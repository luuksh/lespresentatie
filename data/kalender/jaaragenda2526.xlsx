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cou-my.sharepoint.com/personal/h_jansen_cgu_nl/Documents/"/>
    </mc:Choice>
  </mc:AlternateContent>
  <xr:revisionPtr revIDLastSave="0" documentId="8_{0661E2B9-14CC-42BB-ABB1-A0271CACCE56}" xr6:coauthVersionLast="47" xr6:coauthVersionMax="47" xr10:uidLastSave="{00000000-0000-0000-0000-000000000000}"/>
  <bookViews>
    <workbookView xWindow="30100" yWindow="1660" windowWidth="48100" windowHeight="17500" xr2:uid="{00000000-000D-0000-FFFF-FFFF00000000}"/>
  </bookViews>
  <sheets>
    <sheet name="Agenda2526" sheetId="1" r:id="rId1"/>
    <sheet name="Legenda" sheetId="2" r:id="rId2"/>
    <sheet name="Dashboard" sheetId="20" r:id="rId3"/>
    <sheet name="CALC2223" sheetId="3" state="hidden" r:id="rId4"/>
    <sheet name="CAL1" sheetId="4" state="hidden" r:id="rId5"/>
    <sheet name="CAL2" sheetId="5" state="hidden" r:id="rId6"/>
    <sheet name="CAL3" sheetId="6" state="hidden" r:id="rId7"/>
    <sheet name="CAL4" sheetId="7" state="hidden" r:id="rId8"/>
    <sheet name="CAL5" sheetId="8" state="hidden" r:id="rId9"/>
    <sheet name="CAL6" sheetId="9" state="hidden" r:id="rId10"/>
    <sheet name="CAL7" sheetId="10" state="hidden" r:id="rId11"/>
    <sheet name="CAL8" sheetId="11" state="hidden" r:id="rId12"/>
    <sheet name="AL" sheetId="12" state="hidden" r:id="rId13"/>
    <sheet name="ALcopy" sheetId="21" state="hidden" r:id="rId14"/>
    <sheet name="G1" sheetId="13" state="hidden" r:id="rId15"/>
    <sheet name="G1copy" sheetId="22" state="hidden" r:id="rId16"/>
    <sheet name="G2" sheetId="14" state="hidden" r:id="rId17"/>
    <sheet name="G2copy" sheetId="23" state="hidden" r:id="rId18"/>
    <sheet name="G3" sheetId="15" state="hidden" r:id="rId19"/>
    <sheet name="G3copy" sheetId="24" state="hidden" r:id="rId20"/>
    <sheet name="G4" sheetId="16" state="hidden" r:id="rId21"/>
    <sheet name="G4copy" sheetId="25" state="hidden" r:id="rId22"/>
    <sheet name="G5" sheetId="17" state="hidden" r:id="rId23"/>
    <sheet name="G5copy" sheetId="26" state="hidden" r:id="rId24"/>
    <sheet name="G6" sheetId="18" state="hidden" r:id="rId25"/>
    <sheet name="G6copy" sheetId="27" state="hidden" r:id="rId26"/>
    <sheet name="PE" sheetId="19" state="hidden" r:id="rId27"/>
    <sheet name="PEcopy" sheetId="28" state="hidden" r:id="rId28"/>
  </sheets>
  <definedNames>
    <definedName name="_xlnm._FilterDatabase" localSheetId="0" hidden="1">Agenda2526!$A$2:$V$374</definedName>
    <definedName name="CURRENTV">Legenda!$B$1</definedName>
    <definedName name="LASTV">Legenda!$B$2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66" i="1" l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B2" i="20"/>
  <c r="B9" i="20"/>
  <c r="B8" i="20"/>
  <c r="B7" i="20"/>
  <c r="B6" i="20"/>
  <c r="B5" i="20"/>
  <c r="B4" i="20"/>
  <c r="B3" i="20"/>
  <c r="E500" i="4"/>
  <c r="G500" i="4" s="1"/>
  <c r="C500" i="4"/>
  <c r="G499" i="4"/>
  <c r="F499" i="4"/>
  <c r="B499" i="4" s="1"/>
  <c r="E499" i="4"/>
  <c r="C499" i="4"/>
  <c r="A499" i="4"/>
  <c r="E498" i="4"/>
  <c r="G498" i="4" s="1"/>
  <c r="C498" i="4"/>
  <c r="G497" i="4"/>
  <c r="F497" i="4"/>
  <c r="B497" i="4" s="1"/>
  <c r="E497" i="4"/>
  <c r="C497" i="4"/>
  <c r="A497" i="4"/>
  <c r="E496" i="4"/>
  <c r="G496" i="4" s="1"/>
  <c r="C496" i="4"/>
  <c r="G495" i="4"/>
  <c r="F495" i="4"/>
  <c r="B495" i="4" s="1"/>
  <c r="E495" i="4"/>
  <c r="C495" i="4"/>
  <c r="A495" i="4"/>
  <c r="E494" i="4"/>
  <c r="G494" i="4" s="1"/>
  <c r="C494" i="4"/>
  <c r="G493" i="4"/>
  <c r="F493" i="4"/>
  <c r="E493" i="4"/>
  <c r="C493" i="4"/>
  <c r="B493" i="4"/>
  <c r="A493" i="4"/>
  <c r="E492" i="4"/>
  <c r="C492" i="4" s="1"/>
  <c r="G491" i="4"/>
  <c r="F491" i="4"/>
  <c r="E491" i="4"/>
  <c r="C491" i="4"/>
  <c r="B491" i="4"/>
  <c r="A491" i="4"/>
  <c r="E490" i="4"/>
  <c r="C490" i="4" s="1"/>
  <c r="G489" i="4"/>
  <c r="F489" i="4"/>
  <c r="E489" i="4"/>
  <c r="C489" i="4"/>
  <c r="B489" i="4"/>
  <c r="A489" i="4"/>
  <c r="E488" i="4"/>
  <c r="C488" i="4" s="1"/>
  <c r="G487" i="4"/>
  <c r="F487" i="4"/>
  <c r="E487" i="4"/>
  <c r="C487" i="4"/>
  <c r="B487" i="4"/>
  <c r="A487" i="4"/>
  <c r="E486" i="4"/>
  <c r="C486" i="4" s="1"/>
  <c r="G485" i="4"/>
  <c r="F485" i="4"/>
  <c r="E485" i="4"/>
  <c r="C485" i="4"/>
  <c r="B485" i="4"/>
  <c r="A485" i="4"/>
  <c r="E484" i="4"/>
  <c r="C484" i="4" s="1"/>
  <c r="G483" i="4"/>
  <c r="F483" i="4"/>
  <c r="E483" i="4"/>
  <c r="C483" i="4"/>
  <c r="B483" i="4"/>
  <c r="A483" i="4"/>
  <c r="E482" i="4"/>
  <c r="C482" i="4" s="1"/>
  <c r="G481" i="4"/>
  <c r="F481" i="4"/>
  <c r="E481" i="4"/>
  <c r="C481" i="4"/>
  <c r="B481" i="4"/>
  <c r="A481" i="4"/>
  <c r="E480" i="4"/>
  <c r="C480" i="4" s="1"/>
  <c r="G479" i="4"/>
  <c r="F479" i="4"/>
  <c r="E479" i="4"/>
  <c r="C479" i="4"/>
  <c r="B479" i="4"/>
  <c r="A479" i="4"/>
  <c r="E478" i="4"/>
  <c r="C478" i="4" s="1"/>
  <c r="G477" i="4"/>
  <c r="F477" i="4"/>
  <c r="E477" i="4"/>
  <c r="C477" i="4"/>
  <c r="B477" i="4"/>
  <c r="A477" i="4"/>
  <c r="E476" i="4"/>
  <c r="C476" i="4" s="1"/>
  <c r="G475" i="4"/>
  <c r="F475" i="4"/>
  <c r="E475" i="4"/>
  <c r="C475" i="4"/>
  <c r="B475" i="4"/>
  <c r="A475" i="4"/>
  <c r="E474" i="4"/>
  <c r="C474" i="4" s="1"/>
  <c r="G473" i="4"/>
  <c r="F473" i="4"/>
  <c r="E473" i="4"/>
  <c r="C473" i="4"/>
  <c r="B473" i="4"/>
  <c r="A473" i="4"/>
  <c r="E472" i="4"/>
  <c r="C472" i="4" s="1"/>
  <c r="G471" i="4"/>
  <c r="F471" i="4"/>
  <c r="E471" i="4"/>
  <c r="C471" i="4"/>
  <c r="B471" i="4"/>
  <c r="A471" i="4"/>
  <c r="E470" i="4"/>
  <c r="C470" i="4" s="1"/>
  <c r="G469" i="4"/>
  <c r="F469" i="4"/>
  <c r="E469" i="4"/>
  <c r="C469" i="4"/>
  <c r="B469" i="4"/>
  <c r="A469" i="4"/>
  <c r="E468" i="4"/>
  <c r="C468" i="4" s="1"/>
  <c r="G467" i="4"/>
  <c r="F467" i="4"/>
  <c r="E467" i="4"/>
  <c r="C467" i="4"/>
  <c r="B467" i="4"/>
  <c r="A467" i="4"/>
  <c r="E466" i="4"/>
  <c r="C466" i="4" s="1"/>
  <c r="G465" i="4"/>
  <c r="F465" i="4"/>
  <c r="E465" i="4"/>
  <c r="C465" i="4"/>
  <c r="B465" i="4"/>
  <c r="A465" i="4"/>
  <c r="E464" i="4"/>
  <c r="C464" i="4" s="1"/>
  <c r="G463" i="4"/>
  <c r="F463" i="4"/>
  <c r="E463" i="4"/>
  <c r="C463" i="4"/>
  <c r="B463" i="4"/>
  <c r="A463" i="4"/>
  <c r="E462" i="4"/>
  <c r="C462" i="4" s="1"/>
  <c r="G461" i="4"/>
  <c r="F461" i="4"/>
  <c r="E461" i="4"/>
  <c r="C461" i="4"/>
  <c r="B461" i="4"/>
  <c r="A461" i="4"/>
  <c r="E460" i="4"/>
  <c r="C460" i="4" s="1"/>
  <c r="G459" i="4"/>
  <c r="F459" i="4"/>
  <c r="E459" i="4"/>
  <c r="C459" i="4"/>
  <c r="B459" i="4"/>
  <c r="A459" i="4"/>
  <c r="E458" i="4"/>
  <c r="C458" i="4" s="1"/>
  <c r="G457" i="4"/>
  <c r="F457" i="4"/>
  <c r="E457" i="4"/>
  <c r="C457" i="4"/>
  <c r="B457" i="4"/>
  <c r="A457" i="4"/>
  <c r="E456" i="4"/>
  <c r="C456" i="4" s="1"/>
  <c r="G455" i="4"/>
  <c r="F455" i="4"/>
  <c r="E455" i="4"/>
  <c r="C455" i="4"/>
  <c r="B455" i="4"/>
  <c r="A455" i="4"/>
  <c r="E454" i="4"/>
  <c r="C454" i="4" s="1"/>
  <c r="G453" i="4"/>
  <c r="F453" i="4"/>
  <c r="E453" i="4"/>
  <c r="C453" i="4"/>
  <c r="B453" i="4"/>
  <c r="A453" i="4"/>
  <c r="E452" i="4"/>
  <c r="C452" i="4" s="1"/>
  <c r="G451" i="4"/>
  <c r="F451" i="4"/>
  <c r="E451" i="4"/>
  <c r="C451" i="4"/>
  <c r="B451" i="4"/>
  <c r="A451" i="4"/>
  <c r="E450" i="4"/>
  <c r="C450" i="4" s="1"/>
  <c r="G449" i="4"/>
  <c r="F449" i="4"/>
  <c r="E449" i="4"/>
  <c r="C449" i="4"/>
  <c r="B449" i="4"/>
  <c r="A449" i="4"/>
  <c r="E448" i="4"/>
  <c r="C448" i="4" s="1"/>
  <c r="A448" i="4"/>
  <c r="G447" i="4"/>
  <c r="F447" i="4"/>
  <c r="E447" i="4"/>
  <c r="C447" i="4"/>
  <c r="B447" i="4"/>
  <c r="A447" i="4"/>
  <c r="E446" i="4"/>
  <c r="G445" i="4"/>
  <c r="F445" i="4"/>
  <c r="B445" i="4" s="1"/>
  <c r="E445" i="4"/>
  <c r="C445" i="4"/>
  <c r="A445" i="4"/>
  <c r="F444" i="4"/>
  <c r="B444" i="4" s="1"/>
  <c r="E444" i="4"/>
  <c r="G444" i="4" s="1"/>
  <c r="A444" i="4"/>
  <c r="G443" i="4"/>
  <c r="F443" i="4"/>
  <c r="E443" i="4"/>
  <c r="C443" i="4"/>
  <c r="B443" i="4"/>
  <c r="A443" i="4"/>
  <c r="E442" i="4"/>
  <c r="G441" i="4"/>
  <c r="F441" i="4"/>
  <c r="B441" i="4" s="1"/>
  <c r="E441" i="4"/>
  <c r="C441" i="4"/>
  <c r="A441" i="4"/>
  <c r="F440" i="4"/>
  <c r="B440" i="4" s="1"/>
  <c r="E440" i="4"/>
  <c r="G440" i="4" s="1"/>
  <c r="A440" i="4"/>
  <c r="G439" i="4"/>
  <c r="F439" i="4"/>
  <c r="E439" i="4"/>
  <c r="C439" i="4"/>
  <c r="B439" i="4"/>
  <c r="A439" i="4"/>
  <c r="E438" i="4"/>
  <c r="C438" i="4"/>
  <c r="G437" i="4"/>
  <c r="F437" i="4"/>
  <c r="B437" i="4" s="1"/>
  <c r="E437" i="4"/>
  <c r="C437" i="4"/>
  <c r="A437" i="4"/>
  <c r="F436" i="4"/>
  <c r="B436" i="4" s="1"/>
  <c r="E436" i="4"/>
  <c r="G436" i="4" s="1"/>
  <c r="A436" i="4"/>
  <c r="G435" i="4"/>
  <c r="F435" i="4"/>
  <c r="E435" i="4"/>
  <c r="C435" i="4"/>
  <c r="B435" i="4"/>
  <c r="A435" i="4"/>
  <c r="E434" i="4"/>
  <c r="C434" i="4"/>
  <c r="A434" i="4"/>
  <c r="G433" i="4"/>
  <c r="F433" i="4"/>
  <c r="B433" i="4" s="1"/>
  <c r="E433" i="4"/>
  <c r="C433" i="4"/>
  <c r="A433" i="4"/>
  <c r="E432" i="4"/>
  <c r="A432" i="4"/>
  <c r="G431" i="4"/>
  <c r="F431" i="4"/>
  <c r="E431" i="4"/>
  <c r="C431" i="4"/>
  <c r="B431" i="4"/>
  <c r="A431" i="4"/>
  <c r="E430" i="4"/>
  <c r="C430" i="4"/>
  <c r="G429" i="4"/>
  <c r="F429" i="4"/>
  <c r="B429" i="4" s="1"/>
  <c r="E429" i="4"/>
  <c r="C429" i="4"/>
  <c r="A429" i="4"/>
  <c r="E428" i="4"/>
  <c r="G427" i="4"/>
  <c r="F427" i="4"/>
  <c r="B427" i="4" s="1"/>
  <c r="E427" i="4"/>
  <c r="C427" i="4"/>
  <c r="A427" i="4"/>
  <c r="E426" i="4"/>
  <c r="G425" i="4"/>
  <c r="F425" i="4"/>
  <c r="B425" i="4" s="1"/>
  <c r="E425" i="4"/>
  <c r="C425" i="4"/>
  <c r="A425" i="4"/>
  <c r="F424" i="4"/>
  <c r="B424" i="4" s="1"/>
  <c r="E424" i="4"/>
  <c r="A424" i="4" s="1"/>
  <c r="G423" i="4"/>
  <c r="F423" i="4"/>
  <c r="B423" i="4" s="1"/>
  <c r="E423" i="4"/>
  <c r="C423" i="4"/>
  <c r="A423" i="4"/>
  <c r="E422" i="4"/>
  <c r="C422" i="4" s="1"/>
  <c r="A422" i="4"/>
  <c r="G421" i="4"/>
  <c r="F421" i="4"/>
  <c r="B421" i="4" s="1"/>
  <c r="E421" i="4"/>
  <c r="C421" i="4"/>
  <c r="A421" i="4"/>
  <c r="F420" i="4"/>
  <c r="B420" i="4" s="1"/>
  <c r="E420" i="4"/>
  <c r="A420" i="4"/>
  <c r="G419" i="4"/>
  <c r="F419" i="4"/>
  <c r="E419" i="4"/>
  <c r="C419" i="4"/>
  <c r="B419" i="4"/>
  <c r="A419" i="4"/>
  <c r="E418" i="4"/>
  <c r="C418" i="4"/>
  <c r="A418" i="4"/>
  <c r="G417" i="4"/>
  <c r="F417" i="4"/>
  <c r="B417" i="4" s="1"/>
  <c r="E417" i="4"/>
  <c r="C417" i="4"/>
  <c r="A417" i="4"/>
  <c r="E416" i="4"/>
  <c r="E415" i="4"/>
  <c r="C415" i="4"/>
  <c r="E414" i="4"/>
  <c r="E413" i="4"/>
  <c r="G412" i="4"/>
  <c r="F412" i="4"/>
  <c r="B412" i="4" s="1"/>
  <c r="E412" i="4"/>
  <c r="C412" i="4" s="1"/>
  <c r="A412" i="4"/>
  <c r="G411" i="4"/>
  <c r="E411" i="4"/>
  <c r="C411" i="4" s="1"/>
  <c r="G410" i="4"/>
  <c r="F410" i="4"/>
  <c r="B410" i="4" s="1"/>
  <c r="E410" i="4"/>
  <c r="C410" i="4" s="1"/>
  <c r="A410" i="4"/>
  <c r="G409" i="4"/>
  <c r="E409" i="4"/>
  <c r="C409" i="4"/>
  <c r="E408" i="4"/>
  <c r="C408" i="4" s="1"/>
  <c r="E407" i="4"/>
  <c r="C407" i="4"/>
  <c r="E406" i="4"/>
  <c r="E405" i="4"/>
  <c r="G404" i="4"/>
  <c r="F404" i="4"/>
  <c r="B404" i="4" s="1"/>
  <c r="E404" i="4"/>
  <c r="C404" i="4" s="1"/>
  <c r="A404" i="4"/>
  <c r="G403" i="4"/>
  <c r="E403" i="4"/>
  <c r="C403" i="4" s="1"/>
  <c r="G402" i="4"/>
  <c r="F402" i="4"/>
  <c r="B402" i="4" s="1"/>
  <c r="E402" i="4"/>
  <c r="C402" i="4" s="1"/>
  <c r="A402" i="4"/>
  <c r="G401" i="4"/>
  <c r="E401" i="4"/>
  <c r="C401" i="4"/>
  <c r="E400" i="4"/>
  <c r="C400" i="4" s="1"/>
  <c r="E399" i="4"/>
  <c r="C399" i="4"/>
  <c r="E398" i="4"/>
  <c r="E397" i="4"/>
  <c r="G396" i="4"/>
  <c r="F396" i="4"/>
  <c r="B396" i="4" s="1"/>
  <c r="E396" i="4"/>
  <c r="C396" i="4" s="1"/>
  <c r="A396" i="4"/>
  <c r="G395" i="4"/>
  <c r="E395" i="4"/>
  <c r="C395" i="4" s="1"/>
  <c r="G394" i="4"/>
  <c r="F394" i="4"/>
  <c r="E394" i="4"/>
  <c r="C394" i="4" s="1"/>
  <c r="B394" i="4"/>
  <c r="A394" i="4"/>
  <c r="G393" i="4"/>
  <c r="E393" i="4"/>
  <c r="C393" i="4"/>
  <c r="E392" i="4"/>
  <c r="C392" i="4" s="1"/>
  <c r="E391" i="4"/>
  <c r="C391" i="4"/>
  <c r="E390" i="4"/>
  <c r="G389" i="4"/>
  <c r="F389" i="4"/>
  <c r="E389" i="4"/>
  <c r="C389" i="4"/>
  <c r="B389" i="4"/>
  <c r="A389" i="4"/>
  <c r="E388" i="4"/>
  <c r="G387" i="4"/>
  <c r="F387" i="4"/>
  <c r="E387" i="4"/>
  <c r="C387" i="4"/>
  <c r="B387" i="4"/>
  <c r="A387" i="4"/>
  <c r="E386" i="4"/>
  <c r="G385" i="4"/>
  <c r="F385" i="4"/>
  <c r="E385" i="4"/>
  <c r="C385" i="4"/>
  <c r="B385" i="4"/>
  <c r="A385" i="4"/>
  <c r="E384" i="4"/>
  <c r="G383" i="4"/>
  <c r="F383" i="4"/>
  <c r="E383" i="4"/>
  <c r="C383" i="4"/>
  <c r="B383" i="4"/>
  <c r="A383" i="4"/>
  <c r="E382" i="4"/>
  <c r="G381" i="4"/>
  <c r="F381" i="4"/>
  <c r="E381" i="4"/>
  <c r="C381" i="4"/>
  <c r="B381" i="4"/>
  <c r="A381" i="4"/>
  <c r="E380" i="4"/>
  <c r="G379" i="4"/>
  <c r="F379" i="4"/>
  <c r="E379" i="4"/>
  <c r="C379" i="4"/>
  <c r="B379" i="4"/>
  <c r="A379" i="4"/>
  <c r="E378" i="4"/>
  <c r="G377" i="4"/>
  <c r="F377" i="4"/>
  <c r="E377" i="4"/>
  <c r="C377" i="4"/>
  <c r="B377" i="4"/>
  <c r="A377" i="4"/>
  <c r="E376" i="4"/>
  <c r="G375" i="4"/>
  <c r="F375" i="4"/>
  <c r="E375" i="4"/>
  <c r="C375" i="4"/>
  <c r="B375" i="4"/>
  <c r="A375" i="4"/>
  <c r="E374" i="4"/>
  <c r="G373" i="4"/>
  <c r="F373" i="4"/>
  <c r="E373" i="4"/>
  <c r="C373" i="4"/>
  <c r="B373" i="4"/>
  <c r="A373" i="4"/>
  <c r="E372" i="4"/>
  <c r="G371" i="4"/>
  <c r="F371" i="4"/>
  <c r="E371" i="4"/>
  <c r="C371" i="4"/>
  <c r="B371" i="4"/>
  <c r="A371" i="4"/>
  <c r="E370" i="4"/>
  <c r="G369" i="4"/>
  <c r="F369" i="4"/>
  <c r="E369" i="4"/>
  <c r="C369" i="4"/>
  <c r="B369" i="4"/>
  <c r="A369" i="4"/>
  <c r="E368" i="4"/>
  <c r="G367" i="4"/>
  <c r="F367" i="4"/>
  <c r="E367" i="4"/>
  <c r="C367" i="4"/>
  <c r="B367" i="4"/>
  <c r="A367" i="4"/>
  <c r="E366" i="4"/>
  <c r="G365" i="4"/>
  <c r="F365" i="4"/>
  <c r="E365" i="4"/>
  <c r="C365" i="4"/>
  <c r="B365" i="4"/>
  <c r="A365" i="4"/>
  <c r="E364" i="4"/>
  <c r="G363" i="4"/>
  <c r="F363" i="4"/>
  <c r="E363" i="4"/>
  <c r="C363" i="4"/>
  <c r="B363" i="4"/>
  <c r="A363" i="4"/>
  <c r="E362" i="4"/>
  <c r="G361" i="4"/>
  <c r="F361" i="4"/>
  <c r="E361" i="4"/>
  <c r="C361" i="4"/>
  <c r="B361" i="4"/>
  <c r="A361" i="4"/>
  <c r="E360" i="4"/>
  <c r="G359" i="4"/>
  <c r="F359" i="4"/>
  <c r="E359" i="4"/>
  <c r="C359" i="4"/>
  <c r="B359" i="4"/>
  <c r="A359" i="4"/>
  <c r="E358" i="4"/>
  <c r="G357" i="4"/>
  <c r="F357" i="4"/>
  <c r="E357" i="4"/>
  <c r="C357" i="4"/>
  <c r="B357" i="4"/>
  <c r="A357" i="4"/>
  <c r="E356" i="4"/>
  <c r="G355" i="4"/>
  <c r="F355" i="4"/>
  <c r="B355" i="4" s="1"/>
  <c r="E355" i="4"/>
  <c r="C355" i="4"/>
  <c r="A355" i="4"/>
  <c r="E354" i="4"/>
  <c r="G353" i="4"/>
  <c r="F353" i="4"/>
  <c r="B353" i="4" s="1"/>
  <c r="E353" i="4"/>
  <c r="C353" i="4"/>
  <c r="A353" i="4"/>
  <c r="E352" i="4"/>
  <c r="G351" i="4"/>
  <c r="F351" i="4"/>
  <c r="B351" i="4" s="1"/>
  <c r="E351" i="4"/>
  <c r="C351" i="4"/>
  <c r="A351" i="4"/>
  <c r="E350" i="4"/>
  <c r="G349" i="4"/>
  <c r="F349" i="4"/>
  <c r="B349" i="4" s="1"/>
  <c r="E349" i="4"/>
  <c r="C349" i="4"/>
  <c r="A349" i="4"/>
  <c r="E348" i="4"/>
  <c r="G347" i="4"/>
  <c r="F347" i="4"/>
  <c r="B347" i="4" s="1"/>
  <c r="E347" i="4"/>
  <c r="C347" i="4"/>
  <c r="A347" i="4"/>
  <c r="E346" i="4"/>
  <c r="G345" i="4"/>
  <c r="F345" i="4"/>
  <c r="B345" i="4" s="1"/>
  <c r="E345" i="4"/>
  <c r="C345" i="4"/>
  <c r="A345" i="4"/>
  <c r="E344" i="4"/>
  <c r="G343" i="4"/>
  <c r="F343" i="4"/>
  <c r="B343" i="4" s="1"/>
  <c r="E343" i="4"/>
  <c r="C343" i="4"/>
  <c r="A343" i="4"/>
  <c r="E342" i="4"/>
  <c r="G341" i="4"/>
  <c r="F341" i="4"/>
  <c r="B341" i="4" s="1"/>
  <c r="E341" i="4"/>
  <c r="C341" i="4"/>
  <c r="A341" i="4"/>
  <c r="E340" i="4"/>
  <c r="G339" i="4"/>
  <c r="F339" i="4"/>
  <c r="B339" i="4" s="1"/>
  <c r="E339" i="4"/>
  <c r="C339" i="4"/>
  <c r="A339" i="4"/>
  <c r="E338" i="4"/>
  <c r="G337" i="4"/>
  <c r="F337" i="4"/>
  <c r="B337" i="4" s="1"/>
  <c r="E337" i="4"/>
  <c r="C337" i="4"/>
  <c r="A337" i="4"/>
  <c r="F336" i="4"/>
  <c r="B336" i="4" s="1"/>
  <c r="E336" i="4"/>
  <c r="G336" i="4" s="1"/>
  <c r="C336" i="4"/>
  <c r="A336" i="4"/>
  <c r="E335" i="4"/>
  <c r="C335" i="4"/>
  <c r="G334" i="4"/>
  <c r="F334" i="4"/>
  <c r="B334" i="4" s="1"/>
  <c r="E334" i="4"/>
  <c r="C334" i="4"/>
  <c r="A334" i="4"/>
  <c r="E333" i="4"/>
  <c r="C333" i="4"/>
  <c r="G332" i="4"/>
  <c r="F332" i="4"/>
  <c r="B332" i="4" s="1"/>
  <c r="E332" i="4"/>
  <c r="C332" i="4"/>
  <c r="A332" i="4"/>
  <c r="E331" i="4"/>
  <c r="C331" i="4"/>
  <c r="G330" i="4"/>
  <c r="F330" i="4"/>
  <c r="B330" i="4" s="1"/>
  <c r="E330" i="4"/>
  <c r="C330" i="4"/>
  <c r="A330" i="4"/>
  <c r="E329" i="4"/>
  <c r="C329" i="4"/>
  <c r="G328" i="4"/>
  <c r="F328" i="4"/>
  <c r="B328" i="4" s="1"/>
  <c r="E328" i="4"/>
  <c r="C328" i="4"/>
  <c r="A328" i="4"/>
  <c r="E327" i="4"/>
  <c r="C327" i="4"/>
  <c r="G326" i="4"/>
  <c r="F326" i="4"/>
  <c r="B326" i="4" s="1"/>
  <c r="E326" i="4"/>
  <c r="C326" i="4"/>
  <c r="A326" i="4"/>
  <c r="E325" i="4"/>
  <c r="C325" i="4"/>
  <c r="G324" i="4"/>
  <c r="F324" i="4"/>
  <c r="B324" i="4" s="1"/>
  <c r="E324" i="4"/>
  <c r="C324" i="4"/>
  <c r="A324" i="4"/>
  <c r="E323" i="4"/>
  <c r="C323" i="4"/>
  <c r="G322" i="4"/>
  <c r="F322" i="4"/>
  <c r="B322" i="4" s="1"/>
  <c r="E322" i="4"/>
  <c r="C322" i="4"/>
  <c r="A322" i="4"/>
  <c r="E321" i="4"/>
  <c r="C321" i="4"/>
  <c r="G320" i="4"/>
  <c r="F320" i="4"/>
  <c r="B320" i="4" s="1"/>
  <c r="E320" i="4"/>
  <c r="C320" i="4"/>
  <c r="A320" i="4"/>
  <c r="E319" i="4"/>
  <c r="C319" i="4"/>
  <c r="G318" i="4"/>
  <c r="F318" i="4"/>
  <c r="B318" i="4" s="1"/>
  <c r="E318" i="4"/>
  <c r="C318" i="4"/>
  <c r="A318" i="4"/>
  <c r="E317" i="4"/>
  <c r="C317" i="4"/>
  <c r="G316" i="4"/>
  <c r="F316" i="4"/>
  <c r="B316" i="4" s="1"/>
  <c r="E316" i="4"/>
  <c r="C316" i="4"/>
  <c r="A316" i="4"/>
  <c r="E315" i="4"/>
  <c r="C315" i="4"/>
  <c r="G314" i="4"/>
  <c r="F314" i="4"/>
  <c r="B314" i="4" s="1"/>
  <c r="E314" i="4"/>
  <c r="C314" i="4"/>
  <c r="A314" i="4"/>
  <c r="E313" i="4"/>
  <c r="C313" i="4"/>
  <c r="G312" i="4"/>
  <c r="F312" i="4"/>
  <c r="B312" i="4" s="1"/>
  <c r="E312" i="4"/>
  <c r="C312" i="4"/>
  <c r="A312" i="4"/>
  <c r="E311" i="4"/>
  <c r="C311" i="4"/>
  <c r="G310" i="4"/>
  <c r="F310" i="4"/>
  <c r="B310" i="4" s="1"/>
  <c r="E310" i="4"/>
  <c r="C310" i="4"/>
  <c r="A310" i="4"/>
  <c r="E309" i="4"/>
  <c r="C309" i="4"/>
  <c r="G308" i="4"/>
  <c r="F308" i="4"/>
  <c r="B308" i="4" s="1"/>
  <c r="E308" i="4"/>
  <c r="C308" i="4"/>
  <c r="A308" i="4"/>
  <c r="E307" i="4"/>
  <c r="C307" i="4"/>
  <c r="G306" i="4"/>
  <c r="F306" i="4"/>
  <c r="B306" i="4" s="1"/>
  <c r="E306" i="4"/>
  <c r="C306" i="4"/>
  <c r="A306" i="4"/>
  <c r="E305" i="4"/>
  <c r="C305" i="4"/>
  <c r="G304" i="4"/>
  <c r="F304" i="4"/>
  <c r="B304" i="4" s="1"/>
  <c r="E304" i="4"/>
  <c r="C304" i="4"/>
  <c r="A304" i="4"/>
  <c r="E303" i="4"/>
  <c r="C303" i="4"/>
  <c r="G302" i="4"/>
  <c r="F302" i="4"/>
  <c r="B302" i="4" s="1"/>
  <c r="E302" i="4"/>
  <c r="C302" i="4"/>
  <c r="A302" i="4"/>
  <c r="E301" i="4"/>
  <c r="C301" i="4"/>
  <c r="G300" i="4"/>
  <c r="F300" i="4"/>
  <c r="B300" i="4" s="1"/>
  <c r="E300" i="4"/>
  <c r="C300" i="4"/>
  <c r="A300" i="4"/>
  <c r="E299" i="4"/>
  <c r="C299" i="4"/>
  <c r="G298" i="4"/>
  <c r="F298" i="4"/>
  <c r="B298" i="4" s="1"/>
  <c r="E298" i="4"/>
  <c r="C298" i="4"/>
  <c r="A298" i="4"/>
  <c r="E297" i="4"/>
  <c r="C297" i="4"/>
  <c r="G296" i="4"/>
  <c r="F296" i="4"/>
  <c r="B296" i="4" s="1"/>
  <c r="E296" i="4"/>
  <c r="C296" i="4"/>
  <c r="A296" i="4"/>
  <c r="E295" i="4"/>
  <c r="C295" i="4"/>
  <c r="G294" i="4"/>
  <c r="F294" i="4"/>
  <c r="B294" i="4" s="1"/>
  <c r="E294" i="4"/>
  <c r="C294" i="4"/>
  <c r="A294" i="4"/>
  <c r="E293" i="4"/>
  <c r="C293" i="4"/>
  <c r="G292" i="4"/>
  <c r="F292" i="4"/>
  <c r="B292" i="4" s="1"/>
  <c r="E292" i="4"/>
  <c r="C292" i="4"/>
  <c r="A292" i="4"/>
  <c r="E291" i="4"/>
  <c r="C291" i="4"/>
  <c r="G290" i="4"/>
  <c r="F290" i="4"/>
  <c r="B290" i="4" s="1"/>
  <c r="E290" i="4"/>
  <c r="C290" i="4"/>
  <c r="A290" i="4"/>
  <c r="E289" i="4"/>
  <c r="C289" i="4"/>
  <c r="G288" i="4"/>
  <c r="F288" i="4"/>
  <c r="B288" i="4" s="1"/>
  <c r="E288" i="4"/>
  <c r="C288" i="4"/>
  <c r="A288" i="4"/>
  <c r="E287" i="4"/>
  <c r="C287" i="4"/>
  <c r="G286" i="4"/>
  <c r="F286" i="4"/>
  <c r="B286" i="4" s="1"/>
  <c r="E286" i="4"/>
  <c r="C286" i="4"/>
  <c r="A286" i="4"/>
  <c r="E285" i="4"/>
  <c r="C285" i="4"/>
  <c r="G284" i="4"/>
  <c r="F284" i="4"/>
  <c r="B284" i="4" s="1"/>
  <c r="E284" i="4"/>
  <c r="C284" i="4"/>
  <c r="A284" i="4"/>
  <c r="E283" i="4"/>
  <c r="C283" i="4"/>
  <c r="G282" i="4"/>
  <c r="F282" i="4"/>
  <c r="B282" i="4" s="1"/>
  <c r="E282" i="4"/>
  <c r="C282" i="4"/>
  <c r="A282" i="4"/>
  <c r="E281" i="4"/>
  <c r="C281" i="4"/>
  <c r="G280" i="4"/>
  <c r="F280" i="4"/>
  <c r="B280" i="4" s="1"/>
  <c r="E280" i="4"/>
  <c r="C280" i="4"/>
  <c r="A280" i="4"/>
  <c r="E279" i="4"/>
  <c r="C279" i="4"/>
  <c r="G278" i="4"/>
  <c r="F278" i="4"/>
  <c r="B278" i="4" s="1"/>
  <c r="E278" i="4"/>
  <c r="C278" i="4"/>
  <c r="A278" i="4"/>
  <c r="E277" i="4"/>
  <c r="C277" i="4"/>
  <c r="G276" i="4"/>
  <c r="F276" i="4"/>
  <c r="B276" i="4" s="1"/>
  <c r="E276" i="4"/>
  <c r="C276" i="4"/>
  <c r="A276" i="4"/>
  <c r="E275" i="4"/>
  <c r="C275" i="4"/>
  <c r="G274" i="4"/>
  <c r="F274" i="4"/>
  <c r="B274" i="4" s="1"/>
  <c r="E274" i="4"/>
  <c r="C274" i="4"/>
  <c r="A274" i="4"/>
  <c r="E273" i="4"/>
  <c r="C273" i="4"/>
  <c r="G272" i="4"/>
  <c r="F272" i="4"/>
  <c r="B272" i="4" s="1"/>
  <c r="E272" i="4"/>
  <c r="C272" i="4"/>
  <c r="A272" i="4"/>
  <c r="E271" i="4"/>
  <c r="C271" i="4"/>
  <c r="G270" i="4"/>
  <c r="F270" i="4"/>
  <c r="B270" i="4" s="1"/>
  <c r="E270" i="4"/>
  <c r="C270" i="4"/>
  <c r="A270" i="4"/>
  <c r="E269" i="4"/>
  <c r="C269" i="4"/>
  <c r="G268" i="4"/>
  <c r="F268" i="4"/>
  <c r="B268" i="4" s="1"/>
  <c r="E268" i="4"/>
  <c r="C268" i="4"/>
  <c r="A268" i="4"/>
  <c r="E267" i="4"/>
  <c r="C267" i="4"/>
  <c r="G266" i="4"/>
  <c r="F266" i="4"/>
  <c r="B266" i="4" s="1"/>
  <c r="E266" i="4"/>
  <c r="C266" i="4"/>
  <c r="A266" i="4"/>
  <c r="E265" i="4"/>
  <c r="C265" i="4"/>
  <c r="G264" i="4"/>
  <c r="F264" i="4"/>
  <c r="B264" i="4" s="1"/>
  <c r="E264" i="4"/>
  <c r="C264" i="4"/>
  <c r="A264" i="4"/>
  <c r="E263" i="4"/>
  <c r="C263" i="4"/>
  <c r="G262" i="4"/>
  <c r="F262" i="4"/>
  <c r="B262" i="4" s="1"/>
  <c r="E262" i="4"/>
  <c r="C262" i="4"/>
  <c r="A262" i="4"/>
  <c r="E261" i="4"/>
  <c r="C261" i="4"/>
  <c r="G260" i="4"/>
  <c r="F260" i="4"/>
  <c r="B260" i="4" s="1"/>
  <c r="E260" i="4"/>
  <c r="C260" i="4"/>
  <c r="A260" i="4"/>
  <c r="E259" i="4"/>
  <c r="C259" i="4"/>
  <c r="G258" i="4"/>
  <c r="F258" i="4"/>
  <c r="B258" i="4" s="1"/>
  <c r="E258" i="4"/>
  <c r="C258" i="4"/>
  <c r="A258" i="4"/>
  <c r="E257" i="4"/>
  <c r="C257" i="4"/>
  <c r="G256" i="4"/>
  <c r="F256" i="4"/>
  <c r="B256" i="4" s="1"/>
  <c r="E256" i="4"/>
  <c r="C256" i="4"/>
  <c r="A256" i="4"/>
  <c r="E255" i="4"/>
  <c r="C255" i="4"/>
  <c r="G254" i="4"/>
  <c r="F254" i="4"/>
  <c r="B254" i="4" s="1"/>
  <c r="E254" i="4"/>
  <c r="C254" i="4"/>
  <c r="A254" i="4"/>
  <c r="E253" i="4"/>
  <c r="C253" i="4"/>
  <c r="G252" i="4"/>
  <c r="F252" i="4"/>
  <c r="B252" i="4" s="1"/>
  <c r="E252" i="4"/>
  <c r="C252" i="4"/>
  <c r="A252" i="4"/>
  <c r="E251" i="4"/>
  <c r="C251" i="4"/>
  <c r="G250" i="4"/>
  <c r="F250" i="4"/>
  <c r="B250" i="4" s="1"/>
  <c r="E250" i="4"/>
  <c r="C250" i="4"/>
  <c r="A250" i="4"/>
  <c r="E249" i="4"/>
  <c r="C249" i="4"/>
  <c r="G248" i="4"/>
  <c r="F248" i="4"/>
  <c r="B248" i="4" s="1"/>
  <c r="E248" i="4"/>
  <c r="C248" i="4" s="1"/>
  <c r="A248" i="4"/>
  <c r="E247" i="4"/>
  <c r="C247" i="4" s="1"/>
  <c r="G246" i="4"/>
  <c r="F246" i="4"/>
  <c r="B246" i="4" s="1"/>
  <c r="E246" i="4"/>
  <c r="C246" i="4" s="1"/>
  <c r="A246" i="4"/>
  <c r="E245" i="4"/>
  <c r="C245" i="4"/>
  <c r="G244" i="4"/>
  <c r="F244" i="4"/>
  <c r="E244" i="4"/>
  <c r="C244" i="4" s="1"/>
  <c r="B244" i="4"/>
  <c r="A244" i="4"/>
  <c r="E243" i="4"/>
  <c r="G242" i="4"/>
  <c r="F242" i="4"/>
  <c r="E242" i="4"/>
  <c r="C242" i="4" s="1"/>
  <c r="B242" i="4"/>
  <c r="A242" i="4"/>
  <c r="E241" i="4"/>
  <c r="C241" i="4"/>
  <c r="G240" i="4"/>
  <c r="F240" i="4"/>
  <c r="B240" i="4" s="1"/>
  <c r="E240" i="4"/>
  <c r="C240" i="4" s="1"/>
  <c r="A240" i="4"/>
  <c r="E239" i="4"/>
  <c r="C239" i="4" s="1"/>
  <c r="G238" i="4"/>
  <c r="F238" i="4"/>
  <c r="B238" i="4" s="1"/>
  <c r="E238" i="4"/>
  <c r="C238" i="4" s="1"/>
  <c r="A238" i="4"/>
  <c r="E237" i="4"/>
  <c r="C237" i="4"/>
  <c r="G236" i="4"/>
  <c r="F236" i="4"/>
  <c r="E236" i="4"/>
  <c r="C236" i="4" s="1"/>
  <c r="B236" i="4"/>
  <c r="A236" i="4"/>
  <c r="E235" i="4"/>
  <c r="G234" i="4"/>
  <c r="F234" i="4"/>
  <c r="E234" i="4"/>
  <c r="C234" i="4" s="1"/>
  <c r="B234" i="4"/>
  <c r="A234" i="4"/>
  <c r="E233" i="4"/>
  <c r="C233" i="4"/>
  <c r="G232" i="4"/>
  <c r="F232" i="4"/>
  <c r="B232" i="4" s="1"/>
  <c r="E232" i="4"/>
  <c r="C232" i="4" s="1"/>
  <c r="A232" i="4"/>
  <c r="E231" i="4"/>
  <c r="C231" i="4" s="1"/>
  <c r="G230" i="4"/>
  <c r="F230" i="4"/>
  <c r="B230" i="4" s="1"/>
  <c r="E230" i="4"/>
  <c r="C230" i="4" s="1"/>
  <c r="A230" i="4"/>
  <c r="E229" i="4"/>
  <c r="C229" i="4"/>
  <c r="G228" i="4"/>
  <c r="F228" i="4"/>
  <c r="E228" i="4"/>
  <c r="C228" i="4" s="1"/>
  <c r="B228" i="4"/>
  <c r="A228" i="4"/>
  <c r="E227" i="4"/>
  <c r="G226" i="4"/>
  <c r="F226" i="4"/>
  <c r="E226" i="4"/>
  <c r="C226" i="4" s="1"/>
  <c r="B226" i="4"/>
  <c r="A226" i="4"/>
  <c r="E225" i="4"/>
  <c r="C225" i="4"/>
  <c r="G224" i="4"/>
  <c r="F224" i="4"/>
  <c r="B224" i="4" s="1"/>
  <c r="E224" i="4"/>
  <c r="C224" i="4" s="1"/>
  <c r="A224" i="4"/>
  <c r="E223" i="4"/>
  <c r="C223" i="4" s="1"/>
  <c r="G222" i="4"/>
  <c r="F222" i="4"/>
  <c r="B222" i="4" s="1"/>
  <c r="E222" i="4"/>
  <c r="C222" i="4" s="1"/>
  <c r="A222" i="4"/>
  <c r="E221" i="4"/>
  <c r="C221" i="4"/>
  <c r="E220" i="4"/>
  <c r="C220" i="4" s="1"/>
  <c r="E219" i="4"/>
  <c r="C219" i="4" s="1"/>
  <c r="G218" i="4"/>
  <c r="F218" i="4"/>
  <c r="B218" i="4" s="1"/>
  <c r="E218" i="4"/>
  <c r="C218" i="4" s="1"/>
  <c r="A218" i="4"/>
  <c r="G217" i="4"/>
  <c r="E217" i="4"/>
  <c r="C217" i="4"/>
  <c r="G216" i="4"/>
  <c r="E216" i="4"/>
  <c r="C216" i="4" s="1"/>
  <c r="A216" i="4"/>
  <c r="E215" i="4"/>
  <c r="F214" i="4"/>
  <c r="E214" i="4"/>
  <c r="C214" i="4" s="1"/>
  <c r="B214" i="4"/>
  <c r="G213" i="4"/>
  <c r="E213" i="4"/>
  <c r="C213" i="4"/>
  <c r="E212" i="4"/>
  <c r="E211" i="4"/>
  <c r="G210" i="4"/>
  <c r="F210" i="4"/>
  <c r="B210" i="4" s="1"/>
  <c r="E210" i="4"/>
  <c r="C210" i="4" s="1"/>
  <c r="A210" i="4"/>
  <c r="G209" i="4"/>
  <c r="E209" i="4"/>
  <c r="C209" i="4"/>
  <c r="G208" i="4"/>
  <c r="E208" i="4"/>
  <c r="C208" i="4" s="1"/>
  <c r="A208" i="4"/>
  <c r="E207" i="4"/>
  <c r="F206" i="4"/>
  <c r="E206" i="4"/>
  <c r="C206" i="4" s="1"/>
  <c r="B206" i="4"/>
  <c r="G205" i="4"/>
  <c r="E205" i="4"/>
  <c r="C205" i="4"/>
  <c r="E204" i="4"/>
  <c r="A204" i="4"/>
  <c r="E203" i="4"/>
  <c r="G202" i="4"/>
  <c r="F202" i="4"/>
  <c r="E202" i="4"/>
  <c r="C202" i="4" s="1"/>
  <c r="B202" i="4"/>
  <c r="A202" i="4"/>
  <c r="E201" i="4"/>
  <c r="G201" i="4" s="1"/>
  <c r="E200" i="4"/>
  <c r="G199" i="4"/>
  <c r="E199" i="4"/>
  <c r="E198" i="4"/>
  <c r="E197" i="4"/>
  <c r="G197" i="4" s="1"/>
  <c r="E196" i="4"/>
  <c r="G195" i="4"/>
  <c r="E195" i="4"/>
  <c r="E194" i="4"/>
  <c r="E193" i="4"/>
  <c r="G193" i="4" s="1"/>
  <c r="E192" i="4"/>
  <c r="G191" i="4"/>
  <c r="E191" i="4"/>
  <c r="E190" i="4"/>
  <c r="E189" i="4"/>
  <c r="G189" i="4" s="1"/>
  <c r="E188" i="4"/>
  <c r="G187" i="4"/>
  <c r="E187" i="4"/>
  <c r="E186" i="4"/>
  <c r="E185" i="4"/>
  <c r="G185" i="4" s="1"/>
  <c r="E184" i="4"/>
  <c r="G183" i="4"/>
  <c r="E183" i="4"/>
  <c r="E182" i="4"/>
  <c r="E181" i="4"/>
  <c r="G181" i="4" s="1"/>
  <c r="E180" i="4"/>
  <c r="G179" i="4"/>
  <c r="E179" i="4"/>
  <c r="E178" i="4"/>
  <c r="E177" i="4"/>
  <c r="G177" i="4" s="1"/>
  <c r="E176" i="4"/>
  <c r="G175" i="4"/>
  <c r="E175" i="4"/>
  <c r="E174" i="4"/>
  <c r="E173" i="4"/>
  <c r="G173" i="4" s="1"/>
  <c r="E172" i="4"/>
  <c r="G171" i="4"/>
  <c r="E171" i="4"/>
  <c r="E170" i="4"/>
  <c r="E169" i="4"/>
  <c r="G169" i="4" s="1"/>
  <c r="E168" i="4"/>
  <c r="G167" i="4"/>
  <c r="E167" i="4"/>
  <c r="E166" i="4"/>
  <c r="E165" i="4"/>
  <c r="G165" i="4" s="1"/>
  <c r="E164" i="4"/>
  <c r="G163" i="4"/>
  <c r="E163" i="4"/>
  <c r="E162" i="4"/>
  <c r="E161" i="4"/>
  <c r="G161" i="4" s="1"/>
  <c r="E160" i="4"/>
  <c r="G159" i="4"/>
  <c r="E159" i="4"/>
  <c r="E158" i="4"/>
  <c r="E157" i="4"/>
  <c r="G157" i="4" s="1"/>
  <c r="E156" i="4"/>
  <c r="G155" i="4"/>
  <c r="E155" i="4"/>
  <c r="E154" i="4"/>
  <c r="E153" i="4"/>
  <c r="G153" i="4" s="1"/>
  <c r="E152" i="4"/>
  <c r="G151" i="4"/>
  <c r="E151" i="4"/>
  <c r="E150" i="4"/>
  <c r="E149" i="4"/>
  <c r="G149" i="4" s="1"/>
  <c r="E148" i="4"/>
  <c r="G147" i="4"/>
  <c r="E147" i="4"/>
  <c r="E146" i="4"/>
  <c r="E145" i="4"/>
  <c r="G145" i="4" s="1"/>
  <c r="E144" i="4"/>
  <c r="G143" i="4"/>
  <c r="E143" i="4"/>
  <c r="E142" i="4"/>
  <c r="E141" i="4"/>
  <c r="G141" i="4" s="1"/>
  <c r="E140" i="4"/>
  <c r="G139" i="4"/>
  <c r="E139" i="4"/>
  <c r="E138" i="4"/>
  <c r="E137" i="4"/>
  <c r="G137" i="4" s="1"/>
  <c r="E136" i="4"/>
  <c r="G135" i="4"/>
  <c r="E135" i="4"/>
  <c r="E134" i="4"/>
  <c r="E133" i="4"/>
  <c r="G133" i="4" s="1"/>
  <c r="E132" i="4"/>
  <c r="G131" i="4"/>
  <c r="E131" i="4"/>
  <c r="E130" i="4"/>
  <c r="E129" i="4"/>
  <c r="G129" i="4" s="1"/>
  <c r="E128" i="4"/>
  <c r="C128" i="4" s="1"/>
  <c r="E127" i="4"/>
  <c r="G127" i="4" s="1"/>
  <c r="C127" i="4"/>
  <c r="E126" i="4"/>
  <c r="C126" i="4" s="1"/>
  <c r="E125" i="4"/>
  <c r="C125" i="4" s="1"/>
  <c r="G124" i="4"/>
  <c r="F124" i="4"/>
  <c r="B124" i="4" s="1"/>
  <c r="E124" i="4"/>
  <c r="C124" i="4" s="1"/>
  <c r="A124" i="4"/>
  <c r="G123" i="4"/>
  <c r="E123" i="4"/>
  <c r="F123" i="4" s="1"/>
  <c r="B123" i="4" s="1"/>
  <c r="C123" i="4"/>
  <c r="E122" i="4"/>
  <c r="F122" i="4" s="1"/>
  <c r="B122" i="4" s="1"/>
  <c r="G121" i="4"/>
  <c r="E121" i="4"/>
  <c r="F121" i="4" s="1"/>
  <c r="B121" i="4" s="1"/>
  <c r="C121" i="4"/>
  <c r="E120" i="4"/>
  <c r="G119" i="4"/>
  <c r="E119" i="4"/>
  <c r="F119" i="4" s="1"/>
  <c r="C119" i="4"/>
  <c r="B119" i="4"/>
  <c r="E118" i="4"/>
  <c r="G117" i="4"/>
  <c r="E117" i="4"/>
  <c r="F117" i="4" s="1"/>
  <c r="C117" i="4"/>
  <c r="B117" i="4"/>
  <c r="E116" i="4"/>
  <c r="G115" i="4"/>
  <c r="E115" i="4"/>
  <c r="F115" i="4" s="1"/>
  <c r="B115" i="4" s="1"/>
  <c r="C115" i="4"/>
  <c r="E114" i="4"/>
  <c r="G113" i="4"/>
  <c r="E113" i="4"/>
  <c r="F113" i="4" s="1"/>
  <c r="B113" i="4" s="1"/>
  <c r="C113" i="4"/>
  <c r="E112" i="4"/>
  <c r="A112" i="4" s="1"/>
  <c r="G111" i="4"/>
  <c r="E111" i="4"/>
  <c r="F111" i="4" s="1"/>
  <c r="B111" i="4" s="1"/>
  <c r="C111" i="4"/>
  <c r="E110" i="4"/>
  <c r="F110" i="4" s="1"/>
  <c r="B110" i="4" s="1"/>
  <c r="A110" i="4"/>
  <c r="G109" i="4"/>
  <c r="E109" i="4"/>
  <c r="F109" i="4" s="1"/>
  <c r="C109" i="4"/>
  <c r="B109" i="4"/>
  <c r="E108" i="4"/>
  <c r="A108" i="4"/>
  <c r="G107" i="4"/>
  <c r="E107" i="4"/>
  <c r="F107" i="4" s="1"/>
  <c r="C107" i="4"/>
  <c r="B107" i="4"/>
  <c r="F106" i="4"/>
  <c r="B106" i="4" s="1"/>
  <c r="E106" i="4"/>
  <c r="A106" i="4" s="1"/>
  <c r="G105" i="4"/>
  <c r="E105" i="4"/>
  <c r="F105" i="4" s="1"/>
  <c r="B105" i="4" s="1"/>
  <c r="C105" i="4"/>
  <c r="E104" i="4"/>
  <c r="A104" i="4" s="1"/>
  <c r="G103" i="4"/>
  <c r="E103" i="4"/>
  <c r="F103" i="4" s="1"/>
  <c r="B103" i="4" s="1"/>
  <c r="C103" i="4"/>
  <c r="E102" i="4"/>
  <c r="F102" i="4" s="1"/>
  <c r="B102" i="4" s="1"/>
  <c r="A102" i="4"/>
  <c r="G101" i="4"/>
  <c r="E101" i="4"/>
  <c r="F101" i="4" s="1"/>
  <c r="C101" i="4"/>
  <c r="B101" i="4"/>
  <c r="E100" i="4"/>
  <c r="A100" i="4"/>
  <c r="G99" i="4"/>
  <c r="E99" i="4"/>
  <c r="F99" i="4" s="1"/>
  <c r="C99" i="4"/>
  <c r="B99" i="4"/>
  <c r="F98" i="4"/>
  <c r="B98" i="4" s="1"/>
  <c r="E98" i="4"/>
  <c r="A98" i="4" s="1"/>
  <c r="G97" i="4"/>
  <c r="E97" i="4"/>
  <c r="F97" i="4" s="1"/>
  <c r="B97" i="4" s="1"/>
  <c r="C97" i="4"/>
  <c r="E96" i="4"/>
  <c r="A96" i="4" s="1"/>
  <c r="E95" i="4"/>
  <c r="E94" i="4"/>
  <c r="F94" i="4" s="1"/>
  <c r="B94" i="4" s="1"/>
  <c r="A94" i="4"/>
  <c r="E93" i="4"/>
  <c r="E92" i="4"/>
  <c r="A92" i="4"/>
  <c r="E91" i="4"/>
  <c r="E90" i="4"/>
  <c r="E89" i="4"/>
  <c r="E88" i="4"/>
  <c r="A88" i="4"/>
  <c r="E87" i="4"/>
  <c r="E86" i="4"/>
  <c r="A86" i="4"/>
  <c r="E85" i="4"/>
  <c r="G85" i="4" s="1"/>
  <c r="C85" i="4"/>
  <c r="E84" i="4"/>
  <c r="E83" i="4"/>
  <c r="G83" i="4" s="1"/>
  <c r="C83" i="4"/>
  <c r="E82" i="4"/>
  <c r="E81" i="4"/>
  <c r="E80" i="4"/>
  <c r="A80" i="4"/>
  <c r="E79" i="4"/>
  <c r="E78" i="4"/>
  <c r="A78" i="4"/>
  <c r="E77" i="4"/>
  <c r="G77" i="4" s="1"/>
  <c r="C77" i="4"/>
  <c r="E76" i="4"/>
  <c r="E75" i="4"/>
  <c r="G75" i="4" s="1"/>
  <c r="C75" i="4"/>
  <c r="E74" i="4"/>
  <c r="E73" i="4"/>
  <c r="E72" i="4"/>
  <c r="A72" i="4"/>
  <c r="E71" i="4"/>
  <c r="E70" i="4"/>
  <c r="A70" i="4"/>
  <c r="E69" i="4"/>
  <c r="G69" i="4" s="1"/>
  <c r="C69" i="4"/>
  <c r="E68" i="4"/>
  <c r="A68" i="4"/>
  <c r="E67" i="4"/>
  <c r="G67" i="4" s="1"/>
  <c r="C67" i="4"/>
  <c r="E66" i="4"/>
  <c r="A66" i="4"/>
  <c r="E65" i="4"/>
  <c r="G65" i="4" s="1"/>
  <c r="C65" i="4"/>
  <c r="E64" i="4"/>
  <c r="A64" i="4"/>
  <c r="E63" i="4"/>
  <c r="G63" i="4" s="1"/>
  <c r="C63" i="4"/>
  <c r="E62" i="4"/>
  <c r="A62" i="4"/>
  <c r="E61" i="4"/>
  <c r="G61" i="4" s="1"/>
  <c r="C61" i="4"/>
  <c r="E60" i="4"/>
  <c r="A60" i="4"/>
  <c r="E59" i="4"/>
  <c r="G59" i="4" s="1"/>
  <c r="C59" i="4"/>
  <c r="E58" i="4"/>
  <c r="A58" i="4"/>
  <c r="E57" i="4"/>
  <c r="G57" i="4" s="1"/>
  <c r="C57" i="4" s="1"/>
  <c r="E56" i="4"/>
  <c r="A56" i="4"/>
  <c r="E55" i="4"/>
  <c r="G55" i="4" s="1"/>
  <c r="C55" i="4" s="1"/>
  <c r="E54" i="4"/>
  <c r="A54" i="4"/>
  <c r="E53" i="4"/>
  <c r="G53" i="4" s="1"/>
  <c r="C53" i="4" s="1"/>
  <c r="E52" i="4"/>
  <c r="A52" i="4"/>
  <c r="E51" i="4"/>
  <c r="G51" i="4" s="1"/>
  <c r="C51" i="4" s="1"/>
  <c r="E50" i="4"/>
  <c r="A50" i="4"/>
  <c r="E49" i="4"/>
  <c r="G49" i="4" s="1"/>
  <c r="C49" i="4" s="1"/>
  <c r="E48" i="4"/>
  <c r="A48" i="4"/>
  <c r="E47" i="4"/>
  <c r="G47" i="4" s="1"/>
  <c r="C47" i="4" s="1"/>
  <c r="E46" i="4"/>
  <c r="A46" i="4"/>
  <c r="E45" i="4"/>
  <c r="G45" i="4" s="1"/>
  <c r="C45" i="4" s="1"/>
  <c r="E44" i="4"/>
  <c r="A44" i="4"/>
  <c r="E43" i="4"/>
  <c r="G43" i="4" s="1"/>
  <c r="C43" i="4" s="1"/>
  <c r="E42" i="4"/>
  <c r="A42" i="4"/>
  <c r="E41" i="4"/>
  <c r="G41" i="4" s="1"/>
  <c r="C41" i="4" s="1"/>
  <c r="E40" i="4"/>
  <c r="A40" i="4"/>
  <c r="E39" i="4"/>
  <c r="G39" i="4" s="1"/>
  <c r="C39" i="4" s="1"/>
  <c r="E38" i="4"/>
  <c r="A38" i="4"/>
  <c r="E37" i="4"/>
  <c r="G37" i="4" s="1"/>
  <c r="C37" i="4" s="1"/>
  <c r="E36" i="4"/>
  <c r="A36" i="4"/>
  <c r="E35" i="4"/>
  <c r="G35" i="4" s="1"/>
  <c r="C35" i="4" s="1"/>
  <c r="E34" i="4"/>
  <c r="A34" i="4"/>
  <c r="E33" i="4"/>
  <c r="G33" i="4" s="1"/>
  <c r="C33" i="4" s="1"/>
  <c r="E32" i="4"/>
  <c r="A32" i="4"/>
  <c r="E31" i="4"/>
  <c r="G31" i="4" s="1"/>
  <c r="C31" i="4" s="1"/>
  <c r="E30" i="4"/>
  <c r="A30" i="4"/>
  <c r="E29" i="4"/>
  <c r="G29" i="4" s="1"/>
  <c r="C29" i="4" s="1"/>
  <c r="E28" i="4"/>
  <c r="A28" i="4"/>
  <c r="E27" i="4"/>
  <c r="G27" i="4" s="1"/>
  <c r="C27" i="4" s="1"/>
  <c r="E26" i="4"/>
  <c r="A26" i="4"/>
  <c r="E25" i="4"/>
  <c r="G25" i="4" s="1"/>
  <c r="C25" i="4" s="1"/>
  <c r="E24" i="4"/>
  <c r="A24" i="4"/>
  <c r="E23" i="4"/>
  <c r="G23" i="4" s="1"/>
  <c r="C23" i="4" s="1"/>
  <c r="E22" i="4"/>
  <c r="A22" i="4"/>
  <c r="E21" i="4"/>
  <c r="G21" i="4" s="1"/>
  <c r="C21" i="4" s="1"/>
  <c r="E20" i="4"/>
  <c r="A20" i="4"/>
  <c r="E19" i="4"/>
  <c r="G19" i="4" s="1"/>
  <c r="C19" i="4" s="1"/>
  <c r="E18" i="4"/>
  <c r="A18" i="4"/>
  <c r="E17" i="4"/>
  <c r="G17" i="4" s="1"/>
  <c r="C17" i="4" s="1"/>
  <c r="E16" i="4"/>
  <c r="A16" i="4"/>
  <c r="E15" i="4"/>
  <c r="G15" i="4" s="1"/>
  <c r="C15" i="4" s="1"/>
  <c r="E14" i="4"/>
  <c r="A14" i="4"/>
  <c r="E13" i="4"/>
  <c r="G13" i="4" s="1"/>
  <c r="C13" i="4" s="1"/>
  <c r="E12" i="4"/>
  <c r="A12" i="4"/>
  <c r="E11" i="4"/>
  <c r="G11" i="4" s="1"/>
  <c r="C11" i="4" s="1"/>
  <c r="E10" i="4"/>
  <c r="A10" i="4"/>
  <c r="E9" i="4"/>
  <c r="G9" i="4" s="1"/>
  <c r="C9" i="4" s="1"/>
  <c r="E8" i="4"/>
  <c r="A8" i="4"/>
  <c r="E7" i="4"/>
  <c r="G7" i="4" s="1"/>
  <c r="C7" i="4" s="1"/>
  <c r="E6" i="4"/>
  <c r="A6" i="4"/>
  <c r="E5" i="4"/>
  <c r="G5" i="4" s="1"/>
  <c r="C5" i="4" s="1"/>
  <c r="E4" i="4"/>
  <c r="A4" i="4"/>
  <c r="E3" i="4"/>
  <c r="G3" i="4" s="1"/>
  <c r="C3" i="4" s="1"/>
  <c r="E500" i="5"/>
  <c r="G500" i="5" s="1"/>
  <c r="C500" i="5"/>
  <c r="G499" i="5"/>
  <c r="F499" i="5"/>
  <c r="B499" i="5" s="1"/>
  <c r="E499" i="5"/>
  <c r="C499" i="5" s="1"/>
  <c r="A499" i="5"/>
  <c r="E498" i="5"/>
  <c r="G498" i="5" s="1"/>
  <c r="C498" i="5"/>
  <c r="G497" i="5"/>
  <c r="F497" i="5"/>
  <c r="B497" i="5" s="1"/>
  <c r="E497" i="5"/>
  <c r="C497" i="5" s="1"/>
  <c r="A497" i="5"/>
  <c r="E496" i="5"/>
  <c r="G496" i="5" s="1"/>
  <c r="C496" i="5"/>
  <c r="G495" i="5"/>
  <c r="F495" i="5"/>
  <c r="B495" i="5" s="1"/>
  <c r="E495" i="5"/>
  <c r="C495" i="5" s="1"/>
  <c r="A495" i="5"/>
  <c r="E494" i="5"/>
  <c r="G494" i="5" s="1"/>
  <c r="C494" i="5"/>
  <c r="G493" i="5"/>
  <c r="F493" i="5"/>
  <c r="B493" i="5" s="1"/>
  <c r="E493" i="5"/>
  <c r="C493" i="5" s="1"/>
  <c r="A493" i="5"/>
  <c r="E492" i="5"/>
  <c r="G492" i="5" s="1"/>
  <c r="C492" i="5"/>
  <c r="G491" i="5"/>
  <c r="F491" i="5"/>
  <c r="B491" i="5" s="1"/>
  <c r="E491" i="5"/>
  <c r="C491" i="5" s="1"/>
  <c r="A491" i="5"/>
  <c r="E490" i="5"/>
  <c r="G490" i="5" s="1"/>
  <c r="C490" i="5"/>
  <c r="G489" i="5"/>
  <c r="F489" i="5"/>
  <c r="B489" i="5" s="1"/>
  <c r="E489" i="5"/>
  <c r="C489" i="5" s="1"/>
  <c r="A489" i="5"/>
  <c r="E488" i="5"/>
  <c r="G488" i="5" s="1"/>
  <c r="C488" i="5"/>
  <c r="G487" i="5"/>
  <c r="F487" i="5"/>
  <c r="B487" i="5" s="1"/>
  <c r="E487" i="5"/>
  <c r="C487" i="5" s="1"/>
  <c r="A487" i="5"/>
  <c r="E486" i="5"/>
  <c r="G486" i="5" s="1"/>
  <c r="C486" i="5"/>
  <c r="G485" i="5"/>
  <c r="F485" i="5"/>
  <c r="B485" i="5" s="1"/>
  <c r="E485" i="5"/>
  <c r="C485" i="5" s="1"/>
  <c r="A485" i="5"/>
  <c r="E484" i="5"/>
  <c r="C484" i="5" s="1"/>
  <c r="G483" i="5"/>
  <c r="F483" i="5"/>
  <c r="B483" i="5" s="1"/>
  <c r="E483" i="5"/>
  <c r="C483" i="5" s="1"/>
  <c r="A483" i="5"/>
  <c r="E482" i="5"/>
  <c r="C482" i="5"/>
  <c r="G481" i="5"/>
  <c r="F481" i="5"/>
  <c r="E481" i="5"/>
  <c r="C481" i="5" s="1"/>
  <c r="B481" i="5"/>
  <c r="A481" i="5"/>
  <c r="E480" i="5"/>
  <c r="G479" i="5"/>
  <c r="F479" i="5"/>
  <c r="E479" i="5"/>
  <c r="C479" i="5" s="1"/>
  <c r="B479" i="5"/>
  <c r="A479" i="5"/>
  <c r="E478" i="5"/>
  <c r="C478" i="5"/>
  <c r="G477" i="5"/>
  <c r="F477" i="5"/>
  <c r="B477" i="5" s="1"/>
  <c r="E477" i="5"/>
  <c r="C477" i="5" s="1"/>
  <c r="A477" i="5"/>
  <c r="E476" i="5"/>
  <c r="C476" i="5" s="1"/>
  <c r="G475" i="5"/>
  <c r="F475" i="5"/>
  <c r="B475" i="5" s="1"/>
  <c r="E475" i="5"/>
  <c r="C475" i="5" s="1"/>
  <c r="A475" i="5"/>
  <c r="E474" i="5"/>
  <c r="C474" i="5"/>
  <c r="G473" i="5"/>
  <c r="F473" i="5"/>
  <c r="E473" i="5"/>
  <c r="C473" i="5" s="1"/>
  <c r="B473" i="5"/>
  <c r="A473" i="5"/>
  <c r="E472" i="5"/>
  <c r="G472" i="5" s="1"/>
  <c r="C472" i="5"/>
  <c r="E471" i="5"/>
  <c r="C471" i="5" s="1"/>
  <c r="E470" i="5"/>
  <c r="C470" i="5" s="1"/>
  <c r="G469" i="5"/>
  <c r="F469" i="5"/>
  <c r="B469" i="5" s="1"/>
  <c r="E469" i="5"/>
  <c r="C469" i="5" s="1"/>
  <c r="A469" i="5"/>
  <c r="G468" i="5"/>
  <c r="E468" i="5"/>
  <c r="C468" i="5"/>
  <c r="G467" i="5"/>
  <c r="E467" i="5"/>
  <c r="C467" i="5" s="1"/>
  <c r="A467" i="5"/>
  <c r="E466" i="5"/>
  <c r="E465" i="5"/>
  <c r="C465" i="5" s="1"/>
  <c r="E464" i="5"/>
  <c r="G464" i="5" s="1"/>
  <c r="C464" i="5"/>
  <c r="E463" i="5"/>
  <c r="C463" i="5" s="1"/>
  <c r="E462" i="5"/>
  <c r="C462" i="5" s="1"/>
  <c r="G461" i="5"/>
  <c r="F461" i="5"/>
  <c r="B461" i="5" s="1"/>
  <c r="E461" i="5"/>
  <c r="C461" i="5" s="1"/>
  <c r="A461" i="5"/>
  <c r="G460" i="5"/>
  <c r="E460" i="5"/>
  <c r="C460" i="5"/>
  <c r="G459" i="5"/>
  <c r="E459" i="5"/>
  <c r="C459" i="5" s="1"/>
  <c r="A459" i="5"/>
  <c r="E458" i="5"/>
  <c r="C458" i="5"/>
  <c r="E457" i="5"/>
  <c r="C457" i="5" s="1"/>
  <c r="E456" i="5"/>
  <c r="G456" i="5" s="1"/>
  <c r="C456" i="5"/>
  <c r="E455" i="5"/>
  <c r="C455" i="5" s="1"/>
  <c r="E454" i="5"/>
  <c r="C454" i="5" s="1"/>
  <c r="G453" i="5"/>
  <c r="F453" i="5"/>
  <c r="B453" i="5" s="1"/>
  <c r="E453" i="5"/>
  <c r="C453" i="5" s="1"/>
  <c r="A453" i="5"/>
  <c r="G452" i="5"/>
  <c r="E452" i="5"/>
  <c r="C452" i="5"/>
  <c r="G451" i="5"/>
  <c r="E451" i="5"/>
  <c r="C451" i="5" s="1"/>
  <c r="A451" i="5"/>
  <c r="E450" i="5"/>
  <c r="C450" i="5"/>
  <c r="E449" i="5"/>
  <c r="C449" i="5" s="1"/>
  <c r="E448" i="5"/>
  <c r="G448" i="5" s="1"/>
  <c r="C448" i="5"/>
  <c r="E447" i="5"/>
  <c r="C447" i="5" s="1"/>
  <c r="E446" i="5"/>
  <c r="C446" i="5" s="1"/>
  <c r="G445" i="5"/>
  <c r="F445" i="5"/>
  <c r="B445" i="5" s="1"/>
  <c r="E445" i="5"/>
  <c r="C445" i="5" s="1"/>
  <c r="A445" i="5"/>
  <c r="G444" i="5"/>
  <c r="E444" i="5"/>
  <c r="F444" i="5" s="1"/>
  <c r="C444" i="5"/>
  <c r="B444" i="5"/>
  <c r="A444" i="5"/>
  <c r="E443" i="5"/>
  <c r="G443" i="5" s="1"/>
  <c r="C443" i="5"/>
  <c r="G442" i="5"/>
  <c r="F442" i="5"/>
  <c r="B442" i="5" s="1"/>
  <c r="E442" i="5"/>
  <c r="C442" i="5"/>
  <c r="A442" i="5"/>
  <c r="E441" i="5"/>
  <c r="G441" i="5" s="1"/>
  <c r="C441" i="5"/>
  <c r="G440" i="5"/>
  <c r="F440" i="5"/>
  <c r="B440" i="5" s="1"/>
  <c r="E440" i="5"/>
  <c r="C440" i="5"/>
  <c r="A440" i="5"/>
  <c r="E439" i="5"/>
  <c r="G439" i="5" s="1"/>
  <c r="C439" i="5"/>
  <c r="G438" i="5"/>
  <c r="F438" i="5"/>
  <c r="B438" i="5" s="1"/>
  <c r="E438" i="5"/>
  <c r="C438" i="5"/>
  <c r="A438" i="5"/>
  <c r="E437" i="5"/>
  <c r="G437" i="5" s="1"/>
  <c r="C437" i="5"/>
  <c r="G436" i="5"/>
  <c r="F436" i="5"/>
  <c r="B436" i="5" s="1"/>
  <c r="E436" i="5"/>
  <c r="C436" i="5"/>
  <c r="A436" i="5"/>
  <c r="E435" i="5"/>
  <c r="G435" i="5" s="1"/>
  <c r="C435" i="5"/>
  <c r="G434" i="5"/>
  <c r="F434" i="5"/>
  <c r="B434" i="5" s="1"/>
  <c r="E434" i="5"/>
  <c r="C434" i="5"/>
  <c r="A434" i="5"/>
  <c r="E433" i="5"/>
  <c r="G433" i="5" s="1"/>
  <c r="C433" i="5"/>
  <c r="G432" i="5"/>
  <c r="F432" i="5"/>
  <c r="B432" i="5" s="1"/>
  <c r="E432" i="5"/>
  <c r="C432" i="5"/>
  <c r="A432" i="5"/>
  <c r="E431" i="5"/>
  <c r="G431" i="5" s="1"/>
  <c r="C431" i="5"/>
  <c r="G430" i="5"/>
  <c r="F430" i="5"/>
  <c r="B430" i="5" s="1"/>
  <c r="E430" i="5"/>
  <c r="C430" i="5"/>
  <c r="A430" i="5"/>
  <c r="E429" i="5"/>
  <c r="G429" i="5" s="1"/>
  <c r="C429" i="5"/>
  <c r="G428" i="5"/>
  <c r="F428" i="5"/>
  <c r="B428" i="5" s="1"/>
  <c r="E428" i="5"/>
  <c r="C428" i="5"/>
  <c r="A428" i="5"/>
  <c r="E427" i="5"/>
  <c r="G427" i="5" s="1"/>
  <c r="C427" i="5"/>
  <c r="G426" i="5"/>
  <c r="F426" i="5"/>
  <c r="B426" i="5" s="1"/>
  <c r="E426" i="5"/>
  <c r="C426" i="5"/>
  <c r="A426" i="5"/>
  <c r="E425" i="5"/>
  <c r="G425" i="5" s="1"/>
  <c r="C425" i="5"/>
  <c r="G424" i="5"/>
  <c r="F424" i="5"/>
  <c r="B424" i="5" s="1"/>
  <c r="E424" i="5"/>
  <c r="C424" i="5"/>
  <c r="A424" i="5"/>
  <c r="E423" i="5"/>
  <c r="C423" i="5"/>
  <c r="G422" i="5"/>
  <c r="F422" i="5"/>
  <c r="E422" i="5"/>
  <c r="C422" i="5"/>
  <c r="B422" i="5"/>
  <c r="A422" i="5"/>
  <c r="E421" i="5"/>
  <c r="C421" i="5"/>
  <c r="G420" i="5"/>
  <c r="F420" i="5"/>
  <c r="E420" i="5"/>
  <c r="C420" i="5"/>
  <c r="B420" i="5"/>
  <c r="A420" i="5"/>
  <c r="E419" i="5"/>
  <c r="C419" i="5"/>
  <c r="G418" i="5"/>
  <c r="F418" i="5"/>
  <c r="E418" i="5"/>
  <c r="C418" i="5"/>
  <c r="B418" i="5"/>
  <c r="A418" i="5"/>
  <c r="E417" i="5"/>
  <c r="C417" i="5"/>
  <c r="G416" i="5"/>
  <c r="F416" i="5"/>
  <c r="E416" i="5"/>
  <c r="C416" i="5"/>
  <c r="B416" i="5"/>
  <c r="A416" i="5"/>
  <c r="E415" i="5"/>
  <c r="C415" i="5"/>
  <c r="G414" i="5"/>
  <c r="F414" i="5"/>
  <c r="E414" i="5"/>
  <c r="C414" i="5"/>
  <c r="B414" i="5"/>
  <c r="A414" i="5"/>
  <c r="E413" i="5"/>
  <c r="C413" i="5"/>
  <c r="G412" i="5"/>
  <c r="F412" i="5"/>
  <c r="E412" i="5"/>
  <c r="C412" i="5"/>
  <c r="B412" i="5"/>
  <c r="A412" i="5"/>
  <c r="E411" i="5"/>
  <c r="C411" i="5"/>
  <c r="G410" i="5"/>
  <c r="F410" i="5"/>
  <c r="E410" i="5"/>
  <c r="C410" i="5"/>
  <c r="B410" i="5"/>
  <c r="A410" i="5"/>
  <c r="E409" i="5"/>
  <c r="C409" i="5"/>
  <c r="G408" i="5"/>
  <c r="F408" i="5"/>
  <c r="E408" i="5"/>
  <c r="C408" i="5"/>
  <c r="B408" i="5"/>
  <c r="A408" i="5"/>
  <c r="E407" i="5"/>
  <c r="C407" i="5"/>
  <c r="G406" i="5"/>
  <c r="F406" i="5"/>
  <c r="E406" i="5"/>
  <c r="C406" i="5"/>
  <c r="B406" i="5"/>
  <c r="A406" i="5"/>
  <c r="E405" i="5"/>
  <c r="C405" i="5"/>
  <c r="G404" i="5"/>
  <c r="F404" i="5"/>
  <c r="E404" i="5"/>
  <c r="C404" i="5"/>
  <c r="B404" i="5"/>
  <c r="A404" i="5"/>
  <c r="E403" i="5"/>
  <c r="C403" i="5"/>
  <c r="G402" i="5"/>
  <c r="F402" i="5"/>
  <c r="E402" i="5"/>
  <c r="C402" i="5"/>
  <c r="B402" i="5"/>
  <c r="A402" i="5"/>
  <c r="E401" i="5"/>
  <c r="C401" i="5"/>
  <c r="G400" i="5"/>
  <c r="F400" i="5"/>
  <c r="E400" i="5"/>
  <c r="C400" i="5"/>
  <c r="B400" i="5"/>
  <c r="A400" i="5"/>
  <c r="E399" i="5"/>
  <c r="C399" i="5"/>
  <c r="G398" i="5"/>
  <c r="F398" i="5"/>
  <c r="E398" i="5"/>
  <c r="C398" i="5"/>
  <c r="B398" i="5"/>
  <c r="A398" i="5"/>
  <c r="E397" i="5"/>
  <c r="C397" i="5"/>
  <c r="G396" i="5"/>
  <c r="F396" i="5"/>
  <c r="E396" i="5"/>
  <c r="C396" i="5"/>
  <c r="B396" i="5"/>
  <c r="A396" i="5"/>
  <c r="E395" i="5"/>
  <c r="C395" i="5"/>
  <c r="G394" i="5"/>
  <c r="F394" i="5"/>
  <c r="E394" i="5"/>
  <c r="C394" i="5"/>
  <c r="B394" i="5"/>
  <c r="A394" i="5"/>
  <c r="E393" i="5"/>
  <c r="C393" i="5"/>
  <c r="A393" i="5"/>
  <c r="G392" i="5"/>
  <c r="F392" i="5"/>
  <c r="E392" i="5"/>
  <c r="C392" i="5"/>
  <c r="B392" i="5"/>
  <c r="A392" i="5"/>
  <c r="E391" i="5"/>
  <c r="G391" i="5" s="1"/>
  <c r="G390" i="5"/>
  <c r="F390" i="5"/>
  <c r="B390" i="5" s="1"/>
  <c r="E390" i="5"/>
  <c r="C390" i="5"/>
  <c r="A390" i="5"/>
  <c r="F389" i="5"/>
  <c r="B389" i="5" s="1"/>
  <c r="E389" i="5"/>
  <c r="G389" i="5" s="1"/>
  <c r="C389" i="5"/>
  <c r="A389" i="5"/>
  <c r="E388" i="5"/>
  <c r="G388" i="5" s="1"/>
  <c r="C388" i="5"/>
  <c r="G387" i="5"/>
  <c r="F387" i="5"/>
  <c r="B387" i="5" s="1"/>
  <c r="E387" i="5"/>
  <c r="C387" i="5" s="1"/>
  <c r="A387" i="5"/>
  <c r="E386" i="5"/>
  <c r="G386" i="5" s="1"/>
  <c r="C386" i="5"/>
  <c r="G385" i="5"/>
  <c r="F385" i="5"/>
  <c r="B385" i="5" s="1"/>
  <c r="E385" i="5"/>
  <c r="C385" i="5" s="1"/>
  <c r="A385" i="5"/>
  <c r="E384" i="5"/>
  <c r="G384" i="5" s="1"/>
  <c r="C384" i="5"/>
  <c r="G383" i="5"/>
  <c r="F383" i="5"/>
  <c r="B383" i="5" s="1"/>
  <c r="E383" i="5"/>
  <c r="C383" i="5" s="1"/>
  <c r="A383" i="5"/>
  <c r="E382" i="5"/>
  <c r="G382" i="5" s="1"/>
  <c r="C382" i="5"/>
  <c r="G381" i="5"/>
  <c r="F381" i="5"/>
  <c r="B381" i="5" s="1"/>
  <c r="E381" i="5"/>
  <c r="C381" i="5" s="1"/>
  <c r="A381" i="5"/>
  <c r="E380" i="5"/>
  <c r="G380" i="5" s="1"/>
  <c r="C380" i="5"/>
  <c r="G379" i="5"/>
  <c r="F379" i="5"/>
  <c r="B379" i="5" s="1"/>
  <c r="E379" i="5"/>
  <c r="C379" i="5" s="1"/>
  <c r="A379" i="5"/>
  <c r="E378" i="5"/>
  <c r="G378" i="5" s="1"/>
  <c r="C378" i="5"/>
  <c r="G377" i="5"/>
  <c r="F377" i="5"/>
  <c r="B377" i="5" s="1"/>
  <c r="E377" i="5"/>
  <c r="C377" i="5" s="1"/>
  <c r="A377" i="5"/>
  <c r="E376" i="5"/>
  <c r="G376" i="5" s="1"/>
  <c r="C376" i="5"/>
  <c r="G375" i="5"/>
  <c r="F375" i="5"/>
  <c r="B375" i="5" s="1"/>
  <c r="E375" i="5"/>
  <c r="C375" i="5" s="1"/>
  <c r="A375" i="5"/>
  <c r="E374" i="5"/>
  <c r="G374" i="5" s="1"/>
  <c r="C374" i="5"/>
  <c r="G373" i="5"/>
  <c r="F373" i="5"/>
  <c r="B373" i="5" s="1"/>
  <c r="E373" i="5"/>
  <c r="C373" i="5" s="1"/>
  <c r="A373" i="5"/>
  <c r="E372" i="5"/>
  <c r="G372" i="5" s="1"/>
  <c r="C372" i="5"/>
  <c r="G371" i="5"/>
  <c r="F371" i="5"/>
  <c r="B371" i="5" s="1"/>
  <c r="E371" i="5"/>
  <c r="C371" i="5" s="1"/>
  <c r="A371" i="5"/>
  <c r="E370" i="5"/>
  <c r="G370" i="5" s="1"/>
  <c r="C370" i="5"/>
  <c r="G369" i="5"/>
  <c r="F369" i="5"/>
  <c r="B369" i="5" s="1"/>
  <c r="E369" i="5"/>
  <c r="C369" i="5" s="1"/>
  <c r="A369" i="5"/>
  <c r="E368" i="5"/>
  <c r="G368" i="5" s="1"/>
  <c r="C368" i="5"/>
  <c r="G367" i="5"/>
  <c r="F367" i="5"/>
  <c r="B367" i="5" s="1"/>
  <c r="E367" i="5"/>
  <c r="C367" i="5" s="1"/>
  <c r="A367" i="5"/>
  <c r="E366" i="5"/>
  <c r="G366" i="5" s="1"/>
  <c r="C366" i="5"/>
  <c r="G365" i="5"/>
  <c r="F365" i="5"/>
  <c r="B365" i="5" s="1"/>
  <c r="E365" i="5"/>
  <c r="C365" i="5" s="1"/>
  <c r="A365" i="5"/>
  <c r="E364" i="5"/>
  <c r="G364" i="5" s="1"/>
  <c r="C364" i="5"/>
  <c r="G363" i="5"/>
  <c r="F363" i="5"/>
  <c r="B363" i="5" s="1"/>
  <c r="E363" i="5"/>
  <c r="C363" i="5" s="1"/>
  <c r="A363" i="5"/>
  <c r="E362" i="5"/>
  <c r="G362" i="5" s="1"/>
  <c r="C362" i="5"/>
  <c r="G361" i="5"/>
  <c r="F361" i="5"/>
  <c r="B361" i="5" s="1"/>
  <c r="E361" i="5"/>
  <c r="C361" i="5" s="1"/>
  <c r="A361" i="5"/>
  <c r="E360" i="5"/>
  <c r="G360" i="5" s="1"/>
  <c r="C360" i="5"/>
  <c r="G359" i="5"/>
  <c r="F359" i="5"/>
  <c r="B359" i="5" s="1"/>
  <c r="E359" i="5"/>
  <c r="C359" i="5" s="1"/>
  <c r="A359" i="5"/>
  <c r="E358" i="5"/>
  <c r="G358" i="5" s="1"/>
  <c r="C358" i="5"/>
  <c r="G357" i="5"/>
  <c r="F357" i="5"/>
  <c r="B357" i="5" s="1"/>
  <c r="E357" i="5"/>
  <c r="C357" i="5" s="1"/>
  <c r="A357" i="5"/>
  <c r="E356" i="5"/>
  <c r="G356" i="5" s="1"/>
  <c r="C356" i="5"/>
  <c r="G355" i="5"/>
  <c r="F355" i="5"/>
  <c r="B355" i="5" s="1"/>
  <c r="E355" i="5"/>
  <c r="C355" i="5" s="1"/>
  <c r="A355" i="5"/>
  <c r="E354" i="5"/>
  <c r="G353" i="5"/>
  <c r="F353" i="5"/>
  <c r="B353" i="5" s="1"/>
  <c r="E353" i="5"/>
  <c r="C353" i="5" s="1"/>
  <c r="A353" i="5"/>
  <c r="E352" i="5"/>
  <c r="C352" i="5"/>
  <c r="G351" i="5"/>
  <c r="F351" i="5"/>
  <c r="E351" i="5"/>
  <c r="C351" i="5" s="1"/>
  <c r="B351" i="5"/>
  <c r="A351" i="5"/>
  <c r="E350" i="5"/>
  <c r="C350" i="5"/>
  <c r="G349" i="5"/>
  <c r="F349" i="5"/>
  <c r="E349" i="5"/>
  <c r="C349" i="5" s="1"/>
  <c r="B349" i="5"/>
  <c r="A349" i="5"/>
  <c r="E348" i="5"/>
  <c r="C348" i="5"/>
  <c r="G347" i="5"/>
  <c r="F347" i="5"/>
  <c r="B347" i="5" s="1"/>
  <c r="E347" i="5"/>
  <c r="C347" i="5" s="1"/>
  <c r="A347" i="5"/>
  <c r="E346" i="5"/>
  <c r="G345" i="5"/>
  <c r="F345" i="5"/>
  <c r="B345" i="5" s="1"/>
  <c r="E345" i="5"/>
  <c r="C345" i="5" s="1"/>
  <c r="A345" i="5"/>
  <c r="E344" i="5"/>
  <c r="C344" i="5"/>
  <c r="G343" i="5"/>
  <c r="F343" i="5"/>
  <c r="E343" i="5"/>
  <c r="C343" i="5" s="1"/>
  <c r="B343" i="5"/>
  <c r="A343" i="5"/>
  <c r="E342" i="5"/>
  <c r="C342" i="5"/>
  <c r="G341" i="5"/>
  <c r="F341" i="5"/>
  <c r="E341" i="5"/>
  <c r="C341" i="5" s="1"/>
  <c r="B341" i="5"/>
  <c r="A341" i="5"/>
  <c r="E340" i="5"/>
  <c r="C340" i="5"/>
  <c r="G339" i="5"/>
  <c r="F339" i="5"/>
  <c r="B339" i="5" s="1"/>
  <c r="E339" i="5"/>
  <c r="C339" i="5" s="1"/>
  <c r="A339" i="5"/>
  <c r="E338" i="5"/>
  <c r="G337" i="5"/>
  <c r="F337" i="5"/>
  <c r="B337" i="5" s="1"/>
  <c r="E337" i="5"/>
  <c r="C337" i="5" s="1"/>
  <c r="A337" i="5"/>
  <c r="E336" i="5"/>
  <c r="C336" i="5"/>
  <c r="G335" i="5"/>
  <c r="F335" i="5"/>
  <c r="E335" i="5"/>
  <c r="C335" i="5" s="1"/>
  <c r="B335" i="5"/>
  <c r="A335" i="5"/>
  <c r="E334" i="5"/>
  <c r="C334" i="5"/>
  <c r="G333" i="5"/>
  <c r="F333" i="5"/>
  <c r="E333" i="5"/>
  <c r="C333" i="5" s="1"/>
  <c r="B333" i="5"/>
  <c r="A333" i="5"/>
  <c r="E332" i="5"/>
  <c r="C332" i="5"/>
  <c r="G331" i="5"/>
  <c r="F331" i="5"/>
  <c r="B331" i="5" s="1"/>
  <c r="E331" i="5"/>
  <c r="C331" i="5" s="1"/>
  <c r="A331" i="5"/>
  <c r="E330" i="5"/>
  <c r="G329" i="5"/>
  <c r="F329" i="5"/>
  <c r="B329" i="5" s="1"/>
  <c r="E329" i="5"/>
  <c r="C329" i="5" s="1"/>
  <c r="A329" i="5"/>
  <c r="E328" i="5"/>
  <c r="C328" i="5" s="1"/>
  <c r="G327" i="5"/>
  <c r="F327" i="5"/>
  <c r="E327" i="5"/>
  <c r="C327" i="5" s="1"/>
  <c r="B327" i="5"/>
  <c r="A327" i="5"/>
  <c r="E326" i="5"/>
  <c r="C326" i="5"/>
  <c r="G325" i="5"/>
  <c r="F325" i="5"/>
  <c r="E325" i="5"/>
  <c r="C325" i="5" s="1"/>
  <c r="B325" i="5"/>
  <c r="A325" i="5"/>
  <c r="E324" i="5"/>
  <c r="C324" i="5"/>
  <c r="G323" i="5"/>
  <c r="F323" i="5"/>
  <c r="B323" i="5" s="1"/>
  <c r="E323" i="5"/>
  <c r="C323" i="5" s="1"/>
  <c r="A323" i="5"/>
  <c r="E322" i="5"/>
  <c r="G321" i="5"/>
  <c r="F321" i="5"/>
  <c r="B321" i="5" s="1"/>
  <c r="E321" i="5"/>
  <c r="C321" i="5" s="1"/>
  <c r="A321" i="5"/>
  <c r="E320" i="5"/>
  <c r="G319" i="5"/>
  <c r="F319" i="5"/>
  <c r="B319" i="5" s="1"/>
  <c r="E319" i="5"/>
  <c r="C319" i="5" s="1"/>
  <c r="A319" i="5"/>
  <c r="G318" i="5"/>
  <c r="E318" i="5"/>
  <c r="C318" i="5" s="1"/>
  <c r="G317" i="5"/>
  <c r="F317" i="5"/>
  <c r="E317" i="5"/>
  <c r="C317" i="5" s="1"/>
  <c r="B317" i="5"/>
  <c r="A317" i="5"/>
  <c r="E316" i="5"/>
  <c r="C316" i="5"/>
  <c r="E315" i="5"/>
  <c r="C315" i="5" s="1"/>
  <c r="E314" i="5"/>
  <c r="C314" i="5" s="1"/>
  <c r="F313" i="5"/>
  <c r="B313" i="5" s="1"/>
  <c r="E313" i="5"/>
  <c r="C313" i="5" s="1"/>
  <c r="G312" i="5"/>
  <c r="E312" i="5"/>
  <c r="G311" i="5"/>
  <c r="F311" i="5"/>
  <c r="B311" i="5" s="1"/>
  <c r="E311" i="5"/>
  <c r="C311" i="5" s="1"/>
  <c r="A311" i="5"/>
  <c r="G310" i="5"/>
  <c r="E310" i="5"/>
  <c r="C310" i="5" s="1"/>
  <c r="G309" i="5"/>
  <c r="F309" i="5"/>
  <c r="E309" i="5"/>
  <c r="C309" i="5" s="1"/>
  <c r="B309" i="5"/>
  <c r="A309" i="5"/>
  <c r="G308" i="5"/>
  <c r="E308" i="5"/>
  <c r="C308" i="5"/>
  <c r="E307" i="5"/>
  <c r="C307" i="5" s="1"/>
  <c r="E306" i="5"/>
  <c r="C306" i="5" s="1"/>
  <c r="F305" i="5"/>
  <c r="B305" i="5" s="1"/>
  <c r="E305" i="5"/>
  <c r="C305" i="5" s="1"/>
  <c r="G304" i="5"/>
  <c r="E304" i="5"/>
  <c r="G303" i="5"/>
  <c r="F303" i="5"/>
  <c r="B303" i="5" s="1"/>
  <c r="E303" i="5"/>
  <c r="C303" i="5" s="1"/>
  <c r="A303" i="5"/>
  <c r="G302" i="5"/>
  <c r="E302" i="5"/>
  <c r="C302" i="5" s="1"/>
  <c r="G301" i="5"/>
  <c r="F301" i="5"/>
  <c r="E301" i="5"/>
  <c r="C301" i="5" s="1"/>
  <c r="B301" i="5"/>
  <c r="A301" i="5"/>
  <c r="G300" i="5"/>
  <c r="E300" i="5"/>
  <c r="C300" i="5"/>
  <c r="E299" i="5"/>
  <c r="C299" i="5" s="1"/>
  <c r="E298" i="5"/>
  <c r="C298" i="5" s="1"/>
  <c r="F297" i="5"/>
  <c r="B297" i="5" s="1"/>
  <c r="E297" i="5"/>
  <c r="C297" i="5" s="1"/>
  <c r="G296" i="5"/>
  <c r="E296" i="5"/>
  <c r="G295" i="5"/>
  <c r="F295" i="5"/>
  <c r="B295" i="5" s="1"/>
  <c r="E295" i="5"/>
  <c r="C295" i="5" s="1"/>
  <c r="A295" i="5"/>
  <c r="G294" i="5"/>
  <c r="E294" i="5"/>
  <c r="C294" i="5" s="1"/>
  <c r="G293" i="5"/>
  <c r="F293" i="5"/>
  <c r="E293" i="5"/>
  <c r="C293" i="5" s="1"/>
  <c r="B293" i="5"/>
  <c r="A293" i="5"/>
  <c r="G292" i="5"/>
  <c r="E292" i="5"/>
  <c r="C292" i="5"/>
  <c r="E291" i="5"/>
  <c r="C291" i="5" s="1"/>
  <c r="E290" i="5"/>
  <c r="C290" i="5" s="1"/>
  <c r="F289" i="5"/>
  <c r="B289" i="5" s="1"/>
  <c r="E289" i="5"/>
  <c r="C289" i="5" s="1"/>
  <c r="G288" i="5"/>
  <c r="E288" i="5"/>
  <c r="G287" i="5"/>
  <c r="F287" i="5"/>
  <c r="B287" i="5" s="1"/>
  <c r="E287" i="5"/>
  <c r="C287" i="5" s="1"/>
  <c r="A287" i="5"/>
  <c r="G286" i="5"/>
  <c r="E286" i="5"/>
  <c r="C286" i="5" s="1"/>
  <c r="G285" i="5"/>
  <c r="F285" i="5"/>
  <c r="E285" i="5"/>
  <c r="C285" i="5" s="1"/>
  <c r="B285" i="5"/>
  <c r="A285" i="5"/>
  <c r="G284" i="5"/>
  <c r="E284" i="5"/>
  <c r="C284" i="5"/>
  <c r="E283" i="5"/>
  <c r="E282" i="5"/>
  <c r="F281" i="5"/>
  <c r="B281" i="5" s="1"/>
  <c r="E281" i="5"/>
  <c r="C281" i="5" s="1"/>
  <c r="G280" i="5"/>
  <c r="E280" i="5"/>
  <c r="G279" i="5"/>
  <c r="F279" i="5"/>
  <c r="E279" i="5"/>
  <c r="C279" i="5" s="1"/>
  <c r="B279" i="5"/>
  <c r="A279" i="5"/>
  <c r="E278" i="5"/>
  <c r="C278" i="5"/>
  <c r="G277" i="5"/>
  <c r="F277" i="5"/>
  <c r="E277" i="5"/>
  <c r="C277" i="5" s="1"/>
  <c r="B277" i="5"/>
  <c r="A277" i="5"/>
  <c r="E276" i="5"/>
  <c r="C276" i="5"/>
  <c r="G275" i="5"/>
  <c r="F275" i="5"/>
  <c r="B275" i="5" s="1"/>
  <c r="E275" i="5"/>
  <c r="C275" i="5" s="1"/>
  <c r="A275" i="5"/>
  <c r="E274" i="5"/>
  <c r="C274" i="5" s="1"/>
  <c r="G273" i="5"/>
  <c r="F273" i="5"/>
  <c r="B273" i="5" s="1"/>
  <c r="E273" i="5"/>
  <c r="C273" i="5" s="1"/>
  <c r="A273" i="5"/>
  <c r="E272" i="5"/>
  <c r="C272" i="5" s="1"/>
  <c r="G271" i="5"/>
  <c r="F271" i="5"/>
  <c r="E271" i="5"/>
  <c r="C271" i="5" s="1"/>
  <c r="B271" i="5"/>
  <c r="A271" i="5"/>
  <c r="E270" i="5"/>
  <c r="C270" i="5"/>
  <c r="G269" i="5"/>
  <c r="F269" i="5"/>
  <c r="E269" i="5"/>
  <c r="C269" i="5" s="1"/>
  <c r="B269" i="5"/>
  <c r="A269" i="5"/>
  <c r="E268" i="5"/>
  <c r="C268" i="5"/>
  <c r="G267" i="5"/>
  <c r="F267" i="5"/>
  <c r="B267" i="5" s="1"/>
  <c r="E267" i="5"/>
  <c r="C267" i="5" s="1"/>
  <c r="A267" i="5"/>
  <c r="E266" i="5"/>
  <c r="C266" i="5" s="1"/>
  <c r="G265" i="5"/>
  <c r="F265" i="5"/>
  <c r="B265" i="5" s="1"/>
  <c r="E265" i="5"/>
  <c r="C265" i="5" s="1"/>
  <c r="A265" i="5"/>
  <c r="E264" i="5"/>
  <c r="C264" i="5" s="1"/>
  <c r="G263" i="5"/>
  <c r="F263" i="5"/>
  <c r="E263" i="5"/>
  <c r="C263" i="5" s="1"/>
  <c r="B263" i="5"/>
  <c r="A263" i="5"/>
  <c r="E262" i="5"/>
  <c r="C262" i="5"/>
  <c r="G261" i="5"/>
  <c r="F261" i="5"/>
  <c r="E261" i="5"/>
  <c r="C261" i="5" s="1"/>
  <c r="B261" i="5"/>
  <c r="A261" i="5"/>
  <c r="E260" i="5"/>
  <c r="C260" i="5"/>
  <c r="G259" i="5"/>
  <c r="F259" i="5"/>
  <c r="B259" i="5" s="1"/>
  <c r="E259" i="5"/>
  <c r="C259" i="5" s="1"/>
  <c r="A259" i="5"/>
  <c r="E258" i="5"/>
  <c r="C258" i="5" s="1"/>
  <c r="G257" i="5"/>
  <c r="F257" i="5"/>
  <c r="B257" i="5" s="1"/>
  <c r="E257" i="5"/>
  <c r="C257" i="5" s="1"/>
  <c r="A257" i="5"/>
  <c r="E256" i="5"/>
  <c r="C256" i="5" s="1"/>
  <c r="G255" i="5"/>
  <c r="F255" i="5"/>
  <c r="E255" i="5"/>
  <c r="C255" i="5" s="1"/>
  <c r="B255" i="5"/>
  <c r="A255" i="5"/>
  <c r="E254" i="5"/>
  <c r="C254" i="5"/>
  <c r="G253" i="5"/>
  <c r="F253" i="5"/>
  <c r="E253" i="5"/>
  <c r="C253" i="5" s="1"/>
  <c r="B253" i="5"/>
  <c r="A253" i="5"/>
  <c r="E252" i="5"/>
  <c r="C252" i="5"/>
  <c r="G251" i="5"/>
  <c r="F251" i="5"/>
  <c r="B251" i="5" s="1"/>
  <c r="E251" i="5"/>
  <c r="C251" i="5" s="1"/>
  <c r="A251" i="5"/>
  <c r="E250" i="5"/>
  <c r="C250" i="5" s="1"/>
  <c r="G249" i="5"/>
  <c r="F249" i="5"/>
  <c r="B249" i="5" s="1"/>
  <c r="E249" i="5"/>
  <c r="C249" i="5" s="1"/>
  <c r="A249" i="5"/>
  <c r="E248" i="5"/>
  <c r="C248" i="5" s="1"/>
  <c r="G247" i="5"/>
  <c r="F247" i="5"/>
  <c r="E247" i="5"/>
  <c r="C247" i="5" s="1"/>
  <c r="B247" i="5"/>
  <c r="A247" i="5"/>
  <c r="E246" i="5"/>
  <c r="C246" i="5"/>
  <c r="G245" i="5"/>
  <c r="F245" i="5"/>
  <c r="E245" i="5"/>
  <c r="C245" i="5" s="1"/>
  <c r="B245" i="5"/>
  <c r="A245" i="5"/>
  <c r="E244" i="5"/>
  <c r="C244" i="5"/>
  <c r="G243" i="5"/>
  <c r="F243" i="5"/>
  <c r="B243" i="5" s="1"/>
  <c r="E243" i="5"/>
  <c r="C243" i="5" s="1"/>
  <c r="A243" i="5"/>
  <c r="E242" i="5"/>
  <c r="C242" i="5" s="1"/>
  <c r="G241" i="5"/>
  <c r="F241" i="5"/>
  <c r="B241" i="5" s="1"/>
  <c r="E241" i="5"/>
  <c r="C241" i="5" s="1"/>
  <c r="A241" i="5"/>
  <c r="E240" i="5"/>
  <c r="C240" i="5" s="1"/>
  <c r="G239" i="5"/>
  <c r="F239" i="5"/>
  <c r="E239" i="5"/>
  <c r="C239" i="5" s="1"/>
  <c r="B239" i="5"/>
  <c r="A239" i="5"/>
  <c r="E238" i="5"/>
  <c r="C238" i="5"/>
  <c r="G237" i="5"/>
  <c r="F237" i="5"/>
  <c r="E237" i="5"/>
  <c r="C237" i="5" s="1"/>
  <c r="B237" i="5"/>
  <c r="A237" i="5"/>
  <c r="E236" i="5"/>
  <c r="C236" i="5"/>
  <c r="G235" i="5"/>
  <c r="F235" i="5"/>
  <c r="B235" i="5" s="1"/>
  <c r="E235" i="5"/>
  <c r="C235" i="5" s="1"/>
  <c r="A235" i="5"/>
  <c r="E234" i="5"/>
  <c r="C234" i="5" s="1"/>
  <c r="G233" i="5"/>
  <c r="F233" i="5"/>
  <c r="B233" i="5" s="1"/>
  <c r="E233" i="5"/>
  <c r="C233" i="5" s="1"/>
  <c r="A233" i="5"/>
  <c r="G232" i="5"/>
  <c r="E232" i="5"/>
  <c r="C232" i="5" s="1"/>
  <c r="G231" i="5"/>
  <c r="E231" i="5"/>
  <c r="C231" i="5" s="1"/>
  <c r="A231" i="5"/>
  <c r="E230" i="5"/>
  <c r="C230" i="5"/>
  <c r="E229" i="5"/>
  <c r="C229" i="5" s="1"/>
  <c r="E228" i="5"/>
  <c r="C228" i="5" s="1"/>
  <c r="F227" i="5"/>
  <c r="B227" i="5" s="1"/>
  <c r="E227" i="5"/>
  <c r="C227" i="5" s="1"/>
  <c r="G226" i="5"/>
  <c r="E226" i="5"/>
  <c r="C226" i="5" s="1"/>
  <c r="G225" i="5"/>
  <c r="F225" i="5"/>
  <c r="B225" i="5" s="1"/>
  <c r="E225" i="5"/>
  <c r="C225" i="5" s="1"/>
  <c r="A225" i="5"/>
  <c r="G224" i="5"/>
  <c r="E224" i="5"/>
  <c r="C224" i="5" s="1"/>
  <c r="G223" i="5"/>
  <c r="F223" i="5"/>
  <c r="E223" i="5"/>
  <c r="C223" i="5" s="1"/>
  <c r="B223" i="5"/>
  <c r="A223" i="5"/>
  <c r="E222" i="5"/>
  <c r="C222" i="5"/>
  <c r="E221" i="5"/>
  <c r="C221" i="5" s="1"/>
  <c r="E220" i="5"/>
  <c r="C220" i="5" s="1"/>
  <c r="F219" i="5"/>
  <c r="B219" i="5" s="1"/>
  <c r="E219" i="5"/>
  <c r="C219" i="5" s="1"/>
  <c r="G218" i="5"/>
  <c r="E218" i="5"/>
  <c r="C218" i="5" s="1"/>
  <c r="G217" i="5"/>
  <c r="F217" i="5"/>
  <c r="B217" i="5" s="1"/>
  <c r="E217" i="5"/>
  <c r="C217" i="5" s="1"/>
  <c r="A217" i="5"/>
  <c r="G216" i="5"/>
  <c r="E216" i="5"/>
  <c r="C216" i="5" s="1"/>
  <c r="G215" i="5"/>
  <c r="F215" i="5"/>
  <c r="E215" i="5"/>
  <c r="C215" i="5" s="1"/>
  <c r="B215" i="5"/>
  <c r="A215" i="5"/>
  <c r="E214" i="5"/>
  <c r="C214" i="5"/>
  <c r="E213" i="5"/>
  <c r="C213" i="5" s="1"/>
  <c r="E212" i="5"/>
  <c r="C212" i="5" s="1"/>
  <c r="F211" i="5"/>
  <c r="B211" i="5" s="1"/>
  <c r="E211" i="5"/>
  <c r="C211" i="5" s="1"/>
  <c r="G210" i="5"/>
  <c r="E210" i="5"/>
  <c r="C210" i="5" s="1"/>
  <c r="G209" i="5"/>
  <c r="F209" i="5"/>
  <c r="B209" i="5" s="1"/>
  <c r="E209" i="5"/>
  <c r="C209" i="5" s="1"/>
  <c r="A209" i="5"/>
  <c r="G208" i="5"/>
  <c r="E208" i="5"/>
  <c r="C208" i="5" s="1"/>
  <c r="G207" i="5"/>
  <c r="F207" i="5"/>
  <c r="E207" i="5"/>
  <c r="C207" i="5" s="1"/>
  <c r="B207" i="5"/>
  <c r="A207" i="5"/>
  <c r="G206" i="5"/>
  <c r="E206" i="5"/>
  <c r="C206" i="5"/>
  <c r="E205" i="5"/>
  <c r="C205" i="5" s="1"/>
  <c r="E204" i="5"/>
  <c r="F203" i="5"/>
  <c r="B203" i="5" s="1"/>
  <c r="E203" i="5"/>
  <c r="C203" i="5" s="1"/>
  <c r="G202" i="5"/>
  <c r="E202" i="5"/>
  <c r="C202" i="5" s="1"/>
  <c r="G201" i="5"/>
  <c r="F201" i="5"/>
  <c r="B201" i="5" s="1"/>
  <c r="E201" i="5"/>
  <c r="C201" i="5" s="1"/>
  <c r="A201" i="5"/>
  <c r="G200" i="5"/>
  <c r="E200" i="5"/>
  <c r="C200" i="5" s="1"/>
  <c r="G199" i="5"/>
  <c r="F199" i="5"/>
  <c r="E199" i="5"/>
  <c r="C199" i="5" s="1"/>
  <c r="B199" i="5"/>
  <c r="A199" i="5"/>
  <c r="G198" i="5"/>
  <c r="E198" i="5"/>
  <c r="C198" i="5"/>
  <c r="E197" i="5"/>
  <c r="E196" i="5"/>
  <c r="C196" i="5" s="1"/>
  <c r="E195" i="5"/>
  <c r="G194" i="5"/>
  <c r="E194" i="5"/>
  <c r="G193" i="5"/>
  <c r="F193" i="5"/>
  <c r="B193" i="5" s="1"/>
  <c r="E193" i="5"/>
  <c r="C193" i="5" s="1"/>
  <c r="A193" i="5"/>
  <c r="G192" i="5"/>
  <c r="E192" i="5"/>
  <c r="F192" i="5" s="1"/>
  <c r="B192" i="5"/>
  <c r="A192" i="5"/>
  <c r="E191" i="5"/>
  <c r="C191" i="5"/>
  <c r="G190" i="5"/>
  <c r="F190" i="5"/>
  <c r="E190" i="5"/>
  <c r="C190" i="5" s="1"/>
  <c r="B190" i="5"/>
  <c r="A190" i="5"/>
  <c r="E189" i="5"/>
  <c r="C189" i="5"/>
  <c r="G188" i="5"/>
  <c r="F188" i="5"/>
  <c r="E188" i="5"/>
  <c r="C188" i="5" s="1"/>
  <c r="B188" i="5"/>
  <c r="A188" i="5"/>
  <c r="E187" i="5"/>
  <c r="C187" i="5" s="1"/>
  <c r="G186" i="5"/>
  <c r="F186" i="5"/>
  <c r="B186" i="5" s="1"/>
  <c r="E186" i="5"/>
  <c r="C186" i="5" s="1"/>
  <c r="A186" i="5"/>
  <c r="E185" i="5"/>
  <c r="C185" i="5" s="1"/>
  <c r="G184" i="5"/>
  <c r="F184" i="5"/>
  <c r="B184" i="5" s="1"/>
  <c r="E184" i="5"/>
  <c r="C184" i="5" s="1"/>
  <c r="A184" i="5"/>
  <c r="E183" i="5"/>
  <c r="C183" i="5"/>
  <c r="G182" i="5"/>
  <c r="F182" i="5"/>
  <c r="E182" i="5"/>
  <c r="C182" i="5" s="1"/>
  <c r="B182" i="5"/>
  <c r="A182" i="5"/>
  <c r="E181" i="5"/>
  <c r="C181" i="5"/>
  <c r="G180" i="5"/>
  <c r="F180" i="5"/>
  <c r="E180" i="5"/>
  <c r="C180" i="5" s="1"/>
  <c r="B180" i="5"/>
  <c r="A180" i="5"/>
  <c r="E179" i="5"/>
  <c r="C179" i="5"/>
  <c r="E178" i="5"/>
  <c r="C178" i="5" s="1"/>
  <c r="E177" i="5"/>
  <c r="G177" i="5" s="1"/>
  <c r="C177" i="5"/>
  <c r="E176" i="5"/>
  <c r="C176" i="5" s="1"/>
  <c r="E175" i="5"/>
  <c r="C175" i="5" s="1"/>
  <c r="G174" i="5"/>
  <c r="F174" i="5"/>
  <c r="B174" i="5" s="1"/>
  <c r="E174" i="5"/>
  <c r="C174" i="5" s="1"/>
  <c r="A174" i="5"/>
  <c r="G173" i="5"/>
  <c r="E173" i="5"/>
  <c r="C173" i="5" s="1"/>
  <c r="G172" i="5"/>
  <c r="F172" i="5"/>
  <c r="E172" i="5"/>
  <c r="C172" i="5" s="1"/>
  <c r="B172" i="5"/>
  <c r="A172" i="5"/>
  <c r="G171" i="5"/>
  <c r="E171" i="5"/>
  <c r="C171" i="5"/>
  <c r="E170" i="5"/>
  <c r="C170" i="5" s="1"/>
  <c r="E169" i="5"/>
  <c r="C169" i="5" s="1"/>
  <c r="E168" i="5"/>
  <c r="C168" i="5" s="1"/>
  <c r="E167" i="5"/>
  <c r="F167" i="5" s="1"/>
  <c r="B167" i="5" s="1"/>
  <c r="G166" i="5"/>
  <c r="F166" i="5"/>
  <c r="E166" i="5"/>
  <c r="C166" i="5"/>
  <c r="B166" i="5"/>
  <c r="A166" i="5"/>
  <c r="E165" i="5"/>
  <c r="F165" i="5" s="1"/>
  <c r="B165" i="5" s="1"/>
  <c r="G164" i="5"/>
  <c r="F164" i="5"/>
  <c r="E164" i="5"/>
  <c r="C164" i="5"/>
  <c r="B164" i="5"/>
  <c r="A164" i="5"/>
  <c r="E163" i="5"/>
  <c r="F163" i="5" s="1"/>
  <c r="B163" i="5" s="1"/>
  <c r="G162" i="5"/>
  <c r="F162" i="5"/>
  <c r="E162" i="5"/>
  <c r="C162" i="5"/>
  <c r="B162" i="5"/>
  <c r="A162" i="5"/>
  <c r="E161" i="5"/>
  <c r="F161" i="5" s="1"/>
  <c r="B161" i="5" s="1"/>
  <c r="G160" i="5"/>
  <c r="F160" i="5"/>
  <c r="E160" i="5"/>
  <c r="C160" i="5"/>
  <c r="B160" i="5"/>
  <c r="A160" i="5"/>
  <c r="E159" i="5"/>
  <c r="F159" i="5" s="1"/>
  <c r="B159" i="5" s="1"/>
  <c r="G158" i="5"/>
  <c r="F158" i="5"/>
  <c r="E158" i="5"/>
  <c r="C158" i="5"/>
  <c r="B158" i="5"/>
  <c r="A158" i="5"/>
  <c r="E157" i="5"/>
  <c r="F157" i="5" s="1"/>
  <c r="B157" i="5" s="1"/>
  <c r="G156" i="5"/>
  <c r="F156" i="5"/>
  <c r="E156" i="5"/>
  <c r="C156" i="5"/>
  <c r="B156" i="5"/>
  <c r="A156" i="5"/>
  <c r="E155" i="5"/>
  <c r="F155" i="5" s="1"/>
  <c r="B155" i="5" s="1"/>
  <c r="G154" i="5"/>
  <c r="F154" i="5"/>
  <c r="E154" i="5"/>
  <c r="C154" i="5"/>
  <c r="B154" i="5"/>
  <c r="A154" i="5"/>
  <c r="E153" i="5"/>
  <c r="F153" i="5" s="1"/>
  <c r="B153" i="5" s="1"/>
  <c r="G152" i="5"/>
  <c r="F152" i="5"/>
  <c r="E152" i="5"/>
  <c r="C152" i="5"/>
  <c r="B152" i="5"/>
  <c r="A152" i="5"/>
  <c r="E151" i="5"/>
  <c r="F151" i="5" s="1"/>
  <c r="B151" i="5" s="1"/>
  <c r="G150" i="5"/>
  <c r="F150" i="5"/>
  <c r="E150" i="5"/>
  <c r="C150" i="5"/>
  <c r="B150" i="5"/>
  <c r="A150" i="5"/>
  <c r="E149" i="5"/>
  <c r="F149" i="5" s="1"/>
  <c r="B149" i="5" s="1"/>
  <c r="G148" i="5"/>
  <c r="F148" i="5"/>
  <c r="E148" i="5"/>
  <c r="C148" i="5"/>
  <c r="B148" i="5"/>
  <c r="A148" i="5"/>
  <c r="E147" i="5"/>
  <c r="F147" i="5" s="1"/>
  <c r="B147" i="5" s="1"/>
  <c r="G146" i="5"/>
  <c r="F146" i="5"/>
  <c r="E146" i="5"/>
  <c r="C146" i="5"/>
  <c r="B146" i="5"/>
  <c r="A146" i="5"/>
  <c r="E145" i="5"/>
  <c r="F145" i="5" s="1"/>
  <c r="B145" i="5" s="1"/>
  <c r="G144" i="5"/>
  <c r="F144" i="5"/>
  <c r="E144" i="5"/>
  <c r="C144" i="5"/>
  <c r="B144" i="5"/>
  <c r="A144" i="5"/>
  <c r="E143" i="5"/>
  <c r="F143" i="5" s="1"/>
  <c r="B143" i="5" s="1"/>
  <c r="G142" i="5"/>
  <c r="F142" i="5"/>
  <c r="E142" i="5"/>
  <c r="C142" i="5"/>
  <c r="B142" i="5"/>
  <c r="A142" i="5"/>
  <c r="E141" i="5"/>
  <c r="F141" i="5" s="1"/>
  <c r="B141" i="5" s="1"/>
  <c r="G140" i="5"/>
  <c r="F140" i="5"/>
  <c r="E140" i="5"/>
  <c r="C140" i="5"/>
  <c r="B140" i="5"/>
  <c r="A140" i="5"/>
  <c r="E139" i="5"/>
  <c r="F139" i="5" s="1"/>
  <c r="B139" i="5" s="1"/>
  <c r="G138" i="5"/>
  <c r="F138" i="5"/>
  <c r="E138" i="5"/>
  <c r="C138" i="5"/>
  <c r="B138" i="5"/>
  <c r="A138" i="5"/>
  <c r="E137" i="5"/>
  <c r="F137" i="5" s="1"/>
  <c r="B137" i="5" s="1"/>
  <c r="G136" i="5"/>
  <c r="F136" i="5"/>
  <c r="E136" i="5"/>
  <c r="C136" i="5"/>
  <c r="B136" i="5"/>
  <c r="A136" i="5"/>
  <c r="E135" i="5"/>
  <c r="F135" i="5" s="1"/>
  <c r="B135" i="5" s="1"/>
  <c r="G134" i="5"/>
  <c r="F134" i="5"/>
  <c r="E134" i="5"/>
  <c r="C134" i="5"/>
  <c r="B134" i="5"/>
  <c r="A134" i="5"/>
  <c r="E133" i="5"/>
  <c r="F133" i="5" s="1"/>
  <c r="B133" i="5" s="1"/>
  <c r="G132" i="5"/>
  <c r="F132" i="5"/>
  <c r="E132" i="5"/>
  <c r="C132" i="5"/>
  <c r="B132" i="5"/>
  <c r="A132" i="5"/>
  <c r="E131" i="5"/>
  <c r="F131" i="5" s="1"/>
  <c r="B131" i="5" s="1"/>
  <c r="G130" i="5"/>
  <c r="F130" i="5"/>
  <c r="E130" i="5"/>
  <c r="C130" i="5"/>
  <c r="B130" i="5"/>
  <c r="A130" i="5"/>
  <c r="E129" i="5"/>
  <c r="F129" i="5" s="1"/>
  <c r="B129" i="5" s="1"/>
  <c r="G128" i="5"/>
  <c r="F128" i="5"/>
  <c r="E128" i="5"/>
  <c r="C128" i="5"/>
  <c r="B128" i="5"/>
  <c r="A128" i="5"/>
  <c r="E127" i="5"/>
  <c r="F127" i="5" s="1"/>
  <c r="B127" i="5" s="1"/>
  <c r="G126" i="5"/>
  <c r="F126" i="5"/>
  <c r="E126" i="5"/>
  <c r="C126" i="5"/>
  <c r="B126" i="5"/>
  <c r="A126" i="5"/>
  <c r="E125" i="5"/>
  <c r="F125" i="5" s="1"/>
  <c r="B125" i="5" s="1"/>
  <c r="G124" i="5"/>
  <c r="F124" i="5"/>
  <c r="E124" i="5"/>
  <c r="C124" i="5"/>
  <c r="B124" i="5"/>
  <c r="A124" i="5"/>
  <c r="E123" i="5"/>
  <c r="F123" i="5" s="1"/>
  <c r="B123" i="5" s="1"/>
  <c r="G122" i="5"/>
  <c r="F122" i="5"/>
  <c r="E122" i="5"/>
  <c r="C122" i="5"/>
  <c r="B122" i="5"/>
  <c r="A122" i="5"/>
  <c r="E121" i="5"/>
  <c r="F121" i="5" s="1"/>
  <c r="B121" i="5" s="1"/>
  <c r="G120" i="5"/>
  <c r="F120" i="5"/>
  <c r="E120" i="5"/>
  <c r="C120" i="5"/>
  <c r="B120" i="5"/>
  <c r="A120" i="5"/>
  <c r="E119" i="5"/>
  <c r="F119" i="5" s="1"/>
  <c r="B119" i="5" s="1"/>
  <c r="G118" i="5"/>
  <c r="F118" i="5"/>
  <c r="E118" i="5"/>
  <c r="C118" i="5"/>
  <c r="B118" i="5"/>
  <c r="A118" i="5"/>
  <c r="E117" i="5"/>
  <c r="F117" i="5" s="1"/>
  <c r="B117" i="5" s="1"/>
  <c r="G116" i="5"/>
  <c r="F116" i="5"/>
  <c r="E116" i="5"/>
  <c r="C116" i="5"/>
  <c r="B116" i="5"/>
  <c r="A116" i="5"/>
  <c r="E115" i="5"/>
  <c r="F115" i="5" s="1"/>
  <c r="B115" i="5" s="1"/>
  <c r="G114" i="5"/>
  <c r="F114" i="5"/>
  <c r="E114" i="5"/>
  <c r="C114" i="5"/>
  <c r="B114" i="5"/>
  <c r="A114" i="5"/>
  <c r="E113" i="5"/>
  <c r="F113" i="5" s="1"/>
  <c r="B113" i="5" s="1"/>
  <c r="G112" i="5"/>
  <c r="F112" i="5"/>
  <c r="E112" i="5"/>
  <c r="C112" i="5"/>
  <c r="B112" i="5"/>
  <c r="A112" i="5"/>
  <c r="E111" i="5"/>
  <c r="F111" i="5" s="1"/>
  <c r="B111" i="5" s="1"/>
  <c r="G110" i="5"/>
  <c r="F110" i="5"/>
  <c r="E110" i="5"/>
  <c r="C110" i="5"/>
  <c r="B110" i="5"/>
  <c r="A110" i="5"/>
  <c r="E109" i="5"/>
  <c r="F109" i="5" s="1"/>
  <c r="B109" i="5" s="1"/>
  <c r="G108" i="5"/>
  <c r="F108" i="5"/>
  <c r="E108" i="5"/>
  <c r="C108" i="5"/>
  <c r="B108" i="5"/>
  <c r="A108" i="5"/>
  <c r="E107" i="5"/>
  <c r="F107" i="5" s="1"/>
  <c r="B107" i="5" s="1"/>
  <c r="E106" i="5"/>
  <c r="A106" i="5"/>
  <c r="E105" i="5"/>
  <c r="F105" i="5" s="1"/>
  <c r="B105" i="5" s="1"/>
  <c r="E104" i="5"/>
  <c r="A104" i="5"/>
  <c r="E103" i="5"/>
  <c r="F103" i="5" s="1"/>
  <c r="B103" i="5" s="1"/>
  <c r="E102" i="5"/>
  <c r="A102" i="5"/>
  <c r="E101" i="5"/>
  <c r="F101" i="5" s="1"/>
  <c r="B101" i="5" s="1"/>
  <c r="E100" i="5"/>
  <c r="A100" i="5"/>
  <c r="E99" i="5"/>
  <c r="F99" i="5" s="1"/>
  <c r="B99" i="5" s="1"/>
  <c r="E98" i="5"/>
  <c r="A98" i="5"/>
  <c r="E97" i="5"/>
  <c r="F97" i="5" s="1"/>
  <c r="B97" i="5" s="1"/>
  <c r="E96" i="5"/>
  <c r="A96" i="5"/>
  <c r="E95" i="5"/>
  <c r="F95" i="5" s="1"/>
  <c r="B95" i="5" s="1"/>
  <c r="E94" i="5"/>
  <c r="A94" i="5"/>
  <c r="E93" i="5"/>
  <c r="F93" i="5" s="1"/>
  <c r="B93" i="5" s="1"/>
  <c r="E92" i="5"/>
  <c r="A92" i="5"/>
  <c r="E91" i="5"/>
  <c r="F91" i="5" s="1"/>
  <c r="B91" i="5" s="1"/>
  <c r="E90" i="5"/>
  <c r="A90" i="5"/>
  <c r="E89" i="5"/>
  <c r="F89" i="5" s="1"/>
  <c r="B89" i="5" s="1"/>
  <c r="E88" i="5"/>
  <c r="A88" i="5"/>
  <c r="E87" i="5"/>
  <c r="E86" i="5"/>
  <c r="A86" i="5"/>
  <c r="E85" i="5"/>
  <c r="E84" i="5"/>
  <c r="A84" i="5"/>
  <c r="E83" i="5"/>
  <c r="E82" i="5"/>
  <c r="A82" i="5"/>
  <c r="E81" i="5"/>
  <c r="E80" i="5"/>
  <c r="A80" i="5"/>
  <c r="E79" i="5"/>
  <c r="E78" i="5"/>
  <c r="A78" i="5"/>
  <c r="E77" i="5"/>
  <c r="E76" i="5"/>
  <c r="A76" i="5"/>
  <c r="E75" i="5"/>
  <c r="E74" i="5"/>
  <c r="A74" i="5"/>
  <c r="E73" i="5"/>
  <c r="E72" i="5"/>
  <c r="A72" i="5"/>
  <c r="E71" i="5"/>
  <c r="E70" i="5"/>
  <c r="A70" i="5"/>
  <c r="E69" i="5"/>
  <c r="E68" i="5"/>
  <c r="A68" i="5"/>
  <c r="E67" i="5"/>
  <c r="E66" i="5"/>
  <c r="A66" i="5"/>
  <c r="E65" i="5"/>
  <c r="E64" i="5"/>
  <c r="A64" i="5"/>
  <c r="E63" i="5"/>
  <c r="E62" i="5"/>
  <c r="A62" i="5"/>
  <c r="E61" i="5"/>
  <c r="E60" i="5"/>
  <c r="A60" i="5"/>
  <c r="E59" i="5"/>
  <c r="E58" i="5"/>
  <c r="A58" i="5"/>
  <c r="E57" i="5"/>
  <c r="E56" i="5"/>
  <c r="A56" i="5"/>
  <c r="E55" i="5"/>
  <c r="E54" i="5"/>
  <c r="A54" i="5"/>
  <c r="E53" i="5"/>
  <c r="E52" i="5"/>
  <c r="A52" i="5"/>
  <c r="E51" i="5"/>
  <c r="E50" i="5"/>
  <c r="A50" i="5"/>
  <c r="E49" i="5"/>
  <c r="E48" i="5"/>
  <c r="A48" i="5"/>
  <c r="E47" i="5"/>
  <c r="E46" i="5"/>
  <c r="A46" i="5"/>
  <c r="E45" i="5"/>
  <c r="E44" i="5"/>
  <c r="A44" i="5"/>
  <c r="E43" i="5"/>
  <c r="E42" i="5"/>
  <c r="A42" i="5"/>
  <c r="E41" i="5"/>
  <c r="E40" i="5"/>
  <c r="A40" i="5"/>
  <c r="E39" i="5"/>
  <c r="E38" i="5"/>
  <c r="A38" i="5"/>
  <c r="E37" i="5"/>
  <c r="E36" i="5"/>
  <c r="A36" i="5"/>
  <c r="E35" i="5"/>
  <c r="E34" i="5"/>
  <c r="A34" i="5"/>
  <c r="E33" i="5"/>
  <c r="E32" i="5"/>
  <c r="A32" i="5"/>
  <c r="E31" i="5"/>
  <c r="E30" i="5"/>
  <c r="A30" i="5"/>
  <c r="E29" i="5"/>
  <c r="G29" i="5" s="1"/>
  <c r="C29" i="5"/>
  <c r="E28" i="5"/>
  <c r="G28" i="5" s="1"/>
  <c r="E27" i="5"/>
  <c r="E26" i="5"/>
  <c r="E25" i="5"/>
  <c r="E24" i="5"/>
  <c r="A24" i="5"/>
  <c r="E23" i="5"/>
  <c r="A23" i="5"/>
  <c r="E22" i="5"/>
  <c r="F22" i="5" s="1"/>
  <c r="B22" i="5" s="1"/>
  <c r="A22" i="5"/>
  <c r="E21" i="5"/>
  <c r="A21" i="5"/>
  <c r="E20" i="5"/>
  <c r="F20" i="5" s="1"/>
  <c r="B20" i="5" s="1"/>
  <c r="A20" i="5"/>
  <c r="E19" i="5"/>
  <c r="A19" i="5"/>
  <c r="E18" i="5"/>
  <c r="F18" i="5" s="1"/>
  <c r="B18" i="5" s="1"/>
  <c r="A18" i="5"/>
  <c r="E17" i="5"/>
  <c r="A17" i="5"/>
  <c r="E16" i="5"/>
  <c r="F16" i="5" s="1"/>
  <c r="B16" i="5" s="1"/>
  <c r="A16" i="5"/>
  <c r="E15" i="5"/>
  <c r="A15" i="5"/>
  <c r="E14" i="5"/>
  <c r="F14" i="5" s="1"/>
  <c r="B14" i="5" s="1"/>
  <c r="A14" i="5"/>
  <c r="E13" i="5"/>
  <c r="A13" i="5"/>
  <c r="E12" i="5"/>
  <c r="F12" i="5" s="1"/>
  <c r="B12" i="5" s="1"/>
  <c r="A12" i="5"/>
  <c r="E11" i="5"/>
  <c r="A11" i="5"/>
  <c r="E10" i="5"/>
  <c r="F10" i="5" s="1"/>
  <c r="B10" i="5" s="1"/>
  <c r="A10" i="5"/>
  <c r="E9" i="5"/>
  <c r="A9" i="5"/>
  <c r="E8" i="5"/>
  <c r="F8" i="5" s="1"/>
  <c r="B8" i="5" s="1"/>
  <c r="A8" i="5"/>
  <c r="E7" i="5"/>
  <c r="A7" i="5"/>
  <c r="E6" i="5"/>
  <c r="F6" i="5" s="1"/>
  <c r="B6" i="5" s="1"/>
  <c r="A6" i="5"/>
  <c r="E5" i="5"/>
  <c r="A5" i="5"/>
  <c r="E4" i="5"/>
  <c r="F4" i="5" s="1"/>
  <c r="B4" i="5" s="1"/>
  <c r="A4" i="5"/>
  <c r="E3" i="5"/>
  <c r="A3" i="5"/>
  <c r="E500" i="6"/>
  <c r="C500" i="6"/>
  <c r="G499" i="6"/>
  <c r="F499" i="6"/>
  <c r="B499" i="6" s="1"/>
  <c r="E499" i="6"/>
  <c r="C499" i="6"/>
  <c r="A499" i="6"/>
  <c r="E498" i="6"/>
  <c r="F498" i="6" s="1"/>
  <c r="B498" i="6" s="1"/>
  <c r="G497" i="6"/>
  <c r="F497" i="6"/>
  <c r="B497" i="6" s="1"/>
  <c r="E497" i="6"/>
  <c r="C497" i="6"/>
  <c r="A497" i="6"/>
  <c r="E496" i="6"/>
  <c r="G495" i="6"/>
  <c r="F495" i="6"/>
  <c r="B495" i="6" s="1"/>
  <c r="E495" i="6"/>
  <c r="C495" i="6"/>
  <c r="A495" i="6"/>
  <c r="F494" i="6"/>
  <c r="B494" i="6" s="1"/>
  <c r="E494" i="6"/>
  <c r="G493" i="6"/>
  <c r="F493" i="6"/>
  <c r="E493" i="6"/>
  <c r="C493" i="6"/>
  <c r="B493" i="6"/>
  <c r="A493" i="6"/>
  <c r="E492" i="6"/>
  <c r="G491" i="6"/>
  <c r="F491" i="6"/>
  <c r="B491" i="6" s="1"/>
  <c r="E491" i="6"/>
  <c r="C491" i="6"/>
  <c r="A491" i="6"/>
  <c r="F490" i="6"/>
  <c r="B490" i="6" s="1"/>
  <c r="E490" i="6"/>
  <c r="A490" i="6"/>
  <c r="G489" i="6"/>
  <c r="F489" i="6"/>
  <c r="E489" i="6"/>
  <c r="C489" i="6"/>
  <c r="B489" i="6"/>
  <c r="A489" i="6"/>
  <c r="E488" i="6"/>
  <c r="C488" i="6"/>
  <c r="A488" i="6"/>
  <c r="G487" i="6"/>
  <c r="F487" i="6"/>
  <c r="B487" i="6" s="1"/>
  <c r="E487" i="6"/>
  <c r="C487" i="6"/>
  <c r="A487" i="6"/>
  <c r="E486" i="6"/>
  <c r="G485" i="6"/>
  <c r="F485" i="6"/>
  <c r="E485" i="6"/>
  <c r="C485" i="6"/>
  <c r="B485" i="6"/>
  <c r="A485" i="6"/>
  <c r="E484" i="6"/>
  <c r="G483" i="6"/>
  <c r="F483" i="6"/>
  <c r="B483" i="6" s="1"/>
  <c r="E483" i="6"/>
  <c r="C483" i="6"/>
  <c r="A483" i="6"/>
  <c r="E482" i="6"/>
  <c r="G481" i="6"/>
  <c r="F481" i="6"/>
  <c r="B481" i="6" s="1"/>
  <c r="E481" i="6"/>
  <c r="C481" i="6"/>
  <c r="A481" i="6"/>
  <c r="E480" i="6"/>
  <c r="C480" i="6"/>
  <c r="G479" i="6"/>
  <c r="F479" i="6"/>
  <c r="B479" i="6" s="1"/>
  <c r="E479" i="6"/>
  <c r="C479" i="6"/>
  <c r="A479" i="6"/>
  <c r="E478" i="6"/>
  <c r="G477" i="6"/>
  <c r="F477" i="6"/>
  <c r="B477" i="6" s="1"/>
  <c r="E477" i="6"/>
  <c r="C477" i="6"/>
  <c r="A477" i="6"/>
  <c r="E476" i="6"/>
  <c r="A476" i="6"/>
  <c r="G475" i="6"/>
  <c r="F475" i="6"/>
  <c r="B475" i="6" s="1"/>
  <c r="E475" i="6"/>
  <c r="C475" i="6"/>
  <c r="A475" i="6"/>
  <c r="F474" i="6"/>
  <c r="B474" i="6" s="1"/>
  <c r="E474" i="6"/>
  <c r="A474" i="6"/>
  <c r="G473" i="6"/>
  <c r="F473" i="6"/>
  <c r="B473" i="6" s="1"/>
  <c r="E473" i="6"/>
  <c r="C473" i="6"/>
  <c r="A473" i="6"/>
  <c r="E472" i="6"/>
  <c r="C472" i="6"/>
  <c r="A472" i="6"/>
  <c r="G471" i="6"/>
  <c r="F471" i="6"/>
  <c r="B471" i="6" s="1"/>
  <c r="E471" i="6"/>
  <c r="C471" i="6"/>
  <c r="A471" i="6"/>
  <c r="E470" i="6"/>
  <c r="A470" i="6"/>
  <c r="G469" i="6"/>
  <c r="F469" i="6"/>
  <c r="E469" i="6"/>
  <c r="C469" i="6"/>
  <c r="B469" i="6"/>
  <c r="A469" i="6"/>
  <c r="E468" i="6"/>
  <c r="C468" i="6"/>
  <c r="A468" i="6"/>
  <c r="G467" i="6"/>
  <c r="F467" i="6"/>
  <c r="B467" i="6" s="1"/>
  <c r="E467" i="6"/>
  <c r="C467" i="6"/>
  <c r="A467" i="6"/>
  <c r="E466" i="6"/>
  <c r="G465" i="6"/>
  <c r="F465" i="6"/>
  <c r="B465" i="6" s="1"/>
  <c r="E465" i="6"/>
  <c r="C465" i="6"/>
  <c r="A465" i="6"/>
  <c r="E464" i="6"/>
  <c r="C464" i="6"/>
  <c r="G463" i="6"/>
  <c r="F463" i="6"/>
  <c r="B463" i="6" s="1"/>
  <c r="E463" i="6"/>
  <c r="C463" i="6"/>
  <c r="A463" i="6"/>
  <c r="F462" i="6"/>
  <c r="B462" i="6" s="1"/>
  <c r="E462" i="6"/>
  <c r="G461" i="6"/>
  <c r="F461" i="6"/>
  <c r="B461" i="6" s="1"/>
  <c r="E461" i="6"/>
  <c r="C461" i="6"/>
  <c r="A461" i="6"/>
  <c r="E460" i="6"/>
  <c r="G459" i="6"/>
  <c r="F459" i="6"/>
  <c r="B459" i="6" s="1"/>
  <c r="E459" i="6"/>
  <c r="C459" i="6"/>
  <c r="A459" i="6"/>
  <c r="F458" i="6"/>
  <c r="B458" i="6" s="1"/>
  <c r="E458" i="6"/>
  <c r="A458" i="6"/>
  <c r="G457" i="6"/>
  <c r="F457" i="6"/>
  <c r="E457" i="6"/>
  <c r="C457" i="6"/>
  <c r="B457" i="6"/>
  <c r="A457" i="6"/>
  <c r="E456" i="6"/>
  <c r="C456" i="6"/>
  <c r="A456" i="6"/>
  <c r="G455" i="6"/>
  <c r="F455" i="6"/>
  <c r="B455" i="6" s="1"/>
  <c r="E455" i="6"/>
  <c r="C455" i="6"/>
  <c r="A455" i="6"/>
  <c r="E454" i="6"/>
  <c r="G453" i="6"/>
  <c r="F453" i="6"/>
  <c r="E453" i="6"/>
  <c r="C453" i="6"/>
  <c r="B453" i="6"/>
  <c r="A453" i="6"/>
  <c r="E452" i="6"/>
  <c r="G451" i="6"/>
  <c r="F451" i="6"/>
  <c r="B451" i="6" s="1"/>
  <c r="E451" i="6"/>
  <c r="C451" i="6"/>
  <c r="A451" i="6"/>
  <c r="F450" i="6"/>
  <c r="B450" i="6" s="1"/>
  <c r="E450" i="6"/>
  <c r="A450" i="6"/>
  <c r="G449" i="6"/>
  <c r="F449" i="6"/>
  <c r="B449" i="6" s="1"/>
  <c r="E449" i="6"/>
  <c r="C449" i="6"/>
  <c r="A449" i="6"/>
  <c r="E448" i="6"/>
  <c r="G447" i="6"/>
  <c r="F447" i="6"/>
  <c r="B447" i="6" s="1"/>
  <c r="E447" i="6"/>
  <c r="C447" i="6"/>
  <c r="A447" i="6"/>
  <c r="E446" i="6"/>
  <c r="G445" i="6"/>
  <c r="F445" i="6"/>
  <c r="B445" i="6" s="1"/>
  <c r="E445" i="6"/>
  <c r="C445" i="6"/>
  <c r="A445" i="6"/>
  <c r="E444" i="6"/>
  <c r="G443" i="6"/>
  <c r="F443" i="6"/>
  <c r="B443" i="6" s="1"/>
  <c r="E443" i="6"/>
  <c r="C443" i="6"/>
  <c r="A443" i="6"/>
  <c r="F442" i="6"/>
  <c r="B442" i="6" s="1"/>
  <c r="E442" i="6"/>
  <c r="A442" i="6"/>
  <c r="G441" i="6"/>
  <c r="F441" i="6"/>
  <c r="B441" i="6" s="1"/>
  <c r="E441" i="6"/>
  <c r="C441" i="6"/>
  <c r="A441" i="6"/>
  <c r="E440" i="6"/>
  <c r="C440" i="6"/>
  <c r="A440" i="6"/>
  <c r="G439" i="6"/>
  <c r="F439" i="6"/>
  <c r="B439" i="6" s="1"/>
  <c r="E439" i="6"/>
  <c r="C439" i="6"/>
  <c r="A439" i="6"/>
  <c r="E438" i="6"/>
  <c r="G437" i="6"/>
  <c r="F437" i="6"/>
  <c r="E437" i="6"/>
  <c r="C437" i="6"/>
  <c r="B437" i="6"/>
  <c r="A437" i="6"/>
  <c r="E436" i="6"/>
  <c r="G435" i="6"/>
  <c r="F435" i="6"/>
  <c r="B435" i="6" s="1"/>
  <c r="E435" i="6"/>
  <c r="C435" i="6"/>
  <c r="A435" i="6"/>
  <c r="E434" i="6"/>
  <c r="G433" i="6"/>
  <c r="F433" i="6"/>
  <c r="B433" i="6" s="1"/>
  <c r="E433" i="6"/>
  <c r="C433" i="6"/>
  <c r="A433" i="6"/>
  <c r="E432" i="6"/>
  <c r="C432" i="6"/>
  <c r="G431" i="6"/>
  <c r="F431" i="6"/>
  <c r="B431" i="6" s="1"/>
  <c r="E431" i="6"/>
  <c r="C431" i="6"/>
  <c r="A431" i="6"/>
  <c r="E430" i="6"/>
  <c r="F430" i="6" s="1"/>
  <c r="B430" i="6" s="1"/>
  <c r="G429" i="6"/>
  <c r="F429" i="6"/>
  <c r="E429" i="6"/>
  <c r="C429" i="6"/>
  <c r="B429" i="6"/>
  <c r="A429" i="6"/>
  <c r="E428" i="6"/>
  <c r="G427" i="6"/>
  <c r="F427" i="6"/>
  <c r="B427" i="6" s="1"/>
  <c r="E427" i="6"/>
  <c r="C427" i="6"/>
  <c r="A427" i="6"/>
  <c r="F426" i="6"/>
  <c r="B426" i="6" s="1"/>
  <c r="E426" i="6"/>
  <c r="A426" i="6"/>
  <c r="G425" i="6"/>
  <c r="F425" i="6"/>
  <c r="E425" i="6"/>
  <c r="C425" i="6"/>
  <c r="B425" i="6"/>
  <c r="A425" i="6"/>
  <c r="E424" i="6"/>
  <c r="C424" i="6"/>
  <c r="A424" i="6"/>
  <c r="G423" i="6"/>
  <c r="F423" i="6"/>
  <c r="B423" i="6" s="1"/>
  <c r="E423" i="6"/>
  <c r="C423" i="6"/>
  <c r="A423" i="6"/>
  <c r="E422" i="6"/>
  <c r="A422" i="6"/>
  <c r="G421" i="6"/>
  <c r="F421" i="6"/>
  <c r="E421" i="6"/>
  <c r="C421" i="6"/>
  <c r="B421" i="6"/>
  <c r="A421" i="6"/>
  <c r="E420" i="6"/>
  <c r="C420" i="6"/>
  <c r="A420" i="6"/>
  <c r="G419" i="6"/>
  <c r="F419" i="6"/>
  <c r="B419" i="6" s="1"/>
  <c r="E419" i="6"/>
  <c r="C419" i="6"/>
  <c r="A419" i="6"/>
  <c r="E418" i="6"/>
  <c r="F418" i="6" s="1"/>
  <c r="B418" i="6" s="1"/>
  <c r="A418" i="6"/>
  <c r="G417" i="6"/>
  <c r="F417" i="6"/>
  <c r="B417" i="6" s="1"/>
  <c r="E417" i="6"/>
  <c r="C417" i="6"/>
  <c r="A417" i="6"/>
  <c r="E416" i="6"/>
  <c r="E415" i="6"/>
  <c r="G414" i="6"/>
  <c r="E414" i="6"/>
  <c r="G413" i="6"/>
  <c r="F413" i="6"/>
  <c r="E413" i="6"/>
  <c r="C413" i="6" s="1"/>
  <c r="B413" i="6"/>
  <c r="A413" i="6"/>
  <c r="G412" i="6"/>
  <c r="E412" i="6"/>
  <c r="C412" i="6"/>
  <c r="G411" i="6"/>
  <c r="E411" i="6"/>
  <c r="A411" i="6"/>
  <c r="E410" i="6"/>
  <c r="F409" i="6"/>
  <c r="B409" i="6" s="1"/>
  <c r="E409" i="6"/>
  <c r="E408" i="6"/>
  <c r="F407" i="6"/>
  <c r="B407" i="6" s="1"/>
  <c r="E407" i="6"/>
  <c r="A407" i="6"/>
  <c r="E406" i="6"/>
  <c r="G405" i="6"/>
  <c r="F405" i="6"/>
  <c r="E405" i="6"/>
  <c r="C405" i="6" s="1"/>
  <c r="B405" i="6"/>
  <c r="A405" i="6"/>
  <c r="G404" i="6"/>
  <c r="E404" i="6"/>
  <c r="C404" i="6"/>
  <c r="E403" i="6"/>
  <c r="E402" i="6"/>
  <c r="C402" i="6"/>
  <c r="F401" i="6"/>
  <c r="E401" i="6"/>
  <c r="B401" i="6"/>
  <c r="G400" i="6"/>
  <c r="E400" i="6"/>
  <c r="F399" i="6"/>
  <c r="B399" i="6" s="1"/>
  <c r="E399" i="6"/>
  <c r="G398" i="6"/>
  <c r="E398" i="6"/>
  <c r="G397" i="6"/>
  <c r="F397" i="6"/>
  <c r="E397" i="6"/>
  <c r="C397" i="6" s="1"/>
  <c r="B397" i="6"/>
  <c r="A397" i="6"/>
  <c r="G396" i="6"/>
  <c r="E396" i="6"/>
  <c r="C396" i="6"/>
  <c r="G395" i="6"/>
  <c r="E395" i="6"/>
  <c r="E394" i="6"/>
  <c r="C394" i="6"/>
  <c r="E393" i="6"/>
  <c r="G392" i="6"/>
  <c r="E392" i="6"/>
  <c r="C392" i="6"/>
  <c r="G391" i="6"/>
  <c r="F391" i="6"/>
  <c r="B391" i="6" s="1"/>
  <c r="E391" i="6"/>
  <c r="C391" i="6" s="1"/>
  <c r="A391" i="6"/>
  <c r="E390" i="6"/>
  <c r="G389" i="6"/>
  <c r="F389" i="6"/>
  <c r="B389" i="6" s="1"/>
  <c r="E389" i="6"/>
  <c r="C389" i="6" s="1"/>
  <c r="A389" i="6"/>
  <c r="G388" i="6"/>
  <c r="E388" i="6"/>
  <c r="C388" i="6"/>
  <c r="G387" i="6"/>
  <c r="E387" i="6"/>
  <c r="A387" i="6"/>
  <c r="E386" i="6"/>
  <c r="E385" i="6"/>
  <c r="E384" i="6"/>
  <c r="E383" i="6"/>
  <c r="G382" i="6"/>
  <c r="E382" i="6"/>
  <c r="G381" i="6"/>
  <c r="F381" i="6"/>
  <c r="E381" i="6"/>
  <c r="C381" i="6" s="1"/>
  <c r="B381" i="6"/>
  <c r="A381" i="6"/>
  <c r="G380" i="6"/>
  <c r="E380" i="6"/>
  <c r="C380" i="6"/>
  <c r="G379" i="6"/>
  <c r="E379" i="6"/>
  <c r="A379" i="6"/>
  <c r="E378" i="6"/>
  <c r="F377" i="6"/>
  <c r="B377" i="6" s="1"/>
  <c r="E377" i="6"/>
  <c r="E376" i="6"/>
  <c r="F375" i="6"/>
  <c r="B375" i="6" s="1"/>
  <c r="E375" i="6"/>
  <c r="A375" i="6"/>
  <c r="E374" i="6"/>
  <c r="G373" i="6"/>
  <c r="F373" i="6"/>
  <c r="E373" i="6"/>
  <c r="C373" i="6" s="1"/>
  <c r="B373" i="6"/>
  <c r="A373" i="6"/>
  <c r="G372" i="6"/>
  <c r="E372" i="6"/>
  <c r="C372" i="6"/>
  <c r="E371" i="6"/>
  <c r="E370" i="6"/>
  <c r="C370" i="6"/>
  <c r="F369" i="6"/>
  <c r="E369" i="6"/>
  <c r="B369" i="6"/>
  <c r="G368" i="6"/>
  <c r="E368" i="6"/>
  <c r="F367" i="6"/>
  <c r="B367" i="6" s="1"/>
  <c r="E367" i="6"/>
  <c r="G366" i="6"/>
  <c r="E366" i="6"/>
  <c r="G365" i="6"/>
  <c r="F365" i="6"/>
  <c r="E365" i="6"/>
  <c r="C365" i="6" s="1"/>
  <c r="B365" i="6"/>
  <c r="A365" i="6"/>
  <c r="G364" i="6"/>
  <c r="E364" i="6"/>
  <c r="C364" i="6"/>
  <c r="G363" i="6"/>
  <c r="E363" i="6"/>
  <c r="E362" i="6"/>
  <c r="C362" i="6"/>
  <c r="E361" i="6"/>
  <c r="G360" i="6"/>
  <c r="E360" i="6"/>
  <c r="C360" i="6"/>
  <c r="G359" i="6"/>
  <c r="F359" i="6"/>
  <c r="B359" i="6" s="1"/>
  <c r="E359" i="6"/>
  <c r="C359" i="6" s="1"/>
  <c r="A359" i="6"/>
  <c r="E358" i="6"/>
  <c r="G357" i="6"/>
  <c r="F357" i="6"/>
  <c r="B357" i="6" s="1"/>
  <c r="E357" i="6"/>
  <c r="C357" i="6" s="1"/>
  <c r="A357" i="6"/>
  <c r="G356" i="6"/>
  <c r="E356" i="6"/>
  <c r="C356" i="6"/>
  <c r="G355" i="6"/>
  <c r="E355" i="6"/>
  <c r="A355" i="6"/>
  <c r="G354" i="6"/>
  <c r="E354" i="6"/>
  <c r="G353" i="6"/>
  <c r="F353" i="6"/>
  <c r="B353" i="6" s="1"/>
  <c r="E353" i="6"/>
  <c r="C353" i="6" s="1"/>
  <c r="A353" i="6"/>
  <c r="G352" i="6"/>
  <c r="E352" i="6"/>
  <c r="C352" i="6"/>
  <c r="G351" i="6"/>
  <c r="E351" i="6"/>
  <c r="A351" i="6"/>
  <c r="E350" i="6"/>
  <c r="E349" i="6"/>
  <c r="E348" i="6"/>
  <c r="C348" i="6"/>
  <c r="E347" i="6"/>
  <c r="A347" i="6"/>
  <c r="G346" i="6"/>
  <c r="E346" i="6"/>
  <c r="G345" i="6"/>
  <c r="F345" i="6"/>
  <c r="E345" i="6"/>
  <c r="C345" i="6"/>
  <c r="B345" i="6"/>
  <c r="A345" i="6"/>
  <c r="E344" i="6"/>
  <c r="G343" i="6"/>
  <c r="F343" i="6"/>
  <c r="B343" i="6" s="1"/>
  <c r="E343" i="6"/>
  <c r="C343" i="6"/>
  <c r="A343" i="6"/>
  <c r="F342" i="6"/>
  <c r="B342" i="6" s="1"/>
  <c r="E342" i="6"/>
  <c r="G342" i="6" s="1"/>
  <c r="A342" i="6"/>
  <c r="G341" i="6"/>
  <c r="F341" i="6"/>
  <c r="E341" i="6"/>
  <c r="C341" i="6"/>
  <c r="B341" i="6"/>
  <c r="A341" i="6"/>
  <c r="E340" i="6"/>
  <c r="G339" i="6"/>
  <c r="F339" i="6"/>
  <c r="B339" i="6" s="1"/>
  <c r="E339" i="6"/>
  <c r="C339" i="6"/>
  <c r="A339" i="6"/>
  <c r="F338" i="6"/>
  <c r="B338" i="6" s="1"/>
  <c r="E338" i="6"/>
  <c r="G338" i="6" s="1"/>
  <c r="A338" i="6"/>
  <c r="G337" i="6"/>
  <c r="F337" i="6"/>
  <c r="E337" i="6"/>
  <c r="C337" i="6"/>
  <c r="B337" i="6"/>
  <c r="A337" i="6"/>
  <c r="E336" i="6"/>
  <c r="G335" i="6"/>
  <c r="F335" i="6"/>
  <c r="B335" i="6" s="1"/>
  <c r="E335" i="6"/>
  <c r="C335" i="6"/>
  <c r="A335" i="6"/>
  <c r="F334" i="6"/>
  <c r="B334" i="6" s="1"/>
  <c r="E334" i="6"/>
  <c r="G334" i="6" s="1"/>
  <c r="A334" i="6"/>
  <c r="G333" i="6"/>
  <c r="F333" i="6"/>
  <c r="E333" i="6"/>
  <c r="C333" i="6"/>
  <c r="B333" i="6"/>
  <c r="A333" i="6"/>
  <c r="E332" i="6"/>
  <c r="G331" i="6"/>
  <c r="F331" i="6"/>
  <c r="B331" i="6" s="1"/>
  <c r="E331" i="6"/>
  <c r="C331" i="6"/>
  <c r="A331" i="6"/>
  <c r="F330" i="6"/>
  <c r="B330" i="6" s="1"/>
  <c r="E330" i="6"/>
  <c r="G330" i="6" s="1"/>
  <c r="A330" i="6"/>
  <c r="G329" i="6"/>
  <c r="F329" i="6"/>
  <c r="E329" i="6"/>
  <c r="C329" i="6"/>
  <c r="B329" i="6"/>
  <c r="A329" i="6"/>
  <c r="E328" i="6"/>
  <c r="G327" i="6"/>
  <c r="F327" i="6"/>
  <c r="B327" i="6" s="1"/>
  <c r="E327" i="6"/>
  <c r="C327" i="6"/>
  <c r="A327" i="6"/>
  <c r="F326" i="6"/>
  <c r="B326" i="6" s="1"/>
  <c r="E326" i="6"/>
  <c r="G326" i="6" s="1"/>
  <c r="A326" i="6"/>
  <c r="G325" i="6"/>
  <c r="F325" i="6"/>
  <c r="E325" i="6"/>
  <c r="C325" i="6"/>
  <c r="B325" i="6"/>
  <c r="A325" i="6"/>
  <c r="E324" i="6"/>
  <c r="G323" i="6"/>
  <c r="F323" i="6"/>
  <c r="B323" i="6" s="1"/>
  <c r="E323" i="6"/>
  <c r="C323" i="6"/>
  <c r="A323" i="6"/>
  <c r="F322" i="6"/>
  <c r="B322" i="6" s="1"/>
  <c r="E322" i="6"/>
  <c r="G322" i="6" s="1"/>
  <c r="A322" i="6"/>
  <c r="G321" i="6"/>
  <c r="F321" i="6"/>
  <c r="E321" i="6"/>
  <c r="C321" i="6"/>
  <c r="B321" i="6"/>
  <c r="A321" i="6"/>
  <c r="E320" i="6"/>
  <c r="G319" i="6"/>
  <c r="F319" i="6"/>
  <c r="B319" i="6" s="1"/>
  <c r="E319" i="6"/>
  <c r="C319" i="6"/>
  <c r="A319" i="6"/>
  <c r="F318" i="6"/>
  <c r="B318" i="6" s="1"/>
  <c r="E318" i="6"/>
  <c r="G318" i="6" s="1"/>
  <c r="A318" i="6"/>
  <c r="G317" i="6"/>
  <c r="F317" i="6"/>
  <c r="E317" i="6"/>
  <c r="C317" i="6"/>
  <c r="B317" i="6"/>
  <c r="A317" i="6"/>
  <c r="E316" i="6"/>
  <c r="G315" i="6"/>
  <c r="F315" i="6"/>
  <c r="B315" i="6" s="1"/>
  <c r="E315" i="6"/>
  <c r="C315" i="6" s="1"/>
  <c r="A315" i="6"/>
  <c r="E314" i="6"/>
  <c r="C314" i="6"/>
  <c r="G313" i="6"/>
  <c r="F313" i="6"/>
  <c r="E313" i="6"/>
  <c r="C313" i="6" s="1"/>
  <c r="B313" i="6"/>
  <c r="A313" i="6"/>
  <c r="E312" i="6"/>
  <c r="C312" i="6"/>
  <c r="G311" i="6"/>
  <c r="F311" i="6"/>
  <c r="E311" i="6"/>
  <c r="C311" i="6" s="1"/>
  <c r="B311" i="6"/>
  <c r="A311" i="6"/>
  <c r="E310" i="6"/>
  <c r="C310" i="6"/>
  <c r="G309" i="6"/>
  <c r="F309" i="6"/>
  <c r="B309" i="6" s="1"/>
  <c r="E309" i="6"/>
  <c r="C309" i="6" s="1"/>
  <c r="A309" i="6"/>
  <c r="E308" i="6"/>
  <c r="G307" i="6"/>
  <c r="F307" i="6"/>
  <c r="B307" i="6" s="1"/>
  <c r="E307" i="6"/>
  <c r="C307" i="6" s="1"/>
  <c r="A307" i="6"/>
  <c r="E306" i="6"/>
  <c r="C306" i="6"/>
  <c r="G305" i="6"/>
  <c r="F305" i="6"/>
  <c r="E305" i="6"/>
  <c r="C305" i="6" s="1"/>
  <c r="B305" i="6"/>
  <c r="A305" i="6"/>
  <c r="E304" i="6"/>
  <c r="C304" i="6"/>
  <c r="G303" i="6"/>
  <c r="F303" i="6"/>
  <c r="E303" i="6"/>
  <c r="C303" i="6" s="1"/>
  <c r="B303" i="6"/>
  <c r="A303" i="6"/>
  <c r="E302" i="6"/>
  <c r="C302" i="6"/>
  <c r="G301" i="6"/>
  <c r="F301" i="6"/>
  <c r="B301" i="6" s="1"/>
  <c r="E301" i="6"/>
  <c r="C301" i="6" s="1"/>
  <c r="A301" i="6"/>
  <c r="E300" i="6"/>
  <c r="G299" i="6"/>
  <c r="F299" i="6"/>
  <c r="B299" i="6" s="1"/>
  <c r="E299" i="6"/>
  <c r="C299" i="6" s="1"/>
  <c r="A299" i="6"/>
  <c r="E298" i="6"/>
  <c r="C298" i="6"/>
  <c r="G297" i="6"/>
  <c r="F297" i="6"/>
  <c r="E297" i="6"/>
  <c r="C297" i="6" s="1"/>
  <c r="B297" i="6"/>
  <c r="A297" i="6"/>
  <c r="E296" i="6"/>
  <c r="C296" i="6"/>
  <c r="G295" i="6"/>
  <c r="F295" i="6"/>
  <c r="E295" i="6"/>
  <c r="C295" i="6" s="1"/>
  <c r="B295" i="6"/>
  <c r="A295" i="6"/>
  <c r="E294" i="6"/>
  <c r="C294" i="6"/>
  <c r="G293" i="6"/>
  <c r="F293" i="6"/>
  <c r="B293" i="6" s="1"/>
  <c r="E293" i="6"/>
  <c r="C293" i="6" s="1"/>
  <c r="A293" i="6"/>
  <c r="E292" i="6"/>
  <c r="G291" i="6"/>
  <c r="F291" i="6"/>
  <c r="B291" i="6" s="1"/>
  <c r="E291" i="6"/>
  <c r="C291" i="6" s="1"/>
  <c r="A291" i="6"/>
  <c r="E290" i="6"/>
  <c r="C290" i="6"/>
  <c r="G289" i="6"/>
  <c r="F289" i="6"/>
  <c r="E289" i="6"/>
  <c r="C289" i="6" s="1"/>
  <c r="B289" i="6"/>
  <c r="A289" i="6"/>
  <c r="E288" i="6"/>
  <c r="C288" i="6"/>
  <c r="G287" i="6"/>
  <c r="F287" i="6"/>
  <c r="E287" i="6"/>
  <c r="C287" i="6" s="1"/>
  <c r="B287" i="6"/>
  <c r="A287" i="6"/>
  <c r="E286" i="6"/>
  <c r="C286" i="6"/>
  <c r="G285" i="6"/>
  <c r="F285" i="6"/>
  <c r="B285" i="6" s="1"/>
  <c r="E285" i="6"/>
  <c r="C285" i="6" s="1"/>
  <c r="A285" i="6"/>
  <c r="E284" i="6"/>
  <c r="G283" i="6"/>
  <c r="F283" i="6"/>
  <c r="B283" i="6" s="1"/>
  <c r="E283" i="6"/>
  <c r="C283" i="6" s="1"/>
  <c r="A283" i="6"/>
  <c r="E282" i="6"/>
  <c r="C282" i="6"/>
  <c r="G281" i="6"/>
  <c r="F281" i="6"/>
  <c r="E281" i="6"/>
  <c r="C281" i="6" s="1"/>
  <c r="B281" i="6"/>
  <c r="A281" i="6"/>
  <c r="E280" i="6"/>
  <c r="C280" i="6"/>
  <c r="G279" i="6"/>
  <c r="F279" i="6"/>
  <c r="E279" i="6"/>
  <c r="C279" i="6" s="1"/>
  <c r="B279" i="6"/>
  <c r="A279" i="6"/>
  <c r="E278" i="6"/>
  <c r="C278" i="6"/>
  <c r="G277" i="6"/>
  <c r="F277" i="6"/>
  <c r="B277" i="6" s="1"/>
  <c r="E277" i="6"/>
  <c r="C277" i="6" s="1"/>
  <c r="A277" i="6"/>
  <c r="E276" i="6"/>
  <c r="G275" i="6"/>
  <c r="F275" i="6"/>
  <c r="B275" i="6" s="1"/>
  <c r="E275" i="6"/>
  <c r="C275" i="6" s="1"/>
  <c r="A275" i="6"/>
  <c r="E274" i="6"/>
  <c r="C274" i="6"/>
  <c r="G273" i="6"/>
  <c r="F273" i="6"/>
  <c r="E273" i="6"/>
  <c r="C273" i="6" s="1"/>
  <c r="B273" i="6"/>
  <c r="A273" i="6"/>
  <c r="E272" i="6"/>
  <c r="C272" i="6"/>
  <c r="G271" i="6"/>
  <c r="F271" i="6"/>
  <c r="E271" i="6"/>
  <c r="C271" i="6" s="1"/>
  <c r="B271" i="6"/>
  <c r="A271" i="6"/>
  <c r="E270" i="6"/>
  <c r="C270" i="6"/>
  <c r="G269" i="6"/>
  <c r="F269" i="6"/>
  <c r="B269" i="6" s="1"/>
  <c r="E269" i="6"/>
  <c r="C269" i="6" s="1"/>
  <c r="A269" i="6"/>
  <c r="E268" i="6"/>
  <c r="G267" i="6"/>
  <c r="F267" i="6"/>
  <c r="B267" i="6" s="1"/>
  <c r="E267" i="6"/>
  <c r="C267" i="6" s="1"/>
  <c r="A267" i="6"/>
  <c r="E266" i="6"/>
  <c r="C266" i="6"/>
  <c r="G265" i="6"/>
  <c r="F265" i="6"/>
  <c r="E265" i="6"/>
  <c r="C265" i="6" s="1"/>
  <c r="B265" i="6"/>
  <c r="A265" i="6"/>
  <c r="E264" i="6"/>
  <c r="C264" i="6"/>
  <c r="G263" i="6"/>
  <c r="F263" i="6"/>
  <c r="E263" i="6"/>
  <c r="C263" i="6" s="1"/>
  <c r="B263" i="6"/>
  <c r="A263" i="6"/>
  <c r="E262" i="6"/>
  <c r="C262" i="6"/>
  <c r="G261" i="6"/>
  <c r="F261" i="6"/>
  <c r="B261" i="6" s="1"/>
  <c r="E261" i="6"/>
  <c r="C261" i="6" s="1"/>
  <c r="A261" i="6"/>
  <c r="E260" i="6"/>
  <c r="G259" i="6"/>
  <c r="F259" i="6"/>
  <c r="B259" i="6" s="1"/>
  <c r="E259" i="6"/>
  <c r="C259" i="6" s="1"/>
  <c r="A259" i="6"/>
  <c r="E258" i="6"/>
  <c r="C258" i="6"/>
  <c r="G257" i="6"/>
  <c r="F257" i="6"/>
  <c r="E257" i="6"/>
  <c r="C257" i="6" s="1"/>
  <c r="B257" i="6"/>
  <c r="A257" i="6"/>
  <c r="E256" i="6"/>
  <c r="C256" i="6"/>
  <c r="G255" i="6"/>
  <c r="F255" i="6"/>
  <c r="E255" i="6"/>
  <c r="C255" i="6" s="1"/>
  <c r="B255" i="6"/>
  <c r="A255" i="6"/>
  <c r="E254" i="6"/>
  <c r="C254" i="6"/>
  <c r="G253" i="6"/>
  <c r="F253" i="6"/>
  <c r="B253" i="6" s="1"/>
  <c r="E253" i="6"/>
  <c r="C253" i="6" s="1"/>
  <c r="A253" i="6"/>
  <c r="E252" i="6"/>
  <c r="G251" i="6"/>
  <c r="F251" i="6"/>
  <c r="B251" i="6" s="1"/>
  <c r="E251" i="6"/>
  <c r="C251" i="6" s="1"/>
  <c r="A251" i="6"/>
  <c r="E250" i="6"/>
  <c r="C250" i="6"/>
  <c r="G249" i="6"/>
  <c r="F249" i="6"/>
  <c r="E249" i="6"/>
  <c r="C249" i="6" s="1"/>
  <c r="B249" i="6"/>
  <c r="A249" i="6"/>
  <c r="E248" i="6"/>
  <c r="C248" i="6"/>
  <c r="G247" i="6"/>
  <c r="F247" i="6"/>
  <c r="E247" i="6"/>
  <c r="C247" i="6" s="1"/>
  <c r="B247" i="6"/>
  <c r="A247" i="6"/>
  <c r="E246" i="6"/>
  <c r="C246" i="6"/>
  <c r="G245" i="6"/>
  <c r="F245" i="6"/>
  <c r="B245" i="6" s="1"/>
  <c r="E245" i="6"/>
  <c r="C245" i="6" s="1"/>
  <c r="A245" i="6"/>
  <c r="E244" i="6"/>
  <c r="G243" i="6"/>
  <c r="F243" i="6"/>
  <c r="B243" i="6" s="1"/>
  <c r="E243" i="6"/>
  <c r="C243" i="6" s="1"/>
  <c r="A243" i="6"/>
  <c r="E242" i="6"/>
  <c r="C242" i="6"/>
  <c r="G241" i="6"/>
  <c r="F241" i="6"/>
  <c r="E241" i="6"/>
  <c r="C241" i="6" s="1"/>
  <c r="B241" i="6"/>
  <c r="A241" i="6"/>
  <c r="E240" i="6"/>
  <c r="C240" i="6"/>
  <c r="G239" i="6"/>
  <c r="F239" i="6"/>
  <c r="E239" i="6"/>
  <c r="C239" i="6" s="1"/>
  <c r="B239" i="6"/>
  <c r="A239" i="6"/>
  <c r="E238" i="6"/>
  <c r="C238" i="6"/>
  <c r="E237" i="6"/>
  <c r="C237" i="6" s="1"/>
  <c r="E236" i="6"/>
  <c r="C236" i="6"/>
  <c r="E235" i="6"/>
  <c r="E234" i="6"/>
  <c r="G233" i="6"/>
  <c r="F233" i="6"/>
  <c r="B233" i="6" s="1"/>
  <c r="E233" i="6"/>
  <c r="C233" i="6" s="1"/>
  <c r="A233" i="6"/>
  <c r="G232" i="6"/>
  <c r="E232" i="6"/>
  <c r="C232" i="6"/>
  <c r="G231" i="6"/>
  <c r="E231" i="6"/>
  <c r="C231" i="6" s="1"/>
  <c r="A231" i="6"/>
  <c r="E230" i="6"/>
  <c r="C230" i="6"/>
  <c r="E229" i="6"/>
  <c r="C229" i="6" s="1"/>
  <c r="E228" i="6"/>
  <c r="C228" i="6"/>
  <c r="E227" i="6"/>
  <c r="E226" i="6"/>
  <c r="G225" i="6"/>
  <c r="F225" i="6"/>
  <c r="B225" i="6" s="1"/>
  <c r="E225" i="6"/>
  <c r="C225" i="6" s="1"/>
  <c r="A225" i="6"/>
  <c r="G224" i="6"/>
  <c r="E224" i="6"/>
  <c r="C224" i="6"/>
  <c r="G223" i="6"/>
  <c r="E223" i="6"/>
  <c r="C223" i="6" s="1"/>
  <c r="A223" i="6"/>
  <c r="E222" i="6"/>
  <c r="C222" i="6"/>
  <c r="E221" i="6"/>
  <c r="C221" i="6" s="1"/>
  <c r="E220" i="6"/>
  <c r="C220" i="6"/>
  <c r="E219" i="6"/>
  <c r="E218" i="6"/>
  <c r="G217" i="6"/>
  <c r="F217" i="6"/>
  <c r="B217" i="6" s="1"/>
  <c r="E217" i="6"/>
  <c r="C217" i="6" s="1"/>
  <c r="A217" i="6"/>
  <c r="G216" i="6"/>
  <c r="E216" i="6"/>
  <c r="C216" i="6"/>
  <c r="G215" i="6"/>
  <c r="E215" i="6"/>
  <c r="C215" i="6" s="1"/>
  <c r="A215" i="6"/>
  <c r="E214" i="6"/>
  <c r="C214" i="6"/>
  <c r="E213" i="6"/>
  <c r="C213" i="6" s="1"/>
  <c r="E212" i="6"/>
  <c r="C212" i="6"/>
  <c r="E211" i="6"/>
  <c r="E210" i="6"/>
  <c r="G209" i="6"/>
  <c r="F209" i="6"/>
  <c r="B209" i="6" s="1"/>
  <c r="E209" i="6"/>
  <c r="C209" i="6" s="1"/>
  <c r="A209" i="6"/>
  <c r="G208" i="6"/>
  <c r="E208" i="6"/>
  <c r="C208" i="6"/>
  <c r="G207" i="6"/>
  <c r="E207" i="6"/>
  <c r="C207" i="6" s="1"/>
  <c r="A207" i="6"/>
  <c r="E206" i="6"/>
  <c r="C206" i="6"/>
  <c r="E205" i="6"/>
  <c r="C205" i="6" s="1"/>
  <c r="E204" i="6"/>
  <c r="C204" i="6"/>
  <c r="E203" i="6"/>
  <c r="E202" i="6"/>
  <c r="G201" i="6"/>
  <c r="F201" i="6"/>
  <c r="B201" i="6" s="1"/>
  <c r="E201" i="6"/>
  <c r="C201" i="6" s="1"/>
  <c r="A201" i="6"/>
  <c r="G200" i="6"/>
  <c r="E200" i="6"/>
  <c r="C200" i="6"/>
  <c r="G199" i="6"/>
  <c r="E199" i="6"/>
  <c r="C199" i="6" s="1"/>
  <c r="A199" i="6"/>
  <c r="E198" i="6"/>
  <c r="C198" i="6"/>
  <c r="E197" i="6"/>
  <c r="C197" i="6" s="1"/>
  <c r="E196" i="6"/>
  <c r="C196" i="6"/>
  <c r="E195" i="6"/>
  <c r="E194" i="6"/>
  <c r="G193" i="6"/>
  <c r="F193" i="6"/>
  <c r="B193" i="6" s="1"/>
  <c r="E193" i="6"/>
  <c r="C193" i="6" s="1"/>
  <c r="A193" i="6"/>
  <c r="G192" i="6"/>
  <c r="E192" i="6"/>
  <c r="C192" i="6"/>
  <c r="G191" i="6"/>
  <c r="E191" i="6"/>
  <c r="C191" i="6" s="1"/>
  <c r="A191" i="6"/>
  <c r="E190" i="6"/>
  <c r="C190" i="6"/>
  <c r="E189" i="6"/>
  <c r="C189" i="6" s="1"/>
  <c r="E188" i="6"/>
  <c r="C188" i="6"/>
  <c r="E187" i="6"/>
  <c r="E186" i="6"/>
  <c r="G185" i="6"/>
  <c r="F185" i="6"/>
  <c r="B185" i="6" s="1"/>
  <c r="E185" i="6"/>
  <c r="C185" i="6" s="1"/>
  <c r="A185" i="6"/>
  <c r="G184" i="6"/>
  <c r="E184" i="6"/>
  <c r="C184" i="6"/>
  <c r="G183" i="6"/>
  <c r="E183" i="6"/>
  <c r="C183" i="6" s="1"/>
  <c r="A183" i="6"/>
  <c r="E182" i="6"/>
  <c r="C182" i="6"/>
  <c r="E181" i="6"/>
  <c r="C181" i="6" s="1"/>
  <c r="E180" i="6"/>
  <c r="C180" i="6"/>
  <c r="E179" i="6"/>
  <c r="E178" i="6"/>
  <c r="G177" i="6"/>
  <c r="F177" i="6"/>
  <c r="B177" i="6" s="1"/>
  <c r="E177" i="6"/>
  <c r="C177" i="6" s="1"/>
  <c r="A177" i="6"/>
  <c r="G176" i="6"/>
  <c r="E176" i="6"/>
  <c r="C176" i="6"/>
  <c r="G175" i="6"/>
  <c r="E175" i="6"/>
  <c r="C175" i="6" s="1"/>
  <c r="A175" i="6"/>
  <c r="E174" i="6"/>
  <c r="C174" i="6"/>
  <c r="E173" i="6"/>
  <c r="C173" i="6" s="1"/>
  <c r="E172" i="6"/>
  <c r="C172" i="6"/>
  <c r="E171" i="6"/>
  <c r="E170" i="6"/>
  <c r="G169" i="6"/>
  <c r="F169" i="6"/>
  <c r="B169" i="6" s="1"/>
  <c r="E169" i="6"/>
  <c r="C169" i="6" s="1"/>
  <c r="A169" i="6"/>
  <c r="G168" i="6"/>
  <c r="E168" i="6"/>
  <c r="C168" i="6"/>
  <c r="G167" i="6"/>
  <c r="E167" i="6"/>
  <c r="C167" i="6" s="1"/>
  <c r="A167" i="6"/>
  <c r="E166" i="6"/>
  <c r="C166" i="6"/>
  <c r="E165" i="6"/>
  <c r="C165" i="6" s="1"/>
  <c r="E164" i="6"/>
  <c r="C164" i="6"/>
  <c r="E163" i="6"/>
  <c r="E162" i="6"/>
  <c r="G161" i="6"/>
  <c r="F161" i="6"/>
  <c r="B161" i="6" s="1"/>
  <c r="E161" i="6"/>
  <c r="C161" i="6" s="1"/>
  <c r="A161" i="6"/>
  <c r="G160" i="6"/>
  <c r="E160" i="6"/>
  <c r="C160" i="6"/>
  <c r="G159" i="6"/>
  <c r="E159" i="6"/>
  <c r="C159" i="6" s="1"/>
  <c r="A159" i="6"/>
  <c r="E158" i="6"/>
  <c r="C158" i="6"/>
  <c r="E157" i="6"/>
  <c r="C157" i="6" s="1"/>
  <c r="E156" i="6"/>
  <c r="C156" i="6"/>
  <c r="E155" i="6"/>
  <c r="E154" i="6"/>
  <c r="G153" i="6"/>
  <c r="F153" i="6"/>
  <c r="B153" i="6" s="1"/>
  <c r="E153" i="6"/>
  <c r="C153" i="6" s="1"/>
  <c r="A153" i="6"/>
  <c r="G152" i="6"/>
  <c r="E152" i="6"/>
  <c r="C152" i="6"/>
  <c r="G151" i="6"/>
  <c r="E151" i="6"/>
  <c r="C151" i="6" s="1"/>
  <c r="A151" i="6"/>
  <c r="E150" i="6"/>
  <c r="C150" i="6"/>
  <c r="E149" i="6"/>
  <c r="C149" i="6" s="1"/>
  <c r="E148" i="6"/>
  <c r="C148" i="6"/>
  <c r="E147" i="6"/>
  <c r="E146" i="6"/>
  <c r="G145" i="6"/>
  <c r="F145" i="6"/>
  <c r="B145" i="6" s="1"/>
  <c r="E145" i="6"/>
  <c r="C145" i="6" s="1"/>
  <c r="A145" i="6"/>
  <c r="G144" i="6"/>
  <c r="E144" i="6"/>
  <c r="C144" i="6"/>
  <c r="G143" i="6"/>
  <c r="E143" i="6"/>
  <c r="C143" i="6" s="1"/>
  <c r="A143" i="6"/>
  <c r="E142" i="6"/>
  <c r="C142" i="6"/>
  <c r="E141" i="6"/>
  <c r="C141" i="6" s="1"/>
  <c r="E140" i="6"/>
  <c r="C140" i="6"/>
  <c r="E139" i="6"/>
  <c r="E138" i="6"/>
  <c r="G137" i="6"/>
  <c r="F137" i="6"/>
  <c r="B137" i="6" s="1"/>
  <c r="E137" i="6"/>
  <c r="C137" i="6" s="1"/>
  <c r="A137" i="6"/>
  <c r="G136" i="6"/>
  <c r="E136" i="6"/>
  <c r="C136" i="6"/>
  <c r="G135" i="6"/>
  <c r="E135" i="6"/>
  <c r="C135" i="6" s="1"/>
  <c r="A135" i="6"/>
  <c r="E134" i="6"/>
  <c r="C134" i="6"/>
  <c r="E133" i="6"/>
  <c r="C133" i="6" s="1"/>
  <c r="E132" i="6"/>
  <c r="C132" i="6"/>
  <c r="E131" i="6"/>
  <c r="E130" i="6"/>
  <c r="G129" i="6"/>
  <c r="F129" i="6"/>
  <c r="B129" i="6" s="1"/>
  <c r="E129" i="6"/>
  <c r="C129" i="6" s="1"/>
  <c r="A129" i="6"/>
  <c r="G128" i="6"/>
  <c r="E128" i="6"/>
  <c r="C128" i="6"/>
  <c r="G127" i="6"/>
  <c r="E127" i="6"/>
  <c r="C127" i="6" s="1"/>
  <c r="A127" i="6"/>
  <c r="E126" i="6"/>
  <c r="C126" i="6"/>
  <c r="E125" i="6"/>
  <c r="C125" i="6" s="1"/>
  <c r="E124" i="6"/>
  <c r="C124" i="6"/>
  <c r="E123" i="6"/>
  <c r="E122" i="6"/>
  <c r="G121" i="6"/>
  <c r="E121" i="6"/>
  <c r="F121" i="6" s="1"/>
  <c r="B121" i="6" s="1"/>
  <c r="C121" i="6"/>
  <c r="E120" i="6"/>
  <c r="G119" i="6"/>
  <c r="E119" i="6"/>
  <c r="F119" i="6" s="1"/>
  <c r="B119" i="6" s="1"/>
  <c r="C119" i="6"/>
  <c r="E118" i="6"/>
  <c r="G117" i="6"/>
  <c r="E117" i="6"/>
  <c r="F117" i="6" s="1"/>
  <c r="C117" i="6"/>
  <c r="B117" i="6"/>
  <c r="E116" i="6"/>
  <c r="G115" i="6"/>
  <c r="E115" i="6"/>
  <c r="F115" i="6" s="1"/>
  <c r="C115" i="6"/>
  <c r="B115" i="6"/>
  <c r="E114" i="6"/>
  <c r="G113" i="6"/>
  <c r="E113" i="6"/>
  <c r="F113" i="6" s="1"/>
  <c r="B113" i="6" s="1"/>
  <c r="C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A38" i="6"/>
  <c r="E37" i="6"/>
  <c r="E36" i="6"/>
  <c r="A36" i="6"/>
  <c r="E35" i="6"/>
  <c r="E34" i="6"/>
  <c r="F34" i="6" s="1"/>
  <c r="B34" i="6" s="1"/>
  <c r="A34" i="6"/>
  <c r="E33" i="6"/>
  <c r="E32" i="6"/>
  <c r="F32" i="6" s="1"/>
  <c r="B32" i="6" s="1"/>
  <c r="E31" i="6"/>
  <c r="E30" i="6"/>
  <c r="A30" i="6"/>
  <c r="E29" i="6"/>
  <c r="E28" i="6"/>
  <c r="A28" i="6"/>
  <c r="E27" i="6"/>
  <c r="E26" i="6"/>
  <c r="F26" i="6" s="1"/>
  <c r="B26" i="6" s="1"/>
  <c r="A26" i="6"/>
  <c r="E25" i="6"/>
  <c r="E24" i="6"/>
  <c r="E23" i="6"/>
  <c r="E22" i="6"/>
  <c r="A22" i="6"/>
  <c r="E21" i="6"/>
  <c r="E20" i="6"/>
  <c r="A20" i="6"/>
  <c r="E19" i="6"/>
  <c r="E18" i="6"/>
  <c r="F18" i="6" s="1"/>
  <c r="B18" i="6" s="1"/>
  <c r="A18" i="6"/>
  <c r="E17" i="6"/>
  <c r="E16" i="6"/>
  <c r="E15" i="6"/>
  <c r="E14" i="6"/>
  <c r="A14" i="6"/>
  <c r="E13" i="6"/>
  <c r="E12" i="6"/>
  <c r="A12" i="6"/>
  <c r="E11" i="6"/>
  <c r="E10" i="6"/>
  <c r="F10" i="6" s="1"/>
  <c r="B10" i="6" s="1"/>
  <c r="A10" i="6"/>
  <c r="E9" i="6"/>
  <c r="E8" i="6"/>
  <c r="E7" i="6"/>
  <c r="E6" i="6"/>
  <c r="A6" i="6"/>
  <c r="E5" i="6"/>
  <c r="E4" i="6"/>
  <c r="A4" i="6"/>
  <c r="E3" i="6"/>
  <c r="E500" i="7"/>
  <c r="G500" i="7" s="1"/>
  <c r="C500" i="7"/>
  <c r="G499" i="7"/>
  <c r="F499" i="7"/>
  <c r="B499" i="7" s="1"/>
  <c r="E499" i="7"/>
  <c r="C499" i="7" s="1"/>
  <c r="A499" i="7"/>
  <c r="E498" i="7"/>
  <c r="G498" i="7" s="1"/>
  <c r="C498" i="7"/>
  <c r="G497" i="7"/>
  <c r="F497" i="7"/>
  <c r="B497" i="7" s="1"/>
  <c r="E497" i="7"/>
  <c r="C497" i="7" s="1"/>
  <c r="A497" i="7"/>
  <c r="E496" i="7"/>
  <c r="G496" i="7" s="1"/>
  <c r="C496" i="7"/>
  <c r="G495" i="7"/>
  <c r="F495" i="7"/>
  <c r="B495" i="7" s="1"/>
  <c r="E495" i="7"/>
  <c r="C495" i="7" s="1"/>
  <c r="A495" i="7"/>
  <c r="E494" i="7"/>
  <c r="G494" i="7" s="1"/>
  <c r="C494" i="7"/>
  <c r="G493" i="7"/>
  <c r="F493" i="7"/>
  <c r="B493" i="7" s="1"/>
  <c r="E493" i="7"/>
  <c r="C493" i="7" s="1"/>
  <c r="A493" i="7"/>
  <c r="E492" i="7"/>
  <c r="G492" i="7" s="1"/>
  <c r="C492" i="7"/>
  <c r="G491" i="7"/>
  <c r="F491" i="7"/>
  <c r="B491" i="7" s="1"/>
  <c r="E491" i="7"/>
  <c r="C491" i="7" s="1"/>
  <c r="A491" i="7"/>
  <c r="E490" i="7"/>
  <c r="G490" i="7" s="1"/>
  <c r="C490" i="7"/>
  <c r="G489" i="7"/>
  <c r="F489" i="7"/>
  <c r="B489" i="7" s="1"/>
  <c r="E489" i="7"/>
  <c r="C489" i="7" s="1"/>
  <c r="A489" i="7"/>
  <c r="E488" i="7"/>
  <c r="G488" i="7" s="1"/>
  <c r="C488" i="7"/>
  <c r="G487" i="7"/>
  <c r="F487" i="7"/>
  <c r="B487" i="7" s="1"/>
  <c r="E487" i="7"/>
  <c r="C487" i="7" s="1"/>
  <c r="A487" i="7"/>
  <c r="E486" i="7"/>
  <c r="G485" i="7"/>
  <c r="F485" i="7"/>
  <c r="B485" i="7" s="1"/>
  <c r="E485" i="7"/>
  <c r="C485" i="7" s="1"/>
  <c r="A485" i="7"/>
  <c r="E484" i="7"/>
  <c r="G483" i="7"/>
  <c r="F483" i="7"/>
  <c r="E483" i="7"/>
  <c r="C483" i="7" s="1"/>
  <c r="B483" i="7"/>
  <c r="A483" i="7"/>
  <c r="E482" i="7"/>
  <c r="C482" i="7"/>
  <c r="G481" i="7"/>
  <c r="F481" i="7"/>
  <c r="E481" i="7"/>
  <c r="C481" i="7" s="1"/>
  <c r="B481" i="7"/>
  <c r="A481" i="7"/>
  <c r="E480" i="7"/>
  <c r="C480" i="7"/>
  <c r="G479" i="7"/>
  <c r="F479" i="7"/>
  <c r="B479" i="7" s="1"/>
  <c r="E479" i="7"/>
  <c r="C479" i="7" s="1"/>
  <c r="A479" i="7"/>
  <c r="E478" i="7"/>
  <c r="G477" i="7"/>
  <c r="F477" i="7"/>
  <c r="B477" i="7" s="1"/>
  <c r="E477" i="7"/>
  <c r="C477" i="7" s="1"/>
  <c r="A477" i="7"/>
  <c r="E476" i="7"/>
  <c r="C476" i="7" s="1"/>
  <c r="G475" i="7"/>
  <c r="F475" i="7"/>
  <c r="E475" i="7"/>
  <c r="C475" i="7" s="1"/>
  <c r="B475" i="7"/>
  <c r="A475" i="7"/>
  <c r="E474" i="7"/>
  <c r="C474" i="7"/>
  <c r="G473" i="7"/>
  <c r="F473" i="7"/>
  <c r="E473" i="7"/>
  <c r="C473" i="7" s="1"/>
  <c r="B473" i="7"/>
  <c r="A473" i="7"/>
  <c r="E472" i="7"/>
  <c r="C472" i="7"/>
  <c r="G471" i="7"/>
  <c r="F471" i="7"/>
  <c r="B471" i="7" s="1"/>
  <c r="E471" i="7"/>
  <c r="C471" i="7" s="1"/>
  <c r="A471" i="7"/>
  <c r="G470" i="7"/>
  <c r="E470" i="7"/>
  <c r="C470" i="7"/>
  <c r="G469" i="7"/>
  <c r="E469" i="7"/>
  <c r="C469" i="7" s="1"/>
  <c r="A469" i="7"/>
  <c r="E468" i="7"/>
  <c r="C468" i="7"/>
  <c r="E467" i="7"/>
  <c r="E466" i="7"/>
  <c r="C466" i="7"/>
  <c r="F465" i="7"/>
  <c r="B465" i="7" s="1"/>
  <c r="E465" i="7"/>
  <c r="E464" i="7"/>
  <c r="G463" i="7"/>
  <c r="F463" i="7"/>
  <c r="B463" i="7" s="1"/>
  <c r="E463" i="7"/>
  <c r="C463" i="7" s="1"/>
  <c r="A463" i="7"/>
  <c r="G462" i="7"/>
  <c r="E462" i="7"/>
  <c r="C462" i="7"/>
  <c r="G461" i="7"/>
  <c r="E461" i="7"/>
  <c r="C461" i="7" s="1"/>
  <c r="A461" i="7"/>
  <c r="E460" i="7"/>
  <c r="C460" i="7"/>
  <c r="E459" i="7"/>
  <c r="E458" i="7"/>
  <c r="C458" i="7" s="1"/>
  <c r="E457" i="7"/>
  <c r="G456" i="7"/>
  <c r="E456" i="7"/>
  <c r="G455" i="7"/>
  <c r="F455" i="7"/>
  <c r="B455" i="7" s="1"/>
  <c r="E455" i="7"/>
  <c r="C455" i="7" s="1"/>
  <c r="A455" i="7"/>
  <c r="G454" i="7"/>
  <c r="E454" i="7"/>
  <c r="C454" i="7"/>
  <c r="G453" i="7"/>
  <c r="E453" i="7"/>
  <c r="C453" i="7" s="1"/>
  <c r="A453" i="7"/>
  <c r="E452" i="7"/>
  <c r="C452" i="7"/>
  <c r="E451" i="7"/>
  <c r="E450" i="7"/>
  <c r="E449" i="7"/>
  <c r="G448" i="7"/>
  <c r="E448" i="7"/>
  <c r="G447" i="7"/>
  <c r="F447" i="7"/>
  <c r="B447" i="7" s="1"/>
  <c r="E447" i="7"/>
  <c r="C447" i="7" s="1"/>
  <c r="A447" i="7"/>
  <c r="G446" i="7"/>
  <c r="E446" i="7"/>
  <c r="C446" i="7"/>
  <c r="G445" i="7"/>
  <c r="E445" i="7"/>
  <c r="C445" i="7" s="1"/>
  <c r="A445" i="7"/>
  <c r="E444" i="7"/>
  <c r="F444" i="7" s="1"/>
  <c r="C444" i="7"/>
  <c r="B444" i="7"/>
  <c r="F443" i="7"/>
  <c r="B443" i="7" s="1"/>
  <c r="E443" i="7"/>
  <c r="A443" i="7"/>
  <c r="G442" i="7"/>
  <c r="E442" i="7"/>
  <c r="F442" i="7" s="1"/>
  <c r="C442" i="7"/>
  <c r="B442" i="7"/>
  <c r="F441" i="7"/>
  <c r="B441" i="7" s="1"/>
  <c r="E441" i="7"/>
  <c r="A441" i="7" s="1"/>
  <c r="G440" i="7"/>
  <c r="E440" i="7"/>
  <c r="F440" i="7" s="1"/>
  <c r="B440" i="7" s="1"/>
  <c r="C440" i="7"/>
  <c r="E439" i="7"/>
  <c r="G438" i="7"/>
  <c r="E438" i="7"/>
  <c r="F438" i="7" s="1"/>
  <c r="B438" i="7" s="1"/>
  <c r="C438" i="7"/>
  <c r="E437" i="7"/>
  <c r="A437" i="7"/>
  <c r="G436" i="7"/>
  <c r="E436" i="7"/>
  <c r="F436" i="7" s="1"/>
  <c r="C436" i="7"/>
  <c r="B436" i="7"/>
  <c r="F435" i="7"/>
  <c r="B435" i="7" s="1"/>
  <c r="E435" i="7"/>
  <c r="A435" i="7"/>
  <c r="G434" i="7"/>
  <c r="E434" i="7"/>
  <c r="F434" i="7" s="1"/>
  <c r="C434" i="7"/>
  <c r="B434" i="7"/>
  <c r="F433" i="7"/>
  <c r="B433" i="7" s="1"/>
  <c r="E433" i="7"/>
  <c r="A433" i="7" s="1"/>
  <c r="G432" i="7"/>
  <c r="E432" i="7"/>
  <c r="F432" i="7" s="1"/>
  <c r="B432" i="7" s="1"/>
  <c r="C432" i="7"/>
  <c r="E431" i="7"/>
  <c r="G430" i="7"/>
  <c r="E430" i="7"/>
  <c r="F430" i="7" s="1"/>
  <c r="B430" i="7" s="1"/>
  <c r="C430" i="7"/>
  <c r="E429" i="7"/>
  <c r="A429" i="7"/>
  <c r="G428" i="7"/>
  <c r="E428" i="7"/>
  <c r="F428" i="7" s="1"/>
  <c r="C428" i="7"/>
  <c r="B428" i="7"/>
  <c r="E427" i="7"/>
  <c r="C427" i="7" s="1"/>
  <c r="E426" i="7"/>
  <c r="C426" i="7"/>
  <c r="E425" i="7"/>
  <c r="C425" i="7" s="1"/>
  <c r="E424" i="7"/>
  <c r="G423" i="7"/>
  <c r="F423" i="7"/>
  <c r="B423" i="7" s="1"/>
  <c r="E423" i="7"/>
  <c r="C423" i="7" s="1"/>
  <c r="A423" i="7"/>
  <c r="G422" i="7"/>
  <c r="E422" i="7"/>
  <c r="C422" i="7" s="1"/>
  <c r="G421" i="7"/>
  <c r="F421" i="7"/>
  <c r="E421" i="7"/>
  <c r="C421" i="7" s="1"/>
  <c r="B421" i="7"/>
  <c r="A421" i="7"/>
  <c r="G420" i="7"/>
  <c r="E420" i="7"/>
  <c r="C420" i="7"/>
  <c r="E419" i="7"/>
  <c r="C419" i="7" s="1"/>
  <c r="E418" i="7"/>
  <c r="C418" i="7"/>
  <c r="E417" i="7"/>
  <c r="C417" i="7" s="1"/>
  <c r="E416" i="7"/>
  <c r="G415" i="7"/>
  <c r="F415" i="7"/>
  <c r="B415" i="7" s="1"/>
  <c r="E415" i="7"/>
  <c r="C415" i="7" s="1"/>
  <c r="A415" i="7"/>
  <c r="G414" i="7"/>
  <c r="E414" i="7"/>
  <c r="C414" i="7" s="1"/>
  <c r="G413" i="7"/>
  <c r="F413" i="7"/>
  <c r="E413" i="7"/>
  <c r="C413" i="7" s="1"/>
  <c r="B413" i="7"/>
  <c r="A413" i="7"/>
  <c r="G412" i="7"/>
  <c r="E412" i="7"/>
  <c r="C412" i="7"/>
  <c r="E411" i="7"/>
  <c r="C411" i="7" s="1"/>
  <c r="E410" i="7"/>
  <c r="C410" i="7"/>
  <c r="E409" i="7"/>
  <c r="C409" i="7" s="1"/>
  <c r="E408" i="7"/>
  <c r="G407" i="7"/>
  <c r="F407" i="7"/>
  <c r="B407" i="7" s="1"/>
  <c r="E407" i="7"/>
  <c r="C407" i="7" s="1"/>
  <c r="A407" i="7"/>
  <c r="G406" i="7"/>
  <c r="F406" i="7"/>
  <c r="E406" i="7"/>
  <c r="C406" i="7"/>
  <c r="B406" i="7"/>
  <c r="A406" i="7"/>
  <c r="E405" i="7"/>
  <c r="C405" i="7" s="1"/>
  <c r="G404" i="7"/>
  <c r="F404" i="7"/>
  <c r="E404" i="7"/>
  <c r="C404" i="7"/>
  <c r="B404" i="7"/>
  <c r="A404" i="7"/>
  <c r="E403" i="7"/>
  <c r="C403" i="7" s="1"/>
  <c r="G402" i="7"/>
  <c r="F402" i="7"/>
  <c r="E402" i="7"/>
  <c r="C402" i="7"/>
  <c r="B402" i="7"/>
  <c r="A402" i="7"/>
  <c r="E401" i="7"/>
  <c r="C401" i="7" s="1"/>
  <c r="G400" i="7"/>
  <c r="F400" i="7"/>
  <c r="E400" i="7"/>
  <c r="C400" i="7"/>
  <c r="B400" i="7"/>
  <c r="A400" i="7"/>
  <c r="E399" i="7"/>
  <c r="C399" i="7" s="1"/>
  <c r="G398" i="7"/>
  <c r="F398" i="7"/>
  <c r="E398" i="7"/>
  <c r="C398" i="7"/>
  <c r="B398" i="7"/>
  <c r="A398" i="7"/>
  <c r="E397" i="7"/>
  <c r="C397" i="7" s="1"/>
  <c r="G396" i="7"/>
  <c r="F396" i="7"/>
  <c r="E396" i="7"/>
  <c r="C396" i="7"/>
  <c r="B396" i="7"/>
  <c r="A396" i="7"/>
  <c r="E395" i="7"/>
  <c r="C395" i="7" s="1"/>
  <c r="G394" i="7"/>
  <c r="F394" i="7"/>
  <c r="E394" i="7"/>
  <c r="C394" i="7"/>
  <c r="B394" i="7"/>
  <c r="A394" i="7"/>
  <c r="E393" i="7"/>
  <c r="C393" i="7" s="1"/>
  <c r="G392" i="7"/>
  <c r="F392" i="7"/>
  <c r="E392" i="7"/>
  <c r="C392" i="7"/>
  <c r="B392" i="7"/>
  <c r="A392" i="7"/>
  <c r="E391" i="7"/>
  <c r="C391" i="7" s="1"/>
  <c r="G390" i="7"/>
  <c r="F390" i="7"/>
  <c r="E390" i="7"/>
  <c r="C390" i="7"/>
  <c r="B390" i="7"/>
  <c r="A390" i="7"/>
  <c r="E389" i="7"/>
  <c r="C389" i="7" s="1"/>
  <c r="G388" i="7"/>
  <c r="F388" i="7"/>
  <c r="E388" i="7"/>
  <c r="C388" i="7"/>
  <c r="B388" i="7"/>
  <c r="A388" i="7"/>
  <c r="E387" i="7"/>
  <c r="C387" i="7" s="1"/>
  <c r="G386" i="7"/>
  <c r="F386" i="7"/>
  <c r="E386" i="7"/>
  <c r="C386" i="7"/>
  <c r="B386" i="7"/>
  <c r="A386" i="7"/>
  <c r="E385" i="7"/>
  <c r="C385" i="7" s="1"/>
  <c r="G384" i="7"/>
  <c r="F384" i="7"/>
  <c r="E384" i="7"/>
  <c r="C384" i="7"/>
  <c r="B384" i="7"/>
  <c r="A384" i="7"/>
  <c r="E383" i="7"/>
  <c r="C383" i="7" s="1"/>
  <c r="G382" i="7"/>
  <c r="F382" i="7"/>
  <c r="E382" i="7"/>
  <c r="C382" i="7"/>
  <c r="B382" i="7"/>
  <c r="A382" i="7"/>
  <c r="E381" i="7"/>
  <c r="C381" i="7" s="1"/>
  <c r="G380" i="7"/>
  <c r="F380" i="7"/>
  <c r="E380" i="7"/>
  <c r="C380" i="7"/>
  <c r="B380" i="7"/>
  <c r="A380" i="7"/>
  <c r="E379" i="7"/>
  <c r="C379" i="7" s="1"/>
  <c r="G378" i="7"/>
  <c r="F378" i="7"/>
  <c r="E378" i="7"/>
  <c r="C378" i="7"/>
  <c r="B378" i="7"/>
  <c r="A378" i="7"/>
  <c r="E377" i="7"/>
  <c r="G376" i="7"/>
  <c r="F376" i="7"/>
  <c r="E376" i="7"/>
  <c r="C376" i="7"/>
  <c r="B376" i="7"/>
  <c r="A376" i="7"/>
  <c r="E375" i="7"/>
  <c r="G374" i="7"/>
  <c r="F374" i="7"/>
  <c r="E374" i="7"/>
  <c r="C374" i="7"/>
  <c r="B374" i="7"/>
  <c r="A374" i="7"/>
  <c r="E373" i="7"/>
  <c r="G372" i="7"/>
  <c r="F372" i="7"/>
  <c r="E372" i="7"/>
  <c r="C372" i="7"/>
  <c r="B372" i="7"/>
  <c r="A372" i="7"/>
  <c r="E371" i="7"/>
  <c r="G370" i="7"/>
  <c r="F370" i="7"/>
  <c r="E370" i="7"/>
  <c r="C370" i="7"/>
  <c r="B370" i="7"/>
  <c r="A370" i="7"/>
  <c r="E369" i="7"/>
  <c r="G368" i="7"/>
  <c r="F368" i="7"/>
  <c r="E368" i="7"/>
  <c r="C368" i="7"/>
  <c r="B368" i="7"/>
  <c r="A368" i="7"/>
  <c r="E367" i="7"/>
  <c r="G366" i="7"/>
  <c r="F366" i="7"/>
  <c r="E366" i="7"/>
  <c r="C366" i="7"/>
  <c r="B366" i="7"/>
  <c r="A366" i="7"/>
  <c r="E365" i="7"/>
  <c r="G364" i="7"/>
  <c r="F364" i="7"/>
  <c r="E364" i="7"/>
  <c r="C364" i="7"/>
  <c r="B364" i="7"/>
  <c r="A364" i="7"/>
  <c r="E363" i="7"/>
  <c r="G362" i="7"/>
  <c r="F362" i="7"/>
  <c r="E362" i="7"/>
  <c r="C362" i="7"/>
  <c r="B362" i="7"/>
  <c r="A362" i="7"/>
  <c r="E361" i="7"/>
  <c r="G360" i="7"/>
  <c r="F360" i="7"/>
  <c r="E360" i="7"/>
  <c r="C360" i="7"/>
  <c r="B360" i="7"/>
  <c r="A360" i="7"/>
  <c r="E359" i="7"/>
  <c r="G358" i="7"/>
  <c r="F358" i="7"/>
  <c r="E358" i="7"/>
  <c r="C358" i="7"/>
  <c r="B358" i="7"/>
  <c r="A358" i="7"/>
  <c r="E357" i="7"/>
  <c r="G356" i="7"/>
  <c r="F356" i="7"/>
  <c r="E356" i="7"/>
  <c r="C356" i="7"/>
  <c r="B356" i="7"/>
  <c r="A356" i="7"/>
  <c r="E355" i="7"/>
  <c r="G354" i="7"/>
  <c r="F354" i="7"/>
  <c r="E354" i="7"/>
  <c r="C354" i="7"/>
  <c r="B354" i="7"/>
  <c r="A354" i="7"/>
  <c r="E353" i="7"/>
  <c r="G352" i="7"/>
  <c r="F352" i="7"/>
  <c r="E352" i="7"/>
  <c r="C352" i="7"/>
  <c r="B352" i="7"/>
  <c r="A352" i="7"/>
  <c r="E351" i="7"/>
  <c r="G350" i="7"/>
  <c r="F350" i="7"/>
  <c r="E350" i="7"/>
  <c r="C350" i="7"/>
  <c r="B350" i="7"/>
  <c r="A350" i="7"/>
  <c r="E349" i="7"/>
  <c r="G348" i="7"/>
  <c r="F348" i="7"/>
  <c r="E348" i="7"/>
  <c r="C348" i="7"/>
  <c r="B348" i="7"/>
  <c r="A348" i="7"/>
  <c r="E347" i="7"/>
  <c r="G346" i="7"/>
  <c r="F346" i="7"/>
  <c r="E346" i="7"/>
  <c r="C346" i="7"/>
  <c r="B346" i="7"/>
  <c r="A346" i="7"/>
  <c r="E345" i="7"/>
  <c r="G344" i="7"/>
  <c r="F344" i="7"/>
  <c r="E344" i="7"/>
  <c r="C344" i="7"/>
  <c r="B344" i="7"/>
  <c r="A344" i="7"/>
  <c r="E343" i="7"/>
  <c r="G342" i="7"/>
  <c r="F342" i="7"/>
  <c r="E342" i="7"/>
  <c r="C342" i="7"/>
  <c r="B342" i="7"/>
  <c r="A342" i="7"/>
  <c r="E341" i="7"/>
  <c r="G340" i="7"/>
  <c r="F340" i="7"/>
  <c r="E340" i="7"/>
  <c r="C340" i="7"/>
  <c r="B340" i="7"/>
  <c r="A340" i="7"/>
  <c r="E339" i="7"/>
  <c r="G338" i="7"/>
  <c r="F338" i="7"/>
  <c r="E338" i="7"/>
  <c r="C338" i="7"/>
  <c r="B338" i="7"/>
  <c r="A338" i="7"/>
  <c r="F337" i="7"/>
  <c r="B337" i="7" s="1"/>
  <c r="E337" i="7"/>
  <c r="A337" i="7"/>
  <c r="G336" i="7"/>
  <c r="F336" i="7"/>
  <c r="E336" i="7"/>
  <c r="C336" i="7"/>
  <c r="B336" i="7"/>
  <c r="A336" i="7"/>
  <c r="E335" i="7"/>
  <c r="A335" i="7" s="1"/>
  <c r="G334" i="7"/>
  <c r="F334" i="7"/>
  <c r="E334" i="7"/>
  <c r="C334" i="7"/>
  <c r="B334" i="7"/>
  <c r="A334" i="7"/>
  <c r="F333" i="7"/>
  <c r="B333" i="7" s="1"/>
  <c r="E333" i="7"/>
  <c r="A333" i="7"/>
  <c r="G332" i="7"/>
  <c r="F332" i="7"/>
  <c r="B332" i="7" s="1"/>
  <c r="E332" i="7"/>
  <c r="C332" i="7"/>
  <c r="A332" i="7"/>
  <c r="E331" i="7"/>
  <c r="G331" i="7" s="1"/>
  <c r="A331" i="7"/>
  <c r="G330" i="7"/>
  <c r="F330" i="7"/>
  <c r="B330" i="7" s="1"/>
  <c r="E330" i="7"/>
  <c r="C330" i="7"/>
  <c r="A330" i="7"/>
  <c r="E329" i="7"/>
  <c r="G329" i="7" s="1"/>
  <c r="G328" i="7"/>
  <c r="F328" i="7"/>
  <c r="B328" i="7" s="1"/>
  <c r="E328" i="7"/>
  <c r="C328" i="7"/>
  <c r="A328" i="7"/>
  <c r="E327" i="7"/>
  <c r="G327" i="7" s="1"/>
  <c r="A327" i="7"/>
  <c r="G326" i="7"/>
  <c r="F326" i="7"/>
  <c r="B326" i="7" s="1"/>
  <c r="E326" i="7"/>
  <c r="C326" i="7"/>
  <c r="A326" i="7"/>
  <c r="E325" i="7"/>
  <c r="G325" i="7" s="1"/>
  <c r="G324" i="7"/>
  <c r="F324" i="7"/>
  <c r="B324" i="7" s="1"/>
  <c r="E324" i="7"/>
  <c r="C324" i="7"/>
  <c r="A324" i="7"/>
  <c r="E323" i="7"/>
  <c r="G323" i="7" s="1"/>
  <c r="A323" i="7"/>
  <c r="G322" i="7"/>
  <c r="F322" i="7"/>
  <c r="B322" i="7" s="1"/>
  <c r="E322" i="7"/>
  <c r="C322" i="7"/>
  <c r="A322" i="7"/>
  <c r="E321" i="7"/>
  <c r="G321" i="7" s="1"/>
  <c r="G320" i="7"/>
  <c r="F320" i="7"/>
  <c r="B320" i="7" s="1"/>
  <c r="E320" i="7"/>
  <c r="C320" i="7"/>
  <c r="A320" i="7"/>
  <c r="E319" i="7"/>
  <c r="G319" i="7" s="1"/>
  <c r="A319" i="7"/>
  <c r="G318" i="7"/>
  <c r="F318" i="7"/>
  <c r="B318" i="7" s="1"/>
  <c r="E318" i="7"/>
  <c r="C318" i="7"/>
  <c r="A318" i="7"/>
  <c r="E317" i="7"/>
  <c r="G317" i="7" s="1"/>
  <c r="G316" i="7"/>
  <c r="F316" i="7"/>
  <c r="B316" i="7" s="1"/>
  <c r="E316" i="7"/>
  <c r="C316" i="7"/>
  <c r="A316" i="7"/>
  <c r="E315" i="7"/>
  <c r="G315" i="7" s="1"/>
  <c r="A315" i="7"/>
  <c r="G314" i="7"/>
  <c r="F314" i="7"/>
  <c r="B314" i="7" s="1"/>
  <c r="E314" i="7"/>
  <c r="C314" i="7"/>
  <c r="A314" i="7"/>
  <c r="E313" i="7"/>
  <c r="G313" i="7" s="1"/>
  <c r="G312" i="7"/>
  <c r="F312" i="7"/>
  <c r="B312" i="7" s="1"/>
  <c r="E312" i="7"/>
  <c r="C312" i="7"/>
  <c r="A312" i="7"/>
  <c r="E311" i="7"/>
  <c r="G311" i="7" s="1"/>
  <c r="A311" i="7"/>
  <c r="G310" i="7"/>
  <c r="F310" i="7"/>
  <c r="B310" i="7" s="1"/>
  <c r="E310" i="7"/>
  <c r="C310" i="7"/>
  <c r="A310" i="7"/>
  <c r="E309" i="7"/>
  <c r="G309" i="7" s="1"/>
  <c r="G308" i="7"/>
  <c r="F308" i="7"/>
  <c r="B308" i="7" s="1"/>
  <c r="E308" i="7"/>
  <c r="C308" i="7"/>
  <c r="A308" i="7"/>
  <c r="E307" i="7"/>
  <c r="G307" i="7" s="1"/>
  <c r="A307" i="7"/>
  <c r="G306" i="7"/>
  <c r="F306" i="7"/>
  <c r="B306" i="7" s="1"/>
  <c r="E306" i="7"/>
  <c r="C306" i="7"/>
  <c r="A306" i="7"/>
  <c r="E305" i="7"/>
  <c r="G305" i="7" s="1"/>
  <c r="G304" i="7"/>
  <c r="F304" i="7"/>
  <c r="B304" i="7" s="1"/>
  <c r="E304" i="7"/>
  <c r="C304" i="7"/>
  <c r="A304" i="7"/>
  <c r="E303" i="7"/>
  <c r="G303" i="7" s="1"/>
  <c r="A303" i="7"/>
  <c r="G302" i="7"/>
  <c r="F302" i="7"/>
  <c r="B302" i="7" s="1"/>
  <c r="E302" i="7"/>
  <c r="C302" i="7"/>
  <c r="A302" i="7"/>
  <c r="E301" i="7"/>
  <c r="G301" i="7" s="1"/>
  <c r="G300" i="7"/>
  <c r="F300" i="7"/>
  <c r="B300" i="7" s="1"/>
  <c r="E300" i="7"/>
  <c r="C300" i="7"/>
  <c r="A300" i="7"/>
  <c r="E299" i="7"/>
  <c r="G299" i="7" s="1"/>
  <c r="E298" i="7"/>
  <c r="F298" i="7" s="1"/>
  <c r="B298" i="7" s="1"/>
  <c r="G297" i="7"/>
  <c r="E297" i="7"/>
  <c r="C297" i="7" s="1"/>
  <c r="E296" i="7"/>
  <c r="F296" i="7" s="1"/>
  <c r="B296" i="7" s="1"/>
  <c r="G295" i="7"/>
  <c r="E295" i="7"/>
  <c r="C295" i="7" s="1"/>
  <c r="E294" i="7"/>
  <c r="F294" i="7" s="1"/>
  <c r="B294" i="7" s="1"/>
  <c r="G293" i="7"/>
  <c r="E293" i="7"/>
  <c r="C293" i="7" s="1"/>
  <c r="E292" i="7"/>
  <c r="F292" i="7" s="1"/>
  <c r="B292" i="7" s="1"/>
  <c r="G291" i="7"/>
  <c r="E291" i="7"/>
  <c r="C291" i="7" s="1"/>
  <c r="E290" i="7"/>
  <c r="G289" i="7"/>
  <c r="E289" i="7"/>
  <c r="C289" i="7" s="1"/>
  <c r="E288" i="7"/>
  <c r="G287" i="7"/>
  <c r="E287" i="7"/>
  <c r="C287" i="7" s="1"/>
  <c r="E286" i="7"/>
  <c r="G285" i="7"/>
  <c r="E285" i="7"/>
  <c r="C285" i="7" s="1"/>
  <c r="E284" i="7"/>
  <c r="G283" i="7"/>
  <c r="E283" i="7"/>
  <c r="C283" i="7" s="1"/>
  <c r="E282" i="7"/>
  <c r="G281" i="7"/>
  <c r="E281" i="7"/>
  <c r="C281" i="7" s="1"/>
  <c r="E280" i="7"/>
  <c r="G279" i="7"/>
  <c r="E279" i="7"/>
  <c r="E278" i="7"/>
  <c r="G277" i="7"/>
  <c r="E277" i="7"/>
  <c r="E276" i="7"/>
  <c r="G275" i="7"/>
  <c r="E275" i="7"/>
  <c r="E274" i="7"/>
  <c r="G273" i="7"/>
  <c r="E273" i="7"/>
  <c r="E272" i="7"/>
  <c r="G271" i="7"/>
  <c r="E271" i="7"/>
  <c r="E270" i="7"/>
  <c r="G269" i="7"/>
  <c r="E269" i="7"/>
  <c r="E268" i="7"/>
  <c r="G267" i="7"/>
  <c r="E267" i="7"/>
  <c r="E266" i="7"/>
  <c r="G265" i="7"/>
  <c r="E265" i="7"/>
  <c r="E264" i="7"/>
  <c r="G263" i="7"/>
  <c r="E263" i="7"/>
  <c r="E262" i="7"/>
  <c r="G261" i="7"/>
  <c r="E261" i="7"/>
  <c r="E260" i="7"/>
  <c r="G259" i="7"/>
  <c r="E259" i="7"/>
  <c r="E258" i="7"/>
  <c r="G257" i="7"/>
  <c r="E257" i="7"/>
  <c r="E256" i="7"/>
  <c r="G255" i="7"/>
  <c r="E255" i="7"/>
  <c r="E254" i="7"/>
  <c r="G253" i="7"/>
  <c r="E253" i="7"/>
  <c r="E252" i="7"/>
  <c r="G251" i="7"/>
  <c r="E251" i="7"/>
  <c r="E250" i="7"/>
  <c r="G249" i="7"/>
  <c r="E249" i="7"/>
  <c r="E248" i="7"/>
  <c r="E247" i="7"/>
  <c r="G247" i="7" s="1"/>
  <c r="E246" i="7"/>
  <c r="E245" i="7"/>
  <c r="G245" i="7" s="1"/>
  <c r="E244" i="7"/>
  <c r="E243" i="7"/>
  <c r="G243" i="7" s="1"/>
  <c r="E242" i="7"/>
  <c r="E241" i="7"/>
  <c r="G241" i="7" s="1"/>
  <c r="E240" i="7"/>
  <c r="E239" i="7"/>
  <c r="G239" i="7" s="1"/>
  <c r="E238" i="7"/>
  <c r="E237" i="7"/>
  <c r="G237" i="7" s="1"/>
  <c r="E236" i="7"/>
  <c r="E235" i="7"/>
  <c r="G235" i="7" s="1"/>
  <c r="E234" i="7"/>
  <c r="E233" i="7"/>
  <c r="G233" i="7" s="1"/>
  <c r="E232" i="7"/>
  <c r="E231" i="7"/>
  <c r="G231" i="7" s="1"/>
  <c r="E230" i="7"/>
  <c r="E229" i="7"/>
  <c r="G229" i="7" s="1"/>
  <c r="E228" i="7"/>
  <c r="E227" i="7"/>
  <c r="G227" i="7" s="1"/>
  <c r="E226" i="7"/>
  <c r="E225" i="7"/>
  <c r="G225" i="7" s="1"/>
  <c r="E224" i="7"/>
  <c r="E223" i="7"/>
  <c r="G223" i="7" s="1"/>
  <c r="E222" i="7"/>
  <c r="E221" i="7"/>
  <c r="G221" i="7" s="1"/>
  <c r="E220" i="7"/>
  <c r="E219" i="7"/>
  <c r="G219" i="7" s="1"/>
  <c r="E218" i="7"/>
  <c r="E217" i="7"/>
  <c r="G217" i="7" s="1"/>
  <c r="E216" i="7"/>
  <c r="E215" i="7"/>
  <c r="G215" i="7" s="1"/>
  <c r="E214" i="7"/>
  <c r="E213" i="7"/>
  <c r="G213" i="7" s="1"/>
  <c r="E212" i="7"/>
  <c r="E211" i="7"/>
  <c r="G211" i="7" s="1"/>
  <c r="E210" i="7"/>
  <c r="E209" i="7"/>
  <c r="G209" i="7" s="1"/>
  <c r="E208" i="7"/>
  <c r="E207" i="7"/>
  <c r="G207" i="7" s="1"/>
  <c r="E206" i="7"/>
  <c r="E205" i="7"/>
  <c r="G205" i="7" s="1"/>
  <c r="C205" i="7"/>
  <c r="E204" i="7"/>
  <c r="F204" i="7" s="1"/>
  <c r="B204" i="7" s="1"/>
  <c r="E203" i="7"/>
  <c r="E202" i="7"/>
  <c r="F202" i="7" s="1"/>
  <c r="B202" i="7" s="1"/>
  <c r="E201" i="7"/>
  <c r="E200" i="7"/>
  <c r="F200" i="7" s="1"/>
  <c r="B200" i="7" s="1"/>
  <c r="E199" i="7"/>
  <c r="E198" i="7"/>
  <c r="F198" i="7" s="1"/>
  <c r="B198" i="7" s="1"/>
  <c r="E197" i="7"/>
  <c r="E196" i="7"/>
  <c r="F196" i="7" s="1"/>
  <c r="B196" i="7" s="1"/>
  <c r="E195" i="7"/>
  <c r="E194" i="7"/>
  <c r="F194" i="7" s="1"/>
  <c r="B194" i="7" s="1"/>
  <c r="E193" i="7"/>
  <c r="E192" i="7"/>
  <c r="F192" i="7" s="1"/>
  <c r="B192" i="7" s="1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G109" i="7" s="1"/>
  <c r="E108" i="7"/>
  <c r="E107" i="7"/>
  <c r="E106" i="7"/>
  <c r="G106" i="7" s="1"/>
  <c r="E105" i="7"/>
  <c r="G105" i="7" s="1"/>
  <c r="E104" i="7"/>
  <c r="E103" i="7"/>
  <c r="E102" i="7"/>
  <c r="G102" i="7" s="1"/>
  <c r="E101" i="7"/>
  <c r="G101" i="7" s="1"/>
  <c r="E100" i="7"/>
  <c r="E99" i="7"/>
  <c r="E98" i="7"/>
  <c r="G98" i="7" s="1"/>
  <c r="E97" i="7"/>
  <c r="G97" i="7" s="1"/>
  <c r="E96" i="7"/>
  <c r="E95" i="7"/>
  <c r="E94" i="7"/>
  <c r="G94" i="7" s="1"/>
  <c r="E93" i="7"/>
  <c r="G93" i="7" s="1"/>
  <c r="E92" i="7"/>
  <c r="E91" i="7"/>
  <c r="E90" i="7"/>
  <c r="G90" i="7" s="1"/>
  <c r="E89" i="7"/>
  <c r="G89" i="7" s="1"/>
  <c r="E88" i="7"/>
  <c r="E87" i="7"/>
  <c r="E86" i="7"/>
  <c r="G86" i="7" s="1"/>
  <c r="E85" i="7"/>
  <c r="G85" i="7" s="1"/>
  <c r="E84" i="7"/>
  <c r="E83" i="7"/>
  <c r="E82" i="7"/>
  <c r="G82" i="7" s="1"/>
  <c r="E81" i="7"/>
  <c r="G81" i="7" s="1"/>
  <c r="E80" i="7"/>
  <c r="E79" i="7"/>
  <c r="E78" i="7"/>
  <c r="G78" i="7" s="1"/>
  <c r="E77" i="7"/>
  <c r="G77" i="7" s="1"/>
  <c r="E76" i="7"/>
  <c r="E75" i="7"/>
  <c r="E74" i="7"/>
  <c r="G74" i="7" s="1"/>
  <c r="E73" i="7"/>
  <c r="G73" i="7" s="1"/>
  <c r="E72" i="7"/>
  <c r="E71" i="7"/>
  <c r="E70" i="7"/>
  <c r="G70" i="7" s="1"/>
  <c r="E69" i="7"/>
  <c r="G69" i="7" s="1"/>
  <c r="E68" i="7"/>
  <c r="E67" i="7"/>
  <c r="E66" i="7"/>
  <c r="G66" i="7" s="1"/>
  <c r="E65" i="7"/>
  <c r="G65" i="7" s="1"/>
  <c r="E64" i="7"/>
  <c r="E63" i="7"/>
  <c r="E62" i="7"/>
  <c r="G62" i="7" s="1"/>
  <c r="E61" i="7"/>
  <c r="G61" i="7" s="1"/>
  <c r="E60" i="7"/>
  <c r="E59" i="7"/>
  <c r="E58" i="7"/>
  <c r="G58" i="7" s="1"/>
  <c r="E57" i="7"/>
  <c r="G57" i="7" s="1"/>
  <c r="E56" i="7"/>
  <c r="E55" i="7"/>
  <c r="E54" i="7"/>
  <c r="G54" i="7" s="1"/>
  <c r="E53" i="7"/>
  <c r="G53" i="7" s="1"/>
  <c r="E52" i="7"/>
  <c r="E51" i="7"/>
  <c r="E50" i="7"/>
  <c r="G50" i="7" s="1"/>
  <c r="E49" i="7"/>
  <c r="G49" i="7" s="1"/>
  <c r="E48" i="7"/>
  <c r="E47" i="7"/>
  <c r="E46" i="7"/>
  <c r="G46" i="7" s="1"/>
  <c r="E45" i="7"/>
  <c r="G45" i="7" s="1"/>
  <c r="E44" i="7"/>
  <c r="E43" i="7"/>
  <c r="E42" i="7"/>
  <c r="G42" i="7" s="1"/>
  <c r="E41" i="7"/>
  <c r="G41" i="7" s="1"/>
  <c r="E40" i="7"/>
  <c r="E39" i="7"/>
  <c r="E38" i="7"/>
  <c r="G38" i="7" s="1"/>
  <c r="E37" i="7"/>
  <c r="G37" i="7" s="1"/>
  <c r="E36" i="7"/>
  <c r="E35" i="7"/>
  <c r="E34" i="7"/>
  <c r="G34" i="7" s="1"/>
  <c r="E33" i="7"/>
  <c r="G33" i="7" s="1"/>
  <c r="E32" i="7"/>
  <c r="E31" i="7"/>
  <c r="E30" i="7"/>
  <c r="G30" i="7" s="1"/>
  <c r="E29" i="7"/>
  <c r="G29" i="7" s="1"/>
  <c r="E28" i="7"/>
  <c r="E27" i="7"/>
  <c r="E26" i="7"/>
  <c r="G26" i="7" s="1"/>
  <c r="E25" i="7"/>
  <c r="G25" i="7" s="1"/>
  <c r="E24" i="7"/>
  <c r="E23" i="7"/>
  <c r="E22" i="7"/>
  <c r="G22" i="7" s="1"/>
  <c r="E21" i="7"/>
  <c r="G21" i="7" s="1"/>
  <c r="E20" i="7"/>
  <c r="E19" i="7"/>
  <c r="E18" i="7"/>
  <c r="G18" i="7" s="1"/>
  <c r="E17" i="7"/>
  <c r="G17" i="7" s="1"/>
  <c r="E16" i="7"/>
  <c r="E15" i="7"/>
  <c r="E14" i="7"/>
  <c r="G14" i="7" s="1"/>
  <c r="E13" i="7"/>
  <c r="G13" i="7" s="1"/>
  <c r="E12" i="7"/>
  <c r="E11" i="7"/>
  <c r="E10" i="7"/>
  <c r="G10" i="7" s="1"/>
  <c r="E9" i="7"/>
  <c r="A9" i="7"/>
  <c r="E8" i="7"/>
  <c r="A8" i="7"/>
  <c r="E7" i="7"/>
  <c r="E6" i="7"/>
  <c r="A6" i="7"/>
  <c r="E5" i="7"/>
  <c r="E4" i="7"/>
  <c r="A4" i="7"/>
  <c r="E3" i="7"/>
  <c r="E500" i="8"/>
  <c r="C500" i="8" s="1"/>
  <c r="G499" i="8"/>
  <c r="F499" i="8"/>
  <c r="B499" i="8" s="1"/>
  <c r="E499" i="8"/>
  <c r="C499" i="8"/>
  <c r="A499" i="8"/>
  <c r="E498" i="8"/>
  <c r="C498" i="8" s="1"/>
  <c r="G497" i="8"/>
  <c r="F497" i="8"/>
  <c r="B497" i="8" s="1"/>
  <c r="E497" i="8"/>
  <c r="C497" i="8"/>
  <c r="A497" i="8"/>
  <c r="E496" i="8"/>
  <c r="C496" i="8" s="1"/>
  <c r="G495" i="8"/>
  <c r="F495" i="8"/>
  <c r="B495" i="8" s="1"/>
  <c r="E495" i="8"/>
  <c r="C495" i="8"/>
  <c r="A495" i="8"/>
  <c r="E494" i="8"/>
  <c r="C494" i="8" s="1"/>
  <c r="G493" i="8"/>
  <c r="F493" i="8"/>
  <c r="B493" i="8" s="1"/>
  <c r="E493" i="8"/>
  <c r="C493" i="8"/>
  <c r="A493" i="8"/>
  <c r="E492" i="8"/>
  <c r="C492" i="8" s="1"/>
  <c r="G491" i="8"/>
  <c r="F491" i="8"/>
  <c r="B491" i="8" s="1"/>
  <c r="E491" i="8"/>
  <c r="C491" i="8"/>
  <c r="A491" i="8"/>
  <c r="E490" i="8"/>
  <c r="C490" i="8" s="1"/>
  <c r="G489" i="8"/>
  <c r="F489" i="8"/>
  <c r="B489" i="8" s="1"/>
  <c r="E489" i="8"/>
  <c r="C489" i="8"/>
  <c r="A489" i="8"/>
  <c r="E488" i="8"/>
  <c r="C488" i="8" s="1"/>
  <c r="G487" i="8"/>
  <c r="F487" i="8"/>
  <c r="B487" i="8" s="1"/>
  <c r="E487" i="8"/>
  <c r="C487" i="8"/>
  <c r="A487" i="8"/>
  <c r="E486" i="8"/>
  <c r="C486" i="8" s="1"/>
  <c r="G485" i="8"/>
  <c r="F485" i="8"/>
  <c r="B485" i="8" s="1"/>
  <c r="E485" i="8"/>
  <c r="C485" i="8"/>
  <c r="A485" i="8"/>
  <c r="E484" i="8"/>
  <c r="C484" i="8" s="1"/>
  <c r="G483" i="8"/>
  <c r="F483" i="8"/>
  <c r="B483" i="8" s="1"/>
  <c r="E483" i="8"/>
  <c r="C483" i="8"/>
  <c r="A483" i="8"/>
  <c r="E482" i="8"/>
  <c r="C482" i="8" s="1"/>
  <c r="G481" i="8"/>
  <c r="F481" i="8"/>
  <c r="B481" i="8" s="1"/>
  <c r="E481" i="8"/>
  <c r="C481" i="8"/>
  <c r="A481" i="8"/>
  <c r="E480" i="8"/>
  <c r="C480" i="8" s="1"/>
  <c r="G479" i="8"/>
  <c r="F479" i="8"/>
  <c r="B479" i="8" s="1"/>
  <c r="E479" i="8"/>
  <c r="C479" i="8"/>
  <c r="A479" i="8"/>
  <c r="E478" i="8"/>
  <c r="C478" i="8" s="1"/>
  <c r="G477" i="8"/>
  <c r="F477" i="8"/>
  <c r="B477" i="8" s="1"/>
  <c r="E477" i="8"/>
  <c r="C477" i="8"/>
  <c r="A477" i="8"/>
  <c r="E476" i="8"/>
  <c r="C476" i="8" s="1"/>
  <c r="G475" i="8"/>
  <c r="F475" i="8"/>
  <c r="B475" i="8" s="1"/>
  <c r="E475" i="8"/>
  <c r="C475" i="8"/>
  <c r="A475" i="8"/>
  <c r="E474" i="8"/>
  <c r="C474" i="8" s="1"/>
  <c r="G473" i="8"/>
  <c r="F473" i="8"/>
  <c r="B473" i="8" s="1"/>
  <c r="E473" i="8"/>
  <c r="C473" i="8"/>
  <c r="A473" i="8"/>
  <c r="E472" i="8"/>
  <c r="C472" i="8" s="1"/>
  <c r="G471" i="8"/>
  <c r="F471" i="8"/>
  <c r="B471" i="8" s="1"/>
  <c r="E471" i="8"/>
  <c r="C471" i="8"/>
  <c r="A471" i="8"/>
  <c r="E470" i="8"/>
  <c r="C470" i="8" s="1"/>
  <c r="G469" i="8"/>
  <c r="F469" i="8"/>
  <c r="B469" i="8" s="1"/>
  <c r="E469" i="8"/>
  <c r="C469" i="8"/>
  <c r="A469" i="8"/>
  <c r="E468" i="8"/>
  <c r="C468" i="8" s="1"/>
  <c r="G467" i="8"/>
  <c r="F467" i="8"/>
  <c r="B467" i="8" s="1"/>
  <c r="E467" i="8"/>
  <c r="C467" i="8"/>
  <c r="A467" i="8"/>
  <c r="E466" i="8"/>
  <c r="C466" i="8" s="1"/>
  <c r="G465" i="8"/>
  <c r="F465" i="8"/>
  <c r="B465" i="8" s="1"/>
  <c r="E465" i="8"/>
  <c r="C465" i="8"/>
  <c r="A465" i="8"/>
  <c r="E464" i="8"/>
  <c r="C464" i="8" s="1"/>
  <c r="G463" i="8"/>
  <c r="F463" i="8"/>
  <c r="B463" i="8" s="1"/>
  <c r="E463" i="8"/>
  <c r="C463" i="8"/>
  <c r="A463" i="8"/>
  <c r="E462" i="8"/>
  <c r="C462" i="8" s="1"/>
  <c r="G461" i="8"/>
  <c r="F461" i="8"/>
  <c r="B461" i="8" s="1"/>
  <c r="E461" i="8"/>
  <c r="C461" i="8" s="1"/>
  <c r="A461" i="8"/>
  <c r="G460" i="8"/>
  <c r="E460" i="8"/>
  <c r="C460" i="8" s="1"/>
  <c r="G459" i="8"/>
  <c r="F459" i="8"/>
  <c r="E459" i="8"/>
  <c r="C459" i="8" s="1"/>
  <c r="B459" i="8"/>
  <c r="A459" i="8"/>
  <c r="G458" i="8"/>
  <c r="E458" i="8"/>
  <c r="C458" i="8"/>
  <c r="E457" i="8"/>
  <c r="C457" i="8" s="1"/>
  <c r="E456" i="8"/>
  <c r="C456" i="8"/>
  <c r="E455" i="8"/>
  <c r="E454" i="8"/>
  <c r="G453" i="8"/>
  <c r="F453" i="8"/>
  <c r="B453" i="8" s="1"/>
  <c r="E453" i="8"/>
  <c r="C453" i="8" s="1"/>
  <c r="A453" i="8"/>
  <c r="G452" i="8"/>
  <c r="E452" i="8"/>
  <c r="C452" i="8" s="1"/>
  <c r="G451" i="8"/>
  <c r="F451" i="8"/>
  <c r="E451" i="8"/>
  <c r="C451" i="8" s="1"/>
  <c r="B451" i="8"/>
  <c r="A451" i="8"/>
  <c r="G450" i="8"/>
  <c r="E450" i="8"/>
  <c r="C450" i="8"/>
  <c r="E449" i="8"/>
  <c r="C449" i="8" s="1"/>
  <c r="E448" i="8"/>
  <c r="C448" i="8"/>
  <c r="E447" i="8"/>
  <c r="E446" i="8"/>
  <c r="G445" i="8"/>
  <c r="F445" i="8"/>
  <c r="B445" i="8" s="1"/>
  <c r="E445" i="8"/>
  <c r="C445" i="8" s="1"/>
  <c r="A445" i="8"/>
  <c r="G444" i="8"/>
  <c r="E444" i="8"/>
  <c r="C444" i="8" s="1"/>
  <c r="G443" i="8"/>
  <c r="F443" i="8"/>
  <c r="E443" i="8"/>
  <c r="C443" i="8" s="1"/>
  <c r="B443" i="8"/>
  <c r="A443" i="8"/>
  <c r="G442" i="8"/>
  <c r="E442" i="8"/>
  <c r="C442" i="8"/>
  <c r="E441" i="8"/>
  <c r="C441" i="8" s="1"/>
  <c r="E440" i="8"/>
  <c r="C440" i="8"/>
  <c r="E439" i="8"/>
  <c r="E438" i="8"/>
  <c r="G437" i="8"/>
  <c r="F437" i="8"/>
  <c r="B437" i="8" s="1"/>
  <c r="E437" i="8"/>
  <c r="C437" i="8" s="1"/>
  <c r="A437" i="8"/>
  <c r="G436" i="8"/>
  <c r="E436" i="8"/>
  <c r="C436" i="8" s="1"/>
  <c r="G435" i="8"/>
  <c r="F435" i="8"/>
  <c r="E435" i="8"/>
  <c r="C435" i="8" s="1"/>
  <c r="B435" i="8"/>
  <c r="A435" i="8"/>
  <c r="G434" i="8"/>
  <c r="E434" i="8"/>
  <c r="C434" i="8"/>
  <c r="E433" i="8"/>
  <c r="C433" i="8" s="1"/>
  <c r="E432" i="8"/>
  <c r="C432" i="8"/>
  <c r="E431" i="8"/>
  <c r="G430" i="8"/>
  <c r="F430" i="8"/>
  <c r="E430" i="8"/>
  <c r="C430" i="8"/>
  <c r="B430" i="8"/>
  <c r="A430" i="8"/>
  <c r="E429" i="8"/>
  <c r="G428" i="8"/>
  <c r="F428" i="8"/>
  <c r="E428" i="8"/>
  <c r="C428" i="8"/>
  <c r="B428" i="8"/>
  <c r="A428" i="8"/>
  <c r="E427" i="8"/>
  <c r="G426" i="8"/>
  <c r="F426" i="8"/>
  <c r="E426" i="8"/>
  <c r="C426" i="8"/>
  <c r="B426" i="8"/>
  <c r="A426" i="8"/>
  <c r="E425" i="8"/>
  <c r="G424" i="8"/>
  <c r="F424" i="8"/>
  <c r="E424" i="8"/>
  <c r="C424" i="8"/>
  <c r="B424" i="8"/>
  <c r="A424" i="8"/>
  <c r="E423" i="8"/>
  <c r="G422" i="8"/>
  <c r="F422" i="8"/>
  <c r="E422" i="8"/>
  <c r="C422" i="8"/>
  <c r="B422" i="8"/>
  <c r="A422" i="8"/>
  <c r="E421" i="8"/>
  <c r="G420" i="8"/>
  <c r="F420" i="8"/>
  <c r="E420" i="8"/>
  <c r="C420" i="8"/>
  <c r="B420" i="8"/>
  <c r="A420" i="8"/>
  <c r="E419" i="8"/>
  <c r="G418" i="8"/>
  <c r="F418" i="8"/>
  <c r="E418" i="8"/>
  <c r="C418" i="8"/>
  <c r="B418" i="8"/>
  <c r="A418" i="8"/>
  <c r="E417" i="8"/>
  <c r="G416" i="8"/>
  <c r="F416" i="8"/>
  <c r="E416" i="8"/>
  <c r="C416" i="8"/>
  <c r="B416" i="8"/>
  <c r="A416" i="8"/>
  <c r="E415" i="8"/>
  <c r="G414" i="8"/>
  <c r="F414" i="8"/>
  <c r="E414" i="8"/>
  <c r="C414" i="8"/>
  <c r="B414" i="8"/>
  <c r="A414" i="8"/>
  <c r="E413" i="8"/>
  <c r="G412" i="8"/>
  <c r="F412" i="8"/>
  <c r="E412" i="8"/>
  <c r="C412" i="8"/>
  <c r="B412" i="8"/>
  <c r="A412" i="8"/>
  <c r="E411" i="8"/>
  <c r="G410" i="8"/>
  <c r="F410" i="8"/>
  <c r="E410" i="8"/>
  <c r="C410" i="8"/>
  <c r="B410" i="8"/>
  <c r="A410" i="8"/>
  <c r="E409" i="8"/>
  <c r="G408" i="8"/>
  <c r="F408" i="8"/>
  <c r="E408" i="8"/>
  <c r="C408" i="8"/>
  <c r="B408" i="8"/>
  <c r="A408" i="8"/>
  <c r="E407" i="8"/>
  <c r="G406" i="8"/>
  <c r="F406" i="8"/>
  <c r="E406" i="8"/>
  <c r="C406" i="8"/>
  <c r="B406" i="8"/>
  <c r="A406" i="8"/>
  <c r="E405" i="8"/>
  <c r="G404" i="8"/>
  <c r="F404" i="8"/>
  <c r="E404" i="8"/>
  <c r="C404" i="8"/>
  <c r="B404" i="8"/>
  <c r="A404" i="8"/>
  <c r="E403" i="8"/>
  <c r="G402" i="8"/>
  <c r="F402" i="8"/>
  <c r="E402" i="8"/>
  <c r="C402" i="8"/>
  <c r="B402" i="8"/>
  <c r="A402" i="8"/>
  <c r="E401" i="8"/>
  <c r="G400" i="8"/>
  <c r="F400" i="8"/>
  <c r="E400" i="8"/>
  <c r="C400" i="8"/>
  <c r="B400" i="8"/>
  <c r="A400" i="8"/>
  <c r="E399" i="8"/>
  <c r="G398" i="8"/>
  <c r="F398" i="8"/>
  <c r="E398" i="8"/>
  <c r="C398" i="8"/>
  <c r="B398" i="8"/>
  <c r="A398" i="8"/>
  <c r="E397" i="8"/>
  <c r="G396" i="8"/>
  <c r="F396" i="8"/>
  <c r="E396" i="8"/>
  <c r="C396" i="8"/>
  <c r="B396" i="8"/>
  <c r="A396" i="8"/>
  <c r="E395" i="8"/>
  <c r="G394" i="8"/>
  <c r="F394" i="8"/>
  <c r="E394" i="8"/>
  <c r="C394" i="8"/>
  <c r="B394" i="8"/>
  <c r="A394" i="8"/>
  <c r="E393" i="8"/>
  <c r="G392" i="8"/>
  <c r="F392" i="8"/>
  <c r="E392" i="8"/>
  <c r="C392" i="8"/>
  <c r="B392" i="8"/>
  <c r="A392" i="8"/>
  <c r="E391" i="8"/>
  <c r="G390" i="8"/>
  <c r="F390" i="8"/>
  <c r="E390" i="8"/>
  <c r="C390" i="8"/>
  <c r="B390" i="8"/>
  <c r="A390" i="8"/>
  <c r="E389" i="8"/>
  <c r="G388" i="8"/>
  <c r="F388" i="8"/>
  <c r="E388" i="8"/>
  <c r="C388" i="8"/>
  <c r="B388" i="8"/>
  <c r="A388" i="8"/>
  <c r="E387" i="8"/>
  <c r="G386" i="8"/>
  <c r="F386" i="8"/>
  <c r="E386" i="8"/>
  <c r="C386" i="8"/>
  <c r="B386" i="8"/>
  <c r="A386" i="8"/>
  <c r="E385" i="8"/>
  <c r="G384" i="8"/>
  <c r="F384" i="8"/>
  <c r="E384" i="8"/>
  <c r="C384" i="8"/>
  <c r="B384" i="8"/>
  <c r="A384" i="8"/>
  <c r="E383" i="8"/>
  <c r="G382" i="8"/>
  <c r="F382" i="8"/>
  <c r="E382" i="8"/>
  <c r="C382" i="8"/>
  <c r="B382" i="8"/>
  <c r="A382" i="8"/>
  <c r="E381" i="8"/>
  <c r="G380" i="8"/>
  <c r="F380" i="8"/>
  <c r="E380" i="8"/>
  <c r="C380" i="8"/>
  <c r="B380" i="8"/>
  <c r="A380" i="8"/>
  <c r="E379" i="8"/>
  <c r="G378" i="8"/>
  <c r="F378" i="8"/>
  <c r="E378" i="8"/>
  <c r="C378" i="8"/>
  <c r="B378" i="8"/>
  <c r="A378" i="8"/>
  <c r="E377" i="8"/>
  <c r="A377" i="8"/>
  <c r="G376" i="8"/>
  <c r="F376" i="8"/>
  <c r="E376" i="8"/>
  <c r="C376" i="8"/>
  <c r="B376" i="8"/>
  <c r="A376" i="8"/>
  <c r="E375" i="8"/>
  <c r="G374" i="8"/>
  <c r="F374" i="8"/>
  <c r="E374" i="8"/>
  <c r="C374" i="8"/>
  <c r="B374" i="8"/>
  <c r="A374" i="8"/>
  <c r="F373" i="8"/>
  <c r="B373" i="8" s="1"/>
  <c r="E373" i="8"/>
  <c r="A373" i="8" s="1"/>
  <c r="G372" i="8"/>
  <c r="F372" i="8"/>
  <c r="E372" i="8"/>
  <c r="C372" i="8"/>
  <c r="B372" i="8"/>
  <c r="A372" i="8"/>
  <c r="F371" i="8"/>
  <c r="B371" i="8" s="1"/>
  <c r="E371" i="8"/>
  <c r="A371" i="8"/>
  <c r="G370" i="8"/>
  <c r="F370" i="8"/>
  <c r="E370" i="8"/>
  <c r="C370" i="8"/>
  <c r="B370" i="8"/>
  <c r="A370" i="8"/>
  <c r="E369" i="8"/>
  <c r="A369" i="8"/>
  <c r="G368" i="8"/>
  <c r="F368" i="8"/>
  <c r="E368" i="8"/>
  <c r="C368" i="8"/>
  <c r="B368" i="8"/>
  <c r="A368" i="8"/>
  <c r="E367" i="8"/>
  <c r="G366" i="8"/>
  <c r="F366" i="8"/>
  <c r="E366" i="8"/>
  <c r="C366" i="8"/>
  <c r="B366" i="8"/>
  <c r="A366" i="8"/>
  <c r="F365" i="8"/>
  <c r="B365" i="8" s="1"/>
  <c r="E365" i="8"/>
  <c r="A365" i="8" s="1"/>
  <c r="G364" i="8"/>
  <c r="F364" i="8"/>
  <c r="E364" i="8"/>
  <c r="C364" i="8"/>
  <c r="B364" i="8"/>
  <c r="A364" i="8"/>
  <c r="F363" i="8"/>
  <c r="B363" i="8" s="1"/>
  <c r="E363" i="8"/>
  <c r="A363" i="8"/>
  <c r="G362" i="8"/>
  <c r="F362" i="8"/>
  <c r="E362" i="8"/>
  <c r="C362" i="8"/>
  <c r="B362" i="8"/>
  <c r="A362" i="8"/>
  <c r="E361" i="8"/>
  <c r="G361" i="8" s="1"/>
  <c r="C361" i="8"/>
  <c r="A361" i="8"/>
  <c r="G360" i="8"/>
  <c r="F360" i="8"/>
  <c r="B360" i="8" s="1"/>
  <c r="E360" i="8"/>
  <c r="C360" i="8"/>
  <c r="A360" i="8"/>
  <c r="F359" i="8"/>
  <c r="B359" i="8" s="1"/>
  <c r="E359" i="8"/>
  <c r="G359" i="8" s="1"/>
  <c r="G358" i="8"/>
  <c r="F358" i="8"/>
  <c r="E358" i="8"/>
  <c r="C358" i="8"/>
  <c r="B358" i="8"/>
  <c r="A358" i="8"/>
  <c r="E357" i="8"/>
  <c r="G357" i="8" s="1"/>
  <c r="C357" i="8"/>
  <c r="A357" i="8"/>
  <c r="G356" i="8"/>
  <c r="F356" i="8"/>
  <c r="B356" i="8" s="1"/>
  <c r="E356" i="8"/>
  <c r="C356" i="8"/>
  <c r="A356" i="8"/>
  <c r="F355" i="8"/>
  <c r="B355" i="8" s="1"/>
  <c r="E355" i="8"/>
  <c r="G355" i="8" s="1"/>
  <c r="G354" i="8"/>
  <c r="F354" i="8"/>
  <c r="E354" i="8"/>
  <c r="C354" i="8"/>
  <c r="B354" i="8"/>
  <c r="A354" i="8"/>
  <c r="E353" i="8"/>
  <c r="G353" i="8" s="1"/>
  <c r="C353" i="8"/>
  <c r="A353" i="8"/>
  <c r="G352" i="8"/>
  <c r="F352" i="8"/>
  <c r="B352" i="8" s="1"/>
  <c r="E352" i="8"/>
  <c r="C352" i="8"/>
  <c r="A352" i="8"/>
  <c r="F351" i="8"/>
  <c r="B351" i="8" s="1"/>
  <c r="E351" i="8"/>
  <c r="G351" i="8" s="1"/>
  <c r="G350" i="8"/>
  <c r="F350" i="8"/>
  <c r="E350" i="8"/>
  <c r="C350" i="8"/>
  <c r="B350" i="8"/>
  <c r="A350" i="8"/>
  <c r="E349" i="8"/>
  <c r="G349" i="8" s="1"/>
  <c r="C349" i="8"/>
  <c r="A349" i="8"/>
  <c r="G348" i="8"/>
  <c r="F348" i="8"/>
  <c r="B348" i="8" s="1"/>
  <c r="E348" i="8"/>
  <c r="C348" i="8"/>
  <c r="A348" i="8"/>
  <c r="F347" i="8"/>
  <c r="B347" i="8" s="1"/>
  <c r="E347" i="8"/>
  <c r="G347" i="8" s="1"/>
  <c r="G346" i="8"/>
  <c r="F346" i="8"/>
  <c r="E346" i="8"/>
  <c r="C346" i="8"/>
  <c r="B346" i="8"/>
  <c r="A346" i="8"/>
  <c r="E345" i="8"/>
  <c r="G345" i="8" s="1"/>
  <c r="C345" i="8"/>
  <c r="A345" i="8"/>
  <c r="G344" i="8"/>
  <c r="F344" i="8"/>
  <c r="B344" i="8" s="1"/>
  <c r="E344" i="8"/>
  <c r="C344" i="8"/>
  <c r="A344" i="8"/>
  <c r="F343" i="8"/>
  <c r="B343" i="8" s="1"/>
  <c r="E343" i="8"/>
  <c r="G343" i="8" s="1"/>
  <c r="G342" i="8"/>
  <c r="F342" i="8"/>
  <c r="E342" i="8"/>
  <c r="C342" i="8"/>
  <c r="B342" i="8"/>
  <c r="A342" i="8"/>
  <c r="E341" i="8"/>
  <c r="G341" i="8" s="1"/>
  <c r="C341" i="8"/>
  <c r="A341" i="8"/>
  <c r="G340" i="8"/>
  <c r="F340" i="8"/>
  <c r="B340" i="8" s="1"/>
  <c r="E340" i="8"/>
  <c r="C340" i="8"/>
  <c r="A340" i="8"/>
  <c r="F339" i="8"/>
  <c r="B339" i="8" s="1"/>
  <c r="E339" i="8"/>
  <c r="G339" i="8" s="1"/>
  <c r="G338" i="8"/>
  <c r="F338" i="8"/>
  <c r="E338" i="8"/>
  <c r="C338" i="8"/>
  <c r="B338" i="8"/>
  <c r="A338" i="8"/>
  <c r="E337" i="8"/>
  <c r="G337" i="8" s="1"/>
  <c r="C337" i="8"/>
  <c r="A337" i="8"/>
  <c r="G336" i="8"/>
  <c r="F336" i="8"/>
  <c r="B336" i="8" s="1"/>
  <c r="E336" i="8"/>
  <c r="C336" i="8"/>
  <c r="A336" i="8"/>
  <c r="F335" i="8"/>
  <c r="B335" i="8" s="1"/>
  <c r="E335" i="8"/>
  <c r="G335" i="8" s="1"/>
  <c r="G334" i="8"/>
  <c r="F334" i="8"/>
  <c r="E334" i="8"/>
  <c r="C334" i="8"/>
  <c r="B334" i="8"/>
  <c r="A334" i="8"/>
  <c r="E333" i="8"/>
  <c r="G333" i="8" s="1"/>
  <c r="C333" i="8"/>
  <c r="A333" i="8"/>
  <c r="G332" i="8"/>
  <c r="F332" i="8"/>
  <c r="B332" i="8" s="1"/>
  <c r="E332" i="8"/>
  <c r="C332" i="8"/>
  <c r="A332" i="8"/>
  <c r="F331" i="8"/>
  <c r="B331" i="8" s="1"/>
  <c r="E331" i="8"/>
  <c r="G331" i="8" s="1"/>
  <c r="G330" i="8"/>
  <c r="F330" i="8"/>
  <c r="E330" i="8"/>
  <c r="C330" i="8"/>
  <c r="B330" i="8"/>
  <c r="A330" i="8"/>
  <c r="E329" i="8"/>
  <c r="G329" i="8" s="1"/>
  <c r="C329" i="8"/>
  <c r="A329" i="8"/>
  <c r="G328" i="8"/>
  <c r="F328" i="8"/>
  <c r="B328" i="8" s="1"/>
  <c r="E328" i="8"/>
  <c r="C328" i="8"/>
  <c r="A328" i="8"/>
  <c r="F327" i="8"/>
  <c r="B327" i="8" s="1"/>
  <c r="E327" i="8"/>
  <c r="G327" i="8" s="1"/>
  <c r="G326" i="8"/>
  <c r="F326" i="8"/>
  <c r="E326" i="8"/>
  <c r="C326" i="8"/>
  <c r="B326" i="8"/>
  <c r="A326" i="8"/>
  <c r="E325" i="8"/>
  <c r="G325" i="8" s="1"/>
  <c r="C325" i="8"/>
  <c r="A325" i="8"/>
  <c r="G324" i="8"/>
  <c r="F324" i="8"/>
  <c r="B324" i="8" s="1"/>
  <c r="E324" i="8"/>
  <c r="C324" i="8"/>
  <c r="A324" i="8"/>
  <c r="F323" i="8"/>
  <c r="B323" i="8" s="1"/>
  <c r="E323" i="8"/>
  <c r="G323" i="8" s="1"/>
  <c r="G322" i="8"/>
  <c r="F322" i="8"/>
  <c r="E322" i="8"/>
  <c r="C322" i="8"/>
  <c r="B322" i="8"/>
  <c r="A322" i="8"/>
  <c r="E321" i="8"/>
  <c r="G321" i="8" s="1"/>
  <c r="C321" i="8"/>
  <c r="A321" i="8"/>
  <c r="G320" i="8"/>
  <c r="F320" i="8"/>
  <c r="B320" i="8" s="1"/>
  <c r="E320" i="8"/>
  <c r="C320" i="8"/>
  <c r="A320" i="8"/>
  <c r="G319" i="8"/>
  <c r="F319" i="8"/>
  <c r="E319" i="8"/>
  <c r="C319" i="8"/>
  <c r="B319" i="8"/>
  <c r="A319" i="8"/>
  <c r="E318" i="8"/>
  <c r="G317" i="8"/>
  <c r="F317" i="8"/>
  <c r="E317" i="8"/>
  <c r="C317" i="8"/>
  <c r="B317" i="8"/>
  <c r="A317" i="8"/>
  <c r="E316" i="8"/>
  <c r="G315" i="8"/>
  <c r="F315" i="8"/>
  <c r="E315" i="8"/>
  <c r="C315" i="8"/>
  <c r="B315" i="8"/>
  <c r="A315" i="8"/>
  <c r="E314" i="8"/>
  <c r="G313" i="8"/>
  <c r="F313" i="8"/>
  <c r="E313" i="8"/>
  <c r="C313" i="8"/>
  <c r="B313" i="8"/>
  <c r="A313" i="8"/>
  <c r="E312" i="8"/>
  <c r="G311" i="8"/>
  <c r="F311" i="8"/>
  <c r="E311" i="8"/>
  <c r="C311" i="8"/>
  <c r="B311" i="8"/>
  <c r="A311" i="8"/>
  <c r="E310" i="8"/>
  <c r="G309" i="8"/>
  <c r="F309" i="8"/>
  <c r="E309" i="8"/>
  <c r="C309" i="8"/>
  <c r="B309" i="8"/>
  <c r="A309" i="8"/>
  <c r="E308" i="8"/>
  <c r="G307" i="8"/>
  <c r="F307" i="8"/>
  <c r="E307" i="8"/>
  <c r="C307" i="8"/>
  <c r="B307" i="8"/>
  <c r="A307" i="8"/>
  <c r="E306" i="8"/>
  <c r="G305" i="8"/>
  <c r="F305" i="8"/>
  <c r="E305" i="8"/>
  <c r="C305" i="8"/>
  <c r="B305" i="8"/>
  <c r="A305" i="8"/>
  <c r="E304" i="8"/>
  <c r="G303" i="8"/>
  <c r="F303" i="8"/>
  <c r="E303" i="8"/>
  <c r="C303" i="8"/>
  <c r="B303" i="8"/>
  <c r="A303" i="8"/>
  <c r="E302" i="8"/>
  <c r="G301" i="8"/>
  <c r="F301" i="8"/>
  <c r="E301" i="8"/>
  <c r="C301" i="8"/>
  <c r="B301" i="8"/>
  <c r="A301" i="8"/>
  <c r="E300" i="8"/>
  <c r="G299" i="8"/>
  <c r="F299" i="8"/>
  <c r="E299" i="8"/>
  <c r="C299" i="8"/>
  <c r="B299" i="8"/>
  <c r="A299" i="8"/>
  <c r="E298" i="8"/>
  <c r="G297" i="8"/>
  <c r="F297" i="8"/>
  <c r="E297" i="8"/>
  <c r="C297" i="8"/>
  <c r="B297" i="8"/>
  <c r="A297" i="8"/>
  <c r="E296" i="8"/>
  <c r="G295" i="8"/>
  <c r="F295" i="8"/>
  <c r="E295" i="8"/>
  <c r="C295" i="8"/>
  <c r="B295" i="8"/>
  <c r="A295" i="8"/>
  <c r="E294" i="8"/>
  <c r="G293" i="8"/>
  <c r="F293" i="8"/>
  <c r="E293" i="8"/>
  <c r="C293" i="8"/>
  <c r="B293" i="8"/>
  <c r="A293" i="8"/>
  <c r="E292" i="8"/>
  <c r="G291" i="8"/>
  <c r="F291" i="8"/>
  <c r="E291" i="8"/>
  <c r="C291" i="8"/>
  <c r="B291" i="8"/>
  <c r="A291" i="8"/>
  <c r="E290" i="8"/>
  <c r="G289" i="8"/>
  <c r="F289" i="8"/>
  <c r="E289" i="8"/>
  <c r="C289" i="8"/>
  <c r="B289" i="8"/>
  <c r="A289" i="8"/>
  <c r="E288" i="8"/>
  <c r="G287" i="8"/>
  <c r="F287" i="8"/>
  <c r="E287" i="8"/>
  <c r="C287" i="8"/>
  <c r="B287" i="8"/>
  <c r="A287" i="8"/>
  <c r="E286" i="8"/>
  <c r="G285" i="8"/>
  <c r="F285" i="8"/>
  <c r="E285" i="8"/>
  <c r="C285" i="8"/>
  <c r="B285" i="8"/>
  <c r="A285" i="8"/>
  <c r="E284" i="8"/>
  <c r="G283" i="8"/>
  <c r="F283" i="8"/>
  <c r="E283" i="8"/>
  <c r="C283" i="8"/>
  <c r="B283" i="8"/>
  <c r="A283" i="8"/>
  <c r="E282" i="8"/>
  <c r="G281" i="8"/>
  <c r="F281" i="8"/>
  <c r="E281" i="8"/>
  <c r="C281" i="8"/>
  <c r="B281" i="8"/>
  <c r="A281" i="8"/>
  <c r="E280" i="8"/>
  <c r="G279" i="8"/>
  <c r="F279" i="8"/>
  <c r="E279" i="8"/>
  <c r="C279" i="8"/>
  <c r="B279" i="8"/>
  <c r="A279" i="8"/>
  <c r="E278" i="8"/>
  <c r="G277" i="8"/>
  <c r="F277" i="8"/>
  <c r="E277" i="8"/>
  <c r="C277" i="8"/>
  <c r="B277" i="8"/>
  <c r="A277" i="8"/>
  <c r="E276" i="8"/>
  <c r="G275" i="8"/>
  <c r="F275" i="8"/>
  <c r="E275" i="8"/>
  <c r="C275" i="8"/>
  <c r="B275" i="8"/>
  <c r="A275" i="8"/>
  <c r="E274" i="8"/>
  <c r="G273" i="8"/>
  <c r="F273" i="8"/>
  <c r="E273" i="8"/>
  <c r="C273" i="8"/>
  <c r="B273" i="8"/>
  <c r="A273" i="8"/>
  <c r="E272" i="8"/>
  <c r="G271" i="8"/>
  <c r="F271" i="8"/>
  <c r="E271" i="8"/>
  <c r="C271" i="8"/>
  <c r="B271" i="8"/>
  <c r="A271" i="8"/>
  <c r="E270" i="8"/>
  <c r="C270" i="8"/>
  <c r="G269" i="8"/>
  <c r="F269" i="8"/>
  <c r="E269" i="8"/>
  <c r="C269" i="8"/>
  <c r="B269" i="8"/>
  <c r="A269" i="8"/>
  <c r="E268" i="8"/>
  <c r="C268" i="8"/>
  <c r="G267" i="8"/>
  <c r="F267" i="8"/>
  <c r="E267" i="8"/>
  <c r="C267" i="8"/>
  <c r="B267" i="8"/>
  <c r="A267" i="8"/>
  <c r="E266" i="8"/>
  <c r="C266" i="8"/>
  <c r="G265" i="8"/>
  <c r="F265" i="8"/>
  <c r="E265" i="8"/>
  <c r="C265" i="8"/>
  <c r="B265" i="8"/>
  <c r="A265" i="8"/>
  <c r="E264" i="8"/>
  <c r="C264" i="8"/>
  <c r="G263" i="8"/>
  <c r="F263" i="8"/>
  <c r="E263" i="8"/>
  <c r="C263" i="8"/>
  <c r="B263" i="8"/>
  <c r="A263" i="8"/>
  <c r="E262" i="8"/>
  <c r="C262" i="8"/>
  <c r="G261" i="8"/>
  <c r="F261" i="8"/>
  <c r="E261" i="8"/>
  <c r="C261" i="8"/>
  <c r="B261" i="8"/>
  <c r="A261" i="8"/>
  <c r="E260" i="8"/>
  <c r="C260" i="8"/>
  <c r="G259" i="8"/>
  <c r="F259" i="8"/>
  <c r="E259" i="8"/>
  <c r="C259" i="8"/>
  <c r="B259" i="8"/>
  <c r="A259" i="8"/>
  <c r="E258" i="8"/>
  <c r="C258" i="8"/>
  <c r="E257" i="8"/>
  <c r="A257" i="8"/>
  <c r="E256" i="8"/>
  <c r="E255" i="8"/>
  <c r="A255" i="8"/>
  <c r="E254" i="8"/>
  <c r="E253" i="8"/>
  <c r="A253" i="8"/>
  <c r="E252" i="8"/>
  <c r="E251" i="8"/>
  <c r="A251" i="8"/>
  <c r="E250" i="8"/>
  <c r="E249" i="8"/>
  <c r="A249" i="8"/>
  <c r="E248" i="8"/>
  <c r="E247" i="8"/>
  <c r="A247" i="8"/>
  <c r="E246" i="8"/>
  <c r="E245" i="8"/>
  <c r="A245" i="8"/>
  <c r="E244" i="8"/>
  <c r="E243" i="8"/>
  <c r="A243" i="8"/>
  <c r="E242" i="8"/>
  <c r="E241" i="8"/>
  <c r="A241" i="8"/>
  <c r="E240" i="8"/>
  <c r="E239" i="8"/>
  <c r="A239" i="8"/>
  <c r="E238" i="8"/>
  <c r="E237" i="8"/>
  <c r="A237" i="8"/>
  <c r="E236" i="8"/>
  <c r="E235" i="8"/>
  <c r="A235" i="8"/>
  <c r="E234" i="8"/>
  <c r="E233" i="8"/>
  <c r="A233" i="8"/>
  <c r="E232" i="8"/>
  <c r="E231" i="8"/>
  <c r="A231" i="8"/>
  <c r="E230" i="8"/>
  <c r="E229" i="8"/>
  <c r="A229" i="8"/>
  <c r="E228" i="8"/>
  <c r="E227" i="8"/>
  <c r="A227" i="8"/>
  <c r="E226" i="8"/>
  <c r="A226" i="8"/>
  <c r="E225" i="8"/>
  <c r="A225" i="8"/>
  <c r="E224" i="8"/>
  <c r="E223" i="8"/>
  <c r="A223" i="8"/>
  <c r="E222" i="8"/>
  <c r="A222" i="8"/>
  <c r="E221" i="8"/>
  <c r="A221" i="8"/>
  <c r="E220" i="8"/>
  <c r="E219" i="8"/>
  <c r="A219" i="8"/>
  <c r="E218" i="8"/>
  <c r="A218" i="8"/>
  <c r="E217" i="8"/>
  <c r="A217" i="8"/>
  <c r="E216" i="8"/>
  <c r="E215" i="8"/>
  <c r="A215" i="8"/>
  <c r="E214" i="8"/>
  <c r="A214" i="8"/>
  <c r="E213" i="8"/>
  <c r="A213" i="8"/>
  <c r="E212" i="8"/>
  <c r="E211" i="8"/>
  <c r="A211" i="8"/>
  <c r="E210" i="8"/>
  <c r="F210" i="8" s="1"/>
  <c r="B210" i="8" s="1"/>
  <c r="A210" i="8"/>
  <c r="E209" i="8"/>
  <c r="A209" i="8"/>
  <c r="E208" i="8"/>
  <c r="A208" i="8"/>
  <c r="E207" i="8"/>
  <c r="A207" i="8"/>
  <c r="E206" i="8"/>
  <c r="A206" i="8" s="1"/>
  <c r="E205" i="8"/>
  <c r="A205" i="8"/>
  <c r="E204" i="8"/>
  <c r="E203" i="8"/>
  <c r="A203" i="8"/>
  <c r="E202" i="8"/>
  <c r="E201" i="8"/>
  <c r="A201" i="8"/>
  <c r="E200" i="8"/>
  <c r="E199" i="8"/>
  <c r="A199" i="8"/>
  <c r="E198" i="8"/>
  <c r="F198" i="8" s="1"/>
  <c r="B198" i="8" s="1"/>
  <c r="E197" i="8"/>
  <c r="A197" i="8"/>
  <c r="E196" i="8"/>
  <c r="A196" i="8"/>
  <c r="E195" i="8"/>
  <c r="A195" i="8"/>
  <c r="E194" i="8"/>
  <c r="F194" i="8" s="1"/>
  <c r="B194" i="8" s="1"/>
  <c r="A194" i="8"/>
  <c r="E193" i="8"/>
  <c r="A193" i="8"/>
  <c r="E192" i="8"/>
  <c r="A192" i="8"/>
  <c r="E191" i="8"/>
  <c r="A191" i="8"/>
  <c r="E190" i="8"/>
  <c r="A190" i="8" s="1"/>
  <c r="E189" i="8"/>
  <c r="A189" i="8"/>
  <c r="E188" i="8"/>
  <c r="E187" i="8"/>
  <c r="A187" i="8"/>
  <c r="E186" i="8"/>
  <c r="A186" i="8"/>
  <c r="E185" i="8"/>
  <c r="A185" i="8"/>
  <c r="E184" i="8"/>
  <c r="E183" i="8"/>
  <c r="A183" i="8"/>
  <c r="E182" i="8"/>
  <c r="A182" i="8"/>
  <c r="E181" i="8"/>
  <c r="A181" i="8"/>
  <c r="E180" i="8"/>
  <c r="E179" i="8"/>
  <c r="A179" i="8"/>
  <c r="E178" i="8"/>
  <c r="G178" i="8" s="1"/>
  <c r="C178" i="8"/>
  <c r="A178" i="8"/>
  <c r="E177" i="8"/>
  <c r="A177" i="8"/>
  <c r="E176" i="8"/>
  <c r="E175" i="8"/>
  <c r="A175" i="8"/>
  <c r="E174" i="8"/>
  <c r="G174" i="8" s="1"/>
  <c r="C174" i="8"/>
  <c r="A174" i="8"/>
  <c r="E173" i="8"/>
  <c r="A173" i="8"/>
  <c r="E172" i="8"/>
  <c r="E171" i="8"/>
  <c r="A171" i="8"/>
  <c r="E170" i="8"/>
  <c r="G170" i="8" s="1"/>
  <c r="C170" i="8"/>
  <c r="A170" i="8"/>
  <c r="E169" i="8"/>
  <c r="A169" i="8"/>
  <c r="E168" i="8"/>
  <c r="E167" i="8"/>
  <c r="A167" i="8"/>
  <c r="E166" i="8"/>
  <c r="G166" i="8" s="1"/>
  <c r="C166" i="8"/>
  <c r="A166" i="8"/>
  <c r="E165" i="8"/>
  <c r="A165" i="8"/>
  <c r="E164" i="8"/>
  <c r="E163" i="8"/>
  <c r="A163" i="8"/>
  <c r="E162" i="8"/>
  <c r="G162" i="8" s="1"/>
  <c r="C162" i="8"/>
  <c r="A162" i="8"/>
  <c r="E161" i="8"/>
  <c r="A161" i="8"/>
  <c r="E160" i="8"/>
  <c r="E159" i="8"/>
  <c r="A159" i="8"/>
  <c r="E158" i="8"/>
  <c r="G158" i="8" s="1"/>
  <c r="C158" i="8"/>
  <c r="A158" i="8"/>
  <c r="E157" i="8"/>
  <c r="A157" i="8"/>
  <c r="E156" i="8"/>
  <c r="E155" i="8"/>
  <c r="A155" i="8"/>
  <c r="E154" i="8"/>
  <c r="G154" i="8" s="1"/>
  <c r="C154" i="8"/>
  <c r="A154" i="8"/>
  <c r="E153" i="8"/>
  <c r="A153" i="8"/>
  <c r="E152" i="8"/>
  <c r="E151" i="8"/>
  <c r="A151" i="8"/>
  <c r="E150" i="8"/>
  <c r="G150" i="8" s="1"/>
  <c r="C150" i="8"/>
  <c r="A150" i="8"/>
  <c r="E149" i="8"/>
  <c r="A149" i="8"/>
  <c r="E148" i="8"/>
  <c r="E147" i="8"/>
  <c r="A147" i="8"/>
  <c r="E146" i="8"/>
  <c r="G146" i="8" s="1"/>
  <c r="C146" i="8"/>
  <c r="A146" i="8"/>
  <c r="E145" i="8"/>
  <c r="A145" i="8"/>
  <c r="E144" i="8"/>
  <c r="E143" i="8"/>
  <c r="A143" i="8"/>
  <c r="E142" i="8"/>
  <c r="G142" i="8" s="1"/>
  <c r="C142" i="8"/>
  <c r="A142" i="8"/>
  <c r="E141" i="8"/>
  <c r="A141" i="8"/>
  <c r="E140" i="8"/>
  <c r="E139" i="8"/>
  <c r="A139" i="8"/>
  <c r="E138" i="8"/>
  <c r="G138" i="8" s="1"/>
  <c r="C138" i="8"/>
  <c r="A138" i="8"/>
  <c r="E137" i="8"/>
  <c r="A137" i="8"/>
  <c r="E136" i="8"/>
  <c r="A136" i="8"/>
  <c r="E135" i="8"/>
  <c r="A135" i="8"/>
  <c r="E134" i="8"/>
  <c r="E133" i="8"/>
  <c r="A133" i="8"/>
  <c r="E132" i="8"/>
  <c r="E131" i="8"/>
  <c r="A131" i="8"/>
  <c r="E130" i="8"/>
  <c r="E129" i="8"/>
  <c r="A129" i="8"/>
  <c r="E128" i="8"/>
  <c r="E127" i="8"/>
  <c r="A127" i="8"/>
  <c r="E126" i="8"/>
  <c r="A126" i="8"/>
  <c r="E125" i="8"/>
  <c r="A125" i="8"/>
  <c r="E124" i="8"/>
  <c r="F124" i="8" s="1"/>
  <c r="B124" i="8" s="1"/>
  <c r="A124" i="8"/>
  <c r="E123" i="8"/>
  <c r="A123" i="8"/>
  <c r="E122" i="8"/>
  <c r="A122" i="8"/>
  <c r="E121" i="8"/>
  <c r="A121" i="8"/>
  <c r="E120" i="8"/>
  <c r="A120" i="8"/>
  <c r="E119" i="8"/>
  <c r="A119" i="8"/>
  <c r="E118" i="8"/>
  <c r="E117" i="8"/>
  <c r="A117" i="8"/>
  <c r="E116" i="8"/>
  <c r="E115" i="8"/>
  <c r="A115" i="8"/>
  <c r="E114" i="8"/>
  <c r="E113" i="8"/>
  <c r="A113" i="8"/>
  <c r="E112" i="8"/>
  <c r="F112" i="8" s="1"/>
  <c r="B112" i="8" s="1"/>
  <c r="A112" i="8"/>
  <c r="E111" i="8"/>
  <c r="A111" i="8"/>
  <c r="E110" i="8"/>
  <c r="A110" i="8"/>
  <c r="E109" i="8"/>
  <c r="A109" i="8"/>
  <c r="E108" i="8"/>
  <c r="A108" i="8"/>
  <c r="E107" i="8"/>
  <c r="A107" i="8"/>
  <c r="E106" i="8"/>
  <c r="A106" i="8"/>
  <c r="E105" i="8"/>
  <c r="A105" i="8"/>
  <c r="E104" i="8"/>
  <c r="A104" i="8"/>
  <c r="E103" i="8"/>
  <c r="A103" i="8"/>
  <c r="E102" i="8"/>
  <c r="E101" i="8"/>
  <c r="A101" i="8"/>
  <c r="E100" i="8"/>
  <c r="E99" i="8"/>
  <c r="A99" i="8"/>
  <c r="E98" i="8"/>
  <c r="E97" i="8"/>
  <c r="A97" i="8"/>
  <c r="E96" i="8"/>
  <c r="F96" i="8" s="1"/>
  <c r="B96" i="8" s="1"/>
  <c r="A96" i="8"/>
  <c r="E95" i="8"/>
  <c r="A95" i="8"/>
  <c r="E94" i="8"/>
  <c r="A94" i="8"/>
  <c r="E93" i="8"/>
  <c r="A93" i="8"/>
  <c r="E92" i="8"/>
  <c r="A92" i="8"/>
  <c r="E91" i="8"/>
  <c r="A91" i="8"/>
  <c r="E90" i="8"/>
  <c r="A90" i="8"/>
  <c r="E89" i="8"/>
  <c r="A89" i="8"/>
  <c r="E88" i="8"/>
  <c r="A88" i="8"/>
  <c r="E87" i="8"/>
  <c r="A87" i="8"/>
  <c r="E86" i="8"/>
  <c r="E85" i="8"/>
  <c r="A85" i="8"/>
  <c r="E84" i="8"/>
  <c r="E83" i="8"/>
  <c r="A83" i="8"/>
  <c r="E82" i="8"/>
  <c r="E81" i="8"/>
  <c r="A81" i="8"/>
  <c r="E80" i="8"/>
  <c r="F80" i="8" s="1"/>
  <c r="B80" i="8" s="1"/>
  <c r="A80" i="8"/>
  <c r="E79" i="8"/>
  <c r="A79" i="8"/>
  <c r="E78" i="8"/>
  <c r="A78" i="8"/>
  <c r="E77" i="8"/>
  <c r="A77" i="8"/>
  <c r="E76" i="8"/>
  <c r="A76" i="8"/>
  <c r="E75" i="8"/>
  <c r="A75" i="8"/>
  <c r="E74" i="8"/>
  <c r="G74" i="8" s="1"/>
  <c r="C74" i="8"/>
  <c r="E73" i="8"/>
  <c r="A73" i="8"/>
  <c r="E72" i="8"/>
  <c r="A72" i="8"/>
  <c r="E71" i="8"/>
  <c r="A71" i="8"/>
  <c r="E70" i="8"/>
  <c r="G70" i="8" s="1"/>
  <c r="C70" i="8"/>
  <c r="E69" i="8"/>
  <c r="A69" i="8"/>
  <c r="E68" i="8"/>
  <c r="A68" i="8"/>
  <c r="E67" i="8"/>
  <c r="A67" i="8"/>
  <c r="E66" i="8"/>
  <c r="G66" i="8" s="1"/>
  <c r="C66" i="8"/>
  <c r="E65" i="8"/>
  <c r="A65" i="8"/>
  <c r="E64" i="8"/>
  <c r="A64" i="8"/>
  <c r="E63" i="8"/>
  <c r="A63" i="8"/>
  <c r="E62" i="8"/>
  <c r="G62" i="8" s="1"/>
  <c r="C62" i="8"/>
  <c r="E61" i="8"/>
  <c r="A61" i="8"/>
  <c r="E60" i="8"/>
  <c r="A60" i="8"/>
  <c r="E59" i="8"/>
  <c r="A59" i="8"/>
  <c r="E58" i="8"/>
  <c r="E57" i="8"/>
  <c r="A57" i="8"/>
  <c r="E56" i="8"/>
  <c r="E55" i="8"/>
  <c r="A55" i="8"/>
  <c r="E54" i="8"/>
  <c r="E53" i="8"/>
  <c r="A53" i="8"/>
  <c r="E52" i="8"/>
  <c r="E51" i="8"/>
  <c r="A51" i="8"/>
  <c r="E50" i="8"/>
  <c r="E49" i="8"/>
  <c r="A49" i="8"/>
  <c r="E48" i="8"/>
  <c r="E47" i="8"/>
  <c r="A47" i="8"/>
  <c r="E46" i="8"/>
  <c r="E45" i="8"/>
  <c r="A45" i="8"/>
  <c r="E44" i="8"/>
  <c r="E43" i="8"/>
  <c r="A43" i="8"/>
  <c r="E42" i="8"/>
  <c r="E41" i="8"/>
  <c r="A41" i="8"/>
  <c r="E40" i="8"/>
  <c r="E39" i="8"/>
  <c r="A39" i="8"/>
  <c r="E38" i="8"/>
  <c r="E37" i="8"/>
  <c r="A37" i="8"/>
  <c r="E36" i="8"/>
  <c r="E35" i="8"/>
  <c r="A35" i="8"/>
  <c r="E34" i="8"/>
  <c r="E33" i="8"/>
  <c r="A33" i="8"/>
  <c r="E32" i="8"/>
  <c r="E31" i="8"/>
  <c r="A31" i="8"/>
  <c r="E30" i="8"/>
  <c r="E29" i="8"/>
  <c r="A29" i="8"/>
  <c r="E28" i="8"/>
  <c r="E27" i="8"/>
  <c r="A27" i="8"/>
  <c r="E26" i="8"/>
  <c r="E25" i="8"/>
  <c r="A25" i="8"/>
  <c r="E24" i="8"/>
  <c r="E23" i="8"/>
  <c r="A23" i="8"/>
  <c r="E22" i="8"/>
  <c r="E21" i="8"/>
  <c r="A21" i="8"/>
  <c r="E20" i="8"/>
  <c r="E19" i="8"/>
  <c r="A19" i="8"/>
  <c r="E18" i="8"/>
  <c r="E17" i="8"/>
  <c r="A17" i="8"/>
  <c r="E16" i="8"/>
  <c r="E15" i="8"/>
  <c r="A15" i="8"/>
  <c r="E14" i="8"/>
  <c r="E13" i="8"/>
  <c r="A13" i="8"/>
  <c r="E12" i="8"/>
  <c r="E11" i="8"/>
  <c r="A11" i="8"/>
  <c r="E10" i="8"/>
  <c r="E9" i="8"/>
  <c r="A9" i="8"/>
  <c r="E8" i="8"/>
  <c r="E7" i="8"/>
  <c r="A7" i="8"/>
  <c r="E6" i="8"/>
  <c r="E5" i="8"/>
  <c r="A5" i="8"/>
  <c r="E4" i="8"/>
  <c r="E3" i="8"/>
  <c r="A3" i="8"/>
  <c r="E500" i="9"/>
  <c r="G500" i="9" s="1"/>
  <c r="C500" i="9"/>
  <c r="G499" i="9"/>
  <c r="F499" i="9"/>
  <c r="B499" i="9" s="1"/>
  <c r="E499" i="9"/>
  <c r="C499" i="9" s="1"/>
  <c r="A499" i="9"/>
  <c r="E498" i="9"/>
  <c r="G498" i="9" s="1"/>
  <c r="C498" i="9"/>
  <c r="G497" i="9"/>
  <c r="F497" i="9"/>
  <c r="B497" i="9" s="1"/>
  <c r="E497" i="9"/>
  <c r="C497" i="9" s="1"/>
  <c r="A497" i="9"/>
  <c r="E496" i="9"/>
  <c r="G496" i="9" s="1"/>
  <c r="C496" i="9"/>
  <c r="G495" i="9"/>
  <c r="F495" i="9"/>
  <c r="B495" i="9" s="1"/>
  <c r="E495" i="9"/>
  <c r="C495" i="9" s="1"/>
  <c r="A495" i="9"/>
  <c r="E494" i="9"/>
  <c r="G494" i="9" s="1"/>
  <c r="C494" i="9"/>
  <c r="G493" i="9"/>
  <c r="F493" i="9"/>
  <c r="B493" i="9" s="1"/>
  <c r="E493" i="9"/>
  <c r="C493" i="9" s="1"/>
  <c r="A493" i="9"/>
  <c r="E492" i="9"/>
  <c r="G492" i="9" s="1"/>
  <c r="C492" i="9"/>
  <c r="G491" i="9"/>
  <c r="F491" i="9"/>
  <c r="B491" i="9" s="1"/>
  <c r="E491" i="9"/>
  <c r="C491" i="9" s="1"/>
  <c r="A491" i="9"/>
  <c r="E490" i="9"/>
  <c r="G490" i="9" s="1"/>
  <c r="C490" i="9"/>
  <c r="G489" i="9"/>
  <c r="F489" i="9"/>
  <c r="B489" i="9" s="1"/>
  <c r="E489" i="9"/>
  <c r="C489" i="9" s="1"/>
  <c r="A489" i="9"/>
  <c r="E488" i="9"/>
  <c r="G488" i="9" s="1"/>
  <c r="C488" i="9"/>
  <c r="G487" i="9"/>
  <c r="F487" i="9"/>
  <c r="B487" i="9" s="1"/>
  <c r="E487" i="9"/>
  <c r="C487" i="9" s="1"/>
  <c r="A487" i="9"/>
  <c r="E486" i="9"/>
  <c r="G486" i="9" s="1"/>
  <c r="C486" i="9"/>
  <c r="G485" i="9"/>
  <c r="F485" i="9"/>
  <c r="B485" i="9" s="1"/>
  <c r="E485" i="9"/>
  <c r="C485" i="9" s="1"/>
  <c r="A485" i="9"/>
  <c r="E484" i="9"/>
  <c r="C484" i="9"/>
  <c r="G483" i="9"/>
  <c r="F483" i="9"/>
  <c r="E483" i="9"/>
  <c r="C483" i="9" s="1"/>
  <c r="B483" i="9"/>
  <c r="A483" i="9"/>
  <c r="E482" i="9"/>
  <c r="G481" i="9"/>
  <c r="F481" i="9"/>
  <c r="B481" i="9" s="1"/>
  <c r="E481" i="9"/>
  <c r="C481" i="9" s="1"/>
  <c r="A481" i="9"/>
  <c r="E480" i="9"/>
  <c r="C480" i="9"/>
  <c r="G479" i="9"/>
  <c r="F479" i="9"/>
  <c r="B479" i="9" s="1"/>
  <c r="E479" i="9"/>
  <c r="C479" i="9" s="1"/>
  <c r="A479" i="9"/>
  <c r="E478" i="9"/>
  <c r="C478" i="9" s="1"/>
  <c r="G477" i="9"/>
  <c r="F477" i="9"/>
  <c r="E477" i="9"/>
  <c r="C477" i="9" s="1"/>
  <c r="B477" i="9"/>
  <c r="A477" i="9"/>
  <c r="E476" i="9"/>
  <c r="C476" i="9"/>
  <c r="G475" i="9"/>
  <c r="F475" i="9"/>
  <c r="E475" i="9"/>
  <c r="C475" i="9" s="1"/>
  <c r="B475" i="9"/>
  <c r="A475" i="9"/>
  <c r="E474" i="9"/>
  <c r="G473" i="9"/>
  <c r="F473" i="9"/>
  <c r="B473" i="9" s="1"/>
  <c r="E473" i="9"/>
  <c r="C473" i="9" s="1"/>
  <c r="A473" i="9"/>
  <c r="E472" i="9"/>
  <c r="G471" i="9"/>
  <c r="F471" i="9"/>
  <c r="E471" i="9"/>
  <c r="C471" i="9" s="1"/>
  <c r="B471" i="9"/>
  <c r="A471" i="9"/>
  <c r="G470" i="9"/>
  <c r="E470" i="9"/>
  <c r="C470" i="9"/>
  <c r="E469" i="9"/>
  <c r="C469" i="9" s="1"/>
  <c r="E468" i="9"/>
  <c r="C468" i="9" s="1"/>
  <c r="F467" i="9"/>
  <c r="B467" i="9" s="1"/>
  <c r="E467" i="9"/>
  <c r="C467" i="9" s="1"/>
  <c r="G466" i="9"/>
  <c r="E466" i="9"/>
  <c r="C466" i="9"/>
  <c r="G465" i="9"/>
  <c r="E465" i="9"/>
  <c r="C465" i="9" s="1"/>
  <c r="A465" i="9"/>
  <c r="E464" i="9"/>
  <c r="G463" i="9"/>
  <c r="F463" i="9"/>
  <c r="E463" i="9"/>
  <c r="C463" i="9" s="1"/>
  <c r="B463" i="9"/>
  <c r="A463" i="9"/>
  <c r="G462" i="9"/>
  <c r="E462" i="9"/>
  <c r="C462" i="9"/>
  <c r="E461" i="9"/>
  <c r="C461" i="9" s="1"/>
  <c r="E460" i="9"/>
  <c r="C460" i="9" s="1"/>
  <c r="F459" i="9"/>
  <c r="B459" i="9" s="1"/>
  <c r="E459" i="9"/>
  <c r="C459" i="9" s="1"/>
  <c r="G458" i="9"/>
  <c r="E458" i="9"/>
  <c r="C458" i="9"/>
  <c r="G457" i="9"/>
  <c r="E457" i="9"/>
  <c r="C457" i="9" s="1"/>
  <c r="A457" i="9"/>
  <c r="E456" i="9"/>
  <c r="G455" i="9"/>
  <c r="F455" i="9"/>
  <c r="E455" i="9"/>
  <c r="C455" i="9" s="1"/>
  <c r="B455" i="9"/>
  <c r="A455" i="9"/>
  <c r="G454" i="9"/>
  <c r="E454" i="9"/>
  <c r="C454" i="9"/>
  <c r="E453" i="9"/>
  <c r="C453" i="9" s="1"/>
  <c r="E452" i="9"/>
  <c r="C452" i="9" s="1"/>
  <c r="F451" i="9"/>
  <c r="B451" i="9" s="1"/>
  <c r="E451" i="9"/>
  <c r="C451" i="9" s="1"/>
  <c r="G450" i="9"/>
  <c r="E450" i="9"/>
  <c r="C450" i="9"/>
  <c r="G449" i="9"/>
  <c r="E449" i="9"/>
  <c r="C449" i="9" s="1"/>
  <c r="A449" i="9"/>
  <c r="E448" i="9"/>
  <c r="G447" i="9"/>
  <c r="F447" i="9"/>
  <c r="E447" i="9"/>
  <c r="C447" i="9" s="1"/>
  <c r="B447" i="9"/>
  <c r="A447" i="9"/>
  <c r="G446" i="9"/>
  <c r="E446" i="9"/>
  <c r="C446" i="9"/>
  <c r="E445" i="9"/>
  <c r="E444" i="9"/>
  <c r="G443" i="9"/>
  <c r="E443" i="9"/>
  <c r="C443" i="9" s="1"/>
  <c r="G442" i="9"/>
  <c r="E442" i="9"/>
  <c r="E441" i="9"/>
  <c r="G441" i="9" s="1"/>
  <c r="E440" i="9"/>
  <c r="E439" i="9"/>
  <c r="G438" i="9"/>
  <c r="E438" i="9"/>
  <c r="E437" i="9"/>
  <c r="G437" i="9" s="1"/>
  <c r="E436" i="9"/>
  <c r="E435" i="9"/>
  <c r="G434" i="9"/>
  <c r="E434" i="9"/>
  <c r="E433" i="9"/>
  <c r="G433" i="9" s="1"/>
  <c r="E432" i="9"/>
  <c r="E431" i="9"/>
  <c r="G430" i="9"/>
  <c r="E430" i="9"/>
  <c r="E429" i="9"/>
  <c r="G429" i="9" s="1"/>
  <c r="E428" i="9"/>
  <c r="E427" i="9"/>
  <c r="G426" i="9"/>
  <c r="E426" i="9"/>
  <c r="E425" i="9"/>
  <c r="G425" i="9" s="1"/>
  <c r="E424" i="9"/>
  <c r="E423" i="9"/>
  <c r="G422" i="9"/>
  <c r="E422" i="9"/>
  <c r="E421" i="9"/>
  <c r="G421" i="9" s="1"/>
  <c r="E420" i="9"/>
  <c r="E419" i="9"/>
  <c r="G418" i="9"/>
  <c r="E418" i="9"/>
  <c r="E417" i="9"/>
  <c r="G417" i="9" s="1"/>
  <c r="E416" i="9"/>
  <c r="E415" i="9"/>
  <c r="G414" i="9"/>
  <c r="E414" i="9"/>
  <c r="E413" i="9"/>
  <c r="G413" i="9" s="1"/>
  <c r="E412" i="9"/>
  <c r="E411" i="9"/>
  <c r="G410" i="9"/>
  <c r="E410" i="9"/>
  <c r="E409" i="9"/>
  <c r="G409" i="9" s="1"/>
  <c r="E408" i="9"/>
  <c r="E407" i="9"/>
  <c r="C407" i="9"/>
  <c r="E406" i="9"/>
  <c r="C406" i="9" s="1"/>
  <c r="E405" i="9"/>
  <c r="C405" i="9" s="1"/>
  <c r="G404" i="9"/>
  <c r="E404" i="9"/>
  <c r="F404" i="9" s="1"/>
  <c r="B404" i="9" s="1"/>
  <c r="C404" i="9"/>
  <c r="E403" i="9"/>
  <c r="C403" i="9" s="1"/>
  <c r="G402" i="9"/>
  <c r="E402" i="9"/>
  <c r="F402" i="9" s="1"/>
  <c r="B402" i="9" s="1"/>
  <c r="C402" i="9"/>
  <c r="E401" i="9"/>
  <c r="C401" i="9" s="1"/>
  <c r="G400" i="9"/>
  <c r="E400" i="9"/>
  <c r="F400" i="9" s="1"/>
  <c r="B400" i="9" s="1"/>
  <c r="C400" i="9"/>
  <c r="E399" i="9"/>
  <c r="C399" i="9" s="1"/>
  <c r="G398" i="9"/>
  <c r="E398" i="9"/>
  <c r="F398" i="9" s="1"/>
  <c r="B398" i="9" s="1"/>
  <c r="C398" i="9"/>
  <c r="E397" i="9"/>
  <c r="C397" i="9" s="1"/>
  <c r="G396" i="9"/>
  <c r="E396" i="9"/>
  <c r="F396" i="9" s="1"/>
  <c r="B396" i="9" s="1"/>
  <c r="C396" i="9"/>
  <c r="E395" i="9"/>
  <c r="C395" i="9" s="1"/>
  <c r="G394" i="9"/>
  <c r="E394" i="9"/>
  <c r="F394" i="9" s="1"/>
  <c r="B394" i="9" s="1"/>
  <c r="C394" i="9"/>
  <c r="E393" i="9"/>
  <c r="C393" i="9" s="1"/>
  <c r="G392" i="9"/>
  <c r="E392" i="9"/>
  <c r="F392" i="9" s="1"/>
  <c r="B392" i="9" s="1"/>
  <c r="C392" i="9"/>
  <c r="E391" i="9"/>
  <c r="C391" i="9" s="1"/>
  <c r="G390" i="9"/>
  <c r="E390" i="9"/>
  <c r="F390" i="9" s="1"/>
  <c r="B390" i="9" s="1"/>
  <c r="C390" i="9"/>
  <c r="E389" i="9"/>
  <c r="C389" i="9" s="1"/>
  <c r="G388" i="9"/>
  <c r="E388" i="9"/>
  <c r="F388" i="9" s="1"/>
  <c r="B388" i="9" s="1"/>
  <c r="C388" i="9"/>
  <c r="E387" i="9"/>
  <c r="C387" i="9" s="1"/>
  <c r="G386" i="9"/>
  <c r="E386" i="9"/>
  <c r="F386" i="9" s="1"/>
  <c r="B386" i="9" s="1"/>
  <c r="C386" i="9"/>
  <c r="E385" i="9"/>
  <c r="C385" i="9" s="1"/>
  <c r="G384" i="9"/>
  <c r="E384" i="9"/>
  <c r="F384" i="9" s="1"/>
  <c r="B384" i="9" s="1"/>
  <c r="C384" i="9"/>
  <c r="E383" i="9"/>
  <c r="C383" i="9" s="1"/>
  <c r="G382" i="9"/>
  <c r="E382" i="9"/>
  <c r="F382" i="9" s="1"/>
  <c r="B382" i="9" s="1"/>
  <c r="C382" i="9"/>
  <c r="E381" i="9"/>
  <c r="C381" i="9" s="1"/>
  <c r="G380" i="9"/>
  <c r="E380" i="9"/>
  <c r="F380" i="9" s="1"/>
  <c r="B380" i="9" s="1"/>
  <c r="C380" i="9"/>
  <c r="E379" i="9"/>
  <c r="C379" i="9" s="1"/>
  <c r="G378" i="9"/>
  <c r="E378" i="9"/>
  <c r="F378" i="9" s="1"/>
  <c r="B378" i="9" s="1"/>
  <c r="C378" i="9"/>
  <c r="E377" i="9"/>
  <c r="C377" i="9" s="1"/>
  <c r="G376" i="9"/>
  <c r="E376" i="9"/>
  <c r="F376" i="9" s="1"/>
  <c r="B376" i="9" s="1"/>
  <c r="C376" i="9"/>
  <c r="E375" i="9"/>
  <c r="C375" i="9" s="1"/>
  <c r="G374" i="9"/>
  <c r="E374" i="9"/>
  <c r="F374" i="9" s="1"/>
  <c r="B374" i="9" s="1"/>
  <c r="C374" i="9"/>
  <c r="E373" i="9"/>
  <c r="C373" i="9" s="1"/>
  <c r="G372" i="9"/>
  <c r="E372" i="9"/>
  <c r="F372" i="9" s="1"/>
  <c r="B372" i="9" s="1"/>
  <c r="C372" i="9"/>
  <c r="E371" i="9"/>
  <c r="C371" i="9" s="1"/>
  <c r="G370" i="9"/>
  <c r="E370" i="9"/>
  <c r="F370" i="9" s="1"/>
  <c r="B370" i="9" s="1"/>
  <c r="C370" i="9"/>
  <c r="E369" i="9"/>
  <c r="C369" i="9" s="1"/>
  <c r="G368" i="9"/>
  <c r="E368" i="9"/>
  <c r="F368" i="9" s="1"/>
  <c r="B368" i="9" s="1"/>
  <c r="C368" i="9"/>
  <c r="E367" i="9"/>
  <c r="C367" i="9" s="1"/>
  <c r="G366" i="9"/>
  <c r="E366" i="9"/>
  <c r="F366" i="9" s="1"/>
  <c r="B366" i="9" s="1"/>
  <c r="C366" i="9"/>
  <c r="E365" i="9"/>
  <c r="C365" i="9" s="1"/>
  <c r="G364" i="9"/>
  <c r="E364" i="9"/>
  <c r="F364" i="9" s="1"/>
  <c r="C364" i="9"/>
  <c r="B364" i="9"/>
  <c r="E363" i="9"/>
  <c r="G362" i="9"/>
  <c r="E362" i="9"/>
  <c r="F362" i="9" s="1"/>
  <c r="C362" i="9"/>
  <c r="B362" i="9"/>
  <c r="E361" i="9"/>
  <c r="G360" i="9"/>
  <c r="E360" i="9"/>
  <c r="F360" i="9" s="1"/>
  <c r="B360" i="9" s="1"/>
  <c r="C360" i="9"/>
  <c r="E359" i="9"/>
  <c r="G358" i="9"/>
  <c r="E358" i="9"/>
  <c r="F358" i="9" s="1"/>
  <c r="B358" i="9" s="1"/>
  <c r="C358" i="9"/>
  <c r="E357" i="9"/>
  <c r="G356" i="9"/>
  <c r="E356" i="9"/>
  <c r="F356" i="9" s="1"/>
  <c r="C356" i="9"/>
  <c r="B356" i="9"/>
  <c r="E355" i="9"/>
  <c r="G354" i="9"/>
  <c r="E354" i="9"/>
  <c r="F354" i="9" s="1"/>
  <c r="C354" i="9"/>
  <c r="B354" i="9"/>
  <c r="E353" i="9"/>
  <c r="G352" i="9"/>
  <c r="E352" i="9"/>
  <c r="F352" i="9" s="1"/>
  <c r="B352" i="9" s="1"/>
  <c r="C352" i="9"/>
  <c r="E351" i="9"/>
  <c r="G350" i="9"/>
  <c r="E350" i="9"/>
  <c r="F350" i="9" s="1"/>
  <c r="B350" i="9" s="1"/>
  <c r="C350" i="9"/>
  <c r="E349" i="9"/>
  <c r="G348" i="9"/>
  <c r="E348" i="9"/>
  <c r="F348" i="9" s="1"/>
  <c r="C348" i="9"/>
  <c r="B348" i="9"/>
  <c r="E347" i="9"/>
  <c r="G346" i="9"/>
  <c r="E346" i="9"/>
  <c r="F346" i="9" s="1"/>
  <c r="B346" i="9" s="1"/>
  <c r="C346" i="9"/>
  <c r="F345" i="9"/>
  <c r="B345" i="9" s="1"/>
  <c r="E345" i="9"/>
  <c r="A345" i="9"/>
  <c r="E344" i="9"/>
  <c r="C344" i="9" s="1"/>
  <c r="F343" i="9"/>
  <c r="B343" i="9" s="1"/>
  <c r="E343" i="9"/>
  <c r="C343" i="9" s="1"/>
  <c r="G342" i="9"/>
  <c r="E342" i="9"/>
  <c r="C342" i="9"/>
  <c r="G341" i="9"/>
  <c r="E341" i="9"/>
  <c r="C341" i="9" s="1"/>
  <c r="A341" i="9"/>
  <c r="E340" i="9"/>
  <c r="G339" i="9"/>
  <c r="F339" i="9"/>
  <c r="E339" i="9"/>
  <c r="C339" i="9" s="1"/>
  <c r="B339" i="9"/>
  <c r="A339" i="9"/>
  <c r="G338" i="9"/>
  <c r="E338" i="9"/>
  <c r="C338" i="9"/>
  <c r="E337" i="9"/>
  <c r="C337" i="9" s="1"/>
  <c r="E336" i="9"/>
  <c r="C336" i="9" s="1"/>
  <c r="F335" i="9"/>
  <c r="B335" i="9" s="1"/>
  <c r="E335" i="9"/>
  <c r="C335" i="9" s="1"/>
  <c r="G334" i="9"/>
  <c r="E334" i="9"/>
  <c r="C334" i="9"/>
  <c r="G333" i="9"/>
  <c r="E333" i="9"/>
  <c r="C333" i="9" s="1"/>
  <c r="A333" i="9"/>
  <c r="E332" i="9"/>
  <c r="G331" i="9"/>
  <c r="F331" i="9"/>
  <c r="E331" i="9"/>
  <c r="C331" i="9" s="1"/>
  <c r="B331" i="9"/>
  <c r="A331" i="9"/>
  <c r="G330" i="9"/>
  <c r="E330" i="9"/>
  <c r="C330" i="9"/>
  <c r="E329" i="9"/>
  <c r="C329" i="9" s="1"/>
  <c r="E328" i="9"/>
  <c r="C328" i="9" s="1"/>
  <c r="F327" i="9"/>
  <c r="B327" i="9" s="1"/>
  <c r="E327" i="9"/>
  <c r="C327" i="9" s="1"/>
  <c r="G326" i="9"/>
  <c r="E326" i="9"/>
  <c r="C326" i="9"/>
  <c r="G325" i="9"/>
  <c r="E325" i="9"/>
  <c r="C325" i="9" s="1"/>
  <c r="A325" i="9"/>
  <c r="E324" i="9"/>
  <c r="G323" i="9"/>
  <c r="F323" i="9"/>
  <c r="E323" i="9"/>
  <c r="C323" i="9" s="1"/>
  <c r="B323" i="9"/>
  <c r="A323" i="9"/>
  <c r="G322" i="9"/>
  <c r="E322" i="9"/>
  <c r="C322" i="9"/>
  <c r="E321" i="9"/>
  <c r="C321" i="9" s="1"/>
  <c r="E320" i="9"/>
  <c r="C320" i="9" s="1"/>
  <c r="F319" i="9"/>
  <c r="B319" i="9" s="1"/>
  <c r="E319" i="9"/>
  <c r="C319" i="9" s="1"/>
  <c r="G318" i="9"/>
  <c r="E318" i="9"/>
  <c r="C318" i="9"/>
  <c r="G317" i="9"/>
  <c r="E317" i="9"/>
  <c r="C317" i="9" s="1"/>
  <c r="A317" i="9"/>
  <c r="E316" i="9"/>
  <c r="G315" i="9"/>
  <c r="F315" i="9"/>
  <c r="E315" i="9"/>
  <c r="C315" i="9" s="1"/>
  <c r="B315" i="9"/>
  <c r="A315" i="9"/>
  <c r="G314" i="9"/>
  <c r="E314" i="9"/>
  <c r="C314" i="9"/>
  <c r="E313" i="9"/>
  <c r="C313" i="9" s="1"/>
  <c r="E312" i="9"/>
  <c r="C312" i="9" s="1"/>
  <c r="F311" i="9"/>
  <c r="B311" i="9" s="1"/>
  <c r="E311" i="9"/>
  <c r="C311" i="9" s="1"/>
  <c r="G310" i="9"/>
  <c r="E310" i="9"/>
  <c r="C310" i="9"/>
  <c r="G309" i="9"/>
  <c r="E309" i="9"/>
  <c r="C309" i="9" s="1"/>
  <c r="A309" i="9"/>
  <c r="E308" i="9"/>
  <c r="G307" i="9"/>
  <c r="F307" i="9"/>
  <c r="B307" i="9" s="1"/>
  <c r="E307" i="9"/>
  <c r="C307" i="9"/>
  <c r="A307" i="9"/>
  <c r="F306" i="9"/>
  <c r="B306" i="9" s="1"/>
  <c r="E306" i="9"/>
  <c r="G306" i="9" s="1"/>
  <c r="C306" i="9"/>
  <c r="A306" i="9"/>
  <c r="G305" i="9"/>
  <c r="F305" i="9"/>
  <c r="B305" i="9" s="1"/>
  <c r="E305" i="9"/>
  <c r="C305" i="9"/>
  <c r="A305" i="9"/>
  <c r="F304" i="9"/>
  <c r="B304" i="9" s="1"/>
  <c r="E304" i="9"/>
  <c r="G304" i="9" s="1"/>
  <c r="C304" i="9"/>
  <c r="A304" i="9"/>
  <c r="G303" i="9"/>
  <c r="F303" i="9"/>
  <c r="B303" i="9" s="1"/>
  <c r="E303" i="9"/>
  <c r="C303" i="9"/>
  <c r="A303" i="9"/>
  <c r="F302" i="9"/>
  <c r="B302" i="9" s="1"/>
  <c r="E302" i="9"/>
  <c r="G302" i="9" s="1"/>
  <c r="C302" i="9"/>
  <c r="A302" i="9"/>
  <c r="G301" i="9"/>
  <c r="F301" i="9"/>
  <c r="B301" i="9" s="1"/>
  <c r="E301" i="9"/>
  <c r="C301" i="9"/>
  <c r="A301" i="9"/>
  <c r="F300" i="9"/>
  <c r="B300" i="9" s="1"/>
  <c r="E300" i="9"/>
  <c r="G300" i="9" s="1"/>
  <c r="C300" i="9"/>
  <c r="A300" i="9"/>
  <c r="G299" i="9"/>
  <c r="F299" i="9"/>
  <c r="B299" i="9" s="1"/>
  <c r="E299" i="9"/>
  <c r="C299" i="9"/>
  <c r="A299" i="9"/>
  <c r="F298" i="9"/>
  <c r="B298" i="9" s="1"/>
  <c r="E298" i="9"/>
  <c r="G298" i="9" s="1"/>
  <c r="C298" i="9"/>
  <c r="A298" i="9"/>
  <c r="G297" i="9"/>
  <c r="F297" i="9"/>
  <c r="B297" i="9" s="1"/>
  <c r="E297" i="9"/>
  <c r="C297" i="9"/>
  <c r="A297" i="9"/>
  <c r="F296" i="9"/>
  <c r="B296" i="9" s="1"/>
  <c r="E296" i="9"/>
  <c r="G296" i="9" s="1"/>
  <c r="C296" i="9"/>
  <c r="A296" i="9"/>
  <c r="G295" i="9"/>
  <c r="F295" i="9"/>
  <c r="B295" i="9" s="1"/>
  <c r="E295" i="9"/>
  <c r="C295" i="9"/>
  <c r="A295" i="9"/>
  <c r="F294" i="9"/>
  <c r="B294" i="9" s="1"/>
  <c r="E294" i="9"/>
  <c r="G294" i="9" s="1"/>
  <c r="C294" i="9"/>
  <c r="A294" i="9"/>
  <c r="G293" i="9"/>
  <c r="F293" i="9"/>
  <c r="B293" i="9" s="1"/>
  <c r="E293" i="9"/>
  <c r="C293" i="9"/>
  <c r="A293" i="9"/>
  <c r="F292" i="9"/>
  <c r="B292" i="9" s="1"/>
  <c r="E292" i="9"/>
  <c r="G292" i="9" s="1"/>
  <c r="C292" i="9"/>
  <c r="A292" i="9"/>
  <c r="G291" i="9"/>
  <c r="F291" i="9"/>
  <c r="B291" i="9" s="1"/>
  <c r="E291" i="9"/>
  <c r="C291" i="9"/>
  <c r="A291" i="9"/>
  <c r="F290" i="9"/>
  <c r="B290" i="9" s="1"/>
  <c r="E290" i="9"/>
  <c r="G290" i="9" s="1"/>
  <c r="C290" i="9"/>
  <c r="A290" i="9"/>
  <c r="G289" i="9"/>
  <c r="F289" i="9"/>
  <c r="B289" i="9" s="1"/>
  <c r="E289" i="9"/>
  <c r="C289" i="9"/>
  <c r="A289" i="9"/>
  <c r="F288" i="9"/>
  <c r="B288" i="9" s="1"/>
  <c r="E288" i="9"/>
  <c r="G288" i="9" s="1"/>
  <c r="C288" i="9"/>
  <c r="A288" i="9"/>
  <c r="G287" i="9"/>
  <c r="F287" i="9"/>
  <c r="B287" i="9" s="1"/>
  <c r="E287" i="9"/>
  <c r="C287" i="9"/>
  <c r="A287" i="9"/>
  <c r="F286" i="9"/>
  <c r="B286" i="9" s="1"/>
  <c r="E286" i="9"/>
  <c r="G286" i="9" s="1"/>
  <c r="C286" i="9"/>
  <c r="A286" i="9"/>
  <c r="G285" i="9"/>
  <c r="F285" i="9"/>
  <c r="B285" i="9" s="1"/>
  <c r="E285" i="9"/>
  <c r="C285" i="9"/>
  <c r="A285" i="9"/>
  <c r="F284" i="9"/>
  <c r="B284" i="9" s="1"/>
  <c r="E284" i="9"/>
  <c r="G284" i="9" s="1"/>
  <c r="C284" i="9"/>
  <c r="A284" i="9"/>
  <c r="G283" i="9"/>
  <c r="F283" i="9"/>
  <c r="B283" i="9" s="1"/>
  <c r="E283" i="9"/>
  <c r="C283" i="9"/>
  <c r="A283" i="9"/>
  <c r="F282" i="9"/>
  <c r="B282" i="9" s="1"/>
  <c r="E282" i="9"/>
  <c r="G282" i="9" s="1"/>
  <c r="C282" i="9"/>
  <c r="A282" i="9"/>
  <c r="G281" i="9"/>
  <c r="F281" i="9"/>
  <c r="B281" i="9" s="1"/>
  <c r="E281" i="9"/>
  <c r="C281" i="9"/>
  <c r="A281" i="9"/>
  <c r="F280" i="9"/>
  <c r="B280" i="9" s="1"/>
  <c r="E280" i="9"/>
  <c r="G280" i="9" s="1"/>
  <c r="C280" i="9"/>
  <c r="A280" i="9"/>
  <c r="G279" i="9"/>
  <c r="F279" i="9"/>
  <c r="B279" i="9" s="1"/>
  <c r="E279" i="9"/>
  <c r="C279" i="9"/>
  <c r="A279" i="9"/>
  <c r="F278" i="9"/>
  <c r="B278" i="9" s="1"/>
  <c r="E278" i="9"/>
  <c r="G278" i="9" s="1"/>
  <c r="C278" i="9"/>
  <c r="A278" i="9"/>
  <c r="G277" i="9"/>
  <c r="F277" i="9"/>
  <c r="B277" i="9" s="1"/>
  <c r="E277" i="9"/>
  <c r="C277" i="9"/>
  <c r="A277" i="9"/>
  <c r="F276" i="9"/>
  <c r="B276" i="9" s="1"/>
  <c r="E276" i="9"/>
  <c r="G276" i="9" s="1"/>
  <c r="C276" i="9"/>
  <c r="A276" i="9"/>
  <c r="G275" i="9"/>
  <c r="F275" i="9"/>
  <c r="B275" i="9" s="1"/>
  <c r="E275" i="9"/>
  <c r="C275" i="9"/>
  <c r="A275" i="9"/>
  <c r="F274" i="9"/>
  <c r="B274" i="9" s="1"/>
  <c r="E274" i="9"/>
  <c r="G274" i="9" s="1"/>
  <c r="C274" i="9"/>
  <c r="A274" i="9"/>
  <c r="G273" i="9"/>
  <c r="F273" i="9"/>
  <c r="B273" i="9" s="1"/>
  <c r="E273" i="9"/>
  <c r="C273" i="9"/>
  <c r="A273" i="9"/>
  <c r="F272" i="9"/>
  <c r="B272" i="9" s="1"/>
  <c r="E272" i="9"/>
  <c r="G272" i="9" s="1"/>
  <c r="C272" i="9"/>
  <c r="A272" i="9"/>
  <c r="G271" i="9"/>
  <c r="F271" i="9"/>
  <c r="B271" i="9" s="1"/>
  <c r="E271" i="9"/>
  <c r="C271" i="9"/>
  <c r="A271" i="9"/>
  <c r="F270" i="9"/>
  <c r="B270" i="9" s="1"/>
  <c r="E270" i="9"/>
  <c r="G270" i="9" s="1"/>
  <c r="C270" i="9"/>
  <c r="A270" i="9"/>
  <c r="G269" i="9"/>
  <c r="F269" i="9"/>
  <c r="B269" i="9" s="1"/>
  <c r="E269" i="9"/>
  <c r="C269" i="9"/>
  <c r="A269" i="9"/>
  <c r="F268" i="9"/>
  <c r="B268" i="9" s="1"/>
  <c r="E268" i="9"/>
  <c r="G268" i="9" s="1"/>
  <c r="C268" i="9"/>
  <c r="A268" i="9"/>
  <c r="G267" i="9"/>
  <c r="F267" i="9"/>
  <c r="B267" i="9" s="1"/>
  <c r="E267" i="9"/>
  <c r="C267" i="9"/>
  <c r="A267" i="9"/>
  <c r="F266" i="9"/>
  <c r="B266" i="9" s="1"/>
  <c r="E266" i="9"/>
  <c r="G266" i="9" s="1"/>
  <c r="C266" i="9"/>
  <c r="A266" i="9"/>
  <c r="G265" i="9"/>
  <c r="F265" i="9"/>
  <c r="B265" i="9" s="1"/>
  <c r="E265" i="9"/>
  <c r="C265" i="9"/>
  <c r="A265" i="9"/>
  <c r="F264" i="9"/>
  <c r="B264" i="9" s="1"/>
  <c r="E264" i="9"/>
  <c r="G264" i="9" s="1"/>
  <c r="C264" i="9"/>
  <c r="A264" i="9"/>
  <c r="G263" i="9"/>
  <c r="F263" i="9"/>
  <c r="B263" i="9" s="1"/>
  <c r="E263" i="9"/>
  <c r="C263" i="9"/>
  <c r="A263" i="9"/>
  <c r="F262" i="9"/>
  <c r="B262" i="9" s="1"/>
  <c r="E262" i="9"/>
  <c r="G262" i="9" s="1"/>
  <c r="C262" i="9"/>
  <c r="A262" i="9"/>
  <c r="G261" i="9"/>
  <c r="F261" i="9"/>
  <c r="B261" i="9" s="1"/>
  <c r="E261" i="9"/>
  <c r="C261" i="9"/>
  <c r="A261" i="9"/>
  <c r="F260" i="9"/>
  <c r="B260" i="9" s="1"/>
  <c r="E260" i="9"/>
  <c r="G260" i="9" s="1"/>
  <c r="C260" i="9"/>
  <c r="A260" i="9"/>
  <c r="G259" i="9"/>
  <c r="F259" i="9"/>
  <c r="B259" i="9" s="1"/>
  <c r="E259" i="9"/>
  <c r="C259" i="9"/>
  <c r="A259" i="9"/>
  <c r="F258" i="9"/>
  <c r="B258" i="9" s="1"/>
  <c r="E258" i="9"/>
  <c r="G258" i="9" s="1"/>
  <c r="C258" i="9"/>
  <c r="A258" i="9"/>
  <c r="G257" i="9"/>
  <c r="F257" i="9"/>
  <c r="B257" i="9" s="1"/>
  <c r="E257" i="9"/>
  <c r="C257" i="9"/>
  <c r="A257" i="9"/>
  <c r="F256" i="9"/>
  <c r="B256" i="9" s="1"/>
  <c r="E256" i="9"/>
  <c r="G256" i="9" s="1"/>
  <c r="C256" i="9"/>
  <c r="A256" i="9"/>
  <c r="G255" i="9"/>
  <c r="F255" i="9"/>
  <c r="B255" i="9" s="1"/>
  <c r="E255" i="9"/>
  <c r="C255" i="9"/>
  <c r="A255" i="9"/>
  <c r="F254" i="9"/>
  <c r="B254" i="9" s="1"/>
  <c r="E254" i="9"/>
  <c r="G254" i="9" s="1"/>
  <c r="C254" i="9"/>
  <c r="A254" i="9"/>
  <c r="G253" i="9"/>
  <c r="F253" i="9"/>
  <c r="B253" i="9" s="1"/>
  <c r="E253" i="9"/>
  <c r="C253" i="9"/>
  <c r="A253" i="9"/>
  <c r="F252" i="9"/>
  <c r="B252" i="9" s="1"/>
  <c r="E252" i="9"/>
  <c r="G252" i="9" s="1"/>
  <c r="C252" i="9"/>
  <c r="A252" i="9"/>
  <c r="G251" i="9"/>
  <c r="F251" i="9"/>
  <c r="B251" i="9" s="1"/>
  <c r="E251" i="9"/>
  <c r="C251" i="9"/>
  <c r="A251" i="9"/>
  <c r="F250" i="9"/>
  <c r="B250" i="9" s="1"/>
  <c r="E250" i="9"/>
  <c r="G250" i="9" s="1"/>
  <c r="C250" i="9"/>
  <c r="A250" i="9"/>
  <c r="G249" i="9"/>
  <c r="F249" i="9"/>
  <c r="B249" i="9" s="1"/>
  <c r="E249" i="9"/>
  <c r="C249" i="9"/>
  <c r="A249" i="9"/>
  <c r="F248" i="9"/>
  <c r="B248" i="9" s="1"/>
  <c r="E248" i="9"/>
  <c r="G248" i="9" s="1"/>
  <c r="C248" i="9"/>
  <c r="A248" i="9"/>
  <c r="G247" i="9"/>
  <c r="F247" i="9"/>
  <c r="B247" i="9" s="1"/>
  <c r="E247" i="9"/>
  <c r="C247" i="9"/>
  <c r="A247" i="9"/>
  <c r="F246" i="9"/>
  <c r="B246" i="9" s="1"/>
  <c r="E246" i="9"/>
  <c r="G246" i="9" s="1"/>
  <c r="C246" i="9"/>
  <c r="A246" i="9"/>
  <c r="G245" i="9"/>
  <c r="F245" i="9"/>
  <c r="B245" i="9" s="1"/>
  <c r="E245" i="9"/>
  <c r="C245" i="9"/>
  <c r="A245" i="9"/>
  <c r="F244" i="9"/>
  <c r="B244" i="9" s="1"/>
  <c r="E244" i="9"/>
  <c r="G244" i="9" s="1"/>
  <c r="C244" i="9"/>
  <c r="A244" i="9"/>
  <c r="G243" i="9"/>
  <c r="F243" i="9"/>
  <c r="B243" i="9" s="1"/>
  <c r="E243" i="9"/>
  <c r="C243" i="9"/>
  <c r="A243" i="9"/>
  <c r="F242" i="9"/>
  <c r="B242" i="9" s="1"/>
  <c r="E242" i="9"/>
  <c r="G242" i="9" s="1"/>
  <c r="C242" i="9"/>
  <c r="A242" i="9"/>
  <c r="G241" i="9"/>
  <c r="F241" i="9"/>
  <c r="B241" i="9" s="1"/>
  <c r="E241" i="9"/>
  <c r="C241" i="9"/>
  <c r="A241" i="9"/>
  <c r="F240" i="9"/>
  <c r="B240" i="9" s="1"/>
  <c r="E240" i="9"/>
  <c r="G240" i="9" s="1"/>
  <c r="C240" i="9"/>
  <c r="A240" i="9"/>
  <c r="G239" i="9"/>
  <c r="F239" i="9"/>
  <c r="B239" i="9" s="1"/>
  <c r="E239" i="9"/>
  <c r="C239" i="9"/>
  <c r="A239" i="9"/>
  <c r="F238" i="9"/>
  <c r="B238" i="9" s="1"/>
  <c r="E238" i="9"/>
  <c r="G238" i="9" s="1"/>
  <c r="C238" i="9"/>
  <c r="A238" i="9"/>
  <c r="G237" i="9"/>
  <c r="F237" i="9"/>
  <c r="B237" i="9" s="1"/>
  <c r="E237" i="9"/>
  <c r="C237" i="9"/>
  <c r="A237" i="9"/>
  <c r="F236" i="9"/>
  <c r="B236" i="9" s="1"/>
  <c r="E236" i="9"/>
  <c r="G236" i="9" s="1"/>
  <c r="C236" i="9"/>
  <c r="A236" i="9"/>
  <c r="G235" i="9"/>
  <c r="F235" i="9"/>
  <c r="B235" i="9" s="1"/>
  <c r="E235" i="9"/>
  <c r="C235" i="9"/>
  <c r="A235" i="9"/>
  <c r="F234" i="9"/>
  <c r="B234" i="9" s="1"/>
  <c r="E234" i="9"/>
  <c r="G234" i="9" s="1"/>
  <c r="C234" i="9"/>
  <c r="A234" i="9"/>
  <c r="G233" i="9"/>
  <c r="F233" i="9"/>
  <c r="B233" i="9" s="1"/>
  <c r="E233" i="9"/>
  <c r="C233" i="9"/>
  <c r="A233" i="9"/>
  <c r="F232" i="9"/>
  <c r="B232" i="9" s="1"/>
  <c r="E232" i="9"/>
  <c r="G232" i="9" s="1"/>
  <c r="C232" i="9"/>
  <c r="A232" i="9"/>
  <c r="G231" i="9"/>
  <c r="F231" i="9"/>
  <c r="B231" i="9" s="1"/>
  <c r="E231" i="9"/>
  <c r="C231" i="9"/>
  <c r="A231" i="9"/>
  <c r="F230" i="9"/>
  <c r="B230" i="9" s="1"/>
  <c r="E230" i="9"/>
  <c r="G230" i="9" s="1"/>
  <c r="C230" i="9"/>
  <c r="A230" i="9"/>
  <c r="G229" i="9"/>
  <c r="F229" i="9"/>
  <c r="B229" i="9" s="1"/>
  <c r="E229" i="9"/>
  <c r="C229" i="9"/>
  <c r="A229" i="9"/>
  <c r="F228" i="9"/>
  <c r="B228" i="9" s="1"/>
  <c r="E228" i="9"/>
  <c r="G228" i="9" s="1"/>
  <c r="C228" i="9"/>
  <c r="A228" i="9"/>
  <c r="G227" i="9"/>
  <c r="F227" i="9"/>
  <c r="B227" i="9" s="1"/>
  <c r="E227" i="9"/>
  <c r="C227" i="9"/>
  <c r="A227" i="9"/>
  <c r="F226" i="9"/>
  <c r="B226" i="9" s="1"/>
  <c r="E226" i="9"/>
  <c r="G226" i="9" s="1"/>
  <c r="C226" i="9"/>
  <c r="A226" i="9"/>
  <c r="G225" i="9"/>
  <c r="F225" i="9"/>
  <c r="B225" i="9" s="1"/>
  <c r="E225" i="9"/>
  <c r="C225" i="9"/>
  <c r="A225" i="9"/>
  <c r="F224" i="9"/>
  <c r="B224" i="9" s="1"/>
  <c r="E224" i="9"/>
  <c r="G224" i="9" s="1"/>
  <c r="C224" i="9"/>
  <c r="A224" i="9"/>
  <c r="G223" i="9"/>
  <c r="F223" i="9"/>
  <c r="B223" i="9" s="1"/>
  <c r="E223" i="9"/>
  <c r="C223" i="9"/>
  <c r="A223" i="9"/>
  <c r="F222" i="9"/>
  <c r="B222" i="9" s="1"/>
  <c r="E222" i="9"/>
  <c r="G222" i="9" s="1"/>
  <c r="C222" i="9"/>
  <c r="A222" i="9"/>
  <c r="G221" i="9"/>
  <c r="F221" i="9"/>
  <c r="B221" i="9" s="1"/>
  <c r="E221" i="9"/>
  <c r="C221" i="9"/>
  <c r="A221" i="9"/>
  <c r="F220" i="9"/>
  <c r="B220" i="9" s="1"/>
  <c r="E220" i="9"/>
  <c r="G220" i="9" s="1"/>
  <c r="C220" i="9"/>
  <c r="A220" i="9"/>
  <c r="G219" i="9"/>
  <c r="F219" i="9"/>
  <c r="B219" i="9" s="1"/>
  <c r="E219" i="9"/>
  <c r="C219" i="9"/>
  <c r="A219" i="9"/>
  <c r="F218" i="9"/>
  <c r="B218" i="9" s="1"/>
  <c r="E218" i="9"/>
  <c r="G218" i="9" s="1"/>
  <c r="C218" i="9"/>
  <c r="A218" i="9"/>
  <c r="G217" i="9"/>
  <c r="F217" i="9"/>
  <c r="B217" i="9" s="1"/>
  <c r="E217" i="9"/>
  <c r="C217" i="9"/>
  <c r="A217" i="9"/>
  <c r="F216" i="9"/>
  <c r="B216" i="9" s="1"/>
  <c r="E216" i="9"/>
  <c r="G216" i="9" s="1"/>
  <c r="C216" i="9"/>
  <c r="A216" i="9"/>
  <c r="G215" i="9"/>
  <c r="F215" i="9"/>
  <c r="B215" i="9" s="1"/>
  <c r="E215" i="9"/>
  <c r="C215" i="9"/>
  <c r="A215" i="9"/>
  <c r="F214" i="9"/>
  <c r="B214" i="9" s="1"/>
  <c r="E214" i="9"/>
  <c r="G214" i="9" s="1"/>
  <c r="C214" i="9"/>
  <c r="A214" i="9"/>
  <c r="G213" i="9"/>
  <c r="F213" i="9"/>
  <c r="E213" i="9"/>
  <c r="C213" i="9"/>
  <c r="B213" i="9"/>
  <c r="A213" i="9"/>
  <c r="F212" i="9"/>
  <c r="B212" i="9" s="1"/>
  <c r="E212" i="9"/>
  <c r="G212" i="9" s="1"/>
  <c r="C212" i="9"/>
  <c r="G211" i="9"/>
  <c r="F211" i="9"/>
  <c r="E211" i="9"/>
  <c r="C211" i="9"/>
  <c r="B211" i="9"/>
  <c r="A211" i="9"/>
  <c r="F210" i="9"/>
  <c r="B210" i="9" s="1"/>
  <c r="E210" i="9"/>
  <c r="G210" i="9" s="1"/>
  <c r="C210" i="9"/>
  <c r="A210" i="9"/>
  <c r="G209" i="9"/>
  <c r="F209" i="9"/>
  <c r="E209" i="9"/>
  <c r="C209" i="9"/>
  <c r="B209" i="9"/>
  <c r="A209" i="9"/>
  <c r="F208" i="9"/>
  <c r="B208" i="9" s="1"/>
  <c r="E208" i="9"/>
  <c r="G208" i="9" s="1"/>
  <c r="C208" i="9"/>
  <c r="G207" i="9"/>
  <c r="F207" i="9"/>
  <c r="E207" i="9"/>
  <c r="C207" i="9"/>
  <c r="B207" i="9"/>
  <c r="A207" i="9"/>
  <c r="F206" i="9"/>
  <c r="B206" i="9" s="1"/>
  <c r="E206" i="9"/>
  <c r="G206" i="9" s="1"/>
  <c r="C206" i="9"/>
  <c r="A206" i="9"/>
  <c r="G205" i="9"/>
  <c r="F205" i="9"/>
  <c r="E205" i="9"/>
  <c r="C205" i="9"/>
  <c r="B205" i="9"/>
  <c r="A205" i="9"/>
  <c r="F204" i="9"/>
  <c r="B204" i="9" s="1"/>
  <c r="E204" i="9"/>
  <c r="G204" i="9" s="1"/>
  <c r="C204" i="9"/>
  <c r="G203" i="9"/>
  <c r="F203" i="9"/>
  <c r="E203" i="9"/>
  <c r="C203" i="9"/>
  <c r="B203" i="9"/>
  <c r="A203" i="9"/>
  <c r="E202" i="9"/>
  <c r="A202" i="9"/>
  <c r="E201" i="9"/>
  <c r="A201" i="9"/>
  <c r="E200" i="9"/>
  <c r="E199" i="9"/>
  <c r="A199" i="9"/>
  <c r="E198" i="9"/>
  <c r="A198" i="9"/>
  <c r="E197" i="9"/>
  <c r="A197" i="9"/>
  <c r="E196" i="9"/>
  <c r="E195" i="9"/>
  <c r="A195" i="9"/>
  <c r="E194" i="9"/>
  <c r="A194" i="9"/>
  <c r="E193" i="9"/>
  <c r="A193" i="9"/>
  <c r="E192" i="9"/>
  <c r="E191" i="9"/>
  <c r="A191" i="9"/>
  <c r="E190" i="9"/>
  <c r="A190" i="9"/>
  <c r="E189" i="9"/>
  <c r="A189" i="9"/>
  <c r="E188" i="9"/>
  <c r="E187" i="9"/>
  <c r="A187" i="9"/>
  <c r="E186" i="9"/>
  <c r="A186" i="9"/>
  <c r="E185" i="9"/>
  <c r="A185" i="9"/>
  <c r="E184" i="9"/>
  <c r="E183" i="9"/>
  <c r="A183" i="9"/>
  <c r="E182" i="9"/>
  <c r="A182" i="9"/>
  <c r="E181" i="9"/>
  <c r="A181" i="9"/>
  <c r="E180" i="9"/>
  <c r="E179" i="9"/>
  <c r="A179" i="9"/>
  <c r="E178" i="9"/>
  <c r="A178" i="9"/>
  <c r="E177" i="9"/>
  <c r="E176" i="9"/>
  <c r="A176" i="9"/>
  <c r="E175" i="9"/>
  <c r="E174" i="9"/>
  <c r="A174" i="9"/>
  <c r="E173" i="9"/>
  <c r="E172" i="9"/>
  <c r="A172" i="9"/>
  <c r="E171" i="9"/>
  <c r="E170" i="9"/>
  <c r="A170" i="9"/>
  <c r="E169" i="9"/>
  <c r="E168" i="9"/>
  <c r="A168" i="9"/>
  <c r="E167" i="9"/>
  <c r="E166" i="9"/>
  <c r="A166" i="9"/>
  <c r="E165" i="9"/>
  <c r="E164" i="9"/>
  <c r="A164" i="9"/>
  <c r="E163" i="9"/>
  <c r="E162" i="9"/>
  <c r="A162" i="9"/>
  <c r="E161" i="9"/>
  <c r="E160" i="9"/>
  <c r="A160" i="9"/>
  <c r="E159" i="9"/>
  <c r="E158" i="9"/>
  <c r="A158" i="9"/>
  <c r="E157" i="9"/>
  <c r="E156" i="9"/>
  <c r="A156" i="9"/>
  <c r="E155" i="9"/>
  <c r="E154" i="9"/>
  <c r="A154" i="9"/>
  <c r="E153" i="9"/>
  <c r="G153" i="9" s="1"/>
  <c r="C153" i="9"/>
  <c r="E152" i="9"/>
  <c r="E151" i="9"/>
  <c r="E150" i="9"/>
  <c r="E149" i="9"/>
  <c r="E148" i="9"/>
  <c r="A148" i="9"/>
  <c r="E147" i="9"/>
  <c r="E146" i="9"/>
  <c r="A146" i="9"/>
  <c r="E145" i="9"/>
  <c r="G145" i="9" s="1"/>
  <c r="C145" i="9"/>
  <c r="E144" i="9"/>
  <c r="E143" i="9"/>
  <c r="E142" i="9"/>
  <c r="E141" i="9"/>
  <c r="E140" i="9"/>
  <c r="A140" i="9"/>
  <c r="E139" i="9"/>
  <c r="E138" i="9"/>
  <c r="A138" i="9"/>
  <c r="E137" i="9"/>
  <c r="G137" i="9" s="1"/>
  <c r="C137" i="9"/>
  <c r="E136" i="9"/>
  <c r="E135" i="9"/>
  <c r="E134" i="9"/>
  <c r="E133" i="9"/>
  <c r="E132" i="9"/>
  <c r="A132" i="9"/>
  <c r="E131" i="9"/>
  <c r="E130" i="9"/>
  <c r="A130" i="9"/>
  <c r="E129" i="9"/>
  <c r="G129" i="9" s="1"/>
  <c r="C129" i="9"/>
  <c r="E128" i="9"/>
  <c r="E127" i="9"/>
  <c r="F127" i="9" s="1"/>
  <c r="B127" i="9" s="1"/>
  <c r="E126" i="9"/>
  <c r="A126" i="9"/>
  <c r="E125" i="9"/>
  <c r="G125" i="9" s="1"/>
  <c r="C125" i="9"/>
  <c r="E124" i="9"/>
  <c r="A124" i="9"/>
  <c r="E123" i="9"/>
  <c r="G123" i="9" s="1"/>
  <c r="C123" i="9"/>
  <c r="E122" i="9"/>
  <c r="A122" i="9"/>
  <c r="E121" i="9"/>
  <c r="G121" i="9" s="1"/>
  <c r="C121" i="9"/>
  <c r="E120" i="9"/>
  <c r="A120" i="9"/>
  <c r="E119" i="9"/>
  <c r="G119" i="9" s="1"/>
  <c r="C119" i="9"/>
  <c r="E118" i="9"/>
  <c r="A118" i="9"/>
  <c r="E117" i="9"/>
  <c r="G117" i="9" s="1"/>
  <c r="C117" i="9"/>
  <c r="E116" i="9"/>
  <c r="A116" i="9"/>
  <c r="E115" i="9"/>
  <c r="G115" i="9" s="1"/>
  <c r="C115" i="9"/>
  <c r="E114" i="9"/>
  <c r="A114" i="9"/>
  <c r="E113" i="9"/>
  <c r="G113" i="9" s="1"/>
  <c r="C113" i="9"/>
  <c r="E112" i="9"/>
  <c r="A112" i="9"/>
  <c r="E111" i="9"/>
  <c r="G111" i="9" s="1"/>
  <c r="C111" i="9"/>
  <c r="E110" i="9"/>
  <c r="A110" i="9"/>
  <c r="E109" i="9"/>
  <c r="G109" i="9" s="1"/>
  <c r="C109" i="9" s="1"/>
  <c r="E108" i="9"/>
  <c r="A108" i="9"/>
  <c r="E107" i="9"/>
  <c r="G107" i="9" s="1"/>
  <c r="C107" i="9"/>
  <c r="E106" i="9"/>
  <c r="A106" i="9"/>
  <c r="E105" i="9"/>
  <c r="G105" i="9" s="1"/>
  <c r="C105" i="9" s="1"/>
  <c r="E104" i="9"/>
  <c r="A104" i="9"/>
  <c r="E103" i="9"/>
  <c r="G103" i="9" s="1"/>
  <c r="C103" i="9"/>
  <c r="E102" i="9"/>
  <c r="A102" i="9"/>
  <c r="E101" i="9"/>
  <c r="G101" i="9" s="1"/>
  <c r="C101" i="9" s="1"/>
  <c r="E100" i="9"/>
  <c r="A100" i="9"/>
  <c r="E99" i="9"/>
  <c r="E98" i="9"/>
  <c r="A98" i="9"/>
  <c r="E97" i="9"/>
  <c r="E96" i="9"/>
  <c r="A96" i="9"/>
  <c r="E95" i="9"/>
  <c r="G95" i="9" s="1"/>
  <c r="C95" i="9" s="1"/>
  <c r="E94" i="9"/>
  <c r="G94" i="9" s="1"/>
  <c r="A94" i="9"/>
  <c r="E93" i="9"/>
  <c r="E92" i="9"/>
  <c r="G92" i="9" s="1"/>
  <c r="E91" i="9"/>
  <c r="E90" i="9"/>
  <c r="E89" i="9"/>
  <c r="E88" i="9"/>
  <c r="A88" i="9"/>
  <c r="E87" i="9"/>
  <c r="G87" i="9" s="1"/>
  <c r="C87" i="9" s="1"/>
  <c r="E86" i="9"/>
  <c r="G86" i="9" s="1"/>
  <c r="A86" i="9"/>
  <c r="E85" i="9"/>
  <c r="E84" i="9"/>
  <c r="G84" i="9" s="1"/>
  <c r="E83" i="9"/>
  <c r="E82" i="9"/>
  <c r="E81" i="9"/>
  <c r="E80" i="9"/>
  <c r="A80" i="9"/>
  <c r="E79" i="9"/>
  <c r="G79" i="9" s="1"/>
  <c r="C79" i="9" s="1"/>
  <c r="E78" i="9"/>
  <c r="G78" i="9" s="1"/>
  <c r="A78" i="9"/>
  <c r="E77" i="9"/>
  <c r="E76" i="9"/>
  <c r="G76" i="9" s="1"/>
  <c r="E75" i="9"/>
  <c r="E74" i="9"/>
  <c r="E73" i="9"/>
  <c r="E72" i="9"/>
  <c r="A72" i="9"/>
  <c r="E71" i="9"/>
  <c r="G71" i="9" s="1"/>
  <c r="C71" i="9" s="1"/>
  <c r="E70" i="9"/>
  <c r="G70" i="9" s="1"/>
  <c r="A70" i="9"/>
  <c r="E69" i="9"/>
  <c r="E68" i="9"/>
  <c r="G68" i="9" s="1"/>
  <c r="E67" i="9"/>
  <c r="E66" i="9"/>
  <c r="E65" i="9"/>
  <c r="E64" i="9"/>
  <c r="A64" i="9"/>
  <c r="E63" i="9"/>
  <c r="G63" i="9" s="1"/>
  <c r="C63" i="9" s="1"/>
  <c r="E62" i="9"/>
  <c r="G62" i="9" s="1"/>
  <c r="A62" i="9"/>
  <c r="E61" i="9"/>
  <c r="E60" i="9"/>
  <c r="G60" i="9" s="1"/>
  <c r="E59" i="9"/>
  <c r="E58" i="9"/>
  <c r="E57" i="9"/>
  <c r="E56" i="9"/>
  <c r="A56" i="9"/>
  <c r="E55" i="9"/>
  <c r="G55" i="9" s="1"/>
  <c r="C55" i="9" s="1"/>
  <c r="E54" i="9"/>
  <c r="G54" i="9" s="1"/>
  <c r="A54" i="9"/>
  <c r="E53" i="9"/>
  <c r="E52" i="9"/>
  <c r="G52" i="9" s="1"/>
  <c r="E51" i="9"/>
  <c r="E50" i="9"/>
  <c r="E49" i="9"/>
  <c r="E48" i="9"/>
  <c r="A48" i="9"/>
  <c r="E47" i="9"/>
  <c r="G47" i="9" s="1"/>
  <c r="C47" i="9" s="1"/>
  <c r="E46" i="9"/>
  <c r="G46" i="9" s="1"/>
  <c r="A46" i="9"/>
  <c r="E45" i="9"/>
  <c r="E44" i="9"/>
  <c r="G44" i="9" s="1"/>
  <c r="E43" i="9"/>
  <c r="E42" i="9"/>
  <c r="E41" i="9"/>
  <c r="E40" i="9"/>
  <c r="A40" i="9"/>
  <c r="E39" i="9"/>
  <c r="G39" i="9" s="1"/>
  <c r="C39" i="9" s="1"/>
  <c r="E38" i="9"/>
  <c r="G38" i="9" s="1"/>
  <c r="A38" i="9"/>
  <c r="E37" i="9"/>
  <c r="E36" i="9"/>
  <c r="G36" i="9" s="1"/>
  <c r="E35" i="9"/>
  <c r="E34" i="9"/>
  <c r="E33" i="9"/>
  <c r="E32" i="9"/>
  <c r="A32" i="9"/>
  <c r="E31" i="9"/>
  <c r="G31" i="9" s="1"/>
  <c r="C31" i="9" s="1"/>
  <c r="E30" i="9"/>
  <c r="G30" i="9" s="1"/>
  <c r="A30" i="9"/>
  <c r="E29" i="9"/>
  <c r="E28" i="9"/>
  <c r="A28" i="9"/>
  <c r="E27" i="9"/>
  <c r="E26" i="9"/>
  <c r="A26" i="9"/>
  <c r="E25" i="9"/>
  <c r="E24" i="9"/>
  <c r="A24" i="9"/>
  <c r="E23" i="9"/>
  <c r="E22" i="9"/>
  <c r="A22" i="9"/>
  <c r="E21" i="9"/>
  <c r="E20" i="9"/>
  <c r="A20" i="9"/>
  <c r="E19" i="9"/>
  <c r="E18" i="9"/>
  <c r="A18" i="9"/>
  <c r="E17" i="9"/>
  <c r="E16" i="9"/>
  <c r="A16" i="9"/>
  <c r="E15" i="9"/>
  <c r="E14" i="9"/>
  <c r="A14" i="9"/>
  <c r="E13" i="9"/>
  <c r="E12" i="9"/>
  <c r="A12" i="9"/>
  <c r="E11" i="9"/>
  <c r="E10" i="9"/>
  <c r="A10" i="9"/>
  <c r="E9" i="9"/>
  <c r="E8" i="9"/>
  <c r="A8" i="9"/>
  <c r="E7" i="9"/>
  <c r="E6" i="9"/>
  <c r="A6" i="9"/>
  <c r="E5" i="9"/>
  <c r="E4" i="9"/>
  <c r="A4" i="9"/>
  <c r="E3" i="9"/>
  <c r="E500" i="10"/>
  <c r="G500" i="10" s="1"/>
  <c r="C500" i="10"/>
  <c r="G499" i="10"/>
  <c r="F499" i="10"/>
  <c r="B499" i="10" s="1"/>
  <c r="E499" i="10"/>
  <c r="C499" i="10" s="1"/>
  <c r="A499" i="10"/>
  <c r="E498" i="10"/>
  <c r="G498" i="10" s="1"/>
  <c r="C498" i="10"/>
  <c r="G497" i="10"/>
  <c r="F497" i="10"/>
  <c r="B497" i="10" s="1"/>
  <c r="E497" i="10"/>
  <c r="C497" i="10" s="1"/>
  <c r="A497" i="10"/>
  <c r="E496" i="10"/>
  <c r="G496" i="10" s="1"/>
  <c r="C496" i="10"/>
  <c r="G495" i="10"/>
  <c r="F495" i="10"/>
  <c r="B495" i="10" s="1"/>
  <c r="E495" i="10"/>
  <c r="C495" i="10" s="1"/>
  <c r="A495" i="10"/>
  <c r="E494" i="10"/>
  <c r="G494" i="10" s="1"/>
  <c r="C494" i="10"/>
  <c r="G493" i="10"/>
  <c r="F493" i="10"/>
  <c r="B493" i="10" s="1"/>
  <c r="E493" i="10"/>
  <c r="C493" i="10" s="1"/>
  <c r="A493" i="10"/>
  <c r="E492" i="10"/>
  <c r="G492" i="10" s="1"/>
  <c r="C492" i="10"/>
  <c r="G491" i="10"/>
  <c r="F491" i="10"/>
  <c r="B491" i="10" s="1"/>
  <c r="E491" i="10"/>
  <c r="C491" i="10" s="1"/>
  <c r="A491" i="10"/>
  <c r="E490" i="10"/>
  <c r="G490" i="10" s="1"/>
  <c r="C490" i="10"/>
  <c r="G489" i="10"/>
  <c r="F489" i="10"/>
  <c r="B489" i="10" s="1"/>
  <c r="E489" i="10"/>
  <c r="C489" i="10" s="1"/>
  <c r="A489" i="10"/>
  <c r="E488" i="10"/>
  <c r="G488" i="10" s="1"/>
  <c r="C488" i="10"/>
  <c r="G487" i="10"/>
  <c r="F487" i="10"/>
  <c r="B487" i="10" s="1"/>
  <c r="E487" i="10"/>
  <c r="C487" i="10" s="1"/>
  <c r="A487" i="10"/>
  <c r="E486" i="10"/>
  <c r="G486" i="10" s="1"/>
  <c r="C486" i="10"/>
  <c r="G485" i="10"/>
  <c r="F485" i="10"/>
  <c r="E485" i="10"/>
  <c r="C485" i="10" s="1"/>
  <c r="B485" i="10"/>
  <c r="A485" i="10"/>
  <c r="E484" i="10"/>
  <c r="C484" i="10" s="1"/>
  <c r="G483" i="10"/>
  <c r="F483" i="10"/>
  <c r="B483" i="10" s="1"/>
  <c r="E483" i="10"/>
  <c r="C483" i="10" s="1"/>
  <c r="A483" i="10"/>
  <c r="E482" i="10"/>
  <c r="C482" i="10"/>
  <c r="G481" i="10"/>
  <c r="F481" i="10"/>
  <c r="B481" i="10" s="1"/>
  <c r="E481" i="10"/>
  <c r="C481" i="10" s="1"/>
  <c r="A481" i="10"/>
  <c r="E480" i="10"/>
  <c r="G479" i="10"/>
  <c r="F479" i="10"/>
  <c r="E479" i="10"/>
  <c r="C479" i="10" s="1"/>
  <c r="B479" i="10"/>
  <c r="A479" i="10"/>
  <c r="E478" i="10"/>
  <c r="C478" i="10"/>
  <c r="E477" i="10"/>
  <c r="E476" i="10"/>
  <c r="F475" i="10"/>
  <c r="B475" i="10" s="1"/>
  <c r="E475" i="10"/>
  <c r="C475" i="10" s="1"/>
  <c r="G474" i="10"/>
  <c r="E474" i="10"/>
  <c r="C474" i="10"/>
  <c r="G473" i="10"/>
  <c r="E473" i="10"/>
  <c r="C473" i="10" s="1"/>
  <c r="A473" i="10"/>
  <c r="E472" i="10"/>
  <c r="C472" i="10" s="1"/>
  <c r="G471" i="10"/>
  <c r="F471" i="10"/>
  <c r="E471" i="10"/>
  <c r="C471" i="10" s="1"/>
  <c r="B471" i="10"/>
  <c r="A471" i="10"/>
  <c r="G470" i="10"/>
  <c r="E470" i="10"/>
  <c r="C470" i="10"/>
  <c r="E469" i="10"/>
  <c r="E468" i="10"/>
  <c r="F467" i="10"/>
  <c r="B467" i="10" s="1"/>
  <c r="E467" i="10"/>
  <c r="C467" i="10" s="1"/>
  <c r="G466" i="10"/>
  <c r="E466" i="10"/>
  <c r="C466" i="10"/>
  <c r="G465" i="10"/>
  <c r="E465" i="10"/>
  <c r="C465" i="10" s="1"/>
  <c r="A465" i="10"/>
  <c r="E464" i="10"/>
  <c r="C464" i="10" s="1"/>
  <c r="G463" i="10"/>
  <c r="F463" i="10"/>
  <c r="E463" i="10"/>
  <c r="C463" i="10" s="1"/>
  <c r="B463" i="10"/>
  <c r="A463" i="10"/>
  <c r="G462" i="10"/>
  <c r="E462" i="10"/>
  <c r="C462" i="10"/>
  <c r="E461" i="10"/>
  <c r="E460" i="10"/>
  <c r="F459" i="10"/>
  <c r="B459" i="10" s="1"/>
  <c r="E459" i="10"/>
  <c r="C459" i="10" s="1"/>
  <c r="G458" i="10"/>
  <c r="E458" i="10"/>
  <c r="C458" i="10"/>
  <c r="G457" i="10"/>
  <c r="E457" i="10"/>
  <c r="C457" i="10" s="1"/>
  <c r="A457" i="10"/>
  <c r="E456" i="10"/>
  <c r="C456" i="10" s="1"/>
  <c r="G455" i="10"/>
  <c r="F455" i="10"/>
  <c r="E455" i="10"/>
  <c r="C455" i="10" s="1"/>
  <c r="B455" i="10"/>
  <c r="A455" i="10"/>
  <c r="G454" i="10"/>
  <c r="E454" i="10"/>
  <c r="C454" i="10"/>
  <c r="E453" i="10"/>
  <c r="E452" i="10"/>
  <c r="F451" i="10"/>
  <c r="B451" i="10" s="1"/>
  <c r="E451" i="10"/>
  <c r="C451" i="10" s="1"/>
  <c r="G450" i="10"/>
  <c r="E450" i="10"/>
  <c r="C450" i="10"/>
  <c r="G449" i="10"/>
  <c r="E449" i="10"/>
  <c r="C449" i="10" s="1"/>
  <c r="A449" i="10"/>
  <c r="E448" i="10"/>
  <c r="C448" i="10" s="1"/>
  <c r="G447" i="10"/>
  <c r="F447" i="10"/>
  <c r="E447" i="10"/>
  <c r="C447" i="10" s="1"/>
  <c r="B447" i="10"/>
  <c r="A447" i="10"/>
  <c r="G446" i="10"/>
  <c r="E446" i="10"/>
  <c r="C446" i="10"/>
  <c r="E445" i="10"/>
  <c r="E444" i="10"/>
  <c r="G443" i="10"/>
  <c r="E443" i="10"/>
  <c r="F443" i="10" s="1"/>
  <c r="B443" i="10" s="1"/>
  <c r="E442" i="10"/>
  <c r="G441" i="10"/>
  <c r="E441" i="10"/>
  <c r="F441" i="10" s="1"/>
  <c r="B441" i="10" s="1"/>
  <c r="E440" i="10"/>
  <c r="G439" i="10"/>
  <c r="E439" i="10"/>
  <c r="F439" i="10" s="1"/>
  <c r="B439" i="10" s="1"/>
  <c r="E438" i="10"/>
  <c r="G437" i="10"/>
  <c r="E437" i="10"/>
  <c r="F437" i="10" s="1"/>
  <c r="B437" i="10" s="1"/>
  <c r="E436" i="10"/>
  <c r="E435" i="10"/>
  <c r="G434" i="10"/>
  <c r="E434" i="10"/>
  <c r="E433" i="10"/>
  <c r="E432" i="10"/>
  <c r="E431" i="10"/>
  <c r="G430" i="10"/>
  <c r="E430" i="10"/>
  <c r="E429" i="10"/>
  <c r="E428" i="10"/>
  <c r="E427" i="10"/>
  <c r="G426" i="10"/>
  <c r="E426" i="10"/>
  <c r="E425" i="10"/>
  <c r="E424" i="10"/>
  <c r="E423" i="10"/>
  <c r="G422" i="10"/>
  <c r="E422" i="10"/>
  <c r="E421" i="10"/>
  <c r="E420" i="10"/>
  <c r="E419" i="10"/>
  <c r="G418" i="10"/>
  <c r="E418" i="10"/>
  <c r="E417" i="10"/>
  <c r="E416" i="10"/>
  <c r="E415" i="10"/>
  <c r="G414" i="10"/>
  <c r="E414" i="10"/>
  <c r="E413" i="10"/>
  <c r="E412" i="10"/>
  <c r="E411" i="10"/>
  <c r="G410" i="10"/>
  <c r="E410" i="10"/>
  <c r="A410" i="10"/>
  <c r="G409" i="10"/>
  <c r="E409" i="10"/>
  <c r="C409" i="10"/>
  <c r="G408" i="10"/>
  <c r="E408" i="10"/>
  <c r="C408" i="10" s="1"/>
  <c r="A408" i="10"/>
  <c r="E407" i="10"/>
  <c r="C407" i="10"/>
  <c r="E406" i="10"/>
  <c r="C406" i="10" s="1"/>
  <c r="E405" i="10"/>
  <c r="C405" i="10"/>
  <c r="E404" i="10"/>
  <c r="G403" i="10"/>
  <c r="E403" i="10"/>
  <c r="F403" i="10" s="1"/>
  <c r="C403" i="10"/>
  <c r="B403" i="10"/>
  <c r="E402" i="10"/>
  <c r="G401" i="10"/>
  <c r="E401" i="10"/>
  <c r="F401" i="10" s="1"/>
  <c r="B401" i="10" s="1"/>
  <c r="C401" i="10"/>
  <c r="E400" i="10"/>
  <c r="G399" i="10"/>
  <c r="E399" i="10"/>
  <c r="F399" i="10" s="1"/>
  <c r="B399" i="10" s="1"/>
  <c r="C399" i="10"/>
  <c r="E398" i="10"/>
  <c r="G397" i="10"/>
  <c r="E397" i="10"/>
  <c r="F397" i="10" s="1"/>
  <c r="C397" i="10"/>
  <c r="B397" i="10"/>
  <c r="E396" i="10"/>
  <c r="G395" i="10"/>
  <c r="E395" i="10"/>
  <c r="F395" i="10" s="1"/>
  <c r="C395" i="10"/>
  <c r="B395" i="10"/>
  <c r="E394" i="10"/>
  <c r="G393" i="10"/>
  <c r="E393" i="10"/>
  <c r="F393" i="10" s="1"/>
  <c r="B393" i="10" s="1"/>
  <c r="C393" i="10"/>
  <c r="E392" i="10"/>
  <c r="G391" i="10"/>
  <c r="E391" i="10"/>
  <c r="F391" i="10" s="1"/>
  <c r="B391" i="10" s="1"/>
  <c r="C391" i="10"/>
  <c r="E390" i="10"/>
  <c r="G389" i="10"/>
  <c r="E389" i="10"/>
  <c r="F389" i="10" s="1"/>
  <c r="C389" i="10"/>
  <c r="B389" i="10"/>
  <c r="E388" i="10"/>
  <c r="G387" i="10"/>
  <c r="E387" i="10"/>
  <c r="F387" i="10" s="1"/>
  <c r="B387" i="10"/>
  <c r="E386" i="10"/>
  <c r="G385" i="10"/>
  <c r="E385" i="10"/>
  <c r="F385" i="10" s="1"/>
  <c r="B385" i="10"/>
  <c r="E384" i="10"/>
  <c r="G383" i="10"/>
  <c r="E383" i="10"/>
  <c r="F383" i="10" s="1"/>
  <c r="B383" i="10"/>
  <c r="E382" i="10"/>
  <c r="G381" i="10"/>
  <c r="E381" i="10"/>
  <c r="F381" i="10" s="1"/>
  <c r="B381" i="10"/>
  <c r="E380" i="10"/>
  <c r="G379" i="10"/>
  <c r="E379" i="10"/>
  <c r="F379" i="10" s="1"/>
  <c r="B379" i="10"/>
  <c r="E378" i="10"/>
  <c r="G377" i="10"/>
  <c r="E377" i="10"/>
  <c r="F377" i="10" s="1"/>
  <c r="B377" i="10"/>
  <c r="E376" i="10"/>
  <c r="G375" i="10"/>
  <c r="E375" i="10"/>
  <c r="F375" i="10" s="1"/>
  <c r="B375" i="10"/>
  <c r="E374" i="10"/>
  <c r="G373" i="10"/>
  <c r="E373" i="10"/>
  <c r="F373" i="10" s="1"/>
  <c r="B373" i="10"/>
  <c r="E372" i="10"/>
  <c r="G371" i="10"/>
  <c r="E371" i="10"/>
  <c r="F371" i="10" s="1"/>
  <c r="B371" i="10"/>
  <c r="E370" i="10"/>
  <c r="G369" i="10"/>
  <c r="E369" i="10"/>
  <c r="F369" i="10" s="1"/>
  <c r="B369" i="10"/>
  <c r="E368" i="10"/>
  <c r="G367" i="10"/>
  <c r="E367" i="10"/>
  <c r="F367" i="10" s="1"/>
  <c r="B367" i="10"/>
  <c r="G366" i="10"/>
  <c r="E366" i="10"/>
  <c r="G365" i="10"/>
  <c r="E365" i="10"/>
  <c r="E364" i="10"/>
  <c r="E363" i="10"/>
  <c r="G362" i="10"/>
  <c r="E362" i="10"/>
  <c r="G361" i="10"/>
  <c r="E361" i="10"/>
  <c r="E360" i="10"/>
  <c r="E359" i="10"/>
  <c r="G358" i="10"/>
  <c r="E358" i="10"/>
  <c r="G357" i="10"/>
  <c r="E357" i="10"/>
  <c r="E356" i="10"/>
  <c r="E355" i="10"/>
  <c r="G354" i="10"/>
  <c r="E354" i="10"/>
  <c r="C354" i="10" s="1"/>
  <c r="A354" i="10"/>
  <c r="E353" i="10"/>
  <c r="C353" i="10"/>
  <c r="E352" i="10"/>
  <c r="E351" i="10"/>
  <c r="G350" i="10"/>
  <c r="F350" i="10"/>
  <c r="B350" i="10" s="1"/>
  <c r="E350" i="10"/>
  <c r="C350" i="10" s="1"/>
  <c r="A350" i="10"/>
  <c r="G349" i="10"/>
  <c r="E349" i="10"/>
  <c r="C349" i="10" s="1"/>
  <c r="G348" i="10"/>
  <c r="F348" i="10"/>
  <c r="E348" i="10"/>
  <c r="C348" i="10" s="1"/>
  <c r="B348" i="10"/>
  <c r="A348" i="10"/>
  <c r="G347" i="10"/>
  <c r="E347" i="10"/>
  <c r="C347" i="10"/>
  <c r="E346" i="10"/>
  <c r="C346" i="10" s="1"/>
  <c r="E345" i="10"/>
  <c r="C345" i="10"/>
  <c r="E344" i="10"/>
  <c r="E343" i="10"/>
  <c r="G342" i="10"/>
  <c r="F342" i="10"/>
  <c r="B342" i="10" s="1"/>
  <c r="E342" i="10"/>
  <c r="C342" i="10" s="1"/>
  <c r="A342" i="10"/>
  <c r="G341" i="10"/>
  <c r="E341" i="10"/>
  <c r="C341" i="10" s="1"/>
  <c r="G340" i="10"/>
  <c r="F340" i="10"/>
  <c r="E340" i="10"/>
  <c r="C340" i="10" s="1"/>
  <c r="B340" i="10"/>
  <c r="A340" i="10"/>
  <c r="G339" i="10"/>
  <c r="E339" i="10"/>
  <c r="C339" i="10"/>
  <c r="E338" i="10"/>
  <c r="C338" i="10" s="1"/>
  <c r="E337" i="10"/>
  <c r="C337" i="10"/>
  <c r="E336" i="10"/>
  <c r="E335" i="10"/>
  <c r="G334" i="10"/>
  <c r="F334" i="10"/>
  <c r="B334" i="10" s="1"/>
  <c r="E334" i="10"/>
  <c r="C334" i="10" s="1"/>
  <c r="A334" i="10"/>
  <c r="G333" i="10"/>
  <c r="E333" i="10"/>
  <c r="C333" i="10" s="1"/>
  <c r="G332" i="10"/>
  <c r="F332" i="10"/>
  <c r="E332" i="10"/>
  <c r="C332" i="10" s="1"/>
  <c r="B332" i="10"/>
  <c r="A332" i="10"/>
  <c r="G331" i="10"/>
  <c r="E331" i="10"/>
  <c r="C331" i="10"/>
  <c r="E330" i="10"/>
  <c r="C330" i="10" s="1"/>
  <c r="E329" i="10"/>
  <c r="C329" i="10"/>
  <c r="E328" i="10"/>
  <c r="E327" i="10"/>
  <c r="G326" i="10"/>
  <c r="F326" i="10"/>
  <c r="B326" i="10" s="1"/>
  <c r="E326" i="10"/>
  <c r="C326" i="10" s="1"/>
  <c r="A326" i="10"/>
  <c r="G325" i="10"/>
  <c r="E325" i="10"/>
  <c r="C325" i="10" s="1"/>
  <c r="G324" i="10"/>
  <c r="F324" i="10"/>
  <c r="E324" i="10"/>
  <c r="C324" i="10" s="1"/>
  <c r="B324" i="10"/>
  <c r="A324" i="10"/>
  <c r="G323" i="10"/>
  <c r="E323" i="10"/>
  <c r="C323" i="10"/>
  <c r="E322" i="10"/>
  <c r="C322" i="10" s="1"/>
  <c r="E321" i="10"/>
  <c r="C321" i="10"/>
  <c r="E320" i="10"/>
  <c r="E319" i="10"/>
  <c r="G318" i="10"/>
  <c r="F318" i="10"/>
  <c r="B318" i="10" s="1"/>
  <c r="E318" i="10"/>
  <c r="C318" i="10" s="1"/>
  <c r="A318" i="10"/>
  <c r="G317" i="10"/>
  <c r="E317" i="10"/>
  <c r="C317" i="10" s="1"/>
  <c r="G316" i="10"/>
  <c r="F316" i="10"/>
  <c r="E316" i="10"/>
  <c r="C316" i="10" s="1"/>
  <c r="B316" i="10"/>
  <c r="A316" i="10"/>
  <c r="G315" i="10"/>
  <c r="E315" i="10"/>
  <c r="C315" i="10"/>
  <c r="E314" i="10"/>
  <c r="C314" i="10" s="1"/>
  <c r="E313" i="10"/>
  <c r="C313" i="10"/>
  <c r="E312" i="10"/>
  <c r="E311" i="10"/>
  <c r="G310" i="10"/>
  <c r="F310" i="10"/>
  <c r="B310" i="10" s="1"/>
  <c r="E310" i="10"/>
  <c r="C310" i="10" s="1"/>
  <c r="A310" i="10"/>
  <c r="G309" i="10"/>
  <c r="E309" i="10"/>
  <c r="C309" i="10" s="1"/>
  <c r="G308" i="10"/>
  <c r="F308" i="10"/>
  <c r="E308" i="10"/>
  <c r="C308" i="10"/>
  <c r="B308" i="10"/>
  <c r="A308" i="10"/>
  <c r="E307" i="10"/>
  <c r="G306" i="10"/>
  <c r="F306" i="10"/>
  <c r="E306" i="10"/>
  <c r="C306" i="10"/>
  <c r="B306" i="10"/>
  <c r="A306" i="10"/>
  <c r="E305" i="10"/>
  <c r="G304" i="10"/>
  <c r="F304" i="10"/>
  <c r="E304" i="10"/>
  <c r="C304" i="10"/>
  <c r="B304" i="10"/>
  <c r="A304" i="10"/>
  <c r="E303" i="10"/>
  <c r="G302" i="10"/>
  <c r="F302" i="10"/>
  <c r="E302" i="10"/>
  <c r="C302" i="10"/>
  <c r="B302" i="10"/>
  <c r="A302" i="10"/>
  <c r="E301" i="10"/>
  <c r="G300" i="10"/>
  <c r="F300" i="10"/>
  <c r="E300" i="10"/>
  <c r="C300" i="10"/>
  <c r="B300" i="10"/>
  <c r="A300" i="10"/>
  <c r="E299" i="10"/>
  <c r="G298" i="10"/>
  <c r="F298" i="10"/>
  <c r="E298" i="10"/>
  <c r="C298" i="10"/>
  <c r="B298" i="10"/>
  <c r="A298" i="10"/>
  <c r="E297" i="10"/>
  <c r="G296" i="10"/>
  <c r="F296" i="10"/>
  <c r="E296" i="10"/>
  <c r="C296" i="10"/>
  <c r="B296" i="10"/>
  <c r="A296" i="10"/>
  <c r="E295" i="10"/>
  <c r="G294" i="10"/>
  <c r="F294" i="10"/>
  <c r="E294" i="10"/>
  <c r="C294" i="10"/>
  <c r="B294" i="10"/>
  <c r="A294" i="10"/>
  <c r="E293" i="10"/>
  <c r="G292" i="10"/>
  <c r="F292" i="10"/>
  <c r="E292" i="10"/>
  <c r="C292" i="10"/>
  <c r="B292" i="10"/>
  <c r="A292" i="10"/>
  <c r="E291" i="10"/>
  <c r="G290" i="10"/>
  <c r="F290" i="10"/>
  <c r="E290" i="10"/>
  <c r="C290" i="10"/>
  <c r="B290" i="10"/>
  <c r="A290" i="10"/>
  <c r="E289" i="10"/>
  <c r="G288" i="10"/>
  <c r="F288" i="10"/>
  <c r="E288" i="10"/>
  <c r="C288" i="10"/>
  <c r="B288" i="10"/>
  <c r="A288" i="10"/>
  <c r="E287" i="10"/>
  <c r="G286" i="10"/>
  <c r="F286" i="10"/>
  <c r="E286" i="10"/>
  <c r="C286" i="10"/>
  <c r="B286" i="10"/>
  <c r="A286" i="10"/>
  <c r="E285" i="10"/>
  <c r="G284" i="10"/>
  <c r="F284" i="10"/>
  <c r="E284" i="10"/>
  <c r="C284" i="10"/>
  <c r="B284" i="10"/>
  <c r="A284" i="10"/>
  <c r="E283" i="10"/>
  <c r="G282" i="10"/>
  <c r="F282" i="10"/>
  <c r="E282" i="10"/>
  <c r="C282" i="10"/>
  <c r="B282" i="10"/>
  <c r="A282" i="10"/>
  <c r="E281" i="10"/>
  <c r="G280" i="10"/>
  <c r="F280" i="10"/>
  <c r="E280" i="10"/>
  <c r="C280" i="10"/>
  <c r="B280" i="10"/>
  <c r="A280" i="10"/>
  <c r="E279" i="10"/>
  <c r="G278" i="10"/>
  <c r="F278" i="10"/>
  <c r="E278" i="10"/>
  <c r="C278" i="10"/>
  <c r="B278" i="10"/>
  <c r="A278" i="10"/>
  <c r="E277" i="10"/>
  <c r="G276" i="10"/>
  <c r="F276" i="10"/>
  <c r="E276" i="10"/>
  <c r="C276" i="10"/>
  <c r="B276" i="10"/>
  <c r="A276" i="10"/>
  <c r="E275" i="10"/>
  <c r="G274" i="10"/>
  <c r="F274" i="10"/>
  <c r="E274" i="10"/>
  <c r="C274" i="10"/>
  <c r="B274" i="10"/>
  <c r="A274" i="10"/>
  <c r="E273" i="10"/>
  <c r="G272" i="10"/>
  <c r="F272" i="10"/>
  <c r="E272" i="10"/>
  <c r="C272" i="10"/>
  <c r="B272" i="10"/>
  <c r="A272" i="10"/>
  <c r="E271" i="10"/>
  <c r="G270" i="10"/>
  <c r="F270" i="10"/>
  <c r="E270" i="10"/>
  <c r="C270" i="10"/>
  <c r="B270" i="10"/>
  <c r="A270" i="10"/>
  <c r="E269" i="10"/>
  <c r="G268" i="10"/>
  <c r="F268" i="10"/>
  <c r="E268" i="10"/>
  <c r="C268" i="10"/>
  <c r="B268" i="10"/>
  <c r="A268" i="10"/>
  <c r="E267" i="10"/>
  <c r="G266" i="10"/>
  <c r="F266" i="10"/>
  <c r="E266" i="10"/>
  <c r="C266" i="10"/>
  <c r="B266" i="10"/>
  <c r="A266" i="10"/>
  <c r="E265" i="10"/>
  <c r="G264" i="10"/>
  <c r="F264" i="10"/>
  <c r="E264" i="10"/>
  <c r="C264" i="10"/>
  <c r="B264" i="10"/>
  <c r="A264" i="10"/>
  <c r="E263" i="10"/>
  <c r="G262" i="10"/>
  <c r="F262" i="10"/>
  <c r="E262" i="10"/>
  <c r="C262" i="10"/>
  <c r="B262" i="10"/>
  <c r="A262" i="10"/>
  <c r="E261" i="10"/>
  <c r="G260" i="10"/>
  <c r="F260" i="10"/>
  <c r="E260" i="10"/>
  <c r="C260" i="10"/>
  <c r="B260" i="10"/>
  <c r="A260" i="10"/>
  <c r="E259" i="10"/>
  <c r="G258" i="10"/>
  <c r="F258" i="10"/>
  <c r="E258" i="10"/>
  <c r="C258" i="10"/>
  <c r="B258" i="10"/>
  <c r="A258" i="10"/>
  <c r="E257" i="10"/>
  <c r="G256" i="10"/>
  <c r="F256" i="10"/>
  <c r="E256" i="10"/>
  <c r="C256" i="10"/>
  <c r="B256" i="10"/>
  <c r="A256" i="10"/>
  <c r="E255" i="10"/>
  <c r="G254" i="10"/>
  <c r="F254" i="10"/>
  <c r="E254" i="10"/>
  <c r="C254" i="10"/>
  <c r="B254" i="10"/>
  <c r="A254" i="10"/>
  <c r="E253" i="10"/>
  <c r="G252" i="10"/>
  <c r="F252" i="10"/>
  <c r="E252" i="10"/>
  <c r="C252" i="10"/>
  <c r="B252" i="10"/>
  <c r="A252" i="10"/>
  <c r="E251" i="10"/>
  <c r="G250" i="10"/>
  <c r="F250" i="10"/>
  <c r="E250" i="10"/>
  <c r="C250" i="10"/>
  <c r="B250" i="10"/>
  <c r="A250" i="10"/>
  <c r="E249" i="10"/>
  <c r="G248" i="10"/>
  <c r="F248" i="10"/>
  <c r="E248" i="10"/>
  <c r="C248" i="10"/>
  <c r="B248" i="10"/>
  <c r="A248" i="10"/>
  <c r="E247" i="10"/>
  <c r="G246" i="10"/>
  <c r="E246" i="10"/>
  <c r="F246" i="10" s="1"/>
  <c r="B246" i="10" s="1"/>
  <c r="C246" i="10"/>
  <c r="E245" i="10"/>
  <c r="G244" i="10"/>
  <c r="E244" i="10"/>
  <c r="F244" i="10" s="1"/>
  <c r="B244" i="10" s="1"/>
  <c r="C244" i="10"/>
  <c r="E243" i="10"/>
  <c r="G242" i="10"/>
  <c r="E242" i="10"/>
  <c r="F242" i="10" s="1"/>
  <c r="C242" i="10"/>
  <c r="B242" i="10"/>
  <c r="E241" i="10"/>
  <c r="G240" i="10"/>
  <c r="E240" i="10"/>
  <c r="F240" i="10" s="1"/>
  <c r="C240" i="10"/>
  <c r="B240" i="10"/>
  <c r="E239" i="10"/>
  <c r="G238" i="10"/>
  <c r="E238" i="10"/>
  <c r="F238" i="10" s="1"/>
  <c r="B238" i="10" s="1"/>
  <c r="C238" i="10"/>
  <c r="E237" i="10"/>
  <c r="G236" i="10"/>
  <c r="E236" i="10"/>
  <c r="F236" i="10" s="1"/>
  <c r="B236" i="10" s="1"/>
  <c r="C236" i="10"/>
  <c r="E235" i="10"/>
  <c r="G234" i="10"/>
  <c r="E234" i="10"/>
  <c r="F234" i="10" s="1"/>
  <c r="C234" i="10"/>
  <c r="B234" i="10"/>
  <c r="E233" i="10"/>
  <c r="G232" i="10"/>
  <c r="E232" i="10"/>
  <c r="F232" i="10" s="1"/>
  <c r="C232" i="10"/>
  <c r="B232" i="10"/>
  <c r="E231" i="10"/>
  <c r="G230" i="10"/>
  <c r="E230" i="10"/>
  <c r="F230" i="10" s="1"/>
  <c r="B230" i="10" s="1"/>
  <c r="C230" i="10"/>
  <c r="E229" i="10"/>
  <c r="G228" i="10"/>
  <c r="E228" i="10"/>
  <c r="F228" i="10" s="1"/>
  <c r="B228" i="10" s="1"/>
  <c r="C228" i="10"/>
  <c r="E227" i="10"/>
  <c r="G226" i="10"/>
  <c r="E226" i="10"/>
  <c r="F226" i="10" s="1"/>
  <c r="C226" i="10"/>
  <c r="B226" i="10"/>
  <c r="E225" i="10"/>
  <c r="G224" i="10"/>
  <c r="E224" i="10"/>
  <c r="F224" i="10" s="1"/>
  <c r="C224" i="10"/>
  <c r="B224" i="10"/>
  <c r="E223" i="10"/>
  <c r="G222" i="10"/>
  <c r="E222" i="10"/>
  <c r="F222" i="10" s="1"/>
  <c r="B222" i="10" s="1"/>
  <c r="C222" i="10"/>
  <c r="E221" i="10"/>
  <c r="G220" i="10"/>
  <c r="E220" i="10"/>
  <c r="F220" i="10" s="1"/>
  <c r="B220" i="10" s="1"/>
  <c r="C220" i="10"/>
  <c r="E219" i="10"/>
  <c r="G218" i="10"/>
  <c r="E218" i="10"/>
  <c r="F218" i="10" s="1"/>
  <c r="C218" i="10"/>
  <c r="B218" i="10"/>
  <c r="E217" i="10"/>
  <c r="G216" i="10"/>
  <c r="E216" i="10"/>
  <c r="F216" i="10" s="1"/>
  <c r="C216" i="10"/>
  <c r="B216" i="10"/>
  <c r="E215" i="10"/>
  <c r="G214" i="10"/>
  <c r="E214" i="10"/>
  <c r="F214" i="10" s="1"/>
  <c r="B214" i="10" s="1"/>
  <c r="C214" i="10"/>
  <c r="E213" i="10"/>
  <c r="G212" i="10"/>
  <c r="E212" i="10"/>
  <c r="F212" i="10" s="1"/>
  <c r="B212" i="10" s="1"/>
  <c r="C212" i="10"/>
  <c r="E211" i="10"/>
  <c r="G210" i="10"/>
  <c r="E210" i="10"/>
  <c r="F210" i="10" s="1"/>
  <c r="C210" i="10"/>
  <c r="B210" i="10"/>
  <c r="E209" i="10"/>
  <c r="G208" i="10"/>
  <c r="E208" i="10"/>
  <c r="F208" i="10" s="1"/>
  <c r="C208" i="10"/>
  <c r="B208" i="10"/>
  <c r="E207" i="10"/>
  <c r="G206" i="10"/>
  <c r="E206" i="10"/>
  <c r="F206" i="10" s="1"/>
  <c r="B206" i="10" s="1"/>
  <c r="C206" i="10"/>
  <c r="E205" i="10"/>
  <c r="G204" i="10"/>
  <c r="E204" i="10"/>
  <c r="F204" i="10" s="1"/>
  <c r="B204" i="10" s="1"/>
  <c r="C204" i="10"/>
  <c r="E203" i="10"/>
  <c r="G202" i="10"/>
  <c r="E202" i="10"/>
  <c r="F202" i="10" s="1"/>
  <c r="C202" i="10"/>
  <c r="B202" i="10"/>
  <c r="E201" i="10"/>
  <c r="G200" i="10"/>
  <c r="E200" i="10"/>
  <c r="F200" i="10" s="1"/>
  <c r="C200" i="10"/>
  <c r="B200" i="10"/>
  <c r="E199" i="10"/>
  <c r="G198" i="10"/>
  <c r="E198" i="10"/>
  <c r="F198" i="10" s="1"/>
  <c r="B198" i="10" s="1"/>
  <c r="C198" i="10"/>
  <c r="E197" i="10"/>
  <c r="G196" i="10"/>
  <c r="E196" i="10"/>
  <c r="F196" i="10" s="1"/>
  <c r="B196" i="10" s="1"/>
  <c r="C196" i="10"/>
  <c r="E195" i="10"/>
  <c r="G194" i="10"/>
  <c r="E194" i="10"/>
  <c r="F194" i="10" s="1"/>
  <c r="B194" i="10" s="1"/>
  <c r="C194" i="10"/>
  <c r="E193" i="10"/>
  <c r="A193" i="10"/>
  <c r="E192" i="10"/>
  <c r="C192" i="10"/>
  <c r="E191" i="10"/>
  <c r="C191" i="10" s="1"/>
  <c r="E190" i="10"/>
  <c r="C190" i="10"/>
  <c r="E189" i="10"/>
  <c r="C189" i="10" s="1"/>
  <c r="E188" i="10"/>
  <c r="G187" i="10"/>
  <c r="F187" i="10"/>
  <c r="B187" i="10" s="1"/>
  <c r="E187" i="10"/>
  <c r="C187" i="10" s="1"/>
  <c r="A187" i="10"/>
  <c r="G186" i="10"/>
  <c r="E186" i="10"/>
  <c r="C186" i="10"/>
  <c r="G185" i="10"/>
  <c r="E185" i="10"/>
  <c r="C185" i="10" s="1"/>
  <c r="A185" i="10"/>
  <c r="E184" i="10"/>
  <c r="C184" i="10"/>
  <c r="E183" i="10"/>
  <c r="C183" i="10" s="1"/>
  <c r="E182" i="10"/>
  <c r="C182" i="10"/>
  <c r="E181" i="10"/>
  <c r="C181" i="10" s="1"/>
  <c r="E180" i="10"/>
  <c r="G179" i="10"/>
  <c r="F179" i="10"/>
  <c r="B179" i="10" s="1"/>
  <c r="E179" i="10"/>
  <c r="C179" i="10" s="1"/>
  <c r="A179" i="10"/>
  <c r="G178" i="10"/>
  <c r="E178" i="10"/>
  <c r="C178" i="10"/>
  <c r="G177" i="10"/>
  <c r="E177" i="10"/>
  <c r="C177" i="10" s="1"/>
  <c r="A177" i="10"/>
  <c r="E176" i="10"/>
  <c r="C176" i="10"/>
  <c r="E175" i="10"/>
  <c r="C175" i="10" s="1"/>
  <c r="E174" i="10"/>
  <c r="C174" i="10"/>
  <c r="E173" i="10"/>
  <c r="C173" i="10" s="1"/>
  <c r="E172" i="10"/>
  <c r="G171" i="10"/>
  <c r="F171" i="10"/>
  <c r="B171" i="10" s="1"/>
  <c r="E171" i="10"/>
  <c r="C171" i="10" s="1"/>
  <c r="A171" i="10"/>
  <c r="G170" i="10"/>
  <c r="E170" i="10"/>
  <c r="C170" i="10"/>
  <c r="G169" i="10"/>
  <c r="E169" i="10"/>
  <c r="C169" i="10" s="1"/>
  <c r="A169" i="10"/>
  <c r="E168" i="10"/>
  <c r="C168" i="10"/>
  <c r="E167" i="10"/>
  <c r="C167" i="10" s="1"/>
  <c r="E166" i="10"/>
  <c r="C166" i="10"/>
  <c r="E165" i="10"/>
  <c r="C165" i="10" s="1"/>
  <c r="E164" i="10"/>
  <c r="G163" i="10"/>
  <c r="F163" i="10"/>
  <c r="B163" i="10" s="1"/>
  <c r="E163" i="10"/>
  <c r="C163" i="10" s="1"/>
  <c r="A163" i="10"/>
  <c r="G162" i="10"/>
  <c r="E162" i="10"/>
  <c r="C162" i="10"/>
  <c r="G161" i="10"/>
  <c r="E161" i="10"/>
  <c r="C161" i="10" s="1"/>
  <c r="A161" i="10"/>
  <c r="E160" i="10"/>
  <c r="C160" i="10"/>
  <c r="E159" i="10"/>
  <c r="C159" i="10" s="1"/>
  <c r="E158" i="10"/>
  <c r="C158" i="10"/>
  <c r="E157" i="10"/>
  <c r="C157" i="10" s="1"/>
  <c r="E156" i="10"/>
  <c r="G155" i="10"/>
  <c r="F155" i="10"/>
  <c r="B155" i="10" s="1"/>
  <c r="E155" i="10"/>
  <c r="C155" i="10" s="1"/>
  <c r="A155" i="10"/>
  <c r="G154" i="10"/>
  <c r="E154" i="10"/>
  <c r="C154" i="10"/>
  <c r="G153" i="10"/>
  <c r="E153" i="10"/>
  <c r="C153" i="10" s="1"/>
  <c r="A153" i="10"/>
  <c r="E152" i="10"/>
  <c r="C152" i="10"/>
  <c r="E151" i="10"/>
  <c r="C151" i="10" s="1"/>
  <c r="E150" i="10"/>
  <c r="C150" i="10"/>
  <c r="E149" i="10"/>
  <c r="C149" i="10" s="1"/>
  <c r="E148" i="10"/>
  <c r="G147" i="10"/>
  <c r="F147" i="10"/>
  <c r="B147" i="10" s="1"/>
  <c r="E147" i="10"/>
  <c r="C147" i="10" s="1"/>
  <c r="A147" i="10"/>
  <c r="G146" i="10"/>
  <c r="E146" i="10"/>
  <c r="C146" i="10"/>
  <c r="G145" i="10"/>
  <c r="E145" i="10"/>
  <c r="C145" i="10" s="1"/>
  <c r="A145" i="10"/>
  <c r="E144" i="10"/>
  <c r="C144" i="10"/>
  <c r="E143" i="10"/>
  <c r="C143" i="10" s="1"/>
  <c r="E142" i="10"/>
  <c r="C142" i="10"/>
  <c r="E141" i="10"/>
  <c r="C141" i="10" s="1"/>
  <c r="E140" i="10"/>
  <c r="G139" i="10"/>
  <c r="F139" i="10"/>
  <c r="B139" i="10" s="1"/>
  <c r="E139" i="10"/>
  <c r="C139" i="10" s="1"/>
  <c r="A139" i="10"/>
  <c r="G138" i="10"/>
  <c r="E138" i="10"/>
  <c r="C138" i="10" s="1"/>
  <c r="G137" i="10"/>
  <c r="E137" i="10"/>
  <c r="C137" i="10" s="1"/>
  <c r="A137" i="10"/>
  <c r="E136" i="10"/>
  <c r="E135" i="10"/>
  <c r="E134" i="10"/>
  <c r="E133" i="10"/>
  <c r="E132" i="10"/>
  <c r="E131" i="10"/>
  <c r="A131" i="10"/>
  <c r="E130" i="10"/>
  <c r="E129" i="10"/>
  <c r="A129" i="10"/>
  <c r="E128" i="10"/>
  <c r="E127" i="10"/>
  <c r="E126" i="10"/>
  <c r="E125" i="10"/>
  <c r="E124" i="10"/>
  <c r="E123" i="10"/>
  <c r="A123" i="10"/>
  <c r="E122" i="10"/>
  <c r="E121" i="10"/>
  <c r="A121" i="10"/>
  <c r="E120" i="10"/>
  <c r="E119" i="10"/>
  <c r="E118" i="10"/>
  <c r="E117" i="10"/>
  <c r="E116" i="10"/>
  <c r="A116" i="10"/>
  <c r="E115" i="10"/>
  <c r="G115" i="10" s="1"/>
  <c r="C115" i="10"/>
  <c r="E114" i="10"/>
  <c r="A114" i="10"/>
  <c r="E113" i="10"/>
  <c r="G113" i="10" s="1"/>
  <c r="C113" i="10"/>
  <c r="E112" i="10"/>
  <c r="A112" i="10"/>
  <c r="E111" i="10"/>
  <c r="G111" i="10" s="1"/>
  <c r="C111" i="10"/>
  <c r="E110" i="10"/>
  <c r="A110" i="10"/>
  <c r="E109" i="10"/>
  <c r="G109" i="10" s="1"/>
  <c r="C109" i="10"/>
  <c r="E108" i="10"/>
  <c r="A108" i="10"/>
  <c r="E107" i="10"/>
  <c r="G107" i="10" s="1"/>
  <c r="C107" i="10"/>
  <c r="E106" i="10"/>
  <c r="A106" i="10"/>
  <c r="E105" i="10"/>
  <c r="G105" i="10" s="1"/>
  <c r="C105" i="10"/>
  <c r="E104" i="10"/>
  <c r="A104" i="10"/>
  <c r="E103" i="10"/>
  <c r="G103" i="10" s="1"/>
  <c r="C103" i="10"/>
  <c r="E102" i="10"/>
  <c r="A102" i="10"/>
  <c r="E101" i="10"/>
  <c r="G101" i="10" s="1"/>
  <c r="C101" i="10"/>
  <c r="E100" i="10"/>
  <c r="A100" i="10"/>
  <c r="E99" i="10"/>
  <c r="G99" i="10" s="1"/>
  <c r="C99" i="10"/>
  <c r="E98" i="10"/>
  <c r="A98" i="10"/>
  <c r="E97" i="10"/>
  <c r="G97" i="10" s="1"/>
  <c r="C97" i="10"/>
  <c r="E96" i="10"/>
  <c r="A96" i="10"/>
  <c r="E95" i="10"/>
  <c r="G95" i="10" s="1"/>
  <c r="C95" i="10"/>
  <c r="E94" i="10"/>
  <c r="A94" i="10"/>
  <c r="E93" i="10"/>
  <c r="G93" i="10" s="1"/>
  <c r="C93" i="10"/>
  <c r="E92" i="10"/>
  <c r="A92" i="10"/>
  <c r="E91" i="10"/>
  <c r="G91" i="10" s="1"/>
  <c r="C91" i="10"/>
  <c r="E90" i="10"/>
  <c r="A90" i="10"/>
  <c r="E89" i="10"/>
  <c r="G89" i="10" s="1"/>
  <c r="C89" i="10"/>
  <c r="E88" i="10"/>
  <c r="A88" i="10"/>
  <c r="E87" i="10"/>
  <c r="G87" i="10" s="1"/>
  <c r="C87" i="10"/>
  <c r="E86" i="10"/>
  <c r="A86" i="10"/>
  <c r="E85" i="10"/>
  <c r="G85" i="10" s="1"/>
  <c r="C85" i="10"/>
  <c r="E84" i="10"/>
  <c r="A84" i="10"/>
  <c r="E83" i="10"/>
  <c r="G83" i="10" s="1"/>
  <c r="C83" i="10"/>
  <c r="E82" i="10"/>
  <c r="A82" i="10"/>
  <c r="E81" i="10"/>
  <c r="G81" i="10" s="1"/>
  <c r="C81" i="10"/>
  <c r="E80" i="10"/>
  <c r="A80" i="10"/>
  <c r="E79" i="10"/>
  <c r="G79" i="10" s="1"/>
  <c r="C79" i="10"/>
  <c r="E78" i="10"/>
  <c r="A78" i="10"/>
  <c r="E77" i="10"/>
  <c r="G77" i="10" s="1"/>
  <c r="C77" i="10"/>
  <c r="E76" i="10"/>
  <c r="A76" i="10"/>
  <c r="E75" i="10"/>
  <c r="G75" i="10" s="1"/>
  <c r="C75" i="10"/>
  <c r="E74" i="10"/>
  <c r="A74" i="10"/>
  <c r="E73" i="10"/>
  <c r="G73" i="10" s="1"/>
  <c r="C73" i="10"/>
  <c r="E72" i="10"/>
  <c r="A72" i="10"/>
  <c r="E71" i="10"/>
  <c r="G71" i="10" s="1"/>
  <c r="C71" i="10"/>
  <c r="E70" i="10"/>
  <c r="A70" i="10"/>
  <c r="E69" i="10"/>
  <c r="G69" i="10" s="1"/>
  <c r="C69" i="10"/>
  <c r="E68" i="10"/>
  <c r="A68" i="10"/>
  <c r="E67" i="10"/>
  <c r="G67" i="10" s="1"/>
  <c r="C67" i="10"/>
  <c r="E66" i="10"/>
  <c r="A66" i="10"/>
  <c r="E65" i="10"/>
  <c r="G65" i="10" s="1"/>
  <c r="C65" i="10"/>
  <c r="E64" i="10"/>
  <c r="A64" i="10"/>
  <c r="E63" i="10"/>
  <c r="G63" i="10" s="1"/>
  <c r="C63" i="10"/>
  <c r="E62" i="10"/>
  <c r="A62" i="10"/>
  <c r="E61" i="10"/>
  <c r="G61" i="10" s="1"/>
  <c r="C61" i="10"/>
  <c r="E60" i="10"/>
  <c r="A60" i="10"/>
  <c r="E59" i="10"/>
  <c r="G59" i="10" s="1"/>
  <c r="C59" i="10" s="1"/>
  <c r="E58" i="10"/>
  <c r="A58" i="10"/>
  <c r="E57" i="10"/>
  <c r="G57" i="10" s="1"/>
  <c r="C57" i="10" s="1"/>
  <c r="E56" i="10"/>
  <c r="A56" i="10"/>
  <c r="E55" i="10"/>
  <c r="G55" i="10" s="1"/>
  <c r="C55" i="10" s="1"/>
  <c r="E54" i="10"/>
  <c r="A54" i="10"/>
  <c r="E53" i="10"/>
  <c r="G53" i="10" s="1"/>
  <c r="C53" i="10" s="1"/>
  <c r="E52" i="10"/>
  <c r="A52" i="10"/>
  <c r="E51" i="10"/>
  <c r="G51" i="10" s="1"/>
  <c r="C51" i="10" s="1"/>
  <c r="E50" i="10"/>
  <c r="A50" i="10"/>
  <c r="E49" i="10"/>
  <c r="G49" i="10" s="1"/>
  <c r="C49" i="10" s="1"/>
  <c r="E48" i="10"/>
  <c r="A48" i="10"/>
  <c r="E47" i="10"/>
  <c r="G47" i="10" s="1"/>
  <c r="C47" i="10" s="1"/>
  <c r="E46" i="10"/>
  <c r="A46" i="10"/>
  <c r="E45" i="10"/>
  <c r="G45" i="10" s="1"/>
  <c r="C45" i="10" s="1"/>
  <c r="E44" i="10"/>
  <c r="A44" i="10"/>
  <c r="E43" i="10"/>
  <c r="G43" i="10" s="1"/>
  <c r="C43" i="10" s="1"/>
  <c r="E42" i="10"/>
  <c r="A42" i="10"/>
  <c r="E41" i="10"/>
  <c r="G41" i="10" s="1"/>
  <c r="C41" i="10" s="1"/>
  <c r="E40" i="10"/>
  <c r="A40" i="10"/>
  <c r="E39" i="10"/>
  <c r="G39" i="10" s="1"/>
  <c r="C39" i="10" s="1"/>
  <c r="E38" i="10"/>
  <c r="A38" i="10"/>
  <c r="E37" i="10"/>
  <c r="G37" i="10" s="1"/>
  <c r="C37" i="10" s="1"/>
  <c r="E36" i="10"/>
  <c r="A36" i="10"/>
  <c r="E35" i="10"/>
  <c r="G35" i="10" s="1"/>
  <c r="C35" i="10" s="1"/>
  <c r="E34" i="10"/>
  <c r="A34" i="10"/>
  <c r="E33" i="10"/>
  <c r="G33" i="10" s="1"/>
  <c r="C33" i="10" s="1"/>
  <c r="E32" i="10"/>
  <c r="A32" i="10"/>
  <c r="E31" i="10"/>
  <c r="G31" i="10" s="1"/>
  <c r="C31" i="10" s="1"/>
  <c r="E30" i="10"/>
  <c r="A30" i="10"/>
  <c r="E29" i="10"/>
  <c r="G29" i="10" s="1"/>
  <c r="C29" i="10" s="1"/>
  <c r="E28" i="10"/>
  <c r="A28" i="10"/>
  <c r="E27" i="10"/>
  <c r="G27" i="10" s="1"/>
  <c r="C27" i="10" s="1"/>
  <c r="E26" i="10"/>
  <c r="A26" i="10"/>
  <c r="E25" i="10"/>
  <c r="G25" i="10" s="1"/>
  <c r="C25" i="10" s="1"/>
  <c r="E24" i="10"/>
  <c r="A24" i="10"/>
  <c r="E23" i="10"/>
  <c r="G23" i="10" s="1"/>
  <c r="C23" i="10" s="1"/>
  <c r="E22" i="10"/>
  <c r="A22" i="10"/>
  <c r="E21" i="10"/>
  <c r="G21" i="10" s="1"/>
  <c r="C21" i="10" s="1"/>
  <c r="E20" i="10"/>
  <c r="A20" i="10"/>
  <c r="E19" i="10"/>
  <c r="G19" i="10" s="1"/>
  <c r="C19" i="10" s="1"/>
  <c r="E18" i="10"/>
  <c r="A18" i="10"/>
  <c r="E17" i="10"/>
  <c r="G17" i="10" s="1"/>
  <c r="C17" i="10" s="1"/>
  <c r="E16" i="10"/>
  <c r="A16" i="10"/>
  <c r="E15" i="10"/>
  <c r="G15" i="10" s="1"/>
  <c r="C15" i="10" s="1"/>
  <c r="E14" i="10"/>
  <c r="A14" i="10"/>
  <c r="E13" i="10"/>
  <c r="G13" i="10" s="1"/>
  <c r="C13" i="10" s="1"/>
  <c r="E12" i="10"/>
  <c r="A12" i="10"/>
  <c r="E11" i="10"/>
  <c r="G11" i="10" s="1"/>
  <c r="C11" i="10" s="1"/>
  <c r="E10" i="10"/>
  <c r="A10" i="10"/>
  <c r="E9" i="10"/>
  <c r="G9" i="10" s="1"/>
  <c r="C9" i="10" s="1"/>
  <c r="E8" i="10"/>
  <c r="A8" i="10"/>
  <c r="E7" i="10"/>
  <c r="G7" i="10" s="1"/>
  <c r="C7" i="10" s="1"/>
  <c r="E6" i="10"/>
  <c r="A6" i="10"/>
  <c r="E5" i="10"/>
  <c r="G5" i="10" s="1"/>
  <c r="C5" i="10" s="1"/>
  <c r="E4" i="10"/>
  <c r="A4" i="10"/>
  <c r="E3" i="10"/>
  <c r="G3" i="10" s="1"/>
  <c r="C3" i="10" s="1"/>
  <c r="E500" i="11"/>
  <c r="G500" i="11" s="1"/>
  <c r="C500" i="11"/>
  <c r="G499" i="11"/>
  <c r="F499" i="11"/>
  <c r="B499" i="11" s="1"/>
  <c r="E499" i="11"/>
  <c r="C499" i="11" s="1"/>
  <c r="A499" i="11"/>
  <c r="E498" i="11"/>
  <c r="G498" i="11" s="1"/>
  <c r="C498" i="11"/>
  <c r="G497" i="11"/>
  <c r="F497" i="11"/>
  <c r="B497" i="11" s="1"/>
  <c r="E497" i="11"/>
  <c r="C497" i="11" s="1"/>
  <c r="A497" i="11"/>
  <c r="E496" i="11"/>
  <c r="G496" i="11" s="1"/>
  <c r="C496" i="11"/>
  <c r="G495" i="11"/>
  <c r="F495" i="11"/>
  <c r="B495" i="11" s="1"/>
  <c r="E495" i="11"/>
  <c r="C495" i="11" s="1"/>
  <c r="A495" i="11"/>
  <c r="E494" i="11"/>
  <c r="G494" i="11" s="1"/>
  <c r="C494" i="11"/>
  <c r="G493" i="11"/>
  <c r="F493" i="11"/>
  <c r="B493" i="11" s="1"/>
  <c r="E493" i="11"/>
  <c r="C493" i="11" s="1"/>
  <c r="A493" i="11"/>
  <c r="E492" i="11"/>
  <c r="G492" i="11" s="1"/>
  <c r="C492" i="11"/>
  <c r="G491" i="11"/>
  <c r="F491" i="11"/>
  <c r="B491" i="11" s="1"/>
  <c r="E491" i="11"/>
  <c r="C491" i="11" s="1"/>
  <c r="A491" i="11"/>
  <c r="E490" i="11"/>
  <c r="G490" i="11" s="1"/>
  <c r="C490" i="11"/>
  <c r="G489" i="11"/>
  <c r="F489" i="11"/>
  <c r="B489" i="11" s="1"/>
  <c r="E489" i="11"/>
  <c r="C489" i="11" s="1"/>
  <c r="A489" i="11"/>
  <c r="E488" i="11"/>
  <c r="G488" i="11" s="1"/>
  <c r="C488" i="11"/>
  <c r="G487" i="11"/>
  <c r="F487" i="11"/>
  <c r="B487" i="11" s="1"/>
  <c r="E487" i="11"/>
  <c r="C487" i="11" s="1"/>
  <c r="A487" i="11"/>
  <c r="E486" i="11"/>
  <c r="G485" i="11"/>
  <c r="F485" i="11"/>
  <c r="E485" i="11"/>
  <c r="C485" i="11" s="1"/>
  <c r="B485" i="11"/>
  <c r="A485" i="11"/>
  <c r="E484" i="11"/>
  <c r="C484" i="11"/>
  <c r="G483" i="11"/>
  <c r="F483" i="11"/>
  <c r="E483" i="11"/>
  <c r="C483" i="11" s="1"/>
  <c r="B483" i="11"/>
  <c r="A483" i="11"/>
  <c r="E482" i="11"/>
  <c r="C482" i="11" s="1"/>
  <c r="G481" i="11"/>
  <c r="F481" i="11"/>
  <c r="B481" i="11" s="1"/>
  <c r="E481" i="11"/>
  <c r="C481" i="11" s="1"/>
  <c r="A481" i="11"/>
  <c r="E480" i="11"/>
  <c r="C480" i="11"/>
  <c r="G479" i="11"/>
  <c r="F479" i="11"/>
  <c r="B479" i="11" s="1"/>
  <c r="E479" i="11"/>
  <c r="C479" i="11" s="1"/>
  <c r="A479" i="11"/>
  <c r="G478" i="11"/>
  <c r="E478" i="11"/>
  <c r="C478" i="11"/>
  <c r="G477" i="11"/>
  <c r="E477" i="11"/>
  <c r="C477" i="11" s="1"/>
  <c r="A477" i="11"/>
  <c r="E476" i="11"/>
  <c r="C476" i="11" s="1"/>
  <c r="G475" i="11"/>
  <c r="F475" i="11"/>
  <c r="E475" i="11"/>
  <c r="C475" i="11" s="1"/>
  <c r="B475" i="11"/>
  <c r="A475" i="11"/>
  <c r="G474" i="11"/>
  <c r="E474" i="11"/>
  <c r="C474" i="11"/>
  <c r="E473" i="11"/>
  <c r="E472" i="11"/>
  <c r="G471" i="11"/>
  <c r="F471" i="11"/>
  <c r="B471" i="11" s="1"/>
  <c r="E471" i="11"/>
  <c r="C471" i="11" s="1"/>
  <c r="A471" i="11"/>
  <c r="G470" i="11"/>
  <c r="E470" i="11"/>
  <c r="C470" i="11"/>
  <c r="G469" i="11"/>
  <c r="E469" i="11"/>
  <c r="C469" i="11" s="1"/>
  <c r="A469" i="11"/>
  <c r="E468" i="11"/>
  <c r="C468" i="11" s="1"/>
  <c r="F467" i="11"/>
  <c r="E467" i="11"/>
  <c r="C467" i="11" s="1"/>
  <c r="B467" i="11"/>
  <c r="G466" i="11"/>
  <c r="E466" i="11"/>
  <c r="C466" i="11"/>
  <c r="E465" i="11"/>
  <c r="E464" i="11"/>
  <c r="G463" i="11"/>
  <c r="F463" i="11"/>
  <c r="B463" i="11" s="1"/>
  <c r="E463" i="11"/>
  <c r="C463" i="11" s="1"/>
  <c r="A463" i="11"/>
  <c r="G462" i="11"/>
  <c r="E462" i="11"/>
  <c r="C462" i="11"/>
  <c r="G461" i="11"/>
  <c r="E461" i="11"/>
  <c r="C461" i="11" s="1"/>
  <c r="A461" i="11"/>
  <c r="E460" i="11"/>
  <c r="C460" i="11" s="1"/>
  <c r="F459" i="11"/>
  <c r="E459" i="11"/>
  <c r="C459" i="11" s="1"/>
  <c r="B459" i="11"/>
  <c r="G458" i="11"/>
  <c r="E458" i="11"/>
  <c r="C458" i="11"/>
  <c r="E457" i="11"/>
  <c r="E456" i="11"/>
  <c r="G455" i="11"/>
  <c r="F455" i="11"/>
  <c r="B455" i="11" s="1"/>
  <c r="E455" i="11"/>
  <c r="C455" i="11" s="1"/>
  <c r="A455" i="11"/>
  <c r="G454" i="11"/>
  <c r="E454" i="11"/>
  <c r="C454" i="11"/>
  <c r="G453" i="11"/>
  <c r="E453" i="11"/>
  <c r="C453" i="11" s="1"/>
  <c r="A453" i="11"/>
  <c r="E452" i="11"/>
  <c r="C452" i="11" s="1"/>
  <c r="F451" i="11"/>
  <c r="E451" i="11"/>
  <c r="C451" i="11" s="1"/>
  <c r="B451" i="11"/>
  <c r="G450" i="11"/>
  <c r="E450" i="11"/>
  <c r="C450" i="11"/>
  <c r="E449" i="11"/>
  <c r="E448" i="11"/>
  <c r="G447" i="11"/>
  <c r="F447" i="11"/>
  <c r="E447" i="11"/>
  <c r="C447" i="11" s="1"/>
  <c r="B447" i="11"/>
  <c r="A447" i="11"/>
  <c r="G446" i="11"/>
  <c r="E446" i="11"/>
  <c r="C446" i="11"/>
  <c r="G445" i="11"/>
  <c r="E445" i="11"/>
  <c r="A445" i="11"/>
  <c r="E444" i="11"/>
  <c r="E443" i="11"/>
  <c r="G442" i="11"/>
  <c r="E442" i="11"/>
  <c r="E441" i="11"/>
  <c r="E440" i="11"/>
  <c r="G439" i="11"/>
  <c r="F439" i="11"/>
  <c r="B439" i="11" s="1"/>
  <c r="E439" i="11"/>
  <c r="C439" i="11" s="1"/>
  <c r="A439" i="11"/>
  <c r="G438" i="11"/>
  <c r="E438" i="11"/>
  <c r="C438" i="11"/>
  <c r="G437" i="11"/>
  <c r="E437" i="11"/>
  <c r="C437" i="11" s="1"/>
  <c r="A437" i="11"/>
  <c r="E436" i="11"/>
  <c r="C436" i="11" s="1"/>
  <c r="F435" i="11"/>
  <c r="E435" i="11"/>
  <c r="C435" i="11" s="1"/>
  <c r="B435" i="11"/>
  <c r="E434" i="11"/>
  <c r="C434" i="11"/>
  <c r="E433" i="11"/>
  <c r="E432" i="11"/>
  <c r="G431" i="11"/>
  <c r="F431" i="11"/>
  <c r="B431" i="11" s="1"/>
  <c r="E431" i="11"/>
  <c r="C431" i="11" s="1"/>
  <c r="A431" i="11"/>
  <c r="G430" i="11"/>
  <c r="E430" i="11"/>
  <c r="C430" i="11"/>
  <c r="G429" i="11"/>
  <c r="E429" i="11"/>
  <c r="C429" i="11" s="1"/>
  <c r="A429" i="11"/>
  <c r="E428" i="11"/>
  <c r="C428" i="11" s="1"/>
  <c r="F427" i="11"/>
  <c r="E427" i="11"/>
  <c r="C427" i="11" s="1"/>
  <c r="B427" i="11"/>
  <c r="E426" i="11"/>
  <c r="C426" i="11"/>
  <c r="E425" i="11"/>
  <c r="E424" i="11"/>
  <c r="G423" i="11"/>
  <c r="F423" i="11"/>
  <c r="B423" i="11" s="1"/>
  <c r="E423" i="11"/>
  <c r="C423" i="11" s="1"/>
  <c r="A423" i="11"/>
  <c r="G422" i="11"/>
  <c r="E422" i="11"/>
  <c r="C422" i="11"/>
  <c r="G421" i="11"/>
  <c r="E421" i="11"/>
  <c r="C421" i="11" s="1"/>
  <c r="A421" i="11"/>
  <c r="E420" i="11"/>
  <c r="C420" i="11" s="1"/>
  <c r="F419" i="11"/>
  <c r="E419" i="11"/>
  <c r="C419" i="11" s="1"/>
  <c r="B419" i="11"/>
  <c r="E418" i="11"/>
  <c r="C418" i="11"/>
  <c r="E417" i="11"/>
  <c r="E416" i="11"/>
  <c r="G415" i="11"/>
  <c r="F415" i="11"/>
  <c r="B415" i="11" s="1"/>
  <c r="E415" i="11"/>
  <c r="C415" i="11" s="1"/>
  <c r="A415" i="11"/>
  <c r="G414" i="11"/>
  <c r="E414" i="11"/>
  <c r="C414" i="11"/>
  <c r="G413" i="11"/>
  <c r="E413" i="11"/>
  <c r="C413" i="11" s="1"/>
  <c r="A413" i="11"/>
  <c r="E412" i="11"/>
  <c r="C412" i="11"/>
  <c r="E411" i="11"/>
  <c r="C411" i="11" s="1"/>
  <c r="E410" i="11"/>
  <c r="C410" i="11"/>
  <c r="E409" i="11"/>
  <c r="E408" i="11"/>
  <c r="G407" i="11"/>
  <c r="E407" i="11"/>
  <c r="F407" i="11" s="1"/>
  <c r="B407" i="11" s="1"/>
  <c r="C407" i="11"/>
  <c r="E406" i="11"/>
  <c r="G405" i="11"/>
  <c r="E405" i="11"/>
  <c r="F405" i="11" s="1"/>
  <c r="B405" i="11" s="1"/>
  <c r="C405" i="11"/>
  <c r="E404" i="11"/>
  <c r="G403" i="11"/>
  <c r="E403" i="11"/>
  <c r="F403" i="11" s="1"/>
  <c r="C403" i="11"/>
  <c r="B403" i="11"/>
  <c r="E402" i="11"/>
  <c r="G401" i="11"/>
  <c r="E401" i="11"/>
  <c r="F401" i="11" s="1"/>
  <c r="C401" i="11"/>
  <c r="B401" i="11"/>
  <c r="E400" i="11"/>
  <c r="G399" i="11"/>
  <c r="E399" i="11"/>
  <c r="F399" i="11" s="1"/>
  <c r="B399" i="11" s="1"/>
  <c r="C399" i="11"/>
  <c r="E398" i="11"/>
  <c r="G397" i="11"/>
  <c r="E397" i="11"/>
  <c r="F397" i="11" s="1"/>
  <c r="B397" i="11" s="1"/>
  <c r="C397" i="11"/>
  <c r="E396" i="11"/>
  <c r="G395" i="11"/>
  <c r="E395" i="11"/>
  <c r="F395" i="11" s="1"/>
  <c r="C395" i="11"/>
  <c r="B395" i="11"/>
  <c r="E394" i="11"/>
  <c r="G393" i="11"/>
  <c r="E393" i="11"/>
  <c r="F393" i="11" s="1"/>
  <c r="C393" i="11"/>
  <c r="B393" i="11"/>
  <c r="E392" i="11"/>
  <c r="G391" i="11"/>
  <c r="E391" i="11"/>
  <c r="F391" i="11" s="1"/>
  <c r="B391" i="11" s="1"/>
  <c r="C391" i="11"/>
  <c r="E390" i="11"/>
  <c r="G389" i="11"/>
  <c r="E389" i="11"/>
  <c r="F389" i="11" s="1"/>
  <c r="B389" i="11" s="1"/>
  <c r="C389" i="11"/>
  <c r="E388" i="11"/>
  <c r="G387" i="11"/>
  <c r="E387" i="11"/>
  <c r="F387" i="11" s="1"/>
  <c r="B387" i="11" s="1"/>
  <c r="C387" i="11"/>
  <c r="E386" i="11"/>
  <c r="E385" i="11"/>
  <c r="C385" i="11"/>
  <c r="E384" i="11"/>
  <c r="E383" i="11"/>
  <c r="G382" i="11"/>
  <c r="F382" i="11"/>
  <c r="B382" i="11" s="1"/>
  <c r="E382" i="11"/>
  <c r="C382" i="11" s="1"/>
  <c r="A382" i="11"/>
  <c r="G381" i="11"/>
  <c r="E381" i="11"/>
  <c r="C381" i="11" s="1"/>
  <c r="G380" i="11"/>
  <c r="E380" i="11"/>
  <c r="C380" i="11" s="1"/>
  <c r="A380" i="11"/>
  <c r="E379" i="11"/>
  <c r="C379" i="11"/>
  <c r="E378" i="11"/>
  <c r="C378" i="11" s="1"/>
  <c r="E377" i="11"/>
  <c r="C377" i="11"/>
  <c r="E376" i="11"/>
  <c r="E375" i="11"/>
  <c r="G374" i="11"/>
  <c r="F374" i="11"/>
  <c r="B374" i="11" s="1"/>
  <c r="E374" i="11"/>
  <c r="C374" i="11" s="1"/>
  <c r="A374" i="11"/>
  <c r="G373" i="11"/>
  <c r="E373" i="11"/>
  <c r="C373" i="11"/>
  <c r="G372" i="11"/>
  <c r="E372" i="11"/>
  <c r="C372" i="11" s="1"/>
  <c r="A372" i="11"/>
  <c r="E371" i="11"/>
  <c r="C371" i="11"/>
  <c r="E370" i="11"/>
  <c r="C370" i="11" s="1"/>
  <c r="E369" i="11"/>
  <c r="C369" i="11"/>
  <c r="E368" i="11"/>
  <c r="E367" i="11"/>
  <c r="G366" i="11"/>
  <c r="F366" i="11"/>
  <c r="B366" i="11" s="1"/>
  <c r="E366" i="11"/>
  <c r="C366" i="11" s="1"/>
  <c r="A366" i="11"/>
  <c r="G365" i="11"/>
  <c r="E365" i="11"/>
  <c r="C365" i="11"/>
  <c r="G364" i="11"/>
  <c r="E364" i="11"/>
  <c r="C364" i="11" s="1"/>
  <c r="A364" i="11"/>
  <c r="E363" i="11"/>
  <c r="C363" i="11"/>
  <c r="E362" i="11"/>
  <c r="C362" i="11" s="1"/>
  <c r="E361" i="11"/>
  <c r="C361" i="11"/>
  <c r="E360" i="11"/>
  <c r="E359" i="11"/>
  <c r="G358" i="11"/>
  <c r="F358" i="11"/>
  <c r="B358" i="11" s="1"/>
  <c r="E358" i="11"/>
  <c r="C358" i="11" s="1"/>
  <c r="A358" i="11"/>
  <c r="G357" i="11"/>
  <c r="E357" i="11"/>
  <c r="C357" i="11"/>
  <c r="G356" i="11"/>
  <c r="E356" i="11"/>
  <c r="C356" i="11" s="1"/>
  <c r="A356" i="11"/>
  <c r="E355" i="11"/>
  <c r="C355" i="11"/>
  <c r="E354" i="11"/>
  <c r="C354" i="11" s="1"/>
  <c r="E353" i="11"/>
  <c r="C353" i="11"/>
  <c r="E352" i="11"/>
  <c r="E351" i="11"/>
  <c r="G350" i="11"/>
  <c r="F350" i="11"/>
  <c r="B350" i="11" s="1"/>
  <c r="E350" i="11"/>
  <c r="C350" i="11" s="1"/>
  <c r="A350" i="11"/>
  <c r="G349" i="11"/>
  <c r="E349" i="11"/>
  <c r="C349" i="11"/>
  <c r="G348" i="11"/>
  <c r="E348" i="11"/>
  <c r="C348" i="11" s="1"/>
  <c r="A348" i="11"/>
  <c r="E347" i="11"/>
  <c r="C347" i="11"/>
  <c r="E346" i="11"/>
  <c r="C346" i="11" s="1"/>
  <c r="E345" i="11"/>
  <c r="C345" i="11"/>
  <c r="E344" i="11"/>
  <c r="E343" i="11"/>
  <c r="G342" i="11"/>
  <c r="F342" i="11"/>
  <c r="B342" i="11" s="1"/>
  <c r="E342" i="11"/>
  <c r="C342" i="11" s="1"/>
  <c r="A342" i="11"/>
  <c r="G341" i="11"/>
  <c r="E341" i="11"/>
  <c r="C341" i="11"/>
  <c r="G340" i="11"/>
  <c r="E340" i="11"/>
  <c r="C340" i="11" s="1"/>
  <c r="A340" i="11"/>
  <c r="E339" i="11"/>
  <c r="C339" i="11"/>
  <c r="E338" i="11"/>
  <c r="C338" i="11" s="1"/>
  <c r="E337" i="11"/>
  <c r="C337" i="11"/>
  <c r="E336" i="11"/>
  <c r="E335" i="11"/>
  <c r="G334" i="11"/>
  <c r="F334" i="11"/>
  <c r="B334" i="11" s="1"/>
  <c r="E334" i="11"/>
  <c r="C334" i="11" s="1"/>
  <c r="A334" i="11"/>
  <c r="G333" i="11"/>
  <c r="E333" i="11"/>
  <c r="C333" i="11"/>
  <c r="G332" i="11"/>
  <c r="E332" i="11"/>
  <c r="C332" i="11" s="1"/>
  <c r="A332" i="11"/>
  <c r="E331" i="11"/>
  <c r="C331" i="11"/>
  <c r="E330" i="11"/>
  <c r="C330" i="11" s="1"/>
  <c r="E329" i="11"/>
  <c r="C329" i="11"/>
  <c r="E328" i="11"/>
  <c r="E327" i="11"/>
  <c r="G326" i="11"/>
  <c r="F326" i="11"/>
  <c r="B326" i="11" s="1"/>
  <c r="E326" i="11"/>
  <c r="C326" i="11" s="1"/>
  <c r="A326" i="11"/>
  <c r="G325" i="11"/>
  <c r="E325" i="11"/>
  <c r="C325" i="11"/>
  <c r="G324" i="11"/>
  <c r="E324" i="11"/>
  <c r="C324" i="11" s="1"/>
  <c r="A324" i="11"/>
  <c r="E323" i="11"/>
  <c r="C323" i="11"/>
  <c r="E322" i="11"/>
  <c r="C322" i="11" s="1"/>
  <c r="E321" i="11"/>
  <c r="C321" i="11"/>
  <c r="E320" i="11"/>
  <c r="E319" i="11"/>
  <c r="G318" i="11"/>
  <c r="F318" i="11"/>
  <c r="B318" i="11" s="1"/>
  <c r="E318" i="11"/>
  <c r="C318" i="11" s="1"/>
  <c r="A318" i="11"/>
  <c r="G317" i="11"/>
  <c r="E317" i="11"/>
  <c r="F317" i="11" s="1"/>
  <c r="C317" i="11"/>
  <c r="B317" i="11"/>
  <c r="A317" i="11"/>
  <c r="E316" i="11"/>
  <c r="G316" i="11" s="1"/>
  <c r="C316" i="11"/>
  <c r="G315" i="11"/>
  <c r="F315" i="11"/>
  <c r="B315" i="11" s="1"/>
  <c r="E315" i="11"/>
  <c r="C315" i="11"/>
  <c r="A315" i="11"/>
  <c r="E314" i="11"/>
  <c r="G314" i="11" s="1"/>
  <c r="C314" i="11"/>
  <c r="G313" i="11"/>
  <c r="F313" i="11"/>
  <c r="B313" i="11" s="1"/>
  <c r="E313" i="11"/>
  <c r="C313" i="11"/>
  <c r="A313" i="11"/>
  <c r="E312" i="11"/>
  <c r="G312" i="11" s="1"/>
  <c r="C312" i="11"/>
  <c r="G311" i="11"/>
  <c r="F311" i="11"/>
  <c r="B311" i="11" s="1"/>
  <c r="E311" i="11"/>
  <c r="C311" i="11"/>
  <c r="A311" i="11"/>
  <c r="E310" i="11"/>
  <c r="G310" i="11" s="1"/>
  <c r="C310" i="11"/>
  <c r="G309" i="11"/>
  <c r="F309" i="11"/>
  <c r="B309" i="11" s="1"/>
  <c r="E309" i="11"/>
  <c r="C309" i="11"/>
  <c r="A309" i="11"/>
  <c r="E308" i="11"/>
  <c r="G308" i="11" s="1"/>
  <c r="C308" i="11"/>
  <c r="G307" i="11"/>
  <c r="F307" i="11"/>
  <c r="B307" i="11" s="1"/>
  <c r="E307" i="11"/>
  <c r="C307" i="11"/>
  <c r="A307" i="11"/>
  <c r="E306" i="11"/>
  <c r="G306" i="11" s="1"/>
  <c r="C306" i="11"/>
  <c r="G305" i="11"/>
  <c r="F305" i="11"/>
  <c r="B305" i="11" s="1"/>
  <c r="E305" i="11"/>
  <c r="C305" i="11"/>
  <c r="A305" i="11"/>
  <c r="E304" i="11"/>
  <c r="G304" i="11" s="1"/>
  <c r="C304" i="11"/>
  <c r="G303" i="11"/>
  <c r="F303" i="11"/>
  <c r="B303" i="11" s="1"/>
  <c r="E303" i="11"/>
  <c r="C303" i="11"/>
  <c r="A303" i="11"/>
  <c r="E302" i="11"/>
  <c r="G302" i="11" s="1"/>
  <c r="C302" i="11"/>
  <c r="G301" i="11"/>
  <c r="F301" i="11"/>
  <c r="B301" i="11" s="1"/>
  <c r="E301" i="11"/>
  <c r="C301" i="11"/>
  <c r="A301" i="11"/>
  <c r="E300" i="11"/>
  <c r="G300" i="11" s="1"/>
  <c r="C300" i="11"/>
  <c r="G299" i="11"/>
  <c r="F299" i="11"/>
  <c r="B299" i="11" s="1"/>
  <c r="E299" i="11"/>
  <c r="C299" i="11"/>
  <c r="A299" i="11"/>
  <c r="E298" i="11"/>
  <c r="G298" i="11" s="1"/>
  <c r="C298" i="11"/>
  <c r="G297" i="11"/>
  <c r="F297" i="11"/>
  <c r="B297" i="11" s="1"/>
  <c r="E297" i="11"/>
  <c r="C297" i="11"/>
  <c r="A297" i="11"/>
  <c r="E296" i="11"/>
  <c r="G296" i="11" s="1"/>
  <c r="C296" i="11"/>
  <c r="G295" i="11"/>
  <c r="F295" i="11"/>
  <c r="B295" i="11" s="1"/>
  <c r="E295" i="11"/>
  <c r="C295" i="11"/>
  <c r="A295" i="11"/>
  <c r="E294" i="11"/>
  <c r="G294" i="11" s="1"/>
  <c r="C294" i="11"/>
  <c r="G293" i="11"/>
  <c r="F293" i="11"/>
  <c r="B293" i="11" s="1"/>
  <c r="E293" i="11"/>
  <c r="C293" i="11"/>
  <c r="A293" i="11"/>
  <c r="E292" i="11"/>
  <c r="G292" i="11" s="1"/>
  <c r="C292" i="11"/>
  <c r="G291" i="11"/>
  <c r="F291" i="11"/>
  <c r="B291" i="11" s="1"/>
  <c r="E291" i="11"/>
  <c r="C291" i="11"/>
  <c r="A291" i="11"/>
  <c r="E290" i="11"/>
  <c r="G290" i="11" s="1"/>
  <c r="C290" i="11"/>
  <c r="G289" i="11"/>
  <c r="F289" i="11"/>
  <c r="B289" i="11" s="1"/>
  <c r="E289" i="11"/>
  <c r="C289" i="11"/>
  <c r="A289" i="11"/>
  <c r="E288" i="11"/>
  <c r="G288" i="11" s="1"/>
  <c r="C288" i="11"/>
  <c r="G287" i="11"/>
  <c r="F287" i="11"/>
  <c r="B287" i="11" s="1"/>
  <c r="E287" i="11"/>
  <c r="C287" i="11"/>
  <c r="A287" i="11"/>
  <c r="E286" i="11"/>
  <c r="G286" i="11" s="1"/>
  <c r="C286" i="11"/>
  <c r="G285" i="11"/>
  <c r="F285" i="11"/>
  <c r="B285" i="11" s="1"/>
  <c r="E285" i="11"/>
  <c r="C285" i="11"/>
  <c r="A285" i="11"/>
  <c r="E284" i="11"/>
  <c r="G284" i="11" s="1"/>
  <c r="C284" i="11"/>
  <c r="G283" i="11"/>
  <c r="F283" i="11"/>
  <c r="B283" i="11" s="1"/>
  <c r="E283" i="11"/>
  <c r="C283" i="11"/>
  <c r="A283" i="11"/>
  <c r="E282" i="11"/>
  <c r="G282" i="11" s="1"/>
  <c r="C282" i="11"/>
  <c r="G281" i="11"/>
  <c r="F281" i="11"/>
  <c r="B281" i="11" s="1"/>
  <c r="E281" i="11"/>
  <c r="C281" i="11"/>
  <c r="A281" i="11"/>
  <c r="E280" i="11"/>
  <c r="G280" i="11" s="1"/>
  <c r="C280" i="11"/>
  <c r="G279" i="11"/>
  <c r="F279" i="11"/>
  <c r="B279" i="11" s="1"/>
  <c r="E279" i="11"/>
  <c r="C279" i="11"/>
  <c r="A279" i="11"/>
  <c r="E278" i="11"/>
  <c r="G278" i="11" s="1"/>
  <c r="C278" i="11"/>
  <c r="G277" i="11"/>
  <c r="F277" i="11"/>
  <c r="B277" i="11" s="1"/>
  <c r="E277" i="11"/>
  <c r="C277" i="11"/>
  <c r="A277" i="11"/>
  <c r="E276" i="11"/>
  <c r="G276" i="11" s="1"/>
  <c r="C276" i="11"/>
  <c r="G275" i="11"/>
  <c r="F275" i="11"/>
  <c r="B275" i="11" s="1"/>
  <c r="E275" i="11"/>
  <c r="C275" i="11"/>
  <c r="A275" i="11"/>
  <c r="E274" i="11"/>
  <c r="G274" i="11" s="1"/>
  <c r="C274" i="11"/>
  <c r="G273" i="11"/>
  <c r="F273" i="11"/>
  <c r="B273" i="11" s="1"/>
  <c r="E273" i="11"/>
  <c r="C273" i="11"/>
  <c r="A273" i="11"/>
  <c r="E272" i="11"/>
  <c r="G272" i="11" s="1"/>
  <c r="C272" i="11"/>
  <c r="G271" i="11"/>
  <c r="F271" i="11"/>
  <c r="B271" i="11" s="1"/>
  <c r="E271" i="11"/>
  <c r="C271" i="11"/>
  <c r="A271" i="11"/>
  <c r="E270" i="11"/>
  <c r="G270" i="11" s="1"/>
  <c r="C270" i="11"/>
  <c r="G269" i="11"/>
  <c r="F269" i="11"/>
  <c r="B269" i="11" s="1"/>
  <c r="E269" i="11"/>
  <c r="C269" i="11"/>
  <c r="A269" i="11"/>
  <c r="E268" i="11"/>
  <c r="G268" i="11" s="1"/>
  <c r="C268" i="11"/>
  <c r="G267" i="11"/>
  <c r="F267" i="11"/>
  <c r="B267" i="11" s="1"/>
  <c r="E267" i="11"/>
  <c r="C267" i="11"/>
  <c r="A267" i="11"/>
  <c r="E266" i="11"/>
  <c r="G266" i="11" s="1"/>
  <c r="C266" i="11"/>
  <c r="G265" i="11"/>
  <c r="F265" i="11"/>
  <c r="B265" i="11" s="1"/>
  <c r="E265" i="11"/>
  <c r="C265" i="11"/>
  <c r="A265" i="11"/>
  <c r="E264" i="11"/>
  <c r="G264" i="11" s="1"/>
  <c r="C264" i="11"/>
  <c r="G263" i="11"/>
  <c r="F263" i="11"/>
  <c r="B263" i="11" s="1"/>
  <c r="E263" i="11"/>
  <c r="C263" i="11"/>
  <c r="A263" i="11"/>
  <c r="E262" i="11"/>
  <c r="G262" i="11" s="1"/>
  <c r="C262" i="11"/>
  <c r="G261" i="11"/>
  <c r="F261" i="11"/>
  <c r="B261" i="11" s="1"/>
  <c r="E261" i="11"/>
  <c r="C261" i="11"/>
  <c r="A261" i="11"/>
  <c r="E260" i="11"/>
  <c r="G260" i="11" s="1"/>
  <c r="C260" i="11"/>
  <c r="G259" i="11"/>
  <c r="F259" i="11"/>
  <c r="B259" i="11" s="1"/>
  <c r="E259" i="11"/>
  <c r="C259" i="11"/>
  <c r="A259" i="11"/>
  <c r="E258" i="11"/>
  <c r="G258" i="11" s="1"/>
  <c r="C258" i="11"/>
  <c r="G257" i="11"/>
  <c r="F257" i="11"/>
  <c r="B257" i="11" s="1"/>
  <c r="E257" i="11"/>
  <c r="C257" i="11"/>
  <c r="A257" i="11"/>
  <c r="E256" i="11"/>
  <c r="G256" i="11" s="1"/>
  <c r="C256" i="11"/>
  <c r="G255" i="11"/>
  <c r="F255" i="11"/>
  <c r="E255" i="11"/>
  <c r="C255" i="11"/>
  <c r="B255" i="11"/>
  <c r="A255" i="11"/>
  <c r="E254" i="11"/>
  <c r="C254" i="11" s="1"/>
  <c r="G253" i="11"/>
  <c r="F253" i="11"/>
  <c r="E253" i="11"/>
  <c r="C253" i="11"/>
  <c r="B253" i="11"/>
  <c r="A253" i="11"/>
  <c r="E252" i="11"/>
  <c r="C252" i="11" s="1"/>
  <c r="G251" i="11"/>
  <c r="F251" i="11"/>
  <c r="E251" i="11"/>
  <c r="C251" i="11"/>
  <c r="B251" i="11"/>
  <c r="A251" i="11"/>
  <c r="E250" i="11"/>
  <c r="C250" i="11" s="1"/>
  <c r="G249" i="11"/>
  <c r="F249" i="11"/>
  <c r="E249" i="11"/>
  <c r="C249" i="11"/>
  <c r="B249" i="11"/>
  <c r="A249" i="11"/>
  <c r="E248" i="11"/>
  <c r="C248" i="11" s="1"/>
  <c r="G247" i="11"/>
  <c r="F247" i="11"/>
  <c r="E247" i="11"/>
  <c r="C247" i="11"/>
  <c r="B247" i="11"/>
  <c r="A247" i="11"/>
  <c r="E246" i="11"/>
  <c r="C246" i="11" s="1"/>
  <c r="G245" i="11"/>
  <c r="F245" i="11"/>
  <c r="E245" i="11"/>
  <c r="C245" i="11"/>
  <c r="B245" i="11"/>
  <c r="A245" i="11"/>
  <c r="E244" i="11"/>
  <c r="C244" i="11" s="1"/>
  <c r="G243" i="11"/>
  <c r="F243" i="11"/>
  <c r="E243" i="11"/>
  <c r="C243" i="11"/>
  <c r="B243" i="11"/>
  <c r="A243" i="11"/>
  <c r="E242" i="11"/>
  <c r="C242" i="11" s="1"/>
  <c r="G241" i="11"/>
  <c r="F241" i="11"/>
  <c r="E241" i="11"/>
  <c r="C241" i="11"/>
  <c r="B241" i="11"/>
  <c r="A241" i="11"/>
  <c r="E240" i="11"/>
  <c r="C240" i="11" s="1"/>
  <c r="G239" i="11"/>
  <c r="F239" i="11"/>
  <c r="E239" i="11"/>
  <c r="C239" i="11"/>
  <c r="B239" i="11"/>
  <c r="A239" i="11"/>
  <c r="E238" i="11"/>
  <c r="C238" i="11" s="1"/>
  <c r="G237" i="11"/>
  <c r="F237" i="11"/>
  <c r="E237" i="11"/>
  <c r="C237" i="11"/>
  <c r="B237" i="11"/>
  <c r="A237" i="11"/>
  <c r="E236" i="11"/>
  <c r="C236" i="11" s="1"/>
  <c r="G235" i="11"/>
  <c r="F235" i="11"/>
  <c r="E235" i="11"/>
  <c r="C235" i="11"/>
  <c r="B235" i="11"/>
  <c r="A235" i="11"/>
  <c r="E234" i="11"/>
  <c r="C234" i="11" s="1"/>
  <c r="G233" i="11"/>
  <c r="F233" i="11"/>
  <c r="E233" i="11"/>
  <c r="C233" i="11"/>
  <c r="B233" i="11"/>
  <c r="A233" i="11"/>
  <c r="E232" i="11"/>
  <c r="C232" i="11" s="1"/>
  <c r="G231" i="11"/>
  <c r="F231" i="11"/>
  <c r="E231" i="11"/>
  <c r="C231" i="11"/>
  <c r="B231" i="11"/>
  <c r="A231" i="11"/>
  <c r="E230" i="11"/>
  <c r="C230" i="11" s="1"/>
  <c r="G229" i="11"/>
  <c r="F229" i="11"/>
  <c r="E229" i="11"/>
  <c r="C229" i="11"/>
  <c r="B229" i="11"/>
  <c r="A229" i="11"/>
  <c r="E228" i="11"/>
  <c r="C228" i="11" s="1"/>
  <c r="G227" i="11"/>
  <c r="F227" i="11"/>
  <c r="E227" i="11"/>
  <c r="C227" i="11"/>
  <c r="B227" i="11"/>
  <c r="A227" i="11"/>
  <c r="E226" i="11"/>
  <c r="C226" i="11" s="1"/>
  <c r="G225" i="11"/>
  <c r="F225" i="11"/>
  <c r="E225" i="11"/>
  <c r="C225" i="11"/>
  <c r="B225" i="11"/>
  <c r="A225" i="11"/>
  <c r="E224" i="11"/>
  <c r="C224" i="11" s="1"/>
  <c r="G223" i="11"/>
  <c r="F223" i="11"/>
  <c r="E223" i="11"/>
  <c r="C223" i="11"/>
  <c r="B223" i="11"/>
  <c r="A223" i="11"/>
  <c r="E222" i="11"/>
  <c r="C222" i="11" s="1"/>
  <c r="G221" i="11"/>
  <c r="F221" i="11"/>
  <c r="E221" i="11"/>
  <c r="C221" i="11"/>
  <c r="B221" i="11"/>
  <c r="A221" i="11"/>
  <c r="E220" i="11"/>
  <c r="C220" i="11" s="1"/>
  <c r="G219" i="11"/>
  <c r="F219" i="11"/>
  <c r="E219" i="11"/>
  <c r="C219" i="11"/>
  <c r="B219" i="11"/>
  <c r="A219" i="11"/>
  <c r="E218" i="11"/>
  <c r="C218" i="11" s="1"/>
  <c r="G217" i="11"/>
  <c r="F217" i="11"/>
  <c r="E217" i="11"/>
  <c r="C217" i="11"/>
  <c r="B217" i="11"/>
  <c r="A217" i="11"/>
  <c r="E216" i="11"/>
  <c r="C216" i="11" s="1"/>
  <c r="G215" i="11"/>
  <c r="F215" i="11"/>
  <c r="E215" i="11"/>
  <c r="C215" i="11"/>
  <c r="B215" i="11"/>
  <c r="A215" i="11"/>
  <c r="E214" i="11"/>
  <c r="C214" i="11" s="1"/>
  <c r="G213" i="11"/>
  <c r="F213" i="11"/>
  <c r="E213" i="11"/>
  <c r="C213" i="11"/>
  <c r="B213" i="11"/>
  <c r="A213" i="11"/>
  <c r="E212" i="11"/>
  <c r="C212" i="11" s="1"/>
  <c r="G211" i="11"/>
  <c r="F211" i="11"/>
  <c r="E211" i="11"/>
  <c r="C211" i="11"/>
  <c r="B211" i="11"/>
  <c r="A211" i="11"/>
  <c r="E210" i="11"/>
  <c r="C210" i="11" s="1"/>
  <c r="G209" i="11"/>
  <c r="F209" i="11"/>
  <c r="E209" i="11"/>
  <c r="C209" i="11"/>
  <c r="B209" i="11"/>
  <c r="A209" i="11"/>
  <c r="F208" i="11"/>
  <c r="B208" i="11" s="1"/>
  <c r="E208" i="11"/>
  <c r="G208" i="11" s="1"/>
  <c r="C208" i="11"/>
  <c r="A208" i="11"/>
  <c r="G207" i="11"/>
  <c r="F207" i="11"/>
  <c r="E207" i="11"/>
  <c r="C207" i="11"/>
  <c r="B207" i="11"/>
  <c r="A207" i="11"/>
  <c r="F206" i="11"/>
  <c r="B206" i="11" s="1"/>
  <c r="E206" i="11"/>
  <c r="G206" i="11" s="1"/>
  <c r="G205" i="11"/>
  <c r="F205" i="11"/>
  <c r="E205" i="11"/>
  <c r="C205" i="11"/>
  <c r="B205" i="11"/>
  <c r="A205" i="11"/>
  <c r="F204" i="11"/>
  <c r="B204" i="11" s="1"/>
  <c r="E204" i="11"/>
  <c r="G204" i="11" s="1"/>
  <c r="C204" i="11"/>
  <c r="A204" i="11"/>
  <c r="G203" i="11"/>
  <c r="F203" i="11"/>
  <c r="E203" i="11"/>
  <c r="C203" i="11"/>
  <c r="B203" i="11"/>
  <c r="A203" i="11"/>
  <c r="F202" i="11"/>
  <c r="B202" i="11" s="1"/>
  <c r="E202" i="11"/>
  <c r="G202" i="11" s="1"/>
  <c r="G201" i="11"/>
  <c r="F201" i="11"/>
  <c r="E201" i="11"/>
  <c r="C201" i="11"/>
  <c r="B201" i="11"/>
  <c r="A201" i="11"/>
  <c r="E200" i="11"/>
  <c r="A200" i="11"/>
  <c r="E199" i="11"/>
  <c r="A199" i="11"/>
  <c r="E198" i="11"/>
  <c r="E197" i="11"/>
  <c r="A197" i="11"/>
  <c r="E196" i="11"/>
  <c r="A196" i="11"/>
  <c r="E195" i="11"/>
  <c r="A195" i="11"/>
  <c r="E194" i="11"/>
  <c r="E193" i="11"/>
  <c r="A193" i="11"/>
  <c r="E192" i="11"/>
  <c r="A192" i="11"/>
  <c r="E191" i="11"/>
  <c r="A191" i="11"/>
  <c r="E190" i="11"/>
  <c r="E189" i="11"/>
  <c r="A189" i="11"/>
  <c r="E188" i="11"/>
  <c r="A188" i="11"/>
  <c r="E187" i="11"/>
  <c r="A187" i="11"/>
  <c r="E186" i="11"/>
  <c r="E185" i="11"/>
  <c r="A185" i="11"/>
  <c r="E184" i="11"/>
  <c r="A184" i="11"/>
  <c r="E183" i="11"/>
  <c r="A183" i="11"/>
  <c r="E182" i="11"/>
  <c r="E181" i="11"/>
  <c r="A181" i="11"/>
  <c r="E180" i="11"/>
  <c r="A180" i="11"/>
  <c r="E179" i="11"/>
  <c r="A179" i="11"/>
  <c r="E178" i="11"/>
  <c r="E177" i="11"/>
  <c r="A177" i="11"/>
  <c r="E176" i="11"/>
  <c r="A176" i="11"/>
  <c r="E175" i="11"/>
  <c r="A175" i="11"/>
  <c r="E174" i="11"/>
  <c r="E173" i="11"/>
  <c r="A173" i="11"/>
  <c r="E172" i="11"/>
  <c r="A172" i="11"/>
  <c r="E171" i="11"/>
  <c r="A171" i="11"/>
  <c r="E170" i="11"/>
  <c r="E169" i="11"/>
  <c r="A169" i="11"/>
  <c r="E168" i="11"/>
  <c r="A168" i="11"/>
  <c r="E167" i="11"/>
  <c r="A167" i="11"/>
  <c r="E166" i="11"/>
  <c r="E165" i="11"/>
  <c r="A165" i="11"/>
  <c r="E164" i="11"/>
  <c r="A164" i="11"/>
  <c r="E163" i="11"/>
  <c r="A163" i="11"/>
  <c r="E162" i="11"/>
  <c r="E161" i="11"/>
  <c r="A161" i="11"/>
  <c r="E160" i="11"/>
  <c r="A160" i="11"/>
  <c r="E159" i="11"/>
  <c r="A159" i="11"/>
  <c r="E158" i="11"/>
  <c r="E157" i="11"/>
  <c r="A157" i="11"/>
  <c r="E156" i="11"/>
  <c r="A156" i="11"/>
  <c r="E155" i="11"/>
  <c r="A155" i="11"/>
  <c r="E154" i="11"/>
  <c r="E153" i="11"/>
  <c r="A153" i="11"/>
  <c r="E152" i="11"/>
  <c r="A152" i="11"/>
  <c r="E151" i="11"/>
  <c r="A151" i="11"/>
  <c r="E150" i="11"/>
  <c r="E149" i="11"/>
  <c r="A149" i="11"/>
  <c r="E148" i="11"/>
  <c r="A148" i="11"/>
  <c r="E147" i="11"/>
  <c r="A147" i="11"/>
  <c r="E146" i="11"/>
  <c r="F146" i="11" s="1"/>
  <c r="B146" i="11" s="1"/>
  <c r="E145" i="11"/>
  <c r="A145" i="11"/>
  <c r="E144" i="11"/>
  <c r="A144" i="11"/>
  <c r="E143" i="11"/>
  <c r="A143" i="11"/>
  <c r="E142" i="11"/>
  <c r="A142" i="11" s="1"/>
  <c r="E141" i="11"/>
  <c r="A141" i="11"/>
  <c r="E140" i="11"/>
  <c r="F140" i="11" s="1"/>
  <c r="B140" i="11" s="1"/>
  <c r="E139" i="11"/>
  <c r="A139" i="11"/>
  <c r="E138" i="11"/>
  <c r="F138" i="11" s="1"/>
  <c r="B138" i="11" s="1"/>
  <c r="A138" i="11"/>
  <c r="E137" i="11"/>
  <c r="A137" i="11"/>
  <c r="E136" i="11"/>
  <c r="A136" i="11"/>
  <c r="E135" i="11"/>
  <c r="A135" i="11"/>
  <c r="E134" i="11"/>
  <c r="A134" i="11" s="1"/>
  <c r="E133" i="11"/>
  <c r="A133" i="11"/>
  <c r="E132" i="11"/>
  <c r="F132" i="11" s="1"/>
  <c r="B132" i="11" s="1"/>
  <c r="E131" i="11"/>
  <c r="A131" i="11"/>
  <c r="E130" i="11"/>
  <c r="F130" i="11" s="1"/>
  <c r="B130" i="11" s="1"/>
  <c r="A130" i="11"/>
  <c r="E129" i="11"/>
  <c r="A129" i="11"/>
  <c r="E128" i="11"/>
  <c r="A128" i="11"/>
  <c r="E127" i="11"/>
  <c r="A127" i="11"/>
  <c r="E126" i="11"/>
  <c r="A126" i="11" s="1"/>
  <c r="E125" i="11"/>
  <c r="A125" i="11"/>
  <c r="E124" i="11"/>
  <c r="F124" i="11" s="1"/>
  <c r="B124" i="11" s="1"/>
  <c r="E123" i="11"/>
  <c r="A123" i="11"/>
  <c r="E122" i="11"/>
  <c r="F122" i="11" s="1"/>
  <c r="B122" i="11" s="1"/>
  <c r="A122" i="11"/>
  <c r="E121" i="11"/>
  <c r="A121" i="11"/>
  <c r="E120" i="11"/>
  <c r="A120" i="11"/>
  <c r="E119" i="11"/>
  <c r="A119" i="11"/>
  <c r="E118" i="11"/>
  <c r="A118" i="11" s="1"/>
  <c r="E117" i="11"/>
  <c r="A117" i="11"/>
  <c r="E116" i="11"/>
  <c r="F116" i="11" s="1"/>
  <c r="B116" i="11" s="1"/>
  <c r="E115" i="11"/>
  <c r="A115" i="11"/>
  <c r="E114" i="11"/>
  <c r="F114" i="11" s="1"/>
  <c r="B114" i="11" s="1"/>
  <c r="A114" i="11"/>
  <c r="E113" i="11"/>
  <c r="A113" i="11"/>
  <c r="E112" i="11"/>
  <c r="A112" i="11"/>
  <c r="E111" i="11"/>
  <c r="A111" i="11"/>
  <c r="E110" i="11"/>
  <c r="A110" i="11" s="1"/>
  <c r="E109" i="11"/>
  <c r="A109" i="11"/>
  <c r="E108" i="11"/>
  <c r="F108" i="11" s="1"/>
  <c r="B108" i="11" s="1"/>
  <c r="E107" i="11"/>
  <c r="A107" i="11"/>
  <c r="E106" i="11"/>
  <c r="A106" i="11"/>
  <c r="E105" i="11"/>
  <c r="A105" i="11"/>
  <c r="E104" i="11"/>
  <c r="G104" i="11" s="1"/>
  <c r="E103" i="11"/>
  <c r="F103" i="11" s="1"/>
  <c r="B103" i="11" s="1"/>
  <c r="A103" i="11"/>
  <c r="E102" i="11"/>
  <c r="E101" i="11"/>
  <c r="F101" i="11" s="1"/>
  <c r="B101" i="11" s="1"/>
  <c r="A101" i="11"/>
  <c r="E100" i="11"/>
  <c r="E99" i="11"/>
  <c r="F99" i="11" s="1"/>
  <c r="B99" i="11" s="1"/>
  <c r="A99" i="11"/>
  <c r="E98" i="11"/>
  <c r="E97" i="11"/>
  <c r="F97" i="11" s="1"/>
  <c r="B97" i="11" s="1"/>
  <c r="A97" i="11"/>
  <c r="E96" i="11"/>
  <c r="E95" i="11"/>
  <c r="F95" i="11" s="1"/>
  <c r="B95" i="11" s="1"/>
  <c r="A95" i="11"/>
  <c r="E94" i="11"/>
  <c r="E93" i="11"/>
  <c r="F93" i="11" s="1"/>
  <c r="B93" i="11" s="1"/>
  <c r="A93" i="11"/>
  <c r="E92" i="11"/>
  <c r="E91" i="11"/>
  <c r="F91" i="11" s="1"/>
  <c r="B91" i="11" s="1"/>
  <c r="A91" i="11"/>
  <c r="E90" i="11"/>
  <c r="E89" i="11"/>
  <c r="F89" i="11" s="1"/>
  <c r="B89" i="11" s="1"/>
  <c r="A89" i="11"/>
  <c r="E88" i="11"/>
  <c r="E87" i="11"/>
  <c r="F87" i="11" s="1"/>
  <c r="B87" i="11" s="1"/>
  <c r="A87" i="11"/>
  <c r="E86" i="11"/>
  <c r="E85" i="11"/>
  <c r="F85" i="11" s="1"/>
  <c r="B85" i="11" s="1"/>
  <c r="A85" i="11"/>
  <c r="E84" i="11"/>
  <c r="E83" i="11"/>
  <c r="F83" i="11" s="1"/>
  <c r="B83" i="11" s="1"/>
  <c r="A83" i="11"/>
  <c r="E82" i="11"/>
  <c r="E81" i="11"/>
  <c r="F81" i="11" s="1"/>
  <c r="B81" i="11" s="1"/>
  <c r="A81" i="11"/>
  <c r="E80" i="11"/>
  <c r="E79" i="11"/>
  <c r="F79" i="11" s="1"/>
  <c r="B79" i="11" s="1"/>
  <c r="A79" i="11"/>
  <c r="E78" i="11"/>
  <c r="E77" i="11"/>
  <c r="F77" i="11" s="1"/>
  <c r="B77" i="11" s="1"/>
  <c r="A77" i="11"/>
  <c r="E76" i="11"/>
  <c r="E75" i="11"/>
  <c r="F75" i="11" s="1"/>
  <c r="B75" i="11" s="1"/>
  <c r="A75" i="11"/>
  <c r="E74" i="11"/>
  <c r="E73" i="11"/>
  <c r="F73" i="11" s="1"/>
  <c r="B73" i="11" s="1"/>
  <c r="A73" i="11"/>
  <c r="E72" i="11"/>
  <c r="E71" i="11"/>
  <c r="F71" i="11" s="1"/>
  <c r="B71" i="11" s="1"/>
  <c r="A71" i="11"/>
  <c r="E70" i="11"/>
  <c r="E69" i="11"/>
  <c r="F69" i="11" s="1"/>
  <c r="B69" i="11" s="1"/>
  <c r="A69" i="11"/>
  <c r="E68" i="11"/>
  <c r="E67" i="11"/>
  <c r="F67" i="11" s="1"/>
  <c r="B67" i="11" s="1"/>
  <c r="A67" i="11"/>
  <c r="E66" i="11"/>
  <c r="E65" i="11"/>
  <c r="F65" i="11" s="1"/>
  <c r="B65" i="11" s="1"/>
  <c r="A65" i="11"/>
  <c r="E64" i="11"/>
  <c r="E63" i="11"/>
  <c r="F63" i="11" s="1"/>
  <c r="B63" i="11" s="1"/>
  <c r="A63" i="11"/>
  <c r="E62" i="11"/>
  <c r="E61" i="11"/>
  <c r="F61" i="11" s="1"/>
  <c r="B61" i="11" s="1"/>
  <c r="A61" i="11"/>
  <c r="E60" i="11"/>
  <c r="E59" i="11"/>
  <c r="F59" i="11" s="1"/>
  <c r="B59" i="11" s="1"/>
  <c r="A59" i="11"/>
  <c r="E58" i="11"/>
  <c r="E57" i="11"/>
  <c r="F57" i="11" s="1"/>
  <c r="B57" i="11" s="1"/>
  <c r="A57" i="11"/>
  <c r="E56" i="11"/>
  <c r="E55" i="11"/>
  <c r="F55" i="11" s="1"/>
  <c r="B55" i="11" s="1"/>
  <c r="A55" i="11"/>
  <c r="E54" i="11"/>
  <c r="E53" i="11"/>
  <c r="F53" i="11" s="1"/>
  <c r="B53" i="11" s="1"/>
  <c r="A53" i="11"/>
  <c r="E52" i="11"/>
  <c r="E51" i="11"/>
  <c r="F51" i="11" s="1"/>
  <c r="B51" i="11" s="1"/>
  <c r="A51" i="11"/>
  <c r="E50" i="11"/>
  <c r="E49" i="11"/>
  <c r="F49" i="11" s="1"/>
  <c r="B49" i="11" s="1"/>
  <c r="A49" i="11"/>
  <c r="E48" i="11"/>
  <c r="E47" i="11"/>
  <c r="F47" i="11" s="1"/>
  <c r="B47" i="11" s="1"/>
  <c r="A47" i="11"/>
  <c r="E46" i="11"/>
  <c r="E45" i="11"/>
  <c r="F45" i="11" s="1"/>
  <c r="B45" i="11" s="1"/>
  <c r="A45" i="11"/>
  <c r="E44" i="11"/>
  <c r="E43" i="11"/>
  <c r="F43" i="11" s="1"/>
  <c r="B43" i="11" s="1"/>
  <c r="A43" i="11"/>
  <c r="E42" i="11"/>
  <c r="E41" i="11"/>
  <c r="F41" i="11" s="1"/>
  <c r="B41" i="11" s="1"/>
  <c r="A41" i="11"/>
  <c r="E40" i="11"/>
  <c r="E39" i="11"/>
  <c r="F39" i="11" s="1"/>
  <c r="B39" i="11" s="1"/>
  <c r="A39" i="11"/>
  <c r="E38" i="11"/>
  <c r="E37" i="11"/>
  <c r="F37" i="11" s="1"/>
  <c r="B37" i="11" s="1"/>
  <c r="A37" i="11"/>
  <c r="E36" i="11"/>
  <c r="E35" i="11"/>
  <c r="F35" i="11" s="1"/>
  <c r="B35" i="11" s="1"/>
  <c r="A35" i="11"/>
  <c r="E34" i="11"/>
  <c r="E33" i="11"/>
  <c r="F33" i="11" s="1"/>
  <c r="B33" i="11" s="1"/>
  <c r="A33" i="11"/>
  <c r="E32" i="11"/>
  <c r="E31" i="11"/>
  <c r="F31" i="11" s="1"/>
  <c r="B31" i="11" s="1"/>
  <c r="A31" i="11"/>
  <c r="E30" i="11"/>
  <c r="E29" i="11"/>
  <c r="F29" i="11" s="1"/>
  <c r="B29" i="11" s="1"/>
  <c r="A29" i="11"/>
  <c r="E28" i="11"/>
  <c r="E27" i="11"/>
  <c r="F27" i="11" s="1"/>
  <c r="B27" i="11" s="1"/>
  <c r="A27" i="11"/>
  <c r="E26" i="11"/>
  <c r="E25" i="11"/>
  <c r="F25" i="11" s="1"/>
  <c r="B25" i="11" s="1"/>
  <c r="A25" i="11"/>
  <c r="E24" i="11"/>
  <c r="E23" i="11"/>
  <c r="F23" i="11" s="1"/>
  <c r="B23" i="11" s="1"/>
  <c r="A23" i="11"/>
  <c r="E22" i="11"/>
  <c r="E21" i="11"/>
  <c r="F21" i="11" s="1"/>
  <c r="B21" i="11" s="1"/>
  <c r="A21" i="11"/>
  <c r="E20" i="11"/>
  <c r="E19" i="11"/>
  <c r="F19" i="11" s="1"/>
  <c r="B19" i="11" s="1"/>
  <c r="A19" i="11"/>
  <c r="E18" i="11"/>
  <c r="E17" i="11"/>
  <c r="F17" i="11" s="1"/>
  <c r="B17" i="11" s="1"/>
  <c r="A17" i="11"/>
  <c r="E16" i="11"/>
  <c r="E15" i="11"/>
  <c r="F15" i="11" s="1"/>
  <c r="B15" i="11" s="1"/>
  <c r="A15" i="11"/>
  <c r="E14" i="11"/>
  <c r="E13" i="11"/>
  <c r="F13" i="11" s="1"/>
  <c r="B13" i="11" s="1"/>
  <c r="A13" i="11"/>
  <c r="E12" i="11"/>
  <c r="E11" i="11"/>
  <c r="F11" i="11" s="1"/>
  <c r="B11" i="11" s="1"/>
  <c r="A11" i="11"/>
  <c r="E10" i="11"/>
  <c r="E9" i="11"/>
  <c r="F9" i="11" s="1"/>
  <c r="B9" i="11" s="1"/>
  <c r="A9" i="11"/>
  <c r="E8" i="11"/>
  <c r="E7" i="11"/>
  <c r="F7" i="11" s="1"/>
  <c r="B7" i="11" s="1"/>
  <c r="A7" i="11"/>
  <c r="E6" i="11"/>
  <c r="E5" i="11"/>
  <c r="F5" i="11" s="1"/>
  <c r="B5" i="11" s="1"/>
  <c r="A5" i="11"/>
  <c r="E4" i="11"/>
  <c r="E3" i="11"/>
  <c r="F3" i="11" s="1"/>
  <c r="B3" i="11" s="1"/>
  <c r="A3" i="11"/>
  <c r="E2" i="11"/>
  <c r="E2" i="10"/>
  <c r="E2" i="9"/>
  <c r="E2" i="8"/>
  <c r="E2" i="7"/>
  <c r="E2" i="6"/>
  <c r="E2" i="5"/>
  <c r="G2" i="5" s="1"/>
  <c r="C2" i="5" s="1"/>
  <c r="E2" i="4"/>
  <c r="C2" i="20"/>
  <c r="D2" i="20" s="1"/>
  <c r="A2" i="11"/>
  <c r="A2" i="9"/>
  <c r="A2" i="4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G121" i="10" l="1"/>
  <c r="C121" i="10" s="1"/>
  <c r="F121" i="10"/>
  <c r="B121" i="10" s="1"/>
  <c r="G122" i="10"/>
  <c r="C122" i="10" s="1"/>
  <c r="G123" i="10"/>
  <c r="C123" i="10" s="1"/>
  <c r="F123" i="10"/>
  <c r="B123" i="10" s="1"/>
  <c r="G129" i="10"/>
  <c r="C129" i="10" s="1"/>
  <c r="G130" i="10"/>
  <c r="C130" i="10" s="1"/>
  <c r="G131" i="10"/>
  <c r="C131" i="10" s="1"/>
  <c r="F131" i="10"/>
  <c r="B131" i="10" s="1"/>
  <c r="G235" i="8"/>
  <c r="C235" i="8" s="1"/>
  <c r="F235" i="8"/>
  <c r="B235" i="8" s="1"/>
  <c r="G237" i="8"/>
  <c r="C237" i="8" s="1"/>
  <c r="F237" i="8"/>
  <c r="B237" i="8" s="1"/>
  <c r="G239" i="8"/>
  <c r="C239" i="8" s="1"/>
  <c r="F239" i="8"/>
  <c r="B239" i="8" s="1"/>
  <c r="G241" i="8"/>
  <c r="C241" i="8" s="1"/>
  <c r="F241" i="8"/>
  <c r="B241" i="8" s="1"/>
  <c r="G243" i="8"/>
  <c r="C243" i="8" s="1"/>
  <c r="F243" i="8"/>
  <c r="B243" i="8" s="1"/>
  <c r="G245" i="8"/>
  <c r="C245" i="8" s="1"/>
  <c r="F245" i="8"/>
  <c r="B245" i="8" s="1"/>
  <c r="G247" i="8"/>
  <c r="C247" i="8" s="1"/>
  <c r="F247" i="8"/>
  <c r="B247" i="8" s="1"/>
  <c r="G249" i="8"/>
  <c r="C249" i="8" s="1"/>
  <c r="F249" i="8"/>
  <c r="B249" i="8" s="1"/>
  <c r="G251" i="8"/>
  <c r="C251" i="8" s="1"/>
  <c r="F251" i="8"/>
  <c r="B251" i="8" s="1"/>
  <c r="G253" i="8"/>
  <c r="C253" i="8" s="1"/>
  <c r="F253" i="8"/>
  <c r="B253" i="8" s="1"/>
  <c r="G255" i="8"/>
  <c r="C255" i="8" s="1"/>
  <c r="F255" i="8"/>
  <c r="B255" i="8" s="1"/>
  <c r="G257" i="8"/>
  <c r="C257" i="8" s="1"/>
  <c r="F257" i="8"/>
  <c r="B257" i="8" s="1"/>
  <c r="G200" i="11"/>
  <c r="C200" i="11" s="1"/>
  <c r="F200" i="11"/>
  <c r="B200" i="11" s="1"/>
  <c r="F95" i="4"/>
  <c r="B95" i="4" s="1"/>
  <c r="G95" i="4"/>
  <c r="C95" i="4" s="1"/>
  <c r="G217" i="8"/>
  <c r="C217" i="8" s="1"/>
  <c r="F217" i="8"/>
  <c r="B217" i="8" s="1"/>
  <c r="G218" i="8"/>
  <c r="F218" i="8"/>
  <c r="B218" i="8" s="1"/>
  <c r="G219" i="8"/>
  <c r="C219" i="8" s="1"/>
  <c r="F219" i="8"/>
  <c r="B219" i="8" s="1"/>
  <c r="G221" i="8"/>
  <c r="C221" i="8" s="1"/>
  <c r="F221" i="8"/>
  <c r="B221" i="8" s="1"/>
  <c r="G222" i="8"/>
  <c r="F222" i="8"/>
  <c r="B222" i="8" s="1"/>
  <c r="G223" i="8"/>
  <c r="C223" i="8" s="1"/>
  <c r="F223" i="8"/>
  <c r="B223" i="8" s="1"/>
  <c r="G225" i="8"/>
  <c r="C225" i="8" s="1"/>
  <c r="F225" i="8"/>
  <c r="B225" i="8" s="1"/>
  <c r="G226" i="8"/>
  <c r="F226" i="8"/>
  <c r="B226" i="8" s="1"/>
  <c r="G227" i="8"/>
  <c r="C227" i="8" s="1"/>
  <c r="F227" i="8"/>
  <c r="B227" i="8" s="1"/>
  <c r="G229" i="8"/>
  <c r="C229" i="8" s="1"/>
  <c r="F229" i="8"/>
  <c r="B229" i="8" s="1"/>
  <c r="G231" i="8"/>
  <c r="C231" i="8" s="1"/>
  <c r="F231" i="8"/>
  <c r="B231" i="8" s="1"/>
  <c r="G233" i="8"/>
  <c r="C233" i="8" s="1"/>
  <c r="F233" i="8"/>
  <c r="B233" i="8" s="1"/>
  <c r="G201" i="9"/>
  <c r="C201" i="9" s="1"/>
  <c r="F201" i="9"/>
  <c r="B201" i="9" s="1"/>
  <c r="G202" i="9"/>
  <c r="C202" i="9" s="1"/>
  <c r="F202" i="9"/>
  <c r="B202" i="9" s="1"/>
  <c r="G215" i="8"/>
  <c r="C215" i="8" s="1"/>
  <c r="F215" i="8"/>
  <c r="B215" i="8" s="1"/>
  <c r="G198" i="9"/>
  <c r="C198" i="9" s="1"/>
  <c r="F198" i="9"/>
  <c r="B198" i="9" s="1"/>
  <c r="G199" i="9"/>
  <c r="C199" i="9" s="1"/>
  <c r="F199" i="9"/>
  <c r="B199" i="9" s="1"/>
  <c r="G200" i="9"/>
  <c r="C200" i="9" s="1"/>
  <c r="F200" i="9"/>
  <c r="B200" i="9" s="1"/>
  <c r="G199" i="11"/>
  <c r="C199" i="11" s="1"/>
  <c r="F199" i="11"/>
  <c r="B199" i="11" s="1"/>
  <c r="G198" i="11"/>
  <c r="F198" i="11"/>
  <c r="B198" i="11" s="1"/>
  <c r="G211" i="8"/>
  <c r="C211" i="8" s="1"/>
  <c r="F211" i="8"/>
  <c r="B211" i="8" s="1"/>
  <c r="G213" i="8"/>
  <c r="C213" i="8" s="1"/>
  <c r="F213" i="8"/>
  <c r="B213" i="8" s="1"/>
  <c r="G214" i="8"/>
  <c r="F214" i="8"/>
  <c r="B214" i="8" s="1"/>
  <c r="F190" i="7"/>
  <c r="B190" i="7" s="1"/>
  <c r="G190" i="7"/>
  <c r="G196" i="11"/>
  <c r="C196" i="11" s="1"/>
  <c r="F196" i="11"/>
  <c r="B196" i="11" s="1"/>
  <c r="G197" i="11"/>
  <c r="C197" i="11" s="1"/>
  <c r="F197" i="11"/>
  <c r="B197" i="11" s="1"/>
  <c r="G209" i="8"/>
  <c r="C209" i="8" s="1"/>
  <c r="F209" i="8"/>
  <c r="B209" i="8" s="1"/>
  <c r="G197" i="9"/>
  <c r="C197" i="9" s="1"/>
  <c r="F197" i="9"/>
  <c r="B197" i="9" s="1"/>
  <c r="F111" i="6"/>
  <c r="B111" i="6" s="1"/>
  <c r="G111" i="6"/>
  <c r="C111" i="6" s="1"/>
  <c r="G106" i="5"/>
  <c r="C106" i="5" s="1"/>
  <c r="F106" i="5"/>
  <c r="B106" i="5" s="1"/>
  <c r="F93" i="4"/>
  <c r="B93" i="4" s="1"/>
  <c r="G93" i="4"/>
  <c r="C93" i="4" s="1"/>
  <c r="G195" i="11"/>
  <c r="C195" i="11" s="1"/>
  <c r="F195" i="11"/>
  <c r="B195" i="11" s="1"/>
  <c r="G195" i="9"/>
  <c r="C195" i="9" s="1"/>
  <c r="F195" i="9"/>
  <c r="B195" i="9" s="1"/>
  <c r="G196" i="9"/>
  <c r="C196" i="9" s="1"/>
  <c r="F196" i="9"/>
  <c r="B196" i="9" s="1"/>
  <c r="G207" i="8"/>
  <c r="C207" i="8" s="1"/>
  <c r="F207" i="8"/>
  <c r="B207" i="8" s="1"/>
  <c r="G171" i="8"/>
  <c r="C171" i="8" s="1"/>
  <c r="F171" i="8"/>
  <c r="B171" i="8" s="1"/>
  <c r="G172" i="8"/>
  <c r="F172" i="8"/>
  <c r="B172" i="8" s="1"/>
  <c r="G173" i="8"/>
  <c r="C173" i="8" s="1"/>
  <c r="F173" i="8"/>
  <c r="B173" i="8" s="1"/>
  <c r="G175" i="8"/>
  <c r="C175" i="8" s="1"/>
  <c r="F175" i="8"/>
  <c r="B175" i="8" s="1"/>
  <c r="G176" i="8"/>
  <c r="F176" i="8"/>
  <c r="B176" i="8" s="1"/>
  <c r="G177" i="8"/>
  <c r="C177" i="8" s="1"/>
  <c r="F177" i="8"/>
  <c r="B177" i="8" s="1"/>
  <c r="G179" i="8"/>
  <c r="C179" i="8" s="1"/>
  <c r="F179" i="8"/>
  <c r="B179" i="8" s="1"/>
  <c r="G180" i="8"/>
  <c r="F180" i="8"/>
  <c r="B180" i="8" s="1"/>
  <c r="G181" i="8"/>
  <c r="C181" i="8" s="1"/>
  <c r="F181" i="8"/>
  <c r="B181" i="8" s="1"/>
  <c r="G182" i="8"/>
  <c r="C182" i="8" s="1"/>
  <c r="F182" i="8"/>
  <c r="B182" i="8" s="1"/>
  <c r="G183" i="8"/>
  <c r="C183" i="8" s="1"/>
  <c r="F183" i="8"/>
  <c r="B183" i="8" s="1"/>
  <c r="G184" i="8"/>
  <c r="F184" i="8"/>
  <c r="B184" i="8" s="1"/>
  <c r="G185" i="8"/>
  <c r="C185" i="8" s="1"/>
  <c r="F185" i="8"/>
  <c r="B185" i="8" s="1"/>
  <c r="G186" i="8"/>
  <c r="C186" i="8" s="1"/>
  <c r="F186" i="8"/>
  <c r="B186" i="8" s="1"/>
  <c r="G187" i="8"/>
  <c r="C187" i="8" s="1"/>
  <c r="F187" i="8"/>
  <c r="B187" i="8" s="1"/>
  <c r="G188" i="8"/>
  <c r="F188" i="8"/>
  <c r="B188" i="8" s="1"/>
  <c r="G189" i="8"/>
  <c r="C189" i="8" s="1"/>
  <c r="F189" i="8"/>
  <c r="B189" i="8" s="1"/>
  <c r="G191" i="8"/>
  <c r="C191" i="8" s="1"/>
  <c r="F191" i="8"/>
  <c r="B191" i="8" s="1"/>
  <c r="G193" i="8"/>
  <c r="C193" i="8" s="1"/>
  <c r="F193" i="8"/>
  <c r="B193" i="8" s="1"/>
  <c r="G195" i="8"/>
  <c r="C195" i="8" s="1"/>
  <c r="F195" i="8"/>
  <c r="B195" i="8" s="1"/>
  <c r="G197" i="8"/>
  <c r="C197" i="8" s="1"/>
  <c r="F197" i="8"/>
  <c r="B197" i="8" s="1"/>
  <c r="G199" i="8"/>
  <c r="C199" i="8" s="1"/>
  <c r="F199" i="8"/>
  <c r="B199" i="8" s="1"/>
  <c r="G201" i="8"/>
  <c r="C201" i="8" s="1"/>
  <c r="F201" i="8"/>
  <c r="B201" i="8" s="1"/>
  <c r="A202" i="8"/>
  <c r="F202" i="8"/>
  <c r="B202" i="8" s="1"/>
  <c r="G203" i="8"/>
  <c r="C203" i="8" s="1"/>
  <c r="F203" i="8"/>
  <c r="B203" i="8" s="1"/>
  <c r="G205" i="8"/>
  <c r="C205" i="8" s="1"/>
  <c r="F205" i="8"/>
  <c r="B205" i="8" s="1"/>
  <c r="F150" i="7"/>
  <c r="B150" i="7" s="1"/>
  <c r="G150" i="7"/>
  <c r="F152" i="7"/>
  <c r="B152" i="7" s="1"/>
  <c r="G152" i="7"/>
  <c r="F154" i="7"/>
  <c r="B154" i="7" s="1"/>
  <c r="G154" i="7"/>
  <c r="F156" i="7"/>
  <c r="B156" i="7" s="1"/>
  <c r="G156" i="7"/>
  <c r="F158" i="7"/>
  <c r="B158" i="7" s="1"/>
  <c r="G158" i="7"/>
  <c r="F160" i="7"/>
  <c r="B160" i="7" s="1"/>
  <c r="G160" i="7"/>
  <c r="F162" i="7"/>
  <c r="B162" i="7" s="1"/>
  <c r="G162" i="7"/>
  <c r="F164" i="7"/>
  <c r="B164" i="7" s="1"/>
  <c r="G164" i="7"/>
  <c r="F166" i="7"/>
  <c r="B166" i="7" s="1"/>
  <c r="G166" i="7"/>
  <c r="F168" i="7"/>
  <c r="B168" i="7" s="1"/>
  <c r="G168" i="7"/>
  <c r="F170" i="7"/>
  <c r="B170" i="7" s="1"/>
  <c r="G170" i="7"/>
  <c r="F172" i="7"/>
  <c r="B172" i="7" s="1"/>
  <c r="G172" i="7"/>
  <c r="F174" i="7"/>
  <c r="B174" i="7" s="1"/>
  <c r="G174" i="7"/>
  <c r="F176" i="7"/>
  <c r="B176" i="7" s="1"/>
  <c r="G176" i="7"/>
  <c r="F178" i="7"/>
  <c r="B178" i="7" s="1"/>
  <c r="G178" i="7"/>
  <c r="F180" i="7"/>
  <c r="B180" i="7" s="1"/>
  <c r="G180" i="7"/>
  <c r="F182" i="7"/>
  <c r="B182" i="7" s="1"/>
  <c r="G182" i="7"/>
  <c r="F184" i="7"/>
  <c r="B184" i="7" s="1"/>
  <c r="G184" i="7"/>
  <c r="F186" i="7"/>
  <c r="B186" i="7" s="1"/>
  <c r="G186" i="7"/>
  <c r="F188" i="7"/>
  <c r="B188" i="7" s="1"/>
  <c r="G188" i="7"/>
  <c r="F83" i="6"/>
  <c r="B83" i="6" s="1"/>
  <c r="G83" i="6"/>
  <c r="C83" i="6" s="1"/>
  <c r="F85" i="6"/>
  <c r="B85" i="6" s="1"/>
  <c r="G85" i="6"/>
  <c r="C85" i="6" s="1"/>
  <c r="F87" i="6"/>
  <c r="B87" i="6" s="1"/>
  <c r="G87" i="6"/>
  <c r="C87" i="6" s="1"/>
  <c r="F89" i="6"/>
  <c r="B89" i="6" s="1"/>
  <c r="G89" i="6"/>
  <c r="C89" i="6" s="1"/>
  <c r="F91" i="6"/>
  <c r="B91" i="6" s="1"/>
  <c r="G91" i="6"/>
  <c r="C91" i="6" s="1"/>
  <c r="F93" i="6"/>
  <c r="B93" i="6" s="1"/>
  <c r="G93" i="6"/>
  <c r="C93" i="6" s="1"/>
  <c r="F95" i="6"/>
  <c r="B95" i="6" s="1"/>
  <c r="G95" i="6"/>
  <c r="C95" i="6" s="1"/>
  <c r="F97" i="6"/>
  <c r="B97" i="6" s="1"/>
  <c r="G97" i="6"/>
  <c r="C97" i="6" s="1"/>
  <c r="F99" i="6"/>
  <c r="B99" i="6" s="1"/>
  <c r="G99" i="6"/>
  <c r="C99" i="6" s="1"/>
  <c r="F101" i="6"/>
  <c r="B101" i="6" s="1"/>
  <c r="G101" i="6"/>
  <c r="C101" i="6" s="1"/>
  <c r="F103" i="6"/>
  <c r="B103" i="6" s="1"/>
  <c r="G103" i="6"/>
  <c r="C103" i="6" s="1"/>
  <c r="F105" i="6"/>
  <c r="B105" i="6" s="1"/>
  <c r="G105" i="6"/>
  <c r="C105" i="6" s="1"/>
  <c r="F107" i="6"/>
  <c r="B107" i="6" s="1"/>
  <c r="G107" i="6"/>
  <c r="C107" i="6" s="1"/>
  <c r="F109" i="6"/>
  <c r="B109" i="6" s="1"/>
  <c r="G109" i="6"/>
  <c r="C109" i="6" s="1"/>
  <c r="F81" i="6"/>
  <c r="B81" i="6" s="1"/>
  <c r="G81" i="6"/>
  <c r="C81" i="6" s="1"/>
  <c r="G78" i="5"/>
  <c r="C78" i="5" s="1"/>
  <c r="F78" i="5"/>
  <c r="B78" i="5" s="1"/>
  <c r="G80" i="5"/>
  <c r="C80" i="5" s="1"/>
  <c r="F80" i="5"/>
  <c r="B80" i="5" s="1"/>
  <c r="G82" i="5"/>
  <c r="C82" i="5" s="1"/>
  <c r="F82" i="5"/>
  <c r="B82" i="5" s="1"/>
  <c r="G84" i="5"/>
  <c r="C84" i="5" s="1"/>
  <c r="F84" i="5"/>
  <c r="B84" i="5" s="1"/>
  <c r="G86" i="5"/>
  <c r="C86" i="5" s="1"/>
  <c r="F86" i="5"/>
  <c r="B86" i="5" s="1"/>
  <c r="G88" i="5"/>
  <c r="C88" i="5" s="1"/>
  <c r="F88" i="5"/>
  <c r="B88" i="5" s="1"/>
  <c r="G90" i="5"/>
  <c r="C90" i="5" s="1"/>
  <c r="F90" i="5"/>
  <c r="B90" i="5" s="1"/>
  <c r="G92" i="5"/>
  <c r="C92" i="5" s="1"/>
  <c r="F92" i="5"/>
  <c r="B92" i="5" s="1"/>
  <c r="G94" i="5"/>
  <c r="C94" i="5" s="1"/>
  <c r="F94" i="5"/>
  <c r="B94" i="5" s="1"/>
  <c r="G96" i="5"/>
  <c r="C96" i="5" s="1"/>
  <c r="F96" i="5"/>
  <c r="B96" i="5" s="1"/>
  <c r="G98" i="5"/>
  <c r="C98" i="5" s="1"/>
  <c r="F98" i="5"/>
  <c r="B98" i="5" s="1"/>
  <c r="G100" i="5"/>
  <c r="C100" i="5" s="1"/>
  <c r="F100" i="5"/>
  <c r="B100" i="5" s="1"/>
  <c r="G102" i="5"/>
  <c r="C102" i="5" s="1"/>
  <c r="F102" i="5"/>
  <c r="B102" i="5" s="1"/>
  <c r="G104" i="5"/>
  <c r="C104" i="5" s="1"/>
  <c r="F104" i="5"/>
  <c r="B104" i="5" s="1"/>
  <c r="G78" i="4"/>
  <c r="C78" i="4" s="1"/>
  <c r="F78" i="4"/>
  <c r="B78" i="4" s="1"/>
  <c r="G79" i="4"/>
  <c r="C79" i="4" s="1"/>
  <c r="G80" i="4"/>
  <c r="C80" i="4" s="1"/>
  <c r="F80" i="4"/>
  <c r="B80" i="4" s="1"/>
  <c r="G86" i="4"/>
  <c r="C86" i="4" s="1"/>
  <c r="F86" i="4"/>
  <c r="B86" i="4" s="1"/>
  <c r="G87" i="4"/>
  <c r="C87" i="4" s="1"/>
  <c r="G88" i="4"/>
  <c r="C88" i="4" s="1"/>
  <c r="F88" i="4"/>
  <c r="B88" i="4" s="1"/>
  <c r="A90" i="4"/>
  <c r="F90" i="4"/>
  <c r="B90" i="4" s="1"/>
  <c r="F91" i="4"/>
  <c r="B91" i="4" s="1"/>
  <c r="G91" i="4"/>
  <c r="C91" i="4" s="1"/>
  <c r="G194" i="11"/>
  <c r="F194" i="11"/>
  <c r="B194" i="11" s="1"/>
  <c r="G194" i="9"/>
  <c r="C194" i="9" s="1"/>
  <c r="F194" i="9"/>
  <c r="B194" i="9" s="1"/>
  <c r="G167" i="8"/>
  <c r="C167" i="8" s="1"/>
  <c r="F167" i="8"/>
  <c r="B167" i="8" s="1"/>
  <c r="G168" i="8"/>
  <c r="F168" i="8"/>
  <c r="B168" i="8" s="1"/>
  <c r="G169" i="8"/>
  <c r="C169" i="8" s="1"/>
  <c r="F169" i="8"/>
  <c r="B169" i="8" s="1"/>
  <c r="F148" i="7"/>
  <c r="B148" i="7" s="1"/>
  <c r="G148" i="7"/>
  <c r="F77" i="6"/>
  <c r="B77" i="6" s="1"/>
  <c r="G77" i="6"/>
  <c r="C77" i="6" s="1"/>
  <c r="F79" i="6"/>
  <c r="B79" i="6" s="1"/>
  <c r="G79" i="6"/>
  <c r="C79" i="6" s="1"/>
  <c r="G76" i="5"/>
  <c r="C76" i="5" s="1"/>
  <c r="F76" i="5"/>
  <c r="B76" i="5" s="1"/>
  <c r="G72" i="4"/>
  <c r="C72" i="4" s="1"/>
  <c r="F72" i="4"/>
  <c r="B72" i="4" s="1"/>
  <c r="G193" i="9"/>
  <c r="C193" i="9" s="1"/>
  <c r="F193" i="9"/>
  <c r="B193" i="9" s="1"/>
  <c r="G192" i="9"/>
  <c r="C192" i="9" s="1"/>
  <c r="F192" i="9"/>
  <c r="B192" i="9" s="1"/>
  <c r="F146" i="7"/>
  <c r="B146" i="7" s="1"/>
  <c r="G146" i="7"/>
  <c r="G116" i="10"/>
  <c r="C116" i="10" s="1"/>
  <c r="F116" i="10"/>
  <c r="B116" i="10" s="1"/>
  <c r="G62" i="10"/>
  <c r="C62" i="10" s="1"/>
  <c r="F62" i="10"/>
  <c r="B62" i="10" s="1"/>
  <c r="G64" i="10"/>
  <c r="C64" i="10" s="1"/>
  <c r="F64" i="10"/>
  <c r="B64" i="10" s="1"/>
  <c r="G66" i="10"/>
  <c r="C66" i="10" s="1"/>
  <c r="F66" i="10"/>
  <c r="B66" i="10" s="1"/>
  <c r="G68" i="10"/>
  <c r="C68" i="10" s="1"/>
  <c r="F68" i="10"/>
  <c r="B68" i="10" s="1"/>
  <c r="G70" i="10"/>
  <c r="C70" i="10" s="1"/>
  <c r="F70" i="10"/>
  <c r="B70" i="10" s="1"/>
  <c r="G72" i="10"/>
  <c r="C72" i="10" s="1"/>
  <c r="F72" i="10"/>
  <c r="B72" i="10" s="1"/>
  <c r="G74" i="10"/>
  <c r="C74" i="10" s="1"/>
  <c r="F74" i="10"/>
  <c r="B74" i="10" s="1"/>
  <c r="G76" i="10"/>
  <c r="C76" i="10" s="1"/>
  <c r="F76" i="10"/>
  <c r="B76" i="10" s="1"/>
  <c r="G78" i="10"/>
  <c r="C78" i="10" s="1"/>
  <c r="F78" i="10"/>
  <c r="B78" i="10" s="1"/>
  <c r="G80" i="10"/>
  <c r="C80" i="10" s="1"/>
  <c r="F80" i="10"/>
  <c r="B80" i="10" s="1"/>
  <c r="G82" i="10"/>
  <c r="C82" i="10" s="1"/>
  <c r="F82" i="10"/>
  <c r="B82" i="10" s="1"/>
  <c r="G84" i="10"/>
  <c r="C84" i="10" s="1"/>
  <c r="F84" i="10"/>
  <c r="B84" i="10" s="1"/>
  <c r="G86" i="10"/>
  <c r="C86" i="10" s="1"/>
  <c r="F86" i="10"/>
  <c r="B86" i="10" s="1"/>
  <c r="G88" i="10"/>
  <c r="C88" i="10" s="1"/>
  <c r="F88" i="10"/>
  <c r="B88" i="10" s="1"/>
  <c r="G90" i="10"/>
  <c r="C90" i="10" s="1"/>
  <c r="F90" i="10"/>
  <c r="B90" i="10" s="1"/>
  <c r="G92" i="10"/>
  <c r="C92" i="10" s="1"/>
  <c r="F92" i="10"/>
  <c r="B92" i="10" s="1"/>
  <c r="G94" i="10"/>
  <c r="C94" i="10" s="1"/>
  <c r="F94" i="10"/>
  <c r="B94" i="10" s="1"/>
  <c r="G96" i="10"/>
  <c r="C96" i="10" s="1"/>
  <c r="F96" i="10"/>
  <c r="B96" i="10" s="1"/>
  <c r="G98" i="10"/>
  <c r="C98" i="10" s="1"/>
  <c r="F98" i="10"/>
  <c r="B98" i="10" s="1"/>
  <c r="G100" i="10"/>
  <c r="C100" i="10" s="1"/>
  <c r="F100" i="10"/>
  <c r="B100" i="10" s="1"/>
  <c r="G102" i="10"/>
  <c r="C102" i="10" s="1"/>
  <c r="F102" i="10"/>
  <c r="B102" i="10" s="1"/>
  <c r="G104" i="10"/>
  <c r="C104" i="10" s="1"/>
  <c r="F104" i="10"/>
  <c r="B104" i="10" s="1"/>
  <c r="G106" i="10"/>
  <c r="C106" i="10" s="1"/>
  <c r="F106" i="10"/>
  <c r="B106" i="10" s="1"/>
  <c r="G108" i="10"/>
  <c r="C108" i="10" s="1"/>
  <c r="F108" i="10"/>
  <c r="B108" i="10" s="1"/>
  <c r="G110" i="10"/>
  <c r="C110" i="10" s="1"/>
  <c r="F110" i="10"/>
  <c r="B110" i="10" s="1"/>
  <c r="G112" i="10"/>
  <c r="C112" i="10" s="1"/>
  <c r="F112" i="10"/>
  <c r="B112" i="10" s="1"/>
  <c r="G114" i="10"/>
  <c r="C114" i="10" s="1"/>
  <c r="F114" i="10"/>
  <c r="B114" i="10" s="1"/>
  <c r="G110" i="9"/>
  <c r="C110" i="9" s="1"/>
  <c r="F110" i="9"/>
  <c r="B110" i="9" s="1"/>
  <c r="G112" i="9"/>
  <c r="C112" i="9" s="1"/>
  <c r="F112" i="9"/>
  <c r="B112" i="9" s="1"/>
  <c r="G114" i="9"/>
  <c r="C114" i="9" s="1"/>
  <c r="F114" i="9"/>
  <c r="B114" i="9" s="1"/>
  <c r="G116" i="9"/>
  <c r="C116" i="9" s="1"/>
  <c r="F116" i="9"/>
  <c r="B116" i="9" s="1"/>
  <c r="G118" i="9"/>
  <c r="C118" i="9" s="1"/>
  <c r="F118" i="9"/>
  <c r="B118" i="9" s="1"/>
  <c r="G120" i="9"/>
  <c r="C120" i="9" s="1"/>
  <c r="F120" i="9"/>
  <c r="B120" i="9" s="1"/>
  <c r="G122" i="9"/>
  <c r="C122" i="9" s="1"/>
  <c r="F122" i="9"/>
  <c r="B122" i="9" s="1"/>
  <c r="G124" i="9"/>
  <c r="C124" i="9" s="1"/>
  <c r="F124" i="9"/>
  <c r="B124" i="9" s="1"/>
  <c r="G126" i="9"/>
  <c r="C126" i="9" s="1"/>
  <c r="F126" i="9"/>
  <c r="B126" i="9" s="1"/>
  <c r="G130" i="9"/>
  <c r="C130" i="9" s="1"/>
  <c r="F130" i="9"/>
  <c r="B130" i="9" s="1"/>
  <c r="G131" i="9"/>
  <c r="C131" i="9" s="1"/>
  <c r="G132" i="9"/>
  <c r="C132" i="9" s="1"/>
  <c r="F132" i="9"/>
  <c r="B132" i="9" s="1"/>
  <c r="G138" i="9"/>
  <c r="C138" i="9" s="1"/>
  <c r="F138" i="9"/>
  <c r="B138" i="9" s="1"/>
  <c r="G139" i="9"/>
  <c r="C139" i="9" s="1"/>
  <c r="G140" i="9"/>
  <c r="C140" i="9" s="1"/>
  <c r="F140" i="9"/>
  <c r="B140" i="9" s="1"/>
  <c r="G146" i="9"/>
  <c r="C146" i="9" s="1"/>
  <c r="F146" i="9"/>
  <c r="B146" i="9" s="1"/>
  <c r="G147" i="9"/>
  <c r="C147" i="9" s="1"/>
  <c r="G148" i="9"/>
  <c r="C148" i="9" s="1"/>
  <c r="F148" i="9"/>
  <c r="B148" i="9" s="1"/>
  <c r="G154" i="9"/>
  <c r="C154" i="9" s="1"/>
  <c r="F154" i="9"/>
  <c r="B154" i="9" s="1"/>
  <c r="G156" i="9"/>
  <c r="C156" i="9" s="1"/>
  <c r="F156" i="9"/>
  <c r="B156" i="9" s="1"/>
  <c r="G158" i="9"/>
  <c r="C158" i="9" s="1"/>
  <c r="F158" i="9"/>
  <c r="B158" i="9" s="1"/>
  <c r="G160" i="9"/>
  <c r="C160" i="9" s="1"/>
  <c r="F160" i="9"/>
  <c r="B160" i="9" s="1"/>
  <c r="G162" i="9"/>
  <c r="C162" i="9" s="1"/>
  <c r="F162" i="9"/>
  <c r="B162" i="9" s="1"/>
  <c r="G164" i="9"/>
  <c r="C164" i="9" s="1"/>
  <c r="F164" i="9"/>
  <c r="B164" i="9" s="1"/>
  <c r="G166" i="9"/>
  <c r="C166" i="9" s="1"/>
  <c r="F166" i="9"/>
  <c r="B166" i="9" s="1"/>
  <c r="G168" i="9"/>
  <c r="C168" i="9" s="1"/>
  <c r="F168" i="9"/>
  <c r="B168" i="9" s="1"/>
  <c r="G170" i="9"/>
  <c r="C170" i="9" s="1"/>
  <c r="F170" i="9"/>
  <c r="B170" i="9" s="1"/>
  <c r="G172" i="9"/>
  <c r="C172" i="9" s="1"/>
  <c r="F172" i="9"/>
  <c r="B172" i="9" s="1"/>
  <c r="G174" i="9"/>
  <c r="C174" i="9" s="1"/>
  <c r="F174" i="9"/>
  <c r="B174" i="9" s="1"/>
  <c r="G176" i="9"/>
  <c r="C176" i="9" s="1"/>
  <c r="F176" i="9"/>
  <c r="B176" i="9" s="1"/>
  <c r="G178" i="9"/>
  <c r="C178" i="9" s="1"/>
  <c r="F178" i="9"/>
  <c r="B178" i="9" s="1"/>
  <c r="G179" i="9"/>
  <c r="C179" i="9" s="1"/>
  <c r="F179" i="9"/>
  <c r="B179" i="9" s="1"/>
  <c r="G180" i="9"/>
  <c r="F180" i="9"/>
  <c r="B180" i="9" s="1"/>
  <c r="G181" i="9"/>
  <c r="C181" i="9" s="1"/>
  <c r="F181" i="9"/>
  <c r="B181" i="9" s="1"/>
  <c r="G182" i="9"/>
  <c r="C182" i="9" s="1"/>
  <c r="F182" i="9"/>
  <c r="B182" i="9" s="1"/>
  <c r="G183" i="9"/>
  <c r="C183" i="9" s="1"/>
  <c r="F183" i="9"/>
  <c r="B183" i="9" s="1"/>
  <c r="G184" i="9"/>
  <c r="F184" i="9"/>
  <c r="B184" i="9" s="1"/>
  <c r="G185" i="9"/>
  <c r="C185" i="9" s="1"/>
  <c r="F185" i="9"/>
  <c r="B185" i="9" s="1"/>
  <c r="G186" i="9"/>
  <c r="C186" i="9" s="1"/>
  <c r="F186" i="9"/>
  <c r="B186" i="9" s="1"/>
  <c r="G187" i="9"/>
  <c r="C187" i="9" s="1"/>
  <c r="F187" i="9"/>
  <c r="B187" i="9" s="1"/>
  <c r="G188" i="9"/>
  <c r="C188" i="9" s="1"/>
  <c r="F188" i="9"/>
  <c r="B188" i="9" s="1"/>
  <c r="G189" i="9"/>
  <c r="C189" i="9" s="1"/>
  <c r="F189" i="9"/>
  <c r="B189" i="9" s="1"/>
  <c r="G190" i="9"/>
  <c r="C190" i="9" s="1"/>
  <c r="F190" i="9"/>
  <c r="B190" i="9" s="1"/>
  <c r="G191" i="9"/>
  <c r="C191" i="9" s="1"/>
  <c r="F191" i="9"/>
  <c r="B191" i="9" s="1"/>
  <c r="G123" i="8"/>
  <c r="C123" i="8" s="1"/>
  <c r="F123" i="8"/>
  <c r="B123" i="8" s="1"/>
  <c r="G125" i="8"/>
  <c r="C125" i="8" s="1"/>
  <c r="F125" i="8"/>
  <c r="B125" i="8" s="1"/>
  <c r="G127" i="8"/>
  <c r="C127" i="8" s="1"/>
  <c r="F127" i="8"/>
  <c r="B127" i="8" s="1"/>
  <c r="A128" i="8"/>
  <c r="F128" i="8"/>
  <c r="B128" i="8" s="1"/>
  <c r="G129" i="8"/>
  <c r="C129" i="8" s="1"/>
  <c r="F129" i="8"/>
  <c r="B129" i="8" s="1"/>
  <c r="G131" i="8"/>
  <c r="C131" i="8" s="1"/>
  <c r="F131" i="8"/>
  <c r="B131" i="8" s="1"/>
  <c r="G133" i="8"/>
  <c r="C133" i="8" s="1"/>
  <c r="F133" i="8"/>
  <c r="B133" i="8" s="1"/>
  <c r="G135" i="8"/>
  <c r="C135" i="8" s="1"/>
  <c r="F135" i="8"/>
  <c r="B135" i="8" s="1"/>
  <c r="G137" i="8"/>
  <c r="C137" i="8" s="1"/>
  <c r="F137" i="8"/>
  <c r="B137" i="8" s="1"/>
  <c r="G139" i="8"/>
  <c r="C139" i="8" s="1"/>
  <c r="F139" i="8"/>
  <c r="B139" i="8" s="1"/>
  <c r="G141" i="8"/>
  <c r="C141" i="8" s="1"/>
  <c r="F141" i="8"/>
  <c r="B141" i="8" s="1"/>
  <c r="G143" i="8"/>
  <c r="C143" i="8" s="1"/>
  <c r="F143" i="8"/>
  <c r="B143" i="8" s="1"/>
  <c r="G145" i="8"/>
  <c r="C145" i="8" s="1"/>
  <c r="F145" i="8"/>
  <c r="B145" i="8" s="1"/>
  <c r="G147" i="8"/>
  <c r="C147" i="8" s="1"/>
  <c r="F147" i="8"/>
  <c r="B147" i="8" s="1"/>
  <c r="G149" i="8"/>
  <c r="C149" i="8" s="1"/>
  <c r="F149" i="8"/>
  <c r="B149" i="8" s="1"/>
  <c r="G151" i="8"/>
  <c r="C151" i="8" s="1"/>
  <c r="F151" i="8"/>
  <c r="B151" i="8" s="1"/>
  <c r="G153" i="8"/>
  <c r="C153" i="8" s="1"/>
  <c r="F153" i="8"/>
  <c r="B153" i="8" s="1"/>
  <c r="G155" i="8"/>
  <c r="C155" i="8" s="1"/>
  <c r="F155" i="8"/>
  <c r="B155" i="8" s="1"/>
  <c r="G157" i="8"/>
  <c r="C157" i="8" s="1"/>
  <c r="F157" i="8"/>
  <c r="B157" i="8" s="1"/>
  <c r="G159" i="8"/>
  <c r="C159" i="8" s="1"/>
  <c r="F159" i="8"/>
  <c r="B159" i="8" s="1"/>
  <c r="G161" i="8"/>
  <c r="C161" i="8" s="1"/>
  <c r="F161" i="8"/>
  <c r="B161" i="8" s="1"/>
  <c r="G163" i="8"/>
  <c r="C163" i="8" s="1"/>
  <c r="F163" i="8"/>
  <c r="B163" i="8" s="1"/>
  <c r="G164" i="8"/>
  <c r="F164" i="8"/>
  <c r="B164" i="8" s="1"/>
  <c r="G165" i="8"/>
  <c r="C165" i="8" s="1"/>
  <c r="F165" i="8"/>
  <c r="B165" i="8" s="1"/>
  <c r="F114" i="7"/>
  <c r="B114" i="7" s="1"/>
  <c r="G114" i="7"/>
  <c r="F116" i="7"/>
  <c r="B116" i="7" s="1"/>
  <c r="G116" i="7"/>
  <c r="F118" i="7"/>
  <c r="B118" i="7" s="1"/>
  <c r="G118" i="7"/>
  <c r="F120" i="7"/>
  <c r="B120" i="7" s="1"/>
  <c r="G120" i="7"/>
  <c r="F122" i="7"/>
  <c r="B122" i="7" s="1"/>
  <c r="G122" i="7"/>
  <c r="F124" i="7"/>
  <c r="B124" i="7" s="1"/>
  <c r="G124" i="7"/>
  <c r="F126" i="7"/>
  <c r="B126" i="7" s="1"/>
  <c r="G126" i="7"/>
  <c r="F128" i="7"/>
  <c r="B128" i="7" s="1"/>
  <c r="G128" i="7"/>
  <c r="F130" i="7"/>
  <c r="B130" i="7" s="1"/>
  <c r="G130" i="7"/>
  <c r="F132" i="7"/>
  <c r="B132" i="7" s="1"/>
  <c r="G132" i="7"/>
  <c r="F134" i="7"/>
  <c r="B134" i="7" s="1"/>
  <c r="G134" i="7"/>
  <c r="F136" i="7"/>
  <c r="B136" i="7" s="1"/>
  <c r="G136" i="7"/>
  <c r="F138" i="7"/>
  <c r="B138" i="7" s="1"/>
  <c r="G138" i="7"/>
  <c r="F140" i="7"/>
  <c r="B140" i="7" s="1"/>
  <c r="G140" i="7"/>
  <c r="F142" i="7"/>
  <c r="B142" i="7" s="1"/>
  <c r="G142" i="7"/>
  <c r="F144" i="7"/>
  <c r="B144" i="7" s="1"/>
  <c r="G144" i="7"/>
  <c r="F63" i="6"/>
  <c r="B63" i="6" s="1"/>
  <c r="G63" i="6"/>
  <c r="C63" i="6" s="1"/>
  <c r="F65" i="6"/>
  <c r="B65" i="6" s="1"/>
  <c r="G65" i="6"/>
  <c r="C65" i="6" s="1"/>
  <c r="F67" i="6"/>
  <c r="B67" i="6" s="1"/>
  <c r="G67" i="6"/>
  <c r="C67" i="6" s="1"/>
  <c r="F69" i="6"/>
  <c r="B69" i="6" s="1"/>
  <c r="G69" i="6"/>
  <c r="C69" i="6" s="1"/>
  <c r="F71" i="6"/>
  <c r="B71" i="6" s="1"/>
  <c r="G71" i="6"/>
  <c r="C71" i="6" s="1"/>
  <c r="F73" i="6"/>
  <c r="B73" i="6" s="1"/>
  <c r="G73" i="6"/>
  <c r="C73" i="6" s="1"/>
  <c r="F75" i="6"/>
  <c r="B75" i="6" s="1"/>
  <c r="G75" i="6"/>
  <c r="C75" i="6" s="1"/>
  <c r="G64" i="5"/>
  <c r="C64" i="5" s="1"/>
  <c r="F64" i="5"/>
  <c r="B64" i="5" s="1"/>
  <c r="G66" i="5"/>
  <c r="C66" i="5" s="1"/>
  <c r="F66" i="5"/>
  <c r="B66" i="5" s="1"/>
  <c r="G68" i="5"/>
  <c r="C68" i="5" s="1"/>
  <c r="F68" i="5"/>
  <c r="B68" i="5" s="1"/>
  <c r="G70" i="5"/>
  <c r="C70" i="5" s="1"/>
  <c r="F70" i="5"/>
  <c r="B70" i="5" s="1"/>
  <c r="G72" i="5"/>
  <c r="C72" i="5" s="1"/>
  <c r="F72" i="5"/>
  <c r="B72" i="5" s="1"/>
  <c r="G74" i="5"/>
  <c r="C74" i="5" s="1"/>
  <c r="F74" i="5"/>
  <c r="B74" i="5" s="1"/>
  <c r="G60" i="4"/>
  <c r="C60" i="4" s="1"/>
  <c r="F60" i="4"/>
  <c r="B60" i="4" s="1"/>
  <c r="G62" i="4"/>
  <c r="C62" i="4" s="1"/>
  <c r="F62" i="4"/>
  <c r="B62" i="4" s="1"/>
  <c r="G64" i="4"/>
  <c r="C64" i="4" s="1"/>
  <c r="F64" i="4"/>
  <c r="B64" i="4" s="1"/>
  <c r="G66" i="4"/>
  <c r="C66" i="4" s="1"/>
  <c r="F66" i="4"/>
  <c r="B66" i="4" s="1"/>
  <c r="G68" i="4"/>
  <c r="C68" i="4" s="1"/>
  <c r="F68" i="4"/>
  <c r="B68" i="4" s="1"/>
  <c r="G70" i="4"/>
  <c r="C70" i="4" s="1"/>
  <c r="F70" i="4"/>
  <c r="B70" i="4" s="1"/>
  <c r="G71" i="4"/>
  <c r="C71" i="4" s="1"/>
  <c r="G109" i="11"/>
  <c r="C109" i="11" s="1"/>
  <c r="F109" i="11"/>
  <c r="B109" i="11" s="1"/>
  <c r="G111" i="11"/>
  <c r="C111" i="11" s="1"/>
  <c r="F111" i="11"/>
  <c r="B111" i="11" s="1"/>
  <c r="G113" i="11"/>
  <c r="C113" i="11" s="1"/>
  <c r="F113" i="11"/>
  <c r="B113" i="11" s="1"/>
  <c r="G115" i="11"/>
  <c r="C115" i="11" s="1"/>
  <c r="F115" i="11"/>
  <c r="B115" i="11" s="1"/>
  <c r="G117" i="11"/>
  <c r="C117" i="11" s="1"/>
  <c r="F117" i="11"/>
  <c r="B117" i="11" s="1"/>
  <c r="G119" i="11"/>
  <c r="C119" i="11" s="1"/>
  <c r="F119" i="11"/>
  <c r="B119" i="11" s="1"/>
  <c r="G121" i="11"/>
  <c r="C121" i="11" s="1"/>
  <c r="F121" i="11"/>
  <c r="B121" i="11" s="1"/>
  <c r="G123" i="11"/>
  <c r="C123" i="11" s="1"/>
  <c r="F123" i="11"/>
  <c r="B123" i="11" s="1"/>
  <c r="G125" i="11"/>
  <c r="C125" i="11" s="1"/>
  <c r="F125" i="11"/>
  <c r="B125" i="11" s="1"/>
  <c r="G127" i="11"/>
  <c r="C127" i="11" s="1"/>
  <c r="F127" i="11"/>
  <c r="B127" i="11" s="1"/>
  <c r="G129" i="11"/>
  <c r="C129" i="11" s="1"/>
  <c r="F129" i="11"/>
  <c r="B129" i="11" s="1"/>
  <c r="G131" i="11"/>
  <c r="C131" i="11" s="1"/>
  <c r="F131" i="11"/>
  <c r="B131" i="11" s="1"/>
  <c r="G133" i="11"/>
  <c r="C133" i="11" s="1"/>
  <c r="F133" i="11"/>
  <c r="B133" i="11" s="1"/>
  <c r="G135" i="11"/>
  <c r="C135" i="11" s="1"/>
  <c r="F135" i="11"/>
  <c r="B135" i="11" s="1"/>
  <c r="G137" i="11"/>
  <c r="C137" i="11" s="1"/>
  <c r="F137" i="11"/>
  <c r="B137" i="11" s="1"/>
  <c r="G139" i="11"/>
  <c r="C139" i="11" s="1"/>
  <c r="F139" i="11"/>
  <c r="B139" i="11" s="1"/>
  <c r="G141" i="11"/>
  <c r="C141" i="11" s="1"/>
  <c r="F141" i="11"/>
  <c r="B141" i="11" s="1"/>
  <c r="G143" i="11"/>
  <c r="C143" i="11" s="1"/>
  <c r="F143" i="11"/>
  <c r="B143" i="11" s="1"/>
  <c r="G144" i="11"/>
  <c r="C144" i="11" s="1"/>
  <c r="F144" i="11"/>
  <c r="B144" i="11" s="1"/>
  <c r="G145" i="11"/>
  <c r="C145" i="11" s="1"/>
  <c r="F145" i="11"/>
  <c r="B145" i="11" s="1"/>
  <c r="G147" i="11"/>
  <c r="C147" i="11" s="1"/>
  <c r="F147" i="11"/>
  <c r="B147" i="11" s="1"/>
  <c r="G148" i="11"/>
  <c r="C148" i="11" s="1"/>
  <c r="F148" i="11"/>
  <c r="B148" i="11" s="1"/>
  <c r="G149" i="11"/>
  <c r="C149" i="11" s="1"/>
  <c r="F149" i="11"/>
  <c r="B149" i="11" s="1"/>
  <c r="G151" i="11"/>
  <c r="C151" i="11" s="1"/>
  <c r="F151" i="11"/>
  <c r="B151" i="11" s="1"/>
  <c r="G152" i="11"/>
  <c r="C152" i="11" s="1"/>
  <c r="F152" i="11"/>
  <c r="B152" i="11" s="1"/>
  <c r="G153" i="11"/>
  <c r="C153" i="11" s="1"/>
  <c r="F153" i="11"/>
  <c r="B153" i="11" s="1"/>
  <c r="G154" i="11"/>
  <c r="F154" i="11"/>
  <c r="B154" i="11" s="1"/>
  <c r="G155" i="11"/>
  <c r="C155" i="11" s="1"/>
  <c r="F155" i="11"/>
  <c r="B155" i="11" s="1"/>
  <c r="G156" i="11"/>
  <c r="C156" i="11" s="1"/>
  <c r="F156" i="11"/>
  <c r="B156" i="11" s="1"/>
  <c r="G157" i="11"/>
  <c r="C157" i="11" s="1"/>
  <c r="F157" i="11"/>
  <c r="B157" i="11" s="1"/>
  <c r="G158" i="11"/>
  <c r="F158" i="11"/>
  <c r="B158" i="11" s="1"/>
  <c r="G159" i="11"/>
  <c r="C159" i="11" s="1"/>
  <c r="F159" i="11"/>
  <c r="B159" i="11" s="1"/>
  <c r="G160" i="11"/>
  <c r="C160" i="11" s="1"/>
  <c r="F160" i="11"/>
  <c r="B160" i="11" s="1"/>
  <c r="G161" i="11"/>
  <c r="C161" i="11" s="1"/>
  <c r="F161" i="11"/>
  <c r="B161" i="11" s="1"/>
  <c r="G162" i="11"/>
  <c r="F162" i="11"/>
  <c r="B162" i="11" s="1"/>
  <c r="G163" i="11"/>
  <c r="C163" i="11" s="1"/>
  <c r="F163" i="11"/>
  <c r="B163" i="11" s="1"/>
  <c r="G164" i="11"/>
  <c r="C164" i="11" s="1"/>
  <c r="F164" i="11"/>
  <c r="B164" i="11" s="1"/>
  <c r="G165" i="11"/>
  <c r="C165" i="11" s="1"/>
  <c r="F165" i="11"/>
  <c r="B165" i="11" s="1"/>
  <c r="G166" i="11"/>
  <c r="F166" i="11"/>
  <c r="B166" i="11" s="1"/>
  <c r="G167" i="11"/>
  <c r="C167" i="11" s="1"/>
  <c r="F167" i="11"/>
  <c r="B167" i="11" s="1"/>
  <c r="G168" i="11"/>
  <c r="C168" i="11" s="1"/>
  <c r="F168" i="11"/>
  <c r="B168" i="11" s="1"/>
  <c r="G169" i="11"/>
  <c r="C169" i="11" s="1"/>
  <c r="F169" i="11"/>
  <c r="B169" i="11" s="1"/>
  <c r="G170" i="11"/>
  <c r="F170" i="11"/>
  <c r="B170" i="11" s="1"/>
  <c r="G171" i="11"/>
  <c r="C171" i="11" s="1"/>
  <c r="F171" i="11"/>
  <c r="B171" i="11" s="1"/>
  <c r="G172" i="11"/>
  <c r="C172" i="11" s="1"/>
  <c r="F172" i="11"/>
  <c r="B172" i="11" s="1"/>
  <c r="G173" i="11"/>
  <c r="C173" i="11" s="1"/>
  <c r="F173" i="11"/>
  <c r="B173" i="11" s="1"/>
  <c r="G174" i="11"/>
  <c r="F174" i="11"/>
  <c r="B174" i="11" s="1"/>
  <c r="G175" i="11"/>
  <c r="C175" i="11" s="1"/>
  <c r="F175" i="11"/>
  <c r="B175" i="11" s="1"/>
  <c r="G176" i="11"/>
  <c r="C176" i="11" s="1"/>
  <c r="F176" i="11"/>
  <c r="B176" i="11" s="1"/>
  <c r="G177" i="11"/>
  <c r="C177" i="11" s="1"/>
  <c r="F177" i="11"/>
  <c r="B177" i="11" s="1"/>
  <c r="G178" i="11"/>
  <c r="F178" i="11"/>
  <c r="B178" i="11" s="1"/>
  <c r="G179" i="11"/>
  <c r="C179" i="11" s="1"/>
  <c r="F179" i="11"/>
  <c r="B179" i="11" s="1"/>
  <c r="G180" i="11"/>
  <c r="C180" i="11" s="1"/>
  <c r="F180" i="11"/>
  <c r="B180" i="11" s="1"/>
  <c r="G181" i="11"/>
  <c r="C181" i="11" s="1"/>
  <c r="F181" i="11"/>
  <c r="B181" i="11" s="1"/>
  <c r="G182" i="11"/>
  <c r="F182" i="11"/>
  <c r="B182" i="11" s="1"/>
  <c r="G183" i="11"/>
  <c r="C183" i="11" s="1"/>
  <c r="F183" i="11"/>
  <c r="B183" i="11" s="1"/>
  <c r="G184" i="11"/>
  <c r="C184" i="11" s="1"/>
  <c r="F184" i="11"/>
  <c r="B184" i="11" s="1"/>
  <c r="G185" i="11"/>
  <c r="C185" i="11" s="1"/>
  <c r="F185" i="11"/>
  <c r="B185" i="11" s="1"/>
  <c r="G186" i="11"/>
  <c r="F186" i="11"/>
  <c r="B186" i="11" s="1"/>
  <c r="G187" i="11"/>
  <c r="C187" i="11" s="1"/>
  <c r="F187" i="11"/>
  <c r="B187" i="11" s="1"/>
  <c r="G188" i="11"/>
  <c r="C188" i="11" s="1"/>
  <c r="F188" i="11"/>
  <c r="B188" i="11" s="1"/>
  <c r="G189" i="11"/>
  <c r="C189" i="11" s="1"/>
  <c r="F189" i="11"/>
  <c r="B189" i="11" s="1"/>
  <c r="G190" i="11"/>
  <c r="F190" i="11"/>
  <c r="B190" i="11" s="1"/>
  <c r="G191" i="11"/>
  <c r="C191" i="11" s="1"/>
  <c r="F191" i="11"/>
  <c r="B191" i="11" s="1"/>
  <c r="G192" i="11"/>
  <c r="C192" i="11" s="1"/>
  <c r="F192" i="11"/>
  <c r="B192" i="11" s="1"/>
  <c r="G193" i="11"/>
  <c r="C193" i="11" s="1"/>
  <c r="F193" i="11"/>
  <c r="B193" i="11" s="1"/>
  <c r="G121" i="8"/>
  <c r="C121" i="8" s="1"/>
  <c r="F121" i="8"/>
  <c r="B121" i="8" s="1"/>
  <c r="F112" i="7"/>
  <c r="B112" i="7" s="1"/>
  <c r="G112" i="7"/>
  <c r="G107" i="11"/>
  <c r="C107" i="11" s="1"/>
  <c r="F107" i="11"/>
  <c r="B107" i="11" s="1"/>
  <c r="G2" i="10"/>
  <c r="F2" i="10"/>
  <c r="G4" i="10"/>
  <c r="C4" i="10" s="1"/>
  <c r="F4" i="10"/>
  <c r="B4" i="10" s="1"/>
  <c r="G6" i="10"/>
  <c r="C6" i="10" s="1"/>
  <c r="F6" i="10"/>
  <c r="B6" i="10" s="1"/>
  <c r="G8" i="10"/>
  <c r="C8" i="10" s="1"/>
  <c r="F8" i="10"/>
  <c r="B8" i="10" s="1"/>
  <c r="G10" i="10"/>
  <c r="C10" i="10" s="1"/>
  <c r="F10" i="10"/>
  <c r="B10" i="10" s="1"/>
  <c r="G12" i="10"/>
  <c r="C12" i="10" s="1"/>
  <c r="F12" i="10"/>
  <c r="B12" i="10" s="1"/>
  <c r="G14" i="10"/>
  <c r="C14" i="10" s="1"/>
  <c r="F14" i="10"/>
  <c r="B14" i="10" s="1"/>
  <c r="G16" i="10"/>
  <c r="C16" i="10" s="1"/>
  <c r="F16" i="10"/>
  <c r="B16" i="10" s="1"/>
  <c r="G18" i="10"/>
  <c r="C18" i="10" s="1"/>
  <c r="F18" i="10"/>
  <c r="B18" i="10" s="1"/>
  <c r="G20" i="10"/>
  <c r="C20" i="10" s="1"/>
  <c r="F20" i="10"/>
  <c r="B20" i="10" s="1"/>
  <c r="G22" i="10"/>
  <c r="C22" i="10" s="1"/>
  <c r="F22" i="10"/>
  <c r="B22" i="10" s="1"/>
  <c r="G24" i="10"/>
  <c r="C24" i="10" s="1"/>
  <c r="F24" i="10"/>
  <c r="B24" i="10" s="1"/>
  <c r="G26" i="10"/>
  <c r="C26" i="10" s="1"/>
  <c r="F26" i="10"/>
  <c r="B26" i="10" s="1"/>
  <c r="G28" i="10"/>
  <c r="C28" i="10" s="1"/>
  <c r="F28" i="10"/>
  <c r="B28" i="10" s="1"/>
  <c r="G30" i="10"/>
  <c r="C30" i="10" s="1"/>
  <c r="F30" i="10"/>
  <c r="B30" i="10" s="1"/>
  <c r="G32" i="10"/>
  <c r="C32" i="10" s="1"/>
  <c r="F32" i="10"/>
  <c r="B32" i="10" s="1"/>
  <c r="G34" i="10"/>
  <c r="C34" i="10" s="1"/>
  <c r="F34" i="10"/>
  <c r="B34" i="10" s="1"/>
  <c r="G36" i="10"/>
  <c r="C36" i="10" s="1"/>
  <c r="F36" i="10"/>
  <c r="B36" i="10" s="1"/>
  <c r="G38" i="10"/>
  <c r="C38" i="10" s="1"/>
  <c r="F38" i="10"/>
  <c r="B38" i="10" s="1"/>
  <c r="G40" i="10"/>
  <c r="C40" i="10" s="1"/>
  <c r="F40" i="10"/>
  <c r="B40" i="10" s="1"/>
  <c r="G42" i="10"/>
  <c r="C42" i="10" s="1"/>
  <c r="F42" i="10"/>
  <c r="B42" i="10" s="1"/>
  <c r="G44" i="10"/>
  <c r="C44" i="10" s="1"/>
  <c r="F44" i="10"/>
  <c r="B44" i="10" s="1"/>
  <c r="G46" i="10"/>
  <c r="C46" i="10" s="1"/>
  <c r="F46" i="10"/>
  <c r="B46" i="10" s="1"/>
  <c r="G48" i="10"/>
  <c r="C48" i="10" s="1"/>
  <c r="F48" i="10"/>
  <c r="B48" i="10" s="1"/>
  <c r="G50" i="10"/>
  <c r="C50" i="10" s="1"/>
  <c r="F50" i="10"/>
  <c r="B50" i="10" s="1"/>
  <c r="G52" i="10"/>
  <c r="C52" i="10" s="1"/>
  <c r="F52" i="10"/>
  <c r="B52" i="10" s="1"/>
  <c r="G54" i="10"/>
  <c r="C54" i="10" s="1"/>
  <c r="F54" i="10"/>
  <c r="B54" i="10" s="1"/>
  <c r="G56" i="10"/>
  <c r="C56" i="10" s="1"/>
  <c r="F56" i="10"/>
  <c r="B56" i="10" s="1"/>
  <c r="G58" i="10"/>
  <c r="C58" i="10" s="1"/>
  <c r="F58" i="10"/>
  <c r="B58" i="10" s="1"/>
  <c r="G60" i="10"/>
  <c r="C60" i="10" s="1"/>
  <c r="F60" i="10"/>
  <c r="B60" i="10" s="1"/>
  <c r="G2" i="9"/>
  <c r="F2" i="9"/>
  <c r="G4" i="9"/>
  <c r="C4" i="9" s="1"/>
  <c r="F4" i="9"/>
  <c r="B4" i="9" s="1"/>
  <c r="G6" i="9"/>
  <c r="C6" i="9" s="1"/>
  <c r="F6" i="9"/>
  <c r="B6" i="9" s="1"/>
  <c r="G8" i="9"/>
  <c r="C8" i="9" s="1"/>
  <c r="F8" i="9"/>
  <c r="B8" i="9" s="1"/>
  <c r="G10" i="9"/>
  <c r="C10" i="9" s="1"/>
  <c r="F10" i="9"/>
  <c r="B10" i="9" s="1"/>
  <c r="G12" i="9"/>
  <c r="C12" i="9" s="1"/>
  <c r="F12" i="9"/>
  <c r="B12" i="9" s="1"/>
  <c r="G14" i="9"/>
  <c r="C14" i="9" s="1"/>
  <c r="F14" i="9"/>
  <c r="B14" i="9" s="1"/>
  <c r="G16" i="9"/>
  <c r="C16" i="9" s="1"/>
  <c r="F16" i="9"/>
  <c r="B16" i="9" s="1"/>
  <c r="G18" i="9"/>
  <c r="C18" i="9" s="1"/>
  <c r="F18" i="9"/>
  <c r="B18" i="9" s="1"/>
  <c r="G20" i="9"/>
  <c r="C20" i="9" s="1"/>
  <c r="F20" i="9"/>
  <c r="B20" i="9" s="1"/>
  <c r="G22" i="9"/>
  <c r="C22" i="9" s="1"/>
  <c r="F22" i="9"/>
  <c r="B22" i="9" s="1"/>
  <c r="G24" i="9"/>
  <c r="C24" i="9" s="1"/>
  <c r="F24" i="9"/>
  <c r="B24" i="9" s="1"/>
  <c r="G26" i="9"/>
  <c r="C26" i="9" s="1"/>
  <c r="F26" i="9"/>
  <c r="B26" i="9" s="1"/>
  <c r="G28" i="9"/>
  <c r="C28" i="9" s="1"/>
  <c r="F28" i="9"/>
  <c r="B28" i="9" s="1"/>
  <c r="G32" i="9"/>
  <c r="F32" i="9"/>
  <c r="B32" i="9" s="1"/>
  <c r="G33" i="9"/>
  <c r="C33" i="9" s="1"/>
  <c r="G34" i="9"/>
  <c r="F34" i="9"/>
  <c r="B34" i="9" s="1"/>
  <c r="G40" i="9"/>
  <c r="F40" i="9"/>
  <c r="B40" i="9" s="1"/>
  <c r="G41" i="9"/>
  <c r="C41" i="9" s="1"/>
  <c r="G42" i="9"/>
  <c r="F42" i="9"/>
  <c r="B42" i="9" s="1"/>
  <c r="G48" i="9"/>
  <c r="F48" i="9"/>
  <c r="B48" i="9" s="1"/>
  <c r="G49" i="9"/>
  <c r="C49" i="9" s="1"/>
  <c r="G50" i="9"/>
  <c r="F50" i="9"/>
  <c r="B50" i="9" s="1"/>
  <c r="G56" i="9"/>
  <c r="F56" i="9"/>
  <c r="B56" i="9" s="1"/>
  <c r="G57" i="9"/>
  <c r="C57" i="9" s="1"/>
  <c r="G58" i="9"/>
  <c r="F58" i="9"/>
  <c r="B58" i="9" s="1"/>
  <c r="G64" i="9"/>
  <c r="F64" i="9"/>
  <c r="B64" i="9" s="1"/>
  <c r="G65" i="9"/>
  <c r="C65" i="9" s="1"/>
  <c r="G66" i="9"/>
  <c r="F66" i="9"/>
  <c r="B66" i="9" s="1"/>
  <c r="G72" i="9"/>
  <c r="F72" i="9"/>
  <c r="B72" i="9" s="1"/>
  <c r="G73" i="9"/>
  <c r="C73" i="9" s="1"/>
  <c r="G74" i="9"/>
  <c r="F74" i="9"/>
  <c r="B74" i="9" s="1"/>
  <c r="G80" i="9"/>
  <c r="F80" i="9"/>
  <c r="B80" i="9" s="1"/>
  <c r="G81" i="9"/>
  <c r="C81" i="9" s="1"/>
  <c r="G82" i="9"/>
  <c r="F82" i="9"/>
  <c r="B82" i="9" s="1"/>
  <c r="G88" i="9"/>
  <c r="F88" i="9"/>
  <c r="B88" i="9" s="1"/>
  <c r="G89" i="9"/>
  <c r="C89" i="9" s="1"/>
  <c r="G90" i="9"/>
  <c r="F90" i="9"/>
  <c r="B90" i="9" s="1"/>
  <c r="G96" i="9"/>
  <c r="F96" i="9"/>
  <c r="B96" i="9" s="1"/>
  <c r="G98" i="9"/>
  <c r="F98" i="9"/>
  <c r="B98" i="9" s="1"/>
  <c r="G100" i="9"/>
  <c r="C100" i="9" s="1"/>
  <c r="F100" i="9"/>
  <c r="B100" i="9" s="1"/>
  <c r="G102" i="9"/>
  <c r="C102" i="9" s="1"/>
  <c r="F102" i="9"/>
  <c r="B102" i="9" s="1"/>
  <c r="G104" i="9"/>
  <c r="C104" i="9" s="1"/>
  <c r="F104" i="9"/>
  <c r="B104" i="9" s="1"/>
  <c r="G106" i="9"/>
  <c r="C106" i="9" s="1"/>
  <c r="F106" i="9"/>
  <c r="B106" i="9" s="1"/>
  <c r="G108" i="9"/>
  <c r="C108" i="9" s="1"/>
  <c r="F108" i="9"/>
  <c r="B108" i="9" s="1"/>
  <c r="G2" i="8"/>
  <c r="F2" i="8"/>
  <c r="G3" i="8"/>
  <c r="C3" i="8" s="1"/>
  <c r="F3" i="8"/>
  <c r="B3" i="8" s="1"/>
  <c r="G5" i="8"/>
  <c r="C5" i="8" s="1"/>
  <c r="F5" i="8"/>
  <c r="B5" i="8" s="1"/>
  <c r="G7" i="8"/>
  <c r="C7" i="8" s="1"/>
  <c r="F7" i="8"/>
  <c r="B7" i="8" s="1"/>
  <c r="G9" i="8"/>
  <c r="C9" i="8" s="1"/>
  <c r="F9" i="8"/>
  <c r="B9" i="8" s="1"/>
  <c r="G11" i="8"/>
  <c r="C11" i="8" s="1"/>
  <c r="F11" i="8"/>
  <c r="B11" i="8" s="1"/>
  <c r="G13" i="8"/>
  <c r="C13" i="8" s="1"/>
  <c r="F13" i="8"/>
  <c r="B13" i="8" s="1"/>
  <c r="G15" i="8"/>
  <c r="C15" i="8" s="1"/>
  <c r="F15" i="8"/>
  <c r="B15" i="8" s="1"/>
  <c r="G17" i="8"/>
  <c r="C17" i="8" s="1"/>
  <c r="F17" i="8"/>
  <c r="B17" i="8" s="1"/>
  <c r="G19" i="8"/>
  <c r="C19" i="8" s="1"/>
  <c r="F19" i="8"/>
  <c r="B19" i="8" s="1"/>
  <c r="G21" i="8"/>
  <c r="C21" i="8" s="1"/>
  <c r="F21" i="8"/>
  <c r="B21" i="8" s="1"/>
  <c r="G23" i="8"/>
  <c r="C23" i="8" s="1"/>
  <c r="F23" i="8"/>
  <c r="B23" i="8" s="1"/>
  <c r="G25" i="8"/>
  <c r="C25" i="8" s="1"/>
  <c r="F25" i="8"/>
  <c r="B25" i="8" s="1"/>
  <c r="G27" i="8"/>
  <c r="C27" i="8" s="1"/>
  <c r="F27" i="8"/>
  <c r="B27" i="8" s="1"/>
  <c r="G29" i="8"/>
  <c r="C29" i="8" s="1"/>
  <c r="F29" i="8"/>
  <c r="B29" i="8" s="1"/>
  <c r="G31" i="8"/>
  <c r="C31" i="8" s="1"/>
  <c r="F31" i="8"/>
  <c r="B31" i="8" s="1"/>
  <c r="G33" i="8"/>
  <c r="C33" i="8" s="1"/>
  <c r="F33" i="8"/>
  <c r="B33" i="8" s="1"/>
  <c r="G35" i="8"/>
  <c r="C35" i="8" s="1"/>
  <c r="F35" i="8"/>
  <c r="B35" i="8" s="1"/>
  <c r="G37" i="8"/>
  <c r="C37" i="8" s="1"/>
  <c r="F37" i="8"/>
  <c r="B37" i="8" s="1"/>
  <c r="G39" i="8"/>
  <c r="C39" i="8" s="1"/>
  <c r="F39" i="8"/>
  <c r="B39" i="8" s="1"/>
  <c r="G41" i="8"/>
  <c r="C41" i="8" s="1"/>
  <c r="F41" i="8"/>
  <c r="B41" i="8" s="1"/>
  <c r="G43" i="8"/>
  <c r="C43" i="8" s="1"/>
  <c r="F43" i="8"/>
  <c r="B43" i="8" s="1"/>
  <c r="G45" i="8"/>
  <c r="C45" i="8" s="1"/>
  <c r="F45" i="8"/>
  <c r="B45" i="8" s="1"/>
  <c r="G47" i="8"/>
  <c r="C47" i="8" s="1"/>
  <c r="F47" i="8"/>
  <c r="B47" i="8" s="1"/>
  <c r="G49" i="8"/>
  <c r="C49" i="8" s="1"/>
  <c r="F49" i="8"/>
  <c r="B49" i="8" s="1"/>
  <c r="G51" i="8"/>
  <c r="C51" i="8" s="1"/>
  <c r="F51" i="8"/>
  <c r="B51" i="8" s="1"/>
  <c r="G53" i="8"/>
  <c r="C53" i="8" s="1"/>
  <c r="F53" i="8"/>
  <c r="B53" i="8" s="1"/>
  <c r="G55" i="8"/>
  <c r="C55" i="8" s="1"/>
  <c r="F55" i="8"/>
  <c r="B55" i="8" s="1"/>
  <c r="G57" i="8"/>
  <c r="C57" i="8" s="1"/>
  <c r="F57" i="8"/>
  <c r="B57" i="8" s="1"/>
  <c r="G59" i="8"/>
  <c r="C59" i="8" s="1"/>
  <c r="F59" i="8"/>
  <c r="B59" i="8" s="1"/>
  <c r="G60" i="8"/>
  <c r="F60" i="8"/>
  <c r="B60" i="8" s="1"/>
  <c r="G61" i="8"/>
  <c r="C61" i="8" s="1"/>
  <c r="F61" i="8"/>
  <c r="B61" i="8" s="1"/>
  <c r="G63" i="8"/>
  <c r="C63" i="8" s="1"/>
  <c r="F63" i="8"/>
  <c r="B63" i="8" s="1"/>
  <c r="G64" i="8"/>
  <c r="F64" i="8"/>
  <c r="B64" i="8" s="1"/>
  <c r="G65" i="8"/>
  <c r="C65" i="8" s="1"/>
  <c r="F65" i="8"/>
  <c r="B65" i="8" s="1"/>
  <c r="G67" i="8"/>
  <c r="C67" i="8" s="1"/>
  <c r="F67" i="8"/>
  <c r="B67" i="8" s="1"/>
  <c r="G68" i="8"/>
  <c r="C68" i="8" s="1"/>
  <c r="F68" i="8"/>
  <c r="B68" i="8" s="1"/>
  <c r="G69" i="8"/>
  <c r="C69" i="8" s="1"/>
  <c r="F69" i="8"/>
  <c r="B69" i="8" s="1"/>
  <c r="G71" i="8"/>
  <c r="C71" i="8" s="1"/>
  <c r="F71" i="8"/>
  <c r="B71" i="8" s="1"/>
  <c r="G72" i="8"/>
  <c r="C72" i="8" s="1"/>
  <c r="F72" i="8"/>
  <c r="B72" i="8" s="1"/>
  <c r="G73" i="8"/>
  <c r="C73" i="8" s="1"/>
  <c r="F73" i="8"/>
  <c r="B73" i="8" s="1"/>
  <c r="G75" i="8"/>
  <c r="C75" i="8" s="1"/>
  <c r="F75" i="8"/>
  <c r="B75" i="8" s="1"/>
  <c r="G77" i="8"/>
  <c r="C77" i="8" s="1"/>
  <c r="F77" i="8"/>
  <c r="B77" i="8" s="1"/>
  <c r="G79" i="8"/>
  <c r="C79" i="8" s="1"/>
  <c r="F79" i="8"/>
  <c r="B79" i="8" s="1"/>
  <c r="G81" i="8"/>
  <c r="C81" i="8" s="1"/>
  <c r="F81" i="8"/>
  <c r="B81" i="8" s="1"/>
  <c r="G83" i="8"/>
  <c r="C83" i="8" s="1"/>
  <c r="F83" i="8"/>
  <c r="B83" i="8" s="1"/>
  <c r="G85" i="8"/>
  <c r="C85" i="8" s="1"/>
  <c r="F85" i="8"/>
  <c r="B85" i="8" s="1"/>
  <c r="G87" i="8"/>
  <c r="C87" i="8" s="1"/>
  <c r="F87" i="8"/>
  <c r="B87" i="8" s="1"/>
  <c r="G89" i="8"/>
  <c r="C89" i="8" s="1"/>
  <c r="F89" i="8"/>
  <c r="B89" i="8" s="1"/>
  <c r="G91" i="8"/>
  <c r="C91" i="8" s="1"/>
  <c r="F91" i="8"/>
  <c r="B91" i="8" s="1"/>
  <c r="G93" i="8"/>
  <c r="C93" i="8" s="1"/>
  <c r="F93" i="8"/>
  <c r="B93" i="8" s="1"/>
  <c r="G95" i="8"/>
  <c r="C95" i="8" s="1"/>
  <c r="F95" i="8"/>
  <c r="B95" i="8" s="1"/>
  <c r="G97" i="8"/>
  <c r="C97" i="8" s="1"/>
  <c r="F97" i="8"/>
  <c r="B97" i="8" s="1"/>
  <c r="G99" i="8"/>
  <c r="C99" i="8" s="1"/>
  <c r="F99" i="8"/>
  <c r="B99" i="8" s="1"/>
  <c r="G101" i="8"/>
  <c r="C101" i="8" s="1"/>
  <c r="F101" i="8"/>
  <c r="B101" i="8" s="1"/>
  <c r="G103" i="8"/>
  <c r="C103" i="8" s="1"/>
  <c r="F103" i="8"/>
  <c r="B103" i="8" s="1"/>
  <c r="G105" i="8"/>
  <c r="C105" i="8" s="1"/>
  <c r="F105" i="8"/>
  <c r="B105" i="8" s="1"/>
  <c r="G107" i="8"/>
  <c r="C107" i="8" s="1"/>
  <c r="F107" i="8"/>
  <c r="B107" i="8" s="1"/>
  <c r="G109" i="8"/>
  <c r="C109" i="8" s="1"/>
  <c r="F109" i="8"/>
  <c r="B109" i="8" s="1"/>
  <c r="G111" i="8"/>
  <c r="C111" i="8" s="1"/>
  <c r="F111" i="8"/>
  <c r="B111" i="8" s="1"/>
  <c r="G113" i="8"/>
  <c r="C113" i="8" s="1"/>
  <c r="F113" i="8"/>
  <c r="B113" i="8" s="1"/>
  <c r="G115" i="8"/>
  <c r="C115" i="8" s="1"/>
  <c r="F115" i="8"/>
  <c r="B115" i="8" s="1"/>
  <c r="G117" i="8"/>
  <c r="C117" i="8" s="1"/>
  <c r="F117" i="8"/>
  <c r="B117" i="8" s="1"/>
  <c r="G119" i="8"/>
  <c r="C119" i="8" s="1"/>
  <c r="F119" i="8"/>
  <c r="B119" i="8" s="1"/>
  <c r="G2" i="7"/>
  <c r="F2" i="7"/>
  <c r="G4" i="7"/>
  <c r="C4" i="7" s="1"/>
  <c r="F4" i="7"/>
  <c r="B4" i="7" s="1"/>
  <c r="G6" i="7"/>
  <c r="C6" i="7" s="1"/>
  <c r="F6" i="7"/>
  <c r="B6" i="7" s="1"/>
  <c r="G8" i="7"/>
  <c r="C8" i="7" s="1"/>
  <c r="F8" i="7"/>
  <c r="B8" i="7" s="1"/>
  <c r="G9" i="7"/>
  <c r="F9" i="7"/>
  <c r="B9" i="7" s="1"/>
  <c r="F110" i="7"/>
  <c r="B110" i="7" s="1"/>
  <c r="G110" i="7"/>
  <c r="G2" i="6"/>
  <c r="F2" i="6"/>
  <c r="F3" i="6"/>
  <c r="B3" i="6" s="1"/>
  <c r="G3" i="6"/>
  <c r="C3" i="6" s="1"/>
  <c r="F5" i="6"/>
  <c r="B5" i="6" s="1"/>
  <c r="G5" i="6"/>
  <c r="C5" i="6" s="1"/>
  <c r="F7" i="6"/>
  <c r="B7" i="6" s="1"/>
  <c r="G7" i="6"/>
  <c r="C7" i="6" s="1"/>
  <c r="F9" i="6"/>
  <c r="B9" i="6" s="1"/>
  <c r="G9" i="6"/>
  <c r="C9" i="6" s="1"/>
  <c r="F11" i="6"/>
  <c r="B11" i="6" s="1"/>
  <c r="G11" i="6"/>
  <c r="C11" i="6" s="1"/>
  <c r="F13" i="6"/>
  <c r="B13" i="6" s="1"/>
  <c r="G13" i="6"/>
  <c r="C13" i="6" s="1"/>
  <c r="F15" i="6"/>
  <c r="B15" i="6" s="1"/>
  <c r="G15" i="6"/>
  <c r="C15" i="6" s="1"/>
  <c r="F17" i="6"/>
  <c r="B17" i="6" s="1"/>
  <c r="G17" i="6"/>
  <c r="C17" i="6" s="1"/>
  <c r="F19" i="6"/>
  <c r="B19" i="6" s="1"/>
  <c r="G19" i="6"/>
  <c r="C19" i="6" s="1"/>
  <c r="F21" i="6"/>
  <c r="B21" i="6" s="1"/>
  <c r="G21" i="6"/>
  <c r="C21" i="6" s="1"/>
  <c r="F23" i="6"/>
  <c r="B23" i="6" s="1"/>
  <c r="G23" i="6"/>
  <c r="C23" i="6" s="1"/>
  <c r="F25" i="6"/>
  <c r="B25" i="6" s="1"/>
  <c r="G25" i="6"/>
  <c r="C25" i="6" s="1"/>
  <c r="F27" i="6"/>
  <c r="B27" i="6" s="1"/>
  <c r="G27" i="6"/>
  <c r="C27" i="6" s="1"/>
  <c r="F29" i="6"/>
  <c r="B29" i="6" s="1"/>
  <c r="G29" i="6"/>
  <c r="C29" i="6" s="1"/>
  <c r="F31" i="6"/>
  <c r="B31" i="6" s="1"/>
  <c r="G31" i="6"/>
  <c r="C31" i="6" s="1"/>
  <c r="F33" i="6"/>
  <c r="B33" i="6" s="1"/>
  <c r="G33" i="6"/>
  <c r="C33" i="6" s="1"/>
  <c r="F35" i="6"/>
  <c r="B35" i="6" s="1"/>
  <c r="G35" i="6"/>
  <c r="C35" i="6" s="1"/>
  <c r="F37" i="6"/>
  <c r="B37" i="6" s="1"/>
  <c r="G37" i="6"/>
  <c r="C37" i="6" s="1"/>
  <c r="F39" i="6"/>
  <c r="B39" i="6" s="1"/>
  <c r="G39" i="6"/>
  <c r="C39" i="6" s="1"/>
  <c r="F41" i="6"/>
  <c r="B41" i="6" s="1"/>
  <c r="G41" i="6"/>
  <c r="C41" i="6" s="1"/>
  <c r="F43" i="6"/>
  <c r="B43" i="6" s="1"/>
  <c r="G43" i="6"/>
  <c r="C43" i="6" s="1"/>
  <c r="F45" i="6"/>
  <c r="B45" i="6" s="1"/>
  <c r="G45" i="6"/>
  <c r="C45" i="6" s="1"/>
  <c r="F47" i="6"/>
  <c r="B47" i="6" s="1"/>
  <c r="G47" i="6"/>
  <c r="C47" i="6" s="1"/>
  <c r="F49" i="6"/>
  <c r="B49" i="6" s="1"/>
  <c r="G49" i="6"/>
  <c r="C49" i="6" s="1"/>
  <c r="F51" i="6"/>
  <c r="B51" i="6" s="1"/>
  <c r="G51" i="6"/>
  <c r="C51" i="6" s="1"/>
  <c r="F53" i="6"/>
  <c r="B53" i="6" s="1"/>
  <c r="G53" i="6"/>
  <c r="C53" i="6" s="1"/>
  <c r="F55" i="6"/>
  <c r="B55" i="6" s="1"/>
  <c r="G55" i="6"/>
  <c r="C55" i="6" s="1"/>
  <c r="F57" i="6"/>
  <c r="B57" i="6" s="1"/>
  <c r="G57" i="6"/>
  <c r="C57" i="6" s="1"/>
  <c r="F59" i="6"/>
  <c r="B59" i="6" s="1"/>
  <c r="G59" i="6"/>
  <c r="C59" i="6" s="1"/>
  <c r="F61" i="6"/>
  <c r="B61" i="6" s="1"/>
  <c r="G61" i="6"/>
  <c r="C61" i="6" s="1"/>
  <c r="G3" i="5"/>
  <c r="C3" i="5" s="1"/>
  <c r="F3" i="5"/>
  <c r="B3" i="5" s="1"/>
  <c r="G5" i="5"/>
  <c r="C5" i="5" s="1"/>
  <c r="F5" i="5"/>
  <c r="B5" i="5" s="1"/>
  <c r="G7" i="5"/>
  <c r="C7" i="5" s="1"/>
  <c r="F7" i="5"/>
  <c r="B7" i="5" s="1"/>
  <c r="G9" i="5"/>
  <c r="C9" i="5" s="1"/>
  <c r="F9" i="5"/>
  <c r="B9" i="5" s="1"/>
  <c r="G11" i="5"/>
  <c r="C11" i="5" s="1"/>
  <c r="F11" i="5"/>
  <c r="B11" i="5" s="1"/>
  <c r="G13" i="5"/>
  <c r="C13" i="5" s="1"/>
  <c r="F13" i="5"/>
  <c r="B13" i="5" s="1"/>
  <c r="G15" i="5"/>
  <c r="C15" i="5" s="1"/>
  <c r="F15" i="5"/>
  <c r="B15" i="5" s="1"/>
  <c r="G17" i="5"/>
  <c r="C17" i="5" s="1"/>
  <c r="F17" i="5"/>
  <c r="B17" i="5" s="1"/>
  <c r="G19" i="5"/>
  <c r="C19" i="5" s="1"/>
  <c r="F19" i="5"/>
  <c r="B19" i="5" s="1"/>
  <c r="G21" i="5"/>
  <c r="C21" i="5" s="1"/>
  <c r="F21" i="5"/>
  <c r="B21" i="5" s="1"/>
  <c r="G23" i="5"/>
  <c r="C23" i="5" s="1"/>
  <c r="F23" i="5"/>
  <c r="B23" i="5" s="1"/>
  <c r="G24" i="5"/>
  <c r="F24" i="5"/>
  <c r="B24" i="5" s="1"/>
  <c r="G25" i="5"/>
  <c r="C25" i="5" s="1"/>
  <c r="G26" i="5"/>
  <c r="F26" i="5"/>
  <c r="B26" i="5" s="1"/>
  <c r="G30" i="5"/>
  <c r="F30" i="5"/>
  <c r="B30" i="5" s="1"/>
  <c r="G31" i="5"/>
  <c r="C31" i="5" s="1"/>
  <c r="G32" i="5"/>
  <c r="F32" i="5"/>
  <c r="B32" i="5" s="1"/>
  <c r="G34" i="5"/>
  <c r="F34" i="5"/>
  <c r="B34" i="5" s="1"/>
  <c r="G36" i="5"/>
  <c r="C36" i="5" s="1"/>
  <c r="F36" i="5"/>
  <c r="B36" i="5" s="1"/>
  <c r="G38" i="5"/>
  <c r="C38" i="5" s="1"/>
  <c r="F38" i="5"/>
  <c r="B38" i="5" s="1"/>
  <c r="G40" i="5"/>
  <c r="F40" i="5"/>
  <c r="B40" i="5" s="1"/>
  <c r="G42" i="5"/>
  <c r="C42" i="5" s="1"/>
  <c r="F42" i="5"/>
  <c r="B42" i="5" s="1"/>
  <c r="G44" i="5"/>
  <c r="C44" i="5" s="1"/>
  <c r="F44" i="5"/>
  <c r="B44" i="5" s="1"/>
  <c r="G46" i="5"/>
  <c r="C46" i="5" s="1"/>
  <c r="F46" i="5"/>
  <c r="B46" i="5" s="1"/>
  <c r="G48" i="5"/>
  <c r="C48" i="5" s="1"/>
  <c r="F48" i="5"/>
  <c r="B48" i="5" s="1"/>
  <c r="G50" i="5"/>
  <c r="C50" i="5" s="1"/>
  <c r="F50" i="5"/>
  <c r="B50" i="5" s="1"/>
  <c r="G52" i="5"/>
  <c r="C52" i="5" s="1"/>
  <c r="F52" i="5"/>
  <c r="B52" i="5" s="1"/>
  <c r="G54" i="5"/>
  <c r="C54" i="5" s="1"/>
  <c r="F54" i="5"/>
  <c r="B54" i="5" s="1"/>
  <c r="G56" i="5"/>
  <c r="C56" i="5" s="1"/>
  <c r="F56" i="5"/>
  <c r="B56" i="5" s="1"/>
  <c r="G58" i="5"/>
  <c r="C58" i="5" s="1"/>
  <c r="F58" i="5"/>
  <c r="B58" i="5" s="1"/>
  <c r="G60" i="5"/>
  <c r="C60" i="5" s="1"/>
  <c r="F60" i="5"/>
  <c r="B60" i="5" s="1"/>
  <c r="G62" i="5"/>
  <c r="C62" i="5" s="1"/>
  <c r="F62" i="5"/>
  <c r="B62" i="5" s="1"/>
  <c r="G2" i="4"/>
  <c r="F2" i="4"/>
  <c r="G4" i="4"/>
  <c r="C4" i="4" s="1"/>
  <c r="F4" i="4"/>
  <c r="B4" i="4" s="1"/>
  <c r="G6" i="4"/>
  <c r="C6" i="4" s="1"/>
  <c r="F6" i="4"/>
  <c r="B6" i="4" s="1"/>
  <c r="G8" i="4"/>
  <c r="C8" i="4" s="1"/>
  <c r="F8" i="4"/>
  <c r="B8" i="4" s="1"/>
  <c r="G10" i="4"/>
  <c r="C10" i="4" s="1"/>
  <c r="F10" i="4"/>
  <c r="B10" i="4" s="1"/>
  <c r="G12" i="4"/>
  <c r="C12" i="4" s="1"/>
  <c r="F12" i="4"/>
  <c r="B12" i="4" s="1"/>
  <c r="G14" i="4"/>
  <c r="C14" i="4" s="1"/>
  <c r="F14" i="4"/>
  <c r="B14" i="4" s="1"/>
  <c r="G16" i="4"/>
  <c r="C16" i="4" s="1"/>
  <c r="F16" i="4"/>
  <c r="B16" i="4" s="1"/>
  <c r="G18" i="4"/>
  <c r="C18" i="4" s="1"/>
  <c r="F18" i="4"/>
  <c r="B18" i="4" s="1"/>
  <c r="G20" i="4"/>
  <c r="C20" i="4" s="1"/>
  <c r="F20" i="4"/>
  <c r="B20" i="4" s="1"/>
  <c r="G22" i="4"/>
  <c r="C22" i="4" s="1"/>
  <c r="F22" i="4"/>
  <c r="B22" i="4" s="1"/>
  <c r="G24" i="4"/>
  <c r="C24" i="4" s="1"/>
  <c r="F24" i="4"/>
  <c r="B24" i="4" s="1"/>
  <c r="G26" i="4"/>
  <c r="C26" i="4" s="1"/>
  <c r="F26" i="4"/>
  <c r="B26" i="4" s="1"/>
  <c r="G28" i="4"/>
  <c r="C28" i="4" s="1"/>
  <c r="F28" i="4"/>
  <c r="B28" i="4" s="1"/>
  <c r="G30" i="4"/>
  <c r="C30" i="4" s="1"/>
  <c r="F30" i="4"/>
  <c r="B30" i="4" s="1"/>
  <c r="G32" i="4"/>
  <c r="C32" i="4" s="1"/>
  <c r="F32" i="4"/>
  <c r="B32" i="4" s="1"/>
  <c r="G34" i="4"/>
  <c r="C34" i="4" s="1"/>
  <c r="F34" i="4"/>
  <c r="B34" i="4" s="1"/>
  <c r="G36" i="4"/>
  <c r="C36" i="4" s="1"/>
  <c r="F36" i="4"/>
  <c r="B36" i="4" s="1"/>
  <c r="G38" i="4"/>
  <c r="C38" i="4" s="1"/>
  <c r="F38" i="4"/>
  <c r="B38" i="4" s="1"/>
  <c r="G40" i="4"/>
  <c r="C40" i="4" s="1"/>
  <c r="F40" i="4"/>
  <c r="B40" i="4" s="1"/>
  <c r="G42" i="4"/>
  <c r="C42" i="4" s="1"/>
  <c r="F42" i="4"/>
  <c r="B42" i="4" s="1"/>
  <c r="G44" i="4"/>
  <c r="C44" i="4" s="1"/>
  <c r="F44" i="4"/>
  <c r="B44" i="4" s="1"/>
  <c r="G46" i="4"/>
  <c r="C46" i="4" s="1"/>
  <c r="F46" i="4"/>
  <c r="B46" i="4" s="1"/>
  <c r="G48" i="4"/>
  <c r="C48" i="4" s="1"/>
  <c r="F48" i="4"/>
  <c r="B48" i="4" s="1"/>
  <c r="G50" i="4"/>
  <c r="C50" i="4" s="1"/>
  <c r="F50" i="4"/>
  <c r="B50" i="4" s="1"/>
  <c r="G52" i="4"/>
  <c r="C52" i="4" s="1"/>
  <c r="F52" i="4"/>
  <c r="B52" i="4" s="1"/>
  <c r="G54" i="4"/>
  <c r="C54" i="4" s="1"/>
  <c r="F54" i="4"/>
  <c r="B54" i="4" s="1"/>
  <c r="G56" i="4"/>
  <c r="C56" i="4" s="1"/>
  <c r="F56" i="4"/>
  <c r="B56" i="4" s="1"/>
  <c r="G58" i="4"/>
  <c r="C58" i="4" s="1"/>
  <c r="F58" i="4"/>
  <c r="B58" i="4" s="1"/>
  <c r="G2" i="11"/>
  <c r="F2" i="11"/>
  <c r="F4" i="11"/>
  <c r="B4" i="11" s="1"/>
  <c r="G4" i="11"/>
  <c r="C4" i="11" s="1"/>
  <c r="F6" i="11"/>
  <c r="B6" i="11" s="1"/>
  <c r="G6" i="11"/>
  <c r="C6" i="11" s="1"/>
  <c r="F8" i="11"/>
  <c r="B8" i="11" s="1"/>
  <c r="G8" i="11"/>
  <c r="C8" i="11" s="1"/>
  <c r="F10" i="11"/>
  <c r="B10" i="11" s="1"/>
  <c r="G10" i="11"/>
  <c r="C10" i="11" s="1"/>
  <c r="F12" i="11"/>
  <c r="B12" i="11" s="1"/>
  <c r="G12" i="11"/>
  <c r="C12" i="11" s="1"/>
  <c r="F14" i="11"/>
  <c r="B14" i="11" s="1"/>
  <c r="G14" i="11"/>
  <c r="C14" i="11" s="1"/>
  <c r="F16" i="11"/>
  <c r="B16" i="11" s="1"/>
  <c r="G16" i="11"/>
  <c r="C16" i="11" s="1"/>
  <c r="F18" i="11"/>
  <c r="B18" i="11" s="1"/>
  <c r="G18" i="11"/>
  <c r="C18" i="11" s="1"/>
  <c r="F20" i="11"/>
  <c r="B20" i="11" s="1"/>
  <c r="G20" i="11"/>
  <c r="C20" i="11" s="1"/>
  <c r="F22" i="11"/>
  <c r="B22" i="11" s="1"/>
  <c r="G22" i="11"/>
  <c r="C22" i="11" s="1"/>
  <c r="F24" i="11"/>
  <c r="B24" i="11" s="1"/>
  <c r="G24" i="11"/>
  <c r="C24" i="11" s="1"/>
  <c r="F26" i="11"/>
  <c r="B26" i="11" s="1"/>
  <c r="G26" i="11"/>
  <c r="C26" i="11" s="1"/>
  <c r="F28" i="11"/>
  <c r="B28" i="11" s="1"/>
  <c r="G28" i="11"/>
  <c r="C28" i="11" s="1"/>
  <c r="F30" i="11"/>
  <c r="B30" i="11" s="1"/>
  <c r="G30" i="11"/>
  <c r="C30" i="11" s="1"/>
  <c r="F32" i="11"/>
  <c r="B32" i="11" s="1"/>
  <c r="G32" i="11"/>
  <c r="C32" i="11" s="1"/>
  <c r="F34" i="11"/>
  <c r="B34" i="11" s="1"/>
  <c r="G34" i="11"/>
  <c r="C34" i="11" s="1"/>
  <c r="F36" i="11"/>
  <c r="B36" i="11" s="1"/>
  <c r="G36" i="11"/>
  <c r="C36" i="11" s="1"/>
  <c r="F38" i="11"/>
  <c r="B38" i="11" s="1"/>
  <c r="G38" i="11"/>
  <c r="C38" i="11" s="1"/>
  <c r="F40" i="11"/>
  <c r="B40" i="11" s="1"/>
  <c r="G40" i="11"/>
  <c r="C40" i="11" s="1"/>
  <c r="F42" i="11"/>
  <c r="B42" i="11" s="1"/>
  <c r="G42" i="11"/>
  <c r="C42" i="11" s="1"/>
  <c r="F44" i="11"/>
  <c r="B44" i="11" s="1"/>
  <c r="G44" i="11"/>
  <c r="C44" i="11" s="1"/>
  <c r="F46" i="11"/>
  <c r="B46" i="11" s="1"/>
  <c r="G46" i="11"/>
  <c r="C46" i="11" s="1"/>
  <c r="F48" i="11"/>
  <c r="B48" i="11" s="1"/>
  <c r="G48" i="11"/>
  <c r="C48" i="11" s="1"/>
  <c r="F50" i="11"/>
  <c r="B50" i="11" s="1"/>
  <c r="G50" i="11"/>
  <c r="C50" i="11" s="1"/>
  <c r="F52" i="11"/>
  <c r="B52" i="11" s="1"/>
  <c r="G52" i="11"/>
  <c r="C52" i="11" s="1"/>
  <c r="F54" i="11"/>
  <c r="B54" i="11" s="1"/>
  <c r="G54" i="11"/>
  <c r="C54" i="11" s="1"/>
  <c r="F56" i="11"/>
  <c r="B56" i="11" s="1"/>
  <c r="G56" i="11"/>
  <c r="C56" i="11" s="1"/>
  <c r="F58" i="11"/>
  <c r="B58" i="11" s="1"/>
  <c r="G58" i="11"/>
  <c r="C58" i="11" s="1"/>
  <c r="F60" i="11"/>
  <c r="B60" i="11" s="1"/>
  <c r="G60" i="11"/>
  <c r="C60" i="11" s="1"/>
  <c r="F62" i="11"/>
  <c r="B62" i="11" s="1"/>
  <c r="G62" i="11"/>
  <c r="C62" i="11" s="1"/>
  <c r="F64" i="11"/>
  <c r="B64" i="11" s="1"/>
  <c r="G64" i="11"/>
  <c r="C64" i="11" s="1"/>
  <c r="F66" i="11"/>
  <c r="B66" i="11" s="1"/>
  <c r="G66" i="11"/>
  <c r="C66" i="11" s="1"/>
  <c r="F68" i="11"/>
  <c r="B68" i="11" s="1"/>
  <c r="G68" i="11"/>
  <c r="C68" i="11" s="1"/>
  <c r="F70" i="11"/>
  <c r="B70" i="11" s="1"/>
  <c r="G70" i="11"/>
  <c r="C70" i="11" s="1"/>
  <c r="F72" i="11"/>
  <c r="B72" i="11" s="1"/>
  <c r="G72" i="11"/>
  <c r="C72" i="11" s="1"/>
  <c r="F74" i="11"/>
  <c r="B74" i="11" s="1"/>
  <c r="G74" i="11"/>
  <c r="C74" i="11" s="1"/>
  <c r="F76" i="11"/>
  <c r="B76" i="11" s="1"/>
  <c r="G76" i="11"/>
  <c r="C76" i="11" s="1"/>
  <c r="F78" i="11"/>
  <c r="B78" i="11" s="1"/>
  <c r="G78" i="11"/>
  <c r="C78" i="11" s="1"/>
  <c r="F80" i="11"/>
  <c r="B80" i="11" s="1"/>
  <c r="G80" i="11"/>
  <c r="C80" i="11" s="1"/>
  <c r="F82" i="11"/>
  <c r="B82" i="11" s="1"/>
  <c r="G82" i="11"/>
  <c r="C82" i="11" s="1"/>
  <c r="F84" i="11"/>
  <c r="B84" i="11" s="1"/>
  <c r="G84" i="11"/>
  <c r="C84" i="11" s="1"/>
  <c r="F86" i="11"/>
  <c r="B86" i="11" s="1"/>
  <c r="G86" i="11"/>
  <c r="C86" i="11" s="1"/>
  <c r="F88" i="11"/>
  <c r="B88" i="11" s="1"/>
  <c r="G88" i="11"/>
  <c r="C88" i="11" s="1"/>
  <c r="F90" i="11"/>
  <c r="B90" i="11" s="1"/>
  <c r="G90" i="11"/>
  <c r="C90" i="11" s="1"/>
  <c r="F92" i="11"/>
  <c r="B92" i="11" s="1"/>
  <c r="G92" i="11"/>
  <c r="C92" i="11" s="1"/>
  <c r="F94" i="11"/>
  <c r="B94" i="11" s="1"/>
  <c r="G94" i="11"/>
  <c r="C94" i="11" s="1"/>
  <c r="F96" i="11"/>
  <c r="B96" i="11" s="1"/>
  <c r="G96" i="11"/>
  <c r="C96" i="11" s="1"/>
  <c r="F98" i="11"/>
  <c r="B98" i="11" s="1"/>
  <c r="G98" i="11"/>
  <c r="C98" i="11" s="1"/>
  <c r="F100" i="11"/>
  <c r="B100" i="11" s="1"/>
  <c r="G100" i="11"/>
  <c r="C100" i="11" s="1"/>
  <c r="F102" i="11"/>
  <c r="B102" i="11" s="1"/>
  <c r="G102" i="11"/>
  <c r="C102" i="11" s="1"/>
  <c r="G105" i="11"/>
  <c r="C105" i="11" s="1"/>
  <c r="F105" i="11"/>
  <c r="B105" i="11" s="1"/>
  <c r="G106" i="11"/>
  <c r="C106" i="11" s="1"/>
  <c r="F106" i="11"/>
  <c r="B106" i="11" s="1"/>
  <c r="A3" i="4"/>
  <c r="F3" i="4"/>
  <c r="B3" i="4" s="1"/>
  <c r="A5" i="4"/>
  <c r="F5" i="4"/>
  <c r="B5" i="4" s="1"/>
  <c r="A7" i="4"/>
  <c r="F7" i="4"/>
  <c r="B7" i="4" s="1"/>
  <c r="A9" i="4"/>
  <c r="F9" i="4"/>
  <c r="B9" i="4" s="1"/>
  <c r="A11" i="4"/>
  <c r="F11" i="4"/>
  <c r="B11" i="4" s="1"/>
  <c r="A13" i="4"/>
  <c r="F13" i="4"/>
  <c r="B13" i="4" s="1"/>
  <c r="A15" i="4"/>
  <c r="F15" i="4"/>
  <c r="B15" i="4" s="1"/>
  <c r="A17" i="4"/>
  <c r="F17" i="4"/>
  <c r="B17" i="4" s="1"/>
  <c r="A19" i="4"/>
  <c r="F19" i="4"/>
  <c r="B19" i="4" s="1"/>
  <c r="A21" i="4"/>
  <c r="F21" i="4"/>
  <c r="B21" i="4" s="1"/>
  <c r="A23" i="4"/>
  <c r="F23" i="4"/>
  <c r="B23" i="4" s="1"/>
  <c r="A25" i="4"/>
  <c r="F25" i="4"/>
  <c r="B25" i="4" s="1"/>
  <c r="A27" i="4"/>
  <c r="F27" i="4"/>
  <c r="B27" i="4" s="1"/>
  <c r="A29" i="4"/>
  <c r="F29" i="4"/>
  <c r="B29" i="4" s="1"/>
  <c r="A31" i="4"/>
  <c r="F31" i="4"/>
  <c r="B31" i="4" s="1"/>
  <c r="A33" i="4"/>
  <c r="F33" i="4"/>
  <c r="B33" i="4" s="1"/>
  <c r="A35" i="4"/>
  <c r="F35" i="4"/>
  <c r="B35" i="4" s="1"/>
  <c r="A37" i="4"/>
  <c r="F37" i="4"/>
  <c r="B37" i="4" s="1"/>
  <c r="A39" i="4"/>
  <c r="F39" i="4"/>
  <c r="B39" i="4" s="1"/>
  <c r="A41" i="4"/>
  <c r="F41" i="4"/>
  <c r="B41" i="4" s="1"/>
  <c r="A43" i="4"/>
  <c r="F43" i="4"/>
  <c r="B43" i="4" s="1"/>
  <c r="A45" i="4"/>
  <c r="F45" i="4"/>
  <c r="B45" i="4" s="1"/>
  <c r="A47" i="4"/>
  <c r="F47" i="4"/>
  <c r="B47" i="4" s="1"/>
  <c r="A49" i="4"/>
  <c r="F49" i="4"/>
  <c r="B49" i="4" s="1"/>
  <c r="A51" i="4"/>
  <c r="F51" i="4"/>
  <c r="B51" i="4" s="1"/>
  <c r="A53" i="4"/>
  <c r="F53" i="4"/>
  <c r="B53" i="4" s="1"/>
  <c r="A55" i="4"/>
  <c r="F55" i="4"/>
  <c r="B55" i="4" s="1"/>
  <c r="A57" i="4"/>
  <c r="F57" i="4"/>
  <c r="B57" i="4" s="1"/>
  <c r="A59" i="4"/>
  <c r="F59" i="4"/>
  <c r="B59" i="4" s="1"/>
  <c r="A61" i="4"/>
  <c r="F61" i="4"/>
  <c r="B61" i="4" s="1"/>
  <c r="A63" i="4"/>
  <c r="F63" i="4"/>
  <c r="B63" i="4" s="1"/>
  <c r="A65" i="4"/>
  <c r="F65" i="4"/>
  <c r="B65" i="4" s="1"/>
  <c r="A67" i="4"/>
  <c r="F67" i="4"/>
  <c r="B67" i="4" s="1"/>
  <c r="A69" i="4"/>
  <c r="F69" i="4"/>
  <c r="B69" i="4" s="1"/>
  <c r="A74" i="4"/>
  <c r="G74" i="4"/>
  <c r="C74" i="4" s="1"/>
  <c r="F76" i="4"/>
  <c r="B76" i="4" s="1"/>
  <c r="F77" i="4"/>
  <c r="B77" i="4" s="1"/>
  <c r="A77" i="4"/>
  <c r="A82" i="4"/>
  <c r="G82" i="4"/>
  <c r="C82" i="4" s="1"/>
  <c r="F84" i="4"/>
  <c r="B84" i="4" s="1"/>
  <c r="F85" i="4"/>
  <c r="B85" i="4" s="1"/>
  <c r="A85" i="4"/>
  <c r="G92" i="4"/>
  <c r="C92" i="4" s="1"/>
  <c r="C100" i="4"/>
  <c r="G100" i="4"/>
  <c r="C108" i="4"/>
  <c r="G108" i="4"/>
  <c r="F114" i="4"/>
  <c r="B114" i="4" s="1"/>
  <c r="A114" i="4"/>
  <c r="C114" i="4"/>
  <c r="G114" i="4"/>
  <c r="F71" i="4"/>
  <c r="B71" i="4" s="1"/>
  <c r="A71" i="4"/>
  <c r="A76" i="4"/>
  <c r="G76" i="4"/>
  <c r="C76" i="4" s="1"/>
  <c r="F79" i="4"/>
  <c r="B79" i="4" s="1"/>
  <c r="A79" i="4"/>
  <c r="A84" i="4"/>
  <c r="G84" i="4"/>
  <c r="C84" i="4" s="1"/>
  <c r="F87" i="4"/>
  <c r="B87" i="4" s="1"/>
  <c r="A87" i="4"/>
  <c r="G90" i="4"/>
  <c r="C90" i="4" s="1"/>
  <c r="F92" i="4"/>
  <c r="B92" i="4" s="1"/>
  <c r="C98" i="4"/>
  <c r="G98" i="4"/>
  <c r="F100" i="4"/>
  <c r="B100" i="4" s="1"/>
  <c r="C106" i="4"/>
  <c r="G106" i="4"/>
  <c r="F108" i="4"/>
  <c r="B108" i="4" s="1"/>
  <c r="F116" i="4"/>
  <c r="B116" i="4" s="1"/>
  <c r="A116" i="4"/>
  <c r="C116" i="4"/>
  <c r="G116" i="4"/>
  <c r="F73" i="4"/>
  <c r="B73" i="4" s="1"/>
  <c r="A73" i="4"/>
  <c r="F81" i="4"/>
  <c r="B81" i="4" s="1"/>
  <c r="A81" i="4"/>
  <c r="F89" i="4"/>
  <c r="B89" i="4" s="1"/>
  <c r="A89" i="4"/>
  <c r="C96" i="4"/>
  <c r="G96" i="4"/>
  <c r="C104" i="4"/>
  <c r="G104" i="4"/>
  <c r="C112" i="4"/>
  <c r="G112" i="4"/>
  <c r="F118" i="4"/>
  <c r="B118" i="4" s="1"/>
  <c r="A118" i="4"/>
  <c r="C118" i="4"/>
  <c r="G118" i="4"/>
  <c r="G73" i="4"/>
  <c r="C73" i="4" s="1"/>
  <c r="F74" i="4"/>
  <c r="B74" i="4" s="1"/>
  <c r="F75" i="4"/>
  <c r="B75" i="4" s="1"/>
  <c r="A75" i="4"/>
  <c r="G81" i="4"/>
  <c r="C81" i="4" s="1"/>
  <c r="F82" i="4"/>
  <c r="B82" i="4" s="1"/>
  <c r="F83" i="4"/>
  <c r="B83" i="4" s="1"/>
  <c r="A83" i="4"/>
  <c r="G89" i="4"/>
  <c r="C89" i="4" s="1"/>
  <c r="G94" i="4"/>
  <c r="C94" i="4" s="1"/>
  <c r="F96" i="4"/>
  <c r="B96" i="4" s="1"/>
  <c r="C102" i="4"/>
  <c r="G102" i="4"/>
  <c r="F104" i="4"/>
  <c r="B104" i="4" s="1"/>
  <c r="C110" i="4"/>
  <c r="G110" i="4"/>
  <c r="F112" i="4"/>
  <c r="B112" i="4" s="1"/>
  <c r="F120" i="4"/>
  <c r="B120" i="4" s="1"/>
  <c r="A120" i="4"/>
  <c r="C120" i="4"/>
  <c r="G120" i="4"/>
  <c r="G122" i="4"/>
  <c r="A126" i="4"/>
  <c r="G126" i="4"/>
  <c r="F128" i="4"/>
  <c r="B128" i="4" s="1"/>
  <c r="F132" i="4"/>
  <c r="B132" i="4" s="1"/>
  <c r="A132" i="4"/>
  <c r="C132" i="4"/>
  <c r="F136" i="4"/>
  <c r="B136" i="4" s="1"/>
  <c r="A136" i="4"/>
  <c r="C136" i="4"/>
  <c r="F140" i="4"/>
  <c r="B140" i="4" s="1"/>
  <c r="A140" i="4"/>
  <c r="C140" i="4"/>
  <c r="F144" i="4"/>
  <c r="B144" i="4" s="1"/>
  <c r="A144" i="4"/>
  <c r="C144" i="4"/>
  <c r="F148" i="4"/>
  <c r="B148" i="4" s="1"/>
  <c r="A148" i="4"/>
  <c r="C148" i="4"/>
  <c r="F152" i="4"/>
  <c r="B152" i="4" s="1"/>
  <c r="A152" i="4"/>
  <c r="C152" i="4"/>
  <c r="F156" i="4"/>
  <c r="B156" i="4" s="1"/>
  <c r="A156" i="4"/>
  <c r="C156" i="4"/>
  <c r="F160" i="4"/>
  <c r="B160" i="4" s="1"/>
  <c r="A160" i="4"/>
  <c r="C160" i="4"/>
  <c r="F164" i="4"/>
  <c r="B164" i="4" s="1"/>
  <c r="A164" i="4"/>
  <c r="C164" i="4"/>
  <c r="F168" i="4"/>
  <c r="B168" i="4" s="1"/>
  <c r="A168" i="4"/>
  <c r="C168" i="4"/>
  <c r="F172" i="4"/>
  <c r="B172" i="4" s="1"/>
  <c r="A172" i="4"/>
  <c r="C172" i="4"/>
  <c r="F176" i="4"/>
  <c r="B176" i="4" s="1"/>
  <c r="A176" i="4"/>
  <c r="C176" i="4"/>
  <c r="F180" i="4"/>
  <c r="B180" i="4" s="1"/>
  <c r="A180" i="4"/>
  <c r="C180" i="4"/>
  <c r="F184" i="4"/>
  <c r="B184" i="4" s="1"/>
  <c r="A184" i="4"/>
  <c r="C184" i="4"/>
  <c r="F188" i="4"/>
  <c r="B188" i="4" s="1"/>
  <c r="A188" i="4"/>
  <c r="C188" i="4"/>
  <c r="F192" i="4"/>
  <c r="B192" i="4" s="1"/>
  <c r="A192" i="4"/>
  <c r="C192" i="4"/>
  <c r="F196" i="4"/>
  <c r="B196" i="4" s="1"/>
  <c r="A196" i="4"/>
  <c r="C196" i="4"/>
  <c r="F200" i="4"/>
  <c r="B200" i="4" s="1"/>
  <c r="A200" i="4"/>
  <c r="C200" i="4"/>
  <c r="F211" i="4"/>
  <c r="B211" i="4" s="1"/>
  <c r="A211" i="4"/>
  <c r="G211" i="4"/>
  <c r="C211" i="4"/>
  <c r="A91" i="4"/>
  <c r="A93" i="4"/>
  <c r="A95" i="4"/>
  <c r="A97" i="4"/>
  <c r="A99" i="4"/>
  <c r="A101" i="4"/>
  <c r="A103" i="4"/>
  <c r="A105" i="4"/>
  <c r="A107" i="4"/>
  <c r="A109" i="4"/>
  <c r="A111" i="4"/>
  <c r="A113" i="4"/>
  <c r="A115" i="4"/>
  <c r="A117" i="4"/>
  <c r="A119" i="4"/>
  <c r="A121" i="4"/>
  <c r="C122" i="4"/>
  <c r="A123" i="4"/>
  <c r="A128" i="4"/>
  <c r="G128" i="4"/>
  <c r="C131" i="4"/>
  <c r="F131" i="4"/>
  <c r="B131" i="4" s="1"/>
  <c r="A131" i="4"/>
  <c r="G132" i="4"/>
  <c r="C135" i="4"/>
  <c r="F135" i="4"/>
  <c r="B135" i="4" s="1"/>
  <c r="A135" i="4"/>
  <c r="G136" i="4"/>
  <c r="C139" i="4"/>
  <c r="F139" i="4"/>
  <c r="B139" i="4" s="1"/>
  <c r="A139" i="4"/>
  <c r="G140" i="4"/>
  <c r="C143" i="4"/>
  <c r="F143" i="4"/>
  <c r="B143" i="4" s="1"/>
  <c r="A143" i="4"/>
  <c r="G144" i="4"/>
  <c r="C147" i="4"/>
  <c r="F147" i="4"/>
  <c r="B147" i="4" s="1"/>
  <c r="A147" i="4"/>
  <c r="G148" i="4"/>
  <c r="C151" i="4"/>
  <c r="F151" i="4"/>
  <c r="B151" i="4" s="1"/>
  <c r="A151" i="4"/>
  <c r="G152" i="4"/>
  <c r="C155" i="4"/>
  <c r="F155" i="4"/>
  <c r="B155" i="4" s="1"/>
  <c r="A155" i="4"/>
  <c r="G156" i="4"/>
  <c r="C159" i="4"/>
  <c r="F159" i="4"/>
  <c r="B159" i="4" s="1"/>
  <c r="A159" i="4"/>
  <c r="G160" i="4"/>
  <c r="C163" i="4"/>
  <c r="F163" i="4"/>
  <c r="B163" i="4" s="1"/>
  <c r="A163" i="4"/>
  <c r="G164" i="4"/>
  <c r="C167" i="4"/>
  <c r="F167" i="4"/>
  <c r="B167" i="4" s="1"/>
  <c r="A167" i="4"/>
  <c r="G168" i="4"/>
  <c r="C171" i="4"/>
  <c r="F171" i="4"/>
  <c r="B171" i="4" s="1"/>
  <c r="A171" i="4"/>
  <c r="G172" i="4"/>
  <c r="C175" i="4"/>
  <c r="F175" i="4"/>
  <c r="B175" i="4" s="1"/>
  <c r="A175" i="4"/>
  <c r="G176" i="4"/>
  <c r="C179" i="4"/>
  <c r="F179" i="4"/>
  <c r="B179" i="4" s="1"/>
  <c r="A179" i="4"/>
  <c r="G180" i="4"/>
  <c r="C183" i="4"/>
  <c r="F183" i="4"/>
  <c r="B183" i="4" s="1"/>
  <c r="A183" i="4"/>
  <c r="G184" i="4"/>
  <c r="C187" i="4"/>
  <c r="F187" i="4"/>
  <c r="B187" i="4" s="1"/>
  <c r="A187" i="4"/>
  <c r="G188" i="4"/>
  <c r="C191" i="4"/>
  <c r="F191" i="4"/>
  <c r="B191" i="4" s="1"/>
  <c r="A191" i="4"/>
  <c r="G192" i="4"/>
  <c r="C195" i="4"/>
  <c r="F195" i="4"/>
  <c r="B195" i="4" s="1"/>
  <c r="A195" i="4"/>
  <c r="G196" i="4"/>
  <c r="C199" i="4"/>
  <c r="F199" i="4"/>
  <c r="B199" i="4" s="1"/>
  <c r="A199" i="4"/>
  <c r="G200" i="4"/>
  <c r="C204" i="4"/>
  <c r="F204" i="4"/>
  <c r="B204" i="4" s="1"/>
  <c r="G204" i="4"/>
  <c r="C212" i="4"/>
  <c r="F212" i="4"/>
  <c r="B212" i="4" s="1"/>
  <c r="G212" i="4"/>
  <c r="A212" i="4"/>
  <c r="F125" i="4"/>
  <c r="B125" i="4" s="1"/>
  <c r="A125" i="4"/>
  <c r="F130" i="4"/>
  <c r="B130" i="4" s="1"/>
  <c r="A130" i="4"/>
  <c r="C130" i="4"/>
  <c r="F134" i="4"/>
  <c r="B134" i="4" s="1"/>
  <c r="A134" i="4"/>
  <c r="C134" i="4"/>
  <c r="F138" i="4"/>
  <c r="B138" i="4" s="1"/>
  <c r="A138" i="4"/>
  <c r="C138" i="4"/>
  <c r="F142" i="4"/>
  <c r="B142" i="4" s="1"/>
  <c r="A142" i="4"/>
  <c r="C142" i="4"/>
  <c r="F146" i="4"/>
  <c r="B146" i="4" s="1"/>
  <c r="A146" i="4"/>
  <c r="C146" i="4"/>
  <c r="F150" i="4"/>
  <c r="B150" i="4" s="1"/>
  <c r="A150" i="4"/>
  <c r="C150" i="4"/>
  <c r="F154" i="4"/>
  <c r="B154" i="4" s="1"/>
  <c r="A154" i="4"/>
  <c r="C154" i="4"/>
  <c r="F158" i="4"/>
  <c r="B158" i="4" s="1"/>
  <c r="A158" i="4"/>
  <c r="C158" i="4"/>
  <c r="F162" i="4"/>
  <c r="B162" i="4" s="1"/>
  <c r="A162" i="4"/>
  <c r="C162" i="4"/>
  <c r="F166" i="4"/>
  <c r="B166" i="4" s="1"/>
  <c r="A166" i="4"/>
  <c r="C166" i="4"/>
  <c r="F170" i="4"/>
  <c r="B170" i="4" s="1"/>
  <c r="A170" i="4"/>
  <c r="C170" i="4"/>
  <c r="F174" i="4"/>
  <c r="B174" i="4" s="1"/>
  <c r="A174" i="4"/>
  <c r="C174" i="4"/>
  <c r="F178" i="4"/>
  <c r="B178" i="4" s="1"/>
  <c r="A178" i="4"/>
  <c r="C178" i="4"/>
  <c r="F182" i="4"/>
  <c r="B182" i="4" s="1"/>
  <c r="A182" i="4"/>
  <c r="C182" i="4"/>
  <c r="F186" i="4"/>
  <c r="B186" i="4" s="1"/>
  <c r="A186" i="4"/>
  <c r="C186" i="4"/>
  <c r="F190" i="4"/>
  <c r="B190" i="4" s="1"/>
  <c r="A190" i="4"/>
  <c r="C190" i="4"/>
  <c r="F194" i="4"/>
  <c r="B194" i="4" s="1"/>
  <c r="A194" i="4"/>
  <c r="C194" i="4"/>
  <c r="F198" i="4"/>
  <c r="B198" i="4" s="1"/>
  <c r="A198" i="4"/>
  <c r="C198" i="4"/>
  <c r="A122" i="4"/>
  <c r="G125" i="4"/>
  <c r="F126" i="4"/>
  <c r="B126" i="4" s="1"/>
  <c r="F127" i="4"/>
  <c r="B127" i="4" s="1"/>
  <c r="A127" i="4"/>
  <c r="C129" i="4"/>
  <c r="F129" i="4"/>
  <c r="B129" i="4" s="1"/>
  <c r="A129" i="4"/>
  <c r="G130" i="4"/>
  <c r="C133" i="4"/>
  <c r="F133" i="4"/>
  <c r="B133" i="4" s="1"/>
  <c r="A133" i="4"/>
  <c r="G134" i="4"/>
  <c r="C137" i="4"/>
  <c r="F137" i="4"/>
  <c r="B137" i="4" s="1"/>
  <c r="A137" i="4"/>
  <c r="G138" i="4"/>
  <c r="C141" i="4"/>
  <c r="F141" i="4"/>
  <c r="B141" i="4" s="1"/>
  <c r="A141" i="4"/>
  <c r="G142" i="4"/>
  <c r="C145" i="4"/>
  <c r="F145" i="4"/>
  <c r="B145" i="4" s="1"/>
  <c r="A145" i="4"/>
  <c r="G146" i="4"/>
  <c r="C149" i="4"/>
  <c r="F149" i="4"/>
  <c r="B149" i="4" s="1"/>
  <c r="A149" i="4"/>
  <c r="G150" i="4"/>
  <c r="C153" i="4"/>
  <c r="F153" i="4"/>
  <c r="B153" i="4" s="1"/>
  <c r="A153" i="4"/>
  <c r="G154" i="4"/>
  <c r="C157" i="4"/>
  <c r="F157" i="4"/>
  <c r="B157" i="4" s="1"/>
  <c r="A157" i="4"/>
  <c r="G158" i="4"/>
  <c r="C161" i="4"/>
  <c r="F161" i="4"/>
  <c r="B161" i="4" s="1"/>
  <c r="A161" i="4"/>
  <c r="G162" i="4"/>
  <c r="C165" i="4"/>
  <c r="F165" i="4"/>
  <c r="B165" i="4" s="1"/>
  <c r="A165" i="4"/>
  <c r="G166" i="4"/>
  <c r="C169" i="4"/>
  <c r="F169" i="4"/>
  <c r="B169" i="4" s="1"/>
  <c r="A169" i="4"/>
  <c r="G170" i="4"/>
  <c r="C173" i="4"/>
  <c r="F173" i="4"/>
  <c r="B173" i="4" s="1"/>
  <c r="A173" i="4"/>
  <c r="G174" i="4"/>
  <c r="C177" i="4"/>
  <c r="F177" i="4"/>
  <c r="B177" i="4" s="1"/>
  <c r="A177" i="4"/>
  <c r="G178" i="4"/>
  <c r="C181" i="4"/>
  <c r="F181" i="4"/>
  <c r="B181" i="4" s="1"/>
  <c r="A181" i="4"/>
  <c r="G182" i="4"/>
  <c r="C185" i="4"/>
  <c r="F185" i="4"/>
  <c r="B185" i="4" s="1"/>
  <c r="A185" i="4"/>
  <c r="G186" i="4"/>
  <c r="C189" i="4"/>
  <c r="F189" i="4"/>
  <c r="B189" i="4" s="1"/>
  <c r="A189" i="4"/>
  <c r="G190" i="4"/>
  <c r="C193" i="4"/>
  <c r="F193" i="4"/>
  <c r="B193" i="4" s="1"/>
  <c r="A193" i="4"/>
  <c r="G194" i="4"/>
  <c r="C197" i="4"/>
  <c r="F197" i="4"/>
  <c r="B197" i="4" s="1"/>
  <c r="A197" i="4"/>
  <c r="G198" i="4"/>
  <c r="C201" i="4"/>
  <c r="F201" i="4"/>
  <c r="B201" i="4" s="1"/>
  <c r="A201" i="4"/>
  <c r="F203" i="4"/>
  <c r="B203" i="4" s="1"/>
  <c r="A203" i="4"/>
  <c r="G203" i="4"/>
  <c r="C203" i="4"/>
  <c r="F207" i="4"/>
  <c r="B207" i="4" s="1"/>
  <c r="A207" i="4"/>
  <c r="F215" i="4"/>
  <c r="B215" i="4" s="1"/>
  <c r="A215" i="4"/>
  <c r="A220" i="4"/>
  <c r="G220" i="4"/>
  <c r="G227" i="4"/>
  <c r="F227" i="4"/>
  <c r="B227" i="4" s="1"/>
  <c r="A227" i="4"/>
  <c r="G235" i="4"/>
  <c r="F235" i="4"/>
  <c r="B235" i="4" s="1"/>
  <c r="A235" i="4"/>
  <c r="G243" i="4"/>
  <c r="F243" i="4"/>
  <c r="B243" i="4" s="1"/>
  <c r="A243" i="4"/>
  <c r="G338" i="4"/>
  <c r="F338" i="4"/>
  <c r="B338" i="4" s="1"/>
  <c r="A338" i="4"/>
  <c r="C338" i="4"/>
  <c r="G342" i="4"/>
  <c r="F342" i="4"/>
  <c r="B342" i="4" s="1"/>
  <c r="A342" i="4"/>
  <c r="C342" i="4"/>
  <c r="G346" i="4"/>
  <c r="F346" i="4"/>
  <c r="B346" i="4" s="1"/>
  <c r="A346" i="4"/>
  <c r="C346" i="4"/>
  <c r="G350" i="4"/>
  <c r="F350" i="4"/>
  <c r="B350" i="4" s="1"/>
  <c r="A350" i="4"/>
  <c r="C350" i="4"/>
  <c r="G354" i="4"/>
  <c r="F354" i="4"/>
  <c r="B354" i="4" s="1"/>
  <c r="A354" i="4"/>
  <c r="C354" i="4"/>
  <c r="G446" i="4"/>
  <c r="C446" i="4"/>
  <c r="A446" i="4"/>
  <c r="F446" i="4"/>
  <c r="B446" i="4" s="1"/>
  <c r="A206" i="4"/>
  <c r="G206" i="4"/>
  <c r="G207" i="4"/>
  <c r="F208" i="4"/>
  <c r="B208" i="4" s="1"/>
  <c r="F209" i="4"/>
  <c r="B209" i="4" s="1"/>
  <c r="A209" i="4"/>
  <c r="A214" i="4"/>
  <c r="G214" i="4"/>
  <c r="G215" i="4"/>
  <c r="F216" i="4"/>
  <c r="B216" i="4" s="1"/>
  <c r="F217" i="4"/>
  <c r="B217" i="4" s="1"/>
  <c r="A217" i="4"/>
  <c r="G225" i="4"/>
  <c r="F225" i="4"/>
  <c r="B225" i="4" s="1"/>
  <c r="A225" i="4"/>
  <c r="G233" i="4"/>
  <c r="F233" i="4"/>
  <c r="B233" i="4" s="1"/>
  <c r="A233" i="4"/>
  <c r="G241" i="4"/>
  <c r="F241" i="4"/>
  <c r="B241" i="4" s="1"/>
  <c r="A241" i="4"/>
  <c r="G249" i="4"/>
  <c r="F249" i="4"/>
  <c r="B249" i="4" s="1"/>
  <c r="A249" i="4"/>
  <c r="G251" i="4"/>
  <c r="F251" i="4"/>
  <c r="B251" i="4" s="1"/>
  <c r="A251" i="4"/>
  <c r="G253" i="4"/>
  <c r="F253" i="4"/>
  <c r="B253" i="4" s="1"/>
  <c r="A253" i="4"/>
  <c r="G255" i="4"/>
  <c r="F255" i="4"/>
  <c r="B255" i="4" s="1"/>
  <c r="A255" i="4"/>
  <c r="G257" i="4"/>
  <c r="F257" i="4"/>
  <c r="B257" i="4" s="1"/>
  <c r="A257" i="4"/>
  <c r="G259" i="4"/>
  <c r="F259" i="4"/>
  <c r="B259" i="4" s="1"/>
  <c r="A259" i="4"/>
  <c r="G261" i="4"/>
  <c r="F261" i="4"/>
  <c r="B261" i="4" s="1"/>
  <c r="A261" i="4"/>
  <c r="G263" i="4"/>
  <c r="F263" i="4"/>
  <c r="B263" i="4" s="1"/>
  <c r="A263" i="4"/>
  <c r="G265" i="4"/>
  <c r="F265" i="4"/>
  <c r="B265" i="4" s="1"/>
  <c r="A265" i="4"/>
  <c r="G267" i="4"/>
  <c r="F267" i="4"/>
  <c r="B267" i="4" s="1"/>
  <c r="A267" i="4"/>
  <c r="G269" i="4"/>
  <c r="F269" i="4"/>
  <c r="B269" i="4" s="1"/>
  <c r="A269" i="4"/>
  <c r="G271" i="4"/>
  <c r="F271" i="4"/>
  <c r="B271" i="4" s="1"/>
  <c r="A271" i="4"/>
  <c r="G273" i="4"/>
  <c r="F273" i="4"/>
  <c r="B273" i="4" s="1"/>
  <c r="A273" i="4"/>
  <c r="G275" i="4"/>
  <c r="F275" i="4"/>
  <c r="B275" i="4" s="1"/>
  <c r="A275" i="4"/>
  <c r="G277" i="4"/>
  <c r="F277" i="4"/>
  <c r="B277" i="4" s="1"/>
  <c r="A277" i="4"/>
  <c r="G279" i="4"/>
  <c r="F279" i="4"/>
  <c r="B279" i="4" s="1"/>
  <c r="A279" i="4"/>
  <c r="G281" i="4"/>
  <c r="F281" i="4"/>
  <c r="B281" i="4" s="1"/>
  <c r="A281" i="4"/>
  <c r="G283" i="4"/>
  <c r="F283" i="4"/>
  <c r="B283" i="4" s="1"/>
  <c r="A283" i="4"/>
  <c r="G285" i="4"/>
  <c r="F285" i="4"/>
  <c r="B285" i="4" s="1"/>
  <c r="A285" i="4"/>
  <c r="G287" i="4"/>
  <c r="F287" i="4"/>
  <c r="B287" i="4" s="1"/>
  <c r="A287" i="4"/>
  <c r="G289" i="4"/>
  <c r="F289" i="4"/>
  <c r="B289" i="4" s="1"/>
  <c r="A289" i="4"/>
  <c r="G291" i="4"/>
  <c r="F291" i="4"/>
  <c r="B291" i="4" s="1"/>
  <c r="A291" i="4"/>
  <c r="G293" i="4"/>
  <c r="F293" i="4"/>
  <c r="B293" i="4" s="1"/>
  <c r="A293" i="4"/>
  <c r="G295" i="4"/>
  <c r="F295" i="4"/>
  <c r="B295" i="4" s="1"/>
  <c r="A295" i="4"/>
  <c r="G297" i="4"/>
  <c r="F297" i="4"/>
  <c r="B297" i="4" s="1"/>
  <c r="A297" i="4"/>
  <c r="G299" i="4"/>
  <c r="F299" i="4"/>
  <c r="B299" i="4" s="1"/>
  <c r="A299" i="4"/>
  <c r="G301" i="4"/>
  <c r="F301" i="4"/>
  <c r="B301" i="4" s="1"/>
  <c r="A301" i="4"/>
  <c r="G303" i="4"/>
  <c r="F303" i="4"/>
  <c r="B303" i="4" s="1"/>
  <c r="A303" i="4"/>
  <c r="G305" i="4"/>
  <c r="F305" i="4"/>
  <c r="B305" i="4" s="1"/>
  <c r="A305" i="4"/>
  <c r="G307" i="4"/>
  <c r="F307" i="4"/>
  <c r="B307" i="4" s="1"/>
  <c r="A307" i="4"/>
  <c r="G309" i="4"/>
  <c r="F309" i="4"/>
  <c r="B309" i="4" s="1"/>
  <c r="A309" i="4"/>
  <c r="G311" i="4"/>
  <c r="F311" i="4"/>
  <c r="B311" i="4" s="1"/>
  <c r="A311" i="4"/>
  <c r="G313" i="4"/>
  <c r="F313" i="4"/>
  <c r="B313" i="4" s="1"/>
  <c r="A313" i="4"/>
  <c r="G315" i="4"/>
  <c r="F315" i="4"/>
  <c r="B315" i="4" s="1"/>
  <c r="A315" i="4"/>
  <c r="G317" i="4"/>
  <c r="F317" i="4"/>
  <c r="B317" i="4" s="1"/>
  <c r="A317" i="4"/>
  <c r="G319" i="4"/>
  <c r="F319" i="4"/>
  <c r="B319" i="4" s="1"/>
  <c r="A319" i="4"/>
  <c r="G321" i="4"/>
  <c r="F321" i="4"/>
  <c r="B321" i="4" s="1"/>
  <c r="A321" i="4"/>
  <c r="G323" i="4"/>
  <c r="F323" i="4"/>
  <c r="B323" i="4" s="1"/>
  <c r="A323" i="4"/>
  <c r="G325" i="4"/>
  <c r="F325" i="4"/>
  <c r="B325" i="4" s="1"/>
  <c r="A325" i="4"/>
  <c r="G327" i="4"/>
  <c r="F327" i="4"/>
  <c r="B327" i="4" s="1"/>
  <c r="A327" i="4"/>
  <c r="G329" i="4"/>
  <c r="F329" i="4"/>
  <c r="B329" i="4" s="1"/>
  <c r="A329" i="4"/>
  <c r="G331" i="4"/>
  <c r="F331" i="4"/>
  <c r="B331" i="4" s="1"/>
  <c r="A331" i="4"/>
  <c r="G333" i="4"/>
  <c r="F333" i="4"/>
  <c r="B333" i="4" s="1"/>
  <c r="A333" i="4"/>
  <c r="G335" i="4"/>
  <c r="F335" i="4"/>
  <c r="B335" i="4" s="1"/>
  <c r="A335" i="4"/>
  <c r="C398" i="4"/>
  <c r="G398" i="4"/>
  <c r="A398" i="4"/>
  <c r="F398" i="4"/>
  <c r="B398" i="4" s="1"/>
  <c r="C414" i="4"/>
  <c r="G414" i="4"/>
  <c r="A414" i="4"/>
  <c r="F414" i="4"/>
  <c r="B414" i="4" s="1"/>
  <c r="F219" i="4"/>
  <c r="B219" i="4" s="1"/>
  <c r="A219" i="4"/>
  <c r="G223" i="4"/>
  <c r="F223" i="4"/>
  <c r="B223" i="4" s="1"/>
  <c r="A223" i="4"/>
  <c r="G231" i="4"/>
  <c r="F231" i="4"/>
  <c r="B231" i="4" s="1"/>
  <c r="A231" i="4"/>
  <c r="G239" i="4"/>
  <c r="F239" i="4"/>
  <c r="B239" i="4" s="1"/>
  <c r="A239" i="4"/>
  <c r="G247" i="4"/>
  <c r="F247" i="4"/>
  <c r="B247" i="4" s="1"/>
  <c r="A247" i="4"/>
  <c r="G340" i="4"/>
  <c r="F340" i="4"/>
  <c r="B340" i="4" s="1"/>
  <c r="A340" i="4"/>
  <c r="C340" i="4"/>
  <c r="G344" i="4"/>
  <c r="F344" i="4"/>
  <c r="B344" i="4" s="1"/>
  <c r="A344" i="4"/>
  <c r="C344" i="4"/>
  <c r="G348" i="4"/>
  <c r="F348" i="4"/>
  <c r="B348" i="4" s="1"/>
  <c r="A348" i="4"/>
  <c r="C348" i="4"/>
  <c r="G352" i="4"/>
  <c r="F352" i="4"/>
  <c r="B352" i="4" s="1"/>
  <c r="A352" i="4"/>
  <c r="C352" i="4"/>
  <c r="G356" i="4"/>
  <c r="F356" i="4"/>
  <c r="B356" i="4" s="1"/>
  <c r="A356" i="4"/>
  <c r="C356" i="4"/>
  <c r="C364" i="4"/>
  <c r="G364" i="4"/>
  <c r="F364" i="4"/>
  <c r="B364" i="4" s="1"/>
  <c r="A364" i="4"/>
  <c r="C372" i="4"/>
  <c r="G372" i="4"/>
  <c r="F372" i="4"/>
  <c r="B372" i="4" s="1"/>
  <c r="A372" i="4"/>
  <c r="C380" i="4"/>
  <c r="G380" i="4"/>
  <c r="F380" i="4"/>
  <c r="B380" i="4" s="1"/>
  <c r="A380" i="4"/>
  <c r="C388" i="4"/>
  <c r="G388" i="4"/>
  <c r="F388" i="4"/>
  <c r="B388" i="4" s="1"/>
  <c r="A388" i="4"/>
  <c r="F205" i="4"/>
  <c r="B205" i="4" s="1"/>
  <c r="A205" i="4"/>
  <c r="C207" i="4"/>
  <c r="F213" i="4"/>
  <c r="B213" i="4" s="1"/>
  <c r="A213" i="4"/>
  <c r="C215" i="4"/>
  <c r="G219" i="4"/>
  <c r="F220" i="4"/>
  <c r="B220" i="4" s="1"/>
  <c r="G221" i="4"/>
  <c r="F221" i="4"/>
  <c r="B221" i="4" s="1"/>
  <c r="A221" i="4"/>
  <c r="C227" i="4"/>
  <c r="G229" i="4"/>
  <c r="F229" i="4"/>
  <c r="B229" i="4" s="1"/>
  <c r="A229" i="4"/>
  <c r="C235" i="4"/>
  <c r="G237" i="4"/>
  <c r="F237" i="4"/>
  <c r="B237" i="4" s="1"/>
  <c r="A237" i="4"/>
  <c r="C243" i="4"/>
  <c r="G245" i="4"/>
  <c r="F245" i="4"/>
  <c r="B245" i="4" s="1"/>
  <c r="A245" i="4"/>
  <c r="C362" i="4"/>
  <c r="G362" i="4"/>
  <c r="F362" i="4"/>
  <c r="B362" i="4" s="1"/>
  <c r="A362" i="4"/>
  <c r="C406" i="4"/>
  <c r="G406" i="4"/>
  <c r="A406" i="4"/>
  <c r="F406" i="4"/>
  <c r="B406" i="4" s="1"/>
  <c r="C370" i="4"/>
  <c r="G370" i="4"/>
  <c r="F370" i="4"/>
  <c r="B370" i="4" s="1"/>
  <c r="A370" i="4"/>
  <c r="C378" i="4"/>
  <c r="G378" i="4"/>
  <c r="F378" i="4"/>
  <c r="B378" i="4" s="1"/>
  <c r="A378" i="4"/>
  <c r="C386" i="4"/>
  <c r="G386" i="4"/>
  <c r="F386" i="4"/>
  <c r="B386" i="4" s="1"/>
  <c r="A386" i="4"/>
  <c r="G426" i="4"/>
  <c r="F426" i="4"/>
  <c r="B426" i="4" s="1"/>
  <c r="C426" i="4"/>
  <c r="A426" i="4"/>
  <c r="C360" i="4"/>
  <c r="G360" i="4"/>
  <c r="F360" i="4"/>
  <c r="B360" i="4" s="1"/>
  <c r="A360" i="4"/>
  <c r="C368" i="4"/>
  <c r="G368" i="4"/>
  <c r="F368" i="4"/>
  <c r="B368" i="4" s="1"/>
  <c r="A368" i="4"/>
  <c r="C376" i="4"/>
  <c r="G376" i="4"/>
  <c r="F376" i="4"/>
  <c r="B376" i="4" s="1"/>
  <c r="A376" i="4"/>
  <c r="C384" i="4"/>
  <c r="G384" i="4"/>
  <c r="F384" i="4"/>
  <c r="B384" i="4" s="1"/>
  <c r="A384" i="4"/>
  <c r="C358" i="4"/>
  <c r="G358" i="4"/>
  <c r="F358" i="4"/>
  <c r="B358" i="4" s="1"/>
  <c r="A358" i="4"/>
  <c r="C366" i="4"/>
  <c r="G366" i="4"/>
  <c r="F366" i="4"/>
  <c r="B366" i="4" s="1"/>
  <c r="A366" i="4"/>
  <c r="C374" i="4"/>
  <c r="G374" i="4"/>
  <c r="F374" i="4"/>
  <c r="B374" i="4" s="1"/>
  <c r="A374" i="4"/>
  <c r="C382" i="4"/>
  <c r="G382" i="4"/>
  <c r="F382" i="4"/>
  <c r="B382" i="4" s="1"/>
  <c r="A382" i="4"/>
  <c r="C390" i="4"/>
  <c r="G390" i="4"/>
  <c r="F390" i="4"/>
  <c r="B390" i="4" s="1"/>
  <c r="A390" i="4"/>
  <c r="F397" i="4"/>
  <c r="B397" i="4" s="1"/>
  <c r="A397" i="4"/>
  <c r="C397" i="4"/>
  <c r="G397" i="4"/>
  <c r="F405" i="4"/>
  <c r="B405" i="4" s="1"/>
  <c r="A405" i="4"/>
  <c r="C405" i="4"/>
  <c r="G405" i="4"/>
  <c r="F413" i="4"/>
  <c r="B413" i="4" s="1"/>
  <c r="A413" i="4"/>
  <c r="C413" i="4"/>
  <c r="G413" i="4"/>
  <c r="G428" i="4"/>
  <c r="C428" i="4"/>
  <c r="A428" i="4"/>
  <c r="F428" i="4"/>
  <c r="B428" i="4" s="1"/>
  <c r="F391" i="4"/>
  <c r="B391" i="4" s="1"/>
  <c r="A391" i="4"/>
  <c r="F399" i="4"/>
  <c r="B399" i="4" s="1"/>
  <c r="A399" i="4"/>
  <c r="F407" i="4"/>
  <c r="B407" i="4" s="1"/>
  <c r="A407" i="4"/>
  <c r="F415" i="4"/>
  <c r="B415" i="4" s="1"/>
  <c r="A415" i="4"/>
  <c r="G416" i="4"/>
  <c r="C416" i="4"/>
  <c r="G430" i="4"/>
  <c r="F430" i="4"/>
  <c r="B430" i="4" s="1"/>
  <c r="G432" i="4"/>
  <c r="C432" i="4"/>
  <c r="G442" i="4"/>
  <c r="C442" i="4"/>
  <c r="A442" i="4"/>
  <c r="F442" i="4"/>
  <c r="B442" i="4" s="1"/>
  <c r="G391" i="4"/>
  <c r="F392" i="4"/>
  <c r="B392" i="4" s="1"/>
  <c r="F393" i="4"/>
  <c r="B393" i="4" s="1"/>
  <c r="A393" i="4"/>
  <c r="G399" i="4"/>
  <c r="F400" i="4"/>
  <c r="B400" i="4" s="1"/>
  <c r="F401" i="4"/>
  <c r="B401" i="4" s="1"/>
  <c r="A401" i="4"/>
  <c r="G407" i="4"/>
  <c r="F408" i="4"/>
  <c r="B408" i="4" s="1"/>
  <c r="F409" i="4"/>
  <c r="B409" i="4" s="1"/>
  <c r="A409" i="4"/>
  <c r="G415" i="4"/>
  <c r="F416" i="4"/>
  <c r="B416" i="4" s="1"/>
  <c r="G418" i="4"/>
  <c r="F418" i="4"/>
  <c r="B418" i="4" s="1"/>
  <c r="G420" i="4"/>
  <c r="C420" i="4"/>
  <c r="F432" i="4"/>
  <c r="B432" i="4" s="1"/>
  <c r="G434" i="4"/>
  <c r="F434" i="4"/>
  <c r="B434" i="4" s="1"/>
  <c r="G438" i="4"/>
  <c r="A438" i="4"/>
  <c r="F438" i="4"/>
  <c r="B438" i="4" s="1"/>
  <c r="A392" i="4"/>
  <c r="G392" i="4"/>
  <c r="F395" i="4"/>
  <c r="B395" i="4" s="1"/>
  <c r="A395" i="4"/>
  <c r="A400" i="4"/>
  <c r="G400" i="4"/>
  <c r="F403" i="4"/>
  <c r="B403" i="4" s="1"/>
  <c r="A403" i="4"/>
  <c r="A408" i="4"/>
  <c r="G408" i="4"/>
  <c r="F411" i="4"/>
  <c r="B411" i="4" s="1"/>
  <c r="A411" i="4"/>
  <c r="A416" i="4"/>
  <c r="G422" i="4"/>
  <c r="F422" i="4"/>
  <c r="B422" i="4" s="1"/>
  <c r="G424" i="4"/>
  <c r="C424" i="4"/>
  <c r="A430" i="4"/>
  <c r="C436" i="4"/>
  <c r="C440" i="4"/>
  <c r="C444" i="4"/>
  <c r="G448" i="4"/>
  <c r="F448" i="4"/>
  <c r="B448" i="4" s="1"/>
  <c r="G450" i="4"/>
  <c r="F450" i="4"/>
  <c r="B450" i="4" s="1"/>
  <c r="A450" i="4"/>
  <c r="G452" i="4"/>
  <c r="F452" i="4"/>
  <c r="B452" i="4" s="1"/>
  <c r="A452" i="4"/>
  <c r="G454" i="4"/>
  <c r="F454" i="4"/>
  <c r="B454" i="4" s="1"/>
  <c r="A454" i="4"/>
  <c r="G456" i="4"/>
  <c r="F456" i="4"/>
  <c r="B456" i="4" s="1"/>
  <c r="A456" i="4"/>
  <c r="G458" i="4"/>
  <c r="F458" i="4"/>
  <c r="B458" i="4" s="1"/>
  <c r="A458" i="4"/>
  <c r="G460" i="4"/>
  <c r="F460" i="4"/>
  <c r="B460" i="4" s="1"/>
  <c r="A460" i="4"/>
  <c r="G462" i="4"/>
  <c r="F462" i="4"/>
  <c r="B462" i="4" s="1"/>
  <c r="A462" i="4"/>
  <c r="G464" i="4"/>
  <c r="F464" i="4"/>
  <c r="B464" i="4" s="1"/>
  <c r="A464" i="4"/>
  <c r="G466" i="4"/>
  <c r="F466" i="4"/>
  <c r="B466" i="4" s="1"/>
  <c r="A466" i="4"/>
  <c r="G468" i="4"/>
  <c r="F468" i="4"/>
  <c r="B468" i="4" s="1"/>
  <c r="A468" i="4"/>
  <c r="G470" i="4"/>
  <c r="F470" i="4"/>
  <c r="B470" i="4" s="1"/>
  <c r="A470" i="4"/>
  <c r="G472" i="4"/>
  <c r="F472" i="4"/>
  <c r="B472" i="4" s="1"/>
  <c r="A472" i="4"/>
  <c r="G474" i="4"/>
  <c r="F474" i="4"/>
  <c r="B474" i="4" s="1"/>
  <c r="A474" i="4"/>
  <c r="G476" i="4"/>
  <c r="F476" i="4"/>
  <c r="B476" i="4" s="1"/>
  <c r="A476" i="4"/>
  <c r="G478" i="4"/>
  <c r="F478" i="4"/>
  <c r="B478" i="4" s="1"/>
  <c r="A478" i="4"/>
  <c r="G480" i="4"/>
  <c r="F480" i="4"/>
  <c r="B480" i="4" s="1"/>
  <c r="A480" i="4"/>
  <c r="G482" i="4"/>
  <c r="F482" i="4"/>
  <c r="B482" i="4" s="1"/>
  <c r="A482" i="4"/>
  <c r="G484" i="4"/>
  <c r="F484" i="4"/>
  <c r="B484" i="4" s="1"/>
  <c r="A484" i="4"/>
  <c r="G486" i="4"/>
  <c r="F486" i="4"/>
  <c r="B486" i="4" s="1"/>
  <c r="A486" i="4"/>
  <c r="G488" i="4"/>
  <c r="F488" i="4"/>
  <c r="B488" i="4" s="1"/>
  <c r="A488" i="4"/>
  <c r="G490" i="4"/>
  <c r="F490" i="4"/>
  <c r="B490" i="4" s="1"/>
  <c r="A490" i="4"/>
  <c r="G492" i="4"/>
  <c r="F492" i="4"/>
  <c r="B492" i="4" s="1"/>
  <c r="A492" i="4"/>
  <c r="A494" i="4"/>
  <c r="F494" i="4"/>
  <c r="B494" i="4" s="1"/>
  <c r="A496" i="4"/>
  <c r="F496" i="4"/>
  <c r="B496" i="4" s="1"/>
  <c r="A498" i="4"/>
  <c r="F498" i="4"/>
  <c r="B498" i="4" s="1"/>
  <c r="A500" i="4"/>
  <c r="F500" i="4"/>
  <c r="B500" i="4" s="1"/>
  <c r="G4" i="5"/>
  <c r="C4" i="5" s="1"/>
  <c r="G6" i="5"/>
  <c r="C6" i="5" s="1"/>
  <c r="G8" i="5"/>
  <c r="C8" i="5" s="1"/>
  <c r="G10" i="5"/>
  <c r="C10" i="5" s="1"/>
  <c r="G12" i="5"/>
  <c r="C12" i="5" s="1"/>
  <c r="G14" i="5"/>
  <c r="C14" i="5" s="1"/>
  <c r="G16" i="5"/>
  <c r="C16" i="5" s="1"/>
  <c r="G18" i="5"/>
  <c r="C18" i="5" s="1"/>
  <c r="G20" i="5"/>
  <c r="C20" i="5" s="1"/>
  <c r="G22" i="5"/>
  <c r="C22" i="5" s="1"/>
  <c r="A26" i="5"/>
  <c r="G27" i="5"/>
  <c r="C27" i="5" s="1"/>
  <c r="F28" i="5"/>
  <c r="B28" i="5" s="1"/>
  <c r="F29" i="5"/>
  <c r="B29" i="5" s="1"/>
  <c r="A29" i="5"/>
  <c r="C30" i="5"/>
  <c r="C34" i="5"/>
  <c r="F35" i="5"/>
  <c r="B35" i="5" s="1"/>
  <c r="A35" i="5"/>
  <c r="G35" i="5"/>
  <c r="C35" i="5" s="1"/>
  <c r="F43" i="5"/>
  <c r="B43" i="5" s="1"/>
  <c r="A43" i="5"/>
  <c r="G43" i="5"/>
  <c r="C43" i="5" s="1"/>
  <c r="F51" i="5"/>
  <c r="B51" i="5" s="1"/>
  <c r="A51" i="5"/>
  <c r="G51" i="5"/>
  <c r="C51" i="5" s="1"/>
  <c r="F57" i="5"/>
  <c r="B57" i="5" s="1"/>
  <c r="A57" i="5"/>
  <c r="G57" i="5"/>
  <c r="C57" i="5" s="1"/>
  <c r="F61" i="5"/>
  <c r="B61" i="5" s="1"/>
  <c r="A61" i="5"/>
  <c r="G61" i="5"/>
  <c r="C61" i="5" s="1"/>
  <c r="F67" i="5"/>
  <c r="B67" i="5" s="1"/>
  <c r="A67" i="5"/>
  <c r="G67" i="5"/>
  <c r="C67" i="5" s="1"/>
  <c r="F75" i="5"/>
  <c r="B75" i="5" s="1"/>
  <c r="A75" i="5"/>
  <c r="G75" i="5"/>
  <c r="C75" i="5" s="1"/>
  <c r="F83" i="5"/>
  <c r="B83" i="5" s="1"/>
  <c r="A83" i="5"/>
  <c r="G83" i="5"/>
  <c r="C83" i="5" s="1"/>
  <c r="C24" i="5"/>
  <c r="A28" i="5"/>
  <c r="F31" i="5"/>
  <c r="B31" i="5" s="1"/>
  <c r="A31" i="5"/>
  <c r="C32" i="5"/>
  <c r="F33" i="5"/>
  <c r="B33" i="5" s="1"/>
  <c r="A33" i="5"/>
  <c r="G33" i="5"/>
  <c r="C33" i="5" s="1"/>
  <c r="C40" i="5"/>
  <c r="F41" i="5"/>
  <c r="B41" i="5" s="1"/>
  <c r="A41" i="5"/>
  <c r="G41" i="5"/>
  <c r="C41" i="5" s="1"/>
  <c r="F49" i="5"/>
  <c r="B49" i="5" s="1"/>
  <c r="A49" i="5"/>
  <c r="G49" i="5"/>
  <c r="C49" i="5" s="1"/>
  <c r="F65" i="5"/>
  <c r="B65" i="5" s="1"/>
  <c r="A65" i="5"/>
  <c r="G65" i="5"/>
  <c r="C65" i="5" s="1"/>
  <c r="F73" i="5"/>
  <c r="B73" i="5" s="1"/>
  <c r="A73" i="5"/>
  <c r="G73" i="5"/>
  <c r="C73" i="5" s="1"/>
  <c r="F81" i="5"/>
  <c r="B81" i="5" s="1"/>
  <c r="A81" i="5"/>
  <c r="G81" i="5"/>
  <c r="C81" i="5" s="1"/>
  <c r="F25" i="5"/>
  <c r="B25" i="5" s="1"/>
  <c r="A25" i="5"/>
  <c r="C26" i="5"/>
  <c r="F39" i="5"/>
  <c r="B39" i="5" s="1"/>
  <c r="A39" i="5"/>
  <c r="G39" i="5"/>
  <c r="C39" i="5" s="1"/>
  <c r="F47" i="5"/>
  <c r="B47" i="5" s="1"/>
  <c r="A47" i="5"/>
  <c r="G47" i="5"/>
  <c r="C47" i="5" s="1"/>
  <c r="F55" i="5"/>
  <c r="B55" i="5" s="1"/>
  <c r="A55" i="5"/>
  <c r="G55" i="5"/>
  <c r="C55" i="5" s="1"/>
  <c r="F59" i="5"/>
  <c r="B59" i="5" s="1"/>
  <c r="A59" i="5"/>
  <c r="G59" i="5"/>
  <c r="C59" i="5" s="1"/>
  <c r="F63" i="5"/>
  <c r="B63" i="5" s="1"/>
  <c r="A63" i="5"/>
  <c r="G63" i="5"/>
  <c r="C63" i="5" s="1"/>
  <c r="F71" i="5"/>
  <c r="B71" i="5" s="1"/>
  <c r="A71" i="5"/>
  <c r="G71" i="5"/>
  <c r="C71" i="5" s="1"/>
  <c r="F79" i="5"/>
  <c r="B79" i="5" s="1"/>
  <c r="A79" i="5"/>
  <c r="G79" i="5"/>
  <c r="C79" i="5" s="1"/>
  <c r="F87" i="5"/>
  <c r="B87" i="5" s="1"/>
  <c r="A87" i="5"/>
  <c r="G87" i="5"/>
  <c r="C87" i="5" s="1"/>
  <c r="F27" i="5"/>
  <c r="B27" i="5" s="1"/>
  <c r="A27" i="5"/>
  <c r="C28" i="5"/>
  <c r="F37" i="5"/>
  <c r="B37" i="5" s="1"/>
  <c r="A37" i="5"/>
  <c r="G37" i="5"/>
  <c r="C37" i="5" s="1"/>
  <c r="F45" i="5"/>
  <c r="B45" i="5" s="1"/>
  <c r="A45" i="5"/>
  <c r="G45" i="5"/>
  <c r="C45" i="5" s="1"/>
  <c r="F53" i="5"/>
  <c r="B53" i="5" s="1"/>
  <c r="A53" i="5"/>
  <c r="G53" i="5"/>
  <c r="C53" i="5" s="1"/>
  <c r="F69" i="5"/>
  <c r="B69" i="5" s="1"/>
  <c r="A69" i="5"/>
  <c r="G69" i="5"/>
  <c r="C69" i="5" s="1"/>
  <c r="F77" i="5"/>
  <c r="B77" i="5" s="1"/>
  <c r="A77" i="5"/>
  <c r="G77" i="5"/>
  <c r="C77" i="5" s="1"/>
  <c r="F85" i="5"/>
  <c r="B85" i="5" s="1"/>
  <c r="A85" i="5"/>
  <c r="G85" i="5"/>
  <c r="C85" i="5" s="1"/>
  <c r="G89" i="5"/>
  <c r="G91" i="5"/>
  <c r="G93" i="5"/>
  <c r="G95" i="5"/>
  <c r="G97" i="5"/>
  <c r="G99" i="5"/>
  <c r="G101" i="5"/>
  <c r="G103" i="5"/>
  <c r="G105" i="5"/>
  <c r="G107" i="5"/>
  <c r="G109" i="5"/>
  <c r="G111" i="5"/>
  <c r="G113" i="5"/>
  <c r="G115" i="5"/>
  <c r="G117" i="5"/>
  <c r="G119" i="5"/>
  <c r="G121" i="5"/>
  <c r="G123" i="5"/>
  <c r="G125" i="5"/>
  <c r="G127" i="5"/>
  <c r="G129" i="5"/>
  <c r="G131" i="5"/>
  <c r="G133" i="5"/>
  <c r="G135" i="5"/>
  <c r="G137" i="5"/>
  <c r="G139" i="5"/>
  <c r="G141" i="5"/>
  <c r="G143" i="5"/>
  <c r="G145" i="5"/>
  <c r="G147" i="5"/>
  <c r="G149" i="5"/>
  <c r="G151" i="5"/>
  <c r="G153" i="5"/>
  <c r="G155" i="5"/>
  <c r="G157" i="5"/>
  <c r="G159" i="5"/>
  <c r="G161" i="5"/>
  <c r="G163" i="5"/>
  <c r="G165" i="5"/>
  <c r="A168" i="5"/>
  <c r="G168" i="5"/>
  <c r="G169" i="5"/>
  <c r="F170" i="5"/>
  <c r="B170" i="5" s="1"/>
  <c r="F171" i="5"/>
  <c r="B171" i="5" s="1"/>
  <c r="A171" i="5"/>
  <c r="A176" i="5"/>
  <c r="G176" i="5"/>
  <c r="F178" i="5"/>
  <c r="B178" i="5" s="1"/>
  <c r="F179" i="5"/>
  <c r="B179" i="5" s="1"/>
  <c r="A179" i="5"/>
  <c r="G181" i="5"/>
  <c r="F181" i="5"/>
  <c r="B181" i="5" s="1"/>
  <c r="A181" i="5"/>
  <c r="G189" i="5"/>
  <c r="F189" i="5"/>
  <c r="B189" i="5" s="1"/>
  <c r="A189" i="5"/>
  <c r="F194" i="5"/>
  <c r="B194" i="5" s="1"/>
  <c r="A194" i="5"/>
  <c r="C194" i="5"/>
  <c r="F204" i="5"/>
  <c r="B204" i="5" s="1"/>
  <c r="A204" i="5"/>
  <c r="C204" i="5"/>
  <c r="G204" i="5"/>
  <c r="C89" i="5"/>
  <c r="C91" i="5"/>
  <c r="C93" i="5"/>
  <c r="C95" i="5"/>
  <c r="C97" i="5"/>
  <c r="C99" i="5"/>
  <c r="C101" i="5"/>
  <c r="C103" i="5"/>
  <c r="C105" i="5"/>
  <c r="C107" i="5"/>
  <c r="C109" i="5"/>
  <c r="C111" i="5"/>
  <c r="C113" i="5"/>
  <c r="C115" i="5"/>
  <c r="C117" i="5"/>
  <c r="C119" i="5"/>
  <c r="C121" i="5"/>
  <c r="C123" i="5"/>
  <c r="C125" i="5"/>
  <c r="C127" i="5"/>
  <c r="C129" i="5"/>
  <c r="C131" i="5"/>
  <c r="C133" i="5"/>
  <c r="C135" i="5"/>
  <c r="C137" i="5"/>
  <c r="C139" i="5"/>
  <c r="C141" i="5"/>
  <c r="C143" i="5"/>
  <c r="C145" i="5"/>
  <c r="C147" i="5"/>
  <c r="C149" i="5"/>
  <c r="C151" i="5"/>
  <c r="C153" i="5"/>
  <c r="C155" i="5"/>
  <c r="C157" i="5"/>
  <c r="C159" i="5"/>
  <c r="C161" i="5"/>
  <c r="C163" i="5"/>
  <c r="C165" i="5"/>
  <c r="C167" i="5"/>
  <c r="A170" i="5"/>
  <c r="G170" i="5"/>
  <c r="F173" i="5"/>
  <c r="B173" i="5" s="1"/>
  <c r="A173" i="5"/>
  <c r="A178" i="5"/>
  <c r="G178" i="5"/>
  <c r="G179" i="5"/>
  <c r="G187" i="5"/>
  <c r="F187" i="5"/>
  <c r="B187" i="5" s="1"/>
  <c r="A187" i="5"/>
  <c r="F196" i="5"/>
  <c r="B196" i="5" s="1"/>
  <c r="A196" i="5"/>
  <c r="G196" i="5"/>
  <c r="F175" i="5"/>
  <c r="B175" i="5" s="1"/>
  <c r="A175" i="5"/>
  <c r="G185" i="5"/>
  <c r="F185" i="5"/>
  <c r="B185" i="5" s="1"/>
  <c r="A185" i="5"/>
  <c r="C195" i="5"/>
  <c r="G195" i="5"/>
  <c r="A195" i="5"/>
  <c r="A89" i="5"/>
  <c r="A91" i="5"/>
  <c r="A93" i="5"/>
  <c r="A95" i="5"/>
  <c r="A97" i="5"/>
  <c r="A99" i="5"/>
  <c r="A101" i="5"/>
  <c r="A103" i="5"/>
  <c r="A105" i="5"/>
  <c r="A107" i="5"/>
  <c r="A109" i="5"/>
  <c r="A111" i="5"/>
  <c r="A113" i="5"/>
  <c r="A115" i="5"/>
  <c r="A117" i="5"/>
  <c r="A119" i="5"/>
  <c r="A121" i="5"/>
  <c r="A123" i="5"/>
  <c r="A125" i="5"/>
  <c r="A127" i="5"/>
  <c r="A129" i="5"/>
  <c r="A131" i="5"/>
  <c r="A133" i="5"/>
  <c r="A135" i="5"/>
  <c r="A137" i="5"/>
  <c r="A139" i="5"/>
  <c r="A141" i="5"/>
  <c r="A143" i="5"/>
  <c r="A145" i="5"/>
  <c r="A147" i="5"/>
  <c r="A149" i="5"/>
  <c r="A151" i="5"/>
  <c r="A153" i="5"/>
  <c r="A155" i="5"/>
  <c r="A157" i="5"/>
  <c r="A159" i="5"/>
  <c r="A161" i="5"/>
  <c r="A163" i="5"/>
  <c r="A165" i="5"/>
  <c r="A167" i="5"/>
  <c r="G167" i="5"/>
  <c r="F168" i="5"/>
  <c r="B168" i="5" s="1"/>
  <c r="F169" i="5"/>
  <c r="B169" i="5" s="1"/>
  <c r="A169" i="5"/>
  <c r="G175" i="5"/>
  <c r="F176" i="5"/>
  <c r="B176" i="5" s="1"/>
  <c r="F177" i="5"/>
  <c r="B177" i="5" s="1"/>
  <c r="A177" i="5"/>
  <c r="G183" i="5"/>
  <c r="F183" i="5"/>
  <c r="B183" i="5" s="1"/>
  <c r="A183" i="5"/>
  <c r="G191" i="5"/>
  <c r="F191" i="5"/>
  <c r="B191" i="5" s="1"/>
  <c r="A191" i="5"/>
  <c r="F195" i="5"/>
  <c r="B195" i="5" s="1"/>
  <c r="C197" i="5"/>
  <c r="G197" i="5"/>
  <c r="A197" i="5"/>
  <c r="F197" i="5"/>
  <c r="B197" i="5" s="1"/>
  <c r="C192" i="5"/>
  <c r="F198" i="5"/>
  <c r="B198" i="5" s="1"/>
  <c r="A198" i="5"/>
  <c r="A203" i="5"/>
  <c r="G203" i="5"/>
  <c r="F205" i="5"/>
  <c r="B205" i="5" s="1"/>
  <c r="F206" i="5"/>
  <c r="B206" i="5" s="1"/>
  <c r="A206" i="5"/>
  <c r="A211" i="5"/>
  <c r="G211" i="5"/>
  <c r="G212" i="5"/>
  <c r="F213" i="5"/>
  <c r="B213" i="5" s="1"/>
  <c r="F214" i="5"/>
  <c r="B214" i="5" s="1"/>
  <c r="A214" i="5"/>
  <c r="A219" i="5"/>
  <c r="G219" i="5"/>
  <c r="G220" i="5"/>
  <c r="F221" i="5"/>
  <c r="B221" i="5" s="1"/>
  <c r="F222" i="5"/>
  <c r="B222" i="5" s="1"/>
  <c r="A222" i="5"/>
  <c r="A227" i="5"/>
  <c r="G227" i="5"/>
  <c r="G228" i="5"/>
  <c r="F229" i="5"/>
  <c r="B229" i="5" s="1"/>
  <c r="F230" i="5"/>
  <c r="B230" i="5" s="1"/>
  <c r="A230" i="5"/>
  <c r="G238" i="5"/>
  <c r="F238" i="5"/>
  <c r="B238" i="5" s="1"/>
  <c r="A238" i="5"/>
  <c r="G246" i="5"/>
  <c r="F246" i="5"/>
  <c r="B246" i="5" s="1"/>
  <c r="A246" i="5"/>
  <c r="G254" i="5"/>
  <c r="F254" i="5"/>
  <c r="B254" i="5" s="1"/>
  <c r="A254" i="5"/>
  <c r="G262" i="5"/>
  <c r="F262" i="5"/>
  <c r="B262" i="5" s="1"/>
  <c r="A262" i="5"/>
  <c r="G270" i="5"/>
  <c r="F270" i="5"/>
  <c r="B270" i="5" s="1"/>
  <c r="A270" i="5"/>
  <c r="G278" i="5"/>
  <c r="F278" i="5"/>
  <c r="B278" i="5" s="1"/>
  <c r="A278" i="5"/>
  <c r="F200" i="5"/>
  <c r="B200" i="5" s="1"/>
  <c r="A200" i="5"/>
  <c r="A205" i="5"/>
  <c r="G205" i="5"/>
  <c r="F208" i="5"/>
  <c r="B208" i="5" s="1"/>
  <c r="A208" i="5"/>
  <c r="A213" i="5"/>
  <c r="G213" i="5"/>
  <c r="G214" i="5"/>
  <c r="F216" i="5"/>
  <c r="B216" i="5" s="1"/>
  <c r="A216" i="5"/>
  <c r="A221" i="5"/>
  <c r="G221" i="5"/>
  <c r="G222" i="5"/>
  <c r="F224" i="5"/>
  <c r="B224" i="5" s="1"/>
  <c r="A224" i="5"/>
  <c r="A229" i="5"/>
  <c r="G229" i="5"/>
  <c r="G230" i="5"/>
  <c r="F231" i="5"/>
  <c r="B231" i="5" s="1"/>
  <c r="F232" i="5"/>
  <c r="B232" i="5" s="1"/>
  <c r="A232" i="5"/>
  <c r="G236" i="5"/>
  <c r="F236" i="5"/>
  <c r="B236" i="5" s="1"/>
  <c r="A236" i="5"/>
  <c r="G244" i="5"/>
  <c r="F244" i="5"/>
  <c r="B244" i="5" s="1"/>
  <c r="A244" i="5"/>
  <c r="G252" i="5"/>
  <c r="F252" i="5"/>
  <c r="B252" i="5" s="1"/>
  <c r="A252" i="5"/>
  <c r="G260" i="5"/>
  <c r="F260" i="5"/>
  <c r="B260" i="5" s="1"/>
  <c r="A260" i="5"/>
  <c r="G268" i="5"/>
  <c r="F268" i="5"/>
  <c r="B268" i="5" s="1"/>
  <c r="A268" i="5"/>
  <c r="G276" i="5"/>
  <c r="F276" i="5"/>
  <c r="B276" i="5" s="1"/>
  <c r="A276" i="5"/>
  <c r="F202" i="5"/>
  <c r="B202" i="5" s="1"/>
  <c r="A202" i="5"/>
  <c r="F210" i="5"/>
  <c r="B210" i="5" s="1"/>
  <c r="A210" i="5"/>
  <c r="F218" i="5"/>
  <c r="B218" i="5" s="1"/>
  <c r="A218" i="5"/>
  <c r="F226" i="5"/>
  <c r="B226" i="5" s="1"/>
  <c r="A226" i="5"/>
  <c r="G234" i="5"/>
  <c r="F234" i="5"/>
  <c r="B234" i="5" s="1"/>
  <c r="A234" i="5"/>
  <c r="G242" i="5"/>
  <c r="F242" i="5"/>
  <c r="B242" i="5" s="1"/>
  <c r="A242" i="5"/>
  <c r="G250" i="5"/>
  <c r="F250" i="5"/>
  <c r="B250" i="5" s="1"/>
  <c r="A250" i="5"/>
  <c r="G258" i="5"/>
  <c r="F258" i="5"/>
  <c r="B258" i="5" s="1"/>
  <c r="A258" i="5"/>
  <c r="G266" i="5"/>
  <c r="F266" i="5"/>
  <c r="B266" i="5" s="1"/>
  <c r="A266" i="5"/>
  <c r="G274" i="5"/>
  <c r="F274" i="5"/>
  <c r="B274" i="5" s="1"/>
  <c r="A274" i="5"/>
  <c r="F282" i="5"/>
  <c r="B282" i="5" s="1"/>
  <c r="A282" i="5"/>
  <c r="G282" i="5"/>
  <c r="C282" i="5"/>
  <c r="F212" i="5"/>
  <c r="B212" i="5" s="1"/>
  <c r="A212" i="5"/>
  <c r="F220" i="5"/>
  <c r="B220" i="5" s="1"/>
  <c r="A220" i="5"/>
  <c r="F228" i="5"/>
  <c r="B228" i="5" s="1"/>
  <c r="A228" i="5"/>
  <c r="G240" i="5"/>
  <c r="F240" i="5"/>
  <c r="B240" i="5" s="1"/>
  <c r="A240" i="5"/>
  <c r="G248" i="5"/>
  <c r="F248" i="5"/>
  <c r="B248" i="5" s="1"/>
  <c r="A248" i="5"/>
  <c r="G256" i="5"/>
  <c r="F256" i="5"/>
  <c r="B256" i="5" s="1"/>
  <c r="A256" i="5"/>
  <c r="G264" i="5"/>
  <c r="F264" i="5"/>
  <c r="B264" i="5" s="1"/>
  <c r="A264" i="5"/>
  <c r="G272" i="5"/>
  <c r="F272" i="5"/>
  <c r="B272" i="5" s="1"/>
  <c r="A272" i="5"/>
  <c r="C283" i="5"/>
  <c r="G283" i="5"/>
  <c r="A283" i="5"/>
  <c r="F283" i="5"/>
  <c r="B283" i="5" s="1"/>
  <c r="F280" i="5"/>
  <c r="B280" i="5" s="1"/>
  <c r="A280" i="5"/>
  <c r="F288" i="5"/>
  <c r="B288" i="5" s="1"/>
  <c r="A288" i="5"/>
  <c r="F296" i="5"/>
  <c r="B296" i="5" s="1"/>
  <c r="A296" i="5"/>
  <c r="F304" i="5"/>
  <c r="B304" i="5" s="1"/>
  <c r="A304" i="5"/>
  <c r="F312" i="5"/>
  <c r="B312" i="5" s="1"/>
  <c r="A312" i="5"/>
  <c r="F320" i="5"/>
  <c r="B320" i="5" s="1"/>
  <c r="A320" i="5"/>
  <c r="G322" i="5"/>
  <c r="F322" i="5"/>
  <c r="B322" i="5" s="1"/>
  <c r="A322" i="5"/>
  <c r="G330" i="5"/>
  <c r="F330" i="5"/>
  <c r="B330" i="5" s="1"/>
  <c r="A330" i="5"/>
  <c r="G338" i="5"/>
  <c r="F338" i="5"/>
  <c r="B338" i="5" s="1"/>
  <c r="A338" i="5"/>
  <c r="G346" i="5"/>
  <c r="F346" i="5"/>
  <c r="B346" i="5" s="1"/>
  <c r="A346" i="5"/>
  <c r="G354" i="5"/>
  <c r="F354" i="5"/>
  <c r="B354" i="5" s="1"/>
  <c r="A354" i="5"/>
  <c r="F290" i="5"/>
  <c r="B290" i="5" s="1"/>
  <c r="A290" i="5"/>
  <c r="F298" i="5"/>
  <c r="B298" i="5" s="1"/>
  <c r="A298" i="5"/>
  <c r="F306" i="5"/>
  <c r="B306" i="5" s="1"/>
  <c r="A306" i="5"/>
  <c r="F314" i="5"/>
  <c r="B314" i="5" s="1"/>
  <c r="A314" i="5"/>
  <c r="G320" i="5"/>
  <c r="G328" i="5"/>
  <c r="F328" i="5"/>
  <c r="B328" i="5" s="1"/>
  <c r="A328" i="5"/>
  <c r="G336" i="5"/>
  <c r="F336" i="5"/>
  <c r="B336" i="5" s="1"/>
  <c r="A336" i="5"/>
  <c r="G344" i="5"/>
  <c r="F344" i="5"/>
  <c r="B344" i="5" s="1"/>
  <c r="A344" i="5"/>
  <c r="G352" i="5"/>
  <c r="F352" i="5"/>
  <c r="B352" i="5" s="1"/>
  <c r="A352" i="5"/>
  <c r="A281" i="5"/>
  <c r="G281" i="5"/>
  <c r="F284" i="5"/>
  <c r="B284" i="5" s="1"/>
  <c r="A284" i="5"/>
  <c r="A289" i="5"/>
  <c r="G289" i="5"/>
  <c r="G290" i="5"/>
  <c r="F291" i="5"/>
  <c r="B291" i="5" s="1"/>
  <c r="F292" i="5"/>
  <c r="B292" i="5" s="1"/>
  <c r="A292" i="5"/>
  <c r="A297" i="5"/>
  <c r="G297" i="5"/>
  <c r="G298" i="5"/>
  <c r="F299" i="5"/>
  <c r="B299" i="5" s="1"/>
  <c r="F300" i="5"/>
  <c r="B300" i="5" s="1"/>
  <c r="A300" i="5"/>
  <c r="A305" i="5"/>
  <c r="G305" i="5"/>
  <c r="G306" i="5"/>
  <c r="F307" i="5"/>
  <c r="B307" i="5" s="1"/>
  <c r="F308" i="5"/>
  <c r="B308" i="5" s="1"/>
  <c r="A308" i="5"/>
  <c r="A313" i="5"/>
  <c r="G313" i="5"/>
  <c r="G314" i="5"/>
  <c r="F315" i="5"/>
  <c r="B315" i="5" s="1"/>
  <c r="F316" i="5"/>
  <c r="B316" i="5" s="1"/>
  <c r="A316" i="5"/>
  <c r="G326" i="5"/>
  <c r="F326" i="5"/>
  <c r="B326" i="5" s="1"/>
  <c r="A326" i="5"/>
  <c r="G334" i="5"/>
  <c r="F334" i="5"/>
  <c r="B334" i="5" s="1"/>
  <c r="A334" i="5"/>
  <c r="G342" i="5"/>
  <c r="F342" i="5"/>
  <c r="B342" i="5" s="1"/>
  <c r="A342" i="5"/>
  <c r="G350" i="5"/>
  <c r="F350" i="5"/>
  <c r="B350" i="5" s="1"/>
  <c r="A350" i="5"/>
  <c r="C280" i="5"/>
  <c r="F286" i="5"/>
  <c r="B286" i="5" s="1"/>
  <c r="A286" i="5"/>
  <c r="C288" i="5"/>
  <c r="A291" i="5"/>
  <c r="G291" i="5"/>
  <c r="F294" i="5"/>
  <c r="B294" i="5" s="1"/>
  <c r="A294" i="5"/>
  <c r="C296" i="5"/>
  <c r="A299" i="5"/>
  <c r="G299" i="5"/>
  <c r="F302" i="5"/>
  <c r="B302" i="5" s="1"/>
  <c r="A302" i="5"/>
  <c r="C304" i="5"/>
  <c r="A307" i="5"/>
  <c r="G307" i="5"/>
  <c r="F310" i="5"/>
  <c r="B310" i="5" s="1"/>
  <c r="A310" i="5"/>
  <c r="C312" i="5"/>
  <c r="A315" i="5"/>
  <c r="G315" i="5"/>
  <c r="G316" i="5"/>
  <c r="F318" i="5"/>
  <c r="B318" i="5" s="1"/>
  <c r="A318" i="5"/>
  <c r="C320" i="5"/>
  <c r="C322" i="5"/>
  <c r="G324" i="5"/>
  <c r="F324" i="5"/>
  <c r="B324" i="5" s="1"/>
  <c r="A324" i="5"/>
  <c r="C330" i="5"/>
  <c r="G332" i="5"/>
  <c r="F332" i="5"/>
  <c r="B332" i="5" s="1"/>
  <c r="A332" i="5"/>
  <c r="C338" i="5"/>
  <c r="G340" i="5"/>
  <c r="F340" i="5"/>
  <c r="B340" i="5" s="1"/>
  <c r="A340" i="5"/>
  <c r="C346" i="5"/>
  <c r="G348" i="5"/>
  <c r="F348" i="5"/>
  <c r="B348" i="5" s="1"/>
  <c r="A348" i="5"/>
  <c r="C354" i="5"/>
  <c r="F391" i="5"/>
  <c r="B391" i="5" s="1"/>
  <c r="A356" i="5"/>
  <c r="F356" i="5"/>
  <c r="B356" i="5" s="1"/>
  <c r="A358" i="5"/>
  <c r="F358" i="5"/>
  <c r="B358" i="5" s="1"/>
  <c r="A360" i="5"/>
  <c r="F360" i="5"/>
  <c r="B360" i="5" s="1"/>
  <c r="A362" i="5"/>
  <c r="F362" i="5"/>
  <c r="B362" i="5" s="1"/>
  <c r="A364" i="5"/>
  <c r="F364" i="5"/>
  <c r="B364" i="5" s="1"/>
  <c r="A366" i="5"/>
  <c r="F366" i="5"/>
  <c r="B366" i="5" s="1"/>
  <c r="A368" i="5"/>
  <c r="F368" i="5"/>
  <c r="B368" i="5" s="1"/>
  <c r="A370" i="5"/>
  <c r="F370" i="5"/>
  <c r="B370" i="5" s="1"/>
  <c r="A372" i="5"/>
  <c r="F372" i="5"/>
  <c r="B372" i="5" s="1"/>
  <c r="A374" i="5"/>
  <c r="F374" i="5"/>
  <c r="B374" i="5" s="1"/>
  <c r="A376" i="5"/>
  <c r="F376" i="5"/>
  <c r="B376" i="5" s="1"/>
  <c r="A378" i="5"/>
  <c r="F378" i="5"/>
  <c r="B378" i="5" s="1"/>
  <c r="A380" i="5"/>
  <c r="F380" i="5"/>
  <c r="B380" i="5" s="1"/>
  <c r="A382" i="5"/>
  <c r="F382" i="5"/>
  <c r="B382" i="5" s="1"/>
  <c r="A384" i="5"/>
  <c r="F384" i="5"/>
  <c r="B384" i="5" s="1"/>
  <c r="A386" i="5"/>
  <c r="F386" i="5"/>
  <c r="B386" i="5" s="1"/>
  <c r="A388" i="5"/>
  <c r="F388" i="5"/>
  <c r="B388" i="5" s="1"/>
  <c r="A391" i="5"/>
  <c r="G393" i="5"/>
  <c r="F393" i="5"/>
  <c r="B393" i="5" s="1"/>
  <c r="G395" i="5"/>
  <c r="F395" i="5"/>
  <c r="B395" i="5" s="1"/>
  <c r="A395" i="5"/>
  <c r="G397" i="5"/>
  <c r="F397" i="5"/>
  <c r="B397" i="5" s="1"/>
  <c r="A397" i="5"/>
  <c r="G399" i="5"/>
  <c r="F399" i="5"/>
  <c r="B399" i="5" s="1"/>
  <c r="A399" i="5"/>
  <c r="G401" i="5"/>
  <c r="F401" i="5"/>
  <c r="B401" i="5" s="1"/>
  <c r="A401" i="5"/>
  <c r="G403" i="5"/>
  <c r="F403" i="5"/>
  <c r="B403" i="5" s="1"/>
  <c r="A403" i="5"/>
  <c r="G405" i="5"/>
  <c r="F405" i="5"/>
  <c r="B405" i="5" s="1"/>
  <c r="A405" i="5"/>
  <c r="G407" i="5"/>
  <c r="F407" i="5"/>
  <c r="B407" i="5" s="1"/>
  <c r="A407" i="5"/>
  <c r="G409" i="5"/>
  <c r="F409" i="5"/>
  <c r="B409" i="5" s="1"/>
  <c r="A409" i="5"/>
  <c r="G411" i="5"/>
  <c r="F411" i="5"/>
  <c r="B411" i="5" s="1"/>
  <c r="A411" i="5"/>
  <c r="G413" i="5"/>
  <c r="F413" i="5"/>
  <c r="B413" i="5" s="1"/>
  <c r="A413" i="5"/>
  <c r="G415" i="5"/>
  <c r="F415" i="5"/>
  <c r="B415" i="5" s="1"/>
  <c r="A415" i="5"/>
  <c r="G417" i="5"/>
  <c r="F417" i="5"/>
  <c r="B417" i="5" s="1"/>
  <c r="A417" i="5"/>
  <c r="G419" i="5"/>
  <c r="F419" i="5"/>
  <c r="B419" i="5" s="1"/>
  <c r="A419" i="5"/>
  <c r="G421" i="5"/>
  <c r="F421" i="5"/>
  <c r="B421" i="5" s="1"/>
  <c r="A421" i="5"/>
  <c r="G423" i="5"/>
  <c r="F423" i="5"/>
  <c r="B423" i="5" s="1"/>
  <c r="A423" i="5"/>
  <c r="C391" i="5"/>
  <c r="A425" i="5"/>
  <c r="F425" i="5"/>
  <c r="B425" i="5" s="1"/>
  <c r="A427" i="5"/>
  <c r="F427" i="5"/>
  <c r="B427" i="5" s="1"/>
  <c r="A429" i="5"/>
  <c r="F429" i="5"/>
  <c r="B429" i="5" s="1"/>
  <c r="A431" i="5"/>
  <c r="F431" i="5"/>
  <c r="B431" i="5" s="1"/>
  <c r="A433" i="5"/>
  <c r="F433" i="5"/>
  <c r="B433" i="5" s="1"/>
  <c r="A435" i="5"/>
  <c r="F435" i="5"/>
  <c r="B435" i="5" s="1"/>
  <c r="A437" i="5"/>
  <c r="F437" i="5"/>
  <c r="B437" i="5" s="1"/>
  <c r="A439" i="5"/>
  <c r="F439" i="5"/>
  <c r="B439" i="5" s="1"/>
  <c r="A441" i="5"/>
  <c r="F441" i="5"/>
  <c r="B441" i="5" s="1"/>
  <c r="A443" i="5"/>
  <c r="F443" i="5"/>
  <c r="B443" i="5" s="1"/>
  <c r="A447" i="5"/>
  <c r="G447" i="5"/>
  <c r="F449" i="5"/>
  <c r="B449" i="5" s="1"/>
  <c r="F450" i="5"/>
  <c r="B450" i="5" s="1"/>
  <c r="A450" i="5"/>
  <c r="A455" i="5"/>
  <c r="G455" i="5"/>
  <c r="F457" i="5"/>
  <c r="B457" i="5" s="1"/>
  <c r="F458" i="5"/>
  <c r="B458" i="5" s="1"/>
  <c r="A458" i="5"/>
  <c r="A463" i="5"/>
  <c r="G463" i="5"/>
  <c r="F465" i="5"/>
  <c r="B465" i="5" s="1"/>
  <c r="F466" i="5"/>
  <c r="B466" i="5" s="1"/>
  <c r="A466" i="5"/>
  <c r="A471" i="5"/>
  <c r="G471" i="5"/>
  <c r="G480" i="5"/>
  <c r="F480" i="5"/>
  <c r="B480" i="5" s="1"/>
  <c r="A480" i="5"/>
  <c r="A449" i="5"/>
  <c r="G449" i="5"/>
  <c r="G450" i="5"/>
  <c r="F451" i="5"/>
  <c r="B451" i="5" s="1"/>
  <c r="F452" i="5"/>
  <c r="B452" i="5" s="1"/>
  <c r="A452" i="5"/>
  <c r="A457" i="5"/>
  <c r="G457" i="5"/>
  <c r="G458" i="5"/>
  <c r="F459" i="5"/>
  <c r="B459" i="5" s="1"/>
  <c r="F460" i="5"/>
  <c r="B460" i="5" s="1"/>
  <c r="A460" i="5"/>
  <c r="A465" i="5"/>
  <c r="G465" i="5"/>
  <c r="G466" i="5"/>
  <c r="F467" i="5"/>
  <c r="B467" i="5" s="1"/>
  <c r="F468" i="5"/>
  <c r="B468" i="5" s="1"/>
  <c r="A468" i="5"/>
  <c r="G478" i="5"/>
  <c r="F478" i="5"/>
  <c r="B478" i="5" s="1"/>
  <c r="A478" i="5"/>
  <c r="F446" i="5"/>
  <c r="B446" i="5" s="1"/>
  <c r="A446" i="5"/>
  <c r="F454" i="5"/>
  <c r="B454" i="5" s="1"/>
  <c r="A454" i="5"/>
  <c r="F462" i="5"/>
  <c r="B462" i="5" s="1"/>
  <c r="A462" i="5"/>
  <c r="F470" i="5"/>
  <c r="B470" i="5" s="1"/>
  <c r="A470" i="5"/>
  <c r="G476" i="5"/>
  <c r="F476" i="5"/>
  <c r="B476" i="5" s="1"/>
  <c r="A476" i="5"/>
  <c r="G484" i="5"/>
  <c r="F484" i="5"/>
  <c r="B484" i="5" s="1"/>
  <c r="A484" i="5"/>
  <c r="G446" i="5"/>
  <c r="F447" i="5"/>
  <c r="B447" i="5" s="1"/>
  <c r="F448" i="5"/>
  <c r="B448" i="5" s="1"/>
  <c r="A448" i="5"/>
  <c r="G454" i="5"/>
  <c r="F455" i="5"/>
  <c r="B455" i="5" s="1"/>
  <c r="F456" i="5"/>
  <c r="B456" i="5" s="1"/>
  <c r="A456" i="5"/>
  <c r="G462" i="5"/>
  <c r="F463" i="5"/>
  <c r="B463" i="5" s="1"/>
  <c r="F464" i="5"/>
  <c r="B464" i="5" s="1"/>
  <c r="A464" i="5"/>
  <c r="C466" i="5"/>
  <c r="G470" i="5"/>
  <c r="F471" i="5"/>
  <c r="B471" i="5" s="1"/>
  <c r="F472" i="5"/>
  <c r="B472" i="5" s="1"/>
  <c r="A472" i="5"/>
  <c r="G474" i="5"/>
  <c r="F474" i="5"/>
  <c r="B474" i="5" s="1"/>
  <c r="A474" i="5"/>
  <c r="C480" i="5"/>
  <c r="G482" i="5"/>
  <c r="F482" i="5"/>
  <c r="B482" i="5" s="1"/>
  <c r="A482" i="5"/>
  <c r="A486" i="5"/>
  <c r="F486" i="5"/>
  <c r="B486" i="5" s="1"/>
  <c r="A488" i="5"/>
  <c r="F488" i="5"/>
  <c r="B488" i="5" s="1"/>
  <c r="A490" i="5"/>
  <c r="F490" i="5"/>
  <c r="B490" i="5" s="1"/>
  <c r="A492" i="5"/>
  <c r="F492" i="5"/>
  <c r="B492" i="5" s="1"/>
  <c r="A494" i="5"/>
  <c r="F494" i="5"/>
  <c r="B494" i="5" s="1"/>
  <c r="A496" i="5"/>
  <c r="F496" i="5"/>
  <c r="B496" i="5" s="1"/>
  <c r="A498" i="5"/>
  <c r="F498" i="5"/>
  <c r="B498" i="5" s="1"/>
  <c r="A500" i="5"/>
  <c r="F500" i="5"/>
  <c r="B500" i="5" s="1"/>
  <c r="G8" i="6"/>
  <c r="C8" i="6" s="1"/>
  <c r="G16" i="6"/>
  <c r="C16" i="6" s="1"/>
  <c r="G24" i="6"/>
  <c r="C24" i="6" s="1"/>
  <c r="G40" i="6"/>
  <c r="C40" i="6" s="1"/>
  <c r="G108" i="6"/>
  <c r="C108" i="6" s="1"/>
  <c r="F108" i="6"/>
  <c r="B108" i="6" s="1"/>
  <c r="A108" i="6"/>
  <c r="C116" i="6"/>
  <c r="G116" i="6"/>
  <c r="F116" i="6"/>
  <c r="B116" i="6" s="1"/>
  <c r="A116" i="6"/>
  <c r="C123" i="6"/>
  <c r="G123" i="6"/>
  <c r="A123" i="6"/>
  <c r="F123" i="6"/>
  <c r="B123" i="6" s="1"/>
  <c r="F178" i="6"/>
  <c r="B178" i="6" s="1"/>
  <c r="A178" i="6"/>
  <c r="C178" i="6"/>
  <c r="G178" i="6"/>
  <c r="C219" i="6"/>
  <c r="G219" i="6"/>
  <c r="A219" i="6"/>
  <c r="F219" i="6"/>
  <c r="B219" i="6" s="1"/>
  <c r="F244" i="6"/>
  <c r="B244" i="6" s="1"/>
  <c r="A244" i="6"/>
  <c r="G244" i="6"/>
  <c r="C244" i="6"/>
  <c r="G336" i="6"/>
  <c r="F336" i="6"/>
  <c r="B336" i="6" s="1"/>
  <c r="A336" i="6"/>
  <c r="C336" i="6"/>
  <c r="G492" i="6"/>
  <c r="F492" i="6"/>
  <c r="B492" i="6" s="1"/>
  <c r="C492" i="6"/>
  <c r="A492" i="6"/>
  <c r="G6" i="6"/>
  <c r="C6" i="6" s="1"/>
  <c r="F8" i="6"/>
  <c r="B8" i="6" s="1"/>
  <c r="G14" i="6"/>
  <c r="C14" i="6" s="1"/>
  <c r="F16" i="6"/>
  <c r="B16" i="6" s="1"/>
  <c r="G22" i="6"/>
  <c r="C22" i="6" s="1"/>
  <c r="F24" i="6"/>
  <c r="B24" i="6" s="1"/>
  <c r="G30" i="6"/>
  <c r="C30" i="6" s="1"/>
  <c r="G38" i="6"/>
  <c r="C38" i="6" s="1"/>
  <c r="F40" i="6"/>
  <c r="B40" i="6" s="1"/>
  <c r="G42" i="6"/>
  <c r="C42" i="6" s="1"/>
  <c r="F42" i="6"/>
  <c r="B42" i="6" s="1"/>
  <c r="A42" i="6"/>
  <c r="G44" i="6"/>
  <c r="C44" i="6" s="1"/>
  <c r="F44" i="6"/>
  <c r="B44" i="6" s="1"/>
  <c r="A44" i="6"/>
  <c r="G46" i="6"/>
  <c r="C46" i="6" s="1"/>
  <c r="F46" i="6"/>
  <c r="B46" i="6" s="1"/>
  <c r="A46" i="6"/>
  <c r="G48" i="6"/>
  <c r="C48" i="6" s="1"/>
  <c r="F48" i="6"/>
  <c r="B48" i="6" s="1"/>
  <c r="A48" i="6"/>
  <c r="G50" i="6"/>
  <c r="C50" i="6" s="1"/>
  <c r="F50" i="6"/>
  <c r="B50" i="6" s="1"/>
  <c r="A50" i="6"/>
  <c r="G52" i="6"/>
  <c r="C52" i="6" s="1"/>
  <c r="F52" i="6"/>
  <c r="B52" i="6" s="1"/>
  <c r="A52" i="6"/>
  <c r="G54" i="6"/>
  <c r="C54" i="6" s="1"/>
  <c r="F54" i="6"/>
  <c r="B54" i="6" s="1"/>
  <c r="A54" i="6"/>
  <c r="G56" i="6"/>
  <c r="C56" i="6" s="1"/>
  <c r="F56" i="6"/>
  <c r="B56" i="6" s="1"/>
  <c r="A56" i="6"/>
  <c r="G58" i="6"/>
  <c r="C58" i="6" s="1"/>
  <c r="F58" i="6"/>
  <c r="B58" i="6" s="1"/>
  <c r="A58" i="6"/>
  <c r="G60" i="6"/>
  <c r="C60" i="6" s="1"/>
  <c r="F60" i="6"/>
  <c r="B60" i="6" s="1"/>
  <c r="A60" i="6"/>
  <c r="G62" i="6"/>
  <c r="C62" i="6" s="1"/>
  <c r="F62" i="6"/>
  <c r="B62" i="6" s="1"/>
  <c r="A62" i="6"/>
  <c r="G70" i="6"/>
  <c r="C70" i="6" s="1"/>
  <c r="F70" i="6"/>
  <c r="B70" i="6" s="1"/>
  <c r="A70" i="6"/>
  <c r="G78" i="6"/>
  <c r="C78" i="6" s="1"/>
  <c r="F78" i="6"/>
  <c r="B78" i="6" s="1"/>
  <c r="A78" i="6"/>
  <c r="G86" i="6"/>
  <c r="C86" i="6" s="1"/>
  <c r="F86" i="6"/>
  <c r="B86" i="6" s="1"/>
  <c r="A86" i="6"/>
  <c r="G94" i="6"/>
  <c r="C94" i="6" s="1"/>
  <c r="F94" i="6"/>
  <c r="B94" i="6" s="1"/>
  <c r="A94" i="6"/>
  <c r="G102" i="6"/>
  <c r="C102" i="6" s="1"/>
  <c r="F102" i="6"/>
  <c r="B102" i="6" s="1"/>
  <c r="A102" i="6"/>
  <c r="G110" i="6"/>
  <c r="C110" i="6" s="1"/>
  <c r="F110" i="6"/>
  <c r="B110" i="6" s="1"/>
  <c r="A110" i="6"/>
  <c r="C118" i="6"/>
  <c r="G118" i="6"/>
  <c r="F118" i="6"/>
  <c r="B118" i="6" s="1"/>
  <c r="A118" i="6"/>
  <c r="F138" i="6"/>
  <c r="B138" i="6" s="1"/>
  <c r="A138" i="6"/>
  <c r="C138" i="6"/>
  <c r="G138" i="6"/>
  <c r="C147" i="6"/>
  <c r="G147" i="6"/>
  <c r="A147" i="6"/>
  <c r="F147" i="6"/>
  <c r="B147" i="6" s="1"/>
  <c r="F170" i="6"/>
  <c r="B170" i="6" s="1"/>
  <c r="A170" i="6"/>
  <c r="C170" i="6"/>
  <c r="G170" i="6"/>
  <c r="C179" i="6"/>
  <c r="G179" i="6"/>
  <c r="A179" i="6"/>
  <c r="F179" i="6"/>
  <c r="B179" i="6" s="1"/>
  <c r="F202" i="6"/>
  <c r="B202" i="6" s="1"/>
  <c r="A202" i="6"/>
  <c r="C202" i="6"/>
  <c r="G202" i="6"/>
  <c r="C211" i="6"/>
  <c r="G211" i="6"/>
  <c r="A211" i="6"/>
  <c r="F211" i="6"/>
  <c r="B211" i="6" s="1"/>
  <c r="F234" i="6"/>
  <c r="B234" i="6" s="1"/>
  <c r="A234" i="6"/>
  <c r="C234" i="6"/>
  <c r="G234" i="6"/>
  <c r="F252" i="6"/>
  <c r="B252" i="6" s="1"/>
  <c r="A252" i="6"/>
  <c r="G252" i="6"/>
  <c r="C252" i="6"/>
  <c r="F284" i="6"/>
  <c r="B284" i="6" s="1"/>
  <c r="A284" i="6"/>
  <c r="G284" i="6"/>
  <c r="C284" i="6"/>
  <c r="G316" i="6"/>
  <c r="F316" i="6"/>
  <c r="B316" i="6" s="1"/>
  <c r="A316" i="6"/>
  <c r="C316" i="6"/>
  <c r="G332" i="6"/>
  <c r="F332" i="6"/>
  <c r="B332" i="6" s="1"/>
  <c r="A332" i="6"/>
  <c r="C332" i="6"/>
  <c r="C385" i="6"/>
  <c r="G385" i="6"/>
  <c r="A385" i="6"/>
  <c r="F385" i="6"/>
  <c r="B385" i="6" s="1"/>
  <c r="G486" i="6"/>
  <c r="C486" i="6"/>
  <c r="F486" i="6"/>
  <c r="B486" i="6" s="1"/>
  <c r="A486" i="6"/>
  <c r="F6" i="6"/>
  <c r="B6" i="6" s="1"/>
  <c r="G12" i="6"/>
  <c r="C12" i="6" s="1"/>
  <c r="F14" i="6"/>
  <c r="B14" i="6" s="1"/>
  <c r="F22" i="6"/>
  <c r="B22" i="6" s="1"/>
  <c r="G36" i="6"/>
  <c r="C36" i="6" s="1"/>
  <c r="G88" i="6"/>
  <c r="C88" i="6" s="1"/>
  <c r="F88" i="6"/>
  <c r="B88" i="6" s="1"/>
  <c r="A88" i="6"/>
  <c r="G104" i="6"/>
  <c r="C104" i="6" s="1"/>
  <c r="F104" i="6"/>
  <c r="B104" i="6" s="1"/>
  <c r="A104" i="6"/>
  <c r="F130" i="6"/>
  <c r="B130" i="6" s="1"/>
  <c r="A130" i="6"/>
  <c r="C130" i="6"/>
  <c r="G130" i="6"/>
  <c r="F162" i="6"/>
  <c r="B162" i="6" s="1"/>
  <c r="A162" i="6"/>
  <c r="C162" i="6"/>
  <c r="G162" i="6"/>
  <c r="F194" i="6"/>
  <c r="B194" i="6" s="1"/>
  <c r="A194" i="6"/>
  <c r="C194" i="6"/>
  <c r="G194" i="6"/>
  <c r="C203" i="6"/>
  <c r="G203" i="6"/>
  <c r="A203" i="6"/>
  <c r="F203" i="6"/>
  <c r="B203" i="6" s="1"/>
  <c r="C235" i="6"/>
  <c r="G235" i="6"/>
  <c r="A235" i="6"/>
  <c r="F235" i="6"/>
  <c r="B235" i="6" s="1"/>
  <c r="F260" i="6"/>
  <c r="B260" i="6" s="1"/>
  <c r="A260" i="6"/>
  <c r="G260" i="6"/>
  <c r="C260" i="6"/>
  <c r="F292" i="6"/>
  <c r="B292" i="6" s="1"/>
  <c r="A292" i="6"/>
  <c r="G292" i="6"/>
  <c r="C292" i="6"/>
  <c r="G328" i="6"/>
  <c r="F328" i="6"/>
  <c r="B328" i="6" s="1"/>
  <c r="A328" i="6"/>
  <c r="C328" i="6"/>
  <c r="G344" i="6"/>
  <c r="F344" i="6"/>
  <c r="B344" i="6" s="1"/>
  <c r="A344" i="6"/>
  <c r="C344" i="6"/>
  <c r="F376" i="6"/>
  <c r="B376" i="6" s="1"/>
  <c r="A376" i="6"/>
  <c r="G376" i="6"/>
  <c r="C376" i="6"/>
  <c r="G448" i="6"/>
  <c r="F448" i="6"/>
  <c r="B448" i="6" s="1"/>
  <c r="A448" i="6"/>
  <c r="C448" i="6"/>
  <c r="G460" i="6"/>
  <c r="F460" i="6"/>
  <c r="B460" i="6" s="1"/>
  <c r="C460" i="6"/>
  <c r="A460" i="6"/>
  <c r="G484" i="6"/>
  <c r="F484" i="6"/>
  <c r="B484" i="6" s="1"/>
  <c r="A484" i="6"/>
  <c r="C484" i="6"/>
  <c r="G32" i="6"/>
  <c r="C32" i="6" s="1"/>
  <c r="G68" i="6"/>
  <c r="C68" i="6" s="1"/>
  <c r="F68" i="6"/>
  <c r="B68" i="6" s="1"/>
  <c r="A68" i="6"/>
  <c r="G76" i="6"/>
  <c r="C76" i="6" s="1"/>
  <c r="F76" i="6"/>
  <c r="B76" i="6" s="1"/>
  <c r="A76" i="6"/>
  <c r="G84" i="6"/>
  <c r="C84" i="6" s="1"/>
  <c r="F84" i="6"/>
  <c r="B84" i="6" s="1"/>
  <c r="A84" i="6"/>
  <c r="G92" i="6"/>
  <c r="C92" i="6" s="1"/>
  <c r="F92" i="6"/>
  <c r="B92" i="6" s="1"/>
  <c r="A92" i="6"/>
  <c r="G100" i="6"/>
  <c r="C100" i="6" s="1"/>
  <c r="F100" i="6"/>
  <c r="B100" i="6" s="1"/>
  <c r="A100" i="6"/>
  <c r="F146" i="6"/>
  <c r="B146" i="6" s="1"/>
  <c r="A146" i="6"/>
  <c r="C146" i="6"/>
  <c r="G146" i="6"/>
  <c r="C155" i="6"/>
  <c r="G155" i="6"/>
  <c r="A155" i="6"/>
  <c r="F155" i="6"/>
  <c r="B155" i="6" s="1"/>
  <c r="C187" i="6"/>
  <c r="G187" i="6"/>
  <c r="A187" i="6"/>
  <c r="F187" i="6"/>
  <c r="B187" i="6" s="1"/>
  <c r="F210" i="6"/>
  <c r="B210" i="6" s="1"/>
  <c r="A210" i="6"/>
  <c r="C210" i="6"/>
  <c r="G210" i="6"/>
  <c r="F276" i="6"/>
  <c r="B276" i="6" s="1"/>
  <c r="A276" i="6"/>
  <c r="G276" i="6"/>
  <c r="C276" i="6"/>
  <c r="F308" i="6"/>
  <c r="B308" i="6" s="1"/>
  <c r="A308" i="6"/>
  <c r="G308" i="6"/>
  <c r="C308" i="6"/>
  <c r="G320" i="6"/>
  <c r="F320" i="6"/>
  <c r="B320" i="6" s="1"/>
  <c r="A320" i="6"/>
  <c r="C320" i="6"/>
  <c r="F350" i="6"/>
  <c r="B350" i="6" s="1"/>
  <c r="A350" i="6"/>
  <c r="G350" i="6"/>
  <c r="C350" i="6"/>
  <c r="C415" i="6"/>
  <c r="F415" i="6"/>
  <c r="B415" i="6" s="1"/>
  <c r="A415" i="6"/>
  <c r="G415" i="6"/>
  <c r="G482" i="6"/>
  <c r="C482" i="6"/>
  <c r="A482" i="6"/>
  <c r="F482" i="6"/>
  <c r="B482" i="6" s="1"/>
  <c r="G4" i="6"/>
  <c r="C4" i="6" s="1"/>
  <c r="G20" i="6"/>
  <c r="C20" i="6" s="1"/>
  <c r="G28" i="6"/>
  <c r="C28" i="6" s="1"/>
  <c r="F30" i="6"/>
  <c r="B30" i="6" s="1"/>
  <c r="F38" i="6"/>
  <c r="B38" i="6" s="1"/>
  <c r="G64" i="6"/>
  <c r="C64" i="6" s="1"/>
  <c r="F64" i="6"/>
  <c r="B64" i="6" s="1"/>
  <c r="A64" i="6"/>
  <c r="G72" i="6"/>
  <c r="C72" i="6" s="1"/>
  <c r="F72" i="6"/>
  <c r="B72" i="6" s="1"/>
  <c r="A72" i="6"/>
  <c r="G80" i="6"/>
  <c r="C80" i="6" s="1"/>
  <c r="F80" i="6"/>
  <c r="B80" i="6" s="1"/>
  <c r="A80" i="6"/>
  <c r="G96" i="6"/>
  <c r="C96" i="6" s="1"/>
  <c r="F96" i="6"/>
  <c r="B96" i="6" s="1"/>
  <c r="A96" i="6"/>
  <c r="C112" i="6"/>
  <c r="G112" i="6"/>
  <c r="F112" i="6"/>
  <c r="B112" i="6" s="1"/>
  <c r="A112" i="6"/>
  <c r="C120" i="6"/>
  <c r="G120" i="6"/>
  <c r="F120" i="6"/>
  <c r="B120" i="6" s="1"/>
  <c r="A120" i="6"/>
  <c r="C139" i="6"/>
  <c r="G139" i="6"/>
  <c r="A139" i="6"/>
  <c r="F139" i="6"/>
  <c r="B139" i="6" s="1"/>
  <c r="C171" i="6"/>
  <c r="G171" i="6"/>
  <c r="A171" i="6"/>
  <c r="F171" i="6"/>
  <c r="B171" i="6" s="1"/>
  <c r="F226" i="6"/>
  <c r="B226" i="6" s="1"/>
  <c r="A226" i="6"/>
  <c r="C226" i="6"/>
  <c r="G226" i="6"/>
  <c r="F4" i="6"/>
  <c r="B4" i="6" s="1"/>
  <c r="A8" i="6"/>
  <c r="G10" i="6"/>
  <c r="C10" i="6" s="1"/>
  <c r="F12" i="6"/>
  <c r="B12" i="6" s="1"/>
  <c r="A16" i="6"/>
  <c r="G18" i="6"/>
  <c r="C18" i="6" s="1"/>
  <c r="F20" i="6"/>
  <c r="B20" i="6" s="1"/>
  <c r="A24" i="6"/>
  <c r="G26" i="6"/>
  <c r="C26" i="6" s="1"/>
  <c r="F28" i="6"/>
  <c r="B28" i="6" s="1"/>
  <c r="A32" i="6"/>
  <c r="G34" i="6"/>
  <c r="C34" i="6" s="1"/>
  <c r="F36" i="6"/>
  <c r="B36" i="6" s="1"/>
  <c r="A40" i="6"/>
  <c r="G66" i="6"/>
  <c r="C66" i="6" s="1"/>
  <c r="F66" i="6"/>
  <c r="B66" i="6" s="1"/>
  <c r="A66" i="6"/>
  <c r="G74" i="6"/>
  <c r="C74" i="6" s="1"/>
  <c r="F74" i="6"/>
  <c r="B74" i="6" s="1"/>
  <c r="A74" i="6"/>
  <c r="G82" i="6"/>
  <c r="C82" i="6" s="1"/>
  <c r="F82" i="6"/>
  <c r="B82" i="6" s="1"/>
  <c r="A82" i="6"/>
  <c r="G90" i="6"/>
  <c r="C90" i="6" s="1"/>
  <c r="F90" i="6"/>
  <c r="B90" i="6" s="1"/>
  <c r="A90" i="6"/>
  <c r="G98" i="6"/>
  <c r="C98" i="6" s="1"/>
  <c r="F98" i="6"/>
  <c r="B98" i="6" s="1"/>
  <c r="A98" i="6"/>
  <c r="G106" i="6"/>
  <c r="C106" i="6" s="1"/>
  <c r="F106" i="6"/>
  <c r="B106" i="6" s="1"/>
  <c r="A106" i="6"/>
  <c r="C114" i="6"/>
  <c r="G114" i="6"/>
  <c r="F114" i="6"/>
  <c r="B114" i="6" s="1"/>
  <c r="A114" i="6"/>
  <c r="F122" i="6"/>
  <c r="B122" i="6" s="1"/>
  <c r="C122" i="6"/>
  <c r="G122" i="6"/>
  <c r="A122" i="6"/>
  <c r="C131" i="6"/>
  <c r="G131" i="6"/>
  <c r="A131" i="6"/>
  <c r="F131" i="6"/>
  <c r="B131" i="6" s="1"/>
  <c r="F154" i="6"/>
  <c r="B154" i="6" s="1"/>
  <c r="A154" i="6"/>
  <c r="C154" i="6"/>
  <c r="G154" i="6"/>
  <c r="C163" i="6"/>
  <c r="G163" i="6"/>
  <c r="A163" i="6"/>
  <c r="F163" i="6"/>
  <c r="B163" i="6" s="1"/>
  <c r="F186" i="6"/>
  <c r="B186" i="6" s="1"/>
  <c r="A186" i="6"/>
  <c r="C186" i="6"/>
  <c r="G186" i="6"/>
  <c r="C195" i="6"/>
  <c r="G195" i="6"/>
  <c r="A195" i="6"/>
  <c r="F195" i="6"/>
  <c r="B195" i="6" s="1"/>
  <c r="F218" i="6"/>
  <c r="B218" i="6" s="1"/>
  <c r="A218" i="6"/>
  <c r="C218" i="6"/>
  <c r="G218" i="6"/>
  <c r="C227" i="6"/>
  <c r="G227" i="6"/>
  <c r="A227" i="6"/>
  <c r="F227" i="6"/>
  <c r="B227" i="6" s="1"/>
  <c r="F268" i="6"/>
  <c r="B268" i="6" s="1"/>
  <c r="A268" i="6"/>
  <c r="G268" i="6"/>
  <c r="C268" i="6"/>
  <c r="F300" i="6"/>
  <c r="B300" i="6" s="1"/>
  <c r="A300" i="6"/>
  <c r="G300" i="6"/>
  <c r="C300" i="6"/>
  <c r="G324" i="6"/>
  <c r="F324" i="6"/>
  <c r="B324" i="6" s="1"/>
  <c r="A324" i="6"/>
  <c r="C324" i="6"/>
  <c r="G340" i="6"/>
  <c r="F340" i="6"/>
  <c r="B340" i="6" s="1"/>
  <c r="A340" i="6"/>
  <c r="C340" i="6"/>
  <c r="C383" i="6"/>
  <c r="F383" i="6"/>
  <c r="B383" i="6" s="1"/>
  <c r="A383" i="6"/>
  <c r="G383" i="6"/>
  <c r="F408" i="6"/>
  <c r="B408" i="6" s="1"/>
  <c r="A408" i="6"/>
  <c r="G408" i="6"/>
  <c r="C408" i="6"/>
  <c r="G434" i="6"/>
  <c r="C434" i="6"/>
  <c r="A434" i="6"/>
  <c r="F434" i="6"/>
  <c r="B434" i="6" s="1"/>
  <c r="F124" i="6"/>
  <c r="B124" i="6" s="1"/>
  <c r="A124" i="6"/>
  <c r="F132" i="6"/>
  <c r="B132" i="6" s="1"/>
  <c r="A132" i="6"/>
  <c r="F140" i="6"/>
  <c r="B140" i="6" s="1"/>
  <c r="A140" i="6"/>
  <c r="F148" i="6"/>
  <c r="B148" i="6" s="1"/>
  <c r="A148" i="6"/>
  <c r="F156" i="6"/>
  <c r="B156" i="6" s="1"/>
  <c r="A156" i="6"/>
  <c r="F164" i="6"/>
  <c r="B164" i="6" s="1"/>
  <c r="A164" i="6"/>
  <c r="F172" i="6"/>
  <c r="B172" i="6" s="1"/>
  <c r="A172" i="6"/>
  <c r="F180" i="6"/>
  <c r="B180" i="6" s="1"/>
  <c r="A180" i="6"/>
  <c r="F188" i="6"/>
  <c r="B188" i="6" s="1"/>
  <c r="A188" i="6"/>
  <c r="F196" i="6"/>
  <c r="B196" i="6" s="1"/>
  <c r="A196" i="6"/>
  <c r="F204" i="6"/>
  <c r="B204" i="6" s="1"/>
  <c r="A204" i="6"/>
  <c r="F212" i="6"/>
  <c r="B212" i="6" s="1"/>
  <c r="A212" i="6"/>
  <c r="F220" i="6"/>
  <c r="B220" i="6" s="1"/>
  <c r="A220" i="6"/>
  <c r="F228" i="6"/>
  <c r="B228" i="6" s="1"/>
  <c r="A228" i="6"/>
  <c r="F236" i="6"/>
  <c r="B236" i="6" s="1"/>
  <c r="A236" i="6"/>
  <c r="F242" i="6"/>
  <c r="B242" i="6" s="1"/>
  <c r="A242" i="6"/>
  <c r="G242" i="6"/>
  <c r="F250" i="6"/>
  <c r="B250" i="6" s="1"/>
  <c r="A250" i="6"/>
  <c r="G250" i="6"/>
  <c r="F258" i="6"/>
  <c r="B258" i="6" s="1"/>
  <c r="A258" i="6"/>
  <c r="G258" i="6"/>
  <c r="F266" i="6"/>
  <c r="B266" i="6" s="1"/>
  <c r="A266" i="6"/>
  <c r="G266" i="6"/>
  <c r="F274" i="6"/>
  <c r="B274" i="6" s="1"/>
  <c r="A274" i="6"/>
  <c r="G274" i="6"/>
  <c r="F282" i="6"/>
  <c r="B282" i="6" s="1"/>
  <c r="A282" i="6"/>
  <c r="G282" i="6"/>
  <c r="F290" i="6"/>
  <c r="B290" i="6" s="1"/>
  <c r="A290" i="6"/>
  <c r="G290" i="6"/>
  <c r="F298" i="6"/>
  <c r="B298" i="6" s="1"/>
  <c r="A298" i="6"/>
  <c r="G298" i="6"/>
  <c r="F306" i="6"/>
  <c r="B306" i="6" s="1"/>
  <c r="A306" i="6"/>
  <c r="G306" i="6"/>
  <c r="F314" i="6"/>
  <c r="B314" i="6" s="1"/>
  <c r="A314" i="6"/>
  <c r="G314" i="6"/>
  <c r="F348" i="6"/>
  <c r="B348" i="6" s="1"/>
  <c r="A348" i="6"/>
  <c r="G348" i="6"/>
  <c r="F358" i="6"/>
  <c r="B358" i="6" s="1"/>
  <c r="A358" i="6"/>
  <c r="C358" i="6"/>
  <c r="F362" i="6"/>
  <c r="B362" i="6" s="1"/>
  <c r="A362" i="6"/>
  <c r="G362" i="6"/>
  <c r="F386" i="6"/>
  <c r="B386" i="6" s="1"/>
  <c r="A386" i="6"/>
  <c r="G386" i="6"/>
  <c r="C386" i="6"/>
  <c r="F390" i="6"/>
  <c r="B390" i="6" s="1"/>
  <c r="A390" i="6"/>
  <c r="C390" i="6"/>
  <c r="F394" i="6"/>
  <c r="B394" i="6" s="1"/>
  <c r="A394" i="6"/>
  <c r="G394" i="6"/>
  <c r="G358" i="6"/>
  <c r="C371" i="6"/>
  <c r="F371" i="6"/>
  <c r="B371" i="6" s="1"/>
  <c r="G371" i="6"/>
  <c r="A371" i="6"/>
  <c r="G390" i="6"/>
  <c r="C403" i="6"/>
  <c r="F403" i="6"/>
  <c r="B403" i="6" s="1"/>
  <c r="G403" i="6"/>
  <c r="A403" i="6"/>
  <c r="G438" i="6"/>
  <c r="C438" i="6"/>
  <c r="F438" i="6"/>
  <c r="B438" i="6" s="1"/>
  <c r="A438" i="6"/>
  <c r="G446" i="6"/>
  <c r="C446" i="6"/>
  <c r="A446" i="6"/>
  <c r="F446" i="6"/>
  <c r="B446" i="6" s="1"/>
  <c r="G480" i="6"/>
  <c r="F480" i="6"/>
  <c r="B480" i="6" s="1"/>
  <c r="A480" i="6"/>
  <c r="G496" i="6"/>
  <c r="F496" i="6"/>
  <c r="B496" i="6" s="1"/>
  <c r="A496" i="6"/>
  <c r="C496" i="6"/>
  <c r="G124" i="6"/>
  <c r="F125" i="6"/>
  <c r="B125" i="6" s="1"/>
  <c r="F126" i="6"/>
  <c r="B126" i="6" s="1"/>
  <c r="A126" i="6"/>
  <c r="G132" i="6"/>
  <c r="F133" i="6"/>
  <c r="B133" i="6" s="1"/>
  <c r="F134" i="6"/>
  <c r="B134" i="6" s="1"/>
  <c r="A134" i="6"/>
  <c r="G140" i="6"/>
  <c r="F141" i="6"/>
  <c r="B141" i="6" s="1"/>
  <c r="F142" i="6"/>
  <c r="B142" i="6" s="1"/>
  <c r="A142" i="6"/>
  <c r="G148" i="6"/>
  <c r="F149" i="6"/>
  <c r="B149" i="6" s="1"/>
  <c r="F150" i="6"/>
  <c r="B150" i="6" s="1"/>
  <c r="A150" i="6"/>
  <c r="G156" i="6"/>
  <c r="F157" i="6"/>
  <c r="B157" i="6" s="1"/>
  <c r="F158" i="6"/>
  <c r="B158" i="6" s="1"/>
  <c r="A158" i="6"/>
  <c r="G164" i="6"/>
  <c r="F165" i="6"/>
  <c r="B165" i="6" s="1"/>
  <c r="F166" i="6"/>
  <c r="B166" i="6" s="1"/>
  <c r="A166" i="6"/>
  <c r="G172" i="6"/>
  <c r="F173" i="6"/>
  <c r="B173" i="6" s="1"/>
  <c r="F174" i="6"/>
  <c r="B174" i="6" s="1"/>
  <c r="A174" i="6"/>
  <c r="G180" i="6"/>
  <c r="F181" i="6"/>
  <c r="B181" i="6" s="1"/>
  <c r="F182" i="6"/>
  <c r="B182" i="6" s="1"/>
  <c r="A182" i="6"/>
  <c r="G188" i="6"/>
  <c r="F189" i="6"/>
  <c r="B189" i="6" s="1"/>
  <c r="F190" i="6"/>
  <c r="B190" i="6" s="1"/>
  <c r="A190" i="6"/>
  <c r="G196" i="6"/>
  <c r="F197" i="6"/>
  <c r="B197" i="6" s="1"/>
  <c r="F198" i="6"/>
  <c r="B198" i="6" s="1"/>
  <c r="A198" i="6"/>
  <c r="G204" i="6"/>
  <c r="F205" i="6"/>
  <c r="B205" i="6" s="1"/>
  <c r="F206" i="6"/>
  <c r="B206" i="6" s="1"/>
  <c r="A206" i="6"/>
  <c r="G212" i="6"/>
  <c r="F213" i="6"/>
  <c r="B213" i="6" s="1"/>
  <c r="F214" i="6"/>
  <c r="B214" i="6" s="1"/>
  <c r="A214" i="6"/>
  <c r="G220" i="6"/>
  <c r="F221" i="6"/>
  <c r="B221" i="6" s="1"/>
  <c r="F222" i="6"/>
  <c r="B222" i="6" s="1"/>
  <c r="A222" i="6"/>
  <c r="G228" i="6"/>
  <c r="F229" i="6"/>
  <c r="B229" i="6" s="1"/>
  <c r="F230" i="6"/>
  <c r="B230" i="6" s="1"/>
  <c r="A230" i="6"/>
  <c r="G236" i="6"/>
  <c r="F237" i="6"/>
  <c r="B237" i="6" s="1"/>
  <c r="F238" i="6"/>
  <c r="B238" i="6" s="1"/>
  <c r="A238" i="6"/>
  <c r="F240" i="6"/>
  <c r="B240" i="6" s="1"/>
  <c r="A240" i="6"/>
  <c r="G240" i="6"/>
  <c r="F248" i="6"/>
  <c r="B248" i="6" s="1"/>
  <c r="A248" i="6"/>
  <c r="G248" i="6"/>
  <c r="F256" i="6"/>
  <c r="B256" i="6" s="1"/>
  <c r="A256" i="6"/>
  <c r="G256" i="6"/>
  <c r="F264" i="6"/>
  <c r="B264" i="6" s="1"/>
  <c r="A264" i="6"/>
  <c r="G264" i="6"/>
  <c r="F272" i="6"/>
  <c r="B272" i="6" s="1"/>
  <c r="A272" i="6"/>
  <c r="G272" i="6"/>
  <c r="F280" i="6"/>
  <c r="B280" i="6" s="1"/>
  <c r="A280" i="6"/>
  <c r="G280" i="6"/>
  <c r="F288" i="6"/>
  <c r="B288" i="6" s="1"/>
  <c r="A288" i="6"/>
  <c r="G288" i="6"/>
  <c r="F296" i="6"/>
  <c r="B296" i="6" s="1"/>
  <c r="A296" i="6"/>
  <c r="G296" i="6"/>
  <c r="F304" i="6"/>
  <c r="B304" i="6" s="1"/>
  <c r="A304" i="6"/>
  <c r="G304" i="6"/>
  <c r="F312" i="6"/>
  <c r="B312" i="6" s="1"/>
  <c r="A312" i="6"/>
  <c r="G312" i="6"/>
  <c r="C349" i="6"/>
  <c r="G349" i="6"/>
  <c r="A349" i="6"/>
  <c r="A3" i="6"/>
  <c r="A5" i="6"/>
  <c r="A7" i="6"/>
  <c r="A9" i="6"/>
  <c r="A11" i="6"/>
  <c r="A13" i="6"/>
  <c r="A15" i="6"/>
  <c r="A17" i="6"/>
  <c r="A19" i="6"/>
  <c r="A21" i="6"/>
  <c r="A23" i="6"/>
  <c r="A25" i="6"/>
  <c r="A27" i="6"/>
  <c r="A29" i="6"/>
  <c r="A31" i="6"/>
  <c r="A33" i="6"/>
  <c r="A35" i="6"/>
  <c r="A37" i="6"/>
  <c r="A39" i="6"/>
  <c r="A41" i="6"/>
  <c r="A43" i="6"/>
  <c r="A45" i="6"/>
  <c r="A47" i="6"/>
  <c r="A49" i="6"/>
  <c r="A51" i="6"/>
  <c r="A53" i="6"/>
  <c r="A55" i="6"/>
  <c r="A57" i="6"/>
  <c r="A59" i="6"/>
  <c r="A61" i="6"/>
  <c r="A63" i="6"/>
  <c r="A65" i="6"/>
  <c r="A67" i="6"/>
  <c r="A69" i="6"/>
  <c r="A71" i="6"/>
  <c r="A73" i="6"/>
  <c r="A75" i="6"/>
  <c r="A77" i="6"/>
  <c r="A79" i="6"/>
  <c r="A81" i="6"/>
  <c r="A83" i="6"/>
  <c r="A85" i="6"/>
  <c r="A87" i="6"/>
  <c r="A89" i="6"/>
  <c r="A91" i="6"/>
  <c r="A93" i="6"/>
  <c r="A95" i="6"/>
  <c r="A97" i="6"/>
  <c r="A99" i="6"/>
  <c r="A101" i="6"/>
  <c r="A103" i="6"/>
  <c r="A105" i="6"/>
  <c r="A107" i="6"/>
  <c r="A109" i="6"/>
  <c r="A111" i="6"/>
  <c r="A113" i="6"/>
  <c r="A115" i="6"/>
  <c r="A117" i="6"/>
  <c r="A119" i="6"/>
  <c r="A121" i="6"/>
  <c r="A125" i="6"/>
  <c r="G125" i="6"/>
  <c r="G126" i="6"/>
  <c r="F127" i="6"/>
  <c r="B127" i="6" s="1"/>
  <c r="F128" i="6"/>
  <c r="B128" i="6" s="1"/>
  <c r="A128" i="6"/>
  <c r="A133" i="6"/>
  <c r="G133" i="6"/>
  <c r="G134" i="6"/>
  <c r="F135" i="6"/>
  <c r="B135" i="6" s="1"/>
  <c r="F136" i="6"/>
  <c r="B136" i="6" s="1"/>
  <c r="A136" i="6"/>
  <c r="A141" i="6"/>
  <c r="G141" i="6"/>
  <c r="G142" i="6"/>
  <c r="F143" i="6"/>
  <c r="B143" i="6" s="1"/>
  <c r="F144" i="6"/>
  <c r="B144" i="6" s="1"/>
  <c r="A144" i="6"/>
  <c r="A149" i="6"/>
  <c r="G149" i="6"/>
  <c r="G150" i="6"/>
  <c r="F151" i="6"/>
  <c r="B151" i="6" s="1"/>
  <c r="F152" i="6"/>
  <c r="B152" i="6" s="1"/>
  <c r="A152" i="6"/>
  <c r="A157" i="6"/>
  <c r="G157" i="6"/>
  <c r="G158" i="6"/>
  <c r="F159" i="6"/>
  <c r="B159" i="6" s="1"/>
  <c r="F160" i="6"/>
  <c r="B160" i="6" s="1"/>
  <c r="A160" i="6"/>
  <c r="A165" i="6"/>
  <c r="G165" i="6"/>
  <c r="G166" i="6"/>
  <c r="F167" i="6"/>
  <c r="B167" i="6" s="1"/>
  <c r="F168" i="6"/>
  <c r="B168" i="6" s="1"/>
  <c r="A168" i="6"/>
  <c r="A173" i="6"/>
  <c r="G173" i="6"/>
  <c r="G174" i="6"/>
  <c r="F175" i="6"/>
  <c r="B175" i="6" s="1"/>
  <c r="F176" i="6"/>
  <c r="B176" i="6" s="1"/>
  <c r="A176" i="6"/>
  <c r="A181" i="6"/>
  <c r="G181" i="6"/>
  <c r="G182" i="6"/>
  <c r="F183" i="6"/>
  <c r="B183" i="6" s="1"/>
  <c r="F184" i="6"/>
  <c r="B184" i="6" s="1"/>
  <c r="A184" i="6"/>
  <c r="A189" i="6"/>
  <c r="G189" i="6"/>
  <c r="G190" i="6"/>
  <c r="F191" i="6"/>
  <c r="B191" i="6" s="1"/>
  <c r="F192" i="6"/>
  <c r="B192" i="6" s="1"/>
  <c r="A192" i="6"/>
  <c r="A197" i="6"/>
  <c r="G197" i="6"/>
  <c r="G198" i="6"/>
  <c r="F199" i="6"/>
  <c r="B199" i="6" s="1"/>
  <c r="F200" i="6"/>
  <c r="B200" i="6" s="1"/>
  <c r="A200" i="6"/>
  <c r="A205" i="6"/>
  <c r="G205" i="6"/>
  <c r="G206" i="6"/>
  <c r="F207" i="6"/>
  <c r="B207" i="6" s="1"/>
  <c r="F208" i="6"/>
  <c r="B208" i="6" s="1"/>
  <c r="A208" i="6"/>
  <c r="A213" i="6"/>
  <c r="G213" i="6"/>
  <c r="G214" i="6"/>
  <c r="F215" i="6"/>
  <c r="B215" i="6" s="1"/>
  <c r="F216" i="6"/>
  <c r="B216" i="6" s="1"/>
  <c r="A216" i="6"/>
  <c r="A221" i="6"/>
  <c r="G221" i="6"/>
  <c r="G222" i="6"/>
  <c r="F223" i="6"/>
  <c r="B223" i="6" s="1"/>
  <c r="F224" i="6"/>
  <c r="B224" i="6" s="1"/>
  <c r="A224" i="6"/>
  <c r="A229" i="6"/>
  <c r="G229" i="6"/>
  <c r="G230" i="6"/>
  <c r="F231" i="6"/>
  <c r="B231" i="6" s="1"/>
  <c r="F232" i="6"/>
  <c r="B232" i="6" s="1"/>
  <c r="A232" i="6"/>
  <c r="A237" i="6"/>
  <c r="G237" i="6"/>
  <c r="G238" i="6"/>
  <c r="F246" i="6"/>
  <c r="B246" i="6" s="1"/>
  <c r="A246" i="6"/>
  <c r="G246" i="6"/>
  <c r="F254" i="6"/>
  <c r="B254" i="6" s="1"/>
  <c r="A254" i="6"/>
  <c r="G254" i="6"/>
  <c r="F262" i="6"/>
  <c r="B262" i="6" s="1"/>
  <c r="A262" i="6"/>
  <c r="G262" i="6"/>
  <c r="F270" i="6"/>
  <c r="B270" i="6" s="1"/>
  <c r="A270" i="6"/>
  <c r="G270" i="6"/>
  <c r="F278" i="6"/>
  <c r="B278" i="6" s="1"/>
  <c r="A278" i="6"/>
  <c r="G278" i="6"/>
  <c r="F286" i="6"/>
  <c r="B286" i="6" s="1"/>
  <c r="A286" i="6"/>
  <c r="G286" i="6"/>
  <c r="F294" i="6"/>
  <c r="B294" i="6" s="1"/>
  <c r="A294" i="6"/>
  <c r="G294" i="6"/>
  <c r="F302" i="6"/>
  <c r="B302" i="6" s="1"/>
  <c r="A302" i="6"/>
  <c r="G302" i="6"/>
  <c r="F310" i="6"/>
  <c r="B310" i="6" s="1"/>
  <c r="A310" i="6"/>
  <c r="G310" i="6"/>
  <c r="C347" i="6"/>
  <c r="F347" i="6"/>
  <c r="B347" i="6" s="1"/>
  <c r="G347" i="6"/>
  <c r="F349" i="6"/>
  <c r="B349" i="6" s="1"/>
  <c r="C367" i="6"/>
  <c r="A367" i="6"/>
  <c r="G367" i="6"/>
  <c r="F374" i="6"/>
  <c r="B374" i="6" s="1"/>
  <c r="A374" i="6"/>
  <c r="C374" i="6"/>
  <c r="G374" i="6"/>
  <c r="C399" i="6"/>
  <c r="A399" i="6"/>
  <c r="G399" i="6"/>
  <c r="F406" i="6"/>
  <c r="B406" i="6" s="1"/>
  <c r="A406" i="6"/>
  <c r="C406" i="6"/>
  <c r="G406" i="6"/>
  <c r="G436" i="6"/>
  <c r="F436" i="6"/>
  <c r="B436" i="6" s="1"/>
  <c r="A436" i="6"/>
  <c r="C436" i="6"/>
  <c r="G494" i="6"/>
  <c r="C494" i="6"/>
  <c r="A494" i="6"/>
  <c r="C351" i="6"/>
  <c r="F351" i="6"/>
  <c r="B351" i="6" s="1"/>
  <c r="F354" i="6"/>
  <c r="B354" i="6" s="1"/>
  <c r="A354" i="6"/>
  <c r="C354" i="6"/>
  <c r="C363" i="6"/>
  <c r="F363" i="6"/>
  <c r="B363" i="6" s="1"/>
  <c r="A363" i="6"/>
  <c r="F368" i="6"/>
  <c r="B368" i="6" s="1"/>
  <c r="A368" i="6"/>
  <c r="C368" i="6"/>
  <c r="C377" i="6"/>
  <c r="G377" i="6"/>
  <c r="A377" i="6"/>
  <c r="F384" i="6"/>
  <c r="B384" i="6" s="1"/>
  <c r="A384" i="6"/>
  <c r="G384" i="6"/>
  <c r="C395" i="6"/>
  <c r="F395" i="6"/>
  <c r="B395" i="6" s="1"/>
  <c r="A395" i="6"/>
  <c r="F400" i="6"/>
  <c r="B400" i="6" s="1"/>
  <c r="A400" i="6"/>
  <c r="C400" i="6"/>
  <c r="C409" i="6"/>
  <c r="G409" i="6"/>
  <c r="A409" i="6"/>
  <c r="G416" i="6"/>
  <c r="F416" i="6"/>
  <c r="B416" i="6" s="1"/>
  <c r="A416" i="6"/>
  <c r="G420" i="6"/>
  <c r="F420" i="6"/>
  <c r="B420" i="6" s="1"/>
  <c r="G422" i="6"/>
  <c r="C422" i="6"/>
  <c r="F422" i="6"/>
  <c r="B422" i="6" s="1"/>
  <c r="G428" i="6"/>
  <c r="F428" i="6"/>
  <c r="B428" i="6" s="1"/>
  <c r="C428" i="6"/>
  <c r="G444" i="6"/>
  <c r="F444" i="6"/>
  <c r="B444" i="6" s="1"/>
  <c r="C444" i="6"/>
  <c r="G452" i="6"/>
  <c r="F452" i="6"/>
  <c r="B452" i="6" s="1"/>
  <c r="C452" i="6"/>
  <c r="G466" i="6"/>
  <c r="C466" i="6"/>
  <c r="F466" i="6"/>
  <c r="B466" i="6" s="1"/>
  <c r="C318" i="6"/>
  <c r="C322" i="6"/>
  <c r="C326" i="6"/>
  <c r="C330" i="6"/>
  <c r="C334" i="6"/>
  <c r="C338" i="6"/>
  <c r="C342" i="6"/>
  <c r="F346" i="6"/>
  <c r="B346" i="6" s="1"/>
  <c r="A346" i="6"/>
  <c r="C346" i="6"/>
  <c r="C355" i="6"/>
  <c r="F355" i="6"/>
  <c r="B355" i="6" s="1"/>
  <c r="C361" i="6"/>
  <c r="G361" i="6"/>
  <c r="A361" i="6"/>
  <c r="F361" i="6"/>
  <c r="B361" i="6" s="1"/>
  <c r="F366" i="6"/>
  <c r="B366" i="6" s="1"/>
  <c r="A366" i="6"/>
  <c r="C366" i="6"/>
  <c r="C375" i="6"/>
  <c r="G375" i="6"/>
  <c r="F378" i="6"/>
  <c r="B378" i="6" s="1"/>
  <c r="A378" i="6"/>
  <c r="G378" i="6"/>
  <c r="C378" i="6"/>
  <c r="C384" i="6"/>
  <c r="C387" i="6"/>
  <c r="F387" i="6"/>
  <c r="B387" i="6" s="1"/>
  <c r="C393" i="6"/>
  <c r="G393" i="6"/>
  <c r="A393" i="6"/>
  <c r="F393" i="6"/>
  <c r="B393" i="6" s="1"/>
  <c r="F398" i="6"/>
  <c r="B398" i="6" s="1"/>
  <c r="A398" i="6"/>
  <c r="C398" i="6"/>
  <c r="C407" i="6"/>
  <c r="G407" i="6"/>
  <c r="F410" i="6"/>
  <c r="B410" i="6" s="1"/>
  <c r="A410" i="6"/>
  <c r="G410" i="6"/>
  <c r="C410" i="6"/>
  <c r="C416" i="6"/>
  <c r="G418" i="6"/>
  <c r="C418" i="6"/>
  <c r="A428" i="6"/>
  <c r="G430" i="6"/>
  <c r="C430" i="6"/>
  <c r="A430" i="6"/>
  <c r="G432" i="6"/>
  <c r="F432" i="6"/>
  <c r="B432" i="6" s="1"/>
  <c r="A432" i="6"/>
  <c r="A444" i="6"/>
  <c r="A452" i="6"/>
  <c r="G454" i="6"/>
  <c r="C454" i="6"/>
  <c r="F454" i="6"/>
  <c r="B454" i="6" s="1"/>
  <c r="A454" i="6"/>
  <c r="A466" i="6"/>
  <c r="G478" i="6"/>
  <c r="C478" i="6"/>
  <c r="A478" i="6"/>
  <c r="F478" i="6"/>
  <c r="B478" i="6" s="1"/>
  <c r="G498" i="6"/>
  <c r="C498" i="6"/>
  <c r="A498" i="6"/>
  <c r="G500" i="6"/>
  <c r="F500" i="6"/>
  <c r="B500" i="6" s="1"/>
  <c r="A500" i="6"/>
  <c r="F352" i="6"/>
  <c r="B352" i="6" s="1"/>
  <c r="A352" i="6"/>
  <c r="F360" i="6"/>
  <c r="B360" i="6" s="1"/>
  <c r="A360" i="6"/>
  <c r="C369" i="6"/>
  <c r="G369" i="6"/>
  <c r="A369" i="6"/>
  <c r="F370" i="6"/>
  <c r="B370" i="6" s="1"/>
  <c r="A370" i="6"/>
  <c r="G370" i="6"/>
  <c r="C379" i="6"/>
  <c r="F379" i="6"/>
  <c r="B379" i="6" s="1"/>
  <c r="F382" i="6"/>
  <c r="B382" i="6" s="1"/>
  <c r="A382" i="6"/>
  <c r="C382" i="6"/>
  <c r="F392" i="6"/>
  <c r="B392" i="6" s="1"/>
  <c r="A392" i="6"/>
  <c r="C401" i="6"/>
  <c r="G401" i="6"/>
  <c r="A401" i="6"/>
  <c r="F402" i="6"/>
  <c r="B402" i="6" s="1"/>
  <c r="A402" i="6"/>
  <c r="G402" i="6"/>
  <c r="C411" i="6"/>
  <c r="F411" i="6"/>
  <c r="B411" i="6" s="1"/>
  <c r="F414" i="6"/>
  <c r="B414" i="6" s="1"/>
  <c r="A414" i="6"/>
  <c r="C414" i="6"/>
  <c r="G450" i="6"/>
  <c r="C450" i="6"/>
  <c r="G462" i="6"/>
  <c r="C462" i="6"/>
  <c r="A462" i="6"/>
  <c r="G464" i="6"/>
  <c r="F464" i="6"/>
  <c r="B464" i="6" s="1"/>
  <c r="A464" i="6"/>
  <c r="G468" i="6"/>
  <c r="F468" i="6"/>
  <c r="B468" i="6" s="1"/>
  <c r="G470" i="6"/>
  <c r="C470" i="6"/>
  <c r="F470" i="6"/>
  <c r="B470" i="6" s="1"/>
  <c r="G476" i="6"/>
  <c r="F476" i="6"/>
  <c r="B476" i="6" s="1"/>
  <c r="C476" i="6"/>
  <c r="F356" i="6"/>
  <c r="B356" i="6" s="1"/>
  <c r="A356" i="6"/>
  <c r="F364" i="6"/>
  <c r="B364" i="6" s="1"/>
  <c r="A364" i="6"/>
  <c r="F372" i="6"/>
  <c r="B372" i="6" s="1"/>
  <c r="A372" i="6"/>
  <c r="F380" i="6"/>
  <c r="B380" i="6" s="1"/>
  <c r="A380" i="6"/>
  <c r="F388" i="6"/>
  <c r="B388" i="6" s="1"/>
  <c r="A388" i="6"/>
  <c r="F396" i="6"/>
  <c r="B396" i="6" s="1"/>
  <c r="A396" i="6"/>
  <c r="F404" i="6"/>
  <c r="B404" i="6" s="1"/>
  <c r="A404" i="6"/>
  <c r="F412" i="6"/>
  <c r="B412" i="6" s="1"/>
  <c r="A412" i="6"/>
  <c r="G424" i="6"/>
  <c r="F424" i="6"/>
  <c r="B424" i="6" s="1"/>
  <c r="G426" i="6"/>
  <c r="C426" i="6"/>
  <c r="G440" i="6"/>
  <c r="F440" i="6"/>
  <c r="B440" i="6" s="1"/>
  <c r="G442" i="6"/>
  <c r="C442" i="6"/>
  <c r="G456" i="6"/>
  <c r="F456" i="6"/>
  <c r="B456" i="6" s="1"/>
  <c r="G458" i="6"/>
  <c r="C458" i="6"/>
  <c r="G472" i="6"/>
  <c r="F472" i="6"/>
  <c r="B472" i="6" s="1"/>
  <c r="G474" i="6"/>
  <c r="C474" i="6"/>
  <c r="G488" i="6"/>
  <c r="F488" i="6"/>
  <c r="B488" i="6" s="1"/>
  <c r="G490" i="6"/>
  <c r="C490" i="6"/>
  <c r="A3" i="7"/>
  <c r="F3" i="7"/>
  <c r="B3" i="7" s="1"/>
  <c r="A5" i="7"/>
  <c r="F5" i="7"/>
  <c r="B5" i="7" s="1"/>
  <c r="A7" i="7"/>
  <c r="F7" i="7"/>
  <c r="B7" i="7" s="1"/>
  <c r="F12" i="7"/>
  <c r="B12" i="7" s="1"/>
  <c r="A12" i="7"/>
  <c r="F16" i="7"/>
  <c r="B16" i="7" s="1"/>
  <c r="A16" i="7"/>
  <c r="F20" i="7"/>
  <c r="B20" i="7" s="1"/>
  <c r="A20" i="7"/>
  <c r="F24" i="7"/>
  <c r="B24" i="7" s="1"/>
  <c r="A24" i="7"/>
  <c r="F28" i="7"/>
  <c r="B28" i="7" s="1"/>
  <c r="A28" i="7"/>
  <c r="F32" i="7"/>
  <c r="B32" i="7" s="1"/>
  <c r="A32" i="7"/>
  <c r="F36" i="7"/>
  <c r="B36" i="7" s="1"/>
  <c r="A36" i="7"/>
  <c r="F40" i="7"/>
  <c r="B40" i="7" s="1"/>
  <c r="A40" i="7"/>
  <c r="F44" i="7"/>
  <c r="B44" i="7" s="1"/>
  <c r="A44" i="7"/>
  <c r="F48" i="7"/>
  <c r="B48" i="7" s="1"/>
  <c r="A48" i="7"/>
  <c r="F52" i="7"/>
  <c r="B52" i="7" s="1"/>
  <c r="A52" i="7"/>
  <c r="F56" i="7"/>
  <c r="B56" i="7" s="1"/>
  <c r="A56" i="7"/>
  <c r="F60" i="7"/>
  <c r="B60" i="7" s="1"/>
  <c r="A60" i="7"/>
  <c r="F64" i="7"/>
  <c r="B64" i="7" s="1"/>
  <c r="A64" i="7"/>
  <c r="F68" i="7"/>
  <c r="B68" i="7" s="1"/>
  <c r="A68" i="7"/>
  <c r="F72" i="7"/>
  <c r="B72" i="7" s="1"/>
  <c r="A72" i="7"/>
  <c r="F76" i="7"/>
  <c r="B76" i="7" s="1"/>
  <c r="A76" i="7"/>
  <c r="F80" i="7"/>
  <c r="B80" i="7" s="1"/>
  <c r="A80" i="7"/>
  <c r="F84" i="7"/>
  <c r="B84" i="7" s="1"/>
  <c r="A84" i="7"/>
  <c r="F88" i="7"/>
  <c r="B88" i="7" s="1"/>
  <c r="A88" i="7"/>
  <c r="F92" i="7"/>
  <c r="B92" i="7" s="1"/>
  <c r="A92" i="7"/>
  <c r="F96" i="7"/>
  <c r="B96" i="7" s="1"/>
  <c r="A96" i="7"/>
  <c r="F100" i="7"/>
  <c r="B100" i="7" s="1"/>
  <c r="A100" i="7"/>
  <c r="F104" i="7"/>
  <c r="B104" i="7" s="1"/>
  <c r="A104" i="7"/>
  <c r="F108" i="7"/>
  <c r="B108" i="7" s="1"/>
  <c r="A108" i="7"/>
  <c r="G111" i="7"/>
  <c r="C111" i="7" s="1"/>
  <c r="F111" i="7"/>
  <c r="B111" i="7" s="1"/>
  <c r="A111" i="7"/>
  <c r="G113" i="7"/>
  <c r="C113" i="7" s="1"/>
  <c r="F113" i="7"/>
  <c r="B113" i="7" s="1"/>
  <c r="A113" i="7"/>
  <c r="G115" i="7"/>
  <c r="C115" i="7" s="1"/>
  <c r="F115" i="7"/>
  <c r="B115" i="7" s="1"/>
  <c r="A115" i="7"/>
  <c r="G117" i="7"/>
  <c r="C117" i="7" s="1"/>
  <c r="F117" i="7"/>
  <c r="B117" i="7" s="1"/>
  <c r="A117" i="7"/>
  <c r="G119" i="7"/>
  <c r="C119" i="7" s="1"/>
  <c r="F119" i="7"/>
  <c r="B119" i="7" s="1"/>
  <c r="A119" i="7"/>
  <c r="G121" i="7"/>
  <c r="C121" i="7" s="1"/>
  <c r="F121" i="7"/>
  <c r="B121" i="7" s="1"/>
  <c r="A121" i="7"/>
  <c r="G123" i="7"/>
  <c r="C123" i="7" s="1"/>
  <c r="F123" i="7"/>
  <c r="B123" i="7" s="1"/>
  <c r="A123" i="7"/>
  <c r="G125" i="7"/>
  <c r="C125" i="7" s="1"/>
  <c r="F125" i="7"/>
  <c r="B125" i="7" s="1"/>
  <c r="A125" i="7"/>
  <c r="G127" i="7"/>
  <c r="C127" i="7" s="1"/>
  <c r="F127" i="7"/>
  <c r="B127" i="7" s="1"/>
  <c r="A127" i="7"/>
  <c r="G3" i="7"/>
  <c r="C3" i="7" s="1"/>
  <c r="G5" i="7"/>
  <c r="C5" i="7" s="1"/>
  <c r="G7" i="7"/>
  <c r="C7" i="7" s="1"/>
  <c r="F11" i="7"/>
  <c r="B11" i="7" s="1"/>
  <c r="A11" i="7"/>
  <c r="G12" i="7"/>
  <c r="C12" i="7" s="1"/>
  <c r="F15" i="7"/>
  <c r="B15" i="7" s="1"/>
  <c r="A15" i="7"/>
  <c r="G16" i="7"/>
  <c r="C16" i="7" s="1"/>
  <c r="F19" i="7"/>
  <c r="B19" i="7" s="1"/>
  <c r="A19" i="7"/>
  <c r="G20" i="7"/>
  <c r="C20" i="7" s="1"/>
  <c r="F23" i="7"/>
  <c r="B23" i="7" s="1"/>
  <c r="A23" i="7"/>
  <c r="G24" i="7"/>
  <c r="C24" i="7" s="1"/>
  <c r="F27" i="7"/>
  <c r="B27" i="7" s="1"/>
  <c r="A27" i="7"/>
  <c r="G28" i="7"/>
  <c r="C28" i="7" s="1"/>
  <c r="F31" i="7"/>
  <c r="B31" i="7" s="1"/>
  <c r="A31" i="7"/>
  <c r="G32" i="7"/>
  <c r="C32" i="7" s="1"/>
  <c r="F35" i="7"/>
  <c r="B35" i="7" s="1"/>
  <c r="A35" i="7"/>
  <c r="G36" i="7"/>
  <c r="C36" i="7" s="1"/>
  <c r="F39" i="7"/>
  <c r="B39" i="7" s="1"/>
  <c r="A39" i="7"/>
  <c r="G40" i="7"/>
  <c r="C40" i="7" s="1"/>
  <c r="F43" i="7"/>
  <c r="B43" i="7" s="1"/>
  <c r="A43" i="7"/>
  <c r="G44" i="7"/>
  <c r="C44" i="7" s="1"/>
  <c r="F47" i="7"/>
  <c r="B47" i="7" s="1"/>
  <c r="A47" i="7"/>
  <c r="G48" i="7"/>
  <c r="C48" i="7" s="1"/>
  <c r="F51" i="7"/>
  <c r="B51" i="7" s="1"/>
  <c r="A51" i="7"/>
  <c r="G52" i="7"/>
  <c r="C52" i="7" s="1"/>
  <c r="F55" i="7"/>
  <c r="B55" i="7" s="1"/>
  <c r="A55" i="7"/>
  <c r="G56" i="7"/>
  <c r="C56" i="7" s="1"/>
  <c r="F59" i="7"/>
  <c r="B59" i="7" s="1"/>
  <c r="A59" i="7"/>
  <c r="G60" i="7"/>
  <c r="C60" i="7" s="1"/>
  <c r="F63" i="7"/>
  <c r="B63" i="7" s="1"/>
  <c r="A63" i="7"/>
  <c r="G64" i="7"/>
  <c r="C64" i="7" s="1"/>
  <c r="F67" i="7"/>
  <c r="B67" i="7" s="1"/>
  <c r="A67" i="7"/>
  <c r="G68" i="7"/>
  <c r="C68" i="7" s="1"/>
  <c r="F71" i="7"/>
  <c r="B71" i="7" s="1"/>
  <c r="A71" i="7"/>
  <c r="G72" i="7"/>
  <c r="C72" i="7" s="1"/>
  <c r="F75" i="7"/>
  <c r="B75" i="7" s="1"/>
  <c r="A75" i="7"/>
  <c r="G76" i="7"/>
  <c r="C76" i="7" s="1"/>
  <c r="F79" i="7"/>
  <c r="B79" i="7" s="1"/>
  <c r="A79" i="7"/>
  <c r="G80" i="7"/>
  <c r="C80" i="7" s="1"/>
  <c r="F83" i="7"/>
  <c r="B83" i="7" s="1"/>
  <c r="A83" i="7"/>
  <c r="G84" i="7"/>
  <c r="C84" i="7" s="1"/>
  <c r="F87" i="7"/>
  <c r="B87" i="7" s="1"/>
  <c r="A87" i="7"/>
  <c r="G88" i="7"/>
  <c r="C88" i="7" s="1"/>
  <c r="F91" i="7"/>
  <c r="B91" i="7" s="1"/>
  <c r="A91" i="7"/>
  <c r="G92" i="7"/>
  <c r="C92" i="7" s="1"/>
  <c r="F95" i="7"/>
  <c r="B95" i="7" s="1"/>
  <c r="A95" i="7"/>
  <c r="G96" i="7"/>
  <c r="C96" i="7" s="1"/>
  <c r="F99" i="7"/>
  <c r="B99" i="7" s="1"/>
  <c r="A99" i="7"/>
  <c r="G100" i="7"/>
  <c r="C100" i="7" s="1"/>
  <c r="F103" i="7"/>
  <c r="B103" i="7" s="1"/>
  <c r="A103" i="7"/>
  <c r="G104" i="7"/>
  <c r="C104" i="7" s="1"/>
  <c r="F107" i="7"/>
  <c r="B107" i="7" s="1"/>
  <c r="A107" i="7"/>
  <c r="G108" i="7"/>
  <c r="C108" i="7" s="1"/>
  <c r="C9" i="7"/>
  <c r="F10" i="7"/>
  <c r="B10" i="7" s="1"/>
  <c r="A10" i="7"/>
  <c r="C10" i="7"/>
  <c r="G11" i="7"/>
  <c r="C11" i="7" s="1"/>
  <c r="F14" i="7"/>
  <c r="B14" i="7" s="1"/>
  <c r="A14" i="7"/>
  <c r="C14" i="7"/>
  <c r="G15" i="7"/>
  <c r="C15" i="7" s="1"/>
  <c r="F18" i="7"/>
  <c r="B18" i="7" s="1"/>
  <c r="A18" i="7"/>
  <c r="C18" i="7"/>
  <c r="G19" i="7"/>
  <c r="C19" i="7" s="1"/>
  <c r="F22" i="7"/>
  <c r="B22" i="7" s="1"/>
  <c r="A22" i="7"/>
  <c r="C22" i="7"/>
  <c r="G23" i="7"/>
  <c r="C23" i="7" s="1"/>
  <c r="F26" i="7"/>
  <c r="B26" i="7" s="1"/>
  <c r="A26" i="7"/>
  <c r="C26" i="7"/>
  <c r="G27" i="7"/>
  <c r="C27" i="7" s="1"/>
  <c r="F30" i="7"/>
  <c r="B30" i="7" s="1"/>
  <c r="A30" i="7"/>
  <c r="C30" i="7"/>
  <c r="G31" i="7"/>
  <c r="C31" i="7" s="1"/>
  <c r="F34" i="7"/>
  <c r="B34" i="7" s="1"/>
  <c r="A34" i="7"/>
  <c r="C34" i="7"/>
  <c r="G35" i="7"/>
  <c r="C35" i="7" s="1"/>
  <c r="F38" i="7"/>
  <c r="B38" i="7" s="1"/>
  <c r="A38" i="7"/>
  <c r="C38" i="7"/>
  <c r="G39" i="7"/>
  <c r="C39" i="7" s="1"/>
  <c r="F42" i="7"/>
  <c r="B42" i="7" s="1"/>
  <c r="A42" i="7"/>
  <c r="C42" i="7"/>
  <c r="G43" i="7"/>
  <c r="C43" i="7" s="1"/>
  <c r="F46" i="7"/>
  <c r="B46" i="7" s="1"/>
  <c r="A46" i="7"/>
  <c r="C46" i="7"/>
  <c r="G47" i="7"/>
  <c r="C47" i="7" s="1"/>
  <c r="F50" i="7"/>
  <c r="B50" i="7" s="1"/>
  <c r="A50" i="7"/>
  <c r="C50" i="7"/>
  <c r="G51" i="7"/>
  <c r="C51" i="7" s="1"/>
  <c r="F54" i="7"/>
  <c r="B54" i="7" s="1"/>
  <c r="A54" i="7"/>
  <c r="C54" i="7"/>
  <c r="G55" i="7"/>
  <c r="C55" i="7" s="1"/>
  <c r="F58" i="7"/>
  <c r="B58" i="7" s="1"/>
  <c r="A58" i="7"/>
  <c r="C58" i="7"/>
  <c r="G59" i="7"/>
  <c r="C59" i="7" s="1"/>
  <c r="F62" i="7"/>
  <c r="B62" i="7" s="1"/>
  <c r="A62" i="7"/>
  <c r="C62" i="7"/>
  <c r="G63" i="7"/>
  <c r="C63" i="7" s="1"/>
  <c r="F66" i="7"/>
  <c r="B66" i="7" s="1"/>
  <c r="A66" i="7"/>
  <c r="C66" i="7"/>
  <c r="G67" i="7"/>
  <c r="C67" i="7" s="1"/>
  <c r="F70" i="7"/>
  <c r="B70" i="7" s="1"/>
  <c r="A70" i="7"/>
  <c r="C70" i="7"/>
  <c r="G71" i="7"/>
  <c r="C71" i="7" s="1"/>
  <c r="F74" i="7"/>
  <c r="B74" i="7" s="1"/>
  <c r="A74" i="7"/>
  <c r="C74" i="7"/>
  <c r="G75" i="7"/>
  <c r="C75" i="7" s="1"/>
  <c r="F78" i="7"/>
  <c r="B78" i="7" s="1"/>
  <c r="A78" i="7"/>
  <c r="C78" i="7"/>
  <c r="G79" i="7"/>
  <c r="C79" i="7" s="1"/>
  <c r="F82" i="7"/>
  <c r="B82" i="7" s="1"/>
  <c r="A82" i="7"/>
  <c r="C82" i="7"/>
  <c r="G83" i="7"/>
  <c r="C83" i="7" s="1"/>
  <c r="F86" i="7"/>
  <c r="B86" i="7" s="1"/>
  <c r="A86" i="7"/>
  <c r="C86" i="7"/>
  <c r="G87" i="7"/>
  <c r="C87" i="7" s="1"/>
  <c r="F90" i="7"/>
  <c r="B90" i="7" s="1"/>
  <c r="A90" i="7"/>
  <c r="C90" i="7"/>
  <c r="G91" i="7"/>
  <c r="C91" i="7" s="1"/>
  <c r="F94" i="7"/>
  <c r="B94" i="7" s="1"/>
  <c r="A94" i="7"/>
  <c r="C94" i="7"/>
  <c r="G95" i="7"/>
  <c r="C95" i="7" s="1"/>
  <c r="F98" i="7"/>
  <c r="B98" i="7" s="1"/>
  <c r="A98" i="7"/>
  <c r="C98" i="7"/>
  <c r="G99" i="7"/>
  <c r="C99" i="7" s="1"/>
  <c r="F102" i="7"/>
  <c r="B102" i="7" s="1"/>
  <c r="A102" i="7"/>
  <c r="C102" i="7"/>
  <c r="G103" i="7"/>
  <c r="C103" i="7" s="1"/>
  <c r="F106" i="7"/>
  <c r="B106" i="7" s="1"/>
  <c r="A106" i="7"/>
  <c r="C106" i="7"/>
  <c r="G107" i="7"/>
  <c r="C107" i="7" s="1"/>
  <c r="C13" i="7"/>
  <c r="F13" i="7"/>
  <c r="B13" i="7" s="1"/>
  <c r="A13" i="7"/>
  <c r="C17" i="7"/>
  <c r="F17" i="7"/>
  <c r="B17" i="7" s="1"/>
  <c r="A17" i="7"/>
  <c r="C21" i="7"/>
  <c r="F21" i="7"/>
  <c r="B21" i="7" s="1"/>
  <c r="A21" i="7"/>
  <c r="C25" i="7"/>
  <c r="F25" i="7"/>
  <c r="B25" i="7" s="1"/>
  <c r="A25" i="7"/>
  <c r="C29" i="7"/>
  <c r="F29" i="7"/>
  <c r="B29" i="7" s="1"/>
  <c r="A29" i="7"/>
  <c r="C33" i="7"/>
  <c r="F33" i="7"/>
  <c r="B33" i="7" s="1"/>
  <c r="A33" i="7"/>
  <c r="C37" i="7"/>
  <c r="F37" i="7"/>
  <c r="B37" i="7" s="1"/>
  <c r="A37" i="7"/>
  <c r="C41" i="7"/>
  <c r="F41" i="7"/>
  <c r="B41" i="7" s="1"/>
  <c r="A41" i="7"/>
  <c r="C45" i="7"/>
  <c r="F45" i="7"/>
  <c r="B45" i="7" s="1"/>
  <c r="A45" i="7"/>
  <c r="C49" i="7"/>
  <c r="F49" i="7"/>
  <c r="B49" i="7" s="1"/>
  <c r="A49" i="7"/>
  <c r="C53" i="7"/>
  <c r="F53" i="7"/>
  <c r="B53" i="7" s="1"/>
  <c r="A53" i="7"/>
  <c r="C57" i="7"/>
  <c r="F57" i="7"/>
  <c r="B57" i="7" s="1"/>
  <c r="A57" i="7"/>
  <c r="C61" i="7"/>
  <c r="F61" i="7"/>
  <c r="B61" i="7" s="1"/>
  <c r="A61" i="7"/>
  <c r="C65" i="7"/>
  <c r="F65" i="7"/>
  <c r="B65" i="7" s="1"/>
  <c r="A65" i="7"/>
  <c r="C69" i="7"/>
  <c r="F69" i="7"/>
  <c r="B69" i="7" s="1"/>
  <c r="A69" i="7"/>
  <c r="C73" i="7"/>
  <c r="F73" i="7"/>
  <c r="B73" i="7" s="1"/>
  <c r="A73" i="7"/>
  <c r="C77" i="7"/>
  <c r="F77" i="7"/>
  <c r="B77" i="7" s="1"/>
  <c r="A77" i="7"/>
  <c r="C81" i="7"/>
  <c r="F81" i="7"/>
  <c r="B81" i="7" s="1"/>
  <c r="A81" i="7"/>
  <c r="C85" i="7"/>
  <c r="F85" i="7"/>
  <c r="B85" i="7" s="1"/>
  <c r="A85" i="7"/>
  <c r="C89" i="7"/>
  <c r="F89" i="7"/>
  <c r="B89" i="7" s="1"/>
  <c r="A89" i="7"/>
  <c r="C93" i="7"/>
  <c r="F93" i="7"/>
  <c r="B93" i="7" s="1"/>
  <c r="A93" i="7"/>
  <c r="C97" i="7"/>
  <c r="F97" i="7"/>
  <c r="B97" i="7" s="1"/>
  <c r="A97" i="7"/>
  <c r="C101" i="7"/>
  <c r="F101" i="7"/>
  <c r="B101" i="7" s="1"/>
  <c r="A101" i="7"/>
  <c r="C105" i="7"/>
  <c r="F105" i="7"/>
  <c r="B105" i="7" s="1"/>
  <c r="A105" i="7"/>
  <c r="C109" i="7"/>
  <c r="F109" i="7"/>
  <c r="B109" i="7" s="1"/>
  <c r="A109" i="7"/>
  <c r="G192" i="7"/>
  <c r="G194" i="7"/>
  <c r="G196" i="7"/>
  <c r="G198" i="7"/>
  <c r="G200" i="7"/>
  <c r="G202" i="7"/>
  <c r="G204" i="7"/>
  <c r="F208" i="7"/>
  <c r="B208" i="7" s="1"/>
  <c r="A208" i="7"/>
  <c r="F212" i="7"/>
  <c r="B212" i="7" s="1"/>
  <c r="A212" i="7"/>
  <c r="F216" i="7"/>
  <c r="B216" i="7" s="1"/>
  <c r="A216" i="7"/>
  <c r="F220" i="7"/>
  <c r="B220" i="7" s="1"/>
  <c r="A220" i="7"/>
  <c r="F224" i="7"/>
  <c r="B224" i="7" s="1"/>
  <c r="A224" i="7"/>
  <c r="F228" i="7"/>
  <c r="B228" i="7" s="1"/>
  <c r="A228" i="7"/>
  <c r="F232" i="7"/>
  <c r="B232" i="7" s="1"/>
  <c r="A232" i="7"/>
  <c r="F236" i="7"/>
  <c r="B236" i="7" s="1"/>
  <c r="A236" i="7"/>
  <c r="F240" i="7"/>
  <c r="B240" i="7" s="1"/>
  <c r="A240" i="7"/>
  <c r="F244" i="7"/>
  <c r="B244" i="7" s="1"/>
  <c r="A244" i="7"/>
  <c r="F248" i="7"/>
  <c r="B248" i="7" s="1"/>
  <c r="A248" i="7"/>
  <c r="C248" i="7"/>
  <c r="F252" i="7"/>
  <c r="B252" i="7" s="1"/>
  <c r="A252" i="7"/>
  <c r="C252" i="7"/>
  <c r="F256" i="7"/>
  <c r="B256" i="7" s="1"/>
  <c r="A256" i="7"/>
  <c r="C256" i="7"/>
  <c r="F260" i="7"/>
  <c r="B260" i="7" s="1"/>
  <c r="A260" i="7"/>
  <c r="C260" i="7"/>
  <c r="F264" i="7"/>
  <c r="B264" i="7" s="1"/>
  <c r="A264" i="7"/>
  <c r="C264" i="7"/>
  <c r="F268" i="7"/>
  <c r="B268" i="7" s="1"/>
  <c r="A268" i="7"/>
  <c r="C268" i="7"/>
  <c r="F272" i="7"/>
  <c r="B272" i="7" s="1"/>
  <c r="A272" i="7"/>
  <c r="C272" i="7"/>
  <c r="F276" i="7"/>
  <c r="B276" i="7" s="1"/>
  <c r="A276" i="7"/>
  <c r="C276" i="7"/>
  <c r="F280" i="7"/>
  <c r="B280" i="7" s="1"/>
  <c r="A280" i="7"/>
  <c r="C280" i="7"/>
  <c r="G280" i="7"/>
  <c r="F282" i="7"/>
  <c r="B282" i="7" s="1"/>
  <c r="A282" i="7"/>
  <c r="C282" i="7"/>
  <c r="G282" i="7"/>
  <c r="F284" i="7"/>
  <c r="B284" i="7" s="1"/>
  <c r="A284" i="7"/>
  <c r="C284" i="7"/>
  <c r="G284" i="7"/>
  <c r="F286" i="7"/>
  <c r="B286" i="7" s="1"/>
  <c r="A286" i="7"/>
  <c r="C286" i="7"/>
  <c r="G286" i="7"/>
  <c r="F288" i="7"/>
  <c r="B288" i="7" s="1"/>
  <c r="A288" i="7"/>
  <c r="C288" i="7"/>
  <c r="G288" i="7"/>
  <c r="F290" i="7"/>
  <c r="B290" i="7" s="1"/>
  <c r="A290" i="7"/>
  <c r="C290" i="7"/>
  <c r="G290" i="7"/>
  <c r="C110" i="7"/>
  <c r="C112" i="7"/>
  <c r="C114" i="7"/>
  <c r="C116" i="7"/>
  <c r="C118" i="7"/>
  <c r="C120" i="7"/>
  <c r="C122" i="7"/>
  <c r="C124" i="7"/>
  <c r="C126" i="7"/>
  <c r="C128" i="7"/>
  <c r="A129" i="7"/>
  <c r="F129" i="7"/>
  <c r="B129" i="7" s="1"/>
  <c r="C130" i="7"/>
  <c r="A131" i="7"/>
  <c r="F131" i="7"/>
  <c r="B131" i="7" s="1"/>
  <c r="C132" i="7"/>
  <c r="A133" i="7"/>
  <c r="F133" i="7"/>
  <c r="B133" i="7" s="1"/>
  <c r="C134" i="7"/>
  <c r="A135" i="7"/>
  <c r="F135" i="7"/>
  <c r="B135" i="7" s="1"/>
  <c r="C136" i="7"/>
  <c r="A137" i="7"/>
  <c r="F137" i="7"/>
  <c r="B137" i="7" s="1"/>
  <c r="C138" i="7"/>
  <c r="A139" i="7"/>
  <c r="F139" i="7"/>
  <c r="B139" i="7" s="1"/>
  <c r="C140" i="7"/>
  <c r="A141" i="7"/>
  <c r="F141" i="7"/>
  <c r="B141" i="7" s="1"/>
  <c r="C142" i="7"/>
  <c r="A143" i="7"/>
  <c r="F143" i="7"/>
  <c r="B143" i="7" s="1"/>
  <c r="C144" i="7"/>
  <c r="A145" i="7"/>
  <c r="F145" i="7"/>
  <c r="B145" i="7" s="1"/>
  <c r="C146" i="7"/>
  <c r="A147" i="7"/>
  <c r="F147" i="7"/>
  <c r="B147" i="7" s="1"/>
  <c r="C148" i="7"/>
  <c r="A149" i="7"/>
  <c r="F149" i="7"/>
  <c r="B149" i="7" s="1"/>
  <c r="C150" i="7"/>
  <c r="A151" i="7"/>
  <c r="F151" i="7"/>
  <c r="B151" i="7" s="1"/>
  <c r="C152" i="7"/>
  <c r="A153" i="7"/>
  <c r="F153" i="7"/>
  <c r="B153" i="7" s="1"/>
  <c r="C154" i="7"/>
  <c r="A155" i="7"/>
  <c r="F155" i="7"/>
  <c r="B155" i="7" s="1"/>
  <c r="C156" i="7"/>
  <c r="A157" i="7"/>
  <c r="F157" i="7"/>
  <c r="B157" i="7" s="1"/>
  <c r="C158" i="7"/>
  <c r="A159" i="7"/>
  <c r="F159" i="7"/>
  <c r="B159" i="7" s="1"/>
  <c r="C160" i="7"/>
  <c r="A161" i="7"/>
  <c r="F161" i="7"/>
  <c r="B161" i="7" s="1"/>
  <c r="C162" i="7"/>
  <c r="A163" i="7"/>
  <c r="F163" i="7"/>
  <c r="B163" i="7" s="1"/>
  <c r="C164" i="7"/>
  <c r="A165" i="7"/>
  <c r="F165" i="7"/>
  <c r="B165" i="7" s="1"/>
  <c r="C166" i="7"/>
  <c r="A167" i="7"/>
  <c r="F167" i="7"/>
  <c r="B167" i="7" s="1"/>
  <c r="C168" i="7"/>
  <c r="A169" i="7"/>
  <c r="F169" i="7"/>
  <c r="B169" i="7" s="1"/>
  <c r="C170" i="7"/>
  <c r="A171" i="7"/>
  <c r="F171" i="7"/>
  <c r="B171" i="7" s="1"/>
  <c r="C172" i="7"/>
  <c r="A173" i="7"/>
  <c r="F173" i="7"/>
  <c r="B173" i="7" s="1"/>
  <c r="C174" i="7"/>
  <c r="A175" i="7"/>
  <c r="F175" i="7"/>
  <c r="B175" i="7" s="1"/>
  <c r="C176" i="7"/>
  <c r="A177" i="7"/>
  <c r="F177" i="7"/>
  <c r="B177" i="7" s="1"/>
  <c r="C178" i="7"/>
  <c r="A179" i="7"/>
  <c r="F179" i="7"/>
  <c r="B179" i="7" s="1"/>
  <c r="C180" i="7"/>
  <c r="A181" i="7"/>
  <c r="F181" i="7"/>
  <c r="B181" i="7" s="1"/>
  <c r="C182" i="7"/>
  <c r="A183" i="7"/>
  <c r="F183" i="7"/>
  <c r="B183" i="7" s="1"/>
  <c r="C184" i="7"/>
  <c r="A185" i="7"/>
  <c r="F185" i="7"/>
  <c r="B185" i="7" s="1"/>
  <c r="C186" i="7"/>
  <c r="A187" i="7"/>
  <c r="F187" i="7"/>
  <c r="B187" i="7" s="1"/>
  <c r="C188" i="7"/>
  <c r="A189" i="7"/>
  <c r="F189" i="7"/>
  <c r="B189" i="7" s="1"/>
  <c r="C190" i="7"/>
  <c r="A191" i="7"/>
  <c r="F191" i="7"/>
  <c r="B191" i="7" s="1"/>
  <c r="C192" i="7"/>
  <c r="A193" i="7"/>
  <c r="F193" i="7"/>
  <c r="B193" i="7" s="1"/>
  <c r="C194" i="7"/>
  <c r="A195" i="7"/>
  <c r="F195" i="7"/>
  <c r="B195" i="7" s="1"/>
  <c r="C196" i="7"/>
  <c r="A197" i="7"/>
  <c r="F197" i="7"/>
  <c r="B197" i="7" s="1"/>
  <c r="C198" i="7"/>
  <c r="A199" i="7"/>
  <c r="F199" i="7"/>
  <c r="B199" i="7" s="1"/>
  <c r="C200" i="7"/>
  <c r="A201" i="7"/>
  <c r="F201" i="7"/>
  <c r="B201" i="7" s="1"/>
  <c r="C202" i="7"/>
  <c r="A203" i="7"/>
  <c r="F203" i="7"/>
  <c r="B203" i="7" s="1"/>
  <c r="C204" i="7"/>
  <c r="C207" i="7"/>
  <c r="F207" i="7"/>
  <c r="B207" i="7" s="1"/>
  <c r="A207" i="7"/>
  <c r="G208" i="7"/>
  <c r="C208" i="7" s="1"/>
  <c r="C211" i="7"/>
  <c r="F211" i="7"/>
  <c r="B211" i="7" s="1"/>
  <c r="A211" i="7"/>
  <c r="G212" i="7"/>
  <c r="C212" i="7" s="1"/>
  <c r="C215" i="7"/>
  <c r="F215" i="7"/>
  <c r="B215" i="7" s="1"/>
  <c r="A215" i="7"/>
  <c r="G216" i="7"/>
  <c r="C216" i="7" s="1"/>
  <c r="C219" i="7"/>
  <c r="F219" i="7"/>
  <c r="B219" i="7" s="1"/>
  <c r="A219" i="7"/>
  <c r="G220" i="7"/>
  <c r="C220" i="7" s="1"/>
  <c r="C223" i="7"/>
  <c r="F223" i="7"/>
  <c r="B223" i="7" s="1"/>
  <c r="A223" i="7"/>
  <c r="G224" i="7"/>
  <c r="C224" i="7" s="1"/>
  <c r="C227" i="7"/>
  <c r="F227" i="7"/>
  <c r="B227" i="7" s="1"/>
  <c r="A227" i="7"/>
  <c r="G228" i="7"/>
  <c r="C228" i="7" s="1"/>
  <c r="C231" i="7"/>
  <c r="F231" i="7"/>
  <c r="B231" i="7" s="1"/>
  <c r="A231" i="7"/>
  <c r="G232" i="7"/>
  <c r="C232" i="7" s="1"/>
  <c r="C235" i="7"/>
  <c r="F235" i="7"/>
  <c r="B235" i="7" s="1"/>
  <c r="A235" i="7"/>
  <c r="G236" i="7"/>
  <c r="C236" i="7" s="1"/>
  <c r="C239" i="7"/>
  <c r="F239" i="7"/>
  <c r="B239" i="7" s="1"/>
  <c r="A239" i="7"/>
  <c r="G240" i="7"/>
  <c r="C240" i="7" s="1"/>
  <c r="C243" i="7"/>
  <c r="F243" i="7"/>
  <c r="B243" i="7" s="1"/>
  <c r="A243" i="7"/>
  <c r="G244" i="7"/>
  <c r="C244" i="7" s="1"/>
  <c r="C247" i="7"/>
  <c r="F247" i="7"/>
  <c r="B247" i="7" s="1"/>
  <c r="A247" i="7"/>
  <c r="G248" i="7"/>
  <c r="C251" i="7"/>
  <c r="F251" i="7"/>
  <c r="B251" i="7" s="1"/>
  <c r="A251" i="7"/>
  <c r="G252" i="7"/>
  <c r="C255" i="7"/>
  <c r="F255" i="7"/>
  <c r="B255" i="7" s="1"/>
  <c r="A255" i="7"/>
  <c r="G256" i="7"/>
  <c r="C259" i="7"/>
  <c r="F259" i="7"/>
  <c r="B259" i="7" s="1"/>
  <c r="A259" i="7"/>
  <c r="G260" i="7"/>
  <c r="C263" i="7"/>
  <c r="F263" i="7"/>
  <c r="B263" i="7" s="1"/>
  <c r="A263" i="7"/>
  <c r="G264" i="7"/>
  <c r="C267" i="7"/>
  <c r="F267" i="7"/>
  <c r="B267" i="7" s="1"/>
  <c r="A267" i="7"/>
  <c r="G268" i="7"/>
  <c r="C271" i="7"/>
  <c r="F271" i="7"/>
  <c r="B271" i="7" s="1"/>
  <c r="A271" i="7"/>
  <c r="G272" i="7"/>
  <c r="C275" i="7"/>
  <c r="F275" i="7"/>
  <c r="B275" i="7" s="1"/>
  <c r="A275" i="7"/>
  <c r="G276" i="7"/>
  <c r="C279" i="7"/>
  <c r="F279" i="7"/>
  <c r="B279" i="7" s="1"/>
  <c r="A279" i="7"/>
  <c r="G129" i="7"/>
  <c r="C129" i="7" s="1"/>
  <c r="G131" i="7"/>
  <c r="C131" i="7" s="1"/>
  <c r="G133" i="7"/>
  <c r="C133" i="7" s="1"/>
  <c r="G135" i="7"/>
  <c r="C135" i="7" s="1"/>
  <c r="G137" i="7"/>
  <c r="C137" i="7" s="1"/>
  <c r="G139" i="7"/>
  <c r="C139" i="7" s="1"/>
  <c r="G141" i="7"/>
  <c r="C141" i="7" s="1"/>
  <c r="G143" i="7"/>
  <c r="C143" i="7" s="1"/>
  <c r="G145" i="7"/>
  <c r="C145" i="7" s="1"/>
  <c r="G147" i="7"/>
  <c r="C147" i="7" s="1"/>
  <c r="G149" i="7"/>
  <c r="C149" i="7" s="1"/>
  <c r="G151" i="7"/>
  <c r="C151" i="7" s="1"/>
  <c r="G153" i="7"/>
  <c r="C153" i="7" s="1"/>
  <c r="G155" i="7"/>
  <c r="C155" i="7" s="1"/>
  <c r="G157" i="7"/>
  <c r="C157" i="7" s="1"/>
  <c r="G159" i="7"/>
  <c r="C159" i="7" s="1"/>
  <c r="G161" i="7"/>
  <c r="C161" i="7" s="1"/>
  <c r="G163" i="7"/>
  <c r="C163" i="7" s="1"/>
  <c r="G165" i="7"/>
  <c r="C165" i="7" s="1"/>
  <c r="G167" i="7"/>
  <c r="C167" i="7" s="1"/>
  <c r="G169" i="7"/>
  <c r="C169" i="7" s="1"/>
  <c r="G171" i="7"/>
  <c r="C171" i="7" s="1"/>
  <c r="G173" i="7"/>
  <c r="C173" i="7" s="1"/>
  <c r="G175" i="7"/>
  <c r="C175" i="7" s="1"/>
  <c r="G177" i="7"/>
  <c r="C177" i="7" s="1"/>
  <c r="G179" i="7"/>
  <c r="C179" i="7" s="1"/>
  <c r="G181" i="7"/>
  <c r="C181" i="7" s="1"/>
  <c r="G183" i="7"/>
  <c r="C183" i="7" s="1"/>
  <c r="G185" i="7"/>
  <c r="C185" i="7" s="1"/>
  <c r="G187" i="7"/>
  <c r="C187" i="7" s="1"/>
  <c r="G189" i="7"/>
  <c r="C189" i="7" s="1"/>
  <c r="G191" i="7"/>
  <c r="C191" i="7" s="1"/>
  <c r="G193" i="7"/>
  <c r="C193" i="7" s="1"/>
  <c r="G195" i="7"/>
  <c r="C195" i="7" s="1"/>
  <c r="G197" i="7"/>
  <c r="C197" i="7" s="1"/>
  <c r="G199" i="7"/>
  <c r="C199" i="7" s="1"/>
  <c r="G201" i="7"/>
  <c r="C201" i="7" s="1"/>
  <c r="G203" i="7"/>
  <c r="C203" i="7" s="1"/>
  <c r="F206" i="7"/>
  <c r="B206" i="7" s="1"/>
  <c r="A206" i="7"/>
  <c r="F210" i="7"/>
  <c r="B210" i="7" s="1"/>
  <c r="A210" i="7"/>
  <c r="F214" i="7"/>
  <c r="B214" i="7" s="1"/>
  <c r="A214" i="7"/>
  <c r="F218" i="7"/>
  <c r="B218" i="7" s="1"/>
  <c r="A218" i="7"/>
  <c r="F222" i="7"/>
  <c r="B222" i="7" s="1"/>
  <c r="A222" i="7"/>
  <c r="F226" i="7"/>
  <c r="B226" i="7" s="1"/>
  <c r="A226" i="7"/>
  <c r="F230" i="7"/>
  <c r="B230" i="7" s="1"/>
  <c r="A230" i="7"/>
  <c r="F234" i="7"/>
  <c r="B234" i="7" s="1"/>
  <c r="A234" i="7"/>
  <c r="F238" i="7"/>
  <c r="B238" i="7" s="1"/>
  <c r="A238" i="7"/>
  <c r="F242" i="7"/>
  <c r="B242" i="7" s="1"/>
  <c r="A242" i="7"/>
  <c r="F246" i="7"/>
  <c r="B246" i="7" s="1"/>
  <c r="A246" i="7"/>
  <c r="F250" i="7"/>
  <c r="B250" i="7" s="1"/>
  <c r="A250" i="7"/>
  <c r="C250" i="7"/>
  <c r="F254" i="7"/>
  <c r="B254" i="7" s="1"/>
  <c r="A254" i="7"/>
  <c r="C254" i="7"/>
  <c r="F258" i="7"/>
  <c r="B258" i="7" s="1"/>
  <c r="A258" i="7"/>
  <c r="C258" i="7"/>
  <c r="F262" i="7"/>
  <c r="B262" i="7" s="1"/>
  <c r="A262" i="7"/>
  <c r="C262" i="7"/>
  <c r="F266" i="7"/>
  <c r="B266" i="7" s="1"/>
  <c r="A266" i="7"/>
  <c r="C266" i="7"/>
  <c r="F270" i="7"/>
  <c r="B270" i="7" s="1"/>
  <c r="A270" i="7"/>
  <c r="C270" i="7"/>
  <c r="F274" i="7"/>
  <c r="B274" i="7" s="1"/>
  <c r="A274" i="7"/>
  <c r="C274" i="7"/>
  <c r="F278" i="7"/>
  <c r="B278" i="7" s="1"/>
  <c r="A278" i="7"/>
  <c r="C278" i="7"/>
  <c r="A110" i="7"/>
  <c r="A112" i="7"/>
  <c r="A114" i="7"/>
  <c r="A116" i="7"/>
  <c r="A118" i="7"/>
  <c r="A120" i="7"/>
  <c r="A122" i="7"/>
  <c r="A124" i="7"/>
  <c r="A126" i="7"/>
  <c r="A128" i="7"/>
  <c r="A130" i="7"/>
  <c r="A132" i="7"/>
  <c r="A134" i="7"/>
  <c r="A136" i="7"/>
  <c r="A138" i="7"/>
  <c r="A140" i="7"/>
  <c r="A142" i="7"/>
  <c r="A144" i="7"/>
  <c r="A146" i="7"/>
  <c r="A148" i="7"/>
  <c r="A150" i="7"/>
  <c r="A152" i="7"/>
  <c r="A154" i="7"/>
  <c r="A156" i="7"/>
  <c r="A158" i="7"/>
  <c r="A160" i="7"/>
  <c r="A162" i="7"/>
  <c r="A164" i="7"/>
  <c r="A166" i="7"/>
  <c r="A168" i="7"/>
  <c r="A170" i="7"/>
  <c r="A172" i="7"/>
  <c r="A174" i="7"/>
  <c r="A176" i="7"/>
  <c r="A178" i="7"/>
  <c r="A180" i="7"/>
  <c r="A182" i="7"/>
  <c r="A184" i="7"/>
  <c r="A186" i="7"/>
  <c r="A188" i="7"/>
  <c r="A190" i="7"/>
  <c r="A192" i="7"/>
  <c r="A194" i="7"/>
  <c r="A196" i="7"/>
  <c r="A198" i="7"/>
  <c r="A200" i="7"/>
  <c r="A202" i="7"/>
  <c r="A204" i="7"/>
  <c r="F205" i="7"/>
  <c r="B205" i="7" s="1"/>
  <c r="A205" i="7"/>
  <c r="G206" i="7"/>
  <c r="C206" i="7" s="1"/>
  <c r="C209" i="7"/>
  <c r="F209" i="7"/>
  <c r="B209" i="7" s="1"/>
  <c r="A209" i="7"/>
  <c r="G210" i="7"/>
  <c r="C210" i="7" s="1"/>
  <c r="C213" i="7"/>
  <c r="F213" i="7"/>
  <c r="B213" i="7" s="1"/>
  <c r="A213" i="7"/>
  <c r="G214" i="7"/>
  <c r="C214" i="7" s="1"/>
  <c r="C217" i="7"/>
  <c r="F217" i="7"/>
  <c r="B217" i="7" s="1"/>
  <c r="A217" i="7"/>
  <c r="G218" i="7"/>
  <c r="C218" i="7" s="1"/>
  <c r="C221" i="7"/>
  <c r="F221" i="7"/>
  <c r="B221" i="7" s="1"/>
  <c r="A221" i="7"/>
  <c r="G222" i="7"/>
  <c r="C222" i="7" s="1"/>
  <c r="C225" i="7"/>
  <c r="F225" i="7"/>
  <c r="B225" i="7" s="1"/>
  <c r="A225" i="7"/>
  <c r="G226" i="7"/>
  <c r="C226" i="7" s="1"/>
  <c r="C229" i="7"/>
  <c r="F229" i="7"/>
  <c r="B229" i="7" s="1"/>
  <c r="A229" i="7"/>
  <c r="G230" i="7"/>
  <c r="C230" i="7" s="1"/>
  <c r="C233" i="7"/>
  <c r="F233" i="7"/>
  <c r="B233" i="7" s="1"/>
  <c r="A233" i="7"/>
  <c r="G234" i="7"/>
  <c r="C234" i="7" s="1"/>
  <c r="C237" i="7"/>
  <c r="F237" i="7"/>
  <c r="B237" i="7" s="1"/>
  <c r="A237" i="7"/>
  <c r="G238" i="7"/>
  <c r="C238" i="7" s="1"/>
  <c r="C241" i="7"/>
  <c r="F241" i="7"/>
  <c r="B241" i="7" s="1"/>
  <c r="A241" i="7"/>
  <c r="G242" i="7"/>
  <c r="C242" i="7" s="1"/>
  <c r="C245" i="7"/>
  <c r="F245" i="7"/>
  <c r="B245" i="7" s="1"/>
  <c r="A245" i="7"/>
  <c r="G246" i="7"/>
  <c r="C246" i="7" s="1"/>
  <c r="C249" i="7"/>
  <c r="F249" i="7"/>
  <c r="B249" i="7" s="1"/>
  <c r="A249" i="7"/>
  <c r="G250" i="7"/>
  <c r="C253" i="7"/>
  <c r="F253" i="7"/>
  <c r="B253" i="7" s="1"/>
  <c r="A253" i="7"/>
  <c r="G254" i="7"/>
  <c r="C257" i="7"/>
  <c r="F257" i="7"/>
  <c r="B257" i="7" s="1"/>
  <c r="A257" i="7"/>
  <c r="G258" i="7"/>
  <c r="C261" i="7"/>
  <c r="F261" i="7"/>
  <c r="B261" i="7" s="1"/>
  <c r="A261" i="7"/>
  <c r="G262" i="7"/>
  <c r="C265" i="7"/>
  <c r="F265" i="7"/>
  <c r="B265" i="7" s="1"/>
  <c r="A265" i="7"/>
  <c r="G266" i="7"/>
  <c r="C269" i="7"/>
  <c r="F269" i="7"/>
  <c r="B269" i="7" s="1"/>
  <c r="A269" i="7"/>
  <c r="G270" i="7"/>
  <c r="C273" i="7"/>
  <c r="F273" i="7"/>
  <c r="B273" i="7" s="1"/>
  <c r="A273" i="7"/>
  <c r="G274" i="7"/>
  <c r="C277" i="7"/>
  <c r="F277" i="7"/>
  <c r="B277" i="7" s="1"/>
  <c r="A277" i="7"/>
  <c r="G278" i="7"/>
  <c r="G292" i="7"/>
  <c r="G294" i="7"/>
  <c r="G296" i="7"/>
  <c r="G298" i="7"/>
  <c r="A301" i="7"/>
  <c r="A305" i="7"/>
  <c r="A309" i="7"/>
  <c r="A313" i="7"/>
  <c r="A317" i="7"/>
  <c r="A321" i="7"/>
  <c r="A325" i="7"/>
  <c r="A329" i="7"/>
  <c r="C339" i="7"/>
  <c r="G339" i="7"/>
  <c r="F339" i="7"/>
  <c r="B339" i="7" s="1"/>
  <c r="C347" i="7"/>
  <c r="G347" i="7"/>
  <c r="F347" i="7"/>
  <c r="B347" i="7" s="1"/>
  <c r="A347" i="7"/>
  <c r="C355" i="7"/>
  <c r="G355" i="7"/>
  <c r="F355" i="7"/>
  <c r="B355" i="7" s="1"/>
  <c r="A355" i="7"/>
  <c r="C363" i="7"/>
  <c r="G363" i="7"/>
  <c r="F363" i="7"/>
  <c r="B363" i="7" s="1"/>
  <c r="A363" i="7"/>
  <c r="C371" i="7"/>
  <c r="G371" i="7"/>
  <c r="F371" i="7"/>
  <c r="B371" i="7" s="1"/>
  <c r="A371" i="7"/>
  <c r="A281" i="7"/>
  <c r="F281" i="7"/>
  <c r="B281" i="7" s="1"/>
  <c r="A283" i="7"/>
  <c r="F283" i="7"/>
  <c r="B283" i="7" s="1"/>
  <c r="A285" i="7"/>
  <c r="F285" i="7"/>
  <c r="B285" i="7" s="1"/>
  <c r="A287" i="7"/>
  <c r="F287" i="7"/>
  <c r="B287" i="7" s="1"/>
  <c r="A289" i="7"/>
  <c r="F289" i="7"/>
  <c r="B289" i="7" s="1"/>
  <c r="A291" i="7"/>
  <c r="F291" i="7"/>
  <c r="B291" i="7" s="1"/>
  <c r="C292" i="7"/>
  <c r="A293" i="7"/>
  <c r="F293" i="7"/>
  <c r="B293" i="7" s="1"/>
  <c r="C294" i="7"/>
  <c r="A295" i="7"/>
  <c r="F295" i="7"/>
  <c r="B295" i="7" s="1"/>
  <c r="C296" i="7"/>
  <c r="A297" i="7"/>
  <c r="F297" i="7"/>
  <c r="B297" i="7" s="1"/>
  <c r="C298" i="7"/>
  <c r="A299" i="7"/>
  <c r="F299" i="7"/>
  <c r="B299" i="7" s="1"/>
  <c r="C301" i="7"/>
  <c r="F303" i="7"/>
  <c r="B303" i="7" s="1"/>
  <c r="C305" i="7"/>
  <c r="F307" i="7"/>
  <c r="B307" i="7" s="1"/>
  <c r="C309" i="7"/>
  <c r="F311" i="7"/>
  <c r="B311" i="7" s="1"/>
  <c r="C313" i="7"/>
  <c r="F315" i="7"/>
  <c r="B315" i="7" s="1"/>
  <c r="C317" i="7"/>
  <c r="F319" i="7"/>
  <c r="B319" i="7" s="1"/>
  <c r="C321" i="7"/>
  <c r="F323" i="7"/>
  <c r="B323" i="7" s="1"/>
  <c r="C325" i="7"/>
  <c r="F327" i="7"/>
  <c r="B327" i="7" s="1"/>
  <c r="C329" i="7"/>
  <c r="F331" i="7"/>
  <c r="B331" i="7" s="1"/>
  <c r="C333" i="7"/>
  <c r="G333" i="7"/>
  <c r="C345" i="7"/>
  <c r="G345" i="7"/>
  <c r="F345" i="7"/>
  <c r="B345" i="7" s="1"/>
  <c r="A345" i="7"/>
  <c r="C353" i="7"/>
  <c r="G353" i="7"/>
  <c r="F353" i="7"/>
  <c r="B353" i="7" s="1"/>
  <c r="A353" i="7"/>
  <c r="C361" i="7"/>
  <c r="G361" i="7"/>
  <c r="F361" i="7"/>
  <c r="B361" i="7" s="1"/>
  <c r="A361" i="7"/>
  <c r="C369" i="7"/>
  <c r="G369" i="7"/>
  <c r="F369" i="7"/>
  <c r="B369" i="7" s="1"/>
  <c r="A369" i="7"/>
  <c r="C377" i="7"/>
  <c r="G377" i="7"/>
  <c r="F377" i="7"/>
  <c r="B377" i="7" s="1"/>
  <c r="A377" i="7"/>
  <c r="C335" i="7"/>
  <c r="G335" i="7"/>
  <c r="C343" i="7"/>
  <c r="G343" i="7"/>
  <c r="F343" i="7"/>
  <c r="B343" i="7" s="1"/>
  <c r="A343" i="7"/>
  <c r="C351" i="7"/>
  <c r="G351" i="7"/>
  <c r="F351" i="7"/>
  <c r="B351" i="7" s="1"/>
  <c r="A351" i="7"/>
  <c r="C359" i="7"/>
  <c r="G359" i="7"/>
  <c r="F359" i="7"/>
  <c r="B359" i="7" s="1"/>
  <c r="A359" i="7"/>
  <c r="C367" i="7"/>
  <c r="G367" i="7"/>
  <c r="F367" i="7"/>
  <c r="B367" i="7" s="1"/>
  <c r="A367" i="7"/>
  <c r="C375" i="7"/>
  <c r="G375" i="7"/>
  <c r="F375" i="7"/>
  <c r="B375" i="7" s="1"/>
  <c r="A375" i="7"/>
  <c r="A292" i="7"/>
  <c r="A294" i="7"/>
  <c r="A296" i="7"/>
  <c r="A298" i="7"/>
  <c r="C299" i="7"/>
  <c r="F301" i="7"/>
  <c r="B301" i="7" s="1"/>
  <c r="C303" i="7"/>
  <c r="F305" i="7"/>
  <c r="B305" i="7" s="1"/>
  <c r="C307" i="7"/>
  <c r="F309" i="7"/>
  <c r="B309" i="7" s="1"/>
  <c r="C311" i="7"/>
  <c r="F313" i="7"/>
  <c r="B313" i="7" s="1"/>
  <c r="C315" i="7"/>
  <c r="F317" i="7"/>
  <c r="B317" i="7" s="1"/>
  <c r="C319" i="7"/>
  <c r="F321" i="7"/>
  <c r="B321" i="7" s="1"/>
  <c r="C323" i="7"/>
  <c r="F325" i="7"/>
  <c r="B325" i="7" s="1"/>
  <c r="C327" i="7"/>
  <c r="F329" i="7"/>
  <c r="B329" i="7" s="1"/>
  <c r="C331" i="7"/>
  <c r="F335" i="7"/>
  <c r="B335" i="7" s="1"/>
  <c r="C337" i="7"/>
  <c r="G337" i="7"/>
  <c r="A339" i="7"/>
  <c r="C341" i="7"/>
  <c r="G341" i="7"/>
  <c r="F341" i="7"/>
  <c r="B341" i="7" s="1"/>
  <c r="A341" i="7"/>
  <c r="C349" i="7"/>
  <c r="G349" i="7"/>
  <c r="F349" i="7"/>
  <c r="B349" i="7" s="1"/>
  <c r="A349" i="7"/>
  <c r="C357" i="7"/>
  <c r="G357" i="7"/>
  <c r="F357" i="7"/>
  <c r="B357" i="7" s="1"/>
  <c r="A357" i="7"/>
  <c r="C365" i="7"/>
  <c r="G365" i="7"/>
  <c r="F365" i="7"/>
  <c r="B365" i="7" s="1"/>
  <c r="A365" i="7"/>
  <c r="C373" i="7"/>
  <c r="G373" i="7"/>
  <c r="F373" i="7"/>
  <c r="B373" i="7" s="1"/>
  <c r="A373" i="7"/>
  <c r="F408" i="7"/>
  <c r="B408" i="7" s="1"/>
  <c r="A408" i="7"/>
  <c r="F416" i="7"/>
  <c r="B416" i="7" s="1"/>
  <c r="A416" i="7"/>
  <c r="F424" i="7"/>
  <c r="B424" i="7" s="1"/>
  <c r="A424" i="7"/>
  <c r="C431" i="7"/>
  <c r="G431" i="7"/>
  <c r="C439" i="7"/>
  <c r="G439" i="7"/>
  <c r="F450" i="7"/>
  <c r="B450" i="7" s="1"/>
  <c r="A450" i="7"/>
  <c r="G450" i="7"/>
  <c r="C457" i="7"/>
  <c r="G457" i="7"/>
  <c r="A457" i="7"/>
  <c r="C467" i="7"/>
  <c r="G467" i="7"/>
  <c r="A467" i="7"/>
  <c r="F467" i="7"/>
  <c r="B467" i="7" s="1"/>
  <c r="G478" i="7"/>
  <c r="F478" i="7"/>
  <c r="B478" i="7" s="1"/>
  <c r="A478" i="7"/>
  <c r="C478" i="7"/>
  <c r="G484" i="7"/>
  <c r="F484" i="7"/>
  <c r="B484" i="7" s="1"/>
  <c r="A484" i="7"/>
  <c r="A379" i="7"/>
  <c r="F379" i="7"/>
  <c r="B379" i="7" s="1"/>
  <c r="A381" i="7"/>
  <c r="F381" i="7"/>
  <c r="B381" i="7" s="1"/>
  <c r="A383" i="7"/>
  <c r="F383" i="7"/>
  <c r="B383" i="7" s="1"/>
  <c r="A385" i="7"/>
  <c r="F385" i="7"/>
  <c r="B385" i="7" s="1"/>
  <c r="A387" i="7"/>
  <c r="F387" i="7"/>
  <c r="B387" i="7" s="1"/>
  <c r="A389" i="7"/>
  <c r="F389" i="7"/>
  <c r="B389" i="7" s="1"/>
  <c r="A391" i="7"/>
  <c r="F391" i="7"/>
  <c r="B391" i="7" s="1"/>
  <c r="A393" i="7"/>
  <c r="F393" i="7"/>
  <c r="B393" i="7" s="1"/>
  <c r="A395" i="7"/>
  <c r="F395" i="7"/>
  <c r="B395" i="7" s="1"/>
  <c r="A397" i="7"/>
  <c r="F397" i="7"/>
  <c r="B397" i="7" s="1"/>
  <c r="A399" i="7"/>
  <c r="F399" i="7"/>
  <c r="B399" i="7" s="1"/>
  <c r="A401" i="7"/>
  <c r="F401" i="7"/>
  <c r="B401" i="7" s="1"/>
  <c r="A403" i="7"/>
  <c r="F403" i="7"/>
  <c r="B403" i="7" s="1"/>
  <c r="A405" i="7"/>
  <c r="F405" i="7"/>
  <c r="B405" i="7" s="1"/>
  <c r="G408" i="7"/>
  <c r="F409" i="7"/>
  <c r="B409" i="7" s="1"/>
  <c r="F410" i="7"/>
  <c r="B410" i="7" s="1"/>
  <c r="A410" i="7"/>
  <c r="G416" i="7"/>
  <c r="F417" i="7"/>
  <c r="B417" i="7" s="1"/>
  <c r="F418" i="7"/>
  <c r="B418" i="7" s="1"/>
  <c r="A418" i="7"/>
  <c r="G424" i="7"/>
  <c r="F425" i="7"/>
  <c r="B425" i="7" s="1"/>
  <c r="F426" i="7"/>
  <c r="B426" i="7" s="1"/>
  <c r="A426" i="7"/>
  <c r="C429" i="7"/>
  <c r="G429" i="7"/>
  <c r="F431" i="7"/>
  <c r="B431" i="7" s="1"/>
  <c r="C437" i="7"/>
  <c r="G437" i="7"/>
  <c r="F439" i="7"/>
  <c r="B439" i="7" s="1"/>
  <c r="C449" i="7"/>
  <c r="G449" i="7"/>
  <c r="A449" i="7"/>
  <c r="F457" i="7"/>
  <c r="B457" i="7" s="1"/>
  <c r="C459" i="7"/>
  <c r="G459" i="7"/>
  <c r="A459" i="7"/>
  <c r="F459" i="7"/>
  <c r="B459" i="7" s="1"/>
  <c r="F464" i="7"/>
  <c r="B464" i="7" s="1"/>
  <c r="A464" i="7"/>
  <c r="C464" i="7"/>
  <c r="G486" i="7"/>
  <c r="F486" i="7"/>
  <c r="B486" i="7" s="1"/>
  <c r="A486" i="7"/>
  <c r="C486" i="7"/>
  <c r="G379" i="7"/>
  <c r="G381" i="7"/>
  <c r="G383" i="7"/>
  <c r="G385" i="7"/>
  <c r="G387" i="7"/>
  <c r="G389" i="7"/>
  <c r="G391" i="7"/>
  <c r="G393" i="7"/>
  <c r="G395" i="7"/>
  <c r="G397" i="7"/>
  <c r="G399" i="7"/>
  <c r="G401" i="7"/>
  <c r="G403" i="7"/>
  <c r="G405" i="7"/>
  <c r="A409" i="7"/>
  <c r="G409" i="7"/>
  <c r="G410" i="7"/>
  <c r="F411" i="7"/>
  <c r="B411" i="7" s="1"/>
  <c r="F412" i="7"/>
  <c r="B412" i="7" s="1"/>
  <c r="A412" i="7"/>
  <c r="A417" i="7"/>
  <c r="G417" i="7"/>
  <c r="G418" i="7"/>
  <c r="F419" i="7"/>
  <c r="B419" i="7" s="1"/>
  <c r="F420" i="7"/>
  <c r="B420" i="7" s="1"/>
  <c r="A420" i="7"/>
  <c r="A425" i="7"/>
  <c r="G425" i="7"/>
  <c r="G426" i="7"/>
  <c r="F427" i="7"/>
  <c r="B427" i="7" s="1"/>
  <c r="F429" i="7"/>
  <c r="B429" i="7" s="1"/>
  <c r="C435" i="7"/>
  <c r="G435" i="7"/>
  <c r="F437" i="7"/>
  <c r="B437" i="7" s="1"/>
  <c r="C443" i="7"/>
  <c r="G443" i="7"/>
  <c r="F449" i="7"/>
  <c r="B449" i="7" s="1"/>
  <c r="C451" i="7"/>
  <c r="G451" i="7"/>
  <c r="A451" i="7"/>
  <c r="F451" i="7"/>
  <c r="B451" i="7" s="1"/>
  <c r="F456" i="7"/>
  <c r="B456" i="7" s="1"/>
  <c r="A456" i="7"/>
  <c r="C456" i="7"/>
  <c r="G464" i="7"/>
  <c r="F466" i="7"/>
  <c r="B466" i="7" s="1"/>
  <c r="A466" i="7"/>
  <c r="G466" i="7"/>
  <c r="C408" i="7"/>
  <c r="A411" i="7"/>
  <c r="G411" i="7"/>
  <c r="F414" i="7"/>
  <c r="B414" i="7" s="1"/>
  <c r="A414" i="7"/>
  <c r="C416" i="7"/>
  <c r="A419" i="7"/>
  <c r="G419" i="7"/>
  <c r="F422" i="7"/>
  <c r="B422" i="7" s="1"/>
  <c r="A422" i="7"/>
  <c r="C424" i="7"/>
  <c r="A427" i="7"/>
  <c r="G427" i="7"/>
  <c r="A431" i="7"/>
  <c r="C433" i="7"/>
  <c r="G433" i="7"/>
  <c r="A439" i="7"/>
  <c r="C441" i="7"/>
  <c r="G441" i="7"/>
  <c r="F448" i="7"/>
  <c r="B448" i="7" s="1"/>
  <c r="A448" i="7"/>
  <c r="C448" i="7"/>
  <c r="C450" i="7"/>
  <c r="F458" i="7"/>
  <c r="B458" i="7" s="1"/>
  <c r="A458" i="7"/>
  <c r="G458" i="7"/>
  <c r="C465" i="7"/>
  <c r="G465" i="7"/>
  <c r="A465" i="7"/>
  <c r="G476" i="7"/>
  <c r="F476" i="7"/>
  <c r="B476" i="7" s="1"/>
  <c r="A476" i="7"/>
  <c r="C484" i="7"/>
  <c r="F452" i="7"/>
  <c r="B452" i="7" s="1"/>
  <c r="A452" i="7"/>
  <c r="F460" i="7"/>
  <c r="B460" i="7" s="1"/>
  <c r="A460" i="7"/>
  <c r="F468" i="7"/>
  <c r="B468" i="7" s="1"/>
  <c r="A468" i="7"/>
  <c r="G474" i="7"/>
  <c r="F474" i="7"/>
  <c r="B474" i="7" s="1"/>
  <c r="A474" i="7"/>
  <c r="G482" i="7"/>
  <c r="F482" i="7"/>
  <c r="B482" i="7" s="1"/>
  <c r="A482" i="7"/>
  <c r="A428" i="7"/>
  <c r="A430" i="7"/>
  <c r="A432" i="7"/>
  <c r="A434" i="7"/>
  <c r="A436" i="7"/>
  <c r="A438" i="7"/>
  <c r="A440" i="7"/>
  <c r="A442" i="7"/>
  <c r="A444" i="7"/>
  <c r="G444" i="7"/>
  <c r="F445" i="7"/>
  <c r="B445" i="7" s="1"/>
  <c r="F446" i="7"/>
  <c r="B446" i="7" s="1"/>
  <c r="A446" i="7"/>
  <c r="G452" i="7"/>
  <c r="F453" i="7"/>
  <c r="B453" i="7" s="1"/>
  <c r="F454" i="7"/>
  <c r="B454" i="7" s="1"/>
  <c r="A454" i="7"/>
  <c r="G460" i="7"/>
  <c r="F461" i="7"/>
  <c r="B461" i="7" s="1"/>
  <c r="F462" i="7"/>
  <c r="B462" i="7" s="1"/>
  <c r="A462" i="7"/>
  <c r="G468" i="7"/>
  <c r="F469" i="7"/>
  <c r="B469" i="7" s="1"/>
  <c r="F470" i="7"/>
  <c r="B470" i="7" s="1"/>
  <c r="A470" i="7"/>
  <c r="G472" i="7"/>
  <c r="F472" i="7"/>
  <c r="B472" i="7" s="1"/>
  <c r="A472" i="7"/>
  <c r="G480" i="7"/>
  <c r="F480" i="7"/>
  <c r="B480" i="7" s="1"/>
  <c r="A480" i="7"/>
  <c r="A488" i="7"/>
  <c r="F488" i="7"/>
  <c r="B488" i="7" s="1"/>
  <c r="A490" i="7"/>
  <c r="F490" i="7"/>
  <c r="B490" i="7" s="1"/>
  <c r="A492" i="7"/>
  <c r="F492" i="7"/>
  <c r="B492" i="7" s="1"/>
  <c r="A494" i="7"/>
  <c r="F494" i="7"/>
  <c r="B494" i="7" s="1"/>
  <c r="A496" i="7"/>
  <c r="F496" i="7"/>
  <c r="B496" i="7" s="1"/>
  <c r="A498" i="7"/>
  <c r="F498" i="7"/>
  <c r="B498" i="7" s="1"/>
  <c r="A500" i="7"/>
  <c r="F500" i="7"/>
  <c r="B500" i="7" s="1"/>
  <c r="G82" i="8"/>
  <c r="F82" i="8"/>
  <c r="B82" i="8" s="1"/>
  <c r="G84" i="8"/>
  <c r="C84" i="8" s="1"/>
  <c r="G98" i="8"/>
  <c r="F98" i="8"/>
  <c r="B98" i="8" s="1"/>
  <c r="G100" i="8"/>
  <c r="C100" i="8" s="1"/>
  <c r="G114" i="8"/>
  <c r="F114" i="8"/>
  <c r="B114" i="8" s="1"/>
  <c r="G116" i="8"/>
  <c r="C116" i="8" s="1"/>
  <c r="G130" i="8"/>
  <c r="F130" i="8"/>
  <c r="B130" i="8" s="1"/>
  <c r="G132" i="8"/>
  <c r="C132" i="8"/>
  <c r="A4" i="8"/>
  <c r="F4" i="8"/>
  <c r="B4" i="8" s="1"/>
  <c r="A6" i="8"/>
  <c r="F6" i="8"/>
  <c r="B6" i="8" s="1"/>
  <c r="A8" i="8"/>
  <c r="F8" i="8"/>
  <c r="B8" i="8" s="1"/>
  <c r="A10" i="8"/>
  <c r="F10" i="8"/>
  <c r="B10" i="8" s="1"/>
  <c r="A12" i="8"/>
  <c r="F12" i="8"/>
  <c r="B12" i="8" s="1"/>
  <c r="A14" i="8"/>
  <c r="F14" i="8"/>
  <c r="B14" i="8" s="1"/>
  <c r="A16" i="8"/>
  <c r="F16" i="8"/>
  <c r="B16" i="8" s="1"/>
  <c r="A18" i="8"/>
  <c r="F18" i="8"/>
  <c r="B18" i="8" s="1"/>
  <c r="A20" i="8"/>
  <c r="F20" i="8"/>
  <c r="B20" i="8" s="1"/>
  <c r="A22" i="8"/>
  <c r="F22" i="8"/>
  <c r="B22" i="8" s="1"/>
  <c r="A24" i="8"/>
  <c r="F24" i="8"/>
  <c r="B24" i="8" s="1"/>
  <c r="A26" i="8"/>
  <c r="F26" i="8"/>
  <c r="B26" i="8" s="1"/>
  <c r="A28" i="8"/>
  <c r="F28" i="8"/>
  <c r="B28" i="8" s="1"/>
  <c r="A30" i="8"/>
  <c r="F30" i="8"/>
  <c r="B30" i="8" s="1"/>
  <c r="A32" i="8"/>
  <c r="F32" i="8"/>
  <c r="B32" i="8" s="1"/>
  <c r="A34" i="8"/>
  <c r="F34" i="8"/>
  <c r="B34" i="8" s="1"/>
  <c r="A36" i="8"/>
  <c r="F36" i="8"/>
  <c r="B36" i="8" s="1"/>
  <c r="A38" i="8"/>
  <c r="F38" i="8"/>
  <c r="B38" i="8" s="1"/>
  <c r="A40" i="8"/>
  <c r="F40" i="8"/>
  <c r="B40" i="8" s="1"/>
  <c r="A42" i="8"/>
  <c r="F42" i="8"/>
  <c r="B42" i="8" s="1"/>
  <c r="A44" i="8"/>
  <c r="F44" i="8"/>
  <c r="B44" i="8" s="1"/>
  <c r="A46" i="8"/>
  <c r="F46" i="8"/>
  <c r="B46" i="8" s="1"/>
  <c r="A48" i="8"/>
  <c r="F48" i="8"/>
  <c r="B48" i="8" s="1"/>
  <c r="A50" i="8"/>
  <c r="F50" i="8"/>
  <c r="B50" i="8" s="1"/>
  <c r="A52" i="8"/>
  <c r="F52" i="8"/>
  <c r="B52" i="8" s="1"/>
  <c r="A54" i="8"/>
  <c r="F54" i="8"/>
  <c r="B54" i="8" s="1"/>
  <c r="A56" i="8"/>
  <c r="F56" i="8"/>
  <c r="B56" i="8" s="1"/>
  <c r="A58" i="8"/>
  <c r="F58" i="8"/>
  <c r="B58" i="8" s="1"/>
  <c r="F84" i="8"/>
  <c r="B84" i="8" s="1"/>
  <c r="G86" i="8"/>
  <c r="C86" i="8" s="1"/>
  <c r="F86" i="8"/>
  <c r="B86" i="8" s="1"/>
  <c r="G88" i="8"/>
  <c r="C88" i="8" s="1"/>
  <c r="F100" i="8"/>
  <c r="B100" i="8" s="1"/>
  <c r="G102" i="8"/>
  <c r="C102" i="8" s="1"/>
  <c r="F102" i="8"/>
  <c r="B102" i="8" s="1"/>
  <c r="G104" i="8"/>
  <c r="C104" i="8"/>
  <c r="F116" i="8"/>
  <c r="B116" i="8" s="1"/>
  <c r="G118" i="8"/>
  <c r="C118" i="8" s="1"/>
  <c r="F118" i="8"/>
  <c r="B118" i="8" s="1"/>
  <c r="G120" i="8"/>
  <c r="C120" i="8" s="1"/>
  <c r="F132" i="8"/>
  <c r="B132" i="8" s="1"/>
  <c r="G134" i="8"/>
  <c r="C134" i="8" s="1"/>
  <c r="F134" i="8"/>
  <c r="B134" i="8" s="1"/>
  <c r="G136" i="8"/>
  <c r="C136" i="8"/>
  <c r="G140" i="8"/>
  <c r="A140" i="8"/>
  <c r="C140" i="8"/>
  <c r="G144" i="8"/>
  <c r="A144" i="8"/>
  <c r="C144" i="8"/>
  <c r="G148" i="8"/>
  <c r="A148" i="8"/>
  <c r="C148" i="8"/>
  <c r="G152" i="8"/>
  <c r="A152" i="8"/>
  <c r="C152" i="8"/>
  <c r="G156" i="8"/>
  <c r="A156" i="8"/>
  <c r="C156" i="8"/>
  <c r="G160" i="8"/>
  <c r="A160" i="8"/>
  <c r="C160" i="8"/>
  <c r="G4" i="8"/>
  <c r="C4" i="8" s="1"/>
  <c r="G6" i="8"/>
  <c r="C6" i="8" s="1"/>
  <c r="G8" i="8"/>
  <c r="C8" i="8" s="1"/>
  <c r="G10" i="8"/>
  <c r="C10" i="8" s="1"/>
  <c r="G12" i="8"/>
  <c r="C12" i="8" s="1"/>
  <c r="G14" i="8"/>
  <c r="C14" i="8" s="1"/>
  <c r="G16" i="8"/>
  <c r="C16" i="8" s="1"/>
  <c r="G18" i="8"/>
  <c r="C18" i="8" s="1"/>
  <c r="G20" i="8"/>
  <c r="C20" i="8" s="1"/>
  <c r="G22" i="8"/>
  <c r="C22" i="8" s="1"/>
  <c r="G24" i="8"/>
  <c r="C24" i="8" s="1"/>
  <c r="G26" i="8"/>
  <c r="C26" i="8" s="1"/>
  <c r="G28" i="8"/>
  <c r="C28" i="8" s="1"/>
  <c r="G30" i="8"/>
  <c r="C30" i="8" s="1"/>
  <c r="G32" i="8"/>
  <c r="C32" i="8" s="1"/>
  <c r="G34" i="8"/>
  <c r="C34" i="8" s="1"/>
  <c r="G36" i="8"/>
  <c r="C36" i="8" s="1"/>
  <c r="G38" i="8"/>
  <c r="C38" i="8" s="1"/>
  <c r="G40" i="8"/>
  <c r="C40" i="8" s="1"/>
  <c r="G42" i="8"/>
  <c r="C42" i="8" s="1"/>
  <c r="G44" i="8"/>
  <c r="C44" i="8" s="1"/>
  <c r="G46" i="8"/>
  <c r="C46" i="8" s="1"/>
  <c r="G48" i="8"/>
  <c r="C48" i="8" s="1"/>
  <c r="G50" i="8"/>
  <c r="C50" i="8" s="1"/>
  <c r="G52" i="8"/>
  <c r="C52" i="8" s="1"/>
  <c r="G54" i="8"/>
  <c r="C54" i="8" s="1"/>
  <c r="G56" i="8"/>
  <c r="C56" i="8" s="1"/>
  <c r="G58" i="8"/>
  <c r="C58" i="8" s="1"/>
  <c r="C60" i="8"/>
  <c r="F62" i="8"/>
  <c r="B62" i="8" s="1"/>
  <c r="C64" i="8"/>
  <c r="F66" i="8"/>
  <c r="B66" i="8" s="1"/>
  <c r="F70" i="8"/>
  <c r="B70" i="8" s="1"/>
  <c r="F74" i="8"/>
  <c r="B74" i="8" s="1"/>
  <c r="G76" i="8"/>
  <c r="C76" i="8"/>
  <c r="A82" i="8"/>
  <c r="F88" i="8"/>
  <c r="B88" i="8" s="1"/>
  <c r="G90" i="8"/>
  <c r="C90" i="8" s="1"/>
  <c r="F90" i="8"/>
  <c r="B90" i="8" s="1"/>
  <c r="G92" i="8"/>
  <c r="C92" i="8"/>
  <c r="A98" i="8"/>
  <c r="F104" i="8"/>
  <c r="B104" i="8" s="1"/>
  <c r="G106" i="8"/>
  <c r="C106" i="8" s="1"/>
  <c r="F106" i="8"/>
  <c r="B106" i="8" s="1"/>
  <c r="G108" i="8"/>
  <c r="C108" i="8"/>
  <c r="A114" i="8"/>
  <c r="F120" i="8"/>
  <c r="B120" i="8" s="1"/>
  <c r="G122" i="8"/>
  <c r="C122" i="8" s="1"/>
  <c r="F122" i="8"/>
  <c r="B122" i="8" s="1"/>
  <c r="G124" i="8"/>
  <c r="C124" i="8"/>
  <c r="A130" i="8"/>
  <c r="F136" i="8"/>
  <c r="B136" i="8" s="1"/>
  <c r="F140" i="8"/>
  <c r="B140" i="8" s="1"/>
  <c r="F144" i="8"/>
  <c r="B144" i="8" s="1"/>
  <c r="F148" i="8"/>
  <c r="B148" i="8" s="1"/>
  <c r="F152" i="8"/>
  <c r="B152" i="8" s="1"/>
  <c r="F156" i="8"/>
  <c r="B156" i="8" s="1"/>
  <c r="F160" i="8"/>
  <c r="B160" i="8" s="1"/>
  <c r="A62" i="8"/>
  <c r="A66" i="8"/>
  <c r="A70" i="8"/>
  <c r="A74" i="8"/>
  <c r="F76" i="8"/>
  <c r="B76" i="8" s="1"/>
  <c r="G78" i="8"/>
  <c r="C78" i="8" s="1"/>
  <c r="F78" i="8"/>
  <c r="B78" i="8" s="1"/>
  <c r="G80" i="8"/>
  <c r="C80" i="8" s="1"/>
  <c r="C82" i="8"/>
  <c r="A84" i="8"/>
  <c r="A86" i="8"/>
  <c r="F92" i="8"/>
  <c r="B92" i="8" s="1"/>
  <c r="G94" i="8"/>
  <c r="C94" i="8" s="1"/>
  <c r="F94" i="8"/>
  <c r="B94" i="8" s="1"/>
  <c r="G96" i="8"/>
  <c r="C96" i="8" s="1"/>
  <c r="C98" i="8"/>
  <c r="A100" i="8"/>
  <c r="A102" i="8"/>
  <c r="F108" i="8"/>
  <c r="B108" i="8" s="1"/>
  <c r="G110" i="8"/>
  <c r="C110" i="8" s="1"/>
  <c r="F110" i="8"/>
  <c r="B110" i="8" s="1"/>
  <c r="G112" i="8"/>
  <c r="C112" i="8" s="1"/>
  <c r="C114" i="8"/>
  <c r="A116" i="8"/>
  <c r="A118" i="8"/>
  <c r="G126" i="8"/>
  <c r="C126" i="8" s="1"/>
  <c r="F126" i="8"/>
  <c r="B126" i="8" s="1"/>
  <c r="G128" i="8"/>
  <c r="C128" i="8"/>
  <c r="C130" i="8"/>
  <c r="A132" i="8"/>
  <c r="A134" i="8"/>
  <c r="F138" i="8"/>
  <c r="B138" i="8" s="1"/>
  <c r="F142" i="8"/>
  <c r="B142" i="8" s="1"/>
  <c r="F146" i="8"/>
  <c r="B146" i="8" s="1"/>
  <c r="F150" i="8"/>
  <c r="B150" i="8" s="1"/>
  <c r="F154" i="8"/>
  <c r="B154" i="8" s="1"/>
  <c r="F158" i="8"/>
  <c r="B158" i="8" s="1"/>
  <c r="F162" i="8"/>
  <c r="B162" i="8" s="1"/>
  <c r="C164" i="8"/>
  <c r="F166" i="8"/>
  <c r="B166" i="8" s="1"/>
  <c r="C168" i="8"/>
  <c r="F170" i="8"/>
  <c r="B170" i="8" s="1"/>
  <c r="C172" i="8"/>
  <c r="F174" i="8"/>
  <c r="B174" i="8" s="1"/>
  <c r="C176" i="8"/>
  <c r="F178" i="8"/>
  <c r="B178" i="8" s="1"/>
  <c r="C180" i="8"/>
  <c r="C184" i="8"/>
  <c r="C188" i="8"/>
  <c r="G196" i="8"/>
  <c r="F196" i="8"/>
  <c r="B196" i="8" s="1"/>
  <c r="G198" i="8"/>
  <c r="C198" i="8"/>
  <c r="A204" i="8"/>
  <c r="G200" i="8"/>
  <c r="C200" i="8" s="1"/>
  <c r="F200" i="8"/>
  <c r="B200" i="8" s="1"/>
  <c r="G202" i="8"/>
  <c r="C202" i="8"/>
  <c r="C274" i="8"/>
  <c r="G274" i="8"/>
  <c r="F274" i="8"/>
  <c r="B274" i="8" s="1"/>
  <c r="A274" i="8"/>
  <c r="C282" i="8"/>
  <c r="G282" i="8"/>
  <c r="F282" i="8"/>
  <c r="B282" i="8" s="1"/>
  <c r="A282" i="8"/>
  <c r="C290" i="8"/>
  <c r="G290" i="8"/>
  <c r="F290" i="8"/>
  <c r="B290" i="8" s="1"/>
  <c r="A290" i="8"/>
  <c r="C298" i="8"/>
  <c r="G298" i="8"/>
  <c r="F298" i="8"/>
  <c r="B298" i="8" s="1"/>
  <c r="A298" i="8"/>
  <c r="G190" i="8"/>
  <c r="C190" i="8"/>
  <c r="G204" i="8"/>
  <c r="C204" i="8" s="1"/>
  <c r="F204" i="8"/>
  <c r="B204" i="8" s="1"/>
  <c r="G206" i="8"/>
  <c r="C206" i="8"/>
  <c r="C272" i="8"/>
  <c r="G272" i="8"/>
  <c r="F272" i="8"/>
  <c r="B272" i="8" s="1"/>
  <c r="A272" i="8"/>
  <c r="C280" i="8"/>
  <c r="G280" i="8"/>
  <c r="F280" i="8"/>
  <c r="B280" i="8" s="1"/>
  <c r="A280" i="8"/>
  <c r="C288" i="8"/>
  <c r="G288" i="8"/>
  <c r="F288" i="8"/>
  <c r="B288" i="8" s="1"/>
  <c r="A288" i="8"/>
  <c r="C296" i="8"/>
  <c r="G296" i="8"/>
  <c r="F296" i="8"/>
  <c r="B296" i="8" s="1"/>
  <c r="A296" i="8"/>
  <c r="C304" i="8"/>
  <c r="G304" i="8"/>
  <c r="F304" i="8"/>
  <c r="B304" i="8" s="1"/>
  <c r="A304" i="8"/>
  <c r="C312" i="8"/>
  <c r="G312" i="8"/>
  <c r="F312" i="8"/>
  <c r="B312" i="8" s="1"/>
  <c r="A312" i="8"/>
  <c r="A164" i="8"/>
  <c r="A168" i="8"/>
  <c r="A172" i="8"/>
  <c r="A176" i="8"/>
  <c r="A180" i="8"/>
  <c r="A184" i="8"/>
  <c r="A188" i="8"/>
  <c r="F190" i="8"/>
  <c r="B190" i="8" s="1"/>
  <c r="G192" i="8"/>
  <c r="C192" i="8" s="1"/>
  <c r="F192" i="8"/>
  <c r="B192" i="8" s="1"/>
  <c r="G194" i="8"/>
  <c r="C194" i="8"/>
  <c r="C196" i="8"/>
  <c r="A198" i="8"/>
  <c r="A200" i="8"/>
  <c r="F206" i="8"/>
  <c r="B206" i="8" s="1"/>
  <c r="G208" i="8"/>
  <c r="C208" i="8" s="1"/>
  <c r="F208" i="8"/>
  <c r="B208" i="8" s="1"/>
  <c r="G210" i="8"/>
  <c r="C210" i="8"/>
  <c r="G212" i="8"/>
  <c r="C212" i="8" s="1"/>
  <c r="A212" i="8"/>
  <c r="F212" i="8"/>
  <c r="B212" i="8" s="1"/>
  <c r="G216" i="8"/>
  <c r="C216" i="8" s="1"/>
  <c r="A216" i="8"/>
  <c r="F216" i="8"/>
  <c r="B216" i="8" s="1"/>
  <c r="G220" i="8"/>
  <c r="C220" i="8" s="1"/>
  <c r="A220" i="8"/>
  <c r="F220" i="8"/>
  <c r="B220" i="8" s="1"/>
  <c r="G224" i="8"/>
  <c r="C224" i="8" s="1"/>
  <c r="A224" i="8"/>
  <c r="F224" i="8"/>
  <c r="B224" i="8" s="1"/>
  <c r="G228" i="8"/>
  <c r="C228" i="8" s="1"/>
  <c r="A228" i="8"/>
  <c r="F228" i="8"/>
  <c r="B228" i="8" s="1"/>
  <c r="C214" i="8"/>
  <c r="C218" i="8"/>
  <c r="C222" i="8"/>
  <c r="C226" i="8"/>
  <c r="G230" i="8"/>
  <c r="C230" i="8" s="1"/>
  <c r="F230" i="8"/>
  <c r="B230" i="8" s="1"/>
  <c r="A230" i="8"/>
  <c r="G232" i="8"/>
  <c r="C232" i="8" s="1"/>
  <c r="F232" i="8"/>
  <c r="B232" i="8" s="1"/>
  <c r="A232" i="8"/>
  <c r="G234" i="8"/>
  <c r="C234" i="8" s="1"/>
  <c r="F234" i="8"/>
  <c r="B234" i="8" s="1"/>
  <c r="A234" i="8"/>
  <c r="G236" i="8"/>
  <c r="C236" i="8" s="1"/>
  <c r="F236" i="8"/>
  <c r="B236" i="8" s="1"/>
  <c r="A236" i="8"/>
  <c r="G238" i="8"/>
  <c r="C238" i="8" s="1"/>
  <c r="F238" i="8"/>
  <c r="B238" i="8" s="1"/>
  <c r="A238" i="8"/>
  <c r="G240" i="8"/>
  <c r="C240" i="8" s="1"/>
  <c r="F240" i="8"/>
  <c r="B240" i="8" s="1"/>
  <c r="A240" i="8"/>
  <c r="G242" i="8"/>
  <c r="C242" i="8" s="1"/>
  <c r="F242" i="8"/>
  <c r="B242" i="8" s="1"/>
  <c r="A242" i="8"/>
  <c r="G244" i="8"/>
  <c r="C244" i="8" s="1"/>
  <c r="F244" i="8"/>
  <c r="B244" i="8" s="1"/>
  <c r="A244" i="8"/>
  <c r="G246" i="8"/>
  <c r="C246" i="8" s="1"/>
  <c r="F246" i="8"/>
  <c r="B246" i="8" s="1"/>
  <c r="A246" i="8"/>
  <c r="G248" i="8"/>
  <c r="C248" i="8" s="1"/>
  <c r="F248" i="8"/>
  <c r="B248" i="8" s="1"/>
  <c r="A248" i="8"/>
  <c r="G250" i="8"/>
  <c r="C250" i="8" s="1"/>
  <c r="F250" i="8"/>
  <c r="B250" i="8" s="1"/>
  <c r="A250" i="8"/>
  <c r="G252" i="8"/>
  <c r="C252" i="8" s="1"/>
  <c r="F252" i="8"/>
  <c r="B252" i="8" s="1"/>
  <c r="A252" i="8"/>
  <c r="G254" i="8"/>
  <c r="C254" i="8" s="1"/>
  <c r="F254" i="8"/>
  <c r="B254" i="8" s="1"/>
  <c r="A254" i="8"/>
  <c r="G256" i="8"/>
  <c r="C256" i="8" s="1"/>
  <c r="F256" i="8"/>
  <c r="B256" i="8" s="1"/>
  <c r="A256" i="8"/>
  <c r="G258" i="8"/>
  <c r="F258" i="8"/>
  <c r="B258" i="8" s="1"/>
  <c r="A258" i="8"/>
  <c r="G260" i="8"/>
  <c r="F260" i="8"/>
  <c r="B260" i="8" s="1"/>
  <c r="A260" i="8"/>
  <c r="G262" i="8"/>
  <c r="F262" i="8"/>
  <c r="B262" i="8" s="1"/>
  <c r="A262" i="8"/>
  <c r="G264" i="8"/>
  <c r="F264" i="8"/>
  <c r="B264" i="8" s="1"/>
  <c r="A264" i="8"/>
  <c r="G266" i="8"/>
  <c r="F266" i="8"/>
  <c r="B266" i="8" s="1"/>
  <c r="A266" i="8"/>
  <c r="G268" i="8"/>
  <c r="F268" i="8"/>
  <c r="B268" i="8" s="1"/>
  <c r="A268" i="8"/>
  <c r="G270" i="8"/>
  <c r="F270" i="8"/>
  <c r="B270" i="8" s="1"/>
  <c r="A270" i="8"/>
  <c r="C278" i="8"/>
  <c r="G278" i="8"/>
  <c r="F278" i="8"/>
  <c r="B278" i="8" s="1"/>
  <c r="A278" i="8"/>
  <c r="C286" i="8"/>
  <c r="G286" i="8"/>
  <c r="F286" i="8"/>
  <c r="B286" i="8" s="1"/>
  <c r="A286" i="8"/>
  <c r="C294" i="8"/>
  <c r="G294" i="8"/>
  <c r="F294" i="8"/>
  <c r="B294" i="8" s="1"/>
  <c r="A294" i="8"/>
  <c r="C302" i="8"/>
  <c r="G302" i="8"/>
  <c r="F302" i="8"/>
  <c r="B302" i="8" s="1"/>
  <c r="A302" i="8"/>
  <c r="C310" i="8"/>
  <c r="G310" i="8"/>
  <c r="F310" i="8"/>
  <c r="B310" i="8" s="1"/>
  <c r="A310" i="8"/>
  <c r="C318" i="8"/>
  <c r="G318" i="8"/>
  <c r="F318" i="8"/>
  <c r="B318" i="8" s="1"/>
  <c r="A318" i="8"/>
  <c r="F454" i="8"/>
  <c r="B454" i="8" s="1"/>
  <c r="A454" i="8"/>
  <c r="C454" i="8"/>
  <c r="G454" i="8"/>
  <c r="C276" i="8"/>
  <c r="G276" i="8"/>
  <c r="F276" i="8"/>
  <c r="B276" i="8" s="1"/>
  <c r="A276" i="8"/>
  <c r="C284" i="8"/>
  <c r="G284" i="8"/>
  <c r="F284" i="8"/>
  <c r="B284" i="8" s="1"/>
  <c r="A284" i="8"/>
  <c r="C292" i="8"/>
  <c r="G292" i="8"/>
  <c r="F292" i="8"/>
  <c r="B292" i="8" s="1"/>
  <c r="A292" i="8"/>
  <c r="C300" i="8"/>
  <c r="G300" i="8"/>
  <c r="F300" i="8"/>
  <c r="B300" i="8" s="1"/>
  <c r="A300" i="8"/>
  <c r="C308" i="8"/>
  <c r="G308" i="8"/>
  <c r="F308" i="8"/>
  <c r="B308" i="8" s="1"/>
  <c r="A308" i="8"/>
  <c r="C316" i="8"/>
  <c r="G316" i="8"/>
  <c r="F316" i="8"/>
  <c r="B316" i="8" s="1"/>
  <c r="A316" i="8"/>
  <c r="C379" i="8"/>
  <c r="G379" i="8"/>
  <c r="F379" i="8"/>
  <c r="B379" i="8" s="1"/>
  <c r="A379" i="8"/>
  <c r="C387" i="8"/>
  <c r="G387" i="8"/>
  <c r="F387" i="8"/>
  <c r="B387" i="8" s="1"/>
  <c r="A387" i="8"/>
  <c r="C395" i="8"/>
  <c r="G395" i="8"/>
  <c r="F395" i="8"/>
  <c r="B395" i="8" s="1"/>
  <c r="A395" i="8"/>
  <c r="C403" i="8"/>
  <c r="G403" i="8"/>
  <c r="F403" i="8"/>
  <c r="B403" i="8" s="1"/>
  <c r="A403" i="8"/>
  <c r="C411" i="8"/>
  <c r="G411" i="8"/>
  <c r="F411" i="8"/>
  <c r="B411" i="8" s="1"/>
  <c r="A411" i="8"/>
  <c r="C419" i="8"/>
  <c r="G419" i="8"/>
  <c r="F419" i="8"/>
  <c r="B419" i="8" s="1"/>
  <c r="A419" i="8"/>
  <c r="C427" i="8"/>
  <c r="G427" i="8"/>
  <c r="F427" i="8"/>
  <c r="B427" i="8" s="1"/>
  <c r="A427" i="8"/>
  <c r="C306" i="8"/>
  <c r="G306" i="8"/>
  <c r="F306" i="8"/>
  <c r="B306" i="8" s="1"/>
  <c r="A306" i="8"/>
  <c r="C314" i="8"/>
  <c r="G314" i="8"/>
  <c r="F314" i="8"/>
  <c r="B314" i="8" s="1"/>
  <c r="A314" i="8"/>
  <c r="C367" i="8"/>
  <c r="G367" i="8"/>
  <c r="A367" i="8"/>
  <c r="F367" i="8"/>
  <c r="B367" i="8" s="1"/>
  <c r="C375" i="8"/>
  <c r="G375" i="8"/>
  <c r="A375" i="8"/>
  <c r="F375" i="8"/>
  <c r="B375" i="8" s="1"/>
  <c r="C447" i="8"/>
  <c r="G447" i="8"/>
  <c r="A447" i="8"/>
  <c r="F447" i="8"/>
  <c r="B447" i="8" s="1"/>
  <c r="A323" i="8"/>
  <c r="A327" i="8"/>
  <c r="A331" i="8"/>
  <c r="A335" i="8"/>
  <c r="A339" i="8"/>
  <c r="A343" i="8"/>
  <c r="A347" i="8"/>
  <c r="A351" i="8"/>
  <c r="A355" i="8"/>
  <c r="A359" i="8"/>
  <c r="C369" i="8"/>
  <c r="G369" i="8"/>
  <c r="C377" i="8"/>
  <c r="G377" i="8"/>
  <c r="F377" i="8"/>
  <c r="B377" i="8" s="1"/>
  <c r="C385" i="8"/>
  <c r="G385" i="8"/>
  <c r="F385" i="8"/>
  <c r="B385" i="8" s="1"/>
  <c r="A385" i="8"/>
  <c r="C393" i="8"/>
  <c r="G393" i="8"/>
  <c r="F393" i="8"/>
  <c r="B393" i="8" s="1"/>
  <c r="A393" i="8"/>
  <c r="C401" i="8"/>
  <c r="G401" i="8"/>
  <c r="F401" i="8"/>
  <c r="B401" i="8" s="1"/>
  <c r="A401" i="8"/>
  <c r="C409" i="8"/>
  <c r="G409" i="8"/>
  <c r="F409" i="8"/>
  <c r="B409" i="8" s="1"/>
  <c r="A409" i="8"/>
  <c r="C417" i="8"/>
  <c r="G417" i="8"/>
  <c r="F417" i="8"/>
  <c r="B417" i="8" s="1"/>
  <c r="A417" i="8"/>
  <c r="C425" i="8"/>
  <c r="G425" i="8"/>
  <c r="F425" i="8"/>
  <c r="B425" i="8" s="1"/>
  <c r="A425" i="8"/>
  <c r="C455" i="8"/>
  <c r="G455" i="8"/>
  <c r="A455" i="8"/>
  <c r="F455" i="8"/>
  <c r="B455" i="8" s="1"/>
  <c r="F321" i="8"/>
  <c r="B321" i="8" s="1"/>
  <c r="C323" i="8"/>
  <c r="F325" i="8"/>
  <c r="B325" i="8" s="1"/>
  <c r="C327" i="8"/>
  <c r="F329" i="8"/>
  <c r="B329" i="8" s="1"/>
  <c r="C331" i="8"/>
  <c r="F333" i="8"/>
  <c r="B333" i="8" s="1"/>
  <c r="C335" i="8"/>
  <c r="F337" i="8"/>
  <c r="B337" i="8" s="1"/>
  <c r="C339" i="8"/>
  <c r="F341" i="8"/>
  <c r="B341" i="8" s="1"/>
  <c r="C343" i="8"/>
  <c r="F345" i="8"/>
  <c r="B345" i="8" s="1"/>
  <c r="C347" i="8"/>
  <c r="F349" i="8"/>
  <c r="B349" i="8" s="1"/>
  <c r="C351" i="8"/>
  <c r="F353" i="8"/>
  <c r="B353" i="8" s="1"/>
  <c r="C355" i="8"/>
  <c r="F357" i="8"/>
  <c r="B357" i="8" s="1"/>
  <c r="C359" i="8"/>
  <c r="F361" i="8"/>
  <c r="B361" i="8" s="1"/>
  <c r="C363" i="8"/>
  <c r="G363" i="8"/>
  <c r="F369" i="8"/>
  <c r="B369" i="8" s="1"/>
  <c r="C371" i="8"/>
  <c r="G371" i="8"/>
  <c r="C383" i="8"/>
  <c r="G383" i="8"/>
  <c r="F383" i="8"/>
  <c r="B383" i="8" s="1"/>
  <c r="A383" i="8"/>
  <c r="C391" i="8"/>
  <c r="G391" i="8"/>
  <c r="F391" i="8"/>
  <c r="B391" i="8" s="1"/>
  <c r="A391" i="8"/>
  <c r="C399" i="8"/>
  <c r="G399" i="8"/>
  <c r="F399" i="8"/>
  <c r="B399" i="8" s="1"/>
  <c r="A399" i="8"/>
  <c r="C407" i="8"/>
  <c r="G407" i="8"/>
  <c r="F407" i="8"/>
  <c r="B407" i="8" s="1"/>
  <c r="A407" i="8"/>
  <c r="C415" i="8"/>
  <c r="G415" i="8"/>
  <c r="F415" i="8"/>
  <c r="B415" i="8" s="1"/>
  <c r="A415" i="8"/>
  <c r="C423" i="8"/>
  <c r="G423" i="8"/>
  <c r="F423" i="8"/>
  <c r="B423" i="8" s="1"/>
  <c r="A423" i="8"/>
  <c r="C431" i="8"/>
  <c r="G431" i="8"/>
  <c r="F431" i="8"/>
  <c r="B431" i="8" s="1"/>
  <c r="A431" i="8"/>
  <c r="F438" i="8"/>
  <c r="B438" i="8" s="1"/>
  <c r="A438" i="8"/>
  <c r="C438" i="8"/>
  <c r="G438" i="8"/>
  <c r="C365" i="8"/>
  <c r="G365" i="8"/>
  <c r="C373" i="8"/>
  <c r="G373" i="8"/>
  <c r="C381" i="8"/>
  <c r="G381" i="8"/>
  <c r="F381" i="8"/>
  <c r="B381" i="8" s="1"/>
  <c r="A381" i="8"/>
  <c r="C389" i="8"/>
  <c r="G389" i="8"/>
  <c r="F389" i="8"/>
  <c r="B389" i="8" s="1"/>
  <c r="A389" i="8"/>
  <c r="C397" i="8"/>
  <c r="G397" i="8"/>
  <c r="F397" i="8"/>
  <c r="B397" i="8" s="1"/>
  <c r="A397" i="8"/>
  <c r="C405" i="8"/>
  <c r="G405" i="8"/>
  <c r="F405" i="8"/>
  <c r="B405" i="8" s="1"/>
  <c r="A405" i="8"/>
  <c r="C413" i="8"/>
  <c r="G413" i="8"/>
  <c r="F413" i="8"/>
  <c r="B413" i="8" s="1"/>
  <c r="A413" i="8"/>
  <c r="C421" i="8"/>
  <c r="G421" i="8"/>
  <c r="F421" i="8"/>
  <c r="B421" i="8" s="1"/>
  <c r="A421" i="8"/>
  <c r="C429" i="8"/>
  <c r="G429" i="8"/>
  <c r="F429" i="8"/>
  <c r="B429" i="8" s="1"/>
  <c r="A429" i="8"/>
  <c r="C439" i="8"/>
  <c r="G439" i="8"/>
  <c r="A439" i="8"/>
  <c r="F439" i="8"/>
  <c r="B439" i="8" s="1"/>
  <c r="F446" i="8"/>
  <c r="B446" i="8" s="1"/>
  <c r="A446" i="8"/>
  <c r="C446" i="8"/>
  <c r="G446" i="8"/>
  <c r="F432" i="8"/>
  <c r="B432" i="8" s="1"/>
  <c r="A432" i="8"/>
  <c r="F440" i="8"/>
  <c r="B440" i="8" s="1"/>
  <c r="A440" i="8"/>
  <c r="F448" i="8"/>
  <c r="B448" i="8" s="1"/>
  <c r="A448" i="8"/>
  <c r="F456" i="8"/>
  <c r="B456" i="8" s="1"/>
  <c r="A456" i="8"/>
  <c r="G432" i="8"/>
  <c r="F433" i="8"/>
  <c r="B433" i="8" s="1"/>
  <c r="F434" i="8"/>
  <c r="B434" i="8" s="1"/>
  <c r="A434" i="8"/>
  <c r="G440" i="8"/>
  <c r="F441" i="8"/>
  <c r="B441" i="8" s="1"/>
  <c r="F442" i="8"/>
  <c r="B442" i="8" s="1"/>
  <c r="A442" i="8"/>
  <c r="G448" i="8"/>
  <c r="F449" i="8"/>
  <c r="B449" i="8" s="1"/>
  <c r="F450" i="8"/>
  <c r="B450" i="8" s="1"/>
  <c r="A450" i="8"/>
  <c r="G456" i="8"/>
  <c r="F457" i="8"/>
  <c r="B457" i="8" s="1"/>
  <c r="F458" i="8"/>
  <c r="B458" i="8" s="1"/>
  <c r="A458" i="8"/>
  <c r="A433" i="8"/>
  <c r="G433" i="8"/>
  <c r="F436" i="8"/>
  <c r="B436" i="8" s="1"/>
  <c r="A436" i="8"/>
  <c r="A441" i="8"/>
  <c r="G441" i="8"/>
  <c r="F444" i="8"/>
  <c r="B444" i="8" s="1"/>
  <c r="A444" i="8"/>
  <c r="A449" i="8"/>
  <c r="G449" i="8"/>
  <c r="F452" i="8"/>
  <c r="B452" i="8" s="1"/>
  <c r="A452" i="8"/>
  <c r="A457" i="8"/>
  <c r="G457" i="8"/>
  <c r="F460" i="8"/>
  <c r="B460" i="8" s="1"/>
  <c r="A460" i="8"/>
  <c r="G462" i="8"/>
  <c r="F462" i="8"/>
  <c r="B462" i="8" s="1"/>
  <c r="A462" i="8"/>
  <c r="G464" i="8"/>
  <c r="F464" i="8"/>
  <c r="B464" i="8" s="1"/>
  <c r="A464" i="8"/>
  <c r="G466" i="8"/>
  <c r="F466" i="8"/>
  <c r="B466" i="8" s="1"/>
  <c r="A466" i="8"/>
  <c r="G468" i="8"/>
  <c r="F468" i="8"/>
  <c r="B468" i="8" s="1"/>
  <c r="A468" i="8"/>
  <c r="G470" i="8"/>
  <c r="F470" i="8"/>
  <c r="B470" i="8" s="1"/>
  <c r="A470" i="8"/>
  <c r="G472" i="8"/>
  <c r="F472" i="8"/>
  <c r="B472" i="8" s="1"/>
  <c r="A472" i="8"/>
  <c r="G474" i="8"/>
  <c r="F474" i="8"/>
  <c r="B474" i="8" s="1"/>
  <c r="A474" i="8"/>
  <c r="G476" i="8"/>
  <c r="F476" i="8"/>
  <c r="B476" i="8" s="1"/>
  <c r="A476" i="8"/>
  <c r="G478" i="8"/>
  <c r="F478" i="8"/>
  <c r="B478" i="8" s="1"/>
  <c r="A478" i="8"/>
  <c r="G480" i="8"/>
  <c r="F480" i="8"/>
  <c r="B480" i="8" s="1"/>
  <c r="A480" i="8"/>
  <c r="G482" i="8"/>
  <c r="F482" i="8"/>
  <c r="B482" i="8" s="1"/>
  <c r="A482" i="8"/>
  <c r="G484" i="8"/>
  <c r="F484" i="8"/>
  <c r="B484" i="8" s="1"/>
  <c r="A484" i="8"/>
  <c r="G486" i="8"/>
  <c r="F486" i="8"/>
  <c r="B486" i="8" s="1"/>
  <c r="A486" i="8"/>
  <c r="G488" i="8"/>
  <c r="F488" i="8"/>
  <c r="B488" i="8" s="1"/>
  <c r="A488" i="8"/>
  <c r="G490" i="8"/>
  <c r="F490" i="8"/>
  <c r="B490" i="8" s="1"/>
  <c r="A490" i="8"/>
  <c r="G492" i="8"/>
  <c r="F492" i="8"/>
  <c r="B492" i="8" s="1"/>
  <c r="A492" i="8"/>
  <c r="G494" i="8"/>
  <c r="F494" i="8"/>
  <c r="B494" i="8" s="1"/>
  <c r="A494" i="8"/>
  <c r="G496" i="8"/>
  <c r="F496" i="8"/>
  <c r="B496" i="8" s="1"/>
  <c r="A496" i="8"/>
  <c r="G498" i="8"/>
  <c r="F498" i="8"/>
  <c r="B498" i="8" s="1"/>
  <c r="A498" i="8"/>
  <c r="G500" i="8"/>
  <c r="F500" i="8"/>
  <c r="B500" i="8" s="1"/>
  <c r="A500" i="8"/>
  <c r="A3" i="9"/>
  <c r="F3" i="9"/>
  <c r="B3" i="9" s="1"/>
  <c r="A5" i="9"/>
  <c r="F5" i="9"/>
  <c r="B5" i="9" s="1"/>
  <c r="A7" i="9"/>
  <c r="F7" i="9"/>
  <c r="B7" i="9" s="1"/>
  <c r="A9" i="9"/>
  <c r="F9" i="9"/>
  <c r="B9" i="9" s="1"/>
  <c r="A11" i="9"/>
  <c r="F11" i="9"/>
  <c r="B11" i="9" s="1"/>
  <c r="A13" i="9"/>
  <c r="F13" i="9"/>
  <c r="B13" i="9" s="1"/>
  <c r="A15" i="9"/>
  <c r="F15" i="9"/>
  <c r="B15" i="9" s="1"/>
  <c r="A17" i="9"/>
  <c r="F17" i="9"/>
  <c r="B17" i="9" s="1"/>
  <c r="A19" i="9"/>
  <c r="F19" i="9"/>
  <c r="B19" i="9" s="1"/>
  <c r="A21" i="9"/>
  <c r="F21" i="9"/>
  <c r="B21" i="9" s="1"/>
  <c r="A23" i="9"/>
  <c r="F23" i="9"/>
  <c r="B23" i="9" s="1"/>
  <c r="A25" i="9"/>
  <c r="F25" i="9"/>
  <c r="B25" i="9" s="1"/>
  <c r="A27" i="9"/>
  <c r="F27" i="9"/>
  <c r="B27" i="9" s="1"/>
  <c r="A29" i="9"/>
  <c r="F29" i="9"/>
  <c r="B29" i="9" s="1"/>
  <c r="C30" i="9"/>
  <c r="A34" i="9"/>
  <c r="G35" i="9"/>
  <c r="C35" i="9" s="1"/>
  <c r="F36" i="9"/>
  <c r="B36" i="9" s="1"/>
  <c r="F37" i="9"/>
  <c r="B37" i="9" s="1"/>
  <c r="A37" i="9"/>
  <c r="C38" i="9"/>
  <c r="A42" i="9"/>
  <c r="G43" i="9"/>
  <c r="C43" i="9" s="1"/>
  <c r="F44" i="9"/>
  <c r="B44" i="9" s="1"/>
  <c r="F45" i="9"/>
  <c r="B45" i="9" s="1"/>
  <c r="A45" i="9"/>
  <c r="C46" i="9"/>
  <c r="A50" i="9"/>
  <c r="G51" i="9"/>
  <c r="C51" i="9" s="1"/>
  <c r="F52" i="9"/>
  <c r="B52" i="9" s="1"/>
  <c r="F53" i="9"/>
  <c r="B53" i="9" s="1"/>
  <c r="A53" i="9"/>
  <c r="C54" i="9"/>
  <c r="A58" i="9"/>
  <c r="G59" i="9"/>
  <c r="C59" i="9" s="1"/>
  <c r="F60" i="9"/>
  <c r="B60" i="9" s="1"/>
  <c r="F61" i="9"/>
  <c r="B61" i="9" s="1"/>
  <c r="A61" i="9"/>
  <c r="C62" i="9"/>
  <c r="A66" i="9"/>
  <c r="G67" i="9"/>
  <c r="C67" i="9" s="1"/>
  <c r="F68" i="9"/>
  <c r="B68" i="9" s="1"/>
  <c r="F69" i="9"/>
  <c r="B69" i="9" s="1"/>
  <c r="A69" i="9"/>
  <c r="C70" i="9"/>
  <c r="A74" i="9"/>
  <c r="G75" i="9"/>
  <c r="C75" i="9" s="1"/>
  <c r="F76" i="9"/>
  <c r="B76" i="9" s="1"/>
  <c r="F77" i="9"/>
  <c r="B77" i="9" s="1"/>
  <c r="A77" i="9"/>
  <c r="C78" i="9"/>
  <c r="A82" i="9"/>
  <c r="G83" i="9"/>
  <c r="C83" i="9" s="1"/>
  <c r="F84" i="9"/>
  <c r="B84" i="9" s="1"/>
  <c r="F85" i="9"/>
  <c r="B85" i="9" s="1"/>
  <c r="A85" i="9"/>
  <c r="C86" i="9"/>
  <c r="A90" i="9"/>
  <c r="G91" i="9"/>
  <c r="C91" i="9" s="1"/>
  <c r="F92" i="9"/>
  <c r="B92" i="9" s="1"/>
  <c r="F93" i="9"/>
  <c r="B93" i="9" s="1"/>
  <c r="A93" i="9"/>
  <c r="C94" i="9"/>
  <c r="C98" i="9"/>
  <c r="G99" i="9"/>
  <c r="C99" i="9" s="1"/>
  <c r="F99" i="9"/>
  <c r="B99" i="9" s="1"/>
  <c r="A99" i="9"/>
  <c r="G134" i="9"/>
  <c r="C134" i="9" s="1"/>
  <c r="A134" i="9"/>
  <c r="F134" i="9"/>
  <c r="B134" i="9" s="1"/>
  <c r="F141" i="9"/>
  <c r="B141" i="9" s="1"/>
  <c r="A141" i="9"/>
  <c r="G141" i="9"/>
  <c r="C141" i="9" s="1"/>
  <c r="G3" i="9"/>
  <c r="C3" i="9" s="1"/>
  <c r="G5" i="9"/>
  <c r="C5" i="9" s="1"/>
  <c r="G7" i="9"/>
  <c r="C7" i="9" s="1"/>
  <c r="G9" i="9"/>
  <c r="C9" i="9" s="1"/>
  <c r="G11" i="9"/>
  <c r="C11" i="9" s="1"/>
  <c r="G13" i="9"/>
  <c r="C13" i="9" s="1"/>
  <c r="G15" i="9"/>
  <c r="C15" i="9" s="1"/>
  <c r="G17" i="9"/>
  <c r="C17" i="9" s="1"/>
  <c r="G19" i="9"/>
  <c r="C19" i="9" s="1"/>
  <c r="G21" i="9"/>
  <c r="C21" i="9" s="1"/>
  <c r="G23" i="9"/>
  <c r="C23" i="9" s="1"/>
  <c r="G25" i="9"/>
  <c r="C25" i="9" s="1"/>
  <c r="G27" i="9"/>
  <c r="C27" i="9" s="1"/>
  <c r="G29" i="9"/>
  <c r="C29" i="9" s="1"/>
  <c r="F30" i="9"/>
  <c r="B30" i="9" s="1"/>
  <c r="F31" i="9"/>
  <c r="B31" i="9" s="1"/>
  <c r="A31" i="9"/>
  <c r="C32" i="9"/>
  <c r="A36" i="9"/>
  <c r="G37" i="9"/>
  <c r="C37" i="9" s="1"/>
  <c r="F38" i="9"/>
  <c r="B38" i="9" s="1"/>
  <c r="F39" i="9"/>
  <c r="B39" i="9" s="1"/>
  <c r="A39" i="9"/>
  <c r="C40" i="9"/>
  <c r="A44" i="9"/>
  <c r="G45" i="9"/>
  <c r="C45" i="9" s="1"/>
  <c r="F46" i="9"/>
  <c r="B46" i="9" s="1"/>
  <c r="F47" i="9"/>
  <c r="B47" i="9" s="1"/>
  <c r="A47" i="9"/>
  <c r="C48" i="9"/>
  <c r="A52" i="9"/>
  <c r="G53" i="9"/>
  <c r="C53" i="9" s="1"/>
  <c r="F54" i="9"/>
  <c r="B54" i="9" s="1"/>
  <c r="F55" i="9"/>
  <c r="B55" i="9" s="1"/>
  <c r="A55" i="9"/>
  <c r="C56" i="9"/>
  <c r="A60" i="9"/>
  <c r="G61" i="9"/>
  <c r="C61" i="9" s="1"/>
  <c r="F62" i="9"/>
  <c r="B62" i="9" s="1"/>
  <c r="F63" i="9"/>
  <c r="B63" i="9" s="1"/>
  <c r="A63" i="9"/>
  <c r="C64" i="9"/>
  <c r="A68" i="9"/>
  <c r="G69" i="9"/>
  <c r="C69" i="9" s="1"/>
  <c r="F70" i="9"/>
  <c r="B70" i="9" s="1"/>
  <c r="F71" i="9"/>
  <c r="B71" i="9" s="1"/>
  <c r="A71" i="9"/>
  <c r="C72" i="9"/>
  <c r="A76" i="9"/>
  <c r="G77" i="9"/>
  <c r="C77" i="9" s="1"/>
  <c r="F78" i="9"/>
  <c r="B78" i="9" s="1"/>
  <c r="F79" i="9"/>
  <c r="B79" i="9" s="1"/>
  <c r="A79" i="9"/>
  <c r="C80" i="9"/>
  <c r="A84" i="9"/>
  <c r="G85" i="9"/>
  <c r="C85" i="9" s="1"/>
  <c r="F86" i="9"/>
  <c r="B86" i="9" s="1"/>
  <c r="F87" i="9"/>
  <c r="B87" i="9" s="1"/>
  <c r="A87" i="9"/>
  <c r="C88" i="9"/>
  <c r="A92" i="9"/>
  <c r="G93" i="9"/>
  <c r="C93" i="9" s="1"/>
  <c r="F94" i="9"/>
  <c r="B94" i="9" s="1"/>
  <c r="F95" i="9"/>
  <c r="B95" i="9" s="1"/>
  <c r="A95" i="9"/>
  <c r="C96" i="9"/>
  <c r="G97" i="9"/>
  <c r="C97" i="9" s="1"/>
  <c r="F97" i="9"/>
  <c r="B97" i="9" s="1"/>
  <c r="A97" i="9"/>
  <c r="G142" i="9"/>
  <c r="C142" i="9" s="1"/>
  <c r="A142" i="9"/>
  <c r="F142" i="9"/>
  <c r="B142" i="9" s="1"/>
  <c r="F33" i="9"/>
  <c r="B33" i="9" s="1"/>
  <c r="A33" i="9"/>
  <c r="C34" i="9"/>
  <c r="F41" i="9"/>
  <c r="B41" i="9" s="1"/>
  <c r="A41" i="9"/>
  <c r="C42" i="9"/>
  <c r="F49" i="9"/>
  <c r="B49" i="9" s="1"/>
  <c r="A49" i="9"/>
  <c r="C50" i="9"/>
  <c r="F57" i="9"/>
  <c r="B57" i="9" s="1"/>
  <c r="A57" i="9"/>
  <c r="C58" i="9"/>
  <c r="F65" i="9"/>
  <c r="B65" i="9" s="1"/>
  <c r="A65" i="9"/>
  <c r="C66" i="9"/>
  <c r="F73" i="9"/>
  <c r="B73" i="9" s="1"/>
  <c r="A73" i="9"/>
  <c r="C74" i="9"/>
  <c r="F81" i="9"/>
  <c r="B81" i="9" s="1"/>
  <c r="A81" i="9"/>
  <c r="C82" i="9"/>
  <c r="F89" i="9"/>
  <c r="B89" i="9" s="1"/>
  <c r="A89" i="9"/>
  <c r="C90" i="9"/>
  <c r="F35" i="9"/>
  <c r="B35" i="9" s="1"/>
  <c r="A35" i="9"/>
  <c r="C36" i="9"/>
  <c r="F43" i="9"/>
  <c r="B43" i="9" s="1"/>
  <c r="A43" i="9"/>
  <c r="C44" i="9"/>
  <c r="F51" i="9"/>
  <c r="B51" i="9" s="1"/>
  <c r="A51" i="9"/>
  <c r="C52" i="9"/>
  <c r="F59" i="9"/>
  <c r="B59" i="9" s="1"/>
  <c r="A59" i="9"/>
  <c r="C60" i="9"/>
  <c r="F67" i="9"/>
  <c r="B67" i="9" s="1"/>
  <c r="A67" i="9"/>
  <c r="C68" i="9"/>
  <c r="F75" i="9"/>
  <c r="B75" i="9" s="1"/>
  <c r="A75" i="9"/>
  <c r="C76" i="9"/>
  <c r="F83" i="9"/>
  <c r="B83" i="9" s="1"/>
  <c r="A83" i="9"/>
  <c r="C84" i="9"/>
  <c r="F91" i="9"/>
  <c r="B91" i="9" s="1"/>
  <c r="A91" i="9"/>
  <c r="C92" i="9"/>
  <c r="F133" i="9"/>
  <c r="B133" i="9" s="1"/>
  <c r="A133" i="9"/>
  <c r="G133" i="9"/>
  <c r="C133" i="9" s="1"/>
  <c r="F135" i="9"/>
  <c r="B135" i="9" s="1"/>
  <c r="A135" i="9"/>
  <c r="F143" i="9"/>
  <c r="B143" i="9" s="1"/>
  <c r="A143" i="9"/>
  <c r="G149" i="9"/>
  <c r="C149" i="9" s="1"/>
  <c r="F150" i="9"/>
  <c r="B150" i="9" s="1"/>
  <c r="F151" i="9"/>
  <c r="B151" i="9" s="1"/>
  <c r="A151" i="9"/>
  <c r="G157" i="9"/>
  <c r="C157" i="9" s="1"/>
  <c r="F157" i="9"/>
  <c r="B157" i="9" s="1"/>
  <c r="A157" i="9"/>
  <c r="G161" i="9"/>
  <c r="C161" i="9" s="1"/>
  <c r="F161" i="9"/>
  <c r="B161" i="9" s="1"/>
  <c r="A161" i="9"/>
  <c r="G165" i="9"/>
  <c r="C165" i="9" s="1"/>
  <c r="F165" i="9"/>
  <c r="B165" i="9" s="1"/>
  <c r="A165" i="9"/>
  <c r="G169" i="9"/>
  <c r="C169" i="9" s="1"/>
  <c r="F169" i="9"/>
  <c r="B169" i="9" s="1"/>
  <c r="A169" i="9"/>
  <c r="G173" i="9"/>
  <c r="C173" i="9" s="1"/>
  <c r="F173" i="9"/>
  <c r="B173" i="9" s="1"/>
  <c r="A173" i="9"/>
  <c r="G177" i="9"/>
  <c r="C177" i="9" s="1"/>
  <c r="F177" i="9"/>
  <c r="B177" i="9" s="1"/>
  <c r="A177" i="9"/>
  <c r="A101" i="9"/>
  <c r="F101" i="9"/>
  <c r="B101" i="9" s="1"/>
  <c r="A103" i="9"/>
  <c r="F103" i="9"/>
  <c r="B103" i="9" s="1"/>
  <c r="A105" i="9"/>
  <c r="F105" i="9"/>
  <c r="B105" i="9" s="1"/>
  <c r="A107" i="9"/>
  <c r="F107" i="9"/>
  <c r="B107" i="9" s="1"/>
  <c r="A109" i="9"/>
  <c r="F109" i="9"/>
  <c r="B109" i="9" s="1"/>
  <c r="A111" i="9"/>
  <c r="F111" i="9"/>
  <c r="B111" i="9" s="1"/>
  <c r="A113" i="9"/>
  <c r="F113" i="9"/>
  <c r="B113" i="9" s="1"/>
  <c r="A115" i="9"/>
  <c r="F115" i="9"/>
  <c r="B115" i="9" s="1"/>
  <c r="A117" i="9"/>
  <c r="F117" i="9"/>
  <c r="B117" i="9" s="1"/>
  <c r="A119" i="9"/>
  <c r="F119" i="9"/>
  <c r="B119" i="9" s="1"/>
  <c r="A121" i="9"/>
  <c r="F121" i="9"/>
  <c r="B121" i="9" s="1"/>
  <c r="A123" i="9"/>
  <c r="F123" i="9"/>
  <c r="B123" i="9" s="1"/>
  <c r="A125" i="9"/>
  <c r="F125" i="9"/>
  <c r="B125" i="9" s="1"/>
  <c r="A127" i="9"/>
  <c r="G127" i="9"/>
  <c r="C127" i="9" s="1"/>
  <c r="F128" i="9"/>
  <c r="B128" i="9" s="1"/>
  <c r="F129" i="9"/>
  <c r="B129" i="9" s="1"/>
  <c r="A129" i="9"/>
  <c r="G135" i="9"/>
  <c r="C135" i="9" s="1"/>
  <c r="F136" i="9"/>
  <c r="B136" i="9" s="1"/>
  <c r="F137" i="9"/>
  <c r="B137" i="9" s="1"/>
  <c r="A137" i="9"/>
  <c r="G143" i="9"/>
  <c r="C143" i="9" s="1"/>
  <c r="F144" i="9"/>
  <c r="B144" i="9" s="1"/>
  <c r="F145" i="9"/>
  <c r="B145" i="9" s="1"/>
  <c r="A145" i="9"/>
  <c r="A150" i="9"/>
  <c r="G150" i="9"/>
  <c r="C150" i="9" s="1"/>
  <c r="G151" i="9"/>
  <c r="C151" i="9" s="1"/>
  <c r="F152" i="9"/>
  <c r="B152" i="9" s="1"/>
  <c r="F153" i="9"/>
  <c r="B153" i="9" s="1"/>
  <c r="A153" i="9"/>
  <c r="G155" i="9"/>
  <c r="C155" i="9" s="1"/>
  <c r="F155" i="9"/>
  <c r="B155" i="9" s="1"/>
  <c r="A155" i="9"/>
  <c r="A128" i="9"/>
  <c r="G128" i="9"/>
  <c r="C128" i="9" s="1"/>
  <c r="F131" i="9"/>
  <c r="B131" i="9" s="1"/>
  <c r="A131" i="9"/>
  <c r="A136" i="9"/>
  <c r="G136" i="9"/>
  <c r="C136" i="9" s="1"/>
  <c r="F139" i="9"/>
  <c r="B139" i="9" s="1"/>
  <c r="A139" i="9"/>
  <c r="A144" i="9"/>
  <c r="G144" i="9"/>
  <c r="C144" i="9" s="1"/>
  <c r="F147" i="9"/>
  <c r="B147" i="9" s="1"/>
  <c r="A147" i="9"/>
  <c r="A152" i="9"/>
  <c r="G152" i="9"/>
  <c r="C152" i="9" s="1"/>
  <c r="G159" i="9"/>
  <c r="C159" i="9" s="1"/>
  <c r="F159" i="9"/>
  <c r="B159" i="9" s="1"/>
  <c r="A159" i="9"/>
  <c r="G163" i="9"/>
  <c r="C163" i="9" s="1"/>
  <c r="F163" i="9"/>
  <c r="B163" i="9" s="1"/>
  <c r="A163" i="9"/>
  <c r="G167" i="9"/>
  <c r="C167" i="9" s="1"/>
  <c r="F167" i="9"/>
  <c r="B167" i="9" s="1"/>
  <c r="A167" i="9"/>
  <c r="G171" i="9"/>
  <c r="C171" i="9" s="1"/>
  <c r="F171" i="9"/>
  <c r="B171" i="9" s="1"/>
  <c r="A171" i="9"/>
  <c r="G175" i="9"/>
  <c r="C175" i="9" s="1"/>
  <c r="F175" i="9"/>
  <c r="B175" i="9" s="1"/>
  <c r="A175" i="9"/>
  <c r="F149" i="9"/>
  <c r="B149" i="9" s="1"/>
  <c r="A149" i="9"/>
  <c r="A180" i="9"/>
  <c r="A184" i="9"/>
  <c r="A188" i="9"/>
  <c r="A192" i="9"/>
  <c r="A196" i="9"/>
  <c r="A200" i="9"/>
  <c r="A204" i="9"/>
  <c r="A208" i="9"/>
  <c r="A212" i="9"/>
  <c r="C180" i="9"/>
  <c r="C184" i="9"/>
  <c r="F308" i="9"/>
  <c r="B308" i="9" s="1"/>
  <c r="A308" i="9"/>
  <c r="A313" i="9"/>
  <c r="G313" i="9"/>
  <c r="F316" i="9"/>
  <c r="B316" i="9" s="1"/>
  <c r="A316" i="9"/>
  <c r="A321" i="9"/>
  <c r="G321" i="9"/>
  <c r="F324" i="9"/>
  <c r="B324" i="9" s="1"/>
  <c r="A324" i="9"/>
  <c r="A329" i="9"/>
  <c r="G329" i="9"/>
  <c r="F332" i="9"/>
  <c r="B332" i="9" s="1"/>
  <c r="A332" i="9"/>
  <c r="A337" i="9"/>
  <c r="G337" i="9"/>
  <c r="F340" i="9"/>
  <c r="B340" i="9" s="1"/>
  <c r="A340" i="9"/>
  <c r="C347" i="9"/>
  <c r="G347" i="9"/>
  <c r="C353" i="9"/>
  <c r="G353" i="9"/>
  <c r="F353" i="9"/>
  <c r="B353" i="9" s="1"/>
  <c r="A353" i="9"/>
  <c r="C361" i="9"/>
  <c r="G361" i="9"/>
  <c r="F361" i="9"/>
  <c r="B361" i="9" s="1"/>
  <c r="A361" i="9"/>
  <c r="G308" i="9"/>
  <c r="F309" i="9"/>
  <c r="B309" i="9" s="1"/>
  <c r="F310" i="9"/>
  <c r="B310" i="9" s="1"/>
  <c r="A310" i="9"/>
  <c r="G316" i="9"/>
  <c r="F317" i="9"/>
  <c r="B317" i="9" s="1"/>
  <c r="F318" i="9"/>
  <c r="B318" i="9" s="1"/>
  <c r="A318" i="9"/>
  <c r="G324" i="9"/>
  <c r="F325" i="9"/>
  <c r="B325" i="9" s="1"/>
  <c r="F326" i="9"/>
  <c r="B326" i="9" s="1"/>
  <c r="A326" i="9"/>
  <c r="G332" i="9"/>
  <c r="F333" i="9"/>
  <c r="B333" i="9" s="1"/>
  <c r="F334" i="9"/>
  <c r="B334" i="9" s="1"/>
  <c r="A334" i="9"/>
  <c r="G340" i="9"/>
  <c r="F341" i="9"/>
  <c r="B341" i="9" s="1"/>
  <c r="F342" i="9"/>
  <c r="B342" i="9" s="1"/>
  <c r="A342" i="9"/>
  <c r="C345" i="9"/>
  <c r="G345" i="9"/>
  <c r="F347" i="9"/>
  <c r="B347" i="9" s="1"/>
  <c r="C355" i="9"/>
  <c r="G355" i="9"/>
  <c r="F355" i="9"/>
  <c r="B355" i="9" s="1"/>
  <c r="A355" i="9"/>
  <c r="C363" i="9"/>
  <c r="G363" i="9"/>
  <c r="F363" i="9"/>
  <c r="B363" i="9" s="1"/>
  <c r="A363" i="9"/>
  <c r="F312" i="9"/>
  <c r="B312" i="9" s="1"/>
  <c r="A312" i="9"/>
  <c r="F320" i="9"/>
  <c r="B320" i="9" s="1"/>
  <c r="A320" i="9"/>
  <c r="F328" i="9"/>
  <c r="B328" i="9" s="1"/>
  <c r="A328" i="9"/>
  <c r="F336" i="9"/>
  <c r="B336" i="9" s="1"/>
  <c r="A336" i="9"/>
  <c r="F344" i="9"/>
  <c r="B344" i="9" s="1"/>
  <c r="A344" i="9"/>
  <c r="C349" i="9"/>
  <c r="G349" i="9"/>
  <c r="F349" i="9"/>
  <c r="B349" i="9" s="1"/>
  <c r="A349" i="9"/>
  <c r="C357" i="9"/>
  <c r="G357" i="9"/>
  <c r="F357" i="9"/>
  <c r="B357" i="9" s="1"/>
  <c r="A357" i="9"/>
  <c r="C308" i="9"/>
  <c r="A311" i="9"/>
  <c r="G311" i="9"/>
  <c r="G312" i="9"/>
  <c r="F313" i="9"/>
  <c r="B313" i="9" s="1"/>
  <c r="F314" i="9"/>
  <c r="B314" i="9" s="1"/>
  <c r="A314" i="9"/>
  <c r="C316" i="9"/>
  <c r="A319" i="9"/>
  <c r="G319" i="9"/>
  <c r="G320" i="9"/>
  <c r="F321" i="9"/>
  <c r="B321" i="9" s="1"/>
  <c r="F322" i="9"/>
  <c r="B322" i="9" s="1"/>
  <c r="A322" i="9"/>
  <c r="C324" i="9"/>
  <c r="A327" i="9"/>
  <c r="G327" i="9"/>
  <c r="G328" i="9"/>
  <c r="F329" i="9"/>
  <c r="B329" i="9" s="1"/>
  <c r="F330" i="9"/>
  <c r="B330" i="9" s="1"/>
  <c r="A330" i="9"/>
  <c r="C332" i="9"/>
  <c r="A335" i="9"/>
  <c r="G335" i="9"/>
  <c r="G336" i="9"/>
  <c r="F337" i="9"/>
  <c r="B337" i="9" s="1"/>
  <c r="F338" i="9"/>
  <c r="B338" i="9" s="1"/>
  <c r="A338" i="9"/>
  <c r="C340" i="9"/>
  <c r="A343" i="9"/>
  <c r="G343" i="9"/>
  <c r="G344" i="9"/>
  <c r="A347" i="9"/>
  <c r="C351" i="9"/>
  <c r="G351" i="9"/>
  <c r="F351" i="9"/>
  <c r="B351" i="9" s="1"/>
  <c r="A351" i="9"/>
  <c r="C359" i="9"/>
  <c r="G359" i="9"/>
  <c r="F359" i="9"/>
  <c r="B359" i="9" s="1"/>
  <c r="A359" i="9"/>
  <c r="A365" i="9"/>
  <c r="F365" i="9"/>
  <c r="B365" i="9" s="1"/>
  <c r="A367" i="9"/>
  <c r="F367" i="9"/>
  <c r="B367" i="9" s="1"/>
  <c r="A369" i="9"/>
  <c r="F369" i="9"/>
  <c r="B369" i="9" s="1"/>
  <c r="A371" i="9"/>
  <c r="F371" i="9"/>
  <c r="B371" i="9" s="1"/>
  <c r="A373" i="9"/>
  <c r="F373" i="9"/>
  <c r="B373" i="9" s="1"/>
  <c r="A375" i="9"/>
  <c r="F375" i="9"/>
  <c r="B375" i="9" s="1"/>
  <c r="A377" i="9"/>
  <c r="F377" i="9"/>
  <c r="B377" i="9" s="1"/>
  <c r="A379" i="9"/>
  <c r="F379" i="9"/>
  <c r="B379" i="9" s="1"/>
  <c r="A381" i="9"/>
  <c r="F381" i="9"/>
  <c r="B381" i="9" s="1"/>
  <c r="A383" i="9"/>
  <c r="F383" i="9"/>
  <c r="B383" i="9" s="1"/>
  <c r="A385" i="9"/>
  <c r="F385" i="9"/>
  <c r="B385" i="9" s="1"/>
  <c r="A387" i="9"/>
  <c r="F387" i="9"/>
  <c r="B387" i="9" s="1"/>
  <c r="A389" i="9"/>
  <c r="F389" i="9"/>
  <c r="B389" i="9" s="1"/>
  <c r="A391" i="9"/>
  <c r="F391" i="9"/>
  <c r="B391" i="9" s="1"/>
  <c r="A393" i="9"/>
  <c r="F393" i="9"/>
  <c r="B393" i="9" s="1"/>
  <c r="A395" i="9"/>
  <c r="F395" i="9"/>
  <c r="B395" i="9" s="1"/>
  <c r="A397" i="9"/>
  <c r="F397" i="9"/>
  <c r="B397" i="9" s="1"/>
  <c r="A399" i="9"/>
  <c r="F399" i="9"/>
  <c r="B399" i="9" s="1"/>
  <c r="A401" i="9"/>
  <c r="F401" i="9"/>
  <c r="B401" i="9" s="1"/>
  <c r="A403" i="9"/>
  <c r="F403" i="9"/>
  <c r="B403" i="9" s="1"/>
  <c r="A405" i="9"/>
  <c r="F405" i="9"/>
  <c r="B405" i="9" s="1"/>
  <c r="F408" i="9"/>
  <c r="B408" i="9" s="1"/>
  <c r="A408" i="9"/>
  <c r="C408" i="9"/>
  <c r="F412" i="9"/>
  <c r="B412" i="9" s="1"/>
  <c r="A412" i="9"/>
  <c r="C412" i="9"/>
  <c r="F416" i="9"/>
  <c r="B416" i="9" s="1"/>
  <c r="A416" i="9"/>
  <c r="C416" i="9"/>
  <c r="F420" i="9"/>
  <c r="B420" i="9" s="1"/>
  <c r="A420" i="9"/>
  <c r="C420" i="9"/>
  <c r="F424" i="9"/>
  <c r="B424" i="9" s="1"/>
  <c r="A424" i="9"/>
  <c r="C424" i="9"/>
  <c r="F428" i="9"/>
  <c r="B428" i="9" s="1"/>
  <c r="A428" i="9"/>
  <c r="C428" i="9"/>
  <c r="F432" i="9"/>
  <c r="B432" i="9" s="1"/>
  <c r="A432" i="9"/>
  <c r="C432" i="9"/>
  <c r="F436" i="9"/>
  <c r="B436" i="9" s="1"/>
  <c r="A436" i="9"/>
  <c r="C436" i="9"/>
  <c r="F440" i="9"/>
  <c r="B440" i="9" s="1"/>
  <c r="A440" i="9"/>
  <c r="C440" i="9"/>
  <c r="C445" i="9"/>
  <c r="F445" i="9"/>
  <c r="B445" i="9" s="1"/>
  <c r="G445" i="9"/>
  <c r="A445" i="9"/>
  <c r="G365" i="9"/>
  <c r="G367" i="9"/>
  <c r="G369" i="9"/>
  <c r="G371" i="9"/>
  <c r="G373" i="9"/>
  <c r="G375" i="9"/>
  <c r="G377" i="9"/>
  <c r="G379" i="9"/>
  <c r="G381" i="9"/>
  <c r="G383" i="9"/>
  <c r="G385" i="9"/>
  <c r="G387" i="9"/>
  <c r="G389" i="9"/>
  <c r="G391" i="9"/>
  <c r="G393" i="9"/>
  <c r="G395" i="9"/>
  <c r="G397" i="9"/>
  <c r="G399" i="9"/>
  <c r="G401" i="9"/>
  <c r="G403" i="9"/>
  <c r="G405" i="9"/>
  <c r="F406" i="9"/>
  <c r="B406" i="9" s="1"/>
  <c r="F407" i="9"/>
  <c r="B407" i="9" s="1"/>
  <c r="A407" i="9"/>
  <c r="G408" i="9"/>
  <c r="C411" i="9"/>
  <c r="F411" i="9"/>
  <c r="B411" i="9" s="1"/>
  <c r="A411" i="9"/>
  <c r="G412" i="9"/>
  <c r="C415" i="9"/>
  <c r="F415" i="9"/>
  <c r="B415" i="9" s="1"/>
  <c r="A415" i="9"/>
  <c r="G416" i="9"/>
  <c r="C419" i="9"/>
  <c r="F419" i="9"/>
  <c r="B419" i="9" s="1"/>
  <c r="A419" i="9"/>
  <c r="G420" i="9"/>
  <c r="C423" i="9"/>
  <c r="F423" i="9"/>
  <c r="B423" i="9" s="1"/>
  <c r="A423" i="9"/>
  <c r="G424" i="9"/>
  <c r="C427" i="9"/>
  <c r="F427" i="9"/>
  <c r="B427" i="9" s="1"/>
  <c r="A427" i="9"/>
  <c r="G428" i="9"/>
  <c r="C431" i="9"/>
  <c r="F431" i="9"/>
  <c r="B431" i="9" s="1"/>
  <c r="A431" i="9"/>
  <c r="G432" i="9"/>
  <c r="C435" i="9"/>
  <c r="F435" i="9"/>
  <c r="B435" i="9" s="1"/>
  <c r="A435" i="9"/>
  <c r="G436" i="9"/>
  <c r="C439" i="9"/>
  <c r="F439" i="9"/>
  <c r="B439" i="9" s="1"/>
  <c r="A439" i="9"/>
  <c r="G440" i="9"/>
  <c r="A346" i="9"/>
  <c r="A348" i="9"/>
  <c r="A350" i="9"/>
  <c r="A352" i="9"/>
  <c r="A354" i="9"/>
  <c r="A356" i="9"/>
  <c r="A358" i="9"/>
  <c r="A360" i="9"/>
  <c r="A362" i="9"/>
  <c r="A364" i="9"/>
  <c r="A366" i="9"/>
  <c r="A368" i="9"/>
  <c r="A370" i="9"/>
  <c r="A372" i="9"/>
  <c r="A374" i="9"/>
  <c r="A376" i="9"/>
  <c r="A378" i="9"/>
  <c r="A380" i="9"/>
  <c r="A382" i="9"/>
  <c r="A384" i="9"/>
  <c r="A386" i="9"/>
  <c r="A388" i="9"/>
  <c r="A390" i="9"/>
  <c r="A392" i="9"/>
  <c r="A394" i="9"/>
  <c r="A396" i="9"/>
  <c r="A398" i="9"/>
  <c r="A400" i="9"/>
  <c r="A402" i="9"/>
  <c r="A404" i="9"/>
  <c r="A406" i="9"/>
  <c r="G406" i="9"/>
  <c r="G407" i="9"/>
  <c r="F410" i="9"/>
  <c r="B410" i="9" s="1"/>
  <c r="A410" i="9"/>
  <c r="C410" i="9"/>
  <c r="G411" i="9"/>
  <c r="F414" i="9"/>
  <c r="B414" i="9" s="1"/>
  <c r="A414" i="9"/>
  <c r="C414" i="9"/>
  <c r="G415" i="9"/>
  <c r="F418" i="9"/>
  <c r="B418" i="9" s="1"/>
  <c r="A418" i="9"/>
  <c r="C418" i="9"/>
  <c r="G419" i="9"/>
  <c r="F422" i="9"/>
  <c r="B422" i="9" s="1"/>
  <c r="A422" i="9"/>
  <c r="C422" i="9"/>
  <c r="G423" i="9"/>
  <c r="F426" i="9"/>
  <c r="B426" i="9" s="1"/>
  <c r="A426" i="9"/>
  <c r="C426" i="9"/>
  <c r="G427" i="9"/>
  <c r="F430" i="9"/>
  <c r="B430" i="9" s="1"/>
  <c r="A430" i="9"/>
  <c r="C430" i="9"/>
  <c r="G431" i="9"/>
  <c r="F434" i="9"/>
  <c r="B434" i="9" s="1"/>
  <c r="A434" i="9"/>
  <c r="C434" i="9"/>
  <c r="G435" i="9"/>
  <c r="F438" i="9"/>
  <c r="B438" i="9" s="1"/>
  <c r="A438" i="9"/>
  <c r="C438" i="9"/>
  <c r="G439" i="9"/>
  <c r="F442" i="9"/>
  <c r="B442" i="9" s="1"/>
  <c r="A442" i="9"/>
  <c r="C442" i="9"/>
  <c r="C409" i="9"/>
  <c r="F409" i="9"/>
  <c r="B409" i="9" s="1"/>
  <c r="A409" i="9"/>
  <c r="C413" i="9"/>
  <c r="F413" i="9"/>
  <c r="B413" i="9" s="1"/>
  <c r="A413" i="9"/>
  <c r="C417" i="9"/>
  <c r="F417" i="9"/>
  <c r="B417" i="9" s="1"/>
  <c r="A417" i="9"/>
  <c r="C421" i="9"/>
  <c r="F421" i="9"/>
  <c r="B421" i="9" s="1"/>
  <c r="A421" i="9"/>
  <c r="C425" i="9"/>
  <c r="F425" i="9"/>
  <c r="B425" i="9" s="1"/>
  <c r="A425" i="9"/>
  <c r="C429" i="9"/>
  <c r="F429" i="9"/>
  <c r="B429" i="9" s="1"/>
  <c r="A429" i="9"/>
  <c r="C433" i="9"/>
  <c r="F433" i="9"/>
  <c r="B433" i="9" s="1"/>
  <c r="A433" i="9"/>
  <c r="C437" i="9"/>
  <c r="F437" i="9"/>
  <c r="B437" i="9" s="1"/>
  <c r="A437" i="9"/>
  <c r="C441" i="9"/>
  <c r="F441" i="9"/>
  <c r="B441" i="9" s="1"/>
  <c r="A441" i="9"/>
  <c r="F444" i="9"/>
  <c r="B444" i="9" s="1"/>
  <c r="G444" i="9"/>
  <c r="A444" i="9"/>
  <c r="C444" i="9"/>
  <c r="F448" i="9"/>
  <c r="B448" i="9" s="1"/>
  <c r="A448" i="9"/>
  <c r="A453" i="9"/>
  <c r="G453" i="9"/>
  <c r="F456" i="9"/>
  <c r="B456" i="9" s="1"/>
  <c r="A456" i="9"/>
  <c r="A461" i="9"/>
  <c r="G461" i="9"/>
  <c r="F464" i="9"/>
  <c r="B464" i="9" s="1"/>
  <c r="A464" i="9"/>
  <c r="A469" i="9"/>
  <c r="G469" i="9"/>
  <c r="F472" i="9"/>
  <c r="B472" i="9" s="1"/>
  <c r="A472" i="9"/>
  <c r="G474" i="9"/>
  <c r="F474" i="9"/>
  <c r="B474" i="9" s="1"/>
  <c r="A474" i="9"/>
  <c r="G482" i="9"/>
  <c r="F482" i="9"/>
  <c r="B482" i="9" s="1"/>
  <c r="A482" i="9"/>
  <c r="A443" i="9"/>
  <c r="F443" i="9"/>
  <c r="B443" i="9" s="1"/>
  <c r="G448" i="9"/>
  <c r="F449" i="9"/>
  <c r="B449" i="9" s="1"/>
  <c r="F450" i="9"/>
  <c r="B450" i="9" s="1"/>
  <c r="A450" i="9"/>
  <c r="G456" i="9"/>
  <c r="F457" i="9"/>
  <c r="B457" i="9" s="1"/>
  <c r="F458" i="9"/>
  <c r="B458" i="9" s="1"/>
  <c r="A458" i="9"/>
  <c r="G464" i="9"/>
  <c r="F465" i="9"/>
  <c r="B465" i="9" s="1"/>
  <c r="F466" i="9"/>
  <c r="B466" i="9" s="1"/>
  <c r="A466" i="9"/>
  <c r="G472" i="9"/>
  <c r="G480" i="9"/>
  <c r="F480" i="9"/>
  <c r="B480" i="9" s="1"/>
  <c r="A480" i="9"/>
  <c r="F452" i="9"/>
  <c r="B452" i="9" s="1"/>
  <c r="A452" i="9"/>
  <c r="F460" i="9"/>
  <c r="B460" i="9" s="1"/>
  <c r="A460" i="9"/>
  <c r="F468" i="9"/>
  <c r="B468" i="9" s="1"/>
  <c r="A468" i="9"/>
  <c r="G478" i="9"/>
  <c r="F478" i="9"/>
  <c r="B478" i="9" s="1"/>
  <c r="A478" i="9"/>
  <c r="F446" i="9"/>
  <c r="B446" i="9" s="1"/>
  <c r="A446" i="9"/>
  <c r="C448" i="9"/>
  <c r="A451" i="9"/>
  <c r="G451" i="9"/>
  <c r="G452" i="9"/>
  <c r="F453" i="9"/>
  <c r="B453" i="9" s="1"/>
  <c r="F454" i="9"/>
  <c r="B454" i="9" s="1"/>
  <c r="A454" i="9"/>
  <c r="C456" i="9"/>
  <c r="A459" i="9"/>
  <c r="G459" i="9"/>
  <c r="G460" i="9"/>
  <c r="F461" i="9"/>
  <c r="B461" i="9" s="1"/>
  <c r="F462" i="9"/>
  <c r="B462" i="9" s="1"/>
  <c r="A462" i="9"/>
  <c r="C464" i="9"/>
  <c r="A467" i="9"/>
  <c r="G467" i="9"/>
  <c r="G468" i="9"/>
  <c r="F469" i="9"/>
  <c r="B469" i="9" s="1"/>
  <c r="F470" i="9"/>
  <c r="B470" i="9" s="1"/>
  <c r="A470" i="9"/>
  <c r="C472" i="9"/>
  <c r="C474" i="9"/>
  <c r="G476" i="9"/>
  <c r="F476" i="9"/>
  <c r="B476" i="9" s="1"/>
  <c r="A476" i="9"/>
  <c r="C482" i="9"/>
  <c r="G484" i="9"/>
  <c r="F484" i="9"/>
  <c r="B484" i="9" s="1"/>
  <c r="A484" i="9"/>
  <c r="A486" i="9"/>
  <c r="F486" i="9"/>
  <c r="B486" i="9" s="1"/>
  <c r="A488" i="9"/>
  <c r="F488" i="9"/>
  <c r="B488" i="9" s="1"/>
  <c r="A490" i="9"/>
  <c r="F490" i="9"/>
  <c r="B490" i="9" s="1"/>
  <c r="A492" i="9"/>
  <c r="F492" i="9"/>
  <c r="B492" i="9" s="1"/>
  <c r="A494" i="9"/>
  <c r="F494" i="9"/>
  <c r="B494" i="9" s="1"/>
  <c r="A496" i="9"/>
  <c r="F496" i="9"/>
  <c r="B496" i="9" s="1"/>
  <c r="A498" i="9"/>
  <c r="F498" i="9"/>
  <c r="B498" i="9" s="1"/>
  <c r="A500" i="9"/>
  <c r="F500" i="9"/>
  <c r="B500" i="9" s="1"/>
  <c r="F124" i="10"/>
  <c r="B124" i="10" s="1"/>
  <c r="A124" i="10"/>
  <c r="F132" i="10"/>
  <c r="B132" i="10" s="1"/>
  <c r="A132" i="10"/>
  <c r="F140" i="10"/>
  <c r="B140" i="10" s="1"/>
  <c r="A140" i="10"/>
  <c r="F148" i="10"/>
  <c r="B148" i="10" s="1"/>
  <c r="A148" i="10"/>
  <c r="F156" i="10"/>
  <c r="B156" i="10" s="1"/>
  <c r="A156" i="10"/>
  <c r="F164" i="10"/>
  <c r="B164" i="10" s="1"/>
  <c r="A164" i="10"/>
  <c r="F172" i="10"/>
  <c r="B172" i="10" s="1"/>
  <c r="A172" i="10"/>
  <c r="F180" i="10"/>
  <c r="B180" i="10" s="1"/>
  <c r="A180" i="10"/>
  <c r="F188" i="10"/>
  <c r="B188" i="10" s="1"/>
  <c r="A188" i="10"/>
  <c r="C195" i="10"/>
  <c r="G195" i="10"/>
  <c r="C201" i="10"/>
  <c r="G201" i="10"/>
  <c r="F201" i="10"/>
  <c r="B201" i="10" s="1"/>
  <c r="A201" i="10"/>
  <c r="C209" i="10"/>
  <c r="G209" i="10"/>
  <c r="F209" i="10"/>
  <c r="B209" i="10" s="1"/>
  <c r="A209" i="10"/>
  <c r="C217" i="10"/>
  <c r="G217" i="10"/>
  <c r="F217" i="10"/>
  <c r="B217" i="10" s="1"/>
  <c r="A217" i="10"/>
  <c r="C225" i="10"/>
  <c r="G225" i="10"/>
  <c r="F225" i="10"/>
  <c r="B225" i="10" s="1"/>
  <c r="A225" i="10"/>
  <c r="C233" i="10"/>
  <c r="G233" i="10"/>
  <c r="F233" i="10"/>
  <c r="B233" i="10" s="1"/>
  <c r="A233" i="10"/>
  <c r="C241" i="10"/>
  <c r="G241" i="10"/>
  <c r="F241" i="10"/>
  <c r="B241" i="10" s="1"/>
  <c r="A241" i="10"/>
  <c r="C253" i="10"/>
  <c r="G253" i="10"/>
  <c r="F253" i="10"/>
  <c r="B253" i="10" s="1"/>
  <c r="A253" i="10"/>
  <c r="C261" i="10"/>
  <c r="G261" i="10"/>
  <c r="F261" i="10"/>
  <c r="B261" i="10" s="1"/>
  <c r="A261" i="10"/>
  <c r="C269" i="10"/>
  <c r="G269" i="10"/>
  <c r="F269" i="10"/>
  <c r="B269" i="10" s="1"/>
  <c r="A269" i="10"/>
  <c r="C277" i="10"/>
  <c r="G277" i="10"/>
  <c r="F277" i="10"/>
  <c r="B277" i="10" s="1"/>
  <c r="A277" i="10"/>
  <c r="C285" i="10"/>
  <c r="G285" i="10"/>
  <c r="F285" i="10"/>
  <c r="B285" i="10" s="1"/>
  <c r="A285" i="10"/>
  <c r="C293" i="10"/>
  <c r="G293" i="10"/>
  <c r="F293" i="10"/>
  <c r="B293" i="10" s="1"/>
  <c r="A293" i="10"/>
  <c r="C301" i="10"/>
  <c r="G301" i="10"/>
  <c r="F301" i="10"/>
  <c r="B301" i="10" s="1"/>
  <c r="A301" i="10"/>
  <c r="C320" i="10"/>
  <c r="G320" i="10"/>
  <c r="A320" i="10"/>
  <c r="F320" i="10"/>
  <c r="B320" i="10" s="1"/>
  <c r="F327" i="10"/>
  <c r="B327" i="10" s="1"/>
  <c r="A327" i="10"/>
  <c r="C327" i="10"/>
  <c r="G327" i="10"/>
  <c r="C352" i="10"/>
  <c r="G352" i="10"/>
  <c r="A352" i="10"/>
  <c r="F352" i="10"/>
  <c r="B352" i="10" s="1"/>
  <c r="C360" i="10"/>
  <c r="F360" i="10"/>
  <c r="B360" i="10" s="1"/>
  <c r="A360" i="10"/>
  <c r="G360" i="10"/>
  <c r="C390" i="10"/>
  <c r="G390" i="10"/>
  <c r="F390" i="10"/>
  <c r="B390" i="10" s="1"/>
  <c r="A390" i="10"/>
  <c r="F117" i="10"/>
  <c r="B117" i="10" s="1"/>
  <c r="F118" i="10"/>
  <c r="B118" i="10" s="1"/>
  <c r="A118" i="10"/>
  <c r="G124" i="10"/>
  <c r="F125" i="10"/>
  <c r="B125" i="10" s="1"/>
  <c r="F126" i="10"/>
  <c r="B126" i="10" s="1"/>
  <c r="A126" i="10"/>
  <c r="G132" i="10"/>
  <c r="F133" i="10"/>
  <c r="B133" i="10" s="1"/>
  <c r="F134" i="10"/>
  <c r="B134" i="10" s="1"/>
  <c r="A134" i="10"/>
  <c r="G140" i="10"/>
  <c r="F141" i="10"/>
  <c r="B141" i="10" s="1"/>
  <c r="F142" i="10"/>
  <c r="B142" i="10" s="1"/>
  <c r="A142" i="10"/>
  <c r="G148" i="10"/>
  <c r="F149" i="10"/>
  <c r="B149" i="10" s="1"/>
  <c r="F150" i="10"/>
  <c r="B150" i="10" s="1"/>
  <c r="A150" i="10"/>
  <c r="G156" i="10"/>
  <c r="F157" i="10"/>
  <c r="B157" i="10" s="1"/>
  <c r="F158" i="10"/>
  <c r="B158" i="10" s="1"/>
  <c r="A158" i="10"/>
  <c r="G164" i="10"/>
  <c r="F165" i="10"/>
  <c r="B165" i="10" s="1"/>
  <c r="F166" i="10"/>
  <c r="B166" i="10" s="1"/>
  <c r="A166" i="10"/>
  <c r="G172" i="10"/>
  <c r="F173" i="10"/>
  <c r="B173" i="10" s="1"/>
  <c r="F174" i="10"/>
  <c r="B174" i="10" s="1"/>
  <c r="A174" i="10"/>
  <c r="G180" i="10"/>
  <c r="F181" i="10"/>
  <c r="B181" i="10" s="1"/>
  <c r="F182" i="10"/>
  <c r="B182" i="10" s="1"/>
  <c r="A182" i="10"/>
  <c r="G188" i="10"/>
  <c r="F189" i="10"/>
  <c r="B189" i="10" s="1"/>
  <c r="F190" i="10"/>
  <c r="B190" i="10" s="1"/>
  <c r="A190" i="10"/>
  <c r="C193" i="10"/>
  <c r="G193" i="10"/>
  <c r="F195" i="10"/>
  <c r="B195" i="10" s="1"/>
  <c r="C203" i="10"/>
  <c r="G203" i="10"/>
  <c r="F203" i="10"/>
  <c r="B203" i="10" s="1"/>
  <c r="A203" i="10"/>
  <c r="C211" i="10"/>
  <c r="G211" i="10"/>
  <c r="F211" i="10"/>
  <c r="B211" i="10" s="1"/>
  <c r="A211" i="10"/>
  <c r="C219" i="10"/>
  <c r="G219" i="10"/>
  <c r="F219" i="10"/>
  <c r="B219" i="10" s="1"/>
  <c r="A219" i="10"/>
  <c r="C227" i="10"/>
  <c r="G227" i="10"/>
  <c r="F227" i="10"/>
  <c r="B227" i="10" s="1"/>
  <c r="A227" i="10"/>
  <c r="C235" i="10"/>
  <c r="G235" i="10"/>
  <c r="F235" i="10"/>
  <c r="B235" i="10" s="1"/>
  <c r="A235" i="10"/>
  <c r="C243" i="10"/>
  <c r="G243" i="10"/>
  <c r="F243" i="10"/>
  <c r="B243" i="10" s="1"/>
  <c r="A243" i="10"/>
  <c r="C251" i="10"/>
  <c r="G251" i="10"/>
  <c r="F251" i="10"/>
  <c r="B251" i="10" s="1"/>
  <c r="A251" i="10"/>
  <c r="C259" i="10"/>
  <c r="G259" i="10"/>
  <c r="F259" i="10"/>
  <c r="B259" i="10" s="1"/>
  <c r="A259" i="10"/>
  <c r="C267" i="10"/>
  <c r="G267" i="10"/>
  <c r="F267" i="10"/>
  <c r="B267" i="10" s="1"/>
  <c r="A267" i="10"/>
  <c r="C275" i="10"/>
  <c r="G275" i="10"/>
  <c r="F275" i="10"/>
  <c r="B275" i="10" s="1"/>
  <c r="A275" i="10"/>
  <c r="C283" i="10"/>
  <c r="G283" i="10"/>
  <c r="F283" i="10"/>
  <c r="B283" i="10" s="1"/>
  <c r="A283" i="10"/>
  <c r="C291" i="10"/>
  <c r="G291" i="10"/>
  <c r="F291" i="10"/>
  <c r="B291" i="10" s="1"/>
  <c r="A291" i="10"/>
  <c r="C299" i="10"/>
  <c r="G299" i="10"/>
  <c r="F299" i="10"/>
  <c r="B299" i="10" s="1"/>
  <c r="A299" i="10"/>
  <c r="C307" i="10"/>
  <c r="G307" i="10"/>
  <c r="F307" i="10"/>
  <c r="B307" i="10" s="1"/>
  <c r="A307" i="10"/>
  <c r="C328" i="10"/>
  <c r="G328" i="10"/>
  <c r="A328" i="10"/>
  <c r="F328" i="10"/>
  <c r="B328" i="10" s="1"/>
  <c r="F335" i="10"/>
  <c r="B335" i="10" s="1"/>
  <c r="A335" i="10"/>
  <c r="C335" i="10"/>
  <c r="G335" i="10"/>
  <c r="C356" i="10"/>
  <c r="F356" i="10"/>
  <c r="B356" i="10" s="1"/>
  <c r="A356" i="10"/>
  <c r="G356" i="10"/>
  <c r="A3" i="10"/>
  <c r="F3" i="10"/>
  <c r="B3" i="10" s="1"/>
  <c r="A5" i="10"/>
  <c r="F5" i="10"/>
  <c r="B5" i="10" s="1"/>
  <c r="A7" i="10"/>
  <c r="F7" i="10"/>
  <c r="B7" i="10" s="1"/>
  <c r="A9" i="10"/>
  <c r="F9" i="10"/>
  <c r="B9" i="10" s="1"/>
  <c r="A11" i="10"/>
  <c r="F11" i="10"/>
  <c r="B11" i="10" s="1"/>
  <c r="A13" i="10"/>
  <c r="F13" i="10"/>
  <c r="B13" i="10" s="1"/>
  <c r="A15" i="10"/>
  <c r="F15" i="10"/>
  <c r="B15" i="10" s="1"/>
  <c r="A17" i="10"/>
  <c r="F17" i="10"/>
  <c r="B17" i="10" s="1"/>
  <c r="A19" i="10"/>
  <c r="F19" i="10"/>
  <c r="B19" i="10" s="1"/>
  <c r="A21" i="10"/>
  <c r="F21" i="10"/>
  <c r="B21" i="10" s="1"/>
  <c r="A23" i="10"/>
  <c r="F23" i="10"/>
  <c r="B23" i="10" s="1"/>
  <c r="A25" i="10"/>
  <c r="F25" i="10"/>
  <c r="B25" i="10" s="1"/>
  <c r="A27" i="10"/>
  <c r="F27" i="10"/>
  <c r="B27" i="10" s="1"/>
  <c r="A29" i="10"/>
  <c r="F29" i="10"/>
  <c r="B29" i="10" s="1"/>
  <c r="A31" i="10"/>
  <c r="F31" i="10"/>
  <c r="B31" i="10" s="1"/>
  <c r="A33" i="10"/>
  <c r="F33" i="10"/>
  <c r="B33" i="10" s="1"/>
  <c r="A35" i="10"/>
  <c r="F35" i="10"/>
  <c r="B35" i="10" s="1"/>
  <c r="A37" i="10"/>
  <c r="F37" i="10"/>
  <c r="B37" i="10" s="1"/>
  <c r="A39" i="10"/>
  <c r="F39" i="10"/>
  <c r="B39" i="10" s="1"/>
  <c r="A41" i="10"/>
  <c r="F41" i="10"/>
  <c r="B41" i="10" s="1"/>
  <c r="A43" i="10"/>
  <c r="F43" i="10"/>
  <c r="B43" i="10" s="1"/>
  <c r="A45" i="10"/>
  <c r="F45" i="10"/>
  <c r="B45" i="10" s="1"/>
  <c r="A47" i="10"/>
  <c r="F47" i="10"/>
  <c r="B47" i="10" s="1"/>
  <c r="A49" i="10"/>
  <c r="F49" i="10"/>
  <c r="B49" i="10" s="1"/>
  <c r="A51" i="10"/>
  <c r="F51" i="10"/>
  <c r="B51" i="10" s="1"/>
  <c r="A53" i="10"/>
  <c r="F53" i="10"/>
  <c r="B53" i="10" s="1"/>
  <c r="A55" i="10"/>
  <c r="F55" i="10"/>
  <c r="B55" i="10" s="1"/>
  <c r="A57" i="10"/>
  <c r="F57" i="10"/>
  <c r="B57" i="10" s="1"/>
  <c r="A59" i="10"/>
  <c r="F59" i="10"/>
  <c r="B59" i="10" s="1"/>
  <c r="A61" i="10"/>
  <c r="F61" i="10"/>
  <c r="B61" i="10" s="1"/>
  <c r="A63" i="10"/>
  <c r="F63" i="10"/>
  <c r="B63" i="10" s="1"/>
  <c r="A65" i="10"/>
  <c r="F65" i="10"/>
  <c r="B65" i="10" s="1"/>
  <c r="A67" i="10"/>
  <c r="F67" i="10"/>
  <c r="B67" i="10" s="1"/>
  <c r="A69" i="10"/>
  <c r="F69" i="10"/>
  <c r="B69" i="10" s="1"/>
  <c r="A71" i="10"/>
  <c r="F71" i="10"/>
  <c r="B71" i="10" s="1"/>
  <c r="A73" i="10"/>
  <c r="F73" i="10"/>
  <c r="B73" i="10" s="1"/>
  <c r="A75" i="10"/>
  <c r="F75" i="10"/>
  <c r="B75" i="10" s="1"/>
  <c r="A77" i="10"/>
  <c r="F77" i="10"/>
  <c r="B77" i="10" s="1"/>
  <c r="A79" i="10"/>
  <c r="F79" i="10"/>
  <c r="B79" i="10" s="1"/>
  <c r="A81" i="10"/>
  <c r="F81" i="10"/>
  <c r="B81" i="10" s="1"/>
  <c r="A83" i="10"/>
  <c r="F83" i="10"/>
  <c r="B83" i="10" s="1"/>
  <c r="A85" i="10"/>
  <c r="F85" i="10"/>
  <c r="B85" i="10" s="1"/>
  <c r="A87" i="10"/>
  <c r="F87" i="10"/>
  <c r="B87" i="10" s="1"/>
  <c r="A89" i="10"/>
  <c r="F89" i="10"/>
  <c r="B89" i="10" s="1"/>
  <c r="A91" i="10"/>
  <c r="F91" i="10"/>
  <c r="B91" i="10" s="1"/>
  <c r="A93" i="10"/>
  <c r="F93" i="10"/>
  <c r="B93" i="10" s="1"/>
  <c r="A95" i="10"/>
  <c r="F95" i="10"/>
  <c r="B95" i="10" s="1"/>
  <c r="A97" i="10"/>
  <c r="F97" i="10"/>
  <c r="B97" i="10" s="1"/>
  <c r="A99" i="10"/>
  <c r="F99" i="10"/>
  <c r="B99" i="10" s="1"/>
  <c r="A101" i="10"/>
  <c r="F101" i="10"/>
  <c r="B101" i="10" s="1"/>
  <c r="A103" i="10"/>
  <c r="F103" i="10"/>
  <c r="B103" i="10" s="1"/>
  <c r="A105" i="10"/>
  <c r="F105" i="10"/>
  <c r="B105" i="10" s="1"/>
  <c r="A107" i="10"/>
  <c r="F107" i="10"/>
  <c r="B107" i="10" s="1"/>
  <c r="A109" i="10"/>
  <c r="F109" i="10"/>
  <c r="B109" i="10" s="1"/>
  <c r="A111" i="10"/>
  <c r="F111" i="10"/>
  <c r="B111" i="10" s="1"/>
  <c r="A113" i="10"/>
  <c r="F113" i="10"/>
  <c r="B113" i="10" s="1"/>
  <c r="A115" i="10"/>
  <c r="F115" i="10"/>
  <c r="B115" i="10" s="1"/>
  <c r="A117" i="10"/>
  <c r="G117" i="10"/>
  <c r="C117" i="10" s="1"/>
  <c r="G118" i="10"/>
  <c r="C118" i="10" s="1"/>
  <c r="F119" i="10"/>
  <c r="B119" i="10" s="1"/>
  <c r="F120" i="10"/>
  <c r="B120" i="10" s="1"/>
  <c r="A120" i="10"/>
  <c r="A125" i="10"/>
  <c r="G125" i="10"/>
  <c r="C125" i="10" s="1"/>
  <c r="G126" i="10"/>
  <c r="C126" i="10" s="1"/>
  <c r="F127" i="10"/>
  <c r="B127" i="10" s="1"/>
  <c r="F128" i="10"/>
  <c r="B128" i="10" s="1"/>
  <c r="A128" i="10"/>
  <c r="A133" i="10"/>
  <c r="G133" i="10"/>
  <c r="C133" i="10" s="1"/>
  <c r="G134" i="10"/>
  <c r="C134" i="10" s="1"/>
  <c r="F135" i="10"/>
  <c r="B135" i="10" s="1"/>
  <c r="F136" i="10"/>
  <c r="B136" i="10" s="1"/>
  <c r="A136" i="10"/>
  <c r="A141" i="10"/>
  <c r="G141" i="10"/>
  <c r="G142" i="10"/>
  <c r="F143" i="10"/>
  <c r="B143" i="10" s="1"/>
  <c r="F144" i="10"/>
  <c r="B144" i="10" s="1"/>
  <c r="A144" i="10"/>
  <c r="A149" i="10"/>
  <c r="G149" i="10"/>
  <c r="G150" i="10"/>
  <c r="F151" i="10"/>
  <c r="B151" i="10" s="1"/>
  <c r="F152" i="10"/>
  <c r="B152" i="10" s="1"/>
  <c r="A152" i="10"/>
  <c r="A157" i="10"/>
  <c r="G157" i="10"/>
  <c r="G158" i="10"/>
  <c r="F159" i="10"/>
  <c r="B159" i="10" s="1"/>
  <c r="F160" i="10"/>
  <c r="B160" i="10" s="1"/>
  <c r="A160" i="10"/>
  <c r="A165" i="10"/>
  <c r="G165" i="10"/>
  <c r="G166" i="10"/>
  <c r="F167" i="10"/>
  <c r="B167" i="10" s="1"/>
  <c r="F168" i="10"/>
  <c r="B168" i="10" s="1"/>
  <c r="A168" i="10"/>
  <c r="A173" i="10"/>
  <c r="G173" i="10"/>
  <c r="G174" i="10"/>
  <c r="F175" i="10"/>
  <c r="B175" i="10" s="1"/>
  <c r="F176" i="10"/>
  <c r="B176" i="10" s="1"/>
  <c r="A176" i="10"/>
  <c r="A181" i="10"/>
  <c r="G181" i="10"/>
  <c r="G182" i="10"/>
  <c r="F183" i="10"/>
  <c r="B183" i="10" s="1"/>
  <c r="F184" i="10"/>
  <c r="B184" i="10" s="1"/>
  <c r="A184" i="10"/>
  <c r="A189" i="10"/>
  <c r="G189" i="10"/>
  <c r="G190" i="10"/>
  <c r="F191" i="10"/>
  <c r="B191" i="10" s="1"/>
  <c r="F192" i="10"/>
  <c r="B192" i="10" s="1"/>
  <c r="A192" i="10"/>
  <c r="F193" i="10"/>
  <c r="B193" i="10" s="1"/>
  <c r="C197" i="10"/>
  <c r="G197" i="10"/>
  <c r="F197" i="10"/>
  <c r="B197" i="10" s="1"/>
  <c r="A197" i="10"/>
  <c r="C205" i="10"/>
  <c r="G205" i="10"/>
  <c r="F205" i="10"/>
  <c r="B205" i="10" s="1"/>
  <c r="A205" i="10"/>
  <c r="C213" i="10"/>
  <c r="G213" i="10"/>
  <c r="F213" i="10"/>
  <c r="B213" i="10" s="1"/>
  <c r="A213" i="10"/>
  <c r="C221" i="10"/>
  <c r="G221" i="10"/>
  <c r="F221" i="10"/>
  <c r="B221" i="10" s="1"/>
  <c r="A221" i="10"/>
  <c r="C229" i="10"/>
  <c r="G229" i="10"/>
  <c r="F229" i="10"/>
  <c r="B229" i="10" s="1"/>
  <c r="A229" i="10"/>
  <c r="C237" i="10"/>
  <c r="G237" i="10"/>
  <c r="F237" i="10"/>
  <c r="B237" i="10" s="1"/>
  <c r="A237" i="10"/>
  <c r="C245" i="10"/>
  <c r="G245" i="10"/>
  <c r="F245" i="10"/>
  <c r="B245" i="10" s="1"/>
  <c r="A245" i="10"/>
  <c r="C249" i="10"/>
  <c r="G249" i="10"/>
  <c r="F249" i="10"/>
  <c r="B249" i="10" s="1"/>
  <c r="A249" i="10"/>
  <c r="C257" i="10"/>
  <c r="G257" i="10"/>
  <c r="F257" i="10"/>
  <c r="B257" i="10" s="1"/>
  <c r="A257" i="10"/>
  <c r="C265" i="10"/>
  <c r="G265" i="10"/>
  <c r="F265" i="10"/>
  <c r="B265" i="10" s="1"/>
  <c r="A265" i="10"/>
  <c r="C273" i="10"/>
  <c r="G273" i="10"/>
  <c r="F273" i="10"/>
  <c r="B273" i="10" s="1"/>
  <c r="A273" i="10"/>
  <c r="C281" i="10"/>
  <c r="G281" i="10"/>
  <c r="F281" i="10"/>
  <c r="B281" i="10" s="1"/>
  <c r="A281" i="10"/>
  <c r="C289" i="10"/>
  <c r="G289" i="10"/>
  <c r="F289" i="10"/>
  <c r="B289" i="10" s="1"/>
  <c r="A289" i="10"/>
  <c r="C297" i="10"/>
  <c r="G297" i="10"/>
  <c r="F297" i="10"/>
  <c r="B297" i="10" s="1"/>
  <c r="A297" i="10"/>
  <c r="C305" i="10"/>
  <c r="G305" i="10"/>
  <c r="F305" i="10"/>
  <c r="B305" i="10" s="1"/>
  <c r="A305" i="10"/>
  <c r="F311" i="10"/>
  <c r="B311" i="10" s="1"/>
  <c r="A311" i="10"/>
  <c r="C311" i="10"/>
  <c r="G311" i="10"/>
  <c r="C336" i="10"/>
  <c r="G336" i="10"/>
  <c r="A336" i="10"/>
  <c r="F336" i="10"/>
  <c r="B336" i="10" s="1"/>
  <c r="F343" i="10"/>
  <c r="B343" i="10" s="1"/>
  <c r="A343" i="10"/>
  <c r="C343" i="10"/>
  <c r="G343" i="10"/>
  <c r="C398" i="10"/>
  <c r="G398" i="10"/>
  <c r="F398" i="10"/>
  <c r="B398" i="10" s="1"/>
  <c r="A398" i="10"/>
  <c r="A119" i="10"/>
  <c r="G119" i="10"/>
  <c r="C119" i="10" s="1"/>
  <c r="G120" i="10"/>
  <c r="C120" i="10" s="1"/>
  <c r="F122" i="10"/>
  <c r="B122" i="10" s="1"/>
  <c r="A122" i="10"/>
  <c r="C124" i="10"/>
  <c r="A127" i="10"/>
  <c r="G127" i="10"/>
  <c r="C127" i="10" s="1"/>
  <c r="G128" i="10"/>
  <c r="C128" i="10" s="1"/>
  <c r="F129" i="10"/>
  <c r="B129" i="10" s="1"/>
  <c r="F130" i="10"/>
  <c r="B130" i="10" s="1"/>
  <c r="A130" i="10"/>
  <c r="C132" i="10"/>
  <c r="A135" i="10"/>
  <c r="G135" i="10"/>
  <c r="C135" i="10" s="1"/>
  <c r="G136" i="10"/>
  <c r="C136" i="10" s="1"/>
  <c r="F137" i="10"/>
  <c r="B137" i="10" s="1"/>
  <c r="F138" i="10"/>
  <c r="B138" i="10" s="1"/>
  <c r="A138" i="10"/>
  <c r="C140" i="10"/>
  <c r="A143" i="10"/>
  <c r="G143" i="10"/>
  <c r="G144" i="10"/>
  <c r="F145" i="10"/>
  <c r="B145" i="10" s="1"/>
  <c r="F146" i="10"/>
  <c r="B146" i="10" s="1"/>
  <c r="A146" i="10"/>
  <c r="C148" i="10"/>
  <c r="A151" i="10"/>
  <c r="G151" i="10"/>
  <c r="G152" i="10"/>
  <c r="F153" i="10"/>
  <c r="B153" i="10" s="1"/>
  <c r="F154" i="10"/>
  <c r="B154" i="10" s="1"/>
  <c r="A154" i="10"/>
  <c r="C156" i="10"/>
  <c r="A159" i="10"/>
  <c r="G159" i="10"/>
  <c r="G160" i="10"/>
  <c r="F161" i="10"/>
  <c r="B161" i="10" s="1"/>
  <c r="F162" i="10"/>
  <c r="B162" i="10" s="1"/>
  <c r="A162" i="10"/>
  <c r="C164" i="10"/>
  <c r="A167" i="10"/>
  <c r="G167" i="10"/>
  <c r="G168" i="10"/>
  <c r="F169" i="10"/>
  <c r="B169" i="10" s="1"/>
  <c r="F170" i="10"/>
  <c r="B170" i="10" s="1"/>
  <c r="A170" i="10"/>
  <c r="C172" i="10"/>
  <c r="A175" i="10"/>
  <c r="G175" i="10"/>
  <c r="G176" i="10"/>
  <c r="F177" i="10"/>
  <c r="B177" i="10" s="1"/>
  <c r="F178" i="10"/>
  <c r="B178" i="10" s="1"/>
  <c r="A178" i="10"/>
  <c r="C180" i="10"/>
  <c r="A183" i="10"/>
  <c r="G183" i="10"/>
  <c r="G184" i="10"/>
  <c r="F185" i="10"/>
  <c r="B185" i="10" s="1"/>
  <c r="F186" i="10"/>
  <c r="B186" i="10" s="1"/>
  <c r="A186" i="10"/>
  <c r="C188" i="10"/>
  <c r="A191" i="10"/>
  <c r="G191" i="10"/>
  <c r="G192" i="10"/>
  <c r="A195" i="10"/>
  <c r="C199" i="10"/>
  <c r="G199" i="10"/>
  <c r="F199" i="10"/>
  <c r="B199" i="10" s="1"/>
  <c r="A199" i="10"/>
  <c r="C207" i="10"/>
  <c r="G207" i="10"/>
  <c r="F207" i="10"/>
  <c r="B207" i="10" s="1"/>
  <c r="A207" i="10"/>
  <c r="C215" i="10"/>
  <c r="G215" i="10"/>
  <c r="F215" i="10"/>
  <c r="B215" i="10" s="1"/>
  <c r="A215" i="10"/>
  <c r="C223" i="10"/>
  <c r="G223" i="10"/>
  <c r="F223" i="10"/>
  <c r="B223" i="10" s="1"/>
  <c r="A223" i="10"/>
  <c r="C231" i="10"/>
  <c r="G231" i="10"/>
  <c r="F231" i="10"/>
  <c r="B231" i="10" s="1"/>
  <c r="A231" i="10"/>
  <c r="C239" i="10"/>
  <c r="G239" i="10"/>
  <c r="F239" i="10"/>
  <c r="B239" i="10" s="1"/>
  <c r="A239" i="10"/>
  <c r="C247" i="10"/>
  <c r="G247" i="10"/>
  <c r="F247" i="10"/>
  <c r="B247" i="10" s="1"/>
  <c r="A247" i="10"/>
  <c r="C255" i="10"/>
  <c r="G255" i="10"/>
  <c r="F255" i="10"/>
  <c r="B255" i="10" s="1"/>
  <c r="A255" i="10"/>
  <c r="C263" i="10"/>
  <c r="G263" i="10"/>
  <c r="F263" i="10"/>
  <c r="B263" i="10" s="1"/>
  <c r="A263" i="10"/>
  <c r="C271" i="10"/>
  <c r="G271" i="10"/>
  <c r="F271" i="10"/>
  <c r="B271" i="10" s="1"/>
  <c r="A271" i="10"/>
  <c r="C279" i="10"/>
  <c r="G279" i="10"/>
  <c r="F279" i="10"/>
  <c r="B279" i="10" s="1"/>
  <c r="A279" i="10"/>
  <c r="C287" i="10"/>
  <c r="G287" i="10"/>
  <c r="F287" i="10"/>
  <c r="B287" i="10" s="1"/>
  <c r="A287" i="10"/>
  <c r="C295" i="10"/>
  <c r="G295" i="10"/>
  <c r="F295" i="10"/>
  <c r="B295" i="10" s="1"/>
  <c r="A295" i="10"/>
  <c r="C303" i="10"/>
  <c r="G303" i="10"/>
  <c r="F303" i="10"/>
  <c r="B303" i="10" s="1"/>
  <c r="A303" i="10"/>
  <c r="C312" i="10"/>
  <c r="G312" i="10"/>
  <c r="A312" i="10"/>
  <c r="F312" i="10"/>
  <c r="B312" i="10" s="1"/>
  <c r="F319" i="10"/>
  <c r="B319" i="10" s="1"/>
  <c r="A319" i="10"/>
  <c r="C319" i="10"/>
  <c r="G319" i="10"/>
  <c r="C344" i="10"/>
  <c r="G344" i="10"/>
  <c r="A344" i="10"/>
  <c r="F344" i="10"/>
  <c r="B344" i="10" s="1"/>
  <c r="F351" i="10"/>
  <c r="B351" i="10" s="1"/>
  <c r="A351" i="10"/>
  <c r="C351" i="10"/>
  <c r="G351" i="10"/>
  <c r="C364" i="10"/>
  <c r="F364" i="10"/>
  <c r="B364" i="10" s="1"/>
  <c r="A364" i="10"/>
  <c r="G364" i="10"/>
  <c r="F313" i="10"/>
  <c r="B313" i="10" s="1"/>
  <c r="A313" i="10"/>
  <c r="F321" i="10"/>
  <c r="B321" i="10" s="1"/>
  <c r="A321" i="10"/>
  <c r="F329" i="10"/>
  <c r="B329" i="10" s="1"/>
  <c r="A329" i="10"/>
  <c r="F337" i="10"/>
  <c r="B337" i="10" s="1"/>
  <c r="A337" i="10"/>
  <c r="F345" i="10"/>
  <c r="B345" i="10" s="1"/>
  <c r="A345" i="10"/>
  <c r="F353" i="10"/>
  <c r="B353" i="10" s="1"/>
  <c r="A353" i="10"/>
  <c r="F355" i="10"/>
  <c r="B355" i="10" s="1"/>
  <c r="A355" i="10"/>
  <c r="C355" i="10"/>
  <c r="F359" i="10"/>
  <c r="B359" i="10" s="1"/>
  <c r="A359" i="10"/>
  <c r="C359" i="10"/>
  <c r="F363" i="10"/>
  <c r="B363" i="10" s="1"/>
  <c r="A363" i="10"/>
  <c r="C363" i="10"/>
  <c r="C392" i="10"/>
  <c r="G392" i="10"/>
  <c r="F392" i="10"/>
  <c r="B392" i="10" s="1"/>
  <c r="A392" i="10"/>
  <c r="C400" i="10"/>
  <c r="G400" i="10"/>
  <c r="F400" i="10"/>
  <c r="B400" i="10" s="1"/>
  <c r="A400" i="10"/>
  <c r="F417" i="10"/>
  <c r="B417" i="10" s="1"/>
  <c r="A417" i="10"/>
  <c r="C417" i="10"/>
  <c r="G417" i="10"/>
  <c r="F425" i="10"/>
  <c r="B425" i="10" s="1"/>
  <c r="A425" i="10"/>
  <c r="C425" i="10"/>
  <c r="G425" i="10"/>
  <c r="F433" i="10"/>
  <c r="B433" i="10" s="1"/>
  <c r="A433" i="10"/>
  <c r="C433" i="10"/>
  <c r="G433" i="10"/>
  <c r="G313" i="10"/>
  <c r="F314" i="10"/>
  <c r="B314" i="10" s="1"/>
  <c r="F315" i="10"/>
  <c r="B315" i="10" s="1"/>
  <c r="A315" i="10"/>
  <c r="G321" i="10"/>
  <c r="F322" i="10"/>
  <c r="B322" i="10" s="1"/>
  <c r="F323" i="10"/>
  <c r="B323" i="10" s="1"/>
  <c r="A323" i="10"/>
  <c r="G329" i="10"/>
  <c r="F330" i="10"/>
  <c r="B330" i="10" s="1"/>
  <c r="F331" i="10"/>
  <c r="B331" i="10" s="1"/>
  <c r="A331" i="10"/>
  <c r="G337" i="10"/>
  <c r="F338" i="10"/>
  <c r="B338" i="10" s="1"/>
  <c r="F339" i="10"/>
  <c r="B339" i="10" s="1"/>
  <c r="A339" i="10"/>
  <c r="G345" i="10"/>
  <c r="F346" i="10"/>
  <c r="B346" i="10" s="1"/>
  <c r="F347" i="10"/>
  <c r="B347" i="10" s="1"/>
  <c r="A347" i="10"/>
  <c r="G353" i="10"/>
  <c r="F354" i="10"/>
  <c r="B354" i="10" s="1"/>
  <c r="G355" i="10"/>
  <c r="C358" i="10"/>
  <c r="F358" i="10"/>
  <c r="B358" i="10" s="1"/>
  <c r="A358" i="10"/>
  <c r="G359" i="10"/>
  <c r="C362" i="10"/>
  <c r="F362" i="10"/>
  <c r="B362" i="10" s="1"/>
  <c r="A362" i="10"/>
  <c r="G363" i="10"/>
  <c r="C366" i="10"/>
  <c r="F366" i="10"/>
  <c r="B366" i="10" s="1"/>
  <c r="A366" i="10"/>
  <c r="C394" i="10"/>
  <c r="G394" i="10"/>
  <c r="F394" i="10"/>
  <c r="B394" i="10" s="1"/>
  <c r="A394" i="10"/>
  <c r="C402" i="10"/>
  <c r="G402" i="10"/>
  <c r="F402" i="10"/>
  <c r="B402" i="10" s="1"/>
  <c r="A402" i="10"/>
  <c r="A194" i="10"/>
  <c r="A196" i="10"/>
  <c r="A198" i="10"/>
  <c r="A200" i="10"/>
  <c r="A202" i="10"/>
  <c r="A204" i="10"/>
  <c r="A206" i="10"/>
  <c r="A208" i="10"/>
  <c r="A210" i="10"/>
  <c r="A212" i="10"/>
  <c r="A214" i="10"/>
  <c r="A216" i="10"/>
  <c r="A218" i="10"/>
  <c r="A220" i="10"/>
  <c r="A222" i="10"/>
  <c r="A224" i="10"/>
  <c r="A226" i="10"/>
  <c r="A228" i="10"/>
  <c r="A230" i="10"/>
  <c r="A232" i="10"/>
  <c r="A234" i="10"/>
  <c r="A236" i="10"/>
  <c r="A238" i="10"/>
  <c r="A240" i="10"/>
  <c r="A242" i="10"/>
  <c r="A244" i="10"/>
  <c r="A246" i="10"/>
  <c r="F309" i="10"/>
  <c r="B309" i="10" s="1"/>
  <c r="A309" i="10"/>
  <c r="A314" i="10"/>
  <c r="G314" i="10"/>
  <c r="F317" i="10"/>
  <c r="B317" i="10" s="1"/>
  <c r="A317" i="10"/>
  <c r="A322" i="10"/>
  <c r="G322" i="10"/>
  <c r="F325" i="10"/>
  <c r="B325" i="10" s="1"/>
  <c r="A325" i="10"/>
  <c r="A330" i="10"/>
  <c r="G330" i="10"/>
  <c r="F333" i="10"/>
  <c r="B333" i="10" s="1"/>
  <c r="A333" i="10"/>
  <c r="A338" i="10"/>
  <c r="G338" i="10"/>
  <c r="F341" i="10"/>
  <c r="B341" i="10" s="1"/>
  <c r="A341" i="10"/>
  <c r="A346" i="10"/>
  <c r="G346" i="10"/>
  <c r="F349" i="10"/>
  <c r="B349" i="10" s="1"/>
  <c r="A349" i="10"/>
  <c r="F357" i="10"/>
  <c r="B357" i="10" s="1"/>
  <c r="A357" i="10"/>
  <c r="C357" i="10"/>
  <c r="F361" i="10"/>
  <c r="B361" i="10" s="1"/>
  <c r="A361" i="10"/>
  <c r="C361" i="10"/>
  <c r="F365" i="10"/>
  <c r="B365" i="10" s="1"/>
  <c r="A365" i="10"/>
  <c r="C365" i="10"/>
  <c r="C368" i="10"/>
  <c r="G368" i="10"/>
  <c r="F368" i="10"/>
  <c r="B368" i="10" s="1"/>
  <c r="A368" i="10"/>
  <c r="C370" i="10"/>
  <c r="G370" i="10"/>
  <c r="F370" i="10"/>
  <c r="B370" i="10" s="1"/>
  <c r="A370" i="10"/>
  <c r="C372" i="10"/>
  <c r="G372" i="10"/>
  <c r="F372" i="10"/>
  <c r="B372" i="10" s="1"/>
  <c r="A372" i="10"/>
  <c r="C374" i="10"/>
  <c r="G374" i="10"/>
  <c r="F374" i="10"/>
  <c r="B374" i="10" s="1"/>
  <c r="A374" i="10"/>
  <c r="C376" i="10"/>
  <c r="G376" i="10"/>
  <c r="F376" i="10"/>
  <c r="B376" i="10" s="1"/>
  <c r="A376" i="10"/>
  <c r="C378" i="10"/>
  <c r="G378" i="10"/>
  <c r="F378" i="10"/>
  <c r="B378" i="10" s="1"/>
  <c r="A378" i="10"/>
  <c r="C380" i="10"/>
  <c r="G380" i="10"/>
  <c r="F380" i="10"/>
  <c r="B380" i="10" s="1"/>
  <c r="A380" i="10"/>
  <c r="C382" i="10"/>
  <c r="G382" i="10"/>
  <c r="F382" i="10"/>
  <c r="B382" i="10" s="1"/>
  <c r="A382" i="10"/>
  <c r="C384" i="10"/>
  <c r="G384" i="10"/>
  <c r="F384" i="10"/>
  <c r="B384" i="10" s="1"/>
  <c r="A384" i="10"/>
  <c r="C386" i="10"/>
  <c r="G386" i="10"/>
  <c r="F386" i="10"/>
  <c r="B386" i="10" s="1"/>
  <c r="A386" i="10"/>
  <c r="C388" i="10"/>
  <c r="G388" i="10"/>
  <c r="F388" i="10"/>
  <c r="B388" i="10" s="1"/>
  <c r="A388" i="10"/>
  <c r="C396" i="10"/>
  <c r="G396" i="10"/>
  <c r="F396" i="10"/>
  <c r="B396" i="10" s="1"/>
  <c r="A396" i="10"/>
  <c r="C404" i="10"/>
  <c r="G404" i="10"/>
  <c r="F404" i="10"/>
  <c r="B404" i="10" s="1"/>
  <c r="A404" i="10"/>
  <c r="F413" i="10"/>
  <c r="B413" i="10" s="1"/>
  <c r="A413" i="10"/>
  <c r="C413" i="10"/>
  <c r="G413" i="10"/>
  <c r="F421" i="10"/>
  <c r="B421" i="10" s="1"/>
  <c r="A421" i="10"/>
  <c r="C421" i="10"/>
  <c r="G421" i="10"/>
  <c r="F429" i="10"/>
  <c r="B429" i="10" s="1"/>
  <c r="A429" i="10"/>
  <c r="C429" i="10"/>
  <c r="G429" i="10"/>
  <c r="C367" i="10"/>
  <c r="C369" i="10"/>
  <c r="C371" i="10"/>
  <c r="C373" i="10"/>
  <c r="C375" i="10"/>
  <c r="C377" i="10"/>
  <c r="C379" i="10"/>
  <c r="C381" i="10"/>
  <c r="C383" i="10"/>
  <c r="C385" i="10"/>
  <c r="C387" i="10"/>
  <c r="F405" i="10"/>
  <c r="B405" i="10" s="1"/>
  <c r="A405" i="10"/>
  <c r="C412" i="10"/>
  <c r="F412" i="10"/>
  <c r="B412" i="10" s="1"/>
  <c r="A412" i="10"/>
  <c r="C416" i="10"/>
  <c r="F416" i="10"/>
  <c r="B416" i="10" s="1"/>
  <c r="A416" i="10"/>
  <c r="C420" i="10"/>
  <c r="F420" i="10"/>
  <c r="B420" i="10" s="1"/>
  <c r="A420" i="10"/>
  <c r="C424" i="10"/>
  <c r="F424" i="10"/>
  <c r="B424" i="10" s="1"/>
  <c r="A424" i="10"/>
  <c r="C428" i="10"/>
  <c r="F428" i="10"/>
  <c r="B428" i="10" s="1"/>
  <c r="A428" i="10"/>
  <c r="C432" i="10"/>
  <c r="F432" i="10"/>
  <c r="B432" i="10" s="1"/>
  <c r="A432" i="10"/>
  <c r="C436" i="10"/>
  <c r="F436" i="10"/>
  <c r="B436" i="10" s="1"/>
  <c r="A436" i="10"/>
  <c r="G405" i="10"/>
  <c r="F406" i="10"/>
  <c r="B406" i="10" s="1"/>
  <c r="F407" i="10"/>
  <c r="B407" i="10" s="1"/>
  <c r="A407" i="10"/>
  <c r="F411" i="10"/>
  <c r="B411" i="10" s="1"/>
  <c r="A411" i="10"/>
  <c r="C411" i="10"/>
  <c r="G412" i="10"/>
  <c r="F415" i="10"/>
  <c r="B415" i="10" s="1"/>
  <c r="A415" i="10"/>
  <c r="C415" i="10"/>
  <c r="G416" i="10"/>
  <c r="F419" i="10"/>
  <c r="B419" i="10" s="1"/>
  <c r="A419" i="10"/>
  <c r="C419" i="10"/>
  <c r="G420" i="10"/>
  <c r="F423" i="10"/>
  <c r="B423" i="10" s="1"/>
  <c r="A423" i="10"/>
  <c r="C423" i="10"/>
  <c r="G424" i="10"/>
  <c r="F427" i="10"/>
  <c r="B427" i="10" s="1"/>
  <c r="A427" i="10"/>
  <c r="C427" i="10"/>
  <c r="G428" i="10"/>
  <c r="F431" i="10"/>
  <c r="B431" i="10" s="1"/>
  <c r="A431" i="10"/>
  <c r="C431" i="10"/>
  <c r="G432" i="10"/>
  <c r="F435" i="10"/>
  <c r="B435" i="10" s="1"/>
  <c r="A435" i="10"/>
  <c r="C435" i="10"/>
  <c r="G436" i="10"/>
  <c r="C438" i="10"/>
  <c r="G438" i="10"/>
  <c r="F438" i="10"/>
  <c r="B438" i="10" s="1"/>
  <c r="A438" i="10"/>
  <c r="C440" i="10"/>
  <c r="G440" i="10"/>
  <c r="F440" i="10"/>
  <c r="B440" i="10" s="1"/>
  <c r="A440" i="10"/>
  <c r="C442" i="10"/>
  <c r="G442" i="10"/>
  <c r="F442" i="10"/>
  <c r="B442" i="10" s="1"/>
  <c r="A442" i="10"/>
  <c r="F444" i="10"/>
  <c r="B444" i="10" s="1"/>
  <c r="C444" i="10"/>
  <c r="G444" i="10"/>
  <c r="A444" i="10"/>
  <c r="F452" i="10"/>
  <c r="B452" i="10" s="1"/>
  <c r="A452" i="10"/>
  <c r="C452" i="10"/>
  <c r="G452" i="10"/>
  <c r="F460" i="10"/>
  <c r="B460" i="10" s="1"/>
  <c r="A460" i="10"/>
  <c r="C460" i="10"/>
  <c r="G460" i="10"/>
  <c r="F468" i="10"/>
  <c r="B468" i="10" s="1"/>
  <c r="A468" i="10"/>
  <c r="C468" i="10"/>
  <c r="G468" i="10"/>
  <c r="F476" i="10"/>
  <c r="B476" i="10" s="1"/>
  <c r="A476" i="10"/>
  <c r="C476" i="10"/>
  <c r="G476" i="10"/>
  <c r="A367" i="10"/>
  <c r="A369" i="10"/>
  <c r="A371" i="10"/>
  <c r="A373" i="10"/>
  <c r="A375" i="10"/>
  <c r="A377" i="10"/>
  <c r="A379" i="10"/>
  <c r="A381" i="10"/>
  <c r="A383" i="10"/>
  <c r="A385" i="10"/>
  <c r="A387" i="10"/>
  <c r="A389" i="10"/>
  <c r="A391" i="10"/>
  <c r="A393" i="10"/>
  <c r="A395" i="10"/>
  <c r="A397" i="10"/>
  <c r="A399" i="10"/>
  <c r="A401" i="10"/>
  <c r="A403" i="10"/>
  <c r="A406" i="10"/>
  <c r="G406" i="10"/>
  <c r="G407" i="10"/>
  <c r="F408" i="10"/>
  <c r="B408" i="10" s="1"/>
  <c r="F409" i="10"/>
  <c r="B409" i="10" s="1"/>
  <c r="A409" i="10"/>
  <c r="C410" i="10"/>
  <c r="F410" i="10"/>
  <c r="B410" i="10" s="1"/>
  <c r="G411" i="10"/>
  <c r="C414" i="10"/>
  <c r="F414" i="10"/>
  <c r="B414" i="10" s="1"/>
  <c r="A414" i="10"/>
  <c r="G415" i="10"/>
  <c r="C418" i="10"/>
  <c r="F418" i="10"/>
  <c r="B418" i="10" s="1"/>
  <c r="A418" i="10"/>
  <c r="G419" i="10"/>
  <c r="C422" i="10"/>
  <c r="F422" i="10"/>
  <c r="B422" i="10" s="1"/>
  <c r="A422" i="10"/>
  <c r="G423" i="10"/>
  <c r="C426" i="10"/>
  <c r="F426" i="10"/>
  <c r="B426" i="10" s="1"/>
  <c r="A426" i="10"/>
  <c r="G427" i="10"/>
  <c r="C430" i="10"/>
  <c r="F430" i="10"/>
  <c r="B430" i="10" s="1"/>
  <c r="A430" i="10"/>
  <c r="G431" i="10"/>
  <c r="C434" i="10"/>
  <c r="F434" i="10"/>
  <c r="B434" i="10" s="1"/>
  <c r="A434" i="10"/>
  <c r="G435" i="10"/>
  <c r="C445" i="10"/>
  <c r="G445" i="10"/>
  <c r="A445" i="10"/>
  <c r="F445" i="10"/>
  <c r="B445" i="10" s="1"/>
  <c r="C453" i="10"/>
  <c r="G453" i="10"/>
  <c r="A453" i="10"/>
  <c r="F453" i="10"/>
  <c r="B453" i="10" s="1"/>
  <c r="C461" i="10"/>
  <c r="G461" i="10"/>
  <c r="A461" i="10"/>
  <c r="F461" i="10"/>
  <c r="B461" i="10" s="1"/>
  <c r="C469" i="10"/>
  <c r="G469" i="10"/>
  <c r="A469" i="10"/>
  <c r="F469" i="10"/>
  <c r="B469" i="10" s="1"/>
  <c r="C477" i="10"/>
  <c r="G477" i="10"/>
  <c r="A477" i="10"/>
  <c r="F477" i="10"/>
  <c r="B477" i="10" s="1"/>
  <c r="G480" i="10"/>
  <c r="F480" i="10"/>
  <c r="B480" i="10" s="1"/>
  <c r="A480" i="10"/>
  <c r="C480" i="10"/>
  <c r="C437" i="10"/>
  <c r="C439" i="10"/>
  <c r="C441" i="10"/>
  <c r="C443" i="10"/>
  <c r="F446" i="10"/>
  <c r="B446" i="10" s="1"/>
  <c r="A446" i="10"/>
  <c r="A451" i="10"/>
  <c r="G451" i="10"/>
  <c r="F454" i="10"/>
  <c r="B454" i="10" s="1"/>
  <c r="A454" i="10"/>
  <c r="A459" i="10"/>
  <c r="G459" i="10"/>
  <c r="F462" i="10"/>
  <c r="B462" i="10" s="1"/>
  <c r="A462" i="10"/>
  <c r="A467" i="10"/>
  <c r="G467" i="10"/>
  <c r="F470" i="10"/>
  <c r="B470" i="10" s="1"/>
  <c r="A470" i="10"/>
  <c r="A475" i="10"/>
  <c r="G475" i="10"/>
  <c r="G478" i="10"/>
  <c r="F478" i="10"/>
  <c r="B478" i="10" s="1"/>
  <c r="A478" i="10"/>
  <c r="F448" i="10"/>
  <c r="B448" i="10" s="1"/>
  <c r="A448" i="10"/>
  <c r="F456" i="10"/>
  <c r="B456" i="10" s="1"/>
  <c r="A456" i="10"/>
  <c r="F464" i="10"/>
  <c r="B464" i="10" s="1"/>
  <c r="A464" i="10"/>
  <c r="F472" i="10"/>
  <c r="B472" i="10" s="1"/>
  <c r="A472" i="10"/>
  <c r="G484" i="10"/>
  <c r="F484" i="10"/>
  <c r="B484" i="10" s="1"/>
  <c r="A484" i="10"/>
  <c r="A437" i="10"/>
  <c r="A439" i="10"/>
  <c r="A441" i="10"/>
  <c r="A443" i="10"/>
  <c r="G448" i="10"/>
  <c r="F449" i="10"/>
  <c r="B449" i="10" s="1"/>
  <c r="F450" i="10"/>
  <c r="B450" i="10" s="1"/>
  <c r="A450" i="10"/>
  <c r="G456" i="10"/>
  <c r="F457" i="10"/>
  <c r="B457" i="10" s="1"/>
  <c r="F458" i="10"/>
  <c r="B458" i="10" s="1"/>
  <c r="A458" i="10"/>
  <c r="G464" i="10"/>
  <c r="F465" i="10"/>
  <c r="B465" i="10" s="1"/>
  <c r="F466" i="10"/>
  <c r="B466" i="10" s="1"/>
  <c r="A466" i="10"/>
  <c r="G472" i="10"/>
  <c r="F473" i="10"/>
  <c r="B473" i="10" s="1"/>
  <c r="F474" i="10"/>
  <c r="B474" i="10" s="1"/>
  <c r="A474" i="10"/>
  <c r="G482" i="10"/>
  <c r="F482" i="10"/>
  <c r="B482" i="10" s="1"/>
  <c r="A482" i="10"/>
  <c r="A486" i="10"/>
  <c r="F486" i="10"/>
  <c r="B486" i="10" s="1"/>
  <c r="A488" i="10"/>
  <c r="F488" i="10"/>
  <c r="B488" i="10" s="1"/>
  <c r="A490" i="10"/>
  <c r="F490" i="10"/>
  <c r="B490" i="10" s="1"/>
  <c r="A492" i="10"/>
  <c r="F492" i="10"/>
  <c r="B492" i="10" s="1"/>
  <c r="A494" i="10"/>
  <c r="F494" i="10"/>
  <c r="B494" i="10" s="1"/>
  <c r="A496" i="10"/>
  <c r="F496" i="10"/>
  <c r="B496" i="10" s="1"/>
  <c r="A498" i="10"/>
  <c r="F498" i="10"/>
  <c r="B498" i="10" s="1"/>
  <c r="A500" i="10"/>
  <c r="F500" i="10"/>
  <c r="B500" i="10" s="1"/>
  <c r="C104" i="11"/>
  <c r="G108" i="11"/>
  <c r="C108" i="11" s="1"/>
  <c r="G116" i="11"/>
  <c r="C116" i="11" s="1"/>
  <c r="G124" i="11"/>
  <c r="C124" i="11" s="1"/>
  <c r="G132" i="11"/>
  <c r="C132" i="11" s="1"/>
  <c r="G140" i="11"/>
  <c r="C140" i="11" s="1"/>
  <c r="G110" i="11"/>
  <c r="C110" i="11" s="1"/>
  <c r="G118" i="11"/>
  <c r="C118" i="11" s="1"/>
  <c r="G126" i="11"/>
  <c r="C126" i="11" s="1"/>
  <c r="G134" i="11"/>
  <c r="C134" i="11" s="1"/>
  <c r="G142" i="11"/>
  <c r="C142" i="11"/>
  <c r="G150" i="11"/>
  <c r="C150" i="11"/>
  <c r="A150" i="11"/>
  <c r="G3" i="11"/>
  <c r="C3" i="11" s="1"/>
  <c r="G5" i="11"/>
  <c r="C5" i="11" s="1"/>
  <c r="G7" i="11"/>
  <c r="C7" i="11" s="1"/>
  <c r="G9" i="11"/>
  <c r="C9" i="11" s="1"/>
  <c r="G11" i="11"/>
  <c r="C11" i="11" s="1"/>
  <c r="G13" i="11"/>
  <c r="C13" i="11" s="1"/>
  <c r="G15" i="11"/>
  <c r="C15" i="11" s="1"/>
  <c r="G17" i="11"/>
  <c r="C17" i="11" s="1"/>
  <c r="G19" i="11"/>
  <c r="C19" i="11" s="1"/>
  <c r="G21" i="11"/>
  <c r="C21" i="11" s="1"/>
  <c r="G23" i="11"/>
  <c r="C23" i="11" s="1"/>
  <c r="G25" i="11"/>
  <c r="C25" i="11" s="1"/>
  <c r="G27" i="11"/>
  <c r="C27" i="11" s="1"/>
  <c r="G29" i="11"/>
  <c r="C29" i="11" s="1"/>
  <c r="G31" i="11"/>
  <c r="C31" i="11" s="1"/>
  <c r="G33" i="11"/>
  <c r="C33" i="11" s="1"/>
  <c r="G35" i="11"/>
  <c r="C35" i="11" s="1"/>
  <c r="G37" i="11"/>
  <c r="C37" i="11" s="1"/>
  <c r="G39" i="11"/>
  <c r="C39" i="11" s="1"/>
  <c r="G41" i="11"/>
  <c r="C41" i="11" s="1"/>
  <c r="G43" i="11"/>
  <c r="C43" i="11" s="1"/>
  <c r="G45" i="11"/>
  <c r="C45" i="11" s="1"/>
  <c r="G47" i="11"/>
  <c r="C47" i="11" s="1"/>
  <c r="G49" i="11"/>
  <c r="C49" i="11" s="1"/>
  <c r="G51" i="11"/>
  <c r="C51" i="11" s="1"/>
  <c r="G53" i="11"/>
  <c r="C53" i="11" s="1"/>
  <c r="G55" i="11"/>
  <c r="C55" i="11" s="1"/>
  <c r="G57" i="11"/>
  <c r="C57" i="11" s="1"/>
  <c r="G59" i="11"/>
  <c r="C59" i="11" s="1"/>
  <c r="G61" i="11"/>
  <c r="C61" i="11" s="1"/>
  <c r="G63" i="11"/>
  <c r="C63" i="11" s="1"/>
  <c r="G65" i="11"/>
  <c r="C65" i="11" s="1"/>
  <c r="G67" i="11"/>
  <c r="C67" i="11" s="1"/>
  <c r="G69" i="11"/>
  <c r="C69" i="11" s="1"/>
  <c r="G71" i="11"/>
  <c r="C71" i="11" s="1"/>
  <c r="G73" i="11"/>
  <c r="C73" i="11" s="1"/>
  <c r="G75" i="11"/>
  <c r="C75" i="11" s="1"/>
  <c r="G77" i="11"/>
  <c r="C77" i="11" s="1"/>
  <c r="G79" i="11"/>
  <c r="C79" i="11" s="1"/>
  <c r="G81" i="11"/>
  <c r="C81" i="11" s="1"/>
  <c r="G83" i="11"/>
  <c r="C83" i="11" s="1"/>
  <c r="G85" i="11"/>
  <c r="C85" i="11" s="1"/>
  <c r="G87" i="11"/>
  <c r="C87" i="11" s="1"/>
  <c r="G89" i="11"/>
  <c r="C89" i="11" s="1"/>
  <c r="G91" i="11"/>
  <c r="C91" i="11" s="1"/>
  <c r="G93" i="11"/>
  <c r="C93" i="11" s="1"/>
  <c r="G95" i="11"/>
  <c r="C95" i="11" s="1"/>
  <c r="G97" i="11"/>
  <c r="C97" i="11" s="1"/>
  <c r="G99" i="11"/>
  <c r="C99" i="11" s="1"/>
  <c r="G101" i="11"/>
  <c r="C101" i="11" s="1"/>
  <c r="G103" i="11"/>
  <c r="C103" i="11" s="1"/>
  <c r="F104" i="11"/>
  <c r="B104" i="11" s="1"/>
  <c r="F110" i="11"/>
  <c r="B110" i="11" s="1"/>
  <c r="G112" i="11"/>
  <c r="C112" i="11" s="1"/>
  <c r="F118" i="11"/>
  <c r="B118" i="11" s="1"/>
  <c r="G120" i="11"/>
  <c r="C120" i="11" s="1"/>
  <c r="F126" i="11"/>
  <c r="B126" i="11" s="1"/>
  <c r="G128" i="11"/>
  <c r="C128" i="11" s="1"/>
  <c r="F134" i="11"/>
  <c r="B134" i="11" s="1"/>
  <c r="G136" i="11"/>
  <c r="C136" i="11" s="1"/>
  <c r="F142" i="11"/>
  <c r="B142" i="11" s="1"/>
  <c r="F150" i="11"/>
  <c r="B150" i="11" s="1"/>
  <c r="A4" i="11"/>
  <c r="A6" i="11"/>
  <c r="A8" i="11"/>
  <c r="A10" i="11"/>
  <c r="A12" i="11"/>
  <c r="A14" i="11"/>
  <c r="A16" i="11"/>
  <c r="A18" i="11"/>
  <c r="A20" i="11"/>
  <c r="A22" i="11"/>
  <c r="A24" i="11"/>
  <c r="A26" i="11"/>
  <c r="A28" i="11"/>
  <c r="A30" i="11"/>
  <c r="A32" i="11"/>
  <c r="A34" i="11"/>
  <c r="A36" i="11"/>
  <c r="A38" i="11"/>
  <c r="A40" i="11"/>
  <c r="A42" i="11"/>
  <c r="A44" i="11"/>
  <c r="A46" i="11"/>
  <c r="A48" i="11"/>
  <c r="A50" i="11"/>
  <c r="A52" i="11"/>
  <c r="A54" i="11"/>
  <c r="A56" i="11"/>
  <c r="A58" i="11"/>
  <c r="A60" i="11"/>
  <c r="A62" i="11"/>
  <c r="A64" i="11"/>
  <c r="A66" i="11"/>
  <c r="A68" i="11"/>
  <c r="A70" i="11"/>
  <c r="A72" i="11"/>
  <c r="A74" i="11"/>
  <c r="A76" i="11"/>
  <c r="A78" i="11"/>
  <c r="A80" i="11"/>
  <c r="A82" i="11"/>
  <c r="A84" i="11"/>
  <c r="A86" i="11"/>
  <c r="A88" i="11"/>
  <c r="A90" i="11"/>
  <c r="A92" i="11"/>
  <c r="A94" i="11"/>
  <c r="A96" i="11"/>
  <c r="A98" i="11"/>
  <c r="A100" i="11"/>
  <c r="A102" i="11"/>
  <c r="A104" i="11"/>
  <c r="A108" i="11"/>
  <c r="F112" i="11"/>
  <c r="B112" i="11" s="1"/>
  <c r="G114" i="11"/>
  <c r="C114" i="11" s="1"/>
  <c r="A116" i="11"/>
  <c r="F120" i="11"/>
  <c r="B120" i="11" s="1"/>
  <c r="G122" i="11"/>
  <c r="C122" i="11" s="1"/>
  <c r="A124" i="11"/>
  <c r="F128" i="11"/>
  <c r="B128" i="11" s="1"/>
  <c r="G130" i="11"/>
  <c r="C130" i="11" s="1"/>
  <c r="A132" i="11"/>
  <c r="F136" i="11"/>
  <c r="B136" i="11" s="1"/>
  <c r="G138" i="11"/>
  <c r="C138" i="11" s="1"/>
  <c r="A140" i="11"/>
  <c r="G146" i="11"/>
  <c r="C146" i="11"/>
  <c r="A146" i="11"/>
  <c r="F335" i="11"/>
  <c r="B335" i="11" s="1"/>
  <c r="A335" i="11"/>
  <c r="C335" i="11"/>
  <c r="G335" i="11"/>
  <c r="C344" i="11"/>
  <c r="G344" i="11"/>
  <c r="A344" i="11"/>
  <c r="F344" i="11"/>
  <c r="B344" i="11" s="1"/>
  <c r="F367" i="11"/>
  <c r="B367" i="11" s="1"/>
  <c r="A367" i="11"/>
  <c r="C367" i="11"/>
  <c r="G367" i="11"/>
  <c r="C376" i="11"/>
  <c r="G376" i="11"/>
  <c r="A376" i="11"/>
  <c r="F376" i="11"/>
  <c r="B376" i="11" s="1"/>
  <c r="F432" i="11"/>
  <c r="B432" i="11" s="1"/>
  <c r="A432" i="11"/>
  <c r="C432" i="11"/>
  <c r="G432" i="11"/>
  <c r="A154" i="11"/>
  <c r="A158" i="11"/>
  <c r="A162" i="11"/>
  <c r="A166" i="11"/>
  <c r="A170" i="11"/>
  <c r="A174" i="11"/>
  <c r="A178" i="11"/>
  <c r="A182" i="11"/>
  <c r="A186" i="11"/>
  <c r="A190" i="11"/>
  <c r="A194" i="11"/>
  <c r="A198" i="11"/>
  <c r="A202" i="11"/>
  <c r="A206" i="11"/>
  <c r="F327" i="11"/>
  <c r="B327" i="11" s="1"/>
  <c r="A327" i="11"/>
  <c r="C327" i="11"/>
  <c r="G327" i="11"/>
  <c r="C336" i="11"/>
  <c r="G336" i="11"/>
  <c r="A336" i="11"/>
  <c r="F336" i="11"/>
  <c r="B336" i="11" s="1"/>
  <c r="F359" i="11"/>
  <c r="B359" i="11" s="1"/>
  <c r="A359" i="11"/>
  <c r="C359" i="11"/>
  <c r="G359" i="11"/>
  <c r="C368" i="11"/>
  <c r="G368" i="11"/>
  <c r="A368" i="11"/>
  <c r="F368" i="11"/>
  <c r="B368" i="11" s="1"/>
  <c r="F383" i="11"/>
  <c r="B383" i="11" s="1"/>
  <c r="A383" i="11"/>
  <c r="C383" i="11"/>
  <c r="G383" i="11"/>
  <c r="C402" i="11"/>
  <c r="G402" i="11"/>
  <c r="F402" i="11"/>
  <c r="B402" i="11" s="1"/>
  <c r="A402" i="11"/>
  <c r="C154" i="11"/>
  <c r="C158" i="11"/>
  <c r="C162" i="11"/>
  <c r="C166" i="11"/>
  <c r="C170" i="11"/>
  <c r="C174" i="11"/>
  <c r="C178" i="11"/>
  <c r="C182" i="11"/>
  <c r="C186" i="11"/>
  <c r="C190" i="11"/>
  <c r="C194" i="11"/>
  <c r="C198" i="11"/>
  <c r="C202" i="11"/>
  <c r="C206" i="11"/>
  <c r="G210" i="11"/>
  <c r="F210" i="11"/>
  <c r="B210" i="11" s="1"/>
  <c r="A210" i="11"/>
  <c r="G212" i="11"/>
  <c r="F212" i="11"/>
  <c r="B212" i="11" s="1"/>
  <c r="A212" i="11"/>
  <c r="G214" i="11"/>
  <c r="F214" i="11"/>
  <c r="B214" i="11" s="1"/>
  <c r="A214" i="11"/>
  <c r="G216" i="11"/>
  <c r="F216" i="11"/>
  <c r="B216" i="11" s="1"/>
  <c r="A216" i="11"/>
  <c r="G218" i="11"/>
  <c r="F218" i="11"/>
  <c r="B218" i="11" s="1"/>
  <c r="A218" i="11"/>
  <c r="G220" i="11"/>
  <c r="F220" i="11"/>
  <c r="B220" i="11" s="1"/>
  <c r="A220" i="11"/>
  <c r="G222" i="11"/>
  <c r="F222" i="11"/>
  <c r="B222" i="11" s="1"/>
  <c r="A222" i="11"/>
  <c r="G224" i="11"/>
  <c r="F224" i="11"/>
  <c r="B224" i="11" s="1"/>
  <c r="A224" i="11"/>
  <c r="G226" i="11"/>
  <c r="F226" i="11"/>
  <c r="B226" i="11" s="1"/>
  <c r="A226" i="11"/>
  <c r="G228" i="11"/>
  <c r="F228" i="11"/>
  <c r="B228" i="11" s="1"/>
  <c r="A228" i="11"/>
  <c r="G230" i="11"/>
  <c r="F230" i="11"/>
  <c r="B230" i="11" s="1"/>
  <c r="A230" i="11"/>
  <c r="G232" i="11"/>
  <c r="F232" i="11"/>
  <c r="B232" i="11" s="1"/>
  <c r="A232" i="11"/>
  <c r="G234" i="11"/>
  <c r="F234" i="11"/>
  <c r="B234" i="11" s="1"/>
  <c r="A234" i="11"/>
  <c r="G236" i="11"/>
  <c r="F236" i="11"/>
  <c r="B236" i="11" s="1"/>
  <c r="A236" i="11"/>
  <c r="G238" i="11"/>
  <c r="F238" i="11"/>
  <c r="B238" i="11" s="1"/>
  <c r="A238" i="11"/>
  <c r="G240" i="11"/>
  <c r="F240" i="11"/>
  <c r="B240" i="11" s="1"/>
  <c r="A240" i="11"/>
  <c r="G242" i="11"/>
  <c r="F242" i="11"/>
  <c r="B242" i="11" s="1"/>
  <c r="A242" i="11"/>
  <c r="G244" i="11"/>
  <c r="F244" i="11"/>
  <c r="B244" i="11" s="1"/>
  <c r="A244" i="11"/>
  <c r="G246" i="11"/>
  <c r="F246" i="11"/>
  <c r="B246" i="11" s="1"/>
  <c r="A246" i="11"/>
  <c r="G248" i="11"/>
  <c r="F248" i="11"/>
  <c r="B248" i="11" s="1"/>
  <c r="A248" i="11"/>
  <c r="G250" i="11"/>
  <c r="F250" i="11"/>
  <c r="B250" i="11" s="1"/>
  <c r="A250" i="11"/>
  <c r="G252" i="11"/>
  <c r="F252" i="11"/>
  <c r="B252" i="11" s="1"/>
  <c r="A252" i="11"/>
  <c r="G254" i="11"/>
  <c r="F254" i="11"/>
  <c r="B254" i="11" s="1"/>
  <c r="A254" i="11"/>
  <c r="F319" i="11"/>
  <c r="B319" i="11" s="1"/>
  <c r="A319" i="11"/>
  <c r="C319" i="11"/>
  <c r="G319" i="11"/>
  <c r="C328" i="11"/>
  <c r="G328" i="11"/>
  <c r="A328" i="11"/>
  <c r="F328" i="11"/>
  <c r="B328" i="11" s="1"/>
  <c r="F351" i="11"/>
  <c r="B351" i="11" s="1"/>
  <c r="A351" i="11"/>
  <c r="C351" i="11"/>
  <c r="G351" i="11"/>
  <c r="C360" i="11"/>
  <c r="G360" i="11"/>
  <c r="A360" i="11"/>
  <c r="F360" i="11"/>
  <c r="B360" i="11" s="1"/>
  <c r="C384" i="11"/>
  <c r="G384" i="11"/>
  <c r="A384" i="11"/>
  <c r="F384" i="11"/>
  <c r="B384" i="11" s="1"/>
  <c r="C388" i="11"/>
  <c r="G388" i="11"/>
  <c r="A388" i="11"/>
  <c r="F388" i="11"/>
  <c r="B388" i="11" s="1"/>
  <c r="C320" i="11"/>
  <c r="G320" i="11"/>
  <c r="A320" i="11"/>
  <c r="F320" i="11"/>
  <c r="B320" i="11" s="1"/>
  <c r="F343" i="11"/>
  <c r="B343" i="11" s="1"/>
  <c r="A343" i="11"/>
  <c r="C343" i="11"/>
  <c r="G343" i="11"/>
  <c r="C352" i="11"/>
  <c r="G352" i="11"/>
  <c r="A352" i="11"/>
  <c r="F352" i="11"/>
  <c r="B352" i="11" s="1"/>
  <c r="F375" i="11"/>
  <c r="B375" i="11" s="1"/>
  <c r="A375" i="11"/>
  <c r="C375" i="11"/>
  <c r="G375" i="11"/>
  <c r="C394" i="11"/>
  <c r="G394" i="11"/>
  <c r="F394" i="11"/>
  <c r="B394" i="11" s="1"/>
  <c r="A394" i="11"/>
  <c r="C409" i="11"/>
  <c r="G409" i="11"/>
  <c r="A409" i="11"/>
  <c r="F409" i="11"/>
  <c r="B409" i="11" s="1"/>
  <c r="C441" i="11"/>
  <c r="F441" i="11"/>
  <c r="B441" i="11" s="1"/>
  <c r="A441" i="11"/>
  <c r="G441" i="11"/>
  <c r="F321" i="11"/>
  <c r="B321" i="11" s="1"/>
  <c r="A321" i="11"/>
  <c r="F329" i="11"/>
  <c r="B329" i="11" s="1"/>
  <c r="A329" i="11"/>
  <c r="F337" i="11"/>
  <c r="B337" i="11" s="1"/>
  <c r="A337" i="11"/>
  <c r="F345" i="11"/>
  <c r="B345" i="11" s="1"/>
  <c r="A345" i="11"/>
  <c r="F353" i="11"/>
  <c r="B353" i="11" s="1"/>
  <c r="A353" i="11"/>
  <c r="F361" i="11"/>
  <c r="B361" i="11" s="1"/>
  <c r="A361" i="11"/>
  <c r="F369" i="11"/>
  <c r="B369" i="11" s="1"/>
  <c r="A369" i="11"/>
  <c r="F377" i="11"/>
  <c r="B377" i="11" s="1"/>
  <c r="A377" i="11"/>
  <c r="F385" i="11"/>
  <c r="B385" i="11" s="1"/>
  <c r="A385" i="11"/>
  <c r="C386" i="11"/>
  <c r="G386" i="11"/>
  <c r="C396" i="11"/>
  <c r="G396" i="11"/>
  <c r="F396" i="11"/>
  <c r="B396" i="11" s="1"/>
  <c r="A396" i="11"/>
  <c r="C404" i="11"/>
  <c r="G404" i="11"/>
  <c r="F404" i="11"/>
  <c r="B404" i="11" s="1"/>
  <c r="A404" i="11"/>
  <c r="F424" i="11"/>
  <c r="B424" i="11" s="1"/>
  <c r="A424" i="11"/>
  <c r="C424" i="11"/>
  <c r="G424" i="11"/>
  <c r="C433" i="11"/>
  <c r="G433" i="11"/>
  <c r="A433" i="11"/>
  <c r="F433" i="11"/>
  <c r="B433" i="11" s="1"/>
  <c r="F456" i="11"/>
  <c r="B456" i="11" s="1"/>
  <c r="A456" i="11"/>
  <c r="C456" i="11"/>
  <c r="G456" i="11"/>
  <c r="F464" i="11"/>
  <c r="B464" i="11" s="1"/>
  <c r="A464" i="11"/>
  <c r="C464" i="11"/>
  <c r="G464" i="11"/>
  <c r="F472" i="11"/>
  <c r="B472" i="11" s="1"/>
  <c r="A472" i="11"/>
  <c r="C472" i="11"/>
  <c r="G472" i="11"/>
  <c r="A256" i="11"/>
  <c r="F256" i="11"/>
  <c r="B256" i="11" s="1"/>
  <c r="A258" i="11"/>
  <c r="F258" i="11"/>
  <c r="B258" i="11" s="1"/>
  <c r="A260" i="11"/>
  <c r="F260" i="11"/>
  <c r="B260" i="11" s="1"/>
  <c r="A262" i="11"/>
  <c r="F262" i="11"/>
  <c r="B262" i="11" s="1"/>
  <c r="A264" i="11"/>
  <c r="F264" i="11"/>
  <c r="B264" i="11" s="1"/>
  <c r="A266" i="11"/>
  <c r="F266" i="11"/>
  <c r="B266" i="11" s="1"/>
  <c r="A268" i="11"/>
  <c r="F268" i="11"/>
  <c r="B268" i="11" s="1"/>
  <c r="A270" i="11"/>
  <c r="F270" i="11"/>
  <c r="B270" i="11" s="1"/>
  <c r="A272" i="11"/>
  <c r="F272" i="11"/>
  <c r="B272" i="11" s="1"/>
  <c r="A274" i="11"/>
  <c r="F274" i="11"/>
  <c r="B274" i="11" s="1"/>
  <c r="A276" i="11"/>
  <c r="F276" i="11"/>
  <c r="B276" i="11" s="1"/>
  <c r="A278" i="11"/>
  <c r="F278" i="11"/>
  <c r="B278" i="11" s="1"/>
  <c r="A280" i="11"/>
  <c r="F280" i="11"/>
  <c r="B280" i="11" s="1"/>
  <c r="A282" i="11"/>
  <c r="F282" i="11"/>
  <c r="B282" i="11" s="1"/>
  <c r="A284" i="11"/>
  <c r="F284" i="11"/>
  <c r="B284" i="11" s="1"/>
  <c r="A286" i="11"/>
  <c r="F286" i="11"/>
  <c r="B286" i="11" s="1"/>
  <c r="A288" i="11"/>
  <c r="F288" i="11"/>
  <c r="B288" i="11" s="1"/>
  <c r="A290" i="11"/>
  <c r="F290" i="11"/>
  <c r="B290" i="11" s="1"/>
  <c r="A292" i="11"/>
  <c r="F292" i="11"/>
  <c r="B292" i="11" s="1"/>
  <c r="A294" i="11"/>
  <c r="F294" i="11"/>
  <c r="B294" i="11" s="1"/>
  <c r="A296" i="11"/>
  <c r="F296" i="11"/>
  <c r="B296" i="11" s="1"/>
  <c r="A298" i="11"/>
  <c r="F298" i="11"/>
  <c r="B298" i="11" s="1"/>
  <c r="A300" i="11"/>
  <c r="F300" i="11"/>
  <c r="B300" i="11" s="1"/>
  <c r="A302" i="11"/>
  <c r="F302" i="11"/>
  <c r="B302" i="11" s="1"/>
  <c r="A304" i="11"/>
  <c r="F304" i="11"/>
  <c r="B304" i="11" s="1"/>
  <c r="A306" i="11"/>
  <c r="F306" i="11"/>
  <c r="B306" i="11" s="1"/>
  <c r="A308" i="11"/>
  <c r="F308" i="11"/>
  <c r="B308" i="11" s="1"/>
  <c r="A310" i="11"/>
  <c r="F310" i="11"/>
  <c r="B310" i="11" s="1"/>
  <c r="A312" i="11"/>
  <c r="F312" i="11"/>
  <c r="B312" i="11" s="1"/>
  <c r="A314" i="11"/>
  <c r="F314" i="11"/>
  <c r="B314" i="11" s="1"/>
  <c r="A316" i="11"/>
  <c r="F316" i="11"/>
  <c r="B316" i="11" s="1"/>
  <c r="G321" i="11"/>
  <c r="F322" i="11"/>
  <c r="B322" i="11" s="1"/>
  <c r="F323" i="11"/>
  <c r="B323" i="11" s="1"/>
  <c r="A323" i="11"/>
  <c r="G329" i="11"/>
  <c r="F330" i="11"/>
  <c r="B330" i="11" s="1"/>
  <c r="F331" i="11"/>
  <c r="B331" i="11" s="1"/>
  <c r="A331" i="11"/>
  <c r="G337" i="11"/>
  <c r="F338" i="11"/>
  <c r="B338" i="11" s="1"/>
  <c r="F339" i="11"/>
  <c r="B339" i="11" s="1"/>
  <c r="A339" i="11"/>
  <c r="G345" i="11"/>
  <c r="F346" i="11"/>
  <c r="B346" i="11" s="1"/>
  <c r="F347" i="11"/>
  <c r="B347" i="11" s="1"/>
  <c r="A347" i="11"/>
  <c r="G353" i="11"/>
  <c r="F354" i="11"/>
  <c r="B354" i="11" s="1"/>
  <c r="F355" i="11"/>
  <c r="B355" i="11" s="1"/>
  <c r="A355" i="11"/>
  <c r="G361" i="11"/>
  <c r="F362" i="11"/>
  <c r="B362" i="11" s="1"/>
  <c r="F363" i="11"/>
  <c r="B363" i="11" s="1"/>
  <c r="A363" i="11"/>
  <c r="G369" i="11"/>
  <c r="F370" i="11"/>
  <c r="B370" i="11" s="1"/>
  <c r="F371" i="11"/>
  <c r="B371" i="11" s="1"/>
  <c r="A371" i="11"/>
  <c r="G377" i="11"/>
  <c r="F378" i="11"/>
  <c r="B378" i="11" s="1"/>
  <c r="F379" i="11"/>
  <c r="B379" i="11" s="1"/>
  <c r="A379" i="11"/>
  <c r="G385" i="11"/>
  <c r="F386" i="11"/>
  <c r="B386" i="11" s="1"/>
  <c r="C390" i="11"/>
  <c r="G390" i="11"/>
  <c r="F390" i="11"/>
  <c r="B390" i="11" s="1"/>
  <c r="A390" i="11"/>
  <c r="C398" i="11"/>
  <c r="G398" i="11"/>
  <c r="F398" i="11"/>
  <c r="B398" i="11" s="1"/>
  <c r="A398" i="11"/>
  <c r="C406" i="11"/>
  <c r="G406" i="11"/>
  <c r="F406" i="11"/>
  <c r="B406" i="11" s="1"/>
  <c r="A406" i="11"/>
  <c r="F416" i="11"/>
  <c r="B416" i="11" s="1"/>
  <c r="A416" i="11"/>
  <c r="C416" i="11"/>
  <c r="G416" i="11"/>
  <c r="C425" i="11"/>
  <c r="G425" i="11"/>
  <c r="A425" i="11"/>
  <c r="F425" i="11"/>
  <c r="B425" i="11" s="1"/>
  <c r="C449" i="11"/>
  <c r="F449" i="11"/>
  <c r="B449" i="11" s="1"/>
  <c r="A449" i="11"/>
  <c r="G449" i="11"/>
  <c r="A322" i="11"/>
  <c r="G322" i="11"/>
  <c r="G323" i="11"/>
  <c r="F324" i="11"/>
  <c r="B324" i="11" s="1"/>
  <c r="F325" i="11"/>
  <c r="B325" i="11" s="1"/>
  <c r="A325" i="11"/>
  <c r="A330" i="11"/>
  <c r="G330" i="11"/>
  <c r="G331" i="11"/>
  <c r="F332" i="11"/>
  <c r="B332" i="11" s="1"/>
  <c r="F333" i="11"/>
  <c r="B333" i="11" s="1"/>
  <c r="A333" i="11"/>
  <c r="A338" i="11"/>
  <c r="G338" i="11"/>
  <c r="G339" i="11"/>
  <c r="F340" i="11"/>
  <c r="B340" i="11" s="1"/>
  <c r="F341" i="11"/>
  <c r="B341" i="11" s="1"/>
  <c r="A341" i="11"/>
  <c r="A346" i="11"/>
  <c r="G346" i="11"/>
  <c r="G347" i="11"/>
  <c r="F348" i="11"/>
  <c r="B348" i="11" s="1"/>
  <c r="F349" i="11"/>
  <c r="B349" i="11" s="1"/>
  <c r="A349" i="11"/>
  <c r="A354" i="11"/>
  <c r="G354" i="11"/>
  <c r="G355" i="11"/>
  <c r="F356" i="11"/>
  <c r="B356" i="11" s="1"/>
  <c r="F357" i="11"/>
  <c r="B357" i="11" s="1"/>
  <c r="A357" i="11"/>
  <c r="A362" i="11"/>
  <c r="G362" i="11"/>
  <c r="G363" i="11"/>
  <c r="F364" i="11"/>
  <c r="B364" i="11" s="1"/>
  <c r="F365" i="11"/>
  <c r="B365" i="11" s="1"/>
  <c r="A365" i="11"/>
  <c r="A370" i="11"/>
  <c r="G370" i="11"/>
  <c r="G371" i="11"/>
  <c r="F372" i="11"/>
  <c r="B372" i="11" s="1"/>
  <c r="F373" i="11"/>
  <c r="B373" i="11" s="1"/>
  <c r="A373" i="11"/>
  <c r="A378" i="11"/>
  <c r="G378" i="11"/>
  <c r="G379" i="11"/>
  <c r="F380" i="11"/>
  <c r="B380" i="11" s="1"/>
  <c r="F381" i="11"/>
  <c r="B381" i="11" s="1"/>
  <c r="A381" i="11"/>
  <c r="A386" i="11"/>
  <c r="C392" i="11"/>
  <c r="G392" i="11"/>
  <c r="F392" i="11"/>
  <c r="B392" i="11" s="1"/>
  <c r="A392" i="11"/>
  <c r="C400" i="11"/>
  <c r="G400" i="11"/>
  <c r="F400" i="11"/>
  <c r="B400" i="11" s="1"/>
  <c r="A400" i="11"/>
  <c r="F408" i="11"/>
  <c r="B408" i="11" s="1"/>
  <c r="C408" i="11"/>
  <c r="G408" i="11"/>
  <c r="A408" i="11"/>
  <c r="C417" i="11"/>
  <c r="G417" i="11"/>
  <c r="A417" i="11"/>
  <c r="F417" i="11"/>
  <c r="B417" i="11" s="1"/>
  <c r="F440" i="11"/>
  <c r="B440" i="11" s="1"/>
  <c r="A440" i="11"/>
  <c r="C440" i="11"/>
  <c r="G440" i="11"/>
  <c r="F410" i="11"/>
  <c r="B410" i="11" s="1"/>
  <c r="A410" i="11"/>
  <c r="F418" i="11"/>
  <c r="B418" i="11" s="1"/>
  <c r="A418" i="11"/>
  <c r="F426" i="11"/>
  <c r="B426" i="11" s="1"/>
  <c r="A426" i="11"/>
  <c r="F434" i="11"/>
  <c r="B434" i="11" s="1"/>
  <c r="A434" i="11"/>
  <c r="F444" i="11"/>
  <c r="B444" i="11" s="1"/>
  <c r="G444" i="11"/>
  <c r="A444" i="11"/>
  <c r="C444" i="11"/>
  <c r="C457" i="11"/>
  <c r="G457" i="11"/>
  <c r="A457" i="11"/>
  <c r="F457" i="11"/>
  <c r="B457" i="11" s="1"/>
  <c r="C465" i="11"/>
  <c r="G465" i="11"/>
  <c r="A465" i="11"/>
  <c r="F465" i="11"/>
  <c r="B465" i="11" s="1"/>
  <c r="C473" i="11"/>
  <c r="G473" i="11"/>
  <c r="A473" i="11"/>
  <c r="F473" i="11"/>
  <c r="B473" i="11" s="1"/>
  <c r="G486" i="11"/>
  <c r="F486" i="11"/>
  <c r="B486" i="11" s="1"/>
  <c r="A486" i="11"/>
  <c r="C486" i="11"/>
  <c r="G410" i="11"/>
  <c r="F411" i="11"/>
  <c r="B411" i="11" s="1"/>
  <c r="F412" i="11"/>
  <c r="B412" i="11" s="1"/>
  <c r="A412" i="11"/>
  <c r="G418" i="11"/>
  <c r="F420" i="11"/>
  <c r="B420" i="11" s="1"/>
  <c r="A420" i="11"/>
  <c r="G426" i="11"/>
  <c r="F428" i="11"/>
  <c r="B428" i="11" s="1"/>
  <c r="A428" i="11"/>
  <c r="G434" i="11"/>
  <c r="F436" i="11"/>
  <c r="B436" i="11" s="1"/>
  <c r="A436" i="11"/>
  <c r="C443" i="11"/>
  <c r="F443" i="11"/>
  <c r="B443" i="11" s="1"/>
  <c r="A443" i="11"/>
  <c r="F448" i="11"/>
  <c r="B448" i="11" s="1"/>
  <c r="A448" i="11"/>
  <c r="C448" i="11"/>
  <c r="G448" i="11"/>
  <c r="A387" i="11"/>
  <c r="A389" i="11"/>
  <c r="A391" i="11"/>
  <c r="A393" i="11"/>
  <c r="A395" i="11"/>
  <c r="A397" i="11"/>
  <c r="A399" i="11"/>
  <c r="A401" i="11"/>
  <c r="A403" i="11"/>
  <c r="A405" i="11"/>
  <c r="A407" i="11"/>
  <c r="A411" i="11"/>
  <c r="G411" i="11"/>
  <c r="G412" i="11"/>
  <c r="F413" i="11"/>
  <c r="B413" i="11" s="1"/>
  <c r="F414" i="11"/>
  <c r="B414" i="11" s="1"/>
  <c r="A414" i="11"/>
  <c r="A419" i="11"/>
  <c r="G419" i="11"/>
  <c r="G420" i="11"/>
  <c r="F421" i="11"/>
  <c r="B421" i="11" s="1"/>
  <c r="F422" i="11"/>
  <c r="B422" i="11" s="1"/>
  <c r="A422" i="11"/>
  <c r="A427" i="11"/>
  <c r="G427" i="11"/>
  <c r="G428" i="11"/>
  <c r="F429" i="11"/>
  <c r="B429" i="11" s="1"/>
  <c r="F430" i="11"/>
  <c r="B430" i="11" s="1"/>
  <c r="A430" i="11"/>
  <c r="A435" i="11"/>
  <c r="G435" i="11"/>
  <c r="G436" i="11"/>
  <c r="F437" i="11"/>
  <c r="B437" i="11" s="1"/>
  <c r="F438" i="11"/>
  <c r="B438" i="11" s="1"/>
  <c r="A438" i="11"/>
  <c r="F442" i="11"/>
  <c r="B442" i="11" s="1"/>
  <c r="A442" i="11"/>
  <c r="C442" i="11"/>
  <c r="G443" i="11"/>
  <c r="C445" i="11"/>
  <c r="F445" i="11"/>
  <c r="B445" i="11" s="1"/>
  <c r="F450" i="11"/>
  <c r="B450" i="11" s="1"/>
  <c r="A450" i="11"/>
  <c r="F458" i="11"/>
  <c r="B458" i="11" s="1"/>
  <c r="A458" i="11"/>
  <c r="F466" i="11"/>
  <c r="B466" i="11" s="1"/>
  <c r="A466" i="11"/>
  <c r="F474" i="11"/>
  <c r="B474" i="11" s="1"/>
  <c r="A474" i="11"/>
  <c r="G484" i="11"/>
  <c r="F484" i="11"/>
  <c r="B484" i="11" s="1"/>
  <c r="A484" i="11"/>
  <c r="F452" i="11"/>
  <c r="B452" i="11" s="1"/>
  <c r="A452" i="11"/>
  <c r="F460" i="11"/>
  <c r="B460" i="11" s="1"/>
  <c r="A460" i="11"/>
  <c r="F468" i="11"/>
  <c r="B468" i="11" s="1"/>
  <c r="A468" i="11"/>
  <c r="F476" i="11"/>
  <c r="B476" i="11" s="1"/>
  <c r="A476" i="11"/>
  <c r="G482" i="11"/>
  <c r="F482" i="11"/>
  <c r="B482" i="11" s="1"/>
  <c r="A482" i="11"/>
  <c r="F446" i="11"/>
  <c r="B446" i="11" s="1"/>
  <c r="A446" i="11"/>
  <c r="A451" i="11"/>
  <c r="G451" i="11"/>
  <c r="G452" i="11"/>
  <c r="F453" i="11"/>
  <c r="B453" i="11" s="1"/>
  <c r="F454" i="11"/>
  <c r="B454" i="11" s="1"/>
  <c r="A454" i="11"/>
  <c r="A459" i="11"/>
  <c r="G459" i="11"/>
  <c r="G460" i="11"/>
  <c r="F461" i="11"/>
  <c r="B461" i="11" s="1"/>
  <c r="F462" i="11"/>
  <c r="B462" i="11" s="1"/>
  <c r="A462" i="11"/>
  <c r="A467" i="11"/>
  <c r="G467" i="11"/>
  <c r="G468" i="11"/>
  <c r="F469" i="11"/>
  <c r="B469" i="11" s="1"/>
  <c r="F470" i="11"/>
  <c r="B470" i="11" s="1"/>
  <c r="A470" i="11"/>
  <c r="G476" i="11"/>
  <c r="F477" i="11"/>
  <c r="B477" i="11" s="1"/>
  <c r="F478" i="11"/>
  <c r="B478" i="11" s="1"/>
  <c r="A478" i="11"/>
  <c r="G480" i="11"/>
  <c r="F480" i="11"/>
  <c r="B480" i="11" s="1"/>
  <c r="A480" i="11"/>
  <c r="A488" i="11"/>
  <c r="F488" i="11"/>
  <c r="B488" i="11" s="1"/>
  <c r="A490" i="11"/>
  <c r="F490" i="11"/>
  <c r="B490" i="11" s="1"/>
  <c r="A492" i="11"/>
  <c r="F492" i="11"/>
  <c r="B492" i="11" s="1"/>
  <c r="A494" i="11"/>
  <c r="F494" i="11"/>
  <c r="B494" i="11" s="1"/>
  <c r="A496" i="11"/>
  <c r="F496" i="11"/>
  <c r="B496" i="11" s="1"/>
  <c r="A498" i="11"/>
  <c r="F498" i="11"/>
  <c r="B498" i="11" s="1"/>
  <c r="A500" i="11"/>
  <c r="F500" i="11"/>
  <c r="B500" i="11" s="1"/>
  <c r="A2" i="10"/>
  <c r="A2" i="5"/>
  <c r="F2" i="5"/>
  <c r="B2" i="5" s="1"/>
  <c r="AY320" i="3"/>
  <c r="J320" i="3" s="1"/>
  <c r="A2" i="6"/>
  <c r="A2" i="8"/>
  <c r="A2" i="7"/>
  <c r="C2" i="8"/>
  <c r="B2" i="8"/>
  <c r="C2" i="7"/>
  <c r="B2" i="7"/>
  <c r="C2" i="6"/>
  <c r="B2" i="6"/>
  <c r="B2" i="11"/>
  <c r="C2" i="11"/>
  <c r="B2" i="9"/>
  <c r="C2" i="10"/>
  <c r="B2" i="10"/>
  <c r="C2" i="9"/>
  <c r="C2" i="4"/>
  <c r="B2" i="4"/>
  <c r="AZ324" i="3"/>
  <c r="AZ320" i="3"/>
  <c r="BD372" i="3" l="1"/>
  <c r="BD371" i="3"/>
  <c r="BD370" i="3"/>
  <c r="BD369" i="3"/>
  <c r="BD368" i="3"/>
  <c r="BD367" i="3"/>
  <c r="BD366" i="3"/>
  <c r="BD365" i="3"/>
  <c r="BD364" i="3"/>
  <c r="BD363" i="3"/>
  <c r="BD362" i="3"/>
  <c r="BD361" i="3"/>
  <c r="BD360" i="3"/>
  <c r="BD359" i="3"/>
  <c r="BD358" i="3"/>
  <c r="BD357" i="3"/>
  <c r="BD356" i="3"/>
  <c r="BD355" i="3"/>
  <c r="BD354" i="3"/>
  <c r="BD353" i="3"/>
  <c r="BD352" i="3"/>
  <c r="BD351" i="3"/>
  <c r="BD350" i="3"/>
  <c r="BD349" i="3"/>
  <c r="BD348" i="3"/>
  <c r="BD347" i="3"/>
  <c r="BD346" i="3"/>
  <c r="BD345" i="3"/>
  <c r="BD344" i="3"/>
  <c r="BD343" i="3"/>
  <c r="BD342" i="3"/>
  <c r="BD341" i="3"/>
  <c r="BD340" i="3"/>
  <c r="BD339" i="3"/>
  <c r="BD338" i="3"/>
  <c r="BD337" i="3"/>
  <c r="BD336" i="3"/>
  <c r="BD335" i="3"/>
  <c r="BD334" i="3"/>
  <c r="BD333" i="3"/>
  <c r="BD332" i="3"/>
  <c r="BD331" i="3"/>
  <c r="BD330" i="3"/>
  <c r="BD329" i="3"/>
  <c r="BD328" i="3"/>
  <c r="BD327" i="3"/>
  <c r="BD326" i="3"/>
  <c r="BD325" i="3"/>
  <c r="BC372" i="3"/>
  <c r="BC371" i="3"/>
  <c r="BC370" i="3"/>
  <c r="BC369" i="3"/>
  <c r="BC368" i="3"/>
  <c r="BC367" i="3"/>
  <c r="BC366" i="3"/>
  <c r="BC365" i="3"/>
  <c r="BC364" i="3"/>
  <c r="BC363" i="3"/>
  <c r="BC362" i="3"/>
  <c r="BC361" i="3"/>
  <c r="BC360" i="3"/>
  <c r="BC359" i="3"/>
  <c r="BC358" i="3"/>
  <c r="BC357" i="3"/>
  <c r="BC356" i="3"/>
  <c r="BC355" i="3"/>
  <c r="BC354" i="3"/>
  <c r="BC353" i="3"/>
  <c r="BC352" i="3"/>
  <c r="BC351" i="3"/>
  <c r="BC350" i="3"/>
  <c r="BC349" i="3"/>
  <c r="BC348" i="3"/>
  <c r="BC347" i="3"/>
  <c r="BC346" i="3"/>
  <c r="BC345" i="3"/>
  <c r="BC344" i="3"/>
  <c r="BC343" i="3"/>
  <c r="BC342" i="3"/>
  <c r="BC341" i="3"/>
  <c r="BC340" i="3"/>
  <c r="BC339" i="3"/>
  <c r="BC338" i="3"/>
  <c r="BC337" i="3"/>
  <c r="BC336" i="3"/>
  <c r="BC335" i="3"/>
  <c r="BC334" i="3"/>
  <c r="BC333" i="3"/>
  <c r="BC332" i="3"/>
  <c r="BC331" i="3"/>
  <c r="BC330" i="3"/>
  <c r="BC329" i="3"/>
  <c r="BC328" i="3"/>
  <c r="BC327" i="3"/>
  <c r="BC326" i="3"/>
  <c r="BC325" i="3"/>
  <c r="BB372" i="3"/>
  <c r="BB371" i="3"/>
  <c r="BB370" i="3"/>
  <c r="BB369" i="3"/>
  <c r="BB368" i="3"/>
  <c r="BB367" i="3"/>
  <c r="BB366" i="3"/>
  <c r="BB365" i="3"/>
  <c r="BB364" i="3"/>
  <c r="BB363" i="3"/>
  <c r="BB362" i="3"/>
  <c r="BB361" i="3"/>
  <c r="BB360" i="3"/>
  <c r="BB359" i="3"/>
  <c r="BB358" i="3"/>
  <c r="BB357" i="3"/>
  <c r="BB356" i="3"/>
  <c r="BB355" i="3"/>
  <c r="BB354" i="3"/>
  <c r="BB353" i="3"/>
  <c r="BB352" i="3"/>
  <c r="BB351" i="3"/>
  <c r="BB350" i="3"/>
  <c r="BB349" i="3"/>
  <c r="BB348" i="3"/>
  <c r="BB347" i="3"/>
  <c r="BB346" i="3"/>
  <c r="BB345" i="3"/>
  <c r="BB344" i="3"/>
  <c r="BB343" i="3"/>
  <c r="BB342" i="3"/>
  <c r="BB341" i="3"/>
  <c r="BB340" i="3"/>
  <c r="BB339" i="3"/>
  <c r="BB338" i="3"/>
  <c r="BB337" i="3"/>
  <c r="BB336" i="3"/>
  <c r="BB335" i="3"/>
  <c r="BB334" i="3"/>
  <c r="BB333" i="3"/>
  <c r="BB332" i="3"/>
  <c r="BB331" i="3"/>
  <c r="BB330" i="3"/>
  <c r="BB329" i="3"/>
  <c r="BB328" i="3"/>
  <c r="BB327" i="3"/>
  <c r="BB326" i="3"/>
  <c r="BB325" i="3"/>
  <c r="BA372" i="3"/>
  <c r="BA371" i="3"/>
  <c r="BA370" i="3"/>
  <c r="BA369" i="3"/>
  <c r="BA368" i="3"/>
  <c r="BA367" i="3"/>
  <c r="BA366" i="3"/>
  <c r="BA365" i="3"/>
  <c r="BA364" i="3"/>
  <c r="BA363" i="3"/>
  <c r="BA362" i="3"/>
  <c r="BA361" i="3"/>
  <c r="BA360" i="3"/>
  <c r="BA359" i="3"/>
  <c r="BA358" i="3"/>
  <c r="BA357" i="3"/>
  <c r="BA356" i="3"/>
  <c r="BA355" i="3"/>
  <c r="BA354" i="3"/>
  <c r="BA353" i="3"/>
  <c r="BA352" i="3"/>
  <c r="BA351" i="3"/>
  <c r="BA350" i="3"/>
  <c r="BA349" i="3"/>
  <c r="BA348" i="3"/>
  <c r="BA347" i="3"/>
  <c r="BA346" i="3"/>
  <c r="BA345" i="3"/>
  <c r="BA344" i="3"/>
  <c r="BA343" i="3"/>
  <c r="BA342" i="3"/>
  <c r="BA341" i="3"/>
  <c r="BA340" i="3"/>
  <c r="BA339" i="3"/>
  <c r="BA338" i="3"/>
  <c r="BA337" i="3"/>
  <c r="BA336" i="3"/>
  <c r="BA335" i="3"/>
  <c r="BA334" i="3"/>
  <c r="BA333" i="3"/>
  <c r="BA332" i="3"/>
  <c r="BA331" i="3"/>
  <c r="BA330" i="3"/>
  <c r="BA329" i="3"/>
  <c r="BA328" i="3"/>
  <c r="BA327" i="3"/>
  <c r="BA326" i="3"/>
  <c r="BA325" i="3"/>
  <c r="AZ372" i="3"/>
  <c r="AZ371" i="3"/>
  <c r="AZ370" i="3"/>
  <c r="AZ369" i="3"/>
  <c r="AZ368" i="3"/>
  <c r="AZ367" i="3"/>
  <c r="AZ366" i="3"/>
  <c r="AZ365" i="3"/>
  <c r="AZ364" i="3"/>
  <c r="AZ363" i="3"/>
  <c r="AZ362" i="3"/>
  <c r="AZ361" i="3"/>
  <c r="AZ360" i="3"/>
  <c r="AZ359" i="3"/>
  <c r="AZ358" i="3"/>
  <c r="AZ357" i="3"/>
  <c r="AZ356" i="3"/>
  <c r="AZ355" i="3"/>
  <c r="AZ354" i="3"/>
  <c r="AZ353" i="3"/>
  <c r="AZ352" i="3"/>
  <c r="AZ351" i="3"/>
  <c r="AZ350" i="3"/>
  <c r="AZ349" i="3"/>
  <c r="AZ348" i="3"/>
  <c r="AZ347" i="3"/>
  <c r="AZ346" i="3"/>
  <c r="AZ345" i="3"/>
  <c r="AZ344" i="3"/>
  <c r="AZ343" i="3"/>
  <c r="AZ342" i="3"/>
  <c r="AZ341" i="3"/>
  <c r="AZ340" i="3"/>
  <c r="AZ339" i="3"/>
  <c r="AZ338" i="3"/>
  <c r="AZ337" i="3"/>
  <c r="AZ336" i="3"/>
  <c r="AZ335" i="3"/>
  <c r="AZ334" i="3"/>
  <c r="AZ333" i="3"/>
  <c r="AZ332" i="3"/>
  <c r="AZ331" i="3"/>
  <c r="AZ330" i="3"/>
  <c r="AZ329" i="3"/>
  <c r="AZ328" i="3"/>
  <c r="AZ327" i="3"/>
  <c r="AZ326" i="3"/>
  <c r="AZ325" i="3"/>
  <c r="AY372" i="3"/>
  <c r="AY371" i="3"/>
  <c r="AY370" i="3"/>
  <c r="AY369" i="3"/>
  <c r="AY368" i="3"/>
  <c r="AY367" i="3"/>
  <c r="AY366" i="3"/>
  <c r="AY365" i="3"/>
  <c r="AY364" i="3"/>
  <c r="AY363" i="3"/>
  <c r="AY362" i="3"/>
  <c r="AY361" i="3"/>
  <c r="AY360" i="3"/>
  <c r="AY359" i="3"/>
  <c r="AY358" i="3"/>
  <c r="AY357" i="3"/>
  <c r="AY356" i="3"/>
  <c r="AY355" i="3"/>
  <c r="AY354" i="3"/>
  <c r="AY353" i="3"/>
  <c r="AY352" i="3"/>
  <c r="AY351" i="3"/>
  <c r="AY350" i="3"/>
  <c r="AY349" i="3"/>
  <c r="AY348" i="3"/>
  <c r="AY347" i="3"/>
  <c r="AY346" i="3"/>
  <c r="AY345" i="3"/>
  <c r="AY344" i="3"/>
  <c r="AY343" i="3"/>
  <c r="AY342" i="3"/>
  <c r="AY341" i="3"/>
  <c r="AY340" i="3"/>
  <c r="AY339" i="3"/>
  <c r="AY338" i="3"/>
  <c r="AY337" i="3"/>
  <c r="AY336" i="3"/>
  <c r="AY335" i="3"/>
  <c r="AY334" i="3"/>
  <c r="AY333" i="3"/>
  <c r="AY332" i="3"/>
  <c r="AY331" i="3"/>
  <c r="AY330" i="3"/>
  <c r="AY329" i="3"/>
  <c r="AY328" i="3"/>
  <c r="AY327" i="3"/>
  <c r="AY326" i="3"/>
  <c r="AY325" i="3"/>
  <c r="G325" i="3" s="1"/>
  <c r="AX372" i="3"/>
  <c r="AX371" i="3"/>
  <c r="AX370" i="3"/>
  <c r="AX369" i="3"/>
  <c r="AX368" i="3"/>
  <c r="AX367" i="3"/>
  <c r="AX366" i="3"/>
  <c r="AX365" i="3"/>
  <c r="AX364" i="3"/>
  <c r="AX363" i="3"/>
  <c r="AX362" i="3"/>
  <c r="AX361" i="3"/>
  <c r="AX360" i="3"/>
  <c r="AX359" i="3"/>
  <c r="AX358" i="3"/>
  <c r="AX357" i="3"/>
  <c r="AX356" i="3"/>
  <c r="AX355" i="3"/>
  <c r="AX354" i="3"/>
  <c r="AX353" i="3"/>
  <c r="AX352" i="3"/>
  <c r="AX351" i="3"/>
  <c r="AX350" i="3"/>
  <c r="AX349" i="3"/>
  <c r="AX348" i="3"/>
  <c r="AX347" i="3"/>
  <c r="AX346" i="3"/>
  <c r="AX345" i="3"/>
  <c r="AX344" i="3"/>
  <c r="AX343" i="3"/>
  <c r="AX342" i="3"/>
  <c r="AX341" i="3"/>
  <c r="AX340" i="3"/>
  <c r="AX339" i="3"/>
  <c r="AX338" i="3"/>
  <c r="AX337" i="3"/>
  <c r="AX336" i="3"/>
  <c r="AX335" i="3"/>
  <c r="AX334" i="3"/>
  <c r="AX333" i="3"/>
  <c r="AX332" i="3"/>
  <c r="AX331" i="3"/>
  <c r="AX330" i="3"/>
  <c r="AX329" i="3"/>
  <c r="AX328" i="3"/>
  <c r="AX327" i="3"/>
  <c r="AX326" i="3"/>
  <c r="AX325" i="3"/>
  <c r="BE372" i="3"/>
  <c r="BE371" i="3"/>
  <c r="BE370" i="3"/>
  <c r="BE369" i="3"/>
  <c r="BE368" i="3"/>
  <c r="BE367" i="3"/>
  <c r="BE366" i="3"/>
  <c r="BE365" i="3"/>
  <c r="BE364" i="3"/>
  <c r="BE363" i="3"/>
  <c r="BE362" i="3"/>
  <c r="BE361" i="3"/>
  <c r="BE360" i="3"/>
  <c r="BE359" i="3"/>
  <c r="BE358" i="3"/>
  <c r="BE357" i="3"/>
  <c r="BE356" i="3"/>
  <c r="BE355" i="3"/>
  <c r="BE354" i="3"/>
  <c r="BE353" i="3"/>
  <c r="BE352" i="3"/>
  <c r="BE351" i="3"/>
  <c r="BE350" i="3"/>
  <c r="BE349" i="3"/>
  <c r="BE348" i="3"/>
  <c r="BE347" i="3"/>
  <c r="BE346" i="3"/>
  <c r="BE345" i="3"/>
  <c r="BE344" i="3"/>
  <c r="BE343" i="3"/>
  <c r="BE342" i="3"/>
  <c r="BE341" i="3"/>
  <c r="BE340" i="3"/>
  <c r="BE339" i="3"/>
  <c r="BE338" i="3"/>
  <c r="BE337" i="3"/>
  <c r="BE336" i="3"/>
  <c r="BE335" i="3"/>
  <c r="BE334" i="3"/>
  <c r="BE333" i="3"/>
  <c r="BE332" i="3"/>
  <c r="BE331" i="3"/>
  <c r="BE330" i="3"/>
  <c r="BE329" i="3"/>
  <c r="BE328" i="3"/>
  <c r="BE327" i="3"/>
  <c r="BE326" i="3"/>
  <c r="BE325" i="3"/>
  <c r="I320" i="3"/>
  <c r="J325" i="3"/>
  <c r="L320" i="3"/>
  <c r="K320" i="3"/>
  <c r="L325" i="3"/>
  <c r="AZ323" i="3"/>
  <c r="AZ321" i="3"/>
  <c r="AZ322" i="3"/>
  <c r="BD322" i="3"/>
  <c r="BD317" i="3"/>
  <c r="BD313" i="3"/>
  <c r="BD311" i="3"/>
  <c r="BD307" i="3"/>
  <c r="BD304" i="3"/>
  <c r="BD301" i="3"/>
  <c r="BD298" i="3"/>
  <c r="BD296" i="3"/>
  <c r="BD293" i="3"/>
  <c r="BD290" i="3"/>
  <c r="BD286" i="3"/>
  <c r="BD281" i="3"/>
  <c r="BD276" i="3"/>
  <c r="BD268" i="3"/>
  <c r="BD261" i="3"/>
  <c r="BD254" i="3"/>
  <c r="BD249" i="3"/>
  <c r="BD246" i="3"/>
  <c r="BD240" i="3"/>
  <c r="BD236" i="3"/>
  <c r="BD227" i="3"/>
  <c r="BD225" i="3"/>
  <c r="BD220" i="3"/>
  <c r="BD213" i="3"/>
  <c r="BD211" i="3"/>
  <c r="BD200" i="3"/>
  <c r="BD195" i="3"/>
  <c r="BD192" i="3"/>
  <c r="BD187" i="3"/>
  <c r="BD185" i="3"/>
  <c r="BD183" i="3"/>
  <c r="BD180" i="3"/>
  <c r="BD177" i="3"/>
  <c r="BD176" i="3"/>
  <c r="BD171" i="3"/>
  <c r="BD167" i="3"/>
  <c r="BD164" i="3"/>
  <c r="BD160" i="3"/>
  <c r="BD157" i="3"/>
  <c r="BD156" i="3"/>
  <c r="BD154" i="3"/>
  <c r="BD149" i="3"/>
  <c r="BD143" i="3"/>
  <c r="BD137" i="3"/>
  <c r="BD133" i="3"/>
  <c r="BD129" i="3"/>
  <c r="BD125" i="3"/>
  <c r="BD117" i="3"/>
  <c r="BD113" i="3"/>
  <c r="BD111" i="3"/>
  <c r="BD104" i="3"/>
  <c r="BD101" i="3"/>
  <c r="BD94" i="3"/>
  <c r="BD90" i="3"/>
  <c r="BD87" i="3"/>
  <c r="BD84" i="3"/>
  <c r="BD82" i="3"/>
  <c r="BD80" i="3"/>
  <c r="BD77" i="3"/>
  <c r="BD75" i="3"/>
  <c r="BD73" i="3"/>
  <c r="BD324" i="3"/>
  <c r="AK324" i="3" s="1"/>
  <c r="BD316" i="3"/>
  <c r="BD310" i="3"/>
  <c r="BD303" i="3"/>
  <c r="BD300" i="3"/>
  <c r="BD295" i="3"/>
  <c r="BD292" i="3"/>
  <c r="BD283" i="3"/>
  <c r="BD280" i="3"/>
  <c r="BD278" i="3"/>
  <c r="BD275" i="3"/>
  <c r="BD272" i="3"/>
  <c r="BD270" i="3"/>
  <c r="BD264" i="3"/>
  <c r="BD260" i="3"/>
  <c r="BD257" i="3"/>
  <c r="BD251" i="3"/>
  <c r="BD248" i="3"/>
  <c r="BD243" i="3"/>
  <c r="BD239" i="3"/>
  <c r="BD235" i="3"/>
  <c r="BD233" i="3"/>
  <c r="BD231" i="3"/>
  <c r="BD229" i="3"/>
  <c r="BD226" i="3"/>
  <c r="BD223" i="3"/>
  <c r="BD219" i="3"/>
  <c r="BD216" i="3"/>
  <c r="BD210" i="3"/>
  <c r="BD204" i="3"/>
  <c r="BD199" i="3"/>
  <c r="BD196" i="3"/>
  <c r="BD190" i="3"/>
  <c r="BD189" i="3"/>
  <c r="BD318" i="3"/>
  <c r="BD305" i="3"/>
  <c r="BD288" i="3"/>
  <c r="BD284" i="3"/>
  <c r="BD273" i="3"/>
  <c r="BD266" i="3"/>
  <c r="BD262" i="3"/>
  <c r="BD255" i="3"/>
  <c r="BD250" i="3"/>
  <c r="BD244" i="3"/>
  <c r="BD237" i="3"/>
  <c r="BD228" i="3"/>
  <c r="BD217" i="3"/>
  <c r="BD208" i="3"/>
  <c r="BD205" i="3"/>
  <c r="BD198" i="3"/>
  <c r="BD188" i="3"/>
  <c r="BD174" i="3"/>
  <c r="BD169" i="3"/>
  <c r="BD165" i="3"/>
  <c r="BD159" i="3"/>
  <c r="BD151" i="3"/>
  <c r="BD147" i="3"/>
  <c r="BD144" i="3"/>
  <c r="BD135" i="3"/>
  <c r="BD130" i="3"/>
  <c r="BD124" i="3"/>
  <c r="BD121" i="3"/>
  <c r="BD118" i="3"/>
  <c r="BD108" i="3"/>
  <c r="BD105" i="3"/>
  <c r="BD100" i="3"/>
  <c r="BD98" i="3"/>
  <c r="BD95" i="3"/>
  <c r="BD85" i="3"/>
  <c r="BD79" i="3"/>
  <c r="BD66" i="3"/>
  <c r="BD63" i="3"/>
  <c r="BD56" i="3"/>
  <c r="BD54" i="3"/>
  <c r="BD47" i="3"/>
  <c r="BD45" i="3"/>
  <c r="BD39" i="3"/>
  <c r="BD37" i="3"/>
  <c r="BD30" i="3"/>
  <c r="BD24" i="3"/>
  <c r="BD21" i="3"/>
  <c r="BD6" i="3"/>
  <c r="BD3" i="3"/>
  <c r="BD323" i="3"/>
  <c r="BD320" i="3"/>
  <c r="BD315" i="3"/>
  <c r="BD309" i="3"/>
  <c r="BD302" i="3"/>
  <c r="BD297" i="3"/>
  <c r="BD291" i="3"/>
  <c r="BD287" i="3"/>
  <c r="BD282" i="3"/>
  <c r="BD267" i="3"/>
  <c r="BD265" i="3"/>
  <c r="BD259" i="3"/>
  <c r="BD253" i="3"/>
  <c r="BD242" i="3"/>
  <c r="BD222" i="3"/>
  <c r="BD215" i="3"/>
  <c r="BD207" i="3"/>
  <c r="BD194" i="3"/>
  <c r="BD184" i="3"/>
  <c r="BD182" i="3"/>
  <c r="BD179" i="3"/>
  <c r="BD173" i="3"/>
  <c r="BD168" i="3"/>
  <c r="BD163" i="3"/>
  <c r="BD158" i="3"/>
  <c r="BD142" i="3"/>
  <c r="BD139" i="3"/>
  <c r="BD134" i="3"/>
  <c r="BD128" i="3"/>
  <c r="BD116" i="3"/>
  <c r="BD112" i="3"/>
  <c r="BD109" i="3"/>
  <c r="BD314" i="3"/>
  <c r="BD308" i="3"/>
  <c r="BD277" i="3"/>
  <c r="BD271" i="3"/>
  <c r="BD258" i="3"/>
  <c r="BD252" i="3"/>
  <c r="BD247" i="3"/>
  <c r="BD241" i="3"/>
  <c r="BD234" i="3"/>
  <c r="BD230" i="3"/>
  <c r="BD221" i="3"/>
  <c r="BD214" i="3"/>
  <c r="BD203" i="3"/>
  <c r="BD201" i="3"/>
  <c r="BD197" i="3"/>
  <c r="BD193" i="3"/>
  <c r="BD186" i="3"/>
  <c r="BD175" i="3"/>
  <c r="BD172" i="3"/>
  <c r="BD162" i="3"/>
  <c r="BD153" i="3"/>
  <c r="BD150" i="3"/>
  <c r="BD321" i="3"/>
  <c r="BD319" i="3"/>
  <c r="BD312" i="3"/>
  <c r="BD306" i="3"/>
  <c r="BD299" i="3"/>
  <c r="BD294" i="3"/>
  <c r="BD289" i="3"/>
  <c r="BD285" i="3"/>
  <c r="BD279" i="3"/>
  <c r="BD274" i="3"/>
  <c r="BD269" i="3"/>
  <c r="BD263" i="3"/>
  <c r="BD256" i="3"/>
  <c r="BD245" i="3"/>
  <c r="BD238" i="3"/>
  <c r="BD232" i="3"/>
  <c r="BD224" i="3"/>
  <c r="BD218" i="3"/>
  <c r="BD212" i="3"/>
  <c r="BD209" i="3"/>
  <c r="BD206" i="3"/>
  <c r="BD202" i="3"/>
  <c r="BD191" i="3"/>
  <c r="BD181" i="3"/>
  <c r="BD178" i="3"/>
  <c r="BD170" i="3"/>
  <c r="BD166" i="3"/>
  <c r="BD161" i="3"/>
  <c r="BD155" i="3"/>
  <c r="BD152" i="3"/>
  <c r="BD148" i="3"/>
  <c r="BD145" i="3"/>
  <c r="BD140" i="3"/>
  <c r="BD136" i="3"/>
  <c r="BD131" i="3"/>
  <c r="BD126" i="3"/>
  <c r="BD122" i="3"/>
  <c r="BD119" i="3"/>
  <c r="BD114" i="3"/>
  <c r="BD110" i="3"/>
  <c r="BD106" i="3"/>
  <c r="BD103" i="3"/>
  <c r="BD96" i="3"/>
  <c r="BD91" i="3"/>
  <c r="BD88" i="3"/>
  <c r="BD83" i="3"/>
  <c r="BD72" i="3"/>
  <c r="BD138" i="3"/>
  <c r="BD120" i="3"/>
  <c r="BD102" i="3"/>
  <c r="BD99" i="3"/>
  <c r="BD93" i="3"/>
  <c r="BD81" i="3"/>
  <c r="BD64" i="3"/>
  <c r="BD60" i="3"/>
  <c r="BD58" i="3"/>
  <c r="BD52" i="3"/>
  <c r="BD48" i="3"/>
  <c r="BD42" i="3"/>
  <c r="BD36" i="3"/>
  <c r="BD33" i="3"/>
  <c r="BD28" i="3"/>
  <c r="BD25" i="3"/>
  <c r="BD20" i="3"/>
  <c r="BD18" i="3"/>
  <c r="BD10" i="3"/>
  <c r="BD8" i="3"/>
  <c r="BD4" i="3"/>
  <c r="BD115" i="3"/>
  <c r="BD86" i="3"/>
  <c r="BD76" i="3"/>
  <c r="BD69" i="3"/>
  <c r="BD68" i="3"/>
  <c r="BD65" i="3"/>
  <c r="BD55" i="3"/>
  <c r="BD51" i="3"/>
  <c r="BD46" i="3"/>
  <c r="BD35" i="3"/>
  <c r="BD17" i="3"/>
  <c r="AK17" i="3" s="1"/>
  <c r="BD123" i="3"/>
  <c r="BD53" i="3"/>
  <c r="BD40" i="3"/>
  <c r="BD23" i="3"/>
  <c r="BD5" i="3"/>
  <c r="BD132" i="3"/>
  <c r="BD107" i="3"/>
  <c r="BD92" i="3"/>
  <c r="BD62" i="3"/>
  <c r="BD38" i="3"/>
  <c r="BD32" i="3"/>
  <c r="BD29" i="3"/>
  <c r="BD27" i="3"/>
  <c r="BD22" i="3"/>
  <c r="BD15" i="3"/>
  <c r="BD12" i="3"/>
  <c r="BD127" i="3"/>
  <c r="BD78" i="3"/>
  <c r="BD74" i="3"/>
  <c r="BD71" i="3"/>
  <c r="BD57" i="3"/>
  <c r="BD34" i="3"/>
  <c r="AK34" i="3" s="1"/>
  <c r="BD11" i="3"/>
  <c r="BD43" i="3"/>
  <c r="BD31" i="3"/>
  <c r="BD26" i="3"/>
  <c r="BD16" i="3"/>
  <c r="BD13" i="3"/>
  <c r="BD146" i="3"/>
  <c r="BD89" i="3"/>
  <c r="BD61" i="3"/>
  <c r="BD50" i="3"/>
  <c r="BD44" i="3"/>
  <c r="BD41" i="3"/>
  <c r="BD14" i="3"/>
  <c r="BD9" i="3"/>
  <c r="BD7" i="3"/>
  <c r="BD97" i="3"/>
  <c r="BD141" i="3"/>
  <c r="BD70" i="3"/>
  <c r="BD67" i="3"/>
  <c r="BD59" i="3"/>
  <c r="BD49" i="3"/>
  <c r="BD19" i="3"/>
  <c r="BD2" i="3"/>
  <c r="AY324" i="3"/>
  <c r="AY321" i="3"/>
  <c r="AY318" i="3"/>
  <c r="AY316" i="3"/>
  <c r="AY314" i="3"/>
  <c r="AY311" i="3"/>
  <c r="AY306" i="3"/>
  <c r="AY304" i="3"/>
  <c r="AY301" i="3"/>
  <c r="AY299" i="3"/>
  <c r="AY293" i="3"/>
  <c r="AY291" i="3"/>
  <c r="AY288" i="3"/>
  <c r="AY287" i="3"/>
  <c r="AY284" i="3"/>
  <c r="AY281" i="3"/>
  <c r="AY277" i="3"/>
  <c r="AY274" i="3"/>
  <c r="AY271" i="3"/>
  <c r="AY268" i="3"/>
  <c r="AY256" i="3"/>
  <c r="AY254" i="3"/>
  <c r="AY244" i="3"/>
  <c r="AY228" i="3"/>
  <c r="AY226" i="3"/>
  <c r="AY225" i="3"/>
  <c r="AY219" i="3"/>
  <c r="AY216" i="3"/>
  <c r="AY214" i="3"/>
  <c r="AY211" i="3"/>
  <c r="AY201" i="3"/>
  <c r="AY199" i="3"/>
  <c r="AY197" i="3"/>
  <c r="AY193" i="3"/>
  <c r="AY181" i="3"/>
  <c r="AY153" i="3"/>
  <c r="AY150" i="3"/>
  <c r="AY148" i="3"/>
  <c r="AY145" i="3"/>
  <c r="AY143" i="3"/>
  <c r="AY139" i="3"/>
  <c r="AY137" i="3"/>
  <c r="AY135" i="3"/>
  <c r="AY133" i="3"/>
  <c r="AY131" i="3"/>
  <c r="AY129" i="3"/>
  <c r="AY127" i="3"/>
  <c r="AY125" i="3"/>
  <c r="AY122" i="3"/>
  <c r="AY119" i="3"/>
  <c r="AY117" i="3"/>
  <c r="AY115" i="3"/>
  <c r="AY112" i="3"/>
  <c r="AY103" i="3"/>
  <c r="AY86" i="3"/>
  <c r="AY79" i="3"/>
  <c r="AY77" i="3"/>
  <c r="AY73" i="3"/>
  <c r="AY71" i="3"/>
  <c r="AY70" i="3"/>
  <c r="AY69" i="3"/>
  <c r="AY65" i="3"/>
  <c r="AY322" i="3"/>
  <c r="AY312" i="3"/>
  <c r="AY309" i="3"/>
  <c r="AY307" i="3"/>
  <c r="AY302" i="3"/>
  <c r="AY296" i="3"/>
  <c r="AY294" i="3"/>
  <c r="AY282" i="3"/>
  <c r="AY279" i="3"/>
  <c r="AY278" i="3"/>
  <c r="AY275" i="3"/>
  <c r="AY272" i="3"/>
  <c r="AY269" i="3"/>
  <c r="AY266" i="3"/>
  <c r="AY265" i="3"/>
  <c r="AY264" i="3"/>
  <c r="AY261" i="3"/>
  <c r="AY259" i="3"/>
  <c r="AY250" i="3"/>
  <c r="AY247" i="3"/>
  <c r="AY242" i="3"/>
  <c r="AY240" i="3"/>
  <c r="AY238" i="3"/>
  <c r="AY236" i="3"/>
  <c r="AY233" i="3"/>
  <c r="AY229" i="3"/>
  <c r="AY222" i="3"/>
  <c r="AY217" i="3"/>
  <c r="AY212" i="3"/>
  <c r="AY209" i="3"/>
  <c r="AY206" i="3"/>
  <c r="AY203" i="3"/>
  <c r="AY191" i="3"/>
  <c r="AY190" i="3"/>
  <c r="AY188" i="3"/>
  <c r="AY185" i="3"/>
  <c r="AY184" i="3"/>
  <c r="AY182" i="3"/>
  <c r="AY179" i="3"/>
  <c r="AY178" i="3"/>
  <c r="AY177" i="3"/>
  <c r="AY175" i="3"/>
  <c r="AY174" i="3"/>
  <c r="AY172" i="3"/>
  <c r="AY308" i="3"/>
  <c r="AY298" i="3"/>
  <c r="AY295" i="3"/>
  <c r="AY290" i="3"/>
  <c r="AY286" i="3"/>
  <c r="AY283" i="3"/>
  <c r="AY270" i="3"/>
  <c r="AY267" i="3"/>
  <c r="AY263" i="3"/>
  <c r="AY260" i="3"/>
  <c r="AY258" i="3"/>
  <c r="AY253" i="3"/>
  <c r="AY252" i="3"/>
  <c r="AY249" i="3"/>
  <c r="AY246" i="3"/>
  <c r="AY243" i="3"/>
  <c r="AY241" i="3"/>
  <c r="AY239" i="3"/>
  <c r="AY237" i="3"/>
  <c r="AY235" i="3"/>
  <c r="AY232" i="3"/>
  <c r="AY231" i="3"/>
  <c r="AY224" i="3"/>
  <c r="AY223" i="3"/>
  <c r="AY221" i="3"/>
  <c r="AY210" i="3"/>
  <c r="AY208" i="3"/>
  <c r="AY207" i="3"/>
  <c r="AY205" i="3"/>
  <c r="AY198" i="3"/>
  <c r="AY196" i="3"/>
  <c r="AY195" i="3"/>
  <c r="AY187" i="3"/>
  <c r="AY183" i="3"/>
  <c r="AY173" i="3"/>
  <c r="AY171" i="3"/>
  <c r="AY169" i="3"/>
  <c r="AY167" i="3"/>
  <c r="AY166" i="3"/>
  <c r="AY164" i="3"/>
  <c r="AY162" i="3"/>
  <c r="AY160" i="3"/>
  <c r="AY158" i="3"/>
  <c r="AY156" i="3"/>
  <c r="AY140" i="3"/>
  <c r="AY111" i="3"/>
  <c r="AY108" i="3"/>
  <c r="AY107" i="3"/>
  <c r="AY102" i="3"/>
  <c r="AY100" i="3"/>
  <c r="AY99" i="3"/>
  <c r="AY96" i="3"/>
  <c r="AY94" i="3"/>
  <c r="AY92" i="3"/>
  <c r="AY90" i="3"/>
  <c r="AY85" i="3"/>
  <c r="AY82" i="3"/>
  <c r="AY76" i="3"/>
  <c r="AY72" i="3"/>
  <c r="AY60" i="3"/>
  <c r="AY58" i="3"/>
  <c r="AY53" i="3"/>
  <c r="AY50" i="3"/>
  <c r="AY39" i="3"/>
  <c r="AY37" i="3"/>
  <c r="AY17" i="3"/>
  <c r="AY313" i="3"/>
  <c r="AY303" i="3"/>
  <c r="AY262" i="3"/>
  <c r="AY245" i="3"/>
  <c r="AY200" i="3"/>
  <c r="AY189" i="3"/>
  <c r="AY170" i="3"/>
  <c r="AY163" i="3"/>
  <c r="AY154" i="3"/>
  <c r="AY152" i="3"/>
  <c r="AY142" i="3"/>
  <c r="AY136" i="3"/>
  <c r="AY128" i="3"/>
  <c r="AY118" i="3"/>
  <c r="AY113" i="3"/>
  <c r="AY91" i="3"/>
  <c r="AY89" i="3"/>
  <c r="AY88" i="3"/>
  <c r="AY87" i="3"/>
  <c r="AY80" i="3"/>
  <c r="AY78" i="3"/>
  <c r="AY56" i="3"/>
  <c r="AY55" i="3"/>
  <c r="AY54" i="3"/>
  <c r="AY52" i="3"/>
  <c r="AY43" i="3"/>
  <c r="AY40" i="3"/>
  <c r="AY38" i="3"/>
  <c r="AY31" i="3"/>
  <c r="AY27" i="3"/>
  <c r="AY26" i="3"/>
  <c r="AY24" i="3"/>
  <c r="AY23" i="3"/>
  <c r="AY22" i="3"/>
  <c r="AY21" i="3"/>
  <c r="AY16" i="3"/>
  <c r="AY15" i="3"/>
  <c r="AY12" i="3"/>
  <c r="AY315" i="3"/>
  <c r="AY305" i="3"/>
  <c r="AY300" i="3"/>
  <c r="AY289" i="3"/>
  <c r="AY251" i="3"/>
  <c r="AY227" i="3"/>
  <c r="AY218" i="3"/>
  <c r="AY213" i="3"/>
  <c r="AY202" i="3"/>
  <c r="AY180" i="3"/>
  <c r="AY165" i="3"/>
  <c r="AY155" i="3"/>
  <c r="AY144" i="3"/>
  <c r="AY138" i="3"/>
  <c r="AY130" i="3"/>
  <c r="AY123" i="3"/>
  <c r="AY121" i="3"/>
  <c r="AY120" i="3"/>
  <c r="AY109" i="3"/>
  <c r="AY93" i="3"/>
  <c r="AY84" i="3"/>
  <c r="AY83" i="3"/>
  <c r="AY81" i="3"/>
  <c r="AY74" i="3"/>
  <c r="AY68" i="3"/>
  <c r="AY67" i="3"/>
  <c r="AY66" i="3"/>
  <c r="AY59" i="3"/>
  <c r="AY32" i="3"/>
  <c r="AY29" i="3"/>
  <c r="AY19" i="3"/>
  <c r="AY13" i="3"/>
  <c r="AY7" i="3"/>
  <c r="AY5" i="3"/>
  <c r="AY2" i="3"/>
  <c r="AY44" i="3"/>
  <c r="AY42" i="3"/>
  <c r="AY41" i="3"/>
  <c r="AY34" i="3"/>
  <c r="AY33" i="3"/>
  <c r="AY30" i="3"/>
  <c r="AY28" i="3"/>
  <c r="AY14" i="3"/>
  <c r="AY10" i="3"/>
  <c r="AY9" i="3"/>
  <c r="AY8" i="3"/>
  <c r="AY3" i="3"/>
  <c r="AY297" i="3"/>
  <c r="AY273" i="3"/>
  <c r="AY257" i="3"/>
  <c r="AY230" i="3"/>
  <c r="AY204" i="3"/>
  <c r="AY194" i="3"/>
  <c r="AY134" i="3"/>
  <c r="AY97" i="3"/>
  <c r="AY64" i="3"/>
  <c r="AY63" i="3"/>
  <c r="AY62" i="3"/>
  <c r="AY51" i="3"/>
  <c r="AY11" i="3"/>
  <c r="AY6" i="3"/>
  <c r="AY4" i="3"/>
  <c r="AY323" i="3"/>
  <c r="AY317" i="3"/>
  <c r="AY310" i="3"/>
  <c r="AY285" i="3"/>
  <c r="AY280" i="3"/>
  <c r="AY276" i="3"/>
  <c r="AY255" i="3"/>
  <c r="AY248" i="3"/>
  <c r="AY234" i="3"/>
  <c r="AY220" i="3"/>
  <c r="AY215" i="3"/>
  <c r="AY192" i="3"/>
  <c r="AY186" i="3"/>
  <c r="AY176" i="3"/>
  <c r="AY159" i="3"/>
  <c r="AY157" i="3"/>
  <c r="AY147" i="3"/>
  <c r="AY146" i="3"/>
  <c r="AY141" i="3"/>
  <c r="AY132" i="3"/>
  <c r="AY124" i="3"/>
  <c r="AY114" i="3"/>
  <c r="AY110" i="3"/>
  <c r="AY105" i="3"/>
  <c r="AY104" i="3"/>
  <c r="AY95" i="3"/>
  <c r="AY75" i="3"/>
  <c r="AY61" i="3"/>
  <c r="AY57" i="3"/>
  <c r="AY48" i="3"/>
  <c r="AY47" i="3"/>
  <c r="AY46" i="3"/>
  <c r="AY35" i="3"/>
  <c r="AY25" i="3"/>
  <c r="AY319" i="3"/>
  <c r="AY292" i="3"/>
  <c r="AY168" i="3"/>
  <c r="AY161" i="3"/>
  <c r="AY151" i="3"/>
  <c r="AY149" i="3"/>
  <c r="AY126" i="3"/>
  <c r="AY116" i="3"/>
  <c r="AY106" i="3"/>
  <c r="AY101" i="3"/>
  <c r="AY98" i="3"/>
  <c r="AY49" i="3"/>
  <c r="AY45" i="3"/>
  <c r="AY36" i="3"/>
  <c r="AY20" i="3"/>
  <c r="AY18" i="3"/>
  <c r="K325" i="3"/>
  <c r="I325" i="3"/>
  <c r="H325" i="3"/>
  <c r="BA324" i="3"/>
  <c r="BA318" i="3"/>
  <c r="BA311" i="3"/>
  <c r="BA310" i="3"/>
  <c r="BA305" i="3"/>
  <c r="BA304" i="3"/>
  <c r="BA296" i="3"/>
  <c r="BA293" i="3"/>
  <c r="BA275" i="3"/>
  <c r="BA263" i="3"/>
  <c r="BA262" i="3"/>
  <c r="BA261" i="3"/>
  <c r="BA259" i="3"/>
  <c r="BA254" i="3"/>
  <c r="BA253" i="3"/>
  <c r="BA247" i="3"/>
  <c r="BA243" i="3"/>
  <c r="BA242" i="3"/>
  <c r="BA239" i="3"/>
  <c r="BA234" i="3"/>
  <c r="BA230" i="3"/>
  <c r="BA319" i="3"/>
  <c r="BA316" i="3"/>
  <c r="BA315" i="3"/>
  <c r="BA314" i="3"/>
  <c r="BA313" i="3"/>
  <c r="BA307" i="3"/>
  <c r="BA301" i="3"/>
  <c r="BA299" i="3"/>
  <c r="BA298" i="3"/>
  <c r="BA297" i="3"/>
  <c r="BA295" i="3"/>
  <c r="BA294" i="3"/>
  <c r="BA291" i="3"/>
  <c r="BA289" i="3"/>
  <c r="BA288" i="3"/>
  <c r="BA287" i="3"/>
  <c r="BA285" i="3"/>
  <c r="BA284" i="3"/>
  <c r="BA282" i="3"/>
  <c r="BA280" i="3"/>
  <c r="BA278" i="3"/>
  <c r="BA277" i="3"/>
  <c r="BA276" i="3"/>
  <c r="BA273" i="3"/>
  <c r="BA271" i="3"/>
  <c r="BA266" i="3"/>
  <c r="BA264" i="3"/>
  <c r="BA260" i="3"/>
  <c r="BA258" i="3"/>
  <c r="BA257" i="3"/>
  <c r="BA256" i="3"/>
  <c r="BA252" i="3"/>
  <c r="BA251" i="3"/>
  <c r="BA245" i="3"/>
  <c r="BA233" i="3"/>
  <c r="BA232" i="3"/>
  <c r="BA227" i="3"/>
  <c r="BA222" i="3"/>
  <c r="BA220" i="3"/>
  <c r="BA219" i="3"/>
  <c r="BA323" i="3"/>
  <c r="BA322" i="3"/>
  <c r="BA321" i="3"/>
  <c r="BA309" i="3"/>
  <c r="BA308" i="3"/>
  <c r="BA303" i="3"/>
  <c r="BA302" i="3"/>
  <c r="BA292" i="3"/>
  <c r="BA286" i="3"/>
  <c r="BA283" i="3"/>
  <c r="BA279" i="3"/>
  <c r="BA274" i="3"/>
  <c r="BA255" i="3"/>
  <c r="BA250" i="3"/>
  <c r="BA249" i="3"/>
  <c r="BA248" i="3"/>
  <c r="BA320" i="3"/>
  <c r="BA312" i="3"/>
  <c r="BA300" i="3"/>
  <c r="BA272" i="3"/>
  <c r="BA270" i="3"/>
  <c r="BA241" i="3"/>
  <c r="BA238" i="3"/>
  <c r="BA236" i="3"/>
  <c r="BA229" i="3"/>
  <c r="BA317" i="3"/>
  <c r="BA268" i="3"/>
  <c r="BA240" i="3"/>
  <c r="BA306" i="3"/>
  <c r="BA281" i="3"/>
  <c r="BA244" i="3"/>
  <c r="BA237" i="3"/>
  <c r="BA290" i="3"/>
  <c r="BA267" i="3"/>
  <c r="BA225" i="3"/>
  <c r="BA218" i="3"/>
  <c r="BA217" i="3"/>
  <c r="BA215" i="3"/>
  <c r="BA214" i="3"/>
  <c r="BA210" i="3"/>
  <c r="BA209" i="3"/>
  <c r="BA201" i="3"/>
  <c r="BA200" i="3"/>
  <c r="BA195" i="3"/>
  <c r="BA192" i="3"/>
  <c r="BA188" i="3"/>
  <c r="BA184" i="3"/>
  <c r="BA180" i="3"/>
  <c r="BA174" i="3"/>
  <c r="BA172" i="3"/>
  <c r="BA171" i="3"/>
  <c r="BA169" i="3"/>
  <c r="BA168" i="3"/>
  <c r="BA162" i="3"/>
  <c r="BA160" i="3"/>
  <c r="BA153" i="3"/>
  <c r="BA150" i="3"/>
  <c r="BA224" i="3"/>
  <c r="BA213" i="3"/>
  <c r="BA211" i="3"/>
  <c r="BA206" i="3"/>
  <c r="BA202" i="3"/>
  <c r="BA194" i="3"/>
  <c r="BA187" i="3"/>
  <c r="BA186" i="3"/>
  <c r="BA185" i="3"/>
  <c r="BA182" i="3"/>
  <c r="BA179" i="3"/>
  <c r="BA178" i="3"/>
  <c r="BA165" i="3"/>
  <c r="BA163" i="3"/>
  <c r="BA159" i="3"/>
  <c r="BA235" i="3"/>
  <c r="BA231" i="3"/>
  <c r="BA228" i="3"/>
  <c r="BA226" i="3"/>
  <c r="BA216" i="3"/>
  <c r="BA208" i="3"/>
  <c r="BA207" i="3"/>
  <c r="BA205" i="3"/>
  <c r="BA204" i="3"/>
  <c r="BA203" i="3"/>
  <c r="BA199" i="3"/>
  <c r="BA197" i="3"/>
  <c r="BA191" i="3"/>
  <c r="BA189" i="3"/>
  <c r="BA175" i="3"/>
  <c r="BA173" i="3"/>
  <c r="BA167" i="3"/>
  <c r="BA158" i="3"/>
  <c r="BA156" i="3"/>
  <c r="BA155" i="3"/>
  <c r="BA154" i="3"/>
  <c r="BA148" i="3"/>
  <c r="BA147" i="3"/>
  <c r="BA141" i="3"/>
  <c r="BA127" i="3"/>
  <c r="BA124" i="3"/>
  <c r="BA123" i="3"/>
  <c r="BA122" i="3"/>
  <c r="BA120" i="3"/>
  <c r="BA106" i="3"/>
  <c r="BA102" i="3"/>
  <c r="BA96" i="3"/>
  <c r="BA94" i="3"/>
  <c r="BA92" i="3"/>
  <c r="BA88" i="3"/>
  <c r="BA87" i="3"/>
  <c r="BA82" i="3"/>
  <c r="BA81" i="3"/>
  <c r="BA79" i="3"/>
  <c r="BA269" i="3"/>
  <c r="BA265" i="3"/>
  <c r="BA246" i="3"/>
  <c r="BA223" i="3"/>
  <c r="BA221" i="3"/>
  <c r="BA212" i="3"/>
  <c r="BA198" i="3"/>
  <c r="BA196" i="3"/>
  <c r="BA193" i="3"/>
  <c r="BA190" i="3"/>
  <c r="BA183" i="3"/>
  <c r="BA181" i="3"/>
  <c r="BA177" i="3"/>
  <c r="BA176" i="3"/>
  <c r="BA170" i="3"/>
  <c r="BA166" i="3"/>
  <c r="BA164" i="3"/>
  <c r="BA161" i="3"/>
  <c r="BA157" i="3"/>
  <c r="BA151" i="3"/>
  <c r="BA149" i="3"/>
  <c r="BA144" i="3"/>
  <c r="BA143" i="3"/>
  <c r="BA138" i="3"/>
  <c r="BA136" i="3"/>
  <c r="BA135" i="3"/>
  <c r="BA134" i="3"/>
  <c r="BA133" i="3"/>
  <c r="BA132" i="3"/>
  <c r="BA131" i="3"/>
  <c r="BA130" i="3"/>
  <c r="BA128" i="3"/>
  <c r="BA142" i="3"/>
  <c r="BA112" i="3"/>
  <c r="BA100" i="3"/>
  <c r="BA97" i="3"/>
  <c r="BA95" i="3"/>
  <c r="BA93" i="3"/>
  <c r="BA91" i="3"/>
  <c r="BA86" i="3"/>
  <c r="BA85" i="3"/>
  <c r="BA83" i="3"/>
  <c r="BA80" i="3"/>
  <c r="BA77" i="3"/>
  <c r="BA76" i="3"/>
  <c r="BA75" i="3"/>
  <c r="BA69" i="3"/>
  <c r="BA62" i="3"/>
  <c r="BA59" i="3"/>
  <c r="BA57" i="3"/>
  <c r="BA52" i="3"/>
  <c r="BA49" i="3"/>
  <c r="BA40" i="3"/>
  <c r="BA39" i="3"/>
  <c r="BA35" i="3"/>
  <c r="BA33" i="3"/>
  <c r="BA30" i="3"/>
  <c r="BA29" i="3"/>
  <c r="BA27" i="3"/>
  <c r="BA24" i="3"/>
  <c r="BA22" i="3"/>
  <c r="BA20" i="3"/>
  <c r="BA16" i="3"/>
  <c r="BA14" i="3"/>
  <c r="BA152" i="3"/>
  <c r="BA140" i="3"/>
  <c r="BA139" i="3"/>
  <c r="BA121" i="3"/>
  <c r="BA119" i="3"/>
  <c r="BA113" i="3"/>
  <c r="BA111" i="3"/>
  <c r="BA105" i="3"/>
  <c r="BA104" i="3"/>
  <c r="BA90" i="3"/>
  <c r="BA84" i="3"/>
  <c r="BA66" i="3"/>
  <c r="BA58" i="3"/>
  <c r="BA53" i="3"/>
  <c r="BA51" i="3"/>
  <c r="BA45" i="3"/>
  <c r="BA43" i="3"/>
  <c r="BA37" i="3"/>
  <c r="BA36" i="3"/>
  <c r="BA32" i="3"/>
  <c r="BA31" i="3"/>
  <c r="BA21" i="3"/>
  <c r="BA146" i="3"/>
  <c r="BA129" i="3"/>
  <c r="BA126" i="3"/>
  <c r="BA117" i="3"/>
  <c r="BA115" i="3"/>
  <c r="BA114" i="3"/>
  <c r="BA109" i="3"/>
  <c r="BA101" i="3"/>
  <c r="BA98" i="3"/>
  <c r="BA78" i="3"/>
  <c r="BA74" i="3"/>
  <c r="BA73" i="3"/>
  <c r="BA71" i="3"/>
  <c r="BA67" i="3"/>
  <c r="BA64" i="3"/>
  <c r="BA61" i="3"/>
  <c r="BA55" i="3"/>
  <c r="BA54" i="3"/>
  <c r="BA47" i="3"/>
  <c r="BA42" i="3"/>
  <c r="BA41" i="3"/>
  <c r="BA38" i="3"/>
  <c r="BA34" i="3"/>
  <c r="BA110" i="3"/>
  <c r="BA103" i="3"/>
  <c r="BA65" i="3"/>
  <c r="BA63" i="3"/>
  <c r="BA56" i="3"/>
  <c r="BA26" i="3"/>
  <c r="BA25" i="3"/>
  <c r="BA23" i="3"/>
  <c r="BA19" i="3"/>
  <c r="BA11" i="3"/>
  <c r="BA8" i="3"/>
  <c r="BA44" i="3"/>
  <c r="BA17" i="3"/>
  <c r="BA2" i="3"/>
  <c r="BA68" i="3"/>
  <c r="BA9" i="3"/>
  <c r="BA7" i="3"/>
  <c r="BA137" i="3"/>
  <c r="BA118" i="3"/>
  <c r="BA107" i="3"/>
  <c r="BA89" i="3"/>
  <c r="BA70" i="3"/>
  <c r="BA60" i="3"/>
  <c r="BA50" i="3"/>
  <c r="BA48" i="3"/>
  <c r="BA15" i="3"/>
  <c r="BA13" i="3"/>
  <c r="BA12" i="3"/>
  <c r="BA6" i="3"/>
  <c r="BA5" i="3"/>
  <c r="BA145" i="3"/>
  <c r="BA125" i="3"/>
  <c r="BA116" i="3"/>
  <c r="BA108" i="3"/>
  <c r="BA99" i="3"/>
  <c r="BA72" i="3"/>
  <c r="BA46" i="3"/>
  <c r="BA28" i="3"/>
  <c r="BA18" i="3"/>
  <c r="T18" i="3" s="1"/>
  <c r="BA10" i="3"/>
  <c r="BA4" i="3"/>
  <c r="BA3" i="3"/>
  <c r="BB320" i="3"/>
  <c r="BB317" i="3"/>
  <c r="BB312" i="3"/>
  <c r="BB306" i="3"/>
  <c r="BB300" i="3"/>
  <c r="BB290" i="3"/>
  <c r="BB281" i="3"/>
  <c r="BB272" i="3"/>
  <c r="BB270" i="3"/>
  <c r="BB269" i="3"/>
  <c r="BB268" i="3"/>
  <c r="BB267" i="3"/>
  <c r="BB265" i="3"/>
  <c r="BB246" i="3"/>
  <c r="BB244" i="3"/>
  <c r="BB238" i="3"/>
  <c r="BB236" i="3"/>
  <c r="BB235" i="3"/>
  <c r="BB231" i="3"/>
  <c r="BB229" i="3"/>
  <c r="BB323" i="3"/>
  <c r="BB322" i="3"/>
  <c r="BB321" i="3"/>
  <c r="BB309" i="3"/>
  <c r="BB308" i="3"/>
  <c r="BB303" i="3"/>
  <c r="BB302" i="3"/>
  <c r="BB292" i="3"/>
  <c r="BB286" i="3"/>
  <c r="BB283" i="3"/>
  <c r="BB279" i="3"/>
  <c r="BB274" i="3"/>
  <c r="BB255" i="3"/>
  <c r="BB250" i="3"/>
  <c r="BB249" i="3"/>
  <c r="BB248" i="3"/>
  <c r="BB241" i="3"/>
  <c r="BB240" i="3"/>
  <c r="BB237" i="3"/>
  <c r="BB228" i="3"/>
  <c r="BB225" i="3"/>
  <c r="BB223" i="3"/>
  <c r="BB324" i="3"/>
  <c r="Y324" i="3" s="1"/>
  <c r="BB318" i="3"/>
  <c r="BB311" i="3"/>
  <c r="BB310" i="3"/>
  <c r="BB305" i="3"/>
  <c r="BB304" i="3"/>
  <c r="BB296" i="3"/>
  <c r="BB293" i="3"/>
  <c r="BB275" i="3"/>
  <c r="BB263" i="3"/>
  <c r="BB262" i="3"/>
  <c r="BB261" i="3"/>
  <c r="BB259" i="3"/>
  <c r="BB254" i="3"/>
  <c r="BB253" i="3"/>
  <c r="BB247" i="3"/>
  <c r="BB243" i="3"/>
  <c r="BB313" i="3"/>
  <c r="BB295" i="3"/>
  <c r="BB289" i="3"/>
  <c r="BB287" i="3"/>
  <c r="BB282" i="3"/>
  <c r="BB273" i="3"/>
  <c r="BB266" i="3"/>
  <c r="BB260" i="3"/>
  <c r="BB256" i="3"/>
  <c r="BB242" i="3"/>
  <c r="BB233" i="3"/>
  <c r="BB227" i="3"/>
  <c r="BB224" i="3"/>
  <c r="BB315" i="3"/>
  <c r="BB307" i="3"/>
  <c r="BB298" i="3"/>
  <c r="BB294" i="3"/>
  <c r="BB288" i="3"/>
  <c r="BB278" i="3"/>
  <c r="BB264" i="3"/>
  <c r="BB258" i="3"/>
  <c r="BB245" i="3"/>
  <c r="BB239" i="3"/>
  <c r="BB234" i="3"/>
  <c r="BB232" i="3"/>
  <c r="BB226" i="3"/>
  <c r="BB301" i="3"/>
  <c r="BB299" i="3"/>
  <c r="BB291" i="3"/>
  <c r="BB285" i="3"/>
  <c r="BB284" i="3"/>
  <c r="BB277" i="3"/>
  <c r="BB271" i="3"/>
  <c r="BB257" i="3"/>
  <c r="BB252" i="3"/>
  <c r="BB316" i="3"/>
  <c r="BB297" i="3"/>
  <c r="AA297" i="3" s="1"/>
  <c r="BB276" i="3"/>
  <c r="BB251" i="3"/>
  <c r="BB213" i="3"/>
  <c r="BB211" i="3"/>
  <c r="BB206" i="3"/>
  <c r="BB202" i="3"/>
  <c r="BB194" i="3"/>
  <c r="BB187" i="3"/>
  <c r="BB186" i="3"/>
  <c r="BB185" i="3"/>
  <c r="BB182" i="3"/>
  <c r="BB179" i="3"/>
  <c r="BB178" i="3"/>
  <c r="BB165" i="3"/>
  <c r="BB163" i="3"/>
  <c r="BB159" i="3"/>
  <c r="BB152" i="3"/>
  <c r="BB280" i="3"/>
  <c r="BB216" i="3"/>
  <c r="BB208" i="3"/>
  <c r="BB207" i="3"/>
  <c r="BB205" i="3"/>
  <c r="BB204" i="3"/>
  <c r="BB203" i="3"/>
  <c r="BB199" i="3"/>
  <c r="BB197" i="3"/>
  <c r="BB191" i="3"/>
  <c r="BB189" i="3"/>
  <c r="BB175" i="3"/>
  <c r="BB173" i="3"/>
  <c r="BB167" i="3"/>
  <c r="BB158" i="3"/>
  <c r="BB221" i="3"/>
  <c r="BB212" i="3"/>
  <c r="BB198" i="3"/>
  <c r="BB196" i="3"/>
  <c r="BB193" i="3"/>
  <c r="BB190" i="3"/>
  <c r="BB183" i="3"/>
  <c r="BB181" i="3"/>
  <c r="BB177" i="3"/>
  <c r="BB176" i="3"/>
  <c r="BB170" i="3"/>
  <c r="BB166" i="3"/>
  <c r="BB164" i="3"/>
  <c r="BB161" i="3"/>
  <c r="BB157" i="3"/>
  <c r="BB151" i="3"/>
  <c r="BB149" i="3"/>
  <c r="BB144" i="3"/>
  <c r="BB143" i="3"/>
  <c r="BB138" i="3"/>
  <c r="BB136" i="3"/>
  <c r="BB135" i="3"/>
  <c r="BB134" i="3"/>
  <c r="BB133" i="3"/>
  <c r="BB132" i="3"/>
  <c r="BB131" i="3"/>
  <c r="BB130" i="3"/>
  <c r="BB128" i="3"/>
  <c r="BB118" i="3"/>
  <c r="BB117" i="3"/>
  <c r="BB115" i="3"/>
  <c r="BB114" i="3"/>
  <c r="BB111" i="3"/>
  <c r="BB108" i="3"/>
  <c r="BB107" i="3"/>
  <c r="BB104" i="3"/>
  <c r="BB99" i="3"/>
  <c r="BB83" i="3"/>
  <c r="BB78" i="3"/>
  <c r="BB319" i="3"/>
  <c r="BB314" i="3"/>
  <c r="BB230" i="3"/>
  <c r="BB222" i="3"/>
  <c r="BB220" i="3"/>
  <c r="BB219" i="3"/>
  <c r="BB218" i="3"/>
  <c r="BB217" i="3"/>
  <c r="BB215" i="3"/>
  <c r="BB214" i="3"/>
  <c r="BB210" i="3"/>
  <c r="BB209" i="3"/>
  <c r="BB201" i="3"/>
  <c r="BB200" i="3"/>
  <c r="BB195" i="3"/>
  <c r="BB192" i="3"/>
  <c r="BB188" i="3"/>
  <c r="BB184" i="3"/>
  <c r="BB180" i="3"/>
  <c r="BB174" i="3"/>
  <c r="BB172" i="3"/>
  <c r="BB171" i="3"/>
  <c r="BB169" i="3"/>
  <c r="BB168" i="3"/>
  <c r="BB162" i="3"/>
  <c r="BB160" i="3"/>
  <c r="BB153" i="3"/>
  <c r="BB150" i="3"/>
  <c r="BB146" i="3"/>
  <c r="BB145" i="3"/>
  <c r="AA145" i="3" s="1"/>
  <c r="BB126" i="3"/>
  <c r="BB125" i="3"/>
  <c r="BB140" i="3"/>
  <c r="BB139" i="3"/>
  <c r="BB122" i="3"/>
  <c r="BB121" i="3"/>
  <c r="BB119" i="3"/>
  <c r="BB113" i="3"/>
  <c r="BB105" i="3"/>
  <c r="BB96" i="3"/>
  <c r="BB90" i="3"/>
  <c r="BB84" i="3"/>
  <c r="BB66" i="3"/>
  <c r="BB58" i="3"/>
  <c r="BB53" i="3"/>
  <c r="BB51" i="3"/>
  <c r="BB45" i="3"/>
  <c r="BB43" i="3"/>
  <c r="BB37" i="3"/>
  <c r="BB36" i="3"/>
  <c r="BB32" i="3"/>
  <c r="BB31" i="3"/>
  <c r="BB21" i="3"/>
  <c r="BB155" i="3"/>
  <c r="BB147" i="3"/>
  <c r="BB137" i="3"/>
  <c r="BB116" i="3"/>
  <c r="BB110" i="3"/>
  <c r="BB103" i="3"/>
  <c r="BB89" i="3"/>
  <c r="BB79" i="3"/>
  <c r="BB72" i="3"/>
  <c r="BB70" i="3"/>
  <c r="BB68" i="3"/>
  <c r="BB65" i="3"/>
  <c r="BB63" i="3"/>
  <c r="BB60" i="3"/>
  <c r="BB56" i="3"/>
  <c r="BB50" i="3"/>
  <c r="Y50" i="3" s="1"/>
  <c r="BB48" i="3"/>
  <c r="BB46" i="3"/>
  <c r="BB44" i="3"/>
  <c r="BB28" i="3"/>
  <c r="BB26" i="3"/>
  <c r="BB25" i="3"/>
  <c r="BB23" i="3"/>
  <c r="BB19" i="3"/>
  <c r="BB15" i="3"/>
  <c r="BB156" i="3"/>
  <c r="BB154" i="3"/>
  <c r="BB148" i="3"/>
  <c r="BB142" i="3"/>
  <c r="BB123" i="3"/>
  <c r="BB112" i="3"/>
  <c r="BB106" i="3"/>
  <c r="BB100" i="3"/>
  <c r="BB97" i="3"/>
  <c r="BB95" i="3"/>
  <c r="BB93" i="3"/>
  <c r="BB91" i="3"/>
  <c r="BB86" i="3"/>
  <c r="BB85" i="3"/>
  <c r="BB82" i="3"/>
  <c r="BB81" i="3"/>
  <c r="BB80" i="3"/>
  <c r="BB77" i="3"/>
  <c r="BB76" i="3"/>
  <c r="BB75" i="3"/>
  <c r="BB69" i="3"/>
  <c r="BB62" i="3"/>
  <c r="BB59" i="3"/>
  <c r="BB57" i="3"/>
  <c r="BB52" i="3"/>
  <c r="BB49" i="3"/>
  <c r="BB40" i="3"/>
  <c r="BB39" i="3"/>
  <c r="BB35" i="3"/>
  <c r="BB33" i="3"/>
  <c r="BB30" i="3"/>
  <c r="BB29" i="3"/>
  <c r="BB27" i="3"/>
  <c r="BB24" i="3"/>
  <c r="BB124" i="3"/>
  <c r="BB54" i="3"/>
  <c r="BB42" i="3"/>
  <c r="BB38" i="3"/>
  <c r="BB34" i="3"/>
  <c r="BB22" i="3"/>
  <c r="BB17" i="3"/>
  <c r="BB2" i="3"/>
  <c r="BB129" i="3"/>
  <c r="BB127" i="3"/>
  <c r="BB120" i="3"/>
  <c r="BB101" i="3"/>
  <c r="BB94" i="3"/>
  <c r="BB88" i="3"/>
  <c r="BB61" i="3"/>
  <c r="BB20" i="3"/>
  <c r="BB13" i="3"/>
  <c r="BB12" i="3"/>
  <c r="BB6" i="3"/>
  <c r="BB5" i="3"/>
  <c r="BB74" i="3"/>
  <c r="BB67" i="3"/>
  <c r="BB55" i="3"/>
  <c r="BB11" i="3"/>
  <c r="BB92" i="3"/>
  <c r="BB73" i="3"/>
  <c r="BB47" i="3"/>
  <c r="BB18" i="3"/>
  <c r="Y18" i="3" s="1"/>
  <c r="BB16" i="3"/>
  <c r="BB10" i="3"/>
  <c r="BB9" i="3"/>
  <c r="BB7" i="3"/>
  <c r="BB4" i="3"/>
  <c r="BB3" i="3"/>
  <c r="BB141" i="3"/>
  <c r="BB109" i="3"/>
  <c r="BB102" i="3"/>
  <c r="BB98" i="3"/>
  <c r="BB87" i="3"/>
  <c r="BB71" i="3"/>
  <c r="BB64" i="3"/>
  <c r="BB41" i="3"/>
  <c r="BB14" i="3"/>
  <c r="BB8" i="3"/>
  <c r="BC319" i="3"/>
  <c r="BC316" i="3"/>
  <c r="BC315" i="3"/>
  <c r="BC314" i="3"/>
  <c r="BC313" i="3"/>
  <c r="BC307" i="3"/>
  <c r="BC301" i="3"/>
  <c r="BC299" i="3"/>
  <c r="BC298" i="3"/>
  <c r="BC297" i="3"/>
  <c r="BC295" i="3"/>
  <c r="BC294" i="3"/>
  <c r="BC291" i="3"/>
  <c r="BC289" i="3"/>
  <c r="BC288" i="3"/>
  <c r="BC287" i="3"/>
  <c r="BC285" i="3"/>
  <c r="BC284" i="3"/>
  <c r="BC282" i="3"/>
  <c r="BC280" i="3"/>
  <c r="BC278" i="3"/>
  <c r="BC277" i="3"/>
  <c r="BC276" i="3"/>
  <c r="BC273" i="3"/>
  <c r="BC271" i="3"/>
  <c r="BC266" i="3"/>
  <c r="BC264" i="3"/>
  <c r="BC260" i="3"/>
  <c r="BC258" i="3"/>
  <c r="BC257" i="3"/>
  <c r="BC256" i="3"/>
  <c r="BC252" i="3"/>
  <c r="BC251" i="3"/>
  <c r="BC245" i="3"/>
  <c r="BC233" i="3"/>
  <c r="BC232" i="3"/>
  <c r="BC227" i="3"/>
  <c r="BC324" i="3"/>
  <c r="BC318" i="3"/>
  <c r="BC311" i="3"/>
  <c r="BC310" i="3"/>
  <c r="BC305" i="3"/>
  <c r="BC304" i="3"/>
  <c r="BC296" i="3"/>
  <c r="BC293" i="3"/>
  <c r="BC275" i="3"/>
  <c r="BC263" i="3"/>
  <c r="BC262" i="3"/>
  <c r="BC261" i="3"/>
  <c r="BC259" i="3"/>
  <c r="BC254" i="3"/>
  <c r="BC253" i="3"/>
  <c r="BC247" i="3"/>
  <c r="BC243" i="3"/>
  <c r="BC242" i="3"/>
  <c r="BC239" i="3"/>
  <c r="BC234" i="3"/>
  <c r="BC230" i="3"/>
  <c r="BC221" i="3"/>
  <c r="BC320" i="3"/>
  <c r="BC317" i="3"/>
  <c r="BC312" i="3"/>
  <c r="BC306" i="3"/>
  <c r="BC300" i="3"/>
  <c r="BC290" i="3"/>
  <c r="BC281" i="3"/>
  <c r="BC272" i="3"/>
  <c r="BC270" i="3"/>
  <c r="BC269" i="3"/>
  <c r="BC268" i="3"/>
  <c r="BC267" i="3"/>
  <c r="BC265" i="3"/>
  <c r="BC246" i="3"/>
  <c r="BC244" i="3"/>
  <c r="BC323" i="3"/>
  <c r="BC321" i="3"/>
  <c r="BC309" i="3"/>
  <c r="BC303" i="3"/>
  <c r="BC249" i="3"/>
  <c r="BC240" i="3"/>
  <c r="BC226" i="3"/>
  <c r="BC225" i="3"/>
  <c r="BC308" i="3"/>
  <c r="BC302" i="3"/>
  <c r="BC286" i="3"/>
  <c r="BC248" i="3"/>
  <c r="BC237" i="3"/>
  <c r="BC322" i="3"/>
  <c r="BC292" i="3"/>
  <c r="BC279" i="3"/>
  <c r="BC255" i="3"/>
  <c r="BC235" i="3"/>
  <c r="BC231" i="3"/>
  <c r="BC274" i="3"/>
  <c r="BC229" i="3"/>
  <c r="BC224" i="3"/>
  <c r="BC216" i="3"/>
  <c r="BC208" i="3"/>
  <c r="BC207" i="3"/>
  <c r="BC205" i="3"/>
  <c r="BC204" i="3"/>
  <c r="BC203" i="3"/>
  <c r="BC199" i="3"/>
  <c r="BC197" i="3"/>
  <c r="BC191" i="3"/>
  <c r="BC189" i="3"/>
  <c r="BC175" i="3"/>
  <c r="BC173" i="3"/>
  <c r="BC167" i="3"/>
  <c r="BC158" i="3"/>
  <c r="BC156" i="3"/>
  <c r="BC155" i="3"/>
  <c r="BC154" i="3"/>
  <c r="BC148" i="3"/>
  <c r="BC147" i="3"/>
  <c r="BC241" i="3"/>
  <c r="BC228" i="3"/>
  <c r="BC212" i="3"/>
  <c r="BC198" i="3"/>
  <c r="BC196" i="3"/>
  <c r="BC193" i="3"/>
  <c r="BC190" i="3"/>
  <c r="BC183" i="3"/>
  <c r="BC181" i="3"/>
  <c r="BC177" i="3"/>
  <c r="BC176" i="3"/>
  <c r="BC170" i="3"/>
  <c r="BC166" i="3"/>
  <c r="BC164" i="3"/>
  <c r="BC161" i="3"/>
  <c r="BC238" i="3"/>
  <c r="BC236" i="3"/>
  <c r="BC223" i="3"/>
  <c r="BC222" i="3"/>
  <c r="BC220" i="3"/>
  <c r="BC219" i="3"/>
  <c r="BC218" i="3"/>
  <c r="BC217" i="3"/>
  <c r="BC215" i="3"/>
  <c r="BC214" i="3"/>
  <c r="BC210" i="3"/>
  <c r="BC209" i="3"/>
  <c r="BC201" i="3"/>
  <c r="BC200" i="3"/>
  <c r="BC195" i="3"/>
  <c r="BC192" i="3"/>
  <c r="BC188" i="3"/>
  <c r="BC184" i="3"/>
  <c r="BC180" i="3"/>
  <c r="BC174" i="3"/>
  <c r="BC172" i="3"/>
  <c r="BC171" i="3"/>
  <c r="BC169" i="3"/>
  <c r="BC168" i="3"/>
  <c r="BC162" i="3"/>
  <c r="BC160" i="3"/>
  <c r="BC153" i="3"/>
  <c r="BC150" i="3"/>
  <c r="BC146" i="3"/>
  <c r="BC145" i="3"/>
  <c r="BC126" i="3"/>
  <c r="BC125" i="3"/>
  <c r="BC119" i="3"/>
  <c r="BC116" i="3"/>
  <c r="BC113" i="3"/>
  <c r="BC105" i="3"/>
  <c r="BC103" i="3"/>
  <c r="BC98" i="3"/>
  <c r="BC97" i="3"/>
  <c r="BC91" i="3"/>
  <c r="BC90" i="3"/>
  <c r="BC89" i="3"/>
  <c r="BC85" i="3"/>
  <c r="BC84" i="3"/>
  <c r="BC77" i="3"/>
  <c r="BC283" i="3"/>
  <c r="BC250" i="3"/>
  <c r="BC213" i="3"/>
  <c r="BC211" i="3"/>
  <c r="BC206" i="3"/>
  <c r="BC202" i="3"/>
  <c r="BC194" i="3"/>
  <c r="BC187" i="3"/>
  <c r="BC186" i="3"/>
  <c r="BC185" i="3"/>
  <c r="BC182" i="3"/>
  <c r="BC179" i="3"/>
  <c r="BC178" i="3"/>
  <c r="BC165" i="3"/>
  <c r="BC163" i="3"/>
  <c r="BC159" i="3"/>
  <c r="BC152" i="3"/>
  <c r="BC142" i="3"/>
  <c r="BC140" i="3"/>
  <c r="BC139" i="3"/>
  <c r="BC137" i="3"/>
  <c r="BC129" i="3"/>
  <c r="BC157" i="3"/>
  <c r="BC135" i="3"/>
  <c r="BC133" i="3"/>
  <c r="BC131" i="3"/>
  <c r="BC111" i="3"/>
  <c r="BC110" i="3"/>
  <c r="BC104" i="3"/>
  <c r="BC79" i="3"/>
  <c r="BC72" i="3"/>
  <c r="BC70" i="3"/>
  <c r="BC68" i="3"/>
  <c r="BC65" i="3"/>
  <c r="BC63" i="3"/>
  <c r="BC60" i="3"/>
  <c r="BC56" i="3"/>
  <c r="BC50" i="3"/>
  <c r="BC48" i="3"/>
  <c r="BC46" i="3"/>
  <c r="BC44" i="3"/>
  <c r="BC28" i="3"/>
  <c r="BC26" i="3"/>
  <c r="BC25" i="3"/>
  <c r="BC23" i="3"/>
  <c r="BC19" i="3"/>
  <c r="BC15" i="3"/>
  <c r="BC144" i="3"/>
  <c r="BC141" i="3"/>
  <c r="BC138" i="3"/>
  <c r="BC127" i="3"/>
  <c r="BC124" i="3"/>
  <c r="BC120" i="3"/>
  <c r="BC118" i="3"/>
  <c r="BC109" i="3"/>
  <c r="BC108" i="3"/>
  <c r="BC107" i="3"/>
  <c r="BC102" i="3"/>
  <c r="BC101" i="3"/>
  <c r="BC99" i="3"/>
  <c r="BC94" i="3"/>
  <c r="BC92" i="3"/>
  <c r="BC88" i="3"/>
  <c r="BC87" i="3"/>
  <c r="BC74" i="3"/>
  <c r="BC73" i="3"/>
  <c r="BC71" i="3"/>
  <c r="BC67" i="3"/>
  <c r="BC64" i="3"/>
  <c r="BC61" i="3"/>
  <c r="BC55" i="3"/>
  <c r="BC54" i="3"/>
  <c r="BC47" i="3"/>
  <c r="BC42" i="3"/>
  <c r="BC41" i="3"/>
  <c r="BC38" i="3"/>
  <c r="BC34" i="3"/>
  <c r="BC18" i="3"/>
  <c r="BC17" i="3"/>
  <c r="BC13" i="3"/>
  <c r="BC151" i="3"/>
  <c r="BC143" i="3"/>
  <c r="BC128" i="3"/>
  <c r="BC122" i="3"/>
  <c r="BC121" i="3"/>
  <c r="BC96" i="3"/>
  <c r="BC83" i="3"/>
  <c r="BC66" i="3"/>
  <c r="BC58" i="3"/>
  <c r="BC53" i="3"/>
  <c r="BC51" i="3"/>
  <c r="BC45" i="3"/>
  <c r="BC43" i="3"/>
  <c r="BC37" i="3"/>
  <c r="BC36" i="3"/>
  <c r="BC32" i="3"/>
  <c r="BC31" i="3"/>
  <c r="BC149" i="3"/>
  <c r="BC100" i="3"/>
  <c r="BC81" i="3"/>
  <c r="BC57" i="3"/>
  <c r="BC52" i="3"/>
  <c r="BC33" i="3"/>
  <c r="BC20" i="3"/>
  <c r="BC12" i="3"/>
  <c r="BC6" i="3"/>
  <c r="BC5" i="3"/>
  <c r="BC134" i="3"/>
  <c r="BC130" i="3"/>
  <c r="BC123" i="3"/>
  <c r="BC95" i="3"/>
  <c r="BC80" i="3"/>
  <c r="BC75" i="3"/>
  <c r="BC35" i="3"/>
  <c r="BC30" i="3"/>
  <c r="BC27" i="3"/>
  <c r="BC24" i="3"/>
  <c r="BC16" i="3"/>
  <c r="BC10" i="3"/>
  <c r="BC9" i="3"/>
  <c r="BC7" i="3"/>
  <c r="BC4" i="3"/>
  <c r="BC3" i="3"/>
  <c r="BC86" i="3"/>
  <c r="BC76" i="3"/>
  <c r="BC115" i="3"/>
  <c r="BC112" i="3"/>
  <c r="BC106" i="3"/>
  <c r="BC93" i="3"/>
  <c r="BC82" i="3"/>
  <c r="BC78" i="3"/>
  <c r="BC69" i="3"/>
  <c r="BC59" i="3"/>
  <c r="BC40" i="3"/>
  <c r="BC39" i="3"/>
  <c r="BC21" i="3"/>
  <c r="BC14" i="3"/>
  <c r="BC11" i="3"/>
  <c r="BC8" i="3"/>
  <c r="BC136" i="3"/>
  <c r="BC132" i="3"/>
  <c r="BC117" i="3"/>
  <c r="BC114" i="3"/>
  <c r="BC62" i="3"/>
  <c r="BC49" i="3"/>
  <c r="BC29" i="3"/>
  <c r="BC22" i="3"/>
  <c r="BC2" i="3"/>
  <c r="AZ309" i="3"/>
  <c r="AZ308" i="3"/>
  <c r="AZ303" i="3"/>
  <c r="AZ302" i="3"/>
  <c r="AZ292" i="3"/>
  <c r="AZ286" i="3"/>
  <c r="AZ283" i="3"/>
  <c r="AZ279" i="3"/>
  <c r="AZ274" i="3"/>
  <c r="AZ255" i="3"/>
  <c r="AZ250" i="3"/>
  <c r="AZ249" i="3"/>
  <c r="AZ248" i="3"/>
  <c r="AZ241" i="3"/>
  <c r="AZ240" i="3"/>
  <c r="AZ237" i="3"/>
  <c r="AZ228" i="3"/>
  <c r="AZ317" i="3"/>
  <c r="AZ312" i="3"/>
  <c r="AZ306" i="3"/>
  <c r="AZ300" i="3"/>
  <c r="AZ290" i="3"/>
  <c r="AZ281" i="3"/>
  <c r="AZ272" i="3"/>
  <c r="AZ270" i="3"/>
  <c r="AZ269" i="3"/>
  <c r="AZ268" i="3"/>
  <c r="AZ267" i="3"/>
  <c r="AZ265" i="3"/>
  <c r="AZ246" i="3"/>
  <c r="AZ244" i="3"/>
  <c r="AZ238" i="3"/>
  <c r="AZ236" i="3"/>
  <c r="AZ235" i="3"/>
  <c r="AZ231" i="3"/>
  <c r="AZ229" i="3"/>
  <c r="AZ226" i="3"/>
  <c r="AZ224" i="3"/>
  <c r="AZ319" i="3"/>
  <c r="AZ316" i="3"/>
  <c r="AZ315" i="3"/>
  <c r="AZ314" i="3"/>
  <c r="AZ313" i="3"/>
  <c r="AZ307" i="3"/>
  <c r="AZ301" i="3"/>
  <c r="AZ299" i="3"/>
  <c r="AZ298" i="3"/>
  <c r="AZ297" i="3"/>
  <c r="AZ295" i="3"/>
  <c r="AZ294" i="3"/>
  <c r="AZ291" i="3"/>
  <c r="AZ289" i="3"/>
  <c r="AZ288" i="3"/>
  <c r="AZ287" i="3"/>
  <c r="AZ285" i="3"/>
  <c r="AZ284" i="3"/>
  <c r="AZ282" i="3"/>
  <c r="AZ280" i="3"/>
  <c r="AZ278" i="3"/>
  <c r="AZ277" i="3"/>
  <c r="AZ276" i="3"/>
  <c r="AZ273" i="3"/>
  <c r="AZ271" i="3"/>
  <c r="AZ266" i="3"/>
  <c r="AZ264" i="3"/>
  <c r="AZ260" i="3"/>
  <c r="AZ258" i="3"/>
  <c r="AZ257" i="3"/>
  <c r="AZ256" i="3"/>
  <c r="AZ252" i="3"/>
  <c r="AZ251" i="3"/>
  <c r="AZ245" i="3"/>
  <c r="AZ305" i="3"/>
  <c r="AZ304" i="3"/>
  <c r="AZ296" i="3"/>
  <c r="AZ230" i="3"/>
  <c r="AZ310" i="3"/>
  <c r="AZ275" i="3"/>
  <c r="AZ262" i="3"/>
  <c r="AZ261" i="3"/>
  <c r="AZ253" i="3"/>
  <c r="AZ243" i="3"/>
  <c r="AZ242" i="3"/>
  <c r="AZ233" i="3"/>
  <c r="AZ227" i="3"/>
  <c r="AZ311" i="3"/>
  <c r="AZ293" i="3"/>
  <c r="AZ263" i="3"/>
  <c r="AZ259" i="3"/>
  <c r="AZ254" i="3"/>
  <c r="AZ239" i="3"/>
  <c r="AZ234" i="3"/>
  <c r="AZ232" i="3"/>
  <c r="AZ247" i="3"/>
  <c r="AZ223" i="3"/>
  <c r="AZ222" i="3"/>
  <c r="AZ221" i="3"/>
  <c r="AZ220" i="3"/>
  <c r="AZ219" i="3"/>
  <c r="AZ212" i="3"/>
  <c r="AZ198" i="3"/>
  <c r="AZ196" i="3"/>
  <c r="AZ193" i="3"/>
  <c r="AZ190" i="3"/>
  <c r="AZ183" i="3"/>
  <c r="AZ181" i="3"/>
  <c r="AZ177" i="3"/>
  <c r="AZ176" i="3"/>
  <c r="AZ170" i="3"/>
  <c r="AZ166" i="3"/>
  <c r="AZ164" i="3"/>
  <c r="AZ161" i="3"/>
  <c r="AZ157" i="3"/>
  <c r="AZ151" i="3"/>
  <c r="AZ149" i="3"/>
  <c r="AZ318" i="3"/>
  <c r="AZ225" i="3"/>
  <c r="AZ218" i="3"/>
  <c r="AZ217" i="3"/>
  <c r="AZ215" i="3"/>
  <c r="AZ214" i="3"/>
  <c r="AZ210" i="3"/>
  <c r="AZ209" i="3"/>
  <c r="AZ201" i="3"/>
  <c r="AZ200" i="3"/>
  <c r="AZ195" i="3"/>
  <c r="AZ192" i="3"/>
  <c r="AZ188" i="3"/>
  <c r="AZ184" i="3"/>
  <c r="AZ180" i="3"/>
  <c r="AZ174" i="3"/>
  <c r="AZ172" i="3"/>
  <c r="AZ171" i="3"/>
  <c r="AZ169" i="3"/>
  <c r="AZ168" i="3"/>
  <c r="AZ162" i="3"/>
  <c r="AZ160" i="3"/>
  <c r="AZ213" i="3"/>
  <c r="AZ211" i="3"/>
  <c r="AZ206" i="3"/>
  <c r="AZ202" i="3"/>
  <c r="AZ194" i="3"/>
  <c r="AZ187" i="3"/>
  <c r="AZ186" i="3"/>
  <c r="AZ185" i="3"/>
  <c r="AZ182" i="3"/>
  <c r="AZ179" i="3"/>
  <c r="AZ178" i="3"/>
  <c r="AZ165" i="3"/>
  <c r="AZ163" i="3"/>
  <c r="AZ159" i="3"/>
  <c r="AZ152" i="3"/>
  <c r="AZ142" i="3"/>
  <c r="AZ140" i="3"/>
  <c r="AZ139" i="3"/>
  <c r="AZ137" i="3"/>
  <c r="AZ129" i="3"/>
  <c r="AZ121" i="3"/>
  <c r="AZ112" i="3"/>
  <c r="AZ110" i="3"/>
  <c r="AZ109" i="3"/>
  <c r="AZ101" i="3"/>
  <c r="AZ100" i="3"/>
  <c r="AZ95" i="3"/>
  <c r="AZ93" i="3"/>
  <c r="AZ86" i="3"/>
  <c r="AZ80" i="3"/>
  <c r="AZ216" i="3"/>
  <c r="AZ208" i="3"/>
  <c r="AZ207" i="3"/>
  <c r="AZ205" i="3"/>
  <c r="AZ204" i="3"/>
  <c r="AZ203" i="3"/>
  <c r="AZ199" i="3"/>
  <c r="AZ197" i="3"/>
  <c r="AZ191" i="3"/>
  <c r="AZ189" i="3"/>
  <c r="AZ175" i="3"/>
  <c r="AZ173" i="3"/>
  <c r="AZ167" i="3"/>
  <c r="AZ158" i="3"/>
  <c r="AZ156" i="3"/>
  <c r="AZ155" i="3"/>
  <c r="AZ154" i="3"/>
  <c r="AZ148" i="3"/>
  <c r="AZ147" i="3"/>
  <c r="AZ141" i="3"/>
  <c r="AZ127" i="3"/>
  <c r="AZ153" i="3"/>
  <c r="AZ146" i="3"/>
  <c r="AZ143" i="3"/>
  <c r="AZ128" i="3"/>
  <c r="AZ126" i="3"/>
  <c r="AZ123" i="3"/>
  <c r="AZ117" i="3"/>
  <c r="AZ115" i="3"/>
  <c r="AZ114" i="3"/>
  <c r="AZ106" i="3"/>
  <c r="AZ98" i="3"/>
  <c r="AZ82" i="3"/>
  <c r="AZ81" i="3"/>
  <c r="AZ78" i="3"/>
  <c r="AZ74" i="3"/>
  <c r="AZ73" i="3"/>
  <c r="AZ71" i="3"/>
  <c r="AZ67" i="3"/>
  <c r="AZ64" i="3"/>
  <c r="AZ61" i="3"/>
  <c r="AZ55" i="3"/>
  <c r="AZ54" i="3"/>
  <c r="AZ47" i="3"/>
  <c r="AZ42" i="3"/>
  <c r="AZ41" i="3"/>
  <c r="AZ38" i="3"/>
  <c r="AZ34" i="3"/>
  <c r="AZ18" i="3"/>
  <c r="AZ17" i="3"/>
  <c r="AZ135" i="3"/>
  <c r="AZ133" i="3"/>
  <c r="AZ131" i="3"/>
  <c r="AZ122" i="3"/>
  <c r="AZ97" i="3"/>
  <c r="AZ96" i="3"/>
  <c r="AZ91" i="3"/>
  <c r="AZ85" i="3"/>
  <c r="AZ83" i="3"/>
  <c r="AZ77" i="3"/>
  <c r="AZ76" i="3"/>
  <c r="AZ75" i="3"/>
  <c r="AZ69" i="3"/>
  <c r="AZ62" i="3"/>
  <c r="AZ59" i="3"/>
  <c r="AZ57" i="3"/>
  <c r="AZ52" i="3"/>
  <c r="AZ49" i="3"/>
  <c r="AZ40" i="3"/>
  <c r="AZ39" i="3"/>
  <c r="AZ35" i="3"/>
  <c r="AZ33" i="3"/>
  <c r="AZ30" i="3"/>
  <c r="AZ29" i="3"/>
  <c r="AZ27" i="3"/>
  <c r="AZ24" i="3"/>
  <c r="AZ22" i="3"/>
  <c r="AZ20" i="3"/>
  <c r="AZ16" i="3"/>
  <c r="AZ14" i="3"/>
  <c r="AZ150" i="3"/>
  <c r="AZ145" i="3"/>
  <c r="AZ136" i="3"/>
  <c r="AZ134" i="3"/>
  <c r="AZ132" i="3"/>
  <c r="AZ130" i="3"/>
  <c r="AZ125" i="3"/>
  <c r="AZ124" i="3"/>
  <c r="AZ120" i="3"/>
  <c r="AZ118" i="3"/>
  <c r="AZ116" i="3"/>
  <c r="AZ108" i="3"/>
  <c r="AZ107" i="3"/>
  <c r="AZ103" i="3"/>
  <c r="AZ102" i="3"/>
  <c r="AZ99" i="3"/>
  <c r="AZ94" i="3"/>
  <c r="AZ92" i="3"/>
  <c r="AZ89" i="3"/>
  <c r="AZ88" i="3"/>
  <c r="AZ87" i="3"/>
  <c r="AZ72" i="3"/>
  <c r="AZ70" i="3"/>
  <c r="AZ68" i="3"/>
  <c r="AZ65" i="3"/>
  <c r="AZ63" i="3"/>
  <c r="AZ60" i="3"/>
  <c r="AZ56" i="3"/>
  <c r="AZ50" i="3"/>
  <c r="AZ48" i="3"/>
  <c r="AZ46" i="3"/>
  <c r="AZ44" i="3"/>
  <c r="AZ28" i="3"/>
  <c r="AZ26" i="3"/>
  <c r="AZ25" i="3"/>
  <c r="AZ144" i="3"/>
  <c r="AZ113" i="3"/>
  <c r="AZ111" i="3"/>
  <c r="AZ90" i="3"/>
  <c r="AZ84" i="3"/>
  <c r="AZ10" i="3"/>
  <c r="AZ9" i="3"/>
  <c r="AZ7" i="3"/>
  <c r="AZ4" i="3"/>
  <c r="AZ3" i="3"/>
  <c r="AZ138" i="3"/>
  <c r="AZ105" i="3"/>
  <c r="AZ51" i="3"/>
  <c r="AZ43" i="3"/>
  <c r="AZ37" i="3"/>
  <c r="AZ36" i="3"/>
  <c r="AZ32" i="3"/>
  <c r="AZ23" i="3"/>
  <c r="AZ19" i="3"/>
  <c r="AZ11" i="3"/>
  <c r="AZ8" i="3"/>
  <c r="AZ58" i="3"/>
  <c r="AZ15" i="3"/>
  <c r="AZ13" i="3"/>
  <c r="AZ12" i="3"/>
  <c r="AZ6" i="3"/>
  <c r="AZ119" i="3"/>
  <c r="AZ104" i="3"/>
  <c r="AZ79" i="3"/>
  <c r="AZ66" i="3"/>
  <c r="AZ45" i="3"/>
  <c r="AZ31" i="3"/>
  <c r="AZ2" i="3"/>
  <c r="AZ53" i="3"/>
  <c r="AZ21" i="3"/>
  <c r="AZ5" i="3"/>
  <c r="T324" i="3"/>
  <c r="AF324" i="3"/>
  <c r="AL324" i="3"/>
  <c r="G17" i="3"/>
  <c r="H17" i="3"/>
  <c r="BE324" i="3"/>
  <c r="AQ324" i="3" s="1"/>
  <c r="BE323" i="3"/>
  <c r="BE322" i="3"/>
  <c r="BE321" i="3"/>
  <c r="BE320" i="3"/>
  <c r="BE319" i="3"/>
  <c r="BE318" i="3"/>
  <c r="BE317" i="3"/>
  <c r="BE316" i="3"/>
  <c r="BE315" i="3"/>
  <c r="BE314" i="3"/>
  <c r="BE313" i="3"/>
  <c r="BE312" i="3"/>
  <c r="BE311" i="3"/>
  <c r="BE310" i="3"/>
  <c r="BE309" i="3"/>
  <c r="BE308" i="3"/>
  <c r="BE307" i="3"/>
  <c r="BE306" i="3"/>
  <c r="BE305" i="3"/>
  <c r="BE304" i="3"/>
  <c r="BE303" i="3"/>
  <c r="BE302" i="3"/>
  <c r="BE301" i="3"/>
  <c r="BE300" i="3"/>
  <c r="BE299" i="3"/>
  <c r="BE298" i="3"/>
  <c r="BE297" i="3"/>
  <c r="BE296" i="3"/>
  <c r="BE295" i="3"/>
  <c r="BE294" i="3"/>
  <c r="BE293" i="3"/>
  <c r="BE292" i="3"/>
  <c r="BE291" i="3"/>
  <c r="BE290" i="3"/>
  <c r="BE289" i="3"/>
  <c r="BE288" i="3"/>
  <c r="BE287" i="3"/>
  <c r="BE286" i="3"/>
  <c r="BE285" i="3"/>
  <c r="BE284" i="3"/>
  <c r="BE283" i="3"/>
  <c r="BE282" i="3"/>
  <c r="BE281" i="3"/>
  <c r="BE280" i="3"/>
  <c r="BE279" i="3"/>
  <c r="BE278" i="3"/>
  <c r="BE277" i="3"/>
  <c r="BE276" i="3"/>
  <c r="BE275" i="3"/>
  <c r="BE274" i="3"/>
  <c r="BE273" i="3"/>
  <c r="BE272" i="3"/>
  <c r="BE271" i="3"/>
  <c r="BE270" i="3"/>
  <c r="BE269" i="3"/>
  <c r="BE268" i="3"/>
  <c r="BE267" i="3"/>
  <c r="BE266" i="3"/>
  <c r="BE265" i="3"/>
  <c r="BE264" i="3"/>
  <c r="BE263" i="3"/>
  <c r="BE262" i="3"/>
  <c r="BE261" i="3"/>
  <c r="BE260" i="3"/>
  <c r="BE259" i="3"/>
  <c r="BE258" i="3"/>
  <c r="BE257" i="3"/>
  <c r="BE256" i="3"/>
  <c r="BE255" i="3"/>
  <c r="BE254" i="3"/>
  <c r="BE253" i="3"/>
  <c r="BE252" i="3"/>
  <c r="BE251" i="3"/>
  <c r="BE250" i="3"/>
  <c r="BE249" i="3"/>
  <c r="BE248" i="3"/>
  <c r="BE247" i="3"/>
  <c r="BE246" i="3"/>
  <c r="BE245" i="3"/>
  <c r="BE244" i="3"/>
  <c r="BE243" i="3"/>
  <c r="BE242" i="3"/>
  <c r="BE241" i="3"/>
  <c r="BE240" i="3"/>
  <c r="BE239" i="3"/>
  <c r="BE238" i="3"/>
  <c r="BE237" i="3"/>
  <c r="BE236" i="3"/>
  <c r="BE235" i="3"/>
  <c r="BE234" i="3"/>
  <c r="BE233" i="3"/>
  <c r="BE232" i="3"/>
  <c r="BE231" i="3"/>
  <c r="BE230" i="3"/>
  <c r="BE229" i="3"/>
  <c r="BE228" i="3"/>
  <c r="BE227" i="3"/>
  <c r="BE226" i="3"/>
  <c r="BE225" i="3"/>
  <c r="BE224" i="3"/>
  <c r="BE223" i="3"/>
  <c r="BE222" i="3"/>
  <c r="BE221" i="3"/>
  <c r="BE220" i="3"/>
  <c r="BE219" i="3"/>
  <c r="BE218" i="3"/>
  <c r="BE217" i="3"/>
  <c r="BE216" i="3"/>
  <c r="BE215" i="3"/>
  <c r="BE214" i="3"/>
  <c r="BE213" i="3"/>
  <c r="BE212" i="3"/>
  <c r="BE211" i="3"/>
  <c r="BE210" i="3"/>
  <c r="BE209" i="3"/>
  <c r="BE208" i="3"/>
  <c r="BE207" i="3"/>
  <c r="BE206" i="3"/>
  <c r="BE205" i="3"/>
  <c r="BE204" i="3"/>
  <c r="BE203" i="3"/>
  <c r="BE202" i="3"/>
  <c r="BE201" i="3"/>
  <c r="BE200" i="3"/>
  <c r="BE199" i="3"/>
  <c r="BE198" i="3"/>
  <c r="BE197" i="3"/>
  <c r="BE196" i="3"/>
  <c r="BE195" i="3"/>
  <c r="BE194" i="3"/>
  <c r="BE193" i="3"/>
  <c r="BE192" i="3"/>
  <c r="BE191" i="3"/>
  <c r="BE190" i="3"/>
  <c r="BE189" i="3"/>
  <c r="BE188" i="3"/>
  <c r="BE187" i="3"/>
  <c r="BE186" i="3"/>
  <c r="BE185" i="3"/>
  <c r="BE184" i="3"/>
  <c r="BE183" i="3"/>
  <c r="BE182" i="3"/>
  <c r="BE181" i="3"/>
  <c r="BE180" i="3"/>
  <c r="BE179" i="3"/>
  <c r="BE178" i="3"/>
  <c r="BE177" i="3"/>
  <c r="BE176" i="3"/>
  <c r="BE175" i="3"/>
  <c r="BE174" i="3"/>
  <c r="BE173" i="3"/>
  <c r="BE172" i="3"/>
  <c r="BE171" i="3"/>
  <c r="BE170" i="3"/>
  <c r="BE169" i="3"/>
  <c r="BE168" i="3"/>
  <c r="BE167" i="3"/>
  <c r="BE166" i="3"/>
  <c r="BE165" i="3"/>
  <c r="BE164" i="3"/>
  <c r="BE163" i="3"/>
  <c r="BE162" i="3"/>
  <c r="BE161" i="3"/>
  <c r="BE160" i="3"/>
  <c r="BE159" i="3"/>
  <c r="BE158" i="3"/>
  <c r="BE157" i="3"/>
  <c r="BE156" i="3"/>
  <c r="BE155" i="3"/>
  <c r="BE154" i="3"/>
  <c r="BE153" i="3"/>
  <c r="BE152" i="3"/>
  <c r="BE151" i="3"/>
  <c r="BE150" i="3"/>
  <c r="BE149" i="3"/>
  <c r="BE148" i="3"/>
  <c r="BE147" i="3"/>
  <c r="BE146" i="3"/>
  <c r="BE145" i="3"/>
  <c r="BE144" i="3"/>
  <c r="BE143" i="3"/>
  <c r="BE142" i="3"/>
  <c r="BE141" i="3"/>
  <c r="BE140" i="3"/>
  <c r="BE139" i="3"/>
  <c r="BE138" i="3"/>
  <c r="BE137" i="3"/>
  <c r="BE136" i="3"/>
  <c r="BE135" i="3"/>
  <c r="BE134" i="3"/>
  <c r="BE133" i="3"/>
  <c r="BE132" i="3"/>
  <c r="BE131" i="3"/>
  <c r="BE130" i="3"/>
  <c r="BE129" i="3"/>
  <c r="BE128" i="3"/>
  <c r="BE127" i="3"/>
  <c r="BE126" i="3"/>
  <c r="BE125" i="3"/>
  <c r="BE124" i="3"/>
  <c r="BE123" i="3"/>
  <c r="BE122" i="3"/>
  <c r="BE121" i="3"/>
  <c r="BE120" i="3"/>
  <c r="BE119" i="3"/>
  <c r="BE118" i="3"/>
  <c r="BE117" i="3"/>
  <c r="BE116" i="3"/>
  <c r="BE115" i="3"/>
  <c r="BE114" i="3"/>
  <c r="BE113" i="3"/>
  <c r="BE112" i="3"/>
  <c r="BE111" i="3"/>
  <c r="BE110" i="3"/>
  <c r="BE109" i="3"/>
  <c r="BE108" i="3"/>
  <c r="BE107" i="3"/>
  <c r="BE106" i="3"/>
  <c r="BE105" i="3"/>
  <c r="BE104" i="3"/>
  <c r="BE103" i="3"/>
  <c r="BE102" i="3"/>
  <c r="BE101" i="3"/>
  <c r="BE100" i="3"/>
  <c r="BE99" i="3"/>
  <c r="BE98" i="3"/>
  <c r="BE97" i="3"/>
  <c r="BE96" i="3"/>
  <c r="BE95" i="3"/>
  <c r="BE94" i="3"/>
  <c r="BE93" i="3"/>
  <c r="BE92" i="3"/>
  <c r="BE91" i="3"/>
  <c r="BE90" i="3"/>
  <c r="BE89" i="3"/>
  <c r="BE88" i="3"/>
  <c r="BE87" i="3"/>
  <c r="BE86" i="3"/>
  <c r="BE85" i="3"/>
  <c r="BE84" i="3"/>
  <c r="BE83" i="3"/>
  <c r="BE82" i="3"/>
  <c r="BE81" i="3"/>
  <c r="BE80" i="3"/>
  <c r="BE79" i="3"/>
  <c r="BE78" i="3"/>
  <c r="BE77" i="3"/>
  <c r="BE76" i="3"/>
  <c r="BE75" i="3"/>
  <c r="BE74" i="3"/>
  <c r="BE73" i="3"/>
  <c r="BE72" i="3"/>
  <c r="BE71" i="3"/>
  <c r="BE70" i="3"/>
  <c r="BE69" i="3"/>
  <c r="BE68" i="3"/>
  <c r="BE67" i="3"/>
  <c r="BE66" i="3"/>
  <c r="BE65" i="3"/>
  <c r="BE64" i="3"/>
  <c r="BE63" i="3"/>
  <c r="BE62" i="3"/>
  <c r="BE61" i="3"/>
  <c r="BE60" i="3"/>
  <c r="BE59" i="3"/>
  <c r="BE58" i="3"/>
  <c r="BE57" i="3"/>
  <c r="BE56" i="3"/>
  <c r="BE55" i="3"/>
  <c r="BE54" i="3"/>
  <c r="BE53" i="3"/>
  <c r="BE52" i="3"/>
  <c r="BE51" i="3"/>
  <c r="BE50" i="3"/>
  <c r="BE49" i="3"/>
  <c r="BE48" i="3"/>
  <c r="BE47" i="3"/>
  <c r="BE46" i="3"/>
  <c r="BE45" i="3"/>
  <c r="BE44" i="3"/>
  <c r="BE43" i="3"/>
  <c r="BE42" i="3"/>
  <c r="BE41" i="3"/>
  <c r="BE40" i="3"/>
  <c r="BE39" i="3"/>
  <c r="BE38" i="3"/>
  <c r="BE37" i="3"/>
  <c r="BE36" i="3"/>
  <c r="BE35" i="3"/>
  <c r="BE34" i="3"/>
  <c r="BE33" i="3"/>
  <c r="BE32" i="3"/>
  <c r="BE31" i="3"/>
  <c r="BE30" i="3"/>
  <c r="BE29" i="3"/>
  <c r="BE28" i="3"/>
  <c r="BE27" i="3"/>
  <c r="BE26" i="3"/>
  <c r="BE25" i="3"/>
  <c r="BE24" i="3"/>
  <c r="BE23" i="3"/>
  <c r="BE22" i="3"/>
  <c r="BE21" i="3"/>
  <c r="BE20" i="3"/>
  <c r="BE19" i="3"/>
  <c r="BE18" i="3"/>
  <c r="BE17" i="3"/>
  <c r="BE16" i="3"/>
  <c r="BE15" i="3"/>
  <c r="BE14" i="3"/>
  <c r="BE13" i="3"/>
  <c r="BE12" i="3"/>
  <c r="BE11" i="3"/>
  <c r="BE10" i="3"/>
  <c r="BE9" i="3"/>
  <c r="BE8" i="3"/>
  <c r="BE7" i="3"/>
  <c r="BE6" i="3"/>
  <c r="BE5" i="3"/>
  <c r="BE4" i="3"/>
  <c r="BE3" i="3"/>
  <c r="BE2" i="3"/>
  <c r="AX324" i="3"/>
  <c r="AX323" i="3"/>
  <c r="AX322" i="3"/>
  <c r="AX321" i="3"/>
  <c r="AX320" i="3"/>
  <c r="AX319" i="3"/>
  <c r="AX318" i="3"/>
  <c r="AX317" i="3"/>
  <c r="AX316" i="3"/>
  <c r="AX315" i="3"/>
  <c r="AX314" i="3"/>
  <c r="AX313" i="3"/>
  <c r="AX312" i="3"/>
  <c r="AX311" i="3"/>
  <c r="AX310" i="3"/>
  <c r="AX309" i="3"/>
  <c r="AX308" i="3"/>
  <c r="AX307" i="3"/>
  <c r="AX306" i="3"/>
  <c r="AX305" i="3"/>
  <c r="AX304" i="3"/>
  <c r="AX303" i="3"/>
  <c r="AX302" i="3"/>
  <c r="AX301" i="3"/>
  <c r="AX300" i="3"/>
  <c r="AX299" i="3"/>
  <c r="AX298" i="3"/>
  <c r="AX297" i="3"/>
  <c r="AX296" i="3"/>
  <c r="AX295" i="3"/>
  <c r="AX294" i="3"/>
  <c r="AX293" i="3"/>
  <c r="AX292" i="3"/>
  <c r="AX291" i="3"/>
  <c r="AX290" i="3"/>
  <c r="AX289" i="3"/>
  <c r="AX288" i="3"/>
  <c r="AX287" i="3"/>
  <c r="AX286" i="3"/>
  <c r="AX285" i="3"/>
  <c r="AX284" i="3"/>
  <c r="AX283" i="3"/>
  <c r="AX282" i="3"/>
  <c r="AX281" i="3"/>
  <c r="AX280" i="3"/>
  <c r="AX279" i="3"/>
  <c r="AX278" i="3"/>
  <c r="AX277" i="3"/>
  <c r="AX276" i="3"/>
  <c r="AX275" i="3"/>
  <c r="AX274" i="3"/>
  <c r="AX273" i="3"/>
  <c r="AX272" i="3"/>
  <c r="AX271" i="3"/>
  <c r="AX270" i="3"/>
  <c r="AX269" i="3"/>
  <c r="AX268" i="3"/>
  <c r="AX267" i="3"/>
  <c r="AX266" i="3"/>
  <c r="AX265" i="3"/>
  <c r="AX264" i="3"/>
  <c r="AX263" i="3"/>
  <c r="AX262" i="3"/>
  <c r="AX261" i="3"/>
  <c r="AX260" i="3"/>
  <c r="AX259" i="3"/>
  <c r="AX258" i="3"/>
  <c r="AX257" i="3"/>
  <c r="AX256" i="3"/>
  <c r="AX255" i="3"/>
  <c r="AX254" i="3"/>
  <c r="AX253" i="3"/>
  <c r="AX252" i="3"/>
  <c r="AX251" i="3"/>
  <c r="AX250" i="3"/>
  <c r="AX249" i="3"/>
  <c r="AX248" i="3"/>
  <c r="AX247" i="3"/>
  <c r="AX246" i="3"/>
  <c r="AX245" i="3"/>
  <c r="AX244" i="3"/>
  <c r="AX243" i="3"/>
  <c r="AX242" i="3"/>
  <c r="AX241" i="3"/>
  <c r="AX240" i="3"/>
  <c r="AX239" i="3"/>
  <c r="AX238" i="3"/>
  <c r="AX237" i="3"/>
  <c r="AX236" i="3"/>
  <c r="AX235" i="3"/>
  <c r="AX234" i="3"/>
  <c r="AX233" i="3"/>
  <c r="AX232" i="3"/>
  <c r="AX231" i="3"/>
  <c r="AX230" i="3"/>
  <c r="AX229" i="3"/>
  <c r="AX228" i="3"/>
  <c r="AX227" i="3"/>
  <c r="AX226" i="3"/>
  <c r="AX225" i="3"/>
  <c r="AX224" i="3"/>
  <c r="AX223" i="3"/>
  <c r="AX222" i="3"/>
  <c r="AX221" i="3"/>
  <c r="AX220" i="3"/>
  <c r="AX219" i="3"/>
  <c r="AX218" i="3"/>
  <c r="AX217" i="3"/>
  <c r="AX216" i="3"/>
  <c r="AX215" i="3"/>
  <c r="AX214" i="3"/>
  <c r="AX213" i="3"/>
  <c r="AX212" i="3"/>
  <c r="AX211" i="3"/>
  <c r="AX210" i="3"/>
  <c r="AX209" i="3"/>
  <c r="AX208" i="3"/>
  <c r="AX207" i="3"/>
  <c r="AX206" i="3"/>
  <c r="AX205" i="3"/>
  <c r="AX204" i="3"/>
  <c r="AX203" i="3"/>
  <c r="AX202" i="3"/>
  <c r="AX201" i="3"/>
  <c r="AX200" i="3"/>
  <c r="AX199" i="3"/>
  <c r="AX198" i="3"/>
  <c r="AX197" i="3"/>
  <c r="AX196" i="3"/>
  <c r="AX195" i="3"/>
  <c r="AX194" i="3"/>
  <c r="AX193" i="3"/>
  <c r="AX192" i="3"/>
  <c r="AX191" i="3"/>
  <c r="AX190" i="3"/>
  <c r="AX189" i="3"/>
  <c r="AX188" i="3"/>
  <c r="AX187" i="3"/>
  <c r="AX186" i="3"/>
  <c r="AX185" i="3"/>
  <c r="AX184" i="3"/>
  <c r="AX183" i="3"/>
  <c r="AX182" i="3"/>
  <c r="AX181" i="3"/>
  <c r="AX180" i="3"/>
  <c r="AX179" i="3"/>
  <c r="AX178" i="3"/>
  <c r="AX177" i="3"/>
  <c r="AX176" i="3"/>
  <c r="AX175" i="3"/>
  <c r="AX174" i="3"/>
  <c r="AX173" i="3"/>
  <c r="AX172" i="3"/>
  <c r="AX171" i="3"/>
  <c r="AX170" i="3"/>
  <c r="AX169" i="3"/>
  <c r="AX168" i="3"/>
  <c r="AX167" i="3"/>
  <c r="AX166" i="3"/>
  <c r="AX165" i="3"/>
  <c r="AX164" i="3"/>
  <c r="AX163" i="3"/>
  <c r="AX162" i="3"/>
  <c r="AX161" i="3"/>
  <c r="AX160" i="3"/>
  <c r="AX159" i="3"/>
  <c r="AX158" i="3"/>
  <c r="AX157" i="3"/>
  <c r="AX156" i="3"/>
  <c r="AX155" i="3"/>
  <c r="AX154" i="3"/>
  <c r="AX153" i="3"/>
  <c r="AX152" i="3"/>
  <c r="AX151" i="3"/>
  <c r="AX150" i="3"/>
  <c r="AX149" i="3"/>
  <c r="AX148" i="3"/>
  <c r="AX147" i="3"/>
  <c r="AX146" i="3"/>
  <c r="AX145" i="3"/>
  <c r="AX144" i="3"/>
  <c r="AX143" i="3"/>
  <c r="AX142" i="3"/>
  <c r="AX141" i="3"/>
  <c r="AX140" i="3"/>
  <c r="AX139" i="3"/>
  <c r="AX138" i="3"/>
  <c r="AX137" i="3"/>
  <c r="AX136" i="3"/>
  <c r="AX135" i="3"/>
  <c r="AX134" i="3"/>
  <c r="AX133" i="3"/>
  <c r="AX132" i="3"/>
  <c r="AX131" i="3"/>
  <c r="AX130" i="3"/>
  <c r="AX129" i="3"/>
  <c r="AX128" i="3"/>
  <c r="AX127" i="3"/>
  <c r="AX126" i="3"/>
  <c r="AX125" i="3"/>
  <c r="AX124" i="3"/>
  <c r="AX123" i="3"/>
  <c r="AX122" i="3"/>
  <c r="AX121" i="3"/>
  <c r="AX120" i="3"/>
  <c r="AX119" i="3"/>
  <c r="AX118" i="3"/>
  <c r="AX117" i="3"/>
  <c r="AX116" i="3"/>
  <c r="AX115" i="3"/>
  <c r="AX114" i="3"/>
  <c r="AX113" i="3"/>
  <c r="AX112" i="3"/>
  <c r="AX111" i="3"/>
  <c r="AX110" i="3"/>
  <c r="AX109" i="3"/>
  <c r="AX108" i="3"/>
  <c r="AX107" i="3"/>
  <c r="AX106" i="3"/>
  <c r="AX105" i="3"/>
  <c r="AX104" i="3"/>
  <c r="AX103" i="3"/>
  <c r="AX102" i="3"/>
  <c r="AX101" i="3"/>
  <c r="AX100" i="3"/>
  <c r="AX99" i="3"/>
  <c r="AX98" i="3"/>
  <c r="AX97" i="3"/>
  <c r="AX96" i="3"/>
  <c r="AX95" i="3"/>
  <c r="AX94" i="3"/>
  <c r="AX93" i="3"/>
  <c r="AX92" i="3"/>
  <c r="AX91" i="3"/>
  <c r="AX90" i="3"/>
  <c r="AX89" i="3"/>
  <c r="AX88" i="3"/>
  <c r="AX87" i="3"/>
  <c r="AX86" i="3"/>
  <c r="AX85" i="3"/>
  <c r="AX84" i="3"/>
  <c r="AX83" i="3"/>
  <c r="AX82" i="3"/>
  <c r="AX81" i="3"/>
  <c r="AX80" i="3"/>
  <c r="AX79" i="3"/>
  <c r="AX78" i="3"/>
  <c r="AX77" i="3"/>
  <c r="AX76" i="3"/>
  <c r="AX75" i="3"/>
  <c r="AX74" i="3"/>
  <c r="AX73" i="3"/>
  <c r="AX72" i="3"/>
  <c r="AX71" i="3"/>
  <c r="AX70" i="3"/>
  <c r="AX69" i="3"/>
  <c r="AX68" i="3"/>
  <c r="AX67" i="3"/>
  <c r="AX66" i="3"/>
  <c r="AX65" i="3"/>
  <c r="AX64" i="3"/>
  <c r="AX63" i="3"/>
  <c r="AX62" i="3"/>
  <c r="AX61" i="3"/>
  <c r="AX60" i="3"/>
  <c r="AX59" i="3"/>
  <c r="AX58" i="3"/>
  <c r="AX57" i="3"/>
  <c r="AX56" i="3"/>
  <c r="AX55" i="3"/>
  <c r="AX54" i="3"/>
  <c r="AX53" i="3"/>
  <c r="AX52" i="3"/>
  <c r="AX51" i="3"/>
  <c r="AX50" i="3"/>
  <c r="AX49" i="3"/>
  <c r="AX48" i="3"/>
  <c r="AX47" i="3"/>
  <c r="AX46" i="3"/>
  <c r="AX45" i="3"/>
  <c r="AX44" i="3"/>
  <c r="AX43" i="3"/>
  <c r="AX42" i="3"/>
  <c r="AX41" i="3"/>
  <c r="AX40" i="3"/>
  <c r="AX39" i="3"/>
  <c r="AX38" i="3"/>
  <c r="AX37" i="3"/>
  <c r="AX36" i="3"/>
  <c r="AX35" i="3"/>
  <c r="AX34" i="3"/>
  <c r="AX33" i="3"/>
  <c r="AX32" i="3"/>
  <c r="AX31" i="3"/>
  <c r="AX30" i="3"/>
  <c r="AX29" i="3"/>
  <c r="AX28" i="3"/>
  <c r="AX27" i="3"/>
  <c r="AX26" i="3"/>
  <c r="AX25" i="3"/>
  <c r="AX24" i="3"/>
  <c r="AX23" i="3"/>
  <c r="AX22" i="3"/>
  <c r="AX21" i="3"/>
  <c r="AX20" i="3"/>
  <c r="AX19" i="3"/>
  <c r="AX18" i="3"/>
  <c r="AX17" i="3"/>
  <c r="AX16" i="3"/>
  <c r="AX15" i="3"/>
  <c r="AX14" i="3"/>
  <c r="AX13" i="3"/>
  <c r="AX12" i="3"/>
  <c r="AX11" i="3"/>
  <c r="AX10" i="3"/>
  <c r="AX9" i="3"/>
  <c r="AX8" i="3"/>
  <c r="AX7" i="3"/>
  <c r="AX6" i="3"/>
  <c r="AX5" i="3"/>
  <c r="AX4" i="3"/>
  <c r="AX3" i="3"/>
  <c r="AX2" i="3"/>
  <c r="O324" i="3"/>
  <c r="R324" i="3"/>
  <c r="Q324" i="3"/>
  <c r="P324" i="3"/>
  <c r="O321" i="3"/>
  <c r="R321" i="3"/>
  <c r="M321" i="3"/>
  <c r="Q321" i="3"/>
  <c r="P321" i="3"/>
  <c r="N321" i="3"/>
  <c r="P325" i="3"/>
  <c r="O325" i="3"/>
  <c r="R325" i="3"/>
  <c r="N325" i="3"/>
  <c r="Q325" i="3"/>
  <c r="M325" i="3"/>
  <c r="O322" i="3"/>
  <c r="R322" i="3"/>
  <c r="M322" i="3"/>
  <c r="Q322" i="3"/>
  <c r="P322" i="3"/>
  <c r="N322" i="3"/>
  <c r="O323" i="3"/>
  <c r="R323" i="3"/>
  <c r="Q323" i="3"/>
  <c r="P323" i="3"/>
  <c r="R320" i="3"/>
  <c r="Q320" i="3"/>
  <c r="P320" i="3"/>
  <c r="O320" i="3"/>
  <c r="B324" i="3"/>
  <c r="A324" i="3"/>
  <c r="S324" i="3"/>
  <c r="G324" i="3"/>
  <c r="AE324" i="3"/>
  <c r="N324" i="3"/>
  <c r="M324" i="3"/>
  <c r="Z50" i="3"/>
  <c r="AG242" i="3"/>
  <c r="AH242" i="3"/>
  <c r="V228" i="3"/>
  <c r="U298" i="3"/>
  <c r="V298" i="3"/>
  <c r="AM326" i="3" l="1"/>
  <c r="AN326" i="3"/>
  <c r="AK326" i="3"/>
  <c r="AO326" i="3"/>
  <c r="AL326" i="3"/>
  <c r="AP326" i="3"/>
  <c r="AM327" i="3"/>
  <c r="AN327" i="3"/>
  <c r="AK327" i="3"/>
  <c r="AO327" i="3"/>
  <c r="AL327" i="3"/>
  <c r="AP327" i="3"/>
  <c r="AM328" i="3"/>
  <c r="AN328" i="3"/>
  <c r="AK328" i="3"/>
  <c r="AO328" i="3"/>
  <c r="AL328" i="3"/>
  <c r="AP328" i="3"/>
  <c r="AM329" i="3"/>
  <c r="AN329" i="3"/>
  <c r="AK329" i="3"/>
  <c r="AO329" i="3"/>
  <c r="AL329" i="3"/>
  <c r="AP329" i="3"/>
  <c r="AM330" i="3"/>
  <c r="AN330" i="3"/>
  <c r="AK330" i="3"/>
  <c r="AO330" i="3"/>
  <c r="AL330" i="3"/>
  <c r="AP330" i="3"/>
  <c r="AM331" i="3"/>
  <c r="AN331" i="3"/>
  <c r="AK331" i="3"/>
  <c r="AO331" i="3"/>
  <c r="AL331" i="3"/>
  <c r="AP331" i="3"/>
  <c r="AM332" i="3"/>
  <c r="AN332" i="3"/>
  <c r="AK332" i="3"/>
  <c r="AO332" i="3"/>
  <c r="AL332" i="3"/>
  <c r="AP332" i="3"/>
  <c r="AM333" i="3"/>
  <c r="AN333" i="3"/>
  <c r="AK333" i="3"/>
  <c r="AO333" i="3"/>
  <c r="AL333" i="3"/>
  <c r="AP333" i="3"/>
  <c r="AM334" i="3"/>
  <c r="AN334" i="3"/>
  <c r="AK334" i="3"/>
  <c r="AO334" i="3"/>
  <c r="AL334" i="3"/>
  <c r="AP334" i="3"/>
  <c r="AM335" i="3"/>
  <c r="AN335" i="3"/>
  <c r="AK335" i="3"/>
  <c r="AO335" i="3"/>
  <c r="AL335" i="3"/>
  <c r="AP335" i="3"/>
  <c r="AM336" i="3"/>
  <c r="AN336" i="3"/>
  <c r="AK336" i="3"/>
  <c r="AO336" i="3"/>
  <c r="AL336" i="3"/>
  <c r="AP336" i="3"/>
  <c r="AM337" i="3"/>
  <c r="AN337" i="3"/>
  <c r="AK337" i="3"/>
  <c r="AO337" i="3"/>
  <c r="AL337" i="3"/>
  <c r="AP337" i="3"/>
  <c r="AM338" i="3"/>
  <c r="AN338" i="3"/>
  <c r="AK338" i="3"/>
  <c r="AO338" i="3"/>
  <c r="AL338" i="3"/>
  <c r="AP338" i="3"/>
  <c r="AM339" i="3"/>
  <c r="AN339" i="3"/>
  <c r="AK339" i="3"/>
  <c r="AO339" i="3"/>
  <c r="AL339" i="3"/>
  <c r="AP339" i="3"/>
  <c r="AM340" i="3"/>
  <c r="AN340" i="3"/>
  <c r="AK340" i="3"/>
  <c r="AO340" i="3"/>
  <c r="AL340" i="3"/>
  <c r="AP340" i="3"/>
  <c r="AM341" i="3"/>
  <c r="AN341" i="3"/>
  <c r="AK341" i="3"/>
  <c r="AO341" i="3"/>
  <c r="AL341" i="3"/>
  <c r="AP341" i="3"/>
  <c r="AM342" i="3"/>
  <c r="AN342" i="3"/>
  <c r="AK342" i="3"/>
  <c r="AO342" i="3"/>
  <c r="AL342" i="3"/>
  <c r="AP342" i="3"/>
  <c r="AM343" i="3"/>
  <c r="AN343" i="3"/>
  <c r="AK343" i="3"/>
  <c r="AO343" i="3"/>
  <c r="AL343" i="3"/>
  <c r="AP343" i="3"/>
  <c r="AM344" i="3"/>
  <c r="AN344" i="3"/>
  <c r="AK344" i="3"/>
  <c r="AO344" i="3"/>
  <c r="AL344" i="3"/>
  <c r="AP344" i="3"/>
  <c r="AM345" i="3"/>
  <c r="AN345" i="3"/>
  <c r="AK345" i="3"/>
  <c r="AO345" i="3"/>
  <c r="AL345" i="3"/>
  <c r="AP345" i="3"/>
  <c r="AM346" i="3"/>
  <c r="AN346" i="3"/>
  <c r="AK346" i="3"/>
  <c r="AO346" i="3"/>
  <c r="AL346" i="3"/>
  <c r="AP346" i="3"/>
  <c r="AM347" i="3"/>
  <c r="AN347" i="3"/>
  <c r="AK347" i="3"/>
  <c r="AO347" i="3"/>
  <c r="AL347" i="3"/>
  <c r="AP347" i="3"/>
  <c r="AM348" i="3"/>
  <c r="AN348" i="3"/>
  <c r="AK348" i="3"/>
  <c r="AO348" i="3"/>
  <c r="AL348" i="3"/>
  <c r="AP348" i="3"/>
  <c r="AM349" i="3"/>
  <c r="AN349" i="3"/>
  <c r="AK349" i="3"/>
  <c r="AO349" i="3"/>
  <c r="AL349" i="3"/>
  <c r="AP349" i="3"/>
  <c r="AM350" i="3"/>
  <c r="AN350" i="3"/>
  <c r="AK350" i="3"/>
  <c r="AO350" i="3"/>
  <c r="AL350" i="3"/>
  <c r="AP350" i="3"/>
  <c r="AM351" i="3"/>
  <c r="AN351" i="3"/>
  <c r="AK351" i="3"/>
  <c r="AO351" i="3"/>
  <c r="AL351" i="3"/>
  <c r="AP351" i="3"/>
  <c r="AM352" i="3"/>
  <c r="AN352" i="3"/>
  <c r="AK352" i="3"/>
  <c r="AO352" i="3"/>
  <c r="AL352" i="3"/>
  <c r="AP352" i="3"/>
  <c r="AM353" i="3"/>
  <c r="AN353" i="3"/>
  <c r="AK353" i="3"/>
  <c r="AO353" i="3"/>
  <c r="AL353" i="3"/>
  <c r="AP353" i="3"/>
  <c r="AM354" i="3"/>
  <c r="AN354" i="3"/>
  <c r="AK354" i="3"/>
  <c r="AO354" i="3"/>
  <c r="AL354" i="3"/>
  <c r="AP354" i="3"/>
  <c r="AM355" i="3"/>
  <c r="AN355" i="3"/>
  <c r="AK355" i="3"/>
  <c r="AO355" i="3"/>
  <c r="AL355" i="3"/>
  <c r="AP355" i="3"/>
  <c r="AM356" i="3"/>
  <c r="AN356" i="3"/>
  <c r="AK356" i="3"/>
  <c r="AO356" i="3"/>
  <c r="AL356" i="3"/>
  <c r="AP356" i="3"/>
  <c r="AM357" i="3"/>
  <c r="AN357" i="3"/>
  <c r="AK357" i="3"/>
  <c r="AO357" i="3"/>
  <c r="AL357" i="3"/>
  <c r="AP357" i="3"/>
  <c r="AM358" i="3"/>
  <c r="AN358" i="3"/>
  <c r="AK358" i="3"/>
  <c r="AO358" i="3"/>
  <c r="AL358" i="3"/>
  <c r="AP358" i="3"/>
  <c r="AM359" i="3"/>
  <c r="AN359" i="3"/>
  <c r="AK359" i="3"/>
  <c r="AO359" i="3"/>
  <c r="AL359" i="3"/>
  <c r="AP359" i="3"/>
  <c r="AM360" i="3"/>
  <c r="AN360" i="3"/>
  <c r="AK360" i="3"/>
  <c r="AO360" i="3"/>
  <c r="AL360" i="3"/>
  <c r="AP360" i="3"/>
  <c r="AM361" i="3"/>
  <c r="AN361" i="3"/>
  <c r="AK361" i="3"/>
  <c r="AO361" i="3"/>
  <c r="AL361" i="3"/>
  <c r="AP361" i="3"/>
  <c r="AM362" i="3"/>
  <c r="AN362" i="3"/>
  <c r="AK362" i="3"/>
  <c r="AO362" i="3"/>
  <c r="AL362" i="3"/>
  <c r="AP362" i="3"/>
  <c r="AM363" i="3"/>
  <c r="AN363" i="3"/>
  <c r="AK363" i="3"/>
  <c r="AO363" i="3"/>
  <c r="AL363" i="3"/>
  <c r="AP363" i="3"/>
  <c r="AM364" i="3"/>
  <c r="AN364" i="3"/>
  <c r="AK364" i="3"/>
  <c r="AO364" i="3"/>
  <c r="AL364" i="3"/>
  <c r="AP364" i="3"/>
  <c r="AM365" i="3"/>
  <c r="AN365" i="3"/>
  <c r="AK365" i="3"/>
  <c r="AO365" i="3"/>
  <c r="AL365" i="3"/>
  <c r="AP365" i="3"/>
  <c r="AO366" i="3"/>
  <c r="AP366" i="3"/>
  <c r="AM366" i="3"/>
  <c r="AN366" i="3"/>
  <c r="AK366" i="3"/>
  <c r="AL366" i="3"/>
  <c r="AM367" i="3"/>
  <c r="AN367" i="3"/>
  <c r="AK367" i="3"/>
  <c r="AO367" i="3"/>
  <c r="AL367" i="3"/>
  <c r="AP367" i="3"/>
  <c r="AM368" i="3"/>
  <c r="AN368" i="3"/>
  <c r="AK368" i="3"/>
  <c r="AO368" i="3"/>
  <c r="AL368" i="3"/>
  <c r="AP368" i="3"/>
  <c r="AP369" i="3"/>
  <c r="AO369" i="3"/>
  <c r="AL369" i="3"/>
  <c r="AK369" i="3"/>
  <c r="AM369" i="3"/>
  <c r="AN369" i="3"/>
  <c r="AM370" i="3"/>
  <c r="AN370" i="3"/>
  <c r="AK370" i="3"/>
  <c r="AO370" i="3"/>
  <c r="AL370" i="3"/>
  <c r="AP370" i="3"/>
  <c r="AO371" i="3"/>
  <c r="AL371" i="3"/>
  <c r="AP371" i="3"/>
  <c r="AM371" i="3"/>
  <c r="AN371" i="3"/>
  <c r="AK371" i="3"/>
  <c r="AO372" i="3"/>
  <c r="AL372" i="3"/>
  <c r="AP372" i="3"/>
  <c r="AM372" i="3"/>
  <c r="AN372" i="3"/>
  <c r="AK372" i="3"/>
  <c r="AI326" i="3"/>
  <c r="AF326" i="3"/>
  <c r="AJ326" i="3"/>
  <c r="AG326" i="3"/>
  <c r="AH326" i="3"/>
  <c r="AE326" i="3"/>
  <c r="AI327" i="3"/>
  <c r="AF327" i="3"/>
  <c r="AJ327" i="3"/>
  <c r="AG327" i="3"/>
  <c r="AH327" i="3"/>
  <c r="AE327" i="3"/>
  <c r="AI328" i="3"/>
  <c r="AF328" i="3"/>
  <c r="AJ328" i="3"/>
  <c r="AG328" i="3"/>
  <c r="AH328" i="3"/>
  <c r="AE328" i="3"/>
  <c r="AI329" i="3"/>
  <c r="AF329" i="3"/>
  <c r="AJ329" i="3"/>
  <c r="AG329" i="3"/>
  <c r="AH329" i="3"/>
  <c r="AE329" i="3"/>
  <c r="AI330" i="3"/>
  <c r="AF330" i="3"/>
  <c r="AJ330" i="3"/>
  <c r="AG330" i="3"/>
  <c r="AH330" i="3"/>
  <c r="AE330" i="3"/>
  <c r="AI331" i="3"/>
  <c r="AF331" i="3"/>
  <c r="AJ331" i="3"/>
  <c r="AG331" i="3"/>
  <c r="AH331" i="3"/>
  <c r="AE331" i="3"/>
  <c r="AI332" i="3"/>
  <c r="AF332" i="3"/>
  <c r="AJ332" i="3"/>
  <c r="AG332" i="3"/>
  <c r="AH332" i="3"/>
  <c r="AE332" i="3"/>
  <c r="AI333" i="3"/>
  <c r="AF333" i="3"/>
  <c r="AJ333" i="3"/>
  <c r="AG333" i="3"/>
  <c r="AH333" i="3"/>
  <c r="AE333" i="3"/>
  <c r="AI334" i="3"/>
  <c r="AF334" i="3"/>
  <c r="AJ334" i="3"/>
  <c r="AG334" i="3"/>
  <c r="AH334" i="3"/>
  <c r="AE334" i="3"/>
  <c r="AI335" i="3"/>
  <c r="AF335" i="3"/>
  <c r="AJ335" i="3"/>
  <c r="AG335" i="3"/>
  <c r="AH335" i="3"/>
  <c r="AE335" i="3"/>
  <c r="I336" i="1" s="1"/>
  <c r="AI336" i="3"/>
  <c r="AF336" i="3"/>
  <c r="AJ336" i="3"/>
  <c r="AG336" i="3"/>
  <c r="AH336" i="3"/>
  <c r="AE336" i="3"/>
  <c r="I337" i="1" s="1"/>
  <c r="AI337" i="3"/>
  <c r="AF337" i="3"/>
  <c r="AJ337" i="3"/>
  <c r="AG337" i="3"/>
  <c r="AH337" i="3"/>
  <c r="AE337" i="3"/>
  <c r="I338" i="1" s="1"/>
  <c r="AI338" i="3"/>
  <c r="AF338" i="3"/>
  <c r="AJ338" i="3"/>
  <c r="AG338" i="3"/>
  <c r="AH338" i="3"/>
  <c r="AE338" i="3"/>
  <c r="I339" i="1" s="1"/>
  <c r="AI339" i="3"/>
  <c r="AF339" i="3"/>
  <c r="AJ339" i="3"/>
  <c r="AG339" i="3"/>
  <c r="AH339" i="3"/>
  <c r="AE339" i="3"/>
  <c r="I340" i="1" s="1"/>
  <c r="AI340" i="3"/>
  <c r="AF340" i="3"/>
  <c r="AJ340" i="3"/>
  <c r="AG340" i="3"/>
  <c r="AH340" i="3"/>
  <c r="AE340" i="3"/>
  <c r="I341" i="1" s="1"/>
  <c r="AI341" i="3"/>
  <c r="AF341" i="3"/>
  <c r="AJ341" i="3"/>
  <c r="AG341" i="3"/>
  <c r="AH341" i="3"/>
  <c r="AE341" i="3"/>
  <c r="I342" i="1" s="1"/>
  <c r="AI342" i="3"/>
  <c r="AF342" i="3"/>
  <c r="AJ342" i="3"/>
  <c r="AG342" i="3"/>
  <c r="AH342" i="3"/>
  <c r="AE342" i="3"/>
  <c r="I343" i="1" s="1"/>
  <c r="AI343" i="3"/>
  <c r="AF343" i="3"/>
  <c r="AJ343" i="3"/>
  <c r="AG343" i="3"/>
  <c r="AH343" i="3"/>
  <c r="AE343" i="3"/>
  <c r="I344" i="1" s="1"/>
  <c r="AI344" i="3"/>
  <c r="AF344" i="3"/>
  <c r="AJ344" i="3"/>
  <c r="AG344" i="3"/>
  <c r="AH344" i="3"/>
  <c r="AE344" i="3"/>
  <c r="I345" i="1" s="1"/>
  <c r="AI345" i="3"/>
  <c r="AF345" i="3"/>
  <c r="AJ345" i="3"/>
  <c r="AG345" i="3"/>
  <c r="AH345" i="3"/>
  <c r="AE345" i="3"/>
  <c r="I346" i="1" s="1"/>
  <c r="AI346" i="3"/>
  <c r="AF346" i="3"/>
  <c r="AJ346" i="3"/>
  <c r="AG346" i="3"/>
  <c r="AH346" i="3"/>
  <c r="AE346" i="3"/>
  <c r="I347" i="1" s="1"/>
  <c r="AI347" i="3"/>
  <c r="AF347" i="3"/>
  <c r="AJ347" i="3"/>
  <c r="AG347" i="3"/>
  <c r="AH347" i="3"/>
  <c r="AE347" i="3"/>
  <c r="I348" i="1" s="1"/>
  <c r="AI348" i="3"/>
  <c r="AF348" i="3"/>
  <c r="AJ348" i="3"/>
  <c r="AG348" i="3"/>
  <c r="AH348" i="3"/>
  <c r="AE348" i="3"/>
  <c r="I349" i="1" s="1"/>
  <c r="AI349" i="3"/>
  <c r="AF349" i="3"/>
  <c r="AJ349" i="3"/>
  <c r="AG349" i="3"/>
  <c r="AH349" i="3"/>
  <c r="AE349" i="3"/>
  <c r="I350" i="1" s="1"/>
  <c r="AI350" i="3"/>
  <c r="AF350" i="3"/>
  <c r="AJ350" i="3"/>
  <c r="AG350" i="3"/>
  <c r="AH350" i="3"/>
  <c r="AE350" i="3"/>
  <c r="I351" i="1" s="1"/>
  <c r="AI351" i="3"/>
  <c r="AF351" i="3"/>
  <c r="AJ351" i="3"/>
  <c r="AG351" i="3"/>
  <c r="AH351" i="3"/>
  <c r="AE351" i="3"/>
  <c r="I352" i="1" s="1"/>
  <c r="AI352" i="3"/>
  <c r="AF352" i="3"/>
  <c r="AJ352" i="3"/>
  <c r="AG352" i="3"/>
  <c r="AH352" i="3"/>
  <c r="AE352" i="3"/>
  <c r="I353" i="1" s="1"/>
  <c r="AI353" i="3"/>
  <c r="AF353" i="3"/>
  <c r="AJ353" i="3"/>
  <c r="AG353" i="3"/>
  <c r="AH353" i="3"/>
  <c r="AE353" i="3"/>
  <c r="I354" i="1" s="1"/>
  <c r="AI354" i="3"/>
  <c r="AF354" i="3"/>
  <c r="AJ354" i="3"/>
  <c r="AG354" i="3"/>
  <c r="AH354" i="3"/>
  <c r="AE354" i="3"/>
  <c r="I355" i="1" s="1"/>
  <c r="AI355" i="3"/>
  <c r="AF355" i="3"/>
  <c r="AJ355" i="3"/>
  <c r="AG355" i="3"/>
  <c r="AH355" i="3"/>
  <c r="AE355" i="3"/>
  <c r="I356" i="1" s="1"/>
  <c r="AI356" i="3"/>
  <c r="AF356" i="3"/>
  <c r="AJ356" i="3"/>
  <c r="AG356" i="3"/>
  <c r="AH356" i="3"/>
  <c r="AE356" i="3"/>
  <c r="I357" i="1" s="1"/>
  <c r="AI357" i="3"/>
  <c r="AF357" i="3"/>
  <c r="AJ357" i="3"/>
  <c r="AG357" i="3"/>
  <c r="AH357" i="3"/>
  <c r="AE357" i="3"/>
  <c r="I358" i="1" s="1"/>
  <c r="AI358" i="3"/>
  <c r="AF358" i="3"/>
  <c r="AJ358" i="3"/>
  <c r="AG358" i="3"/>
  <c r="AH358" i="3"/>
  <c r="AE358" i="3"/>
  <c r="I359" i="1" s="1"/>
  <c r="AI359" i="3"/>
  <c r="AF359" i="3"/>
  <c r="AJ359" i="3"/>
  <c r="AG359" i="3"/>
  <c r="AH359" i="3"/>
  <c r="AE359" i="3"/>
  <c r="I360" i="1" s="1"/>
  <c r="AI360" i="3"/>
  <c r="AF360" i="3"/>
  <c r="AJ360" i="3"/>
  <c r="AG360" i="3"/>
  <c r="AH360" i="3"/>
  <c r="AE360" i="3"/>
  <c r="I361" i="1" s="1"/>
  <c r="AI361" i="3"/>
  <c r="AF361" i="3"/>
  <c r="AJ361" i="3"/>
  <c r="AG361" i="3"/>
  <c r="AH361" i="3"/>
  <c r="AE361" i="3"/>
  <c r="I362" i="1" s="1"/>
  <c r="AI362" i="3"/>
  <c r="AF362" i="3"/>
  <c r="AJ362" i="3"/>
  <c r="AG362" i="3"/>
  <c r="AH362" i="3"/>
  <c r="AE362" i="3"/>
  <c r="I363" i="1" s="1"/>
  <c r="AI363" i="3"/>
  <c r="AF363" i="3"/>
  <c r="AJ363" i="3"/>
  <c r="AG363" i="3"/>
  <c r="AH363" i="3"/>
  <c r="AE363" i="3"/>
  <c r="I364" i="1" s="1"/>
  <c r="AI364" i="3"/>
  <c r="AF364" i="3"/>
  <c r="AJ364" i="3"/>
  <c r="AG364" i="3"/>
  <c r="AH364" i="3"/>
  <c r="AE364" i="3"/>
  <c r="I365" i="1" s="1"/>
  <c r="AI365" i="3"/>
  <c r="AF365" i="3"/>
  <c r="AJ365" i="3"/>
  <c r="AG365" i="3"/>
  <c r="AH365" i="3"/>
  <c r="AE365" i="3"/>
  <c r="I366" i="1" s="1"/>
  <c r="AI366" i="3"/>
  <c r="AF366" i="3"/>
  <c r="AJ366" i="3"/>
  <c r="AG366" i="3"/>
  <c r="AH366" i="3"/>
  <c r="AE366" i="3"/>
  <c r="AI367" i="3"/>
  <c r="AF367" i="3"/>
  <c r="AJ367" i="3"/>
  <c r="AG367" i="3"/>
  <c r="AH367" i="3"/>
  <c r="AE367" i="3"/>
  <c r="AI368" i="3"/>
  <c r="AF368" i="3"/>
  <c r="AJ368" i="3"/>
  <c r="AG368" i="3"/>
  <c r="AH368" i="3"/>
  <c r="AE368" i="3"/>
  <c r="AI369" i="3"/>
  <c r="AF369" i="3"/>
  <c r="AJ369" i="3"/>
  <c r="AG369" i="3"/>
  <c r="AH369" i="3"/>
  <c r="AE369" i="3"/>
  <c r="AI370" i="3"/>
  <c r="AJ370" i="3"/>
  <c r="AG370" i="3"/>
  <c r="AH370" i="3"/>
  <c r="AE370" i="3"/>
  <c r="AF370" i="3"/>
  <c r="AG371" i="3"/>
  <c r="AH371" i="3"/>
  <c r="AE371" i="3"/>
  <c r="AI371" i="3"/>
  <c r="AF371" i="3"/>
  <c r="AJ371" i="3"/>
  <c r="AG372" i="3"/>
  <c r="AH372" i="3"/>
  <c r="AE372" i="3"/>
  <c r="AI372" i="3"/>
  <c r="AF372" i="3"/>
  <c r="AJ372" i="3"/>
  <c r="AA326" i="3"/>
  <c r="AB326" i="3"/>
  <c r="Y326" i="3"/>
  <c r="AC326" i="3"/>
  <c r="Z326" i="3"/>
  <c r="AD326" i="3"/>
  <c r="AA327" i="3"/>
  <c r="AB327" i="3"/>
  <c r="Y327" i="3"/>
  <c r="AC327" i="3"/>
  <c r="Z327" i="3"/>
  <c r="AD327" i="3"/>
  <c r="AA328" i="3"/>
  <c r="AB328" i="3"/>
  <c r="Y328" i="3"/>
  <c r="AC328" i="3"/>
  <c r="Z328" i="3"/>
  <c r="AD328" i="3"/>
  <c r="AA329" i="3"/>
  <c r="AB329" i="3"/>
  <c r="Y329" i="3"/>
  <c r="AC329" i="3"/>
  <c r="Z329" i="3"/>
  <c r="AD329" i="3"/>
  <c r="AA330" i="3"/>
  <c r="AB330" i="3"/>
  <c r="Y330" i="3"/>
  <c r="AC330" i="3"/>
  <c r="Z330" i="3"/>
  <c r="AD330" i="3"/>
  <c r="AA331" i="3"/>
  <c r="AB331" i="3"/>
  <c r="Y331" i="3"/>
  <c r="AC331" i="3"/>
  <c r="Z331" i="3"/>
  <c r="AD331" i="3"/>
  <c r="AA332" i="3"/>
  <c r="AB332" i="3"/>
  <c r="Y332" i="3"/>
  <c r="AC332" i="3"/>
  <c r="Z332" i="3"/>
  <c r="AD332" i="3"/>
  <c r="AA333" i="3"/>
  <c r="AB333" i="3"/>
  <c r="Y333" i="3"/>
  <c r="AC333" i="3"/>
  <c r="Z333" i="3"/>
  <c r="AD333" i="3"/>
  <c r="AA334" i="3"/>
  <c r="AB334" i="3"/>
  <c r="Y334" i="3"/>
  <c r="AC334" i="3"/>
  <c r="Z334" i="3"/>
  <c r="AD334" i="3"/>
  <c r="AA335" i="3"/>
  <c r="AB335" i="3"/>
  <c r="Y335" i="3"/>
  <c r="AC335" i="3"/>
  <c r="Z335" i="3"/>
  <c r="AD335" i="3"/>
  <c r="AA336" i="3"/>
  <c r="AB336" i="3"/>
  <c r="Y336" i="3"/>
  <c r="AC336" i="3"/>
  <c r="Z336" i="3"/>
  <c r="AD336" i="3"/>
  <c r="AA337" i="3"/>
  <c r="AB337" i="3"/>
  <c r="Y337" i="3"/>
  <c r="AC337" i="3"/>
  <c r="Z337" i="3"/>
  <c r="AD337" i="3"/>
  <c r="AA338" i="3"/>
  <c r="AB338" i="3"/>
  <c r="Y338" i="3"/>
  <c r="AC338" i="3"/>
  <c r="Z338" i="3"/>
  <c r="AD338" i="3"/>
  <c r="AA339" i="3"/>
  <c r="AB339" i="3"/>
  <c r="Y339" i="3"/>
  <c r="AC339" i="3"/>
  <c r="Z339" i="3"/>
  <c r="AD339" i="3"/>
  <c r="AA340" i="3"/>
  <c r="AB340" i="3"/>
  <c r="Y340" i="3"/>
  <c r="AC340" i="3"/>
  <c r="Z340" i="3"/>
  <c r="AD340" i="3"/>
  <c r="AA341" i="3"/>
  <c r="AB341" i="3"/>
  <c r="Y341" i="3"/>
  <c r="AC341" i="3"/>
  <c r="Z341" i="3"/>
  <c r="AD341" i="3"/>
  <c r="AA342" i="3"/>
  <c r="AB342" i="3"/>
  <c r="Y342" i="3"/>
  <c r="AC342" i="3"/>
  <c r="Z342" i="3"/>
  <c r="AD342" i="3"/>
  <c r="AA343" i="3"/>
  <c r="AB343" i="3"/>
  <c r="Y343" i="3"/>
  <c r="AC343" i="3"/>
  <c r="Z343" i="3"/>
  <c r="AD343" i="3"/>
  <c r="AA344" i="3"/>
  <c r="AB344" i="3"/>
  <c r="Y344" i="3"/>
  <c r="AC344" i="3"/>
  <c r="Z344" i="3"/>
  <c r="AD344" i="3"/>
  <c r="AA345" i="3"/>
  <c r="AB345" i="3"/>
  <c r="Y345" i="3"/>
  <c r="AC345" i="3"/>
  <c r="Z345" i="3"/>
  <c r="AD345" i="3"/>
  <c r="AA346" i="3"/>
  <c r="AB346" i="3"/>
  <c r="Y346" i="3"/>
  <c r="AC346" i="3"/>
  <c r="Z346" i="3"/>
  <c r="AD346" i="3"/>
  <c r="AA347" i="3"/>
  <c r="AB347" i="3"/>
  <c r="Y347" i="3"/>
  <c r="AC347" i="3"/>
  <c r="Z347" i="3"/>
  <c r="AD347" i="3"/>
  <c r="AA348" i="3"/>
  <c r="AB348" i="3"/>
  <c r="Y348" i="3"/>
  <c r="AC348" i="3"/>
  <c r="Z348" i="3"/>
  <c r="AD348" i="3"/>
  <c r="AA349" i="3"/>
  <c r="AB349" i="3"/>
  <c r="Y349" i="3"/>
  <c r="AC349" i="3"/>
  <c r="Z349" i="3"/>
  <c r="AD349" i="3"/>
  <c r="AA350" i="3"/>
  <c r="AB350" i="3"/>
  <c r="Y350" i="3"/>
  <c r="AC350" i="3"/>
  <c r="Z350" i="3"/>
  <c r="AD350" i="3"/>
  <c r="AA351" i="3"/>
  <c r="AB351" i="3"/>
  <c r="Y351" i="3"/>
  <c r="AC351" i="3"/>
  <c r="Z351" i="3"/>
  <c r="AD351" i="3"/>
  <c r="AA352" i="3"/>
  <c r="AB352" i="3"/>
  <c r="Y352" i="3"/>
  <c r="AC352" i="3"/>
  <c r="Z352" i="3"/>
  <c r="AD352" i="3"/>
  <c r="AA353" i="3"/>
  <c r="AB353" i="3"/>
  <c r="Y353" i="3"/>
  <c r="AC353" i="3"/>
  <c r="Z353" i="3"/>
  <c r="AD353" i="3"/>
  <c r="AA354" i="3"/>
  <c r="AB354" i="3"/>
  <c r="Y354" i="3"/>
  <c r="AC354" i="3"/>
  <c r="Z354" i="3"/>
  <c r="AD354" i="3"/>
  <c r="AA355" i="3"/>
  <c r="AB355" i="3"/>
  <c r="Y355" i="3"/>
  <c r="AC355" i="3"/>
  <c r="Z355" i="3"/>
  <c r="AD355" i="3"/>
  <c r="AA356" i="3"/>
  <c r="AB356" i="3"/>
  <c r="Y356" i="3"/>
  <c r="AC356" i="3"/>
  <c r="Z356" i="3"/>
  <c r="AD356" i="3"/>
  <c r="AA357" i="3"/>
  <c r="AB357" i="3"/>
  <c r="Y357" i="3"/>
  <c r="AC357" i="3"/>
  <c r="Z357" i="3"/>
  <c r="AD357" i="3"/>
  <c r="AA358" i="3"/>
  <c r="AB358" i="3"/>
  <c r="Y358" i="3"/>
  <c r="AC358" i="3"/>
  <c r="Z358" i="3"/>
  <c r="AD358" i="3"/>
  <c r="AA359" i="3"/>
  <c r="AB359" i="3"/>
  <c r="Y359" i="3"/>
  <c r="AC359" i="3"/>
  <c r="Z359" i="3"/>
  <c r="AD359" i="3"/>
  <c r="AA360" i="3"/>
  <c r="AB360" i="3"/>
  <c r="Y360" i="3"/>
  <c r="AC360" i="3"/>
  <c r="Z360" i="3"/>
  <c r="AD360" i="3"/>
  <c r="AA361" i="3"/>
  <c r="AB361" i="3"/>
  <c r="Y361" i="3"/>
  <c r="AC361" i="3"/>
  <c r="Z361" i="3"/>
  <c r="AD361" i="3"/>
  <c r="AA362" i="3"/>
  <c r="AB362" i="3"/>
  <c r="Y362" i="3"/>
  <c r="AC362" i="3"/>
  <c r="Z362" i="3"/>
  <c r="AD362" i="3"/>
  <c r="AA363" i="3"/>
  <c r="AB363" i="3"/>
  <c r="Y363" i="3"/>
  <c r="AC363" i="3"/>
  <c r="Z363" i="3"/>
  <c r="AD363" i="3"/>
  <c r="AA364" i="3"/>
  <c r="AB364" i="3"/>
  <c r="Y364" i="3"/>
  <c r="AC364" i="3"/>
  <c r="Z364" i="3"/>
  <c r="AD364" i="3"/>
  <c r="AA365" i="3"/>
  <c r="AB365" i="3"/>
  <c r="Y365" i="3"/>
  <c r="AC365" i="3"/>
  <c r="Z365" i="3"/>
  <c r="AD365" i="3"/>
  <c r="AA366" i="3"/>
  <c r="AB366" i="3"/>
  <c r="Y366" i="3"/>
  <c r="AC366" i="3"/>
  <c r="Z366" i="3"/>
  <c r="AD366" i="3"/>
  <c r="AA367" i="3"/>
  <c r="AB367" i="3"/>
  <c r="Y367" i="3"/>
  <c r="AC367" i="3"/>
  <c r="Z367" i="3"/>
  <c r="AD367" i="3"/>
  <c r="AA368" i="3"/>
  <c r="AB368" i="3"/>
  <c r="Y368" i="3"/>
  <c r="AC368" i="3"/>
  <c r="Z368" i="3"/>
  <c r="AD368" i="3"/>
  <c r="AA369" i="3"/>
  <c r="AB369" i="3"/>
  <c r="Y369" i="3"/>
  <c r="AC369" i="3"/>
  <c r="Z369" i="3"/>
  <c r="AD369" i="3"/>
  <c r="AC370" i="3"/>
  <c r="Z370" i="3"/>
  <c r="AD370" i="3"/>
  <c r="AA370" i="3"/>
  <c r="AB370" i="3"/>
  <c r="Y370" i="3"/>
  <c r="AC371" i="3"/>
  <c r="Z371" i="3"/>
  <c r="AD371" i="3"/>
  <c r="AA371" i="3"/>
  <c r="AB371" i="3"/>
  <c r="Y371" i="3"/>
  <c r="AC372" i="3"/>
  <c r="Z372" i="3"/>
  <c r="AD372" i="3"/>
  <c r="AA372" i="3"/>
  <c r="AB372" i="3"/>
  <c r="Y372" i="3"/>
  <c r="W326" i="3"/>
  <c r="T326" i="3"/>
  <c r="X326" i="3"/>
  <c r="U326" i="3"/>
  <c r="V326" i="3"/>
  <c r="S326" i="3"/>
  <c r="W327" i="3"/>
  <c r="T327" i="3"/>
  <c r="X327" i="3"/>
  <c r="U327" i="3"/>
  <c r="V327" i="3"/>
  <c r="S327" i="3"/>
  <c r="W328" i="3"/>
  <c r="T328" i="3"/>
  <c r="X328" i="3"/>
  <c r="U328" i="3"/>
  <c r="V328" i="3"/>
  <c r="S328" i="3"/>
  <c r="W329" i="3"/>
  <c r="T329" i="3"/>
  <c r="X329" i="3"/>
  <c r="U329" i="3"/>
  <c r="V329" i="3"/>
  <c r="S329" i="3"/>
  <c r="W330" i="3"/>
  <c r="T330" i="3"/>
  <c r="X330" i="3"/>
  <c r="U330" i="3"/>
  <c r="V330" i="3"/>
  <c r="S330" i="3"/>
  <c r="W331" i="3"/>
  <c r="T331" i="3"/>
  <c r="X331" i="3"/>
  <c r="U331" i="3"/>
  <c r="V331" i="3"/>
  <c r="S331" i="3"/>
  <c r="W332" i="3"/>
  <c r="T332" i="3"/>
  <c r="X332" i="3"/>
  <c r="U332" i="3"/>
  <c r="V332" i="3"/>
  <c r="S332" i="3"/>
  <c r="W333" i="3"/>
  <c r="T333" i="3"/>
  <c r="X333" i="3"/>
  <c r="U333" i="3"/>
  <c r="V333" i="3"/>
  <c r="S333" i="3"/>
  <c r="W334" i="3"/>
  <c r="T334" i="3"/>
  <c r="X334" i="3"/>
  <c r="U334" i="3"/>
  <c r="V334" i="3"/>
  <c r="S334" i="3"/>
  <c r="W335" i="3"/>
  <c r="T335" i="3"/>
  <c r="X335" i="3"/>
  <c r="U335" i="3"/>
  <c r="V335" i="3"/>
  <c r="S335" i="3"/>
  <c r="G336" i="1" s="1"/>
  <c r="W336" i="3"/>
  <c r="T336" i="3"/>
  <c r="X336" i="3"/>
  <c r="U336" i="3"/>
  <c r="V336" i="3"/>
  <c r="S336" i="3"/>
  <c r="G337" i="1" s="1"/>
  <c r="W337" i="3"/>
  <c r="T337" i="3"/>
  <c r="X337" i="3"/>
  <c r="U337" i="3"/>
  <c r="V337" i="3"/>
  <c r="S337" i="3"/>
  <c r="G338" i="1" s="1"/>
  <c r="W338" i="3"/>
  <c r="T338" i="3"/>
  <c r="X338" i="3"/>
  <c r="U338" i="3"/>
  <c r="V338" i="3"/>
  <c r="S338" i="3"/>
  <c r="G339" i="1" s="1"/>
  <c r="W339" i="3"/>
  <c r="T339" i="3"/>
  <c r="X339" i="3"/>
  <c r="U339" i="3"/>
  <c r="V339" i="3"/>
  <c r="S339" i="3"/>
  <c r="G340" i="1" s="1"/>
  <c r="W340" i="3"/>
  <c r="T340" i="3"/>
  <c r="X340" i="3"/>
  <c r="U340" i="3"/>
  <c r="V340" i="3"/>
  <c r="S340" i="3"/>
  <c r="G341" i="1" s="1"/>
  <c r="W341" i="3"/>
  <c r="T341" i="3"/>
  <c r="X341" i="3"/>
  <c r="U341" i="3"/>
  <c r="V341" i="3"/>
  <c r="S341" i="3"/>
  <c r="G342" i="1" s="1"/>
  <c r="W342" i="3"/>
  <c r="T342" i="3"/>
  <c r="X342" i="3"/>
  <c r="U342" i="3"/>
  <c r="V342" i="3"/>
  <c r="S342" i="3"/>
  <c r="G343" i="1" s="1"/>
  <c r="W343" i="3"/>
  <c r="T343" i="3"/>
  <c r="X343" i="3"/>
  <c r="U343" i="3"/>
  <c r="V343" i="3"/>
  <c r="S343" i="3"/>
  <c r="G344" i="1" s="1"/>
  <c r="W344" i="3"/>
  <c r="T344" i="3"/>
  <c r="X344" i="3"/>
  <c r="U344" i="3"/>
  <c r="V344" i="3"/>
  <c r="S344" i="3"/>
  <c r="G345" i="1" s="1"/>
  <c r="W345" i="3"/>
  <c r="T345" i="3"/>
  <c r="X345" i="3"/>
  <c r="U345" i="3"/>
  <c r="V345" i="3"/>
  <c r="S345" i="3"/>
  <c r="G346" i="1" s="1"/>
  <c r="W346" i="3"/>
  <c r="T346" i="3"/>
  <c r="X346" i="3"/>
  <c r="U346" i="3"/>
  <c r="V346" i="3"/>
  <c r="S346" i="3"/>
  <c r="G347" i="1" s="1"/>
  <c r="W347" i="3"/>
  <c r="T347" i="3"/>
  <c r="X347" i="3"/>
  <c r="U347" i="3"/>
  <c r="V347" i="3"/>
  <c r="S347" i="3"/>
  <c r="G348" i="1" s="1"/>
  <c r="W348" i="3"/>
  <c r="T348" i="3"/>
  <c r="X348" i="3"/>
  <c r="U348" i="3"/>
  <c r="V348" i="3"/>
  <c r="S348" i="3"/>
  <c r="G349" i="1" s="1"/>
  <c r="W349" i="3"/>
  <c r="T349" i="3"/>
  <c r="X349" i="3"/>
  <c r="U349" i="3"/>
  <c r="V349" i="3"/>
  <c r="S349" i="3"/>
  <c r="G350" i="1" s="1"/>
  <c r="W350" i="3"/>
  <c r="T350" i="3"/>
  <c r="X350" i="3"/>
  <c r="U350" i="3"/>
  <c r="V350" i="3"/>
  <c r="S350" i="3"/>
  <c r="G351" i="1" s="1"/>
  <c r="W351" i="3"/>
  <c r="T351" i="3"/>
  <c r="X351" i="3"/>
  <c r="U351" i="3"/>
  <c r="V351" i="3"/>
  <c r="S351" i="3"/>
  <c r="G352" i="1" s="1"/>
  <c r="W352" i="3"/>
  <c r="T352" i="3"/>
  <c r="X352" i="3"/>
  <c r="U352" i="3"/>
  <c r="V352" i="3"/>
  <c r="S352" i="3"/>
  <c r="G353" i="1" s="1"/>
  <c r="W353" i="3"/>
  <c r="T353" i="3"/>
  <c r="X353" i="3"/>
  <c r="U353" i="3"/>
  <c r="V353" i="3"/>
  <c r="S353" i="3"/>
  <c r="G354" i="1" s="1"/>
  <c r="W354" i="3"/>
  <c r="T354" i="3"/>
  <c r="X354" i="3"/>
  <c r="U354" i="3"/>
  <c r="V354" i="3"/>
  <c r="S354" i="3"/>
  <c r="G355" i="1" s="1"/>
  <c r="W355" i="3"/>
  <c r="T355" i="3"/>
  <c r="X355" i="3"/>
  <c r="U355" i="3"/>
  <c r="V355" i="3"/>
  <c r="S355" i="3"/>
  <c r="G356" i="1" s="1"/>
  <c r="W356" i="3"/>
  <c r="T356" i="3"/>
  <c r="X356" i="3"/>
  <c r="U356" i="3"/>
  <c r="V356" i="3"/>
  <c r="S356" i="3"/>
  <c r="G357" i="1" s="1"/>
  <c r="W357" i="3"/>
  <c r="T357" i="3"/>
  <c r="X357" i="3"/>
  <c r="U357" i="3"/>
  <c r="V357" i="3"/>
  <c r="S357" i="3"/>
  <c r="G358" i="1" s="1"/>
  <c r="W358" i="3"/>
  <c r="T358" i="3"/>
  <c r="X358" i="3"/>
  <c r="U358" i="3"/>
  <c r="V358" i="3"/>
  <c r="S358" i="3"/>
  <c r="G359" i="1" s="1"/>
  <c r="W359" i="3"/>
  <c r="T359" i="3"/>
  <c r="X359" i="3"/>
  <c r="U359" i="3"/>
  <c r="V359" i="3"/>
  <c r="S359" i="3"/>
  <c r="G360" i="1" s="1"/>
  <c r="W360" i="3"/>
  <c r="T360" i="3"/>
  <c r="X360" i="3"/>
  <c r="U360" i="3"/>
  <c r="V360" i="3"/>
  <c r="S360" i="3"/>
  <c r="G361" i="1" s="1"/>
  <c r="W361" i="3"/>
  <c r="T361" i="3"/>
  <c r="X361" i="3"/>
  <c r="U361" i="3"/>
  <c r="V361" i="3"/>
  <c r="S361" i="3"/>
  <c r="G362" i="1" s="1"/>
  <c r="W362" i="3"/>
  <c r="T362" i="3"/>
  <c r="X362" i="3"/>
  <c r="U362" i="3"/>
  <c r="V362" i="3"/>
  <c r="S362" i="3"/>
  <c r="G363" i="1" s="1"/>
  <c r="W363" i="3"/>
  <c r="T363" i="3"/>
  <c r="X363" i="3"/>
  <c r="U363" i="3"/>
  <c r="V363" i="3"/>
  <c r="S363" i="3"/>
  <c r="G364" i="1" s="1"/>
  <c r="W364" i="3"/>
  <c r="T364" i="3"/>
  <c r="X364" i="3"/>
  <c r="U364" i="3"/>
  <c r="V364" i="3"/>
  <c r="S364" i="3"/>
  <c r="G365" i="1" s="1"/>
  <c r="W365" i="3"/>
  <c r="T365" i="3"/>
  <c r="X365" i="3"/>
  <c r="U365" i="3"/>
  <c r="V365" i="3"/>
  <c r="S365" i="3"/>
  <c r="G366" i="1" s="1"/>
  <c r="W366" i="3"/>
  <c r="T366" i="3"/>
  <c r="X366" i="3"/>
  <c r="U366" i="3"/>
  <c r="V366" i="3"/>
  <c r="S366" i="3"/>
  <c r="W367" i="3"/>
  <c r="T367" i="3"/>
  <c r="X367" i="3"/>
  <c r="U367" i="3"/>
  <c r="V367" i="3"/>
  <c r="S367" i="3"/>
  <c r="W368" i="3"/>
  <c r="X368" i="3"/>
  <c r="U368" i="3"/>
  <c r="V368" i="3"/>
  <c r="T368" i="3"/>
  <c r="S368" i="3"/>
  <c r="W369" i="3"/>
  <c r="X369" i="3"/>
  <c r="U369" i="3"/>
  <c r="V369" i="3"/>
  <c r="T369" i="3"/>
  <c r="S369" i="3"/>
  <c r="U370" i="3"/>
  <c r="V370" i="3"/>
  <c r="S370" i="3"/>
  <c r="W370" i="3"/>
  <c r="T370" i="3"/>
  <c r="X370" i="3"/>
  <c r="U371" i="3"/>
  <c r="V371" i="3"/>
  <c r="S371" i="3"/>
  <c r="W371" i="3"/>
  <c r="T371" i="3"/>
  <c r="X371" i="3"/>
  <c r="U372" i="3"/>
  <c r="V372" i="3"/>
  <c r="S372" i="3"/>
  <c r="W372" i="3"/>
  <c r="T372" i="3"/>
  <c r="X372" i="3"/>
  <c r="O326" i="3"/>
  <c r="P326" i="3"/>
  <c r="M326" i="3"/>
  <c r="Q326" i="3"/>
  <c r="N326" i="3"/>
  <c r="R326" i="3"/>
  <c r="O327" i="3"/>
  <c r="P327" i="3"/>
  <c r="M327" i="3"/>
  <c r="Q327" i="3"/>
  <c r="N327" i="3"/>
  <c r="R327" i="3"/>
  <c r="O328" i="3"/>
  <c r="P328" i="3"/>
  <c r="M328" i="3"/>
  <c r="Q328" i="3"/>
  <c r="N328" i="3"/>
  <c r="R328" i="3"/>
  <c r="O329" i="3"/>
  <c r="P329" i="3"/>
  <c r="M329" i="3"/>
  <c r="Q329" i="3"/>
  <c r="N329" i="3"/>
  <c r="R329" i="3"/>
  <c r="O330" i="3"/>
  <c r="P330" i="3"/>
  <c r="M330" i="3"/>
  <c r="Q330" i="3"/>
  <c r="N330" i="3"/>
  <c r="R330" i="3"/>
  <c r="O331" i="3"/>
  <c r="P331" i="3"/>
  <c r="M331" i="3"/>
  <c r="Q331" i="3"/>
  <c r="N331" i="3"/>
  <c r="R331" i="3"/>
  <c r="O332" i="3"/>
  <c r="P332" i="3"/>
  <c r="M332" i="3"/>
  <c r="Q332" i="3"/>
  <c r="N332" i="3"/>
  <c r="R332" i="3"/>
  <c r="O333" i="3"/>
  <c r="P333" i="3"/>
  <c r="M333" i="3"/>
  <c r="Q333" i="3"/>
  <c r="N333" i="3"/>
  <c r="R333" i="3"/>
  <c r="O334" i="3"/>
  <c r="P334" i="3"/>
  <c r="M334" i="3"/>
  <c r="Q334" i="3"/>
  <c r="N334" i="3"/>
  <c r="R334" i="3"/>
  <c r="O335" i="3"/>
  <c r="P335" i="3"/>
  <c r="M335" i="3"/>
  <c r="Q335" i="3"/>
  <c r="N335" i="3"/>
  <c r="R335" i="3"/>
  <c r="O336" i="3"/>
  <c r="P336" i="3"/>
  <c r="M336" i="3"/>
  <c r="Q336" i="3"/>
  <c r="N336" i="3"/>
  <c r="R336" i="3"/>
  <c r="O337" i="3"/>
  <c r="P337" i="3"/>
  <c r="M337" i="3"/>
  <c r="Q337" i="3"/>
  <c r="N337" i="3"/>
  <c r="R337" i="3"/>
  <c r="O338" i="3"/>
  <c r="P338" i="3"/>
  <c r="M338" i="3"/>
  <c r="Q338" i="3"/>
  <c r="N338" i="3"/>
  <c r="R338" i="3"/>
  <c r="O339" i="3"/>
  <c r="P339" i="3"/>
  <c r="M339" i="3"/>
  <c r="Q339" i="3"/>
  <c r="N339" i="3"/>
  <c r="R339" i="3"/>
  <c r="O340" i="3"/>
  <c r="P340" i="3"/>
  <c r="M340" i="3"/>
  <c r="Q340" i="3"/>
  <c r="N340" i="3"/>
  <c r="R340" i="3"/>
  <c r="O341" i="3"/>
  <c r="P341" i="3"/>
  <c r="M341" i="3"/>
  <c r="Q341" i="3"/>
  <c r="N341" i="3"/>
  <c r="R341" i="3"/>
  <c r="O342" i="3"/>
  <c r="P342" i="3"/>
  <c r="M342" i="3"/>
  <c r="Q342" i="3"/>
  <c r="N342" i="3"/>
  <c r="R342" i="3"/>
  <c r="O343" i="3"/>
  <c r="P343" i="3"/>
  <c r="M343" i="3"/>
  <c r="Q343" i="3"/>
  <c r="N343" i="3"/>
  <c r="R343" i="3"/>
  <c r="O344" i="3"/>
  <c r="P344" i="3"/>
  <c r="M344" i="3"/>
  <c r="Q344" i="3"/>
  <c r="N344" i="3"/>
  <c r="R344" i="3"/>
  <c r="O345" i="3"/>
  <c r="P345" i="3"/>
  <c r="M345" i="3"/>
  <c r="Q345" i="3"/>
  <c r="N345" i="3"/>
  <c r="R345" i="3"/>
  <c r="O346" i="3"/>
  <c r="P346" i="3"/>
  <c r="M346" i="3"/>
  <c r="Q346" i="3"/>
  <c r="N346" i="3"/>
  <c r="R346" i="3"/>
  <c r="O347" i="3"/>
  <c r="P347" i="3"/>
  <c r="M347" i="3"/>
  <c r="Q347" i="3"/>
  <c r="N347" i="3"/>
  <c r="R347" i="3"/>
  <c r="O348" i="3"/>
  <c r="P348" i="3"/>
  <c r="M348" i="3"/>
  <c r="Q348" i="3"/>
  <c r="N348" i="3"/>
  <c r="R348" i="3"/>
  <c r="O349" i="3"/>
  <c r="P349" i="3"/>
  <c r="M349" i="3"/>
  <c r="Q349" i="3"/>
  <c r="N349" i="3"/>
  <c r="R349" i="3"/>
  <c r="O350" i="3"/>
  <c r="P350" i="3"/>
  <c r="M350" i="3"/>
  <c r="Q350" i="3"/>
  <c r="N350" i="3"/>
  <c r="R350" i="3"/>
  <c r="O351" i="3"/>
  <c r="P351" i="3"/>
  <c r="M351" i="3"/>
  <c r="Q351" i="3"/>
  <c r="N351" i="3"/>
  <c r="R351" i="3"/>
  <c r="O352" i="3"/>
  <c r="P352" i="3"/>
  <c r="M352" i="3"/>
  <c r="Q352" i="3"/>
  <c r="N352" i="3"/>
  <c r="R352" i="3"/>
  <c r="O353" i="3"/>
  <c r="P353" i="3"/>
  <c r="M353" i="3"/>
  <c r="Q353" i="3"/>
  <c r="N353" i="3"/>
  <c r="R353" i="3"/>
  <c r="O354" i="3"/>
  <c r="P354" i="3"/>
  <c r="M354" i="3"/>
  <c r="Q354" i="3"/>
  <c r="N354" i="3"/>
  <c r="R354" i="3"/>
  <c r="O355" i="3"/>
  <c r="P355" i="3"/>
  <c r="M355" i="3"/>
  <c r="Q355" i="3"/>
  <c r="N355" i="3"/>
  <c r="R355" i="3"/>
  <c r="O356" i="3"/>
  <c r="P356" i="3"/>
  <c r="M356" i="3"/>
  <c r="Q356" i="3"/>
  <c r="N356" i="3"/>
  <c r="R356" i="3"/>
  <c r="O357" i="3"/>
  <c r="P357" i="3"/>
  <c r="M357" i="3"/>
  <c r="Q357" i="3"/>
  <c r="N357" i="3"/>
  <c r="R357" i="3"/>
  <c r="O358" i="3"/>
  <c r="P358" i="3"/>
  <c r="M358" i="3"/>
  <c r="Q358" i="3"/>
  <c r="N358" i="3"/>
  <c r="R358" i="3"/>
  <c r="O359" i="3"/>
  <c r="P359" i="3"/>
  <c r="M359" i="3"/>
  <c r="Q359" i="3"/>
  <c r="N359" i="3"/>
  <c r="R359" i="3"/>
  <c r="O360" i="3"/>
  <c r="P360" i="3"/>
  <c r="M360" i="3"/>
  <c r="Q360" i="3"/>
  <c r="N360" i="3"/>
  <c r="R360" i="3"/>
  <c r="O361" i="3"/>
  <c r="P361" i="3"/>
  <c r="M361" i="3"/>
  <c r="Q361" i="3"/>
  <c r="N361" i="3"/>
  <c r="R361" i="3"/>
  <c r="O362" i="3"/>
  <c r="P362" i="3"/>
  <c r="M362" i="3"/>
  <c r="Q362" i="3"/>
  <c r="N362" i="3"/>
  <c r="R362" i="3"/>
  <c r="O363" i="3"/>
  <c r="P363" i="3"/>
  <c r="M363" i="3"/>
  <c r="Q363" i="3"/>
  <c r="N363" i="3"/>
  <c r="R363" i="3"/>
  <c r="O364" i="3"/>
  <c r="P364" i="3"/>
  <c r="M364" i="3"/>
  <c r="Q364" i="3"/>
  <c r="N364" i="3"/>
  <c r="R364" i="3"/>
  <c r="O365" i="3"/>
  <c r="P365" i="3"/>
  <c r="M365" i="3"/>
  <c r="Q365" i="3"/>
  <c r="N365" i="3"/>
  <c r="R365" i="3"/>
  <c r="O366" i="3"/>
  <c r="P366" i="3"/>
  <c r="M366" i="3"/>
  <c r="Q366" i="3"/>
  <c r="N366" i="3"/>
  <c r="R366" i="3"/>
  <c r="O367" i="3"/>
  <c r="P367" i="3"/>
  <c r="M367" i="3"/>
  <c r="Q367" i="3"/>
  <c r="N367" i="3"/>
  <c r="R367" i="3"/>
  <c r="Q368" i="3"/>
  <c r="N368" i="3"/>
  <c r="R368" i="3"/>
  <c r="O368" i="3"/>
  <c r="P368" i="3"/>
  <c r="M368" i="3"/>
  <c r="Q369" i="3"/>
  <c r="N369" i="3"/>
  <c r="R369" i="3"/>
  <c r="O369" i="3"/>
  <c r="P369" i="3"/>
  <c r="M369" i="3"/>
  <c r="Q370" i="3"/>
  <c r="N370" i="3"/>
  <c r="R370" i="3"/>
  <c r="O370" i="3"/>
  <c r="P370" i="3"/>
  <c r="M370" i="3"/>
  <c r="Q371" i="3"/>
  <c r="N371" i="3"/>
  <c r="R371" i="3"/>
  <c r="O371" i="3"/>
  <c r="P371" i="3"/>
  <c r="M371" i="3"/>
  <c r="Q372" i="3"/>
  <c r="N372" i="3"/>
  <c r="R372" i="3"/>
  <c r="O372" i="3"/>
  <c r="P372" i="3"/>
  <c r="M372" i="3"/>
  <c r="K326" i="3"/>
  <c r="H326" i="3"/>
  <c r="L326" i="3"/>
  <c r="I326" i="3"/>
  <c r="J326" i="3"/>
  <c r="G326" i="3"/>
  <c r="K327" i="3"/>
  <c r="H327" i="3"/>
  <c r="L327" i="3"/>
  <c r="I327" i="3"/>
  <c r="J327" i="3"/>
  <c r="G327" i="3"/>
  <c r="K328" i="3"/>
  <c r="H328" i="3"/>
  <c r="L328" i="3"/>
  <c r="I328" i="3"/>
  <c r="J328" i="3"/>
  <c r="G328" i="3"/>
  <c r="K329" i="3"/>
  <c r="H329" i="3"/>
  <c r="L329" i="3"/>
  <c r="I329" i="3"/>
  <c r="J329" i="3"/>
  <c r="G329" i="3"/>
  <c r="K330" i="3"/>
  <c r="H330" i="3"/>
  <c r="L330" i="3"/>
  <c r="I330" i="3"/>
  <c r="J330" i="3"/>
  <c r="G330" i="3"/>
  <c r="K331" i="3"/>
  <c r="H331" i="3"/>
  <c r="L331" i="3"/>
  <c r="I331" i="3"/>
  <c r="J331" i="3"/>
  <c r="G331" i="3"/>
  <c r="K332" i="3"/>
  <c r="H332" i="3"/>
  <c r="L332" i="3"/>
  <c r="I332" i="3"/>
  <c r="J332" i="3"/>
  <c r="G332" i="3"/>
  <c r="K333" i="3"/>
  <c r="H333" i="3"/>
  <c r="L333" i="3"/>
  <c r="I333" i="3"/>
  <c r="J333" i="3"/>
  <c r="G333" i="3"/>
  <c r="E334" i="1" s="1"/>
  <c r="K334" i="3"/>
  <c r="H334" i="3"/>
  <c r="L334" i="3"/>
  <c r="I334" i="3"/>
  <c r="J334" i="3"/>
  <c r="G334" i="3"/>
  <c r="E335" i="1" s="1"/>
  <c r="K335" i="3"/>
  <c r="H335" i="3"/>
  <c r="L335" i="3"/>
  <c r="I335" i="3"/>
  <c r="J335" i="3"/>
  <c r="G335" i="3"/>
  <c r="E336" i="1" s="1"/>
  <c r="K336" i="3"/>
  <c r="H336" i="3"/>
  <c r="L336" i="3"/>
  <c r="I336" i="3"/>
  <c r="J336" i="3"/>
  <c r="G336" i="3"/>
  <c r="E337" i="1" s="1"/>
  <c r="K337" i="3"/>
  <c r="H337" i="3"/>
  <c r="L337" i="3"/>
  <c r="I337" i="3"/>
  <c r="J337" i="3"/>
  <c r="G337" i="3"/>
  <c r="E338" i="1" s="1"/>
  <c r="K338" i="3"/>
  <c r="H338" i="3"/>
  <c r="L338" i="3"/>
  <c r="I338" i="3"/>
  <c r="J338" i="3"/>
  <c r="G338" i="3"/>
  <c r="E339" i="1" s="1"/>
  <c r="K339" i="3"/>
  <c r="H339" i="3"/>
  <c r="L339" i="3"/>
  <c r="I339" i="3"/>
  <c r="J339" i="3"/>
  <c r="G339" i="3"/>
  <c r="E340" i="1" s="1"/>
  <c r="K340" i="3"/>
  <c r="H340" i="3"/>
  <c r="L340" i="3"/>
  <c r="I340" i="3"/>
  <c r="J340" i="3"/>
  <c r="G340" i="3"/>
  <c r="E341" i="1" s="1"/>
  <c r="K341" i="3"/>
  <c r="H341" i="3"/>
  <c r="L341" i="3"/>
  <c r="I341" i="3"/>
  <c r="J341" i="3"/>
  <c r="G341" i="3"/>
  <c r="E342" i="1" s="1"/>
  <c r="K342" i="3"/>
  <c r="H342" i="3"/>
  <c r="L342" i="3"/>
  <c r="I342" i="3"/>
  <c r="J342" i="3"/>
  <c r="G342" i="3"/>
  <c r="E343" i="1" s="1"/>
  <c r="K343" i="3"/>
  <c r="H343" i="3"/>
  <c r="L343" i="3"/>
  <c r="I343" i="3"/>
  <c r="J343" i="3"/>
  <c r="G343" i="3"/>
  <c r="E344" i="1" s="1"/>
  <c r="K344" i="3"/>
  <c r="H344" i="3"/>
  <c r="L344" i="3"/>
  <c r="I344" i="3"/>
  <c r="J344" i="3"/>
  <c r="G344" i="3"/>
  <c r="E345" i="1" s="1"/>
  <c r="K345" i="3"/>
  <c r="H345" i="3"/>
  <c r="L345" i="3"/>
  <c r="I345" i="3"/>
  <c r="J345" i="3"/>
  <c r="G345" i="3"/>
  <c r="E346" i="1" s="1"/>
  <c r="K346" i="3"/>
  <c r="H346" i="3"/>
  <c r="L346" i="3"/>
  <c r="I346" i="3"/>
  <c r="J346" i="3"/>
  <c r="G346" i="3"/>
  <c r="E347" i="1" s="1"/>
  <c r="K347" i="3"/>
  <c r="H347" i="3"/>
  <c r="L347" i="3"/>
  <c r="I347" i="3"/>
  <c r="J347" i="3"/>
  <c r="G347" i="3"/>
  <c r="E348" i="1" s="1"/>
  <c r="K348" i="3"/>
  <c r="H348" i="3"/>
  <c r="L348" i="3"/>
  <c r="I348" i="3"/>
  <c r="J348" i="3"/>
  <c r="G348" i="3"/>
  <c r="E349" i="1" s="1"/>
  <c r="K349" i="3"/>
  <c r="H349" i="3"/>
  <c r="L349" i="3"/>
  <c r="I349" i="3"/>
  <c r="J349" i="3"/>
  <c r="G349" i="3"/>
  <c r="E350" i="1" s="1"/>
  <c r="K350" i="3"/>
  <c r="H350" i="3"/>
  <c r="L350" i="3"/>
  <c r="I350" i="3"/>
  <c r="J350" i="3"/>
  <c r="G350" i="3"/>
  <c r="E351" i="1" s="1"/>
  <c r="K351" i="3"/>
  <c r="H351" i="3"/>
  <c r="L351" i="3"/>
  <c r="I351" i="3"/>
  <c r="J351" i="3"/>
  <c r="G351" i="3"/>
  <c r="E352" i="1" s="1"/>
  <c r="K352" i="3"/>
  <c r="H352" i="3"/>
  <c r="L352" i="3"/>
  <c r="I352" i="3"/>
  <c r="J352" i="3"/>
  <c r="G352" i="3"/>
  <c r="E353" i="1" s="1"/>
  <c r="K353" i="3"/>
  <c r="H353" i="3"/>
  <c r="L353" i="3"/>
  <c r="I353" i="3"/>
  <c r="J353" i="3"/>
  <c r="G353" i="3"/>
  <c r="E354" i="1" s="1"/>
  <c r="K354" i="3"/>
  <c r="H354" i="3"/>
  <c r="L354" i="3"/>
  <c r="I354" i="3"/>
  <c r="J354" i="3"/>
  <c r="G354" i="3"/>
  <c r="E355" i="1" s="1"/>
  <c r="K355" i="3"/>
  <c r="H355" i="3"/>
  <c r="L355" i="3"/>
  <c r="I355" i="3"/>
  <c r="J355" i="3"/>
  <c r="G355" i="3"/>
  <c r="E356" i="1" s="1"/>
  <c r="K356" i="3"/>
  <c r="H356" i="3"/>
  <c r="L356" i="3"/>
  <c r="I356" i="3"/>
  <c r="J356" i="3"/>
  <c r="G356" i="3"/>
  <c r="E357" i="1" s="1"/>
  <c r="K357" i="3"/>
  <c r="H357" i="3"/>
  <c r="L357" i="3"/>
  <c r="I357" i="3"/>
  <c r="J357" i="3"/>
  <c r="G357" i="3"/>
  <c r="E358" i="1" s="1"/>
  <c r="K358" i="3"/>
  <c r="H358" i="3"/>
  <c r="L358" i="3"/>
  <c r="I358" i="3"/>
  <c r="J358" i="3"/>
  <c r="G358" i="3"/>
  <c r="E359" i="1" s="1"/>
  <c r="K359" i="3"/>
  <c r="H359" i="3"/>
  <c r="L359" i="3"/>
  <c r="I359" i="3"/>
  <c r="J359" i="3"/>
  <c r="G359" i="3"/>
  <c r="E360" i="1" s="1"/>
  <c r="K360" i="3"/>
  <c r="H360" i="3"/>
  <c r="L360" i="3"/>
  <c r="I360" i="3"/>
  <c r="J360" i="3"/>
  <c r="G360" i="3"/>
  <c r="E361" i="1" s="1"/>
  <c r="K361" i="3"/>
  <c r="H361" i="3"/>
  <c r="L361" i="3"/>
  <c r="I361" i="3"/>
  <c r="J361" i="3"/>
  <c r="G361" i="3"/>
  <c r="E362" i="1" s="1"/>
  <c r="K362" i="3"/>
  <c r="H362" i="3"/>
  <c r="L362" i="3"/>
  <c r="I362" i="3"/>
  <c r="J362" i="3"/>
  <c r="G362" i="3"/>
  <c r="E363" i="1" s="1"/>
  <c r="K363" i="3"/>
  <c r="H363" i="3"/>
  <c r="L363" i="3"/>
  <c r="I363" i="3"/>
  <c r="J363" i="3"/>
  <c r="G363" i="3"/>
  <c r="E364" i="1" s="1"/>
  <c r="K364" i="3"/>
  <c r="H364" i="3"/>
  <c r="L364" i="3"/>
  <c r="I364" i="3"/>
  <c r="J364" i="3"/>
  <c r="G364" i="3"/>
  <c r="E365" i="1" s="1"/>
  <c r="K365" i="3"/>
  <c r="H365" i="3"/>
  <c r="L365" i="3"/>
  <c r="I365" i="3"/>
  <c r="J365" i="3"/>
  <c r="G365" i="3"/>
  <c r="E366" i="1" s="1"/>
  <c r="K366" i="3"/>
  <c r="H366" i="3"/>
  <c r="L366" i="3"/>
  <c r="I366" i="3"/>
  <c r="J366" i="3"/>
  <c r="G366" i="3"/>
  <c r="K367" i="3"/>
  <c r="H367" i="3"/>
  <c r="L367" i="3"/>
  <c r="I367" i="3"/>
  <c r="J367" i="3"/>
  <c r="G367" i="3"/>
  <c r="I368" i="3"/>
  <c r="J368" i="3"/>
  <c r="G368" i="3"/>
  <c r="K368" i="3"/>
  <c r="H368" i="3"/>
  <c r="L368" i="3"/>
  <c r="I369" i="3"/>
  <c r="J369" i="3"/>
  <c r="G369" i="3"/>
  <c r="K369" i="3"/>
  <c r="H369" i="3"/>
  <c r="L369" i="3"/>
  <c r="I370" i="3"/>
  <c r="J370" i="3"/>
  <c r="G370" i="3"/>
  <c r="K370" i="3"/>
  <c r="H370" i="3"/>
  <c r="L370" i="3"/>
  <c r="I371" i="3"/>
  <c r="J371" i="3"/>
  <c r="G371" i="3"/>
  <c r="K371" i="3"/>
  <c r="H371" i="3"/>
  <c r="L371" i="3"/>
  <c r="I372" i="3"/>
  <c r="J372" i="3"/>
  <c r="G372" i="3"/>
  <c r="K372" i="3"/>
  <c r="H372" i="3"/>
  <c r="L372" i="3"/>
  <c r="C326" i="3"/>
  <c r="D326" i="3"/>
  <c r="A326" i="3"/>
  <c r="E326" i="3"/>
  <c r="B326" i="3"/>
  <c r="F326" i="3"/>
  <c r="C327" i="3"/>
  <c r="D327" i="3"/>
  <c r="A327" i="3"/>
  <c r="E327" i="3"/>
  <c r="B327" i="3"/>
  <c r="F327" i="3"/>
  <c r="C328" i="3"/>
  <c r="D328" i="3"/>
  <c r="A328" i="3"/>
  <c r="E328" i="3"/>
  <c r="B328" i="3"/>
  <c r="F328" i="3"/>
  <c r="C329" i="3"/>
  <c r="D329" i="3"/>
  <c r="A329" i="3"/>
  <c r="E329" i="3"/>
  <c r="B329" i="3"/>
  <c r="F329" i="3"/>
  <c r="C330" i="3"/>
  <c r="D330" i="3"/>
  <c r="A330" i="3"/>
  <c r="E330" i="3"/>
  <c r="B330" i="3"/>
  <c r="F330" i="3"/>
  <c r="C331" i="3"/>
  <c r="D331" i="3"/>
  <c r="A331" i="3"/>
  <c r="E331" i="3"/>
  <c r="B331" i="3"/>
  <c r="F331" i="3"/>
  <c r="C332" i="3"/>
  <c r="D332" i="3"/>
  <c r="A332" i="3"/>
  <c r="E332" i="3"/>
  <c r="B332" i="3"/>
  <c r="F332" i="3"/>
  <c r="C333" i="3"/>
  <c r="D333" i="3"/>
  <c r="A333" i="3"/>
  <c r="E333" i="3"/>
  <c r="B333" i="3"/>
  <c r="F333" i="3"/>
  <c r="C334" i="3"/>
  <c r="D334" i="3"/>
  <c r="A334" i="3"/>
  <c r="E334" i="3"/>
  <c r="B334" i="3"/>
  <c r="F334" i="3"/>
  <c r="C335" i="3"/>
  <c r="D335" i="3"/>
  <c r="A335" i="3"/>
  <c r="E335" i="3"/>
  <c r="B335" i="3"/>
  <c r="F335" i="3"/>
  <c r="C336" i="3"/>
  <c r="D336" i="3"/>
  <c r="A336" i="3"/>
  <c r="E336" i="3"/>
  <c r="B336" i="3"/>
  <c r="F336" i="3"/>
  <c r="C337" i="3"/>
  <c r="D337" i="3"/>
  <c r="A337" i="3"/>
  <c r="E337" i="3"/>
  <c r="B337" i="3"/>
  <c r="F337" i="3"/>
  <c r="C338" i="3"/>
  <c r="D338" i="3"/>
  <c r="A338" i="3"/>
  <c r="E338" i="3"/>
  <c r="B338" i="3"/>
  <c r="F338" i="3"/>
  <c r="C339" i="3"/>
  <c r="D339" i="3"/>
  <c r="A339" i="3"/>
  <c r="E339" i="3"/>
  <c r="B339" i="3"/>
  <c r="F339" i="3"/>
  <c r="C340" i="3"/>
  <c r="D340" i="3"/>
  <c r="A340" i="3"/>
  <c r="E340" i="3"/>
  <c r="B340" i="3"/>
  <c r="F340" i="3"/>
  <c r="C341" i="3"/>
  <c r="D341" i="3"/>
  <c r="A341" i="3"/>
  <c r="E341" i="3"/>
  <c r="B341" i="3"/>
  <c r="F341" i="3"/>
  <c r="C342" i="3"/>
  <c r="D342" i="3"/>
  <c r="A342" i="3"/>
  <c r="E342" i="3"/>
  <c r="B342" i="3"/>
  <c r="F342" i="3"/>
  <c r="C343" i="3"/>
  <c r="D343" i="3"/>
  <c r="A343" i="3"/>
  <c r="E343" i="3"/>
  <c r="B343" i="3"/>
  <c r="F343" i="3"/>
  <c r="C344" i="3"/>
  <c r="D344" i="3"/>
  <c r="A344" i="3"/>
  <c r="E344" i="3"/>
  <c r="B344" i="3"/>
  <c r="F344" i="3"/>
  <c r="C345" i="3"/>
  <c r="D345" i="3"/>
  <c r="A345" i="3"/>
  <c r="E345" i="3"/>
  <c r="B345" i="3"/>
  <c r="F345" i="3"/>
  <c r="C346" i="3"/>
  <c r="D346" i="3"/>
  <c r="A346" i="3"/>
  <c r="E346" i="3"/>
  <c r="B346" i="3"/>
  <c r="F346" i="3"/>
  <c r="C347" i="3"/>
  <c r="D347" i="3"/>
  <c r="A347" i="3"/>
  <c r="E347" i="3"/>
  <c r="B347" i="3"/>
  <c r="F347" i="3"/>
  <c r="C348" i="3"/>
  <c r="D348" i="3"/>
  <c r="A348" i="3"/>
  <c r="E348" i="3"/>
  <c r="B348" i="3"/>
  <c r="F348" i="3"/>
  <c r="C349" i="3"/>
  <c r="D349" i="3"/>
  <c r="A349" i="3"/>
  <c r="E349" i="3"/>
  <c r="B349" i="3"/>
  <c r="F349" i="3"/>
  <c r="C350" i="3"/>
  <c r="D350" i="3"/>
  <c r="A350" i="3"/>
  <c r="E350" i="3"/>
  <c r="B350" i="3"/>
  <c r="F350" i="3"/>
  <c r="C351" i="3"/>
  <c r="D351" i="3"/>
  <c r="A351" i="3"/>
  <c r="E351" i="3"/>
  <c r="B351" i="3"/>
  <c r="F351" i="3"/>
  <c r="C352" i="3"/>
  <c r="D352" i="3"/>
  <c r="A352" i="3"/>
  <c r="E352" i="3"/>
  <c r="B352" i="3"/>
  <c r="F352" i="3"/>
  <c r="C353" i="3"/>
  <c r="D353" i="3"/>
  <c r="A353" i="3"/>
  <c r="E353" i="3"/>
  <c r="B353" i="3"/>
  <c r="F353" i="3"/>
  <c r="C354" i="3"/>
  <c r="D354" i="3"/>
  <c r="A354" i="3"/>
  <c r="E354" i="3"/>
  <c r="B354" i="3"/>
  <c r="F354" i="3"/>
  <c r="C355" i="3"/>
  <c r="D355" i="3"/>
  <c r="A355" i="3"/>
  <c r="E355" i="3"/>
  <c r="B355" i="3"/>
  <c r="F355" i="3"/>
  <c r="C356" i="3"/>
  <c r="D356" i="3"/>
  <c r="A356" i="3"/>
  <c r="E356" i="3"/>
  <c r="B356" i="3"/>
  <c r="F356" i="3"/>
  <c r="C357" i="3"/>
  <c r="D357" i="3"/>
  <c r="A357" i="3"/>
  <c r="E357" i="3"/>
  <c r="B357" i="3"/>
  <c r="F357" i="3"/>
  <c r="C358" i="3"/>
  <c r="D358" i="3"/>
  <c r="A358" i="3"/>
  <c r="E358" i="3"/>
  <c r="B358" i="3"/>
  <c r="F358" i="3"/>
  <c r="C359" i="3"/>
  <c r="D359" i="3"/>
  <c r="A359" i="3"/>
  <c r="E359" i="3"/>
  <c r="B359" i="3"/>
  <c r="F359" i="3"/>
  <c r="C360" i="3"/>
  <c r="D360" i="3"/>
  <c r="A360" i="3"/>
  <c r="E360" i="3"/>
  <c r="B360" i="3"/>
  <c r="F360" i="3"/>
  <c r="C361" i="3"/>
  <c r="D361" i="3"/>
  <c r="A361" i="3"/>
  <c r="E361" i="3"/>
  <c r="B361" i="3"/>
  <c r="F361" i="3"/>
  <c r="C362" i="3"/>
  <c r="D362" i="3"/>
  <c r="A362" i="3"/>
  <c r="E362" i="3"/>
  <c r="B362" i="3"/>
  <c r="F362" i="3"/>
  <c r="C363" i="3"/>
  <c r="D363" i="3"/>
  <c r="A363" i="3"/>
  <c r="E363" i="3"/>
  <c r="B363" i="3"/>
  <c r="F363" i="3"/>
  <c r="C364" i="3"/>
  <c r="D364" i="3"/>
  <c r="A364" i="3"/>
  <c r="E364" i="3"/>
  <c r="B364" i="3"/>
  <c r="F364" i="3"/>
  <c r="C365" i="3"/>
  <c r="D365" i="3"/>
  <c r="A365" i="3"/>
  <c r="E365" i="3"/>
  <c r="B365" i="3"/>
  <c r="F365" i="3"/>
  <c r="C366" i="3"/>
  <c r="D366" i="3"/>
  <c r="A366" i="3"/>
  <c r="E366" i="3"/>
  <c r="B366" i="3"/>
  <c r="F366" i="3"/>
  <c r="C367" i="3"/>
  <c r="D367" i="3"/>
  <c r="A367" i="3"/>
  <c r="E367" i="3"/>
  <c r="B367" i="3"/>
  <c r="F367" i="3"/>
  <c r="E368" i="3"/>
  <c r="B368" i="3"/>
  <c r="F368" i="3"/>
  <c r="C368" i="3"/>
  <c r="D368" i="3"/>
  <c r="A368" i="3"/>
  <c r="E369" i="3"/>
  <c r="B369" i="3"/>
  <c r="F369" i="3"/>
  <c r="C369" i="3"/>
  <c r="D369" i="3"/>
  <c r="A369" i="3"/>
  <c r="E370" i="3"/>
  <c r="B370" i="3"/>
  <c r="F370" i="3"/>
  <c r="C370" i="3"/>
  <c r="D370" i="3"/>
  <c r="A370" i="3"/>
  <c r="E371" i="3"/>
  <c r="B371" i="3"/>
  <c r="F371" i="3"/>
  <c r="C371" i="3"/>
  <c r="D371" i="3"/>
  <c r="A371" i="3"/>
  <c r="E372" i="3"/>
  <c r="B372" i="3"/>
  <c r="F372" i="3"/>
  <c r="C372" i="3"/>
  <c r="D372" i="3"/>
  <c r="A372" i="3"/>
  <c r="AU326" i="3"/>
  <c r="AR326" i="3"/>
  <c r="AV326" i="3"/>
  <c r="AS326" i="3"/>
  <c r="AT326" i="3"/>
  <c r="AQ326" i="3"/>
  <c r="AU327" i="3"/>
  <c r="AR327" i="3"/>
  <c r="AV327" i="3"/>
  <c r="AS327" i="3"/>
  <c r="AT327" i="3"/>
  <c r="AQ327" i="3"/>
  <c r="AU328" i="3"/>
  <c r="AR328" i="3"/>
  <c r="AV328" i="3"/>
  <c r="AS328" i="3"/>
  <c r="AT328" i="3"/>
  <c r="AQ328" i="3"/>
  <c r="AU329" i="3"/>
  <c r="AR329" i="3"/>
  <c r="AV329" i="3"/>
  <c r="AS329" i="3"/>
  <c r="AT329" i="3"/>
  <c r="AQ329" i="3"/>
  <c r="AU330" i="3"/>
  <c r="AR330" i="3"/>
  <c r="AV330" i="3"/>
  <c r="AS330" i="3"/>
  <c r="AT330" i="3"/>
  <c r="AQ330" i="3"/>
  <c r="AU331" i="3"/>
  <c r="AR331" i="3"/>
  <c r="AV331" i="3"/>
  <c r="AS331" i="3"/>
  <c r="AT331" i="3"/>
  <c r="AQ331" i="3"/>
  <c r="AU332" i="3"/>
  <c r="AR332" i="3"/>
  <c r="AV332" i="3"/>
  <c r="AS332" i="3"/>
  <c r="AT332" i="3"/>
  <c r="AQ332" i="3"/>
  <c r="AU333" i="3"/>
  <c r="AR333" i="3"/>
  <c r="AV333" i="3"/>
  <c r="AS333" i="3"/>
  <c r="AT333" i="3"/>
  <c r="AQ333" i="3"/>
  <c r="AU334" i="3"/>
  <c r="AR334" i="3"/>
  <c r="AV334" i="3"/>
  <c r="AS334" i="3"/>
  <c r="AT334" i="3"/>
  <c r="AQ334" i="3"/>
  <c r="AU335" i="3"/>
  <c r="AR335" i="3"/>
  <c r="AV335" i="3"/>
  <c r="AS335" i="3"/>
  <c r="AT335" i="3"/>
  <c r="AQ335" i="3"/>
  <c r="AU336" i="3"/>
  <c r="AR336" i="3"/>
  <c r="AV336" i="3"/>
  <c r="AS336" i="3"/>
  <c r="AT336" i="3"/>
  <c r="AQ336" i="3"/>
  <c r="AU337" i="3"/>
  <c r="AR337" i="3"/>
  <c r="AV337" i="3"/>
  <c r="AS337" i="3"/>
  <c r="AT337" i="3"/>
  <c r="AQ337" i="3"/>
  <c r="AU338" i="3"/>
  <c r="AR338" i="3"/>
  <c r="AV338" i="3"/>
  <c r="AS338" i="3"/>
  <c r="AT338" i="3"/>
  <c r="AQ338" i="3"/>
  <c r="AU339" i="3"/>
  <c r="AR339" i="3"/>
  <c r="AV339" i="3"/>
  <c r="AS339" i="3"/>
  <c r="AT339" i="3"/>
  <c r="AQ339" i="3"/>
  <c r="AU340" i="3"/>
  <c r="AR340" i="3"/>
  <c r="AV340" i="3"/>
  <c r="AS340" i="3"/>
  <c r="AT340" i="3"/>
  <c r="AQ340" i="3"/>
  <c r="AU341" i="3"/>
  <c r="AR341" i="3"/>
  <c r="AV341" i="3"/>
  <c r="AS341" i="3"/>
  <c r="AT341" i="3"/>
  <c r="AQ341" i="3"/>
  <c r="AU342" i="3"/>
  <c r="AR342" i="3"/>
  <c r="AV342" i="3"/>
  <c r="AS342" i="3"/>
  <c r="AT342" i="3"/>
  <c r="AQ342" i="3"/>
  <c r="AU343" i="3"/>
  <c r="AR343" i="3"/>
  <c r="AV343" i="3"/>
  <c r="AS343" i="3"/>
  <c r="AT343" i="3"/>
  <c r="AQ343" i="3"/>
  <c r="AU344" i="3"/>
  <c r="AR344" i="3"/>
  <c r="AV344" i="3"/>
  <c r="AS344" i="3"/>
  <c r="AT344" i="3"/>
  <c r="AQ344" i="3"/>
  <c r="AU345" i="3"/>
  <c r="AR345" i="3"/>
  <c r="AV345" i="3"/>
  <c r="AS345" i="3"/>
  <c r="AT345" i="3"/>
  <c r="AQ345" i="3"/>
  <c r="AU346" i="3"/>
  <c r="AR346" i="3"/>
  <c r="AV346" i="3"/>
  <c r="AS346" i="3"/>
  <c r="AT346" i="3"/>
  <c r="AQ346" i="3"/>
  <c r="AU347" i="3"/>
  <c r="AR347" i="3"/>
  <c r="AV347" i="3"/>
  <c r="AS347" i="3"/>
  <c r="AT347" i="3"/>
  <c r="AQ347" i="3"/>
  <c r="AU348" i="3"/>
  <c r="AR348" i="3"/>
  <c r="AV348" i="3"/>
  <c r="AS348" i="3"/>
  <c r="AT348" i="3"/>
  <c r="AQ348" i="3"/>
  <c r="AU349" i="3"/>
  <c r="AR349" i="3"/>
  <c r="AV349" i="3"/>
  <c r="AS349" i="3"/>
  <c r="AT349" i="3"/>
  <c r="AQ349" i="3"/>
  <c r="AU350" i="3"/>
  <c r="AR350" i="3"/>
  <c r="AV350" i="3"/>
  <c r="AS350" i="3"/>
  <c r="AT350" i="3"/>
  <c r="AQ350" i="3"/>
  <c r="AU351" i="3"/>
  <c r="AR351" i="3"/>
  <c r="AV351" i="3"/>
  <c r="AS351" i="3"/>
  <c r="AT351" i="3"/>
  <c r="AQ351" i="3"/>
  <c r="AU352" i="3"/>
  <c r="AR352" i="3"/>
  <c r="AV352" i="3"/>
  <c r="AS352" i="3"/>
  <c r="AT352" i="3"/>
  <c r="AQ352" i="3"/>
  <c r="AU353" i="3"/>
  <c r="AR353" i="3"/>
  <c r="AV353" i="3"/>
  <c r="AS353" i="3"/>
  <c r="AT353" i="3"/>
  <c r="AQ353" i="3"/>
  <c r="AU354" i="3"/>
  <c r="AR354" i="3"/>
  <c r="AV354" i="3"/>
  <c r="AS354" i="3"/>
  <c r="AT354" i="3"/>
  <c r="AQ354" i="3"/>
  <c r="AU355" i="3"/>
  <c r="AR355" i="3"/>
  <c r="AV355" i="3"/>
  <c r="AS355" i="3"/>
  <c r="AT355" i="3"/>
  <c r="AQ355" i="3"/>
  <c r="AU356" i="3"/>
  <c r="AR356" i="3"/>
  <c r="AV356" i="3"/>
  <c r="AS356" i="3"/>
  <c r="AT356" i="3"/>
  <c r="AQ356" i="3"/>
  <c r="AU357" i="3"/>
  <c r="AR357" i="3"/>
  <c r="AV357" i="3"/>
  <c r="AS357" i="3"/>
  <c r="AT357" i="3"/>
  <c r="AQ357" i="3"/>
  <c r="AU358" i="3"/>
  <c r="AR358" i="3"/>
  <c r="AV358" i="3"/>
  <c r="AS358" i="3"/>
  <c r="AT358" i="3"/>
  <c r="AQ358" i="3"/>
  <c r="AU359" i="3"/>
  <c r="AR359" i="3"/>
  <c r="AV359" i="3"/>
  <c r="AS359" i="3"/>
  <c r="AT359" i="3"/>
  <c r="AQ359" i="3"/>
  <c r="AU360" i="3"/>
  <c r="AR360" i="3"/>
  <c r="AV360" i="3"/>
  <c r="AS360" i="3"/>
  <c r="AT360" i="3"/>
  <c r="AQ360" i="3"/>
  <c r="AU361" i="3"/>
  <c r="AR361" i="3"/>
  <c r="AV361" i="3"/>
  <c r="AS361" i="3"/>
  <c r="AT361" i="3"/>
  <c r="AQ361" i="3"/>
  <c r="AU362" i="3"/>
  <c r="AR362" i="3"/>
  <c r="AV362" i="3"/>
  <c r="AS362" i="3"/>
  <c r="AT362" i="3"/>
  <c r="AQ362" i="3"/>
  <c r="AU363" i="3"/>
  <c r="AR363" i="3"/>
  <c r="AV363" i="3"/>
  <c r="AS363" i="3"/>
  <c r="AT363" i="3"/>
  <c r="AQ363" i="3"/>
  <c r="AU364" i="3"/>
  <c r="AR364" i="3"/>
  <c r="AV364" i="3"/>
  <c r="AS364" i="3"/>
  <c r="AT364" i="3"/>
  <c r="AQ364" i="3"/>
  <c r="AU365" i="3"/>
  <c r="AR365" i="3"/>
  <c r="AV365" i="3"/>
  <c r="AS365" i="3"/>
  <c r="AT365" i="3"/>
  <c r="AQ365" i="3"/>
  <c r="AU366" i="3"/>
  <c r="AV366" i="3"/>
  <c r="AS366" i="3"/>
  <c r="AT366" i="3"/>
  <c r="AU367" i="3"/>
  <c r="AV367" i="3"/>
  <c r="AS368" i="3"/>
  <c r="AT368" i="3"/>
  <c r="AU368" i="3"/>
  <c r="AV368" i="3"/>
  <c r="AR368" i="3"/>
  <c r="AQ368" i="3"/>
  <c r="AS369" i="3"/>
  <c r="AT369" i="3"/>
  <c r="AU369" i="3"/>
  <c r="AV369" i="3"/>
  <c r="AS370" i="3"/>
  <c r="AT370" i="3"/>
  <c r="AU370" i="3"/>
  <c r="AV370" i="3"/>
  <c r="AS371" i="3"/>
  <c r="AT371" i="3"/>
  <c r="AQ371" i="3"/>
  <c r="AU371" i="3"/>
  <c r="AR371" i="3"/>
  <c r="AV371" i="3"/>
  <c r="AS372" i="3"/>
  <c r="AT372" i="3"/>
  <c r="AQ372" i="3"/>
  <c r="AU372" i="3"/>
  <c r="AR372" i="3"/>
  <c r="AV372" i="3"/>
  <c r="F332" i="1"/>
  <c r="F335" i="1"/>
  <c r="F329" i="1"/>
  <c r="F334" i="1"/>
  <c r="F333" i="1"/>
  <c r="E331" i="1"/>
  <c r="E332" i="1"/>
  <c r="F328" i="1"/>
  <c r="F330" i="1"/>
  <c r="F331" i="1"/>
  <c r="AO41" i="3"/>
  <c r="AM41" i="3"/>
  <c r="AP41" i="3"/>
  <c r="AN41" i="3"/>
  <c r="AO81" i="3"/>
  <c r="AM81" i="3"/>
  <c r="AN81" i="3"/>
  <c r="AP81" i="3"/>
  <c r="AK81" i="3"/>
  <c r="AL81" i="3"/>
  <c r="AP120" i="3"/>
  <c r="AK120" i="3"/>
  <c r="AN120" i="3"/>
  <c r="AO120" i="3"/>
  <c r="AL120" i="3"/>
  <c r="AM120" i="3"/>
  <c r="AP88" i="3"/>
  <c r="AN88" i="3"/>
  <c r="AK88" i="3"/>
  <c r="AL88" i="3"/>
  <c r="AM88" i="3"/>
  <c r="AO88" i="3"/>
  <c r="AN106" i="3"/>
  <c r="AO106" i="3"/>
  <c r="AK106" i="3"/>
  <c r="AM106" i="3"/>
  <c r="AP106" i="3"/>
  <c r="AL106" i="3"/>
  <c r="AP122" i="3"/>
  <c r="AM122" i="3"/>
  <c r="AK122" i="3"/>
  <c r="AO122" i="3"/>
  <c r="AL122" i="3"/>
  <c r="AN122" i="3"/>
  <c r="AN140" i="3"/>
  <c r="AP140" i="3"/>
  <c r="AL140" i="3"/>
  <c r="AK140" i="3"/>
  <c r="AM140" i="3"/>
  <c r="AO140" i="3"/>
  <c r="AO155" i="3"/>
  <c r="AM155" i="3"/>
  <c r="AL155" i="3"/>
  <c r="AN155" i="3"/>
  <c r="AK155" i="3"/>
  <c r="AP155" i="3"/>
  <c r="AO178" i="3"/>
  <c r="AP178" i="3"/>
  <c r="AM178" i="3"/>
  <c r="AN178" i="3"/>
  <c r="AL178" i="3"/>
  <c r="AK178" i="3"/>
  <c r="AN206" i="3"/>
  <c r="AO206" i="3"/>
  <c r="AM206" i="3"/>
  <c r="AK206" i="3"/>
  <c r="AL206" i="3"/>
  <c r="AP206" i="3"/>
  <c r="AK224" i="3"/>
  <c r="AN224" i="3"/>
  <c r="AO224" i="3"/>
  <c r="AM224" i="3"/>
  <c r="AL224" i="3"/>
  <c r="AP224" i="3"/>
  <c r="AM256" i="3"/>
  <c r="AL256" i="3"/>
  <c r="AO256" i="3"/>
  <c r="AN256" i="3"/>
  <c r="AP256" i="3"/>
  <c r="AK256" i="3"/>
  <c r="AP279" i="3"/>
  <c r="AL279" i="3"/>
  <c r="AM279" i="3"/>
  <c r="AO279" i="3"/>
  <c r="AK279" i="3"/>
  <c r="AN279" i="3"/>
  <c r="AM299" i="3"/>
  <c r="AP299" i="3"/>
  <c r="AO299" i="3"/>
  <c r="AN299" i="3"/>
  <c r="AO321" i="3"/>
  <c r="AN321" i="3"/>
  <c r="AM321" i="3"/>
  <c r="AP321" i="3"/>
  <c r="AM172" i="3"/>
  <c r="AN172" i="3"/>
  <c r="AO172" i="3"/>
  <c r="AK172" i="3"/>
  <c r="AL172" i="3"/>
  <c r="AP172" i="3"/>
  <c r="AM197" i="3"/>
  <c r="AO197" i="3"/>
  <c r="AN197" i="3"/>
  <c r="AK197" i="3"/>
  <c r="AP197" i="3"/>
  <c r="AL197" i="3"/>
  <c r="AO221" i="3"/>
  <c r="AM221" i="3"/>
  <c r="AN221" i="3"/>
  <c r="AP221" i="3"/>
  <c r="AO247" i="3"/>
  <c r="AN247" i="3"/>
  <c r="AP247" i="3"/>
  <c r="AM247" i="3"/>
  <c r="AK247" i="3"/>
  <c r="AL247" i="3"/>
  <c r="AP277" i="3"/>
  <c r="AK277" i="3"/>
  <c r="AM277" i="3"/>
  <c r="AL277" i="3"/>
  <c r="AN277" i="3"/>
  <c r="AO277" i="3"/>
  <c r="AP109" i="3"/>
  <c r="AO109" i="3"/>
  <c r="AK109" i="3"/>
  <c r="AM109" i="3"/>
  <c r="AN109" i="3"/>
  <c r="AL109" i="3"/>
  <c r="AP134" i="3"/>
  <c r="AO134" i="3"/>
  <c r="AM134" i="3"/>
  <c r="AL134" i="3"/>
  <c r="AK134" i="3"/>
  <c r="AN134" i="3"/>
  <c r="AO163" i="3"/>
  <c r="AN163" i="3"/>
  <c r="AL163" i="3"/>
  <c r="AM163" i="3"/>
  <c r="AP163" i="3"/>
  <c r="AK163" i="3"/>
  <c r="AM182" i="3"/>
  <c r="AO182" i="3"/>
  <c r="AK182" i="3"/>
  <c r="AP182" i="3"/>
  <c r="AN182" i="3"/>
  <c r="AL182" i="3"/>
  <c r="AM215" i="3"/>
  <c r="AP215" i="3"/>
  <c r="AN215" i="3"/>
  <c r="AO215" i="3"/>
  <c r="AK259" i="3"/>
  <c r="AP259" i="3"/>
  <c r="AN259" i="3"/>
  <c r="AO259" i="3"/>
  <c r="AL259" i="3"/>
  <c r="AM259" i="3"/>
  <c r="AO287" i="3"/>
  <c r="AP287" i="3"/>
  <c r="AL287" i="3"/>
  <c r="AM287" i="3"/>
  <c r="AN287" i="3"/>
  <c r="AK287" i="3"/>
  <c r="AM309" i="3"/>
  <c r="AO309" i="3"/>
  <c r="AN309" i="3"/>
  <c r="AK309" i="3"/>
  <c r="AP309" i="3"/>
  <c r="AL309" i="3"/>
  <c r="AO3" i="3"/>
  <c r="AM3" i="3"/>
  <c r="AP3" i="3"/>
  <c r="AN3" i="3"/>
  <c r="AM30" i="3"/>
  <c r="AN30" i="3"/>
  <c r="AL30" i="3"/>
  <c r="AK30" i="3"/>
  <c r="AP30" i="3"/>
  <c r="AO30" i="3"/>
  <c r="AP47" i="3"/>
  <c r="AM47" i="3"/>
  <c r="AO47" i="3"/>
  <c r="AN47" i="3"/>
  <c r="AP66" i="3"/>
  <c r="AO66" i="3"/>
  <c r="AK66" i="3"/>
  <c r="AM66" i="3"/>
  <c r="AL66" i="3"/>
  <c r="AN66" i="3"/>
  <c r="AM98" i="3"/>
  <c r="AN98" i="3"/>
  <c r="AP98" i="3"/>
  <c r="AL98" i="3"/>
  <c r="AO98" i="3"/>
  <c r="AK98" i="3"/>
  <c r="AP118" i="3"/>
  <c r="AN118" i="3"/>
  <c r="AK118" i="3"/>
  <c r="AM118" i="3"/>
  <c r="AO118" i="3"/>
  <c r="AL118" i="3"/>
  <c r="AP135" i="3"/>
  <c r="AK135" i="3"/>
  <c r="AO135" i="3"/>
  <c r="AM135" i="3"/>
  <c r="AN135" i="3"/>
  <c r="AL135" i="3"/>
  <c r="AO159" i="3"/>
  <c r="AM159" i="3"/>
  <c r="AN159" i="3"/>
  <c r="AP159" i="3"/>
  <c r="AM188" i="3"/>
  <c r="AO188" i="3"/>
  <c r="AK188" i="3"/>
  <c r="AN188" i="3"/>
  <c r="AP188" i="3"/>
  <c r="AL188" i="3"/>
  <c r="AN217" i="3"/>
  <c r="AK217" i="3"/>
  <c r="AM217" i="3"/>
  <c r="AO217" i="3"/>
  <c r="AP217" i="3"/>
  <c r="AL217" i="3"/>
  <c r="AK250" i="3"/>
  <c r="AL250" i="3"/>
  <c r="AO250" i="3"/>
  <c r="AN250" i="3"/>
  <c r="AM250" i="3"/>
  <c r="AP250" i="3"/>
  <c r="AM273" i="3"/>
  <c r="AP273" i="3"/>
  <c r="AL273" i="3"/>
  <c r="AO273" i="3"/>
  <c r="AK273" i="3"/>
  <c r="AN273" i="3"/>
  <c r="AM318" i="3"/>
  <c r="AP318" i="3"/>
  <c r="AN318" i="3"/>
  <c r="AO318" i="3"/>
  <c r="AM196" i="3"/>
  <c r="AK196" i="3"/>
  <c r="AN196" i="3"/>
  <c r="AO196" i="3"/>
  <c r="AL196" i="3"/>
  <c r="AP196" i="3"/>
  <c r="AM216" i="3"/>
  <c r="AP216" i="3"/>
  <c r="AO216" i="3"/>
  <c r="AN216" i="3"/>
  <c r="AN229" i="3"/>
  <c r="AP229" i="3"/>
  <c r="AM229" i="3"/>
  <c r="AO229" i="3"/>
  <c r="AO239" i="3"/>
  <c r="AP239" i="3"/>
  <c r="AL239" i="3"/>
  <c r="AN239" i="3"/>
  <c r="AK239" i="3"/>
  <c r="AM239" i="3"/>
  <c r="AM257" i="3"/>
  <c r="AP257" i="3"/>
  <c r="AL257" i="3"/>
  <c r="AN257" i="3"/>
  <c r="AK257" i="3"/>
  <c r="AO257" i="3"/>
  <c r="AP272" i="3"/>
  <c r="AO272" i="3"/>
  <c r="AK272" i="3"/>
  <c r="AM272" i="3"/>
  <c r="AN272" i="3"/>
  <c r="AL272" i="3"/>
  <c r="AM283" i="3"/>
  <c r="AO283" i="3"/>
  <c r="AL283" i="3"/>
  <c r="AP283" i="3"/>
  <c r="AN283" i="3"/>
  <c r="AK283" i="3"/>
  <c r="AM303" i="3"/>
  <c r="AO303" i="3"/>
  <c r="AK303" i="3"/>
  <c r="AN303" i="3"/>
  <c r="AP303" i="3"/>
  <c r="AL303" i="3"/>
  <c r="AM73" i="3"/>
  <c r="AN73" i="3"/>
  <c r="AO73" i="3"/>
  <c r="AP73" i="3"/>
  <c r="AL73" i="3"/>
  <c r="AK73" i="3"/>
  <c r="AM82" i="3"/>
  <c r="AP82" i="3"/>
  <c r="AN82" i="3"/>
  <c r="AO82" i="3"/>
  <c r="AN94" i="3"/>
  <c r="AM94" i="3"/>
  <c r="AP94" i="3"/>
  <c r="AO94" i="3"/>
  <c r="AP113" i="3"/>
  <c r="AK113" i="3"/>
  <c r="AM113" i="3"/>
  <c r="AO113" i="3"/>
  <c r="AN113" i="3"/>
  <c r="AL113" i="3"/>
  <c r="AP133" i="3"/>
  <c r="AM133" i="3"/>
  <c r="AN133" i="3"/>
  <c r="AK133" i="3"/>
  <c r="AL133" i="3"/>
  <c r="AO133" i="3"/>
  <c r="AO154" i="3"/>
  <c r="AM154" i="3"/>
  <c r="AL154" i="3"/>
  <c r="AP154" i="3"/>
  <c r="AK154" i="3"/>
  <c r="AN154" i="3"/>
  <c r="AO164" i="3"/>
  <c r="AP164" i="3"/>
  <c r="AK164" i="3"/>
  <c r="AM164" i="3"/>
  <c r="AN164" i="3"/>
  <c r="AL164" i="3"/>
  <c r="AO177" i="3"/>
  <c r="AL177" i="3"/>
  <c r="AN177" i="3"/>
  <c r="AM177" i="3"/>
  <c r="AK177" i="3"/>
  <c r="AP177" i="3"/>
  <c r="AM187" i="3"/>
  <c r="AO187" i="3"/>
  <c r="AN187" i="3"/>
  <c r="AP187" i="3"/>
  <c r="AN211" i="3"/>
  <c r="AK211" i="3"/>
  <c r="AL211" i="3"/>
  <c r="AO211" i="3"/>
  <c r="AP211" i="3"/>
  <c r="AM211" i="3"/>
  <c r="AM227" i="3"/>
  <c r="AN227" i="3"/>
  <c r="AP227" i="3"/>
  <c r="AL227" i="3"/>
  <c r="AO227" i="3"/>
  <c r="AK227" i="3"/>
  <c r="AO249" i="3"/>
  <c r="AP249" i="3"/>
  <c r="AL249" i="3"/>
  <c r="AK249" i="3"/>
  <c r="AM249" i="3"/>
  <c r="AN249" i="3"/>
  <c r="AP276" i="3"/>
  <c r="AO276" i="3"/>
  <c r="AK276" i="3"/>
  <c r="AL276" i="3"/>
  <c r="AM276" i="3"/>
  <c r="AN276" i="3"/>
  <c r="AO293" i="3"/>
  <c r="AN293" i="3"/>
  <c r="AM293" i="3"/>
  <c r="AP293" i="3"/>
  <c r="AP304" i="3"/>
  <c r="AN304" i="3"/>
  <c r="AL304" i="3"/>
  <c r="AO304" i="3"/>
  <c r="AK304" i="3"/>
  <c r="AM304" i="3"/>
  <c r="AP317" i="3"/>
  <c r="AM317" i="3"/>
  <c r="AN317" i="3"/>
  <c r="AO317" i="3"/>
  <c r="AO2" i="3"/>
  <c r="AM2" i="3"/>
  <c r="AL2" i="3"/>
  <c r="AN2" i="3"/>
  <c r="AK2" i="3"/>
  <c r="AP2" i="3"/>
  <c r="AN67" i="3"/>
  <c r="AP67" i="3"/>
  <c r="AK67" i="3"/>
  <c r="AO67" i="3"/>
  <c r="AM67" i="3"/>
  <c r="AL67" i="3"/>
  <c r="AO7" i="3"/>
  <c r="AK7" i="3"/>
  <c r="AL7" i="3"/>
  <c r="AM7" i="3"/>
  <c r="AP7" i="3"/>
  <c r="AN7" i="3"/>
  <c r="AP44" i="3"/>
  <c r="AK44" i="3"/>
  <c r="AM44" i="3"/>
  <c r="AO44" i="3"/>
  <c r="AN44" i="3"/>
  <c r="AL44" i="3"/>
  <c r="AP146" i="3"/>
  <c r="AK146" i="3"/>
  <c r="AL146" i="3"/>
  <c r="AN146" i="3"/>
  <c r="AM146" i="3"/>
  <c r="AO146" i="3"/>
  <c r="AM31" i="3"/>
  <c r="AO31" i="3"/>
  <c r="AP31" i="3"/>
  <c r="AL31" i="3"/>
  <c r="AK31" i="3"/>
  <c r="AN31" i="3"/>
  <c r="AO57" i="3"/>
  <c r="AN57" i="3"/>
  <c r="AM57" i="3"/>
  <c r="AK57" i="3"/>
  <c r="AP57" i="3"/>
  <c r="AL57" i="3"/>
  <c r="AP127" i="3"/>
  <c r="AK127" i="3"/>
  <c r="AO127" i="3"/>
  <c r="AL127" i="3"/>
  <c r="AM127" i="3"/>
  <c r="AN127" i="3"/>
  <c r="AM27" i="3"/>
  <c r="AO27" i="3"/>
  <c r="AK27" i="3"/>
  <c r="AN27" i="3"/>
  <c r="AP27" i="3"/>
  <c r="AL27" i="3"/>
  <c r="AP62" i="3"/>
  <c r="AO62" i="3"/>
  <c r="AK62" i="3"/>
  <c r="AM62" i="3"/>
  <c r="AN62" i="3"/>
  <c r="AL62" i="3"/>
  <c r="AO5" i="3"/>
  <c r="AM5" i="3"/>
  <c r="AP5" i="3"/>
  <c r="AN5" i="3"/>
  <c r="AP123" i="3"/>
  <c r="AN123" i="3"/>
  <c r="AM123" i="3"/>
  <c r="AL123" i="3"/>
  <c r="AK123" i="3"/>
  <c r="AO123" i="3"/>
  <c r="AN51" i="3"/>
  <c r="AK51" i="3"/>
  <c r="AP51" i="3"/>
  <c r="AO51" i="3"/>
  <c r="AL51" i="3"/>
  <c r="AM51" i="3"/>
  <c r="AO69" i="3"/>
  <c r="AM69" i="3"/>
  <c r="AL69" i="3"/>
  <c r="AP69" i="3"/>
  <c r="AN69" i="3"/>
  <c r="AK69" i="3"/>
  <c r="AO4" i="3"/>
  <c r="AL4" i="3"/>
  <c r="AP4" i="3"/>
  <c r="AM4" i="3"/>
  <c r="AN4" i="3"/>
  <c r="AK4" i="3"/>
  <c r="AN20" i="3"/>
  <c r="AO20" i="3"/>
  <c r="AK20" i="3"/>
  <c r="AM20" i="3"/>
  <c r="AP20" i="3"/>
  <c r="AL20" i="3"/>
  <c r="AO36" i="3"/>
  <c r="AM36" i="3"/>
  <c r="AP36" i="3"/>
  <c r="AN36" i="3"/>
  <c r="AK36" i="3"/>
  <c r="AL36" i="3"/>
  <c r="AN58" i="3"/>
  <c r="AL58" i="3"/>
  <c r="AO58" i="3"/>
  <c r="AK58" i="3"/>
  <c r="AP58" i="3"/>
  <c r="AM58" i="3"/>
  <c r="AO93" i="3"/>
  <c r="AM93" i="3"/>
  <c r="AN93" i="3"/>
  <c r="AP93" i="3"/>
  <c r="AP138" i="3"/>
  <c r="AO138" i="3"/>
  <c r="AN138" i="3"/>
  <c r="AM138" i="3"/>
  <c r="AL138" i="3"/>
  <c r="AK138" i="3"/>
  <c r="AO91" i="3"/>
  <c r="AL91" i="3"/>
  <c r="AM91" i="3"/>
  <c r="AP91" i="3"/>
  <c r="AK91" i="3"/>
  <c r="AN91" i="3"/>
  <c r="AP110" i="3"/>
  <c r="AO110" i="3"/>
  <c r="AM110" i="3"/>
  <c r="AN110" i="3"/>
  <c r="AP126" i="3"/>
  <c r="AO126" i="3"/>
  <c r="AM126" i="3"/>
  <c r="AN126" i="3"/>
  <c r="AK126" i="3"/>
  <c r="AL126" i="3"/>
  <c r="AP145" i="3"/>
  <c r="AN145" i="3"/>
  <c r="AM145" i="3"/>
  <c r="AO145" i="3"/>
  <c r="AO161" i="3"/>
  <c r="AL161" i="3"/>
  <c r="AK161" i="3"/>
  <c r="AP161" i="3"/>
  <c r="AM161" i="3"/>
  <c r="AN161" i="3"/>
  <c r="AO181" i="3"/>
  <c r="AM181" i="3"/>
  <c r="AN181" i="3"/>
  <c r="AP181" i="3"/>
  <c r="AL209" i="3"/>
  <c r="AK209" i="3"/>
  <c r="AN209" i="3"/>
  <c r="AO209" i="3"/>
  <c r="AM209" i="3"/>
  <c r="AP209" i="3"/>
  <c r="AM232" i="3"/>
  <c r="AP232" i="3"/>
  <c r="AL232" i="3"/>
  <c r="AN232" i="3"/>
  <c r="AK232" i="3"/>
  <c r="AO232" i="3"/>
  <c r="AM263" i="3"/>
  <c r="AP263" i="3"/>
  <c r="AO263" i="3"/>
  <c r="AL263" i="3"/>
  <c r="AK263" i="3"/>
  <c r="AN263" i="3"/>
  <c r="AM285" i="3"/>
  <c r="AN285" i="3"/>
  <c r="AO285" i="3"/>
  <c r="AP285" i="3"/>
  <c r="AN306" i="3"/>
  <c r="AP306" i="3"/>
  <c r="AO306" i="3"/>
  <c r="AM306" i="3"/>
  <c r="AL150" i="3"/>
  <c r="AM150" i="3"/>
  <c r="AP150" i="3"/>
  <c r="AK150" i="3"/>
  <c r="AO150" i="3"/>
  <c r="AN150" i="3"/>
  <c r="AO175" i="3"/>
  <c r="AL175" i="3"/>
  <c r="AP175" i="3"/>
  <c r="AM175" i="3"/>
  <c r="AN175" i="3"/>
  <c r="AK175" i="3"/>
  <c r="AM201" i="3"/>
  <c r="AO201" i="3"/>
  <c r="AP201" i="3"/>
  <c r="AN201" i="3"/>
  <c r="AN230" i="3"/>
  <c r="AM230" i="3"/>
  <c r="AK230" i="3"/>
  <c r="AP230" i="3"/>
  <c r="AO230" i="3"/>
  <c r="AL230" i="3"/>
  <c r="AO252" i="3"/>
  <c r="AK252" i="3"/>
  <c r="AM252" i="3"/>
  <c r="AL252" i="3"/>
  <c r="AN252" i="3"/>
  <c r="AP252" i="3"/>
  <c r="AO308" i="3"/>
  <c r="AN308" i="3"/>
  <c r="AK308" i="3"/>
  <c r="AP308" i="3"/>
  <c r="AM308" i="3"/>
  <c r="AL308" i="3"/>
  <c r="AN112" i="3"/>
  <c r="AP112" i="3"/>
  <c r="AK112" i="3"/>
  <c r="AL112" i="3"/>
  <c r="AM112" i="3"/>
  <c r="AO112" i="3"/>
  <c r="AP139" i="3"/>
  <c r="AK139" i="3"/>
  <c r="AO139" i="3"/>
  <c r="AL139" i="3"/>
  <c r="AN139" i="3"/>
  <c r="AM139" i="3"/>
  <c r="AO168" i="3"/>
  <c r="AM168" i="3"/>
  <c r="AN168" i="3"/>
  <c r="AK168" i="3"/>
  <c r="AL168" i="3"/>
  <c r="AP168" i="3"/>
  <c r="AO184" i="3"/>
  <c r="AP184" i="3"/>
  <c r="AN184" i="3"/>
  <c r="AM184" i="3"/>
  <c r="AK184" i="3"/>
  <c r="AL184" i="3"/>
  <c r="AO222" i="3"/>
  <c r="AN222" i="3"/>
  <c r="AM222" i="3"/>
  <c r="AP222" i="3"/>
  <c r="AM265" i="3"/>
  <c r="AL265" i="3"/>
  <c r="AP265" i="3"/>
  <c r="AO265" i="3"/>
  <c r="AN265" i="3"/>
  <c r="AK265" i="3"/>
  <c r="AO291" i="3"/>
  <c r="AM291" i="3"/>
  <c r="AL291" i="3"/>
  <c r="AN291" i="3"/>
  <c r="AK291" i="3"/>
  <c r="AP291" i="3"/>
  <c r="AP315" i="3"/>
  <c r="AM315" i="3"/>
  <c r="AO315" i="3"/>
  <c r="AN315" i="3"/>
  <c r="AO6" i="3"/>
  <c r="AM6" i="3"/>
  <c r="AL6" i="3"/>
  <c r="AP6" i="3"/>
  <c r="AN6" i="3"/>
  <c r="AK6" i="3"/>
  <c r="AK37" i="3"/>
  <c r="AN37" i="3"/>
  <c r="AM37" i="3"/>
  <c r="AL37" i="3"/>
  <c r="AO37" i="3"/>
  <c r="AP37" i="3"/>
  <c r="AP54" i="3"/>
  <c r="AO54" i="3"/>
  <c r="AM54" i="3"/>
  <c r="AN54" i="3"/>
  <c r="AN79" i="3"/>
  <c r="AL79" i="3"/>
  <c r="AM79" i="3"/>
  <c r="AO79" i="3"/>
  <c r="AK79" i="3"/>
  <c r="AP79" i="3"/>
  <c r="AP100" i="3"/>
  <c r="AL100" i="3"/>
  <c r="AK100" i="3"/>
  <c r="AM100" i="3"/>
  <c r="AO100" i="3"/>
  <c r="AN100" i="3"/>
  <c r="AP121" i="3"/>
  <c r="AM121" i="3"/>
  <c r="AN121" i="3"/>
  <c r="AL121" i="3"/>
  <c r="AK121" i="3"/>
  <c r="AO121" i="3"/>
  <c r="AM144" i="3"/>
  <c r="AO144" i="3"/>
  <c r="AP144" i="3"/>
  <c r="AL144" i="3"/>
  <c r="AK144" i="3"/>
  <c r="AN144" i="3"/>
  <c r="AO165" i="3"/>
  <c r="AM165" i="3"/>
  <c r="AL165" i="3"/>
  <c r="AK165" i="3"/>
  <c r="AP165" i="3"/>
  <c r="AN165" i="3"/>
  <c r="AO198" i="3"/>
  <c r="AN198" i="3"/>
  <c r="AM198" i="3"/>
  <c r="AK198" i="3"/>
  <c r="AP198" i="3"/>
  <c r="AL198" i="3"/>
  <c r="AO228" i="3"/>
  <c r="AN228" i="3"/>
  <c r="AL228" i="3"/>
  <c r="AK228" i="3"/>
  <c r="AM228" i="3"/>
  <c r="AP228" i="3"/>
  <c r="AO255" i="3"/>
  <c r="AN255" i="3"/>
  <c r="AP255" i="3"/>
  <c r="AK255" i="3"/>
  <c r="AM255" i="3"/>
  <c r="AL255" i="3"/>
  <c r="AO284" i="3"/>
  <c r="AP284" i="3"/>
  <c r="AK284" i="3"/>
  <c r="AL284" i="3"/>
  <c r="AN284" i="3"/>
  <c r="AM284" i="3"/>
  <c r="AO325" i="3"/>
  <c r="AN325" i="3"/>
  <c r="AM325" i="3"/>
  <c r="AK325" i="3"/>
  <c r="AL325" i="3"/>
  <c r="AP325" i="3"/>
  <c r="AK199" i="3"/>
  <c r="AO199" i="3"/>
  <c r="AL199" i="3"/>
  <c r="AN199" i="3"/>
  <c r="AP199" i="3"/>
  <c r="AM199" i="3"/>
  <c r="AP219" i="3"/>
  <c r="AN219" i="3"/>
  <c r="AO219" i="3"/>
  <c r="AM219" i="3"/>
  <c r="AM231" i="3"/>
  <c r="AN231" i="3"/>
  <c r="AO231" i="3"/>
  <c r="AK231" i="3"/>
  <c r="AL231" i="3"/>
  <c r="AP231" i="3"/>
  <c r="AO243" i="3"/>
  <c r="AM243" i="3"/>
  <c r="AN243" i="3"/>
  <c r="AP243" i="3"/>
  <c r="AM260" i="3"/>
  <c r="AK260" i="3"/>
  <c r="AL260" i="3"/>
  <c r="AO260" i="3"/>
  <c r="AP260" i="3"/>
  <c r="AN260" i="3"/>
  <c r="AP275" i="3"/>
  <c r="AM275" i="3"/>
  <c r="AK275" i="3"/>
  <c r="AN275" i="3"/>
  <c r="AO275" i="3"/>
  <c r="AL275" i="3"/>
  <c r="AP292" i="3"/>
  <c r="AM292" i="3"/>
  <c r="AO292" i="3"/>
  <c r="AN292" i="3"/>
  <c r="AM310" i="3"/>
  <c r="AN310" i="3"/>
  <c r="AP310" i="3"/>
  <c r="AO310" i="3"/>
  <c r="AO75" i="3"/>
  <c r="AP75" i="3"/>
  <c r="AM75" i="3"/>
  <c r="AN75" i="3"/>
  <c r="AM84" i="3"/>
  <c r="AN84" i="3"/>
  <c r="AL84" i="3"/>
  <c r="AO84" i="3"/>
  <c r="AK84" i="3"/>
  <c r="AP84" i="3"/>
  <c r="AO101" i="3"/>
  <c r="AM101" i="3"/>
  <c r="AP101" i="3"/>
  <c r="AK101" i="3"/>
  <c r="AL101" i="3"/>
  <c r="AN101" i="3"/>
  <c r="AP117" i="3"/>
  <c r="AM117" i="3"/>
  <c r="AO117" i="3"/>
  <c r="AN117" i="3"/>
  <c r="AP137" i="3"/>
  <c r="AM137" i="3"/>
  <c r="AN137" i="3"/>
  <c r="AK137" i="3"/>
  <c r="AL137" i="3"/>
  <c r="AO137" i="3"/>
  <c r="AO156" i="3"/>
  <c r="AP156" i="3"/>
  <c r="AL156" i="3"/>
  <c r="AM156" i="3"/>
  <c r="AN156" i="3"/>
  <c r="AK156" i="3"/>
  <c r="AO167" i="3"/>
  <c r="AM167" i="3"/>
  <c r="AL167" i="3"/>
  <c r="AN167" i="3"/>
  <c r="AP167" i="3"/>
  <c r="AK167" i="3"/>
  <c r="J168" i="1" s="1"/>
  <c r="AO180" i="3"/>
  <c r="AN180" i="3"/>
  <c r="AM180" i="3"/>
  <c r="AP180" i="3"/>
  <c r="AO192" i="3"/>
  <c r="AN192" i="3"/>
  <c r="AL192" i="3"/>
  <c r="AP192" i="3"/>
  <c r="AM192" i="3"/>
  <c r="AK192" i="3"/>
  <c r="AN213" i="3"/>
  <c r="AM213" i="3"/>
  <c r="AK213" i="3"/>
  <c r="AP213" i="3"/>
  <c r="AO213" i="3"/>
  <c r="AL213" i="3"/>
  <c r="AP236" i="3"/>
  <c r="AO236" i="3"/>
  <c r="AM236" i="3"/>
  <c r="AN236" i="3"/>
  <c r="AK254" i="3"/>
  <c r="AM254" i="3"/>
  <c r="AL254" i="3"/>
  <c r="AO254" i="3"/>
  <c r="AP254" i="3"/>
  <c r="AN254" i="3"/>
  <c r="AM281" i="3"/>
  <c r="AK281" i="3"/>
  <c r="AL281" i="3"/>
  <c r="AN281" i="3"/>
  <c r="AP281" i="3"/>
  <c r="AO281" i="3"/>
  <c r="AM296" i="3"/>
  <c r="AO296" i="3"/>
  <c r="AP296" i="3"/>
  <c r="AK296" i="3"/>
  <c r="AL296" i="3"/>
  <c r="AN296" i="3"/>
  <c r="AM307" i="3"/>
  <c r="AO307" i="3"/>
  <c r="AK307" i="3"/>
  <c r="AP307" i="3"/>
  <c r="AN307" i="3"/>
  <c r="AL307" i="3"/>
  <c r="AO322" i="3"/>
  <c r="AN322" i="3"/>
  <c r="AM322" i="3"/>
  <c r="AP322" i="3"/>
  <c r="AK322" i="3"/>
  <c r="AL322" i="3"/>
  <c r="AO59" i="3"/>
  <c r="AP59" i="3"/>
  <c r="AL59" i="3"/>
  <c r="AN59" i="3"/>
  <c r="AM59" i="3"/>
  <c r="AK59" i="3"/>
  <c r="AM26" i="3"/>
  <c r="AP26" i="3"/>
  <c r="AN26" i="3"/>
  <c r="AO26" i="3"/>
  <c r="AO78" i="3"/>
  <c r="AK78" i="3"/>
  <c r="AM78" i="3"/>
  <c r="AN78" i="3"/>
  <c r="AP78" i="3"/>
  <c r="AL78" i="3"/>
  <c r="AN38" i="3"/>
  <c r="AO38" i="3"/>
  <c r="AM38" i="3"/>
  <c r="AK38" i="3"/>
  <c r="AP38" i="3"/>
  <c r="AL38" i="3"/>
  <c r="AP132" i="3"/>
  <c r="AM132" i="3"/>
  <c r="AN132" i="3"/>
  <c r="AO132" i="3"/>
  <c r="AL132" i="3"/>
  <c r="AK132" i="3"/>
  <c r="AM53" i="3"/>
  <c r="AO53" i="3"/>
  <c r="AP53" i="3"/>
  <c r="AN53" i="3"/>
  <c r="AL53" i="3"/>
  <c r="AK53" i="3"/>
  <c r="AP46" i="3"/>
  <c r="AO46" i="3"/>
  <c r="AM46" i="3"/>
  <c r="AN46" i="3"/>
  <c r="AL46" i="3"/>
  <c r="AK46" i="3"/>
  <c r="AP68" i="3"/>
  <c r="AK68" i="3"/>
  <c r="AM68" i="3"/>
  <c r="AO68" i="3"/>
  <c r="AN68" i="3"/>
  <c r="AL68" i="3"/>
  <c r="AP115" i="3"/>
  <c r="AN115" i="3"/>
  <c r="AM115" i="3"/>
  <c r="AO115" i="3"/>
  <c r="AL115" i="3"/>
  <c r="AK115" i="3"/>
  <c r="AO18" i="3"/>
  <c r="AK18" i="3"/>
  <c r="AP18" i="3"/>
  <c r="AL18" i="3"/>
  <c r="AN18" i="3"/>
  <c r="AM18" i="3"/>
  <c r="AM33" i="3"/>
  <c r="AO33" i="3"/>
  <c r="AN33" i="3"/>
  <c r="AK33" i="3"/>
  <c r="AL33" i="3"/>
  <c r="AP33" i="3"/>
  <c r="AP70" i="3"/>
  <c r="AM70" i="3"/>
  <c r="AN70" i="3"/>
  <c r="AO70" i="3"/>
  <c r="AK70" i="3"/>
  <c r="AL70" i="3"/>
  <c r="AM50" i="3"/>
  <c r="AK50" i="3"/>
  <c r="AN50" i="3"/>
  <c r="AO50" i="3"/>
  <c r="AP50" i="3"/>
  <c r="AL50" i="3"/>
  <c r="AO43" i="3"/>
  <c r="AM43" i="3"/>
  <c r="AP43" i="3"/>
  <c r="AK43" i="3"/>
  <c r="AL43" i="3"/>
  <c r="AN43" i="3"/>
  <c r="AO76" i="3"/>
  <c r="AP76" i="3"/>
  <c r="AL76" i="3"/>
  <c r="AM76" i="3"/>
  <c r="AK76" i="3"/>
  <c r="AN76" i="3"/>
  <c r="AO25" i="3"/>
  <c r="AM25" i="3"/>
  <c r="AL25" i="3"/>
  <c r="AN25" i="3"/>
  <c r="AK25" i="3"/>
  <c r="AP25" i="3"/>
  <c r="AM60" i="3"/>
  <c r="AO60" i="3"/>
  <c r="AN60" i="3"/>
  <c r="AK60" i="3"/>
  <c r="AP60" i="3"/>
  <c r="AL60" i="3"/>
  <c r="AM72" i="3"/>
  <c r="AO72" i="3"/>
  <c r="AN72" i="3"/>
  <c r="AK72" i="3"/>
  <c r="AL72" i="3"/>
  <c r="AP72" i="3"/>
  <c r="AM96" i="3"/>
  <c r="AP96" i="3"/>
  <c r="AN96" i="3"/>
  <c r="AO96" i="3"/>
  <c r="AP114" i="3"/>
  <c r="AL114" i="3"/>
  <c r="AK114" i="3"/>
  <c r="AN114" i="3"/>
  <c r="AO114" i="3"/>
  <c r="AM114" i="3"/>
  <c r="AP131" i="3"/>
  <c r="AK131" i="3"/>
  <c r="AM131" i="3"/>
  <c r="AN131" i="3"/>
  <c r="AO131" i="3"/>
  <c r="AL131" i="3"/>
  <c r="AP148" i="3"/>
  <c r="AN148" i="3"/>
  <c r="AL148" i="3"/>
  <c r="AO148" i="3"/>
  <c r="AK148" i="3"/>
  <c r="AM148" i="3"/>
  <c r="AO166" i="3"/>
  <c r="AP166" i="3"/>
  <c r="AN166" i="3"/>
  <c r="AO191" i="3"/>
  <c r="AM191" i="3"/>
  <c r="AP191" i="3"/>
  <c r="AN191" i="3"/>
  <c r="AL191" i="3"/>
  <c r="AK191" i="3"/>
  <c r="AO212" i="3"/>
  <c r="AN212" i="3"/>
  <c r="AM212" i="3"/>
  <c r="AP212" i="3"/>
  <c r="AL212" i="3"/>
  <c r="AK212" i="3"/>
  <c r="AL238" i="3"/>
  <c r="AO238" i="3"/>
  <c r="AM238" i="3"/>
  <c r="AN238" i="3"/>
  <c r="AK238" i="3"/>
  <c r="AP238" i="3"/>
  <c r="AN269" i="3"/>
  <c r="AP269" i="3"/>
  <c r="AK269" i="3"/>
  <c r="AL269" i="3"/>
  <c r="AO269" i="3"/>
  <c r="AM269" i="3"/>
  <c r="AL289" i="3"/>
  <c r="AM289" i="3"/>
  <c r="AN289" i="3"/>
  <c r="AK289" i="3"/>
  <c r="AP289" i="3"/>
  <c r="AO289" i="3"/>
  <c r="AN312" i="3"/>
  <c r="AM312" i="3"/>
  <c r="AP312" i="3"/>
  <c r="AL312" i="3"/>
  <c r="AK312" i="3"/>
  <c r="AO312" i="3"/>
  <c r="AM153" i="3"/>
  <c r="AL153" i="3"/>
  <c r="AO153" i="3"/>
  <c r="AK153" i="3"/>
  <c r="AN153" i="3"/>
  <c r="AP153" i="3"/>
  <c r="AN186" i="3"/>
  <c r="AP186" i="3"/>
  <c r="AO186" i="3"/>
  <c r="AL186" i="3"/>
  <c r="AK186" i="3"/>
  <c r="AM186" i="3"/>
  <c r="AM203" i="3"/>
  <c r="AO203" i="3"/>
  <c r="AK203" i="3"/>
  <c r="AN203" i="3"/>
  <c r="AP203" i="3"/>
  <c r="AL203" i="3"/>
  <c r="AL234" i="3"/>
  <c r="AO234" i="3"/>
  <c r="AP234" i="3"/>
  <c r="AN234" i="3"/>
  <c r="AK234" i="3"/>
  <c r="AM234" i="3"/>
  <c r="AO258" i="3"/>
  <c r="AM258" i="3"/>
  <c r="AL258" i="3"/>
  <c r="AN258" i="3"/>
  <c r="AP258" i="3"/>
  <c r="AK258" i="3"/>
  <c r="AM314" i="3"/>
  <c r="AP314" i="3"/>
  <c r="AN314" i="3"/>
  <c r="AL314" i="3"/>
  <c r="AO314" i="3"/>
  <c r="AK314" i="3"/>
  <c r="AP116" i="3"/>
  <c r="AM116" i="3"/>
  <c r="AN116" i="3"/>
  <c r="AK116" i="3"/>
  <c r="AO116" i="3"/>
  <c r="AL116" i="3"/>
  <c r="AN142" i="3"/>
  <c r="AL142" i="3"/>
  <c r="AM142" i="3"/>
  <c r="AP142" i="3"/>
  <c r="AO142" i="3"/>
  <c r="AK142" i="3"/>
  <c r="AO173" i="3"/>
  <c r="AP173" i="3"/>
  <c r="AN173" i="3"/>
  <c r="AM173" i="3"/>
  <c r="AL194" i="3"/>
  <c r="AN194" i="3"/>
  <c r="AK194" i="3"/>
  <c r="AO194" i="3"/>
  <c r="AM194" i="3"/>
  <c r="AP194" i="3"/>
  <c r="AK242" i="3"/>
  <c r="AM242" i="3"/>
  <c r="AL242" i="3"/>
  <c r="AO242" i="3"/>
  <c r="AP242" i="3"/>
  <c r="AN242" i="3"/>
  <c r="AN267" i="3"/>
  <c r="AM267" i="3"/>
  <c r="AP267" i="3"/>
  <c r="AL267" i="3"/>
  <c r="AO267" i="3"/>
  <c r="AK267" i="3"/>
  <c r="AN297" i="3"/>
  <c r="AP297" i="3"/>
  <c r="AM297" i="3"/>
  <c r="AO297" i="3"/>
  <c r="AK297" i="3"/>
  <c r="AL297" i="3"/>
  <c r="AP320" i="3"/>
  <c r="AN320" i="3"/>
  <c r="AM320" i="3"/>
  <c r="AO320" i="3"/>
  <c r="AM21" i="3"/>
  <c r="AN21" i="3"/>
  <c r="AK21" i="3"/>
  <c r="AP21" i="3"/>
  <c r="AO21" i="3"/>
  <c r="AL21" i="3"/>
  <c r="AM39" i="3"/>
  <c r="AN39" i="3"/>
  <c r="AK39" i="3"/>
  <c r="AO39" i="3"/>
  <c r="AP39" i="3"/>
  <c r="AL39" i="3"/>
  <c r="AM105" i="3"/>
  <c r="AN105" i="3"/>
  <c r="AL105" i="3"/>
  <c r="AO105" i="3"/>
  <c r="AK105" i="3"/>
  <c r="AP105" i="3"/>
  <c r="AM147" i="3"/>
  <c r="AL147" i="3"/>
  <c r="AP147" i="3"/>
  <c r="AK147" i="3"/>
  <c r="AN147" i="3"/>
  <c r="AO147" i="3"/>
  <c r="AO169" i="3"/>
  <c r="AL169" i="3"/>
  <c r="AK169" i="3"/>
  <c r="AM169" i="3"/>
  <c r="AP169" i="3"/>
  <c r="AN169" i="3"/>
  <c r="AO237" i="3"/>
  <c r="AM237" i="3"/>
  <c r="AN237" i="3"/>
  <c r="AK237" i="3"/>
  <c r="AP237" i="3"/>
  <c r="AL237" i="3"/>
  <c r="AO288" i="3"/>
  <c r="AP288" i="3"/>
  <c r="AL288" i="3"/>
  <c r="AM288" i="3"/>
  <c r="AN288" i="3"/>
  <c r="AK288" i="3"/>
  <c r="AO204" i="3"/>
  <c r="AP204" i="3"/>
  <c r="AN204" i="3"/>
  <c r="AM204" i="3"/>
  <c r="AK204" i="3"/>
  <c r="AL204" i="3"/>
  <c r="AM248" i="3"/>
  <c r="AK248" i="3"/>
  <c r="AO248" i="3"/>
  <c r="AL248" i="3"/>
  <c r="AN248" i="3"/>
  <c r="AP248" i="3"/>
  <c r="AM278" i="3"/>
  <c r="AP278" i="3"/>
  <c r="AN278" i="3"/>
  <c r="AO278" i="3"/>
  <c r="AL295" i="3"/>
  <c r="AP295" i="3"/>
  <c r="AK295" i="3"/>
  <c r="AM295" i="3"/>
  <c r="AO295" i="3"/>
  <c r="AN295" i="3"/>
  <c r="AO157" i="3"/>
  <c r="AM157" i="3"/>
  <c r="AL157" i="3"/>
  <c r="AP157" i="3"/>
  <c r="AN157" i="3"/>
  <c r="AK157" i="3"/>
  <c r="AO171" i="3"/>
  <c r="AM171" i="3"/>
  <c r="AL171" i="3"/>
  <c r="AN171" i="3"/>
  <c r="AP171" i="3"/>
  <c r="AK171" i="3"/>
  <c r="AP183" i="3"/>
  <c r="AK183" i="3"/>
  <c r="AM183" i="3"/>
  <c r="AO183" i="3"/>
  <c r="AN183" i="3"/>
  <c r="AL183" i="3"/>
  <c r="AM195" i="3"/>
  <c r="AK195" i="3"/>
  <c r="AN195" i="3"/>
  <c r="AO195" i="3"/>
  <c r="AL195" i="3"/>
  <c r="AP195" i="3"/>
  <c r="AP220" i="3"/>
  <c r="AM220" i="3"/>
  <c r="AO220" i="3"/>
  <c r="AN220" i="3"/>
  <c r="AM240" i="3"/>
  <c r="AO240" i="3"/>
  <c r="AN240" i="3"/>
  <c r="AP240" i="3"/>
  <c r="AM261" i="3"/>
  <c r="AO261" i="3"/>
  <c r="AP261" i="3"/>
  <c r="AK261" i="3"/>
  <c r="AN261" i="3"/>
  <c r="AL261" i="3"/>
  <c r="AO286" i="3"/>
  <c r="AL286" i="3"/>
  <c r="AP286" i="3"/>
  <c r="AM286" i="3"/>
  <c r="AN286" i="3"/>
  <c r="AK286" i="3"/>
  <c r="AP298" i="3"/>
  <c r="AN298" i="3"/>
  <c r="AO298" i="3"/>
  <c r="AL298" i="3"/>
  <c r="AK298" i="3"/>
  <c r="AM298" i="3"/>
  <c r="AM311" i="3"/>
  <c r="AO311" i="3"/>
  <c r="AK311" i="3"/>
  <c r="AN311" i="3"/>
  <c r="AP311" i="3"/>
  <c r="AL311" i="3"/>
  <c r="AN97" i="3"/>
  <c r="AM97" i="3"/>
  <c r="AP97" i="3"/>
  <c r="AO97" i="3"/>
  <c r="AP89" i="3"/>
  <c r="AM89" i="3"/>
  <c r="AN89" i="3"/>
  <c r="AO89" i="3"/>
  <c r="AO34" i="3"/>
  <c r="AN34" i="3"/>
  <c r="AM34" i="3"/>
  <c r="AL34" i="3"/>
  <c r="AP34" i="3"/>
  <c r="AN22" i="3"/>
  <c r="AK22" i="3"/>
  <c r="AO22" i="3"/>
  <c r="AP22" i="3"/>
  <c r="AL22" i="3"/>
  <c r="AM22" i="3"/>
  <c r="AM52" i="3"/>
  <c r="AP52" i="3"/>
  <c r="AL52" i="3"/>
  <c r="AK52" i="3"/>
  <c r="AO52" i="3"/>
  <c r="AN52" i="3"/>
  <c r="AM19" i="3"/>
  <c r="AO19" i="3"/>
  <c r="AN19" i="3"/>
  <c r="AP19" i="3"/>
  <c r="AO9" i="3"/>
  <c r="AL9" i="3"/>
  <c r="AM9" i="3"/>
  <c r="AP9" i="3"/>
  <c r="AN9" i="3"/>
  <c r="AK9" i="3"/>
  <c r="AO13" i="3"/>
  <c r="AM13" i="3"/>
  <c r="AN13" i="3"/>
  <c r="AK13" i="3"/>
  <c r="AP13" i="3"/>
  <c r="AL13" i="3"/>
  <c r="AP71" i="3"/>
  <c r="AL71" i="3"/>
  <c r="AN71" i="3"/>
  <c r="AM71" i="3"/>
  <c r="AK71" i="3"/>
  <c r="AO71" i="3"/>
  <c r="AO12" i="3"/>
  <c r="AM12" i="3"/>
  <c r="AN12" i="3"/>
  <c r="AP12" i="3"/>
  <c r="AM29" i="3"/>
  <c r="AN29" i="3"/>
  <c r="AK29" i="3"/>
  <c r="AO29" i="3"/>
  <c r="AL29" i="3"/>
  <c r="AP29" i="3"/>
  <c r="AM92" i="3"/>
  <c r="AK92" i="3"/>
  <c r="AN92" i="3"/>
  <c r="AL92" i="3"/>
  <c r="AO92" i="3"/>
  <c r="AP92" i="3"/>
  <c r="AK23" i="3"/>
  <c r="AN23" i="3"/>
  <c r="AM23" i="3"/>
  <c r="AO23" i="3"/>
  <c r="AP23" i="3"/>
  <c r="AL23" i="3"/>
  <c r="AO17" i="3"/>
  <c r="AM17" i="3"/>
  <c r="AL17" i="3"/>
  <c r="AN17" i="3"/>
  <c r="AP17" i="3"/>
  <c r="AO55" i="3"/>
  <c r="AP55" i="3"/>
  <c r="AN55" i="3"/>
  <c r="AM55" i="3"/>
  <c r="AK55" i="3"/>
  <c r="AL55" i="3"/>
  <c r="AO8" i="3"/>
  <c r="AM8" i="3"/>
  <c r="AL8" i="3"/>
  <c r="AK8" i="3"/>
  <c r="AP8" i="3"/>
  <c r="AN8" i="3"/>
  <c r="AM42" i="3"/>
  <c r="AO42" i="3"/>
  <c r="AK42" i="3"/>
  <c r="AN42" i="3"/>
  <c r="AP42" i="3"/>
  <c r="AL42" i="3"/>
  <c r="AO99" i="3"/>
  <c r="AM99" i="3"/>
  <c r="AK99" i="3"/>
  <c r="AN99" i="3"/>
  <c r="AL99" i="3"/>
  <c r="AP99" i="3"/>
  <c r="AP56" i="3"/>
  <c r="AK56" i="3"/>
  <c r="AM56" i="3"/>
  <c r="AO56" i="3"/>
  <c r="AN56" i="3"/>
  <c r="AL56" i="3"/>
  <c r="AO85" i="3"/>
  <c r="AM85" i="3"/>
  <c r="AN85" i="3"/>
  <c r="AK85" i="3"/>
  <c r="AP85" i="3"/>
  <c r="AL85" i="3"/>
  <c r="AP124" i="3"/>
  <c r="AN124" i="3"/>
  <c r="AM124" i="3"/>
  <c r="AO124" i="3"/>
  <c r="AO205" i="3"/>
  <c r="AP205" i="3"/>
  <c r="AM205" i="3"/>
  <c r="AK205" i="3"/>
  <c r="AN205" i="3"/>
  <c r="AL205" i="3"/>
  <c r="AP262" i="3"/>
  <c r="AO262" i="3"/>
  <c r="AM262" i="3"/>
  <c r="AL262" i="3"/>
  <c r="AK262" i="3"/>
  <c r="AN262" i="3"/>
  <c r="AO189" i="3"/>
  <c r="AP189" i="3"/>
  <c r="AK189" i="3"/>
  <c r="AM189" i="3"/>
  <c r="AN189" i="3"/>
  <c r="AL189" i="3"/>
  <c r="AK223" i="3"/>
  <c r="AN223" i="3"/>
  <c r="AP223" i="3"/>
  <c r="AL223" i="3"/>
  <c r="AM223" i="3"/>
  <c r="AO223" i="3"/>
  <c r="AP233" i="3"/>
  <c r="AK233" i="3"/>
  <c r="AN233" i="3"/>
  <c r="AM233" i="3"/>
  <c r="AL233" i="3"/>
  <c r="AO233" i="3"/>
  <c r="AP264" i="3"/>
  <c r="AO264" i="3"/>
  <c r="AN264" i="3"/>
  <c r="AM264" i="3"/>
  <c r="AP316" i="3"/>
  <c r="AM316" i="3"/>
  <c r="AK316" i="3"/>
  <c r="AL316" i="3"/>
  <c r="AN316" i="3"/>
  <c r="AO316" i="3"/>
  <c r="AK77" i="3"/>
  <c r="AN77" i="3"/>
  <c r="AM77" i="3"/>
  <c r="AO77" i="3"/>
  <c r="AP77" i="3"/>
  <c r="AL77" i="3"/>
  <c r="AN87" i="3"/>
  <c r="AO87" i="3"/>
  <c r="AP87" i="3"/>
  <c r="AM87" i="3"/>
  <c r="AK87" i="3"/>
  <c r="AL87" i="3"/>
  <c r="AK104" i="3"/>
  <c r="AO104" i="3"/>
  <c r="AN104" i="3"/>
  <c r="AP104" i="3"/>
  <c r="AM104" i="3"/>
  <c r="AL104" i="3"/>
  <c r="AP125" i="3"/>
  <c r="AM125" i="3"/>
  <c r="AN125" i="3"/>
  <c r="AK125" i="3"/>
  <c r="AL125" i="3"/>
  <c r="AO125" i="3"/>
  <c r="AM143" i="3"/>
  <c r="AN143" i="3"/>
  <c r="AL143" i="3"/>
  <c r="AP143" i="3"/>
  <c r="AO143" i="3"/>
  <c r="AK143" i="3"/>
  <c r="AP49" i="3"/>
  <c r="AN49" i="3"/>
  <c r="AM49" i="3"/>
  <c r="AO49" i="3"/>
  <c r="AN141" i="3"/>
  <c r="AL141" i="3"/>
  <c r="AP141" i="3"/>
  <c r="AM141" i="3"/>
  <c r="AO141" i="3"/>
  <c r="AK141" i="3"/>
  <c r="AO14" i="3"/>
  <c r="AM14" i="3"/>
  <c r="AN14" i="3"/>
  <c r="AL14" i="3"/>
  <c r="AP14" i="3"/>
  <c r="AK14" i="3"/>
  <c r="AN61" i="3"/>
  <c r="AP61" i="3"/>
  <c r="AO61" i="3"/>
  <c r="AM61" i="3"/>
  <c r="AO16" i="3"/>
  <c r="AN16" i="3"/>
  <c r="AM16" i="3"/>
  <c r="AP16" i="3"/>
  <c r="AK16" i="3"/>
  <c r="AL16" i="3"/>
  <c r="AO11" i="3"/>
  <c r="AN11" i="3"/>
  <c r="AP11" i="3"/>
  <c r="AK11" i="3"/>
  <c r="AM11" i="3"/>
  <c r="AL11" i="3"/>
  <c r="AM74" i="3"/>
  <c r="AO74" i="3"/>
  <c r="AL74" i="3"/>
  <c r="AN74" i="3"/>
  <c r="AK74" i="3"/>
  <c r="AP74" i="3"/>
  <c r="AO15" i="3"/>
  <c r="AM15" i="3"/>
  <c r="AP15" i="3"/>
  <c r="AL15" i="3"/>
  <c r="AN15" i="3"/>
  <c r="AK15" i="3"/>
  <c r="AK32" i="3"/>
  <c r="AM32" i="3"/>
  <c r="AO32" i="3"/>
  <c r="AN32" i="3"/>
  <c r="AP32" i="3"/>
  <c r="AL32" i="3"/>
  <c r="AO107" i="3"/>
  <c r="AK107" i="3"/>
  <c r="AM107" i="3"/>
  <c r="AL107" i="3"/>
  <c r="AN107" i="3"/>
  <c r="AP107" i="3"/>
  <c r="AM40" i="3"/>
  <c r="AP40" i="3"/>
  <c r="AN40" i="3"/>
  <c r="AO40" i="3"/>
  <c r="AM35" i="3"/>
  <c r="AN35" i="3"/>
  <c r="AO35" i="3"/>
  <c r="AK35" i="3"/>
  <c r="AP35" i="3"/>
  <c r="AL35" i="3"/>
  <c r="AM65" i="3"/>
  <c r="AK65" i="3"/>
  <c r="AO65" i="3"/>
  <c r="AN65" i="3"/>
  <c r="AL65" i="3"/>
  <c r="AP65" i="3"/>
  <c r="AN86" i="3"/>
  <c r="AM86" i="3"/>
  <c r="AK86" i="3"/>
  <c r="AP86" i="3"/>
  <c r="AL86" i="3"/>
  <c r="AO86" i="3"/>
  <c r="AO10" i="3"/>
  <c r="AM10" i="3"/>
  <c r="AL10" i="3"/>
  <c r="AP10" i="3"/>
  <c r="AN10" i="3"/>
  <c r="AK10" i="3"/>
  <c r="AM28" i="3"/>
  <c r="AO28" i="3"/>
  <c r="AN28" i="3"/>
  <c r="AP28" i="3"/>
  <c r="AK28" i="3"/>
  <c r="AL28" i="3"/>
  <c r="AP48" i="3"/>
  <c r="AN48" i="3"/>
  <c r="AM48" i="3"/>
  <c r="AO48" i="3"/>
  <c r="AP64" i="3"/>
  <c r="AO64" i="3"/>
  <c r="AK64" i="3"/>
  <c r="AM64" i="3"/>
  <c r="AL64" i="3"/>
  <c r="AN64" i="3"/>
  <c r="AK102" i="3"/>
  <c r="AP102" i="3"/>
  <c r="AL102" i="3"/>
  <c r="AO102" i="3"/>
  <c r="AM102" i="3"/>
  <c r="AN102" i="3"/>
  <c r="AP83" i="3"/>
  <c r="AN83" i="3"/>
  <c r="AO83" i="3"/>
  <c r="AM83" i="3"/>
  <c r="AK83" i="3"/>
  <c r="AL83" i="3"/>
  <c r="AO103" i="3"/>
  <c r="AP103" i="3"/>
  <c r="AN103" i="3"/>
  <c r="AM103" i="3"/>
  <c r="AP119" i="3"/>
  <c r="AL119" i="3"/>
  <c r="AN119" i="3"/>
  <c r="AM119" i="3"/>
  <c r="AK119" i="3"/>
  <c r="AO119" i="3"/>
  <c r="AP136" i="3"/>
  <c r="AM136" i="3"/>
  <c r="AN136" i="3"/>
  <c r="AO136" i="3"/>
  <c r="AL136" i="3"/>
  <c r="AK136" i="3"/>
  <c r="AO152" i="3"/>
  <c r="AM152" i="3"/>
  <c r="AN152" i="3"/>
  <c r="AP152" i="3"/>
  <c r="AO170" i="3"/>
  <c r="AM170" i="3"/>
  <c r="AK170" i="3"/>
  <c r="AL170" i="3"/>
  <c r="AP170" i="3"/>
  <c r="AN170" i="3"/>
  <c r="AO202" i="3"/>
  <c r="AN202" i="3"/>
  <c r="AP202" i="3"/>
  <c r="AM202" i="3"/>
  <c r="AK218" i="3"/>
  <c r="AP218" i="3"/>
  <c r="AL218" i="3"/>
  <c r="AN218" i="3"/>
  <c r="AO218" i="3"/>
  <c r="AM218" i="3"/>
  <c r="AM245" i="3"/>
  <c r="AK245" i="3"/>
  <c r="AN245" i="3"/>
  <c r="AO245" i="3"/>
  <c r="AP245" i="3"/>
  <c r="AL245" i="3"/>
  <c r="AP274" i="3"/>
  <c r="AK274" i="3"/>
  <c r="AN274" i="3"/>
  <c r="AM274" i="3"/>
  <c r="AO274" i="3"/>
  <c r="AL274" i="3"/>
  <c r="AO294" i="3"/>
  <c r="AP294" i="3"/>
  <c r="AL294" i="3"/>
  <c r="AM294" i="3"/>
  <c r="AN294" i="3"/>
  <c r="AK294" i="3"/>
  <c r="AP319" i="3"/>
  <c r="AM319" i="3"/>
  <c r="AN319" i="3"/>
  <c r="AK319" i="3"/>
  <c r="AL319" i="3"/>
  <c r="AO319" i="3"/>
  <c r="AP162" i="3"/>
  <c r="AO162" i="3"/>
  <c r="AK162" i="3"/>
  <c r="AM162" i="3"/>
  <c r="AN162" i="3"/>
  <c r="AL162" i="3"/>
  <c r="AM193" i="3"/>
  <c r="AK193" i="3"/>
  <c r="AP193" i="3"/>
  <c r="AN193" i="3"/>
  <c r="AL193" i="3"/>
  <c r="AO193" i="3"/>
  <c r="AN214" i="3"/>
  <c r="AO214" i="3"/>
  <c r="AK214" i="3"/>
  <c r="AM214" i="3"/>
  <c r="AL214" i="3"/>
  <c r="AP214" i="3"/>
  <c r="AO241" i="3"/>
  <c r="AM241" i="3"/>
  <c r="AN241" i="3"/>
  <c r="AK241" i="3"/>
  <c r="AP241" i="3"/>
  <c r="AL241" i="3"/>
  <c r="AM271" i="3"/>
  <c r="AP271" i="3"/>
  <c r="AN271" i="3"/>
  <c r="AL271" i="3"/>
  <c r="AK271" i="3"/>
  <c r="AO271" i="3"/>
  <c r="AP128" i="3"/>
  <c r="AM128" i="3"/>
  <c r="AN128" i="3"/>
  <c r="AO128" i="3"/>
  <c r="AL128" i="3"/>
  <c r="AK128" i="3"/>
  <c r="AO158" i="3"/>
  <c r="AP158" i="3"/>
  <c r="AM158" i="3"/>
  <c r="AL158" i="3"/>
  <c r="AN158" i="3"/>
  <c r="AK158" i="3"/>
  <c r="AO179" i="3"/>
  <c r="AM179" i="3"/>
  <c r="AP179" i="3"/>
  <c r="AK179" i="3"/>
  <c r="AN179" i="3"/>
  <c r="AL179" i="3"/>
  <c r="AM207" i="3"/>
  <c r="AN207" i="3"/>
  <c r="AK207" i="3"/>
  <c r="AP207" i="3"/>
  <c r="AO207" i="3"/>
  <c r="AL207" i="3"/>
  <c r="AO253" i="3"/>
  <c r="AM253" i="3"/>
  <c r="AN253" i="3"/>
  <c r="AK253" i="3"/>
  <c r="AP253" i="3"/>
  <c r="AL253" i="3"/>
  <c r="AL282" i="3"/>
  <c r="AP282" i="3"/>
  <c r="AN282" i="3"/>
  <c r="AM282" i="3"/>
  <c r="AK282" i="3"/>
  <c r="AO282" i="3"/>
  <c r="AM302" i="3"/>
  <c r="AN302" i="3"/>
  <c r="AP302" i="3"/>
  <c r="AL302" i="3"/>
  <c r="AK302" i="3"/>
  <c r="AO302" i="3"/>
  <c r="AO323" i="3"/>
  <c r="AN323" i="3"/>
  <c r="AM323" i="3"/>
  <c r="AP323" i="3"/>
  <c r="AK24" i="3"/>
  <c r="AO24" i="3"/>
  <c r="AN24" i="3"/>
  <c r="AP24" i="3"/>
  <c r="AM24" i="3"/>
  <c r="AL24" i="3"/>
  <c r="AM45" i="3"/>
  <c r="AK45" i="3"/>
  <c r="AL45" i="3"/>
  <c r="AO45" i="3"/>
  <c r="AN45" i="3"/>
  <c r="AP45" i="3"/>
  <c r="AO63" i="3"/>
  <c r="AM63" i="3"/>
  <c r="AN63" i="3"/>
  <c r="AP63" i="3"/>
  <c r="AK63" i="3"/>
  <c r="AL63" i="3"/>
  <c r="AO95" i="3"/>
  <c r="AM95" i="3"/>
  <c r="AN95" i="3"/>
  <c r="AP95" i="3"/>
  <c r="AN108" i="3"/>
  <c r="AM108" i="3"/>
  <c r="AP108" i="3"/>
  <c r="AO108" i="3"/>
  <c r="AP130" i="3"/>
  <c r="AO130" i="3"/>
  <c r="AN130" i="3"/>
  <c r="AM130" i="3"/>
  <c r="AL130" i="3"/>
  <c r="AK130" i="3"/>
  <c r="AO151" i="3"/>
  <c r="AL151" i="3"/>
  <c r="AM151" i="3"/>
  <c r="AP151" i="3"/>
  <c r="AN151" i="3"/>
  <c r="AK151" i="3"/>
  <c r="AL174" i="3"/>
  <c r="AK174" i="3"/>
  <c r="AN174" i="3"/>
  <c r="AP174" i="3"/>
  <c r="AM174" i="3"/>
  <c r="AO174" i="3"/>
  <c r="AO208" i="3"/>
  <c r="AP208" i="3"/>
  <c r="AM208" i="3"/>
  <c r="AN208" i="3"/>
  <c r="AM244" i="3"/>
  <c r="AO244" i="3"/>
  <c r="AK244" i="3"/>
  <c r="AN244" i="3"/>
  <c r="AP244" i="3"/>
  <c r="AL244" i="3"/>
  <c r="AN266" i="3"/>
  <c r="AP266" i="3"/>
  <c r="AL266" i="3"/>
  <c r="AM266" i="3"/>
  <c r="AK266" i="3"/>
  <c r="AO266" i="3"/>
  <c r="AM305" i="3"/>
  <c r="AO305" i="3"/>
  <c r="AK305" i="3"/>
  <c r="AN305" i="3"/>
  <c r="AP305" i="3"/>
  <c r="AL305" i="3"/>
  <c r="AO190" i="3"/>
  <c r="AL190" i="3"/>
  <c r="AN190" i="3"/>
  <c r="AM190" i="3"/>
  <c r="AP190" i="3"/>
  <c r="AK190" i="3"/>
  <c r="AO210" i="3"/>
  <c r="AN210" i="3"/>
  <c r="AK210" i="3"/>
  <c r="AL210" i="3"/>
  <c r="AP210" i="3"/>
  <c r="AM210" i="3"/>
  <c r="AK226" i="3"/>
  <c r="AO226" i="3"/>
  <c r="AN226" i="3"/>
  <c r="AP226" i="3"/>
  <c r="AL226" i="3"/>
  <c r="AM226" i="3"/>
  <c r="AK235" i="3"/>
  <c r="AM235" i="3"/>
  <c r="AO235" i="3"/>
  <c r="AP235" i="3"/>
  <c r="AN235" i="3"/>
  <c r="AL235" i="3"/>
  <c r="AO251" i="3"/>
  <c r="AL251" i="3"/>
  <c r="AK251" i="3"/>
  <c r="AN251" i="3"/>
  <c r="AP251" i="3"/>
  <c r="AM251" i="3"/>
  <c r="AN270" i="3"/>
  <c r="AO270" i="3"/>
  <c r="AL270" i="3"/>
  <c r="AK270" i="3"/>
  <c r="AM270" i="3"/>
  <c r="AP270" i="3"/>
  <c r="AM280" i="3"/>
  <c r="AN280" i="3"/>
  <c r="AP280" i="3"/>
  <c r="AL280" i="3"/>
  <c r="AO280" i="3"/>
  <c r="AK280" i="3"/>
  <c r="AN300" i="3"/>
  <c r="AM300" i="3"/>
  <c r="AP300" i="3"/>
  <c r="AL300" i="3"/>
  <c r="AO300" i="3"/>
  <c r="AK300" i="3"/>
  <c r="AN324" i="3"/>
  <c r="AP324" i="3"/>
  <c r="AM324" i="3"/>
  <c r="AO324" i="3"/>
  <c r="AN80" i="3"/>
  <c r="AP80" i="3"/>
  <c r="AO80" i="3"/>
  <c r="AL80" i="3"/>
  <c r="AM80" i="3"/>
  <c r="AK80" i="3"/>
  <c r="AP90" i="3"/>
  <c r="AK90" i="3"/>
  <c r="AN90" i="3"/>
  <c r="AO90" i="3"/>
  <c r="AL90" i="3"/>
  <c r="AM90" i="3"/>
  <c r="AO111" i="3"/>
  <c r="AM111" i="3"/>
  <c r="AN111" i="3"/>
  <c r="AL111" i="3"/>
  <c r="AK111" i="3"/>
  <c r="AP111" i="3"/>
  <c r="AP129" i="3"/>
  <c r="AM129" i="3"/>
  <c r="AN129" i="3"/>
  <c r="AK129" i="3"/>
  <c r="AL129" i="3"/>
  <c r="AO129" i="3"/>
  <c r="AN149" i="3"/>
  <c r="AM149" i="3"/>
  <c r="AP149" i="3"/>
  <c r="AL149" i="3"/>
  <c r="AO149" i="3"/>
  <c r="AK149" i="3"/>
  <c r="AO160" i="3"/>
  <c r="AM160" i="3"/>
  <c r="AP160" i="3"/>
  <c r="AK160" i="3"/>
  <c r="AN160" i="3"/>
  <c r="AL160" i="3"/>
  <c r="AO176" i="3"/>
  <c r="AM176" i="3"/>
  <c r="AL176" i="3"/>
  <c r="AK176" i="3"/>
  <c r="AP176" i="3"/>
  <c r="AN176" i="3"/>
  <c r="AM185" i="3"/>
  <c r="AP185" i="3"/>
  <c r="AK185" i="3"/>
  <c r="AO185" i="3"/>
  <c r="AN185" i="3"/>
  <c r="AL185" i="3"/>
  <c r="AN200" i="3"/>
  <c r="AM200" i="3"/>
  <c r="AK200" i="3"/>
  <c r="AP200" i="3"/>
  <c r="AO200" i="3"/>
  <c r="AL200" i="3"/>
  <c r="AM225" i="3"/>
  <c r="AO225" i="3"/>
  <c r="AL225" i="3"/>
  <c r="AN225" i="3"/>
  <c r="AP225" i="3"/>
  <c r="AK225" i="3"/>
  <c r="AO246" i="3"/>
  <c r="AL246" i="3"/>
  <c r="AM246" i="3"/>
  <c r="AK246" i="3"/>
  <c r="AN246" i="3"/>
  <c r="AP246" i="3"/>
  <c r="AN268" i="3"/>
  <c r="AP268" i="3"/>
  <c r="AM268" i="3"/>
  <c r="AO268" i="3"/>
  <c r="AK268" i="3"/>
  <c r="AL268" i="3"/>
  <c r="AO290" i="3"/>
  <c r="AL290" i="3"/>
  <c r="AM290" i="3"/>
  <c r="AP290" i="3"/>
  <c r="AN290" i="3"/>
  <c r="AK290" i="3"/>
  <c r="AM301" i="3"/>
  <c r="AO301" i="3"/>
  <c r="AN301" i="3"/>
  <c r="AK301" i="3"/>
  <c r="AP301" i="3"/>
  <c r="AL301" i="3"/>
  <c r="AM313" i="3"/>
  <c r="AO313" i="3"/>
  <c r="AK313" i="3"/>
  <c r="AN313" i="3"/>
  <c r="AP313" i="3"/>
  <c r="AL313" i="3"/>
  <c r="AM166" i="3"/>
  <c r="Z324" i="3"/>
  <c r="E326" i="1"/>
  <c r="J20" i="3"/>
  <c r="G20" i="3"/>
  <c r="H20" i="3"/>
  <c r="K20" i="3"/>
  <c r="I20" i="3"/>
  <c r="L20" i="3"/>
  <c r="J98" i="3"/>
  <c r="L98" i="3"/>
  <c r="K98" i="3"/>
  <c r="G98" i="3"/>
  <c r="I98" i="3"/>
  <c r="H98" i="3"/>
  <c r="I126" i="3"/>
  <c r="K126" i="3"/>
  <c r="H126" i="3"/>
  <c r="J126" i="3"/>
  <c r="L126" i="3"/>
  <c r="G126" i="3"/>
  <c r="L97" i="3"/>
  <c r="H97" i="3"/>
  <c r="K97" i="3"/>
  <c r="G97" i="3"/>
  <c r="I97" i="3"/>
  <c r="J97" i="3"/>
  <c r="L197" i="3"/>
  <c r="K197" i="3"/>
  <c r="G197" i="3"/>
  <c r="I197" i="3"/>
  <c r="H197" i="3"/>
  <c r="J197" i="3"/>
  <c r="J214" i="3"/>
  <c r="H214" i="3"/>
  <c r="K214" i="3"/>
  <c r="G214" i="3"/>
  <c r="I214" i="3"/>
  <c r="L214" i="3"/>
  <c r="K226" i="3"/>
  <c r="L226" i="3"/>
  <c r="L256" i="3"/>
  <c r="H256" i="3"/>
  <c r="I256" i="3"/>
  <c r="K256" i="3"/>
  <c r="G256" i="3"/>
  <c r="J256" i="3"/>
  <c r="J277" i="3"/>
  <c r="G277" i="3"/>
  <c r="K277" i="3"/>
  <c r="I277" i="3"/>
  <c r="L277" i="3"/>
  <c r="H277" i="3"/>
  <c r="J288" i="3"/>
  <c r="K288" i="3"/>
  <c r="I288" i="3"/>
  <c r="G288" i="3"/>
  <c r="L288" i="3"/>
  <c r="H288" i="3"/>
  <c r="I301" i="3"/>
  <c r="G301" i="3"/>
  <c r="L301" i="3"/>
  <c r="J301" i="3"/>
  <c r="K301" i="3"/>
  <c r="H301" i="3"/>
  <c r="I314" i="3"/>
  <c r="H314" i="3"/>
  <c r="K314" i="3"/>
  <c r="G314" i="3"/>
  <c r="J314" i="3"/>
  <c r="L314" i="3"/>
  <c r="L324" i="3"/>
  <c r="K324" i="3"/>
  <c r="I324" i="3"/>
  <c r="J324" i="3"/>
  <c r="L227" i="3"/>
  <c r="K227" i="3"/>
  <c r="I227" i="3"/>
  <c r="J227" i="3"/>
  <c r="I305" i="3"/>
  <c r="L305" i="3"/>
  <c r="J305" i="3"/>
  <c r="K305" i="3"/>
  <c r="L16" i="3"/>
  <c r="H16" i="3"/>
  <c r="K16" i="3"/>
  <c r="I16" i="3"/>
  <c r="G16" i="3"/>
  <c r="J16" i="3"/>
  <c r="L24" i="3"/>
  <c r="H24" i="3"/>
  <c r="G24" i="3"/>
  <c r="I24" i="3"/>
  <c r="J24" i="3"/>
  <c r="K24" i="3"/>
  <c r="L38" i="3"/>
  <c r="H38" i="3"/>
  <c r="G38" i="3"/>
  <c r="J38" i="3"/>
  <c r="I38" i="3"/>
  <c r="K38" i="3"/>
  <c r="K54" i="3"/>
  <c r="L54" i="3"/>
  <c r="I54" i="3"/>
  <c r="J54" i="3"/>
  <c r="I80" i="3"/>
  <c r="L80" i="3"/>
  <c r="J80" i="3"/>
  <c r="K80" i="3"/>
  <c r="I91" i="3"/>
  <c r="J91" i="3"/>
  <c r="K91" i="3"/>
  <c r="L91" i="3"/>
  <c r="G91" i="3"/>
  <c r="H91" i="3"/>
  <c r="J136" i="3"/>
  <c r="L136" i="3"/>
  <c r="G136" i="3"/>
  <c r="I136" i="3"/>
  <c r="K136" i="3"/>
  <c r="H136" i="3"/>
  <c r="I163" i="3"/>
  <c r="K163" i="3"/>
  <c r="J163" i="3"/>
  <c r="H163" i="3"/>
  <c r="L163" i="3"/>
  <c r="G163" i="3"/>
  <c r="H245" i="3"/>
  <c r="L245" i="3"/>
  <c r="I245" i="3"/>
  <c r="K245" i="3"/>
  <c r="G245" i="3"/>
  <c r="J245" i="3"/>
  <c r="K17" i="3"/>
  <c r="J17" i="3"/>
  <c r="L17" i="3"/>
  <c r="I17" i="3"/>
  <c r="I53" i="3"/>
  <c r="L53" i="3"/>
  <c r="K53" i="3"/>
  <c r="H53" i="3"/>
  <c r="J53" i="3"/>
  <c r="G53" i="3"/>
  <c r="L76" i="3"/>
  <c r="I76" i="3"/>
  <c r="J76" i="3"/>
  <c r="H76" i="3"/>
  <c r="K76" i="3"/>
  <c r="G76" i="3"/>
  <c r="I92" i="3"/>
  <c r="L92" i="3"/>
  <c r="H92" i="3"/>
  <c r="J92" i="3"/>
  <c r="K92" i="3"/>
  <c r="G92" i="3"/>
  <c r="H100" i="3"/>
  <c r="J100" i="3"/>
  <c r="L100" i="3"/>
  <c r="G100" i="3"/>
  <c r="I100" i="3"/>
  <c r="K100" i="3"/>
  <c r="L111" i="3"/>
  <c r="K111" i="3"/>
  <c r="H111" i="3"/>
  <c r="G111" i="3"/>
  <c r="I111" i="3"/>
  <c r="J111" i="3"/>
  <c r="I160" i="3"/>
  <c r="J160" i="3"/>
  <c r="K160" i="3"/>
  <c r="H160" i="3"/>
  <c r="G160" i="3"/>
  <c r="L160" i="3"/>
  <c r="J167" i="3"/>
  <c r="K167" i="3"/>
  <c r="I167" i="3"/>
  <c r="H167" i="3"/>
  <c r="G167" i="3"/>
  <c r="L167" i="3"/>
  <c r="L183" i="3"/>
  <c r="G183" i="3"/>
  <c r="I183" i="3"/>
  <c r="H183" i="3"/>
  <c r="K183" i="3"/>
  <c r="J183" i="3"/>
  <c r="H198" i="3"/>
  <c r="J198" i="3"/>
  <c r="K198" i="3"/>
  <c r="L198" i="3"/>
  <c r="G198" i="3"/>
  <c r="I198" i="3"/>
  <c r="L210" i="3"/>
  <c r="K210" i="3"/>
  <c r="G210" i="3"/>
  <c r="I210" i="3"/>
  <c r="H210" i="3"/>
  <c r="J210" i="3"/>
  <c r="J231" i="3"/>
  <c r="K231" i="3"/>
  <c r="H231" i="3"/>
  <c r="G231" i="3"/>
  <c r="I231" i="3"/>
  <c r="L231" i="3"/>
  <c r="J239" i="3"/>
  <c r="K239" i="3"/>
  <c r="I239" i="3"/>
  <c r="G239" i="3"/>
  <c r="L239" i="3"/>
  <c r="H239" i="3"/>
  <c r="L249" i="3"/>
  <c r="K249" i="3"/>
  <c r="J249" i="3"/>
  <c r="G249" i="3"/>
  <c r="H249" i="3"/>
  <c r="I249" i="3"/>
  <c r="L260" i="3"/>
  <c r="G260" i="3"/>
  <c r="K260" i="3"/>
  <c r="I260" i="3"/>
  <c r="J260" i="3"/>
  <c r="H260" i="3"/>
  <c r="K283" i="3"/>
  <c r="I283" i="3"/>
  <c r="L283" i="3"/>
  <c r="J283" i="3"/>
  <c r="J298" i="3"/>
  <c r="L298" i="3"/>
  <c r="G298" i="3"/>
  <c r="I298" i="3"/>
  <c r="K298" i="3"/>
  <c r="H298" i="3"/>
  <c r="I175" i="3"/>
  <c r="G175" i="3"/>
  <c r="H175" i="3"/>
  <c r="J175" i="3"/>
  <c r="K175" i="3"/>
  <c r="L175" i="3"/>
  <c r="L182" i="3"/>
  <c r="H182" i="3"/>
  <c r="J182" i="3"/>
  <c r="G182" i="3"/>
  <c r="K182" i="3"/>
  <c r="I182" i="3"/>
  <c r="J190" i="3"/>
  <c r="L190" i="3"/>
  <c r="H190" i="3"/>
  <c r="K190" i="3"/>
  <c r="G190" i="3"/>
  <c r="I190" i="3"/>
  <c r="J209" i="3"/>
  <c r="H209" i="3"/>
  <c r="G209" i="3"/>
  <c r="I209" i="3"/>
  <c r="L209" i="3"/>
  <c r="K209" i="3"/>
  <c r="I229" i="3"/>
  <c r="L229" i="3"/>
  <c r="K229" i="3"/>
  <c r="J229" i="3"/>
  <c r="J240" i="3"/>
  <c r="L240" i="3"/>
  <c r="I240" i="3"/>
  <c r="G240" i="3"/>
  <c r="K240" i="3"/>
  <c r="H240" i="3"/>
  <c r="K259" i="3"/>
  <c r="L259" i="3"/>
  <c r="H259" i="3"/>
  <c r="I259" i="3"/>
  <c r="G259" i="3"/>
  <c r="J259" i="3"/>
  <c r="I266" i="3"/>
  <c r="K266" i="3"/>
  <c r="H266" i="3"/>
  <c r="J266" i="3"/>
  <c r="G266" i="3"/>
  <c r="L266" i="3"/>
  <c r="K278" i="3"/>
  <c r="G278" i="3"/>
  <c r="H278" i="3"/>
  <c r="J278" i="3"/>
  <c r="I278" i="3"/>
  <c r="L278" i="3"/>
  <c r="K296" i="3"/>
  <c r="I296" i="3"/>
  <c r="G296" i="3"/>
  <c r="L296" i="3"/>
  <c r="J296" i="3"/>
  <c r="H296" i="3"/>
  <c r="I312" i="3"/>
  <c r="J312" i="3"/>
  <c r="H312" i="3"/>
  <c r="L312" i="3"/>
  <c r="K312" i="3"/>
  <c r="G312" i="3"/>
  <c r="I70" i="3"/>
  <c r="L70" i="3"/>
  <c r="J70" i="3"/>
  <c r="H70" i="3"/>
  <c r="K70" i="3"/>
  <c r="G70" i="3"/>
  <c r="I79" i="3"/>
  <c r="J79" i="3"/>
  <c r="K79" i="3"/>
  <c r="L79" i="3"/>
  <c r="L115" i="3"/>
  <c r="I115" i="3"/>
  <c r="J115" i="3"/>
  <c r="K115" i="3"/>
  <c r="K125" i="3"/>
  <c r="I125" i="3"/>
  <c r="L125" i="3"/>
  <c r="J125" i="3"/>
  <c r="J133" i="3"/>
  <c r="H133" i="3"/>
  <c r="L133" i="3"/>
  <c r="G133" i="3"/>
  <c r="I133" i="3"/>
  <c r="K133" i="3"/>
  <c r="H143" i="3"/>
  <c r="K143" i="3"/>
  <c r="L143" i="3"/>
  <c r="I143" i="3"/>
  <c r="J143" i="3"/>
  <c r="G143" i="3"/>
  <c r="J153" i="3"/>
  <c r="K153" i="3"/>
  <c r="I153" i="3"/>
  <c r="G153" i="3"/>
  <c r="L153" i="3"/>
  <c r="H153" i="3"/>
  <c r="J199" i="3"/>
  <c r="L199" i="3"/>
  <c r="H199" i="3"/>
  <c r="G199" i="3"/>
  <c r="I199" i="3"/>
  <c r="K199" i="3"/>
  <c r="L216" i="3"/>
  <c r="H216" i="3"/>
  <c r="K216" i="3"/>
  <c r="G216" i="3"/>
  <c r="I216" i="3"/>
  <c r="J216" i="3"/>
  <c r="J228" i="3"/>
  <c r="K228" i="3"/>
  <c r="I228" i="3"/>
  <c r="L228" i="3"/>
  <c r="J268" i="3"/>
  <c r="H268" i="3"/>
  <c r="K268" i="3"/>
  <c r="I268" i="3"/>
  <c r="G268" i="3"/>
  <c r="L268" i="3"/>
  <c r="J281" i="3"/>
  <c r="K281" i="3"/>
  <c r="G281" i="3"/>
  <c r="I281" i="3"/>
  <c r="L281" i="3"/>
  <c r="H281" i="3"/>
  <c r="J291" i="3"/>
  <c r="K291" i="3"/>
  <c r="I291" i="3"/>
  <c r="G291" i="3"/>
  <c r="L291" i="3"/>
  <c r="H291" i="3"/>
  <c r="I304" i="3"/>
  <c r="J304" i="3"/>
  <c r="L304" i="3"/>
  <c r="K304" i="3"/>
  <c r="I316" i="3"/>
  <c r="J316" i="3"/>
  <c r="G316" i="3"/>
  <c r="L316" i="3"/>
  <c r="H316" i="3"/>
  <c r="K316" i="3"/>
  <c r="K35" i="3"/>
  <c r="I35" i="3"/>
  <c r="J35" i="3"/>
  <c r="L35" i="3"/>
  <c r="H35" i="3"/>
  <c r="G35" i="3"/>
  <c r="H104" i="3"/>
  <c r="I104" i="3"/>
  <c r="K104" i="3"/>
  <c r="L104" i="3"/>
  <c r="J104" i="3"/>
  <c r="G104" i="3"/>
  <c r="J147" i="3"/>
  <c r="I147" i="3"/>
  <c r="K147" i="3"/>
  <c r="L147" i="3"/>
  <c r="H147" i="3"/>
  <c r="G147" i="3"/>
  <c r="I234" i="3"/>
  <c r="J234" i="3"/>
  <c r="L234" i="3"/>
  <c r="K234" i="3"/>
  <c r="I323" i="3"/>
  <c r="J323" i="3"/>
  <c r="L323" i="3"/>
  <c r="K323" i="3"/>
  <c r="L3" i="3"/>
  <c r="J3" i="3"/>
  <c r="I3" i="3"/>
  <c r="K3" i="3"/>
  <c r="H3" i="3"/>
  <c r="G3" i="3"/>
  <c r="L34" i="3"/>
  <c r="K34" i="3"/>
  <c r="G34" i="3"/>
  <c r="I34" i="3"/>
  <c r="H34" i="3"/>
  <c r="J34" i="3"/>
  <c r="J19" i="3"/>
  <c r="I19" i="3"/>
  <c r="H19" i="3"/>
  <c r="L19" i="3"/>
  <c r="K19" i="3"/>
  <c r="G19" i="3"/>
  <c r="I81" i="3"/>
  <c r="L81" i="3"/>
  <c r="H81" i="3"/>
  <c r="K81" i="3"/>
  <c r="G81" i="3"/>
  <c r="J81" i="3"/>
  <c r="L130" i="3"/>
  <c r="G130" i="3"/>
  <c r="K130" i="3"/>
  <c r="J130" i="3"/>
  <c r="I130" i="3"/>
  <c r="H130" i="3"/>
  <c r="L218" i="3"/>
  <c r="H218" i="3"/>
  <c r="J218" i="3"/>
  <c r="K218" i="3"/>
  <c r="G218" i="3"/>
  <c r="I218" i="3"/>
  <c r="H15" i="3"/>
  <c r="K15" i="3"/>
  <c r="I15" i="3"/>
  <c r="G15" i="3"/>
  <c r="J15" i="3"/>
  <c r="L15" i="3"/>
  <c r="J31" i="3"/>
  <c r="K31" i="3"/>
  <c r="I31" i="3"/>
  <c r="L31" i="3"/>
  <c r="G31" i="3"/>
  <c r="H31" i="3"/>
  <c r="H78" i="3"/>
  <c r="L78" i="3"/>
  <c r="J78" i="3"/>
  <c r="I78" i="3"/>
  <c r="K78" i="3"/>
  <c r="G78" i="3"/>
  <c r="G128" i="3"/>
  <c r="I128" i="3"/>
  <c r="K128" i="3"/>
  <c r="H128" i="3"/>
  <c r="J128" i="3"/>
  <c r="L128" i="3"/>
  <c r="J200" i="3"/>
  <c r="K200" i="3"/>
  <c r="G200" i="3"/>
  <c r="I200" i="3"/>
  <c r="L200" i="3"/>
  <c r="H200" i="3"/>
  <c r="L50" i="3"/>
  <c r="I50" i="3"/>
  <c r="G50" i="3"/>
  <c r="K50" i="3"/>
  <c r="J50" i="3"/>
  <c r="H50" i="3"/>
  <c r="I90" i="3"/>
  <c r="L90" i="3"/>
  <c r="H90" i="3"/>
  <c r="J90" i="3"/>
  <c r="K90" i="3"/>
  <c r="G90" i="3"/>
  <c r="L108" i="3"/>
  <c r="I108" i="3"/>
  <c r="H108" i="3"/>
  <c r="K108" i="3"/>
  <c r="J108" i="3"/>
  <c r="G108" i="3"/>
  <c r="I166" i="3"/>
  <c r="J166" i="3"/>
  <c r="K166" i="3"/>
  <c r="L166" i="3"/>
  <c r="L208" i="3"/>
  <c r="K208" i="3"/>
  <c r="J237" i="3"/>
  <c r="K237" i="3"/>
  <c r="H237" i="3"/>
  <c r="I237" i="3"/>
  <c r="G237" i="3"/>
  <c r="L237" i="3"/>
  <c r="K258" i="3"/>
  <c r="J258" i="3"/>
  <c r="H258" i="3"/>
  <c r="L258" i="3"/>
  <c r="I258" i="3"/>
  <c r="G258" i="3"/>
  <c r="J295" i="3"/>
  <c r="L295" i="3"/>
  <c r="H295" i="3"/>
  <c r="K295" i="3"/>
  <c r="I295" i="3"/>
  <c r="G295" i="3"/>
  <c r="K174" i="3"/>
  <c r="L174" i="3"/>
  <c r="H188" i="3"/>
  <c r="J188" i="3"/>
  <c r="K188" i="3"/>
  <c r="G188" i="3"/>
  <c r="I188" i="3"/>
  <c r="L188" i="3"/>
  <c r="L222" i="3"/>
  <c r="K222" i="3"/>
  <c r="G222" i="3"/>
  <c r="I222" i="3"/>
  <c r="J222" i="3"/>
  <c r="H222" i="3"/>
  <c r="H250" i="3"/>
  <c r="J250" i="3"/>
  <c r="L250" i="3"/>
  <c r="G250" i="3"/>
  <c r="I250" i="3"/>
  <c r="K250" i="3"/>
  <c r="G275" i="3"/>
  <c r="L275" i="3"/>
  <c r="H275" i="3"/>
  <c r="J275" i="3"/>
  <c r="K275" i="3"/>
  <c r="I275" i="3"/>
  <c r="L294" i="3"/>
  <c r="H294" i="3"/>
  <c r="J294" i="3"/>
  <c r="K294" i="3"/>
  <c r="I294" i="3"/>
  <c r="G294" i="3"/>
  <c r="K309" i="3"/>
  <c r="J309" i="3"/>
  <c r="I309" i="3"/>
  <c r="H309" i="3"/>
  <c r="G309" i="3"/>
  <c r="L309" i="3"/>
  <c r="I69" i="3"/>
  <c r="J69" i="3"/>
  <c r="G69" i="3"/>
  <c r="H69" i="3"/>
  <c r="L69" i="3"/>
  <c r="K69" i="3"/>
  <c r="G112" i="3"/>
  <c r="L112" i="3"/>
  <c r="J112" i="3"/>
  <c r="H112" i="3"/>
  <c r="K112" i="3"/>
  <c r="I112" i="3"/>
  <c r="G122" i="3"/>
  <c r="L122" i="3"/>
  <c r="I122" i="3"/>
  <c r="K122" i="3"/>
  <c r="J122" i="3"/>
  <c r="H122" i="3"/>
  <c r="J131" i="3"/>
  <c r="G131" i="3"/>
  <c r="I131" i="3"/>
  <c r="K131" i="3"/>
  <c r="H131" i="3"/>
  <c r="L131" i="3"/>
  <c r="J139" i="3"/>
  <c r="G139" i="3"/>
  <c r="I139" i="3"/>
  <c r="K139" i="3"/>
  <c r="H139" i="3"/>
  <c r="L139" i="3"/>
  <c r="J150" i="3"/>
  <c r="K150" i="3"/>
  <c r="H150" i="3"/>
  <c r="I150" i="3"/>
  <c r="G150" i="3"/>
  <c r="L150" i="3"/>
  <c r="K36" i="3"/>
  <c r="I36" i="3"/>
  <c r="H36" i="3"/>
  <c r="L36" i="3"/>
  <c r="G36" i="3"/>
  <c r="J36" i="3"/>
  <c r="G149" i="3"/>
  <c r="K149" i="3"/>
  <c r="J149" i="3"/>
  <c r="L149" i="3"/>
  <c r="H149" i="3"/>
  <c r="I149" i="3"/>
  <c r="L46" i="3"/>
  <c r="I46" i="3"/>
  <c r="J46" i="3"/>
  <c r="G46" i="3"/>
  <c r="K46" i="3"/>
  <c r="H46" i="3"/>
  <c r="K105" i="3"/>
  <c r="I105" i="3"/>
  <c r="L105" i="3"/>
  <c r="H105" i="3"/>
  <c r="J105" i="3"/>
  <c r="G105" i="3"/>
  <c r="H157" i="3"/>
  <c r="K157" i="3"/>
  <c r="I157" i="3"/>
  <c r="G157" i="3"/>
  <c r="L157" i="3"/>
  <c r="J157" i="3"/>
  <c r="L248" i="3"/>
  <c r="G248" i="3"/>
  <c r="I248" i="3"/>
  <c r="K248" i="3"/>
  <c r="J248" i="3"/>
  <c r="H248" i="3"/>
  <c r="L4" i="3"/>
  <c r="J4" i="3"/>
  <c r="I4" i="3"/>
  <c r="K4" i="3"/>
  <c r="G4" i="3"/>
  <c r="H4" i="3"/>
  <c r="J134" i="3"/>
  <c r="I134" i="3"/>
  <c r="K134" i="3"/>
  <c r="H134" i="3"/>
  <c r="L134" i="3"/>
  <c r="G134" i="3"/>
  <c r="L8" i="3"/>
  <c r="J8" i="3"/>
  <c r="I8" i="3"/>
  <c r="K8" i="3"/>
  <c r="G8" i="3"/>
  <c r="H8" i="3"/>
  <c r="J28" i="3"/>
  <c r="I28" i="3"/>
  <c r="L28" i="3"/>
  <c r="H28" i="3"/>
  <c r="K28" i="3"/>
  <c r="G28" i="3"/>
  <c r="L5" i="3"/>
  <c r="J5" i="3"/>
  <c r="K5" i="3"/>
  <c r="H5" i="3"/>
  <c r="G5" i="3"/>
  <c r="I5" i="3"/>
  <c r="J29" i="3"/>
  <c r="L29" i="3"/>
  <c r="H29" i="3"/>
  <c r="I29" i="3"/>
  <c r="K29" i="3"/>
  <c r="G29" i="3"/>
  <c r="I67" i="3"/>
  <c r="J67" i="3"/>
  <c r="K67" i="3"/>
  <c r="L67" i="3"/>
  <c r="G67" i="3"/>
  <c r="H67" i="3"/>
  <c r="I83" i="3"/>
  <c r="J83" i="3"/>
  <c r="G83" i="3"/>
  <c r="L83" i="3"/>
  <c r="H83" i="3"/>
  <c r="K83" i="3"/>
  <c r="J120" i="3"/>
  <c r="H120" i="3"/>
  <c r="L120" i="3"/>
  <c r="G120" i="3"/>
  <c r="K120" i="3"/>
  <c r="I120" i="3"/>
  <c r="J138" i="3"/>
  <c r="I138" i="3"/>
  <c r="K138" i="3"/>
  <c r="H138" i="3"/>
  <c r="L138" i="3"/>
  <c r="G138" i="3"/>
  <c r="J180" i="3"/>
  <c r="K180" i="3"/>
  <c r="L180" i="3"/>
  <c r="I180" i="3"/>
  <c r="J45" i="3"/>
  <c r="K45" i="3"/>
  <c r="G45" i="3"/>
  <c r="L45" i="3"/>
  <c r="I45" i="3"/>
  <c r="H45" i="3"/>
  <c r="H106" i="3"/>
  <c r="I106" i="3"/>
  <c r="J106" i="3"/>
  <c r="K106" i="3"/>
  <c r="L106" i="3"/>
  <c r="G106" i="3"/>
  <c r="J151" i="3"/>
  <c r="L151" i="3"/>
  <c r="H151" i="3"/>
  <c r="K151" i="3"/>
  <c r="I151" i="3"/>
  <c r="G151" i="3"/>
  <c r="I319" i="3"/>
  <c r="G319" i="3"/>
  <c r="L319" i="3"/>
  <c r="H319" i="3"/>
  <c r="J319" i="3"/>
  <c r="K319" i="3"/>
  <c r="J47" i="3"/>
  <c r="H47" i="3"/>
  <c r="I47" i="3"/>
  <c r="L47" i="3"/>
  <c r="G47" i="3"/>
  <c r="K47" i="3"/>
  <c r="J75" i="3"/>
  <c r="I75" i="3"/>
  <c r="K75" i="3"/>
  <c r="L75" i="3"/>
  <c r="I110" i="3"/>
  <c r="J110" i="3"/>
  <c r="K110" i="3"/>
  <c r="L110" i="3"/>
  <c r="G141" i="3"/>
  <c r="K141" i="3"/>
  <c r="I141" i="3"/>
  <c r="L141" i="3"/>
  <c r="H141" i="3"/>
  <c r="J141" i="3"/>
  <c r="K159" i="3"/>
  <c r="I159" i="3"/>
  <c r="J159" i="3"/>
  <c r="L159" i="3"/>
  <c r="J215" i="3"/>
  <c r="H215" i="3"/>
  <c r="I215" i="3"/>
  <c r="K215" i="3"/>
  <c r="L215" i="3"/>
  <c r="G215" i="3"/>
  <c r="I255" i="3"/>
  <c r="K255" i="3"/>
  <c r="H255" i="3"/>
  <c r="L255" i="3"/>
  <c r="J255" i="3"/>
  <c r="G255" i="3"/>
  <c r="I310" i="3"/>
  <c r="L310" i="3"/>
  <c r="J310" i="3"/>
  <c r="K310" i="3"/>
  <c r="J6" i="3"/>
  <c r="L6" i="3"/>
  <c r="G6" i="3"/>
  <c r="H6" i="3"/>
  <c r="I6" i="3"/>
  <c r="K6" i="3"/>
  <c r="I63" i="3"/>
  <c r="J63" i="3"/>
  <c r="H63" i="3"/>
  <c r="K63" i="3"/>
  <c r="G63" i="3"/>
  <c r="L63" i="3"/>
  <c r="J194" i="3"/>
  <c r="L194" i="3"/>
  <c r="K194" i="3"/>
  <c r="G194" i="3"/>
  <c r="H194" i="3"/>
  <c r="I194" i="3"/>
  <c r="K273" i="3"/>
  <c r="G273" i="3"/>
  <c r="J273" i="3"/>
  <c r="H273" i="3"/>
  <c r="I273" i="3"/>
  <c r="L273" i="3"/>
  <c r="L9" i="3"/>
  <c r="J9" i="3"/>
  <c r="K9" i="3"/>
  <c r="H9" i="3"/>
  <c r="G9" i="3"/>
  <c r="I9" i="3"/>
  <c r="L30" i="3"/>
  <c r="H30" i="3"/>
  <c r="K30" i="3"/>
  <c r="J30" i="3"/>
  <c r="G30" i="3"/>
  <c r="I30" i="3"/>
  <c r="L42" i="3"/>
  <c r="H42" i="3"/>
  <c r="I42" i="3"/>
  <c r="K42" i="3"/>
  <c r="G42" i="3"/>
  <c r="J42" i="3"/>
  <c r="J7" i="3"/>
  <c r="L7" i="3"/>
  <c r="I7" i="3"/>
  <c r="K7" i="3"/>
  <c r="H7" i="3"/>
  <c r="G7" i="3"/>
  <c r="L32" i="3"/>
  <c r="H32" i="3"/>
  <c r="J32" i="3"/>
  <c r="I32" i="3"/>
  <c r="G32" i="3"/>
  <c r="K32" i="3"/>
  <c r="I68" i="3"/>
  <c r="L68" i="3"/>
  <c r="H68" i="3"/>
  <c r="J68" i="3"/>
  <c r="G68" i="3"/>
  <c r="K68" i="3"/>
  <c r="H84" i="3"/>
  <c r="L84" i="3"/>
  <c r="J84" i="3"/>
  <c r="I84" i="3"/>
  <c r="G84" i="3"/>
  <c r="K84" i="3"/>
  <c r="J121" i="3"/>
  <c r="G121" i="3"/>
  <c r="K121" i="3"/>
  <c r="L121" i="3"/>
  <c r="I121" i="3"/>
  <c r="H121" i="3"/>
  <c r="J144" i="3"/>
  <c r="G144" i="3"/>
  <c r="K144" i="3"/>
  <c r="I144" i="3"/>
  <c r="L144" i="3"/>
  <c r="H144" i="3"/>
  <c r="I202" i="3"/>
  <c r="J202" i="3"/>
  <c r="K202" i="3"/>
  <c r="H202" i="3"/>
  <c r="G202" i="3"/>
  <c r="L202" i="3"/>
  <c r="K251" i="3"/>
  <c r="J251" i="3"/>
  <c r="G251" i="3"/>
  <c r="L251" i="3"/>
  <c r="I251" i="3"/>
  <c r="H251" i="3"/>
  <c r="I315" i="3"/>
  <c r="J315" i="3"/>
  <c r="K315" i="3"/>
  <c r="L315" i="3"/>
  <c r="J21" i="3"/>
  <c r="K21" i="3"/>
  <c r="I21" i="3"/>
  <c r="L21" i="3"/>
  <c r="G21" i="3"/>
  <c r="H21" i="3"/>
  <c r="K26" i="3"/>
  <c r="J26" i="3"/>
  <c r="L26" i="3"/>
  <c r="H26" i="3"/>
  <c r="I26" i="3"/>
  <c r="G26" i="3"/>
  <c r="L40" i="3"/>
  <c r="J40" i="3"/>
  <c r="I40" i="3"/>
  <c r="K40" i="3"/>
  <c r="I55" i="3"/>
  <c r="J55" i="3"/>
  <c r="G55" i="3"/>
  <c r="H55" i="3"/>
  <c r="K55" i="3"/>
  <c r="L55" i="3"/>
  <c r="I87" i="3"/>
  <c r="J87" i="3"/>
  <c r="K87" i="3"/>
  <c r="L87" i="3"/>
  <c r="I113" i="3"/>
  <c r="G113" i="3"/>
  <c r="L113" i="3"/>
  <c r="J113" i="3"/>
  <c r="K113" i="3"/>
  <c r="H113" i="3"/>
  <c r="H142" i="3"/>
  <c r="K142" i="3"/>
  <c r="J142" i="3"/>
  <c r="L142" i="3"/>
  <c r="I142" i="3"/>
  <c r="G142" i="3"/>
  <c r="I170" i="3"/>
  <c r="K170" i="3"/>
  <c r="J170" i="3"/>
  <c r="L170" i="3"/>
  <c r="J262" i="3"/>
  <c r="L262" i="3"/>
  <c r="H262" i="3"/>
  <c r="G262" i="3"/>
  <c r="I262" i="3"/>
  <c r="K262" i="3"/>
  <c r="H37" i="3"/>
  <c r="G37" i="3"/>
  <c r="J37" i="3"/>
  <c r="K37" i="3"/>
  <c r="I37" i="3"/>
  <c r="L37" i="3"/>
  <c r="L58" i="3"/>
  <c r="J58" i="3"/>
  <c r="I58" i="3"/>
  <c r="H58" i="3"/>
  <c r="K58" i="3"/>
  <c r="G58" i="3"/>
  <c r="L82" i="3"/>
  <c r="J82" i="3"/>
  <c r="I82" i="3"/>
  <c r="K82" i="3"/>
  <c r="I94" i="3"/>
  <c r="L94" i="3"/>
  <c r="H94" i="3"/>
  <c r="J94" i="3"/>
  <c r="G94" i="3"/>
  <c r="K94" i="3"/>
  <c r="L102" i="3"/>
  <c r="J102" i="3"/>
  <c r="H102" i="3"/>
  <c r="I102" i="3"/>
  <c r="K102" i="3"/>
  <c r="G102" i="3"/>
  <c r="I140" i="3"/>
  <c r="H140" i="3"/>
  <c r="K140" i="3"/>
  <c r="L140" i="3"/>
  <c r="J140" i="3"/>
  <c r="G140" i="3"/>
  <c r="I162" i="3"/>
  <c r="G162" i="3"/>
  <c r="K162" i="3"/>
  <c r="J162" i="3"/>
  <c r="H162" i="3"/>
  <c r="L162" i="3"/>
  <c r="I169" i="3"/>
  <c r="G169" i="3"/>
  <c r="J169" i="3"/>
  <c r="K169" i="3"/>
  <c r="H169" i="3"/>
  <c r="L169" i="3"/>
  <c r="L187" i="3"/>
  <c r="K187" i="3"/>
  <c r="I187" i="3"/>
  <c r="J187" i="3"/>
  <c r="H205" i="3"/>
  <c r="J205" i="3"/>
  <c r="K205" i="3"/>
  <c r="G205" i="3"/>
  <c r="I205" i="3"/>
  <c r="L205" i="3"/>
  <c r="L221" i="3"/>
  <c r="K221" i="3"/>
  <c r="I221" i="3"/>
  <c r="J221" i="3"/>
  <c r="I232" i="3"/>
  <c r="L232" i="3"/>
  <c r="K232" i="3"/>
  <c r="H232" i="3"/>
  <c r="G232" i="3"/>
  <c r="J232" i="3"/>
  <c r="J241" i="3"/>
  <c r="K241" i="3"/>
  <c r="I241" i="3"/>
  <c r="L241" i="3"/>
  <c r="G252" i="3"/>
  <c r="K252" i="3"/>
  <c r="H252" i="3"/>
  <c r="J252" i="3"/>
  <c r="I252" i="3"/>
  <c r="L252" i="3"/>
  <c r="I263" i="3"/>
  <c r="K263" i="3"/>
  <c r="J263" i="3"/>
  <c r="G263" i="3"/>
  <c r="L263" i="3"/>
  <c r="H263" i="3"/>
  <c r="J286" i="3"/>
  <c r="I286" i="3"/>
  <c r="G286" i="3"/>
  <c r="L286" i="3"/>
  <c r="H286" i="3"/>
  <c r="K286" i="3"/>
  <c r="I308" i="3"/>
  <c r="J308" i="3"/>
  <c r="L308" i="3"/>
  <c r="H308" i="3"/>
  <c r="K308" i="3"/>
  <c r="G308" i="3"/>
  <c r="I177" i="3"/>
  <c r="J177" i="3"/>
  <c r="K177" i="3"/>
  <c r="L177" i="3"/>
  <c r="H184" i="3"/>
  <c r="I184" i="3"/>
  <c r="J184" i="3"/>
  <c r="K184" i="3"/>
  <c r="L184" i="3"/>
  <c r="G184" i="3"/>
  <c r="L191" i="3"/>
  <c r="K191" i="3"/>
  <c r="G191" i="3"/>
  <c r="I191" i="3"/>
  <c r="H191" i="3"/>
  <c r="J191" i="3"/>
  <c r="L212" i="3"/>
  <c r="H212" i="3"/>
  <c r="I212" i="3"/>
  <c r="J212" i="3"/>
  <c r="K212" i="3"/>
  <c r="G212" i="3"/>
  <c r="J233" i="3"/>
  <c r="I233" i="3"/>
  <c r="L233" i="3"/>
  <c r="K233" i="3"/>
  <c r="H233" i="3"/>
  <c r="G233" i="3"/>
  <c r="G242" i="3"/>
  <c r="I242" i="3"/>
  <c r="K242" i="3"/>
  <c r="J242" i="3"/>
  <c r="L242" i="3"/>
  <c r="H242" i="3"/>
  <c r="L261" i="3"/>
  <c r="K261" i="3"/>
  <c r="H261" i="3"/>
  <c r="G261" i="3"/>
  <c r="I261" i="3"/>
  <c r="J261" i="3"/>
  <c r="K269" i="3"/>
  <c r="J269" i="3"/>
  <c r="G269" i="3"/>
  <c r="L269" i="3"/>
  <c r="I269" i="3"/>
  <c r="H269" i="3"/>
  <c r="J279" i="3"/>
  <c r="G279" i="3"/>
  <c r="I279" i="3"/>
  <c r="L279" i="3"/>
  <c r="H279" i="3"/>
  <c r="K279" i="3"/>
  <c r="G302" i="3"/>
  <c r="K302" i="3"/>
  <c r="L302" i="3"/>
  <c r="I302" i="3"/>
  <c r="J302" i="3"/>
  <c r="H302" i="3"/>
  <c r="I322" i="3"/>
  <c r="K322" i="3"/>
  <c r="G322" i="3"/>
  <c r="H322" i="3"/>
  <c r="J322" i="3"/>
  <c r="L322" i="3"/>
  <c r="I71" i="3"/>
  <c r="J71" i="3"/>
  <c r="H71" i="3"/>
  <c r="K71" i="3"/>
  <c r="G71" i="3"/>
  <c r="L71" i="3"/>
  <c r="I86" i="3"/>
  <c r="J86" i="3"/>
  <c r="L86" i="3"/>
  <c r="K86" i="3"/>
  <c r="J117" i="3"/>
  <c r="K117" i="3"/>
  <c r="H117" i="3"/>
  <c r="G117" i="3"/>
  <c r="I117" i="3"/>
  <c r="L117" i="3"/>
  <c r="J127" i="3"/>
  <c r="I127" i="3"/>
  <c r="K127" i="3"/>
  <c r="H127" i="3"/>
  <c r="L127" i="3"/>
  <c r="G127" i="3"/>
  <c r="J135" i="3"/>
  <c r="G135" i="3"/>
  <c r="I135" i="3"/>
  <c r="K135" i="3"/>
  <c r="H135" i="3"/>
  <c r="L135" i="3"/>
  <c r="J145" i="3"/>
  <c r="K145" i="3"/>
  <c r="I145" i="3"/>
  <c r="L145" i="3"/>
  <c r="I181" i="3"/>
  <c r="J181" i="3"/>
  <c r="H181" i="3"/>
  <c r="K181" i="3"/>
  <c r="G181" i="3"/>
  <c r="L181" i="3"/>
  <c r="J201" i="3"/>
  <c r="K201" i="3"/>
  <c r="I201" i="3"/>
  <c r="L201" i="3"/>
  <c r="L219" i="3"/>
  <c r="G219" i="3"/>
  <c r="I219" i="3"/>
  <c r="K219" i="3"/>
  <c r="H219" i="3"/>
  <c r="J219" i="3"/>
  <c r="I244" i="3"/>
  <c r="J244" i="3"/>
  <c r="K244" i="3"/>
  <c r="G244" i="3"/>
  <c r="H244" i="3"/>
  <c r="L244" i="3"/>
  <c r="K271" i="3"/>
  <c r="G271" i="3"/>
  <c r="I271" i="3"/>
  <c r="J271" i="3"/>
  <c r="L271" i="3"/>
  <c r="H271" i="3"/>
  <c r="J284" i="3"/>
  <c r="L284" i="3"/>
  <c r="H284" i="3"/>
  <c r="K284" i="3"/>
  <c r="I284" i="3"/>
  <c r="G284" i="3"/>
  <c r="J293" i="3"/>
  <c r="H293" i="3"/>
  <c r="K293" i="3"/>
  <c r="I293" i="3"/>
  <c r="G293" i="3"/>
  <c r="L293" i="3"/>
  <c r="I306" i="3"/>
  <c r="J306" i="3"/>
  <c r="K306" i="3"/>
  <c r="L306" i="3"/>
  <c r="I318" i="3"/>
  <c r="H318" i="3"/>
  <c r="K318" i="3"/>
  <c r="G318" i="3"/>
  <c r="J318" i="3"/>
  <c r="L318" i="3"/>
  <c r="I168" i="3"/>
  <c r="G168" i="3"/>
  <c r="J168" i="3"/>
  <c r="K168" i="3"/>
  <c r="L168" i="3"/>
  <c r="H168" i="3"/>
  <c r="J57" i="3"/>
  <c r="H57" i="3"/>
  <c r="L57" i="3"/>
  <c r="K57" i="3"/>
  <c r="I57" i="3"/>
  <c r="G57" i="3"/>
  <c r="K124" i="3"/>
  <c r="L124" i="3"/>
  <c r="H186" i="3"/>
  <c r="G186" i="3"/>
  <c r="J186" i="3"/>
  <c r="I186" i="3"/>
  <c r="K186" i="3"/>
  <c r="L186" i="3"/>
  <c r="G280" i="3"/>
  <c r="J280" i="3"/>
  <c r="K280" i="3"/>
  <c r="I280" i="3"/>
  <c r="L280" i="3"/>
  <c r="H280" i="3"/>
  <c r="K51" i="3"/>
  <c r="H51" i="3"/>
  <c r="I51" i="3"/>
  <c r="L51" i="3"/>
  <c r="G51" i="3"/>
  <c r="J51" i="3"/>
  <c r="J230" i="3"/>
  <c r="L230" i="3"/>
  <c r="K230" i="3"/>
  <c r="H230" i="3"/>
  <c r="G230" i="3"/>
  <c r="I230" i="3"/>
  <c r="K14" i="3"/>
  <c r="I14" i="3"/>
  <c r="G14" i="3"/>
  <c r="J14" i="3"/>
  <c r="L14" i="3"/>
  <c r="H14" i="3"/>
  <c r="L2" i="3"/>
  <c r="J2" i="3"/>
  <c r="G2" i="3"/>
  <c r="H2" i="3"/>
  <c r="I2" i="3"/>
  <c r="K2" i="3"/>
  <c r="I66" i="3"/>
  <c r="L66" i="3"/>
  <c r="H66" i="3"/>
  <c r="J66" i="3"/>
  <c r="K66" i="3"/>
  <c r="G66" i="3"/>
  <c r="H109" i="3"/>
  <c r="G109" i="3"/>
  <c r="K109" i="3"/>
  <c r="L109" i="3"/>
  <c r="J109" i="3"/>
  <c r="I109" i="3"/>
  <c r="I165" i="3"/>
  <c r="K165" i="3"/>
  <c r="G165" i="3"/>
  <c r="J165" i="3"/>
  <c r="L165" i="3"/>
  <c r="H165" i="3"/>
  <c r="K300" i="3"/>
  <c r="L300" i="3"/>
  <c r="G300" i="3"/>
  <c r="H300" i="3"/>
  <c r="I300" i="3"/>
  <c r="J300" i="3"/>
  <c r="J23" i="3"/>
  <c r="H23" i="3"/>
  <c r="I23" i="3"/>
  <c r="K23" i="3"/>
  <c r="L23" i="3"/>
  <c r="G23" i="3"/>
  <c r="J52" i="3"/>
  <c r="I52" i="3"/>
  <c r="G52" i="3"/>
  <c r="H52" i="3"/>
  <c r="L52" i="3"/>
  <c r="K52" i="3"/>
  <c r="I89" i="3"/>
  <c r="J89" i="3"/>
  <c r="K89" i="3"/>
  <c r="L89" i="3"/>
  <c r="J154" i="3"/>
  <c r="K154" i="3"/>
  <c r="I154" i="3"/>
  <c r="G154" i="3"/>
  <c r="L154" i="3"/>
  <c r="H154" i="3"/>
  <c r="I313" i="3"/>
  <c r="G313" i="3"/>
  <c r="H313" i="3"/>
  <c r="J313" i="3"/>
  <c r="L313" i="3"/>
  <c r="K313" i="3"/>
  <c r="L72" i="3"/>
  <c r="I72" i="3"/>
  <c r="J72" i="3"/>
  <c r="H72" i="3"/>
  <c r="K72" i="3"/>
  <c r="G72" i="3"/>
  <c r="L99" i="3"/>
  <c r="H99" i="3"/>
  <c r="K99" i="3"/>
  <c r="J99" i="3"/>
  <c r="G99" i="3"/>
  <c r="I99" i="3"/>
  <c r="J158" i="3"/>
  <c r="I158" i="3"/>
  <c r="G158" i="3"/>
  <c r="L158" i="3"/>
  <c r="H158" i="3"/>
  <c r="K158" i="3"/>
  <c r="I173" i="3"/>
  <c r="J173" i="3"/>
  <c r="K173" i="3"/>
  <c r="L173" i="3"/>
  <c r="H196" i="3"/>
  <c r="L196" i="3"/>
  <c r="J196" i="3"/>
  <c r="K196" i="3"/>
  <c r="I196" i="3"/>
  <c r="G196" i="3"/>
  <c r="J224" i="3"/>
  <c r="G224" i="3"/>
  <c r="I224" i="3"/>
  <c r="L224" i="3"/>
  <c r="K224" i="3"/>
  <c r="H224" i="3"/>
  <c r="L246" i="3"/>
  <c r="I246" i="3"/>
  <c r="J246" i="3"/>
  <c r="H246" i="3"/>
  <c r="G246" i="3"/>
  <c r="K246" i="3"/>
  <c r="I270" i="3"/>
  <c r="K270" i="3"/>
  <c r="L270" i="3"/>
  <c r="J270" i="3"/>
  <c r="G270" i="3"/>
  <c r="H270" i="3"/>
  <c r="I179" i="3"/>
  <c r="H179" i="3"/>
  <c r="J179" i="3"/>
  <c r="G179" i="3"/>
  <c r="K179" i="3"/>
  <c r="L179" i="3"/>
  <c r="L206" i="3"/>
  <c r="I206" i="3"/>
  <c r="K206" i="3"/>
  <c r="J206" i="3"/>
  <c r="K238" i="3"/>
  <c r="H238" i="3"/>
  <c r="I238" i="3"/>
  <c r="G238" i="3"/>
  <c r="J238" i="3"/>
  <c r="L238" i="3"/>
  <c r="I265" i="3"/>
  <c r="J265" i="3"/>
  <c r="G265" i="3"/>
  <c r="L265" i="3"/>
  <c r="H265" i="3"/>
  <c r="K265" i="3"/>
  <c r="I77" i="3"/>
  <c r="J77" i="3"/>
  <c r="H77" i="3"/>
  <c r="K77" i="3"/>
  <c r="L77" i="3"/>
  <c r="G77" i="3"/>
  <c r="J101" i="3"/>
  <c r="L101" i="3"/>
  <c r="K101" i="3"/>
  <c r="I101" i="3"/>
  <c r="J292" i="3"/>
  <c r="K292" i="3"/>
  <c r="I292" i="3"/>
  <c r="L292" i="3"/>
  <c r="I61" i="3"/>
  <c r="J61" i="3"/>
  <c r="K61" i="3"/>
  <c r="L61" i="3"/>
  <c r="L132" i="3"/>
  <c r="G132" i="3"/>
  <c r="I132" i="3"/>
  <c r="K132" i="3"/>
  <c r="H132" i="3"/>
  <c r="J132" i="3"/>
  <c r="J192" i="3"/>
  <c r="K192" i="3"/>
  <c r="H192" i="3"/>
  <c r="L192" i="3"/>
  <c r="G192" i="3"/>
  <c r="I192" i="3"/>
  <c r="I285" i="3"/>
  <c r="G285" i="3"/>
  <c r="L285" i="3"/>
  <c r="H285" i="3"/>
  <c r="K285" i="3"/>
  <c r="J285" i="3"/>
  <c r="I62" i="3"/>
  <c r="J62" i="3"/>
  <c r="L62" i="3"/>
  <c r="H62" i="3"/>
  <c r="K62" i="3"/>
  <c r="G62" i="3"/>
  <c r="K257" i="3"/>
  <c r="L257" i="3"/>
  <c r="I257" i="3"/>
  <c r="G257" i="3"/>
  <c r="J257" i="3"/>
  <c r="H257" i="3"/>
  <c r="L41" i="3"/>
  <c r="J41" i="3"/>
  <c r="I41" i="3"/>
  <c r="K41" i="3"/>
  <c r="L18" i="3"/>
  <c r="I18" i="3"/>
  <c r="J18" i="3"/>
  <c r="H18" i="3"/>
  <c r="G18" i="3"/>
  <c r="K18" i="3"/>
  <c r="G49" i="3"/>
  <c r="L49" i="3"/>
  <c r="K49" i="3"/>
  <c r="I49" i="3"/>
  <c r="J49" i="3"/>
  <c r="H49" i="3"/>
  <c r="I116" i="3"/>
  <c r="J116" i="3"/>
  <c r="K116" i="3"/>
  <c r="H116" i="3"/>
  <c r="L116" i="3"/>
  <c r="G116" i="3"/>
  <c r="I161" i="3"/>
  <c r="G161" i="3"/>
  <c r="J161" i="3"/>
  <c r="K161" i="3"/>
  <c r="L161" i="3"/>
  <c r="H161" i="3"/>
  <c r="J25" i="3"/>
  <c r="I25" i="3"/>
  <c r="G25" i="3"/>
  <c r="H25" i="3"/>
  <c r="L25" i="3"/>
  <c r="K25" i="3"/>
  <c r="L48" i="3"/>
  <c r="H48" i="3"/>
  <c r="I48" i="3"/>
  <c r="K48" i="3"/>
  <c r="G48" i="3"/>
  <c r="J48" i="3"/>
  <c r="J95" i="3"/>
  <c r="L95" i="3"/>
  <c r="H95" i="3"/>
  <c r="G95" i="3"/>
  <c r="I95" i="3"/>
  <c r="K95" i="3"/>
  <c r="H114" i="3"/>
  <c r="G114" i="3"/>
  <c r="I114" i="3"/>
  <c r="J114" i="3"/>
  <c r="L114" i="3"/>
  <c r="K114" i="3"/>
  <c r="K146" i="3"/>
  <c r="L146" i="3"/>
  <c r="G146" i="3"/>
  <c r="H146" i="3"/>
  <c r="J146" i="3"/>
  <c r="I146" i="3"/>
  <c r="I176" i="3"/>
  <c r="G176" i="3"/>
  <c r="H176" i="3"/>
  <c r="K176" i="3"/>
  <c r="L176" i="3"/>
  <c r="J176" i="3"/>
  <c r="J220" i="3"/>
  <c r="H220" i="3"/>
  <c r="K220" i="3"/>
  <c r="G220" i="3"/>
  <c r="L220" i="3"/>
  <c r="I220" i="3"/>
  <c r="J276" i="3"/>
  <c r="G276" i="3"/>
  <c r="I276" i="3"/>
  <c r="L276" i="3"/>
  <c r="K276" i="3"/>
  <c r="H276" i="3"/>
  <c r="I317" i="3"/>
  <c r="J317" i="3"/>
  <c r="H317" i="3"/>
  <c r="K317" i="3"/>
  <c r="L317" i="3"/>
  <c r="G317" i="3"/>
  <c r="L11" i="3"/>
  <c r="J11" i="3"/>
  <c r="I11" i="3"/>
  <c r="K11" i="3"/>
  <c r="H11" i="3"/>
  <c r="G11" i="3"/>
  <c r="I64" i="3"/>
  <c r="H64" i="3"/>
  <c r="L64" i="3"/>
  <c r="J64" i="3"/>
  <c r="K64" i="3"/>
  <c r="G64" i="3"/>
  <c r="L204" i="3"/>
  <c r="J204" i="3"/>
  <c r="K204" i="3"/>
  <c r="G204" i="3"/>
  <c r="I204" i="3"/>
  <c r="H204" i="3"/>
  <c r="I297" i="3"/>
  <c r="K297" i="3"/>
  <c r="J297" i="3"/>
  <c r="L297" i="3"/>
  <c r="J10" i="3"/>
  <c r="L10" i="3"/>
  <c r="G10" i="3"/>
  <c r="H10" i="3"/>
  <c r="I10" i="3"/>
  <c r="K10" i="3"/>
  <c r="I33" i="3"/>
  <c r="L33" i="3"/>
  <c r="J33" i="3"/>
  <c r="H33" i="3"/>
  <c r="K33" i="3"/>
  <c r="G33" i="3"/>
  <c r="L44" i="3"/>
  <c r="I44" i="3"/>
  <c r="K44" i="3"/>
  <c r="H44" i="3"/>
  <c r="G44" i="3"/>
  <c r="J44" i="3"/>
  <c r="I13" i="3"/>
  <c r="G13" i="3"/>
  <c r="J13" i="3"/>
  <c r="L13" i="3"/>
  <c r="H13" i="3"/>
  <c r="K13" i="3"/>
  <c r="J59" i="3"/>
  <c r="K59" i="3"/>
  <c r="I59" i="3"/>
  <c r="G59" i="3"/>
  <c r="H59" i="3"/>
  <c r="L59" i="3"/>
  <c r="I74" i="3"/>
  <c r="L74" i="3"/>
  <c r="H74" i="3"/>
  <c r="J74" i="3"/>
  <c r="K74" i="3"/>
  <c r="G74" i="3"/>
  <c r="I93" i="3"/>
  <c r="J93" i="3"/>
  <c r="G93" i="3"/>
  <c r="L93" i="3"/>
  <c r="H93" i="3"/>
  <c r="K93" i="3"/>
  <c r="I123" i="3"/>
  <c r="L123" i="3"/>
  <c r="J123" i="3"/>
  <c r="K123" i="3"/>
  <c r="J155" i="3"/>
  <c r="H155" i="3"/>
  <c r="K155" i="3"/>
  <c r="I155" i="3"/>
  <c r="G155" i="3"/>
  <c r="L155" i="3"/>
  <c r="L213" i="3"/>
  <c r="K213" i="3"/>
  <c r="I213" i="3"/>
  <c r="J213" i="3"/>
  <c r="J289" i="3"/>
  <c r="K289" i="3"/>
  <c r="I289" i="3"/>
  <c r="G289" i="3"/>
  <c r="L289" i="3"/>
  <c r="H289" i="3"/>
  <c r="I12" i="3"/>
  <c r="G12" i="3"/>
  <c r="L12" i="3"/>
  <c r="H12" i="3"/>
  <c r="K12" i="3"/>
  <c r="J12" i="3"/>
  <c r="K22" i="3"/>
  <c r="L22" i="3"/>
  <c r="H22" i="3"/>
  <c r="J22" i="3"/>
  <c r="I22" i="3"/>
  <c r="G22" i="3"/>
  <c r="J27" i="3"/>
  <c r="H27" i="3"/>
  <c r="K27" i="3"/>
  <c r="G27" i="3"/>
  <c r="I27" i="3"/>
  <c r="L27" i="3"/>
  <c r="J43" i="3"/>
  <c r="H43" i="3"/>
  <c r="I43" i="3"/>
  <c r="K43" i="3"/>
  <c r="L43" i="3"/>
  <c r="G43" i="3"/>
  <c r="J56" i="3"/>
  <c r="K56" i="3"/>
  <c r="L56" i="3"/>
  <c r="H56" i="3"/>
  <c r="G56" i="3"/>
  <c r="I56" i="3"/>
  <c r="J88" i="3"/>
  <c r="L88" i="3"/>
  <c r="I88" i="3"/>
  <c r="H88" i="3"/>
  <c r="G88" i="3"/>
  <c r="K88" i="3"/>
  <c r="J118" i="3"/>
  <c r="H118" i="3"/>
  <c r="G118" i="3"/>
  <c r="I118" i="3"/>
  <c r="L118" i="3"/>
  <c r="K118" i="3"/>
  <c r="K152" i="3"/>
  <c r="J152" i="3"/>
  <c r="I152" i="3"/>
  <c r="L152" i="3"/>
  <c r="L189" i="3"/>
  <c r="K189" i="3"/>
  <c r="G189" i="3"/>
  <c r="I189" i="3"/>
  <c r="H189" i="3"/>
  <c r="J189" i="3"/>
  <c r="L303" i="3"/>
  <c r="I303" i="3"/>
  <c r="J303" i="3"/>
  <c r="K303" i="3"/>
  <c r="H39" i="3"/>
  <c r="L39" i="3"/>
  <c r="K39" i="3"/>
  <c r="G39" i="3"/>
  <c r="J39" i="3"/>
  <c r="I39" i="3"/>
  <c r="J60" i="3"/>
  <c r="H60" i="3"/>
  <c r="L60" i="3"/>
  <c r="I60" i="3"/>
  <c r="K60" i="3"/>
  <c r="G60" i="3"/>
  <c r="I85" i="3"/>
  <c r="J85" i="3"/>
  <c r="K85" i="3"/>
  <c r="H85" i="3"/>
  <c r="G85" i="3"/>
  <c r="L85" i="3"/>
  <c r="L96" i="3"/>
  <c r="H96" i="3"/>
  <c r="J96" i="3"/>
  <c r="K96" i="3"/>
  <c r="G96" i="3"/>
  <c r="I96" i="3"/>
  <c r="L107" i="3"/>
  <c r="J107" i="3"/>
  <c r="H107" i="3"/>
  <c r="K107" i="3"/>
  <c r="I107" i="3"/>
  <c r="G107" i="3"/>
  <c r="K156" i="3"/>
  <c r="I156" i="3"/>
  <c r="G156" i="3"/>
  <c r="L156" i="3"/>
  <c r="H156" i="3"/>
  <c r="J156" i="3"/>
  <c r="G164" i="3"/>
  <c r="J164" i="3"/>
  <c r="I164" i="3"/>
  <c r="H164" i="3"/>
  <c r="L164" i="3"/>
  <c r="K164" i="3"/>
  <c r="K171" i="3"/>
  <c r="I171" i="3"/>
  <c r="J171" i="3"/>
  <c r="L171" i="3"/>
  <c r="L195" i="3"/>
  <c r="I195" i="3"/>
  <c r="K195" i="3"/>
  <c r="G195" i="3"/>
  <c r="H195" i="3"/>
  <c r="J195" i="3"/>
  <c r="H207" i="3"/>
  <c r="L207" i="3"/>
  <c r="J207" i="3"/>
  <c r="G207" i="3"/>
  <c r="I207" i="3"/>
  <c r="K207" i="3"/>
  <c r="K223" i="3"/>
  <c r="H223" i="3"/>
  <c r="G223" i="3"/>
  <c r="I223" i="3"/>
  <c r="L223" i="3"/>
  <c r="J223" i="3"/>
  <c r="K235" i="3"/>
  <c r="I235" i="3"/>
  <c r="H235" i="3"/>
  <c r="G235" i="3"/>
  <c r="J235" i="3"/>
  <c r="L235" i="3"/>
  <c r="K243" i="3"/>
  <c r="L243" i="3"/>
  <c r="I243" i="3"/>
  <c r="J243" i="3"/>
  <c r="K253" i="3"/>
  <c r="I253" i="3"/>
  <c r="H253" i="3"/>
  <c r="J253" i="3"/>
  <c r="L253" i="3"/>
  <c r="G253" i="3"/>
  <c r="I267" i="3"/>
  <c r="K267" i="3"/>
  <c r="H267" i="3"/>
  <c r="J267" i="3"/>
  <c r="G267" i="3"/>
  <c r="L267" i="3"/>
  <c r="J290" i="3"/>
  <c r="K290" i="3"/>
  <c r="I290" i="3"/>
  <c r="L290" i="3"/>
  <c r="I172" i="3"/>
  <c r="K172" i="3"/>
  <c r="J172" i="3"/>
  <c r="L172" i="3"/>
  <c r="J178" i="3"/>
  <c r="K178" i="3"/>
  <c r="L178" i="3"/>
  <c r="I178" i="3"/>
  <c r="J185" i="3"/>
  <c r="L185" i="3"/>
  <c r="H185" i="3"/>
  <c r="K185" i="3"/>
  <c r="G185" i="3"/>
  <c r="I185" i="3"/>
  <c r="L203" i="3"/>
  <c r="H203" i="3"/>
  <c r="J203" i="3"/>
  <c r="G203" i="3"/>
  <c r="I203" i="3"/>
  <c r="K203" i="3"/>
  <c r="L217" i="3"/>
  <c r="I217" i="3"/>
  <c r="K217" i="3"/>
  <c r="G217" i="3"/>
  <c r="H217" i="3"/>
  <c r="J217" i="3"/>
  <c r="K236" i="3"/>
  <c r="L236" i="3"/>
  <c r="J236" i="3"/>
  <c r="I236" i="3"/>
  <c r="K247" i="3"/>
  <c r="L247" i="3"/>
  <c r="G247" i="3"/>
  <c r="H247" i="3"/>
  <c r="J247" i="3"/>
  <c r="I247" i="3"/>
  <c r="J264" i="3"/>
  <c r="K264" i="3"/>
  <c r="I264" i="3"/>
  <c r="L264" i="3"/>
  <c r="K272" i="3"/>
  <c r="J272" i="3"/>
  <c r="G272" i="3"/>
  <c r="H272" i="3"/>
  <c r="I272" i="3"/>
  <c r="L272" i="3"/>
  <c r="G282" i="3"/>
  <c r="K282" i="3"/>
  <c r="J282" i="3"/>
  <c r="I282" i="3"/>
  <c r="L282" i="3"/>
  <c r="H282" i="3"/>
  <c r="J307" i="3"/>
  <c r="L307" i="3"/>
  <c r="K307" i="3"/>
  <c r="I307" i="3"/>
  <c r="I65" i="3"/>
  <c r="G65" i="3"/>
  <c r="L65" i="3"/>
  <c r="J65" i="3"/>
  <c r="K65" i="3"/>
  <c r="H65" i="3"/>
  <c r="I73" i="3"/>
  <c r="J73" i="3"/>
  <c r="G73" i="3"/>
  <c r="L73" i="3"/>
  <c r="K73" i="3"/>
  <c r="H73" i="3"/>
  <c r="K103" i="3"/>
  <c r="I103" i="3"/>
  <c r="L103" i="3"/>
  <c r="J103" i="3"/>
  <c r="H103" i="3"/>
  <c r="G103" i="3"/>
  <c r="H119" i="3"/>
  <c r="J119" i="3"/>
  <c r="L119" i="3"/>
  <c r="I119" i="3"/>
  <c r="G119" i="3"/>
  <c r="K119" i="3"/>
  <c r="J129" i="3"/>
  <c r="I129" i="3"/>
  <c r="K129" i="3"/>
  <c r="L129" i="3"/>
  <c r="H129" i="3"/>
  <c r="G129" i="3"/>
  <c r="J137" i="3"/>
  <c r="H137" i="3"/>
  <c r="L137" i="3"/>
  <c r="G137" i="3"/>
  <c r="I137" i="3"/>
  <c r="K137" i="3"/>
  <c r="J148" i="3"/>
  <c r="K148" i="3"/>
  <c r="G148" i="3"/>
  <c r="L148" i="3"/>
  <c r="H148" i="3"/>
  <c r="I148" i="3"/>
  <c r="L193" i="3"/>
  <c r="G193" i="3"/>
  <c r="I193" i="3"/>
  <c r="K193" i="3"/>
  <c r="H193" i="3"/>
  <c r="J193" i="3"/>
  <c r="H211" i="3"/>
  <c r="J211" i="3"/>
  <c r="L211" i="3"/>
  <c r="G211" i="3"/>
  <c r="I211" i="3"/>
  <c r="K211" i="3"/>
  <c r="L225" i="3"/>
  <c r="K225" i="3"/>
  <c r="H225" i="3"/>
  <c r="G225" i="3"/>
  <c r="I225" i="3"/>
  <c r="J225" i="3"/>
  <c r="I254" i="3"/>
  <c r="K254" i="3"/>
  <c r="J254" i="3"/>
  <c r="G254" i="3"/>
  <c r="H254" i="3"/>
  <c r="L254" i="3"/>
  <c r="K274" i="3"/>
  <c r="J274" i="3"/>
  <c r="G274" i="3"/>
  <c r="H274" i="3"/>
  <c r="I274" i="3"/>
  <c r="L274" i="3"/>
  <c r="H287" i="3"/>
  <c r="J287" i="3"/>
  <c r="K287" i="3"/>
  <c r="I287" i="3"/>
  <c r="G287" i="3"/>
  <c r="L287" i="3"/>
  <c r="I299" i="3"/>
  <c r="L299" i="3"/>
  <c r="K299" i="3"/>
  <c r="J299" i="3"/>
  <c r="I311" i="3"/>
  <c r="J311" i="3"/>
  <c r="K311" i="3"/>
  <c r="H311" i="3"/>
  <c r="G311" i="3"/>
  <c r="L311" i="3"/>
  <c r="I321" i="3"/>
  <c r="H321" i="3"/>
  <c r="K321" i="3"/>
  <c r="J321" i="3"/>
  <c r="L321" i="3"/>
  <c r="G321" i="3"/>
  <c r="H324" i="3"/>
  <c r="Q2" i="3"/>
  <c r="P2" i="3"/>
  <c r="N2" i="3"/>
  <c r="O2" i="3"/>
  <c r="R2" i="3"/>
  <c r="M2" i="3"/>
  <c r="P79" i="3"/>
  <c r="R79" i="3"/>
  <c r="Q79" i="3"/>
  <c r="O79" i="3"/>
  <c r="Q12" i="3"/>
  <c r="N12" i="3"/>
  <c r="R12" i="3"/>
  <c r="P12" i="3"/>
  <c r="O12" i="3"/>
  <c r="M12" i="3"/>
  <c r="Q8" i="3"/>
  <c r="P8" i="3"/>
  <c r="O8" i="3"/>
  <c r="R8" i="3"/>
  <c r="N8" i="3"/>
  <c r="M8" i="3"/>
  <c r="P32" i="3"/>
  <c r="O32" i="3"/>
  <c r="Q32" i="3"/>
  <c r="M32" i="3"/>
  <c r="R32" i="3"/>
  <c r="N32" i="3"/>
  <c r="O51" i="3"/>
  <c r="R51" i="3"/>
  <c r="M51" i="3"/>
  <c r="Q51" i="3"/>
  <c r="P51" i="3"/>
  <c r="N51" i="3"/>
  <c r="Q4" i="3"/>
  <c r="R4" i="3"/>
  <c r="O4" i="3"/>
  <c r="N4" i="3"/>
  <c r="P4" i="3"/>
  <c r="M4" i="3"/>
  <c r="Q84" i="3"/>
  <c r="M84" i="3"/>
  <c r="N84" i="3"/>
  <c r="R84" i="3"/>
  <c r="O84" i="3"/>
  <c r="P84" i="3"/>
  <c r="R144" i="3"/>
  <c r="O144" i="3"/>
  <c r="P144" i="3"/>
  <c r="Q144" i="3"/>
  <c r="Q44" i="3"/>
  <c r="O44" i="3"/>
  <c r="R44" i="3"/>
  <c r="P44" i="3"/>
  <c r="P56" i="3"/>
  <c r="Q56" i="3"/>
  <c r="O56" i="3"/>
  <c r="R56" i="3"/>
  <c r="M56" i="3"/>
  <c r="N56" i="3"/>
  <c r="Q68" i="3"/>
  <c r="P68" i="3"/>
  <c r="O68" i="3"/>
  <c r="R68" i="3"/>
  <c r="N68" i="3"/>
  <c r="M68" i="3"/>
  <c r="P88" i="3"/>
  <c r="Q88" i="3"/>
  <c r="O88" i="3"/>
  <c r="R88" i="3"/>
  <c r="O99" i="3"/>
  <c r="Q99" i="3"/>
  <c r="M99" i="3"/>
  <c r="N99" i="3"/>
  <c r="R99" i="3"/>
  <c r="P99" i="3"/>
  <c r="R108" i="3"/>
  <c r="Q108" i="3"/>
  <c r="M108" i="3"/>
  <c r="O108" i="3"/>
  <c r="P108" i="3"/>
  <c r="N108" i="3"/>
  <c r="R124" i="3"/>
  <c r="O124" i="3"/>
  <c r="P124" i="3"/>
  <c r="Q124" i="3"/>
  <c r="R134" i="3"/>
  <c r="P134" i="3"/>
  <c r="O134" i="3"/>
  <c r="M134" i="3"/>
  <c r="N134" i="3"/>
  <c r="Q134" i="3"/>
  <c r="Q14" i="3"/>
  <c r="R14" i="3"/>
  <c r="N14" i="3"/>
  <c r="O14" i="3"/>
  <c r="P14" i="3"/>
  <c r="M14" i="3"/>
  <c r="Q24" i="3"/>
  <c r="P24" i="3"/>
  <c r="O24" i="3"/>
  <c r="M24" i="3"/>
  <c r="N24" i="3"/>
  <c r="R24" i="3"/>
  <c r="M33" i="3"/>
  <c r="P33" i="3"/>
  <c r="O33" i="3"/>
  <c r="Q33" i="3"/>
  <c r="N33" i="3"/>
  <c r="R33" i="3"/>
  <c r="R49" i="3"/>
  <c r="M49" i="3"/>
  <c r="P49" i="3"/>
  <c r="Q49" i="3"/>
  <c r="O49" i="3"/>
  <c r="N49" i="3"/>
  <c r="R62" i="3"/>
  <c r="P62" i="3"/>
  <c r="O62" i="3"/>
  <c r="N62" i="3"/>
  <c r="M62" i="3"/>
  <c r="Q62" i="3"/>
  <c r="P77" i="3"/>
  <c r="N77" i="3"/>
  <c r="M77" i="3"/>
  <c r="O77" i="3"/>
  <c r="R77" i="3"/>
  <c r="Q77" i="3"/>
  <c r="O96" i="3"/>
  <c r="P96" i="3"/>
  <c r="R96" i="3"/>
  <c r="Q96" i="3"/>
  <c r="M96" i="3"/>
  <c r="N96" i="3"/>
  <c r="R133" i="3"/>
  <c r="P133" i="3"/>
  <c r="O133" i="3"/>
  <c r="M133" i="3"/>
  <c r="Q133" i="3"/>
  <c r="N133" i="3"/>
  <c r="O34" i="3"/>
  <c r="Q34" i="3"/>
  <c r="P34" i="3"/>
  <c r="M34" i="3"/>
  <c r="N34" i="3"/>
  <c r="R34" i="3"/>
  <c r="R47" i="3"/>
  <c r="O47" i="3"/>
  <c r="Q47" i="3"/>
  <c r="P47" i="3"/>
  <c r="M47" i="3"/>
  <c r="N47" i="3"/>
  <c r="Q64" i="3"/>
  <c r="N64" i="3"/>
  <c r="O64" i="3"/>
  <c r="R64" i="3"/>
  <c r="P64" i="3"/>
  <c r="M64" i="3"/>
  <c r="R74" i="3"/>
  <c r="Q74" i="3"/>
  <c r="P74" i="3"/>
  <c r="O74" i="3"/>
  <c r="O98" i="3"/>
  <c r="P98" i="3"/>
  <c r="R98" i="3"/>
  <c r="M98" i="3"/>
  <c r="N98" i="3"/>
  <c r="Q98" i="3"/>
  <c r="R117" i="3"/>
  <c r="O117" i="3"/>
  <c r="P117" i="3"/>
  <c r="Q117" i="3"/>
  <c r="N117" i="3"/>
  <c r="M117" i="3"/>
  <c r="R143" i="3"/>
  <c r="N143" i="3"/>
  <c r="O143" i="3"/>
  <c r="M143" i="3"/>
  <c r="P143" i="3"/>
  <c r="Q143" i="3"/>
  <c r="P141" i="3"/>
  <c r="R141" i="3"/>
  <c r="N141" i="3"/>
  <c r="M141" i="3"/>
  <c r="O141" i="3"/>
  <c r="Q141" i="3"/>
  <c r="Q155" i="3"/>
  <c r="R155" i="3"/>
  <c r="N155" i="3"/>
  <c r="O155" i="3"/>
  <c r="M155" i="3"/>
  <c r="P155" i="3"/>
  <c r="Q173" i="3"/>
  <c r="O173" i="3"/>
  <c r="R173" i="3"/>
  <c r="P173" i="3"/>
  <c r="R197" i="3"/>
  <c r="P197" i="3"/>
  <c r="O197" i="3"/>
  <c r="M197" i="3"/>
  <c r="Q197" i="3"/>
  <c r="N197" i="3"/>
  <c r="R205" i="3"/>
  <c r="Q205" i="3"/>
  <c r="P205" i="3"/>
  <c r="O205" i="3"/>
  <c r="R80" i="3"/>
  <c r="M80" i="3"/>
  <c r="P80" i="3"/>
  <c r="O80" i="3"/>
  <c r="N80" i="3"/>
  <c r="Q80" i="3"/>
  <c r="R100" i="3"/>
  <c r="P100" i="3"/>
  <c r="Q100" i="3"/>
  <c r="O100" i="3"/>
  <c r="O112" i="3"/>
  <c r="P112" i="3"/>
  <c r="R112" i="3"/>
  <c r="M112" i="3"/>
  <c r="Q112" i="3"/>
  <c r="N112" i="3"/>
  <c r="R139" i="3"/>
  <c r="P139" i="3"/>
  <c r="O139" i="3"/>
  <c r="Q139" i="3"/>
  <c r="N139" i="3"/>
  <c r="M139" i="3"/>
  <c r="Q159" i="3"/>
  <c r="O159" i="3"/>
  <c r="P159" i="3"/>
  <c r="N159" i="3"/>
  <c r="M159" i="3"/>
  <c r="R159" i="3"/>
  <c r="Q179" i="3"/>
  <c r="M179" i="3"/>
  <c r="P179" i="3"/>
  <c r="O179" i="3"/>
  <c r="R179" i="3"/>
  <c r="N179" i="3"/>
  <c r="Q187" i="3"/>
  <c r="N187" i="3"/>
  <c r="R187" i="3"/>
  <c r="O187" i="3"/>
  <c r="P187" i="3"/>
  <c r="M187" i="3"/>
  <c r="Q211" i="3"/>
  <c r="R211" i="3"/>
  <c r="M211" i="3"/>
  <c r="N211" i="3"/>
  <c r="P211" i="3"/>
  <c r="O211" i="3"/>
  <c r="Q168" i="3"/>
  <c r="O168" i="3"/>
  <c r="M168" i="3"/>
  <c r="P168" i="3"/>
  <c r="N168" i="3"/>
  <c r="R168" i="3"/>
  <c r="Q174" i="3"/>
  <c r="O174" i="3"/>
  <c r="R174" i="3"/>
  <c r="P174" i="3"/>
  <c r="R192" i="3"/>
  <c r="P192" i="3"/>
  <c r="O192" i="3"/>
  <c r="M192" i="3"/>
  <c r="Q192" i="3"/>
  <c r="N192" i="3"/>
  <c r="M209" i="3"/>
  <c r="N209" i="3"/>
  <c r="Q209" i="3"/>
  <c r="P209" i="3"/>
  <c r="O209" i="3"/>
  <c r="R209" i="3"/>
  <c r="R217" i="3"/>
  <c r="O217" i="3"/>
  <c r="N217" i="3"/>
  <c r="Q217" i="3"/>
  <c r="M217" i="3"/>
  <c r="P217" i="3"/>
  <c r="Q149" i="3"/>
  <c r="R149" i="3"/>
  <c r="P149" i="3"/>
  <c r="O149" i="3"/>
  <c r="Q164" i="3"/>
  <c r="O164" i="3"/>
  <c r="N164" i="3"/>
  <c r="P164" i="3"/>
  <c r="R164" i="3"/>
  <c r="M164" i="3"/>
  <c r="R177" i="3"/>
  <c r="P177" i="3"/>
  <c r="M177" i="3"/>
  <c r="O177" i="3"/>
  <c r="Q177" i="3"/>
  <c r="N177" i="3"/>
  <c r="N193" i="3"/>
  <c r="P193" i="3"/>
  <c r="O193" i="3"/>
  <c r="Q193" i="3"/>
  <c r="R193" i="3"/>
  <c r="M193" i="3"/>
  <c r="Q219" i="3"/>
  <c r="P219" i="3"/>
  <c r="O219" i="3"/>
  <c r="R219" i="3"/>
  <c r="Q223" i="3"/>
  <c r="M223" i="3"/>
  <c r="P223" i="3"/>
  <c r="N223" i="3"/>
  <c r="O223" i="3"/>
  <c r="R223" i="3"/>
  <c r="N239" i="3"/>
  <c r="M239" i="3"/>
  <c r="P239" i="3"/>
  <c r="O239" i="3"/>
  <c r="R239" i="3"/>
  <c r="Q239" i="3"/>
  <c r="Q293" i="3"/>
  <c r="R293" i="3"/>
  <c r="O293" i="3"/>
  <c r="N293" i="3"/>
  <c r="P293" i="3"/>
  <c r="M293" i="3"/>
  <c r="M242" i="3"/>
  <c r="Q242" i="3"/>
  <c r="O242" i="3"/>
  <c r="P242" i="3"/>
  <c r="R242" i="3"/>
  <c r="N242" i="3"/>
  <c r="P262" i="3"/>
  <c r="Q262" i="3"/>
  <c r="M262" i="3"/>
  <c r="R262" i="3"/>
  <c r="O262" i="3"/>
  <c r="N262" i="3"/>
  <c r="Q296" i="3"/>
  <c r="R296" i="3"/>
  <c r="N296" i="3"/>
  <c r="O296" i="3"/>
  <c r="P296" i="3"/>
  <c r="M296" i="3"/>
  <c r="M251" i="3"/>
  <c r="N251" i="3"/>
  <c r="P251" i="3"/>
  <c r="Q251" i="3"/>
  <c r="R251" i="3"/>
  <c r="O251" i="3"/>
  <c r="P258" i="3"/>
  <c r="O258" i="3"/>
  <c r="Q258" i="3"/>
  <c r="N258" i="3"/>
  <c r="M258" i="3"/>
  <c r="R258" i="3"/>
  <c r="N271" i="3"/>
  <c r="R271" i="3"/>
  <c r="O271" i="3"/>
  <c r="P271" i="3"/>
  <c r="Q271" i="3"/>
  <c r="M271" i="3"/>
  <c r="O278" i="3"/>
  <c r="R278" i="3"/>
  <c r="P278" i="3"/>
  <c r="N278" i="3"/>
  <c r="Q278" i="3"/>
  <c r="M278" i="3"/>
  <c r="O285" i="3"/>
  <c r="Q285" i="3"/>
  <c r="N285" i="3"/>
  <c r="R285" i="3"/>
  <c r="P285" i="3"/>
  <c r="M285" i="3"/>
  <c r="Q291" i="3"/>
  <c r="R291" i="3"/>
  <c r="N291" i="3"/>
  <c r="O291" i="3"/>
  <c r="P291" i="3"/>
  <c r="M291" i="3"/>
  <c r="O298" i="3"/>
  <c r="P298" i="3"/>
  <c r="Q298" i="3"/>
  <c r="R298" i="3"/>
  <c r="N298" i="3"/>
  <c r="M298" i="3"/>
  <c r="O313" i="3"/>
  <c r="P313" i="3"/>
  <c r="R313" i="3"/>
  <c r="Q313" i="3"/>
  <c r="R319" i="3"/>
  <c r="O319" i="3"/>
  <c r="P319" i="3"/>
  <c r="M319" i="3"/>
  <c r="N319" i="3"/>
  <c r="Q319" i="3"/>
  <c r="N231" i="3"/>
  <c r="R231" i="3"/>
  <c r="O231" i="3"/>
  <c r="M231" i="3"/>
  <c r="P231" i="3"/>
  <c r="Q231" i="3"/>
  <c r="M244" i="3"/>
  <c r="O244" i="3"/>
  <c r="Q244" i="3"/>
  <c r="R244" i="3"/>
  <c r="P244" i="3"/>
  <c r="N244" i="3"/>
  <c r="O268" i="3"/>
  <c r="P268" i="3"/>
  <c r="R268" i="3"/>
  <c r="Q268" i="3"/>
  <c r="R281" i="3"/>
  <c r="M281" i="3"/>
  <c r="O281" i="3"/>
  <c r="P281" i="3"/>
  <c r="Q281" i="3"/>
  <c r="N281" i="3"/>
  <c r="O312" i="3"/>
  <c r="P312" i="3"/>
  <c r="Q312" i="3"/>
  <c r="R312" i="3"/>
  <c r="M240" i="3"/>
  <c r="Q240" i="3"/>
  <c r="O240" i="3"/>
  <c r="N240" i="3"/>
  <c r="R240" i="3"/>
  <c r="P240" i="3"/>
  <c r="Q250" i="3"/>
  <c r="O250" i="3"/>
  <c r="M250" i="3"/>
  <c r="R250" i="3"/>
  <c r="P250" i="3"/>
  <c r="N250" i="3"/>
  <c r="Q283" i="3"/>
  <c r="O283" i="3"/>
  <c r="R283" i="3"/>
  <c r="N283" i="3"/>
  <c r="P283" i="3"/>
  <c r="M283" i="3"/>
  <c r="O303" i="3"/>
  <c r="P303" i="3"/>
  <c r="R303" i="3"/>
  <c r="Q303" i="3"/>
  <c r="AH22" i="3"/>
  <c r="AJ22" i="3"/>
  <c r="AE22" i="3"/>
  <c r="AI22" i="3"/>
  <c r="AF22" i="3"/>
  <c r="AG22" i="3"/>
  <c r="AI114" i="3"/>
  <c r="AJ114" i="3"/>
  <c r="AG114" i="3"/>
  <c r="AE114" i="3"/>
  <c r="AH114" i="3"/>
  <c r="AF114" i="3"/>
  <c r="AJ8" i="3"/>
  <c r="AH8" i="3"/>
  <c r="AG8" i="3"/>
  <c r="AE8" i="3"/>
  <c r="AF8" i="3"/>
  <c r="AI8" i="3"/>
  <c r="AH39" i="3"/>
  <c r="AJ39" i="3"/>
  <c r="AF39" i="3"/>
  <c r="AI39" i="3"/>
  <c r="AG39" i="3"/>
  <c r="AE39" i="3"/>
  <c r="AG78" i="3"/>
  <c r="AF78" i="3"/>
  <c r="AJ78" i="3"/>
  <c r="AH78" i="3"/>
  <c r="AE78" i="3"/>
  <c r="AI78" i="3"/>
  <c r="AI112" i="3"/>
  <c r="AE112" i="3"/>
  <c r="AH112" i="3"/>
  <c r="AG112" i="3"/>
  <c r="AJ112" i="3"/>
  <c r="AF112" i="3"/>
  <c r="AJ3" i="3"/>
  <c r="AH3" i="3"/>
  <c r="AE3" i="3"/>
  <c r="AF3" i="3"/>
  <c r="AG3" i="3"/>
  <c r="AI3" i="3"/>
  <c r="AJ10" i="3"/>
  <c r="AH10" i="3"/>
  <c r="AI10" i="3"/>
  <c r="AG10" i="3"/>
  <c r="AI30" i="3"/>
  <c r="AJ30" i="3"/>
  <c r="AH30" i="3"/>
  <c r="AF30" i="3"/>
  <c r="AG30" i="3"/>
  <c r="AE30" i="3"/>
  <c r="AH95" i="3"/>
  <c r="AJ95" i="3"/>
  <c r="AG95" i="3"/>
  <c r="AI95" i="3"/>
  <c r="AH5" i="3"/>
  <c r="AJ5" i="3"/>
  <c r="AE5" i="3"/>
  <c r="AF5" i="3"/>
  <c r="AG5" i="3"/>
  <c r="AI5" i="3"/>
  <c r="AF33" i="3"/>
  <c r="AJ33" i="3"/>
  <c r="AI33" i="3"/>
  <c r="AE33" i="3"/>
  <c r="AH33" i="3"/>
  <c r="AG33" i="3"/>
  <c r="AJ100" i="3"/>
  <c r="AH100" i="3"/>
  <c r="AI100" i="3"/>
  <c r="AF100" i="3"/>
  <c r="AG100" i="3"/>
  <c r="AI36" i="3"/>
  <c r="AE36" i="3"/>
  <c r="AH36" i="3"/>
  <c r="AF36" i="3"/>
  <c r="AG36" i="3"/>
  <c r="AJ36" i="3"/>
  <c r="AG51" i="3"/>
  <c r="AI51" i="3"/>
  <c r="AJ51" i="3"/>
  <c r="AH51" i="3"/>
  <c r="AF51" i="3"/>
  <c r="AE51" i="3"/>
  <c r="AH83" i="3"/>
  <c r="AJ83" i="3"/>
  <c r="AI83" i="3"/>
  <c r="AE83" i="3"/>
  <c r="AF83" i="3"/>
  <c r="AG83" i="3"/>
  <c r="AI128" i="3"/>
  <c r="AJ128" i="3"/>
  <c r="AG128" i="3"/>
  <c r="AE128" i="3"/>
  <c r="AH128" i="3"/>
  <c r="AF128" i="3"/>
  <c r="AI17" i="3"/>
  <c r="AG17" i="3"/>
  <c r="AJ17" i="3"/>
  <c r="AH17" i="3"/>
  <c r="AH41" i="3"/>
  <c r="AG41" i="3"/>
  <c r="AI41" i="3"/>
  <c r="AJ41" i="3"/>
  <c r="AI55" i="3"/>
  <c r="AF55" i="3"/>
  <c r="AH55" i="3"/>
  <c r="AJ55" i="3"/>
  <c r="AE55" i="3"/>
  <c r="AG55" i="3"/>
  <c r="AH71" i="3"/>
  <c r="AJ71" i="3"/>
  <c r="AE71" i="3"/>
  <c r="AI71" i="3"/>
  <c r="AF71" i="3"/>
  <c r="AG71" i="3"/>
  <c r="AH88" i="3"/>
  <c r="AF88" i="3"/>
  <c r="AG88" i="3"/>
  <c r="AJ88" i="3"/>
  <c r="AI88" i="3"/>
  <c r="AE88" i="3"/>
  <c r="AH101" i="3"/>
  <c r="AG101" i="3"/>
  <c r="AI101" i="3"/>
  <c r="AJ101" i="3"/>
  <c r="AJ109" i="3"/>
  <c r="AG109" i="3"/>
  <c r="AI109" i="3"/>
  <c r="AH109" i="3"/>
  <c r="AI127" i="3"/>
  <c r="AG127" i="3"/>
  <c r="AE127" i="3"/>
  <c r="AH127" i="3"/>
  <c r="AF127" i="3"/>
  <c r="AJ127" i="3"/>
  <c r="AH15" i="3"/>
  <c r="AI15" i="3"/>
  <c r="AJ15" i="3"/>
  <c r="AF15" i="3"/>
  <c r="AE15" i="3"/>
  <c r="AG15" i="3"/>
  <c r="AH26" i="3"/>
  <c r="AG26" i="3"/>
  <c r="AJ26" i="3"/>
  <c r="AI26" i="3"/>
  <c r="AJ48" i="3"/>
  <c r="AI48" i="3"/>
  <c r="AH48" i="3"/>
  <c r="AG48" i="3"/>
  <c r="AH63" i="3"/>
  <c r="AJ63" i="3"/>
  <c r="AE63" i="3"/>
  <c r="AI63" i="3"/>
  <c r="AG63" i="3"/>
  <c r="AF63" i="3"/>
  <c r="AF72" i="3"/>
  <c r="AJ72" i="3"/>
  <c r="AG72" i="3"/>
  <c r="AH72" i="3"/>
  <c r="AE72" i="3"/>
  <c r="AI72" i="3"/>
  <c r="AH111" i="3"/>
  <c r="AG111" i="3"/>
  <c r="AI111" i="3"/>
  <c r="AE111" i="3"/>
  <c r="AJ111" i="3"/>
  <c r="AF111" i="3"/>
  <c r="AG157" i="3"/>
  <c r="AI157" i="3"/>
  <c r="AH157" i="3"/>
  <c r="AJ157" i="3"/>
  <c r="AG140" i="3"/>
  <c r="AF140" i="3"/>
  <c r="AI140" i="3"/>
  <c r="AE140" i="3"/>
  <c r="AJ140" i="3"/>
  <c r="AH140" i="3"/>
  <c r="AG163" i="3"/>
  <c r="AI163" i="3"/>
  <c r="AH163" i="3"/>
  <c r="AE163" i="3"/>
  <c r="AF163" i="3"/>
  <c r="AJ163" i="3"/>
  <c r="AH182" i="3"/>
  <c r="AG182" i="3"/>
  <c r="AI182" i="3"/>
  <c r="AJ182" i="3"/>
  <c r="AH194" i="3"/>
  <c r="AF194" i="3"/>
  <c r="AI194" i="3"/>
  <c r="AJ194" i="3"/>
  <c r="AE194" i="3"/>
  <c r="AG194" i="3"/>
  <c r="AH213" i="3"/>
  <c r="AJ213" i="3"/>
  <c r="AI213" i="3"/>
  <c r="AG213" i="3"/>
  <c r="AH84" i="3"/>
  <c r="AG84" i="3"/>
  <c r="AF84" i="3"/>
  <c r="AJ84" i="3"/>
  <c r="AI84" i="3"/>
  <c r="AE84" i="3"/>
  <c r="AJ91" i="3"/>
  <c r="AH91" i="3"/>
  <c r="AE91" i="3"/>
  <c r="AI91" i="3"/>
  <c r="AF91" i="3"/>
  <c r="AG91" i="3"/>
  <c r="AI105" i="3"/>
  <c r="AG105" i="3"/>
  <c r="AF105" i="3"/>
  <c r="AH105" i="3"/>
  <c r="AJ105" i="3"/>
  <c r="AE105" i="3"/>
  <c r="AI125" i="3"/>
  <c r="AF125" i="3"/>
  <c r="AJ125" i="3"/>
  <c r="AG125" i="3"/>
  <c r="AE125" i="3"/>
  <c r="AH125" i="3"/>
  <c r="AH150" i="3"/>
  <c r="AI150" i="3"/>
  <c r="AG150" i="3"/>
  <c r="AJ150" i="3"/>
  <c r="AG168" i="3"/>
  <c r="AI168" i="3"/>
  <c r="AE168" i="3"/>
  <c r="AH168" i="3"/>
  <c r="AJ168" i="3"/>
  <c r="AF168" i="3"/>
  <c r="AG174" i="3"/>
  <c r="AH174" i="3"/>
  <c r="AI174" i="3"/>
  <c r="AJ174" i="3"/>
  <c r="AH192" i="3"/>
  <c r="AF192" i="3"/>
  <c r="AG192" i="3"/>
  <c r="AI192" i="3"/>
  <c r="AJ192" i="3"/>
  <c r="AE192" i="3"/>
  <c r="AH209" i="3"/>
  <c r="AG209" i="3"/>
  <c r="AJ209" i="3"/>
  <c r="AI209" i="3"/>
  <c r="AH217" i="3"/>
  <c r="AI217" i="3"/>
  <c r="AE217" i="3"/>
  <c r="AJ217" i="3"/>
  <c r="AF217" i="3"/>
  <c r="AG217" i="3"/>
  <c r="AG222" i="3"/>
  <c r="AI222" i="3"/>
  <c r="AH222" i="3"/>
  <c r="AJ222" i="3"/>
  <c r="AG161" i="3"/>
  <c r="AE161" i="3"/>
  <c r="AI161" i="3"/>
  <c r="AH161" i="3"/>
  <c r="AF161" i="3"/>
  <c r="AJ161" i="3"/>
  <c r="AG176" i="3"/>
  <c r="AH176" i="3"/>
  <c r="AI176" i="3"/>
  <c r="AJ176" i="3"/>
  <c r="AF176" i="3"/>
  <c r="AE176" i="3"/>
  <c r="AH190" i="3"/>
  <c r="AF190" i="3"/>
  <c r="AG190" i="3"/>
  <c r="AE190" i="3"/>
  <c r="AJ190" i="3"/>
  <c r="AI190" i="3"/>
  <c r="AH212" i="3"/>
  <c r="AJ212" i="3"/>
  <c r="AI212" i="3"/>
  <c r="AG212" i="3"/>
  <c r="AH148" i="3"/>
  <c r="AE148" i="3"/>
  <c r="AI148" i="3"/>
  <c r="AJ148" i="3"/>
  <c r="AF148" i="3"/>
  <c r="AG148" i="3"/>
  <c r="AG158" i="3"/>
  <c r="AH158" i="3"/>
  <c r="AJ158" i="3"/>
  <c r="AI158" i="3"/>
  <c r="AH189" i="3"/>
  <c r="AG189" i="3"/>
  <c r="AF189" i="3"/>
  <c r="AE189" i="3"/>
  <c r="AI189" i="3"/>
  <c r="AJ189" i="3"/>
  <c r="AF203" i="3"/>
  <c r="AH203" i="3"/>
  <c r="AJ203" i="3"/>
  <c r="AG203" i="3"/>
  <c r="AI203" i="3"/>
  <c r="AE203" i="3"/>
  <c r="AJ208" i="3"/>
  <c r="AH208" i="3"/>
  <c r="AG208" i="3"/>
  <c r="AI208" i="3"/>
  <c r="AE274" i="3"/>
  <c r="AI274" i="3"/>
  <c r="AH274" i="3"/>
  <c r="AJ274" i="3"/>
  <c r="AG274" i="3"/>
  <c r="AF274" i="3"/>
  <c r="AJ255" i="3"/>
  <c r="AG255" i="3"/>
  <c r="AH255" i="3"/>
  <c r="AE255" i="3"/>
  <c r="AI255" i="3"/>
  <c r="AF255" i="3"/>
  <c r="AH237" i="3"/>
  <c r="AG237" i="3"/>
  <c r="AJ237" i="3"/>
  <c r="AI237" i="3"/>
  <c r="AE237" i="3"/>
  <c r="AF237" i="3"/>
  <c r="AG308" i="3"/>
  <c r="AE308" i="3"/>
  <c r="AJ308" i="3"/>
  <c r="AI308" i="3"/>
  <c r="AF308" i="3"/>
  <c r="AH308" i="3"/>
  <c r="AI226" i="3"/>
  <c r="AF226" i="3"/>
  <c r="AJ226" i="3"/>
  <c r="AE226" i="3"/>
  <c r="AG226" i="3"/>
  <c r="AH226" i="3"/>
  <c r="AG309" i="3"/>
  <c r="AI309" i="3"/>
  <c r="AJ309" i="3"/>
  <c r="AF309" i="3"/>
  <c r="AH309" i="3"/>
  <c r="AE309" i="3"/>
  <c r="AJ246" i="3"/>
  <c r="AG246" i="3"/>
  <c r="AH246" i="3"/>
  <c r="AE246" i="3"/>
  <c r="AF246" i="3"/>
  <c r="AI246" i="3"/>
  <c r="AH269" i="3"/>
  <c r="AI269" i="3"/>
  <c r="AG269" i="3"/>
  <c r="AJ269" i="3"/>
  <c r="AH290" i="3"/>
  <c r="AJ290" i="3"/>
  <c r="AI290" i="3"/>
  <c r="AG290" i="3"/>
  <c r="AF290" i="3"/>
  <c r="AE290" i="3"/>
  <c r="AG317" i="3"/>
  <c r="AH317" i="3"/>
  <c r="AJ317" i="3"/>
  <c r="AI317" i="3"/>
  <c r="AE317" i="3"/>
  <c r="AF317" i="3"/>
  <c r="AI230" i="3"/>
  <c r="AF230" i="3"/>
  <c r="AE230" i="3"/>
  <c r="AJ230" i="3"/>
  <c r="AG230" i="3"/>
  <c r="AH230" i="3"/>
  <c r="AI243" i="3"/>
  <c r="AG243" i="3"/>
  <c r="AH243" i="3"/>
  <c r="AJ243" i="3"/>
  <c r="AI259" i="3"/>
  <c r="AJ259" i="3"/>
  <c r="AG259" i="3"/>
  <c r="AF259" i="3"/>
  <c r="AH259" i="3"/>
  <c r="AE259" i="3"/>
  <c r="AI275" i="3"/>
  <c r="AH275" i="3"/>
  <c r="AG275" i="3"/>
  <c r="AJ275" i="3"/>
  <c r="AG305" i="3"/>
  <c r="AJ305" i="3"/>
  <c r="AH305" i="3"/>
  <c r="AI305" i="3"/>
  <c r="AI324" i="3"/>
  <c r="AH324" i="3"/>
  <c r="AG324" i="3"/>
  <c r="AJ324" i="3"/>
  <c r="AG232" i="3"/>
  <c r="AI232" i="3"/>
  <c r="AJ232" i="3"/>
  <c r="AE232" i="3"/>
  <c r="AF232" i="3"/>
  <c r="AH232" i="3"/>
  <c r="AF252" i="3"/>
  <c r="AJ252" i="3"/>
  <c r="AH252" i="3"/>
  <c r="AG252" i="3"/>
  <c r="AI252" i="3"/>
  <c r="AE252" i="3"/>
  <c r="AI260" i="3"/>
  <c r="AG260" i="3"/>
  <c r="AH260" i="3"/>
  <c r="AF260" i="3"/>
  <c r="AE260" i="3"/>
  <c r="AJ260" i="3"/>
  <c r="AH273" i="3"/>
  <c r="AE273" i="3"/>
  <c r="AJ273" i="3"/>
  <c r="AF273" i="3"/>
  <c r="AI273" i="3"/>
  <c r="AG273" i="3"/>
  <c r="AH280" i="3"/>
  <c r="AE280" i="3"/>
  <c r="AI280" i="3"/>
  <c r="AF280" i="3"/>
  <c r="AJ280" i="3"/>
  <c r="AG280" i="3"/>
  <c r="AH287" i="3"/>
  <c r="AJ287" i="3"/>
  <c r="AE287" i="3"/>
  <c r="AF287" i="3"/>
  <c r="AG287" i="3"/>
  <c r="AI287" i="3"/>
  <c r="AH294" i="3"/>
  <c r="AI294" i="3"/>
  <c r="AF294" i="3"/>
  <c r="AG294" i="3"/>
  <c r="AJ294" i="3"/>
  <c r="AE294" i="3"/>
  <c r="AG299" i="3"/>
  <c r="AH299" i="3"/>
  <c r="AJ299" i="3"/>
  <c r="AE299" i="3"/>
  <c r="AI299" i="3"/>
  <c r="AF299" i="3"/>
  <c r="AG314" i="3"/>
  <c r="AI314" i="3"/>
  <c r="AJ314" i="3"/>
  <c r="AH314" i="3"/>
  <c r="AI325" i="3"/>
  <c r="AH325" i="3"/>
  <c r="AG325" i="3"/>
  <c r="AJ325" i="3"/>
  <c r="AF325" i="3"/>
  <c r="AE325" i="3"/>
  <c r="AD8" i="3"/>
  <c r="Z8" i="3"/>
  <c r="AC8" i="3"/>
  <c r="Y8" i="3"/>
  <c r="AA8" i="3"/>
  <c r="AB8" i="3"/>
  <c r="AA71" i="3"/>
  <c r="AD71" i="3"/>
  <c r="AC71" i="3"/>
  <c r="Y71" i="3"/>
  <c r="Z71" i="3"/>
  <c r="AB71" i="3"/>
  <c r="AC109" i="3"/>
  <c r="AA109" i="3"/>
  <c r="AB109" i="3"/>
  <c r="AD109" i="3"/>
  <c r="AC7" i="3"/>
  <c r="AD7" i="3"/>
  <c r="AB7" i="3"/>
  <c r="Z7" i="3"/>
  <c r="AA7" i="3"/>
  <c r="Y7" i="3"/>
  <c r="AA18" i="3"/>
  <c r="AB18" i="3"/>
  <c r="AC18" i="3"/>
  <c r="AD18" i="3"/>
  <c r="Z18" i="3"/>
  <c r="AC11" i="3"/>
  <c r="AA11" i="3"/>
  <c r="AB11" i="3"/>
  <c r="Z11" i="3"/>
  <c r="AD11" i="3"/>
  <c r="Y11" i="3"/>
  <c r="AD5" i="3"/>
  <c r="AB5" i="3"/>
  <c r="Z5" i="3"/>
  <c r="Y5" i="3"/>
  <c r="AC5" i="3"/>
  <c r="AA5" i="3"/>
  <c r="AB20" i="3"/>
  <c r="Y20" i="3"/>
  <c r="AC20" i="3"/>
  <c r="AA20" i="3"/>
  <c r="AD20" i="3"/>
  <c r="Z20" i="3"/>
  <c r="Y101" i="3"/>
  <c r="AA101" i="3"/>
  <c r="AC101" i="3"/>
  <c r="Z101" i="3"/>
  <c r="AB101" i="3"/>
  <c r="AD101" i="3"/>
  <c r="AA2" i="3"/>
  <c r="AD2" i="3"/>
  <c r="Z2" i="3"/>
  <c r="AB2" i="3"/>
  <c r="AC2" i="3"/>
  <c r="Y2" i="3"/>
  <c r="AC38" i="3"/>
  <c r="Y38" i="3"/>
  <c r="AA38" i="3"/>
  <c r="AB38" i="3"/>
  <c r="Z38" i="3"/>
  <c r="AD38" i="3"/>
  <c r="Y24" i="3"/>
  <c r="AA24" i="3"/>
  <c r="AB24" i="3"/>
  <c r="AC24" i="3"/>
  <c r="AD24" i="3"/>
  <c r="Z24" i="3"/>
  <c r="AB33" i="3"/>
  <c r="AA33" i="3"/>
  <c r="Y33" i="3"/>
  <c r="AC33" i="3"/>
  <c r="AD33" i="3"/>
  <c r="Z33" i="3"/>
  <c r="AC49" i="3"/>
  <c r="Y49" i="3"/>
  <c r="AA49" i="3"/>
  <c r="AD49" i="3"/>
  <c r="AB49" i="3"/>
  <c r="Z49" i="3"/>
  <c r="AA62" i="3"/>
  <c r="AB62" i="3"/>
  <c r="AC62" i="3"/>
  <c r="AD62" i="3"/>
  <c r="AA77" i="3"/>
  <c r="AD77" i="3"/>
  <c r="AC77" i="3"/>
  <c r="Y77" i="3"/>
  <c r="Z77" i="3"/>
  <c r="AB77" i="3"/>
  <c r="AA85" i="3"/>
  <c r="AC85" i="3"/>
  <c r="AD85" i="3"/>
  <c r="Y85" i="3"/>
  <c r="Z85" i="3"/>
  <c r="AB85" i="3"/>
  <c r="AA95" i="3"/>
  <c r="AC95" i="3"/>
  <c r="AD95" i="3"/>
  <c r="AB95" i="3"/>
  <c r="AA112" i="3"/>
  <c r="Y112" i="3"/>
  <c r="AC112" i="3"/>
  <c r="AB112" i="3"/>
  <c r="Z112" i="3"/>
  <c r="AD112" i="3"/>
  <c r="AD154" i="3"/>
  <c r="AB154" i="3"/>
  <c r="Y154" i="3"/>
  <c r="AC154" i="3"/>
  <c r="Z154" i="3"/>
  <c r="AA154" i="3"/>
  <c r="AC23" i="3"/>
  <c r="Y23" i="3"/>
  <c r="AB23" i="3"/>
  <c r="Z23" i="3"/>
  <c r="AD23" i="3"/>
  <c r="AA23" i="3"/>
  <c r="AA44" i="3"/>
  <c r="AB44" i="3"/>
  <c r="AD44" i="3"/>
  <c r="AC44" i="3"/>
  <c r="AD56" i="3"/>
  <c r="AB56" i="3"/>
  <c r="AA56" i="3"/>
  <c r="AC56" i="3"/>
  <c r="AA68" i="3"/>
  <c r="AD68" i="3"/>
  <c r="Z68" i="3"/>
  <c r="AB68" i="3"/>
  <c r="Y68" i="3"/>
  <c r="AC68" i="3"/>
  <c r="AA89" i="3"/>
  <c r="AD89" i="3"/>
  <c r="AC89" i="3"/>
  <c r="Y89" i="3"/>
  <c r="Z89" i="3"/>
  <c r="AB89" i="3"/>
  <c r="AB137" i="3"/>
  <c r="AA137" i="3"/>
  <c r="Z137" i="3"/>
  <c r="AD137" i="3"/>
  <c r="AC137" i="3"/>
  <c r="Y137" i="3"/>
  <c r="AA31" i="3"/>
  <c r="AB31" i="3"/>
  <c r="AC31" i="3"/>
  <c r="AD31" i="3"/>
  <c r="Y43" i="3"/>
  <c r="AA43" i="3"/>
  <c r="AD43" i="3"/>
  <c r="AC43" i="3"/>
  <c r="Z43" i="3"/>
  <c r="AB43" i="3"/>
  <c r="AA58" i="3"/>
  <c r="AC58" i="3"/>
  <c r="AD58" i="3"/>
  <c r="AB58" i="3"/>
  <c r="AA96" i="3"/>
  <c r="Z96" i="3"/>
  <c r="AD96" i="3"/>
  <c r="Y96" i="3"/>
  <c r="AC96" i="3"/>
  <c r="AB96" i="3"/>
  <c r="AC121" i="3"/>
  <c r="AA121" i="3"/>
  <c r="Z121" i="3"/>
  <c r="AB121" i="3"/>
  <c r="AD121" i="3"/>
  <c r="Y121" i="3"/>
  <c r="AD125" i="3"/>
  <c r="AC125" i="3"/>
  <c r="AB125" i="3"/>
  <c r="AA125" i="3"/>
  <c r="AD150" i="3"/>
  <c r="AB150" i="3"/>
  <c r="AC150" i="3"/>
  <c r="AA150" i="3"/>
  <c r="Z168" i="3"/>
  <c r="AD168" i="3"/>
  <c r="AC168" i="3"/>
  <c r="Y168" i="3"/>
  <c r="AB168" i="3"/>
  <c r="AA168" i="3"/>
  <c r="AC174" i="3"/>
  <c r="AB174" i="3"/>
  <c r="AA174" i="3"/>
  <c r="AD174" i="3"/>
  <c r="AA192" i="3"/>
  <c r="AD192" i="3"/>
  <c r="Y192" i="3"/>
  <c r="AC192" i="3"/>
  <c r="AB192" i="3"/>
  <c r="Z192" i="3"/>
  <c r="AA209" i="3"/>
  <c r="AD209" i="3"/>
  <c r="AC209" i="3"/>
  <c r="AB209" i="3"/>
  <c r="AA217" i="3"/>
  <c r="AB217" i="3"/>
  <c r="Z217" i="3"/>
  <c r="AC217" i="3"/>
  <c r="Y217" i="3"/>
  <c r="AD217" i="3"/>
  <c r="AA222" i="3"/>
  <c r="AC222" i="3"/>
  <c r="AD222" i="3"/>
  <c r="AB222" i="3"/>
  <c r="AA78" i="3"/>
  <c r="Z78" i="3"/>
  <c r="AD78" i="3"/>
  <c r="AB78" i="3"/>
  <c r="AC78" i="3"/>
  <c r="Y78" i="3"/>
  <c r="AA107" i="3"/>
  <c r="AB107" i="3"/>
  <c r="AC107" i="3"/>
  <c r="AD107" i="3"/>
  <c r="AA115" i="3"/>
  <c r="AC115" i="3"/>
  <c r="AB115" i="3"/>
  <c r="Y115" i="3"/>
  <c r="AD115" i="3"/>
  <c r="Z115" i="3"/>
  <c r="AD130" i="3"/>
  <c r="Z130" i="3"/>
  <c r="AC130" i="3"/>
  <c r="Y130" i="3"/>
  <c r="AB130" i="3"/>
  <c r="AA130" i="3"/>
  <c r="AB134" i="3"/>
  <c r="AD134" i="3"/>
  <c r="AA134" i="3"/>
  <c r="Z134" i="3"/>
  <c r="Y134" i="3"/>
  <c r="AC134" i="3"/>
  <c r="AB143" i="3"/>
  <c r="AD143" i="3"/>
  <c r="AA143" i="3"/>
  <c r="Z143" i="3"/>
  <c r="Y143" i="3"/>
  <c r="AC143" i="3"/>
  <c r="Y157" i="3"/>
  <c r="AA157" i="3"/>
  <c r="AD157" i="3"/>
  <c r="Z157" i="3"/>
  <c r="AB157" i="3"/>
  <c r="AC157" i="3"/>
  <c r="AD170" i="3"/>
  <c r="AC170" i="3"/>
  <c r="AA183" i="3"/>
  <c r="Y183" i="3"/>
  <c r="Z183" i="3"/>
  <c r="AC183" i="3"/>
  <c r="AD183" i="3"/>
  <c r="AB183" i="3"/>
  <c r="Y198" i="3"/>
  <c r="AD198" i="3"/>
  <c r="AB198" i="3"/>
  <c r="AA198" i="3"/>
  <c r="Z198" i="3"/>
  <c r="AC198" i="3"/>
  <c r="AC167" i="3"/>
  <c r="AA167" i="3"/>
  <c r="AD167" i="3"/>
  <c r="AB167" i="3"/>
  <c r="AA191" i="3"/>
  <c r="AD191" i="3"/>
  <c r="AC191" i="3"/>
  <c r="Y191" i="3"/>
  <c r="Z191" i="3"/>
  <c r="AB191" i="3"/>
  <c r="AA204" i="3"/>
  <c r="Z204" i="3"/>
  <c r="Y204" i="3"/>
  <c r="AD204" i="3"/>
  <c r="AB204" i="3"/>
  <c r="AC204" i="3"/>
  <c r="AA216" i="3"/>
  <c r="AD216" i="3"/>
  <c r="AC216" i="3"/>
  <c r="AB216" i="3"/>
  <c r="AC163" i="3"/>
  <c r="AB163" i="3"/>
  <c r="AA163" i="3"/>
  <c r="AD163" i="3"/>
  <c r="AA182" i="3"/>
  <c r="AB182" i="3"/>
  <c r="Z182" i="3"/>
  <c r="AD182" i="3"/>
  <c r="Y182" i="3"/>
  <c r="AC182" i="3"/>
  <c r="AA194" i="3"/>
  <c r="AB194" i="3"/>
  <c r="Z194" i="3"/>
  <c r="AD194" i="3"/>
  <c r="Y194" i="3"/>
  <c r="AC194" i="3"/>
  <c r="AA213" i="3"/>
  <c r="AD213" i="3"/>
  <c r="Z213" i="3"/>
  <c r="Y213" i="3"/>
  <c r="AB213" i="3"/>
  <c r="AC213" i="3"/>
  <c r="AB316" i="3"/>
  <c r="AA316" i="3"/>
  <c r="AD316" i="3"/>
  <c r="Y316" i="3"/>
  <c r="AC316" i="3"/>
  <c r="Z316" i="3"/>
  <c r="AD277" i="3"/>
  <c r="Z277" i="3"/>
  <c r="AC277" i="3"/>
  <c r="AB277" i="3"/>
  <c r="Y277" i="3"/>
  <c r="AA277" i="3"/>
  <c r="AC299" i="3"/>
  <c r="AD299" i="3"/>
  <c r="AA299" i="3"/>
  <c r="AB299" i="3"/>
  <c r="AB234" i="3"/>
  <c r="Y234" i="3"/>
  <c r="AD234" i="3"/>
  <c r="Z234" i="3"/>
  <c r="AA234" i="3"/>
  <c r="AC234" i="3"/>
  <c r="AD264" i="3"/>
  <c r="AC264" i="3"/>
  <c r="AC298" i="3"/>
  <c r="AD298" i="3"/>
  <c r="AA227" i="3"/>
  <c r="AD227" i="3"/>
  <c r="AC227" i="3"/>
  <c r="AB227" i="3"/>
  <c r="AB260" i="3"/>
  <c r="AA260" i="3"/>
  <c r="AC260" i="3"/>
  <c r="Y260" i="3"/>
  <c r="Z260" i="3"/>
  <c r="AD260" i="3"/>
  <c r="AD287" i="3"/>
  <c r="Z287" i="3"/>
  <c r="AA287" i="3"/>
  <c r="Y287" i="3"/>
  <c r="AB287" i="3"/>
  <c r="AC287" i="3"/>
  <c r="AC254" i="3"/>
  <c r="AA254" i="3"/>
  <c r="AB254" i="3"/>
  <c r="Z254" i="3"/>
  <c r="Y254" i="3"/>
  <c r="AD254" i="3"/>
  <c r="AD263" i="3"/>
  <c r="AB263" i="3"/>
  <c r="AA263" i="3"/>
  <c r="Y263" i="3"/>
  <c r="Z263" i="3"/>
  <c r="AC263" i="3"/>
  <c r="AD304" i="3"/>
  <c r="AC304" i="3"/>
  <c r="AA304" i="3"/>
  <c r="AB304" i="3"/>
  <c r="AA318" i="3"/>
  <c r="AC318" i="3"/>
  <c r="Y318" i="3"/>
  <c r="AD318" i="3"/>
  <c r="Z318" i="3"/>
  <c r="AB318" i="3"/>
  <c r="AC225" i="3"/>
  <c r="AB225" i="3"/>
  <c r="AA225" i="3"/>
  <c r="Z225" i="3"/>
  <c r="AD225" i="3"/>
  <c r="Y225" i="3"/>
  <c r="AC241" i="3"/>
  <c r="Y241" i="3"/>
  <c r="Z241" i="3"/>
  <c r="AD241" i="3"/>
  <c r="AB241" i="3"/>
  <c r="AA241" i="3"/>
  <c r="AC255" i="3"/>
  <c r="AB255" i="3"/>
  <c r="AA255" i="3"/>
  <c r="Y255" i="3"/>
  <c r="Z255" i="3"/>
  <c r="AD255" i="3"/>
  <c r="AC286" i="3"/>
  <c r="AD286" i="3"/>
  <c r="AB308" i="3"/>
  <c r="AA308" i="3"/>
  <c r="Y308" i="3"/>
  <c r="Z308" i="3"/>
  <c r="AC308" i="3"/>
  <c r="AD308" i="3"/>
  <c r="AA323" i="3"/>
  <c r="AD323" i="3"/>
  <c r="AB323" i="3"/>
  <c r="AC323" i="3"/>
  <c r="AC229" i="3"/>
  <c r="AD229" i="3"/>
  <c r="AA229" i="3"/>
  <c r="AB229" i="3"/>
  <c r="AA238" i="3"/>
  <c r="AC238" i="3"/>
  <c r="Z238" i="3"/>
  <c r="AB238" i="3"/>
  <c r="Y238" i="3"/>
  <c r="AD238" i="3"/>
  <c r="AA267" i="3"/>
  <c r="Y267" i="3"/>
  <c r="AD267" i="3"/>
  <c r="AB267" i="3"/>
  <c r="Z267" i="3"/>
  <c r="AC267" i="3"/>
  <c r="AB272" i="3"/>
  <c r="AD272" i="3"/>
  <c r="AC272" i="3"/>
  <c r="AA272" i="3"/>
  <c r="Z272" i="3"/>
  <c r="Y272" i="3"/>
  <c r="AC306" i="3"/>
  <c r="AB306" i="3"/>
  <c r="AD306" i="3"/>
  <c r="AA306" i="3"/>
  <c r="AC325" i="3"/>
  <c r="Y325" i="3"/>
  <c r="AB325" i="3"/>
  <c r="AD325" i="3"/>
  <c r="AA325" i="3"/>
  <c r="Z325" i="3"/>
  <c r="V18" i="3"/>
  <c r="W18" i="3"/>
  <c r="U18" i="3"/>
  <c r="X18" i="3"/>
  <c r="S18" i="3"/>
  <c r="X99" i="3"/>
  <c r="S99" i="3"/>
  <c r="W99" i="3"/>
  <c r="T99" i="3"/>
  <c r="V99" i="3"/>
  <c r="U99" i="3"/>
  <c r="W145" i="3"/>
  <c r="X145" i="3"/>
  <c r="U13" i="3"/>
  <c r="T13" i="3"/>
  <c r="X13" i="3"/>
  <c r="V13" i="3"/>
  <c r="W13" i="3"/>
  <c r="S13" i="3"/>
  <c r="U60" i="3"/>
  <c r="V60" i="3"/>
  <c r="S60" i="3"/>
  <c r="T60" i="3"/>
  <c r="X60" i="3"/>
  <c r="W60" i="3"/>
  <c r="W118" i="3"/>
  <c r="T118" i="3"/>
  <c r="X118" i="3"/>
  <c r="U118" i="3"/>
  <c r="V118" i="3"/>
  <c r="S118" i="3"/>
  <c r="U68" i="3"/>
  <c r="V68" i="3"/>
  <c r="T68" i="3"/>
  <c r="X68" i="3"/>
  <c r="W68" i="3"/>
  <c r="S68" i="3"/>
  <c r="X8" i="3"/>
  <c r="U8" i="3"/>
  <c r="T8" i="3"/>
  <c r="S8" i="3"/>
  <c r="W8" i="3"/>
  <c r="V8" i="3"/>
  <c r="W25" i="3"/>
  <c r="U25" i="3"/>
  <c r="X25" i="3"/>
  <c r="S25" i="3"/>
  <c r="V25" i="3"/>
  <c r="T25" i="3"/>
  <c r="U65" i="3"/>
  <c r="V65" i="3"/>
  <c r="X65" i="3"/>
  <c r="T65" i="3"/>
  <c r="W65" i="3"/>
  <c r="S65" i="3"/>
  <c r="V38" i="3"/>
  <c r="T38" i="3"/>
  <c r="W38" i="3"/>
  <c r="U38" i="3"/>
  <c r="X38" i="3"/>
  <c r="S38" i="3"/>
  <c r="W54" i="3"/>
  <c r="X54" i="3"/>
  <c r="U54" i="3"/>
  <c r="V54" i="3"/>
  <c r="U67" i="3"/>
  <c r="V67" i="3"/>
  <c r="T67" i="3"/>
  <c r="X67" i="3"/>
  <c r="W67" i="3"/>
  <c r="S67" i="3"/>
  <c r="U78" i="3"/>
  <c r="V78" i="3"/>
  <c r="S78" i="3"/>
  <c r="T78" i="3"/>
  <c r="W78" i="3"/>
  <c r="X78" i="3"/>
  <c r="W114" i="3"/>
  <c r="X114" i="3"/>
  <c r="V114" i="3"/>
  <c r="U114" i="3"/>
  <c r="W129" i="3"/>
  <c r="X129" i="3"/>
  <c r="T129" i="3"/>
  <c r="U129" i="3"/>
  <c r="V129" i="3"/>
  <c r="S129" i="3"/>
  <c r="V32" i="3"/>
  <c r="W32" i="3"/>
  <c r="T32" i="3"/>
  <c r="S32" i="3"/>
  <c r="U32" i="3"/>
  <c r="X32" i="3"/>
  <c r="W45" i="3"/>
  <c r="U45" i="3"/>
  <c r="X45" i="3"/>
  <c r="V45" i="3"/>
  <c r="U66" i="3"/>
  <c r="V66" i="3"/>
  <c r="S66" i="3"/>
  <c r="T66" i="3"/>
  <c r="W66" i="3"/>
  <c r="X66" i="3"/>
  <c r="T105" i="3"/>
  <c r="X105" i="3"/>
  <c r="V105" i="3"/>
  <c r="U105" i="3"/>
  <c r="W105" i="3"/>
  <c r="S105" i="3"/>
  <c r="T121" i="3"/>
  <c r="W121" i="3"/>
  <c r="X121" i="3"/>
  <c r="S121" i="3"/>
  <c r="U121" i="3"/>
  <c r="V121" i="3"/>
  <c r="U14" i="3"/>
  <c r="T14" i="3"/>
  <c r="X14" i="3"/>
  <c r="V14" i="3"/>
  <c r="S14" i="3"/>
  <c r="W14" i="3"/>
  <c r="W24" i="3"/>
  <c r="V24" i="3"/>
  <c r="T24" i="3"/>
  <c r="S24" i="3"/>
  <c r="U24" i="3"/>
  <c r="X24" i="3"/>
  <c r="X33" i="3"/>
  <c r="U33" i="3"/>
  <c r="W33" i="3"/>
  <c r="T33" i="3"/>
  <c r="V33" i="3"/>
  <c r="S33" i="3"/>
  <c r="T49" i="3"/>
  <c r="W49" i="3"/>
  <c r="X49" i="3"/>
  <c r="U49" i="3"/>
  <c r="V49" i="3"/>
  <c r="S49" i="3"/>
  <c r="V62" i="3"/>
  <c r="U62" i="3"/>
  <c r="S62" i="3"/>
  <c r="X62" i="3"/>
  <c r="W62" i="3"/>
  <c r="T62" i="3"/>
  <c r="U77" i="3"/>
  <c r="X77" i="3"/>
  <c r="V77" i="3"/>
  <c r="T77" i="3"/>
  <c r="S77" i="3"/>
  <c r="W77" i="3"/>
  <c r="U86" i="3"/>
  <c r="V86" i="3"/>
  <c r="T86" i="3"/>
  <c r="W86" i="3"/>
  <c r="X86" i="3"/>
  <c r="S86" i="3"/>
  <c r="T97" i="3"/>
  <c r="V97" i="3"/>
  <c r="U97" i="3"/>
  <c r="S97" i="3"/>
  <c r="X97" i="3"/>
  <c r="W97" i="3"/>
  <c r="W128" i="3"/>
  <c r="T128" i="3"/>
  <c r="X128" i="3"/>
  <c r="V128" i="3"/>
  <c r="S128" i="3"/>
  <c r="U128" i="3"/>
  <c r="W133" i="3"/>
  <c r="T133" i="3"/>
  <c r="X133" i="3"/>
  <c r="V133" i="3"/>
  <c r="S133" i="3"/>
  <c r="U133" i="3"/>
  <c r="W138" i="3"/>
  <c r="T138" i="3"/>
  <c r="X138" i="3"/>
  <c r="U138" i="3"/>
  <c r="S138" i="3"/>
  <c r="V138" i="3"/>
  <c r="W151" i="3"/>
  <c r="X151" i="3"/>
  <c r="T151" i="3"/>
  <c r="S151" i="3"/>
  <c r="V151" i="3"/>
  <c r="U151" i="3"/>
  <c r="U166" i="3"/>
  <c r="X166" i="3"/>
  <c r="T166" i="3"/>
  <c r="S166" i="3"/>
  <c r="V166" i="3"/>
  <c r="W166" i="3"/>
  <c r="V181" i="3"/>
  <c r="S181" i="3"/>
  <c r="X181" i="3"/>
  <c r="U181" i="3"/>
  <c r="T181" i="3"/>
  <c r="W181" i="3"/>
  <c r="W196" i="3"/>
  <c r="T196" i="3"/>
  <c r="X196" i="3"/>
  <c r="S196" i="3"/>
  <c r="U196" i="3"/>
  <c r="V196" i="3"/>
  <c r="T223" i="3"/>
  <c r="V223" i="3"/>
  <c r="X223" i="3"/>
  <c r="W223" i="3"/>
  <c r="S223" i="3"/>
  <c r="U223" i="3"/>
  <c r="U79" i="3"/>
  <c r="T79" i="3"/>
  <c r="X79" i="3"/>
  <c r="V79" i="3"/>
  <c r="S79" i="3"/>
  <c r="W79" i="3"/>
  <c r="U88" i="3"/>
  <c r="V88" i="3"/>
  <c r="W88" i="3"/>
  <c r="X88" i="3"/>
  <c r="T88" i="3"/>
  <c r="S88" i="3"/>
  <c r="X102" i="3"/>
  <c r="W102" i="3"/>
  <c r="S102" i="3"/>
  <c r="T102" i="3"/>
  <c r="U102" i="3"/>
  <c r="V102" i="3"/>
  <c r="W123" i="3"/>
  <c r="X123" i="3"/>
  <c r="U123" i="3"/>
  <c r="V123" i="3"/>
  <c r="U147" i="3"/>
  <c r="V147" i="3"/>
  <c r="T147" i="3"/>
  <c r="X147" i="3"/>
  <c r="S147" i="3"/>
  <c r="W147" i="3"/>
  <c r="U156" i="3"/>
  <c r="T156" i="3"/>
  <c r="S156" i="3"/>
  <c r="X156" i="3"/>
  <c r="W156" i="3"/>
  <c r="V156" i="3"/>
  <c r="U175" i="3"/>
  <c r="X175" i="3"/>
  <c r="V175" i="3"/>
  <c r="T175" i="3"/>
  <c r="W175" i="3"/>
  <c r="S175" i="3"/>
  <c r="X199" i="3"/>
  <c r="U199" i="3"/>
  <c r="V199" i="3"/>
  <c r="W199" i="3"/>
  <c r="V207" i="3"/>
  <c r="W207" i="3"/>
  <c r="U207" i="3"/>
  <c r="S207" i="3"/>
  <c r="T207" i="3"/>
  <c r="X207" i="3"/>
  <c r="X228" i="3"/>
  <c r="W228" i="3"/>
  <c r="U228" i="3"/>
  <c r="V163" i="3"/>
  <c r="W163" i="3"/>
  <c r="T163" i="3"/>
  <c r="X163" i="3"/>
  <c r="U163" i="3"/>
  <c r="S163" i="3"/>
  <c r="T182" i="3"/>
  <c r="W182" i="3"/>
  <c r="V182" i="3"/>
  <c r="X182" i="3"/>
  <c r="U182" i="3"/>
  <c r="S182" i="3"/>
  <c r="S194" i="3"/>
  <c r="V194" i="3"/>
  <c r="W194" i="3"/>
  <c r="X194" i="3"/>
  <c r="U194" i="3"/>
  <c r="T194" i="3"/>
  <c r="X213" i="3"/>
  <c r="W213" i="3"/>
  <c r="U160" i="3"/>
  <c r="T160" i="3"/>
  <c r="V160" i="3"/>
  <c r="W160" i="3"/>
  <c r="X160" i="3"/>
  <c r="S160" i="3"/>
  <c r="U171" i="3"/>
  <c r="X171" i="3"/>
  <c r="V171" i="3"/>
  <c r="W171" i="3"/>
  <c r="V184" i="3"/>
  <c r="T184" i="3"/>
  <c r="X184" i="3"/>
  <c r="U184" i="3"/>
  <c r="S184" i="3"/>
  <c r="W184" i="3"/>
  <c r="V200" i="3"/>
  <c r="X200" i="3"/>
  <c r="W200" i="3"/>
  <c r="T200" i="3"/>
  <c r="S200" i="3"/>
  <c r="U200" i="3"/>
  <c r="X214" i="3"/>
  <c r="V214" i="3"/>
  <c r="W214" i="3"/>
  <c r="U214" i="3"/>
  <c r="V225" i="3"/>
  <c r="W225" i="3"/>
  <c r="T225" i="3"/>
  <c r="X225" i="3"/>
  <c r="U225" i="3"/>
  <c r="S225" i="3"/>
  <c r="V244" i="3"/>
  <c r="T244" i="3"/>
  <c r="X244" i="3"/>
  <c r="S244" i="3"/>
  <c r="W244" i="3"/>
  <c r="U244" i="3"/>
  <c r="U268" i="3"/>
  <c r="V268" i="3"/>
  <c r="T268" i="3"/>
  <c r="X268" i="3"/>
  <c r="S268" i="3"/>
  <c r="W268" i="3"/>
  <c r="X236" i="3"/>
  <c r="W236" i="3"/>
  <c r="V236" i="3"/>
  <c r="U236" i="3"/>
  <c r="W272" i="3"/>
  <c r="X272" i="3"/>
  <c r="S272" i="3"/>
  <c r="U272" i="3"/>
  <c r="V272" i="3"/>
  <c r="T272" i="3"/>
  <c r="W325" i="3"/>
  <c r="U325" i="3"/>
  <c r="T325" i="3"/>
  <c r="V325" i="3"/>
  <c r="X325" i="3"/>
  <c r="S325" i="3"/>
  <c r="V255" i="3"/>
  <c r="T255" i="3"/>
  <c r="W255" i="3"/>
  <c r="U255" i="3"/>
  <c r="S255" i="3"/>
  <c r="X255" i="3"/>
  <c r="X286" i="3"/>
  <c r="T286" i="3"/>
  <c r="W286" i="3"/>
  <c r="S286" i="3"/>
  <c r="U286" i="3"/>
  <c r="V286" i="3"/>
  <c r="S308" i="3"/>
  <c r="U308" i="3"/>
  <c r="T308" i="3"/>
  <c r="V308" i="3"/>
  <c r="X308" i="3"/>
  <c r="W308" i="3"/>
  <c r="U323" i="3"/>
  <c r="X323" i="3"/>
  <c r="V323" i="3"/>
  <c r="W323" i="3"/>
  <c r="V219" i="3"/>
  <c r="X219" i="3"/>
  <c r="T219" i="3"/>
  <c r="S219" i="3"/>
  <c r="W219" i="3"/>
  <c r="U219" i="3"/>
  <c r="V232" i="3"/>
  <c r="T232" i="3"/>
  <c r="W232" i="3"/>
  <c r="X232" i="3"/>
  <c r="S232" i="3"/>
  <c r="U232" i="3"/>
  <c r="V252" i="3"/>
  <c r="U252" i="3"/>
  <c r="W252" i="3"/>
  <c r="X252" i="3"/>
  <c r="S252" i="3"/>
  <c r="T252" i="3"/>
  <c r="V260" i="3"/>
  <c r="U260" i="3"/>
  <c r="T260" i="3"/>
  <c r="W260" i="3"/>
  <c r="S260" i="3"/>
  <c r="X260" i="3"/>
  <c r="V273" i="3"/>
  <c r="S273" i="3"/>
  <c r="X273" i="3"/>
  <c r="W273" i="3"/>
  <c r="T273" i="3"/>
  <c r="U273" i="3"/>
  <c r="X280" i="3"/>
  <c r="T280" i="3"/>
  <c r="U280" i="3"/>
  <c r="S280" i="3"/>
  <c r="V280" i="3"/>
  <c r="W280" i="3"/>
  <c r="V287" i="3"/>
  <c r="T287" i="3"/>
  <c r="S287" i="3"/>
  <c r="U287" i="3"/>
  <c r="W287" i="3"/>
  <c r="X287" i="3"/>
  <c r="U294" i="3"/>
  <c r="S294" i="3"/>
  <c r="X294" i="3"/>
  <c r="V294" i="3"/>
  <c r="W294" i="3"/>
  <c r="T294" i="3"/>
  <c r="X299" i="3"/>
  <c r="W299" i="3"/>
  <c r="V299" i="3"/>
  <c r="U299" i="3"/>
  <c r="U314" i="3"/>
  <c r="W314" i="3"/>
  <c r="X314" i="3"/>
  <c r="V314" i="3"/>
  <c r="V242" i="3"/>
  <c r="T242" i="3"/>
  <c r="S242" i="3"/>
  <c r="X242" i="3"/>
  <c r="U242" i="3"/>
  <c r="W242" i="3"/>
  <c r="V254" i="3"/>
  <c r="W254" i="3"/>
  <c r="S254" i="3"/>
  <c r="X254" i="3"/>
  <c r="U254" i="3"/>
  <c r="T254" i="3"/>
  <c r="U263" i="3"/>
  <c r="S263" i="3"/>
  <c r="V263" i="3"/>
  <c r="T263" i="3"/>
  <c r="W263" i="3"/>
  <c r="X263" i="3"/>
  <c r="W304" i="3"/>
  <c r="U304" i="3"/>
  <c r="X304" i="3"/>
  <c r="V304" i="3"/>
  <c r="V318" i="3"/>
  <c r="S318" i="3"/>
  <c r="X318" i="3"/>
  <c r="W318" i="3"/>
  <c r="T318" i="3"/>
  <c r="U318" i="3"/>
  <c r="AB145" i="3"/>
  <c r="Y56" i="3"/>
  <c r="Q5" i="3"/>
  <c r="R5" i="3"/>
  <c r="O5" i="3"/>
  <c r="N5" i="3"/>
  <c r="P5" i="3"/>
  <c r="M5" i="3"/>
  <c r="O31" i="3"/>
  <c r="P31" i="3"/>
  <c r="Q31" i="3"/>
  <c r="R31" i="3"/>
  <c r="Q104" i="3"/>
  <c r="P104" i="3"/>
  <c r="M104" i="3"/>
  <c r="R104" i="3"/>
  <c r="N104" i="3"/>
  <c r="O104" i="3"/>
  <c r="Q13" i="3"/>
  <c r="O13" i="3"/>
  <c r="P13" i="3"/>
  <c r="R13" i="3"/>
  <c r="N13" i="3"/>
  <c r="M13" i="3"/>
  <c r="Q11" i="3"/>
  <c r="R11" i="3"/>
  <c r="P11" i="3"/>
  <c r="O11" i="3"/>
  <c r="N11" i="3"/>
  <c r="M11" i="3"/>
  <c r="O36" i="3"/>
  <c r="P36" i="3"/>
  <c r="Q36" i="3"/>
  <c r="M36" i="3"/>
  <c r="N36" i="3"/>
  <c r="R36" i="3"/>
  <c r="Q105" i="3"/>
  <c r="O105" i="3"/>
  <c r="R105" i="3"/>
  <c r="P105" i="3"/>
  <c r="M105" i="3"/>
  <c r="N105" i="3"/>
  <c r="Q7" i="3"/>
  <c r="P7" i="3"/>
  <c r="O7" i="3"/>
  <c r="R7" i="3"/>
  <c r="N7" i="3"/>
  <c r="M7" i="3"/>
  <c r="P90" i="3"/>
  <c r="Q90" i="3"/>
  <c r="M90" i="3"/>
  <c r="R90" i="3"/>
  <c r="N90" i="3"/>
  <c r="O90" i="3"/>
  <c r="P25" i="3"/>
  <c r="M25" i="3"/>
  <c r="Q25" i="3"/>
  <c r="O25" i="3"/>
  <c r="R25" i="3"/>
  <c r="N25" i="3"/>
  <c r="R46" i="3"/>
  <c r="Q46" i="3"/>
  <c r="O46" i="3"/>
  <c r="P46" i="3"/>
  <c r="M46" i="3"/>
  <c r="N46" i="3"/>
  <c r="P60" i="3"/>
  <c r="Q60" i="3"/>
  <c r="O60" i="3"/>
  <c r="R60" i="3"/>
  <c r="Q70" i="3"/>
  <c r="R70" i="3"/>
  <c r="P70" i="3"/>
  <c r="N70" i="3"/>
  <c r="O70" i="3"/>
  <c r="M70" i="3"/>
  <c r="Q89" i="3"/>
  <c r="O89" i="3"/>
  <c r="P89" i="3"/>
  <c r="R89" i="3"/>
  <c r="Q102" i="3"/>
  <c r="O102" i="3"/>
  <c r="M102" i="3"/>
  <c r="N102" i="3"/>
  <c r="P102" i="3"/>
  <c r="R102" i="3"/>
  <c r="R116" i="3"/>
  <c r="P116" i="3"/>
  <c r="O116" i="3"/>
  <c r="Q116" i="3"/>
  <c r="R125" i="3"/>
  <c r="O125" i="3"/>
  <c r="P125" i="3"/>
  <c r="Q125" i="3"/>
  <c r="R136" i="3"/>
  <c r="P136" i="3"/>
  <c r="M136" i="3"/>
  <c r="Q136" i="3"/>
  <c r="O136" i="3"/>
  <c r="N136" i="3"/>
  <c r="Q16" i="3"/>
  <c r="N16" i="3"/>
  <c r="R16" i="3"/>
  <c r="P16" i="3"/>
  <c r="O16" i="3"/>
  <c r="M16" i="3"/>
  <c r="M27" i="3"/>
  <c r="Q27" i="3"/>
  <c r="P27" i="3"/>
  <c r="O27" i="3"/>
  <c r="N27" i="3"/>
  <c r="R27" i="3"/>
  <c r="M35" i="3"/>
  <c r="P35" i="3"/>
  <c r="O35" i="3"/>
  <c r="Q35" i="3"/>
  <c r="R35" i="3"/>
  <c r="N35" i="3"/>
  <c r="O52" i="3"/>
  <c r="Q52" i="3"/>
  <c r="P52" i="3"/>
  <c r="R52" i="3"/>
  <c r="M52" i="3"/>
  <c r="N52" i="3"/>
  <c r="Q69" i="3"/>
  <c r="R69" i="3"/>
  <c r="O69" i="3"/>
  <c r="M69" i="3"/>
  <c r="N69" i="3"/>
  <c r="P69" i="3"/>
  <c r="O83" i="3"/>
  <c r="M83" i="3"/>
  <c r="P83" i="3"/>
  <c r="Q83" i="3"/>
  <c r="N83" i="3"/>
  <c r="R83" i="3"/>
  <c r="N97" i="3"/>
  <c r="R97" i="3"/>
  <c r="Q97" i="3"/>
  <c r="M97" i="3"/>
  <c r="P97" i="3"/>
  <c r="O97" i="3"/>
  <c r="R135" i="3"/>
  <c r="P135" i="3"/>
  <c r="O135" i="3"/>
  <c r="Q135" i="3"/>
  <c r="N135" i="3"/>
  <c r="M135" i="3"/>
  <c r="Q38" i="3"/>
  <c r="P38" i="3"/>
  <c r="M38" i="3"/>
  <c r="O38" i="3"/>
  <c r="N38" i="3"/>
  <c r="R38" i="3"/>
  <c r="R54" i="3"/>
  <c r="O54" i="3"/>
  <c r="Q54" i="3"/>
  <c r="P54" i="3"/>
  <c r="M54" i="3"/>
  <c r="N54" i="3"/>
  <c r="Q67" i="3"/>
  <c r="O67" i="3"/>
  <c r="R67" i="3"/>
  <c r="P67" i="3"/>
  <c r="N67" i="3"/>
  <c r="M67" i="3"/>
  <c r="R78" i="3"/>
  <c r="P78" i="3"/>
  <c r="N78" i="3"/>
  <c r="M78" i="3"/>
  <c r="Q78" i="3"/>
  <c r="O78" i="3"/>
  <c r="R106" i="3"/>
  <c r="M106" i="3"/>
  <c r="P106" i="3"/>
  <c r="Q106" i="3"/>
  <c r="O106" i="3"/>
  <c r="N106" i="3"/>
  <c r="R123" i="3"/>
  <c r="O123" i="3"/>
  <c r="P123" i="3"/>
  <c r="Q123" i="3"/>
  <c r="Q146" i="3"/>
  <c r="N146" i="3"/>
  <c r="O146" i="3"/>
  <c r="P146" i="3"/>
  <c r="R146" i="3"/>
  <c r="M146" i="3"/>
  <c r="O147" i="3"/>
  <c r="R147" i="3"/>
  <c r="M147" i="3"/>
  <c r="Q147" i="3"/>
  <c r="N147" i="3"/>
  <c r="P147" i="3"/>
  <c r="Q156" i="3"/>
  <c r="R156" i="3"/>
  <c r="N156" i="3"/>
  <c r="O156" i="3"/>
  <c r="P156" i="3"/>
  <c r="M156" i="3"/>
  <c r="Q175" i="3"/>
  <c r="O175" i="3"/>
  <c r="R175" i="3"/>
  <c r="P175" i="3"/>
  <c r="N175" i="3"/>
  <c r="M175" i="3"/>
  <c r="O199" i="3"/>
  <c r="P199" i="3"/>
  <c r="Q199" i="3"/>
  <c r="M199" i="3"/>
  <c r="R199" i="3"/>
  <c r="N199" i="3"/>
  <c r="R207" i="3"/>
  <c r="P207" i="3"/>
  <c r="O207" i="3"/>
  <c r="N207" i="3"/>
  <c r="M207" i="3"/>
  <c r="Q207" i="3"/>
  <c r="Q86" i="3"/>
  <c r="P86" i="3"/>
  <c r="O86" i="3"/>
  <c r="R86" i="3"/>
  <c r="O101" i="3"/>
  <c r="Q101" i="3"/>
  <c r="P101" i="3"/>
  <c r="R101" i="3"/>
  <c r="M101" i="3"/>
  <c r="N101" i="3"/>
  <c r="R121" i="3"/>
  <c r="O121" i="3"/>
  <c r="P121" i="3"/>
  <c r="M121" i="3"/>
  <c r="N121" i="3"/>
  <c r="Q121" i="3"/>
  <c r="P140" i="3"/>
  <c r="R140" i="3"/>
  <c r="N140" i="3"/>
  <c r="Q140" i="3"/>
  <c r="O140" i="3"/>
  <c r="M140" i="3"/>
  <c r="Q163" i="3"/>
  <c r="O163" i="3"/>
  <c r="N163" i="3"/>
  <c r="R163" i="3"/>
  <c r="P163" i="3"/>
  <c r="M163" i="3"/>
  <c r="P182" i="3"/>
  <c r="Q182" i="3"/>
  <c r="N182" i="3"/>
  <c r="M182" i="3"/>
  <c r="R182" i="3"/>
  <c r="O182" i="3"/>
  <c r="P194" i="3"/>
  <c r="M194" i="3"/>
  <c r="O194" i="3"/>
  <c r="R194" i="3"/>
  <c r="Q194" i="3"/>
  <c r="N194" i="3"/>
  <c r="R213" i="3"/>
  <c r="Q213" i="3"/>
  <c r="N213" i="3"/>
  <c r="M213" i="3"/>
  <c r="P213" i="3"/>
  <c r="O213" i="3"/>
  <c r="Q169" i="3"/>
  <c r="O169" i="3"/>
  <c r="P169" i="3"/>
  <c r="N169" i="3"/>
  <c r="M169" i="3"/>
  <c r="R169" i="3"/>
  <c r="R180" i="3"/>
  <c r="O180" i="3"/>
  <c r="M180" i="3"/>
  <c r="Q180" i="3"/>
  <c r="P180" i="3"/>
  <c r="N180" i="3"/>
  <c r="Q195" i="3"/>
  <c r="O195" i="3"/>
  <c r="N195" i="3"/>
  <c r="R195" i="3"/>
  <c r="M195" i="3"/>
  <c r="P195" i="3"/>
  <c r="O210" i="3"/>
  <c r="R210" i="3"/>
  <c r="Q210" i="3"/>
  <c r="N210" i="3"/>
  <c r="M210" i="3"/>
  <c r="P210" i="3"/>
  <c r="Q218" i="3"/>
  <c r="P218" i="3"/>
  <c r="R218" i="3"/>
  <c r="O218" i="3"/>
  <c r="N218" i="3"/>
  <c r="M218" i="3"/>
  <c r="Q151" i="3"/>
  <c r="O151" i="3"/>
  <c r="R151" i="3"/>
  <c r="M151" i="3"/>
  <c r="P151" i="3"/>
  <c r="N151" i="3"/>
  <c r="Q166" i="3"/>
  <c r="O166" i="3"/>
  <c r="R166" i="3"/>
  <c r="P166" i="3"/>
  <c r="R181" i="3"/>
  <c r="Q181" i="3"/>
  <c r="P181" i="3"/>
  <c r="O181" i="3"/>
  <c r="P196" i="3"/>
  <c r="Q196" i="3"/>
  <c r="M196" i="3"/>
  <c r="R196" i="3"/>
  <c r="N196" i="3"/>
  <c r="O196" i="3"/>
  <c r="P220" i="3"/>
  <c r="R220" i="3"/>
  <c r="M220" i="3"/>
  <c r="N220" i="3"/>
  <c r="Q220" i="3"/>
  <c r="O220" i="3"/>
  <c r="O247" i="3"/>
  <c r="R247" i="3"/>
  <c r="Q247" i="3"/>
  <c r="N247" i="3"/>
  <c r="M247" i="3"/>
  <c r="P247" i="3"/>
  <c r="Q254" i="3"/>
  <c r="O254" i="3"/>
  <c r="R254" i="3"/>
  <c r="N254" i="3"/>
  <c r="M254" i="3"/>
  <c r="P254" i="3"/>
  <c r="O311" i="3"/>
  <c r="P311" i="3"/>
  <c r="R311" i="3"/>
  <c r="Q311" i="3"/>
  <c r="R243" i="3"/>
  <c r="N243" i="3"/>
  <c r="O243" i="3"/>
  <c r="M243" i="3"/>
  <c r="P243" i="3"/>
  <c r="Q243" i="3"/>
  <c r="R275" i="3"/>
  <c r="O275" i="3"/>
  <c r="P275" i="3"/>
  <c r="Q275" i="3"/>
  <c r="O304" i="3"/>
  <c r="P304" i="3"/>
  <c r="Q304" i="3"/>
  <c r="R304" i="3"/>
  <c r="Q252" i="3"/>
  <c r="O252" i="3"/>
  <c r="P252" i="3"/>
  <c r="R252" i="3"/>
  <c r="M252" i="3"/>
  <c r="N252" i="3"/>
  <c r="O260" i="3"/>
  <c r="P260" i="3"/>
  <c r="M260" i="3"/>
  <c r="N260" i="3"/>
  <c r="Q260" i="3"/>
  <c r="R260" i="3"/>
  <c r="R273" i="3"/>
  <c r="O273" i="3"/>
  <c r="Q273" i="3"/>
  <c r="N273" i="3"/>
  <c r="M273" i="3"/>
  <c r="P273" i="3"/>
  <c r="N280" i="3"/>
  <c r="R280" i="3"/>
  <c r="Q280" i="3"/>
  <c r="O280" i="3"/>
  <c r="P280" i="3"/>
  <c r="M280" i="3"/>
  <c r="Q287" i="3"/>
  <c r="O287" i="3"/>
  <c r="N287" i="3"/>
  <c r="R287" i="3"/>
  <c r="P287" i="3"/>
  <c r="M287" i="3"/>
  <c r="Q294" i="3"/>
  <c r="N294" i="3"/>
  <c r="R294" i="3"/>
  <c r="O294" i="3"/>
  <c r="P294" i="3"/>
  <c r="M294" i="3"/>
  <c r="R299" i="3"/>
  <c r="P299" i="3"/>
  <c r="O299" i="3"/>
  <c r="Q299" i="3"/>
  <c r="M299" i="3"/>
  <c r="N299" i="3"/>
  <c r="O314" i="3"/>
  <c r="P314" i="3"/>
  <c r="M314" i="3"/>
  <c r="N314" i="3"/>
  <c r="R314" i="3"/>
  <c r="Q314" i="3"/>
  <c r="P224" i="3"/>
  <c r="O224" i="3"/>
  <c r="M224" i="3"/>
  <c r="R224" i="3"/>
  <c r="N224" i="3"/>
  <c r="Q224" i="3"/>
  <c r="Q235" i="3"/>
  <c r="P235" i="3"/>
  <c r="O235" i="3"/>
  <c r="R235" i="3"/>
  <c r="M246" i="3"/>
  <c r="N246" i="3"/>
  <c r="P246" i="3"/>
  <c r="O246" i="3"/>
  <c r="R246" i="3"/>
  <c r="Q246" i="3"/>
  <c r="P269" i="3"/>
  <c r="R269" i="3"/>
  <c r="Q269" i="3"/>
  <c r="O269" i="3"/>
  <c r="N269" i="3"/>
  <c r="M269" i="3"/>
  <c r="Q290" i="3"/>
  <c r="O290" i="3"/>
  <c r="R290" i="3"/>
  <c r="N290" i="3"/>
  <c r="M290" i="3"/>
  <c r="P290" i="3"/>
  <c r="R317" i="3"/>
  <c r="O317" i="3"/>
  <c r="P317" i="3"/>
  <c r="M317" i="3"/>
  <c r="N317" i="3"/>
  <c r="Q317" i="3"/>
  <c r="R241" i="3"/>
  <c r="O241" i="3"/>
  <c r="P241" i="3"/>
  <c r="Q241" i="3"/>
  <c r="M255" i="3"/>
  <c r="R255" i="3"/>
  <c r="Q255" i="3"/>
  <c r="O255" i="3"/>
  <c r="N255" i="3"/>
  <c r="P255" i="3"/>
  <c r="Q286" i="3"/>
  <c r="N286" i="3"/>
  <c r="R286" i="3"/>
  <c r="O286" i="3"/>
  <c r="M286" i="3"/>
  <c r="P286" i="3"/>
  <c r="O308" i="3"/>
  <c r="P308" i="3"/>
  <c r="R308" i="3"/>
  <c r="Q308" i="3"/>
  <c r="N308" i="3"/>
  <c r="M308" i="3"/>
  <c r="AF29" i="3"/>
  <c r="AE29" i="3"/>
  <c r="AH29" i="3"/>
  <c r="AG29" i="3"/>
  <c r="AJ29" i="3"/>
  <c r="AI29" i="3"/>
  <c r="AI117" i="3"/>
  <c r="AG117" i="3"/>
  <c r="AH117" i="3"/>
  <c r="AJ117" i="3"/>
  <c r="AJ11" i="3"/>
  <c r="AH11" i="3"/>
  <c r="AI11" i="3"/>
  <c r="AE11" i="3"/>
  <c r="AG11" i="3"/>
  <c r="AF11" i="3"/>
  <c r="AJ40" i="3"/>
  <c r="AH40" i="3"/>
  <c r="AG40" i="3"/>
  <c r="AI40" i="3"/>
  <c r="AH82" i="3"/>
  <c r="AJ82" i="3"/>
  <c r="AG82" i="3"/>
  <c r="AI82" i="3"/>
  <c r="AG115" i="3"/>
  <c r="AF115" i="3"/>
  <c r="AH115" i="3"/>
  <c r="AI115" i="3"/>
  <c r="AJ115" i="3"/>
  <c r="AE115" i="3"/>
  <c r="AJ4" i="3"/>
  <c r="AH4" i="3"/>
  <c r="AG4" i="3"/>
  <c r="AE4" i="3"/>
  <c r="AF4" i="3"/>
  <c r="AI4" i="3"/>
  <c r="AI16" i="3"/>
  <c r="AH16" i="3"/>
  <c r="AJ16" i="3"/>
  <c r="AG16" i="3"/>
  <c r="AG35" i="3"/>
  <c r="AJ35" i="3"/>
  <c r="AH35" i="3"/>
  <c r="AF35" i="3"/>
  <c r="AI35" i="3"/>
  <c r="AE35" i="3"/>
  <c r="AG123" i="3"/>
  <c r="AI123" i="3"/>
  <c r="AH123" i="3"/>
  <c r="AJ123" i="3"/>
  <c r="AH6" i="3"/>
  <c r="AJ6" i="3"/>
  <c r="AG6" i="3"/>
  <c r="AE6" i="3"/>
  <c r="AF6" i="3"/>
  <c r="AI6" i="3"/>
  <c r="AJ52" i="3"/>
  <c r="AH52" i="3"/>
  <c r="AG52" i="3"/>
  <c r="AI52" i="3"/>
  <c r="AE149" i="3"/>
  <c r="AH149" i="3"/>
  <c r="AI149" i="3"/>
  <c r="AF149" i="3"/>
  <c r="AJ149" i="3"/>
  <c r="AG149" i="3"/>
  <c r="AJ37" i="3"/>
  <c r="AH37" i="3"/>
  <c r="AF37" i="3"/>
  <c r="AG37" i="3"/>
  <c r="AI37" i="3"/>
  <c r="AE37" i="3"/>
  <c r="AI53" i="3"/>
  <c r="AF53" i="3"/>
  <c r="AJ53" i="3"/>
  <c r="AG53" i="3"/>
  <c r="AH53" i="3"/>
  <c r="AE53" i="3"/>
  <c r="AJ96" i="3"/>
  <c r="AH96" i="3"/>
  <c r="AF96" i="3"/>
  <c r="AG96" i="3"/>
  <c r="AI96" i="3"/>
  <c r="AE96" i="3"/>
  <c r="AI143" i="3"/>
  <c r="AJ143" i="3"/>
  <c r="AH143" i="3"/>
  <c r="AG143" i="3"/>
  <c r="AI18" i="3"/>
  <c r="AG18" i="3"/>
  <c r="AF18" i="3"/>
  <c r="AJ18" i="3"/>
  <c r="AE18" i="3"/>
  <c r="AH18" i="3"/>
  <c r="AE42" i="3"/>
  <c r="AF42" i="3"/>
  <c r="AH42" i="3"/>
  <c r="AI42" i="3"/>
  <c r="AG42" i="3"/>
  <c r="AJ42" i="3"/>
  <c r="AH61" i="3"/>
  <c r="AJ61" i="3"/>
  <c r="AI61" i="3"/>
  <c r="AG61" i="3"/>
  <c r="AH73" i="3"/>
  <c r="AJ73" i="3"/>
  <c r="AI73" i="3"/>
  <c r="AG73" i="3"/>
  <c r="AH92" i="3"/>
  <c r="AJ92" i="3"/>
  <c r="AG92" i="3"/>
  <c r="AF92" i="3"/>
  <c r="AE92" i="3"/>
  <c r="AI92" i="3"/>
  <c r="AI102" i="3"/>
  <c r="AH102" i="3"/>
  <c r="AJ102" i="3"/>
  <c r="AG102" i="3"/>
  <c r="AI118" i="3"/>
  <c r="AH118" i="3"/>
  <c r="AJ118" i="3"/>
  <c r="AG118" i="3"/>
  <c r="AI138" i="3"/>
  <c r="AH138" i="3"/>
  <c r="AF138" i="3"/>
  <c r="AJ138" i="3"/>
  <c r="AG138" i="3"/>
  <c r="AE138" i="3"/>
  <c r="AI19" i="3"/>
  <c r="AG19" i="3"/>
  <c r="AF19" i="3"/>
  <c r="AH19" i="3"/>
  <c r="AE19" i="3"/>
  <c r="AJ19" i="3"/>
  <c r="AI28" i="3"/>
  <c r="AF28" i="3"/>
  <c r="AH28" i="3"/>
  <c r="AJ28" i="3"/>
  <c r="AG28" i="3"/>
  <c r="AE28" i="3"/>
  <c r="AI50" i="3"/>
  <c r="AG50" i="3"/>
  <c r="AF50" i="3"/>
  <c r="AH50" i="3"/>
  <c r="AJ50" i="3"/>
  <c r="AE50" i="3"/>
  <c r="AH65" i="3"/>
  <c r="AJ65" i="3"/>
  <c r="AI65" i="3"/>
  <c r="AF65" i="3"/>
  <c r="AG65" i="3"/>
  <c r="AE65" i="3"/>
  <c r="AH79" i="3"/>
  <c r="AJ79" i="3"/>
  <c r="AI79" i="3"/>
  <c r="AF79" i="3"/>
  <c r="AE79" i="3"/>
  <c r="AG79" i="3"/>
  <c r="AI131" i="3"/>
  <c r="AF131" i="3"/>
  <c r="AJ131" i="3"/>
  <c r="AG131" i="3"/>
  <c r="AE131" i="3"/>
  <c r="AH131" i="3"/>
  <c r="AI129" i="3"/>
  <c r="AJ129" i="3"/>
  <c r="AG129" i="3"/>
  <c r="AE129" i="3"/>
  <c r="AH129" i="3"/>
  <c r="AF129" i="3"/>
  <c r="AH142" i="3"/>
  <c r="AE142" i="3"/>
  <c r="AI142" i="3"/>
  <c r="AJ142" i="3"/>
  <c r="AG142" i="3"/>
  <c r="AF142" i="3"/>
  <c r="AG165" i="3"/>
  <c r="AH165" i="3"/>
  <c r="AI165" i="3"/>
  <c r="AE165" i="3"/>
  <c r="AF165" i="3"/>
  <c r="AJ165" i="3"/>
  <c r="AH185" i="3"/>
  <c r="AF185" i="3"/>
  <c r="AJ185" i="3"/>
  <c r="AI185" i="3"/>
  <c r="AG185" i="3"/>
  <c r="AE185" i="3"/>
  <c r="AH202" i="3"/>
  <c r="AI202" i="3"/>
  <c r="AJ202" i="3"/>
  <c r="AG202" i="3"/>
  <c r="AH250" i="3"/>
  <c r="AJ250" i="3"/>
  <c r="AF250" i="3"/>
  <c r="AI250" i="3"/>
  <c r="AE250" i="3"/>
  <c r="AG250" i="3"/>
  <c r="AH85" i="3"/>
  <c r="AJ85" i="3"/>
  <c r="AI85" i="3"/>
  <c r="AG85" i="3"/>
  <c r="AE85" i="3"/>
  <c r="AF85" i="3"/>
  <c r="AH97" i="3"/>
  <c r="AJ97" i="3"/>
  <c r="AG97" i="3"/>
  <c r="AI97" i="3"/>
  <c r="AI113" i="3"/>
  <c r="AJ113" i="3"/>
  <c r="AF113" i="3"/>
  <c r="AG113" i="3"/>
  <c r="AH113" i="3"/>
  <c r="AE113" i="3"/>
  <c r="AG126" i="3"/>
  <c r="AE126" i="3"/>
  <c r="AH126" i="3"/>
  <c r="AI126" i="3"/>
  <c r="AF126" i="3"/>
  <c r="AJ126" i="3"/>
  <c r="AI153" i="3"/>
  <c r="AJ153" i="3"/>
  <c r="AH153" i="3"/>
  <c r="AG153" i="3"/>
  <c r="AG169" i="3"/>
  <c r="AH169" i="3"/>
  <c r="AI169" i="3"/>
  <c r="AE169" i="3"/>
  <c r="AJ169" i="3"/>
  <c r="AF169" i="3"/>
  <c r="AJ180" i="3"/>
  <c r="AI180" i="3"/>
  <c r="AF180" i="3"/>
  <c r="AH180" i="3"/>
  <c r="AE180" i="3"/>
  <c r="AG180" i="3"/>
  <c r="AH195" i="3"/>
  <c r="AJ195" i="3"/>
  <c r="AE195" i="3"/>
  <c r="AI195" i="3"/>
  <c r="AG195" i="3"/>
  <c r="AF195" i="3"/>
  <c r="AH210" i="3"/>
  <c r="AI210" i="3"/>
  <c r="AJ210" i="3"/>
  <c r="AG210" i="3"/>
  <c r="AF218" i="3"/>
  <c r="AH218" i="3"/>
  <c r="AG218" i="3"/>
  <c r="AJ218" i="3"/>
  <c r="AE218" i="3"/>
  <c r="AI218" i="3"/>
  <c r="AG223" i="3"/>
  <c r="AJ223" i="3"/>
  <c r="AI223" i="3"/>
  <c r="AH223" i="3"/>
  <c r="AI164" i="3"/>
  <c r="AH164" i="3"/>
  <c r="AG164" i="3"/>
  <c r="AJ164" i="3"/>
  <c r="AG177" i="3"/>
  <c r="AH177" i="3"/>
  <c r="AJ177" i="3"/>
  <c r="AF177" i="3"/>
  <c r="AE177" i="3"/>
  <c r="AI177" i="3"/>
  <c r="AH193" i="3"/>
  <c r="AI193" i="3"/>
  <c r="AE193" i="3"/>
  <c r="AJ193" i="3"/>
  <c r="AF193" i="3"/>
  <c r="AG193" i="3"/>
  <c r="AI228" i="3"/>
  <c r="AF228" i="3"/>
  <c r="AE228" i="3"/>
  <c r="AH228" i="3"/>
  <c r="AJ228" i="3"/>
  <c r="AG228" i="3"/>
  <c r="AH154" i="3"/>
  <c r="AJ154" i="3"/>
  <c r="AG154" i="3"/>
  <c r="AI154" i="3"/>
  <c r="AF154" i="3"/>
  <c r="AE154" i="3"/>
  <c r="AE167" i="3"/>
  <c r="AG167" i="3"/>
  <c r="AI167" i="3"/>
  <c r="AH167" i="3"/>
  <c r="AJ167" i="3"/>
  <c r="AF167" i="3"/>
  <c r="AH191" i="3"/>
  <c r="AE191" i="3"/>
  <c r="AG191" i="3"/>
  <c r="AF191" i="3"/>
  <c r="AJ191" i="3"/>
  <c r="AI191" i="3"/>
  <c r="AH204" i="3"/>
  <c r="AF204" i="3"/>
  <c r="AE204" i="3"/>
  <c r="AJ204" i="3"/>
  <c r="AI204" i="3"/>
  <c r="AG204" i="3"/>
  <c r="AJ216" i="3"/>
  <c r="AF216" i="3"/>
  <c r="AE216" i="3"/>
  <c r="AI216" i="3"/>
  <c r="AG216" i="3"/>
  <c r="AH216" i="3"/>
  <c r="AI279" i="3"/>
  <c r="AJ279" i="3"/>
  <c r="AG279" i="3"/>
  <c r="AH279" i="3"/>
  <c r="AJ248" i="3"/>
  <c r="AF248" i="3"/>
  <c r="AH248" i="3"/>
  <c r="AG248" i="3"/>
  <c r="AI248" i="3"/>
  <c r="AE248" i="3"/>
  <c r="AI240" i="3"/>
  <c r="AG240" i="3"/>
  <c r="AF240" i="3"/>
  <c r="AH240" i="3"/>
  <c r="AJ240" i="3"/>
  <c r="AE240" i="3"/>
  <c r="AG321" i="3"/>
  <c r="AH321" i="3"/>
  <c r="AJ321" i="3"/>
  <c r="AI321" i="3"/>
  <c r="AG265" i="3"/>
  <c r="AI265" i="3"/>
  <c r="AH265" i="3"/>
  <c r="AJ265" i="3"/>
  <c r="AG270" i="3"/>
  <c r="AI270" i="3"/>
  <c r="AH270" i="3"/>
  <c r="AJ270" i="3"/>
  <c r="AE300" i="3"/>
  <c r="AI300" i="3"/>
  <c r="AF300" i="3"/>
  <c r="AJ300" i="3"/>
  <c r="AH300" i="3"/>
  <c r="AG300" i="3"/>
  <c r="AI320" i="3"/>
  <c r="AJ320" i="3"/>
  <c r="AH320" i="3"/>
  <c r="AG320" i="3"/>
  <c r="AI234" i="3"/>
  <c r="AJ234" i="3"/>
  <c r="AE234" i="3"/>
  <c r="AH234" i="3"/>
  <c r="AG234" i="3"/>
  <c r="AF234" i="3"/>
  <c r="AF247" i="3"/>
  <c r="AH247" i="3"/>
  <c r="AI247" i="3"/>
  <c r="AG247" i="3"/>
  <c r="AE247" i="3"/>
  <c r="AJ247" i="3"/>
  <c r="AH261" i="3"/>
  <c r="AF261" i="3"/>
  <c r="AI261" i="3"/>
  <c r="AG261" i="3"/>
  <c r="AJ261" i="3"/>
  <c r="AE261" i="3"/>
  <c r="AH293" i="3"/>
  <c r="AF293" i="3"/>
  <c r="AJ293" i="3"/>
  <c r="AE293" i="3"/>
  <c r="AG293" i="3"/>
  <c r="AI293" i="3"/>
  <c r="AG310" i="3"/>
  <c r="AI310" i="3"/>
  <c r="AJ310" i="3"/>
  <c r="AH310" i="3"/>
  <c r="AH233" i="3"/>
  <c r="AI233" i="3"/>
  <c r="AF233" i="3"/>
  <c r="AG233" i="3"/>
  <c r="AE233" i="3"/>
  <c r="AJ233" i="3"/>
  <c r="AH256" i="3"/>
  <c r="AJ256" i="3"/>
  <c r="AF256" i="3"/>
  <c r="AI256" i="3"/>
  <c r="AE256" i="3"/>
  <c r="AG256" i="3"/>
  <c r="AI264" i="3"/>
  <c r="AG264" i="3"/>
  <c r="AH264" i="3"/>
  <c r="AJ264" i="3"/>
  <c r="AH276" i="3"/>
  <c r="AI276" i="3"/>
  <c r="AJ276" i="3"/>
  <c r="AG276" i="3"/>
  <c r="AE282" i="3"/>
  <c r="AH282" i="3"/>
  <c r="AI282" i="3"/>
  <c r="AG282" i="3"/>
  <c r="AJ282" i="3"/>
  <c r="AF282" i="3"/>
  <c r="AH288" i="3"/>
  <c r="AG288" i="3"/>
  <c r="AE288" i="3"/>
  <c r="AF288" i="3"/>
  <c r="AJ288" i="3"/>
  <c r="AI288" i="3"/>
  <c r="AH295" i="3"/>
  <c r="AG295" i="3"/>
  <c r="AE295" i="3"/>
  <c r="AJ295" i="3"/>
  <c r="AI295" i="3"/>
  <c r="AF295" i="3"/>
  <c r="AG301" i="3"/>
  <c r="AI301" i="3"/>
  <c r="AE301" i="3"/>
  <c r="AJ301" i="3"/>
  <c r="AF301" i="3"/>
  <c r="AH301" i="3"/>
  <c r="AG315" i="3"/>
  <c r="AI315" i="3"/>
  <c r="AE315" i="3"/>
  <c r="AJ315" i="3"/>
  <c r="AH315" i="3"/>
  <c r="AF315" i="3"/>
  <c r="AD14" i="3"/>
  <c r="AC14" i="3"/>
  <c r="Z14" i="3"/>
  <c r="AB14" i="3"/>
  <c r="AA14" i="3"/>
  <c r="Y14" i="3"/>
  <c r="AA87" i="3"/>
  <c r="AC87" i="3"/>
  <c r="AD87" i="3"/>
  <c r="Y87" i="3"/>
  <c r="AB87" i="3"/>
  <c r="Z87" i="3"/>
  <c r="AA141" i="3"/>
  <c r="AB141" i="3"/>
  <c r="AD141" i="3"/>
  <c r="Y141" i="3"/>
  <c r="AC141" i="3"/>
  <c r="Z141" i="3"/>
  <c r="AA9" i="3"/>
  <c r="AB9" i="3"/>
  <c r="Y9" i="3"/>
  <c r="AD9" i="3"/>
  <c r="AC9" i="3"/>
  <c r="Z9" i="3"/>
  <c r="Y47" i="3"/>
  <c r="AC47" i="3"/>
  <c r="AD47" i="3"/>
  <c r="AA47" i="3"/>
  <c r="AB47" i="3"/>
  <c r="Z47" i="3"/>
  <c r="AC55" i="3"/>
  <c r="AD55" i="3"/>
  <c r="AA6" i="3"/>
  <c r="AB6" i="3"/>
  <c r="AC6" i="3"/>
  <c r="Z6" i="3"/>
  <c r="Y6" i="3"/>
  <c r="AD6" i="3"/>
  <c r="AA61" i="3"/>
  <c r="AC61" i="3"/>
  <c r="Y61" i="3"/>
  <c r="AD61" i="3"/>
  <c r="AB61" i="3"/>
  <c r="Z61" i="3"/>
  <c r="AC120" i="3"/>
  <c r="Y120" i="3"/>
  <c r="Z120" i="3"/>
  <c r="AD120" i="3"/>
  <c r="AA120" i="3"/>
  <c r="AB120" i="3"/>
  <c r="AB17" i="3"/>
  <c r="Y17" i="3"/>
  <c r="AC17" i="3"/>
  <c r="AA17" i="3"/>
  <c r="AD17" i="3"/>
  <c r="Z17" i="3"/>
  <c r="AA42" i="3"/>
  <c r="AD42" i="3"/>
  <c r="AC42" i="3"/>
  <c r="AB42" i="3"/>
  <c r="Z42" i="3"/>
  <c r="Y42" i="3"/>
  <c r="AB27" i="3"/>
  <c r="Y27" i="3"/>
  <c r="AA27" i="3"/>
  <c r="AC27" i="3"/>
  <c r="AD27" i="3"/>
  <c r="Z27" i="3"/>
  <c r="AB35" i="3"/>
  <c r="AA35" i="3"/>
  <c r="AC35" i="3"/>
  <c r="Y35" i="3"/>
  <c r="Z35" i="3"/>
  <c r="AD35" i="3"/>
  <c r="Y52" i="3"/>
  <c r="AC52" i="3"/>
  <c r="Z52" i="3"/>
  <c r="AA52" i="3"/>
  <c r="AB52" i="3"/>
  <c r="AD52" i="3"/>
  <c r="AA69" i="3"/>
  <c r="AC69" i="3"/>
  <c r="Y69" i="3"/>
  <c r="AD69" i="3"/>
  <c r="Z69" i="3"/>
  <c r="AB69" i="3"/>
  <c r="AA80" i="3"/>
  <c r="AD80" i="3"/>
  <c r="AB80" i="3"/>
  <c r="Z80" i="3"/>
  <c r="Y80" i="3"/>
  <c r="AC80" i="3"/>
  <c r="AA86" i="3"/>
  <c r="AC86" i="3"/>
  <c r="AB86" i="3"/>
  <c r="AD86" i="3"/>
  <c r="AA97" i="3"/>
  <c r="AC97" i="3"/>
  <c r="AD97" i="3"/>
  <c r="AB97" i="3"/>
  <c r="AD123" i="3"/>
  <c r="AC123" i="3"/>
  <c r="AA123" i="3"/>
  <c r="AB123" i="3"/>
  <c r="AC156" i="3"/>
  <c r="AA156" i="3"/>
  <c r="AD156" i="3"/>
  <c r="AB156" i="3"/>
  <c r="Z156" i="3"/>
  <c r="Y156" i="3"/>
  <c r="AB25" i="3"/>
  <c r="AC25" i="3"/>
  <c r="AA25" i="3"/>
  <c r="Y25" i="3"/>
  <c r="Z25" i="3"/>
  <c r="AD25" i="3"/>
  <c r="AC46" i="3"/>
  <c r="Y46" i="3"/>
  <c r="AD46" i="3"/>
  <c r="Z46" i="3"/>
  <c r="AB46" i="3"/>
  <c r="AA46" i="3"/>
  <c r="AA60" i="3"/>
  <c r="AC60" i="3"/>
  <c r="Y60" i="3"/>
  <c r="AD60" i="3"/>
  <c r="Z60" i="3"/>
  <c r="AB60" i="3"/>
  <c r="AA70" i="3"/>
  <c r="Z70" i="3"/>
  <c r="AD70" i="3"/>
  <c r="Y70" i="3"/>
  <c r="AB70" i="3"/>
  <c r="AC70" i="3"/>
  <c r="AA103" i="3"/>
  <c r="AC103" i="3"/>
  <c r="AB103" i="3"/>
  <c r="Y103" i="3"/>
  <c r="Z103" i="3"/>
  <c r="AD103" i="3"/>
  <c r="AB147" i="3"/>
  <c r="AC147" i="3"/>
  <c r="Z147" i="3"/>
  <c r="Y147" i="3"/>
  <c r="AD147" i="3"/>
  <c r="AA147" i="3"/>
  <c r="AA32" i="3"/>
  <c r="AB32" i="3"/>
  <c r="Y32" i="3"/>
  <c r="AC32" i="3"/>
  <c r="Z32" i="3"/>
  <c r="AD32" i="3"/>
  <c r="Y45" i="3"/>
  <c r="Z45" i="3"/>
  <c r="AD45" i="3"/>
  <c r="AC45" i="3"/>
  <c r="AA45" i="3"/>
  <c r="AB45" i="3"/>
  <c r="AA66" i="3"/>
  <c r="AD66" i="3"/>
  <c r="Z66" i="3"/>
  <c r="AB66" i="3"/>
  <c r="Y66" i="3"/>
  <c r="AC66" i="3"/>
  <c r="Y105" i="3"/>
  <c r="AA105" i="3"/>
  <c r="AC105" i="3"/>
  <c r="AD105" i="3"/>
  <c r="AB105" i="3"/>
  <c r="Z105" i="3"/>
  <c r="AC122" i="3"/>
  <c r="Y122" i="3"/>
  <c r="AB122" i="3"/>
  <c r="AA122" i="3"/>
  <c r="AD122" i="3"/>
  <c r="Z122" i="3"/>
  <c r="AC126" i="3"/>
  <c r="Y126" i="3"/>
  <c r="AD126" i="3"/>
  <c r="AA126" i="3"/>
  <c r="AB126" i="3"/>
  <c r="Z126" i="3"/>
  <c r="AC153" i="3"/>
  <c r="AD153" i="3"/>
  <c r="AA153" i="3"/>
  <c r="Y153" i="3"/>
  <c r="Z153" i="3"/>
  <c r="AB153" i="3"/>
  <c r="AD169" i="3"/>
  <c r="Z169" i="3"/>
  <c r="AC169" i="3"/>
  <c r="Y169" i="3"/>
  <c r="AB169" i="3"/>
  <c r="AA169" i="3"/>
  <c r="AA195" i="3"/>
  <c r="AB195" i="3"/>
  <c r="Y195" i="3"/>
  <c r="AC195" i="3"/>
  <c r="AD195" i="3"/>
  <c r="Z195" i="3"/>
  <c r="AA210" i="3"/>
  <c r="AB210" i="3"/>
  <c r="Y210" i="3"/>
  <c r="Z210" i="3"/>
  <c r="AC210" i="3"/>
  <c r="AD210" i="3"/>
  <c r="AA218" i="3"/>
  <c r="Y218" i="3"/>
  <c r="AD218" i="3"/>
  <c r="AC218" i="3"/>
  <c r="AB218" i="3"/>
  <c r="Z218" i="3"/>
  <c r="AD230" i="3"/>
  <c r="Y230" i="3"/>
  <c r="AC230" i="3"/>
  <c r="AB230" i="3"/>
  <c r="Z230" i="3"/>
  <c r="AA230" i="3"/>
  <c r="AA83" i="3"/>
  <c r="AD83" i="3"/>
  <c r="AC83" i="3"/>
  <c r="AB83" i="3"/>
  <c r="AB108" i="3"/>
  <c r="AA108" i="3"/>
  <c r="AC108" i="3"/>
  <c r="Y108" i="3"/>
  <c r="Z108" i="3"/>
  <c r="AD108" i="3"/>
  <c r="AD117" i="3"/>
  <c r="AB117" i="3"/>
  <c r="Y117" i="3"/>
  <c r="AC117" i="3"/>
  <c r="AA117" i="3"/>
  <c r="Z117" i="3"/>
  <c r="AD131" i="3"/>
  <c r="Y131" i="3"/>
  <c r="AC131" i="3"/>
  <c r="Z131" i="3"/>
  <c r="AB131" i="3"/>
  <c r="AA131" i="3"/>
  <c r="AB135" i="3"/>
  <c r="AD135" i="3"/>
  <c r="AA135" i="3"/>
  <c r="Z135" i="3"/>
  <c r="Y135" i="3"/>
  <c r="AC135" i="3"/>
  <c r="AB144" i="3"/>
  <c r="AD144" i="3"/>
  <c r="AA144" i="3"/>
  <c r="Z144" i="3"/>
  <c r="AC144" i="3"/>
  <c r="Y144" i="3"/>
  <c r="AD161" i="3"/>
  <c r="AB161" i="3"/>
  <c r="Y161" i="3"/>
  <c r="Z161" i="3"/>
  <c r="AC161" i="3"/>
  <c r="AA161" i="3"/>
  <c r="AA176" i="3"/>
  <c r="Y176" i="3"/>
  <c r="AD176" i="3"/>
  <c r="Z176" i="3"/>
  <c r="AB176" i="3"/>
  <c r="AC176" i="3"/>
  <c r="Y190" i="3"/>
  <c r="Z190" i="3"/>
  <c r="AA190" i="3"/>
  <c r="AD190" i="3"/>
  <c r="AC190" i="3"/>
  <c r="AB190" i="3"/>
  <c r="AD212" i="3"/>
  <c r="AC212" i="3"/>
  <c r="AD173" i="3"/>
  <c r="AC173" i="3"/>
  <c r="AB173" i="3"/>
  <c r="AA173" i="3"/>
  <c r="Z197" i="3"/>
  <c r="AC197" i="3"/>
  <c r="AB197" i="3"/>
  <c r="AA197" i="3"/>
  <c r="AD197" i="3"/>
  <c r="Y197" i="3"/>
  <c r="AA205" i="3"/>
  <c r="AC205" i="3"/>
  <c r="AD205" i="3"/>
  <c r="AB205" i="3"/>
  <c r="AC280" i="3"/>
  <c r="AD280" i="3"/>
  <c r="AA280" i="3"/>
  <c r="Y280" i="3"/>
  <c r="AB280" i="3"/>
  <c r="Z280" i="3"/>
  <c r="AA165" i="3"/>
  <c r="AD165" i="3"/>
  <c r="AC165" i="3"/>
  <c r="AB165" i="3"/>
  <c r="Y165" i="3"/>
  <c r="Z165" i="3"/>
  <c r="AA185" i="3"/>
  <c r="AB185" i="3"/>
  <c r="AD185" i="3"/>
  <c r="AC185" i="3"/>
  <c r="AA202" i="3"/>
  <c r="AB202" i="3"/>
  <c r="AC202" i="3"/>
  <c r="AD202" i="3"/>
  <c r="AA251" i="3"/>
  <c r="Y251" i="3"/>
  <c r="AD251" i="3"/>
  <c r="AC251" i="3"/>
  <c r="AB251" i="3"/>
  <c r="Z251" i="3"/>
  <c r="AC252" i="3"/>
  <c r="AA252" i="3"/>
  <c r="AD252" i="3"/>
  <c r="AB252" i="3"/>
  <c r="Z252" i="3"/>
  <c r="Y252" i="3"/>
  <c r="AA284" i="3"/>
  <c r="Y284" i="3"/>
  <c r="AD284" i="3"/>
  <c r="AC284" i="3"/>
  <c r="AB284" i="3"/>
  <c r="Z284" i="3"/>
  <c r="AD301" i="3"/>
  <c r="Z301" i="3"/>
  <c r="AB301" i="3"/>
  <c r="AA301" i="3"/>
  <c r="AC301" i="3"/>
  <c r="Y301" i="3"/>
  <c r="AA239" i="3"/>
  <c r="AD239" i="3"/>
  <c r="Y239" i="3"/>
  <c r="Z239" i="3"/>
  <c r="AB239" i="3"/>
  <c r="AC239" i="3"/>
  <c r="AC278" i="3"/>
  <c r="AD278" i="3"/>
  <c r="AC307" i="3"/>
  <c r="AA307" i="3"/>
  <c r="AD307" i="3"/>
  <c r="AB307" i="3"/>
  <c r="AC233" i="3"/>
  <c r="AB233" i="3"/>
  <c r="Z233" i="3"/>
  <c r="AD233" i="3"/>
  <c r="Y233" i="3"/>
  <c r="AA233" i="3"/>
  <c r="AD266" i="3"/>
  <c r="AA266" i="3"/>
  <c r="AB266" i="3"/>
  <c r="Z266" i="3"/>
  <c r="Y266" i="3"/>
  <c r="AC266" i="3"/>
  <c r="AC289" i="3"/>
  <c r="AB289" i="3"/>
  <c r="AD289" i="3"/>
  <c r="AA289" i="3"/>
  <c r="AC243" i="3"/>
  <c r="AD243" i="3"/>
  <c r="AB259" i="3"/>
  <c r="AC259" i="3"/>
  <c r="Y259" i="3"/>
  <c r="Z259" i="3"/>
  <c r="AD259" i="3"/>
  <c r="AA259" i="3"/>
  <c r="AA275" i="3"/>
  <c r="AC275" i="3"/>
  <c r="AB275" i="3"/>
  <c r="AD275" i="3"/>
  <c r="AD305" i="3"/>
  <c r="AC305" i="3"/>
  <c r="AB305" i="3"/>
  <c r="AA305" i="3"/>
  <c r="AA324" i="3"/>
  <c r="AD324" i="3"/>
  <c r="AB324" i="3"/>
  <c r="AC324" i="3"/>
  <c r="AA228" i="3"/>
  <c r="AB228" i="3"/>
  <c r="AD228" i="3"/>
  <c r="AC228" i="3"/>
  <c r="AA248" i="3"/>
  <c r="AC248" i="3"/>
  <c r="Y248" i="3"/>
  <c r="AB248" i="3"/>
  <c r="Z248" i="3"/>
  <c r="AD248" i="3"/>
  <c r="AA274" i="3"/>
  <c r="AB274" i="3"/>
  <c r="Z274" i="3"/>
  <c r="AD274" i="3"/>
  <c r="Y274" i="3"/>
  <c r="AC274" i="3"/>
  <c r="AA292" i="3"/>
  <c r="AB292" i="3"/>
  <c r="AD292" i="3"/>
  <c r="AC292" i="3"/>
  <c r="AC309" i="3"/>
  <c r="Y309" i="3"/>
  <c r="AA309" i="3"/>
  <c r="AD309" i="3"/>
  <c r="Z309" i="3"/>
  <c r="AB309" i="3"/>
  <c r="AD231" i="3"/>
  <c r="AB231" i="3"/>
  <c r="AA231" i="3"/>
  <c r="AC231" i="3"/>
  <c r="Y231" i="3"/>
  <c r="Z231" i="3"/>
  <c r="AA244" i="3"/>
  <c r="AB244" i="3"/>
  <c r="AD244" i="3"/>
  <c r="AC244" i="3"/>
  <c r="AC268" i="3"/>
  <c r="AD268" i="3"/>
  <c r="AA268" i="3"/>
  <c r="AB268" i="3"/>
  <c r="Y281" i="3"/>
  <c r="AB281" i="3"/>
  <c r="AA281" i="3"/>
  <c r="AD281" i="3"/>
  <c r="Z281" i="3"/>
  <c r="AC281" i="3"/>
  <c r="AC312" i="3"/>
  <c r="AA312" i="3"/>
  <c r="AB312" i="3"/>
  <c r="AD312" i="3"/>
  <c r="X3" i="3"/>
  <c r="V3" i="3"/>
  <c r="W3" i="3"/>
  <c r="T3" i="3"/>
  <c r="U3" i="3"/>
  <c r="S3" i="3"/>
  <c r="V28" i="3"/>
  <c r="T28" i="3"/>
  <c r="W28" i="3"/>
  <c r="U28" i="3"/>
  <c r="X28" i="3"/>
  <c r="S28" i="3"/>
  <c r="W108" i="3"/>
  <c r="X108" i="3"/>
  <c r="V108" i="3"/>
  <c r="U108" i="3"/>
  <c r="X5" i="3"/>
  <c r="V5" i="3"/>
  <c r="W5" i="3"/>
  <c r="T5" i="3"/>
  <c r="U5" i="3"/>
  <c r="S5" i="3"/>
  <c r="U15" i="3"/>
  <c r="X15" i="3"/>
  <c r="V15" i="3"/>
  <c r="T15" i="3"/>
  <c r="W15" i="3"/>
  <c r="S15" i="3"/>
  <c r="V70" i="3"/>
  <c r="U70" i="3"/>
  <c r="S70" i="3"/>
  <c r="X70" i="3"/>
  <c r="W70" i="3"/>
  <c r="T70" i="3"/>
  <c r="W137" i="3"/>
  <c r="T137" i="3"/>
  <c r="X137" i="3"/>
  <c r="V137" i="3"/>
  <c r="U137" i="3"/>
  <c r="S137" i="3"/>
  <c r="X2" i="3"/>
  <c r="W2" i="3"/>
  <c r="V2" i="3"/>
  <c r="S2" i="3"/>
  <c r="U2" i="3"/>
  <c r="T2" i="3"/>
  <c r="X11" i="3"/>
  <c r="U11" i="3"/>
  <c r="V11" i="3"/>
  <c r="S11" i="3"/>
  <c r="W11" i="3"/>
  <c r="T11" i="3"/>
  <c r="V26" i="3"/>
  <c r="T26" i="3"/>
  <c r="W26" i="3"/>
  <c r="U26" i="3"/>
  <c r="S26" i="3"/>
  <c r="X26" i="3"/>
  <c r="X103" i="3"/>
  <c r="W103" i="3"/>
  <c r="V103" i="3"/>
  <c r="U103" i="3"/>
  <c r="V41" i="3"/>
  <c r="W41" i="3"/>
  <c r="U41" i="3"/>
  <c r="X41" i="3"/>
  <c r="W55" i="3"/>
  <c r="U55" i="3"/>
  <c r="X55" i="3"/>
  <c r="T55" i="3"/>
  <c r="V55" i="3"/>
  <c r="S55" i="3"/>
  <c r="U71" i="3"/>
  <c r="V71" i="3"/>
  <c r="X71" i="3"/>
  <c r="T71" i="3"/>
  <c r="S71" i="3"/>
  <c r="W71" i="3"/>
  <c r="X98" i="3"/>
  <c r="V98" i="3"/>
  <c r="T98" i="3"/>
  <c r="U98" i="3"/>
  <c r="S98" i="3"/>
  <c r="W98" i="3"/>
  <c r="X115" i="3"/>
  <c r="W115" i="3"/>
  <c r="T115" i="3"/>
  <c r="S115" i="3"/>
  <c r="U115" i="3"/>
  <c r="V115" i="3"/>
  <c r="W146" i="3"/>
  <c r="X146" i="3"/>
  <c r="T146" i="3"/>
  <c r="V146" i="3"/>
  <c r="U146" i="3"/>
  <c r="S146" i="3"/>
  <c r="V36" i="3"/>
  <c r="W36" i="3"/>
  <c r="T36" i="3"/>
  <c r="U36" i="3"/>
  <c r="X36" i="3"/>
  <c r="S36" i="3"/>
  <c r="W51" i="3"/>
  <c r="X51" i="3"/>
  <c r="U51" i="3"/>
  <c r="V51" i="3"/>
  <c r="U84" i="3"/>
  <c r="V84" i="3"/>
  <c r="W84" i="3"/>
  <c r="T84" i="3"/>
  <c r="S84" i="3"/>
  <c r="X84" i="3"/>
  <c r="W111" i="3"/>
  <c r="T111" i="3"/>
  <c r="X111" i="3"/>
  <c r="V111" i="3"/>
  <c r="S111" i="3"/>
  <c r="U111" i="3"/>
  <c r="W139" i="3"/>
  <c r="T139" i="3"/>
  <c r="X139" i="3"/>
  <c r="U139" i="3"/>
  <c r="V139" i="3"/>
  <c r="S139" i="3"/>
  <c r="U16" i="3"/>
  <c r="V16" i="3"/>
  <c r="X16" i="3"/>
  <c r="T16" i="3"/>
  <c r="W16" i="3"/>
  <c r="S16" i="3"/>
  <c r="W27" i="3"/>
  <c r="U27" i="3"/>
  <c r="X27" i="3"/>
  <c r="T27" i="3"/>
  <c r="V27" i="3"/>
  <c r="S27" i="3"/>
  <c r="V35" i="3"/>
  <c r="S35" i="3"/>
  <c r="T35" i="3"/>
  <c r="W35" i="3"/>
  <c r="X35" i="3"/>
  <c r="U35" i="3"/>
  <c r="W52" i="3"/>
  <c r="U52" i="3"/>
  <c r="X52" i="3"/>
  <c r="V52" i="3"/>
  <c r="U69" i="3"/>
  <c r="V69" i="3"/>
  <c r="T69" i="3"/>
  <c r="X69" i="3"/>
  <c r="W69" i="3"/>
  <c r="S69" i="3"/>
  <c r="U80" i="3"/>
  <c r="V80" i="3"/>
  <c r="X80" i="3"/>
  <c r="W80" i="3"/>
  <c r="U91" i="3"/>
  <c r="T91" i="3"/>
  <c r="V91" i="3"/>
  <c r="X91" i="3"/>
  <c r="S91" i="3"/>
  <c r="W91" i="3"/>
  <c r="X100" i="3"/>
  <c r="V100" i="3"/>
  <c r="U100" i="3"/>
  <c r="T100" i="3"/>
  <c r="W100" i="3"/>
  <c r="S100" i="3"/>
  <c r="W130" i="3"/>
  <c r="T130" i="3"/>
  <c r="X130" i="3"/>
  <c r="U130" i="3"/>
  <c r="S130" i="3"/>
  <c r="V130" i="3"/>
  <c r="W134" i="3"/>
  <c r="T134" i="3"/>
  <c r="X134" i="3"/>
  <c r="U134" i="3"/>
  <c r="V134" i="3"/>
  <c r="S134" i="3"/>
  <c r="U143" i="3"/>
  <c r="W143" i="3"/>
  <c r="T143" i="3"/>
  <c r="S143" i="3"/>
  <c r="X143" i="3"/>
  <c r="V143" i="3"/>
  <c r="U157" i="3"/>
  <c r="X157" i="3"/>
  <c r="V157" i="3"/>
  <c r="W157" i="3"/>
  <c r="U170" i="3"/>
  <c r="W170" i="3"/>
  <c r="V170" i="3"/>
  <c r="X170" i="3"/>
  <c r="X183" i="3"/>
  <c r="V183" i="3"/>
  <c r="U183" i="3"/>
  <c r="T183" i="3"/>
  <c r="W183" i="3"/>
  <c r="S183" i="3"/>
  <c r="T198" i="3"/>
  <c r="X198" i="3"/>
  <c r="V198" i="3"/>
  <c r="S198" i="3"/>
  <c r="W198" i="3"/>
  <c r="U198" i="3"/>
  <c r="V246" i="3"/>
  <c r="U246" i="3"/>
  <c r="X246" i="3"/>
  <c r="T246" i="3"/>
  <c r="S246" i="3"/>
  <c r="W246" i="3"/>
  <c r="X81" i="3"/>
  <c r="V81" i="3"/>
  <c r="U81" i="3"/>
  <c r="W81" i="3"/>
  <c r="U92" i="3"/>
  <c r="V92" i="3"/>
  <c r="T92" i="3"/>
  <c r="S92" i="3"/>
  <c r="X92" i="3"/>
  <c r="W92" i="3"/>
  <c r="X106" i="3"/>
  <c r="T106" i="3"/>
  <c r="W106" i="3"/>
  <c r="U106" i="3"/>
  <c r="V106" i="3"/>
  <c r="S106" i="3"/>
  <c r="W124" i="3"/>
  <c r="X124" i="3"/>
  <c r="U124" i="3"/>
  <c r="V124" i="3"/>
  <c r="U148" i="3"/>
  <c r="X148" i="3"/>
  <c r="W148" i="3"/>
  <c r="S148" i="3"/>
  <c r="T148" i="3"/>
  <c r="V148" i="3"/>
  <c r="U158" i="3"/>
  <c r="V158" i="3"/>
  <c r="T158" i="3"/>
  <c r="S158" i="3"/>
  <c r="W158" i="3"/>
  <c r="X158" i="3"/>
  <c r="V189" i="3"/>
  <c r="X189" i="3"/>
  <c r="S189" i="3"/>
  <c r="U189" i="3"/>
  <c r="T189" i="3"/>
  <c r="W189" i="3"/>
  <c r="X203" i="3"/>
  <c r="S203" i="3"/>
  <c r="W203" i="3"/>
  <c r="V203" i="3"/>
  <c r="U203" i="3"/>
  <c r="T203" i="3"/>
  <c r="X208" i="3"/>
  <c r="W208" i="3"/>
  <c r="W231" i="3"/>
  <c r="V231" i="3"/>
  <c r="T231" i="3"/>
  <c r="U231" i="3"/>
  <c r="X231" i="3"/>
  <c r="S231" i="3"/>
  <c r="X165" i="3"/>
  <c r="U165" i="3"/>
  <c r="S165" i="3"/>
  <c r="V165" i="3"/>
  <c r="W165" i="3"/>
  <c r="T165" i="3"/>
  <c r="X185" i="3"/>
  <c r="V185" i="3"/>
  <c r="U185" i="3"/>
  <c r="W185" i="3"/>
  <c r="T202" i="3"/>
  <c r="X202" i="3"/>
  <c r="V202" i="3"/>
  <c r="S202" i="3"/>
  <c r="W202" i="3"/>
  <c r="U202" i="3"/>
  <c r="T224" i="3"/>
  <c r="V224" i="3"/>
  <c r="W224" i="3"/>
  <c r="X224" i="3"/>
  <c r="U224" i="3"/>
  <c r="S224" i="3"/>
  <c r="U162" i="3"/>
  <c r="V162" i="3"/>
  <c r="T162" i="3"/>
  <c r="X162" i="3"/>
  <c r="S162" i="3"/>
  <c r="W162" i="3"/>
  <c r="U172" i="3"/>
  <c r="X172" i="3"/>
  <c r="V172" i="3"/>
  <c r="W172" i="3"/>
  <c r="X188" i="3"/>
  <c r="W188" i="3"/>
  <c r="V188" i="3"/>
  <c r="T188" i="3"/>
  <c r="S188" i="3"/>
  <c r="U188" i="3"/>
  <c r="X201" i="3"/>
  <c r="W201" i="3"/>
  <c r="U267" i="3"/>
  <c r="V267" i="3"/>
  <c r="S267" i="3"/>
  <c r="X267" i="3"/>
  <c r="T267" i="3"/>
  <c r="W267" i="3"/>
  <c r="T281" i="3"/>
  <c r="U281" i="3"/>
  <c r="W281" i="3"/>
  <c r="V281" i="3"/>
  <c r="S281" i="3"/>
  <c r="X281" i="3"/>
  <c r="V317" i="3"/>
  <c r="T317" i="3"/>
  <c r="X317" i="3"/>
  <c r="W317" i="3"/>
  <c r="S317" i="3"/>
  <c r="U317" i="3"/>
  <c r="W238" i="3"/>
  <c r="X238" i="3"/>
  <c r="S238" i="3"/>
  <c r="U238" i="3"/>
  <c r="T238" i="3"/>
  <c r="V238" i="3"/>
  <c r="W300" i="3"/>
  <c r="U300" i="3"/>
  <c r="V300" i="3"/>
  <c r="X300" i="3"/>
  <c r="U248" i="3"/>
  <c r="S248" i="3"/>
  <c r="V248" i="3"/>
  <c r="W248" i="3"/>
  <c r="T248" i="3"/>
  <c r="X248" i="3"/>
  <c r="T274" i="3"/>
  <c r="V274" i="3"/>
  <c r="X274" i="3"/>
  <c r="W274" i="3"/>
  <c r="S274" i="3"/>
  <c r="U274" i="3"/>
  <c r="W292" i="3"/>
  <c r="X292" i="3"/>
  <c r="W309" i="3"/>
  <c r="S309" i="3"/>
  <c r="X309" i="3"/>
  <c r="U309" i="3"/>
  <c r="T309" i="3"/>
  <c r="V309" i="3"/>
  <c r="X220" i="3"/>
  <c r="U220" i="3"/>
  <c r="W220" i="3"/>
  <c r="T220" i="3"/>
  <c r="S220" i="3"/>
  <c r="V220" i="3"/>
  <c r="V233" i="3"/>
  <c r="T233" i="3"/>
  <c r="X233" i="3"/>
  <c r="W233" i="3"/>
  <c r="U233" i="3"/>
  <c r="S233" i="3"/>
  <c r="V256" i="3"/>
  <c r="X256" i="3"/>
  <c r="T256" i="3"/>
  <c r="S256" i="3"/>
  <c r="U256" i="3"/>
  <c r="W256" i="3"/>
  <c r="X264" i="3"/>
  <c r="W264" i="3"/>
  <c r="X276" i="3"/>
  <c r="W276" i="3"/>
  <c r="V276" i="3"/>
  <c r="U276" i="3"/>
  <c r="U282" i="3"/>
  <c r="T282" i="3"/>
  <c r="W282" i="3"/>
  <c r="V282" i="3"/>
  <c r="S282" i="3"/>
  <c r="X282" i="3"/>
  <c r="U288" i="3"/>
  <c r="T288" i="3"/>
  <c r="X288" i="3"/>
  <c r="V288" i="3"/>
  <c r="S288" i="3"/>
  <c r="W288" i="3"/>
  <c r="U295" i="3"/>
  <c r="T295" i="3"/>
  <c r="X295" i="3"/>
  <c r="W295" i="3"/>
  <c r="S295" i="3"/>
  <c r="V295" i="3"/>
  <c r="X301" i="3"/>
  <c r="W301" i="3"/>
  <c r="S301" i="3"/>
  <c r="V301" i="3"/>
  <c r="U301" i="3"/>
  <c r="T301" i="3"/>
  <c r="W315" i="3"/>
  <c r="X315" i="3"/>
  <c r="V315" i="3"/>
  <c r="U315" i="3"/>
  <c r="W230" i="3"/>
  <c r="T230" i="3"/>
  <c r="X230" i="3"/>
  <c r="V230" i="3"/>
  <c r="S230" i="3"/>
  <c r="U230" i="3"/>
  <c r="W243" i="3"/>
  <c r="X243" i="3"/>
  <c r="V259" i="3"/>
  <c r="U259" i="3"/>
  <c r="T259" i="3"/>
  <c r="W259" i="3"/>
  <c r="S259" i="3"/>
  <c r="X259" i="3"/>
  <c r="X275" i="3"/>
  <c r="S275" i="3"/>
  <c r="T275" i="3"/>
  <c r="V275" i="3"/>
  <c r="U275" i="3"/>
  <c r="W275" i="3"/>
  <c r="W305" i="3"/>
  <c r="U305" i="3"/>
  <c r="X305" i="3"/>
  <c r="V305" i="3"/>
  <c r="W324" i="3"/>
  <c r="V324" i="3"/>
  <c r="U324" i="3"/>
  <c r="X324" i="3"/>
  <c r="AB297" i="3"/>
  <c r="O21" i="3"/>
  <c r="P21" i="3"/>
  <c r="M21" i="3"/>
  <c r="Q21" i="3"/>
  <c r="R21" i="3"/>
  <c r="N21" i="3"/>
  <c r="M45" i="3"/>
  <c r="O45" i="3"/>
  <c r="R45" i="3"/>
  <c r="Q45" i="3"/>
  <c r="P45" i="3"/>
  <c r="N45" i="3"/>
  <c r="R119" i="3"/>
  <c r="P119" i="3"/>
  <c r="O119" i="3"/>
  <c r="Q119" i="3"/>
  <c r="N119" i="3"/>
  <c r="M119" i="3"/>
  <c r="Q15" i="3"/>
  <c r="R15" i="3"/>
  <c r="O15" i="3"/>
  <c r="N15" i="3"/>
  <c r="P15" i="3"/>
  <c r="M15" i="3"/>
  <c r="Q19" i="3"/>
  <c r="O19" i="3"/>
  <c r="M19" i="3"/>
  <c r="P19" i="3"/>
  <c r="N19" i="3"/>
  <c r="R19" i="3"/>
  <c r="M37" i="3"/>
  <c r="P37" i="3"/>
  <c r="O37" i="3"/>
  <c r="Q37" i="3"/>
  <c r="N37" i="3"/>
  <c r="R37" i="3"/>
  <c r="R138" i="3"/>
  <c r="P138" i="3"/>
  <c r="O138" i="3"/>
  <c r="Q138" i="3"/>
  <c r="N138" i="3"/>
  <c r="M138" i="3"/>
  <c r="Q9" i="3"/>
  <c r="P9" i="3"/>
  <c r="R9" i="3"/>
  <c r="N9" i="3"/>
  <c r="O9" i="3"/>
  <c r="M9" i="3"/>
  <c r="O111" i="3"/>
  <c r="M111" i="3"/>
  <c r="Q111" i="3"/>
  <c r="R111" i="3"/>
  <c r="P111" i="3"/>
  <c r="N111" i="3"/>
  <c r="O26" i="3"/>
  <c r="M26" i="3"/>
  <c r="Q26" i="3"/>
  <c r="P26" i="3"/>
  <c r="R26" i="3"/>
  <c r="N26" i="3"/>
  <c r="R48" i="3"/>
  <c r="P48" i="3"/>
  <c r="O48" i="3"/>
  <c r="Q48" i="3"/>
  <c r="M48" i="3"/>
  <c r="N48" i="3"/>
  <c r="Q63" i="3"/>
  <c r="M63" i="3"/>
  <c r="P63" i="3"/>
  <c r="R63" i="3"/>
  <c r="N63" i="3"/>
  <c r="O63" i="3"/>
  <c r="R72" i="3"/>
  <c r="P72" i="3"/>
  <c r="M72" i="3"/>
  <c r="O72" i="3"/>
  <c r="N72" i="3"/>
  <c r="Q72" i="3"/>
  <c r="R92" i="3"/>
  <c r="O92" i="3"/>
  <c r="P92" i="3"/>
  <c r="Q92" i="3"/>
  <c r="M92" i="3"/>
  <c r="N92" i="3"/>
  <c r="M103" i="3"/>
  <c r="P103" i="3"/>
  <c r="O103" i="3"/>
  <c r="Q103" i="3"/>
  <c r="R103" i="3"/>
  <c r="N103" i="3"/>
  <c r="R118" i="3"/>
  <c r="P118" i="3"/>
  <c r="O118" i="3"/>
  <c r="M118" i="3"/>
  <c r="Q118" i="3"/>
  <c r="N118" i="3"/>
  <c r="R130" i="3"/>
  <c r="P130" i="3"/>
  <c r="O130" i="3"/>
  <c r="M130" i="3"/>
  <c r="Q130" i="3"/>
  <c r="N130" i="3"/>
  <c r="O145" i="3"/>
  <c r="R145" i="3"/>
  <c r="P145" i="3"/>
  <c r="N145" i="3"/>
  <c r="Q145" i="3"/>
  <c r="M145" i="3"/>
  <c r="P20" i="3"/>
  <c r="O20" i="3"/>
  <c r="Q20" i="3"/>
  <c r="R20" i="3"/>
  <c r="N20" i="3"/>
  <c r="M20" i="3"/>
  <c r="M29" i="3"/>
  <c r="O29" i="3"/>
  <c r="Q29" i="3"/>
  <c r="P29" i="3"/>
  <c r="N29" i="3"/>
  <c r="R29" i="3"/>
  <c r="Q39" i="3"/>
  <c r="N39" i="3"/>
  <c r="O39" i="3"/>
  <c r="P39" i="3"/>
  <c r="R39" i="3"/>
  <c r="M39" i="3"/>
  <c r="P57" i="3"/>
  <c r="Q57" i="3"/>
  <c r="O57" i="3"/>
  <c r="M57" i="3"/>
  <c r="R57" i="3"/>
  <c r="N57" i="3"/>
  <c r="P75" i="3"/>
  <c r="O75" i="3"/>
  <c r="Q75" i="3"/>
  <c r="M75" i="3"/>
  <c r="R75" i="3"/>
  <c r="N75" i="3"/>
  <c r="P85" i="3"/>
  <c r="N85" i="3"/>
  <c r="Q85" i="3"/>
  <c r="M85" i="3"/>
  <c r="R85" i="3"/>
  <c r="O85" i="3"/>
  <c r="R122" i="3"/>
  <c r="O122" i="3"/>
  <c r="P122" i="3"/>
  <c r="Q122" i="3"/>
  <c r="N122" i="3"/>
  <c r="M122" i="3"/>
  <c r="Q17" i="3"/>
  <c r="M17" i="3"/>
  <c r="O17" i="3"/>
  <c r="P17" i="3"/>
  <c r="N17" i="3"/>
  <c r="R17" i="3"/>
  <c r="O41" i="3"/>
  <c r="P41" i="3"/>
  <c r="Q41" i="3"/>
  <c r="R41" i="3"/>
  <c r="R55" i="3"/>
  <c r="Q55" i="3"/>
  <c r="P55" i="3"/>
  <c r="O55" i="3"/>
  <c r="M55" i="3"/>
  <c r="N55" i="3"/>
  <c r="Q71" i="3"/>
  <c r="R71" i="3"/>
  <c r="O71" i="3"/>
  <c r="M71" i="3"/>
  <c r="N71" i="3"/>
  <c r="P71" i="3"/>
  <c r="R81" i="3"/>
  <c r="O81" i="3"/>
  <c r="P81" i="3"/>
  <c r="Q81" i="3"/>
  <c r="R114" i="3"/>
  <c r="P114" i="3"/>
  <c r="O114" i="3"/>
  <c r="M114" i="3"/>
  <c r="Q114" i="3"/>
  <c r="N114" i="3"/>
  <c r="R126" i="3"/>
  <c r="P126" i="3"/>
  <c r="O126" i="3"/>
  <c r="N126" i="3"/>
  <c r="M126" i="3"/>
  <c r="Q126" i="3"/>
  <c r="Q153" i="3"/>
  <c r="R153" i="3"/>
  <c r="N153" i="3"/>
  <c r="O153" i="3"/>
  <c r="P153" i="3"/>
  <c r="M153" i="3"/>
  <c r="R148" i="3"/>
  <c r="O148" i="3"/>
  <c r="N148" i="3"/>
  <c r="M148" i="3"/>
  <c r="P148" i="3"/>
  <c r="Q148" i="3"/>
  <c r="Q158" i="3"/>
  <c r="O158" i="3"/>
  <c r="N158" i="3"/>
  <c r="R158" i="3"/>
  <c r="P158" i="3"/>
  <c r="M158" i="3"/>
  <c r="R189" i="3"/>
  <c r="Q189" i="3"/>
  <c r="P189" i="3"/>
  <c r="N189" i="3"/>
  <c r="M189" i="3"/>
  <c r="O189" i="3"/>
  <c r="R203" i="3"/>
  <c r="P203" i="3"/>
  <c r="O203" i="3"/>
  <c r="M203" i="3"/>
  <c r="N203" i="3"/>
  <c r="Q203" i="3"/>
  <c r="O208" i="3"/>
  <c r="R208" i="3"/>
  <c r="N208" i="3"/>
  <c r="Q208" i="3"/>
  <c r="M208" i="3"/>
  <c r="P208" i="3"/>
  <c r="P93" i="3"/>
  <c r="O93" i="3"/>
  <c r="R93" i="3"/>
  <c r="Q93" i="3"/>
  <c r="R109" i="3"/>
  <c r="P109" i="3"/>
  <c r="M109" i="3"/>
  <c r="O109" i="3"/>
  <c r="Q109" i="3"/>
  <c r="N109" i="3"/>
  <c r="R129" i="3"/>
  <c r="P129" i="3"/>
  <c r="O129" i="3"/>
  <c r="M129" i="3"/>
  <c r="N129" i="3"/>
  <c r="Q129" i="3"/>
  <c r="R142" i="3"/>
  <c r="N142" i="3"/>
  <c r="M142" i="3"/>
  <c r="P142" i="3"/>
  <c r="O142" i="3"/>
  <c r="Q142" i="3"/>
  <c r="Q165" i="3"/>
  <c r="R165" i="3"/>
  <c r="O165" i="3"/>
  <c r="O185" i="3"/>
  <c r="R185" i="3"/>
  <c r="M185" i="3"/>
  <c r="Q185" i="3"/>
  <c r="P185" i="3"/>
  <c r="N185" i="3"/>
  <c r="Q202" i="3"/>
  <c r="O202" i="3"/>
  <c r="R202" i="3"/>
  <c r="M202" i="3"/>
  <c r="P202" i="3"/>
  <c r="N202" i="3"/>
  <c r="Q160" i="3"/>
  <c r="O160" i="3"/>
  <c r="N160" i="3"/>
  <c r="R160" i="3"/>
  <c r="P160" i="3"/>
  <c r="M160" i="3"/>
  <c r="Q171" i="3"/>
  <c r="O171" i="3"/>
  <c r="R171" i="3"/>
  <c r="P171" i="3"/>
  <c r="P184" i="3"/>
  <c r="R184" i="3"/>
  <c r="Q184" i="3"/>
  <c r="O184" i="3"/>
  <c r="R200" i="3"/>
  <c r="Q200" i="3"/>
  <c r="P200" i="3"/>
  <c r="O200" i="3"/>
  <c r="P214" i="3"/>
  <c r="O214" i="3"/>
  <c r="Q214" i="3"/>
  <c r="R214" i="3"/>
  <c r="P225" i="3"/>
  <c r="Q225" i="3"/>
  <c r="N225" i="3"/>
  <c r="M225" i="3"/>
  <c r="O225" i="3"/>
  <c r="R225" i="3"/>
  <c r="Q157" i="3"/>
  <c r="N157" i="3"/>
  <c r="O157" i="3"/>
  <c r="R157" i="3"/>
  <c r="P157" i="3"/>
  <c r="M157" i="3"/>
  <c r="Q170" i="3"/>
  <c r="O170" i="3"/>
  <c r="R170" i="3"/>
  <c r="P170" i="3"/>
  <c r="R183" i="3"/>
  <c r="O183" i="3"/>
  <c r="M183" i="3"/>
  <c r="Q183" i="3"/>
  <c r="P183" i="3"/>
  <c r="N183" i="3"/>
  <c r="P198" i="3"/>
  <c r="O198" i="3"/>
  <c r="R198" i="3"/>
  <c r="Q198" i="3"/>
  <c r="Q221" i="3"/>
  <c r="R221" i="3"/>
  <c r="P221" i="3"/>
  <c r="O221" i="3"/>
  <c r="P232" i="3"/>
  <c r="R232" i="3"/>
  <c r="M232" i="3"/>
  <c r="N232" i="3"/>
  <c r="O232" i="3"/>
  <c r="Q232" i="3"/>
  <c r="M259" i="3"/>
  <c r="O259" i="3"/>
  <c r="P259" i="3"/>
  <c r="Q259" i="3"/>
  <c r="N259" i="3"/>
  <c r="R259" i="3"/>
  <c r="O227" i="3"/>
  <c r="R227" i="3"/>
  <c r="Q227" i="3"/>
  <c r="P227" i="3"/>
  <c r="M253" i="3"/>
  <c r="N253" i="3"/>
  <c r="Q253" i="3"/>
  <c r="P253" i="3"/>
  <c r="R253" i="3"/>
  <c r="O253" i="3"/>
  <c r="O310" i="3"/>
  <c r="P310" i="3"/>
  <c r="R310" i="3"/>
  <c r="Q310" i="3"/>
  <c r="R305" i="3"/>
  <c r="Q305" i="3"/>
  <c r="O305" i="3"/>
  <c r="P305" i="3"/>
  <c r="R256" i="3"/>
  <c r="Q256" i="3"/>
  <c r="P256" i="3"/>
  <c r="M256" i="3"/>
  <c r="O256" i="3"/>
  <c r="N256" i="3"/>
  <c r="O264" i="3"/>
  <c r="R264" i="3"/>
  <c r="Q264" i="3"/>
  <c r="M264" i="3"/>
  <c r="N264" i="3"/>
  <c r="P264" i="3"/>
  <c r="O276" i="3"/>
  <c r="R276" i="3"/>
  <c r="N276" i="3"/>
  <c r="Q276" i="3"/>
  <c r="P276" i="3"/>
  <c r="M276" i="3"/>
  <c r="O282" i="3"/>
  <c r="Q282" i="3"/>
  <c r="M282" i="3"/>
  <c r="N282" i="3"/>
  <c r="R282" i="3"/>
  <c r="P282" i="3"/>
  <c r="Q288" i="3"/>
  <c r="N288" i="3"/>
  <c r="O288" i="3"/>
  <c r="R288" i="3"/>
  <c r="M288" i="3"/>
  <c r="P288" i="3"/>
  <c r="R295" i="3"/>
  <c r="O295" i="3"/>
  <c r="N295" i="3"/>
  <c r="Q295" i="3"/>
  <c r="P295" i="3"/>
  <c r="M295" i="3"/>
  <c r="O301" i="3"/>
  <c r="P301" i="3"/>
  <c r="M301" i="3"/>
  <c r="Q301" i="3"/>
  <c r="R301" i="3"/>
  <c r="N301" i="3"/>
  <c r="O315" i="3"/>
  <c r="P315" i="3"/>
  <c r="R315" i="3"/>
  <c r="Q315" i="3"/>
  <c r="R226" i="3"/>
  <c r="Q226" i="3"/>
  <c r="Q236" i="3"/>
  <c r="P236" i="3"/>
  <c r="O236" i="3"/>
  <c r="N236" i="3"/>
  <c r="R236" i="3"/>
  <c r="M236" i="3"/>
  <c r="N265" i="3"/>
  <c r="P265" i="3"/>
  <c r="O265" i="3"/>
  <c r="R265" i="3"/>
  <c r="Q265" i="3"/>
  <c r="M265" i="3"/>
  <c r="P270" i="3"/>
  <c r="R270" i="3"/>
  <c r="O270" i="3"/>
  <c r="Q270" i="3"/>
  <c r="N270" i="3"/>
  <c r="M270" i="3"/>
  <c r="P300" i="3"/>
  <c r="O300" i="3"/>
  <c r="M300" i="3"/>
  <c r="R300" i="3"/>
  <c r="Q300" i="3"/>
  <c r="N300" i="3"/>
  <c r="Q228" i="3"/>
  <c r="R228" i="3"/>
  <c r="O228" i="3"/>
  <c r="P228" i="3"/>
  <c r="Q248" i="3"/>
  <c r="O248" i="3"/>
  <c r="N248" i="3"/>
  <c r="R248" i="3"/>
  <c r="M248" i="3"/>
  <c r="P248" i="3"/>
  <c r="Q274" i="3"/>
  <c r="M274" i="3"/>
  <c r="N274" i="3"/>
  <c r="R274" i="3"/>
  <c r="O274" i="3"/>
  <c r="P274" i="3"/>
  <c r="O292" i="3"/>
  <c r="Q292" i="3"/>
  <c r="N292" i="3"/>
  <c r="R292" i="3"/>
  <c r="P292" i="3"/>
  <c r="M292" i="3"/>
  <c r="O309" i="3"/>
  <c r="P309" i="3"/>
  <c r="N309" i="3"/>
  <c r="Q309" i="3"/>
  <c r="R309" i="3"/>
  <c r="M309" i="3"/>
  <c r="AG49" i="3"/>
  <c r="AJ49" i="3"/>
  <c r="AF49" i="3"/>
  <c r="AH49" i="3"/>
  <c r="AE49" i="3"/>
  <c r="AI49" i="3"/>
  <c r="AI132" i="3"/>
  <c r="AH132" i="3"/>
  <c r="AF132" i="3"/>
  <c r="AJ132" i="3"/>
  <c r="AG132" i="3"/>
  <c r="AE132" i="3"/>
  <c r="AH14" i="3"/>
  <c r="AJ14" i="3"/>
  <c r="AI14" i="3"/>
  <c r="AE14" i="3"/>
  <c r="AF14" i="3"/>
  <c r="AG14" i="3"/>
  <c r="AH59" i="3"/>
  <c r="AJ59" i="3"/>
  <c r="AI59" i="3"/>
  <c r="AG59" i="3"/>
  <c r="AH93" i="3"/>
  <c r="AJ93" i="3"/>
  <c r="AF93" i="3"/>
  <c r="AE93" i="3"/>
  <c r="AG93" i="3"/>
  <c r="AI93" i="3"/>
  <c r="AH76" i="3"/>
  <c r="AF76" i="3"/>
  <c r="AJ76" i="3"/>
  <c r="AG76" i="3"/>
  <c r="AI76" i="3"/>
  <c r="AE76" i="3"/>
  <c r="AJ7" i="3"/>
  <c r="AH7" i="3"/>
  <c r="AE7" i="3"/>
  <c r="AF7" i="3"/>
  <c r="AG7" i="3"/>
  <c r="AI7" i="3"/>
  <c r="AJ24" i="3"/>
  <c r="AH24" i="3"/>
  <c r="AI24" i="3"/>
  <c r="AG24" i="3"/>
  <c r="AH75" i="3"/>
  <c r="AJ75" i="3"/>
  <c r="AF75" i="3"/>
  <c r="AI75" i="3"/>
  <c r="AG75" i="3"/>
  <c r="AE75" i="3"/>
  <c r="AG130" i="3"/>
  <c r="AE130" i="3"/>
  <c r="AH130" i="3"/>
  <c r="AI130" i="3"/>
  <c r="AF130" i="3"/>
  <c r="AJ130" i="3"/>
  <c r="AH12" i="3"/>
  <c r="AJ12" i="3"/>
  <c r="AI12" i="3"/>
  <c r="AG12" i="3"/>
  <c r="AE12" i="3"/>
  <c r="AF12" i="3"/>
  <c r="AI57" i="3"/>
  <c r="AH57" i="3"/>
  <c r="AG57" i="3"/>
  <c r="AF57" i="3"/>
  <c r="AE57" i="3"/>
  <c r="AJ57" i="3"/>
  <c r="AI31" i="3"/>
  <c r="AG31" i="3"/>
  <c r="AH31" i="3"/>
  <c r="AJ31" i="3"/>
  <c r="AG43" i="3"/>
  <c r="AJ43" i="3"/>
  <c r="AF43" i="3"/>
  <c r="AH43" i="3"/>
  <c r="AE43" i="3"/>
  <c r="AI43" i="3"/>
  <c r="AH58" i="3"/>
  <c r="AJ58" i="3"/>
  <c r="AG58" i="3"/>
  <c r="AI58" i="3"/>
  <c r="AG121" i="3"/>
  <c r="AI121" i="3"/>
  <c r="AJ121" i="3"/>
  <c r="AH121" i="3"/>
  <c r="AH151" i="3"/>
  <c r="AJ151" i="3"/>
  <c r="AE151" i="3"/>
  <c r="AF151" i="3"/>
  <c r="AG151" i="3"/>
  <c r="AI151" i="3"/>
  <c r="AG34" i="3"/>
  <c r="AH34" i="3"/>
  <c r="AF34" i="3"/>
  <c r="AJ34" i="3"/>
  <c r="AI34" i="3"/>
  <c r="AE34" i="3"/>
  <c r="AJ47" i="3"/>
  <c r="AF47" i="3"/>
  <c r="AI47" i="3"/>
  <c r="AE47" i="3"/>
  <c r="AG47" i="3"/>
  <c r="AH47" i="3"/>
  <c r="AH64" i="3"/>
  <c r="AG64" i="3"/>
  <c r="AF64" i="3"/>
  <c r="AJ64" i="3"/>
  <c r="AE64" i="3"/>
  <c r="AI64" i="3"/>
  <c r="AH74" i="3"/>
  <c r="AG74" i="3"/>
  <c r="AF74" i="3"/>
  <c r="AJ74" i="3"/>
  <c r="AI74" i="3"/>
  <c r="AE74" i="3"/>
  <c r="AH94" i="3"/>
  <c r="AJ94" i="3"/>
  <c r="AF94" i="3"/>
  <c r="AG94" i="3"/>
  <c r="AI94" i="3"/>
  <c r="AE94" i="3"/>
  <c r="AG107" i="3"/>
  <c r="AF107" i="3"/>
  <c r="AJ107" i="3"/>
  <c r="AE107" i="3"/>
  <c r="AH107" i="3"/>
  <c r="AI107" i="3"/>
  <c r="AI120" i="3"/>
  <c r="AG120" i="3"/>
  <c r="AE120" i="3"/>
  <c r="AH120" i="3"/>
  <c r="AF120" i="3"/>
  <c r="AJ120" i="3"/>
  <c r="AI141" i="3"/>
  <c r="AF141" i="3"/>
  <c r="AE141" i="3"/>
  <c r="AJ141" i="3"/>
  <c r="AG141" i="3"/>
  <c r="AH141" i="3"/>
  <c r="AH23" i="3"/>
  <c r="AG23" i="3"/>
  <c r="AF23" i="3"/>
  <c r="AE23" i="3"/>
  <c r="AI23" i="3"/>
  <c r="AJ23" i="3"/>
  <c r="AF44" i="3"/>
  <c r="AJ44" i="3"/>
  <c r="AG44" i="3"/>
  <c r="AI44" i="3"/>
  <c r="AE44" i="3"/>
  <c r="AH44" i="3"/>
  <c r="AI56" i="3"/>
  <c r="AG56" i="3"/>
  <c r="AE56" i="3"/>
  <c r="AJ56" i="3"/>
  <c r="AF56" i="3"/>
  <c r="AH56" i="3"/>
  <c r="AH68" i="3"/>
  <c r="AG68" i="3"/>
  <c r="AF68" i="3"/>
  <c r="AJ68" i="3"/>
  <c r="AE68" i="3"/>
  <c r="AI68" i="3"/>
  <c r="AI104" i="3"/>
  <c r="AF104" i="3"/>
  <c r="AJ104" i="3"/>
  <c r="AH104" i="3"/>
  <c r="AG104" i="3"/>
  <c r="AE104" i="3"/>
  <c r="AI133" i="3"/>
  <c r="AJ133" i="3"/>
  <c r="AG133" i="3"/>
  <c r="AE133" i="3"/>
  <c r="AH133" i="3"/>
  <c r="AF133" i="3"/>
  <c r="AI137" i="3"/>
  <c r="AJ137" i="3"/>
  <c r="AG137" i="3"/>
  <c r="AE137" i="3"/>
  <c r="AH137" i="3"/>
  <c r="AF137" i="3"/>
  <c r="AG152" i="3"/>
  <c r="AH152" i="3"/>
  <c r="AI152" i="3"/>
  <c r="AJ152" i="3"/>
  <c r="AJ178" i="3"/>
  <c r="AI178" i="3"/>
  <c r="AH178" i="3"/>
  <c r="AG178" i="3"/>
  <c r="AJ186" i="3"/>
  <c r="AI186" i="3"/>
  <c r="AH206" i="3"/>
  <c r="AG206" i="3"/>
  <c r="AJ206" i="3"/>
  <c r="AI206" i="3"/>
  <c r="AI283" i="3"/>
  <c r="AG283" i="3"/>
  <c r="AH283" i="3"/>
  <c r="AJ283" i="3"/>
  <c r="AH89" i="3"/>
  <c r="AJ89" i="3"/>
  <c r="AG89" i="3"/>
  <c r="AI89" i="3"/>
  <c r="AF89" i="3"/>
  <c r="AE89" i="3"/>
  <c r="AF98" i="3"/>
  <c r="AH98" i="3"/>
  <c r="AI98" i="3"/>
  <c r="AJ98" i="3"/>
  <c r="AE98" i="3"/>
  <c r="AG98" i="3"/>
  <c r="AG116" i="3"/>
  <c r="AI116" i="3"/>
  <c r="AH116" i="3"/>
  <c r="AJ116" i="3"/>
  <c r="AH145" i="3"/>
  <c r="AI145" i="3"/>
  <c r="AE145" i="3"/>
  <c r="AF145" i="3"/>
  <c r="AG145" i="3"/>
  <c r="AJ145" i="3"/>
  <c r="AG160" i="3"/>
  <c r="AI160" i="3"/>
  <c r="AH160" i="3"/>
  <c r="AE160" i="3"/>
  <c r="AF160" i="3"/>
  <c r="AJ160" i="3"/>
  <c r="AH171" i="3"/>
  <c r="AG171" i="3"/>
  <c r="AI171" i="3"/>
  <c r="AJ171" i="3"/>
  <c r="AH184" i="3"/>
  <c r="AE184" i="3"/>
  <c r="AG184" i="3"/>
  <c r="AJ184" i="3"/>
  <c r="AI184" i="3"/>
  <c r="AF184" i="3"/>
  <c r="AH200" i="3"/>
  <c r="AI200" i="3"/>
  <c r="AG200" i="3"/>
  <c r="AJ200" i="3"/>
  <c r="AH214" i="3"/>
  <c r="AI214" i="3"/>
  <c r="AG214" i="3"/>
  <c r="AJ214" i="3"/>
  <c r="AI219" i="3"/>
  <c r="AG219" i="3"/>
  <c r="AH219" i="3"/>
  <c r="AJ219" i="3"/>
  <c r="AI236" i="3"/>
  <c r="AH236" i="3"/>
  <c r="AJ236" i="3"/>
  <c r="AG236" i="3"/>
  <c r="AF236" i="3"/>
  <c r="AE236" i="3"/>
  <c r="AG166" i="3"/>
  <c r="AE166" i="3"/>
  <c r="AI166" i="3"/>
  <c r="AH166" i="3"/>
  <c r="AJ166" i="3"/>
  <c r="AF166" i="3"/>
  <c r="AH181" i="3"/>
  <c r="AG181" i="3"/>
  <c r="AJ181" i="3"/>
  <c r="AI181" i="3"/>
  <c r="AF181" i="3"/>
  <c r="AE181" i="3"/>
  <c r="AH196" i="3"/>
  <c r="AF196" i="3"/>
  <c r="AE196" i="3"/>
  <c r="AG196" i="3"/>
  <c r="AJ196" i="3"/>
  <c r="AI196" i="3"/>
  <c r="AH241" i="3"/>
  <c r="AJ241" i="3"/>
  <c r="AI241" i="3"/>
  <c r="AG241" i="3"/>
  <c r="AF155" i="3"/>
  <c r="AH155" i="3"/>
  <c r="AG155" i="3"/>
  <c r="AI155" i="3"/>
  <c r="AJ155" i="3"/>
  <c r="AE155" i="3"/>
  <c r="AG173" i="3"/>
  <c r="AH173" i="3"/>
  <c r="AI173" i="3"/>
  <c r="AJ173" i="3"/>
  <c r="AH197" i="3"/>
  <c r="AG197" i="3"/>
  <c r="AF197" i="3"/>
  <c r="AE197" i="3"/>
  <c r="AI197" i="3"/>
  <c r="AJ197" i="3"/>
  <c r="AH205" i="3"/>
  <c r="AI205" i="3"/>
  <c r="AG205" i="3"/>
  <c r="AJ205" i="3"/>
  <c r="AH224" i="3"/>
  <c r="AG224" i="3"/>
  <c r="AI224" i="3"/>
  <c r="AJ224" i="3"/>
  <c r="AH231" i="3"/>
  <c r="AJ231" i="3"/>
  <c r="AF231" i="3"/>
  <c r="AE231" i="3"/>
  <c r="AI231" i="3"/>
  <c r="AG231" i="3"/>
  <c r="AG292" i="3"/>
  <c r="AE292" i="3"/>
  <c r="AJ292" i="3"/>
  <c r="AI292" i="3"/>
  <c r="AH292" i="3"/>
  <c r="AF292" i="3"/>
  <c r="AH286" i="3"/>
  <c r="AF286" i="3"/>
  <c r="AI286" i="3"/>
  <c r="AG286" i="3"/>
  <c r="AE286" i="3"/>
  <c r="AJ286" i="3"/>
  <c r="AJ249" i="3"/>
  <c r="AH249" i="3"/>
  <c r="AG249" i="3"/>
  <c r="AF249" i="3"/>
  <c r="AE249" i="3"/>
  <c r="AI249" i="3"/>
  <c r="AG323" i="3"/>
  <c r="AJ323" i="3"/>
  <c r="AH323" i="3"/>
  <c r="AI323" i="3"/>
  <c r="AG267" i="3"/>
  <c r="AI267" i="3"/>
  <c r="AF267" i="3"/>
  <c r="AE267" i="3"/>
  <c r="AJ267" i="3"/>
  <c r="AH267" i="3"/>
  <c r="AH272" i="3"/>
  <c r="AE272" i="3"/>
  <c r="AI272" i="3"/>
  <c r="AJ272" i="3"/>
  <c r="AG272" i="3"/>
  <c r="AF272" i="3"/>
  <c r="AG306" i="3"/>
  <c r="AI306" i="3"/>
  <c r="AJ306" i="3"/>
  <c r="AH306" i="3"/>
  <c r="AH239" i="3"/>
  <c r="AJ239" i="3"/>
  <c r="AF239" i="3"/>
  <c r="AI239" i="3"/>
  <c r="AG239" i="3"/>
  <c r="AE239" i="3"/>
  <c r="AG253" i="3"/>
  <c r="AI253" i="3"/>
  <c r="AE253" i="3"/>
  <c r="AJ253" i="3"/>
  <c r="AF253" i="3"/>
  <c r="AH253" i="3"/>
  <c r="AH262" i="3"/>
  <c r="AI262" i="3"/>
  <c r="AF262" i="3"/>
  <c r="AG262" i="3"/>
  <c r="AE262" i="3"/>
  <c r="AJ262" i="3"/>
  <c r="AF296" i="3"/>
  <c r="AH296" i="3"/>
  <c r="AG296" i="3"/>
  <c r="AI296" i="3"/>
  <c r="AJ296" i="3"/>
  <c r="AE296" i="3"/>
  <c r="AG311" i="3"/>
  <c r="AH311" i="3"/>
  <c r="AI311" i="3"/>
  <c r="AJ311" i="3"/>
  <c r="AH245" i="3"/>
  <c r="AI245" i="3"/>
  <c r="AG245" i="3"/>
  <c r="AE245" i="3"/>
  <c r="AJ245" i="3"/>
  <c r="AF245" i="3"/>
  <c r="AG257" i="3"/>
  <c r="AI257" i="3"/>
  <c r="AE257" i="3"/>
  <c r="AH257" i="3"/>
  <c r="AJ257" i="3"/>
  <c r="AF257" i="3"/>
  <c r="AG266" i="3"/>
  <c r="AH266" i="3"/>
  <c r="AJ266" i="3"/>
  <c r="AI266" i="3"/>
  <c r="AE266" i="3"/>
  <c r="AF266" i="3"/>
  <c r="AI277" i="3"/>
  <c r="AH277" i="3"/>
  <c r="AJ277" i="3"/>
  <c r="AG277" i="3"/>
  <c r="AH284" i="3"/>
  <c r="AG284" i="3"/>
  <c r="AE284" i="3"/>
  <c r="AI284" i="3"/>
  <c r="AJ284" i="3"/>
  <c r="AF284" i="3"/>
  <c r="AH289" i="3"/>
  <c r="AJ289" i="3"/>
  <c r="AF289" i="3"/>
  <c r="AE289" i="3"/>
  <c r="AG289" i="3"/>
  <c r="AI289" i="3"/>
  <c r="AI297" i="3"/>
  <c r="AG297" i="3"/>
  <c r="AH297" i="3"/>
  <c r="AE297" i="3"/>
  <c r="AJ297" i="3"/>
  <c r="AF297" i="3"/>
  <c r="AH307" i="3"/>
  <c r="AI307" i="3"/>
  <c r="AG307" i="3"/>
  <c r="AJ307" i="3"/>
  <c r="AG316" i="3"/>
  <c r="AI316" i="3"/>
  <c r="AJ316" i="3"/>
  <c r="AH316" i="3"/>
  <c r="AF316" i="3"/>
  <c r="AE316" i="3"/>
  <c r="AC41" i="3"/>
  <c r="AA41" i="3"/>
  <c r="AD41" i="3"/>
  <c r="AB41" i="3"/>
  <c r="AA98" i="3"/>
  <c r="AC98" i="3"/>
  <c r="AD98" i="3"/>
  <c r="AB98" i="3"/>
  <c r="Y98" i="3"/>
  <c r="Z98" i="3"/>
  <c r="AC3" i="3"/>
  <c r="Z3" i="3"/>
  <c r="AA3" i="3"/>
  <c r="AB3" i="3"/>
  <c r="Y3" i="3"/>
  <c r="AD3" i="3"/>
  <c r="AA10" i="3"/>
  <c r="AB10" i="3"/>
  <c r="Z10" i="3"/>
  <c r="Y10" i="3"/>
  <c r="AD10" i="3"/>
  <c r="AC10" i="3"/>
  <c r="AC73" i="3"/>
  <c r="AD73" i="3"/>
  <c r="AA73" i="3"/>
  <c r="Y73" i="3"/>
  <c r="Z73" i="3"/>
  <c r="AB73" i="3"/>
  <c r="AA67" i="3"/>
  <c r="AC67" i="3"/>
  <c r="Y67" i="3"/>
  <c r="AD67" i="3"/>
  <c r="Z67" i="3"/>
  <c r="AB67" i="3"/>
  <c r="AC12" i="3"/>
  <c r="AD12" i="3"/>
  <c r="Z12" i="3"/>
  <c r="AA12" i="3"/>
  <c r="AB12" i="3"/>
  <c r="Y12" i="3"/>
  <c r="AD88" i="3"/>
  <c r="AC88" i="3"/>
  <c r="AB88" i="3"/>
  <c r="AA88" i="3"/>
  <c r="AB127" i="3"/>
  <c r="Z127" i="3"/>
  <c r="AC127" i="3"/>
  <c r="Y127" i="3"/>
  <c r="AA127" i="3"/>
  <c r="AD127" i="3"/>
  <c r="AC22" i="3"/>
  <c r="AA22" i="3"/>
  <c r="Y22" i="3"/>
  <c r="AB22" i="3"/>
  <c r="Z22" i="3"/>
  <c r="AD22" i="3"/>
  <c r="Y54" i="3"/>
  <c r="Z54" i="3"/>
  <c r="AC54" i="3"/>
  <c r="AD54" i="3"/>
  <c r="AA54" i="3"/>
  <c r="AB54" i="3"/>
  <c r="AB29" i="3"/>
  <c r="Y29" i="3"/>
  <c r="AA29" i="3"/>
  <c r="AC29" i="3"/>
  <c r="Z29" i="3"/>
  <c r="AD29" i="3"/>
  <c r="AC39" i="3"/>
  <c r="Y39" i="3"/>
  <c r="AB39" i="3"/>
  <c r="Z39" i="3"/>
  <c r="AA39" i="3"/>
  <c r="AD39" i="3"/>
  <c r="AA57" i="3"/>
  <c r="Y57" i="3"/>
  <c r="AD57" i="3"/>
  <c r="AC57" i="3"/>
  <c r="AB57" i="3"/>
  <c r="Z57" i="3"/>
  <c r="AA75" i="3"/>
  <c r="Y75" i="3"/>
  <c r="AD75" i="3"/>
  <c r="AC75" i="3"/>
  <c r="Z75" i="3"/>
  <c r="AB75" i="3"/>
  <c r="AA81" i="3"/>
  <c r="Y81" i="3"/>
  <c r="AD81" i="3"/>
  <c r="AC81" i="3"/>
  <c r="Z81" i="3"/>
  <c r="AB81" i="3"/>
  <c r="AA91" i="3"/>
  <c r="AD91" i="3"/>
  <c r="Y91" i="3"/>
  <c r="AC91" i="3"/>
  <c r="Z91" i="3"/>
  <c r="AB91" i="3"/>
  <c r="AD100" i="3"/>
  <c r="AB100" i="3"/>
  <c r="AC100" i="3"/>
  <c r="AA100" i="3"/>
  <c r="AB142" i="3"/>
  <c r="Y142" i="3"/>
  <c r="AD142" i="3"/>
  <c r="AC142" i="3"/>
  <c r="Z142" i="3"/>
  <c r="AA142" i="3"/>
  <c r="AB15" i="3"/>
  <c r="AA15" i="3"/>
  <c r="Y15" i="3"/>
  <c r="AD15" i="3"/>
  <c r="AC15" i="3"/>
  <c r="Z15" i="3"/>
  <c r="AA26" i="3"/>
  <c r="AB26" i="3"/>
  <c r="Y26" i="3"/>
  <c r="AC26" i="3"/>
  <c r="AD26" i="3"/>
  <c r="Z26" i="3"/>
  <c r="Y48" i="3"/>
  <c r="Z48" i="3"/>
  <c r="AD48" i="3"/>
  <c r="AC48" i="3"/>
  <c r="AB48" i="3"/>
  <c r="AA48" i="3"/>
  <c r="AA63" i="3"/>
  <c r="Y63" i="3"/>
  <c r="AC63" i="3"/>
  <c r="AD63" i="3"/>
  <c r="Z63" i="3"/>
  <c r="AB63" i="3"/>
  <c r="AA72" i="3"/>
  <c r="AB72" i="3"/>
  <c r="AD72" i="3"/>
  <c r="AC72" i="3"/>
  <c r="AB110" i="3"/>
  <c r="Y110" i="3"/>
  <c r="AA110" i="3"/>
  <c r="AC110" i="3"/>
  <c r="Z110" i="3"/>
  <c r="AD110" i="3"/>
  <c r="AC155" i="3"/>
  <c r="AB155" i="3"/>
  <c r="Y155" i="3"/>
  <c r="AD155" i="3"/>
  <c r="AA155" i="3"/>
  <c r="Z155" i="3"/>
  <c r="Y36" i="3"/>
  <c r="AB36" i="3"/>
  <c r="AA36" i="3"/>
  <c r="AC36" i="3"/>
  <c r="Z36" i="3"/>
  <c r="AD36" i="3"/>
  <c r="AC51" i="3"/>
  <c r="AB51" i="3"/>
  <c r="AD51" i="3"/>
  <c r="AA51" i="3"/>
  <c r="AA84" i="3"/>
  <c r="AB84" i="3"/>
  <c r="AC84" i="3"/>
  <c r="AD84" i="3"/>
  <c r="Z84" i="3"/>
  <c r="Y84" i="3"/>
  <c r="AB113" i="3"/>
  <c r="Z113" i="3"/>
  <c r="AC113" i="3"/>
  <c r="AA113" i="3"/>
  <c r="Y113" i="3"/>
  <c r="AD113" i="3"/>
  <c r="AB139" i="3"/>
  <c r="AA139" i="3"/>
  <c r="Z139" i="3"/>
  <c r="AC139" i="3"/>
  <c r="Y139" i="3"/>
  <c r="AD139" i="3"/>
  <c r="AD145" i="3"/>
  <c r="AC145" i="3"/>
  <c r="AD160" i="3"/>
  <c r="AA160" i="3"/>
  <c r="AC160" i="3"/>
  <c r="Z160" i="3"/>
  <c r="Y160" i="3"/>
  <c r="AB160" i="3"/>
  <c r="AB171" i="3"/>
  <c r="AC171" i="3"/>
  <c r="AD171" i="3"/>
  <c r="AA171" i="3"/>
  <c r="AA184" i="3"/>
  <c r="AD184" i="3"/>
  <c r="AC184" i="3"/>
  <c r="AB184" i="3"/>
  <c r="AA200" i="3"/>
  <c r="AD200" i="3"/>
  <c r="AC200" i="3"/>
  <c r="Y200" i="3"/>
  <c r="Z200" i="3"/>
  <c r="AB200" i="3"/>
  <c r="AA214" i="3"/>
  <c r="Z214" i="3"/>
  <c r="AD214" i="3"/>
  <c r="Y214" i="3"/>
  <c r="AC214" i="3"/>
  <c r="AB214" i="3"/>
  <c r="AA219" i="3"/>
  <c r="AC219" i="3"/>
  <c r="AD219" i="3"/>
  <c r="AB219" i="3"/>
  <c r="Y219" i="3"/>
  <c r="Z219" i="3"/>
  <c r="AD314" i="3"/>
  <c r="AA314" i="3"/>
  <c r="AC314" i="3"/>
  <c r="AB314" i="3"/>
  <c r="AB99" i="3"/>
  <c r="Z99" i="3"/>
  <c r="AC99" i="3"/>
  <c r="AA99" i="3"/>
  <c r="AD99" i="3"/>
  <c r="Y99" i="3"/>
  <c r="AA111" i="3"/>
  <c r="AC111" i="3"/>
  <c r="AB111" i="3"/>
  <c r="AD111" i="3"/>
  <c r="AB118" i="3"/>
  <c r="AC118" i="3"/>
  <c r="AA118" i="3"/>
  <c r="AD118" i="3"/>
  <c r="AC132" i="3"/>
  <c r="AD132" i="3"/>
  <c r="AB132" i="3"/>
  <c r="AA132" i="3"/>
  <c r="Y132" i="3"/>
  <c r="Z132" i="3"/>
  <c r="AB136" i="3"/>
  <c r="AD136" i="3"/>
  <c r="AA136" i="3"/>
  <c r="Z136" i="3"/>
  <c r="Y136" i="3"/>
  <c r="AC136" i="3"/>
  <c r="AA149" i="3"/>
  <c r="AB149" i="3"/>
  <c r="AD149" i="3"/>
  <c r="AC149" i="3"/>
  <c r="AB164" i="3"/>
  <c r="AC164" i="3"/>
  <c r="Z164" i="3"/>
  <c r="Y164" i="3"/>
  <c r="AD164" i="3"/>
  <c r="AA164" i="3"/>
  <c r="AA177" i="3"/>
  <c r="AD177" i="3"/>
  <c r="AB177" i="3"/>
  <c r="AC177" i="3"/>
  <c r="AA193" i="3"/>
  <c r="AB193" i="3"/>
  <c r="Z193" i="3"/>
  <c r="AD193" i="3"/>
  <c r="Y193" i="3"/>
  <c r="AC193" i="3"/>
  <c r="AC221" i="3"/>
  <c r="AB221" i="3"/>
  <c r="Z221" i="3"/>
  <c r="AD221" i="3"/>
  <c r="Y221" i="3"/>
  <c r="AA221" i="3"/>
  <c r="AD175" i="3"/>
  <c r="AC175" i="3"/>
  <c r="Z175" i="3"/>
  <c r="AA175" i="3"/>
  <c r="AB175" i="3"/>
  <c r="Y175" i="3"/>
  <c r="AA199" i="3"/>
  <c r="Z199" i="3"/>
  <c r="AD199" i="3"/>
  <c r="Y199" i="3"/>
  <c r="AC199" i="3"/>
  <c r="AB199" i="3"/>
  <c r="AB207" i="3"/>
  <c r="Z207" i="3"/>
  <c r="AD207" i="3"/>
  <c r="Y207" i="3"/>
  <c r="AC207" i="3"/>
  <c r="AA207" i="3"/>
  <c r="Z152" i="3"/>
  <c r="AB152" i="3"/>
  <c r="Y152" i="3"/>
  <c r="AC152" i="3"/>
  <c r="AD152" i="3"/>
  <c r="AA152" i="3"/>
  <c r="AA178" i="3"/>
  <c r="AD178" i="3"/>
  <c r="AB178" i="3"/>
  <c r="AC178" i="3"/>
  <c r="AA186" i="3"/>
  <c r="AD186" i="3"/>
  <c r="AC186" i="3"/>
  <c r="AB186" i="3"/>
  <c r="AA206" i="3"/>
  <c r="Z206" i="3"/>
  <c r="Y206" i="3"/>
  <c r="AD206" i="3"/>
  <c r="AC206" i="3"/>
  <c r="AB206" i="3"/>
  <c r="AA276" i="3"/>
  <c r="AC276" i="3"/>
  <c r="Y276" i="3"/>
  <c r="AB276" i="3"/>
  <c r="AD276" i="3"/>
  <c r="Z276" i="3"/>
  <c r="AA257" i="3"/>
  <c r="AB257" i="3"/>
  <c r="Y257" i="3"/>
  <c r="AC257" i="3"/>
  <c r="AD257" i="3"/>
  <c r="Z257" i="3"/>
  <c r="AC285" i="3"/>
  <c r="AD285" i="3"/>
  <c r="AA226" i="3"/>
  <c r="AD226" i="3"/>
  <c r="AB226" i="3"/>
  <c r="AC226" i="3"/>
  <c r="Y245" i="3"/>
  <c r="AB245" i="3"/>
  <c r="AC245" i="3"/>
  <c r="Z245" i="3"/>
  <c r="AD245" i="3"/>
  <c r="AA245" i="3"/>
  <c r="AA288" i="3"/>
  <c r="AC288" i="3"/>
  <c r="Z288" i="3"/>
  <c r="AD288" i="3"/>
  <c r="AB288" i="3"/>
  <c r="Y288" i="3"/>
  <c r="AB315" i="3"/>
  <c r="AA315" i="3"/>
  <c r="AD315" i="3"/>
  <c r="AC315" i="3"/>
  <c r="Y242" i="3"/>
  <c r="AA242" i="3"/>
  <c r="AD242" i="3"/>
  <c r="AB242" i="3"/>
  <c r="AC242" i="3"/>
  <c r="Z242" i="3"/>
  <c r="Y273" i="3"/>
  <c r="AD273" i="3"/>
  <c r="AA273" i="3"/>
  <c r="AC273" i="3"/>
  <c r="AB273" i="3"/>
  <c r="Z273" i="3"/>
  <c r="AB295" i="3"/>
  <c r="AA295" i="3"/>
  <c r="AD295" i="3"/>
  <c r="Y295" i="3"/>
  <c r="AC295" i="3"/>
  <c r="Z295" i="3"/>
  <c r="Y247" i="3"/>
  <c r="AA247" i="3"/>
  <c r="AD247" i="3"/>
  <c r="AC247" i="3"/>
  <c r="Z247" i="3"/>
  <c r="AB247" i="3"/>
  <c r="AB261" i="3"/>
  <c r="AC261" i="3"/>
  <c r="AA261" i="3"/>
  <c r="AD261" i="3"/>
  <c r="Y261" i="3"/>
  <c r="Z261" i="3"/>
  <c r="AB293" i="3"/>
  <c r="AC293" i="3"/>
  <c r="AD293" i="3"/>
  <c r="AA293" i="3"/>
  <c r="AB310" i="3"/>
  <c r="AC310" i="3"/>
  <c r="AA310" i="3"/>
  <c r="AD310" i="3"/>
  <c r="AA249" i="3"/>
  <c r="Y249" i="3"/>
  <c r="Z249" i="3"/>
  <c r="AC249" i="3"/>
  <c r="AD249" i="3"/>
  <c r="AB249" i="3"/>
  <c r="AC279" i="3"/>
  <c r="AD279" i="3"/>
  <c r="Y302" i="3"/>
  <c r="Z302" i="3"/>
  <c r="AB302" i="3"/>
  <c r="AA302" i="3"/>
  <c r="AC302" i="3"/>
  <c r="AD302" i="3"/>
  <c r="AA321" i="3"/>
  <c r="Z321" i="3"/>
  <c r="AD321" i="3"/>
  <c r="AB321" i="3"/>
  <c r="AC321" i="3"/>
  <c r="Y321" i="3"/>
  <c r="AB235" i="3"/>
  <c r="AC235" i="3"/>
  <c r="Y235" i="3"/>
  <c r="AD235" i="3"/>
  <c r="AA235" i="3"/>
  <c r="Z235" i="3"/>
  <c r="AA246" i="3"/>
  <c r="AB246" i="3"/>
  <c r="Z246" i="3"/>
  <c r="Y246" i="3"/>
  <c r="AC246" i="3"/>
  <c r="AD246" i="3"/>
  <c r="AC269" i="3"/>
  <c r="AD269" i="3"/>
  <c r="AA269" i="3"/>
  <c r="AB269" i="3"/>
  <c r="Y269" i="3"/>
  <c r="Z269" i="3"/>
  <c r="AD290" i="3"/>
  <c r="Z290" i="3"/>
  <c r="AC290" i="3"/>
  <c r="AB290" i="3"/>
  <c r="Y290" i="3"/>
  <c r="AA290" i="3"/>
  <c r="AA317" i="3"/>
  <c r="Z317" i="3"/>
  <c r="AC317" i="3"/>
  <c r="AB317" i="3"/>
  <c r="Y317" i="3"/>
  <c r="AD317" i="3"/>
  <c r="U4" i="3"/>
  <c r="T4" i="3"/>
  <c r="S4" i="3"/>
  <c r="X4" i="3"/>
  <c r="V4" i="3"/>
  <c r="W4" i="3"/>
  <c r="W46" i="3"/>
  <c r="T46" i="3"/>
  <c r="U46" i="3"/>
  <c r="X46" i="3"/>
  <c r="V46" i="3"/>
  <c r="S46" i="3"/>
  <c r="W116" i="3"/>
  <c r="X116" i="3"/>
  <c r="V116" i="3"/>
  <c r="U116" i="3"/>
  <c r="X6" i="3"/>
  <c r="W6" i="3"/>
  <c r="V6" i="3"/>
  <c r="T6" i="3"/>
  <c r="S6" i="3"/>
  <c r="U6" i="3"/>
  <c r="W48" i="3"/>
  <c r="U48" i="3"/>
  <c r="T48" i="3"/>
  <c r="X48" i="3"/>
  <c r="S48" i="3"/>
  <c r="V48" i="3"/>
  <c r="U89" i="3"/>
  <c r="V89" i="3"/>
  <c r="X89" i="3"/>
  <c r="W89" i="3"/>
  <c r="X7" i="3"/>
  <c r="S7" i="3"/>
  <c r="U7" i="3"/>
  <c r="T7" i="3"/>
  <c r="V7" i="3"/>
  <c r="W7" i="3"/>
  <c r="W17" i="3"/>
  <c r="T17" i="3"/>
  <c r="V17" i="3"/>
  <c r="S17" i="3"/>
  <c r="U17" i="3"/>
  <c r="X17" i="3"/>
  <c r="W19" i="3"/>
  <c r="V19" i="3"/>
  <c r="S19" i="3"/>
  <c r="T19" i="3"/>
  <c r="U19" i="3"/>
  <c r="X19" i="3"/>
  <c r="W56" i="3"/>
  <c r="T56" i="3"/>
  <c r="V56" i="3"/>
  <c r="U56" i="3"/>
  <c r="X56" i="3"/>
  <c r="S56" i="3"/>
  <c r="W110" i="3"/>
  <c r="X110" i="3"/>
  <c r="U110" i="3"/>
  <c r="V110" i="3"/>
  <c r="V42" i="3"/>
  <c r="U42" i="3"/>
  <c r="S42" i="3"/>
  <c r="X42" i="3"/>
  <c r="W42" i="3"/>
  <c r="T42" i="3"/>
  <c r="U61" i="3"/>
  <c r="X61" i="3"/>
  <c r="V61" i="3"/>
  <c r="W61" i="3"/>
  <c r="U73" i="3"/>
  <c r="X73" i="3"/>
  <c r="V73" i="3"/>
  <c r="W73" i="3"/>
  <c r="T101" i="3"/>
  <c r="X101" i="3"/>
  <c r="V101" i="3"/>
  <c r="U101" i="3"/>
  <c r="W101" i="3"/>
  <c r="S101" i="3"/>
  <c r="W117" i="3"/>
  <c r="X117" i="3"/>
  <c r="U117" i="3"/>
  <c r="V117" i="3"/>
  <c r="U21" i="3"/>
  <c r="X21" i="3"/>
  <c r="S21" i="3"/>
  <c r="V21" i="3"/>
  <c r="W21" i="3"/>
  <c r="T21" i="3"/>
  <c r="V37" i="3"/>
  <c r="S37" i="3"/>
  <c r="T37" i="3"/>
  <c r="U37" i="3"/>
  <c r="W37" i="3"/>
  <c r="X37" i="3"/>
  <c r="W53" i="3"/>
  <c r="X53" i="3"/>
  <c r="U53" i="3"/>
  <c r="T53" i="3"/>
  <c r="V53" i="3"/>
  <c r="S53" i="3"/>
  <c r="V90" i="3"/>
  <c r="U90" i="3"/>
  <c r="S90" i="3"/>
  <c r="X90" i="3"/>
  <c r="T90" i="3"/>
  <c r="W90" i="3"/>
  <c r="W113" i="3"/>
  <c r="T113" i="3"/>
  <c r="X113" i="3"/>
  <c r="S113" i="3"/>
  <c r="U113" i="3"/>
  <c r="V113" i="3"/>
  <c r="U140" i="3"/>
  <c r="X140" i="3"/>
  <c r="S140" i="3"/>
  <c r="W140" i="3"/>
  <c r="T140" i="3"/>
  <c r="V140" i="3"/>
  <c r="W20" i="3"/>
  <c r="V20" i="3"/>
  <c r="T20" i="3"/>
  <c r="X20" i="3"/>
  <c r="U20" i="3"/>
  <c r="S20" i="3"/>
  <c r="W29" i="3"/>
  <c r="V29" i="3"/>
  <c r="S29" i="3"/>
  <c r="T29" i="3"/>
  <c r="X29" i="3"/>
  <c r="U29" i="3"/>
  <c r="V39" i="3"/>
  <c r="S39" i="3"/>
  <c r="X39" i="3"/>
  <c r="T39" i="3"/>
  <c r="U39" i="3"/>
  <c r="W39" i="3"/>
  <c r="U57" i="3"/>
  <c r="V57" i="3"/>
  <c r="X57" i="3"/>
  <c r="T57" i="3"/>
  <c r="W57" i="3"/>
  <c r="S57" i="3"/>
  <c r="U75" i="3"/>
  <c r="V75" i="3"/>
  <c r="X75" i="3"/>
  <c r="W75" i="3"/>
  <c r="T83" i="3"/>
  <c r="X83" i="3"/>
  <c r="U83" i="3"/>
  <c r="V83" i="3"/>
  <c r="S83" i="3"/>
  <c r="W83" i="3"/>
  <c r="U93" i="3"/>
  <c r="T93" i="3"/>
  <c r="V93" i="3"/>
  <c r="X93" i="3"/>
  <c r="W93" i="3"/>
  <c r="S93" i="3"/>
  <c r="W112" i="3"/>
  <c r="X112" i="3"/>
  <c r="T112" i="3"/>
  <c r="V112" i="3"/>
  <c r="U112" i="3"/>
  <c r="S112" i="3"/>
  <c r="W131" i="3"/>
  <c r="X131" i="3"/>
  <c r="T131" i="3"/>
  <c r="U131" i="3"/>
  <c r="V131" i="3"/>
  <c r="S131" i="3"/>
  <c r="W135" i="3"/>
  <c r="T135" i="3"/>
  <c r="X135" i="3"/>
  <c r="S135" i="3"/>
  <c r="V135" i="3"/>
  <c r="U135" i="3"/>
  <c r="U144" i="3"/>
  <c r="V144" i="3"/>
  <c r="S144" i="3"/>
  <c r="W144" i="3"/>
  <c r="T144" i="3"/>
  <c r="X144" i="3"/>
  <c r="T161" i="3"/>
  <c r="X161" i="3"/>
  <c r="S161" i="3"/>
  <c r="W161" i="3"/>
  <c r="U161" i="3"/>
  <c r="V161" i="3"/>
  <c r="U176" i="3"/>
  <c r="X176" i="3"/>
  <c r="T176" i="3"/>
  <c r="V176" i="3"/>
  <c r="S176" i="3"/>
  <c r="W176" i="3"/>
  <c r="T190" i="3"/>
  <c r="S190" i="3"/>
  <c r="V190" i="3"/>
  <c r="W190" i="3"/>
  <c r="X190" i="3"/>
  <c r="U190" i="3"/>
  <c r="X212" i="3"/>
  <c r="W212" i="3"/>
  <c r="U265" i="3"/>
  <c r="T265" i="3"/>
  <c r="W265" i="3"/>
  <c r="X265" i="3"/>
  <c r="V265" i="3"/>
  <c r="S265" i="3"/>
  <c r="X82" i="3"/>
  <c r="W82" i="3"/>
  <c r="U94" i="3"/>
  <c r="V94" i="3"/>
  <c r="W94" i="3"/>
  <c r="X94" i="3"/>
  <c r="W120" i="3"/>
  <c r="X120" i="3"/>
  <c r="T120" i="3"/>
  <c r="V120" i="3"/>
  <c r="U120" i="3"/>
  <c r="S120" i="3"/>
  <c r="W127" i="3"/>
  <c r="X127" i="3"/>
  <c r="T127" i="3"/>
  <c r="U127" i="3"/>
  <c r="S127" i="3"/>
  <c r="V127" i="3"/>
  <c r="T154" i="3"/>
  <c r="U154" i="3"/>
  <c r="V154" i="3"/>
  <c r="X154" i="3"/>
  <c r="S154" i="3"/>
  <c r="W154" i="3"/>
  <c r="U167" i="3"/>
  <c r="T167" i="3"/>
  <c r="S167" i="3"/>
  <c r="V167" i="3"/>
  <c r="X167" i="3"/>
  <c r="W167" i="3"/>
  <c r="X191" i="3"/>
  <c r="V191" i="3"/>
  <c r="U191" i="3"/>
  <c r="T191" i="3"/>
  <c r="W191" i="3"/>
  <c r="S191" i="3"/>
  <c r="V204" i="3"/>
  <c r="X204" i="3"/>
  <c r="T204" i="3"/>
  <c r="U204" i="3"/>
  <c r="S204" i="3"/>
  <c r="W204" i="3"/>
  <c r="V216" i="3"/>
  <c r="U216" i="3"/>
  <c r="W216" i="3"/>
  <c r="X216" i="3"/>
  <c r="T235" i="3"/>
  <c r="W235" i="3"/>
  <c r="V235" i="3"/>
  <c r="X235" i="3"/>
  <c r="U235" i="3"/>
  <c r="S235" i="3"/>
  <c r="U178" i="3"/>
  <c r="V178" i="3"/>
  <c r="W178" i="3"/>
  <c r="X178" i="3"/>
  <c r="X186" i="3"/>
  <c r="U186" i="3"/>
  <c r="V186" i="3"/>
  <c r="S186" i="3"/>
  <c r="W186" i="3"/>
  <c r="T186" i="3"/>
  <c r="V206" i="3"/>
  <c r="X206" i="3"/>
  <c r="U206" i="3"/>
  <c r="W206" i="3"/>
  <c r="X150" i="3"/>
  <c r="U150" i="3"/>
  <c r="W150" i="3"/>
  <c r="V150" i="3"/>
  <c r="S150" i="3"/>
  <c r="T150" i="3"/>
  <c r="U168" i="3"/>
  <c r="V168" i="3"/>
  <c r="T168" i="3"/>
  <c r="S168" i="3"/>
  <c r="X168" i="3"/>
  <c r="W168" i="3"/>
  <c r="U174" i="3"/>
  <c r="W174" i="3"/>
  <c r="X174" i="3"/>
  <c r="V174" i="3"/>
  <c r="U192" i="3"/>
  <c r="T192" i="3"/>
  <c r="S192" i="3"/>
  <c r="V192" i="3"/>
  <c r="W192" i="3"/>
  <c r="X192" i="3"/>
  <c r="X209" i="3"/>
  <c r="U209" i="3"/>
  <c r="V209" i="3"/>
  <c r="W209" i="3"/>
  <c r="X217" i="3"/>
  <c r="V217" i="3"/>
  <c r="S217" i="3"/>
  <c r="U217" i="3"/>
  <c r="W217" i="3"/>
  <c r="T217" i="3"/>
  <c r="W290" i="3"/>
  <c r="U290" i="3"/>
  <c r="V290" i="3"/>
  <c r="X290" i="3"/>
  <c r="W306" i="3"/>
  <c r="V306" i="3"/>
  <c r="X306" i="3"/>
  <c r="U306" i="3"/>
  <c r="W241" i="3"/>
  <c r="X241" i="3"/>
  <c r="W312" i="3"/>
  <c r="U312" i="3"/>
  <c r="X312" i="3"/>
  <c r="V312" i="3"/>
  <c r="V249" i="3"/>
  <c r="X249" i="3"/>
  <c r="S249" i="3"/>
  <c r="U249" i="3"/>
  <c r="T249" i="3"/>
  <c r="W249" i="3"/>
  <c r="V279" i="3"/>
  <c r="S279" i="3"/>
  <c r="T279" i="3"/>
  <c r="U279" i="3"/>
  <c r="W279" i="3"/>
  <c r="X279" i="3"/>
  <c r="S302" i="3"/>
  <c r="W302" i="3"/>
  <c r="X302" i="3"/>
  <c r="U302" i="3"/>
  <c r="V302" i="3"/>
  <c r="T302" i="3"/>
  <c r="U321" i="3"/>
  <c r="T321" i="3"/>
  <c r="W321" i="3"/>
  <c r="X321" i="3"/>
  <c r="V321" i="3"/>
  <c r="S321" i="3"/>
  <c r="W222" i="3"/>
  <c r="X222" i="3"/>
  <c r="V245" i="3"/>
  <c r="U245" i="3"/>
  <c r="T245" i="3"/>
  <c r="W245" i="3"/>
  <c r="S245" i="3"/>
  <c r="X245" i="3"/>
  <c r="V257" i="3"/>
  <c r="W257" i="3"/>
  <c r="X257" i="3"/>
  <c r="S257" i="3"/>
  <c r="U257" i="3"/>
  <c r="T257" i="3"/>
  <c r="U266" i="3"/>
  <c r="V266" i="3"/>
  <c r="S266" i="3"/>
  <c r="X266" i="3"/>
  <c r="T266" i="3"/>
  <c r="W266" i="3"/>
  <c r="X277" i="3"/>
  <c r="T277" i="3"/>
  <c r="V277" i="3"/>
  <c r="W277" i="3"/>
  <c r="S277" i="3"/>
  <c r="U277" i="3"/>
  <c r="U284" i="3"/>
  <c r="S284" i="3"/>
  <c r="X284" i="3"/>
  <c r="V284" i="3"/>
  <c r="T284" i="3"/>
  <c r="W284" i="3"/>
  <c r="U289" i="3"/>
  <c r="V289" i="3"/>
  <c r="W289" i="3"/>
  <c r="S289" i="3"/>
  <c r="T289" i="3"/>
  <c r="X289" i="3"/>
  <c r="X297" i="3"/>
  <c r="W297" i="3"/>
  <c r="W307" i="3"/>
  <c r="U307" i="3"/>
  <c r="V307" i="3"/>
  <c r="X307" i="3"/>
  <c r="V316" i="3"/>
  <c r="T316" i="3"/>
  <c r="X316" i="3"/>
  <c r="W316" i="3"/>
  <c r="U316" i="3"/>
  <c r="S316" i="3"/>
  <c r="V234" i="3"/>
  <c r="X234" i="3"/>
  <c r="W234" i="3"/>
  <c r="U234" i="3"/>
  <c r="V247" i="3"/>
  <c r="U247" i="3"/>
  <c r="W247" i="3"/>
  <c r="T247" i="3"/>
  <c r="X247" i="3"/>
  <c r="S247" i="3"/>
  <c r="U261" i="3"/>
  <c r="V261" i="3"/>
  <c r="W261" i="3"/>
  <c r="T261" i="3"/>
  <c r="X261" i="3"/>
  <c r="S261" i="3"/>
  <c r="S293" i="3"/>
  <c r="X293" i="3"/>
  <c r="T293" i="3"/>
  <c r="W293" i="3"/>
  <c r="V293" i="3"/>
  <c r="U293" i="3"/>
  <c r="W310" i="3"/>
  <c r="X310" i="3"/>
  <c r="P53" i="3"/>
  <c r="R53" i="3"/>
  <c r="O53" i="3"/>
  <c r="Q53" i="3"/>
  <c r="Q66" i="3"/>
  <c r="O66" i="3"/>
  <c r="N66" i="3"/>
  <c r="P66" i="3"/>
  <c r="R66" i="3"/>
  <c r="M66" i="3"/>
  <c r="Q6" i="3"/>
  <c r="O6" i="3"/>
  <c r="N6" i="3"/>
  <c r="P6" i="3"/>
  <c r="R6" i="3"/>
  <c r="M6" i="3"/>
  <c r="P58" i="3"/>
  <c r="Q58" i="3"/>
  <c r="O58" i="3"/>
  <c r="R58" i="3"/>
  <c r="P23" i="3"/>
  <c r="Q23" i="3"/>
  <c r="M23" i="3"/>
  <c r="O23" i="3"/>
  <c r="R23" i="3"/>
  <c r="N23" i="3"/>
  <c r="Q43" i="3"/>
  <c r="N43" i="3"/>
  <c r="M43" i="3"/>
  <c r="P43" i="3"/>
  <c r="O43" i="3"/>
  <c r="R43" i="3"/>
  <c r="Q3" i="3"/>
  <c r="O3" i="3"/>
  <c r="N3" i="3"/>
  <c r="R3" i="3"/>
  <c r="P3" i="3"/>
  <c r="M3" i="3"/>
  <c r="Q10" i="3"/>
  <c r="R10" i="3"/>
  <c r="P10" i="3"/>
  <c r="N10" i="3"/>
  <c r="O10" i="3"/>
  <c r="M10" i="3"/>
  <c r="R113" i="3"/>
  <c r="Q113" i="3"/>
  <c r="O113" i="3"/>
  <c r="P113" i="3"/>
  <c r="M113" i="3"/>
  <c r="N113" i="3"/>
  <c r="Q28" i="3"/>
  <c r="P28" i="3"/>
  <c r="M28" i="3"/>
  <c r="O28" i="3"/>
  <c r="N28" i="3"/>
  <c r="R28" i="3"/>
  <c r="P50" i="3"/>
  <c r="Q50" i="3"/>
  <c r="R50" i="3"/>
  <c r="O50" i="3"/>
  <c r="M50" i="3"/>
  <c r="N50" i="3"/>
  <c r="Q65" i="3"/>
  <c r="O65" i="3"/>
  <c r="R65" i="3"/>
  <c r="N65" i="3"/>
  <c r="M65" i="3"/>
  <c r="P65" i="3"/>
  <c r="O87" i="3"/>
  <c r="M87" i="3"/>
  <c r="R87" i="3"/>
  <c r="P87" i="3"/>
  <c r="N87" i="3"/>
  <c r="Q87" i="3"/>
  <c r="Q94" i="3"/>
  <c r="N94" i="3"/>
  <c r="P94" i="3"/>
  <c r="O94" i="3"/>
  <c r="R94" i="3"/>
  <c r="M94" i="3"/>
  <c r="O107" i="3"/>
  <c r="P107" i="3"/>
  <c r="Q107" i="3"/>
  <c r="R107" i="3"/>
  <c r="M107" i="3"/>
  <c r="N107" i="3"/>
  <c r="R120" i="3"/>
  <c r="O120" i="3"/>
  <c r="P120" i="3"/>
  <c r="M120" i="3"/>
  <c r="Q120" i="3"/>
  <c r="N120" i="3"/>
  <c r="R132" i="3"/>
  <c r="P132" i="3"/>
  <c r="O132" i="3"/>
  <c r="M132" i="3"/>
  <c r="Q132" i="3"/>
  <c r="N132" i="3"/>
  <c r="Q150" i="3"/>
  <c r="N150" i="3"/>
  <c r="R150" i="3"/>
  <c r="O150" i="3"/>
  <c r="P150" i="3"/>
  <c r="M150" i="3"/>
  <c r="O22" i="3"/>
  <c r="P22" i="3"/>
  <c r="Q22" i="3"/>
  <c r="N22" i="3"/>
  <c r="M22" i="3"/>
  <c r="R22" i="3"/>
  <c r="P30" i="3"/>
  <c r="O30" i="3"/>
  <c r="Q30" i="3"/>
  <c r="M30" i="3"/>
  <c r="R30" i="3"/>
  <c r="N30" i="3"/>
  <c r="Q40" i="3"/>
  <c r="R40" i="3"/>
  <c r="P40" i="3"/>
  <c r="O40" i="3"/>
  <c r="Q59" i="3"/>
  <c r="P59" i="3"/>
  <c r="N59" i="3"/>
  <c r="R59" i="3"/>
  <c r="O59" i="3"/>
  <c r="M59" i="3"/>
  <c r="P76" i="3"/>
  <c r="O76" i="3"/>
  <c r="Q76" i="3"/>
  <c r="M76" i="3"/>
  <c r="N76" i="3"/>
  <c r="R76" i="3"/>
  <c r="O91" i="3"/>
  <c r="P91" i="3"/>
  <c r="N91" i="3"/>
  <c r="Q91" i="3"/>
  <c r="R91" i="3"/>
  <c r="M91" i="3"/>
  <c r="R131" i="3"/>
  <c r="P131" i="3"/>
  <c r="O131" i="3"/>
  <c r="Q131" i="3"/>
  <c r="N131" i="3"/>
  <c r="M131" i="3"/>
  <c r="O18" i="3"/>
  <c r="P18" i="3"/>
  <c r="Q18" i="3"/>
  <c r="M18" i="3"/>
  <c r="N18" i="3"/>
  <c r="R18" i="3"/>
  <c r="Q42" i="3"/>
  <c r="O42" i="3"/>
  <c r="N42" i="3"/>
  <c r="M42" i="3"/>
  <c r="R42" i="3"/>
  <c r="P42" i="3"/>
  <c r="N61" i="3"/>
  <c r="Q61" i="3"/>
  <c r="M61" i="3"/>
  <c r="P61" i="3"/>
  <c r="O61" i="3"/>
  <c r="R61" i="3"/>
  <c r="Q73" i="3"/>
  <c r="N73" i="3"/>
  <c r="P73" i="3"/>
  <c r="O73" i="3"/>
  <c r="M73" i="3"/>
  <c r="R73" i="3"/>
  <c r="P82" i="3"/>
  <c r="O82" i="3"/>
  <c r="R82" i="3"/>
  <c r="Q82" i="3"/>
  <c r="M82" i="3"/>
  <c r="N82" i="3"/>
  <c r="R115" i="3"/>
  <c r="O115" i="3"/>
  <c r="P115" i="3"/>
  <c r="M115" i="3"/>
  <c r="N115" i="3"/>
  <c r="Q115" i="3"/>
  <c r="R128" i="3"/>
  <c r="P128" i="3"/>
  <c r="M128" i="3"/>
  <c r="O128" i="3"/>
  <c r="Q128" i="3"/>
  <c r="N128" i="3"/>
  <c r="R127" i="3"/>
  <c r="O127" i="3"/>
  <c r="P127" i="3"/>
  <c r="Q127" i="3"/>
  <c r="N127" i="3"/>
  <c r="M127" i="3"/>
  <c r="Q154" i="3"/>
  <c r="N154" i="3"/>
  <c r="O154" i="3"/>
  <c r="R154" i="3"/>
  <c r="P154" i="3"/>
  <c r="M154" i="3"/>
  <c r="Q167" i="3"/>
  <c r="O167" i="3"/>
  <c r="P167" i="3"/>
  <c r="N167" i="3"/>
  <c r="M167" i="3"/>
  <c r="R167" i="3"/>
  <c r="O191" i="3"/>
  <c r="Q191" i="3"/>
  <c r="M191" i="3"/>
  <c r="N191" i="3"/>
  <c r="P191" i="3"/>
  <c r="R191" i="3"/>
  <c r="R204" i="3"/>
  <c r="P204" i="3"/>
  <c r="N204" i="3"/>
  <c r="M204" i="3"/>
  <c r="Q204" i="3"/>
  <c r="O204" i="3"/>
  <c r="R216" i="3"/>
  <c r="Q216" i="3"/>
  <c r="N216" i="3"/>
  <c r="P216" i="3"/>
  <c r="M216" i="3"/>
  <c r="O216" i="3"/>
  <c r="Q95" i="3"/>
  <c r="P95" i="3"/>
  <c r="O95" i="3"/>
  <c r="R95" i="3"/>
  <c r="R110" i="3"/>
  <c r="M110" i="3"/>
  <c r="O110" i="3"/>
  <c r="Q110" i="3"/>
  <c r="P110" i="3"/>
  <c r="N110" i="3"/>
  <c r="R137" i="3"/>
  <c r="P137" i="3"/>
  <c r="O137" i="3"/>
  <c r="M137" i="3"/>
  <c r="N137" i="3"/>
  <c r="Q137" i="3"/>
  <c r="Q152" i="3"/>
  <c r="O152" i="3"/>
  <c r="N152" i="3"/>
  <c r="R152" i="3"/>
  <c r="P152" i="3"/>
  <c r="M152" i="3"/>
  <c r="P178" i="3"/>
  <c r="Q178" i="3"/>
  <c r="O178" i="3"/>
  <c r="N178" i="3"/>
  <c r="R178" i="3"/>
  <c r="M178" i="3"/>
  <c r="R186" i="3"/>
  <c r="N186" i="3"/>
  <c r="Q186" i="3"/>
  <c r="M186" i="3"/>
  <c r="P186" i="3"/>
  <c r="O186" i="3"/>
  <c r="R206" i="3"/>
  <c r="O206" i="3"/>
  <c r="Q206" i="3"/>
  <c r="M206" i="3"/>
  <c r="N206" i="3"/>
  <c r="P206" i="3"/>
  <c r="Q162" i="3"/>
  <c r="O162" i="3"/>
  <c r="N162" i="3"/>
  <c r="P162" i="3"/>
  <c r="R162" i="3"/>
  <c r="M162" i="3"/>
  <c r="Q172" i="3"/>
  <c r="O172" i="3"/>
  <c r="P172" i="3"/>
  <c r="R172" i="3"/>
  <c r="R188" i="3"/>
  <c r="O188" i="3"/>
  <c r="P188" i="3"/>
  <c r="M188" i="3"/>
  <c r="Q188" i="3"/>
  <c r="N188" i="3"/>
  <c r="N201" i="3"/>
  <c r="P201" i="3"/>
  <c r="R201" i="3"/>
  <c r="Q201" i="3"/>
  <c r="O201" i="3"/>
  <c r="M201" i="3"/>
  <c r="N215" i="3"/>
  <c r="R215" i="3"/>
  <c r="Q215" i="3"/>
  <c r="O215" i="3"/>
  <c r="M215" i="3"/>
  <c r="P215" i="3"/>
  <c r="R318" i="3"/>
  <c r="O318" i="3"/>
  <c r="M318" i="3"/>
  <c r="Q318" i="3"/>
  <c r="P318" i="3"/>
  <c r="N318" i="3"/>
  <c r="Q161" i="3"/>
  <c r="O161" i="3"/>
  <c r="N161" i="3"/>
  <c r="R161" i="3"/>
  <c r="P161" i="3"/>
  <c r="M161" i="3"/>
  <c r="O176" i="3"/>
  <c r="R176" i="3"/>
  <c r="N176" i="3"/>
  <c r="Q176" i="3"/>
  <c r="M176" i="3"/>
  <c r="P176" i="3"/>
  <c r="R190" i="3"/>
  <c r="N190" i="3"/>
  <c r="Q190" i="3"/>
  <c r="M190" i="3"/>
  <c r="P190" i="3"/>
  <c r="O190" i="3"/>
  <c r="O212" i="3"/>
  <c r="Q212" i="3"/>
  <c r="P212" i="3"/>
  <c r="R212" i="3"/>
  <c r="N222" i="3"/>
  <c r="Q222" i="3"/>
  <c r="R222" i="3"/>
  <c r="P222" i="3"/>
  <c r="M222" i="3"/>
  <c r="O222" i="3"/>
  <c r="N234" i="3"/>
  <c r="Q234" i="3"/>
  <c r="P234" i="3"/>
  <c r="M234" i="3"/>
  <c r="R234" i="3"/>
  <c r="O234" i="3"/>
  <c r="O263" i="3"/>
  <c r="R263" i="3"/>
  <c r="P263" i="3"/>
  <c r="Q263" i="3"/>
  <c r="Q233" i="3"/>
  <c r="M233" i="3"/>
  <c r="N233" i="3"/>
  <c r="R233" i="3"/>
  <c r="O233" i="3"/>
  <c r="P233" i="3"/>
  <c r="P261" i="3"/>
  <c r="M261" i="3"/>
  <c r="O261" i="3"/>
  <c r="Q261" i="3"/>
  <c r="N261" i="3"/>
  <c r="R261" i="3"/>
  <c r="R230" i="3"/>
  <c r="M230" i="3"/>
  <c r="O230" i="3"/>
  <c r="N230" i="3"/>
  <c r="Q230" i="3"/>
  <c r="P230" i="3"/>
  <c r="Q245" i="3"/>
  <c r="M245" i="3"/>
  <c r="N245" i="3"/>
  <c r="P245" i="3"/>
  <c r="O245" i="3"/>
  <c r="R245" i="3"/>
  <c r="O257" i="3"/>
  <c r="Q257" i="3"/>
  <c r="N257" i="3"/>
  <c r="P257" i="3"/>
  <c r="R257" i="3"/>
  <c r="M257" i="3"/>
  <c r="O266" i="3"/>
  <c r="R266" i="3"/>
  <c r="P266" i="3"/>
  <c r="N266" i="3"/>
  <c r="M266" i="3"/>
  <c r="Q266" i="3"/>
  <c r="P277" i="3"/>
  <c r="Q277" i="3"/>
  <c r="O277" i="3"/>
  <c r="R277" i="3"/>
  <c r="M277" i="3"/>
  <c r="N277" i="3"/>
  <c r="Q284" i="3"/>
  <c r="R284" i="3"/>
  <c r="O284" i="3"/>
  <c r="P284" i="3"/>
  <c r="O289" i="3"/>
  <c r="Q289" i="3"/>
  <c r="R289" i="3"/>
  <c r="N289" i="3"/>
  <c r="P289" i="3"/>
  <c r="M289" i="3"/>
  <c r="Q297" i="3"/>
  <c r="N297" i="3"/>
  <c r="P297" i="3"/>
  <c r="O297" i="3"/>
  <c r="R297" i="3"/>
  <c r="M297" i="3"/>
  <c r="R307" i="3"/>
  <c r="P307" i="3"/>
  <c r="O307" i="3"/>
  <c r="Q307" i="3"/>
  <c r="R316" i="3"/>
  <c r="P316" i="3"/>
  <c r="O316" i="3"/>
  <c r="Q316" i="3"/>
  <c r="N316" i="3"/>
  <c r="M316" i="3"/>
  <c r="Q229" i="3"/>
  <c r="P229" i="3"/>
  <c r="R229" i="3"/>
  <c r="O229" i="3"/>
  <c r="O238" i="3"/>
  <c r="R238" i="3"/>
  <c r="M238" i="3"/>
  <c r="Q238" i="3"/>
  <c r="N238" i="3"/>
  <c r="P238" i="3"/>
  <c r="P267" i="3"/>
  <c r="R267" i="3"/>
  <c r="N267" i="3"/>
  <c r="O267" i="3"/>
  <c r="M267" i="3"/>
  <c r="Q267" i="3"/>
  <c r="R272" i="3"/>
  <c r="P272" i="3"/>
  <c r="O272" i="3"/>
  <c r="M272" i="3"/>
  <c r="N272" i="3"/>
  <c r="Q272" i="3"/>
  <c r="O306" i="3"/>
  <c r="P306" i="3"/>
  <c r="R306" i="3"/>
  <c r="Q306" i="3"/>
  <c r="Q237" i="3"/>
  <c r="N237" i="3"/>
  <c r="O237" i="3"/>
  <c r="P237" i="3"/>
  <c r="M237" i="3"/>
  <c r="R237" i="3"/>
  <c r="M249" i="3"/>
  <c r="P249" i="3"/>
  <c r="O249" i="3"/>
  <c r="N249" i="3"/>
  <c r="R249" i="3"/>
  <c r="Q249" i="3"/>
  <c r="R279" i="3"/>
  <c r="N279" i="3"/>
  <c r="O279" i="3"/>
  <c r="M279" i="3"/>
  <c r="P279" i="3"/>
  <c r="Q279" i="3"/>
  <c r="O302" i="3"/>
  <c r="P302" i="3"/>
  <c r="N302" i="3"/>
  <c r="Q302" i="3"/>
  <c r="R302" i="3"/>
  <c r="M302" i="3"/>
  <c r="AJ2" i="3"/>
  <c r="AH2" i="3"/>
  <c r="AG2" i="3"/>
  <c r="AE2" i="3"/>
  <c r="AF2" i="3"/>
  <c r="AI2" i="3"/>
  <c r="AH62" i="3"/>
  <c r="AG62" i="3"/>
  <c r="AJ62" i="3"/>
  <c r="AI62" i="3"/>
  <c r="AI136" i="3"/>
  <c r="AH136" i="3"/>
  <c r="AF136" i="3"/>
  <c r="AJ136" i="3"/>
  <c r="AG136" i="3"/>
  <c r="AE136" i="3"/>
  <c r="AI21" i="3"/>
  <c r="AE21" i="3"/>
  <c r="AH21" i="3"/>
  <c r="AF21" i="3"/>
  <c r="AG21" i="3"/>
  <c r="AJ21" i="3"/>
  <c r="AH69" i="3"/>
  <c r="AJ69" i="3"/>
  <c r="AI69" i="3"/>
  <c r="AF69" i="3"/>
  <c r="AE69" i="3"/>
  <c r="AG69" i="3"/>
  <c r="AJ106" i="3"/>
  <c r="AE106" i="3"/>
  <c r="AH106" i="3"/>
  <c r="AI106" i="3"/>
  <c r="AG106" i="3"/>
  <c r="AF106" i="3"/>
  <c r="AH86" i="3"/>
  <c r="AJ86" i="3"/>
  <c r="AF86" i="3"/>
  <c r="AG86" i="3"/>
  <c r="AE86" i="3"/>
  <c r="AI86" i="3"/>
  <c r="AJ9" i="3"/>
  <c r="AH9" i="3"/>
  <c r="AE9" i="3"/>
  <c r="AF9" i="3"/>
  <c r="AG9" i="3"/>
  <c r="AI9" i="3"/>
  <c r="AF27" i="3"/>
  <c r="AJ27" i="3"/>
  <c r="AH27" i="3"/>
  <c r="AG27" i="3"/>
  <c r="AI27" i="3"/>
  <c r="AE27" i="3"/>
  <c r="AH80" i="3"/>
  <c r="AJ80" i="3"/>
  <c r="AG80" i="3"/>
  <c r="AI80" i="3"/>
  <c r="AI134" i="3"/>
  <c r="AH134" i="3"/>
  <c r="AF134" i="3"/>
  <c r="AJ134" i="3"/>
  <c r="AG134" i="3"/>
  <c r="AE134" i="3"/>
  <c r="AG20" i="3"/>
  <c r="AE20" i="3"/>
  <c r="AF20" i="3"/>
  <c r="AJ20" i="3"/>
  <c r="AH20" i="3"/>
  <c r="AI20" i="3"/>
  <c r="AH81" i="3"/>
  <c r="AJ81" i="3"/>
  <c r="AG81" i="3"/>
  <c r="AF81" i="3"/>
  <c r="AE81" i="3"/>
  <c r="AI81" i="3"/>
  <c r="AG32" i="3"/>
  <c r="AE32" i="3"/>
  <c r="AJ32" i="3"/>
  <c r="AH32" i="3"/>
  <c r="AF32" i="3"/>
  <c r="AI32" i="3"/>
  <c r="AI45" i="3"/>
  <c r="AJ45" i="3"/>
  <c r="AG45" i="3"/>
  <c r="AH45" i="3"/>
  <c r="AH66" i="3"/>
  <c r="AG66" i="3"/>
  <c r="AF66" i="3"/>
  <c r="AJ66" i="3"/>
  <c r="AE66" i="3"/>
  <c r="AI66" i="3"/>
  <c r="AI122" i="3"/>
  <c r="AG122" i="3"/>
  <c r="AH122" i="3"/>
  <c r="AJ122" i="3"/>
  <c r="AH13" i="3"/>
  <c r="AI13" i="3"/>
  <c r="AJ13" i="3"/>
  <c r="AF13" i="3"/>
  <c r="AE13" i="3"/>
  <c r="AG13" i="3"/>
  <c r="AI38" i="3"/>
  <c r="AH38" i="3"/>
  <c r="AJ38" i="3"/>
  <c r="AG38" i="3"/>
  <c r="AI54" i="3"/>
  <c r="AE54" i="3"/>
  <c r="AH54" i="3"/>
  <c r="AJ54" i="3"/>
  <c r="AF54" i="3"/>
  <c r="AG54" i="3"/>
  <c r="AH67" i="3"/>
  <c r="AJ67" i="3"/>
  <c r="AE67" i="3"/>
  <c r="AF67" i="3"/>
  <c r="AG67" i="3"/>
  <c r="AI67" i="3"/>
  <c r="AH87" i="3"/>
  <c r="AJ87" i="3"/>
  <c r="AG87" i="3"/>
  <c r="AI87" i="3"/>
  <c r="AJ99" i="3"/>
  <c r="AH99" i="3"/>
  <c r="AF99" i="3"/>
  <c r="AI99" i="3"/>
  <c r="AG99" i="3"/>
  <c r="AE99" i="3"/>
  <c r="AG108" i="3"/>
  <c r="AI108" i="3"/>
  <c r="AH108" i="3"/>
  <c r="AJ108" i="3"/>
  <c r="AG124" i="3"/>
  <c r="AI124" i="3"/>
  <c r="AH124" i="3"/>
  <c r="AJ124" i="3"/>
  <c r="AI144" i="3"/>
  <c r="AH144" i="3"/>
  <c r="AE144" i="3"/>
  <c r="AG144" i="3"/>
  <c r="AJ144" i="3"/>
  <c r="AF144" i="3"/>
  <c r="AI25" i="3"/>
  <c r="AF25" i="3"/>
  <c r="AG25" i="3"/>
  <c r="AJ25" i="3"/>
  <c r="AH25" i="3"/>
  <c r="AE25" i="3"/>
  <c r="AJ46" i="3"/>
  <c r="AF46" i="3"/>
  <c r="AE46" i="3"/>
  <c r="AH46" i="3"/>
  <c r="AI46" i="3"/>
  <c r="AG46" i="3"/>
  <c r="AG60" i="3"/>
  <c r="AH60" i="3"/>
  <c r="AJ60" i="3"/>
  <c r="AI60" i="3"/>
  <c r="AH70" i="3"/>
  <c r="AG70" i="3"/>
  <c r="AF70" i="3"/>
  <c r="AJ70" i="3"/>
  <c r="AI70" i="3"/>
  <c r="AE70" i="3"/>
  <c r="AG110" i="3"/>
  <c r="AI110" i="3"/>
  <c r="AJ110" i="3"/>
  <c r="AH110" i="3"/>
  <c r="AI135" i="3"/>
  <c r="AJ135" i="3"/>
  <c r="AG135" i="3"/>
  <c r="AE135" i="3"/>
  <c r="AH135" i="3"/>
  <c r="AF135" i="3"/>
  <c r="AI139" i="3"/>
  <c r="AJ139" i="3"/>
  <c r="AG139" i="3"/>
  <c r="AE139" i="3"/>
  <c r="AH139" i="3"/>
  <c r="AF139" i="3"/>
  <c r="AI159" i="3"/>
  <c r="AJ159" i="3"/>
  <c r="AJ179" i="3"/>
  <c r="AI179" i="3"/>
  <c r="AH179" i="3"/>
  <c r="AG179" i="3"/>
  <c r="AJ187" i="3"/>
  <c r="AF187" i="3"/>
  <c r="AI187" i="3"/>
  <c r="AH187" i="3"/>
  <c r="AE187" i="3"/>
  <c r="AG187" i="3"/>
  <c r="AH211" i="3"/>
  <c r="AF211" i="3"/>
  <c r="AI211" i="3"/>
  <c r="AG211" i="3"/>
  <c r="AJ211" i="3"/>
  <c r="AE211" i="3"/>
  <c r="AH77" i="3"/>
  <c r="AJ77" i="3"/>
  <c r="AE77" i="3"/>
  <c r="AF77" i="3"/>
  <c r="AG77" i="3"/>
  <c r="AI77" i="3"/>
  <c r="AH90" i="3"/>
  <c r="AJ90" i="3"/>
  <c r="AG90" i="3"/>
  <c r="AF90" i="3"/>
  <c r="AI90" i="3"/>
  <c r="AE90" i="3"/>
  <c r="AI103" i="3"/>
  <c r="AG103" i="3"/>
  <c r="AF103" i="3"/>
  <c r="AH103" i="3"/>
  <c r="AJ103" i="3"/>
  <c r="AE103" i="3"/>
  <c r="AH119" i="3"/>
  <c r="AI119" i="3"/>
  <c r="AF119" i="3"/>
  <c r="AJ119" i="3"/>
  <c r="AG119" i="3"/>
  <c r="AE119" i="3"/>
  <c r="AI146" i="3"/>
  <c r="AH146" i="3"/>
  <c r="AG146" i="3"/>
  <c r="AJ146" i="3"/>
  <c r="AG162" i="3"/>
  <c r="AE162" i="3"/>
  <c r="AH162" i="3"/>
  <c r="AI162" i="3"/>
  <c r="AJ162" i="3"/>
  <c r="AF162" i="3"/>
  <c r="AG172" i="3"/>
  <c r="AH172" i="3"/>
  <c r="AI172" i="3"/>
  <c r="AJ172" i="3"/>
  <c r="AF188" i="3"/>
  <c r="AH188" i="3"/>
  <c r="AE188" i="3"/>
  <c r="AI188" i="3"/>
  <c r="AJ188" i="3"/>
  <c r="AG188" i="3"/>
  <c r="AI201" i="3"/>
  <c r="AJ201" i="3"/>
  <c r="AJ215" i="3"/>
  <c r="AG215" i="3"/>
  <c r="AH215" i="3"/>
  <c r="AI215" i="3"/>
  <c r="AJ220" i="3"/>
  <c r="AG220" i="3"/>
  <c r="AH220" i="3"/>
  <c r="AI220" i="3"/>
  <c r="AJ238" i="3"/>
  <c r="AF238" i="3"/>
  <c r="AH238" i="3"/>
  <c r="AE238" i="3"/>
  <c r="AI238" i="3"/>
  <c r="AG238" i="3"/>
  <c r="AG170" i="3"/>
  <c r="AH170" i="3"/>
  <c r="AI170" i="3"/>
  <c r="AJ170" i="3"/>
  <c r="AH183" i="3"/>
  <c r="AF183" i="3"/>
  <c r="AE183" i="3"/>
  <c r="AJ183" i="3"/>
  <c r="AG183" i="3"/>
  <c r="AI183" i="3"/>
  <c r="AH198" i="3"/>
  <c r="AG198" i="3"/>
  <c r="AI198" i="3"/>
  <c r="AJ198" i="3"/>
  <c r="AE147" i="3"/>
  <c r="AJ147" i="3"/>
  <c r="AG147" i="3"/>
  <c r="AH147" i="3"/>
  <c r="AI147" i="3"/>
  <c r="AF147" i="3"/>
  <c r="AH156" i="3"/>
  <c r="AG156" i="3"/>
  <c r="AJ156" i="3"/>
  <c r="AI156" i="3"/>
  <c r="AG175" i="3"/>
  <c r="AH175" i="3"/>
  <c r="AE175" i="3"/>
  <c r="AJ175" i="3"/>
  <c r="AI175" i="3"/>
  <c r="AF175" i="3"/>
  <c r="AF199" i="3"/>
  <c r="AH199" i="3"/>
  <c r="AJ199" i="3"/>
  <c r="AI199" i="3"/>
  <c r="AG199" i="3"/>
  <c r="AE199" i="3"/>
  <c r="AI207" i="3"/>
  <c r="AJ207" i="3"/>
  <c r="AI229" i="3"/>
  <c r="AG229" i="3"/>
  <c r="AH229" i="3"/>
  <c r="AJ229" i="3"/>
  <c r="AG235" i="3"/>
  <c r="AF235" i="3"/>
  <c r="AI235" i="3"/>
  <c r="AE235" i="3"/>
  <c r="AJ235" i="3"/>
  <c r="AH235" i="3"/>
  <c r="AG322" i="3"/>
  <c r="AH322" i="3"/>
  <c r="AJ322" i="3"/>
  <c r="AF322" i="3"/>
  <c r="AE322" i="3"/>
  <c r="AI322" i="3"/>
  <c r="AH302" i="3"/>
  <c r="AI302" i="3"/>
  <c r="AG302" i="3"/>
  <c r="AF302" i="3"/>
  <c r="AJ302" i="3"/>
  <c r="AE302" i="3"/>
  <c r="AH225" i="3"/>
  <c r="AG225" i="3"/>
  <c r="AI225" i="3"/>
  <c r="AJ225" i="3"/>
  <c r="AG303" i="3"/>
  <c r="AH303" i="3"/>
  <c r="AJ303" i="3"/>
  <c r="AI303" i="3"/>
  <c r="AH244" i="3"/>
  <c r="AF244" i="3"/>
  <c r="AI244" i="3"/>
  <c r="AJ244" i="3"/>
  <c r="AE244" i="3"/>
  <c r="AG244" i="3"/>
  <c r="AH268" i="3"/>
  <c r="AI268" i="3"/>
  <c r="AG268" i="3"/>
  <c r="AJ268" i="3"/>
  <c r="AH281" i="3"/>
  <c r="AE281" i="3"/>
  <c r="AJ281" i="3"/>
  <c r="AG281" i="3"/>
  <c r="AI281" i="3"/>
  <c r="AF281" i="3"/>
  <c r="AG312" i="3"/>
  <c r="AI312" i="3"/>
  <c r="AH312" i="3"/>
  <c r="AJ312" i="3"/>
  <c r="AF221" i="3"/>
  <c r="AJ221" i="3"/>
  <c r="AI221" i="3"/>
  <c r="AG221" i="3"/>
  <c r="AH221" i="3"/>
  <c r="AE221" i="3"/>
  <c r="AI242" i="3"/>
  <c r="AJ242" i="3"/>
  <c r="AH254" i="3"/>
  <c r="AI254" i="3"/>
  <c r="AG254" i="3"/>
  <c r="AE254" i="3"/>
  <c r="AJ254" i="3"/>
  <c r="AF254" i="3"/>
  <c r="AG263" i="3"/>
  <c r="AJ263" i="3"/>
  <c r="AH263" i="3"/>
  <c r="AE263" i="3"/>
  <c r="AI263" i="3"/>
  <c r="AF263" i="3"/>
  <c r="AG304" i="3"/>
  <c r="AI304" i="3"/>
  <c r="AJ304" i="3"/>
  <c r="AH304" i="3"/>
  <c r="AG318" i="3"/>
  <c r="AJ318" i="3"/>
  <c r="AH318" i="3"/>
  <c r="AI318" i="3"/>
  <c r="AG227" i="3"/>
  <c r="AH227" i="3"/>
  <c r="AE227" i="3"/>
  <c r="AF227" i="3"/>
  <c r="AJ227" i="3"/>
  <c r="AI227" i="3"/>
  <c r="AI251" i="3"/>
  <c r="AJ251" i="3"/>
  <c r="AG251" i="3"/>
  <c r="AE251" i="3"/>
  <c r="AH251" i="3"/>
  <c r="AF251" i="3"/>
  <c r="AI258" i="3"/>
  <c r="AG258" i="3"/>
  <c r="AF258" i="3"/>
  <c r="AJ258" i="3"/>
  <c r="AE258" i="3"/>
  <c r="AH258" i="3"/>
  <c r="AI271" i="3"/>
  <c r="AH271" i="3"/>
  <c r="AJ271" i="3"/>
  <c r="AG271" i="3"/>
  <c r="AE271" i="3"/>
  <c r="AF271" i="3"/>
  <c r="AI278" i="3"/>
  <c r="AJ278" i="3"/>
  <c r="AH278" i="3"/>
  <c r="AG278" i="3"/>
  <c r="AF285" i="3"/>
  <c r="AH285" i="3"/>
  <c r="AE285" i="3"/>
  <c r="AJ285" i="3"/>
  <c r="AI285" i="3"/>
  <c r="AG285" i="3"/>
  <c r="AG291" i="3"/>
  <c r="AE291" i="3"/>
  <c r="AH291" i="3"/>
  <c r="AI291" i="3"/>
  <c r="AJ291" i="3"/>
  <c r="AF291" i="3"/>
  <c r="AI298" i="3"/>
  <c r="AG298" i="3"/>
  <c r="AJ298" i="3"/>
  <c r="AH298" i="3"/>
  <c r="AG313" i="3"/>
  <c r="AJ313" i="3"/>
  <c r="AH313" i="3"/>
  <c r="AI313" i="3"/>
  <c r="AG319" i="3"/>
  <c r="AH319" i="3"/>
  <c r="AJ319" i="3"/>
  <c r="AI319" i="3"/>
  <c r="AA64" i="3"/>
  <c r="Z64" i="3"/>
  <c r="AD64" i="3"/>
  <c r="Y64" i="3"/>
  <c r="AB64" i="3"/>
  <c r="AC64" i="3"/>
  <c r="AA102" i="3"/>
  <c r="AD102" i="3"/>
  <c r="Y102" i="3"/>
  <c r="Z102" i="3"/>
  <c r="AB102" i="3"/>
  <c r="AC102" i="3"/>
  <c r="AA4" i="3"/>
  <c r="Y4" i="3"/>
  <c r="AD4" i="3"/>
  <c r="AB4" i="3"/>
  <c r="AC4" i="3"/>
  <c r="Z4" i="3"/>
  <c r="AA16" i="3"/>
  <c r="AB16" i="3"/>
  <c r="Z16" i="3"/>
  <c r="Y16" i="3"/>
  <c r="AC16" i="3"/>
  <c r="AD16" i="3"/>
  <c r="AA92" i="3"/>
  <c r="AB92" i="3"/>
  <c r="AC92" i="3"/>
  <c r="Z92" i="3"/>
  <c r="AD92" i="3"/>
  <c r="Y92" i="3"/>
  <c r="Z74" i="3"/>
  <c r="Y74" i="3"/>
  <c r="AC74" i="3"/>
  <c r="AA74" i="3"/>
  <c r="AB74" i="3"/>
  <c r="AD74" i="3"/>
  <c r="AB13" i="3"/>
  <c r="AA13" i="3"/>
  <c r="AC13" i="3"/>
  <c r="AD13" i="3"/>
  <c r="AA94" i="3"/>
  <c r="AC94" i="3"/>
  <c r="AD94" i="3"/>
  <c r="Y94" i="3"/>
  <c r="Z94" i="3"/>
  <c r="AB94" i="3"/>
  <c r="AB129" i="3"/>
  <c r="AA129" i="3"/>
  <c r="Y129" i="3"/>
  <c r="AD129" i="3"/>
  <c r="Z129" i="3"/>
  <c r="AC129" i="3"/>
  <c r="AA34" i="3"/>
  <c r="AB34" i="3"/>
  <c r="AC34" i="3"/>
  <c r="Y34" i="3"/>
  <c r="Z34" i="3"/>
  <c r="AD34" i="3"/>
  <c r="AA124" i="3"/>
  <c r="AD124" i="3"/>
  <c r="AC124" i="3"/>
  <c r="AB124" i="3"/>
  <c r="AA30" i="3"/>
  <c r="AC30" i="3"/>
  <c r="Y30" i="3"/>
  <c r="AB30" i="3"/>
  <c r="AD30" i="3"/>
  <c r="Z30" i="3"/>
  <c r="AA40" i="3"/>
  <c r="AB40" i="3"/>
  <c r="AD40" i="3"/>
  <c r="AC40" i="3"/>
  <c r="AC59" i="3"/>
  <c r="Y59" i="3"/>
  <c r="AD59" i="3"/>
  <c r="AA59" i="3"/>
  <c r="Z59" i="3"/>
  <c r="AB59" i="3"/>
  <c r="AA76" i="3"/>
  <c r="AB76" i="3"/>
  <c r="AD76" i="3"/>
  <c r="AC76" i="3"/>
  <c r="AC82" i="3"/>
  <c r="AA82" i="3"/>
  <c r="AD82" i="3"/>
  <c r="AB82" i="3"/>
  <c r="AA93" i="3"/>
  <c r="AD93" i="3"/>
  <c r="AC93" i="3"/>
  <c r="AB93" i="3"/>
  <c r="AA106" i="3"/>
  <c r="AB106" i="3"/>
  <c r="AC106" i="3"/>
  <c r="Y106" i="3"/>
  <c r="AD106" i="3"/>
  <c r="Z106" i="3"/>
  <c r="AB148" i="3"/>
  <c r="AC148" i="3"/>
  <c r="Z148" i="3"/>
  <c r="AD148" i="3"/>
  <c r="Y148" i="3"/>
  <c r="AA148" i="3"/>
  <c r="AB19" i="3"/>
  <c r="Y19" i="3"/>
  <c r="AC19" i="3"/>
  <c r="Z19" i="3"/>
  <c r="AA19" i="3"/>
  <c r="AD19" i="3"/>
  <c r="AA28" i="3"/>
  <c r="AC28" i="3"/>
  <c r="AB28" i="3"/>
  <c r="Y28" i="3"/>
  <c r="AD28" i="3"/>
  <c r="Z28" i="3"/>
  <c r="AD50" i="3"/>
  <c r="AC50" i="3"/>
  <c r="AB50" i="3"/>
  <c r="AA50" i="3"/>
  <c r="AA65" i="3"/>
  <c r="Y65" i="3"/>
  <c r="AC65" i="3"/>
  <c r="AD65" i="3"/>
  <c r="Z65" i="3"/>
  <c r="AB65" i="3"/>
  <c r="AA79" i="3"/>
  <c r="AD79" i="3"/>
  <c r="AC79" i="3"/>
  <c r="AB79" i="3"/>
  <c r="AB116" i="3"/>
  <c r="AA116" i="3"/>
  <c r="Z116" i="3"/>
  <c r="Y116" i="3"/>
  <c r="AC116" i="3"/>
  <c r="AD116" i="3"/>
  <c r="AB21" i="3"/>
  <c r="AC21" i="3"/>
  <c r="Y21" i="3"/>
  <c r="AD21" i="3"/>
  <c r="AA21" i="3"/>
  <c r="Z21" i="3"/>
  <c r="AB37" i="3"/>
  <c r="AA37" i="3"/>
  <c r="AC37" i="3"/>
  <c r="AD37" i="3"/>
  <c r="AC53" i="3"/>
  <c r="AD53" i="3"/>
  <c r="AA53" i="3"/>
  <c r="AB53" i="3"/>
  <c r="AA90" i="3"/>
  <c r="AC90" i="3"/>
  <c r="AB90" i="3"/>
  <c r="AD90" i="3"/>
  <c r="AD119" i="3"/>
  <c r="AB119" i="3"/>
  <c r="Y119" i="3"/>
  <c r="AC119" i="3"/>
  <c r="AA119" i="3"/>
  <c r="Z119" i="3"/>
  <c r="AD140" i="3"/>
  <c r="AA140" i="3"/>
  <c r="AB140" i="3"/>
  <c r="Y140" i="3"/>
  <c r="AC140" i="3"/>
  <c r="Z140" i="3"/>
  <c r="AB146" i="3"/>
  <c r="Z146" i="3"/>
  <c r="AA146" i="3"/>
  <c r="AC146" i="3"/>
  <c r="AD146" i="3"/>
  <c r="Y146" i="3"/>
  <c r="AC162" i="3"/>
  <c r="AD162" i="3"/>
  <c r="Z162" i="3"/>
  <c r="AA162" i="3"/>
  <c r="AB162" i="3"/>
  <c r="Y162" i="3"/>
  <c r="AB172" i="3"/>
  <c r="AC172" i="3"/>
  <c r="AA172" i="3"/>
  <c r="AD172" i="3"/>
  <c r="AA188" i="3"/>
  <c r="AC188" i="3"/>
  <c r="AB188" i="3"/>
  <c r="AD188" i="3"/>
  <c r="AD201" i="3"/>
  <c r="AC201" i="3"/>
  <c r="AA215" i="3"/>
  <c r="AB215" i="3"/>
  <c r="AC215" i="3"/>
  <c r="AD215" i="3"/>
  <c r="AB220" i="3"/>
  <c r="AD220" i="3"/>
  <c r="Y220" i="3"/>
  <c r="AC220" i="3"/>
  <c r="Z220" i="3"/>
  <c r="AA220" i="3"/>
  <c r="AC319" i="3"/>
  <c r="AA319" i="3"/>
  <c r="AD319" i="3"/>
  <c r="AB319" i="3"/>
  <c r="Z319" i="3"/>
  <c r="Y319" i="3"/>
  <c r="AA104" i="3"/>
  <c r="AC104" i="3"/>
  <c r="AB104" i="3"/>
  <c r="AD104" i="3"/>
  <c r="AC114" i="3"/>
  <c r="AD114" i="3"/>
  <c r="AD128" i="3"/>
  <c r="AB128" i="3"/>
  <c r="Y128" i="3"/>
  <c r="AC128" i="3"/>
  <c r="AA128" i="3"/>
  <c r="Z128" i="3"/>
  <c r="AB133" i="3"/>
  <c r="AD133" i="3"/>
  <c r="AA133" i="3"/>
  <c r="Z133" i="3"/>
  <c r="Y133" i="3"/>
  <c r="AC133" i="3"/>
  <c r="AB138" i="3"/>
  <c r="AD138" i="3"/>
  <c r="Y138" i="3"/>
  <c r="AC138" i="3"/>
  <c r="AA138" i="3"/>
  <c r="Z138" i="3"/>
  <c r="AD151" i="3"/>
  <c r="Y151" i="3"/>
  <c r="AC151" i="3"/>
  <c r="AA151" i="3"/>
  <c r="Z151" i="3"/>
  <c r="AB151" i="3"/>
  <c r="AC166" i="3"/>
  <c r="AB166" i="3"/>
  <c r="AA166" i="3"/>
  <c r="AD166" i="3"/>
  <c r="AD181" i="3"/>
  <c r="AC181" i="3"/>
  <c r="AA196" i="3"/>
  <c r="AC196" i="3"/>
  <c r="AB196" i="3"/>
  <c r="Y196" i="3"/>
  <c r="AD196" i="3"/>
  <c r="Z196" i="3"/>
  <c r="AD158" i="3"/>
  <c r="Z158" i="3"/>
  <c r="Y158" i="3"/>
  <c r="AB158" i="3"/>
  <c r="AA158" i="3"/>
  <c r="AC158" i="3"/>
  <c r="AA189" i="3"/>
  <c r="Y189" i="3"/>
  <c r="AB189" i="3"/>
  <c r="AC189" i="3"/>
  <c r="Z189" i="3"/>
  <c r="AD189" i="3"/>
  <c r="AA203" i="3"/>
  <c r="Z203" i="3"/>
  <c r="AD203" i="3"/>
  <c r="Y203" i="3"/>
  <c r="AC203" i="3"/>
  <c r="AB203" i="3"/>
  <c r="AA208" i="3"/>
  <c r="AC208" i="3"/>
  <c r="AD208" i="3"/>
  <c r="AB208" i="3"/>
  <c r="AD159" i="3"/>
  <c r="AC159" i="3"/>
  <c r="AD179" i="3"/>
  <c r="AA179" i="3"/>
  <c r="AB179" i="3"/>
  <c r="AC179" i="3"/>
  <c r="AA187" i="3"/>
  <c r="AC187" i="3"/>
  <c r="AB187" i="3"/>
  <c r="AD187" i="3"/>
  <c r="AA211" i="3"/>
  <c r="AC211" i="3"/>
  <c r="AB211" i="3"/>
  <c r="Z211" i="3"/>
  <c r="AD211" i="3"/>
  <c r="Y211" i="3"/>
  <c r="AD297" i="3"/>
  <c r="AC297" i="3"/>
  <c r="AC271" i="3"/>
  <c r="AA271" i="3"/>
  <c r="AD271" i="3"/>
  <c r="Z271" i="3"/>
  <c r="AB271" i="3"/>
  <c r="Y271" i="3"/>
  <c r="AD291" i="3"/>
  <c r="AC291" i="3"/>
  <c r="Z232" i="3"/>
  <c r="AB232" i="3"/>
  <c r="Y232" i="3"/>
  <c r="AC232" i="3"/>
  <c r="AA232" i="3"/>
  <c r="AD232" i="3"/>
  <c r="AB258" i="3"/>
  <c r="Y258" i="3"/>
  <c r="AA258" i="3"/>
  <c r="AC258" i="3"/>
  <c r="Z258" i="3"/>
  <c r="AD258" i="3"/>
  <c r="AB294" i="3"/>
  <c r="AA294" i="3"/>
  <c r="AD294" i="3"/>
  <c r="AC294" i="3"/>
  <c r="AA224" i="3"/>
  <c r="AC224" i="3"/>
  <c r="AB224" i="3"/>
  <c r="Z224" i="3"/>
  <c r="Y224" i="3"/>
  <c r="AD224" i="3"/>
  <c r="AB256" i="3"/>
  <c r="AC256" i="3"/>
  <c r="AA256" i="3"/>
  <c r="Y256" i="3"/>
  <c r="Z256" i="3"/>
  <c r="AD256" i="3"/>
  <c r="AB282" i="3"/>
  <c r="Y282" i="3"/>
  <c r="AC282" i="3"/>
  <c r="Z282" i="3"/>
  <c r="AA282" i="3"/>
  <c r="AD282" i="3"/>
  <c r="AB313" i="3"/>
  <c r="AD313" i="3"/>
  <c r="AC313" i="3"/>
  <c r="AA313" i="3"/>
  <c r="Y253" i="3"/>
  <c r="AA253" i="3"/>
  <c r="AB253" i="3"/>
  <c r="AC253" i="3"/>
  <c r="Z253" i="3"/>
  <c r="AD253" i="3"/>
  <c r="AD262" i="3"/>
  <c r="AC262" i="3"/>
  <c r="Y262" i="3"/>
  <c r="Z262" i="3"/>
  <c r="AB262" i="3"/>
  <c r="AA262" i="3"/>
  <c r="AC296" i="3"/>
  <c r="AD296" i="3"/>
  <c r="AA311" i="3"/>
  <c r="AB311" i="3"/>
  <c r="Z311" i="3"/>
  <c r="AD311" i="3"/>
  <c r="Y311" i="3"/>
  <c r="AC311" i="3"/>
  <c r="AA223" i="3"/>
  <c r="AB223" i="3"/>
  <c r="AD223" i="3"/>
  <c r="AC223" i="3"/>
  <c r="AA240" i="3"/>
  <c r="AB240" i="3"/>
  <c r="AD240" i="3"/>
  <c r="AC240" i="3"/>
  <c r="AC250" i="3"/>
  <c r="AA250" i="3"/>
  <c r="Z250" i="3"/>
  <c r="AB250" i="3"/>
  <c r="Y250" i="3"/>
  <c r="AD250" i="3"/>
  <c r="AC283" i="3"/>
  <c r="Y283" i="3"/>
  <c r="AA283" i="3"/>
  <c r="AD283" i="3"/>
  <c r="Z283" i="3"/>
  <c r="AB283" i="3"/>
  <c r="AA303" i="3"/>
  <c r="AC303" i="3"/>
  <c r="AB303" i="3"/>
  <c r="AD303" i="3"/>
  <c r="AA322" i="3"/>
  <c r="AB322" i="3"/>
  <c r="AD322" i="3"/>
  <c r="Y322" i="3"/>
  <c r="AC322" i="3"/>
  <c r="Z322" i="3"/>
  <c r="AC236" i="3"/>
  <c r="AA236" i="3"/>
  <c r="AB236" i="3"/>
  <c r="Y236" i="3"/>
  <c r="AD236" i="3"/>
  <c r="Z236" i="3"/>
  <c r="AC265" i="3"/>
  <c r="AA265" i="3"/>
  <c r="AD265" i="3"/>
  <c r="AB265" i="3"/>
  <c r="AA270" i="3"/>
  <c r="Z270" i="3"/>
  <c r="AC270" i="3"/>
  <c r="AB270" i="3"/>
  <c r="AD270" i="3"/>
  <c r="Y270" i="3"/>
  <c r="AC300" i="3"/>
  <c r="AA300" i="3"/>
  <c r="AD300" i="3"/>
  <c r="AB300" i="3"/>
  <c r="AB320" i="3"/>
  <c r="AD320" i="3"/>
  <c r="AA320" i="3"/>
  <c r="AC320" i="3"/>
  <c r="X10" i="3"/>
  <c r="W10" i="3"/>
  <c r="V10" i="3"/>
  <c r="T10" i="3"/>
  <c r="U10" i="3"/>
  <c r="S10" i="3"/>
  <c r="U72" i="3"/>
  <c r="V72" i="3"/>
  <c r="T72" i="3"/>
  <c r="W72" i="3"/>
  <c r="X72" i="3"/>
  <c r="S72" i="3"/>
  <c r="W125" i="3"/>
  <c r="X125" i="3"/>
  <c r="V125" i="3"/>
  <c r="U125" i="3"/>
  <c r="U12" i="3"/>
  <c r="T12" i="3"/>
  <c r="V12" i="3"/>
  <c r="X12" i="3"/>
  <c r="S12" i="3"/>
  <c r="W12" i="3"/>
  <c r="W50" i="3"/>
  <c r="T50" i="3"/>
  <c r="U50" i="3"/>
  <c r="X50" i="3"/>
  <c r="S50" i="3"/>
  <c r="V50" i="3"/>
  <c r="X107" i="3"/>
  <c r="W107" i="3"/>
  <c r="T107" i="3"/>
  <c r="S107" i="3"/>
  <c r="U107" i="3"/>
  <c r="V107" i="3"/>
  <c r="X9" i="3"/>
  <c r="W9" i="3"/>
  <c r="V9" i="3"/>
  <c r="S9" i="3"/>
  <c r="U9" i="3"/>
  <c r="T9" i="3"/>
  <c r="V44" i="3"/>
  <c r="S44" i="3"/>
  <c r="U44" i="3"/>
  <c r="X44" i="3"/>
  <c r="T44" i="3"/>
  <c r="W44" i="3"/>
  <c r="V23" i="3"/>
  <c r="S23" i="3"/>
  <c r="T23" i="3"/>
  <c r="W23" i="3"/>
  <c r="X23" i="3"/>
  <c r="U23" i="3"/>
  <c r="U63" i="3"/>
  <c r="V63" i="3"/>
  <c r="X63" i="3"/>
  <c r="T63" i="3"/>
  <c r="W63" i="3"/>
  <c r="S63" i="3"/>
  <c r="T34" i="3"/>
  <c r="V34" i="3"/>
  <c r="W34" i="3"/>
  <c r="S34" i="3"/>
  <c r="U34" i="3"/>
  <c r="X34" i="3"/>
  <c r="W47" i="3"/>
  <c r="X47" i="3"/>
  <c r="U47" i="3"/>
  <c r="V47" i="3"/>
  <c r="U64" i="3"/>
  <c r="V64" i="3"/>
  <c r="T64" i="3"/>
  <c r="W64" i="3"/>
  <c r="X64" i="3"/>
  <c r="S64" i="3"/>
  <c r="U74" i="3"/>
  <c r="V74" i="3"/>
  <c r="X74" i="3"/>
  <c r="S74" i="3"/>
  <c r="T74" i="3"/>
  <c r="W74" i="3"/>
  <c r="W109" i="3"/>
  <c r="X109" i="3"/>
  <c r="V109" i="3"/>
  <c r="U109" i="3"/>
  <c r="W126" i="3"/>
  <c r="X126" i="3"/>
  <c r="T126" i="3"/>
  <c r="U126" i="3"/>
  <c r="S126" i="3"/>
  <c r="V126" i="3"/>
  <c r="W31" i="3"/>
  <c r="X31" i="3"/>
  <c r="U31" i="3"/>
  <c r="V31" i="3"/>
  <c r="S31" i="3"/>
  <c r="T31" i="3"/>
  <c r="V43" i="3"/>
  <c r="U43" i="3"/>
  <c r="S43" i="3"/>
  <c r="W43" i="3"/>
  <c r="X43" i="3"/>
  <c r="T43" i="3"/>
  <c r="V58" i="3"/>
  <c r="X58" i="3"/>
  <c r="T58" i="3"/>
  <c r="U58" i="3"/>
  <c r="S58" i="3"/>
  <c r="W58" i="3"/>
  <c r="S104" i="3"/>
  <c r="T104" i="3"/>
  <c r="W104" i="3"/>
  <c r="U104" i="3"/>
  <c r="V104" i="3"/>
  <c r="X104" i="3"/>
  <c r="W119" i="3"/>
  <c r="T119" i="3"/>
  <c r="X119" i="3"/>
  <c r="V119" i="3"/>
  <c r="S119" i="3"/>
  <c r="U119" i="3"/>
  <c r="V152" i="3"/>
  <c r="U152" i="3"/>
  <c r="W152" i="3"/>
  <c r="X152" i="3"/>
  <c r="V22" i="3"/>
  <c r="T22" i="3"/>
  <c r="W22" i="3"/>
  <c r="U22" i="3"/>
  <c r="X22" i="3"/>
  <c r="S22" i="3"/>
  <c r="V30" i="3"/>
  <c r="W30" i="3"/>
  <c r="T30" i="3"/>
  <c r="X30" i="3"/>
  <c r="S30" i="3"/>
  <c r="U30" i="3"/>
  <c r="V40" i="3"/>
  <c r="X40" i="3"/>
  <c r="W40" i="3"/>
  <c r="U40" i="3"/>
  <c r="U59" i="3"/>
  <c r="X59" i="3"/>
  <c r="V59" i="3"/>
  <c r="W59" i="3"/>
  <c r="U76" i="3"/>
  <c r="V76" i="3"/>
  <c r="S76" i="3"/>
  <c r="X76" i="3"/>
  <c r="T76" i="3"/>
  <c r="W76" i="3"/>
  <c r="X85" i="3"/>
  <c r="V85" i="3"/>
  <c r="T85" i="3"/>
  <c r="U85" i="3"/>
  <c r="S85" i="3"/>
  <c r="W85" i="3"/>
  <c r="V95" i="3"/>
  <c r="X95" i="3"/>
  <c r="W95" i="3"/>
  <c r="U95" i="3"/>
  <c r="U142" i="3"/>
  <c r="S142" i="3"/>
  <c r="X142" i="3"/>
  <c r="V142" i="3"/>
  <c r="W142" i="3"/>
  <c r="T142" i="3"/>
  <c r="W132" i="3"/>
  <c r="X132" i="3"/>
  <c r="T132" i="3"/>
  <c r="V132" i="3"/>
  <c r="S132" i="3"/>
  <c r="U132" i="3"/>
  <c r="W136" i="3"/>
  <c r="T136" i="3"/>
  <c r="X136" i="3"/>
  <c r="V136" i="3"/>
  <c r="S136" i="3"/>
  <c r="U136" i="3"/>
  <c r="V149" i="3"/>
  <c r="X149" i="3"/>
  <c r="S149" i="3"/>
  <c r="U149" i="3"/>
  <c r="T149" i="3"/>
  <c r="W149" i="3"/>
  <c r="U164" i="3"/>
  <c r="V164" i="3"/>
  <c r="W164" i="3"/>
  <c r="X164" i="3"/>
  <c r="V177" i="3"/>
  <c r="X177" i="3"/>
  <c r="W177" i="3"/>
  <c r="U177" i="3"/>
  <c r="T177" i="3"/>
  <c r="S177" i="3"/>
  <c r="V193" i="3"/>
  <c r="X193" i="3"/>
  <c r="U193" i="3"/>
  <c r="T193" i="3"/>
  <c r="W193" i="3"/>
  <c r="S193" i="3"/>
  <c r="X221" i="3"/>
  <c r="U221" i="3"/>
  <c r="T221" i="3"/>
  <c r="W221" i="3"/>
  <c r="V221" i="3"/>
  <c r="S221" i="3"/>
  <c r="U269" i="3"/>
  <c r="W269" i="3"/>
  <c r="X269" i="3"/>
  <c r="V269" i="3"/>
  <c r="X87" i="3"/>
  <c r="W87" i="3"/>
  <c r="V96" i="3"/>
  <c r="X96" i="3"/>
  <c r="W96" i="3"/>
  <c r="U96" i="3"/>
  <c r="W122" i="3"/>
  <c r="X122" i="3"/>
  <c r="T122" i="3"/>
  <c r="U122" i="3"/>
  <c r="S122" i="3"/>
  <c r="V122" i="3"/>
  <c r="U141" i="3"/>
  <c r="X141" i="3"/>
  <c r="S141" i="3"/>
  <c r="V141" i="3"/>
  <c r="T141" i="3"/>
  <c r="W141" i="3"/>
  <c r="S155" i="3"/>
  <c r="X155" i="3"/>
  <c r="W155" i="3"/>
  <c r="V155" i="3"/>
  <c r="T155" i="3"/>
  <c r="U155" i="3"/>
  <c r="V173" i="3"/>
  <c r="X173" i="3"/>
  <c r="W173" i="3"/>
  <c r="U173" i="3"/>
  <c r="V197" i="3"/>
  <c r="X197" i="3"/>
  <c r="S197" i="3"/>
  <c r="W197" i="3"/>
  <c r="T197" i="3"/>
  <c r="U197" i="3"/>
  <c r="U205" i="3"/>
  <c r="T205" i="3"/>
  <c r="V205" i="3"/>
  <c r="S205" i="3"/>
  <c r="X205" i="3"/>
  <c r="W205" i="3"/>
  <c r="U159" i="3"/>
  <c r="W159" i="3"/>
  <c r="V159" i="3"/>
  <c r="X159" i="3"/>
  <c r="V179" i="3"/>
  <c r="S179" i="3"/>
  <c r="T179" i="3"/>
  <c r="X179" i="3"/>
  <c r="U179" i="3"/>
  <c r="W179" i="3"/>
  <c r="V187" i="3"/>
  <c r="X187" i="3"/>
  <c r="S187" i="3"/>
  <c r="W187" i="3"/>
  <c r="T187" i="3"/>
  <c r="U187" i="3"/>
  <c r="W211" i="3"/>
  <c r="V211" i="3"/>
  <c r="U211" i="3"/>
  <c r="X211" i="3"/>
  <c r="X153" i="3"/>
  <c r="S153" i="3"/>
  <c r="V153" i="3"/>
  <c r="T153" i="3"/>
  <c r="U153" i="3"/>
  <c r="W153" i="3"/>
  <c r="T169" i="3"/>
  <c r="S169" i="3"/>
  <c r="W169" i="3"/>
  <c r="U169" i="3"/>
  <c r="V169" i="3"/>
  <c r="X169" i="3"/>
  <c r="W180" i="3"/>
  <c r="X180" i="3"/>
  <c r="X195" i="3"/>
  <c r="V195" i="3"/>
  <c r="W195" i="3"/>
  <c r="U195" i="3"/>
  <c r="T195" i="3"/>
  <c r="S195" i="3"/>
  <c r="X210" i="3"/>
  <c r="V210" i="3"/>
  <c r="W210" i="3"/>
  <c r="U210" i="3"/>
  <c r="S218" i="3"/>
  <c r="T218" i="3"/>
  <c r="W218" i="3"/>
  <c r="U218" i="3"/>
  <c r="V218" i="3"/>
  <c r="X218" i="3"/>
  <c r="S237" i="3"/>
  <c r="X237" i="3"/>
  <c r="U237" i="3"/>
  <c r="T237" i="3"/>
  <c r="W237" i="3"/>
  <c r="V237" i="3"/>
  <c r="V240" i="3"/>
  <c r="T240" i="3"/>
  <c r="W240" i="3"/>
  <c r="X240" i="3"/>
  <c r="U240" i="3"/>
  <c r="S240" i="3"/>
  <c r="W229" i="3"/>
  <c r="X229" i="3"/>
  <c r="T270" i="3"/>
  <c r="W270" i="3"/>
  <c r="U270" i="3"/>
  <c r="V270" i="3"/>
  <c r="X270" i="3"/>
  <c r="S270" i="3"/>
  <c r="V320" i="3"/>
  <c r="X320" i="3"/>
  <c r="W320" i="3"/>
  <c r="U320" i="3"/>
  <c r="V250" i="3"/>
  <c r="U250" i="3"/>
  <c r="T250" i="3"/>
  <c r="W250" i="3"/>
  <c r="S250" i="3"/>
  <c r="X250" i="3"/>
  <c r="X283" i="3"/>
  <c r="U283" i="3"/>
  <c r="W283" i="3"/>
  <c r="V283" i="3"/>
  <c r="W303" i="3"/>
  <c r="U303" i="3"/>
  <c r="X303" i="3"/>
  <c r="V303" i="3"/>
  <c r="T322" i="3"/>
  <c r="U322" i="3"/>
  <c r="S322" i="3"/>
  <c r="X322" i="3"/>
  <c r="V322" i="3"/>
  <c r="W322" i="3"/>
  <c r="V227" i="3"/>
  <c r="W227" i="3"/>
  <c r="X227" i="3"/>
  <c r="U227" i="3"/>
  <c r="S251" i="3"/>
  <c r="X251" i="3"/>
  <c r="U251" i="3"/>
  <c r="T251" i="3"/>
  <c r="V251" i="3"/>
  <c r="W251" i="3"/>
  <c r="V258" i="3"/>
  <c r="U258" i="3"/>
  <c r="X258" i="3"/>
  <c r="S258" i="3"/>
  <c r="W258" i="3"/>
  <c r="T258" i="3"/>
  <c r="U271" i="3"/>
  <c r="S271" i="3"/>
  <c r="W271" i="3"/>
  <c r="V271" i="3"/>
  <c r="T271" i="3"/>
  <c r="X271" i="3"/>
  <c r="X278" i="3"/>
  <c r="V278" i="3"/>
  <c r="U278" i="3"/>
  <c r="W278" i="3"/>
  <c r="X291" i="3"/>
  <c r="T291" i="3"/>
  <c r="W291" i="3"/>
  <c r="S291" i="3"/>
  <c r="V291" i="3"/>
  <c r="U291" i="3"/>
  <c r="W298" i="3"/>
  <c r="X298" i="3"/>
  <c r="X313" i="3"/>
  <c r="W313" i="3"/>
  <c r="V313" i="3"/>
  <c r="U313" i="3"/>
  <c r="V319" i="3"/>
  <c r="T319" i="3"/>
  <c r="X319" i="3"/>
  <c r="W319" i="3"/>
  <c r="S319" i="3"/>
  <c r="U319" i="3"/>
  <c r="V239" i="3"/>
  <c r="U239" i="3"/>
  <c r="W239" i="3"/>
  <c r="T239" i="3"/>
  <c r="S239" i="3"/>
  <c r="X239" i="3"/>
  <c r="V253" i="3"/>
  <c r="S253" i="3"/>
  <c r="T253" i="3"/>
  <c r="U253" i="3"/>
  <c r="W253" i="3"/>
  <c r="X253" i="3"/>
  <c r="X262" i="3"/>
  <c r="U262" i="3"/>
  <c r="W262" i="3"/>
  <c r="V262" i="3"/>
  <c r="V296" i="3"/>
  <c r="W296" i="3"/>
  <c r="X296" i="3"/>
  <c r="U296" i="3"/>
  <c r="X311" i="3"/>
  <c r="W311" i="3"/>
  <c r="U311" i="3"/>
  <c r="V311" i="3"/>
  <c r="Y53" i="3"/>
  <c r="Z56" i="3"/>
  <c r="AV2" i="3"/>
  <c r="AS2" i="3"/>
  <c r="AU2" i="3"/>
  <c r="AT2" i="3"/>
  <c r="AV3" i="3"/>
  <c r="AS3" i="3"/>
  <c r="AU3" i="3"/>
  <c r="AT3" i="3"/>
  <c r="AV4" i="3"/>
  <c r="AS4" i="3"/>
  <c r="AU4" i="3"/>
  <c r="AT4" i="3"/>
  <c r="AV5" i="3"/>
  <c r="AS5" i="3"/>
  <c r="AU5" i="3"/>
  <c r="AT5" i="3"/>
  <c r="AV6" i="3"/>
  <c r="AS6" i="3"/>
  <c r="AU6" i="3"/>
  <c r="AQ6" i="3"/>
  <c r="AT6" i="3"/>
  <c r="AR6" i="3"/>
  <c r="AV7" i="3"/>
  <c r="AS7" i="3"/>
  <c r="AU7" i="3"/>
  <c r="AQ7" i="3"/>
  <c r="AT7" i="3"/>
  <c r="AR7" i="3"/>
  <c r="AV8" i="3"/>
  <c r="AS8" i="3"/>
  <c r="AU8" i="3"/>
  <c r="AQ8" i="3"/>
  <c r="AT8" i="3"/>
  <c r="AR8" i="3"/>
  <c r="AV9" i="3"/>
  <c r="AS9" i="3"/>
  <c r="AU9" i="3"/>
  <c r="AQ9" i="3"/>
  <c r="AR9" i="3"/>
  <c r="AT9" i="3"/>
  <c r="AV10" i="3"/>
  <c r="AS10" i="3"/>
  <c r="AU10" i="3"/>
  <c r="AQ10" i="3"/>
  <c r="AR10" i="3"/>
  <c r="AT10" i="3"/>
  <c r="AS11" i="3"/>
  <c r="AV11" i="3"/>
  <c r="AT11" i="3"/>
  <c r="AR11" i="3"/>
  <c r="AQ11" i="3"/>
  <c r="AU11" i="3"/>
  <c r="AS12" i="3"/>
  <c r="AV12" i="3"/>
  <c r="AT12" i="3"/>
  <c r="AR12" i="3"/>
  <c r="AQ12" i="3"/>
  <c r="AU12" i="3"/>
  <c r="AS13" i="3"/>
  <c r="AV13" i="3"/>
  <c r="AT13" i="3"/>
  <c r="AR13" i="3"/>
  <c r="AQ13" i="3"/>
  <c r="AU13" i="3"/>
  <c r="AS14" i="3"/>
  <c r="AV14" i="3"/>
  <c r="AT14" i="3"/>
  <c r="AR14" i="3"/>
  <c r="AQ14" i="3"/>
  <c r="AU14" i="3"/>
  <c r="AS15" i="3"/>
  <c r="AV15" i="3"/>
  <c r="AT15" i="3"/>
  <c r="AR15" i="3"/>
  <c r="AQ15" i="3"/>
  <c r="AU15" i="3"/>
  <c r="AS16" i="3"/>
  <c r="AV16" i="3"/>
  <c r="AT16" i="3"/>
  <c r="AR16" i="3"/>
  <c r="AQ16" i="3"/>
  <c r="AU16" i="3"/>
  <c r="AV17" i="3"/>
  <c r="AQ17" i="3"/>
  <c r="AT17" i="3"/>
  <c r="AU17" i="3"/>
  <c r="AS17" i="3"/>
  <c r="AR17" i="3"/>
  <c r="AT18" i="3"/>
  <c r="AV18" i="3"/>
  <c r="AS18" i="3"/>
  <c r="AU18" i="3"/>
  <c r="AV19" i="3"/>
  <c r="AQ19" i="3"/>
  <c r="AT19" i="3"/>
  <c r="AU19" i="3"/>
  <c r="AS19" i="3"/>
  <c r="AR19" i="3"/>
  <c r="AT20" i="3"/>
  <c r="AV20" i="3"/>
  <c r="AS20" i="3"/>
  <c r="AQ20" i="3"/>
  <c r="AU20" i="3"/>
  <c r="AR20" i="3"/>
  <c r="AV21" i="3"/>
  <c r="AQ21" i="3"/>
  <c r="AT21" i="3"/>
  <c r="AU21" i="3"/>
  <c r="AS21" i="3"/>
  <c r="AR21" i="3"/>
  <c r="AT22" i="3"/>
  <c r="AV22" i="3"/>
  <c r="AS22" i="3"/>
  <c r="AQ22" i="3"/>
  <c r="AU22" i="3"/>
  <c r="AR22" i="3"/>
  <c r="AV23" i="3"/>
  <c r="AQ23" i="3"/>
  <c r="AT23" i="3"/>
  <c r="AU23" i="3"/>
  <c r="AS23" i="3"/>
  <c r="AR23" i="3"/>
  <c r="AT24" i="3"/>
  <c r="AV24" i="3"/>
  <c r="AS24" i="3"/>
  <c r="AQ24" i="3"/>
  <c r="AU24" i="3"/>
  <c r="AR24" i="3"/>
  <c r="AV25" i="3"/>
  <c r="AT25" i="3"/>
  <c r="AU25" i="3"/>
  <c r="AS25" i="3"/>
  <c r="AT26" i="3"/>
  <c r="AV26" i="3"/>
  <c r="AS26" i="3"/>
  <c r="AQ26" i="3"/>
  <c r="AU26" i="3"/>
  <c r="AR26" i="3"/>
  <c r="AV27" i="3"/>
  <c r="AQ27" i="3"/>
  <c r="AT27" i="3"/>
  <c r="AU27" i="3"/>
  <c r="AS27" i="3"/>
  <c r="AR27" i="3"/>
  <c r="AT28" i="3"/>
  <c r="AV28" i="3"/>
  <c r="AS28" i="3"/>
  <c r="AQ28" i="3"/>
  <c r="AU28" i="3"/>
  <c r="AR28" i="3"/>
  <c r="AV29" i="3"/>
  <c r="AQ29" i="3"/>
  <c r="AT29" i="3"/>
  <c r="AU29" i="3"/>
  <c r="AS29" i="3"/>
  <c r="AR29" i="3"/>
  <c r="AT30" i="3"/>
  <c r="AV30" i="3"/>
  <c r="AS30" i="3"/>
  <c r="AU30" i="3"/>
  <c r="AV31" i="3"/>
  <c r="AQ31" i="3"/>
  <c r="AT31" i="3"/>
  <c r="AU31" i="3"/>
  <c r="AS31" i="3"/>
  <c r="AR31" i="3"/>
  <c r="AT32" i="3"/>
  <c r="AV32" i="3"/>
  <c r="AS32" i="3"/>
  <c r="AQ32" i="3"/>
  <c r="AU32" i="3"/>
  <c r="AR32" i="3"/>
  <c r="AV33" i="3"/>
  <c r="AU33" i="3"/>
  <c r="AT34" i="3"/>
  <c r="AV34" i="3"/>
  <c r="AS34" i="3"/>
  <c r="AQ34" i="3"/>
  <c r="AU34" i="3"/>
  <c r="AR34" i="3"/>
  <c r="AV35" i="3"/>
  <c r="AQ35" i="3"/>
  <c r="AT35" i="3"/>
  <c r="AU35" i="3"/>
  <c r="AS35" i="3"/>
  <c r="AR35" i="3"/>
  <c r="AT36" i="3"/>
  <c r="AV36" i="3"/>
  <c r="AS36" i="3"/>
  <c r="AQ36" i="3"/>
  <c r="AU36" i="3"/>
  <c r="AR36" i="3"/>
  <c r="AV37" i="3"/>
  <c r="AT37" i="3"/>
  <c r="AU37" i="3"/>
  <c r="AS37" i="3"/>
  <c r="AR37" i="3"/>
  <c r="AQ37" i="3"/>
  <c r="AT38" i="3"/>
  <c r="AV38" i="3"/>
  <c r="AS38" i="3"/>
  <c r="AQ38" i="3"/>
  <c r="AU38" i="3"/>
  <c r="AR38" i="3"/>
  <c r="AT39" i="3"/>
  <c r="AV39" i="3"/>
  <c r="AU39" i="3"/>
  <c r="AS39" i="3"/>
  <c r="AT40" i="3"/>
  <c r="AV40" i="3"/>
  <c r="AU40" i="3"/>
  <c r="AS40" i="3"/>
  <c r="AT41" i="3"/>
  <c r="AV41" i="3"/>
  <c r="AU41" i="3"/>
  <c r="AS41" i="3"/>
  <c r="AT42" i="3"/>
  <c r="AV42" i="3"/>
  <c r="AU42" i="3"/>
  <c r="AS42" i="3"/>
  <c r="AR42" i="3"/>
  <c r="AQ42" i="3"/>
  <c r="AT43" i="3"/>
  <c r="AV43" i="3"/>
  <c r="AU43" i="3"/>
  <c r="AS43" i="3"/>
  <c r="AR43" i="3"/>
  <c r="AQ43" i="3"/>
  <c r="AT44" i="3"/>
  <c r="AV44" i="3"/>
  <c r="AU44" i="3"/>
  <c r="AS44" i="3"/>
  <c r="AR44" i="3"/>
  <c r="AQ44" i="3"/>
  <c r="AU45" i="3"/>
  <c r="AV45" i="3"/>
  <c r="AS45" i="3"/>
  <c r="AT45" i="3"/>
  <c r="AU46" i="3"/>
  <c r="AV46" i="3"/>
  <c r="AS46" i="3"/>
  <c r="AT46" i="3"/>
  <c r="AU47" i="3"/>
  <c r="AV47" i="3"/>
  <c r="AS47" i="3"/>
  <c r="AT47" i="3"/>
  <c r="AU48" i="3"/>
  <c r="AV48" i="3"/>
  <c r="AS48" i="3"/>
  <c r="AT48" i="3"/>
  <c r="AU49" i="3"/>
  <c r="AV49" i="3"/>
  <c r="AS49" i="3"/>
  <c r="AT49" i="3"/>
  <c r="AU50" i="3"/>
  <c r="AV50" i="3"/>
  <c r="AS50" i="3"/>
  <c r="AR50" i="3"/>
  <c r="AT50" i="3"/>
  <c r="AQ50" i="3"/>
  <c r="AU51" i="3"/>
  <c r="AV51" i="3"/>
  <c r="AS51" i="3"/>
  <c r="AT51" i="3"/>
  <c r="AU52" i="3"/>
  <c r="AV52" i="3"/>
  <c r="AS52" i="3"/>
  <c r="AT52" i="3"/>
  <c r="AU53" i="3"/>
  <c r="AV53" i="3"/>
  <c r="AS53" i="3"/>
  <c r="AT53" i="3"/>
  <c r="AU54" i="3"/>
  <c r="AV54" i="3"/>
  <c r="AS54" i="3"/>
  <c r="AR54" i="3"/>
  <c r="AT54" i="3"/>
  <c r="AQ54" i="3"/>
  <c r="AU55" i="3"/>
  <c r="AV55" i="3"/>
  <c r="AS55" i="3"/>
  <c r="AR55" i="3"/>
  <c r="AT55" i="3"/>
  <c r="AQ55" i="3"/>
  <c r="AV56" i="3"/>
  <c r="AU56" i="3"/>
  <c r="AQ56" i="3"/>
  <c r="AS56" i="3"/>
  <c r="AR56" i="3"/>
  <c r="AT56" i="3"/>
  <c r="AT57" i="3"/>
  <c r="AV57" i="3"/>
  <c r="AS57" i="3"/>
  <c r="AR57" i="3"/>
  <c r="AU57" i="3"/>
  <c r="AQ57" i="3"/>
  <c r="AV58" i="3"/>
  <c r="AU58" i="3"/>
  <c r="AQ58" i="3"/>
  <c r="AS58" i="3"/>
  <c r="AR58" i="3"/>
  <c r="AT58" i="3"/>
  <c r="AT59" i="3"/>
  <c r="AV59" i="3"/>
  <c r="AS59" i="3"/>
  <c r="AR59" i="3"/>
  <c r="AU59" i="3"/>
  <c r="AQ59" i="3"/>
  <c r="AT60" i="3"/>
  <c r="AV60" i="3"/>
  <c r="AU60" i="3"/>
  <c r="AS60" i="3"/>
  <c r="AT61" i="3"/>
  <c r="AV61" i="3"/>
  <c r="AS61" i="3"/>
  <c r="AR61" i="3"/>
  <c r="AU61" i="3"/>
  <c r="AQ61" i="3"/>
  <c r="AT62" i="3"/>
  <c r="AV62" i="3"/>
  <c r="AU62" i="3"/>
  <c r="AQ62" i="3"/>
  <c r="AR62" i="3"/>
  <c r="AS62" i="3"/>
  <c r="AT63" i="3"/>
  <c r="AV63" i="3"/>
  <c r="AS63" i="3"/>
  <c r="AU63" i="3"/>
  <c r="AT64" i="3"/>
  <c r="AV64" i="3"/>
  <c r="AU64" i="3"/>
  <c r="AQ64" i="3"/>
  <c r="AR64" i="3"/>
  <c r="AS64" i="3"/>
  <c r="AT65" i="3"/>
  <c r="AV65" i="3"/>
  <c r="AS65" i="3"/>
  <c r="AR65" i="3"/>
  <c r="AU65" i="3"/>
  <c r="AQ65" i="3"/>
  <c r="AT66" i="3"/>
  <c r="AV66" i="3"/>
  <c r="AU66" i="3"/>
  <c r="AQ66" i="3"/>
  <c r="AR66" i="3"/>
  <c r="AS66" i="3"/>
  <c r="AT67" i="3"/>
  <c r="AV67" i="3"/>
  <c r="AS67" i="3"/>
  <c r="AR67" i="3"/>
  <c r="AU67" i="3"/>
  <c r="AQ67" i="3"/>
  <c r="AT68" i="3"/>
  <c r="AV68" i="3"/>
  <c r="AU68" i="3"/>
  <c r="AQ68" i="3"/>
  <c r="AR68" i="3"/>
  <c r="AS68" i="3"/>
  <c r="AT69" i="3"/>
  <c r="AV69" i="3"/>
  <c r="AS69" i="3"/>
  <c r="AR69" i="3"/>
  <c r="AU69" i="3"/>
  <c r="AQ69" i="3"/>
  <c r="AT70" i="3"/>
  <c r="AV70" i="3"/>
  <c r="AU70" i="3"/>
  <c r="AQ70" i="3"/>
  <c r="AR70" i="3"/>
  <c r="AS70" i="3"/>
  <c r="AT71" i="3"/>
  <c r="AV71" i="3"/>
  <c r="AS71" i="3"/>
  <c r="AR71" i="3"/>
  <c r="AU71" i="3"/>
  <c r="AQ71" i="3"/>
  <c r="AT72" i="3"/>
  <c r="AV72" i="3"/>
  <c r="AU72" i="3"/>
  <c r="AQ72" i="3"/>
  <c r="AR72" i="3"/>
  <c r="AS72" i="3"/>
  <c r="AT73" i="3"/>
  <c r="AV73" i="3"/>
  <c r="AS73" i="3"/>
  <c r="AU73" i="3"/>
  <c r="AT74" i="3"/>
  <c r="AV74" i="3"/>
  <c r="AU74" i="3"/>
  <c r="AQ74" i="3"/>
  <c r="AR74" i="3"/>
  <c r="AS74" i="3"/>
  <c r="AT75" i="3"/>
  <c r="AV75" i="3"/>
  <c r="AS75" i="3"/>
  <c r="AR75" i="3"/>
  <c r="AU75" i="3"/>
  <c r="AQ75" i="3"/>
  <c r="AT76" i="3"/>
  <c r="AV76" i="3"/>
  <c r="AU76" i="3"/>
  <c r="AQ76" i="3"/>
  <c r="AR76" i="3"/>
  <c r="AS76" i="3"/>
  <c r="AT77" i="3"/>
  <c r="AV77" i="3"/>
  <c r="AS77" i="3"/>
  <c r="AR77" i="3"/>
  <c r="AU77" i="3"/>
  <c r="AQ77" i="3"/>
  <c r="AT78" i="3"/>
  <c r="AV78" i="3"/>
  <c r="AU78" i="3"/>
  <c r="AQ78" i="3"/>
  <c r="AR78" i="3"/>
  <c r="AS78" i="3"/>
  <c r="AV79" i="3"/>
  <c r="AU79" i="3"/>
  <c r="AT80" i="3"/>
  <c r="AV80" i="3"/>
  <c r="AU80" i="3"/>
  <c r="AQ80" i="3"/>
  <c r="AR80" i="3"/>
  <c r="AS80" i="3"/>
  <c r="AT81" i="3"/>
  <c r="AV81" i="3"/>
  <c r="AS81" i="3"/>
  <c r="AR81" i="3"/>
  <c r="AU81" i="3"/>
  <c r="AQ81" i="3"/>
  <c r="AT82" i="3"/>
  <c r="AV82" i="3"/>
  <c r="AU82" i="3"/>
  <c r="AS82" i="3"/>
  <c r="AT83" i="3"/>
  <c r="AV83" i="3"/>
  <c r="AS83" i="3"/>
  <c r="AR83" i="3"/>
  <c r="AU83" i="3"/>
  <c r="AQ83" i="3"/>
  <c r="AT84" i="3"/>
  <c r="AV84" i="3"/>
  <c r="AU84" i="3"/>
  <c r="AQ84" i="3"/>
  <c r="AR84" i="3"/>
  <c r="AS84" i="3"/>
  <c r="AT85" i="3"/>
  <c r="AV85" i="3"/>
  <c r="AS85" i="3"/>
  <c r="AR85" i="3"/>
  <c r="AU85" i="3"/>
  <c r="AQ85" i="3"/>
  <c r="AT86" i="3"/>
  <c r="AV86" i="3"/>
  <c r="AU86" i="3"/>
  <c r="AQ86" i="3"/>
  <c r="AR86" i="3"/>
  <c r="AS86" i="3"/>
  <c r="AT87" i="3"/>
  <c r="AV87" i="3"/>
  <c r="AS87" i="3"/>
  <c r="AR87" i="3"/>
  <c r="AU87" i="3"/>
  <c r="AQ87" i="3"/>
  <c r="AT88" i="3"/>
  <c r="AV88" i="3"/>
  <c r="AU88" i="3"/>
  <c r="AS88" i="3"/>
  <c r="AT89" i="3"/>
  <c r="AV89" i="3"/>
  <c r="AS89" i="3"/>
  <c r="AR89" i="3"/>
  <c r="AU89" i="3"/>
  <c r="AQ89" i="3"/>
  <c r="AT90" i="3"/>
  <c r="AV90" i="3"/>
  <c r="AU90" i="3"/>
  <c r="AS90" i="3"/>
  <c r="AT91" i="3"/>
  <c r="AV91" i="3"/>
  <c r="AS91" i="3"/>
  <c r="AR91" i="3"/>
  <c r="AU91" i="3"/>
  <c r="AQ91" i="3"/>
  <c r="AT92" i="3"/>
  <c r="AV92" i="3"/>
  <c r="AU92" i="3"/>
  <c r="AQ92" i="3"/>
  <c r="AR92" i="3"/>
  <c r="AS92" i="3"/>
  <c r="AT93" i="3"/>
  <c r="AV93" i="3"/>
  <c r="AS93" i="3"/>
  <c r="AU93" i="3"/>
  <c r="AT94" i="3"/>
  <c r="AV94" i="3"/>
  <c r="AU94" i="3"/>
  <c r="AS94" i="3"/>
  <c r="AV95" i="3"/>
  <c r="AU95" i="3"/>
  <c r="AS95" i="3"/>
  <c r="AT95" i="3"/>
  <c r="AT96" i="3"/>
  <c r="AV96" i="3"/>
  <c r="AU96" i="3"/>
  <c r="AS96" i="3"/>
  <c r="AT97" i="3"/>
  <c r="AV97" i="3"/>
  <c r="AU97" i="3"/>
  <c r="AS97" i="3"/>
  <c r="AV98" i="3"/>
  <c r="AT98" i="3"/>
  <c r="AR98" i="3"/>
  <c r="AU98" i="3"/>
  <c r="AQ98" i="3"/>
  <c r="AS98" i="3"/>
  <c r="AT99" i="3"/>
  <c r="AV99" i="3"/>
  <c r="AU99" i="3"/>
  <c r="AQ99" i="3"/>
  <c r="AS99" i="3"/>
  <c r="AR99" i="3"/>
  <c r="AV100" i="3"/>
  <c r="AU100" i="3"/>
  <c r="AV101" i="3"/>
  <c r="AT101" i="3"/>
  <c r="AU101" i="3"/>
  <c r="AS101" i="3"/>
  <c r="AV102" i="3"/>
  <c r="AT102" i="3"/>
  <c r="AU102" i="3"/>
  <c r="AS102" i="3"/>
  <c r="AV103" i="3"/>
  <c r="AU103" i="3"/>
  <c r="AV104" i="3"/>
  <c r="AU104" i="3"/>
  <c r="AV105" i="3"/>
  <c r="AR105" i="3"/>
  <c r="AU105" i="3"/>
  <c r="AQ105" i="3"/>
  <c r="AT105" i="3"/>
  <c r="AS105" i="3"/>
  <c r="AU106" i="3"/>
  <c r="AV106" i="3"/>
  <c r="AR106" i="3"/>
  <c r="AS106" i="3"/>
  <c r="AT106" i="3"/>
  <c r="AQ106" i="3"/>
  <c r="AU107" i="3"/>
  <c r="AV107" i="3"/>
  <c r="AR107" i="3"/>
  <c r="AS107" i="3"/>
  <c r="AT107" i="3"/>
  <c r="AQ107" i="3"/>
  <c r="AU108" i="3"/>
  <c r="AV108" i="3"/>
  <c r="AS108" i="3"/>
  <c r="AT108" i="3"/>
  <c r="AU109" i="3"/>
  <c r="AV109" i="3"/>
  <c r="AR109" i="3"/>
  <c r="AS109" i="3"/>
  <c r="AT109" i="3"/>
  <c r="AQ109" i="3"/>
  <c r="AU110" i="3"/>
  <c r="AV110" i="3"/>
  <c r="AS110" i="3"/>
  <c r="AT110" i="3"/>
  <c r="AU111" i="3"/>
  <c r="AV111" i="3"/>
  <c r="AS111" i="3"/>
  <c r="AT111" i="3"/>
  <c r="AU112" i="3"/>
  <c r="AV112" i="3"/>
  <c r="AR112" i="3"/>
  <c r="AS112" i="3"/>
  <c r="AT112" i="3"/>
  <c r="AQ112" i="3"/>
  <c r="AU113" i="3"/>
  <c r="AV113" i="3"/>
  <c r="AR113" i="3"/>
  <c r="AS113" i="3"/>
  <c r="AT113" i="3"/>
  <c r="AQ113" i="3"/>
  <c r="AU114" i="3"/>
  <c r="AV114" i="3"/>
  <c r="AR114" i="3"/>
  <c r="AS114" i="3"/>
  <c r="AT114" i="3"/>
  <c r="AQ114" i="3"/>
  <c r="AU115" i="3"/>
  <c r="AV115" i="3"/>
  <c r="AR115" i="3"/>
  <c r="AS115" i="3"/>
  <c r="AT115" i="3"/>
  <c r="AQ115" i="3"/>
  <c r="AU116" i="3"/>
  <c r="AV116" i="3"/>
  <c r="AR116" i="3"/>
  <c r="AS116" i="3"/>
  <c r="AT116" i="3"/>
  <c r="AQ116" i="3"/>
  <c r="AU117" i="3"/>
  <c r="AV117" i="3"/>
  <c r="AR117" i="3"/>
  <c r="AS117" i="3"/>
  <c r="AT117" i="3"/>
  <c r="AQ117" i="3"/>
  <c r="AU118" i="3"/>
  <c r="AV118" i="3"/>
  <c r="AR118" i="3"/>
  <c r="AS118" i="3"/>
  <c r="AT118" i="3"/>
  <c r="AQ118" i="3"/>
  <c r="AU119" i="3"/>
  <c r="AV119" i="3"/>
  <c r="AR119" i="3"/>
  <c r="AS119" i="3"/>
  <c r="AT119" i="3"/>
  <c r="AQ119" i="3"/>
  <c r="AU120" i="3"/>
  <c r="AV120" i="3"/>
  <c r="AR120" i="3"/>
  <c r="AS120" i="3"/>
  <c r="AT120" i="3"/>
  <c r="AQ120" i="3"/>
  <c r="AU121" i="3"/>
  <c r="AV121" i="3"/>
  <c r="AS121" i="3"/>
  <c r="AT121" i="3"/>
  <c r="AU122" i="3"/>
  <c r="AV122" i="3"/>
  <c r="AS122" i="3"/>
  <c r="AT122" i="3"/>
  <c r="AU123" i="3"/>
  <c r="AV123" i="3"/>
  <c r="AR123" i="3"/>
  <c r="AS123" i="3"/>
  <c r="AT123" i="3"/>
  <c r="AQ123" i="3"/>
  <c r="AU124" i="3"/>
  <c r="AV124" i="3"/>
  <c r="AS124" i="3"/>
  <c r="AT124" i="3"/>
  <c r="AU125" i="3"/>
  <c r="AV125" i="3"/>
  <c r="AS125" i="3"/>
  <c r="AT125" i="3"/>
  <c r="AU126" i="3"/>
  <c r="AV126" i="3"/>
  <c r="AS126" i="3"/>
  <c r="AT126" i="3"/>
  <c r="AU127" i="3"/>
  <c r="AV127" i="3"/>
  <c r="AR127" i="3"/>
  <c r="AS127" i="3"/>
  <c r="AT127" i="3"/>
  <c r="AQ127" i="3"/>
  <c r="AU128" i="3"/>
  <c r="AV128" i="3"/>
  <c r="AR128" i="3"/>
  <c r="AS128" i="3"/>
  <c r="AT128" i="3"/>
  <c r="AQ128" i="3"/>
  <c r="AU129" i="3"/>
  <c r="AV129" i="3"/>
  <c r="AR129" i="3"/>
  <c r="AS129" i="3"/>
  <c r="AT129" i="3"/>
  <c r="AQ129" i="3"/>
  <c r="AU130" i="3"/>
  <c r="AV130" i="3"/>
  <c r="AR130" i="3"/>
  <c r="AS130" i="3"/>
  <c r="AT130" i="3"/>
  <c r="AQ130" i="3"/>
  <c r="AU131" i="3"/>
  <c r="AV131" i="3"/>
  <c r="AR131" i="3"/>
  <c r="AS131" i="3"/>
  <c r="AT131" i="3"/>
  <c r="AQ131" i="3"/>
  <c r="AU132" i="3"/>
  <c r="AV132" i="3"/>
  <c r="AR132" i="3"/>
  <c r="AS132" i="3"/>
  <c r="AT132" i="3"/>
  <c r="AQ132" i="3"/>
  <c r="AU133" i="3"/>
  <c r="AV133" i="3"/>
  <c r="AR133" i="3"/>
  <c r="AS133" i="3"/>
  <c r="AT133" i="3"/>
  <c r="AQ133" i="3"/>
  <c r="AU134" i="3"/>
  <c r="AV134" i="3"/>
  <c r="AR134" i="3"/>
  <c r="AS134" i="3"/>
  <c r="AT134" i="3"/>
  <c r="AQ134" i="3"/>
  <c r="AU135" i="3"/>
  <c r="AV135" i="3"/>
  <c r="AR135" i="3"/>
  <c r="AS135" i="3"/>
  <c r="AT135" i="3"/>
  <c r="AQ135" i="3"/>
  <c r="AU136" i="3"/>
  <c r="AV136" i="3"/>
  <c r="AR136" i="3"/>
  <c r="AS136" i="3"/>
  <c r="AT136" i="3"/>
  <c r="AQ136" i="3"/>
  <c r="AU137" i="3"/>
  <c r="AV137" i="3"/>
  <c r="AR137" i="3"/>
  <c r="AS137" i="3"/>
  <c r="AT137" i="3"/>
  <c r="AQ137" i="3"/>
  <c r="AU138" i="3"/>
  <c r="AV138" i="3"/>
  <c r="AR138" i="3"/>
  <c r="AS138" i="3"/>
  <c r="AT138" i="3"/>
  <c r="AQ138" i="3"/>
  <c r="AU139" i="3"/>
  <c r="AV139" i="3"/>
  <c r="AR139" i="3"/>
  <c r="AS139" i="3"/>
  <c r="AT139" i="3"/>
  <c r="AQ139" i="3"/>
  <c r="AS140" i="3"/>
  <c r="AV140" i="3"/>
  <c r="AQ140" i="3"/>
  <c r="AR140" i="3"/>
  <c r="AT140" i="3"/>
  <c r="AU140" i="3"/>
  <c r="AS141" i="3"/>
  <c r="AV141" i="3"/>
  <c r="AQ141" i="3"/>
  <c r="AR141" i="3"/>
  <c r="AT141" i="3"/>
  <c r="AU141" i="3"/>
  <c r="AS142" i="3"/>
  <c r="AV142" i="3"/>
  <c r="AQ142" i="3"/>
  <c r="AR142" i="3"/>
  <c r="AT142" i="3"/>
  <c r="AU142" i="3"/>
  <c r="AS143" i="3"/>
  <c r="AV143" i="3"/>
  <c r="AU143" i="3"/>
  <c r="AT143" i="3"/>
  <c r="AR143" i="3"/>
  <c r="AQ143" i="3"/>
  <c r="AS144" i="3"/>
  <c r="AV144" i="3"/>
  <c r="AU144" i="3"/>
  <c r="AT144" i="3"/>
  <c r="AR144" i="3"/>
  <c r="AQ144" i="3"/>
  <c r="AV145" i="3"/>
  <c r="AU145" i="3"/>
  <c r="AT145" i="3"/>
  <c r="AS145" i="3"/>
  <c r="AR145" i="3"/>
  <c r="AQ145" i="3"/>
  <c r="AV146" i="3"/>
  <c r="AU146" i="3"/>
  <c r="AT146" i="3"/>
  <c r="AS146" i="3"/>
  <c r="AV147" i="3"/>
  <c r="AU147" i="3"/>
  <c r="AT147" i="3"/>
  <c r="AS147" i="3"/>
  <c r="AV148" i="3"/>
  <c r="AU148" i="3"/>
  <c r="AT148" i="3"/>
  <c r="AS148" i="3"/>
  <c r="AR148" i="3"/>
  <c r="AQ148" i="3"/>
  <c r="AV149" i="3"/>
  <c r="AU149" i="3"/>
  <c r="AT149" i="3"/>
  <c r="AS149" i="3"/>
  <c r="AR149" i="3"/>
  <c r="AQ149" i="3"/>
  <c r="AV150" i="3"/>
  <c r="AU150" i="3"/>
  <c r="AT150" i="3"/>
  <c r="AS150" i="3"/>
  <c r="AR150" i="3"/>
  <c r="AQ150" i="3"/>
  <c r="AV151" i="3"/>
  <c r="AU151" i="3"/>
  <c r="AT151" i="3"/>
  <c r="AS151" i="3"/>
  <c r="AR151" i="3"/>
  <c r="AQ151" i="3"/>
  <c r="AV152" i="3"/>
  <c r="AU152" i="3"/>
  <c r="AT152" i="3"/>
  <c r="AS152" i="3"/>
  <c r="AR152" i="3"/>
  <c r="AQ152" i="3"/>
  <c r="AS153" i="3"/>
  <c r="AV153" i="3"/>
  <c r="AU153" i="3"/>
  <c r="AT153" i="3"/>
  <c r="AS154" i="3"/>
  <c r="AV154" i="3"/>
  <c r="AU154" i="3"/>
  <c r="AT154" i="3"/>
  <c r="AR154" i="3"/>
  <c r="AQ154" i="3"/>
  <c r="AS155" i="3"/>
  <c r="AV155" i="3"/>
  <c r="AU155" i="3"/>
  <c r="AT155" i="3"/>
  <c r="AR155" i="3"/>
  <c r="AQ155" i="3"/>
  <c r="AS156" i="3"/>
  <c r="AV156" i="3"/>
  <c r="AU156" i="3"/>
  <c r="AT156" i="3"/>
  <c r="AS157" i="3"/>
  <c r="AV157" i="3"/>
  <c r="AU157" i="3"/>
  <c r="AT157" i="3"/>
  <c r="AR157" i="3"/>
  <c r="AQ157" i="3"/>
  <c r="AS158" i="3"/>
  <c r="AV158" i="3"/>
  <c r="AU158" i="3"/>
  <c r="AT158" i="3"/>
  <c r="AR158" i="3"/>
  <c r="AQ158" i="3"/>
  <c r="AS159" i="3"/>
  <c r="AV159" i="3"/>
  <c r="AU159" i="3"/>
  <c r="AT159" i="3"/>
  <c r="AR159" i="3"/>
  <c r="AQ159" i="3"/>
  <c r="AS160" i="3"/>
  <c r="AV160" i="3"/>
  <c r="AU160" i="3"/>
  <c r="AT160" i="3"/>
  <c r="AR160" i="3"/>
  <c r="AQ160" i="3"/>
  <c r="AS161" i="3"/>
  <c r="AV161" i="3"/>
  <c r="AU161" i="3"/>
  <c r="AT161" i="3"/>
  <c r="AR161" i="3"/>
  <c r="AQ161" i="3"/>
  <c r="AS162" i="3"/>
  <c r="AV162" i="3"/>
  <c r="AU162" i="3"/>
  <c r="AT162" i="3"/>
  <c r="AR162" i="3"/>
  <c r="AQ162" i="3"/>
  <c r="AS163" i="3"/>
  <c r="AV163" i="3"/>
  <c r="AU163" i="3"/>
  <c r="AT163" i="3"/>
  <c r="AR163" i="3"/>
  <c r="AQ163" i="3"/>
  <c r="AS164" i="3"/>
  <c r="AV164" i="3"/>
  <c r="AU164" i="3"/>
  <c r="AT164" i="3"/>
  <c r="AR164" i="3"/>
  <c r="AQ164" i="3"/>
  <c r="AS165" i="3"/>
  <c r="AV165" i="3"/>
  <c r="AU165" i="3"/>
  <c r="AT165" i="3"/>
  <c r="AS166" i="3"/>
  <c r="AV166" i="3"/>
  <c r="AU166" i="3"/>
  <c r="AT166" i="3"/>
  <c r="AS167" i="3"/>
  <c r="AV167" i="3"/>
  <c r="AU167" i="3"/>
  <c r="AT167" i="3"/>
  <c r="AR167" i="3"/>
  <c r="AQ167" i="3"/>
  <c r="AS168" i="3"/>
  <c r="AV168" i="3"/>
  <c r="AU168" i="3"/>
  <c r="AT168" i="3"/>
  <c r="AR168" i="3"/>
  <c r="AQ168" i="3"/>
  <c r="AS169" i="3"/>
  <c r="AV169" i="3"/>
  <c r="AU169" i="3"/>
  <c r="AT169" i="3"/>
  <c r="AR169" i="3"/>
  <c r="AQ169" i="3"/>
  <c r="AS170" i="3"/>
  <c r="AV170" i="3"/>
  <c r="AU170" i="3"/>
  <c r="AT170" i="3"/>
  <c r="AS171" i="3"/>
  <c r="AV171" i="3"/>
  <c r="AU171" i="3"/>
  <c r="AT171" i="3"/>
  <c r="AS172" i="3"/>
  <c r="AV172" i="3"/>
  <c r="AU172" i="3"/>
  <c r="AT172" i="3"/>
  <c r="AS173" i="3"/>
  <c r="AV173" i="3"/>
  <c r="AU173" i="3"/>
  <c r="AT173" i="3"/>
  <c r="AV174" i="3"/>
  <c r="AU174" i="3"/>
  <c r="AS175" i="3"/>
  <c r="AV175" i="3"/>
  <c r="AT175" i="3"/>
  <c r="AR175" i="3"/>
  <c r="AQ175" i="3"/>
  <c r="AU175" i="3"/>
  <c r="AS176" i="3"/>
  <c r="AV176" i="3"/>
  <c r="AT176" i="3"/>
  <c r="AR176" i="3"/>
  <c r="AQ176" i="3"/>
  <c r="AU176" i="3"/>
  <c r="AV177" i="3"/>
  <c r="AU177" i="3"/>
  <c r="AS177" i="3"/>
  <c r="AT177" i="3"/>
  <c r="AV178" i="3"/>
  <c r="AU178" i="3"/>
  <c r="AV179" i="3"/>
  <c r="AU179" i="3"/>
  <c r="AS179" i="3"/>
  <c r="AT179" i="3"/>
  <c r="AT180" i="3"/>
  <c r="AV180" i="3"/>
  <c r="AS180" i="3"/>
  <c r="AU180" i="3"/>
  <c r="AV181" i="3"/>
  <c r="AU181" i="3"/>
  <c r="AS181" i="3"/>
  <c r="AT181" i="3"/>
  <c r="AV182" i="3"/>
  <c r="AU182" i="3"/>
  <c r="AQ182" i="3"/>
  <c r="AS182" i="3"/>
  <c r="AR182" i="3"/>
  <c r="AT182" i="3"/>
  <c r="AT183" i="3"/>
  <c r="AV183" i="3"/>
  <c r="AR183" i="3"/>
  <c r="AU183" i="3"/>
  <c r="AQ183" i="3"/>
  <c r="AS183" i="3"/>
  <c r="AT184" i="3"/>
  <c r="AV184" i="3"/>
  <c r="AR184" i="3"/>
  <c r="AU184" i="3"/>
  <c r="AQ184" i="3"/>
  <c r="AS184" i="3"/>
  <c r="AV185" i="3"/>
  <c r="AT185" i="3"/>
  <c r="AR185" i="3"/>
  <c r="AU185" i="3"/>
  <c r="AQ185" i="3"/>
  <c r="AS185" i="3"/>
  <c r="AV186" i="3"/>
  <c r="AU186" i="3"/>
  <c r="AQ186" i="3"/>
  <c r="AS186" i="3"/>
  <c r="AR186" i="3"/>
  <c r="AT186" i="3"/>
  <c r="AV187" i="3"/>
  <c r="AU187" i="3"/>
  <c r="AQ187" i="3"/>
  <c r="AS187" i="3"/>
  <c r="AR187" i="3"/>
  <c r="AT187" i="3"/>
  <c r="AV188" i="3"/>
  <c r="AU188" i="3"/>
  <c r="AQ188" i="3"/>
  <c r="AS188" i="3"/>
  <c r="AR188" i="3"/>
  <c r="AT188" i="3"/>
  <c r="AV189" i="3"/>
  <c r="AT189" i="3"/>
  <c r="AU189" i="3"/>
  <c r="AS189" i="3"/>
  <c r="AV190" i="3"/>
  <c r="AU190" i="3"/>
  <c r="AQ190" i="3"/>
  <c r="AS190" i="3"/>
  <c r="AR190" i="3"/>
  <c r="AT190" i="3"/>
  <c r="AV191" i="3"/>
  <c r="AT191" i="3"/>
  <c r="AR191" i="3"/>
  <c r="AU191" i="3"/>
  <c r="AQ191" i="3"/>
  <c r="AS191" i="3"/>
  <c r="AV192" i="3"/>
  <c r="AU192" i="3"/>
  <c r="AQ192" i="3"/>
  <c r="AS192" i="3"/>
  <c r="AR192" i="3"/>
  <c r="AT192" i="3"/>
  <c r="AV193" i="3"/>
  <c r="AT193" i="3"/>
  <c r="AR193" i="3"/>
  <c r="AU193" i="3"/>
  <c r="AQ193" i="3"/>
  <c r="AS193" i="3"/>
  <c r="AV194" i="3"/>
  <c r="AU194" i="3"/>
  <c r="AQ194" i="3"/>
  <c r="AS194" i="3"/>
  <c r="AR194" i="3"/>
  <c r="AT194" i="3"/>
  <c r="AV195" i="3"/>
  <c r="AT195" i="3"/>
  <c r="AR195" i="3"/>
  <c r="AU195" i="3"/>
  <c r="AQ195" i="3"/>
  <c r="AS195" i="3"/>
  <c r="AV196" i="3"/>
  <c r="AU196" i="3"/>
  <c r="AQ196" i="3"/>
  <c r="AS196" i="3"/>
  <c r="AR196" i="3"/>
  <c r="AT196" i="3"/>
  <c r="AV197" i="3"/>
  <c r="AT197" i="3"/>
  <c r="AR197" i="3"/>
  <c r="AU197" i="3"/>
  <c r="AQ197" i="3"/>
  <c r="AS197" i="3"/>
  <c r="AV198" i="3"/>
  <c r="AT198" i="3"/>
  <c r="AR198" i="3"/>
  <c r="AU198" i="3"/>
  <c r="AQ198" i="3"/>
  <c r="AS198" i="3"/>
  <c r="AV199" i="3"/>
  <c r="AT199" i="3"/>
  <c r="AU199" i="3"/>
  <c r="AQ199" i="3"/>
  <c r="AS199" i="3"/>
  <c r="AR199" i="3"/>
  <c r="AV200" i="3"/>
  <c r="AT200" i="3"/>
  <c r="AR200" i="3"/>
  <c r="AU200" i="3"/>
  <c r="AQ200" i="3"/>
  <c r="AS200" i="3"/>
  <c r="AV201" i="3"/>
  <c r="AT201" i="3"/>
  <c r="AR201" i="3"/>
  <c r="AU201" i="3"/>
  <c r="AQ201" i="3"/>
  <c r="AS201" i="3"/>
  <c r="AV202" i="3"/>
  <c r="AT202" i="3"/>
  <c r="AR202" i="3"/>
  <c r="AU202" i="3"/>
  <c r="AQ202" i="3"/>
  <c r="AS202" i="3"/>
  <c r="AV203" i="3"/>
  <c r="AT203" i="3"/>
  <c r="AU203" i="3"/>
  <c r="AQ203" i="3"/>
  <c r="AS203" i="3"/>
  <c r="AR203" i="3"/>
  <c r="AV204" i="3"/>
  <c r="AT204" i="3"/>
  <c r="AR204" i="3"/>
  <c r="AU204" i="3"/>
  <c r="AQ204" i="3"/>
  <c r="AS204" i="3"/>
  <c r="AV205" i="3"/>
  <c r="AU205" i="3"/>
  <c r="AS205" i="3"/>
  <c r="AT205" i="3"/>
  <c r="AV206" i="3"/>
  <c r="AT206" i="3"/>
  <c r="AR206" i="3"/>
  <c r="AU206" i="3"/>
  <c r="AQ206" i="3"/>
  <c r="AS206" i="3"/>
  <c r="AV207" i="3"/>
  <c r="AU207" i="3"/>
  <c r="AQ207" i="3"/>
  <c r="AS207" i="3"/>
  <c r="AR207" i="3"/>
  <c r="AT207" i="3"/>
  <c r="AV208" i="3"/>
  <c r="AU208" i="3"/>
  <c r="AQ208" i="3"/>
  <c r="AS208" i="3"/>
  <c r="AR208" i="3"/>
  <c r="AT208" i="3"/>
  <c r="AV209" i="3"/>
  <c r="AU209" i="3"/>
  <c r="AQ209" i="3"/>
  <c r="AS209" i="3"/>
  <c r="AR209" i="3"/>
  <c r="AT209" i="3"/>
  <c r="AV210" i="3"/>
  <c r="AT210" i="3"/>
  <c r="AR210" i="3"/>
  <c r="AU210" i="3"/>
  <c r="AQ210" i="3"/>
  <c r="AS210" i="3"/>
  <c r="AV211" i="3"/>
  <c r="AU211" i="3"/>
  <c r="AQ211" i="3"/>
  <c r="AS211" i="3"/>
  <c r="AR211" i="3"/>
  <c r="AT211" i="3"/>
  <c r="AV212" i="3"/>
  <c r="AU212" i="3"/>
  <c r="AQ212" i="3"/>
  <c r="AS212" i="3"/>
  <c r="AR212" i="3"/>
  <c r="AT212" i="3"/>
  <c r="AV213" i="3"/>
  <c r="AT213" i="3"/>
  <c r="AR213" i="3"/>
  <c r="AU213" i="3"/>
  <c r="AQ213" i="3"/>
  <c r="AS213" i="3"/>
  <c r="AV214" i="3"/>
  <c r="AT214" i="3"/>
  <c r="AU214" i="3"/>
  <c r="AS214" i="3"/>
  <c r="AV215" i="3"/>
  <c r="AU215" i="3"/>
  <c r="AS215" i="3"/>
  <c r="AT215" i="3"/>
  <c r="AV216" i="3"/>
  <c r="AU216" i="3"/>
  <c r="AS216" i="3"/>
  <c r="AT216" i="3"/>
  <c r="AV217" i="3"/>
  <c r="AT217" i="3"/>
  <c r="AR217" i="3"/>
  <c r="AU217" i="3"/>
  <c r="AQ217" i="3"/>
  <c r="AS217" i="3"/>
  <c r="AV218" i="3"/>
  <c r="AU218" i="3"/>
  <c r="AQ218" i="3"/>
  <c r="AS218" i="3"/>
  <c r="AR218" i="3"/>
  <c r="AT218" i="3"/>
  <c r="AV219" i="3"/>
  <c r="AT219" i="3"/>
  <c r="AU219" i="3"/>
  <c r="AS219" i="3"/>
  <c r="AV220" i="3"/>
  <c r="AU220" i="3"/>
  <c r="AS220" i="3"/>
  <c r="AT220" i="3"/>
  <c r="AV221" i="3"/>
  <c r="AU221" i="3"/>
  <c r="AS221" i="3"/>
  <c r="AT221" i="3"/>
  <c r="AU222" i="3"/>
  <c r="AV222" i="3"/>
  <c r="AT222" i="3"/>
  <c r="AS222" i="3"/>
  <c r="AU223" i="3"/>
  <c r="AV223" i="3"/>
  <c r="AT223" i="3"/>
  <c r="AR223" i="3"/>
  <c r="AS223" i="3"/>
  <c r="AQ223" i="3"/>
  <c r="AU224" i="3"/>
  <c r="AV224" i="3"/>
  <c r="AT224" i="3"/>
  <c r="AR224" i="3"/>
  <c r="AS224" i="3"/>
  <c r="AQ224" i="3"/>
  <c r="AU225" i="3"/>
  <c r="AV225" i="3"/>
  <c r="AT225" i="3"/>
  <c r="AR225" i="3"/>
  <c r="AS225" i="3"/>
  <c r="AQ225" i="3"/>
  <c r="AU226" i="3"/>
  <c r="AV226" i="3"/>
  <c r="AT226" i="3"/>
  <c r="AS226" i="3"/>
  <c r="AU227" i="3"/>
  <c r="AV227" i="3"/>
  <c r="AT227" i="3"/>
  <c r="AS227" i="3"/>
  <c r="AU228" i="3"/>
  <c r="AV228" i="3"/>
  <c r="AT228" i="3"/>
  <c r="AS228" i="3"/>
  <c r="AU229" i="3"/>
  <c r="AV229" i="3"/>
  <c r="AT229" i="3"/>
  <c r="AS229" i="3"/>
  <c r="AU230" i="3"/>
  <c r="AV230" i="3"/>
  <c r="AT230" i="3"/>
  <c r="AS230" i="3"/>
  <c r="AU231" i="3"/>
  <c r="AV231" i="3"/>
  <c r="AT231" i="3"/>
  <c r="AR231" i="3"/>
  <c r="AS231" i="3"/>
  <c r="AQ231" i="3"/>
  <c r="AU232" i="3"/>
  <c r="AV232" i="3"/>
  <c r="AT232" i="3"/>
  <c r="AR232" i="3"/>
  <c r="AS232" i="3"/>
  <c r="AQ232" i="3"/>
  <c r="AU233" i="3"/>
  <c r="AV233" i="3"/>
  <c r="AT233" i="3"/>
  <c r="AR233" i="3"/>
  <c r="AS233" i="3"/>
  <c r="AQ233" i="3"/>
  <c r="AV234" i="3"/>
  <c r="AQ234" i="3"/>
  <c r="AT234" i="3"/>
  <c r="AR234" i="3"/>
  <c r="AU234" i="3"/>
  <c r="AS234" i="3"/>
  <c r="AT235" i="3"/>
  <c r="AV235" i="3"/>
  <c r="AS235" i="3"/>
  <c r="AQ235" i="3"/>
  <c r="AR235" i="3"/>
  <c r="AU235" i="3"/>
  <c r="AT236" i="3"/>
  <c r="AV236" i="3"/>
  <c r="AU236" i="3"/>
  <c r="AS236" i="3"/>
  <c r="AT237" i="3"/>
  <c r="AV237" i="3"/>
  <c r="AU237" i="3"/>
  <c r="AS237" i="3"/>
  <c r="AR237" i="3"/>
  <c r="AQ237" i="3"/>
  <c r="AT238" i="3"/>
  <c r="AV238" i="3"/>
  <c r="AU238" i="3"/>
  <c r="AS238" i="3"/>
  <c r="AR238" i="3"/>
  <c r="AQ238" i="3"/>
  <c r="AT239" i="3"/>
  <c r="AV239" i="3"/>
  <c r="AU239" i="3"/>
  <c r="AS239" i="3"/>
  <c r="AR239" i="3"/>
  <c r="AQ239" i="3"/>
  <c r="AT240" i="3"/>
  <c r="AV240" i="3"/>
  <c r="AU240" i="3"/>
  <c r="AS240" i="3"/>
  <c r="AT241" i="3"/>
  <c r="AV241" i="3"/>
  <c r="AU241" i="3"/>
  <c r="AS241" i="3"/>
  <c r="AR241" i="3"/>
  <c r="AQ241" i="3"/>
  <c r="AT242" i="3"/>
  <c r="AV242" i="3"/>
  <c r="AU242" i="3"/>
  <c r="AS242" i="3"/>
  <c r="AR242" i="3"/>
  <c r="AQ242" i="3"/>
  <c r="AT243" i="3"/>
  <c r="AV243" i="3"/>
  <c r="AU243" i="3"/>
  <c r="AS243" i="3"/>
  <c r="AT244" i="3"/>
  <c r="AV244" i="3"/>
  <c r="AU244" i="3"/>
  <c r="AS244" i="3"/>
  <c r="AT245" i="3"/>
  <c r="AV245" i="3"/>
  <c r="AU245" i="3"/>
  <c r="AS245" i="3"/>
  <c r="AT246" i="3"/>
  <c r="AV246" i="3"/>
  <c r="AU246" i="3"/>
  <c r="AS246" i="3"/>
  <c r="AR246" i="3"/>
  <c r="AQ246" i="3"/>
  <c r="AT247" i="3"/>
  <c r="AV247" i="3"/>
  <c r="AU247" i="3"/>
  <c r="AS247" i="3"/>
  <c r="AR247" i="3"/>
  <c r="AQ247" i="3"/>
  <c r="AT248" i="3"/>
  <c r="AV248" i="3"/>
  <c r="AU248" i="3"/>
  <c r="AS248" i="3"/>
  <c r="AR248" i="3"/>
  <c r="AQ248" i="3"/>
  <c r="AT249" i="3"/>
  <c r="AV249" i="3"/>
  <c r="AU249" i="3"/>
  <c r="AS249" i="3"/>
  <c r="AR249" i="3"/>
  <c r="AQ249" i="3"/>
  <c r="AT250" i="3"/>
  <c r="AV250" i="3"/>
  <c r="AU250" i="3"/>
  <c r="AS250" i="3"/>
  <c r="AR250" i="3"/>
  <c r="AQ250" i="3"/>
  <c r="AT251" i="3"/>
  <c r="AV251" i="3"/>
  <c r="AU251" i="3"/>
  <c r="AS251" i="3"/>
  <c r="AR251" i="3"/>
  <c r="AQ251" i="3"/>
  <c r="AT252" i="3"/>
  <c r="AV252" i="3"/>
  <c r="AU252" i="3"/>
  <c r="AS252" i="3"/>
  <c r="AR252" i="3"/>
  <c r="AQ252" i="3"/>
  <c r="AT253" i="3"/>
  <c r="AV253" i="3"/>
  <c r="AU253" i="3"/>
  <c r="AS253" i="3"/>
  <c r="AR253" i="3"/>
  <c r="AQ253" i="3"/>
  <c r="AT254" i="3"/>
  <c r="AV254" i="3"/>
  <c r="AU254" i="3"/>
  <c r="AS254" i="3"/>
  <c r="AR254" i="3"/>
  <c r="AQ254" i="3"/>
  <c r="AT255" i="3"/>
  <c r="AV255" i="3"/>
  <c r="AU255" i="3"/>
  <c r="AS255" i="3"/>
  <c r="AR255" i="3"/>
  <c r="AQ255" i="3"/>
  <c r="AT256" i="3"/>
  <c r="AV256" i="3"/>
  <c r="AU256" i="3"/>
  <c r="AS256" i="3"/>
  <c r="AR256" i="3"/>
  <c r="AQ256" i="3"/>
  <c r="AT257" i="3"/>
  <c r="AV257" i="3"/>
  <c r="AU257" i="3"/>
  <c r="AS257" i="3"/>
  <c r="AR257" i="3"/>
  <c r="AQ257" i="3"/>
  <c r="AT258" i="3"/>
  <c r="AV258" i="3"/>
  <c r="AU258" i="3"/>
  <c r="AS258" i="3"/>
  <c r="AR258" i="3"/>
  <c r="AQ258" i="3"/>
  <c r="AT259" i="3"/>
  <c r="AV259" i="3"/>
  <c r="AU259" i="3"/>
  <c r="AS259" i="3"/>
  <c r="AR259" i="3"/>
  <c r="AQ259" i="3"/>
  <c r="AT260" i="3"/>
  <c r="AV260" i="3"/>
  <c r="AU260" i="3"/>
  <c r="AS260" i="3"/>
  <c r="AR260" i="3"/>
  <c r="AQ260" i="3"/>
  <c r="AT261" i="3"/>
  <c r="AV261" i="3"/>
  <c r="AU261" i="3"/>
  <c r="AS261" i="3"/>
  <c r="AR261" i="3"/>
  <c r="AQ261" i="3"/>
  <c r="AS262" i="3"/>
  <c r="AV262" i="3"/>
  <c r="AU262" i="3"/>
  <c r="AT262" i="3"/>
  <c r="AR262" i="3"/>
  <c r="AQ262" i="3"/>
  <c r="AS263" i="3"/>
  <c r="AV263" i="3"/>
  <c r="AU263" i="3"/>
  <c r="AT263" i="3"/>
  <c r="AR263" i="3"/>
  <c r="AQ263" i="3"/>
  <c r="AS264" i="3"/>
  <c r="AV264" i="3"/>
  <c r="AU264" i="3"/>
  <c r="AT264" i="3"/>
  <c r="AR264" i="3"/>
  <c r="AQ264" i="3"/>
  <c r="AS265" i="3"/>
  <c r="AV265" i="3"/>
  <c r="AT265" i="3"/>
  <c r="AQ265" i="3"/>
  <c r="AR265" i="3"/>
  <c r="AU265" i="3"/>
  <c r="AS266" i="3"/>
  <c r="AV266" i="3"/>
  <c r="AT266" i="3"/>
  <c r="AQ266" i="3"/>
  <c r="AR266" i="3"/>
  <c r="AU266" i="3"/>
  <c r="AS267" i="3"/>
  <c r="AV267" i="3"/>
  <c r="AT267" i="3"/>
  <c r="AQ267" i="3"/>
  <c r="AR267" i="3"/>
  <c r="AU267" i="3"/>
  <c r="AS268" i="3"/>
  <c r="AV268" i="3"/>
  <c r="AU268" i="3"/>
  <c r="AT268" i="3"/>
  <c r="AR268" i="3"/>
  <c r="AQ268" i="3"/>
  <c r="AS269" i="3"/>
  <c r="AV269" i="3"/>
  <c r="AU269" i="3"/>
  <c r="AT269" i="3"/>
  <c r="AR269" i="3"/>
  <c r="AQ269" i="3"/>
  <c r="AS270" i="3"/>
  <c r="AV270" i="3"/>
  <c r="AU270" i="3"/>
  <c r="AT270" i="3"/>
  <c r="AR270" i="3"/>
  <c r="AQ270" i="3"/>
  <c r="AS271" i="3"/>
  <c r="AV271" i="3"/>
  <c r="AU271" i="3"/>
  <c r="AT271" i="3"/>
  <c r="AS272" i="3"/>
  <c r="AV272" i="3"/>
  <c r="AU272" i="3"/>
  <c r="AT272" i="3"/>
  <c r="AR272" i="3"/>
  <c r="AQ272" i="3"/>
  <c r="AS273" i="3"/>
  <c r="AV273" i="3"/>
  <c r="AU273" i="3"/>
  <c r="AT273" i="3"/>
  <c r="AR273" i="3"/>
  <c r="AQ273" i="3"/>
  <c r="AS274" i="3"/>
  <c r="AV274" i="3"/>
  <c r="AU274" i="3"/>
  <c r="AT274" i="3"/>
  <c r="AR274" i="3"/>
  <c r="AQ274" i="3"/>
  <c r="AS275" i="3"/>
  <c r="AV275" i="3"/>
  <c r="AU275" i="3"/>
  <c r="AT275" i="3"/>
  <c r="AR275" i="3"/>
  <c r="AQ275" i="3"/>
  <c r="AS276" i="3"/>
  <c r="AV276" i="3"/>
  <c r="AU276" i="3"/>
  <c r="AT276" i="3"/>
  <c r="AR276" i="3"/>
  <c r="AQ276" i="3"/>
  <c r="AS277" i="3"/>
  <c r="AV277" i="3"/>
  <c r="AU277" i="3"/>
  <c r="AT277" i="3"/>
  <c r="AR277" i="3"/>
  <c r="AQ277" i="3"/>
  <c r="AS278" i="3"/>
  <c r="AV278" i="3"/>
  <c r="AU278" i="3"/>
  <c r="AT278" i="3"/>
  <c r="AR278" i="3"/>
  <c r="AQ278" i="3"/>
  <c r="AS279" i="3"/>
  <c r="AV279" i="3"/>
  <c r="AU279" i="3"/>
  <c r="AT279" i="3"/>
  <c r="AR279" i="3"/>
  <c r="AQ279" i="3"/>
  <c r="AS280" i="3"/>
  <c r="AV280" i="3"/>
  <c r="AU280" i="3"/>
  <c r="AT280" i="3"/>
  <c r="AS281" i="3"/>
  <c r="AV281" i="3"/>
  <c r="AU281" i="3"/>
  <c r="AT281" i="3"/>
  <c r="AR281" i="3"/>
  <c r="AQ281" i="3"/>
  <c r="AS282" i="3"/>
  <c r="AV282" i="3"/>
  <c r="AU282" i="3"/>
  <c r="AT282" i="3"/>
  <c r="AR282" i="3"/>
  <c r="AQ282" i="3"/>
  <c r="AS283" i="3"/>
  <c r="AV283" i="3"/>
  <c r="AU283" i="3"/>
  <c r="AT283" i="3"/>
  <c r="AR283" i="3"/>
  <c r="AQ283" i="3"/>
  <c r="AS284" i="3"/>
  <c r="AV284" i="3"/>
  <c r="AU284" i="3"/>
  <c r="AT284" i="3"/>
  <c r="AR284" i="3"/>
  <c r="AQ284" i="3"/>
  <c r="AS285" i="3"/>
  <c r="AV285" i="3"/>
  <c r="AU285" i="3"/>
  <c r="AT285" i="3"/>
  <c r="AR285" i="3"/>
  <c r="AQ285" i="3"/>
  <c r="AS286" i="3"/>
  <c r="AV286" i="3"/>
  <c r="AU286" i="3"/>
  <c r="AT286" i="3"/>
  <c r="AR286" i="3"/>
  <c r="AQ286" i="3"/>
  <c r="AS287" i="3"/>
  <c r="AV287" i="3"/>
  <c r="AU287" i="3"/>
  <c r="AT287" i="3"/>
  <c r="AR287" i="3"/>
  <c r="AQ287" i="3"/>
  <c r="AS288" i="3"/>
  <c r="AV288" i="3"/>
  <c r="AU288" i="3"/>
  <c r="AT288" i="3"/>
  <c r="AR288" i="3"/>
  <c r="AQ288" i="3"/>
  <c r="AS289" i="3"/>
  <c r="AV289" i="3"/>
  <c r="AU289" i="3"/>
  <c r="AT289" i="3"/>
  <c r="AR289" i="3"/>
  <c r="AQ289" i="3"/>
  <c r="AS290" i="3"/>
  <c r="AV290" i="3"/>
  <c r="AU290" i="3"/>
  <c r="AT290" i="3"/>
  <c r="AR290" i="3"/>
  <c r="AQ290" i="3"/>
  <c r="AS291" i="3"/>
  <c r="AV291" i="3"/>
  <c r="AU291" i="3"/>
  <c r="AT291" i="3"/>
  <c r="AR291" i="3"/>
  <c r="AQ291" i="3"/>
  <c r="AS292" i="3"/>
  <c r="AV292" i="3"/>
  <c r="AU292" i="3"/>
  <c r="AT292" i="3"/>
  <c r="AS293" i="3"/>
  <c r="AV293" i="3"/>
  <c r="AU293" i="3"/>
  <c r="AT293" i="3"/>
  <c r="AS294" i="3"/>
  <c r="AV294" i="3"/>
  <c r="AU294" i="3"/>
  <c r="AT294" i="3"/>
  <c r="AS295" i="3"/>
  <c r="AV295" i="3"/>
  <c r="AU295" i="3"/>
  <c r="AT295" i="3"/>
  <c r="AR295" i="3"/>
  <c r="AQ295" i="3"/>
  <c r="AS296" i="3"/>
  <c r="AV296" i="3"/>
  <c r="AU296" i="3"/>
  <c r="AT296" i="3"/>
  <c r="AR296" i="3"/>
  <c r="AQ296" i="3"/>
  <c r="AS297" i="3"/>
  <c r="AV297" i="3"/>
  <c r="AU297" i="3"/>
  <c r="AT297" i="3"/>
  <c r="AR297" i="3"/>
  <c r="AQ297" i="3"/>
  <c r="AS298" i="3"/>
  <c r="AV298" i="3"/>
  <c r="AU298" i="3"/>
  <c r="AT298" i="3"/>
  <c r="AQ298" i="3"/>
  <c r="AR298" i="3"/>
  <c r="AV299" i="3"/>
  <c r="AU299" i="3"/>
  <c r="AR299" i="3"/>
  <c r="AT299" i="3"/>
  <c r="AS299" i="3"/>
  <c r="AQ299" i="3"/>
  <c r="AV300" i="3"/>
  <c r="AT300" i="3"/>
  <c r="AS300" i="3"/>
  <c r="AU300" i="3"/>
  <c r="AR300" i="3"/>
  <c r="AQ300" i="3"/>
  <c r="AV301" i="3"/>
  <c r="AU301" i="3"/>
  <c r="AR301" i="3"/>
  <c r="AT301" i="3"/>
  <c r="AS301" i="3"/>
  <c r="AQ301" i="3"/>
  <c r="AV302" i="3"/>
  <c r="AT302" i="3"/>
  <c r="AS302" i="3"/>
  <c r="AQ302" i="3"/>
  <c r="AR302" i="3"/>
  <c r="AU302" i="3"/>
  <c r="AV303" i="3"/>
  <c r="AU303" i="3"/>
  <c r="AT303" i="3"/>
  <c r="AS303" i="3"/>
  <c r="AV304" i="3"/>
  <c r="AT304" i="3"/>
  <c r="AS304" i="3"/>
  <c r="AU304" i="3"/>
  <c r="AV305" i="3"/>
  <c r="AU305" i="3"/>
  <c r="AT305" i="3"/>
  <c r="AS305" i="3"/>
  <c r="AV306" i="3"/>
  <c r="AT306" i="3"/>
  <c r="AS306" i="3"/>
  <c r="AU306" i="3"/>
  <c r="AV307" i="3"/>
  <c r="AU307" i="3"/>
  <c r="AT307" i="3"/>
  <c r="AS307" i="3"/>
  <c r="AV308" i="3"/>
  <c r="AT308" i="3"/>
  <c r="AS308" i="3"/>
  <c r="AQ308" i="3"/>
  <c r="AR308" i="3"/>
  <c r="AU308" i="3"/>
  <c r="AV309" i="3"/>
  <c r="AU309" i="3"/>
  <c r="AR309" i="3"/>
  <c r="AT309" i="3"/>
  <c r="AS309" i="3"/>
  <c r="AQ309" i="3"/>
  <c r="AV310" i="3"/>
  <c r="AT310" i="3"/>
  <c r="AS310" i="3"/>
  <c r="AU310" i="3"/>
  <c r="AV311" i="3"/>
  <c r="AU311" i="3"/>
  <c r="AT311" i="3"/>
  <c r="AS311" i="3"/>
  <c r="AV312" i="3"/>
  <c r="AU312" i="3"/>
  <c r="AV313" i="3"/>
  <c r="AU313" i="3"/>
  <c r="AV314" i="3"/>
  <c r="AU314" i="3"/>
  <c r="AT316" i="3"/>
  <c r="AV316" i="3"/>
  <c r="AU316" i="3"/>
  <c r="AR316" i="3"/>
  <c r="AQ316" i="3"/>
  <c r="AS316" i="3"/>
  <c r="AV317" i="3"/>
  <c r="AU317" i="3"/>
  <c r="AT318" i="3"/>
  <c r="AV318" i="3"/>
  <c r="AU318" i="3"/>
  <c r="AR318" i="3"/>
  <c r="AQ318" i="3"/>
  <c r="AS318" i="3"/>
  <c r="AT319" i="3"/>
  <c r="AV319" i="3"/>
  <c r="AU319" i="3"/>
  <c r="AS319" i="3"/>
  <c r="AT320" i="3"/>
  <c r="AS320" i="3"/>
  <c r="AU320" i="3"/>
  <c r="AQ320" i="3"/>
  <c r="AV320" i="3"/>
  <c r="AR320" i="3"/>
  <c r="AT321" i="3"/>
  <c r="AS321" i="3"/>
  <c r="AU321" i="3"/>
  <c r="AQ321" i="3"/>
  <c r="AV321" i="3"/>
  <c r="AR321" i="3"/>
  <c r="AT322" i="3"/>
  <c r="AS322" i="3"/>
  <c r="AU322" i="3"/>
  <c r="AV322" i="3"/>
  <c r="AT323" i="3"/>
  <c r="AS323" i="3"/>
  <c r="AU323" i="3"/>
  <c r="AV323" i="3"/>
  <c r="AU324" i="3"/>
  <c r="AV324" i="3"/>
  <c r="AT324" i="3"/>
  <c r="AS324" i="3"/>
  <c r="AR324" i="3"/>
  <c r="AU325" i="3"/>
  <c r="AV325" i="3"/>
  <c r="AT325" i="3"/>
  <c r="AS325" i="3"/>
  <c r="AR325" i="3"/>
  <c r="AQ325" i="3"/>
  <c r="F2" i="3"/>
  <c r="E2" i="3"/>
  <c r="D2" i="3"/>
  <c r="C2" i="3"/>
  <c r="B2" i="3"/>
  <c r="A2" i="3"/>
  <c r="F3" i="3"/>
  <c r="E3" i="3"/>
  <c r="D3" i="3"/>
  <c r="C3" i="3"/>
  <c r="B3" i="3"/>
  <c r="A3" i="3"/>
  <c r="F4" i="3"/>
  <c r="E4" i="3"/>
  <c r="D4" i="3"/>
  <c r="C4" i="3"/>
  <c r="B4" i="3"/>
  <c r="A4" i="3"/>
  <c r="F5" i="3"/>
  <c r="E5" i="3"/>
  <c r="D5" i="3"/>
  <c r="C5" i="3"/>
  <c r="B5" i="3"/>
  <c r="A5" i="3"/>
  <c r="F6" i="3"/>
  <c r="E6" i="3"/>
  <c r="D6" i="3"/>
  <c r="C6" i="3"/>
  <c r="B6" i="3"/>
  <c r="A6" i="3"/>
  <c r="F7" i="3"/>
  <c r="E7" i="3"/>
  <c r="D7" i="3"/>
  <c r="C7" i="3"/>
  <c r="B7" i="3"/>
  <c r="A7" i="3"/>
  <c r="F8" i="3"/>
  <c r="E8" i="3"/>
  <c r="D8" i="3"/>
  <c r="C8" i="3"/>
  <c r="B8" i="3"/>
  <c r="A8" i="3"/>
  <c r="F9" i="3"/>
  <c r="E9" i="3"/>
  <c r="D9" i="3"/>
  <c r="C9" i="3"/>
  <c r="B9" i="3"/>
  <c r="A9" i="3"/>
  <c r="F10" i="3"/>
  <c r="E10" i="3"/>
  <c r="D10" i="3"/>
  <c r="C10" i="3"/>
  <c r="B10" i="3"/>
  <c r="A10" i="3"/>
  <c r="F11" i="3"/>
  <c r="E11" i="3"/>
  <c r="D11" i="3"/>
  <c r="C11" i="3"/>
  <c r="B11" i="3"/>
  <c r="A11" i="3"/>
  <c r="F12" i="3"/>
  <c r="E12" i="3"/>
  <c r="D12" i="3"/>
  <c r="C12" i="3"/>
  <c r="B12" i="3"/>
  <c r="A12" i="3"/>
  <c r="F13" i="3"/>
  <c r="E13" i="3"/>
  <c r="D13" i="3"/>
  <c r="C13" i="3"/>
  <c r="B13" i="3"/>
  <c r="A13" i="3"/>
  <c r="F14" i="3"/>
  <c r="E14" i="3"/>
  <c r="D14" i="3"/>
  <c r="C14" i="3"/>
  <c r="B14" i="3"/>
  <c r="A14" i="3"/>
  <c r="F15" i="3"/>
  <c r="E15" i="3"/>
  <c r="D15" i="3"/>
  <c r="C15" i="3"/>
  <c r="B15" i="3"/>
  <c r="A15" i="3"/>
  <c r="F16" i="3"/>
  <c r="E16" i="3"/>
  <c r="D16" i="3"/>
  <c r="C16" i="3"/>
  <c r="B16" i="3"/>
  <c r="A16" i="3"/>
  <c r="E17" i="3"/>
  <c r="D17" i="3"/>
  <c r="C17" i="3"/>
  <c r="F17" i="3"/>
  <c r="E18" i="3"/>
  <c r="D18" i="3"/>
  <c r="C18" i="3"/>
  <c r="F18" i="3"/>
  <c r="E19" i="3"/>
  <c r="D19" i="3"/>
  <c r="C19" i="3"/>
  <c r="F19" i="3"/>
  <c r="E20" i="3"/>
  <c r="D20" i="3"/>
  <c r="C20" i="3"/>
  <c r="F20" i="3"/>
  <c r="E21" i="3"/>
  <c r="D21" i="3"/>
  <c r="C21" i="3"/>
  <c r="F21" i="3"/>
  <c r="B21" i="3"/>
  <c r="A21" i="3"/>
  <c r="E22" i="3"/>
  <c r="D22" i="3"/>
  <c r="C22" i="3"/>
  <c r="A22" i="3"/>
  <c r="F22" i="3"/>
  <c r="B22" i="3"/>
  <c r="E23" i="3"/>
  <c r="D23" i="3"/>
  <c r="C23" i="3"/>
  <c r="F23" i="3"/>
  <c r="B23" i="3"/>
  <c r="A23" i="3"/>
  <c r="E24" i="3"/>
  <c r="D24" i="3"/>
  <c r="C24" i="3"/>
  <c r="F24" i="3"/>
  <c r="E25" i="3"/>
  <c r="D25" i="3"/>
  <c r="C25" i="3"/>
  <c r="F25" i="3"/>
  <c r="E26" i="3"/>
  <c r="D26" i="3"/>
  <c r="C26" i="3"/>
  <c r="F26" i="3"/>
  <c r="E27" i="3"/>
  <c r="D27" i="3"/>
  <c r="C27" i="3"/>
  <c r="F27" i="3"/>
  <c r="A28" i="3"/>
  <c r="E28" i="3"/>
  <c r="D28" i="3"/>
  <c r="C28" i="3"/>
  <c r="F28" i="3"/>
  <c r="B28" i="3"/>
  <c r="E29" i="3"/>
  <c r="D29" i="3"/>
  <c r="C29" i="3"/>
  <c r="A29" i="3"/>
  <c r="F29" i="3"/>
  <c r="B29" i="3"/>
  <c r="A30" i="3"/>
  <c r="E30" i="3"/>
  <c r="D30" i="3"/>
  <c r="C30" i="3"/>
  <c r="F30" i="3"/>
  <c r="B30" i="3"/>
  <c r="E31" i="3"/>
  <c r="D31" i="3"/>
  <c r="C31" i="3"/>
  <c r="A31" i="3"/>
  <c r="F31" i="3"/>
  <c r="B31" i="3"/>
  <c r="A32" i="3"/>
  <c r="E32" i="3"/>
  <c r="D32" i="3"/>
  <c r="C32" i="3"/>
  <c r="F32" i="3"/>
  <c r="B32" i="3"/>
  <c r="E33" i="3"/>
  <c r="D33" i="3"/>
  <c r="C33" i="3"/>
  <c r="A33" i="3"/>
  <c r="F33" i="3"/>
  <c r="B33" i="3"/>
  <c r="A34" i="3"/>
  <c r="E34" i="3"/>
  <c r="D34" i="3"/>
  <c r="C34" i="3"/>
  <c r="F34" i="3"/>
  <c r="B34" i="3"/>
  <c r="E35" i="3"/>
  <c r="D35" i="3"/>
  <c r="C35" i="3"/>
  <c r="A35" i="3"/>
  <c r="F35" i="3"/>
  <c r="B35" i="3"/>
  <c r="A36" i="3"/>
  <c r="E36" i="3"/>
  <c r="D36" i="3"/>
  <c r="C36" i="3"/>
  <c r="F36" i="3"/>
  <c r="B36" i="3"/>
  <c r="E37" i="3"/>
  <c r="D37" i="3"/>
  <c r="C37" i="3"/>
  <c r="A37" i="3"/>
  <c r="F37" i="3"/>
  <c r="B37" i="3"/>
  <c r="A38" i="3"/>
  <c r="E38" i="3"/>
  <c r="D38" i="3"/>
  <c r="C38" i="3"/>
  <c r="F38" i="3"/>
  <c r="B38" i="3"/>
  <c r="D39" i="3"/>
  <c r="E39" i="3"/>
  <c r="C39" i="3"/>
  <c r="F39" i="3"/>
  <c r="B39" i="3"/>
  <c r="A39" i="3"/>
  <c r="F40" i="3"/>
  <c r="D40" i="3"/>
  <c r="C40" i="3"/>
  <c r="E40" i="3"/>
  <c r="C41" i="3"/>
  <c r="E41" i="3"/>
  <c r="F41" i="3"/>
  <c r="D41" i="3"/>
  <c r="F42" i="3"/>
  <c r="B42" i="3"/>
  <c r="D42" i="3"/>
  <c r="C42" i="3"/>
  <c r="A42" i="3"/>
  <c r="E42" i="3"/>
  <c r="C43" i="3"/>
  <c r="E43" i="3"/>
  <c r="A43" i="3"/>
  <c r="F43" i="3"/>
  <c r="B43" i="3"/>
  <c r="D43" i="3"/>
  <c r="E44" i="3"/>
  <c r="F44" i="3"/>
  <c r="B44" i="3"/>
  <c r="D44" i="3"/>
  <c r="C44" i="3"/>
  <c r="A44" i="3"/>
  <c r="E45" i="3"/>
  <c r="A45" i="3"/>
  <c r="C45" i="3"/>
  <c r="F45" i="3"/>
  <c r="B45" i="3"/>
  <c r="D45" i="3"/>
  <c r="E46" i="3"/>
  <c r="A46" i="3"/>
  <c r="C46" i="3"/>
  <c r="F46" i="3"/>
  <c r="B46" i="3"/>
  <c r="D46" i="3"/>
  <c r="E47" i="3"/>
  <c r="A47" i="3"/>
  <c r="C47" i="3"/>
  <c r="F47" i="3"/>
  <c r="B47" i="3"/>
  <c r="D47" i="3"/>
  <c r="E48" i="3"/>
  <c r="C48" i="3"/>
  <c r="F48" i="3"/>
  <c r="B48" i="3"/>
  <c r="D48" i="3"/>
  <c r="A48" i="3"/>
  <c r="E49" i="3"/>
  <c r="A49" i="3"/>
  <c r="C49" i="3"/>
  <c r="F49" i="3"/>
  <c r="B49" i="3"/>
  <c r="D49" i="3"/>
  <c r="E50" i="3"/>
  <c r="C50" i="3"/>
  <c r="F50" i="3"/>
  <c r="B50" i="3"/>
  <c r="D50" i="3"/>
  <c r="A50" i="3"/>
  <c r="A51" i="3"/>
  <c r="E51" i="3"/>
  <c r="C51" i="3"/>
  <c r="F51" i="3"/>
  <c r="B51" i="3"/>
  <c r="D51" i="3"/>
  <c r="A52" i="3"/>
  <c r="C52" i="3"/>
  <c r="F52" i="3"/>
  <c r="B52" i="3"/>
  <c r="D52" i="3"/>
  <c r="E52" i="3"/>
  <c r="A53" i="3"/>
  <c r="E53" i="3"/>
  <c r="C53" i="3"/>
  <c r="F53" i="3"/>
  <c r="B53" i="3"/>
  <c r="D53" i="3"/>
  <c r="A54" i="3"/>
  <c r="C54" i="3"/>
  <c r="F54" i="3"/>
  <c r="B54" i="3"/>
  <c r="D54" i="3"/>
  <c r="E54" i="3"/>
  <c r="A55" i="3"/>
  <c r="E55" i="3"/>
  <c r="C55" i="3"/>
  <c r="F55" i="3"/>
  <c r="B55" i="3"/>
  <c r="D55" i="3"/>
  <c r="F56" i="3"/>
  <c r="E56" i="3"/>
  <c r="D56" i="3"/>
  <c r="C56" i="3"/>
  <c r="B56" i="3"/>
  <c r="A56" i="3"/>
  <c r="C57" i="3"/>
  <c r="E57" i="3"/>
  <c r="D57" i="3"/>
  <c r="A57" i="3"/>
  <c r="F57" i="3"/>
  <c r="B57" i="3"/>
  <c r="C58" i="3"/>
  <c r="F58" i="3"/>
  <c r="E58" i="3"/>
  <c r="D58" i="3"/>
  <c r="B58" i="3"/>
  <c r="A58" i="3"/>
  <c r="C59" i="3"/>
  <c r="E59" i="3"/>
  <c r="D59" i="3"/>
  <c r="A59" i="3"/>
  <c r="F59" i="3"/>
  <c r="B59" i="3"/>
  <c r="C60" i="3"/>
  <c r="F60" i="3"/>
  <c r="E60" i="3"/>
  <c r="D60" i="3"/>
  <c r="B60" i="3"/>
  <c r="A60" i="3"/>
  <c r="C61" i="3"/>
  <c r="E61" i="3"/>
  <c r="D61" i="3"/>
  <c r="A61" i="3"/>
  <c r="F61" i="3"/>
  <c r="B61" i="3"/>
  <c r="C62" i="3"/>
  <c r="F62" i="3"/>
  <c r="E62" i="3"/>
  <c r="D62" i="3"/>
  <c r="C63" i="3"/>
  <c r="E63" i="3"/>
  <c r="D63" i="3"/>
  <c r="A63" i="3"/>
  <c r="F63" i="3"/>
  <c r="B63" i="3"/>
  <c r="C64" i="3"/>
  <c r="F64" i="3"/>
  <c r="E64" i="3"/>
  <c r="D64" i="3"/>
  <c r="B64" i="3"/>
  <c r="A64" i="3"/>
  <c r="C65" i="3"/>
  <c r="E65" i="3"/>
  <c r="D65" i="3"/>
  <c r="A65" i="3"/>
  <c r="F65" i="3"/>
  <c r="B65" i="3"/>
  <c r="C66" i="3"/>
  <c r="F66" i="3"/>
  <c r="E66" i="3"/>
  <c r="D66" i="3"/>
  <c r="B66" i="3"/>
  <c r="A66" i="3"/>
  <c r="C67" i="3"/>
  <c r="E67" i="3"/>
  <c r="D67" i="3"/>
  <c r="A67" i="3"/>
  <c r="F67" i="3"/>
  <c r="B67" i="3"/>
  <c r="C68" i="3"/>
  <c r="F68" i="3"/>
  <c r="E68" i="3"/>
  <c r="D68" i="3"/>
  <c r="B68" i="3"/>
  <c r="A68" i="3"/>
  <c r="C69" i="3"/>
  <c r="E69" i="3"/>
  <c r="D69" i="3"/>
  <c r="A69" i="3"/>
  <c r="F69" i="3"/>
  <c r="B69" i="3"/>
  <c r="C70" i="3"/>
  <c r="F70" i="3"/>
  <c r="E70" i="3"/>
  <c r="D70" i="3"/>
  <c r="B70" i="3"/>
  <c r="A70" i="3"/>
  <c r="C71" i="3"/>
  <c r="E71" i="3"/>
  <c r="D71" i="3"/>
  <c r="A71" i="3"/>
  <c r="F71" i="3"/>
  <c r="B71" i="3"/>
  <c r="C72" i="3"/>
  <c r="F72" i="3"/>
  <c r="E72" i="3"/>
  <c r="D72" i="3"/>
  <c r="B72" i="3"/>
  <c r="A72" i="3"/>
  <c r="C73" i="3"/>
  <c r="E73" i="3"/>
  <c r="D73" i="3"/>
  <c r="A73" i="3"/>
  <c r="F73" i="3"/>
  <c r="B73" i="3"/>
  <c r="C74" i="3"/>
  <c r="F74" i="3"/>
  <c r="E74" i="3"/>
  <c r="D74" i="3"/>
  <c r="B74" i="3"/>
  <c r="A74" i="3"/>
  <c r="C75" i="3"/>
  <c r="E75" i="3"/>
  <c r="D75" i="3"/>
  <c r="A75" i="3"/>
  <c r="F75" i="3"/>
  <c r="B75" i="3"/>
  <c r="C76" i="3"/>
  <c r="F76" i="3"/>
  <c r="E76" i="3"/>
  <c r="D76" i="3"/>
  <c r="C77" i="3"/>
  <c r="E77" i="3"/>
  <c r="D77" i="3"/>
  <c r="A77" i="3"/>
  <c r="F77" i="3"/>
  <c r="B77" i="3"/>
  <c r="C78" i="3"/>
  <c r="F78" i="3"/>
  <c r="E78" i="3"/>
  <c r="D78" i="3"/>
  <c r="B78" i="3"/>
  <c r="A78" i="3"/>
  <c r="C79" i="3"/>
  <c r="E79" i="3"/>
  <c r="D79" i="3"/>
  <c r="A79" i="3"/>
  <c r="F79" i="3"/>
  <c r="B79" i="3"/>
  <c r="C80" i="3"/>
  <c r="F80" i="3"/>
  <c r="E80" i="3"/>
  <c r="D80" i="3"/>
  <c r="B80" i="3"/>
  <c r="A80" i="3"/>
  <c r="C81" i="3"/>
  <c r="E81" i="3"/>
  <c r="D81" i="3"/>
  <c r="A81" i="3"/>
  <c r="F81" i="3"/>
  <c r="B81" i="3"/>
  <c r="C82" i="3"/>
  <c r="F82" i="3"/>
  <c r="E82" i="3"/>
  <c r="D82" i="3"/>
  <c r="B82" i="3"/>
  <c r="A82" i="3"/>
  <c r="C83" i="3"/>
  <c r="E83" i="3"/>
  <c r="D83" i="3"/>
  <c r="F83" i="3"/>
  <c r="C84" i="3"/>
  <c r="F84" i="3"/>
  <c r="E84" i="3"/>
  <c r="D84" i="3"/>
  <c r="B84" i="3"/>
  <c r="A84" i="3"/>
  <c r="C85" i="3"/>
  <c r="E85" i="3"/>
  <c r="D85" i="3"/>
  <c r="A85" i="3"/>
  <c r="F85" i="3"/>
  <c r="B85" i="3"/>
  <c r="C86" i="3"/>
  <c r="F86" i="3"/>
  <c r="E86" i="3"/>
  <c r="D86" i="3"/>
  <c r="C87" i="3"/>
  <c r="E87" i="3"/>
  <c r="D87" i="3"/>
  <c r="A87" i="3"/>
  <c r="F87" i="3"/>
  <c r="B87" i="3"/>
  <c r="C88" i="3"/>
  <c r="F88" i="3"/>
  <c r="E88" i="3"/>
  <c r="D88" i="3"/>
  <c r="B88" i="3"/>
  <c r="A88" i="3"/>
  <c r="C89" i="3"/>
  <c r="E89" i="3"/>
  <c r="D89" i="3"/>
  <c r="A89" i="3"/>
  <c r="F89" i="3"/>
  <c r="B89" i="3"/>
  <c r="C90" i="3"/>
  <c r="F90" i="3"/>
  <c r="E90" i="3"/>
  <c r="D90" i="3"/>
  <c r="C91" i="3"/>
  <c r="E91" i="3"/>
  <c r="D91" i="3"/>
  <c r="A91" i="3"/>
  <c r="F91" i="3"/>
  <c r="B91" i="3"/>
  <c r="C92" i="3"/>
  <c r="F92" i="3"/>
  <c r="E92" i="3"/>
  <c r="D92" i="3"/>
  <c r="B92" i="3"/>
  <c r="A92" i="3"/>
  <c r="C93" i="3"/>
  <c r="E93" i="3"/>
  <c r="D93" i="3"/>
  <c r="A93" i="3"/>
  <c r="F93" i="3"/>
  <c r="B93" i="3"/>
  <c r="C94" i="3"/>
  <c r="F94" i="3"/>
  <c r="E94" i="3"/>
  <c r="D94" i="3"/>
  <c r="B94" i="3"/>
  <c r="A94" i="3"/>
  <c r="C95" i="3"/>
  <c r="F95" i="3"/>
  <c r="E95" i="3"/>
  <c r="D95" i="3"/>
  <c r="B95" i="3"/>
  <c r="A95" i="3"/>
  <c r="C96" i="3"/>
  <c r="F96" i="3"/>
  <c r="E96" i="3"/>
  <c r="D96" i="3"/>
  <c r="B96" i="3"/>
  <c r="A96" i="3"/>
  <c r="C97" i="3"/>
  <c r="F97" i="3"/>
  <c r="E97" i="3"/>
  <c r="D97" i="3"/>
  <c r="B97" i="3"/>
  <c r="A97" i="3"/>
  <c r="C98" i="3"/>
  <c r="F98" i="3"/>
  <c r="E98" i="3"/>
  <c r="D98" i="3"/>
  <c r="B98" i="3"/>
  <c r="A98" i="3"/>
  <c r="C99" i="3"/>
  <c r="F99" i="3"/>
  <c r="E99" i="3"/>
  <c r="D99" i="3"/>
  <c r="B99" i="3"/>
  <c r="A99" i="3"/>
  <c r="C100" i="3"/>
  <c r="F100" i="3"/>
  <c r="E100" i="3"/>
  <c r="D100" i="3"/>
  <c r="B100" i="3"/>
  <c r="A100" i="3"/>
  <c r="C101" i="3"/>
  <c r="F101" i="3"/>
  <c r="E101" i="3"/>
  <c r="D101" i="3"/>
  <c r="B101" i="3"/>
  <c r="A101" i="3"/>
  <c r="C102" i="3"/>
  <c r="F102" i="3"/>
  <c r="E102" i="3"/>
  <c r="D102" i="3"/>
  <c r="B102" i="3"/>
  <c r="A102" i="3"/>
  <c r="C103" i="3"/>
  <c r="E103" i="3"/>
  <c r="D103" i="3"/>
  <c r="A103" i="3"/>
  <c r="B103" i="3"/>
  <c r="F103" i="3"/>
  <c r="C104" i="3"/>
  <c r="E104" i="3"/>
  <c r="D104" i="3"/>
  <c r="F104" i="3"/>
  <c r="C105" i="3"/>
  <c r="E105" i="3"/>
  <c r="D105" i="3"/>
  <c r="A105" i="3"/>
  <c r="B105" i="3"/>
  <c r="F105" i="3"/>
  <c r="C106" i="3"/>
  <c r="E106" i="3"/>
  <c r="D106" i="3"/>
  <c r="A106" i="3"/>
  <c r="B106" i="3"/>
  <c r="F106" i="3"/>
  <c r="C107" i="3"/>
  <c r="E107" i="3"/>
  <c r="D107" i="3"/>
  <c r="A107" i="3"/>
  <c r="B107" i="3"/>
  <c r="F107" i="3"/>
  <c r="C108" i="3"/>
  <c r="E108" i="3"/>
  <c r="D108" i="3"/>
  <c r="A108" i="3"/>
  <c r="B108" i="3"/>
  <c r="F108" i="3"/>
  <c r="C109" i="3"/>
  <c r="E109" i="3"/>
  <c r="D109" i="3"/>
  <c r="A109" i="3"/>
  <c r="B109" i="3"/>
  <c r="F109" i="3"/>
  <c r="C110" i="3"/>
  <c r="E110" i="3"/>
  <c r="D110" i="3"/>
  <c r="A110" i="3"/>
  <c r="B110" i="3"/>
  <c r="F110" i="3"/>
  <c r="C111" i="3"/>
  <c r="E111" i="3"/>
  <c r="D111" i="3"/>
  <c r="F111" i="3"/>
  <c r="C112" i="3"/>
  <c r="E112" i="3"/>
  <c r="D112" i="3"/>
  <c r="A112" i="3"/>
  <c r="B112" i="3"/>
  <c r="F112" i="3"/>
  <c r="C113" i="3"/>
  <c r="E113" i="3"/>
  <c r="D113" i="3"/>
  <c r="A113" i="3"/>
  <c r="B113" i="3"/>
  <c r="F113" i="3"/>
  <c r="F114" i="3"/>
  <c r="E114" i="3"/>
  <c r="D114" i="3"/>
  <c r="C114" i="3"/>
  <c r="B114" i="3"/>
  <c r="A114" i="3"/>
  <c r="F115" i="3"/>
  <c r="E115" i="3"/>
  <c r="D115" i="3"/>
  <c r="C115" i="3"/>
  <c r="B115" i="3"/>
  <c r="A115" i="3"/>
  <c r="F116" i="3"/>
  <c r="E116" i="3"/>
  <c r="D116" i="3"/>
  <c r="C116" i="3"/>
  <c r="B116" i="3"/>
  <c r="A116" i="3"/>
  <c r="F117" i="3"/>
  <c r="E117" i="3"/>
  <c r="D117" i="3"/>
  <c r="C117" i="3"/>
  <c r="B117" i="3"/>
  <c r="A117" i="3"/>
  <c r="F118" i="3"/>
  <c r="E118" i="3"/>
  <c r="D118" i="3"/>
  <c r="C118" i="3"/>
  <c r="F119" i="3"/>
  <c r="E119" i="3"/>
  <c r="D119" i="3"/>
  <c r="C119" i="3"/>
  <c r="B119" i="3"/>
  <c r="A119" i="3"/>
  <c r="F120" i="3"/>
  <c r="E120" i="3"/>
  <c r="D120" i="3"/>
  <c r="C120" i="3"/>
  <c r="B120" i="3"/>
  <c r="A120" i="3"/>
  <c r="F121" i="3"/>
  <c r="E121" i="3"/>
  <c r="D121" i="3"/>
  <c r="C121" i="3"/>
  <c r="B121" i="3"/>
  <c r="A121" i="3"/>
  <c r="F122" i="3"/>
  <c r="E122" i="3"/>
  <c r="D122" i="3"/>
  <c r="C122" i="3"/>
  <c r="B122" i="3"/>
  <c r="A122" i="3"/>
  <c r="F123" i="3"/>
  <c r="E123" i="3"/>
  <c r="D123" i="3"/>
  <c r="C123" i="3"/>
  <c r="F124" i="3"/>
  <c r="E124" i="3"/>
  <c r="D124" i="3"/>
  <c r="C124" i="3"/>
  <c r="F125" i="3"/>
  <c r="E125" i="3"/>
  <c r="D125" i="3"/>
  <c r="C125" i="3"/>
  <c r="F126" i="3"/>
  <c r="E126" i="3"/>
  <c r="D126" i="3"/>
  <c r="C126" i="3"/>
  <c r="B126" i="3"/>
  <c r="A126" i="3"/>
  <c r="F127" i="3"/>
  <c r="E127" i="3"/>
  <c r="D127" i="3"/>
  <c r="C127" i="3"/>
  <c r="B127" i="3"/>
  <c r="A127" i="3"/>
  <c r="F128" i="3"/>
  <c r="E128" i="3"/>
  <c r="D128" i="3"/>
  <c r="C128" i="3"/>
  <c r="B128" i="3"/>
  <c r="A128" i="3"/>
  <c r="F129" i="3"/>
  <c r="E129" i="3"/>
  <c r="D129" i="3"/>
  <c r="C129" i="3"/>
  <c r="B129" i="3"/>
  <c r="A129" i="3"/>
  <c r="F130" i="3"/>
  <c r="E130" i="3"/>
  <c r="D130" i="3"/>
  <c r="C130" i="3"/>
  <c r="B130" i="3"/>
  <c r="A130" i="3"/>
  <c r="F131" i="3"/>
  <c r="E131" i="3"/>
  <c r="D131" i="3"/>
  <c r="C131" i="3"/>
  <c r="B131" i="3"/>
  <c r="A131" i="3"/>
  <c r="F132" i="3"/>
  <c r="E132" i="3"/>
  <c r="D132" i="3"/>
  <c r="C132" i="3"/>
  <c r="B132" i="3"/>
  <c r="A132" i="3"/>
  <c r="F133" i="3"/>
  <c r="E133" i="3"/>
  <c r="D133" i="3"/>
  <c r="C133" i="3"/>
  <c r="B133" i="3"/>
  <c r="A133" i="3"/>
  <c r="F134" i="3"/>
  <c r="E134" i="3"/>
  <c r="D134" i="3"/>
  <c r="C134" i="3"/>
  <c r="B134" i="3"/>
  <c r="A134" i="3"/>
  <c r="F135" i="3"/>
  <c r="E135" i="3"/>
  <c r="D135" i="3"/>
  <c r="C135" i="3"/>
  <c r="B135" i="3"/>
  <c r="A135" i="3"/>
  <c r="F136" i="3"/>
  <c r="E136" i="3"/>
  <c r="D136" i="3"/>
  <c r="C136" i="3"/>
  <c r="B136" i="3"/>
  <c r="A136" i="3"/>
  <c r="F137" i="3"/>
  <c r="E137" i="3"/>
  <c r="D137" i="3"/>
  <c r="C137" i="3"/>
  <c r="B137" i="3"/>
  <c r="A137" i="3"/>
  <c r="F138" i="3"/>
  <c r="E138" i="3"/>
  <c r="D138" i="3"/>
  <c r="C138" i="3"/>
  <c r="B138" i="3"/>
  <c r="A138" i="3"/>
  <c r="F139" i="3"/>
  <c r="E139" i="3"/>
  <c r="D139" i="3"/>
  <c r="C139" i="3"/>
  <c r="B139" i="3"/>
  <c r="A139" i="3"/>
  <c r="F140" i="3"/>
  <c r="E140" i="3"/>
  <c r="D140" i="3"/>
  <c r="C140" i="3"/>
  <c r="B140" i="3"/>
  <c r="A140" i="3"/>
  <c r="F141" i="3"/>
  <c r="E141" i="3"/>
  <c r="D141" i="3"/>
  <c r="C141" i="3"/>
  <c r="B141" i="3"/>
  <c r="A141" i="3"/>
  <c r="F142" i="3"/>
  <c r="E142" i="3"/>
  <c r="D142" i="3"/>
  <c r="C142" i="3"/>
  <c r="B142" i="3"/>
  <c r="A142" i="3"/>
  <c r="F143" i="3"/>
  <c r="E143" i="3"/>
  <c r="D143" i="3"/>
  <c r="C143" i="3"/>
  <c r="B143" i="3"/>
  <c r="A143" i="3"/>
  <c r="F144" i="3"/>
  <c r="E144" i="3"/>
  <c r="D144" i="3"/>
  <c r="C144" i="3"/>
  <c r="B144" i="3"/>
  <c r="A144" i="3"/>
  <c r="D145" i="3"/>
  <c r="F145" i="3"/>
  <c r="E145" i="3"/>
  <c r="C145" i="3"/>
  <c r="B145" i="3"/>
  <c r="A145" i="3"/>
  <c r="D146" i="3"/>
  <c r="F146" i="3"/>
  <c r="E146" i="3"/>
  <c r="C146" i="3"/>
  <c r="B146" i="3"/>
  <c r="A146" i="3"/>
  <c r="D147" i="3"/>
  <c r="F147" i="3"/>
  <c r="E147" i="3"/>
  <c r="C147" i="3"/>
  <c r="B147" i="3"/>
  <c r="A147" i="3"/>
  <c r="D148" i="3"/>
  <c r="F148" i="3"/>
  <c r="E148" i="3"/>
  <c r="C148" i="3"/>
  <c r="B148" i="3"/>
  <c r="A148" i="3"/>
  <c r="D149" i="3"/>
  <c r="F149" i="3"/>
  <c r="E149" i="3"/>
  <c r="C149" i="3"/>
  <c r="D150" i="3"/>
  <c r="F150" i="3"/>
  <c r="E150" i="3"/>
  <c r="C150" i="3"/>
  <c r="B150" i="3"/>
  <c r="A150" i="3"/>
  <c r="D151" i="3"/>
  <c r="F151" i="3"/>
  <c r="E151" i="3"/>
  <c r="C151" i="3"/>
  <c r="B151" i="3"/>
  <c r="A151" i="3"/>
  <c r="D152" i="3"/>
  <c r="F152" i="3"/>
  <c r="E152" i="3"/>
  <c r="C152" i="3"/>
  <c r="F153" i="3"/>
  <c r="E153" i="3"/>
  <c r="D153" i="3"/>
  <c r="C153" i="3"/>
  <c r="F154" i="3"/>
  <c r="E154" i="3"/>
  <c r="D154" i="3"/>
  <c r="C154" i="3"/>
  <c r="B154" i="3"/>
  <c r="A154" i="3"/>
  <c r="F155" i="3"/>
  <c r="E155" i="3"/>
  <c r="D155" i="3"/>
  <c r="C155" i="3"/>
  <c r="B155" i="3"/>
  <c r="A155" i="3"/>
  <c r="F156" i="3"/>
  <c r="E156" i="3"/>
  <c r="D156" i="3"/>
  <c r="C156" i="3"/>
  <c r="F157" i="3"/>
  <c r="E157" i="3"/>
  <c r="D157" i="3"/>
  <c r="C157" i="3"/>
  <c r="B157" i="3"/>
  <c r="A157" i="3"/>
  <c r="F158" i="3"/>
  <c r="E158" i="3"/>
  <c r="D158" i="3"/>
  <c r="C158" i="3"/>
  <c r="B158" i="3"/>
  <c r="A158" i="3"/>
  <c r="F159" i="3"/>
  <c r="E159" i="3"/>
  <c r="D159" i="3"/>
  <c r="C159" i="3"/>
  <c r="B159" i="3"/>
  <c r="A159" i="3"/>
  <c r="F160" i="3"/>
  <c r="E160" i="3"/>
  <c r="D160" i="3"/>
  <c r="C160" i="3"/>
  <c r="F161" i="3"/>
  <c r="E161" i="3"/>
  <c r="D161" i="3"/>
  <c r="C161" i="3"/>
  <c r="B161" i="3"/>
  <c r="A161" i="3"/>
  <c r="F162" i="3"/>
  <c r="E162" i="3"/>
  <c r="D162" i="3"/>
  <c r="C162" i="3"/>
  <c r="B162" i="3"/>
  <c r="A162" i="3"/>
  <c r="F163" i="3"/>
  <c r="E163" i="3"/>
  <c r="D163" i="3"/>
  <c r="C163" i="3"/>
  <c r="B163" i="3"/>
  <c r="A163" i="3"/>
  <c r="F164" i="3"/>
  <c r="E164" i="3"/>
  <c r="D164" i="3"/>
  <c r="C164" i="3"/>
  <c r="B164" i="3"/>
  <c r="A164" i="3"/>
  <c r="F165" i="3"/>
  <c r="E165" i="3"/>
  <c r="D165" i="3"/>
  <c r="C165" i="3"/>
  <c r="B165" i="3"/>
  <c r="A165" i="3"/>
  <c r="F166" i="3"/>
  <c r="E166" i="3"/>
  <c r="D166" i="3"/>
  <c r="C166" i="3"/>
  <c r="B166" i="3"/>
  <c r="A166" i="3"/>
  <c r="F167" i="3"/>
  <c r="E167" i="3"/>
  <c r="D167" i="3"/>
  <c r="C167" i="3"/>
  <c r="F168" i="3"/>
  <c r="E168" i="3"/>
  <c r="D168" i="3"/>
  <c r="C168" i="3"/>
  <c r="B168" i="3"/>
  <c r="A168" i="3"/>
  <c r="F169" i="3"/>
  <c r="E169" i="3"/>
  <c r="D169" i="3"/>
  <c r="C169" i="3"/>
  <c r="B169" i="3"/>
  <c r="A169" i="3"/>
  <c r="F170" i="3"/>
  <c r="E170" i="3"/>
  <c r="D170" i="3"/>
  <c r="C170" i="3"/>
  <c r="F171" i="3"/>
  <c r="E171" i="3"/>
  <c r="D171" i="3"/>
  <c r="C171" i="3"/>
  <c r="F172" i="3"/>
  <c r="E172" i="3"/>
  <c r="D172" i="3"/>
  <c r="C172" i="3"/>
  <c r="F173" i="3"/>
  <c r="E173" i="3"/>
  <c r="D173" i="3"/>
  <c r="C173" i="3"/>
  <c r="F174" i="3"/>
  <c r="E174" i="3"/>
  <c r="F175" i="3"/>
  <c r="E175" i="3"/>
  <c r="D175" i="3"/>
  <c r="C175" i="3"/>
  <c r="B175" i="3"/>
  <c r="A175" i="3"/>
  <c r="F176" i="3"/>
  <c r="E176" i="3"/>
  <c r="D176" i="3"/>
  <c r="C176" i="3"/>
  <c r="B176" i="3"/>
  <c r="A176" i="3"/>
  <c r="C177" i="3"/>
  <c r="E177" i="3"/>
  <c r="D177" i="3"/>
  <c r="B177" i="3"/>
  <c r="A177" i="3"/>
  <c r="F177" i="3"/>
  <c r="C178" i="3"/>
  <c r="F178" i="3"/>
  <c r="E178" i="3"/>
  <c r="D178" i="3"/>
  <c r="B178" i="3"/>
  <c r="A178" i="3"/>
  <c r="C179" i="3"/>
  <c r="E179" i="3"/>
  <c r="D179" i="3"/>
  <c r="B179" i="3"/>
  <c r="A179" i="3"/>
  <c r="F179" i="3"/>
  <c r="C180" i="3"/>
  <c r="F180" i="3"/>
  <c r="E180" i="3"/>
  <c r="D180" i="3"/>
  <c r="B180" i="3"/>
  <c r="A180" i="3"/>
  <c r="C181" i="3"/>
  <c r="E181" i="3"/>
  <c r="D181" i="3"/>
  <c r="F181" i="3"/>
  <c r="C182" i="3"/>
  <c r="F182" i="3"/>
  <c r="E182" i="3"/>
  <c r="D182" i="3"/>
  <c r="B182" i="3"/>
  <c r="A182" i="3"/>
  <c r="C183" i="3"/>
  <c r="F183" i="3"/>
  <c r="E183" i="3"/>
  <c r="D183" i="3"/>
  <c r="B183" i="3"/>
  <c r="A183" i="3"/>
  <c r="C184" i="3"/>
  <c r="F184" i="3"/>
  <c r="E184" i="3"/>
  <c r="D184" i="3"/>
  <c r="B184" i="3"/>
  <c r="A184" i="3"/>
  <c r="C185" i="3"/>
  <c r="F185" i="3"/>
  <c r="E185" i="3"/>
  <c r="D185" i="3"/>
  <c r="B185" i="3"/>
  <c r="A185" i="3"/>
  <c r="C186" i="3"/>
  <c r="F186" i="3"/>
  <c r="E186" i="3"/>
  <c r="D186" i="3"/>
  <c r="B186" i="3"/>
  <c r="A186" i="3"/>
  <c r="C187" i="3"/>
  <c r="F187" i="3"/>
  <c r="E187" i="3"/>
  <c r="D187" i="3"/>
  <c r="B187" i="3"/>
  <c r="A187" i="3"/>
  <c r="C188" i="3"/>
  <c r="F188" i="3"/>
  <c r="E188" i="3"/>
  <c r="D188" i="3"/>
  <c r="C189" i="3"/>
  <c r="F189" i="3"/>
  <c r="E189" i="3"/>
  <c r="D189" i="3"/>
  <c r="B189" i="3"/>
  <c r="A189" i="3"/>
  <c r="C190" i="3"/>
  <c r="F190" i="3"/>
  <c r="E190" i="3"/>
  <c r="D190" i="3"/>
  <c r="B190" i="3"/>
  <c r="A190" i="3"/>
  <c r="C191" i="3"/>
  <c r="F191" i="3"/>
  <c r="E191" i="3"/>
  <c r="D191" i="3"/>
  <c r="B191" i="3"/>
  <c r="A191" i="3"/>
  <c r="C192" i="3"/>
  <c r="F192" i="3"/>
  <c r="E192" i="3"/>
  <c r="D192" i="3"/>
  <c r="B192" i="3"/>
  <c r="A192" i="3"/>
  <c r="C193" i="3"/>
  <c r="F193" i="3"/>
  <c r="E193" i="3"/>
  <c r="D193" i="3"/>
  <c r="B193" i="3"/>
  <c r="A193" i="3"/>
  <c r="C194" i="3"/>
  <c r="F194" i="3"/>
  <c r="E194" i="3"/>
  <c r="D194" i="3"/>
  <c r="B194" i="3"/>
  <c r="A194" i="3"/>
  <c r="C195" i="3"/>
  <c r="F195" i="3"/>
  <c r="E195" i="3"/>
  <c r="D195" i="3"/>
  <c r="B195" i="3"/>
  <c r="A195" i="3"/>
  <c r="C196" i="3"/>
  <c r="F196" i="3"/>
  <c r="E196" i="3"/>
  <c r="D196" i="3"/>
  <c r="B196" i="3"/>
  <c r="A196" i="3"/>
  <c r="C197" i="3"/>
  <c r="F197" i="3"/>
  <c r="E197" i="3"/>
  <c r="D197" i="3"/>
  <c r="B197" i="3"/>
  <c r="A197" i="3"/>
  <c r="C198" i="3"/>
  <c r="F198" i="3"/>
  <c r="E198" i="3"/>
  <c r="D198" i="3"/>
  <c r="B198" i="3"/>
  <c r="A198" i="3"/>
  <c r="C199" i="3"/>
  <c r="F199" i="3"/>
  <c r="E199" i="3"/>
  <c r="D199" i="3"/>
  <c r="B199" i="3"/>
  <c r="A199" i="3"/>
  <c r="C200" i="3"/>
  <c r="F200" i="3"/>
  <c r="E200" i="3"/>
  <c r="D200" i="3"/>
  <c r="B200" i="3"/>
  <c r="A200" i="3"/>
  <c r="C201" i="3"/>
  <c r="F201" i="3"/>
  <c r="E201" i="3"/>
  <c r="D201" i="3"/>
  <c r="B201" i="3"/>
  <c r="A201" i="3"/>
  <c r="C202" i="3"/>
  <c r="F202" i="3"/>
  <c r="E202" i="3"/>
  <c r="D202" i="3"/>
  <c r="C203" i="3"/>
  <c r="F203" i="3"/>
  <c r="E203" i="3"/>
  <c r="D203" i="3"/>
  <c r="B203" i="3"/>
  <c r="A203" i="3"/>
  <c r="C204" i="3"/>
  <c r="F204" i="3"/>
  <c r="E204" i="3"/>
  <c r="D204" i="3"/>
  <c r="B204" i="3"/>
  <c r="A204" i="3"/>
  <c r="C205" i="3"/>
  <c r="F205" i="3"/>
  <c r="E205" i="3"/>
  <c r="D205" i="3"/>
  <c r="C206" i="3"/>
  <c r="F206" i="3"/>
  <c r="E206" i="3"/>
  <c r="D206" i="3"/>
  <c r="B206" i="3"/>
  <c r="A206" i="3"/>
  <c r="C207" i="3"/>
  <c r="F207" i="3"/>
  <c r="E207" i="3"/>
  <c r="D207" i="3"/>
  <c r="B207" i="3"/>
  <c r="A207" i="3"/>
  <c r="C208" i="3"/>
  <c r="F208" i="3"/>
  <c r="E208" i="3"/>
  <c r="D208" i="3"/>
  <c r="C209" i="3"/>
  <c r="F209" i="3"/>
  <c r="E209" i="3"/>
  <c r="D209" i="3"/>
  <c r="C210" i="3"/>
  <c r="F210" i="3"/>
  <c r="E210" i="3"/>
  <c r="D210" i="3"/>
  <c r="B210" i="3"/>
  <c r="A210" i="3"/>
  <c r="C211" i="3"/>
  <c r="F211" i="3"/>
  <c r="E211" i="3"/>
  <c r="D211" i="3"/>
  <c r="B211" i="3"/>
  <c r="A211" i="3"/>
  <c r="C212" i="3"/>
  <c r="F212" i="3"/>
  <c r="E212" i="3"/>
  <c r="D212" i="3"/>
  <c r="B212" i="3"/>
  <c r="A212" i="3"/>
  <c r="C213" i="3"/>
  <c r="F213" i="3"/>
  <c r="E213" i="3"/>
  <c r="D213" i="3"/>
  <c r="B213" i="3"/>
  <c r="A213" i="3"/>
  <c r="C214" i="3"/>
  <c r="F214" i="3"/>
  <c r="E214" i="3"/>
  <c r="D214" i="3"/>
  <c r="B214" i="3"/>
  <c r="A214" i="3"/>
  <c r="C215" i="3"/>
  <c r="F215" i="3"/>
  <c r="E215" i="3"/>
  <c r="D215" i="3"/>
  <c r="B215" i="3"/>
  <c r="A215" i="3"/>
  <c r="C216" i="3"/>
  <c r="F216" i="3"/>
  <c r="E216" i="3"/>
  <c r="D216" i="3"/>
  <c r="B216" i="3"/>
  <c r="A216" i="3"/>
  <c r="C217" i="3"/>
  <c r="F217" i="3"/>
  <c r="E217" i="3"/>
  <c r="D217" i="3"/>
  <c r="B217" i="3"/>
  <c r="A217" i="3"/>
  <c r="C218" i="3"/>
  <c r="F218" i="3"/>
  <c r="E218" i="3"/>
  <c r="D218" i="3"/>
  <c r="B218" i="3"/>
  <c r="A218" i="3"/>
  <c r="C219" i="3"/>
  <c r="F219" i="3"/>
  <c r="E219" i="3"/>
  <c r="D219" i="3"/>
  <c r="B219" i="3"/>
  <c r="A219" i="3"/>
  <c r="C220" i="3"/>
  <c r="F220" i="3"/>
  <c r="E220" i="3"/>
  <c r="D220" i="3"/>
  <c r="B220" i="3"/>
  <c r="A220" i="3"/>
  <c r="C221" i="3"/>
  <c r="F221" i="3"/>
  <c r="E221" i="3"/>
  <c r="D221" i="3"/>
  <c r="B221" i="3"/>
  <c r="A221" i="3"/>
  <c r="C222" i="3"/>
  <c r="F222" i="3"/>
  <c r="E222" i="3"/>
  <c r="D222" i="3"/>
  <c r="B222" i="3"/>
  <c r="A222" i="3"/>
  <c r="C223" i="3"/>
  <c r="F223" i="3"/>
  <c r="E223" i="3"/>
  <c r="D223" i="3"/>
  <c r="C224" i="3"/>
  <c r="F224" i="3"/>
  <c r="E224" i="3"/>
  <c r="D224" i="3"/>
  <c r="B224" i="3"/>
  <c r="A224" i="3"/>
  <c r="C225" i="3"/>
  <c r="F225" i="3"/>
  <c r="E225" i="3"/>
  <c r="D225" i="3"/>
  <c r="B225" i="3"/>
  <c r="A225" i="3"/>
  <c r="F226" i="3"/>
  <c r="E226" i="3"/>
  <c r="C227" i="3"/>
  <c r="F227" i="3"/>
  <c r="E227" i="3"/>
  <c r="D227" i="3"/>
  <c r="C228" i="3"/>
  <c r="F228" i="3"/>
  <c r="E228" i="3"/>
  <c r="D228" i="3"/>
  <c r="C229" i="3"/>
  <c r="F229" i="3"/>
  <c r="E229" i="3"/>
  <c r="D229" i="3"/>
  <c r="C230" i="3"/>
  <c r="F230" i="3"/>
  <c r="E230" i="3"/>
  <c r="D230" i="3"/>
  <c r="B230" i="3"/>
  <c r="A230" i="3"/>
  <c r="C231" i="3"/>
  <c r="F231" i="3"/>
  <c r="E231" i="3"/>
  <c r="D231" i="3"/>
  <c r="B231" i="3"/>
  <c r="A231" i="3"/>
  <c r="C232" i="3"/>
  <c r="F232" i="3"/>
  <c r="E232" i="3"/>
  <c r="D232" i="3"/>
  <c r="B232" i="3"/>
  <c r="A232" i="3"/>
  <c r="C233" i="3"/>
  <c r="F233" i="3"/>
  <c r="E233" i="3"/>
  <c r="D233" i="3"/>
  <c r="B233" i="3"/>
  <c r="A233" i="3"/>
  <c r="F234" i="3"/>
  <c r="E234" i="3"/>
  <c r="D234" i="3"/>
  <c r="C234" i="3"/>
  <c r="B234" i="3"/>
  <c r="A234" i="3"/>
  <c r="E235" i="3"/>
  <c r="D235" i="3"/>
  <c r="C235" i="3"/>
  <c r="F235" i="3"/>
  <c r="B235" i="3"/>
  <c r="A235" i="3"/>
  <c r="E236" i="3"/>
  <c r="D236" i="3"/>
  <c r="C236" i="3"/>
  <c r="A236" i="3"/>
  <c r="F236" i="3"/>
  <c r="B236" i="3"/>
  <c r="C237" i="3"/>
  <c r="D237" i="3"/>
  <c r="F237" i="3"/>
  <c r="E237" i="3"/>
  <c r="D238" i="3"/>
  <c r="F238" i="3"/>
  <c r="B238" i="3"/>
  <c r="C238" i="3"/>
  <c r="A238" i="3"/>
  <c r="E238" i="3"/>
  <c r="E239" i="3"/>
  <c r="A239" i="3"/>
  <c r="D239" i="3"/>
  <c r="F239" i="3"/>
  <c r="B239" i="3"/>
  <c r="C239" i="3"/>
  <c r="E240" i="3"/>
  <c r="C240" i="3"/>
  <c r="A240" i="3"/>
  <c r="D240" i="3"/>
  <c r="F240" i="3"/>
  <c r="B240" i="3"/>
  <c r="C241" i="3"/>
  <c r="D241" i="3"/>
  <c r="F241" i="3"/>
  <c r="B241" i="3"/>
  <c r="A241" i="3"/>
  <c r="E241" i="3"/>
  <c r="E242" i="3"/>
  <c r="C242" i="3"/>
  <c r="A242" i="3"/>
  <c r="D242" i="3"/>
  <c r="F242" i="3"/>
  <c r="B242" i="3"/>
  <c r="C243" i="3"/>
  <c r="D243" i="3"/>
  <c r="F243" i="3"/>
  <c r="B243" i="3"/>
  <c r="A243" i="3"/>
  <c r="E243" i="3"/>
  <c r="E244" i="3"/>
  <c r="C244" i="3"/>
  <c r="D244" i="3"/>
  <c r="F244" i="3"/>
  <c r="D245" i="3"/>
  <c r="F245" i="3"/>
  <c r="B245" i="3"/>
  <c r="E245" i="3"/>
  <c r="A245" i="3"/>
  <c r="C245" i="3"/>
  <c r="E246" i="3"/>
  <c r="A246" i="3"/>
  <c r="D246" i="3"/>
  <c r="F246" i="3"/>
  <c r="B246" i="3"/>
  <c r="C246" i="3"/>
  <c r="D247" i="3"/>
  <c r="F247" i="3"/>
  <c r="B247" i="3"/>
  <c r="C247" i="3"/>
  <c r="A247" i="3"/>
  <c r="E247" i="3"/>
  <c r="E248" i="3"/>
  <c r="D248" i="3"/>
  <c r="F248" i="3"/>
  <c r="B248" i="3"/>
  <c r="A248" i="3"/>
  <c r="C248" i="3"/>
  <c r="E249" i="3"/>
  <c r="C249" i="3"/>
  <c r="A249" i="3"/>
  <c r="D249" i="3"/>
  <c r="F249" i="3"/>
  <c r="B249" i="3"/>
  <c r="E250" i="3"/>
  <c r="D250" i="3"/>
  <c r="F250" i="3"/>
  <c r="B250" i="3"/>
  <c r="A250" i="3"/>
  <c r="C250" i="3"/>
  <c r="E251" i="3"/>
  <c r="C251" i="3"/>
  <c r="A251" i="3"/>
  <c r="D251" i="3"/>
  <c r="F251" i="3"/>
  <c r="B251" i="3"/>
  <c r="E252" i="3"/>
  <c r="D252" i="3"/>
  <c r="F252" i="3"/>
  <c r="B252" i="3"/>
  <c r="A252" i="3"/>
  <c r="C252" i="3"/>
  <c r="E253" i="3"/>
  <c r="C253" i="3"/>
  <c r="A253" i="3"/>
  <c r="D253" i="3"/>
  <c r="F253" i="3"/>
  <c r="B253" i="3"/>
  <c r="E254" i="3"/>
  <c r="D254" i="3"/>
  <c r="F254" i="3"/>
  <c r="B254" i="3"/>
  <c r="A254" i="3"/>
  <c r="C254" i="3"/>
  <c r="D255" i="3"/>
  <c r="E255" i="3"/>
  <c r="C255" i="3"/>
  <c r="A255" i="3"/>
  <c r="B255" i="3"/>
  <c r="F255" i="3"/>
  <c r="D256" i="3"/>
  <c r="E256" i="3"/>
  <c r="C256" i="3"/>
  <c r="A256" i="3"/>
  <c r="B256" i="3"/>
  <c r="F256" i="3"/>
  <c r="D257" i="3"/>
  <c r="E257" i="3"/>
  <c r="C257" i="3"/>
  <c r="A257" i="3"/>
  <c r="B257" i="3"/>
  <c r="F257" i="3"/>
  <c r="D258" i="3"/>
  <c r="E258" i="3"/>
  <c r="C258" i="3"/>
  <c r="A258" i="3"/>
  <c r="B258" i="3"/>
  <c r="F258" i="3"/>
  <c r="D259" i="3"/>
  <c r="E259" i="3"/>
  <c r="A259" i="3"/>
  <c r="B259" i="3"/>
  <c r="F259" i="3"/>
  <c r="C259" i="3"/>
  <c r="D260" i="3"/>
  <c r="E260" i="3"/>
  <c r="A260" i="3"/>
  <c r="B260" i="3"/>
  <c r="F260" i="3"/>
  <c r="C260" i="3"/>
  <c r="D261" i="3"/>
  <c r="E261" i="3"/>
  <c r="A261" i="3"/>
  <c r="B261" i="3"/>
  <c r="F261" i="3"/>
  <c r="C261" i="3"/>
  <c r="F262" i="3"/>
  <c r="E262" i="3"/>
  <c r="D262" i="3"/>
  <c r="C262" i="3"/>
  <c r="B262" i="3"/>
  <c r="A262" i="3"/>
  <c r="F263" i="3"/>
  <c r="E263" i="3"/>
  <c r="D263" i="3"/>
  <c r="C263" i="3"/>
  <c r="B263" i="3"/>
  <c r="A263" i="3"/>
  <c r="F264" i="3"/>
  <c r="E264" i="3"/>
  <c r="D264" i="3"/>
  <c r="C264" i="3"/>
  <c r="B264" i="3"/>
  <c r="A264" i="3"/>
  <c r="F265" i="3"/>
  <c r="E265" i="3"/>
  <c r="D265" i="3"/>
  <c r="C265" i="3"/>
  <c r="B265" i="3"/>
  <c r="A265" i="3"/>
  <c r="F266" i="3"/>
  <c r="E266" i="3"/>
  <c r="D266" i="3"/>
  <c r="C266" i="3"/>
  <c r="B266" i="3"/>
  <c r="A266" i="3"/>
  <c r="F267" i="3"/>
  <c r="E267" i="3"/>
  <c r="D267" i="3"/>
  <c r="C267" i="3"/>
  <c r="B267" i="3"/>
  <c r="A267" i="3"/>
  <c r="F268" i="3"/>
  <c r="E268" i="3"/>
  <c r="D268" i="3"/>
  <c r="C268" i="3"/>
  <c r="B268" i="3"/>
  <c r="A268" i="3"/>
  <c r="F269" i="3"/>
  <c r="E269" i="3"/>
  <c r="D269" i="3"/>
  <c r="C269" i="3"/>
  <c r="B269" i="3"/>
  <c r="A269" i="3"/>
  <c r="F270" i="3"/>
  <c r="E270" i="3"/>
  <c r="D270" i="3"/>
  <c r="C270" i="3"/>
  <c r="B270" i="3"/>
  <c r="A270" i="3"/>
  <c r="F271" i="3"/>
  <c r="E271" i="3"/>
  <c r="D271" i="3"/>
  <c r="C271" i="3"/>
  <c r="B271" i="3"/>
  <c r="A271" i="3"/>
  <c r="F272" i="3"/>
  <c r="E272" i="3"/>
  <c r="D272" i="3"/>
  <c r="C272" i="3"/>
  <c r="B272" i="3"/>
  <c r="A272" i="3"/>
  <c r="F273" i="3"/>
  <c r="E273" i="3"/>
  <c r="D273" i="3"/>
  <c r="C273" i="3"/>
  <c r="B273" i="3"/>
  <c r="A273" i="3"/>
  <c r="F274" i="3"/>
  <c r="E274" i="3"/>
  <c r="D274" i="3"/>
  <c r="C274" i="3"/>
  <c r="B274" i="3"/>
  <c r="A274" i="3"/>
  <c r="F275" i="3"/>
  <c r="E275" i="3"/>
  <c r="D275" i="3"/>
  <c r="C275" i="3"/>
  <c r="B275" i="3"/>
  <c r="A275" i="3"/>
  <c r="F276" i="3"/>
  <c r="E276" i="3"/>
  <c r="D276" i="3"/>
  <c r="C276" i="3"/>
  <c r="B276" i="3"/>
  <c r="A276" i="3"/>
  <c r="F277" i="3"/>
  <c r="E277" i="3"/>
  <c r="D277" i="3"/>
  <c r="C277" i="3"/>
  <c r="B277" i="3"/>
  <c r="A277" i="3"/>
  <c r="F278" i="3"/>
  <c r="E278" i="3"/>
  <c r="D278" i="3"/>
  <c r="C278" i="3"/>
  <c r="B278" i="3"/>
  <c r="A278" i="3"/>
  <c r="F279" i="3"/>
  <c r="E279" i="3"/>
  <c r="D279" i="3"/>
  <c r="C279" i="3"/>
  <c r="B279" i="3"/>
  <c r="A279" i="3"/>
  <c r="F280" i="3"/>
  <c r="E280" i="3"/>
  <c r="D280" i="3"/>
  <c r="C280" i="3"/>
  <c r="B280" i="3"/>
  <c r="A280" i="3"/>
  <c r="F281" i="3"/>
  <c r="E281" i="3"/>
  <c r="D281" i="3"/>
  <c r="C281" i="3"/>
  <c r="B281" i="3"/>
  <c r="A281" i="3"/>
  <c r="F282" i="3"/>
  <c r="E282" i="3"/>
  <c r="D282" i="3"/>
  <c r="C282" i="3"/>
  <c r="B282" i="3"/>
  <c r="A282" i="3"/>
  <c r="F283" i="3"/>
  <c r="E283" i="3"/>
  <c r="D283" i="3"/>
  <c r="C283" i="3"/>
  <c r="B283" i="3"/>
  <c r="A283" i="3"/>
  <c r="F284" i="3"/>
  <c r="E284" i="3"/>
  <c r="D284" i="3"/>
  <c r="C284" i="3"/>
  <c r="B284" i="3"/>
  <c r="A284" i="3"/>
  <c r="F285" i="3"/>
  <c r="E285" i="3"/>
  <c r="D285" i="3"/>
  <c r="C285" i="3"/>
  <c r="B285" i="3"/>
  <c r="A285" i="3"/>
  <c r="F286" i="3"/>
  <c r="E286" i="3"/>
  <c r="D286" i="3"/>
  <c r="C286" i="3"/>
  <c r="F287" i="3"/>
  <c r="E287" i="3"/>
  <c r="D287" i="3"/>
  <c r="C287" i="3"/>
  <c r="B287" i="3"/>
  <c r="A287" i="3"/>
  <c r="F288" i="3"/>
  <c r="E288" i="3"/>
  <c r="D288" i="3"/>
  <c r="C288" i="3"/>
  <c r="B288" i="3"/>
  <c r="A288" i="3"/>
  <c r="F289" i="3"/>
  <c r="E289" i="3"/>
  <c r="D289" i="3"/>
  <c r="C289" i="3"/>
  <c r="B289" i="3"/>
  <c r="A289" i="3"/>
  <c r="F290" i="3"/>
  <c r="E290" i="3"/>
  <c r="D290" i="3"/>
  <c r="C290" i="3"/>
  <c r="B290" i="3"/>
  <c r="A290" i="3"/>
  <c r="F291" i="3"/>
  <c r="E291" i="3"/>
  <c r="D291" i="3"/>
  <c r="C291" i="3"/>
  <c r="B291" i="3"/>
  <c r="A291" i="3"/>
  <c r="F292" i="3"/>
  <c r="E292" i="3"/>
  <c r="D292" i="3"/>
  <c r="C292" i="3"/>
  <c r="B292" i="3"/>
  <c r="A292" i="3"/>
  <c r="F293" i="3"/>
  <c r="E293" i="3"/>
  <c r="D293" i="3"/>
  <c r="C293" i="3"/>
  <c r="F294" i="3"/>
  <c r="E294" i="3"/>
  <c r="D294" i="3"/>
  <c r="C294" i="3"/>
  <c r="B294" i="3"/>
  <c r="A294" i="3"/>
  <c r="F295" i="3"/>
  <c r="E295" i="3"/>
  <c r="D295" i="3"/>
  <c r="C295" i="3"/>
  <c r="B295" i="3"/>
  <c r="A295" i="3"/>
  <c r="F296" i="3"/>
  <c r="E296" i="3"/>
  <c r="D296" i="3"/>
  <c r="C296" i="3"/>
  <c r="B296" i="3"/>
  <c r="A296" i="3"/>
  <c r="F297" i="3"/>
  <c r="E297" i="3"/>
  <c r="D297" i="3"/>
  <c r="C297" i="3"/>
  <c r="B297" i="3"/>
  <c r="A297" i="3"/>
  <c r="F298" i="3"/>
  <c r="E298" i="3"/>
  <c r="D298" i="3"/>
  <c r="C298" i="3"/>
  <c r="B298" i="3"/>
  <c r="A298" i="3"/>
  <c r="F299" i="3"/>
  <c r="E299" i="3"/>
  <c r="D299" i="3"/>
  <c r="C299" i="3"/>
  <c r="B299" i="3"/>
  <c r="A299" i="3"/>
  <c r="F300" i="3"/>
  <c r="E300" i="3"/>
  <c r="D300" i="3"/>
  <c r="C300" i="3"/>
  <c r="F301" i="3"/>
  <c r="E301" i="3"/>
  <c r="D301" i="3"/>
  <c r="C301" i="3"/>
  <c r="B301" i="3"/>
  <c r="A301" i="3"/>
  <c r="F302" i="3"/>
  <c r="E302" i="3"/>
  <c r="D302" i="3"/>
  <c r="C302" i="3"/>
  <c r="B302" i="3"/>
  <c r="A302" i="3"/>
  <c r="F303" i="3"/>
  <c r="E303" i="3"/>
  <c r="D303" i="3"/>
  <c r="C303" i="3"/>
  <c r="F304" i="3"/>
  <c r="E304" i="3"/>
  <c r="D304" i="3"/>
  <c r="C304" i="3"/>
  <c r="F305" i="3"/>
  <c r="E305" i="3"/>
  <c r="D305" i="3"/>
  <c r="C305" i="3"/>
  <c r="F306" i="3"/>
  <c r="E306" i="3"/>
  <c r="D306" i="3"/>
  <c r="C306" i="3"/>
  <c r="F307" i="3"/>
  <c r="E307" i="3"/>
  <c r="D307" i="3"/>
  <c r="C307" i="3"/>
  <c r="F308" i="3"/>
  <c r="E308" i="3"/>
  <c r="D308" i="3"/>
  <c r="C308" i="3"/>
  <c r="B308" i="3"/>
  <c r="A308" i="3"/>
  <c r="F309" i="3"/>
  <c r="E309" i="3"/>
  <c r="D309" i="3"/>
  <c r="C309" i="3"/>
  <c r="B309" i="3"/>
  <c r="A309" i="3"/>
  <c r="F310" i="3"/>
  <c r="E310" i="3"/>
  <c r="D310" i="3"/>
  <c r="C310" i="3"/>
  <c r="F311" i="3"/>
  <c r="E311" i="3"/>
  <c r="D311" i="3"/>
  <c r="C311" i="3"/>
  <c r="B311" i="3"/>
  <c r="A311" i="3"/>
  <c r="F312" i="3"/>
  <c r="E312" i="3"/>
  <c r="D312" i="3"/>
  <c r="C312" i="3"/>
  <c r="B312" i="3"/>
  <c r="A312" i="3"/>
  <c r="F313" i="3"/>
  <c r="E313" i="3"/>
  <c r="D313" i="3"/>
  <c r="C313" i="3"/>
  <c r="B313" i="3"/>
  <c r="A313" i="3"/>
  <c r="F314" i="3"/>
  <c r="E314" i="3"/>
  <c r="D314" i="3"/>
  <c r="C314" i="3"/>
  <c r="B314" i="3"/>
  <c r="A314" i="3"/>
  <c r="F315" i="3"/>
  <c r="E315" i="3"/>
  <c r="D315" i="3"/>
  <c r="C315" i="3"/>
  <c r="F316" i="3"/>
  <c r="E316" i="3"/>
  <c r="D316" i="3"/>
  <c r="C316" i="3"/>
  <c r="B316" i="3"/>
  <c r="A316" i="3"/>
  <c r="F317" i="3"/>
  <c r="E317" i="3"/>
  <c r="D317" i="3"/>
  <c r="C317" i="3"/>
  <c r="B317" i="3"/>
  <c r="A317" i="3"/>
  <c r="F318" i="3"/>
  <c r="E318" i="3"/>
  <c r="D318" i="3"/>
  <c r="C318" i="3"/>
  <c r="B318" i="3"/>
  <c r="A318" i="3"/>
  <c r="F319" i="3"/>
  <c r="E319" i="3"/>
  <c r="D319" i="3"/>
  <c r="C319" i="3"/>
  <c r="B319" i="3"/>
  <c r="A319" i="3"/>
  <c r="E320" i="3"/>
  <c r="F320" i="3"/>
  <c r="D320" i="3"/>
  <c r="C320" i="3"/>
  <c r="C321" i="3"/>
  <c r="E321" i="3"/>
  <c r="D321" i="3"/>
  <c r="B321" i="3"/>
  <c r="A321" i="3"/>
  <c r="F321" i="3"/>
  <c r="C322" i="3"/>
  <c r="E322" i="3"/>
  <c r="D322" i="3"/>
  <c r="B322" i="3"/>
  <c r="A322" i="3"/>
  <c r="F322" i="3"/>
  <c r="C323" i="3"/>
  <c r="E323" i="3"/>
  <c r="D323" i="3"/>
  <c r="F323" i="3"/>
  <c r="C324" i="3"/>
  <c r="E324" i="3"/>
  <c r="D324" i="3"/>
  <c r="F324" i="3"/>
  <c r="A325" i="3"/>
  <c r="D325" i="3"/>
  <c r="C325" i="3"/>
  <c r="F325" i="3"/>
  <c r="B325" i="3"/>
  <c r="E325" i="3"/>
  <c r="F326" i="1"/>
  <c r="F327" i="1"/>
  <c r="F323" i="1"/>
  <c r="F325" i="1"/>
  <c r="F322" i="1"/>
  <c r="Z53" i="3"/>
  <c r="AR90" i="3"/>
  <c r="AQ90" i="3"/>
  <c r="AE100" i="3"/>
  <c r="AR319" i="3"/>
  <c r="AQ319" i="3"/>
  <c r="F221" i="1" l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J333" i="1"/>
  <c r="H329" i="1"/>
  <c r="G328" i="1"/>
  <c r="I330" i="1"/>
  <c r="I331" i="1"/>
  <c r="G333" i="1"/>
  <c r="J328" i="1"/>
  <c r="E333" i="1"/>
  <c r="D333" i="1"/>
  <c r="D331" i="1"/>
  <c r="D329" i="1"/>
  <c r="K334" i="1"/>
  <c r="K332" i="1"/>
  <c r="K330" i="1"/>
  <c r="K328" i="1"/>
  <c r="J335" i="1"/>
  <c r="I328" i="1"/>
  <c r="H335" i="1"/>
  <c r="J330" i="1"/>
  <c r="I334" i="1"/>
  <c r="J331" i="1"/>
  <c r="D328" i="1"/>
  <c r="D335" i="1"/>
  <c r="D330" i="1"/>
  <c r="G335" i="1"/>
  <c r="G329" i="1"/>
  <c r="G331" i="1"/>
  <c r="I329" i="1"/>
  <c r="I335" i="1"/>
  <c r="G330" i="1"/>
  <c r="H330" i="1"/>
  <c r="I333" i="1"/>
  <c r="G332" i="1"/>
  <c r="H328" i="1"/>
  <c r="E330" i="1"/>
  <c r="E329" i="1"/>
  <c r="J332" i="1"/>
  <c r="H334" i="1"/>
  <c r="J334" i="1"/>
  <c r="D334" i="1"/>
  <c r="H331" i="1"/>
  <c r="H332" i="1"/>
  <c r="I332" i="1"/>
  <c r="G334" i="1"/>
  <c r="J329" i="1"/>
  <c r="D332" i="1"/>
  <c r="K335" i="1"/>
  <c r="K333" i="1"/>
  <c r="K331" i="1"/>
  <c r="K329" i="1"/>
  <c r="H333" i="1"/>
  <c r="E328" i="1"/>
  <c r="J87" i="1"/>
  <c r="J205" i="1"/>
  <c r="J19" i="1"/>
  <c r="J54" i="1"/>
  <c r="J70" i="1"/>
  <c r="J267" i="1"/>
  <c r="J303" i="1"/>
  <c r="J120" i="1"/>
  <c r="J29" i="1"/>
  <c r="J75" i="1"/>
  <c r="J88" i="1"/>
  <c r="J250" i="1"/>
  <c r="E18" i="1"/>
  <c r="E325" i="1"/>
  <c r="J64" i="1"/>
  <c r="J112" i="1"/>
  <c r="J325" i="1"/>
  <c r="J25" i="1"/>
  <c r="J60" i="1"/>
  <c r="J193" i="1"/>
  <c r="J156" i="1"/>
  <c r="J137" i="1"/>
  <c r="J309" i="1"/>
  <c r="J264" i="1"/>
  <c r="J162" i="1"/>
  <c r="J32" i="1"/>
  <c r="J283" i="1"/>
  <c r="J215" i="1"/>
  <c r="J163" i="1"/>
  <c r="J186" i="1"/>
  <c r="J252" i="1"/>
  <c r="J208" i="1"/>
  <c r="J171" i="1"/>
  <c r="J84" i="1"/>
  <c r="J78" i="1"/>
  <c r="J190" i="1"/>
  <c r="J263" i="1"/>
  <c r="J43" i="1"/>
  <c r="J35" i="1"/>
  <c r="J249" i="1"/>
  <c r="J170" i="1"/>
  <c r="J22" i="1"/>
  <c r="J298" i="1"/>
  <c r="J243" i="1"/>
  <c r="J195" i="1"/>
  <c r="J235" i="1"/>
  <c r="J204" i="1"/>
  <c r="J187" i="1"/>
  <c r="J313" i="1"/>
  <c r="J132" i="1"/>
  <c r="J61" i="1"/>
  <c r="J34" i="1"/>
  <c r="J157" i="1"/>
  <c r="J145" i="1"/>
  <c r="J127" i="1"/>
  <c r="J37" i="1"/>
  <c r="J24" i="1"/>
  <c r="J261" i="1"/>
  <c r="J138" i="1"/>
  <c r="J47" i="1"/>
  <c r="J126" i="1"/>
  <c r="J8" i="1"/>
  <c r="J197" i="1"/>
  <c r="J165" i="1"/>
  <c r="J155" i="1"/>
  <c r="J258" i="1"/>
  <c r="J74" i="1"/>
  <c r="J218" i="1"/>
  <c r="J136" i="1"/>
  <c r="J317" i="1"/>
  <c r="J93" i="1"/>
  <c r="J7" i="1"/>
  <c r="J302" i="1"/>
  <c r="J161" i="1"/>
  <c r="J254" i="1"/>
  <c r="J180" i="1"/>
  <c r="J224" i="1"/>
  <c r="J232" i="1"/>
  <c r="J326" i="1"/>
  <c r="J256" i="1"/>
  <c r="J199" i="1"/>
  <c r="J169" i="1"/>
  <c r="J310" i="1"/>
  <c r="J288" i="1"/>
  <c r="J173" i="1"/>
  <c r="J207" i="1"/>
  <c r="J179" i="1"/>
  <c r="J280" i="1"/>
  <c r="J89" i="1"/>
  <c r="J272" i="1"/>
  <c r="J10" i="1"/>
  <c r="J53" i="1"/>
  <c r="J79" i="1"/>
  <c r="J229" i="1"/>
  <c r="J128" i="1"/>
  <c r="J130" i="1"/>
  <c r="J290" i="1"/>
  <c r="J219" i="1"/>
  <c r="J105" i="1"/>
  <c r="J200" i="1"/>
  <c r="J140" i="1"/>
  <c r="J147" i="1"/>
  <c r="J212" i="1"/>
  <c r="J278" i="1"/>
  <c r="J121" i="1"/>
  <c r="I325" i="1"/>
  <c r="E268" i="1"/>
  <c r="E57" i="1"/>
  <c r="E271" i="1"/>
  <c r="E182" i="1"/>
  <c r="E72" i="1"/>
  <c r="E192" i="1"/>
  <c r="E95" i="1"/>
  <c r="E37" i="1"/>
  <c r="J247" i="1"/>
  <c r="J226" i="1"/>
  <c r="J177" i="1"/>
  <c r="J91" i="1"/>
  <c r="J281" i="1"/>
  <c r="J271" i="1"/>
  <c r="J227" i="1"/>
  <c r="J191" i="1"/>
  <c r="J175" i="1"/>
  <c r="J131" i="1"/>
  <c r="J46" i="1"/>
  <c r="J129" i="1"/>
  <c r="J242" i="1"/>
  <c r="J320" i="1"/>
  <c r="J295" i="1"/>
  <c r="J246" i="1"/>
  <c r="J65" i="1"/>
  <c r="J12" i="1"/>
  <c r="J142" i="1"/>
  <c r="J234" i="1"/>
  <c r="J86" i="1"/>
  <c r="J9" i="1"/>
  <c r="J196" i="1"/>
  <c r="J184" i="1"/>
  <c r="J158" i="1"/>
  <c r="J289" i="1"/>
  <c r="J238" i="1"/>
  <c r="J148" i="1"/>
  <c r="J268" i="1"/>
  <c r="J259" i="1"/>
  <c r="J192" i="1"/>
  <c r="J115" i="1"/>
  <c r="J26" i="1"/>
  <c r="J71" i="1"/>
  <c r="J323" i="1"/>
  <c r="J308" i="1"/>
  <c r="J255" i="1"/>
  <c r="J214" i="1"/>
  <c r="J276" i="1"/>
  <c r="J122" i="1"/>
  <c r="J101" i="1"/>
  <c r="J80" i="1"/>
  <c r="J292" i="1"/>
  <c r="J185" i="1"/>
  <c r="J113" i="1"/>
  <c r="J253" i="1"/>
  <c r="J233" i="1"/>
  <c r="J92" i="1"/>
  <c r="J124" i="1"/>
  <c r="J63" i="1"/>
  <c r="J68" i="1"/>
  <c r="J3" i="1"/>
  <c r="J305" i="1"/>
  <c r="J277" i="1"/>
  <c r="J240" i="1"/>
  <c r="J274" i="1"/>
  <c r="J189" i="1"/>
  <c r="J119" i="1"/>
  <c r="J67" i="1"/>
  <c r="J135" i="1"/>
  <c r="J110" i="1"/>
  <c r="J123" i="1"/>
  <c r="E327" i="1"/>
  <c r="E234" i="1"/>
  <c r="E107" i="1"/>
  <c r="J314" i="1"/>
  <c r="J269" i="1"/>
  <c r="J201" i="1"/>
  <c r="J236" i="1"/>
  <c r="J211" i="1"/>
  <c r="J306" i="1"/>
  <c r="J245" i="1"/>
  <c r="J103" i="1"/>
  <c r="J33" i="1"/>
  <c r="J17" i="1"/>
  <c r="J100" i="1"/>
  <c r="J14" i="1"/>
  <c r="J23" i="1"/>
  <c r="J312" i="1"/>
  <c r="J299" i="1"/>
  <c r="J296" i="1"/>
  <c r="J40" i="1"/>
  <c r="J270" i="1"/>
  <c r="J239" i="1"/>
  <c r="J73" i="1"/>
  <c r="J44" i="1"/>
  <c r="J51" i="1"/>
  <c r="J116" i="1"/>
  <c r="J69" i="1"/>
  <c r="J133" i="1"/>
  <c r="J39" i="1"/>
  <c r="J297" i="1"/>
  <c r="J282" i="1"/>
  <c r="J102" i="1"/>
  <c r="J166" i="1"/>
  <c r="J266" i="1"/>
  <c r="J176" i="1"/>
  <c r="J151" i="1"/>
  <c r="J210" i="1"/>
  <c r="J139" i="1"/>
  <c r="J59" i="1"/>
  <c r="J5" i="1"/>
  <c r="J52" i="1"/>
  <c r="J58" i="1"/>
  <c r="J45" i="1"/>
  <c r="J228" i="1"/>
  <c r="J134" i="1"/>
  <c r="J114" i="1"/>
  <c r="J284" i="1"/>
  <c r="J31" i="1"/>
  <c r="J164" i="1"/>
  <c r="J198" i="1"/>
  <c r="J257" i="1"/>
  <c r="J225" i="1"/>
  <c r="J141" i="1"/>
  <c r="J82" i="1"/>
  <c r="E64" i="1"/>
  <c r="J291" i="1"/>
  <c r="J150" i="1"/>
  <c r="J81" i="1"/>
  <c r="J301" i="1"/>
  <c r="J152" i="1"/>
  <c r="J159" i="1"/>
  <c r="J194" i="1"/>
  <c r="J275" i="1"/>
  <c r="J11" i="1"/>
  <c r="J66" i="1"/>
  <c r="J36" i="1"/>
  <c r="J108" i="1"/>
  <c r="J16" i="1"/>
  <c r="J15" i="1"/>
  <c r="J144" i="1"/>
  <c r="J206" i="1"/>
  <c r="J57" i="1"/>
  <c r="J30" i="1"/>
  <c r="J72" i="1"/>
  <c r="J327" i="1"/>
  <c r="J287" i="1"/>
  <c r="J262" i="1"/>
  <c r="J172" i="1"/>
  <c r="J143" i="1"/>
  <c r="J117" i="1"/>
  <c r="J315" i="1"/>
  <c r="J154" i="1"/>
  <c r="J213" i="1"/>
  <c r="J149" i="1"/>
  <c r="J77" i="1"/>
  <c r="J85" i="1"/>
  <c r="J285" i="1"/>
  <c r="J38" i="1"/>
  <c r="J231" i="1"/>
  <c r="J21" i="1"/>
  <c r="J28" i="1"/>
  <c r="J178" i="1"/>
  <c r="J304" i="1"/>
  <c r="J273" i="1"/>
  <c r="J251" i="1"/>
  <c r="J260" i="1"/>
  <c r="J183" i="1"/>
  <c r="J248" i="1"/>
  <c r="J107" i="1"/>
  <c r="E260" i="1"/>
  <c r="E267" i="1"/>
  <c r="E199" i="1"/>
  <c r="E255" i="1"/>
  <c r="E212" i="1"/>
  <c r="E194" i="1"/>
  <c r="E236" i="1"/>
  <c r="E208" i="1"/>
  <c r="E44" i="1"/>
  <c r="E53" i="1"/>
  <c r="E70" i="1"/>
  <c r="E250" i="1"/>
  <c r="E289" i="1"/>
  <c r="E127" i="1"/>
  <c r="E130" i="1"/>
  <c r="E128" i="1"/>
  <c r="E148" i="1"/>
  <c r="E36" i="1"/>
  <c r="E292" i="1"/>
  <c r="E200" i="1"/>
  <c r="E313" i="1"/>
  <c r="E279" i="1"/>
  <c r="E241" i="1"/>
  <c r="E261" i="1"/>
  <c r="E232" i="1"/>
  <c r="E184" i="1"/>
  <c r="E112" i="1"/>
  <c r="E77" i="1"/>
  <c r="E315" i="1"/>
  <c r="E278" i="1"/>
  <c r="E215" i="1"/>
  <c r="E98" i="1"/>
  <c r="E275" i="1"/>
  <c r="E74" i="1"/>
  <c r="E224" i="1"/>
  <c r="E165" i="1"/>
  <c r="E86" i="1"/>
  <c r="E301" i="1"/>
  <c r="E3" i="1"/>
  <c r="E52" i="1"/>
  <c r="E323" i="1"/>
  <c r="E243" i="1"/>
  <c r="E233" i="1"/>
  <c r="E56" i="1"/>
  <c r="E22" i="1"/>
  <c r="E10" i="1"/>
  <c r="E48" i="1"/>
  <c r="E46" i="1"/>
  <c r="E68" i="1"/>
  <c r="E6" i="1"/>
  <c r="E161" i="1"/>
  <c r="E246" i="1"/>
  <c r="E17" i="1"/>
  <c r="E218" i="1"/>
  <c r="E254" i="1"/>
  <c r="E61" i="1"/>
  <c r="E40" i="1"/>
  <c r="E28" i="1"/>
  <c r="E23" i="1"/>
  <c r="E205" i="1"/>
  <c r="E65" i="1"/>
  <c r="E318" i="1"/>
  <c r="E26" i="1"/>
  <c r="E117" i="1"/>
  <c r="E258" i="1"/>
  <c r="E63" i="1"/>
  <c r="E78" i="1"/>
  <c r="E180" i="1"/>
  <c r="E197" i="1"/>
  <c r="E314" i="1"/>
  <c r="E155" i="1"/>
  <c r="E169" i="1"/>
  <c r="E319" i="1"/>
  <c r="E264" i="1"/>
  <c r="E103" i="1"/>
  <c r="E59" i="1"/>
  <c r="E27" i="1"/>
  <c r="E122" i="1"/>
  <c r="E8" i="1"/>
  <c r="E195" i="1"/>
  <c r="E256" i="1"/>
  <c r="E320" i="1"/>
  <c r="E139" i="1"/>
  <c r="E121" i="1"/>
  <c r="E30" i="1"/>
  <c r="E29" i="1"/>
  <c r="E135" i="1"/>
  <c r="E249" i="1"/>
  <c r="E158" i="1"/>
  <c r="E106" i="1"/>
  <c r="E47" i="1"/>
  <c r="E132" i="1"/>
  <c r="E251" i="1"/>
  <c r="E189" i="1"/>
  <c r="E259" i="1"/>
  <c r="E91" i="1"/>
  <c r="E79" i="1"/>
  <c r="E131" i="1"/>
  <c r="E20" i="1"/>
  <c r="E105" i="1"/>
  <c r="E217" i="1"/>
  <c r="E93" i="1"/>
  <c r="E312" i="1"/>
  <c r="E149" i="1"/>
  <c r="E120" i="1"/>
  <c r="E283" i="1"/>
  <c r="E273" i="1"/>
  <c r="E97" i="1"/>
  <c r="E119" i="1"/>
  <c r="E89" i="1"/>
  <c r="E45" i="1"/>
  <c r="E19" i="1"/>
  <c r="E193" i="1"/>
  <c r="E266" i="1"/>
  <c r="E247" i="1"/>
  <c r="E159" i="1"/>
  <c r="E100" i="1"/>
  <c r="E166" i="1"/>
  <c r="E15" i="1"/>
  <c r="E231" i="1"/>
  <c r="E281" i="1"/>
  <c r="E294" i="1"/>
  <c r="E270" i="1"/>
  <c r="E253" i="1"/>
  <c r="E114" i="1"/>
  <c r="E252" i="1"/>
  <c r="E203" i="1"/>
  <c r="E69" i="1"/>
  <c r="E31" i="1"/>
  <c r="E274" i="1"/>
  <c r="E7" i="1"/>
  <c r="E142" i="1"/>
  <c r="E150" i="1"/>
  <c r="E151" i="1"/>
  <c r="E113" i="1"/>
  <c r="E310" i="1"/>
  <c r="E276" i="1"/>
  <c r="E51" i="1"/>
  <c r="E317" i="1"/>
  <c r="E282" i="1"/>
  <c r="E269" i="1"/>
  <c r="E210" i="1"/>
  <c r="E191" i="1"/>
  <c r="E211" i="1"/>
  <c r="E168" i="1"/>
  <c r="E137" i="1"/>
  <c r="E92" i="1"/>
  <c r="E257" i="1"/>
  <c r="E198" i="1"/>
  <c r="E322" i="1"/>
  <c r="E226" i="1"/>
  <c r="E138" i="1"/>
  <c r="E104" i="1"/>
  <c r="E66" i="1"/>
  <c r="E204" i="1"/>
  <c r="E196" i="1"/>
  <c r="E108" i="1"/>
  <c r="E13" i="1"/>
  <c r="E290" i="1"/>
  <c r="E75" i="1"/>
  <c r="E60" i="1"/>
  <c r="E14" i="1"/>
  <c r="E34" i="1"/>
  <c r="E12" i="1"/>
  <c r="E277" i="1"/>
  <c r="E221" i="1"/>
  <c r="E177" i="1"/>
  <c r="E115" i="1"/>
  <c r="E96" i="1"/>
  <c r="E162" i="1"/>
  <c r="E286" i="1"/>
  <c r="E133" i="1"/>
  <c r="E239" i="1"/>
  <c r="E225" i="1"/>
  <c r="E73" i="1"/>
  <c r="E24" i="1"/>
  <c r="E67" i="1"/>
  <c r="E187" i="1"/>
  <c r="E58" i="1"/>
  <c r="E285" i="1"/>
  <c r="E118" i="1"/>
  <c r="E262" i="1"/>
  <c r="E213" i="1"/>
  <c r="E185" i="1"/>
  <c r="E309" i="1"/>
  <c r="E206" i="1"/>
  <c r="E170" i="1"/>
  <c r="E141" i="1"/>
  <c r="E38" i="1"/>
  <c r="E263" i="1"/>
  <c r="E143" i="1"/>
  <c r="E145" i="1"/>
  <c r="E216" i="1"/>
  <c r="E152" i="1"/>
  <c r="E140" i="1"/>
  <c r="E295" i="1"/>
  <c r="E296" i="1"/>
  <c r="E109" i="1"/>
  <c r="E16" i="1"/>
  <c r="E99" i="1"/>
  <c r="E21" i="1"/>
  <c r="E288" i="1"/>
  <c r="E248" i="1"/>
  <c r="E186" i="1"/>
  <c r="E157" i="1"/>
  <c r="E190" i="1"/>
  <c r="E156" i="1"/>
  <c r="E94" i="1"/>
  <c r="E11" i="1"/>
  <c r="E147" i="1"/>
  <c r="E49" i="1"/>
  <c r="E50" i="1"/>
  <c r="E303" i="1"/>
  <c r="E287" i="1"/>
  <c r="E163" i="1"/>
  <c r="E85" i="1"/>
  <c r="E33" i="1"/>
  <c r="E43" i="1"/>
  <c r="E84" i="1"/>
  <c r="E9" i="1"/>
  <c r="E5" i="1"/>
  <c r="E123" i="1"/>
  <c r="E223" i="1"/>
  <c r="E238" i="1"/>
  <c r="E201" i="1"/>
  <c r="E129" i="1"/>
  <c r="E32" i="1"/>
  <c r="E219" i="1"/>
  <c r="E82" i="1"/>
  <c r="E297" i="1"/>
  <c r="E299" i="1"/>
  <c r="E39" i="1"/>
  <c r="E25" i="1"/>
  <c r="E302" i="1"/>
  <c r="E110" i="1"/>
  <c r="E272" i="1"/>
  <c r="E245" i="1"/>
  <c r="E220" i="1"/>
  <c r="E136" i="1"/>
  <c r="E280" i="1"/>
  <c r="E35" i="1"/>
  <c r="E4" i="1"/>
  <c r="E154" i="1"/>
  <c r="E144" i="1"/>
  <c r="E134" i="1"/>
  <c r="E71" i="1"/>
  <c r="E183" i="1"/>
  <c r="E176" i="1"/>
  <c r="E240" i="1"/>
  <c r="E101" i="1"/>
  <c r="E54" i="1"/>
  <c r="E164" i="1"/>
  <c r="H19" i="1"/>
  <c r="G45" i="1"/>
  <c r="H323" i="1"/>
  <c r="H272" i="1"/>
  <c r="F258" i="1"/>
  <c r="G148" i="1"/>
  <c r="G134" i="1"/>
  <c r="G78" i="1"/>
  <c r="H142" i="1"/>
  <c r="F197" i="1"/>
  <c r="H122" i="1"/>
  <c r="H24" i="1"/>
  <c r="I31" i="1"/>
  <c r="F279" i="1"/>
  <c r="I3" i="1"/>
  <c r="F303" i="1"/>
  <c r="F280" i="1"/>
  <c r="H247" i="1"/>
  <c r="H200" i="1"/>
  <c r="I16" i="1"/>
  <c r="I56" i="1"/>
  <c r="F113" i="1"/>
  <c r="I264" i="1"/>
  <c r="F179" i="1"/>
  <c r="G80" i="1"/>
  <c r="G32" i="1"/>
  <c r="H237" i="1"/>
  <c r="H259" i="1"/>
  <c r="H51" i="1"/>
  <c r="H60" i="1"/>
  <c r="H17" i="1"/>
  <c r="G240" i="1"/>
  <c r="G252" i="1"/>
  <c r="G133" i="1"/>
  <c r="G31" i="1"/>
  <c r="G120" i="1"/>
  <c r="H233" i="1"/>
  <c r="H139" i="1"/>
  <c r="H134" i="1"/>
  <c r="H129" i="1"/>
  <c r="I259" i="1"/>
  <c r="I323" i="1"/>
  <c r="I104" i="1"/>
  <c r="I26" i="1"/>
  <c r="I22" i="1"/>
  <c r="F290" i="1"/>
  <c r="F155" i="1"/>
  <c r="F4" i="1"/>
  <c r="H289" i="1"/>
  <c r="I105" i="1"/>
  <c r="F161" i="1"/>
  <c r="G17" i="1"/>
  <c r="H145" i="1"/>
  <c r="I327" i="1"/>
  <c r="I166" i="1"/>
  <c r="I143" i="1"/>
  <c r="I130" i="1"/>
  <c r="I66" i="1"/>
  <c r="I29" i="1"/>
  <c r="F200" i="1"/>
  <c r="F176" i="1"/>
  <c r="G326" i="1"/>
  <c r="G226" i="1"/>
  <c r="G139" i="1"/>
  <c r="I292" i="1"/>
  <c r="G271" i="1"/>
  <c r="I303" i="1"/>
  <c r="H40" i="1"/>
  <c r="I35" i="1"/>
  <c r="H132" i="1"/>
  <c r="I139" i="1"/>
  <c r="H54" i="1"/>
  <c r="I176" i="1"/>
  <c r="F205" i="1"/>
  <c r="F116" i="1"/>
  <c r="F43" i="1"/>
  <c r="F92" i="1"/>
  <c r="F77" i="1"/>
  <c r="F60" i="1"/>
  <c r="G280" i="1"/>
  <c r="G57" i="1"/>
  <c r="H165" i="1"/>
  <c r="H111" i="1"/>
  <c r="H58" i="1"/>
  <c r="I298" i="1"/>
  <c r="I297" i="1"/>
  <c r="G219" i="1"/>
  <c r="G188" i="1"/>
  <c r="G128" i="1"/>
  <c r="I267" i="1"/>
  <c r="F223" i="1"/>
  <c r="F168" i="1"/>
  <c r="F129" i="1"/>
  <c r="F66" i="1"/>
  <c r="F24" i="1"/>
  <c r="G151" i="1"/>
  <c r="G43" i="1"/>
  <c r="G7" i="1"/>
  <c r="H318" i="1"/>
  <c r="H270" i="1"/>
  <c r="H246" i="1"/>
  <c r="H161" i="1"/>
  <c r="H92" i="1"/>
  <c r="I197" i="1"/>
  <c r="I99" i="1"/>
  <c r="I69" i="1"/>
  <c r="I57" i="1"/>
  <c r="I45" i="1"/>
  <c r="I121" i="1"/>
  <c r="F260" i="1"/>
  <c r="F233" i="1"/>
  <c r="F186" i="1"/>
  <c r="F110" i="1"/>
  <c r="F86" i="1"/>
  <c r="F76" i="1"/>
  <c r="F146" i="1"/>
  <c r="F131" i="1"/>
  <c r="F27" i="1"/>
  <c r="F10" i="1"/>
  <c r="F16" i="1"/>
  <c r="F22" i="1"/>
  <c r="G325" i="1"/>
  <c r="G302" i="1"/>
  <c r="G296" i="1"/>
  <c r="G283" i="1"/>
  <c r="G221" i="1"/>
  <c r="G85" i="1"/>
  <c r="G99" i="1"/>
  <c r="H325" i="1"/>
  <c r="H260" i="1"/>
  <c r="H136" i="1"/>
  <c r="H196" i="1"/>
  <c r="H7" i="1"/>
  <c r="H10" i="1"/>
  <c r="I217" i="1"/>
  <c r="I168" i="1"/>
  <c r="I178" i="1"/>
  <c r="I80" i="1"/>
  <c r="I20" i="1"/>
  <c r="I93" i="1"/>
  <c r="I19" i="1"/>
  <c r="F315" i="1"/>
  <c r="F300" i="1"/>
  <c r="F274" i="1"/>
  <c r="F261" i="1"/>
  <c r="F253" i="1"/>
  <c r="F148" i="1"/>
  <c r="G288" i="1"/>
  <c r="G233" i="1"/>
  <c r="G309" i="1"/>
  <c r="G152" i="1"/>
  <c r="G34" i="1"/>
  <c r="G25" i="1"/>
  <c r="G122" i="1"/>
  <c r="G69" i="1"/>
  <c r="G19" i="1"/>
  <c r="H158" i="1"/>
  <c r="H135" i="1"/>
  <c r="H69" i="1"/>
  <c r="H9" i="1"/>
  <c r="I326" i="1"/>
  <c r="I300" i="1"/>
  <c r="I291" i="1"/>
  <c r="I310" i="1"/>
  <c r="I149" i="1"/>
  <c r="I191" i="1"/>
  <c r="I177" i="1"/>
  <c r="I106" i="1"/>
  <c r="I85" i="1"/>
  <c r="I79" i="1"/>
  <c r="F224" i="1"/>
  <c r="F48" i="1"/>
  <c r="F50" i="1"/>
  <c r="F57" i="1"/>
  <c r="I77" i="1"/>
  <c r="F296" i="1"/>
  <c r="G203" i="1"/>
  <c r="G12" i="1"/>
  <c r="H71" i="1"/>
  <c r="H48" i="1"/>
  <c r="I294" i="1"/>
  <c r="I262" i="1"/>
  <c r="I155" i="1"/>
  <c r="I186" i="1"/>
  <c r="I97" i="1"/>
  <c r="I38" i="1"/>
  <c r="F309" i="1"/>
  <c r="F318" i="1"/>
  <c r="G281" i="1"/>
  <c r="G157" i="1"/>
  <c r="G67" i="1"/>
  <c r="H169" i="1"/>
  <c r="F232" i="1"/>
  <c r="F292" i="1"/>
  <c r="F297" i="1"/>
  <c r="F118" i="1"/>
  <c r="F159" i="1"/>
  <c r="G131" i="1"/>
  <c r="G196" i="1"/>
  <c r="G170" i="1"/>
  <c r="H197" i="1"/>
  <c r="F231" i="1"/>
  <c r="F262" i="1"/>
  <c r="F191" i="1"/>
  <c r="F202" i="1"/>
  <c r="F189" i="1"/>
  <c r="F163" i="1"/>
  <c r="F207" i="1"/>
  <c r="F153" i="1"/>
  <c r="F138" i="1"/>
  <c r="F111" i="1"/>
  <c r="F7" i="1"/>
  <c r="G285" i="1"/>
  <c r="G187" i="1"/>
  <c r="G121" i="1"/>
  <c r="G191" i="1"/>
  <c r="G113" i="1"/>
  <c r="G40" i="1"/>
  <c r="G21" i="1"/>
  <c r="G54" i="1"/>
  <c r="H176" i="1"/>
  <c r="H100" i="1"/>
  <c r="H143" i="1"/>
  <c r="H13" i="1"/>
  <c r="H11" i="1"/>
  <c r="I273" i="1"/>
  <c r="I268" i="1"/>
  <c r="I198" i="1"/>
  <c r="I182" i="1"/>
  <c r="I24" i="1"/>
  <c r="I131" i="1"/>
  <c r="G204" i="1"/>
  <c r="G149" i="1"/>
  <c r="G107" i="1"/>
  <c r="G93" i="1"/>
  <c r="G116" i="1"/>
  <c r="G138" i="1"/>
  <c r="G16" i="1"/>
  <c r="H302" i="1"/>
  <c r="H253" i="1"/>
  <c r="H281" i="1"/>
  <c r="H198" i="1"/>
  <c r="H157" i="1"/>
  <c r="H53" i="1"/>
  <c r="I301" i="1"/>
  <c r="I7" i="1"/>
  <c r="I5" i="1"/>
  <c r="I116" i="1"/>
  <c r="I12" i="1"/>
  <c r="F244" i="1"/>
  <c r="F183" i="1"/>
  <c r="F141" i="1"/>
  <c r="F122" i="1"/>
  <c r="F39" i="1"/>
  <c r="F136" i="1"/>
  <c r="F98" i="1"/>
  <c r="F84" i="1"/>
  <c r="F70" i="1"/>
  <c r="F26" i="1"/>
  <c r="F6" i="1"/>
  <c r="G161" i="1"/>
  <c r="G164" i="1"/>
  <c r="G79" i="1"/>
  <c r="G61" i="1"/>
  <c r="H78" i="1"/>
  <c r="I238" i="1"/>
  <c r="I218" i="1"/>
  <c r="I126" i="1"/>
  <c r="I195" i="1"/>
  <c r="I73" i="1"/>
  <c r="I64" i="1"/>
  <c r="F180" i="1"/>
  <c r="F140" i="1"/>
  <c r="F198" i="1"/>
  <c r="F35" i="1"/>
  <c r="G137" i="1"/>
  <c r="G143" i="1"/>
  <c r="G13" i="1"/>
  <c r="H312" i="1"/>
  <c r="H283" i="1"/>
  <c r="H225" i="1"/>
  <c r="H149" i="1"/>
  <c r="I14" i="1"/>
  <c r="I70" i="1"/>
  <c r="F177" i="1"/>
  <c r="F64" i="1"/>
  <c r="G275" i="1"/>
  <c r="H62" i="1"/>
  <c r="F103" i="1"/>
  <c r="G256" i="1"/>
  <c r="G206" i="1"/>
  <c r="G24" i="1"/>
  <c r="G108" i="1"/>
  <c r="G73" i="1"/>
  <c r="H152" i="1"/>
  <c r="H163" i="1"/>
  <c r="H117" i="1"/>
  <c r="H75" i="1"/>
  <c r="H65" i="1"/>
  <c r="I100" i="1"/>
  <c r="I107" i="1"/>
  <c r="G322" i="1"/>
  <c r="I263" i="1"/>
  <c r="I232" i="1"/>
  <c r="I90" i="1"/>
  <c r="I94" i="1"/>
  <c r="F271" i="1"/>
  <c r="F257" i="1"/>
  <c r="F203" i="1"/>
  <c r="F190" i="1"/>
  <c r="F127" i="1"/>
  <c r="G129" i="1"/>
  <c r="G15" i="1"/>
  <c r="H214" i="1"/>
  <c r="H97" i="1"/>
  <c r="H39" i="1"/>
  <c r="I261" i="1"/>
  <c r="F99" i="1"/>
  <c r="G59" i="1"/>
  <c r="G44" i="1"/>
  <c r="I67" i="1"/>
  <c r="I82" i="1"/>
  <c r="F238" i="1"/>
  <c r="F268" i="1"/>
  <c r="F239" i="1"/>
  <c r="F267" i="1"/>
  <c r="G278" i="1"/>
  <c r="G267" i="1"/>
  <c r="G205" i="1"/>
  <c r="G177" i="1"/>
  <c r="G162" i="1"/>
  <c r="G22" i="1"/>
  <c r="G49" i="1"/>
  <c r="H258" i="1"/>
  <c r="H207" i="1"/>
  <c r="H222" i="1"/>
  <c r="H220" i="1"/>
  <c r="H114" i="1"/>
  <c r="H27" i="1"/>
  <c r="H99" i="1"/>
  <c r="I285" i="1"/>
  <c r="I50" i="1"/>
  <c r="F249" i="1"/>
  <c r="F301" i="1"/>
  <c r="F302" i="1"/>
  <c r="F254" i="1"/>
  <c r="F149" i="1"/>
  <c r="F154" i="1"/>
  <c r="F21" i="1"/>
  <c r="G189" i="1"/>
  <c r="G92" i="1"/>
  <c r="G27" i="1"/>
  <c r="H327" i="1"/>
  <c r="H275" i="1"/>
  <c r="H249" i="1"/>
  <c r="H267" i="1"/>
  <c r="H67" i="1"/>
  <c r="I257" i="1"/>
  <c r="I235" i="1"/>
  <c r="I219" i="1"/>
  <c r="I181" i="1"/>
  <c r="I86" i="1"/>
  <c r="F248" i="1"/>
  <c r="F196" i="1"/>
  <c r="F170" i="1"/>
  <c r="F137" i="1"/>
  <c r="F106" i="1"/>
  <c r="G208" i="1"/>
  <c r="G26" i="1"/>
  <c r="H239" i="1"/>
  <c r="H195" i="1"/>
  <c r="I253" i="1"/>
  <c r="I233" i="1"/>
  <c r="I256" i="1"/>
  <c r="I193" i="1"/>
  <c r="I4" i="1"/>
  <c r="I23" i="1"/>
  <c r="F251" i="1"/>
  <c r="F178" i="1"/>
  <c r="F160" i="1"/>
  <c r="G241" i="1"/>
  <c r="G180" i="1"/>
  <c r="G194" i="1"/>
  <c r="H221" i="1"/>
  <c r="H120" i="1"/>
  <c r="H107" i="1"/>
  <c r="H31" i="1"/>
  <c r="H103" i="1"/>
  <c r="I252" i="1"/>
  <c r="I282" i="1"/>
  <c r="I245" i="1"/>
  <c r="I200" i="1"/>
  <c r="I78" i="1"/>
  <c r="I136" i="1"/>
  <c r="I71" i="1"/>
  <c r="I135" i="1"/>
  <c r="I10" i="1"/>
  <c r="I87" i="1"/>
  <c r="F273" i="1"/>
  <c r="F298" i="1"/>
  <c r="F319" i="1"/>
  <c r="F216" i="1"/>
  <c r="F192" i="1"/>
  <c r="F74" i="1"/>
  <c r="F62" i="1"/>
  <c r="F151" i="1"/>
  <c r="F133" i="1"/>
  <c r="F95" i="1"/>
  <c r="F11" i="1"/>
  <c r="F67" i="1"/>
  <c r="G262" i="1"/>
  <c r="G317" i="1"/>
  <c r="G303" i="1"/>
  <c r="G327" i="1"/>
  <c r="G236" i="1"/>
  <c r="H322" i="1"/>
  <c r="H250" i="1"/>
  <c r="H248" i="1"/>
  <c r="H274" i="1"/>
  <c r="H133" i="1"/>
  <c r="H201" i="1"/>
  <c r="H64" i="1"/>
  <c r="H49" i="1"/>
  <c r="I317" i="1"/>
  <c r="I254" i="1"/>
  <c r="I293" i="1"/>
  <c r="I237" i="1"/>
  <c r="I138" i="1"/>
  <c r="I75" i="1"/>
  <c r="I13" i="1"/>
  <c r="I15" i="1"/>
  <c r="I133" i="1"/>
  <c r="F310" i="1"/>
  <c r="F275" i="1"/>
  <c r="F237" i="1"/>
  <c r="F209" i="1"/>
  <c r="F56" i="1"/>
  <c r="F18" i="1"/>
  <c r="F30" i="1"/>
  <c r="F104" i="1"/>
  <c r="F49" i="1"/>
  <c r="G276" i="1"/>
  <c r="G310" i="1"/>
  <c r="G318" i="1"/>
  <c r="G225" i="1"/>
  <c r="G166" i="1"/>
  <c r="G147" i="1"/>
  <c r="G56" i="1"/>
  <c r="G6" i="1"/>
  <c r="G4" i="1"/>
  <c r="H282" i="1"/>
  <c r="H191" i="1"/>
  <c r="H118" i="1"/>
  <c r="H231" i="1"/>
  <c r="H170" i="1"/>
  <c r="H123" i="1"/>
  <c r="H28" i="1"/>
  <c r="H43" i="1"/>
  <c r="H121" i="1"/>
  <c r="I302" i="1"/>
  <c r="I289" i="1"/>
  <c r="I283" i="1"/>
  <c r="I194" i="1"/>
  <c r="I114" i="1"/>
  <c r="F287" i="1"/>
  <c r="F288" i="1"/>
  <c r="F181" i="1"/>
  <c r="F107" i="1"/>
  <c r="F36" i="1"/>
  <c r="F8" i="1"/>
  <c r="F14" i="1"/>
  <c r="G255" i="1"/>
  <c r="G261" i="1"/>
  <c r="G287" i="1"/>
  <c r="G185" i="1"/>
  <c r="G183" i="1"/>
  <c r="G167" i="1"/>
  <c r="G98" i="1"/>
  <c r="G87" i="1"/>
  <c r="G106" i="1"/>
  <c r="G66" i="1"/>
  <c r="G119" i="1"/>
  <c r="G14" i="1"/>
  <c r="H256" i="1"/>
  <c r="H242" i="1"/>
  <c r="H288" i="1"/>
  <c r="H192" i="1"/>
  <c r="H131" i="1"/>
  <c r="H218" i="1"/>
  <c r="H44" i="1"/>
  <c r="H113" i="1"/>
  <c r="H25" i="1"/>
  <c r="I288" i="1"/>
  <c r="I260" i="1"/>
  <c r="I169" i="1"/>
  <c r="I141" i="1"/>
  <c r="I128" i="1"/>
  <c r="I84" i="1"/>
  <c r="I52" i="1"/>
  <c r="I113" i="1"/>
  <c r="I40" i="1"/>
  <c r="I9" i="1"/>
  <c r="F284" i="1"/>
  <c r="F245" i="1"/>
  <c r="F252" i="1"/>
  <c r="F210" i="1"/>
  <c r="F212" i="1"/>
  <c r="F144" i="1"/>
  <c r="F100" i="1"/>
  <c r="G36" i="1"/>
  <c r="H177" i="1"/>
  <c r="I192" i="1"/>
  <c r="I43" i="1"/>
  <c r="G274" i="1"/>
  <c r="H268" i="1"/>
  <c r="I274" i="1"/>
  <c r="I275" i="1"/>
  <c r="F240" i="1"/>
  <c r="F69" i="1"/>
  <c r="F5" i="1"/>
  <c r="F13" i="1"/>
  <c r="F3" i="1"/>
  <c r="G320" i="1"/>
  <c r="G323" i="1"/>
  <c r="G251" i="1"/>
  <c r="G154" i="1"/>
  <c r="G222" i="1"/>
  <c r="G178" i="1"/>
  <c r="G23" i="1"/>
  <c r="G75" i="1"/>
  <c r="G65" i="1"/>
  <c r="G51" i="1"/>
  <c r="H251" i="1"/>
  <c r="H263" i="1"/>
  <c r="H204" i="1"/>
  <c r="H190" i="1"/>
  <c r="H66" i="1"/>
  <c r="H29" i="1"/>
  <c r="H130" i="1"/>
  <c r="I286" i="1"/>
  <c r="I222" i="1"/>
  <c r="I236" i="1"/>
  <c r="I148" i="1"/>
  <c r="I239" i="1"/>
  <c r="I163" i="1"/>
  <c r="I188" i="1"/>
  <c r="I140" i="1"/>
  <c r="I145" i="1"/>
  <c r="I55" i="1"/>
  <c r="I33" i="1"/>
  <c r="I21" i="1"/>
  <c r="F250" i="1"/>
  <c r="F317" i="1"/>
  <c r="F278" i="1"/>
  <c r="F234" i="1"/>
  <c r="F217" i="1"/>
  <c r="F83" i="1"/>
  <c r="F31" i="1"/>
  <c r="F121" i="1"/>
  <c r="F88" i="1"/>
  <c r="G248" i="1"/>
  <c r="G290" i="1"/>
  <c r="G258" i="1"/>
  <c r="G250" i="1"/>
  <c r="G218" i="1"/>
  <c r="G193" i="1"/>
  <c r="G192" i="1"/>
  <c r="G266" i="1"/>
  <c r="G145" i="1"/>
  <c r="G84" i="1"/>
  <c r="G30" i="1"/>
  <c r="G141" i="1"/>
  <c r="G91" i="1"/>
  <c r="G20" i="1"/>
  <c r="G47" i="1"/>
  <c r="H291" i="1"/>
  <c r="H262" i="1"/>
  <c r="H243" i="1"/>
  <c r="H277" i="1"/>
  <c r="H153" i="1"/>
  <c r="H194" i="1"/>
  <c r="H137" i="1"/>
  <c r="H215" i="1"/>
  <c r="H85" i="1"/>
  <c r="H37" i="1"/>
  <c r="H156" i="1"/>
  <c r="H16" i="1"/>
  <c r="H55" i="1"/>
  <c r="H23" i="1"/>
  <c r="H68" i="1"/>
  <c r="H4" i="1"/>
  <c r="I290" i="1"/>
  <c r="I258" i="1"/>
  <c r="I156" i="1"/>
  <c r="I167" i="1"/>
  <c r="I185" i="1"/>
  <c r="I146" i="1"/>
  <c r="I134" i="1"/>
  <c r="I108" i="1"/>
  <c r="I95" i="1"/>
  <c r="I48" i="1"/>
  <c r="I44" i="1"/>
  <c r="I58" i="1"/>
  <c r="I8" i="1"/>
  <c r="F293" i="1"/>
  <c r="F266" i="1"/>
  <c r="F277" i="1"/>
  <c r="F265" i="1"/>
  <c r="F158" i="1"/>
  <c r="F226" i="1"/>
  <c r="F143" i="1"/>
  <c r="F93" i="1"/>
  <c r="F73" i="1"/>
  <c r="F20" i="1"/>
  <c r="F46" i="1"/>
  <c r="G257" i="1"/>
  <c r="G234" i="1"/>
  <c r="G249" i="1"/>
  <c r="G282" i="1"/>
  <c r="G268" i="1"/>
  <c r="G190" i="1"/>
  <c r="G199" i="1"/>
  <c r="G184" i="1"/>
  <c r="G144" i="1"/>
  <c r="G135" i="1"/>
  <c r="G101" i="1"/>
  <c r="G70" i="1"/>
  <c r="G112" i="1"/>
  <c r="G37" i="1"/>
  <c r="G3" i="1"/>
  <c r="G29" i="1"/>
  <c r="H310" i="1"/>
  <c r="H234" i="1"/>
  <c r="H240" i="1"/>
  <c r="H166" i="1"/>
  <c r="H219" i="1"/>
  <c r="H154" i="1"/>
  <c r="H127" i="1"/>
  <c r="H33" i="1"/>
  <c r="H148" i="1"/>
  <c r="H104" i="1"/>
  <c r="H47" i="1"/>
  <c r="H26" i="1"/>
  <c r="H81" i="1"/>
  <c r="H36" i="1"/>
  <c r="H18" i="1"/>
  <c r="I316" i="1"/>
  <c r="I296" i="1"/>
  <c r="I205" i="1"/>
  <c r="I229" i="1"/>
  <c r="I170" i="1"/>
  <c r="I127" i="1"/>
  <c r="I132" i="1"/>
  <c r="F256" i="1"/>
  <c r="F291" i="1"/>
  <c r="F247" i="1"/>
  <c r="F295" i="1"/>
  <c r="F281" i="1"/>
  <c r="F255" i="1"/>
  <c r="F211" i="1"/>
  <c r="F102" i="1"/>
  <c r="F208" i="1"/>
  <c r="F55" i="1"/>
  <c r="F53" i="1"/>
  <c r="F28" i="1"/>
  <c r="F71" i="1"/>
  <c r="F91" i="1"/>
  <c r="F12" i="1"/>
  <c r="F105" i="1"/>
  <c r="G243" i="1"/>
  <c r="G253" i="1"/>
  <c r="G273" i="1"/>
  <c r="G245" i="1"/>
  <c r="G201" i="1"/>
  <c r="G176" i="1"/>
  <c r="G89" i="1"/>
  <c r="G197" i="1"/>
  <c r="G182" i="1"/>
  <c r="G50" i="1"/>
  <c r="G39" i="1"/>
  <c r="G9" i="1"/>
  <c r="G100" i="1"/>
  <c r="H226" i="1"/>
  <c r="H264" i="1"/>
  <c r="H261" i="1"/>
  <c r="H235" i="1"/>
  <c r="H278" i="1"/>
  <c r="H317" i="1"/>
  <c r="H184" i="1"/>
  <c r="H116" i="1"/>
  <c r="H193" i="1"/>
  <c r="H138" i="1"/>
  <c r="H90" i="1"/>
  <c r="H155" i="1"/>
  <c r="H102" i="1"/>
  <c r="H8" i="1"/>
  <c r="I247" i="1"/>
  <c r="I227" i="1"/>
  <c r="I309" i="1"/>
  <c r="I164" i="1"/>
  <c r="I89" i="1"/>
  <c r="I129" i="1"/>
  <c r="I6" i="1"/>
  <c r="I115" i="1"/>
  <c r="F282" i="1"/>
  <c r="F259" i="1"/>
  <c r="F263" i="1"/>
  <c r="F243" i="1"/>
  <c r="F218" i="1"/>
  <c r="F169" i="1"/>
  <c r="F142" i="1"/>
  <c r="F65" i="1"/>
  <c r="F134" i="1"/>
  <c r="F78" i="1"/>
  <c r="F25" i="1"/>
  <c r="F15" i="1"/>
  <c r="F135" i="1"/>
  <c r="F109" i="1"/>
  <c r="F52" i="1"/>
  <c r="G254" i="1"/>
  <c r="G292" i="1"/>
  <c r="G272" i="1"/>
  <c r="G259" i="1"/>
  <c r="G238" i="1"/>
  <c r="G198" i="1"/>
  <c r="G156" i="1"/>
  <c r="G142" i="1"/>
  <c r="G123" i="1"/>
  <c r="G150" i="1"/>
  <c r="G86" i="1"/>
  <c r="G77" i="1"/>
  <c r="G105" i="1"/>
  <c r="G127" i="1"/>
  <c r="G35" i="1"/>
  <c r="G64" i="1"/>
  <c r="G10" i="1"/>
  <c r="G11" i="1"/>
  <c r="H271" i="1"/>
  <c r="H284" i="1"/>
  <c r="H254" i="1"/>
  <c r="H257" i="1"/>
  <c r="H212" i="1"/>
  <c r="H159" i="1"/>
  <c r="H320" i="1"/>
  <c r="H147" i="1"/>
  <c r="H141" i="1"/>
  <c r="H22" i="1"/>
  <c r="H20" i="1"/>
  <c r="H35" i="1"/>
  <c r="H95" i="1"/>
  <c r="H93" i="1"/>
  <c r="H5" i="1"/>
  <c r="I272" i="1"/>
  <c r="I228" i="1"/>
  <c r="I255" i="1"/>
  <c r="I184" i="1"/>
  <c r="I189" i="1"/>
  <c r="I120" i="1"/>
  <c r="I91" i="1"/>
  <c r="I212" i="1"/>
  <c r="I47" i="1"/>
  <c r="I68" i="1"/>
  <c r="I28" i="1"/>
  <c r="I137" i="1"/>
  <c r="F246" i="1"/>
  <c r="F235" i="1"/>
  <c r="F162" i="1"/>
  <c r="F187" i="1"/>
  <c r="F128" i="1"/>
  <c r="F19" i="1"/>
  <c r="F132" i="1"/>
  <c r="F23" i="1"/>
  <c r="F108" i="1"/>
  <c r="F51" i="1"/>
  <c r="F29" i="1"/>
  <c r="F114" i="1"/>
  <c r="F44" i="1"/>
  <c r="G294" i="1"/>
  <c r="G246" i="1"/>
  <c r="G169" i="1"/>
  <c r="G168" i="1"/>
  <c r="G155" i="1"/>
  <c r="G136" i="1"/>
  <c r="G132" i="1"/>
  <c r="G94" i="1"/>
  <c r="G58" i="1"/>
  <c r="G114" i="1"/>
  <c r="G38" i="1"/>
  <c r="G102" i="1"/>
  <c r="G18" i="1"/>
  <c r="G8" i="1"/>
  <c r="G5" i="1"/>
  <c r="H236" i="1"/>
  <c r="H303" i="1"/>
  <c r="H296" i="1"/>
  <c r="H208" i="1"/>
  <c r="H140" i="1"/>
  <c r="H82" i="1"/>
  <c r="H76" i="1"/>
  <c r="H30" i="1"/>
  <c r="H128" i="1"/>
  <c r="H74" i="1"/>
  <c r="I246" i="1"/>
  <c r="I240" i="1"/>
  <c r="I250" i="1"/>
  <c r="I287" i="1"/>
  <c r="I161" i="1"/>
  <c r="I142" i="1"/>
  <c r="I65" i="1"/>
  <c r="I152" i="1"/>
  <c r="I76" i="1"/>
  <c r="F289" i="1"/>
  <c r="F283" i="1"/>
  <c r="F184" i="1"/>
  <c r="F130" i="1"/>
  <c r="F204" i="1"/>
  <c r="F115" i="1"/>
  <c r="F72" i="1"/>
  <c r="F123" i="1"/>
  <c r="F58" i="1"/>
  <c r="F40" i="1"/>
  <c r="F119" i="1"/>
  <c r="F112" i="1"/>
  <c r="F139" i="1"/>
  <c r="F38" i="1"/>
  <c r="F120" i="1"/>
  <c r="G260" i="1"/>
  <c r="G231" i="1"/>
  <c r="G289" i="1"/>
  <c r="G239" i="1"/>
  <c r="G163" i="1"/>
  <c r="G232" i="1"/>
  <c r="G159" i="1"/>
  <c r="G247" i="1"/>
  <c r="G28" i="1"/>
  <c r="G140" i="1"/>
  <c r="G72" i="1"/>
  <c r="G71" i="1"/>
  <c r="H232" i="1"/>
  <c r="H285" i="1"/>
  <c r="H252" i="1"/>
  <c r="H162" i="1"/>
  <c r="H109" i="1"/>
  <c r="H211" i="1"/>
  <c r="H106" i="1"/>
  <c r="H46" i="1"/>
  <c r="H61" i="1"/>
  <c r="H70" i="1"/>
  <c r="H88" i="1"/>
  <c r="H15" i="1"/>
  <c r="I234" i="1"/>
  <c r="I248" i="1"/>
  <c r="I241" i="1"/>
  <c r="I249" i="1"/>
  <c r="I196" i="1"/>
  <c r="I251" i="1"/>
  <c r="I51" i="1"/>
  <c r="I54" i="1"/>
  <c r="I150" i="1"/>
  <c r="I36" i="1"/>
  <c r="I30" i="1"/>
  <c r="F270" i="1"/>
  <c r="F225" i="1"/>
  <c r="F152" i="1"/>
  <c r="F219" i="1"/>
  <c r="F214" i="1"/>
  <c r="F195" i="1"/>
  <c r="F164" i="1"/>
  <c r="F157" i="1"/>
  <c r="F147" i="1"/>
  <c r="F79" i="1"/>
  <c r="F68" i="1"/>
  <c r="F17" i="1"/>
  <c r="F47" i="1"/>
  <c r="F37" i="1"/>
  <c r="H57" i="1"/>
  <c r="G319" i="1"/>
  <c r="G264" i="1"/>
  <c r="G295" i="1"/>
  <c r="G220" i="1"/>
  <c r="G269" i="1"/>
  <c r="G195" i="1"/>
  <c r="G103" i="1"/>
  <c r="G224" i="1"/>
  <c r="G63" i="1"/>
  <c r="G33" i="1"/>
  <c r="G130" i="1"/>
  <c r="G68" i="1"/>
  <c r="H326" i="1"/>
  <c r="H273" i="1"/>
  <c r="H309" i="1"/>
  <c r="H319" i="1"/>
  <c r="H255" i="1"/>
  <c r="H183" i="1"/>
  <c r="H205" i="1"/>
  <c r="H199" i="1"/>
  <c r="H144" i="1"/>
  <c r="H79" i="1"/>
  <c r="H86" i="1"/>
  <c r="H50" i="1"/>
  <c r="H34" i="1"/>
  <c r="H3" i="1"/>
  <c r="H21" i="1"/>
  <c r="H6" i="1"/>
  <c r="H12" i="1"/>
  <c r="H72" i="1"/>
  <c r="I295" i="1"/>
  <c r="I281" i="1"/>
  <c r="I231" i="1"/>
  <c r="I318" i="1"/>
  <c r="I204" i="1"/>
  <c r="I190" i="1"/>
  <c r="I162" i="1"/>
  <c r="I92" i="1"/>
  <c r="I112" i="1"/>
  <c r="I72" i="1"/>
  <c r="I37" i="1"/>
  <c r="I34" i="1"/>
  <c r="F241" i="1"/>
  <c r="F320" i="1"/>
  <c r="F299" i="1"/>
  <c r="F286" i="1"/>
  <c r="F272" i="1"/>
  <c r="F294" i="1"/>
  <c r="F194" i="1"/>
  <c r="F165" i="1"/>
  <c r="F193" i="1"/>
  <c r="F188" i="1"/>
  <c r="F81" i="1"/>
  <c r="F156" i="1"/>
  <c r="F97" i="1"/>
  <c r="F63" i="1"/>
  <c r="F34" i="1"/>
  <c r="F85" i="1"/>
  <c r="F33" i="1"/>
  <c r="F9" i="1"/>
  <c r="K325" i="1"/>
  <c r="K302" i="1"/>
  <c r="K300" i="1"/>
  <c r="K38" i="1"/>
  <c r="D75" i="1"/>
  <c r="D73" i="1"/>
  <c r="D71" i="1"/>
  <c r="D69" i="1"/>
  <c r="D67" i="1"/>
  <c r="D65" i="1"/>
  <c r="D262" i="1"/>
  <c r="D261" i="1"/>
  <c r="D260" i="1"/>
  <c r="D61" i="1"/>
  <c r="D59" i="1"/>
  <c r="D57" i="1"/>
  <c r="D56" i="1"/>
  <c r="D54" i="1"/>
  <c r="D52" i="1"/>
  <c r="D51" i="1"/>
  <c r="D50" i="1"/>
  <c r="D49" i="1"/>
  <c r="D48" i="1"/>
  <c r="D47" i="1"/>
  <c r="D46" i="1"/>
  <c r="D45" i="1"/>
  <c r="D44" i="1"/>
  <c r="I101" i="1"/>
  <c r="D323" i="1"/>
  <c r="D322" i="1"/>
  <c r="D252" i="1"/>
  <c r="D250" i="1"/>
  <c r="D247" i="1"/>
  <c r="D114" i="1"/>
  <c r="D113" i="1"/>
  <c r="D83" i="1"/>
  <c r="K322" i="1"/>
  <c r="K321" i="1"/>
  <c r="K108" i="1"/>
  <c r="K107" i="1"/>
  <c r="K51" i="1"/>
  <c r="D237" i="1"/>
  <c r="D23" i="1"/>
  <c r="K25" i="1"/>
  <c r="K23" i="1"/>
  <c r="K21" i="1"/>
  <c r="D81" i="1"/>
  <c r="D79" i="1"/>
  <c r="D325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54" i="1"/>
  <c r="D320" i="1"/>
  <c r="D319" i="1"/>
  <c r="D318" i="1"/>
  <c r="D317" i="1"/>
  <c r="D315" i="1"/>
  <c r="D314" i="1"/>
  <c r="D313" i="1"/>
  <c r="D312" i="1"/>
  <c r="D310" i="1"/>
  <c r="D309" i="1"/>
  <c r="D303" i="1"/>
  <c r="D302" i="1"/>
  <c r="D300" i="1"/>
  <c r="D299" i="1"/>
  <c r="D298" i="1"/>
  <c r="D297" i="1"/>
  <c r="D296" i="1"/>
  <c r="D295" i="1"/>
  <c r="D293" i="1"/>
  <c r="D292" i="1"/>
  <c r="D291" i="1"/>
  <c r="D290" i="1"/>
  <c r="D289" i="1"/>
  <c r="D288" i="1"/>
  <c r="K301" i="1"/>
  <c r="K298" i="1"/>
  <c r="K297" i="1"/>
  <c r="K296" i="1"/>
  <c r="K292" i="1"/>
  <c r="K291" i="1"/>
  <c r="K290" i="1"/>
  <c r="K289" i="1"/>
  <c r="K288" i="1"/>
  <c r="K287" i="1"/>
  <c r="K286" i="1"/>
  <c r="K285" i="1"/>
  <c r="K284" i="1"/>
  <c r="K283" i="1"/>
  <c r="K282" i="1"/>
  <c r="K280" i="1"/>
  <c r="K279" i="1"/>
  <c r="K278" i="1"/>
  <c r="K277" i="1"/>
  <c r="K276" i="1"/>
  <c r="K275" i="1"/>
  <c r="K274" i="1"/>
  <c r="K273" i="1"/>
  <c r="K271" i="1"/>
  <c r="K270" i="1"/>
  <c r="K269" i="1"/>
  <c r="K268" i="1"/>
  <c r="K267" i="1"/>
  <c r="K266" i="1"/>
  <c r="K265" i="1"/>
  <c r="K264" i="1"/>
  <c r="D38" i="1"/>
  <c r="D36" i="1"/>
  <c r="D34" i="1"/>
  <c r="D32" i="1"/>
  <c r="D30" i="1"/>
  <c r="K320" i="1"/>
  <c r="K319" i="1"/>
  <c r="K317" i="1"/>
  <c r="K310" i="1"/>
  <c r="K226" i="1"/>
  <c r="K225" i="1"/>
  <c r="K224" i="1"/>
  <c r="K82" i="1"/>
  <c r="K78" i="1"/>
  <c r="K76" i="1"/>
  <c r="K45" i="1"/>
  <c r="K44" i="1"/>
  <c r="K43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3" i="1"/>
  <c r="K242" i="1"/>
  <c r="K240" i="1"/>
  <c r="K239" i="1"/>
  <c r="K238" i="1"/>
  <c r="K236" i="1"/>
  <c r="K124" i="1"/>
  <c r="K121" i="1"/>
  <c r="K120" i="1"/>
  <c r="K119" i="1"/>
  <c r="K118" i="1"/>
  <c r="K117" i="1"/>
  <c r="K116" i="1"/>
  <c r="K115" i="1"/>
  <c r="K114" i="1"/>
  <c r="K113" i="1"/>
  <c r="D236" i="1"/>
  <c r="D235" i="1"/>
  <c r="D234" i="1"/>
  <c r="D233" i="1"/>
  <c r="D232" i="1"/>
  <c r="D231" i="1"/>
  <c r="D226" i="1"/>
  <c r="D225" i="1"/>
  <c r="D223" i="1"/>
  <c r="D222" i="1"/>
  <c r="D221" i="1"/>
  <c r="D220" i="1"/>
  <c r="D219" i="1"/>
  <c r="D218" i="1"/>
  <c r="D217" i="1"/>
  <c r="D216" i="1"/>
  <c r="D215" i="1"/>
  <c r="D214" i="1"/>
  <c r="D327" i="1"/>
  <c r="D213" i="1"/>
  <c r="D212" i="1"/>
  <c r="D211" i="1"/>
  <c r="D208" i="1"/>
  <c r="D207" i="1"/>
  <c r="D205" i="1"/>
  <c r="D204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8" i="1"/>
  <c r="D187" i="1"/>
  <c r="D186" i="1"/>
  <c r="D185" i="1"/>
  <c r="D184" i="1"/>
  <c r="D183" i="1"/>
  <c r="D181" i="1"/>
  <c r="D179" i="1"/>
  <c r="D177" i="1"/>
  <c r="D176" i="1"/>
  <c r="D170" i="1"/>
  <c r="D169" i="1"/>
  <c r="D167" i="1"/>
  <c r="D166" i="1"/>
  <c r="D165" i="1"/>
  <c r="D164" i="1"/>
  <c r="D163" i="1"/>
  <c r="D162" i="1"/>
  <c r="D160" i="1"/>
  <c r="D159" i="1"/>
  <c r="D158" i="1"/>
  <c r="D156" i="1"/>
  <c r="D155" i="1"/>
  <c r="D152" i="1"/>
  <c r="D151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259" i="1"/>
  <c r="D258" i="1"/>
  <c r="D257" i="1"/>
  <c r="D256" i="1"/>
  <c r="D243" i="1"/>
  <c r="D241" i="1"/>
  <c r="D240" i="1"/>
  <c r="D180" i="1"/>
  <c r="D178" i="1"/>
  <c r="D128" i="1"/>
  <c r="D127" i="1"/>
  <c r="D123" i="1"/>
  <c r="D122" i="1"/>
  <c r="D121" i="1"/>
  <c r="D120" i="1"/>
  <c r="D118" i="1"/>
  <c r="D117" i="1"/>
  <c r="D116" i="1"/>
  <c r="D115" i="1"/>
  <c r="D104" i="1"/>
  <c r="D94" i="1"/>
  <c r="D92" i="1"/>
  <c r="D90" i="1"/>
  <c r="D88" i="1"/>
  <c r="D86" i="1"/>
  <c r="D24" i="1"/>
  <c r="D22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K327" i="1"/>
  <c r="K326" i="1"/>
  <c r="K299" i="1"/>
  <c r="D111" i="1"/>
  <c r="D110" i="1"/>
  <c r="D109" i="1"/>
  <c r="D108" i="1"/>
  <c r="D107" i="1"/>
  <c r="D106" i="1"/>
  <c r="D103" i="1"/>
  <c r="D102" i="1"/>
  <c r="D101" i="1"/>
  <c r="D100" i="1"/>
  <c r="D99" i="1"/>
  <c r="D98" i="1"/>
  <c r="D97" i="1"/>
  <c r="D96" i="1"/>
  <c r="D95" i="1"/>
  <c r="D93" i="1"/>
  <c r="D89" i="1"/>
  <c r="D85" i="1"/>
  <c r="D82" i="1"/>
  <c r="D80" i="1"/>
  <c r="D78" i="1"/>
  <c r="D76" i="1"/>
  <c r="D74" i="1"/>
  <c r="D72" i="1"/>
  <c r="D70" i="1"/>
  <c r="D68" i="1"/>
  <c r="D66" i="1"/>
  <c r="D64" i="1"/>
  <c r="D62" i="1"/>
  <c r="D60" i="1"/>
  <c r="D58" i="1"/>
  <c r="D40" i="1"/>
  <c r="K170" i="1"/>
  <c r="K169" i="1"/>
  <c r="K168" i="1"/>
  <c r="K165" i="1"/>
  <c r="K164" i="1"/>
  <c r="K163" i="1"/>
  <c r="K162" i="1"/>
  <c r="K161" i="1"/>
  <c r="K160" i="1"/>
  <c r="K159" i="1"/>
  <c r="K158" i="1"/>
  <c r="K156" i="1"/>
  <c r="K155" i="1"/>
  <c r="K234" i="1"/>
  <c r="K233" i="1"/>
  <c r="K232" i="1"/>
  <c r="K11" i="1"/>
  <c r="K10" i="1"/>
  <c r="K9" i="1"/>
  <c r="K8" i="1"/>
  <c r="K7" i="1"/>
  <c r="K153" i="1"/>
  <c r="K152" i="1"/>
  <c r="K151" i="1"/>
  <c r="K150" i="1"/>
  <c r="K149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10" i="1"/>
  <c r="K90" i="1"/>
  <c r="K88" i="1"/>
  <c r="K86" i="1"/>
  <c r="K84" i="1"/>
  <c r="K60" i="1"/>
  <c r="K58" i="1"/>
  <c r="K56" i="1"/>
  <c r="K55" i="1"/>
  <c r="K39" i="1"/>
  <c r="K37" i="1"/>
  <c r="K35" i="1"/>
  <c r="K33" i="1"/>
  <c r="K29" i="1"/>
  <c r="K27" i="1"/>
  <c r="K92" i="1"/>
  <c r="K91" i="1"/>
  <c r="K72" i="1"/>
  <c r="K70" i="1"/>
  <c r="K68" i="1"/>
  <c r="K66" i="1"/>
  <c r="K62" i="1"/>
  <c r="K309" i="1"/>
  <c r="K303" i="1"/>
  <c r="K235" i="1"/>
  <c r="K219" i="1"/>
  <c r="K218" i="1"/>
  <c r="K214" i="1"/>
  <c r="K213" i="1"/>
  <c r="K212" i="1"/>
  <c r="K211" i="1"/>
  <c r="K210" i="1"/>
  <c r="K209" i="1"/>
  <c r="K208" i="1"/>
  <c r="K207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89" i="1"/>
  <c r="K188" i="1"/>
  <c r="K187" i="1"/>
  <c r="K186" i="1"/>
  <c r="K185" i="1"/>
  <c r="K184" i="1"/>
  <c r="K183" i="1"/>
  <c r="K177" i="1"/>
  <c r="K176" i="1"/>
  <c r="K106" i="1"/>
  <c r="K100" i="1"/>
  <c r="K99" i="1"/>
  <c r="K93" i="1"/>
  <c r="K87" i="1"/>
  <c r="K85" i="1"/>
  <c r="K81" i="1"/>
  <c r="K79" i="1"/>
  <c r="K77" i="1"/>
  <c r="K75" i="1"/>
  <c r="K73" i="1"/>
  <c r="K71" i="1"/>
  <c r="K69" i="1"/>
  <c r="K67" i="1"/>
  <c r="K65" i="1"/>
  <c r="K63" i="1"/>
  <c r="K59" i="1"/>
  <c r="K57" i="1"/>
  <c r="K36" i="1"/>
  <c r="K32" i="1"/>
  <c r="K30" i="1"/>
  <c r="K28" i="1"/>
  <c r="K24" i="1"/>
  <c r="K22" i="1"/>
  <c r="K20" i="1"/>
  <c r="K18" i="1"/>
  <c r="K17" i="1"/>
  <c r="K16" i="1"/>
  <c r="K15" i="1"/>
  <c r="K14" i="1"/>
  <c r="K13" i="1"/>
  <c r="K12" i="1"/>
  <c r="D326" i="1"/>
  <c r="D255" i="1"/>
  <c r="D253" i="1"/>
  <c r="D251" i="1"/>
  <c r="D249" i="1"/>
  <c r="D248" i="1"/>
  <c r="D246" i="1"/>
  <c r="D244" i="1"/>
  <c r="D242" i="1"/>
  <c r="D239" i="1"/>
  <c r="D55" i="1"/>
  <c r="D53" i="1"/>
  <c r="D43" i="1"/>
  <c r="D39" i="1"/>
  <c r="D37" i="1"/>
  <c r="D35" i="1"/>
  <c r="D33" i="1"/>
  <c r="D31" i="1"/>
  <c r="D29" i="1"/>
  <c r="AR124" i="3"/>
  <c r="AQ124" i="3"/>
  <c r="A149" i="3"/>
  <c r="P165" i="3"/>
  <c r="S234" i="3"/>
  <c r="T234" i="3"/>
  <c r="AE179" i="3"/>
  <c r="B149" i="3"/>
  <c r="AF179" i="3"/>
  <c r="J99" i="1" l="1"/>
  <c r="J56" i="1"/>
  <c r="J18" i="1"/>
  <c r="J106" i="1"/>
  <c r="K125" i="1"/>
  <c r="I180" i="1"/>
  <c r="D150" i="1"/>
  <c r="G235" i="1"/>
  <c r="C2" i="2" l="1"/>
  <c r="B2" i="2" s="1"/>
  <c r="C1" i="2"/>
  <c r="B1" i="2" s="1"/>
  <c r="C1" i="1" s="1"/>
  <c r="AA298" i="3"/>
  <c r="AB298" i="3"/>
  <c r="AR367" i="3"/>
  <c r="P328" i="1" l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N331" i="1"/>
  <c r="N335" i="1"/>
  <c r="N339" i="1"/>
  <c r="N343" i="1"/>
  <c r="N347" i="1"/>
  <c r="N351" i="1"/>
  <c r="N355" i="1"/>
  <c r="N359" i="1"/>
  <c r="N363" i="1"/>
  <c r="O331" i="1"/>
  <c r="O335" i="1"/>
  <c r="O339" i="1"/>
  <c r="O343" i="1"/>
  <c r="O347" i="1"/>
  <c r="O351" i="1"/>
  <c r="O355" i="1"/>
  <c r="O359" i="1"/>
  <c r="O363" i="1"/>
  <c r="N328" i="1"/>
  <c r="N332" i="1"/>
  <c r="N336" i="1"/>
  <c r="N340" i="1"/>
  <c r="N344" i="1"/>
  <c r="N348" i="1"/>
  <c r="N352" i="1"/>
  <c r="N356" i="1"/>
  <c r="N360" i="1"/>
  <c r="N364" i="1"/>
  <c r="O328" i="1"/>
  <c r="O332" i="1"/>
  <c r="O336" i="1"/>
  <c r="O340" i="1"/>
  <c r="O344" i="1"/>
  <c r="O348" i="1"/>
  <c r="O352" i="1"/>
  <c r="O356" i="1"/>
  <c r="O360" i="1"/>
  <c r="O364" i="1"/>
  <c r="N329" i="1"/>
  <c r="N333" i="1"/>
  <c r="N337" i="1"/>
  <c r="N341" i="1"/>
  <c r="N345" i="1"/>
  <c r="N349" i="1"/>
  <c r="N353" i="1"/>
  <c r="N357" i="1"/>
  <c r="N361" i="1"/>
  <c r="N365" i="1"/>
  <c r="O329" i="1"/>
  <c r="O333" i="1"/>
  <c r="O337" i="1"/>
  <c r="O341" i="1"/>
  <c r="O345" i="1"/>
  <c r="O349" i="1"/>
  <c r="O353" i="1"/>
  <c r="O357" i="1"/>
  <c r="O361" i="1"/>
  <c r="O365" i="1"/>
  <c r="N330" i="1"/>
  <c r="N334" i="1"/>
  <c r="N338" i="1"/>
  <c r="N342" i="1"/>
  <c r="N346" i="1"/>
  <c r="N350" i="1"/>
  <c r="N354" i="1"/>
  <c r="N358" i="1"/>
  <c r="N362" i="1"/>
  <c r="N366" i="1"/>
  <c r="O330" i="1"/>
  <c r="O334" i="1"/>
  <c r="O338" i="1"/>
  <c r="O342" i="1"/>
  <c r="O346" i="1"/>
  <c r="O350" i="1"/>
  <c r="O354" i="1"/>
  <c r="O358" i="1"/>
  <c r="O362" i="1"/>
  <c r="O366" i="1"/>
  <c r="T186" i="1"/>
  <c r="T70" i="1"/>
  <c r="O47" i="1"/>
  <c r="O27" i="1"/>
  <c r="T85" i="1"/>
  <c r="O26" i="1"/>
  <c r="O103" i="1"/>
  <c r="O262" i="1"/>
  <c r="T178" i="1"/>
  <c r="T141" i="1"/>
  <c r="T74" i="1"/>
  <c r="O107" i="1"/>
  <c r="O37" i="1"/>
  <c r="T75" i="1"/>
  <c r="O39" i="1"/>
  <c r="O31" i="1"/>
  <c r="O48" i="1"/>
  <c r="O44" i="1"/>
  <c r="T79" i="1"/>
  <c r="T101" i="1"/>
  <c r="O56" i="1"/>
  <c r="O250" i="1"/>
  <c r="T106" i="1"/>
  <c r="O24" i="1"/>
  <c r="O319" i="1"/>
  <c r="T268" i="1"/>
  <c r="T224" i="1"/>
  <c r="T208" i="1"/>
  <c r="T108" i="1"/>
  <c r="O101" i="1"/>
  <c r="O85" i="1"/>
  <c r="T72" i="1"/>
  <c r="T191" i="1"/>
  <c r="O112" i="1"/>
  <c r="O239" i="1"/>
  <c r="O219" i="1"/>
  <c r="O191" i="1"/>
  <c r="O246" i="1"/>
  <c r="T323" i="1"/>
  <c r="O133" i="1"/>
  <c r="O113" i="1"/>
  <c r="O105" i="1"/>
  <c r="O93" i="1"/>
  <c r="O89" i="1"/>
  <c r="O69" i="1"/>
  <c r="O49" i="1"/>
  <c r="T267" i="1"/>
  <c r="T235" i="1"/>
  <c r="O212" i="1"/>
  <c r="O204" i="1"/>
  <c r="T199" i="1"/>
  <c r="O108" i="1"/>
  <c r="O302" i="1"/>
  <c r="O263" i="1"/>
  <c r="T234" i="1"/>
  <c r="T226" i="1"/>
  <c r="T206" i="1"/>
  <c r="O183" i="1"/>
  <c r="O254" i="1"/>
  <c r="T184" i="1"/>
  <c r="T68" i="1"/>
  <c r="O251" i="1"/>
  <c r="T213" i="1"/>
  <c r="T180" i="1"/>
  <c r="O121" i="1"/>
  <c r="O97" i="1"/>
  <c r="T64" i="1"/>
  <c r="O200" i="1"/>
  <c r="O243" i="1"/>
  <c r="T327" i="1"/>
  <c r="T192" i="1"/>
  <c r="T100" i="1"/>
  <c r="O53" i="1"/>
  <c r="O132" i="1"/>
  <c r="T190" i="1"/>
  <c r="T177" i="1"/>
  <c r="O249" i="1"/>
  <c r="O109" i="1"/>
  <c r="O314" i="1"/>
  <c r="T179" i="1"/>
  <c r="O128" i="1"/>
  <c r="O315" i="1"/>
  <c r="O197" i="1"/>
  <c r="T92" i="1"/>
  <c r="O252" i="1"/>
  <c r="O261" i="1"/>
  <c r="O73" i="1"/>
  <c r="O208" i="1"/>
  <c r="O241" i="1"/>
  <c r="O117" i="1"/>
  <c r="T60" i="1"/>
  <c r="T194" i="1"/>
  <c r="T278" i="1"/>
  <c r="O269" i="1"/>
  <c r="T152" i="1"/>
  <c r="T149" i="1"/>
  <c r="O104" i="1"/>
  <c r="O43" i="1"/>
  <c r="O22" i="1"/>
  <c r="O98" i="1"/>
  <c r="O258" i="1"/>
  <c r="T176" i="1"/>
  <c r="O32" i="1"/>
  <c r="O46" i="1"/>
  <c r="O65" i="1"/>
  <c r="T11" i="1"/>
  <c r="T59" i="1"/>
  <c r="O29" i="1"/>
  <c r="T214" i="1"/>
  <c r="O71" i="1"/>
  <c r="T80" i="1"/>
  <c r="T121" i="1"/>
  <c r="O94" i="1"/>
  <c r="O12" i="1"/>
  <c r="O4" i="1"/>
  <c r="O313" i="1"/>
  <c r="O257" i="1"/>
  <c r="T200" i="1"/>
  <c r="O327" i="1"/>
  <c r="T159" i="1"/>
  <c r="T287" i="1"/>
  <c r="T151" i="1"/>
  <c r="T138" i="1"/>
  <c r="O320" i="1"/>
  <c r="T285" i="1"/>
  <c r="O205" i="1"/>
  <c r="T280" i="1"/>
  <c r="T298" i="1"/>
  <c r="T284" i="1"/>
  <c r="T272" i="1"/>
  <c r="O236" i="1"/>
  <c r="T78" i="1"/>
  <c r="T65" i="1"/>
  <c r="O96" i="1"/>
  <c r="O64" i="1"/>
  <c r="T229" i="1"/>
  <c r="O303" i="1"/>
  <c r="O138" i="1"/>
  <c r="T117" i="1"/>
  <c r="T110" i="1"/>
  <c r="T46" i="1"/>
  <c r="T187" i="1"/>
  <c r="O326" i="1"/>
  <c r="O238" i="1"/>
  <c r="T16" i="1"/>
  <c r="O259" i="1"/>
  <c r="T207" i="1"/>
  <c r="T195" i="1"/>
  <c r="T175" i="1"/>
  <c r="O118" i="1"/>
  <c r="T137" i="1"/>
  <c r="T99" i="1"/>
  <c r="O38" i="1"/>
  <c r="T3" i="1"/>
  <c r="O59" i="1"/>
  <c r="T135" i="1"/>
  <c r="T113" i="1"/>
  <c r="O5" i="1"/>
  <c r="T225" i="1"/>
  <c r="O114" i="1"/>
  <c r="T33" i="1"/>
  <c r="O273" i="1"/>
  <c r="T301" i="1"/>
  <c r="O281" i="1"/>
  <c r="T19" i="1"/>
  <c r="O155" i="1"/>
  <c r="T147" i="1"/>
  <c r="O72" i="1"/>
  <c r="O66" i="1"/>
  <c r="T30" i="1"/>
  <c r="O176" i="1"/>
  <c r="O144" i="1"/>
  <c r="T306" i="1"/>
  <c r="T277" i="1"/>
  <c r="O234" i="1"/>
  <c r="O164" i="1"/>
  <c r="T165" i="1"/>
  <c r="O145" i="1"/>
  <c r="O17" i="1"/>
  <c r="O296" i="1"/>
  <c r="O169" i="1"/>
  <c r="O148" i="1"/>
  <c r="T18" i="1"/>
  <c r="T257" i="1"/>
  <c r="T242" i="1"/>
  <c r="T35" i="1"/>
  <c r="O323" i="1"/>
  <c r="O287" i="1"/>
  <c r="O184" i="1"/>
  <c r="O231" i="1"/>
  <c r="T173" i="1"/>
  <c r="T169" i="1"/>
  <c r="T164" i="1"/>
  <c r="T45" i="1"/>
  <c r="T22" i="1"/>
  <c r="O267" i="1"/>
  <c r="T308" i="1"/>
  <c r="O272" i="1"/>
  <c r="T250" i="1"/>
  <c r="O165" i="1"/>
  <c r="O158" i="1"/>
  <c r="O187" i="1"/>
  <c r="O217" i="1"/>
  <c r="O142" i="1"/>
  <c r="T89" i="1"/>
  <c r="T10" i="1"/>
  <c r="O20" i="1"/>
  <c r="O309" i="1"/>
  <c r="O91" i="1"/>
  <c r="T205" i="1"/>
  <c r="T61" i="1"/>
  <c r="T233" i="1"/>
  <c r="T7" i="1"/>
  <c r="O310" i="1"/>
  <c r="O45" i="1"/>
  <c r="O270" i="1"/>
  <c r="O10" i="1"/>
  <c r="O301" i="1"/>
  <c r="T196" i="1"/>
  <c r="O99" i="1"/>
  <c r="T126" i="1"/>
  <c r="T52" i="1"/>
  <c r="T295" i="1"/>
  <c r="T157" i="1"/>
  <c r="T134" i="1"/>
  <c r="T116" i="1"/>
  <c r="T320" i="1"/>
  <c r="T292" i="1"/>
  <c r="T271" i="1"/>
  <c r="T273" i="1"/>
  <c r="O180" i="1"/>
  <c r="O317" i="1"/>
  <c r="O245" i="1"/>
  <c r="T231" i="1"/>
  <c r="T71" i="1"/>
  <c r="T63" i="1"/>
  <c r="T119" i="1"/>
  <c r="O11" i="1"/>
  <c r="O193" i="1"/>
  <c r="O247" i="1"/>
  <c r="T211" i="1"/>
  <c r="O130" i="1"/>
  <c r="O140" i="1"/>
  <c r="T82" i="1"/>
  <c r="T136" i="1"/>
  <c r="T128" i="1"/>
  <c r="T51" i="1"/>
  <c r="O318" i="1"/>
  <c r="T232" i="1"/>
  <c r="O50" i="1"/>
  <c r="T84" i="1"/>
  <c r="O119" i="1"/>
  <c r="O35" i="1"/>
  <c r="T144" i="1"/>
  <c r="O3" i="1"/>
  <c r="T14" i="1"/>
  <c r="T212" i="1"/>
  <c r="T219" i="1"/>
  <c r="O129" i="1"/>
  <c r="T133" i="1"/>
  <c r="T189" i="1"/>
  <c r="T93" i="1"/>
  <c r="T15" i="1"/>
  <c r="O25" i="1"/>
  <c r="O206" i="1"/>
  <c r="O95" i="1"/>
  <c r="T131" i="1"/>
  <c r="T103" i="1"/>
  <c r="O34" i="1"/>
  <c r="O201" i="1"/>
  <c r="T275" i="1"/>
  <c r="O159" i="1"/>
  <c r="O68" i="1"/>
  <c r="T25" i="1"/>
  <c r="O292" i="1"/>
  <c r="O322" i="1"/>
  <c r="O274" i="1"/>
  <c r="O232" i="1"/>
  <c r="O154" i="1"/>
  <c r="O82" i="1"/>
  <c r="T38" i="1"/>
  <c r="O152" i="1"/>
  <c r="T26" i="1"/>
  <c r="T29" i="1"/>
  <c r="T262" i="1"/>
  <c r="T259" i="1"/>
  <c r="O185" i="1"/>
  <c r="T43" i="1"/>
  <c r="T40" i="1"/>
  <c r="O182" i="1"/>
  <c r="O210" i="1"/>
  <c r="O213" i="1"/>
  <c r="O143" i="1"/>
  <c r="O33" i="1"/>
  <c r="T210" i="1"/>
  <c r="O57" i="1"/>
  <c r="O23" i="1"/>
  <c r="O312" i="1"/>
  <c r="O40" i="1"/>
  <c r="T102" i="1"/>
  <c r="T73" i="1"/>
  <c r="T266" i="1"/>
  <c r="O75" i="1"/>
  <c r="O54" i="1"/>
  <c r="O240" i="1"/>
  <c r="T198" i="1"/>
  <c r="T115" i="1"/>
  <c r="O8" i="1"/>
  <c r="O256" i="1"/>
  <c r="T274" i="1"/>
  <c r="T122" i="1"/>
  <c r="T148" i="1"/>
  <c r="T47" i="1"/>
  <c r="T291" i="1"/>
  <c r="O271" i="1"/>
  <c r="T317" i="1"/>
  <c r="T290" i="1"/>
  <c r="T69" i="1"/>
  <c r="O9" i="1"/>
  <c r="T215" i="1"/>
  <c r="O325" i="1"/>
  <c r="T326" i="1"/>
  <c r="T228" i="1"/>
  <c r="T197" i="1"/>
  <c r="O134" i="1"/>
  <c r="T156" i="1"/>
  <c r="T114" i="1"/>
  <c r="O86" i="1"/>
  <c r="T143" i="1"/>
  <c r="O100" i="1"/>
  <c r="T8" i="1"/>
  <c r="T155" i="1"/>
  <c r="T56" i="1"/>
  <c r="T12" i="1"/>
  <c r="T227" i="1"/>
  <c r="O248" i="1"/>
  <c r="O120" i="1"/>
  <c r="O28" i="1"/>
  <c r="O77" i="1"/>
  <c r="O63" i="1"/>
  <c r="T129" i="1"/>
  <c r="O186" i="1"/>
  <c r="O115" i="1"/>
  <c r="T86" i="1"/>
  <c r="T58" i="1"/>
  <c r="T185" i="1"/>
  <c r="O131" i="1"/>
  <c r="T127" i="1"/>
  <c r="T142" i="1"/>
  <c r="O84" i="1"/>
  <c r="T31" i="1"/>
  <c r="O156" i="1"/>
  <c r="O74" i="1"/>
  <c r="T34" i="1"/>
  <c r="O275" i="1"/>
  <c r="T255" i="1"/>
  <c r="O92" i="1"/>
  <c r="T39" i="1"/>
  <c r="T21" i="1"/>
  <c r="O147" i="1"/>
  <c r="T24" i="1"/>
  <c r="T264" i="1"/>
  <c r="T260" i="1"/>
  <c r="O276" i="1"/>
  <c r="O177" i="1"/>
  <c r="O58" i="1"/>
  <c r="T305" i="1"/>
  <c r="T302" i="1"/>
  <c r="O192" i="1"/>
  <c r="O168" i="1"/>
  <c r="O224" i="1"/>
  <c r="T172" i="1"/>
  <c r="T168" i="1"/>
  <c r="T163" i="1"/>
  <c r="O149" i="1"/>
  <c r="T28" i="1"/>
  <c r="O16" i="1"/>
  <c r="T312" i="1"/>
  <c r="O290" i="1"/>
  <c r="O289" i="1"/>
  <c r="O280" i="1"/>
  <c r="O299" i="1"/>
  <c r="T256" i="1"/>
  <c r="T248" i="1"/>
  <c r="T240" i="1"/>
  <c r="O196" i="1"/>
  <c r="O163" i="1"/>
  <c r="O233" i="1"/>
  <c r="O226" i="1"/>
  <c r="O279" i="1"/>
  <c r="O194" i="1"/>
  <c r="T314" i="1"/>
  <c r="O294" i="1"/>
  <c r="O225" i="1"/>
  <c r="O166" i="1"/>
  <c r="T238" i="1"/>
  <c r="T162" i="1"/>
  <c r="O288" i="1"/>
  <c r="O14" i="1"/>
  <c r="T313" i="1"/>
  <c r="T245" i="1"/>
  <c r="O223" i="1"/>
  <c r="O211" i="1"/>
  <c r="T247" i="1"/>
  <c r="O15" i="1"/>
  <c r="O266" i="1"/>
  <c r="T236" i="1"/>
  <c r="T253" i="1"/>
  <c r="T170" i="1"/>
  <c r="T161" i="1"/>
  <c r="O151" i="1"/>
  <c r="T36" i="1"/>
  <c r="T309" i="1"/>
  <c r="O285" i="1"/>
  <c r="O282" i="1"/>
  <c r="T243" i="1"/>
  <c r="T252" i="1"/>
  <c r="T44" i="1"/>
  <c r="O297" i="1"/>
  <c r="T251" i="1"/>
  <c r="O218" i="1"/>
  <c r="T150" i="1"/>
  <c r="T310" i="1"/>
  <c r="O220" i="1"/>
  <c r="O170" i="1"/>
  <c r="O162" i="1"/>
  <c r="O157" i="1"/>
  <c r="O286" i="1"/>
  <c r="T315" i="1"/>
  <c r="T276" i="1"/>
  <c r="T258" i="1"/>
  <c r="T239" i="1"/>
  <c r="T158" i="1"/>
  <c r="O199" i="1"/>
  <c r="O216" i="1"/>
  <c r="O67" i="1"/>
  <c r="T77" i="1"/>
  <c r="O110" i="1"/>
  <c r="T193" i="1"/>
  <c r="O260" i="1"/>
  <c r="T5" i="1"/>
  <c r="T66" i="1"/>
  <c r="O106" i="1"/>
  <c r="O52" i="1"/>
  <c r="T107" i="1"/>
  <c r="T88" i="1"/>
  <c r="T124" i="1"/>
  <c r="O6" i="1"/>
  <c r="O255" i="1"/>
  <c r="O70" i="1"/>
  <c r="T297" i="1"/>
  <c r="T283" i="1"/>
  <c r="O215" i="1"/>
  <c r="T130" i="1"/>
  <c r="O141" i="1"/>
  <c r="O264" i="1"/>
  <c r="O189" i="1"/>
  <c r="T289" i="1"/>
  <c r="T269" i="1"/>
  <c r="T299" i="1"/>
  <c r="T270" i="1"/>
  <c r="T296" i="1"/>
  <c r="T288" i="1"/>
  <c r="T204" i="1"/>
  <c r="O122" i="1"/>
  <c r="T91" i="1"/>
  <c r="T67" i="1"/>
  <c r="T81" i="1"/>
  <c r="T17" i="1"/>
  <c r="T57" i="1"/>
  <c r="T123" i="1"/>
  <c r="O7" i="1"/>
  <c r="O136" i="1"/>
  <c r="O51" i="1"/>
  <c r="O61" i="1"/>
  <c r="O19" i="1"/>
  <c r="T154" i="1"/>
  <c r="T140" i="1"/>
  <c r="T132" i="1"/>
  <c r="T120" i="1"/>
  <c r="T112" i="1"/>
  <c r="O78" i="1"/>
  <c r="T54" i="1"/>
  <c r="O195" i="1"/>
  <c r="O137" i="1"/>
  <c r="O79" i="1"/>
  <c r="T53" i="1"/>
  <c r="O139" i="1"/>
  <c r="O135" i="1"/>
  <c r="O253" i="1"/>
  <c r="T218" i="1"/>
  <c r="T201" i="1"/>
  <c r="T183" i="1"/>
  <c r="O21" i="1"/>
  <c r="T105" i="1"/>
  <c r="T87" i="1"/>
  <c r="O203" i="1"/>
  <c r="O36" i="1"/>
  <c r="T9" i="1"/>
  <c r="O127" i="1"/>
  <c r="O221" i="1"/>
  <c r="T139" i="1"/>
  <c r="O123" i="1"/>
  <c r="O30" i="1"/>
  <c r="O278" i="1"/>
  <c r="O283" i="1"/>
  <c r="T303" i="1"/>
  <c r="T37" i="1"/>
  <c r="T23" i="1"/>
  <c r="T263" i="1"/>
  <c r="T261" i="1"/>
  <c r="O295" i="1"/>
  <c r="O198" i="1"/>
  <c r="O190" i="1"/>
  <c r="T145" i="1"/>
  <c r="T281" i="1"/>
  <c r="T282" i="1"/>
  <c r="T171" i="1"/>
  <c r="T166" i="1"/>
  <c r="O60" i="1"/>
  <c r="O13" i="1"/>
  <c r="T304" i="1"/>
  <c r="O277" i="1"/>
  <c r="T249" i="1"/>
  <c r="T254" i="1"/>
  <c r="T246" i="1"/>
  <c r="O161" i="1"/>
  <c r="O150" i="1"/>
  <c r="T32" i="1"/>
  <c r="O268" i="1"/>
  <c r="T325" i="1"/>
  <c r="S325" i="1"/>
  <c r="R51" i="1"/>
  <c r="P327" i="1"/>
  <c r="R325" i="1"/>
  <c r="Q19" i="1"/>
  <c r="Q325" i="1"/>
  <c r="P326" i="1"/>
  <c r="P323" i="1"/>
  <c r="P322" i="1"/>
  <c r="P325" i="1"/>
  <c r="O18" i="1"/>
  <c r="Q222" i="1"/>
  <c r="R225" i="1"/>
  <c r="S189" i="1"/>
  <c r="P223" i="1"/>
  <c r="Q290" i="1"/>
  <c r="R57" i="1"/>
  <c r="Q251" i="1"/>
  <c r="Q238" i="1"/>
  <c r="Q45" i="1"/>
  <c r="R259" i="1"/>
  <c r="R20" i="1"/>
  <c r="R17" i="1"/>
  <c r="S255" i="1"/>
  <c r="S245" i="1"/>
  <c r="S184" i="1"/>
  <c r="P262" i="1"/>
  <c r="P138" i="1"/>
  <c r="P116" i="1"/>
  <c r="P92" i="1"/>
  <c r="P23" i="1"/>
  <c r="Q317" i="1"/>
  <c r="Q280" i="1"/>
  <c r="Q192" i="1"/>
  <c r="Q21" i="1"/>
  <c r="Q5" i="1"/>
  <c r="R176" i="1"/>
  <c r="R215" i="1"/>
  <c r="R68" i="1"/>
  <c r="S293" i="1"/>
  <c r="P184" i="1"/>
  <c r="P154" i="1"/>
  <c r="P120" i="1"/>
  <c r="Q283" i="1"/>
  <c r="Q149" i="1"/>
  <c r="Q131" i="1"/>
  <c r="Q3" i="1"/>
  <c r="R123" i="1"/>
  <c r="R81" i="1"/>
  <c r="S235" i="1"/>
  <c r="S43" i="1"/>
  <c r="S5" i="1"/>
  <c r="P315" i="1"/>
  <c r="P253" i="1"/>
  <c r="P157" i="1"/>
  <c r="P39" i="1"/>
  <c r="P103" i="1"/>
  <c r="Q220" i="1"/>
  <c r="Q245" i="1"/>
  <c r="Q176" i="1"/>
  <c r="Q139" i="1"/>
  <c r="Q67" i="1"/>
  <c r="Q61" i="1"/>
  <c r="R273" i="1"/>
  <c r="R319" i="1"/>
  <c r="R317" i="1"/>
  <c r="R169" i="1"/>
  <c r="R155" i="1"/>
  <c r="R6" i="1"/>
  <c r="S233" i="1"/>
  <c r="S227" i="1"/>
  <c r="S190" i="1"/>
  <c r="S195" i="1"/>
  <c r="S129" i="1"/>
  <c r="S31" i="1"/>
  <c r="P218" i="1"/>
  <c r="P188" i="1"/>
  <c r="P134" i="1"/>
  <c r="P9" i="1"/>
  <c r="Q198" i="1"/>
  <c r="P129" i="1"/>
  <c r="Q20" i="1"/>
  <c r="S273" i="1"/>
  <c r="S35" i="1"/>
  <c r="P265" i="1"/>
  <c r="Q310" i="1"/>
  <c r="Q204" i="1"/>
  <c r="Q28" i="1"/>
  <c r="Q56" i="1"/>
  <c r="R240" i="1"/>
  <c r="R136" i="1"/>
  <c r="R148" i="1"/>
  <c r="R53" i="1"/>
  <c r="R88" i="1"/>
  <c r="S217" i="1"/>
  <c r="S219" i="1"/>
  <c r="S186" i="1"/>
  <c r="S29" i="1"/>
  <c r="S36" i="1"/>
  <c r="P248" i="1"/>
  <c r="P102" i="1"/>
  <c r="P137" i="1"/>
  <c r="Q264" i="1"/>
  <c r="Q288" i="1"/>
  <c r="Q269" i="1"/>
  <c r="Q164" i="1"/>
  <c r="Q33" i="1"/>
  <c r="R264" i="1"/>
  <c r="R138" i="1"/>
  <c r="R19" i="1"/>
  <c r="S261" i="1"/>
  <c r="S149" i="1"/>
  <c r="S85" i="1"/>
  <c r="S16" i="1"/>
  <c r="S6" i="1"/>
  <c r="P224" i="1"/>
  <c r="P160" i="1"/>
  <c r="P25" i="1"/>
  <c r="Q252" i="1"/>
  <c r="R152" i="1"/>
  <c r="P168" i="1"/>
  <c r="R247" i="1"/>
  <c r="R258" i="1"/>
  <c r="S267" i="1"/>
  <c r="P293" i="1"/>
  <c r="P186" i="1"/>
  <c r="Q143" i="1"/>
  <c r="Q44" i="1"/>
  <c r="R254" i="1"/>
  <c r="R129" i="1"/>
  <c r="S252" i="1"/>
  <c r="S303" i="1"/>
  <c r="S68" i="1"/>
  <c r="P187" i="1"/>
  <c r="P11" i="1"/>
  <c r="Q162" i="1"/>
  <c r="Q84" i="1"/>
  <c r="Q38" i="1"/>
  <c r="R222" i="1"/>
  <c r="R37" i="1"/>
  <c r="R64" i="1"/>
  <c r="R76" i="1"/>
  <c r="S298" i="1"/>
  <c r="S297" i="1"/>
  <c r="S287" i="1"/>
  <c r="S105" i="1"/>
  <c r="P289" i="1"/>
  <c r="P257" i="1"/>
  <c r="P149" i="1"/>
  <c r="Q302" i="1"/>
  <c r="Q234" i="1"/>
  <c r="Q232" i="1"/>
  <c r="Q12" i="1"/>
  <c r="Q4" i="1"/>
  <c r="R109" i="1"/>
  <c r="R196" i="1"/>
  <c r="R18" i="1"/>
  <c r="S241" i="1"/>
  <c r="S194" i="1"/>
  <c r="S51" i="1"/>
  <c r="P309" i="1"/>
  <c r="P274" i="1"/>
  <c r="P164" i="1"/>
  <c r="P148" i="1"/>
  <c r="P28" i="1"/>
  <c r="Q287" i="1"/>
  <c r="Q195" i="1"/>
  <c r="Q80" i="1"/>
  <c r="Q34" i="1"/>
  <c r="R86" i="1"/>
  <c r="S260" i="1"/>
  <c r="S89" i="1"/>
  <c r="P251" i="1"/>
  <c r="P320" i="1"/>
  <c r="Q35" i="1"/>
  <c r="R117" i="1"/>
  <c r="S148" i="1"/>
  <c r="P267" i="1"/>
  <c r="P29" i="1"/>
  <c r="Q114" i="1"/>
  <c r="R140" i="1"/>
  <c r="S246" i="1"/>
  <c r="P58" i="1"/>
  <c r="Q225" i="1"/>
  <c r="Q180" i="1"/>
  <c r="Q133" i="1"/>
  <c r="R323" i="1"/>
  <c r="R272" i="1"/>
  <c r="R120" i="1"/>
  <c r="R149" i="1"/>
  <c r="R5" i="1"/>
  <c r="S222" i="1"/>
  <c r="S55" i="1"/>
  <c r="S10" i="1"/>
  <c r="P250" i="1"/>
  <c r="P239" i="1"/>
  <c r="P191" i="1"/>
  <c r="P192" i="1"/>
  <c r="P67" i="1"/>
  <c r="Q40" i="1"/>
  <c r="R16" i="1"/>
  <c r="R40" i="1"/>
  <c r="R4" i="1"/>
  <c r="S156" i="1"/>
  <c r="S15" i="1"/>
  <c r="P266" i="1"/>
  <c r="P226" i="1"/>
  <c r="P110" i="1"/>
  <c r="P56" i="1"/>
  <c r="Q37" i="1"/>
  <c r="R310" i="1"/>
  <c r="R191" i="1"/>
  <c r="R132" i="1"/>
  <c r="R157" i="1"/>
  <c r="R142" i="1"/>
  <c r="S316" i="1"/>
  <c r="S257" i="1"/>
  <c r="S168" i="1"/>
  <c r="S12" i="1"/>
  <c r="P244" i="1"/>
  <c r="P195" i="1"/>
  <c r="P200" i="1"/>
  <c r="P107" i="1"/>
  <c r="Q281" i="1"/>
  <c r="Q182" i="1"/>
  <c r="Q9" i="1"/>
  <c r="R192" i="1"/>
  <c r="R24" i="1"/>
  <c r="R21" i="1"/>
  <c r="S309" i="1"/>
  <c r="S40" i="1"/>
  <c r="P144" i="1"/>
  <c r="P100" i="1"/>
  <c r="U118" i="1"/>
  <c r="U90" i="1"/>
  <c r="N58" i="1"/>
  <c r="U117" i="1"/>
  <c r="U28" i="1"/>
  <c r="U27" i="1"/>
  <c r="U91" i="1"/>
  <c r="N325" i="1"/>
  <c r="N250" i="1"/>
  <c r="N246" i="1"/>
  <c r="U17" i="1"/>
  <c r="U13" i="1"/>
  <c r="N102" i="1"/>
  <c r="N98" i="1"/>
  <c r="N93" i="1"/>
  <c r="N68" i="1"/>
  <c r="N82" i="1"/>
  <c r="N78" i="1"/>
  <c r="N252" i="1"/>
  <c r="N322" i="1"/>
  <c r="N79" i="1"/>
  <c r="N69" i="1"/>
  <c r="N59" i="1"/>
  <c r="U297" i="1"/>
  <c r="U289" i="1"/>
  <c r="U285" i="1"/>
  <c r="U280" i="1"/>
  <c r="U276" i="1"/>
  <c r="U271" i="1"/>
  <c r="U264" i="1"/>
  <c r="U260" i="1"/>
  <c r="U256" i="1"/>
  <c r="U252" i="1"/>
  <c r="U248" i="1"/>
  <c r="U242" i="1"/>
  <c r="U236" i="1"/>
  <c r="U205" i="1"/>
  <c r="U201" i="1"/>
  <c r="U196" i="1"/>
  <c r="U177" i="1"/>
  <c r="U84" i="1"/>
  <c r="U73" i="1"/>
  <c r="U65" i="1"/>
  <c r="U139" i="1"/>
  <c r="U135" i="1"/>
  <c r="U131" i="1"/>
  <c r="U110" i="1"/>
  <c r="N320" i="1"/>
  <c r="N312" i="1"/>
  <c r="N302" i="1"/>
  <c r="N297" i="1"/>
  <c r="N292" i="1"/>
  <c r="N288" i="1"/>
  <c r="N283" i="1"/>
  <c r="N279" i="1"/>
  <c r="N275" i="1"/>
  <c r="N271" i="1"/>
  <c r="N267" i="1"/>
  <c r="N263" i="1"/>
  <c r="N178" i="1"/>
  <c r="N249" i="1"/>
  <c r="N235" i="1"/>
  <c r="N231" i="1"/>
  <c r="N222" i="1"/>
  <c r="N218" i="1"/>
  <c r="N214" i="1"/>
  <c r="N208" i="1"/>
  <c r="N204" i="1"/>
  <c r="N199" i="1"/>
  <c r="N195" i="1"/>
  <c r="N191" i="1"/>
  <c r="N186" i="1"/>
  <c r="N181" i="1"/>
  <c r="N177" i="1"/>
  <c r="U321" i="1"/>
  <c r="U266" i="1"/>
  <c r="N166" i="1"/>
  <c r="N162" i="1"/>
  <c r="N152" i="1"/>
  <c r="N147" i="1"/>
  <c r="N143" i="1"/>
  <c r="N139" i="1"/>
  <c r="N135" i="1"/>
  <c r="N131" i="1"/>
  <c r="N127" i="1"/>
  <c r="N120" i="1"/>
  <c r="N115" i="1"/>
  <c r="N94" i="1"/>
  <c r="N37" i="1"/>
  <c r="N33" i="1"/>
  <c r="N29" i="1"/>
  <c r="N16" i="1"/>
  <c r="N12" i="1"/>
  <c r="N8" i="1"/>
  <c r="N4" i="1"/>
  <c r="U309" i="1"/>
  <c r="U234" i="1"/>
  <c r="U225" i="1"/>
  <c r="U211" i="1"/>
  <c r="U184" i="1"/>
  <c r="U168" i="1"/>
  <c r="U162" i="1"/>
  <c r="U158" i="1"/>
  <c r="U153" i="1"/>
  <c r="U149" i="1"/>
  <c r="U107" i="1"/>
  <c r="U92" i="1"/>
  <c r="U75" i="1"/>
  <c r="U66" i="1"/>
  <c r="U44" i="1"/>
  <c r="U7" i="1"/>
  <c r="U85" i="1"/>
  <c r="U25" i="1"/>
  <c r="U212" i="1"/>
  <c r="U193" i="1"/>
  <c r="U143" i="1"/>
  <c r="U59" i="1"/>
  <c r="N259" i="1"/>
  <c r="N110" i="1"/>
  <c r="N106" i="1"/>
  <c r="N52" i="1"/>
  <c r="Q292" i="1"/>
  <c r="Q77" i="1"/>
  <c r="R141" i="1"/>
  <c r="S91" i="1"/>
  <c r="P83" i="1"/>
  <c r="Q322" i="1"/>
  <c r="Q254" i="1"/>
  <c r="Q271" i="1"/>
  <c r="Q219" i="1"/>
  <c r="Q120" i="1"/>
  <c r="Q73" i="1"/>
  <c r="R204" i="1"/>
  <c r="S282" i="1"/>
  <c r="S323" i="1"/>
  <c r="S239" i="1"/>
  <c r="S212" i="1"/>
  <c r="S14" i="1"/>
  <c r="S3" i="1"/>
  <c r="P298" i="1"/>
  <c r="P234" i="1"/>
  <c r="P216" i="1"/>
  <c r="P217" i="1"/>
  <c r="P77" i="1"/>
  <c r="P95" i="1"/>
  <c r="Q278" i="1"/>
  <c r="Q250" i="1"/>
  <c r="Q168" i="1"/>
  <c r="Q141" i="1"/>
  <c r="R318" i="1"/>
  <c r="R322" i="1"/>
  <c r="R194" i="1"/>
  <c r="R82" i="1"/>
  <c r="S134" i="1"/>
  <c r="S65" i="1"/>
  <c r="P161" i="1"/>
  <c r="P21" i="1"/>
  <c r="P10" i="1"/>
  <c r="Q247" i="1"/>
  <c r="Q101" i="1"/>
  <c r="Q72" i="1"/>
  <c r="Q138" i="1"/>
  <c r="S86" i="1"/>
  <c r="S97" i="1"/>
  <c r="P300" i="1"/>
  <c r="P183" i="1"/>
  <c r="P98" i="1"/>
  <c r="P71" i="1"/>
  <c r="Q319" i="1"/>
  <c r="Q157" i="1"/>
  <c r="Q134" i="1"/>
  <c r="Q78" i="1"/>
  <c r="Q130" i="1"/>
  <c r="R255" i="1"/>
  <c r="R205" i="1"/>
  <c r="R116" i="1"/>
  <c r="R44" i="1"/>
  <c r="R8" i="1"/>
  <c r="S238" i="1"/>
  <c r="S162" i="1"/>
  <c r="S4" i="1"/>
  <c r="P232" i="1"/>
  <c r="P297" i="1"/>
  <c r="P81" i="1"/>
  <c r="P63" i="1"/>
  <c r="P3" i="1"/>
  <c r="Q65" i="1"/>
  <c r="Q327" i="1"/>
  <c r="Q8" i="1"/>
  <c r="S232" i="1"/>
  <c r="S8" i="1"/>
  <c r="P86" i="1"/>
  <c r="Q275" i="1"/>
  <c r="Q199" i="1"/>
  <c r="Q112" i="1"/>
  <c r="Q16" i="1"/>
  <c r="R302" i="1"/>
  <c r="R231" i="1"/>
  <c r="R104" i="1"/>
  <c r="R36" i="1"/>
  <c r="R15" i="1"/>
  <c r="S205" i="1"/>
  <c r="S181" i="1"/>
  <c r="S143" i="1"/>
  <c r="S93" i="1"/>
  <c r="S116" i="1"/>
  <c r="P152" i="1"/>
  <c r="P55" i="1"/>
  <c r="P8" i="1"/>
  <c r="Q255" i="1"/>
  <c r="Q226" i="1"/>
  <c r="Q148" i="1"/>
  <c r="Q69" i="1"/>
  <c r="R261" i="1"/>
  <c r="R90" i="1"/>
  <c r="S300" i="1"/>
  <c r="S291" i="1"/>
  <c r="S169" i="1"/>
  <c r="S164" i="1"/>
  <c r="S72" i="1"/>
  <c r="P245" i="1"/>
  <c r="P178" i="1"/>
  <c r="P156" i="1"/>
  <c r="P15" i="1"/>
  <c r="P33" i="1"/>
  <c r="Q150" i="1"/>
  <c r="S188" i="1"/>
  <c r="Q121" i="1"/>
  <c r="R296" i="1"/>
  <c r="R208" i="1"/>
  <c r="S182" i="1"/>
  <c r="P296" i="1"/>
  <c r="P127" i="1"/>
  <c r="Q194" i="1"/>
  <c r="Q31" i="1"/>
  <c r="Q127" i="1"/>
  <c r="R257" i="1"/>
  <c r="R197" i="1"/>
  <c r="R221" i="1"/>
  <c r="R107" i="1"/>
  <c r="R75" i="1"/>
  <c r="S228" i="1"/>
  <c r="S136" i="1"/>
  <c r="S28" i="1"/>
  <c r="P235" i="1"/>
  <c r="P153" i="1"/>
  <c r="P62" i="1"/>
  <c r="P133" i="1"/>
  <c r="P66" i="1"/>
  <c r="P24" i="1"/>
  <c r="Q169" i="1"/>
  <c r="Q266" i="1"/>
  <c r="Q47" i="1"/>
  <c r="R201" i="1"/>
  <c r="R74" i="1"/>
  <c r="S263" i="1"/>
  <c r="S198" i="1"/>
  <c r="S185" i="1"/>
  <c r="S90" i="1"/>
  <c r="S69" i="1"/>
  <c r="S95" i="1"/>
  <c r="S94" i="1"/>
  <c r="P237" i="1"/>
  <c r="P283" i="1"/>
  <c r="P130" i="1"/>
  <c r="P72" i="1"/>
  <c r="Q289" i="1"/>
  <c r="Q221" i="1"/>
  <c r="Q282" i="1"/>
  <c r="R232" i="1"/>
  <c r="R253" i="1"/>
  <c r="R219" i="1"/>
  <c r="R170" i="1"/>
  <c r="R106" i="1"/>
  <c r="S302" i="1"/>
  <c r="S20" i="1"/>
  <c r="P256" i="1"/>
  <c r="P106" i="1"/>
  <c r="Q274" i="1"/>
  <c r="Q25" i="1"/>
  <c r="Q66" i="1"/>
  <c r="R268" i="1"/>
  <c r="R158" i="1"/>
  <c r="R79" i="1"/>
  <c r="R39" i="1"/>
  <c r="R72" i="1"/>
  <c r="S318" i="1"/>
  <c r="S256" i="1"/>
  <c r="S141" i="1"/>
  <c r="S56" i="1"/>
  <c r="S79" i="1"/>
  <c r="P241" i="1"/>
  <c r="P292" i="1"/>
  <c r="P65" i="1"/>
  <c r="P69" i="1"/>
  <c r="Q320" i="1"/>
  <c r="Q10" i="1"/>
  <c r="R31" i="1"/>
  <c r="S100" i="1"/>
  <c r="P319" i="1"/>
  <c r="P7" i="1"/>
  <c r="Q57" i="1"/>
  <c r="R27" i="1"/>
  <c r="P271" i="1"/>
  <c r="P93" i="1"/>
  <c r="R166" i="1"/>
  <c r="Q59" i="1"/>
  <c r="S259" i="1"/>
  <c r="S78" i="1"/>
  <c r="S47" i="1"/>
  <c r="S33" i="1"/>
  <c r="S22" i="1"/>
  <c r="P238" i="1"/>
  <c r="P317" i="1"/>
  <c r="Q303" i="1"/>
  <c r="Q151" i="1"/>
  <c r="Q155" i="1"/>
  <c r="Q43" i="1"/>
  <c r="R274" i="1"/>
  <c r="R200" i="1"/>
  <c r="R85" i="1"/>
  <c r="R99" i="1"/>
  <c r="S197" i="1"/>
  <c r="S121" i="1"/>
  <c r="S58" i="1"/>
  <c r="S133" i="1"/>
  <c r="P203" i="1"/>
  <c r="P40" i="1"/>
  <c r="P104" i="1"/>
  <c r="P22" i="1"/>
  <c r="Q318" i="1"/>
  <c r="Q17" i="1"/>
  <c r="Q147" i="1"/>
  <c r="Q29" i="1"/>
  <c r="R275" i="1"/>
  <c r="R252" i="1"/>
  <c r="R177" i="1"/>
  <c r="R118" i="1"/>
  <c r="S296" i="1"/>
  <c r="S229" i="1"/>
  <c r="S130" i="1"/>
  <c r="S54" i="1"/>
  <c r="P255" i="1"/>
  <c r="P211" i="1"/>
  <c r="P17" i="1"/>
  <c r="P12" i="1"/>
  <c r="Q233" i="1"/>
  <c r="Q201" i="1"/>
  <c r="Q89" i="1"/>
  <c r="Q167" i="1"/>
  <c r="Q50" i="1"/>
  <c r="Q79" i="1"/>
  <c r="R326" i="1"/>
  <c r="R256" i="1"/>
  <c r="R195" i="1"/>
  <c r="R199" i="1"/>
  <c r="R25" i="1"/>
  <c r="R9" i="1"/>
  <c r="S274" i="1"/>
  <c r="S218" i="1"/>
  <c r="S84" i="1"/>
  <c r="S9" i="1"/>
  <c r="P259" i="1"/>
  <c r="P212" i="1"/>
  <c r="P198" i="1"/>
  <c r="P99" i="1"/>
  <c r="P34" i="1"/>
  <c r="P57" i="1"/>
  <c r="U116" i="1"/>
  <c r="U88" i="1"/>
  <c r="U115" i="1"/>
  <c r="U37" i="1"/>
  <c r="N240" i="1"/>
  <c r="N40" i="1"/>
  <c r="U317" i="1"/>
  <c r="U24" i="1"/>
  <c r="U16" i="1"/>
  <c r="U12" i="1"/>
  <c r="N101" i="1"/>
  <c r="N97" i="1"/>
  <c r="N76" i="1"/>
  <c r="U63" i="1"/>
  <c r="N66" i="1"/>
  <c r="N327" i="1"/>
  <c r="N237" i="1"/>
  <c r="N75" i="1"/>
  <c r="N67" i="1"/>
  <c r="U303" i="1"/>
  <c r="U296" i="1"/>
  <c r="U292" i="1"/>
  <c r="U288" i="1"/>
  <c r="U284" i="1"/>
  <c r="U279" i="1"/>
  <c r="U275" i="1"/>
  <c r="U270" i="1"/>
  <c r="U263" i="1"/>
  <c r="U259" i="1"/>
  <c r="U255" i="1"/>
  <c r="U251" i="1"/>
  <c r="U247" i="1"/>
  <c r="U240" i="1"/>
  <c r="U204" i="1"/>
  <c r="U200" i="1"/>
  <c r="U194" i="1"/>
  <c r="U176" i="1"/>
  <c r="U71" i="1"/>
  <c r="U60" i="1"/>
  <c r="U138" i="1"/>
  <c r="U134" i="1"/>
  <c r="U130" i="1"/>
  <c r="U82" i="1"/>
  <c r="N319" i="1"/>
  <c r="N315" i="1"/>
  <c r="N310" i="1"/>
  <c r="N300" i="1"/>
  <c r="N296" i="1"/>
  <c r="N291" i="1"/>
  <c r="N286" i="1"/>
  <c r="N282" i="1"/>
  <c r="N278" i="1"/>
  <c r="N274" i="1"/>
  <c r="N270" i="1"/>
  <c r="N266" i="1"/>
  <c r="N247" i="1"/>
  <c r="N255" i="1"/>
  <c r="N243" i="1"/>
  <c r="N234" i="1"/>
  <c r="N226" i="1"/>
  <c r="N221" i="1"/>
  <c r="N217" i="1"/>
  <c r="N213" i="1"/>
  <c r="N207" i="1"/>
  <c r="N202" i="1"/>
  <c r="N198" i="1"/>
  <c r="N194" i="1"/>
  <c r="N190" i="1"/>
  <c r="N185" i="1"/>
  <c r="N176" i="1"/>
  <c r="N170" i="1"/>
  <c r="N165" i="1"/>
  <c r="N160" i="1"/>
  <c r="N156" i="1"/>
  <c r="N151" i="1"/>
  <c r="N146" i="1"/>
  <c r="N142" i="1"/>
  <c r="N138" i="1"/>
  <c r="N134" i="1"/>
  <c r="N130" i="1"/>
  <c r="N123" i="1"/>
  <c r="N118" i="1"/>
  <c r="N88" i="1"/>
  <c r="N36" i="1"/>
  <c r="N32" i="1"/>
  <c r="N24" i="1"/>
  <c r="N15" i="1"/>
  <c r="N11" i="1"/>
  <c r="N7" i="1"/>
  <c r="N3" i="1"/>
  <c r="U302" i="1"/>
  <c r="U233" i="1"/>
  <c r="U224" i="1"/>
  <c r="U207" i="1"/>
  <c r="U165" i="1"/>
  <c r="U161" i="1"/>
  <c r="U156" i="1"/>
  <c r="U152" i="1"/>
  <c r="U146" i="1"/>
  <c r="U106" i="1"/>
  <c r="U81" i="1"/>
  <c r="U72" i="1"/>
  <c r="U62" i="1"/>
  <c r="U43" i="1"/>
  <c r="U18" i="1"/>
  <c r="U23" i="1"/>
  <c r="U209" i="1"/>
  <c r="U195" i="1"/>
  <c r="U189" i="1"/>
  <c r="U187" i="1"/>
  <c r="U142" i="1"/>
  <c r="N262" i="1"/>
  <c r="N258" i="1"/>
  <c r="N114" i="1"/>
  <c r="N109" i="1"/>
  <c r="N104" i="1"/>
  <c r="N54" i="1"/>
  <c r="N51" i="1"/>
  <c r="N47" i="1"/>
  <c r="N45" i="1"/>
  <c r="N48" i="1"/>
  <c r="Q196" i="1"/>
  <c r="R263" i="1"/>
  <c r="S292" i="1"/>
  <c r="S107" i="1"/>
  <c r="P151" i="1"/>
  <c r="Q58" i="1"/>
  <c r="Q272" i="1"/>
  <c r="Q154" i="1"/>
  <c r="Q32" i="1"/>
  <c r="R284" i="1"/>
  <c r="R159" i="1"/>
  <c r="R22" i="1"/>
  <c r="S286" i="1"/>
  <c r="S236" i="1"/>
  <c r="S163" i="1"/>
  <c r="S140" i="1"/>
  <c r="P303" i="1"/>
  <c r="P290" i="1"/>
  <c r="P177" i="1"/>
  <c r="P163" i="1"/>
  <c r="P60" i="1"/>
  <c r="Q248" i="1"/>
  <c r="Q258" i="1"/>
  <c r="Q145" i="1"/>
  <c r="Q91" i="1"/>
  <c r="R270" i="1"/>
  <c r="R289" i="1"/>
  <c r="R165" i="1"/>
  <c r="R114" i="1"/>
  <c r="R30" i="1"/>
  <c r="S142" i="1"/>
  <c r="S48" i="1"/>
  <c r="P254" i="1"/>
  <c r="P139" i="1"/>
  <c r="Q231" i="1"/>
  <c r="Q190" i="1"/>
  <c r="Q184" i="1"/>
  <c r="Q92" i="1"/>
  <c r="Q71" i="1"/>
  <c r="R260" i="1"/>
  <c r="R61" i="1"/>
  <c r="S196" i="1"/>
  <c r="S166" i="1"/>
  <c r="S38" i="1"/>
  <c r="P318" i="1"/>
  <c r="P197" i="1"/>
  <c r="P141" i="1"/>
  <c r="P79" i="1"/>
  <c r="P70" i="1"/>
  <c r="P26" i="1"/>
  <c r="Q256" i="1"/>
  <c r="Q197" i="1"/>
  <c r="Q129" i="1"/>
  <c r="Q63" i="1"/>
  <c r="Q14" i="1"/>
  <c r="R78" i="1"/>
  <c r="S231" i="1"/>
  <c r="S275" i="1"/>
  <c r="S73" i="1"/>
  <c r="S113" i="1"/>
  <c r="S115" i="1"/>
  <c r="P299" i="1"/>
  <c r="P294" i="1"/>
  <c r="P169" i="1"/>
  <c r="P50" i="1"/>
  <c r="Q240" i="1"/>
  <c r="Q64" i="1"/>
  <c r="Q236" i="1"/>
  <c r="R303" i="1"/>
  <c r="S146" i="1"/>
  <c r="S77" i="1"/>
  <c r="P119" i="1"/>
  <c r="Q163" i="1"/>
  <c r="Q70" i="1"/>
  <c r="Q85" i="1"/>
  <c r="R282" i="1"/>
  <c r="R154" i="1"/>
  <c r="R26" i="1"/>
  <c r="R43" i="1"/>
  <c r="S234" i="1"/>
  <c r="S114" i="1"/>
  <c r="S132" i="1"/>
  <c r="P247" i="1"/>
  <c r="P181" i="1"/>
  <c r="P84" i="1"/>
  <c r="P37" i="1"/>
  <c r="Q243" i="1"/>
  <c r="Q253" i="1"/>
  <c r="Q161" i="1"/>
  <c r="Q152" i="1"/>
  <c r="Q119" i="1"/>
  <c r="R214" i="1"/>
  <c r="R34" i="1"/>
  <c r="S281" i="1"/>
  <c r="S247" i="1"/>
  <c r="S106" i="1"/>
  <c r="S112" i="1"/>
  <c r="S52" i="1"/>
  <c r="P243" i="1"/>
  <c r="P193" i="1"/>
  <c r="P118" i="1"/>
  <c r="P135" i="1"/>
  <c r="Q86" i="1"/>
  <c r="P231" i="1"/>
  <c r="Q136" i="1"/>
  <c r="R243" i="1"/>
  <c r="R100" i="1"/>
  <c r="S237" i="1"/>
  <c r="P277" i="1"/>
  <c r="Q206" i="1"/>
  <c r="R312" i="1"/>
  <c r="R233" i="1"/>
  <c r="R139" i="1"/>
  <c r="R163" i="1"/>
  <c r="R60" i="1"/>
  <c r="S264" i="1"/>
  <c r="S176" i="1"/>
  <c r="S120" i="1"/>
  <c r="S26" i="1"/>
  <c r="S87" i="1"/>
  <c r="P162" i="1"/>
  <c r="P43" i="1"/>
  <c r="P51" i="1"/>
  <c r="Q262" i="1"/>
  <c r="Q187" i="1"/>
  <c r="Q191" i="1"/>
  <c r="Q132" i="1"/>
  <c r="Q49" i="1"/>
  <c r="R161" i="1"/>
  <c r="R143" i="1"/>
  <c r="R11" i="1"/>
  <c r="S285" i="1"/>
  <c r="S240" i="1"/>
  <c r="S138" i="1"/>
  <c r="S24" i="1"/>
  <c r="S131" i="1"/>
  <c r="P158" i="1"/>
  <c r="P209" i="1"/>
  <c r="P18" i="1"/>
  <c r="P64" i="1"/>
  <c r="Q276" i="1"/>
  <c r="Q107" i="1"/>
  <c r="Q6" i="1"/>
  <c r="R67" i="1"/>
  <c r="R62" i="1"/>
  <c r="S155" i="1"/>
  <c r="S19" i="1"/>
  <c r="P295" i="1"/>
  <c r="P136" i="1"/>
  <c r="Q261" i="1"/>
  <c r="Q103" i="1"/>
  <c r="Q15" i="1"/>
  <c r="Q26" i="1"/>
  <c r="R239" i="1"/>
  <c r="R288" i="1"/>
  <c r="R278" i="1"/>
  <c r="R135" i="1"/>
  <c r="R218" i="1"/>
  <c r="R3" i="1"/>
  <c r="S326" i="1"/>
  <c r="S177" i="1"/>
  <c r="S128" i="1"/>
  <c r="P282" i="1"/>
  <c r="P286" i="1"/>
  <c r="P240" i="1"/>
  <c r="P140" i="1"/>
  <c r="P85" i="1"/>
  <c r="Q142" i="1"/>
  <c r="Q51" i="1"/>
  <c r="R95" i="1"/>
  <c r="S67" i="1"/>
  <c r="P179" i="1"/>
  <c r="Q294" i="1"/>
  <c r="R262" i="1"/>
  <c r="R128" i="1"/>
  <c r="P190" i="1"/>
  <c r="P27" i="1"/>
  <c r="Q156" i="1"/>
  <c r="Q178" i="1"/>
  <c r="Q108" i="1"/>
  <c r="R271" i="1"/>
  <c r="R190" i="1"/>
  <c r="R147" i="1"/>
  <c r="R66" i="1"/>
  <c r="R103" i="1"/>
  <c r="S145" i="1"/>
  <c r="S135" i="1"/>
  <c r="P273" i="1"/>
  <c r="P189" i="1"/>
  <c r="P74" i="1"/>
  <c r="Q285" i="1"/>
  <c r="Q218" i="1"/>
  <c r="Q205" i="1"/>
  <c r="Q128" i="1"/>
  <c r="Q94" i="1"/>
  <c r="Q54" i="1"/>
  <c r="R137" i="1"/>
  <c r="R156" i="1"/>
  <c r="S290" i="1"/>
  <c r="S75" i="1"/>
  <c r="S13" i="1"/>
  <c r="P310" i="1"/>
  <c r="P143" i="1"/>
  <c r="P76" i="1"/>
  <c r="P146" i="1"/>
  <c r="P49" i="1"/>
  <c r="Q257" i="1"/>
  <c r="Q99" i="1"/>
  <c r="R327" i="1"/>
  <c r="R249" i="1"/>
  <c r="R71" i="1"/>
  <c r="R121" i="1"/>
  <c r="S289" i="1"/>
  <c r="S249" i="1"/>
  <c r="S66" i="1"/>
  <c r="P287" i="1"/>
  <c r="P288" i="1"/>
  <c r="P221" i="1"/>
  <c r="P196" i="1"/>
  <c r="P105" i="1"/>
  <c r="Q185" i="1"/>
  <c r="Q98" i="1"/>
  <c r="Q122" i="1"/>
  <c r="R242" i="1"/>
  <c r="R122" i="1"/>
  <c r="R50" i="1"/>
  <c r="S23" i="1"/>
  <c r="P252" i="1"/>
  <c r="P35" i="1"/>
  <c r="P13" i="1"/>
  <c r="U114" i="1"/>
  <c r="N62" i="1"/>
  <c r="U121" i="1"/>
  <c r="U113" i="1"/>
  <c r="U35" i="1"/>
  <c r="N89" i="1"/>
  <c r="U310" i="1"/>
  <c r="R54" i="1"/>
  <c r="N248" i="1"/>
  <c r="U320" i="1"/>
  <c r="U22" i="1"/>
  <c r="U15" i="1"/>
  <c r="N100" i="1"/>
  <c r="N96" i="1"/>
  <c r="N74" i="1"/>
  <c r="U51" i="1"/>
  <c r="N64" i="1"/>
  <c r="N80" i="1"/>
  <c r="N254" i="1"/>
  <c r="N326" i="1"/>
  <c r="N83" i="1"/>
  <c r="N73" i="1"/>
  <c r="N65" i="1"/>
  <c r="N23" i="1"/>
  <c r="U301" i="1"/>
  <c r="U291" i="1"/>
  <c r="U287" i="1"/>
  <c r="U283" i="1"/>
  <c r="U278" i="1"/>
  <c r="U274" i="1"/>
  <c r="U269" i="1"/>
  <c r="U262" i="1"/>
  <c r="U258" i="1"/>
  <c r="U254" i="1"/>
  <c r="U250" i="1"/>
  <c r="U239" i="1"/>
  <c r="U203" i="1"/>
  <c r="U199" i="1"/>
  <c r="U192" i="1"/>
  <c r="U93" i="1"/>
  <c r="U69" i="1"/>
  <c r="U58" i="1"/>
  <c r="U39" i="1"/>
  <c r="U137" i="1"/>
  <c r="U133" i="1"/>
  <c r="U129" i="1"/>
  <c r="U78" i="1"/>
  <c r="N318" i="1"/>
  <c r="N314" i="1"/>
  <c r="N309" i="1"/>
  <c r="N299" i="1"/>
  <c r="N295" i="1"/>
  <c r="N290" i="1"/>
  <c r="N285" i="1"/>
  <c r="N281" i="1"/>
  <c r="N277" i="1"/>
  <c r="N273" i="1"/>
  <c r="N269" i="1"/>
  <c r="N265" i="1"/>
  <c r="N244" i="1"/>
  <c r="N180" i="1"/>
  <c r="N253" i="1"/>
  <c r="N239" i="1"/>
  <c r="N233" i="1"/>
  <c r="N225" i="1"/>
  <c r="N220" i="1"/>
  <c r="N216" i="1"/>
  <c r="N212" i="1"/>
  <c r="N201" i="1"/>
  <c r="N197" i="1"/>
  <c r="N193" i="1"/>
  <c r="N188" i="1"/>
  <c r="N184" i="1"/>
  <c r="N179" i="1"/>
  <c r="N57" i="1"/>
  <c r="U325" i="1"/>
  <c r="U268" i="1"/>
  <c r="N169" i="1"/>
  <c r="N164" i="1"/>
  <c r="N159" i="1"/>
  <c r="N155" i="1"/>
  <c r="N149" i="1"/>
  <c r="N145" i="1"/>
  <c r="N141" i="1"/>
  <c r="N137" i="1"/>
  <c r="N133" i="1"/>
  <c r="N129" i="1"/>
  <c r="N122" i="1"/>
  <c r="N117" i="1"/>
  <c r="N92" i="1"/>
  <c r="N86" i="1"/>
  <c r="N39" i="1"/>
  <c r="N35" i="1"/>
  <c r="N31" i="1"/>
  <c r="N22" i="1"/>
  <c r="N14" i="1"/>
  <c r="N10" i="1"/>
  <c r="N6" i="1"/>
  <c r="U327" i="1"/>
  <c r="U300" i="1"/>
  <c r="U232" i="1"/>
  <c r="U218" i="1"/>
  <c r="U186" i="1"/>
  <c r="U170" i="1"/>
  <c r="U164" i="1"/>
  <c r="U160" i="1"/>
  <c r="U155" i="1"/>
  <c r="U151" i="1"/>
  <c r="U145" i="1"/>
  <c r="U100" i="1"/>
  <c r="U79" i="1"/>
  <c r="U70" i="1"/>
  <c r="U9" i="1"/>
  <c r="U56" i="1"/>
  <c r="U21" i="1"/>
  <c r="U219" i="1"/>
  <c r="U213" i="1"/>
  <c r="U197" i="1"/>
  <c r="U183" i="1"/>
  <c r="U141" i="1"/>
  <c r="U57" i="1"/>
  <c r="U11" i="1"/>
  <c r="N261" i="1"/>
  <c r="N257" i="1"/>
  <c r="N113" i="1"/>
  <c r="N108" i="1"/>
  <c r="N56" i="1"/>
  <c r="N53" i="1"/>
  <c r="N50" i="1"/>
  <c r="N46" i="1"/>
  <c r="N43" i="1"/>
  <c r="N49" i="1"/>
  <c r="N44" i="1"/>
  <c r="Q170" i="1"/>
  <c r="R283" i="1"/>
  <c r="S200" i="1"/>
  <c r="S70" i="1"/>
  <c r="P4" i="1"/>
  <c r="Q18" i="1"/>
  <c r="Q323" i="1"/>
  <c r="Q241" i="1"/>
  <c r="Q24" i="1"/>
  <c r="R251" i="1"/>
  <c r="R320" i="1"/>
  <c r="R29" i="1"/>
  <c r="R130" i="1"/>
  <c r="S104" i="1"/>
  <c r="P258" i="1"/>
  <c r="P207" i="1"/>
  <c r="P128" i="1"/>
  <c r="P132" i="1"/>
  <c r="P31" i="1"/>
  <c r="P121" i="1"/>
  <c r="P44" i="1"/>
  <c r="Q113" i="1"/>
  <c r="Q102" i="1"/>
  <c r="R236" i="1"/>
  <c r="R248" i="1"/>
  <c r="R153" i="1"/>
  <c r="R23" i="1"/>
  <c r="S250" i="1"/>
  <c r="S99" i="1"/>
  <c r="S108" i="1"/>
  <c r="S44" i="1"/>
  <c r="P233" i="1"/>
  <c r="P159" i="1"/>
  <c r="P123" i="1"/>
  <c r="P73" i="1"/>
  <c r="P20" i="1"/>
  <c r="Q296" i="1"/>
  <c r="Q268" i="1"/>
  <c r="Q159" i="1"/>
  <c r="Q144" i="1"/>
  <c r="Q36" i="1"/>
  <c r="Q27" i="1"/>
  <c r="R234" i="1"/>
  <c r="R47" i="1"/>
  <c r="S262" i="1"/>
  <c r="S170" i="1"/>
  <c r="S139" i="1"/>
  <c r="S7" i="1"/>
  <c r="P270" i="1"/>
  <c r="P261" i="1"/>
  <c r="P219" i="1"/>
  <c r="P122" i="1"/>
  <c r="P68" i="1"/>
  <c r="Q273" i="1"/>
  <c r="Q208" i="1"/>
  <c r="Q100" i="1"/>
  <c r="R226" i="1"/>
  <c r="R235" i="1"/>
  <c r="R144" i="1"/>
  <c r="R193" i="1"/>
  <c r="R69" i="1"/>
  <c r="S253" i="1"/>
  <c r="S310" i="1"/>
  <c r="S204" i="1"/>
  <c r="S126" i="1"/>
  <c r="S37" i="1"/>
  <c r="P272" i="1"/>
  <c r="P194" i="1"/>
  <c r="P48" i="1"/>
  <c r="Q259" i="1"/>
  <c r="P278" i="1"/>
  <c r="Q22" i="1"/>
  <c r="S254" i="1"/>
  <c r="S45" i="1"/>
  <c r="P249" i="1"/>
  <c r="Q260" i="1"/>
  <c r="Q166" i="1"/>
  <c r="Q116" i="1"/>
  <c r="R267" i="1"/>
  <c r="R162" i="1"/>
  <c r="R33" i="1"/>
  <c r="R70" i="1"/>
  <c r="R10" i="1"/>
  <c r="S301" i="1"/>
  <c r="S178" i="1"/>
  <c r="S251" i="1"/>
  <c r="S80" i="1"/>
  <c r="S150" i="1"/>
  <c r="P225" i="1"/>
  <c r="P170" i="1"/>
  <c r="P53" i="1"/>
  <c r="P14" i="1"/>
  <c r="Q295" i="1"/>
  <c r="Q326" i="1"/>
  <c r="Q183" i="1"/>
  <c r="Q106" i="1"/>
  <c r="R183" i="1"/>
  <c r="R12" i="1"/>
  <c r="S92" i="1"/>
  <c r="S64" i="1"/>
  <c r="S101" i="1"/>
  <c r="P180" i="1"/>
  <c r="P78" i="1"/>
  <c r="Q11" i="1"/>
  <c r="P111" i="1"/>
  <c r="Q30" i="1"/>
  <c r="R246" i="1"/>
  <c r="R55" i="1"/>
  <c r="S50" i="1"/>
  <c r="P260" i="1"/>
  <c r="Q123" i="1"/>
  <c r="Q137" i="1"/>
  <c r="Q105" i="1"/>
  <c r="R134" i="1"/>
  <c r="R35" i="1"/>
  <c r="S272" i="1"/>
  <c r="S82" i="1"/>
  <c r="S137" i="1"/>
  <c r="P246" i="1"/>
  <c r="P202" i="1"/>
  <c r="P205" i="1"/>
  <c r="P19" i="1"/>
  <c r="P108" i="1"/>
  <c r="P114" i="1"/>
  <c r="Q177" i="1"/>
  <c r="Q7" i="1"/>
  <c r="R291" i="1"/>
  <c r="R220" i="1"/>
  <c r="R111" i="1"/>
  <c r="R92" i="1"/>
  <c r="R13" i="1"/>
  <c r="S268" i="1"/>
  <c r="S167" i="1"/>
  <c r="S161" i="1"/>
  <c r="S152" i="1"/>
  <c r="S76" i="1"/>
  <c r="P301" i="1"/>
  <c r="P302" i="1"/>
  <c r="P204" i="1"/>
  <c r="P30" i="1"/>
  <c r="P38" i="1"/>
  <c r="Q239" i="1"/>
  <c r="Q189" i="1"/>
  <c r="Q93" i="1"/>
  <c r="R198" i="1"/>
  <c r="R211" i="1"/>
  <c r="R127" i="1"/>
  <c r="R46" i="1"/>
  <c r="R28" i="1"/>
  <c r="R7" i="1"/>
  <c r="S294" i="1"/>
  <c r="S30" i="1"/>
  <c r="P214" i="1"/>
  <c r="P176" i="1"/>
  <c r="P47" i="1"/>
  <c r="Q68" i="1"/>
  <c r="R309" i="1"/>
  <c r="R131" i="1"/>
  <c r="R113" i="1"/>
  <c r="S295" i="1"/>
  <c r="S193" i="1"/>
  <c r="S34" i="1"/>
  <c r="P284" i="1"/>
  <c r="P165" i="1"/>
  <c r="P97" i="1"/>
  <c r="P5" i="1"/>
  <c r="Q75" i="1"/>
  <c r="R212" i="1"/>
  <c r="R93" i="1"/>
  <c r="S21" i="1"/>
  <c r="P155" i="1"/>
  <c r="Q246" i="1"/>
  <c r="R207" i="1"/>
  <c r="S317" i="1"/>
  <c r="P115" i="1"/>
  <c r="P46" i="1"/>
  <c r="Q188" i="1"/>
  <c r="Q23" i="1"/>
  <c r="Q13" i="1"/>
  <c r="R237" i="1"/>
  <c r="R65" i="1"/>
  <c r="S71" i="1"/>
  <c r="P280" i="1"/>
  <c r="P268" i="1"/>
  <c r="P88" i="1"/>
  <c r="Q267" i="1"/>
  <c r="Q193" i="1"/>
  <c r="R250" i="1"/>
  <c r="R277" i="1"/>
  <c r="R133" i="1"/>
  <c r="R49" i="1"/>
  <c r="R58" i="1"/>
  <c r="S258" i="1"/>
  <c r="S57" i="1"/>
  <c r="P275" i="1"/>
  <c r="P131" i="1"/>
  <c r="P112" i="1"/>
  <c r="P16" i="1"/>
  <c r="Q249" i="1"/>
  <c r="Q203" i="1"/>
  <c r="Q135" i="1"/>
  <c r="Q140" i="1"/>
  <c r="R285" i="1"/>
  <c r="R281" i="1"/>
  <c r="R145" i="1"/>
  <c r="R48" i="1"/>
  <c r="S327" i="1"/>
  <c r="S283" i="1"/>
  <c r="S248" i="1"/>
  <c r="S192" i="1"/>
  <c r="S127" i="1"/>
  <c r="P291" i="1"/>
  <c r="P281" i="1"/>
  <c r="P208" i="1"/>
  <c r="P147" i="1"/>
  <c r="P36" i="1"/>
  <c r="P91" i="1"/>
  <c r="P6" i="1"/>
  <c r="Q309" i="1"/>
  <c r="Q224" i="1"/>
  <c r="Q87" i="1"/>
  <c r="Q39" i="1"/>
  <c r="R184" i="1"/>
  <c r="R97" i="1"/>
  <c r="R102" i="1"/>
  <c r="S288" i="1"/>
  <c r="S191" i="1"/>
  <c r="P279" i="1"/>
  <c r="P263" i="1"/>
  <c r="P210" i="1"/>
  <c r="P113" i="1"/>
  <c r="P142" i="1"/>
  <c r="P109" i="1"/>
  <c r="P52" i="1"/>
  <c r="U120" i="1"/>
  <c r="U124" i="1"/>
  <c r="U36" i="1"/>
  <c r="N60" i="1"/>
  <c r="U119" i="1"/>
  <c r="U30" i="1"/>
  <c r="U29" i="1"/>
  <c r="U32" i="1"/>
  <c r="U319" i="1"/>
  <c r="U20" i="1"/>
  <c r="U14" i="1"/>
  <c r="N103" i="1"/>
  <c r="N99" i="1"/>
  <c r="N95" i="1"/>
  <c r="N72" i="1"/>
  <c r="U33" i="1"/>
  <c r="N70" i="1"/>
  <c r="N85" i="1"/>
  <c r="N323" i="1"/>
  <c r="U299" i="1"/>
  <c r="N81" i="1"/>
  <c r="N71" i="1"/>
  <c r="N61" i="1"/>
  <c r="U298" i="1"/>
  <c r="U290" i="1"/>
  <c r="U286" i="1"/>
  <c r="U282" i="1"/>
  <c r="U277" i="1"/>
  <c r="U273" i="1"/>
  <c r="U265" i="1"/>
  <c r="U261" i="1"/>
  <c r="U257" i="1"/>
  <c r="U253" i="1"/>
  <c r="U249" i="1"/>
  <c r="U243" i="1"/>
  <c r="U238" i="1"/>
  <c r="U202" i="1"/>
  <c r="U198" i="1"/>
  <c r="U86" i="1"/>
  <c r="U67" i="1"/>
  <c r="U140" i="1"/>
  <c r="U136" i="1"/>
  <c r="U132" i="1"/>
  <c r="U128" i="1"/>
  <c r="U76" i="1"/>
  <c r="N317" i="1"/>
  <c r="N313" i="1"/>
  <c r="N303" i="1"/>
  <c r="N298" i="1"/>
  <c r="N293" i="1"/>
  <c r="N289" i="1"/>
  <c r="N284" i="1"/>
  <c r="N280" i="1"/>
  <c r="N276" i="1"/>
  <c r="N272" i="1"/>
  <c r="N268" i="1"/>
  <c r="N264" i="1"/>
  <c r="N242" i="1"/>
  <c r="N251" i="1"/>
  <c r="N241" i="1"/>
  <c r="N236" i="1"/>
  <c r="N232" i="1"/>
  <c r="N223" i="1"/>
  <c r="N219" i="1"/>
  <c r="N215" i="1"/>
  <c r="N211" i="1"/>
  <c r="N205" i="1"/>
  <c r="N200" i="1"/>
  <c r="N196" i="1"/>
  <c r="N192" i="1"/>
  <c r="N187" i="1"/>
  <c r="N183" i="1"/>
  <c r="U322" i="1"/>
  <c r="U267" i="1"/>
  <c r="N167" i="1"/>
  <c r="N163" i="1"/>
  <c r="N158" i="1"/>
  <c r="N148" i="1"/>
  <c r="N144" i="1"/>
  <c r="N140" i="1"/>
  <c r="N136" i="1"/>
  <c r="N132" i="1"/>
  <c r="N128" i="1"/>
  <c r="N121" i="1"/>
  <c r="N116" i="1"/>
  <c r="N90" i="1"/>
  <c r="N38" i="1"/>
  <c r="N34" i="1"/>
  <c r="N30" i="1"/>
  <c r="N17" i="1"/>
  <c r="N13" i="1"/>
  <c r="N9" i="1"/>
  <c r="N5" i="1"/>
  <c r="U326" i="1"/>
  <c r="U235" i="1"/>
  <c r="U226" i="1"/>
  <c r="U214" i="1"/>
  <c r="U185" i="1"/>
  <c r="U169" i="1"/>
  <c r="U163" i="1"/>
  <c r="U159" i="1"/>
  <c r="U150" i="1"/>
  <c r="U144" i="1"/>
  <c r="U108" i="1"/>
  <c r="U99" i="1"/>
  <c r="U77" i="1"/>
  <c r="U68" i="1"/>
  <c r="U45" i="1"/>
  <c r="U38" i="1"/>
  <c r="U8" i="1"/>
  <c r="U87" i="1"/>
  <c r="U55" i="1"/>
  <c r="U210" i="1"/>
  <c r="U208" i="1"/>
  <c r="U191" i="1"/>
  <c r="U188" i="1"/>
  <c r="U10" i="1"/>
  <c r="N260" i="1"/>
  <c r="N256" i="1"/>
  <c r="N111" i="1"/>
  <c r="N107" i="1"/>
  <c r="N55" i="1"/>
  <c r="S180" i="1"/>
  <c r="Q235" i="1"/>
  <c r="N150" i="1"/>
  <c r="U125" i="1"/>
  <c r="S292" i="3"/>
  <c r="AK216" i="3"/>
  <c r="AK40" i="3"/>
  <c r="AE82" i="3"/>
  <c r="AK236" i="3"/>
  <c r="AF213" i="3"/>
  <c r="N53" i="3"/>
  <c r="S320" i="3"/>
  <c r="S262" i="3"/>
  <c r="S243" i="3"/>
  <c r="Z215" i="3"/>
  <c r="AE310" i="3"/>
  <c r="AK49" i="3"/>
  <c r="Z202" i="3"/>
  <c r="T110" i="3"/>
  <c r="T152" i="3"/>
  <c r="U310" i="3"/>
  <c r="AE118" i="3"/>
  <c r="AL243" i="3"/>
  <c r="T201" i="3"/>
  <c r="G173" i="3"/>
  <c r="AB285" i="3"/>
  <c r="H110" i="3"/>
  <c r="S170" i="3"/>
  <c r="AQ293" i="3"/>
  <c r="D174" i="3"/>
  <c r="T178" i="3"/>
  <c r="T180" i="3"/>
  <c r="AE108" i="3"/>
  <c r="AE178" i="3"/>
  <c r="AR82" i="3"/>
  <c r="G323" i="3"/>
  <c r="T264" i="3"/>
  <c r="G41" i="3"/>
  <c r="H283" i="3"/>
  <c r="Z185" i="3"/>
  <c r="AL229" i="3"/>
  <c r="AR293" i="3"/>
  <c r="AK202" i="3"/>
  <c r="V264" i="3"/>
  <c r="AE58" i="3"/>
  <c r="Z315" i="3"/>
  <c r="AR179" i="3"/>
  <c r="G208" i="3"/>
  <c r="N228" i="3"/>
  <c r="H80" i="3"/>
  <c r="M312" i="3"/>
  <c r="B83" i="3"/>
  <c r="K294" i="1" l="1"/>
  <c r="P54" i="1"/>
  <c r="E42" i="1"/>
  <c r="G321" i="1"/>
  <c r="O284" i="1"/>
  <c r="O111" i="1"/>
  <c r="U180" i="1"/>
  <c r="J41" i="1"/>
  <c r="I119" i="1"/>
  <c r="T244" i="1"/>
  <c r="R186" i="1"/>
  <c r="I59" i="1"/>
  <c r="E174" i="1"/>
  <c r="J217" i="1"/>
  <c r="I311" i="1"/>
  <c r="Q111" i="1"/>
  <c r="E324" i="1"/>
  <c r="R203" i="1"/>
  <c r="I109" i="1"/>
  <c r="Q265" i="1"/>
  <c r="G171" i="1"/>
  <c r="S214" i="1"/>
  <c r="N84" i="1"/>
  <c r="J203" i="1"/>
  <c r="R316" i="1"/>
  <c r="Q153" i="1"/>
  <c r="G263" i="1"/>
  <c r="U83" i="1"/>
  <c r="F313" i="1"/>
  <c r="I83" i="1"/>
  <c r="R216" i="1"/>
  <c r="T230" i="1"/>
  <c r="P229" i="1"/>
  <c r="Q179" i="1"/>
  <c r="J50" i="1"/>
  <c r="J237" i="1"/>
  <c r="I179" i="1"/>
  <c r="O81" i="1"/>
  <c r="U294" i="1"/>
  <c r="AF159" i="3"/>
  <c r="AL152" i="3"/>
  <c r="AK41" i="3"/>
  <c r="Y125" i="3"/>
  <c r="S311" i="3"/>
  <c r="Z294" i="3"/>
  <c r="H41" i="3"/>
  <c r="S298" i="3"/>
  <c r="T159" i="3"/>
  <c r="T229" i="3"/>
  <c r="AT367" i="3"/>
  <c r="A20" i="3"/>
  <c r="M313" i="3"/>
  <c r="H320" i="3"/>
  <c r="H101" i="3"/>
  <c r="R295" i="1" l="1"/>
  <c r="G299" i="1"/>
  <c r="D21" i="1"/>
  <c r="H126" i="1"/>
  <c r="G312" i="1"/>
  <c r="O102" i="1"/>
  <c r="J42" i="1"/>
  <c r="O321" i="1"/>
  <c r="F314" i="1"/>
  <c r="T153" i="1"/>
  <c r="O42" i="1"/>
  <c r="Q160" i="1"/>
  <c r="AL216" i="3"/>
  <c r="T61" i="3"/>
  <c r="S303" i="3"/>
  <c r="T157" i="3"/>
  <c r="AE305" i="3"/>
  <c r="AL181" i="3"/>
  <c r="AL315" i="3"/>
  <c r="Y299" i="3"/>
  <c r="AU315" i="3"/>
  <c r="AF52" i="3"/>
  <c r="Y264" i="3"/>
  <c r="B170" i="3"/>
  <c r="AF318" i="3"/>
  <c r="Y314" i="3"/>
  <c r="M235" i="3"/>
  <c r="Y215" i="3"/>
  <c r="S323" i="3"/>
  <c r="AR304" i="3"/>
  <c r="AF58" i="3"/>
  <c r="C174" i="3"/>
  <c r="U87" i="3"/>
  <c r="G82" i="3"/>
  <c r="H79" i="3"/>
  <c r="G115" i="3"/>
  <c r="Y223" i="3"/>
  <c r="U264" i="3"/>
  <c r="V215" i="3"/>
  <c r="H187" i="3"/>
  <c r="AK5" i="3"/>
  <c r="AR222" i="3"/>
  <c r="AT174" i="3"/>
  <c r="AQ49" i="3"/>
  <c r="AK278" i="3"/>
  <c r="J124" i="3"/>
  <c r="I174" i="3"/>
  <c r="Z41" i="3"/>
  <c r="AK219" i="3"/>
  <c r="AE73" i="3"/>
  <c r="A40" i="3"/>
  <c r="AE97" i="3"/>
  <c r="AE117" i="3"/>
  <c r="AL40" i="3"/>
  <c r="T213" i="3"/>
  <c r="AB264" i="3"/>
  <c r="Y177" i="3"/>
  <c r="H307" i="3"/>
  <c r="AE16" i="3"/>
  <c r="AF307" i="3"/>
  <c r="AE173" i="3"/>
  <c r="C226" i="3"/>
  <c r="AL41" i="3"/>
  <c r="AF321" i="3"/>
  <c r="Y90" i="3"/>
  <c r="AE201" i="3"/>
  <c r="U212" i="3"/>
  <c r="AF173" i="3"/>
  <c r="A320" i="3"/>
  <c r="T172" i="3"/>
  <c r="Z320" i="3"/>
  <c r="Y244" i="3"/>
  <c r="AF306" i="3"/>
  <c r="G229" i="3"/>
  <c r="AE170" i="3"/>
  <c r="B315" i="3"/>
  <c r="U241" i="3"/>
  <c r="Y111" i="3"/>
  <c r="H315" i="3"/>
  <c r="T214" i="3"/>
  <c r="Y109" i="3"/>
  <c r="U215" i="3"/>
  <c r="N305" i="3"/>
  <c r="Z312" i="3"/>
  <c r="AE31" i="3"/>
  <c r="AA291" i="3"/>
  <c r="AL187" i="3"/>
  <c r="AF229" i="3"/>
  <c r="T89" i="3"/>
  <c r="X215" i="3"/>
  <c r="T298" i="3"/>
  <c r="S241" i="3"/>
  <c r="T75" i="3"/>
  <c r="AL215" i="3"/>
  <c r="AE304" i="3"/>
  <c r="AK243" i="3"/>
  <c r="AL5" i="3"/>
  <c r="AA212" i="3"/>
  <c r="T215" i="3"/>
  <c r="M44" i="3"/>
  <c r="S283" i="3"/>
  <c r="Z97" i="3"/>
  <c r="AT315" i="3"/>
  <c r="AK221" i="3"/>
  <c r="Y95" i="3"/>
  <c r="AQ172" i="3"/>
  <c r="H201" i="3"/>
  <c r="T95" i="3"/>
  <c r="AE60" i="3"/>
  <c r="S152" i="3"/>
  <c r="AB278" i="3"/>
  <c r="Y212" i="3"/>
  <c r="AE307" i="3"/>
  <c r="A229" i="3"/>
  <c r="Z159" i="3"/>
  <c r="AL221" i="3"/>
  <c r="T108" i="3"/>
  <c r="AL323" i="3"/>
  <c r="X226" i="3"/>
  <c r="AE87" i="3"/>
  <c r="B181" i="3"/>
  <c r="AE265" i="3"/>
  <c r="AS100" i="3"/>
  <c r="AD237" i="3"/>
  <c r="T269" i="3"/>
  <c r="AF174" i="3"/>
  <c r="AK229" i="3"/>
  <c r="Y187" i="3"/>
  <c r="Z187" i="3"/>
  <c r="U213" i="3"/>
  <c r="AF220" i="3"/>
  <c r="S222" i="3"/>
  <c r="Z229" i="3"/>
  <c r="S210" i="3"/>
  <c r="Y76" i="3"/>
  <c r="AK320" i="3"/>
  <c r="Y286" i="3"/>
  <c r="AF222" i="3"/>
  <c r="AF40" i="3"/>
  <c r="AQ153" i="3"/>
  <c r="A172" i="3"/>
  <c r="AQ305" i="3"/>
  <c r="AE186" i="3"/>
  <c r="AF219" i="3"/>
  <c r="G54" i="3"/>
  <c r="AE24" i="3"/>
  <c r="Z174" i="3"/>
  <c r="AF310" i="3"/>
  <c r="A181" i="3"/>
  <c r="AE116" i="3"/>
  <c r="T296" i="3"/>
  <c r="AB170" i="3"/>
  <c r="AF186" i="3"/>
  <c r="H241" i="3"/>
  <c r="M307" i="3"/>
  <c r="AL124" i="3"/>
  <c r="Y88" i="3"/>
  <c r="AE110" i="3"/>
  <c r="M88" i="3"/>
  <c r="H54" i="3"/>
  <c r="T145" i="3"/>
  <c r="AQ121" i="3"/>
  <c r="AL219" i="3"/>
  <c r="N221" i="3"/>
  <c r="AA286" i="3"/>
  <c r="H61" i="3"/>
  <c r="Z265" i="3"/>
  <c r="N44" i="3"/>
  <c r="AK310" i="3"/>
  <c r="AA243" i="3"/>
  <c r="AK222" i="3"/>
  <c r="AR126" i="3"/>
  <c r="AQ122" i="3"/>
  <c r="H82" i="3"/>
  <c r="H305" i="3"/>
  <c r="V243" i="3"/>
  <c r="AR313" i="3"/>
  <c r="AF118" i="3"/>
  <c r="G305" i="3"/>
  <c r="AR96" i="3"/>
  <c r="G124" i="3"/>
  <c r="AF178" i="3"/>
  <c r="S290" i="3"/>
  <c r="Y296" i="3"/>
  <c r="N171" i="3"/>
  <c r="S208" i="3"/>
  <c r="H236" i="3"/>
  <c r="AQ369" i="3"/>
  <c r="AQ366" i="3"/>
  <c r="AR93" i="3"/>
  <c r="H213" i="3"/>
  <c r="G310" i="3"/>
  <c r="B17" i="3"/>
  <c r="H304" i="3"/>
  <c r="AR60" i="3"/>
  <c r="AR178" i="3"/>
  <c r="AR4" i="3"/>
  <c r="M100" i="3"/>
  <c r="AR33" i="3"/>
  <c r="H178" i="3"/>
  <c r="H206" i="3"/>
  <c r="H310" i="3"/>
  <c r="AR181" i="3"/>
  <c r="N89" i="3"/>
  <c r="H180" i="3"/>
  <c r="G180" i="3"/>
  <c r="G304" i="3"/>
  <c r="A223" i="3"/>
  <c r="B307" i="3"/>
  <c r="M95" i="3"/>
  <c r="A83" i="3"/>
  <c r="AR180" i="3"/>
  <c r="AQ111" i="3"/>
  <c r="B174" i="3"/>
  <c r="F101" i="1" l="1"/>
  <c r="S119" i="1"/>
  <c r="G153" i="1"/>
  <c r="P45" i="1"/>
  <c r="I266" i="1"/>
  <c r="J222" i="1"/>
  <c r="I74" i="1"/>
  <c r="S308" i="1"/>
  <c r="T216" i="1"/>
  <c r="K154" i="1"/>
  <c r="F308" i="1"/>
  <c r="D41" i="1"/>
  <c r="H178" i="1"/>
  <c r="K122" i="1"/>
  <c r="H112" i="1"/>
  <c r="F45" i="1"/>
  <c r="G291" i="1"/>
  <c r="H110" i="1"/>
  <c r="I17" i="1"/>
  <c r="Q215" i="1"/>
  <c r="U181" i="1"/>
  <c r="I171" i="1"/>
  <c r="O80" i="1"/>
  <c r="U94" i="1"/>
  <c r="Q109" i="1"/>
  <c r="I32" i="1"/>
  <c r="S53" i="1"/>
  <c r="Q299" i="1"/>
  <c r="J230" i="1"/>
  <c r="R230" i="1"/>
  <c r="O207" i="1"/>
  <c r="F236" i="1"/>
  <c r="H188" i="1"/>
  <c r="N175" i="1"/>
  <c r="J279" i="1"/>
  <c r="S174" i="1"/>
  <c r="Q96" i="1"/>
  <c r="R175" i="1"/>
  <c r="K123" i="1"/>
  <c r="K173" i="1"/>
  <c r="R313" i="1"/>
  <c r="O179" i="1"/>
  <c r="T188" i="1"/>
  <c r="D84" i="1"/>
  <c r="U97" i="1"/>
  <c r="I306" i="1"/>
  <c r="J311" i="1"/>
  <c r="I174" i="1"/>
  <c r="N18" i="1"/>
  <c r="J6" i="1"/>
  <c r="R321" i="1"/>
  <c r="S221" i="1"/>
  <c r="D321" i="1"/>
  <c r="I111" i="1"/>
  <c r="G284" i="1"/>
  <c r="U127" i="1"/>
  <c r="S322" i="1"/>
  <c r="R98" i="1"/>
  <c r="Q90" i="1"/>
  <c r="H213" i="1"/>
  <c r="R188" i="1"/>
  <c r="T125" i="1"/>
  <c r="G242" i="1"/>
  <c r="O62" i="1"/>
  <c r="I25" i="1"/>
  <c r="I98" i="1"/>
  <c r="P306" i="1"/>
  <c r="U223" i="1"/>
  <c r="N182" i="1"/>
  <c r="Q158" i="1"/>
  <c r="S41" i="1"/>
  <c r="J244" i="1"/>
  <c r="E116" i="1"/>
  <c r="H96" i="1"/>
  <c r="O305" i="1"/>
  <c r="Q76" i="1"/>
  <c r="E305" i="1"/>
  <c r="G211" i="1"/>
  <c r="K112" i="1"/>
  <c r="E311" i="1"/>
  <c r="S319" i="1"/>
  <c r="O188" i="1"/>
  <c r="T42" i="1"/>
  <c r="D224" i="1"/>
  <c r="P90" i="1"/>
  <c r="Q216" i="1"/>
  <c r="O311" i="1"/>
  <c r="H89" i="1"/>
  <c r="U305" i="1"/>
  <c r="F89" i="1"/>
  <c r="D182" i="1"/>
  <c r="T324" i="1"/>
  <c r="T316" i="1"/>
  <c r="O214" i="1"/>
  <c r="Q173" i="1"/>
  <c r="G324" i="1"/>
  <c r="T6" i="1"/>
  <c r="Q297" i="1"/>
  <c r="H77" i="1"/>
  <c r="I61" i="1"/>
  <c r="U61" i="1"/>
  <c r="S307" i="1"/>
  <c r="P172" i="1"/>
  <c r="G304" i="1"/>
  <c r="I118" i="1"/>
  <c r="S175" i="1"/>
  <c r="O316" i="1"/>
  <c r="E83" i="1"/>
  <c r="P222" i="1"/>
  <c r="N171" i="1"/>
  <c r="Q270" i="1"/>
  <c r="S311" i="1"/>
  <c r="U5" i="1"/>
  <c r="T41" i="1"/>
  <c r="O306" i="1"/>
  <c r="H287" i="1"/>
  <c r="O181" i="1"/>
  <c r="H224" i="1"/>
  <c r="O55" i="1"/>
  <c r="S59" i="1"/>
  <c r="H245" i="1"/>
  <c r="T182" i="1"/>
  <c r="I305" i="1"/>
  <c r="E181" i="1"/>
  <c r="K306" i="1"/>
  <c r="R42" i="1"/>
  <c r="I117" i="1"/>
  <c r="D230" i="1"/>
  <c r="R266" i="1"/>
  <c r="O202" i="1"/>
  <c r="T217" i="1"/>
  <c r="H91" i="1"/>
  <c r="O83" i="1"/>
  <c r="N316" i="1"/>
  <c r="U182" i="1"/>
  <c r="S223" i="1"/>
  <c r="D173" i="1"/>
  <c r="H216" i="1"/>
  <c r="H315" i="1"/>
  <c r="T220" i="1"/>
  <c r="S230" i="1"/>
  <c r="O242" i="1"/>
  <c r="N308" i="1"/>
  <c r="E230" i="1"/>
  <c r="E55" i="1"/>
  <c r="H300" i="1"/>
  <c r="J321" i="1"/>
  <c r="K50" i="1"/>
  <c r="O308" i="1"/>
  <c r="F96" i="1"/>
  <c r="E306" i="1"/>
  <c r="J223" i="1"/>
  <c r="S179" i="1"/>
  <c r="I88" i="1"/>
  <c r="S220" i="1"/>
  <c r="T222" i="1"/>
  <c r="I308" i="1"/>
  <c r="J220" i="1"/>
  <c r="O237" i="1"/>
  <c r="Q62" i="1"/>
  <c r="U180" i="3"/>
  <c r="G170" i="3"/>
  <c r="AQ311" i="3"/>
  <c r="AR174" i="3"/>
  <c r="AF313" i="3"/>
  <c r="T51" i="3"/>
  <c r="AA278" i="3"/>
  <c r="AL93" i="3"/>
  <c r="Y315" i="3"/>
  <c r="AF242" i="3"/>
  <c r="S314" i="3"/>
  <c r="T206" i="3"/>
  <c r="AF80" i="3"/>
  <c r="AS79" i="3"/>
  <c r="AE312" i="3"/>
  <c r="AF164" i="3"/>
  <c r="AQ166" i="3"/>
  <c r="Y186" i="3"/>
  <c r="AL240" i="3"/>
  <c r="T305" i="3"/>
  <c r="AE200" i="3"/>
  <c r="AD180" i="3"/>
  <c r="Y297" i="3"/>
  <c r="AE59" i="3"/>
  <c r="Y82" i="3"/>
  <c r="H292" i="3"/>
  <c r="AE10" i="3"/>
  <c r="T96" i="3"/>
  <c r="S297" i="3"/>
  <c r="AQ174" i="3"/>
  <c r="AQ244" i="3"/>
  <c r="AR49" i="3"/>
  <c r="T174" i="3"/>
  <c r="AR125" i="3"/>
  <c r="Z310" i="3"/>
  <c r="AR369" i="3"/>
  <c r="AR370" i="3"/>
  <c r="AS367" i="3"/>
  <c r="AR366" i="3"/>
  <c r="AQ370" i="3"/>
  <c r="AQ367" i="3"/>
  <c r="A160" i="3"/>
  <c r="M93" i="3"/>
  <c r="A18" i="3"/>
  <c r="N227" i="3"/>
  <c r="AQ4" i="3"/>
  <c r="B25" i="3"/>
  <c r="A208" i="3"/>
  <c r="B111" i="3"/>
  <c r="N320" i="3"/>
  <c r="I201" i="1" l="1"/>
  <c r="I313" i="1"/>
  <c r="T241" i="1"/>
  <c r="Q306" i="1"/>
  <c r="G315" i="1"/>
  <c r="H298" i="1"/>
  <c r="S314" i="1"/>
  <c r="K167" i="1"/>
  <c r="K312" i="1"/>
  <c r="P228" i="1"/>
  <c r="S81" i="1"/>
  <c r="K5" i="1"/>
  <c r="F94" i="1"/>
  <c r="P321" i="1"/>
  <c r="Q97" i="1"/>
  <c r="Q207" i="1"/>
  <c r="S243" i="1"/>
  <c r="O293" i="1"/>
  <c r="Q52" i="1"/>
  <c r="I11" i="1"/>
  <c r="D161" i="1"/>
  <c r="R311" i="1"/>
  <c r="I60" i="1"/>
  <c r="Q175" i="1"/>
  <c r="E171" i="1"/>
  <c r="N112" i="1"/>
  <c r="U126" i="1"/>
  <c r="H187" i="1"/>
  <c r="H316" i="1"/>
  <c r="N26" i="1"/>
  <c r="T94" i="1"/>
  <c r="U50" i="1"/>
  <c r="U175" i="1"/>
  <c r="K245" i="1"/>
  <c r="S165" i="1"/>
  <c r="D209" i="1"/>
  <c r="D19" i="1"/>
  <c r="H83" i="1"/>
  <c r="AF320" i="3"/>
  <c r="AF95" i="3"/>
  <c r="AL75" i="3"/>
  <c r="A171" i="3"/>
  <c r="AL201" i="3"/>
  <c r="N306" i="3"/>
  <c r="G292" i="3"/>
  <c r="AF207" i="3"/>
  <c r="N200" i="3"/>
  <c r="AF61" i="3"/>
  <c r="AA279" i="3"/>
  <c r="T47" i="3"/>
  <c r="AK317" i="3"/>
  <c r="Z88" i="3"/>
  <c r="M31" i="3"/>
  <c r="Y307" i="3"/>
  <c r="T236" i="3"/>
  <c r="AK117" i="3"/>
  <c r="T226" i="3"/>
  <c r="Y240" i="3"/>
  <c r="V226" i="3"/>
  <c r="AT312" i="3"/>
  <c r="AF270" i="3"/>
  <c r="AF121" i="3"/>
  <c r="Z297" i="3"/>
  <c r="Y100" i="3"/>
  <c r="Z150" i="3"/>
  <c r="Z83" i="3"/>
  <c r="Z264" i="3"/>
  <c r="T52" i="3"/>
  <c r="S45" i="3"/>
  <c r="M198" i="3"/>
  <c r="AR95" i="3"/>
  <c r="AF156" i="3"/>
  <c r="AE222" i="3"/>
  <c r="Z149" i="3"/>
  <c r="B19" i="3"/>
  <c r="AQ110" i="3"/>
  <c r="G297" i="3"/>
  <c r="AQ205" i="3"/>
  <c r="A228" i="3"/>
  <c r="S122" i="1" l="1"/>
  <c r="H241" i="1"/>
  <c r="S62" i="1"/>
  <c r="R151" i="1"/>
  <c r="E293" i="1"/>
  <c r="P201" i="1"/>
  <c r="K206" i="1"/>
  <c r="R84" i="1"/>
  <c r="N20" i="1"/>
  <c r="E298" i="1"/>
  <c r="Q237" i="1"/>
  <c r="T76" i="1"/>
  <c r="J118" i="1"/>
  <c r="J318" i="1"/>
  <c r="S321" i="1"/>
  <c r="P307" i="1"/>
  <c r="H101" i="1"/>
  <c r="T202" i="1"/>
  <c r="I223" i="1"/>
  <c r="R265" i="1"/>
  <c r="S96" i="1"/>
  <c r="R150" i="1"/>
  <c r="R89" i="1"/>
  <c r="S157" i="1"/>
  <c r="F199" i="1"/>
  <c r="Q53" i="1"/>
  <c r="U96" i="1"/>
  <c r="D229" i="1"/>
  <c r="D172" i="1"/>
  <c r="Q227" i="1"/>
  <c r="S271" i="1"/>
  <c r="G46" i="1"/>
  <c r="K111" i="1"/>
  <c r="F32" i="1"/>
  <c r="Q48" i="1"/>
  <c r="H308" i="1"/>
  <c r="R298" i="1"/>
  <c r="AF304" i="3"/>
  <c r="S108" i="3"/>
  <c r="Y97" i="3"/>
  <c r="AR146" i="3"/>
  <c r="Z55" i="3"/>
  <c r="AF243" i="3"/>
  <c r="S244" i="1" l="1"/>
  <c r="H98" i="1"/>
  <c r="S305" i="1"/>
  <c r="U147" i="1"/>
  <c r="G109" i="1"/>
  <c r="T262" i="3"/>
  <c r="AL3" i="3"/>
  <c r="AB181" i="3"/>
  <c r="AB55" i="3"/>
  <c r="Z278" i="3"/>
  <c r="AL19" i="3"/>
  <c r="V87" i="3"/>
  <c r="AK159" i="3"/>
  <c r="Z181" i="3"/>
  <c r="AF152" i="3"/>
  <c r="AK299" i="3"/>
  <c r="N212" i="3"/>
  <c r="H177" i="3"/>
  <c r="Y201" i="3"/>
  <c r="Y292" i="3"/>
  <c r="Y188" i="3"/>
  <c r="B124" i="3"/>
  <c r="B300" i="3"/>
  <c r="Y124" i="3"/>
  <c r="M58" i="3"/>
  <c r="Z293" i="3"/>
  <c r="N165" i="3"/>
  <c r="T300" i="3"/>
  <c r="G243" i="3"/>
  <c r="AT79" i="3"/>
  <c r="AF102" i="3"/>
  <c r="Y312" i="3"/>
  <c r="Y209" i="3"/>
  <c r="N219" i="3"/>
  <c r="AR244" i="3"/>
  <c r="AL321" i="3"/>
  <c r="AT178" i="3"/>
  <c r="S157" i="3"/>
  <c r="AF283" i="3"/>
  <c r="M165" i="3"/>
  <c r="AA55" i="3"/>
  <c r="Z298" i="3"/>
  <c r="U226" i="3"/>
  <c r="Y171" i="3"/>
  <c r="AL108" i="3"/>
  <c r="Y44" i="3"/>
  <c r="V229" i="3"/>
  <c r="AK293" i="3"/>
  <c r="Y86" i="3"/>
  <c r="AF303" i="3"/>
  <c r="G290" i="3"/>
  <c r="T314" i="3"/>
  <c r="AL318" i="3"/>
  <c r="AR306" i="3"/>
  <c r="AR323" i="3"/>
  <c r="Y181" i="3"/>
  <c r="B323" i="3"/>
  <c r="AK94" i="3"/>
  <c r="AE143" i="3"/>
  <c r="S103" i="3"/>
  <c r="S305" i="3"/>
  <c r="B229" i="3"/>
  <c r="AE303" i="3"/>
  <c r="Z123" i="3"/>
  <c r="N268" i="3"/>
  <c r="AR317" i="3"/>
  <c r="AK97" i="3"/>
  <c r="Z95" i="3"/>
  <c r="A205" i="3"/>
  <c r="AK181" i="3"/>
  <c r="AF268" i="3"/>
  <c r="H323" i="3"/>
  <c r="G315" i="3"/>
  <c r="T243" i="3"/>
  <c r="Y37" i="3"/>
  <c r="T117" i="3"/>
  <c r="AR170" i="3"/>
  <c r="AS33" i="3"/>
  <c r="Y62" i="3"/>
  <c r="A174" i="3"/>
  <c r="A227" i="3"/>
  <c r="B20" i="3"/>
  <c r="A310" i="3"/>
  <c r="A26" i="3"/>
  <c r="M81" i="3"/>
  <c r="N116" i="3"/>
  <c r="AR101" i="3"/>
  <c r="B27" i="3"/>
  <c r="AR236" i="3"/>
  <c r="AR46" i="3"/>
  <c r="AR205" i="3"/>
  <c r="M320" i="3"/>
  <c r="H171" i="3"/>
  <c r="N81" i="3"/>
  <c r="M310" i="3"/>
  <c r="A25" i="3"/>
  <c r="P269" i="1" l="1"/>
  <c r="Q118" i="1"/>
  <c r="U179" i="1"/>
  <c r="R96" i="1"/>
  <c r="G306" i="1"/>
  <c r="N28" i="1"/>
  <c r="H210" i="1"/>
  <c r="O172" i="1"/>
  <c r="U47" i="1"/>
  <c r="H38" i="1"/>
  <c r="S153" i="1"/>
  <c r="O178" i="1"/>
  <c r="F321" i="1"/>
  <c r="D228" i="1"/>
  <c r="R56" i="1"/>
  <c r="S269" i="1"/>
  <c r="T4" i="1"/>
  <c r="J160" i="1"/>
  <c r="H189" i="1"/>
  <c r="T20" i="1"/>
  <c r="J95" i="1"/>
  <c r="Q263" i="1"/>
  <c r="D27" i="1"/>
  <c r="U171" i="1"/>
  <c r="N301" i="1"/>
  <c r="N21" i="1"/>
  <c r="E316" i="1"/>
  <c r="E244" i="1"/>
  <c r="U245" i="1"/>
  <c r="F82" i="1"/>
  <c r="P213" i="1"/>
  <c r="U307" i="1"/>
  <c r="J182" i="1"/>
  <c r="G158" i="1"/>
  <c r="Q301" i="1"/>
  <c r="S284" i="1"/>
  <c r="Q315" i="1"/>
  <c r="R279" i="1"/>
  <c r="I304" i="1"/>
  <c r="R124" i="1"/>
  <c r="N230" i="1"/>
  <c r="P166" i="1"/>
  <c r="N125" i="1"/>
  <c r="U206" i="1"/>
  <c r="P220" i="1"/>
  <c r="F311" i="1"/>
  <c r="J294" i="1"/>
  <c r="I144" i="1"/>
  <c r="T319" i="1"/>
  <c r="Q244" i="1"/>
  <c r="R182" i="1"/>
  <c r="D175" i="1"/>
  <c r="D26" i="1"/>
  <c r="F166" i="1"/>
  <c r="P117" i="1"/>
  <c r="Q230" i="1"/>
  <c r="D206" i="1"/>
  <c r="S103" i="1"/>
  <c r="O324" i="1"/>
  <c r="H63" i="1"/>
  <c r="T322" i="1"/>
  <c r="E291" i="1"/>
  <c r="P82" i="1"/>
  <c r="U237" i="1"/>
  <c r="H45" i="1"/>
  <c r="R294" i="1"/>
  <c r="R299" i="1"/>
  <c r="U102" i="1"/>
  <c r="D311" i="1"/>
  <c r="H313" i="1"/>
  <c r="T109" i="1"/>
  <c r="H293" i="1"/>
  <c r="U324" i="1"/>
  <c r="H172" i="1"/>
  <c r="N324" i="1"/>
  <c r="H87" i="1"/>
  <c r="H125" i="1"/>
  <c r="J300" i="1"/>
  <c r="G104" i="1"/>
  <c r="J98" i="1"/>
  <c r="S304" i="1"/>
  <c r="F59" i="1"/>
  <c r="S73" i="3"/>
  <c r="S116" i="3"/>
  <c r="B226" i="3"/>
  <c r="T208" i="3"/>
  <c r="AF143" i="3"/>
  <c r="S89" i="3"/>
  <c r="S96" i="3"/>
  <c r="Y149" i="3"/>
  <c r="Z296" i="3"/>
  <c r="Y228" i="3"/>
  <c r="AK95" i="3"/>
  <c r="AR45" i="3"/>
  <c r="AL89" i="3"/>
  <c r="N144" i="3"/>
  <c r="M123" i="3"/>
  <c r="S59" i="3"/>
  <c r="Y289" i="3"/>
  <c r="AQ280" i="3"/>
  <c r="G307" i="3"/>
  <c r="H170" i="3"/>
  <c r="AF38" i="3"/>
  <c r="AF45" i="3"/>
  <c r="M306" i="3"/>
  <c r="A244" i="3"/>
  <c r="AR230" i="3"/>
  <c r="S159" i="3"/>
  <c r="Z82" i="3"/>
  <c r="AE321" i="3"/>
  <c r="S215" i="3"/>
  <c r="AF198" i="3"/>
  <c r="U201" i="3"/>
  <c r="S172" i="3"/>
  <c r="S307" i="3"/>
  <c r="H174" i="3"/>
  <c r="AE150" i="3"/>
  <c r="A173" i="3"/>
  <c r="Z205" i="3"/>
  <c r="AR311" i="3"/>
  <c r="AE208" i="3"/>
  <c r="B40" i="3"/>
  <c r="Z313" i="3"/>
  <c r="AL54" i="3"/>
  <c r="S123" i="3"/>
  <c r="AF60" i="3"/>
  <c r="H221" i="3"/>
  <c r="AR147" i="3"/>
  <c r="Y174" i="3"/>
  <c r="AQ73" i="3"/>
  <c r="Z79" i="3"/>
  <c r="AR166" i="3"/>
  <c r="AR221" i="3"/>
  <c r="T315" i="3"/>
  <c r="AF157" i="3"/>
  <c r="AE158" i="3"/>
  <c r="AK93" i="3"/>
  <c r="A118" i="3"/>
  <c r="Z186" i="3"/>
  <c r="AF269" i="3"/>
  <c r="AF62" i="3"/>
  <c r="S216" i="3"/>
  <c r="S296" i="3"/>
  <c r="P226" i="3"/>
  <c r="AF215" i="3"/>
  <c r="Z323" i="3"/>
  <c r="B125" i="3"/>
  <c r="T210" i="3"/>
  <c r="AF124" i="3"/>
  <c r="T292" i="3"/>
  <c r="AK75" i="3"/>
  <c r="G227" i="3"/>
  <c r="AA285" i="3"/>
  <c r="AK61" i="3"/>
  <c r="M184" i="3"/>
  <c r="Y205" i="3"/>
  <c r="Y310" i="3"/>
  <c r="AK208" i="3"/>
  <c r="H173" i="3"/>
  <c r="U145" i="3"/>
  <c r="AQ103" i="3"/>
  <c r="N41" i="3"/>
  <c r="Y159" i="3"/>
  <c r="H159" i="3"/>
  <c r="N307" i="3"/>
  <c r="AA170" i="3"/>
  <c r="AT313" i="3"/>
  <c r="AF208" i="3"/>
  <c r="AL117" i="3"/>
  <c r="AA296" i="3"/>
  <c r="S185" i="3"/>
  <c r="Z109" i="3"/>
  <c r="T313" i="3"/>
  <c r="AL48" i="3"/>
  <c r="G201" i="3"/>
  <c r="AE214" i="3"/>
  <c r="AE213" i="3"/>
  <c r="H123" i="3"/>
  <c r="AE279" i="3"/>
  <c r="T290" i="3"/>
  <c r="AK12" i="3"/>
  <c r="AF73" i="3"/>
  <c r="S213" i="3"/>
  <c r="M305" i="3"/>
  <c r="AL166" i="3"/>
  <c r="AF314" i="3"/>
  <c r="AE206" i="3"/>
  <c r="AB296" i="3"/>
  <c r="M172" i="3"/>
  <c r="AT100" i="3"/>
  <c r="AR314" i="3"/>
  <c r="AE241" i="3"/>
  <c r="T123" i="3"/>
  <c r="Z90" i="3"/>
  <c r="Z306" i="3"/>
  <c r="Y184" i="3"/>
  <c r="N123" i="3"/>
  <c r="T222" i="3"/>
  <c r="AQ216" i="3"/>
  <c r="Z305" i="3"/>
  <c r="T312" i="3"/>
  <c r="AQ100" i="3"/>
  <c r="B90" i="3"/>
  <c r="T304" i="3"/>
  <c r="AK180" i="3"/>
  <c r="AA114" i="3"/>
  <c r="A123" i="3"/>
  <c r="N323" i="3"/>
  <c r="AE202" i="3"/>
  <c r="AK110" i="3"/>
  <c r="V285" i="3"/>
  <c r="V201" i="3"/>
  <c r="G264" i="3"/>
  <c r="AB159" i="3"/>
  <c r="B306" i="3"/>
  <c r="AR173" i="3"/>
  <c r="S304" i="3"/>
  <c r="Z300" i="3"/>
  <c r="AL145" i="3"/>
  <c r="G79" i="3"/>
  <c r="AE146" i="3"/>
  <c r="G177" i="3"/>
  <c r="AB291" i="3"/>
  <c r="G172" i="3"/>
  <c r="M221" i="3"/>
  <c r="Z237" i="3"/>
  <c r="Y58" i="3"/>
  <c r="AK26" i="3"/>
  <c r="S299" i="3"/>
  <c r="AE318" i="3"/>
  <c r="Y268" i="3"/>
  <c r="AE313" i="3"/>
  <c r="Z44" i="3"/>
  <c r="Z240" i="3"/>
  <c r="AQ170" i="3"/>
  <c r="AR271" i="3"/>
  <c r="AQ303" i="3"/>
  <c r="AF172" i="3"/>
  <c r="B303" i="3"/>
  <c r="H125" i="3"/>
  <c r="AR73" i="3"/>
  <c r="AE243" i="3"/>
  <c r="AL310" i="3"/>
  <c r="AL61" i="3"/>
  <c r="AH159" i="3"/>
  <c r="V212" i="3"/>
  <c r="AR48" i="3"/>
  <c r="B123" i="3"/>
  <c r="AL317" i="3"/>
  <c r="AQ177" i="3"/>
  <c r="AF319" i="3"/>
  <c r="AL293" i="3"/>
  <c r="A303" i="3"/>
  <c r="S276" i="3"/>
  <c r="G40" i="3"/>
  <c r="N58" i="3"/>
  <c r="Z228" i="3"/>
  <c r="AL285" i="3"/>
  <c r="AH201" i="3"/>
  <c r="G159" i="3"/>
  <c r="AA237" i="3"/>
  <c r="AR153" i="3"/>
  <c r="S95" i="3"/>
  <c r="AR171" i="3"/>
  <c r="Y298" i="3"/>
  <c r="AL159" i="3"/>
  <c r="S40" i="3"/>
  <c r="U229" i="3"/>
  <c r="T276" i="3"/>
  <c r="AL49" i="3"/>
  <c r="AK48" i="3"/>
  <c r="AE320" i="3"/>
  <c r="A300" i="3"/>
  <c r="AF225" i="3"/>
  <c r="AB279" i="3"/>
  <c r="N313" i="3"/>
  <c r="AQ53" i="3"/>
  <c r="N74" i="3"/>
  <c r="AR18" i="3"/>
  <c r="N95" i="3"/>
  <c r="M40" i="3"/>
  <c r="AQ30" i="3"/>
  <c r="AQ46" i="3"/>
  <c r="AQ236" i="3"/>
  <c r="A19" i="3"/>
  <c r="AR2" i="3"/>
  <c r="AR226" i="3"/>
  <c r="M74" i="3"/>
  <c r="AR240" i="3"/>
  <c r="G171" i="3"/>
  <c r="N173" i="3"/>
  <c r="N100" i="3"/>
  <c r="M149" i="3"/>
  <c r="AR63" i="3"/>
  <c r="AQ181" i="3"/>
  <c r="A27" i="3"/>
  <c r="AQ2" i="3"/>
  <c r="G178" i="3"/>
  <c r="N93" i="3"/>
  <c r="G213" i="3"/>
  <c r="M311" i="3"/>
  <c r="AR5" i="3"/>
  <c r="B24" i="3"/>
  <c r="B26" i="3"/>
  <c r="A24" i="3"/>
  <c r="A104" i="3"/>
  <c r="AR229" i="3"/>
  <c r="AR88" i="3"/>
  <c r="K182" i="1" l="1"/>
  <c r="E172" i="1"/>
  <c r="U230" i="1"/>
  <c r="H290" i="1"/>
  <c r="O174" i="1"/>
  <c r="G60" i="1"/>
  <c r="E178" i="1"/>
  <c r="J209" i="1"/>
  <c r="F124" i="1"/>
  <c r="I147" i="1"/>
  <c r="H311" i="1"/>
  <c r="P145" i="1"/>
  <c r="D20" i="1"/>
  <c r="F312" i="1"/>
  <c r="T90" i="1"/>
  <c r="E80" i="1"/>
  <c r="H206" i="1"/>
  <c r="U46" i="1"/>
  <c r="T146" i="1"/>
  <c r="F185" i="1"/>
  <c r="J96" i="1"/>
  <c r="R301" i="1"/>
  <c r="E214" i="1"/>
  <c r="H229" i="1"/>
  <c r="G305" i="1"/>
  <c r="J62" i="1"/>
  <c r="U174" i="1"/>
  <c r="F41" i="1"/>
  <c r="H150" i="1"/>
  <c r="N307" i="1"/>
  <c r="G97" i="1"/>
  <c r="R160" i="1"/>
  <c r="E228" i="1"/>
  <c r="G90" i="1"/>
  <c r="E265" i="1"/>
  <c r="P96" i="1"/>
  <c r="S144" i="1"/>
  <c r="Q202" i="1"/>
  <c r="P94" i="1"/>
  <c r="J76" i="1"/>
  <c r="J111" i="1"/>
  <c r="G117" i="1"/>
  <c r="I203" i="1"/>
  <c r="S125" i="1"/>
  <c r="G74" i="1"/>
  <c r="P324" i="1"/>
  <c r="Q211" i="1"/>
  <c r="U241" i="1"/>
  <c r="D124" i="1"/>
  <c r="N126" i="1"/>
  <c r="J181" i="1"/>
  <c r="P59" i="1"/>
  <c r="I214" i="1"/>
  <c r="D174" i="1"/>
  <c r="O222" i="1"/>
  <c r="F222" i="1"/>
  <c r="U272" i="1"/>
  <c r="U222" i="1"/>
  <c r="S46" i="1"/>
  <c r="P75" i="1"/>
  <c r="J94" i="1"/>
  <c r="K171" i="1"/>
  <c r="K304" i="1"/>
  <c r="U227" i="1"/>
  <c r="S216" i="1"/>
  <c r="I209" i="1"/>
  <c r="U74" i="1"/>
  <c r="G300" i="1"/>
  <c r="R307" i="1"/>
  <c r="I159" i="1"/>
  <c r="U312" i="1"/>
  <c r="D119" i="1"/>
  <c r="J27" i="1"/>
  <c r="S320" i="1"/>
  <c r="O126" i="1"/>
  <c r="T118" i="1"/>
  <c r="F307" i="1"/>
  <c r="Q124" i="1"/>
  <c r="K178" i="1"/>
  <c r="N304" i="1"/>
  <c r="E173" i="1"/>
  <c r="K74" i="1"/>
  <c r="G160" i="1"/>
  <c r="Q305" i="1"/>
  <c r="G214" i="1"/>
  <c r="R80" i="1"/>
  <c r="P101" i="1"/>
  <c r="F75" i="1"/>
  <c r="P42" i="1"/>
  <c r="S74" i="1"/>
  <c r="R306" i="1"/>
  <c r="D304" i="1"/>
  <c r="G124" i="1"/>
  <c r="N91" i="1"/>
  <c r="T318" i="1"/>
  <c r="J49" i="1"/>
  <c r="Q314" i="1"/>
  <c r="G173" i="1"/>
  <c r="K281" i="1"/>
  <c r="D28" i="1"/>
  <c r="N27" i="1"/>
  <c r="K101" i="1"/>
  <c r="E41" i="1"/>
  <c r="P314" i="1"/>
  <c r="U49" i="1"/>
  <c r="K47" i="1"/>
  <c r="K237" i="1"/>
  <c r="D301" i="1"/>
  <c r="I215" i="1"/>
  <c r="S39" i="1"/>
  <c r="P308" i="1"/>
  <c r="K31" i="1"/>
  <c r="J13" i="1"/>
  <c r="Q316" i="1"/>
  <c r="O171" i="1"/>
  <c r="T55" i="1"/>
  <c r="R45" i="1"/>
  <c r="R314" i="1"/>
  <c r="G41" i="1"/>
  <c r="S315" i="1"/>
  <c r="E179" i="1"/>
  <c r="H269" i="1"/>
  <c r="K54" i="1"/>
  <c r="S61" i="1"/>
  <c r="N25" i="1"/>
  <c r="T167" i="1"/>
  <c r="D25" i="1"/>
  <c r="I322" i="1"/>
  <c r="U64" i="1"/>
  <c r="U148" i="1"/>
  <c r="R206" i="1"/>
  <c r="S173" i="1"/>
  <c r="P124" i="1"/>
  <c r="R324" i="1"/>
  <c r="F150" i="1"/>
  <c r="P174" i="1"/>
  <c r="I319" i="1"/>
  <c r="H185" i="1"/>
  <c r="I314" i="1"/>
  <c r="G217" i="1"/>
  <c r="R187" i="1"/>
  <c r="I151" i="1"/>
  <c r="T294" i="1"/>
  <c r="U3" i="1"/>
  <c r="T49" i="1"/>
  <c r="S199" i="1"/>
  <c r="N124" i="1"/>
  <c r="O160" i="1"/>
  <c r="U172" i="1"/>
  <c r="N41" i="1"/>
  <c r="G308" i="1"/>
  <c r="T311" i="1"/>
  <c r="T286" i="1"/>
  <c r="H297" i="1"/>
  <c r="E202" i="1"/>
  <c r="S160" i="1"/>
  <c r="I242" i="1"/>
  <c r="I244" i="1"/>
  <c r="U89" i="1"/>
  <c r="S158" i="1"/>
  <c r="F173" i="1"/>
  <c r="Q313" i="1"/>
  <c r="U19" i="1"/>
  <c r="S209" i="1"/>
  <c r="Q277" i="1"/>
  <c r="H299" i="1"/>
  <c r="U6" i="1"/>
  <c r="F306" i="1"/>
  <c r="S226" i="1"/>
  <c r="R110" i="1"/>
  <c r="D105" i="1"/>
  <c r="H59" i="1"/>
  <c r="R91" i="1"/>
  <c r="D245" i="1"/>
  <c r="K3" i="1"/>
  <c r="U231" i="1"/>
  <c r="O124" i="1"/>
  <c r="G277" i="1"/>
  <c r="H175" i="1"/>
  <c r="S270" i="1"/>
  <c r="T50" i="1"/>
  <c r="E160" i="1"/>
  <c r="S63" i="1"/>
  <c r="G186" i="1"/>
  <c r="T62" i="1"/>
  <c r="R83" i="1"/>
  <c r="G297" i="1"/>
  <c r="G96" i="1"/>
  <c r="T160" i="1"/>
  <c r="U154" i="1"/>
  <c r="R241" i="1"/>
  <c r="R229" i="1"/>
  <c r="U314" i="1"/>
  <c r="U167" i="1"/>
  <c r="I280" i="1"/>
  <c r="Q291" i="1"/>
  <c r="E308" i="1"/>
  <c r="I207" i="1"/>
  <c r="K217" i="1"/>
  <c r="I321" i="1"/>
  <c r="R297" i="1"/>
  <c r="Y83" i="3"/>
  <c r="S178" i="3"/>
  <c r="Y237" i="3"/>
  <c r="AV315" i="3"/>
  <c r="AQ314" i="3"/>
  <c r="AF224" i="3"/>
  <c r="AQ51" i="3"/>
  <c r="AE220" i="3"/>
  <c r="AE38" i="3"/>
  <c r="A293" i="3"/>
  <c r="T124" i="3"/>
  <c r="B152" i="3"/>
  <c r="A237" i="3"/>
  <c r="AQ221" i="3"/>
  <c r="AF123" i="3"/>
  <c r="AQ245" i="3"/>
  <c r="AR307" i="3"/>
  <c r="AS313" i="3"/>
  <c r="A226" i="3"/>
  <c r="Y123" i="3"/>
  <c r="AF223" i="3"/>
  <c r="M284" i="3"/>
  <c r="AE182" i="3"/>
  <c r="AQ215" i="3"/>
  <c r="G226" i="3"/>
  <c r="AR121" i="3"/>
  <c r="AT104" i="3"/>
  <c r="AQ156" i="3"/>
  <c r="M212" i="3"/>
  <c r="AG201" i="3"/>
  <c r="Z172" i="3"/>
  <c r="G125" i="3"/>
  <c r="V222" i="3"/>
  <c r="AK108" i="3"/>
  <c r="AQ41" i="3"/>
  <c r="AE242" i="3"/>
  <c r="U222" i="3"/>
  <c r="AQ82" i="3"/>
  <c r="Z188" i="3"/>
  <c r="W285" i="3"/>
  <c r="Z62" i="3"/>
  <c r="S214" i="3"/>
  <c r="Y118" i="3"/>
  <c r="AK54" i="3"/>
  <c r="T125" i="3"/>
  <c r="AQ173" i="3"/>
  <c r="AR292" i="3"/>
  <c r="AR243" i="3"/>
  <c r="V213" i="3"/>
  <c r="Z118" i="3"/>
  <c r="AQ147" i="3"/>
  <c r="AH207" i="3"/>
  <c r="AQ323" i="3"/>
  <c r="H86" i="3"/>
  <c r="AF311" i="3"/>
  <c r="Y173" i="3"/>
  <c r="G174" i="3"/>
  <c r="AL202" i="3"/>
  <c r="B86" i="3"/>
  <c r="Y170" i="3"/>
  <c r="H166" i="3"/>
  <c r="Z291" i="3"/>
  <c r="G75" i="3"/>
  <c r="H234" i="3"/>
  <c r="AQ101" i="3"/>
  <c r="M181" i="3"/>
  <c r="M227" i="3"/>
  <c r="N79" i="3"/>
  <c r="AQ25" i="3"/>
  <c r="M79" i="3"/>
  <c r="B208" i="3"/>
  <c r="B160" i="3"/>
  <c r="G234" i="3"/>
  <c r="AQ33" i="3"/>
  <c r="Z145" i="3"/>
  <c r="T199" i="3"/>
  <c r="Z201" i="3"/>
  <c r="G306" i="3"/>
  <c r="T209" i="3"/>
  <c r="AF48" i="3"/>
  <c r="H306" i="3"/>
  <c r="M205" i="3"/>
  <c r="AK166" i="3"/>
  <c r="AE152" i="3"/>
  <c r="Y40" i="3"/>
  <c r="AL94" i="3"/>
  <c r="AQ96" i="3"/>
  <c r="S41" i="3"/>
  <c r="AF214" i="3"/>
  <c r="S82" i="3"/>
  <c r="AK47" i="3"/>
  <c r="N88" i="3"/>
  <c r="AE48" i="3"/>
  <c r="AQ226" i="3"/>
  <c r="A17" i="3"/>
  <c r="Y208" i="3"/>
  <c r="S212" i="3"/>
  <c r="T306" i="3"/>
  <c r="AR303" i="3"/>
  <c r="K34" i="1" l="1"/>
  <c r="H209" i="1"/>
  <c r="Q214" i="1"/>
  <c r="E175" i="1"/>
  <c r="K148" i="1"/>
  <c r="P80" i="1"/>
  <c r="F182" i="1"/>
  <c r="I202" i="1"/>
  <c r="F213" i="1"/>
  <c r="S49" i="1"/>
  <c r="I243" i="1"/>
  <c r="H174" i="1"/>
  <c r="U122" i="1"/>
  <c r="Q307" i="1"/>
  <c r="I39" i="1"/>
  <c r="K52" i="1"/>
  <c r="E76" i="1"/>
  <c r="R119" i="1"/>
  <c r="U244" i="1"/>
  <c r="G215" i="1"/>
  <c r="K42" i="1"/>
  <c r="K26" i="1"/>
  <c r="K157" i="1"/>
  <c r="S225" i="1"/>
  <c r="R292" i="1"/>
  <c r="K222" i="1"/>
  <c r="U293" i="1"/>
  <c r="P89" i="1"/>
  <c r="I221" i="1"/>
  <c r="G42" i="1"/>
  <c r="D227" i="1"/>
  <c r="S312" i="1"/>
  <c r="O167" i="1"/>
  <c r="Q210" i="1"/>
  <c r="R63" i="1"/>
  <c r="G213" i="1"/>
  <c r="K216" i="1"/>
  <c r="N209" i="1"/>
  <c r="N161" i="1"/>
  <c r="J109" i="1"/>
  <c r="K174" i="1"/>
  <c r="D238" i="1"/>
  <c r="I183" i="1"/>
  <c r="U308" i="1"/>
  <c r="O87" i="1"/>
  <c r="I153" i="1"/>
  <c r="H171" i="1"/>
  <c r="O235" i="1"/>
  <c r="Q126" i="1"/>
  <c r="R189" i="1"/>
  <c r="R146" i="1"/>
  <c r="K97" i="1"/>
  <c r="H41" i="1"/>
  <c r="D18" i="1"/>
  <c r="K102" i="1"/>
  <c r="F206" i="1"/>
  <c r="Q223" i="1"/>
  <c r="E307" i="1"/>
  <c r="E235" i="1"/>
  <c r="N153" i="1"/>
  <c r="F285" i="1"/>
  <c r="Q200" i="1"/>
  <c r="I49" i="1"/>
  <c r="N87" i="1"/>
  <c r="S215" i="1"/>
  <c r="J55" i="1"/>
  <c r="K83" i="1"/>
  <c r="F228" i="1"/>
  <c r="S224" i="1"/>
  <c r="K227" i="1"/>
  <c r="K324" i="1"/>
  <c r="G179" i="1"/>
  <c r="T203" i="1"/>
  <c r="E126" i="1"/>
  <c r="F80" i="1"/>
  <c r="G223" i="1"/>
  <c r="Q125" i="1"/>
  <c r="T95" i="1"/>
  <c r="K246" i="1"/>
  <c r="U304" i="1"/>
  <c r="J167" i="1"/>
  <c r="O307" i="1"/>
  <c r="R173" i="1"/>
  <c r="H119" i="1"/>
  <c r="J48" i="1"/>
  <c r="D294" i="1"/>
  <c r="H124" i="1"/>
  <c r="S124" i="1"/>
  <c r="S208" i="1"/>
  <c r="H84" i="1"/>
  <c r="M124" i="3"/>
  <c r="AF10" i="3"/>
  <c r="A170" i="3"/>
  <c r="AE276" i="3"/>
  <c r="AF41" i="3"/>
  <c r="AF16" i="3"/>
  <c r="M315" i="3"/>
  <c r="M171" i="3"/>
  <c r="AQ125" i="3"/>
  <c r="AE306" i="3"/>
  <c r="AR156" i="3"/>
  <c r="AE156" i="3"/>
  <c r="T320" i="3"/>
  <c r="AC180" i="3"/>
  <c r="A86" i="3"/>
  <c r="S226" i="3"/>
  <c r="T170" i="3"/>
  <c r="A76" i="3"/>
  <c r="S269" i="3"/>
  <c r="N174" i="3"/>
  <c r="I226" i="3"/>
  <c r="G152" i="3"/>
  <c r="M263" i="3"/>
  <c r="M268" i="3"/>
  <c r="Y278" i="3"/>
  <c r="U297" i="3"/>
  <c r="G187" i="3"/>
  <c r="AQ94" i="3"/>
  <c r="AF278" i="3"/>
  <c r="AR97" i="3"/>
  <c r="D226" i="3"/>
  <c r="AL236" i="3"/>
  <c r="B156" i="3"/>
  <c r="H124" i="3"/>
  <c r="H172" i="3"/>
  <c r="N315" i="3"/>
  <c r="H227" i="3"/>
  <c r="AF279" i="3"/>
  <c r="B41" i="3"/>
  <c r="AG159" i="3"/>
  <c r="AA201" i="3"/>
  <c r="J208" i="3"/>
  <c r="V297" i="3"/>
  <c r="G86" i="3"/>
  <c r="Y216" i="3"/>
  <c r="A188" i="3"/>
  <c r="Z114" i="3"/>
  <c r="AE17" i="3"/>
  <c r="Z243" i="3"/>
  <c r="AR189" i="3"/>
  <c r="Z177" i="3"/>
  <c r="AR214" i="3"/>
  <c r="AQ95" i="3"/>
  <c r="AQ126" i="3"/>
  <c r="Z124" i="3"/>
  <c r="Y323" i="3"/>
  <c r="AS314" i="3"/>
  <c r="V208" i="3"/>
  <c r="AA181" i="3"/>
  <c r="G145" i="3"/>
  <c r="AE121" i="3"/>
  <c r="A315" i="3"/>
  <c r="AE277" i="3"/>
  <c r="AE278" i="3"/>
  <c r="V292" i="3"/>
  <c r="AE153" i="3"/>
  <c r="M170" i="3"/>
  <c r="N284" i="3"/>
  <c r="H228" i="3"/>
  <c r="AE283" i="3"/>
  <c r="B76" i="3"/>
  <c r="AF182" i="3"/>
  <c r="AE41" i="3"/>
  <c r="AF17" i="3"/>
  <c r="U243" i="3"/>
  <c r="AF171" i="3"/>
  <c r="AF101" i="3"/>
  <c r="B118" i="3"/>
  <c r="S211" i="3"/>
  <c r="AA264" i="3"/>
  <c r="B205" i="3"/>
  <c r="M144" i="3"/>
  <c r="A323" i="3"/>
  <c r="AF153" i="3"/>
  <c r="W215" i="3"/>
  <c r="I124" i="3"/>
  <c r="AS103" i="3"/>
  <c r="AE171" i="3"/>
  <c r="I208" i="3"/>
  <c r="M60" i="3"/>
  <c r="AR165" i="3"/>
  <c r="Z268" i="3"/>
  <c r="N31" i="3"/>
  <c r="M53" i="3"/>
  <c r="A156" i="3"/>
  <c r="N125" i="3"/>
  <c r="AF170" i="3"/>
  <c r="AK220" i="3"/>
  <c r="AF122" i="3"/>
  <c r="H299" i="3"/>
  <c r="G61" i="3"/>
  <c r="AQ222" i="3"/>
  <c r="AB286" i="3"/>
  <c r="AQ171" i="3"/>
  <c r="H40" i="3"/>
  <c r="M200" i="3"/>
  <c r="AE80" i="3"/>
  <c r="N214" i="3"/>
  <c r="U208" i="3"/>
  <c r="AQ304" i="3"/>
  <c r="AE164" i="3"/>
  <c r="Y172" i="3"/>
  <c r="AR51" i="3"/>
  <c r="G283" i="3"/>
  <c r="AG186" i="3"/>
  <c r="AR41" i="3"/>
  <c r="B320" i="3"/>
  <c r="AR312" i="3"/>
  <c r="H145" i="3"/>
  <c r="T241" i="3"/>
  <c r="S315" i="3"/>
  <c r="AK315" i="3"/>
  <c r="AE122" i="3"/>
  <c r="AQ189" i="3"/>
  <c r="H229" i="3"/>
  <c r="AE314" i="3"/>
  <c r="A125" i="3"/>
  <c r="AR52" i="3"/>
  <c r="AF24" i="3"/>
  <c r="AG207" i="3"/>
  <c r="AE157" i="3"/>
  <c r="Y31" i="3"/>
  <c r="G299" i="3"/>
  <c r="Z216" i="3"/>
  <c r="AQ220" i="3"/>
  <c r="AR315" i="3"/>
  <c r="N235" i="3"/>
  <c r="W226" i="3"/>
  <c r="T185" i="3"/>
  <c r="G221" i="3"/>
  <c r="H89" i="3"/>
  <c r="B188" i="3"/>
  <c r="M125" i="3"/>
  <c r="AR108" i="3"/>
  <c r="AE174" i="3"/>
  <c r="V180" i="3"/>
  <c r="B171" i="3"/>
  <c r="M41" i="3"/>
  <c r="G89" i="3"/>
  <c r="AK323" i="3"/>
  <c r="AS178" i="3"/>
  <c r="H264" i="3"/>
  <c r="J174" i="3"/>
  <c r="Z125" i="3"/>
  <c r="AF312" i="3"/>
  <c r="AQ52" i="3"/>
  <c r="AC237" i="3"/>
  <c r="T216" i="3"/>
  <c r="M214" i="3"/>
  <c r="N263" i="3"/>
  <c r="A124" i="3"/>
  <c r="Y51" i="3"/>
  <c r="AE225" i="3"/>
  <c r="AE124" i="3"/>
  <c r="N124" i="3"/>
  <c r="G123" i="3"/>
  <c r="G236" i="3"/>
  <c r="AR122" i="3"/>
  <c r="T54" i="3"/>
  <c r="AF210" i="3"/>
  <c r="AB237" i="3"/>
  <c r="AQ230" i="3"/>
  <c r="Z279" i="3"/>
  <c r="AQ313" i="3"/>
  <c r="A62" i="3"/>
  <c r="AE224" i="3"/>
  <c r="AL97" i="3"/>
  <c r="AQ79" i="3"/>
  <c r="AB180" i="3"/>
  <c r="S52" i="3"/>
  <c r="AB114" i="3"/>
  <c r="AE123" i="3"/>
  <c r="B173" i="3"/>
  <c r="Y279" i="3"/>
  <c r="AS312" i="3"/>
  <c r="AF323" i="3"/>
  <c r="U82" i="3"/>
  <c r="Y114" i="3"/>
  <c r="AR94" i="3"/>
  <c r="Z286" i="3"/>
  <c r="S54" i="3"/>
  <c r="AK240" i="3"/>
  <c r="N172" i="3"/>
  <c r="H226" i="3"/>
  <c r="AE172" i="3"/>
  <c r="M241" i="3"/>
  <c r="B244" i="3"/>
  <c r="G228" i="3"/>
  <c r="N170" i="3"/>
  <c r="G166" i="3"/>
  <c r="Z51" i="3"/>
  <c r="AS315" i="3"/>
  <c r="AT314" i="3"/>
  <c r="Z31" i="3"/>
  <c r="S124" i="3"/>
  <c r="AQ271" i="3"/>
  <c r="AF241" i="3"/>
  <c r="AH186" i="3"/>
  <c r="AF97" i="3"/>
  <c r="AS174" i="3"/>
  <c r="Z170" i="3"/>
  <c r="V241" i="3"/>
  <c r="Y185" i="3"/>
  <c r="AQ146" i="3"/>
  <c r="AQ243" i="3"/>
  <c r="AQ312" i="3"/>
  <c r="AE229" i="3"/>
  <c r="AF277" i="3"/>
  <c r="H290" i="3"/>
  <c r="B237" i="3"/>
  <c r="A41" i="3"/>
  <c r="V310" i="3"/>
  <c r="AK318" i="3"/>
  <c r="N241" i="3"/>
  <c r="AF305" i="3"/>
  <c r="AR220" i="3"/>
  <c r="N198" i="3"/>
  <c r="B172" i="3"/>
  <c r="AR305" i="3"/>
  <c r="G241" i="3"/>
  <c r="S125" i="3"/>
  <c r="U292" i="3"/>
  <c r="AE52" i="3"/>
  <c r="T211" i="3"/>
  <c r="AQ108" i="3"/>
  <c r="AF31" i="3"/>
  <c r="Z285" i="3"/>
  <c r="AE101" i="3"/>
  <c r="Z244" i="3"/>
  <c r="Y285" i="3"/>
  <c r="X285" i="3"/>
  <c r="AQ214" i="3"/>
  <c r="AL220" i="3"/>
  <c r="Z289" i="3"/>
  <c r="AK124" i="3"/>
  <c r="H115" i="3"/>
  <c r="AR280" i="3"/>
  <c r="AB201" i="3"/>
  <c r="AE210" i="3"/>
  <c r="AQ306" i="3"/>
  <c r="B293" i="3"/>
  <c r="A152" i="3"/>
  <c r="AR294" i="3"/>
  <c r="N60" i="3"/>
  <c r="Y243" i="3"/>
  <c r="Y265" i="3"/>
  <c r="AE323" i="3"/>
  <c r="AQ165" i="3"/>
  <c r="AF276" i="3"/>
  <c r="S174" i="3"/>
  <c r="AQ315" i="3"/>
  <c r="AQ307" i="3"/>
  <c r="AA180" i="3"/>
  <c r="U285" i="3"/>
  <c r="V82" i="3"/>
  <c r="AT103" i="3"/>
  <c r="J226" i="3"/>
  <c r="AE223" i="3"/>
  <c r="H243" i="3"/>
  <c r="AS104" i="3"/>
  <c r="AR79" i="3"/>
  <c r="AK3" i="3"/>
  <c r="B62" i="3"/>
  <c r="H152" i="3"/>
  <c r="M323" i="3"/>
  <c r="AB243" i="3"/>
  <c r="H75" i="3"/>
  <c r="AQ292" i="3"/>
  <c r="T323" i="3"/>
  <c r="AQ294" i="3"/>
  <c r="AR53" i="3"/>
  <c r="M219" i="3"/>
  <c r="AE95" i="3"/>
  <c r="Z209" i="3"/>
  <c r="AT33" i="3"/>
  <c r="AR215" i="3"/>
  <c r="V145" i="3"/>
  <c r="AF116" i="3"/>
  <c r="AF202" i="3"/>
  <c r="AE275" i="3"/>
  <c r="S81" i="3"/>
  <c r="S114" i="3"/>
  <c r="S227" i="3"/>
  <c r="AE198" i="3"/>
  <c r="B153" i="3"/>
  <c r="AR25" i="3"/>
  <c r="G320" i="3"/>
  <c r="M173" i="3"/>
  <c r="B104" i="3"/>
  <c r="AQ102" i="3"/>
  <c r="A167" i="3"/>
  <c r="O226" i="3"/>
  <c r="AR39" i="3"/>
  <c r="AL306" i="3"/>
  <c r="AR245" i="3"/>
  <c r="A209" i="3"/>
  <c r="AQ97" i="3"/>
  <c r="T116" i="3"/>
  <c r="Z173" i="3"/>
  <c r="S171" i="3"/>
  <c r="B167" i="3"/>
  <c r="AR47" i="3"/>
  <c r="G206" i="3"/>
  <c r="AE268" i="3"/>
  <c r="S51" i="3"/>
  <c r="S236" i="3"/>
  <c r="N181" i="3"/>
  <c r="AQ18" i="3"/>
  <c r="B286" i="3"/>
  <c r="AK306" i="3"/>
  <c r="AF82" i="3"/>
  <c r="B209" i="3"/>
  <c r="AF275" i="3"/>
  <c r="H87" i="3"/>
  <c r="A307" i="3"/>
  <c r="Z171" i="3"/>
  <c r="Y55" i="3"/>
  <c r="S312" i="3"/>
  <c r="Y202" i="3"/>
  <c r="Z167" i="3"/>
  <c r="AL173" i="3"/>
  <c r="Y104" i="3"/>
  <c r="AE298" i="3"/>
  <c r="Y167" i="3"/>
  <c r="AE311" i="3"/>
  <c r="AK173" i="3"/>
  <c r="T173" i="3"/>
  <c r="S229" i="3"/>
  <c r="Z104" i="3"/>
  <c r="AF298" i="3"/>
  <c r="S117" i="3"/>
  <c r="Y320" i="3"/>
  <c r="S173" i="3"/>
  <c r="S180" i="3"/>
  <c r="Y293" i="3"/>
  <c r="AF117" i="3"/>
  <c r="AR103" i="3"/>
  <c r="T81" i="3"/>
  <c r="Y291" i="3"/>
  <c r="M116" i="3"/>
  <c r="AQ47" i="3"/>
  <c r="AR102" i="3"/>
  <c r="B227" i="3"/>
  <c r="A286" i="3"/>
  <c r="AQ63" i="3"/>
  <c r="T311" i="3"/>
  <c r="H297" i="3"/>
  <c r="H208" i="3"/>
  <c r="A111" i="3"/>
  <c r="M228" i="3"/>
  <c r="Z314" i="3"/>
  <c r="Z111" i="3"/>
  <c r="T171" i="3"/>
  <c r="G80" i="3"/>
  <c r="G87" i="3"/>
  <c r="AF158" i="3"/>
  <c r="AQ39" i="3"/>
  <c r="Y294" i="3"/>
  <c r="AQ45" i="3"/>
  <c r="AE62" i="3"/>
  <c r="A153" i="3"/>
  <c r="G101" i="3"/>
  <c r="M174" i="3"/>
  <c r="T114" i="3"/>
  <c r="B223" i="3"/>
  <c r="B202" i="3"/>
  <c r="AE219" i="3"/>
  <c r="A202" i="3"/>
  <c r="AQ60" i="3"/>
  <c r="Z76" i="3"/>
  <c r="T227" i="3"/>
  <c r="B228" i="3"/>
  <c r="Z180" i="3"/>
  <c r="Z166" i="3"/>
  <c r="S47" i="3"/>
  <c r="Y178" i="3"/>
  <c r="Z86" i="3"/>
  <c r="AL103" i="3"/>
  <c r="AT317" i="3"/>
  <c r="Z292" i="3"/>
  <c r="AE212" i="3"/>
  <c r="A304" i="3"/>
  <c r="AQ310" i="3"/>
  <c r="S201" i="3"/>
  <c r="AL95" i="3"/>
  <c r="Z184" i="3"/>
  <c r="AF212" i="3"/>
  <c r="M303" i="3"/>
  <c r="Z303" i="3"/>
  <c r="T45" i="3"/>
  <c r="T278" i="3"/>
  <c r="Y300" i="3"/>
  <c r="B305" i="3"/>
  <c r="AR104" i="3"/>
  <c r="Y13" i="3"/>
  <c r="AS317" i="3"/>
  <c r="AQ322" i="3"/>
  <c r="Y41" i="3"/>
  <c r="AF59" i="3"/>
  <c r="AF206" i="3"/>
  <c r="S310" i="3"/>
  <c r="AL12" i="3"/>
  <c r="AQ88" i="3"/>
  <c r="N226" i="3"/>
  <c r="S87" i="3"/>
  <c r="AQ227" i="3"/>
  <c r="AK19" i="3"/>
  <c r="Z179" i="3"/>
  <c r="N312" i="3"/>
  <c r="AE207" i="3"/>
  <c r="AR228" i="3"/>
  <c r="T73" i="3"/>
  <c r="AQ228" i="3"/>
  <c r="AE159" i="3"/>
  <c r="T80" i="3"/>
  <c r="AK145" i="3"/>
  <c r="AR219" i="3"/>
  <c r="S75" i="3"/>
  <c r="T87" i="3"/>
  <c r="T310" i="3"/>
  <c r="AE215" i="3"/>
  <c r="Y72" i="3"/>
  <c r="AR30" i="3"/>
  <c r="AL299" i="3"/>
  <c r="AL96" i="3"/>
  <c r="AE61" i="3"/>
  <c r="Y306" i="3"/>
  <c r="T109" i="3"/>
  <c r="Z58" i="3"/>
  <c r="AK89" i="3"/>
  <c r="S61" i="3"/>
  <c r="M226" i="3"/>
  <c r="N86" i="3"/>
  <c r="N40" i="3"/>
  <c r="AF265" i="3"/>
  <c r="AQ180" i="3"/>
  <c r="Z163" i="3"/>
  <c r="AF264" i="3"/>
  <c r="B18" i="3"/>
  <c r="Y179" i="3"/>
  <c r="AL180" i="3"/>
  <c r="M275" i="3"/>
  <c r="T41" i="3"/>
  <c r="AR322" i="3"/>
  <c r="S94" i="3"/>
  <c r="AE209" i="3"/>
  <c r="Y313" i="3"/>
  <c r="S228" i="3"/>
  <c r="S206" i="3"/>
  <c r="N166" i="3"/>
  <c r="S80" i="3"/>
  <c r="AE40" i="3"/>
  <c r="S109" i="3"/>
  <c r="AE26" i="3"/>
  <c r="T228" i="3"/>
  <c r="AK82" i="3"/>
  <c r="AE205" i="3"/>
  <c r="AL222" i="3"/>
  <c r="AL26" i="3"/>
  <c r="T212" i="3"/>
  <c r="AQ178" i="3"/>
  <c r="AL292" i="3"/>
  <c r="AQ219" i="3"/>
  <c r="AK96" i="3"/>
  <c r="AR3" i="3"/>
  <c r="AR110" i="3"/>
  <c r="AE109" i="3"/>
  <c r="Y107" i="3"/>
  <c r="AF87" i="3"/>
  <c r="Z222" i="3"/>
  <c r="Y79" i="3"/>
  <c r="Y303" i="3"/>
  <c r="AQ104" i="3"/>
  <c r="A305" i="3"/>
  <c r="S264" i="3"/>
  <c r="Z107" i="3"/>
  <c r="AB212" i="3"/>
  <c r="Z100" i="3"/>
  <c r="A306" i="3"/>
  <c r="Z37" i="3"/>
  <c r="AL110" i="3"/>
  <c r="Z212" i="3"/>
  <c r="G110" i="3"/>
  <c r="G303" i="3"/>
  <c r="AE102" i="3"/>
  <c r="Z13" i="3"/>
  <c r="Y275" i="3"/>
  <c r="AK321" i="3"/>
  <c r="S278" i="3"/>
  <c r="AL278" i="3"/>
  <c r="Y180" i="3"/>
  <c r="AF205" i="3"/>
  <c r="S313" i="3"/>
  <c r="T283" i="3"/>
  <c r="Z40" i="3"/>
  <c r="B310" i="3"/>
  <c r="AF108" i="3"/>
  <c r="AF200" i="3"/>
  <c r="N303" i="3"/>
  <c r="AF110" i="3"/>
  <c r="N304" i="3"/>
  <c r="M304" i="3"/>
  <c r="AE319" i="3"/>
  <c r="T103" i="3"/>
  <c r="AR177" i="3"/>
  <c r="N229" i="3"/>
  <c r="T307" i="3"/>
  <c r="AA159" i="3"/>
  <c r="N275" i="3"/>
  <c r="AK187" i="3"/>
  <c r="AR310" i="3"/>
  <c r="Y305" i="3"/>
  <c r="Z93" i="3"/>
  <c r="T303" i="3"/>
  <c r="AE45" i="3"/>
  <c r="N184" i="3"/>
  <c r="AR172" i="3"/>
  <c r="AR216" i="3"/>
  <c r="AF146" i="3"/>
  <c r="B304" i="3"/>
  <c r="S300" i="3"/>
  <c r="Z275" i="3"/>
  <c r="AL320" i="3"/>
  <c r="M229" i="3"/>
  <c r="H303" i="3"/>
  <c r="AK215" i="3"/>
  <c r="AK201" i="3"/>
  <c r="AF26" i="3"/>
  <c r="AL264" i="3"/>
  <c r="A90" i="3"/>
  <c r="AL82" i="3"/>
  <c r="Y163" i="3"/>
  <c r="Y166" i="3"/>
  <c r="AQ240" i="3"/>
  <c r="T59" i="3"/>
  <c r="AR111" i="3"/>
  <c r="AQ229" i="3"/>
  <c r="AE269" i="3"/>
  <c r="AR227" i="3"/>
  <c r="AF201" i="3"/>
  <c r="AQ5" i="3"/>
  <c r="N149" i="3"/>
  <c r="Z226" i="3"/>
  <c r="AR40" i="3"/>
  <c r="Y229" i="3"/>
  <c r="T82" i="3"/>
  <c r="T40" i="3"/>
  <c r="AL208" i="3"/>
  <c r="AK292" i="3"/>
  <c r="AL47" i="3"/>
  <c r="Y150" i="3"/>
  <c r="AE264" i="3"/>
  <c r="S145" i="3"/>
  <c r="M89" i="3"/>
  <c r="S110" i="3"/>
  <c r="S285" i="3"/>
  <c r="AE270" i="3"/>
  <c r="AQ48" i="3"/>
  <c r="Y145" i="3"/>
  <c r="Y227" i="3"/>
  <c r="S306" i="3"/>
  <c r="Z299" i="3"/>
  <c r="Y304" i="3"/>
  <c r="AK103" i="3"/>
  <c r="AQ93" i="3"/>
  <c r="T297" i="3"/>
  <c r="Z304" i="3"/>
  <c r="S199" i="3"/>
  <c r="AQ3" i="3"/>
  <c r="N311" i="3"/>
  <c r="Z223" i="3"/>
  <c r="M166" i="3"/>
  <c r="AQ179" i="3"/>
  <c r="Z178" i="3"/>
  <c r="AK264" i="3"/>
  <c r="AR100" i="3"/>
  <c r="Y93" i="3"/>
  <c r="AQ317" i="3"/>
  <c r="S209" i="3"/>
  <c r="AK152" i="3"/>
  <c r="Z307" i="3"/>
  <c r="AK285" i="3"/>
  <c r="T299" i="3"/>
  <c r="M86" i="3"/>
  <c r="AF150" i="3"/>
  <c r="Z227" i="3"/>
  <c r="T94" i="3"/>
  <c r="N205" i="3"/>
  <c r="S164" i="3"/>
  <c r="Y226" i="3"/>
  <c r="T164" i="3"/>
  <c r="AQ40" i="3"/>
  <c r="Y222" i="3"/>
  <c r="AF209" i="3"/>
  <c r="Z72" i="3"/>
  <c r="Z208" i="3"/>
  <c r="T285" i="3"/>
  <c r="AF109" i="3"/>
  <c r="N310" i="3"/>
  <c r="K295" i="1" l="1"/>
  <c r="K318" i="1"/>
  <c r="Q324" i="1"/>
  <c r="H292" i="1"/>
  <c r="I160" i="1"/>
  <c r="P41" i="1"/>
  <c r="K61" i="1"/>
  <c r="G229" i="1"/>
  <c r="K293" i="1"/>
  <c r="Q42" i="1"/>
  <c r="S151" i="1"/>
  <c r="Q115" i="1"/>
  <c r="G172" i="1"/>
  <c r="Q298" i="1"/>
  <c r="H167" i="1"/>
  <c r="K64" i="1"/>
  <c r="O76" i="1"/>
  <c r="F324" i="1"/>
  <c r="O153" i="1"/>
  <c r="N63" i="1"/>
  <c r="J4" i="1"/>
  <c r="O304" i="1"/>
  <c r="G62" i="1"/>
  <c r="I63" i="1"/>
  <c r="U80" i="1"/>
  <c r="Q95" i="1"/>
  <c r="F230" i="1"/>
  <c r="O244" i="1"/>
  <c r="H14" i="1"/>
  <c r="T321" i="1"/>
  <c r="I224" i="1"/>
  <c r="H105" i="1"/>
  <c r="Q74" i="1"/>
  <c r="G200" i="1"/>
  <c r="H94" i="1"/>
  <c r="Q300" i="1"/>
  <c r="S83" i="1"/>
  <c r="J104" i="1"/>
  <c r="K308" i="1"/>
  <c r="G88" i="1"/>
  <c r="K316" i="1"/>
  <c r="R174" i="1"/>
  <c r="G175" i="1"/>
  <c r="S110" i="1"/>
  <c r="S277" i="1"/>
  <c r="K166" i="1"/>
  <c r="I324" i="1"/>
  <c r="K19" i="1"/>
  <c r="F174" i="1"/>
  <c r="H266" i="1"/>
  <c r="R180" i="1"/>
  <c r="H244" i="1"/>
  <c r="K46" i="1"/>
  <c r="F229" i="1"/>
  <c r="U101" i="1"/>
  <c r="T13" i="1"/>
  <c r="P61" i="1"/>
  <c r="Q312" i="1"/>
  <c r="Q213" i="1"/>
  <c r="R276" i="1"/>
  <c r="E207" i="1"/>
  <c r="U295" i="1"/>
  <c r="F175" i="1"/>
  <c r="Q228" i="1"/>
  <c r="D153" i="1"/>
  <c r="N294" i="1"/>
  <c r="R228" i="1"/>
  <c r="K307" i="1"/>
  <c r="I211" i="1"/>
  <c r="N287" i="1"/>
  <c r="H295" i="1"/>
  <c r="S265" i="1"/>
  <c r="I199" i="1"/>
  <c r="Q83" i="1"/>
  <c r="Q172" i="1"/>
  <c r="R202" i="1"/>
  <c r="U281" i="1"/>
  <c r="N19" i="1"/>
  <c r="Q60" i="1"/>
  <c r="O116" i="1"/>
  <c r="G301" i="1"/>
  <c r="I220" i="1"/>
  <c r="J90" i="1"/>
  <c r="F87" i="1"/>
  <c r="J125" i="1"/>
  <c r="U31" i="1"/>
  <c r="R290" i="1"/>
  <c r="G237" i="1"/>
  <c r="N305" i="1"/>
  <c r="F276" i="1"/>
  <c r="G228" i="1"/>
  <c r="T221" i="1"/>
  <c r="K215" i="1"/>
  <c r="H286" i="1"/>
  <c r="R245" i="1"/>
  <c r="T181" i="1"/>
  <c r="I208" i="1"/>
  <c r="U105" i="1"/>
  <c r="I102" i="1"/>
  <c r="R286" i="1"/>
  <c r="U246" i="1"/>
  <c r="S32" i="1"/>
  <c r="K109" i="1"/>
  <c r="R112" i="1"/>
  <c r="Q82" i="1"/>
  <c r="T279" i="1"/>
  <c r="Q212" i="1"/>
  <c r="I53" i="1"/>
  <c r="G293" i="1"/>
  <c r="K41" i="1"/>
  <c r="J307" i="1"/>
  <c r="N306" i="1"/>
  <c r="G126" i="1"/>
  <c r="T307" i="1"/>
  <c r="R224" i="1"/>
  <c r="E242" i="1"/>
  <c r="U306" i="1"/>
  <c r="S147" i="1"/>
  <c r="Q286" i="1"/>
  <c r="N173" i="1"/>
  <c r="H301" i="1"/>
  <c r="P199" i="1"/>
  <c r="R305" i="1"/>
  <c r="U221" i="1"/>
  <c r="Q279" i="1"/>
  <c r="H180" i="1"/>
  <c r="S306" i="1"/>
  <c r="G279" i="1"/>
  <c r="J20" i="1"/>
  <c r="G311" i="1"/>
  <c r="P242" i="1"/>
  <c r="T293" i="1"/>
  <c r="J319" i="1"/>
  <c r="P313" i="1"/>
  <c r="J265" i="1"/>
  <c r="U104" i="1"/>
  <c r="U103" i="1"/>
  <c r="D42" i="1"/>
  <c r="N238" i="1"/>
  <c r="R227" i="1"/>
  <c r="J322" i="1"/>
  <c r="H230" i="1"/>
  <c r="O291" i="1"/>
  <c r="S278" i="1"/>
  <c r="I270" i="1"/>
  <c r="H276" i="1"/>
  <c r="S202" i="1"/>
  <c r="Q46" i="1"/>
  <c r="U217" i="1"/>
  <c r="I230" i="1"/>
  <c r="K313" i="1"/>
  <c r="K244" i="1"/>
  <c r="K147" i="1"/>
  <c r="H186" i="1"/>
  <c r="R171" i="1"/>
  <c r="K175" i="1"/>
  <c r="U173" i="1"/>
  <c r="K40" i="1"/>
  <c r="S98" i="1"/>
  <c r="P312" i="1"/>
  <c r="U228" i="1"/>
  <c r="H164" i="1"/>
  <c r="R304" i="1"/>
  <c r="S266" i="1"/>
  <c r="S187" i="1"/>
  <c r="G81" i="1"/>
  <c r="S242" i="1"/>
  <c r="K272" i="1"/>
  <c r="G125" i="1"/>
  <c r="H73" i="1"/>
  <c r="R32" i="1"/>
  <c r="U315" i="1"/>
  <c r="G314" i="1"/>
  <c r="S118" i="1"/>
  <c r="G207" i="1"/>
  <c r="P185" i="1"/>
  <c r="S159" i="1"/>
  <c r="R52" i="1"/>
  <c r="E167" i="1"/>
  <c r="R77" i="1"/>
  <c r="R315" i="1"/>
  <c r="R14" i="1"/>
  <c r="P171" i="1"/>
  <c r="R179" i="1"/>
  <c r="E229" i="1"/>
  <c r="Q117" i="1"/>
  <c r="N245" i="1"/>
  <c r="J83" i="1"/>
  <c r="K103" i="1"/>
  <c r="F242" i="1"/>
  <c r="U40" i="1"/>
  <c r="J286" i="1"/>
  <c r="K220" i="1"/>
  <c r="I173" i="1"/>
  <c r="H305" i="1"/>
  <c r="I103" i="1"/>
  <c r="O227" i="1"/>
  <c r="P173" i="1"/>
  <c r="J241" i="1"/>
  <c r="G55" i="1"/>
  <c r="R287" i="1"/>
  <c r="U95" i="1"/>
  <c r="R209" i="1"/>
  <c r="F304" i="1"/>
  <c r="H115" i="1"/>
  <c r="P206" i="1"/>
  <c r="J97" i="1"/>
  <c r="S276" i="1"/>
  <c r="D287" i="1"/>
  <c r="G83" i="1"/>
  <c r="S324" i="1"/>
  <c r="K98" i="1"/>
  <c r="G115" i="1"/>
  <c r="E304" i="1"/>
  <c r="H280" i="1"/>
  <c r="R164" i="1"/>
  <c r="N174" i="1"/>
  <c r="H294" i="1"/>
  <c r="I124" i="1"/>
  <c r="G52" i="1"/>
  <c r="P150" i="1"/>
  <c r="I46" i="1"/>
  <c r="G53" i="1"/>
  <c r="S213" i="1"/>
  <c r="T83" i="1"/>
  <c r="Q304" i="1"/>
  <c r="R185" i="1"/>
  <c r="K80" i="1"/>
  <c r="T98" i="1"/>
  <c r="I225" i="1"/>
  <c r="R94" i="1"/>
  <c r="D63" i="1"/>
  <c r="K314" i="1"/>
  <c r="R280" i="1"/>
  <c r="I269" i="1"/>
  <c r="K231" i="1"/>
  <c r="R59" i="1"/>
  <c r="T96" i="1"/>
  <c r="R238" i="1"/>
  <c r="P182" i="1"/>
  <c r="R300" i="1"/>
  <c r="N203" i="1"/>
  <c r="S211" i="1"/>
  <c r="S206" i="1"/>
  <c r="G181" i="1"/>
  <c r="Q55" i="1"/>
  <c r="K228" i="1"/>
  <c r="G82" i="1"/>
  <c r="H306" i="1"/>
  <c r="U123" i="1"/>
  <c r="I276" i="1"/>
  <c r="G202" i="1"/>
  <c r="U311" i="1"/>
  <c r="E237" i="1"/>
  <c r="E124" i="1"/>
  <c r="P125" i="1"/>
  <c r="H314" i="1"/>
  <c r="Q110" i="1"/>
  <c r="I125" i="1"/>
  <c r="D308" i="1"/>
  <c r="K311" i="1"/>
  <c r="I226" i="1"/>
  <c r="K181" i="1"/>
  <c r="D112" i="1"/>
  <c r="I216" i="1"/>
  <c r="S203" i="1"/>
  <c r="H52" i="1"/>
  <c r="D125" i="1"/>
  <c r="E321" i="1"/>
  <c r="P264" i="1"/>
  <c r="G174" i="1"/>
  <c r="U48" i="1"/>
  <c r="E111" i="1"/>
  <c r="F215" i="1"/>
  <c r="O209" i="1"/>
  <c r="T27" i="1"/>
  <c r="Q217" i="1"/>
  <c r="D91" i="1"/>
  <c r="R213" i="1"/>
  <c r="T174" i="1"/>
  <c r="H238" i="1"/>
  <c r="K53" i="1"/>
  <c r="S313" i="1"/>
  <c r="R126" i="1"/>
  <c r="O175" i="1"/>
  <c r="O265" i="1"/>
  <c r="D168" i="1"/>
  <c r="J188" i="1"/>
  <c r="J324" i="1"/>
  <c r="E90" i="1"/>
  <c r="P276" i="1"/>
  <c r="F42" i="1"/>
  <c r="N172" i="1"/>
  <c r="F90" i="1"/>
  <c r="H160" i="1"/>
  <c r="Q284" i="1"/>
  <c r="D210" i="1"/>
  <c r="K48" i="1"/>
  <c r="Q181" i="1"/>
  <c r="I175" i="1"/>
  <c r="U109" i="1"/>
  <c r="T111" i="1"/>
  <c r="H307" i="1"/>
  <c r="N311" i="1"/>
  <c r="F126" i="1"/>
  <c r="N189" i="1"/>
  <c r="O90" i="1"/>
  <c r="Q311" i="1"/>
  <c r="R308" i="1"/>
  <c r="D305" i="1"/>
  <c r="E222" i="1"/>
  <c r="S207" i="1"/>
  <c r="R38" i="1"/>
  <c r="Q186" i="1"/>
  <c r="T265" i="1"/>
  <c r="G146" i="1"/>
  <c r="D307" i="1"/>
  <c r="G307" i="1"/>
  <c r="P236" i="1"/>
  <c r="U316" i="1"/>
  <c r="K221" i="1"/>
  <c r="Q165" i="1"/>
  <c r="I210" i="1"/>
  <c r="H321" i="1"/>
  <c r="R217" i="1"/>
  <c r="E300" i="1"/>
  <c r="H32" i="1"/>
  <c r="N224" i="1"/>
  <c r="I158" i="1"/>
  <c r="G118" i="1"/>
  <c r="E81" i="1"/>
  <c r="S25" i="1"/>
  <c r="S60" i="1"/>
  <c r="H228" i="1"/>
  <c r="U53" i="1"/>
  <c r="D126" i="1"/>
  <c r="P227" i="1"/>
  <c r="K180" i="1"/>
  <c r="I315" i="1"/>
  <c r="O230" i="1"/>
  <c r="S117" i="1"/>
  <c r="K190" i="1"/>
  <c r="R168" i="1"/>
  <c r="I123" i="1"/>
  <c r="J316" i="1"/>
  <c r="P311" i="1"/>
  <c r="U229" i="1"/>
  <c r="D154" i="1"/>
  <c r="I265" i="1"/>
  <c r="G316" i="1"/>
  <c r="S299" i="1"/>
  <c r="Q229" i="1"/>
  <c r="Q242" i="1"/>
  <c r="U112" i="1"/>
  <c r="I213" i="1"/>
  <c r="Q88" i="1"/>
  <c r="J153" i="1"/>
  <c r="R105" i="1"/>
  <c r="Q308" i="1"/>
  <c r="O146" i="1"/>
  <c r="H146" i="1"/>
  <c r="U313" i="1"/>
  <c r="N321" i="1"/>
  <c r="R73" i="1"/>
  <c r="U42" i="1"/>
  <c r="I187" i="1"/>
  <c r="E284" i="1"/>
  <c r="U52" i="1"/>
  <c r="H173" i="1"/>
  <c r="K179" i="1"/>
  <c r="U54" i="1"/>
  <c r="G230" i="1"/>
  <c r="N228" i="1"/>
  <c r="I165" i="1"/>
  <c r="K305" i="1"/>
  <c r="R293" i="1"/>
  <c r="H151" i="1"/>
  <c r="G209" i="1"/>
  <c r="R101" i="1"/>
  <c r="P215" i="1"/>
  <c r="Q146" i="1"/>
  <c r="I81" i="1"/>
  <c r="F201" i="1"/>
  <c r="O41" i="1"/>
  <c r="K49" i="1"/>
  <c r="N105" i="1"/>
  <c r="I27" i="1"/>
  <c r="K172" i="1"/>
  <c r="R41" i="1"/>
  <c r="K223" i="1"/>
  <c r="U26" i="1"/>
  <c r="E62" i="1"/>
  <c r="G76" i="1"/>
  <c r="S27" i="1"/>
  <c r="I62" i="1"/>
  <c r="O300" i="1"/>
  <c r="S123" i="1"/>
  <c r="E102" i="1"/>
  <c r="J221" i="1"/>
  <c r="S171" i="1"/>
  <c r="Q174" i="1"/>
  <c r="H203" i="1"/>
  <c r="P126" i="1"/>
  <c r="D157" i="1"/>
  <c r="F54" i="1"/>
  <c r="U216" i="1"/>
  <c r="J174" i="1"/>
  <c r="H227" i="1"/>
  <c r="H42" i="1"/>
  <c r="I312" i="1"/>
  <c r="P32" i="1"/>
  <c r="R269" i="1"/>
  <c r="N210" i="1"/>
  <c r="U166" i="1"/>
  <c r="N154" i="1"/>
  <c r="G313" i="1"/>
  <c r="P230" i="1"/>
  <c r="K323" i="1"/>
  <c r="R108" i="1"/>
  <c r="T48" i="1"/>
  <c r="U34" i="1"/>
  <c r="O88" i="1"/>
  <c r="F61" i="1"/>
  <c r="E209" i="1"/>
  <c r="I172" i="1"/>
  <c r="K104" i="1"/>
  <c r="E125" i="1"/>
  <c r="G216" i="1"/>
  <c r="F167" i="1"/>
  <c r="I271" i="1"/>
  <c r="S154" i="1"/>
  <c r="D324" i="1"/>
  <c r="F145" i="1"/>
  <c r="N206" i="1"/>
  <c r="G95" i="1"/>
  <c r="H265" i="1"/>
  <c r="G110" i="1"/>
  <c r="G212" i="1"/>
  <c r="S210" i="1"/>
  <c r="N119" i="1"/>
  <c r="S102" i="1"/>
  <c r="S172" i="1"/>
  <c r="P87" i="1"/>
  <c r="G244" i="1"/>
  <c r="R210" i="1"/>
  <c r="K94" i="1"/>
  <c r="U178" i="1"/>
  <c r="U220" i="1"/>
  <c r="S18" i="1"/>
  <c r="H168" i="1"/>
  <c r="J293" i="1"/>
  <c r="U318" i="1"/>
  <c r="G286" i="1"/>
  <c r="I42" i="1"/>
  <c r="G265" i="1"/>
  <c r="S183" i="1"/>
  <c r="N77" i="1"/>
  <c r="I284" i="1"/>
  <c r="E88" i="1"/>
  <c r="T223" i="1"/>
  <c r="O229" i="1"/>
  <c r="Q104" i="1"/>
  <c r="T97" i="1"/>
  <c r="D306" i="1"/>
  <c r="J202" i="1"/>
  <c r="P285" i="1"/>
  <c r="F171" i="1"/>
  <c r="I154" i="1"/>
  <c r="I299" i="1"/>
  <c r="Q293" i="1"/>
  <c r="I279" i="1"/>
  <c r="I278" i="1"/>
  <c r="D316" i="1"/>
  <c r="H181" i="1"/>
  <c r="I122" i="1"/>
  <c r="K105" i="1"/>
  <c r="I96" i="1"/>
  <c r="U111" i="1"/>
  <c r="E146" i="1"/>
  <c r="K229" i="1"/>
  <c r="G165" i="1"/>
  <c r="N168" i="1"/>
  <c r="J216" i="1"/>
  <c r="H182" i="1"/>
  <c r="D203" i="1"/>
  <c r="K241" i="1"/>
  <c r="J146" i="1"/>
  <c r="Q209" i="1"/>
  <c r="N229" i="1"/>
  <c r="K315" i="1"/>
  <c r="U41" i="1"/>
  <c r="K230" i="1"/>
  <c r="H324" i="1"/>
  <c r="R125" i="1"/>
  <c r="K127" i="1"/>
  <c r="T209" i="1"/>
  <c r="K4" i="1"/>
  <c r="K96" i="1"/>
  <c r="H223" i="1"/>
  <c r="U215" i="1"/>
  <c r="R178" i="1"/>
  <c r="T300" i="1"/>
  <c r="I41" i="1"/>
  <c r="G210" i="1"/>
  <c r="G111" i="1"/>
  <c r="U190" i="1"/>
  <c r="R244" i="1"/>
  <c r="I18" i="1"/>
  <c r="Q81" i="1"/>
  <c r="R115" i="1"/>
  <c r="I206" i="1"/>
  <c r="Q41" i="1"/>
  <c r="U323" i="1"/>
  <c r="D189" i="1"/>
  <c r="O298" i="1"/>
  <c r="H217" i="1"/>
  <c r="H56" i="1"/>
  <c r="E87" i="1"/>
  <c r="H304" i="1"/>
  <c r="R172" i="1"/>
  <c r="F220" i="1"/>
  <c r="H202" i="1"/>
  <c r="I320" i="1"/>
  <c r="N42" i="1"/>
  <c r="T104" i="1"/>
  <c r="S280" i="1"/>
  <c r="H80" i="1"/>
  <c r="O228" i="1"/>
  <c r="P316" i="1"/>
  <c r="O173" i="1"/>
  <c r="P167" i="1"/>
  <c r="O125" i="1"/>
  <c r="N157" i="1"/>
  <c r="T237" i="1"/>
  <c r="N227" i="1"/>
  <c r="F117" i="1"/>
  <c r="F305" i="1"/>
  <c r="U98" i="1"/>
  <c r="S279" i="1"/>
  <c r="K95" i="1"/>
  <c r="E188" i="1"/>
  <c r="G298" i="1"/>
  <c r="H279" i="1"/>
  <c r="F269" i="1"/>
  <c r="R87" i="1"/>
  <c r="F264" i="1"/>
  <c r="E153" i="1"/>
  <c r="E227" i="1"/>
  <c r="P305" i="1"/>
  <c r="P175" i="1"/>
  <c r="G270" i="1"/>
  <c r="D77" i="1"/>
  <c r="F227" i="1"/>
  <c r="R223" i="1"/>
  <c r="Q171" i="1"/>
  <c r="G227" i="1"/>
  <c r="S88" i="1"/>
  <c r="D87" i="1"/>
  <c r="Q321" i="1"/>
  <c r="I157" i="1"/>
  <c r="U157" i="1"/>
  <c r="I307" i="1"/>
  <c r="H179" i="1"/>
  <c r="K126" i="1"/>
  <c r="K6" i="1"/>
  <c r="H108" i="1"/>
  <c r="G48" i="1"/>
  <c r="F172" i="1"/>
  <c r="K89" i="1"/>
  <c r="I110" i="1"/>
  <c r="R167" i="1"/>
  <c r="S111" i="1"/>
  <c r="F316" i="1"/>
  <c r="S17" i="1"/>
  <c r="P304" i="1"/>
  <c r="S42" i="1"/>
  <c r="I277" i="1"/>
  <c r="S201" i="1"/>
  <c r="D171" i="1"/>
  <c r="S11" i="1"/>
  <c r="S109" i="1"/>
  <c r="F125" i="1"/>
  <c r="U4" i="1"/>
  <c r="R181" i="1"/>
</calcChain>
</file>

<file path=xl/sharedStrings.xml><?xml version="1.0" encoding="utf-8"?>
<sst xmlns="http://schemas.openxmlformats.org/spreadsheetml/2006/main" count="6963" uniqueCount="2101">
  <si>
    <t>CV</t>
  </si>
  <si>
    <t>MOD_1</t>
  </si>
  <si>
    <t>MOD_2</t>
  </si>
  <si>
    <t>MOD_3</t>
  </si>
  <si>
    <t>MOD_4</t>
  </si>
  <si>
    <t>MOD_5</t>
  </si>
  <si>
    <t>MOD_6</t>
  </si>
  <si>
    <t>MOD_7</t>
  </si>
  <si>
    <t>MOD_8</t>
  </si>
  <si>
    <t>G1</t>
  </si>
  <si>
    <t>G2</t>
  </si>
  <si>
    <t>G3</t>
  </si>
  <si>
    <t>G4</t>
  </si>
  <si>
    <t>G5</t>
  </si>
  <si>
    <t>G6</t>
  </si>
  <si>
    <t>Personeel</t>
  </si>
  <si>
    <t>Algemeen</t>
  </si>
  <si>
    <t>VIEW</t>
  </si>
  <si>
    <t>ma</t>
  </si>
  <si>
    <t>di</t>
  </si>
  <si>
    <t>wo</t>
  </si>
  <si>
    <t>do</t>
  </si>
  <si>
    <t>vr</t>
  </si>
  <si>
    <t>za</t>
  </si>
  <si>
    <t>zo</t>
  </si>
  <si>
    <t>x</t>
  </si>
  <si>
    <t>CURRENTV</t>
  </si>
  <si>
    <t>datum laatste synchronisatie met de outlook calendar</t>
  </si>
  <si>
    <t>LASTV</t>
  </si>
  <si>
    <t>referentiedatum voor onlangs gewijzigde activiteiten</t>
  </si>
  <si>
    <t>vakantie</t>
  </si>
  <si>
    <t>vakantiedag</t>
  </si>
  <si>
    <t>weekend</t>
  </si>
  <si>
    <t>weekenddag</t>
  </si>
  <si>
    <t>feest</t>
  </si>
  <si>
    <t>feestdag</t>
  </si>
  <si>
    <t>lesvrij</t>
  </si>
  <si>
    <t>roostervrije dag</t>
  </si>
  <si>
    <t>CGU</t>
  </si>
  <si>
    <t>CGU-week</t>
  </si>
  <si>
    <t>updated</t>
  </si>
  <si>
    <t>activiteit is onlangs (na de referentiedatum) nog gewijzigd</t>
  </si>
  <si>
    <t>jaaragenda leerjaar G1</t>
  </si>
  <si>
    <t>jaaragenda leerjaar G2</t>
  </si>
  <si>
    <t>jaaragenda leerjaar G3</t>
  </si>
  <si>
    <t>jaaragenda leerjaar G4</t>
  </si>
  <si>
    <t>jaaragenda leerjaar G5</t>
  </si>
  <si>
    <t>jaaragenda leerjaar G6</t>
  </si>
  <si>
    <t>jaaragenda personeel PE</t>
  </si>
  <si>
    <t>jaaragenda algemeen AL</t>
  </si>
  <si>
    <t>Calendar</t>
  </si>
  <si>
    <t>Items</t>
  </si>
  <si>
    <t>Syncdate</t>
  </si>
  <si>
    <t>Refdate</t>
  </si>
  <si>
    <t>jaaragenda G1</t>
  </si>
  <si>
    <t>jaaragenda G2</t>
  </si>
  <si>
    <t>jaaragenda G3</t>
  </si>
  <si>
    <t>jaaragenda G4</t>
  </si>
  <si>
    <t>jaaragenda G5</t>
  </si>
  <si>
    <t>jaaragenda G6</t>
  </si>
  <si>
    <t>jaaragenda PE</t>
  </si>
  <si>
    <t>jaaragenda AL</t>
  </si>
  <si>
    <t>CALENDAR1_1</t>
  </si>
  <si>
    <t>MOD1_1</t>
  </si>
  <si>
    <t>CALENDAR1_2</t>
  </si>
  <si>
    <t>MOD1_2</t>
  </si>
  <si>
    <t>CALENDAR1_3</t>
  </si>
  <si>
    <t>MOD1_3</t>
  </si>
  <si>
    <t>CALENDAR2_1</t>
  </si>
  <si>
    <t>MOD2_1</t>
  </si>
  <si>
    <t>CALENDAR2_2</t>
  </si>
  <si>
    <t>MOD2_2</t>
  </si>
  <si>
    <t>CALENDAR2_3</t>
  </si>
  <si>
    <t>MOD2_3</t>
  </si>
  <si>
    <t>CALENDAR3_1</t>
  </si>
  <si>
    <t>MOD3_1</t>
  </si>
  <si>
    <t>CALENDAR3_2</t>
  </si>
  <si>
    <t>MOD3_2</t>
  </si>
  <si>
    <t>CALENDAR3_3</t>
  </si>
  <si>
    <t>MOD3_3</t>
  </si>
  <si>
    <t>CALENDAR4_1</t>
  </si>
  <si>
    <t>MOD4_1</t>
  </si>
  <si>
    <t>CALENDAR4_2</t>
  </si>
  <si>
    <t>MOD4_2</t>
  </si>
  <si>
    <t>CALENDAR4_3</t>
  </si>
  <si>
    <t>MOD4_3</t>
  </si>
  <si>
    <t>CALENDAR5_1</t>
  </si>
  <si>
    <t>MOD5_1</t>
  </si>
  <si>
    <t>CALENDAR5_2</t>
  </si>
  <si>
    <t>MOD5_2</t>
  </si>
  <si>
    <t>CALENDAR5_3</t>
  </si>
  <si>
    <t>MOD5_3</t>
  </si>
  <si>
    <t>CALENDAR6_1</t>
  </si>
  <si>
    <t>MOD6_1</t>
  </si>
  <si>
    <t>CALENDAR6_2</t>
  </si>
  <si>
    <t>MOD6_2</t>
  </si>
  <si>
    <t>CALENDAR6_3</t>
  </si>
  <si>
    <t>MOD6_3</t>
  </si>
  <si>
    <t>CALENDAR7_1</t>
  </si>
  <si>
    <t>MOD7_1</t>
  </si>
  <si>
    <t>CALENDAR7_2</t>
  </si>
  <si>
    <t>MOD7_2</t>
  </si>
  <si>
    <t>CALENDAR7_3</t>
  </si>
  <si>
    <t>MOD7_3</t>
  </si>
  <si>
    <t>CALENDAR8_1</t>
  </si>
  <si>
    <t>MOD8_1</t>
  </si>
  <si>
    <t>CALENDAR8_2</t>
  </si>
  <si>
    <t>MOD8_2</t>
  </si>
  <si>
    <t>CALENDAR8_3</t>
  </si>
  <si>
    <t>MOD8_3</t>
  </si>
  <si>
    <t>FEEST</t>
  </si>
  <si>
    <t>NCAL1</t>
  </si>
  <si>
    <t>NCAL2</t>
  </si>
  <si>
    <t>NCAL3</t>
  </si>
  <si>
    <t>NCAL4</t>
  </si>
  <si>
    <t>NCAL5</t>
  </si>
  <si>
    <t>NCAL6</t>
  </si>
  <si>
    <t>NCAL7</t>
  </si>
  <si>
    <t>NCAL8</t>
  </si>
  <si>
    <t>herfstvakantie</t>
  </si>
  <si>
    <t>kerstvakantie</t>
  </si>
  <si>
    <t>voorjaarsvakantie</t>
  </si>
  <si>
    <t>meivakantie</t>
  </si>
  <si>
    <t xml:space="preserve">Zomervakantie   </t>
  </si>
  <si>
    <t>DTSTART</t>
  </si>
  <si>
    <t>SUMMARY</t>
  </si>
  <si>
    <t>LASTMOD</t>
  </si>
  <si>
    <t>I_START</t>
  </si>
  <si>
    <t>I_SUMM</t>
  </si>
  <si>
    <t>I_MOD</t>
  </si>
  <si>
    <t>Title_Event</t>
  </si>
  <si>
    <t>Start_Event</t>
  </si>
  <si>
    <t>End_Event</t>
  </si>
  <si>
    <t>All_Day</t>
  </si>
  <si>
    <t>Created</t>
  </si>
  <si>
    <t>Updated</t>
  </si>
  <si>
    <t>AL Zomervakantie</t>
  </si>
  <si>
    <t>2025-07-19T00:00:00.0000000</t>
  </si>
  <si>
    <t>2025-09-01T00:00:00.0000000</t>
  </si>
  <si>
    <t>2024-02-05T10:34:54.4989657+00:00</t>
  </si>
  <si>
    <t>2024-02-05T11:37:41.145985+00:00</t>
  </si>
  <si>
    <t>AL personeelsdag</t>
  </si>
  <si>
    <t>2025-09-02T00:00:00.0000000</t>
  </si>
  <si>
    <t>2025-08-27T13:36:48.0382581+00:00</t>
  </si>
  <si>
    <t>2025-08-27T18:07:21.8433833+00:00</t>
  </si>
  <si>
    <t>AL CGUweek1; fotograaf</t>
  </si>
  <si>
    <t>2025-09-03T00:00:00.0000000</t>
  </si>
  <si>
    <t>2025-08-27T13:36:49.1668525+00:00</t>
  </si>
  <si>
    <t>2025-08-27T18:07:21.664611+00:00</t>
  </si>
  <si>
    <t>AL ouderavond brugklas</t>
  </si>
  <si>
    <t>2025-09-04T00:00:00.0000000</t>
  </si>
  <si>
    <t>2025-09-05T00:00:00.0000000</t>
  </si>
  <si>
    <t>2025-09-03T07:02:45.7266685+00:00</t>
  </si>
  <si>
    <t>2025-09-03T07:35:56.9435257+00:00</t>
  </si>
  <si>
    <t>AL start lessen Lacadeia middag</t>
  </si>
  <si>
    <t>2025-09-06T00:00:00.0000000</t>
  </si>
  <si>
    <t>2025-08-27T13:36:50.3348869+00:00</t>
  </si>
  <si>
    <t>2025-08-27T18:07:21.4531052+00:00</t>
  </si>
  <si>
    <t>AL ouderavond G3 (19 u) en G6 (20 u)</t>
  </si>
  <si>
    <t>2025-09-29T00:00:00.0000000</t>
  </si>
  <si>
    <t>2025-09-30T00:00:00.0000000</t>
  </si>
  <si>
    <t>2025-08-27T13:36:52.3679695+00:00</t>
  </si>
  <si>
    <t>2025-08-27T18:07:21.3381744+00:00</t>
  </si>
  <si>
    <t>AL ouderavond G1 (19 u) en G4 (20 u)</t>
  </si>
  <si>
    <t>2025-10-01T00:00:00.0000000</t>
  </si>
  <si>
    <t>2025-10-02T00:00:00.0000000</t>
  </si>
  <si>
    <t>2025-08-27T13:36:53.6016919+00:00</t>
  </si>
  <si>
    <t>2025-08-27T18:07:21.1969836+00:00</t>
  </si>
  <si>
    <t>AL ouderavond G2  (19 u) en G5 (20 u)</t>
  </si>
  <si>
    <t>2025-10-09T00:00:00.0000000</t>
  </si>
  <si>
    <t>2025-10-10T00:00:00.0000000</t>
  </si>
  <si>
    <t>2025-08-27T13:36:55.1212977+00:00</t>
  </si>
  <si>
    <t>2025-08-27T18:07:21.0414903+00:00</t>
  </si>
  <si>
    <t>AL dag van de Duitse taal</t>
  </si>
  <si>
    <t>2025-10-07T11:17:25.3211789+00:00</t>
  </si>
  <si>
    <t>2025-10-07T12:45:47.4858907+00:00</t>
  </si>
  <si>
    <t>AL schoolfeest</t>
  </si>
  <si>
    <t>2025-10-17T00:00:00.0000000</t>
  </si>
  <si>
    <t>2025-10-18T00:00:00.0000000</t>
  </si>
  <si>
    <t>2025-09-12T09:55:22.0967508+00:00</t>
  </si>
  <si>
    <t>2025-09-15T08:37:41.3172262+00:00</t>
  </si>
  <si>
    <t>AL Herfstvakantie</t>
  </si>
  <si>
    <t>2025-10-27T00:00:00.0000000</t>
  </si>
  <si>
    <t>2024-11-21T08:27:59.1654545+00:00</t>
  </si>
  <si>
    <t>2024-11-21T09:41:59.7867508+00:00</t>
  </si>
  <si>
    <t>AL periode 2</t>
  </si>
  <si>
    <t>2025-11-10T00:00:00.0000000</t>
  </si>
  <si>
    <t>2025-11-11T00:00:00.0000000</t>
  </si>
  <si>
    <t>2025-08-27T13:36:57.6309446+00:00</t>
  </si>
  <si>
    <t>2025-08-27T18:07:20.7576436+00:00</t>
  </si>
  <si>
    <t>AL ouderklankbord</t>
  </si>
  <si>
    <t>2025-11-13T00:00:00.0000000</t>
  </si>
  <si>
    <t>2025-11-14T00:00:00.0000000</t>
  </si>
  <si>
    <t>2025-10-28T12:39:40.5487268+00:00</t>
  </si>
  <si>
    <t>2025-10-28T13:35:32.8155044+00:00</t>
  </si>
  <si>
    <t>AL ARS Café</t>
  </si>
  <si>
    <t>2025-11-15T00:00:00.0000000</t>
  </si>
  <si>
    <t>2025-10-01T09:57:25.4816631+00:00</t>
  </si>
  <si>
    <t>2025-10-06T14:04:12.2353479+00:00</t>
  </si>
  <si>
    <t>AL ouderavond informatie profielkeuze</t>
  </si>
  <si>
    <t>2025-11-24T00:00:00.0000000</t>
  </si>
  <si>
    <t>2025-11-25T00:00:00.0000000</t>
  </si>
  <si>
    <t>2025-08-27T13:37:04.566446+00:00</t>
  </si>
  <si>
    <t>2025-08-27T18:07:20.2293119+00:00</t>
  </si>
  <si>
    <t>AL Studium Gymasiale</t>
  </si>
  <si>
    <t>2025-11-26T00:00:00.0000000</t>
  </si>
  <si>
    <t>2025-11-27T00:00:00.0000000</t>
  </si>
  <si>
    <t>2025-08-27T13:37:05.6479309+00:00</t>
  </si>
  <si>
    <t>2025-08-27T18:07:20.0658344+00:00</t>
  </si>
  <si>
    <t>AL start cijferperiode 2</t>
  </si>
  <si>
    <t>2025-12-01T00:00:00.0000000</t>
  </si>
  <si>
    <t>2025-12-02T00:00:00.0000000</t>
  </si>
  <si>
    <t>2025-08-27T13:37:06.9789275+00:00</t>
  </si>
  <si>
    <t>2025-08-27T18:07:19.9136959+00:00</t>
  </si>
  <si>
    <t>AL 30'-rooster/docentenspreekmomenten 13.30-16.30</t>
  </si>
  <si>
    <t>2025-12-04T00:00:00.0000000</t>
  </si>
  <si>
    <t>2025-12-05T00:00:00.0000000</t>
  </si>
  <si>
    <t>2025-08-27T13:37:10.2700711+00:00</t>
  </si>
  <si>
    <t>2025-08-27T18:07:19.6772734+00:00</t>
  </si>
  <si>
    <t>AL info-avond ouders groep 8</t>
  </si>
  <si>
    <t>2025-09-09T12:41:21.0905543+00:00</t>
  </si>
  <si>
    <t>2025-09-15T08:30:50.2428986+00:00</t>
  </si>
  <si>
    <t>AL 30'-rooster/docentenspreekmomenten 14-17 uur</t>
  </si>
  <si>
    <t>2025-12-08T00:00:00.0000000</t>
  </si>
  <si>
    <t>2025-12-09T00:00:00.0000000</t>
  </si>
  <si>
    <t>2025-08-27T13:37:11.4582697+00:00</t>
  </si>
  <si>
    <t>2025-08-27T18:07:19.5402725+00:00</t>
  </si>
  <si>
    <t>AL Paarse Vrijdag</t>
  </si>
  <si>
    <t>2025-12-12T00:00:00.0000000</t>
  </si>
  <si>
    <t>2025-12-13T00:00:00.0000000</t>
  </si>
  <si>
    <t>2025-08-27T13:37:12.4197889+00:00</t>
  </si>
  <si>
    <t>2025-08-27T18:07:16.4942433+00:00</t>
  </si>
  <si>
    <t>Kerstgala</t>
  </si>
  <si>
    <t>2025-12-18T00:00:00.0000000</t>
  </si>
  <si>
    <t>2025-12-19T00:00:00.0000000</t>
  </si>
  <si>
    <t>2025-09-29T07:38:54.6221178+00:00</t>
  </si>
  <si>
    <t>2025-09-29T08:39:28.0995907+00:00</t>
  </si>
  <si>
    <t xml:space="preserve">AL kerstviering         </t>
  </si>
  <si>
    <t>2025-12-20T00:00:00.0000000</t>
  </si>
  <si>
    <t>2025-08-27T13:37:15.2741522+00:00</t>
  </si>
  <si>
    <t>2025-08-27T18:07:19.3230692+00:00</t>
  </si>
  <si>
    <t>AL 1e kerstdag</t>
  </si>
  <si>
    <t>2025-12-25T00:00:00.0000000</t>
  </si>
  <si>
    <t>2025-12-26T00:00:00.0000000</t>
  </si>
  <si>
    <t>2025-08-27T13:37:17.5523941+00:00</t>
  </si>
  <si>
    <t>2025-08-27T18:07:19.1362287+00:00</t>
  </si>
  <si>
    <t>AL 2e kerstdag</t>
  </si>
  <si>
    <t>2025-12-27T00:00:00.0000000</t>
  </si>
  <si>
    <t>2025-08-27T13:37:18.7541948+00:00</t>
  </si>
  <si>
    <t>2025-08-27T18:07:19.005814+00:00</t>
  </si>
  <si>
    <t>AL ouderjaarsdag</t>
  </si>
  <si>
    <t>2025-12-31T00:00:00.0000000</t>
  </si>
  <si>
    <t>2026-01-01T00:00:00.0000000</t>
  </si>
  <si>
    <t>2025-08-27T13:37:23.1793749+00:00</t>
  </si>
  <si>
    <t>2025-08-27T18:07:18.841709+00:00</t>
  </si>
  <si>
    <t>AL Nieuwjaarsdag</t>
  </si>
  <si>
    <t>2026-01-02T00:00:00.0000000</t>
  </si>
  <si>
    <t>2025-08-27T13:37:24.4287713+00:00</t>
  </si>
  <si>
    <t>2025-08-27T18:07:18.6765775+00:00</t>
  </si>
  <si>
    <t>AL Kerstvakantie</t>
  </si>
  <si>
    <t>2026-01-05T00:00:00.0000000</t>
  </si>
  <si>
    <t>2024-11-21T08:30:12.4127198+00:00</t>
  </si>
  <si>
    <t>2024-11-21T09:41:59.4756574+00:00</t>
  </si>
  <si>
    <t>AL Open Dag: 16:00-21:00 uur</t>
  </si>
  <si>
    <t>2026-01-22T00:00:00.0000000</t>
  </si>
  <si>
    <t>2026-01-23T00:00:00.0000000</t>
  </si>
  <si>
    <t>2025-08-27T13:37:26.4998523+00:00</t>
  </si>
  <si>
    <t>2025-08-27T18:07:18.4738592+00:00</t>
  </si>
  <si>
    <t>AL verkort lesrooster (30 minuten)</t>
  </si>
  <si>
    <t>2025-12-08T10:09:10.1725877+00:00</t>
  </si>
  <si>
    <t>2025-12-08T12:25:24.4023621+00:00</t>
  </si>
  <si>
    <t>AL periode 3</t>
  </si>
  <si>
    <t>2026-01-26T00:00:00.0000000</t>
  </si>
  <si>
    <t>2026-01-27T00:00:00.0000000</t>
  </si>
  <si>
    <t>2025-08-27T13:37:27.5433187+00:00</t>
  </si>
  <si>
    <t>2025-08-27T18:07:18.2913313+00:00</t>
  </si>
  <si>
    <t>AL schaaktoernooi SHZG</t>
  </si>
  <si>
    <t>2026-01-31T00:00:00.0000000</t>
  </si>
  <si>
    <t>2026-02-01T00:00:00.0000000</t>
  </si>
  <si>
    <t>2025-11-26T09:41:33.8514289+00:00</t>
  </si>
  <si>
    <t>2025-11-26T10:26:00.8868289+00:00</t>
  </si>
  <si>
    <t>AL start Ramadan</t>
  </si>
  <si>
    <t>2026-02-18T00:00:00.0000000</t>
  </si>
  <si>
    <t>2026-02-19T00:00:00.0000000</t>
  </si>
  <si>
    <t>2025-08-27T13:37:30.0388608+00:00</t>
  </si>
  <si>
    <t>2025-08-27T18:07:18.0977492+00:00</t>
  </si>
  <si>
    <t>AL voorjaarsvakantie</t>
  </si>
  <si>
    <t>2026-02-14T00:00:00.0000000</t>
  </si>
  <si>
    <t>2026-02-23T00:00:00.0000000</t>
  </si>
  <si>
    <t>2024-11-21T08:31:24.5021258+00:00</t>
  </si>
  <si>
    <t>2024-11-21T09:41:58.7602066+00:00</t>
  </si>
  <si>
    <t>AL medewerkersdag Willibrord</t>
  </si>
  <si>
    <t>2026-02-24T00:00:00.0000000</t>
  </si>
  <si>
    <t>2025-08-27T13:37:32.4268325+00:00</t>
  </si>
  <si>
    <t>2025-08-27T18:07:17.9337474+00:00</t>
  </si>
  <si>
    <t>AL CGUweek2</t>
  </si>
  <si>
    <t>2026-02-25T00:00:00.0000000</t>
  </si>
  <si>
    <t>2025-08-27T13:37:33.4507698+00:00</t>
  </si>
  <si>
    <t>2025-08-27T18:07:17.7787754+00:00</t>
  </si>
  <si>
    <t>AL Open Lesmiddag 13:30-16:00 uur; CGUweek2</t>
  </si>
  <si>
    <t>2026-02-26T00:00:00.0000000</t>
  </si>
  <si>
    <t>2025-08-27T13:37:34.4735433+00:00</t>
  </si>
  <si>
    <t>2025-08-27T18:07:17.6424211+00:00</t>
  </si>
  <si>
    <t>2026-02-27T00:00:00.0000000</t>
  </si>
  <si>
    <t>2025-08-27T13:37:35.5677984+00:00</t>
  </si>
  <si>
    <t>2025-08-27T18:07:17.4610826+00:00</t>
  </si>
  <si>
    <t>2026-02-28T00:00:00.0000000</t>
  </si>
  <si>
    <t>2025-08-27T13:37:37.5049114+00:00</t>
  </si>
  <si>
    <t>2025-08-27T18:07:17.2773801+00:00</t>
  </si>
  <si>
    <t>AL CGU-iftar</t>
  </si>
  <si>
    <t>2026-03-04T00:00:00.0000000</t>
  </si>
  <si>
    <t>2026-03-05T00:00:00.0000000</t>
  </si>
  <si>
    <t>2025-11-05T08:13:05.3782265+00:00</t>
  </si>
  <si>
    <t>2025-11-05T11:20:52.1118914+00:00</t>
  </si>
  <si>
    <t>AL 30' rooster</t>
  </si>
  <si>
    <t>2026-03-06T00:00:00.0000000</t>
  </si>
  <si>
    <t>2025-08-27T13:37:39.5272714+00:00</t>
  </si>
  <si>
    <t>2025-08-27T18:07:17.1611861+00:00</t>
  </si>
  <si>
    <t>AL 30" rooster</t>
  </si>
  <si>
    <t>2026-03-09T00:00:00.0000000</t>
  </si>
  <si>
    <t>2026-03-10T00:00:00.0000000</t>
  </si>
  <si>
    <t>2025-08-27T13:37:40.663112+00:00</t>
  </si>
  <si>
    <t>2025-08-27T18:07:17.0499155+00:00</t>
  </si>
  <si>
    <t>AL 30" rooste ;Open Lesmiddag 13:30-16:00 uur</t>
  </si>
  <si>
    <t>2026-03-11T00:00:00.0000000</t>
  </si>
  <si>
    <t>2025-08-27T13:37:41.9930022+00:00</t>
  </si>
  <si>
    <t>2025-08-27T18:07:16.8694136+00:00</t>
  </si>
  <si>
    <t>AL 30" rooster/Studium Gymnasiale</t>
  </si>
  <si>
    <t>2026-03-12T00:00:00.0000000</t>
  </si>
  <si>
    <t>2025-08-27T13:37:44.1885523+00:00</t>
  </si>
  <si>
    <t>2025-08-27T18:07:16.7056904+00:00</t>
  </si>
  <si>
    <t>2026-03-13T00:00:00.0000000</t>
  </si>
  <si>
    <t>2025-08-27T13:37:45.7267229+00:00</t>
  </si>
  <si>
    <t>2025-08-27T18:07:16.5229771+00:00</t>
  </si>
  <si>
    <t>SE WisD</t>
  </si>
  <si>
    <t>2026-03-17T00:00:00.0000000</t>
  </si>
  <si>
    <t>2026-03-18T00:00:00.0000000</t>
  </si>
  <si>
    <t>2026-03-02T20:10:52.1835177+00:00</t>
  </si>
  <si>
    <t>2026-03-02T21:50:06.2355405+00:00</t>
  </si>
  <si>
    <t xml:space="preserve">AL Einde Ramadan   </t>
  </si>
  <si>
    <t>2026-03-19T00:00:00.0000000</t>
  </si>
  <si>
    <t>2026-03-20T00:00:00.0000000</t>
  </si>
  <si>
    <t>2025-08-27T13:37:49.0313198+00:00</t>
  </si>
  <si>
    <t>2025-08-27T18:07:16.350596+00:00</t>
  </si>
  <si>
    <t xml:space="preserve">AL suikerfeest </t>
  </si>
  <si>
    <t>2026-03-21T00:00:00.0000000</t>
  </si>
  <si>
    <t>2025-08-27T13:37:50.0959036+00:00</t>
  </si>
  <si>
    <t>2025-08-27T18:07:16.2331146+00:00</t>
  </si>
  <si>
    <t>AL start cijferperiode 3</t>
  </si>
  <si>
    <t>2026-03-23T00:00:00.0000000</t>
  </si>
  <si>
    <t>2026-03-24T00:00:00.0000000</t>
  </si>
  <si>
    <t>2025-08-27T13:37:52.0760012+00:00</t>
  </si>
  <si>
    <t>2025-08-27T18:07:16.1146803+00:00</t>
  </si>
  <si>
    <t>2026-03-26T00:00:00.0000000</t>
  </si>
  <si>
    <t>2026-03-27T00:00:00.0000000</t>
  </si>
  <si>
    <t>2025-08-27T13:37:54.204816+00:00</t>
  </si>
  <si>
    <t>2025-08-27T18:07:16.0014203+00:00</t>
  </si>
  <si>
    <t>2026-03-31T00:00:00.0000000</t>
  </si>
  <si>
    <t>2026-04-01T00:00:00.0000000</t>
  </si>
  <si>
    <t>2025-08-27T13:37:55.3627367+00:00</t>
  </si>
  <si>
    <t>2025-08-27T18:07:15.789328+00:00</t>
  </si>
  <si>
    <t xml:space="preserve">AL Goede Vrijdag </t>
  </si>
  <si>
    <t>2026-04-03T00:00:00.0000000</t>
  </si>
  <si>
    <t>2026-04-04T00:00:00.0000000</t>
  </si>
  <si>
    <t>2025-08-27T13:38:00.4474389+00:00</t>
  </si>
  <si>
    <t>2025-08-27T18:07:15.6359154+00:00</t>
  </si>
  <si>
    <t>AL Eerste Paasdag</t>
  </si>
  <si>
    <t>2026-04-05T00:00:00.0000000</t>
  </si>
  <si>
    <t>2026-04-06T00:00:00.0000000</t>
  </si>
  <si>
    <t>2025-08-27T13:38:01.523002+00:00</t>
  </si>
  <si>
    <t>2025-08-27T18:07:15.5239538+00:00</t>
  </si>
  <si>
    <t>AL Tweede Paasdag</t>
  </si>
  <si>
    <t>2026-04-07T00:00:00.0000000</t>
  </si>
  <si>
    <t>2025-08-27T13:38:02.6377172+00:00</t>
  </si>
  <si>
    <t>2025-08-27T18:07:15.3617299+00:00</t>
  </si>
  <si>
    <t>AL CGUweek3/periode 4</t>
  </si>
  <si>
    <t>2026-04-13T00:00:00.0000000</t>
  </si>
  <si>
    <t>2026-04-14T00:00:00.0000000</t>
  </si>
  <si>
    <t>2025-08-27T13:38:06.2834509+00:00</t>
  </si>
  <si>
    <t>2025-08-27T18:07:15.2022864+00:00</t>
  </si>
  <si>
    <t>AL CGUweek3</t>
  </si>
  <si>
    <t>2026-04-15T00:00:00.0000000</t>
  </si>
  <si>
    <t>2025-08-27T13:38:07.4040743+00:00</t>
  </si>
  <si>
    <t>2025-08-27T18:07:15.0383237+00:00</t>
  </si>
  <si>
    <t>2026-04-16T00:00:00.0000000</t>
  </si>
  <si>
    <t>2025-08-27T13:38:08.6776303+00:00</t>
  </si>
  <si>
    <t>2025-08-27T18:07:14.909578+00:00</t>
  </si>
  <si>
    <t>2026-04-17T00:00:00.0000000</t>
  </si>
  <si>
    <t>2025-08-27T13:38:09.7355887+00:00</t>
  </si>
  <si>
    <t>2025-08-27T18:07:14.7889425+00:00</t>
  </si>
  <si>
    <t>AL koningsdag</t>
  </si>
  <si>
    <t>2026-04-27T00:00:00.0000000</t>
  </si>
  <si>
    <t>2026-04-28T00:00:00.0000000</t>
  </si>
  <si>
    <t>2025-08-27T13:38:11.4675324+00:00</t>
  </si>
  <si>
    <t>2025-08-27T18:07:14.6250173+00:00</t>
  </si>
  <si>
    <t>AL meivakantie</t>
  </si>
  <si>
    <t>2026-04-23T00:00:00.0000000</t>
  </si>
  <si>
    <t>2026-05-06T00:00:00.0000000</t>
  </si>
  <si>
    <t>2025-08-29T11:12:35.0628318+00:00</t>
  </si>
  <si>
    <t>2025-08-29T12:07:26.8476503+00:00</t>
  </si>
  <si>
    <t>AL bevrijdingsdag</t>
  </si>
  <si>
    <t>2026-05-05T00:00:00.0000000</t>
  </si>
  <si>
    <t>2025-08-27T13:38:12.6426332+00:00</t>
  </si>
  <si>
    <t>2025-08-27T18:07:14.4449886+00:00</t>
  </si>
  <si>
    <t>AL start gymlessen buiten</t>
  </si>
  <si>
    <t>2026-05-07T00:00:00.0000000</t>
  </si>
  <si>
    <t>2026-02-13T08:41:02.4810693+00:00</t>
  </si>
  <si>
    <t>2026-02-13T11:36:06.7091991+00:00</t>
  </si>
  <si>
    <t>AL start Centraal examen</t>
  </si>
  <si>
    <t>2026-05-08T00:00:00.0000000</t>
  </si>
  <si>
    <t>2026-05-09T00:00:00.0000000</t>
  </si>
  <si>
    <t>2025-08-27T13:38:13.7641677+00:00</t>
  </si>
  <si>
    <t>2025-08-27T18:07:14.3161084+00:00</t>
  </si>
  <si>
    <t>AL Hemelvaartdag</t>
  </si>
  <si>
    <t>2026-05-14T00:00:00.0000000</t>
  </si>
  <si>
    <t>2026-05-15T00:00:00.0000000</t>
  </si>
  <si>
    <t>2025-08-27T13:38:15.007243+00:00</t>
  </si>
  <si>
    <t>2025-08-27T18:07:14.100705+00:00</t>
  </si>
  <si>
    <t>AL Eerste Pinksterdag</t>
  </si>
  <si>
    <t>2026-05-24T00:00:00.0000000</t>
  </si>
  <si>
    <t>2026-05-25T00:00:00.0000000</t>
  </si>
  <si>
    <t>2025-08-27T13:38:16.2692239+00:00</t>
  </si>
  <si>
    <t>2025-08-27T18:07:13.9939915+00:00</t>
  </si>
  <si>
    <t>AL Tweede Pinksterdag</t>
  </si>
  <si>
    <t>2026-05-26T00:00:00.0000000</t>
  </si>
  <si>
    <t>2025-08-27T13:38:17.1906059+00:00</t>
  </si>
  <si>
    <t>2025-08-27T18:07:13.8811468+00:00</t>
  </si>
  <si>
    <t>AL offerfeest?</t>
  </si>
  <si>
    <t>2026-05-27T00:00:00.0000000</t>
  </si>
  <si>
    <t>2025-08-27T13:38:19.5653859+00:00</t>
  </si>
  <si>
    <t>2025-08-27T18:07:13.7566585+00:00</t>
  </si>
  <si>
    <t>AL zomer(school)feest</t>
  </si>
  <si>
    <t>2026-06-05T00:00:00.0000000</t>
  </si>
  <si>
    <t>2026-06-06T00:00:00.0000000</t>
  </si>
  <si>
    <t>2025-09-12T09:59:51.5540944+00:00</t>
  </si>
  <si>
    <t>2025-09-15T12:27:00.1980739+00:00</t>
  </si>
  <si>
    <t>AL ouderavond Ardennenkamp</t>
  </si>
  <si>
    <t>2026-06-09T00:00:00.0000000</t>
  </si>
  <si>
    <t>2026-06-10T00:00:00.0000000</t>
  </si>
  <si>
    <t>2025-11-05T08:14:27.0190698+00:00</t>
  </si>
  <si>
    <t>2025-11-05T11:20:55.740616+00:00</t>
  </si>
  <si>
    <t>AL toetsweek</t>
  </si>
  <si>
    <t>2026-06-29T00:00:00.0000000</t>
  </si>
  <si>
    <t>2026-06-30T00:00:00.0000000</t>
  </si>
  <si>
    <t>2025-08-27T13:38:20.7339096+00:00</t>
  </si>
  <si>
    <t>2025-08-27T18:07:13.5916655+00:00</t>
  </si>
  <si>
    <t>AL CGUweek4</t>
  </si>
  <si>
    <t>2026-07-06T00:00:00.0000000</t>
  </si>
  <si>
    <t>2026-07-07T00:00:00.0000000</t>
  </si>
  <si>
    <t>2025-08-27T13:38:21.9675062+00:00</t>
  </si>
  <si>
    <t>2025-08-27T18:07:13.4466819+00:00</t>
  </si>
  <si>
    <t xml:space="preserve">AL afrondende week   </t>
  </si>
  <si>
    <t>2026-07-13T00:00:00.0000000</t>
  </si>
  <si>
    <t>2026-07-14T00:00:00.0000000</t>
  </si>
  <si>
    <t>2025-08-27T13:38:24.4928147+00:00</t>
  </si>
  <si>
    <t>2025-08-27T18:07:13.3425992+00:00</t>
  </si>
  <si>
    <t>AL boeken inleveren</t>
  </si>
  <si>
    <t>2025-11-18T10:51:52.2011511+00:00</t>
  </si>
  <si>
    <t>2025-11-18T11:18:01.5909386+00:00</t>
  </si>
  <si>
    <t>AL promoties/rapporten</t>
  </si>
  <si>
    <t>2026-07-16T00:00:00.0000000</t>
  </si>
  <si>
    <t>2026-07-17T00:00:00.0000000</t>
  </si>
  <si>
    <t>2025-08-27T13:38:27.7490915+00:00</t>
  </si>
  <si>
    <t>2025-08-27T18:07:13.0938664+00:00</t>
  </si>
  <si>
    <t>AL zomervakantie</t>
  </si>
  <si>
    <t>2026-07-18T00:00:00.0000000</t>
  </si>
  <si>
    <t>2026-08-31T00:00:00.0000000</t>
  </si>
  <si>
    <t>2024-11-21T08:32:43.2607087+00:00</t>
  </si>
  <si>
    <t>2024-11-21T09:41:58.4463667+00:00</t>
  </si>
  <si>
    <t>G1 BKK ABCD</t>
  </si>
  <si>
    <t>2025-09-16T00:00:00.0000000</t>
  </si>
  <si>
    <t>2025-09-17T00:00:00.0000000</t>
  </si>
  <si>
    <t>2025-08-27T13:49:14.8796378+00:00</t>
  </si>
  <si>
    <t>2025-08-27T18:07:41.4418782+00:00</t>
  </si>
  <si>
    <t>2025-09-18T00:00:00.0000000</t>
  </si>
  <si>
    <t>2025-08-27T13:49:16.7215593+00:00</t>
  </si>
  <si>
    <t>2025-08-27T18:07:41.3230122+00:00</t>
  </si>
  <si>
    <t>2025-09-19T00:00:00.0000000</t>
  </si>
  <si>
    <t>2025-08-27T13:49:18.1567066+00:00</t>
  </si>
  <si>
    <t>2025-08-27T18:07:41.1912627+00:00</t>
  </si>
  <si>
    <t>2025-09-20T00:00:00.0000000</t>
  </si>
  <si>
    <t>2025-08-27T13:49:19.6819591+00:00</t>
  </si>
  <si>
    <t>2025-08-27T18:07:41.091018+00:00</t>
  </si>
  <si>
    <t>G1 BKK EFG</t>
  </si>
  <si>
    <t>2025-09-23T00:00:00.0000000</t>
  </si>
  <si>
    <t>2025-09-24T00:00:00.0000000</t>
  </si>
  <si>
    <t>2025-08-27T13:49:21.1756388+00:00</t>
  </si>
  <si>
    <t>2025-08-27T18:07:40.8427833+00:00</t>
  </si>
  <si>
    <t>2025-09-25T00:00:00.0000000</t>
  </si>
  <si>
    <t>2025-08-27T13:49:22.5196662+00:00</t>
  </si>
  <si>
    <t>2025-08-27T18:07:40.7089809+00:00</t>
  </si>
  <si>
    <t>2025-09-26T00:00:00.0000000</t>
  </si>
  <si>
    <t>2025-08-27T13:49:23.7550972+00:00</t>
  </si>
  <si>
    <t>2025-08-27T18:07:40.5999204+00:00</t>
  </si>
  <si>
    <t>2025-09-27T00:00:00.0000000</t>
  </si>
  <si>
    <t>2025-08-27T13:49:25.8549874+00:00</t>
  </si>
  <si>
    <t>2025-08-27T18:07:40.4580951+00:00</t>
  </si>
  <si>
    <t>G1 Rep BIO</t>
  </si>
  <si>
    <t>2025-10-15T00:00:00.0000000</t>
  </si>
  <si>
    <t>2025-10-16T00:00:00.0000000</t>
  </si>
  <si>
    <t>2025-08-27T13:49:28.6532037+00:00</t>
  </si>
  <si>
    <t>2025-09-01T15:52:08.1694841+00:00</t>
  </si>
  <si>
    <t>G1 Rep AK</t>
  </si>
  <si>
    <t>2025-11-05T00:00:00.0000000</t>
  </si>
  <si>
    <t>2025-11-06T00:00:00.0000000</t>
  </si>
  <si>
    <t>2025-08-27T13:49:32.8419159+00:00</t>
  </si>
  <si>
    <t>2025-09-01T15:52:07.0935847+00:00</t>
  </si>
  <si>
    <t>G1 Rep FA</t>
  </si>
  <si>
    <t>2025-11-12T00:00:00.0000000</t>
  </si>
  <si>
    <t>2025-08-27T13:49:37.1503342+00:00</t>
  </si>
  <si>
    <t>2025-09-01T15:52:02.939076+00:00</t>
  </si>
  <si>
    <t>G1 Rep WIS</t>
  </si>
  <si>
    <t>2025-08-27T13:49:41.3039575+00:00</t>
  </si>
  <si>
    <t>2025-09-01T15:52:01.8904898+00:00</t>
  </si>
  <si>
    <t>G1 Sinterklaasfeest</t>
  </si>
  <si>
    <t>2025-11-28T00:00:00.0000000</t>
  </si>
  <si>
    <t>2025-11-29T00:00:00.0000000</t>
  </si>
  <si>
    <t>2025-08-27T13:49:47.1419637+00:00</t>
  </si>
  <si>
    <t>2025-10-01T10:01:24.9396466+00:00</t>
  </si>
  <si>
    <t>G1 Rep EN</t>
  </si>
  <si>
    <t>2025-12-03T00:00:00.0000000</t>
  </si>
  <si>
    <t>2025-08-27T13:49:45.8829055+00:00</t>
  </si>
  <si>
    <t>2025-09-01T15:58:43.075386+00:00</t>
  </si>
  <si>
    <t>2025-12-10T00:00:00.0000000</t>
  </si>
  <si>
    <t>2025-12-11T00:00:00.0000000</t>
  </si>
  <si>
    <t>2025-08-27T13:49:48.6479051+00:00</t>
  </si>
  <si>
    <t>2025-09-01T15:52:00.0287338+00:00</t>
  </si>
  <si>
    <t>G1 Toetsdag: Rep LA</t>
  </si>
  <si>
    <t>2025-12-17T00:00:00.0000000</t>
  </si>
  <si>
    <t>2025-08-27T13:49:49.9268182+00:00</t>
  </si>
  <si>
    <t>2025-12-03T13:54:44.555499+00:00</t>
  </si>
  <si>
    <t>2026-01-14T00:00:00.0000000</t>
  </si>
  <si>
    <t>2026-01-15T00:00:00.0000000</t>
  </si>
  <si>
    <t>2025-08-27T13:49:51.1981167+00:00</t>
  </si>
  <si>
    <t>2025-09-01T15:51:59.2649181+00:00</t>
  </si>
  <si>
    <t>2026-01-21T00:00:00.0000000</t>
  </si>
  <si>
    <t>2025-08-27T13:49:52.467007+00:00</t>
  </si>
  <si>
    <t>2025-09-01T15:51:58.4387929+00:00</t>
  </si>
  <si>
    <t>G1 Rep GES</t>
  </si>
  <si>
    <t>2026-02-04T00:00:00.0000000</t>
  </si>
  <si>
    <t>2026-02-05T00:00:00.0000000</t>
  </si>
  <si>
    <t>2025-08-27T13:49:53.6609517+00:00</t>
  </si>
  <si>
    <t>2025-09-01T15:51:57.4596655+00:00</t>
  </si>
  <si>
    <t>2026-02-11T00:00:00.0000000</t>
  </si>
  <si>
    <t>2026-02-12T00:00:00.0000000</t>
  </si>
  <si>
    <t>2025-08-27T13:49:55.0798256+00:00</t>
  </si>
  <si>
    <t>2025-09-01T15:58:42.2016303+00:00</t>
  </si>
  <si>
    <t>G1 ABC kunsthal</t>
  </si>
  <si>
    <t>2025-10-06T11:42:04.5458662+00:00</t>
  </si>
  <si>
    <t>2025-10-06T14:04:28.0359737+00:00</t>
  </si>
  <si>
    <t>G1 DEFG kunsthal</t>
  </si>
  <si>
    <t>2025-10-06T11:42:46.3929542+00:00</t>
  </si>
  <si>
    <t>2025-10-06T14:04:27.904115+00:00</t>
  </si>
  <si>
    <t>2025-08-27T13:49:57.4189791+00:00</t>
  </si>
  <si>
    <t>2025-09-01T15:51:54.1897017+00:00</t>
  </si>
  <si>
    <t>G1 Rep LA</t>
  </si>
  <si>
    <t>2025-08-27T13:49:58.6844912+00:00</t>
  </si>
  <si>
    <t>2025-09-01T15:51:50.8464652+00:00</t>
  </si>
  <si>
    <t>Kangeroewedstrijd Leerjaar 1</t>
  </si>
  <si>
    <t>2026-03-19T10:45:00.0000000</t>
  </si>
  <si>
    <t>2026-03-19T11:45:00.0000000</t>
  </si>
  <si>
    <t>2026-01-20T08:45:13.2562623+00:00</t>
  </si>
  <si>
    <t>2026-01-20T11:47:47.5879442+00:00</t>
  </si>
  <si>
    <t>2026-03-25T00:00:00.0000000</t>
  </si>
  <si>
    <t>2025-08-27T13:50:00.2012779+00:00</t>
  </si>
  <si>
    <t>2025-09-01T15:51:49.7985498+00:00</t>
  </si>
  <si>
    <t>2026-04-02T00:00:00.0000000</t>
  </si>
  <si>
    <t>2025-08-27T13:50:01.8237342+00:00</t>
  </si>
  <si>
    <t>2025-09-01T15:51:48.6800996+00:00</t>
  </si>
  <si>
    <t>2026-04-08T00:00:00.0000000</t>
  </si>
  <si>
    <t>2026-04-09T00:00:00.0000000</t>
  </si>
  <si>
    <t>2025-08-27T13:50:02.9762792+00:00</t>
  </si>
  <si>
    <t>2025-09-01T15:54:55.6837242+00:00</t>
  </si>
  <si>
    <t>2026-04-22T00:00:00.0000000</t>
  </si>
  <si>
    <t>2025-08-27T13:50:05.5418434+00:00</t>
  </si>
  <si>
    <t>2025-09-01T15:51:45.4576515+00:00</t>
  </si>
  <si>
    <t>2026-05-13T00:00:00.0000000</t>
  </si>
  <si>
    <t>2025-08-27T13:50:08.9200173+00:00</t>
  </si>
  <si>
    <t>2025-09-01T15:51:44.4090603+00:00</t>
  </si>
  <si>
    <t>2026-05-28T00:00:00.0000000</t>
  </si>
  <si>
    <t>2025-08-27T13:50:10.2464663+00:00</t>
  </si>
  <si>
    <t>2025-09-01T15:51:43.2432258+00:00</t>
  </si>
  <si>
    <t>2025-08-27T13:50:11.7343922+00:00</t>
  </si>
  <si>
    <t>2025-08-27T18:07:37.595451+00:00</t>
  </si>
  <si>
    <t>2026-07-01T00:00:00.0000000</t>
  </si>
  <si>
    <t>2025-08-27T13:50:12.8860661+00:00</t>
  </si>
  <si>
    <t>2025-08-27T18:07:37.4733707+00:00</t>
  </si>
  <si>
    <t>2026-07-02T00:00:00.0000000</t>
  </si>
  <si>
    <t>2025-08-27T13:50:14.9895134+00:00</t>
  </si>
  <si>
    <t>2025-08-27T18:07:37.379204+00:00</t>
  </si>
  <si>
    <t>2026-07-03T00:00:00.0000000</t>
  </si>
  <si>
    <t>2025-08-27T13:50:17.471777+00:00</t>
  </si>
  <si>
    <t>2025-08-27T18:07:37.8190336+00:00</t>
  </si>
  <si>
    <t>G1 inhalen</t>
  </si>
  <si>
    <t>2025-08-27T13:50:19.4416931+00:00</t>
  </si>
  <si>
    <t>2025-08-27T18:07:37.6291749+00:00</t>
  </si>
  <si>
    <t>G1 cijfers inleveren</t>
  </si>
  <si>
    <t>2026-07-09T00:00:00.0000000</t>
  </si>
  <si>
    <t>2026-07-10T00:00:00.0000000</t>
  </si>
  <si>
    <t>2025-08-27T13:50:21.6142637+00:00</t>
  </si>
  <si>
    <t>2025-08-27T18:07:37.4944548+00:00</t>
  </si>
  <si>
    <t>G1 overgangsverg 8.15</t>
  </si>
  <si>
    <t>2025-08-27T13:50:23.4195777+00:00</t>
  </si>
  <si>
    <t>2025-08-27T18:07:36.6912561+00:00</t>
  </si>
  <si>
    <t>G2 Rep BIO</t>
  </si>
  <si>
    <t>2025-10-03T00:00:00.0000000</t>
  </si>
  <si>
    <t>2025-10-04T00:00:00.0000000</t>
  </si>
  <si>
    <t>2025-08-27T13:53:41.4450807+00:00</t>
  </si>
  <si>
    <t>2025-09-03T15:02:55.0031946+00:00</t>
  </si>
  <si>
    <t>G2 Rep GES</t>
  </si>
  <si>
    <t>2025-10-11T00:00:00.0000000</t>
  </si>
  <si>
    <t>2025-08-27T13:53:43.1926594+00:00</t>
  </si>
  <si>
    <t>2025-09-03T15:02:54.7183902+00:00</t>
  </si>
  <si>
    <t>G2 Rep WIS</t>
  </si>
  <si>
    <t>2025-08-27T13:53:44.3340562+00:00</t>
  </si>
  <si>
    <t>2025-09-03T15:02:54.4613123+00:00</t>
  </si>
  <si>
    <t>G2 Rep AK</t>
  </si>
  <si>
    <t>2025-10-31T00:00:00.0000000</t>
  </si>
  <si>
    <t>2025-11-01T00:00:00.0000000</t>
  </si>
  <si>
    <t>2025-08-27T13:53:45.4927971+00:00</t>
  </si>
  <si>
    <t>2025-09-03T15:02:54.1848317+00:00</t>
  </si>
  <si>
    <t>G2 Rep EN</t>
  </si>
  <si>
    <t>2025-11-07T00:00:00.0000000</t>
  </si>
  <si>
    <t>2025-11-08T00:00:00.0000000</t>
  </si>
  <si>
    <t>2025-08-27T13:53:47.0404628+00:00</t>
  </si>
  <si>
    <t>2025-09-03T15:02:56.5678609+00:00</t>
  </si>
  <si>
    <t>G2 Rep GR</t>
  </si>
  <si>
    <t>2025-08-27T13:53:49.1019407+00:00</t>
  </si>
  <si>
    <t>2025-09-03T15:02:53.6668205+00:00</t>
  </si>
  <si>
    <t>G2 Rep DU</t>
  </si>
  <si>
    <t>2025-11-21T00:00:00.0000000</t>
  </si>
  <si>
    <t>2025-11-22T00:00:00.0000000</t>
  </si>
  <si>
    <t>2025-08-27T13:53:51.4660412+00:00</t>
  </si>
  <si>
    <t>2025-09-03T15:02:53.3496324+00:00</t>
  </si>
  <si>
    <t>G2 Rep FA</t>
  </si>
  <si>
    <t>2025-08-27T13:53:53.2171456+00:00</t>
  </si>
  <si>
    <t>2025-09-03T15:02:53.1226683+00:00</t>
  </si>
  <si>
    <t>G2 Rep NA</t>
  </si>
  <si>
    <t>2025-12-06T00:00:00.0000000</t>
  </si>
  <si>
    <t>2025-08-27T13:53:54.882927+00:00</t>
  </si>
  <si>
    <t>2025-09-03T15:02:56.2339745+00:00</t>
  </si>
  <si>
    <t>2025-08-27T13:53:56.059463+00:00</t>
  </si>
  <si>
    <t>2025-09-03T15:02:52.6171369+00:00</t>
  </si>
  <si>
    <t>G2 Toetsdag: Rep GES/LA</t>
  </si>
  <si>
    <t>2025-08-27T13:53:57.0576963+00:00</t>
  </si>
  <si>
    <t>2025-12-03T13:45:33.506808+00:00</t>
  </si>
  <si>
    <t>G2 Toetsdag: Rep WIS</t>
  </si>
  <si>
    <t>2025-08-27T13:53:58.2573991+00:00</t>
  </si>
  <si>
    <t>2025-12-03T13:45:29.9780355+00:00</t>
  </si>
  <si>
    <t>2026-01-16T00:00:00.0000000</t>
  </si>
  <si>
    <t>2026-01-17T00:00:00.0000000</t>
  </si>
  <si>
    <t>2025-08-27T13:53:59.7905311+00:00</t>
  </si>
  <si>
    <t>2026-01-09T13:59:41.3505198+00:00</t>
  </si>
  <si>
    <t>2026-01-24T00:00:00.0000000</t>
  </si>
  <si>
    <t>2025-08-27T13:54:01.0930646+00:00</t>
  </si>
  <si>
    <t>2025-09-03T15:02:55.9348034+00:00</t>
  </si>
  <si>
    <t>2026-01-30T00:00:00.0000000</t>
  </si>
  <si>
    <t>2025-08-27T13:54:02.2059956+00:00</t>
  </si>
  <si>
    <t>2025-09-03T15:02:51.9477401+00:00</t>
  </si>
  <si>
    <t>2026-02-06T00:00:00.0000000</t>
  </si>
  <si>
    <t>2026-02-07T00:00:00.0000000</t>
  </si>
  <si>
    <t>2025-08-27T13:54:03.7645222+00:00</t>
  </si>
  <si>
    <t>2025-09-03T15:02:51.6561598+00:00</t>
  </si>
  <si>
    <t>2026-02-13T00:00:00.0000000</t>
  </si>
  <si>
    <t>2025-08-27T13:54:04.9304083+00:00</t>
  </si>
  <si>
    <t>2025-09-03T15:02:55.4006879+00:00</t>
  </si>
  <si>
    <t>Meeloopdag lj2</t>
  </si>
  <si>
    <t>2025-10-09T15:06:26.3926209+00:00</t>
  </si>
  <si>
    <t>2025-10-09T18:35:14.2052531+00:00</t>
  </si>
  <si>
    <t>G2 Rep Wis</t>
  </si>
  <si>
    <t>2026-03-07T00:00:00.0000000</t>
  </si>
  <si>
    <t>2025-08-27T13:54:07.8587751+00:00</t>
  </si>
  <si>
    <t>2025-09-03T15:02:51.0689872+00:00</t>
  </si>
  <si>
    <t>2026-03-14T00:00:00.0000000</t>
  </si>
  <si>
    <t>2025-08-27T13:54:09.6999864+00:00</t>
  </si>
  <si>
    <t>2025-09-03T15:02:54.731464+00:00</t>
  </si>
  <si>
    <t>G2 Rep LA</t>
  </si>
  <si>
    <t>2025-08-27T13:54:10.5460949+00:00</t>
  </si>
  <si>
    <t>2025-09-15T12:25:48.0276299+00:00</t>
  </si>
  <si>
    <t>Kangeroewedstrijd Leerjaar 2</t>
  </si>
  <si>
    <t>2026-01-20T08:46:02.3623923+00:00</t>
  </si>
  <si>
    <t>2026-01-20T11:47:47.1728688+00:00</t>
  </si>
  <si>
    <t>2026-03-28T00:00:00.0000000</t>
  </si>
  <si>
    <t>2025-08-27T13:54:13.9258798+00:00</t>
  </si>
  <si>
    <t>2025-09-03T15:02:50.0584262+00:00</t>
  </si>
  <si>
    <t>2025-08-27T13:54:15.6776005+00:00</t>
  </si>
  <si>
    <t>2026-01-28T08:45:17.4062997+00:00</t>
  </si>
  <si>
    <t>G2 Rep DUI</t>
  </si>
  <si>
    <t>2026-04-10T00:00:00.0000000</t>
  </si>
  <si>
    <t>2026-04-11T00:00:00.0000000</t>
  </si>
  <si>
    <t>2025-08-27T13:54:27.7766966+00:00</t>
  </si>
  <si>
    <t>2025-09-03T15:02:49.2977154+00:00</t>
  </si>
  <si>
    <t>2026-04-18T00:00:00.0000000</t>
  </si>
  <si>
    <t>2025-08-27T13:54:29.6103722+00:00</t>
  </si>
  <si>
    <t>2025-09-03T15:02:49.0124042+00:00</t>
  </si>
  <si>
    <t>2025-08-27T13:54:31.1822965+00:00</t>
  </si>
  <si>
    <t>2025-09-15T12:25:46.9611847+00:00</t>
  </si>
  <si>
    <t>2026-05-12T00:00:00.0000000</t>
  </si>
  <si>
    <t>2025-08-27T13:54:32.3978593+00:00</t>
  </si>
  <si>
    <t>2025-09-15T12:25:46.4979171+00:00</t>
  </si>
  <si>
    <t>2026-05-22T00:00:00.0000000</t>
  </si>
  <si>
    <t>2026-05-23T00:00:00.0000000</t>
  </si>
  <si>
    <t>2025-08-27T13:54:33.8008869+00:00</t>
  </si>
  <si>
    <t>2025-09-03T15:02:43.301991+00:00</t>
  </si>
  <si>
    <t>2026-05-29T00:00:00.0000000</t>
  </si>
  <si>
    <t>2026-05-30T00:00:00.0000000</t>
  </si>
  <si>
    <t>2025-08-27T13:54:35.0639757+00:00</t>
  </si>
  <si>
    <t>2025-09-03T15:02:41.7091159+00:00</t>
  </si>
  <si>
    <t>Taaldorp Frans</t>
  </si>
  <si>
    <t>2026-06-11T00:00:00.0000000</t>
  </si>
  <si>
    <t>2026-06-12T00:00:00.0000000</t>
  </si>
  <si>
    <t>2026-01-29T13:45:08.1625256+00:00</t>
  </si>
  <si>
    <t>2026-02-13T11:31:26.6317344+00:00</t>
  </si>
  <si>
    <t>G2 Rep GO</t>
  </si>
  <si>
    <t>2026-06-13T00:00:00.0000000</t>
  </si>
  <si>
    <t>2025-08-27T13:54:36.2651637+00:00</t>
  </si>
  <si>
    <t>2025-09-03T15:02:41.3917073+00:00</t>
  </si>
  <si>
    <t>2026-06-19T00:00:00.0000000</t>
  </si>
  <si>
    <t>2026-06-20T00:00:00.0000000</t>
  </si>
  <si>
    <t>2025-08-27T13:54:42.2367771+00:00</t>
  </si>
  <si>
    <t>2025-09-12T12:21:57.5666418+00:00</t>
  </si>
  <si>
    <t>G2 Rep FA/WIS</t>
  </si>
  <si>
    <t>2025-08-27T13:54:43.5336946+00:00</t>
  </si>
  <si>
    <t>2025-08-27T18:05:52.2633727+00:00</t>
  </si>
  <si>
    <t>2025-08-27T13:54:45.3718592+00:00</t>
  </si>
  <si>
    <t>2025-08-27T18:05:52.1159657+00:00</t>
  </si>
  <si>
    <t>G2 Rep NA/DUI</t>
  </si>
  <si>
    <t>2025-08-27T13:54:49.9251481+00:00</t>
  </si>
  <si>
    <t>2025-08-27T18:05:53.1333253+00:00</t>
  </si>
  <si>
    <t>2025-08-27T13:54:52.1531739+00:00</t>
  </si>
  <si>
    <t>2025-08-27T18:05:52.4417335+00:00</t>
  </si>
  <si>
    <t>2026-07-04T00:00:00.0000000</t>
  </si>
  <si>
    <t>2025-08-27T13:54:53.2031881+00:00</t>
  </si>
  <si>
    <t>2025-08-27T18:05:51.4784229+00:00</t>
  </si>
  <si>
    <t>G2 inhalen</t>
  </si>
  <si>
    <t>2025-08-27T13:54:54.4352779+00:00</t>
  </si>
  <si>
    <t>2025-08-27T18:05:52.1698056+00:00</t>
  </si>
  <si>
    <t>G2 cijfers inleveren</t>
  </si>
  <si>
    <t>2025-08-27T13:54:55.4907043+00:00</t>
  </si>
  <si>
    <t>2025-08-27T18:05:51.5942826+00:00</t>
  </si>
  <si>
    <t>G2 overgangsverg 12.30</t>
  </si>
  <si>
    <t>2025-08-27T13:54:57.8356637+00:00</t>
  </si>
  <si>
    <t>2025-08-27T18:05:50.6565786+00:00</t>
  </si>
  <si>
    <t>G3 Team Ollie</t>
  </si>
  <si>
    <t>2025-09-08T08:27:27.3389312+00:00</t>
  </si>
  <si>
    <t>2025-09-16T12:14:55.2242865+00:00</t>
  </si>
  <si>
    <t>2025-09-08T08:27:59.7178439+00:00</t>
  </si>
  <si>
    <t>2025-09-15T08:30:45.574434+00:00</t>
  </si>
  <si>
    <t>G3 Rep GES</t>
  </si>
  <si>
    <t>2025-08-27T13:58:00.9392171+00:00</t>
  </si>
  <si>
    <t>2025-09-03T15:03:14.0187569+00:00</t>
  </si>
  <si>
    <t>G3 Rep WIS</t>
  </si>
  <si>
    <t>2025-08-27T13:58:02.2876797+00:00</t>
  </si>
  <si>
    <t>2025-09-03T15:03:13.7758225+00:00</t>
  </si>
  <si>
    <t>G3 Rep NA</t>
  </si>
  <si>
    <t>2025-08-27T13:58:03.5221978+00:00</t>
  </si>
  <si>
    <t>2025-09-03T15:03:16.7557731+00:00</t>
  </si>
  <si>
    <t>G3 Rep SK</t>
  </si>
  <si>
    <t>2025-10-30T00:00:00.0000000</t>
  </si>
  <si>
    <t>2025-08-27T13:58:06.051099+00:00</t>
  </si>
  <si>
    <t>2025-09-03T15:03:13.3695484+00:00</t>
  </si>
  <si>
    <t>G3 Rep EN</t>
  </si>
  <si>
    <t>2025-08-27T13:58:07.1729025+00:00</t>
  </si>
  <si>
    <t>2025-09-03T15:03:16.4677237+00:00</t>
  </si>
  <si>
    <t>G3 Rep AK</t>
  </si>
  <si>
    <t>2025-08-27T13:58:09.5380932+00:00</t>
  </si>
  <si>
    <t>2025-09-03T15:03:12.8354049+00:00</t>
  </si>
  <si>
    <t>G3 Rep FA</t>
  </si>
  <si>
    <t>2025-11-20T00:00:00.0000000</t>
  </si>
  <si>
    <t>2025-08-27T13:58:10.4997112+00:00</t>
  </si>
  <si>
    <t>2025-09-03T15:03:12.673652+00:00</t>
  </si>
  <si>
    <t>G3 week van de vakkenvoorlichting / Ouderavond Profielkeuze</t>
  </si>
  <si>
    <t>2025-08-27T13:58:11.4547398+00:00</t>
  </si>
  <si>
    <t>2025-08-27T18:06:36.025195+00:00</t>
  </si>
  <si>
    <t>G3 week van de vakkenvoorlichting</t>
  </si>
  <si>
    <t>2025-08-27T13:58:13.0170649+00:00</t>
  </si>
  <si>
    <t>2025-08-27T18:06:35.863539+00:00</t>
  </si>
  <si>
    <t>2025-08-27T13:58:14.7170829+00:00</t>
  </si>
  <si>
    <t>2025-08-27T18:06:35.148112+00:00</t>
  </si>
  <si>
    <t>G3 week van de vakkenvoorlichting /</t>
  </si>
  <si>
    <t>2025-08-27T13:58:16.3747472+00:00</t>
  </si>
  <si>
    <t>2025-09-12T12:22:11.9142512+00:00</t>
  </si>
  <si>
    <t>G3 REP GR</t>
  </si>
  <si>
    <t>2025-08-27T13:58:17.2475583+00:00</t>
  </si>
  <si>
    <t>2025-09-03T15:03:16.1689038+00:00</t>
  </si>
  <si>
    <t>2025-09-03T11:47:06.6148535+00:00</t>
  </si>
  <si>
    <t>2025-09-15T08:32:03.4923011+00:00</t>
  </si>
  <si>
    <t>G3 Rep DUI</t>
  </si>
  <si>
    <t>2025-08-27T13:58:18.3541491+00:00</t>
  </si>
  <si>
    <t>2025-09-03T15:03:12.1602791+00:00</t>
  </si>
  <si>
    <t>2025-08-27T13:58:20.3792249+00:00</t>
  </si>
  <si>
    <t>2025-09-03T15:03:11.9646596+00:00</t>
  </si>
  <si>
    <t>G3 Toetsdag: Rep GES/NA</t>
  </si>
  <si>
    <t>2025-08-27T13:58:21.4228543+00:00</t>
  </si>
  <si>
    <t>2025-12-03T13:54:43.7406174+00:00</t>
  </si>
  <si>
    <t>G3 Toetsdag: Rep LA/SK</t>
  </si>
  <si>
    <t>2025-08-27T13:58:22.441508+00:00</t>
  </si>
  <si>
    <t>2025-12-03T13:54:43.0118292+00:00</t>
  </si>
  <si>
    <t>2025-08-27T13:58:23.5171428+00:00</t>
  </si>
  <si>
    <t>2025-12-11T11:23:52.5405351+00:00</t>
  </si>
  <si>
    <t>G3 Rep GO</t>
  </si>
  <si>
    <t>2025-08-27T13:58:26.2113583+00:00</t>
  </si>
  <si>
    <t>2026-01-12T09:27:21.0339495+00:00</t>
  </si>
  <si>
    <t>2026-01-29T00:00:00.0000000</t>
  </si>
  <si>
    <t>2025-08-27T13:58:28.4761051+00:00</t>
  </si>
  <si>
    <t>2025-09-03T15:03:11.4605944+00:00</t>
  </si>
  <si>
    <t>2025-08-27T13:58:29.9611773+00:00</t>
  </si>
  <si>
    <t>2025-09-03T15:03:15.4118584+00:00</t>
  </si>
  <si>
    <t>G3 taaldorp Duits</t>
  </si>
  <si>
    <t>2025-11-25T14:05:00.5879426+00:00</t>
  </si>
  <si>
    <t>2025-11-25T15:24:26.9449252+00:00</t>
  </si>
  <si>
    <t>G3 start voorlopige profielkeuze</t>
  </si>
  <si>
    <t>2026-02-10T00:00:00.0000000</t>
  </si>
  <si>
    <t>2025-08-27T13:58:31.3380086+00:00</t>
  </si>
  <si>
    <t>2025-09-12T12:22:11.5474435+00:00</t>
  </si>
  <si>
    <t>2025-08-27T13:58:32.5190433+00:00</t>
  </si>
  <si>
    <t>2025-09-03T15:03:14.7357277+00:00</t>
  </si>
  <si>
    <t>2025-08-27T13:58:35.3187698+00:00</t>
  </si>
  <si>
    <t>2025-08-27T18:06:28.9846907+00:00</t>
  </si>
  <si>
    <t>G3 Deadline Voorlopige Profielkeuze</t>
  </si>
  <si>
    <t>2026-03-02T00:00:00.0000000</t>
  </si>
  <si>
    <t>2026-03-03T00:00:00.0000000</t>
  </si>
  <si>
    <t>2025-09-12T12:11:53.6743561+00:00</t>
  </si>
  <si>
    <t>2025-09-15T12:26:53.5000141+00:00</t>
  </si>
  <si>
    <t>2025-08-27T13:58:36.4060629+00:00</t>
  </si>
  <si>
    <t>2025-09-03T15:03:10.8742016+00:00</t>
  </si>
  <si>
    <t>Bezoek Hoosh</t>
  </si>
  <si>
    <t>2026-01-26T10:49:24.0054916+00:00</t>
  </si>
  <si>
    <t>2026-02-13T11:34:15.5026473+00:00</t>
  </si>
  <si>
    <t>2025-08-27T13:58:37.4562491+00:00</t>
  </si>
  <si>
    <t>2025-09-03T15:03:10.6366149+00:00</t>
  </si>
  <si>
    <t>G3 vakadviezen staan in Magister</t>
  </si>
  <si>
    <t>2025-08-27T13:58:38.57358+00:00</t>
  </si>
  <si>
    <t>2025-08-27T18:06:29.1471388+00:00</t>
  </si>
  <si>
    <t>2025-08-27T13:58:39.8747323+00:00</t>
  </si>
  <si>
    <t>2025-08-27T18:06:28.9604944+00:00</t>
  </si>
  <si>
    <t>G3 Start Definitieve Profielkeuze</t>
  </si>
  <si>
    <t>2025-09-12T12:12:29.149699+00:00</t>
  </si>
  <si>
    <t>2025-09-15T12:26:42.5375519+00:00</t>
  </si>
  <si>
    <t>G3 Rep GR</t>
  </si>
  <si>
    <t>2025-08-27T13:58:43.4581936+00:00</t>
  </si>
  <si>
    <t>2025-09-03T15:03:10.3998466+00:00</t>
  </si>
  <si>
    <t>G3 Rep LA</t>
  </si>
  <si>
    <t>2025-08-27T13:58:45.651055+00:00</t>
  </si>
  <si>
    <t>2025-08-27T18:06:27.4427624+00:00</t>
  </si>
  <si>
    <t>G3 definitieve profielkeuze</t>
  </si>
  <si>
    <t>2025-08-27T13:58:46.8219186+00:00</t>
  </si>
  <si>
    <t>2025-08-27T18:06:28.1383786+00:00</t>
  </si>
  <si>
    <t>2025-08-27T13:58:47.7814601+00:00</t>
  </si>
  <si>
    <t>2025-09-03T15:03:10.1076156+00:00</t>
  </si>
  <si>
    <t>Stagedag</t>
  </si>
  <si>
    <t>2026-01-29T14:12:33.0586469+00:00</t>
  </si>
  <si>
    <t>2026-02-13T11:34:15.1948218+00:00</t>
  </si>
  <si>
    <t>G3 Rep DU</t>
  </si>
  <si>
    <t>2025-08-27T13:58:49.3958495+00:00</t>
  </si>
  <si>
    <t>2025-09-03T15:03:09.951369+00:00</t>
  </si>
  <si>
    <t>2025-08-27T13:58:50.4346452+00:00</t>
  </si>
  <si>
    <t>2025-09-03T15:03:09.8039876+00:00</t>
  </si>
  <si>
    <t>G3 excursie Vught</t>
  </si>
  <si>
    <t>2026-05-18T00:00:00.0000000</t>
  </si>
  <si>
    <t>2026-05-19T00:00:00.0000000</t>
  </si>
  <si>
    <t>2025-09-15T07:11:42.8172759+00:00</t>
  </si>
  <si>
    <t>2025-09-15T12:26:33.5532817+00:00</t>
  </si>
  <si>
    <t>2026-05-21T00:00:00.0000000</t>
  </si>
  <si>
    <t>2025-08-27T13:58:51.548411+00:00</t>
  </si>
  <si>
    <t>2025-09-03T15:03:09.6246223+00:00</t>
  </si>
  <si>
    <t>2025-08-27T13:58:52.5548167+00:00</t>
  </si>
  <si>
    <t>2025-09-03T15:03:09.4591322+00:00</t>
  </si>
  <si>
    <t>G3 bezoek leerlingen uit Munster</t>
  </si>
  <si>
    <t>2026-06-01T00:00:00.0000000</t>
  </si>
  <si>
    <t>2026-06-02T00:00:00.0000000</t>
  </si>
  <si>
    <t>2025-11-25T14:08:00.4653963+00:00</t>
  </si>
  <si>
    <t>2025-11-25T15:24:26.6686953+00:00</t>
  </si>
  <si>
    <t>2026-06-03T00:00:00.0000000</t>
  </si>
  <si>
    <t>2025-11-25T14:25:19.260459+00:00</t>
  </si>
  <si>
    <t>2025-11-25T15:24:11.9053815+00:00</t>
  </si>
  <si>
    <t>2026-06-04T00:00:00.0000000</t>
  </si>
  <si>
    <t>2025-11-25T14:25:30.1564006+00:00</t>
  </si>
  <si>
    <t>2025-11-25T15:24:11.6673973+00:00</t>
  </si>
  <si>
    <t>G3 Rep GS</t>
  </si>
  <si>
    <t>2025-08-27T13:58:55.1347149+00:00</t>
  </si>
  <si>
    <t>2025-09-03T15:03:09.2477492+00:00</t>
  </si>
  <si>
    <t>2026-06-25T00:00:00.0000000</t>
  </si>
  <si>
    <t>2026-06-26T00:00:00.0000000</t>
  </si>
  <si>
    <t>2025-08-27T13:58:56.9464346+00:00</t>
  </si>
  <si>
    <t>2025-09-03T15:03:09.0617493+00:00</t>
  </si>
  <si>
    <t>2025-08-27T13:58:57.9770202+00:00</t>
  </si>
  <si>
    <t>2025-08-27T18:06:26.1110185+00:00</t>
  </si>
  <si>
    <t>G3 Rep WIS/EN</t>
  </si>
  <si>
    <t>2025-08-27T13:58:59.0690296+00:00</t>
  </si>
  <si>
    <t>2025-08-27T18:06:26.5455315+00:00</t>
  </si>
  <si>
    <t>G3 Rep NA/FA</t>
  </si>
  <si>
    <t>2025-08-27T13:59:00.209206+00:00</t>
  </si>
  <si>
    <t>2025-08-27T18:06:25.5373987+00:00</t>
  </si>
  <si>
    <t>2025-08-27T13:59:01.1866879+00:00</t>
  </si>
  <si>
    <t>2025-08-27T18:06:25.1957371+00:00</t>
  </si>
  <si>
    <t>2025-08-27T13:59:03.0462771+00:00</t>
  </si>
  <si>
    <t>2025-08-27T18:06:25.1033394+00:00</t>
  </si>
  <si>
    <t>G3 Ardennenkamp</t>
  </si>
  <si>
    <t>2025-11-03T12:12:41.9884043+00:00</t>
  </si>
  <si>
    <t>2026-02-13T11:36:01.0219181+00:00</t>
  </si>
  <si>
    <t>2026-07-08T00:00:00.0000000</t>
  </si>
  <si>
    <t>2025-11-03T12:12:53.1910329+00:00</t>
  </si>
  <si>
    <t>2026-02-13T11:36:00.7236614+00:00</t>
  </si>
  <si>
    <t>2025-11-03T12:13:02.0142689+00:00</t>
  </si>
  <si>
    <t>2026-02-13T11:36:00.3981504+00:00</t>
  </si>
  <si>
    <t>G3 cijfers inleveren</t>
  </si>
  <si>
    <t>2025-08-27T13:59:04.2415755+00:00</t>
  </si>
  <si>
    <t>2025-08-27T18:06:25.5490014+00:00</t>
  </si>
  <si>
    <t>2025-11-03T12:13:26.1012251+00:00</t>
  </si>
  <si>
    <t>2026-02-13T11:34:15.7996199+00:00</t>
  </si>
  <si>
    <t>2026-07-11T00:00:00.0000000</t>
  </si>
  <si>
    <t>2025-11-03T12:13:38.1908496+00:00</t>
  </si>
  <si>
    <t>2026-02-13T11:36:12.2061995+00:00</t>
  </si>
  <si>
    <t>G3 overgangsverg 10.00</t>
  </si>
  <si>
    <t>2026-07-15T00:00:00.0000000</t>
  </si>
  <si>
    <t>2025-08-27T13:59:06.4904521+00:00</t>
  </si>
  <si>
    <t>2025-08-27T18:06:24.8224103+00:00</t>
  </si>
  <si>
    <t>G4 KUBVexcursie</t>
  </si>
  <si>
    <t>2025-10-08T00:00:00.0000000</t>
  </si>
  <si>
    <t>2025-08-27T14:04:10.0787135+00:00</t>
  </si>
  <si>
    <t>2025-08-27T18:07:34.3004354+00:00</t>
  </si>
  <si>
    <t>G4 HPG</t>
  </si>
  <si>
    <t>2025-08-27T14:04:11.3721536+00:00</t>
  </si>
  <si>
    <t>2025-08-27T18:07:34.1443108+00:00</t>
  </si>
  <si>
    <t>G4 Rep WIABC</t>
  </si>
  <si>
    <t>2025-08-27T14:04:12.6456239+00:00</t>
  </si>
  <si>
    <t>2025-08-27T18:07:33.8035477+00:00</t>
  </si>
  <si>
    <t>G4 Rep EC</t>
  </si>
  <si>
    <t>2025-10-14T00:00:00.0000000</t>
  </si>
  <si>
    <t>2025-08-27T14:04:15.1044506+00:00</t>
  </si>
  <si>
    <t>2025-08-27T18:07:33.6990058+00:00</t>
  </si>
  <si>
    <t>G4 Bezoek voorstelling Confrontaties in stadsschouwburh</t>
  </si>
  <si>
    <t>2025-10-09T10:17:54.2644734+00:00</t>
  </si>
  <si>
    <t>2025-10-13T12:05:28.7577564+00:00</t>
  </si>
  <si>
    <t>G4 SE ANW</t>
  </si>
  <si>
    <t>2025-08-27T14:04:16.4809776+00:00</t>
  </si>
  <si>
    <t>2025-08-27T18:07:34.6844773+00:00</t>
  </si>
  <si>
    <t>G4 Rep EN</t>
  </si>
  <si>
    <t>2025-08-27T14:04:19.1693198+00:00</t>
  </si>
  <si>
    <t>2025-08-27T18:07:34.4956961+00:00</t>
  </si>
  <si>
    <t>G4 inh rep WI</t>
  </si>
  <si>
    <t>2025-10-28T00:00:00.0000000</t>
  </si>
  <si>
    <t>2025-09-23T11:34:21.2825047+00:00</t>
  </si>
  <si>
    <t>2025-10-06T14:04:23.3235489+00:00</t>
  </si>
  <si>
    <t>G4 Rep GS</t>
  </si>
  <si>
    <t>2025-10-29T00:00:00.0000000</t>
  </si>
  <si>
    <t>2025-08-27T14:04:20.2178103+00:00</t>
  </si>
  <si>
    <t>2025-08-27T18:07:33.3712448+00:00</t>
  </si>
  <si>
    <t>G4 Uitwisseling Munster op bezoek bij CGU</t>
  </si>
  <si>
    <t>2025-09-10T12:20:56.4692695+00:00</t>
  </si>
  <si>
    <t>2025-09-15T08:39:00.8171977+00:00</t>
  </si>
  <si>
    <t>2025-09-11T09:03:49.58833+00:00</t>
  </si>
  <si>
    <t>2025-09-15T08:37:54.9011115+00:00</t>
  </si>
  <si>
    <t>G4 inh rep EC</t>
  </si>
  <si>
    <t>2025-09-23T11:34:27.9069817+00:00</t>
  </si>
  <si>
    <t>2025-10-10T10:50:10.8631083+00:00</t>
  </si>
  <si>
    <t>2025-09-11T09:03:54.6407693+00:00</t>
  </si>
  <si>
    <t>2025-09-15T08:37:51.6642985+00:00</t>
  </si>
  <si>
    <t>G4 inh rep EN</t>
  </si>
  <si>
    <t>2025-09-23T11:34:58.4551278+00:00</t>
  </si>
  <si>
    <t>2025-10-06T14:04:23.6975066+00:00</t>
  </si>
  <si>
    <t>G4 Rep FI</t>
  </si>
  <si>
    <t>2025-08-27T14:04:21.4800082+00:00</t>
  </si>
  <si>
    <t>2025-08-27T18:07:33.2523623+00:00</t>
  </si>
  <si>
    <t>G4 inh SE ANW</t>
  </si>
  <si>
    <t>2025-11-03T00:00:00.0000000</t>
  </si>
  <si>
    <t>2025-11-04T00:00:00.0000000</t>
  </si>
  <si>
    <t>2025-09-23T11:35:28.4474394+00:00</t>
  </si>
  <si>
    <t>2025-10-06T14:04:19.8987468+00:00</t>
  </si>
  <si>
    <t>G4 Rep NA</t>
  </si>
  <si>
    <t>2025-08-27T14:04:22.7266175+00:00</t>
  </si>
  <si>
    <t>2025-08-27T18:07:33.7123914+00:00</t>
  </si>
  <si>
    <t>G4 Rep SK</t>
  </si>
  <si>
    <t>2025-08-27T14:04:23.8845092+00:00</t>
  </si>
  <si>
    <t>2025-08-27T18:07:32.8525191+00:00</t>
  </si>
  <si>
    <t>G4 inh rep GS</t>
  </si>
  <si>
    <t>2025-09-23T11:35:58.3834297+00:00</t>
  </si>
  <si>
    <t>2025-10-06T14:04:18.799792+00:00</t>
  </si>
  <si>
    <t>G4 Rep LA</t>
  </si>
  <si>
    <t>2025-08-27T14:04:27.4218391+00:00</t>
  </si>
  <si>
    <t>2025-08-27T18:07:32.7580184+00:00</t>
  </si>
  <si>
    <t>G4 naar Rennes uitwisseling Fa</t>
  </si>
  <si>
    <t>2025-08-27T14:04:28.5664263+00:00</t>
  </si>
  <si>
    <t>2025-08-27T18:07:33.4247934+00:00</t>
  </si>
  <si>
    <t>G4 inh rep FI</t>
  </si>
  <si>
    <t>2025-09-23T11:36:18.6802211+00:00</t>
  </si>
  <si>
    <t>2025-10-06T14:04:18.5636718+00:00</t>
  </si>
  <si>
    <t>G4 Rep AK</t>
  </si>
  <si>
    <t>2025-08-27T14:04:29.6680415+00:00</t>
  </si>
  <si>
    <t>2025-08-27T18:07:32.291876+00:00</t>
  </si>
  <si>
    <t>G4 inh rep NA</t>
  </si>
  <si>
    <t>2025-11-17T00:00:00.0000000</t>
  </si>
  <si>
    <t>2025-11-18T00:00:00.0000000</t>
  </si>
  <si>
    <t>2025-09-23T11:36:43.5985584+00:00</t>
  </si>
  <si>
    <t>2025-10-06T14:04:19.5718489+00:00</t>
  </si>
  <si>
    <t>G4 terug uit Rennes</t>
  </si>
  <si>
    <t>2025-11-19T00:00:00.0000000</t>
  </si>
  <si>
    <t>2025-08-27T14:04:30.8057695+00:00</t>
  </si>
  <si>
    <t>2025-08-27T18:07:32.1850584+00:00</t>
  </si>
  <si>
    <t>G4 inh rep SK</t>
  </si>
  <si>
    <t>2025-09-23T11:37:04.6833313+00:00</t>
  </si>
  <si>
    <t>2025-10-06T14:04:18.0978452+00:00</t>
  </si>
  <si>
    <t>G4 Rep BI</t>
  </si>
  <si>
    <t>2025-08-27T14:04:39.3019613+00:00</t>
  </si>
  <si>
    <t>2025-08-27T18:07:32.0285995+00:00</t>
  </si>
  <si>
    <t>G4 inh rep LA</t>
  </si>
  <si>
    <t>2025-09-23T12:06:06.7571539+00:00</t>
  </si>
  <si>
    <t>2025-10-06T14:04:17.7633123+00:00</t>
  </si>
  <si>
    <t>G4 Rep GR</t>
  </si>
  <si>
    <t>2025-08-27T14:04:40.8728068+00:00</t>
  </si>
  <si>
    <t>2025-08-27T18:07:31.9203648+00:00</t>
  </si>
  <si>
    <t>G4 inh rep AK</t>
  </si>
  <si>
    <t>2025-09-23T12:06:23.7173197+00:00</t>
  </si>
  <si>
    <t>2025-10-06T14:04:17.1080705+00:00</t>
  </si>
  <si>
    <t>2025-08-27T14:04:41.990848+00:00</t>
  </si>
  <si>
    <t>2025-08-27T18:07:31.694887+00:00</t>
  </si>
  <si>
    <t>G4 Bezoek studiebeurs Jaarbeurs</t>
  </si>
  <si>
    <t>2025-09-24T10:04:23.9182032+00:00</t>
  </si>
  <si>
    <t>2025-10-06T14:04:13.2777944+00:00</t>
  </si>
  <si>
    <t>2025-08-27T14:04:43.0728784+00:00</t>
  </si>
  <si>
    <t>2025-08-27T18:07:32.502932+00:00</t>
  </si>
  <si>
    <t>2025-08-27T14:04:44.5434849+00:00</t>
  </si>
  <si>
    <t>2025-08-27T18:07:32.3315006+00:00</t>
  </si>
  <si>
    <t>G4 inh rep BI</t>
  </si>
  <si>
    <t>2025-09-23T12:07:18.1678995+00:00</t>
  </si>
  <si>
    <t>2025-10-07T08:02:56.3274537+00:00</t>
  </si>
  <si>
    <t>G4 inh rep GR</t>
  </si>
  <si>
    <t>2025-09-23T12:07:21.2456845+00:00</t>
  </si>
  <si>
    <t>2025-10-06T14:04:18.5122325+00:00</t>
  </si>
  <si>
    <t>2025-08-27T14:04:45.6490082+00:00</t>
  </si>
  <si>
    <t>2025-08-27T18:07:31.073069+00:00</t>
  </si>
  <si>
    <t>G4 HPGcafé</t>
  </si>
  <si>
    <t>2025-08-27T14:04:47.0821408+00:00</t>
  </si>
  <si>
    <t>2025-08-27T18:07:30.9219759+00:00</t>
  </si>
  <si>
    <t>2025-09-23T12:08:34.5654687+00:00</t>
  </si>
  <si>
    <t>2025-09-23T15:17:30.7529502+00:00</t>
  </si>
  <si>
    <t>G4 Rep BE</t>
  </si>
  <si>
    <t>2025-08-27T14:04:49.1603844+00:00</t>
  </si>
  <si>
    <t>2025-08-27T18:07:30.7138221+00:00</t>
  </si>
  <si>
    <t>2025-12-15T00:00:00.0000000</t>
  </si>
  <si>
    <t>2025-12-16T00:00:00.0000000</t>
  </si>
  <si>
    <t>2025-09-23T12:09:12.9251356+00:00</t>
  </si>
  <si>
    <t>2025-10-06T14:04:18.3711705+00:00</t>
  </si>
  <si>
    <t>2025-08-27T14:04:51.6575271+00:00</t>
  </si>
  <si>
    <t>2025-09-29T13:25:42.1023943+00:00</t>
  </si>
  <si>
    <t>G4 Rep SP (1e uur)  en MDT workshop</t>
  </si>
  <si>
    <t>2025-08-27T14:04:50.2975264+00:00</t>
  </si>
  <si>
    <t>2025-10-09T08:05:13.8905887+00:00</t>
  </si>
  <si>
    <t>G4 inh SE ANW en MDT workshop</t>
  </si>
  <si>
    <t>2025-10-08T13:06:27.1051443+00:00</t>
  </si>
  <si>
    <t>2025-10-09T08:04:58.9205422+00:00</t>
  </si>
  <si>
    <t>2026-01-07T00:00:00.0000000</t>
  </si>
  <si>
    <t>2026-01-08T00:00:00.0000000</t>
  </si>
  <si>
    <t>2025-09-23T12:22:48.6403252+00:00</t>
  </si>
  <si>
    <t>2025-10-06T14:04:17.3723442+00:00</t>
  </si>
  <si>
    <t>G4 inh rep SP</t>
  </si>
  <si>
    <t>2026-01-09T00:00:00.0000000</t>
  </si>
  <si>
    <t>2025-09-23T12:22:30.3153117+00:00</t>
  </si>
  <si>
    <t>2025-12-17T12:43:35.6718966+00:00</t>
  </si>
  <si>
    <t>G4 inh rep BE</t>
  </si>
  <si>
    <t>2025-09-23T12:23:14.8103172+00:00</t>
  </si>
  <si>
    <t>2025-10-06T14:04:16.0115484+00:00</t>
  </si>
  <si>
    <t>G4 inh BE en GS</t>
  </si>
  <si>
    <t>2026-01-12T00:00:00.0000000</t>
  </si>
  <si>
    <t>2026-01-13T00:00:00.0000000</t>
  </si>
  <si>
    <t>2026-01-07T13:05:15.4302203+00:00</t>
  </si>
  <si>
    <t>2026-01-07T14:48:49.6901182+00:00</t>
  </si>
  <si>
    <t>2025-08-27T14:04:57.7377817+00:00</t>
  </si>
  <si>
    <t>2025-08-27T18:07:30.4352959+00:00</t>
  </si>
  <si>
    <t>G4 Inh EC</t>
  </si>
  <si>
    <t>2026-01-07T13:05:29.4261788+00:00</t>
  </si>
  <si>
    <t>2026-01-07T14:48:39.4274102+00:00</t>
  </si>
  <si>
    <t>2025-08-27T14:04:58.7257165+00:00</t>
  </si>
  <si>
    <t>2025-08-27T18:07:29.4817194+00:00</t>
  </si>
  <si>
    <t>2026-01-20T00:00:00.0000000</t>
  </si>
  <si>
    <t>2025-08-27T14:04:59.7431103+00:00</t>
  </si>
  <si>
    <t>2025-08-27T18:07:26.0818002+00:00</t>
  </si>
  <si>
    <t>G4 veegmoment</t>
  </si>
  <si>
    <t>2025-09-23T11:04:39.9312161+00:00</t>
  </si>
  <si>
    <t>2025-10-06T14:04:23.8550617+00:00</t>
  </si>
  <si>
    <t>2025-08-27T14:04:53.9089091+00:00</t>
  </si>
  <si>
    <t>2025-09-05T15:11:34.5764339+00:00</t>
  </si>
  <si>
    <t>2025-09-23T12:25:20.1372033+00:00</t>
  </si>
  <si>
    <t>2025-10-06T14:04:16.5586169+00:00</t>
  </si>
  <si>
    <t>2026-01-28T00:00:00.0000000</t>
  </si>
  <si>
    <t>2025-08-27T14:05:02.5580047+00:00</t>
  </si>
  <si>
    <t>2025-08-27T18:07:25.8759259+00:00</t>
  </si>
  <si>
    <t>2025-09-23T12:25:39.4820951+00:00</t>
  </si>
  <si>
    <t>2025-10-06T14:04:15.3959696+00:00</t>
  </si>
  <si>
    <t>G4 rep fi</t>
  </si>
  <si>
    <t>2026-01-29T23:00:00.0000000</t>
  </si>
  <si>
    <t>2026-01-07T12:25:46.0635634+00:00</t>
  </si>
  <si>
    <t>2026-01-07T14:48:41.6065749+00:00</t>
  </si>
  <si>
    <t>G4 repetitie FI</t>
  </si>
  <si>
    <t>2026-01-07T12:26:13.7624958+00:00</t>
  </si>
  <si>
    <t>2026-01-07T14:48:50.3285956+00:00</t>
  </si>
  <si>
    <t>2026-02-02T00:00:00.0000000</t>
  </si>
  <si>
    <t>2026-02-03T00:00:00.0000000</t>
  </si>
  <si>
    <t>2025-09-23T12:42:44.2835024+00:00</t>
  </si>
  <si>
    <t>2025-10-06T14:04:15.1563571+00:00</t>
  </si>
  <si>
    <t>2025-08-27T14:05:05.5943269+00:00</t>
  </si>
  <si>
    <t>2025-08-27T18:07:26.2664325+00:00</t>
  </si>
  <si>
    <t>2025-09-23T12:43:06.7998578+00:00</t>
  </si>
  <si>
    <t>2025-10-06T14:04:15.0380987+00:00</t>
  </si>
  <si>
    <t>2026-02-09T00:00:00.0000000</t>
  </si>
  <si>
    <t>2025-09-23T12:43:28.7331996+00:00</t>
  </si>
  <si>
    <t>2025-10-06T14:04:14.8614043+00:00</t>
  </si>
  <si>
    <t>G4 rep na</t>
  </si>
  <si>
    <t>2025-12-05T11:10:14.2851011+00:00</t>
  </si>
  <si>
    <t>2025-12-05T13:06:17.6676992+00:00</t>
  </si>
  <si>
    <t>G4 HPGpresentaties</t>
  </si>
  <si>
    <t>2025-08-27T14:05:07.5857541+00:00</t>
  </si>
  <si>
    <t>2025-08-27T18:07:25.1959754+00:00</t>
  </si>
  <si>
    <t>2026-01-08T11:13:48.3184918+00:00</t>
  </si>
  <si>
    <t>2026-01-08T12:27:34.8825393+00:00</t>
  </si>
  <si>
    <t>2025-09-23T12:43:51.3078848+00:00</t>
  </si>
  <si>
    <t>2025-10-06T14:04:15.5119481+00:00</t>
  </si>
  <si>
    <t>2025-09-23T12:44:15.3943653+00:00</t>
  </si>
  <si>
    <t>2025-10-06T14:04:15.3524982+00:00</t>
  </si>
  <si>
    <t>2025-08-27T14:05:08.6302472+00:00</t>
  </si>
  <si>
    <t>2025-11-04T11:01:02.9435956+00:00</t>
  </si>
  <si>
    <t>2025-08-27T14:05:09.6703986+00:00</t>
  </si>
  <si>
    <t>2025-08-27T18:07:24.9240432+00:00</t>
  </si>
  <si>
    <t>2025-08-27T14:05:06.6935852+00:00</t>
  </si>
  <si>
    <t>2025-09-05T15:11:33.8614159+00:00</t>
  </si>
  <si>
    <t>G4 Slotdag Inktaap voor deelnemers (hele dag)</t>
  </si>
  <si>
    <t>2026-01-26T11:06:53.3420474+00:00</t>
  </si>
  <si>
    <t>2026-02-13T11:30:00.8297623+00:00</t>
  </si>
  <si>
    <t>2025-09-23T11:18:53.5018165+00:00</t>
  </si>
  <si>
    <t>2025-10-06T14:04:23.6179239+00:00</t>
  </si>
  <si>
    <t>2025-09-23T12:44:40.2023878+00:00</t>
  </si>
  <si>
    <t>2025-10-06T14:04:14.1126603+00:00</t>
  </si>
  <si>
    <t>G4 definitieve profielkeuze</t>
  </si>
  <si>
    <t>2025-08-27T14:05:12.9955118+00:00</t>
  </si>
  <si>
    <t>2025-08-27T18:07:25.5626726+00:00</t>
  </si>
  <si>
    <t>G4 aankomst Rennes</t>
  </si>
  <si>
    <t>2025-08-27T14:05:15.8016079+00:00</t>
  </si>
  <si>
    <t>2025-08-27T18:07:25.4399992+00:00</t>
  </si>
  <si>
    <t>2025-09-23T12:46:47.7751231+00:00</t>
  </si>
  <si>
    <t>2025-10-06T14:04:13.9198957+00:00</t>
  </si>
  <si>
    <t>2025-08-27T14:05:17.1570047+00:00</t>
  </si>
  <si>
    <t>2025-08-27T18:07:24.2943543+00:00</t>
  </si>
  <si>
    <t>2026-03-30T00:00:00.0000000</t>
  </si>
  <si>
    <t>2025-09-23T12:47:12.5268606+00:00</t>
  </si>
  <si>
    <t>2025-10-06T14:04:13.7835217+00:00</t>
  </si>
  <si>
    <t>2025-08-27T14:05:18.2067929+00:00</t>
  </si>
  <si>
    <t>2025-08-27T18:07:24.1531719+00:00</t>
  </si>
  <si>
    <t>2025-08-27T14:05:21.6267757+00:00</t>
  </si>
  <si>
    <t>2025-08-27T18:07:25.2183285+00:00</t>
  </si>
  <si>
    <t>2025-08-27T14:05:23.0786791+00:00</t>
  </si>
  <si>
    <t>2025-11-04T11:05:57.6195405+00:00</t>
  </si>
  <si>
    <t>2025-09-23T12:47:36.399598+00:00</t>
  </si>
  <si>
    <t>2025-10-06T14:04:13.5471974+00:00</t>
  </si>
  <si>
    <t>G4 Rep bi</t>
  </si>
  <si>
    <t>2025-08-27T14:05:24.7556526+00:00</t>
  </si>
  <si>
    <t>2025-11-04T11:01:02.5762401+00:00</t>
  </si>
  <si>
    <t>G4 Uitreiking MDT</t>
  </si>
  <si>
    <t>2025-08-27T14:05:26.0774332+00:00</t>
  </si>
  <si>
    <t>2025-08-27T18:07:24.7086547+00:00</t>
  </si>
  <si>
    <t>g4 rep ak</t>
  </si>
  <si>
    <t>2025-11-04T10:44:48.3585991+00:00</t>
  </si>
  <si>
    <t>2026-02-13T11:37:54.4694034+00:00</t>
  </si>
  <si>
    <t>2026-04-20T00:00:00.0000000</t>
  </si>
  <si>
    <t>2026-04-21T00:00:00.0000000</t>
  </si>
  <si>
    <t>2025-09-23T12:48:04.1562184+00:00</t>
  </si>
  <si>
    <t>2025-10-06T14:04:14.6392043+00:00</t>
  </si>
  <si>
    <t>2025-08-27T14:05:28.5300411+00:00</t>
  </si>
  <si>
    <t>2025-08-27T18:07:24.4839195+00:00</t>
  </si>
  <si>
    <t>G4 inh rep SE ANW</t>
  </si>
  <si>
    <t>2025-09-23T12:48:33.8029058+00:00</t>
  </si>
  <si>
    <t>2025-10-06T14:04:14.4975553+00:00</t>
  </si>
  <si>
    <t>2025-09-23T12:50:55.0566257+00:00</t>
  </si>
  <si>
    <t>2025-10-06T14:04:14.2529652+00:00</t>
  </si>
  <si>
    <t>2025-08-27T14:05:27.4026701+00:00</t>
  </si>
  <si>
    <t>2025-09-05T15:11:33.6792043+00:00</t>
  </si>
  <si>
    <t>2026-05-11T00:00:00.0000000</t>
  </si>
  <si>
    <t>2025-09-23T12:50:34.6643324+00:00</t>
  </si>
  <si>
    <t>2025-11-07T12:42:51.3574948+00:00</t>
  </si>
  <si>
    <t>2025-08-27T14:05:32.9358846+00:00</t>
  </si>
  <si>
    <t>2025-08-27T18:07:23.2263861+00:00</t>
  </si>
  <si>
    <t>G4 inh Rep BIO</t>
  </si>
  <si>
    <t>2025-11-07T10:31:58.0113186+00:00</t>
  </si>
  <si>
    <t>2026-02-13T11:30:01.1866398+00:00</t>
  </si>
  <si>
    <t>2025-09-23T12:51:18.811626+00:00</t>
  </si>
  <si>
    <t>2025-10-06T14:04:12.0357754+00:00</t>
  </si>
  <si>
    <t>2026-05-20T00:00:00.0000000</t>
  </si>
  <si>
    <t>2025-09-23T12:51:47.7979256+00:00</t>
  </si>
  <si>
    <t>2025-10-06T14:04:11.8879291+00:00</t>
  </si>
  <si>
    <t>2025-08-27T14:05:36.5279923+00:00</t>
  </si>
  <si>
    <t>2025-08-27T18:07:22.9427439+00:00</t>
  </si>
  <si>
    <t>2025-08-27T14:05:35.5567884+00:00</t>
  </si>
  <si>
    <t>2025-11-04T11:01:02.4488168+00:00</t>
  </si>
  <si>
    <t>2025-08-27T14:05:37.655725+00:00</t>
  </si>
  <si>
    <t>2025-08-27T18:07:24.0817594+00:00</t>
  </si>
  <si>
    <t>2025-09-23T12:52:09.9386612+00:00</t>
  </si>
  <si>
    <t>2025-10-06T14:04:11.6600239+00:00</t>
  </si>
  <si>
    <t>G4 bezoek leerlingen uit Munster</t>
  </si>
  <si>
    <t>2025-11-25T14:08:55.4379844+00:00</t>
  </si>
  <si>
    <t>2025-11-25T15:24:20.9645188+00:00</t>
  </si>
  <si>
    <t>2025-11-25T14:25:45.2911602+00:00</t>
  </si>
  <si>
    <t>2025-11-25T15:24:20.7083487+00:00</t>
  </si>
  <si>
    <t>2025-11-25T14:25:55.2103387+00:00</t>
  </si>
  <si>
    <t>2025-11-25T15:24:20.45553+00:00</t>
  </si>
  <si>
    <t xml:space="preserve">G4 fietsexcursie ak </t>
  </si>
  <si>
    <t>2025-08-27T14:05:39.3966619+00:00</t>
  </si>
  <si>
    <t>2025-08-27T18:07:22.6777603+00:00</t>
  </si>
  <si>
    <t>2025-08-27T14:05:41.2640318+00:00</t>
  </si>
  <si>
    <t>2025-08-27T18:07:22.4458175+00:00</t>
  </si>
  <si>
    <t>2026-06-08T00:00:00.0000000</t>
  </si>
  <si>
    <t>2025-09-23T12:52:35.0445535+00:00</t>
  </si>
  <si>
    <t>2025-10-06T14:04:13.6930013+00:00</t>
  </si>
  <si>
    <t>G4 Rep NE</t>
  </si>
  <si>
    <t>2025-08-27T14:05:42.5931402+00:00</t>
  </si>
  <si>
    <t>2025-08-27T18:07:22.3298032+00:00</t>
  </si>
  <si>
    <t>2025-08-27T14:05:49.1361665+00:00</t>
  </si>
  <si>
    <t>2025-08-27T18:07:23.0957056+00:00</t>
  </si>
  <si>
    <t>2026-06-15T00:00:00.0000000</t>
  </si>
  <si>
    <t>2026-06-16T00:00:00.0000000</t>
  </si>
  <si>
    <t>2025-09-23T12:52:57.0191767+00:00</t>
  </si>
  <si>
    <t>2025-10-06T14:04:11.3693138+00:00</t>
  </si>
  <si>
    <t>2026-06-17T00:00:00.0000000</t>
  </si>
  <si>
    <t>2025-08-27T14:05:50.6092955+00:00</t>
  </si>
  <si>
    <t>2025-08-27T18:07:21.911853+00:00</t>
  </si>
  <si>
    <t>2026-06-18T00:00:00.0000000</t>
  </si>
  <si>
    <t>2025-09-23T12:53:23.2063381+00:00</t>
  </si>
  <si>
    <t>2025-10-06T14:04:11.1673823+00:00</t>
  </si>
  <si>
    <t>2025-08-27T14:05:51.9399715+00:00</t>
  </si>
  <si>
    <t>2025-08-27T18:07:21.7674533+00:00</t>
  </si>
  <si>
    <t>G4 inh rep NE</t>
  </si>
  <si>
    <t>2026-06-22T00:00:00.0000000</t>
  </si>
  <si>
    <t>2026-06-23T00:00:00.0000000</t>
  </si>
  <si>
    <t>2025-09-23T12:53:48.8203582+00:00</t>
  </si>
  <si>
    <t>2025-10-06T14:04:10.9768839+00:00</t>
  </si>
  <si>
    <t>2026-06-24T00:00:00.0000000</t>
  </si>
  <si>
    <t>2025-10-03T10:08:19.1676476+00:00</t>
  </si>
  <si>
    <t>2025-10-06T14:04:10.6249729+00:00</t>
  </si>
  <si>
    <t>2025-10-03T10:08:40.4404375+00:00</t>
  </si>
  <si>
    <t>2025-10-06T14:04:10.4715387+00:00</t>
  </si>
  <si>
    <t>toetsweek: rep latl / rep grtl / rep wic / inh SE ANW</t>
  </si>
  <si>
    <t>2025-10-03T10:09:28.1321132+00:00</t>
  </si>
  <si>
    <t>2025-11-04T11:05:02.3111175+00:00</t>
  </si>
  <si>
    <t>Toetsweek: rep nat / rep sptl</t>
  </si>
  <si>
    <t>2026-06-27T00:00:00.0000000</t>
  </si>
  <si>
    <t>2025-08-27T14:05:53.5156088+00:00</t>
  </si>
  <si>
    <t>2025-11-04T11:05:55.489058+00:00</t>
  </si>
  <si>
    <t>Toetsweek: rep ec / rep sk</t>
  </si>
  <si>
    <t>2025-08-27T14:05:54.5120064+00:00</t>
  </si>
  <si>
    <t>2025-11-04T11:05:53.9751773+00:00</t>
  </si>
  <si>
    <t>Toetsweek: rep entl</t>
  </si>
  <si>
    <t>2025-08-27T14:05:55.667912+00:00</t>
  </si>
  <si>
    <t>2025-11-04T11:05:52.6093869+00:00</t>
  </si>
  <si>
    <t>Toetsweek: rep beco / rep dutl / rep fatl</t>
  </si>
  <si>
    <t>2025-08-27T14:05:56.9440839+00:00</t>
  </si>
  <si>
    <t>2025-11-04T11:05:51.026638+00:00</t>
  </si>
  <si>
    <t>Toetsweek: rep biol</t>
  </si>
  <si>
    <t>2025-08-27T14:05:59.326099+00:00</t>
  </si>
  <si>
    <t>2025-11-04T11:05:06.1142509+00:00</t>
  </si>
  <si>
    <t>Toetsweek: rep wia / rep wib</t>
  </si>
  <si>
    <t>2025-08-27T14:06:01.8214025+00:00</t>
  </si>
  <si>
    <t>2025-11-04T11:05:04.4467827+00:00</t>
  </si>
  <si>
    <t>G4 inhalen</t>
  </si>
  <si>
    <t>2025-08-27T14:06:03.2806498+00:00</t>
  </si>
  <si>
    <t>2025-08-27T18:07:22.2762262+00:00</t>
  </si>
  <si>
    <t>G4 cijfers inleveren</t>
  </si>
  <si>
    <t>2025-08-27T14:06:05.0813521+00:00</t>
  </si>
  <si>
    <t>2025-08-27T18:07:22.0935322+00:00</t>
  </si>
  <si>
    <t>G4 overgangsverg 15.00</t>
  </si>
  <si>
    <t>2025-08-27T14:06:06.1227222+00:00</t>
  </si>
  <si>
    <t>2025-08-27T18:07:20.5037843+00:00</t>
  </si>
  <si>
    <t>G5 opgave herkansing ANW</t>
  </si>
  <si>
    <t>2025-09-12T00:00:00.0000000</t>
  </si>
  <si>
    <t>2025-09-13T00:00:00.0000000</t>
  </si>
  <si>
    <t>2025-08-27T14:09:58.6858551+00:00</t>
  </si>
  <si>
    <t>2025-08-27T18:06:53.5451607+00:00</t>
  </si>
  <si>
    <t>G5 herkansen ANW</t>
  </si>
  <si>
    <t>2025-08-27T14:10:00.5684645+00:00</t>
  </si>
  <si>
    <t>2025-08-27T18:06:53.4276101+00:00</t>
  </si>
  <si>
    <t>G5 inh rep EN</t>
  </si>
  <si>
    <t>2025-09-23T10:13:39.1403362+00:00</t>
  </si>
  <si>
    <t>2025-09-23T11:50:47.107691+00:00</t>
  </si>
  <si>
    <t>G5 inh rep SK</t>
  </si>
  <si>
    <t>2025-09-23T11:22:29.4296619+00:00</t>
  </si>
  <si>
    <t>2025-09-23T11:42:22.9314383+00:00</t>
  </si>
  <si>
    <t>G5 Rep BI</t>
  </si>
  <si>
    <t>2025-08-27T14:10:02.8484674+00:00</t>
  </si>
  <si>
    <t>2025-08-27T18:06:52.2507782+00:00</t>
  </si>
  <si>
    <t>G5 SE AK</t>
  </si>
  <si>
    <t>2025-10-06T00:00:00.0000000</t>
  </si>
  <si>
    <t>2025-10-07T00:00:00.0000000</t>
  </si>
  <si>
    <t>2025-08-27T14:10:06.0329381+00:00</t>
  </si>
  <si>
    <t>2025-09-03T11:08:44.1680901+00:00</t>
  </si>
  <si>
    <t>G5 KUBVexcursie/Rep BE</t>
  </si>
  <si>
    <t>2025-08-27T14:10:10.1543331+00:00</t>
  </si>
  <si>
    <t>2025-08-27T18:06:51.952981+00:00</t>
  </si>
  <si>
    <t>G5 HPG</t>
  </si>
  <si>
    <t>2025-08-27T14:10:11.2278295+00:00</t>
  </si>
  <si>
    <t>2025-08-27T18:06:51.842219+00:00</t>
  </si>
  <si>
    <t>G5 excursie ak</t>
  </si>
  <si>
    <t>2025-09-01T10:32:12.3793537+00:00</t>
  </si>
  <si>
    <t>2025-09-15T08:35:55.8604474+00:00</t>
  </si>
  <si>
    <t>G5 excursie Lille (Fa)</t>
  </si>
  <si>
    <t>2025-08-27T14:10:04.5798144+00:00</t>
  </si>
  <si>
    <t>2025-09-02T17:42:01.8455813+00:00</t>
  </si>
  <si>
    <t>G5 SE WID</t>
  </si>
  <si>
    <t>2025-10-13T00:00:00.0000000</t>
  </si>
  <si>
    <t>2025-08-27T14:10:14.8787071+00:00</t>
  </si>
  <si>
    <t>2025-10-06T17:48:29.4862842+00:00</t>
  </si>
  <si>
    <t>G5 inh rep bi</t>
  </si>
  <si>
    <t>2025-09-23T10:07:32.1402625+00:00</t>
  </si>
  <si>
    <t>2025-10-06T14:04:01.1487221+00:00</t>
  </si>
  <si>
    <t>G5 Rep GR/LA</t>
  </si>
  <si>
    <t>2025-08-27T14:10:16.032965+00:00</t>
  </si>
  <si>
    <t>2025-08-27T18:06:51.5119465+00:00</t>
  </si>
  <si>
    <t>G5 inh SE ak (geannuleerd)</t>
  </si>
  <si>
    <t>2025-09-23T10:08:25.7435135+00:00</t>
  </si>
  <si>
    <t>2025-10-10T11:02:06.7844749+00:00</t>
  </si>
  <si>
    <t>G5 rep wiC</t>
  </si>
  <si>
    <t>2025-10-06T15:02:29.3820727+00:00</t>
  </si>
  <si>
    <t>2025-10-09T14:56:56.3614585+00:00</t>
  </si>
  <si>
    <t>G5 SE WIB  Rep WIA</t>
  </si>
  <si>
    <t>2025-08-27T14:10:17.3566393+00:00</t>
  </si>
  <si>
    <t>2025-08-27T18:06:51.38604+00:00</t>
  </si>
  <si>
    <t>G5 inh rep beco</t>
  </si>
  <si>
    <t>2025-09-23T10:09:15.2358253+00:00</t>
  </si>
  <si>
    <t>2025-10-06T14:04:02.9145961+00:00</t>
  </si>
  <si>
    <t xml:space="preserve">G5 inh rep wiC </t>
  </si>
  <si>
    <t>2025-10-06T15:04:24.4708357+00:00</t>
  </si>
  <si>
    <t>2025-10-08T13:46:57.7679028+00:00</t>
  </si>
  <si>
    <t>G5 Rep FI</t>
  </si>
  <si>
    <t>2025-08-27T14:10:18.8493925+00:00</t>
  </si>
  <si>
    <t>2025-08-27T18:06:51.2755249+00:00</t>
  </si>
  <si>
    <t>G5 inh SE wiD</t>
  </si>
  <si>
    <t>2025-09-23T10:09:40.3229608+00:00</t>
  </si>
  <si>
    <t>2025-10-06T17:48:27.9681043+00:00</t>
  </si>
  <si>
    <t>G5 Rep SK</t>
  </si>
  <si>
    <t>2025-08-27T14:10:21.3056+00:00</t>
  </si>
  <si>
    <t>2025-08-27T18:06:51.1728353+00:00</t>
  </si>
  <si>
    <t>G5 inh rep GR/LA</t>
  </si>
  <si>
    <t>2025-09-23T10:11:03.4495054+00:00</t>
  </si>
  <si>
    <t>2025-10-06T14:04:01.2504751+00:00</t>
  </si>
  <si>
    <t>2025-08-27T14:10:22.9111533+00:00</t>
  </si>
  <si>
    <t>2025-08-27T18:06:51.0196931+00:00</t>
  </si>
  <si>
    <t>G5 Rep EN</t>
  </si>
  <si>
    <t>2025-08-27T14:10:24.4633471+00:00</t>
  </si>
  <si>
    <t>2025-08-27T18:06:51.5646277+00:00</t>
  </si>
  <si>
    <t>G5 inh rep wiA/SE wiB</t>
  </si>
  <si>
    <t>2025-09-23T10:11:39.870809+00:00</t>
  </si>
  <si>
    <t>2025-10-06T14:04:00.3447695+00:00</t>
  </si>
  <si>
    <t>G5 Rep EC</t>
  </si>
  <si>
    <t>2025-08-27T14:10:26.4489399+00:00</t>
  </si>
  <si>
    <t>2025-08-27T18:06:50.4677965+00:00</t>
  </si>
  <si>
    <t>G5 inh rep FI</t>
  </si>
  <si>
    <t>2025-09-23T10:12:23.9936258+00:00</t>
  </si>
  <si>
    <t>2025-10-06T14:04:00.0673469+00:00</t>
  </si>
  <si>
    <t>G5 Maat naar Den Haag</t>
  </si>
  <si>
    <t>2025-08-27T14:10:28.2463645+00:00</t>
  </si>
  <si>
    <t>2025-09-25T10:36:22.6892955+00:00</t>
  </si>
  <si>
    <t>2025-09-23T10:12:45.4178735+00:00</t>
  </si>
  <si>
    <t>2025-10-06T14:03:59.8566996+00:00</t>
  </si>
  <si>
    <t>G5 Rep NA/PWS presentaties</t>
  </si>
  <si>
    <t>2025-08-27T14:10:29.7560613+00:00</t>
  </si>
  <si>
    <t>2025-08-27T18:06:50.5918604+00:00</t>
  </si>
  <si>
    <t>G5 inh rep BI</t>
  </si>
  <si>
    <t>2025-09-23T10:13:05.2825364+00:00</t>
  </si>
  <si>
    <t>2025-10-06T14:03:59.66724+00:00</t>
  </si>
  <si>
    <t>G5 SE AC</t>
  </si>
  <si>
    <t>2025-08-27T14:10:31.1436634+00:00</t>
  </si>
  <si>
    <t>2025-09-25T10:36:14.5637376+00:00</t>
  </si>
  <si>
    <t>2025-10-03T08:29:47.0328564+00:00</t>
  </si>
  <si>
    <t>2025-10-06T14:03:56.2357977+00:00</t>
  </si>
  <si>
    <t>G5 SE MAAT</t>
  </si>
  <si>
    <t>2025-08-27T14:10:32.5655535+00:00</t>
  </si>
  <si>
    <t>2025-08-27T18:06:50.4343455+00:00</t>
  </si>
  <si>
    <t>G5 inh rep EC</t>
  </si>
  <si>
    <t>2025-09-23T10:14:00.253322+00:00</t>
  </si>
  <si>
    <t>2025-10-06T14:03:59.4756607+00:00</t>
  </si>
  <si>
    <t>G5 inh SE AC</t>
  </si>
  <si>
    <t>2025-09-23T10:14:21.2494816+00:00</t>
  </si>
  <si>
    <t>2025-10-06T14:03:59.3519539+00:00</t>
  </si>
  <si>
    <t>G5 rep FA</t>
  </si>
  <si>
    <t>2025-09-25T07:06:10.1477549+00:00</t>
  </si>
  <si>
    <t>2025-10-06T14:03:55.3959699+00:00</t>
  </si>
  <si>
    <t>G5 SE WIA</t>
  </si>
  <si>
    <t>2025-08-27T14:10:33.8158868+00:00</t>
  </si>
  <si>
    <t>2025-08-27T18:06:49.6892895+00:00</t>
  </si>
  <si>
    <t>G5 inh rep NA</t>
  </si>
  <si>
    <t>2025-09-23T10:54:29.2136179+00:00</t>
  </si>
  <si>
    <t>2025-10-07T08:07:37.9365055+00:00</t>
  </si>
  <si>
    <t>G5 Rep BE</t>
  </si>
  <si>
    <t>2025-08-27T14:10:37.7619013+00:00</t>
  </si>
  <si>
    <t>2025-08-27T18:06:49.5305577+00:00</t>
  </si>
  <si>
    <t>G5 inh rep FA</t>
  </si>
  <si>
    <t>2025-09-23T10:55:03.1865964+00:00</t>
  </si>
  <si>
    <t>2025-10-06T14:03:59.1766281+00:00</t>
  </si>
  <si>
    <t>G5 SE WISD</t>
  </si>
  <si>
    <t>2025-08-27T14:10:39.159464+00:00</t>
  </si>
  <si>
    <t>2025-11-26T14:10:48.2116728+00:00</t>
  </si>
  <si>
    <t>G5 kerstmarkt</t>
  </si>
  <si>
    <t>2025-11-25T14:02:59.9090947+00:00</t>
  </si>
  <si>
    <t>2025-11-25T15:24:28.0281087+00:00</t>
  </si>
  <si>
    <t>G5 HPGcafé</t>
  </si>
  <si>
    <t>2025-08-27T14:10:42.5737185+00:00</t>
  </si>
  <si>
    <t>2025-08-27T18:06:48.88548+00:00</t>
  </si>
  <si>
    <t>G5 inh SE MAAT</t>
  </si>
  <si>
    <t>2025-09-23T10:55:30.419492+00:00</t>
  </si>
  <si>
    <t>2025-09-23T11:49:29.483665+00:00</t>
  </si>
  <si>
    <t>G5 inh SE wiA</t>
  </si>
  <si>
    <t>2025-09-23T10:56:02.0176601+00:00</t>
  </si>
  <si>
    <t>2025-10-06T14:03:59.0450592+00:00</t>
  </si>
  <si>
    <t>G5 Toetsdag SE BI  SE GS</t>
  </si>
  <si>
    <t>2025-08-27T14:10:44.2349883+00:00</t>
  </si>
  <si>
    <t>2025-12-04T11:48:52.6906893+00:00</t>
  </si>
  <si>
    <t>G5 Toetsdag SE AK  SEWIC  Rep WIB</t>
  </si>
  <si>
    <t>2025-08-27T14:10:45.6275185+00:00</t>
  </si>
  <si>
    <t>2025-12-04T11:48:51.7919991+00:00</t>
  </si>
  <si>
    <t>G5 oud-llnochtend (4/5uur)</t>
  </si>
  <si>
    <t>2025-08-27T14:10:48.8197135+00:00</t>
  </si>
  <si>
    <t>2025-08-27T18:06:49.262806+00:00</t>
  </si>
  <si>
    <t>G5 inh SE wiD en inh rep BE</t>
  </si>
  <si>
    <t>2025-10-03T09:35:05.4182976+00:00</t>
  </si>
  <si>
    <t>2025-10-06T14:03:56.0172938+00:00</t>
  </si>
  <si>
    <t>G5 inh SE GS en WiD</t>
  </si>
  <si>
    <t>2025-09-23T11:01:28.6151833+00:00</t>
  </si>
  <si>
    <t>2026-01-07T14:48:28.2016269+00:00</t>
  </si>
  <si>
    <t>G5 SE FI</t>
  </si>
  <si>
    <t>2025-08-27T14:10:50.0257912+00:00</t>
  </si>
  <si>
    <t>2025-08-27T18:06:48.023211+00:00</t>
  </si>
  <si>
    <t>G5 inh SE AK en BE</t>
  </si>
  <si>
    <t>2025-09-23T11:01:59.7237269+00:00</t>
  </si>
  <si>
    <t>2026-01-07T14:48:27.4027136+00:00</t>
  </si>
  <si>
    <t>G5 Inh SE BI (1e en 2e uur!)</t>
  </si>
  <si>
    <t>2026-01-19T00:00:00.0000000</t>
  </si>
  <si>
    <t>2026-01-05T10:36:15.4855377+00:00</t>
  </si>
  <si>
    <t>2026-01-05T16:05:34.2873115+00:00</t>
  </si>
  <si>
    <t>G5 inh rep wiB (1e uur)</t>
  </si>
  <si>
    <t>2025-09-23T11:02:50.263424+00:00</t>
  </si>
  <si>
    <t>2026-01-14T12:05:13.5622945+00:00</t>
  </si>
  <si>
    <t>G5 veegmoment</t>
  </si>
  <si>
    <t>2025-09-23T11:04:20.1978525+00:00</t>
  </si>
  <si>
    <t>2025-10-06T14:03:58.3976951+00:00</t>
  </si>
  <si>
    <t>Toetsweek: rep netl / se wisd. Inhalen SE fi</t>
  </si>
  <si>
    <t>2025-09-23T11:05:09.6940278+00:00</t>
  </si>
  <si>
    <t>2025-11-04T11:03:52.0955583+00:00</t>
  </si>
  <si>
    <t>2025-08-27T14:10:54.1175387+00:00</t>
  </si>
  <si>
    <t>2025-11-04T11:04:51.1152262+00:00</t>
  </si>
  <si>
    <t>Toetsweek: rep beco / se grtl / se latl</t>
  </si>
  <si>
    <t>2025-08-27T14:10:57.8239808+00:00</t>
  </si>
  <si>
    <t>2025-11-04T11:04:49.5243054+00:00</t>
  </si>
  <si>
    <t>Toetsweek: rep fatl / rep schk</t>
  </si>
  <si>
    <t>2025-08-27T14:10:59.5242112+00:00</t>
  </si>
  <si>
    <t>2025-11-04T11:04:47.7179176+00:00</t>
  </si>
  <si>
    <t>2025-08-27T14:11:02.0257306+00:00</t>
  </si>
  <si>
    <t>2025-11-04T11:04:46.2884796+00:00</t>
  </si>
  <si>
    <t>G5 rep Duits</t>
  </si>
  <si>
    <t>2025-11-24T09:14:06.0128449+00:00</t>
  </si>
  <si>
    <t>2025-11-24T10:25:09.7428872+00:00</t>
  </si>
  <si>
    <t>G5 inhalen repetities en SE's repetitieweek</t>
  </si>
  <si>
    <t>2026-01-14T11:47:35.9872068+00:00</t>
  </si>
  <si>
    <t>2026-01-28T13:02:47.5033722+00:00</t>
  </si>
  <si>
    <t>G5 Rep WIA</t>
  </si>
  <si>
    <t>2025-08-27T14:11:03.3201+00:00</t>
  </si>
  <si>
    <t>2025-08-27T18:06:46.9564385+00:00</t>
  </si>
  <si>
    <t>G5 inh rep be</t>
  </si>
  <si>
    <t>2025-09-23T11:05:56.043916+00:00</t>
  </si>
  <si>
    <t>2025-10-06T14:03:58.1630848+00:00</t>
  </si>
  <si>
    <t>G5 taaldorp Duits</t>
  </si>
  <si>
    <t>2025-11-25T14:04:27.323162+00:00</t>
  </si>
  <si>
    <t>2025-11-25T15:24:27.3807361+00:00</t>
  </si>
  <si>
    <t>2025-08-27T14:11:04.526112+00:00</t>
  </si>
  <si>
    <t>2025-08-27T18:06:46.8583389+00:00</t>
  </si>
  <si>
    <t>2025-09-23T11:06:08.1948498+00:00</t>
  </si>
  <si>
    <t>2025-10-06T14:03:59.1479045+00:00</t>
  </si>
  <si>
    <t>2025-08-27T14:11:05.4842951+00:00</t>
  </si>
  <si>
    <t>2025-08-27T18:06:48.1609755+00:00</t>
  </si>
  <si>
    <t>G5 HPGpresentaties</t>
  </si>
  <si>
    <t>2025-08-27T14:11:07.0656912+00:00</t>
  </si>
  <si>
    <t>2025-08-27T18:06:46.5618453+00:00</t>
  </si>
  <si>
    <t>2025-09-23T11:14:38.3750784+00:00</t>
  </si>
  <si>
    <t>2025-10-06T14:03:58.9776291+00:00</t>
  </si>
  <si>
    <t>G5 projectweek kl</t>
  </si>
  <si>
    <t>2025-08-27T14:11:08.2352358+00:00</t>
  </si>
  <si>
    <t>2025-08-27T18:06:47.8849631+00:00</t>
  </si>
  <si>
    <t>2025-08-27T14:11:09.6009962+00:00</t>
  </si>
  <si>
    <t>2025-08-27T18:06:47.4998455+00:00</t>
  </si>
  <si>
    <t>2025-08-27T14:11:11.4956556+00:00</t>
  </si>
  <si>
    <t>2025-08-27T18:06:47.3728557+00:00</t>
  </si>
  <si>
    <t>2025-08-27T14:11:12.7573278+00:00</t>
  </si>
  <si>
    <t>2025-08-27T18:06:47.1762971+00:00</t>
  </si>
  <si>
    <t>G5 Rep wiB</t>
  </si>
  <si>
    <t>2025-09-05T08:47:02.2088526+00:00</t>
  </si>
  <si>
    <t>2025-09-15T12:26:28.0088796+00:00</t>
  </si>
  <si>
    <t>G5 inh rep wiA</t>
  </si>
  <si>
    <t>2025-09-23T11:16:30.1446287+00:00</t>
  </si>
  <si>
    <t>2025-10-06T14:03:57.7488709+00:00</t>
  </si>
  <si>
    <t>G5 beroepenochtend (4/5 uur)</t>
  </si>
  <si>
    <t>2025-08-27T14:11:14.0448413+00:00</t>
  </si>
  <si>
    <t>2025-08-27T18:06:46.5080914+00:00</t>
  </si>
  <si>
    <t>2025-09-23T11:16:58.4293386+00:00</t>
  </si>
  <si>
    <t>2025-10-06T14:03:57.5675835+00:00</t>
  </si>
  <si>
    <t>2025-09-23T11:17:18.6890277+00:00</t>
  </si>
  <si>
    <t>2025-10-06T14:03:58.1987317+00:00</t>
  </si>
  <si>
    <t>G5 Rep LA</t>
  </si>
  <si>
    <t>2025-08-27T14:11:15.4968058+00:00</t>
  </si>
  <si>
    <t>2025-08-27T18:06:45.8303787+00:00</t>
  </si>
  <si>
    <t>2025-08-27T14:11:17.9744656+00:00</t>
  </si>
  <si>
    <t>2025-08-27T18:06:45.690731+00:00</t>
  </si>
  <si>
    <t>G5 Rep NA</t>
  </si>
  <si>
    <t>2026-03-16T00:00:00.0000000</t>
  </si>
  <si>
    <t>2025-08-27T14:11:21.2305623+00:00</t>
  </si>
  <si>
    <t>2025-08-27T18:06:46.2598713+00:00</t>
  </si>
  <si>
    <t>G5 inh rep WiB</t>
  </si>
  <si>
    <t>2025-09-23T11:17:45.5594029+00:00</t>
  </si>
  <si>
    <t>2025-10-06T14:03:57.3124492+00:00</t>
  </si>
  <si>
    <t>G5 Rep GR</t>
  </si>
  <si>
    <t>2025-08-27T14:11:22.9673111+00:00</t>
  </si>
  <si>
    <t>2025-08-27T18:06:45.3251308+00:00</t>
  </si>
  <si>
    <t>G5 Slotdag Inktaap voor deelnemers (hele dag)</t>
  </si>
  <si>
    <t>2026-01-26T11:07:16.914606+00:00</t>
  </si>
  <si>
    <t>2026-02-13T11:29:54.7477599+00:00</t>
  </si>
  <si>
    <t>2025-09-23T11:18:36.2446143+00:00</t>
  </si>
  <si>
    <t>2025-10-06T14:03:57.1376329+00:00</t>
  </si>
  <si>
    <t>G5 Informatieavond klassieke reis 19.30 uur</t>
  </si>
  <si>
    <t>2025-08-27T14:11:24.120919+00:00</t>
  </si>
  <si>
    <t>2025-08-27T18:06:44.9383762+00:00</t>
  </si>
  <si>
    <t>G5 inh rep LA</t>
  </si>
  <si>
    <t>2025-09-23T11:20:10.5680369+00:00</t>
  </si>
  <si>
    <t>2025-10-06T14:03:57.026958+00:00</t>
  </si>
  <si>
    <t>2025-08-27T14:11:25.52052+00:00</t>
  </si>
  <si>
    <t>2025-08-27T18:06:44.6946525+00:00</t>
  </si>
  <si>
    <t>2025-09-23T11:20:36.0161911+00:00</t>
  </si>
  <si>
    <t>2025-10-06T14:03:56.8518772+00:00</t>
  </si>
  <si>
    <t>2025-08-27T14:11:27.6121026+00:00</t>
  </si>
  <si>
    <t>2025-08-27T18:06:44.5803152+00:00</t>
  </si>
  <si>
    <t>2025-09-23T11:21:01.3498295+00:00</t>
  </si>
  <si>
    <t>2025-10-06T14:03:57.8715652+00:00</t>
  </si>
  <si>
    <t>2025-08-27T14:11:30.7785306+00:00</t>
  </si>
  <si>
    <t>2025-08-27T18:06:44.4392364+00:00</t>
  </si>
  <si>
    <t>G5 inh rep GR</t>
  </si>
  <si>
    <t>2025-09-23T11:21:24.7510254+00:00</t>
  </si>
  <si>
    <t>2025-10-06T14:03:57.5444637+00:00</t>
  </si>
  <si>
    <t>G5 SE GS</t>
  </si>
  <si>
    <t>2025-08-27T14:11:33.3858773+00:00</t>
  </si>
  <si>
    <t>2025-08-27T18:06:44.339442+00:00</t>
  </si>
  <si>
    <t>G5 SE WiD (tijdens de les)</t>
  </si>
  <si>
    <t>2026-01-13T10:34:04.2034767+00:00</t>
  </si>
  <si>
    <t>2026-02-13T11:36:01.6187428+00:00</t>
  </si>
  <si>
    <t>G5 klreis</t>
  </si>
  <si>
    <t>2025-08-27T14:11:34.9250093+00:00</t>
  </si>
  <si>
    <t>2025-08-27T18:06:44.2268955+00:00</t>
  </si>
  <si>
    <t>2025-09-23T11:21:49.6561709+00:00</t>
  </si>
  <si>
    <t>2025-10-06T14:03:56.4525849+00:00</t>
  </si>
  <si>
    <t>2025-08-27T14:11:36.3368432+00:00</t>
  </si>
  <si>
    <t>2025-08-27T18:06:44.0796667+00:00</t>
  </si>
  <si>
    <t>2025-08-27T14:11:37.7253229+00:00</t>
  </si>
  <si>
    <t>2025-08-27T18:06:43.5951162+00:00</t>
  </si>
  <si>
    <t>2025-08-27T14:11:38.9953438+00:00</t>
  </si>
  <si>
    <t>2025-08-27T18:06:43.4567749+00:00</t>
  </si>
  <si>
    <t>2025-08-27T14:11:40.3684551+00:00</t>
  </si>
  <si>
    <t>2025-08-27T18:06:43.3417584+00:00</t>
  </si>
  <si>
    <t>2025-08-27T14:11:41.518661+00:00</t>
  </si>
  <si>
    <t>2025-08-27T18:06:43.0538934+00:00</t>
  </si>
  <si>
    <t>2025-08-27T14:11:42.6141497+00:00</t>
  </si>
  <si>
    <t>2025-08-27T18:06:42.923988+00:00</t>
  </si>
  <si>
    <t>2025-09-23T11:22:14.8472512+00:00</t>
  </si>
  <si>
    <t>2025-10-06T14:03:56.327453+00:00</t>
  </si>
  <si>
    <t>2025-10-03T10:02:24.3229053+00:00</t>
  </si>
  <si>
    <t>2025-10-06T14:03:55.8456855+00:00</t>
  </si>
  <si>
    <t>G5 inh SE GS</t>
  </si>
  <si>
    <t>2025-09-23T11:23:49.0245973+00:00</t>
  </si>
  <si>
    <t>2025-10-06T14:03:56.1831291+00:00</t>
  </si>
  <si>
    <t>G5 Rep WIB en WIA</t>
  </si>
  <si>
    <t>2025-08-27T14:11:45.8551415+00:00</t>
  </si>
  <si>
    <t>2025-10-14T09:48:53.4450691+00:00</t>
  </si>
  <si>
    <t>2025-08-27T14:11:48.9139571+00:00</t>
  </si>
  <si>
    <t>2025-08-27T18:06:43.3202521+00:00</t>
  </si>
  <si>
    <t>G5 inh SE WiD</t>
  </si>
  <si>
    <t>2025-09-23T11:24:21.6247283+00:00</t>
  </si>
  <si>
    <t>2025-10-16T11:32:07.609432+00:00</t>
  </si>
  <si>
    <t>2025-08-27T14:11:50.7498136+00:00</t>
  </si>
  <si>
    <t>2025-08-27T18:06:42.2946425+00:00</t>
  </si>
  <si>
    <t>2025-08-27T14:11:53.3152406+00:00</t>
  </si>
  <si>
    <t>2025-08-27T18:06:41.9493143+00:00</t>
  </si>
  <si>
    <t>G5 inh rep WiB en WiA</t>
  </si>
  <si>
    <t>2025-09-23T11:24:48.9530912+00:00</t>
  </si>
  <si>
    <t>2026-02-13T11:36:01.9735615+00:00</t>
  </si>
  <si>
    <t>2025-09-23T11:25:13.7459064+00:00</t>
  </si>
  <si>
    <t>2025-10-06T14:03:56.9179642+00:00</t>
  </si>
  <si>
    <t>G5 DELF B1 examen</t>
  </si>
  <si>
    <t>2025-08-27T14:11:54.6374476+00:00</t>
  </si>
  <si>
    <t>2025-08-27T18:06:43.0310535+00:00</t>
  </si>
  <si>
    <t>G5 DELF B1 mondeling</t>
  </si>
  <si>
    <t>2026-06-07T00:00:00.0000000</t>
  </si>
  <si>
    <t>2025-08-27T14:11:55.8553553+00:00</t>
  </si>
  <si>
    <t>2025-08-27T18:06:42.208478+00:00</t>
  </si>
  <si>
    <t>2025-09-23T11:25:37.1537473+00:00</t>
  </si>
  <si>
    <t>2025-10-06T14:03:55.7879118+00:00</t>
  </si>
  <si>
    <t>G5 Rep NE</t>
  </si>
  <si>
    <t>2025-08-27T14:11:57.2714479+00:00</t>
  </si>
  <si>
    <t>2025-08-27T18:06:41.5001957+00:00</t>
  </si>
  <si>
    <t>2025-09-23T13:03:51.9030703+00:00</t>
  </si>
  <si>
    <t>2025-10-06T14:03:55.5219223+00:00</t>
  </si>
  <si>
    <t>G5 inh rep NE</t>
  </si>
  <si>
    <t>2025-09-23T11:32:00.9281731+00:00</t>
  </si>
  <si>
    <t>2025-10-06T14:03:55.6359862+00:00</t>
  </si>
  <si>
    <t>Toetsweek: se econ / se nat</t>
  </si>
  <si>
    <t>2025-08-27T14:11:59.223152+00:00</t>
  </si>
  <si>
    <t>2025-11-04T11:04:44.6194332+00:00</t>
  </si>
  <si>
    <t>Toetsweek: se latl / se grtl</t>
  </si>
  <si>
    <t>2025-08-27T14:12:00.5824308+00:00</t>
  </si>
  <si>
    <t>2025-11-04T11:03:58.9547088+00:00</t>
  </si>
  <si>
    <t>Toetsweek: rep fatl / rep sptl</t>
  </si>
  <si>
    <t>2025-08-27T14:12:01.8177673+00:00</t>
  </si>
  <si>
    <t>2025-11-04T11:03:57.8019308+00:00</t>
  </si>
  <si>
    <t xml:space="preserve">Toetsweek: rep dutl / se wisabc </t>
  </si>
  <si>
    <t>2025-08-27T14:12:05.1150141+00:00</t>
  </si>
  <si>
    <t>2025-11-04T11:03:56.5653674+00:00</t>
  </si>
  <si>
    <t>Toetsweek: se ak / se beco / se fi / se wid</t>
  </si>
  <si>
    <t>2025-08-27T14:12:06.4891911+00:00</t>
  </si>
  <si>
    <t>2025-11-04T11:03:55.4276797+00:00</t>
  </si>
  <si>
    <t>Toetsweek: se gs / rep sk</t>
  </si>
  <si>
    <t>2025-08-27T14:12:08.3916463+00:00</t>
  </si>
  <si>
    <t>2025-11-04T11:03:54.45903+00:00</t>
  </si>
  <si>
    <t>2025-08-27T14:12:10.058261+00:00</t>
  </si>
  <si>
    <t>2025-11-04T11:03:53.2632925+00:00</t>
  </si>
  <si>
    <t>G5 inhalen</t>
  </si>
  <si>
    <t>2025-08-27T14:12:11.3346145+00:00</t>
  </si>
  <si>
    <t>2025-08-27T18:06:41.0816937+00:00</t>
  </si>
  <si>
    <t>G5 cijfers inleveren</t>
  </si>
  <si>
    <t>2025-08-27T14:12:14.189699+00:00</t>
  </si>
  <si>
    <t>2025-08-27T18:06:40.9259806+00:00</t>
  </si>
  <si>
    <t>G5 overgangsverg 10.00</t>
  </si>
  <si>
    <t>2025-08-27T14:12:15.4210587+00:00</t>
  </si>
  <si>
    <t>2025-08-27T18:06:39.6842238+00:00</t>
  </si>
  <si>
    <t>G6 opgave herkansingen 17 uur</t>
  </si>
  <si>
    <t>2025-08-27T14:14:50.3498733+00:00</t>
  </si>
  <si>
    <t>2025-08-27T18:06:19.6962468+00:00</t>
  </si>
  <si>
    <t>G6 herkansen (geen les)</t>
  </si>
  <si>
    <t>2025-08-27T14:14:51.8323188+00:00</t>
  </si>
  <si>
    <t>2025-08-27T18:06:19.5535883+00:00</t>
  </si>
  <si>
    <t>G6 LO1:1</t>
  </si>
  <si>
    <t>2025-08-27T14:14:54.9916437+00:00</t>
  </si>
  <si>
    <t>2025-08-27T18:06:18.6845086+00:00</t>
  </si>
  <si>
    <t>G6 LO1:2</t>
  </si>
  <si>
    <t>2025-08-27T14:14:58.2763502+00:00</t>
  </si>
  <si>
    <t>2025-08-27T18:06:18.5347698+00:00</t>
  </si>
  <si>
    <t>G6 excursie ak</t>
  </si>
  <si>
    <t>2025-09-01T10:34:33.7093538+00:00</t>
  </si>
  <si>
    <t>2025-09-15T08:28:17.9248581+00:00</t>
  </si>
  <si>
    <t>G6 LO1:3</t>
  </si>
  <si>
    <t>2025-08-27T14:15:01.0495984+00:00</t>
  </si>
  <si>
    <t>2025-08-27T18:06:18.4216279+00:00</t>
  </si>
  <si>
    <t>G6 PWS conceptversie</t>
  </si>
  <si>
    <t>2025-08-27T14:15:02.7045356+00:00</t>
  </si>
  <si>
    <t>2025-08-27T18:06:19.2170779+00:00</t>
  </si>
  <si>
    <t>G6 LO1:4/HPG</t>
  </si>
  <si>
    <t>2025-08-27T14:15:04.0843305+00:00</t>
  </si>
  <si>
    <t>2025-08-27T18:06:18.1646619+00:00</t>
  </si>
  <si>
    <t>G6 SE sk/SE gs</t>
  </si>
  <si>
    <t>2025-08-27T14:15:05.3191756+00:00</t>
  </si>
  <si>
    <t>2025-09-30T11:29:41.9247066+00:00</t>
  </si>
  <si>
    <t>G6 SE ak/SE wiD</t>
  </si>
  <si>
    <t>2025-08-27T14:15:07.3984823+00:00</t>
  </si>
  <si>
    <t>2025-09-30T11:29:38.5458638+00:00</t>
  </si>
  <si>
    <t>G6 SE Du/ SE bio</t>
  </si>
  <si>
    <t>2025-08-27T14:15:08.9195355+00:00</t>
  </si>
  <si>
    <t>2025-09-30T11:29:35.016927+00:00</t>
  </si>
  <si>
    <t>G6 SE fi/ SE na</t>
  </si>
  <si>
    <t>2025-08-27T14:15:10.4336123+00:00</t>
  </si>
  <si>
    <t>2025-09-30T11:29:31.9162822+00:00</t>
  </si>
  <si>
    <t>G6 SE wiABC</t>
  </si>
  <si>
    <t>2025-08-27T14:15:13.3862436+00:00</t>
  </si>
  <si>
    <t>2025-09-30T11:29:27.9546406+00:00</t>
  </si>
  <si>
    <t>G6 inhalen SE</t>
  </si>
  <si>
    <t>2025-08-27T14:15:14.5212625+00:00</t>
  </si>
  <si>
    <t>2025-08-27T18:06:18.1867707+00:00</t>
  </si>
  <si>
    <t>G6 KuBV excursie centraal museum (4e en 5e uur)</t>
  </si>
  <si>
    <t>2025-10-02T07:15:13.2290868+00:00</t>
  </si>
  <si>
    <t>2025-10-06T14:03:42.4043323+00:00</t>
  </si>
  <si>
    <t>G6 LO2:1</t>
  </si>
  <si>
    <t>2025-08-27T14:15:15.867604+00:00</t>
  </si>
  <si>
    <t>2025-08-27T18:06:17.0158493+00:00</t>
  </si>
  <si>
    <t>G6 LO2:2</t>
  </si>
  <si>
    <t>2025-08-27T14:15:17.1541264+00:00</t>
  </si>
  <si>
    <t>2025-08-27T18:06:16.831627+00:00</t>
  </si>
  <si>
    <t>G6 PWS presentaties</t>
  </si>
  <si>
    <t>2025-08-27T14:15:18.7399028+00:00</t>
  </si>
  <si>
    <t>2025-08-27T18:06:17.6430531+00:00</t>
  </si>
  <si>
    <t>G6 PWS inleveren</t>
  </si>
  <si>
    <t>2025-08-27T14:15:20.4165086+00:00</t>
  </si>
  <si>
    <t>2025-08-27T18:06:17.4421745+00:00</t>
  </si>
  <si>
    <t>G6 KuDr CKF</t>
  </si>
  <si>
    <t>2025-08-27T14:15:22.826925+00:00</t>
  </si>
  <si>
    <t>2025-08-27T18:06:16.5197896+00:00</t>
  </si>
  <si>
    <t>G6 KuBv groen licht</t>
  </si>
  <si>
    <t>2025-08-27T14:15:24.4395963+00:00</t>
  </si>
  <si>
    <t>2025-08-27T18:06:17.2682372+00:00</t>
  </si>
  <si>
    <t>G6 LO2:3</t>
  </si>
  <si>
    <t>2025-08-27T14:15:27.1738998+00:00</t>
  </si>
  <si>
    <t>2025-08-27T18:06:16.1735946+00:00</t>
  </si>
  <si>
    <t>G6 LO2:4</t>
  </si>
  <si>
    <t>2025-08-27T14:15:28.7526523+00:00</t>
  </si>
  <si>
    <t>2025-08-27T18:06:15.9807191+00:00</t>
  </si>
  <si>
    <t>Toetsweek: G6 Entl en EC</t>
  </si>
  <si>
    <t>2025-08-27T14:15:31.5455814+00:00</t>
  </si>
  <si>
    <t>2025-12-10T17:01:40.6119636+00:00</t>
  </si>
  <si>
    <t>Toetsweek: G6 BI / HPGcafé</t>
  </si>
  <si>
    <t>2025-08-27T14:15:33.6876124+00:00</t>
  </si>
  <si>
    <t>2025-12-10T17:01:40.0449115+00:00</t>
  </si>
  <si>
    <t>Toetsweek: G6 FI, BE en SK</t>
  </si>
  <si>
    <t>2025-08-27T14:15:36.9923205+00:00</t>
  </si>
  <si>
    <t>2025-12-10T17:01:39.7132095+00:00</t>
  </si>
  <si>
    <t>Toetsweek: G6 AK, FATL, SPTL en WID</t>
  </si>
  <si>
    <t>2025-08-27T14:15:38.3687236+00:00</t>
  </si>
  <si>
    <t>2025-12-10T17:01:39.0983214+00:00</t>
  </si>
  <si>
    <t>Toetsweek: G6 NETL</t>
  </si>
  <si>
    <t>2025-08-27T14:15:39.5774298+00:00</t>
  </si>
  <si>
    <t>2025-12-10T17:01:38.6852052+00:00</t>
  </si>
  <si>
    <t>Toetsweek: G6 GRTL, LATL</t>
  </si>
  <si>
    <t>2025-08-27T14:15:40.7197476+00:00</t>
  </si>
  <si>
    <t>2025-12-10T17:01:38.0937449+00:00</t>
  </si>
  <si>
    <t>Toetsweek: G6 WIA, B en C / kerstdiner</t>
  </si>
  <si>
    <t>2025-08-27T14:15:41.9185046+00:00</t>
  </si>
  <si>
    <t>2025-12-10T17:01:37.5561192+00:00</t>
  </si>
  <si>
    <t>2026-01-06T00:00:00.0000000</t>
  </si>
  <si>
    <t>2025-08-27T14:15:43.1324828+00:00</t>
  </si>
  <si>
    <t>2025-08-27T18:06:15.8648554+00:00</t>
  </si>
  <si>
    <t>G6 LO3:1</t>
  </si>
  <si>
    <t>2025-08-27T14:15:44.3273839+00:00</t>
  </si>
  <si>
    <t>2025-08-27T18:06:14.2772601+00:00</t>
  </si>
  <si>
    <t>G6 Inhalen SE</t>
  </si>
  <si>
    <t>2026-01-06T09:51:42.7958145+00:00</t>
  </si>
  <si>
    <t>2026-01-06T13:25:42.3798346+00:00</t>
  </si>
  <si>
    <t>G6 Inhaal SE's</t>
  </si>
  <si>
    <t>2026-01-08T10:48:28.7133148+00:00</t>
  </si>
  <si>
    <t>2026-01-08T12:27:24.927215+00:00</t>
  </si>
  <si>
    <t>G6.grtl bezoek Toneelvoorstelling Odyssee (8e+9e uur)</t>
  </si>
  <si>
    <t>2025-09-09T09:05:36.903607+00:00</t>
  </si>
  <si>
    <t>2025-09-15T12:25:55.3008708+00:00</t>
  </si>
  <si>
    <t>G6 LO3:2</t>
  </si>
  <si>
    <t>2025-08-27T14:15:45.761334+00:00</t>
  </si>
  <si>
    <t>2025-08-27T18:06:14.0781048+00:00</t>
  </si>
  <si>
    <t>2026-01-08T10:48:36.4040681+00:00</t>
  </si>
  <si>
    <t>2026-01-08T12:27:23.3779773+00:00</t>
  </si>
  <si>
    <t>G6 KLT Duits</t>
  </si>
  <si>
    <t>2025-02-06T07:46:24.1638261+00:00</t>
  </si>
  <si>
    <t>2025-09-15T12:25:59.0640014+00:00</t>
  </si>
  <si>
    <t>2025-08-27T14:15:49.9314575+00:00</t>
  </si>
  <si>
    <t>2025-08-27T18:06:15.6333581+00:00</t>
  </si>
  <si>
    <t>2025-08-27T14:15:53.595373+00:00</t>
  </si>
  <si>
    <t>2025-08-27T18:06:15.3707608+00:00</t>
  </si>
  <si>
    <t>G6 LO3:3</t>
  </si>
  <si>
    <t>2025-08-27T14:15:55.4839673+00:00</t>
  </si>
  <si>
    <t>2026-01-11T12:10:22.2901518+00:00</t>
  </si>
  <si>
    <t>G6 KLT Frans</t>
  </si>
  <si>
    <t>2025-02-06T07:47:17.0256237+00:00</t>
  </si>
  <si>
    <t>2025-09-15T12:25:58.0358654+00:00</t>
  </si>
  <si>
    <t>2025-08-27T14:15:56.5796104+00:00</t>
  </si>
  <si>
    <t>2025-08-27T18:06:15.0255834+00:00</t>
  </si>
  <si>
    <t>G6 herkansen (lessen vervallen)</t>
  </si>
  <si>
    <t>2025-08-27T14:15:57.7987256+00:00</t>
  </si>
  <si>
    <t>2026-01-14T15:18:14.9535914+00:00</t>
  </si>
  <si>
    <t>KLT Spaans</t>
  </si>
  <si>
    <t>2026-01-11T08:49:00.6634805+00:00</t>
  </si>
  <si>
    <t>2026-01-11T12:10:22.1605704+00:00</t>
  </si>
  <si>
    <t>G6 LO3:4</t>
  </si>
  <si>
    <t>2025-08-27T14:16:00.0864322+00:00</t>
  </si>
  <si>
    <t>2025-08-27T18:06:09.4486935+00:00</t>
  </si>
  <si>
    <t>KLT Engels</t>
  </si>
  <si>
    <t>2026-01-20T20:24:41.8889543+00:00</t>
  </si>
  <si>
    <t>2026-01-20T23:44:22.3708868+00:00</t>
  </si>
  <si>
    <t>G6 LOinhalen1</t>
  </si>
  <si>
    <t>2025-08-27T14:16:02.1186414+00:00</t>
  </si>
  <si>
    <t>2025-08-27T18:06:09.3472067+00:00</t>
  </si>
  <si>
    <t>G6 korte filmfestival</t>
  </si>
  <si>
    <t>2025-11-26T08:45:14.3548883+00:00</t>
  </si>
  <si>
    <t>2026-01-30T16:56:15.2096261+00:00</t>
  </si>
  <si>
    <t>G6 LOinhalen 2</t>
  </si>
  <si>
    <t>2025-08-27T14:16:03.4536784+00:00</t>
  </si>
  <si>
    <t>2025-08-27T18:06:09.1951191+00:00</t>
  </si>
  <si>
    <t>Toetsweek: DUTL, FATL +LGO</t>
  </si>
  <si>
    <t>2025-08-27T14:16:04.5940474+00:00</t>
  </si>
  <si>
    <t>2025-11-04T11:02:48.2412728+00:00</t>
  </si>
  <si>
    <t>Toetsweek: SPTL, WIB +LGO</t>
  </si>
  <si>
    <t>2025-08-27T14:16:05.8872696+00:00</t>
  </si>
  <si>
    <t>2025-11-04T11:01:50.4491492+00:00</t>
  </si>
  <si>
    <t>Toetsweek: PSE NA +LGO</t>
  </si>
  <si>
    <t>2025-08-27T14:16:07.2336222+00:00</t>
  </si>
  <si>
    <t>2025-11-04T11:01:49.3636928+00:00</t>
  </si>
  <si>
    <t>Toetsweek: ENTL +LGO</t>
  </si>
  <si>
    <t>2025-08-27T14:16:10.7283357+00:00</t>
  </si>
  <si>
    <t>2025-11-04T11:01:47.272126+00:00</t>
  </si>
  <si>
    <t>G6FATL G6FATL bezoek schouwburg ('s avonds)</t>
  </si>
  <si>
    <t>2026-01-04T15:37:29.1518876+00:00</t>
  </si>
  <si>
    <t>2026-02-13T11:31:26.8330913+00:00</t>
  </si>
  <si>
    <t>G6 mondelingen/KuBv expositie</t>
  </si>
  <si>
    <t>2025-08-27T14:16:12.0745746+00:00</t>
  </si>
  <si>
    <t>2025-08-27T18:06:14.2533993+00:00</t>
  </si>
  <si>
    <t>G6 inhalen SE/mondelingen</t>
  </si>
  <si>
    <t>2025-08-27T14:16:13.0573681+00:00</t>
  </si>
  <si>
    <t>2025-08-27T18:06:14.1243618+00:00</t>
  </si>
  <si>
    <t>G6 mondelingen</t>
  </si>
  <si>
    <t>2025-08-27T14:16:15.2497825+00:00</t>
  </si>
  <si>
    <t>2025-08-27T18:06:08.1342762+00:00</t>
  </si>
  <si>
    <t>2025-08-27T14:16:16.2812649+00:00</t>
  </si>
  <si>
    <t>2025-08-27T18:06:08.0368762+00:00</t>
  </si>
  <si>
    <t>G6 Examenlezing Grieks</t>
  </si>
  <si>
    <t>2025-09-03T10:24:07.8792317+00:00</t>
  </si>
  <si>
    <t>2025-09-15T12:27:56.9006836+00:00</t>
  </si>
  <si>
    <t>2025-08-27T14:16:17.8989894+00:00</t>
  </si>
  <si>
    <t>2025-08-27T18:06:07.7361789+00:00</t>
  </si>
  <si>
    <t>G6 KuBv opening</t>
  </si>
  <si>
    <t>2025-08-27T14:16:19.7127273+00:00</t>
  </si>
  <si>
    <t>2025-08-27T18:06:07.5419477+00:00</t>
  </si>
  <si>
    <t>G6 DELF B2 examen</t>
  </si>
  <si>
    <t>2025-08-27T14:16:21.330608+00:00</t>
  </si>
  <si>
    <t>2025-08-27T18:06:13.70301+00:00</t>
  </si>
  <si>
    <t>G6 DELF B2 mondeling</t>
  </si>
  <si>
    <t>2026-03-15T00:00:00.0000000</t>
  </si>
  <si>
    <t>2025-08-27T14:16:25.6886412+00:00</t>
  </si>
  <si>
    <t>2025-08-27T18:06:13.5998168+00:00</t>
  </si>
  <si>
    <t>2026-03-02T20:09:54.8973786+00:00</t>
  </si>
  <si>
    <t>2026-03-02T21:49:54.6236624+00:00</t>
  </si>
  <si>
    <t>Toetsweek: GRTL, LATL</t>
  </si>
  <si>
    <t>2025-08-27T14:16:26.9714304+00:00</t>
  </si>
  <si>
    <t>2025-11-04T11:01:45.0966078+00:00</t>
  </si>
  <si>
    <t>Toetsweek: NE</t>
  </si>
  <si>
    <t>2025-08-27T14:16:33.7373473+00:00</t>
  </si>
  <si>
    <t>2026-03-02T21:49:56.5540065+00:00</t>
  </si>
  <si>
    <t>Toetsweek: WisA, WisB, WisC</t>
  </si>
  <si>
    <t>2025-08-27T14:16:35.1647207+00:00</t>
  </si>
  <si>
    <t>2026-03-02T21:49:56.440884+00:00</t>
  </si>
  <si>
    <t>Toetsweek: EC, FI</t>
  </si>
  <si>
    <t>2025-08-27T14:16:39.8687274+00:00</t>
  </si>
  <si>
    <t>2026-03-02T21:49:56.324771+00:00</t>
  </si>
  <si>
    <t>Toetsweek: GS, SK</t>
  </si>
  <si>
    <t>2025-08-27T14:16:42.4057649+00:00</t>
  </si>
  <si>
    <t>2025-11-04T11:01:31.4625557+00:00</t>
  </si>
  <si>
    <t>Toetsweek: AK, NAT / HPGeindpresentaties</t>
  </si>
  <si>
    <t>2025-08-27T14:16:44.8296282+00:00</t>
  </si>
  <si>
    <t>2026-03-02T21:49:56.1562478+00:00</t>
  </si>
  <si>
    <t>Toetsweek: BE, BIO</t>
  </si>
  <si>
    <t>2025-08-27T14:16:47.6518615+00:00</t>
  </si>
  <si>
    <t>2026-03-02T21:49:56.0537259+00:00</t>
  </si>
  <si>
    <t>G6 SE inhalen</t>
  </si>
  <si>
    <t>2025-08-27T14:16:49.0665055+00:00</t>
  </si>
  <si>
    <t>2025-08-27T18:06:13.0274514+00:00</t>
  </si>
  <si>
    <t>G6 KuDr regie</t>
  </si>
  <si>
    <t>2025-08-27T14:16:50.1022587+00:00</t>
  </si>
  <si>
    <t>2025-08-27T18:06:12.8424438+00:00</t>
  </si>
  <si>
    <t>G6 SE herkansing opgave 09:00 uur</t>
  </si>
  <si>
    <t>2025-08-27T14:16:51.6372515+00:00</t>
  </si>
  <si>
    <t>2025-08-27T18:06:05.5351194+00:00</t>
  </si>
  <si>
    <t>G6 SE herkansen</t>
  </si>
  <si>
    <t>2025-08-27T14:16:52.821132+00:00</t>
  </si>
  <si>
    <t>2025-08-27T18:06:05.2702345+00:00</t>
  </si>
  <si>
    <t>G6 SEcijfers inleveren</t>
  </si>
  <si>
    <t>2025-08-27T14:16:55.6379076+00:00</t>
  </si>
  <si>
    <t>2025-08-27T18:06:11.7418947+00:00</t>
  </si>
  <si>
    <t>G6 SEcijfers definitief</t>
  </si>
  <si>
    <t>2025-08-27T14:16:57.3114338+00:00</t>
  </si>
  <si>
    <t>2025-08-27T18:06:10.4679973+00:00</t>
  </si>
  <si>
    <t>G6 ontvangstverklaringen</t>
  </si>
  <si>
    <t>2025-08-27T14:17:01.0149529+00:00</t>
  </si>
  <si>
    <t>2025-09-22T10:40:19.2516099+00:00</t>
  </si>
  <si>
    <t>G6 SEcijfers naar DUO/stunt 12 u</t>
  </si>
  <si>
    <t>2025-08-27T14:17:02.3341039+00:00</t>
  </si>
  <si>
    <t>2025-08-27T18:06:05.3815509+00:00</t>
  </si>
  <si>
    <t>G6 KUA/BE</t>
  </si>
  <si>
    <t>2025-08-27T14:17:05.7352073+00:00</t>
  </si>
  <si>
    <t>2025-08-27T18:06:04.3206955+00:00</t>
  </si>
  <si>
    <t>G6 GS/NA</t>
  </si>
  <si>
    <t>2025-08-27T14:17:07.3889393+00:00</t>
  </si>
  <si>
    <t>2025-08-27T18:06:05.183105+00:00</t>
  </si>
  <si>
    <t>G6    /NE</t>
  </si>
  <si>
    <t>2025-08-27T14:17:08.7218702+00:00</t>
  </si>
  <si>
    <t>2025-08-27T18:06:04.9243954+00:00</t>
  </si>
  <si>
    <t>G6 FI/WABC</t>
  </si>
  <si>
    <t>2025-08-27T14:17:09.8142597+00:00</t>
  </si>
  <si>
    <t>2025-08-27T18:06:03.9813669+00:00</t>
  </si>
  <si>
    <t>G6 DU/AK</t>
  </si>
  <si>
    <t>2025-08-27T14:17:11.0423122+00:00</t>
  </si>
  <si>
    <t>2025-08-27T18:06:03.7695285+00:00</t>
  </si>
  <si>
    <t>G6 LA/SK</t>
  </si>
  <si>
    <t>2025-08-27T14:17:12.169625+00:00</t>
  </si>
  <si>
    <t>2025-08-27T18:06:03.6307226+00:00</t>
  </si>
  <si>
    <t>G6    /EN</t>
  </si>
  <si>
    <t>2025-08-27T14:17:13.4012047+00:00</t>
  </si>
  <si>
    <t>2025-08-27T18:06:04.0098683+00:00</t>
  </si>
  <si>
    <t>G6    /EC</t>
  </si>
  <si>
    <t>2025-08-27T14:17:14.5181411+00:00</t>
  </si>
  <si>
    <t>2025-08-27T18:06:03.3599078+00:00</t>
  </si>
  <si>
    <t>G6 GR/BI</t>
  </si>
  <si>
    <t>2025-08-27T14:17:15.6003283+00:00</t>
  </si>
  <si>
    <t>2025-08-27T18:06:03.8251404+00:00</t>
  </si>
  <si>
    <t>G6    /FA</t>
  </si>
  <si>
    <t>2025-08-27T14:17:16.9351196+00:00</t>
  </si>
  <si>
    <t>2025-08-27T18:06:02.8410558+00:00</t>
  </si>
  <si>
    <t>G6   /SP</t>
  </si>
  <si>
    <t>2025-08-27T14:17:18.666799+00:00</t>
  </si>
  <si>
    <t>2025-08-27T18:06:02.7270375+00:00</t>
  </si>
  <si>
    <t>G6 uitslag CE-I</t>
  </si>
  <si>
    <t>2025-08-27T14:17:20.2543479+00:00</t>
  </si>
  <si>
    <t>2025-08-27T18:06:03.2713346+00:00</t>
  </si>
  <si>
    <t>G6 CE-2</t>
  </si>
  <si>
    <t>2025-08-27T14:17:21.6306281+00:00</t>
  </si>
  <si>
    <t>2025-08-27T18:06:02.3558886+00:00</t>
  </si>
  <si>
    <t>2025-08-27T14:17:25.1828638+00:00</t>
  </si>
  <si>
    <t>2025-08-27T18:06:02.2559322+00:00</t>
  </si>
  <si>
    <t>2025-08-27T14:17:26.34722+00:00</t>
  </si>
  <si>
    <t>2025-08-27T18:06:02.1031927+00:00</t>
  </si>
  <si>
    <t>2025-08-27T14:17:27.499057+00:00</t>
  </si>
  <si>
    <t>2025-08-27T18:06:01.992773+00:00</t>
  </si>
  <si>
    <t>2025-08-27T14:17:28.9761368+00:00</t>
  </si>
  <si>
    <t>2025-08-27T18:06:01.8413557+00:00</t>
  </si>
  <si>
    <t>2025-08-27T14:17:30.2642249+00:00</t>
  </si>
  <si>
    <t>2025-08-27T18:06:01.7305842+00:00</t>
  </si>
  <si>
    <t>G6 uitslag CE2</t>
  </si>
  <si>
    <t>2025-08-27T14:17:34.4182133+00:00</t>
  </si>
  <si>
    <t>2025-08-27T18:06:02.7610408+00:00</t>
  </si>
  <si>
    <t>G6 diplomauitreiking 13.00  16.00  19.30</t>
  </si>
  <si>
    <t>2025-08-27T14:17:35.677509+00:00</t>
  </si>
  <si>
    <t>2025-08-27T18:06:01.4665521+00:00</t>
  </si>
  <si>
    <t>G6 diplomauitreiking 10.30  13.30  16.30</t>
  </si>
  <si>
    <t>2025-08-27T14:17:37.1248584+00:00</t>
  </si>
  <si>
    <t>2025-12-02T15:01:22.3717163+00:00</t>
  </si>
  <si>
    <t>PE secties#1</t>
  </si>
  <si>
    <t>2025-08-27T13:45:00.3540782+00:00</t>
  </si>
  <si>
    <t>2025-08-27T18:07:12.9746095+00:00</t>
  </si>
  <si>
    <t>PE mentoren#1/ Claudia Visser over signaleren HB leerlingen</t>
  </si>
  <si>
    <t>2025-09-11T00:00:00.0000000</t>
  </si>
  <si>
    <t>2025-08-27T13:45:02.2281214+00:00</t>
  </si>
  <si>
    <t>2025-08-27T18:07:08.9040926+00:00</t>
  </si>
  <si>
    <t>PE commissies#1</t>
  </si>
  <si>
    <t>2025-08-27T13:45:03.6622163+00:00</t>
  </si>
  <si>
    <t>2025-08-27T18:07:10.165201+00:00</t>
  </si>
  <si>
    <t>PE verpleegkundige</t>
  </si>
  <si>
    <t>2025-09-12T07:00:00.6099282+00:00</t>
  </si>
  <si>
    <t>2025-09-15T08:37:32.1635806+00:00</t>
  </si>
  <si>
    <t>PE commissies#2/MR#1</t>
  </si>
  <si>
    <t>2025-08-27T13:45:05.1547654+00:00</t>
  </si>
  <si>
    <t>2025-08-27T18:07:09.9175535+00:00</t>
  </si>
  <si>
    <t>PE secties#2/afscheid Jeanette</t>
  </si>
  <si>
    <t>2025-08-27T13:45:06.3749733+00:00</t>
  </si>
  <si>
    <t>2025-08-27T18:07:09.5856286+00:00</t>
  </si>
  <si>
    <t xml:space="preserve">PE klasbespreking#1 </t>
  </si>
  <si>
    <t>2025-08-27T13:45:07.5971272+00:00</t>
  </si>
  <si>
    <t>2025-08-27T18:07:08.1978426+00:00</t>
  </si>
  <si>
    <t>PE animus ouderavond</t>
  </si>
  <si>
    <t>2025-09-15T07:42:49.0137673+00:00</t>
  </si>
  <si>
    <t>2025-09-15T08:36:15.1203848+00:00</t>
  </si>
  <si>
    <t>PE studiemiddag groerpsdynamiek  lezing Ivo Dokman</t>
  </si>
  <si>
    <t>2025-08-27T13:45:08.9165976+00:00</t>
  </si>
  <si>
    <t>2025-10-09T11:31:23.0656726+00:00</t>
  </si>
  <si>
    <t>PE Kenniscarroussel</t>
  </si>
  <si>
    <t>2025-08-27T13:45:10.148502+00:00</t>
  </si>
  <si>
    <t>2025-08-27T18:07:07.8564439+00:00</t>
  </si>
  <si>
    <t>PE studiemiddag#1</t>
  </si>
  <si>
    <t>2025-08-27T13:45:11.567698+00:00</t>
  </si>
  <si>
    <t>2025-08-27T18:07:07.728261+00:00</t>
  </si>
  <si>
    <t>PE mentoren#3</t>
  </si>
  <si>
    <t>2025-08-27T13:45:13.0601793+00:00</t>
  </si>
  <si>
    <t>2025-08-27T18:07:09.0197868+00:00</t>
  </si>
  <si>
    <t>PE 30' rooster/leerlingbespreking lj 1/</t>
  </si>
  <si>
    <t>2025-08-27T13:45:15.4269673+00:00</t>
  </si>
  <si>
    <t>2025-08-27T18:07:08.8278403+00:00</t>
  </si>
  <si>
    <t>PE 30' rooster/leerlingbespreking lj 2</t>
  </si>
  <si>
    <t>2025-08-27T13:45:16.5611429+00:00</t>
  </si>
  <si>
    <t>2025-08-27T18:07:08.6633566+00:00</t>
  </si>
  <si>
    <t>PE 30' rooster/leerlingbespreking lj 3</t>
  </si>
  <si>
    <t>2025-08-27T13:45:17.900699+00:00</t>
  </si>
  <si>
    <t>2025-08-27T18:07:08.4954501+00:00</t>
  </si>
  <si>
    <t>PE 30" rooster; secties#3</t>
  </si>
  <si>
    <t>2025-08-27T13:45:19.042508+00:00</t>
  </si>
  <si>
    <t>2025-10-29T20:54:25.6734503+00:00</t>
  </si>
  <si>
    <t>PE 30' rooster/leerlingbespreking lj 4</t>
  </si>
  <si>
    <t>2025-08-27T13:45:22.4905688+00:00</t>
  </si>
  <si>
    <t>2025-08-27T18:07:08.0908988+00:00</t>
  </si>
  <si>
    <t>PE commissies#3/MR#2</t>
  </si>
  <si>
    <t>2025-08-27T13:45:27.0734634+00:00</t>
  </si>
  <si>
    <t>2025-08-27T18:07:07.8986973+00:00</t>
  </si>
  <si>
    <t>2025-09-15T07:37:24.6135076+00:00</t>
  </si>
  <si>
    <t>2025-09-15T08:36:22.3404536+00:00</t>
  </si>
  <si>
    <t>overleg burgerschap optie</t>
  </si>
  <si>
    <t>2025-12-03T13:30:00.0000000</t>
  </si>
  <si>
    <t>2025-12-03T14:00:00.0000000</t>
  </si>
  <si>
    <t>2025-11-26T14:33:50.0644416+00:00</t>
  </si>
  <si>
    <t>2025-11-27T11:08:38.2753544+00:00</t>
  </si>
  <si>
    <t>PE 30'-rooster/docentenspreekmomenten 13.30-16.30</t>
  </si>
  <si>
    <t>2025-08-27T13:45:28.514634+00:00</t>
  </si>
  <si>
    <t>2025-08-27T18:07:06.4767093+00:00</t>
  </si>
  <si>
    <t>PE 30'-rooster/docentenspreekmomenten 14-17 uur</t>
  </si>
  <si>
    <t>2025-08-27T13:45:30.5226689+00:00</t>
  </si>
  <si>
    <t>2025-08-27T18:07:07.6279659+00:00</t>
  </si>
  <si>
    <t>PE secties#4</t>
  </si>
  <si>
    <t>2025-08-27T13:45:32.7561151+00:00</t>
  </si>
  <si>
    <t>2025-08-27T18:07:07.4712561+00:00</t>
  </si>
  <si>
    <t>PE commissies#4</t>
  </si>
  <si>
    <t>2025-08-27T13:45:35.6506504+00:00</t>
  </si>
  <si>
    <t>2025-08-27T18:07:07.3240674+00:00</t>
  </si>
  <si>
    <t>PE studiemiddag#2</t>
  </si>
  <si>
    <t>2025-08-27T13:45:38.2358299+00:00</t>
  </si>
  <si>
    <t>2025-08-27T18:07:05.7776214+00:00</t>
  </si>
  <si>
    <t>PE mentoren#4 (verplaatsen)</t>
  </si>
  <si>
    <t>2025-08-27T13:45:39.4833148+00:00</t>
  </si>
  <si>
    <t>2025-08-27T18:07:06.792944+00:00</t>
  </si>
  <si>
    <t>PE commissies#5/MR#3</t>
  </si>
  <si>
    <t>2025-08-27T13:45:40.7368495+00:00</t>
  </si>
  <si>
    <t>2025-08-27T18:07:06.6334138+00:00</t>
  </si>
  <si>
    <t>PE secties#5</t>
  </si>
  <si>
    <t>2025-08-27T13:45:42.0698066+00:00</t>
  </si>
  <si>
    <t>2025-08-27T18:07:06.4231471+00:00</t>
  </si>
  <si>
    <t>PE mentoren#5</t>
  </si>
  <si>
    <t>2025-08-27T13:45:43.2942141+00:00</t>
  </si>
  <si>
    <t>2025-08-27T18:07:06.2686833+00:00</t>
  </si>
  <si>
    <t>PE commissies#6</t>
  </si>
  <si>
    <t>2025-08-27T13:45:44.4724297+00:00</t>
  </si>
  <si>
    <t>2025-08-27T18:07:05.3394224+00:00</t>
  </si>
  <si>
    <t>PE llbesprG5</t>
  </si>
  <si>
    <t>2025-08-27T13:45:46.4873241+00:00</t>
  </si>
  <si>
    <t>2025-08-27T18:07:04.6835419+00:00</t>
  </si>
  <si>
    <t>PE llbesprG2</t>
  </si>
  <si>
    <t>2025-08-27T13:45:50.2912423+00:00</t>
  </si>
  <si>
    <t>2026-02-11T15:06:44.3235432+00:00</t>
  </si>
  <si>
    <t>PE llbesprG3</t>
  </si>
  <si>
    <t>2025-08-27T13:45:49.0064861+00:00</t>
  </si>
  <si>
    <t>2025-08-27T18:07:04.4573896+00:00</t>
  </si>
  <si>
    <t>PE llbesprG1</t>
  </si>
  <si>
    <t>2025-08-27T13:45:51.5772219+00:00</t>
  </si>
  <si>
    <t>2025-08-27T18:07:04.0605051+00:00</t>
  </si>
  <si>
    <t>PE llbesprG4</t>
  </si>
  <si>
    <t>2025-08-27T13:45:53.4289738+00:00</t>
  </si>
  <si>
    <t>2025-08-27T18:07:03.9161066+00:00</t>
  </si>
  <si>
    <t>PE personeelsweekend</t>
  </si>
  <si>
    <t>2025-08-27T13:45:54.6901036+00:00</t>
  </si>
  <si>
    <t>2025-08-27T18:07:03.7157465+00:00</t>
  </si>
  <si>
    <t>2025-08-27T13:45:57.8893487+00:00</t>
  </si>
  <si>
    <t>2025-08-27T18:07:03.5276682+00:00</t>
  </si>
  <si>
    <t>PE personeelsweekned</t>
  </si>
  <si>
    <t>2025-08-27T13:46:00.7239679+00:00</t>
  </si>
  <si>
    <t>2025-08-27T18:07:03.3354988+00:00</t>
  </si>
  <si>
    <t>PE vakadviezen in Magister lj 3</t>
  </si>
  <si>
    <t>2025-08-27T13:46:03.3694494+00:00</t>
  </si>
  <si>
    <t>2025-08-27T18:07:04.1671864+00:00</t>
  </si>
  <si>
    <t>2026-03-02T20:11:23.16233+00:00</t>
  </si>
  <si>
    <t>2026-03-02T21:50:04.433731+00:00</t>
  </si>
  <si>
    <t>PE secties#6</t>
  </si>
  <si>
    <t>2025-08-27T13:46:04.6060266+00:00</t>
  </si>
  <si>
    <t>2025-08-27T18:07:03.7425733+00:00</t>
  </si>
  <si>
    <t>2025-08-27T13:46:05.7671512+00:00</t>
  </si>
  <si>
    <t>2025-08-27T18:07:02.7833264+00:00</t>
  </si>
  <si>
    <t>2025-08-27T13:46:07.2973443+00:00</t>
  </si>
  <si>
    <t>2025-08-27T18:07:03.4455242+00:00</t>
  </si>
  <si>
    <t>PE klasbespreking lj1#3</t>
  </si>
  <si>
    <t>2025-08-27T13:46:08.7297128+00:00</t>
  </si>
  <si>
    <t>2026-01-08T09:04:20.3686325+00:00</t>
  </si>
  <si>
    <t>PE mentoren#6</t>
  </si>
  <si>
    <t>2025-08-27T13:46:09.9398811+00:00</t>
  </si>
  <si>
    <t>2025-08-27T18:07:03.1583865+00:00</t>
  </si>
  <si>
    <t>PE secties#7</t>
  </si>
  <si>
    <t>2025-08-27T13:46:11.4701435+00:00</t>
  </si>
  <si>
    <t>2025-08-27T18:07:02.3294862+00:00</t>
  </si>
  <si>
    <t>PE 30'rooster/leerlingbespreking lj1</t>
  </si>
  <si>
    <t>2025-08-27T13:46:12.6112619+00:00</t>
  </si>
  <si>
    <t>2025-08-27T18:07:01.6810012+00:00</t>
  </si>
  <si>
    <t>PE 30'rooster/leerlingbespreking lj3/commissies#7/MR#4</t>
  </si>
  <si>
    <t>2025-08-27T13:46:14.8413342+00:00</t>
  </si>
  <si>
    <t>2025-08-27T18:07:02.1210446+00:00</t>
  </si>
  <si>
    <t>PE 30'rooster/leerlingbespreking lj2</t>
  </si>
  <si>
    <t>2025-08-27T13:46:16.2404821+00:00</t>
  </si>
  <si>
    <t>2025-08-27T18:07:00.8985416+00:00</t>
  </si>
  <si>
    <t>PE les t/m 7e uur/leerlingbespreking lj4 vanaf 14.30u</t>
  </si>
  <si>
    <t>2025-08-27T13:46:17.4496543+00:00</t>
  </si>
  <si>
    <t>2025-08-27T18:07:01.429386+00:00</t>
  </si>
  <si>
    <t>PE studiemiddag#3</t>
  </si>
  <si>
    <t>2025-08-27T13:46:18.7113817+00:00</t>
  </si>
  <si>
    <t>2025-08-27T18:07:00.4706311+00:00</t>
  </si>
  <si>
    <t>PE mentoren#7</t>
  </si>
  <si>
    <t>2025-08-27T13:46:21.8248974+00:00</t>
  </si>
  <si>
    <t>2025-08-27T18:07:01.2053362+00:00</t>
  </si>
  <si>
    <t>PE secties#8</t>
  </si>
  <si>
    <t>2025-08-27T13:46:23.9094179+00:00</t>
  </si>
  <si>
    <t>2025-08-27T18:07:00.9849493+00:00</t>
  </si>
  <si>
    <t>PE mentoren#8</t>
  </si>
  <si>
    <t>2025-08-27T13:46:25.1119408+00:00</t>
  </si>
  <si>
    <t>2025-08-27T18:07:00.4995988+00:00</t>
  </si>
  <si>
    <t>Kennismakingsdag Nieuwe Brugklassers</t>
  </si>
  <si>
    <t>2026-02-04T13:42:17.7955297+00:00</t>
  </si>
  <si>
    <t>2026-02-13T11:36:02.224364+00:00</t>
  </si>
  <si>
    <t>PE commissies#8/MR#5</t>
  </si>
  <si>
    <t>2025-08-27T13:46:26.2246827+00:00</t>
  </si>
  <si>
    <t>2025-08-27T18:07:00.3270354+00:00</t>
  </si>
  <si>
    <t>PE mentorenactiviteit/borrel</t>
  </si>
  <si>
    <t>2025-08-27T13:46:27.5052266+00:00</t>
  </si>
  <si>
    <t>2025-08-27T18:07:00.1955785+00:00</t>
  </si>
  <si>
    <t>PE slot APV; afscheid collega's</t>
  </si>
  <si>
    <t>2025-08-27T13:46:28.8172235+00:00</t>
  </si>
  <si>
    <t>2025-08-27T18:07:00.0079773+00:00</t>
  </si>
  <si>
    <t>PE reservedag</t>
  </si>
  <si>
    <t>2025-08-27T13:46:30.0194307+00:00</t>
  </si>
  <si>
    <t>2025-08-27T18:06:58.6527055+00:00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</si>
</sst>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\-yyyy"/>
  </numFmts>
  <fonts count="16">
    <font>
      <sz val="12"/>
      <color rgb="FF000000"/>
      <name val="Calibri"/>
    </font>
    <font>
      <b/>
      <sz val="8"/>
      <color rgb="FF000000"/>
      <name val="Arial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8"/>
      <name val="Arial"/>
      <family val="2"/>
    </font>
    <font>
      <sz val="12"/>
      <name val="Calibri"/>
      <family val="2"/>
    </font>
    <font>
      <sz val="12"/>
      <color rgb="FF006600"/>
      <name val="Calibri"/>
      <family val="2"/>
    </font>
    <font>
      <sz val="9"/>
      <name val="Calibri"/>
      <family val="2"/>
    </font>
    <font>
      <sz val="9"/>
      <color rgb="FF9C0006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</font>
    <font>
      <sz val="10"/>
      <color rgb="FF000000"/>
      <name val="Arial"/>
      <family val="2"/>
    </font>
    <font>
      <sz val="9"/>
      <name val="Arial"/>
      <family val="2"/>
    </font>
    <font>
      <sz val="9"/>
      <name val="Aptos Narrow"/>
      <scheme val="minor"/>
    </font>
    <font>
      <sz val="12"/>
      <color theme="1"/>
      <name val="Aptos Narrow"/>
      <scheme val="minor"/>
    </font>
    <font>
      <sz val="9"/>
      <color rgb="FF7030A0"/>
      <name val="Aptos Narrow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rgb="FFECECEC"/>
        <bgColor rgb="FFECECEC"/>
      </patternFill>
    </fill>
    <fill>
      <patternFill patternType="solid">
        <fgColor rgb="FFE7E6E6"/>
        <bgColor rgb="FFE7E6E6"/>
      </patternFill>
    </fill>
    <fill>
      <patternFill patternType="solid">
        <fgColor rgb="FFD9E1F3"/>
        <bgColor rgb="FFD9E1F3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rgb="FFFCE5D7"/>
        <bgColor rgb="FFFCE5D7"/>
      </patternFill>
    </fill>
    <fill>
      <patternFill patternType="solid">
        <fgColor rgb="FFFFC7CE"/>
        <bgColor rgb="FFFFC7CE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0" fontId="9" fillId="0" borderId="0"/>
    <xf numFmtId="0" fontId="11" fillId="0" borderId="0"/>
  </cellStyleXfs>
  <cellXfs count="114">
    <xf numFmtId="0" fontId="0" fillId="0" borderId="0" xfId="0"/>
    <xf numFmtId="0" fontId="3" fillId="0" borderId="0" xfId="0" applyFont="1"/>
    <xf numFmtId="0" fontId="2" fillId="3" borderId="2" xfId="0" applyFont="1" applyFill="1" applyBorder="1"/>
    <xf numFmtId="0" fontId="3" fillId="3" borderId="2" xfId="0" applyFont="1" applyFill="1" applyBorder="1"/>
    <xf numFmtId="0" fontId="3" fillId="3" borderId="2" xfId="0" applyFont="1" applyFill="1" applyBorder="1" applyAlignment="1">
      <alignment horizontal="left" wrapText="1"/>
    </xf>
    <xf numFmtId="0" fontId="5" fillId="0" borderId="0" xfId="0" applyFont="1"/>
    <xf numFmtId="0" fontId="3" fillId="0" borderId="2" xfId="0" applyFont="1" applyBorder="1" applyAlignment="1">
      <alignment horizontal="left" wrapText="1"/>
    </xf>
    <xf numFmtId="1" fontId="3" fillId="0" borderId="0" xfId="0" applyNumberFormat="1" applyFont="1"/>
    <xf numFmtId="164" fontId="6" fillId="0" borderId="0" xfId="0" applyNumberFormat="1" applyFont="1"/>
    <xf numFmtId="0" fontId="7" fillId="0" borderId="0" xfId="0" applyFont="1"/>
    <xf numFmtId="164" fontId="6" fillId="3" borderId="0" xfId="0" applyNumberFormat="1" applyFont="1" applyFill="1"/>
    <xf numFmtId="0" fontId="3" fillId="8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8" fillId="10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1" fontId="2" fillId="3" borderId="2" xfId="0" applyNumberFormat="1" applyFont="1" applyFill="1" applyBorder="1"/>
    <xf numFmtId="0" fontId="3" fillId="3" borderId="2" xfId="0" applyFont="1" applyFill="1" applyBorder="1" applyAlignment="1">
      <alignment horizontal="left"/>
    </xf>
    <xf numFmtId="1" fontId="3" fillId="3" borderId="2" xfId="0" applyNumberFormat="1" applyFont="1" applyFill="1" applyBorder="1" applyAlignment="1">
      <alignment horizontal="left"/>
    </xf>
    <xf numFmtId="1" fontId="3" fillId="3" borderId="2" xfId="0" applyNumberFormat="1" applyFont="1" applyFill="1" applyBorder="1" applyAlignment="1">
      <alignment horizontal="left" wrapText="1"/>
    </xf>
    <xf numFmtId="14" fontId="0" fillId="0" borderId="0" xfId="0" applyNumberFormat="1"/>
    <xf numFmtId="14" fontId="5" fillId="0" borderId="0" xfId="0" applyNumberFormat="1" applyFont="1"/>
    <xf numFmtId="0" fontId="9" fillId="0" borderId="0" xfId="1"/>
    <xf numFmtId="14" fontId="9" fillId="0" borderId="0" xfId="1" applyNumberFormat="1"/>
    <xf numFmtId="0" fontId="2" fillId="2" borderId="3" xfId="0" applyFont="1" applyFill="1" applyBorder="1"/>
    <xf numFmtId="0" fontId="3" fillId="2" borderId="3" xfId="0" applyFont="1" applyFill="1" applyBorder="1"/>
    <xf numFmtId="0" fontId="4" fillId="4" borderId="3" xfId="0" applyFont="1" applyFill="1" applyBorder="1" applyAlignment="1">
      <alignment horizontal="right"/>
    </xf>
    <xf numFmtId="0" fontId="4" fillId="4" borderId="3" xfId="0" applyFont="1" applyFill="1" applyBorder="1"/>
    <xf numFmtId="16" fontId="4" fillId="4" borderId="3" xfId="0" applyNumberFormat="1" applyFont="1" applyFill="1" applyBorder="1" applyAlignment="1">
      <alignment horizontal="right"/>
    </xf>
    <xf numFmtId="0" fontId="3" fillId="5" borderId="3" xfId="0" applyFont="1" applyFill="1" applyBorder="1" applyAlignment="1">
      <alignment horizontal="left" wrapText="1"/>
    </xf>
    <xf numFmtId="0" fontId="3" fillId="5" borderId="3" xfId="0" applyFont="1" applyFill="1" applyBorder="1"/>
    <xf numFmtId="0" fontId="5" fillId="2" borderId="3" xfId="0" applyFont="1" applyFill="1" applyBorder="1"/>
    <xf numFmtId="0" fontId="4" fillId="2" borderId="3" xfId="0" applyFont="1" applyFill="1" applyBorder="1"/>
    <xf numFmtId="16" fontId="4" fillId="2" borderId="3" xfId="0" applyNumberFormat="1" applyFont="1" applyFill="1" applyBorder="1" applyAlignment="1">
      <alignment horizontal="right"/>
    </xf>
    <xf numFmtId="0" fontId="3" fillId="2" borderId="3" xfId="0" applyFont="1" applyFill="1" applyBorder="1" applyAlignment="1">
      <alignment horizontal="left" wrapText="1"/>
    </xf>
    <xf numFmtId="0" fontId="3" fillId="6" borderId="3" xfId="0" applyFont="1" applyFill="1" applyBorder="1" applyAlignment="1">
      <alignment horizontal="left" wrapText="1"/>
    </xf>
    <xf numFmtId="0" fontId="3" fillId="6" borderId="3" xfId="0" applyFont="1" applyFill="1" applyBorder="1"/>
    <xf numFmtId="0" fontId="5" fillId="0" borderId="3" xfId="0" applyFont="1" applyBorder="1"/>
    <xf numFmtId="0" fontId="4" fillId="0" borderId="3" xfId="0" applyFont="1" applyBorder="1"/>
    <xf numFmtId="16" fontId="4" fillId="0" borderId="3" xfId="0" applyNumberFormat="1" applyFont="1" applyBorder="1" applyAlignment="1">
      <alignment horizontal="right"/>
    </xf>
    <xf numFmtId="0" fontId="3" fillId="0" borderId="3" xfId="0" applyFont="1" applyBorder="1" applyAlignment="1">
      <alignment horizontal="left" wrapText="1"/>
    </xf>
    <xf numFmtId="0" fontId="3" fillId="0" borderId="3" xfId="0" applyFont="1" applyBorder="1"/>
    <xf numFmtId="0" fontId="5" fillId="7" borderId="3" xfId="0" applyFont="1" applyFill="1" applyBorder="1"/>
    <xf numFmtId="0" fontId="4" fillId="7" borderId="3" xfId="0" applyFont="1" applyFill="1" applyBorder="1"/>
    <xf numFmtId="16" fontId="4" fillId="7" borderId="3" xfId="0" applyNumberFormat="1" applyFont="1" applyFill="1" applyBorder="1" applyAlignment="1">
      <alignment horizontal="right"/>
    </xf>
    <xf numFmtId="0" fontId="3" fillId="7" borderId="3" xfId="0" applyFont="1" applyFill="1" applyBorder="1" applyAlignment="1">
      <alignment horizontal="left" wrapText="1"/>
    </xf>
    <xf numFmtId="0" fontId="3" fillId="7" borderId="3" xfId="0" applyFont="1" applyFill="1" applyBorder="1"/>
    <xf numFmtId="0" fontId="4" fillId="0" borderId="3" xfId="0" applyFont="1" applyBorder="1" applyAlignment="1">
      <alignment horizontal="right"/>
    </xf>
    <xf numFmtId="0" fontId="3" fillId="3" borderId="3" xfId="0" applyFont="1" applyFill="1" applyBorder="1" applyAlignment="1">
      <alignment horizontal="left" wrapText="1"/>
    </xf>
    <xf numFmtId="0" fontId="3" fillId="3" borderId="3" xfId="0" applyFont="1" applyFill="1" applyBorder="1"/>
    <xf numFmtId="0" fontId="4" fillId="8" borderId="3" xfId="0" applyFont="1" applyFill="1" applyBorder="1" applyAlignment="1">
      <alignment horizontal="right"/>
    </xf>
    <xf numFmtId="0" fontId="4" fillId="8" borderId="3" xfId="0" applyFont="1" applyFill="1" applyBorder="1"/>
    <xf numFmtId="16" fontId="4" fillId="8" borderId="3" xfId="0" applyNumberFormat="1" applyFont="1" applyFill="1" applyBorder="1" applyAlignment="1">
      <alignment horizontal="right"/>
    </xf>
    <xf numFmtId="0" fontId="3" fillId="8" borderId="3" xfId="0" applyFont="1" applyFill="1" applyBorder="1" applyAlignment="1">
      <alignment horizontal="left" wrapText="1"/>
    </xf>
    <xf numFmtId="0" fontId="3" fillId="8" borderId="3" xfId="0" applyFont="1" applyFill="1" applyBorder="1"/>
    <xf numFmtId="0" fontId="5" fillId="8" borderId="3" xfId="0" applyFont="1" applyFill="1" applyBorder="1"/>
    <xf numFmtId="0" fontId="5" fillId="16" borderId="3" xfId="0" applyFont="1" applyFill="1" applyBorder="1"/>
    <xf numFmtId="0" fontId="4" fillId="16" borderId="3" xfId="0" applyFont="1" applyFill="1" applyBorder="1"/>
    <xf numFmtId="16" fontId="4" fillId="16" borderId="3" xfId="0" applyNumberFormat="1" applyFont="1" applyFill="1" applyBorder="1" applyAlignment="1">
      <alignment horizontal="right"/>
    </xf>
    <xf numFmtId="0" fontId="3" fillId="16" borderId="3" xfId="0" applyFont="1" applyFill="1" applyBorder="1" applyAlignment="1">
      <alignment horizontal="left" wrapText="1"/>
    </xf>
    <xf numFmtId="0" fontId="3" fillId="16" borderId="3" xfId="0" applyFont="1" applyFill="1" applyBorder="1"/>
    <xf numFmtId="0" fontId="5" fillId="12" borderId="3" xfId="0" applyFont="1" applyFill="1" applyBorder="1"/>
    <xf numFmtId="0" fontId="4" fillId="12" borderId="3" xfId="0" applyFont="1" applyFill="1" applyBorder="1"/>
    <xf numFmtId="16" fontId="4" fillId="12" borderId="3" xfId="0" applyNumberFormat="1" applyFont="1" applyFill="1" applyBorder="1" applyAlignment="1">
      <alignment horizontal="right"/>
    </xf>
    <xf numFmtId="0" fontId="3" fillId="12" borderId="3" xfId="0" applyFont="1" applyFill="1" applyBorder="1" applyAlignment="1">
      <alignment horizontal="left" wrapText="1"/>
    </xf>
    <xf numFmtId="0" fontId="3" fillId="12" borderId="3" xfId="0" applyFont="1" applyFill="1" applyBorder="1"/>
    <xf numFmtId="0" fontId="4" fillId="13" borderId="3" xfId="0" applyFont="1" applyFill="1" applyBorder="1" applyAlignment="1">
      <alignment horizontal="right"/>
    </xf>
    <xf numFmtId="0" fontId="4" fillId="13" borderId="3" xfId="0" applyFont="1" applyFill="1" applyBorder="1"/>
    <xf numFmtId="16" fontId="4" fillId="13" borderId="3" xfId="0" applyNumberFormat="1" applyFont="1" applyFill="1" applyBorder="1" applyAlignment="1">
      <alignment horizontal="right"/>
    </xf>
    <xf numFmtId="0" fontId="3" fillId="13" borderId="3" xfId="0" applyFont="1" applyFill="1" applyBorder="1" applyAlignment="1">
      <alignment horizontal="left" wrapText="1"/>
    </xf>
    <xf numFmtId="0" fontId="3" fillId="13" borderId="3" xfId="0" applyFont="1" applyFill="1" applyBorder="1"/>
    <xf numFmtId="0" fontId="5" fillId="13" borderId="3" xfId="0" applyFont="1" applyFill="1" applyBorder="1"/>
    <xf numFmtId="0" fontId="5" fillId="11" borderId="3" xfId="0" applyFont="1" applyFill="1" applyBorder="1"/>
    <xf numFmtId="0" fontId="4" fillId="11" borderId="3" xfId="0" applyFont="1" applyFill="1" applyBorder="1"/>
    <xf numFmtId="16" fontId="4" fillId="11" borderId="3" xfId="0" applyNumberFormat="1" applyFont="1" applyFill="1" applyBorder="1" applyAlignment="1">
      <alignment horizontal="right"/>
    </xf>
    <xf numFmtId="0" fontId="3" fillId="11" borderId="3" xfId="0" applyFont="1" applyFill="1" applyBorder="1" applyAlignment="1">
      <alignment horizontal="left" wrapText="1"/>
    </xf>
    <xf numFmtId="0" fontId="3" fillId="11" borderId="3" xfId="0" applyFont="1" applyFill="1" applyBorder="1"/>
    <xf numFmtId="0" fontId="5" fillId="15" borderId="3" xfId="0" applyFont="1" applyFill="1" applyBorder="1"/>
    <xf numFmtId="0" fontId="4" fillId="15" borderId="3" xfId="0" applyFont="1" applyFill="1" applyBorder="1"/>
    <xf numFmtId="16" fontId="4" fillId="15" borderId="3" xfId="0" applyNumberFormat="1" applyFont="1" applyFill="1" applyBorder="1" applyAlignment="1">
      <alignment horizontal="right"/>
    </xf>
    <xf numFmtId="0" fontId="3" fillId="15" borderId="3" xfId="0" applyFont="1" applyFill="1" applyBorder="1" applyAlignment="1">
      <alignment horizontal="left" wrapText="1"/>
    </xf>
    <xf numFmtId="0" fontId="3" fillId="15" borderId="3" xfId="0" applyFont="1" applyFill="1" applyBorder="1"/>
    <xf numFmtId="0" fontId="4" fillId="2" borderId="3" xfId="0" applyFont="1" applyFill="1" applyBorder="1" applyAlignment="1">
      <alignment horizontal="right"/>
    </xf>
    <xf numFmtId="0" fontId="4" fillId="11" borderId="3" xfId="0" applyFont="1" applyFill="1" applyBorder="1" applyAlignment="1">
      <alignment horizontal="right"/>
    </xf>
    <xf numFmtId="0" fontId="4" fillId="14" borderId="3" xfId="0" applyFont="1" applyFill="1" applyBorder="1" applyAlignment="1">
      <alignment horizontal="right"/>
    </xf>
    <xf numFmtId="0" fontId="4" fillId="14" borderId="3" xfId="0" applyFont="1" applyFill="1" applyBorder="1"/>
    <xf numFmtId="16" fontId="4" fillId="14" borderId="3" xfId="0" applyNumberFormat="1" applyFont="1" applyFill="1" applyBorder="1" applyAlignment="1">
      <alignment horizontal="right"/>
    </xf>
    <xf numFmtId="0" fontId="3" fillId="14" borderId="3" xfId="0" applyFont="1" applyFill="1" applyBorder="1" applyAlignment="1">
      <alignment horizontal="left" wrapText="1"/>
    </xf>
    <xf numFmtId="0" fontId="3" fillId="14" borderId="3" xfId="0" applyFont="1" applyFill="1" applyBorder="1"/>
    <xf numFmtId="0" fontId="5" fillId="14" borderId="3" xfId="0" applyFont="1" applyFill="1" applyBorder="1"/>
    <xf numFmtId="0" fontId="12" fillId="15" borderId="4" xfId="2" applyFont="1" applyFill="1" applyBorder="1" applyAlignment="1">
      <alignment wrapText="1"/>
    </xf>
    <xf numFmtId="0" fontId="12" fillId="13" borderId="4" xfId="2" applyFont="1" applyFill="1" applyBorder="1" applyAlignment="1">
      <alignment wrapText="1"/>
    </xf>
    <xf numFmtId="0" fontId="2" fillId="0" borderId="3" xfId="0" applyFont="1" applyBorder="1"/>
    <xf numFmtId="0" fontId="1" fillId="16" borderId="3" xfId="0" applyFont="1" applyFill="1" applyBorder="1" applyAlignment="1">
      <alignment horizontal="left"/>
    </xf>
    <xf numFmtId="0" fontId="1" fillId="16" borderId="3" xfId="0" applyFont="1" applyFill="1" applyBorder="1"/>
    <xf numFmtId="164" fontId="1" fillId="16" borderId="3" xfId="0" applyNumberFormat="1" applyFont="1" applyFill="1" applyBorder="1"/>
    <xf numFmtId="0" fontId="1" fillId="18" borderId="3" xfId="0" applyFont="1" applyFill="1" applyBorder="1" applyAlignment="1">
      <alignment horizontal="left"/>
    </xf>
    <xf numFmtId="0" fontId="1" fillId="18" borderId="3" xfId="0" applyFont="1" applyFill="1" applyBorder="1"/>
    <xf numFmtId="164" fontId="1" fillId="18" borderId="3" xfId="0" applyNumberFormat="1" applyFont="1" applyFill="1" applyBorder="1"/>
    <xf numFmtId="0" fontId="4" fillId="16" borderId="3" xfId="0" applyFont="1" applyFill="1" applyBorder="1" applyAlignment="1">
      <alignment horizontal="right"/>
    </xf>
    <xf numFmtId="0" fontId="13" fillId="19" borderId="5" xfId="2" applyFont="1" applyFill="1" applyBorder="1" applyAlignment="1">
      <alignment wrapText="1"/>
    </xf>
    <xf numFmtId="0" fontId="13" fillId="20" borderId="6" xfId="2" applyFont="1" applyFill="1" applyBorder="1" applyAlignment="1">
      <alignment wrapText="1"/>
    </xf>
    <xf numFmtId="0" fontId="13" fillId="0" borderId="6" xfId="2" applyFont="1" applyBorder="1" applyAlignment="1">
      <alignment wrapText="1"/>
    </xf>
    <xf numFmtId="0" fontId="13" fillId="15" borderId="6" xfId="2" applyFont="1" applyFill="1" applyBorder="1" applyAlignment="1">
      <alignment wrapText="1"/>
    </xf>
    <xf numFmtId="0" fontId="13" fillId="13" borderId="6" xfId="2" applyFont="1" applyFill="1" applyBorder="1" applyAlignment="1">
      <alignment wrapText="1"/>
    </xf>
    <xf numFmtId="0" fontId="14" fillId="0" borderId="0" xfId="0" applyFont="1"/>
    <xf numFmtId="0" fontId="15" fillId="0" borderId="6" xfId="2" applyFont="1" applyBorder="1" applyAlignment="1">
      <alignment wrapText="1"/>
    </xf>
    <xf numFmtId="0" fontId="13" fillId="17" borderId="6" xfId="2" applyFont="1" applyFill="1" applyBorder="1" applyAlignment="1">
      <alignment wrapText="1"/>
    </xf>
    <xf numFmtId="0" fontId="13" fillId="13" borderId="4" xfId="2" applyFont="1" applyFill="1" applyBorder="1" applyAlignment="1">
      <alignment wrapText="1"/>
    </xf>
    <xf numFmtId="0" fontId="13" fillId="14" borderId="6" xfId="2" applyFont="1" applyFill="1" applyBorder="1" applyAlignment="1">
      <alignment wrapText="1"/>
    </xf>
    <xf numFmtId="0" fontId="13" fillId="19" borderId="6" xfId="2" applyFont="1" applyFill="1" applyBorder="1" applyAlignment="1">
      <alignment wrapText="1"/>
    </xf>
  </cellXfs>
  <cellStyles count="3">
    <cellStyle name="Normaal 3" xfId="2" xr:uid="{475BA352-C6B7-456A-AF98-E8A59ADBC5A6}"/>
    <cellStyle name="Standaard" xfId="0" builtinId="0"/>
    <cellStyle name="Standaard 2" xfId="1" xr:uid="{F8296315-162D-B54B-A3FB-F5647C7B36FE}"/>
  </cellStyles>
  <dxfs count="6">
    <dxf>
      <font>
        <color rgb="FF9C0006"/>
      </font>
      <fill>
        <patternFill patternType="solid">
          <fgColor rgb="FFFFC7CE"/>
          <bgColor rgb="FFFFC7CE"/>
        </patternFill>
      </fill>
      <alignment wrapText="0" shrinkToFit="0"/>
      <border>
        <left/>
        <right/>
        <top/>
        <bottom/>
      </border>
    </dxf>
    <dxf>
      <font>
        <color rgb="FF980000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  <alignment wrapText="0" shrinkToFit="0"/>
      <border>
        <left/>
        <right/>
        <top/>
        <bottom/>
      </border>
    </dxf>
    <dxf>
      <font>
        <color rgb="FF980000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mruColors>
      <color rgb="FFFEF2CB"/>
      <color rgb="FFE2EFD9"/>
      <color rgb="FFD9E2F3"/>
      <color rgb="FFFCE4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590E62-E42A-9F41-9EBD-DA07DAC9AA2F}" name="TabelAL" displayName="TabelAL" ref="A1:F76" totalsRowShown="0">
  <autoFilter ref="A1:F76" xr:uid="{C918580C-DA14-438C-9396-6F96C4263264}"/>
  <tableColumns count="6">
    <tableColumn id="1" xr3:uid="{0207FF53-1AB7-E74A-A3D8-A6D449F631BF}" name="Title_Event"/>
    <tableColumn id="2" xr3:uid="{F16F7D0F-1FFD-DE4E-9AD0-85BBC8554498}" name="Start_Event"/>
    <tableColumn id="3" xr3:uid="{30640D73-D060-3540-9918-71A5905371B5}" name="End_Event"/>
    <tableColumn id="4" xr3:uid="{E6073E2E-2D82-5D49-A151-51A545A8498B}" name="All_Day"/>
    <tableColumn id="5" xr3:uid="{E279D7F2-3B45-CC4A-B7E3-CD77F8497E0D}" name="Created"/>
    <tableColumn id="6" xr3:uid="{C2EB9656-C3C7-FE4F-BE3C-C687E82F372F}" name="Updat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E3554F-623A-D542-80D0-D0EECE75F497}" name="TabelG1" displayName="TabelG1" ref="A1:F39" totalsRowShown="0">
  <autoFilter ref="A1:F39" xr:uid="{FB5E87A5-AFD3-4962-998C-E6333FF74F52}"/>
  <tableColumns count="6">
    <tableColumn id="1" xr3:uid="{1FA08F47-E209-DB45-A743-57E09570DB84}" name="Title_Event"/>
    <tableColumn id="2" xr3:uid="{5A653221-1122-A04B-9E66-06AD4ED0D133}" name="Start_Event"/>
    <tableColumn id="3" xr3:uid="{731D66E9-7710-324D-8AEF-0FC52446C431}" name="End_Event"/>
    <tableColumn id="4" xr3:uid="{4E70ABE2-BCE6-DA48-8C46-0B654119A2FF}" name="All_Day"/>
    <tableColumn id="5" xr3:uid="{8AC846A4-C693-3A43-8B3D-7D2D2C42D7DA}" name="Created"/>
    <tableColumn id="6" xr3:uid="{EF0F4618-9679-BD4F-A967-CC0AD2CD6AC4}" name="Updat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736714-05FA-174A-B37A-AC008E00BF79}" name="TabelG2" displayName="TabelG2" ref="A1:F42" totalsRowShown="0">
  <autoFilter ref="A1:F42" xr:uid="{2C650111-2C54-49E0-95C4-02AB70C6EC01}"/>
  <tableColumns count="6">
    <tableColumn id="1" xr3:uid="{D71DCF63-A813-6C4C-87F9-A217BB6003C0}" name="Title_Event"/>
    <tableColumn id="2" xr3:uid="{55C542AF-9C8B-B94A-A014-DED358CF8DC6}" name="Start_Event"/>
    <tableColumn id="3" xr3:uid="{37F875D3-EBA0-E943-B508-7039CAFB6A19}" name="End_Event"/>
    <tableColumn id="4" xr3:uid="{64874722-A9B0-E348-910C-243A0D53641A}" name="All_Day"/>
    <tableColumn id="5" xr3:uid="{77966469-1959-EC46-873A-A7F148B17D64}" name="Created"/>
    <tableColumn id="6" xr3:uid="{56F7D929-E48A-FA4D-9E7F-508C6F69D149}" name="Updat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BF1C958-33F7-5447-82DB-A04C43B041AA}" name="TabelG3" displayName="TabelG3" ref="A1:F62" totalsRowShown="0">
  <autoFilter ref="A1:F62" xr:uid="{3759BE34-9C38-443A-9D9B-0369E24735E9}"/>
  <tableColumns count="6">
    <tableColumn id="1" xr3:uid="{F20656D1-A56B-D840-AC45-42F48CA56CB1}" name="Title_Event"/>
    <tableColumn id="2" xr3:uid="{05237835-310A-4847-9AF6-360EE8D44F53}" name="Start_Event"/>
    <tableColumn id="3" xr3:uid="{9E888E8B-4470-CB43-BE94-69CAA24A9FAA}" name="End_Event"/>
    <tableColumn id="4" xr3:uid="{522CA79F-959D-A244-9791-A3B647C69A76}" name="All_Day"/>
    <tableColumn id="5" xr3:uid="{09FA1250-2CDF-2745-9B74-2FB4C8792BAC}" name="Created"/>
    <tableColumn id="6" xr3:uid="{B2095FC0-8FF0-4444-8CF5-7727DB0C70F5}" name="Update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D07E9F0-3E44-A946-87A6-B4F1F25ECB0C}" name="TabelG4" displayName="TabelG4" ref="A1:F126" totalsRowShown="0">
  <autoFilter ref="A1:F126" xr:uid="{977B9B43-A483-43AB-9462-13BEDFC9A700}"/>
  <tableColumns count="6">
    <tableColumn id="1" xr3:uid="{F32A3F6D-0FE5-FB44-9743-96604CBD7F95}" name="Title_Event"/>
    <tableColumn id="2" xr3:uid="{7CDFF018-CFDD-BC42-8236-5B83FEDD5684}" name="Start_Event"/>
    <tableColumn id="3" xr3:uid="{43F6F024-3D81-F943-9E7C-BEF37E1804A2}" name="End_Event"/>
    <tableColumn id="4" xr3:uid="{8082E2E9-9B96-494B-BC21-60A7AEB759B1}" name="All_Day"/>
    <tableColumn id="5" xr3:uid="{E5635298-B85C-044C-B199-618D764148F9}" name="Created"/>
    <tableColumn id="6" xr3:uid="{BB1B768E-0223-0841-8DF6-CFE872BEE476}" name="Update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0BAACB1-DCE0-E44D-A278-1B74B493988E}" name="TabelG5" displayName="TabelG5" ref="A1:F132" totalsRowShown="0">
  <autoFilter ref="A1:F132" xr:uid="{B4E260DB-9FB0-41FD-A0E4-345CAFC55056}"/>
  <tableColumns count="6">
    <tableColumn id="1" xr3:uid="{29D227A5-0088-B946-B51C-E93DA676C769}" name="Title_Event"/>
    <tableColumn id="2" xr3:uid="{03B6EB3C-FC8F-9340-96F0-DBD3D70727EF}" name="Start_Event"/>
    <tableColumn id="3" xr3:uid="{CB44BB34-D767-CA48-89F5-CBCB6FB984DA}" name="End_Event"/>
    <tableColumn id="4" xr3:uid="{C38858D4-F583-A945-A065-9DE1E06B883D}" name="All_Day"/>
    <tableColumn id="5" xr3:uid="{684420E6-730C-1242-BDDF-33ABA8FD9369}" name="Created"/>
    <tableColumn id="6" xr3:uid="{AFA4C671-9A66-C348-8332-3DCBE9BBC11F}" name="Update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A431299-8AA6-0149-8888-A1BC4DA33793}" name="TabelG6" displayName="TabelG6" ref="A1:F102" totalsRowShown="0">
  <autoFilter ref="A1:F102" xr:uid="{D54C0EEB-0CCD-41A4-B716-B81727C15A25}"/>
  <tableColumns count="6">
    <tableColumn id="1" xr3:uid="{CBA1F958-9189-0346-B432-8F840E2BD1EF}" name="Title_Event"/>
    <tableColumn id="2" xr3:uid="{DC78AE8B-8F4C-9943-87F1-E37EC10D39FF}" name="Start_Event"/>
    <tableColumn id="3" xr3:uid="{C3A1B44E-3DB4-2C4E-A0CF-24B4821C0608}" name="End_Event"/>
    <tableColumn id="4" xr3:uid="{69E25998-CD82-9B45-95DE-C8F4E335D20D}" name="All_Day"/>
    <tableColumn id="5" xr3:uid="{D39E6906-1E6E-214B-847D-2F50F2D03F48}" name="Created"/>
    <tableColumn id="6" xr3:uid="{BF7DF946-8F8A-BF46-B04F-C3F7730BE6C7}" name="Update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8DCFC1B-F41E-1741-B30A-53F142EA53E8}" name="TabelPE" displayName="TabelPE" ref="A1:F60" totalsRowShown="0">
  <autoFilter ref="A1:F60" xr:uid="{DDDB3161-7D94-4CE6-8AFA-C27E61B921CF}"/>
  <tableColumns count="6">
    <tableColumn id="1" xr3:uid="{12C5DA0F-80F6-DA43-A19E-3E31DFC83984}" name="Title_Event"/>
    <tableColumn id="2" xr3:uid="{FBF17BB9-BD68-7740-AC97-5B457D4CCDC6}" name="Start_Event"/>
    <tableColumn id="3" xr3:uid="{B05334CD-F657-B24A-8994-4E64913E144C}" name="End_Event"/>
    <tableColumn id="4" xr3:uid="{7E225AAC-6E71-E545-8052-84D13CEDB25F}" name="All_Day"/>
    <tableColumn id="5" xr3:uid="{EE8EC229-F2C8-1F48-957E-20A64180C517}" name="Created"/>
    <tableColumn id="6" xr3:uid="{992465A6-67F9-0444-A068-C9C0A0E8A7EC}" name="Upda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V374"/>
  <sheetViews>
    <sheetView tabSelected="1" workbookViewId="0">
      <pane ySplit="2" topLeftCell="A238" activePane="bottomLeft" state="frozen"/>
      <selection pane="bottomLeft" activeCell="J194" sqref="J194"/>
    </sheetView>
  </sheetViews>
  <sheetFormatPr defaultColWidth="13.5" defaultRowHeight="20.25" customHeight="1"/>
  <cols>
    <col min="1" max="1" width="3.625" customWidth="1"/>
    <col min="2" max="2" width="2.875" customWidth="1"/>
    <col min="3" max="3" width="7.625" customWidth="1"/>
    <col min="4" max="11" width="16.625" customWidth="1"/>
    <col min="12" max="12" width="8.5" customWidth="1"/>
    <col min="13" max="13" width="2.5" customWidth="1"/>
    <col min="14" max="14" width="8" hidden="1" customWidth="1"/>
    <col min="15" max="15" width="7.375" hidden="1" customWidth="1"/>
    <col min="16" max="16" width="7" hidden="1" customWidth="1"/>
    <col min="17" max="17" width="6.625" hidden="1" customWidth="1"/>
    <col min="18" max="18" width="7" hidden="1" customWidth="1"/>
    <col min="19" max="21" width="6.625" hidden="1" customWidth="1"/>
    <col min="22" max="22" width="8.375" customWidth="1"/>
  </cols>
  <sheetData>
    <row r="1" spans="1:22" ht="15.75" customHeight="1">
      <c r="A1" s="99">
        <v>2526</v>
      </c>
      <c r="B1" s="100" t="s">
        <v>0</v>
      </c>
      <c r="C1" s="101">
        <f ca="1">CURRENTV</f>
        <v>46089</v>
      </c>
      <c r="D1" s="95"/>
      <c r="E1" s="95"/>
      <c r="F1" s="95"/>
      <c r="G1" s="95"/>
      <c r="H1" s="95"/>
      <c r="I1" s="95"/>
      <c r="J1" s="95"/>
      <c r="K1" s="95"/>
      <c r="L1" s="44"/>
      <c r="M1" s="1"/>
      <c r="N1" s="2" t="s">
        <v>1</v>
      </c>
      <c r="O1" s="2" t="s">
        <v>2</v>
      </c>
      <c r="P1" s="2" t="s">
        <v>3</v>
      </c>
      <c r="Q1" s="2" t="s">
        <v>4</v>
      </c>
      <c r="R1" s="2" t="s">
        <v>5</v>
      </c>
      <c r="S1" s="2" t="s">
        <v>6</v>
      </c>
      <c r="T1" s="2" t="s">
        <v>7</v>
      </c>
      <c r="U1" s="3" t="s">
        <v>8</v>
      </c>
      <c r="V1" s="1"/>
    </row>
    <row r="2" spans="1:22" ht="15" customHeight="1">
      <c r="A2" s="96"/>
      <c r="B2" s="97"/>
      <c r="C2" s="98"/>
      <c r="D2" s="27" t="s">
        <v>9</v>
      </c>
      <c r="E2" s="27" t="s">
        <v>10</v>
      </c>
      <c r="F2" s="27" t="s">
        <v>11</v>
      </c>
      <c r="G2" s="27" t="s">
        <v>12</v>
      </c>
      <c r="H2" s="27" t="s">
        <v>13</v>
      </c>
      <c r="I2" s="27" t="s">
        <v>14</v>
      </c>
      <c r="J2" s="27" t="s">
        <v>15</v>
      </c>
      <c r="K2" s="27" t="s">
        <v>16</v>
      </c>
      <c r="L2" s="28" t="s">
        <v>17</v>
      </c>
      <c r="M2" s="1"/>
      <c r="N2" s="2" t="s">
        <v>1</v>
      </c>
      <c r="O2" s="2" t="s">
        <v>2</v>
      </c>
      <c r="P2" s="2" t="s">
        <v>3</v>
      </c>
      <c r="Q2" s="2" t="s">
        <v>4</v>
      </c>
      <c r="R2" s="2" t="s">
        <v>5</v>
      </c>
      <c r="S2" s="2" t="s">
        <v>6</v>
      </c>
      <c r="T2" s="2" t="s">
        <v>7</v>
      </c>
      <c r="U2" s="3" t="s">
        <v>8</v>
      </c>
      <c r="V2" s="1"/>
    </row>
    <row r="3" spans="1:22" ht="35.25" hidden="1" customHeight="1">
      <c r="A3" s="29">
        <v>36</v>
      </c>
      <c r="B3" s="30" t="s">
        <v>18</v>
      </c>
      <c r="C3" s="31">
        <v>45901</v>
      </c>
      <c r="D3" s="32" t="str">
        <f ca="1">CONCATENATE(CALC2223!A2," ",CALC2223!C2," ",CALC2223!E2)</f>
        <v xml:space="preserve">  </v>
      </c>
      <c r="E3" s="32" t="str">
        <f ca="1">CONCATENATE(CALC2223!G2," ",CALC2223!I2," ",CALC2223!K2)</f>
        <v xml:space="preserve">  </v>
      </c>
      <c r="F3" s="32" t="str">
        <f ca="1">CONCATENATE(CALC2223!M2," ",CALC2223!O2," ",CALC2223!Q2)</f>
        <v xml:space="preserve">  </v>
      </c>
      <c r="G3" s="32" t="str">
        <f ca="1">CONCATENATE(CALC2223!S2," ",CALC2223!U2," ",CALC2223!W2)</f>
        <v xml:space="preserve">  </v>
      </c>
      <c r="H3" s="32" t="str">
        <f ca="1">CONCATENATE(CALC2223!Y2," ",CALC2223!AA2," ",CALC2223!AC2)</f>
        <v xml:space="preserve">  </v>
      </c>
      <c r="I3" s="32" t="str">
        <f ca="1">CONCATENATE(CALC2223!AE2," ",CALC2223!AG2," ",CALC2223!AI2)</f>
        <v xml:space="preserve">  </v>
      </c>
      <c r="J3" s="32" t="str">
        <f ca="1">CONCATENATE(CALC2223!AK2," ",CALC2223!AM2," ",CALC2223!AO2)</f>
        <v xml:space="preserve">  </v>
      </c>
      <c r="K3" s="32" t="str">
        <f ca="1">CONCATENATE(CALC2223!AQ2," ",CALC2223!AS2," ",CALC2223!AU2," ",CALC2223!AW2)</f>
        <v xml:space="preserve">personeelsdag   </v>
      </c>
      <c r="L3" s="33" t="str">
        <f t="shared" ref="L3:L257" ca="1" si="0">IF(C3&lt;TODAY(),"verleden","actueel")</f>
        <v>verleden</v>
      </c>
      <c r="M3" s="1"/>
      <c r="N3" s="4" t="b">
        <f ca="1">OR(VALUE(CALC2223!B2)&gt;VALUE(LASTV),VALUE(CALC2223!D2)&gt;VALUE(LASTV),VALUE(CALC2223!F2)&gt;VALUE(LASTV))</f>
        <v>0</v>
      </c>
      <c r="O3" s="4" t="b">
        <f ca="1">OR(VALUE(CALC2223!H2)&gt;VALUE(LASTV),VALUE(CALC2223!J2)&gt;VALUE(LASTV),VALUE(CALC2223!L2)&gt;VALUE(LASTV))</f>
        <v>0</v>
      </c>
      <c r="P3" s="4" t="b">
        <f ca="1">OR(VALUE(CALC2223!N2)&gt;VALUE(LASTV),VALUE(CALC2223!P2)&gt;VALUE(LASTV),VALUE(CALC2223!R2)&gt;VALUE(LASTV))</f>
        <v>0</v>
      </c>
      <c r="Q3" s="4" t="b">
        <f ca="1">OR(VALUE(CALC2223!T2)&gt;VALUE(LASTV),VALUE(CALC2223!V2)&gt;VALUE(LASTV),VALUE(CALC2223!X2)&gt;VALUE(LASTV))</f>
        <v>0</v>
      </c>
      <c r="R3" s="4" t="b">
        <f ca="1">OR(VALUE(CALC2223!Z2)&gt;VALUE(LASTV),VALUE(CALC2223!AB2)&gt;VALUE(LASTV),VALUE(CALC2223!AD2)&gt;VALUE(LASTV))</f>
        <v>0</v>
      </c>
      <c r="S3" s="4" t="b">
        <f ca="1">OR(VALUE(CALC2223!AF2)&gt;VALUE(LASTV),VALUE(CALC2223!AH2)&gt;VALUE(LASTV),VALUE(CALC2223!AJ2)&gt;VALUE(LASTV))</f>
        <v>0</v>
      </c>
      <c r="T3" s="4" t="b">
        <f ca="1">OR(VALUE(CALC2223!AL2)&gt;VALUE(LASTV),VALUE(CALC2223!AN2)&gt;VALUE(LASTV),VALUE(CALC2223!AP2)&gt;VALUE(LASTV))</f>
        <v>0</v>
      </c>
      <c r="U3" s="4" t="b">
        <f ca="1">OR(VALUE(CALC2223!AR2)&gt;VALUE(LASTV),VALUE(CALC2223!AT2)&gt;VALUE(LASTV),VALUE(CALC2223!AV2)&gt;VALUE(LASTV))</f>
        <v>0</v>
      </c>
      <c r="V3" s="1"/>
    </row>
    <row r="4" spans="1:22" ht="35.25" hidden="1" customHeight="1">
      <c r="A4" s="34"/>
      <c r="B4" s="35" t="s">
        <v>19</v>
      </c>
      <c r="C4" s="36">
        <v>45902</v>
      </c>
      <c r="D4" s="37" t="str">
        <f ca="1">CONCATENATE(CALC2223!A3," ",CALC2223!C3," ",CALC2223!E3)</f>
        <v xml:space="preserve">  </v>
      </c>
      <c r="E4" s="38" t="str">
        <f ca="1">CONCATENATE(CALC2223!G3," ",CALC2223!I3," ",CALC2223!K3)</f>
        <v xml:space="preserve">  </v>
      </c>
      <c r="F4" s="38" t="str">
        <f ca="1">CONCATENATE(CALC2223!M3," ",CALC2223!O3," ",CALC2223!Q3)</f>
        <v xml:space="preserve">  </v>
      </c>
      <c r="G4" s="38" t="str">
        <f ca="1">CONCATENATE(CALC2223!S3," ",CALC2223!U3," ",CALC2223!W3)</f>
        <v xml:space="preserve">  </v>
      </c>
      <c r="H4" s="38" t="str">
        <f ca="1">CONCATENATE(CALC2223!Y3," ",CALC2223!AA3," ",CALC2223!AC3)</f>
        <v xml:space="preserve">  </v>
      </c>
      <c r="I4" s="38" t="str">
        <f ca="1">CONCATENATE(CALC2223!AE3," ",CALC2223!AG3," ",CALC2223!AI3)</f>
        <v xml:space="preserve">  </v>
      </c>
      <c r="J4" s="38" t="str">
        <f ca="1">CONCATENATE(CALC2223!AK3," ",CALC2223!AM3," ",CALC2223!AO3)</f>
        <v xml:space="preserve">  </v>
      </c>
      <c r="K4" s="38" t="str">
        <f ca="1">CONCATENATE(CALC2223!AQ3," ",CALC2223!AS3," ",CALC2223!AU3," ",CALC2223!AW3)</f>
        <v xml:space="preserve">CGUweek1; fotograaf   </v>
      </c>
      <c r="L4" s="39" t="str">
        <f t="shared" ca="1" si="0"/>
        <v>verleden</v>
      </c>
      <c r="M4" s="1"/>
      <c r="N4" s="4" t="b">
        <f ca="1">OR(VALUE(CALC2223!B3)&gt;VALUE(LASTV),VALUE(CALC2223!D3)&gt;VALUE(LASTV),VALUE(CALC2223!F3)&gt;VALUE(LASTV))</f>
        <v>0</v>
      </c>
      <c r="O4" s="4" t="b">
        <f ca="1">OR(VALUE(CALC2223!H3)&gt;VALUE(LASTV),VALUE(CALC2223!J3)&gt;VALUE(LASTV),VALUE(CALC2223!L3)&gt;VALUE(LASTV))</f>
        <v>0</v>
      </c>
      <c r="P4" s="4" t="b">
        <f ca="1">OR(VALUE(CALC2223!N3)&gt;VALUE(LASTV),VALUE(CALC2223!P3)&gt;VALUE(LASTV),VALUE(CALC2223!R3)&gt;VALUE(LASTV))</f>
        <v>0</v>
      </c>
      <c r="Q4" s="4" t="b">
        <f ca="1">OR(VALUE(CALC2223!T3)&gt;VALUE(LASTV),VALUE(CALC2223!V3)&gt;VALUE(LASTV),VALUE(CALC2223!X3)&gt;VALUE(LASTV))</f>
        <v>0</v>
      </c>
      <c r="R4" s="4" t="b">
        <f ca="1">OR(VALUE(CALC2223!Z3)&gt;VALUE(LASTV),VALUE(CALC2223!AB3)&gt;VALUE(LASTV),VALUE(CALC2223!AD3)&gt;VALUE(LASTV))</f>
        <v>0</v>
      </c>
      <c r="S4" s="4" t="b">
        <f ca="1">OR(VALUE(CALC2223!AF3)&gt;VALUE(LASTV),VALUE(CALC2223!AH3)&gt;VALUE(LASTV),VALUE(CALC2223!AJ3)&gt;VALUE(LASTV))</f>
        <v>0</v>
      </c>
      <c r="T4" s="4" t="b">
        <f ca="1">OR(VALUE(CALC2223!AL3)&gt;VALUE(LASTV),VALUE(CALC2223!AN3)&gt;VALUE(LASTV),VALUE(CALC2223!AP3)&gt;VALUE(LASTV))</f>
        <v>0</v>
      </c>
      <c r="U4" s="4" t="b">
        <f ca="1">OR(VALUE(CALC2223!AR3)&gt;VALUE(LASTV),VALUE(CALC2223!AT3)&gt;VALUE(LASTV),VALUE(CALC2223!AV3)&gt;VALUE(LASTV))</f>
        <v>0</v>
      </c>
      <c r="V4" s="1"/>
    </row>
    <row r="5" spans="1:22" ht="35.25" hidden="1" customHeight="1">
      <c r="A5" s="34"/>
      <c r="B5" s="35" t="s">
        <v>20</v>
      </c>
      <c r="C5" s="36">
        <v>45903</v>
      </c>
      <c r="D5" s="38" t="str">
        <f ca="1">CONCATENATE(CALC2223!A4," ",CALC2223!C4," ",CALC2223!E4)</f>
        <v xml:space="preserve">  </v>
      </c>
      <c r="E5" s="38" t="str">
        <f ca="1">CONCATENATE(CALC2223!G4," ",CALC2223!I4," ",CALC2223!K4)</f>
        <v xml:space="preserve">  </v>
      </c>
      <c r="F5" s="38" t="str">
        <f ca="1">CONCATENATE(CALC2223!M4," ",CALC2223!O4," ",CALC2223!Q4)</f>
        <v xml:space="preserve">  </v>
      </c>
      <c r="G5" s="38" t="str">
        <f ca="1">CONCATENATE(CALC2223!S4," ",CALC2223!U4," ",CALC2223!W4)</f>
        <v xml:space="preserve">  </v>
      </c>
      <c r="H5" s="38" t="str">
        <f ca="1">CONCATENATE(CALC2223!Y4," ",CALC2223!AA4," ",CALC2223!AC4)</f>
        <v xml:space="preserve">  </v>
      </c>
      <c r="I5" s="38" t="str">
        <f ca="1">CONCATENATE(CALC2223!AE4," ",CALC2223!AG4," ",CALC2223!AI4)</f>
        <v xml:space="preserve">  </v>
      </c>
      <c r="J5" s="38" t="str">
        <f ca="1">CONCATENATE(CALC2223!AK4," ",CALC2223!AM4," ",CALC2223!AO4)</f>
        <v xml:space="preserve">  </v>
      </c>
      <c r="K5" s="38" t="str">
        <f ca="1">CONCATENATE(CALC2223!AQ4," ",CALC2223!AS4," ",CALC2223!AU4," ",CALC2223!AW4)</f>
        <v xml:space="preserve">   </v>
      </c>
      <c r="L5" s="39" t="str">
        <f t="shared" ca="1" si="0"/>
        <v>verleden</v>
      </c>
      <c r="M5" s="1"/>
      <c r="N5" s="4" t="b">
        <f ca="1">OR(VALUE(CALC2223!B4)&gt;VALUE(LASTV),VALUE(CALC2223!D4)&gt;VALUE(LASTV),VALUE(CALC2223!F4)&gt;VALUE(LASTV))</f>
        <v>0</v>
      </c>
      <c r="O5" s="4" t="b">
        <f ca="1">OR(VALUE(CALC2223!H4)&gt;VALUE(LASTV),VALUE(CALC2223!J4)&gt;VALUE(LASTV),VALUE(CALC2223!L4)&gt;VALUE(LASTV))</f>
        <v>0</v>
      </c>
      <c r="P5" s="4" t="b">
        <f ca="1">OR(VALUE(CALC2223!N4)&gt;VALUE(LASTV),VALUE(CALC2223!P4)&gt;VALUE(LASTV),VALUE(CALC2223!R4)&gt;VALUE(LASTV))</f>
        <v>0</v>
      </c>
      <c r="Q5" s="4" t="b">
        <f ca="1">OR(VALUE(CALC2223!T4)&gt;VALUE(LASTV),VALUE(CALC2223!V4)&gt;VALUE(LASTV),VALUE(CALC2223!X4)&gt;VALUE(LASTV))</f>
        <v>0</v>
      </c>
      <c r="R5" s="4" t="b">
        <f ca="1">OR(VALUE(CALC2223!Z4)&gt;VALUE(LASTV),VALUE(CALC2223!AB4)&gt;VALUE(LASTV),VALUE(CALC2223!AD4)&gt;VALUE(LASTV))</f>
        <v>0</v>
      </c>
      <c r="S5" s="4" t="b">
        <f ca="1">OR(VALUE(CALC2223!AF4)&gt;VALUE(LASTV),VALUE(CALC2223!AH4)&gt;VALUE(LASTV),VALUE(CALC2223!AJ4)&gt;VALUE(LASTV))</f>
        <v>0</v>
      </c>
      <c r="T5" s="4" t="b">
        <f ca="1">OR(VALUE(CALC2223!AL4)&gt;VALUE(LASTV),VALUE(CALC2223!AN4)&gt;VALUE(LASTV),VALUE(CALC2223!AP4)&gt;VALUE(LASTV))</f>
        <v>0</v>
      </c>
      <c r="U5" s="4" t="b">
        <f ca="1">OR(VALUE(CALC2223!AR4)&gt;VALUE(LASTV),VALUE(CALC2223!AT4)&gt;VALUE(LASTV),VALUE(CALC2223!AV4)&gt;VALUE(LASTV))</f>
        <v>0</v>
      </c>
      <c r="V5" s="1"/>
    </row>
    <row r="6" spans="1:22" ht="35.25" hidden="1" customHeight="1">
      <c r="A6" s="34"/>
      <c r="B6" s="35" t="s">
        <v>21</v>
      </c>
      <c r="C6" s="36">
        <v>45904</v>
      </c>
      <c r="D6" s="38" t="str">
        <f ca="1">CONCATENATE(CALC2223!A5," ",CALC2223!C5," ",CALC2223!E5)</f>
        <v xml:space="preserve">  </v>
      </c>
      <c r="E6" s="38" t="str">
        <f ca="1">CONCATENATE(CALC2223!G5," ",CALC2223!I5," ",CALC2223!K5)</f>
        <v xml:space="preserve">  </v>
      </c>
      <c r="F6" s="38" t="str">
        <f ca="1">CONCATENATE(CALC2223!M5," ",CALC2223!O5," ",CALC2223!Q5)</f>
        <v xml:space="preserve">  </v>
      </c>
      <c r="G6" s="38" t="str">
        <f ca="1">CONCATENATE(CALC2223!S5," ",CALC2223!U5," ",CALC2223!W5)</f>
        <v xml:space="preserve">  </v>
      </c>
      <c r="H6" s="38" t="str">
        <f ca="1">CONCATENATE(CALC2223!Y5," ",CALC2223!AA5," ",CALC2223!AC5)</f>
        <v xml:space="preserve">  </v>
      </c>
      <c r="I6" s="38" t="str">
        <f ca="1">CONCATENATE(CALC2223!AE5," ",CALC2223!AG5," ",CALC2223!AI5)</f>
        <v xml:space="preserve">  </v>
      </c>
      <c r="J6" s="38" t="str">
        <f ca="1">CONCATENATE(CALC2223!AK5," ",CALC2223!AM5," ",CALC2223!AO5)</f>
        <v xml:space="preserve">secties#1  </v>
      </c>
      <c r="K6" s="38" t="str">
        <f ca="1">CONCATENATE(CALC2223!AQ5," ",CALC2223!AS5," ",CALC2223!AU5," ",CALC2223!AW5)</f>
        <v xml:space="preserve">ouderavond brugklas   </v>
      </c>
      <c r="L6" s="39" t="str">
        <f t="shared" ca="1" si="0"/>
        <v>verleden</v>
      </c>
      <c r="M6" s="1"/>
      <c r="N6" s="4" t="b">
        <f ca="1">OR(VALUE(CALC2223!B5)&gt;VALUE(LASTV),VALUE(CALC2223!D5)&gt;VALUE(LASTV),VALUE(CALC2223!F5)&gt;VALUE(LASTV))</f>
        <v>0</v>
      </c>
      <c r="O6" s="4" t="b">
        <f ca="1">OR(VALUE(CALC2223!H5)&gt;VALUE(LASTV),VALUE(CALC2223!J5)&gt;VALUE(LASTV),VALUE(CALC2223!L5)&gt;VALUE(LASTV))</f>
        <v>0</v>
      </c>
      <c r="P6" s="4" t="b">
        <f ca="1">OR(VALUE(CALC2223!N5)&gt;VALUE(LASTV),VALUE(CALC2223!P5)&gt;VALUE(LASTV),VALUE(CALC2223!R5)&gt;VALUE(LASTV))</f>
        <v>0</v>
      </c>
      <c r="Q6" s="4" t="b">
        <f ca="1">OR(VALUE(CALC2223!T5)&gt;VALUE(LASTV),VALUE(CALC2223!V5)&gt;VALUE(LASTV),VALUE(CALC2223!X5)&gt;VALUE(LASTV))</f>
        <v>0</v>
      </c>
      <c r="R6" s="4" t="b">
        <f ca="1">OR(VALUE(CALC2223!Z5)&gt;VALUE(LASTV),VALUE(CALC2223!AB5)&gt;VALUE(LASTV),VALUE(CALC2223!AD5)&gt;VALUE(LASTV))</f>
        <v>0</v>
      </c>
      <c r="S6" s="4" t="b">
        <f ca="1">OR(VALUE(CALC2223!AF5)&gt;VALUE(LASTV),VALUE(CALC2223!AH5)&gt;VALUE(LASTV),VALUE(CALC2223!AJ5)&gt;VALUE(LASTV))</f>
        <v>0</v>
      </c>
      <c r="T6" s="4" t="b">
        <f ca="1">OR(VALUE(CALC2223!AL5)&gt;VALUE(LASTV),VALUE(CALC2223!AN5)&gt;VALUE(LASTV),VALUE(CALC2223!AP5)&gt;VALUE(LASTV))</f>
        <v>0</v>
      </c>
      <c r="U6" s="4" t="b">
        <f ca="1">OR(VALUE(CALC2223!AR5)&gt;VALUE(LASTV),VALUE(CALC2223!AT5)&gt;VALUE(LASTV),VALUE(CALC2223!AV5)&gt;VALUE(LASTV))</f>
        <v>0</v>
      </c>
      <c r="V6" s="1"/>
    </row>
    <row r="7" spans="1:22" ht="35.25" hidden="1" customHeight="1">
      <c r="A7" s="40"/>
      <c r="B7" s="41" t="s">
        <v>22</v>
      </c>
      <c r="C7" s="42">
        <v>45905</v>
      </c>
      <c r="D7" s="43" t="str">
        <f ca="1">CONCATENATE(CALC2223!A6," ",CALC2223!C6," ",CALC2223!E6)</f>
        <v xml:space="preserve">  </v>
      </c>
      <c r="E7" s="43" t="str">
        <f ca="1">CONCATENATE(CALC2223!G6," ",CALC2223!I6," ",CALC2223!K6)</f>
        <v xml:space="preserve">  </v>
      </c>
      <c r="F7" s="43" t="str">
        <f ca="1">CONCATENATE(CALC2223!M6," ",CALC2223!O6," ",CALC2223!Q6)</f>
        <v xml:space="preserve">  </v>
      </c>
      <c r="G7" s="43" t="str">
        <f ca="1">CONCATENATE(CALC2223!S6," ",CALC2223!U6," ",CALC2223!W6)</f>
        <v xml:space="preserve">  </v>
      </c>
      <c r="H7" s="43" t="str">
        <f ca="1">CONCATENATE(CALC2223!Y6," ",CALC2223!AA6," ",CALC2223!AC6)</f>
        <v xml:space="preserve">  </v>
      </c>
      <c r="I7" s="43" t="str">
        <f ca="1">CONCATENATE(CALC2223!AE6," ",CALC2223!AG6," ",CALC2223!AI6)</f>
        <v xml:space="preserve">opgave herkansingen 17 uur  </v>
      </c>
      <c r="J7" s="43" t="str">
        <f ca="1">CONCATENATE(CALC2223!AK6," ",CALC2223!AM6," ",CALC2223!AO6)</f>
        <v xml:space="preserve">  </v>
      </c>
      <c r="K7" s="43" t="str">
        <f ca="1">CONCATENATE(CALC2223!AQ6," ",CALC2223!AS6," ",CALC2223!AU6," ",CALC2223!AW6)</f>
        <v xml:space="preserve">start lessen Lacadeia middag   </v>
      </c>
      <c r="L7" s="44" t="str">
        <f t="shared" ca="1" si="0"/>
        <v>verleden</v>
      </c>
      <c r="M7" s="1"/>
      <c r="N7" s="4" t="b">
        <f ca="1">OR(VALUE(CALC2223!B6)&gt;VALUE(LASTV),VALUE(CALC2223!D6)&gt;VALUE(LASTV),VALUE(CALC2223!F6)&gt;VALUE(LASTV))</f>
        <v>0</v>
      </c>
      <c r="O7" s="4" t="b">
        <f ca="1">OR(VALUE(CALC2223!H6)&gt;VALUE(LASTV),VALUE(CALC2223!J6)&gt;VALUE(LASTV),VALUE(CALC2223!L6)&gt;VALUE(LASTV))</f>
        <v>0</v>
      </c>
      <c r="P7" s="4" t="b">
        <f ca="1">OR(VALUE(CALC2223!N6)&gt;VALUE(LASTV),VALUE(CALC2223!P6)&gt;VALUE(LASTV),VALUE(CALC2223!R6)&gt;VALUE(LASTV))</f>
        <v>0</v>
      </c>
      <c r="Q7" s="4" t="b">
        <f ca="1">OR(VALUE(CALC2223!T6)&gt;VALUE(LASTV),VALUE(CALC2223!V6)&gt;VALUE(LASTV),VALUE(CALC2223!X6)&gt;VALUE(LASTV))</f>
        <v>0</v>
      </c>
      <c r="R7" s="4" t="b">
        <f ca="1">OR(VALUE(CALC2223!Z6)&gt;VALUE(LASTV),VALUE(CALC2223!AB6)&gt;VALUE(LASTV),VALUE(CALC2223!AD6)&gt;VALUE(LASTV))</f>
        <v>0</v>
      </c>
      <c r="S7" s="4" t="b">
        <f ca="1">OR(VALUE(CALC2223!AF6)&gt;VALUE(LASTV),VALUE(CALC2223!AH6)&gt;VALUE(LASTV),VALUE(CALC2223!AJ6)&gt;VALUE(LASTV))</f>
        <v>0</v>
      </c>
      <c r="T7" s="4" t="b">
        <f ca="1">OR(VALUE(CALC2223!AL6)&gt;VALUE(LASTV),VALUE(CALC2223!AN6)&gt;VALUE(LASTV),VALUE(CALC2223!AP6)&gt;VALUE(LASTV))</f>
        <v>0</v>
      </c>
      <c r="U7" s="4" t="b">
        <f ca="1">OR(VALUE(CALC2223!AR6)&gt;VALUE(LASTV),VALUE(CALC2223!AT6)&gt;VALUE(LASTV),VALUE(CALC2223!AV6)&gt;VALUE(LASTV))</f>
        <v>0</v>
      </c>
      <c r="V7" s="1"/>
    </row>
    <row r="8" spans="1:22" ht="35.25" hidden="1" customHeight="1">
      <c r="A8" s="45"/>
      <c r="B8" s="46" t="s">
        <v>23</v>
      </c>
      <c r="C8" s="47">
        <v>45906</v>
      </c>
      <c r="D8" s="48" t="str">
        <f ca="1">CONCATENATE(CALC2223!A7," ",CALC2223!C7," ",CALC2223!E7)</f>
        <v xml:space="preserve">  </v>
      </c>
      <c r="E8" s="48" t="str">
        <f ca="1">CONCATENATE(CALC2223!G7," ",CALC2223!I7," ",CALC2223!K7)</f>
        <v xml:space="preserve">  </v>
      </c>
      <c r="F8" s="48" t="str">
        <f ca="1">CONCATENATE(CALC2223!M7," ",CALC2223!O7," ",CALC2223!Q7)</f>
        <v xml:space="preserve">  </v>
      </c>
      <c r="G8" s="48" t="str">
        <f ca="1">CONCATENATE(CALC2223!S7," ",CALC2223!U7," ",CALC2223!W7)</f>
        <v xml:space="preserve">  </v>
      </c>
      <c r="H8" s="48" t="str">
        <f ca="1">CONCATENATE(CALC2223!Y7," ",CALC2223!AA7," ",CALC2223!AC7)</f>
        <v xml:space="preserve">  </v>
      </c>
      <c r="I8" s="48" t="str">
        <f ca="1">CONCATENATE(CALC2223!AE7," ",CALC2223!AG7," ",CALC2223!AI7)</f>
        <v xml:space="preserve">  </v>
      </c>
      <c r="J8" s="48" t="str">
        <f ca="1">CONCATENATE(CALC2223!AK7," ",CALC2223!AM7," ",CALC2223!AO7)</f>
        <v xml:space="preserve">  </v>
      </c>
      <c r="K8" s="48" t="str">
        <f ca="1">CONCATENATE(CALC2223!AQ7," ",CALC2223!AS7," ",CALC2223!AU7," ",CALC2223!AW7)</f>
        <v xml:space="preserve">   </v>
      </c>
      <c r="L8" s="49" t="str">
        <f t="shared" ca="1" si="0"/>
        <v>verleden</v>
      </c>
      <c r="M8" s="1"/>
      <c r="N8" s="4" t="b">
        <f ca="1">OR(VALUE(CALC2223!B7)&gt;VALUE(LASTV),VALUE(CALC2223!D7)&gt;VALUE(LASTV),VALUE(CALC2223!F7)&gt;VALUE(LASTV))</f>
        <v>0</v>
      </c>
      <c r="O8" s="4" t="b">
        <f ca="1">OR(VALUE(CALC2223!H7)&gt;VALUE(LASTV),VALUE(CALC2223!J7)&gt;VALUE(LASTV),VALUE(CALC2223!L7)&gt;VALUE(LASTV))</f>
        <v>0</v>
      </c>
      <c r="P8" s="4" t="b">
        <f ca="1">OR(VALUE(CALC2223!N7)&gt;VALUE(LASTV),VALUE(CALC2223!P7)&gt;VALUE(LASTV),VALUE(CALC2223!R7)&gt;VALUE(LASTV))</f>
        <v>0</v>
      </c>
      <c r="Q8" s="4" t="b">
        <f ca="1">OR(VALUE(CALC2223!T7)&gt;VALUE(LASTV),VALUE(CALC2223!V7)&gt;VALUE(LASTV),VALUE(CALC2223!X7)&gt;VALUE(LASTV))</f>
        <v>0</v>
      </c>
      <c r="R8" s="4" t="b">
        <f ca="1">OR(VALUE(CALC2223!Z7)&gt;VALUE(LASTV),VALUE(CALC2223!AB7)&gt;VALUE(LASTV),VALUE(CALC2223!AD7)&gt;VALUE(LASTV))</f>
        <v>0</v>
      </c>
      <c r="S8" s="4" t="b">
        <f ca="1">OR(VALUE(CALC2223!AF7)&gt;VALUE(LASTV),VALUE(CALC2223!AH7)&gt;VALUE(LASTV),VALUE(CALC2223!AJ7)&gt;VALUE(LASTV))</f>
        <v>0</v>
      </c>
      <c r="T8" s="4" t="b">
        <f ca="1">OR(VALUE(CALC2223!AL7)&gt;VALUE(LASTV),VALUE(CALC2223!AN7)&gt;VALUE(LASTV),VALUE(CALC2223!AP7)&gt;VALUE(LASTV))</f>
        <v>0</v>
      </c>
      <c r="U8" s="4" t="b">
        <f ca="1">OR(VALUE(CALC2223!AR7)&gt;VALUE(LASTV),VALUE(CALC2223!AT7)&gt;VALUE(LASTV),VALUE(CALC2223!AV7)&gt;VALUE(LASTV))</f>
        <v>0</v>
      </c>
      <c r="V8" s="1"/>
    </row>
    <row r="9" spans="1:22" ht="35.25" hidden="1" customHeight="1">
      <c r="A9" s="45"/>
      <c r="B9" s="46" t="s">
        <v>24</v>
      </c>
      <c r="C9" s="47">
        <v>45907</v>
      </c>
      <c r="D9" s="48" t="str">
        <f ca="1">CONCATENATE(CALC2223!A8," ",CALC2223!C8," ",CALC2223!E8)</f>
        <v xml:space="preserve">  </v>
      </c>
      <c r="E9" s="48" t="str">
        <f ca="1">CONCATENATE(CALC2223!G8," ",CALC2223!I8," ",CALC2223!K8)</f>
        <v xml:space="preserve">  </v>
      </c>
      <c r="F9" s="48" t="str">
        <f ca="1">CONCATENATE(CALC2223!M8," ",CALC2223!O8," ",CALC2223!Q8)</f>
        <v xml:space="preserve">  </v>
      </c>
      <c r="G9" s="48" t="str">
        <f ca="1">CONCATENATE(CALC2223!S8," ",CALC2223!U8," ",CALC2223!W8)</f>
        <v xml:space="preserve">  </v>
      </c>
      <c r="H9" s="48" t="str">
        <f ca="1">CONCATENATE(CALC2223!Y8," ",CALC2223!AA8," ",CALC2223!AC8)</f>
        <v xml:space="preserve">  </v>
      </c>
      <c r="I9" s="48" t="str">
        <f ca="1">CONCATENATE(CALC2223!AE8," ",CALC2223!AG8," ",CALC2223!AI8)</f>
        <v xml:space="preserve">  </v>
      </c>
      <c r="J9" s="48" t="str">
        <f ca="1">CONCATENATE(CALC2223!AK8," ",CALC2223!AM8," ",CALC2223!AO8)</f>
        <v xml:space="preserve">  </v>
      </c>
      <c r="K9" s="48" t="str">
        <f ca="1">CONCATENATE(CALC2223!AQ8," ",CALC2223!AS8," ",CALC2223!AU8," ",CALC2223!AW8)</f>
        <v xml:space="preserve">   </v>
      </c>
      <c r="L9" s="49" t="str">
        <f t="shared" ca="1" si="0"/>
        <v>verleden</v>
      </c>
      <c r="M9" s="1"/>
      <c r="N9" s="4" t="b">
        <f ca="1">OR(VALUE(CALC2223!B8)&gt;VALUE(LASTV),VALUE(CALC2223!D8)&gt;VALUE(LASTV),VALUE(CALC2223!F8)&gt;VALUE(LASTV))</f>
        <v>0</v>
      </c>
      <c r="O9" s="4" t="b">
        <f ca="1">OR(VALUE(CALC2223!H8)&gt;VALUE(LASTV),VALUE(CALC2223!J8)&gt;VALUE(LASTV),VALUE(CALC2223!L8)&gt;VALUE(LASTV))</f>
        <v>0</v>
      </c>
      <c r="P9" s="4" t="b">
        <f ca="1">OR(VALUE(CALC2223!N8)&gt;VALUE(LASTV),VALUE(CALC2223!P8)&gt;VALUE(LASTV),VALUE(CALC2223!R8)&gt;VALUE(LASTV))</f>
        <v>0</v>
      </c>
      <c r="Q9" s="4" t="b">
        <f ca="1">OR(VALUE(CALC2223!T8)&gt;VALUE(LASTV),VALUE(CALC2223!V8)&gt;VALUE(LASTV),VALUE(CALC2223!X8)&gt;VALUE(LASTV))</f>
        <v>0</v>
      </c>
      <c r="R9" s="4" t="b">
        <f ca="1">OR(VALUE(CALC2223!Z8)&gt;VALUE(LASTV),VALUE(CALC2223!AB8)&gt;VALUE(LASTV),VALUE(CALC2223!AD8)&gt;VALUE(LASTV))</f>
        <v>0</v>
      </c>
      <c r="S9" s="4" t="b">
        <f ca="1">OR(VALUE(CALC2223!AF8)&gt;VALUE(LASTV),VALUE(CALC2223!AH8)&gt;VALUE(LASTV),VALUE(CALC2223!AJ8)&gt;VALUE(LASTV))</f>
        <v>0</v>
      </c>
      <c r="T9" s="4" t="b">
        <f ca="1">OR(VALUE(CALC2223!AL8)&gt;VALUE(LASTV),VALUE(CALC2223!AN8)&gt;VALUE(LASTV),VALUE(CALC2223!AP8)&gt;VALUE(LASTV))</f>
        <v>0</v>
      </c>
      <c r="U9" s="4" t="b">
        <f ca="1">OR(VALUE(CALC2223!AR8)&gt;VALUE(LASTV),VALUE(CALC2223!AT8)&gt;VALUE(LASTV),VALUE(CALC2223!AV8)&gt;VALUE(LASTV))</f>
        <v>0</v>
      </c>
      <c r="V9" s="1"/>
    </row>
    <row r="10" spans="1:22" ht="35.25" hidden="1" customHeight="1">
      <c r="A10" s="50">
        <v>37</v>
      </c>
      <c r="B10" s="41" t="s">
        <v>18</v>
      </c>
      <c r="C10" s="42">
        <v>45908</v>
      </c>
      <c r="D10" s="51" t="str">
        <f ca="1">CONCATENATE(CALC2223!A9," ",CALC2223!C9," ",CALC2223!E9)</f>
        <v xml:space="preserve">  </v>
      </c>
      <c r="E10" s="51" t="str">
        <f ca="1">CONCATENATE(CALC2223!G9," ",CALC2223!I9," ",CALC2223!K9)</f>
        <v xml:space="preserve">  </v>
      </c>
      <c r="F10" s="51" t="str">
        <f ca="1">CONCATENATE(CALC2223!M9," ",CALC2223!O9," ",CALC2223!Q9)</f>
        <v xml:space="preserve">  </v>
      </c>
      <c r="G10" s="51" t="str">
        <f ca="1">CONCATENATE(CALC2223!S9," ",CALC2223!U9," ",CALC2223!W9)</f>
        <v xml:space="preserve">  </v>
      </c>
      <c r="H10" s="51" t="str">
        <f ca="1">CONCATENATE(CALC2223!Y9," ",CALC2223!AA9," ",CALC2223!AC9)</f>
        <v xml:space="preserve">  </v>
      </c>
      <c r="I10" s="51" t="str">
        <f ca="1">CONCATENATE(CALC2223!AE9," ",CALC2223!AG9," ",CALC2223!AI9)</f>
        <v xml:space="preserve">  </v>
      </c>
      <c r="J10" s="51" t="str">
        <f ca="1">CONCATENATE(CALC2223!AK9," ",CALC2223!AM9," ",CALC2223!AO9)</f>
        <v xml:space="preserve">  </v>
      </c>
      <c r="K10" s="51" t="str">
        <f ca="1">CONCATENATE(CALC2223!AQ9," ",CALC2223!AS9," ",CALC2223!AU9," ",CALC2223!AW9)</f>
        <v xml:space="preserve">   </v>
      </c>
      <c r="L10" s="52" t="str">
        <f t="shared" ca="1" si="0"/>
        <v>verleden</v>
      </c>
      <c r="M10" s="1"/>
      <c r="N10" s="4" t="b">
        <f ca="1">OR(VALUE(CALC2223!B9)&gt;VALUE(LASTV),VALUE(CALC2223!D9)&gt;VALUE(LASTV),VALUE(CALC2223!F9)&gt;VALUE(LASTV))</f>
        <v>0</v>
      </c>
      <c r="O10" s="4" t="b">
        <f ca="1">OR(VALUE(CALC2223!H9)&gt;VALUE(LASTV),VALUE(CALC2223!J9)&gt;VALUE(LASTV),VALUE(CALC2223!L9)&gt;VALUE(LASTV))</f>
        <v>0</v>
      </c>
      <c r="P10" s="4" t="b">
        <f ca="1">OR(VALUE(CALC2223!N9)&gt;VALUE(LASTV),VALUE(CALC2223!P9)&gt;VALUE(LASTV),VALUE(CALC2223!R9)&gt;VALUE(LASTV))</f>
        <v>0</v>
      </c>
      <c r="Q10" s="4" t="b">
        <f ca="1">OR(VALUE(CALC2223!T9)&gt;VALUE(LASTV),VALUE(CALC2223!V9)&gt;VALUE(LASTV),VALUE(CALC2223!X9)&gt;VALUE(LASTV))</f>
        <v>0</v>
      </c>
      <c r="R10" s="4" t="b">
        <f ca="1">OR(VALUE(CALC2223!Z9)&gt;VALUE(LASTV),VALUE(CALC2223!AB9)&gt;VALUE(LASTV),VALUE(CALC2223!AD9)&gt;VALUE(LASTV))</f>
        <v>0</v>
      </c>
      <c r="S10" s="4" t="b">
        <f ca="1">OR(VALUE(CALC2223!AF9)&gt;VALUE(LASTV),VALUE(CALC2223!AH9)&gt;VALUE(LASTV),VALUE(CALC2223!AJ9)&gt;VALUE(LASTV))</f>
        <v>0</v>
      </c>
      <c r="T10" s="4" t="b">
        <f ca="1">OR(VALUE(CALC2223!AL9)&gt;VALUE(LASTV),VALUE(CALC2223!AN9)&gt;VALUE(LASTV),VALUE(CALC2223!AP9)&gt;VALUE(LASTV))</f>
        <v>0</v>
      </c>
      <c r="U10" s="4" t="b">
        <f ca="1">OR(VALUE(CALC2223!AR9)&gt;VALUE(LASTV),VALUE(CALC2223!AT9)&gt;VALUE(LASTV),VALUE(CALC2223!AV9)&gt;VALUE(LASTV))</f>
        <v>0</v>
      </c>
      <c r="V10" s="1"/>
    </row>
    <row r="11" spans="1:22" ht="35.25" hidden="1" customHeight="1">
      <c r="A11" s="40"/>
      <c r="B11" s="41" t="s">
        <v>19</v>
      </c>
      <c r="C11" s="42">
        <v>45909</v>
      </c>
      <c r="D11" s="51" t="str">
        <f ca="1">CONCATENATE(CALC2223!A10," ",CALC2223!C10," ",CALC2223!E10)</f>
        <v xml:space="preserve">  </v>
      </c>
      <c r="E11" s="51" t="str">
        <f ca="1">CONCATENATE(CALC2223!G10," ",CALC2223!I10," ",CALC2223!K10)</f>
        <v xml:space="preserve">  </v>
      </c>
      <c r="F11" s="51" t="str">
        <f ca="1">CONCATENATE(CALC2223!M10," ",CALC2223!O10," ",CALC2223!Q10)</f>
        <v xml:space="preserve">  </v>
      </c>
      <c r="G11" s="51" t="str">
        <f ca="1">CONCATENATE(CALC2223!S10," ",CALC2223!U10," ",CALC2223!W10)</f>
        <v xml:space="preserve">  </v>
      </c>
      <c r="H11" s="51" t="str">
        <f ca="1">CONCATENATE(CALC2223!Y10," ",CALC2223!AA10," ",CALC2223!AC10)</f>
        <v xml:space="preserve">  </v>
      </c>
      <c r="I11" s="51" t="str">
        <f ca="1">CONCATENATE(CALC2223!AE10," ",CALC2223!AG10," ",CALC2223!AI10)</f>
        <v xml:space="preserve">  </v>
      </c>
      <c r="J11" s="51" t="str">
        <f ca="1">CONCATENATE(CALC2223!AK10," ",CALC2223!AM10," ",CALC2223!AO10)</f>
        <v xml:space="preserve">  </v>
      </c>
      <c r="K11" s="51" t="str">
        <f ca="1">CONCATENATE(CALC2223!AQ10," ",CALC2223!AS10," ",CALC2223!AU10," ",CALC2223!AW10)</f>
        <v xml:space="preserve">   </v>
      </c>
      <c r="L11" s="52" t="str">
        <f t="shared" ca="1" si="0"/>
        <v>verleden</v>
      </c>
      <c r="M11" s="1"/>
      <c r="N11" s="4" t="b">
        <f ca="1">OR(VALUE(CALC2223!B10)&gt;VALUE(LASTV),VALUE(CALC2223!D10)&gt;VALUE(LASTV),VALUE(CALC2223!F10)&gt;VALUE(LASTV))</f>
        <v>0</v>
      </c>
      <c r="O11" s="4" t="b">
        <f ca="1">OR(VALUE(CALC2223!H10)&gt;VALUE(LASTV),VALUE(CALC2223!J10)&gt;VALUE(LASTV),VALUE(CALC2223!L10)&gt;VALUE(LASTV))</f>
        <v>0</v>
      </c>
      <c r="P11" s="4" t="b">
        <f ca="1">OR(VALUE(CALC2223!N10)&gt;VALUE(LASTV),VALUE(CALC2223!P10)&gt;VALUE(LASTV),VALUE(CALC2223!R10)&gt;VALUE(LASTV))</f>
        <v>0</v>
      </c>
      <c r="Q11" s="4" t="b">
        <f ca="1">OR(VALUE(CALC2223!T10)&gt;VALUE(LASTV),VALUE(CALC2223!V10)&gt;VALUE(LASTV),VALUE(CALC2223!X10)&gt;VALUE(LASTV))</f>
        <v>0</v>
      </c>
      <c r="R11" s="4" t="b">
        <f ca="1">OR(VALUE(CALC2223!Z10)&gt;VALUE(LASTV),VALUE(CALC2223!AB10)&gt;VALUE(LASTV),VALUE(CALC2223!AD10)&gt;VALUE(LASTV))</f>
        <v>0</v>
      </c>
      <c r="S11" s="4" t="b">
        <f ca="1">OR(VALUE(CALC2223!AF10)&gt;VALUE(LASTV),VALUE(CALC2223!AH10)&gt;VALUE(LASTV),VALUE(CALC2223!AJ10)&gt;VALUE(LASTV))</f>
        <v>0</v>
      </c>
      <c r="T11" s="4" t="b">
        <f ca="1">OR(VALUE(CALC2223!AL10)&gt;VALUE(LASTV),VALUE(CALC2223!AN10)&gt;VALUE(LASTV),VALUE(CALC2223!AP10)&gt;VALUE(LASTV))</f>
        <v>0</v>
      </c>
      <c r="U11" s="4" t="b">
        <f ca="1">OR(VALUE(CALC2223!AR10)&gt;VALUE(LASTV),VALUE(CALC2223!AT10)&gt;VALUE(LASTV),VALUE(CALC2223!AV10)&gt;VALUE(LASTV))</f>
        <v>0</v>
      </c>
      <c r="V11" s="1"/>
    </row>
    <row r="12" spans="1:22" ht="35.25" hidden="1" customHeight="1">
      <c r="A12" s="40"/>
      <c r="B12" s="41" t="s">
        <v>20</v>
      </c>
      <c r="C12" s="42">
        <v>45910</v>
      </c>
      <c r="D12" s="51" t="str">
        <f ca="1">CONCATENATE(CALC2223!A11," ",CALC2223!C11," ",CALC2223!E11)</f>
        <v xml:space="preserve">  </v>
      </c>
      <c r="E12" s="51" t="str">
        <f ca="1">CONCATENATE(CALC2223!G11," ",CALC2223!I11," ",CALC2223!K11)</f>
        <v xml:space="preserve">  </v>
      </c>
      <c r="F12" s="51" t="str">
        <f ca="1">CONCATENATE(CALC2223!M11," ",CALC2223!O11," ",CALC2223!Q11)</f>
        <v xml:space="preserve">  </v>
      </c>
      <c r="G12" s="51" t="str">
        <f ca="1">CONCATENATE(CALC2223!S11," ",CALC2223!U11," ",CALC2223!W11)</f>
        <v xml:space="preserve">  </v>
      </c>
      <c r="H12" s="51" t="str">
        <f ca="1">CONCATENATE(CALC2223!Y11," ",CALC2223!AA11," ",CALC2223!AC11)</f>
        <v xml:space="preserve">  </v>
      </c>
      <c r="I12" s="51" t="str">
        <f ca="1">CONCATENATE(CALC2223!AE11," ",CALC2223!AG11," ",CALC2223!AI11)</f>
        <v xml:space="preserve">  </v>
      </c>
      <c r="J12" s="51" t="str">
        <f ca="1">CONCATENATE(CALC2223!AK11," ",CALC2223!AM11," ",CALC2223!AO11)</f>
        <v xml:space="preserve">  </v>
      </c>
      <c r="K12" s="51" t="str">
        <f ca="1">CONCATENATE(CALC2223!AQ11," ",CALC2223!AS11," ",CALC2223!AU11," ",CALC2223!AW11)</f>
        <v xml:space="preserve">   </v>
      </c>
      <c r="L12" s="52" t="str">
        <f t="shared" ca="1" si="0"/>
        <v>verleden</v>
      </c>
      <c r="M12" s="1"/>
      <c r="N12" s="4" t="b">
        <f ca="1">OR(VALUE(CALC2223!B11)&gt;VALUE(LASTV),VALUE(CALC2223!D11)&gt;VALUE(LASTV),VALUE(CALC2223!F11)&gt;VALUE(LASTV))</f>
        <v>0</v>
      </c>
      <c r="O12" s="4" t="b">
        <f ca="1">OR(VALUE(CALC2223!H11)&gt;VALUE(LASTV),VALUE(CALC2223!J11)&gt;VALUE(LASTV),VALUE(CALC2223!L11)&gt;VALUE(LASTV))</f>
        <v>0</v>
      </c>
      <c r="P12" s="4" t="b">
        <f ca="1">OR(VALUE(CALC2223!N11)&gt;VALUE(LASTV),VALUE(CALC2223!P11)&gt;VALUE(LASTV),VALUE(CALC2223!R11)&gt;VALUE(LASTV))</f>
        <v>0</v>
      </c>
      <c r="Q12" s="4" t="b">
        <f ca="1">OR(VALUE(CALC2223!T11)&gt;VALUE(LASTV),VALUE(CALC2223!V11)&gt;VALUE(LASTV),VALUE(CALC2223!X11)&gt;VALUE(LASTV))</f>
        <v>0</v>
      </c>
      <c r="R12" s="4" t="b">
        <f ca="1">OR(VALUE(CALC2223!Z11)&gt;VALUE(LASTV),VALUE(CALC2223!AB11)&gt;VALUE(LASTV),VALUE(CALC2223!AD11)&gt;VALUE(LASTV))</f>
        <v>0</v>
      </c>
      <c r="S12" s="4" t="b">
        <f ca="1">OR(VALUE(CALC2223!AF11)&gt;VALUE(LASTV),VALUE(CALC2223!AH11)&gt;VALUE(LASTV),VALUE(CALC2223!AJ11)&gt;VALUE(LASTV))</f>
        <v>0</v>
      </c>
      <c r="T12" s="4" t="b">
        <f ca="1">OR(VALUE(CALC2223!AL11)&gt;VALUE(LASTV),VALUE(CALC2223!AN11)&gt;VALUE(LASTV),VALUE(CALC2223!AP11)&gt;VALUE(LASTV))</f>
        <v>0</v>
      </c>
      <c r="U12" s="4" t="b">
        <f ca="1">OR(VALUE(CALC2223!AR11)&gt;VALUE(LASTV),VALUE(CALC2223!AT11)&gt;VALUE(LASTV),VALUE(CALC2223!AV11)&gt;VALUE(LASTV))</f>
        <v>0</v>
      </c>
      <c r="V12" s="1"/>
    </row>
    <row r="13" spans="1:22" ht="35.25" hidden="1" customHeight="1">
      <c r="A13" s="40"/>
      <c r="B13" s="41" t="s">
        <v>21</v>
      </c>
      <c r="C13" s="42">
        <v>45911</v>
      </c>
      <c r="D13" s="51" t="str">
        <f ca="1">CONCATENATE(CALC2223!A12," ",CALC2223!C12," ",CALC2223!E12)</f>
        <v xml:space="preserve">  </v>
      </c>
      <c r="E13" s="51" t="str">
        <f ca="1">CONCATENATE(CALC2223!G12," ",CALC2223!I12," ",CALC2223!K12)</f>
        <v xml:space="preserve">  </v>
      </c>
      <c r="F13" s="51" t="str">
        <f ca="1">CONCATENATE(CALC2223!M12," ",CALC2223!O12," ",CALC2223!Q12)</f>
        <v xml:space="preserve">  </v>
      </c>
      <c r="G13" s="51" t="str">
        <f ca="1">CONCATENATE(CALC2223!S12," ",CALC2223!U12," ",CALC2223!W12)</f>
        <v xml:space="preserve">  </v>
      </c>
      <c r="H13" s="51" t="str">
        <f ca="1">CONCATENATE(CALC2223!Y12," ",CALC2223!AA12," ",CALC2223!AC12)</f>
        <v xml:space="preserve">  </v>
      </c>
      <c r="I13" s="51" t="str">
        <f ca="1">CONCATENATE(CALC2223!AE12," ",CALC2223!AG12," ",CALC2223!AI12)</f>
        <v xml:space="preserve">  </v>
      </c>
      <c r="J13" s="51" t="str">
        <f ca="1">CONCATENATE(CALC2223!AK12," ",CALC2223!AM12," ",CALC2223!AO12)</f>
        <v xml:space="preserve">mentoren#1/ Claudia Visser over signaleren HB leerlingen  </v>
      </c>
      <c r="K13" s="51" t="str">
        <f ca="1">CONCATENATE(CALC2223!AQ12," ",CALC2223!AS12," ",CALC2223!AU12," ",CALC2223!AW12)</f>
        <v xml:space="preserve">   </v>
      </c>
      <c r="L13" s="52" t="str">
        <f t="shared" ca="1" si="0"/>
        <v>verleden</v>
      </c>
      <c r="M13" s="1"/>
      <c r="N13" s="4" t="b">
        <f ca="1">OR(VALUE(CALC2223!B12)&gt;VALUE(LASTV),VALUE(CALC2223!D12)&gt;VALUE(LASTV),VALUE(CALC2223!F12)&gt;VALUE(LASTV))</f>
        <v>0</v>
      </c>
      <c r="O13" s="4" t="b">
        <f ca="1">OR(VALUE(CALC2223!H12)&gt;VALUE(LASTV),VALUE(CALC2223!J12)&gt;VALUE(LASTV),VALUE(CALC2223!L12)&gt;VALUE(LASTV))</f>
        <v>0</v>
      </c>
      <c r="P13" s="4" t="b">
        <f ca="1">OR(VALUE(CALC2223!N12)&gt;VALUE(LASTV),VALUE(CALC2223!P12)&gt;VALUE(LASTV),VALUE(CALC2223!R12)&gt;VALUE(LASTV))</f>
        <v>0</v>
      </c>
      <c r="Q13" s="4" t="b">
        <f ca="1">OR(VALUE(CALC2223!T12)&gt;VALUE(LASTV),VALUE(CALC2223!V12)&gt;VALUE(LASTV),VALUE(CALC2223!X12)&gt;VALUE(LASTV))</f>
        <v>0</v>
      </c>
      <c r="R13" s="4" t="b">
        <f ca="1">OR(VALUE(CALC2223!Z12)&gt;VALUE(LASTV),VALUE(CALC2223!AB12)&gt;VALUE(LASTV),VALUE(CALC2223!AD12)&gt;VALUE(LASTV))</f>
        <v>0</v>
      </c>
      <c r="S13" s="4" t="b">
        <f ca="1">OR(VALUE(CALC2223!AF12)&gt;VALUE(LASTV),VALUE(CALC2223!AH12)&gt;VALUE(LASTV),VALUE(CALC2223!AJ12)&gt;VALUE(LASTV))</f>
        <v>0</v>
      </c>
      <c r="T13" s="4" t="b">
        <f ca="1">OR(VALUE(CALC2223!AL12)&gt;VALUE(LASTV),VALUE(CALC2223!AN12)&gt;VALUE(LASTV),VALUE(CALC2223!AP12)&gt;VALUE(LASTV))</f>
        <v>0</v>
      </c>
      <c r="U13" s="4" t="b">
        <f ca="1">OR(VALUE(CALC2223!AR12)&gt;VALUE(LASTV),VALUE(CALC2223!AT12)&gt;VALUE(LASTV),VALUE(CALC2223!AV12)&gt;VALUE(LASTV))</f>
        <v>0</v>
      </c>
      <c r="V13" s="1"/>
    </row>
    <row r="14" spans="1:22" ht="35.25" hidden="1" customHeight="1">
      <c r="A14" s="40"/>
      <c r="B14" s="41" t="s">
        <v>22</v>
      </c>
      <c r="C14" s="42">
        <v>45912</v>
      </c>
      <c r="D14" s="51" t="str">
        <f ca="1">CONCATENATE(CALC2223!A13," ",CALC2223!C13," ",CALC2223!E13)</f>
        <v xml:space="preserve">  </v>
      </c>
      <c r="E14" s="51" t="str">
        <f ca="1">CONCATENATE(CALC2223!G13," ",CALC2223!I13," ",CALC2223!K13)</f>
        <v xml:space="preserve">  </v>
      </c>
      <c r="F14" s="51" t="str">
        <f ca="1">CONCATENATE(CALC2223!M13," ",CALC2223!O13," ",CALC2223!Q13)</f>
        <v xml:space="preserve">  </v>
      </c>
      <c r="G14" s="51" t="str">
        <f ca="1">CONCATENATE(CALC2223!S13," ",CALC2223!U13," ",CALC2223!W13)</f>
        <v xml:space="preserve">  </v>
      </c>
      <c r="H14" s="51" t="str">
        <f ca="1">CONCATENATE(CALC2223!Y13," ",CALC2223!AA13," ",CALC2223!AC13)</f>
        <v xml:space="preserve">opgave herkansing ANW  </v>
      </c>
      <c r="I14" s="51" t="str">
        <f ca="1">CONCATENATE(CALC2223!AE13," ",CALC2223!AG13," ",CALC2223!AI13)</f>
        <v xml:space="preserve">herkansen (geen les)  </v>
      </c>
      <c r="J14" s="51" t="str">
        <f ca="1">CONCATENATE(CALC2223!AK13," ",CALC2223!AM13," ",CALC2223!AO13)</f>
        <v xml:space="preserve">  </v>
      </c>
      <c r="K14" s="51" t="str">
        <f ca="1">CONCATENATE(CALC2223!AQ13," ",CALC2223!AS13," ",CALC2223!AU13," ",CALC2223!AW13)</f>
        <v xml:space="preserve">   </v>
      </c>
      <c r="L14" s="52" t="str">
        <f t="shared" ca="1" si="0"/>
        <v>verleden</v>
      </c>
      <c r="M14" s="1"/>
      <c r="N14" s="4" t="b">
        <f ca="1">OR(VALUE(CALC2223!B13)&gt;VALUE(LASTV),VALUE(CALC2223!D13)&gt;VALUE(LASTV),VALUE(CALC2223!F13)&gt;VALUE(LASTV))</f>
        <v>0</v>
      </c>
      <c r="O14" s="4" t="b">
        <f ca="1">OR(VALUE(CALC2223!H13)&gt;VALUE(LASTV),VALUE(CALC2223!J13)&gt;VALUE(LASTV),VALUE(CALC2223!L13)&gt;VALUE(LASTV))</f>
        <v>0</v>
      </c>
      <c r="P14" s="4" t="b">
        <f ca="1">OR(VALUE(CALC2223!N13)&gt;VALUE(LASTV),VALUE(CALC2223!P13)&gt;VALUE(LASTV),VALUE(CALC2223!R13)&gt;VALUE(LASTV))</f>
        <v>0</v>
      </c>
      <c r="Q14" s="4" t="b">
        <f ca="1">OR(VALUE(CALC2223!T13)&gt;VALUE(LASTV),VALUE(CALC2223!V13)&gt;VALUE(LASTV),VALUE(CALC2223!X13)&gt;VALUE(LASTV))</f>
        <v>0</v>
      </c>
      <c r="R14" s="4" t="b">
        <f ca="1">OR(VALUE(CALC2223!Z13)&gt;VALUE(LASTV),VALUE(CALC2223!AB13)&gt;VALUE(LASTV),VALUE(CALC2223!AD13)&gt;VALUE(LASTV))</f>
        <v>0</v>
      </c>
      <c r="S14" s="4" t="b">
        <f ca="1">OR(VALUE(CALC2223!AF13)&gt;VALUE(LASTV),VALUE(CALC2223!AH13)&gt;VALUE(LASTV),VALUE(CALC2223!AJ13)&gt;VALUE(LASTV))</f>
        <v>0</v>
      </c>
      <c r="T14" s="4" t="b">
        <f ca="1">OR(VALUE(CALC2223!AL13)&gt;VALUE(LASTV),VALUE(CALC2223!AN13)&gt;VALUE(LASTV),VALUE(CALC2223!AP13)&gt;VALUE(LASTV))</f>
        <v>0</v>
      </c>
      <c r="U14" s="4" t="b">
        <f ca="1">OR(VALUE(CALC2223!AR13)&gt;VALUE(LASTV),VALUE(CALC2223!AT13)&gt;VALUE(LASTV),VALUE(CALC2223!AV13)&gt;VALUE(LASTV))</f>
        <v>0</v>
      </c>
      <c r="V14" s="1"/>
    </row>
    <row r="15" spans="1:22" ht="35.25" hidden="1" customHeight="1">
      <c r="A15" s="45"/>
      <c r="B15" s="46" t="s">
        <v>23</v>
      </c>
      <c r="C15" s="47">
        <v>45913</v>
      </c>
      <c r="D15" s="48" t="str">
        <f ca="1">CONCATENATE(CALC2223!A14," ",CALC2223!C14," ",CALC2223!E14)</f>
        <v xml:space="preserve">  </v>
      </c>
      <c r="E15" s="48" t="str">
        <f ca="1">CONCATENATE(CALC2223!G14," ",CALC2223!I14," ",CALC2223!K14)</f>
        <v xml:space="preserve">  </v>
      </c>
      <c r="F15" s="48" t="str">
        <f ca="1">CONCATENATE(CALC2223!M14," ",CALC2223!O14," ",CALC2223!Q14)</f>
        <v xml:space="preserve">  </v>
      </c>
      <c r="G15" s="48" t="str">
        <f ca="1">CONCATENATE(CALC2223!S14," ",CALC2223!U14," ",CALC2223!W14)</f>
        <v xml:space="preserve">  </v>
      </c>
      <c r="H15" s="48" t="str">
        <f ca="1">CONCATENATE(CALC2223!Y14," ",CALC2223!AA14," ",CALC2223!AC14)</f>
        <v xml:space="preserve">  </v>
      </c>
      <c r="I15" s="48" t="str">
        <f ca="1">CONCATENATE(CALC2223!AE14," ",CALC2223!AG14," ",CALC2223!AI14)</f>
        <v xml:space="preserve">  </v>
      </c>
      <c r="J15" s="48" t="str">
        <f ca="1">CONCATENATE(CALC2223!AK14," ",CALC2223!AM14," ",CALC2223!AO14)</f>
        <v xml:space="preserve">  </v>
      </c>
      <c r="K15" s="48" t="str">
        <f ca="1">CONCATENATE(CALC2223!AQ14," ",CALC2223!AS14," ",CALC2223!AU14," ",CALC2223!AW14)</f>
        <v xml:space="preserve">   </v>
      </c>
      <c r="L15" s="49" t="str">
        <f t="shared" ca="1" si="0"/>
        <v>verleden</v>
      </c>
      <c r="M15" s="1"/>
      <c r="N15" s="4" t="b">
        <f ca="1">OR(VALUE(CALC2223!B14)&gt;VALUE(LASTV),VALUE(CALC2223!D14)&gt;VALUE(LASTV),VALUE(CALC2223!F14)&gt;VALUE(LASTV))</f>
        <v>0</v>
      </c>
      <c r="O15" s="4" t="b">
        <f ca="1">OR(VALUE(CALC2223!H14)&gt;VALUE(LASTV),VALUE(CALC2223!J14)&gt;VALUE(LASTV),VALUE(CALC2223!L14)&gt;VALUE(LASTV))</f>
        <v>0</v>
      </c>
      <c r="P15" s="4" t="b">
        <f ca="1">OR(VALUE(CALC2223!N14)&gt;VALUE(LASTV),VALUE(CALC2223!P14)&gt;VALUE(LASTV),VALUE(CALC2223!R14)&gt;VALUE(LASTV))</f>
        <v>0</v>
      </c>
      <c r="Q15" s="4" t="b">
        <f ca="1">OR(VALUE(CALC2223!T14)&gt;VALUE(LASTV),VALUE(CALC2223!V14)&gt;VALUE(LASTV),VALUE(CALC2223!X14)&gt;VALUE(LASTV))</f>
        <v>0</v>
      </c>
      <c r="R15" s="4" t="b">
        <f ca="1">OR(VALUE(CALC2223!Z14)&gt;VALUE(LASTV),VALUE(CALC2223!AB14)&gt;VALUE(LASTV),VALUE(CALC2223!AD14)&gt;VALUE(LASTV))</f>
        <v>0</v>
      </c>
      <c r="S15" s="4" t="b">
        <f ca="1">OR(VALUE(CALC2223!AF14)&gt;VALUE(LASTV),VALUE(CALC2223!AH14)&gt;VALUE(LASTV),VALUE(CALC2223!AJ14)&gt;VALUE(LASTV))</f>
        <v>0</v>
      </c>
      <c r="T15" s="4" t="b">
        <f ca="1">OR(VALUE(CALC2223!AL14)&gt;VALUE(LASTV),VALUE(CALC2223!AN14)&gt;VALUE(LASTV),VALUE(CALC2223!AP14)&gt;VALUE(LASTV))</f>
        <v>0</v>
      </c>
      <c r="U15" s="4" t="b">
        <f ca="1">OR(VALUE(CALC2223!AR14)&gt;VALUE(LASTV),VALUE(CALC2223!AT14)&gt;VALUE(LASTV),VALUE(CALC2223!AV14)&gt;VALUE(LASTV))</f>
        <v>0</v>
      </c>
      <c r="V15" s="1"/>
    </row>
    <row r="16" spans="1:22" ht="35.25" hidden="1" customHeight="1">
      <c r="A16" s="45"/>
      <c r="B16" s="46" t="s">
        <v>24</v>
      </c>
      <c r="C16" s="47">
        <v>45914</v>
      </c>
      <c r="D16" s="48" t="str">
        <f ca="1">CONCATENATE(CALC2223!A15," ",CALC2223!C15," ",CALC2223!E15)</f>
        <v xml:space="preserve">  </v>
      </c>
      <c r="E16" s="48" t="str">
        <f ca="1">CONCATENATE(CALC2223!G15," ",CALC2223!I15," ",CALC2223!K15)</f>
        <v xml:space="preserve">  </v>
      </c>
      <c r="F16" s="48" t="str">
        <f ca="1">CONCATENATE(CALC2223!M15," ",CALC2223!O15," ",CALC2223!Q15)</f>
        <v xml:space="preserve">  </v>
      </c>
      <c r="G16" s="48" t="str">
        <f ca="1">CONCATENATE(CALC2223!S15," ",CALC2223!U15," ",CALC2223!W15)</f>
        <v xml:space="preserve">  </v>
      </c>
      <c r="H16" s="48" t="str">
        <f ca="1">CONCATENATE(CALC2223!Y15," ",CALC2223!AA15," ",CALC2223!AC15)</f>
        <v xml:space="preserve">  </v>
      </c>
      <c r="I16" s="48" t="str">
        <f ca="1">CONCATENATE(CALC2223!AE15," ",CALC2223!AG15," ",CALC2223!AI15)</f>
        <v xml:space="preserve">  </v>
      </c>
      <c r="J16" s="48" t="str">
        <f ca="1">CONCATENATE(CALC2223!AK15," ",CALC2223!AM15," ",CALC2223!AO15)</f>
        <v xml:space="preserve">  </v>
      </c>
      <c r="K16" s="48" t="str">
        <f ca="1">CONCATENATE(CALC2223!AQ15," ",CALC2223!AS15," ",CALC2223!AU15," ",CALC2223!AW15)</f>
        <v xml:space="preserve">   </v>
      </c>
      <c r="L16" s="49" t="str">
        <f t="shared" ca="1" si="0"/>
        <v>verleden</v>
      </c>
      <c r="M16" s="1"/>
      <c r="N16" s="4" t="b">
        <f ca="1">OR(VALUE(CALC2223!B15)&gt;VALUE(LASTV),VALUE(CALC2223!D15)&gt;VALUE(LASTV),VALUE(CALC2223!F15)&gt;VALUE(LASTV))</f>
        <v>0</v>
      </c>
      <c r="O16" s="4" t="b">
        <f ca="1">OR(VALUE(CALC2223!H15)&gt;VALUE(LASTV),VALUE(CALC2223!J15)&gt;VALUE(LASTV),VALUE(CALC2223!L15)&gt;VALUE(LASTV))</f>
        <v>0</v>
      </c>
      <c r="P16" s="4" t="b">
        <f ca="1">OR(VALUE(CALC2223!N15)&gt;VALUE(LASTV),VALUE(CALC2223!P15)&gt;VALUE(LASTV),VALUE(CALC2223!R15)&gt;VALUE(LASTV))</f>
        <v>0</v>
      </c>
      <c r="Q16" s="4" t="b">
        <f ca="1">OR(VALUE(CALC2223!T15)&gt;VALUE(LASTV),VALUE(CALC2223!V15)&gt;VALUE(LASTV),VALUE(CALC2223!X15)&gt;VALUE(LASTV))</f>
        <v>0</v>
      </c>
      <c r="R16" s="4" t="b">
        <f ca="1">OR(VALUE(CALC2223!Z15)&gt;VALUE(LASTV),VALUE(CALC2223!AB15)&gt;VALUE(LASTV),VALUE(CALC2223!AD15)&gt;VALUE(LASTV))</f>
        <v>0</v>
      </c>
      <c r="S16" s="4" t="b">
        <f ca="1">OR(VALUE(CALC2223!AF15)&gt;VALUE(LASTV),VALUE(CALC2223!AH15)&gt;VALUE(LASTV),VALUE(CALC2223!AJ15)&gt;VALUE(LASTV))</f>
        <v>0</v>
      </c>
      <c r="T16" s="4" t="b">
        <f ca="1">OR(VALUE(CALC2223!AL15)&gt;VALUE(LASTV),VALUE(CALC2223!AN15)&gt;VALUE(LASTV),VALUE(CALC2223!AP15)&gt;VALUE(LASTV))</f>
        <v>0</v>
      </c>
      <c r="U16" s="4" t="b">
        <f ca="1">OR(VALUE(CALC2223!AR15)&gt;VALUE(LASTV),VALUE(CALC2223!AT15)&gt;VALUE(LASTV),VALUE(CALC2223!AV15)&gt;VALUE(LASTV))</f>
        <v>0</v>
      </c>
      <c r="V16" s="1"/>
    </row>
    <row r="17" spans="1:22" ht="35.25" hidden="1" customHeight="1">
      <c r="A17" s="50">
        <v>38</v>
      </c>
      <c r="B17" s="41" t="s">
        <v>18</v>
      </c>
      <c r="C17" s="42">
        <v>45915</v>
      </c>
      <c r="D17" s="51" t="str">
        <f ca="1">CONCATENATE(CALC2223!A16," ",CALC2223!C16," ",CALC2223!E16)</f>
        <v xml:space="preserve">  </v>
      </c>
      <c r="E17" s="51" t="str">
        <f ca="1">CONCATENATE(CALC2223!G16," ",CALC2223!I16," ",CALC2223!K16)</f>
        <v xml:space="preserve">  </v>
      </c>
      <c r="F17" s="51" t="str">
        <f ca="1">CONCATENATE(CALC2223!M16," ",CALC2223!O16," ",CALC2223!Q16)</f>
        <v xml:space="preserve">  </v>
      </c>
      <c r="G17" s="51" t="str">
        <f ca="1">CONCATENATE(CALC2223!S16," ",CALC2223!U16," ",CALC2223!W16)</f>
        <v xml:space="preserve">  </v>
      </c>
      <c r="H17" s="51" t="str">
        <f ca="1">CONCATENATE(CALC2223!Y16," ",CALC2223!AA16," ",CALC2223!AC16)</f>
        <v xml:space="preserve">  </v>
      </c>
      <c r="I17" s="51" t="str">
        <f ca="1">CONCATENATE(CALC2223!AE16," ",CALC2223!AG16," ",CALC2223!AI16)</f>
        <v xml:space="preserve">  </v>
      </c>
      <c r="J17" s="51" t="str">
        <f ca="1">CONCATENATE(CALC2223!AK16," ",CALC2223!AM16," ",CALC2223!AO16)</f>
        <v xml:space="preserve">  </v>
      </c>
      <c r="K17" s="51" t="str">
        <f ca="1">CONCATENATE(CALC2223!AQ16," ",CALC2223!AS16," ",CALC2223!AU16," ",CALC2223!AW16)</f>
        <v xml:space="preserve">   </v>
      </c>
      <c r="L17" s="52" t="str">
        <f t="shared" ca="1" si="0"/>
        <v>verleden</v>
      </c>
      <c r="M17" s="1"/>
      <c r="N17" s="4" t="b">
        <f ca="1">OR(VALUE(CALC2223!B16)&gt;VALUE(LASTV),VALUE(CALC2223!D16)&gt;VALUE(LASTV),VALUE(CALC2223!F16)&gt;VALUE(LASTV))</f>
        <v>0</v>
      </c>
      <c r="O17" s="4" t="b">
        <f ca="1">OR(VALUE(CALC2223!H16)&gt;VALUE(LASTV),VALUE(CALC2223!J16)&gt;VALUE(LASTV),VALUE(CALC2223!L16)&gt;VALUE(LASTV))</f>
        <v>0</v>
      </c>
      <c r="P17" s="4" t="b">
        <f ca="1">OR(VALUE(CALC2223!N16)&gt;VALUE(LASTV),VALUE(CALC2223!P16)&gt;VALUE(LASTV),VALUE(CALC2223!R16)&gt;VALUE(LASTV))</f>
        <v>0</v>
      </c>
      <c r="Q17" s="4" t="b">
        <f ca="1">OR(VALUE(CALC2223!T16)&gt;VALUE(LASTV),VALUE(CALC2223!V16)&gt;VALUE(LASTV),VALUE(CALC2223!X16)&gt;VALUE(LASTV))</f>
        <v>0</v>
      </c>
      <c r="R17" s="4" t="b">
        <f ca="1">OR(VALUE(CALC2223!Z16)&gt;VALUE(LASTV),VALUE(CALC2223!AB16)&gt;VALUE(LASTV),VALUE(CALC2223!AD16)&gt;VALUE(LASTV))</f>
        <v>0</v>
      </c>
      <c r="S17" s="4" t="b">
        <f ca="1">OR(VALUE(CALC2223!AF16)&gt;VALUE(LASTV),VALUE(CALC2223!AH16)&gt;VALUE(LASTV),VALUE(CALC2223!AJ16)&gt;VALUE(LASTV))</f>
        <v>0</v>
      </c>
      <c r="T17" s="4" t="b">
        <f ca="1">OR(VALUE(CALC2223!AL16)&gt;VALUE(LASTV),VALUE(CALC2223!AN16)&gt;VALUE(LASTV),VALUE(CALC2223!AP16)&gt;VALUE(LASTV))</f>
        <v>0</v>
      </c>
      <c r="U17" s="4" t="b">
        <f ca="1">OR(VALUE(CALC2223!AR16)&gt;VALUE(LASTV),VALUE(CALC2223!AT16)&gt;VALUE(LASTV),VALUE(CALC2223!AV16)&gt;VALUE(LASTV))</f>
        <v>0</v>
      </c>
      <c r="V17" s="1"/>
    </row>
    <row r="18" spans="1:22" ht="35.25" hidden="1" customHeight="1">
      <c r="A18" s="40"/>
      <c r="B18" s="41" t="s">
        <v>19</v>
      </c>
      <c r="C18" s="42">
        <v>45916</v>
      </c>
      <c r="D18" s="51" t="str">
        <f ca="1">CONCATENATE(CALC2223!A17," ",CALC2223!C17," ",CALC2223!E17)</f>
        <v xml:space="preserve">BKK ABCD  </v>
      </c>
      <c r="E18" s="51" t="str">
        <f ca="1">CONCATENATE(CALC2223!G17," ",CALC2223!I17," ",CALC2223!K17)</f>
        <v xml:space="preserve">  </v>
      </c>
      <c r="F18" s="51" t="str">
        <f ca="1">CONCATENATE(CALC2223!M17," ",CALC2223!O17," ",CALC2223!Q17)</f>
        <v xml:space="preserve">Team Ollie  </v>
      </c>
      <c r="G18" s="51" t="str">
        <f ca="1">CONCATENATE(CALC2223!S17," ",CALC2223!U17," ",CALC2223!W17)</f>
        <v xml:space="preserve">  </v>
      </c>
      <c r="H18" s="51" t="str">
        <f ca="1">CONCATENATE(CALC2223!Y17," ",CALC2223!AA17," ",CALC2223!AC17)</f>
        <v xml:space="preserve">  </v>
      </c>
      <c r="I18" s="51" t="str">
        <f ca="1">CONCATENATE(CALC2223!AE17," ",CALC2223!AG17," ",CALC2223!AI17)</f>
        <v xml:space="preserve">  </v>
      </c>
      <c r="J18" s="51" t="str">
        <f ca="1">CONCATENATE(CALC2223!AK17," ",CALC2223!AM17," ",CALC2223!AO17)</f>
        <v xml:space="preserve">  </v>
      </c>
      <c r="K18" s="51" t="str">
        <f ca="1">CONCATENATE(CALC2223!AQ17," ",CALC2223!AS17," ",CALC2223!AU17," ",CALC2223!AW17)</f>
        <v xml:space="preserve">   </v>
      </c>
      <c r="L18" s="52" t="str">
        <f t="shared" ca="1" si="0"/>
        <v>verleden</v>
      </c>
      <c r="M18" s="1"/>
      <c r="N18" s="4" t="b">
        <f ca="1">OR(VALUE(CALC2223!B17)&gt;VALUE(LASTV),VALUE(CALC2223!D17)&gt;VALUE(LASTV),VALUE(CALC2223!F17)&gt;VALUE(LASTV))</f>
        <v>0</v>
      </c>
      <c r="O18" s="4" t="b">
        <f ca="1">OR(VALUE(CALC2223!H17)&gt;VALUE(LASTV),VALUE(CALC2223!J17)&gt;VALUE(LASTV),VALUE(CALC2223!L17)&gt;VALUE(LASTV))</f>
        <v>0</v>
      </c>
      <c r="P18" s="4" t="b">
        <f ca="1">OR(VALUE(CALC2223!N17)&gt;VALUE(LASTV),VALUE(CALC2223!P17)&gt;VALUE(LASTV),VALUE(CALC2223!R17)&gt;VALUE(LASTV))</f>
        <v>0</v>
      </c>
      <c r="Q18" s="4" t="b">
        <f ca="1">OR(VALUE(CALC2223!T17)&gt;VALUE(LASTV),VALUE(CALC2223!V17)&gt;VALUE(LASTV),VALUE(CALC2223!X17)&gt;VALUE(LASTV))</f>
        <v>0</v>
      </c>
      <c r="R18" s="4" t="b">
        <f ca="1">OR(VALUE(CALC2223!Z17)&gt;VALUE(LASTV),VALUE(CALC2223!AB17)&gt;VALUE(LASTV),VALUE(CALC2223!AD17)&gt;VALUE(LASTV))</f>
        <v>0</v>
      </c>
      <c r="S18" s="4" t="b">
        <f ca="1">OR(VALUE(CALC2223!AF17)&gt;VALUE(LASTV),VALUE(CALC2223!AH17)&gt;VALUE(LASTV),VALUE(CALC2223!AJ17)&gt;VALUE(LASTV))</f>
        <v>0</v>
      </c>
      <c r="T18" s="4" t="b">
        <f ca="1">OR(VALUE(CALC2223!AL17)&gt;VALUE(LASTV),VALUE(CALC2223!AN17)&gt;VALUE(LASTV),VALUE(CALC2223!AP17)&gt;VALUE(LASTV))</f>
        <v>0</v>
      </c>
      <c r="U18" s="4" t="b">
        <f ca="1">OR(VALUE(CALC2223!AR17)&gt;VALUE(LASTV),VALUE(CALC2223!AT17)&gt;VALUE(LASTV),VALUE(CALC2223!AV17)&gt;VALUE(LASTV))</f>
        <v>0</v>
      </c>
      <c r="V18" s="1"/>
    </row>
    <row r="19" spans="1:22" ht="35.25" hidden="1" customHeight="1">
      <c r="A19" s="40"/>
      <c r="B19" s="41" t="s">
        <v>20</v>
      </c>
      <c r="C19" s="42">
        <v>45917</v>
      </c>
      <c r="D19" s="51" t="str">
        <f ca="1">CONCATENATE(CALC2223!A18," ",CALC2223!C18," ",CALC2223!E18)</f>
        <v xml:space="preserve">BKK ABCD  </v>
      </c>
      <c r="E19" s="51" t="str">
        <f ca="1">CONCATENATE(CALC2223!G18," ",CALC2223!I18," ",CALC2223!K18)</f>
        <v xml:space="preserve">  </v>
      </c>
      <c r="F19" s="51" t="str">
        <f ca="1">CONCATENATE(CALC2223!M18," ",CALC2223!O18," ",CALC2223!Q18)</f>
        <v xml:space="preserve">  </v>
      </c>
      <c r="G19" s="51" t="str">
        <f ca="1">CONCATENATE(CALC2223!S18," ",CALC2223!U18," ",CALC2223!W18)</f>
        <v xml:space="preserve">  </v>
      </c>
      <c r="H19" s="51" t="str">
        <f ca="1">CONCATENATE(CALC2223!Y18," ",CALC2223!AA18," ",CALC2223!AC18)</f>
        <v xml:space="preserve">herkansen ANW  </v>
      </c>
      <c r="I19" s="51" t="str">
        <f ca="1">CONCATENATE(CALC2223!AE18," ",CALC2223!AG18," ",CALC2223!AI18)</f>
        <v xml:space="preserve">  </v>
      </c>
      <c r="J19" s="51" t="str">
        <f ca="1">CONCATENATE(CALC2223!AK18," ",CALC2223!AM18," ",CALC2223!AO18)</f>
        <v xml:space="preserve">  </v>
      </c>
      <c r="K19" s="51" t="str">
        <f ca="1">CONCATENATE(CALC2223!AQ18," ",CALC2223!AS18," ",CALC2223!AU18," ",CALC2223!AW18)</f>
        <v xml:space="preserve">   </v>
      </c>
      <c r="L19" s="52" t="str">
        <f t="shared" ca="1" si="0"/>
        <v>verleden</v>
      </c>
      <c r="M19" s="1"/>
      <c r="N19" s="4" t="b">
        <f ca="1">OR(VALUE(CALC2223!B18)&gt;VALUE(LASTV),VALUE(CALC2223!D18)&gt;VALUE(LASTV),VALUE(CALC2223!F18)&gt;VALUE(LASTV))</f>
        <v>0</v>
      </c>
      <c r="O19" s="4" t="b">
        <f ca="1">OR(VALUE(CALC2223!H18)&gt;VALUE(LASTV),VALUE(CALC2223!J18)&gt;VALUE(LASTV),VALUE(CALC2223!L18)&gt;VALUE(LASTV))</f>
        <v>0</v>
      </c>
      <c r="P19" s="4" t="b">
        <f ca="1">OR(VALUE(CALC2223!N18)&gt;VALUE(LASTV),VALUE(CALC2223!P18)&gt;VALUE(LASTV),VALUE(CALC2223!R18)&gt;VALUE(LASTV))</f>
        <v>0</v>
      </c>
      <c r="Q19" s="4" t="b">
        <f ca="1">OR(VALUE(CALC2223!T18)&gt;VALUE(LASTV),VALUE(CALC2223!V18)&gt;VALUE(LASTV),VALUE(CALC2223!X18)&gt;VALUE(LASTV))</f>
        <v>0</v>
      </c>
      <c r="R19" s="4" t="b">
        <f ca="1">OR(VALUE(CALC2223!Z18)&gt;VALUE(LASTV),VALUE(CALC2223!AB18)&gt;VALUE(LASTV),VALUE(CALC2223!AD18)&gt;VALUE(LASTV))</f>
        <v>0</v>
      </c>
      <c r="S19" s="4" t="b">
        <f ca="1">OR(VALUE(CALC2223!AF18)&gt;VALUE(LASTV),VALUE(CALC2223!AH18)&gt;VALUE(LASTV),VALUE(CALC2223!AJ18)&gt;VALUE(LASTV))</f>
        <v>0</v>
      </c>
      <c r="T19" s="4" t="b">
        <f ca="1">OR(VALUE(CALC2223!AL18)&gt;VALUE(LASTV),VALUE(CALC2223!AN18)&gt;VALUE(LASTV),VALUE(CALC2223!AP18)&gt;VALUE(LASTV))</f>
        <v>0</v>
      </c>
      <c r="U19" s="4" t="b">
        <f ca="1">OR(VALUE(CALC2223!AR18)&gt;VALUE(LASTV),VALUE(CALC2223!AT18)&gt;VALUE(LASTV),VALUE(CALC2223!AV18)&gt;VALUE(LASTV))</f>
        <v>0</v>
      </c>
      <c r="V19" s="1"/>
    </row>
    <row r="20" spans="1:22" ht="35.25" hidden="1" customHeight="1">
      <c r="A20" s="40"/>
      <c r="B20" s="41" t="s">
        <v>21</v>
      </c>
      <c r="C20" s="42">
        <v>45918</v>
      </c>
      <c r="D20" s="51" t="str">
        <f ca="1">CONCATENATE(CALC2223!A19," ",CALC2223!C19," ",CALC2223!E19)</f>
        <v xml:space="preserve">BKK ABCD  </v>
      </c>
      <c r="E20" s="51" t="str">
        <f ca="1">CONCATENATE(CALC2223!G19," ",CALC2223!I19," ",CALC2223!K19)</f>
        <v xml:space="preserve">  </v>
      </c>
      <c r="F20" s="51" t="str">
        <f ca="1">CONCATENATE(CALC2223!M19," ",CALC2223!O19," ",CALC2223!Q19)</f>
        <v xml:space="preserve">  </v>
      </c>
      <c r="G20" s="51" t="str">
        <f ca="1">CONCATENATE(CALC2223!S19," ",CALC2223!U19," ",CALC2223!W19)</f>
        <v xml:space="preserve">  </v>
      </c>
      <c r="H20" s="51" t="str">
        <f ca="1">CONCATENATE(CALC2223!Y19," ",CALC2223!AA19," ",CALC2223!AC19)</f>
        <v xml:space="preserve">  </v>
      </c>
      <c r="I20" s="51" t="str">
        <f ca="1">CONCATENATE(CALC2223!AE19," ",CALC2223!AG19," ",CALC2223!AI19)</f>
        <v xml:space="preserve">LO1:1  </v>
      </c>
      <c r="J20" s="51" t="str">
        <f ca="1">CONCATENATE(CALC2223!AK19," ",CALC2223!AM19," ",CALC2223!AO19)</f>
        <v xml:space="preserve">commissies#1 verpleegkundige </v>
      </c>
      <c r="K20" s="51" t="str">
        <f ca="1">CONCATENATE(CALC2223!AQ19," ",CALC2223!AS19," ",CALC2223!AU19," ",CALC2223!AW19)</f>
        <v xml:space="preserve">   </v>
      </c>
      <c r="L20" s="52" t="str">
        <f t="shared" ca="1" si="0"/>
        <v>verleden</v>
      </c>
      <c r="M20" s="1"/>
      <c r="N20" s="4" t="b">
        <f ca="1">OR(VALUE(CALC2223!B19)&gt;VALUE(LASTV),VALUE(CALC2223!D19)&gt;VALUE(LASTV),VALUE(CALC2223!F19)&gt;VALUE(LASTV))</f>
        <v>0</v>
      </c>
      <c r="O20" s="4" t="b">
        <f ca="1">OR(VALUE(CALC2223!H19)&gt;VALUE(LASTV),VALUE(CALC2223!J19)&gt;VALUE(LASTV),VALUE(CALC2223!L19)&gt;VALUE(LASTV))</f>
        <v>0</v>
      </c>
      <c r="P20" s="4" t="b">
        <f ca="1">OR(VALUE(CALC2223!N19)&gt;VALUE(LASTV),VALUE(CALC2223!P19)&gt;VALUE(LASTV),VALUE(CALC2223!R19)&gt;VALUE(LASTV))</f>
        <v>0</v>
      </c>
      <c r="Q20" s="4" t="b">
        <f ca="1">OR(VALUE(CALC2223!T19)&gt;VALUE(LASTV),VALUE(CALC2223!V19)&gt;VALUE(LASTV),VALUE(CALC2223!X19)&gt;VALUE(LASTV))</f>
        <v>0</v>
      </c>
      <c r="R20" s="4" t="b">
        <f ca="1">OR(VALUE(CALC2223!Z19)&gt;VALUE(LASTV),VALUE(CALC2223!AB19)&gt;VALUE(LASTV),VALUE(CALC2223!AD19)&gt;VALUE(LASTV))</f>
        <v>0</v>
      </c>
      <c r="S20" s="4" t="b">
        <f ca="1">OR(VALUE(CALC2223!AF19)&gt;VALUE(LASTV),VALUE(CALC2223!AH19)&gt;VALUE(LASTV),VALUE(CALC2223!AJ19)&gt;VALUE(LASTV))</f>
        <v>0</v>
      </c>
      <c r="T20" s="4" t="b">
        <f ca="1">OR(VALUE(CALC2223!AL19)&gt;VALUE(LASTV),VALUE(CALC2223!AN19)&gt;VALUE(LASTV),VALUE(CALC2223!AP19)&gt;VALUE(LASTV))</f>
        <v>0</v>
      </c>
      <c r="U20" s="4" t="b">
        <f ca="1">OR(VALUE(CALC2223!AR19)&gt;VALUE(LASTV),VALUE(CALC2223!AT19)&gt;VALUE(LASTV),VALUE(CALC2223!AV19)&gt;VALUE(LASTV))</f>
        <v>0</v>
      </c>
      <c r="V20" s="1"/>
    </row>
    <row r="21" spans="1:22" ht="35.25" hidden="1" customHeight="1">
      <c r="A21" s="40"/>
      <c r="B21" s="41" t="s">
        <v>22</v>
      </c>
      <c r="C21" s="42">
        <v>45919</v>
      </c>
      <c r="D21" s="51" t="str">
        <f ca="1">CONCATENATE(CALC2223!A20," ",CALC2223!C20," ",CALC2223!E20)</f>
        <v xml:space="preserve">BKK ABCD  </v>
      </c>
      <c r="E21" s="51" t="str">
        <f ca="1">CONCATENATE(CALC2223!G20," ",CALC2223!I20," ",CALC2223!K20)</f>
        <v xml:space="preserve">  </v>
      </c>
      <c r="F21" s="51" t="str">
        <f ca="1">CONCATENATE(CALC2223!M20," ",CALC2223!O20," ",CALC2223!Q20)</f>
        <v xml:space="preserve">  </v>
      </c>
      <c r="G21" s="51" t="str">
        <f ca="1">CONCATENATE(CALC2223!S20," ",CALC2223!U20," ",CALC2223!W20)</f>
        <v xml:space="preserve">  </v>
      </c>
      <c r="H21" s="51" t="str">
        <f ca="1">CONCATENATE(CALC2223!Y20," ",CALC2223!AA20," ",CALC2223!AC20)</f>
        <v xml:space="preserve">  </v>
      </c>
      <c r="I21" s="51" t="str">
        <f ca="1">CONCATENATE(CALC2223!AE20," ",CALC2223!AG20," ",CALC2223!AI20)</f>
        <v xml:space="preserve">  </v>
      </c>
      <c r="J21" s="51" t="str">
        <f ca="1">CONCATENATE(CALC2223!AK20," ",CALC2223!AM20," ",CALC2223!AO20)</f>
        <v xml:space="preserve">  </v>
      </c>
      <c r="K21" s="51" t="str">
        <f ca="1">CONCATENATE(CALC2223!AQ20," ",CALC2223!AS20," ",CALC2223!AU20," ",CALC2223!AW20)</f>
        <v xml:space="preserve">   </v>
      </c>
      <c r="L21" s="52" t="str">
        <f t="shared" ca="1" si="0"/>
        <v>verleden</v>
      </c>
      <c r="M21" s="1"/>
      <c r="N21" s="4" t="b">
        <f ca="1">OR(VALUE(CALC2223!B20)&gt;VALUE(LASTV),VALUE(CALC2223!D20)&gt;VALUE(LASTV),VALUE(CALC2223!F20)&gt;VALUE(LASTV))</f>
        <v>0</v>
      </c>
      <c r="O21" s="4" t="b">
        <f ca="1">OR(VALUE(CALC2223!H20)&gt;VALUE(LASTV),VALUE(CALC2223!J20)&gt;VALUE(LASTV),VALUE(CALC2223!L20)&gt;VALUE(LASTV))</f>
        <v>0</v>
      </c>
      <c r="P21" s="4" t="b">
        <f ca="1">OR(VALUE(CALC2223!N20)&gt;VALUE(LASTV),VALUE(CALC2223!P20)&gt;VALUE(LASTV),VALUE(CALC2223!R20)&gt;VALUE(LASTV))</f>
        <v>0</v>
      </c>
      <c r="Q21" s="4" t="b">
        <f ca="1">OR(VALUE(CALC2223!T20)&gt;VALUE(LASTV),VALUE(CALC2223!V20)&gt;VALUE(LASTV),VALUE(CALC2223!X20)&gt;VALUE(LASTV))</f>
        <v>0</v>
      </c>
      <c r="R21" s="4" t="b">
        <f ca="1">OR(VALUE(CALC2223!Z20)&gt;VALUE(LASTV),VALUE(CALC2223!AB20)&gt;VALUE(LASTV),VALUE(CALC2223!AD20)&gt;VALUE(LASTV))</f>
        <v>0</v>
      </c>
      <c r="S21" s="4" t="b">
        <f ca="1">OR(VALUE(CALC2223!AF20)&gt;VALUE(LASTV),VALUE(CALC2223!AH20)&gt;VALUE(LASTV),VALUE(CALC2223!AJ20)&gt;VALUE(LASTV))</f>
        <v>0</v>
      </c>
      <c r="T21" s="4" t="b">
        <f ca="1">OR(VALUE(CALC2223!AL20)&gt;VALUE(LASTV),VALUE(CALC2223!AN20)&gt;VALUE(LASTV),VALUE(CALC2223!AP20)&gt;VALUE(LASTV))</f>
        <v>0</v>
      </c>
      <c r="U21" s="4" t="b">
        <f ca="1">OR(VALUE(CALC2223!AR20)&gt;VALUE(LASTV),VALUE(CALC2223!AT20)&gt;VALUE(LASTV),VALUE(CALC2223!AV20)&gt;VALUE(LASTV))</f>
        <v>0</v>
      </c>
      <c r="V21" s="1"/>
    </row>
    <row r="22" spans="1:22" ht="35.25" hidden="1" customHeight="1">
      <c r="A22" s="45"/>
      <c r="B22" s="46" t="s">
        <v>23</v>
      </c>
      <c r="C22" s="47">
        <v>45920</v>
      </c>
      <c r="D22" s="48" t="str">
        <f ca="1">CONCATENATE(CALC2223!A21," ",CALC2223!C21," ",CALC2223!E21)</f>
        <v xml:space="preserve">  </v>
      </c>
      <c r="E22" s="48" t="str">
        <f ca="1">CONCATENATE(CALC2223!G21," ",CALC2223!I21," ",CALC2223!K21)</f>
        <v xml:space="preserve">  </v>
      </c>
      <c r="F22" s="48" t="str">
        <f ca="1">CONCATENATE(CALC2223!M21," ",CALC2223!O21," ",CALC2223!Q21)</f>
        <v xml:space="preserve">  </v>
      </c>
      <c r="G22" s="48" t="str">
        <f ca="1">CONCATENATE(CALC2223!S21," ",CALC2223!U21," ",CALC2223!W21)</f>
        <v xml:space="preserve">  </v>
      </c>
      <c r="H22" s="48" t="str">
        <f ca="1">CONCATENATE(CALC2223!Y21," ",CALC2223!AA21," ",CALC2223!AC21)</f>
        <v xml:space="preserve">  </v>
      </c>
      <c r="I22" s="48" t="str">
        <f ca="1">CONCATENATE(CALC2223!AE21," ",CALC2223!AG21," ",CALC2223!AI21)</f>
        <v xml:space="preserve">  </v>
      </c>
      <c r="J22" s="48" t="str">
        <f ca="1">CONCATENATE(CALC2223!AK21," ",CALC2223!AM21," ",CALC2223!AO21)</f>
        <v xml:space="preserve">  </v>
      </c>
      <c r="K22" s="48" t="str">
        <f ca="1">CONCATENATE(CALC2223!AQ21," ",CALC2223!AS21," ",CALC2223!AU21," ",CALC2223!AW21)</f>
        <v xml:space="preserve">   </v>
      </c>
      <c r="L22" s="49" t="str">
        <f t="shared" ca="1" si="0"/>
        <v>verleden</v>
      </c>
      <c r="M22" s="1"/>
      <c r="N22" s="4" t="b">
        <f ca="1">OR(VALUE(CALC2223!B21)&gt;VALUE(LASTV),VALUE(CALC2223!D21)&gt;VALUE(LASTV),VALUE(CALC2223!F21)&gt;VALUE(LASTV))</f>
        <v>0</v>
      </c>
      <c r="O22" s="4" t="b">
        <f ca="1">OR(VALUE(CALC2223!H21)&gt;VALUE(LASTV),VALUE(CALC2223!J21)&gt;VALUE(LASTV),VALUE(CALC2223!L21)&gt;VALUE(LASTV))</f>
        <v>0</v>
      </c>
      <c r="P22" s="4" t="b">
        <f ca="1">OR(VALUE(CALC2223!N21)&gt;VALUE(LASTV),VALUE(CALC2223!P21)&gt;VALUE(LASTV),VALUE(CALC2223!R21)&gt;VALUE(LASTV))</f>
        <v>0</v>
      </c>
      <c r="Q22" s="4" t="b">
        <f ca="1">OR(VALUE(CALC2223!T21)&gt;VALUE(LASTV),VALUE(CALC2223!V21)&gt;VALUE(LASTV),VALUE(CALC2223!X21)&gt;VALUE(LASTV))</f>
        <v>0</v>
      </c>
      <c r="R22" s="4" t="b">
        <f ca="1">OR(VALUE(CALC2223!Z21)&gt;VALUE(LASTV),VALUE(CALC2223!AB21)&gt;VALUE(LASTV),VALUE(CALC2223!AD21)&gt;VALUE(LASTV))</f>
        <v>0</v>
      </c>
      <c r="S22" s="4" t="b">
        <f ca="1">OR(VALUE(CALC2223!AF21)&gt;VALUE(LASTV),VALUE(CALC2223!AH21)&gt;VALUE(LASTV),VALUE(CALC2223!AJ21)&gt;VALUE(LASTV))</f>
        <v>0</v>
      </c>
      <c r="T22" s="4" t="b">
        <f ca="1">OR(VALUE(CALC2223!AL21)&gt;VALUE(LASTV),VALUE(CALC2223!AN21)&gt;VALUE(LASTV),VALUE(CALC2223!AP21)&gt;VALUE(LASTV))</f>
        <v>0</v>
      </c>
      <c r="U22" s="4" t="b">
        <f ca="1">OR(VALUE(CALC2223!AR21)&gt;VALUE(LASTV),VALUE(CALC2223!AT21)&gt;VALUE(LASTV),VALUE(CALC2223!AV21)&gt;VALUE(LASTV))</f>
        <v>0</v>
      </c>
      <c r="V22" s="1"/>
    </row>
    <row r="23" spans="1:22" ht="35.25" hidden="1" customHeight="1">
      <c r="A23" s="45"/>
      <c r="B23" s="46" t="s">
        <v>24</v>
      </c>
      <c r="C23" s="47">
        <v>45921</v>
      </c>
      <c r="D23" s="48" t="str">
        <f ca="1">CONCATENATE(CALC2223!A22," ",CALC2223!C22," ",CALC2223!E22)</f>
        <v xml:space="preserve">  </v>
      </c>
      <c r="E23" s="48" t="str">
        <f ca="1">CONCATENATE(CALC2223!G22," ",CALC2223!I22," ",CALC2223!K22)</f>
        <v xml:space="preserve">  </v>
      </c>
      <c r="F23" s="48" t="str">
        <f ca="1">CONCATENATE(CALC2223!M22," ",CALC2223!O22," ",CALC2223!Q22)</f>
        <v xml:space="preserve">  </v>
      </c>
      <c r="G23" s="48" t="str">
        <f ca="1">CONCATENATE(CALC2223!S22," ",CALC2223!U22," ",CALC2223!W22)</f>
        <v xml:space="preserve">  </v>
      </c>
      <c r="H23" s="48" t="str">
        <f ca="1">CONCATENATE(CALC2223!Y22," ",CALC2223!AA22," ",CALC2223!AC22)</f>
        <v xml:space="preserve">  </v>
      </c>
      <c r="I23" s="48" t="str">
        <f ca="1">CONCATENATE(CALC2223!AE22," ",CALC2223!AG22," ",CALC2223!AI22)</f>
        <v xml:space="preserve">  </v>
      </c>
      <c r="J23" s="48" t="str">
        <f ca="1">CONCATENATE(CALC2223!AK22," ",CALC2223!AM22," ",CALC2223!AO22)</f>
        <v xml:space="preserve">  </v>
      </c>
      <c r="K23" s="48" t="str">
        <f ca="1">CONCATENATE(CALC2223!AQ22," ",CALC2223!AS22," ",CALC2223!AU22," ",CALC2223!AW22)</f>
        <v xml:space="preserve">   </v>
      </c>
      <c r="L23" s="49" t="str">
        <f t="shared" ca="1" si="0"/>
        <v>verleden</v>
      </c>
      <c r="M23" s="1"/>
      <c r="N23" s="4" t="b">
        <f ca="1">OR(VALUE(CALC2223!B22)&gt;VALUE(LASTV),VALUE(CALC2223!D22)&gt;VALUE(LASTV),VALUE(CALC2223!F22)&gt;VALUE(LASTV))</f>
        <v>0</v>
      </c>
      <c r="O23" s="4" t="b">
        <f ca="1">OR(VALUE(CALC2223!H22)&gt;VALUE(LASTV),VALUE(CALC2223!J22)&gt;VALUE(LASTV),VALUE(CALC2223!L22)&gt;VALUE(LASTV))</f>
        <v>0</v>
      </c>
      <c r="P23" s="4" t="b">
        <f ca="1">OR(VALUE(CALC2223!N22)&gt;VALUE(LASTV),VALUE(CALC2223!P22)&gt;VALUE(LASTV),VALUE(CALC2223!R22)&gt;VALUE(LASTV))</f>
        <v>0</v>
      </c>
      <c r="Q23" s="4" t="b">
        <f ca="1">OR(VALUE(CALC2223!T22)&gt;VALUE(LASTV),VALUE(CALC2223!V22)&gt;VALUE(LASTV),VALUE(CALC2223!X22)&gt;VALUE(LASTV))</f>
        <v>0</v>
      </c>
      <c r="R23" s="4" t="b">
        <f ca="1">OR(VALUE(CALC2223!Z22)&gt;VALUE(LASTV),VALUE(CALC2223!AB22)&gt;VALUE(LASTV),VALUE(CALC2223!AD22)&gt;VALUE(LASTV))</f>
        <v>0</v>
      </c>
      <c r="S23" s="4" t="b">
        <f ca="1">OR(VALUE(CALC2223!AF22)&gt;VALUE(LASTV),VALUE(CALC2223!AH22)&gt;VALUE(LASTV),VALUE(CALC2223!AJ22)&gt;VALUE(LASTV))</f>
        <v>0</v>
      </c>
      <c r="T23" s="4" t="b">
        <f ca="1">OR(VALUE(CALC2223!AL22)&gt;VALUE(LASTV),VALUE(CALC2223!AN22)&gt;VALUE(LASTV),VALUE(CALC2223!AP22)&gt;VALUE(LASTV))</f>
        <v>0</v>
      </c>
      <c r="U23" s="4" t="b">
        <f ca="1">OR(VALUE(CALC2223!AR22)&gt;VALUE(LASTV),VALUE(CALC2223!AT22)&gt;VALUE(LASTV),VALUE(CALC2223!AV22)&gt;VALUE(LASTV))</f>
        <v>0</v>
      </c>
      <c r="V23" s="1"/>
    </row>
    <row r="24" spans="1:22" ht="35.25" hidden="1" customHeight="1">
      <c r="A24" s="50">
        <v>39</v>
      </c>
      <c r="B24" s="41" t="s">
        <v>18</v>
      </c>
      <c r="C24" s="42">
        <v>45922</v>
      </c>
      <c r="D24" s="51" t="str">
        <f ca="1">CONCATENATE(CALC2223!A23," ",CALC2223!C23," ",CALC2223!E23)</f>
        <v xml:space="preserve">  </v>
      </c>
      <c r="E24" s="51" t="str">
        <f ca="1">CONCATENATE(CALC2223!G23," ",CALC2223!I23," ",CALC2223!K23)</f>
        <v xml:space="preserve">  </v>
      </c>
      <c r="F24" s="51" t="str">
        <f ca="1">CONCATENATE(CALC2223!M23," ",CALC2223!O23," ",CALC2223!Q23)</f>
        <v xml:space="preserve">  </v>
      </c>
      <c r="G24" s="51" t="str">
        <f ca="1">CONCATENATE(CALC2223!S23," ",CALC2223!U23," ",CALC2223!W23)</f>
        <v xml:space="preserve">  </v>
      </c>
      <c r="H24" s="51" t="str">
        <f ca="1">CONCATENATE(CALC2223!Y23," ",CALC2223!AA23," ",CALC2223!AC23)</f>
        <v xml:space="preserve">  </v>
      </c>
      <c r="I24" s="51" t="str">
        <f ca="1">CONCATENATE(CALC2223!AE23," ",CALC2223!AG23," ",CALC2223!AI23)</f>
        <v xml:space="preserve">  </v>
      </c>
      <c r="J24" s="51" t="str">
        <f ca="1">CONCATENATE(CALC2223!AK23," ",CALC2223!AM23," ",CALC2223!AO23)</f>
        <v xml:space="preserve">  </v>
      </c>
      <c r="K24" s="51" t="str">
        <f ca="1">CONCATENATE(CALC2223!AQ23," ",CALC2223!AS23," ",CALC2223!AU23," ",CALC2223!AW23)</f>
        <v xml:space="preserve">   </v>
      </c>
      <c r="L24" s="52" t="str">
        <f t="shared" ca="1" si="0"/>
        <v>verleden</v>
      </c>
      <c r="M24" s="1"/>
      <c r="N24" s="4" t="b">
        <f ca="1">OR(VALUE(CALC2223!B23)&gt;VALUE(LASTV),VALUE(CALC2223!D23)&gt;VALUE(LASTV),VALUE(CALC2223!F23)&gt;VALUE(LASTV))</f>
        <v>0</v>
      </c>
      <c r="O24" s="4" t="b">
        <f ca="1">OR(VALUE(CALC2223!H23)&gt;VALUE(LASTV),VALUE(CALC2223!J23)&gt;VALUE(LASTV),VALUE(CALC2223!L23)&gt;VALUE(LASTV))</f>
        <v>0</v>
      </c>
      <c r="P24" s="4" t="b">
        <f ca="1">OR(VALUE(CALC2223!N23)&gt;VALUE(LASTV),VALUE(CALC2223!P23)&gt;VALUE(LASTV),VALUE(CALC2223!R23)&gt;VALUE(LASTV))</f>
        <v>0</v>
      </c>
      <c r="Q24" s="4" t="b">
        <f ca="1">OR(VALUE(CALC2223!T23)&gt;VALUE(LASTV),VALUE(CALC2223!V23)&gt;VALUE(LASTV),VALUE(CALC2223!X23)&gt;VALUE(LASTV))</f>
        <v>0</v>
      </c>
      <c r="R24" s="4" t="b">
        <f ca="1">OR(VALUE(CALC2223!Z23)&gt;VALUE(LASTV),VALUE(CALC2223!AB23)&gt;VALUE(LASTV),VALUE(CALC2223!AD23)&gt;VALUE(LASTV))</f>
        <v>0</v>
      </c>
      <c r="S24" s="4" t="b">
        <f ca="1">OR(VALUE(CALC2223!AF23)&gt;VALUE(LASTV),VALUE(CALC2223!AH23)&gt;VALUE(LASTV),VALUE(CALC2223!AJ23)&gt;VALUE(LASTV))</f>
        <v>0</v>
      </c>
      <c r="T24" s="4" t="b">
        <f ca="1">OR(VALUE(CALC2223!AL23)&gt;VALUE(LASTV),VALUE(CALC2223!AN23)&gt;VALUE(LASTV),VALUE(CALC2223!AP23)&gt;VALUE(LASTV))</f>
        <v>0</v>
      </c>
      <c r="U24" s="4" t="b">
        <f ca="1">OR(VALUE(CALC2223!AR23)&gt;VALUE(LASTV),VALUE(CALC2223!AT23)&gt;VALUE(LASTV),VALUE(CALC2223!AV23)&gt;VALUE(LASTV))</f>
        <v>0</v>
      </c>
      <c r="V24" s="1"/>
    </row>
    <row r="25" spans="1:22" ht="35.25" hidden="1" customHeight="1">
      <c r="A25" s="40"/>
      <c r="B25" s="41" t="s">
        <v>19</v>
      </c>
      <c r="C25" s="42">
        <v>45923</v>
      </c>
      <c r="D25" s="51" t="str">
        <f ca="1">CONCATENATE(CALC2223!A24," ",CALC2223!C24," ",CALC2223!E24)</f>
        <v xml:space="preserve">BKK EFG  </v>
      </c>
      <c r="E25" s="51" t="str">
        <f ca="1">CONCATENATE(CALC2223!G24," ",CALC2223!I24," ",CALC2223!K24)</f>
        <v xml:space="preserve">  </v>
      </c>
      <c r="F25" s="51" t="str">
        <f ca="1">CONCATENATE(CALC2223!M24," ",CALC2223!O24," ",CALC2223!Q24)</f>
        <v xml:space="preserve">  </v>
      </c>
      <c r="G25" s="51" t="str">
        <f ca="1">CONCATENATE(CALC2223!S24," ",CALC2223!U24," ",CALC2223!W24)</f>
        <v xml:space="preserve">  </v>
      </c>
      <c r="H25" s="51" t="str">
        <f ca="1">CONCATENATE(CALC2223!Y24," ",CALC2223!AA24," ",CALC2223!AC24)</f>
        <v xml:space="preserve">inh rep EN inh rep SK </v>
      </c>
      <c r="I25" s="51" t="str">
        <f ca="1">CONCATENATE(CALC2223!AE24," ",CALC2223!AG24," ",CALC2223!AI24)</f>
        <v xml:space="preserve">  </v>
      </c>
      <c r="J25" s="51" t="str">
        <f ca="1">CONCATENATE(CALC2223!AK24," ",CALC2223!AM24," ",CALC2223!AO24)</f>
        <v xml:space="preserve">  </v>
      </c>
      <c r="K25" s="51" t="str">
        <f ca="1">CONCATENATE(CALC2223!AQ24," ",CALC2223!AS24," ",CALC2223!AU24," ",CALC2223!AW24)</f>
        <v xml:space="preserve">   </v>
      </c>
      <c r="L25" s="52" t="str">
        <f t="shared" ca="1" si="0"/>
        <v>verleden</v>
      </c>
      <c r="M25" s="1"/>
      <c r="N25" s="4" t="b">
        <f ca="1">OR(VALUE(CALC2223!B24)&gt;VALUE(LASTV),VALUE(CALC2223!D24)&gt;VALUE(LASTV),VALUE(CALC2223!F24)&gt;VALUE(LASTV))</f>
        <v>0</v>
      </c>
      <c r="O25" s="4" t="b">
        <f ca="1">OR(VALUE(CALC2223!H24)&gt;VALUE(LASTV),VALUE(CALC2223!J24)&gt;VALUE(LASTV),VALUE(CALC2223!L24)&gt;VALUE(LASTV))</f>
        <v>0</v>
      </c>
      <c r="P25" s="4" t="b">
        <f ca="1">OR(VALUE(CALC2223!N24)&gt;VALUE(LASTV),VALUE(CALC2223!P24)&gt;VALUE(LASTV),VALUE(CALC2223!R24)&gt;VALUE(LASTV))</f>
        <v>0</v>
      </c>
      <c r="Q25" s="4" t="b">
        <f ca="1">OR(VALUE(CALC2223!T24)&gt;VALUE(LASTV),VALUE(CALC2223!V24)&gt;VALUE(LASTV),VALUE(CALC2223!X24)&gt;VALUE(LASTV))</f>
        <v>0</v>
      </c>
      <c r="R25" s="4" t="b">
        <f ca="1">OR(VALUE(CALC2223!Z24)&gt;VALUE(LASTV),VALUE(CALC2223!AB24)&gt;VALUE(LASTV),VALUE(CALC2223!AD24)&gt;VALUE(LASTV))</f>
        <v>0</v>
      </c>
      <c r="S25" s="4" t="b">
        <f ca="1">OR(VALUE(CALC2223!AF24)&gt;VALUE(LASTV),VALUE(CALC2223!AH24)&gt;VALUE(LASTV),VALUE(CALC2223!AJ24)&gt;VALUE(LASTV))</f>
        <v>0</v>
      </c>
      <c r="T25" s="4" t="b">
        <f ca="1">OR(VALUE(CALC2223!AL24)&gt;VALUE(LASTV),VALUE(CALC2223!AN24)&gt;VALUE(LASTV),VALUE(CALC2223!AP24)&gt;VALUE(LASTV))</f>
        <v>0</v>
      </c>
      <c r="U25" s="4" t="b">
        <f ca="1">OR(VALUE(CALC2223!AR24)&gt;VALUE(LASTV),VALUE(CALC2223!AT24)&gt;VALUE(LASTV),VALUE(CALC2223!AV24)&gt;VALUE(LASTV))</f>
        <v>0</v>
      </c>
      <c r="V25" s="1"/>
    </row>
    <row r="26" spans="1:22" ht="35.25" hidden="1" customHeight="1">
      <c r="A26" s="40"/>
      <c r="B26" s="41" t="s">
        <v>20</v>
      </c>
      <c r="C26" s="42">
        <v>45924</v>
      </c>
      <c r="D26" s="51" t="str">
        <f ca="1">CONCATENATE(CALC2223!A25," ",CALC2223!C25," ",CALC2223!E25)</f>
        <v xml:space="preserve">BKK EFG  </v>
      </c>
      <c r="E26" s="51" t="str">
        <f ca="1">CONCATENATE(CALC2223!G25," ",CALC2223!I25," ",CALC2223!K25)</f>
        <v xml:space="preserve">  </v>
      </c>
      <c r="F26" s="51" t="str">
        <f ca="1">CONCATENATE(CALC2223!M25," ",CALC2223!O25," ",CALC2223!Q25)</f>
        <v xml:space="preserve">  </v>
      </c>
      <c r="G26" s="51" t="str">
        <f ca="1">CONCATENATE(CALC2223!S25," ",CALC2223!U25," ",CALC2223!W25)</f>
        <v xml:space="preserve">  </v>
      </c>
      <c r="H26" s="51" t="str">
        <f ca="1">CONCATENATE(CALC2223!Y25," ",CALC2223!AA25," ",CALC2223!AC25)</f>
        <v xml:space="preserve">  </v>
      </c>
      <c r="I26" s="51" t="str">
        <f ca="1">CONCATENATE(CALC2223!AE25," ",CALC2223!AG25," ",CALC2223!AI25)</f>
        <v xml:space="preserve">  </v>
      </c>
      <c r="J26" s="51" t="str">
        <f ca="1">CONCATENATE(CALC2223!AK25," ",CALC2223!AM25," ",CALC2223!AO25)</f>
        <v xml:space="preserve">  </v>
      </c>
      <c r="K26" s="51" t="str">
        <f ca="1">CONCATENATE(CALC2223!AQ25," ",CALC2223!AS25," ",CALC2223!AU25," ",CALC2223!AW25)</f>
        <v xml:space="preserve">   </v>
      </c>
      <c r="L26" s="52" t="str">
        <f t="shared" ca="1" si="0"/>
        <v>verleden</v>
      </c>
      <c r="M26" s="1"/>
      <c r="N26" s="4" t="b">
        <f ca="1">OR(VALUE(CALC2223!B25)&gt;VALUE(LASTV),VALUE(CALC2223!D25)&gt;VALUE(LASTV),VALUE(CALC2223!F25)&gt;VALUE(LASTV))</f>
        <v>0</v>
      </c>
      <c r="O26" s="4" t="b">
        <f ca="1">OR(VALUE(CALC2223!H25)&gt;VALUE(LASTV),VALUE(CALC2223!J25)&gt;VALUE(LASTV),VALUE(CALC2223!L25)&gt;VALUE(LASTV))</f>
        <v>0</v>
      </c>
      <c r="P26" s="4" t="b">
        <f ca="1">OR(VALUE(CALC2223!N25)&gt;VALUE(LASTV),VALUE(CALC2223!P25)&gt;VALUE(LASTV),VALUE(CALC2223!R25)&gt;VALUE(LASTV))</f>
        <v>0</v>
      </c>
      <c r="Q26" s="4" t="b">
        <f ca="1">OR(VALUE(CALC2223!T25)&gt;VALUE(LASTV),VALUE(CALC2223!V25)&gt;VALUE(LASTV),VALUE(CALC2223!X25)&gt;VALUE(LASTV))</f>
        <v>0</v>
      </c>
      <c r="R26" s="4" t="b">
        <f ca="1">OR(VALUE(CALC2223!Z25)&gt;VALUE(LASTV),VALUE(CALC2223!AB25)&gt;VALUE(LASTV),VALUE(CALC2223!AD25)&gt;VALUE(LASTV))</f>
        <v>0</v>
      </c>
      <c r="S26" s="4" t="b">
        <f ca="1">OR(VALUE(CALC2223!AF25)&gt;VALUE(LASTV),VALUE(CALC2223!AH25)&gt;VALUE(LASTV),VALUE(CALC2223!AJ25)&gt;VALUE(LASTV))</f>
        <v>0</v>
      </c>
      <c r="T26" s="4" t="b">
        <f ca="1">OR(VALUE(CALC2223!AL25)&gt;VALUE(LASTV),VALUE(CALC2223!AN25)&gt;VALUE(LASTV),VALUE(CALC2223!AP25)&gt;VALUE(LASTV))</f>
        <v>0</v>
      </c>
      <c r="U26" s="4" t="b">
        <f ca="1">OR(VALUE(CALC2223!AR25)&gt;VALUE(LASTV),VALUE(CALC2223!AT25)&gt;VALUE(LASTV),VALUE(CALC2223!AV25)&gt;VALUE(LASTV))</f>
        <v>0</v>
      </c>
      <c r="V26" s="1"/>
    </row>
    <row r="27" spans="1:22" ht="35.25" hidden="1" customHeight="1">
      <c r="A27" s="40"/>
      <c r="B27" s="41" t="s">
        <v>21</v>
      </c>
      <c r="C27" s="42">
        <v>45925</v>
      </c>
      <c r="D27" s="51" t="str">
        <f ca="1">CONCATENATE(CALC2223!A26," ",CALC2223!C26," ",CALC2223!E26)</f>
        <v xml:space="preserve">BKK EFG  </v>
      </c>
      <c r="E27" s="51" t="str">
        <f ca="1">CONCATENATE(CALC2223!G26," ",CALC2223!I26," ",CALC2223!K26)</f>
        <v xml:space="preserve">  </v>
      </c>
      <c r="F27" s="51" t="str">
        <f ca="1">CONCATENATE(CALC2223!M26," ",CALC2223!O26," ",CALC2223!Q26)</f>
        <v xml:space="preserve">  </v>
      </c>
      <c r="G27" s="51" t="str">
        <f ca="1">CONCATENATE(CALC2223!S26," ",CALC2223!U26," ",CALC2223!W26)</f>
        <v xml:space="preserve">  </v>
      </c>
      <c r="H27" s="51" t="str">
        <f ca="1">CONCATENATE(CALC2223!Y26," ",CALC2223!AA26," ",CALC2223!AC26)</f>
        <v xml:space="preserve">  </v>
      </c>
      <c r="I27" s="51" t="str">
        <f ca="1">CONCATENATE(CALC2223!AE26," ",CALC2223!AG26," ",CALC2223!AI26)</f>
        <v xml:space="preserve">LO1:2  </v>
      </c>
      <c r="J27" s="51" t="str">
        <f ca="1">CONCATENATE(CALC2223!AK26," ",CALC2223!AM26," ",CALC2223!AO26)</f>
        <v xml:space="preserve">commissies#2/MR#1  </v>
      </c>
      <c r="K27" s="51" t="str">
        <f ca="1">CONCATENATE(CALC2223!AQ26," ",CALC2223!AS26," ",CALC2223!AU26," ",CALC2223!AW26)</f>
        <v xml:space="preserve">   </v>
      </c>
      <c r="L27" s="52" t="str">
        <f t="shared" ca="1" si="0"/>
        <v>verleden</v>
      </c>
      <c r="M27" s="1"/>
      <c r="N27" s="4" t="b">
        <f ca="1">OR(VALUE(CALC2223!B26)&gt;VALUE(LASTV),VALUE(CALC2223!D26)&gt;VALUE(LASTV),VALUE(CALC2223!F26)&gt;VALUE(LASTV))</f>
        <v>0</v>
      </c>
      <c r="O27" s="4" t="b">
        <f ca="1">OR(VALUE(CALC2223!H26)&gt;VALUE(LASTV),VALUE(CALC2223!J26)&gt;VALUE(LASTV),VALUE(CALC2223!L26)&gt;VALUE(LASTV))</f>
        <v>0</v>
      </c>
      <c r="P27" s="4" t="b">
        <f ca="1">OR(VALUE(CALC2223!N26)&gt;VALUE(LASTV),VALUE(CALC2223!P26)&gt;VALUE(LASTV),VALUE(CALC2223!R26)&gt;VALUE(LASTV))</f>
        <v>0</v>
      </c>
      <c r="Q27" s="4" t="b">
        <f ca="1">OR(VALUE(CALC2223!T26)&gt;VALUE(LASTV),VALUE(CALC2223!V26)&gt;VALUE(LASTV),VALUE(CALC2223!X26)&gt;VALUE(LASTV))</f>
        <v>0</v>
      </c>
      <c r="R27" s="4" t="b">
        <f ca="1">OR(VALUE(CALC2223!Z26)&gt;VALUE(LASTV),VALUE(CALC2223!AB26)&gt;VALUE(LASTV),VALUE(CALC2223!AD26)&gt;VALUE(LASTV))</f>
        <v>0</v>
      </c>
      <c r="S27" s="4" t="b">
        <f ca="1">OR(VALUE(CALC2223!AF26)&gt;VALUE(LASTV),VALUE(CALC2223!AH26)&gt;VALUE(LASTV),VALUE(CALC2223!AJ26)&gt;VALUE(LASTV))</f>
        <v>0</v>
      </c>
      <c r="T27" s="4" t="b">
        <f ca="1">OR(VALUE(CALC2223!AL26)&gt;VALUE(LASTV),VALUE(CALC2223!AN26)&gt;VALUE(LASTV),VALUE(CALC2223!AP26)&gt;VALUE(LASTV))</f>
        <v>0</v>
      </c>
      <c r="U27" s="4" t="b">
        <f ca="1">OR(VALUE(CALC2223!AR26)&gt;VALUE(LASTV),VALUE(CALC2223!AT26)&gt;VALUE(LASTV),VALUE(CALC2223!AV26)&gt;VALUE(LASTV))</f>
        <v>0</v>
      </c>
      <c r="V27" s="1"/>
    </row>
    <row r="28" spans="1:22" ht="35.25" hidden="1" customHeight="1">
      <c r="A28" s="40"/>
      <c r="B28" s="41" t="s">
        <v>22</v>
      </c>
      <c r="C28" s="42">
        <v>45926</v>
      </c>
      <c r="D28" s="51" t="str">
        <f ca="1">CONCATENATE(CALC2223!A27," ",CALC2223!C27," ",CALC2223!E27)</f>
        <v xml:space="preserve">BKK EFG  </v>
      </c>
      <c r="E28" s="51" t="str">
        <f ca="1">CONCATENATE(CALC2223!G27," ",CALC2223!I27," ",CALC2223!K27)</f>
        <v xml:space="preserve">  </v>
      </c>
      <c r="F28" s="51" t="str">
        <f ca="1">CONCATENATE(CALC2223!M27," ",CALC2223!O27," ",CALC2223!Q27)</f>
        <v xml:space="preserve">  </v>
      </c>
      <c r="G28" s="51" t="str">
        <f ca="1">CONCATENATE(CALC2223!S27," ",CALC2223!U27," ",CALC2223!W27)</f>
        <v xml:space="preserve">  </v>
      </c>
      <c r="H28" s="51" t="str">
        <f ca="1">CONCATENATE(CALC2223!Y27," ",CALC2223!AA27," ",CALC2223!AC27)</f>
        <v xml:space="preserve">  </v>
      </c>
      <c r="I28" s="51" t="str">
        <f ca="1">CONCATENATE(CALC2223!AE27," ",CALC2223!AG27," ",CALC2223!AI27)</f>
        <v xml:space="preserve">  </v>
      </c>
      <c r="J28" s="51" t="str">
        <f ca="1">CONCATENATE(CALC2223!AK27," ",CALC2223!AM27," ",CALC2223!AO27)</f>
        <v xml:space="preserve">  </v>
      </c>
      <c r="K28" s="51" t="str">
        <f ca="1">CONCATENATE(CALC2223!AQ27," ",CALC2223!AS27," ",CALC2223!AU27," ",CALC2223!AW27)</f>
        <v xml:space="preserve">   </v>
      </c>
      <c r="L28" s="52" t="str">
        <f t="shared" ca="1" si="0"/>
        <v>verleden</v>
      </c>
      <c r="M28" s="1"/>
      <c r="N28" s="4" t="b">
        <f ca="1">OR(VALUE(CALC2223!B27)&gt;VALUE(LASTV),VALUE(CALC2223!D27)&gt;VALUE(LASTV),VALUE(CALC2223!F27)&gt;VALUE(LASTV))</f>
        <v>0</v>
      </c>
      <c r="O28" s="4" t="b">
        <f ca="1">OR(VALUE(CALC2223!H27)&gt;VALUE(LASTV),VALUE(CALC2223!J27)&gt;VALUE(LASTV),VALUE(CALC2223!L27)&gt;VALUE(LASTV))</f>
        <v>0</v>
      </c>
      <c r="P28" s="4" t="b">
        <f ca="1">OR(VALUE(CALC2223!N27)&gt;VALUE(LASTV),VALUE(CALC2223!P27)&gt;VALUE(LASTV),VALUE(CALC2223!R27)&gt;VALUE(LASTV))</f>
        <v>0</v>
      </c>
      <c r="Q28" s="4" t="b">
        <f ca="1">OR(VALUE(CALC2223!T27)&gt;VALUE(LASTV),VALUE(CALC2223!V27)&gt;VALUE(LASTV),VALUE(CALC2223!X27)&gt;VALUE(LASTV))</f>
        <v>0</v>
      </c>
      <c r="R28" s="4" t="b">
        <f ca="1">OR(VALUE(CALC2223!Z27)&gt;VALUE(LASTV),VALUE(CALC2223!AB27)&gt;VALUE(LASTV),VALUE(CALC2223!AD27)&gt;VALUE(LASTV))</f>
        <v>0</v>
      </c>
      <c r="S28" s="4" t="b">
        <f ca="1">OR(VALUE(CALC2223!AF27)&gt;VALUE(LASTV),VALUE(CALC2223!AH27)&gt;VALUE(LASTV),VALUE(CALC2223!AJ27)&gt;VALUE(LASTV))</f>
        <v>0</v>
      </c>
      <c r="T28" s="4" t="b">
        <f ca="1">OR(VALUE(CALC2223!AL27)&gt;VALUE(LASTV),VALUE(CALC2223!AN27)&gt;VALUE(LASTV),VALUE(CALC2223!AP27)&gt;VALUE(LASTV))</f>
        <v>0</v>
      </c>
      <c r="U28" s="4" t="b">
        <f ca="1">OR(VALUE(CALC2223!AR27)&gt;VALUE(LASTV),VALUE(CALC2223!AT27)&gt;VALUE(LASTV),VALUE(CALC2223!AV27)&gt;VALUE(LASTV))</f>
        <v>0</v>
      </c>
      <c r="V28" s="1"/>
    </row>
    <row r="29" spans="1:22" ht="35.25" hidden="1" customHeight="1">
      <c r="A29" s="45"/>
      <c r="B29" s="46" t="s">
        <v>23</v>
      </c>
      <c r="C29" s="47">
        <v>45927</v>
      </c>
      <c r="D29" s="48" t="str">
        <f ca="1">CONCATENATE(CALC2223!A28," ",CALC2223!C28," ",CALC2223!E28)</f>
        <v xml:space="preserve">  </v>
      </c>
      <c r="E29" s="48" t="str">
        <f ca="1">CONCATENATE(CALC2223!G28," ",CALC2223!I28," ",CALC2223!K28)</f>
        <v xml:space="preserve">  </v>
      </c>
      <c r="F29" s="48" t="str">
        <f ca="1">CONCATENATE(CALC2223!M28," ",CALC2223!O28," ",CALC2223!Q28)</f>
        <v xml:space="preserve">  </v>
      </c>
      <c r="G29" s="48" t="str">
        <f ca="1">CONCATENATE(CALC2223!S28," ",CALC2223!U28," ",CALC2223!W28)</f>
        <v xml:space="preserve">  </v>
      </c>
      <c r="H29" s="48" t="str">
        <f ca="1">CONCATENATE(CALC2223!Y28," ",CALC2223!AA28," ",CALC2223!AC28)</f>
        <v xml:space="preserve">  </v>
      </c>
      <c r="I29" s="48" t="str">
        <f ca="1">CONCATENATE(CALC2223!AE28," ",CALC2223!AG28," ",CALC2223!AI28)</f>
        <v xml:space="preserve">  </v>
      </c>
      <c r="J29" s="48" t="str">
        <f ca="1">CONCATENATE(CALC2223!AK28," ",CALC2223!AM28," ",CALC2223!AO28)</f>
        <v xml:space="preserve">  </v>
      </c>
      <c r="K29" s="48" t="str">
        <f ca="1">CONCATENATE(CALC2223!AQ28," ",CALC2223!AS28," ",CALC2223!AU28," ",CALC2223!AW28)</f>
        <v xml:space="preserve">   </v>
      </c>
      <c r="L29" s="49" t="str">
        <f t="shared" ca="1" si="0"/>
        <v>verleden</v>
      </c>
      <c r="M29" s="1"/>
      <c r="N29" s="4" t="b">
        <f ca="1">OR(VALUE(CALC2223!B28)&gt;VALUE(LASTV),VALUE(CALC2223!D28)&gt;VALUE(LASTV),VALUE(CALC2223!F28)&gt;VALUE(LASTV))</f>
        <v>0</v>
      </c>
      <c r="O29" s="4" t="b">
        <f ca="1">OR(VALUE(CALC2223!H28)&gt;VALUE(LASTV),VALUE(CALC2223!J28)&gt;VALUE(LASTV),VALUE(CALC2223!L28)&gt;VALUE(LASTV))</f>
        <v>0</v>
      </c>
      <c r="P29" s="4" t="b">
        <f ca="1">OR(VALUE(CALC2223!N28)&gt;VALUE(LASTV),VALUE(CALC2223!P28)&gt;VALUE(LASTV),VALUE(CALC2223!R28)&gt;VALUE(LASTV))</f>
        <v>0</v>
      </c>
      <c r="Q29" s="4" t="b">
        <f ca="1">OR(VALUE(CALC2223!T28)&gt;VALUE(LASTV),VALUE(CALC2223!V28)&gt;VALUE(LASTV),VALUE(CALC2223!X28)&gt;VALUE(LASTV))</f>
        <v>0</v>
      </c>
      <c r="R29" s="4" t="b">
        <f ca="1">OR(VALUE(CALC2223!Z28)&gt;VALUE(LASTV),VALUE(CALC2223!AB28)&gt;VALUE(LASTV),VALUE(CALC2223!AD28)&gt;VALUE(LASTV))</f>
        <v>0</v>
      </c>
      <c r="S29" s="4" t="b">
        <f ca="1">OR(VALUE(CALC2223!AF28)&gt;VALUE(LASTV),VALUE(CALC2223!AH28)&gt;VALUE(LASTV),VALUE(CALC2223!AJ28)&gt;VALUE(LASTV))</f>
        <v>0</v>
      </c>
      <c r="T29" s="4" t="b">
        <f ca="1">OR(VALUE(CALC2223!AL28)&gt;VALUE(LASTV),VALUE(CALC2223!AN28)&gt;VALUE(LASTV),VALUE(CALC2223!AP28)&gt;VALUE(LASTV))</f>
        <v>0</v>
      </c>
      <c r="U29" s="4" t="b">
        <f ca="1">OR(VALUE(CALC2223!AR28)&gt;VALUE(LASTV),VALUE(CALC2223!AT28)&gt;VALUE(LASTV),VALUE(CALC2223!AV28)&gt;VALUE(LASTV))</f>
        <v>0</v>
      </c>
      <c r="V29" s="1"/>
    </row>
    <row r="30" spans="1:22" ht="35.25" hidden="1" customHeight="1">
      <c r="A30" s="45"/>
      <c r="B30" s="46" t="s">
        <v>24</v>
      </c>
      <c r="C30" s="47">
        <v>45928</v>
      </c>
      <c r="D30" s="48" t="str">
        <f ca="1">CONCATENATE(CALC2223!A29," ",CALC2223!C29," ",CALC2223!E29)</f>
        <v xml:space="preserve">  </v>
      </c>
      <c r="E30" s="48" t="str">
        <f ca="1">CONCATENATE(CALC2223!G29," ",CALC2223!I29," ",CALC2223!K29)</f>
        <v xml:space="preserve">  </v>
      </c>
      <c r="F30" s="48" t="str">
        <f ca="1">CONCATENATE(CALC2223!M29," ",CALC2223!O29," ",CALC2223!Q29)</f>
        <v xml:space="preserve">  </v>
      </c>
      <c r="G30" s="48" t="str">
        <f ca="1">CONCATENATE(CALC2223!S29," ",CALC2223!U29," ",CALC2223!W29)</f>
        <v xml:space="preserve">  </v>
      </c>
      <c r="H30" s="48" t="str">
        <f ca="1">CONCATENATE(CALC2223!Y29," ",CALC2223!AA29," ",CALC2223!AC29)</f>
        <v xml:space="preserve">  </v>
      </c>
      <c r="I30" s="48" t="str">
        <f ca="1">CONCATENATE(CALC2223!AE29," ",CALC2223!AG29," ",CALC2223!AI29)</f>
        <v xml:space="preserve">  </v>
      </c>
      <c r="J30" s="48" t="str">
        <f ca="1">CONCATENATE(CALC2223!AK29," ",CALC2223!AM29," ",CALC2223!AO29)</f>
        <v xml:space="preserve">  </v>
      </c>
      <c r="K30" s="48" t="str">
        <f ca="1">CONCATENATE(CALC2223!AQ29," ",CALC2223!AS29," ",CALC2223!AU29," ",CALC2223!AW29)</f>
        <v xml:space="preserve">   </v>
      </c>
      <c r="L30" s="49" t="str">
        <f t="shared" ca="1" si="0"/>
        <v>verleden</v>
      </c>
      <c r="M30" s="1"/>
      <c r="N30" s="4" t="b">
        <f ca="1">OR(VALUE(CALC2223!B29)&gt;VALUE(LASTV),VALUE(CALC2223!D29)&gt;VALUE(LASTV),VALUE(CALC2223!F29)&gt;VALUE(LASTV))</f>
        <v>0</v>
      </c>
      <c r="O30" s="4" t="b">
        <f ca="1">OR(VALUE(CALC2223!H29)&gt;VALUE(LASTV),VALUE(CALC2223!J29)&gt;VALUE(LASTV),VALUE(CALC2223!L29)&gt;VALUE(LASTV))</f>
        <v>0</v>
      </c>
      <c r="P30" s="4" t="b">
        <f ca="1">OR(VALUE(CALC2223!N29)&gt;VALUE(LASTV),VALUE(CALC2223!P29)&gt;VALUE(LASTV),VALUE(CALC2223!R29)&gt;VALUE(LASTV))</f>
        <v>0</v>
      </c>
      <c r="Q30" s="4" t="b">
        <f ca="1">OR(VALUE(CALC2223!T29)&gt;VALUE(LASTV),VALUE(CALC2223!V29)&gt;VALUE(LASTV),VALUE(CALC2223!X29)&gt;VALUE(LASTV))</f>
        <v>0</v>
      </c>
      <c r="R30" s="4" t="b">
        <f ca="1">OR(VALUE(CALC2223!Z29)&gt;VALUE(LASTV),VALUE(CALC2223!AB29)&gt;VALUE(LASTV),VALUE(CALC2223!AD29)&gt;VALUE(LASTV))</f>
        <v>0</v>
      </c>
      <c r="S30" s="4" t="b">
        <f ca="1">OR(VALUE(CALC2223!AF29)&gt;VALUE(LASTV),VALUE(CALC2223!AH29)&gt;VALUE(LASTV),VALUE(CALC2223!AJ29)&gt;VALUE(LASTV))</f>
        <v>0</v>
      </c>
      <c r="T30" s="4" t="b">
        <f ca="1">OR(VALUE(CALC2223!AL29)&gt;VALUE(LASTV),VALUE(CALC2223!AN29)&gt;VALUE(LASTV),VALUE(CALC2223!AP29)&gt;VALUE(LASTV))</f>
        <v>0</v>
      </c>
      <c r="U30" s="4" t="b">
        <f ca="1">OR(VALUE(CALC2223!AR29)&gt;VALUE(LASTV),VALUE(CALC2223!AT29)&gt;VALUE(LASTV),VALUE(CALC2223!AV29)&gt;VALUE(LASTV))</f>
        <v>0</v>
      </c>
      <c r="V30" s="1"/>
    </row>
    <row r="31" spans="1:22" ht="35.25" hidden="1" customHeight="1">
      <c r="A31" s="50">
        <v>40</v>
      </c>
      <c r="B31" s="41" t="s">
        <v>18</v>
      </c>
      <c r="C31" s="42">
        <v>45929</v>
      </c>
      <c r="D31" s="51" t="str">
        <f ca="1">CONCATENATE(CALC2223!A30," ",CALC2223!C30," ",CALC2223!E30)</f>
        <v xml:space="preserve">  </v>
      </c>
      <c r="E31" s="51" t="str">
        <f ca="1">CONCATENATE(CALC2223!G30," ",CALC2223!I30," ",CALC2223!K30)</f>
        <v xml:space="preserve">  </v>
      </c>
      <c r="F31" s="51" t="str">
        <f ca="1">CONCATENATE(CALC2223!M30," ",CALC2223!O30," ",CALC2223!Q30)</f>
        <v xml:space="preserve">Team Ollie  </v>
      </c>
      <c r="G31" s="51" t="str">
        <f ca="1">CONCATENATE(CALC2223!S30," ",CALC2223!U30," ",CALC2223!W30)</f>
        <v xml:space="preserve">  </v>
      </c>
      <c r="H31" s="51" t="str">
        <f ca="1">CONCATENATE(CALC2223!Y30," ",CALC2223!AA30," ",CALC2223!AC30)</f>
        <v xml:space="preserve">  </v>
      </c>
      <c r="I31" s="51" t="str">
        <f ca="1">CONCATENATE(CALC2223!AE30," ",CALC2223!AG30," ",CALC2223!AI30)</f>
        <v xml:space="preserve">excursie ak  </v>
      </c>
      <c r="J31" s="51" t="str">
        <f ca="1">CONCATENATE(CALC2223!AK30," ",CALC2223!AM30," ",CALC2223!AO30)</f>
        <v xml:space="preserve">  </v>
      </c>
      <c r="K31" s="51" t="str">
        <f ca="1">CONCATENATE(CALC2223!AQ30," ",CALC2223!AS30," ",CALC2223!AU30," ",CALC2223!AW30)</f>
        <v xml:space="preserve">ouderavond G3 (19 u) en G6 (20 u)   </v>
      </c>
      <c r="L31" s="52" t="str">
        <f t="shared" ca="1" si="0"/>
        <v>verleden</v>
      </c>
      <c r="M31" s="1"/>
      <c r="N31" s="4" t="b">
        <f ca="1">OR(VALUE(CALC2223!B30)&gt;VALUE(LASTV),VALUE(CALC2223!D30)&gt;VALUE(LASTV),VALUE(CALC2223!F30)&gt;VALUE(LASTV))</f>
        <v>0</v>
      </c>
      <c r="O31" s="4" t="b">
        <f ca="1">OR(VALUE(CALC2223!H30)&gt;VALUE(LASTV),VALUE(CALC2223!J30)&gt;VALUE(LASTV),VALUE(CALC2223!L30)&gt;VALUE(LASTV))</f>
        <v>0</v>
      </c>
      <c r="P31" s="4" t="b">
        <f ca="1">OR(VALUE(CALC2223!N30)&gt;VALUE(LASTV),VALUE(CALC2223!P30)&gt;VALUE(LASTV),VALUE(CALC2223!R30)&gt;VALUE(LASTV))</f>
        <v>0</v>
      </c>
      <c r="Q31" s="4" t="b">
        <f ca="1">OR(VALUE(CALC2223!T30)&gt;VALUE(LASTV),VALUE(CALC2223!V30)&gt;VALUE(LASTV),VALUE(CALC2223!X30)&gt;VALUE(LASTV))</f>
        <v>0</v>
      </c>
      <c r="R31" s="4" t="b">
        <f ca="1">OR(VALUE(CALC2223!Z30)&gt;VALUE(LASTV),VALUE(CALC2223!AB30)&gt;VALUE(LASTV),VALUE(CALC2223!AD30)&gt;VALUE(LASTV))</f>
        <v>0</v>
      </c>
      <c r="S31" s="4" t="b">
        <f ca="1">OR(VALUE(CALC2223!AF30)&gt;VALUE(LASTV),VALUE(CALC2223!AH30)&gt;VALUE(LASTV),VALUE(CALC2223!AJ30)&gt;VALUE(LASTV))</f>
        <v>0</v>
      </c>
      <c r="T31" s="4" t="b">
        <f ca="1">OR(VALUE(CALC2223!AL30)&gt;VALUE(LASTV),VALUE(CALC2223!AN30)&gt;VALUE(LASTV),VALUE(CALC2223!AP30)&gt;VALUE(LASTV))</f>
        <v>0</v>
      </c>
      <c r="U31" s="4" t="b">
        <f ca="1">OR(VALUE(CALC2223!AR30)&gt;VALUE(LASTV),VALUE(CALC2223!AT30)&gt;VALUE(LASTV),VALUE(CALC2223!AV30)&gt;VALUE(LASTV))</f>
        <v>0</v>
      </c>
      <c r="V31" s="1"/>
    </row>
    <row r="32" spans="1:22" ht="35.25" hidden="1" customHeight="1">
      <c r="A32" s="40"/>
      <c r="B32" s="41" t="s">
        <v>19</v>
      </c>
      <c r="C32" s="42">
        <v>45930</v>
      </c>
      <c r="D32" s="51" t="str">
        <f ca="1">CONCATENATE(CALC2223!A31," ",CALC2223!C31," ",CALC2223!E31)</f>
        <v xml:space="preserve">  </v>
      </c>
      <c r="E32" s="51" t="str">
        <f ca="1">CONCATENATE(CALC2223!G31," ",CALC2223!I31," ",CALC2223!K31)</f>
        <v xml:space="preserve">  </v>
      </c>
      <c r="F32" s="51" t="str">
        <f ca="1">CONCATENATE(CALC2223!M31," ",CALC2223!O31," ",CALC2223!Q31)</f>
        <v xml:space="preserve">  </v>
      </c>
      <c r="G32" s="51" t="str">
        <f ca="1">CONCATENATE(CALC2223!S31," ",CALC2223!U31," ",CALC2223!W31)</f>
        <v xml:space="preserve">  </v>
      </c>
      <c r="H32" s="51" t="str">
        <f ca="1">CONCATENATE(CALC2223!Y31," ",CALC2223!AA31," ",CALC2223!AC31)</f>
        <v xml:space="preserve">  </v>
      </c>
      <c r="I32" s="51" t="str">
        <f ca="1">CONCATENATE(CALC2223!AE31," ",CALC2223!AG31," ",CALC2223!AI31)</f>
        <v xml:space="preserve">  </v>
      </c>
      <c r="J32" s="51" t="str">
        <f ca="1">CONCATENATE(CALC2223!AK31," ",CALC2223!AM31," ",CALC2223!AO31)</f>
        <v xml:space="preserve">  </v>
      </c>
      <c r="K32" s="51" t="str">
        <f ca="1">CONCATENATE(CALC2223!AQ31," ",CALC2223!AS31," ",CALC2223!AU31," ",CALC2223!AW31)</f>
        <v xml:space="preserve">   </v>
      </c>
      <c r="L32" s="52" t="str">
        <f t="shared" ca="1" si="0"/>
        <v>verleden</v>
      </c>
      <c r="M32" s="1"/>
      <c r="N32" s="4" t="b">
        <f ca="1">OR(VALUE(CALC2223!B31)&gt;VALUE(LASTV),VALUE(CALC2223!D31)&gt;VALUE(LASTV),VALUE(CALC2223!F31)&gt;VALUE(LASTV))</f>
        <v>0</v>
      </c>
      <c r="O32" s="4" t="b">
        <f ca="1">OR(VALUE(CALC2223!H31)&gt;VALUE(LASTV),VALUE(CALC2223!J31)&gt;VALUE(LASTV),VALUE(CALC2223!L31)&gt;VALUE(LASTV))</f>
        <v>0</v>
      </c>
      <c r="P32" s="4" t="b">
        <f ca="1">OR(VALUE(CALC2223!N31)&gt;VALUE(LASTV),VALUE(CALC2223!P31)&gt;VALUE(LASTV),VALUE(CALC2223!R31)&gt;VALUE(LASTV))</f>
        <v>0</v>
      </c>
      <c r="Q32" s="4" t="b">
        <f ca="1">OR(VALUE(CALC2223!T31)&gt;VALUE(LASTV),VALUE(CALC2223!V31)&gt;VALUE(LASTV),VALUE(CALC2223!X31)&gt;VALUE(LASTV))</f>
        <v>0</v>
      </c>
      <c r="R32" s="4" t="b">
        <f ca="1">OR(VALUE(CALC2223!Z31)&gt;VALUE(LASTV),VALUE(CALC2223!AB31)&gt;VALUE(LASTV),VALUE(CALC2223!AD31)&gt;VALUE(LASTV))</f>
        <v>0</v>
      </c>
      <c r="S32" s="4" t="b">
        <f ca="1">OR(VALUE(CALC2223!AF31)&gt;VALUE(LASTV),VALUE(CALC2223!AH31)&gt;VALUE(LASTV),VALUE(CALC2223!AJ31)&gt;VALUE(LASTV))</f>
        <v>0</v>
      </c>
      <c r="T32" s="4" t="b">
        <f ca="1">OR(VALUE(CALC2223!AL31)&gt;VALUE(LASTV),VALUE(CALC2223!AN31)&gt;VALUE(LASTV),VALUE(CALC2223!AP31)&gt;VALUE(LASTV))</f>
        <v>0</v>
      </c>
      <c r="U32" s="4" t="b">
        <f ca="1">OR(VALUE(CALC2223!AR31)&gt;VALUE(LASTV),VALUE(CALC2223!AT31)&gt;VALUE(LASTV),VALUE(CALC2223!AV31)&gt;VALUE(LASTV))</f>
        <v>0</v>
      </c>
      <c r="V32" s="1"/>
    </row>
    <row r="33" spans="1:22" ht="35.25" hidden="1" customHeight="1">
      <c r="A33" s="40"/>
      <c r="B33" s="41" t="s">
        <v>20</v>
      </c>
      <c r="C33" s="42">
        <v>45931</v>
      </c>
      <c r="D33" s="51" t="str">
        <f ca="1">CONCATENATE(CALC2223!A32," ",CALC2223!C32," ",CALC2223!E32)</f>
        <v xml:space="preserve">  </v>
      </c>
      <c r="E33" s="51" t="str">
        <f ca="1">CONCATENATE(CALC2223!G32," ",CALC2223!I32," ",CALC2223!K32)</f>
        <v xml:space="preserve">  </v>
      </c>
      <c r="F33" s="51" t="str">
        <f ca="1">CONCATENATE(CALC2223!M32," ",CALC2223!O32," ",CALC2223!Q32)</f>
        <v xml:space="preserve">  </v>
      </c>
      <c r="G33" s="51" t="str">
        <f ca="1">CONCATENATE(CALC2223!S32," ",CALC2223!U32," ",CALC2223!W32)</f>
        <v xml:space="preserve">  </v>
      </c>
      <c r="H33" s="51" t="str">
        <f ca="1">CONCATENATE(CALC2223!Y32," ",CALC2223!AA32," ",CALC2223!AC32)</f>
        <v xml:space="preserve">Rep BI  </v>
      </c>
      <c r="I33" s="51" t="str">
        <f ca="1">CONCATENATE(CALC2223!AE32," ",CALC2223!AG32," ",CALC2223!AI32)</f>
        <v xml:space="preserve">  </v>
      </c>
      <c r="J33" s="51" t="str">
        <f ca="1">CONCATENATE(CALC2223!AK32," ",CALC2223!AM32," ",CALC2223!AO32)</f>
        <v xml:space="preserve">  </v>
      </c>
      <c r="K33" s="51" t="str">
        <f ca="1">CONCATENATE(CALC2223!AQ32," ",CALC2223!AS32," ",CALC2223!AU32," ",CALC2223!AW32)</f>
        <v xml:space="preserve">ouderavond G1 (19 u) en G4 (20 u)   </v>
      </c>
      <c r="L33" s="52" t="str">
        <f t="shared" ca="1" si="0"/>
        <v>verleden</v>
      </c>
      <c r="M33" s="1"/>
      <c r="N33" s="4" t="b">
        <f ca="1">OR(VALUE(CALC2223!B32)&gt;VALUE(LASTV),VALUE(CALC2223!D32)&gt;VALUE(LASTV),VALUE(CALC2223!F32)&gt;VALUE(LASTV))</f>
        <v>0</v>
      </c>
      <c r="O33" s="4" t="b">
        <f ca="1">OR(VALUE(CALC2223!H32)&gt;VALUE(LASTV),VALUE(CALC2223!J32)&gt;VALUE(LASTV),VALUE(CALC2223!L32)&gt;VALUE(LASTV))</f>
        <v>0</v>
      </c>
      <c r="P33" s="4" t="b">
        <f ca="1">OR(VALUE(CALC2223!N32)&gt;VALUE(LASTV),VALUE(CALC2223!P32)&gt;VALUE(LASTV),VALUE(CALC2223!R32)&gt;VALUE(LASTV))</f>
        <v>0</v>
      </c>
      <c r="Q33" s="4" t="b">
        <f ca="1">OR(VALUE(CALC2223!T32)&gt;VALUE(LASTV),VALUE(CALC2223!V32)&gt;VALUE(LASTV),VALUE(CALC2223!X32)&gt;VALUE(LASTV))</f>
        <v>0</v>
      </c>
      <c r="R33" s="4" t="b">
        <f ca="1">OR(VALUE(CALC2223!Z32)&gt;VALUE(LASTV),VALUE(CALC2223!AB32)&gt;VALUE(LASTV),VALUE(CALC2223!AD32)&gt;VALUE(LASTV))</f>
        <v>0</v>
      </c>
      <c r="S33" s="4" t="b">
        <f ca="1">OR(VALUE(CALC2223!AF32)&gt;VALUE(LASTV),VALUE(CALC2223!AH32)&gt;VALUE(LASTV),VALUE(CALC2223!AJ32)&gt;VALUE(LASTV))</f>
        <v>0</v>
      </c>
      <c r="T33" s="4" t="b">
        <f ca="1">OR(VALUE(CALC2223!AL32)&gt;VALUE(LASTV),VALUE(CALC2223!AN32)&gt;VALUE(LASTV),VALUE(CALC2223!AP32)&gt;VALUE(LASTV))</f>
        <v>0</v>
      </c>
      <c r="U33" s="4" t="b">
        <f ca="1">OR(VALUE(CALC2223!AR32)&gt;VALUE(LASTV),VALUE(CALC2223!AT32)&gt;VALUE(LASTV),VALUE(CALC2223!AV32)&gt;VALUE(LASTV))</f>
        <v>0</v>
      </c>
      <c r="V33" s="1"/>
    </row>
    <row r="34" spans="1:22" ht="35.25" hidden="1" customHeight="1">
      <c r="A34" s="40"/>
      <c r="B34" s="41" t="s">
        <v>21</v>
      </c>
      <c r="C34" s="42">
        <v>45932</v>
      </c>
      <c r="D34" s="51" t="str">
        <f ca="1">CONCATENATE(CALC2223!A33," ",CALC2223!C33," ",CALC2223!E33)</f>
        <v xml:space="preserve">  </v>
      </c>
      <c r="E34" s="51" t="str">
        <f ca="1">CONCATENATE(CALC2223!G33," ",CALC2223!I33," ",CALC2223!K33)</f>
        <v xml:space="preserve">  </v>
      </c>
      <c r="F34" s="51" t="str">
        <f ca="1">CONCATENATE(CALC2223!M33," ",CALC2223!O33," ",CALC2223!Q33)</f>
        <v xml:space="preserve">Rep GES  </v>
      </c>
      <c r="G34" s="51" t="str">
        <f ca="1">CONCATENATE(CALC2223!S33," ",CALC2223!U33," ",CALC2223!W33)</f>
        <v xml:space="preserve">  </v>
      </c>
      <c r="H34" s="51" t="str">
        <f ca="1">CONCATENATE(CALC2223!Y33," ",CALC2223!AA33," ",CALC2223!AC33)</f>
        <v xml:space="preserve">  </v>
      </c>
      <c r="I34" s="51" t="str">
        <f ca="1">CONCATENATE(CALC2223!AE33," ",CALC2223!AG33," ",CALC2223!AI33)</f>
        <v xml:space="preserve">LO1:3  </v>
      </c>
      <c r="J34" s="51" t="str">
        <f ca="1">CONCATENATE(CALC2223!AK33," ",CALC2223!AM33," ",CALC2223!AO33)</f>
        <v xml:space="preserve">secties#2/afscheid Jeanette  </v>
      </c>
      <c r="K34" s="51" t="str">
        <f ca="1">CONCATENATE(CALC2223!AQ33," ",CALC2223!AS33," ",CALC2223!AU33," ",CALC2223!AW33)</f>
        <v xml:space="preserve">   </v>
      </c>
      <c r="L34" s="52" t="str">
        <f t="shared" ca="1" si="0"/>
        <v>verleden</v>
      </c>
      <c r="M34" s="1"/>
      <c r="N34" s="4" t="b">
        <f ca="1">OR(VALUE(CALC2223!B33)&gt;VALUE(LASTV),VALUE(CALC2223!D33)&gt;VALUE(LASTV),VALUE(CALC2223!F33)&gt;VALUE(LASTV))</f>
        <v>0</v>
      </c>
      <c r="O34" s="4" t="b">
        <f ca="1">OR(VALUE(CALC2223!H33)&gt;VALUE(LASTV),VALUE(CALC2223!J33)&gt;VALUE(LASTV),VALUE(CALC2223!L33)&gt;VALUE(LASTV))</f>
        <v>0</v>
      </c>
      <c r="P34" s="4" t="b">
        <f ca="1">OR(VALUE(CALC2223!N33)&gt;VALUE(LASTV),VALUE(CALC2223!P33)&gt;VALUE(LASTV),VALUE(CALC2223!R33)&gt;VALUE(LASTV))</f>
        <v>0</v>
      </c>
      <c r="Q34" s="4" t="b">
        <f ca="1">OR(VALUE(CALC2223!T33)&gt;VALUE(LASTV),VALUE(CALC2223!V33)&gt;VALUE(LASTV),VALUE(CALC2223!X33)&gt;VALUE(LASTV))</f>
        <v>0</v>
      </c>
      <c r="R34" s="4" t="b">
        <f ca="1">OR(VALUE(CALC2223!Z33)&gt;VALUE(LASTV),VALUE(CALC2223!AB33)&gt;VALUE(LASTV),VALUE(CALC2223!AD33)&gt;VALUE(LASTV))</f>
        <v>0</v>
      </c>
      <c r="S34" s="4" t="b">
        <f ca="1">OR(VALUE(CALC2223!AF33)&gt;VALUE(LASTV),VALUE(CALC2223!AH33)&gt;VALUE(LASTV),VALUE(CALC2223!AJ33)&gt;VALUE(LASTV))</f>
        <v>0</v>
      </c>
      <c r="T34" s="4" t="b">
        <f ca="1">OR(VALUE(CALC2223!AL33)&gt;VALUE(LASTV),VALUE(CALC2223!AN33)&gt;VALUE(LASTV),VALUE(CALC2223!AP33)&gt;VALUE(LASTV))</f>
        <v>0</v>
      </c>
      <c r="U34" s="4" t="b">
        <f ca="1">OR(VALUE(CALC2223!AR33)&gt;VALUE(LASTV),VALUE(CALC2223!AT33)&gt;VALUE(LASTV),VALUE(CALC2223!AV33)&gt;VALUE(LASTV))</f>
        <v>0</v>
      </c>
      <c r="V34" s="1"/>
    </row>
    <row r="35" spans="1:22" ht="35.25" hidden="1" customHeight="1">
      <c r="A35" s="40"/>
      <c r="B35" s="41" t="s">
        <v>22</v>
      </c>
      <c r="C35" s="42">
        <v>45933</v>
      </c>
      <c r="D35" s="51" t="str">
        <f ca="1">CONCATENATE(CALC2223!A34," ",CALC2223!C34," ",CALC2223!E34)</f>
        <v xml:space="preserve">  </v>
      </c>
      <c r="E35" s="51" t="str">
        <f ca="1">CONCATENATE(CALC2223!G34," ",CALC2223!I34," ",CALC2223!K34)</f>
        <v xml:space="preserve">Rep BIO  </v>
      </c>
      <c r="F35" s="51" t="str">
        <f ca="1">CONCATENATE(CALC2223!M34," ",CALC2223!O34," ",CALC2223!Q34)</f>
        <v xml:space="preserve">  </v>
      </c>
      <c r="G35" s="51" t="str">
        <f ca="1">CONCATENATE(CALC2223!S34," ",CALC2223!U34," ",CALC2223!W34)</f>
        <v xml:space="preserve">  </v>
      </c>
      <c r="H35" s="51" t="str">
        <f ca="1">CONCATENATE(CALC2223!Y34," ",CALC2223!AA34," ",CALC2223!AC34)</f>
        <v xml:space="preserve">  </v>
      </c>
      <c r="I35" s="51" t="str">
        <f ca="1">CONCATENATE(CALC2223!AE34," ",CALC2223!AG34," ",CALC2223!AI34)</f>
        <v xml:space="preserve">PWS conceptversie  </v>
      </c>
      <c r="J35" s="51" t="str">
        <f ca="1">CONCATENATE(CALC2223!AK34," ",CALC2223!AM34," ",CALC2223!AO34)</f>
        <v xml:space="preserve">  </v>
      </c>
      <c r="K35" s="51" t="str">
        <f ca="1">CONCATENATE(CALC2223!AQ34," ",CALC2223!AS34," ",CALC2223!AU34," ",CALC2223!AW34)</f>
        <v xml:space="preserve">   </v>
      </c>
      <c r="L35" s="52" t="str">
        <f t="shared" ca="1" si="0"/>
        <v>verleden</v>
      </c>
      <c r="M35" s="1"/>
      <c r="N35" s="4" t="b">
        <f ca="1">OR(VALUE(CALC2223!B34)&gt;VALUE(LASTV),VALUE(CALC2223!D34)&gt;VALUE(LASTV),VALUE(CALC2223!F34)&gt;VALUE(LASTV))</f>
        <v>0</v>
      </c>
      <c r="O35" s="4" t="b">
        <f ca="1">OR(VALUE(CALC2223!H34)&gt;VALUE(LASTV),VALUE(CALC2223!J34)&gt;VALUE(LASTV),VALUE(CALC2223!L34)&gt;VALUE(LASTV))</f>
        <v>0</v>
      </c>
      <c r="P35" s="4" t="b">
        <f ca="1">OR(VALUE(CALC2223!N34)&gt;VALUE(LASTV),VALUE(CALC2223!P34)&gt;VALUE(LASTV),VALUE(CALC2223!R34)&gt;VALUE(LASTV))</f>
        <v>0</v>
      </c>
      <c r="Q35" s="4" t="b">
        <f ca="1">OR(VALUE(CALC2223!T34)&gt;VALUE(LASTV),VALUE(CALC2223!V34)&gt;VALUE(LASTV),VALUE(CALC2223!X34)&gt;VALUE(LASTV))</f>
        <v>0</v>
      </c>
      <c r="R35" s="4" t="b">
        <f ca="1">OR(VALUE(CALC2223!Z34)&gt;VALUE(LASTV),VALUE(CALC2223!AB34)&gt;VALUE(LASTV),VALUE(CALC2223!AD34)&gt;VALUE(LASTV))</f>
        <v>0</v>
      </c>
      <c r="S35" s="4" t="b">
        <f ca="1">OR(VALUE(CALC2223!AF34)&gt;VALUE(LASTV),VALUE(CALC2223!AH34)&gt;VALUE(LASTV),VALUE(CALC2223!AJ34)&gt;VALUE(LASTV))</f>
        <v>0</v>
      </c>
      <c r="T35" s="4" t="b">
        <f ca="1">OR(VALUE(CALC2223!AL34)&gt;VALUE(LASTV),VALUE(CALC2223!AN34)&gt;VALUE(LASTV),VALUE(CALC2223!AP34)&gt;VALUE(LASTV))</f>
        <v>0</v>
      </c>
      <c r="U35" s="4" t="b">
        <f ca="1">OR(VALUE(CALC2223!AR34)&gt;VALUE(LASTV),VALUE(CALC2223!AT34)&gt;VALUE(LASTV),VALUE(CALC2223!AV34)&gt;VALUE(LASTV))</f>
        <v>0</v>
      </c>
      <c r="V35" s="1"/>
    </row>
    <row r="36" spans="1:22" ht="35.25" hidden="1" customHeight="1">
      <c r="A36" s="45"/>
      <c r="B36" s="46" t="s">
        <v>23</v>
      </c>
      <c r="C36" s="47">
        <v>45934</v>
      </c>
      <c r="D36" s="48" t="str">
        <f ca="1">CONCATENATE(CALC2223!A35," ",CALC2223!C35," ",CALC2223!E35)</f>
        <v xml:space="preserve">  </v>
      </c>
      <c r="E36" s="48" t="str">
        <f ca="1">CONCATENATE(CALC2223!G35," ",CALC2223!I35," ",CALC2223!K35)</f>
        <v xml:space="preserve">  </v>
      </c>
      <c r="F36" s="48" t="str">
        <f ca="1">CONCATENATE(CALC2223!M35," ",CALC2223!O35," ",CALC2223!Q35)</f>
        <v xml:space="preserve">  </v>
      </c>
      <c r="G36" s="48" t="str">
        <f ca="1">CONCATENATE(CALC2223!S35," ",CALC2223!U35," ",CALC2223!W35)</f>
        <v xml:space="preserve">  </v>
      </c>
      <c r="H36" s="48" t="str">
        <f ca="1">CONCATENATE(CALC2223!Y35," ",CALC2223!AA35," ",CALC2223!AC35)</f>
        <v xml:space="preserve">  </v>
      </c>
      <c r="I36" s="48" t="str">
        <f ca="1">CONCATENATE(CALC2223!AE35," ",CALC2223!AG35," ",CALC2223!AI35)</f>
        <v xml:space="preserve">  </v>
      </c>
      <c r="J36" s="48" t="str">
        <f ca="1">CONCATENATE(CALC2223!AK35," ",CALC2223!AM35," ",CALC2223!AO35)</f>
        <v xml:space="preserve">  </v>
      </c>
      <c r="K36" s="48" t="str">
        <f ca="1">CONCATENATE(CALC2223!AQ35," ",CALC2223!AS35," ",CALC2223!AU35," ",CALC2223!AW35)</f>
        <v xml:space="preserve">   </v>
      </c>
      <c r="L36" s="49" t="str">
        <f t="shared" ca="1" si="0"/>
        <v>verleden</v>
      </c>
      <c r="M36" s="1"/>
      <c r="N36" s="4" t="b">
        <f ca="1">OR(VALUE(CALC2223!B35)&gt;VALUE(LASTV),VALUE(CALC2223!D35)&gt;VALUE(LASTV),VALUE(CALC2223!F35)&gt;VALUE(LASTV))</f>
        <v>0</v>
      </c>
      <c r="O36" s="4" t="b">
        <f ca="1">OR(VALUE(CALC2223!H35)&gt;VALUE(LASTV),VALUE(CALC2223!J35)&gt;VALUE(LASTV),VALUE(CALC2223!L35)&gt;VALUE(LASTV))</f>
        <v>0</v>
      </c>
      <c r="P36" s="4" t="b">
        <f ca="1">OR(VALUE(CALC2223!N35)&gt;VALUE(LASTV),VALUE(CALC2223!P35)&gt;VALUE(LASTV),VALUE(CALC2223!R35)&gt;VALUE(LASTV))</f>
        <v>0</v>
      </c>
      <c r="Q36" s="4" t="b">
        <f ca="1">OR(VALUE(CALC2223!T35)&gt;VALUE(LASTV),VALUE(CALC2223!V35)&gt;VALUE(LASTV),VALUE(CALC2223!X35)&gt;VALUE(LASTV))</f>
        <v>0</v>
      </c>
      <c r="R36" s="4" t="b">
        <f ca="1">OR(VALUE(CALC2223!Z35)&gt;VALUE(LASTV),VALUE(CALC2223!AB35)&gt;VALUE(LASTV),VALUE(CALC2223!AD35)&gt;VALUE(LASTV))</f>
        <v>0</v>
      </c>
      <c r="S36" s="4" t="b">
        <f ca="1">OR(VALUE(CALC2223!AF35)&gt;VALUE(LASTV),VALUE(CALC2223!AH35)&gt;VALUE(LASTV),VALUE(CALC2223!AJ35)&gt;VALUE(LASTV))</f>
        <v>0</v>
      </c>
      <c r="T36" s="4" t="b">
        <f ca="1">OR(VALUE(CALC2223!AL35)&gt;VALUE(LASTV),VALUE(CALC2223!AN35)&gt;VALUE(LASTV),VALUE(CALC2223!AP35)&gt;VALUE(LASTV))</f>
        <v>0</v>
      </c>
      <c r="U36" s="4" t="b">
        <f ca="1">OR(VALUE(CALC2223!AR35)&gt;VALUE(LASTV),VALUE(CALC2223!AT35)&gt;VALUE(LASTV),VALUE(CALC2223!AV35)&gt;VALUE(LASTV))</f>
        <v>0</v>
      </c>
      <c r="V36" s="1"/>
    </row>
    <row r="37" spans="1:22" ht="35.25" hidden="1" customHeight="1">
      <c r="A37" s="45"/>
      <c r="B37" s="46" t="s">
        <v>24</v>
      </c>
      <c r="C37" s="47">
        <v>45935</v>
      </c>
      <c r="D37" s="48" t="str">
        <f ca="1">CONCATENATE(CALC2223!A36," ",CALC2223!C36," ",CALC2223!E36)</f>
        <v xml:space="preserve">  </v>
      </c>
      <c r="E37" s="48" t="str">
        <f ca="1">CONCATENATE(CALC2223!G36," ",CALC2223!I36," ",CALC2223!K36)</f>
        <v xml:space="preserve">  </v>
      </c>
      <c r="F37" s="48" t="str">
        <f ca="1">CONCATENATE(CALC2223!M36," ",CALC2223!O36," ",CALC2223!Q36)</f>
        <v xml:space="preserve">  </v>
      </c>
      <c r="G37" s="48" t="str">
        <f ca="1">CONCATENATE(CALC2223!S36," ",CALC2223!U36," ",CALC2223!W36)</f>
        <v xml:space="preserve">  </v>
      </c>
      <c r="H37" s="48" t="str">
        <f ca="1">CONCATENATE(CALC2223!Y36," ",CALC2223!AA36," ",CALC2223!AC36)</f>
        <v xml:space="preserve">  </v>
      </c>
      <c r="I37" s="48" t="str">
        <f ca="1">CONCATENATE(CALC2223!AE36," ",CALC2223!AG36," ",CALC2223!AI36)</f>
        <v xml:space="preserve">  </v>
      </c>
      <c r="J37" s="48" t="str">
        <f ca="1">CONCATENATE(CALC2223!AK36," ",CALC2223!AM36," ",CALC2223!AO36)</f>
        <v xml:space="preserve">  </v>
      </c>
      <c r="K37" s="48" t="str">
        <f ca="1">CONCATENATE(CALC2223!AQ36," ",CALC2223!AS36," ",CALC2223!AU36," ",CALC2223!AW36)</f>
        <v xml:space="preserve">   </v>
      </c>
      <c r="L37" s="49" t="str">
        <f t="shared" ca="1" si="0"/>
        <v>verleden</v>
      </c>
      <c r="M37" s="1"/>
      <c r="N37" s="4" t="b">
        <f ca="1">OR(VALUE(CALC2223!B36)&gt;VALUE(LASTV),VALUE(CALC2223!D36)&gt;VALUE(LASTV),VALUE(CALC2223!F36)&gt;VALUE(LASTV))</f>
        <v>0</v>
      </c>
      <c r="O37" s="4" t="b">
        <f ca="1">OR(VALUE(CALC2223!H36)&gt;VALUE(LASTV),VALUE(CALC2223!J36)&gt;VALUE(LASTV),VALUE(CALC2223!L36)&gt;VALUE(LASTV))</f>
        <v>0</v>
      </c>
      <c r="P37" s="4" t="b">
        <f ca="1">OR(VALUE(CALC2223!N36)&gt;VALUE(LASTV),VALUE(CALC2223!P36)&gt;VALUE(LASTV),VALUE(CALC2223!R36)&gt;VALUE(LASTV))</f>
        <v>0</v>
      </c>
      <c r="Q37" s="4" t="b">
        <f ca="1">OR(VALUE(CALC2223!T36)&gt;VALUE(LASTV),VALUE(CALC2223!V36)&gt;VALUE(LASTV),VALUE(CALC2223!X36)&gt;VALUE(LASTV))</f>
        <v>0</v>
      </c>
      <c r="R37" s="4" t="b">
        <f ca="1">OR(VALUE(CALC2223!Z36)&gt;VALUE(LASTV),VALUE(CALC2223!AB36)&gt;VALUE(LASTV),VALUE(CALC2223!AD36)&gt;VALUE(LASTV))</f>
        <v>0</v>
      </c>
      <c r="S37" s="4" t="b">
        <f ca="1">OR(VALUE(CALC2223!AF36)&gt;VALUE(LASTV),VALUE(CALC2223!AH36)&gt;VALUE(LASTV),VALUE(CALC2223!AJ36)&gt;VALUE(LASTV))</f>
        <v>0</v>
      </c>
      <c r="T37" s="4" t="b">
        <f ca="1">OR(VALUE(CALC2223!AL36)&gt;VALUE(LASTV),VALUE(CALC2223!AN36)&gt;VALUE(LASTV),VALUE(CALC2223!AP36)&gt;VALUE(LASTV))</f>
        <v>0</v>
      </c>
      <c r="U37" s="4" t="b">
        <f ca="1">OR(VALUE(CALC2223!AR36)&gt;VALUE(LASTV),VALUE(CALC2223!AT36)&gt;VALUE(LASTV),VALUE(CALC2223!AV36)&gt;VALUE(LASTV))</f>
        <v>0</v>
      </c>
      <c r="V37" s="1"/>
    </row>
    <row r="38" spans="1:22" ht="35.25" hidden="1" customHeight="1">
      <c r="A38" s="50">
        <v>41</v>
      </c>
      <c r="B38" s="41" t="s">
        <v>18</v>
      </c>
      <c r="C38" s="42">
        <v>45936</v>
      </c>
      <c r="D38" s="51" t="str">
        <f ca="1">CONCATENATE(CALC2223!A37," ",CALC2223!C37," ",CALC2223!E37)</f>
        <v xml:space="preserve">  </v>
      </c>
      <c r="E38" s="51" t="str">
        <f ca="1">CONCATENATE(CALC2223!G37," ",CALC2223!I37," ",CALC2223!K37)</f>
        <v xml:space="preserve">  </v>
      </c>
      <c r="F38" s="51" t="str">
        <f ca="1">CONCATENATE(CALC2223!M37," ",CALC2223!O37," ",CALC2223!Q37)</f>
        <v xml:space="preserve">  </v>
      </c>
      <c r="G38" s="51" t="str">
        <f ca="1">CONCATENATE(CALC2223!S37," ",CALC2223!U37," ",CALC2223!W37)</f>
        <v xml:space="preserve">  </v>
      </c>
      <c r="H38" s="51" t="str">
        <f ca="1">CONCATENATE(CALC2223!Y37," ",CALC2223!AA37," ",CALC2223!AC37)</f>
        <v xml:space="preserve">SE AK  </v>
      </c>
      <c r="I38" s="51" t="str">
        <f ca="1">CONCATENATE(CALC2223!AE37," ",CALC2223!AG37," ",CALC2223!AI37)</f>
        <v xml:space="preserve">  </v>
      </c>
      <c r="J38" s="51" t="str">
        <f ca="1">CONCATENATE(CALC2223!AK37," ",CALC2223!AM37," ",CALC2223!AO37)</f>
        <v xml:space="preserve">  </v>
      </c>
      <c r="K38" s="51" t="str">
        <f ca="1">CONCATENATE(CALC2223!AQ37," ",CALC2223!AS37," ",CALC2223!AU37," ",CALC2223!AW37)</f>
        <v xml:space="preserve">   </v>
      </c>
      <c r="L38" s="52" t="str">
        <f t="shared" ca="1" si="0"/>
        <v>verleden</v>
      </c>
      <c r="M38" s="1"/>
      <c r="N38" s="4" t="b">
        <f ca="1">OR(VALUE(CALC2223!B37)&gt;VALUE(LASTV),VALUE(CALC2223!D37)&gt;VALUE(LASTV),VALUE(CALC2223!F37)&gt;VALUE(LASTV))</f>
        <v>0</v>
      </c>
      <c r="O38" s="4" t="b">
        <f ca="1">OR(VALUE(CALC2223!H37)&gt;VALUE(LASTV),VALUE(CALC2223!J37)&gt;VALUE(LASTV),VALUE(CALC2223!L37)&gt;VALUE(LASTV))</f>
        <v>0</v>
      </c>
      <c r="P38" s="4" t="b">
        <f ca="1">OR(VALUE(CALC2223!N37)&gt;VALUE(LASTV),VALUE(CALC2223!P37)&gt;VALUE(LASTV),VALUE(CALC2223!R37)&gt;VALUE(LASTV))</f>
        <v>0</v>
      </c>
      <c r="Q38" s="4" t="b">
        <f ca="1">OR(VALUE(CALC2223!T37)&gt;VALUE(LASTV),VALUE(CALC2223!V37)&gt;VALUE(LASTV),VALUE(CALC2223!X37)&gt;VALUE(LASTV))</f>
        <v>0</v>
      </c>
      <c r="R38" s="4" t="b">
        <f ca="1">OR(VALUE(CALC2223!Z37)&gt;VALUE(LASTV),VALUE(CALC2223!AB37)&gt;VALUE(LASTV),VALUE(CALC2223!AD37)&gt;VALUE(LASTV))</f>
        <v>0</v>
      </c>
      <c r="S38" s="4" t="b">
        <f ca="1">OR(VALUE(CALC2223!AF37)&gt;VALUE(LASTV),VALUE(CALC2223!AH37)&gt;VALUE(LASTV),VALUE(CALC2223!AJ37)&gt;VALUE(LASTV))</f>
        <v>0</v>
      </c>
      <c r="T38" s="4" t="b">
        <f ca="1">OR(VALUE(CALC2223!AL37)&gt;VALUE(LASTV),VALUE(CALC2223!AN37)&gt;VALUE(LASTV),VALUE(CALC2223!AP37)&gt;VALUE(LASTV))</f>
        <v>0</v>
      </c>
      <c r="U38" s="4" t="b">
        <f ca="1">OR(VALUE(CALC2223!AR37)&gt;VALUE(LASTV),VALUE(CALC2223!AT37)&gt;VALUE(LASTV),VALUE(CALC2223!AV37)&gt;VALUE(LASTV))</f>
        <v>0</v>
      </c>
      <c r="V38" s="1"/>
    </row>
    <row r="39" spans="1:22" ht="35.25" hidden="1" customHeight="1">
      <c r="A39" s="40"/>
      <c r="B39" s="41" t="s">
        <v>19</v>
      </c>
      <c r="C39" s="42">
        <v>45937</v>
      </c>
      <c r="D39" s="51" t="str">
        <f ca="1">CONCATENATE(CALC2223!A38," ",CALC2223!C38," ",CALC2223!E38)</f>
        <v xml:space="preserve">  </v>
      </c>
      <c r="E39" s="51" t="str">
        <f ca="1">CONCATENATE(CALC2223!G38," ",CALC2223!I38," ",CALC2223!K38)</f>
        <v xml:space="preserve">  </v>
      </c>
      <c r="F39" s="51" t="str">
        <f ca="1">CONCATENATE(CALC2223!M38," ",CALC2223!O38," ",CALC2223!Q38)</f>
        <v xml:space="preserve">  </v>
      </c>
      <c r="G39" s="51" t="str">
        <f ca="1">CONCATENATE(CALC2223!S38," ",CALC2223!U38," ",CALC2223!W38)</f>
        <v xml:space="preserve">  </v>
      </c>
      <c r="H39" s="51" t="str">
        <f ca="1">CONCATENATE(CALC2223!Y38," ",CALC2223!AA38," ",CALC2223!AC38)</f>
        <v xml:space="preserve">  </v>
      </c>
      <c r="I39" s="51" t="str">
        <f ca="1">CONCATENATE(CALC2223!AE38," ",CALC2223!AG38," ",CALC2223!AI38)</f>
        <v xml:space="preserve">  </v>
      </c>
      <c r="J39" s="51" t="str">
        <f ca="1">CONCATENATE(CALC2223!AK38," ",CALC2223!AM38," ",CALC2223!AO38)</f>
        <v xml:space="preserve">  </v>
      </c>
      <c r="K39" s="51" t="str">
        <f ca="1">CONCATENATE(CALC2223!AQ38," ",CALC2223!AS38," ",CALC2223!AU38," ",CALC2223!AW38)</f>
        <v xml:space="preserve">   </v>
      </c>
      <c r="L39" s="52" t="str">
        <f t="shared" ca="1" si="0"/>
        <v>verleden</v>
      </c>
      <c r="M39" s="1"/>
      <c r="N39" s="4" t="b">
        <f ca="1">OR(VALUE(CALC2223!B38)&gt;VALUE(LASTV),VALUE(CALC2223!D38)&gt;VALUE(LASTV),VALUE(CALC2223!F38)&gt;VALUE(LASTV))</f>
        <v>0</v>
      </c>
      <c r="O39" s="4" t="b">
        <f ca="1">OR(VALUE(CALC2223!H38)&gt;VALUE(LASTV),VALUE(CALC2223!J38)&gt;VALUE(LASTV),VALUE(CALC2223!L38)&gt;VALUE(LASTV))</f>
        <v>0</v>
      </c>
      <c r="P39" s="4" t="b">
        <f ca="1">OR(VALUE(CALC2223!N38)&gt;VALUE(LASTV),VALUE(CALC2223!P38)&gt;VALUE(LASTV),VALUE(CALC2223!R38)&gt;VALUE(LASTV))</f>
        <v>0</v>
      </c>
      <c r="Q39" s="4" t="b">
        <f ca="1">OR(VALUE(CALC2223!T38)&gt;VALUE(LASTV),VALUE(CALC2223!V38)&gt;VALUE(LASTV),VALUE(CALC2223!X38)&gt;VALUE(LASTV))</f>
        <v>0</v>
      </c>
      <c r="R39" s="4" t="b">
        <f ca="1">OR(VALUE(CALC2223!Z38)&gt;VALUE(LASTV),VALUE(CALC2223!AB38)&gt;VALUE(LASTV),VALUE(CALC2223!AD38)&gt;VALUE(LASTV))</f>
        <v>0</v>
      </c>
      <c r="S39" s="4" t="b">
        <f ca="1">OR(VALUE(CALC2223!AF38)&gt;VALUE(LASTV),VALUE(CALC2223!AH38)&gt;VALUE(LASTV),VALUE(CALC2223!AJ38)&gt;VALUE(LASTV))</f>
        <v>0</v>
      </c>
      <c r="T39" s="4" t="b">
        <f ca="1">OR(VALUE(CALC2223!AL38)&gt;VALUE(LASTV),VALUE(CALC2223!AN38)&gt;VALUE(LASTV),VALUE(CALC2223!AP38)&gt;VALUE(LASTV))</f>
        <v>0</v>
      </c>
      <c r="U39" s="4" t="b">
        <f ca="1">OR(VALUE(CALC2223!AR38)&gt;VALUE(LASTV),VALUE(CALC2223!AT38)&gt;VALUE(LASTV),VALUE(CALC2223!AV38)&gt;VALUE(LASTV))</f>
        <v>0</v>
      </c>
      <c r="V39" s="1"/>
    </row>
    <row r="40" spans="1:22" ht="35.25" hidden="1" customHeight="1">
      <c r="A40" s="40"/>
      <c r="B40" s="41" t="s">
        <v>20</v>
      </c>
      <c r="C40" s="42">
        <v>45938</v>
      </c>
      <c r="D40" s="51" t="str">
        <f ca="1">CONCATENATE(CALC2223!A39," ",CALC2223!C39," ",CALC2223!E39)</f>
        <v xml:space="preserve">  </v>
      </c>
      <c r="E40" s="51" t="str">
        <f ca="1">CONCATENATE(CALC2223!G39," ",CALC2223!I39," ",CALC2223!K39)</f>
        <v xml:space="preserve">  </v>
      </c>
      <c r="F40" s="51" t="str">
        <f ca="1">CONCATENATE(CALC2223!M39," ",CALC2223!O39," ",CALC2223!Q39)</f>
        <v xml:space="preserve">  </v>
      </c>
      <c r="G40" s="51" t="str">
        <f ca="1">CONCATENATE(CALC2223!S39," ",CALC2223!U39," ",CALC2223!W39)</f>
        <v xml:space="preserve">KUBVexcursie  </v>
      </c>
      <c r="H40" s="51" t="str">
        <f ca="1">CONCATENATE(CALC2223!Y39," ",CALC2223!AA39," ",CALC2223!AC39)</f>
        <v xml:space="preserve">KUBVexcursie/Rep BE  </v>
      </c>
      <c r="I40" s="51" t="str">
        <f ca="1">CONCATENATE(CALC2223!AE39," ",CALC2223!AG39," ",CALC2223!AI39)</f>
        <v xml:space="preserve">  </v>
      </c>
      <c r="J40" s="51" t="str">
        <f ca="1">CONCATENATE(CALC2223!AK39," ",CALC2223!AM39," ",CALC2223!AO39)</f>
        <v xml:space="preserve">  </v>
      </c>
      <c r="K40" s="51" t="str">
        <f ca="1">CONCATENATE(CALC2223!AQ39," ",CALC2223!AS39," ",CALC2223!AU39," ",CALC2223!AW39)</f>
        <v xml:space="preserve">   </v>
      </c>
      <c r="L40" s="52" t="str">
        <f t="shared" ca="1" si="0"/>
        <v>verleden</v>
      </c>
      <c r="M40" s="1"/>
      <c r="N40" s="4" t="b">
        <f ca="1">OR(VALUE(CALC2223!B39)&gt;VALUE(LASTV),VALUE(CALC2223!D39)&gt;VALUE(LASTV),VALUE(CALC2223!F39)&gt;VALUE(LASTV))</f>
        <v>0</v>
      </c>
      <c r="O40" s="4" t="b">
        <f ca="1">OR(VALUE(CALC2223!H39)&gt;VALUE(LASTV),VALUE(CALC2223!J39)&gt;VALUE(LASTV),VALUE(CALC2223!L39)&gt;VALUE(LASTV))</f>
        <v>0</v>
      </c>
      <c r="P40" s="4" t="b">
        <f ca="1">OR(VALUE(CALC2223!N39)&gt;VALUE(LASTV),VALUE(CALC2223!P39)&gt;VALUE(LASTV),VALUE(CALC2223!R39)&gt;VALUE(LASTV))</f>
        <v>0</v>
      </c>
      <c r="Q40" s="4" t="b">
        <f ca="1">OR(VALUE(CALC2223!T39)&gt;VALUE(LASTV),VALUE(CALC2223!V39)&gt;VALUE(LASTV),VALUE(CALC2223!X39)&gt;VALUE(LASTV))</f>
        <v>0</v>
      </c>
      <c r="R40" s="4" t="b">
        <f ca="1">OR(VALUE(CALC2223!Z39)&gt;VALUE(LASTV),VALUE(CALC2223!AB39)&gt;VALUE(LASTV),VALUE(CALC2223!AD39)&gt;VALUE(LASTV))</f>
        <v>0</v>
      </c>
      <c r="S40" s="4" t="b">
        <f ca="1">OR(VALUE(CALC2223!AF39)&gt;VALUE(LASTV),VALUE(CALC2223!AH39)&gt;VALUE(LASTV),VALUE(CALC2223!AJ39)&gt;VALUE(LASTV))</f>
        <v>0</v>
      </c>
      <c r="T40" s="4" t="b">
        <f ca="1">OR(VALUE(CALC2223!AL39)&gt;VALUE(LASTV),VALUE(CALC2223!AN39)&gt;VALUE(LASTV),VALUE(CALC2223!AP39)&gt;VALUE(LASTV))</f>
        <v>0</v>
      </c>
      <c r="U40" s="4" t="b">
        <f ca="1">OR(VALUE(CALC2223!AR39)&gt;VALUE(LASTV),VALUE(CALC2223!AT39)&gt;VALUE(LASTV),VALUE(CALC2223!AV39)&gt;VALUE(LASTV))</f>
        <v>0</v>
      </c>
      <c r="V40" s="1"/>
    </row>
    <row r="41" spans="1:22" ht="35.25" hidden="1" customHeight="1">
      <c r="A41" s="40"/>
      <c r="B41" s="41" t="s">
        <v>21</v>
      </c>
      <c r="C41" s="42">
        <v>45939</v>
      </c>
      <c r="D41" s="43" t="str">
        <f ca="1">CONCATENATE(CALC2223!A40," ",CALC2223!C40," ",CALC2223!E40)</f>
        <v xml:space="preserve">  </v>
      </c>
      <c r="E41" s="43" t="str">
        <f ca="1">CONCATENATE(CALC2223!G40," ",CALC2223!I40," ",CALC2223!K40)</f>
        <v xml:space="preserve">  </v>
      </c>
      <c r="F41" s="43" t="str">
        <f ca="1">CONCATENATE(CALC2223!M40," ",CALC2223!O40," ",CALC2223!Q40)</f>
        <v xml:space="preserve">Rep WIS  </v>
      </c>
      <c r="G41" s="43" t="str">
        <f ca="1">CONCATENATE(CALC2223!S40," ",CALC2223!U40," ",CALC2223!W40)</f>
        <v xml:space="preserve">HPG  </v>
      </c>
      <c r="H41" s="43" t="str">
        <f ca="1">CONCATENATE(CALC2223!Y40," ",CALC2223!AA40," ",CALC2223!AC40)</f>
        <v xml:space="preserve">HPG excursie ak </v>
      </c>
      <c r="I41" s="43" t="str">
        <f ca="1">CONCATENATE(CALC2223!AE40," ",CALC2223!AG40," ",CALC2223!AI40)</f>
        <v xml:space="preserve">LO1:4/HPG  </v>
      </c>
      <c r="J41" s="43" t="str">
        <f ca="1">CONCATENATE(CALC2223!AK40," ",CALC2223!AM40," ",CALC2223!AO40)</f>
        <v xml:space="preserve">klasbespreking#1   </v>
      </c>
      <c r="K41" s="43" t="str">
        <f ca="1">CONCATENATE(CALC2223!AQ40," ",CALC2223!AS40," ",CALC2223!AU40," ",CALC2223!AW40)</f>
        <v xml:space="preserve">ouderavond G2  (19 u) en G5 (20 u) dag van de Duitse taal  </v>
      </c>
      <c r="L41" s="44" t="str">
        <f t="shared" ca="1" si="0"/>
        <v>verleden</v>
      </c>
      <c r="M41" s="1"/>
      <c r="N41" s="4" t="b">
        <f ca="1">OR(VALUE(CALC2223!B40)&gt;VALUE(LASTV),VALUE(CALC2223!D40)&gt;VALUE(LASTV),VALUE(CALC2223!F40)&gt;VALUE(LASTV))</f>
        <v>0</v>
      </c>
      <c r="O41" s="4" t="b">
        <f ca="1">OR(VALUE(CALC2223!H40)&gt;VALUE(LASTV),VALUE(CALC2223!J40)&gt;VALUE(LASTV),VALUE(CALC2223!L40)&gt;VALUE(LASTV))</f>
        <v>0</v>
      </c>
      <c r="P41" s="4" t="b">
        <f ca="1">OR(VALUE(CALC2223!N40)&gt;VALUE(LASTV),VALUE(CALC2223!P40)&gt;VALUE(LASTV),VALUE(CALC2223!R40)&gt;VALUE(LASTV))</f>
        <v>0</v>
      </c>
      <c r="Q41" s="4" t="b">
        <f ca="1">OR(VALUE(CALC2223!T40)&gt;VALUE(LASTV),VALUE(CALC2223!V40)&gt;VALUE(LASTV),VALUE(CALC2223!X40)&gt;VALUE(LASTV))</f>
        <v>0</v>
      </c>
      <c r="R41" s="4" t="b">
        <f ca="1">OR(VALUE(CALC2223!Z40)&gt;VALUE(LASTV),VALUE(CALC2223!AB40)&gt;VALUE(LASTV),VALUE(CALC2223!AD40)&gt;VALUE(LASTV))</f>
        <v>0</v>
      </c>
      <c r="S41" s="4" t="b">
        <f ca="1">OR(VALUE(CALC2223!AF40)&gt;VALUE(LASTV),VALUE(CALC2223!AH40)&gt;VALUE(LASTV),VALUE(CALC2223!AJ40)&gt;VALUE(LASTV))</f>
        <v>0</v>
      </c>
      <c r="T41" s="4" t="b">
        <f ca="1">OR(VALUE(CALC2223!AL40)&gt;VALUE(LASTV),VALUE(CALC2223!AN40)&gt;VALUE(LASTV),VALUE(CALC2223!AP40)&gt;VALUE(LASTV))</f>
        <v>0</v>
      </c>
      <c r="U41" s="4" t="b">
        <f ca="1">OR(VALUE(CALC2223!AR40)&gt;VALUE(LASTV),VALUE(CALC2223!AT40)&gt;VALUE(LASTV),VALUE(CALC2223!AV40)&gt;VALUE(LASTV))</f>
        <v>0</v>
      </c>
      <c r="V41" s="1"/>
    </row>
    <row r="42" spans="1:22" ht="35.25" hidden="1" customHeight="1">
      <c r="A42" s="40"/>
      <c r="B42" s="41" t="s">
        <v>22</v>
      </c>
      <c r="C42" s="42">
        <v>45940</v>
      </c>
      <c r="D42" s="43" t="str">
        <f ca="1">CONCATENATE(CALC2223!A41," ",CALC2223!C41," ",CALC2223!E41)</f>
        <v xml:space="preserve">  </v>
      </c>
      <c r="E42" s="43" t="str">
        <f ca="1">CONCATENATE(CALC2223!G41," ",CALC2223!I41," ",CALC2223!K41)</f>
        <v xml:space="preserve">Rep GES  </v>
      </c>
      <c r="F42" s="43" t="str">
        <f ca="1">CONCATENATE(CALC2223!M41," ",CALC2223!O41," ",CALC2223!Q41)</f>
        <v xml:space="preserve">  </v>
      </c>
      <c r="G42" s="43" t="str">
        <f ca="1">CONCATENATE(CALC2223!S41," ",CALC2223!U41," ",CALC2223!W41)</f>
        <v xml:space="preserve">Rep WIABC  </v>
      </c>
      <c r="H42" s="43" t="str">
        <f ca="1">CONCATENATE(CALC2223!Y41," ",CALC2223!AA41," ",CALC2223!AC41)</f>
        <v xml:space="preserve">excursie Lille (Fa)  </v>
      </c>
      <c r="I42" s="43" t="str">
        <f ca="1">CONCATENATE(CALC2223!AE41," ",CALC2223!AG41," ",CALC2223!AI41)</f>
        <v xml:space="preserve">  </v>
      </c>
      <c r="J42" s="43" t="str">
        <f ca="1">CONCATENATE(CALC2223!AK41," ",CALC2223!AM41," ",CALC2223!AO41)</f>
        <v xml:space="preserve">  </v>
      </c>
      <c r="K42" s="43" t="str">
        <f ca="1">CONCATENATE(CALC2223!AQ41," ",CALC2223!AS41," ",CALC2223!AU41," ",CALC2223!AW41)</f>
        <v xml:space="preserve">   </v>
      </c>
      <c r="L42" s="44" t="str">
        <f t="shared" ca="1" si="0"/>
        <v>verleden</v>
      </c>
      <c r="M42" s="1"/>
      <c r="N42" s="4" t="b">
        <f ca="1">OR(VALUE(CALC2223!B41)&gt;VALUE(LASTV),VALUE(CALC2223!D41)&gt;VALUE(LASTV),VALUE(CALC2223!F41)&gt;VALUE(LASTV))</f>
        <v>0</v>
      </c>
      <c r="O42" s="4" t="b">
        <f ca="1">OR(VALUE(CALC2223!H41)&gt;VALUE(LASTV),VALUE(CALC2223!J41)&gt;VALUE(LASTV),VALUE(CALC2223!L41)&gt;VALUE(LASTV))</f>
        <v>0</v>
      </c>
      <c r="P42" s="4" t="b">
        <f ca="1">OR(VALUE(CALC2223!N41)&gt;VALUE(LASTV),VALUE(CALC2223!P41)&gt;VALUE(LASTV),VALUE(CALC2223!R41)&gt;VALUE(LASTV))</f>
        <v>0</v>
      </c>
      <c r="Q42" s="4" t="b">
        <f ca="1">OR(VALUE(CALC2223!T41)&gt;VALUE(LASTV),VALUE(CALC2223!V41)&gt;VALUE(LASTV),VALUE(CALC2223!X41)&gt;VALUE(LASTV))</f>
        <v>0</v>
      </c>
      <c r="R42" s="4" t="b">
        <f ca="1">OR(VALUE(CALC2223!Z41)&gt;VALUE(LASTV),VALUE(CALC2223!AB41)&gt;VALUE(LASTV),VALUE(CALC2223!AD41)&gt;VALUE(LASTV))</f>
        <v>0</v>
      </c>
      <c r="S42" s="4" t="b">
        <f ca="1">OR(VALUE(CALC2223!AF41)&gt;VALUE(LASTV),VALUE(CALC2223!AH41)&gt;VALUE(LASTV),VALUE(CALC2223!AJ41)&gt;VALUE(LASTV))</f>
        <v>0</v>
      </c>
      <c r="T42" s="4" t="b">
        <f ca="1">OR(VALUE(CALC2223!AL41)&gt;VALUE(LASTV),VALUE(CALC2223!AN41)&gt;VALUE(LASTV),VALUE(CALC2223!AP41)&gt;VALUE(LASTV))</f>
        <v>0</v>
      </c>
      <c r="U42" s="4" t="b">
        <f ca="1">OR(VALUE(CALC2223!AR41)&gt;VALUE(LASTV),VALUE(CALC2223!AT41)&gt;VALUE(LASTV),VALUE(CALC2223!AV41)&gt;VALUE(LASTV))</f>
        <v>0</v>
      </c>
      <c r="V42" s="1"/>
    </row>
    <row r="43" spans="1:22" ht="35.25" hidden="1" customHeight="1">
      <c r="A43" s="45"/>
      <c r="B43" s="46" t="s">
        <v>23</v>
      </c>
      <c r="C43" s="47">
        <v>45941</v>
      </c>
      <c r="D43" s="48" t="str">
        <f ca="1">CONCATENATE(CALC2223!A42," ",CALC2223!C42," ",CALC2223!E42)</f>
        <v xml:space="preserve">  </v>
      </c>
      <c r="E43" s="48" t="str">
        <f ca="1">CONCATENATE(CALC2223!G42," ",CALC2223!I42," ",CALC2223!K42)</f>
        <v xml:space="preserve">  </v>
      </c>
      <c r="F43" s="48" t="str">
        <f ca="1">CONCATENATE(CALC2223!M42," ",CALC2223!O42," ",CALC2223!Q42)</f>
        <v xml:space="preserve">  </v>
      </c>
      <c r="G43" s="48" t="str">
        <f ca="1">CONCATENATE(CALC2223!S42," ",CALC2223!U42," ",CALC2223!W42)</f>
        <v xml:space="preserve">  </v>
      </c>
      <c r="H43" s="48" t="str">
        <f ca="1">CONCATENATE(CALC2223!Y42," ",CALC2223!AA42," ",CALC2223!AC42)</f>
        <v xml:space="preserve">  </v>
      </c>
      <c r="I43" s="48" t="str">
        <f ca="1">CONCATENATE(CALC2223!AE42," ",CALC2223!AG42," ",CALC2223!AI42)</f>
        <v xml:space="preserve">  </v>
      </c>
      <c r="J43" s="48" t="str">
        <f ca="1">CONCATENATE(CALC2223!AK42," ",CALC2223!AM42," ",CALC2223!AO42)</f>
        <v xml:space="preserve">  </v>
      </c>
      <c r="K43" s="48" t="str">
        <f ca="1">CONCATENATE(CALC2223!AQ42," ",CALC2223!AS42," ",CALC2223!AU42," ",CALC2223!AW42)</f>
        <v xml:space="preserve">   </v>
      </c>
      <c r="L43" s="49" t="str">
        <f t="shared" ca="1" si="0"/>
        <v>verleden</v>
      </c>
      <c r="M43" s="1"/>
      <c r="N43" s="4" t="b">
        <f ca="1">OR(VALUE(CALC2223!B42)&gt;VALUE(LASTV),VALUE(CALC2223!D42)&gt;VALUE(LASTV),VALUE(CALC2223!F42)&gt;VALUE(LASTV))</f>
        <v>0</v>
      </c>
      <c r="O43" s="4" t="b">
        <f ca="1">OR(VALUE(CALC2223!H42)&gt;VALUE(LASTV),VALUE(CALC2223!J42)&gt;VALUE(LASTV),VALUE(CALC2223!L42)&gt;VALUE(LASTV))</f>
        <v>0</v>
      </c>
      <c r="P43" s="4" t="b">
        <f ca="1">OR(VALUE(CALC2223!N42)&gt;VALUE(LASTV),VALUE(CALC2223!P42)&gt;VALUE(LASTV),VALUE(CALC2223!R42)&gt;VALUE(LASTV))</f>
        <v>0</v>
      </c>
      <c r="Q43" s="4" t="b">
        <f ca="1">OR(VALUE(CALC2223!T42)&gt;VALUE(LASTV),VALUE(CALC2223!V42)&gt;VALUE(LASTV),VALUE(CALC2223!X42)&gt;VALUE(LASTV))</f>
        <v>0</v>
      </c>
      <c r="R43" s="4" t="b">
        <f ca="1">OR(VALUE(CALC2223!Z42)&gt;VALUE(LASTV),VALUE(CALC2223!AB42)&gt;VALUE(LASTV),VALUE(CALC2223!AD42)&gt;VALUE(LASTV))</f>
        <v>0</v>
      </c>
      <c r="S43" s="4" t="b">
        <f ca="1">OR(VALUE(CALC2223!AF42)&gt;VALUE(LASTV),VALUE(CALC2223!AH42)&gt;VALUE(LASTV),VALUE(CALC2223!AJ42)&gt;VALUE(LASTV))</f>
        <v>0</v>
      </c>
      <c r="T43" s="4" t="b">
        <f ca="1">OR(VALUE(CALC2223!AL42)&gt;VALUE(LASTV),VALUE(CALC2223!AN42)&gt;VALUE(LASTV),VALUE(CALC2223!AP42)&gt;VALUE(LASTV))</f>
        <v>0</v>
      </c>
      <c r="U43" s="4" t="b">
        <f ca="1">OR(VALUE(CALC2223!AR42)&gt;VALUE(LASTV),VALUE(CALC2223!AT42)&gt;VALUE(LASTV),VALUE(CALC2223!AV42)&gt;VALUE(LASTV))</f>
        <v>0</v>
      </c>
      <c r="V43" s="1"/>
    </row>
    <row r="44" spans="1:22" ht="35.25" hidden="1" customHeight="1">
      <c r="A44" s="45"/>
      <c r="B44" s="46" t="s">
        <v>24</v>
      </c>
      <c r="C44" s="47">
        <v>45942</v>
      </c>
      <c r="D44" s="48" t="str">
        <f ca="1">CONCATENATE(CALC2223!A43," ",CALC2223!C43," ",CALC2223!E43)</f>
        <v xml:space="preserve">  </v>
      </c>
      <c r="E44" s="48" t="str">
        <f ca="1">CONCATENATE(CALC2223!G43," ",CALC2223!I43," ",CALC2223!K43)</f>
        <v xml:space="preserve">  </v>
      </c>
      <c r="F44" s="48" t="str">
        <f ca="1">CONCATENATE(CALC2223!M43," ",CALC2223!O43," ",CALC2223!Q43)</f>
        <v xml:space="preserve">  </v>
      </c>
      <c r="G44" s="48" t="str">
        <f ca="1">CONCATENATE(CALC2223!S43," ",CALC2223!U43," ",CALC2223!W43)</f>
        <v xml:space="preserve">  </v>
      </c>
      <c r="H44" s="48" t="str">
        <f ca="1">CONCATENATE(CALC2223!Y43," ",CALC2223!AA43," ",CALC2223!AC43)</f>
        <v xml:space="preserve">  </v>
      </c>
      <c r="I44" s="48" t="str">
        <f ca="1">CONCATENATE(CALC2223!AE43," ",CALC2223!AG43," ",CALC2223!AI43)</f>
        <v xml:space="preserve">  </v>
      </c>
      <c r="J44" s="48" t="str">
        <f ca="1">CONCATENATE(CALC2223!AK43," ",CALC2223!AM43," ",CALC2223!AO43)</f>
        <v xml:space="preserve">  </v>
      </c>
      <c r="K44" s="48" t="str">
        <f ca="1">CONCATENATE(CALC2223!AQ43," ",CALC2223!AS43," ",CALC2223!AU43," ",CALC2223!AW43)</f>
        <v xml:space="preserve">   </v>
      </c>
      <c r="L44" s="49" t="str">
        <f t="shared" ca="1" si="0"/>
        <v>verleden</v>
      </c>
      <c r="M44" s="1"/>
      <c r="N44" s="4" t="b">
        <f ca="1">OR(VALUE(CALC2223!B43)&gt;VALUE(LASTV),VALUE(CALC2223!D43)&gt;VALUE(LASTV),VALUE(CALC2223!F43)&gt;VALUE(LASTV))</f>
        <v>0</v>
      </c>
      <c r="O44" s="4" t="b">
        <f ca="1">OR(VALUE(CALC2223!H43)&gt;VALUE(LASTV),VALUE(CALC2223!J43)&gt;VALUE(LASTV),VALUE(CALC2223!L43)&gt;VALUE(LASTV))</f>
        <v>0</v>
      </c>
      <c r="P44" s="4" t="b">
        <f ca="1">OR(VALUE(CALC2223!N43)&gt;VALUE(LASTV),VALUE(CALC2223!P43)&gt;VALUE(LASTV),VALUE(CALC2223!R43)&gt;VALUE(LASTV))</f>
        <v>0</v>
      </c>
      <c r="Q44" s="4" t="b">
        <f ca="1">OR(VALUE(CALC2223!T43)&gt;VALUE(LASTV),VALUE(CALC2223!V43)&gt;VALUE(LASTV),VALUE(CALC2223!X43)&gt;VALUE(LASTV))</f>
        <v>0</v>
      </c>
      <c r="R44" s="4" t="b">
        <f ca="1">OR(VALUE(CALC2223!Z43)&gt;VALUE(LASTV),VALUE(CALC2223!AB43)&gt;VALUE(LASTV),VALUE(CALC2223!AD43)&gt;VALUE(LASTV))</f>
        <v>0</v>
      </c>
      <c r="S44" s="4" t="b">
        <f ca="1">OR(VALUE(CALC2223!AF43)&gt;VALUE(LASTV),VALUE(CALC2223!AH43)&gt;VALUE(LASTV),VALUE(CALC2223!AJ43)&gt;VALUE(LASTV))</f>
        <v>0</v>
      </c>
      <c r="T44" s="4" t="b">
        <f ca="1">OR(VALUE(CALC2223!AL43)&gt;VALUE(LASTV),VALUE(CALC2223!AN43)&gt;VALUE(LASTV),VALUE(CALC2223!AP43)&gt;VALUE(LASTV))</f>
        <v>0</v>
      </c>
      <c r="U44" s="4" t="b">
        <f ca="1">OR(VALUE(CALC2223!AR43)&gt;VALUE(LASTV),VALUE(CALC2223!AT43)&gt;VALUE(LASTV),VALUE(CALC2223!AV43)&gt;VALUE(LASTV))</f>
        <v>0</v>
      </c>
      <c r="V44" s="1"/>
    </row>
    <row r="45" spans="1:22" ht="35.25" hidden="1" customHeight="1">
      <c r="A45" s="50">
        <v>42</v>
      </c>
      <c r="B45" s="41" t="s">
        <v>18</v>
      </c>
      <c r="C45" s="42">
        <v>45943</v>
      </c>
      <c r="D45" s="51" t="str">
        <f ca="1">CONCATENATE(CALC2223!A44," ",CALC2223!C44," ",CALC2223!E44)</f>
        <v xml:space="preserve">  </v>
      </c>
      <c r="E45" s="51" t="str">
        <f ca="1">CONCATENATE(CALC2223!G44," ",CALC2223!I44," ",CALC2223!K44)</f>
        <v xml:space="preserve">  </v>
      </c>
      <c r="F45" s="51" t="str">
        <f ca="1">CONCATENATE(CALC2223!M44," ",CALC2223!O44," ",CALC2223!Q44)</f>
        <v xml:space="preserve">  </v>
      </c>
      <c r="G45" s="51" t="str">
        <f ca="1">CONCATENATE(CALC2223!S44," ",CALC2223!U44," ",CALC2223!W44)</f>
        <v xml:space="preserve">  </v>
      </c>
      <c r="H45" s="51" t="str">
        <f ca="1">CONCATENATE(CALC2223!Y44," ",CALC2223!AA44," ",CALC2223!AC44)</f>
        <v xml:space="preserve">SE WID inh rep bi </v>
      </c>
      <c r="I45" s="51" t="str">
        <f ca="1">CONCATENATE(CALC2223!AE44," ",CALC2223!AG44," ",CALC2223!AI44)</f>
        <v xml:space="preserve">SE sk/SE gs  </v>
      </c>
      <c r="J45" s="51" t="str">
        <f ca="1">CONCATENATE(CALC2223!AK44," ",CALC2223!AM44," ",CALC2223!AO44)</f>
        <v xml:space="preserve">  </v>
      </c>
      <c r="K45" s="51" t="str">
        <f ca="1">CONCATENATE(CALC2223!AQ44," ",CALC2223!AS44," ",CALC2223!AU44," ",CALC2223!AW44)</f>
        <v xml:space="preserve">   </v>
      </c>
      <c r="L45" s="52" t="str">
        <f t="shared" ca="1" si="0"/>
        <v>verleden</v>
      </c>
      <c r="M45" s="1"/>
      <c r="N45" s="4" t="b">
        <f ca="1">OR(VALUE(CALC2223!B44)&gt;VALUE(LASTV),VALUE(CALC2223!D44)&gt;VALUE(LASTV),VALUE(CALC2223!F44)&gt;VALUE(LASTV))</f>
        <v>0</v>
      </c>
      <c r="O45" s="4" t="b">
        <f ca="1">OR(VALUE(CALC2223!H44)&gt;VALUE(LASTV),VALUE(CALC2223!J44)&gt;VALUE(LASTV),VALUE(CALC2223!L44)&gt;VALUE(LASTV))</f>
        <v>0</v>
      </c>
      <c r="P45" s="4" t="b">
        <f ca="1">OR(VALUE(CALC2223!N44)&gt;VALUE(LASTV),VALUE(CALC2223!P44)&gt;VALUE(LASTV),VALUE(CALC2223!R44)&gt;VALUE(LASTV))</f>
        <v>0</v>
      </c>
      <c r="Q45" s="4" t="b">
        <f ca="1">OR(VALUE(CALC2223!T44)&gt;VALUE(LASTV),VALUE(CALC2223!V44)&gt;VALUE(LASTV),VALUE(CALC2223!X44)&gt;VALUE(LASTV))</f>
        <v>0</v>
      </c>
      <c r="R45" s="4" t="b">
        <f ca="1">OR(VALUE(CALC2223!Z44)&gt;VALUE(LASTV),VALUE(CALC2223!AB44)&gt;VALUE(LASTV),VALUE(CALC2223!AD44)&gt;VALUE(LASTV))</f>
        <v>0</v>
      </c>
      <c r="S45" s="4" t="b">
        <f ca="1">OR(VALUE(CALC2223!AF44)&gt;VALUE(LASTV),VALUE(CALC2223!AH44)&gt;VALUE(LASTV),VALUE(CALC2223!AJ44)&gt;VALUE(LASTV))</f>
        <v>0</v>
      </c>
      <c r="T45" s="4" t="b">
        <f ca="1">OR(VALUE(CALC2223!AL44)&gt;VALUE(LASTV),VALUE(CALC2223!AN44)&gt;VALUE(LASTV),VALUE(CALC2223!AP44)&gt;VALUE(LASTV))</f>
        <v>0</v>
      </c>
      <c r="U45" s="4" t="b">
        <f ca="1">OR(VALUE(CALC2223!AR44)&gt;VALUE(LASTV),VALUE(CALC2223!AT44)&gt;VALUE(LASTV),VALUE(CALC2223!AV44)&gt;VALUE(LASTV))</f>
        <v>0</v>
      </c>
      <c r="V45" s="1"/>
    </row>
    <row r="46" spans="1:22" ht="35.25" hidden="1" customHeight="1">
      <c r="A46" s="40"/>
      <c r="B46" s="41" t="s">
        <v>19</v>
      </c>
      <c r="C46" s="42">
        <v>45944</v>
      </c>
      <c r="D46" s="51" t="str">
        <f ca="1">CONCATENATE(CALC2223!A45," ",CALC2223!C45," ",CALC2223!E45)</f>
        <v xml:space="preserve">  </v>
      </c>
      <c r="E46" s="51" t="str">
        <f ca="1">CONCATENATE(CALC2223!G45," ",CALC2223!I45," ",CALC2223!K45)</f>
        <v xml:space="preserve">  </v>
      </c>
      <c r="F46" s="51" t="str">
        <f ca="1">CONCATENATE(CALC2223!M45," ",CALC2223!O45," ",CALC2223!Q45)</f>
        <v xml:space="preserve">  </v>
      </c>
      <c r="G46" s="51" t="str">
        <f ca="1">CONCATENATE(CALC2223!S45," ",CALC2223!U45," ",CALC2223!W45)</f>
        <v xml:space="preserve">Rep EC  </v>
      </c>
      <c r="H46" s="51" t="str">
        <f ca="1">CONCATENATE(CALC2223!Y45," ",CALC2223!AA45," ",CALC2223!AC45)</f>
        <v xml:space="preserve">  </v>
      </c>
      <c r="I46" s="51" t="str">
        <f ca="1">CONCATENATE(CALC2223!AE45," ",CALC2223!AG45," ",CALC2223!AI45)</f>
        <v xml:space="preserve">SE ak/SE wiD  </v>
      </c>
      <c r="J46" s="51" t="str">
        <f ca="1">CONCATENATE(CALC2223!AK45," ",CALC2223!AM45," ",CALC2223!AO45)</f>
        <v xml:space="preserve">animus ouderavond  </v>
      </c>
      <c r="K46" s="51" t="str">
        <f ca="1">CONCATENATE(CALC2223!AQ45," ",CALC2223!AS45," ",CALC2223!AU45," ",CALC2223!AW45)</f>
        <v xml:space="preserve">   </v>
      </c>
      <c r="L46" s="52" t="str">
        <f t="shared" ca="1" si="0"/>
        <v>verleden</v>
      </c>
      <c r="M46" s="1"/>
      <c r="N46" s="4" t="b">
        <f ca="1">OR(VALUE(CALC2223!B45)&gt;VALUE(LASTV),VALUE(CALC2223!D45)&gt;VALUE(LASTV),VALUE(CALC2223!F45)&gt;VALUE(LASTV))</f>
        <v>0</v>
      </c>
      <c r="O46" s="4" t="b">
        <f ca="1">OR(VALUE(CALC2223!H45)&gt;VALUE(LASTV),VALUE(CALC2223!J45)&gt;VALUE(LASTV),VALUE(CALC2223!L45)&gt;VALUE(LASTV))</f>
        <v>0</v>
      </c>
      <c r="P46" s="4" t="b">
        <f ca="1">OR(VALUE(CALC2223!N45)&gt;VALUE(LASTV),VALUE(CALC2223!P45)&gt;VALUE(LASTV),VALUE(CALC2223!R45)&gt;VALUE(LASTV))</f>
        <v>0</v>
      </c>
      <c r="Q46" s="4" t="b">
        <f ca="1">OR(VALUE(CALC2223!T45)&gt;VALUE(LASTV),VALUE(CALC2223!V45)&gt;VALUE(LASTV),VALUE(CALC2223!X45)&gt;VALUE(LASTV))</f>
        <v>0</v>
      </c>
      <c r="R46" s="4" t="b">
        <f ca="1">OR(VALUE(CALC2223!Z45)&gt;VALUE(LASTV),VALUE(CALC2223!AB45)&gt;VALUE(LASTV),VALUE(CALC2223!AD45)&gt;VALUE(LASTV))</f>
        <v>0</v>
      </c>
      <c r="S46" s="4" t="b">
        <f ca="1">OR(VALUE(CALC2223!AF45)&gt;VALUE(LASTV),VALUE(CALC2223!AH45)&gt;VALUE(LASTV),VALUE(CALC2223!AJ45)&gt;VALUE(LASTV))</f>
        <v>0</v>
      </c>
      <c r="T46" s="4" t="b">
        <f ca="1">OR(VALUE(CALC2223!AL45)&gt;VALUE(LASTV),VALUE(CALC2223!AN45)&gt;VALUE(LASTV),VALUE(CALC2223!AP45)&gt;VALUE(LASTV))</f>
        <v>0</v>
      </c>
      <c r="U46" s="4" t="b">
        <f ca="1">OR(VALUE(CALC2223!AR45)&gt;VALUE(LASTV),VALUE(CALC2223!AT45)&gt;VALUE(LASTV),VALUE(CALC2223!AV45)&gt;VALUE(LASTV))</f>
        <v>0</v>
      </c>
      <c r="V46" s="1"/>
    </row>
    <row r="47" spans="1:22" ht="35.25" hidden="1" customHeight="1">
      <c r="A47" s="40"/>
      <c r="B47" s="41" t="s">
        <v>20</v>
      </c>
      <c r="C47" s="42">
        <v>45945</v>
      </c>
      <c r="D47" s="51" t="str">
        <f ca="1">CONCATENATE(CALC2223!A46," ",CALC2223!C46," ",CALC2223!E46)</f>
        <v xml:space="preserve">Rep BIO  </v>
      </c>
      <c r="E47" s="51" t="str">
        <f ca="1">CONCATENATE(CALC2223!G46," ",CALC2223!I46," ",CALC2223!K46)</f>
        <v xml:space="preserve">  </v>
      </c>
      <c r="F47" s="51" t="str">
        <f ca="1">CONCATENATE(CALC2223!M46," ",CALC2223!O46," ",CALC2223!Q46)</f>
        <v xml:space="preserve">  </v>
      </c>
      <c r="G47" s="51" t="str">
        <f ca="1">CONCATENATE(CALC2223!S46," ",CALC2223!U46," ",CALC2223!W46)</f>
        <v xml:space="preserve">Bezoek voorstelling Confrontaties in stadsschouwburh  </v>
      </c>
      <c r="H47" s="51" t="str">
        <f ca="1">CONCATENATE(CALC2223!Y46," ",CALC2223!AA46," ",CALC2223!AC46)</f>
        <v xml:space="preserve">Rep GR/LA  </v>
      </c>
      <c r="I47" s="51" t="str">
        <f ca="1">CONCATENATE(CALC2223!AE46," ",CALC2223!AG46," ",CALC2223!AI46)</f>
        <v xml:space="preserve">SE Du/ SE bio  </v>
      </c>
      <c r="J47" s="51" t="str">
        <f ca="1">CONCATENATE(CALC2223!AK46," ",CALC2223!AM46," ",CALC2223!AO46)</f>
        <v xml:space="preserve">  </v>
      </c>
      <c r="K47" s="51" t="str">
        <f ca="1">CONCATENATE(CALC2223!AQ46," ",CALC2223!AS46," ",CALC2223!AU46," ",CALC2223!AW46)</f>
        <v xml:space="preserve">   </v>
      </c>
      <c r="L47" s="52" t="str">
        <f t="shared" ca="1" si="0"/>
        <v>verleden</v>
      </c>
      <c r="M47" s="1"/>
      <c r="N47" s="4" t="b">
        <f ca="1">OR(VALUE(CALC2223!B46)&gt;VALUE(LASTV),VALUE(CALC2223!D46)&gt;VALUE(LASTV),VALUE(CALC2223!F46)&gt;VALUE(LASTV))</f>
        <v>0</v>
      </c>
      <c r="O47" s="4" t="b">
        <f ca="1">OR(VALUE(CALC2223!H46)&gt;VALUE(LASTV),VALUE(CALC2223!J46)&gt;VALUE(LASTV),VALUE(CALC2223!L46)&gt;VALUE(LASTV))</f>
        <v>0</v>
      </c>
      <c r="P47" s="4" t="b">
        <f ca="1">OR(VALUE(CALC2223!N46)&gt;VALUE(LASTV),VALUE(CALC2223!P46)&gt;VALUE(LASTV),VALUE(CALC2223!R46)&gt;VALUE(LASTV))</f>
        <v>0</v>
      </c>
      <c r="Q47" s="4" t="b">
        <f ca="1">OR(VALUE(CALC2223!T46)&gt;VALUE(LASTV),VALUE(CALC2223!V46)&gt;VALUE(LASTV),VALUE(CALC2223!X46)&gt;VALUE(LASTV))</f>
        <v>0</v>
      </c>
      <c r="R47" s="4" t="b">
        <f ca="1">OR(VALUE(CALC2223!Z46)&gt;VALUE(LASTV),VALUE(CALC2223!AB46)&gt;VALUE(LASTV),VALUE(CALC2223!AD46)&gt;VALUE(LASTV))</f>
        <v>0</v>
      </c>
      <c r="S47" s="4" t="b">
        <f ca="1">OR(VALUE(CALC2223!AF46)&gt;VALUE(LASTV),VALUE(CALC2223!AH46)&gt;VALUE(LASTV),VALUE(CALC2223!AJ46)&gt;VALUE(LASTV))</f>
        <v>0</v>
      </c>
      <c r="T47" s="4" t="b">
        <f ca="1">OR(VALUE(CALC2223!AL46)&gt;VALUE(LASTV),VALUE(CALC2223!AN46)&gt;VALUE(LASTV),VALUE(CALC2223!AP46)&gt;VALUE(LASTV))</f>
        <v>0</v>
      </c>
      <c r="U47" s="4" t="b">
        <f ca="1">OR(VALUE(CALC2223!AR46)&gt;VALUE(LASTV),VALUE(CALC2223!AT46)&gt;VALUE(LASTV),VALUE(CALC2223!AV46)&gt;VALUE(LASTV))</f>
        <v>0</v>
      </c>
      <c r="V47" s="1"/>
    </row>
    <row r="48" spans="1:22" ht="35.25" hidden="1" customHeight="1">
      <c r="A48" s="40"/>
      <c r="B48" s="41" t="s">
        <v>21</v>
      </c>
      <c r="C48" s="42">
        <v>45946</v>
      </c>
      <c r="D48" s="51" t="str">
        <f ca="1">CONCATENATE(CALC2223!A47," ",CALC2223!C47," ",CALC2223!E47)</f>
        <v xml:space="preserve">  </v>
      </c>
      <c r="E48" s="51" t="str">
        <f ca="1">CONCATENATE(CALC2223!G47," ",CALC2223!I47," ",CALC2223!K47)</f>
        <v xml:space="preserve">  </v>
      </c>
      <c r="F48" s="51" t="str">
        <f ca="1">CONCATENATE(CALC2223!M47," ",CALC2223!O47," ",CALC2223!Q47)</f>
        <v xml:space="preserve">Rep NA  </v>
      </c>
      <c r="G48" s="51" t="str">
        <f ca="1">CONCATENATE(CALC2223!S47," ",CALC2223!U47," ",CALC2223!W47)</f>
        <v xml:space="preserve">SE ANW  </v>
      </c>
      <c r="H48" s="51" t="str">
        <f ca="1">CONCATENATE(CALC2223!Y47," ",CALC2223!AA47," ",CALC2223!AC47)</f>
        <v xml:space="preserve">inh SE ak (geannuleerd)  </v>
      </c>
      <c r="I48" s="51" t="str">
        <f ca="1">CONCATENATE(CALC2223!AE47," ",CALC2223!AG47," ",CALC2223!AI47)</f>
        <v xml:space="preserve">SE fi/ SE na  </v>
      </c>
      <c r="J48" s="51" t="str">
        <f ca="1">CONCATENATE(CALC2223!AK47," ",CALC2223!AM47," ",CALC2223!AO47)</f>
        <v xml:space="preserve">studiemiddag groerpsdynamiek  lezing Ivo Dokman  </v>
      </c>
      <c r="K48" s="51" t="str">
        <f ca="1">CONCATENATE(CALC2223!AQ47," ",CALC2223!AS47," ",CALC2223!AU47," ",CALC2223!AW47)</f>
        <v xml:space="preserve">   </v>
      </c>
      <c r="L48" s="52" t="str">
        <f t="shared" ca="1" si="0"/>
        <v>verleden</v>
      </c>
      <c r="M48" s="1"/>
      <c r="N48" s="4" t="b">
        <f ca="1">OR(VALUE(CALC2223!B47)&gt;VALUE(LASTV),VALUE(CALC2223!D47)&gt;VALUE(LASTV),VALUE(CALC2223!F47)&gt;VALUE(LASTV))</f>
        <v>0</v>
      </c>
      <c r="O48" s="4" t="b">
        <f ca="1">OR(VALUE(CALC2223!H47)&gt;VALUE(LASTV),VALUE(CALC2223!J47)&gt;VALUE(LASTV),VALUE(CALC2223!L47)&gt;VALUE(LASTV))</f>
        <v>0</v>
      </c>
      <c r="P48" s="4" t="b">
        <f ca="1">OR(VALUE(CALC2223!N47)&gt;VALUE(LASTV),VALUE(CALC2223!P47)&gt;VALUE(LASTV),VALUE(CALC2223!R47)&gt;VALUE(LASTV))</f>
        <v>0</v>
      </c>
      <c r="Q48" s="4" t="b">
        <f ca="1">OR(VALUE(CALC2223!T47)&gt;VALUE(LASTV),VALUE(CALC2223!V47)&gt;VALUE(LASTV),VALUE(CALC2223!X47)&gt;VALUE(LASTV))</f>
        <v>0</v>
      </c>
      <c r="R48" s="4" t="b">
        <f ca="1">OR(VALUE(CALC2223!Z47)&gt;VALUE(LASTV),VALUE(CALC2223!AB47)&gt;VALUE(LASTV),VALUE(CALC2223!AD47)&gt;VALUE(LASTV))</f>
        <v>0</v>
      </c>
      <c r="S48" s="4" t="b">
        <f ca="1">OR(VALUE(CALC2223!AF47)&gt;VALUE(LASTV),VALUE(CALC2223!AH47)&gt;VALUE(LASTV),VALUE(CALC2223!AJ47)&gt;VALUE(LASTV))</f>
        <v>0</v>
      </c>
      <c r="T48" s="4" t="b">
        <f ca="1">OR(VALUE(CALC2223!AL47)&gt;VALUE(LASTV),VALUE(CALC2223!AN47)&gt;VALUE(LASTV),VALUE(CALC2223!AP47)&gt;VALUE(LASTV))</f>
        <v>0</v>
      </c>
      <c r="U48" s="4" t="b">
        <f ca="1">OR(VALUE(CALC2223!AR47)&gt;VALUE(LASTV),VALUE(CALC2223!AT47)&gt;VALUE(LASTV),VALUE(CALC2223!AV47)&gt;VALUE(LASTV))</f>
        <v>0</v>
      </c>
      <c r="V48" s="1"/>
    </row>
    <row r="49" spans="1:22" ht="35.25" hidden="1" customHeight="1">
      <c r="A49" s="40"/>
      <c r="B49" s="41" t="s">
        <v>22</v>
      </c>
      <c r="C49" s="42">
        <v>45947</v>
      </c>
      <c r="D49" s="51" t="str">
        <f ca="1">CONCATENATE(CALC2223!A48," ",CALC2223!C48," ",CALC2223!E48)</f>
        <v xml:space="preserve">  </v>
      </c>
      <c r="E49" s="51" t="str">
        <f ca="1">CONCATENATE(CALC2223!G48," ",CALC2223!I48," ",CALC2223!K48)</f>
        <v xml:space="preserve">Rep WIS  </v>
      </c>
      <c r="F49" s="51" t="str">
        <f ca="1">CONCATENATE(CALC2223!M48," ",CALC2223!O48," ",CALC2223!Q48)</f>
        <v xml:space="preserve">  </v>
      </c>
      <c r="G49" s="51" t="str">
        <f ca="1">CONCATENATE(CALC2223!S48," ",CALC2223!U48," ",CALC2223!W48)</f>
        <v xml:space="preserve">Rep EN  </v>
      </c>
      <c r="H49" s="51" t="str">
        <f ca="1">CONCATENATE(CALC2223!Y48," ",CALC2223!AA48," ",CALC2223!AC48)</f>
        <v xml:space="preserve">rep wiC  </v>
      </c>
      <c r="I49" s="51" t="str">
        <f ca="1">CONCATENATE(CALC2223!AE48," ",CALC2223!AG48," ",CALC2223!AI48)</f>
        <v xml:space="preserve">SE wiABC  </v>
      </c>
      <c r="J49" s="51" t="str">
        <f ca="1">CONCATENATE(CALC2223!AK48," ",CALC2223!AM48," ",CALC2223!AO48)</f>
        <v xml:space="preserve">  </v>
      </c>
      <c r="K49" s="51" t="str">
        <f ca="1">CONCATENATE(CALC2223!AQ48," ",CALC2223!AS48," ",CALC2223!AU48," ",CALC2223!AW48)</f>
        <v xml:space="preserve">schoolfeest   </v>
      </c>
      <c r="L49" s="52" t="str">
        <f t="shared" ca="1" si="0"/>
        <v>verleden</v>
      </c>
      <c r="M49" s="1"/>
      <c r="N49" s="4" t="b">
        <f ca="1">OR(VALUE(CALC2223!B48)&gt;VALUE(LASTV),VALUE(CALC2223!D48)&gt;VALUE(LASTV),VALUE(CALC2223!F48)&gt;VALUE(LASTV))</f>
        <v>0</v>
      </c>
      <c r="O49" s="4" t="b">
        <f ca="1">OR(VALUE(CALC2223!H48)&gt;VALUE(LASTV),VALUE(CALC2223!J48)&gt;VALUE(LASTV),VALUE(CALC2223!L48)&gt;VALUE(LASTV))</f>
        <v>0</v>
      </c>
      <c r="P49" s="4" t="b">
        <f ca="1">OR(VALUE(CALC2223!N48)&gt;VALUE(LASTV),VALUE(CALC2223!P48)&gt;VALUE(LASTV),VALUE(CALC2223!R48)&gt;VALUE(LASTV))</f>
        <v>0</v>
      </c>
      <c r="Q49" s="4" t="b">
        <f ca="1">OR(VALUE(CALC2223!T48)&gt;VALUE(LASTV),VALUE(CALC2223!V48)&gt;VALUE(LASTV),VALUE(CALC2223!X48)&gt;VALUE(LASTV))</f>
        <v>0</v>
      </c>
      <c r="R49" s="4" t="b">
        <f ca="1">OR(VALUE(CALC2223!Z48)&gt;VALUE(LASTV),VALUE(CALC2223!AB48)&gt;VALUE(LASTV),VALUE(CALC2223!AD48)&gt;VALUE(LASTV))</f>
        <v>0</v>
      </c>
      <c r="S49" s="4" t="b">
        <f ca="1">OR(VALUE(CALC2223!AF48)&gt;VALUE(LASTV),VALUE(CALC2223!AH48)&gt;VALUE(LASTV),VALUE(CALC2223!AJ48)&gt;VALUE(LASTV))</f>
        <v>0</v>
      </c>
      <c r="T49" s="4" t="b">
        <f ca="1">OR(VALUE(CALC2223!AL48)&gt;VALUE(LASTV),VALUE(CALC2223!AN48)&gt;VALUE(LASTV),VALUE(CALC2223!AP48)&gt;VALUE(LASTV))</f>
        <v>0</v>
      </c>
      <c r="U49" s="4" t="b">
        <f ca="1">OR(VALUE(CALC2223!AR48)&gt;VALUE(LASTV),VALUE(CALC2223!AT48)&gt;VALUE(LASTV),VALUE(CALC2223!AV48)&gt;VALUE(LASTV))</f>
        <v>0</v>
      </c>
      <c r="V49" s="1"/>
    </row>
    <row r="50" spans="1:22" ht="35.25" hidden="1" customHeight="1">
      <c r="A50" s="45"/>
      <c r="B50" s="46" t="s">
        <v>23</v>
      </c>
      <c r="C50" s="47">
        <v>45948</v>
      </c>
      <c r="D50" s="48" t="str">
        <f ca="1">CONCATENATE(CALC2223!A49," ",CALC2223!C49," ",CALC2223!E49)</f>
        <v xml:space="preserve">  </v>
      </c>
      <c r="E50" s="48" t="str">
        <f ca="1">CONCATENATE(CALC2223!G49," ",CALC2223!I49," ",CALC2223!K49)</f>
        <v xml:space="preserve">  </v>
      </c>
      <c r="F50" s="48" t="str">
        <f ca="1">CONCATENATE(CALC2223!M49," ",CALC2223!O49," ",CALC2223!Q49)</f>
        <v xml:space="preserve">  </v>
      </c>
      <c r="G50" s="48" t="str">
        <f ca="1">CONCATENATE(CALC2223!S49," ",CALC2223!U49," ",CALC2223!W49)</f>
        <v xml:space="preserve">  </v>
      </c>
      <c r="H50" s="48" t="str">
        <f ca="1">CONCATENATE(CALC2223!Y49," ",CALC2223!AA49," ",CALC2223!AC49)</f>
        <v xml:space="preserve">  </v>
      </c>
      <c r="I50" s="48" t="str">
        <f ca="1">CONCATENATE(CALC2223!AE49," ",CALC2223!AG49," ",CALC2223!AI49)</f>
        <v xml:space="preserve">  </v>
      </c>
      <c r="J50" s="48" t="str">
        <f ca="1">CONCATENATE(CALC2223!AK49," ",CALC2223!AM49," ",CALC2223!AO49)</f>
        <v xml:space="preserve">  </v>
      </c>
      <c r="K50" s="48" t="str">
        <f ca="1">CONCATENATE(CALC2223!AQ49," ",CALC2223!AS49," ",CALC2223!AU49," ",CALC2223!AW49)</f>
        <v xml:space="preserve">Herfstvakantie   </v>
      </c>
      <c r="L50" s="49" t="str">
        <f t="shared" ca="1" si="0"/>
        <v>verleden</v>
      </c>
      <c r="M50" s="1"/>
      <c r="N50" s="4" t="b">
        <f ca="1">OR(VALUE(CALC2223!B49)&gt;VALUE(LASTV),VALUE(CALC2223!D49)&gt;VALUE(LASTV),VALUE(CALC2223!F49)&gt;VALUE(LASTV))</f>
        <v>0</v>
      </c>
      <c r="O50" s="4" t="b">
        <f ca="1">OR(VALUE(CALC2223!H49)&gt;VALUE(LASTV),VALUE(CALC2223!J49)&gt;VALUE(LASTV),VALUE(CALC2223!L49)&gt;VALUE(LASTV))</f>
        <v>0</v>
      </c>
      <c r="P50" s="4" t="b">
        <f ca="1">OR(VALUE(CALC2223!N49)&gt;VALUE(LASTV),VALUE(CALC2223!P49)&gt;VALUE(LASTV),VALUE(CALC2223!R49)&gt;VALUE(LASTV))</f>
        <v>0</v>
      </c>
      <c r="Q50" s="4" t="b">
        <f ca="1">OR(VALUE(CALC2223!T49)&gt;VALUE(LASTV),VALUE(CALC2223!V49)&gt;VALUE(LASTV),VALUE(CALC2223!X49)&gt;VALUE(LASTV))</f>
        <v>0</v>
      </c>
      <c r="R50" s="4" t="b">
        <f ca="1">OR(VALUE(CALC2223!Z49)&gt;VALUE(LASTV),VALUE(CALC2223!AB49)&gt;VALUE(LASTV),VALUE(CALC2223!AD49)&gt;VALUE(LASTV))</f>
        <v>0</v>
      </c>
      <c r="S50" s="4" t="b">
        <f ca="1">OR(VALUE(CALC2223!AF49)&gt;VALUE(LASTV),VALUE(CALC2223!AH49)&gt;VALUE(LASTV),VALUE(CALC2223!AJ49)&gt;VALUE(LASTV))</f>
        <v>0</v>
      </c>
      <c r="T50" s="4" t="b">
        <f ca="1">OR(VALUE(CALC2223!AL49)&gt;VALUE(LASTV),VALUE(CALC2223!AN49)&gt;VALUE(LASTV),VALUE(CALC2223!AP49)&gt;VALUE(LASTV))</f>
        <v>0</v>
      </c>
      <c r="U50" s="4" t="b">
        <f ca="1">OR(VALUE(CALC2223!AR49)&gt;VALUE(LASTV),VALUE(CALC2223!AT49)&gt;VALUE(LASTV),VALUE(CALC2223!AV49)&gt;VALUE(LASTV))</f>
        <v>0</v>
      </c>
      <c r="V50" s="1"/>
    </row>
    <row r="51" spans="1:22" ht="35.25" hidden="1" customHeight="1">
      <c r="A51" s="45"/>
      <c r="B51" s="46" t="s">
        <v>24</v>
      </c>
      <c r="C51" s="47">
        <v>45949</v>
      </c>
      <c r="D51" s="48" t="str">
        <f ca="1">CONCATENATE(CALC2223!A50," ",CALC2223!C50," ",CALC2223!E50)</f>
        <v xml:space="preserve">  </v>
      </c>
      <c r="E51" s="48" t="str">
        <f ca="1">CONCATENATE(CALC2223!G50," ",CALC2223!I50," ",CALC2223!K50)</f>
        <v xml:space="preserve">  </v>
      </c>
      <c r="F51" s="48" t="str">
        <f ca="1">CONCATENATE(CALC2223!M50," ",CALC2223!O50," ",CALC2223!Q50)</f>
        <v xml:space="preserve">  </v>
      </c>
      <c r="G51" s="48" t="str">
        <f ca="1">CONCATENATE(CALC2223!S50," ",CALC2223!U50," ",CALC2223!W50)</f>
        <v xml:space="preserve">  </v>
      </c>
      <c r="H51" s="48" t="str">
        <f ca="1">CONCATENATE(CALC2223!Y50," ",CALC2223!AA50," ",CALC2223!AC50)</f>
        <v xml:space="preserve">  </v>
      </c>
      <c r="I51" s="48" t="str">
        <f ca="1">CONCATENATE(CALC2223!AE50," ",CALC2223!AG50," ",CALC2223!AI50)</f>
        <v xml:space="preserve">  </v>
      </c>
      <c r="J51" s="48" t="str">
        <f ca="1">CONCATENATE(CALC2223!AK50," ",CALC2223!AM50," ",CALC2223!AO50)</f>
        <v xml:space="preserve">  </v>
      </c>
      <c r="K51" s="48" t="str">
        <f ca="1">CONCATENATE(CALC2223!AQ50," ",CALC2223!AS50," ",CALC2223!AU50," ",CALC2223!AW50)</f>
        <v xml:space="preserve">   </v>
      </c>
      <c r="L51" s="49" t="str">
        <f t="shared" ca="1" si="0"/>
        <v>verleden</v>
      </c>
      <c r="M51" s="1"/>
      <c r="N51" s="4" t="b">
        <f ca="1">OR(VALUE(CALC2223!B50)&gt;VALUE(LASTV),VALUE(CALC2223!D50)&gt;VALUE(LASTV),VALUE(CALC2223!F50)&gt;VALUE(LASTV))</f>
        <v>0</v>
      </c>
      <c r="O51" s="4" t="b">
        <f ca="1">OR(VALUE(CALC2223!H50)&gt;VALUE(LASTV),VALUE(CALC2223!J50)&gt;VALUE(LASTV),VALUE(CALC2223!L50)&gt;VALUE(LASTV))</f>
        <v>0</v>
      </c>
      <c r="P51" s="4" t="b">
        <f ca="1">OR(VALUE(CALC2223!N50)&gt;VALUE(LASTV),VALUE(CALC2223!P50)&gt;VALUE(LASTV),VALUE(CALC2223!R50)&gt;VALUE(LASTV))</f>
        <v>0</v>
      </c>
      <c r="Q51" s="4" t="b">
        <f ca="1">OR(VALUE(CALC2223!T50)&gt;VALUE(LASTV),VALUE(CALC2223!V50)&gt;VALUE(LASTV),VALUE(CALC2223!X50)&gt;VALUE(LASTV))</f>
        <v>0</v>
      </c>
      <c r="R51" s="4" t="b">
        <f ca="1">OR(VALUE(CALC2223!Z50)&gt;VALUE(LASTV),VALUE(CALC2223!AB50)&gt;VALUE(LASTV),VALUE(CALC2223!AD50)&gt;VALUE(LASTV))</f>
        <v>0</v>
      </c>
      <c r="S51" s="4" t="b">
        <f ca="1">OR(VALUE(CALC2223!AF50)&gt;VALUE(LASTV),VALUE(CALC2223!AH50)&gt;VALUE(LASTV),VALUE(CALC2223!AJ50)&gt;VALUE(LASTV))</f>
        <v>0</v>
      </c>
      <c r="T51" s="4" t="b">
        <f ca="1">OR(VALUE(CALC2223!AL50)&gt;VALUE(LASTV),VALUE(CALC2223!AN50)&gt;VALUE(LASTV),VALUE(CALC2223!AP50)&gt;VALUE(LASTV))</f>
        <v>0</v>
      </c>
      <c r="U51" s="4" t="b">
        <f ca="1">OR(VALUE(CALC2223!AR50)&gt;VALUE(LASTV),VALUE(CALC2223!AT50)&gt;VALUE(LASTV),VALUE(CALC2223!AV50)&gt;VALUE(LASTV))</f>
        <v>0</v>
      </c>
      <c r="V51" s="1"/>
    </row>
    <row r="52" spans="1:22" ht="35.25" hidden="1" customHeight="1">
      <c r="A52" s="69">
        <v>43</v>
      </c>
      <c r="B52" s="70" t="s">
        <v>18</v>
      </c>
      <c r="C52" s="71">
        <v>45950</v>
      </c>
      <c r="D52" s="72" t="str">
        <f ca="1">CONCATENATE(CALC2223!A51," ",CALC2223!C51," ",CALC2223!E51)</f>
        <v xml:space="preserve">  </v>
      </c>
      <c r="E52" s="72" t="str">
        <f ca="1">CONCATENATE(CALC2223!G51," ",CALC2223!I51," ",CALC2223!K51)</f>
        <v xml:space="preserve">  </v>
      </c>
      <c r="F52" s="72" t="str">
        <f ca="1">CONCATENATE(CALC2223!M51," ",CALC2223!O51," ",CALC2223!Q51)</f>
        <v xml:space="preserve">  </v>
      </c>
      <c r="G52" s="72" t="str">
        <f ca="1">CONCATENATE(CALC2223!S51," ",CALC2223!U51," ",CALC2223!W51)</f>
        <v xml:space="preserve">  </v>
      </c>
      <c r="H52" s="72" t="str">
        <f ca="1">CONCATENATE(CALC2223!Y51," ",CALC2223!AA51," ",CALC2223!AC51)</f>
        <v xml:space="preserve">  </v>
      </c>
      <c r="I52" s="72" t="str">
        <f ca="1">CONCATENATE(CALC2223!AE51," ",CALC2223!AG51," ",CALC2223!AI51)</f>
        <v xml:space="preserve">  </v>
      </c>
      <c r="J52" s="72" t="str">
        <f ca="1">CONCATENATE(CALC2223!AK51," ",CALC2223!AM51," ",CALC2223!AO51)</f>
        <v xml:space="preserve">  </v>
      </c>
      <c r="K52" s="72" t="str">
        <f ca="1">CONCATENATE(CALC2223!AQ51," ",CALC2223!AS51," ",CALC2223!AU51," ",CALC2223!AW51)</f>
        <v xml:space="preserve">   herfstvakantie</v>
      </c>
      <c r="L52" s="73" t="str">
        <f t="shared" ca="1" si="0"/>
        <v>verleden</v>
      </c>
      <c r="M52" s="1"/>
      <c r="N52" s="6" t="b">
        <f ca="1">OR(VALUE(CALC2223!B51)&gt;VALUE(LASTV),VALUE(CALC2223!D51)&gt;VALUE(LASTV),VALUE(CALC2223!F51)&gt;VALUE(LASTV))</f>
        <v>0</v>
      </c>
      <c r="O52" s="6" t="b">
        <f ca="1">OR(VALUE(CALC2223!H51)&gt;VALUE(LASTV),VALUE(CALC2223!J51)&gt;VALUE(LASTV),VALUE(CALC2223!L51)&gt;VALUE(LASTV))</f>
        <v>0</v>
      </c>
      <c r="P52" s="6" t="b">
        <f ca="1">OR(VALUE(CALC2223!N51)&gt;VALUE(LASTV),VALUE(CALC2223!P51)&gt;VALUE(LASTV),VALUE(CALC2223!R51)&gt;VALUE(LASTV))</f>
        <v>0</v>
      </c>
      <c r="Q52" s="6" t="b">
        <f ca="1">OR(VALUE(CALC2223!T51)&gt;VALUE(LASTV),VALUE(CALC2223!V51)&gt;VALUE(LASTV),VALUE(CALC2223!X51)&gt;VALUE(LASTV))</f>
        <v>0</v>
      </c>
      <c r="R52" s="6" t="b">
        <f ca="1">OR(VALUE(CALC2223!Z51)&gt;VALUE(LASTV),VALUE(CALC2223!AB51)&gt;VALUE(LASTV),VALUE(CALC2223!AD51)&gt;VALUE(LASTV))</f>
        <v>0</v>
      </c>
      <c r="S52" s="6" t="b">
        <f ca="1">OR(VALUE(CALC2223!AF51)&gt;VALUE(LASTV),VALUE(CALC2223!AH51)&gt;VALUE(LASTV),VALUE(CALC2223!AJ51)&gt;VALUE(LASTV))</f>
        <v>0</v>
      </c>
      <c r="T52" s="6" t="b">
        <f ca="1">OR(VALUE(CALC2223!AL51)&gt;VALUE(LASTV),VALUE(CALC2223!AN51)&gt;VALUE(LASTV),VALUE(CALC2223!AP51)&gt;VALUE(LASTV))</f>
        <v>0</v>
      </c>
      <c r="U52" s="6" t="b">
        <f ca="1">OR(VALUE(CALC2223!AR51)&gt;VALUE(LASTV),VALUE(CALC2223!AT51)&gt;VALUE(LASTV),VALUE(CALC2223!AV51)&gt;VALUE(LASTV))</f>
        <v>0</v>
      </c>
      <c r="V52" s="1"/>
    </row>
    <row r="53" spans="1:22" ht="35.25" hidden="1" customHeight="1">
      <c r="A53" s="74"/>
      <c r="B53" s="70" t="s">
        <v>19</v>
      </c>
      <c r="C53" s="71">
        <v>45951</v>
      </c>
      <c r="D53" s="72" t="str">
        <f ca="1">CONCATENATE(CALC2223!A52," ",CALC2223!C52," ",CALC2223!E52)</f>
        <v xml:space="preserve">  </v>
      </c>
      <c r="E53" s="72" t="str">
        <f ca="1">CONCATENATE(CALC2223!G52," ",CALC2223!I52," ",CALC2223!K52)</f>
        <v xml:space="preserve">  </v>
      </c>
      <c r="F53" s="72" t="str">
        <f ca="1">CONCATENATE(CALC2223!M52," ",CALC2223!O52," ",CALC2223!Q52)</f>
        <v xml:space="preserve">  </v>
      </c>
      <c r="G53" s="72" t="str">
        <f ca="1">CONCATENATE(CALC2223!S52," ",CALC2223!U52," ",CALC2223!W52)</f>
        <v xml:space="preserve">  </v>
      </c>
      <c r="H53" s="72" t="str">
        <f ca="1">CONCATENATE(CALC2223!Y52," ",CALC2223!AA52," ",CALC2223!AC52)</f>
        <v xml:space="preserve">  </v>
      </c>
      <c r="I53" s="72" t="str">
        <f ca="1">CONCATENATE(CALC2223!AE52," ",CALC2223!AG52," ",CALC2223!AI52)</f>
        <v xml:space="preserve">  </v>
      </c>
      <c r="J53" s="72" t="str">
        <f ca="1">CONCATENATE(CALC2223!AK52," ",CALC2223!AM52," ",CALC2223!AO52)</f>
        <v xml:space="preserve">  </v>
      </c>
      <c r="K53" s="72" t="str">
        <f ca="1">CONCATENATE(CALC2223!AQ52," ",CALC2223!AS52," ",CALC2223!AU52," ",CALC2223!AW52)</f>
        <v xml:space="preserve">   </v>
      </c>
      <c r="L53" s="73" t="str">
        <f t="shared" ca="1" si="0"/>
        <v>verleden</v>
      </c>
      <c r="M53" s="1"/>
      <c r="N53" s="6" t="b">
        <f ca="1">OR(VALUE(CALC2223!B52)&gt;VALUE(LASTV),VALUE(CALC2223!D52)&gt;VALUE(LASTV),VALUE(CALC2223!F52)&gt;VALUE(LASTV))</f>
        <v>0</v>
      </c>
      <c r="O53" s="6" t="b">
        <f ca="1">OR(VALUE(CALC2223!H52)&gt;VALUE(LASTV),VALUE(CALC2223!J52)&gt;VALUE(LASTV),VALUE(CALC2223!L52)&gt;VALUE(LASTV))</f>
        <v>0</v>
      </c>
      <c r="P53" s="6" t="b">
        <f ca="1">OR(VALUE(CALC2223!N52)&gt;VALUE(LASTV),VALUE(CALC2223!P52)&gt;VALUE(LASTV),VALUE(CALC2223!R52)&gt;VALUE(LASTV))</f>
        <v>0</v>
      </c>
      <c r="Q53" s="6" t="b">
        <f ca="1">OR(VALUE(CALC2223!T52)&gt;VALUE(LASTV),VALUE(CALC2223!V52)&gt;VALUE(LASTV),VALUE(CALC2223!X52)&gt;VALUE(LASTV))</f>
        <v>0</v>
      </c>
      <c r="R53" s="6" t="b">
        <f ca="1">OR(VALUE(CALC2223!Z52)&gt;VALUE(LASTV),VALUE(CALC2223!AB52)&gt;VALUE(LASTV),VALUE(CALC2223!AD52)&gt;VALUE(LASTV))</f>
        <v>0</v>
      </c>
      <c r="S53" s="6" t="b">
        <f ca="1">OR(VALUE(CALC2223!AF52)&gt;VALUE(LASTV),VALUE(CALC2223!AH52)&gt;VALUE(LASTV),VALUE(CALC2223!AJ52)&gt;VALUE(LASTV))</f>
        <v>0</v>
      </c>
      <c r="T53" s="6" t="b">
        <f ca="1">OR(VALUE(CALC2223!AL52)&gt;VALUE(LASTV),VALUE(CALC2223!AN52)&gt;VALUE(LASTV),VALUE(CALC2223!AP52)&gt;VALUE(LASTV))</f>
        <v>0</v>
      </c>
      <c r="U53" s="6" t="b">
        <f ca="1">OR(VALUE(CALC2223!AR52)&gt;VALUE(LASTV),VALUE(CALC2223!AT52)&gt;VALUE(LASTV),VALUE(CALC2223!AV52)&gt;VALUE(LASTV))</f>
        <v>0</v>
      </c>
      <c r="V53" s="1"/>
    </row>
    <row r="54" spans="1:22" ht="35.25" hidden="1" customHeight="1">
      <c r="A54" s="74"/>
      <c r="B54" s="70" t="s">
        <v>20</v>
      </c>
      <c r="C54" s="71">
        <v>45952</v>
      </c>
      <c r="D54" s="72" t="str">
        <f ca="1">CONCATENATE(CALC2223!A53," ",CALC2223!C53," ",CALC2223!E53)</f>
        <v xml:space="preserve">  </v>
      </c>
      <c r="E54" s="72" t="str">
        <f ca="1">CONCATENATE(CALC2223!G53," ",CALC2223!I53," ",CALC2223!K53)</f>
        <v xml:space="preserve">  </v>
      </c>
      <c r="F54" s="72" t="str">
        <f ca="1">CONCATENATE(CALC2223!M53," ",CALC2223!O53," ",CALC2223!Q53)</f>
        <v xml:space="preserve">  </v>
      </c>
      <c r="G54" s="72" t="str">
        <f ca="1">CONCATENATE(CALC2223!S53," ",CALC2223!U53," ",CALC2223!W53)</f>
        <v xml:space="preserve">  </v>
      </c>
      <c r="H54" s="72" t="str">
        <f ca="1">CONCATENATE(CALC2223!Y53," ",CALC2223!AA53," ",CALC2223!AC53)</f>
        <v xml:space="preserve">  </v>
      </c>
      <c r="I54" s="72" t="str">
        <f ca="1">CONCATENATE(CALC2223!AE53," ",CALC2223!AG53," ",CALC2223!AI53)</f>
        <v xml:space="preserve">  </v>
      </c>
      <c r="J54" s="72" t="str">
        <f ca="1">CONCATENATE(CALC2223!AK53," ",CALC2223!AM53," ",CALC2223!AO53)</f>
        <v xml:space="preserve">  </v>
      </c>
      <c r="K54" s="72" t="str">
        <f ca="1">CONCATENATE(CALC2223!AQ53," ",CALC2223!AS53," ",CALC2223!AU53," ",CALC2223!AW53)</f>
        <v xml:space="preserve">   </v>
      </c>
      <c r="L54" s="73" t="str">
        <f t="shared" ca="1" si="0"/>
        <v>verleden</v>
      </c>
      <c r="M54" s="1"/>
      <c r="N54" s="6" t="b">
        <f ca="1">OR(VALUE(CALC2223!B53)&gt;VALUE(LASTV),VALUE(CALC2223!D53)&gt;VALUE(LASTV),VALUE(CALC2223!F53)&gt;VALUE(LASTV))</f>
        <v>0</v>
      </c>
      <c r="O54" s="6" t="b">
        <f ca="1">OR(VALUE(CALC2223!H53)&gt;VALUE(LASTV),VALUE(CALC2223!J53)&gt;VALUE(LASTV),VALUE(CALC2223!L53)&gt;VALUE(LASTV))</f>
        <v>0</v>
      </c>
      <c r="P54" s="6" t="b">
        <f ca="1">OR(VALUE(CALC2223!N53)&gt;VALUE(LASTV),VALUE(CALC2223!P53)&gt;VALUE(LASTV),VALUE(CALC2223!R53)&gt;VALUE(LASTV))</f>
        <v>0</v>
      </c>
      <c r="Q54" s="6" t="b">
        <f ca="1">OR(VALUE(CALC2223!T53)&gt;VALUE(LASTV),VALUE(CALC2223!V53)&gt;VALUE(LASTV),VALUE(CALC2223!X53)&gt;VALUE(LASTV))</f>
        <v>0</v>
      </c>
      <c r="R54" s="6" t="b">
        <f ca="1">OR(VALUE(CALC2223!Z53)&gt;VALUE(LASTV),VALUE(CALC2223!AB53)&gt;VALUE(LASTV),VALUE(CALC2223!AD53)&gt;VALUE(LASTV))</f>
        <v>0</v>
      </c>
      <c r="S54" s="6" t="b">
        <f ca="1">OR(VALUE(CALC2223!AF53)&gt;VALUE(LASTV),VALUE(CALC2223!AH53)&gt;VALUE(LASTV),VALUE(CALC2223!AJ53)&gt;VALUE(LASTV))</f>
        <v>0</v>
      </c>
      <c r="T54" s="6" t="b">
        <f ca="1">OR(VALUE(CALC2223!AL53)&gt;VALUE(LASTV),VALUE(CALC2223!AN53)&gt;VALUE(LASTV),VALUE(CALC2223!AP53)&gt;VALUE(LASTV))</f>
        <v>0</v>
      </c>
      <c r="U54" s="6" t="b">
        <f ca="1">OR(VALUE(CALC2223!AR53)&gt;VALUE(LASTV),VALUE(CALC2223!AT53)&gt;VALUE(LASTV),VALUE(CALC2223!AV53)&gt;VALUE(LASTV))</f>
        <v>0</v>
      </c>
      <c r="V54" s="1"/>
    </row>
    <row r="55" spans="1:22" ht="35.25" hidden="1" customHeight="1">
      <c r="A55" s="74"/>
      <c r="B55" s="70" t="s">
        <v>21</v>
      </c>
      <c r="C55" s="71">
        <v>45953</v>
      </c>
      <c r="D55" s="72" t="str">
        <f ca="1">CONCATENATE(CALC2223!A54," ",CALC2223!C54," ",CALC2223!E54)</f>
        <v xml:space="preserve">  </v>
      </c>
      <c r="E55" s="72" t="str">
        <f ca="1">CONCATENATE(CALC2223!G54," ",CALC2223!I54," ",CALC2223!K54)</f>
        <v xml:space="preserve">  </v>
      </c>
      <c r="F55" s="72" t="str">
        <f ca="1">CONCATENATE(CALC2223!M54," ",CALC2223!O54," ",CALC2223!Q54)</f>
        <v xml:space="preserve">  </v>
      </c>
      <c r="G55" s="72" t="str">
        <f ca="1">CONCATENATE(CALC2223!S54," ",CALC2223!U54," ",CALC2223!W54)</f>
        <v xml:space="preserve">  </v>
      </c>
      <c r="H55" s="72" t="str">
        <f ca="1">CONCATENATE(CALC2223!Y54," ",CALC2223!AA54," ",CALC2223!AC54)</f>
        <v xml:space="preserve">  </v>
      </c>
      <c r="I55" s="72" t="str">
        <f ca="1">CONCATENATE(CALC2223!AE54," ",CALC2223!AG54," ",CALC2223!AI54)</f>
        <v xml:space="preserve">  </v>
      </c>
      <c r="J55" s="72" t="str">
        <f ca="1">CONCATENATE(CALC2223!AK54," ",CALC2223!AM54," ",CALC2223!AO54)</f>
        <v xml:space="preserve">  </v>
      </c>
      <c r="K55" s="72" t="str">
        <f ca="1">CONCATENATE(CALC2223!AQ54," ",CALC2223!AS54," ",CALC2223!AU54," ",CALC2223!AW54)</f>
        <v xml:space="preserve">   </v>
      </c>
      <c r="L55" s="73" t="str">
        <f t="shared" ca="1" si="0"/>
        <v>verleden</v>
      </c>
      <c r="M55" s="1"/>
      <c r="N55" s="6" t="b">
        <f ca="1">OR(VALUE(CALC2223!B54)&gt;VALUE(LASTV),VALUE(CALC2223!D54)&gt;VALUE(LASTV),VALUE(CALC2223!F54)&gt;VALUE(LASTV))</f>
        <v>0</v>
      </c>
      <c r="O55" s="6" t="b">
        <f ca="1">OR(VALUE(CALC2223!H54)&gt;VALUE(LASTV),VALUE(CALC2223!J54)&gt;VALUE(LASTV),VALUE(CALC2223!L54)&gt;VALUE(LASTV))</f>
        <v>0</v>
      </c>
      <c r="P55" s="6" t="b">
        <f ca="1">OR(VALUE(CALC2223!N54)&gt;VALUE(LASTV),VALUE(CALC2223!P54)&gt;VALUE(LASTV),VALUE(CALC2223!R54)&gt;VALUE(LASTV))</f>
        <v>0</v>
      </c>
      <c r="Q55" s="6" t="b">
        <f ca="1">OR(VALUE(CALC2223!T54)&gt;VALUE(LASTV),VALUE(CALC2223!V54)&gt;VALUE(LASTV),VALUE(CALC2223!X54)&gt;VALUE(LASTV))</f>
        <v>0</v>
      </c>
      <c r="R55" s="6" t="b">
        <f ca="1">OR(VALUE(CALC2223!Z54)&gt;VALUE(LASTV),VALUE(CALC2223!AB54)&gt;VALUE(LASTV),VALUE(CALC2223!AD54)&gt;VALUE(LASTV))</f>
        <v>0</v>
      </c>
      <c r="S55" s="6" t="b">
        <f ca="1">OR(VALUE(CALC2223!AF54)&gt;VALUE(LASTV),VALUE(CALC2223!AH54)&gt;VALUE(LASTV),VALUE(CALC2223!AJ54)&gt;VALUE(LASTV))</f>
        <v>0</v>
      </c>
      <c r="T55" s="6" t="b">
        <f ca="1">OR(VALUE(CALC2223!AL54)&gt;VALUE(LASTV),VALUE(CALC2223!AN54)&gt;VALUE(LASTV),VALUE(CALC2223!AP54)&gt;VALUE(LASTV))</f>
        <v>0</v>
      </c>
      <c r="U55" s="6" t="b">
        <f ca="1">OR(VALUE(CALC2223!AR54)&gt;VALUE(LASTV),VALUE(CALC2223!AT54)&gt;VALUE(LASTV),VALUE(CALC2223!AV54)&gt;VALUE(LASTV))</f>
        <v>0</v>
      </c>
      <c r="V55" s="1"/>
    </row>
    <row r="56" spans="1:22" ht="35.25" hidden="1" customHeight="1">
      <c r="A56" s="74"/>
      <c r="B56" s="70" t="s">
        <v>22</v>
      </c>
      <c r="C56" s="71">
        <v>45954</v>
      </c>
      <c r="D56" s="72" t="str">
        <f ca="1">CONCATENATE(CALC2223!A55," ",CALC2223!C55," ",CALC2223!E55)</f>
        <v xml:space="preserve">  </v>
      </c>
      <c r="E56" s="72" t="str">
        <f ca="1">CONCATENATE(CALC2223!G55," ",CALC2223!I55," ",CALC2223!K55)</f>
        <v xml:space="preserve">  </v>
      </c>
      <c r="F56" s="72" t="str">
        <f ca="1">CONCATENATE(CALC2223!M55," ",CALC2223!O55," ",CALC2223!Q55)</f>
        <v xml:space="preserve">  </v>
      </c>
      <c r="G56" s="72" t="str">
        <f ca="1">CONCATENATE(CALC2223!S55," ",CALC2223!U55," ",CALC2223!W55)</f>
        <v xml:space="preserve">  </v>
      </c>
      <c r="H56" s="72" t="str">
        <f ca="1">CONCATENATE(CALC2223!Y55," ",CALC2223!AA55," ",CALC2223!AC55)</f>
        <v xml:space="preserve">  </v>
      </c>
      <c r="I56" s="72" t="str">
        <f ca="1">CONCATENATE(CALC2223!AE55," ",CALC2223!AG55," ",CALC2223!AI55)</f>
        <v xml:space="preserve">  </v>
      </c>
      <c r="J56" s="72" t="str">
        <f ca="1">CONCATENATE(CALC2223!AK55," ",CALC2223!AM55," ",CALC2223!AO55)</f>
        <v xml:space="preserve">  </v>
      </c>
      <c r="K56" s="72" t="str">
        <f ca="1">CONCATENATE(CALC2223!AQ55," ",CALC2223!AS55," ",CALC2223!AU55," ",CALC2223!AW55)</f>
        <v xml:space="preserve">   </v>
      </c>
      <c r="L56" s="73" t="str">
        <f t="shared" ca="1" si="0"/>
        <v>verleden</v>
      </c>
      <c r="M56" s="1"/>
      <c r="N56" s="6" t="b">
        <f ca="1">OR(VALUE(CALC2223!B55)&gt;VALUE(LASTV),VALUE(CALC2223!D55)&gt;VALUE(LASTV),VALUE(CALC2223!F55)&gt;VALUE(LASTV))</f>
        <v>0</v>
      </c>
      <c r="O56" s="6" t="b">
        <f ca="1">OR(VALUE(CALC2223!H55)&gt;VALUE(LASTV),VALUE(CALC2223!J55)&gt;VALUE(LASTV),VALUE(CALC2223!L55)&gt;VALUE(LASTV))</f>
        <v>0</v>
      </c>
      <c r="P56" s="6" t="b">
        <f ca="1">OR(VALUE(CALC2223!N55)&gt;VALUE(LASTV),VALUE(CALC2223!P55)&gt;VALUE(LASTV),VALUE(CALC2223!R55)&gt;VALUE(LASTV))</f>
        <v>0</v>
      </c>
      <c r="Q56" s="6" t="b">
        <f ca="1">OR(VALUE(CALC2223!T55)&gt;VALUE(LASTV),VALUE(CALC2223!V55)&gt;VALUE(LASTV),VALUE(CALC2223!X55)&gt;VALUE(LASTV))</f>
        <v>0</v>
      </c>
      <c r="R56" s="6" t="b">
        <f ca="1">OR(VALUE(CALC2223!Z55)&gt;VALUE(LASTV),VALUE(CALC2223!AB55)&gt;VALUE(LASTV),VALUE(CALC2223!AD55)&gt;VALUE(LASTV))</f>
        <v>0</v>
      </c>
      <c r="S56" s="6" t="b">
        <f ca="1">OR(VALUE(CALC2223!AF55)&gt;VALUE(LASTV),VALUE(CALC2223!AH55)&gt;VALUE(LASTV),VALUE(CALC2223!AJ55)&gt;VALUE(LASTV))</f>
        <v>0</v>
      </c>
      <c r="T56" s="6" t="b">
        <f ca="1">OR(VALUE(CALC2223!AL55)&gt;VALUE(LASTV),VALUE(CALC2223!AN55)&gt;VALUE(LASTV),VALUE(CALC2223!AP55)&gt;VALUE(LASTV))</f>
        <v>0</v>
      </c>
      <c r="U56" s="6" t="b">
        <f ca="1">OR(VALUE(CALC2223!AR55)&gt;VALUE(LASTV),VALUE(CALC2223!AT55)&gt;VALUE(LASTV),VALUE(CALC2223!AV55)&gt;VALUE(LASTV))</f>
        <v>0</v>
      </c>
      <c r="V56" s="1"/>
    </row>
    <row r="57" spans="1:22" ht="35.25" hidden="1" customHeight="1">
      <c r="A57" s="45"/>
      <c r="B57" s="46" t="s">
        <v>23</v>
      </c>
      <c r="C57" s="47">
        <v>45955</v>
      </c>
      <c r="D57" s="48" t="str">
        <f ca="1">CONCATENATE(CALC2223!A56," ",CALC2223!C56," ",CALC2223!E56)</f>
        <v xml:space="preserve">  </v>
      </c>
      <c r="E57" s="48" t="str">
        <f ca="1">CONCATENATE(CALC2223!G56," ",CALC2223!I56," ",CALC2223!K56)</f>
        <v xml:space="preserve">  </v>
      </c>
      <c r="F57" s="48" t="str">
        <f ca="1">CONCATENATE(CALC2223!M56," ",CALC2223!O56," ",CALC2223!Q56)</f>
        <v xml:space="preserve">  </v>
      </c>
      <c r="G57" s="48" t="str">
        <f ca="1">CONCATENATE(CALC2223!S56," ",CALC2223!U56," ",CALC2223!W56)</f>
        <v xml:space="preserve">  </v>
      </c>
      <c r="H57" s="48" t="str">
        <f ca="1">CONCATENATE(CALC2223!Y56," ",CALC2223!AA56," ",CALC2223!AC56)</f>
        <v xml:space="preserve">  </v>
      </c>
      <c r="I57" s="48" t="str">
        <f ca="1">CONCATENATE(CALC2223!AE56," ",CALC2223!AG56," ",CALC2223!AI56)</f>
        <v xml:space="preserve">  </v>
      </c>
      <c r="J57" s="48" t="str">
        <f ca="1">CONCATENATE(CALC2223!AK56," ",CALC2223!AM56," ",CALC2223!AO56)</f>
        <v xml:space="preserve">  </v>
      </c>
      <c r="K57" s="48" t="str">
        <f ca="1">CONCATENATE(CALC2223!AQ56," ",CALC2223!AS56," ",CALC2223!AU56," ",CALC2223!AW56)</f>
        <v xml:space="preserve">   </v>
      </c>
      <c r="L57" s="49" t="str">
        <f t="shared" ca="1" si="0"/>
        <v>verleden</v>
      </c>
      <c r="M57" s="1"/>
      <c r="N57" s="4" t="b">
        <f ca="1">OR(VALUE(CALC2223!B56)&gt;VALUE(LASTV),VALUE(CALC2223!D56)&gt;VALUE(LASTV),VALUE(CALC2223!F56)&gt;VALUE(LASTV))</f>
        <v>0</v>
      </c>
      <c r="O57" s="4" t="b">
        <f ca="1">OR(VALUE(CALC2223!H56)&gt;VALUE(LASTV),VALUE(CALC2223!J56)&gt;VALUE(LASTV),VALUE(CALC2223!L56)&gt;VALUE(LASTV))</f>
        <v>0</v>
      </c>
      <c r="P57" s="4" t="b">
        <f ca="1">OR(VALUE(CALC2223!N56)&gt;VALUE(LASTV),VALUE(CALC2223!P56)&gt;VALUE(LASTV),VALUE(CALC2223!R56)&gt;VALUE(LASTV))</f>
        <v>0</v>
      </c>
      <c r="Q57" s="4" t="b">
        <f ca="1">OR(VALUE(CALC2223!T56)&gt;VALUE(LASTV),VALUE(CALC2223!V56)&gt;VALUE(LASTV),VALUE(CALC2223!X56)&gt;VALUE(LASTV))</f>
        <v>0</v>
      </c>
      <c r="R57" s="4" t="b">
        <f ca="1">OR(VALUE(CALC2223!Z56)&gt;VALUE(LASTV),VALUE(CALC2223!AB56)&gt;VALUE(LASTV),VALUE(CALC2223!AD56)&gt;VALUE(LASTV))</f>
        <v>0</v>
      </c>
      <c r="S57" s="4" t="b">
        <f ca="1">OR(VALUE(CALC2223!AF56)&gt;VALUE(LASTV),VALUE(CALC2223!AH56)&gt;VALUE(LASTV),VALUE(CALC2223!AJ56)&gt;VALUE(LASTV))</f>
        <v>0</v>
      </c>
      <c r="T57" s="4" t="b">
        <f ca="1">OR(VALUE(CALC2223!AL56)&gt;VALUE(LASTV),VALUE(CALC2223!AN56)&gt;VALUE(LASTV),VALUE(CALC2223!AP56)&gt;VALUE(LASTV))</f>
        <v>0</v>
      </c>
      <c r="U57" s="4" t="b">
        <f ca="1">OR(VALUE(CALC2223!AR56)&gt;VALUE(LASTV),VALUE(CALC2223!AT56)&gt;VALUE(LASTV),VALUE(CALC2223!AV56)&gt;VALUE(LASTV))</f>
        <v>0</v>
      </c>
      <c r="V57" s="1"/>
    </row>
    <row r="58" spans="1:22" ht="35.25" hidden="1" customHeight="1">
      <c r="A58" s="45"/>
      <c r="B58" s="46" t="s">
        <v>24</v>
      </c>
      <c r="C58" s="47">
        <v>45956</v>
      </c>
      <c r="D58" s="48" t="str">
        <f ca="1">CONCATENATE(CALC2223!A57," ",CALC2223!C57," ",CALC2223!E57)</f>
        <v xml:space="preserve">  </v>
      </c>
      <c r="E58" s="48" t="str">
        <f ca="1">CONCATENATE(CALC2223!G57," ",CALC2223!I57," ",CALC2223!K57)</f>
        <v xml:space="preserve">  </v>
      </c>
      <c r="F58" s="48" t="str">
        <f ca="1">CONCATENATE(CALC2223!M57," ",CALC2223!O57," ",CALC2223!Q57)</f>
        <v xml:space="preserve">  </v>
      </c>
      <c r="G58" s="48" t="str">
        <f ca="1">CONCATENATE(CALC2223!S57," ",CALC2223!U57," ",CALC2223!W57)</f>
        <v xml:space="preserve">  </v>
      </c>
      <c r="H58" s="48" t="str">
        <f ca="1">CONCATENATE(CALC2223!Y57," ",CALC2223!AA57," ",CALC2223!AC57)</f>
        <v xml:space="preserve">  </v>
      </c>
      <c r="I58" s="48" t="str">
        <f ca="1">CONCATENATE(CALC2223!AE57," ",CALC2223!AG57," ",CALC2223!AI57)</f>
        <v xml:space="preserve">  </v>
      </c>
      <c r="J58" s="48" t="str">
        <f ca="1">CONCATENATE(CALC2223!AK57," ",CALC2223!AM57," ",CALC2223!AO57)</f>
        <v xml:space="preserve">  </v>
      </c>
      <c r="K58" s="48" t="str">
        <f ca="1">CONCATENATE(CALC2223!AQ57," ",CALC2223!AS57," ",CALC2223!AU57," ",CALC2223!AW57)</f>
        <v xml:space="preserve">   </v>
      </c>
      <c r="L58" s="49" t="str">
        <f t="shared" ca="1" si="0"/>
        <v>verleden</v>
      </c>
      <c r="M58" s="1"/>
      <c r="N58" s="4" t="b">
        <f ca="1">OR(VALUE(CALC2223!B57)&gt;VALUE(LASTV),VALUE(CALC2223!D57)&gt;VALUE(LASTV),VALUE(CALC2223!F57)&gt;VALUE(LASTV))</f>
        <v>0</v>
      </c>
      <c r="O58" s="4" t="b">
        <f ca="1">OR(VALUE(CALC2223!H57)&gt;VALUE(LASTV),VALUE(CALC2223!J57)&gt;VALUE(LASTV),VALUE(CALC2223!L57)&gt;VALUE(LASTV))</f>
        <v>0</v>
      </c>
      <c r="P58" s="4" t="b">
        <f ca="1">OR(VALUE(CALC2223!N57)&gt;VALUE(LASTV),VALUE(CALC2223!P57)&gt;VALUE(LASTV),VALUE(CALC2223!R57)&gt;VALUE(LASTV))</f>
        <v>0</v>
      </c>
      <c r="Q58" s="4" t="b">
        <f ca="1">OR(VALUE(CALC2223!T57)&gt;VALUE(LASTV),VALUE(CALC2223!V57)&gt;VALUE(LASTV),VALUE(CALC2223!X57)&gt;VALUE(LASTV))</f>
        <v>0</v>
      </c>
      <c r="R58" s="4" t="b">
        <f ca="1">OR(VALUE(CALC2223!Z57)&gt;VALUE(LASTV),VALUE(CALC2223!AB57)&gt;VALUE(LASTV),VALUE(CALC2223!AD57)&gt;VALUE(LASTV))</f>
        <v>0</v>
      </c>
      <c r="S58" s="4" t="b">
        <f ca="1">OR(VALUE(CALC2223!AF57)&gt;VALUE(LASTV),VALUE(CALC2223!AH57)&gt;VALUE(LASTV),VALUE(CALC2223!AJ57)&gt;VALUE(LASTV))</f>
        <v>0</v>
      </c>
      <c r="T58" s="4" t="b">
        <f ca="1">OR(VALUE(CALC2223!AL57)&gt;VALUE(LASTV),VALUE(CALC2223!AN57)&gt;VALUE(LASTV),VALUE(CALC2223!AP57)&gt;VALUE(LASTV))</f>
        <v>0</v>
      </c>
      <c r="U58" s="4" t="b">
        <f ca="1">OR(VALUE(CALC2223!AR57)&gt;VALUE(LASTV),VALUE(CALC2223!AT57)&gt;VALUE(LASTV),VALUE(CALC2223!AV57)&gt;VALUE(LASTV))</f>
        <v>0</v>
      </c>
      <c r="V58" s="1"/>
    </row>
    <row r="59" spans="1:22" ht="35.25" hidden="1" customHeight="1">
      <c r="A59" s="50">
        <v>44</v>
      </c>
      <c r="B59" s="41" t="s">
        <v>18</v>
      </c>
      <c r="C59" s="42">
        <v>45957</v>
      </c>
      <c r="D59" s="51" t="str">
        <f ca="1">CONCATENATE(CALC2223!A58," ",CALC2223!C58," ",CALC2223!E58)</f>
        <v xml:space="preserve">  </v>
      </c>
      <c r="E59" s="51" t="str">
        <f ca="1">CONCATENATE(CALC2223!G58," ",CALC2223!I58," ",CALC2223!K58)</f>
        <v xml:space="preserve">  </v>
      </c>
      <c r="F59" s="51" t="str">
        <f ca="1">CONCATENATE(CALC2223!M58," ",CALC2223!O58," ",CALC2223!Q58)</f>
        <v xml:space="preserve">  </v>
      </c>
      <c r="G59" s="51" t="str">
        <f ca="1">CONCATENATE(CALC2223!S58," ",CALC2223!U58," ",CALC2223!W58)</f>
        <v xml:space="preserve">inh rep WI  </v>
      </c>
      <c r="H59" s="51" t="str">
        <f ca="1">CONCATENATE(CALC2223!Y58," ",CALC2223!AA58," ",CALC2223!AC58)</f>
        <v xml:space="preserve">SE WIB  Rep WIA inh rep beco </v>
      </c>
      <c r="I59" s="51" t="str">
        <f ca="1">CONCATENATE(CALC2223!AE58," ",CALC2223!AG58," ",CALC2223!AI58)</f>
        <v xml:space="preserve">  </v>
      </c>
      <c r="J59" s="51" t="str">
        <f ca="1">CONCATENATE(CALC2223!AK58," ",CALC2223!AM58," ",CALC2223!AO58)</f>
        <v xml:space="preserve">  </v>
      </c>
      <c r="K59" s="51" t="str">
        <f ca="1">CONCATENATE(CALC2223!AQ58," ",CALC2223!AS58," ",CALC2223!AU58," ",CALC2223!AW58)</f>
        <v xml:space="preserve">   </v>
      </c>
      <c r="L59" s="52" t="str">
        <f t="shared" ca="1" si="0"/>
        <v>verleden</v>
      </c>
      <c r="M59" s="1"/>
      <c r="N59" s="4" t="b">
        <f ca="1">OR(VALUE(CALC2223!B58)&gt;VALUE(LASTV),VALUE(CALC2223!D58)&gt;VALUE(LASTV),VALUE(CALC2223!F58)&gt;VALUE(LASTV))</f>
        <v>0</v>
      </c>
      <c r="O59" s="4" t="b">
        <f ca="1">OR(VALUE(CALC2223!H58)&gt;VALUE(LASTV),VALUE(CALC2223!J58)&gt;VALUE(LASTV),VALUE(CALC2223!L58)&gt;VALUE(LASTV))</f>
        <v>0</v>
      </c>
      <c r="P59" s="4" t="b">
        <f ca="1">OR(VALUE(CALC2223!N58)&gt;VALUE(LASTV),VALUE(CALC2223!P58)&gt;VALUE(LASTV),VALUE(CALC2223!R58)&gt;VALUE(LASTV))</f>
        <v>0</v>
      </c>
      <c r="Q59" s="4" t="b">
        <f ca="1">OR(VALUE(CALC2223!T58)&gt;VALUE(LASTV),VALUE(CALC2223!V58)&gt;VALUE(LASTV),VALUE(CALC2223!X58)&gt;VALUE(LASTV))</f>
        <v>0</v>
      </c>
      <c r="R59" s="4" t="b">
        <f ca="1">OR(VALUE(CALC2223!Z58)&gt;VALUE(LASTV),VALUE(CALC2223!AB58)&gt;VALUE(LASTV),VALUE(CALC2223!AD58)&gt;VALUE(LASTV))</f>
        <v>0</v>
      </c>
      <c r="S59" s="4" t="b">
        <f ca="1">OR(VALUE(CALC2223!AF58)&gt;VALUE(LASTV),VALUE(CALC2223!AH58)&gt;VALUE(LASTV),VALUE(CALC2223!AJ58)&gt;VALUE(LASTV))</f>
        <v>0</v>
      </c>
      <c r="T59" s="4" t="b">
        <f ca="1">OR(VALUE(CALC2223!AL58)&gt;VALUE(LASTV),VALUE(CALC2223!AN58)&gt;VALUE(LASTV),VALUE(CALC2223!AP58)&gt;VALUE(LASTV))</f>
        <v>0</v>
      </c>
      <c r="U59" s="4" t="b">
        <f ca="1">OR(VALUE(CALC2223!AR58)&gt;VALUE(LASTV),VALUE(CALC2223!AT58)&gt;VALUE(LASTV),VALUE(CALC2223!AV58)&gt;VALUE(LASTV))</f>
        <v>0</v>
      </c>
      <c r="V59" s="1"/>
    </row>
    <row r="60" spans="1:22" ht="35.25" hidden="1" customHeight="1">
      <c r="A60" s="40"/>
      <c r="B60" s="41" t="s">
        <v>19</v>
      </c>
      <c r="C60" s="42">
        <v>45958</v>
      </c>
      <c r="D60" s="51" t="str">
        <f ca="1">CONCATENATE(CALC2223!A59," ",CALC2223!C59," ",CALC2223!E59)</f>
        <v xml:space="preserve">  </v>
      </c>
      <c r="E60" s="51" t="str">
        <f ca="1">CONCATENATE(CALC2223!G59," ",CALC2223!I59," ",CALC2223!K59)</f>
        <v xml:space="preserve">  </v>
      </c>
      <c r="F60" s="51" t="str">
        <f ca="1">CONCATENATE(CALC2223!M59," ",CALC2223!O59," ",CALC2223!Q59)</f>
        <v xml:space="preserve">  </v>
      </c>
      <c r="G60" s="51" t="str">
        <f ca="1">CONCATENATE(CALC2223!S59," ",CALC2223!U59," ",CALC2223!W59)</f>
        <v xml:space="preserve">Rep GS Uitwisseling Munster op bezoek bij CGU </v>
      </c>
      <c r="H60" s="51" t="str">
        <f ca="1">CONCATENATE(CALC2223!Y59," ",CALC2223!AA59," ",CALC2223!AC59)</f>
        <v xml:space="preserve">inh rep wiC   </v>
      </c>
      <c r="I60" s="51" t="str">
        <f ca="1">CONCATENATE(CALC2223!AE59," ",CALC2223!AG59," ",CALC2223!AI59)</f>
        <v xml:space="preserve">inhalen SE  </v>
      </c>
      <c r="J60" s="51" t="str">
        <f ca="1">CONCATENATE(CALC2223!AK59," ",CALC2223!AM59," ",CALC2223!AO59)</f>
        <v xml:space="preserve">  </v>
      </c>
      <c r="K60" s="51" t="str">
        <f ca="1">CONCATENATE(CALC2223!AQ59," ",CALC2223!AS59," ",CALC2223!AU59," ",CALC2223!AW59)</f>
        <v xml:space="preserve">   </v>
      </c>
      <c r="L60" s="52" t="str">
        <f t="shared" ca="1" si="0"/>
        <v>verleden</v>
      </c>
      <c r="M60" s="1"/>
      <c r="N60" s="4" t="b">
        <f ca="1">OR(VALUE(CALC2223!B59)&gt;VALUE(LASTV),VALUE(CALC2223!D59)&gt;VALUE(LASTV),VALUE(CALC2223!F59)&gt;VALUE(LASTV))</f>
        <v>0</v>
      </c>
      <c r="O60" s="4" t="b">
        <f ca="1">OR(VALUE(CALC2223!H59)&gt;VALUE(LASTV),VALUE(CALC2223!J59)&gt;VALUE(LASTV),VALUE(CALC2223!L59)&gt;VALUE(LASTV))</f>
        <v>0</v>
      </c>
      <c r="P60" s="4" t="b">
        <f ca="1">OR(VALUE(CALC2223!N59)&gt;VALUE(LASTV),VALUE(CALC2223!P59)&gt;VALUE(LASTV),VALUE(CALC2223!R59)&gt;VALUE(LASTV))</f>
        <v>0</v>
      </c>
      <c r="Q60" s="4" t="b">
        <f ca="1">OR(VALUE(CALC2223!T59)&gt;VALUE(LASTV),VALUE(CALC2223!V59)&gt;VALUE(LASTV),VALUE(CALC2223!X59)&gt;VALUE(LASTV))</f>
        <v>0</v>
      </c>
      <c r="R60" s="4" t="b">
        <f ca="1">OR(VALUE(CALC2223!Z59)&gt;VALUE(LASTV),VALUE(CALC2223!AB59)&gt;VALUE(LASTV),VALUE(CALC2223!AD59)&gt;VALUE(LASTV))</f>
        <v>0</v>
      </c>
      <c r="S60" s="4" t="b">
        <f ca="1">OR(VALUE(CALC2223!AF59)&gt;VALUE(LASTV),VALUE(CALC2223!AH59)&gt;VALUE(LASTV),VALUE(CALC2223!AJ59)&gt;VALUE(LASTV))</f>
        <v>0</v>
      </c>
      <c r="T60" s="4" t="b">
        <f ca="1">OR(VALUE(CALC2223!AL59)&gt;VALUE(LASTV),VALUE(CALC2223!AN59)&gt;VALUE(LASTV),VALUE(CALC2223!AP59)&gt;VALUE(LASTV))</f>
        <v>0</v>
      </c>
      <c r="U60" s="4" t="b">
        <f ca="1">OR(VALUE(CALC2223!AR59)&gt;VALUE(LASTV),VALUE(CALC2223!AT59)&gt;VALUE(LASTV),VALUE(CALC2223!AV59)&gt;VALUE(LASTV))</f>
        <v>0</v>
      </c>
      <c r="V60" s="1"/>
    </row>
    <row r="61" spans="1:22" ht="35.25" hidden="1" customHeight="1">
      <c r="A61" s="40"/>
      <c r="B61" s="41" t="s">
        <v>20</v>
      </c>
      <c r="C61" s="42">
        <v>45959</v>
      </c>
      <c r="D61" s="51" t="str">
        <f ca="1">CONCATENATE(CALC2223!A60," ",CALC2223!C60," ",CALC2223!E60)</f>
        <v xml:space="preserve">  </v>
      </c>
      <c r="E61" s="51" t="str">
        <f ca="1">CONCATENATE(CALC2223!G60," ",CALC2223!I60," ",CALC2223!K60)</f>
        <v xml:space="preserve">  </v>
      </c>
      <c r="F61" s="51" t="str">
        <f ca="1">CONCATENATE(CALC2223!M60," ",CALC2223!O60," ",CALC2223!Q60)</f>
        <v xml:space="preserve">  </v>
      </c>
      <c r="G61" s="51" t="str">
        <f ca="1">CONCATENATE(CALC2223!S60," ",CALC2223!U60," ",CALC2223!W60)</f>
        <v xml:space="preserve">Uitwisseling Munster op bezoek bij CGU inh rep EC </v>
      </c>
      <c r="H61" s="51" t="str">
        <f ca="1">CONCATENATE(CALC2223!Y60," ",CALC2223!AA60," ",CALC2223!AC60)</f>
        <v xml:space="preserve">Rep FI  </v>
      </c>
      <c r="I61" s="51" t="str">
        <f ca="1">CONCATENATE(CALC2223!AE60," ",CALC2223!AG60," ",CALC2223!AI60)</f>
        <v xml:space="preserve">KuBV excursie centraal museum (4e en 5e uur)  </v>
      </c>
      <c r="J61" s="51" t="str">
        <f ca="1">CONCATENATE(CALC2223!AK60," ",CALC2223!AM60," ",CALC2223!AO60)</f>
        <v xml:space="preserve">  </v>
      </c>
      <c r="K61" s="51" t="str">
        <f ca="1">CONCATENATE(CALC2223!AQ60," ",CALC2223!AS60," ",CALC2223!AU60," ",CALC2223!AW60)</f>
        <v xml:space="preserve">   </v>
      </c>
      <c r="L61" s="52" t="str">
        <f t="shared" ca="1" si="0"/>
        <v>verleden</v>
      </c>
      <c r="M61" s="1"/>
      <c r="N61" s="4" t="b">
        <f ca="1">OR(VALUE(CALC2223!B60)&gt;VALUE(LASTV),VALUE(CALC2223!D60)&gt;VALUE(LASTV),VALUE(CALC2223!F60)&gt;VALUE(LASTV))</f>
        <v>0</v>
      </c>
      <c r="O61" s="4" t="b">
        <f ca="1">OR(VALUE(CALC2223!H60)&gt;VALUE(LASTV),VALUE(CALC2223!J60)&gt;VALUE(LASTV),VALUE(CALC2223!L60)&gt;VALUE(LASTV))</f>
        <v>0</v>
      </c>
      <c r="P61" s="4" t="b">
        <f ca="1">OR(VALUE(CALC2223!N60)&gt;VALUE(LASTV),VALUE(CALC2223!P60)&gt;VALUE(LASTV),VALUE(CALC2223!R60)&gt;VALUE(LASTV))</f>
        <v>0</v>
      </c>
      <c r="Q61" s="4" t="b">
        <f ca="1">OR(VALUE(CALC2223!T60)&gt;VALUE(LASTV),VALUE(CALC2223!V60)&gt;VALUE(LASTV),VALUE(CALC2223!X60)&gt;VALUE(LASTV))</f>
        <v>0</v>
      </c>
      <c r="R61" s="4" t="b">
        <f ca="1">OR(VALUE(CALC2223!Z60)&gt;VALUE(LASTV),VALUE(CALC2223!AB60)&gt;VALUE(LASTV),VALUE(CALC2223!AD60)&gt;VALUE(LASTV))</f>
        <v>0</v>
      </c>
      <c r="S61" s="4" t="b">
        <f ca="1">OR(VALUE(CALC2223!AF60)&gt;VALUE(LASTV),VALUE(CALC2223!AH60)&gt;VALUE(LASTV),VALUE(CALC2223!AJ60)&gt;VALUE(LASTV))</f>
        <v>0</v>
      </c>
      <c r="T61" s="4" t="b">
        <f ca="1">OR(VALUE(CALC2223!AL60)&gt;VALUE(LASTV),VALUE(CALC2223!AN60)&gt;VALUE(LASTV),VALUE(CALC2223!AP60)&gt;VALUE(LASTV))</f>
        <v>0</v>
      </c>
      <c r="U61" s="4" t="b">
        <f ca="1">OR(VALUE(CALC2223!AR60)&gt;VALUE(LASTV),VALUE(CALC2223!AT60)&gt;VALUE(LASTV),VALUE(CALC2223!AV60)&gt;VALUE(LASTV))</f>
        <v>0</v>
      </c>
      <c r="V61" s="1"/>
    </row>
    <row r="62" spans="1:22" ht="35.25" hidden="1" customHeight="1">
      <c r="A62" s="40"/>
      <c r="B62" s="41" t="s">
        <v>21</v>
      </c>
      <c r="C62" s="42">
        <v>45960</v>
      </c>
      <c r="D62" s="51" t="str">
        <f ca="1">CONCATENATE(CALC2223!A61," ",CALC2223!C61," ",CALC2223!E61)</f>
        <v xml:space="preserve">  </v>
      </c>
      <c r="E62" s="51" t="str">
        <f ca="1">CONCATENATE(CALC2223!G61," ",CALC2223!I61," ",CALC2223!K61)</f>
        <v xml:space="preserve">  </v>
      </c>
      <c r="F62" s="51" t="str">
        <f ca="1">CONCATENATE(CALC2223!M61," ",CALC2223!O61," ",CALC2223!Q61)</f>
        <v xml:space="preserve">Rep SK  </v>
      </c>
      <c r="G62" s="51" t="str">
        <f ca="1">CONCATENATE(CALC2223!S61," ",CALC2223!U61," ",CALC2223!W61)</f>
        <v xml:space="preserve">Uitwisseling Munster op bezoek bij CGU inh rep EN </v>
      </c>
      <c r="H62" s="51" t="str">
        <f ca="1">CONCATENATE(CALC2223!Y61," ",CALC2223!AA61," ",CALC2223!AC61)</f>
        <v xml:space="preserve">inh SE wiD  </v>
      </c>
      <c r="I62" s="51" t="str">
        <f ca="1">CONCATENATE(CALC2223!AE61," ",CALC2223!AG61," ",CALC2223!AI61)</f>
        <v xml:space="preserve">LO2:1  </v>
      </c>
      <c r="J62" s="51" t="str">
        <f ca="1">CONCATENATE(CALC2223!AK61," ",CALC2223!AM61," ",CALC2223!AO61)</f>
        <v xml:space="preserve">Kenniscarroussel  </v>
      </c>
      <c r="K62" s="51" t="str">
        <f ca="1">CONCATENATE(CALC2223!AQ61," ",CALC2223!AS61," ",CALC2223!AU61," ",CALC2223!AW61)</f>
        <v xml:space="preserve">   </v>
      </c>
      <c r="L62" s="52" t="str">
        <f t="shared" ca="1" si="0"/>
        <v>verleden</v>
      </c>
      <c r="M62" s="1"/>
      <c r="N62" s="4" t="b">
        <f ca="1">OR(VALUE(CALC2223!B61)&gt;VALUE(LASTV),VALUE(CALC2223!D61)&gt;VALUE(LASTV),VALUE(CALC2223!F61)&gt;VALUE(LASTV))</f>
        <v>0</v>
      </c>
      <c r="O62" s="4" t="b">
        <f ca="1">OR(VALUE(CALC2223!H61)&gt;VALUE(LASTV),VALUE(CALC2223!J61)&gt;VALUE(LASTV),VALUE(CALC2223!L61)&gt;VALUE(LASTV))</f>
        <v>0</v>
      </c>
      <c r="P62" s="4" t="b">
        <f ca="1">OR(VALUE(CALC2223!N61)&gt;VALUE(LASTV),VALUE(CALC2223!P61)&gt;VALUE(LASTV),VALUE(CALC2223!R61)&gt;VALUE(LASTV))</f>
        <v>0</v>
      </c>
      <c r="Q62" s="4" t="b">
        <f ca="1">OR(VALUE(CALC2223!T61)&gt;VALUE(LASTV),VALUE(CALC2223!V61)&gt;VALUE(LASTV),VALUE(CALC2223!X61)&gt;VALUE(LASTV))</f>
        <v>0</v>
      </c>
      <c r="R62" s="4" t="b">
        <f ca="1">OR(VALUE(CALC2223!Z61)&gt;VALUE(LASTV),VALUE(CALC2223!AB61)&gt;VALUE(LASTV),VALUE(CALC2223!AD61)&gt;VALUE(LASTV))</f>
        <v>0</v>
      </c>
      <c r="S62" s="4" t="b">
        <f ca="1">OR(VALUE(CALC2223!AF61)&gt;VALUE(LASTV),VALUE(CALC2223!AH61)&gt;VALUE(LASTV),VALUE(CALC2223!AJ61)&gt;VALUE(LASTV))</f>
        <v>0</v>
      </c>
      <c r="T62" s="4" t="b">
        <f ca="1">OR(VALUE(CALC2223!AL61)&gt;VALUE(LASTV),VALUE(CALC2223!AN61)&gt;VALUE(LASTV),VALUE(CALC2223!AP61)&gt;VALUE(LASTV))</f>
        <v>0</v>
      </c>
      <c r="U62" s="4" t="b">
        <f ca="1">OR(VALUE(CALC2223!AR61)&gt;VALUE(LASTV),VALUE(CALC2223!AT61)&gt;VALUE(LASTV),VALUE(CALC2223!AV61)&gt;VALUE(LASTV))</f>
        <v>0</v>
      </c>
      <c r="V62" s="1"/>
    </row>
    <row r="63" spans="1:22" ht="35.25" hidden="1" customHeight="1">
      <c r="A63" s="40"/>
      <c r="B63" s="41" t="s">
        <v>22</v>
      </c>
      <c r="C63" s="42">
        <v>45961</v>
      </c>
      <c r="D63" s="51" t="str">
        <f ca="1">CONCATENATE(CALC2223!A62," ",CALC2223!C62," ",CALC2223!E62)</f>
        <v xml:space="preserve">  </v>
      </c>
      <c r="E63" s="51" t="str">
        <f ca="1">CONCATENATE(CALC2223!G62," ",CALC2223!I62," ",CALC2223!K62)</f>
        <v xml:space="preserve">Rep AK  </v>
      </c>
      <c r="F63" s="51" t="str">
        <f ca="1">CONCATENATE(CALC2223!M62," ",CALC2223!O62," ",CALC2223!Q62)</f>
        <v xml:space="preserve">  </v>
      </c>
      <c r="G63" s="51" t="str">
        <f ca="1">CONCATENATE(CALC2223!S62," ",CALC2223!U62," ",CALC2223!W62)</f>
        <v xml:space="preserve">Rep FI  </v>
      </c>
      <c r="H63" s="51" t="str">
        <f ca="1">CONCATENATE(CALC2223!Y62," ",CALC2223!AA62," ",CALC2223!AC62)</f>
        <v xml:space="preserve">  </v>
      </c>
      <c r="I63" s="51" t="str">
        <f ca="1">CONCATENATE(CALC2223!AE62," ",CALC2223!AG62," ",CALC2223!AI62)</f>
        <v xml:space="preserve">  </v>
      </c>
      <c r="J63" s="51" t="str">
        <f ca="1">CONCATENATE(CALC2223!AK62," ",CALC2223!AM62," ",CALC2223!AO62)</f>
        <v xml:space="preserve">  </v>
      </c>
      <c r="K63" s="51" t="str">
        <f ca="1">CONCATENATE(CALC2223!AQ62," ",CALC2223!AS62," ",CALC2223!AU62," ",CALC2223!AW62)</f>
        <v xml:space="preserve">   </v>
      </c>
      <c r="L63" s="52" t="str">
        <f t="shared" ca="1" si="0"/>
        <v>verleden</v>
      </c>
      <c r="M63" s="1"/>
      <c r="N63" s="4" t="b">
        <f ca="1">OR(VALUE(CALC2223!B62)&gt;VALUE(LASTV),VALUE(CALC2223!D62)&gt;VALUE(LASTV),VALUE(CALC2223!F62)&gt;VALUE(LASTV))</f>
        <v>0</v>
      </c>
      <c r="O63" s="4" t="b">
        <f ca="1">OR(VALUE(CALC2223!H62)&gt;VALUE(LASTV),VALUE(CALC2223!J62)&gt;VALUE(LASTV),VALUE(CALC2223!L62)&gt;VALUE(LASTV))</f>
        <v>0</v>
      </c>
      <c r="P63" s="4" t="b">
        <f ca="1">OR(VALUE(CALC2223!N62)&gt;VALUE(LASTV),VALUE(CALC2223!P62)&gt;VALUE(LASTV),VALUE(CALC2223!R62)&gt;VALUE(LASTV))</f>
        <v>0</v>
      </c>
      <c r="Q63" s="4" t="b">
        <f ca="1">OR(VALUE(CALC2223!T62)&gt;VALUE(LASTV),VALUE(CALC2223!V62)&gt;VALUE(LASTV),VALUE(CALC2223!X62)&gt;VALUE(LASTV))</f>
        <v>0</v>
      </c>
      <c r="R63" s="4" t="b">
        <f ca="1">OR(VALUE(CALC2223!Z62)&gt;VALUE(LASTV),VALUE(CALC2223!AB62)&gt;VALUE(LASTV),VALUE(CALC2223!AD62)&gt;VALUE(LASTV))</f>
        <v>0</v>
      </c>
      <c r="S63" s="4" t="b">
        <f ca="1">OR(VALUE(CALC2223!AF62)&gt;VALUE(LASTV),VALUE(CALC2223!AH62)&gt;VALUE(LASTV),VALUE(CALC2223!AJ62)&gt;VALUE(LASTV))</f>
        <v>0</v>
      </c>
      <c r="T63" s="4" t="b">
        <f ca="1">OR(VALUE(CALC2223!AL62)&gt;VALUE(LASTV),VALUE(CALC2223!AN62)&gt;VALUE(LASTV),VALUE(CALC2223!AP62)&gt;VALUE(LASTV))</f>
        <v>0</v>
      </c>
      <c r="U63" s="4" t="b">
        <f ca="1">OR(VALUE(CALC2223!AR62)&gt;VALUE(LASTV),VALUE(CALC2223!AT62)&gt;VALUE(LASTV),VALUE(CALC2223!AV62)&gt;VALUE(LASTV))</f>
        <v>0</v>
      </c>
      <c r="V63" s="1"/>
    </row>
    <row r="64" spans="1:22" ht="35.25" hidden="1" customHeight="1">
      <c r="A64" s="45"/>
      <c r="B64" s="46" t="s">
        <v>23</v>
      </c>
      <c r="C64" s="47">
        <v>45962</v>
      </c>
      <c r="D64" s="48" t="str">
        <f ca="1">CONCATENATE(CALC2223!A63," ",CALC2223!C63," ",CALC2223!E63)</f>
        <v xml:space="preserve">  </v>
      </c>
      <c r="E64" s="48" t="str">
        <f ca="1">CONCATENATE(CALC2223!G63," ",CALC2223!I63," ",CALC2223!K63)</f>
        <v xml:space="preserve">  </v>
      </c>
      <c r="F64" s="48" t="str">
        <f ca="1">CONCATENATE(CALC2223!M63," ",CALC2223!O63," ",CALC2223!Q63)</f>
        <v xml:space="preserve">  </v>
      </c>
      <c r="G64" s="48" t="str">
        <f ca="1">CONCATENATE(CALC2223!S63," ",CALC2223!U63," ",CALC2223!W63)</f>
        <v xml:space="preserve">  </v>
      </c>
      <c r="H64" s="48" t="str">
        <f ca="1">CONCATENATE(CALC2223!Y63," ",CALC2223!AA63," ",CALC2223!AC63)</f>
        <v xml:space="preserve">  </v>
      </c>
      <c r="I64" s="48" t="str">
        <f ca="1">CONCATENATE(CALC2223!AE63," ",CALC2223!AG63," ",CALC2223!AI63)</f>
        <v xml:space="preserve">  </v>
      </c>
      <c r="J64" s="48" t="str">
        <f ca="1">CONCATENATE(CALC2223!AK63," ",CALC2223!AM63," ",CALC2223!AO63)</f>
        <v xml:space="preserve">  </v>
      </c>
      <c r="K64" s="48" t="str">
        <f ca="1">CONCATENATE(CALC2223!AQ63," ",CALC2223!AS63," ",CALC2223!AU63," ",CALC2223!AW63)</f>
        <v xml:space="preserve">   </v>
      </c>
      <c r="L64" s="49" t="str">
        <f t="shared" ca="1" si="0"/>
        <v>verleden</v>
      </c>
      <c r="M64" s="1"/>
      <c r="N64" s="4" t="b">
        <f ca="1">OR(VALUE(CALC2223!B63)&gt;VALUE(LASTV),VALUE(CALC2223!D63)&gt;VALUE(LASTV),VALUE(CALC2223!F63)&gt;VALUE(LASTV))</f>
        <v>0</v>
      </c>
      <c r="O64" s="4" t="b">
        <f ca="1">OR(VALUE(CALC2223!H63)&gt;VALUE(LASTV),VALUE(CALC2223!J63)&gt;VALUE(LASTV),VALUE(CALC2223!L63)&gt;VALUE(LASTV))</f>
        <v>0</v>
      </c>
      <c r="P64" s="4" t="b">
        <f ca="1">OR(VALUE(CALC2223!N63)&gt;VALUE(LASTV),VALUE(CALC2223!P63)&gt;VALUE(LASTV),VALUE(CALC2223!R63)&gt;VALUE(LASTV))</f>
        <v>0</v>
      </c>
      <c r="Q64" s="4" t="b">
        <f ca="1">OR(VALUE(CALC2223!T63)&gt;VALUE(LASTV),VALUE(CALC2223!V63)&gt;VALUE(LASTV),VALUE(CALC2223!X63)&gt;VALUE(LASTV))</f>
        <v>0</v>
      </c>
      <c r="R64" s="4" t="b">
        <f ca="1">OR(VALUE(CALC2223!Z63)&gt;VALUE(LASTV),VALUE(CALC2223!AB63)&gt;VALUE(LASTV),VALUE(CALC2223!AD63)&gt;VALUE(LASTV))</f>
        <v>0</v>
      </c>
      <c r="S64" s="4" t="b">
        <f ca="1">OR(VALUE(CALC2223!AF63)&gt;VALUE(LASTV),VALUE(CALC2223!AH63)&gt;VALUE(LASTV),VALUE(CALC2223!AJ63)&gt;VALUE(LASTV))</f>
        <v>0</v>
      </c>
      <c r="T64" s="4" t="b">
        <f ca="1">OR(VALUE(CALC2223!AL63)&gt;VALUE(LASTV),VALUE(CALC2223!AN63)&gt;VALUE(LASTV),VALUE(CALC2223!AP63)&gt;VALUE(LASTV))</f>
        <v>0</v>
      </c>
      <c r="U64" s="4" t="b">
        <f ca="1">OR(VALUE(CALC2223!AR63)&gt;VALUE(LASTV),VALUE(CALC2223!AT63)&gt;VALUE(LASTV),VALUE(CALC2223!AV63)&gt;VALUE(LASTV))</f>
        <v>0</v>
      </c>
      <c r="V64" s="1"/>
    </row>
    <row r="65" spans="1:22" ht="35.25" hidden="1" customHeight="1">
      <c r="A65" s="45"/>
      <c r="B65" s="46" t="s">
        <v>24</v>
      </c>
      <c r="C65" s="47">
        <v>45963</v>
      </c>
      <c r="D65" s="48" t="str">
        <f ca="1">CONCATENATE(CALC2223!A64," ",CALC2223!C64," ",CALC2223!E64)</f>
        <v xml:space="preserve">  </v>
      </c>
      <c r="E65" s="48" t="str">
        <f ca="1">CONCATENATE(CALC2223!G64," ",CALC2223!I64," ",CALC2223!K64)</f>
        <v xml:space="preserve">  </v>
      </c>
      <c r="F65" s="48" t="str">
        <f ca="1">CONCATENATE(CALC2223!M64," ",CALC2223!O64," ",CALC2223!Q64)</f>
        <v xml:space="preserve">  </v>
      </c>
      <c r="G65" s="48" t="str">
        <f ca="1">CONCATENATE(CALC2223!S64," ",CALC2223!U64," ",CALC2223!W64)</f>
        <v xml:space="preserve">  </v>
      </c>
      <c r="H65" s="48" t="str">
        <f ca="1">CONCATENATE(CALC2223!Y64," ",CALC2223!AA64," ",CALC2223!AC64)</f>
        <v xml:space="preserve">  </v>
      </c>
      <c r="I65" s="48" t="str">
        <f ca="1">CONCATENATE(CALC2223!AE64," ",CALC2223!AG64," ",CALC2223!AI64)</f>
        <v xml:space="preserve">  </v>
      </c>
      <c r="J65" s="48" t="str">
        <f ca="1">CONCATENATE(CALC2223!AK64," ",CALC2223!AM64," ",CALC2223!AO64)</f>
        <v xml:space="preserve">  </v>
      </c>
      <c r="K65" s="48" t="str">
        <f ca="1">CONCATENATE(CALC2223!AQ64," ",CALC2223!AS64," ",CALC2223!AU64," ",CALC2223!AW64)</f>
        <v xml:space="preserve">   </v>
      </c>
      <c r="L65" s="49" t="str">
        <f t="shared" ca="1" si="0"/>
        <v>verleden</v>
      </c>
      <c r="M65" s="1"/>
      <c r="N65" s="4" t="b">
        <f ca="1">OR(VALUE(CALC2223!B64)&gt;VALUE(LASTV),VALUE(CALC2223!D64)&gt;VALUE(LASTV),VALUE(CALC2223!F64)&gt;VALUE(LASTV))</f>
        <v>0</v>
      </c>
      <c r="O65" s="4" t="b">
        <f ca="1">OR(VALUE(CALC2223!H64)&gt;VALUE(LASTV),VALUE(CALC2223!J64)&gt;VALUE(LASTV),VALUE(CALC2223!L64)&gt;VALUE(LASTV))</f>
        <v>0</v>
      </c>
      <c r="P65" s="4" t="b">
        <f ca="1">OR(VALUE(CALC2223!N64)&gt;VALUE(LASTV),VALUE(CALC2223!P64)&gt;VALUE(LASTV),VALUE(CALC2223!R64)&gt;VALUE(LASTV))</f>
        <v>0</v>
      </c>
      <c r="Q65" s="4" t="b">
        <f ca="1">OR(VALUE(CALC2223!T64)&gt;VALUE(LASTV),VALUE(CALC2223!V64)&gt;VALUE(LASTV),VALUE(CALC2223!X64)&gt;VALUE(LASTV))</f>
        <v>0</v>
      </c>
      <c r="R65" s="4" t="b">
        <f ca="1">OR(VALUE(CALC2223!Z64)&gt;VALUE(LASTV),VALUE(CALC2223!AB64)&gt;VALUE(LASTV),VALUE(CALC2223!AD64)&gt;VALUE(LASTV))</f>
        <v>0</v>
      </c>
      <c r="S65" s="4" t="b">
        <f ca="1">OR(VALUE(CALC2223!AF64)&gt;VALUE(LASTV),VALUE(CALC2223!AH64)&gt;VALUE(LASTV),VALUE(CALC2223!AJ64)&gt;VALUE(LASTV))</f>
        <v>0</v>
      </c>
      <c r="T65" s="4" t="b">
        <f ca="1">OR(VALUE(CALC2223!AL64)&gt;VALUE(LASTV),VALUE(CALC2223!AN64)&gt;VALUE(LASTV),VALUE(CALC2223!AP64)&gt;VALUE(LASTV))</f>
        <v>0</v>
      </c>
      <c r="U65" s="4" t="b">
        <f ca="1">OR(VALUE(CALC2223!AR64)&gt;VALUE(LASTV),VALUE(CALC2223!AT64)&gt;VALUE(LASTV),VALUE(CALC2223!AV64)&gt;VALUE(LASTV))</f>
        <v>0</v>
      </c>
      <c r="V65" s="1"/>
    </row>
    <row r="66" spans="1:22" ht="35.25" hidden="1" customHeight="1">
      <c r="A66" s="50">
        <v>45</v>
      </c>
      <c r="B66" s="41" t="s">
        <v>18</v>
      </c>
      <c r="C66" s="42">
        <v>45964</v>
      </c>
      <c r="D66" s="43" t="str">
        <f ca="1">CONCATENATE(CALC2223!A65," ",CALC2223!C65," ",CALC2223!E65)</f>
        <v xml:space="preserve">  </v>
      </c>
      <c r="E66" s="43" t="str">
        <f ca="1">CONCATENATE(CALC2223!G65," ",CALC2223!I65," ",CALC2223!K65)</f>
        <v xml:space="preserve">  </v>
      </c>
      <c r="F66" s="43" t="str">
        <f ca="1">CONCATENATE(CALC2223!M65," ",CALC2223!O65," ",CALC2223!Q65)</f>
        <v xml:space="preserve">  </v>
      </c>
      <c r="G66" s="43" t="str">
        <f ca="1">CONCATENATE(CALC2223!S65," ",CALC2223!U65," ",CALC2223!W65)</f>
        <v xml:space="preserve">inh SE ANW  </v>
      </c>
      <c r="H66" s="43" t="str">
        <f ca="1">CONCATENATE(CALC2223!Y65," ",CALC2223!AA65," ",CALC2223!AC65)</f>
        <v xml:space="preserve">Rep SK inh rep GR/LA </v>
      </c>
      <c r="I66" s="43" t="str">
        <f ca="1">CONCATENATE(CALC2223!AE65," ",CALC2223!AG65," ",CALC2223!AI65)</f>
        <v xml:space="preserve">  </v>
      </c>
      <c r="J66" s="43" t="str">
        <f ca="1">CONCATENATE(CALC2223!AK65," ",CALC2223!AM65," ",CALC2223!AO65)</f>
        <v xml:space="preserve">  </v>
      </c>
      <c r="K66" s="43" t="str">
        <f ca="1">CONCATENATE(CALC2223!AQ65," ",CALC2223!AS65," ",CALC2223!AU65," ",CALC2223!AW65)</f>
        <v xml:space="preserve">   </v>
      </c>
      <c r="L66" s="44" t="str">
        <f t="shared" ca="1" si="0"/>
        <v>verleden</v>
      </c>
      <c r="M66" s="1"/>
      <c r="N66" s="4" t="b">
        <f ca="1">OR(VALUE(CALC2223!B65)&gt;VALUE(LASTV),VALUE(CALC2223!D65)&gt;VALUE(LASTV),VALUE(CALC2223!F65)&gt;VALUE(LASTV))</f>
        <v>0</v>
      </c>
      <c r="O66" s="4" t="b">
        <f ca="1">OR(VALUE(CALC2223!H65)&gt;VALUE(LASTV),VALUE(CALC2223!J65)&gt;VALUE(LASTV),VALUE(CALC2223!L65)&gt;VALUE(LASTV))</f>
        <v>0</v>
      </c>
      <c r="P66" s="4" t="b">
        <f ca="1">OR(VALUE(CALC2223!N65)&gt;VALUE(LASTV),VALUE(CALC2223!P65)&gt;VALUE(LASTV),VALUE(CALC2223!R65)&gt;VALUE(LASTV))</f>
        <v>0</v>
      </c>
      <c r="Q66" s="4" t="b">
        <f ca="1">OR(VALUE(CALC2223!T65)&gt;VALUE(LASTV),VALUE(CALC2223!V65)&gt;VALUE(LASTV),VALUE(CALC2223!X65)&gt;VALUE(LASTV))</f>
        <v>0</v>
      </c>
      <c r="R66" s="4" t="b">
        <f ca="1">OR(VALUE(CALC2223!Z65)&gt;VALUE(LASTV),VALUE(CALC2223!AB65)&gt;VALUE(LASTV),VALUE(CALC2223!AD65)&gt;VALUE(LASTV))</f>
        <v>0</v>
      </c>
      <c r="S66" s="4" t="b">
        <f ca="1">OR(VALUE(CALC2223!AF65)&gt;VALUE(LASTV),VALUE(CALC2223!AH65)&gt;VALUE(LASTV),VALUE(CALC2223!AJ65)&gt;VALUE(LASTV))</f>
        <v>0</v>
      </c>
      <c r="T66" s="4" t="b">
        <f ca="1">OR(VALUE(CALC2223!AL65)&gt;VALUE(LASTV),VALUE(CALC2223!AN65)&gt;VALUE(LASTV),VALUE(CALC2223!AP65)&gt;VALUE(LASTV))</f>
        <v>0</v>
      </c>
      <c r="U66" s="4" t="b">
        <f ca="1">OR(VALUE(CALC2223!AR65)&gt;VALUE(LASTV),VALUE(CALC2223!AT65)&gt;VALUE(LASTV),VALUE(CALC2223!AV65)&gt;VALUE(LASTV))</f>
        <v>0</v>
      </c>
      <c r="V66" s="1"/>
    </row>
    <row r="67" spans="1:22" ht="35.25" hidden="1" customHeight="1">
      <c r="A67" s="40"/>
      <c r="B67" s="41" t="s">
        <v>19</v>
      </c>
      <c r="C67" s="42">
        <v>45965</v>
      </c>
      <c r="D67" s="43" t="str">
        <f ca="1">CONCATENATE(CALC2223!A66," ",CALC2223!C66," ",CALC2223!E66)</f>
        <v xml:space="preserve">  </v>
      </c>
      <c r="E67" s="43" t="str">
        <f ca="1">CONCATENATE(CALC2223!G66," ",CALC2223!I66," ",CALC2223!K66)</f>
        <v xml:space="preserve">  </v>
      </c>
      <c r="F67" s="43" t="str">
        <f ca="1">CONCATENATE(CALC2223!M66," ",CALC2223!O66," ",CALC2223!Q66)</f>
        <v xml:space="preserve">  </v>
      </c>
      <c r="G67" s="43" t="str">
        <f ca="1">CONCATENATE(CALC2223!S66," ",CALC2223!U66," ",CALC2223!W66)</f>
        <v xml:space="preserve">Rep NA  </v>
      </c>
      <c r="H67" s="43" t="str">
        <f ca="1">CONCATENATE(CALC2223!Y66," ",CALC2223!AA66," ",CALC2223!AC66)</f>
        <v xml:space="preserve">  </v>
      </c>
      <c r="I67" s="43" t="str">
        <f ca="1">CONCATENATE(CALC2223!AE66," ",CALC2223!AG66," ",CALC2223!AI66)</f>
        <v xml:space="preserve">  </v>
      </c>
      <c r="J67" s="43" t="str">
        <f ca="1">CONCATENATE(CALC2223!AK66," ",CALC2223!AM66," ",CALC2223!AO66)</f>
        <v xml:space="preserve">  </v>
      </c>
      <c r="K67" s="43" t="str">
        <f ca="1">CONCATENATE(CALC2223!AQ66," ",CALC2223!AS66," ",CALC2223!AU66," ",CALC2223!AW66)</f>
        <v xml:space="preserve">   </v>
      </c>
      <c r="L67" s="44" t="str">
        <f t="shared" ca="1" si="0"/>
        <v>verleden</v>
      </c>
      <c r="M67" s="1"/>
      <c r="N67" s="4" t="b">
        <f ca="1">OR(VALUE(CALC2223!B66)&gt;VALUE(LASTV),VALUE(CALC2223!D66)&gt;VALUE(LASTV),VALUE(CALC2223!F66)&gt;VALUE(LASTV))</f>
        <v>0</v>
      </c>
      <c r="O67" s="4" t="b">
        <f ca="1">OR(VALUE(CALC2223!H66)&gt;VALUE(LASTV),VALUE(CALC2223!J66)&gt;VALUE(LASTV),VALUE(CALC2223!L66)&gt;VALUE(LASTV))</f>
        <v>0</v>
      </c>
      <c r="P67" s="4" t="b">
        <f ca="1">OR(VALUE(CALC2223!N66)&gt;VALUE(LASTV),VALUE(CALC2223!P66)&gt;VALUE(LASTV),VALUE(CALC2223!R66)&gt;VALUE(LASTV))</f>
        <v>0</v>
      </c>
      <c r="Q67" s="4" t="b">
        <f ca="1">OR(VALUE(CALC2223!T66)&gt;VALUE(LASTV),VALUE(CALC2223!V66)&gt;VALUE(LASTV),VALUE(CALC2223!X66)&gt;VALUE(LASTV))</f>
        <v>0</v>
      </c>
      <c r="R67" s="4" t="b">
        <f ca="1">OR(VALUE(CALC2223!Z66)&gt;VALUE(LASTV),VALUE(CALC2223!AB66)&gt;VALUE(LASTV),VALUE(CALC2223!AD66)&gt;VALUE(LASTV))</f>
        <v>0</v>
      </c>
      <c r="S67" s="4" t="b">
        <f ca="1">OR(VALUE(CALC2223!AF66)&gt;VALUE(LASTV),VALUE(CALC2223!AH66)&gt;VALUE(LASTV),VALUE(CALC2223!AJ66)&gt;VALUE(LASTV))</f>
        <v>0</v>
      </c>
      <c r="T67" s="4" t="b">
        <f ca="1">OR(VALUE(CALC2223!AL66)&gt;VALUE(LASTV),VALUE(CALC2223!AN66)&gt;VALUE(LASTV),VALUE(CALC2223!AP66)&gt;VALUE(LASTV))</f>
        <v>0</v>
      </c>
      <c r="U67" s="4" t="b">
        <f ca="1">OR(VALUE(CALC2223!AR66)&gt;VALUE(LASTV),VALUE(CALC2223!AT66)&gt;VALUE(LASTV),VALUE(CALC2223!AV66)&gt;VALUE(LASTV))</f>
        <v>0</v>
      </c>
      <c r="V67" s="1"/>
    </row>
    <row r="68" spans="1:22" ht="35.25" hidden="1" customHeight="1">
      <c r="A68" s="40"/>
      <c r="B68" s="41" t="s">
        <v>20</v>
      </c>
      <c r="C68" s="42">
        <v>45966</v>
      </c>
      <c r="D68" s="43" t="str">
        <f ca="1">CONCATENATE(CALC2223!A67," ",CALC2223!C67," ",CALC2223!E67)</f>
        <v xml:space="preserve">Rep AK  </v>
      </c>
      <c r="E68" s="43" t="str">
        <f ca="1">CONCATENATE(CALC2223!G67," ",CALC2223!I67," ",CALC2223!K67)</f>
        <v xml:space="preserve">  </v>
      </c>
      <c r="F68" s="43" t="str">
        <f ca="1">CONCATENATE(CALC2223!M67," ",CALC2223!O67," ",CALC2223!Q67)</f>
        <v xml:space="preserve">  </v>
      </c>
      <c r="G68" s="43" t="str">
        <f ca="1">CONCATENATE(CALC2223!S67," ",CALC2223!U67," ",CALC2223!W67)</f>
        <v xml:space="preserve">  </v>
      </c>
      <c r="H68" s="43" t="str">
        <f ca="1">CONCATENATE(CALC2223!Y67," ",CALC2223!AA67," ",CALC2223!AC67)</f>
        <v xml:space="preserve">Rep BI  </v>
      </c>
      <c r="I68" s="43" t="str">
        <f ca="1">CONCATENATE(CALC2223!AE67," ",CALC2223!AG67," ",CALC2223!AI67)</f>
        <v xml:space="preserve">  </v>
      </c>
      <c r="J68" s="43" t="str">
        <f ca="1">CONCATENATE(CALC2223!AK67," ",CALC2223!AM67," ",CALC2223!AO67)</f>
        <v xml:space="preserve">  </v>
      </c>
      <c r="K68" s="43" t="str">
        <f ca="1">CONCATENATE(CALC2223!AQ67," ",CALC2223!AS67," ",CALC2223!AU67," ",CALC2223!AW67)</f>
        <v xml:space="preserve">   </v>
      </c>
      <c r="L68" s="44" t="str">
        <f t="shared" ca="1" si="0"/>
        <v>verleden</v>
      </c>
      <c r="M68" s="1"/>
      <c r="N68" s="4" t="b">
        <f ca="1">OR(VALUE(CALC2223!B67)&gt;VALUE(LASTV),VALUE(CALC2223!D67)&gt;VALUE(LASTV),VALUE(CALC2223!F67)&gt;VALUE(LASTV))</f>
        <v>0</v>
      </c>
      <c r="O68" s="4" t="b">
        <f ca="1">OR(VALUE(CALC2223!H67)&gt;VALUE(LASTV),VALUE(CALC2223!J67)&gt;VALUE(LASTV),VALUE(CALC2223!L67)&gt;VALUE(LASTV))</f>
        <v>0</v>
      </c>
      <c r="P68" s="4" t="b">
        <f ca="1">OR(VALUE(CALC2223!N67)&gt;VALUE(LASTV),VALUE(CALC2223!P67)&gt;VALUE(LASTV),VALUE(CALC2223!R67)&gt;VALUE(LASTV))</f>
        <v>0</v>
      </c>
      <c r="Q68" s="4" t="b">
        <f ca="1">OR(VALUE(CALC2223!T67)&gt;VALUE(LASTV),VALUE(CALC2223!V67)&gt;VALUE(LASTV),VALUE(CALC2223!X67)&gt;VALUE(LASTV))</f>
        <v>0</v>
      </c>
      <c r="R68" s="4" t="b">
        <f ca="1">OR(VALUE(CALC2223!Z67)&gt;VALUE(LASTV),VALUE(CALC2223!AB67)&gt;VALUE(LASTV),VALUE(CALC2223!AD67)&gt;VALUE(LASTV))</f>
        <v>0</v>
      </c>
      <c r="S68" s="4" t="b">
        <f ca="1">OR(VALUE(CALC2223!AF67)&gt;VALUE(LASTV),VALUE(CALC2223!AH67)&gt;VALUE(LASTV),VALUE(CALC2223!AJ67)&gt;VALUE(LASTV))</f>
        <v>0</v>
      </c>
      <c r="T68" s="4" t="b">
        <f ca="1">OR(VALUE(CALC2223!AL67)&gt;VALUE(LASTV),VALUE(CALC2223!AN67)&gt;VALUE(LASTV),VALUE(CALC2223!AP67)&gt;VALUE(LASTV))</f>
        <v>0</v>
      </c>
      <c r="U68" s="4" t="b">
        <f ca="1">OR(VALUE(CALC2223!AR67)&gt;VALUE(LASTV),VALUE(CALC2223!AT67)&gt;VALUE(LASTV),VALUE(CALC2223!AV67)&gt;VALUE(LASTV))</f>
        <v>0</v>
      </c>
      <c r="V68" s="1"/>
    </row>
    <row r="69" spans="1:22" ht="35.25" hidden="1" customHeight="1">
      <c r="A69" s="40"/>
      <c r="B69" s="41" t="s">
        <v>21</v>
      </c>
      <c r="C69" s="42">
        <v>45967</v>
      </c>
      <c r="D69" s="43" t="str">
        <f ca="1">CONCATENATE(CALC2223!A68," ",CALC2223!C68," ",CALC2223!E68)</f>
        <v xml:space="preserve">  </v>
      </c>
      <c r="E69" s="43" t="str">
        <f ca="1">CONCATENATE(CALC2223!G68," ",CALC2223!I68," ",CALC2223!K68)</f>
        <v xml:space="preserve">  </v>
      </c>
      <c r="F69" s="43" t="str">
        <f ca="1">CONCATENATE(CALC2223!M68," ",CALC2223!O68," ",CALC2223!Q68)</f>
        <v xml:space="preserve">Rep EN  </v>
      </c>
      <c r="G69" s="43" t="str">
        <f ca="1">CONCATENATE(CALC2223!S68," ",CALC2223!U68," ",CALC2223!W68)</f>
        <v xml:space="preserve">  </v>
      </c>
      <c r="H69" s="43" t="str">
        <f ca="1">CONCATENATE(CALC2223!Y68," ",CALC2223!AA68," ",CALC2223!AC68)</f>
        <v xml:space="preserve">  </v>
      </c>
      <c r="I69" s="43" t="str">
        <f ca="1">CONCATENATE(CALC2223!AE68," ",CALC2223!AG68," ",CALC2223!AI68)</f>
        <v xml:space="preserve">LO2:2  </v>
      </c>
      <c r="J69" s="43" t="str">
        <f ca="1">CONCATENATE(CALC2223!AK68," ",CALC2223!AM68," ",CALC2223!AO68)</f>
        <v xml:space="preserve">studiemiddag#1  </v>
      </c>
      <c r="K69" s="43" t="str">
        <f ca="1">CONCATENATE(CALC2223!AQ68," ",CALC2223!AS68," ",CALC2223!AU68," ",CALC2223!AW68)</f>
        <v xml:space="preserve">   </v>
      </c>
      <c r="L69" s="44" t="str">
        <f t="shared" ca="1" si="0"/>
        <v>verleden</v>
      </c>
      <c r="M69" s="1"/>
      <c r="N69" s="4" t="b">
        <f ca="1">OR(VALUE(CALC2223!B68)&gt;VALUE(LASTV),VALUE(CALC2223!D68)&gt;VALUE(LASTV),VALUE(CALC2223!F68)&gt;VALUE(LASTV))</f>
        <v>0</v>
      </c>
      <c r="O69" s="4" t="b">
        <f ca="1">OR(VALUE(CALC2223!H68)&gt;VALUE(LASTV),VALUE(CALC2223!J68)&gt;VALUE(LASTV),VALUE(CALC2223!L68)&gt;VALUE(LASTV))</f>
        <v>0</v>
      </c>
      <c r="P69" s="4" t="b">
        <f ca="1">OR(VALUE(CALC2223!N68)&gt;VALUE(LASTV),VALUE(CALC2223!P68)&gt;VALUE(LASTV),VALUE(CALC2223!R68)&gt;VALUE(LASTV))</f>
        <v>0</v>
      </c>
      <c r="Q69" s="4" t="b">
        <f ca="1">OR(VALUE(CALC2223!T68)&gt;VALUE(LASTV),VALUE(CALC2223!V68)&gt;VALUE(LASTV),VALUE(CALC2223!X68)&gt;VALUE(LASTV))</f>
        <v>0</v>
      </c>
      <c r="R69" s="4" t="b">
        <f ca="1">OR(VALUE(CALC2223!Z68)&gt;VALUE(LASTV),VALUE(CALC2223!AB68)&gt;VALUE(LASTV),VALUE(CALC2223!AD68)&gt;VALUE(LASTV))</f>
        <v>0</v>
      </c>
      <c r="S69" s="4" t="b">
        <f ca="1">OR(VALUE(CALC2223!AF68)&gt;VALUE(LASTV),VALUE(CALC2223!AH68)&gt;VALUE(LASTV),VALUE(CALC2223!AJ68)&gt;VALUE(LASTV))</f>
        <v>0</v>
      </c>
      <c r="T69" s="4" t="b">
        <f ca="1">OR(VALUE(CALC2223!AL68)&gt;VALUE(LASTV),VALUE(CALC2223!AN68)&gt;VALUE(LASTV),VALUE(CALC2223!AP68)&gt;VALUE(LASTV))</f>
        <v>0</v>
      </c>
      <c r="U69" s="4" t="b">
        <f ca="1">OR(VALUE(CALC2223!AR68)&gt;VALUE(LASTV),VALUE(CALC2223!AT68)&gt;VALUE(LASTV),VALUE(CALC2223!AV68)&gt;VALUE(LASTV))</f>
        <v>0</v>
      </c>
      <c r="V69" s="1"/>
    </row>
    <row r="70" spans="1:22" ht="35.25" hidden="1" customHeight="1">
      <c r="A70" s="40"/>
      <c r="B70" s="41" t="s">
        <v>22</v>
      </c>
      <c r="C70" s="42">
        <v>45968</v>
      </c>
      <c r="D70" s="43" t="str">
        <f ca="1">CONCATENATE(CALC2223!A69," ",CALC2223!C69," ",CALC2223!E69)</f>
        <v xml:space="preserve">  </v>
      </c>
      <c r="E70" s="43" t="str">
        <f ca="1">CONCATENATE(CALC2223!G69," ",CALC2223!I69," ",CALC2223!K69)</f>
        <v xml:space="preserve">Rep EN  </v>
      </c>
      <c r="F70" s="43" t="str">
        <f ca="1">CONCATENATE(CALC2223!M69," ",CALC2223!O69," ",CALC2223!Q69)</f>
        <v xml:space="preserve">  </v>
      </c>
      <c r="G70" s="43" t="str">
        <f ca="1">CONCATENATE(CALC2223!S69," ",CALC2223!U69," ",CALC2223!W69)</f>
        <v xml:space="preserve">Rep SK  </v>
      </c>
      <c r="H70" s="43" t="str">
        <f ca="1">CONCATENATE(CALC2223!Y69," ",CALC2223!AA69," ",CALC2223!AC69)</f>
        <v xml:space="preserve">  </v>
      </c>
      <c r="I70" s="43" t="str">
        <f ca="1">CONCATENATE(CALC2223!AE69," ",CALC2223!AG69," ",CALC2223!AI69)</f>
        <v xml:space="preserve">  </v>
      </c>
      <c r="J70" s="43" t="str">
        <f ca="1">CONCATENATE(CALC2223!AK69," ",CALC2223!AM69," ",CALC2223!AO69)</f>
        <v xml:space="preserve">  </v>
      </c>
      <c r="K70" s="43" t="str">
        <f ca="1">CONCATENATE(CALC2223!AQ69," ",CALC2223!AS69," ",CALC2223!AU69," ",CALC2223!AW69)</f>
        <v xml:space="preserve">   </v>
      </c>
      <c r="L70" s="44" t="str">
        <f t="shared" ca="1" si="0"/>
        <v>verleden</v>
      </c>
      <c r="M70" s="1"/>
      <c r="N70" s="4" t="b">
        <f ca="1">OR(VALUE(CALC2223!B69)&gt;VALUE(LASTV),VALUE(CALC2223!D69)&gt;VALUE(LASTV),VALUE(CALC2223!F69)&gt;VALUE(LASTV))</f>
        <v>0</v>
      </c>
      <c r="O70" s="4" t="b">
        <f ca="1">OR(VALUE(CALC2223!H69)&gt;VALUE(LASTV),VALUE(CALC2223!J69)&gt;VALUE(LASTV),VALUE(CALC2223!L69)&gt;VALUE(LASTV))</f>
        <v>0</v>
      </c>
      <c r="P70" s="4" t="b">
        <f ca="1">OR(VALUE(CALC2223!N69)&gt;VALUE(LASTV),VALUE(CALC2223!P69)&gt;VALUE(LASTV),VALUE(CALC2223!R69)&gt;VALUE(LASTV))</f>
        <v>0</v>
      </c>
      <c r="Q70" s="4" t="b">
        <f ca="1">OR(VALUE(CALC2223!T69)&gt;VALUE(LASTV),VALUE(CALC2223!V69)&gt;VALUE(LASTV),VALUE(CALC2223!X69)&gt;VALUE(LASTV))</f>
        <v>0</v>
      </c>
      <c r="R70" s="4" t="b">
        <f ca="1">OR(VALUE(CALC2223!Z69)&gt;VALUE(LASTV),VALUE(CALC2223!AB69)&gt;VALUE(LASTV),VALUE(CALC2223!AD69)&gt;VALUE(LASTV))</f>
        <v>0</v>
      </c>
      <c r="S70" s="4" t="b">
        <f ca="1">OR(VALUE(CALC2223!AF69)&gt;VALUE(LASTV),VALUE(CALC2223!AH69)&gt;VALUE(LASTV),VALUE(CALC2223!AJ69)&gt;VALUE(LASTV))</f>
        <v>0</v>
      </c>
      <c r="T70" s="4" t="b">
        <f ca="1">OR(VALUE(CALC2223!AL69)&gt;VALUE(LASTV),VALUE(CALC2223!AN69)&gt;VALUE(LASTV),VALUE(CALC2223!AP69)&gt;VALUE(LASTV))</f>
        <v>0</v>
      </c>
      <c r="U70" s="4" t="b">
        <f ca="1">OR(VALUE(CALC2223!AR69)&gt;VALUE(LASTV),VALUE(CALC2223!AT69)&gt;VALUE(LASTV),VALUE(CALC2223!AV69)&gt;VALUE(LASTV))</f>
        <v>0</v>
      </c>
      <c r="V70" s="1"/>
    </row>
    <row r="71" spans="1:22" ht="35.25" hidden="1" customHeight="1">
      <c r="A71" s="45"/>
      <c r="B71" s="46" t="s">
        <v>23</v>
      </c>
      <c r="C71" s="47">
        <v>45969</v>
      </c>
      <c r="D71" s="48" t="str">
        <f ca="1">CONCATENATE(CALC2223!A70," ",CALC2223!C70," ",CALC2223!E70)</f>
        <v xml:space="preserve">  </v>
      </c>
      <c r="E71" s="48" t="str">
        <f ca="1">CONCATENATE(CALC2223!G70," ",CALC2223!I70," ",CALC2223!K70)</f>
        <v xml:space="preserve">  </v>
      </c>
      <c r="F71" s="48" t="str">
        <f ca="1">CONCATENATE(CALC2223!M70," ",CALC2223!O70," ",CALC2223!Q70)</f>
        <v xml:space="preserve">  </v>
      </c>
      <c r="G71" s="48" t="str">
        <f ca="1">CONCATENATE(CALC2223!S70," ",CALC2223!U70," ",CALC2223!W70)</f>
        <v xml:space="preserve">  </v>
      </c>
      <c r="H71" s="48" t="str">
        <f ca="1">CONCATENATE(CALC2223!Y70," ",CALC2223!AA70," ",CALC2223!AC70)</f>
        <v xml:space="preserve">  </v>
      </c>
      <c r="I71" s="48" t="str">
        <f ca="1">CONCATENATE(CALC2223!AE70," ",CALC2223!AG70," ",CALC2223!AI70)</f>
        <v xml:space="preserve">  </v>
      </c>
      <c r="J71" s="48" t="str">
        <f ca="1">CONCATENATE(CALC2223!AK70," ",CALC2223!AM70," ",CALC2223!AO70)</f>
        <v xml:space="preserve">  </v>
      </c>
      <c r="K71" s="48" t="str">
        <f ca="1">CONCATENATE(CALC2223!AQ70," ",CALC2223!AS70," ",CALC2223!AU70," ",CALC2223!AW70)</f>
        <v xml:space="preserve">   </v>
      </c>
      <c r="L71" s="49" t="str">
        <f t="shared" ca="1" si="0"/>
        <v>verleden</v>
      </c>
      <c r="M71" s="1"/>
      <c r="N71" s="4" t="b">
        <f ca="1">OR(VALUE(CALC2223!B70)&gt;VALUE(LASTV),VALUE(CALC2223!D70)&gt;VALUE(LASTV),VALUE(CALC2223!F70)&gt;VALUE(LASTV))</f>
        <v>0</v>
      </c>
      <c r="O71" s="4" t="b">
        <f ca="1">OR(VALUE(CALC2223!H70)&gt;VALUE(LASTV),VALUE(CALC2223!J70)&gt;VALUE(LASTV),VALUE(CALC2223!L70)&gt;VALUE(LASTV))</f>
        <v>0</v>
      </c>
      <c r="P71" s="4" t="b">
        <f ca="1">OR(VALUE(CALC2223!N70)&gt;VALUE(LASTV),VALUE(CALC2223!P70)&gt;VALUE(LASTV),VALUE(CALC2223!R70)&gt;VALUE(LASTV))</f>
        <v>0</v>
      </c>
      <c r="Q71" s="4" t="b">
        <f ca="1">OR(VALUE(CALC2223!T70)&gt;VALUE(LASTV),VALUE(CALC2223!V70)&gt;VALUE(LASTV),VALUE(CALC2223!X70)&gt;VALUE(LASTV))</f>
        <v>0</v>
      </c>
      <c r="R71" s="4" t="b">
        <f ca="1">OR(VALUE(CALC2223!Z70)&gt;VALUE(LASTV),VALUE(CALC2223!AB70)&gt;VALUE(LASTV),VALUE(CALC2223!AD70)&gt;VALUE(LASTV))</f>
        <v>0</v>
      </c>
      <c r="S71" s="4" t="b">
        <f ca="1">OR(VALUE(CALC2223!AF70)&gt;VALUE(LASTV),VALUE(CALC2223!AH70)&gt;VALUE(LASTV),VALUE(CALC2223!AJ70)&gt;VALUE(LASTV))</f>
        <v>0</v>
      </c>
      <c r="T71" s="4" t="b">
        <f ca="1">OR(VALUE(CALC2223!AL70)&gt;VALUE(LASTV),VALUE(CALC2223!AN70)&gt;VALUE(LASTV),VALUE(CALC2223!AP70)&gt;VALUE(LASTV))</f>
        <v>0</v>
      </c>
      <c r="U71" s="4" t="b">
        <f ca="1">OR(VALUE(CALC2223!AR70)&gt;VALUE(LASTV),VALUE(CALC2223!AT70)&gt;VALUE(LASTV),VALUE(CALC2223!AV70)&gt;VALUE(LASTV))</f>
        <v>0</v>
      </c>
      <c r="V71" s="1"/>
    </row>
    <row r="72" spans="1:22" ht="35.25" hidden="1" customHeight="1">
      <c r="A72" s="45"/>
      <c r="B72" s="46" t="s">
        <v>24</v>
      </c>
      <c r="C72" s="47">
        <v>45970</v>
      </c>
      <c r="D72" s="48" t="str">
        <f ca="1">CONCATENATE(CALC2223!A71," ",CALC2223!C71," ",CALC2223!E71)</f>
        <v xml:space="preserve">  </v>
      </c>
      <c r="E72" s="48" t="str">
        <f ca="1">CONCATENATE(CALC2223!G71," ",CALC2223!I71," ",CALC2223!K71)</f>
        <v xml:space="preserve">  </v>
      </c>
      <c r="F72" s="48" t="str">
        <f ca="1">CONCATENATE(CALC2223!M71," ",CALC2223!O71," ",CALC2223!Q71)</f>
        <v xml:space="preserve">  </v>
      </c>
      <c r="G72" s="48" t="str">
        <f ca="1">CONCATENATE(CALC2223!S71," ",CALC2223!U71," ",CALC2223!W71)</f>
        <v xml:space="preserve">  </v>
      </c>
      <c r="H72" s="48" t="str">
        <f ca="1">CONCATENATE(CALC2223!Y71," ",CALC2223!AA71," ",CALC2223!AC71)</f>
        <v xml:space="preserve">  </v>
      </c>
      <c r="I72" s="48" t="str">
        <f ca="1">CONCATENATE(CALC2223!AE71," ",CALC2223!AG71," ",CALC2223!AI71)</f>
        <v xml:space="preserve">  </v>
      </c>
      <c r="J72" s="48" t="str">
        <f ca="1">CONCATENATE(CALC2223!AK71," ",CALC2223!AM71," ",CALC2223!AO71)</f>
        <v xml:space="preserve">  </v>
      </c>
      <c r="K72" s="48" t="str">
        <f ca="1">CONCATENATE(CALC2223!AQ71," ",CALC2223!AS71," ",CALC2223!AU71," ",CALC2223!AW71)</f>
        <v xml:space="preserve">   </v>
      </c>
      <c r="L72" s="49" t="str">
        <f t="shared" ca="1" si="0"/>
        <v>verleden</v>
      </c>
      <c r="M72" s="1"/>
      <c r="N72" s="4" t="b">
        <f ca="1">OR(VALUE(CALC2223!B71)&gt;VALUE(LASTV),VALUE(CALC2223!D71)&gt;VALUE(LASTV),VALUE(CALC2223!F71)&gt;VALUE(LASTV))</f>
        <v>0</v>
      </c>
      <c r="O72" s="4" t="b">
        <f ca="1">OR(VALUE(CALC2223!H71)&gt;VALUE(LASTV),VALUE(CALC2223!J71)&gt;VALUE(LASTV),VALUE(CALC2223!L71)&gt;VALUE(LASTV))</f>
        <v>0</v>
      </c>
      <c r="P72" s="4" t="b">
        <f ca="1">OR(VALUE(CALC2223!N71)&gt;VALUE(LASTV),VALUE(CALC2223!P71)&gt;VALUE(LASTV),VALUE(CALC2223!R71)&gt;VALUE(LASTV))</f>
        <v>0</v>
      </c>
      <c r="Q72" s="4" t="b">
        <f ca="1">OR(VALUE(CALC2223!T71)&gt;VALUE(LASTV),VALUE(CALC2223!V71)&gt;VALUE(LASTV),VALUE(CALC2223!X71)&gt;VALUE(LASTV))</f>
        <v>0</v>
      </c>
      <c r="R72" s="4" t="b">
        <f ca="1">OR(VALUE(CALC2223!Z71)&gt;VALUE(LASTV),VALUE(CALC2223!AB71)&gt;VALUE(LASTV),VALUE(CALC2223!AD71)&gt;VALUE(LASTV))</f>
        <v>0</v>
      </c>
      <c r="S72" s="4" t="b">
        <f ca="1">OR(VALUE(CALC2223!AF71)&gt;VALUE(LASTV),VALUE(CALC2223!AH71)&gt;VALUE(LASTV),VALUE(CALC2223!AJ71)&gt;VALUE(LASTV))</f>
        <v>0</v>
      </c>
      <c r="T72" s="4" t="b">
        <f ca="1">OR(VALUE(CALC2223!AL71)&gt;VALUE(LASTV),VALUE(CALC2223!AN71)&gt;VALUE(LASTV),VALUE(CALC2223!AP71)&gt;VALUE(LASTV))</f>
        <v>0</v>
      </c>
      <c r="U72" s="4" t="b">
        <f ca="1">OR(VALUE(CALC2223!AR71)&gt;VALUE(LASTV),VALUE(CALC2223!AT71)&gt;VALUE(LASTV),VALUE(CALC2223!AV71)&gt;VALUE(LASTV))</f>
        <v>0</v>
      </c>
      <c r="V72" s="1"/>
    </row>
    <row r="73" spans="1:22" ht="35.25" hidden="1" customHeight="1">
      <c r="A73" s="50">
        <v>46</v>
      </c>
      <c r="B73" s="41" t="s">
        <v>18</v>
      </c>
      <c r="C73" s="42">
        <v>45971</v>
      </c>
      <c r="D73" s="51" t="str">
        <f ca="1">CONCATENATE(CALC2223!A72," ",CALC2223!C72," ",CALC2223!E72)</f>
        <v xml:space="preserve">  </v>
      </c>
      <c r="E73" s="51" t="str">
        <f ca="1">CONCATENATE(CALC2223!G72," ",CALC2223!I72," ",CALC2223!K72)</f>
        <v xml:space="preserve">  </v>
      </c>
      <c r="F73" s="51" t="str">
        <f ca="1">CONCATENATE(CALC2223!M72," ",CALC2223!O72," ",CALC2223!Q72)</f>
        <v xml:space="preserve">  </v>
      </c>
      <c r="G73" s="51" t="str">
        <f ca="1">CONCATENATE(CALC2223!S72," ",CALC2223!U72," ",CALC2223!W72)</f>
        <v xml:space="preserve">inh rep GS  </v>
      </c>
      <c r="H73" s="51" t="str">
        <f ca="1">CONCATENATE(CALC2223!Y72," ",CALC2223!AA72," ",CALC2223!AC72)</f>
        <v xml:space="preserve">Rep EN inh rep wiA/SE wiB </v>
      </c>
      <c r="I73" s="51" t="str">
        <f ca="1">CONCATENATE(CALC2223!AE72," ",CALC2223!AG72," ",CALC2223!AI72)</f>
        <v xml:space="preserve">  </v>
      </c>
      <c r="J73" s="51" t="str">
        <f ca="1">CONCATENATE(CALC2223!AK72," ",CALC2223!AM72," ",CALC2223!AO72)</f>
        <v xml:space="preserve">  </v>
      </c>
      <c r="K73" s="51" t="str">
        <f ca="1">CONCATENATE(CALC2223!AQ72," ",CALC2223!AS72," ",CALC2223!AU72," ",CALC2223!AW72)</f>
        <v xml:space="preserve">periode 2   </v>
      </c>
      <c r="L73" s="52" t="str">
        <f t="shared" ca="1" si="0"/>
        <v>verleden</v>
      </c>
      <c r="M73" s="1"/>
      <c r="N73" s="4" t="b">
        <f ca="1">OR(VALUE(CALC2223!B72)&gt;VALUE(LASTV),VALUE(CALC2223!D72)&gt;VALUE(LASTV),VALUE(CALC2223!F72)&gt;VALUE(LASTV))</f>
        <v>0</v>
      </c>
      <c r="O73" s="4" t="b">
        <f ca="1">OR(VALUE(CALC2223!H72)&gt;VALUE(LASTV),VALUE(CALC2223!J72)&gt;VALUE(LASTV),VALUE(CALC2223!L72)&gt;VALUE(LASTV))</f>
        <v>0</v>
      </c>
      <c r="P73" s="4" t="b">
        <f ca="1">OR(VALUE(CALC2223!N72)&gt;VALUE(LASTV),VALUE(CALC2223!P72)&gt;VALUE(LASTV),VALUE(CALC2223!R72)&gt;VALUE(LASTV))</f>
        <v>0</v>
      </c>
      <c r="Q73" s="4" t="b">
        <f ca="1">OR(VALUE(CALC2223!T72)&gt;VALUE(LASTV),VALUE(CALC2223!V72)&gt;VALUE(LASTV),VALUE(CALC2223!X72)&gt;VALUE(LASTV))</f>
        <v>0</v>
      </c>
      <c r="R73" s="4" t="b">
        <f ca="1">OR(VALUE(CALC2223!Z72)&gt;VALUE(LASTV),VALUE(CALC2223!AB72)&gt;VALUE(LASTV),VALUE(CALC2223!AD72)&gt;VALUE(LASTV))</f>
        <v>0</v>
      </c>
      <c r="S73" s="4" t="b">
        <f ca="1">OR(VALUE(CALC2223!AF72)&gt;VALUE(LASTV),VALUE(CALC2223!AH72)&gt;VALUE(LASTV),VALUE(CALC2223!AJ72)&gt;VALUE(LASTV))</f>
        <v>0</v>
      </c>
      <c r="T73" s="4" t="b">
        <f ca="1">OR(VALUE(CALC2223!AL72)&gt;VALUE(LASTV),VALUE(CALC2223!AN72)&gt;VALUE(LASTV),VALUE(CALC2223!AP72)&gt;VALUE(LASTV))</f>
        <v>0</v>
      </c>
      <c r="U73" s="4" t="b">
        <f ca="1">OR(VALUE(CALC2223!AR72)&gt;VALUE(LASTV),VALUE(CALC2223!AT72)&gt;VALUE(LASTV),VALUE(CALC2223!AV72)&gt;VALUE(LASTV))</f>
        <v>0</v>
      </c>
      <c r="V73" s="1"/>
    </row>
    <row r="74" spans="1:22" ht="35.25" hidden="1" customHeight="1">
      <c r="A74" s="40"/>
      <c r="B74" s="41" t="s">
        <v>19</v>
      </c>
      <c r="C74" s="42">
        <v>45972</v>
      </c>
      <c r="D74" s="51" t="str">
        <f ca="1">CONCATENATE(CALC2223!A73," ",CALC2223!C73," ",CALC2223!E73)</f>
        <v xml:space="preserve">  </v>
      </c>
      <c r="E74" s="51" t="str">
        <f ca="1">CONCATENATE(CALC2223!G73," ",CALC2223!I73," ",CALC2223!K73)</f>
        <v xml:space="preserve">  </v>
      </c>
      <c r="F74" s="51" t="str">
        <f ca="1">CONCATENATE(CALC2223!M73," ",CALC2223!O73," ",CALC2223!Q73)</f>
        <v xml:space="preserve">  </v>
      </c>
      <c r="G74" s="51" t="str">
        <f ca="1">CONCATENATE(CALC2223!S73," ",CALC2223!U73," ",CALC2223!W73)</f>
        <v xml:space="preserve">Rep LA  </v>
      </c>
      <c r="H74" s="51" t="str">
        <f ca="1">CONCATENATE(CALC2223!Y73," ",CALC2223!AA73," ",CALC2223!AC73)</f>
        <v xml:space="preserve">  </v>
      </c>
      <c r="I74" s="51" t="str">
        <f ca="1">CONCATENATE(CALC2223!AE73," ",CALC2223!AG73," ",CALC2223!AI73)</f>
        <v xml:space="preserve">  </v>
      </c>
      <c r="J74" s="51" t="str">
        <f ca="1">CONCATENATE(CALC2223!AK73," ",CALC2223!AM73," ",CALC2223!AO73)</f>
        <v xml:space="preserve">  </v>
      </c>
      <c r="K74" s="51" t="str">
        <f ca="1">CONCATENATE(CALC2223!AQ73," ",CALC2223!AS73," ",CALC2223!AU73," ",CALC2223!AW73)</f>
        <v xml:space="preserve">   </v>
      </c>
      <c r="L74" s="52" t="str">
        <f t="shared" ca="1" si="0"/>
        <v>verleden</v>
      </c>
      <c r="M74" s="1"/>
      <c r="N74" s="4" t="b">
        <f ca="1">OR(VALUE(CALC2223!B73)&gt;VALUE(LASTV),VALUE(CALC2223!D73)&gt;VALUE(LASTV),VALUE(CALC2223!F73)&gt;VALUE(LASTV))</f>
        <v>0</v>
      </c>
      <c r="O74" s="4" t="b">
        <f ca="1">OR(VALUE(CALC2223!H73)&gt;VALUE(LASTV),VALUE(CALC2223!J73)&gt;VALUE(LASTV),VALUE(CALC2223!L73)&gt;VALUE(LASTV))</f>
        <v>0</v>
      </c>
      <c r="P74" s="4" t="b">
        <f ca="1">OR(VALUE(CALC2223!N73)&gt;VALUE(LASTV),VALUE(CALC2223!P73)&gt;VALUE(LASTV),VALUE(CALC2223!R73)&gt;VALUE(LASTV))</f>
        <v>0</v>
      </c>
      <c r="Q74" s="4" t="b">
        <f ca="1">OR(VALUE(CALC2223!T73)&gt;VALUE(LASTV),VALUE(CALC2223!V73)&gt;VALUE(LASTV),VALUE(CALC2223!X73)&gt;VALUE(LASTV))</f>
        <v>0</v>
      </c>
      <c r="R74" s="4" t="b">
        <f ca="1">OR(VALUE(CALC2223!Z73)&gt;VALUE(LASTV),VALUE(CALC2223!AB73)&gt;VALUE(LASTV),VALUE(CALC2223!AD73)&gt;VALUE(LASTV))</f>
        <v>0</v>
      </c>
      <c r="S74" s="4" t="b">
        <f ca="1">OR(VALUE(CALC2223!AF73)&gt;VALUE(LASTV),VALUE(CALC2223!AH73)&gt;VALUE(LASTV),VALUE(CALC2223!AJ73)&gt;VALUE(LASTV))</f>
        <v>0</v>
      </c>
      <c r="T74" s="4" t="b">
        <f ca="1">OR(VALUE(CALC2223!AL73)&gt;VALUE(LASTV),VALUE(CALC2223!AN73)&gt;VALUE(LASTV),VALUE(CALC2223!AP73)&gt;VALUE(LASTV))</f>
        <v>0</v>
      </c>
      <c r="U74" s="4" t="b">
        <f ca="1">OR(VALUE(CALC2223!AR73)&gt;VALUE(LASTV),VALUE(CALC2223!AT73)&gt;VALUE(LASTV),VALUE(CALC2223!AV73)&gt;VALUE(LASTV))</f>
        <v>0</v>
      </c>
      <c r="V74" s="1"/>
    </row>
    <row r="75" spans="1:22" ht="35.25" hidden="1" customHeight="1">
      <c r="A75" s="40"/>
      <c r="B75" s="41" t="s">
        <v>20</v>
      </c>
      <c r="C75" s="42">
        <v>45973</v>
      </c>
      <c r="D75" s="51" t="str">
        <f ca="1">CONCATENATE(CALC2223!A74," ",CALC2223!C74," ",CALC2223!E74)</f>
        <v xml:space="preserve">Rep FA  </v>
      </c>
      <c r="E75" s="51" t="str">
        <f ca="1">CONCATENATE(CALC2223!G74," ",CALC2223!I74," ",CALC2223!K74)</f>
        <v xml:space="preserve">  </v>
      </c>
      <c r="F75" s="51" t="str">
        <f ca="1">CONCATENATE(CALC2223!M74," ",CALC2223!O74," ",CALC2223!Q74)</f>
        <v xml:space="preserve">  </v>
      </c>
      <c r="G75" s="51" t="str">
        <f ca="1">CONCATENATE(CALC2223!S74," ",CALC2223!U74," ",CALC2223!W74)</f>
        <v xml:space="preserve">naar Rennes uitwisseling Fa  </v>
      </c>
      <c r="H75" s="51" t="str">
        <f ca="1">CONCATENATE(CALC2223!Y74," ",CALC2223!AA74," ",CALC2223!AC74)</f>
        <v xml:space="preserve">Rep EC  </v>
      </c>
      <c r="I75" s="51" t="str">
        <f ca="1">CONCATENATE(CALC2223!AE74," ",CALC2223!AG74," ",CALC2223!AI74)</f>
        <v xml:space="preserve">  </v>
      </c>
      <c r="J75" s="51" t="str">
        <f ca="1">CONCATENATE(CALC2223!AK74," ",CALC2223!AM74," ",CALC2223!AO74)</f>
        <v xml:space="preserve">  </v>
      </c>
      <c r="K75" s="51" t="str">
        <f ca="1">CONCATENATE(CALC2223!AQ74," ",CALC2223!AS74," ",CALC2223!AU74," ",CALC2223!AW74)</f>
        <v xml:space="preserve">   </v>
      </c>
      <c r="L75" s="52" t="str">
        <f t="shared" ca="1" si="0"/>
        <v>verleden</v>
      </c>
      <c r="M75" s="1"/>
      <c r="N75" s="4" t="b">
        <f ca="1">OR(VALUE(CALC2223!B74)&gt;VALUE(LASTV),VALUE(CALC2223!D74)&gt;VALUE(LASTV),VALUE(CALC2223!F74)&gt;VALUE(LASTV))</f>
        <v>0</v>
      </c>
      <c r="O75" s="4" t="b">
        <f ca="1">OR(VALUE(CALC2223!H74)&gt;VALUE(LASTV),VALUE(CALC2223!J74)&gt;VALUE(LASTV),VALUE(CALC2223!L74)&gt;VALUE(LASTV))</f>
        <v>0</v>
      </c>
      <c r="P75" s="4" t="b">
        <f ca="1">OR(VALUE(CALC2223!N74)&gt;VALUE(LASTV),VALUE(CALC2223!P74)&gt;VALUE(LASTV),VALUE(CALC2223!R74)&gt;VALUE(LASTV))</f>
        <v>0</v>
      </c>
      <c r="Q75" s="4" t="b">
        <f ca="1">OR(VALUE(CALC2223!T74)&gt;VALUE(LASTV),VALUE(CALC2223!V74)&gt;VALUE(LASTV),VALUE(CALC2223!X74)&gt;VALUE(LASTV))</f>
        <v>0</v>
      </c>
      <c r="R75" s="4" t="b">
        <f ca="1">OR(VALUE(CALC2223!Z74)&gt;VALUE(LASTV),VALUE(CALC2223!AB74)&gt;VALUE(LASTV),VALUE(CALC2223!AD74)&gt;VALUE(LASTV))</f>
        <v>0</v>
      </c>
      <c r="S75" s="4" t="b">
        <f ca="1">OR(VALUE(CALC2223!AF74)&gt;VALUE(LASTV),VALUE(CALC2223!AH74)&gt;VALUE(LASTV),VALUE(CALC2223!AJ74)&gt;VALUE(LASTV))</f>
        <v>0</v>
      </c>
      <c r="T75" s="4" t="b">
        <f ca="1">OR(VALUE(CALC2223!AL74)&gt;VALUE(LASTV),VALUE(CALC2223!AN74)&gt;VALUE(LASTV),VALUE(CALC2223!AP74)&gt;VALUE(LASTV))</f>
        <v>0</v>
      </c>
      <c r="U75" s="4" t="b">
        <f ca="1">OR(VALUE(CALC2223!AR74)&gt;VALUE(LASTV),VALUE(CALC2223!AT74)&gt;VALUE(LASTV),VALUE(CALC2223!AV74)&gt;VALUE(LASTV))</f>
        <v>0</v>
      </c>
      <c r="V75" s="1"/>
    </row>
    <row r="76" spans="1:22" ht="35.25" hidden="1" customHeight="1">
      <c r="A76" s="40"/>
      <c r="B76" s="41" t="s">
        <v>21</v>
      </c>
      <c r="C76" s="42">
        <v>45974</v>
      </c>
      <c r="D76" s="51" t="str">
        <f ca="1">CONCATENATE(CALC2223!A75," ",CALC2223!C75," ",CALC2223!E75)</f>
        <v xml:space="preserve">  </v>
      </c>
      <c r="E76" s="51" t="str">
        <f ca="1">CONCATENATE(CALC2223!G75," ",CALC2223!I75," ",CALC2223!K75)</f>
        <v xml:space="preserve">  </v>
      </c>
      <c r="F76" s="51" t="str">
        <f ca="1">CONCATENATE(CALC2223!M75," ",CALC2223!O75," ",CALC2223!Q75)</f>
        <v xml:space="preserve">Rep AK  </v>
      </c>
      <c r="G76" s="51" t="str">
        <f ca="1">CONCATENATE(CALC2223!S75," ",CALC2223!U75," ",CALC2223!W75)</f>
        <v xml:space="preserve">inh rep FI  </v>
      </c>
      <c r="H76" s="51" t="str">
        <f ca="1">CONCATENATE(CALC2223!Y75," ",CALC2223!AA75," ",CALC2223!AC75)</f>
        <v xml:space="preserve">inh rep FI  </v>
      </c>
      <c r="I76" s="51" t="str">
        <f ca="1">CONCATENATE(CALC2223!AE75," ",CALC2223!AG75," ",CALC2223!AI75)</f>
        <v xml:space="preserve">  </v>
      </c>
      <c r="J76" s="51" t="str">
        <f ca="1">CONCATENATE(CALC2223!AK75," ",CALC2223!AM75," ",CALC2223!AO75)</f>
        <v xml:space="preserve">mentoren#3  </v>
      </c>
      <c r="K76" s="51" t="str">
        <f ca="1">CONCATENATE(CALC2223!AQ75," ",CALC2223!AS75," ",CALC2223!AU75," ",CALC2223!AW75)</f>
        <v xml:space="preserve">ouderklankbord   </v>
      </c>
      <c r="L76" s="52" t="str">
        <f t="shared" ca="1" si="0"/>
        <v>verleden</v>
      </c>
      <c r="M76" s="1"/>
      <c r="N76" s="4" t="b">
        <f ca="1">OR(VALUE(CALC2223!B75)&gt;VALUE(LASTV),VALUE(CALC2223!D75)&gt;VALUE(LASTV),VALUE(CALC2223!F75)&gt;VALUE(LASTV))</f>
        <v>0</v>
      </c>
      <c r="O76" s="4" t="b">
        <f ca="1">OR(VALUE(CALC2223!H75)&gt;VALUE(LASTV),VALUE(CALC2223!J75)&gt;VALUE(LASTV),VALUE(CALC2223!L75)&gt;VALUE(LASTV))</f>
        <v>0</v>
      </c>
      <c r="P76" s="4" t="b">
        <f ca="1">OR(VALUE(CALC2223!N75)&gt;VALUE(LASTV),VALUE(CALC2223!P75)&gt;VALUE(LASTV),VALUE(CALC2223!R75)&gt;VALUE(LASTV))</f>
        <v>0</v>
      </c>
      <c r="Q76" s="4" t="b">
        <f ca="1">OR(VALUE(CALC2223!T75)&gt;VALUE(LASTV),VALUE(CALC2223!V75)&gt;VALUE(LASTV),VALUE(CALC2223!X75)&gt;VALUE(LASTV))</f>
        <v>0</v>
      </c>
      <c r="R76" s="4" t="b">
        <f ca="1">OR(VALUE(CALC2223!Z75)&gt;VALUE(LASTV),VALUE(CALC2223!AB75)&gt;VALUE(LASTV),VALUE(CALC2223!AD75)&gt;VALUE(LASTV))</f>
        <v>0</v>
      </c>
      <c r="S76" s="4" t="b">
        <f ca="1">OR(VALUE(CALC2223!AF75)&gt;VALUE(LASTV),VALUE(CALC2223!AH75)&gt;VALUE(LASTV),VALUE(CALC2223!AJ75)&gt;VALUE(LASTV))</f>
        <v>0</v>
      </c>
      <c r="T76" s="4" t="b">
        <f ca="1">OR(VALUE(CALC2223!AL75)&gt;VALUE(LASTV),VALUE(CALC2223!AN75)&gt;VALUE(LASTV),VALUE(CALC2223!AP75)&gt;VALUE(LASTV))</f>
        <v>0</v>
      </c>
      <c r="U76" s="4" t="b">
        <f ca="1">OR(VALUE(CALC2223!AR75)&gt;VALUE(LASTV),VALUE(CALC2223!AT75)&gt;VALUE(LASTV),VALUE(CALC2223!AV75)&gt;VALUE(LASTV))</f>
        <v>0</v>
      </c>
      <c r="V76" s="1"/>
    </row>
    <row r="77" spans="1:22" ht="35.25" hidden="1" customHeight="1">
      <c r="A77" s="40"/>
      <c r="B77" s="41" t="s">
        <v>22</v>
      </c>
      <c r="C77" s="42">
        <v>45975</v>
      </c>
      <c r="D77" s="51" t="str">
        <f ca="1">CONCATENATE(CALC2223!A76," ",CALC2223!C76," ",CALC2223!E76)</f>
        <v xml:space="preserve">  </v>
      </c>
      <c r="E77" s="51" t="str">
        <f ca="1">CONCATENATE(CALC2223!G76," ",CALC2223!I76," ",CALC2223!K76)</f>
        <v xml:space="preserve">Rep GR  </v>
      </c>
      <c r="F77" s="51" t="str">
        <f ca="1">CONCATENATE(CALC2223!M76," ",CALC2223!O76," ",CALC2223!Q76)</f>
        <v xml:space="preserve">  </v>
      </c>
      <c r="G77" s="51" t="str">
        <f ca="1">CONCATENATE(CALC2223!S76," ",CALC2223!U76," ",CALC2223!W76)</f>
        <v xml:space="preserve">Rep AK  </v>
      </c>
      <c r="H77" s="51" t="str">
        <f ca="1">CONCATENATE(CALC2223!Y76," ",CALC2223!AA76," ",CALC2223!AC76)</f>
        <v xml:space="preserve">  </v>
      </c>
      <c r="I77" s="51" t="str">
        <f ca="1">CONCATENATE(CALC2223!AE76," ",CALC2223!AG76," ",CALC2223!AI76)</f>
        <v xml:space="preserve">  </v>
      </c>
      <c r="J77" s="51" t="str">
        <f ca="1">CONCATENATE(CALC2223!AK76," ",CALC2223!AM76," ",CALC2223!AO76)</f>
        <v xml:space="preserve">  </v>
      </c>
      <c r="K77" s="51" t="str">
        <f ca="1">CONCATENATE(CALC2223!AQ76," ",CALC2223!AS76," ",CALC2223!AU76," ",CALC2223!AW76)</f>
        <v xml:space="preserve">ARS Café   </v>
      </c>
      <c r="L77" s="52" t="str">
        <f t="shared" ca="1" si="0"/>
        <v>verleden</v>
      </c>
      <c r="M77" s="1"/>
      <c r="N77" s="4" t="b">
        <f ca="1">OR(VALUE(CALC2223!B76)&gt;VALUE(LASTV),VALUE(CALC2223!D76)&gt;VALUE(LASTV),VALUE(CALC2223!F76)&gt;VALUE(LASTV))</f>
        <v>0</v>
      </c>
      <c r="O77" s="4" t="b">
        <f ca="1">OR(VALUE(CALC2223!H76)&gt;VALUE(LASTV),VALUE(CALC2223!J76)&gt;VALUE(LASTV),VALUE(CALC2223!L76)&gt;VALUE(LASTV))</f>
        <v>0</v>
      </c>
      <c r="P77" s="4" t="b">
        <f ca="1">OR(VALUE(CALC2223!N76)&gt;VALUE(LASTV),VALUE(CALC2223!P76)&gt;VALUE(LASTV),VALUE(CALC2223!R76)&gt;VALUE(LASTV))</f>
        <v>0</v>
      </c>
      <c r="Q77" s="4" t="b">
        <f ca="1">OR(VALUE(CALC2223!T76)&gt;VALUE(LASTV),VALUE(CALC2223!V76)&gt;VALUE(LASTV),VALUE(CALC2223!X76)&gt;VALUE(LASTV))</f>
        <v>0</v>
      </c>
      <c r="R77" s="4" t="b">
        <f ca="1">OR(VALUE(CALC2223!Z76)&gt;VALUE(LASTV),VALUE(CALC2223!AB76)&gt;VALUE(LASTV),VALUE(CALC2223!AD76)&gt;VALUE(LASTV))</f>
        <v>0</v>
      </c>
      <c r="S77" s="4" t="b">
        <f ca="1">OR(VALUE(CALC2223!AF76)&gt;VALUE(LASTV),VALUE(CALC2223!AH76)&gt;VALUE(LASTV),VALUE(CALC2223!AJ76)&gt;VALUE(LASTV))</f>
        <v>0</v>
      </c>
      <c r="T77" s="4" t="b">
        <f ca="1">OR(VALUE(CALC2223!AL76)&gt;VALUE(LASTV),VALUE(CALC2223!AN76)&gt;VALUE(LASTV),VALUE(CALC2223!AP76)&gt;VALUE(LASTV))</f>
        <v>0</v>
      </c>
      <c r="U77" s="4" t="b">
        <f ca="1">OR(VALUE(CALC2223!AR76)&gt;VALUE(LASTV),VALUE(CALC2223!AT76)&gt;VALUE(LASTV),VALUE(CALC2223!AV76)&gt;VALUE(LASTV))</f>
        <v>0</v>
      </c>
      <c r="V77" s="1"/>
    </row>
    <row r="78" spans="1:22" ht="35.25" hidden="1" customHeight="1">
      <c r="A78" s="45"/>
      <c r="B78" s="46" t="s">
        <v>23</v>
      </c>
      <c r="C78" s="47">
        <v>45976</v>
      </c>
      <c r="D78" s="48" t="str">
        <f ca="1">CONCATENATE(CALC2223!A77," ",CALC2223!C77," ",CALC2223!E77)</f>
        <v xml:space="preserve">  </v>
      </c>
      <c r="E78" s="48" t="str">
        <f ca="1">CONCATENATE(CALC2223!G77," ",CALC2223!I77," ",CALC2223!K77)</f>
        <v xml:space="preserve">  </v>
      </c>
      <c r="F78" s="48" t="str">
        <f ca="1">CONCATENATE(CALC2223!M77," ",CALC2223!O77," ",CALC2223!Q77)</f>
        <v xml:space="preserve">  </v>
      </c>
      <c r="G78" s="48" t="str">
        <f ca="1">CONCATENATE(CALC2223!S77," ",CALC2223!U77," ",CALC2223!W77)</f>
        <v xml:space="preserve">  </v>
      </c>
      <c r="H78" s="48" t="str">
        <f ca="1">CONCATENATE(CALC2223!Y77," ",CALC2223!AA77," ",CALC2223!AC77)</f>
        <v xml:space="preserve">  </v>
      </c>
      <c r="I78" s="48" t="str">
        <f ca="1">CONCATENATE(CALC2223!AE77," ",CALC2223!AG77," ",CALC2223!AI77)</f>
        <v xml:space="preserve">  </v>
      </c>
      <c r="J78" s="48" t="str">
        <f ca="1">CONCATENATE(CALC2223!AK77," ",CALC2223!AM77," ",CALC2223!AO77)</f>
        <v xml:space="preserve">  </v>
      </c>
      <c r="K78" s="48" t="str">
        <f ca="1">CONCATENATE(CALC2223!AQ77," ",CALC2223!AS77," ",CALC2223!AU77," ",CALC2223!AW77)</f>
        <v xml:space="preserve">   </v>
      </c>
      <c r="L78" s="49" t="str">
        <f t="shared" ca="1" si="0"/>
        <v>verleden</v>
      </c>
      <c r="M78" s="1"/>
      <c r="N78" s="4" t="b">
        <f ca="1">OR(VALUE(CALC2223!B77)&gt;VALUE(LASTV),VALUE(CALC2223!D77)&gt;VALUE(LASTV),VALUE(CALC2223!F77)&gt;VALUE(LASTV))</f>
        <v>0</v>
      </c>
      <c r="O78" s="4" t="b">
        <f ca="1">OR(VALUE(CALC2223!H77)&gt;VALUE(LASTV),VALUE(CALC2223!J77)&gt;VALUE(LASTV),VALUE(CALC2223!L77)&gt;VALUE(LASTV))</f>
        <v>0</v>
      </c>
      <c r="P78" s="4" t="b">
        <f ca="1">OR(VALUE(CALC2223!N77)&gt;VALUE(LASTV),VALUE(CALC2223!P77)&gt;VALUE(LASTV),VALUE(CALC2223!R77)&gt;VALUE(LASTV))</f>
        <v>0</v>
      </c>
      <c r="Q78" s="4" t="b">
        <f ca="1">OR(VALUE(CALC2223!T77)&gt;VALUE(LASTV),VALUE(CALC2223!V77)&gt;VALUE(LASTV),VALUE(CALC2223!X77)&gt;VALUE(LASTV))</f>
        <v>0</v>
      </c>
      <c r="R78" s="4" t="b">
        <f ca="1">OR(VALUE(CALC2223!Z77)&gt;VALUE(LASTV),VALUE(CALC2223!AB77)&gt;VALUE(LASTV),VALUE(CALC2223!AD77)&gt;VALUE(LASTV))</f>
        <v>0</v>
      </c>
      <c r="S78" s="4" t="b">
        <f ca="1">OR(VALUE(CALC2223!AF77)&gt;VALUE(LASTV),VALUE(CALC2223!AH77)&gt;VALUE(LASTV),VALUE(CALC2223!AJ77)&gt;VALUE(LASTV))</f>
        <v>0</v>
      </c>
      <c r="T78" s="4" t="b">
        <f ca="1">OR(VALUE(CALC2223!AL77)&gt;VALUE(LASTV),VALUE(CALC2223!AN77)&gt;VALUE(LASTV),VALUE(CALC2223!AP77)&gt;VALUE(LASTV))</f>
        <v>0</v>
      </c>
      <c r="U78" s="4" t="b">
        <f ca="1">OR(VALUE(CALC2223!AR77)&gt;VALUE(LASTV),VALUE(CALC2223!AT77)&gt;VALUE(LASTV),VALUE(CALC2223!AV77)&gt;VALUE(LASTV))</f>
        <v>0</v>
      </c>
      <c r="V78" s="1"/>
    </row>
    <row r="79" spans="1:22" ht="35.25" hidden="1" customHeight="1">
      <c r="A79" s="45"/>
      <c r="B79" s="46" t="s">
        <v>24</v>
      </c>
      <c r="C79" s="47">
        <v>45977</v>
      </c>
      <c r="D79" s="48" t="str">
        <f ca="1">CONCATENATE(CALC2223!A78," ",CALC2223!C78," ",CALC2223!E78)</f>
        <v xml:space="preserve">  </v>
      </c>
      <c r="E79" s="48" t="str">
        <f ca="1">CONCATENATE(CALC2223!G78," ",CALC2223!I78," ",CALC2223!K78)</f>
        <v xml:space="preserve">  </v>
      </c>
      <c r="F79" s="48" t="str">
        <f ca="1">CONCATENATE(CALC2223!M78," ",CALC2223!O78," ",CALC2223!Q78)</f>
        <v xml:space="preserve">  </v>
      </c>
      <c r="G79" s="48" t="str">
        <f ca="1">CONCATENATE(CALC2223!S78," ",CALC2223!U78," ",CALC2223!W78)</f>
        <v xml:space="preserve">  </v>
      </c>
      <c r="H79" s="48" t="str">
        <f ca="1">CONCATENATE(CALC2223!Y78," ",CALC2223!AA78," ",CALC2223!AC78)</f>
        <v xml:space="preserve">  </v>
      </c>
      <c r="I79" s="48" t="str">
        <f ca="1">CONCATENATE(CALC2223!AE78," ",CALC2223!AG78," ",CALC2223!AI78)</f>
        <v xml:space="preserve">  </v>
      </c>
      <c r="J79" s="48" t="str">
        <f ca="1">CONCATENATE(CALC2223!AK78," ",CALC2223!AM78," ",CALC2223!AO78)</f>
        <v xml:space="preserve">  </v>
      </c>
      <c r="K79" s="48" t="str">
        <f ca="1">CONCATENATE(CALC2223!AQ78," ",CALC2223!AS78," ",CALC2223!AU78," ",CALC2223!AW78)</f>
        <v xml:space="preserve">   </v>
      </c>
      <c r="L79" s="49" t="str">
        <f t="shared" ca="1" si="0"/>
        <v>verleden</v>
      </c>
      <c r="M79" s="1"/>
      <c r="N79" s="4" t="b">
        <f ca="1">OR(VALUE(CALC2223!B78)&gt;VALUE(LASTV),VALUE(CALC2223!D78)&gt;VALUE(LASTV),VALUE(CALC2223!F78)&gt;VALUE(LASTV))</f>
        <v>0</v>
      </c>
      <c r="O79" s="4" t="b">
        <f ca="1">OR(VALUE(CALC2223!H78)&gt;VALUE(LASTV),VALUE(CALC2223!J78)&gt;VALUE(LASTV),VALUE(CALC2223!L78)&gt;VALUE(LASTV))</f>
        <v>0</v>
      </c>
      <c r="P79" s="4" t="b">
        <f ca="1">OR(VALUE(CALC2223!N78)&gt;VALUE(LASTV),VALUE(CALC2223!P78)&gt;VALUE(LASTV),VALUE(CALC2223!R78)&gt;VALUE(LASTV))</f>
        <v>0</v>
      </c>
      <c r="Q79" s="4" t="b">
        <f ca="1">OR(VALUE(CALC2223!T78)&gt;VALUE(LASTV),VALUE(CALC2223!V78)&gt;VALUE(LASTV),VALUE(CALC2223!X78)&gt;VALUE(LASTV))</f>
        <v>0</v>
      </c>
      <c r="R79" s="4" t="b">
        <f ca="1">OR(VALUE(CALC2223!Z78)&gt;VALUE(LASTV),VALUE(CALC2223!AB78)&gt;VALUE(LASTV),VALUE(CALC2223!AD78)&gt;VALUE(LASTV))</f>
        <v>0</v>
      </c>
      <c r="S79" s="4" t="b">
        <f ca="1">OR(VALUE(CALC2223!AF78)&gt;VALUE(LASTV),VALUE(CALC2223!AH78)&gt;VALUE(LASTV),VALUE(CALC2223!AJ78)&gt;VALUE(LASTV))</f>
        <v>0</v>
      </c>
      <c r="T79" s="4" t="b">
        <f ca="1">OR(VALUE(CALC2223!AL78)&gt;VALUE(LASTV),VALUE(CALC2223!AN78)&gt;VALUE(LASTV),VALUE(CALC2223!AP78)&gt;VALUE(LASTV))</f>
        <v>0</v>
      </c>
      <c r="U79" s="4" t="b">
        <f ca="1">OR(VALUE(CALC2223!AR78)&gt;VALUE(LASTV),VALUE(CALC2223!AT78)&gt;VALUE(LASTV),VALUE(CALC2223!AV78)&gt;VALUE(LASTV))</f>
        <v>0</v>
      </c>
      <c r="V79" s="1"/>
    </row>
    <row r="80" spans="1:22" ht="35.25" hidden="1" customHeight="1">
      <c r="A80" s="50">
        <v>47</v>
      </c>
      <c r="B80" s="41" t="s">
        <v>18</v>
      </c>
      <c r="C80" s="42">
        <v>45978</v>
      </c>
      <c r="D80" s="43" t="str">
        <f ca="1">CONCATENATE(CALC2223!A79," ",CALC2223!C79," ",CALC2223!E79)</f>
        <v xml:space="preserve">  </v>
      </c>
      <c r="E80" s="43" t="str">
        <f ca="1">CONCATENATE(CALC2223!G79," ",CALC2223!I79," ",CALC2223!K79)</f>
        <v xml:space="preserve">  </v>
      </c>
      <c r="F80" s="43" t="str">
        <f ca="1">CONCATENATE(CALC2223!M79," ",CALC2223!O79," ",CALC2223!Q79)</f>
        <v xml:space="preserve">  </v>
      </c>
      <c r="G80" s="43" t="str">
        <f ca="1">CONCATENATE(CALC2223!S79," ",CALC2223!U79," ",CALC2223!W79)</f>
        <v xml:space="preserve">inh rep NA  </v>
      </c>
      <c r="H80" s="43" t="str">
        <f ca="1">CONCATENATE(CALC2223!Y79," ",CALC2223!AA79," ",CALC2223!AC79)</f>
        <v xml:space="preserve">Maat naar Den Haag inh rep SK </v>
      </c>
      <c r="I80" s="43" t="str">
        <f ca="1">CONCATENATE(CALC2223!AE79," ",CALC2223!AG79," ",CALC2223!AI79)</f>
        <v xml:space="preserve">  </v>
      </c>
      <c r="J80" s="43" t="str">
        <f ca="1">CONCATENATE(CALC2223!AK79," ",CALC2223!AM79," ",CALC2223!AO79)</f>
        <v xml:space="preserve">30' rooster/leerlingbespreking lj 1/  </v>
      </c>
      <c r="K80" s="43" t="str">
        <f ca="1">CONCATENATE(CALC2223!AQ79," ",CALC2223!AS79," ",CALC2223!AU79," ",CALC2223!AW79)</f>
        <v xml:space="preserve">   </v>
      </c>
      <c r="L80" s="44" t="str">
        <f t="shared" ca="1" si="0"/>
        <v>verleden</v>
      </c>
      <c r="M80" s="1"/>
      <c r="N80" s="4" t="b">
        <f ca="1">OR(VALUE(CALC2223!B79)&gt;VALUE(LASTV),VALUE(CALC2223!D79)&gt;VALUE(LASTV),VALUE(CALC2223!F79)&gt;VALUE(LASTV))</f>
        <v>0</v>
      </c>
      <c r="O80" s="4" t="b">
        <f ca="1">OR(VALUE(CALC2223!H79)&gt;VALUE(LASTV),VALUE(CALC2223!J79)&gt;VALUE(LASTV),VALUE(CALC2223!L79)&gt;VALUE(LASTV))</f>
        <v>0</v>
      </c>
      <c r="P80" s="4" t="b">
        <f ca="1">OR(VALUE(CALC2223!N79)&gt;VALUE(LASTV),VALUE(CALC2223!P79)&gt;VALUE(LASTV),VALUE(CALC2223!R79)&gt;VALUE(LASTV))</f>
        <v>0</v>
      </c>
      <c r="Q80" s="4" t="b">
        <f ca="1">OR(VALUE(CALC2223!T79)&gt;VALUE(LASTV),VALUE(CALC2223!V79)&gt;VALUE(LASTV),VALUE(CALC2223!X79)&gt;VALUE(LASTV))</f>
        <v>0</v>
      </c>
      <c r="R80" s="4" t="b">
        <f ca="1">OR(VALUE(CALC2223!Z79)&gt;VALUE(LASTV),VALUE(CALC2223!AB79)&gt;VALUE(LASTV),VALUE(CALC2223!AD79)&gt;VALUE(LASTV))</f>
        <v>0</v>
      </c>
      <c r="S80" s="4" t="b">
        <f ca="1">OR(VALUE(CALC2223!AF79)&gt;VALUE(LASTV),VALUE(CALC2223!AH79)&gt;VALUE(LASTV),VALUE(CALC2223!AJ79)&gt;VALUE(LASTV))</f>
        <v>0</v>
      </c>
      <c r="T80" s="4" t="b">
        <f ca="1">OR(VALUE(CALC2223!AL79)&gt;VALUE(LASTV),VALUE(CALC2223!AN79)&gt;VALUE(LASTV),VALUE(CALC2223!AP79)&gt;VALUE(LASTV))</f>
        <v>0</v>
      </c>
      <c r="U80" s="4" t="b">
        <f ca="1">OR(VALUE(CALC2223!AR79)&gt;VALUE(LASTV),VALUE(CALC2223!AT79)&gt;VALUE(LASTV),VALUE(CALC2223!AV79)&gt;VALUE(LASTV))</f>
        <v>0</v>
      </c>
      <c r="V80" s="1"/>
    </row>
    <row r="81" spans="1:22" ht="35.25" hidden="1" customHeight="1">
      <c r="A81" s="40"/>
      <c r="B81" s="41" t="s">
        <v>19</v>
      </c>
      <c r="C81" s="42">
        <v>45979</v>
      </c>
      <c r="D81" s="43" t="str">
        <f ca="1">CONCATENATE(CALC2223!A80," ",CALC2223!C80," ",CALC2223!E80)</f>
        <v xml:space="preserve">  </v>
      </c>
      <c r="E81" s="43" t="str">
        <f ca="1">CONCATENATE(CALC2223!G80," ",CALC2223!I80," ",CALC2223!K80)</f>
        <v xml:space="preserve">  </v>
      </c>
      <c r="F81" s="43" t="str">
        <f ca="1">CONCATENATE(CALC2223!M80," ",CALC2223!O80," ",CALC2223!Q80)</f>
        <v xml:space="preserve">  </v>
      </c>
      <c r="G81" s="43" t="str">
        <f ca="1">CONCATENATE(CALC2223!S80," ",CALC2223!U80," ",CALC2223!W80)</f>
        <v xml:space="preserve">terug uit Rennes  </v>
      </c>
      <c r="H81" s="43" t="str">
        <f ca="1">CONCATENATE(CALC2223!Y80," ",CALC2223!AA80," ",CALC2223!AC80)</f>
        <v xml:space="preserve">  </v>
      </c>
      <c r="I81" s="43" t="str">
        <f ca="1">CONCATENATE(CALC2223!AE80," ",CALC2223!AG80," ",CALC2223!AI80)</f>
        <v xml:space="preserve">  </v>
      </c>
      <c r="J81" s="43" t="str">
        <f ca="1">CONCATENATE(CALC2223!AK80," ",CALC2223!AM80," ",CALC2223!AO80)</f>
        <v xml:space="preserve">30' rooster/leerlingbespreking lj 2  </v>
      </c>
      <c r="K81" s="43" t="str">
        <f ca="1">CONCATENATE(CALC2223!AQ80," ",CALC2223!AS80," ",CALC2223!AU80," ",CALC2223!AW80)</f>
        <v xml:space="preserve">   </v>
      </c>
      <c r="L81" s="44" t="str">
        <f t="shared" ca="1" si="0"/>
        <v>verleden</v>
      </c>
      <c r="M81" s="1"/>
      <c r="N81" s="4" t="b">
        <f ca="1">OR(VALUE(CALC2223!B80)&gt;VALUE(LASTV),VALUE(CALC2223!D80)&gt;VALUE(LASTV),VALUE(CALC2223!F80)&gt;VALUE(LASTV))</f>
        <v>0</v>
      </c>
      <c r="O81" s="4" t="b">
        <f ca="1">OR(VALUE(CALC2223!H80)&gt;VALUE(LASTV),VALUE(CALC2223!J80)&gt;VALUE(LASTV),VALUE(CALC2223!L80)&gt;VALUE(LASTV))</f>
        <v>0</v>
      </c>
      <c r="P81" s="4" t="b">
        <f ca="1">OR(VALUE(CALC2223!N80)&gt;VALUE(LASTV),VALUE(CALC2223!P80)&gt;VALUE(LASTV),VALUE(CALC2223!R80)&gt;VALUE(LASTV))</f>
        <v>0</v>
      </c>
      <c r="Q81" s="4" t="b">
        <f ca="1">OR(VALUE(CALC2223!T80)&gt;VALUE(LASTV),VALUE(CALC2223!V80)&gt;VALUE(LASTV),VALUE(CALC2223!X80)&gt;VALUE(LASTV))</f>
        <v>0</v>
      </c>
      <c r="R81" s="4" t="b">
        <f ca="1">OR(VALUE(CALC2223!Z80)&gt;VALUE(LASTV),VALUE(CALC2223!AB80)&gt;VALUE(LASTV),VALUE(CALC2223!AD80)&gt;VALUE(LASTV))</f>
        <v>0</v>
      </c>
      <c r="S81" s="4" t="b">
        <f ca="1">OR(VALUE(CALC2223!AF80)&gt;VALUE(LASTV),VALUE(CALC2223!AH80)&gt;VALUE(LASTV),VALUE(CALC2223!AJ80)&gt;VALUE(LASTV))</f>
        <v>0</v>
      </c>
      <c r="T81" s="4" t="b">
        <f ca="1">OR(VALUE(CALC2223!AL80)&gt;VALUE(LASTV),VALUE(CALC2223!AN80)&gt;VALUE(LASTV),VALUE(CALC2223!AP80)&gt;VALUE(LASTV))</f>
        <v>0</v>
      </c>
      <c r="U81" s="4" t="b">
        <f ca="1">OR(VALUE(CALC2223!AR80)&gt;VALUE(LASTV),VALUE(CALC2223!AT80)&gt;VALUE(LASTV),VALUE(CALC2223!AV80)&gt;VALUE(LASTV))</f>
        <v>0</v>
      </c>
      <c r="V81" s="1"/>
    </row>
    <row r="82" spans="1:22" ht="35.25" hidden="1" customHeight="1">
      <c r="A82" s="40"/>
      <c r="B82" s="41" t="s">
        <v>20</v>
      </c>
      <c r="C82" s="42">
        <v>45980</v>
      </c>
      <c r="D82" s="43" t="str">
        <f ca="1">CONCATENATE(CALC2223!A81," ",CALC2223!C81," ",CALC2223!E81)</f>
        <v xml:space="preserve">  </v>
      </c>
      <c r="E82" s="43" t="str">
        <f ca="1">CONCATENATE(CALC2223!G81," ",CALC2223!I81," ",CALC2223!K81)</f>
        <v xml:space="preserve">  </v>
      </c>
      <c r="F82" s="43" t="str">
        <f ca="1">CONCATENATE(CALC2223!M81," ",CALC2223!O81," ",CALC2223!Q81)</f>
        <v xml:space="preserve">  </v>
      </c>
      <c r="G82" s="43" t="str">
        <f ca="1">CONCATENATE(CALC2223!S81," ",CALC2223!U81," ",CALC2223!W81)</f>
        <v xml:space="preserve">  </v>
      </c>
      <c r="H82" s="43" t="str">
        <f ca="1">CONCATENATE(CALC2223!Y81," ",CALC2223!AA81," ",CALC2223!AC81)</f>
        <v xml:space="preserve">Rep NA/PWS presentaties  </v>
      </c>
      <c r="I82" s="43" t="str">
        <f ca="1">CONCATENATE(CALC2223!AE81," ",CALC2223!AG81," ",CALC2223!AI81)</f>
        <v xml:space="preserve">PWS presentaties  </v>
      </c>
      <c r="J82" s="43" t="str">
        <f ca="1">CONCATENATE(CALC2223!AK81," ",CALC2223!AM81," ",CALC2223!AO81)</f>
        <v xml:space="preserve">30' rooster/leerlingbespreking lj 3  </v>
      </c>
      <c r="K82" s="43" t="str">
        <f ca="1">CONCATENATE(CALC2223!AQ81," ",CALC2223!AS81," ",CALC2223!AU81," ",CALC2223!AW81)</f>
        <v xml:space="preserve">   </v>
      </c>
      <c r="L82" s="44" t="str">
        <f t="shared" ca="1" si="0"/>
        <v>verleden</v>
      </c>
      <c r="M82" s="1"/>
      <c r="N82" s="4" t="b">
        <f ca="1">OR(VALUE(CALC2223!B81)&gt;VALUE(LASTV),VALUE(CALC2223!D81)&gt;VALUE(LASTV),VALUE(CALC2223!F81)&gt;VALUE(LASTV))</f>
        <v>0</v>
      </c>
      <c r="O82" s="4" t="b">
        <f ca="1">OR(VALUE(CALC2223!H81)&gt;VALUE(LASTV),VALUE(CALC2223!J81)&gt;VALUE(LASTV),VALUE(CALC2223!L81)&gt;VALUE(LASTV))</f>
        <v>0</v>
      </c>
      <c r="P82" s="4" t="b">
        <f ca="1">OR(VALUE(CALC2223!N81)&gt;VALUE(LASTV),VALUE(CALC2223!P81)&gt;VALUE(LASTV),VALUE(CALC2223!R81)&gt;VALUE(LASTV))</f>
        <v>0</v>
      </c>
      <c r="Q82" s="4" t="b">
        <f ca="1">OR(VALUE(CALC2223!T81)&gt;VALUE(LASTV),VALUE(CALC2223!V81)&gt;VALUE(LASTV),VALUE(CALC2223!X81)&gt;VALUE(LASTV))</f>
        <v>0</v>
      </c>
      <c r="R82" s="4" t="b">
        <f ca="1">OR(VALUE(CALC2223!Z81)&gt;VALUE(LASTV),VALUE(CALC2223!AB81)&gt;VALUE(LASTV),VALUE(CALC2223!AD81)&gt;VALUE(LASTV))</f>
        <v>0</v>
      </c>
      <c r="S82" s="4" t="b">
        <f ca="1">OR(VALUE(CALC2223!AF81)&gt;VALUE(LASTV),VALUE(CALC2223!AH81)&gt;VALUE(LASTV),VALUE(CALC2223!AJ81)&gt;VALUE(LASTV))</f>
        <v>0</v>
      </c>
      <c r="T82" s="4" t="b">
        <f ca="1">OR(VALUE(CALC2223!AL81)&gt;VALUE(LASTV),VALUE(CALC2223!AN81)&gt;VALUE(LASTV),VALUE(CALC2223!AP81)&gt;VALUE(LASTV))</f>
        <v>0</v>
      </c>
      <c r="U82" s="4" t="b">
        <f ca="1">OR(VALUE(CALC2223!AR81)&gt;VALUE(LASTV),VALUE(CALC2223!AT81)&gt;VALUE(LASTV),VALUE(CALC2223!AV81)&gt;VALUE(LASTV))</f>
        <v>0</v>
      </c>
      <c r="V82" s="1"/>
    </row>
    <row r="83" spans="1:22" ht="35.25" hidden="1" customHeight="1">
      <c r="A83" s="40"/>
      <c r="B83" s="41" t="s">
        <v>21</v>
      </c>
      <c r="C83" s="42">
        <v>45981</v>
      </c>
      <c r="D83" s="43" t="str">
        <f ca="1">CONCATENATE(CALC2223!A82," ",CALC2223!C82," ",CALC2223!E82)</f>
        <v xml:space="preserve">  </v>
      </c>
      <c r="E83" s="43" t="str">
        <f ca="1">CONCATENATE(CALC2223!G82," ",CALC2223!I82," ",CALC2223!K82)</f>
        <v xml:space="preserve">  </v>
      </c>
      <c r="F83" s="43" t="str">
        <f ca="1">CONCATENATE(CALC2223!M82," ",CALC2223!O82," ",CALC2223!Q82)</f>
        <v xml:space="preserve">Rep FA  </v>
      </c>
      <c r="G83" s="43" t="str">
        <f ca="1">CONCATENATE(CALC2223!S82," ",CALC2223!U82," ",CALC2223!W82)</f>
        <v xml:space="preserve">inh rep SK  </v>
      </c>
      <c r="H83" s="43" t="str">
        <f ca="1">CONCATENATE(CALC2223!Y82," ",CALC2223!AA82," ",CALC2223!AC82)</f>
        <v xml:space="preserve">inh rep BI  </v>
      </c>
      <c r="I83" s="43" t="str">
        <f ca="1">CONCATENATE(CALC2223!AE82," ",CALC2223!AG82," ",CALC2223!AI82)</f>
        <v xml:space="preserve">  </v>
      </c>
      <c r="J83" s="43" t="str">
        <f ca="1">CONCATENATE(CALC2223!AK82," ",CALC2223!AM82," ",CALC2223!AO82)</f>
        <v xml:space="preserve">30" rooster; secties#3  </v>
      </c>
      <c r="K83" s="43" t="str">
        <f ca="1">CONCATENATE(CALC2223!AQ82," ",CALC2223!AS82," ",CALC2223!AU82," ",CALC2223!AW82)</f>
        <v xml:space="preserve">   </v>
      </c>
      <c r="L83" s="44" t="str">
        <f t="shared" ca="1" si="0"/>
        <v>verleden</v>
      </c>
      <c r="M83" s="1"/>
      <c r="N83" s="4" t="b">
        <f ca="1">OR(VALUE(CALC2223!B82)&gt;VALUE(LASTV),VALUE(CALC2223!D82)&gt;VALUE(LASTV),VALUE(CALC2223!F82)&gt;VALUE(LASTV))</f>
        <v>0</v>
      </c>
      <c r="O83" s="4" t="b">
        <f ca="1">OR(VALUE(CALC2223!H82)&gt;VALUE(LASTV),VALUE(CALC2223!J82)&gt;VALUE(LASTV),VALUE(CALC2223!L82)&gt;VALUE(LASTV))</f>
        <v>0</v>
      </c>
      <c r="P83" s="4" t="b">
        <f ca="1">OR(VALUE(CALC2223!N82)&gt;VALUE(LASTV),VALUE(CALC2223!P82)&gt;VALUE(LASTV),VALUE(CALC2223!R82)&gt;VALUE(LASTV))</f>
        <v>0</v>
      </c>
      <c r="Q83" s="4" t="b">
        <f ca="1">OR(VALUE(CALC2223!T82)&gt;VALUE(LASTV),VALUE(CALC2223!V82)&gt;VALUE(LASTV),VALUE(CALC2223!X82)&gt;VALUE(LASTV))</f>
        <v>0</v>
      </c>
      <c r="R83" s="4" t="b">
        <f ca="1">OR(VALUE(CALC2223!Z82)&gt;VALUE(LASTV),VALUE(CALC2223!AB82)&gt;VALUE(LASTV),VALUE(CALC2223!AD82)&gt;VALUE(LASTV))</f>
        <v>0</v>
      </c>
      <c r="S83" s="4" t="b">
        <f ca="1">OR(VALUE(CALC2223!AF82)&gt;VALUE(LASTV),VALUE(CALC2223!AH82)&gt;VALUE(LASTV),VALUE(CALC2223!AJ82)&gt;VALUE(LASTV))</f>
        <v>0</v>
      </c>
      <c r="T83" s="4" t="b">
        <f ca="1">OR(VALUE(CALC2223!AL82)&gt;VALUE(LASTV),VALUE(CALC2223!AN82)&gt;VALUE(LASTV),VALUE(CALC2223!AP82)&gt;VALUE(LASTV))</f>
        <v>0</v>
      </c>
      <c r="U83" s="4" t="b">
        <f ca="1">OR(VALUE(CALC2223!AR82)&gt;VALUE(LASTV),VALUE(CALC2223!AT82)&gt;VALUE(LASTV),VALUE(CALC2223!AV82)&gt;VALUE(LASTV))</f>
        <v>0</v>
      </c>
      <c r="V83" s="1"/>
    </row>
    <row r="84" spans="1:22" ht="35.25" hidden="1" customHeight="1">
      <c r="A84" s="40"/>
      <c r="B84" s="41" t="s">
        <v>22</v>
      </c>
      <c r="C84" s="42">
        <v>45982</v>
      </c>
      <c r="D84" s="43" t="str">
        <f ca="1">CONCATENATE(CALC2223!A83," ",CALC2223!C83," ",CALC2223!E83)</f>
        <v xml:space="preserve">  </v>
      </c>
      <c r="E84" s="43" t="str">
        <f ca="1">CONCATENATE(CALC2223!G83," ",CALC2223!I83," ",CALC2223!K83)</f>
        <v xml:space="preserve">Rep DU  </v>
      </c>
      <c r="F84" s="43" t="str">
        <f ca="1">CONCATENATE(CALC2223!M83," ",CALC2223!O83," ",CALC2223!Q83)</f>
        <v xml:space="preserve">  </v>
      </c>
      <c r="G84" s="43" t="str">
        <f ca="1">CONCATENATE(CALC2223!S83," ",CALC2223!U83," ",CALC2223!W83)</f>
        <v xml:space="preserve">Rep BI  </v>
      </c>
      <c r="H84" s="43" t="str">
        <f ca="1">CONCATENATE(CALC2223!Y83," ",CALC2223!AA83," ",CALC2223!AC83)</f>
        <v xml:space="preserve">  </v>
      </c>
      <c r="I84" s="43" t="str">
        <f ca="1">CONCATENATE(CALC2223!AE83," ",CALC2223!AG83," ",CALC2223!AI83)</f>
        <v xml:space="preserve">PWS inleveren  </v>
      </c>
      <c r="J84" s="43" t="str">
        <f ca="1">CONCATENATE(CALC2223!AK83," ",CALC2223!AM83," ",CALC2223!AO83)</f>
        <v xml:space="preserve">30' rooster/leerlingbespreking lj 4  </v>
      </c>
      <c r="K84" s="43" t="str">
        <f ca="1">CONCATENATE(CALC2223!AQ83," ",CALC2223!AS83," ",CALC2223!AU83," ",CALC2223!AW83)</f>
        <v xml:space="preserve">   </v>
      </c>
      <c r="L84" s="44" t="str">
        <f t="shared" ca="1" si="0"/>
        <v>verleden</v>
      </c>
      <c r="M84" s="1"/>
      <c r="N84" s="4" t="b">
        <f ca="1">OR(VALUE(CALC2223!B83)&gt;VALUE(LASTV),VALUE(CALC2223!D83)&gt;VALUE(LASTV),VALUE(CALC2223!F83)&gt;VALUE(LASTV))</f>
        <v>0</v>
      </c>
      <c r="O84" s="4" t="b">
        <f ca="1">OR(VALUE(CALC2223!H83)&gt;VALUE(LASTV),VALUE(CALC2223!J83)&gt;VALUE(LASTV),VALUE(CALC2223!L83)&gt;VALUE(LASTV))</f>
        <v>0</v>
      </c>
      <c r="P84" s="4" t="b">
        <f ca="1">OR(VALUE(CALC2223!N83)&gt;VALUE(LASTV),VALUE(CALC2223!P83)&gt;VALUE(LASTV),VALUE(CALC2223!R83)&gt;VALUE(LASTV))</f>
        <v>0</v>
      </c>
      <c r="Q84" s="4" t="b">
        <f ca="1">OR(VALUE(CALC2223!T83)&gt;VALUE(LASTV),VALUE(CALC2223!V83)&gt;VALUE(LASTV),VALUE(CALC2223!X83)&gt;VALUE(LASTV))</f>
        <v>0</v>
      </c>
      <c r="R84" s="4" t="b">
        <f ca="1">OR(VALUE(CALC2223!Z83)&gt;VALUE(LASTV),VALUE(CALC2223!AB83)&gt;VALUE(LASTV),VALUE(CALC2223!AD83)&gt;VALUE(LASTV))</f>
        <v>0</v>
      </c>
      <c r="S84" s="4" t="b">
        <f ca="1">OR(VALUE(CALC2223!AF83)&gt;VALUE(LASTV),VALUE(CALC2223!AH83)&gt;VALUE(LASTV),VALUE(CALC2223!AJ83)&gt;VALUE(LASTV))</f>
        <v>0</v>
      </c>
      <c r="T84" s="4" t="b">
        <f ca="1">OR(VALUE(CALC2223!AL83)&gt;VALUE(LASTV),VALUE(CALC2223!AN83)&gt;VALUE(LASTV),VALUE(CALC2223!AP83)&gt;VALUE(LASTV))</f>
        <v>0</v>
      </c>
      <c r="U84" s="4" t="b">
        <f ca="1">OR(VALUE(CALC2223!AR83)&gt;VALUE(LASTV),VALUE(CALC2223!AT83)&gt;VALUE(LASTV),VALUE(CALC2223!AV83)&gt;VALUE(LASTV))</f>
        <v>0</v>
      </c>
      <c r="V84" s="1"/>
    </row>
    <row r="85" spans="1:22" ht="35.25" hidden="1" customHeight="1">
      <c r="A85" s="45"/>
      <c r="B85" s="46" t="s">
        <v>23</v>
      </c>
      <c r="C85" s="47">
        <v>45983</v>
      </c>
      <c r="D85" s="48" t="str">
        <f ca="1">CONCATENATE(CALC2223!A84," ",CALC2223!C84," ",CALC2223!E84)</f>
        <v xml:space="preserve">  </v>
      </c>
      <c r="E85" s="48" t="str">
        <f ca="1">CONCATENATE(CALC2223!G84," ",CALC2223!I84," ",CALC2223!K84)</f>
        <v xml:space="preserve">  </v>
      </c>
      <c r="F85" s="48" t="str">
        <f ca="1">CONCATENATE(CALC2223!M84," ",CALC2223!O84," ",CALC2223!Q84)</f>
        <v xml:space="preserve">  </v>
      </c>
      <c r="G85" s="48" t="str">
        <f ca="1">CONCATENATE(CALC2223!S84," ",CALC2223!U84," ",CALC2223!W84)</f>
        <v xml:space="preserve">  </v>
      </c>
      <c r="H85" s="48" t="str">
        <f ca="1">CONCATENATE(CALC2223!Y84," ",CALC2223!AA84," ",CALC2223!AC84)</f>
        <v xml:space="preserve">  </v>
      </c>
      <c r="I85" s="48" t="str">
        <f ca="1">CONCATENATE(CALC2223!AE84," ",CALC2223!AG84," ",CALC2223!AI84)</f>
        <v xml:space="preserve">  </v>
      </c>
      <c r="J85" s="48" t="str">
        <f ca="1">CONCATENATE(CALC2223!AK84," ",CALC2223!AM84," ",CALC2223!AO84)</f>
        <v xml:space="preserve">  </v>
      </c>
      <c r="K85" s="48" t="str">
        <f ca="1">CONCATENATE(CALC2223!AQ84," ",CALC2223!AS84," ",CALC2223!AU84," ",CALC2223!AW84)</f>
        <v xml:space="preserve">   </v>
      </c>
      <c r="L85" s="49" t="str">
        <f t="shared" ca="1" si="0"/>
        <v>verleden</v>
      </c>
      <c r="M85" s="1"/>
      <c r="N85" s="4" t="b">
        <f ca="1">OR(VALUE(CALC2223!B84)&gt;VALUE(LASTV),VALUE(CALC2223!D84)&gt;VALUE(LASTV),VALUE(CALC2223!F84)&gt;VALUE(LASTV))</f>
        <v>0</v>
      </c>
      <c r="O85" s="4" t="b">
        <f ca="1">OR(VALUE(CALC2223!H84)&gt;VALUE(LASTV),VALUE(CALC2223!J84)&gt;VALUE(LASTV),VALUE(CALC2223!L84)&gt;VALUE(LASTV))</f>
        <v>0</v>
      </c>
      <c r="P85" s="4" t="b">
        <f ca="1">OR(VALUE(CALC2223!N84)&gt;VALUE(LASTV),VALUE(CALC2223!P84)&gt;VALUE(LASTV),VALUE(CALC2223!R84)&gt;VALUE(LASTV))</f>
        <v>0</v>
      </c>
      <c r="Q85" s="4" t="b">
        <f ca="1">OR(VALUE(CALC2223!T84)&gt;VALUE(LASTV),VALUE(CALC2223!V84)&gt;VALUE(LASTV),VALUE(CALC2223!X84)&gt;VALUE(LASTV))</f>
        <v>0</v>
      </c>
      <c r="R85" s="4" t="b">
        <f ca="1">OR(VALUE(CALC2223!Z84)&gt;VALUE(LASTV),VALUE(CALC2223!AB84)&gt;VALUE(LASTV),VALUE(CALC2223!AD84)&gt;VALUE(LASTV))</f>
        <v>0</v>
      </c>
      <c r="S85" s="4" t="b">
        <f ca="1">OR(VALUE(CALC2223!AF84)&gt;VALUE(LASTV),VALUE(CALC2223!AH84)&gt;VALUE(LASTV),VALUE(CALC2223!AJ84)&gt;VALUE(LASTV))</f>
        <v>0</v>
      </c>
      <c r="T85" s="4" t="b">
        <f ca="1">OR(VALUE(CALC2223!AL84)&gt;VALUE(LASTV),VALUE(CALC2223!AN84)&gt;VALUE(LASTV),VALUE(CALC2223!AP84)&gt;VALUE(LASTV))</f>
        <v>0</v>
      </c>
      <c r="U85" s="4" t="b">
        <f ca="1">OR(VALUE(CALC2223!AR84)&gt;VALUE(LASTV),VALUE(CALC2223!AT84)&gt;VALUE(LASTV),VALUE(CALC2223!AV84)&gt;VALUE(LASTV))</f>
        <v>0</v>
      </c>
      <c r="V85" s="1"/>
    </row>
    <row r="86" spans="1:22" ht="35.25" hidden="1" customHeight="1">
      <c r="A86" s="45"/>
      <c r="B86" s="46" t="s">
        <v>24</v>
      </c>
      <c r="C86" s="47">
        <v>45984</v>
      </c>
      <c r="D86" s="48" t="str">
        <f ca="1">CONCATENATE(CALC2223!A85," ",CALC2223!C85," ",CALC2223!E85)</f>
        <v xml:space="preserve">  </v>
      </c>
      <c r="E86" s="48" t="str">
        <f ca="1">CONCATENATE(CALC2223!G85," ",CALC2223!I85," ",CALC2223!K85)</f>
        <v xml:space="preserve">  </v>
      </c>
      <c r="F86" s="48" t="str">
        <f ca="1">CONCATENATE(CALC2223!M85," ",CALC2223!O85," ",CALC2223!Q85)</f>
        <v xml:space="preserve">  </v>
      </c>
      <c r="G86" s="48" t="str">
        <f ca="1">CONCATENATE(CALC2223!S85," ",CALC2223!U85," ",CALC2223!W85)</f>
        <v xml:space="preserve">  </v>
      </c>
      <c r="H86" s="48" t="str">
        <f ca="1">CONCATENATE(CALC2223!Y85," ",CALC2223!AA85," ",CALC2223!AC85)</f>
        <v xml:space="preserve">  </v>
      </c>
      <c r="I86" s="48" t="str">
        <f ca="1">CONCATENATE(CALC2223!AE85," ",CALC2223!AG85," ",CALC2223!AI85)</f>
        <v xml:space="preserve">  </v>
      </c>
      <c r="J86" s="48" t="str">
        <f ca="1">CONCATENATE(CALC2223!AK85," ",CALC2223!AM85," ",CALC2223!AO85)</f>
        <v xml:space="preserve">  </v>
      </c>
      <c r="K86" s="48" t="str">
        <f ca="1">CONCATENATE(CALC2223!AQ85," ",CALC2223!AS85," ",CALC2223!AU85," ",CALC2223!AW85)</f>
        <v xml:space="preserve">   </v>
      </c>
      <c r="L86" s="49" t="str">
        <f t="shared" ca="1" si="0"/>
        <v>verleden</v>
      </c>
      <c r="M86" s="1"/>
      <c r="N86" s="4" t="b">
        <f ca="1">OR(VALUE(CALC2223!B85)&gt;VALUE(LASTV),VALUE(CALC2223!D85)&gt;VALUE(LASTV),VALUE(CALC2223!F85)&gt;VALUE(LASTV))</f>
        <v>0</v>
      </c>
      <c r="O86" s="4" t="b">
        <f ca="1">OR(VALUE(CALC2223!H85)&gt;VALUE(LASTV),VALUE(CALC2223!J85)&gt;VALUE(LASTV),VALUE(CALC2223!L85)&gt;VALUE(LASTV))</f>
        <v>0</v>
      </c>
      <c r="P86" s="4" t="b">
        <f ca="1">OR(VALUE(CALC2223!N85)&gt;VALUE(LASTV),VALUE(CALC2223!P85)&gt;VALUE(LASTV),VALUE(CALC2223!R85)&gt;VALUE(LASTV))</f>
        <v>0</v>
      </c>
      <c r="Q86" s="4" t="b">
        <f ca="1">OR(VALUE(CALC2223!T85)&gt;VALUE(LASTV),VALUE(CALC2223!V85)&gt;VALUE(LASTV),VALUE(CALC2223!X85)&gt;VALUE(LASTV))</f>
        <v>0</v>
      </c>
      <c r="R86" s="4" t="b">
        <f ca="1">OR(VALUE(CALC2223!Z85)&gt;VALUE(LASTV),VALUE(CALC2223!AB85)&gt;VALUE(LASTV),VALUE(CALC2223!AD85)&gt;VALUE(LASTV))</f>
        <v>0</v>
      </c>
      <c r="S86" s="4" t="b">
        <f ca="1">OR(VALUE(CALC2223!AF85)&gt;VALUE(LASTV),VALUE(CALC2223!AH85)&gt;VALUE(LASTV),VALUE(CALC2223!AJ85)&gt;VALUE(LASTV))</f>
        <v>0</v>
      </c>
      <c r="T86" s="4" t="b">
        <f ca="1">OR(VALUE(CALC2223!AL85)&gt;VALUE(LASTV),VALUE(CALC2223!AN85)&gt;VALUE(LASTV),VALUE(CALC2223!AP85)&gt;VALUE(LASTV))</f>
        <v>0</v>
      </c>
      <c r="U86" s="4" t="b">
        <f ca="1">OR(VALUE(CALC2223!AR85)&gt;VALUE(LASTV),VALUE(CALC2223!AT85)&gt;VALUE(LASTV),VALUE(CALC2223!AV85)&gt;VALUE(LASTV))</f>
        <v>0</v>
      </c>
      <c r="V86" s="1"/>
    </row>
    <row r="87" spans="1:22" ht="35.25" hidden="1" customHeight="1">
      <c r="A87" s="50">
        <v>48</v>
      </c>
      <c r="B87" s="41" t="s">
        <v>18</v>
      </c>
      <c r="C87" s="42">
        <v>45985</v>
      </c>
      <c r="D87" s="51" t="str">
        <f ca="1">CONCATENATE(CALC2223!A86," ",CALC2223!C86," ",CALC2223!E86)</f>
        <v xml:space="preserve">  </v>
      </c>
      <c r="E87" s="51" t="str">
        <f ca="1">CONCATENATE(CALC2223!G86," ",CALC2223!I86," ",CALC2223!K86)</f>
        <v xml:space="preserve">  </v>
      </c>
      <c r="F87" s="51" t="str">
        <f ca="1">CONCATENATE(CALC2223!M86," ",CALC2223!O86," ",CALC2223!Q86)</f>
        <v xml:space="preserve">week van de vakkenvoorlichting / Ouderavond Profielkeuze  </v>
      </c>
      <c r="G87" s="51" t="str">
        <f ca="1">CONCATENATE(CALC2223!S86," ",CALC2223!U86," ",CALC2223!W86)</f>
        <v xml:space="preserve">inh rep LA  </v>
      </c>
      <c r="H87" s="51" t="str">
        <f ca="1">CONCATENATE(CALC2223!Y86," ",CALC2223!AA86," ",CALC2223!AC86)</f>
        <v xml:space="preserve">SE AC inh rep EN </v>
      </c>
      <c r="I87" s="51" t="str">
        <f ca="1">CONCATENATE(CALC2223!AE86," ",CALC2223!AG86," ",CALC2223!AI86)</f>
        <v xml:space="preserve">KuDr CKF  </v>
      </c>
      <c r="J87" s="51" t="str">
        <f ca="1">CONCATENATE(CALC2223!AK86," ",CALC2223!AM86," ",CALC2223!AO86)</f>
        <v xml:space="preserve">  </v>
      </c>
      <c r="K87" s="51" t="str">
        <f ca="1">CONCATENATE(CALC2223!AQ86," ",CALC2223!AS86," ",CALC2223!AU86," ",CALC2223!AW86)</f>
        <v xml:space="preserve">ouderavond informatie profielkeuze   </v>
      </c>
      <c r="L87" s="52" t="str">
        <f t="shared" ca="1" si="0"/>
        <v>verleden</v>
      </c>
      <c r="M87" s="1"/>
      <c r="N87" s="4" t="b">
        <f ca="1">OR(VALUE(CALC2223!B86)&gt;VALUE(LASTV),VALUE(CALC2223!D86)&gt;VALUE(LASTV),VALUE(CALC2223!F86)&gt;VALUE(LASTV))</f>
        <v>0</v>
      </c>
      <c r="O87" s="4" t="b">
        <f ca="1">OR(VALUE(CALC2223!H86)&gt;VALUE(LASTV),VALUE(CALC2223!J86)&gt;VALUE(LASTV),VALUE(CALC2223!L86)&gt;VALUE(LASTV))</f>
        <v>0</v>
      </c>
      <c r="P87" s="4" t="b">
        <f ca="1">OR(VALUE(CALC2223!N86)&gt;VALUE(LASTV),VALUE(CALC2223!P86)&gt;VALUE(LASTV),VALUE(CALC2223!R86)&gt;VALUE(LASTV))</f>
        <v>0</v>
      </c>
      <c r="Q87" s="4" t="b">
        <f ca="1">OR(VALUE(CALC2223!T86)&gt;VALUE(LASTV),VALUE(CALC2223!V86)&gt;VALUE(LASTV),VALUE(CALC2223!X86)&gt;VALUE(LASTV))</f>
        <v>0</v>
      </c>
      <c r="R87" s="4" t="b">
        <f ca="1">OR(VALUE(CALC2223!Z86)&gt;VALUE(LASTV),VALUE(CALC2223!AB86)&gt;VALUE(LASTV),VALUE(CALC2223!AD86)&gt;VALUE(LASTV))</f>
        <v>0</v>
      </c>
      <c r="S87" s="4" t="b">
        <f ca="1">OR(VALUE(CALC2223!AF86)&gt;VALUE(LASTV),VALUE(CALC2223!AH86)&gt;VALUE(LASTV),VALUE(CALC2223!AJ86)&gt;VALUE(LASTV))</f>
        <v>0</v>
      </c>
      <c r="T87" s="4" t="b">
        <f ca="1">OR(VALUE(CALC2223!AL86)&gt;VALUE(LASTV),VALUE(CALC2223!AN86)&gt;VALUE(LASTV),VALUE(CALC2223!AP86)&gt;VALUE(LASTV))</f>
        <v>0</v>
      </c>
      <c r="U87" s="4" t="b">
        <f ca="1">OR(VALUE(CALC2223!AR86)&gt;VALUE(LASTV),VALUE(CALC2223!AT86)&gt;VALUE(LASTV),VALUE(CALC2223!AV86)&gt;VALUE(LASTV))</f>
        <v>0</v>
      </c>
      <c r="V87" s="1"/>
    </row>
    <row r="88" spans="1:22" ht="35.25" hidden="1" customHeight="1">
      <c r="A88" s="40"/>
      <c r="B88" s="41" t="s">
        <v>19</v>
      </c>
      <c r="C88" s="42">
        <v>45986</v>
      </c>
      <c r="D88" s="51" t="str">
        <f ca="1">CONCATENATE(CALC2223!A87," ",CALC2223!C87," ",CALC2223!E87)</f>
        <v xml:space="preserve">  </v>
      </c>
      <c r="E88" s="51" t="str">
        <f ca="1">CONCATENATE(CALC2223!G87," ",CALC2223!I87," ",CALC2223!K87)</f>
        <v xml:space="preserve">  </v>
      </c>
      <c r="F88" s="51" t="str">
        <f ca="1">CONCATENATE(CALC2223!M87," ",CALC2223!O87," ",CALC2223!Q87)</f>
        <v xml:space="preserve">week van de vakkenvoorlichting  </v>
      </c>
      <c r="G88" s="51" t="str">
        <f ca="1">CONCATENATE(CALC2223!S87," ",CALC2223!U87," ",CALC2223!W87)</f>
        <v xml:space="preserve">Rep GR  </v>
      </c>
      <c r="H88" s="51" t="str">
        <f ca="1">CONCATENATE(CALC2223!Y87," ",CALC2223!AA87," ",CALC2223!AC87)</f>
        <v xml:space="preserve">  </v>
      </c>
      <c r="I88" s="51" t="str">
        <f ca="1">CONCATENATE(CALC2223!AE87," ",CALC2223!AG87," ",CALC2223!AI87)</f>
        <v xml:space="preserve">KuBv groen licht  </v>
      </c>
      <c r="J88" s="51" t="str">
        <f ca="1">CONCATENATE(CALC2223!AK87," ",CALC2223!AM87," ",CALC2223!AO87)</f>
        <v xml:space="preserve">  </v>
      </c>
      <c r="K88" s="51" t="str">
        <f ca="1">CONCATENATE(CALC2223!AQ87," ",CALC2223!AS87," ",CALC2223!AU87," ",CALC2223!AW87)</f>
        <v xml:space="preserve">   </v>
      </c>
      <c r="L88" s="52" t="str">
        <f t="shared" ca="1" si="0"/>
        <v>verleden</v>
      </c>
      <c r="M88" s="1"/>
      <c r="N88" s="4" t="b">
        <f ca="1">OR(VALUE(CALC2223!B87)&gt;VALUE(LASTV),VALUE(CALC2223!D87)&gt;VALUE(LASTV),VALUE(CALC2223!F87)&gt;VALUE(LASTV))</f>
        <v>0</v>
      </c>
      <c r="O88" s="4" t="b">
        <f ca="1">OR(VALUE(CALC2223!H87)&gt;VALUE(LASTV),VALUE(CALC2223!J87)&gt;VALUE(LASTV),VALUE(CALC2223!L87)&gt;VALUE(LASTV))</f>
        <v>0</v>
      </c>
      <c r="P88" s="4" t="b">
        <f ca="1">OR(VALUE(CALC2223!N87)&gt;VALUE(LASTV),VALUE(CALC2223!P87)&gt;VALUE(LASTV),VALUE(CALC2223!R87)&gt;VALUE(LASTV))</f>
        <v>0</v>
      </c>
      <c r="Q88" s="4" t="b">
        <f ca="1">OR(VALUE(CALC2223!T87)&gt;VALUE(LASTV),VALUE(CALC2223!V87)&gt;VALUE(LASTV),VALUE(CALC2223!X87)&gt;VALUE(LASTV))</f>
        <v>0</v>
      </c>
      <c r="R88" s="4" t="b">
        <f ca="1">OR(VALUE(CALC2223!Z87)&gt;VALUE(LASTV),VALUE(CALC2223!AB87)&gt;VALUE(LASTV),VALUE(CALC2223!AD87)&gt;VALUE(LASTV))</f>
        <v>0</v>
      </c>
      <c r="S88" s="4" t="b">
        <f ca="1">OR(VALUE(CALC2223!AF87)&gt;VALUE(LASTV),VALUE(CALC2223!AH87)&gt;VALUE(LASTV),VALUE(CALC2223!AJ87)&gt;VALUE(LASTV))</f>
        <v>0</v>
      </c>
      <c r="T88" s="4" t="b">
        <f ca="1">OR(VALUE(CALC2223!AL87)&gt;VALUE(LASTV),VALUE(CALC2223!AN87)&gt;VALUE(LASTV),VALUE(CALC2223!AP87)&gt;VALUE(LASTV))</f>
        <v>0</v>
      </c>
      <c r="U88" s="4" t="b">
        <f ca="1">OR(VALUE(CALC2223!AR87)&gt;VALUE(LASTV),VALUE(CALC2223!AT87)&gt;VALUE(LASTV),VALUE(CALC2223!AV87)&gt;VALUE(LASTV))</f>
        <v>0</v>
      </c>
      <c r="V88" s="1"/>
    </row>
    <row r="89" spans="1:22" ht="35.25" hidden="1" customHeight="1">
      <c r="A89" s="40"/>
      <c r="B89" s="41" t="s">
        <v>20</v>
      </c>
      <c r="C89" s="42">
        <v>45987</v>
      </c>
      <c r="D89" s="51" t="str">
        <f ca="1">CONCATENATE(CALC2223!A88," ",CALC2223!C88," ",CALC2223!E88)</f>
        <v xml:space="preserve">Rep WIS  </v>
      </c>
      <c r="E89" s="51" t="str">
        <f ca="1">CONCATENATE(CALC2223!G88," ",CALC2223!I88," ",CALC2223!K88)</f>
        <v xml:space="preserve">  </v>
      </c>
      <c r="F89" s="51" t="str">
        <f ca="1">CONCATENATE(CALC2223!M88," ",CALC2223!O88," ",CALC2223!Q88)</f>
        <v xml:space="preserve">week van de vakkenvoorlichting  </v>
      </c>
      <c r="G89" s="51" t="str">
        <f ca="1">CONCATENATE(CALC2223!S88," ",CALC2223!U88," ",CALC2223!W88)</f>
        <v xml:space="preserve">  </v>
      </c>
      <c r="H89" s="51" t="str">
        <f ca="1">CONCATENATE(CALC2223!Y88," ",CALC2223!AA88," ",CALC2223!AC88)</f>
        <v xml:space="preserve">SE MAAT  </v>
      </c>
      <c r="I89" s="51" t="str">
        <f ca="1">CONCATENATE(CALC2223!AE88," ",CALC2223!AG88," ",CALC2223!AI88)</f>
        <v xml:space="preserve">  </v>
      </c>
      <c r="J89" s="51" t="str">
        <f ca="1">CONCATENATE(CALC2223!AK88," ",CALC2223!AM88," ",CALC2223!AO88)</f>
        <v xml:space="preserve">  </v>
      </c>
      <c r="K89" s="51" t="str">
        <f ca="1">CONCATENATE(CALC2223!AQ88," ",CALC2223!AS88," ",CALC2223!AU88," ",CALC2223!AW88)</f>
        <v xml:space="preserve">Studium Gymasiale   </v>
      </c>
      <c r="L89" s="52" t="str">
        <f t="shared" ca="1" si="0"/>
        <v>verleden</v>
      </c>
      <c r="M89" s="1"/>
      <c r="N89" s="4" t="b">
        <f ca="1">OR(VALUE(CALC2223!B88)&gt;VALUE(LASTV),VALUE(CALC2223!D88)&gt;VALUE(LASTV),VALUE(CALC2223!F88)&gt;VALUE(LASTV))</f>
        <v>0</v>
      </c>
      <c r="O89" s="4" t="b">
        <f ca="1">OR(VALUE(CALC2223!H88)&gt;VALUE(LASTV),VALUE(CALC2223!J88)&gt;VALUE(LASTV),VALUE(CALC2223!L88)&gt;VALUE(LASTV))</f>
        <v>0</v>
      </c>
      <c r="P89" s="4" t="b">
        <f ca="1">OR(VALUE(CALC2223!N88)&gt;VALUE(LASTV),VALUE(CALC2223!P88)&gt;VALUE(LASTV),VALUE(CALC2223!R88)&gt;VALUE(LASTV))</f>
        <v>0</v>
      </c>
      <c r="Q89" s="4" t="b">
        <f ca="1">OR(VALUE(CALC2223!T88)&gt;VALUE(LASTV),VALUE(CALC2223!V88)&gt;VALUE(LASTV),VALUE(CALC2223!X88)&gt;VALUE(LASTV))</f>
        <v>0</v>
      </c>
      <c r="R89" s="4" t="b">
        <f ca="1">OR(VALUE(CALC2223!Z88)&gt;VALUE(LASTV),VALUE(CALC2223!AB88)&gt;VALUE(LASTV),VALUE(CALC2223!AD88)&gt;VALUE(LASTV))</f>
        <v>0</v>
      </c>
      <c r="S89" s="4" t="b">
        <f ca="1">OR(VALUE(CALC2223!AF88)&gt;VALUE(LASTV),VALUE(CALC2223!AH88)&gt;VALUE(LASTV),VALUE(CALC2223!AJ88)&gt;VALUE(LASTV))</f>
        <v>0</v>
      </c>
      <c r="T89" s="4" t="b">
        <f ca="1">OR(VALUE(CALC2223!AL88)&gt;VALUE(LASTV),VALUE(CALC2223!AN88)&gt;VALUE(LASTV),VALUE(CALC2223!AP88)&gt;VALUE(LASTV))</f>
        <v>0</v>
      </c>
      <c r="U89" s="4" t="b">
        <f ca="1">OR(VALUE(CALC2223!AR88)&gt;VALUE(LASTV),VALUE(CALC2223!AT88)&gt;VALUE(LASTV),VALUE(CALC2223!AV88)&gt;VALUE(LASTV))</f>
        <v>0</v>
      </c>
      <c r="V89" s="1"/>
    </row>
    <row r="90" spans="1:22" ht="35.25" hidden="1" customHeight="1">
      <c r="A90" s="40"/>
      <c r="B90" s="41" t="s">
        <v>21</v>
      </c>
      <c r="C90" s="42">
        <v>45988</v>
      </c>
      <c r="D90" s="51" t="str">
        <f ca="1">CONCATENATE(CALC2223!A89," ",CALC2223!C89," ",CALC2223!E89)</f>
        <v xml:space="preserve">  </v>
      </c>
      <c r="E90" s="51" t="str">
        <f ca="1">CONCATENATE(CALC2223!G89," ",CALC2223!I89," ",CALC2223!K89)</f>
        <v xml:space="preserve">  </v>
      </c>
      <c r="F90" s="51" t="str">
        <f ca="1">CONCATENATE(CALC2223!M89," ",CALC2223!O89," ",CALC2223!Q89)</f>
        <v xml:space="preserve">week van de vakkenvoorlichting / REP GR </v>
      </c>
      <c r="G90" s="51" t="str">
        <f ca="1">CONCATENATE(CALC2223!S89," ",CALC2223!U89," ",CALC2223!W89)</f>
        <v xml:space="preserve">inh rep AK  </v>
      </c>
      <c r="H90" s="51" t="str">
        <f ca="1">CONCATENATE(CALC2223!Y89," ",CALC2223!AA89," ",CALC2223!AC89)</f>
        <v xml:space="preserve">inh rep EC  </v>
      </c>
      <c r="I90" s="51" t="str">
        <f ca="1">CONCATENATE(CALC2223!AE89," ",CALC2223!AG89," ",CALC2223!AI89)</f>
        <v xml:space="preserve">LO2:3  </v>
      </c>
      <c r="J90" s="51" t="str">
        <f ca="1">CONCATENATE(CALC2223!AK89," ",CALC2223!AM89," ",CALC2223!AO89)</f>
        <v xml:space="preserve">commissies#3/MR#2  </v>
      </c>
      <c r="K90" s="51" t="str">
        <f ca="1">CONCATENATE(CALC2223!AQ89," ",CALC2223!AS89," ",CALC2223!AU89," ",CALC2223!AW89)</f>
        <v xml:space="preserve">   </v>
      </c>
      <c r="L90" s="52" t="str">
        <f t="shared" ca="1" si="0"/>
        <v>verleden</v>
      </c>
      <c r="M90" s="1"/>
      <c r="N90" s="4" t="b">
        <f ca="1">OR(VALUE(CALC2223!B89)&gt;VALUE(LASTV),VALUE(CALC2223!D89)&gt;VALUE(LASTV),VALUE(CALC2223!F89)&gt;VALUE(LASTV))</f>
        <v>0</v>
      </c>
      <c r="O90" s="4" t="b">
        <f ca="1">OR(VALUE(CALC2223!H89)&gt;VALUE(LASTV),VALUE(CALC2223!J89)&gt;VALUE(LASTV),VALUE(CALC2223!L89)&gt;VALUE(LASTV))</f>
        <v>0</v>
      </c>
      <c r="P90" s="4" t="b">
        <f ca="1">OR(VALUE(CALC2223!N89)&gt;VALUE(LASTV),VALUE(CALC2223!P89)&gt;VALUE(LASTV),VALUE(CALC2223!R89)&gt;VALUE(LASTV))</f>
        <v>0</v>
      </c>
      <c r="Q90" s="4" t="b">
        <f ca="1">OR(VALUE(CALC2223!T89)&gt;VALUE(LASTV),VALUE(CALC2223!V89)&gt;VALUE(LASTV),VALUE(CALC2223!X89)&gt;VALUE(LASTV))</f>
        <v>0</v>
      </c>
      <c r="R90" s="4" t="b">
        <f ca="1">OR(VALUE(CALC2223!Z89)&gt;VALUE(LASTV),VALUE(CALC2223!AB89)&gt;VALUE(LASTV),VALUE(CALC2223!AD89)&gt;VALUE(LASTV))</f>
        <v>0</v>
      </c>
      <c r="S90" s="4" t="b">
        <f ca="1">OR(VALUE(CALC2223!AF89)&gt;VALUE(LASTV),VALUE(CALC2223!AH89)&gt;VALUE(LASTV),VALUE(CALC2223!AJ89)&gt;VALUE(LASTV))</f>
        <v>0</v>
      </c>
      <c r="T90" s="4" t="b">
        <f ca="1">OR(VALUE(CALC2223!AL89)&gt;VALUE(LASTV),VALUE(CALC2223!AN89)&gt;VALUE(LASTV),VALUE(CALC2223!AP89)&gt;VALUE(LASTV))</f>
        <v>0</v>
      </c>
      <c r="U90" s="4" t="b">
        <f ca="1">OR(VALUE(CALC2223!AR89)&gt;VALUE(LASTV),VALUE(CALC2223!AT89)&gt;VALUE(LASTV),VALUE(CALC2223!AV89)&gt;VALUE(LASTV))</f>
        <v>0</v>
      </c>
      <c r="V90" s="1"/>
    </row>
    <row r="91" spans="1:22" ht="35.25" hidden="1" customHeight="1">
      <c r="A91" s="40"/>
      <c r="B91" s="41" t="s">
        <v>22</v>
      </c>
      <c r="C91" s="42">
        <v>45989</v>
      </c>
      <c r="D91" s="51" t="str">
        <f ca="1">CONCATENATE(CALC2223!A90," ",CALC2223!C90," ",CALC2223!E90)</f>
        <v xml:space="preserve">Sinterklaasfeest  </v>
      </c>
      <c r="E91" s="51" t="str">
        <f ca="1">CONCATENATE(CALC2223!G90," ",CALC2223!I90," ",CALC2223!K90)</f>
        <v xml:space="preserve">Rep FA  </v>
      </c>
      <c r="F91" s="51" t="str">
        <f ca="1">CONCATENATE(CALC2223!M90," ",CALC2223!O90," ",CALC2223!Q90)</f>
        <v xml:space="preserve">week van de vakkenvoorlichting  </v>
      </c>
      <c r="G91" s="51" t="str">
        <f ca="1">CONCATENATE(CALC2223!S90," ",CALC2223!U90," ",CALC2223!W90)</f>
        <v xml:space="preserve">Rep WIABC Bezoek studiebeurs Jaarbeurs </v>
      </c>
      <c r="H91" s="51" t="str">
        <f ca="1">CONCATENATE(CALC2223!Y90," ",CALC2223!AA90," ",CALC2223!AC90)</f>
        <v xml:space="preserve">  </v>
      </c>
      <c r="I91" s="51" t="str">
        <f ca="1">CONCATENATE(CALC2223!AE90," ",CALC2223!AG90," ",CALC2223!AI90)</f>
        <v xml:space="preserve">  </v>
      </c>
      <c r="J91" s="51" t="str">
        <f ca="1">CONCATENATE(CALC2223!AK90," ",CALC2223!AM90," ",CALC2223!AO90)</f>
        <v xml:space="preserve">  </v>
      </c>
      <c r="K91" s="51" t="str">
        <f ca="1">CONCATENATE(CALC2223!AQ90," ",CALC2223!AS90," ",CALC2223!AU90," ",CALC2223!AW90)</f>
        <v xml:space="preserve">   </v>
      </c>
      <c r="L91" s="52" t="str">
        <f t="shared" ca="1" si="0"/>
        <v>verleden</v>
      </c>
      <c r="M91" s="1"/>
      <c r="N91" s="4" t="b">
        <f ca="1">OR(VALUE(CALC2223!B90)&gt;VALUE(LASTV),VALUE(CALC2223!D90)&gt;VALUE(LASTV),VALUE(CALC2223!F90)&gt;VALUE(LASTV))</f>
        <v>0</v>
      </c>
      <c r="O91" s="4" t="b">
        <f ca="1">OR(VALUE(CALC2223!H90)&gt;VALUE(LASTV),VALUE(CALC2223!J90)&gt;VALUE(LASTV),VALUE(CALC2223!L90)&gt;VALUE(LASTV))</f>
        <v>0</v>
      </c>
      <c r="P91" s="4" t="b">
        <f ca="1">OR(VALUE(CALC2223!N90)&gt;VALUE(LASTV),VALUE(CALC2223!P90)&gt;VALUE(LASTV),VALUE(CALC2223!R90)&gt;VALUE(LASTV))</f>
        <v>0</v>
      </c>
      <c r="Q91" s="4" t="b">
        <f ca="1">OR(VALUE(CALC2223!T90)&gt;VALUE(LASTV),VALUE(CALC2223!V90)&gt;VALUE(LASTV),VALUE(CALC2223!X90)&gt;VALUE(LASTV))</f>
        <v>0</v>
      </c>
      <c r="R91" s="4" t="b">
        <f ca="1">OR(VALUE(CALC2223!Z90)&gt;VALUE(LASTV),VALUE(CALC2223!AB90)&gt;VALUE(LASTV),VALUE(CALC2223!AD90)&gt;VALUE(LASTV))</f>
        <v>0</v>
      </c>
      <c r="S91" s="4" t="b">
        <f ca="1">OR(VALUE(CALC2223!AF90)&gt;VALUE(LASTV),VALUE(CALC2223!AH90)&gt;VALUE(LASTV),VALUE(CALC2223!AJ90)&gt;VALUE(LASTV))</f>
        <v>0</v>
      </c>
      <c r="T91" s="4" t="b">
        <f ca="1">OR(VALUE(CALC2223!AL90)&gt;VALUE(LASTV),VALUE(CALC2223!AN90)&gt;VALUE(LASTV),VALUE(CALC2223!AP90)&gt;VALUE(LASTV))</f>
        <v>0</v>
      </c>
      <c r="U91" s="4" t="b">
        <f ca="1">OR(VALUE(CALC2223!AR90)&gt;VALUE(LASTV),VALUE(CALC2223!AT90)&gt;VALUE(LASTV),VALUE(CALC2223!AV90)&gt;VALUE(LASTV))</f>
        <v>0</v>
      </c>
      <c r="V91" s="1"/>
    </row>
    <row r="92" spans="1:22" ht="35.25" hidden="1" customHeight="1">
      <c r="A92" s="45"/>
      <c r="B92" s="46" t="s">
        <v>23</v>
      </c>
      <c r="C92" s="47">
        <v>45990</v>
      </c>
      <c r="D92" s="48" t="str">
        <f ca="1">CONCATENATE(CALC2223!A91," ",CALC2223!C91," ",CALC2223!E91)</f>
        <v xml:space="preserve">  </v>
      </c>
      <c r="E92" s="48" t="str">
        <f ca="1">CONCATENATE(CALC2223!G91," ",CALC2223!I91," ",CALC2223!K91)</f>
        <v xml:space="preserve">  </v>
      </c>
      <c r="F92" s="48" t="str">
        <f ca="1">CONCATENATE(CALC2223!M91," ",CALC2223!O91," ",CALC2223!Q91)</f>
        <v xml:space="preserve">  </v>
      </c>
      <c r="G92" s="48" t="str">
        <f ca="1">CONCATENATE(CALC2223!S91," ",CALC2223!U91," ",CALC2223!W91)</f>
        <v xml:space="preserve">  </v>
      </c>
      <c r="H92" s="48" t="str">
        <f ca="1">CONCATENATE(CALC2223!Y91," ",CALC2223!AA91," ",CALC2223!AC91)</f>
        <v xml:space="preserve">  </v>
      </c>
      <c r="I92" s="48" t="str">
        <f ca="1">CONCATENATE(CALC2223!AE91," ",CALC2223!AG91," ",CALC2223!AI91)</f>
        <v xml:space="preserve">  </v>
      </c>
      <c r="J92" s="48" t="str">
        <f ca="1">CONCATENATE(CALC2223!AK91," ",CALC2223!AM91," ",CALC2223!AO91)</f>
        <v xml:space="preserve">  </v>
      </c>
      <c r="K92" s="48" t="str">
        <f ca="1">CONCATENATE(CALC2223!AQ91," ",CALC2223!AS91," ",CALC2223!AU91," ",CALC2223!AW91)</f>
        <v xml:space="preserve">   </v>
      </c>
      <c r="L92" s="49" t="str">
        <f t="shared" ca="1" si="0"/>
        <v>verleden</v>
      </c>
      <c r="M92" s="1"/>
      <c r="N92" s="4" t="b">
        <f ca="1">OR(VALUE(CALC2223!B91)&gt;VALUE(LASTV),VALUE(CALC2223!D91)&gt;VALUE(LASTV),VALUE(CALC2223!F91)&gt;VALUE(LASTV))</f>
        <v>0</v>
      </c>
      <c r="O92" s="4" t="b">
        <f ca="1">OR(VALUE(CALC2223!H91)&gt;VALUE(LASTV),VALUE(CALC2223!J91)&gt;VALUE(LASTV),VALUE(CALC2223!L91)&gt;VALUE(LASTV))</f>
        <v>0</v>
      </c>
      <c r="P92" s="4" t="b">
        <f ca="1">OR(VALUE(CALC2223!N91)&gt;VALUE(LASTV),VALUE(CALC2223!P91)&gt;VALUE(LASTV),VALUE(CALC2223!R91)&gt;VALUE(LASTV))</f>
        <v>0</v>
      </c>
      <c r="Q92" s="4" t="b">
        <f ca="1">OR(VALUE(CALC2223!T91)&gt;VALUE(LASTV),VALUE(CALC2223!V91)&gt;VALUE(LASTV),VALUE(CALC2223!X91)&gt;VALUE(LASTV))</f>
        <v>0</v>
      </c>
      <c r="R92" s="4" t="b">
        <f ca="1">OR(VALUE(CALC2223!Z91)&gt;VALUE(LASTV),VALUE(CALC2223!AB91)&gt;VALUE(LASTV),VALUE(CALC2223!AD91)&gt;VALUE(LASTV))</f>
        <v>0</v>
      </c>
      <c r="S92" s="4" t="b">
        <f ca="1">OR(VALUE(CALC2223!AF91)&gt;VALUE(LASTV),VALUE(CALC2223!AH91)&gt;VALUE(LASTV),VALUE(CALC2223!AJ91)&gt;VALUE(LASTV))</f>
        <v>0</v>
      </c>
      <c r="T92" s="4" t="b">
        <f ca="1">OR(VALUE(CALC2223!AL91)&gt;VALUE(LASTV),VALUE(CALC2223!AN91)&gt;VALUE(LASTV),VALUE(CALC2223!AP91)&gt;VALUE(LASTV))</f>
        <v>0</v>
      </c>
      <c r="U92" s="4" t="b">
        <f ca="1">OR(VALUE(CALC2223!AR91)&gt;VALUE(LASTV),VALUE(CALC2223!AT91)&gt;VALUE(LASTV),VALUE(CALC2223!AV91)&gt;VALUE(LASTV))</f>
        <v>0</v>
      </c>
      <c r="V92" s="1"/>
    </row>
    <row r="93" spans="1:22" ht="35.25" hidden="1" customHeight="1">
      <c r="A93" s="45"/>
      <c r="B93" s="46" t="s">
        <v>24</v>
      </c>
      <c r="C93" s="47">
        <v>45991</v>
      </c>
      <c r="D93" s="48" t="str">
        <f ca="1">CONCATENATE(CALC2223!A92," ",CALC2223!C92," ",CALC2223!E92)</f>
        <v xml:space="preserve">  </v>
      </c>
      <c r="E93" s="48" t="str">
        <f ca="1">CONCATENATE(CALC2223!G92," ",CALC2223!I92," ",CALC2223!K92)</f>
        <v xml:space="preserve">  </v>
      </c>
      <c r="F93" s="48" t="str">
        <f ca="1">CONCATENATE(CALC2223!M92," ",CALC2223!O92," ",CALC2223!Q92)</f>
        <v xml:space="preserve">  </v>
      </c>
      <c r="G93" s="48" t="str">
        <f ca="1">CONCATENATE(CALC2223!S92," ",CALC2223!U92," ",CALC2223!W92)</f>
        <v xml:space="preserve">  </v>
      </c>
      <c r="H93" s="48" t="str">
        <f ca="1">CONCATENATE(CALC2223!Y92," ",CALC2223!AA92," ",CALC2223!AC92)</f>
        <v xml:space="preserve">  </v>
      </c>
      <c r="I93" s="48" t="str">
        <f ca="1">CONCATENATE(CALC2223!AE92," ",CALC2223!AG92," ",CALC2223!AI92)</f>
        <v xml:space="preserve">  </v>
      </c>
      <c r="J93" s="48" t="str">
        <f ca="1">CONCATENATE(CALC2223!AK92," ",CALC2223!AM92," ",CALC2223!AO92)</f>
        <v xml:space="preserve">  </v>
      </c>
      <c r="K93" s="48" t="str">
        <f ca="1">CONCATENATE(CALC2223!AQ92," ",CALC2223!AS92," ",CALC2223!AU92," ",CALC2223!AW92)</f>
        <v xml:space="preserve">   </v>
      </c>
      <c r="L93" s="49" t="str">
        <f t="shared" ca="1" si="0"/>
        <v>verleden</v>
      </c>
      <c r="M93" s="1"/>
      <c r="N93" s="4" t="b">
        <f ca="1">OR(VALUE(CALC2223!B92)&gt;VALUE(LASTV),VALUE(CALC2223!D92)&gt;VALUE(LASTV),VALUE(CALC2223!F92)&gt;VALUE(LASTV))</f>
        <v>0</v>
      </c>
      <c r="O93" s="4" t="b">
        <f ca="1">OR(VALUE(CALC2223!H92)&gt;VALUE(LASTV),VALUE(CALC2223!J92)&gt;VALUE(LASTV),VALUE(CALC2223!L92)&gt;VALUE(LASTV))</f>
        <v>0</v>
      </c>
      <c r="P93" s="4" t="b">
        <f ca="1">OR(VALUE(CALC2223!N92)&gt;VALUE(LASTV),VALUE(CALC2223!P92)&gt;VALUE(LASTV),VALUE(CALC2223!R92)&gt;VALUE(LASTV))</f>
        <v>0</v>
      </c>
      <c r="Q93" s="4" t="b">
        <f ca="1">OR(VALUE(CALC2223!T92)&gt;VALUE(LASTV),VALUE(CALC2223!V92)&gt;VALUE(LASTV),VALUE(CALC2223!X92)&gt;VALUE(LASTV))</f>
        <v>0</v>
      </c>
      <c r="R93" s="4" t="b">
        <f ca="1">OR(VALUE(CALC2223!Z92)&gt;VALUE(LASTV),VALUE(CALC2223!AB92)&gt;VALUE(LASTV),VALUE(CALC2223!AD92)&gt;VALUE(LASTV))</f>
        <v>0</v>
      </c>
      <c r="S93" s="4" t="b">
        <f ca="1">OR(VALUE(CALC2223!AF92)&gt;VALUE(LASTV),VALUE(CALC2223!AH92)&gt;VALUE(LASTV),VALUE(CALC2223!AJ92)&gt;VALUE(LASTV))</f>
        <v>0</v>
      </c>
      <c r="T93" s="4" t="b">
        <f ca="1">OR(VALUE(CALC2223!AL92)&gt;VALUE(LASTV),VALUE(CALC2223!AN92)&gt;VALUE(LASTV),VALUE(CALC2223!AP92)&gt;VALUE(LASTV))</f>
        <v>0</v>
      </c>
      <c r="U93" s="4" t="b">
        <f ca="1">OR(VALUE(CALC2223!AR92)&gt;VALUE(LASTV),VALUE(CALC2223!AT92)&gt;VALUE(LASTV),VALUE(CALC2223!AV92)&gt;VALUE(LASTV))</f>
        <v>0</v>
      </c>
      <c r="V93" s="1"/>
    </row>
    <row r="94" spans="1:22" ht="35.25" hidden="1" customHeight="1">
      <c r="A94" s="50">
        <v>49</v>
      </c>
      <c r="B94" s="41" t="s">
        <v>18</v>
      </c>
      <c r="C94" s="42">
        <v>45992</v>
      </c>
      <c r="D94" s="51" t="str">
        <f ca="1">CONCATENATE(CALC2223!A93," ",CALC2223!C93," ",CALC2223!E93)</f>
        <v xml:space="preserve">  </v>
      </c>
      <c r="E94" s="51" t="str">
        <f ca="1">CONCATENATE(CALC2223!G93," ",CALC2223!I93," ",CALC2223!K93)</f>
        <v xml:space="preserve">  </v>
      </c>
      <c r="F94" s="51" t="str">
        <f ca="1">CONCATENATE(CALC2223!M93," ",CALC2223!O93," ",CALC2223!Q93)</f>
        <v xml:space="preserve">  </v>
      </c>
      <c r="G94" s="51" t="str">
        <f ca="1">CONCATENATE(CALC2223!S93," ",CALC2223!U93," ",CALC2223!W93)</f>
        <v xml:space="preserve">  </v>
      </c>
      <c r="H94" s="51" t="str">
        <f ca="1">CONCATENATE(CALC2223!Y93," ",CALC2223!AA93," ",CALC2223!AC93)</f>
        <v xml:space="preserve">inh SE AC rep FA </v>
      </c>
      <c r="I94" s="51" t="str">
        <f ca="1">CONCATENATE(CALC2223!AE93," ",CALC2223!AG93," ",CALC2223!AI93)</f>
        <v xml:space="preserve">  </v>
      </c>
      <c r="J94" s="51" t="str">
        <f ca="1">CONCATENATE(CALC2223!AK93," ",CALC2223!AM93," ",CALC2223!AO93)</f>
        <v xml:space="preserve">  </v>
      </c>
      <c r="K94" s="51" t="str">
        <f ca="1">CONCATENATE(CALC2223!AQ93," ",CALC2223!AS93," ",CALC2223!AU93," ",CALC2223!AW93)</f>
        <v xml:space="preserve">start cijferperiode 2   </v>
      </c>
      <c r="L94" s="52" t="str">
        <f t="shared" ca="1" si="0"/>
        <v>verleden</v>
      </c>
      <c r="M94" s="1"/>
      <c r="N94" s="4" t="b">
        <f ca="1">OR(VALUE(CALC2223!B93)&gt;VALUE(LASTV),VALUE(CALC2223!D93)&gt;VALUE(LASTV),VALUE(CALC2223!F93)&gt;VALUE(LASTV))</f>
        <v>0</v>
      </c>
      <c r="O94" s="4" t="b">
        <f ca="1">OR(VALUE(CALC2223!H93)&gt;VALUE(LASTV),VALUE(CALC2223!J93)&gt;VALUE(LASTV),VALUE(CALC2223!L93)&gt;VALUE(LASTV))</f>
        <v>0</v>
      </c>
      <c r="P94" s="4" t="b">
        <f ca="1">OR(VALUE(CALC2223!N93)&gt;VALUE(LASTV),VALUE(CALC2223!P93)&gt;VALUE(LASTV),VALUE(CALC2223!R93)&gt;VALUE(LASTV))</f>
        <v>0</v>
      </c>
      <c r="Q94" s="4" t="b">
        <f ca="1">OR(VALUE(CALC2223!T93)&gt;VALUE(LASTV),VALUE(CALC2223!V93)&gt;VALUE(LASTV),VALUE(CALC2223!X93)&gt;VALUE(LASTV))</f>
        <v>0</v>
      </c>
      <c r="R94" s="4" t="b">
        <f ca="1">OR(VALUE(CALC2223!Z93)&gt;VALUE(LASTV),VALUE(CALC2223!AB93)&gt;VALUE(LASTV),VALUE(CALC2223!AD93)&gt;VALUE(LASTV))</f>
        <v>0</v>
      </c>
      <c r="S94" s="4" t="b">
        <f ca="1">OR(VALUE(CALC2223!AF93)&gt;VALUE(LASTV),VALUE(CALC2223!AH93)&gt;VALUE(LASTV),VALUE(CALC2223!AJ93)&gt;VALUE(LASTV))</f>
        <v>0</v>
      </c>
      <c r="T94" s="4" t="b">
        <f ca="1">OR(VALUE(CALC2223!AL93)&gt;VALUE(LASTV),VALUE(CALC2223!AN93)&gt;VALUE(LASTV),VALUE(CALC2223!AP93)&gt;VALUE(LASTV))</f>
        <v>0</v>
      </c>
      <c r="U94" s="4" t="b">
        <f ca="1">OR(VALUE(CALC2223!AR93)&gt;VALUE(LASTV),VALUE(CALC2223!AT93)&gt;VALUE(LASTV),VALUE(CALC2223!AV93)&gt;VALUE(LASTV))</f>
        <v>0</v>
      </c>
      <c r="V94" s="1"/>
    </row>
    <row r="95" spans="1:22" ht="35.25" hidden="1" customHeight="1">
      <c r="A95" s="40"/>
      <c r="B95" s="41" t="s">
        <v>19</v>
      </c>
      <c r="C95" s="42">
        <v>45993</v>
      </c>
      <c r="D95" s="51" t="str">
        <f ca="1">CONCATENATE(CALC2223!A94," ",CALC2223!C94," ",CALC2223!E94)</f>
        <v xml:space="preserve">  </v>
      </c>
      <c r="E95" s="51" t="str">
        <f ca="1">CONCATENATE(CALC2223!G94," ",CALC2223!I94," ",CALC2223!K94)</f>
        <v xml:space="preserve">  </v>
      </c>
      <c r="F95" s="51" t="str">
        <f ca="1">CONCATENATE(CALC2223!M94," ",CALC2223!O94," ",CALC2223!Q94)</f>
        <v xml:space="preserve">  </v>
      </c>
      <c r="G95" s="51" t="str">
        <f ca="1">CONCATENATE(CALC2223!S94," ",CALC2223!U94," ",CALC2223!W94)</f>
        <v xml:space="preserve">Rep NA  </v>
      </c>
      <c r="H95" s="51" t="str">
        <f ca="1">CONCATENATE(CALC2223!Y94," ",CALC2223!AA94," ",CALC2223!AC94)</f>
        <v xml:space="preserve">  </v>
      </c>
      <c r="I95" s="51" t="str">
        <f ca="1">CONCATENATE(CALC2223!AE94," ",CALC2223!AG94," ",CALC2223!AI94)</f>
        <v xml:space="preserve">  </v>
      </c>
      <c r="J95" s="51" t="str">
        <f ca="1">CONCATENATE(CALC2223!AK94," ",CALC2223!AM94," ",CALC2223!AO94)</f>
        <v xml:space="preserve">animus ouderavond  </v>
      </c>
      <c r="K95" s="51" t="str">
        <f ca="1">CONCATENATE(CALC2223!AQ94," ",CALC2223!AS94," ",CALC2223!AU94," ",CALC2223!AW94)</f>
        <v xml:space="preserve">   </v>
      </c>
      <c r="L95" s="52" t="str">
        <f t="shared" ca="1" si="0"/>
        <v>verleden</v>
      </c>
      <c r="M95" s="1"/>
      <c r="N95" s="4" t="b">
        <f ca="1">OR(VALUE(CALC2223!B94)&gt;VALUE(LASTV),VALUE(CALC2223!D94)&gt;VALUE(LASTV),VALUE(CALC2223!F94)&gt;VALUE(LASTV))</f>
        <v>0</v>
      </c>
      <c r="O95" s="4" t="b">
        <f ca="1">OR(VALUE(CALC2223!H94)&gt;VALUE(LASTV),VALUE(CALC2223!J94)&gt;VALUE(LASTV),VALUE(CALC2223!L94)&gt;VALUE(LASTV))</f>
        <v>0</v>
      </c>
      <c r="P95" s="4" t="b">
        <f ca="1">OR(VALUE(CALC2223!N94)&gt;VALUE(LASTV),VALUE(CALC2223!P94)&gt;VALUE(LASTV),VALUE(CALC2223!R94)&gt;VALUE(LASTV))</f>
        <v>0</v>
      </c>
      <c r="Q95" s="4" t="b">
        <f ca="1">OR(VALUE(CALC2223!T94)&gt;VALUE(LASTV),VALUE(CALC2223!V94)&gt;VALUE(LASTV),VALUE(CALC2223!X94)&gt;VALUE(LASTV))</f>
        <v>0</v>
      </c>
      <c r="R95" s="4" t="b">
        <f ca="1">OR(VALUE(CALC2223!Z94)&gt;VALUE(LASTV),VALUE(CALC2223!AB94)&gt;VALUE(LASTV),VALUE(CALC2223!AD94)&gt;VALUE(LASTV))</f>
        <v>0</v>
      </c>
      <c r="S95" s="4" t="b">
        <f ca="1">OR(VALUE(CALC2223!AF94)&gt;VALUE(LASTV),VALUE(CALC2223!AH94)&gt;VALUE(LASTV),VALUE(CALC2223!AJ94)&gt;VALUE(LASTV))</f>
        <v>0</v>
      </c>
      <c r="T95" s="4" t="b">
        <f ca="1">OR(VALUE(CALC2223!AL94)&gt;VALUE(LASTV),VALUE(CALC2223!AN94)&gt;VALUE(LASTV),VALUE(CALC2223!AP94)&gt;VALUE(LASTV))</f>
        <v>0</v>
      </c>
      <c r="U95" s="4" t="b">
        <f ca="1">OR(VALUE(CALC2223!AR94)&gt;VALUE(LASTV),VALUE(CALC2223!AT94)&gt;VALUE(LASTV),VALUE(CALC2223!AV94)&gt;VALUE(LASTV))</f>
        <v>0</v>
      </c>
      <c r="V95" s="1"/>
    </row>
    <row r="96" spans="1:22" ht="35.25" hidden="1" customHeight="1">
      <c r="A96" s="40"/>
      <c r="B96" s="41" t="s">
        <v>20</v>
      </c>
      <c r="C96" s="42">
        <v>45994</v>
      </c>
      <c r="D96" s="51" t="str">
        <f ca="1">CONCATENATE(CALC2223!A95," ",CALC2223!C95," ",CALC2223!E95)</f>
        <v xml:space="preserve">Rep EN  </v>
      </c>
      <c r="E96" s="51" t="str">
        <f ca="1">CONCATENATE(CALC2223!G95," ",CALC2223!I95," ",CALC2223!K95)</f>
        <v xml:space="preserve">  </v>
      </c>
      <c r="F96" s="51" t="str">
        <f ca="1">CONCATENATE(CALC2223!M95," ",CALC2223!O95," ",CALC2223!Q95)</f>
        <v xml:space="preserve">  </v>
      </c>
      <c r="G96" s="51" t="str">
        <f ca="1">CONCATENATE(CALC2223!S95," ",CALC2223!U95," ",CALC2223!W95)</f>
        <v xml:space="preserve">  </v>
      </c>
      <c r="H96" s="51" t="str">
        <f ca="1">CONCATENATE(CALC2223!Y95," ",CALC2223!AA95," ",CALC2223!AC95)</f>
        <v xml:space="preserve">SE WIA  </v>
      </c>
      <c r="I96" s="51" t="str">
        <f ca="1">CONCATENATE(CALC2223!AE95," ",CALC2223!AG95," ",CALC2223!AI95)</f>
        <v xml:space="preserve">  </v>
      </c>
      <c r="J96" s="51" t="str">
        <f ca="1">CONCATENATE(CALC2223!AK95," ",CALC2223!AM95," ",CALC2223!AO95)</f>
        <v xml:space="preserve">rleg burgerschap optie  </v>
      </c>
      <c r="K96" s="51" t="str">
        <f ca="1">CONCATENATE(CALC2223!AQ95," ",CALC2223!AS95," ",CALC2223!AU95," ",CALC2223!AW95)</f>
        <v xml:space="preserve">   </v>
      </c>
      <c r="L96" s="52" t="str">
        <f t="shared" ca="1" si="0"/>
        <v>verleden</v>
      </c>
      <c r="M96" s="1"/>
      <c r="N96" s="4" t="b">
        <f ca="1">OR(VALUE(CALC2223!B95)&gt;VALUE(LASTV),VALUE(CALC2223!D95)&gt;VALUE(LASTV),VALUE(CALC2223!F95)&gt;VALUE(LASTV))</f>
        <v>0</v>
      </c>
      <c r="O96" s="4" t="b">
        <f ca="1">OR(VALUE(CALC2223!H95)&gt;VALUE(LASTV),VALUE(CALC2223!J95)&gt;VALUE(LASTV),VALUE(CALC2223!L95)&gt;VALUE(LASTV))</f>
        <v>0</v>
      </c>
      <c r="P96" s="4" t="b">
        <f ca="1">OR(VALUE(CALC2223!N95)&gt;VALUE(LASTV),VALUE(CALC2223!P95)&gt;VALUE(LASTV),VALUE(CALC2223!R95)&gt;VALUE(LASTV))</f>
        <v>0</v>
      </c>
      <c r="Q96" s="4" t="b">
        <f ca="1">OR(VALUE(CALC2223!T95)&gt;VALUE(LASTV),VALUE(CALC2223!V95)&gt;VALUE(LASTV),VALUE(CALC2223!X95)&gt;VALUE(LASTV))</f>
        <v>0</v>
      </c>
      <c r="R96" s="4" t="b">
        <f ca="1">OR(VALUE(CALC2223!Z95)&gt;VALUE(LASTV),VALUE(CALC2223!AB95)&gt;VALUE(LASTV),VALUE(CALC2223!AD95)&gt;VALUE(LASTV))</f>
        <v>0</v>
      </c>
      <c r="S96" s="4" t="b">
        <f ca="1">OR(VALUE(CALC2223!AF95)&gt;VALUE(LASTV),VALUE(CALC2223!AH95)&gt;VALUE(LASTV),VALUE(CALC2223!AJ95)&gt;VALUE(LASTV))</f>
        <v>0</v>
      </c>
      <c r="T96" s="4" t="b">
        <f ca="1">OR(VALUE(CALC2223!AL95)&gt;VALUE(LASTV),VALUE(CALC2223!AN95)&gt;VALUE(LASTV),VALUE(CALC2223!AP95)&gt;VALUE(LASTV))</f>
        <v>0</v>
      </c>
      <c r="U96" s="4" t="b">
        <f ca="1">OR(VALUE(CALC2223!AR95)&gt;VALUE(LASTV),VALUE(CALC2223!AT95)&gt;VALUE(LASTV),VALUE(CALC2223!AV95)&gt;VALUE(LASTV))</f>
        <v>0</v>
      </c>
      <c r="V96" s="1"/>
    </row>
    <row r="97" spans="1:22" ht="50.25" hidden="1" customHeight="1">
      <c r="A97" s="40"/>
      <c r="B97" s="41" t="s">
        <v>21</v>
      </c>
      <c r="C97" s="42">
        <v>45995</v>
      </c>
      <c r="D97" s="51" t="str">
        <f ca="1">CONCATENATE(CALC2223!A96," ",CALC2223!C96," ",CALC2223!E96)</f>
        <v xml:space="preserve">  </v>
      </c>
      <c r="E97" s="51" t="str">
        <f ca="1">CONCATENATE(CALC2223!G96," ",CALC2223!I96," ",CALC2223!K96)</f>
        <v xml:space="preserve">  </v>
      </c>
      <c r="F97" s="51" t="str">
        <f ca="1">CONCATENATE(CALC2223!M96," ",CALC2223!O96," ",CALC2223!Q96)</f>
        <v xml:space="preserve">Rep DUI  </v>
      </c>
      <c r="G97" s="51" t="str">
        <f ca="1">CONCATENATE(CALC2223!S96," ",CALC2223!U96," ",CALC2223!W96)</f>
        <v xml:space="preserve">SE ANW inh rep BI </v>
      </c>
      <c r="H97" s="51" t="str">
        <f ca="1">CONCATENATE(CALC2223!Y96," ",CALC2223!AA96," ",CALC2223!AC96)</f>
        <v xml:space="preserve">inh rep NA  </v>
      </c>
      <c r="I97" s="51" t="str">
        <f ca="1">CONCATENATE(CALC2223!AE96," ",CALC2223!AG96," ",CALC2223!AI96)</f>
        <v xml:space="preserve">LO2:4  </v>
      </c>
      <c r="J97" s="51" t="str">
        <f ca="1">CONCATENATE(CALC2223!AK96," ",CALC2223!AM96," ",CALC2223!AO96)</f>
        <v xml:space="preserve">30'-rooster/docentenspreekmomenten 13.30-16.30  </v>
      </c>
      <c r="K97" s="51" t="str">
        <f ca="1">CONCATENATE(CALC2223!AQ96," ",CALC2223!AS96," ",CALC2223!AU96," ",CALC2223!AW96)</f>
        <v xml:space="preserve">30'-rooster/docentenspreekmomenten 13.30-16.30 info-avond ouders groep 8  </v>
      </c>
      <c r="L97" s="52" t="str">
        <f t="shared" ca="1" si="0"/>
        <v>verleden</v>
      </c>
      <c r="M97" s="1"/>
      <c r="N97" s="4" t="b">
        <f ca="1">OR(VALUE(CALC2223!B96)&gt;VALUE(LASTV),VALUE(CALC2223!D96)&gt;VALUE(LASTV),VALUE(CALC2223!F96)&gt;VALUE(LASTV))</f>
        <v>0</v>
      </c>
      <c r="O97" s="4" t="b">
        <f ca="1">OR(VALUE(CALC2223!H96)&gt;VALUE(LASTV),VALUE(CALC2223!J96)&gt;VALUE(LASTV),VALUE(CALC2223!L96)&gt;VALUE(LASTV))</f>
        <v>0</v>
      </c>
      <c r="P97" s="4" t="b">
        <f ca="1">OR(VALUE(CALC2223!N96)&gt;VALUE(LASTV),VALUE(CALC2223!P96)&gt;VALUE(LASTV),VALUE(CALC2223!R96)&gt;VALUE(LASTV))</f>
        <v>0</v>
      </c>
      <c r="Q97" s="4" t="b">
        <f ca="1">OR(VALUE(CALC2223!T96)&gt;VALUE(LASTV),VALUE(CALC2223!V96)&gt;VALUE(LASTV),VALUE(CALC2223!X96)&gt;VALUE(LASTV))</f>
        <v>0</v>
      </c>
      <c r="R97" s="4" t="b">
        <f ca="1">OR(VALUE(CALC2223!Z96)&gt;VALUE(LASTV),VALUE(CALC2223!AB96)&gt;VALUE(LASTV),VALUE(CALC2223!AD96)&gt;VALUE(LASTV))</f>
        <v>0</v>
      </c>
      <c r="S97" s="4" t="b">
        <f ca="1">OR(VALUE(CALC2223!AF96)&gt;VALUE(LASTV),VALUE(CALC2223!AH96)&gt;VALUE(LASTV),VALUE(CALC2223!AJ96)&gt;VALUE(LASTV))</f>
        <v>0</v>
      </c>
      <c r="T97" s="4" t="b">
        <f ca="1">OR(VALUE(CALC2223!AL96)&gt;VALUE(LASTV),VALUE(CALC2223!AN96)&gt;VALUE(LASTV),VALUE(CALC2223!AP96)&gt;VALUE(LASTV))</f>
        <v>0</v>
      </c>
      <c r="U97" s="4" t="b">
        <f ca="1">OR(VALUE(CALC2223!AR96)&gt;VALUE(LASTV),VALUE(CALC2223!AT96)&gt;VALUE(LASTV),VALUE(CALC2223!AV96)&gt;VALUE(LASTV))</f>
        <v>0</v>
      </c>
      <c r="V97" s="1"/>
    </row>
    <row r="98" spans="1:22" ht="35.25" hidden="1" customHeight="1">
      <c r="A98" s="40"/>
      <c r="B98" s="41" t="s">
        <v>22</v>
      </c>
      <c r="C98" s="42">
        <v>45996</v>
      </c>
      <c r="D98" s="51" t="str">
        <f ca="1">CONCATENATE(CALC2223!A97," ",CALC2223!C97," ",CALC2223!E97)</f>
        <v xml:space="preserve">  </v>
      </c>
      <c r="E98" s="51" t="str">
        <f ca="1">CONCATENATE(CALC2223!G97," ",CALC2223!I97," ",CALC2223!K97)</f>
        <v xml:space="preserve">Rep NA  </v>
      </c>
      <c r="F98" s="51" t="str">
        <f ca="1">CONCATENATE(CALC2223!M97," ",CALC2223!O97," ",CALC2223!Q97)</f>
        <v xml:space="preserve">  </v>
      </c>
      <c r="G98" s="51" t="str">
        <f ca="1">CONCATENATE(CALC2223!S97," ",CALC2223!U97," ",CALC2223!W97)</f>
        <v xml:space="preserve">  </v>
      </c>
      <c r="H98" s="51" t="str">
        <f ca="1">CONCATENATE(CALC2223!Y97," ",CALC2223!AA97," ",CALC2223!AC97)</f>
        <v xml:space="preserve">  </v>
      </c>
      <c r="I98" s="51" t="str">
        <f ca="1">CONCATENATE(CALC2223!AE97," ",CALC2223!AG97," ",CALC2223!AI97)</f>
        <v xml:space="preserve">  </v>
      </c>
      <c r="J98" s="51" t="str">
        <f ca="1">CONCATENATE(CALC2223!AK97," ",CALC2223!AM97," ",CALC2223!AO97)</f>
        <v xml:space="preserve">  </v>
      </c>
      <c r="K98" s="51" t="str">
        <f ca="1">CONCATENATE(CALC2223!AQ97," ",CALC2223!AS97," ",CALC2223!AU97," ",CALC2223!AW97)</f>
        <v xml:space="preserve">   </v>
      </c>
      <c r="L98" s="52" t="str">
        <f t="shared" ca="1" si="0"/>
        <v>verleden</v>
      </c>
      <c r="M98" s="1"/>
      <c r="N98" s="4" t="b">
        <f ca="1">OR(VALUE(CALC2223!B97)&gt;VALUE(LASTV),VALUE(CALC2223!D97)&gt;VALUE(LASTV),VALUE(CALC2223!F97)&gt;VALUE(LASTV))</f>
        <v>0</v>
      </c>
      <c r="O98" s="4" t="b">
        <f ca="1">OR(VALUE(CALC2223!H97)&gt;VALUE(LASTV),VALUE(CALC2223!J97)&gt;VALUE(LASTV),VALUE(CALC2223!L97)&gt;VALUE(LASTV))</f>
        <v>0</v>
      </c>
      <c r="P98" s="4" t="b">
        <f ca="1">OR(VALUE(CALC2223!N97)&gt;VALUE(LASTV),VALUE(CALC2223!P97)&gt;VALUE(LASTV),VALUE(CALC2223!R97)&gt;VALUE(LASTV))</f>
        <v>0</v>
      </c>
      <c r="Q98" s="4" t="b">
        <f ca="1">OR(VALUE(CALC2223!T97)&gt;VALUE(LASTV),VALUE(CALC2223!V97)&gt;VALUE(LASTV),VALUE(CALC2223!X97)&gt;VALUE(LASTV))</f>
        <v>0</v>
      </c>
      <c r="R98" s="4" t="b">
        <f ca="1">OR(VALUE(CALC2223!Z97)&gt;VALUE(LASTV),VALUE(CALC2223!AB97)&gt;VALUE(LASTV),VALUE(CALC2223!AD97)&gt;VALUE(LASTV))</f>
        <v>0</v>
      </c>
      <c r="S98" s="4" t="b">
        <f ca="1">OR(VALUE(CALC2223!AF97)&gt;VALUE(LASTV),VALUE(CALC2223!AH97)&gt;VALUE(LASTV),VALUE(CALC2223!AJ97)&gt;VALUE(LASTV))</f>
        <v>0</v>
      </c>
      <c r="T98" s="4" t="b">
        <f ca="1">OR(VALUE(CALC2223!AL97)&gt;VALUE(LASTV),VALUE(CALC2223!AN97)&gt;VALUE(LASTV),VALUE(CALC2223!AP97)&gt;VALUE(LASTV))</f>
        <v>0</v>
      </c>
      <c r="U98" s="4" t="b">
        <f ca="1">OR(VALUE(CALC2223!AR97)&gt;VALUE(LASTV),VALUE(CALC2223!AT97)&gt;VALUE(LASTV),VALUE(CALC2223!AV97)&gt;VALUE(LASTV))</f>
        <v>0</v>
      </c>
      <c r="V98" s="1"/>
    </row>
    <row r="99" spans="1:22" ht="35.25" hidden="1" customHeight="1">
      <c r="A99" s="45"/>
      <c r="B99" s="46" t="s">
        <v>23</v>
      </c>
      <c r="C99" s="47">
        <v>45997</v>
      </c>
      <c r="D99" s="48" t="str">
        <f ca="1">CONCATENATE(CALC2223!A98," ",CALC2223!C98," ",CALC2223!E98)</f>
        <v xml:space="preserve">  </v>
      </c>
      <c r="E99" s="48" t="str">
        <f ca="1">CONCATENATE(CALC2223!G98," ",CALC2223!I98," ",CALC2223!K98)</f>
        <v xml:space="preserve">  </v>
      </c>
      <c r="F99" s="48" t="str">
        <f ca="1">CONCATENATE(CALC2223!M98," ",CALC2223!O98," ",CALC2223!Q98)</f>
        <v xml:space="preserve">  </v>
      </c>
      <c r="G99" s="48" t="str">
        <f ca="1">CONCATENATE(CALC2223!S98," ",CALC2223!U98," ",CALC2223!W98)</f>
        <v xml:space="preserve">  </v>
      </c>
      <c r="H99" s="48" t="str">
        <f ca="1">CONCATENATE(CALC2223!Y98," ",CALC2223!AA98," ",CALC2223!AC98)</f>
        <v xml:space="preserve">  </v>
      </c>
      <c r="I99" s="48" t="str">
        <f ca="1">CONCATENATE(CALC2223!AE98," ",CALC2223!AG98," ",CALC2223!AI98)</f>
        <v xml:space="preserve">  </v>
      </c>
      <c r="J99" s="48" t="str">
        <f ca="1">CONCATENATE(CALC2223!AK98," ",CALC2223!AM98," ",CALC2223!AO98)</f>
        <v xml:space="preserve">  </v>
      </c>
      <c r="K99" s="48" t="str">
        <f ca="1">CONCATENATE(CALC2223!AQ98," ",CALC2223!AS98," ",CALC2223!AU98," ",CALC2223!AW98)</f>
        <v xml:space="preserve">   </v>
      </c>
      <c r="L99" s="49" t="str">
        <f t="shared" ca="1" si="0"/>
        <v>verleden</v>
      </c>
      <c r="M99" s="1"/>
      <c r="N99" s="4" t="b">
        <f ca="1">OR(VALUE(CALC2223!B98)&gt;VALUE(LASTV),VALUE(CALC2223!D98)&gt;VALUE(LASTV),VALUE(CALC2223!F98)&gt;VALUE(LASTV))</f>
        <v>0</v>
      </c>
      <c r="O99" s="4" t="b">
        <f ca="1">OR(VALUE(CALC2223!H98)&gt;VALUE(LASTV),VALUE(CALC2223!J98)&gt;VALUE(LASTV),VALUE(CALC2223!L98)&gt;VALUE(LASTV))</f>
        <v>0</v>
      </c>
      <c r="P99" s="4" t="b">
        <f ca="1">OR(VALUE(CALC2223!N98)&gt;VALUE(LASTV),VALUE(CALC2223!P98)&gt;VALUE(LASTV),VALUE(CALC2223!R98)&gt;VALUE(LASTV))</f>
        <v>0</v>
      </c>
      <c r="Q99" s="4" t="b">
        <f ca="1">OR(VALUE(CALC2223!T98)&gt;VALUE(LASTV),VALUE(CALC2223!V98)&gt;VALUE(LASTV),VALUE(CALC2223!X98)&gt;VALUE(LASTV))</f>
        <v>0</v>
      </c>
      <c r="R99" s="4" t="b">
        <f ca="1">OR(VALUE(CALC2223!Z98)&gt;VALUE(LASTV),VALUE(CALC2223!AB98)&gt;VALUE(LASTV),VALUE(CALC2223!AD98)&gt;VALUE(LASTV))</f>
        <v>0</v>
      </c>
      <c r="S99" s="4" t="b">
        <f ca="1">OR(VALUE(CALC2223!AF98)&gt;VALUE(LASTV),VALUE(CALC2223!AH98)&gt;VALUE(LASTV),VALUE(CALC2223!AJ98)&gt;VALUE(LASTV))</f>
        <v>0</v>
      </c>
      <c r="T99" s="4" t="b">
        <f ca="1">OR(VALUE(CALC2223!AL98)&gt;VALUE(LASTV),VALUE(CALC2223!AN98)&gt;VALUE(LASTV),VALUE(CALC2223!AP98)&gt;VALUE(LASTV))</f>
        <v>0</v>
      </c>
      <c r="U99" s="4" t="b">
        <f ca="1">OR(VALUE(CALC2223!AR98)&gt;VALUE(LASTV),VALUE(CALC2223!AT98)&gt;VALUE(LASTV),VALUE(CALC2223!AV98)&gt;VALUE(LASTV))</f>
        <v>0</v>
      </c>
      <c r="V99" s="1"/>
    </row>
    <row r="100" spans="1:22" ht="35.25" hidden="1" customHeight="1">
      <c r="A100" s="45"/>
      <c r="B100" s="46" t="s">
        <v>24</v>
      </c>
      <c r="C100" s="47">
        <v>45998</v>
      </c>
      <c r="D100" s="48" t="str">
        <f ca="1">CONCATENATE(CALC2223!A99," ",CALC2223!C99," ",CALC2223!E99)</f>
        <v xml:space="preserve">  </v>
      </c>
      <c r="E100" s="48" t="str">
        <f ca="1">CONCATENATE(CALC2223!G99," ",CALC2223!I99," ",CALC2223!K99)</f>
        <v xml:space="preserve">  </v>
      </c>
      <c r="F100" s="48" t="str">
        <f ca="1">CONCATENATE(CALC2223!M99," ",CALC2223!O99," ",CALC2223!Q99)</f>
        <v xml:space="preserve">  </v>
      </c>
      <c r="G100" s="48" t="str">
        <f ca="1">CONCATENATE(CALC2223!S99," ",CALC2223!U99," ",CALC2223!W99)</f>
        <v xml:space="preserve">  </v>
      </c>
      <c r="H100" s="48" t="str">
        <f ca="1">CONCATENATE(CALC2223!Y99," ",CALC2223!AA99," ",CALC2223!AC99)</f>
        <v xml:space="preserve">  </v>
      </c>
      <c r="I100" s="48" t="str">
        <f ca="1">CONCATENATE(CALC2223!AE99," ",CALC2223!AG99," ",CALC2223!AI99)</f>
        <v xml:space="preserve">  </v>
      </c>
      <c r="J100" s="48" t="str">
        <f ca="1">CONCATENATE(CALC2223!AK99," ",CALC2223!AM99," ",CALC2223!AO99)</f>
        <v xml:space="preserve">  </v>
      </c>
      <c r="K100" s="48" t="str">
        <f ca="1">CONCATENATE(CALC2223!AQ99," ",CALC2223!AS99," ",CALC2223!AU99," ",CALC2223!AW99)</f>
        <v xml:space="preserve">   </v>
      </c>
      <c r="L100" s="49" t="str">
        <f t="shared" ca="1" si="0"/>
        <v>verleden</v>
      </c>
      <c r="M100" s="1"/>
      <c r="N100" s="4" t="b">
        <f ca="1">OR(VALUE(CALC2223!B99)&gt;VALUE(LASTV),VALUE(CALC2223!D99)&gt;VALUE(LASTV),VALUE(CALC2223!F99)&gt;VALUE(LASTV))</f>
        <v>0</v>
      </c>
      <c r="O100" s="4" t="b">
        <f ca="1">OR(VALUE(CALC2223!H99)&gt;VALUE(LASTV),VALUE(CALC2223!J99)&gt;VALUE(LASTV),VALUE(CALC2223!L99)&gt;VALUE(LASTV))</f>
        <v>0</v>
      </c>
      <c r="P100" s="4" t="b">
        <f ca="1">OR(VALUE(CALC2223!N99)&gt;VALUE(LASTV),VALUE(CALC2223!P99)&gt;VALUE(LASTV),VALUE(CALC2223!R99)&gt;VALUE(LASTV))</f>
        <v>0</v>
      </c>
      <c r="Q100" s="4" t="b">
        <f ca="1">OR(VALUE(CALC2223!T99)&gt;VALUE(LASTV),VALUE(CALC2223!V99)&gt;VALUE(LASTV),VALUE(CALC2223!X99)&gt;VALUE(LASTV))</f>
        <v>0</v>
      </c>
      <c r="R100" s="4" t="b">
        <f ca="1">OR(VALUE(CALC2223!Z99)&gt;VALUE(LASTV),VALUE(CALC2223!AB99)&gt;VALUE(LASTV),VALUE(CALC2223!AD99)&gt;VALUE(LASTV))</f>
        <v>0</v>
      </c>
      <c r="S100" s="4" t="b">
        <f ca="1">OR(VALUE(CALC2223!AF99)&gt;VALUE(LASTV),VALUE(CALC2223!AH99)&gt;VALUE(LASTV),VALUE(CALC2223!AJ99)&gt;VALUE(LASTV))</f>
        <v>0</v>
      </c>
      <c r="T100" s="4" t="b">
        <f ca="1">OR(VALUE(CALC2223!AL99)&gt;VALUE(LASTV),VALUE(CALC2223!AN99)&gt;VALUE(LASTV),VALUE(CALC2223!AP99)&gt;VALUE(LASTV))</f>
        <v>0</v>
      </c>
      <c r="U100" s="4" t="b">
        <f ca="1">OR(VALUE(CALC2223!AR99)&gt;VALUE(LASTV),VALUE(CALC2223!AT99)&gt;VALUE(LASTV),VALUE(CALC2223!AV99)&gt;VALUE(LASTV))</f>
        <v>0</v>
      </c>
      <c r="V100" s="1"/>
    </row>
    <row r="101" spans="1:22" ht="35.25" hidden="1" customHeight="1">
      <c r="A101" s="50">
        <v>50</v>
      </c>
      <c r="B101" s="41" t="s">
        <v>18</v>
      </c>
      <c r="C101" s="42">
        <v>45999</v>
      </c>
      <c r="D101" s="51" t="str">
        <f ca="1">CONCATENATE(CALC2223!A100," ",CALC2223!C100," ",CALC2223!E100)</f>
        <v xml:space="preserve">  </v>
      </c>
      <c r="E101" s="51" t="str">
        <f ca="1">CONCATENATE(CALC2223!G100," ",CALC2223!I100," ",CALC2223!K100)</f>
        <v xml:space="preserve">  </v>
      </c>
      <c r="F101" s="51" t="str">
        <f ca="1">CONCATENATE(CALC2223!M100," ",CALC2223!O100," ",CALC2223!Q100)</f>
        <v xml:space="preserve">  </v>
      </c>
      <c r="G101" s="51" t="str">
        <f ca="1">CONCATENATE(CALC2223!S100," ",CALC2223!U100," ",CALC2223!W100)</f>
        <v xml:space="preserve">inh rep GR  </v>
      </c>
      <c r="H101" s="51" t="str">
        <f ca="1">CONCATENATE(CALC2223!Y100," ",CALC2223!AA100," ",CALC2223!AC100)</f>
        <v xml:space="preserve">Rep BE inh rep FA </v>
      </c>
      <c r="I101" s="51" t="str">
        <f ca="1">CONCATENATE(CALC2223!AE100," ",CALC2223!AG100," ",CALC2223!AI100)</f>
        <v xml:space="preserve">  </v>
      </c>
      <c r="J101" s="51" t="str">
        <f ca="1">CONCATENATE(CALC2223!AK100," ",CALC2223!AM100," ",CALC2223!AO100)</f>
        <v xml:space="preserve">30'-rooster/docentenspreekmomenten 14-17 uur  </v>
      </c>
      <c r="K101" s="51" t="str">
        <f ca="1">CONCATENATE(CALC2223!AQ100," ",CALC2223!AS100," ",CALC2223!AU100," ",CALC2223!AW100)</f>
        <v xml:space="preserve">30'-rooster/docentenspreekmomenten 14-17 uur   </v>
      </c>
      <c r="L101" s="52" t="str">
        <f t="shared" ca="1" si="0"/>
        <v>verleden</v>
      </c>
      <c r="M101" s="1"/>
      <c r="N101" s="4" t="b">
        <f ca="1">OR(VALUE(CALC2223!B100)&gt;VALUE(LASTV),VALUE(CALC2223!D100)&gt;VALUE(LASTV),VALUE(CALC2223!F100)&gt;VALUE(LASTV))</f>
        <v>0</v>
      </c>
      <c r="O101" s="4" t="b">
        <f ca="1">OR(VALUE(CALC2223!H100)&gt;VALUE(LASTV),VALUE(CALC2223!J100)&gt;VALUE(LASTV),VALUE(CALC2223!L100)&gt;VALUE(LASTV))</f>
        <v>0</v>
      </c>
      <c r="P101" s="4" t="b">
        <f ca="1">OR(VALUE(CALC2223!N100)&gt;VALUE(LASTV),VALUE(CALC2223!P100)&gt;VALUE(LASTV),VALUE(CALC2223!R100)&gt;VALUE(LASTV))</f>
        <v>0</v>
      </c>
      <c r="Q101" s="4" t="b">
        <f ca="1">OR(VALUE(CALC2223!T100)&gt;VALUE(LASTV),VALUE(CALC2223!V100)&gt;VALUE(LASTV),VALUE(CALC2223!X100)&gt;VALUE(LASTV))</f>
        <v>0</v>
      </c>
      <c r="R101" s="4" t="b">
        <f ca="1">OR(VALUE(CALC2223!Z100)&gt;VALUE(LASTV),VALUE(CALC2223!AB100)&gt;VALUE(LASTV),VALUE(CALC2223!AD100)&gt;VALUE(LASTV))</f>
        <v>0</v>
      </c>
      <c r="S101" s="4" t="b">
        <f ca="1">OR(VALUE(CALC2223!AF100)&gt;VALUE(LASTV),VALUE(CALC2223!AH100)&gt;VALUE(LASTV),VALUE(CALC2223!AJ100)&gt;VALUE(LASTV))</f>
        <v>0</v>
      </c>
      <c r="T101" s="4" t="b">
        <f ca="1">OR(VALUE(CALC2223!AL100)&gt;VALUE(LASTV),VALUE(CALC2223!AN100)&gt;VALUE(LASTV),VALUE(CALC2223!AP100)&gt;VALUE(LASTV))</f>
        <v>0</v>
      </c>
      <c r="U101" s="4" t="b">
        <f ca="1">OR(VALUE(CALC2223!AR100)&gt;VALUE(LASTV),VALUE(CALC2223!AT100)&gt;VALUE(LASTV),VALUE(CALC2223!AV100)&gt;VALUE(LASTV))</f>
        <v>0</v>
      </c>
      <c r="V101" s="1"/>
    </row>
    <row r="102" spans="1:22" ht="35.25" hidden="1" customHeight="1">
      <c r="A102" s="40"/>
      <c r="B102" s="41" t="s">
        <v>19</v>
      </c>
      <c r="C102" s="42">
        <v>46000</v>
      </c>
      <c r="D102" s="51" t="str">
        <f ca="1">CONCATENATE(CALC2223!A101," ",CALC2223!C101," ",CALC2223!E101)</f>
        <v xml:space="preserve">  </v>
      </c>
      <c r="E102" s="51" t="str">
        <f ca="1">CONCATENATE(CALC2223!G101," ",CALC2223!I101," ",CALC2223!K101)</f>
        <v xml:space="preserve">  </v>
      </c>
      <c r="F102" s="51" t="str">
        <f ca="1">CONCATENATE(CALC2223!M101," ",CALC2223!O101," ",CALC2223!Q101)</f>
        <v xml:space="preserve">  </v>
      </c>
      <c r="G102" s="51" t="str">
        <f ca="1">CONCATENATE(CALC2223!S101," ",CALC2223!U101," ",CALC2223!W101)</f>
        <v xml:space="preserve">Rep EC  </v>
      </c>
      <c r="H102" s="51" t="str">
        <f ca="1">CONCATENATE(CALC2223!Y101," ",CALC2223!AA101," ",CALC2223!AC101)</f>
        <v xml:space="preserve">  </v>
      </c>
      <c r="I102" s="51" t="str">
        <f ca="1">CONCATENATE(CALC2223!AE101," ",CALC2223!AG101," ",CALC2223!AI101)</f>
        <v xml:space="preserve">  </v>
      </c>
      <c r="J102" s="51" t="str">
        <f ca="1">CONCATENATE(CALC2223!AK101," ",CALC2223!AM101," ",CALC2223!AO101)</f>
        <v xml:space="preserve">  </v>
      </c>
      <c r="K102" s="51" t="str">
        <f ca="1">CONCATENATE(CALC2223!AQ101," ",CALC2223!AS101," ",CALC2223!AU101," ",CALC2223!AW101)</f>
        <v xml:space="preserve">   </v>
      </c>
      <c r="L102" s="52" t="str">
        <f t="shared" ca="1" si="0"/>
        <v>verleden</v>
      </c>
      <c r="M102" s="1"/>
      <c r="N102" s="4" t="b">
        <f ca="1">OR(VALUE(CALC2223!B101)&gt;VALUE(LASTV),VALUE(CALC2223!D101)&gt;VALUE(LASTV),VALUE(CALC2223!F101)&gt;VALUE(LASTV))</f>
        <v>0</v>
      </c>
      <c r="O102" s="4" t="b">
        <f ca="1">OR(VALUE(CALC2223!H101)&gt;VALUE(LASTV),VALUE(CALC2223!J101)&gt;VALUE(LASTV),VALUE(CALC2223!L101)&gt;VALUE(LASTV))</f>
        <v>0</v>
      </c>
      <c r="P102" s="4" t="b">
        <f ca="1">OR(VALUE(CALC2223!N101)&gt;VALUE(LASTV),VALUE(CALC2223!P101)&gt;VALUE(LASTV),VALUE(CALC2223!R101)&gt;VALUE(LASTV))</f>
        <v>0</v>
      </c>
      <c r="Q102" s="4" t="b">
        <f ca="1">OR(VALUE(CALC2223!T101)&gt;VALUE(LASTV),VALUE(CALC2223!V101)&gt;VALUE(LASTV),VALUE(CALC2223!X101)&gt;VALUE(LASTV))</f>
        <v>0</v>
      </c>
      <c r="R102" s="4" t="b">
        <f ca="1">OR(VALUE(CALC2223!Z101)&gt;VALUE(LASTV),VALUE(CALC2223!AB101)&gt;VALUE(LASTV),VALUE(CALC2223!AD101)&gt;VALUE(LASTV))</f>
        <v>0</v>
      </c>
      <c r="S102" s="4" t="b">
        <f ca="1">OR(VALUE(CALC2223!AF101)&gt;VALUE(LASTV),VALUE(CALC2223!AH101)&gt;VALUE(LASTV),VALUE(CALC2223!AJ101)&gt;VALUE(LASTV))</f>
        <v>0</v>
      </c>
      <c r="T102" s="4" t="b">
        <f ca="1">OR(VALUE(CALC2223!AL101)&gt;VALUE(LASTV),VALUE(CALC2223!AN101)&gt;VALUE(LASTV),VALUE(CALC2223!AP101)&gt;VALUE(LASTV))</f>
        <v>0</v>
      </c>
      <c r="U102" s="4" t="b">
        <f ca="1">OR(VALUE(CALC2223!AR101)&gt;VALUE(LASTV),VALUE(CALC2223!AT101)&gt;VALUE(LASTV),VALUE(CALC2223!AV101)&gt;VALUE(LASTV))</f>
        <v>0</v>
      </c>
      <c r="V102" s="1"/>
    </row>
    <row r="103" spans="1:22" ht="35.25" hidden="1" customHeight="1">
      <c r="A103" s="40"/>
      <c r="B103" s="41" t="s">
        <v>20</v>
      </c>
      <c r="C103" s="42">
        <v>46001</v>
      </c>
      <c r="D103" s="51" t="str">
        <f ca="1">CONCATENATE(CALC2223!A102," ",CALC2223!C102," ",CALC2223!E102)</f>
        <v xml:space="preserve">Rep BIO  </v>
      </c>
      <c r="E103" s="51" t="str">
        <f ca="1">CONCATENATE(CALC2223!G102," ",CALC2223!I102," ",CALC2223!K102)</f>
        <v xml:space="preserve">  </v>
      </c>
      <c r="F103" s="51" t="str">
        <f ca="1">CONCATENATE(CALC2223!M102," ",CALC2223!O102," ",CALC2223!Q102)</f>
        <v xml:space="preserve">  </v>
      </c>
      <c r="G103" s="51" t="str">
        <f ca="1">CONCATENATE(CALC2223!S102," ",CALC2223!U102," ",CALC2223!W102)</f>
        <v xml:space="preserve">  </v>
      </c>
      <c r="H103" s="51" t="str">
        <f ca="1">CONCATENATE(CALC2223!Y102," ",CALC2223!AA102," ",CALC2223!AC102)</f>
        <v xml:space="preserve">SE WISD kerstmarkt </v>
      </c>
      <c r="I103" s="51" t="str">
        <f ca="1">CONCATENATE(CALC2223!AE102," ",CALC2223!AG102," ",CALC2223!AI102)</f>
        <v xml:space="preserve">tsweek: G6 Entl en EC  </v>
      </c>
      <c r="J103" s="51" t="str">
        <f ca="1">CONCATENATE(CALC2223!AK102," ",CALC2223!AM102," ",CALC2223!AO102)</f>
        <v xml:space="preserve">  </v>
      </c>
      <c r="K103" s="51" t="str">
        <f ca="1">CONCATENATE(CALC2223!AQ102," ",CALC2223!AS102," ",CALC2223!AU102," ",CALC2223!AW102)</f>
        <v xml:space="preserve">   </v>
      </c>
      <c r="L103" s="52" t="str">
        <f t="shared" ca="1" si="0"/>
        <v>verleden</v>
      </c>
      <c r="M103" s="1"/>
      <c r="N103" s="4" t="b">
        <f ca="1">OR(VALUE(CALC2223!B102)&gt;VALUE(LASTV),VALUE(CALC2223!D102)&gt;VALUE(LASTV),VALUE(CALC2223!F102)&gt;VALUE(LASTV))</f>
        <v>0</v>
      </c>
      <c r="O103" s="4" t="b">
        <f ca="1">OR(VALUE(CALC2223!H102)&gt;VALUE(LASTV),VALUE(CALC2223!J102)&gt;VALUE(LASTV),VALUE(CALC2223!L102)&gt;VALUE(LASTV))</f>
        <v>0</v>
      </c>
      <c r="P103" s="4" t="b">
        <f ca="1">OR(VALUE(CALC2223!N102)&gt;VALUE(LASTV),VALUE(CALC2223!P102)&gt;VALUE(LASTV),VALUE(CALC2223!R102)&gt;VALUE(LASTV))</f>
        <v>0</v>
      </c>
      <c r="Q103" s="4" t="b">
        <f ca="1">OR(VALUE(CALC2223!T102)&gt;VALUE(LASTV),VALUE(CALC2223!V102)&gt;VALUE(LASTV),VALUE(CALC2223!X102)&gt;VALUE(LASTV))</f>
        <v>0</v>
      </c>
      <c r="R103" s="4" t="b">
        <f ca="1">OR(VALUE(CALC2223!Z102)&gt;VALUE(LASTV),VALUE(CALC2223!AB102)&gt;VALUE(LASTV),VALUE(CALC2223!AD102)&gt;VALUE(LASTV))</f>
        <v>0</v>
      </c>
      <c r="S103" s="4" t="b">
        <f ca="1">OR(VALUE(CALC2223!AF102)&gt;VALUE(LASTV),VALUE(CALC2223!AH102)&gt;VALUE(LASTV),VALUE(CALC2223!AJ102)&gt;VALUE(LASTV))</f>
        <v>0</v>
      </c>
      <c r="T103" s="4" t="b">
        <f ca="1">OR(VALUE(CALC2223!AL102)&gt;VALUE(LASTV),VALUE(CALC2223!AN102)&gt;VALUE(LASTV),VALUE(CALC2223!AP102)&gt;VALUE(LASTV))</f>
        <v>0</v>
      </c>
      <c r="U103" s="4" t="b">
        <f ca="1">OR(VALUE(CALC2223!AR102)&gt;VALUE(LASTV),VALUE(CALC2223!AT102)&gt;VALUE(LASTV),VALUE(CALC2223!AV102)&gt;VALUE(LASTV))</f>
        <v>0</v>
      </c>
      <c r="V103" s="1"/>
    </row>
    <row r="104" spans="1:22" ht="35.25" hidden="1" customHeight="1">
      <c r="A104" s="40"/>
      <c r="B104" s="41" t="s">
        <v>21</v>
      </c>
      <c r="C104" s="42">
        <v>46002</v>
      </c>
      <c r="D104" s="51" t="str">
        <f ca="1">CONCATENATE(CALC2223!A103," ",CALC2223!C103," ",CALC2223!E103)</f>
        <v xml:space="preserve">  </v>
      </c>
      <c r="E104" s="51" t="str">
        <f ca="1">CONCATENATE(CALC2223!G103," ",CALC2223!I103," ",CALC2223!K103)</f>
        <v xml:space="preserve">  </v>
      </c>
      <c r="F104" s="51" t="str">
        <f ca="1">CONCATENATE(CALC2223!M103," ",CALC2223!O103," ",CALC2223!Q103)</f>
        <v xml:space="preserve">Rep WIS  </v>
      </c>
      <c r="G104" s="51" t="str">
        <f ca="1">CONCATENATE(CALC2223!S103," ",CALC2223!U103," ",CALC2223!W103)</f>
        <v xml:space="preserve">HPGcafé inh rep WI </v>
      </c>
      <c r="H104" s="51" t="str">
        <f ca="1">CONCATENATE(CALC2223!Y103," ",CALC2223!AA103," ",CALC2223!AC103)</f>
        <v xml:space="preserve">HPGcafé inh SE MAAT </v>
      </c>
      <c r="I104" s="51" t="str">
        <f ca="1">CONCATENATE(CALC2223!AE103," ",CALC2223!AG103," ",CALC2223!AI103)</f>
        <v xml:space="preserve">tsweek: G6 BI / HPGcafé  </v>
      </c>
      <c r="J104" s="51" t="str">
        <f ca="1">CONCATENATE(CALC2223!AK103," ",CALC2223!AM103," ",CALC2223!AO103)</f>
        <v xml:space="preserve">secties#4  </v>
      </c>
      <c r="K104" s="51" t="str">
        <f ca="1">CONCATENATE(CALC2223!AQ103," ",CALC2223!AS103," ",CALC2223!AU103," ",CALC2223!AW103)</f>
        <v xml:space="preserve">   </v>
      </c>
      <c r="L104" s="52" t="str">
        <f t="shared" ca="1" si="0"/>
        <v>verleden</v>
      </c>
      <c r="M104" s="1"/>
      <c r="N104" s="4" t="b">
        <f ca="1">OR(VALUE(CALC2223!B103)&gt;VALUE(LASTV),VALUE(CALC2223!D103)&gt;VALUE(LASTV),VALUE(CALC2223!F103)&gt;VALUE(LASTV))</f>
        <v>0</v>
      </c>
      <c r="O104" s="4" t="b">
        <f ca="1">OR(VALUE(CALC2223!H103)&gt;VALUE(LASTV),VALUE(CALC2223!J103)&gt;VALUE(LASTV),VALUE(CALC2223!L103)&gt;VALUE(LASTV))</f>
        <v>0</v>
      </c>
      <c r="P104" s="4" t="b">
        <f ca="1">OR(VALUE(CALC2223!N103)&gt;VALUE(LASTV),VALUE(CALC2223!P103)&gt;VALUE(LASTV),VALUE(CALC2223!R103)&gt;VALUE(LASTV))</f>
        <v>0</v>
      </c>
      <c r="Q104" s="4" t="b">
        <f ca="1">OR(VALUE(CALC2223!T103)&gt;VALUE(LASTV),VALUE(CALC2223!V103)&gt;VALUE(LASTV),VALUE(CALC2223!X103)&gt;VALUE(LASTV))</f>
        <v>0</v>
      </c>
      <c r="R104" s="4" t="b">
        <f ca="1">OR(VALUE(CALC2223!Z103)&gt;VALUE(LASTV),VALUE(CALC2223!AB103)&gt;VALUE(LASTV),VALUE(CALC2223!AD103)&gt;VALUE(LASTV))</f>
        <v>0</v>
      </c>
      <c r="S104" s="4" t="b">
        <f ca="1">OR(VALUE(CALC2223!AF103)&gt;VALUE(LASTV),VALUE(CALC2223!AH103)&gt;VALUE(LASTV),VALUE(CALC2223!AJ103)&gt;VALUE(LASTV))</f>
        <v>0</v>
      </c>
      <c r="T104" s="4" t="b">
        <f ca="1">OR(VALUE(CALC2223!AL103)&gt;VALUE(LASTV),VALUE(CALC2223!AN103)&gt;VALUE(LASTV),VALUE(CALC2223!AP103)&gt;VALUE(LASTV))</f>
        <v>0</v>
      </c>
      <c r="U104" s="4" t="b">
        <f ca="1">OR(VALUE(CALC2223!AR103)&gt;VALUE(LASTV),VALUE(CALC2223!AT103)&gt;VALUE(LASTV),VALUE(CALC2223!AV103)&gt;VALUE(LASTV))</f>
        <v>0</v>
      </c>
      <c r="V104" s="1"/>
    </row>
    <row r="105" spans="1:22" ht="35.25" hidden="1" customHeight="1">
      <c r="A105" s="40"/>
      <c r="B105" s="41" t="s">
        <v>22</v>
      </c>
      <c r="C105" s="42">
        <v>46003</v>
      </c>
      <c r="D105" s="51" t="str">
        <f ca="1">CONCATENATE(CALC2223!A104," ",CALC2223!C104," ",CALC2223!E104)</f>
        <v xml:space="preserve">  </v>
      </c>
      <c r="E105" s="51" t="str">
        <f ca="1">CONCATENATE(CALC2223!G104," ",CALC2223!I104," ",CALC2223!K104)</f>
        <v xml:space="preserve">Rep BIO  </v>
      </c>
      <c r="F105" s="51" t="str">
        <f ca="1">CONCATENATE(CALC2223!M104," ",CALC2223!O104," ",CALC2223!Q104)</f>
        <v xml:space="preserve">  </v>
      </c>
      <c r="G105" s="51" t="str">
        <f ca="1">CONCATENATE(CALC2223!S104," ",CALC2223!U104," ",CALC2223!W104)</f>
        <v xml:space="preserve">Rep BE  </v>
      </c>
      <c r="H105" s="51" t="str">
        <f ca="1">CONCATENATE(CALC2223!Y104," ",CALC2223!AA104," ",CALC2223!AC104)</f>
        <v xml:space="preserve">  </v>
      </c>
      <c r="I105" s="51" t="str">
        <f ca="1">CONCATENATE(CALC2223!AE104," ",CALC2223!AG104," ",CALC2223!AI104)</f>
        <v xml:space="preserve">tsweek: G6 FI, BE en SK  </v>
      </c>
      <c r="J105" s="51" t="str">
        <f ca="1">CONCATENATE(CALC2223!AK104," ",CALC2223!AM104," ",CALC2223!AO104)</f>
        <v xml:space="preserve">  </v>
      </c>
      <c r="K105" s="51" t="str">
        <f ca="1">CONCATENATE(CALC2223!AQ104," ",CALC2223!AS104," ",CALC2223!AU104," ",CALC2223!AW104)</f>
        <v xml:space="preserve">Paarse Vrijdag   </v>
      </c>
      <c r="L105" s="52" t="str">
        <f t="shared" ca="1" si="0"/>
        <v>verleden</v>
      </c>
      <c r="M105" s="1"/>
      <c r="N105" s="4" t="b">
        <f ca="1">OR(VALUE(CALC2223!B104)&gt;VALUE(LASTV),VALUE(CALC2223!D104)&gt;VALUE(LASTV),VALUE(CALC2223!F104)&gt;VALUE(LASTV))</f>
        <v>0</v>
      </c>
      <c r="O105" s="4" t="b">
        <f ca="1">OR(VALUE(CALC2223!H104)&gt;VALUE(LASTV),VALUE(CALC2223!J104)&gt;VALUE(LASTV),VALUE(CALC2223!L104)&gt;VALUE(LASTV))</f>
        <v>0</v>
      </c>
      <c r="P105" s="4" t="b">
        <f ca="1">OR(VALUE(CALC2223!N104)&gt;VALUE(LASTV),VALUE(CALC2223!P104)&gt;VALUE(LASTV),VALUE(CALC2223!R104)&gt;VALUE(LASTV))</f>
        <v>0</v>
      </c>
      <c r="Q105" s="4" t="b">
        <f ca="1">OR(VALUE(CALC2223!T104)&gt;VALUE(LASTV),VALUE(CALC2223!V104)&gt;VALUE(LASTV),VALUE(CALC2223!X104)&gt;VALUE(LASTV))</f>
        <v>0</v>
      </c>
      <c r="R105" s="4" t="b">
        <f ca="1">OR(VALUE(CALC2223!Z104)&gt;VALUE(LASTV),VALUE(CALC2223!AB104)&gt;VALUE(LASTV),VALUE(CALC2223!AD104)&gt;VALUE(LASTV))</f>
        <v>0</v>
      </c>
      <c r="S105" s="4" t="b">
        <f ca="1">OR(VALUE(CALC2223!AF104)&gt;VALUE(LASTV),VALUE(CALC2223!AH104)&gt;VALUE(LASTV),VALUE(CALC2223!AJ104)&gt;VALUE(LASTV))</f>
        <v>0</v>
      </c>
      <c r="T105" s="4" t="b">
        <f ca="1">OR(VALUE(CALC2223!AL104)&gt;VALUE(LASTV),VALUE(CALC2223!AN104)&gt;VALUE(LASTV),VALUE(CALC2223!AP104)&gt;VALUE(LASTV))</f>
        <v>0</v>
      </c>
      <c r="U105" s="4" t="b">
        <f ca="1">OR(VALUE(CALC2223!AR104)&gt;VALUE(LASTV),VALUE(CALC2223!AT104)&gt;VALUE(LASTV),VALUE(CALC2223!AV104)&gt;VALUE(LASTV))</f>
        <v>0</v>
      </c>
      <c r="V105" s="1"/>
    </row>
    <row r="106" spans="1:22" ht="35.25" hidden="1" customHeight="1">
      <c r="A106" s="45"/>
      <c r="B106" s="46" t="s">
        <v>23</v>
      </c>
      <c r="C106" s="47">
        <v>46004</v>
      </c>
      <c r="D106" s="48" t="str">
        <f ca="1">CONCATENATE(CALC2223!A105," ",CALC2223!C105," ",CALC2223!E105)</f>
        <v xml:space="preserve">  </v>
      </c>
      <c r="E106" s="48" t="str">
        <f ca="1">CONCATENATE(CALC2223!G105," ",CALC2223!I105," ",CALC2223!K105)</f>
        <v xml:space="preserve">  </v>
      </c>
      <c r="F106" s="48" t="str">
        <f ca="1">CONCATENATE(CALC2223!M105," ",CALC2223!O105," ",CALC2223!Q105)</f>
        <v xml:space="preserve">  </v>
      </c>
      <c r="G106" s="48" t="str">
        <f ca="1">CONCATENATE(CALC2223!S105," ",CALC2223!U105," ",CALC2223!W105)</f>
        <v xml:space="preserve">  </v>
      </c>
      <c r="H106" s="48" t="str">
        <f ca="1">CONCATENATE(CALC2223!Y105," ",CALC2223!AA105," ",CALC2223!AC105)</f>
        <v xml:space="preserve">  </v>
      </c>
      <c r="I106" s="48" t="str">
        <f ca="1">CONCATENATE(CALC2223!AE105," ",CALC2223!AG105," ",CALC2223!AI105)</f>
        <v xml:space="preserve">  </v>
      </c>
      <c r="J106" s="48" t="str">
        <f ca="1">CONCATENATE(CALC2223!AK105," ",CALC2223!AM105," ",CALC2223!AO105)</f>
        <v xml:space="preserve">  </v>
      </c>
      <c r="K106" s="48" t="str">
        <f ca="1">CONCATENATE(CALC2223!AQ105," ",CALC2223!AS105," ",CALC2223!AU105," ",CALC2223!AW105)</f>
        <v xml:space="preserve">   </v>
      </c>
      <c r="L106" s="49" t="str">
        <f t="shared" ca="1" si="0"/>
        <v>verleden</v>
      </c>
      <c r="M106" s="1"/>
      <c r="N106" s="4" t="b">
        <f ca="1">OR(VALUE(CALC2223!B105)&gt;VALUE(LASTV),VALUE(CALC2223!D105)&gt;VALUE(LASTV),VALUE(CALC2223!F105)&gt;VALUE(LASTV))</f>
        <v>0</v>
      </c>
      <c r="O106" s="4" t="b">
        <f ca="1">OR(VALUE(CALC2223!H105)&gt;VALUE(LASTV),VALUE(CALC2223!J105)&gt;VALUE(LASTV),VALUE(CALC2223!L105)&gt;VALUE(LASTV))</f>
        <v>0</v>
      </c>
      <c r="P106" s="4" t="b">
        <f ca="1">OR(VALUE(CALC2223!N105)&gt;VALUE(LASTV),VALUE(CALC2223!P105)&gt;VALUE(LASTV),VALUE(CALC2223!R105)&gt;VALUE(LASTV))</f>
        <v>0</v>
      </c>
      <c r="Q106" s="4" t="b">
        <f ca="1">OR(VALUE(CALC2223!T105)&gt;VALUE(LASTV),VALUE(CALC2223!V105)&gt;VALUE(LASTV),VALUE(CALC2223!X105)&gt;VALUE(LASTV))</f>
        <v>0</v>
      </c>
      <c r="R106" s="4" t="b">
        <f ca="1">OR(VALUE(CALC2223!Z105)&gt;VALUE(LASTV),VALUE(CALC2223!AB105)&gt;VALUE(LASTV),VALUE(CALC2223!AD105)&gt;VALUE(LASTV))</f>
        <v>0</v>
      </c>
      <c r="S106" s="4" t="b">
        <f ca="1">OR(VALUE(CALC2223!AF105)&gt;VALUE(LASTV),VALUE(CALC2223!AH105)&gt;VALUE(LASTV),VALUE(CALC2223!AJ105)&gt;VALUE(LASTV))</f>
        <v>0</v>
      </c>
      <c r="T106" s="4" t="b">
        <f ca="1">OR(VALUE(CALC2223!AL105)&gt;VALUE(LASTV),VALUE(CALC2223!AN105)&gt;VALUE(LASTV),VALUE(CALC2223!AP105)&gt;VALUE(LASTV))</f>
        <v>0</v>
      </c>
      <c r="U106" s="4" t="b">
        <f ca="1">OR(VALUE(CALC2223!AR105)&gt;VALUE(LASTV),VALUE(CALC2223!AT105)&gt;VALUE(LASTV),VALUE(CALC2223!AV105)&gt;VALUE(LASTV))</f>
        <v>0</v>
      </c>
      <c r="V106" s="1"/>
    </row>
    <row r="107" spans="1:22" ht="35.25" hidden="1" customHeight="1">
      <c r="A107" s="45"/>
      <c r="B107" s="46" t="s">
        <v>24</v>
      </c>
      <c r="C107" s="47">
        <v>46005</v>
      </c>
      <c r="D107" s="48" t="str">
        <f ca="1">CONCATENATE(CALC2223!A106," ",CALC2223!C106," ",CALC2223!E106)</f>
        <v xml:space="preserve">  </v>
      </c>
      <c r="E107" s="48" t="str">
        <f ca="1">CONCATENATE(CALC2223!G106," ",CALC2223!I106," ",CALC2223!K106)</f>
        <v xml:space="preserve">  </v>
      </c>
      <c r="F107" s="48" t="str">
        <f ca="1">CONCATENATE(CALC2223!M106," ",CALC2223!O106," ",CALC2223!Q106)</f>
        <v xml:space="preserve">  </v>
      </c>
      <c r="G107" s="48" t="str">
        <f ca="1">CONCATENATE(CALC2223!S106," ",CALC2223!U106," ",CALC2223!W106)</f>
        <v xml:space="preserve">  </v>
      </c>
      <c r="H107" s="48" t="str">
        <f ca="1">CONCATENATE(CALC2223!Y106," ",CALC2223!AA106," ",CALC2223!AC106)</f>
        <v xml:space="preserve">  </v>
      </c>
      <c r="I107" s="48" t="str">
        <f ca="1">CONCATENATE(CALC2223!AE106," ",CALC2223!AG106," ",CALC2223!AI106)</f>
        <v xml:space="preserve">  </v>
      </c>
      <c r="J107" s="48" t="str">
        <f ca="1">CONCATENATE(CALC2223!AK106," ",CALC2223!AM106," ",CALC2223!AO106)</f>
        <v xml:space="preserve">  </v>
      </c>
      <c r="K107" s="48" t="str">
        <f ca="1">CONCATENATE(CALC2223!AQ106," ",CALC2223!AS106," ",CALC2223!AU106," ",CALC2223!AW106)</f>
        <v xml:space="preserve">   </v>
      </c>
      <c r="L107" s="49" t="str">
        <f t="shared" ca="1" si="0"/>
        <v>verleden</v>
      </c>
      <c r="M107" s="1"/>
      <c r="N107" s="4" t="b">
        <f ca="1">OR(VALUE(CALC2223!B106)&gt;VALUE(LASTV),VALUE(CALC2223!D106)&gt;VALUE(LASTV),VALUE(CALC2223!F106)&gt;VALUE(LASTV))</f>
        <v>0</v>
      </c>
      <c r="O107" s="4" t="b">
        <f ca="1">OR(VALUE(CALC2223!H106)&gt;VALUE(LASTV),VALUE(CALC2223!J106)&gt;VALUE(LASTV),VALUE(CALC2223!L106)&gt;VALUE(LASTV))</f>
        <v>0</v>
      </c>
      <c r="P107" s="4" t="b">
        <f ca="1">OR(VALUE(CALC2223!N106)&gt;VALUE(LASTV),VALUE(CALC2223!P106)&gt;VALUE(LASTV),VALUE(CALC2223!R106)&gt;VALUE(LASTV))</f>
        <v>0</v>
      </c>
      <c r="Q107" s="4" t="b">
        <f ca="1">OR(VALUE(CALC2223!T106)&gt;VALUE(LASTV),VALUE(CALC2223!V106)&gt;VALUE(LASTV),VALUE(CALC2223!X106)&gt;VALUE(LASTV))</f>
        <v>0</v>
      </c>
      <c r="R107" s="4" t="b">
        <f ca="1">OR(VALUE(CALC2223!Z106)&gt;VALUE(LASTV),VALUE(CALC2223!AB106)&gt;VALUE(LASTV),VALUE(CALC2223!AD106)&gt;VALUE(LASTV))</f>
        <v>0</v>
      </c>
      <c r="S107" s="4" t="b">
        <f ca="1">OR(VALUE(CALC2223!AF106)&gt;VALUE(LASTV),VALUE(CALC2223!AH106)&gt;VALUE(LASTV),VALUE(CALC2223!AJ106)&gt;VALUE(LASTV))</f>
        <v>0</v>
      </c>
      <c r="T107" s="4" t="b">
        <f ca="1">OR(VALUE(CALC2223!AL106)&gt;VALUE(LASTV),VALUE(CALC2223!AN106)&gt;VALUE(LASTV),VALUE(CALC2223!AP106)&gt;VALUE(LASTV))</f>
        <v>0</v>
      </c>
      <c r="U107" s="4" t="b">
        <f ca="1">OR(VALUE(CALC2223!AR106)&gt;VALUE(LASTV),VALUE(CALC2223!AT106)&gt;VALUE(LASTV),VALUE(CALC2223!AV106)&gt;VALUE(LASTV))</f>
        <v>0</v>
      </c>
      <c r="V107" s="1"/>
    </row>
    <row r="108" spans="1:22" ht="35.25" hidden="1" customHeight="1">
      <c r="A108" s="50">
        <v>51</v>
      </c>
      <c r="B108" s="41" t="s">
        <v>18</v>
      </c>
      <c r="C108" s="42">
        <v>46006</v>
      </c>
      <c r="D108" s="51" t="str">
        <f ca="1">CONCATENATE(CALC2223!A107," ",CALC2223!C107," ",CALC2223!E107)</f>
        <v xml:space="preserve">  </v>
      </c>
      <c r="E108" s="51" t="str">
        <f ca="1">CONCATENATE(CALC2223!G107," ",CALC2223!I107," ",CALC2223!K107)</f>
        <v xml:space="preserve">  </v>
      </c>
      <c r="F108" s="51" t="str">
        <f ca="1">CONCATENATE(CALC2223!M107," ",CALC2223!O107," ",CALC2223!Q107)</f>
        <v xml:space="preserve">  </v>
      </c>
      <c r="G108" s="51" t="str">
        <f ca="1">CONCATENATE(CALC2223!S107," ",CALC2223!U107," ",CALC2223!W107)</f>
        <v xml:space="preserve">inh rep NA  </v>
      </c>
      <c r="H108" s="51" t="str">
        <f ca="1">CONCATENATE(CALC2223!Y107," ",CALC2223!AA107," ",CALC2223!AC107)</f>
        <v xml:space="preserve">inh SE wiA  </v>
      </c>
      <c r="I108" s="51" t="str">
        <f ca="1">CONCATENATE(CALC2223!AE107," ",CALC2223!AG107," ",CALC2223!AI107)</f>
        <v xml:space="preserve">tsweek: G6 AK, FATL, SPTL en WID  </v>
      </c>
      <c r="J108" s="51" t="str">
        <f ca="1">CONCATENATE(CALC2223!AK107," ",CALC2223!AM107," ",CALC2223!AO107)</f>
        <v xml:space="preserve">  </v>
      </c>
      <c r="K108" s="51" t="str">
        <f ca="1">CONCATENATE(CALC2223!AQ107," ",CALC2223!AS107," ",CALC2223!AU107," ",CALC2223!AW107)</f>
        <v xml:space="preserve">   </v>
      </c>
      <c r="L108" s="52" t="str">
        <f t="shared" ca="1" si="0"/>
        <v>verleden</v>
      </c>
      <c r="M108" s="1"/>
      <c r="N108" s="4" t="b">
        <f ca="1">OR(VALUE(CALC2223!B107)&gt;VALUE(LASTV),VALUE(CALC2223!D107)&gt;VALUE(LASTV),VALUE(CALC2223!F107)&gt;VALUE(LASTV))</f>
        <v>0</v>
      </c>
      <c r="O108" s="4" t="b">
        <f ca="1">OR(VALUE(CALC2223!H107)&gt;VALUE(LASTV),VALUE(CALC2223!J107)&gt;VALUE(LASTV),VALUE(CALC2223!L107)&gt;VALUE(LASTV))</f>
        <v>0</v>
      </c>
      <c r="P108" s="4" t="b">
        <f ca="1">OR(VALUE(CALC2223!N107)&gt;VALUE(LASTV),VALUE(CALC2223!P107)&gt;VALUE(LASTV),VALUE(CALC2223!R107)&gt;VALUE(LASTV))</f>
        <v>0</v>
      </c>
      <c r="Q108" s="4" t="b">
        <f ca="1">OR(VALUE(CALC2223!T107)&gt;VALUE(LASTV),VALUE(CALC2223!V107)&gt;VALUE(LASTV),VALUE(CALC2223!X107)&gt;VALUE(LASTV))</f>
        <v>0</v>
      </c>
      <c r="R108" s="4" t="b">
        <f ca="1">OR(VALUE(CALC2223!Z107)&gt;VALUE(LASTV),VALUE(CALC2223!AB107)&gt;VALUE(LASTV),VALUE(CALC2223!AD107)&gt;VALUE(LASTV))</f>
        <v>0</v>
      </c>
      <c r="S108" s="4" t="b">
        <f ca="1">OR(VALUE(CALC2223!AF107)&gt;VALUE(LASTV),VALUE(CALC2223!AH107)&gt;VALUE(LASTV),VALUE(CALC2223!AJ107)&gt;VALUE(LASTV))</f>
        <v>0</v>
      </c>
      <c r="T108" s="4" t="b">
        <f ca="1">OR(VALUE(CALC2223!AL107)&gt;VALUE(LASTV),VALUE(CALC2223!AN107)&gt;VALUE(LASTV),VALUE(CALC2223!AP107)&gt;VALUE(LASTV))</f>
        <v>0</v>
      </c>
      <c r="U108" s="4" t="b">
        <f ca="1">OR(VALUE(CALC2223!AR107)&gt;VALUE(LASTV),VALUE(CALC2223!AT107)&gt;VALUE(LASTV),VALUE(CALC2223!AV107)&gt;VALUE(LASTV))</f>
        <v>0</v>
      </c>
      <c r="V108" s="1"/>
    </row>
    <row r="109" spans="1:22" ht="35.25" hidden="1" customHeight="1">
      <c r="A109" s="40"/>
      <c r="B109" s="41" t="s">
        <v>19</v>
      </c>
      <c r="C109" s="42">
        <v>46007</v>
      </c>
      <c r="D109" s="51" t="str">
        <f ca="1">CONCATENATE(CALC2223!A108," ",CALC2223!C108," ",CALC2223!E108)</f>
        <v xml:space="preserve">  </v>
      </c>
      <c r="E109" s="51" t="str">
        <f ca="1">CONCATENATE(CALC2223!G108," ",CALC2223!I108," ",CALC2223!K108)</f>
        <v xml:space="preserve">  </v>
      </c>
      <c r="F109" s="51" t="str">
        <f ca="1">CONCATENATE(CALC2223!M108," ",CALC2223!O108," ",CALC2223!Q108)</f>
        <v xml:space="preserve">  </v>
      </c>
      <c r="G109" s="51" t="str">
        <f ca="1">CONCATENATE(CALC2223!S108," ",CALC2223!U108," ",CALC2223!W108)</f>
        <v xml:space="preserve">Rep GS  </v>
      </c>
      <c r="H109" s="51" t="str">
        <f ca="1">CONCATENATE(CALC2223!Y108," ",CALC2223!AA108," ",CALC2223!AC108)</f>
        <v xml:space="preserve">  </v>
      </c>
      <c r="I109" s="51" t="str">
        <f ca="1">CONCATENATE(CALC2223!AE108," ",CALC2223!AG108," ",CALC2223!AI108)</f>
        <v xml:space="preserve">tsweek: G6 NETL  </v>
      </c>
      <c r="J109" s="51" t="str">
        <f ca="1">CONCATENATE(CALC2223!AK108," ",CALC2223!AM108," ",CALC2223!AO108)</f>
        <v xml:space="preserve">  </v>
      </c>
      <c r="K109" s="51" t="str">
        <f ca="1">CONCATENATE(CALC2223!AQ108," ",CALC2223!AS108," ",CALC2223!AU108," ",CALC2223!AW108)</f>
        <v xml:space="preserve">   </v>
      </c>
      <c r="L109" s="52" t="str">
        <f t="shared" ca="1" si="0"/>
        <v>verleden</v>
      </c>
      <c r="M109" s="1"/>
      <c r="N109" s="4" t="b">
        <f ca="1">OR(VALUE(CALC2223!B108)&gt;VALUE(LASTV),VALUE(CALC2223!D108)&gt;VALUE(LASTV),VALUE(CALC2223!F108)&gt;VALUE(LASTV))</f>
        <v>0</v>
      </c>
      <c r="O109" s="4" t="b">
        <f ca="1">OR(VALUE(CALC2223!H108)&gt;VALUE(LASTV),VALUE(CALC2223!J108)&gt;VALUE(LASTV),VALUE(CALC2223!L108)&gt;VALUE(LASTV))</f>
        <v>0</v>
      </c>
      <c r="P109" s="4" t="b">
        <f ca="1">OR(VALUE(CALC2223!N108)&gt;VALUE(LASTV),VALUE(CALC2223!P108)&gt;VALUE(LASTV),VALUE(CALC2223!R108)&gt;VALUE(LASTV))</f>
        <v>0</v>
      </c>
      <c r="Q109" s="4" t="b">
        <f ca="1">OR(VALUE(CALC2223!T108)&gt;VALUE(LASTV),VALUE(CALC2223!V108)&gt;VALUE(LASTV),VALUE(CALC2223!X108)&gt;VALUE(LASTV))</f>
        <v>0</v>
      </c>
      <c r="R109" s="4" t="b">
        <f ca="1">OR(VALUE(CALC2223!Z108)&gt;VALUE(LASTV),VALUE(CALC2223!AB108)&gt;VALUE(LASTV),VALUE(CALC2223!AD108)&gt;VALUE(LASTV))</f>
        <v>0</v>
      </c>
      <c r="S109" s="4" t="b">
        <f ca="1">OR(VALUE(CALC2223!AF108)&gt;VALUE(LASTV),VALUE(CALC2223!AH108)&gt;VALUE(LASTV),VALUE(CALC2223!AJ108)&gt;VALUE(LASTV))</f>
        <v>0</v>
      </c>
      <c r="T109" s="4" t="b">
        <f ca="1">OR(VALUE(CALC2223!AL108)&gt;VALUE(LASTV),VALUE(CALC2223!AN108)&gt;VALUE(LASTV),VALUE(CALC2223!AP108)&gt;VALUE(LASTV))</f>
        <v>0</v>
      </c>
      <c r="U109" s="4" t="b">
        <f ca="1">OR(VALUE(CALC2223!AR108)&gt;VALUE(LASTV),VALUE(CALC2223!AT108)&gt;VALUE(LASTV),VALUE(CALC2223!AV108)&gt;VALUE(LASTV))</f>
        <v>0</v>
      </c>
      <c r="V109" s="1"/>
    </row>
    <row r="110" spans="1:22" ht="35.25" hidden="1" customHeight="1">
      <c r="A110" s="40"/>
      <c r="B110" s="41" t="s">
        <v>20</v>
      </c>
      <c r="C110" s="42">
        <v>46008</v>
      </c>
      <c r="D110" s="51" t="str">
        <f ca="1">CONCATENATE(CALC2223!A109," ",CALC2223!C109," ",CALC2223!E109)</f>
        <v xml:space="preserve">Toetsdag: Rep LA  </v>
      </c>
      <c r="E110" s="51" t="str">
        <f ca="1">CONCATENATE(CALC2223!G109," ",CALC2223!I109," ",CALC2223!K109)</f>
        <v xml:space="preserve">Toetsdag: Rep GES/LA  </v>
      </c>
      <c r="F110" s="51" t="str">
        <f ca="1">CONCATENATE(CALC2223!M109," ",CALC2223!O109," ",CALC2223!Q109)</f>
        <v xml:space="preserve">Toetsdag: Rep GES/NA  </v>
      </c>
      <c r="G110" s="51" t="str">
        <f ca="1">CONCATENATE(CALC2223!S109," ",CALC2223!U109," ",CALC2223!W109)</f>
        <v xml:space="preserve">Rep SP (1e uur)  en MDT workshop  </v>
      </c>
      <c r="H110" s="51" t="str">
        <f ca="1">CONCATENATE(CALC2223!Y109," ",CALC2223!AA109," ",CALC2223!AC109)</f>
        <v xml:space="preserve">Toetsdag SE BI  SE GS  </v>
      </c>
      <c r="I110" s="51" t="str">
        <f ca="1">CONCATENATE(CALC2223!AE109," ",CALC2223!AG109," ",CALC2223!AI109)</f>
        <v xml:space="preserve">tsweek: G6 GRTL, LATL  </v>
      </c>
      <c r="J110" s="51" t="str">
        <f ca="1">CONCATENATE(CALC2223!AK109," ",CALC2223!AM109," ",CALC2223!AO109)</f>
        <v xml:space="preserve">  </v>
      </c>
      <c r="K110" s="51" t="str">
        <f ca="1">CONCATENATE(CALC2223!AQ109," ",CALC2223!AS109," ",CALC2223!AU109," ",CALC2223!AW109)</f>
        <v xml:space="preserve">   </v>
      </c>
      <c r="L110" s="52" t="str">
        <f t="shared" ca="1" si="0"/>
        <v>verleden</v>
      </c>
      <c r="M110" s="1"/>
      <c r="N110" s="4" t="b">
        <f ca="1">OR(VALUE(CALC2223!B109)&gt;VALUE(LASTV),VALUE(CALC2223!D109)&gt;VALUE(LASTV),VALUE(CALC2223!F109)&gt;VALUE(LASTV))</f>
        <v>0</v>
      </c>
      <c r="O110" s="4" t="b">
        <f ca="1">OR(VALUE(CALC2223!H109)&gt;VALUE(LASTV),VALUE(CALC2223!J109)&gt;VALUE(LASTV),VALUE(CALC2223!L109)&gt;VALUE(LASTV))</f>
        <v>0</v>
      </c>
      <c r="P110" s="4" t="b">
        <f ca="1">OR(VALUE(CALC2223!N109)&gt;VALUE(LASTV),VALUE(CALC2223!P109)&gt;VALUE(LASTV),VALUE(CALC2223!R109)&gt;VALUE(LASTV))</f>
        <v>0</v>
      </c>
      <c r="Q110" s="4" t="b">
        <f ca="1">OR(VALUE(CALC2223!T109)&gt;VALUE(LASTV),VALUE(CALC2223!V109)&gt;VALUE(LASTV),VALUE(CALC2223!X109)&gt;VALUE(LASTV))</f>
        <v>0</v>
      </c>
      <c r="R110" s="4" t="b">
        <f ca="1">OR(VALUE(CALC2223!Z109)&gt;VALUE(LASTV),VALUE(CALC2223!AB109)&gt;VALUE(LASTV),VALUE(CALC2223!AD109)&gt;VALUE(LASTV))</f>
        <v>0</v>
      </c>
      <c r="S110" s="4" t="b">
        <f ca="1">OR(VALUE(CALC2223!AF109)&gt;VALUE(LASTV),VALUE(CALC2223!AH109)&gt;VALUE(LASTV),VALUE(CALC2223!AJ109)&gt;VALUE(LASTV))</f>
        <v>0</v>
      </c>
      <c r="T110" s="4" t="b">
        <f ca="1">OR(VALUE(CALC2223!AL109)&gt;VALUE(LASTV),VALUE(CALC2223!AN109)&gt;VALUE(LASTV),VALUE(CALC2223!AP109)&gt;VALUE(LASTV))</f>
        <v>0</v>
      </c>
      <c r="U110" s="4" t="b">
        <f ca="1">OR(VALUE(CALC2223!AR109)&gt;VALUE(LASTV),VALUE(CALC2223!AT109)&gt;VALUE(LASTV),VALUE(CALC2223!AV109)&gt;VALUE(LASTV))</f>
        <v>0</v>
      </c>
      <c r="V110" s="1"/>
    </row>
    <row r="111" spans="1:22" ht="35.25" hidden="1" customHeight="1">
      <c r="A111" s="40"/>
      <c r="B111" s="41" t="s">
        <v>21</v>
      </c>
      <c r="C111" s="42">
        <v>46009</v>
      </c>
      <c r="D111" s="51" t="str">
        <f ca="1">CONCATENATE(CALC2223!A110," ",CALC2223!C110," ",CALC2223!E110)</f>
        <v xml:space="preserve">  </v>
      </c>
      <c r="E111" s="51" t="str">
        <f ca="1">CONCATENATE(CALC2223!G110," ",CALC2223!I110," ",CALC2223!K110)</f>
        <v xml:space="preserve">Toetsdag: Rep WIS  </v>
      </c>
      <c r="F111" s="51" t="str">
        <f ca="1">CONCATENATE(CALC2223!M110," ",CALC2223!O110," ",CALC2223!Q110)</f>
        <v xml:space="preserve">Toetsdag: Rep LA/SK  </v>
      </c>
      <c r="G111" s="51" t="str">
        <f ca="1">CONCATENATE(CALC2223!S110," ",CALC2223!U110," ",CALC2223!W110)</f>
        <v xml:space="preserve">inh SE ANW en MDT workshop  </v>
      </c>
      <c r="H111" s="51" t="str">
        <f ca="1">CONCATENATE(CALC2223!Y110," ",CALC2223!AA110," ",CALC2223!AC110)</f>
        <v xml:space="preserve">Toetsdag SE AK  SEWIC  Rep WIB  </v>
      </c>
      <c r="I111" s="51" t="str">
        <f ca="1">CONCATENATE(CALC2223!AE110," ",CALC2223!AG110," ",CALC2223!AI110)</f>
        <v xml:space="preserve">tsweek: G6 WIA, B en C / kerstdiner  </v>
      </c>
      <c r="J111" s="51" t="str">
        <f ca="1">CONCATENATE(CALC2223!AK110," ",CALC2223!AM110," ",CALC2223!AO110)</f>
        <v xml:space="preserve">commissies#4  </v>
      </c>
      <c r="K111" s="51" t="str">
        <f ca="1">CONCATENATE(CALC2223!AQ110," ",CALC2223!AS110," ",CALC2223!AU110," ",CALC2223!AW110)</f>
        <v xml:space="preserve">stgala   </v>
      </c>
      <c r="L111" s="52" t="str">
        <f t="shared" ca="1" si="0"/>
        <v>verleden</v>
      </c>
      <c r="M111" s="1"/>
      <c r="N111" s="4" t="b">
        <f ca="1">OR(VALUE(CALC2223!B110)&gt;VALUE(LASTV),VALUE(CALC2223!D110)&gt;VALUE(LASTV),VALUE(CALC2223!F110)&gt;VALUE(LASTV))</f>
        <v>0</v>
      </c>
      <c r="O111" s="4" t="b">
        <f ca="1">OR(VALUE(CALC2223!H110)&gt;VALUE(LASTV),VALUE(CALC2223!J110)&gt;VALUE(LASTV),VALUE(CALC2223!L110)&gt;VALUE(LASTV))</f>
        <v>0</v>
      </c>
      <c r="P111" s="4" t="b">
        <f ca="1">OR(VALUE(CALC2223!N110)&gt;VALUE(LASTV),VALUE(CALC2223!P110)&gt;VALUE(LASTV),VALUE(CALC2223!R110)&gt;VALUE(LASTV))</f>
        <v>0</v>
      </c>
      <c r="Q111" s="4" t="b">
        <f ca="1">OR(VALUE(CALC2223!T110)&gt;VALUE(LASTV),VALUE(CALC2223!V110)&gt;VALUE(LASTV),VALUE(CALC2223!X110)&gt;VALUE(LASTV))</f>
        <v>0</v>
      </c>
      <c r="R111" s="4" t="b">
        <f ca="1">OR(VALUE(CALC2223!Z110)&gt;VALUE(LASTV),VALUE(CALC2223!AB110)&gt;VALUE(LASTV),VALUE(CALC2223!AD110)&gt;VALUE(LASTV))</f>
        <v>0</v>
      </c>
      <c r="S111" s="4" t="b">
        <f ca="1">OR(VALUE(CALC2223!AF110)&gt;VALUE(LASTV),VALUE(CALC2223!AH110)&gt;VALUE(LASTV),VALUE(CALC2223!AJ110)&gt;VALUE(LASTV))</f>
        <v>0</v>
      </c>
      <c r="T111" s="4" t="b">
        <f ca="1">OR(VALUE(CALC2223!AL110)&gt;VALUE(LASTV),VALUE(CALC2223!AN110)&gt;VALUE(LASTV),VALUE(CALC2223!AP110)&gt;VALUE(LASTV))</f>
        <v>0</v>
      </c>
      <c r="U111" s="4" t="b">
        <f ca="1">OR(VALUE(CALC2223!AR110)&gt;VALUE(LASTV),VALUE(CALC2223!AT110)&gt;VALUE(LASTV),VALUE(CALC2223!AV110)&gt;VALUE(LASTV))</f>
        <v>0</v>
      </c>
      <c r="V111" s="1"/>
    </row>
    <row r="112" spans="1:22" ht="35.25" hidden="1" customHeight="1">
      <c r="A112" s="59"/>
      <c r="B112" s="60" t="s">
        <v>22</v>
      </c>
      <c r="C112" s="61">
        <v>46010</v>
      </c>
      <c r="D112" s="62" t="str">
        <f ca="1">CONCATENATE(CALC2223!A111," ",CALC2223!C111," ",CALC2223!E111)</f>
        <v xml:space="preserve">  </v>
      </c>
      <c r="E112" s="62" t="str">
        <f ca="1">CONCATENATE(CALC2223!G111," ",CALC2223!I111," ",CALC2223!K111)</f>
        <v xml:space="preserve">  </v>
      </c>
      <c r="F112" s="62" t="str">
        <f ca="1">CONCATENATE(CALC2223!M111," ",CALC2223!O111," ",CALC2223!Q111)</f>
        <v xml:space="preserve">  </v>
      </c>
      <c r="G112" s="62" t="str">
        <f ca="1">CONCATENATE(CALC2223!S111," ",CALC2223!U111," ",CALC2223!W111)</f>
        <v xml:space="preserve">  </v>
      </c>
      <c r="H112" s="62" t="str">
        <f ca="1">CONCATENATE(CALC2223!Y111," ",CALC2223!AA111," ",CALC2223!AC111)</f>
        <v xml:space="preserve">  </v>
      </c>
      <c r="I112" s="62" t="str">
        <f ca="1">CONCATENATE(CALC2223!AE111," ",CALC2223!AG111," ",CALC2223!AI111)</f>
        <v xml:space="preserve">  </v>
      </c>
      <c r="J112" s="62" t="str">
        <f ca="1">CONCATENATE(CALC2223!AK111," ",CALC2223!AM111," ",CALC2223!AO111)</f>
        <v xml:space="preserve">  </v>
      </c>
      <c r="K112" s="62" t="str">
        <f ca="1">CONCATENATE(CALC2223!AQ111," ",CALC2223!AS111," ",CALC2223!AU111," ",CALC2223!AW111)</f>
        <v xml:space="preserve">kerstviering            </v>
      </c>
      <c r="L112" s="63" t="str">
        <f t="shared" ca="1" si="0"/>
        <v>verleden</v>
      </c>
      <c r="M112" s="1"/>
      <c r="N112" s="4" t="b">
        <f ca="1">OR(VALUE(CALC2223!B111)&gt;VALUE(LASTV),VALUE(CALC2223!D111)&gt;VALUE(LASTV),VALUE(CALC2223!F111)&gt;VALUE(LASTV))</f>
        <v>0</v>
      </c>
      <c r="O112" s="4" t="b">
        <f ca="1">OR(VALUE(CALC2223!H111)&gt;VALUE(LASTV),VALUE(CALC2223!J111)&gt;VALUE(LASTV),VALUE(CALC2223!L111)&gt;VALUE(LASTV))</f>
        <v>0</v>
      </c>
      <c r="P112" s="4" t="b">
        <f ca="1">OR(VALUE(CALC2223!N111)&gt;VALUE(LASTV),VALUE(CALC2223!P111)&gt;VALUE(LASTV),VALUE(CALC2223!R111)&gt;VALUE(LASTV))</f>
        <v>0</v>
      </c>
      <c r="Q112" s="4" t="b">
        <f ca="1">OR(VALUE(CALC2223!T111)&gt;VALUE(LASTV),VALUE(CALC2223!V111)&gt;VALUE(LASTV),VALUE(CALC2223!X111)&gt;VALUE(LASTV))</f>
        <v>0</v>
      </c>
      <c r="R112" s="4" t="b">
        <f ca="1">OR(VALUE(CALC2223!Z111)&gt;VALUE(LASTV),VALUE(CALC2223!AB111)&gt;VALUE(LASTV),VALUE(CALC2223!AD111)&gt;VALUE(LASTV))</f>
        <v>0</v>
      </c>
      <c r="S112" s="4" t="b">
        <f ca="1">OR(VALUE(CALC2223!AF111)&gt;VALUE(LASTV),VALUE(CALC2223!AH111)&gt;VALUE(LASTV),VALUE(CALC2223!AJ111)&gt;VALUE(LASTV))</f>
        <v>0</v>
      </c>
      <c r="T112" s="4" t="b">
        <f ca="1">OR(VALUE(CALC2223!AL111)&gt;VALUE(LASTV),VALUE(CALC2223!AN111)&gt;VALUE(LASTV),VALUE(CALC2223!AP111)&gt;VALUE(LASTV))</f>
        <v>0</v>
      </c>
      <c r="U112" s="4" t="b">
        <f ca="1">OR(VALUE(CALC2223!AR111)&gt;VALUE(LASTV),VALUE(CALC2223!AT111)&gt;VALUE(LASTV),VALUE(CALC2223!AV111)&gt;VALUE(LASTV))</f>
        <v>0</v>
      </c>
      <c r="V112" s="1"/>
    </row>
    <row r="113" spans="1:22" ht="35.25" hidden="1" customHeight="1">
      <c r="A113" s="45"/>
      <c r="B113" s="46" t="s">
        <v>23</v>
      </c>
      <c r="C113" s="47">
        <v>46011</v>
      </c>
      <c r="D113" s="48" t="str">
        <f ca="1">CONCATENATE(CALC2223!A112," ",CALC2223!C112," ",CALC2223!E112)</f>
        <v xml:space="preserve">  </v>
      </c>
      <c r="E113" s="48" t="str">
        <f ca="1">CONCATENATE(CALC2223!G112," ",CALC2223!I112," ",CALC2223!K112)</f>
        <v xml:space="preserve">  </v>
      </c>
      <c r="F113" s="48" t="str">
        <f ca="1">CONCATENATE(CALC2223!M112," ",CALC2223!O112," ",CALC2223!Q112)</f>
        <v xml:space="preserve">  </v>
      </c>
      <c r="G113" s="48" t="str">
        <f ca="1">CONCATENATE(CALC2223!S112," ",CALC2223!U112," ",CALC2223!W112)</f>
        <v xml:space="preserve">  </v>
      </c>
      <c r="H113" s="48" t="str">
        <f ca="1">CONCATENATE(CALC2223!Y112," ",CALC2223!AA112," ",CALC2223!AC112)</f>
        <v xml:space="preserve">  </v>
      </c>
      <c r="I113" s="48" t="str">
        <f ca="1">CONCATENATE(CALC2223!AE112," ",CALC2223!AG112," ",CALC2223!AI112)</f>
        <v xml:space="preserve">  </v>
      </c>
      <c r="J113" s="48" t="str">
        <f ca="1">CONCATENATE(CALC2223!AK112," ",CALC2223!AM112," ",CALC2223!AO112)</f>
        <v xml:space="preserve">  </v>
      </c>
      <c r="K113" s="48" t="str">
        <f ca="1">CONCATENATE(CALC2223!AQ112," ",CALC2223!AS112," ",CALC2223!AU112," ",CALC2223!AW112)</f>
        <v xml:space="preserve">Kerstvakantie   </v>
      </c>
      <c r="L113" s="49" t="str">
        <f t="shared" ca="1" si="0"/>
        <v>verleden</v>
      </c>
      <c r="M113" s="1"/>
      <c r="N113" s="4" t="b">
        <f ca="1">OR(VALUE(CALC2223!B112)&gt;VALUE(LASTV),VALUE(CALC2223!D112)&gt;VALUE(LASTV),VALUE(CALC2223!F112)&gt;VALUE(LASTV))</f>
        <v>0</v>
      </c>
      <c r="O113" s="4" t="b">
        <f ca="1">OR(VALUE(CALC2223!H112)&gt;VALUE(LASTV),VALUE(CALC2223!J112)&gt;VALUE(LASTV),VALUE(CALC2223!L112)&gt;VALUE(LASTV))</f>
        <v>0</v>
      </c>
      <c r="P113" s="4" t="b">
        <f ca="1">OR(VALUE(CALC2223!N112)&gt;VALUE(LASTV),VALUE(CALC2223!P112)&gt;VALUE(LASTV),VALUE(CALC2223!R112)&gt;VALUE(LASTV))</f>
        <v>0</v>
      </c>
      <c r="Q113" s="4" t="b">
        <f ca="1">OR(VALUE(CALC2223!T112)&gt;VALUE(LASTV),VALUE(CALC2223!V112)&gt;VALUE(LASTV),VALUE(CALC2223!X112)&gt;VALUE(LASTV))</f>
        <v>0</v>
      </c>
      <c r="R113" s="4" t="b">
        <f ca="1">OR(VALUE(CALC2223!Z112)&gt;VALUE(LASTV),VALUE(CALC2223!AB112)&gt;VALUE(LASTV),VALUE(CALC2223!AD112)&gt;VALUE(LASTV))</f>
        <v>0</v>
      </c>
      <c r="S113" s="4" t="b">
        <f ca="1">OR(VALUE(CALC2223!AF112)&gt;VALUE(LASTV),VALUE(CALC2223!AH112)&gt;VALUE(LASTV),VALUE(CALC2223!AJ112)&gt;VALUE(LASTV))</f>
        <v>0</v>
      </c>
      <c r="T113" s="4" t="b">
        <f ca="1">OR(VALUE(CALC2223!AL112)&gt;VALUE(LASTV),VALUE(CALC2223!AN112)&gt;VALUE(LASTV),VALUE(CALC2223!AP112)&gt;VALUE(LASTV))</f>
        <v>0</v>
      </c>
      <c r="U113" s="4" t="b">
        <f ca="1">OR(VALUE(CALC2223!AR112)&gt;VALUE(LASTV),VALUE(CALC2223!AT112)&gt;VALUE(LASTV),VALUE(CALC2223!AV112)&gt;VALUE(LASTV))</f>
        <v>0</v>
      </c>
      <c r="V113" s="1"/>
    </row>
    <row r="114" spans="1:22" ht="35.25" hidden="1" customHeight="1">
      <c r="A114" s="45"/>
      <c r="B114" s="46" t="s">
        <v>24</v>
      </c>
      <c r="C114" s="47">
        <v>46012</v>
      </c>
      <c r="D114" s="48" t="str">
        <f ca="1">CONCATENATE(CALC2223!A113," ",CALC2223!C113," ",CALC2223!E113)</f>
        <v xml:space="preserve">  </v>
      </c>
      <c r="E114" s="48" t="str">
        <f ca="1">CONCATENATE(CALC2223!G113," ",CALC2223!I113," ",CALC2223!K113)</f>
        <v xml:space="preserve">  </v>
      </c>
      <c r="F114" s="48" t="str">
        <f ca="1">CONCATENATE(CALC2223!M113," ",CALC2223!O113," ",CALC2223!Q113)</f>
        <v xml:space="preserve">  </v>
      </c>
      <c r="G114" s="48" t="str">
        <f ca="1">CONCATENATE(CALC2223!S113," ",CALC2223!U113," ",CALC2223!W113)</f>
        <v xml:space="preserve">  </v>
      </c>
      <c r="H114" s="48" t="str">
        <f ca="1">CONCATENATE(CALC2223!Y113," ",CALC2223!AA113," ",CALC2223!AC113)</f>
        <v xml:space="preserve">  </v>
      </c>
      <c r="I114" s="48" t="str">
        <f ca="1">CONCATENATE(CALC2223!AE113," ",CALC2223!AG113," ",CALC2223!AI113)</f>
        <v xml:space="preserve">  </v>
      </c>
      <c r="J114" s="48" t="str">
        <f ca="1">CONCATENATE(CALC2223!AK113," ",CALC2223!AM113," ",CALC2223!AO113)</f>
        <v xml:space="preserve">  </v>
      </c>
      <c r="K114" s="48" t="str">
        <f ca="1">CONCATENATE(CALC2223!AQ113," ",CALC2223!AS113," ",CALC2223!AU113," ",CALC2223!AW113)</f>
        <v xml:space="preserve">   </v>
      </c>
      <c r="L114" s="49" t="str">
        <f t="shared" ca="1" si="0"/>
        <v>verleden</v>
      </c>
      <c r="M114" s="1"/>
      <c r="N114" s="4" t="b">
        <f ca="1">OR(VALUE(CALC2223!B113)&gt;VALUE(LASTV),VALUE(CALC2223!D113)&gt;VALUE(LASTV),VALUE(CALC2223!F113)&gt;VALUE(LASTV))</f>
        <v>0</v>
      </c>
      <c r="O114" s="4" t="b">
        <f ca="1">OR(VALUE(CALC2223!H113)&gt;VALUE(LASTV),VALUE(CALC2223!J113)&gt;VALUE(LASTV),VALUE(CALC2223!L113)&gt;VALUE(LASTV))</f>
        <v>0</v>
      </c>
      <c r="P114" s="4" t="b">
        <f ca="1">OR(VALUE(CALC2223!N113)&gt;VALUE(LASTV),VALUE(CALC2223!P113)&gt;VALUE(LASTV),VALUE(CALC2223!R113)&gt;VALUE(LASTV))</f>
        <v>0</v>
      </c>
      <c r="Q114" s="4" t="b">
        <f ca="1">OR(VALUE(CALC2223!T113)&gt;VALUE(LASTV),VALUE(CALC2223!V113)&gt;VALUE(LASTV),VALUE(CALC2223!X113)&gt;VALUE(LASTV))</f>
        <v>0</v>
      </c>
      <c r="R114" s="4" t="b">
        <f ca="1">OR(VALUE(CALC2223!Z113)&gt;VALUE(LASTV),VALUE(CALC2223!AB113)&gt;VALUE(LASTV),VALUE(CALC2223!AD113)&gt;VALUE(LASTV))</f>
        <v>0</v>
      </c>
      <c r="S114" s="4" t="b">
        <f ca="1">OR(VALUE(CALC2223!AF113)&gt;VALUE(LASTV),VALUE(CALC2223!AH113)&gt;VALUE(LASTV),VALUE(CALC2223!AJ113)&gt;VALUE(LASTV))</f>
        <v>0</v>
      </c>
      <c r="T114" s="4" t="b">
        <f ca="1">OR(VALUE(CALC2223!AL113)&gt;VALUE(LASTV),VALUE(CALC2223!AN113)&gt;VALUE(LASTV),VALUE(CALC2223!AP113)&gt;VALUE(LASTV))</f>
        <v>0</v>
      </c>
      <c r="U114" s="4" t="b">
        <f ca="1">OR(VALUE(CALC2223!AR113)&gt;VALUE(LASTV),VALUE(CALC2223!AT113)&gt;VALUE(LASTV),VALUE(CALC2223!AV113)&gt;VALUE(LASTV))</f>
        <v>0</v>
      </c>
      <c r="V114" s="1"/>
    </row>
    <row r="115" spans="1:22" ht="35.25" hidden="1" customHeight="1">
      <c r="A115" s="69">
        <v>52</v>
      </c>
      <c r="B115" s="70" t="s">
        <v>18</v>
      </c>
      <c r="C115" s="71">
        <v>46013</v>
      </c>
      <c r="D115" s="72" t="str">
        <f ca="1">CONCATENATE(CALC2223!A114," ",CALC2223!C114," ",CALC2223!E114)</f>
        <v xml:space="preserve">  </v>
      </c>
      <c r="E115" s="72" t="str">
        <f ca="1">CONCATENATE(CALC2223!G114," ",CALC2223!I114," ",CALC2223!K114)</f>
        <v xml:space="preserve">  </v>
      </c>
      <c r="F115" s="72" t="str">
        <f ca="1">CONCATENATE(CALC2223!M114," ",CALC2223!O114," ",CALC2223!Q114)</f>
        <v xml:space="preserve">  </v>
      </c>
      <c r="G115" s="72" t="str">
        <f ca="1">CONCATENATE(CALC2223!S114," ",CALC2223!U114," ",CALC2223!W114)</f>
        <v xml:space="preserve">  </v>
      </c>
      <c r="H115" s="72" t="str">
        <f ca="1">CONCATENATE(CALC2223!Y114," ",CALC2223!AA114," ",CALC2223!AC114)</f>
        <v xml:space="preserve">  </v>
      </c>
      <c r="I115" s="72" t="str">
        <f ca="1">CONCATENATE(CALC2223!AE114," ",CALC2223!AG114," ",CALC2223!AI114)</f>
        <v xml:space="preserve">  </v>
      </c>
      <c r="J115" s="72" t="str">
        <f ca="1">CONCATENATE(CALC2223!AK114," ",CALC2223!AM114," ",CALC2223!AO114)</f>
        <v xml:space="preserve">  </v>
      </c>
      <c r="K115" s="72" t="str">
        <f ca="1">CONCATENATE(CALC2223!AQ114," ",CALC2223!AS114," ",CALC2223!AU114," ",CALC2223!AW114)</f>
        <v xml:space="preserve">   kerstvakantie</v>
      </c>
      <c r="L115" s="73" t="str">
        <f t="shared" ca="1" si="0"/>
        <v>verleden</v>
      </c>
      <c r="M115" s="1"/>
      <c r="N115" s="4" t="b">
        <f ca="1">OR(VALUE(CALC2223!B114)&gt;VALUE(LASTV),VALUE(CALC2223!D114)&gt;VALUE(LASTV),VALUE(CALC2223!F114)&gt;VALUE(LASTV))</f>
        <v>0</v>
      </c>
      <c r="O115" s="4" t="b">
        <f ca="1">OR(VALUE(CALC2223!H114)&gt;VALUE(LASTV),VALUE(CALC2223!J114)&gt;VALUE(LASTV),VALUE(CALC2223!L114)&gt;VALUE(LASTV))</f>
        <v>0</v>
      </c>
      <c r="P115" s="4" t="b">
        <f ca="1">OR(VALUE(CALC2223!N114)&gt;VALUE(LASTV),VALUE(CALC2223!P114)&gt;VALUE(LASTV),VALUE(CALC2223!R114)&gt;VALUE(LASTV))</f>
        <v>0</v>
      </c>
      <c r="Q115" s="4" t="b">
        <f ca="1">OR(VALUE(CALC2223!T114)&gt;VALUE(LASTV),VALUE(CALC2223!V114)&gt;VALUE(LASTV),VALUE(CALC2223!X114)&gt;VALUE(LASTV))</f>
        <v>0</v>
      </c>
      <c r="R115" s="4" t="b">
        <f ca="1">OR(VALUE(CALC2223!Z114)&gt;VALUE(LASTV),VALUE(CALC2223!AB114)&gt;VALUE(LASTV),VALUE(CALC2223!AD114)&gt;VALUE(LASTV))</f>
        <v>0</v>
      </c>
      <c r="S115" s="4" t="b">
        <f ca="1">OR(VALUE(CALC2223!AF114)&gt;VALUE(LASTV),VALUE(CALC2223!AH114)&gt;VALUE(LASTV),VALUE(CALC2223!AJ114)&gt;VALUE(LASTV))</f>
        <v>0</v>
      </c>
      <c r="T115" s="4" t="b">
        <f ca="1">OR(VALUE(CALC2223!AL114)&gt;VALUE(LASTV),VALUE(CALC2223!AN114)&gt;VALUE(LASTV),VALUE(CALC2223!AP114)&gt;VALUE(LASTV))</f>
        <v>0</v>
      </c>
      <c r="U115" s="4" t="b">
        <f ca="1">OR(VALUE(CALC2223!AR114)&gt;VALUE(LASTV),VALUE(CALC2223!AT114)&gt;VALUE(LASTV),VALUE(CALC2223!AV114)&gt;VALUE(LASTV))</f>
        <v>0</v>
      </c>
      <c r="V115" s="1"/>
    </row>
    <row r="116" spans="1:22" ht="35.25" hidden="1" customHeight="1">
      <c r="A116" s="74"/>
      <c r="B116" s="70" t="s">
        <v>19</v>
      </c>
      <c r="C116" s="71">
        <v>46014</v>
      </c>
      <c r="D116" s="72" t="str">
        <f ca="1">CONCATENATE(CALC2223!A115," ",CALC2223!C115," ",CALC2223!E115)</f>
        <v xml:space="preserve">  </v>
      </c>
      <c r="E116" s="72" t="str">
        <f ca="1">CONCATENATE(CALC2223!G115," ",CALC2223!I115," ",CALC2223!K115)</f>
        <v xml:space="preserve">  </v>
      </c>
      <c r="F116" s="72" t="str">
        <f ca="1">CONCATENATE(CALC2223!M115," ",CALC2223!O115," ",CALC2223!Q115)</f>
        <v xml:space="preserve">  </v>
      </c>
      <c r="G116" s="72" t="str">
        <f ca="1">CONCATENATE(CALC2223!S115," ",CALC2223!U115," ",CALC2223!W115)</f>
        <v xml:space="preserve">  </v>
      </c>
      <c r="H116" s="72" t="str">
        <f ca="1">CONCATENATE(CALC2223!Y115," ",CALC2223!AA115," ",CALC2223!AC115)</f>
        <v xml:space="preserve">  </v>
      </c>
      <c r="I116" s="72" t="str">
        <f ca="1">CONCATENATE(CALC2223!AE115," ",CALC2223!AG115," ",CALC2223!AI115)</f>
        <v xml:space="preserve">  </v>
      </c>
      <c r="J116" s="72" t="str">
        <f ca="1">CONCATENATE(CALC2223!AK115," ",CALC2223!AM115," ",CALC2223!AO115)</f>
        <v xml:space="preserve">  </v>
      </c>
      <c r="K116" s="72" t="str">
        <f ca="1">CONCATENATE(CALC2223!AQ115," ",CALC2223!AS115," ",CALC2223!AU115," ",CALC2223!AW115)</f>
        <v xml:space="preserve">   </v>
      </c>
      <c r="L116" s="73" t="str">
        <f t="shared" ca="1" si="0"/>
        <v>verleden</v>
      </c>
      <c r="M116" s="1"/>
      <c r="N116" s="4" t="b">
        <f ca="1">OR(VALUE(CALC2223!B115)&gt;VALUE(LASTV),VALUE(CALC2223!D115)&gt;VALUE(LASTV),VALUE(CALC2223!F115)&gt;VALUE(LASTV))</f>
        <v>0</v>
      </c>
      <c r="O116" s="4" t="b">
        <f ca="1">OR(VALUE(CALC2223!H115)&gt;VALUE(LASTV),VALUE(CALC2223!J115)&gt;VALUE(LASTV),VALUE(CALC2223!L115)&gt;VALUE(LASTV))</f>
        <v>0</v>
      </c>
      <c r="P116" s="4" t="b">
        <f ca="1">OR(VALUE(CALC2223!N115)&gt;VALUE(LASTV),VALUE(CALC2223!P115)&gt;VALUE(LASTV),VALUE(CALC2223!R115)&gt;VALUE(LASTV))</f>
        <v>0</v>
      </c>
      <c r="Q116" s="4" t="b">
        <f ca="1">OR(VALUE(CALC2223!T115)&gt;VALUE(LASTV),VALUE(CALC2223!V115)&gt;VALUE(LASTV),VALUE(CALC2223!X115)&gt;VALUE(LASTV))</f>
        <v>0</v>
      </c>
      <c r="R116" s="4" t="b">
        <f ca="1">OR(VALUE(CALC2223!Z115)&gt;VALUE(LASTV),VALUE(CALC2223!AB115)&gt;VALUE(LASTV),VALUE(CALC2223!AD115)&gt;VALUE(LASTV))</f>
        <v>0</v>
      </c>
      <c r="S116" s="4" t="b">
        <f ca="1">OR(VALUE(CALC2223!AF115)&gt;VALUE(LASTV),VALUE(CALC2223!AH115)&gt;VALUE(LASTV),VALUE(CALC2223!AJ115)&gt;VALUE(LASTV))</f>
        <v>0</v>
      </c>
      <c r="T116" s="4" t="b">
        <f ca="1">OR(VALUE(CALC2223!AL115)&gt;VALUE(LASTV),VALUE(CALC2223!AN115)&gt;VALUE(LASTV),VALUE(CALC2223!AP115)&gt;VALUE(LASTV))</f>
        <v>0</v>
      </c>
      <c r="U116" s="4" t="b">
        <f ca="1">OR(VALUE(CALC2223!AR115)&gt;VALUE(LASTV),VALUE(CALC2223!AT115)&gt;VALUE(LASTV),VALUE(CALC2223!AV115)&gt;VALUE(LASTV))</f>
        <v>0</v>
      </c>
      <c r="V116" s="1"/>
    </row>
    <row r="117" spans="1:22" ht="35.25" hidden="1" customHeight="1">
      <c r="A117" s="74"/>
      <c r="B117" s="70" t="s">
        <v>20</v>
      </c>
      <c r="C117" s="71">
        <v>46015</v>
      </c>
      <c r="D117" s="72" t="str">
        <f ca="1">CONCATENATE(CALC2223!A116," ",CALC2223!C116," ",CALC2223!E116)</f>
        <v xml:space="preserve">  </v>
      </c>
      <c r="E117" s="72" t="str">
        <f ca="1">CONCATENATE(CALC2223!G116," ",CALC2223!I116," ",CALC2223!K116)</f>
        <v xml:space="preserve">  </v>
      </c>
      <c r="F117" s="72" t="str">
        <f ca="1">CONCATENATE(CALC2223!M116," ",CALC2223!O116," ",CALC2223!Q116)</f>
        <v xml:space="preserve">  </v>
      </c>
      <c r="G117" s="72" t="str">
        <f ca="1">CONCATENATE(CALC2223!S116," ",CALC2223!U116," ",CALC2223!W116)</f>
        <v xml:space="preserve">  </v>
      </c>
      <c r="H117" s="72" t="str">
        <f ca="1">CONCATENATE(CALC2223!Y116," ",CALC2223!AA116," ",CALC2223!AC116)</f>
        <v xml:space="preserve">  </v>
      </c>
      <c r="I117" s="72" t="str">
        <f ca="1">CONCATENATE(CALC2223!AE116," ",CALC2223!AG116," ",CALC2223!AI116)</f>
        <v xml:space="preserve">  </v>
      </c>
      <c r="J117" s="72" t="str">
        <f ca="1">CONCATENATE(CALC2223!AK116," ",CALC2223!AM116," ",CALC2223!AO116)</f>
        <v xml:space="preserve">  </v>
      </c>
      <c r="K117" s="72" t="str">
        <f ca="1">CONCATENATE(CALC2223!AQ116," ",CALC2223!AS116," ",CALC2223!AU116," ",CALC2223!AW116)</f>
        <v xml:space="preserve">   </v>
      </c>
      <c r="L117" s="73" t="str">
        <f t="shared" ca="1" si="0"/>
        <v>verleden</v>
      </c>
      <c r="M117" s="1"/>
      <c r="N117" s="4" t="b">
        <f ca="1">OR(VALUE(CALC2223!B116)&gt;VALUE(LASTV),VALUE(CALC2223!D116)&gt;VALUE(LASTV),VALUE(CALC2223!F116)&gt;VALUE(LASTV))</f>
        <v>0</v>
      </c>
      <c r="O117" s="4" t="b">
        <f ca="1">OR(VALUE(CALC2223!H116)&gt;VALUE(LASTV),VALUE(CALC2223!J116)&gt;VALUE(LASTV),VALUE(CALC2223!L116)&gt;VALUE(LASTV))</f>
        <v>0</v>
      </c>
      <c r="P117" s="4" t="b">
        <f ca="1">OR(VALUE(CALC2223!N116)&gt;VALUE(LASTV),VALUE(CALC2223!P116)&gt;VALUE(LASTV),VALUE(CALC2223!R116)&gt;VALUE(LASTV))</f>
        <v>0</v>
      </c>
      <c r="Q117" s="4" t="b">
        <f ca="1">OR(VALUE(CALC2223!T116)&gt;VALUE(LASTV),VALUE(CALC2223!V116)&gt;VALUE(LASTV),VALUE(CALC2223!X116)&gt;VALUE(LASTV))</f>
        <v>0</v>
      </c>
      <c r="R117" s="4" t="b">
        <f ca="1">OR(VALUE(CALC2223!Z116)&gt;VALUE(LASTV),VALUE(CALC2223!AB116)&gt;VALUE(LASTV),VALUE(CALC2223!AD116)&gt;VALUE(LASTV))</f>
        <v>0</v>
      </c>
      <c r="S117" s="4" t="b">
        <f ca="1">OR(VALUE(CALC2223!AF116)&gt;VALUE(LASTV),VALUE(CALC2223!AH116)&gt;VALUE(LASTV),VALUE(CALC2223!AJ116)&gt;VALUE(LASTV))</f>
        <v>0</v>
      </c>
      <c r="T117" s="4" t="b">
        <f ca="1">OR(VALUE(CALC2223!AL116)&gt;VALUE(LASTV),VALUE(CALC2223!AN116)&gt;VALUE(LASTV),VALUE(CALC2223!AP116)&gt;VALUE(LASTV))</f>
        <v>0</v>
      </c>
      <c r="U117" s="4" t="b">
        <f ca="1">OR(VALUE(CALC2223!AR116)&gt;VALUE(LASTV),VALUE(CALC2223!AT116)&gt;VALUE(LASTV),VALUE(CALC2223!AV116)&gt;VALUE(LASTV))</f>
        <v>0</v>
      </c>
      <c r="V117" s="1"/>
    </row>
    <row r="118" spans="1:22" ht="35.25" hidden="1" customHeight="1">
      <c r="A118" s="75"/>
      <c r="B118" s="76" t="s">
        <v>21</v>
      </c>
      <c r="C118" s="77">
        <v>46016</v>
      </c>
      <c r="D118" s="78" t="str">
        <f ca="1">CONCATENATE(CALC2223!A117," ",CALC2223!C117," ",CALC2223!E117)</f>
        <v xml:space="preserve">  </v>
      </c>
      <c r="E118" s="78" t="str">
        <f ca="1">CONCATENATE(CALC2223!G117," ",CALC2223!I117," ",CALC2223!K117)</f>
        <v xml:space="preserve">  </v>
      </c>
      <c r="F118" s="78" t="str">
        <f ca="1">CONCATENATE(CALC2223!M117," ",CALC2223!O117," ",CALC2223!Q117)</f>
        <v xml:space="preserve">  </v>
      </c>
      <c r="G118" s="78" t="str">
        <f ca="1">CONCATENATE(CALC2223!S117," ",CALC2223!U117," ",CALC2223!W117)</f>
        <v xml:space="preserve">  </v>
      </c>
      <c r="H118" s="78" t="str">
        <f ca="1">CONCATENATE(CALC2223!Y117," ",CALC2223!AA117," ",CALC2223!AC117)</f>
        <v xml:space="preserve">  </v>
      </c>
      <c r="I118" s="78" t="str">
        <f ca="1">CONCATENATE(CALC2223!AE117," ",CALC2223!AG117," ",CALC2223!AI117)</f>
        <v xml:space="preserve">  </v>
      </c>
      <c r="J118" s="78" t="str">
        <f ca="1">CONCATENATE(CALC2223!AK117," ",CALC2223!AM117," ",CALC2223!AO117)</f>
        <v xml:space="preserve">  </v>
      </c>
      <c r="K118" s="78" t="str">
        <f ca="1">CONCATENATE(CALC2223!AQ117," ",CALC2223!AS117," ",CALC2223!AU117," ",CALC2223!AW117)</f>
        <v xml:space="preserve">1e kerstdag   </v>
      </c>
      <c r="L118" s="79" t="str">
        <f t="shared" ca="1" si="0"/>
        <v>verleden</v>
      </c>
      <c r="M118" s="1"/>
      <c r="N118" s="4" t="b">
        <f ca="1">OR(VALUE(CALC2223!B117)&gt;VALUE(LASTV),VALUE(CALC2223!D117)&gt;VALUE(LASTV),VALUE(CALC2223!F117)&gt;VALUE(LASTV))</f>
        <v>0</v>
      </c>
      <c r="O118" s="4" t="b">
        <f ca="1">OR(VALUE(CALC2223!H117)&gt;VALUE(LASTV),VALUE(CALC2223!J117)&gt;VALUE(LASTV),VALUE(CALC2223!L117)&gt;VALUE(LASTV))</f>
        <v>0</v>
      </c>
      <c r="P118" s="4" t="b">
        <f ca="1">OR(VALUE(CALC2223!N117)&gt;VALUE(LASTV),VALUE(CALC2223!P117)&gt;VALUE(LASTV),VALUE(CALC2223!R117)&gt;VALUE(LASTV))</f>
        <v>0</v>
      </c>
      <c r="Q118" s="4" t="b">
        <f ca="1">OR(VALUE(CALC2223!T117)&gt;VALUE(LASTV),VALUE(CALC2223!V117)&gt;VALUE(LASTV),VALUE(CALC2223!X117)&gt;VALUE(LASTV))</f>
        <v>0</v>
      </c>
      <c r="R118" s="4" t="b">
        <f ca="1">OR(VALUE(CALC2223!Z117)&gt;VALUE(LASTV),VALUE(CALC2223!AB117)&gt;VALUE(LASTV),VALUE(CALC2223!AD117)&gt;VALUE(LASTV))</f>
        <v>0</v>
      </c>
      <c r="S118" s="4" t="b">
        <f ca="1">OR(VALUE(CALC2223!AF117)&gt;VALUE(LASTV),VALUE(CALC2223!AH117)&gt;VALUE(LASTV),VALUE(CALC2223!AJ117)&gt;VALUE(LASTV))</f>
        <v>0</v>
      </c>
      <c r="T118" s="4" t="b">
        <f ca="1">OR(VALUE(CALC2223!AL117)&gt;VALUE(LASTV),VALUE(CALC2223!AN117)&gt;VALUE(LASTV),VALUE(CALC2223!AP117)&gt;VALUE(LASTV))</f>
        <v>0</v>
      </c>
      <c r="U118" s="4" t="b">
        <f ca="1">OR(VALUE(CALC2223!AR117)&gt;VALUE(LASTV),VALUE(CALC2223!AT117)&gt;VALUE(LASTV),VALUE(CALC2223!AV117)&gt;VALUE(LASTV))</f>
        <v>0</v>
      </c>
      <c r="V118" s="1"/>
    </row>
    <row r="119" spans="1:22" ht="35.25" hidden="1" customHeight="1">
      <c r="A119" s="75"/>
      <c r="B119" s="76" t="s">
        <v>22</v>
      </c>
      <c r="C119" s="77">
        <v>46017</v>
      </c>
      <c r="D119" s="78" t="str">
        <f ca="1">CONCATENATE(CALC2223!A118," ",CALC2223!C118," ",CALC2223!E118)</f>
        <v xml:space="preserve">  </v>
      </c>
      <c r="E119" s="78" t="str">
        <f ca="1">CONCATENATE(CALC2223!G118," ",CALC2223!I118," ",CALC2223!K118)</f>
        <v xml:space="preserve">  </v>
      </c>
      <c r="F119" s="78" t="str">
        <f ca="1">CONCATENATE(CALC2223!M118," ",CALC2223!O118," ",CALC2223!Q118)</f>
        <v xml:space="preserve">  </v>
      </c>
      <c r="G119" s="78" t="str">
        <f ca="1">CONCATENATE(CALC2223!S118," ",CALC2223!U118," ",CALC2223!W118)</f>
        <v xml:space="preserve">  </v>
      </c>
      <c r="H119" s="78" t="str">
        <f ca="1">CONCATENATE(CALC2223!Y118," ",CALC2223!AA118," ",CALC2223!AC118)</f>
        <v xml:space="preserve">  </v>
      </c>
      <c r="I119" s="78" t="str">
        <f ca="1">CONCATENATE(CALC2223!AE118," ",CALC2223!AG118," ",CALC2223!AI118)</f>
        <v xml:space="preserve">  </v>
      </c>
      <c r="J119" s="78" t="str">
        <f ca="1">CONCATENATE(CALC2223!AK118," ",CALC2223!AM118," ",CALC2223!AO118)</f>
        <v xml:space="preserve">  </v>
      </c>
      <c r="K119" s="78" t="str">
        <f ca="1">CONCATENATE(CALC2223!AQ118," ",CALC2223!AS118," ",CALC2223!AU118," ",CALC2223!AW118)</f>
        <v xml:space="preserve">2e kerstdag   </v>
      </c>
      <c r="L119" s="79" t="str">
        <f t="shared" ca="1" si="0"/>
        <v>verleden</v>
      </c>
      <c r="M119" s="1"/>
      <c r="N119" s="6" t="b">
        <f ca="1">OR(VALUE(CALC2223!B118)&gt;VALUE(LASTV),VALUE(CALC2223!D118)&gt;VALUE(LASTV),VALUE(CALC2223!F118)&gt;VALUE(LASTV))</f>
        <v>0</v>
      </c>
      <c r="O119" s="6" t="b">
        <f ca="1">OR(VALUE(CALC2223!H118)&gt;VALUE(LASTV),VALUE(CALC2223!J118)&gt;VALUE(LASTV),VALUE(CALC2223!L118)&gt;VALUE(LASTV))</f>
        <v>0</v>
      </c>
      <c r="P119" s="6" t="b">
        <f ca="1">OR(VALUE(CALC2223!N118)&gt;VALUE(LASTV),VALUE(CALC2223!P118)&gt;VALUE(LASTV),VALUE(CALC2223!R118)&gt;VALUE(LASTV))</f>
        <v>0</v>
      </c>
      <c r="Q119" s="6" t="b">
        <f ca="1">OR(VALUE(CALC2223!T118)&gt;VALUE(LASTV),VALUE(CALC2223!V118)&gt;VALUE(LASTV),VALUE(CALC2223!X118)&gt;VALUE(LASTV))</f>
        <v>0</v>
      </c>
      <c r="R119" s="6" t="b">
        <f ca="1">OR(VALUE(CALC2223!Z118)&gt;VALUE(LASTV),VALUE(CALC2223!AB118)&gt;VALUE(LASTV),VALUE(CALC2223!AD118)&gt;VALUE(LASTV))</f>
        <v>0</v>
      </c>
      <c r="S119" s="6" t="b">
        <f ca="1">OR(VALUE(CALC2223!AF118)&gt;VALUE(LASTV),VALUE(CALC2223!AH118)&gt;VALUE(LASTV),VALUE(CALC2223!AJ118)&gt;VALUE(LASTV))</f>
        <v>0</v>
      </c>
      <c r="T119" s="6" t="b">
        <f ca="1">OR(VALUE(CALC2223!AL118)&gt;VALUE(LASTV),VALUE(CALC2223!AN118)&gt;VALUE(LASTV),VALUE(CALC2223!AP118)&gt;VALUE(LASTV))</f>
        <v>0</v>
      </c>
      <c r="U119" s="6" t="b">
        <f ca="1">OR(VALUE(CALC2223!AR118)&gt;VALUE(LASTV),VALUE(CALC2223!AT118)&gt;VALUE(LASTV),VALUE(CALC2223!AV118)&gt;VALUE(LASTV))</f>
        <v>0</v>
      </c>
      <c r="V119" s="1"/>
    </row>
    <row r="120" spans="1:22" ht="35.25" hidden="1" customHeight="1">
      <c r="A120" s="64"/>
      <c r="B120" s="65" t="s">
        <v>23</v>
      </c>
      <c r="C120" s="66">
        <v>46018</v>
      </c>
      <c r="D120" s="67" t="str">
        <f ca="1">CONCATENATE(CALC2223!A119," ",CALC2223!C119," ",CALC2223!E119)</f>
        <v xml:space="preserve">  </v>
      </c>
      <c r="E120" s="67" t="str">
        <f ca="1">CONCATENATE(CALC2223!G119," ",CALC2223!I119," ",CALC2223!K119)</f>
        <v xml:space="preserve">  </v>
      </c>
      <c r="F120" s="67" t="str">
        <f ca="1">CONCATENATE(CALC2223!M119," ",CALC2223!O119," ",CALC2223!Q119)</f>
        <v xml:space="preserve">  </v>
      </c>
      <c r="G120" s="67" t="str">
        <f ca="1">CONCATENATE(CALC2223!S119," ",CALC2223!U119," ",CALC2223!W119)</f>
        <v xml:space="preserve">  </v>
      </c>
      <c r="H120" s="67" t="str">
        <f ca="1">CONCATENATE(CALC2223!Y119," ",CALC2223!AA119," ",CALC2223!AC119)</f>
        <v xml:space="preserve">  </v>
      </c>
      <c r="I120" s="67" t="str">
        <f ca="1">CONCATENATE(CALC2223!AE119," ",CALC2223!AG119," ",CALC2223!AI119)</f>
        <v xml:space="preserve">  </v>
      </c>
      <c r="J120" s="67" t="str">
        <f ca="1">CONCATENATE(CALC2223!AK119," ",CALC2223!AM119," ",CALC2223!AO119)</f>
        <v xml:space="preserve">  </v>
      </c>
      <c r="K120" s="67" t="str">
        <f ca="1">CONCATENATE(CALC2223!AQ119," ",CALC2223!AS119," ",CALC2223!AU119," ",CALC2223!AW119)</f>
        <v xml:space="preserve">   </v>
      </c>
      <c r="L120" s="68" t="str">
        <f t="shared" ca="1" si="0"/>
        <v>verleden</v>
      </c>
      <c r="M120" s="1"/>
      <c r="N120" s="4" t="b">
        <f ca="1">OR(VALUE(CALC2223!B119)&gt;VALUE(LASTV),VALUE(CALC2223!D119)&gt;VALUE(LASTV),VALUE(CALC2223!F119)&gt;VALUE(LASTV))</f>
        <v>0</v>
      </c>
      <c r="O120" s="4" t="b">
        <f ca="1">OR(VALUE(CALC2223!H119)&gt;VALUE(LASTV),VALUE(CALC2223!J119)&gt;VALUE(LASTV),VALUE(CALC2223!L119)&gt;VALUE(LASTV))</f>
        <v>0</v>
      </c>
      <c r="P120" s="4" t="b">
        <f ca="1">OR(VALUE(CALC2223!N119)&gt;VALUE(LASTV),VALUE(CALC2223!P119)&gt;VALUE(LASTV),VALUE(CALC2223!R119)&gt;VALUE(LASTV))</f>
        <v>0</v>
      </c>
      <c r="Q120" s="4" t="b">
        <f ca="1">OR(VALUE(CALC2223!T119)&gt;VALUE(LASTV),VALUE(CALC2223!V119)&gt;VALUE(LASTV),VALUE(CALC2223!X119)&gt;VALUE(LASTV))</f>
        <v>0</v>
      </c>
      <c r="R120" s="4" t="b">
        <f ca="1">OR(VALUE(CALC2223!Z119)&gt;VALUE(LASTV),VALUE(CALC2223!AB119)&gt;VALUE(LASTV),VALUE(CALC2223!AD119)&gt;VALUE(LASTV))</f>
        <v>0</v>
      </c>
      <c r="S120" s="4" t="b">
        <f ca="1">OR(VALUE(CALC2223!AF119)&gt;VALUE(LASTV),VALUE(CALC2223!AH119)&gt;VALUE(LASTV),VALUE(CALC2223!AJ119)&gt;VALUE(LASTV))</f>
        <v>0</v>
      </c>
      <c r="T120" s="4" t="b">
        <f ca="1">OR(VALUE(CALC2223!AL119)&gt;VALUE(LASTV),VALUE(CALC2223!AN119)&gt;VALUE(LASTV),VALUE(CALC2223!AP119)&gt;VALUE(LASTV))</f>
        <v>0</v>
      </c>
      <c r="U120" s="4" t="b">
        <f ca="1">OR(VALUE(CALC2223!AR119)&gt;VALUE(LASTV),VALUE(CALC2223!AT119)&gt;VALUE(LASTV),VALUE(CALC2223!AV119)&gt;VALUE(LASTV))</f>
        <v>0</v>
      </c>
      <c r="V120" s="1"/>
    </row>
    <row r="121" spans="1:22" ht="35.25" hidden="1" customHeight="1">
      <c r="A121" s="64"/>
      <c r="B121" s="65" t="s">
        <v>24</v>
      </c>
      <c r="C121" s="66">
        <v>46019</v>
      </c>
      <c r="D121" s="67" t="str">
        <f ca="1">CONCATENATE(CALC2223!A120," ",CALC2223!C120," ",CALC2223!E120)</f>
        <v xml:space="preserve">  </v>
      </c>
      <c r="E121" s="67" t="str">
        <f ca="1">CONCATENATE(CALC2223!G120," ",CALC2223!I120," ",CALC2223!K120)</f>
        <v xml:space="preserve">  </v>
      </c>
      <c r="F121" s="67" t="str">
        <f ca="1">CONCATENATE(CALC2223!M120," ",CALC2223!O120," ",CALC2223!Q120)</f>
        <v xml:space="preserve">  </v>
      </c>
      <c r="G121" s="67" t="str">
        <f ca="1">CONCATENATE(CALC2223!S120," ",CALC2223!U120," ",CALC2223!W120)</f>
        <v xml:space="preserve">  </v>
      </c>
      <c r="H121" s="67" t="str">
        <f ca="1">CONCATENATE(CALC2223!Y120," ",CALC2223!AA120," ",CALC2223!AC120)</f>
        <v xml:space="preserve">  </v>
      </c>
      <c r="I121" s="67" t="str">
        <f ca="1">CONCATENATE(CALC2223!AE120," ",CALC2223!AG120," ",CALC2223!AI120)</f>
        <v xml:space="preserve">  </v>
      </c>
      <c r="J121" s="67" t="str">
        <f ca="1">CONCATENATE(CALC2223!AK120," ",CALC2223!AM120," ",CALC2223!AO120)</f>
        <v xml:space="preserve">  </v>
      </c>
      <c r="K121" s="67" t="str">
        <f ca="1">CONCATENATE(CALC2223!AQ120," ",CALC2223!AS120," ",CALC2223!AU120," ",CALC2223!AW120)</f>
        <v xml:space="preserve">   </v>
      </c>
      <c r="L121" s="68" t="str">
        <f t="shared" ca="1" si="0"/>
        <v>verleden</v>
      </c>
      <c r="M121" s="1"/>
      <c r="N121" s="4" t="b">
        <f ca="1">OR(VALUE(CALC2223!B120)&gt;VALUE(LASTV),VALUE(CALC2223!D120)&gt;VALUE(LASTV),VALUE(CALC2223!F120)&gt;VALUE(LASTV))</f>
        <v>0</v>
      </c>
      <c r="O121" s="4" t="b">
        <f ca="1">OR(VALUE(CALC2223!H120)&gt;VALUE(LASTV),VALUE(CALC2223!J120)&gt;VALUE(LASTV),VALUE(CALC2223!L120)&gt;VALUE(LASTV))</f>
        <v>0</v>
      </c>
      <c r="P121" s="4" t="b">
        <f ca="1">OR(VALUE(CALC2223!N120)&gt;VALUE(LASTV),VALUE(CALC2223!P120)&gt;VALUE(LASTV),VALUE(CALC2223!R120)&gt;VALUE(LASTV))</f>
        <v>0</v>
      </c>
      <c r="Q121" s="4" t="b">
        <f ca="1">OR(VALUE(CALC2223!T120)&gt;VALUE(LASTV),VALUE(CALC2223!V120)&gt;VALUE(LASTV),VALUE(CALC2223!X120)&gt;VALUE(LASTV))</f>
        <v>0</v>
      </c>
      <c r="R121" s="4" t="b">
        <f ca="1">OR(VALUE(CALC2223!Z120)&gt;VALUE(LASTV),VALUE(CALC2223!AB120)&gt;VALUE(LASTV),VALUE(CALC2223!AD120)&gt;VALUE(LASTV))</f>
        <v>0</v>
      </c>
      <c r="S121" s="4" t="b">
        <f ca="1">OR(VALUE(CALC2223!AF120)&gt;VALUE(LASTV),VALUE(CALC2223!AH120)&gt;VALUE(LASTV),VALUE(CALC2223!AJ120)&gt;VALUE(LASTV))</f>
        <v>0</v>
      </c>
      <c r="T121" s="4" t="b">
        <f ca="1">OR(VALUE(CALC2223!AL120)&gt;VALUE(LASTV),VALUE(CALC2223!AN120)&gt;VALUE(LASTV),VALUE(CALC2223!AP120)&gt;VALUE(LASTV))</f>
        <v>0</v>
      </c>
      <c r="U121" s="4" t="b">
        <f ca="1">OR(VALUE(CALC2223!AR120)&gt;VALUE(LASTV),VALUE(CALC2223!AT120)&gt;VALUE(LASTV),VALUE(CALC2223!AV120)&gt;VALUE(LASTV))</f>
        <v>0</v>
      </c>
      <c r="V121" s="1"/>
    </row>
    <row r="122" spans="1:22" ht="35.25" hidden="1" customHeight="1">
      <c r="A122" s="69">
        <v>1</v>
      </c>
      <c r="B122" s="70" t="s">
        <v>18</v>
      </c>
      <c r="C122" s="71">
        <v>46020</v>
      </c>
      <c r="D122" s="72" t="str">
        <f ca="1">CONCATENATE(CALC2223!A121," ",CALC2223!C121," ",CALC2223!E121)</f>
        <v xml:space="preserve">  </v>
      </c>
      <c r="E122" s="72" t="str">
        <f ca="1">CONCATENATE(CALC2223!G121," ",CALC2223!I121," ",CALC2223!K121)</f>
        <v xml:space="preserve">  </v>
      </c>
      <c r="F122" s="72" t="str">
        <f ca="1">CONCATENATE(CALC2223!M121," ",CALC2223!O121," ",CALC2223!Q121)</f>
        <v xml:space="preserve">  </v>
      </c>
      <c r="G122" s="72" t="str">
        <f ca="1">CONCATENATE(CALC2223!S121," ",CALC2223!U121," ",CALC2223!W121)</f>
        <v xml:space="preserve">  </v>
      </c>
      <c r="H122" s="72" t="str">
        <f ca="1">CONCATENATE(CALC2223!Y121," ",CALC2223!AA121," ",CALC2223!AC121)</f>
        <v xml:space="preserve">  </v>
      </c>
      <c r="I122" s="72" t="str">
        <f ca="1">CONCATENATE(CALC2223!AE121," ",CALC2223!AG121," ",CALC2223!AI121)</f>
        <v xml:space="preserve">  </v>
      </c>
      <c r="J122" s="72" t="str">
        <f ca="1">CONCATENATE(CALC2223!AK121," ",CALC2223!AM121," ",CALC2223!AO121)</f>
        <v xml:space="preserve">  </v>
      </c>
      <c r="K122" s="72" t="str">
        <f ca="1">CONCATENATE(CALC2223!AQ121," ",CALC2223!AS121," ",CALC2223!AU121," ",CALC2223!AW121)</f>
        <v xml:space="preserve">   kerstvakantie</v>
      </c>
      <c r="L122" s="73" t="str">
        <f t="shared" ca="1" si="0"/>
        <v>verleden</v>
      </c>
      <c r="M122" s="1"/>
      <c r="N122" s="6" t="b">
        <f ca="1">OR(VALUE(CALC2223!B121)&gt;VALUE(LASTV),VALUE(CALC2223!D121)&gt;VALUE(LASTV),VALUE(CALC2223!F121)&gt;VALUE(LASTV))</f>
        <v>0</v>
      </c>
      <c r="O122" s="6" t="b">
        <f ca="1">OR(VALUE(CALC2223!H121)&gt;VALUE(LASTV),VALUE(CALC2223!J121)&gt;VALUE(LASTV),VALUE(CALC2223!L121)&gt;VALUE(LASTV))</f>
        <v>0</v>
      </c>
      <c r="P122" s="6" t="b">
        <f ca="1">OR(VALUE(CALC2223!N121)&gt;VALUE(LASTV),VALUE(CALC2223!P121)&gt;VALUE(LASTV),VALUE(CALC2223!R121)&gt;VALUE(LASTV))</f>
        <v>0</v>
      </c>
      <c r="Q122" s="6" t="b">
        <f ca="1">OR(VALUE(CALC2223!T121)&gt;VALUE(LASTV),VALUE(CALC2223!V121)&gt;VALUE(LASTV),VALUE(CALC2223!X121)&gt;VALUE(LASTV))</f>
        <v>0</v>
      </c>
      <c r="R122" s="6" t="b">
        <f ca="1">OR(VALUE(CALC2223!Z121)&gt;VALUE(LASTV),VALUE(CALC2223!AB121)&gt;VALUE(LASTV),VALUE(CALC2223!AD121)&gt;VALUE(LASTV))</f>
        <v>0</v>
      </c>
      <c r="S122" s="6" t="b">
        <f ca="1">OR(VALUE(CALC2223!AF121)&gt;VALUE(LASTV),VALUE(CALC2223!AH121)&gt;VALUE(LASTV),VALUE(CALC2223!AJ121)&gt;VALUE(LASTV))</f>
        <v>0</v>
      </c>
      <c r="T122" s="6" t="b">
        <f ca="1">OR(VALUE(CALC2223!AL121)&gt;VALUE(LASTV),VALUE(CALC2223!AN121)&gt;VALUE(LASTV),VALUE(CALC2223!AP121)&gt;VALUE(LASTV))</f>
        <v>0</v>
      </c>
      <c r="U122" s="6" t="b">
        <f ca="1">OR(VALUE(CALC2223!AR121)&gt;VALUE(LASTV),VALUE(CALC2223!AT121)&gt;VALUE(LASTV),VALUE(CALC2223!AV121)&gt;VALUE(LASTV))</f>
        <v>0</v>
      </c>
      <c r="V122" s="1"/>
    </row>
    <row r="123" spans="1:22" ht="35.25" hidden="1" customHeight="1">
      <c r="A123" s="74"/>
      <c r="B123" s="70" t="s">
        <v>19</v>
      </c>
      <c r="C123" s="71">
        <v>46021</v>
      </c>
      <c r="D123" s="72" t="str">
        <f ca="1">CONCATENATE(CALC2223!A122," ",CALC2223!C122," ",CALC2223!E122)</f>
        <v xml:space="preserve">  </v>
      </c>
      <c r="E123" s="72" t="str">
        <f ca="1">CONCATENATE(CALC2223!G122," ",CALC2223!I122," ",CALC2223!K122)</f>
        <v xml:space="preserve">  </v>
      </c>
      <c r="F123" s="72" t="str">
        <f ca="1">CONCATENATE(CALC2223!M122," ",CALC2223!O122," ",CALC2223!Q122)</f>
        <v xml:space="preserve">  </v>
      </c>
      <c r="G123" s="72" t="str">
        <f ca="1">CONCATENATE(CALC2223!S122," ",CALC2223!U122," ",CALC2223!W122)</f>
        <v xml:space="preserve">  </v>
      </c>
      <c r="H123" s="72" t="str">
        <f ca="1">CONCATENATE(CALC2223!Y122," ",CALC2223!AA122," ",CALC2223!AC122)</f>
        <v xml:space="preserve">  </v>
      </c>
      <c r="I123" s="72" t="str">
        <f ca="1">CONCATENATE(CALC2223!AE122," ",CALC2223!AG122," ",CALC2223!AI122)</f>
        <v xml:space="preserve">  </v>
      </c>
      <c r="J123" s="72" t="str">
        <f ca="1">CONCATENATE(CALC2223!AK122," ",CALC2223!AM122," ",CALC2223!AO122)</f>
        <v xml:space="preserve">  </v>
      </c>
      <c r="K123" s="72" t="str">
        <f ca="1">CONCATENATE(CALC2223!AQ122," ",CALC2223!AS122," ",CALC2223!AU122," ",CALC2223!AW122)</f>
        <v xml:space="preserve">   </v>
      </c>
      <c r="L123" s="73" t="str">
        <f t="shared" ca="1" si="0"/>
        <v>verleden</v>
      </c>
      <c r="M123" s="1"/>
      <c r="N123" s="6" t="b">
        <f ca="1">OR(VALUE(CALC2223!B122)&gt;VALUE(LASTV),VALUE(CALC2223!D122)&gt;VALUE(LASTV),VALUE(CALC2223!F122)&gt;VALUE(LASTV))</f>
        <v>0</v>
      </c>
      <c r="O123" s="6" t="b">
        <f ca="1">OR(VALUE(CALC2223!H122)&gt;VALUE(LASTV),VALUE(CALC2223!J122)&gt;VALUE(LASTV),VALUE(CALC2223!L122)&gt;VALUE(LASTV))</f>
        <v>0</v>
      </c>
      <c r="P123" s="6" t="b">
        <f ca="1">OR(VALUE(CALC2223!N122)&gt;VALUE(LASTV),VALUE(CALC2223!P122)&gt;VALUE(LASTV),VALUE(CALC2223!R122)&gt;VALUE(LASTV))</f>
        <v>0</v>
      </c>
      <c r="Q123" s="6" t="b">
        <f ca="1">OR(VALUE(CALC2223!T122)&gt;VALUE(LASTV),VALUE(CALC2223!V122)&gt;VALUE(LASTV),VALUE(CALC2223!X122)&gt;VALUE(LASTV))</f>
        <v>0</v>
      </c>
      <c r="R123" s="6" t="b">
        <f ca="1">OR(VALUE(CALC2223!Z122)&gt;VALUE(LASTV),VALUE(CALC2223!AB122)&gt;VALUE(LASTV),VALUE(CALC2223!AD122)&gt;VALUE(LASTV))</f>
        <v>0</v>
      </c>
      <c r="S123" s="6" t="b">
        <f ca="1">OR(VALUE(CALC2223!AF122)&gt;VALUE(LASTV),VALUE(CALC2223!AH122)&gt;VALUE(LASTV),VALUE(CALC2223!AJ122)&gt;VALUE(LASTV))</f>
        <v>0</v>
      </c>
      <c r="T123" s="6" t="b">
        <f ca="1">OR(VALUE(CALC2223!AL122)&gt;VALUE(LASTV),VALUE(CALC2223!AN122)&gt;VALUE(LASTV),VALUE(CALC2223!AP122)&gt;VALUE(LASTV))</f>
        <v>0</v>
      </c>
      <c r="U123" s="6" t="b">
        <f ca="1">OR(VALUE(CALC2223!AR122)&gt;VALUE(LASTV),VALUE(CALC2223!AT122)&gt;VALUE(LASTV),VALUE(CALC2223!AV122)&gt;VALUE(LASTV))</f>
        <v>0</v>
      </c>
      <c r="V123" s="1"/>
    </row>
    <row r="124" spans="1:22" ht="35.25" hidden="1" customHeight="1">
      <c r="A124" s="74"/>
      <c r="B124" s="70" t="s">
        <v>20</v>
      </c>
      <c r="C124" s="71">
        <v>46022</v>
      </c>
      <c r="D124" s="72" t="str">
        <f ca="1">CONCATENATE(CALC2223!A123," ",CALC2223!C123," ",CALC2223!E123)</f>
        <v xml:space="preserve">  </v>
      </c>
      <c r="E124" s="72" t="str">
        <f ca="1">CONCATENATE(CALC2223!G123," ",CALC2223!I123," ",CALC2223!K123)</f>
        <v xml:space="preserve">  </v>
      </c>
      <c r="F124" s="72" t="str">
        <f ca="1">CONCATENATE(CALC2223!M123," ",CALC2223!O123," ",CALC2223!Q123)</f>
        <v xml:space="preserve">  </v>
      </c>
      <c r="G124" s="72" t="str">
        <f ca="1">CONCATENATE(CALC2223!S123," ",CALC2223!U123," ",CALC2223!W123)</f>
        <v xml:space="preserve">  </v>
      </c>
      <c r="H124" s="72" t="str">
        <f ca="1">CONCATENATE(CALC2223!Y123," ",CALC2223!AA123," ",CALC2223!AC123)</f>
        <v xml:space="preserve">  </v>
      </c>
      <c r="I124" s="72" t="str">
        <f ca="1">CONCATENATE(CALC2223!AE123," ",CALC2223!AG123," ",CALC2223!AI123)</f>
        <v xml:space="preserve">  </v>
      </c>
      <c r="J124" s="72" t="str">
        <f ca="1">CONCATENATE(CALC2223!AK123," ",CALC2223!AM123," ",CALC2223!AO123)</f>
        <v xml:space="preserve">  </v>
      </c>
      <c r="K124" s="72" t="str">
        <f ca="1">CONCATENATE(CALC2223!AQ123," ",CALC2223!AS123," ",CALC2223!AU123," ",CALC2223!AW123)</f>
        <v xml:space="preserve">ouderjaarsdag   </v>
      </c>
      <c r="L124" s="73" t="str">
        <f t="shared" ca="1" si="0"/>
        <v>verleden</v>
      </c>
      <c r="M124" s="1"/>
      <c r="N124" s="4" t="b">
        <f ca="1">OR(VALUE(CALC2223!B123)&gt;VALUE(LASTV),VALUE(CALC2223!D123)&gt;VALUE(LASTV),VALUE(CALC2223!F123)&gt;VALUE(LASTV))</f>
        <v>0</v>
      </c>
      <c r="O124" s="4" t="b">
        <f ca="1">OR(VALUE(CALC2223!H123)&gt;VALUE(LASTV),VALUE(CALC2223!J123)&gt;VALUE(LASTV),VALUE(CALC2223!L123)&gt;VALUE(LASTV))</f>
        <v>0</v>
      </c>
      <c r="P124" s="4" t="b">
        <f ca="1">OR(VALUE(CALC2223!N123)&gt;VALUE(LASTV),VALUE(CALC2223!P123)&gt;VALUE(LASTV),VALUE(CALC2223!R123)&gt;VALUE(LASTV))</f>
        <v>0</v>
      </c>
      <c r="Q124" s="4" t="b">
        <f ca="1">OR(VALUE(CALC2223!T123)&gt;VALUE(LASTV),VALUE(CALC2223!V123)&gt;VALUE(LASTV),VALUE(CALC2223!X123)&gt;VALUE(LASTV))</f>
        <v>0</v>
      </c>
      <c r="R124" s="4" t="b">
        <f ca="1">OR(VALUE(CALC2223!Z123)&gt;VALUE(LASTV),VALUE(CALC2223!AB123)&gt;VALUE(LASTV),VALUE(CALC2223!AD123)&gt;VALUE(LASTV))</f>
        <v>0</v>
      </c>
      <c r="S124" s="4" t="b">
        <f ca="1">OR(VALUE(CALC2223!AF123)&gt;VALUE(LASTV),VALUE(CALC2223!AH123)&gt;VALUE(LASTV),VALUE(CALC2223!AJ123)&gt;VALUE(LASTV))</f>
        <v>0</v>
      </c>
      <c r="T124" s="4" t="b">
        <f ca="1">OR(VALUE(CALC2223!AL123)&gt;VALUE(LASTV),VALUE(CALC2223!AN123)&gt;VALUE(LASTV),VALUE(CALC2223!AP123)&gt;VALUE(LASTV))</f>
        <v>0</v>
      </c>
      <c r="U124" s="4" t="b">
        <f ca="1">OR(VALUE(CALC2223!AR123)&gt;VALUE(LASTV),VALUE(CALC2223!AT123)&gt;VALUE(LASTV),VALUE(CALC2223!AV123)&gt;VALUE(LASTV))</f>
        <v>0</v>
      </c>
      <c r="V124" s="1"/>
    </row>
    <row r="125" spans="1:22" ht="35.25" hidden="1" customHeight="1">
      <c r="A125" s="75"/>
      <c r="B125" s="76" t="s">
        <v>21</v>
      </c>
      <c r="C125" s="77">
        <v>46023</v>
      </c>
      <c r="D125" s="78" t="str">
        <f ca="1">CONCATENATE(CALC2223!A124," ",CALC2223!C124," ",CALC2223!E124)</f>
        <v xml:space="preserve">  </v>
      </c>
      <c r="E125" s="78" t="str">
        <f ca="1">CONCATENATE(CALC2223!G124," ",CALC2223!I124," ",CALC2223!K124)</f>
        <v xml:space="preserve">  </v>
      </c>
      <c r="F125" s="78" t="str">
        <f ca="1">CONCATENATE(CALC2223!M124," ",CALC2223!O124," ",CALC2223!Q124)</f>
        <v xml:space="preserve">  </v>
      </c>
      <c r="G125" s="78" t="str">
        <f ca="1">CONCATENATE(CALC2223!S124," ",CALC2223!U124," ",CALC2223!W124)</f>
        <v xml:space="preserve">  </v>
      </c>
      <c r="H125" s="78" t="str">
        <f ca="1">CONCATENATE(CALC2223!Y124," ",CALC2223!AA124," ",CALC2223!AC124)</f>
        <v xml:space="preserve">  </v>
      </c>
      <c r="I125" s="78" t="str">
        <f ca="1">CONCATENATE(CALC2223!AE124," ",CALC2223!AG124," ",CALC2223!AI124)</f>
        <v xml:space="preserve">  </v>
      </c>
      <c r="J125" s="78" t="str">
        <f ca="1">CONCATENATE(CALC2223!AK124," ",CALC2223!AM124," ",CALC2223!AO124)</f>
        <v xml:space="preserve">  </v>
      </c>
      <c r="K125" s="78" t="str">
        <f ca="1">CONCATENATE(CALC2223!AQ124," ",CALC2223!AS124," ",CALC2223!AU124," ",CALC2223!AW124)</f>
        <v xml:space="preserve">Nieuwjaarsdag   </v>
      </c>
      <c r="L125" s="79" t="str">
        <f t="shared" ca="1" si="0"/>
        <v>verleden</v>
      </c>
      <c r="M125" s="1"/>
      <c r="N125" s="4" t="b">
        <f ca="1">OR(VALUE(CALC2223!B124)&gt;VALUE(LASTV),VALUE(CALC2223!D124)&gt;VALUE(LASTV),VALUE(CALC2223!F124)&gt;VALUE(LASTV))</f>
        <v>0</v>
      </c>
      <c r="O125" s="4" t="b">
        <f ca="1">OR(VALUE(CALC2223!H124)&gt;VALUE(LASTV),VALUE(CALC2223!J124)&gt;VALUE(LASTV),VALUE(CALC2223!L124)&gt;VALUE(LASTV))</f>
        <v>0</v>
      </c>
      <c r="P125" s="4" t="b">
        <f ca="1">OR(VALUE(CALC2223!N124)&gt;VALUE(LASTV),VALUE(CALC2223!P124)&gt;VALUE(LASTV),VALUE(CALC2223!R124)&gt;VALUE(LASTV))</f>
        <v>0</v>
      </c>
      <c r="Q125" s="4" t="b">
        <f ca="1">OR(VALUE(CALC2223!T124)&gt;VALUE(LASTV),VALUE(CALC2223!V124)&gt;VALUE(LASTV),VALUE(CALC2223!X124)&gt;VALUE(LASTV))</f>
        <v>0</v>
      </c>
      <c r="R125" s="4" t="b">
        <f ca="1">OR(VALUE(CALC2223!Z124)&gt;VALUE(LASTV),VALUE(CALC2223!AB124)&gt;VALUE(LASTV),VALUE(CALC2223!AD124)&gt;VALUE(LASTV))</f>
        <v>0</v>
      </c>
      <c r="S125" s="4" t="b">
        <f ca="1">OR(VALUE(CALC2223!AF124)&gt;VALUE(LASTV),VALUE(CALC2223!AH124)&gt;VALUE(LASTV),VALUE(CALC2223!AJ124)&gt;VALUE(LASTV))</f>
        <v>0</v>
      </c>
      <c r="T125" s="4" t="b">
        <f ca="1">OR(VALUE(CALC2223!AL124)&gt;VALUE(LASTV),VALUE(CALC2223!AN124)&gt;VALUE(LASTV),VALUE(CALC2223!AP124)&gt;VALUE(LASTV))</f>
        <v>0</v>
      </c>
      <c r="U125" s="4" t="b">
        <f ca="1">OR(VALUE(CALC2223!AR124)&gt;VALUE(LASTV),VALUE(CALC2223!AT124)&gt;VALUE(LASTV),VALUE(CALC2223!AV124)&gt;VALUE(LASTV))</f>
        <v>0</v>
      </c>
      <c r="V125" s="1"/>
    </row>
    <row r="126" spans="1:22" ht="35.25" hidden="1" customHeight="1">
      <c r="A126" s="74"/>
      <c r="B126" s="70" t="s">
        <v>22</v>
      </c>
      <c r="C126" s="71">
        <v>46024</v>
      </c>
      <c r="D126" s="72" t="str">
        <f ca="1">CONCATENATE(CALC2223!A125," ",CALC2223!C125," ",CALC2223!E125)</f>
        <v xml:space="preserve">  </v>
      </c>
      <c r="E126" s="72" t="str">
        <f ca="1">CONCATENATE(CALC2223!G125," ",CALC2223!I125," ",CALC2223!K125)</f>
        <v xml:space="preserve">  </v>
      </c>
      <c r="F126" s="72" t="str">
        <f ca="1">CONCATENATE(CALC2223!M125," ",CALC2223!O125," ",CALC2223!Q125)</f>
        <v xml:space="preserve">  </v>
      </c>
      <c r="G126" s="72" t="str">
        <f ca="1">CONCATENATE(CALC2223!S125," ",CALC2223!U125," ",CALC2223!W125)</f>
        <v xml:space="preserve">  </v>
      </c>
      <c r="H126" s="72" t="str">
        <f ca="1">CONCATENATE(CALC2223!Y125," ",CALC2223!AA125," ",CALC2223!AC125)</f>
        <v xml:space="preserve">  </v>
      </c>
      <c r="I126" s="72" t="str">
        <f ca="1">CONCATENATE(CALC2223!AE125," ",CALC2223!AG125," ",CALC2223!AI125)</f>
        <v xml:space="preserve">  </v>
      </c>
      <c r="J126" s="72" t="str">
        <f ca="1">CONCATENATE(CALC2223!AK125," ",CALC2223!AM125," ",CALC2223!AO125)</f>
        <v xml:space="preserve">  </v>
      </c>
      <c r="K126" s="72" t="str">
        <f ca="1">CONCATENATE(CALC2223!AQ125," ",CALC2223!AS125," ",CALC2223!AU125," ",CALC2223!AW125)</f>
        <v xml:space="preserve">   </v>
      </c>
      <c r="L126" s="73" t="str">
        <f t="shared" ca="1" si="0"/>
        <v>verleden</v>
      </c>
      <c r="M126" s="1"/>
      <c r="N126" s="4" t="b">
        <f ca="1">OR(VALUE(CALC2223!B125)&gt;VALUE(LASTV),VALUE(CALC2223!D125)&gt;VALUE(LASTV),VALUE(CALC2223!F125)&gt;VALUE(LASTV))</f>
        <v>0</v>
      </c>
      <c r="O126" s="4" t="b">
        <f ca="1">OR(VALUE(CALC2223!H125)&gt;VALUE(LASTV),VALUE(CALC2223!J125)&gt;VALUE(LASTV),VALUE(CALC2223!L125)&gt;VALUE(LASTV))</f>
        <v>0</v>
      </c>
      <c r="P126" s="4" t="b">
        <f ca="1">OR(VALUE(CALC2223!N125)&gt;VALUE(LASTV),VALUE(CALC2223!P125)&gt;VALUE(LASTV),VALUE(CALC2223!R125)&gt;VALUE(LASTV))</f>
        <v>0</v>
      </c>
      <c r="Q126" s="4" t="b">
        <f ca="1">OR(VALUE(CALC2223!T125)&gt;VALUE(LASTV),VALUE(CALC2223!V125)&gt;VALUE(LASTV),VALUE(CALC2223!X125)&gt;VALUE(LASTV))</f>
        <v>0</v>
      </c>
      <c r="R126" s="4" t="b">
        <f ca="1">OR(VALUE(CALC2223!Z125)&gt;VALUE(LASTV),VALUE(CALC2223!AB125)&gt;VALUE(LASTV),VALUE(CALC2223!AD125)&gt;VALUE(LASTV))</f>
        <v>0</v>
      </c>
      <c r="S126" s="4" t="b">
        <f ca="1">OR(VALUE(CALC2223!AF125)&gt;VALUE(LASTV),VALUE(CALC2223!AH125)&gt;VALUE(LASTV),VALUE(CALC2223!AJ125)&gt;VALUE(LASTV))</f>
        <v>0</v>
      </c>
      <c r="T126" s="4" t="b">
        <f ca="1">OR(VALUE(CALC2223!AL125)&gt;VALUE(LASTV),VALUE(CALC2223!AN125)&gt;VALUE(LASTV),VALUE(CALC2223!AP125)&gt;VALUE(LASTV))</f>
        <v>0</v>
      </c>
      <c r="U126" s="4" t="b">
        <f ca="1">OR(VALUE(CALC2223!AR125)&gt;VALUE(LASTV),VALUE(CALC2223!AT125)&gt;VALUE(LASTV),VALUE(CALC2223!AV125)&gt;VALUE(LASTV))</f>
        <v>0</v>
      </c>
      <c r="V126" s="1"/>
    </row>
    <row r="127" spans="1:22" ht="35.25" hidden="1" customHeight="1">
      <c r="A127" s="64"/>
      <c r="B127" s="65" t="s">
        <v>23</v>
      </c>
      <c r="C127" s="66">
        <v>46025</v>
      </c>
      <c r="D127" s="67" t="str">
        <f ca="1">CONCATENATE(CALC2223!A126," ",CALC2223!C126," ",CALC2223!E126)</f>
        <v xml:space="preserve">  </v>
      </c>
      <c r="E127" s="67" t="str">
        <f ca="1">CONCATENATE(CALC2223!G126," ",CALC2223!I126," ",CALC2223!K126)</f>
        <v xml:space="preserve">  </v>
      </c>
      <c r="F127" s="67" t="str">
        <f ca="1">CONCATENATE(CALC2223!M126," ",CALC2223!O126," ",CALC2223!Q126)</f>
        <v xml:space="preserve">  </v>
      </c>
      <c r="G127" s="67" t="str">
        <f ca="1">CONCATENATE(CALC2223!S126," ",CALC2223!U126," ",CALC2223!W126)</f>
        <v xml:space="preserve">  </v>
      </c>
      <c r="H127" s="67" t="str">
        <f ca="1">CONCATENATE(CALC2223!Y126," ",CALC2223!AA126," ",CALC2223!AC126)</f>
        <v xml:space="preserve">  </v>
      </c>
      <c r="I127" s="67" t="str">
        <f ca="1">CONCATENATE(CALC2223!AE126," ",CALC2223!AG126," ",CALC2223!AI126)</f>
        <v xml:space="preserve">  </v>
      </c>
      <c r="J127" s="67" t="str">
        <f ca="1">CONCATENATE(CALC2223!AK126," ",CALC2223!AM126," ",CALC2223!AO126)</f>
        <v xml:space="preserve">  </v>
      </c>
      <c r="K127" s="67" t="str">
        <f ca="1">CONCATENATE(CALC2223!AQ126," ",CALC2223!AS126," ",CALC2223!AU126," ",CALC2223!AW126)</f>
        <v xml:space="preserve">   </v>
      </c>
      <c r="L127" s="68" t="str">
        <f t="shared" ca="1" si="0"/>
        <v>verleden</v>
      </c>
      <c r="M127" s="1"/>
      <c r="N127" s="4" t="b">
        <f ca="1">OR(VALUE(CALC2223!B126)&gt;VALUE(LASTV),VALUE(CALC2223!D126)&gt;VALUE(LASTV),VALUE(CALC2223!F126)&gt;VALUE(LASTV))</f>
        <v>0</v>
      </c>
      <c r="O127" s="4" t="b">
        <f ca="1">OR(VALUE(CALC2223!H126)&gt;VALUE(LASTV),VALUE(CALC2223!J126)&gt;VALUE(LASTV),VALUE(CALC2223!L126)&gt;VALUE(LASTV))</f>
        <v>0</v>
      </c>
      <c r="P127" s="4" t="b">
        <f ca="1">OR(VALUE(CALC2223!N126)&gt;VALUE(LASTV),VALUE(CALC2223!P126)&gt;VALUE(LASTV),VALUE(CALC2223!R126)&gt;VALUE(LASTV))</f>
        <v>0</v>
      </c>
      <c r="Q127" s="4" t="b">
        <f ca="1">OR(VALUE(CALC2223!T126)&gt;VALUE(LASTV),VALUE(CALC2223!V126)&gt;VALUE(LASTV),VALUE(CALC2223!X126)&gt;VALUE(LASTV))</f>
        <v>0</v>
      </c>
      <c r="R127" s="4" t="b">
        <f ca="1">OR(VALUE(CALC2223!Z126)&gt;VALUE(LASTV),VALUE(CALC2223!AB126)&gt;VALUE(LASTV),VALUE(CALC2223!AD126)&gt;VALUE(LASTV))</f>
        <v>0</v>
      </c>
      <c r="S127" s="4" t="b">
        <f ca="1">OR(VALUE(CALC2223!AF126)&gt;VALUE(LASTV),VALUE(CALC2223!AH126)&gt;VALUE(LASTV),VALUE(CALC2223!AJ126)&gt;VALUE(LASTV))</f>
        <v>0</v>
      </c>
      <c r="T127" s="4" t="b">
        <f ca="1">OR(VALUE(CALC2223!AL126)&gt;VALUE(LASTV),VALUE(CALC2223!AN126)&gt;VALUE(LASTV),VALUE(CALC2223!AP126)&gt;VALUE(LASTV))</f>
        <v>0</v>
      </c>
      <c r="U127" s="4" t="b">
        <f ca="1">OR(VALUE(CALC2223!AR126)&gt;VALUE(LASTV),VALUE(CALC2223!AT126)&gt;VALUE(LASTV),VALUE(CALC2223!AV126)&gt;VALUE(LASTV))</f>
        <v>0</v>
      </c>
      <c r="V127" s="1"/>
    </row>
    <row r="128" spans="1:22" ht="35.25" hidden="1" customHeight="1">
      <c r="A128" s="80"/>
      <c r="B128" s="81" t="s">
        <v>24</v>
      </c>
      <c r="C128" s="82">
        <v>46026</v>
      </c>
      <c r="D128" s="83" t="str">
        <f ca="1">CONCATENATE(CALC2223!A127," ",CALC2223!C127," ",CALC2223!E127)</f>
        <v xml:space="preserve">  </v>
      </c>
      <c r="E128" s="83" t="str">
        <f ca="1">CONCATENATE(CALC2223!G127," ",CALC2223!I127," ",CALC2223!K127)</f>
        <v xml:space="preserve">  </v>
      </c>
      <c r="F128" s="83" t="str">
        <f ca="1">CONCATENATE(CALC2223!M127," ",CALC2223!O127," ",CALC2223!Q127)</f>
        <v xml:space="preserve">  </v>
      </c>
      <c r="G128" s="83" t="str">
        <f ca="1">CONCATENATE(CALC2223!S127," ",CALC2223!U127," ",CALC2223!W127)</f>
        <v xml:space="preserve">  </v>
      </c>
      <c r="H128" s="83" t="str">
        <f ca="1">CONCATENATE(CALC2223!Y127," ",CALC2223!AA127," ",CALC2223!AC127)</f>
        <v xml:space="preserve">  </v>
      </c>
      <c r="I128" s="83" t="str">
        <f ca="1">CONCATENATE(CALC2223!AE127," ",CALC2223!AG127," ",CALC2223!AI127)</f>
        <v xml:space="preserve">  </v>
      </c>
      <c r="J128" s="83" t="str">
        <f ca="1">CONCATENATE(CALC2223!AK127," ",CALC2223!AM127," ",CALC2223!AO127)</f>
        <v xml:space="preserve">  </v>
      </c>
      <c r="K128" s="83" t="str">
        <f ca="1">CONCATENATE(CALC2223!AQ127," ",CALC2223!AS127," ",CALC2223!AU127," ",CALC2223!AW127)</f>
        <v xml:space="preserve">   </v>
      </c>
      <c r="L128" s="84" t="str">
        <f t="shared" ca="1" si="0"/>
        <v>verleden</v>
      </c>
      <c r="M128" s="1"/>
      <c r="N128" s="4" t="b">
        <f ca="1">OR(VALUE(CALC2223!B127)&gt;VALUE(LASTV),VALUE(CALC2223!D127)&gt;VALUE(LASTV),VALUE(CALC2223!F127)&gt;VALUE(LASTV))</f>
        <v>0</v>
      </c>
      <c r="O128" s="4" t="b">
        <f ca="1">OR(VALUE(CALC2223!H127)&gt;VALUE(LASTV),VALUE(CALC2223!J127)&gt;VALUE(LASTV),VALUE(CALC2223!L127)&gt;VALUE(LASTV))</f>
        <v>0</v>
      </c>
      <c r="P128" s="4" t="b">
        <f ca="1">OR(VALUE(CALC2223!N127)&gt;VALUE(LASTV),VALUE(CALC2223!P127)&gt;VALUE(LASTV),VALUE(CALC2223!R127)&gt;VALUE(LASTV))</f>
        <v>0</v>
      </c>
      <c r="Q128" s="4" t="b">
        <f ca="1">OR(VALUE(CALC2223!T127)&gt;VALUE(LASTV),VALUE(CALC2223!V127)&gt;VALUE(LASTV),VALUE(CALC2223!X127)&gt;VALUE(LASTV))</f>
        <v>0</v>
      </c>
      <c r="R128" s="4" t="b">
        <f ca="1">OR(VALUE(CALC2223!Z127)&gt;VALUE(LASTV),VALUE(CALC2223!AB127)&gt;VALUE(LASTV),VALUE(CALC2223!AD127)&gt;VALUE(LASTV))</f>
        <v>0</v>
      </c>
      <c r="S128" s="4" t="b">
        <f ca="1">OR(VALUE(CALC2223!AF127)&gt;VALUE(LASTV),VALUE(CALC2223!AH127)&gt;VALUE(LASTV),VALUE(CALC2223!AJ127)&gt;VALUE(LASTV))</f>
        <v>0</v>
      </c>
      <c r="T128" s="4" t="b">
        <f ca="1">OR(VALUE(CALC2223!AL127)&gt;VALUE(LASTV),VALUE(CALC2223!AN127)&gt;VALUE(LASTV),VALUE(CALC2223!AP127)&gt;VALUE(LASTV))</f>
        <v>0</v>
      </c>
      <c r="U128" s="4" t="b">
        <f ca="1">OR(VALUE(CALC2223!AR127)&gt;VALUE(LASTV),VALUE(CALC2223!AT127)&gt;VALUE(LASTV),VALUE(CALC2223!AV127)&gt;VALUE(LASTV))</f>
        <v>0</v>
      </c>
      <c r="V128" s="1"/>
    </row>
    <row r="129" spans="1:22" ht="35.25" hidden="1" customHeight="1">
      <c r="A129" s="50">
        <v>2</v>
      </c>
      <c r="B129" s="41" t="s">
        <v>18</v>
      </c>
      <c r="C129" s="42">
        <v>46027</v>
      </c>
      <c r="D129" s="43" t="str">
        <f ca="1">CONCATENATE(CALC2223!A128," ",CALC2223!C128," ",CALC2223!E128)</f>
        <v xml:space="preserve">  </v>
      </c>
      <c r="E129" s="43" t="str">
        <f ca="1">CONCATENATE(CALC2223!G128," ",CALC2223!I128," ",CALC2223!K128)</f>
        <v xml:space="preserve">  </v>
      </c>
      <c r="F129" s="43" t="str">
        <f ca="1">CONCATENATE(CALC2223!M128," ",CALC2223!O128," ",CALC2223!Q128)</f>
        <v xml:space="preserve">  </v>
      </c>
      <c r="G129" s="43" t="str">
        <f ca="1">CONCATENATE(CALC2223!S128," ",CALC2223!U128," ",CALC2223!W128)</f>
        <v xml:space="preserve">  </v>
      </c>
      <c r="H129" s="43" t="str">
        <f ca="1">CONCATENATE(CALC2223!Y128," ",CALC2223!AA128," ",CALC2223!AC128)</f>
        <v xml:space="preserve">  </v>
      </c>
      <c r="I129" s="43" t="str">
        <f ca="1">CONCATENATE(CALC2223!AE128," ",CALC2223!AG128," ",CALC2223!AI128)</f>
        <v xml:space="preserve">  </v>
      </c>
      <c r="J129" s="43" t="str">
        <f ca="1">CONCATENATE(CALC2223!AK128," ",CALC2223!AM128," ",CALC2223!AO128)</f>
        <v xml:space="preserve">  </v>
      </c>
      <c r="K129" s="43" t="str">
        <f ca="1">CONCATENATE(CALC2223!AQ128," ",CALC2223!AS128," ",CALC2223!AU128," ",CALC2223!AW128)</f>
        <v xml:space="preserve">   </v>
      </c>
      <c r="L129" s="44" t="str">
        <f t="shared" ca="1" si="0"/>
        <v>verleden</v>
      </c>
      <c r="M129" s="1"/>
      <c r="N129" s="4" t="b">
        <f ca="1">OR(VALUE(CALC2223!B128)&gt;VALUE(LASTV),VALUE(CALC2223!D128)&gt;VALUE(LASTV),VALUE(CALC2223!F128)&gt;VALUE(LASTV))</f>
        <v>0</v>
      </c>
      <c r="O129" s="4" t="b">
        <f ca="1">OR(VALUE(CALC2223!H128)&gt;VALUE(LASTV),VALUE(CALC2223!J128)&gt;VALUE(LASTV),VALUE(CALC2223!L128)&gt;VALUE(LASTV))</f>
        <v>0</v>
      </c>
      <c r="P129" s="4" t="b">
        <f ca="1">OR(VALUE(CALC2223!N128)&gt;VALUE(LASTV),VALUE(CALC2223!P128)&gt;VALUE(LASTV),VALUE(CALC2223!R128)&gt;VALUE(LASTV))</f>
        <v>0</v>
      </c>
      <c r="Q129" s="4" t="b">
        <f ca="1">OR(VALUE(CALC2223!T128)&gt;VALUE(LASTV),VALUE(CALC2223!V128)&gt;VALUE(LASTV),VALUE(CALC2223!X128)&gt;VALUE(LASTV))</f>
        <v>0</v>
      </c>
      <c r="R129" s="4" t="b">
        <f ca="1">OR(VALUE(CALC2223!Z128)&gt;VALUE(LASTV),VALUE(CALC2223!AB128)&gt;VALUE(LASTV),VALUE(CALC2223!AD128)&gt;VALUE(LASTV))</f>
        <v>0</v>
      </c>
      <c r="S129" s="4" t="b">
        <f ca="1">OR(VALUE(CALC2223!AF128)&gt;VALUE(LASTV),VALUE(CALC2223!AH128)&gt;VALUE(LASTV),VALUE(CALC2223!AJ128)&gt;VALUE(LASTV))</f>
        <v>0</v>
      </c>
      <c r="T129" s="4" t="b">
        <f ca="1">OR(VALUE(CALC2223!AL128)&gt;VALUE(LASTV),VALUE(CALC2223!AN128)&gt;VALUE(LASTV),VALUE(CALC2223!AP128)&gt;VALUE(LASTV))</f>
        <v>0</v>
      </c>
      <c r="U129" s="4" t="b">
        <f ca="1">OR(VALUE(CALC2223!AR128)&gt;VALUE(LASTV),VALUE(CALC2223!AT128)&gt;VALUE(LASTV),VALUE(CALC2223!AV128)&gt;VALUE(LASTV))</f>
        <v>0</v>
      </c>
      <c r="V129" s="1"/>
    </row>
    <row r="130" spans="1:22" ht="35.25" hidden="1" customHeight="1">
      <c r="A130" s="40"/>
      <c r="B130" s="41" t="s">
        <v>19</v>
      </c>
      <c r="C130" s="42">
        <v>46028</v>
      </c>
      <c r="D130" s="43" t="str">
        <f ca="1">CONCATENATE(CALC2223!A129," ",CALC2223!C129," ",CALC2223!E129)</f>
        <v xml:space="preserve">  </v>
      </c>
      <c r="E130" s="43" t="str">
        <f ca="1">CONCATENATE(CALC2223!G129," ",CALC2223!I129," ",CALC2223!K129)</f>
        <v xml:space="preserve">  </v>
      </c>
      <c r="F130" s="43" t="str">
        <f ca="1">CONCATENATE(CALC2223!M129," ",CALC2223!O129," ",CALC2223!Q129)</f>
        <v xml:space="preserve">  </v>
      </c>
      <c r="G130" s="43" t="str">
        <f ca="1">CONCATENATE(CALC2223!S129," ",CALC2223!U129," ",CALC2223!W129)</f>
        <v xml:space="preserve">  </v>
      </c>
      <c r="H130" s="43" t="str">
        <f ca="1">CONCATENATE(CALC2223!Y129," ",CALC2223!AA129," ",CALC2223!AC129)</f>
        <v xml:space="preserve">  </v>
      </c>
      <c r="I130" s="43" t="str">
        <f ca="1">CONCATENATE(CALC2223!AE129," ",CALC2223!AG129," ",CALC2223!AI129)</f>
        <v xml:space="preserve">inhalen SE  </v>
      </c>
      <c r="J130" s="43" t="str">
        <f ca="1">CONCATENATE(CALC2223!AK129," ",CALC2223!AM129," ",CALC2223!AO129)</f>
        <v xml:space="preserve">  </v>
      </c>
      <c r="K130" s="43" t="str">
        <f ca="1">CONCATENATE(CALC2223!AQ129," ",CALC2223!AS129," ",CALC2223!AU129," ",CALC2223!AW129)</f>
        <v xml:space="preserve">   </v>
      </c>
      <c r="L130" s="44" t="str">
        <f t="shared" ca="1" si="0"/>
        <v>verleden</v>
      </c>
      <c r="M130" s="1"/>
      <c r="N130" s="4" t="b">
        <f ca="1">OR(VALUE(CALC2223!B129)&gt;VALUE(LASTV),VALUE(CALC2223!D129)&gt;VALUE(LASTV),VALUE(CALC2223!F129)&gt;VALUE(LASTV))</f>
        <v>0</v>
      </c>
      <c r="O130" s="4" t="b">
        <f ca="1">OR(VALUE(CALC2223!H129)&gt;VALUE(LASTV),VALUE(CALC2223!J129)&gt;VALUE(LASTV),VALUE(CALC2223!L129)&gt;VALUE(LASTV))</f>
        <v>0</v>
      </c>
      <c r="P130" s="4" t="b">
        <f ca="1">OR(VALUE(CALC2223!N129)&gt;VALUE(LASTV),VALUE(CALC2223!P129)&gt;VALUE(LASTV),VALUE(CALC2223!R129)&gt;VALUE(LASTV))</f>
        <v>0</v>
      </c>
      <c r="Q130" s="4" t="b">
        <f ca="1">OR(VALUE(CALC2223!T129)&gt;VALUE(LASTV),VALUE(CALC2223!V129)&gt;VALUE(LASTV),VALUE(CALC2223!X129)&gt;VALUE(LASTV))</f>
        <v>0</v>
      </c>
      <c r="R130" s="4" t="b">
        <f ca="1">OR(VALUE(CALC2223!Z129)&gt;VALUE(LASTV),VALUE(CALC2223!AB129)&gt;VALUE(LASTV),VALUE(CALC2223!AD129)&gt;VALUE(LASTV))</f>
        <v>0</v>
      </c>
      <c r="S130" s="4" t="b">
        <f ca="1">OR(VALUE(CALC2223!AF129)&gt;VALUE(LASTV),VALUE(CALC2223!AH129)&gt;VALUE(LASTV),VALUE(CALC2223!AJ129)&gt;VALUE(LASTV))</f>
        <v>0</v>
      </c>
      <c r="T130" s="4" t="b">
        <f ca="1">OR(VALUE(CALC2223!AL129)&gt;VALUE(LASTV),VALUE(CALC2223!AN129)&gt;VALUE(LASTV),VALUE(CALC2223!AP129)&gt;VALUE(LASTV))</f>
        <v>0</v>
      </c>
      <c r="U130" s="4" t="b">
        <f ca="1">OR(VALUE(CALC2223!AR129)&gt;VALUE(LASTV),VALUE(CALC2223!AT129)&gt;VALUE(LASTV),VALUE(CALC2223!AV129)&gt;VALUE(LASTV))</f>
        <v>0</v>
      </c>
      <c r="V130" s="1"/>
    </row>
    <row r="131" spans="1:22" ht="35.25" hidden="1" customHeight="1">
      <c r="A131" s="40"/>
      <c r="B131" s="41" t="s">
        <v>20</v>
      </c>
      <c r="C131" s="42">
        <v>46029</v>
      </c>
      <c r="D131" s="43" t="str">
        <f ca="1">CONCATENATE(CALC2223!A130," ",CALC2223!C130," ",CALC2223!E130)</f>
        <v xml:space="preserve">  </v>
      </c>
      <c r="E131" s="43" t="str">
        <f ca="1">CONCATENATE(CALC2223!G130," ",CALC2223!I130," ",CALC2223!K130)</f>
        <v xml:space="preserve">  </v>
      </c>
      <c r="F131" s="43" t="str">
        <f ca="1">CONCATENATE(CALC2223!M130," ",CALC2223!O130," ",CALC2223!Q130)</f>
        <v xml:space="preserve">  </v>
      </c>
      <c r="G131" s="43" t="str">
        <f ca="1">CONCATENATE(CALC2223!S130," ",CALC2223!U130," ",CALC2223!W130)</f>
        <v xml:space="preserve">inh rep EC  </v>
      </c>
      <c r="H131" s="43" t="str">
        <f ca="1">CONCATENATE(CALC2223!Y130," ",CALC2223!AA130," ",CALC2223!AC130)</f>
        <v xml:space="preserve">  </v>
      </c>
      <c r="I131" s="43" t="str">
        <f ca="1">CONCATENATE(CALC2223!AE130," ",CALC2223!AG130," ",CALC2223!AI130)</f>
        <v xml:space="preserve">  </v>
      </c>
      <c r="J131" s="43" t="str">
        <f ca="1">CONCATENATE(CALC2223!AK130," ",CALC2223!AM130," ",CALC2223!AO130)</f>
        <v xml:space="preserve">  </v>
      </c>
      <c r="K131" s="43" t="str">
        <f ca="1">CONCATENATE(CALC2223!AQ130," ",CALC2223!AS130," ",CALC2223!AU130," ",CALC2223!AW130)</f>
        <v xml:space="preserve">   </v>
      </c>
      <c r="L131" s="44" t="str">
        <f t="shared" ca="1" si="0"/>
        <v>verleden</v>
      </c>
      <c r="M131" s="1"/>
      <c r="N131" s="4" t="b">
        <f ca="1">OR(VALUE(CALC2223!B130)&gt;VALUE(LASTV),VALUE(CALC2223!D130)&gt;VALUE(LASTV),VALUE(CALC2223!F130)&gt;VALUE(LASTV))</f>
        <v>0</v>
      </c>
      <c r="O131" s="4" t="b">
        <f ca="1">OR(VALUE(CALC2223!H130)&gt;VALUE(LASTV),VALUE(CALC2223!J130)&gt;VALUE(LASTV),VALUE(CALC2223!L130)&gt;VALUE(LASTV))</f>
        <v>0</v>
      </c>
      <c r="P131" s="4" t="b">
        <f ca="1">OR(VALUE(CALC2223!N130)&gt;VALUE(LASTV),VALUE(CALC2223!P130)&gt;VALUE(LASTV),VALUE(CALC2223!R130)&gt;VALUE(LASTV))</f>
        <v>0</v>
      </c>
      <c r="Q131" s="4" t="b">
        <f ca="1">OR(VALUE(CALC2223!T130)&gt;VALUE(LASTV),VALUE(CALC2223!V130)&gt;VALUE(LASTV),VALUE(CALC2223!X130)&gt;VALUE(LASTV))</f>
        <v>0</v>
      </c>
      <c r="R131" s="4" t="b">
        <f ca="1">OR(VALUE(CALC2223!Z130)&gt;VALUE(LASTV),VALUE(CALC2223!AB130)&gt;VALUE(LASTV),VALUE(CALC2223!AD130)&gt;VALUE(LASTV))</f>
        <v>0</v>
      </c>
      <c r="S131" s="4" t="b">
        <f ca="1">OR(VALUE(CALC2223!AF130)&gt;VALUE(LASTV),VALUE(CALC2223!AH130)&gt;VALUE(LASTV),VALUE(CALC2223!AJ130)&gt;VALUE(LASTV))</f>
        <v>0</v>
      </c>
      <c r="T131" s="4" t="b">
        <f ca="1">OR(VALUE(CALC2223!AL130)&gt;VALUE(LASTV),VALUE(CALC2223!AN130)&gt;VALUE(LASTV),VALUE(CALC2223!AP130)&gt;VALUE(LASTV))</f>
        <v>0</v>
      </c>
      <c r="U131" s="4" t="b">
        <f ca="1">OR(VALUE(CALC2223!AR130)&gt;VALUE(LASTV),VALUE(CALC2223!AT130)&gt;VALUE(LASTV),VALUE(CALC2223!AV130)&gt;VALUE(LASTV))</f>
        <v>0</v>
      </c>
      <c r="V131" s="1"/>
    </row>
    <row r="132" spans="1:22" ht="35.25" hidden="1" customHeight="1">
      <c r="A132" s="40"/>
      <c r="B132" s="41" t="s">
        <v>21</v>
      </c>
      <c r="C132" s="42">
        <v>46030</v>
      </c>
      <c r="D132" s="43" t="str">
        <f ca="1">CONCATENATE(CALC2223!A131," ",CALC2223!C131," ",CALC2223!E131)</f>
        <v xml:space="preserve">  </v>
      </c>
      <c r="E132" s="43" t="str">
        <f ca="1">CONCATENATE(CALC2223!G131," ",CALC2223!I131," ",CALC2223!K131)</f>
        <v xml:space="preserve">  </v>
      </c>
      <c r="F132" s="43" t="str">
        <f ca="1">CONCATENATE(CALC2223!M131," ",CALC2223!O131," ",CALC2223!Q131)</f>
        <v xml:space="preserve">  </v>
      </c>
      <c r="G132" s="43" t="str">
        <f ca="1">CONCATENATE(CALC2223!S131," ",CALC2223!U131," ",CALC2223!W131)</f>
        <v xml:space="preserve">inh rep SP inh rep BE </v>
      </c>
      <c r="H132" s="43" t="str">
        <f ca="1">CONCATENATE(CALC2223!Y131," ",CALC2223!AA131," ",CALC2223!AC131)</f>
        <v xml:space="preserve">oud-llnochtend (4/5uur) inh SE wiD en inh rep BE </v>
      </c>
      <c r="I132" s="43" t="str">
        <f ca="1">CONCATENATE(CALC2223!AE131," ",CALC2223!AG131," ",CALC2223!AI131)</f>
        <v xml:space="preserve">LO3:1 Inhalen SE </v>
      </c>
      <c r="J132" s="43" t="str">
        <f ca="1">CONCATENATE(CALC2223!AK131," ",CALC2223!AM131," ",CALC2223!AO131)</f>
        <v xml:space="preserve">  </v>
      </c>
      <c r="K132" s="43" t="str">
        <f ca="1">CONCATENATE(CALC2223!AQ131," ",CALC2223!AS131," ",CALC2223!AU131," ",CALC2223!AW131)</f>
        <v xml:space="preserve">   </v>
      </c>
      <c r="L132" s="44" t="str">
        <f t="shared" ca="1" si="0"/>
        <v>verleden</v>
      </c>
      <c r="M132" s="1"/>
      <c r="N132" s="4" t="b">
        <f ca="1">OR(VALUE(CALC2223!B131)&gt;VALUE(LASTV),VALUE(CALC2223!D131)&gt;VALUE(LASTV),VALUE(CALC2223!F131)&gt;VALUE(LASTV))</f>
        <v>0</v>
      </c>
      <c r="O132" s="4" t="b">
        <f ca="1">OR(VALUE(CALC2223!H131)&gt;VALUE(LASTV),VALUE(CALC2223!J131)&gt;VALUE(LASTV),VALUE(CALC2223!L131)&gt;VALUE(LASTV))</f>
        <v>0</v>
      </c>
      <c r="P132" s="4" t="b">
        <f ca="1">OR(VALUE(CALC2223!N131)&gt;VALUE(LASTV),VALUE(CALC2223!P131)&gt;VALUE(LASTV),VALUE(CALC2223!R131)&gt;VALUE(LASTV))</f>
        <v>0</v>
      </c>
      <c r="Q132" s="4" t="b">
        <f ca="1">OR(VALUE(CALC2223!T131)&gt;VALUE(LASTV),VALUE(CALC2223!V131)&gt;VALUE(LASTV),VALUE(CALC2223!X131)&gt;VALUE(LASTV))</f>
        <v>0</v>
      </c>
      <c r="R132" s="4" t="b">
        <f ca="1">OR(VALUE(CALC2223!Z131)&gt;VALUE(LASTV),VALUE(CALC2223!AB131)&gt;VALUE(LASTV),VALUE(CALC2223!AD131)&gt;VALUE(LASTV))</f>
        <v>0</v>
      </c>
      <c r="S132" s="4" t="b">
        <f ca="1">OR(VALUE(CALC2223!AF131)&gt;VALUE(LASTV),VALUE(CALC2223!AH131)&gt;VALUE(LASTV),VALUE(CALC2223!AJ131)&gt;VALUE(LASTV))</f>
        <v>0</v>
      </c>
      <c r="T132" s="4" t="b">
        <f ca="1">OR(VALUE(CALC2223!AL131)&gt;VALUE(LASTV),VALUE(CALC2223!AN131)&gt;VALUE(LASTV),VALUE(CALC2223!AP131)&gt;VALUE(LASTV))</f>
        <v>0</v>
      </c>
      <c r="U132" s="4" t="b">
        <f ca="1">OR(VALUE(CALC2223!AR131)&gt;VALUE(LASTV),VALUE(CALC2223!AT131)&gt;VALUE(LASTV),VALUE(CALC2223!AV131)&gt;VALUE(LASTV))</f>
        <v>0</v>
      </c>
      <c r="V132" s="1"/>
    </row>
    <row r="133" spans="1:22" ht="35.25" hidden="1" customHeight="1">
      <c r="A133" s="40"/>
      <c r="B133" s="41" t="s">
        <v>22</v>
      </c>
      <c r="C133" s="42">
        <v>46031</v>
      </c>
      <c r="D133" s="43" t="str">
        <f ca="1">CONCATENATE(CALC2223!A132," ",CALC2223!C132," ",CALC2223!E132)</f>
        <v xml:space="preserve">  </v>
      </c>
      <c r="E133" s="43" t="str">
        <f ca="1">CONCATENATE(CALC2223!G132," ",CALC2223!I132," ",CALC2223!K132)</f>
        <v xml:space="preserve">  </v>
      </c>
      <c r="F133" s="43" t="str">
        <f ca="1">CONCATENATE(CALC2223!M132," ",CALC2223!O132," ",CALC2223!Q132)</f>
        <v xml:space="preserve">  </v>
      </c>
      <c r="G133" s="43" t="str">
        <f ca="1">CONCATENATE(CALC2223!S132," ",CALC2223!U132," ",CALC2223!W132)</f>
        <v xml:space="preserve">  </v>
      </c>
      <c r="H133" s="43" t="str">
        <f ca="1">CONCATENATE(CALC2223!Y132," ",CALC2223!AA132," ",CALC2223!AC132)</f>
        <v xml:space="preserve">  </v>
      </c>
      <c r="I133" s="43" t="str">
        <f ca="1">CONCATENATE(CALC2223!AE132," ",CALC2223!AG132," ",CALC2223!AI132)</f>
        <v xml:space="preserve">  </v>
      </c>
      <c r="J133" s="43" t="str">
        <f ca="1">CONCATENATE(CALC2223!AK132," ",CALC2223!AM132," ",CALC2223!AO132)</f>
        <v xml:space="preserve">  </v>
      </c>
      <c r="K133" s="43" t="str">
        <f ca="1">CONCATENATE(CALC2223!AQ132," ",CALC2223!AS132," ",CALC2223!AU132," ",CALC2223!AW132)</f>
        <v xml:space="preserve">   </v>
      </c>
      <c r="L133" s="44" t="str">
        <f t="shared" ca="1" si="0"/>
        <v>verleden</v>
      </c>
      <c r="M133" s="1"/>
      <c r="N133" s="4" t="b">
        <f ca="1">OR(VALUE(CALC2223!B132)&gt;VALUE(LASTV),VALUE(CALC2223!D132)&gt;VALUE(LASTV),VALUE(CALC2223!F132)&gt;VALUE(LASTV))</f>
        <v>0</v>
      </c>
      <c r="O133" s="4" t="b">
        <f ca="1">OR(VALUE(CALC2223!H132)&gt;VALUE(LASTV),VALUE(CALC2223!J132)&gt;VALUE(LASTV),VALUE(CALC2223!L132)&gt;VALUE(LASTV))</f>
        <v>0</v>
      </c>
      <c r="P133" s="4" t="b">
        <f ca="1">OR(VALUE(CALC2223!N132)&gt;VALUE(LASTV),VALUE(CALC2223!P132)&gt;VALUE(LASTV),VALUE(CALC2223!R132)&gt;VALUE(LASTV))</f>
        <v>0</v>
      </c>
      <c r="Q133" s="4" t="b">
        <f ca="1">OR(VALUE(CALC2223!T132)&gt;VALUE(LASTV),VALUE(CALC2223!V132)&gt;VALUE(LASTV),VALUE(CALC2223!X132)&gt;VALUE(LASTV))</f>
        <v>0</v>
      </c>
      <c r="R133" s="4" t="b">
        <f ca="1">OR(VALUE(CALC2223!Z132)&gt;VALUE(LASTV),VALUE(CALC2223!AB132)&gt;VALUE(LASTV),VALUE(CALC2223!AD132)&gt;VALUE(LASTV))</f>
        <v>0</v>
      </c>
      <c r="S133" s="4" t="b">
        <f ca="1">OR(VALUE(CALC2223!AF132)&gt;VALUE(LASTV),VALUE(CALC2223!AH132)&gt;VALUE(LASTV),VALUE(CALC2223!AJ132)&gt;VALUE(LASTV))</f>
        <v>0</v>
      </c>
      <c r="T133" s="4" t="b">
        <f ca="1">OR(VALUE(CALC2223!AL132)&gt;VALUE(LASTV),VALUE(CALC2223!AN132)&gt;VALUE(LASTV),VALUE(CALC2223!AP132)&gt;VALUE(LASTV))</f>
        <v>0</v>
      </c>
      <c r="U133" s="4" t="b">
        <f ca="1">OR(VALUE(CALC2223!AR132)&gt;VALUE(LASTV),VALUE(CALC2223!AT132)&gt;VALUE(LASTV),VALUE(CALC2223!AV132)&gt;VALUE(LASTV))</f>
        <v>0</v>
      </c>
      <c r="V133" s="1"/>
    </row>
    <row r="134" spans="1:22" ht="35.25" hidden="1" customHeight="1">
      <c r="A134" s="45"/>
      <c r="B134" s="46" t="s">
        <v>23</v>
      </c>
      <c r="C134" s="47">
        <v>46032</v>
      </c>
      <c r="D134" s="48" t="str">
        <f ca="1">CONCATENATE(CALC2223!A133," ",CALC2223!C133," ",CALC2223!E133)</f>
        <v xml:space="preserve">  </v>
      </c>
      <c r="E134" s="48" t="str">
        <f ca="1">CONCATENATE(CALC2223!G133," ",CALC2223!I133," ",CALC2223!K133)</f>
        <v xml:space="preserve">  </v>
      </c>
      <c r="F134" s="48" t="str">
        <f ca="1">CONCATENATE(CALC2223!M133," ",CALC2223!O133," ",CALC2223!Q133)</f>
        <v xml:space="preserve">  </v>
      </c>
      <c r="G134" s="48" t="str">
        <f ca="1">CONCATENATE(CALC2223!S133," ",CALC2223!U133," ",CALC2223!W133)</f>
        <v xml:space="preserve">  </v>
      </c>
      <c r="H134" s="48" t="str">
        <f ca="1">CONCATENATE(CALC2223!Y133," ",CALC2223!AA133," ",CALC2223!AC133)</f>
        <v xml:space="preserve">  </v>
      </c>
      <c r="I134" s="48" t="str">
        <f ca="1">CONCATENATE(CALC2223!AE133," ",CALC2223!AG133," ",CALC2223!AI133)</f>
        <v xml:space="preserve">  </v>
      </c>
      <c r="J134" s="48" t="str">
        <f ca="1">CONCATENATE(CALC2223!AK133," ",CALC2223!AM133," ",CALC2223!AO133)</f>
        <v xml:space="preserve">  </v>
      </c>
      <c r="K134" s="48" t="str">
        <f ca="1">CONCATENATE(CALC2223!AQ133," ",CALC2223!AS133," ",CALC2223!AU133," ",CALC2223!AW133)</f>
        <v xml:space="preserve">   </v>
      </c>
      <c r="L134" s="49" t="str">
        <f t="shared" ca="1" si="0"/>
        <v>verleden</v>
      </c>
      <c r="M134" s="1"/>
      <c r="N134" s="4" t="b">
        <f ca="1">OR(VALUE(CALC2223!B133)&gt;VALUE(LASTV),VALUE(CALC2223!D133)&gt;VALUE(LASTV),VALUE(CALC2223!F133)&gt;VALUE(LASTV))</f>
        <v>0</v>
      </c>
      <c r="O134" s="4" t="b">
        <f ca="1">OR(VALUE(CALC2223!H133)&gt;VALUE(LASTV),VALUE(CALC2223!J133)&gt;VALUE(LASTV),VALUE(CALC2223!L133)&gt;VALUE(LASTV))</f>
        <v>0</v>
      </c>
      <c r="P134" s="4" t="b">
        <f ca="1">OR(VALUE(CALC2223!N133)&gt;VALUE(LASTV),VALUE(CALC2223!P133)&gt;VALUE(LASTV),VALUE(CALC2223!R133)&gt;VALUE(LASTV))</f>
        <v>0</v>
      </c>
      <c r="Q134" s="4" t="b">
        <f ca="1">OR(VALUE(CALC2223!T133)&gt;VALUE(LASTV),VALUE(CALC2223!V133)&gt;VALUE(LASTV),VALUE(CALC2223!X133)&gt;VALUE(LASTV))</f>
        <v>0</v>
      </c>
      <c r="R134" s="4" t="b">
        <f ca="1">OR(VALUE(CALC2223!Z133)&gt;VALUE(LASTV),VALUE(CALC2223!AB133)&gt;VALUE(LASTV),VALUE(CALC2223!AD133)&gt;VALUE(LASTV))</f>
        <v>0</v>
      </c>
      <c r="S134" s="4" t="b">
        <f ca="1">OR(VALUE(CALC2223!AF133)&gt;VALUE(LASTV),VALUE(CALC2223!AH133)&gt;VALUE(LASTV),VALUE(CALC2223!AJ133)&gt;VALUE(LASTV))</f>
        <v>0</v>
      </c>
      <c r="T134" s="4" t="b">
        <f ca="1">OR(VALUE(CALC2223!AL133)&gt;VALUE(LASTV),VALUE(CALC2223!AN133)&gt;VALUE(LASTV),VALUE(CALC2223!AP133)&gt;VALUE(LASTV))</f>
        <v>0</v>
      </c>
      <c r="U134" s="4" t="b">
        <f ca="1">OR(VALUE(CALC2223!AR133)&gt;VALUE(LASTV),VALUE(CALC2223!AT133)&gt;VALUE(LASTV),VALUE(CALC2223!AV133)&gt;VALUE(LASTV))</f>
        <v>0</v>
      </c>
      <c r="V134" s="1"/>
    </row>
    <row r="135" spans="1:22" ht="35.25" hidden="1" customHeight="1">
      <c r="A135" s="80"/>
      <c r="B135" s="81" t="s">
        <v>24</v>
      </c>
      <c r="C135" s="82">
        <v>46033</v>
      </c>
      <c r="D135" s="83" t="str">
        <f ca="1">CONCATENATE(CALC2223!A134," ",CALC2223!C134," ",CALC2223!E134)</f>
        <v xml:space="preserve">  </v>
      </c>
      <c r="E135" s="83" t="str">
        <f ca="1">CONCATENATE(CALC2223!G134," ",CALC2223!I134," ",CALC2223!K134)</f>
        <v xml:space="preserve">  </v>
      </c>
      <c r="F135" s="83" t="str">
        <f ca="1">CONCATENATE(CALC2223!M134," ",CALC2223!O134," ",CALC2223!Q134)</f>
        <v xml:space="preserve">  </v>
      </c>
      <c r="G135" s="83" t="str">
        <f ca="1">CONCATENATE(CALC2223!S134," ",CALC2223!U134," ",CALC2223!W134)</f>
        <v xml:space="preserve">  </v>
      </c>
      <c r="H135" s="83" t="str">
        <f ca="1">CONCATENATE(CALC2223!Y134," ",CALC2223!AA134," ",CALC2223!AC134)</f>
        <v xml:space="preserve">  </v>
      </c>
      <c r="I135" s="83" t="str">
        <f ca="1">CONCATENATE(CALC2223!AE134," ",CALC2223!AG134," ",CALC2223!AI134)</f>
        <v xml:space="preserve">  </v>
      </c>
      <c r="J135" s="83" t="str">
        <f ca="1">CONCATENATE(CALC2223!AK134," ",CALC2223!AM134," ",CALC2223!AO134)</f>
        <v xml:space="preserve">  </v>
      </c>
      <c r="K135" s="83" t="str">
        <f ca="1">CONCATENATE(CALC2223!AQ134," ",CALC2223!AS134," ",CALC2223!AU134," ",CALC2223!AW134)</f>
        <v xml:space="preserve">   </v>
      </c>
      <c r="L135" s="84" t="str">
        <f t="shared" ca="1" si="0"/>
        <v>verleden</v>
      </c>
      <c r="M135" s="1"/>
      <c r="N135" s="4" t="b">
        <f ca="1">OR(VALUE(CALC2223!B134)&gt;VALUE(LASTV),VALUE(CALC2223!D134)&gt;VALUE(LASTV),VALUE(CALC2223!F134)&gt;VALUE(LASTV))</f>
        <v>0</v>
      </c>
      <c r="O135" s="4" t="b">
        <f ca="1">OR(VALUE(CALC2223!H134)&gt;VALUE(LASTV),VALUE(CALC2223!J134)&gt;VALUE(LASTV),VALUE(CALC2223!L134)&gt;VALUE(LASTV))</f>
        <v>0</v>
      </c>
      <c r="P135" s="4" t="b">
        <f ca="1">OR(VALUE(CALC2223!N134)&gt;VALUE(LASTV),VALUE(CALC2223!P134)&gt;VALUE(LASTV),VALUE(CALC2223!R134)&gt;VALUE(LASTV))</f>
        <v>0</v>
      </c>
      <c r="Q135" s="4" t="b">
        <f ca="1">OR(VALUE(CALC2223!T134)&gt;VALUE(LASTV),VALUE(CALC2223!V134)&gt;VALUE(LASTV),VALUE(CALC2223!X134)&gt;VALUE(LASTV))</f>
        <v>0</v>
      </c>
      <c r="R135" s="4" t="b">
        <f ca="1">OR(VALUE(CALC2223!Z134)&gt;VALUE(LASTV),VALUE(CALC2223!AB134)&gt;VALUE(LASTV),VALUE(CALC2223!AD134)&gt;VALUE(LASTV))</f>
        <v>0</v>
      </c>
      <c r="S135" s="4" t="b">
        <f ca="1">OR(VALUE(CALC2223!AF134)&gt;VALUE(LASTV),VALUE(CALC2223!AH134)&gt;VALUE(LASTV),VALUE(CALC2223!AJ134)&gt;VALUE(LASTV))</f>
        <v>0</v>
      </c>
      <c r="T135" s="4" t="b">
        <f ca="1">OR(VALUE(CALC2223!AL134)&gt;VALUE(LASTV),VALUE(CALC2223!AN134)&gt;VALUE(LASTV),VALUE(CALC2223!AP134)&gt;VALUE(LASTV))</f>
        <v>0</v>
      </c>
      <c r="U135" s="4" t="b">
        <f ca="1">OR(VALUE(CALC2223!AR134)&gt;VALUE(LASTV),VALUE(CALC2223!AT134)&gt;VALUE(LASTV),VALUE(CALC2223!AV134)&gt;VALUE(LASTV))</f>
        <v>0</v>
      </c>
      <c r="V135" s="1"/>
    </row>
    <row r="136" spans="1:22" ht="35.25" hidden="1" customHeight="1">
      <c r="A136" s="50">
        <v>3</v>
      </c>
      <c r="B136" s="41" t="s">
        <v>18</v>
      </c>
      <c r="C136" s="42">
        <v>46034</v>
      </c>
      <c r="D136" s="43" t="str">
        <f ca="1">CONCATENATE(CALC2223!A135," ",CALC2223!C135," ",CALC2223!E135)</f>
        <v xml:space="preserve">  </v>
      </c>
      <c r="E136" s="43" t="str">
        <f ca="1">CONCATENATE(CALC2223!G135," ",CALC2223!I135," ",CALC2223!K135)</f>
        <v xml:space="preserve">  </v>
      </c>
      <c r="F136" s="43" t="str">
        <f ca="1">CONCATENATE(CALC2223!M135," ",CALC2223!O135," ",CALC2223!Q135)</f>
        <v xml:space="preserve">  </v>
      </c>
      <c r="G136" s="43" t="str">
        <f ca="1">CONCATENATE(CALC2223!S135," ",CALC2223!U135," ",CALC2223!W135)</f>
        <v xml:space="preserve">inh BE en GS  </v>
      </c>
      <c r="H136" s="43" t="str">
        <f ca="1">CONCATENATE(CALC2223!Y135," ",CALC2223!AA135," ",CALC2223!AC135)</f>
        <v xml:space="preserve">inh SE GS en WiD  </v>
      </c>
      <c r="I136" s="43" t="str">
        <f ca="1">CONCATENATE(CALC2223!AE135," ",CALC2223!AG135," ",CALC2223!AI135)</f>
        <v xml:space="preserve">  </v>
      </c>
      <c r="J136" s="43" t="str">
        <f ca="1">CONCATENATE(CALC2223!AK135," ",CALC2223!AM135," ",CALC2223!AO135)</f>
        <v xml:space="preserve">  </v>
      </c>
      <c r="K136" s="43" t="str">
        <f ca="1">CONCATENATE(CALC2223!AQ135," ",CALC2223!AS135," ",CALC2223!AU135," ",CALC2223!AW135)</f>
        <v xml:space="preserve">   </v>
      </c>
      <c r="L136" s="44" t="str">
        <f t="shared" ca="1" si="0"/>
        <v>verleden</v>
      </c>
      <c r="M136" s="1"/>
      <c r="N136" s="4" t="b">
        <f ca="1">OR(VALUE(CALC2223!B135)&gt;VALUE(LASTV),VALUE(CALC2223!D135)&gt;VALUE(LASTV),VALUE(CALC2223!F135)&gt;VALUE(LASTV))</f>
        <v>0</v>
      </c>
      <c r="O136" s="4" t="b">
        <f ca="1">OR(VALUE(CALC2223!H135)&gt;VALUE(LASTV),VALUE(CALC2223!J135)&gt;VALUE(LASTV),VALUE(CALC2223!L135)&gt;VALUE(LASTV))</f>
        <v>0</v>
      </c>
      <c r="P136" s="4" t="b">
        <f ca="1">OR(VALUE(CALC2223!N135)&gt;VALUE(LASTV),VALUE(CALC2223!P135)&gt;VALUE(LASTV),VALUE(CALC2223!R135)&gt;VALUE(LASTV))</f>
        <v>0</v>
      </c>
      <c r="Q136" s="4" t="b">
        <f ca="1">OR(VALUE(CALC2223!T135)&gt;VALUE(LASTV),VALUE(CALC2223!V135)&gt;VALUE(LASTV),VALUE(CALC2223!X135)&gt;VALUE(LASTV))</f>
        <v>0</v>
      </c>
      <c r="R136" s="4" t="b">
        <f ca="1">OR(VALUE(CALC2223!Z135)&gt;VALUE(LASTV),VALUE(CALC2223!AB135)&gt;VALUE(LASTV),VALUE(CALC2223!AD135)&gt;VALUE(LASTV))</f>
        <v>0</v>
      </c>
      <c r="S136" s="4" t="b">
        <f ca="1">OR(VALUE(CALC2223!AF135)&gt;VALUE(LASTV),VALUE(CALC2223!AH135)&gt;VALUE(LASTV),VALUE(CALC2223!AJ135)&gt;VALUE(LASTV))</f>
        <v>0</v>
      </c>
      <c r="T136" s="4" t="b">
        <f ca="1">OR(VALUE(CALC2223!AL135)&gt;VALUE(LASTV),VALUE(CALC2223!AN135)&gt;VALUE(LASTV),VALUE(CALC2223!AP135)&gt;VALUE(LASTV))</f>
        <v>0</v>
      </c>
      <c r="U136" s="4" t="b">
        <f ca="1">OR(VALUE(CALC2223!AR135)&gt;VALUE(LASTV),VALUE(CALC2223!AT135)&gt;VALUE(LASTV),VALUE(CALC2223!AV135)&gt;VALUE(LASTV))</f>
        <v>0</v>
      </c>
      <c r="V136" s="1"/>
    </row>
    <row r="137" spans="1:22" ht="35.25" hidden="1" customHeight="1">
      <c r="A137" s="40"/>
      <c r="B137" s="41" t="s">
        <v>19</v>
      </c>
      <c r="C137" s="42">
        <v>46035</v>
      </c>
      <c r="D137" s="43" t="str">
        <f ca="1">CONCATENATE(CALC2223!A136," ",CALC2223!C136," ",CALC2223!E136)</f>
        <v xml:space="preserve">  </v>
      </c>
      <c r="E137" s="43" t="str">
        <f ca="1">CONCATENATE(CALC2223!G136," ",CALC2223!I136," ",CALC2223!K136)</f>
        <v xml:space="preserve">  </v>
      </c>
      <c r="F137" s="43" t="str">
        <f ca="1">CONCATENATE(CALC2223!M136," ",CALC2223!O136," ",CALC2223!Q136)</f>
        <v xml:space="preserve">  </v>
      </c>
      <c r="G137" s="43" t="str">
        <f ca="1">CONCATENATE(CALC2223!S136," ",CALC2223!U136," ",CALC2223!W136)</f>
        <v xml:space="preserve">Rep EN  </v>
      </c>
      <c r="H137" s="43" t="str">
        <f ca="1">CONCATENATE(CALC2223!Y136," ",CALC2223!AA136," ",CALC2223!AC136)</f>
        <v xml:space="preserve">  </v>
      </c>
      <c r="I137" s="43" t="str">
        <f ca="1">CONCATENATE(CALC2223!AE136," ",CALC2223!AG136," ",CALC2223!AI136)</f>
        <v xml:space="preserve">Inhaal SE's  </v>
      </c>
      <c r="J137" s="43" t="str">
        <f ca="1">CONCATENATE(CALC2223!AK136," ",CALC2223!AM136," ",CALC2223!AO136)</f>
        <v xml:space="preserve">  </v>
      </c>
      <c r="K137" s="43" t="str">
        <f ca="1">CONCATENATE(CALC2223!AQ136," ",CALC2223!AS136," ",CALC2223!AU136," ",CALC2223!AW136)</f>
        <v xml:space="preserve">   </v>
      </c>
      <c r="L137" s="44" t="str">
        <f t="shared" ca="1" si="0"/>
        <v>verleden</v>
      </c>
      <c r="M137" s="1"/>
      <c r="N137" s="4" t="b">
        <f ca="1">OR(VALUE(CALC2223!B136)&gt;VALUE(LASTV),VALUE(CALC2223!D136)&gt;VALUE(LASTV),VALUE(CALC2223!F136)&gt;VALUE(LASTV))</f>
        <v>0</v>
      </c>
      <c r="O137" s="4" t="b">
        <f ca="1">OR(VALUE(CALC2223!H136)&gt;VALUE(LASTV),VALUE(CALC2223!J136)&gt;VALUE(LASTV),VALUE(CALC2223!L136)&gt;VALUE(LASTV))</f>
        <v>0</v>
      </c>
      <c r="P137" s="4" t="b">
        <f ca="1">OR(VALUE(CALC2223!N136)&gt;VALUE(LASTV),VALUE(CALC2223!P136)&gt;VALUE(LASTV),VALUE(CALC2223!R136)&gt;VALUE(LASTV))</f>
        <v>0</v>
      </c>
      <c r="Q137" s="4" t="b">
        <f ca="1">OR(VALUE(CALC2223!T136)&gt;VALUE(LASTV),VALUE(CALC2223!V136)&gt;VALUE(LASTV),VALUE(CALC2223!X136)&gt;VALUE(LASTV))</f>
        <v>0</v>
      </c>
      <c r="R137" s="4" t="b">
        <f ca="1">OR(VALUE(CALC2223!Z136)&gt;VALUE(LASTV),VALUE(CALC2223!AB136)&gt;VALUE(LASTV),VALUE(CALC2223!AD136)&gt;VALUE(LASTV))</f>
        <v>0</v>
      </c>
      <c r="S137" s="4" t="b">
        <f ca="1">OR(VALUE(CALC2223!AF136)&gt;VALUE(LASTV),VALUE(CALC2223!AH136)&gt;VALUE(LASTV),VALUE(CALC2223!AJ136)&gt;VALUE(LASTV))</f>
        <v>0</v>
      </c>
      <c r="T137" s="4" t="b">
        <f ca="1">OR(VALUE(CALC2223!AL136)&gt;VALUE(LASTV),VALUE(CALC2223!AN136)&gt;VALUE(LASTV),VALUE(CALC2223!AP136)&gt;VALUE(LASTV))</f>
        <v>0</v>
      </c>
      <c r="U137" s="4" t="b">
        <f ca="1">OR(VALUE(CALC2223!AR136)&gt;VALUE(LASTV),VALUE(CALC2223!AT136)&gt;VALUE(LASTV),VALUE(CALC2223!AV136)&gt;VALUE(LASTV))</f>
        <v>0</v>
      </c>
      <c r="V137" s="1"/>
    </row>
    <row r="138" spans="1:22" ht="35.25" hidden="1" customHeight="1">
      <c r="A138" s="40"/>
      <c r="B138" s="41" t="s">
        <v>20</v>
      </c>
      <c r="C138" s="42">
        <v>46036</v>
      </c>
      <c r="D138" s="43" t="str">
        <f ca="1">CONCATENATE(CALC2223!A137," ",CALC2223!C137," ",CALC2223!E137)</f>
        <v xml:space="preserve">Rep FA  </v>
      </c>
      <c r="E138" s="43" t="str">
        <f ca="1">CONCATENATE(CALC2223!G137," ",CALC2223!I137," ",CALC2223!K137)</f>
        <v xml:space="preserve">  </v>
      </c>
      <c r="F138" s="43" t="str">
        <f ca="1">CONCATENATE(CALC2223!M137," ",CALC2223!O137," ",CALC2223!Q137)</f>
        <v xml:space="preserve">  </v>
      </c>
      <c r="G138" s="43" t="str">
        <f ca="1">CONCATENATE(CALC2223!S137," ",CALC2223!U137," ",CALC2223!W137)</f>
        <v xml:space="preserve">  </v>
      </c>
      <c r="H138" s="43" t="str">
        <f ca="1">CONCATENATE(CALC2223!Y137," ",CALC2223!AA137," ",CALC2223!AC137)</f>
        <v xml:space="preserve">SE FI  </v>
      </c>
      <c r="I138" s="43" t="str">
        <f ca="1">CONCATENATE(CALC2223!AE137," ",CALC2223!AG137," ",CALC2223!AI137)</f>
        <v xml:space="preserve">grtl bezoek Toneelvoorstelling Odyssee (8e+9e uur)  </v>
      </c>
      <c r="J138" s="43" t="str">
        <f ca="1">CONCATENATE(CALC2223!AK137," ",CALC2223!AM137," ",CALC2223!AO137)</f>
        <v xml:space="preserve">  </v>
      </c>
      <c r="K138" s="43" t="str">
        <f ca="1">CONCATENATE(CALC2223!AQ137," ",CALC2223!AS137," ",CALC2223!AU137," ",CALC2223!AW137)</f>
        <v xml:space="preserve">   </v>
      </c>
      <c r="L138" s="44" t="str">
        <f t="shared" ca="1" si="0"/>
        <v>verleden</v>
      </c>
      <c r="M138" s="1"/>
      <c r="N138" s="4" t="b">
        <f ca="1">OR(VALUE(CALC2223!B137)&gt;VALUE(LASTV),VALUE(CALC2223!D137)&gt;VALUE(LASTV),VALUE(CALC2223!F137)&gt;VALUE(LASTV))</f>
        <v>0</v>
      </c>
      <c r="O138" s="4" t="b">
        <f ca="1">OR(VALUE(CALC2223!H137)&gt;VALUE(LASTV),VALUE(CALC2223!J137)&gt;VALUE(LASTV),VALUE(CALC2223!L137)&gt;VALUE(LASTV))</f>
        <v>0</v>
      </c>
      <c r="P138" s="4" t="b">
        <f ca="1">OR(VALUE(CALC2223!N137)&gt;VALUE(LASTV),VALUE(CALC2223!P137)&gt;VALUE(LASTV),VALUE(CALC2223!R137)&gt;VALUE(LASTV))</f>
        <v>0</v>
      </c>
      <c r="Q138" s="4" t="b">
        <f ca="1">OR(VALUE(CALC2223!T137)&gt;VALUE(LASTV),VALUE(CALC2223!V137)&gt;VALUE(LASTV),VALUE(CALC2223!X137)&gt;VALUE(LASTV))</f>
        <v>0</v>
      </c>
      <c r="R138" s="4" t="b">
        <f ca="1">OR(VALUE(CALC2223!Z137)&gt;VALUE(LASTV),VALUE(CALC2223!AB137)&gt;VALUE(LASTV),VALUE(CALC2223!AD137)&gt;VALUE(LASTV))</f>
        <v>0</v>
      </c>
      <c r="S138" s="4" t="b">
        <f ca="1">OR(VALUE(CALC2223!AF137)&gt;VALUE(LASTV),VALUE(CALC2223!AH137)&gt;VALUE(LASTV),VALUE(CALC2223!AJ137)&gt;VALUE(LASTV))</f>
        <v>0</v>
      </c>
      <c r="T138" s="4" t="b">
        <f ca="1">OR(VALUE(CALC2223!AL137)&gt;VALUE(LASTV),VALUE(CALC2223!AN137)&gt;VALUE(LASTV),VALUE(CALC2223!AP137)&gt;VALUE(LASTV))</f>
        <v>0</v>
      </c>
      <c r="U138" s="4" t="b">
        <f ca="1">OR(VALUE(CALC2223!AR137)&gt;VALUE(LASTV),VALUE(CALC2223!AT137)&gt;VALUE(LASTV),VALUE(CALC2223!AV137)&gt;VALUE(LASTV))</f>
        <v>0</v>
      </c>
      <c r="V138" s="1"/>
    </row>
    <row r="139" spans="1:22" ht="35.25" hidden="1" customHeight="1">
      <c r="A139" s="40"/>
      <c r="B139" s="41" t="s">
        <v>21</v>
      </c>
      <c r="C139" s="42">
        <v>46037</v>
      </c>
      <c r="D139" s="43" t="str">
        <f ca="1">CONCATENATE(CALC2223!A138," ",CALC2223!C138," ",CALC2223!E138)</f>
        <v xml:space="preserve">  </v>
      </c>
      <c r="E139" s="43" t="str">
        <f ca="1">CONCATENATE(CALC2223!G138," ",CALC2223!I138," ",CALC2223!K138)</f>
        <v xml:space="preserve">  </v>
      </c>
      <c r="F139" s="43" t="str">
        <f ca="1">CONCATENATE(CALC2223!M138," ",CALC2223!O138," ",CALC2223!Q138)</f>
        <v xml:space="preserve">Rep AK  </v>
      </c>
      <c r="G139" s="43" t="str">
        <f ca="1">CONCATENATE(CALC2223!S138," ",CALC2223!U138," ",CALC2223!W138)</f>
        <v xml:space="preserve">Inh EC  </v>
      </c>
      <c r="H139" s="43" t="str">
        <f ca="1">CONCATENATE(CALC2223!Y138," ",CALC2223!AA138," ",CALC2223!AC138)</f>
        <v xml:space="preserve">inh SE AK en BE  </v>
      </c>
      <c r="I139" s="43" t="str">
        <f ca="1">CONCATENATE(CALC2223!AE138," ",CALC2223!AG138," ",CALC2223!AI138)</f>
        <v xml:space="preserve">LO3:2 Inhaal SE's </v>
      </c>
      <c r="J139" s="43" t="str">
        <f ca="1">CONCATENATE(CALC2223!AK138," ",CALC2223!AM138," ",CALC2223!AO138)</f>
        <v xml:space="preserve">studiemiddag#2  </v>
      </c>
      <c r="K139" s="43" t="str">
        <f ca="1">CONCATENATE(CALC2223!AQ138," ",CALC2223!AS138," ",CALC2223!AU138," ",CALC2223!AW138)</f>
        <v xml:space="preserve">   </v>
      </c>
      <c r="L139" s="44" t="str">
        <f t="shared" ca="1" si="0"/>
        <v>verleden</v>
      </c>
      <c r="M139" s="1"/>
      <c r="N139" s="4" t="b">
        <f ca="1">OR(VALUE(CALC2223!B138)&gt;VALUE(LASTV),VALUE(CALC2223!D138)&gt;VALUE(LASTV),VALUE(CALC2223!F138)&gt;VALUE(LASTV))</f>
        <v>0</v>
      </c>
      <c r="O139" s="4" t="b">
        <f ca="1">OR(VALUE(CALC2223!H138)&gt;VALUE(LASTV),VALUE(CALC2223!J138)&gt;VALUE(LASTV),VALUE(CALC2223!L138)&gt;VALUE(LASTV))</f>
        <v>0</v>
      </c>
      <c r="P139" s="4" t="b">
        <f ca="1">OR(VALUE(CALC2223!N138)&gt;VALUE(LASTV),VALUE(CALC2223!P138)&gt;VALUE(LASTV),VALUE(CALC2223!R138)&gt;VALUE(LASTV))</f>
        <v>0</v>
      </c>
      <c r="Q139" s="4" t="b">
        <f ca="1">OR(VALUE(CALC2223!T138)&gt;VALUE(LASTV),VALUE(CALC2223!V138)&gt;VALUE(LASTV),VALUE(CALC2223!X138)&gt;VALUE(LASTV))</f>
        <v>0</v>
      </c>
      <c r="R139" s="4" t="b">
        <f ca="1">OR(VALUE(CALC2223!Z138)&gt;VALUE(LASTV),VALUE(CALC2223!AB138)&gt;VALUE(LASTV),VALUE(CALC2223!AD138)&gt;VALUE(LASTV))</f>
        <v>0</v>
      </c>
      <c r="S139" s="4" t="b">
        <f ca="1">OR(VALUE(CALC2223!AF138)&gt;VALUE(LASTV),VALUE(CALC2223!AH138)&gt;VALUE(LASTV),VALUE(CALC2223!AJ138)&gt;VALUE(LASTV))</f>
        <v>0</v>
      </c>
      <c r="T139" s="4" t="b">
        <f ca="1">OR(VALUE(CALC2223!AL138)&gt;VALUE(LASTV),VALUE(CALC2223!AN138)&gt;VALUE(LASTV),VALUE(CALC2223!AP138)&gt;VALUE(LASTV))</f>
        <v>0</v>
      </c>
      <c r="U139" s="4" t="b">
        <f ca="1">OR(VALUE(CALC2223!AR138)&gt;VALUE(LASTV),VALUE(CALC2223!AT138)&gt;VALUE(LASTV),VALUE(CALC2223!AV138)&gt;VALUE(LASTV))</f>
        <v>0</v>
      </c>
      <c r="V139" s="1"/>
    </row>
    <row r="140" spans="1:22" ht="35.25" hidden="1" customHeight="1">
      <c r="A140" s="40"/>
      <c r="B140" s="41" t="s">
        <v>22</v>
      </c>
      <c r="C140" s="42">
        <v>46038</v>
      </c>
      <c r="D140" s="43" t="str">
        <f ca="1">CONCATENATE(CALC2223!A139," ",CALC2223!C139," ",CALC2223!E139)</f>
        <v xml:space="preserve">  </v>
      </c>
      <c r="E140" s="43" t="str">
        <f ca="1">CONCATENATE(CALC2223!G139," ",CALC2223!I139," ",CALC2223!K139)</f>
        <v xml:space="preserve">Rep AK  </v>
      </c>
      <c r="F140" s="43" t="str">
        <f ca="1">CONCATENATE(CALC2223!M139," ",CALC2223!O139," ",CALC2223!Q139)</f>
        <v xml:space="preserve">  </v>
      </c>
      <c r="G140" s="43" t="str">
        <f ca="1">CONCATENATE(CALC2223!S139," ",CALC2223!U139," ",CALC2223!W139)</f>
        <v xml:space="preserve">Rep BI  </v>
      </c>
      <c r="H140" s="43" t="str">
        <f ca="1">CONCATENATE(CALC2223!Y139," ",CALC2223!AA139," ",CALC2223!AC139)</f>
        <v xml:space="preserve">  </v>
      </c>
      <c r="I140" s="43" t="str">
        <f ca="1">CONCATENATE(CALC2223!AE139," ",CALC2223!AG139," ",CALC2223!AI139)</f>
        <v xml:space="preserve">  </v>
      </c>
      <c r="J140" s="43" t="str">
        <f ca="1">CONCATENATE(CALC2223!AK139," ",CALC2223!AM139," ",CALC2223!AO139)</f>
        <v xml:space="preserve">  </v>
      </c>
      <c r="K140" s="43" t="str">
        <f ca="1">CONCATENATE(CALC2223!AQ139," ",CALC2223!AS139," ",CALC2223!AU139," ",CALC2223!AW139)</f>
        <v xml:space="preserve">   </v>
      </c>
      <c r="L140" s="44" t="str">
        <f t="shared" ca="1" si="0"/>
        <v>verleden</v>
      </c>
      <c r="M140" s="1"/>
      <c r="N140" s="4" t="b">
        <f ca="1">OR(VALUE(CALC2223!B139)&gt;VALUE(LASTV),VALUE(CALC2223!D139)&gt;VALUE(LASTV),VALUE(CALC2223!F139)&gt;VALUE(LASTV))</f>
        <v>0</v>
      </c>
      <c r="O140" s="4" t="b">
        <f ca="1">OR(VALUE(CALC2223!H139)&gt;VALUE(LASTV),VALUE(CALC2223!J139)&gt;VALUE(LASTV),VALUE(CALC2223!L139)&gt;VALUE(LASTV))</f>
        <v>0</v>
      </c>
      <c r="P140" s="4" t="b">
        <f ca="1">OR(VALUE(CALC2223!N139)&gt;VALUE(LASTV),VALUE(CALC2223!P139)&gt;VALUE(LASTV),VALUE(CALC2223!R139)&gt;VALUE(LASTV))</f>
        <v>0</v>
      </c>
      <c r="Q140" s="4" t="b">
        <f ca="1">OR(VALUE(CALC2223!T139)&gt;VALUE(LASTV),VALUE(CALC2223!V139)&gt;VALUE(LASTV),VALUE(CALC2223!X139)&gt;VALUE(LASTV))</f>
        <v>0</v>
      </c>
      <c r="R140" s="4" t="b">
        <f ca="1">OR(VALUE(CALC2223!Z139)&gt;VALUE(LASTV),VALUE(CALC2223!AB139)&gt;VALUE(LASTV),VALUE(CALC2223!AD139)&gt;VALUE(LASTV))</f>
        <v>0</v>
      </c>
      <c r="S140" s="4" t="b">
        <f ca="1">OR(VALUE(CALC2223!AF139)&gt;VALUE(LASTV),VALUE(CALC2223!AH139)&gt;VALUE(LASTV),VALUE(CALC2223!AJ139)&gt;VALUE(LASTV))</f>
        <v>0</v>
      </c>
      <c r="T140" s="4" t="b">
        <f ca="1">OR(VALUE(CALC2223!AL139)&gt;VALUE(LASTV),VALUE(CALC2223!AN139)&gt;VALUE(LASTV),VALUE(CALC2223!AP139)&gt;VALUE(LASTV))</f>
        <v>0</v>
      </c>
      <c r="U140" s="4" t="b">
        <f ca="1">OR(VALUE(CALC2223!AR139)&gt;VALUE(LASTV),VALUE(CALC2223!AT139)&gt;VALUE(LASTV),VALUE(CALC2223!AV139)&gt;VALUE(LASTV))</f>
        <v>0</v>
      </c>
      <c r="V140" s="1"/>
    </row>
    <row r="141" spans="1:22" ht="35.25" hidden="1" customHeight="1">
      <c r="A141" s="45"/>
      <c r="B141" s="46" t="s">
        <v>23</v>
      </c>
      <c r="C141" s="47">
        <v>46039</v>
      </c>
      <c r="D141" s="48" t="str">
        <f ca="1">CONCATENATE(CALC2223!A140," ",CALC2223!C140," ",CALC2223!E140)</f>
        <v xml:space="preserve">  </v>
      </c>
      <c r="E141" s="48" t="str">
        <f ca="1">CONCATENATE(CALC2223!G140," ",CALC2223!I140," ",CALC2223!K140)</f>
        <v xml:space="preserve">  </v>
      </c>
      <c r="F141" s="48" t="str">
        <f ca="1">CONCATENATE(CALC2223!M140," ",CALC2223!O140," ",CALC2223!Q140)</f>
        <v xml:space="preserve">  </v>
      </c>
      <c r="G141" s="48" t="str">
        <f ca="1">CONCATENATE(CALC2223!S140," ",CALC2223!U140," ",CALC2223!W140)</f>
        <v xml:space="preserve">  </v>
      </c>
      <c r="H141" s="48" t="str">
        <f ca="1">CONCATENATE(CALC2223!Y140," ",CALC2223!AA140," ",CALC2223!AC140)</f>
        <v xml:space="preserve">  </v>
      </c>
      <c r="I141" s="48" t="str">
        <f ca="1">CONCATENATE(CALC2223!AE140," ",CALC2223!AG140," ",CALC2223!AI140)</f>
        <v xml:space="preserve">  </v>
      </c>
      <c r="J141" s="48" t="str">
        <f ca="1">CONCATENATE(CALC2223!AK140," ",CALC2223!AM140," ",CALC2223!AO140)</f>
        <v xml:space="preserve">  </v>
      </c>
      <c r="K141" s="48" t="str">
        <f ca="1">CONCATENATE(CALC2223!AQ140," ",CALC2223!AS140," ",CALC2223!AU140," ",CALC2223!AW140)</f>
        <v xml:space="preserve">   </v>
      </c>
      <c r="L141" s="49" t="str">
        <f t="shared" ca="1" si="0"/>
        <v>verleden</v>
      </c>
      <c r="M141" s="1"/>
      <c r="N141" s="4" t="b">
        <f ca="1">OR(VALUE(CALC2223!B140)&gt;VALUE(LASTV),VALUE(CALC2223!D140)&gt;VALUE(LASTV),VALUE(CALC2223!F140)&gt;VALUE(LASTV))</f>
        <v>0</v>
      </c>
      <c r="O141" s="4" t="b">
        <f ca="1">OR(VALUE(CALC2223!H140)&gt;VALUE(LASTV),VALUE(CALC2223!J140)&gt;VALUE(LASTV),VALUE(CALC2223!L140)&gt;VALUE(LASTV))</f>
        <v>0</v>
      </c>
      <c r="P141" s="4" t="b">
        <f ca="1">OR(VALUE(CALC2223!N140)&gt;VALUE(LASTV),VALUE(CALC2223!P140)&gt;VALUE(LASTV),VALUE(CALC2223!R140)&gt;VALUE(LASTV))</f>
        <v>0</v>
      </c>
      <c r="Q141" s="4" t="b">
        <f ca="1">OR(VALUE(CALC2223!T140)&gt;VALUE(LASTV),VALUE(CALC2223!V140)&gt;VALUE(LASTV),VALUE(CALC2223!X140)&gt;VALUE(LASTV))</f>
        <v>0</v>
      </c>
      <c r="R141" s="4" t="b">
        <f ca="1">OR(VALUE(CALC2223!Z140)&gt;VALUE(LASTV),VALUE(CALC2223!AB140)&gt;VALUE(LASTV),VALUE(CALC2223!AD140)&gt;VALUE(LASTV))</f>
        <v>0</v>
      </c>
      <c r="S141" s="4" t="b">
        <f ca="1">OR(VALUE(CALC2223!AF140)&gt;VALUE(LASTV),VALUE(CALC2223!AH140)&gt;VALUE(LASTV),VALUE(CALC2223!AJ140)&gt;VALUE(LASTV))</f>
        <v>0</v>
      </c>
      <c r="T141" s="4" t="b">
        <f ca="1">OR(VALUE(CALC2223!AL140)&gt;VALUE(LASTV),VALUE(CALC2223!AN140)&gt;VALUE(LASTV),VALUE(CALC2223!AP140)&gt;VALUE(LASTV))</f>
        <v>0</v>
      </c>
      <c r="U141" s="4" t="b">
        <f ca="1">OR(VALUE(CALC2223!AR140)&gt;VALUE(LASTV),VALUE(CALC2223!AT140)&gt;VALUE(LASTV),VALUE(CALC2223!AV140)&gt;VALUE(LASTV))</f>
        <v>0</v>
      </c>
      <c r="V141" s="1"/>
    </row>
    <row r="142" spans="1:22" ht="35.25" hidden="1" customHeight="1">
      <c r="A142" s="45"/>
      <c r="B142" s="46" t="s">
        <v>24</v>
      </c>
      <c r="C142" s="47">
        <v>46040</v>
      </c>
      <c r="D142" s="48" t="str">
        <f ca="1">CONCATENATE(CALC2223!A141," ",CALC2223!C141," ",CALC2223!E141)</f>
        <v xml:space="preserve">  </v>
      </c>
      <c r="E142" s="48" t="str">
        <f ca="1">CONCATENATE(CALC2223!G141," ",CALC2223!I141," ",CALC2223!K141)</f>
        <v xml:space="preserve">  </v>
      </c>
      <c r="F142" s="48" t="str">
        <f ca="1">CONCATENATE(CALC2223!M141," ",CALC2223!O141," ",CALC2223!Q141)</f>
        <v xml:space="preserve">  </v>
      </c>
      <c r="G142" s="48" t="str">
        <f ca="1">CONCATENATE(CALC2223!S141," ",CALC2223!U141," ",CALC2223!W141)</f>
        <v xml:space="preserve">  </v>
      </c>
      <c r="H142" s="48" t="str">
        <f ca="1">CONCATENATE(CALC2223!Y141," ",CALC2223!AA141," ",CALC2223!AC141)</f>
        <v xml:space="preserve">  </v>
      </c>
      <c r="I142" s="48" t="str">
        <f ca="1">CONCATENATE(CALC2223!AE141," ",CALC2223!AG141," ",CALC2223!AI141)</f>
        <v xml:space="preserve">  </v>
      </c>
      <c r="J142" s="48" t="str">
        <f ca="1">CONCATENATE(CALC2223!AK141," ",CALC2223!AM141," ",CALC2223!AO141)</f>
        <v xml:space="preserve">  </v>
      </c>
      <c r="K142" s="48" t="str">
        <f ca="1">CONCATENATE(CALC2223!AQ141," ",CALC2223!AS141," ",CALC2223!AU141," ",CALC2223!AW141)</f>
        <v xml:space="preserve">   </v>
      </c>
      <c r="L142" s="49" t="str">
        <f t="shared" ca="1" si="0"/>
        <v>verleden</v>
      </c>
      <c r="M142" s="1"/>
      <c r="N142" s="4" t="b">
        <f ca="1">OR(VALUE(CALC2223!B141)&gt;VALUE(LASTV),VALUE(CALC2223!D141)&gt;VALUE(LASTV),VALUE(CALC2223!F141)&gt;VALUE(LASTV))</f>
        <v>0</v>
      </c>
      <c r="O142" s="4" t="b">
        <f ca="1">OR(VALUE(CALC2223!H141)&gt;VALUE(LASTV),VALUE(CALC2223!J141)&gt;VALUE(LASTV),VALUE(CALC2223!L141)&gt;VALUE(LASTV))</f>
        <v>0</v>
      </c>
      <c r="P142" s="4" t="b">
        <f ca="1">OR(VALUE(CALC2223!N141)&gt;VALUE(LASTV),VALUE(CALC2223!P141)&gt;VALUE(LASTV),VALUE(CALC2223!R141)&gt;VALUE(LASTV))</f>
        <v>0</v>
      </c>
      <c r="Q142" s="4" t="b">
        <f ca="1">OR(VALUE(CALC2223!T141)&gt;VALUE(LASTV),VALUE(CALC2223!V141)&gt;VALUE(LASTV),VALUE(CALC2223!X141)&gt;VALUE(LASTV))</f>
        <v>0</v>
      </c>
      <c r="R142" s="4" t="b">
        <f ca="1">OR(VALUE(CALC2223!Z141)&gt;VALUE(LASTV),VALUE(CALC2223!AB141)&gt;VALUE(LASTV),VALUE(CALC2223!AD141)&gt;VALUE(LASTV))</f>
        <v>0</v>
      </c>
      <c r="S142" s="4" t="b">
        <f ca="1">OR(VALUE(CALC2223!AF141)&gt;VALUE(LASTV),VALUE(CALC2223!AH141)&gt;VALUE(LASTV),VALUE(CALC2223!AJ141)&gt;VALUE(LASTV))</f>
        <v>0</v>
      </c>
      <c r="T142" s="4" t="b">
        <f ca="1">OR(VALUE(CALC2223!AL141)&gt;VALUE(LASTV),VALUE(CALC2223!AN141)&gt;VALUE(LASTV),VALUE(CALC2223!AP141)&gt;VALUE(LASTV))</f>
        <v>0</v>
      </c>
      <c r="U142" s="4" t="b">
        <f ca="1">OR(VALUE(CALC2223!AR141)&gt;VALUE(LASTV),VALUE(CALC2223!AT141)&gt;VALUE(LASTV),VALUE(CALC2223!AV141)&gt;VALUE(LASTV))</f>
        <v>0</v>
      </c>
      <c r="V142" s="1"/>
    </row>
    <row r="143" spans="1:22" ht="35.25" hidden="1" customHeight="1">
      <c r="A143" s="50">
        <v>4</v>
      </c>
      <c r="B143" s="41" t="s">
        <v>18</v>
      </c>
      <c r="C143" s="42">
        <v>46041</v>
      </c>
      <c r="D143" s="51" t="str">
        <f ca="1">CONCATENATE(CALC2223!A142," ",CALC2223!C142," ",CALC2223!E142)</f>
        <v xml:space="preserve">  </v>
      </c>
      <c r="E143" s="51" t="str">
        <f ca="1">CONCATENATE(CALC2223!G142," ",CALC2223!I142," ",CALC2223!K142)</f>
        <v xml:space="preserve">  </v>
      </c>
      <c r="F143" s="51" t="str">
        <f ca="1">CONCATENATE(CALC2223!M142," ",CALC2223!O142," ",CALC2223!Q142)</f>
        <v xml:space="preserve">  </v>
      </c>
      <c r="G143" s="51" t="str">
        <f ca="1">CONCATENATE(CALC2223!S142," ",CALC2223!U142," ",CALC2223!W142)</f>
        <v xml:space="preserve">  </v>
      </c>
      <c r="H143" s="51" t="str">
        <f ca="1">CONCATENATE(CALC2223!Y142," ",CALC2223!AA142," ",CALC2223!AC142)</f>
        <v xml:space="preserve">Inh SE BI (1e en 2e uur!)  </v>
      </c>
      <c r="I143" s="51" t="str">
        <f ca="1">CONCATENATE(CALC2223!AE142," ",CALC2223!AG142," ",CALC2223!AI142)</f>
        <v xml:space="preserve">KLT Duits KLT Duits </v>
      </c>
      <c r="J143" s="51" t="str">
        <f ca="1">CONCATENATE(CALC2223!AK142," ",CALC2223!AM142," ",CALC2223!AO142)</f>
        <v xml:space="preserve">  </v>
      </c>
      <c r="K143" s="51" t="str">
        <f ca="1">CONCATENATE(CALC2223!AQ142," ",CALC2223!AS142," ",CALC2223!AU142," ",CALC2223!AW142)</f>
        <v xml:space="preserve">   </v>
      </c>
      <c r="L143" s="52" t="str">
        <f t="shared" ca="1" si="0"/>
        <v>verleden</v>
      </c>
      <c r="M143" s="1"/>
      <c r="N143" s="4" t="b">
        <f ca="1">OR(VALUE(CALC2223!B142)&gt;VALUE(LASTV),VALUE(CALC2223!D142)&gt;VALUE(LASTV),VALUE(CALC2223!F142)&gt;VALUE(LASTV))</f>
        <v>0</v>
      </c>
      <c r="O143" s="4" t="b">
        <f ca="1">OR(VALUE(CALC2223!H142)&gt;VALUE(LASTV),VALUE(CALC2223!J142)&gt;VALUE(LASTV),VALUE(CALC2223!L142)&gt;VALUE(LASTV))</f>
        <v>0</v>
      </c>
      <c r="P143" s="4" t="b">
        <f ca="1">OR(VALUE(CALC2223!N142)&gt;VALUE(LASTV),VALUE(CALC2223!P142)&gt;VALUE(LASTV),VALUE(CALC2223!R142)&gt;VALUE(LASTV))</f>
        <v>0</v>
      </c>
      <c r="Q143" s="4" t="b">
        <f ca="1">OR(VALUE(CALC2223!T142)&gt;VALUE(LASTV),VALUE(CALC2223!V142)&gt;VALUE(LASTV),VALUE(CALC2223!X142)&gt;VALUE(LASTV))</f>
        <v>0</v>
      </c>
      <c r="R143" s="4" t="b">
        <f ca="1">OR(VALUE(CALC2223!Z142)&gt;VALUE(LASTV),VALUE(CALC2223!AB142)&gt;VALUE(LASTV),VALUE(CALC2223!AD142)&gt;VALUE(LASTV))</f>
        <v>0</v>
      </c>
      <c r="S143" s="4" t="b">
        <f ca="1">OR(VALUE(CALC2223!AF142)&gt;VALUE(LASTV),VALUE(CALC2223!AH142)&gt;VALUE(LASTV),VALUE(CALC2223!AJ142)&gt;VALUE(LASTV))</f>
        <v>0</v>
      </c>
      <c r="T143" s="4" t="b">
        <f ca="1">OR(VALUE(CALC2223!AL142)&gt;VALUE(LASTV),VALUE(CALC2223!AN142)&gt;VALUE(LASTV),VALUE(CALC2223!AP142)&gt;VALUE(LASTV))</f>
        <v>0</v>
      </c>
      <c r="U143" s="4" t="b">
        <f ca="1">OR(VALUE(CALC2223!AR142)&gt;VALUE(LASTV),VALUE(CALC2223!AT142)&gt;VALUE(LASTV),VALUE(CALC2223!AV142)&gt;VALUE(LASTV))</f>
        <v>0</v>
      </c>
      <c r="V143" s="1"/>
    </row>
    <row r="144" spans="1:22" ht="35.25" hidden="1" customHeight="1">
      <c r="A144" s="40"/>
      <c r="B144" s="41" t="s">
        <v>19</v>
      </c>
      <c r="C144" s="42">
        <v>46042</v>
      </c>
      <c r="D144" s="51" t="str">
        <f ca="1">CONCATENATE(CALC2223!A143," ",CALC2223!C143," ",CALC2223!E143)</f>
        <v xml:space="preserve">  </v>
      </c>
      <c r="E144" s="51" t="str">
        <f ca="1">CONCATENATE(CALC2223!G143," ",CALC2223!I143," ",CALC2223!K143)</f>
        <v xml:space="preserve">  </v>
      </c>
      <c r="F144" s="51" t="str">
        <f ca="1">CONCATENATE(CALC2223!M143," ",CALC2223!O143," ",CALC2223!Q143)</f>
        <v xml:space="preserve">  </v>
      </c>
      <c r="G144" s="51" t="str">
        <f ca="1">CONCATENATE(CALC2223!S143," ",CALC2223!U143," ",CALC2223!W143)</f>
        <v xml:space="preserve">Rep AK  </v>
      </c>
      <c r="H144" s="51" t="str">
        <f ca="1">CONCATENATE(CALC2223!Y143," ",CALC2223!AA143," ",CALC2223!AC143)</f>
        <v xml:space="preserve">  </v>
      </c>
      <c r="I144" s="51" t="str">
        <f ca="1">CONCATENATE(CALC2223!AE143," ",CALC2223!AG143," ",CALC2223!AI143)</f>
        <v xml:space="preserve">  </v>
      </c>
      <c r="J144" s="51" t="str">
        <f ca="1">CONCATENATE(CALC2223!AK143," ",CALC2223!AM143," ",CALC2223!AO143)</f>
        <v xml:space="preserve">  </v>
      </c>
      <c r="K144" s="51" t="str">
        <f ca="1">CONCATENATE(CALC2223!AQ143," ",CALC2223!AS143," ",CALC2223!AU143," ",CALC2223!AW143)</f>
        <v xml:space="preserve">   </v>
      </c>
      <c r="L144" s="52" t="str">
        <f t="shared" ca="1" si="0"/>
        <v>verleden</v>
      </c>
      <c r="M144" s="1"/>
      <c r="N144" s="4" t="b">
        <f ca="1">OR(VALUE(CALC2223!B143)&gt;VALUE(LASTV),VALUE(CALC2223!D143)&gt;VALUE(LASTV),VALUE(CALC2223!F143)&gt;VALUE(LASTV))</f>
        <v>0</v>
      </c>
      <c r="O144" s="4" t="b">
        <f ca="1">OR(VALUE(CALC2223!H143)&gt;VALUE(LASTV),VALUE(CALC2223!J143)&gt;VALUE(LASTV),VALUE(CALC2223!L143)&gt;VALUE(LASTV))</f>
        <v>0</v>
      </c>
      <c r="P144" s="4" t="b">
        <f ca="1">OR(VALUE(CALC2223!N143)&gt;VALUE(LASTV),VALUE(CALC2223!P143)&gt;VALUE(LASTV),VALUE(CALC2223!R143)&gt;VALUE(LASTV))</f>
        <v>0</v>
      </c>
      <c r="Q144" s="4" t="b">
        <f ca="1">OR(VALUE(CALC2223!T143)&gt;VALUE(LASTV),VALUE(CALC2223!V143)&gt;VALUE(LASTV),VALUE(CALC2223!X143)&gt;VALUE(LASTV))</f>
        <v>0</v>
      </c>
      <c r="R144" s="4" t="b">
        <f ca="1">OR(VALUE(CALC2223!Z143)&gt;VALUE(LASTV),VALUE(CALC2223!AB143)&gt;VALUE(LASTV),VALUE(CALC2223!AD143)&gt;VALUE(LASTV))</f>
        <v>0</v>
      </c>
      <c r="S144" s="4" t="b">
        <f ca="1">OR(VALUE(CALC2223!AF143)&gt;VALUE(LASTV),VALUE(CALC2223!AH143)&gt;VALUE(LASTV),VALUE(CALC2223!AJ143)&gt;VALUE(LASTV))</f>
        <v>0</v>
      </c>
      <c r="T144" s="4" t="b">
        <f ca="1">OR(VALUE(CALC2223!AL143)&gt;VALUE(LASTV),VALUE(CALC2223!AN143)&gt;VALUE(LASTV),VALUE(CALC2223!AP143)&gt;VALUE(LASTV))</f>
        <v>0</v>
      </c>
      <c r="U144" s="4" t="b">
        <f ca="1">OR(VALUE(CALC2223!AR143)&gt;VALUE(LASTV),VALUE(CALC2223!AT143)&gt;VALUE(LASTV),VALUE(CALC2223!AV143)&gt;VALUE(LASTV))</f>
        <v>0</v>
      </c>
      <c r="V144" s="1"/>
    </row>
    <row r="145" spans="1:22" ht="35.25" hidden="1" customHeight="1">
      <c r="A145" s="40"/>
      <c r="B145" s="41" t="s">
        <v>20</v>
      </c>
      <c r="C145" s="42">
        <v>46043</v>
      </c>
      <c r="D145" s="51" t="str">
        <f ca="1">CONCATENATE(CALC2223!A144," ",CALC2223!C144," ",CALC2223!E144)</f>
        <v xml:space="preserve">Rep WIS  </v>
      </c>
      <c r="E145" s="51" t="str">
        <f ca="1">CONCATENATE(CALC2223!G144," ",CALC2223!I144," ",CALC2223!K144)</f>
        <v xml:space="preserve">  </v>
      </c>
      <c r="F145" s="51" t="str">
        <f ca="1">CONCATENATE(CALC2223!M144," ",CALC2223!O144," ",CALC2223!Q144)</f>
        <v xml:space="preserve">  </v>
      </c>
      <c r="G145" s="51" t="str">
        <f ca="1">CONCATENATE(CALC2223!S144," ",CALC2223!U144," ",CALC2223!W144)</f>
        <v xml:space="preserve">  </v>
      </c>
      <c r="H145" s="51" t="str">
        <f ca="1">CONCATENATE(CALC2223!Y144," ",CALC2223!AA144," ",CALC2223!AC144)</f>
        <v xml:space="preserve">inh rep wiB (1e uur)  </v>
      </c>
      <c r="I145" s="51" t="str">
        <f ca="1">CONCATENATE(CALC2223!AE144," ",CALC2223!AG144," ",CALC2223!AI144)</f>
        <v xml:space="preserve">KuBv groen licht  </v>
      </c>
      <c r="J145" s="51" t="str">
        <f ca="1">CONCATENATE(CALC2223!AK144," ",CALC2223!AM144," ",CALC2223!AO144)</f>
        <v xml:space="preserve">  </v>
      </c>
      <c r="K145" s="51" t="str">
        <f ca="1">CONCATENATE(CALC2223!AQ144," ",CALC2223!AS144," ",CALC2223!AU144," ",CALC2223!AW144)</f>
        <v xml:space="preserve">   </v>
      </c>
      <c r="L145" s="52" t="str">
        <f t="shared" ca="1" si="0"/>
        <v>verleden</v>
      </c>
      <c r="M145" s="1"/>
      <c r="N145" s="4" t="b">
        <f ca="1">OR(VALUE(CALC2223!B144)&gt;VALUE(LASTV),VALUE(CALC2223!D144)&gt;VALUE(LASTV),VALUE(CALC2223!F144)&gt;VALUE(LASTV))</f>
        <v>0</v>
      </c>
      <c r="O145" s="4" t="b">
        <f ca="1">OR(VALUE(CALC2223!H144)&gt;VALUE(LASTV),VALUE(CALC2223!J144)&gt;VALUE(LASTV),VALUE(CALC2223!L144)&gt;VALUE(LASTV))</f>
        <v>0</v>
      </c>
      <c r="P145" s="4" t="b">
        <f ca="1">OR(VALUE(CALC2223!N144)&gt;VALUE(LASTV),VALUE(CALC2223!P144)&gt;VALUE(LASTV),VALUE(CALC2223!R144)&gt;VALUE(LASTV))</f>
        <v>0</v>
      </c>
      <c r="Q145" s="4" t="b">
        <f ca="1">OR(VALUE(CALC2223!T144)&gt;VALUE(LASTV),VALUE(CALC2223!V144)&gt;VALUE(LASTV),VALUE(CALC2223!X144)&gt;VALUE(LASTV))</f>
        <v>0</v>
      </c>
      <c r="R145" s="4" t="b">
        <f ca="1">OR(VALUE(CALC2223!Z144)&gt;VALUE(LASTV),VALUE(CALC2223!AB144)&gt;VALUE(LASTV),VALUE(CALC2223!AD144)&gt;VALUE(LASTV))</f>
        <v>0</v>
      </c>
      <c r="S145" s="4" t="b">
        <f ca="1">OR(VALUE(CALC2223!AF144)&gt;VALUE(LASTV),VALUE(CALC2223!AH144)&gt;VALUE(LASTV),VALUE(CALC2223!AJ144)&gt;VALUE(LASTV))</f>
        <v>0</v>
      </c>
      <c r="T145" s="4" t="b">
        <f ca="1">OR(VALUE(CALC2223!AL144)&gt;VALUE(LASTV),VALUE(CALC2223!AN144)&gt;VALUE(LASTV),VALUE(CALC2223!AP144)&gt;VALUE(LASTV))</f>
        <v>0</v>
      </c>
      <c r="U145" s="4" t="b">
        <f ca="1">OR(VALUE(CALC2223!AR144)&gt;VALUE(LASTV),VALUE(CALC2223!AT144)&gt;VALUE(LASTV),VALUE(CALC2223!AV144)&gt;VALUE(LASTV))</f>
        <v>0</v>
      </c>
      <c r="V145" s="1"/>
    </row>
    <row r="146" spans="1:22" ht="35.25" hidden="1" customHeight="1">
      <c r="A146" s="40"/>
      <c r="B146" s="41" t="s">
        <v>21</v>
      </c>
      <c r="C146" s="42">
        <v>46044</v>
      </c>
      <c r="D146" s="51" t="str">
        <f ca="1">CONCATENATE(CALC2223!A145," ",CALC2223!C145," ",CALC2223!E145)</f>
        <v xml:space="preserve">  </v>
      </c>
      <c r="E146" s="51" t="str">
        <f ca="1">CONCATENATE(CALC2223!G145," ",CALC2223!I145," ",CALC2223!K145)</f>
        <v xml:space="preserve">  </v>
      </c>
      <c r="F146" s="51" t="str">
        <f ca="1">CONCATENATE(CALC2223!M145," ",CALC2223!O145," ",CALC2223!Q145)</f>
        <v xml:space="preserve">  </v>
      </c>
      <c r="G146" s="51" t="str">
        <f ca="1">CONCATENATE(CALC2223!S145," ",CALC2223!U145," ",CALC2223!W145)</f>
        <v xml:space="preserve">veegmoment  </v>
      </c>
      <c r="H146" s="51" t="str">
        <f ca="1">CONCATENATE(CALC2223!Y145," ",CALC2223!AA145," ",CALC2223!AC145)</f>
        <v xml:space="preserve">veegmoment  </v>
      </c>
      <c r="I146" s="51" t="str">
        <f ca="1">CONCATENATE(CALC2223!AE145," ",CALC2223!AG145," ",CALC2223!AI145)</f>
        <v xml:space="preserve">LO3:3  </v>
      </c>
      <c r="J146" s="51" t="str">
        <f ca="1">CONCATENATE(CALC2223!AK145," ",CALC2223!AM145," ",CALC2223!AO145)</f>
        <v xml:space="preserve">mentoren#4 (verplaatsen)  </v>
      </c>
      <c r="K146" s="51" t="str">
        <f ca="1">CONCATENATE(CALC2223!AQ145," ",CALC2223!AS145," ",CALC2223!AU145," ",CALC2223!AW145)</f>
        <v xml:space="preserve">Open Dag: 16:00-21:00 uur verkort lesrooster (30 minuten)  </v>
      </c>
      <c r="L146" s="52" t="str">
        <f t="shared" ca="1" si="0"/>
        <v>verleden</v>
      </c>
      <c r="M146" s="1"/>
      <c r="N146" s="4" t="b">
        <f ca="1">OR(VALUE(CALC2223!B145)&gt;VALUE(LASTV),VALUE(CALC2223!D145)&gt;VALUE(LASTV),VALUE(CALC2223!F145)&gt;VALUE(LASTV))</f>
        <v>0</v>
      </c>
      <c r="O146" s="4" t="b">
        <f ca="1">OR(VALUE(CALC2223!H145)&gt;VALUE(LASTV),VALUE(CALC2223!J145)&gt;VALUE(LASTV),VALUE(CALC2223!L145)&gt;VALUE(LASTV))</f>
        <v>0</v>
      </c>
      <c r="P146" s="4" t="b">
        <f ca="1">OR(VALUE(CALC2223!N145)&gt;VALUE(LASTV),VALUE(CALC2223!P145)&gt;VALUE(LASTV),VALUE(CALC2223!R145)&gt;VALUE(LASTV))</f>
        <v>0</v>
      </c>
      <c r="Q146" s="4" t="b">
        <f ca="1">OR(VALUE(CALC2223!T145)&gt;VALUE(LASTV),VALUE(CALC2223!V145)&gt;VALUE(LASTV),VALUE(CALC2223!X145)&gt;VALUE(LASTV))</f>
        <v>0</v>
      </c>
      <c r="R146" s="4" t="b">
        <f ca="1">OR(VALUE(CALC2223!Z145)&gt;VALUE(LASTV),VALUE(CALC2223!AB145)&gt;VALUE(LASTV),VALUE(CALC2223!AD145)&gt;VALUE(LASTV))</f>
        <v>0</v>
      </c>
      <c r="S146" s="4" t="b">
        <f ca="1">OR(VALUE(CALC2223!AF145)&gt;VALUE(LASTV),VALUE(CALC2223!AH145)&gt;VALUE(LASTV),VALUE(CALC2223!AJ145)&gt;VALUE(LASTV))</f>
        <v>0</v>
      </c>
      <c r="T146" s="4" t="b">
        <f ca="1">OR(VALUE(CALC2223!AL145)&gt;VALUE(LASTV),VALUE(CALC2223!AN145)&gt;VALUE(LASTV),VALUE(CALC2223!AP145)&gt;VALUE(LASTV))</f>
        <v>0</v>
      </c>
      <c r="U146" s="4" t="b">
        <f ca="1">OR(VALUE(CALC2223!AR145)&gt;VALUE(LASTV),VALUE(CALC2223!AT145)&gt;VALUE(LASTV),VALUE(CALC2223!AV145)&gt;VALUE(LASTV))</f>
        <v>0</v>
      </c>
      <c r="V146" s="1"/>
    </row>
    <row r="147" spans="1:22" ht="35.25" hidden="1" customHeight="1">
      <c r="A147" s="40"/>
      <c r="B147" s="41" t="s">
        <v>22</v>
      </c>
      <c r="C147" s="42">
        <v>46045</v>
      </c>
      <c r="D147" s="51" t="str">
        <f ca="1">CONCATENATE(CALC2223!A146," ",CALC2223!C146," ",CALC2223!E146)</f>
        <v xml:space="preserve">  </v>
      </c>
      <c r="E147" s="51" t="str">
        <f ca="1">CONCATENATE(CALC2223!G146," ",CALC2223!I146," ",CALC2223!K146)</f>
        <v xml:space="preserve">Rep NA  </v>
      </c>
      <c r="F147" s="51" t="str">
        <f ca="1">CONCATENATE(CALC2223!M146," ",CALC2223!O146," ",CALC2223!Q146)</f>
        <v xml:space="preserve">  </v>
      </c>
      <c r="G147" s="51" t="str">
        <f ca="1">CONCATENATE(CALC2223!S146," ",CALC2223!U146," ",CALC2223!W146)</f>
        <v xml:space="preserve">Rep WIABC  </v>
      </c>
      <c r="H147" s="51" t="str">
        <f ca="1">CONCATENATE(CALC2223!Y146," ",CALC2223!AA146," ",CALC2223!AC146)</f>
        <v xml:space="preserve">  </v>
      </c>
      <c r="I147" s="51" t="str">
        <f ca="1">CONCATENATE(CALC2223!AE146," ",CALC2223!AG146," ",CALC2223!AI146)</f>
        <v xml:space="preserve">KLT Frans KLT Frans </v>
      </c>
      <c r="J147" s="51" t="str">
        <f ca="1">CONCATENATE(CALC2223!AK146," ",CALC2223!AM146," ",CALC2223!AO146)</f>
        <v xml:space="preserve">  </v>
      </c>
      <c r="K147" s="51" t="str">
        <f ca="1">CONCATENATE(CALC2223!AQ146," ",CALC2223!AS146," ",CALC2223!AU146," ",CALC2223!AW146)</f>
        <v xml:space="preserve">   </v>
      </c>
      <c r="L147" s="52" t="str">
        <f t="shared" ca="1" si="0"/>
        <v>verleden</v>
      </c>
      <c r="M147" s="1"/>
      <c r="N147" s="4" t="b">
        <f ca="1">OR(VALUE(CALC2223!B146)&gt;VALUE(LASTV),VALUE(CALC2223!D146)&gt;VALUE(LASTV),VALUE(CALC2223!F146)&gt;VALUE(LASTV))</f>
        <v>0</v>
      </c>
      <c r="O147" s="4" t="b">
        <f ca="1">OR(VALUE(CALC2223!H146)&gt;VALUE(LASTV),VALUE(CALC2223!J146)&gt;VALUE(LASTV),VALUE(CALC2223!L146)&gt;VALUE(LASTV))</f>
        <v>0</v>
      </c>
      <c r="P147" s="4" t="b">
        <f ca="1">OR(VALUE(CALC2223!N146)&gt;VALUE(LASTV),VALUE(CALC2223!P146)&gt;VALUE(LASTV),VALUE(CALC2223!R146)&gt;VALUE(LASTV))</f>
        <v>0</v>
      </c>
      <c r="Q147" s="4" t="b">
        <f ca="1">OR(VALUE(CALC2223!T146)&gt;VALUE(LASTV),VALUE(CALC2223!V146)&gt;VALUE(LASTV),VALUE(CALC2223!X146)&gt;VALUE(LASTV))</f>
        <v>0</v>
      </c>
      <c r="R147" s="4" t="b">
        <f ca="1">OR(VALUE(CALC2223!Z146)&gt;VALUE(LASTV),VALUE(CALC2223!AB146)&gt;VALUE(LASTV),VALUE(CALC2223!AD146)&gt;VALUE(LASTV))</f>
        <v>0</v>
      </c>
      <c r="S147" s="4" t="b">
        <f ca="1">OR(VALUE(CALC2223!AF146)&gt;VALUE(LASTV),VALUE(CALC2223!AH146)&gt;VALUE(LASTV),VALUE(CALC2223!AJ146)&gt;VALUE(LASTV))</f>
        <v>0</v>
      </c>
      <c r="T147" s="4" t="b">
        <f ca="1">OR(VALUE(CALC2223!AL146)&gt;VALUE(LASTV),VALUE(CALC2223!AN146)&gt;VALUE(LASTV),VALUE(CALC2223!AP146)&gt;VALUE(LASTV))</f>
        <v>0</v>
      </c>
      <c r="U147" s="4" t="b">
        <f ca="1">OR(VALUE(CALC2223!AR146)&gt;VALUE(LASTV),VALUE(CALC2223!AT146)&gt;VALUE(LASTV),VALUE(CALC2223!AV146)&gt;VALUE(LASTV))</f>
        <v>0</v>
      </c>
      <c r="V147" s="1"/>
    </row>
    <row r="148" spans="1:22" ht="35.25" hidden="1" customHeight="1">
      <c r="A148" s="45"/>
      <c r="B148" s="46" t="s">
        <v>23</v>
      </c>
      <c r="C148" s="47">
        <v>46046</v>
      </c>
      <c r="D148" s="48" t="str">
        <f ca="1">CONCATENATE(CALC2223!A147," ",CALC2223!C147," ",CALC2223!E147)</f>
        <v xml:space="preserve">  </v>
      </c>
      <c r="E148" s="48" t="str">
        <f ca="1">CONCATENATE(CALC2223!G147," ",CALC2223!I147," ",CALC2223!K147)</f>
        <v xml:space="preserve">  </v>
      </c>
      <c r="F148" s="48" t="str">
        <f ca="1">CONCATENATE(CALC2223!M147," ",CALC2223!O147," ",CALC2223!Q147)</f>
        <v xml:space="preserve">  </v>
      </c>
      <c r="G148" s="48" t="str">
        <f ca="1">CONCATENATE(CALC2223!S147," ",CALC2223!U147," ",CALC2223!W147)</f>
        <v xml:space="preserve">  </v>
      </c>
      <c r="H148" s="48" t="str">
        <f ca="1">CONCATENATE(CALC2223!Y147," ",CALC2223!AA147," ",CALC2223!AC147)</f>
        <v xml:space="preserve">  </v>
      </c>
      <c r="I148" s="48" t="str">
        <f ca="1">CONCATENATE(CALC2223!AE147," ",CALC2223!AG147," ",CALC2223!AI147)</f>
        <v xml:space="preserve">  </v>
      </c>
      <c r="J148" s="48" t="str">
        <f ca="1">CONCATENATE(CALC2223!AK147," ",CALC2223!AM147," ",CALC2223!AO147)</f>
        <v xml:space="preserve">  </v>
      </c>
      <c r="K148" s="48" t="str">
        <f ca="1">CONCATENATE(CALC2223!AQ147," ",CALC2223!AS147," ",CALC2223!AU147," ",CALC2223!AW147)</f>
        <v xml:space="preserve">   </v>
      </c>
      <c r="L148" s="49" t="str">
        <f t="shared" ca="1" si="0"/>
        <v>verleden</v>
      </c>
      <c r="M148" s="1"/>
      <c r="N148" s="4" t="b">
        <f ca="1">OR(VALUE(CALC2223!B147)&gt;VALUE(LASTV),VALUE(CALC2223!D147)&gt;VALUE(LASTV),VALUE(CALC2223!F147)&gt;VALUE(LASTV))</f>
        <v>0</v>
      </c>
      <c r="O148" s="4" t="b">
        <f ca="1">OR(VALUE(CALC2223!H147)&gt;VALUE(LASTV),VALUE(CALC2223!J147)&gt;VALUE(LASTV),VALUE(CALC2223!L147)&gt;VALUE(LASTV))</f>
        <v>0</v>
      </c>
      <c r="P148" s="4" t="b">
        <f ca="1">OR(VALUE(CALC2223!N147)&gt;VALUE(LASTV),VALUE(CALC2223!P147)&gt;VALUE(LASTV),VALUE(CALC2223!R147)&gt;VALUE(LASTV))</f>
        <v>0</v>
      </c>
      <c r="Q148" s="4" t="b">
        <f ca="1">OR(VALUE(CALC2223!T147)&gt;VALUE(LASTV),VALUE(CALC2223!V147)&gt;VALUE(LASTV),VALUE(CALC2223!X147)&gt;VALUE(LASTV))</f>
        <v>0</v>
      </c>
      <c r="R148" s="4" t="b">
        <f ca="1">OR(VALUE(CALC2223!Z147)&gt;VALUE(LASTV),VALUE(CALC2223!AB147)&gt;VALUE(LASTV),VALUE(CALC2223!AD147)&gt;VALUE(LASTV))</f>
        <v>0</v>
      </c>
      <c r="S148" s="4" t="b">
        <f ca="1">OR(VALUE(CALC2223!AF147)&gt;VALUE(LASTV),VALUE(CALC2223!AH147)&gt;VALUE(LASTV),VALUE(CALC2223!AJ147)&gt;VALUE(LASTV))</f>
        <v>0</v>
      </c>
      <c r="T148" s="4" t="b">
        <f ca="1">OR(VALUE(CALC2223!AL147)&gt;VALUE(LASTV),VALUE(CALC2223!AN147)&gt;VALUE(LASTV),VALUE(CALC2223!AP147)&gt;VALUE(LASTV))</f>
        <v>0</v>
      </c>
      <c r="U148" s="4" t="b">
        <f ca="1">OR(VALUE(CALC2223!AR147)&gt;VALUE(LASTV),VALUE(CALC2223!AT147)&gt;VALUE(LASTV),VALUE(CALC2223!AV147)&gt;VALUE(LASTV))</f>
        <v>0</v>
      </c>
      <c r="V148" s="1"/>
    </row>
    <row r="149" spans="1:22" ht="35.25" hidden="1" customHeight="1">
      <c r="A149" s="45"/>
      <c r="B149" s="46" t="s">
        <v>24</v>
      </c>
      <c r="C149" s="47">
        <v>46047</v>
      </c>
      <c r="D149" s="48" t="str">
        <f ca="1">CONCATENATE(CALC2223!A148," ",CALC2223!C148," ",CALC2223!E148)</f>
        <v xml:space="preserve">  </v>
      </c>
      <c r="E149" s="48" t="str">
        <f ca="1">CONCATENATE(CALC2223!G148," ",CALC2223!I148," ",CALC2223!K148)</f>
        <v xml:space="preserve">  </v>
      </c>
      <c r="F149" s="48" t="str">
        <f ca="1">CONCATENATE(CALC2223!M148," ",CALC2223!O148," ",CALC2223!Q148)</f>
        <v xml:space="preserve">  </v>
      </c>
      <c r="G149" s="48" t="str">
        <f ca="1">CONCATENATE(CALC2223!S148," ",CALC2223!U148," ",CALC2223!W148)</f>
        <v xml:space="preserve">  </v>
      </c>
      <c r="H149" s="48" t="str">
        <f ca="1">CONCATENATE(CALC2223!Y148," ",CALC2223!AA148," ",CALC2223!AC148)</f>
        <v xml:space="preserve">  </v>
      </c>
      <c r="I149" s="48" t="str">
        <f ca="1">CONCATENATE(CALC2223!AE148," ",CALC2223!AG148," ",CALC2223!AI148)</f>
        <v xml:space="preserve">  </v>
      </c>
      <c r="J149" s="48" t="str">
        <f ca="1">CONCATENATE(CALC2223!AK148," ",CALC2223!AM148," ",CALC2223!AO148)</f>
        <v xml:space="preserve">  </v>
      </c>
      <c r="K149" s="48" t="str">
        <f ca="1">CONCATENATE(CALC2223!AQ148," ",CALC2223!AS148," ",CALC2223!AU148," ",CALC2223!AW148)</f>
        <v xml:space="preserve">   </v>
      </c>
      <c r="L149" s="49" t="str">
        <f t="shared" ca="1" si="0"/>
        <v>verleden</v>
      </c>
      <c r="M149" s="1"/>
      <c r="N149" s="4" t="b">
        <f ca="1">OR(VALUE(CALC2223!B148)&gt;VALUE(LASTV),VALUE(CALC2223!D148)&gt;VALUE(LASTV),VALUE(CALC2223!F148)&gt;VALUE(LASTV))</f>
        <v>0</v>
      </c>
      <c r="O149" s="4" t="b">
        <f ca="1">OR(VALUE(CALC2223!H148)&gt;VALUE(LASTV),VALUE(CALC2223!J148)&gt;VALUE(LASTV),VALUE(CALC2223!L148)&gt;VALUE(LASTV))</f>
        <v>0</v>
      </c>
      <c r="P149" s="4" t="b">
        <f ca="1">OR(VALUE(CALC2223!N148)&gt;VALUE(LASTV),VALUE(CALC2223!P148)&gt;VALUE(LASTV),VALUE(CALC2223!R148)&gt;VALUE(LASTV))</f>
        <v>0</v>
      </c>
      <c r="Q149" s="4" t="b">
        <f ca="1">OR(VALUE(CALC2223!T148)&gt;VALUE(LASTV),VALUE(CALC2223!V148)&gt;VALUE(LASTV),VALUE(CALC2223!X148)&gt;VALUE(LASTV))</f>
        <v>0</v>
      </c>
      <c r="R149" s="4" t="b">
        <f ca="1">OR(VALUE(CALC2223!Z148)&gt;VALUE(LASTV),VALUE(CALC2223!AB148)&gt;VALUE(LASTV),VALUE(CALC2223!AD148)&gt;VALUE(LASTV))</f>
        <v>0</v>
      </c>
      <c r="S149" s="4" t="b">
        <f ca="1">OR(VALUE(CALC2223!AF148)&gt;VALUE(LASTV),VALUE(CALC2223!AH148)&gt;VALUE(LASTV),VALUE(CALC2223!AJ148)&gt;VALUE(LASTV))</f>
        <v>0</v>
      </c>
      <c r="T149" s="4" t="b">
        <f ca="1">OR(VALUE(CALC2223!AL148)&gt;VALUE(LASTV),VALUE(CALC2223!AN148)&gt;VALUE(LASTV),VALUE(CALC2223!AP148)&gt;VALUE(LASTV))</f>
        <v>0</v>
      </c>
      <c r="U149" s="4" t="b">
        <f ca="1">OR(VALUE(CALC2223!AR148)&gt;VALUE(LASTV),VALUE(CALC2223!AT148)&gt;VALUE(LASTV),VALUE(CALC2223!AV148)&gt;VALUE(LASTV))</f>
        <v>0</v>
      </c>
      <c r="V149" s="1"/>
    </row>
    <row r="150" spans="1:22" ht="35.25" hidden="1" customHeight="1">
      <c r="A150" s="50">
        <v>5</v>
      </c>
      <c r="B150" s="41" t="s">
        <v>18</v>
      </c>
      <c r="C150" s="42">
        <v>46048</v>
      </c>
      <c r="D150" s="51" t="str">
        <f ca="1">CONCATENATE(CALC2223!A149," ",CALC2223!C149," ",CALC2223!E149)</f>
        <v xml:space="preserve">  </v>
      </c>
      <c r="E150" s="51" t="str">
        <f ca="1">CONCATENATE(CALC2223!G149," ",CALC2223!I149," ",CALC2223!K149)</f>
        <v xml:space="preserve">  </v>
      </c>
      <c r="F150" s="51" t="str">
        <f ca="1">CONCATENATE(CALC2223!M149," ",CALC2223!O149," ",CALC2223!Q149)</f>
        <v xml:space="preserve">Rep GO  </v>
      </c>
      <c r="G150" s="51" t="str">
        <f ca="1">CONCATENATE(CALC2223!S149," ",CALC2223!U149," ",CALC2223!W149)</f>
        <v xml:space="preserve">inh rep EN  </v>
      </c>
      <c r="H150" s="51" t="str">
        <f ca="1">CONCATENATE(CALC2223!Y149," ",CALC2223!AA149," ",CALC2223!AC149)</f>
        <v xml:space="preserve">tsweek: rep netl / se wisd. Inhalen SE fi  </v>
      </c>
      <c r="I150" s="51" t="str">
        <f ca="1">CONCATENATE(CALC2223!AE149," ",CALC2223!AG149," ",CALC2223!AI149)</f>
        <v xml:space="preserve">herkansen (lessen vervallen)  </v>
      </c>
      <c r="J150" s="51" t="str">
        <f ca="1">CONCATENATE(CALC2223!AK149," ",CALC2223!AM149," ",CALC2223!AO149)</f>
        <v xml:space="preserve">  </v>
      </c>
      <c r="K150" s="51" t="str">
        <f ca="1">CONCATENATE(CALC2223!AQ149," ",CALC2223!AS149," ",CALC2223!AU149," ",CALC2223!AW149)</f>
        <v xml:space="preserve">periode 3   </v>
      </c>
      <c r="L150" s="52" t="str">
        <f t="shared" ca="1" si="0"/>
        <v>verleden</v>
      </c>
      <c r="M150" s="1"/>
      <c r="N150" s="4" t="b">
        <f ca="1">OR(VALUE(CALC2223!B149)&gt;VALUE(LASTV),VALUE(CALC2223!D149)&gt;VALUE(LASTV),VALUE(CALC2223!F149)&gt;VALUE(LASTV))</f>
        <v>0</v>
      </c>
      <c r="O150" s="4" t="b">
        <f ca="1">OR(VALUE(CALC2223!H149)&gt;VALUE(LASTV),VALUE(CALC2223!J149)&gt;VALUE(LASTV),VALUE(CALC2223!L149)&gt;VALUE(LASTV))</f>
        <v>0</v>
      </c>
      <c r="P150" s="4" t="b">
        <f ca="1">OR(VALUE(CALC2223!N149)&gt;VALUE(LASTV),VALUE(CALC2223!P149)&gt;VALUE(LASTV),VALUE(CALC2223!R149)&gt;VALUE(LASTV))</f>
        <v>0</v>
      </c>
      <c r="Q150" s="4" t="b">
        <f ca="1">OR(VALUE(CALC2223!T149)&gt;VALUE(LASTV),VALUE(CALC2223!V149)&gt;VALUE(LASTV),VALUE(CALC2223!X149)&gt;VALUE(LASTV))</f>
        <v>0</v>
      </c>
      <c r="R150" s="4" t="b">
        <f ca="1">OR(VALUE(CALC2223!Z149)&gt;VALUE(LASTV),VALUE(CALC2223!AB149)&gt;VALUE(LASTV),VALUE(CALC2223!AD149)&gt;VALUE(LASTV))</f>
        <v>0</v>
      </c>
      <c r="S150" s="4" t="b">
        <f ca="1">OR(VALUE(CALC2223!AF149)&gt;VALUE(LASTV),VALUE(CALC2223!AH149)&gt;VALUE(LASTV),VALUE(CALC2223!AJ149)&gt;VALUE(LASTV))</f>
        <v>0</v>
      </c>
      <c r="T150" s="4" t="b">
        <f ca="1">OR(VALUE(CALC2223!AL149)&gt;VALUE(LASTV),VALUE(CALC2223!AN149)&gt;VALUE(LASTV),VALUE(CALC2223!AP149)&gt;VALUE(LASTV))</f>
        <v>0</v>
      </c>
      <c r="U150" s="4" t="b">
        <f ca="1">OR(VALUE(CALC2223!AR149)&gt;VALUE(LASTV),VALUE(CALC2223!AT149)&gt;VALUE(LASTV),VALUE(CALC2223!AV149)&gt;VALUE(LASTV))</f>
        <v>0</v>
      </c>
      <c r="V150" s="1"/>
    </row>
    <row r="151" spans="1:22" ht="35.25" hidden="1" customHeight="1">
      <c r="A151" s="40"/>
      <c r="B151" s="41" t="s">
        <v>19</v>
      </c>
      <c r="C151" s="42">
        <v>46049</v>
      </c>
      <c r="D151" s="51" t="str">
        <f ca="1">CONCATENATE(CALC2223!A150," ",CALC2223!C150," ",CALC2223!E150)</f>
        <v xml:space="preserve">  </v>
      </c>
      <c r="E151" s="51" t="str">
        <f ca="1">CONCATENATE(CALC2223!G150," ",CALC2223!I150," ",CALC2223!K150)</f>
        <v xml:space="preserve">  </v>
      </c>
      <c r="F151" s="51" t="str">
        <f ca="1">CONCATENATE(CALC2223!M150," ",CALC2223!O150," ",CALC2223!Q150)</f>
        <v xml:space="preserve">  </v>
      </c>
      <c r="G151" s="51" t="str">
        <f ca="1">CONCATENATE(CALC2223!S150," ",CALC2223!U150," ",CALC2223!W150)</f>
        <v xml:space="preserve">Rep SK  </v>
      </c>
      <c r="H151" s="51" t="str">
        <f ca="1">CONCATENATE(CALC2223!Y150," ",CALC2223!AA150," ",CALC2223!AC150)</f>
        <v xml:space="preserve">tsweek: rep nat / rep sptl  </v>
      </c>
      <c r="I151" s="51" t="str">
        <f ca="1">CONCATENATE(CALC2223!AE150," ",CALC2223!AG150," ",CALC2223!AI150)</f>
        <v xml:space="preserve"> Spaans  </v>
      </c>
      <c r="J151" s="51" t="str">
        <f ca="1">CONCATENATE(CALC2223!AK150," ",CALC2223!AM150," ",CALC2223!AO150)</f>
        <v xml:space="preserve">  </v>
      </c>
      <c r="K151" s="51" t="str">
        <f ca="1">CONCATENATE(CALC2223!AQ150," ",CALC2223!AS150," ",CALC2223!AU150," ",CALC2223!AW150)</f>
        <v xml:space="preserve">   </v>
      </c>
      <c r="L151" s="52" t="str">
        <f t="shared" ca="1" si="0"/>
        <v>verleden</v>
      </c>
      <c r="M151" s="1"/>
      <c r="N151" s="4" t="b">
        <f ca="1">OR(VALUE(CALC2223!B150)&gt;VALUE(LASTV),VALUE(CALC2223!D150)&gt;VALUE(LASTV),VALUE(CALC2223!F150)&gt;VALUE(LASTV))</f>
        <v>0</v>
      </c>
      <c r="O151" s="4" t="b">
        <f ca="1">OR(VALUE(CALC2223!H150)&gt;VALUE(LASTV),VALUE(CALC2223!J150)&gt;VALUE(LASTV),VALUE(CALC2223!L150)&gt;VALUE(LASTV))</f>
        <v>0</v>
      </c>
      <c r="P151" s="4" t="b">
        <f ca="1">OR(VALUE(CALC2223!N150)&gt;VALUE(LASTV),VALUE(CALC2223!P150)&gt;VALUE(LASTV),VALUE(CALC2223!R150)&gt;VALUE(LASTV))</f>
        <v>0</v>
      </c>
      <c r="Q151" s="4" t="b">
        <f ca="1">OR(VALUE(CALC2223!T150)&gt;VALUE(LASTV),VALUE(CALC2223!V150)&gt;VALUE(LASTV),VALUE(CALC2223!X150)&gt;VALUE(LASTV))</f>
        <v>0</v>
      </c>
      <c r="R151" s="4" t="b">
        <f ca="1">OR(VALUE(CALC2223!Z150)&gt;VALUE(LASTV),VALUE(CALC2223!AB150)&gt;VALUE(LASTV),VALUE(CALC2223!AD150)&gt;VALUE(LASTV))</f>
        <v>0</v>
      </c>
      <c r="S151" s="4" t="b">
        <f ca="1">OR(VALUE(CALC2223!AF150)&gt;VALUE(LASTV),VALUE(CALC2223!AH150)&gt;VALUE(LASTV),VALUE(CALC2223!AJ150)&gt;VALUE(LASTV))</f>
        <v>0</v>
      </c>
      <c r="T151" s="4" t="b">
        <f ca="1">OR(VALUE(CALC2223!AL150)&gt;VALUE(LASTV),VALUE(CALC2223!AN150)&gt;VALUE(LASTV),VALUE(CALC2223!AP150)&gt;VALUE(LASTV))</f>
        <v>0</v>
      </c>
      <c r="U151" s="4" t="b">
        <f ca="1">OR(VALUE(CALC2223!AR150)&gt;VALUE(LASTV),VALUE(CALC2223!AT150)&gt;VALUE(LASTV),VALUE(CALC2223!AV150)&gt;VALUE(LASTV))</f>
        <v>0</v>
      </c>
      <c r="V151" s="1"/>
    </row>
    <row r="152" spans="1:22" ht="35.25" hidden="1" customHeight="1">
      <c r="A152" s="40"/>
      <c r="B152" s="41" t="s">
        <v>20</v>
      </c>
      <c r="C152" s="42">
        <v>46050</v>
      </c>
      <c r="D152" s="51" t="str">
        <f ca="1">CONCATENATE(CALC2223!A151," ",CALC2223!C151," ",CALC2223!E151)</f>
        <v xml:space="preserve">  </v>
      </c>
      <c r="E152" s="51" t="str">
        <f ca="1">CONCATENATE(CALC2223!G151," ",CALC2223!I151," ",CALC2223!K151)</f>
        <v xml:space="preserve">  </v>
      </c>
      <c r="F152" s="51" t="str">
        <f ca="1">CONCATENATE(CALC2223!M151," ",CALC2223!O151," ",CALC2223!Q151)</f>
        <v xml:space="preserve">  </v>
      </c>
      <c r="G152" s="51" t="str">
        <f ca="1">CONCATENATE(CALC2223!S151," ",CALC2223!U151," ",CALC2223!W151)</f>
        <v xml:space="preserve">  </v>
      </c>
      <c r="H152" s="51" t="str">
        <f ca="1">CONCATENATE(CALC2223!Y151," ",CALC2223!AA151," ",CALC2223!AC151)</f>
        <v xml:space="preserve">tsweek: rep beco / se grtl / se latl  </v>
      </c>
      <c r="I152" s="51" t="str">
        <f ca="1">CONCATENATE(CALC2223!AE151," ",CALC2223!AG151," ",CALC2223!AI151)</f>
        <v xml:space="preserve">  </v>
      </c>
      <c r="J152" s="51" t="str">
        <f ca="1">CONCATENATE(CALC2223!AK151," ",CALC2223!AM151," ",CALC2223!AO151)</f>
        <v xml:space="preserve">  </v>
      </c>
      <c r="K152" s="51" t="str">
        <f ca="1">CONCATENATE(CALC2223!AQ151," ",CALC2223!AS151," ",CALC2223!AU151," ",CALC2223!AW151)</f>
        <v xml:space="preserve">   </v>
      </c>
      <c r="L152" s="52" t="str">
        <f t="shared" ca="1" si="0"/>
        <v>verleden</v>
      </c>
      <c r="M152" s="1"/>
      <c r="N152" s="4" t="b">
        <f ca="1">OR(VALUE(CALC2223!B151)&gt;VALUE(LASTV),VALUE(CALC2223!D151)&gt;VALUE(LASTV),VALUE(CALC2223!F151)&gt;VALUE(LASTV))</f>
        <v>0</v>
      </c>
      <c r="O152" s="4" t="b">
        <f ca="1">OR(VALUE(CALC2223!H151)&gt;VALUE(LASTV),VALUE(CALC2223!J151)&gt;VALUE(LASTV),VALUE(CALC2223!L151)&gt;VALUE(LASTV))</f>
        <v>0</v>
      </c>
      <c r="P152" s="4" t="b">
        <f ca="1">OR(VALUE(CALC2223!N151)&gt;VALUE(LASTV),VALUE(CALC2223!P151)&gt;VALUE(LASTV),VALUE(CALC2223!R151)&gt;VALUE(LASTV))</f>
        <v>0</v>
      </c>
      <c r="Q152" s="4" t="b">
        <f ca="1">OR(VALUE(CALC2223!T151)&gt;VALUE(LASTV),VALUE(CALC2223!V151)&gt;VALUE(LASTV),VALUE(CALC2223!X151)&gt;VALUE(LASTV))</f>
        <v>0</v>
      </c>
      <c r="R152" s="4" t="b">
        <f ca="1">OR(VALUE(CALC2223!Z151)&gt;VALUE(LASTV),VALUE(CALC2223!AB151)&gt;VALUE(LASTV),VALUE(CALC2223!AD151)&gt;VALUE(LASTV))</f>
        <v>0</v>
      </c>
      <c r="S152" s="4" t="b">
        <f ca="1">OR(VALUE(CALC2223!AF151)&gt;VALUE(LASTV),VALUE(CALC2223!AH151)&gt;VALUE(LASTV),VALUE(CALC2223!AJ151)&gt;VALUE(LASTV))</f>
        <v>0</v>
      </c>
      <c r="T152" s="4" t="b">
        <f ca="1">OR(VALUE(CALC2223!AL151)&gt;VALUE(LASTV),VALUE(CALC2223!AN151)&gt;VALUE(LASTV),VALUE(CALC2223!AP151)&gt;VALUE(LASTV))</f>
        <v>0</v>
      </c>
      <c r="U152" s="4" t="b">
        <f ca="1">OR(VALUE(CALC2223!AR151)&gt;VALUE(LASTV),VALUE(CALC2223!AT151)&gt;VALUE(LASTV),VALUE(CALC2223!AV151)&gt;VALUE(LASTV))</f>
        <v>0</v>
      </c>
      <c r="V152" s="1"/>
    </row>
    <row r="153" spans="1:22" ht="35.25" hidden="1" customHeight="1">
      <c r="A153" s="40"/>
      <c r="B153" s="41" t="s">
        <v>21</v>
      </c>
      <c r="C153" s="42">
        <v>46051</v>
      </c>
      <c r="D153" s="51" t="str">
        <f ca="1">CONCATENATE(CALC2223!A152," ",CALC2223!C152," ",CALC2223!E152)</f>
        <v xml:space="preserve">  </v>
      </c>
      <c r="E153" s="51" t="str">
        <f ca="1">CONCATENATE(CALC2223!G152," ",CALC2223!I152," ",CALC2223!K152)</f>
        <v xml:space="preserve">  </v>
      </c>
      <c r="F153" s="51" t="str">
        <f ca="1">CONCATENATE(CALC2223!M152," ",CALC2223!O152," ",CALC2223!Q152)</f>
        <v xml:space="preserve">Rep FA  </v>
      </c>
      <c r="G153" s="51" t="str">
        <f ca="1">CONCATENATE(CALC2223!S152," ",CALC2223!U152," ",CALC2223!W152)</f>
        <v xml:space="preserve">inh rep BI rep fi </v>
      </c>
      <c r="H153" s="51" t="str">
        <f ca="1">CONCATENATE(CALC2223!Y152," ",CALC2223!AA152," ",CALC2223!AC152)</f>
        <v xml:space="preserve">tsweek: rep fatl / rep schk  </v>
      </c>
      <c r="I153" s="51" t="str">
        <f ca="1">CONCATENATE(CALC2223!AE152," ",CALC2223!AG152," ",CALC2223!AI152)</f>
        <v xml:space="preserve">LO3:4  Engels </v>
      </c>
      <c r="J153" s="51" t="str">
        <f ca="1">CONCATENATE(CALC2223!AK152," ",CALC2223!AM152," ",CALC2223!AO152)</f>
        <v xml:space="preserve">commissies#5/MR#3  </v>
      </c>
      <c r="K153" s="51" t="str">
        <f ca="1">CONCATENATE(CALC2223!AQ152," ",CALC2223!AS152," ",CALC2223!AU152," ",CALC2223!AW152)</f>
        <v xml:space="preserve">   </v>
      </c>
      <c r="L153" s="52" t="str">
        <f t="shared" ca="1" si="0"/>
        <v>verleden</v>
      </c>
      <c r="M153" s="1"/>
      <c r="N153" s="4" t="b">
        <f ca="1">OR(VALUE(CALC2223!B152)&gt;VALUE(LASTV),VALUE(CALC2223!D152)&gt;VALUE(LASTV),VALUE(CALC2223!F152)&gt;VALUE(LASTV))</f>
        <v>0</v>
      </c>
      <c r="O153" s="4" t="b">
        <f ca="1">OR(VALUE(CALC2223!H152)&gt;VALUE(LASTV),VALUE(CALC2223!J152)&gt;VALUE(LASTV),VALUE(CALC2223!L152)&gt;VALUE(LASTV))</f>
        <v>0</v>
      </c>
      <c r="P153" s="4" t="b">
        <f ca="1">OR(VALUE(CALC2223!N152)&gt;VALUE(LASTV),VALUE(CALC2223!P152)&gt;VALUE(LASTV),VALUE(CALC2223!R152)&gt;VALUE(LASTV))</f>
        <v>0</v>
      </c>
      <c r="Q153" s="4" t="b">
        <f ca="1">OR(VALUE(CALC2223!T152)&gt;VALUE(LASTV),VALUE(CALC2223!V152)&gt;VALUE(LASTV),VALUE(CALC2223!X152)&gt;VALUE(LASTV))</f>
        <v>0</v>
      </c>
      <c r="R153" s="4" t="b">
        <f ca="1">OR(VALUE(CALC2223!Z152)&gt;VALUE(LASTV),VALUE(CALC2223!AB152)&gt;VALUE(LASTV),VALUE(CALC2223!AD152)&gt;VALUE(LASTV))</f>
        <v>0</v>
      </c>
      <c r="S153" s="4" t="b">
        <f ca="1">OR(VALUE(CALC2223!AF152)&gt;VALUE(LASTV),VALUE(CALC2223!AH152)&gt;VALUE(LASTV),VALUE(CALC2223!AJ152)&gt;VALUE(LASTV))</f>
        <v>0</v>
      </c>
      <c r="T153" s="4" t="b">
        <f ca="1">OR(VALUE(CALC2223!AL152)&gt;VALUE(LASTV),VALUE(CALC2223!AN152)&gt;VALUE(LASTV),VALUE(CALC2223!AP152)&gt;VALUE(LASTV))</f>
        <v>0</v>
      </c>
      <c r="U153" s="4" t="b">
        <f ca="1">OR(VALUE(CALC2223!AR152)&gt;VALUE(LASTV),VALUE(CALC2223!AT152)&gt;VALUE(LASTV),VALUE(CALC2223!AV152)&gt;VALUE(LASTV))</f>
        <v>0</v>
      </c>
      <c r="V153" s="1"/>
    </row>
    <row r="154" spans="1:22" ht="35.25" hidden="1" customHeight="1">
      <c r="A154" s="40"/>
      <c r="B154" s="41" t="s">
        <v>22</v>
      </c>
      <c r="C154" s="42">
        <v>46052</v>
      </c>
      <c r="D154" s="51" t="str">
        <f ca="1">CONCATENATE(CALC2223!A153," ",CALC2223!C153," ",CALC2223!E153)</f>
        <v xml:space="preserve">  </v>
      </c>
      <c r="E154" s="51" t="str">
        <f ca="1">CONCATENATE(CALC2223!G153," ",CALC2223!I153," ",CALC2223!K153)</f>
        <v xml:space="preserve">Rep FA  </v>
      </c>
      <c r="F154" s="51" t="str">
        <f ca="1">CONCATENATE(CALC2223!M153," ",CALC2223!O153," ",CALC2223!Q153)</f>
        <v xml:space="preserve">  </v>
      </c>
      <c r="G154" s="51" t="str">
        <f ca="1">CONCATENATE(CALC2223!S153," ",CALC2223!U153," ",CALC2223!W153)</f>
        <v xml:space="preserve">repetitie FI  </v>
      </c>
      <c r="H154" s="51" t="str">
        <f ca="1">CONCATENATE(CALC2223!Y153," ",CALC2223!AA153," ",CALC2223!AC153)</f>
        <v xml:space="preserve">tsweek: rep entl  </v>
      </c>
      <c r="I154" s="51" t="str">
        <f ca="1">CONCATENATE(CALC2223!AE153," ",CALC2223!AG153," ",CALC2223!AI153)</f>
        <v xml:space="preserve">  </v>
      </c>
      <c r="J154" s="51" t="str">
        <f ca="1">CONCATENATE(CALC2223!AK153," ",CALC2223!AM153," ",CALC2223!AO153)</f>
        <v xml:space="preserve">  </v>
      </c>
      <c r="K154" s="51" t="str">
        <f ca="1">CONCATENATE(CALC2223!AQ153," ",CALC2223!AS153," ",CALC2223!AU153," ",CALC2223!AW153)</f>
        <v xml:space="preserve">   </v>
      </c>
      <c r="L154" s="52" t="str">
        <f t="shared" ca="1" si="0"/>
        <v>verleden</v>
      </c>
      <c r="M154" s="1"/>
      <c r="N154" s="4" t="b">
        <f ca="1">OR(VALUE(CALC2223!B153)&gt;VALUE(LASTV),VALUE(CALC2223!D153)&gt;VALUE(LASTV),VALUE(CALC2223!F153)&gt;VALUE(LASTV))</f>
        <v>0</v>
      </c>
      <c r="O154" s="4" t="b">
        <f ca="1">OR(VALUE(CALC2223!H153)&gt;VALUE(LASTV),VALUE(CALC2223!J153)&gt;VALUE(LASTV),VALUE(CALC2223!L153)&gt;VALUE(LASTV))</f>
        <v>0</v>
      </c>
      <c r="P154" s="4" t="b">
        <f ca="1">OR(VALUE(CALC2223!N153)&gt;VALUE(LASTV),VALUE(CALC2223!P153)&gt;VALUE(LASTV),VALUE(CALC2223!R153)&gt;VALUE(LASTV))</f>
        <v>0</v>
      </c>
      <c r="Q154" s="4" t="b">
        <f ca="1">OR(VALUE(CALC2223!T153)&gt;VALUE(LASTV),VALUE(CALC2223!V153)&gt;VALUE(LASTV),VALUE(CALC2223!X153)&gt;VALUE(LASTV))</f>
        <v>0</v>
      </c>
      <c r="R154" s="4" t="b">
        <f ca="1">OR(VALUE(CALC2223!Z153)&gt;VALUE(LASTV),VALUE(CALC2223!AB153)&gt;VALUE(LASTV),VALUE(CALC2223!AD153)&gt;VALUE(LASTV))</f>
        <v>0</v>
      </c>
      <c r="S154" s="4" t="b">
        <f ca="1">OR(VALUE(CALC2223!AF153)&gt;VALUE(LASTV),VALUE(CALC2223!AH153)&gt;VALUE(LASTV),VALUE(CALC2223!AJ153)&gt;VALUE(LASTV))</f>
        <v>0</v>
      </c>
      <c r="T154" s="4" t="b">
        <f ca="1">OR(VALUE(CALC2223!AL153)&gt;VALUE(LASTV),VALUE(CALC2223!AN153)&gt;VALUE(LASTV),VALUE(CALC2223!AP153)&gt;VALUE(LASTV))</f>
        <v>0</v>
      </c>
      <c r="U154" s="4" t="b">
        <f ca="1">OR(VALUE(CALC2223!AR153)&gt;VALUE(LASTV),VALUE(CALC2223!AT153)&gt;VALUE(LASTV),VALUE(CALC2223!AV153)&gt;VALUE(LASTV))</f>
        <v>0</v>
      </c>
      <c r="V154" s="1"/>
    </row>
    <row r="155" spans="1:22" ht="35.25" hidden="1" customHeight="1">
      <c r="A155" s="45"/>
      <c r="B155" s="46" t="s">
        <v>23</v>
      </c>
      <c r="C155" s="47">
        <v>46053</v>
      </c>
      <c r="D155" s="48" t="str">
        <f ca="1">CONCATENATE(CALC2223!A154," ",CALC2223!C154," ",CALC2223!E154)</f>
        <v xml:space="preserve">  </v>
      </c>
      <c r="E155" s="48" t="str">
        <f ca="1">CONCATENATE(CALC2223!G154," ",CALC2223!I154," ",CALC2223!K154)</f>
        <v xml:space="preserve">  </v>
      </c>
      <c r="F155" s="48" t="str">
        <f ca="1">CONCATENATE(CALC2223!M154," ",CALC2223!O154," ",CALC2223!Q154)</f>
        <v xml:space="preserve">  </v>
      </c>
      <c r="G155" s="48" t="str">
        <f ca="1">CONCATENATE(CALC2223!S154," ",CALC2223!U154," ",CALC2223!W154)</f>
        <v xml:space="preserve">  </v>
      </c>
      <c r="H155" s="48" t="str">
        <f ca="1">CONCATENATE(CALC2223!Y154," ",CALC2223!AA154," ",CALC2223!AC154)</f>
        <v xml:space="preserve">  </v>
      </c>
      <c r="I155" s="48" t="str">
        <f ca="1">CONCATENATE(CALC2223!AE154," ",CALC2223!AG154," ",CALC2223!AI154)</f>
        <v xml:space="preserve">  </v>
      </c>
      <c r="J155" s="48" t="str">
        <f ca="1">CONCATENATE(CALC2223!AK154," ",CALC2223!AM154," ",CALC2223!AO154)</f>
        <v xml:space="preserve">  </v>
      </c>
      <c r="K155" s="48" t="str">
        <f ca="1">CONCATENATE(CALC2223!AQ154," ",CALC2223!AS154," ",CALC2223!AU154," ",CALC2223!AW154)</f>
        <v xml:space="preserve">schaaktoernooi SHZG   </v>
      </c>
      <c r="L155" s="49" t="str">
        <f t="shared" ca="1" si="0"/>
        <v>verleden</v>
      </c>
      <c r="M155" s="1"/>
      <c r="N155" s="4" t="b">
        <f ca="1">OR(VALUE(CALC2223!B154)&gt;VALUE(LASTV),VALUE(CALC2223!D154)&gt;VALUE(LASTV),VALUE(CALC2223!F154)&gt;VALUE(LASTV))</f>
        <v>0</v>
      </c>
      <c r="O155" s="4" t="b">
        <f ca="1">OR(VALUE(CALC2223!H154)&gt;VALUE(LASTV),VALUE(CALC2223!J154)&gt;VALUE(LASTV),VALUE(CALC2223!L154)&gt;VALUE(LASTV))</f>
        <v>0</v>
      </c>
      <c r="P155" s="4" t="b">
        <f ca="1">OR(VALUE(CALC2223!N154)&gt;VALUE(LASTV),VALUE(CALC2223!P154)&gt;VALUE(LASTV),VALUE(CALC2223!R154)&gt;VALUE(LASTV))</f>
        <v>0</v>
      </c>
      <c r="Q155" s="4" t="b">
        <f ca="1">OR(VALUE(CALC2223!T154)&gt;VALUE(LASTV),VALUE(CALC2223!V154)&gt;VALUE(LASTV),VALUE(CALC2223!X154)&gt;VALUE(LASTV))</f>
        <v>0</v>
      </c>
      <c r="R155" s="4" t="b">
        <f ca="1">OR(VALUE(CALC2223!Z154)&gt;VALUE(LASTV),VALUE(CALC2223!AB154)&gt;VALUE(LASTV),VALUE(CALC2223!AD154)&gt;VALUE(LASTV))</f>
        <v>0</v>
      </c>
      <c r="S155" s="4" t="b">
        <f ca="1">OR(VALUE(CALC2223!AF154)&gt;VALUE(LASTV),VALUE(CALC2223!AH154)&gt;VALUE(LASTV),VALUE(CALC2223!AJ154)&gt;VALUE(LASTV))</f>
        <v>0</v>
      </c>
      <c r="T155" s="4" t="b">
        <f ca="1">OR(VALUE(CALC2223!AL154)&gt;VALUE(LASTV),VALUE(CALC2223!AN154)&gt;VALUE(LASTV),VALUE(CALC2223!AP154)&gt;VALUE(LASTV))</f>
        <v>0</v>
      </c>
      <c r="U155" s="4" t="b">
        <f ca="1">OR(VALUE(CALC2223!AR154)&gt;VALUE(LASTV),VALUE(CALC2223!AT154)&gt;VALUE(LASTV),VALUE(CALC2223!AV154)&gt;VALUE(LASTV))</f>
        <v>0</v>
      </c>
      <c r="V155" s="1"/>
    </row>
    <row r="156" spans="1:22" ht="35.25" hidden="1" customHeight="1">
      <c r="A156" s="45"/>
      <c r="B156" s="46" t="s">
        <v>24</v>
      </c>
      <c r="C156" s="47">
        <v>46054</v>
      </c>
      <c r="D156" s="48" t="str">
        <f ca="1">CONCATENATE(CALC2223!A155," ",CALC2223!C155," ",CALC2223!E155)</f>
        <v xml:space="preserve">  </v>
      </c>
      <c r="E156" s="48" t="str">
        <f ca="1">CONCATENATE(CALC2223!G155," ",CALC2223!I155," ",CALC2223!K155)</f>
        <v xml:space="preserve">  </v>
      </c>
      <c r="F156" s="48" t="str">
        <f ca="1">CONCATENATE(CALC2223!M155," ",CALC2223!O155," ",CALC2223!Q155)</f>
        <v xml:space="preserve">  </v>
      </c>
      <c r="G156" s="48" t="str">
        <f ca="1">CONCATENATE(CALC2223!S155," ",CALC2223!U155," ",CALC2223!W155)</f>
        <v xml:space="preserve">  </v>
      </c>
      <c r="H156" s="48" t="str">
        <f ca="1">CONCATENATE(CALC2223!Y155," ",CALC2223!AA155," ",CALC2223!AC155)</f>
        <v xml:space="preserve">  </v>
      </c>
      <c r="I156" s="48" t="str">
        <f ca="1">CONCATENATE(CALC2223!AE155," ",CALC2223!AG155," ",CALC2223!AI155)</f>
        <v xml:space="preserve">  </v>
      </c>
      <c r="J156" s="48" t="str">
        <f ca="1">CONCATENATE(CALC2223!AK155," ",CALC2223!AM155," ",CALC2223!AO155)</f>
        <v xml:space="preserve">  </v>
      </c>
      <c r="K156" s="48" t="str">
        <f ca="1">CONCATENATE(CALC2223!AQ155," ",CALC2223!AS155," ",CALC2223!AU155," ",CALC2223!AW155)</f>
        <v xml:space="preserve">   </v>
      </c>
      <c r="L156" s="49" t="str">
        <f t="shared" ca="1" si="0"/>
        <v>verleden</v>
      </c>
      <c r="M156" s="1"/>
      <c r="N156" s="4" t="b">
        <f ca="1">OR(VALUE(CALC2223!B155)&gt;VALUE(LASTV),VALUE(CALC2223!D155)&gt;VALUE(LASTV),VALUE(CALC2223!F155)&gt;VALUE(LASTV))</f>
        <v>0</v>
      </c>
      <c r="O156" s="4" t="b">
        <f ca="1">OR(VALUE(CALC2223!H155)&gt;VALUE(LASTV),VALUE(CALC2223!J155)&gt;VALUE(LASTV),VALUE(CALC2223!L155)&gt;VALUE(LASTV))</f>
        <v>0</v>
      </c>
      <c r="P156" s="4" t="b">
        <f ca="1">OR(VALUE(CALC2223!N155)&gt;VALUE(LASTV),VALUE(CALC2223!P155)&gt;VALUE(LASTV),VALUE(CALC2223!R155)&gt;VALUE(LASTV))</f>
        <v>0</v>
      </c>
      <c r="Q156" s="4" t="b">
        <f ca="1">OR(VALUE(CALC2223!T155)&gt;VALUE(LASTV),VALUE(CALC2223!V155)&gt;VALUE(LASTV),VALUE(CALC2223!X155)&gt;VALUE(LASTV))</f>
        <v>0</v>
      </c>
      <c r="R156" s="4" t="b">
        <f ca="1">OR(VALUE(CALC2223!Z155)&gt;VALUE(LASTV),VALUE(CALC2223!AB155)&gt;VALUE(LASTV),VALUE(CALC2223!AD155)&gt;VALUE(LASTV))</f>
        <v>0</v>
      </c>
      <c r="S156" s="4" t="b">
        <f ca="1">OR(VALUE(CALC2223!AF155)&gt;VALUE(LASTV),VALUE(CALC2223!AH155)&gt;VALUE(LASTV),VALUE(CALC2223!AJ155)&gt;VALUE(LASTV))</f>
        <v>0</v>
      </c>
      <c r="T156" s="4" t="b">
        <f ca="1">OR(VALUE(CALC2223!AL155)&gt;VALUE(LASTV),VALUE(CALC2223!AN155)&gt;VALUE(LASTV),VALUE(CALC2223!AP155)&gt;VALUE(LASTV))</f>
        <v>0</v>
      </c>
      <c r="U156" s="4" t="b">
        <f ca="1">OR(VALUE(CALC2223!AR155)&gt;VALUE(LASTV),VALUE(CALC2223!AT155)&gt;VALUE(LASTV),VALUE(CALC2223!AV155)&gt;VALUE(LASTV))</f>
        <v>0</v>
      </c>
      <c r="V156" s="1"/>
    </row>
    <row r="157" spans="1:22" ht="35.25" hidden="1" customHeight="1">
      <c r="A157" s="50">
        <v>6</v>
      </c>
      <c r="B157" s="41" t="s">
        <v>18</v>
      </c>
      <c r="C157" s="42">
        <v>46055</v>
      </c>
      <c r="D157" s="43" t="str">
        <f ca="1">CONCATENATE(CALC2223!A156," ",CALC2223!C156," ",CALC2223!E156)</f>
        <v xml:space="preserve">  </v>
      </c>
      <c r="E157" s="43" t="str">
        <f ca="1">CONCATENATE(CALC2223!G156," ",CALC2223!I156," ",CALC2223!K156)</f>
        <v xml:space="preserve">  </v>
      </c>
      <c r="F157" s="43" t="str">
        <f ca="1">CONCATENATE(CALC2223!M156," ",CALC2223!O156," ",CALC2223!Q156)</f>
        <v xml:space="preserve">  </v>
      </c>
      <c r="G157" s="43" t="str">
        <f ca="1">CONCATENATE(CALC2223!S156," ",CALC2223!U156," ",CALC2223!W156)</f>
        <v xml:space="preserve">inh rep AK  </v>
      </c>
      <c r="H157" s="43" t="str">
        <f ca="1">CONCATENATE(CALC2223!Y156," ",CALC2223!AA156," ",CALC2223!AC156)</f>
        <v xml:space="preserve">rep Duits  </v>
      </c>
      <c r="I157" s="43" t="str">
        <f ca="1">CONCATENATE(CALC2223!AE156," ",CALC2223!AG156," ",CALC2223!AI156)</f>
        <v xml:space="preserve">  </v>
      </c>
      <c r="J157" s="43" t="str">
        <f ca="1">CONCATENATE(CALC2223!AK156," ",CALC2223!AM156," ",CALC2223!AO156)</f>
        <v xml:space="preserve">  </v>
      </c>
      <c r="K157" s="43" t="str">
        <f ca="1">CONCATENATE(CALC2223!AQ156," ",CALC2223!AS156," ",CALC2223!AU156," ",CALC2223!AW156)</f>
        <v xml:space="preserve">   </v>
      </c>
      <c r="L157" s="44" t="str">
        <f t="shared" ca="1" si="0"/>
        <v>verleden</v>
      </c>
      <c r="M157" s="1"/>
      <c r="N157" s="4" t="b">
        <f ca="1">OR(VALUE(CALC2223!B156)&gt;VALUE(LASTV),VALUE(CALC2223!D156)&gt;VALUE(LASTV),VALUE(CALC2223!F156)&gt;VALUE(LASTV))</f>
        <v>0</v>
      </c>
      <c r="O157" s="4" t="b">
        <f ca="1">OR(VALUE(CALC2223!H156)&gt;VALUE(LASTV),VALUE(CALC2223!J156)&gt;VALUE(LASTV),VALUE(CALC2223!L156)&gt;VALUE(LASTV))</f>
        <v>0</v>
      </c>
      <c r="P157" s="4" t="b">
        <f ca="1">OR(VALUE(CALC2223!N156)&gt;VALUE(LASTV),VALUE(CALC2223!P156)&gt;VALUE(LASTV),VALUE(CALC2223!R156)&gt;VALUE(LASTV))</f>
        <v>0</v>
      </c>
      <c r="Q157" s="4" t="b">
        <f ca="1">OR(VALUE(CALC2223!T156)&gt;VALUE(LASTV),VALUE(CALC2223!V156)&gt;VALUE(LASTV),VALUE(CALC2223!X156)&gt;VALUE(LASTV))</f>
        <v>0</v>
      </c>
      <c r="R157" s="4" t="b">
        <f ca="1">OR(VALUE(CALC2223!Z156)&gt;VALUE(LASTV),VALUE(CALC2223!AB156)&gt;VALUE(LASTV),VALUE(CALC2223!AD156)&gt;VALUE(LASTV))</f>
        <v>0</v>
      </c>
      <c r="S157" s="4" t="b">
        <f ca="1">OR(VALUE(CALC2223!AF156)&gt;VALUE(LASTV),VALUE(CALC2223!AH156)&gt;VALUE(LASTV),VALUE(CALC2223!AJ156)&gt;VALUE(LASTV))</f>
        <v>0</v>
      </c>
      <c r="T157" s="4" t="b">
        <f ca="1">OR(VALUE(CALC2223!AL156)&gt;VALUE(LASTV),VALUE(CALC2223!AN156)&gt;VALUE(LASTV),VALUE(CALC2223!AP156)&gt;VALUE(LASTV))</f>
        <v>0</v>
      </c>
      <c r="U157" s="4" t="b">
        <f ca="1">OR(VALUE(CALC2223!AR156)&gt;VALUE(LASTV),VALUE(CALC2223!AT156)&gt;VALUE(LASTV),VALUE(CALC2223!AV156)&gt;VALUE(LASTV))</f>
        <v>0</v>
      </c>
      <c r="V157" s="1"/>
    </row>
    <row r="158" spans="1:22" ht="35.25" hidden="1" customHeight="1">
      <c r="A158" s="40"/>
      <c r="B158" s="41" t="s">
        <v>19</v>
      </c>
      <c r="C158" s="42">
        <v>46056</v>
      </c>
      <c r="D158" s="43" t="str">
        <f ca="1">CONCATENATE(CALC2223!A157," ",CALC2223!C157," ",CALC2223!E157)</f>
        <v xml:space="preserve">  </v>
      </c>
      <c r="E158" s="43" t="str">
        <f ca="1">CONCATENATE(CALC2223!G157," ",CALC2223!I157," ",CALC2223!K157)</f>
        <v xml:space="preserve">  </v>
      </c>
      <c r="F158" s="43" t="str">
        <f ca="1">CONCATENATE(CALC2223!M157," ",CALC2223!O157," ",CALC2223!Q157)</f>
        <v xml:space="preserve">  </v>
      </c>
      <c r="G158" s="43" t="str">
        <f ca="1">CONCATENATE(CALC2223!S157," ",CALC2223!U157," ",CALC2223!W157)</f>
        <v xml:space="preserve">  </v>
      </c>
      <c r="H158" s="43" t="str">
        <f ca="1">CONCATENATE(CALC2223!Y157," ",CALC2223!AA157," ",CALC2223!AC157)</f>
        <v xml:space="preserve">inhalen repetities en SE's repetitieweek  </v>
      </c>
      <c r="I158" s="43" t="str">
        <f ca="1">CONCATENATE(CALC2223!AE157," ",CALC2223!AG157," ",CALC2223!AI157)</f>
        <v xml:space="preserve">  </v>
      </c>
      <c r="J158" s="43" t="str">
        <f ca="1">CONCATENATE(CALC2223!AK157," ",CALC2223!AM157," ",CALC2223!AO157)</f>
        <v xml:space="preserve">  </v>
      </c>
      <c r="K158" s="43" t="str">
        <f ca="1">CONCATENATE(CALC2223!AQ157," ",CALC2223!AS157," ",CALC2223!AU157," ",CALC2223!AW157)</f>
        <v xml:space="preserve">   </v>
      </c>
      <c r="L158" s="44" t="str">
        <f t="shared" ca="1" si="0"/>
        <v>verleden</v>
      </c>
      <c r="M158" s="1"/>
      <c r="N158" s="4" t="b">
        <f ca="1">OR(VALUE(CALC2223!B157)&gt;VALUE(LASTV),VALUE(CALC2223!D157)&gt;VALUE(LASTV),VALUE(CALC2223!F157)&gt;VALUE(LASTV))</f>
        <v>0</v>
      </c>
      <c r="O158" s="4" t="b">
        <f ca="1">OR(VALUE(CALC2223!H157)&gt;VALUE(LASTV),VALUE(CALC2223!J157)&gt;VALUE(LASTV),VALUE(CALC2223!L157)&gt;VALUE(LASTV))</f>
        <v>0</v>
      </c>
      <c r="P158" s="4" t="b">
        <f ca="1">OR(VALUE(CALC2223!N157)&gt;VALUE(LASTV),VALUE(CALC2223!P157)&gt;VALUE(LASTV),VALUE(CALC2223!R157)&gt;VALUE(LASTV))</f>
        <v>0</v>
      </c>
      <c r="Q158" s="4" t="b">
        <f ca="1">OR(VALUE(CALC2223!T157)&gt;VALUE(LASTV),VALUE(CALC2223!V157)&gt;VALUE(LASTV),VALUE(CALC2223!X157)&gt;VALUE(LASTV))</f>
        <v>0</v>
      </c>
      <c r="R158" s="4" t="b">
        <f ca="1">OR(VALUE(CALC2223!Z157)&gt;VALUE(LASTV),VALUE(CALC2223!AB157)&gt;VALUE(LASTV),VALUE(CALC2223!AD157)&gt;VALUE(LASTV))</f>
        <v>0</v>
      </c>
      <c r="S158" s="4" t="b">
        <f ca="1">OR(VALUE(CALC2223!AF157)&gt;VALUE(LASTV),VALUE(CALC2223!AH157)&gt;VALUE(LASTV),VALUE(CALC2223!AJ157)&gt;VALUE(LASTV))</f>
        <v>0</v>
      </c>
      <c r="T158" s="4" t="b">
        <f ca="1">OR(VALUE(CALC2223!AL157)&gt;VALUE(LASTV),VALUE(CALC2223!AN157)&gt;VALUE(LASTV),VALUE(CALC2223!AP157)&gt;VALUE(LASTV))</f>
        <v>0</v>
      </c>
      <c r="U158" s="4" t="b">
        <f ca="1">OR(VALUE(CALC2223!AR157)&gt;VALUE(LASTV),VALUE(CALC2223!AT157)&gt;VALUE(LASTV),VALUE(CALC2223!AV157)&gt;VALUE(LASTV))</f>
        <v>0</v>
      </c>
      <c r="V158" s="1"/>
    </row>
    <row r="159" spans="1:22" ht="35.25" hidden="1" customHeight="1">
      <c r="A159" s="40"/>
      <c r="B159" s="41" t="s">
        <v>20</v>
      </c>
      <c r="C159" s="42">
        <v>46057</v>
      </c>
      <c r="D159" s="43" t="str">
        <f ca="1">CONCATENATE(CALC2223!A158," ",CALC2223!C158," ",CALC2223!E158)</f>
        <v xml:space="preserve">Rep GES  </v>
      </c>
      <c r="E159" s="43" t="str">
        <f ca="1">CONCATENATE(CALC2223!G158," ",CALC2223!I158," ",CALC2223!K158)</f>
        <v xml:space="preserve">  </v>
      </c>
      <c r="F159" s="43" t="str">
        <f ca="1">CONCATENATE(CALC2223!M158," ",CALC2223!O158," ",CALC2223!Q158)</f>
        <v xml:space="preserve">  </v>
      </c>
      <c r="G159" s="43" t="str">
        <f ca="1">CONCATENATE(CALC2223!S158," ",CALC2223!U158," ",CALC2223!W158)</f>
        <v xml:space="preserve">  </v>
      </c>
      <c r="H159" s="43" t="str">
        <f ca="1">CONCATENATE(CALC2223!Y158," ",CALC2223!AA158," ",CALC2223!AC158)</f>
        <v xml:space="preserve">Rep WIA  </v>
      </c>
      <c r="I159" s="43" t="str">
        <f ca="1">CONCATENATE(CALC2223!AE158," ",CALC2223!AG158," ",CALC2223!AI158)</f>
        <v xml:space="preserve">  </v>
      </c>
      <c r="J159" s="43" t="str">
        <f ca="1">CONCATENATE(CALC2223!AK158," ",CALC2223!AM158," ",CALC2223!AO158)</f>
        <v xml:space="preserve">  </v>
      </c>
      <c r="K159" s="43" t="str">
        <f ca="1">CONCATENATE(CALC2223!AQ158," ",CALC2223!AS158," ",CALC2223!AU158," ",CALC2223!AW158)</f>
        <v xml:space="preserve">   </v>
      </c>
      <c r="L159" s="44" t="str">
        <f t="shared" ca="1" si="0"/>
        <v>verleden</v>
      </c>
      <c r="M159" s="1"/>
      <c r="N159" s="4" t="b">
        <f ca="1">OR(VALUE(CALC2223!B158)&gt;VALUE(LASTV),VALUE(CALC2223!D158)&gt;VALUE(LASTV),VALUE(CALC2223!F158)&gt;VALUE(LASTV))</f>
        <v>0</v>
      </c>
      <c r="O159" s="4" t="b">
        <f ca="1">OR(VALUE(CALC2223!H158)&gt;VALUE(LASTV),VALUE(CALC2223!J158)&gt;VALUE(LASTV),VALUE(CALC2223!L158)&gt;VALUE(LASTV))</f>
        <v>0</v>
      </c>
      <c r="P159" s="4" t="b">
        <f ca="1">OR(VALUE(CALC2223!N158)&gt;VALUE(LASTV),VALUE(CALC2223!P158)&gt;VALUE(LASTV),VALUE(CALC2223!R158)&gt;VALUE(LASTV))</f>
        <v>0</v>
      </c>
      <c r="Q159" s="4" t="b">
        <f ca="1">OR(VALUE(CALC2223!T158)&gt;VALUE(LASTV),VALUE(CALC2223!V158)&gt;VALUE(LASTV),VALUE(CALC2223!X158)&gt;VALUE(LASTV))</f>
        <v>0</v>
      </c>
      <c r="R159" s="4" t="b">
        <f ca="1">OR(VALUE(CALC2223!Z158)&gt;VALUE(LASTV),VALUE(CALC2223!AB158)&gt;VALUE(LASTV),VALUE(CALC2223!AD158)&gt;VALUE(LASTV))</f>
        <v>0</v>
      </c>
      <c r="S159" s="4" t="b">
        <f ca="1">OR(VALUE(CALC2223!AF158)&gt;VALUE(LASTV),VALUE(CALC2223!AH158)&gt;VALUE(LASTV),VALUE(CALC2223!AJ158)&gt;VALUE(LASTV))</f>
        <v>0</v>
      </c>
      <c r="T159" s="4" t="b">
        <f ca="1">OR(VALUE(CALC2223!AL158)&gt;VALUE(LASTV),VALUE(CALC2223!AN158)&gt;VALUE(LASTV),VALUE(CALC2223!AP158)&gt;VALUE(LASTV))</f>
        <v>0</v>
      </c>
      <c r="U159" s="4" t="b">
        <f ca="1">OR(VALUE(CALC2223!AR158)&gt;VALUE(LASTV),VALUE(CALC2223!AT158)&gt;VALUE(LASTV),VALUE(CALC2223!AV158)&gt;VALUE(LASTV))</f>
        <v>0</v>
      </c>
      <c r="V159" s="1"/>
    </row>
    <row r="160" spans="1:22" ht="35.25" hidden="1" customHeight="1">
      <c r="A160" s="40"/>
      <c r="B160" s="41" t="s">
        <v>21</v>
      </c>
      <c r="C160" s="42">
        <v>46058</v>
      </c>
      <c r="D160" s="43" t="str">
        <f ca="1">CONCATENATE(CALC2223!A159," ",CALC2223!C159," ",CALC2223!E159)</f>
        <v xml:space="preserve">  </v>
      </c>
      <c r="E160" s="43" t="str">
        <f ca="1">CONCATENATE(CALC2223!G159," ",CALC2223!I159," ",CALC2223!K159)</f>
        <v xml:space="preserve">  </v>
      </c>
      <c r="F160" s="43" t="str">
        <f ca="1">CONCATENATE(CALC2223!M159," ",CALC2223!O159," ",CALC2223!Q159)</f>
        <v xml:space="preserve">Rep EN taaldorp Duits </v>
      </c>
      <c r="G160" s="43" t="str">
        <f ca="1">CONCATENATE(CALC2223!S159," ",CALC2223!U159," ",CALC2223!W159)</f>
        <v xml:space="preserve">SE ANW inh rep WI </v>
      </c>
      <c r="H160" s="43" t="str">
        <f ca="1">CONCATENATE(CALC2223!Y159," ",CALC2223!AA159," ",CALC2223!AC159)</f>
        <v xml:space="preserve">inh rep be taaldorp Duits </v>
      </c>
      <c r="I160" s="43" t="str">
        <f ca="1">CONCATENATE(CALC2223!AE159," ",CALC2223!AG159," ",CALC2223!AI159)</f>
        <v xml:space="preserve">LOinhalen1  </v>
      </c>
      <c r="J160" s="43" t="str">
        <f ca="1">CONCATENATE(CALC2223!AK159," ",CALC2223!AM159," ",CALC2223!AO159)</f>
        <v xml:space="preserve">secties#5  </v>
      </c>
      <c r="K160" s="43" t="str">
        <f ca="1">CONCATENATE(CALC2223!AQ159," ",CALC2223!AS159," ",CALC2223!AU159," ",CALC2223!AW159)</f>
        <v xml:space="preserve">   </v>
      </c>
      <c r="L160" s="44" t="str">
        <f t="shared" ca="1" si="0"/>
        <v>verleden</v>
      </c>
      <c r="M160" s="1"/>
      <c r="N160" s="4" t="b">
        <f ca="1">OR(VALUE(CALC2223!B159)&gt;VALUE(LASTV),VALUE(CALC2223!D159)&gt;VALUE(LASTV),VALUE(CALC2223!F159)&gt;VALUE(LASTV))</f>
        <v>0</v>
      </c>
      <c r="O160" s="4" t="b">
        <f ca="1">OR(VALUE(CALC2223!H159)&gt;VALUE(LASTV),VALUE(CALC2223!J159)&gt;VALUE(LASTV),VALUE(CALC2223!L159)&gt;VALUE(LASTV))</f>
        <v>0</v>
      </c>
      <c r="P160" s="4" t="b">
        <f ca="1">OR(VALUE(CALC2223!N159)&gt;VALUE(LASTV),VALUE(CALC2223!P159)&gt;VALUE(LASTV),VALUE(CALC2223!R159)&gt;VALUE(LASTV))</f>
        <v>0</v>
      </c>
      <c r="Q160" s="4" t="b">
        <f ca="1">OR(VALUE(CALC2223!T159)&gt;VALUE(LASTV),VALUE(CALC2223!V159)&gt;VALUE(LASTV),VALUE(CALC2223!X159)&gt;VALUE(LASTV))</f>
        <v>0</v>
      </c>
      <c r="R160" s="4" t="b">
        <f ca="1">OR(VALUE(CALC2223!Z159)&gt;VALUE(LASTV),VALUE(CALC2223!AB159)&gt;VALUE(LASTV),VALUE(CALC2223!AD159)&gt;VALUE(LASTV))</f>
        <v>0</v>
      </c>
      <c r="S160" s="4" t="b">
        <f ca="1">OR(VALUE(CALC2223!AF159)&gt;VALUE(LASTV),VALUE(CALC2223!AH159)&gt;VALUE(LASTV),VALUE(CALC2223!AJ159)&gt;VALUE(LASTV))</f>
        <v>0</v>
      </c>
      <c r="T160" s="4" t="b">
        <f ca="1">OR(VALUE(CALC2223!AL159)&gt;VALUE(LASTV),VALUE(CALC2223!AN159)&gt;VALUE(LASTV),VALUE(CALC2223!AP159)&gt;VALUE(LASTV))</f>
        <v>0</v>
      </c>
      <c r="U160" s="4" t="b">
        <f ca="1">OR(VALUE(CALC2223!AR159)&gt;VALUE(LASTV),VALUE(CALC2223!AT159)&gt;VALUE(LASTV),VALUE(CALC2223!AV159)&gt;VALUE(LASTV))</f>
        <v>0</v>
      </c>
      <c r="V160" s="1"/>
    </row>
    <row r="161" spans="1:22" ht="35.25" hidden="1" customHeight="1">
      <c r="A161" s="40"/>
      <c r="B161" s="41" t="s">
        <v>22</v>
      </c>
      <c r="C161" s="42">
        <v>46059</v>
      </c>
      <c r="D161" s="43" t="str">
        <f ca="1">CONCATENATE(CALC2223!A160," ",CALC2223!C160," ",CALC2223!E160)</f>
        <v xml:space="preserve">  </v>
      </c>
      <c r="E161" s="43" t="str">
        <f ca="1">CONCATENATE(CALC2223!G160," ",CALC2223!I160," ",CALC2223!K160)</f>
        <v xml:space="preserve">Rep BIO  </v>
      </c>
      <c r="F161" s="43" t="str">
        <f ca="1">CONCATENATE(CALC2223!M160," ",CALC2223!O160," ",CALC2223!Q160)</f>
        <v xml:space="preserve">  </v>
      </c>
      <c r="G161" s="43" t="str">
        <f ca="1">CONCATENATE(CALC2223!S160," ",CALC2223!U160," ",CALC2223!W160)</f>
        <v xml:space="preserve">  </v>
      </c>
      <c r="H161" s="43" t="str">
        <f ca="1">CONCATENATE(CALC2223!Y160," ",CALC2223!AA160," ",CALC2223!AC160)</f>
        <v xml:space="preserve">  </v>
      </c>
      <c r="I161" s="43" t="str">
        <f ca="1">CONCATENATE(CALC2223!AE160," ",CALC2223!AG160," ",CALC2223!AI160)</f>
        <v xml:space="preserve">  </v>
      </c>
      <c r="J161" s="43" t="str">
        <f ca="1">CONCATENATE(CALC2223!AK160," ",CALC2223!AM160," ",CALC2223!AO160)</f>
        <v xml:space="preserve">  </v>
      </c>
      <c r="K161" s="43" t="str">
        <f ca="1">CONCATENATE(CALC2223!AQ160," ",CALC2223!AS160," ",CALC2223!AU160," ",CALC2223!AW160)</f>
        <v xml:space="preserve">   </v>
      </c>
      <c r="L161" s="44" t="str">
        <f t="shared" ca="1" si="0"/>
        <v>verleden</v>
      </c>
      <c r="M161" s="1"/>
      <c r="N161" s="4" t="b">
        <f ca="1">OR(VALUE(CALC2223!B160)&gt;VALUE(LASTV),VALUE(CALC2223!D160)&gt;VALUE(LASTV),VALUE(CALC2223!F160)&gt;VALUE(LASTV))</f>
        <v>0</v>
      </c>
      <c r="O161" s="4" t="b">
        <f ca="1">OR(VALUE(CALC2223!H160)&gt;VALUE(LASTV),VALUE(CALC2223!J160)&gt;VALUE(LASTV),VALUE(CALC2223!L160)&gt;VALUE(LASTV))</f>
        <v>0</v>
      </c>
      <c r="P161" s="4" t="b">
        <f ca="1">OR(VALUE(CALC2223!N160)&gt;VALUE(LASTV),VALUE(CALC2223!P160)&gt;VALUE(LASTV),VALUE(CALC2223!R160)&gt;VALUE(LASTV))</f>
        <v>0</v>
      </c>
      <c r="Q161" s="4" t="b">
        <f ca="1">OR(VALUE(CALC2223!T160)&gt;VALUE(LASTV),VALUE(CALC2223!V160)&gt;VALUE(LASTV),VALUE(CALC2223!X160)&gt;VALUE(LASTV))</f>
        <v>0</v>
      </c>
      <c r="R161" s="4" t="b">
        <f ca="1">OR(VALUE(CALC2223!Z160)&gt;VALUE(LASTV),VALUE(CALC2223!AB160)&gt;VALUE(LASTV),VALUE(CALC2223!AD160)&gt;VALUE(LASTV))</f>
        <v>0</v>
      </c>
      <c r="S161" s="4" t="b">
        <f ca="1">OR(VALUE(CALC2223!AF160)&gt;VALUE(LASTV),VALUE(CALC2223!AH160)&gt;VALUE(LASTV),VALUE(CALC2223!AJ160)&gt;VALUE(LASTV))</f>
        <v>0</v>
      </c>
      <c r="T161" s="4" t="b">
        <f ca="1">OR(VALUE(CALC2223!AL160)&gt;VALUE(LASTV),VALUE(CALC2223!AN160)&gt;VALUE(LASTV),VALUE(CALC2223!AP160)&gt;VALUE(LASTV))</f>
        <v>0</v>
      </c>
      <c r="U161" s="4" t="b">
        <f ca="1">OR(VALUE(CALC2223!AR160)&gt;VALUE(LASTV),VALUE(CALC2223!AT160)&gt;VALUE(LASTV),VALUE(CALC2223!AV160)&gt;VALUE(LASTV))</f>
        <v>0</v>
      </c>
      <c r="V161" s="1"/>
    </row>
    <row r="162" spans="1:22" ht="35.25" hidden="1" customHeight="1">
      <c r="A162" s="45"/>
      <c r="B162" s="46" t="s">
        <v>23</v>
      </c>
      <c r="C162" s="47">
        <v>46060</v>
      </c>
      <c r="D162" s="48" t="str">
        <f ca="1">CONCATENATE(CALC2223!A161," ",CALC2223!C161," ",CALC2223!E161)</f>
        <v xml:space="preserve">  </v>
      </c>
      <c r="E162" s="48" t="str">
        <f ca="1">CONCATENATE(CALC2223!G161," ",CALC2223!I161," ",CALC2223!K161)</f>
        <v xml:space="preserve">  </v>
      </c>
      <c r="F162" s="48" t="str">
        <f ca="1">CONCATENATE(CALC2223!M161," ",CALC2223!O161," ",CALC2223!Q161)</f>
        <v xml:space="preserve">  </v>
      </c>
      <c r="G162" s="48" t="str">
        <f ca="1">CONCATENATE(CALC2223!S161," ",CALC2223!U161," ",CALC2223!W161)</f>
        <v xml:space="preserve">  </v>
      </c>
      <c r="H162" s="48" t="str">
        <f ca="1">CONCATENATE(CALC2223!Y161," ",CALC2223!AA161," ",CALC2223!AC161)</f>
        <v xml:space="preserve">  </v>
      </c>
      <c r="I162" s="48" t="str">
        <f ca="1">CONCATENATE(CALC2223!AE161," ",CALC2223!AG161," ",CALC2223!AI161)</f>
        <v xml:space="preserve">  </v>
      </c>
      <c r="J162" s="48" t="str">
        <f ca="1">CONCATENATE(CALC2223!AK161," ",CALC2223!AM161," ",CALC2223!AO161)</f>
        <v xml:space="preserve">  </v>
      </c>
      <c r="K162" s="48" t="str">
        <f ca="1">CONCATENATE(CALC2223!AQ161," ",CALC2223!AS161," ",CALC2223!AU161," ",CALC2223!AW161)</f>
        <v xml:space="preserve">   </v>
      </c>
      <c r="L162" s="49" t="str">
        <f t="shared" ca="1" si="0"/>
        <v>verleden</v>
      </c>
      <c r="M162" s="1"/>
      <c r="N162" s="4" t="b">
        <f ca="1">OR(VALUE(CALC2223!B161)&gt;VALUE(LASTV),VALUE(CALC2223!D161)&gt;VALUE(LASTV),VALUE(CALC2223!F161)&gt;VALUE(LASTV))</f>
        <v>0</v>
      </c>
      <c r="O162" s="4" t="b">
        <f ca="1">OR(VALUE(CALC2223!H161)&gt;VALUE(LASTV),VALUE(CALC2223!J161)&gt;VALUE(LASTV),VALUE(CALC2223!L161)&gt;VALUE(LASTV))</f>
        <v>0</v>
      </c>
      <c r="P162" s="4" t="b">
        <f ca="1">OR(VALUE(CALC2223!N161)&gt;VALUE(LASTV),VALUE(CALC2223!P161)&gt;VALUE(LASTV),VALUE(CALC2223!R161)&gt;VALUE(LASTV))</f>
        <v>0</v>
      </c>
      <c r="Q162" s="4" t="b">
        <f ca="1">OR(VALUE(CALC2223!T161)&gt;VALUE(LASTV),VALUE(CALC2223!V161)&gt;VALUE(LASTV),VALUE(CALC2223!X161)&gt;VALUE(LASTV))</f>
        <v>0</v>
      </c>
      <c r="R162" s="4" t="b">
        <f ca="1">OR(VALUE(CALC2223!Z161)&gt;VALUE(LASTV),VALUE(CALC2223!AB161)&gt;VALUE(LASTV),VALUE(CALC2223!AD161)&gt;VALUE(LASTV))</f>
        <v>0</v>
      </c>
      <c r="S162" s="4" t="b">
        <f ca="1">OR(VALUE(CALC2223!AF161)&gt;VALUE(LASTV),VALUE(CALC2223!AH161)&gt;VALUE(LASTV),VALUE(CALC2223!AJ161)&gt;VALUE(LASTV))</f>
        <v>0</v>
      </c>
      <c r="T162" s="4" t="b">
        <f ca="1">OR(VALUE(CALC2223!AL161)&gt;VALUE(LASTV),VALUE(CALC2223!AN161)&gt;VALUE(LASTV),VALUE(CALC2223!AP161)&gt;VALUE(LASTV))</f>
        <v>0</v>
      </c>
      <c r="U162" s="4" t="b">
        <f ca="1">OR(VALUE(CALC2223!AR161)&gt;VALUE(LASTV),VALUE(CALC2223!AT161)&gt;VALUE(LASTV),VALUE(CALC2223!AV161)&gt;VALUE(LASTV))</f>
        <v>0</v>
      </c>
      <c r="V162" s="1"/>
    </row>
    <row r="163" spans="1:22" ht="35.25" hidden="1" customHeight="1">
      <c r="A163" s="45"/>
      <c r="B163" s="46" t="s">
        <v>24</v>
      </c>
      <c r="C163" s="47">
        <v>46061</v>
      </c>
      <c r="D163" s="48" t="str">
        <f ca="1">CONCATENATE(CALC2223!A162," ",CALC2223!C162," ",CALC2223!E162)</f>
        <v xml:space="preserve">  </v>
      </c>
      <c r="E163" s="48" t="str">
        <f ca="1">CONCATENATE(CALC2223!G162," ",CALC2223!I162," ",CALC2223!K162)</f>
        <v xml:space="preserve">  </v>
      </c>
      <c r="F163" s="48" t="str">
        <f ca="1">CONCATENATE(CALC2223!M162," ",CALC2223!O162," ",CALC2223!Q162)</f>
        <v xml:space="preserve">  </v>
      </c>
      <c r="G163" s="48" t="str">
        <f ca="1">CONCATENATE(CALC2223!S162," ",CALC2223!U162," ",CALC2223!W162)</f>
        <v xml:space="preserve">  </v>
      </c>
      <c r="H163" s="48" t="str">
        <f ca="1">CONCATENATE(CALC2223!Y162," ",CALC2223!AA162," ",CALC2223!AC162)</f>
        <v xml:space="preserve">  </v>
      </c>
      <c r="I163" s="48" t="str">
        <f ca="1">CONCATENATE(CALC2223!AE162," ",CALC2223!AG162," ",CALC2223!AI162)</f>
        <v xml:space="preserve">  </v>
      </c>
      <c r="J163" s="48" t="str">
        <f ca="1">CONCATENATE(CALC2223!AK162," ",CALC2223!AM162," ",CALC2223!AO162)</f>
        <v xml:space="preserve">  </v>
      </c>
      <c r="K163" s="48" t="str">
        <f ca="1">CONCATENATE(CALC2223!AQ162," ",CALC2223!AS162," ",CALC2223!AU162," ",CALC2223!AW162)</f>
        <v xml:space="preserve">   </v>
      </c>
      <c r="L163" s="49" t="str">
        <f t="shared" ca="1" si="0"/>
        <v>verleden</v>
      </c>
      <c r="M163" s="1"/>
      <c r="N163" s="4" t="b">
        <f ca="1">OR(VALUE(CALC2223!B162)&gt;VALUE(LASTV),VALUE(CALC2223!D162)&gt;VALUE(LASTV),VALUE(CALC2223!F162)&gt;VALUE(LASTV))</f>
        <v>0</v>
      </c>
      <c r="O163" s="4" t="b">
        <f ca="1">OR(VALUE(CALC2223!H162)&gt;VALUE(LASTV),VALUE(CALC2223!J162)&gt;VALUE(LASTV),VALUE(CALC2223!L162)&gt;VALUE(LASTV))</f>
        <v>0</v>
      </c>
      <c r="P163" s="4" t="b">
        <f ca="1">OR(VALUE(CALC2223!N162)&gt;VALUE(LASTV),VALUE(CALC2223!P162)&gt;VALUE(LASTV),VALUE(CALC2223!R162)&gt;VALUE(LASTV))</f>
        <v>0</v>
      </c>
      <c r="Q163" s="4" t="b">
        <f ca="1">OR(VALUE(CALC2223!T162)&gt;VALUE(LASTV),VALUE(CALC2223!V162)&gt;VALUE(LASTV),VALUE(CALC2223!X162)&gt;VALUE(LASTV))</f>
        <v>0</v>
      </c>
      <c r="R163" s="4" t="b">
        <f ca="1">OR(VALUE(CALC2223!Z162)&gt;VALUE(LASTV),VALUE(CALC2223!AB162)&gt;VALUE(LASTV),VALUE(CALC2223!AD162)&gt;VALUE(LASTV))</f>
        <v>0</v>
      </c>
      <c r="S163" s="4" t="b">
        <f ca="1">OR(VALUE(CALC2223!AF162)&gt;VALUE(LASTV),VALUE(CALC2223!AH162)&gt;VALUE(LASTV),VALUE(CALC2223!AJ162)&gt;VALUE(LASTV))</f>
        <v>0</v>
      </c>
      <c r="T163" s="4" t="b">
        <f ca="1">OR(VALUE(CALC2223!AL162)&gt;VALUE(LASTV),VALUE(CALC2223!AN162)&gt;VALUE(LASTV),VALUE(CALC2223!AP162)&gt;VALUE(LASTV))</f>
        <v>0</v>
      </c>
      <c r="U163" s="4" t="b">
        <f ca="1">OR(VALUE(CALC2223!AR162)&gt;VALUE(LASTV),VALUE(CALC2223!AT162)&gt;VALUE(LASTV),VALUE(CALC2223!AV162)&gt;VALUE(LASTV))</f>
        <v>0</v>
      </c>
      <c r="V163" s="1"/>
    </row>
    <row r="164" spans="1:22" ht="35.25" hidden="1" customHeight="1">
      <c r="A164" s="50">
        <v>7</v>
      </c>
      <c r="B164" s="41" t="s">
        <v>18</v>
      </c>
      <c r="C164" s="42">
        <v>46062</v>
      </c>
      <c r="D164" s="51" t="str">
        <f ca="1">CONCATENATE(CALC2223!A163," ",CALC2223!C163," ",CALC2223!E163)</f>
        <v xml:space="preserve">  </v>
      </c>
      <c r="E164" s="51" t="str">
        <f ca="1">CONCATENATE(CALC2223!G163," ",CALC2223!I163," ",CALC2223!K163)</f>
        <v xml:space="preserve">  </v>
      </c>
      <c r="F164" s="51" t="str">
        <f ca="1">CONCATENATE(CALC2223!M163," ",CALC2223!O163," ",CALC2223!Q163)</f>
        <v xml:space="preserve">  </v>
      </c>
      <c r="G164" s="51" t="str">
        <f ca="1">CONCATENATE(CALC2223!S163," ",CALC2223!U163," ",CALC2223!W163)</f>
        <v xml:space="preserve">inh rep SK  </v>
      </c>
      <c r="H164" s="51" t="str">
        <f ca="1">CONCATENATE(CALC2223!Y163," ",CALC2223!AA163," ",CALC2223!AC163)</f>
        <v xml:space="preserve">SE AC inh rep EN </v>
      </c>
      <c r="I164" s="51" t="str">
        <f ca="1">CONCATENATE(CALC2223!AE163," ",CALC2223!AG163," ",CALC2223!AI163)</f>
        <v xml:space="preserve">  </v>
      </c>
      <c r="J164" s="51" t="str">
        <f ca="1">CONCATENATE(CALC2223!AK163," ",CALC2223!AM163," ",CALC2223!AO163)</f>
        <v xml:space="preserve">  </v>
      </c>
      <c r="K164" s="51" t="str">
        <f ca="1">CONCATENATE(CALC2223!AQ163," ",CALC2223!AS163," ",CALC2223!AU163," ",CALC2223!AW163)</f>
        <v xml:space="preserve">   </v>
      </c>
      <c r="L164" s="52" t="str">
        <f t="shared" ca="1" si="0"/>
        <v>verleden</v>
      </c>
      <c r="M164" s="1"/>
      <c r="N164" s="4" t="b">
        <f ca="1">OR(VALUE(CALC2223!B163)&gt;VALUE(LASTV),VALUE(CALC2223!D163)&gt;VALUE(LASTV),VALUE(CALC2223!F163)&gt;VALUE(LASTV))</f>
        <v>0</v>
      </c>
      <c r="O164" s="4" t="b">
        <f ca="1">OR(VALUE(CALC2223!H163)&gt;VALUE(LASTV),VALUE(CALC2223!J163)&gt;VALUE(LASTV),VALUE(CALC2223!L163)&gt;VALUE(LASTV))</f>
        <v>0</v>
      </c>
      <c r="P164" s="4" t="b">
        <f ca="1">OR(VALUE(CALC2223!N163)&gt;VALUE(LASTV),VALUE(CALC2223!P163)&gt;VALUE(LASTV),VALUE(CALC2223!R163)&gt;VALUE(LASTV))</f>
        <v>0</v>
      </c>
      <c r="Q164" s="4" t="b">
        <f ca="1">OR(VALUE(CALC2223!T163)&gt;VALUE(LASTV),VALUE(CALC2223!V163)&gt;VALUE(LASTV),VALUE(CALC2223!X163)&gt;VALUE(LASTV))</f>
        <v>0</v>
      </c>
      <c r="R164" s="4" t="b">
        <f ca="1">OR(VALUE(CALC2223!Z163)&gt;VALUE(LASTV),VALUE(CALC2223!AB163)&gt;VALUE(LASTV),VALUE(CALC2223!AD163)&gt;VALUE(LASTV))</f>
        <v>0</v>
      </c>
      <c r="S164" s="4" t="b">
        <f ca="1">OR(VALUE(CALC2223!AF163)&gt;VALUE(LASTV),VALUE(CALC2223!AH163)&gt;VALUE(LASTV),VALUE(CALC2223!AJ163)&gt;VALUE(LASTV))</f>
        <v>0</v>
      </c>
      <c r="T164" s="4" t="b">
        <f ca="1">OR(VALUE(CALC2223!AL163)&gt;VALUE(LASTV),VALUE(CALC2223!AN163)&gt;VALUE(LASTV),VALUE(CALC2223!AP163)&gt;VALUE(LASTV))</f>
        <v>0</v>
      </c>
      <c r="U164" s="4" t="b">
        <f ca="1">OR(VALUE(CALC2223!AR163)&gt;VALUE(LASTV),VALUE(CALC2223!AT163)&gt;VALUE(LASTV),VALUE(CALC2223!AV163)&gt;VALUE(LASTV))</f>
        <v>0</v>
      </c>
      <c r="V164" s="1"/>
    </row>
    <row r="165" spans="1:22" ht="35.25" hidden="1" customHeight="1">
      <c r="A165" s="40"/>
      <c r="B165" s="41" t="s">
        <v>19</v>
      </c>
      <c r="C165" s="42">
        <v>46063</v>
      </c>
      <c r="D165" s="51" t="str">
        <f ca="1">CONCATENATE(CALC2223!A164," ",CALC2223!C164," ",CALC2223!E164)</f>
        <v xml:space="preserve">  </v>
      </c>
      <c r="E165" s="51" t="str">
        <f ca="1">CONCATENATE(CALC2223!G164," ",CALC2223!I164," ",CALC2223!K164)</f>
        <v xml:space="preserve">  </v>
      </c>
      <c r="F165" s="51" t="str">
        <f ca="1">CONCATENATE(CALC2223!M164," ",CALC2223!O164," ",CALC2223!Q164)</f>
        <v xml:space="preserve">start voorlopige profielkeuze  </v>
      </c>
      <c r="G165" s="51" t="str">
        <f ca="1">CONCATENATE(CALC2223!S164," ",CALC2223!U164," ",CALC2223!W164)</f>
        <v xml:space="preserve">rep na  </v>
      </c>
      <c r="H165" s="51" t="str">
        <f ca="1">CONCATENATE(CALC2223!Y164," ",CALC2223!AA164," ",CALC2223!AC164)</f>
        <v xml:space="preserve">  </v>
      </c>
      <c r="I165" s="51" t="str">
        <f ca="1">CONCATENATE(CALC2223!AE164," ",CALC2223!AG164," ",CALC2223!AI164)</f>
        <v xml:space="preserve">  </v>
      </c>
      <c r="J165" s="51" t="str">
        <f ca="1">CONCATENATE(CALC2223!AK164," ",CALC2223!AM164," ",CALC2223!AO164)</f>
        <v xml:space="preserve">  </v>
      </c>
      <c r="K165" s="51" t="str">
        <f ca="1">CONCATENATE(CALC2223!AQ164," ",CALC2223!AS164," ",CALC2223!AU164," ",CALC2223!AW164)</f>
        <v xml:space="preserve">   </v>
      </c>
      <c r="L165" s="52" t="str">
        <f t="shared" ca="1" si="0"/>
        <v>verleden</v>
      </c>
      <c r="M165" s="1"/>
      <c r="N165" s="4" t="b">
        <f ca="1">OR(VALUE(CALC2223!B164)&gt;VALUE(LASTV),VALUE(CALC2223!D164)&gt;VALUE(LASTV),VALUE(CALC2223!F164)&gt;VALUE(LASTV))</f>
        <v>0</v>
      </c>
      <c r="O165" s="4" t="b">
        <f ca="1">OR(VALUE(CALC2223!H164)&gt;VALUE(LASTV),VALUE(CALC2223!J164)&gt;VALUE(LASTV),VALUE(CALC2223!L164)&gt;VALUE(LASTV))</f>
        <v>0</v>
      </c>
      <c r="P165" s="4" t="b">
        <f ca="1">OR(VALUE(CALC2223!N164)&gt;VALUE(LASTV),VALUE(CALC2223!P164)&gt;VALUE(LASTV),VALUE(CALC2223!R164)&gt;VALUE(LASTV))</f>
        <v>0</v>
      </c>
      <c r="Q165" s="4" t="b">
        <f ca="1">OR(VALUE(CALC2223!T164)&gt;VALUE(LASTV),VALUE(CALC2223!V164)&gt;VALUE(LASTV),VALUE(CALC2223!X164)&gt;VALUE(LASTV))</f>
        <v>0</v>
      </c>
      <c r="R165" s="4" t="b">
        <f ca="1">OR(VALUE(CALC2223!Z164)&gt;VALUE(LASTV),VALUE(CALC2223!AB164)&gt;VALUE(LASTV),VALUE(CALC2223!AD164)&gt;VALUE(LASTV))</f>
        <v>0</v>
      </c>
      <c r="S165" s="4" t="b">
        <f ca="1">OR(VALUE(CALC2223!AF164)&gt;VALUE(LASTV),VALUE(CALC2223!AH164)&gt;VALUE(LASTV),VALUE(CALC2223!AJ164)&gt;VALUE(LASTV))</f>
        <v>0</v>
      </c>
      <c r="T165" s="4" t="b">
        <f ca="1">OR(VALUE(CALC2223!AL164)&gt;VALUE(LASTV),VALUE(CALC2223!AN164)&gt;VALUE(LASTV),VALUE(CALC2223!AP164)&gt;VALUE(LASTV))</f>
        <v>0</v>
      </c>
      <c r="U165" s="4" t="b">
        <f ca="1">OR(VALUE(CALC2223!AR164)&gt;VALUE(LASTV),VALUE(CALC2223!AT164)&gt;VALUE(LASTV),VALUE(CALC2223!AV164)&gt;VALUE(LASTV))</f>
        <v>0</v>
      </c>
      <c r="V165" s="1"/>
    </row>
    <row r="166" spans="1:22" ht="35.25" hidden="1" customHeight="1">
      <c r="A166" s="40"/>
      <c r="B166" s="41" t="s">
        <v>20</v>
      </c>
      <c r="C166" s="42">
        <v>46064</v>
      </c>
      <c r="D166" s="51" t="str">
        <f ca="1">CONCATENATE(CALC2223!A165," ",CALC2223!C165," ",CALC2223!E165)</f>
        <v xml:space="preserve">Rep EN  </v>
      </c>
      <c r="E166" s="51" t="str">
        <f ca="1">CONCATENATE(CALC2223!G165," ",CALC2223!I165," ",CALC2223!K165)</f>
        <v xml:space="preserve">  </v>
      </c>
      <c r="F166" s="51" t="str">
        <f ca="1">CONCATENATE(CALC2223!M165," ",CALC2223!O165," ",CALC2223!Q165)</f>
        <v xml:space="preserve">  </v>
      </c>
      <c r="G166" s="51" t="str">
        <f ca="1">CONCATENATE(CALC2223!S165," ",CALC2223!U165," ",CALC2223!W165)</f>
        <v xml:space="preserve">  </v>
      </c>
      <c r="H166" s="51" t="str">
        <f ca="1">CONCATENATE(CALC2223!Y165," ",CALC2223!AA165," ",CALC2223!AC165)</f>
        <v xml:space="preserve">SE MAAT  </v>
      </c>
      <c r="I166" s="51" t="str">
        <f ca="1">CONCATENATE(CALC2223!AE165," ",CALC2223!AG165," ",CALC2223!AI165)</f>
        <v xml:space="preserve">korte filmfestival  </v>
      </c>
      <c r="J166" s="51" t="str">
        <f ca="1">CONCATENATE(CALC2223!AK165," ",CALC2223!AM165," ",CALC2223!AO165)</f>
        <v xml:space="preserve">  </v>
      </c>
      <c r="K166" s="51" t="str">
        <f ca="1">CONCATENATE(CALC2223!AQ165," ",CALC2223!AS165," ",CALC2223!AU165," ",CALC2223!AW165)</f>
        <v xml:space="preserve">   </v>
      </c>
      <c r="L166" s="52" t="str">
        <f t="shared" ca="1" si="0"/>
        <v>verleden</v>
      </c>
      <c r="M166" s="1"/>
      <c r="N166" s="4" t="b">
        <f ca="1">OR(VALUE(CALC2223!B165)&gt;VALUE(LASTV),VALUE(CALC2223!D165)&gt;VALUE(LASTV),VALUE(CALC2223!F165)&gt;VALUE(LASTV))</f>
        <v>0</v>
      </c>
      <c r="O166" s="4" t="b">
        <f ca="1">OR(VALUE(CALC2223!H165)&gt;VALUE(LASTV),VALUE(CALC2223!J165)&gt;VALUE(LASTV),VALUE(CALC2223!L165)&gt;VALUE(LASTV))</f>
        <v>0</v>
      </c>
      <c r="P166" s="4" t="b">
        <f ca="1">OR(VALUE(CALC2223!N165)&gt;VALUE(LASTV),VALUE(CALC2223!P165)&gt;VALUE(LASTV),VALUE(CALC2223!R165)&gt;VALUE(LASTV))</f>
        <v>0</v>
      </c>
      <c r="Q166" s="4" t="b">
        <f ca="1">OR(VALUE(CALC2223!T165)&gt;VALUE(LASTV),VALUE(CALC2223!V165)&gt;VALUE(LASTV),VALUE(CALC2223!X165)&gt;VALUE(LASTV))</f>
        <v>0</v>
      </c>
      <c r="R166" s="4" t="b">
        <f ca="1">OR(VALUE(CALC2223!Z165)&gt;VALUE(LASTV),VALUE(CALC2223!AB165)&gt;VALUE(LASTV),VALUE(CALC2223!AD165)&gt;VALUE(LASTV))</f>
        <v>0</v>
      </c>
      <c r="S166" s="4" t="b">
        <f ca="1">OR(VALUE(CALC2223!AF165)&gt;VALUE(LASTV),VALUE(CALC2223!AH165)&gt;VALUE(LASTV),VALUE(CALC2223!AJ165)&gt;VALUE(LASTV))</f>
        <v>0</v>
      </c>
      <c r="T166" s="4" t="b">
        <f ca="1">OR(VALUE(CALC2223!AL165)&gt;VALUE(LASTV),VALUE(CALC2223!AN165)&gt;VALUE(LASTV),VALUE(CALC2223!AP165)&gt;VALUE(LASTV))</f>
        <v>0</v>
      </c>
      <c r="U166" s="4" t="b">
        <f ca="1">OR(VALUE(CALC2223!AR165)&gt;VALUE(LASTV),VALUE(CALC2223!AT165)&gt;VALUE(LASTV),VALUE(CALC2223!AV165)&gt;VALUE(LASTV))</f>
        <v>0</v>
      </c>
      <c r="V166" s="1"/>
    </row>
    <row r="167" spans="1:22" ht="35.25" hidden="1" customHeight="1">
      <c r="A167" s="40"/>
      <c r="B167" s="41" t="s">
        <v>21</v>
      </c>
      <c r="C167" s="42">
        <v>46065</v>
      </c>
      <c r="D167" s="51" t="str">
        <f ca="1">CONCATENATE(CALC2223!A166," ",CALC2223!C166," ",CALC2223!E166)</f>
        <v xml:space="preserve">  </v>
      </c>
      <c r="E167" s="51" t="str">
        <f ca="1">CONCATENATE(CALC2223!G166," ",CALC2223!I166," ",CALC2223!K166)</f>
        <v xml:space="preserve">  </v>
      </c>
      <c r="F167" s="51" t="str">
        <f ca="1">CONCATENATE(CALC2223!M166," ",CALC2223!O166," ",CALC2223!Q166)</f>
        <v xml:space="preserve">Rep NA  </v>
      </c>
      <c r="G167" s="51" t="str">
        <f ca="1">CONCATENATE(CALC2223!S166," ",CALC2223!U166," ",CALC2223!W166)</f>
        <v xml:space="preserve">HPGpresentaties inh rep FI </v>
      </c>
      <c r="H167" s="51" t="str">
        <f ca="1">CONCATENATE(CALC2223!Y166," ",CALC2223!AA166," ",CALC2223!AC166)</f>
        <v xml:space="preserve">HPGpresentaties inh rep NA </v>
      </c>
      <c r="I167" s="51" t="str">
        <f ca="1">CONCATENATE(CALC2223!AE166," ",CALC2223!AG166," ",CALC2223!AI166)</f>
        <v xml:space="preserve">LOinhalen 2  </v>
      </c>
      <c r="J167" s="51" t="str">
        <f ca="1">CONCATENATE(CALC2223!AK166," ",CALC2223!AM166," ",CALC2223!AO166)</f>
        <v xml:space="preserve">mentoren#5  </v>
      </c>
      <c r="K167" s="51" t="str">
        <f ca="1">CONCATENATE(CALC2223!AQ166," ",CALC2223!AS166," ",CALC2223!AU166," ",CALC2223!AW166)</f>
        <v xml:space="preserve">   </v>
      </c>
      <c r="L167" s="52" t="str">
        <f t="shared" ca="1" si="0"/>
        <v>verleden</v>
      </c>
      <c r="M167" s="1"/>
      <c r="N167" s="4" t="b">
        <f ca="1">OR(VALUE(CALC2223!B166)&gt;VALUE(LASTV),VALUE(CALC2223!D166)&gt;VALUE(LASTV),VALUE(CALC2223!F166)&gt;VALUE(LASTV))</f>
        <v>0</v>
      </c>
      <c r="O167" s="4" t="b">
        <f ca="1">OR(VALUE(CALC2223!H166)&gt;VALUE(LASTV),VALUE(CALC2223!J166)&gt;VALUE(LASTV),VALUE(CALC2223!L166)&gt;VALUE(LASTV))</f>
        <v>0</v>
      </c>
      <c r="P167" s="4" t="b">
        <f ca="1">OR(VALUE(CALC2223!N166)&gt;VALUE(LASTV),VALUE(CALC2223!P166)&gt;VALUE(LASTV),VALUE(CALC2223!R166)&gt;VALUE(LASTV))</f>
        <v>0</v>
      </c>
      <c r="Q167" s="4" t="b">
        <f ca="1">OR(VALUE(CALC2223!T166)&gt;VALUE(LASTV),VALUE(CALC2223!V166)&gt;VALUE(LASTV),VALUE(CALC2223!X166)&gt;VALUE(LASTV))</f>
        <v>0</v>
      </c>
      <c r="R167" s="4" t="b">
        <f ca="1">OR(VALUE(CALC2223!Z166)&gt;VALUE(LASTV),VALUE(CALC2223!AB166)&gt;VALUE(LASTV),VALUE(CALC2223!AD166)&gt;VALUE(LASTV))</f>
        <v>0</v>
      </c>
      <c r="S167" s="4" t="b">
        <f ca="1">OR(VALUE(CALC2223!AF166)&gt;VALUE(LASTV),VALUE(CALC2223!AH166)&gt;VALUE(LASTV),VALUE(CALC2223!AJ166)&gt;VALUE(LASTV))</f>
        <v>0</v>
      </c>
      <c r="T167" s="4" t="b">
        <f ca="1">OR(VALUE(CALC2223!AL166)&gt;VALUE(LASTV),VALUE(CALC2223!AN166)&gt;VALUE(LASTV),VALUE(CALC2223!AP166)&gt;VALUE(LASTV))</f>
        <v>0</v>
      </c>
      <c r="U167" s="4" t="b">
        <f ca="1">OR(VALUE(CALC2223!AR166)&gt;VALUE(LASTV),VALUE(CALC2223!AT166)&gt;VALUE(LASTV),VALUE(CALC2223!AV166)&gt;VALUE(LASTV))</f>
        <v>0</v>
      </c>
      <c r="V167" s="1"/>
    </row>
    <row r="168" spans="1:22" ht="35.25" hidden="1" customHeight="1">
      <c r="A168" s="40"/>
      <c r="B168" s="41" t="s">
        <v>22</v>
      </c>
      <c r="C168" s="42">
        <v>46066</v>
      </c>
      <c r="D168" s="51" t="str">
        <f ca="1">CONCATENATE(CALC2223!A167," ",CALC2223!C167," ",CALC2223!E167)</f>
        <v xml:space="preserve">  </v>
      </c>
      <c r="E168" s="51" t="str">
        <f ca="1">CONCATENATE(CALC2223!G167," ",CALC2223!I167," ",CALC2223!K167)</f>
        <v xml:space="preserve">Rep EN  </v>
      </c>
      <c r="F168" s="51" t="str">
        <f ca="1">CONCATENATE(CALC2223!M167," ",CALC2223!O167," ",CALC2223!Q167)</f>
        <v xml:space="preserve">  </v>
      </c>
      <c r="G168" s="51" t="str">
        <f ca="1">CONCATENATE(CALC2223!S167," ",CALC2223!U167," ",CALC2223!W167)</f>
        <v xml:space="preserve">  </v>
      </c>
      <c r="H168" s="51" t="str">
        <f ca="1">CONCATENATE(CALC2223!Y167," ",CALC2223!AA167," ",CALC2223!AC167)</f>
        <v xml:space="preserve">  </v>
      </c>
      <c r="I168" s="51" t="str">
        <f ca="1">CONCATENATE(CALC2223!AE167," ",CALC2223!AG167," ",CALC2223!AI167)</f>
        <v xml:space="preserve">  </v>
      </c>
      <c r="J168" s="51" t="str">
        <f ca="1">CONCATENATE(CALC2223!AK167," ",CALC2223!AM167," ",CALC2223!AO167)</f>
        <v xml:space="preserve">  </v>
      </c>
      <c r="K168" s="51" t="str">
        <f ca="1">CONCATENATE(CALC2223!AQ167," ",CALC2223!AS167," ",CALC2223!AU167," ",CALC2223!AW167)</f>
        <v xml:space="preserve">   </v>
      </c>
      <c r="L168" s="52" t="str">
        <f t="shared" ca="1" si="0"/>
        <v>verleden</v>
      </c>
      <c r="M168" s="1"/>
      <c r="N168" s="4" t="b">
        <f ca="1">OR(VALUE(CALC2223!B167)&gt;VALUE(LASTV),VALUE(CALC2223!D167)&gt;VALUE(LASTV),VALUE(CALC2223!F167)&gt;VALUE(LASTV))</f>
        <v>0</v>
      </c>
      <c r="O168" s="4" t="b">
        <f ca="1">OR(VALUE(CALC2223!H167)&gt;VALUE(LASTV),VALUE(CALC2223!J167)&gt;VALUE(LASTV),VALUE(CALC2223!L167)&gt;VALUE(LASTV))</f>
        <v>0</v>
      </c>
      <c r="P168" s="4" t="b">
        <f ca="1">OR(VALUE(CALC2223!N167)&gt;VALUE(LASTV),VALUE(CALC2223!P167)&gt;VALUE(LASTV),VALUE(CALC2223!R167)&gt;VALUE(LASTV))</f>
        <v>0</v>
      </c>
      <c r="Q168" s="4" t="b">
        <f ca="1">OR(VALUE(CALC2223!T167)&gt;VALUE(LASTV),VALUE(CALC2223!V167)&gt;VALUE(LASTV),VALUE(CALC2223!X167)&gt;VALUE(LASTV))</f>
        <v>0</v>
      </c>
      <c r="R168" s="4" t="b">
        <f ca="1">OR(VALUE(CALC2223!Z167)&gt;VALUE(LASTV),VALUE(CALC2223!AB167)&gt;VALUE(LASTV),VALUE(CALC2223!AD167)&gt;VALUE(LASTV))</f>
        <v>0</v>
      </c>
      <c r="S168" s="4" t="b">
        <f ca="1">OR(VALUE(CALC2223!AF167)&gt;VALUE(LASTV),VALUE(CALC2223!AH167)&gt;VALUE(LASTV),VALUE(CALC2223!AJ167)&gt;VALUE(LASTV))</f>
        <v>0</v>
      </c>
      <c r="T168" s="4" t="b">
        <f ca="1">OR(VALUE(CALC2223!AL167)&gt;VALUE(LASTV),VALUE(CALC2223!AN167)&gt;VALUE(LASTV),VALUE(CALC2223!AP167)&gt;VALUE(LASTV))</f>
        <v>0</v>
      </c>
      <c r="U168" s="4" t="b">
        <f ca="1">OR(VALUE(CALC2223!AR167)&gt;VALUE(LASTV),VALUE(CALC2223!AT167)&gt;VALUE(LASTV),VALUE(CALC2223!AV167)&gt;VALUE(LASTV))</f>
        <v>0</v>
      </c>
      <c r="V168" s="1"/>
    </row>
    <row r="169" spans="1:22" ht="35.25" hidden="1" customHeight="1">
      <c r="A169" s="45"/>
      <c r="B169" s="46" t="s">
        <v>23</v>
      </c>
      <c r="C169" s="47">
        <v>46067</v>
      </c>
      <c r="D169" s="48" t="str">
        <f ca="1">CONCATENATE(CALC2223!A168," ",CALC2223!C168," ",CALC2223!E168)</f>
        <v xml:space="preserve">  </v>
      </c>
      <c r="E169" s="48" t="str">
        <f ca="1">CONCATENATE(CALC2223!G168," ",CALC2223!I168," ",CALC2223!K168)</f>
        <v xml:space="preserve">  </v>
      </c>
      <c r="F169" s="48" t="str">
        <f ca="1">CONCATENATE(CALC2223!M168," ",CALC2223!O168," ",CALC2223!Q168)</f>
        <v xml:space="preserve">  </v>
      </c>
      <c r="G169" s="48" t="str">
        <f ca="1">CONCATENATE(CALC2223!S168," ",CALC2223!U168," ",CALC2223!W168)</f>
        <v xml:space="preserve">  </v>
      </c>
      <c r="H169" s="48" t="str">
        <f ca="1">CONCATENATE(CALC2223!Y168," ",CALC2223!AA168," ",CALC2223!AC168)</f>
        <v xml:space="preserve">  </v>
      </c>
      <c r="I169" s="48" t="str">
        <f ca="1">CONCATENATE(CALC2223!AE168," ",CALC2223!AG168," ",CALC2223!AI168)</f>
        <v xml:space="preserve">  </v>
      </c>
      <c r="J169" s="48" t="str">
        <f ca="1">CONCATENATE(CALC2223!AK168," ",CALC2223!AM168," ",CALC2223!AO168)</f>
        <v xml:space="preserve">  </v>
      </c>
      <c r="K169" s="48" t="str">
        <f ca="1">CONCATENATE(CALC2223!AQ168," ",CALC2223!AS168," ",CALC2223!AU168," ",CALC2223!AW168)</f>
        <v xml:space="preserve">voorjaarsvakantie   </v>
      </c>
      <c r="L169" s="49" t="str">
        <f t="shared" ca="1" si="0"/>
        <v>verleden</v>
      </c>
      <c r="M169" s="1"/>
      <c r="N169" s="4" t="b">
        <f ca="1">OR(VALUE(CALC2223!B168)&gt;VALUE(LASTV),VALUE(CALC2223!D168)&gt;VALUE(LASTV),VALUE(CALC2223!F168)&gt;VALUE(LASTV))</f>
        <v>0</v>
      </c>
      <c r="O169" s="4" t="b">
        <f ca="1">OR(VALUE(CALC2223!H168)&gt;VALUE(LASTV),VALUE(CALC2223!J168)&gt;VALUE(LASTV),VALUE(CALC2223!L168)&gt;VALUE(LASTV))</f>
        <v>0</v>
      </c>
      <c r="P169" s="4" t="b">
        <f ca="1">OR(VALUE(CALC2223!N168)&gt;VALUE(LASTV),VALUE(CALC2223!P168)&gt;VALUE(LASTV),VALUE(CALC2223!R168)&gt;VALUE(LASTV))</f>
        <v>0</v>
      </c>
      <c r="Q169" s="4" t="b">
        <f ca="1">OR(VALUE(CALC2223!T168)&gt;VALUE(LASTV),VALUE(CALC2223!V168)&gt;VALUE(LASTV),VALUE(CALC2223!X168)&gt;VALUE(LASTV))</f>
        <v>0</v>
      </c>
      <c r="R169" s="4" t="b">
        <f ca="1">OR(VALUE(CALC2223!Z168)&gt;VALUE(LASTV),VALUE(CALC2223!AB168)&gt;VALUE(LASTV),VALUE(CALC2223!AD168)&gt;VALUE(LASTV))</f>
        <v>0</v>
      </c>
      <c r="S169" s="4" t="b">
        <f ca="1">OR(VALUE(CALC2223!AF168)&gt;VALUE(LASTV),VALUE(CALC2223!AH168)&gt;VALUE(LASTV),VALUE(CALC2223!AJ168)&gt;VALUE(LASTV))</f>
        <v>0</v>
      </c>
      <c r="T169" s="4" t="b">
        <f ca="1">OR(VALUE(CALC2223!AL168)&gt;VALUE(LASTV),VALUE(CALC2223!AN168)&gt;VALUE(LASTV),VALUE(CALC2223!AP168)&gt;VALUE(LASTV))</f>
        <v>0</v>
      </c>
      <c r="U169" s="4" t="b">
        <f ca="1">OR(VALUE(CALC2223!AR168)&gt;VALUE(LASTV),VALUE(CALC2223!AT168)&gt;VALUE(LASTV),VALUE(CALC2223!AV168)&gt;VALUE(LASTV))</f>
        <v>0</v>
      </c>
      <c r="V169" s="1"/>
    </row>
    <row r="170" spans="1:22" ht="35.25" hidden="1" customHeight="1">
      <c r="A170" s="45"/>
      <c r="B170" s="46" t="s">
        <v>24</v>
      </c>
      <c r="C170" s="47">
        <v>46068</v>
      </c>
      <c r="D170" s="48" t="str">
        <f ca="1">CONCATENATE(CALC2223!A169," ",CALC2223!C169," ",CALC2223!E169)</f>
        <v xml:space="preserve">  </v>
      </c>
      <c r="E170" s="48" t="str">
        <f ca="1">CONCATENATE(CALC2223!G169," ",CALC2223!I169," ",CALC2223!K169)</f>
        <v xml:space="preserve">  </v>
      </c>
      <c r="F170" s="48" t="str">
        <f ca="1">CONCATENATE(CALC2223!M169," ",CALC2223!O169," ",CALC2223!Q169)</f>
        <v xml:space="preserve">  </v>
      </c>
      <c r="G170" s="48" t="str">
        <f ca="1">CONCATENATE(CALC2223!S169," ",CALC2223!U169," ",CALC2223!W169)</f>
        <v xml:space="preserve">  </v>
      </c>
      <c r="H170" s="48" t="str">
        <f ca="1">CONCATENATE(CALC2223!Y169," ",CALC2223!AA169," ",CALC2223!AC169)</f>
        <v xml:space="preserve">  </v>
      </c>
      <c r="I170" s="48" t="str">
        <f ca="1">CONCATENATE(CALC2223!AE169," ",CALC2223!AG169," ",CALC2223!AI169)</f>
        <v xml:space="preserve">  </v>
      </c>
      <c r="J170" s="48" t="str">
        <f ca="1">CONCATENATE(CALC2223!AK169," ",CALC2223!AM169," ",CALC2223!AO169)</f>
        <v xml:space="preserve">  </v>
      </c>
      <c r="K170" s="48" t="str">
        <f ca="1">CONCATENATE(CALC2223!AQ169," ",CALC2223!AS169," ",CALC2223!AU169," ",CALC2223!AW169)</f>
        <v xml:space="preserve">   </v>
      </c>
      <c r="L170" s="49" t="str">
        <f t="shared" ca="1" si="0"/>
        <v>verleden</v>
      </c>
      <c r="M170" s="1"/>
      <c r="N170" s="4" t="b">
        <f ca="1">OR(VALUE(CALC2223!B169)&gt;VALUE(LASTV),VALUE(CALC2223!D169)&gt;VALUE(LASTV),VALUE(CALC2223!F169)&gt;VALUE(LASTV))</f>
        <v>0</v>
      </c>
      <c r="O170" s="4" t="b">
        <f ca="1">OR(VALUE(CALC2223!H169)&gt;VALUE(LASTV),VALUE(CALC2223!J169)&gt;VALUE(LASTV),VALUE(CALC2223!L169)&gt;VALUE(LASTV))</f>
        <v>0</v>
      </c>
      <c r="P170" s="4" t="b">
        <f ca="1">OR(VALUE(CALC2223!N169)&gt;VALUE(LASTV),VALUE(CALC2223!P169)&gt;VALUE(LASTV),VALUE(CALC2223!R169)&gt;VALUE(LASTV))</f>
        <v>0</v>
      </c>
      <c r="Q170" s="4" t="b">
        <f ca="1">OR(VALUE(CALC2223!T169)&gt;VALUE(LASTV),VALUE(CALC2223!V169)&gt;VALUE(LASTV),VALUE(CALC2223!X169)&gt;VALUE(LASTV))</f>
        <v>0</v>
      </c>
      <c r="R170" s="4" t="b">
        <f ca="1">OR(VALUE(CALC2223!Z169)&gt;VALUE(LASTV),VALUE(CALC2223!AB169)&gt;VALUE(LASTV),VALUE(CALC2223!AD169)&gt;VALUE(LASTV))</f>
        <v>0</v>
      </c>
      <c r="S170" s="4" t="b">
        <f ca="1">OR(VALUE(CALC2223!AF169)&gt;VALUE(LASTV),VALUE(CALC2223!AH169)&gt;VALUE(LASTV),VALUE(CALC2223!AJ169)&gt;VALUE(LASTV))</f>
        <v>0</v>
      </c>
      <c r="T170" s="4" t="b">
        <f ca="1">OR(VALUE(CALC2223!AL169)&gt;VALUE(LASTV),VALUE(CALC2223!AN169)&gt;VALUE(LASTV),VALUE(CALC2223!AP169)&gt;VALUE(LASTV))</f>
        <v>0</v>
      </c>
      <c r="U170" s="4" t="b">
        <f ca="1">OR(VALUE(CALC2223!AR169)&gt;VALUE(LASTV),VALUE(CALC2223!AT169)&gt;VALUE(LASTV),VALUE(CALC2223!AV169)&gt;VALUE(LASTV))</f>
        <v>0</v>
      </c>
      <c r="V170" s="1"/>
    </row>
    <row r="171" spans="1:22" ht="35.25" hidden="1" customHeight="1">
      <c r="A171" s="69">
        <v>8</v>
      </c>
      <c r="B171" s="70" t="s">
        <v>18</v>
      </c>
      <c r="C171" s="71">
        <v>46069</v>
      </c>
      <c r="D171" s="72" t="str">
        <f ca="1">CONCATENATE(CALC2223!A170," ",CALC2223!C170," ",CALC2223!E170)</f>
        <v xml:space="preserve">  </v>
      </c>
      <c r="E171" s="72" t="str">
        <f ca="1">CONCATENATE(CALC2223!G170," ",CALC2223!I170," ",CALC2223!K170)</f>
        <v xml:space="preserve">  </v>
      </c>
      <c r="F171" s="72" t="str">
        <f ca="1">CONCATENATE(CALC2223!M170," ",CALC2223!O170," ",CALC2223!Q170)</f>
        <v xml:space="preserve">  </v>
      </c>
      <c r="G171" s="72" t="str">
        <f ca="1">CONCATENATE(CALC2223!S170," ",CALC2223!U170," ",CALC2223!W170)</f>
        <v xml:space="preserve">  </v>
      </c>
      <c r="H171" s="72" t="str">
        <f ca="1">CONCATENATE(CALC2223!Y170," ",CALC2223!AA170," ",CALC2223!AC170)</f>
        <v xml:space="preserve">  </v>
      </c>
      <c r="I171" s="72" t="str">
        <f ca="1">CONCATENATE(CALC2223!AE170," ",CALC2223!AG170," ",CALC2223!AI170)</f>
        <v xml:space="preserve">  </v>
      </c>
      <c r="J171" s="72" t="str">
        <f ca="1">CONCATENATE(CALC2223!AK170," ",CALC2223!AM170," ",CALC2223!AO170)</f>
        <v xml:space="preserve">  </v>
      </c>
      <c r="K171" s="72" t="str">
        <f ca="1">CONCATENATE(CALC2223!AQ170," ",CALC2223!AS170," ",CALC2223!AU170," ",CALC2223!AW170)</f>
        <v xml:space="preserve">   voorjaarsvakantie</v>
      </c>
      <c r="L171" s="73" t="str">
        <f t="shared" ca="1" si="0"/>
        <v>verleden</v>
      </c>
      <c r="M171" s="1"/>
      <c r="N171" s="4" t="b">
        <f ca="1">OR(VALUE(CALC2223!B170)&gt;VALUE(LASTV),VALUE(CALC2223!D170)&gt;VALUE(LASTV),VALUE(CALC2223!F170)&gt;VALUE(LASTV))</f>
        <v>0</v>
      </c>
      <c r="O171" s="4" t="b">
        <f ca="1">OR(VALUE(CALC2223!H170)&gt;VALUE(LASTV),VALUE(CALC2223!J170)&gt;VALUE(LASTV),VALUE(CALC2223!L170)&gt;VALUE(LASTV))</f>
        <v>0</v>
      </c>
      <c r="P171" s="4" t="b">
        <f ca="1">OR(VALUE(CALC2223!N170)&gt;VALUE(LASTV),VALUE(CALC2223!P170)&gt;VALUE(LASTV),VALUE(CALC2223!R170)&gt;VALUE(LASTV))</f>
        <v>0</v>
      </c>
      <c r="Q171" s="4" t="b">
        <f ca="1">OR(VALUE(CALC2223!T170)&gt;VALUE(LASTV),VALUE(CALC2223!V170)&gt;VALUE(LASTV),VALUE(CALC2223!X170)&gt;VALUE(LASTV))</f>
        <v>0</v>
      </c>
      <c r="R171" s="4" t="b">
        <f ca="1">OR(VALUE(CALC2223!Z170)&gt;VALUE(LASTV),VALUE(CALC2223!AB170)&gt;VALUE(LASTV),VALUE(CALC2223!AD170)&gt;VALUE(LASTV))</f>
        <v>0</v>
      </c>
      <c r="S171" s="4" t="b">
        <f ca="1">OR(VALUE(CALC2223!AF170)&gt;VALUE(LASTV),VALUE(CALC2223!AH170)&gt;VALUE(LASTV),VALUE(CALC2223!AJ170)&gt;VALUE(LASTV))</f>
        <v>0</v>
      </c>
      <c r="T171" s="4" t="b">
        <f ca="1">OR(VALUE(CALC2223!AL170)&gt;VALUE(LASTV),VALUE(CALC2223!AN170)&gt;VALUE(LASTV),VALUE(CALC2223!AP170)&gt;VALUE(LASTV))</f>
        <v>0</v>
      </c>
      <c r="U171" s="4" t="b">
        <f ca="1">OR(VALUE(CALC2223!AR170)&gt;VALUE(LASTV),VALUE(CALC2223!AT170)&gt;VALUE(LASTV),VALUE(CALC2223!AV170)&gt;VALUE(LASTV))</f>
        <v>0</v>
      </c>
      <c r="V171" s="1"/>
    </row>
    <row r="172" spans="1:22" ht="35.25" hidden="1" customHeight="1">
      <c r="A172" s="74"/>
      <c r="B172" s="70" t="s">
        <v>19</v>
      </c>
      <c r="C172" s="71">
        <v>46070</v>
      </c>
      <c r="D172" s="72" t="str">
        <f ca="1">CONCATENATE(CALC2223!A171," ",CALC2223!C171," ",CALC2223!E171)</f>
        <v xml:space="preserve">  </v>
      </c>
      <c r="E172" s="72" t="str">
        <f ca="1">CONCATENATE(CALC2223!G171," ",CALC2223!I171," ",CALC2223!K171)</f>
        <v xml:space="preserve">  </v>
      </c>
      <c r="F172" s="72" t="str">
        <f ca="1">CONCATENATE(CALC2223!M171," ",CALC2223!O171," ",CALC2223!Q171)</f>
        <v xml:space="preserve">  </v>
      </c>
      <c r="G172" s="72" t="str">
        <f ca="1">CONCATENATE(CALC2223!S171," ",CALC2223!U171," ",CALC2223!W171)</f>
        <v xml:space="preserve">  </v>
      </c>
      <c r="H172" s="72" t="str">
        <f ca="1">CONCATENATE(CALC2223!Y171," ",CALC2223!AA171," ",CALC2223!AC171)</f>
        <v xml:space="preserve">  </v>
      </c>
      <c r="I172" s="72" t="str">
        <f ca="1">CONCATENATE(CALC2223!AE171," ",CALC2223!AG171," ",CALC2223!AI171)</f>
        <v xml:space="preserve">  </v>
      </c>
      <c r="J172" s="72" t="str">
        <f ca="1">CONCATENATE(CALC2223!AK171," ",CALC2223!AM171," ",CALC2223!AO171)</f>
        <v xml:space="preserve">  </v>
      </c>
      <c r="K172" s="72" t="str">
        <f ca="1">CONCATENATE(CALC2223!AQ171," ",CALC2223!AS171," ",CALC2223!AU171," ",CALC2223!AW171)</f>
        <v xml:space="preserve">   </v>
      </c>
      <c r="L172" s="73" t="str">
        <f t="shared" ca="1" si="0"/>
        <v>verleden</v>
      </c>
      <c r="M172" s="1"/>
      <c r="N172" s="4" t="b">
        <f ca="1">OR(VALUE(CALC2223!B171)&gt;VALUE(LASTV),VALUE(CALC2223!D171)&gt;VALUE(LASTV),VALUE(CALC2223!F171)&gt;VALUE(LASTV))</f>
        <v>0</v>
      </c>
      <c r="O172" s="4" t="b">
        <f ca="1">OR(VALUE(CALC2223!H171)&gt;VALUE(LASTV),VALUE(CALC2223!J171)&gt;VALUE(LASTV),VALUE(CALC2223!L171)&gt;VALUE(LASTV))</f>
        <v>0</v>
      </c>
      <c r="P172" s="4" t="b">
        <f ca="1">OR(VALUE(CALC2223!N171)&gt;VALUE(LASTV),VALUE(CALC2223!P171)&gt;VALUE(LASTV),VALUE(CALC2223!R171)&gt;VALUE(LASTV))</f>
        <v>0</v>
      </c>
      <c r="Q172" s="4" t="b">
        <f ca="1">OR(VALUE(CALC2223!T171)&gt;VALUE(LASTV),VALUE(CALC2223!V171)&gt;VALUE(LASTV),VALUE(CALC2223!X171)&gt;VALUE(LASTV))</f>
        <v>0</v>
      </c>
      <c r="R172" s="4" t="b">
        <f ca="1">OR(VALUE(CALC2223!Z171)&gt;VALUE(LASTV),VALUE(CALC2223!AB171)&gt;VALUE(LASTV),VALUE(CALC2223!AD171)&gt;VALUE(LASTV))</f>
        <v>0</v>
      </c>
      <c r="S172" s="4" t="b">
        <f ca="1">OR(VALUE(CALC2223!AF171)&gt;VALUE(LASTV),VALUE(CALC2223!AH171)&gt;VALUE(LASTV),VALUE(CALC2223!AJ171)&gt;VALUE(LASTV))</f>
        <v>0</v>
      </c>
      <c r="T172" s="4" t="b">
        <f ca="1">OR(VALUE(CALC2223!AL171)&gt;VALUE(LASTV),VALUE(CALC2223!AN171)&gt;VALUE(LASTV),VALUE(CALC2223!AP171)&gt;VALUE(LASTV))</f>
        <v>0</v>
      </c>
      <c r="U172" s="4" t="b">
        <f ca="1">OR(VALUE(CALC2223!AR171)&gt;VALUE(LASTV),VALUE(CALC2223!AT171)&gt;VALUE(LASTV),VALUE(CALC2223!AV171)&gt;VALUE(LASTV))</f>
        <v>0</v>
      </c>
      <c r="V172" s="1"/>
    </row>
    <row r="173" spans="1:22" ht="35.25" hidden="1" customHeight="1">
      <c r="A173" s="74"/>
      <c r="B173" s="70" t="s">
        <v>20</v>
      </c>
      <c r="C173" s="71">
        <v>46071</v>
      </c>
      <c r="D173" s="72" t="str">
        <f ca="1">CONCATENATE(CALC2223!A172," ",CALC2223!C172," ",CALC2223!E172)</f>
        <v xml:space="preserve">  </v>
      </c>
      <c r="E173" s="72" t="str">
        <f ca="1">CONCATENATE(CALC2223!G172," ",CALC2223!I172," ",CALC2223!K172)</f>
        <v xml:space="preserve">  </v>
      </c>
      <c r="F173" s="72" t="str">
        <f ca="1">CONCATENATE(CALC2223!M172," ",CALC2223!O172," ",CALC2223!Q172)</f>
        <v xml:space="preserve">  </v>
      </c>
      <c r="G173" s="72" t="str">
        <f ca="1">CONCATENATE(CALC2223!S172," ",CALC2223!U172," ",CALC2223!W172)</f>
        <v xml:space="preserve">  </v>
      </c>
      <c r="H173" s="72" t="str">
        <f ca="1">CONCATENATE(CALC2223!Y172," ",CALC2223!AA172," ",CALC2223!AC172)</f>
        <v xml:space="preserve">  </v>
      </c>
      <c r="I173" s="72" t="str">
        <f ca="1">CONCATENATE(CALC2223!AE172," ",CALC2223!AG172," ",CALC2223!AI172)</f>
        <v xml:space="preserve">  </v>
      </c>
      <c r="J173" s="72" t="str">
        <f ca="1">CONCATENATE(CALC2223!AK172," ",CALC2223!AM172," ",CALC2223!AO172)</f>
        <v xml:space="preserve">  </v>
      </c>
      <c r="K173" s="72" t="str">
        <f ca="1">CONCATENATE(CALC2223!AQ172," ",CALC2223!AS172," ",CALC2223!AU172," ",CALC2223!AW172)</f>
        <v xml:space="preserve">start Ramadan   </v>
      </c>
      <c r="L173" s="73" t="str">
        <f t="shared" ca="1" si="0"/>
        <v>verleden</v>
      </c>
      <c r="M173" s="1"/>
      <c r="N173" s="4" t="b">
        <f ca="1">OR(VALUE(CALC2223!B172)&gt;VALUE(LASTV),VALUE(CALC2223!D172)&gt;VALUE(LASTV),VALUE(CALC2223!F172)&gt;VALUE(LASTV))</f>
        <v>0</v>
      </c>
      <c r="O173" s="4" t="b">
        <f ca="1">OR(VALUE(CALC2223!H172)&gt;VALUE(LASTV),VALUE(CALC2223!J172)&gt;VALUE(LASTV),VALUE(CALC2223!L172)&gt;VALUE(LASTV))</f>
        <v>0</v>
      </c>
      <c r="P173" s="4" t="b">
        <f ca="1">OR(VALUE(CALC2223!N172)&gt;VALUE(LASTV),VALUE(CALC2223!P172)&gt;VALUE(LASTV),VALUE(CALC2223!R172)&gt;VALUE(LASTV))</f>
        <v>0</v>
      </c>
      <c r="Q173" s="4" t="b">
        <f ca="1">OR(VALUE(CALC2223!T172)&gt;VALUE(LASTV),VALUE(CALC2223!V172)&gt;VALUE(LASTV),VALUE(CALC2223!X172)&gt;VALUE(LASTV))</f>
        <v>0</v>
      </c>
      <c r="R173" s="4" t="b">
        <f ca="1">OR(VALUE(CALC2223!Z172)&gt;VALUE(LASTV),VALUE(CALC2223!AB172)&gt;VALUE(LASTV),VALUE(CALC2223!AD172)&gt;VALUE(LASTV))</f>
        <v>0</v>
      </c>
      <c r="S173" s="4" t="b">
        <f ca="1">OR(VALUE(CALC2223!AF172)&gt;VALUE(LASTV),VALUE(CALC2223!AH172)&gt;VALUE(LASTV),VALUE(CALC2223!AJ172)&gt;VALUE(LASTV))</f>
        <v>0</v>
      </c>
      <c r="T173" s="4" t="b">
        <f ca="1">OR(VALUE(CALC2223!AL172)&gt;VALUE(LASTV),VALUE(CALC2223!AN172)&gt;VALUE(LASTV),VALUE(CALC2223!AP172)&gt;VALUE(LASTV))</f>
        <v>0</v>
      </c>
      <c r="U173" s="4" t="b">
        <f ca="1">OR(VALUE(CALC2223!AR172)&gt;VALUE(LASTV),VALUE(CALC2223!AT172)&gt;VALUE(LASTV),VALUE(CALC2223!AV172)&gt;VALUE(LASTV))</f>
        <v>0</v>
      </c>
      <c r="V173" s="1"/>
    </row>
    <row r="174" spans="1:22" ht="35.25" hidden="1" customHeight="1">
      <c r="A174" s="74"/>
      <c r="B174" s="70" t="s">
        <v>21</v>
      </c>
      <c r="C174" s="71">
        <v>46072</v>
      </c>
      <c r="D174" s="72" t="str">
        <f ca="1">CONCATENATE(CALC2223!A173," ",CALC2223!C173," ",CALC2223!E173)</f>
        <v xml:space="preserve">  </v>
      </c>
      <c r="E174" s="72" t="str">
        <f ca="1">CONCATENATE(CALC2223!G173," ",CALC2223!I173," ",CALC2223!K173)</f>
        <v xml:space="preserve">  </v>
      </c>
      <c r="F174" s="72" t="str">
        <f ca="1">CONCATENATE(CALC2223!M173," ",CALC2223!O173," ",CALC2223!Q173)</f>
        <v xml:space="preserve">  </v>
      </c>
      <c r="G174" s="72" t="str">
        <f ca="1">CONCATENATE(CALC2223!S173," ",CALC2223!U173," ",CALC2223!W173)</f>
        <v xml:space="preserve">  </v>
      </c>
      <c r="H174" s="72" t="str">
        <f ca="1">CONCATENATE(CALC2223!Y173," ",CALC2223!AA173," ",CALC2223!AC173)</f>
        <v xml:space="preserve">  </v>
      </c>
      <c r="I174" s="72" t="str">
        <f ca="1">CONCATENATE(CALC2223!AE173," ",CALC2223!AG173," ",CALC2223!AI173)</f>
        <v xml:space="preserve">  </v>
      </c>
      <c r="J174" s="72" t="str">
        <f ca="1">CONCATENATE(CALC2223!AK173," ",CALC2223!AM173," ",CALC2223!AO173)</f>
        <v xml:space="preserve">  </v>
      </c>
      <c r="K174" s="72" t="str">
        <f ca="1">CONCATENATE(CALC2223!AQ173," ",CALC2223!AS173," ",CALC2223!AU173," ",CALC2223!AW173)</f>
        <v xml:space="preserve">   </v>
      </c>
      <c r="L174" s="73" t="str">
        <f t="shared" ca="1" si="0"/>
        <v>verleden</v>
      </c>
      <c r="M174" s="1"/>
      <c r="N174" s="4" t="b">
        <f ca="1">OR(VALUE(CALC2223!B173)&gt;VALUE(LASTV),VALUE(CALC2223!D173)&gt;VALUE(LASTV),VALUE(CALC2223!F173)&gt;VALUE(LASTV))</f>
        <v>0</v>
      </c>
      <c r="O174" s="4" t="b">
        <f ca="1">OR(VALUE(CALC2223!H173)&gt;VALUE(LASTV),VALUE(CALC2223!J173)&gt;VALUE(LASTV),VALUE(CALC2223!L173)&gt;VALUE(LASTV))</f>
        <v>0</v>
      </c>
      <c r="P174" s="4" t="b">
        <f ca="1">OR(VALUE(CALC2223!N173)&gt;VALUE(LASTV),VALUE(CALC2223!P173)&gt;VALUE(LASTV),VALUE(CALC2223!R173)&gt;VALUE(LASTV))</f>
        <v>0</v>
      </c>
      <c r="Q174" s="4" t="b">
        <f ca="1">OR(VALUE(CALC2223!T173)&gt;VALUE(LASTV),VALUE(CALC2223!V173)&gt;VALUE(LASTV),VALUE(CALC2223!X173)&gt;VALUE(LASTV))</f>
        <v>0</v>
      </c>
      <c r="R174" s="4" t="b">
        <f ca="1">OR(VALUE(CALC2223!Z173)&gt;VALUE(LASTV),VALUE(CALC2223!AB173)&gt;VALUE(LASTV),VALUE(CALC2223!AD173)&gt;VALUE(LASTV))</f>
        <v>0</v>
      </c>
      <c r="S174" s="4" t="b">
        <f ca="1">OR(VALUE(CALC2223!AF173)&gt;VALUE(LASTV),VALUE(CALC2223!AH173)&gt;VALUE(LASTV),VALUE(CALC2223!AJ173)&gt;VALUE(LASTV))</f>
        <v>0</v>
      </c>
      <c r="T174" s="4" t="b">
        <f ca="1">OR(VALUE(CALC2223!AL173)&gt;VALUE(LASTV),VALUE(CALC2223!AN173)&gt;VALUE(LASTV),VALUE(CALC2223!AP173)&gt;VALUE(LASTV))</f>
        <v>0</v>
      </c>
      <c r="U174" s="4" t="b">
        <f ca="1">OR(VALUE(CALC2223!AR173)&gt;VALUE(LASTV),VALUE(CALC2223!AT173)&gt;VALUE(LASTV),VALUE(CALC2223!AV173)&gt;VALUE(LASTV))</f>
        <v>0</v>
      </c>
      <c r="V174" s="1"/>
    </row>
    <row r="175" spans="1:22" ht="35.25" hidden="1" customHeight="1">
      <c r="A175" s="74"/>
      <c r="B175" s="70" t="s">
        <v>22</v>
      </c>
      <c r="C175" s="71">
        <v>46073</v>
      </c>
      <c r="D175" s="72" t="str">
        <f ca="1">CONCATENATE(CALC2223!A174," ",CALC2223!C174," ",CALC2223!E174)</f>
        <v xml:space="preserve">  </v>
      </c>
      <c r="E175" s="72" t="str">
        <f ca="1">CONCATENATE(CALC2223!G174," ",CALC2223!I174," ",CALC2223!K174)</f>
        <v xml:space="preserve">  </v>
      </c>
      <c r="F175" s="72" t="str">
        <f ca="1">CONCATENATE(CALC2223!M174," ",CALC2223!O174," ",CALC2223!Q174)</f>
        <v xml:space="preserve">  </v>
      </c>
      <c r="G175" s="72" t="str">
        <f ca="1">CONCATENATE(CALC2223!S174," ",CALC2223!U174," ",CALC2223!W174)</f>
        <v xml:space="preserve">  </v>
      </c>
      <c r="H175" s="72" t="str">
        <f ca="1">CONCATENATE(CALC2223!Y174," ",CALC2223!AA174," ",CALC2223!AC174)</f>
        <v xml:space="preserve">  </v>
      </c>
      <c r="I175" s="72" t="str">
        <f ca="1">CONCATENATE(CALC2223!AE174," ",CALC2223!AG174," ",CALC2223!AI174)</f>
        <v xml:space="preserve">  </v>
      </c>
      <c r="J175" s="72" t="str">
        <f ca="1">CONCATENATE(CALC2223!AK174," ",CALC2223!AM174," ",CALC2223!AO174)</f>
        <v xml:space="preserve">  </v>
      </c>
      <c r="K175" s="72" t="str">
        <f ca="1">CONCATENATE(CALC2223!AQ174," ",CALC2223!AS174," ",CALC2223!AU174," ",CALC2223!AW174)</f>
        <v xml:space="preserve">   </v>
      </c>
      <c r="L175" s="73" t="str">
        <f t="shared" ca="1" si="0"/>
        <v>verleden</v>
      </c>
      <c r="M175" s="1"/>
      <c r="N175" s="4" t="b">
        <f ca="1">OR(VALUE(CALC2223!B174)&gt;VALUE(LASTV),VALUE(CALC2223!D174)&gt;VALUE(LASTV),VALUE(CALC2223!F174)&gt;VALUE(LASTV))</f>
        <v>0</v>
      </c>
      <c r="O175" s="4" t="b">
        <f ca="1">OR(VALUE(CALC2223!H174)&gt;VALUE(LASTV),VALUE(CALC2223!J174)&gt;VALUE(LASTV),VALUE(CALC2223!L174)&gt;VALUE(LASTV))</f>
        <v>0</v>
      </c>
      <c r="P175" s="4" t="b">
        <f ca="1">OR(VALUE(CALC2223!N174)&gt;VALUE(LASTV),VALUE(CALC2223!P174)&gt;VALUE(LASTV),VALUE(CALC2223!R174)&gt;VALUE(LASTV))</f>
        <v>0</v>
      </c>
      <c r="Q175" s="4" t="b">
        <f ca="1">OR(VALUE(CALC2223!T174)&gt;VALUE(LASTV),VALUE(CALC2223!V174)&gt;VALUE(LASTV),VALUE(CALC2223!X174)&gt;VALUE(LASTV))</f>
        <v>0</v>
      </c>
      <c r="R175" s="4" t="b">
        <f ca="1">OR(VALUE(CALC2223!Z174)&gt;VALUE(LASTV),VALUE(CALC2223!AB174)&gt;VALUE(LASTV),VALUE(CALC2223!AD174)&gt;VALUE(LASTV))</f>
        <v>0</v>
      </c>
      <c r="S175" s="4" t="b">
        <f ca="1">OR(VALUE(CALC2223!AF174)&gt;VALUE(LASTV),VALUE(CALC2223!AH174)&gt;VALUE(LASTV),VALUE(CALC2223!AJ174)&gt;VALUE(LASTV))</f>
        <v>0</v>
      </c>
      <c r="T175" s="4" t="b">
        <f ca="1">OR(VALUE(CALC2223!AL174)&gt;VALUE(LASTV),VALUE(CALC2223!AN174)&gt;VALUE(LASTV),VALUE(CALC2223!AP174)&gt;VALUE(LASTV))</f>
        <v>0</v>
      </c>
      <c r="U175" s="4" t="b">
        <f ca="1">OR(VALUE(CALC2223!AR174)&gt;VALUE(LASTV),VALUE(CALC2223!AT174)&gt;VALUE(LASTV),VALUE(CALC2223!AV174)&gt;VALUE(LASTV))</f>
        <v>0</v>
      </c>
      <c r="V175" s="1"/>
    </row>
    <row r="176" spans="1:22" ht="35.25" hidden="1" customHeight="1">
      <c r="A176" s="45"/>
      <c r="B176" s="46" t="s">
        <v>23</v>
      </c>
      <c r="C176" s="47">
        <v>46074</v>
      </c>
      <c r="D176" s="48" t="str">
        <f ca="1">CONCATENATE(CALC2223!A175," ",CALC2223!C175," ",CALC2223!E175)</f>
        <v xml:space="preserve">  </v>
      </c>
      <c r="E176" s="48" t="str">
        <f ca="1">CONCATENATE(CALC2223!G175," ",CALC2223!I175," ",CALC2223!K175)</f>
        <v xml:space="preserve">  </v>
      </c>
      <c r="F176" s="48" t="str">
        <f ca="1">CONCATENATE(CALC2223!M175," ",CALC2223!O175," ",CALC2223!Q175)</f>
        <v xml:space="preserve">  </v>
      </c>
      <c r="G176" s="48" t="str">
        <f ca="1">CONCATENATE(CALC2223!S175," ",CALC2223!U175," ",CALC2223!W175)</f>
        <v xml:space="preserve">  </v>
      </c>
      <c r="H176" s="48" t="str">
        <f ca="1">CONCATENATE(CALC2223!Y175," ",CALC2223!AA175," ",CALC2223!AC175)</f>
        <v xml:space="preserve">  </v>
      </c>
      <c r="I176" s="48" t="str">
        <f ca="1">CONCATENATE(CALC2223!AE175," ",CALC2223!AG175," ",CALC2223!AI175)</f>
        <v xml:space="preserve">  </v>
      </c>
      <c r="J176" s="48" t="str">
        <f ca="1">CONCATENATE(CALC2223!AK175," ",CALC2223!AM175," ",CALC2223!AO175)</f>
        <v xml:space="preserve">  </v>
      </c>
      <c r="K176" s="48" t="str">
        <f ca="1">CONCATENATE(CALC2223!AQ175," ",CALC2223!AS175," ",CALC2223!AU175," ",CALC2223!AW175)</f>
        <v xml:space="preserve">   </v>
      </c>
      <c r="L176" s="49" t="str">
        <f t="shared" ca="1" si="0"/>
        <v>verleden</v>
      </c>
      <c r="M176" s="1"/>
      <c r="N176" s="4" t="b">
        <f ca="1">OR(VALUE(CALC2223!B175)&gt;VALUE(LASTV),VALUE(CALC2223!D175)&gt;VALUE(LASTV),VALUE(CALC2223!F175)&gt;VALUE(LASTV))</f>
        <v>0</v>
      </c>
      <c r="O176" s="4" t="b">
        <f ca="1">OR(VALUE(CALC2223!H175)&gt;VALUE(LASTV),VALUE(CALC2223!J175)&gt;VALUE(LASTV),VALUE(CALC2223!L175)&gt;VALUE(LASTV))</f>
        <v>0</v>
      </c>
      <c r="P176" s="4" t="b">
        <f ca="1">OR(VALUE(CALC2223!N175)&gt;VALUE(LASTV),VALUE(CALC2223!P175)&gt;VALUE(LASTV),VALUE(CALC2223!R175)&gt;VALUE(LASTV))</f>
        <v>0</v>
      </c>
      <c r="Q176" s="4" t="b">
        <f ca="1">OR(VALUE(CALC2223!T175)&gt;VALUE(LASTV),VALUE(CALC2223!V175)&gt;VALUE(LASTV),VALUE(CALC2223!X175)&gt;VALUE(LASTV))</f>
        <v>0</v>
      </c>
      <c r="R176" s="4" t="b">
        <f ca="1">OR(VALUE(CALC2223!Z175)&gt;VALUE(LASTV),VALUE(CALC2223!AB175)&gt;VALUE(LASTV),VALUE(CALC2223!AD175)&gt;VALUE(LASTV))</f>
        <v>0</v>
      </c>
      <c r="S176" s="4" t="b">
        <f ca="1">OR(VALUE(CALC2223!AF175)&gt;VALUE(LASTV),VALUE(CALC2223!AH175)&gt;VALUE(LASTV),VALUE(CALC2223!AJ175)&gt;VALUE(LASTV))</f>
        <v>0</v>
      </c>
      <c r="T176" s="4" t="b">
        <f ca="1">OR(VALUE(CALC2223!AL175)&gt;VALUE(LASTV),VALUE(CALC2223!AN175)&gt;VALUE(LASTV),VALUE(CALC2223!AP175)&gt;VALUE(LASTV))</f>
        <v>0</v>
      </c>
      <c r="U176" s="4" t="b">
        <f ca="1">OR(VALUE(CALC2223!AR175)&gt;VALUE(LASTV),VALUE(CALC2223!AT175)&gt;VALUE(LASTV),VALUE(CALC2223!AV175)&gt;VALUE(LASTV))</f>
        <v>0</v>
      </c>
      <c r="V176" s="1"/>
    </row>
    <row r="177" spans="1:22" ht="35.25" hidden="1" customHeight="1">
      <c r="A177" s="45"/>
      <c r="B177" s="46" t="s">
        <v>24</v>
      </c>
      <c r="C177" s="47">
        <v>46075</v>
      </c>
      <c r="D177" s="48" t="str">
        <f ca="1">CONCATENATE(CALC2223!A176," ",CALC2223!C176," ",CALC2223!E176)</f>
        <v xml:space="preserve">  </v>
      </c>
      <c r="E177" s="48" t="str">
        <f ca="1">CONCATENATE(CALC2223!G176," ",CALC2223!I176," ",CALC2223!K176)</f>
        <v xml:space="preserve">  </v>
      </c>
      <c r="F177" s="48" t="str">
        <f ca="1">CONCATENATE(CALC2223!M176," ",CALC2223!O176," ",CALC2223!Q176)</f>
        <v xml:space="preserve">  </v>
      </c>
      <c r="G177" s="48" t="str">
        <f ca="1">CONCATENATE(CALC2223!S176," ",CALC2223!U176," ",CALC2223!W176)</f>
        <v xml:space="preserve">  </v>
      </c>
      <c r="H177" s="48" t="str">
        <f ca="1">CONCATENATE(CALC2223!Y176," ",CALC2223!AA176," ",CALC2223!AC176)</f>
        <v xml:space="preserve">  </v>
      </c>
      <c r="I177" s="48" t="str">
        <f ca="1">CONCATENATE(CALC2223!AE176," ",CALC2223!AG176," ",CALC2223!AI176)</f>
        <v xml:space="preserve">  </v>
      </c>
      <c r="J177" s="48" t="str">
        <f ca="1">CONCATENATE(CALC2223!AK176," ",CALC2223!AM176," ",CALC2223!AO176)</f>
        <v xml:space="preserve">  </v>
      </c>
      <c r="K177" s="48" t="str">
        <f ca="1">CONCATENATE(CALC2223!AQ176," ",CALC2223!AS176," ",CALC2223!AU176," ",CALC2223!AW176)</f>
        <v xml:space="preserve">   </v>
      </c>
      <c r="L177" s="49" t="str">
        <f t="shared" ca="1" si="0"/>
        <v>verleden</v>
      </c>
      <c r="M177" s="1"/>
      <c r="N177" s="4" t="b">
        <f ca="1">OR(VALUE(CALC2223!B176)&gt;VALUE(LASTV),VALUE(CALC2223!D176)&gt;VALUE(LASTV),VALUE(CALC2223!F176)&gt;VALUE(LASTV))</f>
        <v>0</v>
      </c>
      <c r="O177" s="4" t="b">
        <f ca="1">OR(VALUE(CALC2223!H176)&gt;VALUE(LASTV),VALUE(CALC2223!J176)&gt;VALUE(LASTV),VALUE(CALC2223!L176)&gt;VALUE(LASTV))</f>
        <v>0</v>
      </c>
      <c r="P177" s="4" t="b">
        <f ca="1">OR(VALUE(CALC2223!N176)&gt;VALUE(LASTV),VALUE(CALC2223!P176)&gt;VALUE(LASTV),VALUE(CALC2223!R176)&gt;VALUE(LASTV))</f>
        <v>0</v>
      </c>
      <c r="Q177" s="4" t="b">
        <f ca="1">OR(VALUE(CALC2223!T176)&gt;VALUE(LASTV),VALUE(CALC2223!V176)&gt;VALUE(LASTV),VALUE(CALC2223!X176)&gt;VALUE(LASTV))</f>
        <v>0</v>
      </c>
      <c r="R177" s="4" t="b">
        <f ca="1">OR(VALUE(CALC2223!Z176)&gt;VALUE(LASTV),VALUE(CALC2223!AB176)&gt;VALUE(LASTV),VALUE(CALC2223!AD176)&gt;VALUE(LASTV))</f>
        <v>0</v>
      </c>
      <c r="S177" s="4" t="b">
        <f ca="1">OR(VALUE(CALC2223!AF176)&gt;VALUE(LASTV),VALUE(CALC2223!AH176)&gt;VALUE(LASTV),VALUE(CALC2223!AJ176)&gt;VALUE(LASTV))</f>
        <v>0</v>
      </c>
      <c r="T177" s="4" t="b">
        <f ca="1">OR(VALUE(CALC2223!AL176)&gt;VALUE(LASTV),VALUE(CALC2223!AN176)&gt;VALUE(LASTV),VALUE(CALC2223!AP176)&gt;VALUE(LASTV))</f>
        <v>0</v>
      </c>
      <c r="U177" s="4" t="b">
        <f ca="1">OR(VALUE(CALC2223!AR176)&gt;VALUE(LASTV),VALUE(CALC2223!AT176)&gt;VALUE(LASTV),VALUE(CALC2223!AV176)&gt;VALUE(LASTV))</f>
        <v>0</v>
      </c>
      <c r="V177" s="1"/>
    </row>
    <row r="178" spans="1:22" ht="35.25" hidden="1" customHeight="1">
      <c r="A178" s="87">
        <v>9</v>
      </c>
      <c r="B178" s="88" t="s">
        <v>18</v>
      </c>
      <c r="C178" s="89">
        <v>46076</v>
      </c>
      <c r="D178" s="90" t="str">
        <f ca="1">CONCATENATE(CALC2223!A177," ",CALC2223!C177," ",CALC2223!E177)</f>
        <v xml:space="preserve">  </v>
      </c>
      <c r="E178" s="90" t="str">
        <f ca="1">CONCATENATE(CALC2223!G177," ",CALC2223!I177," ",CALC2223!K177)</f>
        <v xml:space="preserve">loopdag lj2  </v>
      </c>
      <c r="F178" s="90" t="str">
        <f ca="1">CONCATENATE(CALC2223!M177," ",CALC2223!O177," ",CALC2223!Q177)</f>
        <v xml:space="preserve">  </v>
      </c>
      <c r="G178" s="90" t="str">
        <f ca="1">CONCATENATE(CALC2223!S177," ",CALC2223!U177," ",CALC2223!W177)</f>
        <v xml:space="preserve">  </v>
      </c>
      <c r="H178" s="90" t="str">
        <f ca="1">CONCATENATE(CALC2223!Y177," ",CALC2223!AA177," ",CALC2223!AC177)</f>
        <v xml:space="preserve">  </v>
      </c>
      <c r="I178" s="90" t="str">
        <f ca="1">CONCATENATE(CALC2223!AE177," ",CALC2223!AG177," ",CALC2223!AI177)</f>
        <v xml:space="preserve">  </v>
      </c>
      <c r="J178" s="90" t="str">
        <f ca="1">CONCATENATE(CALC2223!AK177," ",CALC2223!AM177," ",CALC2223!AO177)</f>
        <v xml:space="preserve">  </v>
      </c>
      <c r="K178" s="90" t="str">
        <f ca="1">CONCATENATE(CALC2223!AQ177," ",CALC2223!AS177," ",CALC2223!AU177," ",CALC2223!AW177)</f>
        <v xml:space="preserve">medewerkersdag Willibrord   </v>
      </c>
      <c r="L178" s="91" t="str">
        <f t="shared" ca="1" si="0"/>
        <v>verleden</v>
      </c>
      <c r="M178" s="1"/>
      <c r="N178" s="4" t="b">
        <f ca="1">OR(VALUE(CALC2223!B177)&gt;VALUE(LASTV),VALUE(CALC2223!D177)&gt;VALUE(LASTV),VALUE(CALC2223!F177)&gt;VALUE(LASTV))</f>
        <v>0</v>
      </c>
      <c r="O178" s="4" t="b">
        <f ca="1">OR(VALUE(CALC2223!H177)&gt;VALUE(LASTV),VALUE(CALC2223!J177)&gt;VALUE(LASTV),VALUE(CALC2223!L177)&gt;VALUE(LASTV))</f>
        <v>0</v>
      </c>
      <c r="P178" s="4" t="b">
        <f ca="1">OR(VALUE(CALC2223!N177)&gt;VALUE(LASTV),VALUE(CALC2223!P177)&gt;VALUE(LASTV),VALUE(CALC2223!R177)&gt;VALUE(LASTV))</f>
        <v>0</v>
      </c>
      <c r="Q178" s="4" t="b">
        <f ca="1">OR(VALUE(CALC2223!T177)&gt;VALUE(LASTV),VALUE(CALC2223!V177)&gt;VALUE(LASTV),VALUE(CALC2223!X177)&gt;VALUE(LASTV))</f>
        <v>0</v>
      </c>
      <c r="R178" s="4" t="b">
        <f ca="1">OR(VALUE(CALC2223!Z177)&gt;VALUE(LASTV),VALUE(CALC2223!AB177)&gt;VALUE(LASTV),VALUE(CALC2223!AD177)&gt;VALUE(LASTV))</f>
        <v>0</v>
      </c>
      <c r="S178" s="4" t="b">
        <f ca="1">OR(VALUE(CALC2223!AF177)&gt;VALUE(LASTV),VALUE(CALC2223!AH177)&gt;VALUE(LASTV),VALUE(CALC2223!AJ177)&gt;VALUE(LASTV))</f>
        <v>0</v>
      </c>
      <c r="T178" s="4" t="b">
        <f ca="1">OR(VALUE(CALC2223!AL177)&gt;VALUE(LASTV),VALUE(CALC2223!AN177)&gt;VALUE(LASTV),VALUE(CALC2223!AP177)&gt;VALUE(LASTV))</f>
        <v>0</v>
      </c>
      <c r="U178" s="4" t="b">
        <f ca="1">OR(VALUE(CALC2223!AR177)&gt;VALUE(LASTV),VALUE(CALC2223!AT177)&gt;VALUE(LASTV),VALUE(CALC2223!AV177)&gt;VALUE(LASTV))</f>
        <v>0</v>
      </c>
      <c r="V178" s="1"/>
    </row>
    <row r="179" spans="1:22" ht="35.25" hidden="1" customHeight="1">
      <c r="A179" s="59"/>
      <c r="B179" s="60" t="s">
        <v>19</v>
      </c>
      <c r="C179" s="61">
        <v>46077</v>
      </c>
      <c r="D179" s="62" t="str">
        <f ca="1">CONCATENATE(CALC2223!A178," ",CALC2223!C178," ",CALC2223!E178)</f>
        <v xml:space="preserve">ABC kunsthal  </v>
      </c>
      <c r="E179" s="62" t="str">
        <f ca="1">CONCATENATE(CALC2223!G178," ",CALC2223!I178," ",CALC2223!K178)</f>
        <v xml:space="preserve">  </v>
      </c>
      <c r="F179" s="62" t="str">
        <f ca="1">CONCATENATE(CALC2223!M178," ",CALC2223!O178," ",CALC2223!Q178)</f>
        <v xml:space="preserve">  </v>
      </c>
      <c r="G179" s="62" t="str">
        <f ca="1">CONCATENATE(CALC2223!S178," ",CALC2223!U178," ",CALC2223!W178)</f>
        <v xml:space="preserve">  </v>
      </c>
      <c r="H179" s="62" t="str">
        <f ca="1">CONCATENATE(CALC2223!Y178," ",CALC2223!AA178," ",CALC2223!AC178)</f>
        <v xml:space="preserve">projectweek kl  </v>
      </c>
      <c r="I179" s="62" t="str">
        <f ca="1">CONCATENATE(CALC2223!AE178," ",CALC2223!AG178," ",CALC2223!AI178)</f>
        <v xml:space="preserve">tsweek: DUTL, FATL +LGO  </v>
      </c>
      <c r="J179" s="62" t="str">
        <f ca="1">CONCATENATE(CALC2223!AK178," ",CALC2223!AM178," ",CALC2223!AO178)</f>
        <v xml:space="preserve">  </v>
      </c>
      <c r="K179" s="62" t="str">
        <f ca="1">CONCATENATE(CALC2223!AQ178," ",CALC2223!AS178," ",CALC2223!AU178," ",CALC2223!AW178)</f>
        <v xml:space="preserve">CGUweek2   </v>
      </c>
      <c r="L179" s="63" t="str">
        <f t="shared" ca="1" si="0"/>
        <v>verleden</v>
      </c>
      <c r="M179" s="1"/>
      <c r="N179" s="4" t="b">
        <f ca="1">OR(VALUE(CALC2223!B178)&gt;VALUE(LASTV),VALUE(CALC2223!D178)&gt;VALUE(LASTV),VALUE(CALC2223!F178)&gt;VALUE(LASTV))</f>
        <v>0</v>
      </c>
      <c r="O179" s="4" t="b">
        <f ca="1">OR(VALUE(CALC2223!H178)&gt;VALUE(LASTV),VALUE(CALC2223!J178)&gt;VALUE(LASTV),VALUE(CALC2223!L178)&gt;VALUE(LASTV))</f>
        <v>0</v>
      </c>
      <c r="P179" s="4" t="b">
        <f ca="1">OR(VALUE(CALC2223!N178)&gt;VALUE(LASTV),VALUE(CALC2223!P178)&gt;VALUE(LASTV),VALUE(CALC2223!R178)&gt;VALUE(LASTV))</f>
        <v>0</v>
      </c>
      <c r="Q179" s="4" t="b">
        <f ca="1">OR(VALUE(CALC2223!T178)&gt;VALUE(LASTV),VALUE(CALC2223!V178)&gt;VALUE(LASTV),VALUE(CALC2223!X178)&gt;VALUE(LASTV))</f>
        <v>0</v>
      </c>
      <c r="R179" s="4" t="b">
        <f ca="1">OR(VALUE(CALC2223!Z178)&gt;VALUE(LASTV),VALUE(CALC2223!AB178)&gt;VALUE(LASTV),VALUE(CALC2223!AD178)&gt;VALUE(LASTV))</f>
        <v>0</v>
      </c>
      <c r="S179" s="4" t="b">
        <f ca="1">OR(VALUE(CALC2223!AF178)&gt;VALUE(LASTV),VALUE(CALC2223!AH178)&gt;VALUE(LASTV),VALUE(CALC2223!AJ178)&gt;VALUE(LASTV))</f>
        <v>0</v>
      </c>
      <c r="T179" s="4" t="b">
        <f ca="1">OR(VALUE(CALC2223!AL178)&gt;VALUE(LASTV),VALUE(CALC2223!AN178)&gt;VALUE(LASTV),VALUE(CALC2223!AP178)&gt;VALUE(LASTV))</f>
        <v>0</v>
      </c>
      <c r="U179" s="4" t="b">
        <f ca="1">OR(VALUE(CALC2223!AR178)&gt;VALUE(LASTV),VALUE(CALC2223!AT178)&gt;VALUE(LASTV),VALUE(CALC2223!AV178)&gt;VALUE(LASTV))</f>
        <v>0</v>
      </c>
      <c r="V179" s="1"/>
    </row>
    <row r="180" spans="1:22" ht="35.25" hidden="1" customHeight="1">
      <c r="A180" s="59"/>
      <c r="B180" s="60" t="s">
        <v>20</v>
      </c>
      <c r="C180" s="61">
        <v>46078</v>
      </c>
      <c r="D180" s="62" t="str">
        <f ca="1">CONCATENATE(CALC2223!A179," ",CALC2223!C179," ",CALC2223!E179)</f>
        <v xml:space="preserve">DEFG kunsthal  </v>
      </c>
      <c r="E180" s="62" t="str">
        <f ca="1">CONCATENATE(CALC2223!G179," ",CALC2223!I179," ",CALC2223!K179)</f>
        <v xml:space="preserve">  </v>
      </c>
      <c r="F180" s="62" t="str">
        <f ca="1">CONCATENATE(CALC2223!M179," ",CALC2223!O179," ",CALC2223!Q179)</f>
        <v xml:space="preserve">  </v>
      </c>
      <c r="G180" s="62" t="str">
        <f ca="1">CONCATENATE(CALC2223!S179," ",CALC2223!U179," ",CALC2223!W179)</f>
        <v xml:space="preserve">  </v>
      </c>
      <c r="H180" s="62" t="str">
        <f ca="1">CONCATENATE(CALC2223!Y179," ",CALC2223!AA179," ",CALC2223!AC179)</f>
        <v xml:space="preserve">projectweek kl  </v>
      </c>
      <c r="I180" s="62" t="str">
        <f ca="1">CONCATENATE(CALC2223!AE179," ",CALC2223!AG179," ",CALC2223!AI179)</f>
        <v xml:space="preserve">tsweek: SPTL, WIB +LGO  </v>
      </c>
      <c r="J180" s="62" t="str">
        <f ca="1">CONCATENATE(CALC2223!AK179," ",CALC2223!AM179," ",CALC2223!AO179)</f>
        <v xml:space="preserve">  </v>
      </c>
      <c r="K180" s="62" t="str">
        <f ca="1">CONCATENATE(CALC2223!AQ179," ",CALC2223!AS179," ",CALC2223!AU179," ",CALC2223!AW179)</f>
        <v xml:space="preserve">Open Lesmiddag 13:30-16:00 uur; CGUweek2   </v>
      </c>
      <c r="L180" s="63" t="str">
        <f t="shared" ca="1" si="0"/>
        <v>verleden</v>
      </c>
      <c r="M180" s="1"/>
      <c r="N180" s="4" t="b">
        <f ca="1">OR(VALUE(CALC2223!B179)&gt;VALUE(LASTV),VALUE(CALC2223!D179)&gt;VALUE(LASTV),VALUE(CALC2223!F179)&gt;VALUE(LASTV))</f>
        <v>0</v>
      </c>
      <c r="O180" s="4" t="b">
        <f ca="1">OR(VALUE(CALC2223!H179)&gt;VALUE(LASTV),VALUE(CALC2223!J179)&gt;VALUE(LASTV),VALUE(CALC2223!L179)&gt;VALUE(LASTV))</f>
        <v>0</v>
      </c>
      <c r="P180" s="4" t="b">
        <f ca="1">OR(VALUE(CALC2223!N179)&gt;VALUE(LASTV),VALUE(CALC2223!P179)&gt;VALUE(LASTV),VALUE(CALC2223!R179)&gt;VALUE(LASTV))</f>
        <v>0</v>
      </c>
      <c r="Q180" s="4" t="b">
        <f ca="1">OR(VALUE(CALC2223!T179)&gt;VALUE(LASTV),VALUE(CALC2223!V179)&gt;VALUE(LASTV),VALUE(CALC2223!X179)&gt;VALUE(LASTV))</f>
        <v>0</v>
      </c>
      <c r="R180" s="4" t="b">
        <f ca="1">OR(VALUE(CALC2223!Z179)&gt;VALUE(LASTV),VALUE(CALC2223!AB179)&gt;VALUE(LASTV),VALUE(CALC2223!AD179)&gt;VALUE(LASTV))</f>
        <v>0</v>
      </c>
      <c r="S180" s="4" t="b">
        <f ca="1">OR(VALUE(CALC2223!AF179)&gt;VALUE(LASTV),VALUE(CALC2223!AH179)&gt;VALUE(LASTV),VALUE(CALC2223!AJ179)&gt;VALUE(LASTV))</f>
        <v>0</v>
      </c>
      <c r="T180" s="4" t="b">
        <f ca="1">OR(VALUE(CALC2223!AL179)&gt;VALUE(LASTV),VALUE(CALC2223!AN179)&gt;VALUE(LASTV),VALUE(CALC2223!AP179)&gt;VALUE(LASTV))</f>
        <v>0</v>
      </c>
      <c r="U180" s="4" t="b">
        <f ca="1">OR(VALUE(CALC2223!AR179)&gt;VALUE(LASTV),VALUE(CALC2223!AT179)&gt;VALUE(LASTV),VALUE(CALC2223!AV179)&gt;VALUE(LASTV))</f>
        <v>0</v>
      </c>
      <c r="V180" s="1"/>
    </row>
    <row r="181" spans="1:22" ht="35.25" hidden="1" customHeight="1">
      <c r="A181" s="59"/>
      <c r="B181" s="60" t="s">
        <v>21</v>
      </c>
      <c r="C181" s="61">
        <v>46079</v>
      </c>
      <c r="D181" s="62" t="str">
        <f ca="1">CONCATENATE(CALC2223!A180," ",CALC2223!C180," ",CALC2223!E180)</f>
        <v xml:space="preserve">  </v>
      </c>
      <c r="E181" s="62" t="str">
        <f ca="1">CONCATENATE(CALC2223!G180," ",CALC2223!I180," ",CALC2223!K180)</f>
        <v xml:space="preserve">  </v>
      </c>
      <c r="F181" s="62" t="str">
        <f ca="1">CONCATENATE(CALC2223!M180," ",CALC2223!O180," ",CALC2223!Q180)</f>
        <v xml:space="preserve">Rep WIS  </v>
      </c>
      <c r="G181" s="62" t="str">
        <f ca="1">CONCATENATE(CALC2223!S180," ",CALC2223!U180," ",CALC2223!W180)</f>
        <v xml:space="preserve">  </v>
      </c>
      <c r="H181" s="62" t="str">
        <f ca="1">CONCATENATE(CALC2223!Y180," ",CALC2223!AA180," ",CALC2223!AC180)</f>
        <v xml:space="preserve">projectweek kl  </v>
      </c>
      <c r="I181" s="62" t="str">
        <f ca="1">CONCATENATE(CALC2223!AE180," ",CALC2223!AG180," ",CALC2223!AI180)</f>
        <v xml:space="preserve">tsweek: PSE NA +LGO  </v>
      </c>
      <c r="J181" s="62" t="str">
        <f ca="1">CONCATENATE(CALC2223!AK180," ",CALC2223!AM180," ",CALC2223!AO180)</f>
        <v xml:space="preserve">commissies#6  </v>
      </c>
      <c r="K181" s="62" t="str">
        <f ca="1">CONCATENATE(CALC2223!AQ180," ",CALC2223!AS180," ",CALC2223!AU180," ",CALC2223!AW180)</f>
        <v xml:space="preserve">CGUweek2   </v>
      </c>
      <c r="L181" s="63" t="str">
        <f t="shared" ca="1" si="0"/>
        <v>verleden</v>
      </c>
      <c r="M181" s="1"/>
      <c r="N181" s="4" t="b">
        <f ca="1">OR(VALUE(CALC2223!B180)&gt;VALUE(LASTV),VALUE(CALC2223!D180)&gt;VALUE(LASTV),VALUE(CALC2223!F180)&gt;VALUE(LASTV))</f>
        <v>0</v>
      </c>
      <c r="O181" s="4" t="b">
        <f ca="1">OR(VALUE(CALC2223!H180)&gt;VALUE(LASTV),VALUE(CALC2223!J180)&gt;VALUE(LASTV),VALUE(CALC2223!L180)&gt;VALUE(LASTV))</f>
        <v>0</v>
      </c>
      <c r="P181" s="4" t="b">
        <f ca="1">OR(VALUE(CALC2223!N180)&gt;VALUE(LASTV),VALUE(CALC2223!P180)&gt;VALUE(LASTV),VALUE(CALC2223!R180)&gt;VALUE(LASTV))</f>
        <v>0</v>
      </c>
      <c r="Q181" s="4" t="b">
        <f ca="1">OR(VALUE(CALC2223!T180)&gt;VALUE(LASTV),VALUE(CALC2223!V180)&gt;VALUE(LASTV),VALUE(CALC2223!X180)&gt;VALUE(LASTV))</f>
        <v>0</v>
      </c>
      <c r="R181" s="4" t="b">
        <f ca="1">OR(VALUE(CALC2223!Z180)&gt;VALUE(LASTV),VALUE(CALC2223!AB180)&gt;VALUE(LASTV),VALUE(CALC2223!AD180)&gt;VALUE(LASTV))</f>
        <v>0</v>
      </c>
      <c r="S181" s="4" t="b">
        <f ca="1">OR(VALUE(CALC2223!AF180)&gt;VALUE(LASTV),VALUE(CALC2223!AH180)&gt;VALUE(LASTV),VALUE(CALC2223!AJ180)&gt;VALUE(LASTV))</f>
        <v>0</v>
      </c>
      <c r="T181" s="4" t="b">
        <f ca="1">OR(VALUE(CALC2223!AL180)&gt;VALUE(LASTV),VALUE(CALC2223!AN180)&gt;VALUE(LASTV),VALUE(CALC2223!AP180)&gt;VALUE(LASTV))</f>
        <v>0</v>
      </c>
      <c r="U181" s="4" t="b">
        <f ca="1">OR(VALUE(CALC2223!AR180)&gt;VALUE(LASTV),VALUE(CALC2223!AT180)&gt;VALUE(LASTV),VALUE(CALC2223!AV180)&gt;VALUE(LASTV))</f>
        <v>0</v>
      </c>
      <c r="V181" s="1"/>
    </row>
    <row r="182" spans="1:22" ht="35.25" hidden="1" customHeight="1">
      <c r="A182" s="59"/>
      <c r="B182" s="60" t="s">
        <v>22</v>
      </c>
      <c r="C182" s="61">
        <v>46080</v>
      </c>
      <c r="D182" s="62" t="str">
        <f ca="1">CONCATENATE(CALC2223!A181," ",CALC2223!C181," ",CALC2223!E181)</f>
        <v xml:space="preserve">  </v>
      </c>
      <c r="E182" s="62" t="str">
        <f ca="1">CONCATENATE(CALC2223!G181," ",CALC2223!I181," ",CALC2223!K181)</f>
        <v xml:space="preserve">  </v>
      </c>
      <c r="F182" s="62" t="str">
        <f ca="1">CONCATENATE(CALC2223!M181," ",CALC2223!O181," ",CALC2223!Q181)</f>
        <v xml:space="preserve">  </v>
      </c>
      <c r="G182" s="62" t="str">
        <f ca="1">CONCATENATE(CALC2223!S181," ",CALC2223!U181," ",CALC2223!W181)</f>
        <v xml:space="preserve">  </v>
      </c>
      <c r="H182" s="62" t="str">
        <f ca="1">CONCATENATE(CALC2223!Y181," ",CALC2223!AA181," ",CALC2223!AC181)</f>
        <v xml:space="preserve">projectweek kl  </v>
      </c>
      <c r="I182" s="62" t="str">
        <f ca="1">CONCATENATE(CALC2223!AE181," ",CALC2223!AG181," ",CALC2223!AI181)</f>
        <v xml:space="preserve">tsweek: ENTL +LGO ATL G6FATL bezoek schouwburg ('s avonds) </v>
      </c>
      <c r="J182" s="62" t="str">
        <f ca="1">CONCATENATE(CALC2223!AK181," ",CALC2223!AM181," ",CALC2223!AO181)</f>
        <v xml:space="preserve">  </v>
      </c>
      <c r="K182" s="62" t="str">
        <f ca="1">CONCATENATE(CALC2223!AQ181," ",CALC2223!AS181," ",CALC2223!AU181," ",CALC2223!AW181)</f>
        <v xml:space="preserve">CGUweek2   </v>
      </c>
      <c r="L182" s="63" t="str">
        <f t="shared" ca="1" si="0"/>
        <v>verleden</v>
      </c>
      <c r="M182" s="1"/>
      <c r="N182" s="4" t="b">
        <f ca="1">OR(VALUE(CALC2223!B181)&gt;VALUE(LASTV),VALUE(CALC2223!D181)&gt;VALUE(LASTV),VALUE(CALC2223!F181)&gt;VALUE(LASTV))</f>
        <v>0</v>
      </c>
      <c r="O182" s="4" t="b">
        <f ca="1">OR(VALUE(CALC2223!H181)&gt;VALUE(LASTV),VALUE(CALC2223!J181)&gt;VALUE(LASTV),VALUE(CALC2223!L181)&gt;VALUE(LASTV))</f>
        <v>0</v>
      </c>
      <c r="P182" s="4" t="b">
        <f ca="1">OR(VALUE(CALC2223!N181)&gt;VALUE(LASTV),VALUE(CALC2223!P181)&gt;VALUE(LASTV),VALUE(CALC2223!R181)&gt;VALUE(LASTV))</f>
        <v>0</v>
      </c>
      <c r="Q182" s="4" t="b">
        <f ca="1">OR(VALUE(CALC2223!T181)&gt;VALUE(LASTV),VALUE(CALC2223!V181)&gt;VALUE(LASTV),VALUE(CALC2223!X181)&gt;VALUE(LASTV))</f>
        <v>0</v>
      </c>
      <c r="R182" s="4" t="b">
        <f ca="1">OR(VALUE(CALC2223!Z181)&gt;VALUE(LASTV),VALUE(CALC2223!AB181)&gt;VALUE(LASTV),VALUE(CALC2223!AD181)&gt;VALUE(LASTV))</f>
        <v>0</v>
      </c>
      <c r="S182" s="4" t="b">
        <f ca="1">OR(VALUE(CALC2223!AF181)&gt;VALUE(LASTV),VALUE(CALC2223!AH181)&gt;VALUE(LASTV),VALUE(CALC2223!AJ181)&gt;VALUE(LASTV))</f>
        <v>0</v>
      </c>
      <c r="T182" s="4" t="b">
        <f ca="1">OR(VALUE(CALC2223!AL181)&gt;VALUE(LASTV),VALUE(CALC2223!AN181)&gt;VALUE(LASTV),VALUE(CALC2223!AP181)&gt;VALUE(LASTV))</f>
        <v>0</v>
      </c>
      <c r="U182" s="4" t="b">
        <f ca="1">OR(VALUE(CALC2223!AR181)&gt;VALUE(LASTV),VALUE(CALC2223!AT181)&gt;VALUE(LASTV),VALUE(CALC2223!AV181)&gt;VALUE(LASTV))</f>
        <v>0</v>
      </c>
      <c r="V182" s="1"/>
    </row>
    <row r="183" spans="1:22" ht="35.25" hidden="1" customHeight="1">
      <c r="A183" s="45"/>
      <c r="B183" s="46" t="s">
        <v>23</v>
      </c>
      <c r="C183" s="47">
        <v>46081</v>
      </c>
      <c r="D183" s="48" t="str">
        <f ca="1">CONCATENATE(CALC2223!A182," ",CALC2223!C182," ",CALC2223!E182)</f>
        <v xml:space="preserve">  </v>
      </c>
      <c r="E183" s="48" t="str">
        <f ca="1">CONCATENATE(CALC2223!G182," ",CALC2223!I182," ",CALC2223!K182)</f>
        <v xml:space="preserve">  </v>
      </c>
      <c r="F183" s="48" t="str">
        <f ca="1">CONCATENATE(CALC2223!M182," ",CALC2223!O182," ",CALC2223!Q182)</f>
        <v xml:space="preserve">  </v>
      </c>
      <c r="G183" s="48" t="str">
        <f ca="1">CONCATENATE(CALC2223!S182," ",CALC2223!U182," ",CALC2223!W182)</f>
        <v xml:space="preserve">  </v>
      </c>
      <c r="H183" s="48" t="str">
        <f ca="1">CONCATENATE(CALC2223!Y182," ",CALC2223!AA182," ",CALC2223!AC182)</f>
        <v xml:space="preserve">  </v>
      </c>
      <c r="I183" s="48" t="str">
        <f ca="1">CONCATENATE(CALC2223!AE182," ",CALC2223!AG182," ",CALC2223!AI182)</f>
        <v xml:space="preserve">  </v>
      </c>
      <c r="J183" s="48" t="str">
        <f ca="1">CONCATENATE(CALC2223!AK182," ",CALC2223!AM182," ",CALC2223!AO182)</f>
        <v xml:space="preserve">  </v>
      </c>
      <c r="K183" s="48" t="str">
        <f ca="1">CONCATENATE(CALC2223!AQ182," ",CALC2223!AS182," ",CALC2223!AU182," ",CALC2223!AW182)</f>
        <v xml:space="preserve">   </v>
      </c>
      <c r="L183" s="49" t="str">
        <f t="shared" ca="1" si="0"/>
        <v>verleden</v>
      </c>
      <c r="M183" s="1"/>
      <c r="N183" s="4" t="b">
        <f ca="1">OR(VALUE(CALC2223!B182)&gt;VALUE(LASTV),VALUE(CALC2223!D182)&gt;VALUE(LASTV),VALUE(CALC2223!F182)&gt;VALUE(LASTV))</f>
        <v>0</v>
      </c>
      <c r="O183" s="4" t="b">
        <f ca="1">OR(VALUE(CALC2223!H182)&gt;VALUE(LASTV),VALUE(CALC2223!J182)&gt;VALUE(LASTV),VALUE(CALC2223!L182)&gt;VALUE(LASTV))</f>
        <v>0</v>
      </c>
      <c r="P183" s="4" t="b">
        <f ca="1">OR(VALUE(CALC2223!N182)&gt;VALUE(LASTV),VALUE(CALC2223!P182)&gt;VALUE(LASTV),VALUE(CALC2223!R182)&gt;VALUE(LASTV))</f>
        <v>0</v>
      </c>
      <c r="Q183" s="4" t="b">
        <f ca="1">OR(VALUE(CALC2223!T182)&gt;VALUE(LASTV),VALUE(CALC2223!V182)&gt;VALUE(LASTV),VALUE(CALC2223!X182)&gt;VALUE(LASTV))</f>
        <v>0</v>
      </c>
      <c r="R183" s="4" t="b">
        <f ca="1">OR(VALUE(CALC2223!Z182)&gt;VALUE(LASTV),VALUE(CALC2223!AB182)&gt;VALUE(LASTV),VALUE(CALC2223!AD182)&gt;VALUE(LASTV))</f>
        <v>0</v>
      </c>
      <c r="S183" s="4" t="b">
        <f ca="1">OR(VALUE(CALC2223!AF182)&gt;VALUE(LASTV),VALUE(CALC2223!AH182)&gt;VALUE(LASTV),VALUE(CALC2223!AJ182)&gt;VALUE(LASTV))</f>
        <v>0</v>
      </c>
      <c r="T183" s="4" t="b">
        <f ca="1">OR(VALUE(CALC2223!AL182)&gt;VALUE(LASTV),VALUE(CALC2223!AN182)&gt;VALUE(LASTV),VALUE(CALC2223!AP182)&gt;VALUE(LASTV))</f>
        <v>0</v>
      </c>
      <c r="U183" s="4" t="b">
        <f ca="1">OR(VALUE(CALC2223!AR182)&gt;VALUE(LASTV),VALUE(CALC2223!AT182)&gt;VALUE(LASTV),VALUE(CALC2223!AV182)&gt;VALUE(LASTV))</f>
        <v>0</v>
      </c>
      <c r="V183" s="1"/>
    </row>
    <row r="184" spans="1:22" ht="35.25" hidden="1" customHeight="1">
      <c r="A184" s="45"/>
      <c r="B184" s="46" t="s">
        <v>24</v>
      </c>
      <c r="C184" s="47">
        <v>46082</v>
      </c>
      <c r="D184" s="48" t="str">
        <f ca="1">CONCATENATE(CALC2223!A183," ",CALC2223!C183," ",CALC2223!E183)</f>
        <v xml:space="preserve">  </v>
      </c>
      <c r="E184" s="48" t="str">
        <f ca="1">CONCATENATE(CALC2223!G183," ",CALC2223!I183," ",CALC2223!K183)</f>
        <v xml:space="preserve">  </v>
      </c>
      <c r="F184" s="48" t="str">
        <f ca="1">CONCATENATE(CALC2223!M183," ",CALC2223!O183," ",CALC2223!Q183)</f>
        <v xml:space="preserve">  </v>
      </c>
      <c r="G184" s="48" t="str">
        <f ca="1">CONCATENATE(CALC2223!S183," ",CALC2223!U183," ",CALC2223!W183)</f>
        <v xml:space="preserve">  </v>
      </c>
      <c r="H184" s="48" t="str">
        <f ca="1">CONCATENATE(CALC2223!Y183," ",CALC2223!AA183," ",CALC2223!AC183)</f>
        <v xml:space="preserve">  </v>
      </c>
      <c r="I184" s="48" t="str">
        <f ca="1">CONCATENATE(CALC2223!AE183," ",CALC2223!AG183," ",CALC2223!AI183)</f>
        <v xml:space="preserve">  </v>
      </c>
      <c r="J184" s="48" t="str">
        <f ca="1">CONCATENATE(CALC2223!AK183," ",CALC2223!AM183," ",CALC2223!AO183)</f>
        <v xml:space="preserve">  </v>
      </c>
      <c r="K184" s="48" t="str">
        <f ca="1">CONCATENATE(CALC2223!AQ183," ",CALC2223!AS183," ",CALC2223!AU183," ",CALC2223!AW183)</f>
        <v xml:space="preserve">   </v>
      </c>
      <c r="L184" s="49" t="str">
        <f t="shared" ca="1" si="0"/>
        <v>verleden</v>
      </c>
      <c r="M184" s="1"/>
      <c r="N184" s="4" t="b">
        <f ca="1">OR(VALUE(CALC2223!B183)&gt;VALUE(LASTV),VALUE(CALC2223!D183)&gt;VALUE(LASTV),VALUE(CALC2223!F183)&gt;VALUE(LASTV))</f>
        <v>0</v>
      </c>
      <c r="O184" s="4" t="b">
        <f ca="1">OR(VALUE(CALC2223!H183)&gt;VALUE(LASTV),VALUE(CALC2223!J183)&gt;VALUE(LASTV),VALUE(CALC2223!L183)&gt;VALUE(LASTV))</f>
        <v>0</v>
      </c>
      <c r="P184" s="4" t="b">
        <f ca="1">OR(VALUE(CALC2223!N183)&gt;VALUE(LASTV),VALUE(CALC2223!P183)&gt;VALUE(LASTV),VALUE(CALC2223!R183)&gt;VALUE(LASTV))</f>
        <v>0</v>
      </c>
      <c r="Q184" s="4" t="b">
        <f ca="1">OR(VALUE(CALC2223!T183)&gt;VALUE(LASTV),VALUE(CALC2223!V183)&gt;VALUE(LASTV),VALUE(CALC2223!X183)&gt;VALUE(LASTV))</f>
        <v>0</v>
      </c>
      <c r="R184" s="4" t="b">
        <f ca="1">OR(VALUE(CALC2223!Z183)&gt;VALUE(LASTV),VALUE(CALC2223!AB183)&gt;VALUE(LASTV),VALUE(CALC2223!AD183)&gt;VALUE(LASTV))</f>
        <v>0</v>
      </c>
      <c r="S184" s="4" t="b">
        <f ca="1">OR(VALUE(CALC2223!AF183)&gt;VALUE(LASTV),VALUE(CALC2223!AH183)&gt;VALUE(LASTV),VALUE(CALC2223!AJ183)&gt;VALUE(LASTV))</f>
        <v>0</v>
      </c>
      <c r="T184" s="4" t="b">
        <f ca="1">OR(VALUE(CALC2223!AL183)&gt;VALUE(LASTV),VALUE(CALC2223!AN183)&gt;VALUE(LASTV),VALUE(CALC2223!AP183)&gt;VALUE(LASTV))</f>
        <v>0</v>
      </c>
      <c r="U184" s="4" t="b">
        <f ca="1">OR(VALUE(CALC2223!AR183)&gt;VALUE(LASTV),VALUE(CALC2223!AT183)&gt;VALUE(LASTV),VALUE(CALC2223!AV183)&gt;VALUE(LASTV))</f>
        <v>0</v>
      </c>
      <c r="V184" s="1"/>
    </row>
    <row r="185" spans="1:22" ht="35.25" hidden="1" customHeight="1">
      <c r="A185" s="50">
        <v>10</v>
      </c>
      <c r="B185" s="41" t="s">
        <v>18</v>
      </c>
      <c r="C185" s="42">
        <v>46083</v>
      </c>
      <c r="D185" s="43" t="str">
        <f ca="1">CONCATENATE(CALC2223!A184," ",CALC2223!C184," ",CALC2223!E184)</f>
        <v xml:space="preserve">  </v>
      </c>
      <c r="E185" s="43" t="str">
        <f ca="1">CONCATENATE(CALC2223!G184," ",CALC2223!I184," ",CALC2223!K184)</f>
        <v xml:space="preserve">  </v>
      </c>
      <c r="F185" s="43" t="str">
        <f ca="1">CONCATENATE(CALC2223!M184," ",CALC2223!O184," ",CALC2223!Q184)</f>
        <v xml:space="preserve">Deadline Voorlopige Profielkeuze  </v>
      </c>
      <c r="G185" s="43" t="str">
        <f ca="1">CONCATENATE(CALC2223!S184," ",CALC2223!U184," ",CALC2223!W184)</f>
        <v xml:space="preserve">inh rep NA  </v>
      </c>
      <c r="H185" s="43" t="str">
        <f ca="1">CONCATENATE(CALC2223!Y184," ",CALC2223!AA184," ",CALC2223!AC184)</f>
        <v xml:space="preserve">Rep wiB inh rep wiA </v>
      </c>
      <c r="I185" s="43" t="str">
        <f ca="1">CONCATENATE(CALC2223!AE184," ",CALC2223!AG184," ",CALC2223!AI184)</f>
        <v xml:space="preserve">mondelingen/KuBv expositie  </v>
      </c>
      <c r="J185" s="43" t="str">
        <f ca="1">CONCATENATE(CALC2223!AK184," ",CALC2223!AM184," ",CALC2223!AO184)</f>
        <v xml:space="preserve">  </v>
      </c>
      <c r="K185" s="43" t="str">
        <f ca="1">CONCATENATE(CALC2223!AQ184," ",CALC2223!AS184," ",CALC2223!AU184," ",CALC2223!AW184)</f>
        <v xml:space="preserve">   </v>
      </c>
      <c r="L185" s="44" t="str">
        <f t="shared" ca="1" si="0"/>
        <v>verleden</v>
      </c>
      <c r="M185" s="1"/>
      <c r="N185" s="4" t="b">
        <f ca="1">OR(VALUE(CALC2223!B184)&gt;VALUE(LASTV),VALUE(CALC2223!D184)&gt;VALUE(LASTV),VALUE(CALC2223!F184)&gt;VALUE(LASTV))</f>
        <v>0</v>
      </c>
      <c r="O185" s="4" t="b">
        <f ca="1">OR(VALUE(CALC2223!H184)&gt;VALUE(LASTV),VALUE(CALC2223!J184)&gt;VALUE(LASTV),VALUE(CALC2223!L184)&gt;VALUE(LASTV))</f>
        <v>0</v>
      </c>
      <c r="P185" s="4" t="b">
        <f ca="1">OR(VALUE(CALC2223!N184)&gt;VALUE(LASTV),VALUE(CALC2223!P184)&gt;VALUE(LASTV),VALUE(CALC2223!R184)&gt;VALUE(LASTV))</f>
        <v>0</v>
      </c>
      <c r="Q185" s="4" t="b">
        <f ca="1">OR(VALUE(CALC2223!T184)&gt;VALUE(LASTV),VALUE(CALC2223!V184)&gt;VALUE(LASTV),VALUE(CALC2223!X184)&gt;VALUE(LASTV))</f>
        <v>0</v>
      </c>
      <c r="R185" s="4" t="b">
        <f ca="1">OR(VALUE(CALC2223!Z184)&gt;VALUE(LASTV),VALUE(CALC2223!AB184)&gt;VALUE(LASTV),VALUE(CALC2223!AD184)&gt;VALUE(LASTV))</f>
        <v>0</v>
      </c>
      <c r="S185" s="4" t="b">
        <f ca="1">OR(VALUE(CALC2223!AF184)&gt;VALUE(LASTV),VALUE(CALC2223!AH184)&gt;VALUE(LASTV),VALUE(CALC2223!AJ184)&gt;VALUE(LASTV))</f>
        <v>0</v>
      </c>
      <c r="T185" s="4" t="b">
        <f ca="1">OR(VALUE(CALC2223!AL184)&gt;VALUE(LASTV),VALUE(CALC2223!AN184)&gt;VALUE(LASTV),VALUE(CALC2223!AP184)&gt;VALUE(LASTV))</f>
        <v>0</v>
      </c>
      <c r="U185" s="4" t="b">
        <f ca="1">OR(VALUE(CALC2223!AR184)&gt;VALUE(LASTV),VALUE(CALC2223!AT184)&gt;VALUE(LASTV),VALUE(CALC2223!AV184)&gt;VALUE(LASTV))</f>
        <v>0</v>
      </c>
      <c r="V185" s="1"/>
    </row>
    <row r="186" spans="1:22" ht="35.25" hidden="1" customHeight="1">
      <c r="A186" s="40"/>
      <c r="B186" s="41" t="s">
        <v>19</v>
      </c>
      <c r="C186" s="42">
        <v>46084</v>
      </c>
      <c r="D186" s="43" t="str">
        <f ca="1">CONCATENATE(CALC2223!A185," ",CALC2223!C185," ",CALC2223!E185)</f>
        <v xml:space="preserve">  </v>
      </c>
      <c r="E186" s="43" t="str">
        <f ca="1">CONCATENATE(CALC2223!G185," ",CALC2223!I185," ",CALC2223!K185)</f>
        <v xml:space="preserve">  </v>
      </c>
      <c r="F186" s="43" t="str">
        <f ca="1">CONCATENATE(CALC2223!M185," ",CALC2223!O185," ",CALC2223!Q185)</f>
        <v xml:space="preserve">  </v>
      </c>
      <c r="G186" s="43" t="str">
        <f ca="1">CONCATENATE(CALC2223!S185," ",CALC2223!U185," ",CALC2223!W185)</f>
        <v xml:space="preserve">  </v>
      </c>
      <c r="H186" s="43" t="str">
        <f ca="1">CONCATENATE(CALC2223!Y185," ",CALC2223!AA185," ",CALC2223!AC185)</f>
        <v xml:space="preserve">  </v>
      </c>
      <c r="I186" s="43" t="str">
        <f ca="1">CONCATENATE(CALC2223!AE185," ",CALC2223!AG185," ",CALC2223!AI185)</f>
        <v xml:space="preserve">inhalen SE/mondelingen  </v>
      </c>
      <c r="J186" s="43" t="str">
        <f ca="1">CONCATENATE(CALC2223!AK185," ",CALC2223!AM185," ",CALC2223!AO185)</f>
        <v xml:space="preserve">  </v>
      </c>
      <c r="K186" s="43" t="str">
        <f ca="1">CONCATENATE(CALC2223!AQ185," ",CALC2223!AS185," ",CALC2223!AU185," ",CALC2223!AW185)</f>
        <v xml:space="preserve">   </v>
      </c>
      <c r="L186" s="44" t="str">
        <f t="shared" ca="1" si="0"/>
        <v>verleden</v>
      </c>
      <c r="M186" s="1"/>
      <c r="N186" s="4" t="b">
        <f ca="1">OR(VALUE(CALC2223!B185)&gt;VALUE(LASTV),VALUE(CALC2223!D185)&gt;VALUE(LASTV),VALUE(CALC2223!F185)&gt;VALUE(LASTV))</f>
        <v>0</v>
      </c>
      <c r="O186" s="4" t="b">
        <f ca="1">OR(VALUE(CALC2223!H185)&gt;VALUE(LASTV),VALUE(CALC2223!J185)&gt;VALUE(LASTV),VALUE(CALC2223!L185)&gt;VALUE(LASTV))</f>
        <v>0</v>
      </c>
      <c r="P186" s="4" t="b">
        <f ca="1">OR(VALUE(CALC2223!N185)&gt;VALUE(LASTV),VALUE(CALC2223!P185)&gt;VALUE(LASTV),VALUE(CALC2223!R185)&gt;VALUE(LASTV))</f>
        <v>0</v>
      </c>
      <c r="Q186" s="4" t="b">
        <f ca="1">OR(VALUE(CALC2223!T185)&gt;VALUE(LASTV),VALUE(CALC2223!V185)&gt;VALUE(LASTV),VALUE(CALC2223!X185)&gt;VALUE(LASTV))</f>
        <v>0</v>
      </c>
      <c r="R186" s="4" t="b">
        <f ca="1">OR(VALUE(CALC2223!Z185)&gt;VALUE(LASTV),VALUE(CALC2223!AB185)&gt;VALUE(LASTV),VALUE(CALC2223!AD185)&gt;VALUE(LASTV))</f>
        <v>0</v>
      </c>
      <c r="S186" s="4" t="b">
        <f ca="1">OR(VALUE(CALC2223!AF185)&gt;VALUE(LASTV),VALUE(CALC2223!AH185)&gt;VALUE(LASTV),VALUE(CALC2223!AJ185)&gt;VALUE(LASTV))</f>
        <v>0</v>
      </c>
      <c r="T186" s="4" t="b">
        <f ca="1">OR(VALUE(CALC2223!AL185)&gt;VALUE(LASTV),VALUE(CALC2223!AN185)&gt;VALUE(LASTV),VALUE(CALC2223!AP185)&gt;VALUE(LASTV))</f>
        <v>0</v>
      </c>
      <c r="U186" s="4" t="b">
        <f ca="1">OR(VALUE(CALC2223!AR185)&gt;VALUE(LASTV),VALUE(CALC2223!AT185)&gt;VALUE(LASTV),VALUE(CALC2223!AV185)&gt;VALUE(LASTV))</f>
        <v>0</v>
      </c>
      <c r="V186" s="1"/>
    </row>
    <row r="187" spans="1:22" ht="35.25" hidden="1" customHeight="1">
      <c r="A187" s="40"/>
      <c r="B187" s="41" t="s">
        <v>20</v>
      </c>
      <c r="C187" s="42">
        <v>46085</v>
      </c>
      <c r="D187" s="43" t="str">
        <f ca="1">CONCATENATE(CALC2223!A186," ",CALC2223!C186," ",CALC2223!E186)</f>
        <v xml:space="preserve">  </v>
      </c>
      <c r="E187" s="43" t="str">
        <f ca="1">CONCATENATE(CALC2223!G186," ",CALC2223!I186," ",CALC2223!K186)</f>
        <v xml:space="preserve">  </v>
      </c>
      <c r="F187" s="43" t="str">
        <f ca="1">CONCATENATE(CALC2223!M186," ",CALC2223!O186," ",CALC2223!Q186)</f>
        <v xml:space="preserve">  </v>
      </c>
      <c r="G187" s="43" t="str">
        <f ca="1">CONCATENATE(CALC2223!S186," ",CALC2223!U186," ",CALC2223!W186)</f>
        <v xml:space="preserve">  </v>
      </c>
      <c r="H187" s="43" t="str">
        <f ca="1">CONCATENATE(CALC2223!Y186," ",CALC2223!AA186," ",CALC2223!AC186)</f>
        <v xml:space="preserve">beroepenochtend (4/5 uur) inh SE AC </v>
      </c>
      <c r="I187" s="43" t="str">
        <f ca="1">CONCATENATE(CALC2223!AE186," ",CALC2223!AG186," ",CALC2223!AI186)</f>
        <v xml:space="preserve">mondelingen  </v>
      </c>
      <c r="J187" s="43" t="str">
        <f ca="1">CONCATENATE(CALC2223!AK186," ",CALC2223!AM186," ",CALC2223!AO186)</f>
        <v xml:space="preserve">  </v>
      </c>
      <c r="K187" s="43" t="str">
        <f ca="1">CONCATENATE(CALC2223!AQ186," ",CALC2223!AS186," ",CALC2223!AU186," ",CALC2223!AW186)</f>
        <v xml:space="preserve">CGU-iftar   </v>
      </c>
      <c r="L187" s="44" t="str">
        <f t="shared" ca="1" si="0"/>
        <v>verleden</v>
      </c>
      <c r="M187" s="1"/>
      <c r="N187" s="4" t="b">
        <f ca="1">OR(VALUE(CALC2223!B186)&gt;VALUE(LASTV),VALUE(CALC2223!D186)&gt;VALUE(LASTV),VALUE(CALC2223!F186)&gt;VALUE(LASTV))</f>
        <v>0</v>
      </c>
      <c r="O187" s="4" t="b">
        <f ca="1">OR(VALUE(CALC2223!H186)&gt;VALUE(LASTV),VALUE(CALC2223!J186)&gt;VALUE(LASTV),VALUE(CALC2223!L186)&gt;VALUE(LASTV))</f>
        <v>0</v>
      </c>
      <c r="P187" s="4" t="b">
        <f ca="1">OR(VALUE(CALC2223!N186)&gt;VALUE(LASTV),VALUE(CALC2223!P186)&gt;VALUE(LASTV),VALUE(CALC2223!R186)&gt;VALUE(LASTV))</f>
        <v>0</v>
      </c>
      <c r="Q187" s="4" t="b">
        <f ca="1">OR(VALUE(CALC2223!T186)&gt;VALUE(LASTV),VALUE(CALC2223!V186)&gt;VALUE(LASTV),VALUE(CALC2223!X186)&gt;VALUE(LASTV))</f>
        <v>0</v>
      </c>
      <c r="R187" s="4" t="b">
        <f ca="1">OR(VALUE(CALC2223!Z186)&gt;VALUE(LASTV),VALUE(CALC2223!AB186)&gt;VALUE(LASTV),VALUE(CALC2223!AD186)&gt;VALUE(LASTV))</f>
        <v>0</v>
      </c>
      <c r="S187" s="4" t="b">
        <f ca="1">OR(VALUE(CALC2223!AF186)&gt;VALUE(LASTV),VALUE(CALC2223!AH186)&gt;VALUE(LASTV),VALUE(CALC2223!AJ186)&gt;VALUE(LASTV))</f>
        <v>0</v>
      </c>
      <c r="T187" s="4" t="b">
        <f ca="1">OR(VALUE(CALC2223!AL186)&gt;VALUE(LASTV),VALUE(CALC2223!AN186)&gt;VALUE(LASTV),VALUE(CALC2223!AP186)&gt;VALUE(LASTV))</f>
        <v>0</v>
      </c>
      <c r="U187" s="4" t="b">
        <f ca="1">OR(VALUE(CALC2223!AR186)&gt;VALUE(LASTV),VALUE(CALC2223!AT186)&gt;VALUE(LASTV),VALUE(CALC2223!AV186)&gt;VALUE(LASTV))</f>
        <v>0</v>
      </c>
      <c r="V187" s="1"/>
    </row>
    <row r="188" spans="1:22" ht="35.25" hidden="1" customHeight="1">
      <c r="A188" s="40"/>
      <c r="B188" s="41" t="s">
        <v>21</v>
      </c>
      <c r="C188" s="42">
        <v>46086</v>
      </c>
      <c r="D188" s="43" t="str">
        <f ca="1">CONCATENATE(CALC2223!A187," ",CALC2223!C187," ",CALC2223!E187)</f>
        <v xml:space="preserve">  </v>
      </c>
      <c r="E188" s="43" t="str">
        <f ca="1">CONCATENATE(CALC2223!G187," ",CALC2223!I187," ",CALC2223!K187)</f>
        <v xml:space="preserve">  </v>
      </c>
      <c r="F188" s="43" t="str">
        <f ca="1">CONCATENATE(CALC2223!M187," ",CALC2223!O187," ",CALC2223!Q187)</f>
        <v xml:space="preserve">Rep SK  </v>
      </c>
      <c r="G188" s="43" t="str">
        <f ca="1">CONCATENATE(CALC2223!S187," ",CALC2223!U187," ",CALC2223!W187)</f>
        <v xml:space="preserve">inh SE ANW  </v>
      </c>
      <c r="H188" s="43" t="str">
        <f ca="1">CONCATENATE(CALC2223!Y187," ",CALC2223!AA187," ",CALC2223!AC187)</f>
        <v xml:space="preserve">inh SE MAAT  </v>
      </c>
      <c r="I188" s="43" t="str">
        <f ca="1">CONCATENATE(CALC2223!AE187," ",CALC2223!AG187," ",CALC2223!AI187)</f>
        <v xml:space="preserve">mondelingen Examenlezing Grieks </v>
      </c>
      <c r="J188" s="43" t="str">
        <f ca="1">CONCATENATE(CALC2223!AK187," ",CALC2223!AM187," ",CALC2223!AO187)</f>
        <v xml:space="preserve">llbesprG5 llbesprG2 </v>
      </c>
      <c r="K188" s="43" t="str">
        <f ca="1">CONCATENATE(CALC2223!AQ187," ",CALC2223!AS187," ",CALC2223!AU187," ",CALC2223!AW187)</f>
        <v xml:space="preserve">30' rooster   </v>
      </c>
      <c r="L188" s="44" t="str">
        <f t="shared" ca="1" si="0"/>
        <v>verleden</v>
      </c>
      <c r="M188" s="1"/>
      <c r="N188" s="4" t="b">
        <f ca="1">OR(VALUE(CALC2223!B187)&gt;VALUE(LASTV),VALUE(CALC2223!D187)&gt;VALUE(LASTV),VALUE(CALC2223!F187)&gt;VALUE(LASTV))</f>
        <v>0</v>
      </c>
      <c r="O188" s="4" t="b">
        <f ca="1">OR(VALUE(CALC2223!H187)&gt;VALUE(LASTV),VALUE(CALC2223!J187)&gt;VALUE(LASTV),VALUE(CALC2223!L187)&gt;VALUE(LASTV))</f>
        <v>0</v>
      </c>
      <c r="P188" s="4" t="b">
        <f ca="1">OR(VALUE(CALC2223!N187)&gt;VALUE(LASTV),VALUE(CALC2223!P187)&gt;VALUE(LASTV),VALUE(CALC2223!R187)&gt;VALUE(LASTV))</f>
        <v>0</v>
      </c>
      <c r="Q188" s="4" t="b">
        <f ca="1">OR(VALUE(CALC2223!T187)&gt;VALUE(LASTV),VALUE(CALC2223!V187)&gt;VALUE(LASTV),VALUE(CALC2223!X187)&gt;VALUE(LASTV))</f>
        <v>0</v>
      </c>
      <c r="R188" s="4" t="b">
        <f ca="1">OR(VALUE(CALC2223!Z187)&gt;VALUE(LASTV),VALUE(CALC2223!AB187)&gt;VALUE(LASTV),VALUE(CALC2223!AD187)&gt;VALUE(LASTV))</f>
        <v>0</v>
      </c>
      <c r="S188" s="4" t="b">
        <f ca="1">OR(VALUE(CALC2223!AF187)&gt;VALUE(LASTV),VALUE(CALC2223!AH187)&gt;VALUE(LASTV),VALUE(CALC2223!AJ187)&gt;VALUE(LASTV))</f>
        <v>0</v>
      </c>
      <c r="T188" s="4" t="b">
        <f ca="1">OR(VALUE(CALC2223!AL187)&gt;VALUE(LASTV),VALUE(CALC2223!AN187)&gt;VALUE(LASTV),VALUE(CALC2223!AP187)&gt;VALUE(LASTV))</f>
        <v>0</v>
      </c>
      <c r="U188" s="4" t="b">
        <f ca="1">OR(VALUE(CALC2223!AR187)&gt;VALUE(LASTV),VALUE(CALC2223!AT187)&gt;VALUE(LASTV),VALUE(CALC2223!AV187)&gt;VALUE(LASTV))</f>
        <v>0</v>
      </c>
      <c r="V188" s="1"/>
    </row>
    <row r="189" spans="1:22" ht="35.25" hidden="1" customHeight="1">
      <c r="A189" s="40"/>
      <c r="B189" s="41" t="s">
        <v>22</v>
      </c>
      <c r="C189" s="42">
        <v>46087</v>
      </c>
      <c r="D189" s="43" t="str">
        <f ca="1">CONCATENATE(CALC2223!A188," ",CALC2223!C188," ",CALC2223!E188)</f>
        <v xml:space="preserve">  </v>
      </c>
      <c r="E189" s="43" t="str">
        <f ca="1">CONCATENATE(CALC2223!G188," ",CALC2223!I188," ",CALC2223!K188)</f>
        <v xml:space="preserve">Rep Wis  </v>
      </c>
      <c r="F189" s="43" t="str">
        <f ca="1">CONCATENATE(CALC2223!M188," ",CALC2223!O188," ",CALC2223!Q188)</f>
        <v xml:space="preserve">  </v>
      </c>
      <c r="G189" s="43" t="str">
        <f ca="1">CONCATENATE(CALC2223!S188," ",CALC2223!U188," ",CALC2223!W188)</f>
        <v xml:space="preserve">Rep LA  </v>
      </c>
      <c r="H189" s="43" t="str">
        <f ca="1">CONCATENATE(CALC2223!Y188," ",CALC2223!AA188," ",CALC2223!AC188)</f>
        <v xml:space="preserve">  </v>
      </c>
      <c r="I189" s="43" t="str">
        <f ca="1">CONCATENATE(CALC2223!AE188," ",CALC2223!AG188," ",CALC2223!AI188)</f>
        <v xml:space="preserve">mondelingen  </v>
      </c>
      <c r="J189" s="43" t="str">
        <f ca="1">CONCATENATE(CALC2223!AK188," ",CALC2223!AM188," ",CALC2223!AO188)</f>
        <v xml:space="preserve">  </v>
      </c>
      <c r="K189" s="43" t="str">
        <f ca="1">CONCATENATE(CALC2223!AQ188," ",CALC2223!AS188," ",CALC2223!AU188," ",CALC2223!AW188)</f>
        <v xml:space="preserve">   </v>
      </c>
      <c r="L189" s="44" t="str">
        <f t="shared" ca="1" si="0"/>
        <v>verleden</v>
      </c>
      <c r="M189" s="1"/>
      <c r="N189" s="4" t="b">
        <f ca="1">OR(VALUE(CALC2223!B188)&gt;VALUE(LASTV),VALUE(CALC2223!D188)&gt;VALUE(LASTV),VALUE(CALC2223!F188)&gt;VALUE(LASTV))</f>
        <v>0</v>
      </c>
      <c r="O189" s="4" t="b">
        <f ca="1">OR(VALUE(CALC2223!H188)&gt;VALUE(LASTV),VALUE(CALC2223!J188)&gt;VALUE(LASTV),VALUE(CALC2223!L188)&gt;VALUE(LASTV))</f>
        <v>0</v>
      </c>
      <c r="P189" s="4" t="b">
        <f ca="1">OR(VALUE(CALC2223!N188)&gt;VALUE(LASTV),VALUE(CALC2223!P188)&gt;VALUE(LASTV),VALUE(CALC2223!R188)&gt;VALUE(LASTV))</f>
        <v>0</v>
      </c>
      <c r="Q189" s="4" t="b">
        <f ca="1">OR(VALUE(CALC2223!T188)&gt;VALUE(LASTV),VALUE(CALC2223!V188)&gt;VALUE(LASTV),VALUE(CALC2223!X188)&gt;VALUE(LASTV))</f>
        <v>0</v>
      </c>
      <c r="R189" s="4" t="b">
        <f ca="1">OR(VALUE(CALC2223!Z188)&gt;VALUE(LASTV),VALUE(CALC2223!AB188)&gt;VALUE(LASTV),VALUE(CALC2223!AD188)&gt;VALUE(LASTV))</f>
        <v>0</v>
      </c>
      <c r="S189" s="4" t="b">
        <f ca="1">OR(VALUE(CALC2223!AF188)&gt;VALUE(LASTV),VALUE(CALC2223!AH188)&gt;VALUE(LASTV),VALUE(CALC2223!AJ188)&gt;VALUE(LASTV))</f>
        <v>0</v>
      </c>
      <c r="T189" s="4" t="b">
        <f ca="1">OR(VALUE(CALC2223!AL188)&gt;VALUE(LASTV),VALUE(CALC2223!AN188)&gt;VALUE(LASTV),VALUE(CALC2223!AP188)&gt;VALUE(LASTV))</f>
        <v>0</v>
      </c>
      <c r="U189" s="4" t="b">
        <f ca="1">OR(VALUE(CALC2223!AR188)&gt;VALUE(LASTV),VALUE(CALC2223!AT188)&gt;VALUE(LASTV),VALUE(CALC2223!AV188)&gt;VALUE(LASTV))</f>
        <v>0</v>
      </c>
      <c r="V189" s="1"/>
    </row>
    <row r="190" spans="1:22" ht="35.25" hidden="1" customHeight="1">
      <c r="A190" s="45"/>
      <c r="B190" s="46" t="s">
        <v>23</v>
      </c>
      <c r="C190" s="47">
        <v>46088</v>
      </c>
      <c r="D190" s="48" t="str">
        <f ca="1">CONCATENATE(CALC2223!A189," ",CALC2223!C189," ",CALC2223!E189)</f>
        <v xml:space="preserve">  </v>
      </c>
      <c r="E190" s="48" t="str">
        <f ca="1">CONCATENATE(CALC2223!G189," ",CALC2223!I189," ",CALC2223!K189)</f>
        <v xml:space="preserve">  </v>
      </c>
      <c r="F190" s="48" t="str">
        <f ca="1">CONCATENATE(CALC2223!M189," ",CALC2223!O189," ",CALC2223!Q189)</f>
        <v xml:space="preserve">  </v>
      </c>
      <c r="G190" s="48" t="str">
        <f ca="1">CONCATENATE(CALC2223!S189," ",CALC2223!U189," ",CALC2223!W189)</f>
        <v xml:space="preserve">  </v>
      </c>
      <c r="H190" s="48" t="str">
        <f ca="1">CONCATENATE(CALC2223!Y189," ",CALC2223!AA189," ",CALC2223!AC189)</f>
        <v xml:space="preserve">  </v>
      </c>
      <c r="I190" s="48" t="str">
        <f ca="1">CONCATENATE(CALC2223!AE189," ",CALC2223!AG189," ",CALC2223!AI189)</f>
        <v xml:space="preserve">  </v>
      </c>
      <c r="J190" s="48" t="str">
        <f ca="1">CONCATENATE(CALC2223!AK189," ",CALC2223!AM189," ",CALC2223!AO189)</f>
        <v xml:space="preserve">  </v>
      </c>
      <c r="K190" s="48" t="str">
        <f ca="1">CONCATENATE(CALC2223!AQ189," ",CALC2223!AS189," ",CALC2223!AU189," ",CALC2223!AW189)</f>
        <v xml:space="preserve">   </v>
      </c>
      <c r="L190" s="49" t="str">
        <f t="shared" ca="1" si="0"/>
        <v>verleden</v>
      </c>
      <c r="M190" s="1"/>
      <c r="N190" s="4" t="b">
        <f ca="1">OR(VALUE(CALC2223!B189)&gt;VALUE(LASTV),VALUE(CALC2223!D189)&gt;VALUE(LASTV),VALUE(CALC2223!F189)&gt;VALUE(LASTV))</f>
        <v>0</v>
      </c>
      <c r="O190" s="4" t="b">
        <f ca="1">OR(VALUE(CALC2223!H189)&gt;VALUE(LASTV),VALUE(CALC2223!J189)&gt;VALUE(LASTV),VALUE(CALC2223!L189)&gt;VALUE(LASTV))</f>
        <v>0</v>
      </c>
      <c r="P190" s="4" t="b">
        <f ca="1">OR(VALUE(CALC2223!N189)&gt;VALUE(LASTV),VALUE(CALC2223!P189)&gt;VALUE(LASTV),VALUE(CALC2223!R189)&gt;VALUE(LASTV))</f>
        <v>0</v>
      </c>
      <c r="Q190" s="4" t="b">
        <f ca="1">OR(VALUE(CALC2223!T189)&gt;VALUE(LASTV),VALUE(CALC2223!V189)&gt;VALUE(LASTV),VALUE(CALC2223!X189)&gt;VALUE(LASTV))</f>
        <v>0</v>
      </c>
      <c r="R190" s="4" t="b">
        <f ca="1">OR(VALUE(CALC2223!Z189)&gt;VALUE(LASTV),VALUE(CALC2223!AB189)&gt;VALUE(LASTV),VALUE(CALC2223!AD189)&gt;VALUE(LASTV))</f>
        <v>0</v>
      </c>
      <c r="S190" s="4" t="b">
        <f ca="1">OR(VALUE(CALC2223!AF189)&gt;VALUE(LASTV),VALUE(CALC2223!AH189)&gt;VALUE(LASTV),VALUE(CALC2223!AJ189)&gt;VALUE(LASTV))</f>
        <v>0</v>
      </c>
      <c r="T190" s="4" t="b">
        <f ca="1">OR(VALUE(CALC2223!AL189)&gt;VALUE(LASTV),VALUE(CALC2223!AN189)&gt;VALUE(LASTV),VALUE(CALC2223!AP189)&gt;VALUE(LASTV))</f>
        <v>0</v>
      </c>
      <c r="U190" s="4" t="b">
        <f ca="1">OR(VALUE(CALC2223!AR189)&gt;VALUE(LASTV),VALUE(CALC2223!AT189)&gt;VALUE(LASTV),VALUE(CALC2223!AV189)&gt;VALUE(LASTV))</f>
        <v>0</v>
      </c>
      <c r="V190" s="1"/>
    </row>
    <row r="191" spans="1:22" ht="35.25" customHeight="1">
      <c r="A191" s="45"/>
      <c r="B191" s="46" t="s">
        <v>24</v>
      </c>
      <c r="C191" s="47">
        <v>46089</v>
      </c>
      <c r="D191" s="48" t="str">
        <f ca="1">CONCATENATE(CALC2223!A190," ",CALC2223!C190," ",CALC2223!E190)</f>
        <v xml:space="preserve">  </v>
      </c>
      <c r="E191" s="48" t="str">
        <f ca="1">CONCATENATE(CALC2223!G190," ",CALC2223!I190," ",CALC2223!K190)</f>
        <v xml:space="preserve">  </v>
      </c>
      <c r="F191" s="48" t="str">
        <f ca="1">CONCATENATE(CALC2223!M190," ",CALC2223!O190," ",CALC2223!Q190)</f>
        <v xml:space="preserve">  </v>
      </c>
      <c r="G191" s="48" t="str">
        <f ca="1">CONCATENATE(CALC2223!S190," ",CALC2223!U190," ",CALC2223!W190)</f>
        <v xml:space="preserve">  </v>
      </c>
      <c r="H191" s="48" t="str">
        <f ca="1">CONCATENATE(CALC2223!Y190," ",CALC2223!AA190," ",CALC2223!AC190)</f>
        <v xml:space="preserve">  </v>
      </c>
      <c r="I191" s="48" t="str">
        <f ca="1">CONCATENATE(CALC2223!AE190," ",CALC2223!AG190," ",CALC2223!AI190)</f>
        <v xml:space="preserve">  </v>
      </c>
      <c r="J191" s="48" t="str">
        <f ca="1">CONCATENATE(CALC2223!AK190," ",CALC2223!AM190," ",CALC2223!AO190)</f>
        <v xml:space="preserve">  </v>
      </c>
      <c r="K191" s="48" t="str">
        <f ca="1">CONCATENATE(CALC2223!AQ190," ",CALC2223!AS190," ",CALC2223!AU190," ",CALC2223!AW190)</f>
        <v xml:space="preserve">   </v>
      </c>
      <c r="L191" s="49" t="str">
        <f t="shared" ca="1" si="0"/>
        <v>actueel</v>
      </c>
      <c r="M191" s="1"/>
      <c r="N191" s="4" t="b">
        <f ca="1">OR(VALUE(CALC2223!B190)&gt;VALUE(LASTV),VALUE(CALC2223!D190)&gt;VALUE(LASTV),VALUE(CALC2223!F190)&gt;VALUE(LASTV))</f>
        <v>0</v>
      </c>
      <c r="O191" s="4" t="b">
        <f ca="1">OR(VALUE(CALC2223!H190)&gt;VALUE(LASTV),VALUE(CALC2223!J190)&gt;VALUE(LASTV),VALUE(CALC2223!L190)&gt;VALUE(LASTV))</f>
        <v>0</v>
      </c>
      <c r="P191" s="4" t="b">
        <f ca="1">OR(VALUE(CALC2223!N190)&gt;VALUE(LASTV),VALUE(CALC2223!P190)&gt;VALUE(LASTV),VALUE(CALC2223!R190)&gt;VALUE(LASTV))</f>
        <v>0</v>
      </c>
      <c r="Q191" s="4" t="b">
        <f ca="1">OR(VALUE(CALC2223!T190)&gt;VALUE(LASTV),VALUE(CALC2223!V190)&gt;VALUE(LASTV),VALUE(CALC2223!X190)&gt;VALUE(LASTV))</f>
        <v>0</v>
      </c>
      <c r="R191" s="4" t="b">
        <f ca="1">OR(VALUE(CALC2223!Z190)&gt;VALUE(LASTV),VALUE(CALC2223!AB190)&gt;VALUE(LASTV),VALUE(CALC2223!AD190)&gt;VALUE(LASTV))</f>
        <v>0</v>
      </c>
      <c r="S191" s="4" t="b">
        <f ca="1">OR(VALUE(CALC2223!AF190)&gt;VALUE(LASTV),VALUE(CALC2223!AH190)&gt;VALUE(LASTV),VALUE(CALC2223!AJ190)&gt;VALUE(LASTV))</f>
        <v>0</v>
      </c>
      <c r="T191" s="4" t="b">
        <f ca="1">OR(VALUE(CALC2223!AL190)&gt;VALUE(LASTV),VALUE(CALC2223!AN190)&gt;VALUE(LASTV),VALUE(CALC2223!AP190)&gt;VALUE(LASTV))</f>
        <v>0</v>
      </c>
      <c r="U191" s="4" t="b">
        <f ca="1">OR(VALUE(CALC2223!AR190)&gt;VALUE(LASTV),VALUE(CALC2223!AT190)&gt;VALUE(LASTV),VALUE(CALC2223!AV190)&gt;VALUE(LASTV))</f>
        <v>0</v>
      </c>
      <c r="V191" s="1"/>
    </row>
    <row r="192" spans="1:22" ht="35.25" customHeight="1">
      <c r="A192" s="50">
        <v>11</v>
      </c>
      <c r="B192" s="41" t="s">
        <v>18</v>
      </c>
      <c r="C192" s="42">
        <v>46090</v>
      </c>
      <c r="D192" s="43" t="str">
        <f ca="1">CONCATENATE(CALC2223!A191," ",CALC2223!C191," ",CALC2223!E191)</f>
        <v xml:space="preserve">  </v>
      </c>
      <c r="E192" s="43" t="str">
        <f ca="1">CONCATENATE(CALC2223!G191," ",CALC2223!I191," ",CALC2223!K191)</f>
        <v xml:space="preserve">  </v>
      </c>
      <c r="F192" s="43" t="str">
        <f ca="1">CONCATENATE(CALC2223!M191," ",CALC2223!O191," ",CALC2223!Q191)</f>
        <v xml:space="preserve">  </v>
      </c>
      <c r="G192" s="43" t="str">
        <f ca="1">CONCATENATE(CALC2223!S191," ",CALC2223!U191," ",CALC2223!W191)</f>
        <v xml:space="preserve">  </v>
      </c>
      <c r="H192" s="43" t="str">
        <f ca="1">CONCATENATE(CALC2223!Y191," ",CALC2223!AA191," ",CALC2223!AC191)</f>
        <v xml:space="preserve">Rep LA  </v>
      </c>
      <c r="I192" s="43" t="str">
        <f ca="1">CONCATENATE(CALC2223!AE191," ",CALC2223!AG191," ",CALC2223!AI191)</f>
        <v xml:space="preserve">KuBv opening  </v>
      </c>
      <c r="J192" s="43" t="str">
        <f ca="1">CONCATENATE(CALC2223!AK191," ",CALC2223!AM191," ",CALC2223!AO191)</f>
        <v xml:space="preserve">llbesprG3  </v>
      </c>
      <c r="K192" s="43" t="str">
        <f ca="1">CONCATENATE(CALC2223!AQ191," ",CALC2223!AS191," ",CALC2223!AU191," ",CALC2223!AW191)</f>
        <v xml:space="preserve">30" rooster   </v>
      </c>
      <c r="L192" s="44" t="str">
        <f t="shared" ca="1" si="0"/>
        <v>actueel</v>
      </c>
      <c r="M192" s="1"/>
      <c r="N192" s="4" t="b">
        <f ca="1">OR(VALUE(CALC2223!B191)&gt;VALUE(LASTV),VALUE(CALC2223!D191)&gt;VALUE(LASTV),VALUE(CALC2223!F191)&gt;VALUE(LASTV))</f>
        <v>0</v>
      </c>
      <c r="O192" s="4" t="b">
        <f ca="1">OR(VALUE(CALC2223!H191)&gt;VALUE(LASTV),VALUE(CALC2223!J191)&gt;VALUE(LASTV),VALUE(CALC2223!L191)&gt;VALUE(LASTV))</f>
        <v>0</v>
      </c>
      <c r="P192" s="4" t="b">
        <f ca="1">OR(VALUE(CALC2223!N191)&gt;VALUE(LASTV),VALUE(CALC2223!P191)&gt;VALUE(LASTV),VALUE(CALC2223!R191)&gt;VALUE(LASTV))</f>
        <v>0</v>
      </c>
      <c r="Q192" s="4" t="b">
        <f ca="1">OR(VALUE(CALC2223!T191)&gt;VALUE(LASTV),VALUE(CALC2223!V191)&gt;VALUE(LASTV),VALUE(CALC2223!X191)&gt;VALUE(LASTV))</f>
        <v>0</v>
      </c>
      <c r="R192" s="4" t="b">
        <f ca="1">OR(VALUE(CALC2223!Z191)&gt;VALUE(LASTV),VALUE(CALC2223!AB191)&gt;VALUE(LASTV),VALUE(CALC2223!AD191)&gt;VALUE(LASTV))</f>
        <v>0</v>
      </c>
      <c r="S192" s="4" t="b">
        <f ca="1">OR(VALUE(CALC2223!AF191)&gt;VALUE(LASTV),VALUE(CALC2223!AH191)&gt;VALUE(LASTV),VALUE(CALC2223!AJ191)&gt;VALUE(LASTV))</f>
        <v>0</v>
      </c>
      <c r="T192" s="4" t="b">
        <f ca="1">OR(VALUE(CALC2223!AL191)&gt;VALUE(LASTV),VALUE(CALC2223!AN191)&gt;VALUE(LASTV),VALUE(CALC2223!AP191)&gt;VALUE(LASTV))</f>
        <v>0</v>
      </c>
      <c r="U192" s="4" t="b">
        <f ca="1">OR(VALUE(CALC2223!AR191)&gt;VALUE(LASTV),VALUE(CALC2223!AT191)&gt;VALUE(LASTV),VALUE(CALC2223!AV191)&gt;VALUE(LASTV))</f>
        <v>0</v>
      </c>
      <c r="V192" s="1"/>
    </row>
    <row r="193" spans="1:22" ht="35.25" customHeight="1">
      <c r="A193" s="40"/>
      <c r="B193" s="41" t="s">
        <v>19</v>
      </c>
      <c r="C193" s="42">
        <v>46091</v>
      </c>
      <c r="D193" s="43" t="str">
        <f ca="1">CONCATENATE(CALC2223!A192," ",CALC2223!C192," ",CALC2223!E192)</f>
        <v xml:space="preserve">  </v>
      </c>
      <c r="E193" s="43" t="str">
        <f ca="1">CONCATENATE(CALC2223!G192," ",CALC2223!I192," ",CALC2223!K192)</f>
        <v xml:space="preserve">  </v>
      </c>
      <c r="F193" s="43" t="str">
        <f ca="1">CONCATENATE(CALC2223!M192," ",CALC2223!O192," ",CALC2223!Q192)</f>
        <v xml:space="preserve">oek Hoosh  </v>
      </c>
      <c r="G193" s="43" t="str">
        <f ca="1">CONCATENATE(CALC2223!S192," ",CALC2223!U192," ",CALC2223!W192)</f>
        <v xml:space="preserve">  </v>
      </c>
      <c r="H193" s="43" t="str">
        <f ca="1">CONCATENATE(CALC2223!Y192," ",CALC2223!AA192," ",CALC2223!AC192)</f>
        <v xml:space="preserve">  </v>
      </c>
      <c r="I193" s="43" t="str">
        <f ca="1">CONCATENATE(CALC2223!AE192," ",CALC2223!AG192," ",CALC2223!AI192)</f>
        <v xml:space="preserve">  </v>
      </c>
      <c r="J193" s="43" t="str">
        <f ca="1">CONCATENATE(CALC2223!AK192," ",CALC2223!AM192," ",CALC2223!AO192)</f>
        <v xml:space="preserve">  </v>
      </c>
      <c r="K193" s="43" t="str">
        <f ca="1">CONCATENATE(CALC2223!AQ192," ",CALC2223!AS192," ",CALC2223!AU192," ",CALC2223!AW192)</f>
        <v xml:space="preserve">30" rooste ;Open Lesmiddag 13:30-16:00 uur   </v>
      </c>
      <c r="L193" s="44" t="str">
        <f t="shared" ca="1" si="0"/>
        <v>actueel</v>
      </c>
      <c r="M193" s="1"/>
      <c r="N193" s="4" t="b">
        <f ca="1">OR(VALUE(CALC2223!B192)&gt;VALUE(LASTV),VALUE(CALC2223!D192)&gt;VALUE(LASTV),VALUE(CALC2223!F192)&gt;VALUE(LASTV))</f>
        <v>0</v>
      </c>
      <c r="O193" s="4" t="b">
        <f ca="1">OR(VALUE(CALC2223!H192)&gt;VALUE(LASTV),VALUE(CALC2223!J192)&gt;VALUE(LASTV),VALUE(CALC2223!L192)&gt;VALUE(LASTV))</f>
        <v>0</v>
      </c>
      <c r="P193" s="4" t="b">
        <f ca="1">OR(VALUE(CALC2223!N192)&gt;VALUE(LASTV),VALUE(CALC2223!P192)&gt;VALUE(LASTV),VALUE(CALC2223!R192)&gt;VALUE(LASTV))</f>
        <v>0</v>
      </c>
      <c r="Q193" s="4" t="b">
        <f ca="1">OR(VALUE(CALC2223!T192)&gt;VALUE(LASTV),VALUE(CALC2223!V192)&gt;VALUE(LASTV),VALUE(CALC2223!X192)&gt;VALUE(LASTV))</f>
        <v>0</v>
      </c>
      <c r="R193" s="4" t="b">
        <f ca="1">OR(VALUE(CALC2223!Z192)&gt;VALUE(LASTV),VALUE(CALC2223!AB192)&gt;VALUE(LASTV),VALUE(CALC2223!AD192)&gt;VALUE(LASTV))</f>
        <v>0</v>
      </c>
      <c r="S193" s="4" t="b">
        <f ca="1">OR(VALUE(CALC2223!AF192)&gt;VALUE(LASTV),VALUE(CALC2223!AH192)&gt;VALUE(LASTV),VALUE(CALC2223!AJ192)&gt;VALUE(LASTV))</f>
        <v>0</v>
      </c>
      <c r="T193" s="4" t="b">
        <f ca="1">OR(VALUE(CALC2223!AL192)&gt;VALUE(LASTV),VALUE(CALC2223!AN192)&gt;VALUE(LASTV),VALUE(CALC2223!AP192)&gt;VALUE(LASTV))</f>
        <v>0</v>
      </c>
      <c r="U193" s="4" t="b">
        <f ca="1">OR(VALUE(CALC2223!AR192)&gt;VALUE(LASTV),VALUE(CALC2223!AT192)&gt;VALUE(LASTV),VALUE(CALC2223!AV192)&gt;VALUE(LASTV))</f>
        <v>0</v>
      </c>
      <c r="V193" s="1"/>
    </row>
    <row r="194" spans="1:22" ht="35.25" customHeight="1">
      <c r="A194" s="40"/>
      <c r="B194" s="41" t="s">
        <v>20</v>
      </c>
      <c r="C194" s="42">
        <v>46092</v>
      </c>
      <c r="D194" s="43" t="str">
        <f ca="1">CONCATENATE(CALC2223!A193," ",CALC2223!C193," ",CALC2223!E193)</f>
        <v xml:space="preserve">Rep AK  </v>
      </c>
      <c r="E194" s="43" t="str">
        <f ca="1">CONCATENATE(CALC2223!G193," ",CALC2223!I193," ",CALC2223!K193)</f>
        <v xml:space="preserve">  </v>
      </c>
      <c r="F194" s="43" t="str">
        <f ca="1">CONCATENATE(CALC2223!M193," ",CALC2223!O193," ",CALC2223!Q193)</f>
        <v xml:space="preserve">  </v>
      </c>
      <c r="G194" s="43" t="str">
        <f ca="1">CONCATENATE(CALC2223!S193," ",CALC2223!U193," ",CALC2223!W193)</f>
        <v xml:space="preserve">  </v>
      </c>
      <c r="H194" s="43" t="str">
        <f ca="1">CONCATENATE(CALC2223!Y193," ",CALC2223!AA193," ",CALC2223!AC193)</f>
        <v xml:space="preserve">Rep FI  </v>
      </c>
      <c r="I194" s="43" t="str">
        <f ca="1">CONCATENATE(CALC2223!AE193," ",CALC2223!AG193," ",CALC2223!AI193)</f>
        <v xml:space="preserve">DELF B2 examen  </v>
      </c>
      <c r="J194" s="43" t="str">
        <f ca="1">CONCATENATE(CALC2223!AK193," ",CALC2223!AM193," ",CALC2223!AO193)</f>
        <v xml:space="preserve">llbesprG1  </v>
      </c>
      <c r="K194" s="43" t="str">
        <f ca="1">CONCATENATE(CALC2223!AQ193," ",CALC2223!AS193," ",CALC2223!AU193," ",CALC2223!AW193)</f>
        <v xml:space="preserve">30" rooster/Studium Gymnasiale   </v>
      </c>
      <c r="L194" s="44" t="str">
        <f t="shared" ca="1" si="0"/>
        <v>actueel</v>
      </c>
      <c r="M194" s="1"/>
      <c r="N194" s="4" t="b">
        <f ca="1">OR(VALUE(CALC2223!B193)&gt;VALUE(LASTV),VALUE(CALC2223!D193)&gt;VALUE(LASTV),VALUE(CALC2223!F193)&gt;VALUE(LASTV))</f>
        <v>0</v>
      </c>
      <c r="O194" s="4" t="b">
        <f ca="1">OR(VALUE(CALC2223!H193)&gt;VALUE(LASTV),VALUE(CALC2223!J193)&gt;VALUE(LASTV),VALUE(CALC2223!L193)&gt;VALUE(LASTV))</f>
        <v>0</v>
      </c>
      <c r="P194" s="4" t="b">
        <f ca="1">OR(VALUE(CALC2223!N193)&gt;VALUE(LASTV),VALUE(CALC2223!P193)&gt;VALUE(LASTV),VALUE(CALC2223!R193)&gt;VALUE(LASTV))</f>
        <v>0</v>
      </c>
      <c r="Q194" s="4" t="b">
        <f ca="1">OR(VALUE(CALC2223!T193)&gt;VALUE(LASTV),VALUE(CALC2223!V193)&gt;VALUE(LASTV),VALUE(CALC2223!X193)&gt;VALUE(LASTV))</f>
        <v>0</v>
      </c>
      <c r="R194" s="4" t="b">
        <f ca="1">OR(VALUE(CALC2223!Z193)&gt;VALUE(LASTV),VALUE(CALC2223!AB193)&gt;VALUE(LASTV),VALUE(CALC2223!AD193)&gt;VALUE(LASTV))</f>
        <v>0</v>
      </c>
      <c r="S194" s="4" t="b">
        <f ca="1">OR(VALUE(CALC2223!AF193)&gt;VALUE(LASTV),VALUE(CALC2223!AH193)&gt;VALUE(LASTV),VALUE(CALC2223!AJ193)&gt;VALUE(LASTV))</f>
        <v>0</v>
      </c>
      <c r="T194" s="4" t="b">
        <f ca="1">OR(VALUE(CALC2223!AL193)&gt;VALUE(LASTV),VALUE(CALC2223!AN193)&gt;VALUE(LASTV),VALUE(CALC2223!AP193)&gt;VALUE(LASTV))</f>
        <v>0</v>
      </c>
      <c r="U194" s="4" t="b">
        <f ca="1">OR(VALUE(CALC2223!AR193)&gt;VALUE(LASTV),VALUE(CALC2223!AT193)&gt;VALUE(LASTV),VALUE(CALC2223!AV193)&gt;VALUE(LASTV))</f>
        <v>0</v>
      </c>
      <c r="V194" s="1"/>
    </row>
    <row r="195" spans="1:22" ht="35.25" customHeight="1">
      <c r="A195" s="40"/>
      <c r="B195" s="41" t="s">
        <v>21</v>
      </c>
      <c r="C195" s="42">
        <v>46093</v>
      </c>
      <c r="D195" s="43" t="str">
        <f ca="1">CONCATENATE(CALC2223!A194," ",CALC2223!C194," ",CALC2223!E194)</f>
        <v xml:space="preserve">  </v>
      </c>
      <c r="E195" s="43" t="str">
        <f ca="1">CONCATENATE(CALC2223!G194," ",CALC2223!I194," ",CALC2223!K194)</f>
        <v xml:space="preserve">  </v>
      </c>
      <c r="F195" s="43" t="str">
        <f ca="1">CONCATENATE(CALC2223!M194," ",CALC2223!O194," ",CALC2223!Q194)</f>
        <v xml:space="preserve">Rep GES  </v>
      </c>
      <c r="G195" s="43" t="str">
        <f ca="1">CONCATENATE(CALC2223!S194," ",CALC2223!U194," ",CALC2223!W194)</f>
        <v xml:space="preserve">  </v>
      </c>
      <c r="H195" s="43" t="str">
        <f ca="1">CONCATENATE(CALC2223!Y194," ",CALC2223!AA194," ",CALC2223!AC194)</f>
        <v xml:space="preserve">  </v>
      </c>
      <c r="I195" s="43" t="str">
        <f ca="1">CONCATENATE(CALC2223!AE194," ",CALC2223!AG194," ",CALC2223!AI194)</f>
        <v xml:space="preserve">  </v>
      </c>
      <c r="J195" s="43" t="str">
        <f ca="1">CONCATENATE(CALC2223!AK194," ",CALC2223!AM194," ",CALC2223!AO194)</f>
        <v xml:space="preserve">llbesprG4  </v>
      </c>
      <c r="K195" s="43" t="str">
        <f ca="1">CONCATENATE(CALC2223!AQ194," ",CALC2223!AS194," ",CALC2223!AU194," ",CALC2223!AW194)</f>
        <v xml:space="preserve">30' rooster   </v>
      </c>
      <c r="L195" s="44" t="str">
        <f t="shared" ca="1" si="0"/>
        <v>actueel</v>
      </c>
      <c r="M195" s="1"/>
      <c r="N195" s="4" t="b">
        <f ca="1">OR(VALUE(CALC2223!B194)&gt;VALUE(LASTV),VALUE(CALC2223!D194)&gt;VALUE(LASTV),VALUE(CALC2223!F194)&gt;VALUE(LASTV))</f>
        <v>0</v>
      </c>
      <c r="O195" s="4" t="b">
        <f ca="1">OR(VALUE(CALC2223!H194)&gt;VALUE(LASTV),VALUE(CALC2223!J194)&gt;VALUE(LASTV),VALUE(CALC2223!L194)&gt;VALUE(LASTV))</f>
        <v>0</v>
      </c>
      <c r="P195" s="4" t="b">
        <f ca="1">OR(VALUE(CALC2223!N194)&gt;VALUE(LASTV),VALUE(CALC2223!P194)&gt;VALUE(LASTV),VALUE(CALC2223!R194)&gt;VALUE(LASTV))</f>
        <v>0</v>
      </c>
      <c r="Q195" s="4" t="b">
        <f ca="1">OR(VALUE(CALC2223!T194)&gt;VALUE(LASTV),VALUE(CALC2223!V194)&gt;VALUE(LASTV),VALUE(CALC2223!X194)&gt;VALUE(LASTV))</f>
        <v>0</v>
      </c>
      <c r="R195" s="4" t="b">
        <f ca="1">OR(VALUE(CALC2223!Z194)&gt;VALUE(LASTV),VALUE(CALC2223!AB194)&gt;VALUE(LASTV),VALUE(CALC2223!AD194)&gt;VALUE(LASTV))</f>
        <v>0</v>
      </c>
      <c r="S195" s="4" t="b">
        <f ca="1">OR(VALUE(CALC2223!AF194)&gt;VALUE(LASTV),VALUE(CALC2223!AH194)&gt;VALUE(LASTV),VALUE(CALC2223!AJ194)&gt;VALUE(LASTV))</f>
        <v>0</v>
      </c>
      <c r="T195" s="4" t="b">
        <f ca="1">OR(VALUE(CALC2223!AL194)&gt;VALUE(LASTV),VALUE(CALC2223!AN194)&gt;VALUE(LASTV),VALUE(CALC2223!AP194)&gt;VALUE(LASTV))</f>
        <v>0</v>
      </c>
      <c r="U195" s="4" t="b">
        <f ca="1">OR(VALUE(CALC2223!AR194)&gt;VALUE(LASTV),VALUE(CALC2223!AT194)&gt;VALUE(LASTV),VALUE(CALC2223!AV194)&gt;VALUE(LASTV))</f>
        <v>0</v>
      </c>
      <c r="V195" s="1"/>
    </row>
    <row r="196" spans="1:22" ht="35.25" customHeight="1">
      <c r="A196" s="40"/>
      <c r="B196" s="41" t="s">
        <v>22</v>
      </c>
      <c r="C196" s="42">
        <v>46094</v>
      </c>
      <c r="D196" s="43" t="str">
        <f ca="1">CONCATENATE(CALC2223!A195," ",CALC2223!C195," ",CALC2223!E195)</f>
        <v xml:space="preserve">  </v>
      </c>
      <c r="E196" s="43" t="str">
        <f ca="1">CONCATENATE(CALC2223!G195," ",CALC2223!I195," ",CALC2223!K195)</f>
        <v xml:space="preserve">Rep NA  </v>
      </c>
      <c r="F196" s="43" t="str">
        <f ca="1">CONCATENATE(CALC2223!M195," ",CALC2223!O195," ",CALC2223!Q195)</f>
        <v xml:space="preserve">  </v>
      </c>
      <c r="G196" s="43" t="str">
        <f ca="1">CONCATENATE(CALC2223!S195," ",CALC2223!U195," ",CALC2223!W195)</f>
        <v xml:space="preserve">Rep SK  </v>
      </c>
      <c r="H196" s="43" t="str">
        <f ca="1">CONCATENATE(CALC2223!Y195," ",CALC2223!AA195," ",CALC2223!AC195)</f>
        <v xml:space="preserve">  </v>
      </c>
      <c r="I196" s="43" t="str">
        <f ca="1">CONCATENATE(CALC2223!AE195," ",CALC2223!AG195," ",CALC2223!AI195)</f>
        <v xml:space="preserve">  </v>
      </c>
      <c r="J196" s="43" t="str">
        <f ca="1">CONCATENATE(CALC2223!AK195," ",CALC2223!AM195," ",CALC2223!AO195)</f>
        <v xml:space="preserve">personeelsweekend  </v>
      </c>
      <c r="K196" s="43" t="str">
        <f ca="1">CONCATENATE(CALC2223!AQ195," ",CALC2223!AS195," ",CALC2223!AU195," ",CALC2223!AW195)</f>
        <v xml:space="preserve">   </v>
      </c>
      <c r="L196" s="44" t="str">
        <f t="shared" ca="1" si="0"/>
        <v>actueel</v>
      </c>
      <c r="M196" s="1"/>
      <c r="N196" s="4" t="b">
        <f ca="1">OR(VALUE(CALC2223!B195)&gt;VALUE(LASTV),VALUE(CALC2223!D195)&gt;VALUE(LASTV),VALUE(CALC2223!F195)&gt;VALUE(LASTV))</f>
        <v>0</v>
      </c>
      <c r="O196" s="4" t="b">
        <f ca="1">OR(VALUE(CALC2223!H195)&gt;VALUE(LASTV),VALUE(CALC2223!J195)&gt;VALUE(LASTV),VALUE(CALC2223!L195)&gt;VALUE(LASTV))</f>
        <v>0</v>
      </c>
      <c r="P196" s="4" t="b">
        <f ca="1">OR(VALUE(CALC2223!N195)&gt;VALUE(LASTV),VALUE(CALC2223!P195)&gt;VALUE(LASTV),VALUE(CALC2223!R195)&gt;VALUE(LASTV))</f>
        <v>0</v>
      </c>
      <c r="Q196" s="4" t="b">
        <f ca="1">OR(VALUE(CALC2223!T195)&gt;VALUE(LASTV),VALUE(CALC2223!V195)&gt;VALUE(LASTV),VALUE(CALC2223!X195)&gt;VALUE(LASTV))</f>
        <v>0</v>
      </c>
      <c r="R196" s="4" t="b">
        <f ca="1">OR(VALUE(CALC2223!Z195)&gt;VALUE(LASTV),VALUE(CALC2223!AB195)&gt;VALUE(LASTV),VALUE(CALC2223!AD195)&gt;VALUE(LASTV))</f>
        <v>0</v>
      </c>
      <c r="S196" s="4" t="b">
        <f ca="1">OR(VALUE(CALC2223!AF195)&gt;VALUE(LASTV),VALUE(CALC2223!AH195)&gt;VALUE(LASTV),VALUE(CALC2223!AJ195)&gt;VALUE(LASTV))</f>
        <v>0</v>
      </c>
      <c r="T196" s="4" t="b">
        <f ca="1">OR(VALUE(CALC2223!AL195)&gt;VALUE(LASTV),VALUE(CALC2223!AN195)&gt;VALUE(LASTV),VALUE(CALC2223!AP195)&gt;VALUE(LASTV))</f>
        <v>0</v>
      </c>
      <c r="U196" s="4" t="b">
        <f ca="1">OR(VALUE(CALC2223!AR195)&gt;VALUE(LASTV),VALUE(CALC2223!AT195)&gt;VALUE(LASTV),VALUE(CALC2223!AV195)&gt;VALUE(LASTV))</f>
        <v>0</v>
      </c>
      <c r="V196" s="1"/>
    </row>
    <row r="197" spans="1:22" ht="35.25" customHeight="1">
      <c r="A197" s="45"/>
      <c r="B197" s="46" t="s">
        <v>23</v>
      </c>
      <c r="C197" s="47">
        <v>46095</v>
      </c>
      <c r="D197" s="48" t="str">
        <f ca="1">CONCATENATE(CALC2223!A196," ",CALC2223!C196," ",CALC2223!E196)</f>
        <v xml:space="preserve">  </v>
      </c>
      <c r="E197" s="48" t="str">
        <f ca="1">CONCATENATE(CALC2223!G196," ",CALC2223!I196," ",CALC2223!K196)</f>
        <v xml:space="preserve">  </v>
      </c>
      <c r="F197" s="48" t="str">
        <f ca="1">CONCATENATE(CALC2223!M196," ",CALC2223!O196," ",CALC2223!Q196)</f>
        <v xml:space="preserve">  </v>
      </c>
      <c r="G197" s="48" t="str">
        <f ca="1">CONCATENATE(CALC2223!S196," ",CALC2223!U196," ",CALC2223!W196)</f>
        <v xml:space="preserve">  </v>
      </c>
      <c r="H197" s="48" t="str">
        <f ca="1">CONCATENATE(CALC2223!Y196," ",CALC2223!AA196," ",CALC2223!AC196)</f>
        <v xml:space="preserve">  </v>
      </c>
      <c r="I197" s="48" t="str">
        <f ca="1">CONCATENATE(CALC2223!AE196," ",CALC2223!AG196," ",CALC2223!AI196)</f>
        <v xml:space="preserve">DELF B2 mondeling  </v>
      </c>
      <c r="J197" s="48" t="str">
        <f ca="1">CONCATENATE(CALC2223!AK196," ",CALC2223!AM196," ",CALC2223!AO196)</f>
        <v xml:space="preserve">personeelsweekend  </v>
      </c>
      <c r="K197" s="48" t="str">
        <f ca="1">CONCATENATE(CALC2223!AQ196," ",CALC2223!AS196," ",CALC2223!AU196," ",CALC2223!AW196)</f>
        <v xml:space="preserve">   </v>
      </c>
      <c r="L197" s="49" t="str">
        <f t="shared" ca="1" si="0"/>
        <v>actueel</v>
      </c>
      <c r="M197" s="1"/>
      <c r="N197" s="4" t="b">
        <f ca="1">OR(VALUE(CALC2223!B196)&gt;VALUE(LASTV),VALUE(CALC2223!D196)&gt;VALUE(LASTV),VALUE(CALC2223!F196)&gt;VALUE(LASTV))</f>
        <v>0</v>
      </c>
      <c r="O197" s="4" t="b">
        <f ca="1">OR(VALUE(CALC2223!H196)&gt;VALUE(LASTV),VALUE(CALC2223!J196)&gt;VALUE(LASTV),VALUE(CALC2223!L196)&gt;VALUE(LASTV))</f>
        <v>0</v>
      </c>
      <c r="P197" s="4" t="b">
        <f ca="1">OR(VALUE(CALC2223!N196)&gt;VALUE(LASTV),VALUE(CALC2223!P196)&gt;VALUE(LASTV),VALUE(CALC2223!R196)&gt;VALUE(LASTV))</f>
        <v>0</v>
      </c>
      <c r="Q197" s="4" t="b">
        <f ca="1">OR(VALUE(CALC2223!T196)&gt;VALUE(LASTV),VALUE(CALC2223!V196)&gt;VALUE(LASTV),VALUE(CALC2223!X196)&gt;VALUE(LASTV))</f>
        <v>0</v>
      </c>
      <c r="R197" s="4" t="b">
        <f ca="1">OR(VALUE(CALC2223!Z196)&gt;VALUE(LASTV),VALUE(CALC2223!AB196)&gt;VALUE(LASTV),VALUE(CALC2223!AD196)&gt;VALUE(LASTV))</f>
        <v>0</v>
      </c>
      <c r="S197" s="4" t="b">
        <f ca="1">OR(VALUE(CALC2223!AF196)&gt;VALUE(LASTV),VALUE(CALC2223!AH196)&gt;VALUE(LASTV),VALUE(CALC2223!AJ196)&gt;VALUE(LASTV))</f>
        <v>0</v>
      </c>
      <c r="T197" s="4" t="b">
        <f ca="1">OR(VALUE(CALC2223!AL196)&gt;VALUE(LASTV),VALUE(CALC2223!AN196)&gt;VALUE(LASTV),VALUE(CALC2223!AP196)&gt;VALUE(LASTV))</f>
        <v>0</v>
      </c>
      <c r="U197" s="4" t="b">
        <f ca="1">OR(VALUE(CALC2223!AR196)&gt;VALUE(LASTV),VALUE(CALC2223!AT196)&gt;VALUE(LASTV),VALUE(CALC2223!AV196)&gt;VALUE(LASTV))</f>
        <v>0</v>
      </c>
      <c r="V197" s="1"/>
    </row>
    <row r="198" spans="1:22" ht="35.25" customHeight="1">
      <c r="A198" s="45"/>
      <c r="B198" s="46" t="s">
        <v>24</v>
      </c>
      <c r="C198" s="47">
        <v>46096</v>
      </c>
      <c r="D198" s="48" t="str">
        <f ca="1">CONCATENATE(CALC2223!A197," ",CALC2223!C197," ",CALC2223!E197)</f>
        <v xml:space="preserve">  </v>
      </c>
      <c r="E198" s="48" t="str">
        <f ca="1">CONCATENATE(CALC2223!G197," ",CALC2223!I197," ",CALC2223!K197)</f>
        <v xml:space="preserve">  </v>
      </c>
      <c r="F198" s="48" t="str">
        <f ca="1">CONCATENATE(CALC2223!M197," ",CALC2223!O197," ",CALC2223!Q197)</f>
        <v xml:space="preserve">  </v>
      </c>
      <c r="G198" s="48" t="str">
        <f ca="1">CONCATENATE(CALC2223!S197," ",CALC2223!U197," ",CALC2223!W197)</f>
        <v xml:space="preserve">  </v>
      </c>
      <c r="H198" s="48" t="str">
        <f ca="1">CONCATENATE(CALC2223!Y197," ",CALC2223!AA197," ",CALC2223!AC197)</f>
        <v xml:space="preserve">  </v>
      </c>
      <c r="I198" s="48" t="str">
        <f ca="1">CONCATENATE(CALC2223!AE197," ",CALC2223!AG197," ",CALC2223!AI197)</f>
        <v xml:space="preserve">  </v>
      </c>
      <c r="J198" s="48" t="str">
        <f ca="1">CONCATENATE(CALC2223!AK197," ",CALC2223!AM197," ",CALC2223!AO197)</f>
        <v xml:space="preserve">personeelsweekned  </v>
      </c>
      <c r="K198" s="48" t="str">
        <f ca="1">CONCATENATE(CALC2223!AQ197," ",CALC2223!AS197," ",CALC2223!AU197," ",CALC2223!AW197)</f>
        <v xml:space="preserve">   </v>
      </c>
      <c r="L198" s="49" t="str">
        <f t="shared" ca="1" si="0"/>
        <v>actueel</v>
      </c>
      <c r="M198" s="1"/>
      <c r="N198" s="4" t="b">
        <f ca="1">OR(VALUE(CALC2223!B197)&gt;VALUE(LASTV),VALUE(CALC2223!D197)&gt;VALUE(LASTV),VALUE(CALC2223!F197)&gt;VALUE(LASTV))</f>
        <v>0</v>
      </c>
      <c r="O198" s="4" t="b">
        <f ca="1">OR(VALUE(CALC2223!H197)&gt;VALUE(LASTV),VALUE(CALC2223!J197)&gt;VALUE(LASTV),VALUE(CALC2223!L197)&gt;VALUE(LASTV))</f>
        <v>0</v>
      </c>
      <c r="P198" s="4" t="b">
        <f ca="1">OR(VALUE(CALC2223!N197)&gt;VALUE(LASTV),VALUE(CALC2223!P197)&gt;VALUE(LASTV),VALUE(CALC2223!R197)&gt;VALUE(LASTV))</f>
        <v>0</v>
      </c>
      <c r="Q198" s="4" t="b">
        <f ca="1">OR(VALUE(CALC2223!T197)&gt;VALUE(LASTV),VALUE(CALC2223!V197)&gt;VALUE(LASTV),VALUE(CALC2223!X197)&gt;VALUE(LASTV))</f>
        <v>0</v>
      </c>
      <c r="R198" s="4" t="b">
        <f ca="1">OR(VALUE(CALC2223!Z197)&gt;VALUE(LASTV),VALUE(CALC2223!AB197)&gt;VALUE(LASTV),VALUE(CALC2223!AD197)&gt;VALUE(LASTV))</f>
        <v>0</v>
      </c>
      <c r="S198" s="4" t="b">
        <f ca="1">OR(VALUE(CALC2223!AF197)&gt;VALUE(LASTV),VALUE(CALC2223!AH197)&gt;VALUE(LASTV),VALUE(CALC2223!AJ197)&gt;VALUE(LASTV))</f>
        <v>0</v>
      </c>
      <c r="T198" s="4" t="b">
        <f ca="1">OR(VALUE(CALC2223!AL197)&gt;VALUE(LASTV),VALUE(CALC2223!AN197)&gt;VALUE(LASTV),VALUE(CALC2223!AP197)&gt;VALUE(LASTV))</f>
        <v>0</v>
      </c>
      <c r="U198" s="4" t="b">
        <f ca="1">OR(VALUE(CALC2223!AR197)&gt;VALUE(LASTV),VALUE(CALC2223!AT197)&gt;VALUE(LASTV),VALUE(CALC2223!AV197)&gt;VALUE(LASTV))</f>
        <v>0</v>
      </c>
      <c r="V198" s="1"/>
    </row>
    <row r="199" spans="1:22" ht="35.25" customHeight="1">
      <c r="A199" s="50">
        <v>12</v>
      </c>
      <c r="B199" s="41" t="s">
        <v>18</v>
      </c>
      <c r="C199" s="42">
        <v>46097</v>
      </c>
      <c r="D199" s="51" t="str">
        <f ca="1">CONCATENATE(CALC2223!A198," ",CALC2223!C198," ",CALC2223!E198)</f>
        <v xml:space="preserve">  </v>
      </c>
      <c r="E199" s="51" t="str">
        <f ca="1">CONCATENATE(CALC2223!G198," ",CALC2223!I198," ",CALC2223!K198)</f>
        <v xml:space="preserve">  </v>
      </c>
      <c r="F199" s="51" t="str">
        <f ca="1">CONCATENATE(CALC2223!M198," ",CALC2223!O198," ",CALC2223!Q198)</f>
        <v xml:space="preserve">  </v>
      </c>
      <c r="G199" s="51" t="str">
        <f ca="1">CONCATENATE(CALC2223!S198," ",CALC2223!U198," ",CALC2223!W198)</f>
        <v xml:space="preserve">  </v>
      </c>
      <c r="H199" s="51" t="str">
        <f ca="1">CONCATENATE(CALC2223!Y198," ",CALC2223!AA198," ",CALC2223!AC198)</f>
        <v xml:space="preserve">Rep NA inh rep WiB </v>
      </c>
      <c r="I199" s="51" t="str">
        <f ca="1">CONCATENATE(CALC2223!AE198," ",CALC2223!AG198," ",CALC2223!AI198)</f>
        <v xml:space="preserve">  </v>
      </c>
      <c r="J199" s="51" t="str">
        <f ca="1">CONCATENATE(CALC2223!AK198," ",CALC2223!AM198," ",CALC2223!AO198)</f>
        <v xml:space="preserve">  </v>
      </c>
      <c r="K199" s="51" t="str">
        <f ca="1">CONCATENATE(CALC2223!AQ198," ",CALC2223!AS198," ",CALC2223!AU198," ",CALC2223!AW198)</f>
        <v xml:space="preserve">   </v>
      </c>
      <c r="L199" s="52" t="str">
        <f t="shared" ca="1" si="0"/>
        <v>actueel</v>
      </c>
      <c r="M199" s="1"/>
      <c r="N199" s="4" t="b">
        <f ca="1">OR(VALUE(CALC2223!B198)&gt;VALUE(LASTV),VALUE(CALC2223!D198)&gt;VALUE(LASTV),VALUE(CALC2223!F198)&gt;VALUE(LASTV))</f>
        <v>0</v>
      </c>
      <c r="O199" s="4" t="b">
        <f ca="1">OR(VALUE(CALC2223!H198)&gt;VALUE(LASTV),VALUE(CALC2223!J198)&gt;VALUE(LASTV),VALUE(CALC2223!L198)&gt;VALUE(LASTV))</f>
        <v>0</v>
      </c>
      <c r="P199" s="4" t="b">
        <f ca="1">OR(VALUE(CALC2223!N198)&gt;VALUE(LASTV),VALUE(CALC2223!P198)&gt;VALUE(LASTV),VALUE(CALC2223!R198)&gt;VALUE(LASTV))</f>
        <v>0</v>
      </c>
      <c r="Q199" s="4" t="b">
        <f ca="1">OR(VALUE(CALC2223!T198)&gt;VALUE(LASTV),VALUE(CALC2223!V198)&gt;VALUE(LASTV),VALUE(CALC2223!X198)&gt;VALUE(LASTV))</f>
        <v>0</v>
      </c>
      <c r="R199" s="4" t="b">
        <f ca="1">OR(VALUE(CALC2223!Z198)&gt;VALUE(LASTV),VALUE(CALC2223!AB198)&gt;VALUE(LASTV),VALUE(CALC2223!AD198)&gt;VALUE(LASTV))</f>
        <v>0</v>
      </c>
      <c r="S199" s="4" t="b">
        <f ca="1">OR(VALUE(CALC2223!AF198)&gt;VALUE(LASTV),VALUE(CALC2223!AH198)&gt;VALUE(LASTV),VALUE(CALC2223!AJ198)&gt;VALUE(LASTV))</f>
        <v>0</v>
      </c>
      <c r="T199" s="4" t="b">
        <f ca="1">OR(VALUE(CALC2223!AL198)&gt;VALUE(LASTV),VALUE(CALC2223!AN198)&gt;VALUE(LASTV),VALUE(CALC2223!AP198)&gt;VALUE(LASTV))</f>
        <v>0</v>
      </c>
      <c r="U199" s="4" t="b">
        <f ca="1">OR(VALUE(CALC2223!AR198)&gt;VALUE(LASTV),VALUE(CALC2223!AT198)&gt;VALUE(LASTV),VALUE(CALC2223!AV198)&gt;VALUE(LASTV))</f>
        <v>0</v>
      </c>
      <c r="V199" s="1"/>
    </row>
    <row r="200" spans="1:22" ht="35.25" customHeight="1">
      <c r="A200" s="40"/>
      <c r="B200" s="41" t="s">
        <v>19</v>
      </c>
      <c r="C200" s="42">
        <v>46098</v>
      </c>
      <c r="D200" s="51" t="str">
        <f ca="1">CONCATENATE(CALC2223!A199," ",CALC2223!C199," ",CALC2223!E199)</f>
        <v xml:space="preserve">  </v>
      </c>
      <c r="E200" s="51" t="str">
        <f ca="1">CONCATENATE(CALC2223!G199," ",CALC2223!I199," ",CALC2223!K199)</f>
        <v xml:space="preserve">  </v>
      </c>
      <c r="F200" s="51" t="str">
        <f ca="1">CONCATENATE(CALC2223!M199," ",CALC2223!O199," ",CALC2223!Q199)</f>
        <v xml:space="preserve">vakadviezen staan in Magister  </v>
      </c>
      <c r="G200" s="51" t="str">
        <f ca="1">CONCATENATE(CALC2223!S199," ",CALC2223!U199," ",CALC2223!W199)</f>
        <v xml:space="preserve">Rep WIABC  </v>
      </c>
      <c r="H200" s="51" t="str">
        <f ca="1">CONCATENATE(CALC2223!Y199," ",CALC2223!AA199," ",CALC2223!AC199)</f>
        <v xml:space="preserve">  </v>
      </c>
      <c r="I200" s="51" t="str">
        <f ca="1">CONCATENATE(CALC2223!AE199," ",CALC2223!AG199," ",CALC2223!AI199)</f>
        <v xml:space="preserve">WisD  </v>
      </c>
      <c r="J200" s="51" t="str">
        <f ca="1">CONCATENATE(CALC2223!AK199," ",CALC2223!AM199," ",CALC2223!AO199)</f>
        <v xml:space="preserve">vakadviezen in Magister lj 3 WisD </v>
      </c>
      <c r="K200" s="51" t="str">
        <f ca="1">CONCATENATE(CALC2223!AQ199," ",CALC2223!AS199," ",CALC2223!AU199," ",CALC2223!AW199)</f>
        <v xml:space="preserve">WisD   </v>
      </c>
      <c r="L200" s="52" t="str">
        <f t="shared" ca="1" si="0"/>
        <v>actueel</v>
      </c>
      <c r="M200" s="1"/>
      <c r="N200" s="4" t="b">
        <f ca="1">OR(VALUE(CALC2223!B199)&gt;VALUE(LASTV),VALUE(CALC2223!D199)&gt;VALUE(LASTV),VALUE(CALC2223!F199)&gt;VALUE(LASTV))</f>
        <v>0</v>
      </c>
      <c r="O200" s="4" t="b">
        <f ca="1">OR(VALUE(CALC2223!H199)&gt;VALUE(LASTV),VALUE(CALC2223!J199)&gt;VALUE(LASTV),VALUE(CALC2223!L199)&gt;VALUE(LASTV))</f>
        <v>0</v>
      </c>
      <c r="P200" s="4" t="b">
        <f ca="1">OR(VALUE(CALC2223!N199)&gt;VALUE(LASTV),VALUE(CALC2223!P199)&gt;VALUE(LASTV),VALUE(CALC2223!R199)&gt;VALUE(LASTV))</f>
        <v>0</v>
      </c>
      <c r="Q200" s="4" t="b">
        <f ca="1">OR(VALUE(CALC2223!T199)&gt;VALUE(LASTV),VALUE(CALC2223!V199)&gt;VALUE(LASTV),VALUE(CALC2223!X199)&gt;VALUE(LASTV))</f>
        <v>0</v>
      </c>
      <c r="R200" s="4" t="b">
        <f ca="1">OR(VALUE(CALC2223!Z199)&gt;VALUE(LASTV),VALUE(CALC2223!AB199)&gt;VALUE(LASTV),VALUE(CALC2223!AD199)&gt;VALUE(LASTV))</f>
        <v>0</v>
      </c>
      <c r="S200" s="4" t="b">
        <f ca="1">OR(VALUE(CALC2223!AF199)&gt;VALUE(LASTV),VALUE(CALC2223!AH199)&gt;VALUE(LASTV),VALUE(CALC2223!AJ199)&gt;VALUE(LASTV))</f>
        <v>1</v>
      </c>
      <c r="T200" s="4" t="b">
        <f ca="1">OR(VALUE(CALC2223!AL199)&gt;VALUE(LASTV),VALUE(CALC2223!AN199)&gt;VALUE(LASTV),VALUE(CALC2223!AP199)&gt;VALUE(LASTV))</f>
        <v>1</v>
      </c>
      <c r="U200" s="4" t="b">
        <f ca="1">OR(VALUE(CALC2223!AR199)&gt;VALUE(LASTV),VALUE(CALC2223!AT199)&gt;VALUE(LASTV),VALUE(CALC2223!AV199)&gt;VALUE(LASTV))</f>
        <v>1</v>
      </c>
      <c r="V200" s="1"/>
    </row>
    <row r="201" spans="1:22" ht="35.25" customHeight="1">
      <c r="A201" s="40"/>
      <c r="B201" s="41" t="s">
        <v>20</v>
      </c>
      <c r="C201" s="42">
        <v>46099</v>
      </c>
      <c r="D201" s="51" t="str">
        <f ca="1">CONCATENATE(CALC2223!A200," ",CALC2223!C200," ",CALC2223!E200)</f>
        <v xml:space="preserve">Rep LA  </v>
      </c>
      <c r="E201" s="51" t="str">
        <f ca="1">CONCATENATE(CALC2223!G200," ",CALC2223!I200," ",CALC2223!K200)</f>
        <v xml:space="preserve">Rep LA  </v>
      </c>
      <c r="F201" s="51" t="str">
        <f ca="1">CONCATENATE(CALC2223!M200," ",CALC2223!O200," ",CALC2223!Q200)</f>
        <v xml:space="preserve">  </v>
      </c>
      <c r="G201" s="51" t="str">
        <f ca="1">CONCATENATE(CALC2223!S200," ",CALC2223!U200," ",CALC2223!W200)</f>
        <v xml:space="preserve">Slotdag Inktaap voor deelnemers (hele dag)  </v>
      </c>
      <c r="H201" s="51" t="str">
        <f ca="1">CONCATENATE(CALC2223!Y200," ",CALC2223!AA200," ",CALC2223!AC200)</f>
        <v xml:space="preserve">Rep GR Slotdag Inktaap voor deelnemers (hele dag) </v>
      </c>
      <c r="I201" s="51" t="str">
        <f ca="1">CONCATENATE(CALC2223!AE200," ",CALC2223!AG200," ",CALC2223!AI200)</f>
        <v xml:space="preserve">tsweek: GRTL, LATL  </v>
      </c>
      <c r="J201" s="51" t="str">
        <f ca="1">CONCATENATE(CALC2223!AK200," ",CALC2223!AM200," ",CALC2223!AO200)</f>
        <v xml:space="preserve">  </v>
      </c>
      <c r="K201" s="51" t="str">
        <f ca="1">CONCATENATE(CALC2223!AQ200," ",CALC2223!AS200," ",CALC2223!AU200," ",CALC2223!AW200)</f>
        <v xml:space="preserve">   </v>
      </c>
      <c r="L201" s="52" t="str">
        <f t="shared" ca="1" si="0"/>
        <v>actueel</v>
      </c>
      <c r="M201" s="1"/>
      <c r="N201" s="4" t="b">
        <f ca="1">OR(VALUE(CALC2223!B200)&gt;VALUE(LASTV),VALUE(CALC2223!D200)&gt;VALUE(LASTV),VALUE(CALC2223!F200)&gt;VALUE(LASTV))</f>
        <v>0</v>
      </c>
      <c r="O201" s="4" t="b">
        <f ca="1">OR(VALUE(CALC2223!H200)&gt;VALUE(LASTV),VALUE(CALC2223!J200)&gt;VALUE(LASTV),VALUE(CALC2223!L200)&gt;VALUE(LASTV))</f>
        <v>0</v>
      </c>
      <c r="P201" s="4" t="b">
        <f ca="1">OR(VALUE(CALC2223!N200)&gt;VALUE(LASTV),VALUE(CALC2223!P200)&gt;VALUE(LASTV),VALUE(CALC2223!R200)&gt;VALUE(LASTV))</f>
        <v>0</v>
      </c>
      <c r="Q201" s="4" t="b">
        <f ca="1">OR(VALUE(CALC2223!T200)&gt;VALUE(LASTV),VALUE(CALC2223!V200)&gt;VALUE(LASTV),VALUE(CALC2223!X200)&gt;VALUE(LASTV))</f>
        <v>0</v>
      </c>
      <c r="R201" s="4" t="b">
        <f ca="1">OR(VALUE(CALC2223!Z200)&gt;VALUE(LASTV),VALUE(CALC2223!AB200)&gt;VALUE(LASTV),VALUE(CALC2223!AD200)&gt;VALUE(LASTV))</f>
        <v>0</v>
      </c>
      <c r="S201" s="4" t="b">
        <f ca="1">OR(VALUE(CALC2223!AF200)&gt;VALUE(LASTV),VALUE(CALC2223!AH200)&gt;VALUE(LASTV),VALUE(CALC2223!AJ200)&gt;VALUE(LASTV))</f>
        <v>0</v>
      </c>
      <c r="T201" s="4" t="b">
        <f ca="1">OR(VALUE(CALC2223!AL200)&gt;VALUE(LASTV),VALUE(CALC2223!AN200)&gt;VALUE(LASTV),VALUE(CALC2223!AP200)&gt;VALUE(LASTV))</f>
        <v>0</v>
      </c>
      <c r="U201" s="4" t="b">
        <f ca="1">OR(VALUE(CALC2223!AR200)&gt;VALUE(LASTV),VALUE(CALC2223!AT200)&gt;VALUE(LASTV),VALUE(CALC2223!AV200)&gt;VALUE(LASTV))</f>
        <v>0</v>
      </c>
      <c r="V201" s="1"/>
    </row>
    <row r="202" spans="1:22" ht="35.25" customHeight="1">
      <c r="A202" s="40"/>
      <c r="B202" s="41" t="s">
        <v>21</v>
      </c>
      <c r="C202" s="42">
        <v>46100</v>
      </c>
      <c r="D202" s="51" t="str">
        <f ca="1">CONCATENATE(CALC2223!A201," ",CALC2223!C201," ",CALC2223!E201)</f>
        <v xml:space="preserve">geroewedstrijd Leerjaar 1  </v>
      </c>
      <c r="E202" s="51" t="str">
        <f ca="1">CONCATENATE(CALC2223!G201," ",CALC2223!I201," ",CALC2223!K201)</f>
        <v xml:space="preserve">geroewedstrijd Leerjaar 2  </v>
      </c>
      <c r="F202" s="51" t="str">
        <f ca="1">CONCATENATE(CALC2223!M201," ",CALC2223!O201," ",CALC2223!Q201)</f>
        <v xml:space="preserve">Rep EN  </v>
      </c>
      <c r="G202" s="51" t="str">
        <f ca="1">CONCATENATE(CALC2223!S201," ",CALC2223!U201," ",CALC2223!W201)</f>
        <v xml:space="preserve">veegmoment  </v>
      </c>
      <c r="H202" s="51" t="str">
        <f ca="1">CONCATENATE(CALC2223!Y201," ",CALC2223!AA201," ",CALC2223!AC201)</f>
        <v xml:space="preserve">veegmoment  </v>
      </c>
      <c r="I202" s="51" t="str">
        <f ca="1">CONCATENATE(CALC2223!AE201," ",CALC2223!AG201," ",CALC2223!AI201)</f>
        <v xml:space="preserve">tsweek: NE  </v>
      </c>
      <c r="J202" s="51" t="str">
        <f ca="1">CONCATENATE(CALC2223!AK201," ",CALC2223!AM201," ",CALC2223!AO201)</f>
        <v xml:space="preserve">secties#6  </v>
      </c>
      <c r="K202" s="51" t="str">
        <f ca="1">CONCATENATE(CALC2223!AQ201," ",CALC2223!AS201," ",CALC2223!AU201," ",CALC2223!AW201)</f>
        <v xml:space="preserve">Einde Ramadan      </v>
      </c>
      <c r="L202" s="52" t="str">
        <f t="shared" ca="1" si="0"/>
        <v>actueel</v>
      </c>
      <c r="M202" s="1"/>
      <c r="N202" s="4" t="b">
        <f ca="1">OR(VALUE(CALC2223!B201)&gt;VALUE(LASTV),VALUE(CALC2223!D201)&gt;VALUE(LASTV),VALUE(CALC2223!F201)&gt;VALUE(LASTV))</f>
        <v>0</v>
      </c>
      <c r="O202" s="4" t="b">
        <f ca="1">OR(VALUE(CALC2223!H201)&gt;VALUE(LASTV),VALUE(CALC2223!J201)&gt;VALUE(LASTV),VALUE(CALC2223!L201)&gt;VALUE(LASTV))</f>
        <v>0</v>
      </c>
      <c r="P202" s="4" t="b">
        <f ca="1">OR(VALUE(CALC2223!N201)&gt;VALUE(LASTV),VALUE(CALC2223!P201)&gt;VALUE(LASTV),VALUE(CALC2223!R201)&gt;VALUE(LASTV))</f>
        <v>0</v>
      </c>
      <c r="Q202" s="4" t="b">
        <f ca="1">OR(VALUE(CALC2223!T201)&gt;VALUE(LASTV),VALUE(CALC2223!V201)&gt;VALUE(LASTV),VALUE(CALC2223!X201)&gt;VALUE(LASTV))</f>
        <v>0</v>
      </c>
      <c r="R202" s="4" t="b">
        <f ca="1">OR(VALUE(CALC2223!Z201)&gt;VALUE(LASTV),VALUE(CALC2223!AB201)&gt;VALUE(LASTV),VALUE(CALC2223!AD201)&gt;VALUE(LASTV))</f>
        <v>0</v>
      </c>
      <c r="S202" s="4" t="b">
        <f ca="1">OR(VALUE(CALC2223!AF201)&gt;VALUE(LASTV),VALUE(CALC2223!AH201)&gt;VALUE(LASTV),VALUE(CALC2223!AJ201)&gt;VALUE(LASTV))</f>
        <v>1</v>
      </c>
      <c r="T202" s="4" t="b">
        <f ca="1">OR(VALUE(CALC2223!AL201)&gt;VALUE(LASTV),VALUE(CALC2223!AN201)&gt;VALUE(LASTV),VALUE(CALC2223!AP201)&gt;VALUE(LASTV))</f>
        <v>0</v>
      </c>
      <c r="U202" s="4" t="b">
        <f ca="1">OR(VALUE(CALC2223!AR201)&gt;VALUE(LASTV),VALUE(CALC2223!AT201)&gt;VALUE(LASTV),VALUE(CALC2223!AV201)&gt;VALUE(LASTV))</f>
        <v>0</v>
      </c>
      <c r="V202" s="1"/>
    </row>
    <row r="203" spans="1:22" ht="35.25" customHeight="1">
      <c r="A203" s="74"/>
      <c r="B203" s="70" t="s">
        <v>22</v>
      </c>
      <c r="C203" s="71">
        <v>46101</v>
      </c>
      <c r="D203" s="72" t="str">
        <f ca="1">CONCATENATE(CALC2223!A202," ",CALC2223!C202," ",CALC2223!E202)</f>
        <v xml:space="preserve">  </v>
      </c>
      <c r="E203" s="72" t="str">
        <f ca="1">CONCATENATE(CALC2223!G202," ",CALC2223!I202," ",CALC2223!K202)</f>
        <v xml:space="preserve">  </v>
      </c>
      <c r="F203" s="72" t="str">
        <f ca="1">CONCATENATE(CALC2223!M202," ",CALC2223!O202," ",CALC2223!Q202)</f>
        <v xml:space="preserve">  </v>
      </c>
      <c r="G203" s="72" t="str">
        <f ca="1">CONCATENATE(CALC2223!S202," ",CALC2223!U202," ",CALC2223!W202)</f>
        <v xml:space="preserve">  </v>
      </c>
      <c r="H203" s="72" t="str">
        <f ca="1">CONCATENATE(CALC2223!Y202," ",CALC2223!AA202," ",CALC2223!AC202)</f>
        <v xml:space="preserve">  </v>
      </c>
      <c r="I203" s="72" t="str">
        <f ca="1">CONCATENATE(CALC2223!AE202," ",CALC2223!AG202," ",CALC2223!AI202)</f>
        <v xml:space="preserve">  </v>
      </c>
      <c r="J203" s="72" t="str">
        <f ca="1">CONCATENATE(CALC2223!AK202," ",CALC2223!AM202," ",CALC2223!AO202)</f>
        <v xml:space="preserve">  </v>
      </c>
      <c r="K203" s="72" t="str">
        <f ca="1">CONCATENATE(CALC2223!AQ202," ",CALC2223!AS202," ",CALC2223!AU202," ",CALC2223!AW202)</f>
        <v xml:space="preserve">suikerfeest    </v>
      </c>
      <c r="L203" s="73" t="str">
        <f t="shared" ca="1" si="0"/>
        <v>actueel</v>
      </c>
      <c r="M203" s="1"/>
      <c r="N203" s="4" t="b">
        <f ca="1">OR(VALUE(CALC2223!B202)&gt;VALUE(LASTV),VALUE(CALC2223!D202)&gt;VALUE(LASTV),VALUE(CALC2223!F202)&gt;VALUE(LASTV))</f>
        <v>0</v>
      </c>
      <c r="O203" s="4" t="b">
        <f ca="1">OR(VALUE(CALC2223!H202)&gt;VALUE(LASTV),VALUE(CALC2223!J202)&gt;VALUE(LASTV),VALUE(CALC2223!L202)&gt;VALUE(LASTV))</f>
        <v>0</v>
      </c>
      <c r="P203" s="4" t="b">
        <f ca="1">OR(VALUE(CALC2223!N202)&gt;VALUE(LASTV),VALUE(CALC2223!P202)&gt;VALUE(LASTV),VALUE(CALC2223!R202)&gt;VALUE(LASTV))</f>
        <v>0</v>
      </c>
      <c r="Q203" s="4" t="b">
        <f ca="1">OR(VALUE(CALC2223!T202)&gt;VALUE(LASTV),VALUE(CALC2223!V202)&gt;VALUE(LASTV),VALUE(CALC2223!X202)&gt;VALUE(LASTV))</f>
        <v>0</v>
      </c>
      <c r="R203" s="4" t="b">
        <f ca="1">OR(VALUE(CALC2223!Z202)&gt;VALUE(LASTV),VALUE(CALC2223!AB202)&gt;VALUE(LASTV),VALUE(CALC2223!AD202)&gt;VALUE(LASTV))</f>
        <v>0</v>
      </c>
      <c r="S203" s="4" t="b">
        <f ca="1">OR(VALUE(CALC2223!AF202)&gt;VALUE(LASTV),VALUE(CALC2223!AH202)&gt;VALUE(LASTV),VALUE(CALC2223!AJ202)&gt;VALUE(LASTV))</f>
        <v>0</v>
      </c>
      <c r="T203" s="4" t="b">
        <f ca="1">OR(VALUE(CALC2223!AL202)&gt;VALUE(LASTV),VALUE(CALC2223!AN202)&gt;VALUE(LASTV),VALUE(CALC2223!AP202)&gt;VALUE(LASTV))</f>
        <v>0</v>
      </c>
      <c r="U203" s="4" t="b">
        <f ca="1">OR(VALUE(CALC2223!AR202)&gt;VALUE(LASTV),VALUE(CALC2223!AT202)&gt;VALUE(LASTV),VALUE(CALC2223!AV202)&gt;VALUE(LASTV))</f>
        <v>0</v>
      </c>
      <c r="V203" s="1"/>
    </row>
    <row r="204" spans="1:22" ht="35.25" customHeight="1">
      <c r="A204" s="45"/>
      <c r="B204" s="46" t="s">
        <v>23</v>
      </c>
      <c r="C204" s="47">
        <v>46102</v>
      </c>
      <c r="D204" s="48" t="str">
        <f ca="1">CONCATENATE(CALC2223!A203," ",CALC2223!C203," ",CALC2223!E203)</f>
        <v xml:space="preserve">  </v>
      </c>
      <c r="E204" s="48" t="str">
        <f ca="1">CONCATENATE(CALC2223!G203," ",CALC2223!I203," ",CALC2223!K203)</f>
        <v xml:space="preserve">  </v>
      </c>
      <c r="F204" s="48" t="str">
        <f ca="1">CONCATENATE(CALC2223!M203," ",CALC2223!O203," ",CALC2223!Q203)</f>
        <v xml:space="preserve">  </v>
      </c>
      <c r="G204" s="48" t="str">
        <f ca="1">CONCATENATE(CALC2223!S203," ",CALC2223!U203," ",CALC2223!W203)</f>
        <v xml:space="preserve">  </v>
      </c>
      <c r="H204" s="48" t="str">
        <f ca="1">CONCATENATE(CALC2223!Y203," ",CALC2223!AA203," ",CALC2223!AC203)</f>
        <v xml:space="preserve">  </v>
      </c>
      <c r="I204" s="48" t="str">
        <f ca="1">CONCATENATE(CALC2223!AE203," ",CALC2223!AG203," ",CALC2223!AI203)</f>
        <v xml:space="preserve">  </v>
      </c>
      <c r="J204" s="48" t="str">
        <f ca="1">CONCATENATE(CALC2223!AK203," ",CALC2223!AM203," ",CALC2223!AO203)</f>
        <v xml:space="preserve">  </v>
      </c>
      <c r="K204" s="48" t="str">
        <f ca="1">CONCATENATE(CALC2223!AQ203," ",CALC2223!AS203," ",CALC2223!AU203," ",CALC2223!AW203)</f>
        <v xml:space="preserve">   </v>
      </c>
      <c r="L204" s="49" t="str">
        <f t="shared" ca="1" si="0"/>
        <v>actueel</v>
      </c>
      <c r="M204" s="1"/>
      <c r="N204" s="4" t="b">
        <f ca="1">OR(VALUE(CALC2223!B203)&gt;VALUE(LASTV),VALUE(CALC2223!D203)&gt;VALUE(LASTV),VALUE(CALC2223!F203)&gt;VALUE(LASTV))</f>
        <v>0</v>
      </c>
      <c r="O204" s="4" t="b">
        <f ca="1">OR(VALUE(CALC2223!H203)&gt;VALUE(LASTV),VALUE(CALC2223!J203)&gt;VALUE(LASTV),VALUE(CALC2223!L203)&gt;VALUE(LASTV))</f>
        <v>0</v>
      </c>
      <c r="P204" s="4" t="b">
        <f ca="1">OR(VALUE(CALC2223!N203)&gt;VALUE(LASTV),VALUE(CALC2223!P203)&gt;VALUE(LASTV),VALUE(CALC2223!R203)&gt;VALUE(LASTV))</f>
        <v>0</v>
      </c>
      <c r="Q204" s="4" t="b">
        <f ca="1">OR(VALUE(CALC2223!T203)&gt;VALUE(LASTV),VALUE(CALC2223!V203)&gt;VALUE(LASTV),VALUE(CALC2223!X203)&gt;VALUE(LASTV))</f>
        <v>0</v>
      </c>
      <c r="R204" s="4" t="b">
        <f ca="1">OR(VALUE(CALC2223!Z203)&gt;VALUE(LASTV),VALUE(CALC2223!AB203)&gt;VALUE(LASTV),VALUE(CALC2223!AD203)&gt;VALUE(LASTV))</f>
        <v>0</v>
      </c>
      <c r="S204" s="4" t="b">
        <f ca="1">OR(VALUE(CALC2223!AF203)&gt;VALUE(LASTV),VALUE(CALC2223!AH203)&gt;VALUE(LASTV),VALUE(CALC2223!AJ203)&gt;VALUE(LASTV))</f>
        <v>0</v>
      </c>
      <c r="T204" s="4" t="b">
        <f ca="1">OR(VALUE(CALC2223!AL203)&gt;VALUE(LASTV),VALUE(CALC2223!AN203)&gt;VALUE(LASTV),VALUE(CALC2223!AP203)&gt;VALUE(LASTV))</f>
        <v>0</v>
      </c>
      <c r="U204" s="4" t="b">
        <f ca="1">OR(VALUE(CALC2223!AR203)&gt;VALUE(LASTV),VALUE(CALC2223!AT203)&gt;VALUE(LASTV),VALUE(CALC2223!AV203)&gt;VALUE(LASTV))</f>
        <v>0</v>
      </c>
      <c r="V204" s="1"/>
    </row>
    <row r="205" spans="1:22" ht="35.25" customHeight="1">
      <c r="A205" s="45"/>
      <c r="B205" s="46" t="s">
        <v>24</v>
      </c>
      <c r="C205" s="47">
        <v>46103</v>
      </c>
      <c r="D205" s="48" t="str">
        <f ca="1">CONCATENATE(CALC2223!A204," ",CALC2223!C204," ",CALC2223!E204)</f>
        <v xml:space="preserve">  </v>
      </c>
      <c r="E205" s="48" t="str">
        <f ca="1">CONCATENATE(CALC2223!G204," ",CALC2223!I204," ",CALC2223!K204)</f>
        <v xml:space="preserve">  </v>
      </c>
      <c r="F205" s="48" t="str">
        <f ca="1">CONCATENATE(CALC2223!M204," ",CALC2223!O204," ",CALC2223!Q204)</f>
        <v xml:space="preserve">  </v>
      </c>
      <c r="G205" s="48" t="str">
        <f ca="1">CONCATENATE(CALC2223!S204," ",CALC2223!U204," ",CALC2223!W204)</f>
        <v xml:space="preserve">  </v>
      </c>
      <c r="H205" s="48" t="str">
        <f ca="1">CONCATENATE(CALC2223!Y204," ",CALC2223!AA204," ",CALC2223!AC204)</f>
        <v xml:space="preserve">  </v>
      </c>
      <c r="I205" s="48" t="str">
        <f ca="1">CONCATENATE(CALC2223!AE204," ",CALC2223!AG204," ",CALC2223!AI204)</f>
        <v xml:space="preserve">  </v>
      </c>
      <c r="J205" s="48" t="str">
        <f ca="1">CONCATENATE(CALC2223!AK204," ",CALC2223!AM204," ",CALC2223!AO204)</f>
        <v xml:space="preserve">  </v>
      </c>
      <c r="K205" s="48" t="str">
        <f ca="1">CONCATENATE(CALC2223!AQ204," ",CALC2223!AS204," ",CALC2223!AU204," ",CALC2223!AW204)</f>
        <v xml:space="preserve">   </v>
      </c>
      <c r="L205" s="49" t="str">
        <f t="shared" ca="1" si="0"/>
        <v>actueel</v>
      </c>
      <c r="M205" s="1"/>
      <c r="N205" s="4" t="b">
        <f ca="1">OR(VALUE(CALC2223!B204)&gt;VALUE(LASTV),VALUE(CALC2223!D204)&gt;VALUE(LASTV),VALUE(CALC2223!F204)&gt;VALUE(LASTV))</f>
        <v>0</v>
      </c>
      <c r="O205" s="4" t="b">
        <f ca="1">OR(VALUE(CALC2223!H204)&gt;VALUE(LASTV),VALUE(CALC2223!J204)&gt;VALUE(LASTV),VALUE(CALC2223!L204)&gt;VALUE(LASTV))</f>
        <v>0</v>
      </c>
      <c r="P205" s="4" t="b">
        <f ca="1">OR(VALUE(CALC2223!N204)&gt;VALUE(LASTV),VALUE(CALC2223!P204)&gt;VALUE(LASTV),VALUE(CALC2223!R204)&gt;VALUE(LASTV))</f>
        <v>0</v>
      </c>
      <c r="Q205" s="4" t="b">
        <f ca="1">OR(VALUE(CALC2223!T204)&gt;VALUE(LASTV),VALUE(CALC2223!V204)&gt;VALUE(LASTV),VALUE(CALC2223!X204)&gt;VALUE(LASTV))</f>
        <v>0</v>
      </c>
      <c r="R205" s="4" t="b">
        <f ca="1">OR(VALUE(CALC2223!Z204)&gt;VALUE(LASTV),VALUE(CALC2223!AB204)&gt;VALUE(LASTV),VALUE(CALC2223!AD204)&gt;VALUE(LASTV))</f>
        <v>0</v>
      </c>
      <c r="S205" s="4" t="b">
        <f ca="1">OR(VALUE(CALC2223!AF204)&gt;VALUE(LASTV),VALUE(CALC2223!AH204)&gt;VALUE(LASTV),VALUE(CALC2223!AJ204)&gt;VALUE(LASTV))</f>
        <v>0</v>
      </c>
      <c r="T205" s="4" t="b">
        <f ca="1">OR(VALUE(CALC2223!AL204)&gt;VALUE(LASTV),VALUE(CALC2223!AN204)&gt;VALUE(LASTV),VALUE(CALC2223!AP204)&gt;VALUE(LASTV))</f>
        <v>0</v>
      </c>
      <c r="U205" s="4" t="b">
        <f ca="1">OR(VALUE(CALC2223!AR204)&gt;VALUE(LASTV),VALUE(CALC2223!AT204)&gt;VALUE(LASTV),VALUE(CALC2223!AV204)&gt;VALUE(LASTV))</f>
        <v>0</v>
      </c>
      <c r="V205" s="1"/>
    </row>
    <row r="206" spans="1:22" ht="35.25" customHeight="1">
      <c r="A206" s="50">
        <v>13</v>
      </c>
      <c r="B206" s="41" t="s">
        <v>18</v>
      </c>
      <c r="C206" s="42">
        <v>46104</v>
      </c>
      <c r="D206" s="51" t="str">
        <f ca="1">CONCATENATE(CALC2223!A205," ",CALC2223!C205," ",CALC2223!E205)</f>
        <v xml:space="preserve">  </v>
      </c>
      <c r="E206" s="51" t="str">
        <f ca="1">CONCATENATE(CALC2223!G205," ",CALC2223!I205," ",CALC2223!K205)</f>
        <v xml:space="preserve">  </v>
      </c>
      <c r="F206" s="51" t="str">
        <f ca="1">CONCATENATE(CALC2223!M205," ",CALC2223!O205," ",CALC2223!Q205)</f>
        <v xml:space="preserve">Start Definitieve Profielkeuze  </v>
      </c>
      <c r="G206" s="51" t="str">
        <f ca="1">CONCATENATE(CALC2223!S205," ",CALC2223!U205," ",CALC2223!W205)</f>
        <v xml:space="preserve">inh rep LA  </v>
      </c>
      <c r="H206" s="51" t="str">
        <f ca="1">CONCATENATE(CALC2223!Y205," ",CALC2223!AA205," ",CALC2223!AC205)</f>
        <v xml:space="preserve">Informatieavond klassieke reis 19.30 uur inh rep LA </v>
      </c>
      <c r="I206" s="51" t="str">
        <f ca="1">CONCATENATE(CALC2223!AE205," ",CALC2223!AG205," ",CALC2223!AI205)</f>
        <v xml:space="preserve">tsweek: WisA, WisB, WisC  </v>
      </c>
      <c r="J206" s="51" t="str">
        <f ca="1">CONCATENATE(CALC2223!AK205," ",CALC2223!AM205," ",CALC2223!AO205)</f>
        <v xml:space="preserve">  </v>
      </c>
      <c r="K206" s="51" t="str">
        <f ca="1">CONCATENATE(CALC2223!AQ205," ",CALC2223!AS205," ",CALC2223!AU205," ",CALC2223!AW205)</f>
        <v xml:space="preserve">start cijferperiode 3   </v>
      </c>
      <c r="L206" s="52" t="str">
        <f t="shared" ca="1" si="0"/>
        <v>actueel</v>
      </c>
      <c r="M206" s="1"/>
      <c r="N206" s="4" t="b">
        <f ca="1">OR(VALUE(CALC2223!B205)&gt;VALUE(LASTV),VALUE(CALC2223!D205)&gt;VALUE(LASTV),VALUE(CALC2223!F205)&gt;VALUE(LASTV))</f>
        <v>0</v>
      </c>
      <c r="O206" s="4" t="b">
        <f ca="1">OR(VALUE(CALC2223!H205)&gt;VALUE(LASTV),VALUE(CALC2223!J205)&gt;VALUE(LASTV),VALUE(CALC2223!L205)&gt;VALUE(LASTV))</f>
        <v>0</v>
      </c>
      <c r="P206" s="4" t="b">
        <f ca="1">OR(VALUE(CALC2223!N205)&gt;VALUE(LASTV),VALUE(CALC2223!P205)&gt;VALUE(LASTV),VALUE(CALC2223!R205)&gt;VALUE(LASTV))</f>
        <v>0</v>
      </c>
      <c r="Q206" s="4" t="b">
        <f ca="1">OR(VALUE(CALC2223!T205)&gt;VALUE(LASTV),VALUE(CALC2223!V205)&gt;VALUE(LASTV),VALUE(CALC2223!X205)&gt;VALUE(LASTV))</f>
        <v>0</v>
      </c>
      <c r="R206" s="4" t="b">
        <f ca="1">OR(VALUE(CALC2223!Z205)&gt;VALUE(LASTV),VALUE(CALC2223!AB205)&gt;VALUE(LASTV),VALUE(CALC2223!AD205)&gt;VALUE(LASTV))</f>
        <v>0</v>
      </c>
      <c r="S206" s="4" t="b">
        <f ca="1">OR(VALUE(CALC2223!AF205)&gt;VALUE(LASTV),VALUE(CALC2223!AH205)&gt;VALUE(LASTV),VALUE(CALC2223!AJ205)&gt;VALUE(LASTV))</f>
        <v>1</v>
      </c>
      <c r="T206" s="4" t="b">
        <f ca="1">OR(VALUE(CALC2223!AL205)&gt;VALUE(LASTV),VALUE(CALC2223!AN205)&gt;VALUE(LASTV),VALUE(CALC2223!AP205)&gt;VALUE(LASTV))</f>
        <v>0</v>
      </c>
      <c r="U206" s="4" t="b">
        <f ca="1">OR(VALUE(CALC2223!AR205)&gt;VALUE(LASTV),VALUE(CALC2223!AT205)&gt;VALUE(LASTV),VALUE(CALC2223!AV205)&gt;VALUE(LASTV))</f>
        <v>0</v>
      </c>
      <c r="V206" s="1"/>
    </row>
    <row r="207" spans="1:22" ht="35.25" customHeight="1">
      <c r="A207" s="40"/>
      <c r="B207" s="41" t="s">
        <v>19</v>
      </c>
      <c r="C207" s="42">
        <v>46105</v>
      </c>
      <c r="D207" s="51" t="str">
        <f ca="1">CONCATENATE(CALC2223!A206," ",CALC2223!C206," ",CALC2223!E206)</f>
        <v xml:space="preserve">  </v>
      </c>
      <c r="E207" s="51" t="str">
        <f ca="1">CONCATENATE(CALC2223!G206," ",CALC2223!I206," ",CALC2223!K206)</f>
        <v xml:space="preserve">  </v>
      </c>
      <c r="F207" s="51" t="str">
        <f ca="1">CONCATENATE(CALC2223!M206," ",CALC2223!O206," ",CALC2223!Q206)</f>
        <v xml:space="preserve">  </v>
      </c>
      <c r="G207" s="51" t="str">
        <f ca="1">CONCATENATE(CALC2223!S206," ",CALC2223!U206," ",CALC2223!W206)</f>
        <v xml:space="preserve">definitieve profielkeuze  </v>
      </c>
      <c r="H207" s="51" t="str">
        <f ca="1">CONCATENATE(CALC2223!Y206," ",CALC2223!AA206," ",CALC2223!AC206)</f>
        <v xml:space="preserve">  </v>
      </c>
      <c r="I207" s="51" t="str">
        <f ca="1">CONCATENATE(CALC2223!AE206," ",CALC2223!AG206," ",CALC2223!AI206)</f>
        <v xml:space="preserve">tsweek: EC, FI  </v>
      </c>
      <c r="J207" s="51" t="str">
        <f ca="1">CONCATENATE(CALC2223!AK206," ",CALC2223!AM206," ",CALC2223!AO206)</f>
        <v xml:space="preserve">  </v>
      </c>
      <c r="K207" s="51" t="str">
        <f ca="1">CONCATENATE(CALC2223!AQ206," ",CALC2223!AS206," ",CALC2223!AU206," ",CALC2223!AW206)</f>
        <v xml:space="preserve">   </v>
      </c>
      <c r="L207" s="52" t="str">
        <f t="shared" ca="1" si="0"/>
        <v>actueel</v>
      </c>
      <c r="M207" s="1"/>
      <c r="N207" s="4" t="b">
        <f ca="1">OR(VALUE(CALC2223!B206)&gt;VALUE(LASTV),VALUE(CALC2223!D206)&gt;VALUE(LASTV),VALUE(CALC2223!F206)&gt;VALUE(LASTV))</f>
        <v>0</v>
      </c>
      <c r="O207" s="4" t="b">
        <f ca="1">OR(VALUE(CALC2223!H206)&gt;VALUE(LASTV),VALUE(CALC2223!J206)&gt;VALUE(LASTV),VALUE(CALC2223!L206)&gt;VALUE(LASTV))</f>
        <v>0</v>
      </c>
      <c r="P207" s="4" t="b">
        <f ca="1">OR(VALUE(CALC2223!N206)&gt;VALUE(LASTV),VALUE(CALC2223!P206)&gt;VALUE(LASTV),VALUE(CALC2223!R206)&gt;VALUE(LASTV))</f>
        <v>0</v>
      </c>
      <c r="Q207" s="4" t="b">
        <f ca="1">OR(VALUE(CALC2223!T206)&gt;VALUE(LASTV),VALUE(CALC2223!V206)&gt;VALUE(LASTV),VALUE(CALC2223!X206)&gt;VALUE(LASTV))</f>
        <v>0</v>
      </c>
      <c r="R207" s="4" t="b">
        <f ca="1">OR(VALUE(CALC2223!Z206)&gt;VALUE(LASTV),VALUE(CALC2223!AB206)&gt;VALUE(LASTV),VALUE(CALC2223!AD206)&gt;VALUE(LASTV))</f>
        <v>0</v>
      </c>
      <c r="S207" s="4" t="b">
        <f ca="1">OR(VALUE(CALC2223!AF206)&gt;VALUE(LASTV),VALUE(CALC2223!AH206)&gt;VALUE(LASTV),VALUE(CALC2223!AJ206)&gt;VALUE(LASTV))</f>
        <v>1</v>
      </c>
      <c r="T207" s="4" t="b">
        <f ca="1">OR(VALUE(CALC2223!AL206)&gt;VALUE(LASTV),VALUE(CALC2223!AN206)&gt;VALUE(LASTV),VALUE(CALC2223!AP206)&gt;VALUE(LASTV))</f>
        <v>0</v>
      </c>
      <c r="U207" s="4" t="b">
        <f ca="1">OR(VALUE(CALC2223!AR206)&gt;VALUE(LASTV),VALUE(CALC2223!AT206)&gt;VALUE(LASTV),VALUE(CALC2223!AV206)&gt;VALUE(LASTV))</f>
        <v>0</v>
      </c>
      <c r="V207" s="1"/>
    </row>
    <row r="208" spans="1:22" ht="35.25" customHeight="1">
      <c r="A208" s="40"/>
      <c r="B208" s="41" t="s">
        <v>20</v>
      </c>
      <c r="C208" s="42">
        <v>46106</v>
      </c>
      <c r="D208" s="51" t="str">
        <f ca="1">CONCATENATE(CALC2223!A207," ",CALC2223!C207," ",CALC2223!E207)</f>
        <v xml:space="preserve">Rep WIS  </v>
      </c>
      <c r="E208" s="51" t="str">
        <f ca="1">CONCATENATE(CALC2223!G207," ",CALC2223!I207," ",CALC2223!K207)</f>
        <v xml:space="preserve">  </v>
      </c>
      <c r="F208" s="51" t="str">
        <f ca="1">CONCATENATE(CALC2223!M207," ",CALC2223!O207," ",CALC2223!Q207)</f>
        <v xml:space="preserve">  </v>
      </c>
      <c r="G208" s="51" t="str">
        <f ca="1">CONCATENATE(CALC2223!S207," ",CALC2223!U207," ",CALC2223!W207)</f>
        <v xml:space="preserve">aankomst Rennes  </v>
      </c>
      <c r="H208" s="51" t="str">
        <f ca="1">CONCATENATE(CALC2223!Y207," ",CALC2223!AA207," ",CALC2223!AC207)</f>
        <v xml:space="preserve">Rep EC  </v>
      </c>
      <c r="I208" s="51" t="str">
        <f ca="1">CONCATENATE(CALC2223!AE207," ",CALC2223!AG207," ",CALC2223!AI207)</f>
        <v xml:space="preserve">tsweek: GS, SK  </v>
      </c>
      <c r="J208" s="51" t="str">
        <f ca="1">CONCATENATE(CALC2223!AK207," ",CALC2223!AM207," ",CALC2223!AO207)</f>
        <v xml:space="preserve">  </v>
      </c>
      <c r="K208" s="51" t="str">
        <f ca="1">CONCATENATE(CALC2223!AQ207," ",CALC2223!AS207," ",CALC2223!AU207," ",CALC2223!AW207)</f>
        <v xml:space="preserve">   </v>
      </c>
      <c r="L208" s="52" t="str">
        <f t="shared" ca="1" si="0"/>
        <v>actueel</v>
      </c>
      <c r="M208" s="1"/>
      <c r="N208" s="4" t="b">
        <f ca="1">OR(VALUE(CALC2223!B207)&gt;VALUE(LASTV),VALUE(CALC2223!D207)&gt;VALUE(LASTV),VALUE(CALC2223!F207)&gt;VALUE(LASTV))</f>
        <v>0</v>
      </c>
      <c r="O208" s="4" t="b">
        <f ca="1">OR(VALUE(CALC2223!H207)&gt;VALUE(LASTV),VALUE(CALC2223!J207)&gt;VALUE(LASTV),VALUE(CALC2223!L207)&gt;VALUE(LASTV))</f>
        <v>0</v>
      </c>
      <c r="P208" s="4" t="b">
        <f ca="1">OR(VALUE(CALC2223!N207)&gt;VALUE(LASTV),VALUE(CALC2223!P207)&gt;VALUE(LASTV),VALUE(CALC2223!R207)&gt;VALUE(LASTV))</f>
        <v>0</v>
      </c>
      <c r="Q208" s="4" t="b">
        <f ca="1">OR(VALUE(CALC2223!T207)&gt;VALUE(LASTV),VALUE(CALC2223!V207)&gt;VALUE(LASTV),VALUE(CALC2223!X207)&gt;VALUE(LASTV))</f>
        <v>0</v>
      </c>
      <c r="R208" s="4" t="b">
        <f ca="1">OR(VALUE(CALC2223!Z207)&gt;VALUE(LASTV),VALUE(CALC2223!AB207)&gt;VALUE(LASTV),VALUE(CALC2223!AD207)&gt;VALUE(LASTV))</f>
        <v>0</v>
      </c>
      <c r="S208" s="4" t="b">
        <f ca="1">OR(VALUE(CALC2223!AF207)&gt;VALUE(LASTV),VALUE(CALC2223!AH207)&gt;VALUE(LASTV),VALUE(CALC2223!AJ207)&gt;VALUE(LASTV))</f>
        <v>0</v>
      </c>
      <c r="T208" s="4" t="b">
        <f ca="1">OR(VALUE(CALC2223!AL207)&gt;VALUE(LASTV),VALUE(CALC2223!AN207)&gt;VALUE(LASTV),VALUE(CALC2223!AP207)&gt;VALUE(LASTV))</f>
        <v>0</v>
      </c>
      <c r="U208" s="4" t="b">
        <f ca="1">OR(VALUE(CALC2223!AR207)&gt;VALUE(LASTV),VALUE(CALC2223!AT207)&gt;VALUE(LASTV),VALUE(CALC2223!AV207)&gt;VALUE(LASTV))</f>
        <v>0</v>
      </c>
      <c r="V208" s="1"/>
    </row>
    <row r="209" spans="1:22" ht="35.25" customHeight="1">
      <c r="A209" s="40"/>
      <c r="B209" s="41" t="s">
        <v>21</v>
      </c>
      <c r="C209" s="42">
        <v>46107</v>
      </c>
      <c r="D209" s="51" t="str">
        <f ca="1">CONCATENATE(CALC2223!A208," ",CALC2223!C208," ",CALC2223!E208)</f>
        <v xml:space="preserve">  </v>
      </c>
      <c r="E209" s="51" t="str">
        <f ca="1">CONCATENATE(CALC2223!G208," ",CALC2223!I208," ",CALC2223!K208)</f>
        <v xml:space="preserve">  </v>
      </c>
      <c r="F209" s="51" t="str">
        <f ca="1">CONCATENATE(CALC2223!M208," ",CALC2223!O208," ",CALC2223!Q208)</f>
        <v xml:space="preserve">Rep GR  </v>
      </c>
      <c r="G209" s="51" t="str">
        <f ca="1">CONCATENATE(CALC2223!S208," ",CALC2223!U208," ",CALC2223!W208)</f>
        <v xml:space="preserve">inh rep SK  </v>
      </c>
      <c r="H209" s="51" t="str">
        <f ca="1">CONCATENATE(CALC2223!Y208," ",CALC2223!AA208," ",CALC2223!AC208)</f>
        <v xml:space="preserve">inh rep FI  </v>
      </c>
      <c r="I209" s="51" t="str">
        <f ca="1">CONCATENATE(CALC2223!AE208," ",CALC2223!AG208," ",CALC2223!AI208)</f>
        <v xml:space="preserve">tsweek: AK, NAT / HPGeindpresentaties  </v>
      </c>
      <c r="J209" s="51" t="str">
        <f ca="1">CONCATENATE(CALC2223!AK208," ",CALC2223!AM208," ",CALC2223!AO208)</f>
        <v xml:space="preserve">30'-rooster/docentenspreekmomenten 13.30-16.30  </v>
      </c>
      <c r="K209" s="51" t="str">
        <f ca="1">CONCATENATE(CALC2223!AQ208," ",CALC2223!AS208," ",CALC2223!AU208," ",CALC2223!AW208)</f>
        <v xml:space="preserve">30'-rooster/docentenspreekmomenten 13.30-16.30   </v>
      </c>
      <c r="L209" s="52" t="str">
        <f t="shared" ca="1" si="0"/>
        <v>actueel</v>
      </c>
      <c r="M209" s="1"/>
      <c r="N209" s="4" t="b">
        <f ca="1">OR(VALUE(CALC2223!B208)&gt;VALUE(LASTV),VALUE(CALC2223!D208)&gt;VALUE(LASTV),VALUE(CALC2223!F208)&gt;VALUE(LASTV))</f>
        <v>0</v>
      </c>
      <c r="O209" s="4" t="b">
        <f ca="1">OR(VALUE(CALC2223!H208)&gt;VALUE(LASTV),VALUE(CALC2223!J208)&gt;VALUE(LASTV),VALUE(CALC2223!L208)&gt;VALUE(LASTV))</f>
        <v>0</v>
      </c>
      <c r="P209" s="4" t="b">
        <f ca="1">OR(VALUE(CALC2223!N208)&gt;VALUE(LASTV),VALUE(CALC2223!P208)&gt;VALUE(LASTV),VALUE(CALC2223!R208)&gt;VALUE(LASTV))</f>
        <v>0</v>
      </c>
      <c r="Q209" s="4" t="b">
        <f ca="1">OR(VALUE(CALC2223!T208)&gt;VALUE(LASTV),VALUE(CALC2223!V208)&gt;VALUE(LASTV),VALUE(CALC2223!X208)&gt;VALUE(LASTV))</f>
        <v>0</v>
      </c>
      <c r="R209" s="4" t="b">
        <f ca="1">OR(VALUE(CALC2223!Z208)&gt;VALUE(LASTV),VALUE(CALC2223!AB208)&gt;VALUE(LASTV),VALUE(CALC2223!AD208)&gt;VALUE(LASTV))</f>
        <v>0</v>
      </c>
      <c r="S209" s="4" t="b">
        <f ca="1">OR(VALUE(CALC2223!AF208)&gt;VALUE(LASTV),VALUE(CALC2223!AH208)&gt;VALUE(LASTV),VALUE(CALC2223!AJ208)&gt;VALUE(LASTV))</f>
        <v>1</v>
      </c>
      <c r="T209" s="4" t="b">
        <f ca="1">OR(VALUE(CALC2223!AL208)&gt;VALUE(LASTV),VALUE(CALC2223!AN208)&gt;VALUE(LASTV),VALUE(CALC2223!AP208)&gt;VALUE(LASTV))</f>
        <v>0</v>
      </c>
      <c r="U209" s="4" t="b">
        <f ca="1">OR(VALUE(CALC2223!AR208)&gt;VALUE(LASTV),VALUE(CALC2223!AT208)&gt;VALUE(LASTV),VALUE(CALC2223!AV208)&gt;VALUE(LASTV))</f>
        <v>0</v>
      </c>
      <c r="V209" s="1"/>
    </row>
    <row r="210" spans="1:22" ht="35.25" customHeight="1">
      <c r="A210" s="40"/>
      <c r="B210" s="41" t="s">
        <v>22</v>
      </c>
      <c r="C210" s="42">
        <v>46108</v>
      </c>
      <c r="D210" s="51" t="str">
        <f ca="1">CONCATENATE(CALC2223!A209," ",CALC2223!C209," ",CALC2223!E209)</f>
        <v xml:space="preserve">  </v>
      </c>
      <c r="E210" s="51" t="str">
        <f ca="1">CONCATENATE(CALC2223!G209," ",CALC2223!I209," ",CALC2223!K209)</f>
        <v xml:space="preserve">Rep GES  </v>
      </c>
      <c r="F210" s="51" t="str">
        <f ca="1">CONCATENATE(CALC2223!M209," ",CALC2223!O209," ",CALC2223!Q209)</f>
        <v xml:space="preserve">  </v>
      </c>
      <c r="G210" s="51" t="str">
        <f ca="1">CONCATENATE(CALC2223!S209," ",CALC2223!U209," ",CALC2223!W209)</f>
        <v xml:space="preserve">Rep EC  </v>
      </c>
      <c r="H210" s="51" t="str">
        <f ca="1">CONCATENATE(CALC2223!Y209," ",CALC2223!AA209," ",CALC2223!AC209)</f>
        <v xml:space="preserve">  </v>
      </c>
      <c r="I210" s="51" t="str">
        <f ca="1">CONCATENATE(CALC2223!AE209," ",CALC2223!AG209," ",CALC2223!AI209)</f>
        <v xml:space="preserve">tsweek: BE, BIO  </v>
      </c>
      <c r="J210" s="51" t="str">
        <f ca="1">CONCATENATE(CALC2223!AK209," ",CALC2223!AM209," ",CALC2223!AO209)</f>
        <v xml:space="preserve">  </v>
      </c>
      <c r="K210" s="51" t="str">
        <f ca="1">CONCATENATE(CALC2223!AQ209," ",CALC2223!AS209," ",CALC2223!AU209," ",CALC2223!AW209)</f>
        <v xml:space="preserve">   </v>
      </c>
      <c r="L210" s="52" t="str">
        <f t="shared" ca="1" si="0"/>
        <v>actueel</v>
      </c>
      <c r="M210" s="1"/>
      <c r="N210" s="4" t="b">
        <f ca="1">OR(VALUE(CALC2223!B209)&gt;VALUE(LASTV),VALUE(CALC2223!D209)&gt;VALUE(LASTV),VALUE(CALC2223!F209)&gt;VALUE(LASTV))</f>
        <v>0</v>
      </c>
      <c r="O210" s="4" t="b">
        <f ca="1">OR(VALUE(CALC2223!H209)&gt;VALUE(LASTV),VALUE(CALC2223!J209)&gt;VALUE(LASTV),VALUE(CALC2223!L209)&gt;VALUE(LASTV))</f>
        <v>0</v>
      </c>
      <c r="P210" s="4" t="b">
        <f ca="1">OR(VALUE(CALC2223!N209)&gt;VALUE(LASTV),VALUE(CALC2223!P209)&gt;VALUE(LASTV),VALUE(CALC2223!R209)&gt;VALUE(LASTV))</f>
        <v>0</v>
      </c>
      <c r="Q210" s="4" t="b">
        <f ca="1">OR(VALUE(CALC2223!T209)&gt;VALUE(LASTV),VALUE(CALC2223!V209)&gt;VALUE(LASTV),VALUE(CALC2223!X209)&gt;VALUE(LASTV))</f>
        <v>0</v>
      </c>
      <c r="R210" s="4" t="b">
        <f ca="1">OR(VALUE(CALC2223!Z209)&gt;VALUE(LASTV),VALUE(CALC2223!AB209)&gt;VALUE(LASTV),VALUE(CALC2223!AD209)&gt;VALUE(LASTV))</f>
        <v>0</v>
      </c>
      <c r="S210" s="4" t="b">
        <f ca="1">OR(VALUE(CALC2223!AF209)&gt;VALUE(LASTV),VALUE(CALC2223!AH209)&gt;VALUE(LASTV),VALUE(CALC2223!AJ209)&gt;VALUE(LASTV))</f>
        <v>1</v>
      </c>
      <c r="T210" s="4" t="b">
        <f ca="1">OR(VALUE(CALC2223!AL209)&gt;VALUE(LASTV),VALUE(CALC2223!AN209)&gt;VALUE(LASTV),VALUE(CALC2223!AP209)&gt;VALUE(LASTV))</f>
        <v>0</v>
      </c>
      <c r="U210" s="4" t="b">
        <f ca="1">OR(VALUE(CALC2223!AR209)&gt;VALUE(LASTV),VALUE(CALC2223!AT209)&gt;VALUE(LASTV),VALUE(CALC2223!AV209)&gt;VALUE(LASTV))</f>
        <v>0</v>
      </c>
      <c r="V210" s="1"/>
    </row>
    <row r="211" spans="1:22" ht="35.25" customHeight="1">
      <c r="A211" s="45"/>
      <c r="B211" s="46" t="s">
        <v>23</v>
      </c>
      <c r="C211" s="47">
        <v>46109</v>
      </c>
      <c r="D211" s="48" t="str">
        <f ca="1">CONCATENATE(CALC2223!A210," ",CALC2223!C210," ",CALC2223!E210)</f>
        <v xml:space="preserve">  </v>
      </c>
      <c r="E211" s="48" t="str">
        <f ca="1">CONCATENATE(CALC2223!G210," ",CALC2223!I210," ",CALC2223!K210)</f>
        <v xml:space="preserve">  </v>
      </c>
      <c r="F211" s="48" t="str">
        <f ca="1">CONCATENATE(CALC2223!M210," ",CALC2223!O210," ",CALC2223!Q210)</f>
        <v xml:space="preserve">  </v>
      </c>
      <c r="G211" s="48" t="str">
        <f ca="1">CONCATENATE(CALC2223!S210," ",CALC2223!U210," ",CALC2223!W210)</f>
        <v xml:space="preserve">  </v>
      </c>
      <c r="H211" s="48" t="str">
        <f ca="1">CONCATENATE(CALC2223!Y210," ",CALC2223!AA210," ",CALC2223!AC210)</f>
        <v xml:space="preserve">  </v>
      </c>
      <c r="I211" s="48" t="str">
        <f ca="1">CONCATENATE(CALC2223!AE210," ",CALC2223!AG210," ",CALC2223!AI210)</f>
        <v xml:space="preserve">  </v>
      </c>
      <c r="J211" s="48" t="str">
        <f ca="1">CONCATENATE(CALC2223!AK210," ",CALC2223!AM210," ",CALC2223!AO210)</f>
        <v xml:space="preserve">  </v>
      </c>
      <c r="K211" s="48" t="str">
        <f ca="1">CONCATENATE(CALC2223!AQ210," ",CALC2223!AS210," ",CALC2223!AU210," ",CALC2223!AW210)</f>
        <v xml:space="preserve">   </v>
      </c>
      <c r="L211" s="49" t="str">
        <f t="shared" ca="1" si="0"/>
        <v>actueel</v>
      </c>
      <c r="M211" s="1"/>
      <c r="N211" s="4" t="b">
        <f ca="1">OR(VALUE(CALC2223!B210)&gt;VALUE(LASTV),VALUE(CALC2223!D210)&gt;VALUE(LASTV),VALUE(CALC2223!F210)&gt;VALUE(LASTV))</f>
        <v>0</v>
      </c>
      <c r="O211" s="4" t="b">
        <f ca="1">OR(VALUE(CALC2223!H210)&gt;VALUE(LASTV),VALUE(CALC2223!J210)&gt;VALUE(LASTV),VALUE(CALC2223!L210)&gt;VALUE(LASTV))</f>
        <v>0</v>
      </c>
      <c r="P211" s="4" t="b">
        <f ca="1">OR(VALUE(CALC2223!N210)&gt;VALUE(LASTV),VALUE(CALC2223!P210)&gt;VALUE(LASTV),VALUE(CALC2223!R210)&gt;VALUE(LASTV))</f>
        <v>0</v>
      </c>
      <c r="Q211" s="4" t="b">
        <f ca="1">OR(VALUE(CALC2223!T210)&gt;VALUE(LASTV),VALUE(CALC2223!V210)&gt;VALUE(LASTV),VALUE(CALC2223!X210)&gt;VALUE(LASTV))</f>
        <v>0</v>
      </c>
      <c r="R211" s="4" t="b">
        <f ca="1">OR(VALUE(CALC2223!Z210)&gt;VALUE(LASTV),VALUE(CALC2223!AB210)&gt;VALUE(LASTV),VALUE(CALC2223!AD210)&gt;VALUE(LASTV))</f>
        <v>0</v>
      </c>
      <c r="S211" s="4" t="b">
        <f ca="1">OR(VALUE(CALC2223!AF210)&gt;VALUE(LASTV),VALUE(CALC2223!AH210)&gt;VALUE(LASTV),VALUE(CALC2223!AJ210)&gt;VALUE(LASTV))</f>
        <v>0</v>
      </c>
      <c r="T211" s="4" t="b">
        <f ca="1">OR(VALUE(CALC2223!AL210)&gt;VALUE(LASTV),VALUE(CALC2223!AN210)&gt;VALUE(LASTV),VALUE(CALC2223!AP210)&gt;VALUE(LASTV))</f>
        <v>0</v>
      </c>
      <c r="U211" s="4" t="b">
        <f ca="1">OR(VALUE(CALC2223!AR210)&gt;VALUE(LASTV),VALUE(CALC2223!AT210)&gt;VALUE(LASTV),VALUE(CALC2223!AV210)&gt;VALUE(LASTV))</f>
        <v>0</v>
      </c>
      <c r="V211" s="1"/>
    </row>
    <row r="212" spans="1:22" ht="35.25" customHeight="1">
      <c r="A212" s="45"/>
      <c r="B212" s="46" t="s">
        <v>24</v>
      </c>
      <c r="C212" s="47">
        <v>46110</v>
      </c>
      <c r="D212" s="48" t="str">
        <f ca="1">CONCATENATE(CALC2223!A211," ",CALC2223!C211," ",CALC2223!E211)</f>
        <v xml:space="preserve">  </v>
      </c>
      <c r="E212" s="48" t="str">
        <f ca="1">CONCATENATE(CALC2223!G211," ",CALC2223!I211," ",CALC2223!K211)</f>
        <v xml:space="preserve">  </v>
      </c>
      <c r="F212" s="48" t="str">
        <f ca="1">CONCATENATE(CALC2223!M211," ",CALC2223!O211," ",CALC2223!Q211)</f>
        <v xml:space="preserve">  </v>
      </c>
      <c r="G212" s="48" t="str">
        <f ca="1">CONCATENATE(CALC2223!S211," ",CALC2223!U211," ",CALC2223!W211)</f>
        <v xml:space="preserve">  </v>
      </c>
      <c r="H212" s="48" t="str">
        <f ca="1">CONCATENATE(CALC2223!Y211," ",CALC2223!AA211," ",CALC2223!AC211)</f>
        <v xml:space="preserve">  </v>
      </c>
      <c r="I212" s="48" t="str">
        <f ca="1">CONCATENATE(CALC2223!AE211," ",CALC2223!AG211," ",CALC2223!AI211)</f>
        <v xml:space="preserve">  </v>
      </c>
      <c r="J212" s="48" t="str">
        <f ca="1">CONCATENATE(CALC2223!AK211," ",CALC2223!AM211," ",CALC2223!AO211)</f>
        <v xml:space="preserve">  </v>
      </c>
      <c r="K212" s="48" t="str">
        <f ca="1">CONCATENATE(CALC2223!AQ211," ",CALC2223!AS211," ",CALC2223!AU211," ",CALC2223!AW211)</f>
        <v xml:space="preserve">   </v>
      </c>
      <c r="L212" s="49" t="str">
        <f t="shared" ca="1" si="0"/>
        <v>actueel</v>
      </c>
      <c r="M212" s="1"/>
      <c r="N212" s="4" t="b">
        <f ca="1">OR(VALUE(CALC2223!B211)&gt;VALUE(LASTV),VALUE(CALC2223!D211)&gt;VALUE(LASTV),VALUE(CALC2223!F211)&gt;VALUE(LASTV))</f>
        <v>0</v>
      </c>
      <c r="O212" s="4" t="b">
        <f ca="1">OR(VALUE(CALC2223!H211)&gt;VALUE(LASTV),VALUE(CALC2223!J211)&gt;VALUE(LASTV),VALUE(CALC2223!L211)&gt;VALUE(LASTV))</f>
        <v>0</v>
      </c>
      <c r="P212" s="4" t="b">
        <f ca="1">OR(VALUE(CALC2223!N211)&gt;VALUE(LASTV),VALUE(CALC2223!P211)&gt;VALUE(LASTV),VALUE(CALC2223!R211)&gt;VALUE(LASTV))</f>
        <v>0</v>
      </c>
      <c r="Q212" s="4" t="b">
        <f ca="1">OR(VALUE(CALC2223!T211)&gt;VALUE(LASTV),VALUE(CALC2223!V211)&gt;VALUE(LASTV),VALUE(CALC2223!X211)&gt;VALUE(LASTV))</f>
        <v>0</v>
      </c>
      <c r="R212" s="4" t="b">
        <f ca="1">OR(VALUE(CALC2223!Z211)&gt;VALUE(LASTV),VALUE(CALC2223!AB211)&gt;VALUE(LASTV),VALUE(CALC2223!AD211)&gt;VALUE(LASTV))</f>
        <v>0</v>
      </c>
      <c r="S212" s="4" t="b">
        <f ca="1">OR(VALUE(CALC2223!AF211)&gt;VALUE(LASTV),VALUE(CALC2223!AH211)&gt;VALUE(LASTV),VALUE(CALC2223!AJ211)&gt;VALUE(LASTV))</f>
        <v>0</v>
      </c>
      <c r="T212" s="4" t="b">
        <f ca="1">OR(VALUE(CALC2223!AL211)&gt;VALUE(LASTV),VALUE(CALC2223!AN211)&gt;VALUE(LASTV),VALUE(CALC2223!AP211)&gt;VALUE(LASTV))</f>
        <v>0</v>
      </c>
      <c r="U212" s="4" t="b">
        <f ca="1">OR(VALUE(CALC2223!AR211)&gt;VALUE(LASTV),VALUE(CALC2223!AT211)&gt;VALUE(LASTV),VALUE(CALC2223!AV211)&gt;VALUE(LASTV))</f>
        <v>0</v>
      </c>
      <c r="V212" s="1"/>
    </row>
    <row r="213" spans="1:22" ht="35.25" customHeight="1">
      <c r="A213" s="50">
        <v>14</v>
      </c>
      <c r="B213" s="41" t="s">
        <v>18</v>
      </c>
      <c r="C213" s="42">
        <v>46111</v>
      </c>
      <c r="D213" s="43" t="str">
        <f ca="1">CONCATENATE(CALC2223!A212," ",CALC2223!C212," ",CALC2223!E212)</f>
        <v xml:space="preserve">  </v>
      </c>
      <c r="E213" s="43" t="str">
        <f ca="1">CONCATENATE(CALC2223!G212," ",CALC2223!I212," ",CALC2223!K212)</f>
        <v xml:space="preserve">  </v>
      </c>
      <c r="F213" s="43" t="str">
        <f ca="1">CONCATENATE(CALC2223!M212," ",CALC2223!O212," ",CALC2223!Q212)</f>
        <v xml:space="preserve">  </v>
      </c>
      <c r="G213" s="43" t="str">
        <f ca="1">CONCATENATE(CALC2223!S212," ",CALC2223!U212," ",CALC2223!W212)</f>
        <v xml:space="preserve">inh rep WI  </v>
      </c>
      <c r="H213" s="43" t="str">
        <f ca="1">CONCATENATE(CALC2223!Y212," ",CALC2223!AA212," ",CALC2223!AC212)</f>
        <v xml:space="preserve">Rep BI inh rep NA </v>
      </c>
      <c r="I213" s="43" t="str">
        <f ca="1">CONCATENATE(CALC2223!AE212," ",CALC2223!AG212," ",CALC2223!AI212)</f>
        <v xml:space="preserve">SE inhalen  </v>
      </c>
      <c r="J213" s="43" t="str">
        <f ca="1">CONCATENATE(CALC2223!AK212," ",CALC2223!AM212," ",CALC2223!AO212)</f>
        <v xml:space="preserve">  </v>
      </c>
      <c r="K213" s="43" t="str">
        <f ca="1">CONCATENATE(CALC2223!AQ212," ",CALC2223!AS212," ",CALC2223!AU212," ",CALC2223!AW212)</f>
        <v xml:space="preserve">   </v>
      </c>
      <c r="L213" s="44" t="str">
        <f t="shared" ca="1" si="0"/>
        <v>actueel</v>
      </c>
      <c r="M213" s="1"/>
      <c r="N213" s="4" t="b">
        <f ca="1">OR(VALUE(CALC2223!B212)&gt;VALUE(LASTV),VALUE(CALC2223!D212)&gt;VALUE(LASTV),VALUE(CALC2223!F212)&gt;VALUE(LASTV))</f>
        <v>0</v>
      </c>
      <c r="O213" s="4" t="b">
        <f ca="1">OR(VALUE(CALC2223!H212)&gt;VALUE(LASTV),VALUE(CALC2223!J212)&gt;VALUE(LASTV),VALUE(CALC2223!L212)&gt;VALUE(LASTV))</f>
        <v>0</v>
      </c>
      <c r="P213" s="4" t="b">
        <f ca="1">OR(VALUE(CALC2223!N212)&gt;VALUE(LASTV),VALUE(CALC2223!P212)&gt;VALUE(LASTV),VALUE(CALC2223!R212)&gt;VALUE(LASTV))</f>
        <v>0</v>
      </c>
      <c r="Q213" s="4" t="b">
        <f ca="1">OR(VALUE(CALC2223!T212)&gt;VALUE(LASTV),VALUE(CALC2223!V212)&gt;VALUE(LASTV),VALUE(CALC2223!X212)&gt;VALUE(LASTV))</f>
        <v>0</v>
      </c>
      <c r="R213" s="4" t="b">
        <f ca="1">OR(VALUE(CALC2223!Z212)&gt;VALUE(LASTV),VALUE(CALC2223!AB212)&gt;VALUE(LASTV),VALUE(CALC2223!AD212)&gt;VALUE(LASTV))</f>
        <v>0</v>
      </c>
      <c r="S213" s="4" t="b">
        <f ca="1">OR(VALUE(CALC2223!AF212)&gt;VALUE(LASTV),VALUE(CALC2223!AH212)&gt;VALUE(LASTV),VALUE(CALC2223!AJ212)&gt;VALUE(LASTV))</f>
        <v>0</v>
      </c>
      <c r="T213" s="4" t="b">
        <f ca="1">OR(VALUE(CALC2223!AL212)&gt;VALUE(LASTV),VALUE(CALC2223!AN212)&gt;VALUE(LASTV),VALUE(CALC2223!AP212)&gt;VALUE(LASTV))</f>
        <v>0</v>
      </c>
      <c r="U213" s="4" t="b">
        <f ca="1">OR(VALUE(CALC2223!AR212)&gt;VALUE(LASTV),VALUE(CALC2223!AT212)&gt;VALUE(LASTV),VALUE(CALC2223!AV212)&gt;VALUE(LASTV))</f>
        <v>0</v>
      </c>
      <c r="V213" s="1"/>
    </row>
    <row r="214" spans="1:22" ht="35.25" customHeight="1">
      <c r="A214" s="40"/>
      <c r="B214" s="41" t="s">
        <v>19</v>
      </c>
      <c r="C214" s="42">
        <v>46112</v>
      </c>
      <c r="D214" s="43" t="str">
        <f ca="1">CONCATENATE(CALC2223!A213," ",CALC2223!C213," ",CALC2223!E213)</f>
        <v xml:space="preserve">  </v>
      </c>
      <c r="E214" s="43" t="str">
        <f ca="1">CONCATENATE(CALC2223!G213," ",CALC2223!I213," ",CALC2223!K213)</f>
        <v xml:space="preserve">  </v>
      </c>
      <c r="F214" s="43" t="str">
        <f ca="1">CONCATENATE(CALC2223!M213," ",CALC2223!O213," ",CALC2223!Q213)</f>
        <v xml:space="preserve">  </v>
      </c>
      <c r="G214" s="43" t="str">
        <f ca="1">CONCATENATE(CALC2223!S213," ",CALC2223!U213," ",CALC2223!W213)</f>
        <v xml:space="preserve">Rep GR  </v>
      </c>
      <c r="H214" s="43" t="str">
        <f ca="1">CONCATENATE(CALC2223!Y213," ",CALC2223!AA213," ",CALC2223!AC213)</f>
        <v xml:space="preserve">  </v>
      </c>
      <c r="I214" s="43" t="str">
        <f ca="1">CONCATENATE(CALC2223!AE213," ",CALC2223!AG213," ",CALC2223!AI213)</f>
        <v xml:space="preserve">  </v>
      </c>
      <c r="J214" s="43" t="str">
        <f ca="1">CONCATENATE(CALC2223!AK213," ",CALC2223!AM213," ",CALC2223!AO213)</f>
        <v xml:space="preserve">30'-rooster/docentenspreekmomenten 14-17 uur  </v>
      </c>
      <c r="K214" s="43" t="str">
        <f ca="1">CONCATENATE(CALC2223!AQ213," ",CALC2223!AS213," ",CALC2223!AU213," ",CALC2223!AW213)</f>
        <v xml:space="preserve">30'-rooster/docentenspreekmomenten 14-17 uur   </v>
      </c>
      <c r="L214" s="44" t="str">
        <f t="shared" ca="1" si="0"/>
        <v>actueel</v>
      </c>
      <c r="M214" s="1"/>
      <c r="N214" s="4" t="b">
        <f ca="1">OR(VALUE(CALC2223!B213)&gt;VALUE(LASTV),VALUE(CALC2223!D213)&gt;VALUE(LASTV),VALUE(CALC2223!F213)&gt;VALUE(LASTV))</f>
        <v>0</v>
      </c>
      <c r="O214" s="4" t="b">
        <f ca="1">OR(VALUE(CALC2223!H213)&gt;VALUE(LASTV),VALUE(CALC2223!J213)&gt;VALUE(LASTV),VALUE(CALC2223!L213)&gt;VALUE(LASTV))</f>
        <v>0</v>
      </c>
      <c r="P214" s="4" t="b">
        <f ca="1">OR(VALUE(CALC2223!N213)&gt;VALUE(LASTV),VALUE(CALC2223!P213)&gt;VALUE(LASTV),VALUE(CALC2223!R213)&gt;VALUE(LASTV))</f>
        <v>0</v>
      </c>
      <c r="Q214" s="4" t="b">
        <f ca="1">OR(VALUE(CALC2223!T213)&gt;VALUE(LASTV),VALUE(CALC2223!V213)&gt;VALUE(LASTV),VALUE(CALC2223!X213)&gt;VALUE(LASTV))</f>
        <v>0</v>
      </c>
      <c r="R214" s="4" t="b">
        <f ca="1">OR(VALUE(CALC2223!Z213)&gt;VALUE(LASTV),VALUE(CALC2223!AB213)&gt;VALUE(LASTV),VALUE(CALC2223!AD213)&gt;VALUE(LASTV))</f>
        <v>0</v>
      </c>
      <c r="S214" s="4" t="b">
        <f ca="1">OR(VALUE(CALC2223!AF213)&gt;VALUE(LASTV),VALUE(CALC2223!AH213)&gt;VALUE(LASTV),VALUE(CALC2223!AJ213)&gt;VALUE(LASTV))</f>
        <v>0</v>
      </c>
      <c r="T214" s="4" t="b">
        <f ca="1">OR(VALUE(CALC2223!AL213)&gt;VALUE(LASTV),VALUE(CALC2223!AN213)&gt;VALUE(LASTV),VALUE(CALC2223!AP213)&gt;VALUE(LASTV))</f>
        <v>0</v>
      </c>
      <c r="U214" s="4" t="b">
        <f ca="1">OR(VALUE(CALC2223!AR213)&gt;VALUE(LASTV),VALUE(CALC2223!AT213)&gt;VALUE(LASTV),VALUE(CALC2223!AV213)&gt;VALUE(LASTV))</f>
        <v>0</v>
      </c>
      <c r="V214" s="1"/>
    </row>
    <row r="215" spans="1:22" ht="35.25" customHeight="1">
      <c r="A215" s="40"/>
      <c r="B215" s="41" t="s">
        <v>20</v>
      </c>
      <c r="C215" s="42">
        <v>46113</v>
      </c>
      <c r="D215" s="43" t="str">
        <f ca="1">CONCATENATE(CALC2223!A214," ",CALC2223!C214," ",CALC2223!E214)</f>
        <v xml:space="preserve">Rep FA  </v>
      </c>
      <c r="E215" s="43" t="str">
        <f ca="1">CONCATENATE(CALC2223!G214," ",CALC2223!I214," ",CALC2223!K214)</f>
        <v xml:space="preserve">  </v>
      </c>
      <c r="F215" s="43" t="str">
        <f ca="1">CONCATENATE(CALC2223!M214," ",CALC2223!O214," ",CALC2223!Q214)</f>
        <v xml:space="preserve">  </v>
      </c>
      <c r="G215" s="43" t="str">
        <f ca="1">CONCATENATE(CALC2223!S214," ",CALC2223!U214," ",CALC2223!W214)</f>
        <v xml:space="preserve">  </v>
      </c>
      <c r="H215" s="43" t="str">
        <f ca="1">CONCATENATE(CALC2223!Y214," ",CALC2223!AA214," ",CALC2223!AC214)</f>
        <v xml:space="preserve">Rep SK  </v>
      </c>
      <c r="I215" s="43" t="str">
        <f ca="1">CONCATENATE(CALC2223!AE214," ",CALC2223!AG214," ",CALC2223!AI214)</f>
        <v xml:space="preserve">KuDr regie  </v>
      </c>
      <c r="J215" s="43" t="str">
        <f ca="1">CONCATENATE(CALC2223!AK214," ",CALC2223!AM214," ",CALC2223!AO214)</f>
        <v xml:space="preserve">  </v>
      </c>
      <c r="K215" s="43" t="str">
        <f ca="1">CONCATENATE(CALC2223!AQ214," ",CALC2223!AS214," ",CALC2223!AU214," ",CALC2223!AW214)</f>
        <v xml:space="preserve">   </v>
      </c>
      <c r="L215" s="44" t="str">
        <f t="shared" ca="1" si="0"/>
        <v>actueel</v>
      </c>
      <c r="M215" s="1"/>
      <c r="N215" s="4" t="b">
        <f ca="1">OR(VALUE(CALC2223!B214)&gt;VALUE(LASTV),VALUE(CALC2223!D214)&gt;VALUE(LASTV),VALUE(CALC2223!F214)&gt;VALUE(LASTV))</f>
        <v>0</v>
      </c>
      <c r="O215" s="4" t="b">
        <f ca="1">OR(VALUE(CALC2223!H214)&gt;VALUE(LASTV),VALUE(CALC2223!J214)&gt;VALUE(LASTV),VALUE(CALC2223!L214)&gt;VALUE(LASTV))</f>
        <v>0</v>
      </c>
      <c r="P215" s="4" t="b">
        <f ca="1">OR(VALUE(CALC2223!N214)&gt;VALUE(LASTV),VALUE(CALC2223!P214)&gt;VALUE(LASTV),VALUE(CALC2223!R214)&gt;VALUE(LASTV))</f>
        <v>0</v>
      </c>
      <c r="Q215" s="4" t="b">
        <f ca="1">OR(VALUE(CALC2223!T214)&gt;VALUE(LASTV),VALUE(CALC2223!V214)&gt;VALUE(LASTV),VALUE(CALC2223!X214)&gt;VALUE(LASTV))</f>
        <v>0</v>
      </c>
      <c r="R215" s="4" t="b">
        <f ca="1">OR(VALUE(CALC2223!Z214)&gt;VALUE(LASTV),VALUE(CALC2223!AB214)&gt;VALUE(LASTV),VALUE(CALC2223!AD214)&gt;VALUE(LASTV))</f>
        <v>0</v>
      </c>
      <c r="S215" s="4" t="b">
        <f ca="1">OR(VALUE(CALC2223!AF214)&gt;VALUE(LASTV),VALUE(CALC2223!AH214)&gt;VALUE(LASTV),VALUE(CALC2223!AJ214)&gt;VALUE(LASTV))</f>
        <v>0</v>
      </c>
      <c r="T215" s="4" t="b">
        <f ca="1">OR(VALUE(CALC2223!AL214)&gt;VALUE(LASTV),VALUE(CALC2223!AN214)&gt;VALUE(LASTV),VALUE(CALC2223!AP214)&gt;VALUE(LASTV))</f>
        <v>0</v>
      </c>
      <c r="U215" s="4" t="b">
        <f ca="1">OR(VALUE(CALC2223!AR214)&gt;VALUE(LASTV),VALUE(CALC2223!AT214)&gt;VALUE(LASTV),VALUE(CALC2223!AV214)&gt;VALUE(LASTV))</f>
        <v>0</v>
      </c>
      <c r="V215" s="1"/>
    </row>
    <row r="216" spans="1:22" ht="35.25" customHeight="1">
      <c r="A216" s="40"/>
      <c r="B216" s="41" t="s">
        <v>21</v>
      </c>
      <c r="C216" s="42">
        <v>46114</v>
      </c>
      <c r="D216" s="43" t="str">
        <f ca="1">CONCATENATE(CALC2223!A215," ",CALC2223!C215," ",CALC2223!E215)</f>
        <v xml:space="preserve">  </v>
      </c>
      <c r="E216" s="43" t="str">
        <f ca="1">CONCATENATE(CALC2223!G215," ",CALC2223!I215," ",CALC2223!K215)</f>
        <v xml:space="preserve">Rep AK  </v>
      </c>
      <c r="F216" s="43" t="str">
        <f ca="1">CONCATENATE(CALC2223!M215," ",CALC2223!O215," ",CALC2223!Q215)</f>
        <v xml:space="preserve">Rep LA  </v>
      </c>
      <c r="G216" s="43" t="str">
        <f ca="1">CONCATENATE(CALC2223!S215," ",CALC2223!U215," ",CALC2223!W215)</f>
        <v xml:space="preserve">SE ANW  </v>
      </c>
      <c r="H216" s="43" t="str">
        <f ca="1">CONCATENATE(CALC2223!Y215," ",CALC2223!AA215," ",CALC2223!AC215)</f>
        <v xml:space="preserve">inh rep GR  </v>
      </c>
      <c r="I216" s="43" t="str">
        <f ca="1">CONCATENATE(CALC2223!AE215," ",CALC2223!AG215," ",CALC2223!AI215)</f>
        <v xml:space="preserve">SE herkansing opgave 09:00 uur  </v>
      </c>
      <c r="J216" s="43" t="str">
        <f ca="1">CONCATENATE(CALC2223!AK215," ",CALC2223!AM215," ",CALC2223!AO215)</f>
        <v xml:space="preserve">klasbespreking lj1#3  </v>
      </c>
      <c r="K216" s="43" t="str">
        <f ca="1">CONCATENATE(CALC2223!AQ215," ",CALC2223!AS215," ",CALC2223!AU215," ",CALC2223!AW215)</f>
        <v xml:space="preserve">   </v>
      </c>
      <c r="L216" s="44" t="str">
        <f t="shared" ca="1" si="0"/>
        <v>actueel</v>
      </c>
      <c r="M216" s="1"/>
      <c r="N216" s="4" t="b">
        <f ca="1">OR(VALUE(CALC2223!B215)&gt;VALUE(LASTV),VALUE(CALC2223!D215)&gt;VALUE(LASTV),VALUE(CALC2223!F215)&gt;VALUE(LASTV))</f>
        <v>0</v>
      </c>
      <c r="O216" s="4" t="b">
        <f ca="1">OR(VALUE(CALC2223!H215)&gt;VALUE(LASTV),VALUE(CALC2223!J215)&gt;VALUE(LASTV),VALUE(CALC2223!L215)&gt;VALUE(LASTV))</f>
        <v>0</v>
      </c>
      <c r="P216" s="4" t="b">
        <f ca="1">OR(VALUE(CALC2223!N215)&gt;VALUE(LASTV),VALUE(CALC2223!P215)&gt;VALUE(LASTV),VALUE(CALC2223!R215)&gt;VALUE(LASTV))</f>
        <v>0</v>
      </c>
      <c r="Q216" s="4" t="b">
        <f ca="1">OR(VALUE(CALC2223!T215)&gt;VALUE(LASTV),VALUE(CALC2223!V215)&gt;VALUE(LASTV),VALUE(CALC2223!X215)&gt;VALUE(LASTV))</f>
        <v>0</v>
      </c>
      <c r="R216" s="4" t="b">
        <f ca="1">OR(VALUE(CALC2223!Z215)&gt;VALUE(LASTV),VALUE(CALC2223!AB215)&gt;VALUE(LASTV),VALUE(CALC2223!AD215)&gt;VALUE(LASTV))</f>
        <v>0</v>
      </c>
      <c r="S216" s="4" t="b">
        <f ca="1">OR(VALUE(CALC2223!AF215)&gt;VALUE(LASTV),VALUE(CALC2223!AH215)&gt;VALUE(LASTV),VALUE(CALC2223!AJ215)&gt;VALUE(LASTV))</f>
        <v>0</v>
      </c>
      <c r="T216" s="4" t="b">
        <f ca="1">OR(VALUE(CALC2223!AL215)&gt;VALUE(LASTV),VALUE(CALC2223!AN215)&gt;VALUE(LASTV),VALUE(CALC2223!AP215)&gt;VALUE(LASTV))</f>
        <v>0</v>
      </c>
      <c r="U216" s="4" t="b">
        <f ca="1">OR(VALUE(CALC2223!AR215)&gt;VALUE(LASTV),VALUE(CALC2223!AT215)&gt;VALUE(LASTV),VALUE(CALC2223!AV215)&gt;VALUE(LASTV))</f>
        <v>0</v>
      </c>
      <c r="V216" s="1"/>
    </row>
    <row r="217" spans="1:22" ht="35.25" customHeight="1">
      <c r="A217" s="74"/>
      <c r="B217" s="70" t="s">
        <v>22</v>
      </c>
      <c r="C217" s="71">
        <v>46115</v>
      </c>
      <c r="D217" s="72" t="str">
        <f ca="1">CONCATENATE(CALC2223!A216," ",CALC2223!C216," ",CALC2223!E216)</f>
        <v xml:space="preserve">  </v>
      </c>
      <c r="E217" s="72" t="str">
        <f ca="1">CONCATENATE(CALC2223!G216," ",CALC2223!I216," ",CALC2223!K216)</f>
        <v xml:space="preserve">  </v>
      </c>
      <c r="F217" s="72" t="str">
        <f ca="1">CONCATENATE(CALC2223!M216," ",CALC2223!O216," ",CALC2223!Q216)</f>
        <v xml:space="preserve">  </v>
      </c>
      <c r="G217" s="72" t="str">
        <f ca="1">CONCATENATE(CALC2223!S216," ",CALC2223!U216," ",CALC2223!W216)</f>
        <v xml:space="preserve">  </v>
      </c>
      <c r="H217" s="72" t="str">
        <f ca="1">CONCATENATE(CALC2223!Y216," ",CALC2223!AA216," ",CALC2223!AC216)</f>
        <v xml:space="preserve">  </v>
      </c>
      <c r="I217" s="72" t="str">
        <f ca="1">CONCATENATE(CALC2223!AE216," ",CALC2223!AG216," ",CALC2223!AI216)</f>
        <v xml:space="preserve">  </v>
      </c>
      <c r="J217" s="72" t="str">
        <f ca="1">CONCATENATE(CALC2223!AK216," ",CALC2223!AM216," ",CALC2223!AO216)</f>
        <v xml:space="preserve">  </v>
      </c>
      <c r="K217" s="72" t="str">
        <f ca="1">CONCATENATE(CALC2223!AQ216," ",CALC2223!AS216," ",CALC2223!AU216," ",CALC2223!AW216)</f>
        <v xml:space="preserve">Goede Vrijdag    </v>
      </c>
      <c r="L217" s="73" t="str">
        <f t="shared" ca="1" si="0"/>
        <v>actueel</v>
      </c>
      <c r="M217" s="1"/>
      <c r="N217" s="4" t="b">
        <f ca="1">OR(VALUE(CALC2223!B216)&gt;VALUE(LASTV),VALUE(CALC2223!D216)&gt;VALUE(LASTV),VALUE(CALC2223!F216)&gt;VALUE(LASTV))</f>
        <v>0</v>
      </c>
      <c r="O217" s="4" t="b">
        <f ca="1">OR(VALUE(CALC2223!H216)&gt;VALUE(LASTV),VALUE(CALC2223!J216)&gt;VALUE(LASTV),VALUE(CALC2223!L216)&gt;VALUE(LASTV))</f>
        <v>0</v>
      </c>
      <c r="P217" s="4" t="b">
        <f ca="1">OR(VALUE(CALC2223!N216)&gt;VALUE(LASTV),VALUE(CALC2223!P216)&gt;VALUE(LASTV),VALUE(CALC2223!R216)&gt;VALUE(LASTV))</f>
        <v>0</v>
      </c>
      <c r="Q217" s="4" t="b">
        <f ca="1">OR(VALUE(CALC2223!T216)&gt;VALUE(LASTV),VALUE(CALC2223!V216)&gt;VALUE(LASTV),VALUE(CALC2223!X216)&gt;VALUE(LASTV))</f>
        <v>0</v>
      </c>
      <c r="R217" s="4" t="b">
        <f ca="1">OR(VALUE(CALC2223!Z216)&gt;VALUE(LASTV),VALUE(CALC2223!AB216)&gt;VALUE(LASTV),VALUE(CALC2223!AD216)&gt;VALUE(LASTV))</f>
        <v>0</v>
      </c>
      <c r="S217" s="4" t="b">
        <f ca="1">OR(VALUE(CALC2223!AF216)&gt;VALUE(LASTV),VALUE(CALC2223!AH216)&gt;VALUE(LASTV),VALUE(CALC2223!AJ216)&gt;VALUE(LASTV))</f>
        <v>0</v>
      </c>
      <c r="T217" s="4" t="b">
        <f ca="1">OR(VALUE(CALC2223!AL216)&gt;VALUE(LASTV),VALUE(CALC2223!AN216)&gt;VALUE(LASTV),VALUE(CALC2223!AP216)&gt;VALUE(LASTV))</f>
        <v>0</v>
      </c>
      <c r="U217" s="4" t="b">
        <f ca="1">OR(VALUE(CALC2223!AR216)&gt;VALUE(LASTV),VALUE(CALC2223!AT216)&gt;VALUE(LASTV),VALUE(CALC2223!AV216)&gt;VALUE(LASTV))</f>
        <v>0</v>
      </c>
      <c r="V217" s="1"/>
    </row>
    <row r="218" spans="1:22" ht="35.25" customHeight="1">
      <c r="A218" s="45"/>
      <c r="B218" s="46" t="s">
        <v>23</v>
      </c>
      <c r="C218" s="47">
        <v>46116</v>
      </c>
      <c r="D218" s="48" t="str">
        <f ca="1">CONCATENATE(CALC2223!A217," ",CALC2223!C217," ",CALC2223!E217)</f>
        <v xml:space="preserve">  </v>
      </c>
      <c r="E218" s="48" t="str">
        <f ca="1">CONCATENATE(CALC2223!G217," ",CALC2223!I217," ",CALC2223!K217)</f>
        <v xml:space="preserve">  </v>
      </c>
      <c r="F218" s="48" t="str">
        <f ca="1">CONCATENATE(CALC2223!M217," ",CALC2223!O217," ",CALC2223!Q217)</f>
        <v xml:space="preserve">  </v>
      </c>
      <c r="G218" s="48" t="str">
        <f ca="1">CONCATENATE(CALC2223!S217," ",CALC2223!U217," ",CALC2223!W217)</f>
        <v xml:space="preserve">  </v>
      </c>
      <c r="H218" s="48" t="str">
        <f ca="1">CONCATENATE(CALC2223!Y217," ",CALC2223!AA217," ",CALC2223!AC217)</f>
        <v xml:space="preserve">  </v>
      </c>
      <c r="I218" s="48" t="str">
        <f ca="1">CONCATENATE(CALC2223!AE217," ",CALC2223!AG217," ",CALC2223!AI217)</f>
        <v xml:space="preserve">  </v>
      </c>
      <c r="J218" s="48" t="str">
        <f ca="1">CONCATENATE(CALC2223!AK217," ",CALC2223!AM217," ",CALC2223!AO217)</f>
        <v xml:space="preserve">  </v>
      </c>
      <c r="K218" s="48" t="str">
        <f ca="1">CONCATENATE(CALC2223!AQ217," ",CALC2223!AS217," ",CALC2223!AU217," ",CALC2223!AW217)</f>
        <v xml:space="preserve">   </v>
      </c>
      <c r="L218" s="49" t="str">
        <f t="shared" ca="1" si="0"/>
        <v>actueel</v>
      </c>
      <c r="M218" s="1"/>
      <c r="N218" s="4" t="b">
        <f ca="1">OR(VALUE(CALC2223!B217)&gt;VALUE(LASTV),VALUE(CALC2223!D217)&gt;VALUE(LASTV),VALUE(CALC2223!F217)&gt;VALUE(LASTV))</f>
        <v>0</v>
      </c>
      <c r="O218" s="4" t="b">
        <f ca="1">OR(VALUE(CALC2223!H217)&gt;VALUE(LASTV),VALUE(CALC2223!J217)&gt;VALUE(LASTV),VALUE(CALC2223!L217)&gt;VALUE(LASTV))</f>
        <v>0</v>
      </c>
      <c r="P218" s="4" t="b">
        <f ca="1">OR(VALUE(CALC2223!N217)&gt;VALUE(LASTV),VALUE(CALC2223!P217)&gt;VALUE(LASTV),VALUE(CALC2223!R217)&gt;VALUE(LASTV))</f>
        <v>0</v>
      </c>
      <c r="Q218" s="4" t="b">
        <f ca="1">OR(VALUE(CALC2223!T217)&gt;VALUE(LASTV),VALUE(CALC2223!V217)&gt;VALUE(LASTV),VALUE(CALC2223!X217)&gt;VALUE(LASTV))</f>
        <v>0</v>
      </c>
      <c r="R218" s="4" t="b">
        <f ca="1">OR(VALUE(CALC2223!Z217)&gt;VALUE(LASTV),VALUE(CALC2223!AB217)&gt;VALUE(LASTV),VALUE(CALC2223!AD217)&gt;VALUE(LASTV))</f>
        <v>0</v>
      </c>
      <c r="S218" s="4" t="b">
        <f ca="1">OR(VALUE(CALC2223!AF217)&gt;VALUE(LASTV),VALUE(CALC2223!AH217)&gt;VALUE(LASTV),VALUE(CALC2223!AJ217)&gt;VALUE(LASTV))</f>
        <v>0</v>
      </c>
      <c r="T218" s="4" t="b">
        <f ca="1">OR(VALUE(CALC2223!AL217)&gt;VALUE(LASTV),VALUE(CALC2223!AN217)&gt;VALUE(LASTV),VALUE(CALC2223!AP217)&gt;VALUE(LASTV))</f>
        <v>0</v>
      </c>
      <c r="U218" s="4" t="b">
        <f ca="1">OR(VALUE(CALC2223!AR217)&gt;VALUE(LASTV),VALUE(CALC2223!AT217)&gt;VALUE(LASTV),VALUE(CALC2223!AV217)&gt;VALUE(LASTV))</f>
        <v>0</v>
      </c>
      <c r="V218" s="1"/>
    </row>
    <row r="219" spans="1:22" ht="35.25" customHeight="1">
      <c r="A219" s="75"/>
      <c r="B219" s="76" t="s">
        <v>24</v>
      </c>
      <c r="C219" s="77">
        <v>46117</v>
      </c>
      <c r="D219" s="78" t="str">
        <f ca="1">CONCATENATE(CALC2223!A218," ",CALC2223!C218," ",CALC2223!E218)</f>
        <v xml:space="preserve">  </v>
      </c>
      <c r="E219" s="78" t="str">
        <f ca="1">CONCATENATE(CALC2223!G218," ",CALC2223!I218," ",CALC2223!K218)</f>
        <v xml:space="preserve">  </v>
      </c>
      <c r="F219" s="78" t="str">
        <f ca="1">CONCATENATE(CALC2223!M218," ",CALC2223!O218," ",CALC2223!Q218)</f>
        <v xml:space="preserve">  </v>
      </c>
      <c r="G219" s="78" t="str">
        <f ca="1">CONCATENATE(CALC2223!S218," ",CALC2223!U218," ",CALC2223!W218)</f>
        <v xml:space="preserve">  </v>
      </c>
      <c r="H219" s="78" t="str">
        <f ca="1">CONCATENATE(CALC2223!Y218," ",CALC2223!AA218," ",CALC2223!AC218)</f>
        <v xml:space="preserve">  </v>
      </c>
      <c r="I219" s="78" t="str">
        <f ca="1">CONCATENATE(CALC2223!AE218," ",CALC2223!AG218," ",CALC2223!AI218)</f>
        <v xml:space="preserve">  </v>
      </c>
      <c r="J219" s="78" t="str">
        <f ca="1">CONCATENATE(CALC2223!AK218," ",CALC2223!AM218," ",CALC2223!AO218)</f>
        <v xml:space="preserve">  </v>
      </c>
      <c r="K219" s="78" t="str">
        <f ca="1">CONCATENATE(CALC2223!AQ218," ",CALC2223!AS218," ",CALC2223!AU218," ",CALC2223!AW218)</f>
        <v xml:space="preserve">Eerste Paasdag   </v>
      </c>
      <c r="L219" s="79" t="str">
        <f t="shared" ca="1" si="0"/>
        <v>actueel</v>
      </c>
      <c r="M219" s="1"/>
      <c r="N219" s="4" t="b">
        <f ca="1">OR(VALUE(CALC2223!B218)&gt;VALUE(LASTV),VALUE(CALC2223!D218)&gt;VALUE(LASTV),VALUE(CALC2223!F218)&gt;VALUE(LASTV))</f>
        <v>0</v>
      </c>
      <c r="O219" s="4" t="b">
        <f ca="1">OR(VALUE(CALC2223!H218)&gt;VALUE(LASTV),VALUE(CALC2223!J218)&gt;VALUE(LASTV),VALUE(CALC2223!L218)&gt;VALUE(LASTV))</f>
        <v>0</v>
      </c>
      <c r="P219" s="4" t="b">
        <f ca="1">OR(VALUE(CALC2223!N218)&gt;VALUE(LASTV),VALUE(CALC2223!P218)&gt;VALUE(LASTV),VALUE(CALC2223!R218)&gt;VALUE(LASTV))</f>
        <v>0</v>
      </c>
      <c r="Q219" s="4" t="b">
        <f ca="1">OR(VALUE(CALC2223!T218)&gt;VALUE(LASTV),VALUE(CALC2223!V218)&gt;VALUE(LASTV),VALUE(CALC2223!X218)&gt;VALUE(LASTV))</f>
        <v>0</v>
      </c>
      <c r="R219" s="4" t="b">
        <f ca="1">OR(VALUE(CALC2223!Z218)&gt;VALUE(LASTV),VALUE(CALC2223!AB218)&gt;VALUE(LASTV),VALUE(CALC2223!AD218)&gt;VALUE(LASTV))</f>
        <v>0</v>
      </c>
      <c r="S219" s="4" t="b">
        <f ca="1">OR(VALUE(CALC2223!AF218)&gt;VALUE(LASTV),VALUE(CALC2223!AH218)&gt;VALUE(LASTV),VALUE(CALC2223!AJ218)&gt;VALUE(LASTV))</f>
        <v>0</v>
      </c>
      <c r="T219" s="4" t="b">
        <f ca="1">OR(VALUE(CALC2223!AL218)&gt;VALUE(LASTV),VALUE(CALC2223!AN218)&gt;VALUE(LASTV),VALUE(CALC2223!AP218)&gt;VALUE(LASTV))</f>
        <v>0</v>
      </c>
      <c r="U219" s="4" t="b">
        <f ca="1">OR(VALUE(CALC2223!AR218)&gt;VALUE(LASTV),VALUE(CALC2223!AT218)&gt;VALUE(LASTV),VALUE(CALC2223!AV218)&gt;VALUE(LASTV))</f>
        <v>0</v>
      </c>
      <c r="V219" s="1"/>
    </row>
    <row r="220" spans="1:22" ht="35.25" customHeight="1">
      <c r="A220" s="86">
        <v>15</v>
      </c>
      <c r="B220" s="76" t="s">
        <v>18</v>
      </c>
      <c r="C220" s="77">
        <v>46118</v>
      </c>
      <c r="D220" s="78" t="str">
        <f ca="1">CONCATENATE(CALC2223!A219," ",CALC2223!C219," ",CALC2223!E219)</f>
        <v xml:space="preserve">  </v>
      </c>
      <c r="E220" s="78" t="str">
        <f ca="1">CONCATENATE(CALC2223!G219," ",CALC2223!I219," ",CALC2223!K219)</f>
        <v xml:space="preserve">  </v>
      </c>
      <c r="F220" s="78" t="str">
        <f ca="1">CONCATENATE(CALC2223!M219," ",CALC2223!O219," ",CALC2223!Q219)</f>
        <v xml:space="preserve">  </v>
      </c>
      <c r="G220" s="78" t="str">
        <f ca="1">CONCATENATE(CALC2223!S219," ",CALC2223!U219," ",CALC2223!W219)</f>
        <v xml:space="preserve">  </v>
      </c>
      <c r="H220" s="78" t="str">
        <f ca="1">CONCATENATE(CALC2223!Y219," ",CALC2223!AA219," ",CALC2223!AC219)</f>
        <v xml:space="preserve">  </v>
      </c>
      <c r="I220" s="78" t="str">
        <f ca="1">CONCATENATE(CALC2223!AE219," ",CALC2223!AG219," ",CALC2223!AI219)</f>
        <v xml:space="preserve">  </v>
      </c>
      <c r="J220" s="78" t="str">
        <f ca="1">CONCATENATE(CALC2223!AK219," ",CALC2223!AM219," ",CALC2223!AO219)</f>
        <v xml:space="preserve">  </v>
      </c>
      <c r="K220" s="78" t="str">
        <f ca="1">CONCATENATE(CALC2223!AQ219," ",CALC2223!AS219," ",CALC2223!AU219," ",CALC2223!AW219)</f>
        <v xml:space="preserve">Tweede Paasdag   </v>
      </c>
      <c r="L220" s="79" t="str">
        <f t="shared" ca="1" si="0"/>
        <v>actueel</v>
      </c>
      <c r="M220" s="1"/>
      <c r="N220" s="4" t="b">
        <f ca="1">OR(VALUE(CALC2223!B219)&gt;VALUE(LASTV),VALUE(CALC2223!D219)&gt;VALUE(LASTV),VALUE(CALC2223!F219)&gt;VALUE(LASTV))</f>
        <v>0</v>
      </c>
      <c r="O220" s="4" t="b">
        <f ca="1">OR(VALUE(CALC2223!H219)&gt;VALUE(LASTV),VALUE(CALC2223!J219)&gt;VALUE(LASTV),VALUE(CALC2223!L219)&gt;VALUE(LASTV))</f>
        <v>0</v>
      </c>
      <c r="P220" s="4" t="b">
        <f ca="1">OR(VALUE(CALC2223!N219)&gt;VALUE(LASTV),VALUE(CALC2223!P219)&gt;VALUE(LASTV),VALUE(CALC2223!R219)&gt;VALUE(LASTV))</f>
        <v>0</v>
      </c>
      <c r="Q220" s="4" t="b">
        <f ca="1">OR(VALUE(CALC2223!T219)&gt;VALUE(LASTV),VALUE(CALC2223!V219)&gt;VALUE(LASTV),VALUE(CALC2223!X219)&gt;VALUE(LASTV))</f>
        <v>0</v>
      </c>
      <c r="R220" s="4" t="b">
        <f ca="1">OR(VALUE(CALC2223!Z219)&gt;VALUE(LASTV),VALUE(CALC2223!AB219)&gt;VALUE(LASTV),VALUE(CALC2223!AD219)&gt;VALUE(LASTV))</f>
        <v>0</v>
      </c>
      <c r="S220" s="4" t="b">
        <f ca="1">OR(VALUE(CALC2223!AF219)&gt;VALUE(LASTV),VALUE(CALC2223!AH219)&gt;VALUE(LASTV),VALUE(CALC2223!AJ219)&gt;VALUE(LASTV))</f>
        <v>0</v>
      </c>
      <c r="T220" s="4" t="b">
        <f ca="1">OR(VALUE(CALC2223!AL219)&gt;VALUE(LASTV),VALUE(CALC2223!AN219)&gt;VALUE(LASTV),VALUE(CALC2223!AP219)&gt;VALUE(LASTV))</f>
        <v>0</v>
      </c>
      <c r="U220" s="4" t="b">
        <f ca="1">OR(VALUE(CALC2223!AR219)&gt;VALUE(LASTV),VALUE(CALC2223!AT219)&gt;VALUE(LASTV),VALUE(CALC2223!AV219)&gt;VALUE(LASTV))</f>
        <v>0</v>
      </c>
      <c r="V220" s="1"/>
    </row>
    <row r="221" spans="1:22" ht="35.25" customHeight="1">
      <c r="A221" s="40"/>
      <c r="B221" s="41" t="s">
        <v>19</v>
      </c>
      <c r="C221" s="42">
        <v>46119</v>
      </c>
      <c r="D221" s="43" t="str">
        <f ca="1">CONCATENATE(CALC2223!A220," ",CALC2223!C220," ",CALC2223!E220)</f>
        <v xml:space="preserve">  </v>
      </c>
      <c r="E221" s="43" t="str">
        <f ca="1">CONCATENATE(CALC2223!G220," ",CALC2223!I220," ",CALC2223!K220)</f>
        <v xml:space="preserve">  </v>
      </c>
      <c r="F221" s="43" t="str">
        <f ca="1">CONCATENATE(CALC2223!M220," ",CALC2223!O220," ",CALC2223!Q220)</f>
        <v xml:space="preserve">definitieve profielkeuze  </v>
      </c>
      <c r="G221" s="43" t="str">
        <f ca="1">CONCATENATE(CALC2223!S220," ",CALC2223!U220," ",CALC2223!W220)</f>
        <v xml:space="preserve">definitieve profielkeuze  </v>
      </c>
      <c r="H221" s="43" t="str">
        <f ca="1">CONCATENATE(CALC2223!Y220," ",CALC2223!AA220," ",CALC2223!AC220)</f>
        <v xml:space="preserve">  </v>
      </c>
      <c r="I221" s="43" t="str">
        <f ca="1">CONCATENATE(CALC2223!AE220," ",CALC2223!AG220," ",CALC2223!AI220)</f>
        <v xml:space="preserve">  </v>
      </c>
      <c r="J221" s="43" t="str">
        <f ca="1">CONCATENATE(CALC2223!AK220," ",CALC2223!AM220," ",CALC2223!AO220)</f>
        <v xml:space="preserve">  </v>
      </c>
      <c r="K221" s="43" t="str">
        <f ca="1">CONCATENATE(CALC2223!AQ220," ",CALC2223!AS220," ",CALC2223!AU220," ",CALC2223!AW220)</f>
        <v xml:space="preserve">   </v>
      </c>
      <c r="L221" s="44" t="str">
        <f t="shared" ca="1" si="0"/>
        <v>actueel</v>
      </c>
      <c r="M221" s="1"/>
      <c r="N221" s="4" t="b">
        <f ca="1">OR(VALUE(CALC2223!B220)&gt;VALUE(LASTV),VALUE(CALC2223!D220)&gt;VALUE(LASTV),VALUE(CALC2223!F220)&gt;VALUE(LASTV))</f>
        <v>0</v>
      </c>
      <c r="O221" s="4" t="b">
        <f ca="1">OR(VALUE(CALC2223!H220)&gt;VALUE(LASTV),VALUE(CALC2223!J220)&gt;VALUE(LASTV),VALUE(CALC2223!L220)&gt;VALUE(LASTV))</f>
        <v>0</v>
      </c>
      <c r="P221" s="4" t="b">
        <f ca="1">OR(VALUE(CALC2223!N220)&gt;VALUE(LASTV),VALUE(CALC2223!P220)&gt;VALUE(LASTV),VALUE(CALC2223!R220)&gt;VALUE(LASTV))</f>
        <v>0</v>
      </c>
      <c r="Q221" s="4" t="b">
        <f ca="1">OR(VALUE(CALC2223!T220)&gt;VALUE(LASTV),VALUE(CALC2223!V220)&gt;VALUE(LASTV),VALUE(CALC2223!X220)&gt;VALUE(LASTV))</f>
        <v>0</v>
      </c>
      <c r="R221" s="4" t="b">
        <f ca="1">OR(VALUE(CALC2223!Z220)&gt;VALUE(LASTV),VALUE(CALC2223!AB220)&gt;VALUE(LASTV),VALUE(CALC2223!AD220)&gt;VALUE(LASTV))</f>
        <v>0</v>
      </c>
      <c r="S221" s="4" t="b">
        <f ca="1">OR(VALUE(CALC2223!AF220)&gt;VALUE(LASTV),VALUE(CALC2223!AH220)&gt;VALUE(LASTV),VALUE(CALC2223!AJ220)&gt;VALUE(LASTV))</f>
        <v>0</v>
      </c>
      <c r="T221" s="4" t="b">
        <f ca="1">OR(VALUE(CALC2223!AL220)&gt;VALUE(LASTV),VALUE(CALC2223!AN220)&gt;VALUE(LASTV),VALUE(CALC2223!AP220)&gt;VALUE(LASTV))</f>
        <v>0</v>
      </c>
      <c r="U221" s="4" t="b">
        <f ca="1">OR(VALUE(CALC2223!AR220)&gt;VALUE(LASTV),VALUE(CALC2223!AT220)&gt;VALUE(LASTV),VALUE(CALC2223!AV220)&gt;VALUE(LASTV))</f>
        <v>0</v>
      </c>
      <c r="V221" s="1"/>
    </row>
    <row r="222" spans="1:22" ht="35.25" customHeight="1">
      <c r="A222" s="40"/>
      <c r="B222" s="41" t="s">
        <v>20</v>
      </c>
      <c r="C222" s="42">
        <v>46120</v>
      </c>
      <c r="D222" s="43" t="str">
        <f ca="1">CONCATENATE(CALC2223!A221," ",CALC2223!C221," ",CALC2223!E221)</f>
        <v xml:space="preserve">Rep EN  </v>
      </c>
      <c r="E222" s="43" t="str">
        <f ca="1">CONCATENATE(CALC2223!G221," ",CALC2223!I221," ",CALC2223!K221)</f>
        <v xml:space="preserve">  </v>
      </c>
      <c r="F222" s="43" t="str">
        <f ca="1">CONCATENATE(CALC2223!M221," ",CALC2223!O221," ",CALC2223!Q221)</f>
        <v xml:space="preserve">  </v>
      </c>
      <c r="G222" s="43" t="str">
        <f ca="1">CONCATENATE(CALC2223!S221," ",CALC2223!U221," ",CALC2223!W221)</f>
        <v xml:space="preserve">  </v>
      </c>
      <c r="H222" s="43" t="str">
        <f ca="1">CONCATENATE(CALC2223!Y221," ",CALC2223!AA221," ",CALC2223!AC221)</f>
        <v xml:space="preserve">SE GS SE WiD (tijdens de les) </v>
      </c>
      <c r="I222" s="43" t="str">
        <f ca="1">CONCATENATE(CALC2223!AE221," ",CALC2223!AG221," ",CALC2223!AI221)</f>
        <v xml:space="preserve">SE herkansen  </v>
      </c>
      <c r="J222" s="43" t="str">
        <f ca="1">CONCATENATE(CALC2223!AK221," ",CALC2223!AM221," ",CALC2223!AO221)</f>
        <v xml:space="preserve">  </v>
      </c>
      <c r="K222" s="43" t="str">
        <f ca="1">CONCATENATE(CALC2223!AQ221," ",CALC2223!AS221," ",CALC2223!AU221," ",CALC2223!AW221)</f>
        <v xml:space="preserve">   </v>
      </c>
      <c r="L222" s="44" t="str">
        <f t="shared" ca="1" si="0"/>
        <v>actueel</v>
      </c>
      <c r="M222" s="1"/>
      <c r="N222" s="4" t="b">
        <f ca="1">OR(VALUE(CALC2223!B221)&gt;VALUE(LASTV),VALUE(CALC2223!D221)&gt;VALUE(LASTV),VALUE(CALC2223!F221)&gt;VALUE(LASTV))</f>
        <v>0</v>
      </c>
      <c r="O222" s="4" t="b">
        <f ca="1">OR(VALUE(CALC2223!H221)&gt;VALUE(LASTV),VALUE(CALC2223!J221)&gt;VALUE(LASTV),VALUE(CALC2223!L221)&gt;VALUE(LASTV))</f>
        <v>0</v>
      </c>
      <c r="P222" s="4" t="b">
        <f ca="1">OR(VALUE(CALC2223!N221)&gt;VALUE(LASTV),VALUE(CALC2223!P221)&gt;VALUE(LASTV),VALUE(CALC2223!R221)&gt;VALUE(LASTV))</f>
        <v>0</v>
      </c>
      <c r="Q222" s="4" t="b">
        <f ca="1">OR(VALUE(CALC2223!T221)&gt;VALUE(LASTV),VALUE(CALC2223!V221)&gt;VALUE(LASTV),VALUE(CALC2223!X221)&gt;VALUE(LASTV))</f>
        <v>0</v>
      </c>
      <c r="R222" s="4" t="b">
        <f ca="1">OR(VALUE(CALC2223!Z221)&gt;VALUE(LASTV),VALUE(CALC2223!AB221)&gt;VALUE(LASTV),VALUE(CALC2223!AD221)&gt;VALUE(LASTV))</f>
        <v>0</v>
      </c>
      <c r="S222" s="4" t="b">
        <f ca="1">OR(VALUE(CALC2223!AF221)&gt;VALUE(LASTV),VALUE(CALC2223!AH221)&gt;VALUE(LASTV),VALUE(CALC2223!AJ221)&gt;VALUE(LASTV))</f>
        <v>0</v>
      </c>
      <c r="T222" s="4" t="b">
        <f ca="1">OR(VALUE(CALC2223!AL221)&gt;VALUE(LASTV),VALUE(CALC2223!AN221)&gt;VALUE(LASTV),VALUE(CALC2223!AP221)&gt;VALUE(LASTV))</f>
        <v>0</v>
      </c>
      <c r="U222" s="4" t="b">
        <f ca="1">OR(VALUE(CALC2223!AR221)&gt;VALUE(LASTV),VALUE(CALC2223!AT221)&gt;VALUE(LASTV),VALUE(CALC2223!AV221)&gt;VALUE(LASTV))</f>
        <v>0</v>
      </c>
      <c r="V222" s="1"/>
    </row>
    <row r="223" spans="1:22" ht="35.25" customHeight="1">
      <c r="A223" s="40"/>
      <c r="B223" s="41" t="s">
        <v>21</v>
      </c>
      <c r="C223" s="42">
        <v>46121</v>
      </c>
      <c r="D223" s="43" t="str">
        <f ca="1">CONCATENATE(CALC2223!A222," ",CALC2223!C222," ",CALC2223!E222)</f>
        <v xml:space="preserve">  </v>
      </c>
      <c r="E223" s="43" t="str">
        <f ca="1">CONCATENATE(CALC2223!G222," ",CALC2223!I222," ",CALC2223!K222)</f>
        <v xml:space="preserve">  </v>
      </c>
      <c r="F223" s="43" t="str">
        <f ca="1">CONCATENATE(CALC2223!M222," ",CALC2223!O222," ",CALC2223!Q222)</f>
        <v xml:space="preserve">Rep FA  </v>
      </c>
      <c r="G223" s="43" t="str">
        <f ca="1">CONCATENATE(CALC2223!S222," ",CALC2223!U222," ",CALC2223!W222)</f>
        <v xml:space="preserve">inh rep EC  </v>
      </c>
      <c r="H223" s="43" t="str">
        <f ca="1">CONCATENATE(CALC2223!Y222," ",CALC2223!AA222," ",CALC2223!AC222)</f>
        <v xml:space="preserve">klreis inh rep EC </v>
      </c>
      <c r="I223" s="43" t="str">
        <f ca="1">CONCATENATE(CALC2223!AE222," ",CALC2223!AG222," ",CALC2223!AI222)</f>
        <v xml:space="preserve">  </v>
      </c>
      <c r="J223" s="43" t="str">
        <f ca="1">CONCATENATE(CALC2223!AK222," ",CALC2223!AM222," ",CALC2223!AO222)</f>
        <v xml:space="preserve">mentoren#6  </v>
      </c>
      <c r="K223" s="43" t="str">
        <f ca="1">CONCATENATE(CALC2223!AQ222," ",CALC2223!AS222," ",CALC2223!AU222," ",CALC2223!AW222)</f>
        <v xml:space="preserve">   </v>
      </c>
      <c r="L223" s="44" t="str">
        <f t="shared" ca="1" si="0"/>
        <v>actueel</v>
      </c>
      <c r="M223" s="1"/>
      <c r="N223" s="4" t="b">
        <f ca="1">OR(VALUE(CALC2223!B222)&gt;VALUE(LASTV),VALUE(CALC2223!D222)&gt;VALUE(LASTV),VALUE(CALC2223!F222)&gt;VALUE(LASTV))</f>
        <v>0</v>
      </c>
      <c r="O223" s="4" t="b">
        <f ca="1">OR(VALUE(CALC2223!H222)&gt;VALUE(LASTV),VALUE(CALC2223!J222)&gt;VALUE(LASTV),VALUE(CALC2223!L222)&gt;VALUE(LASTV))</f>
        <v>0</v>
      </c>
      <c r="P223" s="4" t="b">
        <f ca="1">OR(VALUE(CALC2223!N222)&gt;VALUE(LASTV),VALUE(CALC2223!P222)&gt;VALUE(LASTV),VALUE(CALC2223!R222)&gt;VALUE(LASTV))</f>
        <v>0</v>
      </c>
      <c r="Q223" s="4" t="b">
        <f ca="1">OR(VALUE(CALC2223!T222)&gt;VALUE(LASTV),VALUE(CALC2223!V222)&gt;VALUE(LASTV),VALUE(CALC2223!X222)&gt;VALUE(LASTV))</f>
        <v>0</v>
      </c>
      <c r="R223" s="4" t="b">
        <f ca="1">OR(VALUE(CALC2223!Z222)&gt;VALUE(LASTV),VALUE(CALC2223!AB222)&gt;VALUE(LASTV),VALUE(CALC2223!AD222)&gt;VALUE(LASTV))</f>
        <v>0</v>
      </c>
      <c r="S223" s="4" t="b">
        <f ca="1">OR(VALUE(CALC2223!AF222)&gt;VALUE(LASTV),VALUE(CALC2223!AH222)&gt;VALUE(LASTV),VALUE(CALC2223!AJ222)&gt;VALUE(LASTV))</f>
        <v>0</v>
      </c>
      <c r="T223" s="4" t="b">
        <f ca="1">OR(VALUE(CALC2223!AL222)&gt;VALUE(LASTV),VALUE(CALC2223!AN222)&gt;VALUE(LASTV),VALUE(CALC2223!AP222)&gt;VALUE(LASTV))</f>
        <v>0</v>
      </c>
      <c r="U223" s="4" t="b">
        <f ca="1">OR(VALUE(CALC2223!AR222)&gt;VALUE(LASTV),VALUE(CALC2223!AT222)&gt;VALUE(LASTV),VALUE(CALC2223!AV222)&gt;VALUE(LASTV))</f>
        <v>0</v>
      </c>
      <c r="V223" s="1"/>
    </row>
    <row r="224" spans="1:22" ht="35.25" customHeight="1">
      <c r="A224" s="40"/>
      <c r="B224" s="41" t="s">
        <v>22</v>
      </c>
      <c r="C224" s="42">
        <v>46122</v>
      </c>
      <c r="D224" s="43" t="str">
        <f ca="1">CONCATENATE(CALC2223!A223," ",CALC2223!C223," ",CALC2223!E223)</f>
        <v xml:space="preserve">  </v>
      </c>
      <c r="E224" s="43" t="str">
        <f ca="1">CONCATENATE(CALC2223!G223," ",CALC2223!I223," ",CALC2223!K223)</f>
        <v xml:space="preserve">Rep DUI  </v>
      </c>
      <c r="F224" s="43" t="str">
        <f ca="1">CONCATENATE(CALC2223!M223," ",CALC2223!O223," ",CALC2223!Q223)</f>
        <v xml:space="preserve">  </v>
      </c>
      <c r="G224" s="43" t="str">
        <f ca="1">CONCATENATE(CALC2223!S223," ",CALC2223!U223," ",CALC2223!W223)</f>
        <v xml:space="preserve">Rep bi  </v>
      </c>
      <c r="H224" s="43" t="str">
        <f ca="1">CONCATENATE(CALC2223!Y223," ",CALC2223!AA223," ",CALC2223!AC223)</f>
        <v xml:space="preserve">klreis  </v>
      </c>
      <c r="I224" s="43" t="str">
        <f ca="1">CONCATENATE(CALC2223!AE223," ",CALC2223!AG223," ",CALC2223!AI223)</f>
        <v xml:space="preserve">  </v>
      </c>
      <c r="J224" s="43" t="str">
        <f ca="1">CONCATENATE(CALC2223!AK223," ",CALC2223!AM223," ",CALC2223!AO223)</f>
        <v xml:space="preserve">  </v>
      </c>
      <c r="K224" s="43" t="str">
        <f ca="1">CONCATENATE(CALC2223!AQ223," ",CALC2223!AS223," ",CALC2223!AU223," ",CALC2223!AW223)</f>
        <v xml:space="preserve">   </v>
      </c>
      <c r="L224" s="44" t="str">
        <f t="shared" ca="1" si="0"/>
        <v>actueel</v>
      </c>
      <c r="M224" s="1"/>
      <c r="N224" s="4" t="b">
        <f ca="1">OR(VALUE(CALC2223!B223)&gt;VALUE(LASTV),VALUE(CALC2223!D223)&gt;VALUE(LASTV),VALUE(CALC2223!F223)&gt;VALUE(LASTV))</f>
        <v>0</v>
      </c>
      <c r="O224" s="4" t="b">
        <f ca="1">OR(VALUE(CALC2223!H223)&gt;VALUE(LASTV),VALUE(CALC2223!J223)&gt;VALUE(LASTV),VALUE(CALC2223!L223)&gt;VALUE(LASTV))</f>
        <v>0</v>
      </c>
      <c r="P224" s="4" t="b">
        <f ca="1">OR(VALUE(CALC2223!N223)&gt;VALUE(LASTV),VALUE(CALC2223!P223)&gt;VALUE(LASTV),VALUE(CALC2223!R223)&gt;VALUE(LASTV))</f>
        <v>0</v>
      </c>
      <c r="Q224" s="4" t="b">
        <f ca="1">OR(VALUE(CALC2223!T223)&gt;VALUE(LASTV),VALUE(CALC2223!V223)&gt;VALUE(LASTV),VALUE(CALC2223!X223)&gt;VALUE(LASTV))</f>
        <v>0</v>
      </c>
      <c r="R224" s="4" t="b">
        <f ca="1">OR(VALUE(CALC2223!Z223)&gt;VALUE(LASTV),VALUE(CALC2223!AB223)&gt;VALUE(LASTV),VALUE(CALC2223!AD223)&gt;VALUE(LASTV))</f>
        <v>0</v>
      </c>
      <c r="S224" s="4" t="b">
        <f ca="1">OR(VALUE(CALC2223!AF223)&gt;VALUE(LASTV),VALUE(CALC2223!AH223)&gt;VALUE(LASTV),VALUE(CALC2223!AJ223)&gt;VALUE(LASTV))</f>
        <v>0</v>
      </c>
      <c r="T224" s="4" t="b">
        <f ca="1">OR(VALUE(CALC2223!AL223)&gt;VALUE(LASTV),VALUE(CALC2223!AN223)&gt;VALUE(LASTV),VALUE(CALC2223!AP223)&gt;VALUE(LASTV))</f>
        <v>0</v>
      </c>
      <c r="U224" s="4" t="b">
        <f ca="1">OR(VALUE(CALC2223!AR223)&gt;VALUE(LASTV),VALUE(CALC2223!AT223)&gt;VALUE(LASTV),VALUE(CALC2223!AV223)&gt;VALUE(LASTV))</f>
        <v>0</v>
      </c>
      <c r="V224" s="1"/>
    </row>
    <row r="225" spans="1:22" ht="35.25" customHeight="1">
      <c r="A225" s="45"/>
      <c r="B225" s="46" t="s">
        <v>23</v>
      </c>
      <c r="C225" s="47">
        <v>46123</v>
      </c>
      <c r="D225" s="48" t="str">
        <f ca="1">CONCATENATE(CALC2223!A224," ",CALC2223!C224," ",CALC2223!E224)</f>
        <v xml:space="preserve">  </v>
      </c>
      <c r="E225" s="48" t="str">
        <f ca="1">CONCATENATE(CALC2223!G224," ",CALC2223!I224," ",CALC2223!K224)</f>
        <v xml:space="preserve">  </v>
      </c>
      <c r="F225" s="48" t="str">
        <f ca="1">CONCATENATE(CALC2223!M224," ",CALC2223!O224," ",CALC2223!Q224)</f>
        <v xml:space="preserve">  </v>
      </c>
      <c r="G225" s="48" t="str">
        <f ca="1">CONCATENATE(CALC2223!S224," ",CALC2223!U224," ",CALC2223!W224)</f>
        <v xml:space="preserve">  </v>
      </c>
      <c r="H225" s="48" t="str">
        <f ca="1">CONCATENATE(CALC2223!Y224," ",CALC2223!AA224," ",CALC2223!AC224)</f>
        <v xml:space="preserve">  </v>
      </c>
      <c r="I225" s="48" t="str">
        <f ca="1">CONCATENATE(CALC2223!AE224," ",CALC2223!AG224," ",CALC2223!AI224)</f>
        <v xml:space="preserve">  </v>
      </c>
      <c r="J225" s="48" t="str">
        <f ca="1">CONCATENATE(CALC2223!AK224," ",CALC2223!AM224," ",CALC2223!AO224)</f>
        <v xml:space="preserve">  </v>
      </c>
      <c r="K225" s="48" t="str">
        <f ca="1">CONCATENATE(CALC2223!AQ224," ",CALC2223!AS224," ",CALC2223!AU224," ",CALC2223!AW224)</f>
        <v xml:space="preserve">   </v>
      </c>
      <c r="L225" s="49" t="str">
        <f t="shared" ca="1" si="0"/>
        <v>actueel</v>
      </c>
      <c r="M225" s="1"/>
      <c r="N225" s="4" t="b">
        <f ca="1">OR(VALUE(CALC2223!B224)&gt;VALUE(LASTV),VALUE(CALC2223!D224)&gt;VALUE(LASTV),VALUE(CALC2223!F224)&gt;VALUE(LASTV))</f>
        <v>0</v>
      </c>
      <c r="O225" s="4" t="b">
        <f ca="1">OR(VALUE(CALC2223!H224)&gt;VALUE(LASTV),VALUE(CALC2223!J224)&gt;VALUE(LASTV),VALUE(CALC2223!L224)&gt;VALUE(LASTV))</f>
        <v>0</v>
      </c>
      <c r="P225" s="4" t="b">
        <f ca="1">OR(VALUE(CALC2223!N224)&gt;VALUE(LASTV),VALUE(CALC2223!P224)&gt;VALUE(LASTV),VALUE(CALC2223!R224)&gt;VALUE(LASTV))</f>
        <v>0</v>
      </c>
      <c r="Q225" s="4" t="b">
        <f ca="1">OR(VALUE(CALC2223!T224)&gt;VALUE(LASTV),VALUE(CALC2223!V224)&gt;VALUE(LASTV),VALUE(CALC2223!X224)&gt;VALUE(LASTV))</f>
        <v>0</v>
      </c>
      <c r="R225" s="4" t="b">
        <f ca="1">OR(VALUE(CALC2223!Z224)&gt;VALUE(LASTV),VALUE(CALC2223!AB224)&gt;VALUE(LASTV),VALUE(CALC2223!AD224)&gt;VALUE(LASTV))</f>
        <v>0</v>
      </c>
      <c r="S225" s="4" t="b">
        <f ca="1">OR(VALUE(CALC2223!AF224)&gt;VALUE(LASTV),VALUE(CALC2223!AH224)&gt;VALUE(LASTV),VALUE(CALC2223!AJ224)&gt;VALUE(LASTV))</f>
        <v>0</v>
      </c>
      <c r="T225" s="4" t="b">
        <f ca="1">OR(VALUE(CALC2223!AL224)&gt;VALUE(LASTV),VALUE(CALC2223!AN224)&gt;VALUE(LASTV),VALUE(CALC2223!AP224)&gt;VALUE(LASTV))</f>
        <v>0</v>
      </c>
      <c r="U225" s="4" t="b">
        <f ca="1">OR(VALUE(CALC2223!AR224)&gt;VALUE(LASTV),VALUE(CALC2223!AT224)&gt;VALUE(LASTV),VALUE(CALC2223!AV224)&gt;VALUE(LASTV))</f>
        <v>0</v>
      </c>
      <c r="V225" s="1"/>
    </row>
    <row r="226" spans="1:22" ht="35.25" customHeight="1">
      <c r="A226" s="45"/>
      <c r="B226" s="46" t="s">
        <v>24</v>
      </c>
      <c r="C226" s="47">
        <v>46124</v>
      </c>
      <c r="D226" s="48" t="str">
        <f ca="1">CONCATENATE(CALC2223!A225," ",CALC2223!C225," ",CALC2223!E225)</f>
        <v xml:space="preserve">  </v>
      </c>
      <c r="E226" s="48" t="str">
        <f ca="1">CONCATENATE(CALC2223!G225," ",CALC2223!I225," ",CALC2223!K225)</f>
        <v xml:space="preserve">  </v>
      </c>
      <c r="F226" s="48" t="str">
        <f ca="1">CONCATENATE(CALC2223!M225," ",CALC2223!O225," ",CALC2223!Q225)</f>
        <v xml:space="preserve">  </v>
      </c>
      <c r="G226" s="48" t="str">
        <f ca="1">CONCATENATE(CALC2223!S225," ",CALC2223!U225," ",CALC2223!W225)</f>
        <v xml:space="preserve">  </v>
      </c>
      <c r="H226" s="48" t="str">
        <f ca="1">CONCATENATE(CALC2223!Y225," ",CALC2223!AA225," ",CALC2223!AC225)</f>
        <v xml:space="preserve">  </v>
      </c>
      <c r="I226" s="48" t="str">
        <f ca="1">CONCATENATE(CALC2223!AE225," ",CALC2223!AG225," ",CALC2223!AI225)</f>
        <v xml:space="preserve">  </v>
      </c>
      <c r="J226" s="48" t="str">
        <f ca="1">CONCATENATE(CALC2223!AK225," ",CALC2223!AM225," ",CALC2223!AO225)</f>
        <v xml:space="preserve">  </v>
      </c>
      <c r="K226" s="48" t="str">
        <f ca="1">CONCATENATE(CALC2223!AQ225," ",CALC2223!AS225," ",CALC2223!AU225," ",CALC2223!AW225)</f>
        <v xml:space="preserve">   </v>
      </c>
      <c r="L226" s="49" t="str">
        <f t="shared" ca="1" si="0"/>
        <v>actueel</v>
      </c>
      <c r="M226" s="1"/>
      <c r="N226" s="4" t="b">
        <f ca="1">OR(VALUE(CALC2223!B225)&gt;VALUE(LASTV),VALUE(CALC2223!D225)&gt;VALUE(LASTV),VALUE(CALC2223!F225)&gt;VALUE(LASTV))</f>
        <v>0</v>
      </c>
      <c r="O226" s="4" t="b">
        <f ca="1">OR(VALUE(CALC2223!H225)&gt;VALUE(LASTV),VALUE(CALC2223!J225)&gt;VALUE(LASTV),VALUE(CALC2223!L225)&gt;VALUE(LASTV))</f>
        <v>0</v>
      </c>
      <c r="P226" s="4" t="b">
        <f ca="1">OR(VALUE(CALC2223!N225)&gt;VALUE(LASTV),VALUE(CALC2223!P225)&gt;VALUE(LASTV),VALUE(CALC2223!R225)&gt;VALUE(LASTV))</f>
        <v>0</v>
      </c>
      <c r="Q226" s="4" t="b">
        <f ca="1">OR(VALUE(CALC2223!T225)&gt;VALUE(LASTV),VALUE(CALC2223!V225)&gt;VALUE(LASTV),VALUE(CALC2223!X225)&gt;VALUE(LASTV))</f>
        <v>0</v>
      </c>
      <c r="R226" s="4" t="b">
        <f ca="1">OR(VALUE(CALC2223!Z225)&gt;VALUE(LASTV),VALUE(CALC2223!AB225)&gt;VALUE(LASTV),VALUE(CALC2223!AD225)&gt;VALUE(LASTV))</f>
        <v>0</v>
      </c>
      <c r="S226" s="4" t="b">
        <f ca="1">OR(VALUE(CALC2223!AF225)&gt;VALUE(LASTV),VALUE(CALC2223!AH225)&gt;VALUE(LASTV),VALUE(CALC2223!AJ225)&gt;VALUE(LASTV))</f>
        <v>0</v>
      </c>
      <c r="T226" s="4" t="b">
        <f ca="1">OR(VALUE(CALC2223!AL225)&gt;VALUE(LASTV),VALUE(CALC2223!AN225)&gt;VALUE(LASTV),VALUE(CALC2223!AP225)&gt;VALUE(LASTV))</f>
        <v>0</v>
      </c>
      <c r="U226" s="4" t="b">
        <f ca="1">OR(VALUE(CALC2223!AR225)&gt;VALUE(LASTV),VALUE(CALC2223!AT225)&gt;VALUE(LASTV),VALUE(CALC2223!AV225)&gt;VALUE(LASTV))</f>
        <v>0</v>
      </c>
      <c r="V226" s="1"/>
    </row>
    <row r="227" spans="1:22" ht="35.25" customHeight="1">
      <c r="A227" s="85">
        <v>16</v>
      </c>
      <c r="B227" s="35" t="s">
        <v>18</v>
      </c>
      <c r="C227" s="36">
        <v>46125</v>
      </c>
      <c r="D227" s="37" t="str">
        <f ca="1">CONCATENATE(CALC2223!A226," ",CALC2223!C226," ",CALC2223!E226)</f>
        <v xml:space="preserve">  </v>
      </c>
      <c r="E227" s="37" t="str">
        <f ca="1">CONCATENATE(CALC2223!G226," ",CALC2223!I226," ",CALC2223!K226)</f>
        <v xml:space="preserve">  </v>
      </c>
      <c r="F227" s="37" t="str">
        <f ca="1">CONCATENATE(CALC2223!M226," ",CALC2223!O226," ",CALC2223!Q226)</f>
        <v xml:space="preserve">gedag  </v>
      </c>
      <c r="G227" s="37" t="str">
        <f ca="1">CONCATENATE(CALC2223!S226," ",CALC2223!U226," ",CALC2223!W226)</f>
        <v xml:space="preserve">  </v>
      </c>
      <c r="H227" s="37" t="str">
        <f ca="1">CONCATENATE(CALC2223!Y226," ",CALC2223!AA226," ",CALC2223!AC226)</f>
        <v xml:space="preserve">klreis  </v>
      </c>
      <c r="I227" s="37" t="str">
        <f ca="1">CONCATENATE(CALC2223!AE226," ",CALC2223!AG226," ",CALC2223!AI226)</f>
        <v xml:space="preserve">  </v>
      </c>
      <c r="J227" s="37" t="str">
        <f ca="1">CONCATENATE(CALC2223!AK226," ",CALC2223!AM226," ",CALC2223!AO226)</f>
        <v xml:space="preserve">  </v>
      </c>
      <c r="K227" s="37" t="str">
        <f ca="1">CONCATENATE(CALC2223!AQ226," ",CALC2223!AS226," ",CALC2223!AU226," ",CALC2223!AW226)</f>
        <v xml:space="preserve">CGUweek3/periode 4   </v>
      </c>
      <c r="L227" s="28" t="str">
        <f t="shared" ca="1" si="0"/>
        <v>actueel</v>
      </c>
      <c r="M227" s="1"/>
      <c r="N227" s="4" t="b">
        <f ca="1">OR(VALUE(CALC2223!B226)&gt;VALUE(LASTV),VALUE(CALC2223!D226)&gt;VALUE(LASTV),VALUE(CALC2223!F226)&gt;VALUE(LASTV))</f>
        <v>0</v>
      </c>
      <c r="O227" s="4" t="b">
        <f ca="1">OR(VALUE(CALC2223!H226)&gt;VALUE(LASTV),VALUE(CALC2223!J226)&gt;VALUE(LASTV),VALUE(CALC2223!L226)&gt;VALUE(LASTV))</f>
        <v>0</v>
      </c>
      <c r="P227" s="4" t="b">
        <f ca="1">OR(VALUE(CALC2223!N226)&gt;VALUE(LASTV),VALUE(CALC2223!P226)&gt;VALUE(LASTV),VALUE(CALC2223!R226)&gt;VALUE(LASTV))</f>
        <v>0</v>
      </c>
      <c r="Q227" s="4" t="b">
        <f ca="1">OR(VALUE(CALC2223!T226)&gt;VALUE(LASTV),VALUE(CALC2223!V226)&gt;VALUE(LASTV),VALUE(CALC2223!X226)&gt;VALUE(LASTV))</f>
        <v>0</v>
      </c>
      <c r="R227" s="4" t="b">
        <f ca="1">OR(VALUE(CALC2223!Z226)&gt;VALUE(LASTV),VALUE(CALC2223!AB226)&gt;VALUE(LASTV),VALUE(CALC2223!AD226)&gt;VALUE(LASTV))</f>
        <v>0</v>
      </c>
      <c r="S227" s="4" t="b">
        <f ca="1">OR(VALUE(CALC2223!AF226)&gt;VALUE(LASTV),VALUE(CALC2223!AH226)&gt;VALUE(LASTV),VALUE(CALC2223!AJ226)&gt;VALUE(LASTV))</f>
        <v>0</v>
      </c>
      <c r="T227" s="4" t="b">
        <f ca="1">OR(VALUE(CALC2223!AL226)&gt;VALUE(LASTV),VALUE(CALC2223!AN226)&gt;VALUE(LASTV),VALUE(CALC2223!AP226)&gt;VALUE(LASTV))</f>
        <v>0</v>
      </c>
      <c r="U227" s="4" t="b">
        <f ca="1">OR(VALUE(CALC2223!AR226)&gt;VALUE(LASTV),VALUE(CALC2223!AT226)&gt;VALUE(LASTV),VALUE(CALC2223!AV226)&gt;VALUE(LASTV))</f>
        <v>0</v>
      </c>
      <c r="V227" s="1"/>
    </row>
    <row r="228" spans="1:22" ht="35.25" customHeight="1">
      <c r="A228" s="34"/>
      <c r="B228" s="35" t="s">
        <v>19</v>
      </c>
      <c r="C228" s="36">
        <v>46126</v>
      </c>
      <c r="D228" s="37" t="str">
        <f ca="1">CONCATENATE(CALC2223!A227," ",CALC2223!C227," ",CALC2223!E227)</f>
        <v xml:space="preserve">  </v>
      </c>
      <c r="E228" s="37" t="str">
        <f ca="1">CONCATENATE(CALC2223!G227," ",CALC2223!I227," ",CALC2223!K227)</f>
        <v xml:space="preserve">  </v>
      </c>
      <c r="F228" s="37" t="str">
        <f ca="1">CONCATENATE(CALC2223!M227," ",CALC2223!O227," ",CALC2223!Q227)</f>
        <v xml:space="preserve">  </v>
      </c>
      <c r="G228" s="37" t="str">
        <f ca="1">CONCATENATE(CALC2223!S227," ",CALC2223!U227," ",CALC2223!W227)</f>
        <v xml:space="preserve">  </v>
      </c>
      <c r="H228" s="37" t="str">
        <f ca="1">CONCATENATE(CALC2223!Y227," ",CALC2223!AA227," ",CALC2223!AC227)</f>
        <v xml:space="preserve">klreis  </v>
      </c>
      <c r="I228" s="37" t="str">
        <f ca="1">CONCATENATE(CALC2223!AE227," ",CALC2223!AG227," ",CALC2223!AI227)</f>
        <v xml:space="preserve">  </v>
      </c>
      <c r="J228" s="37" t="str">
        <f ca="1">CONCATENATE(CALC2223!AK227," ",CALC2223!AM227," ",CALC2223!AO227)</f>
        <v xml:space="preserve">  </v>
      </c>
      <c r="K228" s="37" t="str">
        <f ca="1">CONCATENATE(CALC2223!AQ227," ",CALC2223!AS227," ",CALC2223!AU227," ",CALC2223!AW227)</f>
        <v xml:space="preserve">CGUweek3   </v>
      </c>
      <c r="L228" s="28" t="str">
        <f t="shared" ca="1" si="0"/>
        <v>actueel</v>
      </c>
      <c r="M228" s="1"/>
      <c r="N228" s="4" t="b">
        <f ca="1">OR(VALUE(CALC2223!B227)&gt;VALUE(LASTV),VALUE(CALC2223!D227)&gt;VALUE(LASTV),VALUE(CALC2223!F227)&gt;VALUE(LASTV))</f>
        <v>0</v>
      </c>
      <c r="O228" s="4" t="b">
        <f ca="1">OR(VALUE(CALC2223!H227)&gt;VALUE(LASTV),VALUE(CALC2223!J227)&gt;VALUE(LASTV),VALUE(CALC2223!L227)&gt;VALUE(LASTV))</f>
        <v>0</v>
      </c>
      <c r="P228" s="4" t="b">
        <f ca="1">OR(VALUE(CALC2223!N227)&gt;VALUE(LASTV),VALUE(CALC2223!P227)&gt;VALUE(LASTV),VALUE(CALC2223!R227)&gt;VALUE(LASTV))</f>
        <v>0</v>
      </c>
      <c r="Q228" s="4" t="b">
        <f ca="1">OR(VALUE(CALC2223!T227)&gt;VALUE(LASTV),VALUE(CALC2223!V227)&gt;VALUE(LASTV),VALUE(CALC2223!X227)&gt;VALUE(LASTV))</f>
        <v>0</v>
      </c>
      <c r="R228" s="4" t="b">
        <f ca="1">OR(VALUE(CALC2223!Z227)&gt;VALUE(LASTV),VALUE(CALC2223!AB227)&gt;VALUE(LASTV),VALUE(CALC2223!AD227)&gt;VALUE(LASTV))</f>
        <v>0</v>
      </c>
      <c r="S228" s="4" t="b">
        <f ca="1">OR(VALUE(CALC2223!AF227)&gt;VALUE(LASTV),VALUE(CALC2223!AH227)&gt;VALUE(LASTV),VALUE(CALC2223!AJ227)&gt;VALUE(LASTV))</f>
        <v>0</v>
      </c>
      <c r="T228" s="4" t="b">
        <f ca="1">OR(VALUE(CALC2223!AL227)&gt;VALUE(LASTV),VALUE(CALC2223!AN227)&gt;VALUE(LASTV),VALUE(CALC2223!AP227)&gt;VALUE(LASTV))</f>
        <v>0</v>
      </c>
      <c r="U228" s="4" t="b">
        <f ca="1">OR(VALUE(CALC2223!AR227)&gt;VALUE(LASTV),VALUE(CALC2223!AT227)&gt;VALUE(LASTV),VALUE(CALC2223!AV227)&gt;VALUE(LASTV))</f>
        <v>0</v>
      </c>
      <c r="V228" s="1"/>
    </row>
    <row r="229" spans="1:22" ht="35.25" customHeight="1">
      <c r="A229" s="34"/>
      <c r="B229" s="35" t="s">
        <v>20</v>
      </c>
      <c r="C229" s="36">
        <v>46127</v>
      </c>
      <c r="D229" s="37" t="str">
        <f ca="1">CONCATENATE(CALC2223!A228," ",CALC2223!C228," ",CALC2223!E228)</f>
        <v xml:space="preserve">  </v>
      </c>
      <c r="E229" s="37" t="str">
        <f ca="1">CONCATENATE(CALC2223!G228," ",CALC2223!I228," ",CALC2223!K228)</f>
        <v xml:space="preserve">  </v>
      </c>
      <c r="F229" s="37" t="str">
        <f ca="1">CONCATENATE(CALC2223!M228," ",CALC2223!O228," ",CALC2223!Q228)</f>
        <v xml:space="preserve">  </v>
      </c>
      <c r="G229" s="37" t="str">
        <f ca="1">CONCATENATE(CALC2223!S228," ",CALC2223!U228," ",CALC2223!W228)</f>
        <v xml:space="preserve">Uitreiking MDT  </v>
      </c>
      <c r="H229" s="37" t="str">
        <f ca="1">CONCATENATE(CALC2223!Y228," ",CALC2223!AA228," ",CALC2223!AC228)</f>
        <v xml:space="preserve">klreis  </v>
      </c>
      <c r="I229" s="37" t="str">
        <f ca="1">CONCATENATE(CALC2223!AE228," ",CALC2223!AG228," ",CALC2223!AI228)</f>
        <v xml:space="preserve">  </v>
      </c>
      <c r="J229" s="37" t="str">
        <f ca="1">CONCATENATE(CALC2223!AK228," ",CALC2223!AM228," ",CALC2223!AO228)</f>
        <v xml:space="preserve">  </v>
      </c>
      <c r="K229" s="37" t="str">
        <f ca="1">CONCATENATE(CALC2223!AQ228," ",CALC2223!AS228," ",CALC2223!AU228," ",CALC2223!AW228)</f>
        <v xml:space="preserve">CGUweek3   </v>
      </c>
      <c r="L229" s="28" t="str">
        <f t="shared" ca="1" si="0"/>
        <v>actueel</v>
      </c>
      <c r="M229" s="1"/>
      <c r="N229" s="4" t="b">
        <f ca="1">OR(VALUE(CALC2223!B228)&gt;VALUE(LASTV),VALUE(CALC2223!D228)&gt;VALUE(LASTV),VALUE(CALC2223!F228)&gt;VALUE(LASTV))</f>
        <v>0</v>
      </c>
      <c r="O229" s="4" t="b">
        <f ca="1">OR(VALUE(CALC2223!H228)&gt;VALUE(LASTV),VALUE(CALC2223!J228)&gt;VALUE(LASTV),VALUE(CALC2223!L228)&gt;VALUE(LASTV))</f>
        <v>0</v>
      </c>
      <c r="P229" s="4" t="b">
        <f ca="1">OR(VALUE(CALC2223!N228)&gt;VALUE(LASTV),VALUE(CALC2223!P228)&gt;VALUE(LASTV),VALUE(CALC2223!R228)&gt;VALUE(LASTV))</f>
        <v>0</v>
      </c>
      <c r="Q229" s="4" t="b">
        <f ca="1">OR(VALUE(CALC2223!T228)&gt;VALUE(LASTV),VALUE(CALC2223!V228)&gt;VALUE(LASTV),VALUE(CALC2223!X228)&gt;VALUE(LASTV))</f>
        <v>0</v>
      </c>
      <c r="R229" s="4" t="b">
        <f ca="1">OR(VALUE(CALC2223!Z228)&gt;VALUE(LASTV),VALUE(CALC2223!AB228)&gt;VALUE(LASTV),VALUE(CALC2223!AD228)&gt;VALUE(LASTV))</f>
        <v>0</v>
      </c>
      <c r="S229" s="4" t="b">
        <f ca="1">OR(VALUE(CALC2223!AF228)&gt;VALUE(LASTV),VALUE(CALC2223!AH228)&gt;VALUE(LASTV),VALUE(CALC2223!AJ228)&gt;VALUE(LASTV))</f>
        <v>0</v>
      </c>
      <c r="T229" s="4" t="b">
        <f ca="1">OR(VALUE(CALC2223!AL228)&gt;VALUE(LASTV),VALUE(CALC2223!AN228)&gt;VALUE(LASTV),VALUE(CALC2223!AP228)&gt;VALUE(LASTV))</f>
        <v>0</v>
      </c>
      <c r="U229" s="4" t="b">
        <f ca="1">OR(VALUE(CALC2223!AR228)&gt;VALUE(LASTV),VALUE(CALC2223!AT228)&gt;VALUE(LASTV),VALUE(CALC2223!AV228)&gt;VALUE(LASTV))</f>
        <v>0</v>
      </c>
      <c r="V229" s="1"/>
    </row>
    <row r="230" spans="1:22" ht="35.25" customHeight="1">
      <c r="A230" s="34"/>
      <c r="B230" s="35" t="s">
        <v>21</v>
      </c>
      <c r="C230" s="36">
        <v>46128</v>
      </c>
      <c r="D230" s="37" t="str">
        <f ca="1">CONCATENATE(CALC2223!A229," ",CALC2223!C229," ",CALC2223!E229)</f>
        <v xml:space="preserve">  </v>
      </c>
      <c r="E230" s="37" t="str">
        <f ca="1">CONCATENATE(CALC2223!G229," ",CALC2223!I229," ",CALC2223!K229)</f>
        <v xml:space="preserve">  </v>
      </c>
      <c r="F230" s="37" t="str">
        <f ca="1">CONCATENATE(CALC2223!M229," ",CALC2223!O229," ",CALC2223!Q229)</f>
        <v xml:space="preserve">Rep DU  </v>
      </c>
      <c r="G230" s="37" t="str">
        <f ca="1">CONCATENATE(CALC2223!S229," ",CALC2223!U229," ",CALC2223!W229)</f>
        <v xml:space="preserve">  </v>
      </c>
      <c r="H230" s="37" t="str">
        <f ca="1">CONCATENATE(CALC2223!Y229," ",CALC2223!AA229," ",CALC2223!AC229)</f>
        <v xml:space="preserve">klreis  </v>
      </c>
      <c r="I230" s="37" t="str">
        <f ca="1">CONCATENATE(CALC2223!AE229," ",CALC2223!AG229," ",CALC2223!AI229)</f>
        <v xml:space="preserve">  </v>
      </c>
      <c r="J230" s="37" t="str">
        <f ca="1">CONCATENATE(CALC2223!AK229," ",CALC2223!AM229," ",CALC2223!AO229)</f>
        <v xml:space="preserve">secties#7  </v>
      </c>
      <c r="K230" s="37" t="str">
        <f ca="1">CONCATENATE(CALC2223!AQ229," ",CALC2223!AS229," ",CALC2223!AU229," ",CALC2223!AW229)</f>
        <v xml:space="preserve">CGUweek3   </v>
      </c>
      <c r="L230" s="28" t="str">
        <f t="shared" ca="1" si="0"/>
        <v>actueel</v>
      </c>
      <c r="M230" s="1"/>
      <c r="N230" s="4" t="b">
        <f ca="1">OR(VALUE(CALC2223!B229)&gt;VALUE(LASTV),VALUE(CALC2223!D229)&gt;VALUE(LASTV),VALUE(CALC2223!F229)&gt;VALUE(LASTV))</f>
        <v>0</v>
      </c>
      <c r="O230" s="4" t="b">
        <f ca="1">OR(VALUE(CALC2223!H229)&gt;VALUE(LASTV),VALUE(CALC2223!J229)&gt;VALUE(LASTV),VALUE(CALC2223!L229)&gt;VALUE(LASTV))</f>
        <v>0</v>
      </c>
      <c r="P230" s="4" t="b">
        <f ca="1">OR(VALUE(CALC2223!N229)&gt;VALUE(LASTV),VALUE(CALC2223!P229)&gt;VALUE(LASTV),VALUE(CALC2223!R229)&gt;VALUE(LASTV))</f>
        <v>0</v>
      </c>
      <c r="Q230" s="4" t="b">
        <f ca="1">OR(VALUE(CALC2223!T229)&gt;VALUE(LASTV),VALUE(CALC2223!V229)&gt;VALUE(LASTV),VALUE(CALC2223!X229)&gt;VALUE(LASTV))</f>
        <v>0</v>
      </c>
      <c r="R230" s="4" t="b">
        <f ca="1">OR(VALUE(CALC2223!Z229)&gt;VALUE(LASTV),VALUE(CALC2223!AB229)&gt;VALUE(LASTV),VALUE(CALC2223!AD229)&gt;VALUE(LASTV))</f>
        <v>0</v>
      </c>
      <c r="S230" s="4" t="b">
        <f ca="1">OR(VALUE(CALC2223!AF229)&gt;VALUE(LASTV),VALUE(CALC2223!AH229)&gt;VALUE(LASTV),VALUE(CALC2223!AJ229)&gt;VALUE(LASTV))</f>
        <v>0</v>
      </c>
      <c r="T230" s="4" t="b">
        <f ca="1">OR(VALUE(CALC2223!AL229)&gt;VALUE(LASTV),VALUE(CALC2223!AN229)&gt;VALUE(LASTV),VALUE(CALC2223!AP229)&gt;VALUE(LASTV))</f>
        <v>0</v>
      </c>
      <c r="U230" s="4" t="b">
        <f ca="1">OR(VALUE(CALC2223!AR229)&gt;VALUE(LASTV),VALUE(CALC2223!AT229)&gt;VALUE(LASTV),VALUE(CALC2223!AV229)&gt;VALUE(LASTV))</f>
        <v>0</v>
      </c>
      <c r="V230" s="1"/>
    </row>
    <row r="231" spans="1:22" ht="35.25" customHeight="1">
      <c r="A231" s="40"/>
      <c r="B231" s="41" t="s">
        <v>22</v>
      </c>
      <c r="C231" s="42">
        <v>46129</v>
      </c>
      <c r="D231" s="43" t="str">
        <f ca="1">CONCATENATE(CALC2223!A230," ",CALC2223!C230," ",CALC2223!E230)</f>
        <v xml:space="preserve">  </v>
      </c>
      <c r="E231" s="43" t="str">
        <f ca="1">CONCATENATE(CALC2223!G230," ",CALC2223!I230," ",CALC2223!K230)</f>
        <v xml:space="preserve">Rep GR  </v>
      </c>
      <c r="F231" s="43" t="str">
        <f ca="1">CONCATENATE(CALC2223!M230," ",CALC2223!O230," ",CALC2223!Q230)</f>
        <v xml:space="preserve">  </v>
      </c>
      <c r="G231" s="43" t="str">
        <f ca="1">CONCATENATE(CALC2223!S230," ",CALC2223!U230," ",CALC2223!W230)</f>
        <v xml:space="preserve">rep ak  </v>
      </c>
      <c r="H231" s="43" t="str">
        <f ca="1">CONCATENATE(CALC2223!Y230," ",CALC2223!AA230," ",CALC2223!AC230)</f>
        <v xml:space="preserve">klreis  </v>
      </c>
      <c r="I231" s="43" t="str">
        <f ca="1">CONCATENATE(CALC2223!AE230," ",CALC2223!AG230," ",CALC2223!AI230)</f>
        <v xml:space="preserve">SEcijfers inleveren  </v>
      </c>
      <c r="J231" s="43" t="str">
        <f ca="1">CONCATENATE(CALC2223!AK230," ",CALC2223!AM230," ",CALC2223!AO230)</f>
        <v xml:space="preserve">  </v>
      </c>
      <c r="K231" s="43" t="str">
        <f ca="1">CONCATENATE(CALC2223!AQ230," ",CALC2223!AS230," ",CALC2223!AU230," ",CALC2223!AW230)</f>
        <v xml:space="preserve">   </v>
      </c>
      <c r="L231" s="44" t="str">
        <f t="shared" ca="1" si="0"/>
        <v>actueel</v>
      </c>
      <c r="M231" s="1"/>
      <c r="N231" s="4" t="b">
        <f ca="1">OR(VALUE(CALC2223!B230)&gt;VALUE(LASTV),VALUE(CALC2223!D230)&gt;VALUE(LASTV),VALUE(CALC2223!F230)&gt;VALUE(LASTV))</f>
        <v>0</v>
      </c>
      <c r="O231" s="4" t="b">
        <f ca="1">OR(VALUE(CALC2223!H230)&gt;VALUE(LASTV),VALUE(CALC2223!J230)&gt;VALUE(LASTV),VALUE(CALC2223!L230)&gt;VALUE(LASTV))</f>
        <v>0</v>
      </c>
      <c r="P231" s="4" t="b">
        <f ca="1">OR(VALUE(CALC2223!N230)&gt;VALUE(LASTV),VALUE(CALC2223!P230)&gt;VALUE(LASTV),VALUE(CALC2223!R230)&gt;VALUE(LASTV))</f>
        <v>0</v>
      </c>
      <c r="Q231" s="4" t="b">
        <f ca="1">OR(VALUE(CALC2223!T230)&gt;VALUE(LASTV),VALUE(CALC2223!V230)&gt;VALUE(LASTV),VALUE(CALC2223!X230)&gt;VALUE(LASTV))</f>
        <v>0</v>
      </c>
      <c r="R231" s="4" t="b">
        <f ca="1">OR(VALUE(CALC2223!Z230)&gt;VALUE(LASTV),VALUE(CALC2223!AB230)&gt;VALUE(LASTV),VALUE(CALC2223!AD230)&gt;VALUE(LASTV))</f>
        <v>0</v>
      </c>
      <c r="S231" s="4" t="b">
        <f ca="1">OR(VALUE(CALC2223!AF230)&gt;VALUE(LASTV),VALUE(CALC2223!AH230)&gt;VALUE(LASTV),VALUE(CALC2223!AJ230)&gt;VALUE(LASTV))</f>
        <v>0</v>
      </c>
      <c r="T231" s="4" t="b">
        <f ca="1">OR(VALUE(CALC2223!AL230)&gt;VALUE(LASTV),VALUE(CALC2223!AN230)&gt;VALUE(LASTV),VALUE(CALC2223!AP230)&gt;VALUE(LASTV))</f>
        <v>0</v>
      </c>
      <c r="U231" s="4" t="b">
        <f ca="1">OR(VALUE(CALC2223!AR230)&gt;VALUE(LASTV),VALUE(CALC2223!AT230)&gt;VALUE(LASTV),VALUE(CALC2223!AV230)&gt;VALUE(LASTV))</f>
        <v>0</v>
      </c>
      <c r="V231" s="1"/>
    </row>
    <row r="232" spans="1:22" ht="35.25" customHeight="1">
      <c r="A232" s="45"/>
      <c r="B232" s="46" t="s">
        <v>23</v>
      </c>
      <c r="C232" s="47">
        <v>46130</v>
      </c>
      <c r="D232" s="48" t="str">
        <f ca="1">CONCATENATE(CALC2223!A231," ",CALC2223!C231," ",CALC2223!E231)</f>
        <v xml:space="preserve">  </v>
      </c>
      <c r="E232" s="48" t="str">
        <f ca="1">CONCATENATE(CALC2223!G231," ",CALC2223!I231," ",CALC2223!K231)</f>
        <v xml:space="preserve">  </v>
      </c>
      <c r="F232" s="48" t="str">
        <f ca="1">CONCATENATE(CALC2223!M231," ",CALC2223!O231," ",CALC2223!Q231)</f>
        <v xml:space="preserve">  </v>
      </c>
      <c r="G232" s="48" t="str">
        <f ca="1">CONCATENATE(CALC2223!S231," ",CALC2223!U231," ",CALC2223!W231)</f>
        <v xml:space="preserve">  </v>
      </c>
      <c r="H232" s="48" t="str">
        <f ca="1">CONCATENATE(CALC2223!Y231," ",CALC2223!AA231," ",CALC2223!AC231)</f>
        <v xml:space="preserve">  </v>
      </c>
      <c r="I232" s="48" t="str">
        <f ca="1">CONCATENATE(CALC2223!AE231," ",CALC2223!AG231," ",CALC2223!AI231)</f>
        <v xml:space="preserve">  </v>
      </c>
      <c r="J232" s="48" t="str">
        <f ca="1">CONCATENATE(CALC2223!AK231," ",CALC2223!AM231," ",CALC2223!AO231)</f>
        <v xml:space="preserve">  </v>
      </c>
      <c r="K232" s="48" t="str">
        <f ca="1">CONCATENATE(CALC2223!AQ231," ",CALC2223!AS231," ",CALC2223!AU231," ",CALC2223!AW231)</f>
        <v xml:space="preserve">   </v>
      </c>
      <c r="L232" s="49" t="str">
        <f t="shared" ca="1" si="0"/>
        <v>actueel</v>
      </c>
      <c r="M232" s="1"/>
      <c r="N232" s="4" t="b">
        <f ca="1">OR(VALUE(CALC2223!B231)&gt;VALUE(LASTV),VALUE(CALC2223!D231)&gt;VALUE(LASTV),VALUE(CALC2223!F231)&gt;VALUE(LASTV))</f>
        <v>0</v>
      </c>
      <c r="O232" s="4" t="b">
        <f ca="1">OR(VALUE(CALC2223!H231)&gt;VALUE(LASTV),VALUE(CALC2223!J231)&gt;VALUE(LASTV),VALUE(CALC2223!L231)&gt;VALUE(LASTV))</f>
        <v>0</v>
      </c>
      <c r="P232" s="4" t="b">
        <f ca="1">OR(VALUE(CALC2223!N231)&gt;VALUE(LASTV),VALUE(CALC2223!P231)&gt;VALUE(LASTV),VALUE(CALC2223!R231)&gt;VALUE(LASTV))</f>
        <v>0</v>
      </c>
      <c r="Q232" s="4" t="b">
        <f ca="1">OR(VALUE(CALC2223!T231)&gt;VALUE(LASTV),VALUE(CALC2223!V231)&gt;VALUE(LASTV),VALUE(CALC2223!X231)&gt;VALUE(LASTV))</f>
        <v>0</v>
      </c>
      <c r="R232" s="4" t="b">
        <f ca="1">OR(VALUE(CALC2223!Z231)&gt;VALUE(LASTV),VALUE(CALC2223!AB231)&gt;VALUE(LASTV),VALUE(CALC2223!AD231)&gt;VALUE(LASTV))</f>
        <v>0</v>
      </c>
      <c r="S232" s="4" t="b">
        <f ca="1">OR(VALUE(CALC2223!AF231)&gt;VALUE(LASTV),VALUE(CALC2223!AH231)&gt;VALUE(LASTV),VALUE(CALC2223!AJ231)&gt;VALUE(LASTV))</f>
        <v>0</v>
      </c>
      <c r="T232" s="4" t="b">
        <f ca="1">OR(VALUE(CALC2223!AL231)&gt;VALUE(LASTV),VALUE(CALC2223!AN231)&gt;VALUE(LASTV),VALUE(CALC2223!AP231)&gt;VALUE(LASTV))</f>
        <v>0</v>
      </c>
      <c r="U232" s="4" t="b">
        <f ca="1">OR(VALUE(CALC2223!AR231)&gt;VALUE(LASTV),VALUE(CALC2223!AT231)&gt;VALUE(LASTV),VALUE(CALC2223!AV231)&gt;VALUE(LASTV))</f>
        <v>0</v>
      </c>
      <c r="V232" s="1"/>
    </row>
    <row r="233" spans="1:22" ht="35.25" customHeight="1">
      <c r="A233" s="40"/>
      <c r="B233" s="41" t="s">
        <v>24</v>
      </c>
      <c r="C233" s="42">
        <v>46131</v>
      </c>
      <c r="D233" s="43" t="str">
        <f ca="1">CONCATENATE(CALC2223!A232," ",CALC2223!C232," ",CALC2223!E232)</f>
        <v xml:space="preserve">  </v>
      </c>
      <c r="E233" s="43" t="str">
        <f ca="1">CONCATENATE(CALC2223!G232," ",CALC2223!I232," ",CALC2223!K232)</f>
        <v xml:space="preserve">  </v>
      </c>
      <c r="F233" s="43" t="str">
        <f ca="1">CONCATENATE(CALC2223!M232," ",CALC2223!O232," ",CALC2223!Q232)</f>
        <v xml:space="preserve">  </v>
      </c>
      <c r="G233" s="43" t="str">
        <f ca="1">CONCATENATE(CALC2223!S232," ",CALC2223!U232," ",CALC2223!W232)</f>
        <v xml:space="preserve">  </v>
      </c>
      <c r="H233" s="43" t="str">
        <f ca="1">CONCATENATE(CALC2223!Y232," ",CALC2223!AA232," ",CALC2223!AC232)</f>
        <v xml:space="preserve">  </v>
      </c>
      <c r="I233" s="43" t="str">
        <f ca="1">CONCATENATE(CALC2223!AE232," ",CALC2223!AG232," ",CALC2223!AI232)</f>
        <v xml:space="preserve">  </v>
      </c>
      <c r="J233" s="43" t="str">
        <f ca="1">CONCATENATE(CALC2223!AK232," ",CALC2223!AM232," ",CALC2223!AO232)</f>
        <v xml:space="preserve">  </v>
      </c>
      <c r="K233" s="43" t="str">
        <f ca="1">CONCATENATE(CALC2223!AQ232," ",CALC2223!AS232," ",CALC2223!AU232," ",CALC2223!AW232)</f>
        <v xml:space="preserve">   </v>
      </c>
      <c r="L233" s="44" t="str">
        <f t="shared" ca="1" si="0"/>
        <v>actueel</v>
      </c>
      <c r="M233" s="1"/>
      <c r="N233" s="4" t="b">
        <f ca="1">OR(VALUE(CALC2223!B232)&gt;VALUE(LASTV),VALUE(CALC2223!D232)&gt;VALUE(LASTV),VALUE(CALC2223!F232)&gt;VALUE(LASTV))</f>
        <v>0</v>
      </c>
      <c r="O233" s="4" t="b">
        <f ca="1">OR(VALUE(CALC2223!H232)&gt;VALUE(LASTV),VALUE(CALC2223!J232)&gt;VALUE(LASTV),VALUE(CALC2223!L232)&gt;VALUE(LASTV))</f>
        <v>0</v>
      </c>
      <c r="P233" s="4" t="b">
        <f ca="1">OR(VALUE(CALC2223!N232)&gt;VALUE(LASTV),VALUE(CALC2223!P232)&gt;VALUE(LASTV),VALUE(CALC2223!R232)&gt;VALUE(LASTV))</f>
        <v>0</v>
      </c>
      <c r="Q233" s="4" t="b">
        <f ca="1">OR(VALUE(CALC2223!T232)&gt;VALUE(LASTV),VALUE(CALC2223!V232)&gt;VALUE(LASTV),VALUE(CALC2223!X232)&gt;VALUE(LASTV))</f>
        <v>0</v>
      </c>
      <c r="R233" s="4" t="b">
        <f ca="1">OR(VALUE(CALC2223!Z232)&gt;VALUE(LASTV),VALUE(CALC2223!AB232)&gt;VALUE(LASTV),VALUE(CALC2223!AD232)&gt;VALUE(LASTV))</f>
        <v>0</v>
      </c>
      <c r="S233" s="4" t="b">
        <f ca="1">OR(VALUE(CALC2223!AF232)&gt;VALUE(LASTV),VALUE(CALC2223!AH232)&gt;VALUE(LASTV),VALUE(CALC2223!AJ232)&gt;VALUE(LASTV))</f>
        <v>0</v>
      </c>
      <c r="T233" s="4" t="b">
        <f ca="1">OR(VALUE(CALC2223!AL232)&gt;VALUE(LASTV),VALUE(CALC2223!AN232)&gt;VALUE(LASTV),VALUE(CALC2223!AP232)&gt;VALUE(LASTV))</f>
        <v>0</v>
      </c>
      <c r="U233" s="4" t="b">
        <f ca="1">OR(VALUE(CALC2223!AR232)&gt;VALUE(LASTV),VALUE(CALC2223!AT232)&gt;VALUE(LASTV),VALUE(CALC2223!AV232)&gt;VALUE(LASTV))</f>
        <v>0</v>
      </c>
      <c r="V233" s="1"/>
    </row>
    <row r="234" spans="1:22" ht="35.25" customHeight="1">
      <c r="A234" s="50">
        <v>17</v>
      </c>
      <c r="B234" s="41" t="s">
        <v>18</v>
      </c>
      <c r="C234" s="42">
        <v>46132</v>
      </c>
      <c r="D234" s="43" t="str">
        <f ca="1">CONCATENATE(CALC2223!A233," ",CALC2223!C233," ",CALC2223!E233)</f>
        <v xml:space="preserve">  </v>
      </c>
      <c r="E234" s="43" t="str">
        <f ca="1">CONCATENATE(CALC2223!G233," ",CALC2223!I233," ",CALC2223!K233)</f>
        <v xml:space="preserve">  </v>
      </c>
      <c r="F234" s="43" t="str">
        <f ca="1">CONCATENATE(CALC2223!M233," ",CALC2223!O233," ",CALC2223!Q233)</f>
        <v xml:space="preserve">  </v>
      </c>
      <c r="G234" s="43" t="str">
        <f ca="1">CONCATENATE(CALC2223!S233," ",CALC2223!U233," ",CALC2223!W233)</f>
        <v xml:space="preserve">inh rep GR  </v>
      </c>
      <c r="H234" s="43" t="str">
        <f ca="1">CONCATENATE(CALC2223!Y233," ",CALC2223!AA233," ",CALC2223!AC233)</f>
        <v xml:space="preserve">inh rep BI  </v>
      </c>
      <c r="I234" s="43" t="str">
        <f ca="1">CONCATENATE(CALC2223!AE233," ",CALC2223!AG233," ",CALC2223!AI233)</f>
        <v xml:space="preserve">SEcijfers definitief  </v>
      </c>
      <c r="J234" s="43" t="str">
        <f ca="1">CONCATENATE(CALC2223!AK233," ",CALC2223!AM233," ",CALC2223!AO233)</f>
        <v xml:space="preserve">  </v>
      </c>
      <c r="K234" s="43" t="str">
        <f ca="1">CONCATENATE(CALC2223!AQ233," ",CALC2223!AS233," ",CALC2223!AU233," ",CALC2223!AW233)</f>
        <v xml:space="preserve">   </v>
      </c>
      <c r="L234" s="44" t="str">
        <f t="shared" ca="1" si="0"/>
        <v>actueel</v>
      </c>
      <c r="M234" s="1"/>
      <c r="N234" s="4" t="b">
        <f ca="1">OR(VALUE(CALC2223!B233)&gt;VALUE(LASTV),VALUE(CALC2223!D233)&gt;VALUE(LASTV),VALUE(CALC2223!F233)&gt;VALUE(LASTV))</f>
        <v>0</v>
      </c>
      <c r="O234" s="4" t="b">
        <f ca="1">OR(VALUE(CALC2223!H233)&gt;VALUE(LASTV),VALUE(CALC2223!J233)&gt;VALUE(LASTV),VALUE(CALC2223!L233)&gt;VALUE(LASTV))</f>
        <v>0</v>
      </c>
      <c r="P234" s="4" t="b">
        <f ca="1">OR(VALUE(CALC2223!N233)&gt;VALUE(LASTV),VALUE(CALC2223!P233)&gt;VALUE(LASTV),VALUE(CALC2223!R233)&gt;VALUE(LASTV))</f>
        <v>0</v>
      </c>
      <c r="Q234" s="4" t="b">
        <f ca="1">OR(VALUE(CALC2223!T233)&gt;VALUE(LASTV),VALUE(CALC2223!V233)&gt;VALUE(LASTV),VALUE(CALC2223!X233)&gt;VALUE(LASTV))</f>
        <v>0</v>
      </c>
      <c r="R234" s="4" t="b">
        <f ca="1">OR(VALUE(CALC2223!Z233)&gt;VALUE(LASTV),VALUE(CALC2223!AB233)&gt;VALUE(LASTV),VALUE(CALC2223!AD233)&gt;VALUE(LASTV))</f>
        <v>0</v>
      </c>
      <c r="S234" s="4" t="b">
        <f ca="1">OR(VALUE(CALC2223!AF233)&gt;VALUE(LASTV),VALUE(CALC2223!AH233)&gt;VALUE(LASTV),VALUE(CALC2223!AJ233)&gt;VALUE(LASTV))</f>
        <v>0</v>
      </c>
      <c r="T234" s="4" t="b">
        <f ca="1">OR(VALUE(CALC2223!AL233)&gt;VALUE(LASTV),VALUE(CALC2223!AN233)&gt;VALUE(LASTV),VALUE(CALC2223!AP233)&gt;VALUE(LASTV))</f>
        <v>0</v>
      </c>
      <c r="U234" s="4" t="b">
        <f ca="1">OR(VALUE(CALC2223!AR233)&gt;VALUE(LASTV),VALUE(CALC2223!AT233)&gt;VALUE(LASTV),VALUE(CALC2223!AV233)&gt;VALUE(LASTV))</f>
        <v>0</v>
      </c>
      <c r="V234" s="1"/>
    </row>
    <row r="235" spans="1:22" ht="35.25" customHeight="1">
      <c r="A235" s="40"/>
      <c r="B235" s="41" t="s">
        <v>19</v>
      </c>
      <c r="C235" s="42">
        <v>46133</v>
      </c>
      <c r="D235" s="51" t="str">
        <f ca="1">CONCATENATE(CALC2223!A234," ",CALC2223!C234," ",CALC2223!E234)</f>
        <v xml:space="preserve">  </v>
      </c>
      <c r="E235" s="51" t="str">
        <f ca="1">CONCATENATE(CALC2223!G234," ",CALC2223!I234," ",CALC2223!K234)</f>
        <v xml:space="preserve">  </v>
      </c>
      <c r="F235" s="51" t="str">
        <f ca="1">CONCATENATE(CALC2223!M234," ",CALC2223!O234," ",CALC2223!Q234)</f>
        <v xml:space="preserve">  </v>
      </c>
      <c r="G235" s="51" t="str">
        <f ca="1">CONCATENATE(CALC2223!S234," ",CALC2223!U234," ",CALC2223!W234)</f>
        <v xml:space="preserve">Rep EN  </v>
      </c>
      <c r="H235" s="51" t="str">
        <f ca="1">CONCATENATE(CALC2223!Y234," ",CALC2223!AA234," ",CALC2223!AC234)</f>
        <v xml:space="preserve">  </v>
      </c>
      <c r="I235" s="51" t="str">
        <f ca="1">CONCATENATE(CALC2223!AE234," ",CALC2223!AG234," ",CALC2223!AI234)</f>
        <v xml:space="preserve">ontvangstverklaringen  </v>
      </c>
      <c r="J235" s="51" t="str">
        <f ca="1">CONCATENATE(CALC2223!AK234," ",CALC2223!AM234," ",CALC2223!AO234)</f>
        <v xml:space="preserve">  </v>
      </c>
      <c r="K235" s="51" t="str">
        <f ca="1">CONCATENATE(CALC2223!AQ234," ",CALC2223!AS234," ",CALC2223!AU234," ",CALC2223!AW234)</f>
        <v xml:space="preserve">   </v>
      </c>
      <c r="L235" s="52" t="str">
        <f t="shared" ca="1" si="0"/>
        <v>actueel</v>
      </c>
      <c r="M235" s="1"/>
      <c r="N235" s="4" t="b">
        <f ca="1">OR(VALUE(CALC2223!B234)&gt;VALUE(LASTV),VALUE(CALC2223!D234)&gt;VALUE(LASTV),VALUE(CALC2223!F234)&gt;VALUE(LASTV))</f>
        <v>0</v>
      </c>
      <c r="O235" s="4" t="b">
        <f ca="1">OR(VALUE(CALC2223!H234)&gt;VALUE(LASTV),VALUE(CALC2223!J234)&gt;VALUE(LASTV),VALUE(CALC2223!L234)&gt;VALUE(LASTV))</f>
        <v>0</v>
      </c>
      <c r="P235" s="4" t="b">
        <f ca="1">OR(VALUE(CALC2223!N234)&gt;VALUE(LASTV),VALUE(CALC2223!P234)&gt;VALUE(LASTV),VALUE(CALC2223!R234)&gt;VALUE(LASTV))</f>
        <v>0</v>
      </c>
      <c r="Q235" s="4" t="b">
        <f ca="1">OR(VALUE(CALC2223!T234)&gt;VALUE(LASTV),VALUE(CALC2223!V234)&gt;VALUE(LASTV),VALUE(CALC2223!X234)&gt;VALUE(LASTV))</f>
        <v>0</v>
      </c>
      <c r="R235" s="4" t="b">
        <f ca="1">OR(VALUE(CALC2223!Z234)&gt;VALUE(LASTV),VALUE(CALC2223!AB234)&gt;VALUE(LASTV),VALUE(CALC2223!AD234)&gt;VALUE(LASTV))</f>
        <v>0</v>
      </c>
      <c r="S235" s="4" t="b">
        <f ca="1">OR(VALUE(CALC2223!AF234)&gt;VALUE(LASTV),VALUE(CALC2223!AH234)&gt;VALUE(LASTV),VALUE(CALC2223!AJ234)&gt;VALUE(LASTV))</f>
        <v>0</v>
      </c>
      <c r="T235" s="4" t="b">
        <f ca="1">OR(VALUE(CALC2223!AL234)&gt;VALUE(LASTV),VALUE(CALC2223!AN234)&gt;VALUE(LASTV),VALUE(CALC2223!AP234)&gt;VALUE(LASTV))</f>
        <v>0</v>
      </c>
      <c r="U235" s="4" t="b">
        <f ca="1">OR(VALUE(CALC2223!AR234)&gt;VALUE(LASTV),VALUE(CALC2223!AT234)&gt;VALUE(LASTV),VALUE(CALC2223!AV234)&gt;VALUE(LASTV))</f>
        <v>0</v>
      </c>
      <c r="V235" s="1"/>
    </row>
    <row r="236" spans="1:22" ht="35.25" customHeight="1">
      <c r="A236" s="40"/>
      <c r="B236" s="41" t="s">
        <v>20</v>
      </c>
      <c r="C236" s="42">
        <v>46134</v>
      </c>
      <c r="D236" s="51" t="str">
        <f ca="1">CONCATENATE(CALC2223!A235," ",CALC2223!C235," ",CALC2223!E235)</f>
        <v xml:space="preserve">Rep BIO  </v>
      </c>
      <c r="E236" s="51" t="str">
        <f ca="1">CONCATENATE(CALC2223!G235," ",CALC2223!I235," ",CALC2223!K235)</f>
        <v xml:space="preserve">Rep FA  </v>
      </c>
      <c r="F236" s="51" t="str">
        <f ca="1">CONCATENATE(CALC2223!M235," ",CALC2223!O235," ",CALC2223!Q235)</f>
        <v xml:space="preserve">  </v>
      </c>
      <c r="G236" s="51" t="str">
        <f ca="1">CONCATENATE(CALC2223!S235," ",CALC2223!U235," ",CALC2223!W235)</f>
        <v xml:space="preserve">inh rep SE ANW  </v>
      </c>
      <c r="H236" s="51" t="str">
        <f ca="1">CONCATENATE(CALC2223!Y235," ",CALC2223!AA235," ",CALC2223!AC235)</f>
        <v xml:space="preserve">inh rep SK  </v>
      </c>
      <c r="I236" s="51" t="str">
        <f ca="1">CONCATENATE(CALC2223!AE235," ",CALC2223!AG235," ",CALC2223!AI235)</f>
        <v xml:space="preserve">SEcijfers naar DUO/stunt 12 u  </v>
      </c>
      <c r="J236" s="51" t="str">
        <f ca="1">CONCATENATE(CALC2223!AK235," ",CALC2223!AM235," ",CALC2223!AO235)</f>
        <v xml:space="preserve">  </v>
      </c>
      <c r="K236" s="51" t="str">
        <f ca="1">CONCATENATE(CALC2223!AQ235," ",CALC2223!AS235," ",CALC2223!AU235," ",CALC2223!AW235)</f>
        <v xml:space="preserve">   </v>
      </c>
      <c r="L236" s="52" t="str">
        <f t="shared" ca="1" si="0"/>
        <v>actueel</v>
      </c>
      <c r="M236" s="1"/>
      <c r="N236" s="4" t="b">
        <f ca="1">OR(VALUE(CALC2223!B235)&gt;VALUE(LASTV),VALUE(CALC2223!D235)&gt;VALUE(LASTV),VALUE(CALC2223!F235)&gt;VALUE(LASTV))</f>
        <v>0</v>
      </c>
      <c r="O236" s="4" t="b">
        <f ca="1">OR(VALUE(CALC2223!H235)&gt;VALUE(LASTV),VALUE(CALC2223!J235)&gt;VALUE(LASTV),VALUE(CALC2223!L235)&gt;VALUE(LASTV))</f>
        <v>0</v>
      </c>
      <c r="P236" s="4" t="b">
        <f ca="1">OR(VALUE(CALC2223!N235)&gt;VALUE(LASTV),VALUE(CALC2223!P235)&gt;VALUE(LASTV),VALUE(CALC2223!R235)&gt;VALUE(LASTV))</f>
        <v>0</v>
      </c>
      <c r="Q236" s="4" t="b">
        <f ca="1">OR(VALUE(CALC2223!T235)&gt;VALUE(LASTV),VALUE(CALC2223!V235)&gt;VALUE(LASTV),VALUE(CALC2223!X235)&gt;VALUE(LASTV))</f>
        <v>0</v>
      </c>
      <c r="R236" s="4" t="b">
        <f ca="1">OR(VALUE(CALC2223!Z235)&gt;VALUE(LASTV),VALUE(CALC2223!AB235)&gt;VALUE(LASTV),VALUE(CALC2223!AD235)&gt;VALUE(LASTV))</f>
        <v>0</v>
      </c>
      <c r="S236" s="4" t="b">
        <f ca="1">OR(VALUE(CALC2223!AF235)&gt;VALUE(LASTV),VALUE(CALC2223!AH235)&gt;VALUE(LASTV),VALUE(CALC2223!AJ235)&gt;VALUE(LASTV))</f>
        <v>0</v>
      </c>
      <c r="T236" s="4" t="b">
        <f ca="1">OR(VALUE(CALC2223!AL235)&gt;VALUE(LASTV),VALUE(CALC2223!AN235)&gt;VALUE(LASTV),VALUE(CALC2223!AP235)&gt;VALUE(LASTV))</f>
        <v>0</v>
      </c>
      <c r="U236" s="4" t="b">
        <f ca="1">OR(VALUE(CALC2223!AR235)&gt;VALUE(LASTV),VALUE(CALC2223!AT235)&gt;VALUE(LASTV),VALUE(CALC2223!AV235)&gt;VALUE(LASTV))</f>
        <v>0</v>
      </c>
      <c r="V236" s="1"/>
    </row>
    <row r="237" spans="1:22" ht="35.25" customHeight="1">
      <c r="A237" s="74"/>
      <c r="B237" s="70" t="s">
        <v>21</v>
      </c>
      <c r="C237" s="71">
        <v>46135</v>
      </c>
      <c r="D237" s="72" t="str">
        <f ca="1">CONCATENATE(CALC2223!A236," ",CALC2223!C236," ",CALC2223!E236)</f>
        <v xml:space="preserve">  </v>
      </c>
      <c r="E237" s="72" t="str">
        <f ca="1">CONCATENATE(CALC2223!G236," ",CALC2223!I236," ",CALC2223!K236)</f>
        <v xml:space="preserve">  </v>
      </c>
      <c r="F237" s="72" t="str">
        <f ca="1">CONCATENATE(CALC2223!M236," ",CALC2223!O236," ",CALC2223!Q236)</f>
        <v xml:space="preserve">  </v>
      </c>
      <c r="G237" s="72" t="str">
        <f ca="1">CONCATENATE(CALC2223!S236," ",CALC2223!U236," ",CALC2223!W236)</f>
        <v xml:space="preserve">  </v>
      </c>
      <c r="H237" s="72" t="str">
        <f ca="1">CONCATENATE(CALC2223!Y236," ",CALC2223!AA236," ",CALC2223!AC236)</f>
        <v xml:space="preserve">  </v>
      </c>
      <c r="I237" s="72" t="str">
        <f ca="1">CONCATENATE(CALC2223!AE236," ",CALC2223!AG236," ",CALC2223!AI236)</f>
        <v xml:space="preserve">  </v>
      </c>
      <c r="J237" s="72" t="str">
        <f ca="1">CONCATENATE(CALC2223!AK236," ",CALC2223!AM236," ",CALC2223!AO236)</f>
        <v xml:space="preserve">  </v>
      </c>
      <c r="K237" s="72" t="str">
        <f ca="1">CONCATENATE(CALC2223!AQ236," ",CALC2223!AS236," ",CALC2223!AU236," ",CALC2223!AW236)</f>
        <v xml:space="preserve">meivakantie   </v>
      </c>
      <c r="L237" s="73" t="str">
        <f t="shared" ca="1" si="0"/>
        <v>actueel</v>
      </c>
      <c r="M237" s="1"/>
      <c r="N237" s="4" t="b">
        <f ca="1">OR(VALUE(CALC2223!B236)&gt;VALUE(LASTV),VALUE(CALC2223!D236)&gt;VALUE(LASTV),VALUE(CALC2223!F236)&gt;VALUE(LASTV))</f>
        <v>0</v>
      </c>
      <c r="O237" s="4" t="b">
        <f ca="1">OR(VALUE(CALC2223!H236)&gt;VALUE(LASTV),VALUE(CALC2223!J236)&gt;VALUE(LASTV),VALUE(CALC2223!L236)&gt;VALUE(LASTV))</f>
        <v>0</v>
      </c>
      <c r="P237" s="4" t="b">
        <f ca="1">OR(VALUE(CALC2223!N236)&gt;VALUE(LASTV),VALUE(CALC2223!P236)&gt;VALUE(LASTV),VALUE(CALC2223!R236)&gt;VALUE(LASTV))</f>
        <v>0</v>
      </c>
      <c r="Q237" s="4" t="b">
        <f ca="1">OR(VALUE(CALC2223!T236)&gt;VALUE(LASTV),VALUE(CALC2223!V236)&gt;VALUE(LASTV),VALUE(CALC2223!X236)&gt;VALUE(LASTV))</f>
        <v>0</v>
      </c>
      <c r="R237" s="4" t="b">
        <f ca="1">OR(VALUE(CALC2223!Z236)&gt;VALUE(LASTV),VALUE(CALC2223!AB236)&gt;VALUE(LASTV),VALUE(CALC2223!AD236)&gt;VALUE(LASTV))</f>
        <v>0</v>
      </c>
      <c r="S237" s="4" t="b">
        <f ca="1">OR(VALUE(CALC2223!AF236)&gt;VALUE(LASTV),VALUE(CALC2223!AH236)&gt;VALUE(LASTV),VALUE(CALC2223!AJ236)&gt;VALUE(LASTV))</f>
        <v>0</v>
      </c>
      <c r="T237" s="4" t="b">
        <f ca="1">OR(VALUE(CALC2223!AL236)&gt;VALUE(LASTV),VALUE(CALC2223!AN236)&gt;VALUE(LASTV),VALUE(CALC2223!AP236)&gt;VALUE(LASTV))</f>
        <v>0</v>
      </c>
      <c r="U237" s="4" t="b">
        <f ca="1">OR(VALUE(CALC2223!AR236)&gt;VALUE(LASTV),VALUE(CALC2223!AT236)&gt;VALUE(LASTV),VALUE(CALC2223!AV236)&gt;VALUE(LASTV))</f>
        <v>0</v>
      </c>
      <c r="V237" s="1"/>
    </row>
    <row r="238" spans="1:22" ht="35.25" customHeight="1">
      <c r="A238" s="74"/>
      <c r="B238" s="70" t="s">
        <v>22</v>
      </c>
      <c r="C238" s="71">
        <v>46136</v>
      </c>
      <c r="D238" s="72" t="str">
        <f ca="1">CONCATENATE(CALC2223!A237," ",CALC2223!C237," ",CALC2223!E237)</f>
        <v xml:space="preserve">  </v>
      </c>
      <c r="E238" s="72" t="str">
        <f ca="1">CONCATENATE(CALC2223!G237," ",CALC2223!I237," ",CALC2223!K237)</f>
        <v xml:space="preserve">  </v>
      </c>
      <c r="F238" s="72" t="str">
        <f ca="1">CONCATENATE(CALC2223!M237," ",CALC2223!O237," ",CALC2223!Q237)</f>
        <v xml:space="preserve">  </v>
      </c>
      <c r="G238" s="72" t="str">
        <f ca="1">CONCATENATE(CALC2223!S237," ",CALC2223!U237," ",CALC2223!W237)</f>
        <v xml:space="preserve">  </v>
      </c>
      <c r="H238" s="72" t="str">
        <f ca="1">CONCATENATE(CALC2223!Y237," ",CALC2223!AA237," ",CALC2223!AC237)</f>
        <v xml:space="preserve">  </v>
      </c>
      <c r="I238" s="72" t="str">
        <f ca="1">CONCATENATE(CALC2223!AE237," ",CALC2223!AG237," ",CALC2223!AI237)</f>
        <v xml:space="preserve">  </v>
      </c>
      <c r="J238" s="72" t="str">
        <f ca="1">CONCATENATE(CALC2223!AK237," ",CALC2223!AM237," ",CALC2223!AO237)</f>
        <v xml:space="preserve">  </v>
      </c>
      <c r="K238" s="72" t="str">
        <f ca="1">CONCATENATE(CALC2223!AQ237," ",CALC2223!AS237," ",CALC2223!AU237," ",CALC2223!AW237)</f>
        <v xml:space="preserve">   </v>
      </c>
      <c r="L238" s="73" t="str">
        <f t="shared" ca="1" si="0"/>
        <v>actueel</v>
      </c>
      <c r="M238" s="1"/>
      <c r="N238" s="4" t="b">
        <f ca="1">OR(VALUE(CALC2223!B237)&gt;VALUE(LASTV),VALUE(CALC2223!D237)&gt;VALUE(LASTV),VALUE(CALC2223!F237)&gt;VALUE(LASTV))</f>
        <v>0</v>
      </c>
      <c r="O238" s="4" t="b">
        <f ca="1">OR(VALUE(CALC2223!H237)&gt;VALUE(LASTV),VALUE(CALC2223!J237)&gt;VALUE(LASTV),VALUE(CALC2223!L237)&gt;VALUE(LASTV))</f>
        <v>0</v>
      </c>
      <c r="P238" s="4" t="b">
        <f ca="1">OR(VALUE(CALC2223!N237)&gt;VALUE(LASTV),VALUE(CALC2223!P237)&gt;VALUE(LASTV),VALUE(CALC2223!R237)&gt;VALUE(LASTV))</f>
        <v>0</v>
      </c>
      <c r="Q238" s="4" t="b">
        <f ca="1">OR(VALUE(CALC2223!T237)&gt;VALUE(LASTV),VALUE(CALC2223!V237)&gt;VALUE(LASTV),VALUE(CALC2223!X237)&gt;VALUE(LASTV))</f>
        <v>0</v>
      </c>
      <c r="R238" s="4" t="b">
        <f ca="1">OR(VALUE(CALC2223!Z237)&gt;VALUE(LASTV),VALUE(CALC2223!AB237)&gt;VALUE(LASTV),VALUE(CALC2223!AD237)&gt;VALUE(LASTV))</f>
        <v>0</v>
      </c>
      <c r="S238" s="4" t="b">
        <f ca="1">OR(VALUE(CALC2223!AF237)&gt;VALUE(LASTV),VALUE(CALC2223!AH237)&gt;VALUE(LASTV),VALUE(CALC2223!AJ237)&gt;VALUE(LASTV))</f>
        <v>0</v>
      </c>
      <c r="T238" s="4" t="b">
        <f ca="1">OR(VALUE(CALC2223!AL237)&gt;VALUE(LASTV),VALUE(CALC2223!AN237)&gt;VALUE(LASTV),VALUE(CALC2223!AP237)&gt;VALUE(LASTV))</f>
        <v>0</v>
      </c>
      <c r="U238" s="4" t="b">
        <f ca="1">OR(VALUE(CALC2223!AR237)&gt;VALUE(LASTV),VALUE(CALC2223!AT237)&gt;VALUE(LASTV),VALUE(CALC2223!AV237)&gt;VALUE(LASTV))</f>
        <v>0</v>
      </c>
      <c r="V238" s="1"/>
    </row>
    <row r="239" spans="1:22" ht="35.25" customHeight="1">
      <c r="A239" s="45"/>
      <c r="B239" s="46" t="s">
        <v>23</v>
      </c>
      <c r="C239" s="47">
        <v>46137</v>
      </c>
      <c r="D239" s="48" t="str">
        <f ca="1">CONCATENATE(CALC2223!A238," ",CALC2223!C238," ",CALC2223!E238)</f>
        <v xml:space="preserve">  </v>
      </c>
      <c r="E239" s="48" t="str">
        <f ca="1">CONCATENATE(CALC2223!G238," ",CALC2223!I238," ",CALC2223!K238)</f>
        <v xml:space="preserve">  </v>
      </c>
      <c r="F239" s="48" t="str">
        <f ca="1">CONCATENATE(CALC2223!M238," ",CALC2223!O238," ",CALC2223!Q238)</f>
        <v xml:space="preserve">  </v>
      </c>
      <c r="G239" s="48" t="str">
        <f ca="1">CONCATENATE(CALC2223!S238," ",CALC2223!U238," ",CALC2223!W238)</f>
        <v xml:space="preserve">  </v>
      </c>
      <c r="H239" s="48" t="str">
        <f ca="1">CONCATENATE(CALC2223!Y238," ",CALC2223!AA238," ",CALC2223!AC238)</f>
        <v xml:space="preserve">  </v>
      </c>
      <c r="I239" s="48" t="str">
        <f ca="1">CONCATENATE(CALC2223!AE238," ",CALC2223!AG238," ",CALC2223!AI238)</f>
        <v xml:space="preserve">  </v>
      </c>
      <c r="J239" s="48" t="str">
        <f ca="1">CONCATENATE(CALC2223!AK238," ",CALC2223!AM238," ",CALC2223!AO238)</f>
        <v xml:space="preserve">  </v>
      </c>
      <c r="K239" s="48" t="str">
        <f ca="1">CONCATENATE(CALC2223!AQ238," ",CALC2223!AS238," ",CALC2223!AU238," ",CALC2223!AW238)</f>
        <v xml:space="preserve">   </v>
      </c>
      <c r="L239" s="49" t="str">
        <f t="shared" ca="1" si="0"/>
        <v>actueel</v>
      </c>
      <c r="M239" s="1"/>
      <c r="N239" s="4" t="b">
        <f ca="1">OR(VALUE(CALC2223!B238)&gt;VALUE(LASTV),VALUE(CALC2223!D238)&gt;VALUE(LASTV),VALUE(CALC2223!F238)&gt;VALUE(LASTV))</f>
        <v>0</v>
      </c>
      <c r="O239" s="4" t="b">
        <f ca="1">OR(VALUE(CALC2223!H238)&gt;VALUE(LASTV),VALUE(CALC2223!J238)&gt;VALUE(LASTV),VALUE(CALC2223!L238)&gt;VALUE(LASTV))</f>
        <v>0</v>
      </c>
      <c r="P239" s="4" t="b">
        <f ca="1">OR(VALUE(CALC2223!N238)&gt;VALUE(LASTV),VALUE(CALC2223!P238)&gt;VALUE(LASTV),VALUE(CALC2223!R238)&gt;VALUE(LASTV))</f>
        <v>0</v>
      </c>
      <c r="Q239" s="4" t="b">
        <f ca="1">OR(VALUE(CALC2223!T238)&gt;VALUE(LASTV),VALUE(CALC2223!V238)&gt;VALUE(LASTV),VALUE(CALC2223!X238)&gt;VALUE(LASTV))</f>
        <v>0</v>
      </c>
      <c r="R239" s="4" t="b">
        <f ca="1">OR(VALUE(CALC2223!Z238)&gt;VALUE(LASTV),VALUE(CALC2223!AB238)&gt;VALUE(LASTV),VALUE(CALC2223!AD238)&gt;VALUE(LASTV))</f>
        <v>0</v>
      </c>
      <c r="S239" s="4" t="b">
        <f ca="1">OR(VALUE(CALC2223!AF238)&gt;VALUE(LASTV),VALUE(CALC2223!AH238)&gt;VALUE(LASTV),VALUE(CALC2223!AJ238)&gt;VALUE(LASTV))</f>
        <v>0</v>
      </c>
      <c r="T239" s="4" t="b">
        <f ca="1">OR(VALUE(CALC2223!AL238)&gt;VALUE(LASTV),VALUE(CALC2223!AN238)&gt;VALUE(LASTV),VALUE(CALC2223!AP238)&gt;VALUE(LASTV))</f>
        <v>0</v>
      </c>
      <c r="U239" s="4" t="b">
        <f ca="1">OR(VALUE(CALC2223!AR238)&gt;VALUE(LASTV),VALUE(CALC2223!AT238)&gt;VALUE(LASTV),VALUE(CALC2223!AV238)&gt;VALUE(LASTV))</f>
        <v>0</v>
      </c>
      <c r="V239" s="1"/>
    </row>
    <row r="240" spans="1:22" ht="35.25" customHeight="1">
      <c r="A240" s="80"/>
      <c r="B240" s="81" t="s">
        <v>24</v>
      </c>
      <c r="C240" s="82">
        <v>46138</v>
      </c>
      <c r="D240" s="83" t="str">
        <f ca="1">CONCATENATE(CALC2223!A239," ",CALC2223!C239," ",CALC2223!E239)</f>
        <v xml:space="preserve">  </v>
      </c>
      <c r="E240" s="83" t="str">
        <f ca="1">CONCATENATE(CALC2223!G239," ",CALC2223!I239," ",CALC2223!K239)</f>
        <v xml:space="preserve">  </v>
      </c>
      <c r="F240" s="83" t="str">
        <f ca="1">CONCATENATE(CALC2223!M239," ",CALC2223!O239," ",CALC2223!Q239)</f>
        <v xml:space="preserve">  </v>
      </c>
      <c r="G240" s="83" t="str">
        <f ca="1">CONCATENATE(CALC2223!S239," ",CALC2223!U239," ",CALC2223!W239)</f>
        <v xml:space="preserve">  </v>
      </c>
      <c r="H240" s="83" t="str">
        <f ca="1">CONCATENATE(CALC2223!Y239," ",CALC2223!AA239," ",CALC2223!AC239)</f>
        <v xml:space="preserve">  </v>
      </c>
      <c r="I240" s="83" t="str">
        <f ca="1">CONCATENATE(CALC2223!AE239," ",CALC2223!AG239," ",CALC2223!AI239)</f>
        <v xml:space="preserve">  </v>
      </c>
      <c r="J240" s="83" t="str">
        <f ca="1">CONCATENATE(CALC2223!AK239," ",CALC2223!AM239," ",CALC2223!AO239)</f>
        <v xml:space="preserve">  </v>
      </c>
      <c r="K240" s="83" t="str">
        <f ca="1">CONCATENATE(CALC2223!AQ239," ",CALC2223!AS239," ",CALC2223!AU239," ",CALC2223!AW239)</f>
        <v xml:space="preserve">   </v>
      </c>
      <c r="L240" s="84" t="str">
        <f t="shared" ca="1" si="0"/>
        <v>actueel</v>
      </c>
      <c r="M240" s="1"/>
      <c r="N240" s="4" t="b">
        <f ca="1">OR(VALUE(CALC2223!B239)&gt;VALUE(LASTV),VALUE(CALC2223!D239)&gt;VALUE(LASTV),VALUE(CALC2223!F239)&gt;VALUE(LASTV))</f>
        <v>0</v>
      </c>
      <c r="O240" s="4" t="b">
        <f ca="1">OR(VALUE(CALC2223!H239)&gt;VALUE(LASTV),VALUE(CALC2223!J239)&gt;VALUE(LASTV),VALUE(CALC2223!L239)&gt;VALUE(LASTV))</f>
        <v>0</v>
      </c>
      <c r="P240" s="4" t="b">
        <f ca="1">OR(VALUE(CALC2223!N239)&gt;VALUE(LASTV),VALUE(CALC2223!P239)&gt;VALUE(LASTV),VALUE(CALC2223!R239)&gt;VALUE(LASTV))</f>
        <v>0</v>
      </c>
      <c r="Q240" s="4" t="b">
        <f ca="1">OR(VALUE(CALC2223!T239)&gt;VALUE(LASTV),VALUE(CALC2223!V239)&gt;VALUE(LASTV),VALUE(CALC2223!X239)&gt;VALUE(LASTV))</f>
        <v>0</v>
      </c>
      <c r="R240" s="4" t="b">
        <f ca="1">OR(VALUE(CALC2223!Z239)&gt;VALUE(LASTV),VALUE(CALC2223!AB239)&gt;VALUE(LASTV),VALUE(CALC2223!AD239)&gt;VALUE(LASTV))</f>
        <v>0</v>
      </c>
      <c r="S240" s="4" t="b">
        <f ca="1">OR(VALUE(CALC2223!AF239)&gt;VALUE(LASTV),VALUE(CALC2223!AH239)&gt;VALUE(LASTV),VALUE(CALC2223!AJ239)&gt;VALUE(LASTV))</f>
        <v>0</v>
      </c>
      <c r="T240" s="4" t="b">
        <f ca="1">OR(VALUE(CALC2223!AL239)&gt;VALUE(LASTV),VALUE(CALC2223!AN239)&gt;VALUE(LASTV),VALUE(CALC2223!AP239)&gt;VALUE(LASTV))</f>
        <v>0</v>
      </c>
      <c r="U240" s="4" t="b">
        <f ca="1">OR(VALUE(CALC2223!AR239)&gt;VALUE(LASTV),VALUE(CALC2223!AT239)&gt;VALUE(LASTV),VALUE(CALC2223!AV239)&gt;VALUE(LASTV))</f>
        <v>0</v>
      </c>
      <c r="V240" s="1"/>
    </row>
    <row r="241" spans="1:22" ht="35.25" customHeight="1">
      <c r="A241" s="86">
        <v>18</v>
      </c>
      <c r="B241" s="76" t="s">
        <v>18</v>
      </c>
      <c r="C241" s="77">
        <v>46139</v>
      </c>
      <c r="D241" s="78" t="str">
        <f ca="1">CONCATENATE(CALC2223!A240," ",CALC2223!C240," ",CALC2223!E240)</f>
        <v xml:space="preserve">  </v>
      </c>
      <c r="E241" s="78" t="str">
        <f ca="1">CONCATENATE(CALC2223!G240," ",CALC2223!I240," ",CALC2223!K240)</f>
        <v xml:space="preserve">  </v>
      </c>
      <c r="F241" s="78" t="str">
        <f ca="1">CONCATENATE(CALC2223!M240," ",CALC2223!O240," ",CALC2223!Q240)</f>
        <v xml:space="preserve">  </v>
      </c>
      <c r="G241" s="78" t="str">
        <f ca="1">CONCATENATE(CALC2223!S240," ",CALC2223!U240," ",CALC2223!W240)</f>
        <v xml:space="preserve">  </v>
      </c>
      <c r="H241" s="78" t="str">
        <f ca="1">CONCATENATE(CALC2223!Y240," ",CALC2223!AA240," ",CALC2223!AC240)</f>
        <v xml:space="preserve">  </v>
      </c>
      <c r="I241" s="78" t="str">
        <f ca="1">CONCATENATE(CALC2223!AE240," ",CALC2223!AG240," ",CALC2223!AI240)</f>
        <v xml:space="preserve">  </v>
      </c>
      <c r="J241" s="78" t="str">
        <f ca="1">CONCATENATE(CALC2223!AK240," ",CALC2223!AM240," ",CALC2223!AO240)</f>
        <v xml:space="preserve">  </v>
      </c>
      <c r="K241" s="78" t="str">
        <f ca="1">CONCATENATE(CALC2223!AQ240," ",CALC2223!AS240," ",CALC2223!AU240," ",CALC2223!AW240)</f>
        <v xml:space="preserve">koningsdag   </v>
      </c>
      <c r="L241" s="79" t="str">
        <f t="shared" ca="1" si="0"/>
        <v>actueel</v>
      </c>
      <c r="M241" s="1"/>
      <c r="N241" s="4" t="b">
        <f ca="1">OR(VALUE(CALC2223!B240)&gt;VALUE(LASTV),VALUE(CALC2223!D240)&gt;VALUE(LASTV),VALUE(CALC2223!F240)&gt;VALUE(LASTV))</f>
        <v>0</v>
      </c>
      <c r="O241" s="4" t="b">
        <f ca="1">OR(VALUE(CALC2223!H240)&gt;VALUE(LASTV),VALUE(CALC2223!J240)&gt;VALUE(LASTV),VALUE(CALC2223!L240)&gt;VALUE(LASTV))</f>
        <v>0</v>
      </c>
      <c r="P241" s="4" t="b">
        <f ca="1">OR(VALUE(CALC2223!N240)&gt;VALUE(LASTV),VALUE(CALC2223!P240)&gt;VALUE(LASTV),VALUE(CALC2223!R240)&gt;VALUE(LASTV))</f>
        <v>0</v>
      </c>
      <c r="Q241" s="4" t="b">
        <f ca="1">OR(VALUE(CALC2223!T240)&gt;VALUE(LASTV),VALUE(CALC2223!V240)&gt;VALUE(LASTV),VALUE(CALC2223!X240)&gt;VALUE(LASTV))</f>
        <v>0</v>
      </c>
      <c r="R241" s="4" t="b">
        <f ca="1">OR(VALUE(CALC2223!Z240)&gt;VALUE(LASTV),VALUE(CALC2223!AB240)&gt;VALUE(LASTV),VALUE(CALC2223!AD240)&gt;VALUE(LASTV))</f>
        <v>0</v>
      </c>
      <c r="S241" s="4" t="b">
        <f ca="1">OR(VALUE(CALC2223!AF240)&gt;VALUE(LASTV),VALUE(CALC2223!AH240)&gt;VALUE(LASTV),VALUE(CALC2223!AJ240)&gt;VALUE(LASTV))</f>
        <v>0</v>
      </c>
      <c r="T241" s="4" t="b">
        <f ca="1">OR(VALUE(CALC2223!AL240)&gt;VALUE(LASTV),VALUE(CALC2223!AN240)&gt;VALUE(LASTV),VALUE(CALC2223!AP240)&gt;VALUE(LASTV))</f>
        <v>0</v>
      </c>
      <c r="U241" s="4" t="b">
        <f ca="1">OR(VALUE(CALC2223!AR240)&gt;VALUE(LASTV),VALUE(CALC2223!AT240)&gt;VALUE(LASTV),VALUE(CALC2223!AV240)&gt;VALUE(LASTV))</f>
        <v>0</v>
      </c>
      <c r="V241" s="1"/>
    </row>
    <row r="242" spans="1:22" ht="35.25" customHeight="1">
      <c r="A242" s="74"/>
      <c r="B242" s="70" t="s">
        <v>19</v>
      </c>
      <c r="C242" s="71">
        <v>46140</v>
      </c>
      <c r="D242" s="72" t="str">
        <f ca="1">CONCATENATE(CALC2223!A241," ",CALC2223!C241," ",CALC2223!E241)</f>
        <v xml:space="preserve">  </v>
      </c>
      <c r="E242" s="72" t="str">
        <f ca="1">CONCATENATE(CALC2223!G241," ",CALC2223!I241," ",CALC2223!K241)</f>
        <v xml:space="preserve">  </v>
      </c>
      <c r="F242" s="72" t="str">
        <f ca="1">CONCATENATE(CALC2223!M241," ",CALC2223!O241," ",CALC2223!Q241)</f>
        <v xml:space="preserve">  </v>
      </c>
      <c r="G242" s="72" t="str">
        <f ca="1">CONCATENATE(CALC2223!S241," ",CALC2223!U241," ",CALC2223!W241)</f>
        <v xml:space="preserve">  </v>
      </c>
      <c r="H242" s="72" t="str">
        <f ca="1">CONCATENATE(CALC2223!Y241," ",CALC2223!AA241," ",CALC2223!AC241)</f>
        <v xml:space="preserve">  </v>
      </c>
      <c r="I242" s="72" t="str">
        <f ca="1">CONCATENATE(CALC2223!AE241," ",CALC2223!AG241," ",CALC2223!AI241)</f>
        <v xml:space="preserve">  </v>
      </c>
      <c r="J242" s="72" t="str">
        <f ca="1">CONCATENATE(CALC2223!AK241," ",CALC2223!AM241," ",CALC2223!AO241)</f>
        <v xml:space="preserve">  </v>
      </c>
      <c r="K242" s="72" t="str">
        <f ca="1">CONCATENATE(CALC2223!AQ241," ",CALC2223!AS241," ",CALC2223!AU241," ",CALC2223!AW241)</f>
        <v xml:space="preserve">   meivakantie</v>
      </c>
      <c r="L242" s="73" t="str">
        <f t="shared" ca="1" si="0"/>
        <v>actueel</v>
      </c>
      <c r="M242" s="1"/>
      <c r="N242" s="4" t="b">
        <f ca="1">OR(VALUE(CALC2223!B241)&gt;VALUE(LASTV),VALUE(CALC2223!D241)&gt;VALUE(LASTV),VALUE(CALC2223!F241)&gt;VALUE(LASTV))</f>
        <v>0</v>
      </c>
      <c r="O242" s="4" t="b">
        <f ca="1">OR(VALUE(CALC2223!H241)&gt;VALUE(LASTV),VALUE(CALC2223!J241)&gt;VALUE(LASTV),VALUE(CALC2223!L241)&gt;VALUE(LASTV))</f>
        <v>0</v>
      </c>
      <c r="P242" s="4" t="b">
        <f ca="1">OR(VALUE(CALC2223!N241)&gt;VALUE(LASTV),VALUE(CALC2223!P241)&gt;VALUE(LASTV),VALUE(CALC2223!R241)&gt;VALUE(LASTV))</f>
        <v>0</v>
      </c>
      <c r="Q242" s="4" t="b">
        <f ca="1">OR(VALUE(CALC2223!T241)&gt;VALUE(LASTV),VALUE(CALC2223!V241)&gt;VALUE(LASTV),VALUE(CALC2223!X241)&gt;VALUE(LASTV))</f>
        <v>0</v>
      </c>
      <c r="R242" s="4" t="b">
        <f ca="1">OR(VALUE(CALC2223!Z241)&gt;VALUE(LASTV),VALUE(CALC2223!AB241)&gt;VALUE(LASTV),VALUE(CALC2223!AD241)&gt;VALUE(LASTV))</f>
        <v>0</v>
      </c>
      <c r="S242" s="4" t="b">
        <f ca="1">OR(VALUE(CALC2223!AF241)&gt;VALUE(LASTV),VALUE(CALC2223!AH241)&gt;VALUE(LASTV),VALUE(CALC2223!AJ241)&gt;VALUE(LASTV))</f>
        <v>0</v>
      </c>
      <c r="T242" s="4" t="b">
        <f ca="1">OR(VALUE(CALC2223!AL241)&gt;VALUE(LASTV),VALUE(CALC2223!AN241)&gt;VALUE(LASTV),VALUE(CALC2223!AP241)&gt;VALUE(LASTV))</f>
        <v>0</v>
      </c>
      <c r="U242" s="4" t="b">
        <f ca="1">OR(VALUE(CALC2223!AR241)&gt;VALUE(LASTV),VALUE(CALC2223!AT241)&gt;VALUE(LASTV),VALUE(CALC2223!AV241)&gt;VALUE(LASTV))</f>
        <v>0</v>
      </c>
      <c r="V242" s="1"/>
    </row>
    <row r="243" spans="1:22" ht="35.25" customHeight="1">
      <c r="A243" s="74"/>
      <c r="B243" s="70" t="s">
        <v>20</v>
      </c>
      <c r="C243" s="71">
        <v>46141</v>
      </c>
      <c r="D243" s="72" t="str">
        <f ca="1">CONCATENATE(CALC2223!A242," ",CALC2223!C242," ",CALC2223!E242)</f>
        <v xml:space="preserve">  </v>
      </c>
      <c r="E243" s="72" t="str">
        <f ca="1">CONCATENATE(CALC2223!G242," ",CALC2223!I242," ",CALC2223!K242)</f>
        <v xml:space="preserve">  </v>
      </c>
      <c r="F243" s="72" t="str">
        <f ca="1">CONCATENATE(CALC2223!M242," ",CALC2223!O242," ",CALC2223!Q242)</f>
        <v xml:space="preserve">  </v>
      </c>
      <c r="G243" s="72" t="str">
        <f ca="1">CONCATENATE(CALC2223!S242," ",CALC2223!U242," ",CALC2223!W242)</f>
        <v xml:space="preserve">  </v>
      </c>
      <c r="H243" s="72" t="str">
        <f ca="1">CONCATENATE(CALC2223!Y242," ",CALC2223!AA242," ",CALC2223!AC242)</f>
        <v xml:space="preserve">  </v>
      </c>
      <c r="I243" s="72" t="str">
        <f ca="1">CONCATENATE(CALC2223!AE242," ",CALC2223!AG242," ",CALC2223!AI242)</f>
        <v xml:space="preserve">  </v>
      </c>
      <c r="J243" s="72" t="str">
        <f ca="1">CONCATENATE(CALC2223!AK242," ",CALC2223!AM242," ",CALC2223!AO242)</f>
        <v xml:space="preserve">  </v>
      </c>
      <c r="K243" s="72" t="str">
        <f ca="1">CONCATENATE(CALC2223!AQ242," ",CALC2223!AS242," ",CALC2223!AU242," ",CALC2223!AW242)</f>
        <v xml:space="preserve">   </v>
      </c>
      <c r="L243" s="73" t="str">
        <f t="shared" ca="1" si="0"/>
        <v>actueel</v>
      </c>
      <c r="M243" s="1"/>
      <c r="N243" s="4" t="b">
        <f ca="1">OR(VALUE(CALC2223!B242)&gt;VALUE(LASTV),VALUE(CALC2223!D242)&gt;VALUE(LASTV),VALUE(CALC2223!F242)&gt;VALUE(LASTV))</f>
        <v>0</v>
      </c>
      <c r="O243" s="4" t="b">
        <f ca="1">OR(VALUE(CALC2223!H242)&gt;VALUE(LASTV),VALUE(CALC2223!J242)&gt;VALUE(LASTV),VALUE(CALC2223!L242)&gt;VALUE(LASTV))</f>
        <v>0</v>
      </c>
      <c r="P243" s="4" t="b">
        <f ca="1">OR(VALUE(CALC2223!N242)&gt;VALUE(LASTV),VALUE(CALC2223!P242)&gt;VALUE(LASTV),VALUE(CALC2223!R242)&gt;VALUE(LASTV))</f>
        <v>0</v>
      </c>
      <c r="Q243" s="4" t="b">
        <f ca="1">OR(VALUE(CALC2223!T242)&gt;VALUE(LASTV),VALUE(CALC2223!V242)&gt;VALUE(LASTV),VALUE(CALC2223!X242)&gt;VALUE(LASTV))</f>
        <v>0</v>
      </c>
      <c r="R243" s="4" t="b">
        <f ca="1">OR(VALUE(CALC2223!Z242)&gt;VALUE(LASTV),VALUE(CALC2223!AB242)&gt;VALUE(LASTV),VALUE(CALC2223!AD242)&gt;VALUE(LASTV))</f>
        <v>0</v>
      </c>
      <c r="S243" s="4" t="b">
        <f ca="1">OR(VALUE(CALC2223!AF242)&gt;VALUE(LASTV),VALUE(CALC2223!AH242)&gt;VALUE(LASTV),VALUE(CALC2223!AJ242)&gt;VALUE(LASTV))</f>
        <v>0</v>
      </c>
      <c r="T243" s="4" t="b">
        <f ca="1">OR(VALUE(CALC2223!AL242)&gt;VALUE(LASTV),VALUE(CALC2223!AN242)&gt;VALUE(LASTV),VALUE(CALC2223!AP242)&gt;VALUE(LASTV))</f>
        <v>0</v>
      </c>
      <c r="U243" s="4" t="b">
        <f ca="1">OR(VALUE(CALC2223!AR242)&gt;VALUE(LASTV),VALUE(CALC2223!AT242)&gt;VALUE(LASTV),VALUE(CALC2223!AV242)&gt;VALUE(LASTV))</f>
        <v>0</v>
      </c>
      <c r="V243" s="1"/>
    </row>
    <row r="244" spans="1:22" ht="35.25" customHeight="1">
      <c r="A244" s="74"/>
      <c r="B244" s="70" t="s">
        <v>21</v>
      </c>
      <c r="C244" s="71">
        <v>46142</v>
      </c>
      <c r="D244" s="72" t="str">
        <f ca="1">CONCATENATE(CALC2223!A243," ",CALC2223!C243," ",CALC2223!E243)</f>
        <v xml:space="preserve">  </v>
      </c>
      <c r="E244" s="72" t="str">
        <f ca="1">CONCATENATE(CALC2223!G243," ",CALC2223!I243," ",CALC2223!K243)</f>
        <v xml:space="preserve">  </v>
      </c>
      <c r="F244" s="72" t="str">
        <f ca="1">CONCATENATE(CALC2223!M243," ",CALC2223!O243," ",CALC2223!Q243)</f>
        <v xml:space="preserve">  </v>
      </c>
      <c r="G244" s="72" t="str">
        <f ca="1">CONCATENATE(CALC2223!S243," ",CALC2223!U243," ",CALC2223!W243)</f>
        <v xml:space="preserve">  </v>
      </c>
      <c r="H244" s="72" t="str">
        <f ca="1">CONCATENATE(CALC2223!Y243," ",CALC2223!AA243," ",CALC2223!AC243)</f>
        <v xml:space="preserve">  </v>
      </c>
      <c r="I244" s="72" t="str">
        <f ca="1">CONCATENATE(CALC2223!AE243," ",CALC2223!AG243," ",CALC2223!AI243)</f>
        <v xml:space="preserve">  </v>
      </c>
      <c r="J244" s="72" t="str">
        <f ca="1">CONCATENATE(CALC2223!AK243," ",CALC2223!AM243," ",CALC2223!AO243)</f>
        <v xml:space="preserve">  </v>
      </c>
      <c r="K244" s="72" t="str">
        <f ca="1">CONCATENATE(CALC2223!AQ243," ",CALC2223!AS243," ",CALC2223!AU243," ",CALC2223!AW243)</f>
        <v xml:space="preserve">   </v>
      </c>
      <c r="L244" s="73" t="str">
        <f t="shared" ca="1" si="0"/>
        <v>actueel</v>
      </c>
      <c r="M244" s="1"/>
      <c r="N244" s="4" t="b">
        <f ca="1">OR(VALUE(CALC2223!B243)&gt;VALUE(LASTV),VALUE(CALC2223!D243)&gt;VALUE(LASTV),VALUE(CALC2223!F243)&gt;VALUE(LASTV))</f>
        <v>0</v>
      </c>
      <c r="O244" s="4" t="b">
        <f ca="1">OR(VALUE(CALC2223!H243)&gt;VALUE(LASTV),VALUE(CALC2223!J243)&gt;VALUE(LASTV),VALUE(CALC2223!L243)&gt;VALUE(LASTV))</f>
        <v>0</v>
      </c>
      <c r="P244" s="4" t="b">
        <f ca="1">OR(VALUE(CALC2223!N243)&gt;VALUE(LASTV),VALUE(CALC2223!P243)&gt;VALUE(LASTV),VALUE(CALC2223!R243)&gt;VALUE(LASTV))</f>
        <v>0</v>
      </c>
      <c r="Q244" s="4" t="b">
        <f ca="1">OR(VALUE(CALC2223!T243)&gt;VALUE(LASTV),VALUE(CALC2223!V243)&gt;VALUE(LASTV),VALUE(CALC2223!X243)&gt;VALUE(LASTV))</f>
        <v>0</v>
      </c>
      <c r="R244" s="4" t="b">
        <f ca="1">OR(VALUE(CALC2223!Z243)&gt;VALUE(LASTV),VALUE(CALC2223!AB243)&gt;VALUE(LASTV),VALUE(CALC2223!AD243)&gt;VALUE(LASTV))</f>
        <v>0</v>
      </c>
      <c r="S244" s="4" t="b">
        <f ca="1">OR(VALUE(CALC2223!AF243)&gt;VALUE(LASTV),VALUE(CALC2223!AH243)&gt;VALUE(LASTV),VALUE(CALC2223!AJ243)&gt;VALUE(LASTV))</f>
        <v>0</v>
      </c>
      <c r="T244" s="4" t="b">
        <f ca="1">OR(VALUE(CALC2223!AL243)&gt;VALUE(LASTV),VALUE(CALC2223!AN243)&gt;VALUE(LASTV),VALUE(CALC2223!AP243)&gt;VALUE(LASTV))</f>
        <v>0</v>
      </c>
      <c r="U244" s="4" t="b">
        <f ca="1">OR(VALUE(CALC2223!AR243)&gt;VALUE(LASTV),VALUE(CALC2223!AT243)&gt;VALUE(LASTV),VALUE(CALC2223!AV243)&gt;VALUE(LASTV))</f>
        <v>0</v>
      </c>
      <c r="V244" s="1"/>
    </row>
    <row r="245" spans="1:22" ht="35.25" customHeight="1">
      <c r="A245" s="74"/>
      <c r="B245" s="70" t="s">
        <v>22</v>
      </c>
      <c r="C245" s="71">
        <v>46143</v>
      </c>
      <c r="D245" s="72" t="str">
        <f ca="1">CONCATENATE(CALC2223!A244," ",CALC2223!C244," ",CALC2223!E244)</f>
        <v xml:space="preserve">  </v>
      </c>
      <c r="E245" s="72" t="str">
        <f ca="1">CONCATENATE(CALC2223!G244," ",CALC2223!I244," ",CALC2223!K244)</f>
        <v xml:space="preserve">  </v>
      </c>
      <c r="F245" s="72" t="str">
        <f ca="1">CONCATENATE(CALC2223!M244," ",CALC2223!O244," ",CALC2223!Q244)</f>
        <v xml:space="preserve">  </v>
      </c>
      <c r="G245" s="72" t="str">
        <f ca="1">CONCATENATE(CALC2223!S244," ",CALC2223!U244," ",CALC2223!W244)</f>
        <v xml:space="preserve">  </v>
      </c>
      <c r="H245" s="72" t="str">
        <f ca="1">CONCATENATE(CALC2223!Y244," ",CALC2223!AA244," ",CALC2223!AC244)</f>
        <v xml:space="preserve">  </v>
      </c>
      <c r="I245" s="72" t="str">
        <f ca="1">CONCATENATE(CALC2223!AE244," ",CALC2223!AG244," ",CALC2223!AI244)</f>
        <v xml:space="preserve">  </v>
      </c>
      <c r="J245" s="72" t="str">
        <f ca="1">CONCATENATE(CALC2223!AK244," ",CALC2223!AM244," ",CALC2223!AO244)</f>
        <v xml:space="preserve">  </v>
      </c>
      <c r="K245" s="72" t="str">
        <f ca="1">CONCATENATE(CALC2223!AQ244," ",CALC2223!AS244," ",CALC2223!AU244," ",CALC2223!AW244)</f>
        <v xml:space="preserve">   </v>
      </c>
      <c r="L245" s="73" t="str">
        <f t="shared" ca="1" si="0"/>
        <v>actueel</v>
      </c>
      <c r="M245" s="1"/>
      <c r="N245" s="4" t="b">
        <f ca="1">OR(VALUE(CALC2223!B244)&gt;VALUE(LASTV),VALUE(CALC2223!D244)&gt;VALUE(LASTV),VALUE(CALC2223!F244)&gt;VALUE(LASTV))</f>
        <v>0</v>
      </c>
      <c r="O245" s="4" t="b">
        <f ca="1">OR(VALUE(CALC2223!H244)&gt;VALUE(LASTV),VALUE(CALC2223!J244)&gt;VALUE(LASTV),VALUE(CALC2223!L244)&gt;VALUE(LASTV))</f>
        <v>0</v>
      </c>
      <c r="P245" s="4" t="b">
        <f ca="1">OR(VALUE(CALC2223!N244)&gt;VALUE(LASTV),VALUE(CALC2223!P244)&gt;VALUE(LASTV),VALUE(CALC2223!R244)&gt;VALUE(LASTV))</f>
        <v>0</v>
      </c>
      <c r="Q245" s="4" t="b">
        <f ca="1">OR(VALUE(CALC2223!T244)&gt;VALUE(LASTV),VALUE(CALC2223!V244)&gt;VALUE(LASTV),VALUE(CALC2223!X244)&gt;VALUE(LASTV))</f>
        <v>0</v>
      </c>
      <c r="R245" s="4" t="b">
        <f ca="1">OR(VALUE(CALC2223!Z244)&gt;VALUE(LASTV),VALUE(CALC2223!AB244)&gt;VALUE(LASTV),VALUE(CALC2223!AD244)&gt;VALUE(LASTV))</f>
        <v>0</v>
      </c>
      <c r="S245" s="4" t="b">
        <f ca="1">OR(VALUE(CALC2223!AF244)&gt;VALUE(LASTV),VALUE(CALC2223!AH244)&gt;VALUE(LASTV),VALUE(CALC2223!AJ244)&gt;VALUE(LASTV))</f>
        <v>0</v>
      </c>
      <c r="T245" s="4" t="b">
        <f ca="1">OR(VALUE(CALC2223!AL244)&gt;VALUE(LASTV),VALUE(CALC2223!AN244)&gt;VALUE(LASTV),VALUE(CALC2223!AP244)&gt;VALUE(LASTV))</f>
        <v>0</v>
      </c>
      <c r="U245" s="4" t="b">
        <f ca="1">OR(VALUE(CALC2223!AR244)&gt;VALUE(LASTV),VALUE(CALC2223!AT244)&gt;VALUE(LASTV),VALUE(CALC2223!AV244)&gt;VALUE(LASTV))</f>
        <v>0</v>
      </c>
      <c r="V245" s="1"/>
    </row>
    <row r="246" spans="1:22" ht="35.25" customHeight="1">
      <c r="A246" s="80"/>
      <c r="B246" s="81" t="s">
        <v>23</v>
      </c>
      <c r="C246" s="82">
        <v>46144</v>
      </c>
      <c r="D246" s="83" t="str">
        <f ca="1">CONCATENATE(CALC2223!A245," ",CALC2223!C245," ",CALC2223!E245)</f>
        <v xml:space="preserve">  </v>
      </c>
      <c r="E246" s="83" t="str">
        <f ca="1">CONCATENATE(CALC2223!G245," ",CALC2223!I245," ",CALC2223!K245)</f>
        <v xml:space="preserve">  </v>
      </c>
      <c r="F246" s="83" t="str">
        <f ca="1">CONCATENATE(CALC2223!M245," ",CALC2223!O245," ",CALC2223!Q245)</f>
        <v xml:space="preserve">  </v>
      </c>
      <c r="G246" s="83" t="str">
        <f ca="1">CONCATENATE(CALC2223!S245," ",CALC2223!U245," ",CALC2223!W245)</f>
        <v xml:space="preserve">  </v>
      </c>
      <c r="H246" s="83" t="str">
        <f ca="1">CONCATENATE(CALC2223!Y245," ",CALC2223!AA245," ",CALC2223!AC245)</f>
        <v xml:space="preserve">  </v>
      </c>
      <c r="I246" s="83" t="str">
        <f ca="1">CONCATENATE(CALC2223!AE245," ",CALC2223!AG245," ",CALC2223!AI245)</f>
        <v xml:space="preserve">  </v>
      </c>
      <c r="J246" s="83" t="str">
        <f ca="1">CONCATENATE(CALC2223!AK245," ",CALC2223!AM245," ",CALC2223!AO245)</f>
        <v xml:space="preserve">  </v>
      </c>
      <c r="K246" s="83" t="str">
        <f ca="1">CONCATENATE(CALC2223!AQ245," ",CALC2223!AS245," ",CALC2223!AU245," ",CALC2223!AW245)</f>
        <v xml:space="preserve">   </v>
      </c>
      <c r="L246" s="84" t="str">
        <f t="shared" ca="1" si="0"/>
        <v>actueel</v>
      </c>
      <c r="M246" s="1"/>
      <c r="N246" s="4" t="b">
        <f ca="1">OR(VALUE(CALC2223!B245)&gt;VALUE(LASTV),VALUE(CALC2223!D245)&gt;VALUE(LASTV),VALUE(CALC2223!F245)&gt;VALUE(LASTV))</f>
        <v>0</v>
      </c>
      <c r="O246" s="4" t="b">
        <f ca="1">OR(VALUE(CALC2223!H245)&gt;VALUE(LASTV),VALUE(CALC2223!J245)&gt;VALUE(LASTV),VALUE(CALC2223!L245)&gt;VALUE(LASTV))</f>
        <v>0</v>
      </c>
      <c r="P246" s="4" t="b">
        <f ca="1">OR(VALUE(CALC2223!N245)&gt;VALUE(LASTV),VALUE(CALC2223!P245)&gt;VALUE(LASTV),VALUE(CALC2223!R245)&gt;VALUE(LASTV))</f>
        <v>0</v>
      </c>
      <c r="Q246" s="4" t="b">
        <f ca="1">OR(VALUE(CALC2223!T245)&gt;VALUE(LASTV),VALUE(CALC2223!V245)&gt;VALUE(LASTV),VALUE(CALC2223!X245)&gt;VALUE(LASTV))</f>
        <v>0</v>
      </c>
      <c r="R246" s="4" t="b">
        <f ca="1">OR(VALUE(CALC2223!Z245)&gt;VALUE(LASTV),VALUE(CALC2223!AB245)&gt;VALUE(LASTV),VALUE(CALC2223!AD245)&gt;VALUE(LASTV))</f>
        <v>0</v>
      </c>
      <c r="S246" s="4" t="b">
        <f ca="1">OR(VALUE(CALC2223!AF245)&gt;VALUE(LASTV),VALUE(CALC2223!AH245)&gt;VALUE(LASTV),VALUE(CALC2223!AJ245)&gt;VALUE(LASTV))</f>
        <v>0</v>
      </c>
      <c r="T246" s="4" t="b">
        <f ca="1">OR(VALUE(CALC2223!AL245)&gt;VALUE(LASTV),VALUE(CALC2223!AN245)&gt;VALUE(LASTV),VALUE(CALC2223!AP245)&gt;VALUE(LASTV))</f>
        <v>0</v>
      </c>
      <c r="U246" s="4" t="b">
        <f ca="1">OR(VALUE(CALC2223!AR245)&gt;VALUE(LASTV),VALUE(CALC2223!AT245)&gt;VALUE(LASTV),VALUE(CALC2223!AV245)&gt;VALUE(LASTV))</f>
        <v>0</v>
      </c>
      <c r="V246" s="1"/>
    </row>
    <row r="247" spans="1:22" ht="35.25" customHeight="1">
      <c r="A247" s="45"/>
      <c r="B247" s="46" t="s">
        <v>24</v>
      </c>
      <c r="C247" s="47">
        <v>46145</v>
      </c>
      <c r="D247" s="48" t="str">
        <f ca="1">CONCATENATE(CALC2223!A246," ",CALC2223!C246," ",CALC2223!E246)</f>
        <v xml:space="preserve">  </v>
      </c>
      <c r="E247" s="48" t="str">
        <f ca="1">CONCATENATE(CALC2223!G246," ",CALC2223!I246," ",CALC2223!K246)</f>
        <v xml:space="preserve">  </v>
      </c>
      <c r="F247" s="48" t="str">
        <f ca="1">CONCATENATE(CALC2223!M246," ",CALC2223!O246," ",CALC2223!Q246)</f>
        <v xml:space="preserve">  </v>
      </c>
      <c r="G247" s="48" t="str">
        <f ca="1">CONCATENATE(CALC2223!S246," ",CALC2223!U246," ",CALC2223!W246)</f>
        <v xml:space="preserve">  </v>
      </c>
      <c r="H247" s="48" t="str">
        <f ca="1">CONCATENATE(CALC2223!Y246," ",CALC2223!AA246," ",CALC2223!AC246)</f>
        <v xml:space="preserve">  </v>
      </c>
      <c r="I247" s="48" t="str">
        <f ca="1">CONCATENATE(CALC2223!AE246," ",CALC2223!AG246," ",CALC2223!AI246)</f>
        <v xml:space="preserve">  </v>
      </c>
      <c r="J247" s="48" t="str">
        <f ca="1">CONCATENATE(CALC2223!AK246," ",CALC2223!AM246," ",CALC2223!AO246)</f>
        <v xml:space="preserve">  </v>
      </c>
      <c r="K247" s="48" t="str">
        <f ca="1">CONCATENATE(CALC2223!AQ246," ",CALC2223!AS246," ",CALC2223!AU246," ",CALC2223!AW246)</f>
        <v xml:space="preserve">   </v>
      </c>
      <c r="L247" s="49" t="str">
        <f t="shared" ca="1" si="0"/>
        <v>actueel</v>
      </c>
      <c r="M247" s="1"/>
      <c r="N247" s="4" t="b">
        <f ca="1">OR(VALUE(CALC2223!B246)&gt;VALUE(LASTV),VALUE(CALC2223!D246)&gt;VALUE(LASTV),VALUE(CALC2223!F246)&gt;VALUE(LASTV))</f>
        <v>0</v>
      </c>
      <c r="O247" s="4" t="b">
        <f ca="1">OR(VALUE(CALC2223!H246)&gt;VALUE(LASTV),VALUE(CALC2223!J246)&gt;VALUE(LASTV),VALUE(CALC2223!L246)&gt;VALUE(LASTV))</f>
        <v>0</v>
      </c>
      <c r="P247" s="4" t="b">
        <f ca="1">OR(VALUE(CALC2223!N246)&gt;VALUE(LASTV),VALUE(CALC2223!P246)&gt;VALUE(LASTV),VALUE(CALC2223!R246)&gt;VALUE(LASTV))</f>
        <v>0</v>
      </c>
      <c r="Q247" s="4" t="b">
        <f ca="1">OR(VALUE(CALC2223!T246)&gt;VALUE(LASTV),VALUE(CALC2223!V246)&gt;VALUE(LASTV),VALUE(CALC2223!X246)&gt;VALUE(LASTV))</f>
        <v>0</v>
      </c>
      <c r="R247" s="4" t="b">
        <f ca="1">OR(VALUE(CALC2223!Z246)&gt;VALUE(LASTV),VALUE(CALC2223!AB246)&gt;VALUE(LASTV),VALUE(CALC2223!AD246)&gt;VALUE(LASTV))</f>
        <v>0</v>
      </c>
      <c r="S247" s="4" t="b">
        <f ca="1">OR(VALUE(CALC2223!AF246)&gt;VALUE(LASTV),VALUE(CALC2223!AH246)&gt;VALUE(LASTV),VALUE(CALC2223!AJ246)&gt;VALUE(LASTV))</f>
        <v>0</v>
      </c>
      <c r="T247" s="4" t="b">
        <f ca="1">OR(VALUE(CALC2223!AL246)&gt;VALUE(LASTV),VALUE(CALC2223!AN246)&gt;VALUE(LASTV),VALUE(CALC2223!AP246)&gt;VALUE(LASTV))</f>
        <v>0</v>
      </c>
      <c r="U247" s="4" t="b">
        <f ca="1">OR(VALUE(CALC2223!AR246)&gt;VALUE(LASTV),VALUE(CALC2223!AT246)&gt;VALUE(LASTV),VALUE(CALC2223!AV246)&gt;VALUE(LASTV))</f>
        <v>0</v>
      </c>
      <c r="V247" s="1"/>
    </row>
    <row r="248" spans="1:22" ht="35.25" customHeight="1">
      <c r="A248" s="53">
        <v>19</v>
      </c>
      <c r="B248" s="54" t="s">
        <v>18</v>
      </c>
      <c r="C248" s="55">
        <v>46146</v>
      </c>
      <c r="D248" s="56" t="str">
        <f ca="1">CONCATENATE(CALC2223!A247," ",CALC2223!C247," ",CALC2223!E247)</f>
        <v xml:space="preserve">  </v>
      </c>
      <c r="E248" s="56" t="str">
        <f ca="1">CONCATENATE(CALC2223!G247," ",CALC2223!I247," ",CALC2223!K247)</f>
        <v xml:space="preserve">  </v>
      </c>
      <c r="F248" s="56" t="str">
        <f ca="1">CONCATENATE(CALC2223!M247," ",CALC2223!O247," ",CALC2223!Q247)</f>
        <v xml:space="preserve">  </v>
      </c>
      <c r="G248" s="56" t="str">
        <f ca="1">CONCATENATE(CALC2223!S247," ",CALC2223!U247," ",CALC2223!W247)</f>
        <v xml:space="preserve">  </v>
      </c>
      <c r="H248" s="56" t="str">
        <f ca="1">CONCATENATE(CALC2223!Y247," ",CALC2223!AA247," ",CALC2223!AC247)</f>
        <v xml:space="preserve">  </v>
      </c>
      <c r="I248" s="56" t="str">
        <f ca="1">CONCATENATE(CALC2223!AE247," ",CALC2223!AG247," ",CALC2223!AI247)</f>
        <v xml:space="preserve">  </v>
      </c>
      <c r="J248" s="56" t="str">
        <f ca="1">CONCATENATE(CALC2223!AK247," ",CALC2223!AM247," ",CALC2223!AO247)</f>
        <v xml:space="preserve">  </v>
      </c>
      <c r="K248" s="56" t="str">
        <f ca="1">CONCATENATE(CALC2223!AQ247," ",CALC2223!AS247," ",CALC2223!AU247," ",CALC2223!AW247)</f>
        <v xml:space="preserve">   meivakantie</v>
      </c>
      <c r="L248" s="57" t="str">
        <f t="shared" ca="1" si="0"/>
        <v>actueel</v>
      </c>
      <c r="M248" s="1"/>
      <c r="N248" s="4" t="b">
        <f ca="1">OR(VALUE(CALC2223!B247)&gt;VALUE(LASTV),VALUE(CALC2223!D247)&gt;VALUE(LASTV),VALUE(CALC2223!F247)&gt;VALUE(LASTV))</f>
        <v>0</v>
      </c>
      <c r="O248" s="4" t="b">
        <f ca="1">OR(VALUE(CALC2223!H247)&gt;VALUE(LASTV),VALUE(CALC2223!J247)&gt;VALUE(LASTV),VALUE(CALC2223!L247)&gt;VALUE(LASTV))</f>
        <v>0</v>
      </c>
      <c r="P248" s="4" t="b">
        <f ca="1">OR(VALUE(CALC2223!N247)&gt;VALUE(LASTV),VALUE(CALC2223!P247)&gt;VALUE(LASTV),VALUE(CALC2223!R247)&gt;VALUE(LASTV))</f>
        <v>0</v>
      </c>
      <c r="Q248" s="4" t="b">
        <f ca="1">OR(VALUE(CALC2223!T247)&gt;VALUE(LASTV),VALUE(CALC2223!V247)&gt;VALUE(LASTV),VALUE(CALC2223!X247)&gt;VALUE(LASTV))</f>
        <v>0</v>
      </c>
      <c r="R248" s="4" t="b">
        <f ca="1">OR(VALUE(CALC2223!Z247)&gt;VALUE(LASTV),VALUE(CALC2223!AB247)&gt;VALUE(LASTV),VALUE(CALC2223!AD247)&gt;VALUE(LASTV))</f>
        <v>0</v>
      </c>
      <c r="S248" s="4" t="b">
        <f ca="1">OR(VALUE(CALC2223!AF247)&gt;VALUE(LASTV),VALUE(CALC2223!AH247)&gt;VALUE(LASTV),VALUE(CALC2223!AJ247)&gt;VALUE(LASTV))</f>
        <v>0</v>
      </c>
      <c r="T248" s="4" t="b">
        <f ca="1">OR(VALUE(CALC2223!AL247)&gt;VALUE(LASTV),VALUE(CALC2223!AN247)&gt;VALUE(LASTV),VALUE(CALC2223!AP247)&gt;VALUE(LASTV))</f>
        <v>0</v>
      </c>
      <c r="U248" s="4" t="b">
        <f ca="1">OR(VALUE(CALC2223!AR247)&gt;VALUE(LASTV),VALUE(CALC2223!AT247)&gt;VALUE(LASTV),VALUE(CALC2223!AV247)&gt;VALUE(LASTV))</f>
        <v>0</v>
      </c>
      <c r="V248" s="1"/>
    </row>
    <row r="249" spans="1:22" ht="35.25" customHeight="1">
      <c r="A249" s="75"/>
      <c r="B249" s="76" t="s">
        <v>19</v>
      </c>
      <c r="C249" s="77">
        <v>46147</v>
      </c>
      <c r="D249" s="78" t="str">
        <f ca="1">CONCATENATE(CALC2223!A248," ",CALC2223!C248," ",CALC2223!E248)</f>
        <v xml:space="preserve">  </v>
      </c>
      <c r="E249" s="78" t="str">
        <f ca="1">CONCATENATE(CALC2223!G248," ",CALC2223!I248," ",CALC2223!K248)</f>
        <v xml:space="preserve">  </v>
      </c>
      <c r="F249" s="78" t="str">
        <f ca="1">CONCATENATE(CALC2223!M248," ",CALC2223!O248," ",CALC2223!Q248)</f>
        <v xml:space="preserve">  </v>
      </c>
      <c r="G249" s="78" t="str">
        <f ca="1">CONCATENATE(CALC2223!S248," ",CALC2223!U248," ",CALC2223!W248)</f>
        <v xml:space="preserve">  </v>
      </c>
      <c r="H249" s="78" t="str">
        <f ca="1">CONCATENATE(CALC2223!Y248," ",CALC2223!AA248," ",CALC2223!AC248)</f>
        <v xml:space="preserve">  </v>
      </c>
      <c r="I249" s="78" t="str">
        <f ca="1">CONCATENATE(CALC2223!AE248," ",CALC2223!AG248," ",CALC2223!AI248)</f>
        <v xml:space="preserve">  </v>
      </c>
      <c r="J249" s="78" t="str">
        <f ca="1">CONCATENATE(CALC2223!AK248," ",CALC2223!AM248," ",CALC2223!AO248)</f>
        <v xml:space="preserve">  </v>
      </c>
      <c r="K249" s="78" t="str">
        <f ca="1">CONCATENATE(CALC2223!AQ248," ",CALC2223!AS248," ",CALC2223!AU248," ",CALC2223!AW248)</f>
        <v xml:space="preserve">bevrijdingsdag   </v>
      </c>
      <c r="L249" s="79" t="str">
        <f t="shared" ca="1" si="0"/>
        <v>actueel</v>
      </c>
      <c r="M249" s="1"/>
      <c r="N249" s="4" t="b">
        <f ca="1">OR(VALUE(CALC2223!B248)&gt;VALUE(LASTV),VALUE(CALC2223!D248)&gt;VALUE(LASTV),VALUE(CALC2223!F248)&gt;VALUE(LASTV))</f>
        <v>0</v>
      </c>
      <c r="O249" s="4" t="b">
        <f ca="1">OR(VALUE(CALC2223!H248)&gt;VALUE(LASTV),VALUE(CALC2223!J248)&gt;VALUE(LASTV),VALUE(CALC2223!L248)&gt;VALUE(LASTV))</f>
        <v>0</v>
      </c>
      <c r="P249" s="4" t="b">
        <f ca="1">OR(VALUE(CALC2223!N248)&gt;VALUE(LASTV),VALUE(CALC2223!P248)&gt;VALUE(LASTV),VALUE(CALC2223!R248)&gt;VALUE(LASTV))</f>
        <v>0</v>
      </c>
      <c r="Q249" s="4" t="b">
        <f ca="1">OR(VALUE(CALC2223!T248)&gt;VALUE(LASTV),VALUE(CALC2223!V248)&gt;VALUE(LASTV),VALUE(CALC2223!X248)&gt;VALUE(LASTV))</f>
        <v>0</v>
      </c>
      <c r="R249" s="4" t="b">
        <f ca="1">OR(VALUE(CALC2223!Z248)&gt;VALUE(LASTV),VALUE(CALC2223!AB248)&gt;VALUE(LASTV),VALUE(CALC2223!AD248)&gt;VALUE(LASTV))</f>
        <v>0</v>
      </c>
      <c r="S249" s="4" t="b">
        <f ca="1">OR(VALUE(CALC2223!AF248)&gt;VALUE(LASTV),VALUE(CALC2223!AH248)&gt;VALUE(LASTV),VALUE(CALC2223!AJ248)&gt;VALUE(LASTV))</f>
        <v>0</v>
      </c>
      <c r="T249" s="4" t="b">
        <f ca="1">OR(VALUE(CALC2223!AL248)&gt;VALUE(LASTV),VALUE(CALC2223!AN248)&gt;VALUE(LASTV),VALUE(CALC2223!AP248)&gt;VALUE(LASTV))</f>
        <v>0</v>
      </c>
      <c r="U249" s="4" t="b">
        <f ca="1">OR(VALUE(CALC2223!AR248)&gt;VALUE(LASTV),VALUE(CALC2223!AT248)&gt;VALUE(LASTV),VALUE(CALC2223!AV248)&gt;VALUE(LASTV))</f>
        <v>0</v>
      </c>
      <c r="V249" s="1"/>
    </row>
    <row r="250" spans="1:22" ht="35.25" customHeight="1">
      <c r="A250" s="40"/>
      <c r="B250" s="41" t="s">
        <v>20</v>
      </c>
      <c r="C250" s="42">
        <v>46148</v>
      </c>
      <c r="D250" s="43" t="str">
        <f ca="1">CONCATENATE(CALC2223!A249," ",CALC2223!C249," ",CALC2223!E249)</f>
        <v xml:space="preserve">  </v>
      </c>
      <c r="E250" s="43" t="str">
        <f ca="1">CONCATENATE(CALC2223!G249," ",CALC2223!I249," ",CALC2223!K249)</f>
        <v xml:space="preserve">  </v>
      </c>
      <c r="F250" s="43" t="str">
        <f ca="1">CONCATENATE(CALC2223!M249," ",CALC2223!O249," ",CALC2223!Q249)</f>
        <v xml:space="preserve">  </v>
      </c>
      <c r="G250" s="43" t="str">
        <f ca="1">CONCATENATE(CALC2223!S249," ",CALC2223!U249," ",CALC2223!W249)</f>
        <v xml:space="preserve">  </v>
      </c>
      <c r="H250" s="43" t="str">
        <f ca="1">CONCATENATE(CALC2223!Y249," ",CALC2223!AA249," ",CALC2223!AC249)</f>
        <v xml:space="preserve">  </v>
      </c>
      <c r="I250" s="43" t="str">
        <f ca="1">CONCATENATE(CALC2223!AE249," ",CALC2223!AG249," ",CALC2223!AI249)</f>
        <v xml:space="preserve">  </v>
      </c>
      <c r="J250" s="43" t="str">
        <f ca="1">CONCATENATE(CALC2223!AK249," ",CALC2223!AM249," ",CALC2223!AO249)</f>
        <v xml:space="preserve">30'rooster/leerlingbespreking lj1  </v>
      </c>
      <c r="K250" s="43" t="str">
        <f ca="1">CONCATENATE(CALC2223!AQ249," ",CALC2223!AS249," ",CALC2223!AU249," ",CALC2223!AW249)</f>
        <v xml:space="preserve">start gymlessen buiten   </v>
      </c>
      <c r="L250" s="44" t="str">
        <f t="shared" ca="1" si="0"/>
        <v>actueel</v>
      </c>
      <c r="M250" s="1"/>
      <c r="N250" s="4" t="b">
        <f ca="1">OR(VALUE(CALC2223!B249)&gt;VALUE(LASTV),VALUE(CALC2223!D249)&gt;VALUE(LASTV),VALUE(CALC2223!F249)&gt;VALUE(LASTV))</f>
        <v>0</v>
      </c>
      <c r="O250" s="4" t="b">
        <f ca="1">OR(VALUE(CALC2223!H249)&gt;VALUE(LASTV),VALUE(CALC2223!J249)&gt;VALUE(LASTV),VALUE(CALC2223!L249)&gt;VALUE(LASTV))</f>
        <v>0</v>
      </c>
      <c r="P250" s="4" t="b">
        <f ca="1">OR(VALUE(CALC2223!N249)&gt;VALUE(LASTV),VALUE(CALC2223!P249)&gt;VALUE(LASTV),VALUE(CALC2223!R249)&gt;VALUE(LASTV))</f>
        <v>0</v>
      </c>
      <c r="Q250" s="4" t="b">
        <f ca="1">OR(VALUE(CALC2223!T249)&gt;VALUE(LASTV),VALUE(CALC2223!V249)&gt;VALUE(LASTV),VALUE(CALC2223!X249)&gt;VALUE(LASTV))</f>
        <v>0</v>
      </c>
      <c r="R250" s="4" t="b">
        <f ca="1">OR(VALUE(CALC2223!Z249)&gt;VALUE(LASTV),VALUE(CALC2223!AB249)&gt;VALUE(LASTV),VALUE(CALC2223!AD249)&gt;VALUE(LASTV))</f>
        <v>0</v>
      </c>
      <c r="S250" s="4" t="b">
        <f ca="1">OR(VALUE(CALC2223!AF249)&gt;VALUE(LASTV),VALUE(CALC2223!AH249)&gt;VALUE(LASTV),VALUE(CALC2223!AJ249)&gt;VALUE(LASTV))</f>
        <v>0</v>
      </c>
      <c r="T250" s="4" t="b">
        <f ca="1">OR(VALUE(CALC2223!AL249)&gt;VALUE(LASTV),VALUE(CALC2223!AN249)&gt;VALUE(LASTV),VALUE(CALC2223!AP249)&gt;VALUE(LASTV))</f>
        <v>0</v>
      </c>
      <c r="U250" s="4" t="b">
        <f ca="1">OR(VALUE(CALC2223!AR249)&gt;VALUE(LASTV),VALUE(CALC2223!AT249)&gt;VALUE(LASTV),VALUE(CALC2223!AV249)&gt;VALUE(LASTV))</f>
        <v>0</v>
      </c>
      <c r="V250" s="1"/>
    </row>
    <row r="251" spans="1:22" ht="35.25" customHeight="1">
      <c r="A251" s="40"/>
      <c r="B251" s="41" t="s">
        <v>21</v>
      </c>
      <c r="C251" s="42">
        <v>46149</v>
      </c>
      <c r="D251" s="43" t="str">
        <f ca="1">CONCATENATE(CALC2223!A250," ",CALC2223!C250," ",CALC2223!E250)</f>
        <v xml:space="preserve">  </v>
      </c>
      <c r="E251" s="43" t="str">
        <f ca="1">CONCATENATE(CALC2223!G250," ",CALC2223!I250," ",CALC2223!K250)</f>
        <v xml:space="preserve">  </v>
      </c>
      <c r="F251" s="43" t="str">
        <f ca="1">CONCATENATE(CALC2223!M250," ",CALC2223!O250," ",CALC2223!Q250)</f>
        <v xml:space="preserve">Rep WIS  </v>
      </c>
      <c r="G251" s="43" t="str">
        <f ca="1">CONCATENATE(CALC2223!S250," ",CALC2223!U250," ",CALC2223!W250)</f>
        <v xml:space="preserve">inh rep EN  </v>
      </c>
      <c r="H251" s="43" t="str">
        <f ca="1">CONCATENATE(CALC2223!Y250," ",CALC2223!AA250," ",CALC2223!AC250)</f>
        <v xml:space="preserve">inh SE GS  </v>
      </c>
      <c r="I251" s="43" t="str">
        <f ca="1">CONCATENATE(CALC2223!AE250," ",CALC2223!AG250," ",CALC2223!AI250)</f>
        <v xml:space="preserve">  </v>
      </c>
      <c r="J251" s="43" t="str">
        <f ca="1">CONCATENATE(CALC2223!AK250," ",CALC2223!AM250," ",CALC2223!AO250)</f>
        <v xml:space="preserve">30'rooster/leerlingbespreking lj3/commissies#7/MR#4  </v>
      </c>
      <c r="K251" s="43" t="str">
        <f ca="1">CONCATENATE(CALC2223!AQ250," ",CALC2223!AS250," ",CALC2223!AU250," ",CALC2223!AW250)</f>
        <v xml:space="preserve">   </v>
      </c>
      <c r="L251" s="44" t="str">
        <f t="shared" ca="1" si="0"/>
        <v>actueel</v>
      </c>
      <c r="M251" s="1"/>
      <c r="N251" s="4" t="b">
        <f ca="1">OR(VALUE(CALC2223!B250)&gt;VALUE(LASTV),VALUE(CALC2223!D250)&gt;VALUE(LASTV),VALUE(CALC2223!F250)&gt;VALUE(LASTV))</f>
        <v>0</v>
      </c>
      <c r="O251" s="4" t="b">
        <f ca="1">OR(VALUE(CALC2223!H250)&gt;VALUE(LASTV),VALUE(CALC2223!J250)&gt;VALUE(LASTV),VALUE(CALC2223!L250)&gt;VALUE(LASTV))</f>
        <v>0</v>
      </c>
      <c r="P251" s="4" t="b">
        <f ca="1">OR(VALUE(CALC2223!N250)&gt;VALUE(LASTV),VALUE(CALC2223!P250)&gt;VALUE(LASTV),VALUE(CALC2223!R250)&gt;VALUE(LASTV))</f>
        <v>0</v>
      </c>
      <c r="Q251" s="4" t="b">
        <f ca="1">OR(VALUE(CALC2223!T250)&gt;VALUE(LASTV),VALUE(CALC2223!V250)&gt;VALUE(LASTV),VALUE(CALC2223!X250)&gt;VALUE(LASTV))</f>
        <v>0</v>
      </c>
      <c r="R251" s="4" t="b">
        <f ca="1">OR(VALUE(CALC2223!Z250)&gt;VALUE(LASTV),VALUE(CALC2223!AB250)&gt;VALUE(LASTV),VALUE(CALC2223!AD250)&gt;VALUE(LASTV))</f>
        <v>0</v>
      </c>
      <c r="S251" s="4" t="b">
        <f ca="1">OR(VALUE(CALC2223!AF250)&gt;VALUE(LASTV),VALUE(CALC2223!AH250)&gt;VALUE(LASTV),VALUE(CALC2223!AJ250)&gt;VALUE(LASTV))</f>
        <v>0</v>
      </c>
      <c r="T251" s="4" t="b">
        <f ca="1">OR(VALUE(CALC2223!AL250)&gt;VALUE(LASTV),VALUE(CALC2223!AN250)&gt;VALUE(LASTV),VALUE(CALC2223!AP250)&gt;VALUE(LASTV))</f>
        <v>0</v>
      </c>
      <c r="U251" s="4" t="b">
        <f ca="1">OR(VALUE(CALC2223!AR250)&gt;VALUE(LASTV),VALUE(CALC2223!AT250)&gt;VALUE(LASTV),VALUE(CALC2223!AV250)&gt;VALUE(LASTV))</f>
        <v>0</v>
      </c>
      <c r="V251" s="1"/>
    </row>
    <row r="252" spans="1:22" ht="35.25" customHeight="1">
      <c r="A252" s="40"/>
      <c r="B252" s="41" t="s">
        <v>22</v>
      </c>
      <c r="C252" s="42">
        <v>46150</v>
      </c>
      <c r="D252" s="43" t="str">
        <f ca="1">CONCATENATE(CALC2223!A251," ",CALC2223!C251," ",CALC2223!E251)</f>
        <v xml:space="preserve">  </v>
      </c>
      <c r="E252" s="43" t="str">
        <f ca="1">CONCATENATE(CALC2223!G251," ",CALC2223!I251," ",CALC2223!K251)</f>
        <v xml:space="preserve">  </v>
      </c>
      <c r="F252" s="43" t="str">
        <f ca="1">CONCATENATE(CALC2223!M251," ",CALC2223!O251," ",CALC2223!Q251)</f>
        <v xml:space="preserve">  </v>
      </c>
      <c r="G252" s="43" t="str">
        <f ca="1">CONCATENATE(CALC2223!S251," ",CALC2223!U251," ",CALC2223!W251)</f>
        <v xml:space="preserve">Rep WIABC  </v>
      </c>
      <c r="H252" s="43" t="str">
        <f ca="1">CONCATENATE(CALC2223!Y251," ",CALC2223!AA251," ",CALC2223!AC251)</f>
        <v xml:space="preserve">  </v>
      </c>
      <c r="I252" s="43" t="str">
        <f ca="1">CONCATENATE(CALC2223!AE251," ",CALC2223!AG251," ",CALC2223!AI251)</f>
        <v xml:space="preserve">KUA/BE  </v>
      </c>
      <c r="J252" s="43" t="str">
        <f ca="1">CONCATENATE(CALC2223!AK251," ",CALC2223!AM251," ",CALC2223!AO251)</f>
        <v xml:space="preserve">30'rooster/leerlingbespreking lj2  </v>
      </c>
      <c r="K252" s="43" t="str">
        <f ca="1">CONCATENATE(CALC2223!AQ251," ",CALC2223!AS251," ",CALC2223!AU251," ",CALC2223!AW251)</f>
        <v xml:space="preserve">start Centraal examen   </v>
      </c>
      <c r="L252" s="44" t="str">
        <f t="shared" ca="1" si="0"/>
        <v>actueel</v>
      </c>
      <c r="M252" s="1"/>
      <c r="N252" s="4" t="b">
        <f ca="1">OR(VALUE(CALC2223!B251)&gt;VALUE(LASTV),VALUE(CALC2223!D251)&gt;VALUE(LASTV),VALUE(CALC2223!F251)&gt;VALUE(LASTV))</f>
        <v>0</v>
      </c>
      <c r="O252" s="4" t="b">
        <f ca="1">OR(VALUE(CALC2223!H251)&gt;VALUE(LASTV),VALUE(CALC2223!J251)&gt;VALUE(LASTV),VALUE(CALC2223!L251)&gt;VALUE(LASTV))</f>
        <v>0</v>
      </c>
      <c r="P252" s="4" t="b">
        <f ca="1">OR(VALUE(CALC2223!N251)&gt;VALUE(LASTV),VALUE(CALC2223!P251)&gt;VALUE(LASTV),VALUE(CALC2223!R251)&gt;VALUE(LASTV))</f>
        <v>0</v>
      </c>
      <c r="Q252" s="4" t="b">
        <f ca="1">OR(VALUE(CALC2223!T251)&gt;VALUE(LASTV),VALUE(CALC2223!V251)&gt;VALUE(LASTV),VALUE(CALC2223!X251)&gt;VALUE(LASTV))</f>
        <v>0</v>
      </c>
      <c r="R252" s="4" t="b">
        <f ca="1">OR(VALUE(CALC2223!Z251)&gt;VALUE(LASTV),VALUE(CALC2223!AB251)&gt;VALUE(LASTV),VALUE(CALC2223!AD251)&gt;VALUE(LASTV))</f>
        <v>0</v>
      </c>
      <c r="S252" s="4" t="b">
        <f ca="1">OR(VALUE(CALC2223!AF251)&gt;VALUE(LASTV),VALUE(CALC2223!AH251)&gt;VALUE(LASTV),VALUE(CALC2223!AJ251)&gt;VALUE(LASTV))</f>
        <v>0</v>
      </c>
      <c r="T252" s="4" t="b">
        <f ca="1">OR(VALUE(CALC2223!AL251)&gt;VALUE(LASTV),VALUE(CALC2223!AN251)&gt;VALUE(LASTV),VALUE(CALC2223!AP251)&gt;VALUE(LASTV))</f>
        <v>0</v>
      </c>
      <c r="U252" s="4" t="b">
        <f ca="1">OR(VALUE(CALC2223!AR251)&gt;VALUE(LASTV),VALUE(CALC2223!AT251)&gt;VALUE(LASTV),VALUE(CALC2223!AV251)&gt;VALUE(LASTV))</f>
        <v>0</v>
      </c>
      <c r="V252" s="1"/>
    </row>
    <row r="253" spans="1:22" ht="35.25" customHeight="1">
      <c r="A253" s="45"/>
      <c r="B253" s="46" t="s">
        <v>23</v>
      </c>
      <c r="C253" s="47">
        <v>46151</v>
      </c>
      <c r="D253" s="48" t="str">
        <f ca="1">CONCATENATE(CALC2223!A252," ",CALC2223!C252," ",CALC2223!E252)</f>
        <v xml:space="preserve">  </v>
      </c>
      <c r="E253" s="48" t="str">
        <f ca="1">CONCATENATE(CALC2223!G252," ",CALC2223!I252," ",CALC2223!K252)</f>
        <v xml:space="preserve">  </v>
      </c>
      <c r="F253" s="48" t="str">
        <f ca="1">CONCATENATE(CALC2223!M252," ",CALC2223!O252," ",CALC2223!Q252)</f>
        <v xml:space="preserve">  </v>
      </c>
      <c r="G253" s="48" t="str">
        <f ca="1">CONCATENATE(CALC2223!S252," ",CALC2223!U252," ",CALC2223!W252)</f>
        <v xml:space="preserve">  </v>
      </c>
      <c r="H253" s="48" t="str">
        <f ca="1">CONCATENATE(CALC2223!Y252," ",CALC2223!AA252," ",CALC2223!AC252)</f>
        <v xml:space="preserve">  </v>
      </c>
      <c r="I253" s="48" t="str">
        <f ca="1">CONCATENATE(CALC2223!AE252," ",CALC2223!AG252," ",CALC2223!AI252)</f>
        <v xml:space="preserve">  </v>
      </c>
      <c r="J253" s="48" t="str">
        <f ca="1">CONCATENATE(CALC2223!AK252," ",CALC2223!AM252," ",CALC2223!AO252)</f>
        <v xml:space="preserve">  </v>
      </c>
      <c r="K253" s="48" t="str">
        <f ca="1">CONCATENATE(CALC2223!AQ252," ",CALC2223!AS252," ",CALC2223!AU252," ",CALC2223!AW252)</f>
        <v xml:space="preserve">   </v>
      </c>
      <c r="L253" s="49" t="str">
        <f t="shared" ca="1" si="0"/>
        <v>actueel</v>
      </c>
      <c r="M253" s="1"/>
      <c r="N253" s="4" t="b">
        <f ca="1">OR(VALUE(CALC2223!B252)&gt;VALUE(LASTV),VALUE(CALC2223!D252)&gt;VALUE(LASTV),VALUE(CALC2223!F252)&gt;VALUE(LASTV))</f>
        <v>0</v>
      </c>
      <c r="O253" s="4" t="b">
        <f ca="1">OR(VALUE(CALC2223!H252)&gt;VALUE(LASTV),VALUE(CALC2223!J252)&gt;VALUE(LASTV),VALUE(CALC2223!L252)&gt;VALUE(LASTV))</f>
        <v>0</v>
      </c>
      <c r="P253" s="4" t="b">
        <f ca="1">OR(VALUE(CALC2223!N252)&gt;VALUE(LASTV),VALUE(CALC2223!P252)&gt;VALUE(LASTV),VALUE(CALC2223!R252)&gt;VALUE(LASTV))</f>
        <v>0</v>
      </c>
      <c r="Q253" s="4" t="b">
        <f ca="1">OR(VALUE(CALC2223!T252)&gt;VALUE(LASTV),VALUE(CALC2223!V252)&gt;VALUE(LASTV),VALUE(CALC2223!X252)&gt;VALUE(LASTV))</f>
        <v>0</v>
      </c>
      <c r="R253" s="4" t="b">
        <f ca="1">OR(VALUE(CALC2223!Z252)&gt;VALUE(LASTV),VALUE(CALC2223!AB252)&gt;VALUE(LASTV),VALUE(CALC2223!AD252)&gt;VALUE(LASTV))</f>
        <v>0</v>
      </c>
      <c r="S253" s="4" t="b">
        <f ca="1">OR(VALUE(CALC2223!AF252)&gt;VALUE(LASTV),VALUE(CALC2223!AH252)&gt;VALUE(LASTV),VALUE(CALC2223!AJ252)&gt;VALUE(LASTV))</f>
        <v>0</v>
      </c>
      <c r="T253" s="4" t="b">
        <f ca="1">OR(VALUE(CALC2223!AL252)&gt;VALUE(LASTV),VALUE(CALC2223!AN252)&gt;VALUE(LASTV),VALUE(CALC2223!AP252)&gt;VALUE(LASTV))</f>
        <v>0</v>
      </c>
      <c r="U253" s="4" t="b">
        <f ca="1">OR(VALUE(CALC2223!AR252)&gt;VALUE(LASTV),VALUE(CALC2223!AT252)&gt;VALUE(LASTV),VALUE(CALC2223!AV252)&gt;VALUE(LASTV))</f>
        <v>0</v>
      </c>
      <c r="V253" s="1"/>
    </row>
    <row r="254" spans="1:22" ht="35.25" customHeight="1">
      <c r="A254" s="45"/>
      <c r="B254" s="46" t="s">
        <v>24</v>
      </c>
      <c r="C254" s="47">
        <v>46152</v>
      </c>
      <c r="D254" s="48" t="str">
        <f ca="1">CONCATENATE(CALC2223!A253," ",CALC2223!C253," ",CALC2223!E253)</f>
        <v xml:space="preserve">  </v>
      </c>
      <c r="E254" s="48" t="str">
        <f ca="1">CONCATENATE(CALC2223!G253," ",CALC2223!I253," ",CALC2223!K253)</f>
        <v xml:space="preserve">  </v>
      </c>
      <c r="F254" s="48" t="str">
        <f ca="1">CONCATENATE(CALC2223!M253," ",CALC2223!O253," ",CALC2223!Q253)</f>
        <v xml:space="preserve">  </v>
      </c>
      <c r="G254" s="48" t="str">
        <f ca="1">CONCATENATE(CALC2223!S253," ",CALC2223!U253," ",CALC2223!W253)</f>
        <v xml:space="preserve">  </v>
      </c>
      <c r="H254" s="48" t="str">
        <f ca="1">CONCATENATE(CALC2223!Y253," ",CALC2223!AA253," ",CALC2223!AC253)</f>
        <v xml:space="preserve">  </v>
      </c>
      <c r="I254" s="48" t="str">
        <f ca="1">CONCATENATE(CALC2223!AE253," ",CALC2223!AG253," ",CALC2223!AI253)</f>
        <v xml:space="preserve">  </v>
      </c>
      <c r="J254" s="48" t="str">
        <f ca="1">CONCATENATE(CALC2223!AK253," ",CALC2223!AM253," ",CALC2223!AO253)</f>
        <v xml:space="preserve">  </v>
      </c>
      <c r="K254" s="48" t="str">
        <f ca="1">CONCATENATE(CALC2223!AQ253," ",CALC2223!AS253," ",CALC2223!AU253," ",CALC2223!AW253)</f>
        <v xml:space="preserve">   </v>
      </c>
      <c r="L254" s="49" t="str">
        <f t="shared" ca="1" si="0"/>
        <v>actueel</v>
      </c>
      <c r="M254" s="1"/>
      <c r="N254" s="4" t="b">
        <f ca="1">OR(VALUE(CALC2223!B253)&gt;VALUE(LASTV),VALUE(CALC2223!D253)&gt;VALUE(LASTV),VALUE(CALC2223!F253)&gt;VALUE(LASTV))</f>
        <v>0</v>
      </c>
      <c r="O254" s="4" t="b">
        <f ca="1">OR(VALUE(CALC2223!H253)&gt;VALUE(LASTV),VALUE(CALC2223!J253)&gt;VALUE(LASTV),VALUE(CALC2223!L253)&gt;VALUE(LASTV))</f>
        <v>0</v>
      </c>
      <c r="P254" s="4" t="b">
        <f ca="1">OR(VALUE(CALC2223!N253)&gt;VALUE(LASTV),VALUE(CALC2223!P253)&gt;VALUE(LASTV),VALUE(CALC2223!R253)&gt;VALUE(LASTV))</f>
        <v>0</v>
      </c>
      <c r="Q254" s="4" t="b">
        <f ca="1">OR(VALUE(CALC2223!T253)&gt;VALUE(LASTV),VALUE(CALC2223!V253)&gt;VALUE(LASTV),VALUE(CALC2223!X253)&gt;VALUE(LASTV))</f>
        <v>0</v>
      </c>
      <c r="R254" s="4" t="b">
        <f ca="1">OR(VALUE(CALC2223!Z253)&gt;VALUE(LASTV),VALUE(CALC2223!AB253)&gt;VALUE(LASTV),VALUE(CALC2223!AD253)&gt;VALUE(LASTV))</f>
        <v>0</v>
      </c>
      <c r="S254" s="4" t="b">
        <f ca="1">OR(VALUE(CALC2223!AF253)&gt;VALUE(LASTV),VALUE(CALC2223!AH253)&gt;VALUE(LASTV),VALUE(CALC2223!AJ253)&gt;VALUE(LASTV))</f>
        <v>0</v>
      </c>
      <c r="T254" s="4" t="b">
        <f ca="1">OR(VALUE(CALC2223!AL253)&gt;VALUE(LASTV),VALUE(CALC2223!AN253)&gt;VALUE(LASTV),VALUE(CALC2223!AP253)&gt;VALUE(LASTV))</f>
        <v>0</v>
      </c>
      <c r="U254" s="4" t="b">
        <f ca="1">OR(VALUE(CALC2223!AR253)&gt;VALUE(LASTV),VALUE(CALC2223!AT253)&gt;VALUE(LASTV),VALUE(CALC2223!AV253)&gt;VALUE(LASTV))</f>
        <v>0</v>
      </c>
      <c r="V254" s="1"/>
    </row>
    <row r="255" spans="1:22" ht="35.25" customHeight="1">
      <c r="A255" s="50">
        <v>20</v>
      </c>
      <c r="B255" s="41" t="s">
        <v>18</v>
      </c>
      <c r="C255" s="42">
        <v>46153</v>
      </c>
      <c r="D255" s="43" t="str">
        <f ca="1">CONCATENATE(CALC2223!A254," ",CALC2223!C254," ",CALC2223!E254)</f>
        <v xml:space="preserve">  </v>
      </c>
      <c r="E255" s="43" t="str">
        <f ca="1">CONCATENATE(CALC2223!G254," ",CALC2223!I254," ",CALC2223!K254)</f>
        <v xml:space="preserve">  </v>
      </c>
      <c r="F255" s="43" t="str">
        <f ca="1">CONCATENATE(CALC2223!M254," ",CALC2223!O254," ",CALC2223!Q254)</f>
        <v xml:space="preserve">  </v>
      </c>
      <c r="G255" s="43" t="str">
        <f ca="1">CONCATENATE(CALC2223!S254," ",CALC2223!U254," ",CALC2223!W254)</f>
        <v xml:space="preserve">inh rep AK  </v>
      </c>
      <c r="H255" s="43" t="str">
        <f ca="1">CONCATENATE(CALC2223!Y254," ",CALC2223!AA254," ",CALC2223!AC254)</f>
        <v xml:space="preserve">Rep WIB en WIA  </v>
      </c>
      <c r="I255" s="43" t="str">
        <f ca="1">CONCATENATE(CALC2223!AE254," ",CALC2223!AG254," ",CALC2223!AI254)</f>
        <v xml:space="preserve">GS/NA  </v>
      </c>
      <c r="J255" s="43" t="str">
        <f ca="1">CONCATENATE(CALC2223!AK254," ",CALC2223!AM254," ",CALC2223!AO254)</f>
        <v xml:space="preserve">les t/m 7e uur/leerlingbespreking lj4 vanaf 14.30u  </v>
      </c>
      <c r="K255" s="43" t="str">
        <f ca="1">CONCATENATE(CALC2223!AQ254," ",CALC2223!AS254," ",CALC2223!AU254," ",CALC2223!AW254)</f>
        <v xml:space="preserve">   </v>
      </c>
      <c r="L255" s="44" t="str">
        <f t="shared" ca="1" si="0"/>
        <v>actueel</v>
      </c>
      <c r="M255" s="1"/>
      <c r="N255" s="4" t="b">
        <f ca="1">OR(VALUE(CALC2223!B254)&gt;VALUE(LASTV),VALUE(CALC2223!D254)&gt;VALUE(LASTV),VALUE(CALC2223!F254)&gt;VALUE(LASTV))</f>
        <v>0</v>
      </c>
      <c r="O255" s="4" t="b">
        <f ca="1">OR(VALUE(CALC2223!H254)&gt;VALUE(LASTV),VALUE(CALC2223!J254)&gt;VALUE(LASTV),VALUE(CALC2223!L254)&gt;VALUE(LASTV))</f>
        <v>0</v>
      </c>
      <c r="P255" s="4" t="b">
        <f ca="1">OR(VALUE(CALC2223!N254)&gt;VALUE(LASTV),VALUE(CALC2223!P254)&gt;VALUE(LASTV),VALUE(CALC2223!R254)&gt;VALUE(LASTV))</f>
        <v>0</v>
      </c>
      <c r="Q255" s="4" t="b">
        <f ca="1">OR(VALUE(CALC2223!T254)&gt;VALUE(LASTV),VALUE(CALC2223!V254)&gt;VALUE(LASTV),VALUE(CALC2223!X254)&gt;VALUE(LASTV))</f>
        <v>0</v>
      </c>
      <c r="R255" s="4" t="b">
        <f ca="1">OR(VALUE(CALC2223!Z254)&gt;VALUE(LASTV),VALUE(CALC2223!AB254)&gt;VALUE(LASTV),VALUE(CALC2223!AD254)&gt;VALUE(LASTV))</f>
        <v>0</v>
      </c>
      <c r="S255" s="4" t="b">
        <f ca="1">OR(VALUE(CALC2223!AF254)&gt;VALUE(LASTV),VALUE(CALC2223!AH254)&gt;VALUE(LASTV),VALUE(CALC2223!AJ254)&gt;VALUE(LASTV))</f>
        <v>0</v>
      </c>
      <c r="T255" s="4" t="b">
        <f ca="1">OR(VALUE(CALC2223!AL254)&gt;VALUE(LASTV),VALUE(CALC2223!AN254)&gt;VALUE(LASTV),VALUE(CALC2223!AP254)&gt;VALUE(LASTV))</f>
        <v>0</v>
      </c>
      <c r="U255" s="4" t="b">
        <f ca="1">OR(VALUE(CALC2223!AR254)&gt;VALUE(LASTV),VALUE(CALC2223!AT254)&gt;VALUE(LASTV),VALUE(CALC2223!AV254)&gt;VALUE(LASTV))</f>
        <v>0</v>
      </c>
      <c r="V255" s="1"/>
    </row>
    <row r="256" spans="1:22" ht="35.25" customHeight="1">
      <c r="A256" s="40"/>
      <c r="B256" s="41" t="s">
        <v>19</v>
      </c>
      <c r="C256" s="42">
        <v>46154</v>
      </c>
      <c r="D256" s="43" t="str">
        <f ca="1">CONCATENATE(CALC2223!A255," ",CALC2223!C255," ",CALC2223!E255)</f>
        <v xml:space="preserve">  </v>
      </c>
      <c r="E256" s="43" t="str">
        <f ca="1">CONCATENATE(CALC2223!G255," ",CALC2223!I255," ",CALC2223!K255)</f>
        <v xml:space="preserve">Rep WIS  </v>
      </c>
      <c r="F256" s="43" t="str">
        <f ca="1">CONCATENATE(CALC2223!M255," ",CALC2223!O255," ",CALC2223!Q255)</f>
        <v xml:space="preserve">  </v>
      </c>
      <c r="G256" s="43" t="str">
        <f ca="1">CONCATENATE(CALC2223!S255," ",CALC2223!U255," ",CALC2223!W255)</f>
        <v xml:space="preserve">Rep BE  </v>
      </c>
      <c r="H256" s="43" t="str">
        <f ca="1">CONCATENATE(CALC2223!Y255," ",CALC2223!AA255," ",CALC2223!AC255)</f>
        <v xml:space="preserve">  </v>
      </c>
      <c r="I256" s="43" t="str">
        <f ca="1">CONCATENATE(CALC2223!AE255," ",CALC2223!AG255," ",CALC2223!AI255)</f>
        <v xml:space="preserve">   /NE  </v>
      </c>
      <c r="J256" s="43" t="str">
        <f ca="1">CONCATENATE(CALC2223!AK255," ",CALC2223!AM255," ",CALC2223!AO255)</f>
        <v xml:space="preserve">  </v>
      </c>
      <c r="K256" s="43" t="str">
        <f ca="1">CONCATENATE(CALC2223!AQ255," ",CALC2223!AS255," ",CALC2223!AU255," ",CALC2223!AW255)</f>
        <v xml:space="preserve">   </v>
      </c>
      <c r="L256" s="44" t="str">
        <f t="shared" ca="1" si="0"/>
        <v>actueel</v>
      </c>
      <c r="M256" s="1"/>
      <c r="N256" s="4" t="b">
        <f ca="1">OR(VALUE(CALC2223!B255)&gt;VALUE(LASTV),VALUE(CALC2223!D255)&gt;VALUE(LASTV),VALUE(CALC2223!F255)&gt;VALUE(LASTV))</f>
        <v>0</v>
      </c>
      <c r="O256" s="4" t="b">
        <f ca="1">OR(VALUE(CALC2223!H255)&gt;VALUE(LASTV),VALUE(CALC2223!J255)&gt;VALUE(LASTV),VALUE(CALC2223!L255)&gt;VALUE(LASTV))</f>
        <v>0</v>
      </c>
      <c r="P256" s="4" t="b">
        <f ca="1">OR(VALUE(CALC2223!N255)&gt;VALUE(LASTV),VALUE(CALC2223!P255)&gt;VALUE(LASTV),VALUE(CALC2223!R255)&gt;VALUE(LASTV))</f>
        <v>0</v>
      </c>
      <c r="Q256" s="4" t="b">
        <f ca="1">OR(VALUE(CALC2223!T255)&gt;VALUE(LASTV),VALUE(CALC2223!V255)&gt;VALUE(LASTV),VALUE(CALC2223!X255)&gt;VALUE(LASTV))</f>
        <v>0</v>
      </c>
      <c r="R256" s="4" t="b">
        <f ca="1">OR(VALUE(CALC2223!Z255)&gt;VALUE(LASTV),VALUE(CALC2223!AB255)&gt;VALUE(LASTV),VALUE(CALC2223!AD255)&gt;VALUE(LASTV))</f>
        <v>0</v>
      </c>
      <c r="S256" s="4" t="b">
        <f ca="1">OR(VALUE(CALC2223!AF255)&gt;VALUE(LASTV),VALUE(CALC2223!AH255)&gt;VALUE(LASTV),VALUE(CALC2223!AJ255)&gt;VALUE(LASTV))</f>
        <v>0</v>
      </c>
      <c r="T256" s="4" t="b">
        <f ca="1">OR(VALUE(CALC2223!AL255)&gt;VALUE(LASTV),VALUE(CALC2223!AN255)&gt;VALUE(LASTV),VALUE(CALC2223!AP255)&gt;VALUE(LASTV))</f>
        <v>0</v>
      </c>
      <c r="U256" s="4" t="b">
        <f ca="1">OR(VALUE(CALC2223!AR255)&gt;VALUE(LASTV),VALUE(CALC2223!AT255)&gt;VALUE(LASTV),VALUE(CALC2223!AV255)&gt;VALUE(LASTV))</f>
        <v>0</v>
      </c>
      <c r="V256" s="1"/>
    </row>
    <row r="257" spans="1:22" ht="35.25" customHeight="1">
      <c r="A257" s="40"/>
      <c r="B257" s="41" t="s">
        <v>20</v>
      </c>
      <c r="C257" s="42">
        <v>46155</v>
      </c>
      <c r="D257" s="43" t="str">
        <f ca="1">CONCATENATE(CALC2223!A256," ",CALC2223!C256," ",CALC2223!E256)</f>
        <v xml:space="preserve">Rep GES  </v>
      </c>
      <c r="E257" s="43" t="str">
        <f ca="1">CONCATENATE(CALC2223!G256," ",CALC2223!I256," ",CALC2223!K256)</f>
        <v xml:space="preserve">  </v>
      </c>
      <c r="F257" s="43" t="str">
        <f ca="1">CONCATENATE(CALC2223!M256," ",CALC2223!O256," ",CALC2223!Q256)</f>
        <v xml:space="preserve">  </v>
      </c>
      <c r="G257" s="43" t="str">
        <f ca="1">CONCATENATE(CALC2223!S256," ",CALC2223!U256," ",CALC2223!W256)</f>
        <v xml:space="preserve">inh Rep BIO  </v>
      </c>
      <c r="H257" s="43" t="str">
        <f ca="1">CONCATENATE(CALC2223!Y256," ",CALC2223!AA256," ",CALC2223!AC256)</f>
        <v xml:space="preserve">SE MAAT  </v>
      </c>
      <c r="I257" s="43" t="str">
        <f ca="1">CONCATENATE(CALC2223!AE256," ",CALC2223!AG256," ",CALC2223!AI256)</f>
        <v xml:space="preserve">FI/WABC  </v>
      </c>
      <c r="J257" s="43" t="str">
        <f ca="1">CONCATENATE(CALC2223!AK256," ",CALC2223!AM256," ",CALC2223!AO256)</f>
        <v xml:space="preserve">  </v>
      </c>
      <c r="K257" s="43" t="str">
        <f ca="1">CONCATENATE(CALC2223!AQ256," ",CALC2223!AS256," ",CALC2223!AU256," ",CALC2223!AW256)</f>
        <v xml:space="preserve">   </v>
      </c>
      <c r="L257" s="44" t="str">
        <f t="shared" ca="1" si="0"/>
        <v>actueel</v>
      </c>
      <c r="M257" s="1"/>
      <c r="N257" s="4" t="b">
        <f ca="1">OR(VALUE(CALC2223!B256)&gt;VALUE(LASTV),VALUE(CALC2223!D256)&gt;VALUE(LASTV),VALUE(CALC2223!F256)&gt;VALUE(LASTV))</f>
        <v>0</v>
      </c>
      <c r="O257" s="4" t="b">
        <f ca="1">OR(VALUE(CALC2223!H256)&gt;VALUE(LASTV),VALUE(CALC2223!J256)&gt;VALUE(LASTV),VALUE(CALC2223!L256)&gt;VALUE(LASTV))</f>
        <v>0</v>
      </c>
      <c r="P257" s="4" t="b">
        <f ca="1">OR(VALUE(CALC2223!N256)&gt;VALUE(LASTV),VALUE(CALC2223!P256)&gt;VALUE(LASTV),VALUE(CALC2223!R256)&gt;VALUE(LASTV))</f>
        <v>0</v>
      </c>
      <c r="Q257" s="4" t="b">
        <f ca="1">OR(VALUE(CALC2223!T256)&gt;VALUE(LASTV),VALUE(CALC2223!V256)&gt;VALUE(LASTV),VALUE(CALC2223!X256)&gt;VALUE(LASTV))</f>
        <v>0</v>
      </c>
      <c r="R257" s="4" t="b">
        <f ca="1">OR(VALUE(CALC2223!Z256)&gt;VALUE(LASTV),VALUE(CALC2223!AB256)&gt;VALUE(LASTV),VALUE(CALC2223!AD256)&gt;VALUE(LASTV))</f>
        <v>0</v>
      </c>
      <c r="S257" s="4" t="b">
        <f ca="1">OR(VALUE(CALC2223!AF256)&gt;VALUE(LASTV),VALUE(CALC2223!AH256)&gt;VALUE(LASTV),VALUE(CALC2223!AJ256)&gt;VALUE(LASTV))</f>
        <v>0</v>
      </c>
      <c r="T257" s="4" t="b">
        <f ca="1">OR(VALUE(CALC2223!AL256)&gt;VALUE(LASTV),VALUE(CALC2223!AN256)&gt;VALUE(LASTV),VALUE(CALC2223!AP256)&gt;VALUE(LASTV))</f>
        <v>0</v>
      </c>
      <c r="U257" s="4" t="b">
        <f ca="1">OR(VALUE(CALC2223!AR256)&gt;VALUE(LASTV),VALUE(CALC2223!AT256)&gt;VALUE(LASTV),VALUE(CALC2223!AV256)&gt;VALUE(LASTV))</f>
        <v>0</v>
      </c>
      <c r="V257" s="1"/>
    </row>
    <row r="258" spans="1:22" ht="35.25" customHeight="1">
      <c r="A258" s="75"/>
      <c r="B258" s="76" t="s">
        <v>21</v>
      </c>
      <c r="C258" s="77">
        <v>46156</v>
      </c>
      <c r="D258" s="78" t="str">
        <f ca="1">CONCATENATE(CALC2223!A257," ",CALC2223!C257," ",CALC2223!E257)</f>
        <v xml:space="preserve">  </v>
      </c>
      <c r="E258" s="78" t="str">
        <f ca="1">CONCATENATE(CALC2223!G257," ",CALC2223!I257," ",CALC2223!K257)</f>
        <v xml:space="preserve">  </v>
      </c>
      <c r="F258" s="78" t="str">
        <f ca="1">CONCATENATE(CALC2223!M257," ",CALC2223!O257," ",CALC2223!Q257)</f>
        <v xml:space="preserve">  </v>
      </c>
      <c r="G258" s="78" t="str">
        <f ca="1">CONCATENATE(CALC2223!S257," ",CALC2223!U257," ",CALC2223!W257)</f>
        <v xml:space="preserve">  </v>
      </c>
      <c r="H258" s="78" t="str">
        <f ca="1">CONCATENATE(CALC2223!Y257," ",CALC2223!AA257," ",CALC2223!AC257)</f>
        <v xml:space="preserve">  </v>
      </c>
      <c r="I258" s="78" t="str">
        <f ca="1">CONCATENATE(CALC2223!AE257," ",CALC2223!AG257," ",CALC2223!AI257)</f>
        <v xml:space="preserve">  </v>
      </c>
      <c r="J258" s="78" t="str">
        <f ca="1">CONCATENATE(CALC2223!AK257," ",CALC2223!AM257," ",CALC2223!AO257)</f>
        <v xml:space="preserve">  </v>
      </c>
      <c r="K258" s="78" t="str">
        <f ca="1">CONCATENATE(CALC2223!AQ257," ",CALC2223!AS257," ",CALC2223!AU257," ",CALC2223!AW257)</f>
        <v xml:space="preserve">Hemelvaartdag   </v>
      </c>
      <c r="L258" s="79" t="str">
        <f t="shared" ref="L258:L373" ca="1" si="1">IF(C258&lt;TODAY(),"verleden","actueel")</f>
        <v>actueel</v>
      </c>
      <c r="M258" s="1"/>
      <c r="N258" s="4" t="b">
        <f ca="1">OR(VALUE(CALC2223!B257)&gt;VALUE(LASTV),VALUE(CALC2223!D257)&gt;VALUE(LASTV),VALUE(CALC2223!F257)&gt;VALUE(LASTV))</f>
        <v>0</v>
      </c>
      <c r="O258" s="4" t="b">
        <f ca="1">OR(VALUE(CALC2223!H257)&gt;VALUE(LASTV),VALUE(CALC2223!J257)&gt;VALUE(LASTV),VALUE(CALC2223!L257)&gt;VALUE(LASTV))</f>
        <v>0</v>
      </c>
      <c r="P258" s="4" t="b">
        <f ca="1">OR(VALUE(CALC2223!N257)&gt;VALUE(LASTV),VALUE(CALC2223!P257)&gt;VALUE(LASTV),VALUE(CALC2223!R257)&gt;VALUE(LASTV))</f>
        <v>0</v>
      </c>
      <c r="Q258" s="4" t="b">
        <f ca="1">OR(VALUE(CALC2223!T257)&gt;VALUE(LASTV),VALUE(CALC2223!V257)&gt;VALUE(LASTV),VALUE(CALC2223!X257)&gt;VALUE(LASTV))</f>
        <v>0</v>
      </c>
      <c r="R258" s="4" t="b">
        <f ca="1">OR(VALUE(CALC2223!Z257)&gt;VALUE(LASTV),VALUE(CALC2223!AB257)&gt;VALUE(LASTV),VALUE(CALC2223!AD257)&gt;VALUE(LASTV))</f>
        <v>0</v>
      </c>
      <c r="S258" s="4" t="b">
        <f ca="1">OR(VALUE(CALC2223!AF257)&gt;VALUE(LASTV),VALUE(CALC2223!AH257)&gt;VALUE(LASTV),VALUE(CALC2223!AJ257)&gt;VALUE(LASTV))</f>
        <v>0</v>
      </c>
      <c r="T258" s="4" t="b">
        <f ca="1">OR(VALUE(CALC2223!AL257)&gt;VALUE(LASTV),VALUE(CALC2223!AN257)&gt;VALUE(LASTV),VALUE(CALC2223!AP257)&gt;VALUE(LASTV))</f>
        <v>0</v>
      </c>
      <c r="U258" s="4" t="b">
        <f ca="1">OR(VALUE(CALC2223!AR257)&gt;VALUE(LASTV),VALUE(CALC2223!AT257)&gt;VALUE(LASTV),VALUE(CALC2223!AV257)&gt;VALUE(LASTV))</f>
        <v>0</v>
      </c>
      <c r="V258" s="1"/>
    </row>
    <row r="259" spans="1:22" ht="35.25" customHeight="1">
      <c r="A259" s="74"/>
      <c r="B259" s="70" t="s">
        <v>22</v>
      </c>
      <c r="C259" s="71">
        <v>46157</v>
      </c>
      <c r="D259" s="72" t="str">
        <f ca="1">CONCATENATE(CALC2223!A258," ",CALC2223!C258," ",CALC2223!E258)</f>
        <v xml:space="preserve">  </v>
      </c>
      <c r="E259" s="72" t="str">
        <f ca="1">CONCATENATE(CALC2223!G258," ",CALC2223!I258," ",CALC2223!K258)</f>
        <v xml:space="preserve">  </v>
      </c>
      <c r="F259" s="72" t="str">
        <f ca="1">CONCATENATE(CALC2223!M258," ",CALC2223!O258," ",CALC2223!Q258)</f>
        <v xml:space="preserve">  </v>
      </c>
      <c r="G259" s="72" t="str">
        <f ca="1">CONCATENATE(CALC2223!S258," ",CALC2223!U258," ",CALC2223!W258)</f>
        <v xml:space="preserve">  </v>
      </c>
      <c r="H259" s="72" t="str">
        <f ca="1">CONCATENATE(CALC2223!Y258," ",CALC2223!AA258," ",CALC2223!AC258)</f>
        <v xml:space="preserve">  </v>
      </c>
      <c r="I259" s="72" t="str">
        <f ca="1">CONCATENATE(CALC2223!AE258," ",CALC2223!AG258," ",CALC2223!AI258)</f>
        <v xml:space="preserve">  </v>
      </c>
      <c r="J259" s="72" t="str">
        <f ca="1">CONCATENATE(CALC2223!AK258," ",CALC2223!AM258," ",CALC2223!AO258)</f>
        <v xml:space="preserve">  </v>
      </c>
      <c r="K259" s="72" t="str">
        <f ca="1">CONCATENATE(CALC2223!AQ258," ",CALC2223!AS258," ",CALC2223!AU258," ",CALC2223!AW258)</f>
        <v xml:space="preserve">   </v>
      </c>
      <c r="L259" s="73" t="str">
        <f t="shared" ca="1" si="1"/>
        <v>actueel</v>
      </c>
      <c r="M259" s="1"/>
      <c r="N259" s="4" t="b">
        <f ca="1">OR(VALUE(CALC2223!B258)&gt;VALUE(LASTV),VALUE(CALC2223!D258)&gt;VALUE(LASTV),VALUE(CALC2223!F258)&gt;VALUE(LASTV))</f>
        <v>0</v>
      </c>
      <c r="O259" s="4" t="b">
        <f ca="1">OR(VALUE(CALC2223!H258)&gt;VALUE(LASTV),VALUE(CALC2223!J258)&gt;VALUE(LASTV),VALUE(CALC2223!L258)&gt;VALUE(LASTV))</f>
        <v>0</v>
      </c>
      <c r="P259" s="4" t="b">
        <f ca="1">OR(VALUE(CALC2223!N258)&gt;VALUE(LASTV),VALUE(CALC2223!P258)&gt;VALUE(LASTV),VALUE(CALC2223!R258)&gt;VALUE(LASTV))</f>
        <v>0</v>
      </c>
      <c r="Q259" s="4" t="b">
        <f ca="1">OR(VALUE(CALC2223!T258)&gt;VALUE(LASTV),VALUE(CALC2223!V258)&gt;VALUE(LASTV),VALUE(CALC2223!X258)&gt;VALUE(LASTV))</f>
        <v>0</v>
      </c>
      <c r="R259" s="4" t="b">
        <f ca="1">OR(VALUE(CALC2223!Z258)&gt;VALUE(LASTV),VALUE(CALC2223!AB258)&gt;VALUE(LASTV),VALUE(CALC2223!AD258)&gt;VALUE(LASTV))</f>
        <v>0</v>
      </c>
      <c r="S259" s="4" t="b">
        <f ca="1">OR(VALUE(CALC2223!AF258)&gt;VALUE(LASTV),VALUE(CALC2223!AH258)&gt;VALUE(LASTV),VALUE(CALC2223!AJ258)&gt;VALUE(LASTV))</f>
        <v>0</v>
      </c>
      <c r="T259" s="4" t="b">
        <f ca="1">OR(VALUE(CALC2223!AL258)&gt;VALUE(LASTV),VALUE(CALC2223!AN258)&gt;VALUE(LASTV),VALUE(CALC2223!AP258)&gt;VALUE(LASTV))</f>
        <v>0</v>
      </c>
      <c r="U259" s="4" t="b">
        <f ca="1">OR(VALUE(CALC2223!AR258)&gt;VALUE(LASTV),VALUE(CALC2223!AT258)&gt;VALUE(LASTV),VALUE(CALC2223!AV258)&gt;VALUE(LASTV))</f>
        <v>0</v>
      </c>
      <c r="V259" s="1"/>
    </row>
    <row r="260" spans="1:22" ht="35.25" customHeight="1">
      <c r="A260" s="45"/>
      <c r="B260" s="46" t="s">
        <v>23</v>
      </c>
      <c r="C260" s="47">
        <v>46158</v>
      </c>
      <c r="D260" s="48" t="str">
        <f ca="1">CONCATENATE(CALC2223!A259," ",CALC2223!C259," ",CALC2223!E259)</f>
        <v xml:space="preserve">  </v>
      </c>
      <c r="E260" s="48" t="str">
        <f ca="1">CONCATENATE(CALC2223!G259," ",CALC2223!I259," ",CALC2223!K259)</f>
        <v xml:space="preserve">  </v>
      </c>
      <c r="F260" s="48" t="str">
        <f ca="1">CONCATENATE(CALC2223!M259," ",CALC2223!O259," ",CALC2223!Q259)</f>
        <v xml:space="preserve">  </v>
      </c>
      <c r="G260" s="48" t="str">
        <f ca="1">CONCATENATE(CALC2223!S259," ",CALC2223!U259," ",CALC2223!W259)</f>
        <v xml:space="preserve">  </v>
      </c>
      <c r="H260" s="48" t="str">
        <f ca="1">CONCATENATE(CALC2223!Y259," ",CALC2223!AA259," ",CALC2223!AC259)</f>
        <v xml:space="preserve">  </v>
      </c>
      <c r="I260" s="48" t="str">
        <f ca="1">CONCATENATE(CALC2223!AE259," ",CALC2223!AG259," ",CALC2223!AI259)</f>
        <v xml:space="preserve">  </v>
      </c>
      <c r="J260" s="48" t="str">
        <f ca="1">CONCATENATE(CALC2223!AK259," ",CALC2223!AM259," ",CALC2223!AO259)</f>
        <v xml:space="preserve">  </v>
      </c>
      <c r="K260" s="48" t="str">
        <f ca="1">CONCATENATE(CALC2223!AQ259," ",CALC2223!AS259," ",CALC2223!AU259," ",CALC2223!AW259)</f>
        <v xml:space="preserve">   </v>
      </c>
      <c r="L260" s="49" t="str">
        <f t="shared" ca="1" si="1"/>
        <v>actueel</v>
      </c>
      <c r="M260" s="1"/>
      <c r="N260" s="4" t="b">
        <f ca="1">OR(VALUE(CALC2223!B259)&gt;VALUE(LASTV),VALUE(CALC2223!D259)&gt;VALUE(LASTV),VALUE(CALC2223!F259)&gt;VALUE(LASTV))</f>
        <v>0</v>
      </c>
      <c r="O260" s="4" t="b">
        <f ca="1">OR(VALUE(CALC2223!H259)&gt;VALUE(LASTV),VALUE(CALC2223!J259)&gt;VALUE(LASTV),VALUE(CALC2223!L259)&gt;VALUE(LASTV))</f>
        <v>0</v>
      </c>
      <c r="P260" s="4" t="b">
        <f ca="1">OR(VALUE(CALC2223!N259)&gt;VALUE(LASTV),VALUE(CALC2223!P259)&gt;VALUE(LASTV),VALUE(CALC2223!R259)&gt;VALUE(LASTV))</f>
        <v>0</v>
      </c>
      <c r="Q260" s="4" t="b">
        <f ca="1">OR(VALUE(CALC2223!T259)&gt;VALUE(LASTV),VALUE(CALC2223!V259)&gt;VALUE(LASTV),VALUE(CALC2223!X259)&gt;VALUE(LASTV))</f>
        <v>0</v>
      </c>
      <c r="R260" s="4" t="b">
        <f ca="1">OR(VALUE(CALC2223!Z259)&gt;VALUE(LASTV),VALUE(CALC2223!AB259)&gt;VALUE(LASTV),VALUE(CALC2223!AD259)&gt;VALUE(LASTV))</f>
        <v>0</v>
      </c>
      <c r="S260" s="4" t="b">
        <f ca="1">OR(VALUE(CALC2223!AF259)&gt;VALUE(LASTV),VALUE(CALC2223!AH259)&gt;VALUE(LASTV),VALUE(CALC2223!AJ259)&gt;VALUE(LASTV))</f>
        <v>0</v>
      </c>
      <c r="T260" s="4" t="b">
        <f ca="1">OR(VALUE(CALC2223!AL259)&gt;VALUE(LASTV),VALUE(CALC2223!AN259)&gt;VALUE(LASTV),VALUE(CALC2223!AP259)&gt;VALUE(LASTV))</f>
        <v>0</v>
      </c>
      <c r="U260" s="4" t="b">
        <f ca="1">OR(VALUE(CALC2223!AR259)&gt;VALUE(LASTV),VALUE(CALC2223!AT259)&gt;VALUE(LASTV),VALUE(CALC2223!AV259)&gt;VALUE(LASTV))</f>
        <v>0</v>
      </c>
      <c r="V260" s="1"/>
    </row>
    <row r="261" spans="1:22" ht="35.25" customHeight="1">
      <c r="A261" s="45"/>
      <c r="B261" s="46" t="s">
        <v>24</v>
      </c>
      <c r="C261" s="47">
        <v>46159</v>
      </c>
      <c r="D261" s="48" t="str">
        <f ca="1">CONCATENATE(CALC2223!A260," ",CALC2223!C260," ",CALC2223!E260)</f>
        <v xml:space="preserve">  </v>
      </c>
      <c r="E261" s="48" t="str">
        <f ca="1">CONCATENATE(CALC2223!G260," ",CALC2223!I260," ",CALC2223!K260)</f>
        <v xml:space="preserve">  </v>
      </c>
      <c r="F261" s="48" t="str">
        <f ca="1">CONCATENATE(CALC2223!M260," ",CALC2223!O260," ",CALC2223!Q260)</f>
        <v xml:space="preserve">  </v>
      </c>
      <c r="G261" s="48" t="str">
        <f ca="1">CONCATENATE(CALC2223!S260," ",CALC2223!U260," ",CALC2223!W260)</f>
        <v xml:space="preserve">  </v>
      </c>
      <c r="H261" s="48" t="str">
        <f ca="1">CONCATENATE(CALC2223!Y260," ",CALC2223!AA260," ",CALC2223!AC260)</f>
        <v xml:space="preserve">  </v>
      </c>
      <c r="I261" s="48" t="str">
        <f ca="1">CONCATENATE(CALC2223!AE260," ",CALC2223!AG260," ",CALC2223!AI260)</f>
        <v xml:space="preserve">  </v>
      </c>
      <c r="J261" s="48" t="str">
        <f ca="1">CONCATENATE(CALC2223!AK260," ",CALC2223!AM260," ",CALC2223!AO260)</f>
        <v xml:space="preserve">  </v>
      </c>
      <c r="K261" s="48" t="str">
        <f ca="1">CONCATENATE(CALC2223!AQ260," ",CALC2223!AS260," ",CALC2223!AU260," ",CALC2223!AW260)</f>
        <v xml:space="preserve">   </v>
      </c>
      <c r="L261" s="49" t="str">
        <f t="shared" ca="1" si="1"/>
        <v>actueel</v>
      </c>
      <c r="M261" s="1"/>
      <c r="N261" s="4" t="b">
        <f ca="1">OR(VALUE(CALC2223!B260)&gt;VALUE(LASTV),VALUE(CALC2223!D260)&gt;VALUE(LASTV),VALUE(CALC2223!F260)&gt;VALUE(LASTV))</f>
        <v>0</v>
      </c>
      <c r="O261" s="4" t="b">
        <f ca="1">OR(VALUE(CALC2223!H260)&gt;VALUE(LASTV),VALUE(CALC2223!J260)&gt;VALUE(LASTV),VALUE(CALC2223!L260)&gt;VALUE(LASTV))</f>
        <v>0</v>
      </c>
      <c r="P261" s="4" t="b">
        <f ca="1">OR(VALUE(CALC2223!N260)&gt;VALUE(LASTV),VALUE(CALC2223!P260)&gt;VALUE(LASTV),VALUE(CALC2223!R260)&gt;VALUE(LASTV))</f>
        <v>0</v>
      </c>
      <c r="Q261" s="4" t="b">
        <f ca="1">OR(VALUE(CALC2223!T260)&gt;VALUE(LASTV),VALUE(CALC2223!V260)&gt;VALUE(LASTV),VALUE(CALC2223!X260)&gt;VALUE(LASTV))</f>
        <v>0</v>
      </c>
      <c r="R261" s="4" t="b">
        <f ca="1">OR(VALUE(CALC2223!Z260)&gt;VALUE(LASTV),VALUE(CALC2223!AB260)&gt;VALUE(LASTV),VALUE(CALC2223!AD260)&gt;VALUE(LASTV))</f>
        <v>0</v>
      </c>
      <c r="S261" s="4" t="b">
        <f ca="1">OR(VALUE(CALC2223!AF260)&gt;VALUE(LASTV),VALUE(CALC2223!AH260)&gt;VALUE(LASTV),VALUE(CALC2223!AJ260)&gt;VALUE(LASTV))</f>
        <v>0</v>
      </c>
      <c r="T261" s="4" t="b">
        <f ca="1">OR(VALUE(CALC2223!AL260)&gt;VALUE(LASTV),VALUE(CALC2223!AN260)&gt;VALUE(LASTV),VALUE(CALC2223!AP260)&gt;VALUE(LASTV))</f>
        <v>0</v>
      </c>
      <c r="U261" s="4" t="b">
        <f ca="1">OR(VALUE(CALC2223!AR260)&gt;VALUE(LASTV),VALUE(CALC2223!AT260)&gt;VALUE(LASTV),VALUE(CALC2223!AV260)&gt;VALUE(LASTV))</f>
        <v>0</v>
      </c>
      <c r="V261" s="1"/>
    </row>
    <row r="262" spans="1:22" ht="35.25" customHeight="1">
      <c r="A262" s="50">
        <v>21</v>
      </c>
      <c r="B262" s="41" t="s">
        <v>18</v>
      </c>
      <c r="C262" s="42">
        <v>46160</v>
      </c>
      <c r="D262" s="43" t="str">
        <f ca="1">CONCATENATE(CALC2223!A261," ",CALC2223!C261," ",CALC2223!E261)</f>
        <v xml:space="preserve">  </v>
      </c>
      <c r="E262" s="43" t="str">
        <f ca="1">CONCATENATE(CALC2223!G261," ",CALC2223!I261," ",CALC2223!K261)</f>
        <v xml:space="preserve">  </v>
      </c>
      <c r="F262" s="43" t="str">
        <f ca="1">CONCATENATE(CALC2223!M261," ",CALC2223!O261," ",CALC2223!Q261)</f>
        <v xml:space="preserve">excursie Vught  </v>
      </c>
      <c r="G262" s="43" t="str">
        <f ca="1">CONCATENATE(CALC2223!S261," ",CALC2223!U261," ",CALC2223!W261)</f>
        <v xml:space="preserve">inh rep WI  </v>
      </c>
      <c r="H262" s="43" t="str">
        <f ca="1">CONCATENATE(CALC2223!Y261," ",CALC2223!AA261," ",CALC2223!AC261)</f>
        <v xml:space="preserve">inh SE WiD  </v>
      </c>
      <c r="I262" s="43" t="str">
        <f ca="1">CONCATENATE(CALC2223!AE261," ",CALC2223!AG261," ",CALC2223!AI261)</f>
        <v xml:space="preserve">DU/AK  </v>
      </c>
      <c r="J262" s="43" t="str">
        <f ca="1">CONCATENATE(CALC2223!AK261," ",CALC2223!AM261," ",CALC2223!AO261)</f>
        <v xml:space="preserve">  </v>
      </c>
      <c r="K262" s="43" t="str">
        <f ca="1">CONCATENATE(CALC2223!AQ261," ",CALC2223!AS261," ",CALC2223!AU261," ",CALC2223!AW261)</f>
        <v xml:space="preserve">   </v>
      </c>
      <c r="L262" s="44" t="str">
        <f t="shared" ca="1" si="1"/>
        <v>actueel</v>
      </c>
      <c r="M262" s="1"/>
      <c r="N262" s="4" t="b">
        <f ca="1">OR(VALUE(CALC2223!B261)&gt;VALUE(LASTV),VALUE(CALC2223!D261)&gt;VALUE(LASTV),VALUE(CALC2223!F261)&gt;VALUE(LASTV))</f>
        <v>0</v>
      </c>
      <c r="O262" s="4" t="b">
        <f ca="1">OR(VALUE(CALC2223!H261)&gt;VALUE(LASTV),VALUE(CALC2223!J261)&gt;VALUE(LASTV),VALUE(CALC2223!L261)&gt;VALUE(LASTV))</f>
        <v>0</v>
      </c>
      <c r="P262" s="4" t="b">
        <f ca="1">OR(VALUE(CALC2223!N261)&gt;VALUE(LASTV),VALUE(CALC2223!P261)&gt;VALUE(LASTV),VALUE(CALC2223!R261)&gt;VALUE(LASTV))</f>
        <v>0</v>
      </c>
      <c r="Q262" s="4" t="b">
        <f ca="1">OR(VALUE(CALC2223!T261)&gt;VALUE(LASTV),VALUE(CALC2223!V261)&gt;VALUE(LASTV),VALUE(CALC2223!X261)&gt;VALUE(LASTV))</f>
        <v>0</v>
      </c>
      <c r="R262" s="4" t="b">
        <f ca="1">OR(VALUE(CALC2223!Z261)&gt;VALUE(LASTV),VALUE(CALC2223!AB261)&gt;VALUE(LASTV),VALUE(CALC2223!AD261)&gt;VALUE(LASTV))</f>
        <v>0</v>
      </c>
      <c r="S262" s="4" t="b">
        <f ca="1">OR(VALUE(CALC2223!AF261)&gt;VALUE(LASTV),VALUE(CALC2223!AH261)&gt;VALUE(LASTV),VALUE(CALC2223!AJ261)&gt;VALUE(LASTV))</f>
        <v>0</v>
      </c>
      <c r="T262" s="4" t="b">
        <f ca="1">OR(VALUE(CALC2223!AL261)&gt;VALUE(LASTV),VALUE(CALC2223!AN261)&gt;VALUE(LASTV),VALUE(CALC2223!AP261)&gt;VALUE(LASTV))</f>
        <v>0</v>
      </c>
      <c r="U262" s="4" t="b">
        <f ca="1">OR(VALUE(CALC2223!AR261)&gt;VALUE(LASTV),VALUE(CALC2223!AT261)&gt;VALUE(LASTV),VALUE(CALC2223!AV261)&gt;VALUE(LASTV))</f>
        <v>0</v>
      </c>
      <c r="V262" s="1"/>
    </row>
    <row r="263" spans="1:22" ht="35.25" customHeight="1">
      <c r="A263" s="40"/>
      <c r="B263" s="41" t="s">
        <v>19</v>
      </c>
      <c r="C263" s="42">
        <v>46161</v>
      </c>
      <c r="D263" s="43" t="str">
        <f ca="1">CONCATENATE(CALC2223!A262," ",CALC2223!C262," ",CALC2223!E262)</f>
        <v xml:space="preserve">  </v>
      </c>
      <c r="E263" s="43" t="str">
        <f ca="1">CONCATENATE(CALC2223!G262," ",CALC2223!I262," ",CALC2223!K262)</f>
        <v xml:space="preserve">  </v>
      </c>
      <c r="F263" s="43" t="str">
        <f ca="1">CONCATENATE(CALC2223!M262," ",CALC2223!O262," ",CALC2223!Q262)</f>
        <v xml:space="preserve">  </v>
      </c>
      <c r="G263" s="43" t="str">
        <f ca="1">CONCATENATE(CALC2223!S262," ",CALC2223!U262," ",CALC2223!W262)</f>
        <v xml:space="preserve">  </v>
      </c>
      <c r="H263" s="43" t="str">
        <f ca="1">CONCATENATE(CALC2223!Y262," ",CALC2223!AA262," ",CALC2223!AC262)</f>
        <v xml:space="preserve">  </v>
      </c>
      <c r="I263" s="43" t="str">
        <f ca="1">CONCATENATE(CALC2223!AE262," ",CALC2223!AG262," ",CALC2223!AI262)</f>
        <v xml:space="preserve">LA/SK  </v>
      </c>
      <c r="J263" s="43" t="str">
        <f ca="1">CONCATENATE(CALC2223!AK262," ",CALC2223!AM262," ",CALC2223!AO262)</f>
        <v xml:space="preserve">  </v>
      </c>
      <c r="K263" s="43" t="str">
        <f ca="1">CONCATENATE(CALC2223!AQ262," ",CALC2223!AS262," ",CALC2223!AU262," ",CALC2223!AW262)</f>
        <v xml:space="preserve">   </v>
      </c>
      <c r="L263" s="44" t="str">
        <f t="shared" ca="1" si="1"/>
        <v>actueel</v>
      </c>
      <c r="M263" s="1"/>
      <c r="N263" s="4" t="b">
        <f ca="1">OR(VALUE(CALC2223!B262)&gt;VALUE(LASTV),VALUE(CALC2223!D262)&gt;VALUE(LASTV),VALUE(CALC2223!F262)&gt;VALUE(LASTV))</f>
        <v>0</v>
      </c>
      <c r="O263" s="4" t="b">
        <f ca="1">OR(VALUE(CALC2223!H262)&gt;VALUE(LASTV),VALUE(CALC2223!J262)&gt;VALUE(LASTV),VALUE(CALC2223!L262)&gt;VALUE(LASTV))</f>
        <v>0</v>
      </c>
      <c r="P263" s="4" t="b">
        <f ca="1">OR(VALUE(CALC2223!N262)&gt;VALUE(LASTV),VALUE(CALC2223!P262)&gt;VALUE(LASTV),VALUE(CALC2223!R262)&gt;VALUE(LASTV))</f>
        <v>0</v>
      </c>
      <c r="Q263" s="4" t="b">
        <f ca="1">OR(VALUE(CALC2223!T262)&gt;VALUE(LASTV),VALUE(CALC2223!V262)&gt;VALUE(LASTV),VALUE(CALC2223!X262)&gt;VALUE(LASTV))</f>
        <v>0</v>
      </c>
      <c r="R263" s="4" t="b">
        <f ca="1">OR(VALUE(CALC2223!Z262)&gt;VALUE(LASTV),VALUE(CALC2223!AB262)&gt;VALUE(LASTV),VALUE(CALC2223!AD262)&gt;VALUE(LASTV))</f>
        <v>0</v>
      </c>
      <c r="S263" s="4" t="b">
        <f ca="1">OR(VALUE(CALC2223!AF262)&gt;VALUE(LASTV),VALUE(CALC2223!AH262)&gt;VALUE(LASTV),VALUE(CALC2223!AJ262)&gt;VALUE(LASTV))</f>
        <v>0</v>
      </c>
      <c r="T263" s="4" t="b">
        <f ca="1">OR(VALUE(CALC2223!AL262)&gt;VALUE(LASTV),VALUE(CALC2223!AN262)&gt;VALUE(LASTV),VALUE(CALC2223!AP262)&gt;VALUE(LASTV))</f>
        <v>0</v>
      </c>
      <c r="U263" s="4" t="b">
        <f ca="1">OR(VALUE(CALC2223!AR262)&gt;VALUE(LASTV),VALUE(CALC2223!AT262)&gt;VALUE(LASTV),VALUE(CALC2223!AV262)&gt;VALUE(LASTV))</f>
        <v>0</v>
      </c>
      <c r="V263" s="1"/>
    </row>
    <row r="264" spans="1:22" ht="35.25" customHeight="1">
      <c r="A264" s="40"/>
      <c r="B264" s="41" t="s">
        <v>20</v>
      </c>
      <c r="C264" s="42">
        <v>46162</v>
      </c>
      <c r="D264" s="43" t="str">
        <f ca="1">CONCATENATE(CALC2223!A263," ",CALC2223!C263," ",CALC2223!E263)</f>
        <v xml:space="preserve">  </v>
      </c>
      <c r="E264" s="43" t="str">
        <f ca="1">CONCATENATE(CALC2223!G263," ",CALC2223!I263," ",CALC2223!K263)</f>
        <v xml:space="preserve">  </v>
      </c>
      <c r="F264" s="43" t="str">
        <f ca="1">CONCATENATE(CALC2223!M263," ",CALC2223!O263," ",CALC2223!Q263)</f>
        <v xml:space="preserve">  </v>
      </c>
      <c r="G264" s="43" t="str">
        <f ca="1">CONCATENATE(CALC2223!S263," ",CALC2223!U263," ",CALC2223!W263)</f>
        <v xml:space="preserve">inh rep BE  </v>
      </c>
      <c r="H264" s="43" t="str">
        <f ca="1">CONCATENATE(CALC2223!Y263," ",CALC2223!AA263," ",CALC2223!AC263)</f>
        <v xml:space="preserve">  </v>
      </c>
      <c r="I264" s="43" t="str">
        <f ca="1">CONCATENATE(CALC2223!AE263," ",CALC2223!AG263," ",CALC2223!AI263)</f>
        <v xml:space="preserve">   /EN  </v>
      </c>
      <c r="J264" s="43" t="str">
        <f ca="1">CONCATENATE(CALC2223!AK263," ",CALC2223!AM263," ",CALC2223!AO263)</f>
        <v xml:space="preserve">  </v>
      </c>
      <c r="K264" s="43" t="str">
        <f ca="1">CONCATENATE(CALC2223!AQ263," ",CALC2223!AS263," ",CALC2223!AU263," ",CALC2223!AW263)</f>
        <v xml:space="preserve">   </v>
      </c>
      <c r="L264" s="44" t="str">
        <f t="shared" ca="1" si="1"/>
        <v>actueel</v>
      </c>
      <c r="M264" s="1"/>
      <c r="N264" s="4" t="b">
        <f ca="1">OR(VALUE(CALC2223!B263)&gt;VALUE(LASTV),VALUE(CALC2223!D263)&gt;VALUE(LASTV),VALUE(CALC2223!F263)&gt;VALUE(LASTV))</f>
        <v>0</v>
      </c>
      <c r="O264" s="4" t="b">
        <f ca="1">OR(VALUE(CALC2223!H263)&gt;VALUE(LASTV),VALUE(CALC2223!J263)&gt;VALUE(LASTV),VALUE(CALC2223!L263)&gt;VALUE(LASTV))</f>
        <v>0</v>
      </c>
      <c r="P264" s="4" t="b">
        <f ca="1">OR(VALUE(CALC2223!N263)&gt;VALUE(LASTV),VALUE(CALC2223!P263)&gt;VALUE(LASTV),VALUE(CALC2223!R263)&gt;VALUE(LASTV))</f>
        <v>0</v>
      </c>
      <c r="Q264" s="4" t="b">
        <f ca="1">OR(VALUE(CALC2223!T263)&gt;VALUE(LASTV),VALUE(CALC2223!V263)&gt;VALUE(LASTV),VALUE(CALC2223!X263)&gt;VALUE(LASTV))</f>
        <v>0</v>
      </c>
      <c r="R264" s="4" t="b">
        <f ca="1">OR(VALUE(CALC2223!Z263)&gt;VALUE(LASTV),VALUE(CALC2223!AB263)&gt;VALUE(LASTV),VALUE(CALC2223!AD263)&gt;VALUE(LASTV))</f>
        <v>0</v>
      </c>
      <c r="S264" s="4" t="b">
        <f ca="1">OR(VALUE(CALC2223!AF263)&gt;VALUE(LASTV),VALUE(CALC2223!AH263)&gt;VALUE(LASTV),VALUE(CALC2223!AJ263)&gt;VALUE(LASTV))</f>
        <v>0</v>
      </c>
      <c r="T264" s="4" t="b">
        <f ca="1">OR(VALUE(CALC2223!AL263)&gt;VALUE(LASTV),VALUE(CALC2223!AN263)&gt;VALUE(LASTV),VALUE(CALC2223!AP263)&gt;VALUE(LASTV))</f>
        <v>0</v>
      </c>
      <c r="U264" s="4" t="b">
        <f ca="1">OR(VALUE(CALC2223!AR263)&gt;VALUE(LASTV),VALUE(CALC2223!AT263)&gt;VALUE(LASTV),VALUE(CALC2223!AV263)&gt;VALUE(LASTV))</f>
        <v>0</v>
      </c>
      <c r="V264" s="1"/>
    </row>
    <row r="265" spans="1:22" ht="35.25" customHeight="1">
      <c r="A265" s="40"/>
      <c r="B265" s="41" t="s">
        <v>21</v>
      </c>
      <c r="C265" s="42">
        <v>46163</v>
      </c>
      <c r="D265" s="43" t="str">
        <f ca="1">CONCATENATE(CALC2223!A264," ",CALC2223!C264," ",CALC2223!E264)</f>
        <v xml:space="preserve">  </v>
      </c>
      <c r="E265" s="43" t="str">
        <f ca="1">CONCATENATE(CALC2223!G264," ",CALC2223!I264," ",CALC2223!K264)</f>
        <v xml:space="preserve">  </v>
      </c>
      <c r="F265" s="43" t="str">
        <f ca="1">CONCATENATE(CALC2223!M264," ",CALC2223!O264," ",CALC2223!Q264)</f>
        <v xml:space="preserve">Rep SK  </v>
      </c>
      <c r="G265" s="43" t="str">
        <f ca="1">CONCATENATE(CALC2223!S264," ",CALC2223!U264," ",CALC2223!W264)</f>
        <v xml:space="preserve">HPGpresentaties  </v>
      </c>
      <c r="H265" s="43" t="str">
        <f ca="1">CONCATENATE(CALC2223!Y264," ",CALC2223!AA264," ",CALC2223!AC264)</f>
        <v xml:space="preserve">HPGpresentaties  </v>
      </c>
      <c r="I265" s="43" t="str">
        <f ca="1">CONCATENATE(CALC2223!AE264," ",CALC2223!AG264," ",CALC2223!AI264)</f>
        <v xml:space="preserve">   /EC  </v>
      </c>
      <c r="J265" s="43" t="str">
        <f ca="1">CONCATENATE(CALC2223!AK264," ",CALC2223!AM264," ",CALC2223!AO264)</f>
        <v xml:space="preserve">studiemiddag#3  </v>
      </c>
      <c r="K265" s="43" t="str">
        <f ca="1">CONCATENATE(CALC2223!AQ264," ",CALC2223!AS264," ",CALC2223!AU264," ",CALC2223!AW264)</f>
        <v xml:space="preserve">   </v>
      </c>
      <c r="L265" s="44" t="str">
        <f t="shared" ca="1" si="1"/>
        <v>actueel</v>
      </c>
      <c r="M265" s="1"/>
      <c r="N265" s="4" t="b">
        <f ca="1">OR(VALUE(CALC2223!B264)&gt;VALUE(LASTV),VALUE(CALC2223!D264)&gt;VALUE(LASTV),VALUE(CALC2223!F264)&gt;VALUE(LASTV))</f>
        <v>0</v>
      </c>
      <c r="O265" s="4" t="b">
        <f ca="1">OR(VALUE(CALC2223!H264)&gt;VALUE(LASTV),VALUE(CALC2223!J264)&gt;VALUE(LASTV),VALUE(CALC2223!L264)&gt;VALUE(LASTV))</f>
        <v>0</v>
      </c>
      <c r="P265" s="4" t="b">
        <f ca="1">OR(VALUE(CALC2223!N264)&gt;VALUE(LASTV),VALUE(CALC2223!P264)&gt;VALUE(LASTV),VALUE(CALC2223!R264)&gt;VALUE(LASTV))</f>
        <v>0</v>
      </c>
      <c r="Q265" s="4" t="b">
        <f ca="1">OR(VALUE(CALC2223!T264)&gt;VALUE(LASTV),VALUE(CALC2223!V264)&gt;VALUE(LASTV),VALUE(CALC2223!X264)&gt;VALUE(LASTV))</f>
        <v>0</v>
      </c>
      <c r="R265" s="4" t="b">
        <f ca="1">OR(VALUE(CALC2223!Z264)&gt;VALUE(LASTV),VALUE(CALC2223!AB264)&gt;VALUE(LASTV),VALUE(CALC2223!AD264)&gt;VALUE(LASTV))</f>
        <v>0</v>
      </c>
      <c r="S265" s="4" t="b">
        <f ca="1">OR(VALUE(CALC2223!AF264)&gt;VALUE(LASTV),VALUE(CALC2223!AH264)&gt;VALUE(LASTV),VALUE(CALC2223!AJ264)&gt;VALUE(LASTV))</f>
        <v>0</v>
      </c>
      <c r="T265" s="4" t="b">
        <f ca="1">OR(VALUE(CALC2223!AL264)&gt;VALUE(LASTV),VALUE(CALC2223!AN264)&gt;VALUE(LASTV),VALUE(CALC2223!AP264)&gt;VALUE(LASTV))</f>
        <v>0</v>
      </c>
      <c r="U265" s="4" t="b">
        <f ca="1">OR(VALUE(CALC2223!AR264)&gt;VALUE(LASTV),VALUE(CALC2223!AT264)&gt;VALUE(LASTV),VALUE(CALC2223!AV264)&gt;VALUE(LASTV))</f>
        <v>0</v>
      </c>
      <c r="V265" s="1"/>
    </row>
    <row r="266" spans="1:22" ht="35.25" customHeight="1">
      <c r="A266" s="40"/>
      <c r="B266" s="41" t="s">
        <v>22</v>
      </c>
      <c r="C266" s="42">
        <v>46164</v>
      </c>
      <c r="D266" s="43" t="str">
        <f ca="1">CONCATENATE(CALC2223!A265," ",CALC2223!C265," ",CALC2223!E265)</f>
        <v xml:space="preserve">  </v>
      </c>
      <c r="E266" s="43" t="str">
        <f ca="1">CONCATENATE(CALC2223!G265," ",CALC2223!I265," ",CALC2223!K265)</f>
        <v xml:space="preserve">Rep EN  </v>
      </c>
      <c r="F266" s="43" t="str">
        <f ca="1">CONCATENATE(CALC2223!M265," ",CALC2223!O265," ",CALC2223!Q265)</f>
        <v xml:space="preserve">  </v>
      </c>
      <c r="G266" s="43" t="str">
        <f ca="1">CONCATENATE(CALC2223!S265," ",CALC2223!U265," ",CALC2223!W265)</f>
        <v xml:space="preserve">Rep SK  </v>
      </c>
      <c r="H266" s="43" t="str">
        <f ca="1">CONCATENATE(CALC2223!Y265," ",CALC2223!AA265," ",CALC2223!AC265)</f>
        <v xml:space="preserve">  </v>
      </c>
      <c r="I266" s="43" t="str">
        <f ca="1">CONCATENATE(CALC2223!AE265," ",CALC2223!AG265," ",CALC2223!AI265)</f>
        <v xml:space="preserve">GR/BI  </v>
      </c>
      <c r="J266" s="43" t="str">
        <f ca="1">CONCATENATE(CALC2223!AK265," ",CALC2223!AM265," ",CALC2223!AO265)</f>
        <v xml:space="preserve">  </v>
      </c>
      <c r="K266" s="43" t="str">
        <f ca="1">CONCATENATE(CALC2223!AQ265," ",CALC2223!AS265," ",CALC2223!AU265," ",CALC2223!AW265)</f>
        <v xml:space="preserve">   </v>
      </c>
      <c r="L266" s="44" t="str">
        <f t="shared" ca="1" si="1"/>
        <v>actueel</v>
      </c>
      <c r="M266" s="1"/>
      <c r="N266" s="4" t="b">
        <f ca="1">OR(VALUE(CALC2223!B265)&gt;VALUE(LASTV),VALUE(CALC2223!D265)&gt;VALUE(LASTV),VALUE(CALC2223!F265)&gt;VALUE(LASTV))</f>
        <v>0</v>
      </c>
      <c r="O266" s="4" t="b">
        <f ca="1">OR(VALUE(CALC2223!H265)&gt;VALUE(LASTV),VALUE(CALC2223!J265)&gt;VALUE(LASTV),VALUE(CALC2223!L265)&gt;VALUE(LASTV))</f>
        <v>0</v>
      </c>
      <c r="P266" s="4" t="b">
        <f ca="1">OR(VALUE(CALC2223!N265)&gt;VALUE(LASTV),VALUE(CALC2223!P265)&gt;VALUE(LASTV),VALUE(CALC2223!R265)&gt;VALUE(LASTV))</f>
        <v>0</v>
      </c>
      <c r="Q266" s="4" t="b">
        <f ca="1">OR(VALUE(CALC2223!T265)&gt;VALUE(LASTV),VALUE(CALC2223!V265)&gt;VALUE(LASTV),VALUE(CALC2223!X265)&gt;VALUE(LASTV))</f>
        <v>0</v>
      </c>
      <c r="R266" s="4" t="b">
        <f ca="1">OR(VALUE(CALC2223!Z265)&gt;VALUE(LASTV),VALUE(CALC2223!AB265)&gt;VALUE(LASTV),VALUE(CALC2223!AD265)&gt;VALUE(LASTV))</f>
        <v>0</v>
      </c>
      <c r="S266" s="4" t="b">
        <f ca="1">OR(VALUE(CALC2223!AF265)&gt;VALUE(LASTV),VALUE(CALC2223!AH265)&gt;VALUE(LASTV),VALUE(CALC2223!AJ265)&gt;VALUE(LASTV))</f>
        <v>0</v>
      </c>
      <c r="T266" s="4" t="b">
        <f ca="1">OR(VALUE(CALC2223!AL265)&gt;VALUE(LASTV),VALUE(CALC2223!AN265)&gt;VALUE(LASTV),VALUE(CALC2223!AP265)&gt;VALUE(LASTV))</f>
        <v>0</v>
      </c>
      <c r="U266" s="4" t="b">
        <f ca="1">OR(VALUE(CALC2223!AR265)&gt;VALUE(LASTV),VALUE(CALC2223!AT265)&gt;VALUE(LASTV),VALUE(CALC2223!AV265)&gt;VALUE(LASTV))</f>
        <v>0</v>
      </c>
      <c r="V266" s="1"/>
    </row>
    <row r="267" spans="1:22" ht="35.25" customHeight="1">
      <c r="A267" s="45"/>
      <c r="B267" s="46" t="s">
        <v>23</v>
      </c>
      <c r="C267" s="47">
        <v>46165</v>
      </c>
      <c r="D267" s="48" t="str">
        <f ca="1">CONCATENATE(CALC2223!A266," ",CALC2223!C266," ",CALC2223!E266)</f>
        <v xml:space="preserve">  </v>
      </c>
      <c r="E267" s="48" t="str">
        <f ca="1">CONCATENATE(CALC2223!G266," ",CALC2223!I266," ",CALC2223!K266)</f>
        <v xml:space="preserve">  </v>
      </c>
      <c r="F267" s="48" t="str">
        <f ca="1">CONCATENATE(CALC2223!M266," ",CALC2223!O266," ",CALC2223!Q266)</f>
        <v xml:space="preserve">  </v>
      </c>
      <c r="G267" s="48" t="str">
        <f ca="1">CONCATENATE(CALC2223!S266," ",CALC2223!U266," ",CALC2223!W266)</f>
        <v xml:space="preserve">  </v>
      </c>
      <c r="H267" s="48" t="str">
        <f ca="1">CONCATENATE(CALC2223!Y266," ",CALC2223!AA266," ",CALC2223!AC266)</f>
        <v xml:space="preserve">  </v>
      </c>
      <c r="I267" s="48" t="str">
        <f ca="1">CONCATENATE(CALC2223!AE266," ",CALC2223!AG266," ",CALC2223!AI266)</f>
        <v xml:space="preserve">  </v>
      </c>
      <c r="J267" s="48" t="str">
        <f ca="1">CONCATENATE(CALC2223!AK266," ",CALC2223!AM266," ",CALC2223!AO266)</f>
        <v xml:space="preserve">  </v>
      </c>
      <c r="K267" s="48" t="str">
        <f ca="1">CONCATENATE(CALC2223!AQ266," ",CALC2223!AS266," ",CALC2223!AU266," ",CALC2223!AW266)</f>
        <v xml:space="preserve">   </v>
      </c>
      <c r="L267" s="49" t="str">
        <f t="shared" ca="1" si="1"/>
        <v>actueel</v>
      </c>
      <c r="M267" s="1"/>
      <c r="N267" s="4" t="b">
        <f ca="1">OR(VALUE(CALC2223!B266)&gt;VALUE(LASTV),VALUE(CALC2223!D266)&gt;VALUE(LASTV),VALUE(CALC2223!F266)&gt;VALUE(LASTV))</f>
        <v>0</v>
      </c>
      <c r="O267" s="4" t="b">
        <f ca="1">OR(VALUE(CALC2223!H266)&gt;VALUE(LASTV),VALUE(CALC2223!J266)&gt;VALUE(LASTV),VALUE(CALC2223!L266)&gt;VALUE(LASTV))</f>
        <v>0</v>
      </c>
      <c r="P267" s="4" t="b">
        <f ca="1">OR(VALUE(CALC2223!N266)&gt;VALUE(LASTV),VALUE(CALC2223!P266)&gt;VALUE(LASTV),VALUE(CALC2223!R266)&gt;VALUE(LASTV))</f>
        <v>0</v>
      </c>
      <c r="Q267" s="4" t="b">
        <f ca="1">OR(VALUE(CALC2223!T266)&gt;VALUE(LASTV),VALUE(CALC2223!V266)&gt;VALUE(LASTV),VALUE(CALC2223!X266)&gt;VALUE(LASTV))</f>
        <v>0</v>
      </c>
      <c r="R267" s="4" t="b">
        <f ca="1">OR(VALUE(CALC2223!Z266)&gt;VALUE(LASTV),VALUE(CALC2223!AB266)&gt;VALUE(LASTV),VALUE(CALC2223!AD266)&gt;VALUE(LASTV))</f>
        <v>0</v>
      </c>
      <c r="S267" s="4" t="b">
        <f ca="1">OR(VALUE(CALC2223!AF266)&gt;VALUE(LASTV),VALUE(CALC2223!AH266)&gt;VALUE(LASTV),VALUE(CALC2223!AJ266)&gt;VALUE(LASTV))</f>
        <v>0</v>
      </c>
      <c r="T267" s="4" t="b">
        <f ca="1">OR(VALUE(CALC2223!AL266)&gt;VALUE(LASTV),VALUE(CALC2223!AN266)&gt;VALUE(LASTV),VALUE(CALC2223!AP266)&gt;VALUE(LASTV))</f>
        <v>0</v>
      </c>
      <c r="U267" s="4" t="b">
        <f ca="1">OR(VALUE(CALC2223!AR266)&gt;VALUE(LASTV),VALUE(CALC2223!AT266)&gt;VALUE(LASTV),VALUE(CALC2223!AV266)&gt;VALUE(LASTV))</f>
        <v>0</v>
      </c>
      <c r="V267" s="1"/>
    </row>
    <row r="268" spans="1:22" ht="35.25" customHeight="1">
      <c r="A268" s="75"/>
      <c r="B268" s="76" t="s">
        <v>24</v>
      </c>
      <c r="C268" s="77">
        <v>46166</v>
      </c>
      <c r="D268" s="78" t="str">
        <f ca="1">CONCATENATE(CALC2223!A267," ",CALC2223!C267," ",CALC2223!E267)</f>
        <v xml:space="preserve">  </v>
      </c>
      <c r="E268" s="78" t="str">
        <f ca="1">CONCATENATE(CALC2223!G267," ",CALC2223!I267," ",CALC2223!K267)</f>
        <v xml:space="preserve">  </v>
      </c>
      <c r="F268" s="78" t="str">
        <f ca="1">CONCATENATE(CALC2223!M267," ",CALC2223!O267," ",CALC2223!Q267)</f>
        <v xml:space="preserve">  </v>
      </c>
      <c r="G268" s="78" t="str">
        <f ca="1">CONCATENATE(CALC2223!S267," ",CALC2223!U267," ",CALC2223!W267)</f>
        <v xml:space="preserve">  </v>
      </c>
      <c r="H268" s="78" t="str">
        <f ca="1">CONCATENATE(CALC2223!Y267," ",CALC2223!AA267," ",CALC2223!AC267)</f>
        <v xml:space="preserve">  </v>
      </c>
      <c r="I268" s="78" t="str">
        <f ca="1">CONCATENATE(CALC2223!AE267," ",CALC2223!AG267," ",CALC2223!AI267)</f>
        <v xml:space="preserve">  </v>
      </c>
      <c r="J268" s="78" t="str">
        <f ca="1">CONCATENATE(CALC2223!AK267," ",CALC2223!AM267," ",CALC2223!AO267)</f>
        <v xml:space="preserve">  </v>
      </c>
      <c r="K268" s="78" t="str">
        <f ca="1">CONCATENATE(CALC2223!AQ267," ",CALC2223!AS267," ",CALC2223!AU267," ",CALC2223!AW267)</f>
        <v xml:space="preserve">Eerste Pinksterdag   </v>
      </c>
      <c r="L268" s="79" t="str">
        <f t="shared" ca="1" si="1"/>
        <v>actueel</v>
      </c>
      <c r="M268" s="1"/>
      <c r="N268" s="4" t="b">
        <f ca="1">OR(VALUE(CALC2223!B267)&gt;VALUE(LASTV),VALUE(CALC2223!D267)&gt;VALUE(LASTV),VALUE(CALC2223!F267)&gt;VALUE(LASTV))</f>
        <v>0</v>
      </c>
      <c r="O268" s="4" t="b">
        <f ca="1">OR(VALUE(CALC2223!H267)&gt;VALUE(LASTV),VALUE(CALC2223!J267)&gt;VALUE(LASTV),VALUE(CALC2223!L267)&gt;VALUE(LASTV))</f>
        <v>0</v>
      </c>
      <c r="P268" s="4" t="b">
        <f ca="1">OR(VALUE(CALC2223!N267)&gt;VALUE(LASTV),VALUE(CALC2223!P267)&gt;VALUE(LASTV),VALUE(CALC2223!R267)&gt;VALUE(LASTV))</f>
        <v>0</v>
      </c>
      <c r="Q268" s="4" t="b">
        <f ca="1">OR(VALUE(CALC2223!T267)&gt;VALUE(LASTV),VALUE(CALC2223!V267)&gt;VALUE(LASTV),VALUE(CALC2223!X267)&gt;VALUE(LASTV))</f>
        <v>0</v>
      </c>
      <c r="R268" s="4" t="b">
        <f ca="1">OR(VALUE(CALC2223!Z267)&gt;VALUE(LASTV),VALUE(CALC2223!AB267)&gt;VALUE(LASTV),VALUE(CALC2223!AD267)&gt;VALUE(LASTV))</f>
        <v>0</v>
      </c>
      <c r="S268" s="4" t="b">
        <f ca="1">OR(VALUE(CALC2223!AF267)&gt;VALUE(LASTV),VALUE(CALC2223!AH267)&gt;VALUE(LASTV),VALUE(CALC2223!AJ267)&gt;VALUE(LASTV))</f>
        <v>0</v>
      </c>
      <c r="T268" s="4" t="b">
        <f ca="1">OR(VALUE(CALC2223!AL267)&gt;VALUE(LASTV),VALUE(CALC2223!AN267)&gt;VALUE(LASTV),VALUE(CALC2223!AP267)&gt;VALUE(LASTV))</f>
        <v>0</v>
      </c>
      <c r="U268" s="4" t="b">
        <f ca="1">OR(VALUE(CALC2223!AR267)&gt;VALUE(LASTV),VALUE(CALC2223!AT267)&gt;VALUE(LASTV),VALUE(CALC2223!AV267)&gt;VALUE(LASTV))</f>
        <v>0</v>
      </c>
      <c r="V268" s="1"/>
    </row>
    <row r="269" spans="1:22" ht="35.25" customHeight="1">
      <c r="A269" s="86">
        <v>22</v>
      </c>
      <c r="B269" s="76" t="s">
        <v>18</v>
      </c>
      <c r="C269" s="77">
        <v>46167</v>
      </c>
      <c r="D269" s="78" t="str">
        <f ca="1">CONCATENATE(CALC2223!A268," ",CALC2223!C268," ",CALC2223!E268)</f>
        <v xml:space="preserve">  </v>
      </c>
      <c r="E269" s="78" t="str">
        <f ca="1">CONCATENATE(CALC2223!G268," ",CALC2223!I268," ",CALC2223!K268)</f>
        <v xml:space="preserve">  </v>
      </c>
      <c r="F269" s="78" t="str">
        <f ca="1">CONCATENATE(CALC2223!M268," ",CALC2223!O268," ",CALC2223!Q268)</f>
        <v xml:space="preserve">  </v>
      </c>
      <c r="G269" s="78" t="str">
        <f ca="1">CONCATENATE(CALC2223!S268," ",CALC2223!U268," ",CALC2223!W268)</f>
        <v xml:space="preserve">  </v>
      </c>
      <c r="H269" s="78" t="str">
        <f ca="1">CONCATENATE(CALC2223!Y268," ",CALC2223!AA268," ",CALC2223!AC268)</f>
        <v xml:space="preserve">  </v>
      </c>
      <c r="I269" s="78" t="str">
        <f ca="1">CONCATENATE(CALC2223!AE268," ",CALC2223!AG268," ",CALC2223!AI268)</f>
        <v xml:space="preserve">  </v>
      </c>
      <c r="J269" s="78" t="str">
        <f ca="1">CONCATENATE(CALC2223!AK268," ",CALC2223!AM268," ",CALC2223!AO268)</f>
        <v xml:space="preserve">  </v>
      </c>
      <c r="K269" s="78" t="str">
        <f ca="1">CONCATENATE(CALC2223!AQ268," ",CALC2223!AS268," ",CALC2223!AU268," ",CALC2223!AW268)</f>
        <v xml:space="preserve">Tweede Pinksterdag   </v>
      </c>
      <c r="L269" s="79" t="str">
        <f t="shared" ca="1" si="1"/>
        <v>actueel</v>
      </c>
      <c r="M269" s="1"/>
      <c r="N269" s="4" t="b">
        <f ca="1">OR(VALUE(CALC2223!B268)&gt;VALUE(LASTV),VALUE(CALC2223!D268)&gt;VALUE(LASTV),VALUE(CALC2223!F268)&gt;VALUE(LASTV))</f>
        <v>0</v>
      </c>
      <c r="O269" s="4" t="b">
        <f ca="1">OR(VALUE(CALC2223!H268)&gt;VALUE(LASTV),VALUE(CALC2223!J268)&gt;VALUE(LASTV),VALUE(CALC2223!L268)&gt;VALUE(LASTV))</f>
        <v>0</v>
      </c>
      <c r="P269" s="4" t="b">
        <f ca="1">OR(VALUE(CALC2223!N268)&gt;VALUE(LASTV),VALUE(CALC2223!P268)&gt;VALUE(LASTV),VALUE(CALC2223!R268)&gt;VALUE(LASTV))</f>
        <v>0</v>
      </c>
      <c r="Q269" s="4" t="b">
        <f ca="1">OR(VALUE(CALC2223!T268)&gt;VALUE(LASTV),VALUE(CALC2223!V268)&gt;VALUE(LASTV),VALUE(CALC2223!X268)&gt;VALUE(LASTV))</f>
        <v>0</v>
      </c>
      <c r="R269" s="4" t="b">
        <f ca="1">OR(VALUE(CALC2223!Z268)&gt;VALUE(LASTV),VALUE(CALC2223!AB268)&gt;VALUE(LASTV),VALUE(CALC2223!AD268)&gt;VALUE(LASTV))</f>
        <v>0</v>
      </c>
      <c r="S269" s="4" t="b">
        <f ca="1">OR(VALUE(CALC2223!AF268)&gt;VALUE(LASTV),VALUE(CALC2223!AH268)&gt;VALUE(LASTV),VALUE(CALC2223!AJ268)&gt;VALUE(LASTV))</f>
        <v>0</v>
      </c>
      <c r="T269" s="4" t="b">
        <f ca="1">OR(VALUE(CALC2223!AL268)&gt;VALUE(LASTV),VALUE(CALC2223!AN268)&gt;VALUE(LASTV),VALUE(CALC2223!AP268)&gt;VALUE(LASTV))</f>
        <v>0</v>
      </c>
      <c r="U269" s="4" t="b">
        <f ca="1">OR(VALUE(CALC2223!AR268)&gt;VALUE(LASTV),VALUE(CALC2223!AT268)&gt;VALUE(LASTV),VALUE(CALC2223!AV268)&gt;VALUE(LASTV))</f>
        <v>0</v>
      </c>
      <c r="V269" s="1"/>
    </row>
    <row r="270" spans="1:22" ht="35.25" customHeight="1">
      <c r="A270" s="40"/>
      <c r="B270" s="41" t="s">
        <v>19</v>
      </c>
      <c r="C270" s="42">
        <v>46168</v>
      </c>
      <c r="D270" s="43" t="str">
        <f ca="1">CONCATENATE(CALC2223!A269," ",CALC2223!C269," ",CALC2223!E269)</f>
        <v xml:space="preserve">  </v>
      </c>
      <c r="E270" s="43" t="str">
        <f ca="1">CONCATENATE(CALC2223!G269," ",CALC2223!I269," ",CALC2223!K269)</f>
        <v xml:space="preserve">  </v>
      </c>
      <c r="F270" s="43" t="str">
        <f ca="1">CONCATENATE(CALC2223!M269," ",CALC2223!O269," ",CALC2223!Q269)</f>
        <v xml:space="preserve">  </v>
      </c>
      <c r="G270" s="43" t="str">
        <f ca="1">CONCATENATE(CALC2223!S269," ",CALC2223!U269," ",CALC2223!W269)</f>
        <v xml:space="preserve">  </v>
      </c>
      <c r="H270" s="43" t="str">
        <f ca="1">CONCATENATE(CALC2223!Y269," ",CALC2223!AA269," ",CALC2223!AC269)</f>
        <v xml:space="preserve">  </v>
      </c>
      <c r="I270" s="43" t="str">
        <f ca="1">CONCATENATE(CALC2223!AE269," ",CALC2223!AG269," ",CALC2223!AI269)</f>
        <v xml:space="preserve">   /FA  </v>
      </c>
      <c r="J270" s="43" t="str">
        <f ca="1">CONCATENATE(CALC2223!AK269," ",CALC2223!AM269," ",CALC2223!AO269)</f>
        <v xml:space="preserve">  </v>
      </c>
      <c r="K270" s="43" t="str">
        <f ca="1">CONCATENATE(CALC2223!AQ269," ",CALC2223!AS269," ",CALC2223!AU269," ",CALC2223!AW269)</f>
        <v xml:space="preserve">offerfeest?   </v>
      </c>
      <c r="L270" s="44" t="str">
        <f t="shared" ca="1" si="1"/>
        <v>actueel</v>
      </c>
      <c r="M270" s="1"/>
      <c r="N270" s="4" t="b">
        <f ca="1">OR(VALUE(CALC2223!B269)&gt;VALUE(LASTV),VALUE(CALC2223!D269)&gt;VALUE(LASTV),VALUE(CALC2223!F269)&gt;VALUE(LASTV))</f>
        <v>0</v>
      </c>
      <c r="O270" s="4" t="b">
        <f ca="1">OR(VALUE(CALC2223!H269)&gt;VALUE(LASTV),VALUE(CALC2223!J269)&gt;VALUE(LASTV),VALUE(CALC2223!L269)&gt;VALUE(LASTV))</f>
        <v>0</v>
      </c>
      <c r="P270" s="4" t="b">
        <f ca="1">OR(VALUE(CALC2223!N269)&gt;VALUE(LASTV),VALUE(CALC2223!P269)&gt;VALUE(LASTV),VALUE(CALC2223!R269)&gt;VALUE(LASTV))</f>
        <v>0</v>
      </c>
      <c r="Q270" s="4" t="b">
        <f ca="1">OR(VALUE(CALC2223!T269)&gt;VALUE(LASTV),VALUE(CALC2223!V269)&gt;VALUE(LASTV),VALUE(CALC2223!X269)&gt;VALUE(LASTV))</f>
        <v>0</v>
      </c>
      <c r="R270" s="4" t="b">
        <f ca="1">OR(VALUE(CALC2223!Z269)&gt;VALUE(LASTV),VALUE(CALC2223!AB269)&gt;VALUE(LASTV),VALUE(CALC2223!AD269)&gt;VALUE(LASTV))</f>
        <v>0</v>
      </c>
      <c r="S270" s="4" t="b">
        <f ca="1">OR(VALUE(CALC2223!AF269)&gt;VALUE(LASTV),VALUE(CALC2223!AH269)&gt;VALUE(LASTV),VALUE(CALC2223!AJ269)&gt;VALUE(LASTV))</f>
        <v>0</v>
      </c>
      <c r="T270" s="4" t="b">
        <f ca="1">OR(VALUE(CALC2223!AL269)&gt;VALUE(LASTV),VALUE(CALC2223!AN269)&gt;VALUE(LASTV),VALUE(CALC2223!AP269)&gt;VALUE(LASTV))</f>
        <v>0</v>
      </c>
      <c r="U270" s="4" t="b">
        <f ca="1">OR(VALUE(CALC2223!AR269)&gt;VALUE(LASTV),VALUE(CALC2223!AT269)&gt;VALUE(LASTV),VALUE(CALC2223!AV269)&gt;VALUE(LASTV))</f>
        <v>0</v>
      </c>
      <c r="V270" s="1"/>
    </row>
    <row r="271" spans="1:22" ht="35.25" customHeight="1">
      <c r="A271" s="40"/>
      <c r="B271" s="41" t="s">
        <v>20</v>
      </c>
      <c r="C271" s="42">
        <v>46169</v>
      </c>
      <c r="D271" s="43" t="str">
        <f ca="1">CONCATENATE(CALC2223!A270," ",CALC2223!C270," ",CALC2223!E270)</f>
        <v xml:space="preserve">Rep AK  </v>
      </c>
      <c r="E271" s="43" t="str">
        <f ca="1">CONCATENATE(CALC2223!G270," ",CALC2223!I270," ",CALC2223!K270)</f>
        <v xml:space="preserve">  </v>
      </c>
      <c r="F271" s="43" t="str">
        <f ca="1">CONCATENATE(CALC2223!M270," ",CALC2223!O270," ",CALC2223!Q270)</f>
        <v xml:space="preserve">  </v>
      </c>
      <c r="G271" s="43" t="str">
        <f ca="1">CONCATENATE(CALC2223!S270," ",CALC2223!U270," ",CALC2223!W270)</f>
        <v xml:space="preserve">  </v>
      </c>
      <c r="H271" s="43" t="str">
        <f ca="1">CONCATENATE(CALC2223!Y270," ",CALC2223!AA270," ",CALC2223!AC270)</f>
        <v xml:space="preserve">Rep EC  </v>
      </c>
      <c r="I271" s="43" t="str">
        <f ca="1">CONCATENATE(CALC2223!AE270," ",CALC2223!AG270," ",CALC2223!AI270)</f>
        <v xml:space="preserve">  /SP  </v>
      </c>
      <c r="J271" s="43" t="str">
        <f ca="1">CONCATENATE(CALC2223!AK270," ",CALC2223!AM270," ",CALC2223!AO270)</f>
        <v xml:space="preserve">  </v>
      </c>
      <c r="K271" s="43" t="str">
        <f ca="1">CONCATENATE(CALC2223!AQ270," ",CALC2223!AS270," ",CALC2223!AU270," ",CALC2223!AW270)</f>
        <v xml:space="preserve">   </v>
      </c>
      <c r="L271" s="44" t="str">
        <f t="shared" ca="1" si="1"/>
        <v>actueel</v>
      </c>
      <c r="M271" s="1"/>
      <c r="N271" s="4" t="b">
        <f ca="1">OR(VALUE(CALC2223!B270)&gt;VALUE(LASTV),VALUE(CALC2223!D270)&gt;VALUE(LASTV),VALUE(CALC2223!F270)&gt;VALUE(LASTV))</f>
        <v>0</v>
      </c>
      <c r="O271" s="4" t="b">
        <f ca="1">OR(VALUE(CALC2223!H270)&gt;VALUE(LASTV),VALUE(CALC2223!J270)&gt;VALUE(LASTV),VALUE(CALC2223!L270)&gt;VALUE(LASTV))</f>
        <v>0</v>
      </c>
      <c r="P271" s="4" t="b">
        <f ca="1">OR(VALUE(CALC2223!N270)&gt;VALUE(LASTV),VALUE(CALC2223!P270)&gt;VALUE(LASTV),VALUE(CALC2223!R270)&gt;VALUE(LASTV))</f>
        <v>0</v>
      </c>
      <c r="Q271" s="4" t="b">
        <f ca="1">OR(VALUE(CALC2223!T270)&gt;VALUE(LASTV),VALUE(CALC2223!V270)&gt;VALUE(LASTV),VALUE(CALC2223!X270)&gt;VALUE(LASTV))</f>
        <v>0</v>
      </c>
      <c r="R271" s="4" t="b">
        <f ca="1">OR(VALUE(CALC2223!Z270)&gt;VALUE(LASTV),VALUE(CALC2223!AB270)&gt;VALUE(LASTV),VALUE(CALC2223!AD270)&gt;VALUE(LASTV))</f>
        <v>0</v>
      </c>
      <c r="S271" s="4" t="b">
        <f ca="1">OR(VALUE(CALC2223!AF270)&gt;VALUE(LASTV),VALUE(CALC2223!AH270)&gt;VALUE(LASTV),VALUE(CALC2223!AJ270)&gt;VALUE(LASTV))</f>
        <v>0</v>
      </c>
      <c r="T271" s="4" t="b">
        <f ca="1">OR(VALUE(CALC2223!AL270)&gt;VALUE(LASTV),VALUE(CALC2223!AN270)&gt;VALUE(LASTV),VALUE(CALC2223!AP270)&gt;VALUE(LASTV))</f>
        <v>0</v>
      </c>
      <c r="U271" s="4" t="b">
        <f ca="1">OR(VALUE(CALC2223!AR270)&gt;VALUE(LASTV),VALUE(CALC2223!AT270)&gt;VALUE(LASTV),VALUE(CALC2223!AV270)&gt;VALUE(LASTV))</f>
        <v>0</v>
      </c>
      <c r="V271" s="1"/>
    </row>
    <row r="272" spans="1:22" ht="35.25" customHeight="1">
      <c r="A272" s="40"/>
      <c r="B272" s="41" t="s">
        <v>21</v>
      </c>
      <c r="C272" s="42">
        <v>46170</v>
      </c>
      <c r="D272" s="43" t="str">
        <f ca="1">CONCATENATE(CALC2223!A271," ",CALC2223!C271," ",CALC2223!E271)</f>
        <v xml:space="preserve">  </v>
      </c>
      <c r="E272" s="43" t="str">
        <f ca="1">CONCATENATE(CALC2223!G271," ",CALC2223!I271," ",CALC2223!K271)</f>
        <v xml:space="preserve">  </v>
      </c>
      <c r="F272" s="43" t="str">
        <f ca="1">CONCATENATE(CALC2223!M271," ",CALC2223!O271," ",CALC2223!Q271)</f>
        <v xml:space="preserve">Rep AK  </v>
      </c>
      <c r="G272" s="43" t="str">
        <f ca="1">CONCATENATE(CALC2223!S271," ",CALC2223!U271," ",CALC2223!W271)</f>
        <v xml:space="preserve">  </v>
      </c>
      <c r="H272" s="43" t="str">
        <f ca="1">CONCATENATE(CALC2223!Y271," ",CALC2223!AA271," ",CALC2223!AC271)</f>
        <v xml:space="preserve">inh rep WiB en WiA  </v>
      </c>
      <c r="I272" s="43" t="str">
        <f ca="1">CONCATENATE(CALC2223!AE271," ",CALC2223!AG271," ",CALC2223!AI271)</f>
        <v xml:space="preserve">  </v>
      </c>
      <c r="J272" s="43" t="str">
        <f ca="1">CONCATENATE(CALC2223!AK271," ",CALC2223!AM271," ",CALC2223!AO271)</f>
        <v xml:space="preserve">mentoren#7  </v>
      </c>
      <c r="K272" s="43" t="str">
        <f ca="1">CONCATENATE(CALC2223!AQ271," ",CALC2223!AS271," ",CALC2223!AU271," ",CALC2223!AW271)</f>
        <v xml:space="preserve">   </v>
      </c>
      <c r="L272" s="44" t="str">
        <f t="shared" ca="1" si="1"/>
        <v>actueel</v>
      </c>
      <c r="M272" s="1"/>
      <c r="N272" s="4" t="b">
        <f ca="1">OR(VALUE(CALC2223!B271)&gt;VALUE(LASTV),VALUE(CALC2223!D271)&gt;VALUE(LASTV),VALUE(CALC2223!F271)&gt;VALUE(LASTV))</f>
        <v>0</v>
      </c>
      <c r="O272" s="4" t="b">
        <f ca="1">OR(VALUE(CALC2223!H271)&gt;VALUE(LASTV),VALUE(CALC2223!J271)&gt;VALUE(LASTV),VALUE(CALC2223!L271)&gt;VALUE(LASTV))</f>
        <v>0</v>
      </c>
      <c r="P272" s="4" t="b">
        <f ca="1">OR(VALUE(CALC2223!N271)&gt;VALUE(LASTV),VALUE(CALC2223!P271)&gt;VALUE(LASTV),VALUE(CALC2223!R271)&gt;VALUE(LASTV))</f>
        <v>0</v>
      </c>
      <c r="Q272" s="4" t="b">
        <f ca="1">OR(VALUE(CALC2223!T271)&gt;VALUE(LASTV),VALUE(CALC2223!V271)&gt;VALUE(LASTV),VALUE(CALC2223!X271)&gt;VALUE(LASTV))</f>
        <v>0</v>
      </c>
      <c r="R272" s="4" t="b">
        <f ca="1">OR(VALUE(CALC2223!Z271)&gt;VALUE(LASTV),VALUE(CALC2223!AB271)&gt;VALUE(LASTV),VALUE(CALC2223!AD271)&gt;VALUE(LASTV))</f>
        <v>0</v>
      </c>
      <c r="S272" s="4" t="b">
        <f ca="1">OR(VALUE(CALC2223!AF271)&gt;VALUE(LASTV),VALUE(CALC2223!AH271)&gt;VALUE(LASTV),VALUE(CALC2223!AJ271)&gt;VALUE(LASTV))</f>
        <v>0</v>
      </c>
      <c r="T272" s="4" t="b">
        <f ca="1">OR(VALUE(CALC2223!AL271)&gt;VALUE(LASTV),VALUE(CALC2223!AN271)&gt;VALUE(LASTV),VALUE(CALC2223!AP271)&gt;VALUE(LASTV))</f>
        <v>0</v>
      </c>
      <c r="U272" s="4" t="b">
        <f ca="1">OR(VALUE(CALC2223!AR271)&gt;VALUE(LASTV),VALUE(CALC2223!AT271)&gt;VALUE(LASTV),VALUE(CALC2223!AV271)&gt;VALUE(LASTV))</f>
        <v>0</v>
      </c>
      <c r="V272" s="1"/>
    </row>
    <row r="273" spans="1:22" ht="35.25" customHeight="1">
      <c r="A273" s="40"/>
      <c r="B273" s="41" t="s">
        <v>22</v>
      </c>
      <c r="C273" s="42">
        <v>46171</v>
      </c>
      <c r="D273" s="43" t="str">
        <f ca="1">CONCATENATE(CALC2223!A272," ",CALC2223!C272," ",CALC2223!E272)</f>
        <v xml:space="preserve">  </v>
      </c>
      <c r="E273" s="43" t="str">
        <f ca="1">CONCATENATE(CALC2223!G272," ",CALC2223!I272," ",CALC2223!K272)</f>
        <v xml:space="preserve">Rep BIO  </v>
      </c>
      <c r="F273" s="43" t="str">
        <f ca="1">CONCATENATE(CALC2223!M272," ",CALC2223!O272," ",CALC2223!Q272)</f>
        <v xml:space="preserve">  </v>
      </c>
      <c r="G273" s="43" t="str">
        <f ca="1">CONCATENATE(CALC2223!S272," ",CALC2223!U272," ",CALC2223!W272)</f>
        <v xml:space="preserve">Rep NA  </v>
      </c>
      <c r="H273" s="43" t="str">
        <f ca="1">CONCATENATE(CALC2223!Y272," ",CALC2223!AA272," ",CALC2223!AC272)</f>
        <v xml:space="preserve">  </v>
      </c>
      <c r="I273" s="43" t="str">
        <f ca="1">CONCATENATE(CALC2223!AE272," ",CALC2223!AG272," ",CALC2223!AI272)</f>
        <v xml:space="preserve">  </v>
      </c>
      <c r="J273" s="43" t="str">
        <f ca="1">CONCATENATE(CALC2223!AK272," ",CALC2223!AM272," ",CALC2223!AO272)</f>
        <v xml:space="preserve">  </v>
      </c>
      <c r="K273" s="43" t="str">
        <f ca="1">CONCATENATE(CALC2223!AQ272," ",CALC2223!AS272," ",CALC2223!AU272," ",CALC2223!AW272)</f>
        <v xml:space="preserve">   </v>
      </c>
      <c r="L273" s="44" t="str">
        <f t="shared" ca="1" si="1"/>
        <v>actueel</v>
      </c>
      <c r="M273" s="1"/>
      <c r="N273" s="4" t="b">
        <f ca="1">OR(VALUE(CALC2223!B272)&gt;VALUE(LASTV),VALUE(CALC2223!D272)&gt;VALUE(LASTV),VALUE(CALC2223!F272)&gt;VALUE(LASTV))</f>
        <v>0</v>
      </c>
      <c r="O273" s="4" t="b">
        <f ca="1">OR(VALUE(CALC2223!H272)&gt;VALUE(LASTV),VALUE(CALC2223!J272)&gt;VALUE(LASTV),VALUE(CALC2223!L272)&gt;VALUE(LASTV))</f>
        <v>0</v>
      </c>
      <c r="P273" s="4" t="b">
        <f ca="1">OR(VALUE(CALC2223!N272)&gt;VALUE(LASTV),VALUE(CALC2223!P272)&gt;VALUE(LASTV),VALUE(CALC2223!R272)&gt;VALUE(LASTV))</f>
        <v>0</v>
      </c>
      <c r="Q273" s="4" t="b">
        <f ca="1">OR(VALUE(CALC2223!T272)&gt;VALUE(LASTV),VALUE(CALC2223!V272)&gt;VALUE(LASTV),VALUE(CALC2223!X272)&gt;VALUE(LASTV))</f>
        <v>0</v>
      </c>
      <c r="R273" s="4" t="b">
        <f ca="1">OR(VALUE(CALC2223!Z272)&gt;VALUE(LASTV),VALUE(CALC2223!AB272)&gt;VALUE(LASTV),VALUE(CALC2223!AD272)&gt;VALUE(LASTV))</f>
        <v>0</v>
      </c>
      <c r="S273" s="4" t="b">
        <f ca="1">OR(VALUE(CALC2223!AF272)&gt;VALUE(LASTV),VALUE(CALC2223!AH272)&gt;VALUE(LASTV),VALUE(CALC2223!AJ272)&gt;VALUE(LASTV))</f>
        <v>0</v>
      </c>
      <c r="T273" s="4" t="b">
        <f ca="1">OR(VALUE(CALC2223!AL272)&gt;VALUE(LASTV),VALUE(CALC2223!AN272)&gt;VALUE(LASTV),VALUE(CALC2223!AP272)&gt;VALUE(LASTV))</f>
        <v>0</v>
      </c>
      <c r="U273" s="4" t="b">
        <f ca="1">OR(VALUE(CALC2223!AR272)&gt;VALUE(LASTV),VALUE(CALC2223!AT272)&gt;VALUE(LASTV),VALUE(CALC2223!AV272)&gt;VALUE(LASTV))</f>
        <v>0</v>
      </c>
      <c r="V273" s="1"/>
    </row>
    <row r="274" spans="1:22" ht="35.25" customHeight="1">
      <c r="A274" s="45"/>
      <c r="B274" s="46" t="s">
        <v>23</v>
      </c>
      <c r="C274" s="47">
        <v>46172</v>
      </c>
      <c r="D274" s="48" t="str">
        <f ca="1">CONCATENATE(CALC2223!A273," ",CALC2223!C273," ",CALC2223!E273)</f>
        <v xml:space="preserve">  </v>
      </c>
      <c r="E274" s="48" t="str">
        <f ca="1">CONCATENATE(CALC2223!G273," ",CALC2223!I273," ",CALC2223!K273)</f>
        <v xml:space="preserve">  </v>
      </c>
      <c r="F274" s="48" t="str">
        <f ca="1">CONCATENATE(CALC2223!M273," ",CALC2223!O273," ",CALC2223!Q273)</f>
        <v xml:space="preserve">  </v>
      </c>
      <c r="G274" s="48" t="str">
        <f ca="1">CONCATENATE(CALC2223!S273," ",CALC2223!U273," ",CALC2223!W273)</f>
        <v xml:space="preserve">  </v>
      </c>
      <c r="H274" s="48" t="str">
        <f ca="1">CONCATENATE(CALC2223!Y273," ",CALC2223!AA273," ",CALC2223!AC273)</f>
        <v xml:space="preserve">  </v>
      </c>
      <c r="I274" s="48" t="str">
        <f ca="1">CONCATENATE(CALC2223!AE273," ",CALC2223!AG273," ",CALC2223!AI273)</f>
        <v xml:space="preserve">  </v>
      </c>
      <c r="J274" s="48" t="str">
        <f ca="1">CONCATENATE(CALC2223!AK273," ",CALC2223!AM273," ",CALC2223!AO273)</f>
        <v xml:space="preserve">  </v>
      </c>
      <c r="K274" s="48" t="str">
        <f ca="1">CONCATENATE(CALC2223!AQ273," ",CALC2223!AS273," ",CALC2223!AU273," ",CALC2223!AW273)</f>
        <v xml:space="preserve">   </v>
      </c>
      <c r="L274" s="49" t="str">
        <f t="shared" ca="1" si="1"/>
        <v>actueel</v>
      </c>
      <c r="M274" s="1"/>
      <c r="N274" s="4" t="b">
        <f ca="1">OR(VALUE(CALC2223!B273)&gt;VALUE(LASTV),VALUE(CALC2223!D273)&gt;VALUE(LASTV),VALUE(CALC2223!F273)&gt;VALUE(LASTV))</f>
        <v>0</v>
      </c>
      <c r="O274" s="4" t="b">
        <f ca="1">OR(VALUE(CALC2223!H273)&gt;VALUE(LASTV),VALUE(CALC2223!J273)&gt;VALUE(LASTV),VALUE(CALC2223!L273)&gt;VALUE(LASTV))</f>
        <v>0</v>
      </c>
      <c r="P274" s="4" t="b">
        <f ca="1">OR(VALUE(CALC2223!N273)&gt;VALUE(LASTV),VALUE(CALC2223!P273)&gt;VALUE(LASTV),VALUE(CALC2223!R273)&gt;VALUE(LASTV))</f>
        <v>0</v>
      </c>
      <c r="Q274" s="4" t="b">
        <f ca="1">OR(VALUE(CALC2223!T273)&gt;VALUE(LASTV),VALUE(CALC2223!V273)&gt;VALUE(LASTV),VALUE(CALC2223!X273)&gt;VALUE(LASTV))</f>
        <v>0</v>
      </c>
      <c r="R274" s="4" t="b">
        <f ca="1">OR(VALUE(CALC2223!Z273)&gt;VALUE(LASTV),VALUE(CALC2223!AB273)&gt;VALUE(LASTV),VALUE(CALC2223!AD273)&gt;VALUE(LASTV))</f>
        <v>0</v>
      </c>
      <c r="S274" s="4" t="b">
        <f ca="1">OR(VALUE(CALC2223!AF273)&gt;VALUE(LASTV),VALUE(CALC2223!AH273)&gt;VALUE(LASTV),VALUE(CALC2223!AJ273)&gt;VALUE(LASTV))</f>
        <v>0</v>
      </c>
      <c r="T274" s="4" t="b">
        <f ca="1">OR(VALUE(CALC2223!AL273)&gt;VALUE(LASTV),VALUE(CALC2223!AN273)&gt;VALUE(LASTV),VALUE(CALC2223!AP273)&gt;VALUE(LASTV))</f>
        <v>0</v>
      </c>
      <c r="U274" s="4" t="b">
        <f ca="1">OR(VALUE(CALC2223!AR273)&gt;VALUE(LASTV),VALUE(CALC2223!AT273)&gt;VALUE(LASTV),VALUE(CALC2223!AV273)&gt;VALUE(LASTV))</f>
        <v>0</v>
      </c>
      <c r="V274" s="1"/>
    </row>
    <row r="275" spans="1:22" ht="35.25" customHeight="1">
      <c r="A275" s="45"/>
      <c r="B275" s="46" t="s">
        <v>24</v>
      </c>
      <c r="C275" s="47">
        <v>46173</v>
      </c>
      <c r="D275" s="48" t="str">
        <f ca="1">CONCATENATE(CALC2223!A274," ",CALC2223!C274," ",CALC2223!E274)</f>
        <v xml:space="preserve">  </v>
      </c>
      <c r="E275" s="48" t="str">
        <f ca="1">CONCATENATE(CALC2223!G274," ",CALC2223!I274," ",CALC2223!K274)</f>
        <v xml:space="preserve">  </v>
      </c>
      <c r="F275" s="48" t="str">
        <f ca="1">CONCATENATE(CALC2223!M274," ",CALC2223!O274," ",CALC2223!Q274)</f>
        <v xml:space="preserve">  </v>
      </c>
      <c r="G275" s="48" t="str">
        <f ca="1">CONCATENATE(CALC2223!S274," ",CALC2223!U274," ",CALC2223!W274)</f>
        <v xml:space="preserve">  </v>
      </c>
      <c r="H275" s="48" t="str">
        <f ca="1">CONCATENATE(CALC2223!Y274," ",CALC2223!AA274," ",CALC2223!AC274)</f>
        <v xml:space="preserve">  </v>
      </c>
      <c r="I275" s="48" t="str">
        <f ca="1">CONCATENATE(CALC2223!AE274," ",CALC2223!AG274," ",CALC2223!AI274)</f>
        <v xml:space="preserve">  </v>
      </c>
      <c r="J275" s="48" t="str">
        <f ca="1">CONCATENATE(CALC2223!AK274," ",CALC2223!AM274," ",CALC2223!AO274)</f>
        <v xml:space="preserve">  </v>
      </c>
      <c r="K275" s="48" t="str">
        <f ca="1">CONCATENATE(CALC2223!AQ274," ",CALC2223!AS274," ",CALC2223!AU274," ",CALC2223!AW274)</f>
        <v xml:space="preserve">   </v>
      </c>
      <c r="L275" s="49" t="str">
        <f t="shared" ca="1" si="1"/>
        <v>actueel</v>
      </c>
      <c r="M275" s="1"/>
      <c r="N275" s="4" t="b">
        <f ca="1">OR(VALUE(CALC2223!B274)&gt;VALUE(LASTV),VALUE(CALC2223!D274)&gt;VALUE(LASTV),VALUE(CALC2223!F274)&gt;VALUE(LASTV))</f>
        <v>0</v>
      </c>
      <c r="O275" s="4" t="b">
        <f ca="1">OR(VALUE(CALC2223!H274)&gt;VALUE(LASTV),VALUE(CALC2223!J274)&gt;VALUE(LASTV),VALUE(CALC2223!L274)&gt;VALUE(LASTV))</f>
        <v>0</v>
      </c>
      <c r="P275" s="4" t="b">
        <f ca="1">OR(VALUE(CALC2223!N274)&gt;VALUE(LASTV),VALUE(CALC2223!P274)&gt;VALUE(LASTV),VALUE(CALC2223!R274)&gt;VALUE(LASTV))</f>
        <v>0</v>
      </c>
      <c r="Q275" s="4" t="b">
        <f ca="1">OR(VALUE(CALC2223!T274)&gt;VALUE(LASTV),VALUE(CALC2223!V274)&gt;VALUE(LASTV),VALUE(CALC2223!X274)&gt;VALUE(LASTV))</f>
        <v>0</v>
      </c>
      <c r="R275" s="4" t="b">
        <f ca="1">OR(VALUE(CALC2223!Z274)&gt;VALUE(LASTV),VALUE(CALC2223!AB274)&gt;VALUE(LASTV),VALUE(CALC2223!AD274)&gt;VALUE(LASTV))</f>
        <v>0</v>
      </c>
      <c r="S275" s="4" t="b">
        <f ca="1">OR(VALUE(CALC2223!AF274)&gt;VALUE(LASTV),VALUE(CALC2223!AH274)&gt;VALUE(LASTV),VALUE(CALC2223!AJ274)&gt;VALUE(LASTV))</f>
        <v>0</v>
      </c>
      <c r="T275" s="4" t="b">
        <f ca="1">OR(VALUE(CALC2223!AL274)&gt;VALUE(LASTV),VALUE(CALC2223!AN274)&gt;VALUE(LASTV),VALUE(CALC2223!AP274)&gt;VALUE(LASTV))</f>
        <v>0</v>
      </c>
      <c r="U275" s="4" t="b">
        <f ca="1">OR(VALUE(CALC2223!AR274)&gt;VALUE(LASTV),VALUE(CALC2223!AT274)&gt;VALUE(LASTV),VALUE(CALC2223!AV274)&gt;VALUE(LASTV))</f>
        <v>0</v>
      </c>
      <c r="V275" s="1"/>
    </row>
    <row r="276" spans="1:22" ht="35.25" customHeight="1">
      <c r="A276" s="50">
        <v>23</v>
      </c>
      <c r="B276" s="41" t="s">
        <v>18</v>
      </c>
      <c r="C276" s="42">
        <v>46174</v>
      </c>
      <c r="D276" s="43" t="str">
        <f ca="1">CONCATENATE(CALC2223!A275," ",CALC2223!C275," ",CALC2223!E275)</f>
        <v xml:space="preserve">  </v>
      </c>
      <c r="E276" s="43" t="str">
        <f ca="1">CONCATENATE(CALC2223!G275," ",CALC2223!I275," ",CALC2223!K275)</f>
        <v xml:space="preserve">  </v>
      </c>
      <c r="F276" s="43" t="str">
        <f ca="1">CONCATENATE(CALC2223!M275," ",CALC2223!O275," ",CALC2223!Q275)</f>
        <v xml:space="preserve">bezoek leerlingen uit Munster  </v>
      </c>
      <c r="G276" s="43" t="str">
        <f ca="1">CONCATENATE(CALC2223!S275," ",CALC2223!U275," ",CALC2223!W275)</f>
        <v xml:space="preserve">inh rep SK bezoek leerlingen uit Munster </v>
      </c>
      <c r="H276" s="43" t="str">
        <f ca="1">CONCATENATE(CALC2223!Y275," ",CALC2223!AA275," ",CALC2223!AC275)</f>
        <v xml:space="preserve">inh SE MAAT  </v>
      </c>
      <c r="I276" s="43" t="str">
        <f ca="1">CONCATENATE(CALC2223!AE275," ",CALC2223!AG275," ",CALC2223!AI275)</f>
        <v xml:space="preserve">  </v>
      </c>
      <c r="J276" s="43" t="str">
        <f ca="1">CONCATENATE(CALC2223!AK275," ",CALC2223!AM275," ",CALC2223!AO275)</f>
        <v xml:space="preserve">  </v>
      </c>
      <c r="K276" s="43" t="str">
        <f ca="1">CONCATENATE(CALC2223!AQ275," ",CALC2223!AS275," ",CALC2223!AU275," ",CALC2223!AW275)</f>
        <v xml:space="preserve">   </v>
      </c>
      <c r="L276" s="44" t="str">
        <f t="shared" ca="1" si="1"/>
        <v>actueel</v>
      </c>
      <c r="M276" s="1"/>
      <c r="N276" s="4" t="b">
        <f ca="1">OR(VALUE(CALC2223!B275)&gt;VALUE(LASTV),VALUE(CALC2223!D275)&gt;VALUE(LASTV),VALUE(CALC2223!F275)&gt;VALUE(LASTV))</f>
        <v>0</v>
      </c>
      <c r="O276" s="4" t="b">
        <f ca="1">OR(VALUE(CALC2223!H275)&gt;VALUE(LASTV),VALUE(CALC2223!J275)&gt;VALUE(LASTV),VALUE(CALC2223!L275)&gt;VALUE(LASTV))</f>
        <v>0</v>
      </c>
      <c r="P276" s="4" t="b">
        <f ca="1">OR(VALUE(CALC2223!N275)&gt;VALUE(LASTV),VALUE(CALC2223!P275)&gt;VALUE(LASTV),VALUE(CALC2223!R275)&gt;VALUE(LASTV))</f>
        <v>0</v>
      </c>
      <c r="Q276" s="4" t="b">
        <f ca="1">OR(VALUE(CALC2223!T275)&gt;VALUE(LASTV),VALUE(CALC2223!V275)&gt;VALUE(LASTV),VALUE(CALC2223!X275)&gt;VALUE(LASTV))</f>
        <v>0</v>
      </c>
      <c r="R276" s="4" t="b">
        <f ca="1">OR(VALUE(CALC2223!Z275)&gt;VALUE(LASTV),VALUE(CALC2223!AB275)&gt;VALUE(LASTV),VALUE(CALC2223!AD275)&gt;VALUE(LASTV))</f>
        <v>0</v>
      </c>
      <c r="S276" s="4" t="b">
        <f ca="1">OR(VALUE(CALC2223!AF275)&gt;VALUE(LASTV),VALUE(CALC2223!AH275)&gt;VALUE(LASTV),VALUE(CALC2223!AJ275)&gt;VALUE(LASTV))</f>
        <v>0</v>
      </c>
      <c r="T276" s="4" t="b">
        <f ca="1">OR(VALUE(CALC2223!AL275)&gt;VALUE(LASTV),VALUE(CALC2223!AN275)&gt;VALUE(LASTV),VALUE(CALC2223!AP275)&gt;VALUE(LASTV))</f>
        <v>0</v>
      </c>
      <c r="U276" s="4" t="b">
        <f ca="1">OR(VALUE(CALC2223!AR275)&gt;VALUE(LASTV),VALUE(CALC2223!AT275)&gt;VALUE(LASTV),VALUE(CALC2223!AV275)&gt;VALUE(LASTV))</f>
        <v>0</v>
      </c>
      <c r="V276" s="1"/>
    </row>
    <row r="277" spans="1:22" ht="35.25" customHeight="1">
      <c r="A277" s="40"/>
      <c r="B277" s="41" t="s">
        <v>19</v>
      </c>
      <c r="C277" s="42">
        <v>46175</v>
      </c>
      <c r="D277" s="43" t="str">
        <f ca="1">CONCATENATE(CALC2223!A276," ",CALC2223!C276," ",CALC2223!E276)</f>
        <v xml:space="preserve">  </v>
      </c>
      <c r="E277" s="43" t="str">
        <f ca="1">CONCATENATE(CALC2223!G276," ",CALC2223!I276," ",CALC2223!K276)</f>
        <v xml:space="preserve">  </v>
      </c>
      <c r="F277" s="43" t="str">
        <f ca="1">CONCATENATE(CALC2223!M276," ",CALC2223!O276," ",CALC2223!Q276)</f>
        <v xml:space="preserve">bezoek leerlingen uit Munster  </v>
      </c>
      <c r="G277" s="43" t="str">
        <f ca="1">CONCATENATE(CALC2223!S276," ",CALC2223!U276," ",CALC2223!W276)</f>
        <v xml:space="preserve">bezoek leerlingen uit Munster  </v>
      </c>
      <c r="H277" s="43" t="str">
        <f ca="1">CONCATENATE(CALC2223!Y276," ",CALC2223!AA276," ",CALC2223!AC276)</f>
        <v xml:space="preserve">  </v>
      </c>
      <c r="I277" s="43" t="str">
        <f ca="1">CONCATENATE(CALC2223!AE276," ",CALC2223!AG276," ",CALC2223!AI276)</f>
        <v xml:space="preserve">  </v>
      </c>
      <c r="J277" s="43" t="str">
        <f ca="1">CONCATENATE(CALC2223!AK276," ",CALC2223!AM276," ",CALC2223!AO276)</f>
        <v xml:space="preserve">  </v>
      </c>
      <c r="K277" s="43" t="str">
        <f ca="1">CONCATENATE(CALC2223!AQ276," ",CALC2223!AS276," ",CALC2223!AU276," ",CALC2223!AW276)</f>
        <v xml:space="preserve">   </v>
      </c>
      <c r="L277" s="44" t="str">
        <f t="shared" ca="1" si="1"/>
        <v>actueel</v>
      </c>
      <c r="M277" s="1"/>
      <c r="N277" s="4" t="b">
        <f ca="1">OR(VALUE(CALC2223!B276)&gt;VALUE(LASTV),VALUE(CALC2223!D276)&gt;VALUE(LASTV),VALUE(CALC2223!F276)&gt;VALUE(LASTV))</f>
        <v>0</v>
      </c>
      <c r="O277" s="4" t="b">
        <f ca="1">OR(VALUE(CALC2223!H276)&gt;VALUE(LASTV),VALUE(CALC2223!J276)&gt;VALUE(LASTV),VALUE(CALC2223!L276)&gt;VALUE(LASTV))</f>
        <v>0</v>
      </c>
      <c r="P277" s="4" t="b">
        <f ca="1">OR(VALUE(CALC2223!N276)&gt;VALUE(LASTV),VALUE(CALC2223!P276)&gt;VALUE(LASTV),VALUE(CALC2223!R276)&gt;VALUE(LASTV))</f>
        <v>0</v>
      </c>
      <c r="Q277" s="4" t="b">
        <f ca="1">OR(VALUE(CALC2223!T276)&gt;VALUE(LASTV),VALUE(CALC2223!V276)&gt;VALUE(LASTV),VALUE(CALC2223!X276)&gt;VALUE(LASTV))</f>
        <v>0</v>
      </c>
      <c r="R277" s="4" t="b">
        <f ca="1">OR(VALUE(CALC2223!Z276)&gt;VALUE(LASTV),VALUE(CALC2223!AB276)&gt;VALUE(LASTV),VALUE(CALC2223!AD276)&gt;VALUE(LASTV))</f>
        <v>0</v>
      </c>
      <c r="S277" s="4" t="b">
        <f ca="1">OR(VALUE(CALC2223!AF276)&gt;VALUE(LASTV),VALUE(CALC2223!AH276)&gt;VALUE(LASTV),VALUE(CALC2223!AJ276)&gt;VALUE(LASTV))</f>
        <v>0</v>
      </c>
      <c r="T277" s="4" t="b">
        <f ca="1">OR(VALUE(CALC2223!AL276)&gt;VALUE(LASTV),VALUE(CALC2223!AN276)&gt;VALUE(LASTV),VALUE(CALC2223!AP276)&gt;VALUE(LASTV))</f>
        <v>0</v>
      </c>
      <c r="U277" s="4" t="b">
        <f ca="1">OR(VALUE(CALC2223!AR276)&gt;VALUE(LASTV),VALUE(CALC2223!AT276)&gt;VALUE(LASTV),VALUE(CALC2223!AV276)&gt;VALUE(LASTV))</f>
        <v>0</v>
      </c>
      <c r="V277" s="1"/>
    </row>
    <row r="278" spans="1:22" ht="35.25" customHeight="1">
      <c r="A278" s="40"/>
      <c r="B278" s="41" t="s">
        <v>20</v>
      </c>
      <c r="C278" s="42">
        <v>46176</v>
      </c>
      <c r="D278" s="43" t="str">
        <f ca="1">CONCATENATE(CALC2223!A277," ",CALC2223!C277," ",CALC2223!E277)</f>
        <v xml:space="preserve">  </v>
      </c>
      <c r="E278" s="43" t="str">
        <f ca="1">CONCATENATE(CALC2223!G277," ",CALC2223!I277," ",CALC2223!K277)</f>
        <v xml:space="preserve">  </v>
      </c>
      <c r="F278" s="43" t="str">
        <f ca="1">CONCATENATE(CALC2223!M277," ",CALC2223!O277," ",CALC2223!Q277)</f>
        <v xml:space="preserve">bezoek leerlingen uit Munster  </v>
      </c>
      <c r="G278" s="43" t="str">
        <f ca="1">CONCATENATE(CALC2223!S277," ",CALC2223!U277," ",CALC2223!W277)</f>
        <v xml:space="preserve">bezoek leerlingen uit Munster  </v>
      </c>
      <c r="H278" s="43" t="str">
        <f ca="1">CONCATENATE(CALC2223!Y277," ",CALC2223!AA277," ",CALC2223!AC277)</f>
        <v xml:space="preserve">DELF B1 examen  </v>
      </c>
      <c r="I278" s="43" t="str">
        <f ca="1">CONCATENATE(CALC2223!AE277," ",CALC2223!AG277," ",CALC2223!AI277)</f>
        <v xml:space="preserve">  </v>
      </c>
      <c r="J278" s="43" t="str">
        <f ca="1">CONCATENATE(CALC2223!AK277," ",CALC2223!AM277," ",CALC2223!AO277)</f>
        <v xml:space="preserve">  </v>
      </c>
      <c r="K278" s="43" t="str">
        <f ca="1">CONCATENATE(CALC2223!AQ277," ",CALC2223!AS277," ",CALC2223!AU277," ",CALC2223!AW277)</f>
        <v xml:space="preserve">   </v>
      </c>
      <c r="L278" s="44" t="str">
        <f t="shared" ca="1" si="1"/>
        <v>actueel</v>
      </c>
      <c r="M278" s="1"/>
      <c r="N278" s="4" t="b">
        <f ca="1">OR(VALUE(CALC2223!B277)&gt;VALUE(LASTV),VALUE(CALC2223!D277)&gt;VALUE(LASTV),VALUE(CALC2223!F277)&gt;VALUE(LASTV))</f>
        <v>0</v>
      </c>
      <c r="O278" s="4" t="b">
        <f ca="1">OR(VALUE(CALC2223!H277)&gt;VALUE(LASTV),VALUE(CALC2223!J277)&gt;VALUE(LASTV),VALUE(CALC2223!L277)&gt;VALUE(LASTV))</f>
        <v>0</v>
      </c>
      <c r="P278" s="4" t="b">
        <f ca="1">OR(VALUE(CALC2223!N277)&gt;VALUE(LASTV),VALUE(CALC2223!P277)&gt;VALUE(LASTV),VALUE(CALC2223!R277)&gt;VALUE(LASTV))</f>
        <v>0</v>
      </c>
      <c r="Q278" s="4" t="b">
        <f ca="1">OR(VALUE(CALC2223!T277)&gt;VALUE(LASTV),VALUE(CALC2223!V277)&gt;VALUE(LASTV),VALUE(CALC2223!X277)&gt;VALUE(LASTV))</f>
        <v>0</v>
      </c>
      <c r="R278" s="4" t="b">
        <f ca="1">OR(VALUE(CALC2223!Z277)&gt;VALUE(LASTV),VALUE(CALC2223!AB277)&gt;VALUE(LASTV),VALUE(CALC2223!AD277)&gt;VALUE(LASTV))</f>
        <v>0</v>
      </c>
      <c r="S278" s="4" t="b">
        <f ca="1">OR(VALUE(CALC2223!AF277)&gt;VALUE(LASTV),VALUE(CALC2223!AH277)&gt;VALUE(LASTV),VALUE(CALC2223!AJ277)&gt;VALUE(LASTV))</f>
        <v>0</v>
      </c>
      <c r="T278" s="4" t="b">
        <f ca="1">OR(VALUE(CALC2223!AL277)&gt;VALUE(LASTV),VALUE(CALC2223!AN277)&gt;VALUE(LASTV),VALUE(CALC2223!AP277)&gt;VALUE(LASTV))</f>
        <v>0</v>
      </c>
      <c r="U278" s="4" t="b">
        <f ca="1">OR(VALUE(CALC2223!AR277)&gt;VALUE(LASTV),VALUE(CALC2223!AT277)&gt;VALUE(LASTV),VALUE(CALC2223!AV277)&gt;VALUE(LASTV))</f>
        <v>0</v>
      </c>
      <c r="V278" s="1"/>
    </row>
    <row r="279" spans="1:22" ht="35.25" customHeight="1">
      <c r="A279" s="40"/>
      <c r="B279" s="41" t="s">
        <v>21</v>
      </c>
      <c r="C279" s="42">
        <v>46177</v>
      </c>
      <c r="D279" s="43" t="str">
        <f ca="1">CONCATENATE(CALC2223!A278," ",CALC2223!C278," ",CALC2223!E278)</f>
        <v xml:space="preserve">  </v>
      </c>
      <c r="E279" s="43" t="str">
        <f ca="1">CONCATENATE(CALC2223!G278," ",CALC2223!I278," ",CALC2223!K278)</f>
        <v xml:space="preserve">  </v>
      </c>
      <c r="F279" s="43" t="str">
        <f ca="1">CONCATENATE(CALC2223!M278," ",CALC2223!O278," ",CALC2223!Q278)</f>
        <v xml:space="preserve">Rep GS  </v>
      </c>
      <c r="G279" s="43" t="str">
        <f ca="1">CONCATENATE(CALC2223!S278," ",CALC2223!U278," ",CALC2223!W278)</f>
        <v xml:space="preserve">fietsexcursie ak   </v>
      </c>
      <c r="H279" s="43" t="str">
        <f ca="1">CONCATENATE(CALC2223!Y278," ",CALC2223!AA278," ",CALC2223!AC278)</f>
        <v xml:space="preserve">  </v>
      </c>
      <c r="I279" s="43" t="str">
        <f ca="1">CONCATENATE(CALC2223!AE278," ",CALC2223!AG278," ",CALC2223!AI278)</f>
        <v xml:space="preserve">  </v>
      </c>
      <c r="J279" s="43" t="str">
        <f ca="1">CONCATENATE(CALC2223!AK278," ",CALC2223!AM278," ",CALC2223!AO278)</f>
        <v xml:space="preserve">secties#8  </v>
      </c>
      <c r="K279" s="43" t="str">
        <f ca="1">CONCATENATE(CALC2223!AQ278," ",CALC2223!AS278," ",CALC2223!AU278," ",CALC2223!AW278)</f>
        <v xml:space="preserve">   </v>
      </c>
      <c r="L279" s="44" t="str">
        <f t="shared" ca="1" si="1"/>
        <v>actueel</v>
      </c>
      <c r="M279" s="1"/>
      <c r="N279" s="4" t="b">
        <f ca="1">OR(VALUE(CALC2223!B278)&gt;VALUE(LASTV),VALUE(CALC2223!D278)&gt;VALUE(LASTV),VALUE(CALC2223!F278)&gt;VALUE(LASTV))</f>
        <v>0</v>
      </c>
      <c r="O279" s="4" t="b">
        <f ca="1">OR(VALUE(CALC2223!H278)&gt;VALUE(LASTV),VALUE(CALC2223!J278)&gt;VALUE(LASTV),VALUE(CALC2223!L278)&gt;VALUE(LASTV))</f>
        <v>0</v>
      </c>
      <c r="P279" s="4" t="b">
        <f ca="1">OR(VALUE(CALC2223!N278)&gt;VALUE(LASTV),VALUE(CALC2223!P278)&gt;VALUE(LASTV),VALUE(CALC2223!R278)&gt;VALUE(LASTV))</f>
        <v>0</v>
      </c>
      <c r="Q279" s="4" t="b">
        <f ca="1">OR(VALUE(CALC2223!T278)&gt;VALUE(LASTV),VALUE(CALC2223!V278)&gt;VALUE(LASTV),VALUE(CALC2223!X278)&gt;VALUE(LASTV))</f>
        <v>0</v>
      </c>
      <c r="R279" s="4" t="b">
        <f ca="1">OR(VALUE(CALC2223!Z278)&gt;VALUE(LASTV),VALUE(CALC2223!AB278)&gt;VALUE(LASTV),VALUE(CALC2223!AD278)&gt;VALUE(LASTV))</f>
        <v>0</v>
      </c>
      <c r="S279" s="4" t="b">
        <f ca="1">OR(VALUE(CALC2223!AF278)&gt;VALUE(LASTV),VALUE(CALC2223!AH278)&gt;VALUE(LASTV),VALUE(CALC2223!AJ278)&gt;VALUE(LASTV))</f>
        <v>0</v>
      </c>
      <c r="T279" s="4" t="b">
        <f ca="1">OR(VALUE(CALC2223!AL278)&gt;VALUE(LASTV),VALUE(CALC2223!AN278)&gt;VALUE(LASTV),VALUE(CALC2223!AP278)&gt;VALUE(LASTV))</f>
        <v>0</v>
      </c>
      <c r="U279" s="4" t="b">
        <f ca="1">OR(VALUE(CALC2223!AR278)&gt;VALUE(LASTV),VALUE(CALC2223!AT278)&gt;VALUE(LASTV),VALUE(CALC2223!AV278)&gt;VALUE(LASTV))</f>
        <v>0</v>
      </c>
      <c r="V279" s="1"/>
    </row>
    <row r="280" spans="1:22" ht="35.25" customHeight="1">
      <c r="A280" s="40"/>
      <c r="B280" s="41" t="s">
        <v>22</v>
      </c>
      <c r="C280" s="42">
        <v>46178</v>
      </c>
      <c r="D280" s="43" t="str">
        <f ca="1">CONCATENATE(CALC2223!A279," ",CALC2223!C279," ",CALC2223!E279)</f>
        <v xml:space="preserve">  </v>
      </c>
      <c r="E280" s="43" t="str">
        <f ca="1">CONCATENATE(CALC2223!G279," ",CALC2223!I279," ",CALC2223!K279)</f>
        <v xml:space="preserve">  </v>
      </c>
      <c r="F280" s="43" t="str">
        <f ca="1">CONCATENATE(CALC2223!M279," ",CALC2223!O279," ",CALC2223!Q279)</f>
        <v xml:space="preserve">  </v>
      </c>
      <c r="G280" s="43" t="str">
        <f ca="1">CONCATENATE(CALC2223!S279," ",CALC2223!U279," ",CALC2223!W279)</f>
        <v xml:space="preserve">Rep GS  </v>
      </c>
      <c r="H280" s="43" t="str">
        <f ca="1">CONCATENATE(CALC2223!Y279," ",CALC2223!AA279," ",CALC2223!AC279)</f>
        <v xml:space="preserve">  </v>
      </c>
      <c r="I280" s="43" t="str">
        <f ca="1">CONCATENATE(CALC2223!AE279," ",CALC2223!AG279," ",CALC2223!AI279)</f>
        <v xml:space="preserve">  </v>
      </c>
      <c r="J280" s="43" t="str">
        <f ca="1">CONCATENATE(CALC2223!AK279," ",CALC2223!AM279," ",CALC2223!AO279)</f>
        <v xml:space="preserve">  </v>
      </c>
      <c r="K280" s="43" t="str">
        <f ca="1">CONCATENATE(CALC2223!AQ279," ",CALC2223!AS279," ",CALC2223!AU279," ",CALC2223!AW279)</f>
        <v xml:space="preserve">zomer(school)feest   </v>
      </c>
      <c r="L280" s="44" t="str">
        <f t="shared" ca="1" si="1"/>
        <v>actueel</v>
      </c>
      <c r="M280" s="1"/>
      <c r="N280" s="4" t="b">
        <f ca="1">OR(VALUE(CALC2223!B279)&gt;VALUE(LASTV),VALUE(CALC2223!D279)&gt;VALUE(LASTV),VALUE(CALC2223!F279)&gt;VALUE(LASTV))</f>
        <v>0</v>
      </c>
      <c r="O280" s="4" t="b">
        <f ca="1">OR(VALUE(CALC2223!H279)&gt;VALUE(LASTV),VALUE(CALC2223!J279)&gt;VALUE(LASTV),VALUE(CALC2223!L279)&gt;VALUE(LASTV))</f>
        <v>0</v>
      </c>
      <c r="P280" s="4" t="b">
        <f ca="1">OR(VALUE(CALC2223!N279)&gt;VALUE(LASTV),VALUE(CALC2223!P279)&gt;VALUE(LASTV),VALUE(CALC2223!R279)&gt;VALUE(LASTV))</f>
        <v>0</v>
      </c>
      <c r="Q280" s="4" t="b">
        <f ca="1">OR(VALUE(CALC2223!T279)&gt;VALUE(LASTV),VALUE(CALC2223!V279)&gt;VALUE(LASTV),VALUE(CALC2223!X279)&gt;VALUE(LASTV))</f>
        <v>0</v>
      </c>
      <c r="R280" s="4" t="b">
        <f ca="1">OR(VALUE(CALC2223!Z279)&gt;VALUE(LASTV),VALUE(CALC2223!AB279)&gt;VALUE(LASTV),VALUE(CALC2223!AD279)&gt;VALUE(LASTV))</f>
        <v>0</v>
      </c>
      <c r="S280" s="4" t="b">
        <f ca="1">OR(VALUE(CALC2223!AF279)&gt;VALUE(LASTV),VALUE(CALC2223!AH279)&gt;VALUE(LASTV),VALUE(CALC2223!AJ279)&gt;VALUE(LASTV))</f>
        <v>0</v>
      </c>
      <c r="T280" s="4" t="b">
        <f ca="1">OR(VALUE(CALC2223!AL279)&gt;VALUE(LASTV),VALUE(CALC2223!AN279)&gt;VALUE(LASTV),VALUE(CALC2223!AP279)&gt;VALUE(LASTV))</f>
        <v>0</v>
      </c>
      <c r="U280" s="4" t="b">
        <f ca="1">OR(VALUE(CALC2223!AR279)&gt;VALUE(LASTV),VALUE(CALC2223!AT279)&gt;VALUE(LASTV),VALUE(CALC2223!AV279)&gt;VALUE(LASTV))</f>
        <v>0</v>
      </c>
      <c r="V280" s="1"/>
    </row>
    <row r="281" spans="1:22" ht="35.25" customHeight="1">
      <c r="A281" s="45"/>
      <c r="B281" s="46" t="s">
        <v>23</v>
      </c>
      <c r="C281" s="47">
        <v>46179</v>
      </c>
      <c r="D281" s="48" t="str">
        <f ca="1">CONCATENATE(CALC2223!A280," ",CALC2223!C280," ",CALC2223!E280)</f>
        <v xml:space="preserve">  </v>
      </c>
      <c r="E281" s="48" t="str">
        <f ca="1">CONCATENATE(CALC2223!G280," ",CALC2223!I280," ",CALC2223!K280)</f>
        <v xml:space="preserve">  </v>
      </c>
      <c r="F281" s="48" t="str">
        <f ca="1">CONCATENATE(CALC2223!M280," ",CALC2223!O280," ",CALC2223!Q280)</f>
        <v xml:space="preserve">  </v>
      </c>
      <c r="G281" s="48" t="str">
        <f ca="1">CONCATENATE(CALC2223!S280," ",CALC2223!U280," ",CALC2223!W280)</f>
        <v xml:space="preserve">  </v>
      </c>
      <c r="H281" s="48" t="str">
        <f ca="1">CONCATENATE(CALC2223!Y280," ",CALC2223!AA280," ",CALC2223!AC280)</f>
        <v xml:space="preserve">DELF B1 mondeling  </v>
      </c>
      <c r="I281" s="48" t="str">
        <f ca="1">CONCATENATE(CALC2223!AE280," ",CALC2223!AG280," ",CALC2223!AI280)</f>
        <v xml:space="preserve">  </v>
      </c>
      <c r="J281" s="48" t="str">
        <f ca="1">CONCATENATE(CALC2223!AK280," ",CALC2223!AM280," ",CALC2223!AO280)</f>
        <v xml:space="preserve">  </v>
      </c>
      <c r="K281" s="48" t="str">
        <f ca="1">CONCATENATE(CALC2223!AQ280," ",CALC2223!AS280," ",CALC2223!AU280," ",CALC2223!AW280)</f>
        <v xml:space="preserve">   </v>
      </c>
      <c r="L281" s="49" t="str">
        <f t="shared" ca="1" si="1"/>
        <v>actueel</v>
      </c>
      <c r="M281" s="1"/>
      <c r="N281" s="4" t="b">
        <f ca="1">OR(VALUE(CALC2223!B280)&gt;VALUE(LASTV),VALUE(CALC2223!D280)&gt;VALUE(LASTV),VALUE(CALC2223!F280)&gt;VALUE(LASTV))</f>
        <v>0</v>
      </c>
      <c r="O281" s="4" t="b">
        <f ca="1">OR(VALUE(CALC2223!H280)&gt;VALUE(LASTV),VALUE(CALC2223!J280)&gt;VALUE(LASTV),VALUE(CALC2223!L280)&gt;VALUE(LASTV))</f>
        <v>0</v>
      </c>
      <c r="P281" s="4" t="b">
        <f ca="1">OR(VALUE(CALC2223!N280)&gt;VALUE(LASTV),VALUE(CALC2223!P280)&gt;VALUE(LASTV),VALUE(CALC2223!R280)&gt;VALUE(LASTV))</f>
        <v>0</v>
      </c>
      <c r="Q281" s="4" t="b">
        <f ca="1">OR(VALUE(CALC2223!T280)&gt;VALUE(LASTV),VALUE(CALC2223!V280)&gt;VALUE(LASTV),VALUE(CALC2223!X280)&gt;VALUE(LASTV))</f>
        <v>0</v>
      </c>
      <c r="R281" s="4" t="b">
        <f ca="1">OR(VALUE(CALC2223!Z280)&gt;VALUE(LASTV),VALUE(CALC2223!AB280)&gt;VALUE(LASTV),VALUE(CALC2223!AD280)&gt;VALUE(LASTV))</f>
        <v>0</v>
      </c>
      <c r="S281" s="4" t="b">
        <f ca="1">OR(VALUE(CALC2223!AF280)&gt;VALUE(LASTV),VALUE(CALC2223!AH280)&gt;VALUE(LASTV),VALUE(CALC2223!AJ280)&gt;VALUE(LASTV))</f>
        <v>0</v>
      </c>
      <c r="T281" s="4" t="b">
        <f ca="1">OR(VALUE(CALC2223!AL280)&gt;VALUE(LASTV),VALUE(CALC2223!AN280)&gt;VALUE(LASTV),VALUE(CALC2223!AP280)&gt;VALUE(LASTV))</f>
        <v>0</v>
      </c>
      <c r="U281" s="4" t="b">
        <f ca="1">OR(VALUE(CALC2223!AR280)&gt;VALUE(LASTV),VALUE(CALC2223!AT280)&gt;VALUE(LASTV),VALUE(CALC2223!AV280)&gt;VALUE(LASTV))</f>
        <v>0</v>
      </c>
      <c r="V281" s="1"/>
    </row>
    <row r="282" spans="1:22" ht="35.25" customHeight="1">
      <c r="A282" s="80"/>
      <c r="B282" s="81" t="s">
        <v>24</v>
      </c>
      <c r="C282" s="82">
        <v>46180</v>
      </c>
      <c r="D282" s="83" t="str">
        <f ca="1">CONCATENATE(CALC2223!A281," ",CALC2223!C281," ",CALC2223!E281)</f>
        <v xml:space="preserve">  </v>
      </c>
      <c r="E282" s="83" t="str">
        <f ca="1">CONCATENATE(CALC2223!G281," ",CALC2223!I281," ",CALC2223!K281)</f>
        <v xml:space="preserve">  </v>
      </c>
      <c r="F282" s="83" t="str">
        <f ca="1">CONCATENATE(CALC2223!M281," ",CALC2223!O281," ",CALC2223!Q281)</f>
        <v xml:space="preserve">  </v>
      </c>
      <c r="G282" s="83" t="str">
        <f ca="1">CONCATENATE(CALC2223!S281," ",CALC2223!U281," ",CALC2223!W281)</f>
        <v xml:space="preserve">  </v>
      </c>
      <c r="H282" s="83" t="str">
        <f ca="1">CONCATENATE(CALC2223!Y281," ",CALC2223!AA281," ",CALC2223!AC281)</f>
        <v xml:space="preserve">  </v>
      </c>
      <c r="I282" s="83" t="str">
        <f ca="1">CONCATENATE(CALC2223!AE281," ",CALC2223!AG281," ",CALC2223!AI281)</f>
        <v xml:space="preserve">  </v>
      </c>
      <c r="J282" s="83" t="str">
        <f ca="1">CONCATENATE(CALC2223!AK281," ",CALC2223!AM281," ",CALC2223!AO281)</f>
        <v xml:space="preserve">  </v>
      </c>
      <c r="K282" s="83" t="str">
        <f ca="1">CONCATENATE(CALC2223!AQ281," ",CALC2223!AS281," ",CALC2223!AU281," ",CALC2223!AW281)</f>
        <v xml:space="preserve">   </v>
      </c>
      <c r="L282" s="84" t="str">
        <f t="shared" ca="1" si="1"/>
        <v>actueel</v>
      </c>
      <c r="M282" s="1"/>
      <c r="N282" s="4" t="b">
        <f ca="1">OR(VALUE(CALC2223!B281)&gt;VALUE(LASTV),VALUE(CALC2223!D281)&gt;VALUE(LASTV),VALUE(CALC2223!F281)&gt;VALUE(LASTV))</f>
        <v>0</v>
      </c>
      <c r="O282" s="4" t="b">
        <f ca="1">OR(VALUE(CALC2223!H281)&gt;VALUE(LASTV),VALUE(CALC2223!J281)&gt;VALUE(LASTV),VALUE(CALC2223!L281)&gt;VALUE(LASTV))</f>
        <v>0</v>
      </c>
      <c r="P282" s="4" t="b">
        <f ca="1">OR(VALUE(CALC2223!N281)&gt;VALUE(LASTV),VALUE(CALC2223!P281)&gt;VALUE(LASTV),VALUE(CALC2223!R281)&gt;VALUE(LASTV))</f>
        <v>0</v>
      </c>
      <c r="Q282" s="4" t="b">
        <f ca="1">OR(VALUE(CALC2223!T281)&gt;VALUE(LASTV),VALUE(CALC2223!V281)&gt;VALUE(LASTV),VALUE(CALC2223!X281)&gt;VALUE(LASTV))</f>
        <v>0</v>
      </c>
      <c r="R282" s="4" t="b">
        <f ca="1">OR(VALUE(CALC2223!Z281)&gt;VALUE(LASTV),VALUE(CALC2223!AB281)&gt;VALUE(LASTV),VALUE(CALC2223!AD281)&gt;VALUE(LASTV))</f>
        <v>0</v>
      </c>
      <c r="S282" s="4" t="b">
        <f ca="1">OR(VALUE(CALC2223!AF281)&gt;VALUE(LASTV),VALUE(CALC2223!AH281)&gt;VALUE(LASTV),VALUE(CALC2223!AJ281)&gt;VALUE(LASTV))</f>
        <v>0</v>
      </c>
      <c r="T282" s="4" t="b">
        <f ca="1">OR(VALUE(CALC2223!AL281)&gt;VALUE(LASTV),VALUE(CALC2223!AN281)&gt;VALUE(LASTV),VALUE(CALC2223!AP281)&gt;VALUE(LASTV))</f>
        <v>0</v>
      </c>
      <c r="U282" s="4" t="b">
        <f ca="1">OR(VALUE(CALC2223!AR281)&gt;VALUE(LASTV),VALUE(CALC2223!AT281)&gt;VALUE(LASTV),VALUE(CALC2223!AV281)&gt;VALUE(LASTV))</f>
        <v>0</v>
      </c>
      <c r="V282" s="1"/>
    </row>
    <row r="283" spans="1:22" ht="35.25" customHeight="1">
      <c r="A283" s="50">
        <v>24</v>
      </c>
      <c r="B283" s="41" t="s">
        <v>18</v>
      </c>
      <c r="C283" s="42">
        <v>46181</v>
      </c>
      <c r="D283" s="43" t="str">
        <f ca="1">CONCATENATE(CALC2223!A282," ",CALC2223!C282," ",CALC2223!E282)</f>
        <v xml:space="preserve">  </v>
      </c>
      <c r="E283" s="43" t="str">
        <f ca="1">CONCATENATE(CALC2223!G282," ",CALC2223!I282," ",CALC2223!K282)</f>
        <v xml:space="preserve">  </v>
      </c>
      <c r="F283" s="43" t="str">
        <f ca="1">CONCATENATE(CALC2223!M282," ",CALC2223!O282," ",CALC2223!Q282)</f>
        <v xml:space="preserve">  </v>
      </c>
      <c r="G283" s="43" t="str">
        <f ca="1">CONCATENATE(CALC2223!S282," ",CALC2223!U282," ",CALC2223!W282)</f>
        <v xml:space="preserve">inh rep NA  </v>
      </c>
      <c r="H283" s="43" t="str">
        <f ca="1">CONCATENATE(CALC2223!Y282," ",CALC2223!AA282," ",CALC2223!AC282)</f>
        <v xml:space="preserve">inh rep EC  </v>
      </c>
      <c r="I283" s="43" t="str">
        <f ca="1">CONCATENATE(CALC2223!AE282," ",CALC2223!AG282," ",CALC2223!AI282)</f>
        <v xml:space="preserve">  </v>
      </c>
      <c r="J283" s="43" t="str">
        <f ca="1">CONCATENATE(CALC2223!AK282," ",CALC2223!AM282," ",CALC2223!AO282)</f>
        <v xml:space="preserve">  </v>
      </c>
      <c r="K283" s="43" t="str">
        <f ca="1">CONCATENATE(CALC2223!AQ282," ",CALC2223!AS282," ",CALC2223!AU282," ",CALC2223!AW282)</f>
        <v xml:space="preserve">   </v>
      </c>
      <c r="L283" s="44" t="str">
        <f t="shared" ca="1" si="1"/>
        <v>actueel</v>
      </c>
      <c r="M283" s="1"/>
      <c r="N283" s="4" t="b">
        <f ca="1">OR(VALUE(CALC2223!B282)&gt;VALUE(LASTV),VALUE(CALC2223!D282)&gt;VALUE(LASTV),VALUE(CALC2223!F282)&gt;VALUE(LASTV))</f>
        <v>0</v>
      </c>
      <c r="O283" s="4" t="b">
        <f ca="1">OR(VALUE(CALC2223!H282)&gt;VALUE(LASTV),VALUE(CALC2223!J282)&gt;VALUE(LASTV),VALUE(CALC2223!L282)&gt;VALUE(LASTV))</f>
        <v>0</v>
      </c>
      <c r="P283" s="4" t="b">
        <f ca="1">OR(VALUE(CALC2223!N282)&gt;VALUE(LASTV),VALUE(CALC2223!P282)&gt;VALUE(LASTV),VALUE(CALC2223!R282)&gt;VALUE(LASTV))</f>
        <v>0</v>
      </c>
      <c r="Q283" s="4" t="b">
        <f ca="1">OR(VALUE(CALC2223!T282)&gt;VALUE(LASTV),VALUE(CALC2223!V282)&gt;VALUE(LASTV),VALUE(CALC2223!X282)&gt;VALUE(LASTV))</f>
        <v>0</v>
      </c>
      <c r="R283" s="4" t="b">
        <f ca="1">OR(VALUE(CALC2223!Z282)&gt;VALUE(LASTV),VALUE(CALC2223!AB282)&gt;VALUE(LASTV),VALUE(CALC2223!AD282)&gt;VALUE(LASTV))</f>
        <v>0</v>
      </c>
      <c r="S283" s="4" t="b">
        <f ca="1">OR(VALUE(CALC2223!AF282)&gt;VALUE(LASTV),VALUE(CALC2223!AH282)&gt;VALUE(LASTV),VALUE(CALC2223!AJ282)&gt;VALUE(LASTV))</f>
        <v>0</v>
      </c>
      <c r="T283" s="4" t="b">
        <f ca="1">OR(VALUE(CALC2223!AL282)&gt;VALUE(LASTV),VALUE(CALC2223!AN282)&gt;VALUE(LASTV),VALUE(CALC2223!AP282)&gt;VALUE(LASTV))</f>
        <v>0</v>
      </c>
      <c r="U283" s="4" t="b">
        <f ca="1">OR(VALUE(CALC2223!AR282)&gt;VALUE(LASTV),VALUE(CALC2223!AT282)&gt;VALUE(LASTV),VALUE(CALC2223!AV282)&gt;VALUE(LASTV))</f>
        <v>0</v>
      </c>
      <c r="V283" s="1"/>
    </row>
    <row r="284" spans="1:22" ht="35.25" customHeight="1">
      <c r="A284" s="40"/>
      <c r="B284" s="41" t="s">
        <v>19</v>
      </c>
      <c r="C284" s="42">
        <v>46182</v>
      </c>
      <c r="D284" s="51" t="str">
        <f ca="1">CONCATENATE(CALC2223!A283," ",CALC2223!C283," ",CALC2223!E283)</f>
        <v xml:space="preserve">  </v>
      </c>
      <c r="E284" s="51" t="str">
        <f ca="1">CONCATENATE(CALC2223!G283," ",CALC2223!I283," ",CALC2223!K283)</f>
        <v xml:space="preserve">  </v>
      </c>
      <c r="F284" s="51" t="str">
        <f ca="1">CONCATENATE(CALC2223!M283," ",CALC2223!O283," ",CALC2223!Q283)</f>
        <v xml:space="preserve">  </v>
      </c>
      <c r="G284" s="51" t="str">
        <f ca="1">CONCATENATE(CALC2223!S283," ",CALC2223!U283," ",CALC2223!W283)</f>
        <v xml:space="preserve">Rep NE  </v>
      </c>
      <c r="H284" s="51" t="str">
        <f ca="1">CONCATENATE(CALC2223!Y283," ",CALC2223!AA283," ",CALC2223!AC283)</f>
        <v xml:space="preserve">  </v>
      </c>
      <c r="I284" s="51" t="str">
        <f ca="1">CONCATENATE(CALC2223!AE283," ",CALC2223!AG283," ",CALC2223!AI283)</f>
        <v xml:space="preserve">  </v>
      </c>
      <c r="J284" s="51" t="str">
        <f ca="1">CONCATENATE(CALC2223!AK283," ",CALC2223!AM283," ",CALC2223!AO283)</f>
        <v xml:space="preserve">  </v>
      </c>
      <c r="K284" s="51" t="str">
        <f ca="1">CONCATENATE(CALC2223!AQ283," ",CALC2223!AS283," ",CALC2223!AU283," ",CALC2223!AW283)</f>
        <v xml:space="preserve">ouderavond Ardennenkamp   </v>
      </c>
      <c r="L284" s="52" t="str">
        <f t="shared" ca="1" si="1"/>
        <v>actueel</v>
      </c>
      <c r="M284" s="1"/>
      <c r="N284" s="4" t="b">
        <f ca="1">OR(VALUE(CALC2223!B283)&gt;VALUE(LASTV),VALUE(CALC2223!D283)&gt;VALUE(LASTV),VALUE(CALC2223!F283)&gt;VALUE(LASTV))</f>
        <v>0</v>
      </c>
      <c r="O284" s="4" t="b">
        <f ca="1">OR(VALUE(CALC2223!H283)&gt;VALUE(LASTV),VALUE(CALC2223!J283)&gt;VALUE(LASTV),VALUE(CALC2223!L283)&gt;VALUE(LASTV))</f>
        <v>0</v>
      </c>
      <c r="P284" s="4" t="b">
        <f ca="1">OR(VALUE(CALC2223!N283)&gt;VALUE(LASTV),VALUE(CALC2223!P283)&gt;VALUE(LASTV),VALUE(CALC2223!R283)&gt;VALUE(LASTV))</f>
        <v>0</v>
      </c>
      <c r="Q284" s="4" t="b">
        <f ca="1">OR(VALUE(CALC2223!T283)&gt;VALUE(LASTV),VALUE(CALC2223!V283)&gt;VALUE(LASTV),VALUE(CALC2223!X283)&gt;VALUE(LASTV))</f>
        <v>0</v>
      </c>
      <c r="R284" s="4" t="b">
        <f ca="1">OR(VALUE(CALC2223!Z283)&gt;VALUE(LASTV),VALUE(CALC2223!AB283)&gt;VALUE(LASTV),VALUE(CALC2223!AD283)&gt;VALUE(LASTV))</f>
        <v>0</v>
      </c>
      <c r="S284" s="4" t="b">
        <f ca="1">OR(VALUE(CALC2223!AF283)&gt;VALUE(LASTV),VALUE(CALC2223!AH283)&gt;VALUE(LASTV),VALUE(CALC2223!AJ283)&gt;VALUE(LASTV))</f>
        <v>0</v>
      </c>
      <c r="T284" s="4" t="b">
        <f ca="1">OR(VALUE(CALC2223!AL283)&gt;VALUE(LASTV),VALUE(CALC2223!AN283)&gt;VALUE(LASTV),VALUE(CALC2223!AP283)&gt;VALUE(LASTV))</f>
        <v>0</v>
      </c>
      <c r="U284" s="4" t="b">
        <f ca="1">OR(VALUE(CALC2223!AR283)&gt;VALUE(LASTV),VALUE(CALC2223!AT283)&gt;VALUE(LASTV),VALUE(CALC2223!AV283)&gt;VALUE(LASTV))</f>
        <v>0</v>
      </c>
      <c r="V284" s="1"/>
    </row>
    <row r="285" spans="1:22" ht="35.25" customHeight="1">
      <c r="A285" s="40"/>
      <c r="B285" s="41" t="s">
        <v>20</v>
      </c>
      <c r="C285" s="42">
        <v>46183</v>
      </c>
      <c r="D285" s="51" t="str">
        <f ca="1">CONCATENATE(CALC2223!A284," ",CALC2223!C284," ",CALC2223!E284)</f>
        <v xml:space="preserve">  </v>
      </c>
      <c r="E285" s="51" t="str">
        <f ca="1">CONCATENATE(CALC2223!G284," ",CALC2223!I284," ",CALC2223!K284)</f>
        <v xml:space="preserve">  </v>
      </c>
      <c r="F285" s="51" t="str">
        <f ca="1">CONCATENATE(CALC2223!M284," ",CALC2223!O284," ",CALC2223!Q284)</f>
        <v xml:space="preserve">  </v>
      </c>
      <c r="G285" s="51" t="str">
        <f ca="1">CONCATENATE(CALC2223!S284," ",CALC2223!U284," ",CALC2223!W284)</f>
        <v xml:space="preserve">  </v>
      </c>
      <c r="H285" s="51" t="str">
        <f ca="1">CONCATENATE(CALC2223!Y284," ",CALC2223!AA284," ",CALC2223!AC284)</f>
        <v xml:space="preserve">Rep NE  </v>
      </c>
      <c r="I285" s="51" t="str">
        <f ca="1">CONCATENATE(CALC2223!AE284," ",CALC2223!AG284," ",CALC2223!AI284)</f>
        <v xml:space="preserve">  </v>
      </c>
      <c r="J285" s="51" t="str">
        <f ca="1">CONCATENATE(CALC2223!AK284," ",CALC2223!AM284," ",CALC2223!AO284)</f>
        <v xml:space="preserve">  </v>
      </c>
      <c r="K285" s="51" t="str">
        <f ca="1">CONCATENATE(CALC2223!AQ284," ",CALC2223!AS284," ",CALC2223!AU284," ",CALC2223!AW284)</f>
        <v xml:space="preserve">   </v>
      </c>
      <c r="L285" s="52" t="str">
        <f t="shared" ca="1" si="1"/>
        <v>actueel</v>
      </c>
      <c r="M285" s="1"/>
      <c r="N285" s="4" t="b">
        <f ca="1">OR(VALUE(CALC2223!B284)&gt;VALUE(LASTV),VALUE(CALC2223!D284)&gt;VALUE(LASTV),VALUE(CALC2223!F284)&gt;VALUE(LASTV))</f>
        <v>0</v>
      </c>
      <c r="O285" s="4" t="b">
        <f ca="1">OR(VALUE(CALC2223!H284)&gt;VALUE(LASTV),VALUE(CALC2223!J284)&gt;VALUE(LASTV),VALUE(CALC2223!L284)&gt;VALUE(LASTV))</f>
        <v>0</v>
      </c>
      <c r="P285" s="4" t="b">
        <f ca="1">OR(VALUE(CALC2223!N284)&gt;VALUE(LASTV),VALUE(CALC2223!P284)&gt;VALUE(LASTV),VALUE(CALC2223!R284)&gt;VALUE(LASTV))</f>
        <v>0</v>
      </c>
      <c r="Q285" s="4" t="b">
        <f ca="1">OR(VALUE(CALC2223!T284)&gt;VALUE(LASTV),VALUE(CALC2223!V284)&gt;VALUE(LASTV),VALUE(CALC2223!X284)&gt;VALUE(LASTV))</f>
        <v>0</v>
      </c>
      <c r="R285" s="4" t="b">
        <f ca="1">OR(VALUE(CALC2223!Z284)&gt;VALUE(LASTV),VALUE(CALC2223!AB284)&gt;VALUE(LASTV),VALUE(CALC2223!AD284)&gt;VALUE(LASTV))</f>
        <v>0</v>
      </c>
      <c r="S285" s="4" t="b">
        <f ca="1">OR(VALUE(CALC2223!AF284)&gt;VALUE(LASTV),VALUE(CALC2223!AH284)&gt;VALUE(LASTV),VALUE(CALC2223!AJ284)&gt;VALUE(LASTV))</f>
        <v>0</v>
      </c>
      <c r="T285" s="4" t="b">
        <f ca="1">OR(VALUE(CALC2223!AL284)&gt;VALUE(LASTV),VALUE(CALC2223!AN284)&gt;VALUE(LASTV),VALUE(CALC2223!AP284)&gt;VALUE(LASTV))</f>
        <v>0</v>
      </c>
      <c r="U285" s="4" t="b">
        <f ca="1">OR(VALUE(CALC2223!AR284)&gt;VALUE(LASTV),VALUE(CALC2223!AT284)&gt;VALUE(LASTV),VALUE(CALC2223!AV284)&gt;VALUE(LASTV))</f>
        <v>0</v>
      </c>
      <c r="V285" s="1"/>
    </row>
    <row r="286" spans="1:22" ht="35.25" customHeight="1">
      <c r="A286" s="40"/>
      <c r="B286" s="41" t="s">
        <v>21</v>
      </c>
      <c r="C286" s="42">
        <v>46184</v>
      </c>
      <c r="D286" s="51" t="str">
        <f ca="1">CONCATENATE(CALC2223!A285," ",CALC2223!C285," ",CALC2223!E285)</f>
        <v xml:space="preserve">  </v>
      </c>
      <c r="E286" s="51" t="str">
        <f ca="1">CONCATENATE(CALC2223!G285," ",CALC2223!I285," ",CALC2223!K285)</f>
        <v xml:space="preserve">ldorp Frans  </v>
      </c>
      <c r="F286" s="51" t="str">
        <f ca="1">CONCATENATE(CALC2223!M285," ",CALC2223!O285," ",CALC2223!Q285)</f>
        <v xml:space="preserve">  </v>
      </c>
      <c r="G286" s="51" t="str">
        <f ca="1">CONCATENATE(CALC2223!S285," ",CALC2223!U285," ",CALC2223!W285)</f>
        <v xml:space="preserve">SE ANW  </v>
      </c>
      <c r="H286" s="51" t="str">
        <f ca="1">CONCATENATE(CALC2223!Y285," ",CALC2223!AA285," ",CALC2223!AC285)</f>
        <v xml:space="preserve">  </v>
      </c>
      <c r="I286" s="51" t="str">
        <f ca="1">CONCATENATE(CALC2223!AE285," ",CALC2223!AG285," ",CALC2223!AI285)</f>
        <v xml:space="preserve">uitslag CE-I  </v>
      </c>
      <c r="J286" s="51" t="str">
        <f ca="1">CONCATENATE(CALC2223!AK285," ",CALC2223!AM285," ",CALC2223!AO285)</f>
        <v xml:space="preserve">mentoren#8  </v>
      </c>
      <c r="K286" s="51" t="str">
        <f ca="1">CONCATENATE(CALC2223!AQ285," ",CALC2223!AS285," ",CALC2223!AU285," ",CALC2223!AW285)</f>
        <v xml:space="preserve">   </v>
      </c>
      <c r="L286" s="52" t="str">
        <f t="shared" ca="1" si="1"/>
        <v>actueel</v>
      </c>
      <c r="M286" s="1"/>
      <c r="N286" s="4" t="b">
        <f ca="1">OR(VALUE(CALC2223!B285)&gt;VALUE(LASTV),VALUE(CALC2223!D285)&gt;VALUE(LASTV),VALUE(CALC2223!F285)&gt;VALUE(LASTV))</f>
        <v>0</v>
      </c>
      <c r="O286" s="4" t="b">
        <f ca="1">OR(VALUE(CALC2223!H285)&gt;VALUE(LASTV),VALUE(CALC2223!J285)&gt;VALUE(LASTV),VALUE(CALC2223!L285)&gt;VALUE(LASTV))</f>
        <v>0</v>
      </c>
      <c r="P286" s="4" t="b">
        <f ca="1">OR(VALUE(CALC2223!N285)&gt;VALUE(LASTV),VALUE(CALC2223!P285)&gt;VALUE(LASTV),VALUE(CALC2223!R285)&gt;VALUE(LASTV))</f>
        <v>0</v>
      </c>
      <c r="Q286" s="4" t="b">
        <f ca="1">OR(VALUE(CALC2223!T285)&gt;VALUE(LASTV),VALUE(CALC2223!V285)&gt;VALUE(LASTV),VALUE(CALC2223!X285)&gt;VALUE(LASTV))</f>
        <v>0</v>
      </c>
      <c r="R286" s="4" t="b">
        <f ca="1">OR(VALUE(CALC2223!Z285)&gt;VALUE(LASTV),VALUE(CALC2223!AB285)&gt;VALUE(LASTV),VALUE(CALC2223!AD285)&gt;VALUE(LASTV))</f>
        <v>0</v>
      </c>
      <c r="S286" s="4" t="b">
        <f ca="1">OR(VALUE(CALC2223!AF285)&gt;VALUE(LASTV),VALUE(CALC2223!AH285)&gt;VALUE(LASTV),VALUE(CALC2223!AJ285)&gt;VALUE(LASTV))</f>
        <v>0</v>
      </c>
      <c r="T286" s="4" t="b">
        <f ca="1">OR(VALUE(CALC2223!AL285)&gt;VALUE(LASTV),VALUE(CALC2223!AN285)&gt;VALUE(LASTV),VALUE(CALC2223!AP285)&gt;VALUE(LASTV))</f>
        <v>0</v>
      </c>
      <c r="U286" s="4" t="b">
        <f ca="1">OR(VALUE(CALC2223!AR285)&gt;VALUE(LASTV),VALUE(CALC2223!AT285)&gt;VALUE(LASTV),VALUE(CALC2223!AV285)&gt;VALUE(LASTV))</f>
        <v>0</v>
      </c>
      <c r="V286" s="1"/>
    </row>
    <row r="287" spans="1:22" ht="35.25" customHeight="1">
      <c r="A287" s="40"/>
      <c r="B287" s="41" t="s">
        <v>22</v>
      </c>
      <c r="C287" s="42">
        <v>46185</v>
      </c>
      <c r="D287" s="51" t="str">
        <f ca="1">CONCATENATE(CALC2223!A286," ",CALC2223!C286," ",CALC2223!E286)</f>
        <v xml:space="preserve">  </v>
      </c>
      <c r="E287" s="51" t="str">
        <f ca="1">CONCATENATE(CALC2223!G286," ",CALC2223!I286," ",CALC2223!K286)</f>
        <v xml:space="preserve">Rep GO  </v>
      </c>
      <c r="F287" s="51" t="str">
        <f ca="1">CONCATENATE(CALC2223!M286," ",CALC2223!O286," ",CALC2223!Q286)</f>
        <v xml:space="preserve">  </v>
      </c>
      <c r="G287" s="51" t="str">
        <f ca="1">CONCATENATE(CALC2223!S286," ",CALC2223!U286," ",CALC2223!W286)</f>
        <v xml:space="preserve">  </v>
      </c>
      <c r="H287" s="51" t="str">
        <f ca="1">CONCATENATE(CALC2223!Y286," ",CALC2223!AA286," ",CALC2223!AC286)</f>
        <v xml:space="preserve">  </v>
      </c>
      <c r="I287" s="51" t="str">
        <f ca="1">CONCATENATE(CALC2223!AE286," ",CALC2223!AG286," ",CALC2223!AI286)</f>
        <v xml:space="preserve">  </v>
      </c>
      <c r="J287" s="51" t="str">
        <f ca="1">CONCATENATE(CALC2223!AK286," ",CALC2223!AM286," ",CALC2223!AO286)</f>
        <v xml:space="preserve">  </v>
      </c>
      <c r="K287" s="51" t="str">
        <f ca="1">CONCATENATE(CALC2223!AQ286," ",CALC2223!AS286," ",CALC2223!AU286," ",CALC2223!AW286)</f>
        <v xml:space="preserve">   </v>
      </c>
      <c r="L287" s="52" t="str">
        <f t="shared" ca="1" si="1"/>
        <v>actueel</v>
      </c>
      <c r="M287" s="1"/>
      <c r="N287" s="4" t="b">
        <f ca="1">OR(VALUE(CALC2223!B286)&gt;VALUE(LASTV),VALUE(CALC2223!D286)&gt;VALUE(LASTV),VALUE(CALC2223!F286)&gt;VALUE(LASTV))</f>
        <v>0</v>
      </c>
      <c r="O287" s="4" t="b">
        <f ca="1">OR(VALUE(CALC2223!H286)&gt;VALUE(LASTV),VALUE(CALC2223!J286)&gt;VALUE(LASTV),VALUE(CALC2223!L286)&gt;VALUE(LASTV))</f>
        <v>0</v>
      </c>
      <c r="P287" s="4" t="b">
        <f ca="1">OR(VALUE(CALC2223!N286)&gt;VALUE(LASTV),VALUE(CALC2223!P286)&gt;VALUE(LASTV),VALUE(CALC2223!R286)&gt;VALUE(LASTV))</f>
        <v>0</v>
      </c>
      <c r="Q287" s="4" t="b">
        <f ca="1">OR(VALUE(CALC2223!T286)&gt;VALUE(LASTV),VALUE(CALC2223!V286)&gt;VALUE(LASTV),VALUE(CALC2223!X286)&gt;VALUE(LASTV))</f>
        <v>0</v>
      </c>
      <c r="R287" s="4" t="b">
        <f ca="1">OR(VALUE(CALC2223!Z286)&gt;VALUE(LASTV),VALUE(CALC2223!AB286)&gt;VALUE(LASTV),VALUE(CALC2223!AD286)&gt;VALUE(LASTV))</f>
        <v>0</v>
      </c>
      <c r="S287" s="4" t="b">
        <f ca="1">OR(VALUE(CALC2223!AF286)&gt;VALUE(LASTV),VALUE(CALC2223!AH286)&gt;VALUE(LASTV),VALUE(CALC2223!AJ286)&gt;VALUE(LASTV))</f>
        <v>0</v>
      </c>
      <c r="T287" s="4" t="b">
        <f ca="1">OR(VALUE(CALC2223!AL286)&gt;VALUE(LASTV),VALUE(CALC2223!AN286)&gt;VALUE(LASTV),VALUE(CALC2223!AP286)&gt;VALUE(LASTV))</f>
        <v>0</v>
      </c>
      <c r="U287" s="4" t="b">
        <f ca="1">OR(VALUE(CALC2223!AR286)&gt;VALUE(LASTV),VALUE(CALC2223!AT286)&gt;VALUE(LASTV),VALUE(CALC2223!AV286)&gt;VALUE(LASTV))</f>
        <v>0</v>
      </c>
      <c r="V287" s="1"/>
    </row>
    <row r="288" spans="1:22" ht="35.25" customHeight="1">
      <c r="A288" s="45"/>
      <c r="B288" s="46" t="s">
        <v>23</v>
      </c>
      <c r="C288" s="47">
        <v>46186</v>
      </c>
      <c r="D288" s="48" t="str">
        <f ca="1">CONCATENATE(CALC2223!A287," ",CALC2223!C287," ",CALC2223!E287)</f>
        <v xml:space="preserve">  </v>
      </c>
      <c r="E288" s="48" t="str">
        <f ca="1">CONCATENATE(CALC2223!G287," ",CALC2223!I287," ",CALC2223!K287)</f>
        <v xml:space="preserve">  </v>
      </c>
      <c r="F288" s="48" t="str">
        <f ca="1">CONCATENATE(CALC2223!M287," ",CALC2223!O287," ",CALC2223!Q287)</f>
        <v xml:space="preserve">  </v>
      </c>
      <c r="G288" s="48" t="str">
        <f ca="1">CONCATENATE(CALC2223!S287," ",CALC2223!U287," ",CALC2223!W287)</f>
        <v xml:space="preserve">  </v>
      </c>
      <c r="H288" s="48" t="str">
        <f ca="1">CONCATENATE(CALC2223!Y287," ",CALC2223!AA287," ",CALC2223!AC287)</f>
        <v xml:space="preserve">  </v>
      </c>
      <c r="I288" s="48" t="str">
        <f ca="1">CONCATENATE(CALC2223!AE287," ",CALC2223!AG287," ",CALC2223!AI287)</f>
        <v xml:space="preserve">  </v>
      </c>
      <c r="J288" s="48" t="str">
        <f ca="1">CONCATENATE(CALC2223!AK287," ",CALC2223!AM287," ",CALC2223!AO287)</f>
        <v xml:space="preserve">  </v>
      </c>
      <c r="K288" s="48" t="str">
        <f ca="1">CONCATENATE(CALC2223!AQ287," ",CALC2223!AS287," ",CALC2223!AU287," ",CALC2223!AW287)</f>
        <v xml:space="preserve">   </v>
      </c>
      <c r="L288" s="49" t="str">
        <f t="shared" ca="1" si="1"/>
        <v>actueel</v>
      </c>
      <c r="M288" s="1"/>
      <c r="N288" s="4" t="b">
        <f ca="1">OR(VALUE(CALC2223!B287)&gt;VALUE(LASTV),VALUE(CALC2223!D287)&gt;VALUE(LASTV),VALUE(CALC2223!F287)&gt;VALUE(LASTV))</f>
        <v>0</v>
      </c>
      <c r="O288" s="4" t="b">
        <f ca="1">OR(VALUE(CALC2223!H287)&gt;VALUE(LASTV),VALUE(CALC2223!J287)&gt;VALUE(LASTV),VALUE(CALC2223!L287)&gt;VALUE(LASTV))</f>
        <v>0</v>
      </c>
      <c r="P288" s="4" t="b">
        <f ca="1">OR(VALUE(CALC2223!N287)&gt;VALUE(LASTV),VALUE(CALC2223!P287)&gt;VALUE(LASTV),VALUE(CALC2223!R287)&gt;VALUE(LASTV))</f>
        <v>0</v>
      </c>
      <c r="Q288" s="4" t="b">
        <f ca="1">OR(VALUE(CALC2223!T287)&gt;VALUE(LASTV),VALUE(CALC2223!V287)&gt;VALUE(LASTV),VALUE(CALC2223!X287)&gt;VALUE(LASTV))</f>
        <v>0</v>
      </c>
      <c r="R288" s="4" t="b">
        <f ca="1">OR(VALUE(CALC2223!Z287)&gt;VALUE(LASTV),VALUE(CALC2223!AB287)&gt;VALUE(LASTV),VALUE(CALC2223!AD287)&gt;VALUE(LASTV))</f>
        <v>0</v>
      </c>
      <c r="S288" s="4" t="b">
        <f ca="1">OR(VALUE(CALC2223!AF287)&gt;VALUE(LASTV),VALUE(CALC2223!AH287)&gt;VALUE(LASTV),VALUE(CALC2223!AJ287)&gt;VALUE(LASTV))</f>
        <v>0</v>
      </c>
      <c r="T288" s="4" t="b">
        <f ca="1">OR(VALUE(CALC2223!AL287)&gt;VALUE(LASTV),VALUE(CALC2223!AN287)&gt;VALUE(LASTV),VALUE(CALC2223!AP287)&gt;VALUE(LASTV))</f>
        <v>0</v>
      </c>
      <c r="U288" s="4" t="b">
        <f ca="1">OR(VALUE(CALC2223!AR287)&gt;VALUE(LASTV),VALUE(CALC2223!AT287)&gt;VALUE(LASTV),VALUE(CALC2223!AV287)&gt;VALUE(LASTV))</f>
        <v>0</v>
      </c>
      <c r="V288" s="1"/>
    </row>
    <row r="289" spans="1:22" ht="35.25" customHeight="1">
      <c r="A289" s="80"/>
      <c r="B289" s="81" t="s">
        <v>24</v>
      </c>
      <c r="C289" s="82">
        <v>46187</v>
      </c>
      <c r="D289" s="83" t="str">
        <f ca="1">CONCATENATE(CALC2223!A288," ",CALC2223!C288," ",CALC2223!E288)</f>
        <v xml:space="preserve">  </v>
      </c>
      <c r="E289" s="83" t="str">
        <f ca="1">CONCATENATE(CALC2223!G288," ",CALC2223!I288," ",CALC2223!K288)</f>
        <v xml:space="preserve">  </v>
      </c>
      <c r="F289" s="83" t="str">
        <f ca="1">CONCATENATE(CALC2223!M288," ",CALC2223!O288," ",CALC2223!Q288)</f>
        <v xml:space="preserve">  </v>
      </c>
      <c r="G289" s="83" t="str">
        <f ca="1">CONCATENATE(CALC2223!S288," ",CALC2223!U288," ",CALC2223!W288)</f>
        <v xml:space="preserve">  </v>
      </c>
      <c r="H289" s="83" t="str">
        <f ca="1">CONCATENATE(CALC2223!Y288," ",CALC2223!AA288," ",CALC2223!AC288)</f>
        <v xml:space="preserve">  </v>
      </c>
      <c r="I289" s="83" t="str">
        <f ca="1">CONCATENATE(CALC2223!AE288," ",CALC2223!AG288," ",CALC2223!AI288)</f>
        <v xml:space="preserve">  </v>
      </c>
      <c r="J289" s="83" t="str">
        <f ca="1">CONCATENATE(CALC2223!AK288," ",CALC2223!AM288," ",CALC2223!AO288)</f>
        <v xml:space="preserve">  </v>
      </c>
      <c r="K289" s="83" t="str">
        <f ca="1">CONCATENATE(CALC2223!AQ288," ",CALC2223!AS288," ",CALC2223!AU288," ",CALC2223!AW288)</f>
        <v xml:space="preserve">   </v>
      </c>
      <c r="L289" s="84" t="str">
        <f t="shared" ca="1" si="1"/>
        <v>actueel</v>
      </c>
      <c r="M289" s="1"/>
      <c r="N289" s="4" t="b">
        <f ca="1">OR(VALUE(CALC2223!B288)&gt;VALUE(LASTV),VALUE(CALC2223!D288)&gt;VALUE(LASTV),VALUE(CALC2223!F288)&gt;VALUE(LASTV))</f>
        <v>0</v>
      </c>
      <c r="O289" s="4" t="b">
        <f ca="1">OR(VALUE(CALC2223!H288)&gt;VALUE(LASTV),VALUE(CALC2223!J288)&gt;VALUE(LASTV),VALUE(CALC2223!L288)&gt;VALUE(LASTV))</f>
        <v>0</v>
      </c>
      <c r="P289" s="4" t="b">
        <f ca="1">OR(VALUE(CALC2223!N288)&gt;VALUE(LASTV),VALUE(CALC2223!P288)&gt;VALUE(LASTV),VALUE(CALC2223!R288)&gt;VALUE(LASTV))</f>
        <v>0</v>
      </c>
      <c r="Q289" s="4" t="b">
        <f ca="1">OR(VALUE(CALC2223!T288)&gt;VALUE(LASTV),VALUE(CALC2223!V288)&gt;VALUE(LASTV),VALUE(CALC2223!X288)&gt;VALUE(LASTV))</f>
        <v>0</v>
      </c>
      <c r="R289" s="4" t="b">
        <f ca="1">OR(VALUE(CALC2223!Z288)&gt;VALUE(LASTV),VALUE(CALC2223!AB288)&gt;VALUE(LASTV),VALUE(CALC2223!AD288)&gt;VALUE(LASTV))</f>
        <v>0</v>
      </c>
      <c r="S289" s="4" t="b">
        <f ca="1">OR(VALUE(CALC2223!AF288)&gt;VALUE(LASTV),VALUE(CALC2223!AH288)&gt;VALUE(LASTV),VALUE(CALC2223!AJ288)&gt;VALUE(LASTV))</f>
        <v>0</v>
      </c>
      <c r="T289" s="4" t="b">
        <f ca="1">OR(VALUE(CALC2223!AL288)&gt;VALUE(LASTV),VALUE(CALC2223!AN288)&gt;VALUE(LASTV),VALUE(CALC2223!AP288)&gt;VALUE(LASTV))</f>
        <v>0</v>
      </c>
      <c r="U289" s="4" t="b">
        <f ca="1">OR(VALUE(CALC2223!AR288)&gt;VALUE(LASTV),VALUE(CALC2223!AT288)&gt;VALUE(LASTV),VALUE(CALC2223!AV288)&gt;VALUE(LASTV))</f>
        <v>0</v>
      </c>
      <c r="V289" s="1"/>
    </row>
    <row r="290" spans="1:22" ht="35.25" customHeight="1">
      <c r="A290" s="50">
        <v>25</v>
      </c>
      <c r="B290" s="41" t="s">
        <v>18</v>
      </c>
      <c r="C290" s="42">
        <v>46188</v>
      </c>
      <c r="D290" s="43" t="str">
        <f ca="1">CONCATENATE(CALC2223!A289," ",CALC2223!C289," ",CALC2223!E289)</f>
        <v xml:space="preserve">  </v>
      </c>
      <c r="E290" s="43" t="str">
        <f ca="1">CONCATENATE(CALC2223!G289," ",CALC2223!I289," ",CALC2223!K289)</f>
        <v xml:space="preserve">  </v>
      </c>
      <c r="F290" s="43" t="str">
        <f ca="1">CONCATENATE(CALC2223!M289," ",CALC2223!O289," ",CALC2223!Q289)</f>
        <v xml:space="preserve">  </v>
      </c>
      <c r="G290" s="43" t="str">
        <f ca="1">CONCATENATE(CALC2223!S289," ",CALC2223!U289," ",CALC2223!W289)</f>
        <v xml:space="preserve">inh rep GS  </v>
      </c>
      <c r="H290" s="43" t="str">
        <f ca="1">CONCATENATE(CALC2223!Y289," ",CALC2223!AA289," ",CALC2223!AC289)</f>
        <v xml:space="preserve">  </v>
      </c>
      <c r="I290" s="43" t="str">
        <f ca="1">CONCATENATE(CALC2223!AE289," ",CALC2223!AG289," ",CALC2223!AI289)</f>
        <v xml:space="preserve">  </v>
      </c>
      <c r="J290" s="43" t="str">
        <f ca="1">CONCATENATE(CALC2223!AK289," ",CALC2223!AM289," ",CALC2223!AO289)</f>
        <v xml:space="preserve">  </v>
      </c>
      <c r="K290" s="43" t="str">
        <f ca="1">CONCATENATE(CALC2223!AQ289," ",CALC2223!AS289," ",CALC2223!AU289," ",CALC2223!AW289)</f>
        <v xml:space="preserve">   </v>
      </c>
      <c r="L290" s="44" t="str">
        <f t="shared" ca="1" si="1"/>
        <v>actueel</v>
      </c>
      <c r="M290" s="1"/>
      <c r="N290" s="4" t="b">
        <f ca="1">OR(VALUE(CALC2223!B289)&gt;VALUE(LASTV),VALUE(CALC2223!D289)&gt;VALUE(LASTV),VALUE(CALC2223!F289)&gt;VALUE(LASTV))</f>
        <v>0</v>
      </c>
      <c r="O290" s="4" t="b">
        <f ca="1">OR(VALUE(CALC2223!H289)&gt;VALUE(LASTV),VALUE(CALC2223!J289)&gt;VALUE(LASTV),VALUE(CALC2223!L289)&gt;VALUE(LASTV))</f>
        <v>0</v>
      </c>
      <c r="P290" s="4" t="b">
        <f ca="1">OR(VALUE(CALC2223!N289)&gt;VALUE(LASTV),VALUE(CALC2223!P289)&gt;VALUE(LASTV),VALUE(CALC2223!R289)&gt;VALUE(LASTV))</f>
        <v>0</v>
      </c>
      <c r="Q290" s="4" t="b">
        <f ca="1">OR(VALUE(CALC2223!T289)&gt;VALUE(LASTV),VALUE(CALC2223!V289)&gt;VALUE(LASTV),VALUE(CALC2223!X289)&gt;VALUE(LASTV))</f>
        <v>0</v>
      </c>
      <c r="R290" s="4" t="b">
        <f ca="1">OR(VALUE(CALC2223!Z289)&gt;VALUE(LASTV),VALUE(CALC2223!AB289)&gt;VALUE(LASTV),VALUE(CALC2223!AD289)&gt;VALUE(LASTV))</f>
        <v>0</v>
      </c>
      <c r="S290" s="4" t="b">
        <f ca="1">OR(VALUE(CALC2223!AF289)&gt;VALUE(LASTV),VALUE(CALC2223!AH289)&gt;VALUE(LASTV),VALUE(CALC2223!AJ289)&gt;VALUE(LASTV))</f>
        <v>0</v>
      </c>
      <c r="T290" s="4" t="b">
        <f ca="1">OR(VALUE(CALC2223!AL289)&gt;VALUE(LASTV),VALUE(CALC2223!AN289)&gt;VALUE(LASTV),VALUE(CALC2223!AP289)&gt;VALUE(LASTV))</f>
        <v>0</v>
      </c>
      <c r="U290" s="4" t="b">
        <f ca="1">OR(VALUE(CALC2223!AR289)&gt;VALUE(LASTV),VALUE(CALC2223!AT289)&gt;VALUE(LASTV),VALUE(CALC2223!AV289)&gt;VALUE(LASTV))</f>
        <v>0</v>
      </c>
      <c r="V290" s="1"/>
    </row>
    <row r="291" spans="1:22" ht="35.25" customHeight="1">
      <c r="A291" s="40"/>
      <c r="B291" s="41" t="s">
        <v>19</v>
      </c>
      <c r="C291" s="42">
        <v>46189</v>
      </c>
      <c r="D291" s="51" t="str">
        <f ca="1">CONCATENATE(CALC2223!A290," ",CALC2223!C290," ",CALC2223!E290)</f>
        <v xml:space="preserve">  </v>
      </c>
      <c r="E291" s="51" t="str">
        <f ca="1">CONCATENATE(CALC2223!G290," ",CALC2223!I290," ",CALC2223!K290)</f>
        <v xml:space="preserve">  </v>
      </c>
      <c r="F291" s="51" t="str">
        <f ca="1">CONCATENATE(CALC2223!M290," ",CALC2223!O290," ",CALC2223!Q290)</f>
        <v xml:space="preserve">  </v>
      </c>
      <c r="G291" s="51" t="str">
        <f ca="1">CONCATENATE(CALC2223!S290," ",CALC2223!U290," ",CALC2223!W290)</f>
        <v xml:space="preserve">Rep AK  </v>
      </c>
      <c r="H291" s="51" t="str">
        <f ca="1">CONCATENATE(CALC2223!Y290," ",CALC2223!AA290," ",CALC2223!AC290)</f>
        <v xml:space="preserve">  </v>
      </c>
      <c r="I291" s="51" t="str">
        <f ca="1">CONCATENATE(CALC2223!AE290," ",CALC2223!AG290," ",CALC2223!AI290)</f>
        <v xml:space="preserve">CE-2  </v>
      </c>
      <c r="J291" s="51" t="str">
        <f ca="1">CONCATENATE(CALC2223!AK290," ",CALC2223!AM290," ",CALC2223!AO290)</f>
        <v xml:space="preserve">nismakingsdag Nieuwe Brugklassers  </v>
      </c>
      <c r="K291" s="51" t="str">
        <f ca="1">CONCATENATE(CALC2223!AQ290," ",CALC2223!AS290," ",CALC2223!AU290," ",CALC2223!AW290)</f>
        <v xml:space="preserve">   </v>
      </c>
      <c r="L291" s="52" t="str">
        <f t="shared" ca="1" si="1"/>
        <v>actueel</v>
      </c>
      <c r="M291" s="1"/>
      <c r="N291" s="4" t="b">
        <f ca="1">OR(VALUE(CALC2223!B290)&gt;VALUE(LASTV),VALUE(CALC2223!D290)&gt;VALUE(LASTV),VALUE(CALC2223!F290)&gt;VALUE(LASTV))</f>
        <v>0</v>
      </c>
      <c r="O291" s="4" t="b">
        <f ca="1">OR(VALUE(CALC2223!H290)&gt;VALUE(LASTV),VALUE(CALC2223!J290)&gt;VALUE(LASTV),VALUE(CALC2223!L290)&gt;VALUE(LASTV))</f>
        <v>0</v>
      </c>
      <c r="P291" s="4" t="b">
        <f ca="1">OR(VALUE(CALC2223!N290)&gt;VALUE(LASTV),VALUE(CALC2223!P290)&gt;VALUE(LASTV),VALUE(CALC2223!R290)&gt;VALUE(LASTV))</f>
        <v>0</v>
      </c>
      <c r="Q291" s="4" t="b">
        <f ca="1">OR(VALUE(CALC2223!T290)&gt;VALUE(LASTV),VALUE(CALC2223!V290)&gt;VALUE(LASTV),VALUE(CALC2223!X290)&gt;VALUE(LASTV))</f>
        <v>0</v>
      </c>
      <c r="R291" s="4" t="b">
        <f ca="1">OR(VALUE(CALC2223!Z290)&gt;VALUE(LASTV),VALUE(CALC2223!AB290)&gt;VALUE(LASTV),VALUE(CALC2223!AD290)&gt;VALUE(LASTV))</f>
        <v>0</v>
      </c>
      <c r="S291" s="4" t="b">
        <f ca="1">OR(VALUE(CALC2223!AF290)&gt;VALUE(LASTV),VALUE(CALC2223!AH290)&gt;VALUE(LASTV),VALUE(CALC2223!AJ290)&gt;VALUE(LASTV))</f>
        <v>0</v>
      </c>
      <c r="T291" s="4" t="b">
        <f ca="1">OR(VALUE(CALC2223!AL290)&gt;VALUE(LASTV),VALUE(CALC2223!AN290)&gt;VALUE(LASTV),VALUE(CALC2223!AP290)&gt;VALUE(LASTV))</f>
        <v>0</v>
      </c>
      <c r="U291" s="4" t="b">
        <f ca="1">OR(VALUE(CALC2223!AR290)&gt;VALUE(LASTV),VALUE(CALC2223!AT290)&gt;VALUE(LASTV),VALUE(CALC2223!AV290)&gt;VALUE(LASTV))</f>
        <v>0</v>
      </c>
      <c r="V291" s="1"/>
    </row>
    <row r="292" spans="1:22" ht="35.25" customHeight="1">
      <c r="A292" s="40"/>
      <c r="B292" s="41" t="s">
        <v>20</v>
      </c>
      <c r="C292" s="42">
        <v>46190</v>
      </c>
      <c r="D292" s="51" t="str">
        <f ca="1">CONCATENATE(CALC2223!A291," ",CALC2223!C291," ",CALC2223!E291)</f>
        <v xml:space="preserve">  </v>
      </c>
      <c r="E292" s="51" t="str">
        <f ca="1">CONCATENATE(CALC2223!G291," ",CALC2223!I291," ",CALC2223!K291)</f>
        <v xml:space="preserve">  </v>
      </c>
      <c r="F292" s="51" t="str">
        <f ca="1">CONCATENATE(CALC2223!M291," ",CALC2223!O291," ",CALC2223!Q291)</f>
        <v xml:space="preserve">  </v>
      </c>
      <c r="G292" s="51" t="str">
        <f ca="1">CONCATENATE(CALC2223!S291," ",CALC2223!U291," ",CALC2223!W291)</f>
        <v xml:space="preserve">  </v>
      </c>
      <c r="H292" s="51" t="str">
        <f ca="1">CONCATENATE(CALC2223!Y291," ",CALC2223!AA291," ",CALC2223!AC291)</f>
        <v xml:space="preserve">  </v>
      </c>
      <c r="I292" s="51" t="str">
        <f ca="1">CONCATENATE(CALC2223!AE291," ",CALC2223!AG291," ",CALC2223!AI291)</f>
        <v xml:space="preserve">CE-2  </v>
      </c>
      <c r="J292" s="51" t="str">
        <f ca="1">CONCATENATE(CALC2223!AK291," ",CALC2223!AM291," ",CALC2223!AO291)</f>
        <v xml:space="preserve">  </v>
      </c>
      <c r="K292" s="51" t="str">
        <f ca="1">CONCATENATE(CALC2223!AQ291," ",CALC2223!AS291," ",CALC2223!AU291," ",CALC2223!AW291)</f>
        <v xml:space="preserve">   </v>
      </c>
      <c r="L292" s="52" t="str">
        <f t="shared" ca="1" si="1"/>
        <v>actueel</v>
      </c>
      <c r="M292" s="1"/>
      <c r="N292" s="4" t="b">
        <f ca="1">OR(VALUE(CALC2223!B291)&gt;VALUE(LASTV),VALUE(CALC2223!D291)&gt;VALUE(LASTV),VALUE(CALC2223!F291)&gt;VALUE(LASTV))</f>
        <v>0</v>
      </c>
      <c r="O292" s="4" t="b">
        <f ca="1">OR(VALUE(CALC2223!H291)&gt;VALUE(LASTV),VALUE(CALC2223!J291)&gt;VALUE(LASTV),VALUE(CALC2223!L291)&gt;VALUE(LASTV))</f>
        <v>0</v>
      </c>
      <c r="P292" s="4" t="b">
        <f ca="1">OR(VALUE(CALC2223!N291)&gt;VALUE(LASTV),VALUE(CALC2223!P291)&gt;VALUE(LASTV),VALUE(CALC2223!R291)&gt;VALUE(LASTV))</f>
        <v>0</v>
      </c>
      <c r="Q292" s="4" t="b">
        <f ca="1">OR(VALUE(CALC2223!T291)&gt;VALUE(LASTV),VALUE(CALC2223!V291)&gt;VALUE(LASTV),VALUE(CALC2223!X291)&gt;VALUE(LASTV))</f>
        <v>0</v>
      </c>
      <c r="R292" s="4" t="b">
        <f ca="1">OR(VALUE(CALC2223!Z291)&gt;VALUE(LASTV),VALUE(CALC2223!AB291)&gt;VALUE(LASTV),VALUE(CALC2223!AD291)&gt;VALUE(LASTV))</f>
        <v>0</v>
      </c>
      <c r="S292" s="4" t="b">
        <f ca="1">OR(VALUE(CALC2223!AF291)&gt;VALUE(LASTV),VALUE(CALC2223!AH291)&gt;VALUE(LASTV),VALUE(CALC2223!AJ291)&gt;VALUE(LASTV))</f>
        <v>0</v>
      </c>
      <c r="T292" s="4" t="b">
        <f ca="1">OR(VALUE(CALC2223!AL291)&gt;VALUE(LASTV),VALUE(CALC2223!AN291)&gt;VALUE(LASTV),VALUE(CALC2223!AP291)&gt;VALUE(LASTV))</f>
        <v>0</v>
      </c>
      <c r="U292" s="4" t="b">
        <f ca="1">OR(VALUE(CALC2223!AR291)&gt;VALUE(LASTV),VALUE(CALC2223!AT291)&gt;VALUE(LASTV),VALUE(CALC2223!AV291)&gt;VALUE(LASTV))</f>
        <v>0</v>
      </c>
      <c r="V292" s="1"/>
    </row>
    <row r="293" spans="1:22" ht="35.25" customHeight="1">
      <c r="A293" s="40"/>
      <c r="B293" s="41" t="s">
        <v>21</v>
      </c>
      <c r="C293" s="42">
        <v>46191</v>
      </c>
      <c r="D293" s="51" t="str">
        <f ca="1">CONCATENATE(CALC2223!A292," ",CALC2223!C292," ",CALC2223!E292)</f>
        <v xml:space="preserve">  </v>
      </c>
      <c r="E293" s="51" t="str">
        <f ca="1">CONCATENATE(CALC2223!G292," ",CALC2223!I292," ",CALC2223!K292)</f>
        <v xml:space="preserve">  </v>
      </c>
      <c r="F293" s="51" t="str">
        <f ca="1">CONCATENATE(CALC2223!M292," ",CALC2223!O292," ",CALC2223!Q292)</f>
        <v xml:space="preserve">  </v>
      </c>
      <c r="G293" s="51" t="str">
        <f ca="1">CONCATENATE(CALC2223!S292," ",CALC2223!U292," ",CALC2223!W292)</f>
        <v xml:space="preserve">veegmoment  </v>
      </c>
      <c r="H293" s="51" t="str">
        <f ca="1">CONCATENATE(CALC2223!Y292," ",CALC2223!AA292," ",CALC2223!AC292)</f>
        <v xml:space="preserve">veegmoment  </v>
      </c>
      <c r="I293" s="51" t="str">
        <f ca="1">CONCATENATE(CALC2223!AE292," ",CALC2223!AG292," ",CALC2223!AI292)</f>
        <v xml:space="preserve">CE-2  </v>
      </c>
      <c r="J293" s="51" t="str">
        <f ca="1">CONCATENATE(CALC2223!AK292," ",CALC2223!AM292," ",CALC2223!AO292)</f>
        <v xml:space="preserve">commissies#8/MR#5  </v>
      </c>
      <c r="K293" s="51" t="str">
        <f ca="1">CONCATENATE(CALC2223!AQ292," ",CALC2223!AS292," ",CALC2223!AU292," ",CALC2223!AW292)</f>
        <v xml:space="preserve">   </v>
      </c>
      <c r="L293" s="52" t="str">
        <f t="shared" ca="1" si="1"/>
        <v>actueel</v>
      </c>
      <c r="M293" s="1"/>
      <c r="N293" s="4" t="b">
        <f ca="1">OR(VALUE(CALC2223!B292)&gt;VALUE(LASTV),VALUE(CALC2223!D292)&gt;VALUE(LASTV),VALUE(CALC2223!F292)&gt;VALUE(LASTV))</f>
        <v>0</v>
      </c>
      <c r="O293" s="4" t="b">
        <f ca="1">OR(VALUE(CALC2223!H292)&gt;VALUE(LASTV),VALUE(CALC2223!J292)&gt;VALUE(LASTV),VALUE(CALC2223!L292)&gt;VALUE(LASTV))</f>
        <v>0</v>
      </c>
      <c r="P293" s="4" t="b">
        <f ca="1">OR(VALUE(CALC2223!N292)&gt;VALUE(LASTV),VALUE(CALC2223!P292)&gt;VALUE(LASTV),VALUE(CALC2223!R292)&gt;VALUE(LASTV))</f>
        <v>0</v>
      </c>
      <c r="Q293" s="4" t="b">
        <f ca="1">OR(VALUE(CALC2223!T292)&gt;VALUE(LASTV),VALUE(CALC2223!V292)&gt;VALUE(LASTV),VALUE(CALC2223!X292)&gt;VALUE(LASTV))</f>
        <v>0</v>
      </c>
      <c r="R293" s="4" t="b">
        <f ca="1">OR(VALUE(CALC2223!Z292)&gt;VALUE(LASTV),VALUE(CALC2223!AB292)&gt;VALUE(LASTV),VALUE(CALC2223!AD292)&gt;VALUE(LASTV))</f>
        <v>0</v>
      </c>
      <c r="S293" s="4" t="b">
        <f ca="1">OR(VALUE(CALC2223!AF292)&gt;VALUE(LASTV),VALUE(CALC2223!AH292)&gt;VALUE(LASTV),VALUE(CALC2223!AJ292)&gt;VALUE(LASTV))</f>
        <v>0</v>
      </c>
      <c r="T293" s="4" t="b">
        <f ca="1">OR(VALUE(CALC2223!AL292)&gt;VALUE(LASTV),VALUE(CALC2223!AN292)&gt;VALUE(LASTV),VALUE(CALC2223!AP292)&gt;VALUE(LASTV))</f>
        <v>0</v>
      </c>
      <c r="U293" s="4" t="b">
        <f ca="1">OR(VALUE(CALC2223!AR292)&gt;VALUE(LASTV),VALUE(CALC2223!AT292)&gt;VALUE(LASTV),VALUE(CALC2223!AV292)&gt;VALUE(LASTV))</f>
        <v>0</v>
      </c>
      <c r="V293" s="1"/>
    </row>
    <row r="294" spans="1:22" ht="35.25" customHeight="1">
      <c r="A294" s="40"/>
      <c r="B294" s="41" t="s">
        <v>22</v>
      </c>
      <c r="C294" s="42">
        <v>46192</v>
      </c>
      <c r="D294" s="51" t="str">
        <f ca="1">CONCATENATE(CALC2223!A293," ",CALC2223!C293," ",CALC2223!E293)</f>
        <v xml:space="preserve">  </v>
      </c>
      <c r="E294" s="51" t="str">
        <f ca="1">CONCATENATE(CALC2223!G293," ",CALC2223!I293," ",CALC2223!K293)</f>
        <v xml:space="preserve">Rep AK  </v>
      </c>
      <c r="F294" s="51" t="str">
        <f ca="1">CONCATENATE(CALC2223!M293," ",CALC2223!O293," ",CALC2223!Q293)</f>
        <v xml:space="preserve">  </v>
      </c>
      <c r="G294" s="51" t="str">
        <f ca="1">CONCATENATE(CALC2223!S293," ",CALC2223!U293," ",CALC2223!W293)</f>
        <v xml:space="preserve">Rep FI  </v>
      </c>
      <c r="H294" s="51" t="str">
        <f ca="1">CONCATENATE(CALC2223!Y293," ",CALC2223!AA293," ",CALC2223!AC293)</f>
        <v xml:space="preserve">  </v>
      </c>
      <c r="I294" s="51" t="str">
        <f ca="1">CONCATENATE(CALC2223!AE293," ",CALC2223!AG293," ",CALC2223!AI293)</f>
        <v xml:space="preserve">CE-2  </v>
      </c>
      <c r="J294" s="51" t="str">
        <f ca="1">CONCATENATE(CALC2223!AK293," ",CALC2223!AM293," ",CALC2223!AO293)</f>
        <v xml:space="preserve">  </v>
      </c>
      <c r="K294" s="51" t="str">
        <f ca="1">CONCATENATE(CALC2223!AQ293," ",CALC2223!AS293," ",CALC2223!AU293," ",CALC2223!AW293)</f>
        <v xml:space="preserve">   </v>
      </c>
      <c r="L294" s="52" t="str">
        <f t="shared" ca="1" si="1"/>
        <v>actueel</v>
      </c>
      <c r="M294" s="1"/>
      <c r="N294" s="4" t="b">
        <f ca="1">OR(VALUE(CALC2223!B293)&gt;VALUE(LASTV),VALUE(CALC2223!D293)&gt;VALUE(LASTV),VALUE(CALC2223!F293)&gt;VALUE(LASTV))</f>
        <v>0</v>
      </c>
      <c r="O294" s="4" t="b">
        <f ca="1">OR(VALUE(CALC2223!H293)&gt;VALUE(LASTV),VALUE(CALC2223!J293)&gt;VALUE(LASTV),VALUE(CALC2223!L293)&gt;VALUE(LASTV))</f>
        <v>0</v>
      </c>
      <c r="P294" s="4" t="b">
        <f ca="1">OR(VALUE(CALC2223!N293)&gt;VALUE(LASTV),VALUE(CALC2223!P293)&gt;VALUE(LASTV),VALUE(CALC2223!R293)&gt;VALUE(LASTV))</f>
        <v>0</v>
      </c>
      <c r="Q294" s="4" t="b">
        <f ca="1">OR(VALUE(CALC2223!T293)&gt;VALUE(LASTV),VALUE(CALC2223!V293)&gt;VALUE(LASTV),VALUE(CALC2223!X293)&gt;VALUE(LASTV))</f>
        <v>0</v>
      </c>
      <c r="R294" s="4" t="b">
        <f ca="1">OR(VALUE(CALC2223!Z293)&gt;VALUE(LASTV),VALUE(CALC2223!AB293)&gt;VALUE(LASTV),VALUE(CALC2223!AD293)&gt;VALUE(LASTV))</f>
        <v>0</v>
      </c>
      <c r="S294" s="4" t="b">
        <f ca="1">OR(VALUE(CALC2223!AF293)&gt;VALUE(LASTV),VALUE(CALC2223!AH293)&gt;VALUE(LASTV),VALUE(CALC2223!AJ293)&gt;VALUE(LASTV))</f>
        <v>0</v>
      </c>
      <c r="T294" s="4" t="b">
        <f ca="1">OR(VALUE(CALC2223!AL293)&gt;VALUE(LASTV),VALUE(CALC2223!AN293)&gt;VALUE(LASTV),VALUE(CALC2223!AP293)&gt;VALUE(LASTV))</f>
        <v>0</v>
      </c>
      <c r="U294" s="4" t="b">
        <f ca="1">OR(VALUE(CALC2223!AR293)&gt;VALUE(LASTV),VALUE(CALC2223!AT293)&gt;VALUE(LASTV),VALUE(CALC2223!AV293)&gt;VALUE(LASTV))</f>
        <v>0</v>
      </c>
      <c r="V294" s="1"/>
    </row>
    <row r="295" spans="1:22" ht="35.25" customHeight="1">
      <c r="A295" s="45"/>
      <c r="B295" s="46" t="s">
        <v>23</v>
      </c>
      <c r="C295" s="47">
        <v>46193</v>
      </c>
      <c r="D295" s="48" t="str">
        <f ca="1">CONCATENATE(CALC2223!A294," ",CALC2223!C294," ",CALC2223!E294)</f>
        <v xml:space="preserve">  </v>
      </c>
      <c r="E295" s="48" t="str">
        <f ca="1">CONCATENATE(CALC2223!G294," ",CALC2223!I294," ",CALC2223!K294)</f>
        <v xml:space="preserve">  </v>
      </c>
      <c r="F295" s="48" t="str">
        <f ca="1">CONCATENATE(CALC2223!M294," ",CALC2223!O294," ",CALC2223!Q294)</f>
        <v xml:space="preserve">  </v>
      </c>
      <c r="G295" s="48" t="str">
        <f ca="1">CONCATENATE(CALC2223!S294," ",CALC2223!U294," ",CALC2223!W294)</f>
        <v xml:space="preserve">  </v>
      </c>
      <c r="H295" s="48" t="str">
        <f ca="1">CONCATENATE(CALC2223!Y294," ",CALC2223!AA294," ",CALC2223!AC294)</f>
        <v xml:space="preserve">  </v>
      </c>
      <c r="I295" s="48" t="str">
        <f ca="1">CONCATENATE(CALC2223!AE294," ",CALC2223!AG294," ",CALC2223!AI294)</f>
        <v xml:space="preserve">  </v>
      </c>
      <c r="J295" s="48" t="str">
        <f ca="1">CONCATENATE(CALC2223!AK294," ",CALC2223!AM294," ",CALC2223!AO294)</f>
        <v xml:space="preserve">  </v>
      </c>
      <c r="K295" s="48" t="str">
        <f ca="1">CONCATENATE(CALC2223!AQ294," ",CALC2223!AS294," ",CALC2223!AU294," ",CALC2223!AW294)</f>
        <v xml:space="preserve">   </v>
      </c>
      <c r="L295" s="49" t="str">
        <f t="shared" ca="1" si="1"/>
        <v>actueel</v>
      </c>
      <c r="M295" s="1"/>
      <c r="N295" s="4" t="b">
        <f ca="1">OR(VALUE(CALC2223!B294)&gt;VALUE(LASTV),VALUE(CALC2223!D294)&gt;VALUE(LASTV),VALUE(CALC2223!F294)&gt;VALUE(LASTV))</f>
        <v>0</v>
      </c>
      <c r="O295" s="4" t="b">
        <f ca="1">OR(VALUE(CALC2223!H294)&gt;VALUE(LASTV),VALUE(CALC2223!J294)&gt;VALUE(LASTV),VALUE(CALC2223!L294)&gt;VALUE(LASTV))</f>
        <v>0</v>
      </c>
      <c r="P295" s="4" t="b">
        <f ca="1">OR(VALUE(CALC2223!N294)&gt;VALUE(LASTV),VALUE(CALC2223!P294)&gt;VALUE(LASTV),VALUE(CALC2223!R294)&gt;VALUE(LASTV))</f>
        <v>0</v>
      </c>
      <c r="Q295" s="4" t="b">
        <f ca="1">OR(VALUE(CALC2223!T294)&gt;VALUE(LASTV),VALUE(CALC2223!V294)&gt;VALUE(LASTV),VALUE(CALC2223!X294)&gt;VALUE(LASTV))</f>
        <v>0</v>
      </c>
      <c r="R295" s="4" t="b">
        <f ca="1">OR(VALUE(CALC2223!Z294)&gt;VALUE(LASTV),VALUE(CALC2223!AB294)&gt;VALUE(LASTV),VALUE(CALC2223!AD294)&gt;VALUE(LASTV))</f>
        <v>0</v>
      </c>
      <c r="S295" s="4" t="b">
        <f ca="1">OR(VALUE(CALC2223!AF294)&gt;VALUE(LASTV),VALUE(CALC2223!AH294)&gt;VALUE(LASTV),VALUE(CALC2223!AJ294)&gt;VALUE(LASTV))</f>
        <v>0</v>
      </c>
      <c r="T295" s="4" t="b">
        <f ca="1">OR(VALUE(CALC2223!AL294)&gt;VALUE(LASTV),VALUE(CALC2223!AN294)&gt;VALUE(LASTV),VALUE(CALC2223!AP294)&gt;VALUE(LASTV))</f>
        <v>0</v>
      </c>
      <c r="U295" s="4" t="b">
        <f ca="1">OR(VALUE(CALC2223!AR294)&gt;VALUE(LASTV),VALUE(CALC2223!AT294)&gt;VALUE(LASTV),VALUE(CALC2223!AV294)&gt;VALUE(LASTV))</f>
        <v>0</v>
      </c>
      <c r="V295" s="1"/>
    </row>
    <row r="296" spans="1:22" ht="35.25" customHeight="1">
      <c r="A296" s="45"/>
      <c r="B296" s="46" t="s">
        <v>24</v>
      </c>
      <c r="C296" s="47">
        <v>46194</v>
      </c>
      <c r="D296" s="48" t="str">
        <f ca="1">CONCATENATE(CALC2223!A295," ",CALC2223!C295," ",CALC2223!E295)</f>
        <v xml:space="preserve">  </v>
      </c>
      <c r="E296" s="48" t="str">
        <f ca="1">CONCATENATE(CALC2223!G295," ",CALC2223!I295," ",CALC2223!K295)</f>
        <v xml:space="preserve">  </v>
      </c>
      <c r="F296" s="48" t="str">
        <f ca="1">CONCATENATE(CALC2223!M295," ",CALC2223!O295," ",CALC2223!Q295)</f>
        <v xml:space="preserve">  </v>
      </c>
      <c r="G296" s="48" t="str">
        <f ca="1">CONCATENATE(CALC2223!S295," ",CALC2223!U295," ",CALC2223!W295)</f>
        <v xml:space="preserve">  </v>
      </c>
      <c r="H296" s="48" t="str">
        <f ca="1">CONCATENATE(CALC2223!Y295," ",CALC2223!AA295," ",CALC2223!AC295)</f>
        <v xml:space="preserve">  </v>
      </c>
      <c r="I296" s="48" t="str">
        <f ca="1">CONCATENATE(CALC2223!AE295," ",CALC2223!AG295," ",CALC2223!AI295)</f>
        <v xml:space="preserve">  </v>
      </c>
      <c r="J296" s="48" t="str">
        <f ca="1">CONCATENATE(CALC2223!AK295," ",CALC2223!AM295," ",CALC2223!AO295)</f>
        <v xml:space="preserve">  </v>
      </c>
      <c r="K296" s="48" t="str">
        <f ca="1">CONCATENATE(CALC2223!AQ295," ",CALC2223!AS295," ",CALC2223!AU295," ",CALC2223!AW295)</f>
        <v xml:space="preserve">   </v>
      </c>
      <c r="L296" s="49" t="str">
        <f t="shared" ca="1" si="1"/>
        <v>actueel</v>
      </c>
      <c r="M296" s="1"/>
      <c r="N296" s="4" t="b">
        <f ca="1">OR(VALUE(CALC2223!B295)&gt;VALUE(LASTV),VALUE(CALC2223!D295)&gt;VALUE(LASTV),VALUE(CALC2223!F295)&gt;VALUE(LASTV))</f>
        <v>0</v>
      </c>
      <c r="O296" s="4" t="b">
        <f ca="1">OR(VALUE(CALC2223!H295)&gt;VALUE(LASTV),VALUE(CALC2223!J295)&gt;VALUE(LASTV),VALUE(CALC2223!L295)&gt;VALUE(LASTV))</f>
        <v>0</v>
      </c>
      <c r="P296" s="4" t="b">
        <f ca="1">OR(VALUE(CALC2223!N295)&gt;VALUE(LASTV),VALUE(CALC2223!P295)&gt;VALUE(LASTV),VALUE(CALC2223!R295)&gt;VALUE(LASTV))</f>
        <v>0</v>
      </c>
      <c r="Q296" s="4" t="b">
        <f ca="1">OR(VALUE(CALC2223!T295)&gt;VALUE(LASTV),VALUE(CALC2223!V295)&gt;VALUE(LASTV),VALUE(CALC2223!X295)&gt;VALUE(LASTV))</f>
        <v>0</v>
      </c>
      <c r="R296" s="4" t="b">
        <f ca="1">OR(VALUE(CALC2223!Z295)&gt;VALUE(LASTV),VALUE(CALC2223!AB295)&gt;VALUE(LASTV),VALUE(CALC2223!AD295)&gt;VALUE(LASTV))</f>
        <v>0</v>
      </c>
      <c r="S296" s="4" t="b">
        <f ca="1">OR(VALUE(CALC2223!AF295)&gt;VALUE(LASTV),VALUE(CALC2223!AH295)&gt;VALUE(LASTV),VALUE(CALC2223!AJ295)&gt;VALUE(LASTV))</f>
        <v>0</v>
      </c>
      <c r="T296" s="4" t="b">
        <f ca="1">OR(VALUE(CALC2223!AL295)&gt;VALUE(LASTV),VALUE(CALC2223!AN295)&gt;VALUE(LASTV),VALUE(CALC2223!AP295)&gt;VALUE(LASTV))</f>
        <v>0</v>
      </c>
      <c r="U296" s="4" t="b">
        <f ca="1">OR(VALUE(CALC2223!AR295)&gt;VALUE(LASTV),VALUE(CALC2223!AT295)&gt;VALUE(LASTV),VALUE(CALC2223!AV295)&gt;VALUE(LASTV))</f>
        <v>0</v>
      </c>
      <c r="V296" s="1"/>
    </row>
    <row r="297" spans="1:22" ht="35.25" customHeight="1">
      <c r="A297" s="50">
        <v>26</v>
      </c>
      <c r="B297" s="41" t="s">
        <v>18</v>
      </c>
      <c r="C297" s="42">
        <v>46195</v>
      </c>
      <c r="D297" s="51" t="str">
        <f ca="1">CONCATENATE(CALC2223!A296," ",CALC2223!C296," ",CALC2223!E296)</f>
        <v xml:space="preserve">  </v>
      </c>
      <c r="E297" s="51" t="str">
        <f ca="1">CONCATENATE(CALC2223!G296," ",CALC2223!I296," ",CALC2223!K296)</f>
        <v xml:space="preserve">  </v>
      </c>
      <c r="F297" s="51" t="str">
        <f ca="1">CONCATENATE(CALC2223!M296," ",CALC2223!O296," ",CALC2223!Q296)</f>
        <v xml:space="preserve">  </v>
      </c>
      <c r="G297" s="51" t="str">
        <f ca="1">CONCATENATE(CALC2223!S296," ",CALC2223!U296," ",CALC2223!W296)</f>
        <v xml:space="preserve">inh rep NE  </v>
      </c>
      <c r="H297" s="51" t="str">
        <f ca="1">CONCATENATE(CALC2223!Y296," ",CALC2223!AA296," ",CALC2223!AC296)</f>
        <v xml:space="preserve">inh rep NE  </v>
      </c>
      <c r="I297" s="51" t="str">
        <f ca="1">CONCATENATE(CALC2223!AE296," ",CALC2223!AG296," ",CALC2223!AI296)</f>
        <v xml:space="preserve">CE-2  </v>
      </c>
      <c r="J297" s="51" t="str">
        <f ca="1">CONCATENATE(CALC2223!AK296," ",CALC2223!AM296," ",CALC2223!AO296)</f>
        <v xml:space="preserve">  </v>
      </c>
      <c r="K297" s="51" t="str">
        <f ca="1">CONCATENATE(CALC2223!AQ296," ",CALC2223!AS296," ",CALC2223!AU296," ",CALC2223!AW296)</f>
        <v xml:space="preserve">   </v>
      </c>
      <c r="L297" s="52" t="str">
        <f t="shared" ca="1" si="1"/>
        <v>actueel</v>
      </c>
      <c r="M297" s="1"/>
      <c r="N297" s="4" t="b">
        <f ca="1">OR(VALUE(CALC2223!B296)&gt;VALUE(LASTV),VALUE(CALC2223!D296)&gt;VALUE(LASTV),VALUE(CALC2223!F296)&gt;VALUE(LASTV))</f>
        <v>0</v>
      </c>
      <c r="O297" s="4" t="b">
        <f ca="1">OR(VALUE(CALC2223!H296)&gt;VALUE(LASTV),VALUE(CALC2223!J296)&gt;VALUE(LASTV),VALUE(CALC2223!L296)&gt;VALUE(LASTV))</f>
        <v>0</v>
      </c>
      <c r="P297" s="4" t="b">
        <f ca="1">OR(VALUE(CALC2223!N296)&gt;VALUE(LASTV),VALUE(CALC2223!P296)&gt;VALUE(LASTV),VALUE(CALC2223!R296)&gt;VALUE(LASTV))</f>
        <v>0</v>
      </c>
      <c r="Q297" s="4" t="b">
        <f ca="1">OR(VALUE(CALC2223!T296)&gt;VALUE(LASTV),VALUE(CALC2223!V296)&gt;VALUE(LASTV),VALUE(CALC2223!X296)&gt;VALUE(LASTV))</f>
        <v>0</v>
      </c>
      <c r="R297" s="4" t="b">
        <f ca="1">OR(VALUE(CALC2223!Z296)&gt;VALUE(LASTV),VALUE(CALC2223!AB296)&gt;VALUE(LASTV),VALUE(CALC2223!AD296)&gt;VALUE(LASTV))</f>
        <v>0</v>
      </c>
      <c r="S297" s="4" t="b">
        <f ca="1">OR(VALUE(CALC2223!AF296)&gt;VALUE(LASTV),VALUE(CALC2223!AH296)&gt;VALUE(LASTV),VALUE(CALC2223!AJ296)&gt;VALUE(LASTV))</f>
        <v>0</v>
      </c>
      <c r="T297" s="4" t="b">
        <f ca="1">OR(VALUE(CALC2223!AL296)&gt;VALUE(LASTV),VALUE(CALC2223!AN296)&gt;VALUE(LASTV),VALUE(CALC2223!AP296)&gt;VALUE(LASTV))</f>
        <v>0</v>
      </c>
      <c r="U297" s="4" t="b">
        <f ca="1">OR(VALUE(CALC2223!AR296)&gt;VALUE(LASTV),VALUE(CALC2223!AT296)&gt;VALUE(LASTV),VALUE(CALC2223!AV296)&gt;VALUE(LASTV))</f>
        <v>0</v>
      </c>
      <c r="V297" s="1"/>
    </row>
    <row r="298" spans="1:22" ht="35.25" customHeight="1">
      <c r="A298" s="40"/>
      <c r="B298" s="41" t="s">
        <v>19</v>
      </c>
      <c r="C298" s="42">
        <v>46196</v>
      </c>
      <c r="D298" s="51" t="str">
        <f ca="1">CONCATENATE(CALC2223!A297," ",CALC2223!C297," ",CALC2223!E297)</f>
        <v xml:space="preserve">  </v>
      </c>
      <c r="E298" s="51" t="str">
        <f ca="1">CONCATENATE(CALC2223!G297," ",CALC2223!I297," ",CALC2223!K297)</f>
        <v xml:space="preserve">  </v>
      </c>
      <c r="F298" s="51" t="str">
        <f ca="1">CONCATENATE(CALC2223!M297," ",CALC2223!O297," ",CALC2223!Q297)</f>
        <v xml:space="preserve">  </v>
      </c>
      <c r="G298" s="51" t="str">
        <f ca="1">CONCATENATE(CALC2223!S297," ",CALC2223!U297," ",CALC2223!W297)</f>
        <v xml:space="preserve">inh rep AK  </v>
      </c>
      <c r="H298" s="51" t="str">
        <f ca="1">CONCATENATE(CALC2223!Y297," ",CALC2223!AA297," ",CALC2223!AC297)</f>
        <v xml:space="preserve">  </v>
      </c>
      <c r="I298" s="51" t="str">
        <f ca="1">CONCATENATE(CALC2223!AE297," ",CALC2223!AG297," ",CALC2223!AI297)</f>
        <v xml:space="preserve">CE-2  </v>
      </c>
      <c r="J298" s="51" t="str">
        <f ca="1">CONCATENATE(CALC2223!AK297," ",CALC2223!AM297," ",CALC2223!AO297)</f>
        <v xml:space="preserve">  </v>
      </c>
      <c r="K298" s="51" t="str">
        <f ca="1">CONCATENATE(CALC2223!AQ297," ",CALC2223!AS297," ",CALC2223!AU297," ",CALC2223!AW297)</f>
        <v xml:space="preserve">   </v>
      </c>
      <c r="L298" s="52" t="str">
        <f t="shared" ca="1" si="1"/>
        <v>actueel</v>
      </c>
      <c r="M298" s="1"/>
      <c r="N298" s="4" t="b">
        <f ca="1">OR(VALUE(CALC2223!B297)&gt;VALUE(LASTV),VALUE(CALC2223!D297)&gt;VALUE(LASTV),VALUE(CALC2223!F297)&gt;VALUE(LASTV))</f>
        <v>0</v>
      </c>
      <c r="O298" s="4" t="b">
        <f ca="1">OR(VALUE(CALC2223!H297)&gt;VALUE(LASTV),VALUE(CALC2223!J297)&gt;VALUE(LASTV),VALUE(CALC2223!L297)&gt;VALUE(LASTV))</f>
        <v>0</v>
      </c>
      <c r="P298" s="4" t="b">
        <f ca="1">OR(VALUE(CALC2223!N297)&gt;VALUE(LASTV),VALUE(CALC2223!P297)&gt;VALUE(LASTV),VALUE(CALC2223!R297)&gt;VALUE(LASTV))</f>
        <v>0</v>
      </c>
      <c r="Q298" s="4" t="b">
        <f ca="1">OR(VALUE(CALC2223!T297)&gt;VALUE(LASTV),VALUE(CALC2223!V297)&gt;VALUE(LASTV),VALUE(CALC2223!X297)&gt;VALUE(LASTV))</f>
        <v>0</v>
      </c>
      <c r="R298" s="4" t="b">
        <f ca="1">OR(VALUE(CALC2223!Z297)&gt;VALUE(LASTV),VALUE(CALC2223!AB297)&gt;VALUE(LASTV),VALUE(CALC2223!AD297)&gt;VALUE(LASTV))</f>
        <v>0</v>
      </c>
      <c r="S298" s="4" t="b">
        <f ca="1">OR(VALUE(CALC2223!AF297)&gt;VALUE(LASTV),VALUE(CALC2223!AH297)&gt;VALUE(LASTV),VALUE(CALC2223!AJ297)&gt;VALUE(LASTV))</f>
        <v>0</v>
      </c>
      <c r="T298" s="4" t="b">
        <f ca="1">OR(VALUE(CALC2223!AL297)&gt;VALUE(LASTV),VALUE(CALC2223!AN297)&gt;VALUE(LASTV),VALUE(CALC2223!AP297)&gt;VALUE(LASTV))</f>
        <v>0</v>
      </c>
      <c r="U298" s="4" t="b">
        <f ca="1">OR(VALUE(CALC2223!AR297)&gt;VALUE(LASTV),VALUE(CALC2223!AT297)&gt;VALUE(LASTV),VALUE(CALC2223!AV297)&gt;VALUE(LASTV))</f>
        <v>0</v>
      </c>
      <c r="V298" s="1"/>
    </row>
    <row r="299" spans="1:22" ht="35.25" customHeight="1">
      <c r="A299" s="40"/>
      <c r="B299" s="41" t="s">
        <v>20</v>
      </c>
      <c r="C299" s="42">
        <v>46197</v>
      </c>
      <c r="D299" s="51" t="str">
        <f ca="1">CONCATENATE(CALC2223!A298," ",CALC2223!C298," ",CALC2223!E298)</f>
        <v xml:space="preserve">  </v>
      </c>
      <c r="E299" s="51" t="str">
        <f ca="1">CONCATENATE(CALC2223!G298," ",CALC2223!I298," ",CALC2223!K298)</f>
        <v xml:space="preserve">  </v>
      </c>
      <c r="F299" s="51" t="str">
        <f ca="1">CONCATENATE(CALC2223!M298," ",CALC2223!O298," ",CALC2223!Q298)</f>
        <v xml:space="preserve">  </v>
      </c>
      <c r="G299" s="51" t="str">
        <f ca="1">CONCATENATE(CALC2223!S298," ",CALC2223!U298," ",CALC2223!W298)</f>
        <v xml:space="preserve">inh rep FI  </v>
      </c>
      <c r="H299" s="51" t="str">
        <f ca="1">CONCATENATE(CALC2223!Y298," ",CALC2223!AA298," ",CALC2223!AC298)</f>
        <v xml:space="preserve">  </v>
      </c>
      <c r="I299" s="51" t="str">
        <f ca="1">CONCATENATE(CALC2223!AE298," ",CALC2223!AG298," ",CALC2223!AI298)</f>
        <v xml:space="preserve">  </v>
      </c>
      <c r="J299" s="51" t="str">
        <f ca="1">CONCATENATE(CALC2223!AK298," ",CALC2223!AM298," ",CALC2223!AO298)</f>
        <v xml:space="preserve">  </v>
      </c>
      <c r="K299" s="51" t="str">
        <f ca="1">CONCATENATE(CALC2223!AQ298," ",CALC2223!AS298," ",CALC2223!AU298," ",CALC2223!AW298)</f>
        <v xml:space="preserve">   </v>
      </c>
      <c r="L299" s="52" t="str">
        <f t="shared" ca="1" si="1"/>
        <v>actueel</v>
      </c>
      <c r="M299" s="1"/>
      <c r="N299" s="4" t="b">
        <f ca="1">OR(VALUE(CALC2223!B298)&gt;VALUE(LASTV),VALUE(CALC2223!D298)&gt;VALUE(LASTV),VALUE(CALC2223!F298)&gt;VALUE(LASTV))</f>
        <v>0</v>
      </c>
      <c r="O299" s="4" t="b">
        <f ca="1">OR(VALUE(CALC2223!H298)&gt;VALUE(LASTV),VALUE(CALC2223!J298)&gt;VALUE(LASTV),VALUE(CALC2223!L298)&gt;VALUE(LASTV))</f>
        <v>0</v>
      </c>
      <c r="P299" s="4" t="b">
        <f ca="1">OR(VALUE(CALC2223!N298)&gt;VALUE(LASTV),VALUE(CALC2223!P298)&gt;VALUE(LASTV),VALUE(CALC2223!R298)&gt;VALUE(LASTV))</f>
        <v>0</v>
      </c>
      <c r="Q299" s="4" t="b">
        <f ca="1">OR(VALUE(CALC2223!T298)&gt;VALUE(LASTV),VALUE(CALC2223!V298)&gt;VALUE(LASTV),VALUE(CALC2223!X298)&gt;VALUE(LASTV))</f>
        <v>0</v>
      </c>
      <c r="R299" s="4" t="b">
        <f ca="1">OR(VALUE(CALC2223!Z298)&gt;VALUE(LASTV),VALUE(CALC2223!AB298)&gt;VALUE(LASTV),VALUE(CALC2223!AD298)&gt;VALUE(LASTV))</f>
        <v>0</v>
      </c>
      <c r="S299" s="4" t="b">
        <f ca="1">OR(VALUE(CALC2223!AF298)&gt;VALUE(LASTV),VALUE(CALC2223!AH298)&gt;VALUE(LASTV),VALUE(CALC2223!AJ298)&gt;VALUE(LASTV))</f>
        <v>0</v>
      </c>
      <c r="T299" s="4" t="b">
        <f ca="1">OR(VALUE(CALC2223!AL298)&gt;VALUE(LASTV),VALUE(CALC2223!AN298)&gt;VALUE(LASTV),VALUE(CALC2223!AP298)&gt;VALUE(LASTV))</f>
        <v>0</v>
      </c>
      <c r="U299" s="4" t="b">
        <f ca="1">OR(VALUE(CALC2223!AR298)&gt;VALUE(LASTV),VALUE(CALC2223!AT298)&gt;VALUE(LASTV),VALUE(CALC2223!AV298)&gt;VALUE(LASTV))</f>
        <v>0</v>
      </c>
      <c r="V299" s="1"/>
    </row>
    <row r="300" spans="1:22" ht="35.25" customHeight="1">
      <c r="A300" s="40"/>
      <c r="B300" s="41" t="s">
        <v>21</v>
      </c>
      <c r="C300" s="42">
        <v>46198</v>
      </c>
      <c r="D300" s="51" t="str">
        <f ca="1">CONCATENATE(CALC2223!A299," ",CALC2223!C299," ",CALC2223!E299)</f>
        <v xml:space="preserve">  </v>
      </c>
      <c r="E300" s="51" t="str">
        <f ca="1">CONCATENATE(CALC2223!G299," ",CALC2223!I299," ",CALC2223!K299)</f>
        <v xml:space="preserve">  </v>
      </c>
      <c r="F300" s="51" t="str">
        <f ca="1">CONCATENATE(CALC2223!M299," ",CALC2223!O299," ",CALC2223!Q299)</f>
        <v xml:space="preserve">Rep SK  </v>
      </c>
      <c r="G300" s="51" t="str">
        <f ca="1">CONCATENATE(CALC2223!S299," ",CALC2223!U299," ",CALC2223!W299)</f>
        <v xml:space="preserve">tsweek: rep latl / rep grtl / rep wic / inh SE ANW  </v>
      </c>
      <c r="H300" s="51" t="str">
        <f ca="1">CONCATENATE(CALC2223!Y299," ",CALC2223!AA299," ",CALC2223!AC299)</f>
        <v xml:space="preserve">tsweek: se econ / se nat  </v>
      </c>
      <c r="I300" s="51" t="str">
        <f ca="1">CONCATENATE(CALC2223!AE299," ",CALC2223!AG299," ",CALC2223!AI299)</f>
        <v xml:space="preserve">  </v>
      </c>
      <c r="J300" s="51" t="str">
        <f ca="1">CONCATENATE(CALC2223!AK299," ",CALC2223!AM299," ",CALC2223!AO299)</f>
        <v xml:space="preserve">mentorenactiviteit/borrel  </v>
      </c>
      <c r="K300" s="51" t="str">
        <f ca="1">CONCATENATE(CALC2223!AQ299," ",CALC2223!AS299," ",CALC2223!AU299," ",CALC2223!AW299)</f>
        <v xml:space="preserve">   </v>
      </c>
      <c r="L300" s="52" t="str">
        <f t="shared" ca="1" si="1"/>
        <v>actueel</v>
      </c>
      <c r="M300" s="1"/>
      <c r="N300" s="4" t="b">
        <f ca="1">OR(VALUE(CALC2223!B299)&gt;VALUE(LASTV),VALUE(CALC2223!D299)&gt;VALUE(LASTV),VALUE(CALC2223!F299)&gt;VALUE(LASTV))</f>
        <v>0</v>
      </c>
      <c r="O300" s="4" t="b">
        <f ca="1">OR(VALUE(CALC2223!H299)&gt;VALUE(LASTV),VALUE(CALC2223!J299)&gt;VALUE(LASTV),VALUE(CALC2223!L299)&gt;VALUE(LASTV))</f>
        <v>0</v>
      </c>
      <c r="P300" s="4" t="b">
        <f ca="1">OR(VALUE(CALC2223!N299)&gt;VALUE(LASTV),VALUE(CALC2223!P299)&gt;VALUE(LASTV),VALUE(CALC2223!R299)&gt;VALUE(LASTV))</f>
        <v>0</v>
      </c>
      <c r="Q300" s="4" t="b">
        <f ca="1">OR(VALUE(CALC2223!T299)&gt;VALUE(LASTV),VALUE(CALC2223!V299)&gt;VALUE(LASTV),VALUE(CALC2223!X299)&gt;VALUE(LASTV))</f>
        <v>0</v>
      </c>
      <c r="R300" s="4" t="b">
        <f ca="1">OR(VALUE(CALC2223!Z299)&gt;VALUE(LASTV),VALUE(CALC2223!AB299)&gt;VALUE(LASTV),VALUE(CALC2223!AD299)&gt;VALUE(LASTV))</f>
        <v>0</v>
      </c>
      <c r="S300" s="4" t="b">
        <f ca="1">OR(VALUE(CALC2223!AF299)&gt;VALUE(LASTV),VALUE(CALC2223!AH299)&gt;VALUE(LASTV),VALUE(CALC2223!AJ299)&gt;VALUE(LASTV))</f>
        <v>0</v>
      </c>
      <c r="T300" s="4" t="b">
        <f ca="1">OR(VALUE(CALC2223!AL299)&gt;VALUE(LASTV),VALUE(CALC2223!AN299)&gt;VALUE(LASTV),VALUE(CALC2223!AP299)&gt;VALUE(LASTV))</f>
        <v>0</v>
      </c>
      <c r="U300" s="4" t="b">
        <f ca="1">OR(VALUE(CALC2223!AR299)&gt;VALUE(LASTV),VALUE(CALC2223!AT299)&gt;VALUE(LASTV),VALUE(CALC2223!AV299)&gt;VALUE(LASTV))</f>
        <v>0</v>
      </c>
      <c r="V300" s="1"/>
    </row>
    <row r="301" spans="1:22" ht="35.25" customHeight="1">
      <c r="A301" s="40"/>
      <c r="B301" s="41" t="s">
        <v>22</v>
      </c>
      <c r="C301" s="42">
        <v>46199</v>
      </c>
      <c r="D301" s="51" t="str">
        <f ca="1">CONCATENATE(CALC2223!A300," ",CALC2223!C300," ",CALC2223!E300)</f>
        <v xml:space="preserve">  </v>
      </c>
      <c r="E301" s="51" t="str">
        <f ca="1">CONCATENATE(CALC2223!G300," ",CALC2223!I300," ",CALC2223!K300)</f>
        <v xml:space="preserve">  </v>
      </c>
      <c r="F301" s="51" t="str">
        <f ca="1">CONCATENATE(CALC2223!M300," ",CALC2223!O300," ",CALC2223!Q300)</f>
        <v xml:space="preserve">  </v>
      </c>
      <c r="G301" s="51" t="str">
        <f ca="1">CONCATENATE(CALC2223!S300," ",CALC2223!U300," ",CALC2223!W300)</f>
        <v xml:space="preserve">tsweek: rep nat / rep sptl  </v>
      </c>
      <c r="H301" s="51" t="str">
        <f ca="1">CONCATENATE(CALC2223!Y300," ",CALC2223!AA300," ",CALC2223!AC300)</f>
        <v xml:space="preserve">tsweek: se latl / se grtl  </v>
      </c>
      <c r="I301" s="51" t="str">
        <f ca="1">CONCATENATE(CALC2223!AE300," ",CALC2223!AG300," ",CALC2223!AI300)</f>
        <v xml:space="preserve">  </v>
      </c>
      <c r="J301" s="51" t="str">
        <f ca="1">CONCATENATE(CALC2223!AK300," ",CALC2223!AM300," ",CALC2223!AO300)</f>
        <v xml:space="preserve">  </v>
      </c>
      <c r="K301" s="51" t="str">
        <f ca="1">CONCATENATE(CALC2223!AQ300," ",CALC2223!AS300," ",CALC2223!AU300," ",CALC2223!AW300)</f>
        <v xml:space="preserve">   </v>
      </c>
      <c r="L301" s="52" t="str">
        <f t="shared" ca="1" si="1"/>
        <v>actueel</v>
      </c>
      <c r="M301" s="1"/>
      <c r="N301" s="4" t="b">
        <f ca="1">OR(VALUE(CALC2223!B300)&gt;VALUE(LASTV),VALUE(CALC2223!D300)&gt;VALUE(LASTV),VALUE(CALC2223!F300)&gt;VALUE(LASTV))</f>
        <v>0</v>
      </c>
      <c r="O301" s="4" t="b">
        <f ca="1">OR(VALUE(CALC2223!H300)&gt;VALUE(LASTV),VALUE(CALC2223!J300)&gt;VALUE(LASTV),VALUE(CALC2223!L300)&gt;VALUE(LASTV))</f>
        <v>0</v>
      </c>
      <c r="P301" s="4" t="b">
        <f ca="1">OR(VALUE(CALC2223!N300)&gt;VALUE(LASTV),VALUE(CALC2223!P300)&gt;VALUE(LASTV),VALUE(CALC2223!R300)&gt;VALUE(LASTV))</f>
        <v>0</v>
      </c>
      <c r="Q301" s="4" t="b">
        <f ca="1">OR(VALUE(CALC2223!T300)&gt;VALUE(LASTV),VALUE(CALC2223!V300)&gt;VALUE(LASTV),VALUE(CALC2223!X300)&gt;VALUE(LASTV))</f>
        <v>0</v>
      </c>
      <c r="R301" s="4" t="b">
        <f ca="1">OR(VALUE(CALC2223!Z300)&gt;VALUE(LASTV),VALUE(CALC2223!AB300)&gt;VALUE(LASTV),VALUE(CALC2223!AD300)&gt;VALUE(LASTV))</f>
        <v>0</v>
      </c>
      <c r="S301" s="4" t="b">
        <f ca="1">OR(VALUE(CALC2223!AF300)&gt;VALUE(LASTV),VALUE(CALC2223!AH300)&gt;VALUE(LASTV),VALUE(CALC2223!AJ300)&gt;VALUE(LASTV))</f>
        <v>0</v>
      </c>
      <c r="T301" s="4" t="b">
        <f ca="1">OR(VALUE(CALC2223!AL300)&gt;VALUE(LASTV),VALUE(CALC2223!AN300)&gt;VALUE(LASTV),VALUE(CALC2223!AP300)&gt;VALUE(LASTV))</f>
        <v>0</v>
      </c>
      <c r="U301" s="4" t="b">
        <f ca="1">OR(VALUE(CALC2223!AR300)&gt;VALUE(LASTV),VALUE(CALC2223!AT300)&gt;VALUE(LASTV),VALUE(CALC2223!AV300)&gt;VALUE(LASTV))</f>
        <v>0</v>
      </c>
      <c r="V301" s="1"/>
    </row>
    <row r="302" spans="1:22" ht="35.25" customHeight="1">
      <c r="A302" s="45"/>
      <c r="B302" s="46" t="s">
        <v>23</v>
      </c>
      <c r="C302" s="47">
        <v>46200</v>
      </c>
      <c r="D302" s="48" t="str">
        <f ca="1">CONCATENATE(CALC2223!A301," ",CALC2223!C301," ",CALC2223!E301)</f>
        <v xml:space="preserve">  </v>
      </c>
      <c r="E302" s="48" t="str">
        <f ca="1">CONCATENATE(CALC2223!G301," ",CALC2223!I301," ",CALC2223!K301)</f>
        <v xml:space="preserve">  </v>
      </c>
      <c r="F302" s="48" t="str">
        <f ca="1">CONCATENATE(CALC2223!M301," ",CALC2223!O301," ",CALC2223!Q301)</f>
        <v xml:space="preserve">  </v>
      </c>
      <c r="G302" s="48" t="str">
        <f ca="1">CONCATENATE(CALC2223!S301," ",CALC2223!U301," ",CALC2223!W301)</f>
        <v xml:space="preserve">  </v>
      </c>
      <c r="H302" s="48" t="str">
        <f ca="1">CONCATENATE(CALC2223!Y301," ",CALC2223!AA301," ",CALC2223!AC301)</f>
        <v xml:space="preserve">  </v>
      </c>
      <c r="I302" s="48" t="str">
        <f ca="1">CONCATENATE(CALC2223!AE301," ",CALC2223!AG301," ",CALC2223!AI301)</f>
        <v xml:space="preserve">  </v>
      </c>
      <c r="J302" s="48" t="str">
        <f ca="1">CONCATENATE(CALC2223!AK301," ",CALC2223!AM301," ",CALC2223!AO301)</f>
        <v xml:space="preserve">  </v>
      </c>
      <c r="K302" s="48" t="str">
        <f ca="1">CONCATENATE(CALC2223!AQ301," ",CALC2223!AS301," ",CALC2223!AU301," ",CALC2223!AW301)</f>
        <v xml:space="preserve">   </v>
      </c>
      <c r="L302" s="49" t="str">
        <f t="shared" ca="1" si="1"/>
        <v>actueel</v>
      </c>
      <c r="M302" s="1"/>
      <c r="N302" s="4" t="b">
        <f ca="1">OR(VALUE(CALC2223!B301)&gt;VALUE(LASTV),VALUE(CALC2223!D301)&gt;VALUE(LASTV),VALUE(CALC2223!F301)&gt;VALUE(LASTV))</f>
        <v>0</v>
      </c>
      <c r="O302" s="4" t="b">
        <f ca="1">OR(VALUE(CALC2223!H301)&gt;VALUE(LASTV),VALUE(CALC2223!J301)&gt;VALUE(LASTV),VALUE(CALC2223!L301)&gt;VALUE(LASTV))</f>
        <v>0</v>
      </c>
      <c r="P302" s="4" t="b">
        <f ca="1">OR(VALUE(CALC2223!N301)&gt;VALUE(LASTV),VALUE(CALC2223!P301)&gt;VALUE(LASTV),VALUE(CALC2223!R301)&gt;VALUE(LASTV))</f>
        <v>0</v>
      </c>
      <c r="Q302" s="4" t="b">
        <f ca="1">OR(VALUE(CALC2223!T301)&gt;VALUE(LASTV),VALUE(CALC2223!V301)&gt;VALUE(LASTV),VALUE(CALC2223!X301)&gt;VALUE(LASTV))</f>
        <v>0</v>
      </c>
      <c r="R302" s="4" t="b">
        <f ca="1">OR(VALUE(CALC2223!Z301)&gt;VALUE(LASTV),VALUE(CALC2223!AB301)&gt;VALUE(LASTV),VALUE(CALC2223!AD301)&gt;VALUE(LASTV))</f>
        <v>0</v>
      </c>
      <c r="S302" s="4" t="b">
        <f ca="1">OR(VALUE(CALC2223!AF301)&gt;VALUE(LASTV),VALUE(CALC2223!AH301)&gt;VALUE(LASTV),VALUE(CALC2223!AJ301)&gt;VALUE(LASTV))</f>
        <v>0</v>
      </c>
      <c r="T302" s="4" t="b">
        <f ca="1">OR(VALUE(CALC2223!AL301)&gt;VALUE(LASTV),VALUE(CALC2223!AN301)&gt;VALUE(LASTV),VALUE(CALC2223!AP301)&gt;VALUE(LASTV))</f>
        <v>0</v>
      </c>
      <c r="U302" s="4" t="b">
        <f ca="1">OR(VALUE(CALC2223!AR301)&gt;VALUE(LASTV),VALUE(CALC2223!AT301)&gt;VALUE(LASTV),VALUE(CALC2223!AV301)&gt;VALUE(LASTV))</f>
        <v>0</v>
      </c>
      <c r="V302" s="1"/>
    </row>
    <row r="303" spans="1:22" ht="35.25" customHeight="1">
      <c r="A303" s="45"/>
      <c r="B303" s="46" t="s">
        <v>24</v>
      </c>
      <c r="C303" s="47">
        <v>46201</v>
      </c>
      <c r="D303" s="48" t="str">
        <f ca="1">CONCATENATE(CALC2223!A302," ",CALC2223!C302," ",CALC2223!E302)</f>
        <v xml:space="preserve">  </v>
      </c>
      <c r="E303" s="48" t="str">
        <f ca="1">CONCATENATE(CALC2223!G302," ",CALC2223!I302," ",CALC2223!K302)</f>
        <v xml:space="preserve">  </v>
      </c>
      <c r="F303" s="48" t="str">
        <f ca="1">CONCATENATE(CALC2223!M302," ",CALC2223!O302," ",CALC2223!Q302)</f>
        <v xml:space="preserve">  </v>
      </c>
      <c r="G303" s="48" t="str">
        <f ca="1">CONCATENATE(CALC2223!S302," ",CALC2223!U302," ",CALC2223!W302)</f>
        <v xml:space="preserve">  </v>
      </c>
      <c r="H303" s="48" t="str">
        <f ca="1">CONCATENATE(CALC2223!Y302," ",CALC2223!AA302," ",CALC2223!AC302)</f>
        <v xml:space="preserve">  </v>
      </c>
      <c r="I303" s="48" t="str">
        <f ca="1">CONCATENATE(CALC2223!AE302," ",CALC2223!AG302," ",CALC2223!AI302)</f>
        <v xml:space="preserve">  </v>
      </c>
      <c r="J303" s="48" t="str">
        <f ca="1">CONCATENATE(CALC2223!AK302," ",CALC2223!AM302," ",CALC2223!AO302)</f>
        <v xml:space="preserve">  </v>
      </c>
      <c r="K303" s="48" t="str">
        <f ca="1">CONCATENATE(CALC2223!AQ302," ",CALC2223!AS302," ",CALC2223!AU302," ",CALC2223!AW302)</f>
        <v xml:space="preserve">   </v>
      </c>
      <c r="L303" s="49" t="str">
        <f t="shared" ca="1" si="1"/>
        <v>actueel</v>
      </c>
      <c r="M303" s="1"/>
      <c r="N303" s="4" t="b">
        <f ca="1">OR(VALUE(CALC2223!B302)&gt;VALUE(LASTV),VALUE(CALC2223!D302)&gt;VALUE(LASTV),VALUE(CALC2223!F302)&gt;VALUE(LASTV))</f>
        <v>0</v>
      </c>
      <c r="O303" s="4" t="b">
        <f ca="1">OR(VALUE(CALC2223!H302)&gt;VALUE(LASTV),VALUE(CALC2223!J302)&gt;VALUE(LASTV),VALUE(CALC2223!L302)&gt;VALUE(LASTV))</f>
        <v>0</v>
      </c>
      <c r="P303" s="4" t="b">
        <f ca="1">OR(VALUE(CALC2223!N302)&gt;VALUE(LASTV),VALUE(CALC2223!P302)&gt;VALUE(LASTV),VALUE(CALC2223!R302)&gt;VALUE(LASTV))</f>
        <v>0</v>
      </c>
      <c r="Q303" s="4" t="b">
        <f ca="1">OR(VALUE(CALC2223!T302)&gt;VALUE(LASTV),VALUE(CALC2223!V302)&gt;VALUE(LASTV),VALUE(CALC2223!X302)&gt;VALUE(LASTV))</f>
        <v>0</v>
      </c>
      <c r="R303" s="4" t="b">
        <f ca="1">OR(VALUE(CALC2223!Z302)&gt;VALUE(LASTV),VALUE(CALC2223!AB302)&gt;VALUE(LASTV),VALUE(CALC2223!AD302)&gt;VALUE(LASTV))</f>
        <v>0</v>
      </c>
      <c r="S303" s="4" t="b">
        <f ca="1">OR(VALUE(CALC2223!AF302)&gt;VALUE(LASTV),VALUE(CALC2223!AH302)&gt;VALUE(LASTV),VALUE(CALC2223!AJ302)&gt;VALUE(LASTV))</f>
        <v>0</v>
      </c>
      <c r="T303" s="4" t="b">
        <f ca="1">OR(VALUE(CALC2223!AL302)&gt;VALUE(LASTV),VALUE(CALC2223!AN302)&gt;VALUE(LASTV),VALUE(CALC2223!AP302)&gt;VALUE(LASTV))</f>
        <v>0</v>
      </c>
      <c r="U303" s="4" t="b">
        <f ca="1">OR(VALUE(CALC2223!AR302)&gt;VALUE(LASTV),VALUE(CALC2223!AT302)&gt;VALUE(LASTV),VALUE(CALC2223!AV302)&gt;VALUE(LASTV))</f>
        <v>0</v>
      </c>
      <c r="V303" s="1"/>
    </row>
    <row r="304" spans="1:22" ht="35.25" customHeight="1">
      <c r="A304" s="50">
        <v>27</v>
      </c>
      <c r="B304" s="41" t="s">
        <v>18</v>
      </c>
      <c r="C304" s="42">
        <v>46202</v>
      </c>
      <c r="D304" s="43" t="str">
        <f ca="1">CONCATENATE(CALC2223!A303," ",CALC2223!C303," ",CALC2223!E303)</f>
        <v xml:space="preserve">Rep LA  </v>
      </c>
      <c r="E304" s="43" t="str">
        <f ca="1">CONCATENATE(CALC2223!G303," ",CALC2223!I303," ",CALC2223!K303)</f>
        <v xml:space="preserve">Rep FA/WIS  </v>
      </c>
      <c r="F304" s="43" t="str">
        <f ca="1">CONCATENATE(CALC2223!M303," ",CALC2223!O303," ",CALC2223!Q303)</f>
        <v xml:space="preserve">Rep LA  </v>
      </c>
      <c r="G304" s="43" t="str">
        <f ca="1">CONCATENATE(CALC2223!S303," ",CALC2223!U303," ",CALC2223!W303)</f>
        <v xml:space="preserve">tsweek: rep ec / rep sk  </v>
      </c>
      <c r="H304" s="43" t="str">
        <f ca="1">CONCATENATE(CALC2223!Y303," ",CALC2223!AA303," ",CALC2223!AC303)</f>
        <v xml:space="preserve">tsweek: rep fatl / rep sptl  </v>
      </c>
      <c r="I304" s="43" t="str">
        <f ca="1">CONCATENATE(CALC2223!AE303," ",CALC2223!AG303," ",CALC2223!AI303)</f>
        <v xml:space="preserve">  </v>
      </c>
      <c r="J304" s="43" t="str">
        <f ca="1">CONCATENATE(CALC2223!AK303," ",CALC2223!AM303," ",CALC2223!AO303)</f>
        <v xml:space="preserve">  </v>
      </c>
      <c r="K304" s="43" t="str">
        <f ca="1">CONCATENATE(CALC2223!AQ303," ",CALC2223!AS303," ",CALC2223!AU303," ",CALC2223!AW303)</f>
        <v xml:space="preserve">toetsweek   </v>
      </c>
      <c r="L304" s="44" t="str">
        <f t="shared" ca="1" si="1"/>
        <v>actueel</v>
      </c>
      <c r="M304" s="1"/>
      <c r="N304" s="4" t="b">
        <f ca="1">OR(VALUE(CALC2223!B303)&gt;VALUE(LASTV),VALUE(CALC2223!D303)&gt;VALUE(LASTV),VALUE(CALC2223!F303)&gt;VALUE(LASTV))</f>
        <v>0</v>
      </c>
      <c r="O304" s="4" t="b">
        <f ca="1">OR(VALUE(CALC2223!H303)&gt;VALUE(LASTV),VALUE(CALC2223!J303)&gt;VALUE(LASTV),VALUE(CALC2223!L303)&gt;VALUE(LASTV))</f>
        <v>0</v>
      </c>
      <c r="P304" s="4" t="b">
        <f ca="1">OR(VALUE(CALC2223!N303)&gt;VALUE(LASTV),VALUE(CALC2223!P303)&gt;VALUE(LASTV),VALUE(CALC2223!R303)&gt;VALUE(LASTV))</f>
        <v>0</v>
      </c>
      <c r="Q304" s="4" t="b">
        <f ca="1">OR(VALUE(CALC2223!T303)&gt;VALUE(LASTV),VALUE(CALC2223!V303)&gt;VALUE(LASTV),VALUE(CALC2223!X303)&gt;VALUE(LASTV))</f>
        <v>0</v>
      </c>
      <c r="R304" s="4" t="b">
        <f ca="1">OR(VALUE(CALC2223!Z303)&gt;VALUE(LASTV),VALUE(CALC2223!AB303)&gt;VALUE(LASTV),VALUE(CALC2223!AD303)&gt;VALUE(LASTV))</f>
        <v>0</v>
      </c>
      <c r="S304" s="4" t="b">
        <f ca="1">OR(VALUE(CALC2223!AF303)&gt;VALUE(LASTV),VALUE(CALC2223!AH303)&gt;VALUE(LASTV),VALUE(CALC2223!AJ303)&gt;VALUE(LASTV))</f>
        <v>0</v>
      </c>
      <c r="T304" s="4" t="b">
        <f ca="1">OR(VALUE(CALC2223!AL303)&gt;VALUE(LASTV),VALUE(CALC2223!AN303)&gt;VALUE(LASTV),VALUE(CALC2223!AP303)&gt;VALUE(LASTV))</f>
        <v>0</v>
      </c>
      <c r="U304" s="4" t="b">
        <f ca="1">OR(VALUE(CALC2223!AR303)&gt;VALUE(LASTV),VALUE(CALC2223!AT303)&gt;VALUE(LASTV),VALUE(CALC2223!AV303)&gt;VALUE(LASTV))</f>
        <v>0</v>
      </c>
      <c r="V304" s="1"/>
    </row>
    <row r="305" spans="1:22" ht="35.25" customHeight="1">
      <c r="A305" s="40"/>
      <c r="B305" s="41" t="s">
        <v>19</v>
      </c>
      <c r="C305" s="42">
        <v>46203</v>
      </c>
      <c r="D305" s="43" t="str">
        <f ca="1">CONCATENATE(CALC2223!A304," ",CALC2223!C304," ",CALC2223!E304)</f>
        <v xml:space="preserve">Rep WIS  </v>
      </c>
      <c r="E305" s="43" t="str">
        <f ca="1">CONCATENATE(CALC2223!G304," ",CALC2223!I304," ",CALC2223!K304)</f>
        <v xml:space="preserve">Rep GR  </v>
      </c>
      <c r="F305" s="43" t="str">
        <f ca="1">CONCATENATE(CALC2223!M304," ",CALC2223!O304," ",CALC2223!Q304)</f>
        <v xml:space="preserve">Rep WIS/EN  </v>
      </c>
      <c r="G305" s="43" t="str">
        <f ca="1">CONCATENATE(CALC2223!S304," ",CALC2223!U304," ",CALC2223!W304)</f>
        <v xml:space="preserve">tsweek: rep entl  </v>
      </c>
      <c r="H305" s="43" t="str">
        <f ca="1">CONCATENATE(CALC2223!Y304," ",CALC2223!AA304," ",CALC2223!AC304)</f>
        <v xml:space="preserve">tsweek: rep dutl / se wisabc   </v>
      </c>
      <c r="I305" s="43" t="str">
        <f ca="1">CONCATENATE(CALC2223!AE304," ",CALC2223!AG304," ",CALC2223!AI304)</f>
        <v xml:space="preserve">uitslag CE2  </v>
      </c>
      <c r="J305" s="43" t="str">
        <f ca="1">CONCATENATE(CALC2223!AK304," ",CALC2223!AM304," ",CALC2223!AO304)</f>
        <v xml:space="preserve">  </v>
      </c>
      <c r="K305" s="43" t="str">
        <f ca="1">CONCATENATE(CALC2223!AQ304," ",CALC2223!AS304," ",CALC2223!AU304," ",CALC2223!AW304)</f>
        <v xml:space="preserve">   </v>
      </c>
      <c r="L305" s="44" t="str">
        <f t="shared" ca="1" si="1"/>
        <v>actueel</v>
      </c>
      <c r="M305" s="1"/>
      <c r="N305" s="4" t="b">
        <f ca="1">OR(VALUE(CALC2223!B304)&gt;VALUE(LASTV),VALUE(CALC2223!D304)&gt;VALUE(LASTV),VALUE(CALC2223!F304)&gt;VALUE(LASTV))</f>
        <v>0</v>
      </c>
      <c r="O305" s="4" t="b">
        <f ca="1">OR(VALUE(CALC2223!H304)&gt;VALUE(LASTV),VALUE(CALC2223!J304)&gt;VALUE(LASTV),VALUE(CALC2223!L304)&gt;VALUE(LASTV))</f>
        <v>0</v>
      </c>
      <c r="P305" s="4" t="b">
        <f ca="1">OR(VALUE(CALC2223!N304)&gt;VALUE(LASTV),VALUE(CALC2223!P304)&gt;VALUE(LASTV),VALUE(CALC2223!R304)&gt;VALUE(LASTV))</f>
        <v>0</v>
      </c>
      <c r="Q305" s="4" t="b">
        <f ca="1">OR(VALUE(CALC2223!T304)&gt;VALUE(LASTV),VALUE(CALC2223!V304)&gt;VALUE(LASTV),VALUE(CALC2223!X304)&gt;VALUE(LASTV))</f>
        <v>0</v>
      </c>
      <c r="R305" s="4" t="b">
        <f ca="1">OR(VALUE(CALC2223!Z304)&gt;VALUE(LASTV),VALUE(CALC2223!AB304)&gt;VALUE(LASTV),VALUE(CALC2223!AD304)&gt;VALUE(LASTV))</f>
        <v>0</v>
      </c>
      <c r="S305" s="4" t="b">
        <f ca="1">OR(VALUE(CALC2223!AF304)&gt;VALUE(LASTV),VALUE(CALC2223!AH304)&gt;VALUE(LASTV),VALUE(CALC2223!AJ304)&gt;VALUE(LASTV))</f>
        <v>0</v>
      </c>
      <c r="T305" s="4" t="b">
        <f ca="1">OR(VALUE(CALC2223!AL304)&gt;VALUE(LASTV),VALUE(CALC2223!AN304)&gt;VALUE(LASTV),VALUE(CALC2223!AP304)&gt;VALUE(LASTV))</f>
        <v>0</v>
      </c>
      <c r="U305" s="4" t="b">
        <f ca="1">OR(VALUE(CALC2223!AR304)&gt;VALUE(LASTV),VALUE(CALC2223!AT304)&gt;VALUE(LASTV),VALUE(CALC2223!AV304)&gt;VALUE(LASTV))</f>
        <v>0</v>
      </c>
      <c r="V305" s="1"/>
    </row>
    <row r="306" spans="1:22" ht="35.25" customHeight="1">
      <c r="A306" s="40"/>
      <c r="B306" s="41" t="s">
        <v>20</v>
      </c>
      <c r="C306" s="42">
        <v>46204</v>
      </c>
      <c r="D306" s="43" t="str">
        <f ca="1">CONCATENATE(CALC2223!A305," ",CALC2223!C305," ",CALC2223!E305)</f>
        <v xml:space="preserve">Rep FA  </v>
      </c>
      <c r="E306" s="43" t="str">
        <f ca="1">CONCATENATE(CALC2223!G305," ",CALC2223!I305," ",CALC2223!K305)</f>
        <v xml:space="preserve">Rep NA/DUI  </v>
      </c>
      <c r="F306" s="43" t="str">
        <f ca="1">CONCATENATE(CALC2223!M305," ",CALC2223!O305," ",CALC2223!Q305)</f>
        <v xml:space="preserve">Rep NA/FA  </v>
      </c>
      <c r="G306" s="43" t="str">
        <f ca="1">CONCATENATE(CALC2223!S305," ",CALC2223!U305," ",CALC2223!W305)</f>
        <v xml:space="preserve">tsweek: rep beco / rep dutl / rep fatl  </v>
      </c>
      <c r="H306" s="43" t="str">
        <f ca="1">CONCATENATE(CALC2223!Y305," ",CALC2223!AA305," ",CALC2223!AC305)</f>
        <v xml:space="preserve">tsweek: se ak / se beco / se fi / se wid  </v>
      </c>
      <c r="I306" s="43" t="str">
        <f ca="1">CONCATENATE(CALC2223!AE305," ",CALC2223!AG305," ",CALC2223!AI305)</f>
        <v xml:space="preserve">  </v>
      </c>
      <c r="J306" s="43" t="str">
        <f ca="1">CONCATENATE(CALC2223!AK305," ",CALC2223!AM305," ",CALC2223!AO305)</f>
        <v xml:space="preserve">  </v>
      </c>
      <c r="K306" s="43" t="str">
        <f ca="1">CONCATENATE(CALC2223!AQ305," ",CALC2223!AS305," ",CALC2223!AU305," ",CALC2223!AW305)</f>
        <v xml:space="preserve">   </v>
      </c>
      <c r="L306" s="44" t="str">
        <f t="shared" ca="1" si="1"/>
        <v>actueel</v>
      </c>
      <c r="M306" s="1"/>
      <c r="N306" s="4" t="b">
        <f ca="1">OR(VALUE(CALC2223!B305)&gt;VALUE(LASTV),VALUE(CALC2223!D305)&gt;VALUE(LASTV),VALUE(CALC2223!F305)&gt;VALUE(LASTV))</f>
        <v>0</v>
      </c>
      <c r="O306" s="4" t="b">
        <f ca="1">OR(VALUE(CALC2223!H305)&gt;VALUE(LASTV),VALUE(CALC2223!J305)&gt;VALUE(LASTV),VALUE(CALC2223!L305)&gt;VALUE(LASTV))</f>
        <v>0</v>
      </c>
      <c r="P306" s="4" t="b">
        <f ca="1">OR(VALUE(CALC2223!N305)&gt;VALUE(LASTV),VALUE(CALC2223!P305)&gt;VALUE(LASTV),VALUE(CALC2223!R305)&gt;VALUE(LASTV))</f>
        <v>0</v>
      </c>
      <c r="Q306" s="4" t="b">
        <f ca="1">OR(VALUE(CALC2223!T305)&gt;VALUE(LASTV),VALUE(CALC2223!V305)&gt;VALUE(LASTV),VALUE(CALC2223!X305)&gt;VALUE(LASTV))</f>
        <v>0</v>
      </c>
      <c r="R306" s="4" t="b">
        <f ca="1">OR(VALUE(CALC2223!Z305)&gt;VALUE(LASTV),VALUE(CALC2223!AB305)&gt;VALUE(LASTV),VALUE(CALC2223!AD305)&gt;VALUE(LASTV))</f>
        <v>0</v>
      </c>
      <c r="S306" s="4" t="b">
        <f ca="1">OR(VALUE(CALC2223!AF305)&gt;VALUE(LASTV),VALUE(CALC2223!AH305)&gt;VALUE(LASTV),VALUE(CALC2223!AJ305)&gt;VALUE(LASTV))</f>
        <v>0</v>
      </c>
      <c r="T306" s="4" t="b">
        <f ca="1">OR(VALUE(CALC2223!AL305)&gt;VALUE(LASTV),VALUE(CALC2223!AN305)&gt;VALUE(LASTV),VALUE(CALC2223!AP305)&gt;VALUE(LASTV))</f>
        <v>0</v>
      </c>
      <c r="U306" s="4" t="b">
        <f ca="1">OR(VALUE(CALC2223!AR305)&gt;VALUE(LASTV),VALUE(CALC2223!AT305)&gt;VALUE(LASTV),VALUE(CALC2223!AV305)&gt;VALUE(LASTV))</f>
        <v>0</v>
      </c>
      <c r="V306" s="1"/>
    </row>
    <row r="307" spans="1:22" ht="35.25" customHeight="1">
      <c r="A307" s="40"/>
      <c r="B307" s="41" t="s">
        <v>21</v>
      </c>
      <c r="C307" s="42">
        <v>46205</v>
      </c>
      <c r="D307" s="43" t="str">
        <f ca="1">CONCATENATE(CALC2223!A306," ",CALC2223!C306," ",CALC2223!E306)</f>
        <v xml:space="preserve">Rep EN  </v>
      </c>
      <c r="E307" s="43" t="str">
        <f ca="1">CONCATENATE(CALC2223!G306," ",CALC2223!I306," ",CALC2223!K306)</f>
        <v xml:space="preserve">Rep EN  </v>
      </c>
      <c r="F307" s="43" t="str">
        <f ca="1">CONCATENATE(CALC2223!M306," ",CALC2223!O306," ",CALC2223!Q306)</f>
        <v xml:space="preserve">Rep GR  </v>
      </c>
      <c r="G307" s="43" t="str">
        <f ca="1">CONCATENATE(CALC2223!S306," ",CALC2223!U306," ",CALC2223!W306)</f>
        <v xml:space="preserve">tsweek: rep biol  </v>
      </c>
      <c r="H307" s="43" t="str">
        <f ca="1">CONCATENATE(CALC2223!Y306," ",CALC2223!AA306," ",CALC2223!AC306)</f>
        <v xml:space="preserve">tsweek: se gs / rep sk  </v>
      </c>
      <c r="I307" s="43" t="str">
        <f ca="1">CONCATENATE(CALC2223!AE306," ",CALC2223!AG306," ",CALC2223!AI306)</f>
        <v xml:space="preserve">  </v>
      </c>
      <c r="J307" s="43" t="str">
        <f ca="1">CONCATENATE(CALC2223!AK306," ",CALC2223!AM306," ",CALC2223!AO306)</f>
        <v xml:space="preserve">  </v>
      </c>
      <c r="K307" s="43" t="str">
        <f ca="1">CONCATENATE(CALC2223!AQ306," ",CALC2223!AS306," ",CALC2223!AU306," ",CALC2223!AW306)</f>
        <v xml:space="preserve">   </v>
      </c>
      <c r="L307" s="44" t="str">
        <f t="shared" ca="1" si="1"/>
        <v>actueel</v>
      </c>
      <c r="M307" s="1"/>
      <c r="N307" s="4" t="b">
        <f ca="1">OR(VALUE(CALC2223!B306)&gt;VALUE(LASTV),VALUE(CALC2223!D306)&gt;VALUE(LASTV),VALUE(CALC2223!F306)&gt;VALUE(LASTV))</f>
        <v>0</v>
      </c>
      <c r="O307" s="4" t="b">
        <f ca="1">OR(VALUE(CALC2223!H306)&gt;VALUE(LASTV),VALUE(CALC2223!J306)&gt;VALUE(LASTV),VALUE(CALC2223!L306)&gt;VALUE(LASTV))</f>
        <v>0</v>
      </c>
      <c r="P307" s="4" t="b">
        <f ca="1">OR(VALUE(CALC2223!N306)&gt;VALUE(LASTV),VALUE(CALC2223!P306)&gt;VALUE(LASTV),VALUE(CALC2223!R306)&gt;VALUE(LASTV))</f>
        <v>0</v>
      </c>
      <c r="Q307" s="4" t="b">
        <f ca="1">OR(VALUE(CALC2223!T306)&gt;VALUE(LASTV),VALUE(CALC2223!V306)&gt;VALUE(LASTV),VALUE(CALC2223!X306)&gt;VALUE(LASTV))</f>
        <v>0</v>
      </c>
      <c r="R307" s="4" t="b">
        <f ca="1">OR(VALUE(CALC2223!Z306)&gt;VALUE(LASTV),VALUE(CALC2223!AB306)&gt;VALUE(LASTV),VALUE(CALC2223!AD306)&gt;VALUE(LASTV))</f>
        <v>0</v>
      </c>
      <c r="S307" s="4" t="b">
        <f ca="1">OR(VALUE(CALC2223!AF306)&gt;VALUE(LASTV),VALUE(CALC2223!AH306)&gt;VALUE(LASTV),VALUE(CALC2223!AJ306)&gt;VALUE(LASTV))</f>
        <v>0</v>
      </c>
      <c r="T307" s="4" t="b">
        <f ca="1">OR(VALUE(CALC2223!AL306)&gt;VALUE(LASTV),VALUE(CALC2223!AN306)&gt;VALUE(LASTV),VALUE(CALC2223!AP306)&gt;VALUE(LASTV))</f>
        <v>0</v>
      </c>
      <c r="U307" s="4" t="b">
        <f ca="1">OR(VALUE(CALC2223!AR306)&gt;VALUE(LASTV),VALUE(CALC2223!AT306)&gt;VALUE(LASTV),VALUE(CALC2223!AV306)&gt;VALUE(LASTV))</f>
        <v>0</v>
      </c>
      <c r="V307" s="1"/>
    </row>
    <row r="308" spans="1:22" ht="35.25" customHeight="1">
      <c r="A308" s="40"/>
      <c r="B308" s="41" t="s">
        <v>22</v>
      </c>
      <c r="C308" s="42">
        <v>46206</v>
      </c>
      <c r="D308" s="43" t="str">
        <f ca="1">CONCATENATE(CALC2223!A307," ",CALC2223!C307," ",CALC2223!E307)</f>
        <v xml:space="preserve">  </v>
      </c>
      <c r="E308" s="43" t="str">
        <f ca="1">CONCATENATE(CALC2223!G307," ",CALC2223!I307," ",CALC2223!K307)</f>
        <v xml:space="preserve">Rep LA  </v>
      </c>
      <c r="F308" s="43" t="str">
        <f ca="1">CONCATENATE(CALC2223!M307," ",CALC2223!O307," ",CALC2223!Q307)</f>
        <v xml:space="preserve">Rep DU  </v>
      </c>
      <c r="G308" s="43" t="str">
        <f ca="1">CONCATENATE(CALC2223!S307," ",CALC2223!U307," ",CALC2223!W307)</f>
        <v xml:space="preserve">tsweek: rep wia / rep wib  </v>
      </c>
      <c r="H308" s="43" t="str">
        <f ca="1">CONCATENATE(CALC2223!Y307," ",CALC2223!AA307," ",CALC2223!AC307)</f>
        <v xml:space="preserve">tsweek: rep entl  </v>
      </c>
      <c r="I308" s="43" t="str">
        <f ca="1">CONCATENATE(CALC2223!AE307," ",CALC2223!AG307," ",CALC2223!AI307)</f>
        <v xml:space="preserve">  </v>
      </c>
      <c r="J308" s="43" t="str">
        <f ca="1">CONCATENATE(CALC2223!AK307," ",CALC2223!AM307," ",CALC2223!AO307)</f>
        <v xml:space="preserve">  </v>
      </c>
      <c r="K308" s="43" t="str">
        <f ca="1">CONCATENATE(CALC2223!AQ307," ",CALC2223!AS307," ",CALC2223!AU307," ",CALC2223!AW307)</f>
        <v xml:space="preserve">   </v>
      </c>
      <c r="L308" s="44" t="str">
        <f t="shared" ca="1" si="1"/>
        <v>actueel</v>
      </c>
      <c r="M308" s="1"/>
      <c r="N308" s="4" t="b">
        <f ca="1">OR(VALUE(CALC2223!B307)&gt;VALUE(LASTV),VALUE(CALC2223!D307)&gt;VALUE(LASTV),VALUE(CALC2223!F307)&gt;VALUE(LASTV))</f>
        <v>0</v>
      </c>
      <c r="O308" s="4" t="b">
        <f ca="1">OR(VALUE(CALC2223!H307)&gt;VALUE(LASTV),VALUE(CALC2223!J307)&gt;VALUE(LASTV),VALUE(CALC2223!L307)&gt;VALUE(LASTV))</f>
        <v>0</v>
      </c>
      <c r="P308" s="4" t="b">
        <f ca="1">OR(VALUE(CALC2223!N307)&gt;VALUE(LASTV),VALUE(CALC2223!P307)&gt;VALUE(LASTV),VALUE(CALC2223!R307)&gt;VALUE(LASTV))</f>
        <v>0</v>
      </c>
      <c r="Q308" s="4" t="b">
        <f ca="1">OR(VALUE(CALC2223!T307)&gt;VALUE(LASTV),VALUE(CALC2223!V307)&gt;VALUE(LASTV),VALUE(CALC2223!X307)&gt;VALUE(LASTV))</f>
        <v>0</v>
      </c>
      <c r="R308" s="4" t="b">
        <f ca="1">OR(VALUE(CALC2223!Z307)&gt;VALUE(LASTV),VALUE(CALC2223!AB307)&gt;VALUE(LASTV),VALUE(CALC2223!AD307)&gt;VALUE(LASTV))</f>
        <v>0</v>
      </c>
      <c r="S308" s="4" t="b">
        <f ca="1">OR(VALUE(CALC2223!AF307)&gt;VALUE(LASTV),VALUE(CALC2223!AH307)&gt;VALUE(LASTV),VALUE(CALC2223!AJ307)&gt;VALUE(LASTV))</f>
        <v>0</v>
      </c>
      <c r="T308" s="4" t="b">
        <f ca="1">OR(VALUE(CALC2223!AL307)&gt;VALUE(LASTV),VALUE(CALC2223!AN307)&gt;VALUE(LASTV),VALUE(CALC2223!AP307)&gt;VALUE(LASTV))</f>
        <v>0</v>
      </c>
      <c r="U308" s="4" t="b">
        <f ca="1">OR(VALUE(CALC2223!AR307)&gt;VALUE(LASTV),VALUE(CALC2223!AT307)&gt;VALUE(LASTV),VALUE(CALC2223!AV307)&gt;VALUE(LASTV))</f>
        <v>0</v>
      </c>
      <c r="V308" s="1"/>
    </row>
    <row r="309" spans="1:22" ht="35.25" customHeight="1">
      <c r="A309" s="45"/>
      <c r="B309" s="46" t="s">
        <v>23</v>
      </c>
      <c r="C309" s="47">
        <v>46207</v>
      </c>
      <c r="D309" s="48" t="str">
        <f ca="1">CONCATENATE(CALC2223!A308," ",CALC2223!C308," ",CALC2223!E308)</f>
        <v xml:space="preserve">  </v>
      </c>
      <c r="E309" s="48" t="str">
        <f ca="1">CONCATENATE(CALC2223!G308," ",CALC2223!I308," ",CALC2223!K308)</f>
        <v xml:space="preserve">  </v>
      </c>
      <c r="F309" s="48" t="str">
        <f ca="1">CONCATENATE(CALC2223!M308," ",CALC2223!O308," ",CALC2223!Q308)</f>
        <v xml:space="preserve">  </v>
      </c>
      <c r="G309" s="48" t="str">
        <f ca="1">CONCATENATE(CALC2223!S308," ",CALC2223!U308," ",CALC2223!W308)</f>
        <v xml:space="preserve">  </v>
      </c>
      <c r="H309" s="48" t="str">
        <f ca="1">CONCATENATE(CALC2223!Y308," ",CALC2223!AA308," ",CALC2223!AC308)</f>
        <v xml:space="preserve">  </v>
      </c>
      <c r="I309" s="48" t="str">
        <f ca="1">CONCATENATE(CALC2223!AE308," ",CALC2223!AG308," ",CALC2223!AI308)</f>
        <v xml:space="preserve">  </v>
      </c>
      <c r="J309" s="48" t="str">
        <f ca="1">CONCATENATE(CALC2223!AK308," ",CALC2223!AM308," ",CALC2223!AO308)</f>
        <v xml:space="preserve">  </v>
      </c>
      <c r="K309" s="48" t="str">
        <f ca="1">CONCATENATE(CALC2223!AQ308," ",CALC2223!AS308," ",CALC2223!AU308," ",CALC2223!AW308)</f>
        <v xml:space="preserve">   </v>
      </c>
      <c r="L309" s="49" t="str">
        <f t="shared" ca="1" si="1"/>
        <v>actueel</v>
      </c>
      <c r="M309" s="1"/>
      <c r="N309" s="4" t="b">
        <f ca="1">OR(VALUE(CALC2223!B308)&gt;VALUE(LASTV),VALUE(CALC2223!D308)&gt;VALUE(LASTV),VALUE(CALC2223!F308)&gt;VALUE(LASTV))</f>
        <v>0</v>
      </c>
      <c r="O309" s="4" t="b">
        <f ca="1">OR(VALUE(CALC2223!H308)&gt;VALUE(LASTV),VALUE(CALC2223!J308)&gt;VALUE(LASTV),VALUE(CALC2223!L308)&gt;VALUE(LASTV))</f>
        <v>0</v>
      </c>
      <c r="P309" s="4" t="b">
        <f ca="1">OR(VALUE(CALC2223!N308)&gt;VALUE(LASTV),VALUE(CALC2223!P308)&gt;VALUE(LASTV),VALUE(CALC2223!R308)&gt;VALUE(LASTV))</f>
        <v>0</v>
      </c>
      <c r="Q309" s="4" t="b">
        <f ca="1">OR(VALUE(CALC2223!T308)&gt;VALUE(LASTV),VALUE(CALC2223!V308)&gt;VALUE(LASTV),VALUE(CALC2223!X308)&gt;VALUE(LASTV))</f>
        <v>0</v>
      </c>
      <c r="R309" s="4" t="b">
        <f ca="1">OR(VALUE(CALC2223!Z308)&gt;VALUE(LASTV),VALUE(CALC2223!AB308)&gt;VALUE(LASTV),VALUE(CALC2223!AD308)&gt;VALUE(LASTV))</f>
        <v>0</v>
      </c>
      <c r="S309" s="4" t="b">
        <f ca="1">OR(VALUE(CALC2223!AF308)&gt;VALUE(LASTV),VALUE(CALC2223!AH308)&gt;VALUE(LASTV),VALUE(CALC2223!AJ308)&gt;VALUE(LASTV))</f>
        <v>0</v>
      </c>
      <c r="T309" s="4" t="b">
        <f ca="1">OR(VALUE(CALC2223!AL308)&gt;VALUE(LASTV),VALUE(CALC2223!AN308)&gt;VALUE(LASTV),VALUE(CALC2223!AP308)&gt;VALUE(LASTV))</f>
        <v>0</v>
      </c>
      <c r="U309" s="4" t="b">
        <f ca="1">OR(VALUE(CALC2223!AR308)&gt;VALUE(LASTV),VALUE(CALC2223!AT308)&gt;VALUE(LASTV),VALUE(CALC2223!AV308)&gt;VALUE(LASTV))</f>
        <v>0</v>
      </c>
      <c r="V309" s="1"/>
    </row>
    <row r="310" spans="1:22" ht="35.25" customHeight="1">
      <c r="A310" s="45"/>
      <c r="B310" s="46" t="s">
        <v>24</v>
      </c>
      <c r="C310" s="47">
        <v>46208</v>
      </c>
      <c r="D310" s="48" t="str">
        <f ca="1">CONCATENATE(CALC2223!A309," ",CALC2223!C309," ",CALC2223!E309)</f>
        <v xml:space="preserve">  </v>
      </c>
      <c r="E310" s="48" t="str">
        <f ca="1">CONCATENATE(CALC2223!G309," ",CALC2223!I309," ",CALC2223!K309)</f>
        <v xml:space="preserve">  </v>
      </c>
      <c r="F310" s="48" t="str">
        <f ca="1">CONCATENATE(CALC2223!M309," ",CALC2223!O309," ",CALC2223!Q309)</f>
        <v xml:space="preserve">  </v>
      </c>
      <c r="G310" s="48" t="str">
        <f ca="1">CONCATENATE(CALC2223!S309," ",CALC2223!U309," ",CALC2223!W309)</f>
        <v xml:space="preserve">  </v>
      </c>
      <c r="H310" s="48" t="str">
        <f ca="1">CONCATENATE(CALC2223!Y309," ",CALC2223!AA309," ",CALC2223!AC309)</f>
        <v xml:space="preserve">  </v>
      </c>
      <c r="I310" s="48" t="str">
        <f ca="1">CONCATENATE(CALC2223!AE309," ",CALC2223!AG309," ",CALC2223!AI309)</f>
        <v xml:space="preserve">  </v>
      </c>
      <c r="J310" s="48" t="str">
        <f ca="1">CONCATENATE(CALC2223!AK309," ",CALC2223!AM309," ",CALC2223!AO309)</f>
        <v xml:space="preserve">  </v>
      </c>
      <c r="K310" s="48" t="str">
        <f ca="1">CONCATENATE(CALC2223!AQ309," ",CALC2223!AS309," ",CALC2223!AU309," ",CALC2223!AW309)</f>
        <v xml:space="preserve">   </v>
      </c>
      <c r="L310" s="49" t="str">
        <f t="shared" ca="1" si="1"/>
        <v>actueel</v>
      </c>
      <c r="M310" s="1"/>
      <c r="N310" s="4" t="b">
        <f ca="1">OR(VALUE(CALC2223!B309)&gt;VALUE(LASTV),VALUE(CALC2223!D309)&gt;VALUE(LASTV),VALUE(CALC2223!F309)&gt;VALUE(LASTV))</f>
        <v>0</v>
      </c>
      <c r="O310" s="4" t="b">
        <f ca="1">OR(VALUE(CALC2223!H309)&gt;VALUE(LASTV),VALUE(CALC2223!J309)&gt;VALUE(LASTV),VALUE(CALC2223!L309)&gt;VALUE(LASTV))</f>
        <v>0</v>
      </c>
      <c r="P310" s="4" t="b">
        <f ca="1">OR(VALUE(CALC2223!N309)&gt;VALUE(LASTV),VALUE(CALC2223!P309)&gt;VALUE(LASTV),VALUE(CALC2223!R309)&gt;VALUE(LASTV))</f>
        <v>0</v>
      </c>
      <c r="Q310" s="4" t="b">
        <f ca="1">OR(VALUE(CALC2223!T309)&gt;VALUE(LASTV),VALUE(CALC2223!V309)&gt;VALUE(LASTV),VALUE(CALC2223!X309)&gt;VALUE(LASTV))</f>
        <v>0</v>
      </c>
      <c r="R310" s="4" t="b">
        <f ca="1">OR(VALUE(CALC2223!Z309)&gt;VALUE(LASTV),VALUE(CALC2223!AB309)&gt;VALUE(LASTV),VALUE(CALC2223!AD309)&gt;VALUE(LASTV))</f>
        <v>0</v>
      </c>
      <c r="S310" s="4" t="b">
        <f ca="1">OR(VALUE(CALC2223!AF309)&gt;VALUE(LASTV),VALUE(CALC2223!AH309)&gt;VALUE(LASTV),VALUE(CALC2223!AJ309)&gt;VALUE(LASTV))</f>
        <v>0</v>
      </c>
      <c r="T310" s="4" t="b">
        <f ca="1">OR(VALUE(CALC2223!AL309)&gt;VALUE(LASTV),VALUE(CALC2223!AN309)&gt;VALUE(LASTV),VALUE(CALC2223!AP309)&gt;VALUE(LASTV))</f>
        <v>0</v>
      </c>
      <c r="U310" s="4" t="b">
        <f ca="1">OR(VALUE(CALC2223!AR309)&gt;VALUE(LASTV),VALUE(CALC2223!AT309)&gt;VALUE(LASTV),VALUE(CALC2223!AV309)&gt;VALUE(LASTV))</f>
        <v>0</v>
      </c>
      <c r="V310" s="1"/>
    </row>
    <row r="311" spans="1:22" ht="35.25" customHeight="1">
      <c r="A311" s="102">
        <v>28</v>
      </c>
      <c r="B311" s="60" t="s">
        <v>18</v>
      </c>
      <c r="C311" s="61">
        <v>46209</v>
      </c>
      <c r="D311" s="62" t="str">
        <f ca="1">CONCATENATE(CALC2223!A310," ",CALC2223!C310," ",CALC2223!E310)</f>
        <v xml:space="preserve">inhalen  </v>
      </c>
      <c r="E311" s="62" t="str">
        <f ca="1">CONCATENATE(CALC2223!G310," ",CALC2223!I310," ",CALC2223!K310)</f>
        <v xml:space="preserve">inhalen  </v>
      </c>
      <c r="F311" s="62" t="str">
        <f ca="1">CONCATENATE(CALC2223!M310," ",CALC2223!O310," ",CALC2223!Q310)</f>
        <v xml:space="preserve">Ardennenkamp  </v>
      </c>
      <c r="G311" s="62" t="str">
        <f ca="1">CONCATENATE(CALC2223!S310," ",CALC2223!U310," ",CALC2223!W310)</f>
        <v xml:space="preserve">inhalen  </v>
      </c>
      <c r="H311" s="62" t="str">
        <f ca="1">CONCATENATE(CALC2223!Y310," ",CALC2223!AA310," ",CALC2223!AC310)</f>
        <v xml:space="preserve">inhalen  </v>
      </c>
      <c r="I311" s="62" t="str">
        <f ca="1">CONCATENATE(CALC2223!AE310," ",CALC2223!AG310," ",CALC2223!AI310)</f>
        <v xml:space="preserve">  </v>
      </c>
      <c r="J311" s="62" t="str">
        <f ca="1">CONCATENATE(CALC2223!AK310," ",CALC2223!AM310," ",CALC2223!AO310)</f>
        <v xml:space="preserve">  </v>
      </c>
      <c r="K311" s="62" t="str">
        <f ca="1">CONCATENATE(CALC2223!AQ310," ",CALC2223!AS310," ",CALC2223!AU310," ",CALC2223!AW310)</f>
        <v xml:space="preserve">CGUweek4   </v>
      </c>
      <c r="L311" s="63" t="str">
        <f t="shared" ca="1" si="1"/>
        <v>actueel</v>
      </c>
      <c r="M311" s="1"/>
      <c r="N311" s="4" t="b">
        <f ca="1">OR(VALUE(CALC2223!B310)&gt;VALUE(LASTV),VALUE(CALC2223!D310)&gt;VALUE(LASTV),VALUE(CALC2223!F310)&gt;VALUE(LASTV))</f>
        <v>0</v>
      </c>
      <c r="O311" s="4" t="b">
        <f ca="1">OR(VALUE(CALC2223!H310)&gt;VALUE(LASTV),VALUE(CALC2223!J310)&gt;VALUE(LASTV),VALUE(CALC2223!L310)&gt;VALUE(LASTV))</f>
        <v>0</v>
      </c>
      <c r="P311" s="4" t="b">
        <f ca="1">OR(VALUE(CALC2223!N310)&gt;VALUE(LASTV),VALUE(CALC2223!P310)&gt;VALUE(LASTV),VALUE(CALC2223!R310)&gt;VALUE(LASTV))</f>
        <v>0</v>
      </c>
      <c r="Q311" s="4" t="b">
        <f ca="1">OR(VALUE(CALC2223!T310)&gt;VALUE(LASTV),VALUE(CALC2223!V310)&gt;VALUE(LASTV),VALUE(CALC2223!X310)&gt;VALUE(LASTV))</f>
        <v>0</v>
      </c>
      <c r="R311" s="4" t="b">
        <f ca="1">OR(VALUE(CALC2223!Z310)&gt;VALUE(LASTV),VALUE(CALC2223!AB310)&gt;VALUE(LASTV),VALUE(CALC2223!AD310)&gt;VALUE(LASTV))</f>
        <v>0</v>
      </c>
      <c r="S311" s="4" t="b">
        <f ca="1">OR(VALUE(CALC2223!AF310)&gt;VALUE(LASTV),VALUE(CALC2223!AH310)&gt;VALUE(LASTV),VALUE(CALC2223!AJ310)&gt;VALUE(LASTV))</f>
        <v>0</v>
      </c>
      <c r="T311" s="4" t="b">
        <f ca="1">OR(VALUE(CALC2223!AL310)&gt;VALUE(LASTV),VALUE(CALC2223!AN310)&gt;VALUE(LASTV),VALUE(CALC2223!AP310)&gt;VALUE(LASTV))</f>
        <v>0</v>
      </c>
      <c r="U311" s="4" t="b">
        <f ca="1">OR(VALUE(CALC2223!AR310)&gt;VALUE(LASTV),VALUE(CALC2223!AT310)&gt;VALUE(LASTV),VALUE(CALC2223!AV310)&gt;VALUE(LASTV))</f>
        <v>0</v>
      </c>
      <c r="V311" s="1"/>
    </row>
    <row r="312" spans="1:22" ht="35.25" customHeight="1">
      <c r="A312" s="59"/>
      <c r="B312" s="60" t="s">
        <v>19</v>
      </c>
      <c r="C312" s="61">
        <v>46210</v>
      </c>
      <c r="D312" s="62" t="str">
        <f ca="1">CONCATENATE(CALC2223!A311," ",CALC2223!C311," ",CALC2223!E311)</f>
        <v xml:space="preserve">  </v>
      </c>
      <c r="E312" s="62" t="str">
        <f ca="1">CONCATENATE(CALC2223!G311," ",CALC2223!I311," ",CALC2223!K311)</f>
        <v xml:space="preserve">  </v>
      </c>
      <c r="F312" s="62" t="str">
        <f ca="1">CONCATENATE(CALC2223!M311," ",CALC2223!O311," ",CALC2223!Q311)</f>
        <v xml:space="preserve">Ardennenkamp  </v>
      </c>
      <c r="G312" s="62" t="str">
        <f ca="1">CONCATENATE(CALC2223!S311," ",CALC2223!U311," ",CALC2223!W311)</f>
        <v xml:space="preserve">  </v>
      </c>
      <c r="H312" s="62" t="str">
        <f ca="1">CONCATENATE(CALC2223!Y311," ",CALC2223!AA311," ",CALC2223!AC311)</f>
        <v xml:space="preserve">  </v>
      </c>
      <c r="I312" s="62" t="str">
        <f ca="1">CONCATENATE(CALC2223!AE311," ",CALC2223!AG311," ",CALC2223!AI311)</f>
        <v xml:space="preserve">  </v>
      </c>
      <c r="J312" s="62" t="str">
        <f ca="1">CONCATENATE(CALC2223!AK311," ",CALC2223!AM311," ",CALC2223!AO311)</f>
        <v xml:space="preserve">  </v>
      </c>
      <c r="K312" s="62" t="str">
        <f ca="1">CONCATENATE(CALC2223!AQ311," ",CALC2223!AS311," ",CALC2223!AU311," ",CALC2223!AW311)</f>
        <v xml:space="preserve">   </v>
      </c>
      <c r="L312" s="63" t="str">
        <f t="shared" ca="1" si="1"/>
        <v>actueel</v>
      </c>
      <c r="M312" s="1"/>
      <c r="N312" s="4" t="b">
        <f ca="1">OR(VALUE(CALC2223!B311)&gt;VALUE(LASTV),VALUE(CALC2223!D311)&gt;VALUE(LASTV),VALUE(CALC2223!F311)&gt;VALUE(LASTV))</f>
        <v>0</v>
      </c>
      <c r="O312" s="4" t="b">
        <f ca="1">OR(VALUE(CALC2223!H311)&gt;VALUE(LASTV),VALUE(CALC2223!J311)&gt;VALUE(LASTV),VALUE(CALC2223!L311)&gt;VALUE(LASTV))</f>
        <v>0</v>
      </c>
      <c r="P312" s="4" t="b">
        <f ca="1">OR(VALUE(CALC2223!N311)&gt;VALUE(LASTV),VALUE(CALC2223!P311)&gt;VALUE(LASTV),VALUE(CALC2223!R311)&gt;VALUE(LASTV))</f>
        <v>0</v>
      </c>
      <c r="Q312" s="4" t="b">
        <f ca="1">OR(VALUE(CALC2223!T311)&gt;VALUE(LASTV),VALUE(CALC2223!V311)&gt;VALUE(LASTV),VALUE(CALC2223!X311)&gt;VALUE(LASTV))</f>
        <v>0</v>
      </c>
      <c r="R312" s="4" t="b">
        <f ca="1">OR(VALUE(CALC2223!Z311)&gt;VALUE(LASTV),VALUE(CALC2223!AB311)&gt;VALUE(LASTV),VALUE(CALC2223!AD311)&gt;VALUE(LASTV))</f>
        <v>0</v>
      </c>
      <c r="S312" s="4" t="b">
        <f ca="1">OR(VALUE(CALC2223!AF311)&gt;VALUE(LASTV),VALUE(CALC2223!AH311)&gt;VALUE(LASTV),VALUE(CALC2223!AJ311)&gt;VALUE(LASTV))</f>
        <v>0</v>
      </c>
      <c r="T312" s="4" t="b">
        <f ca="1">OR(VALUE(CALC2223!AL311)&gt;VALUE(LASTV),VALUE(CALC2223!AN311)&gt;VALUE(LASTV),VALUE(CALC2223!AP311)&gt;VALUE(LASTV))</f>
        <v>0</v>
      </c>
      <c r="U312" s="4" t="b">
        <f ca="1">OR(VALUE(CALC2223!AR311)&gt;VALUE(LASTV),VALUE(CALC2223!AT311)&gt;VALUE(LASTV),VALUE(CALC2223!AV311)&gt;VALUE(LASTV))</f>
        <v>0</v>
      </c>
      <c r="V312" s="1"/>
    </row>
    <row r="313" spans="1:22" ht="35.25" customHeight="1">
      <c r="A313" s="59"/>
      <c r="B313" s="60" t="s">
        <v>20</v>
      </c>
      <c r="C313" s="61">
        <v>46211</v>
      </c>
      <c r="D313" s="62" t="str">
        <f ca="1">CONCATENATE(CALC2223!A312," ",CALC2223!C312," ",CALC2223!E312)</f>
        <v xml:space="preserve">  </v>
      </c>
      <c r="E313" s="62" t="str">
        <f ca="1">CONCATENATE(CALC2223!G312," ",CALC2223!I312," ",CALC2223!K312)</f>
        <v xml:space="preserve">  </v>
      </c>
      <c r="F313" s="62" t="str">
        <f ca="1">CONCATENATE(CALC2223!M312," ",CALC2223!O312," ",CALC2223!Q312)</f>
        <v xml:space="preserve">Ardennenkamp  </v>
      </c>
      <c r="G313" s="62" t="str">
        <f ca="1">CONCATENATE(CALC2223!S312," ",CALC2223!U312," ",CALC2223!W312)</f>
        <v xml:space="preserve">  </v>
      </c>
      <c r="H313" s="62" t="str">
        <f ca="1">CONCATENATE(CALC2223!Y312," ",CALC2223!AA312," ",CALC2223!AC312)</f>
        <v xml:space="preserve">  </v>
      </c>
      <c r="I313" s="62" t="str">
        <f ca="1">CONCATENATE(CALC2223!AE312," ",CALC2223!AG312," ",CALC2223!AI312)</f>
        <v xml:space="preserve">  </v>
      </c>
      <c r="J313" s="62" t="str">
        <f ca="1">CONCATENATE(CALC2223!AK312," ",CALC2223!AM312," ",CALC2223!AO312)</f>
        <v xml:space="preserve">  </v>
      </c>
      <c r="K313" s="62" t="str">
        <f ca="1">CONCATENATE(CALC2223!AQ312," ",CALC2223!AS312," ",CALC2223!AU312," ",CALC2223!AW312)</f>
        <v xml:space="preserve">   </v>
      </c>
      <c r="L313" s="63" t="str">
        <f t="shared" ca="1" si="1"/>
        <v>actueel</v>
      </c>
      <c r="M313" s="1"/>
      <c r="N313" s="4" t="b">
        <f ca="1">OR(VALUE(CALC2223!B312)&gt;VALUE(LASTV),VALUE(CALC2223!D312)&gt;VALUE(LASTV),VALUE(CALC2223!F312)&gt;VALUE(LASTV))</f>
        <v>0</v>
      </c>
      <c r="O313" s="4" t="b">
        <f ca="1">OR(VALUE(CALC2223!H312)&gt;VALUE(LASTV),VALUE(CALC2223!J312)&gt;VALUE(LASTV),VALUE(CALC2223!L312)&gt;VALUE(LASTV))</f>
        <v>0</v>
      </c>
      <c r="P313" s="4" t="b">
        <f ca="1">OR(VALUE(CALC2223!N312)&gt;VALUE(LASTV),VALUE(CALC2223!P312)&gt;VALUE(LASTV),VALUE(CALC2223!R312)&gt;VALUE(LASTV))</f>
        <v>0</v>
      </c>
      <c r="Q313" s="4" t="b">
        <f ca="1">OR(VALUE(CALC2223!T312)&gt;VALUE(LASTV),VALUE(CALC2223!V312)&gt;VALUE(LASTV),VALUE(CALC2223!X312)&gt;VALUE(LASTV))</f>
        <v>0</v>
      </c>
      <c r="R313" s="4" t="b">
        <f ca="1">OR(VALUE(CALC2223!Z312)&gt;VALUE(LASTV),VALUE(CALC2223!AB312)&gt;VALUE(LASTV),VALUE(CALC2223!AD312)&gt;VALUE(LASTV))</f>
        <v>0</v>
      </c>
      <c r="S313" s="4" t="b">
        <f ca="1">OR(VALUE(CALC2223!AF312)&gt;VALUE(LASTV),VALUE(CALC2223!AH312)&gt;VALUE(LASTV),VALUE(CALC2223!AJ312)&gt;VALUE(LASTV))</f>
        <v>0</v>
      </c>
      <c r="T313" s="4" t="b">
        <f ca="1">OR(VALUE(CALC2223!AL312)&gt;VALUE(LASTV),VALUE(CALC2223!AN312)&gt;VALUE(LASTV),VALUE(CALC2223!AP312)&gt;VALUE(LASTV))</f>
        <v>0</v>
      </c>
      <c r="U313" s="4" t="b">
        <f ca="1">OR(VALUE(CALC2223!AR312)&gt;VALUE(LASTV),VALUE(CALC2223!AT312)&gt;VALUE(LASTV),VALUE(CALC2223!AV312)&gt;VALUE(LASTV))</f>
        <v>0</v>
      </c>
      <c r="V313" s="1"/>
    </row>
    <row r="314" spans="1:22" ht="35.25" customHeight="1">
      <c r="A314" s="59"/>
      <c r="B314" s="60" t="s">
        <v>21</v>
      </c>
      <c r="C314" s="61">
        <v>46212</v>
      </c>
      <c r="D314" s="62" t="str">
        <f ca="1">CONCATENATE(CALC2223!A313," ",CALC2223!C313," ",CALC2223!E313)</f>
        <v xml:space="preserve">cijfers inleveren  </v>
      </c>
      <c r="E314" s="62" t="str">
        <f ca="1">CONCATENATE(CALC2223!G313," ",CALC2223!I313," ",CALC2223!K313)</f>
        <v xml:space="preserve">cijfers inleveren  </v>
      </c>
      <c r="F314" s="62" t="str">
        <f ca="1">CONCATENATE(CALC2223!M313," ",CALC2223!O313," ",CALC2223!Q313)</f>
        <v xml:space="preserve">cijfers inleveren Ardennenkamp </v>
      </c>
      <c r="G314" s="62" t="str">
        <f ca="1">CONCATENATE(CALC2223!S313," ",CALC2223!U313," ",CALC2223!W313)</f>
        <v xml:space="preserve">cijfers inleveren  </v>
      </c>
      <c r="H314" s="62" t="str">
        <f ca="1">CONCATENATE(CALC2223!Y313," ",CALC2223!AA313," ",CALC2223!AC313)</f>
        <v xml:space="preserve">cijfers inleveren  </v>
      </c>
      <c r="I314" s="62" t="str">
        <f ca="1">CONCATENATE(CALC2223!AE313," ",CALC2223!AG313," ",CALC2223!AI313)</f>
        <v xml:space="preserve">  </v>
      </c>
      <c r="J314" s="62" t="str">
        <f ca="1">CONCATENATE(CALC2223!AK313," ",CALC2223!AM313," ",CALC2223!AO313)</f>
        <v xml:space="preserve">  </v>
      </c>
      <c r="K314" s="62" t="str">
        <f ca="1">CONCATENATE(CALC2223!AQ313," ",CALC2223!AS313," ",CALC2223!AU313," ",CALC2223!AW313)</f>
        <v xml:space="preserve">   </v>
      </c>
      <c r="L314" s="63" t="str">
        <f t="shared" ca="1" si="1"/>
        <v>actueel</v>
      </c>
      <c r="M314" s="1"/>
      <c r="N314" s="4" t="b">
        <f ca="1">OR(VALUE(CALC2223!B313)&gt;VALUE(LASTV),VALUE(CALC2223!D313)&gt;VALUE(LASTV),VALUE(CALC2223!F313)&gt;VALUE(LASTV))</f>
        <v>0</v>
      </c>
      <c r="O314" s="4" t="b">
        <f ca="1">OR(VALUE(CALC2223!H313)&gt;VALUE(LASTV),VALUE(CALC2223!J313)&gt;VALUE(LASTV),VALUE(CALC2223!L313)&gt;VALUE(LASTV))</f>
        <v>0</v>
      </c>
      <c r="P314" s="4" t="b">
        <f ca="1">OR(VALUE(CALC2223!N313)&gt;VALUE(LASTV),VALUE(CALC2223!P313)&gt;VALUE(LASTV),VALUE(CALC2223!R313)&gt;VALUE(LASTV))</f>
        <v>0</v>
      </c>
      <c r="Q314" s="4" t="b">
        <f ca="1">OR(VALUE(CALC2223!T313)&gt;VALUE(LASTV),VALUE(CALC2223!V313)&gt;VALUE(LASTV),VALUE(CALC2223!X313)&gt;VALUE(LASTV))</f>
        <v>0</v>
      </c>
      <c r="R314" s="4" t="b">
        <f ca="1">OR(VALUE(CALC2223!Z313)&gt;VALUE(LASTV),VALUE(CALC2223!AB313)&gt;VALUE(LASTV),VALUE(CALC2223!AD313)&gt;VALUE(LASTV))</f>
        <v>0</v>
      </c>
      <c r="S314" s="4" t="b">
        <f ca="1">OR(VALUE(CALC2223!AF313)&gt;VALUE(LASTV),VALUE(CALC2223!AH313)&gt;VALUE(LASTV),VALUE(CALC2223!AJ313)&gt;VALUE(LASTV))</f>
        <v>0</v>
      </c>
      <c r="T314" s="4" t="b">
        <f ca="1">OR(VALUE(CALC2223!AL313)&gt;VALUE(LASTV),VALUE(CALC2223!AN313)&gt;VALUE(LASTV),VALUE(CALC2223!AP313)&gt;VALUE(LASTV))</f>
        <v>0</v>
      </c>
      <c r="U314" s="4" t="b">
        <f ca="1">OR(VALUE(CALC2223!AR313)&gt;VALUE(LASTV),VALUE(CALC2223!AT313)&gt;VALUE(LASTV),VALUE(CALC2223!AV313)&gt;VALUE(LASTV))</f>
        <v>0</v>
      </c>
      <c r="V314" s="1"/>
    </row>
    <row r="315" spans="1:22" ht="35.25" customHeight="1">
      <c r="A315" s="59"/>
      <c r="B315" s="60" t="s">
        <v>22</v>
      </c>
      <c r="C315" s="61">
        <v>46213</v>
      </c>
      <c r="D315" s="62" t="str">
        <f ca="1">CONCATENATE(CALC2223!A314," ",CALC2223!C314," ",CALC2223!E314)</f>
        <v xml:space="preserve">  </v>
      </c>
      <c r="E315" s="62" t="str">
        <f ca="1">CONCATENATE(CALC2223!G314," ",CALC2223!I314," ",CALC2223!K314)</f>
        <v xml:space="preserve">  </v>
      </c>
      <c r="F315" s="62" t="str">
        <f ca="1">CONCATENATE(CALC2223!M314," ",CALC2223!O314," ",CALC2223!Q314)</f>
        <v xml:space="preserve">Ardennenkamp  </v>
      </c>
      <c r="G315" s="62" t="str">
        <f ca="1">CONCATENATE(CALC2223!S314," ",CALC2223!U314," ",CALC2223!W314)</f>
        <v xml:space="preserve">  </v>
      </c>
      <c r="H315" s="62" t="str">
        <f ca="1">CONCATENATE(CALC2223!Y314," ",CALC2223!AA314," ",CALC2223!AC314)</f>
        <v xml:space="preserve">  </v>
      </c>
      <c r="I315" s="62" t="str">
        <f ca="1">CONCATENATE(CALC2223!AE314," ",CALC2223!AG314," ",CALC2223!AI314)</f>
        <v xml:space="preserve">  </v>
      </c>
      <c r="J315" s="62" t="str">
        <f ca="1">CONCATENATE(CALC2223!AK314," ",CALC2223!AM314," ",CALC2223!AO314)</f>
        <v xml:space="preserve">  </v>
      </c>
      <c r="K315" s="62" t="str">
        <f ca="1">CONCATENATE(CALC2223!AQ314," ",CALC2223!AS314," ",CALC2223!AU314," ",CALC2223!AW314)</f>
        <v xml:space="preserve">   </v>
      </c>
      <c r="L315" s="63" t="str">
        <f t="shared" ca="1" si="1"/>
        <v>actueel</v>
      </c>
      <c r="M315" s="1"/>
      <c r="N315" s="4" t="b">
        <f ca="1">OR(VALUE(CALC2223!B314)&gt;VALUE(LASTV),VALUE(CALC2223!D314)&gt;VALUE(LASTV),VALUE(CALC2223!F314)&gt;VALUE(LASTV))</f>
        <v>0</v>
      </c>
      <c r="O315" s="4" t="b">
        <f ca="1">OR(VALUE(CALC2223!H314)&gt;VALUE(LASTV),VALUE(CALC2223!J314)&gt;VALUE(LASTV),VALUE(CALC2223!L314)&gt;VALUE(LASTV))</f>
        <v>0</v>
      </c>
      <c r="P315" s="4" t="b">
        <f ca="1">OR(VALUE(CALC2223!N314)&gt;VALUE(LASTV),VALUE(CALC2223!P314)&gt;VALUE(LASTV),VALUE(CALC2223!R314)&gt;VALUE(LASTV))</f>
        <v>0</v>
      </c>
      <c r="Q315" s="4" t="b">
        <f ca="1">OR(VALUE(CALC2223!T314)&gt;VALUE(LASTV),VALUE(CALC2223!V314)&gt;VALUE(LASTV),VALUE(CALC2223!X314)&gt;VALUE(LASTV))</f>
        <v>0</v>
      </c>
      <c r="R315" s="4" t="b">
        <f ca="1">OR(VALUE(CALC2223!Z314)&gt;VALUE(LASTV),VALUE(CALC2223!AB314)&gt;VALUE(LASTV),VALUE(CALC2223!AD314)&gt;VALUE(LASTV))</f>
        <v>0</v>
      </c>
      <c r="S315" s="4" t="b">
        <f ca="1">OR(VALUE(CALC2223!AF314)&gt;VALUE(LASTV),VALUE(CALC2223!AH314)&gt;VALUE(LASTV),VALUE(CALC2223!AJ314)&gt;VALUE(LASTV))</f>
        <v>0</v>
      </c>
      <c r="T315" s="4" t="b">
        <f ca="1">OR(VALUE(CALC2223!AL314)&gt;VALUE(LASTV),VALUE(CALC2223!AN314)&gt;VALUE(LASTV),VALUE(CALC2223!AP314)&gt;VALUE(LASTV))</f>
        <v>0</v>
      </c>
      <c r="U315" s="4" t="b">
        <f ca="1">OR(VALUE(CALC2223!AR314)&gt;VALUE(LASTV),VALUE(CALC2223!AT314)&gt;VALUE(LASTV),VALUE(CALC2223!AV314)&gt;VALUE(LASTV))</f>
        <v>0</v>
      </c>
      <c r="V315" s="1"/>
    </row>
    <row r="316" spans="1:22" ht="35.25" customHeight="1">
      <c r="A316" s="45"/>
      <c r="B316" s="46" t="s">
        <v>23</v>
      </c>
      <c r="C316" s="47">
        <v>46214</v>
      </c>
      <c r="D316" s="48" t="str">
        <f ca="1">CONCATENATE(CALC2223!A315," ",CALC2223!C315," ",CALC2223!E315)</f>
        <v xml:space="preserve">  </v>
      </c>
      <c r="E316" s="48" t="str">
        <f ca="1">CONCATENATE(CALC2223!G315," ",CALC2223!I315," ",CALC2223!K315)</f>
        <v xml:space="preserve">  </v>
      </c>
      <c r="F316" s="48" t="str">
        <f ca="1">CONCATENATE(CALC2223!M315," ",CALC2223!O315," ",CALC2223!Q315)</f>
        <v xml:space="preserve">  </v>
      </c>
      <c r="G316" s="48" t="str">
        <f ca="1">CONCATENATE(CALC2223!S315," ",CALC2223!U315," ",CALC2223!W315)</f>
        <v xml:space="preserve">  </v>
      </c>
      <c r="H316" s="48" t="str">
        <f ca="1">CONCATENATE(CALC2223!Y315," ",CALC2223!AA315," ",CALC2223!AC315)</f>
        <v xml:space="preserve">  </v>
      </c>
      <c r="I316" s="48" t="str">
        <f ca="1">CONCATENATE(CALC2223!AE315," ",CALC2223!AG315," ",CALC2223!AI315)</f>
        <v xml:space="preserve">  </v>
      </c>
      <c r="J316" s="48" t="str">
        <f ca="1">CONCATENATE(CALC2223!AK315," ",CALC2223!AM315," ",CALC2223!AO315)</f>
        <v xml:space="preserve">  </v>
      </c>
      <c r="K316" s="48" t="str">
        <f ca="1">CONCATENATE(CALC2223!AQ315," ",CALC2223!AS315," ",CALC2223!AU315," ",CALC2223!AW315)</f>
        <v xml:space="preserve">   </v>
      </c>
      <c r="L316" s="49" t="str">
        <f t="shared" ca="1" si="1"/>
        <v>actueel</v>
      </c>
      <c r="M316" s="1"/>
      <c r="N316" s="4" t="b">
        <f ca="1">OR(VALUE(CALC2223!B315)&gt;VALUE(LASTV),VALUE(CALC2223!D315)&gt;VALUE(LASTV),VALUE(CALC2223!F315)&gt;VALUE(LASTV))</f>
        <v>0</v>
      </c>
      <c r="O316" s="4" t="b">
        <f ca="1">OR(VALUE(CALC2223!H315)&gt;VALUE(LASTV),VALUE(CALC2223!J315)&gt;VALUE(LASTV),VALUE(CALC2223!L315)&gt;VALUE(LASTV))</f>
        <v>0</v>
      </c>
      <c r="P316" s="4" t="b">
        <f ca="1">OR(VALUE(CALC2223!N315)&gt;VALUE(LASTV),VALUE(CALC2223!P315)&gt;VALUE(LASTV),VALUE(CALC2223!R315)&gt;VALUE(LASTV))</f>
        <v>0</v>
      </c>
      <c r="Q316" s="4" t="b">
        <f ca="1">OR(VALUE(CALC2223!T315)&gt;VALUE(LASTV),VALUE(CALC2223!V315)&gt;VALUE(LASTV),VALUE(CALC2223!X315)&gt;VALUE(LASTV))</f>
        <v>0</v>
      </c>
      <c r="R316" s="4" t="b">
        <f ca="1">OR(VALUE(CALC2223!Z315)&gt;VALUE(LASTV),VALUE(CALC2223!AB315)&gt;VALUE(LASTV),VALUE(CALC2223!AD315)&gt;VALUE(LASTV))</f>
        <v>0</v>
      </c>
      <c r="S316" s="4" t="b">
        <f ca="1">OR(VALUE(CALC2223!AF315)&gt;VALUE(LASTV),VALUE(CALC2223!AH315)&gt;VALUE(LASTV),VALUE(CALC2223!AJ315)&gt;VALUE(LASTV))</f>
        <v>0</v>
      </c>
      <c r="T316" s="4" t="b">
        <f ca="1">OR(VALUE(CALC2223!AL315)&gt;VALUE(LASTV),VALUE(CALC2223!AN315)&gt;VALUE(LASTV),VALUE(CALC2223!AP315)&gt;VALUE(LASTV))</f>
        <v>0</v>
      </c>
      <c r="U316" s="4" t="b">
        <f ca="1">OR(VALUE(CALC2223!AR315)&gt;VALUE(LASTV),VALUE(CALC2223!AT315)&gt;VALUE(LASTV),VALUE(CALC2223!AV315)&gt;VALUE(LASTV))</f>
        <v>0</v>
      </c>
      <c r="V316" s="1"/>
    </row>
    <row r="317" spans="1:22" ht="35.25" customHeight="1">
      <c r="A317" s="45"/>
      <c r="B317" s="46" t="s">
        <v>24</v>
      </c>
      <c r="C317" s="47">
        <v>46215</v>
      </c>
      <c r="D317" s="48" t="str">
        <f ca="1">CONCATENATE(CALC2223!A316," ",CALC2223!C316," ",CALC2223!E316)</f>
        <v xml:space="preserve">  </v>
      </c>
      <c r="E317" s="48" t="str">
        <f ca="1">CONCATENATE(CALC2223!G316," ",CALC2223!I316," ",CALC2223!K316)</f>
        <v xml:space="preserve">  </v>
      </c>
      <c r="F317" s="48" t="str">
        <f ca="1">CONCATENATE(CALC2223!M316," ",CALC2223!O316," ",CALC2223!Q316)</f>
        <v xml:space="preserve">  </v>
      </c>
      <c r="G317" s="48" t="str">
        <f ca="1">CONCATENATE(CALC2223!S316," ",CALC2223!U316," ",CALC2223!W316)</f>
        <v xml:space="preserve">  </v>
      </c>
      <c r="H317" s="48" t="str">
        <f ca="1">CONCATENATE(CALC2223!Y316," ",CALC2223!AA316," ",CALC2223!AC316)</f>
        <v xml:space="preserve">  </v>
      </c>
      <c r="I317" s="48" t="str">
        <f ca="1">CONCATENATE(CALC2223!AE316," ",CALC2223!AG316," ",CALC2223!AI316)</f>
        <v xml:space="preserve">  </v>
      </c>
      <c r="J317" s="48" t="str">
        <f ca="1">CONCATENATE(CALC2223!AK316," ",CALC2223!AM316," ",CALC2223!AO316)</f>
        <v xml:space="preserve">  </v>
      </c>
      <c r="K317" s="48" t="str">
        <f ca="1">CONCATENATE(CALC2223!AQ316," ",CALC2223!AS316," ",CALC2223!AU316," ",CALC2223!AW316)</f>
        <v xml:space="preserve">   </v>
      </c>
      <c r="L317" s="49" t="str">
        <f t="shared" ca="1" si="1"/>
        <v>actueel</v>
      </c>
      <c r="M317" s="1"/>
      <c r="N317" s="4" t="b">
        <f ca="1">OR(VALUE(CALC2223!B316)&gt;VALUE(LASTV),VALUE(CALC2223!D316)&gt;VALUE(LASTV),VALUE(CALC2223!F316)&gt;VALUE(LASTV))</f>
        <v>0</v>
      </c>
      <c r="O317" s="4" t="b">
        <f ca="1">OR(VALUE(CALC2223!H316)&gt;VALUE(LASTV),VALUE(CALC2223!J316)&gt;VALUE(LASTV),VALUE(CALC2223!L316)&gt;VALUE(LASTV))</f>
        <v>0</v>
      </c>
      <c r="P317" s="4" t="b">
        <f ca="1">OR(VALUE(CALC2223!N316)&gt;VALUE(LASTV),VALUE(CALC2223!P316)&gt;VALUE(LASTV),VALUE(CALC2223!R316)&gt;VALUE(LASTV))</f>
        <v>0</v>
      </c>
      <c r="Q317" s="4" t="b">
        <f ca="1">OR(VALUE(CALC2223!T316)&gt;VALUE(LASTV),VALUE(CALC2223!V316)&gt;VALUE(LASTV),VALUE(CALC2223!X316)&gt;VALUE(LASTV))</f>
        <v>0</v>
      </c>
      <c r="R317" s="4" t="b">
        <f ca="1">OR(VALUE(CALC2223!Z316)&gt;VALUE(LASTV),VALUE(CALC2223!AB316)&gt;VALUE(LASTV),VALUE(CALC2223!AD316)&gt;VALUE(LASTV))</f>
        <v>0</v>
      </c>
      <c r="S317" s="4" t="b">
        <f ca="1">OR(VALUE(CALC2223!AF316)&gt;VALUE(LASTV),VALUE(CALC2223!AH316)&gt;VALUE(LASTV),VALUE(CALC2223!AJ316)&gt;VALUE(LASTV))</f>
        <v>0</v>
      </c>
      <c r="T317" s="4" t="b">
        <f ca="1">OR(VALUE(CALC2223!AL316)&gt;VALUE(LASTV),VALUE(CALC2223!AN316)&gt;VALUE(LASTV),VALUE(CALC2223!AP316)&gt;VALUE(LASTV))</f>
        <v>0</v>
      </c>
      <c r="U317" s="4" t="b">
        <f ca="1">OR(VALUE(CALC2223!AR316)&gt;VALUE(LASTV),VALUE(CALC2223!AT316)&gt;VALUE(LASTV),VALUE(CALC2223!AV316)&gt;VALUE(LASTV))</f>
        <v>0</v>
      </c>
      <c r="V317" s="1"/>
    </row>
    <row r="318" spans="1:22" ht="35.25" customHeight="1">
      <c r="A318" s="87">
        <v>29</v>
      </c>
      <c r="B318" s="88" t="s">
        <v>18</v>
      </c>
      <c r="C318" s="89">
        <v>46216</v>
      </c>
      <c r="D318" s="90" t="str">
        <f ca="1">CONCATENATE(CALC2223!A317," ",CALC2223!C317," ",CALC2223!E317)</f>
        <v xml:space="preserve">overgangsverg 8.15  </v>
      </c>
      <c r="E318" s="90" t="str">
        <f ca="1">CONCATENATE(CALC2223!G317," ",CALC2223!I317," ",CALC2223!K317)</f>
        <v xml:space="preserve">overgangsverg 12.30  </v>
      </c>
      <c r="F318" s="90" t="str">
        <f ca="1">CONCATENATE(CALC2223!M317," ",CALC2223!O317," ",CALC2223!Q317)</f>
        <v xml:space="preserve">  </v>
      </c>
      <c r="G318" s="90" t="str">
        <f ca="1">CONCATENATE(CALC2223!S317," ",CALC2223!U317," ",CALC2223!W317)</f>
        <v xml:space="preserve">overgangsverg 15.00  </v>
      </c>
      <c r="H318" s="90" t="str">
        <f ca="1">CONCATENATE(CALC2223!Y317," ",CALC2223!AA317," ",CALC2223!AC317)</f>
        <v xml:space="preserve">overgangsverg 10.00  </v>
      </c>
      <c r="I318" s="90" t="str">
        <f ca="1">CONCATENATE(CALC2223!AE317," ",CALC2223!AG317," ",CALC2223!AI317)</f>
        <v xml:space="preserve">  </v>
      </c>
      <c r="J318" s="90" t="str">
        <f ca="1">CONCATENATE(CALC2223!AK317," ",CALC2223!AM317," ",CALC2223!AO317)</f>
        <v xml:space="preserve">  </v>
      </c>
      <c r="K318" s="90" t="str">
        <f ca="1">CONCATENATE(CALC2223!AQ317," ",CALC2223!AS317," ",CALC2223!AU317," ",CALC2223!AW317)</f>
        <v xml:space="preserve">afrondende week    boeken inleveren  </v>
      </c>
      <c r="L318" s="91" t="str">
        <f t="shared" ca="1" si="1"/>
        <v>actueel</v>
      </c>
      <c r="M318" s="1"/>
      <c r="N318" s="4" t="b">
        <f ca="1">OR(VALUE(CALC2223!B317)&gt;VALUE(LASTV),VALUE(CALC2223!D317)&gt;VALUE(LASTV),VALUE(CALC2223!F317)&gt;VALUE(LASTV))</f>
        <v>0</v>
      </c>
      <c r="O318" s="4" t="b">
        <f ca="1">OR(VALUE(CALC2223!H317)&gt;VALUE(LASTV),VALUE(CALC2223!J317)&gt;VALUE(LASTV),VALUE(CALC2223!L317)&gt;VALUE(LASTV))</f>
        <v>0</v>
      </c>
      <c r="P318" s="4" t="b">
        <f ca="1">OR(VALUE(CALC2223!N317)&gt;VALUE(LASTV),VALUE(CALC2223!P317)&gt;VALUE(LASTV),VALUE(CALC2223!R317)&gt;VALUE(LASTV))</f>
        <v>0</v>
      </c>
      <c r="Q318" s="4" t="b">
        <f ca="1">OR(VALUE(CALC2223!T317)&gt;VALUE(LASTV),VALUE(CALC2223!V317)&gt;VALUE(LASTV),VALUE(CALC2223!X317)&gt;VALUE(LASTV))</f>
        <v>0</v>
      </c>
      <c r="R318" s="4" t="b">
        <f ca="1">OR(VALUE(CALC2223!Z317)&gt;VALUE(LASTV),VALUE(CALC2223!AB317)&gt;VALUE(LASTV),VALUE(CALC2223!AD317)&gt;VALUE(LASTV))</f>
        <v>0</v>
      </c>
      <c r="S318" s="4" t="b">
        <f ca="1">OR(VALUE(CALC2223!AF317)&gt;VALUE(LASTV),VALUE(CALC2223!AH317)&gt;VALUE(LASTV),VALUE(CALC2223!AJ317)&gt;VALUE(LASTV))</f>
        <v>0</v>
      </c>
      <c r="T318" s="4" t="b">
        <f ca="1">OR(VALUE(CALC2223!AL317)&gt;VALUE(LASTV),VALUE(CALC2223!AN317)&gt;VALUE(LASTV),VALUE(CALC2223!AP317)&gt;VALUE(LASTV))</f>
        <v>0</v>
      </c>
      <c r="U318" s="4" t="b">
        <f ca="1">OR(VALUE(CALC2223!AR317)&gt;VALUE(LASTV),VALUE(CALC2223!AT317)&gt;VALUE(LASTV),VALUE(CALC2223!AV317)&gt;VALUE(LASTV))</f>
        <v>0</v>
      </c>
      <c r="V318" s="1"/>
    </row>
    <row r="319" spans="1:22" ht="35.25" customHeight="1">
      <c r="A319" s="92"/>
      <c r="B319" s="88" t="s">
        <v>19</v>
      </c>
      <c r="C319" s="89">
        <v>46217</v>
      </c>
      <c r="D319" s="90" t="str">
        <f ca="1">CONCATENATE(CALC2223!A318," ",CALC2223!C318," ",CALC2223!E318)</f>
        <v xml:space="preserve">  </v>
      </c>
      <c r="E319" s="90" t="str">
        <f ca="1">CONCATENATE(CALC2223!G318," ",CALC2223!I318," ",CALC2223!K318)</f>
        <v xml:space="preserve">  </v>
      </c>
      <c r="F319" s="90" t="str">
        <f ca="1">CONCATENATE(CALC2223!M318," ",CALC2223!O318," ",CALC2223!Q318)</f>
        <v xml:space="preserve">overgangsverg 10.00  </v>
      </c>
      <c r="G319" s="90" t="str">
        <f ca="1">CONCATENATE(CALC2223!S318," ",CALC2223!U318," ",CALC2223!W318)</f>
        <v xml:space="preserve">  </v>
      </c>
      <c r="H319" s="90" t="str">
        <f ca="1">CONCATENATE(CALC2223!Y318," ",CALC2223!AA318," ",CALC2223!AC318)</f>
        <v xml:space="preserve">  </v>
      </c>
      <c r="I319" s="90" t="str">
        <f ca="1">CONCATENATE(CALC2223!AE318," ",CALC2223!AG318," ",CALC2223!AI318)</f>
        <v xml:space="preserve">diplomauitreiking 13.00  16.00  19.30  </v>
      </c>
      <c r="J319" s="90" t="str">
        <f ca="1">CONCATENATE(CALC2223!AK318," ",CALC2223!AM318," ",CALC2223!AO318)</f>
        <v xml:space="preserve">  </v>
      </c>
      <c r="K319" s="90" t="str">
        <f ca="1">CONCATENATE(CALC2223!AQ318," ",CALC2223!AS318," ",CALC2223!AU318," ",CALC2223!AW318)</f>
        <v xml:space="preserve">   </v>
      </c>
      <c r="L319" s="91" t="str">
        <f t="shared" ca="1" si="1"/>
        <v>actueel</v>
      </c>
      <c r="M319" s="1"/>
      <c r="N319" s="4" t="b">
        <f ca="1">OR(VALUE(CALC2223!B318)&gt;VALUE(LASTV),VALUE(CALC2223!D318)&gt;VALUE(LASTV),VALUE(CALC2223!F318)&gt;VALUE(LASTV))</f>
        <v>0</v>
      </c>
      <c r="O319" s="4" t="b">
        <f ca="1">OR(VALUE(CALC2223!H318)&gt;VALUE(LASTV),VALUE(CALC2223!J318)&gt;VALUE(LASTV),VALUE(CALC2223!L318)&gt;VALUE(LASTV))</f>
        <v>0</v>
      </c>
      <c r="P319" s="4" t="b">
        <f ca="1">OR(VALUE(CALC2223!N318)&gt;VALUE(LASTV),VALUE(CALC2223!P318)&gt;VALUE(LASTV),VALUE(CALC2223!R318)&gt;VALUE(LASTV))</f>
        <v>0</v>
      </c>
      <c r="Q319" s="4" t="b">
        <f ca="1">OR(VALUE(CALC2223!T318)&gt;VALUE(LASTV),VALUE(CALC2223!V318)&gt;VALUE(LASTV),VALUE(CALC2223!X318)&gt;VALUE(LASTV))</f>
        <v>0</v>
      </c>
      <c r="R319" s="4" t="b">
        <f ca="1">OR(VALUE(CALC2223!Z318)&gt;VALUE(LASTV),VALUE(CALC2223!AB318)&gt;VALUE(LASTV),VALUE(CALC2223!AD318)&gt;VALUE(LASTV))</f>
        <v>0</v>
      </c>
      <c r="S319" s="4" t="b">
        <f ca="1">OR(VALUE(CALC2223!AF318)&gt;VALUE(LASTV),VALUE(CALC2223!AH318)&gt;VALUE(LASTV),VALUE(CALC2223!AJ318)&gt;VALUE(LASTV))</f>
        <v>0</v>
      </c>
      <c r="T319" s="4" t="b">
        <f ca="1">OR(VALUE(CALC2223!AL318)&gt;VALUE(LASTV),VALUE(CALC2223!AN318)&gt;VALUE(LASTV),VALUE(CALC2223!AP318)&gt;VALUE(LASTV))</f>
        <v>0</v>
      </c>
      <c r="U319" s="4" t="b">
        <f ca="1">OR(VALUE(CALC2223!AR318)&gt;VALUE(LASTV),VALUE(CALC2223!AT318)&gt;VALUE(LASTV),VALUE(CALC2223!AV318)&gt;VALUE(LASTV))</f>
        <v>0</v>
      </c>
      <c r="V319" s="1"/>
    </row>
    <row r="320" spans="1:22" ht="35.25" customHeight="1">
      <c r="A320" s="92"/>
      <c r="B320" s="88" t="s">
        <v>20</v>
      </c>
      <c r="C320" s="89">
        <v>46218</v>
      </c>
      <c r="D320" s="90" t="str">
        <f ca="1">CONCATENATE(CALC2223!A319," ",CALC2223!C319," ",CALC2223!E319)</f>
        <v xml:space="preserve">  </v>
      </c>
      <c r="E320" s="90" t="str">
        <f ca="1">CONCATENATE(CALC2223!G319," ",CALC2223!I319," ",CALC2223!K319)</f>
        <v xml:space="preserve">  </v>
      </c>
      <c r="F320" s="90" t="str">
        <f ca="1">CONCATENATE(CALC2223!M319," ",CALC2223!O319," ",CALC2223!Q319)</f>
        <v xml:space="preserve">  </v>
      </c>
      <c r="G320" s="90" t="str">
        <f ca="1">CONCATENATE(CALC2223!S319," ",CALC2223!U319," ",CALC2223!W319)</f>
        <v xml:space="preserve">  </v>
      </c>
      <c r="H320" s="90" t="str">
        <f ca="1">CONCATENATE(CALC2223!Y319," ",CALC2223!AA319," ",CALC2223!AC319)</f>
        <v xml:space="preserve">  </v>
      </c>
      <c r="I320" s="90" t="str">
        <f ca="1">CONCATENATE(CALC2223!AE319," ",CALC2223!AG319," ",CALC2223!AI319)</f>
        <v xml:space="preserve">diplomauitreiking 10.30  13.30  16.30  </v>
      </c>
      <c r="J320" s="90" t="str">
        <f ca="1">CONCATENATE(CALC2223!AK319," ",CALC2223!AM319," ",CALC2223!AO319)</f>
        <v xml:space="preserve">  </v>
      </c>
      <c r="K320" s="90" t="str">
        <f ca="1">CONCATENATE(CALC2223!AQ319," ",CALC2223!AS319," ",CALC2223!AU319," ",CALC2223!AW319)</f>
        <v xml:space="preserve">   </v>
      </c>
      <c r="L320" s="91" t="str">
        <f t="shared" ca="1" si="1"/>
        <v>actueel</v>
      </c>
      <c r="M320" s="1"/>
      <c r="N320" s="4" t="b">
        <f ca="1">OR(VALUE(CALC2223!B319)&gt;VALUE(LASTV),VALUE(CALC2223!D319)&gt;VALUE(LASTV),VALUE(CALC2223!F319)&gt;VALUE(LASTV))</f>
        <v>0</v>
      </c>
      <c r="O320" s="4" t="b">
        <f ca="1">OR(VALUE(CALC2223!H319)&gt;VALUE(LASTV),VALUE(CALC2223!J319)&gt;VALUE(LASTV),VALUE(CALC2223!L319)&gt;VALUE(LASTV))</f>
        <v>0</v>
      </c>
      <c r="P320" s="4" t="b">
        <f ca="1">OR(VALUE(CALC2223!N319)&gt;VALUE(LASTV),VALUE(CALC2223!P319)&gt;VALUE(LASTV),VALUE(CALC2223!R319)&gt;VALUE(LASTV))</f>
        <v>0</v>
      </c>
      <c r="Q320" s="4" t="b">
        <f ca="1">OR(VALUE(CALC2223!T319)&gt;VALUE(LASTV),VALUE(CALC2223!V319)&gt;VALUE(LASTV),VALUE(CALC2223!X319)&gt;VALUE(LASTV))</f>
        <v>0</v>
      </c>
      <c r="R320" s="4" t="b">
        <f ca="1">OR(VALUE(CALC2223!Z319)&gt;VALUE(LASTV),VALUE(CALC2223!AB319)&gt;VALUE(LASTV),VALUE(CALC2223!AD319)&gt;VALUE(LASTV))</f>
        <v>0</v>
      </c>
      <c r="S320" s="4" t="b">
        <f ca="1">OR(VALUE(CALC2223!AF319)&gt;VALUE(LASTV),VALUE(CALC2223!AH319)&gt;VALUE(LASTV),VALUE(CALC2223!AJ319)&gt;VALUE(LASTV))</f>
        <v>0</v>
      </c>
      <c r="T320" s="4" t="b">
        <f ca="1">OR(VALUE(CALC2223!AL319)&gt;VALUE(LASTV),VALUE(CALC2223!AN319)&gt;VALUE(LASTV),VALUE(CALC2223!AP319)&gt;VALUE(LASTV))</f>
        <v>0</v>
      </c>
      <c r="U320" s="4" t="b">
        <f ca="1">OR(VALUE(CALC2223!AR319)&gt;VALUE(LASTV),VALUE(CALC2223!AT319)&gt;VALUE(LASTV),VALUE(CALC2223!AV319)&gt;VALUE(LASTV))</f>
        <v>0</v>
      </c>
      <c r="V320" s="1"/>
    </row>
    <row r="321" spans="1:22" ht="35.25" customHeight="1">
      <c r="A321" s="59"/>
      <c r="B321" s="60" t="s">
        <v>21</v>
      </c>
      <c r="C321" s="61">
        <v>46219</v>
      </c>
      <c r="D321" s="62" t="str">
        <f ca="1">CONCATENATE(CALC2223!A320," ",CALC2223!C320," ",CALC2223!E320)</f>
        <v xml:space="preserve">  </v>
      </c>
      <c r="E321" s="62" t="str">
        <f ca="1">CONCATENATE(CALC2223!G320," ",CALC2223!I320," ",CALC2223!K320)</f>
        <v xml:space="preserve">  </v>
      </c>
      <c r="F321" s="62" t="str">
        <f ca="1">CONCATENATE(CALC2223!M320," ",CALC2223!O320," ",CALC2223!Q320)</f>
        <v xml:space="preserve">  </v>
      </c>
      <c r="G321" s="62" t="str">
        <f ca="1">CONCATENATE(CALC2223!S320," ",CALC2223!U320," ",CALC2223!W320)</f>
        <v xml:space="preserve">  </v>
      </c>
      <c r="H321" s="62" t="str">
        <f ca="1">CONCATENATE(CALC2223!Y320," ",CALC2223!AA320," ",CALC2223!AC320)</f>
        <v xml:space="preserve">  </v>
      </c>
      <c r="I321" s="62" t="str">
        <f ca="1">CONCATENATE(CALC2223!AE320," ",CALC2223!AG320," ",CALC2223!AI320)</f>
        <v xml:space="preserve">  </v>
      </c>
      <c r="J321" s="62" t="str">
        <f ca="1">CONCATENATE(CALC2223!AK320," ",CALC2223!AM320," ",CALC2223!AO320)</f>
        <v xml:space="preserve">slot APV; afscheid collega's  </v>
      </c>
      <c r="K321" s="62" t="str">
        <f ca="1">CONCATENATE(CALC2223!AQ320," ",CALC2223!AS320," ",CALC2223!AU320," ",CALC2223!AW320)</f>
        <v xml:space="preserve">promoties/rapporten   </v>
      </c>
      <c r="L321" s="63" t="str">
        <f t="shared" ca="1" si="1"/>
        <v>actueel</v>
      </c>
      <c r="M321" s="1"/>
      <c r="N321" s="4" t="b">
        <f ca="1">OR(VALUE(CALC2223!B320)&gt;VALUE(LASTV),VALUE(CALC2223!D320)&gt;VALUE(LASTV),VALUE(CALC2223!F320)&gt;VALUE(LASTV))</f>
        <v>0</v>
      </c>
      <c r="O321" s="4" t="b">
        <f ca="1">OR(VALUE(CALC2223!H320)&gt;VALUE(LASTV),VALUE(CALC2223!J320)&gt;VALUE(LASTV),VALUE(CALC2223!L320)&gt;VALUE(LASTV))</f>
        <v>0</v>
      </c>
      <c r="P321" s="4" t="b">
        <f ca="1">OR(VALUE(CALC2223!N320)&gt;VALUE(LASTV),VALUE(CALC2223!P320)&gt;VALUE(LASTV),VALUE(CALC2223!R320)&gt;VALUE(LASTV))</f>
        <v>0</v>
      </c>
      <c r="Q321" s="4" t="b">
        <f ca="1">OR(VALUE(CALC2223!T320)&gt;VALUE(LASTV),VALUE(CALC2223!V320)&gt;VALUE(LASTV),VALUE(CALC2223!X320)&gt;VALUE(LASTV))</f>
        <v>0</v>
      </c>
      <c r="R321" s="4" t="b">
        <f ca="1">OR(VALUE(CALC2223!Z320)&gt;VALUE(LASTV),VALUE(CALC2223!AB320)&gt;VALUE(LASTV),VALUE(CALC2223!AD320)&gt;VALUE(LASTV))</f>
        <v>0</v>
      </c>
      <c r="S321" s="4" t="b">
        <f ca="1">OR(VALUE(CALC2223!AF320)&gt;VALUE(LASTV),VALUE(CALC2223!AH320)&gt;VALUE(LASTV),VALUE(CALC2223!AJ320)&gt;VALUE(LASTV))</f>
        <v>0</v>
      </c>
      <c r="T321" s="4" t="b">
        <f ca="1">OR(VALUE(CALC2223!AL320)&gt;VALUE(LASTV),VALUE(CALC2223!AN320)&gt;VALUE(LASTV),VALUE(CALC2223!AP320)&gt;VALUE(LASTV))</f>
        <v>0</v>
      </c>
      <c r="U321" s="4" t="b">
        <f ca="1">OR(VALUE(CALC2223!AR320)&gt;VALUE(LASTV),VALUE(CALC2223!AT320)&gt;VALUE(LASTV),VALUE(CALC2223!AV320)&gt;VALUE(LASTV))</f>
        <v>0</v>
      </c>
      <c r="V321" s="1"/>
    </row>
    <row r="322" spans="1:22" ht="35.25" customHeight="1">
      <c r="A322" s="92"/>
      <c r="B322" s="88" t="s">
        <v>22</v>
      </c>
      <c r="C322" s="89">
        <v>46220</v>
      </c>
      <c r="D322" s="90" t="str">
        <f ca="1">CONCATENATE(CALC2223!A321," ",CALC2223!C321," ",CALC2223!E321)</f>
        <v xml:space="preserve">  </v>
      </c>
      <c r="E322" s="90" t="str">
        <f ca="1">CONCATENATE(CALC2223!G321," ",CALC2223!I321," ",CALC2223!K321)</f>
        <v xml:space="preserve">  </v>
      </c>
      <c r="F322" s="90" t="str">
        <f ca="1">CONCATENATE(CALC2223!M321," ",CALC2223!O321," ",CALC2223!Q321)</f>
        <v xml:space="preserve">  </v>
      </c>
      <c r="G322" s="90" t="str">
        <f ca="1">CONCATENATE(CALC2223!S321," ",CALC2223!U321," ",CALC2223!W321)</f>
        <v xml:space="preserve">  </v>
      </c>
      <c r="H322" s="90" t="str">
        <f ca="1">CONCATENATE(CALC2223!Y321," ",CALC2223!AA321," ",CALC2223!AC321)</f>
        <v xml:space="preserve">  </v>
      </c>
      <c r="I322" s="90" t="str">
        <f ca="1">CONCATENATE(CALC2223!AE321," ",CALC2223!AG321," ",CALC2223!AI321)</f>
        <v xml:space="preserve">  </v>
      </c>
      <c r="J322" s="90" t="str">
        <f ca="1">CONCATENATE(CALC2223!AK321," ",CALC2223!AM321," ",CALC2223!AO321)</f>
        <v xml:space="preserve">reservedag  </v>
      </c>
      <c r="K322" s="90" t="str">
        <f ca="1">CONCATENATE(CALC2223!AQ321," ",CALC2223!AS321," ",CALC2223!AU321," ",CALC2223!AW321)</f>
        <v xml:space="preserve">   </v>
      </c>
      <c r="L322" s="91" t="str">
        <f t="shared" ca="1" si="1"/>
        <v>actueel</v>
      </c>
      <c r="M322" s="1"/>
      <c r="N322" s="4" t="b">
        <f ca="1">OR(VALUE(CALC2223!B321)&gt;VALUE(LASTV),VALUE(CALC2223!D321)&gt;VALUE(LASTV),VALUE(CALC2223!F321)&gt;VALUE(LASTV))</f>
        <v>0</v>
      </c>
      <c r="O322" s="4" t="b">
        <f ca="1">OR(VALUE(CALC2223!H321)&gt;VALUE(LASTV),VALUE(CALC2223!J321)&gt;VALUE(LASTV),VALUE(CALC2223!L321)&gt;VALUE(LASTV))</f>
        <v>0</v>
      </c>
      <c r="P322" s="4" t="b">
        <f ca="1">OR(VALUE(CALC2223!N321)&gt;VALUE(LASTV),VALUE(CALC2223!P321)&gt;VALUE(LASTV),VALUE(CALC2223!R321)&gt;VALUE(LASTV))</f>
        <v>0</v>
      </c>
      <c r="Q322" s="4" t="b">
        <f ca="1">OR(VALUE(CALC2223!T321)&gt;VALUE(LASTV),VALUE(CALC2223!V321)&gt;VALUE(LASTV),VALUE(CALC2223!X321)&gt;VALUE(LASTV))</f>
        <v>0</v>
      </c>
      <c r="R322" s="4" t="b">
        <f ca="1">OR(VALUE(CALC2223!Z321)&gt;VALUE(LASTV),VALUE(CALC2223!AB321)&gt;VALUE(LASTV),VALUE(CALC2223!AD321)&gt;VALUE(LASTV))</f>
        <v>0</v>
      </c>
      <c r="S322" s="4" t="b">
        <f ca="1">OR(VALUE(CALC2223!AF321)&gt;VALUE(LASTV),VALUE(CALC2223!AH321)&gt;VALUE(LASTV),VALUE(CALC2223!AJ321)&gt;VALUE(LASTV))</f>
        <v>0</v>
      </c>
      <c r="T322" s="4" t="b">
        <f ca="1">OR(VALUE(CALC2223!AL321)&gt;VALUE(LASTV),VALUE(CALC2223!AN321)&gt;VALUE(LASTV),VALUE(CALC2223!AP321)&gt;VALUE(LASTV))</f>
        <v>0</v>
      </c>
      <c r="U322" s="4" t="b">
        <f ca="1">OR(VALUE(CALC2223!AR321)&gt;VALUE(LASTV),VALUE(CALC2223!AT321)&gt;VALUE(LASTV),VALUE(CALC2223!AV321)&gt;VALUE(LASTV))</f>
        <v>0</v>
      </c>
      <c r="V322" s="1"/>
    </row>
    <row r="323" spans="1:22" ht="20.25" customHeight="1">
      <c r="A323" s="45"/>
      <c r="B323" s="46" t="s">
        <v>23</v>
      </c>
      <c r="C323" s="47">
        <v>46221</v>
      </c>
      <c r="D323" s="48" t="str">
        <f ca="1">CONCATENATE(CALC2223!A322," ",CALC2223!C322," ",CALC2223!E322)</f>
        <v xml:space="preserve">  </v>
      </c>
      <c r="E323" s="48" t="str">
        <f ca="1">CONCATENATE(CALC2223!G322," ",CALC2223!I322," ",CALC2223!K322)</f>
        <v xml:space="preserve">  </v>
      </c>
      <c r="F323" s="48" t="str">
        <f ca="1">CONCATENATE(CALC2223!M322," ",CALC2223!O322," ",CALC2223!Q322)</f>
        <v xml:space="preserve">  </v>
      </c>
      <c r="G323" s="48" t="str">
        <f ca="1">CONCATENATE(CALC2223!S322," ",CALC2223!U322," ",CALC2223!W322)</f>
        <v xml:space="preserve">  </v>
      </c>
      <c r="H323" s="48" t="str">
        <f ca="1">CONCATENATE(CALC2223!Y322," ",CALC2223!AA322," ",CALC2223!AC322)</f>
        <v xml:space="preserve">  </v>
      </c>
      <c r="I323" s="48" t="str">
        <f ca="1">CONCATENATE(CALC2223!AE322," ",CALC2223!AG322," ",CALC2223!AI322)</f>
        <v xml:space="preserve">  </v>
      </c>
      <c r="J323" s="48" t="str">
        <f ca="1">CONCATENATE(CALC2223!AK322," ",CALC2223!AM322," ",CALC2223!AO322)</f>
        <v xml:space="preserve">  </v>
      </c>
      <c r="K323" s="48" t="str">
        <f ca="1">CONCATENATE(CALC2223!AQ322," ",CALC2223!AS322," ",CALC2223!AU322," ",CALC2223!AW322)</f>
        <v xml:space="preserve">zomervakantie   </v>
      </c>
      <c r="L323" s="49" t="str">
        <f t="shared" ca="1" si="1"/>
        <v>actueel</v>
      </c>
      <c r="M323" s="1"/>
      <c r="N323" s="4" t="b">
        <f ca="1">OR(VALUE(CALC2223!B322)&gt;VALUE(LASTV),VALUE(CALC2223!D322)&gt;VALUE(LASTV),VALUE(CALC2223!F322)&gt;VALUE(LASTV))</f>
        <v>0</v>
      </c>
      <c r="O323" s="4" t="b">
        <f ca="1">OR(VALUE(CALC2223!H322)&gt;VALUE(LASTV),VALUE(CALC2223!J322)&gt;VALUE(LASTV),VALUE(CALC2223!L322)&gt;VALUE(LASTV))</f>
        <v>0</v>
      </c>
      <c r="P323" s="4" t="b">
        <f ca="1">OR(VALUE(CALC2223!N322)&gt;VALUE(LASTV),VALUE(CALC2223!P322)&gt;VALUE(LASTV),VALUE(CALC2223!R322)&gt;VALUE(LASTV))</f>
        <v>0</v>
      </c>
      <c r="Q323" s="4" t="b">
        <f ca="1">OR(VALUE(CALC2223!T322)&gt;VALUE(LASTV),VALUE(CALC2223!V322)&gt;VALUE(LASTV),VALUE(CALC2223!X322)&gt;VALUE(LASTV))</f>
        <v>0</v>
      </c>
      <c r="R323" s="4" t="b">
        <f ca="1">OR(VALUE(CALC2223!Z322)&gt;VALUE(LASTV),VALUE(CALC2223!AB322)&gt;VALUE(LASTV),VALUE(CALC2223!AD322)&gt;VALUE(LASTV))</f>
        <v>0</v>
      </c>
      <c r="S323" s="4" t="b">
        <f ca="1">OR(VALUE(CALC2223!AF322)&gt;VALUE(LASTV),VALUE(CALC2223!AH322)&gt;VALUE(LASTV),VALUE(CALC2223!AJ322)&gt;VALUE(LASTV))</f>
        <v>0</v>
      </c>
      <c r="T323" s="4" t="b">
        <f ca="1">OR(VALUE(CALC2223!AL322)&gt;VALUE(LASTV),VALUE(CALC2223!AN322)&gt;VALUE(LASTV),VALUE(CALC2223!AP322)&gt;VALUE(LASTV))</f>
        <v>0</v>
      </c>
      <c r="U323" s="4" t="b">
        <f ca="1">OR(VALUE(CALC2223!AR322)&gt;VALUE(LASTV),VALUE(CALC2223!AT322)&gt;VALUE(LASTV),VALUE(CALC2223!AV322)&gt;VALUE(LASTV))</f>
        <v>0</v>
      </c>
      <c r="V323" s="1"/>
    </row>
    <row r="324" spans="1:22" ht="20.25" customHeight="1">
      <c r="A324" s="45"/>
      <c r="B324" s="46" t="s">
        <v>24</v>
      </c>
      <c r="C324" s="47">
        <v>46222</v>
      </c>
      <c r="D324" s="48" t="str">
        <f ca="1">CONCATENATE(CALC2223!A323," ",CALC2223!C323," ",CALC2223!E323)</f>
        <v xml:space="preserve">  </v>
      </c>
      <c r="E324" s="48" t="str">
        <f ca="1">CONCATENATE(CALC2223!G323," ",CALC2223!I323," ",CALC2223!K323)</f>
        <v xml:space="preserve">  </v>
      </c>
      <c r="F324" s="48" t="str">
        <f ca="1">CONCATENATE(CALC2223!M323," ",CALC2223!O323," ",CALC2223!Q323)</f>
        <v xml:space="preserve">  </v>
      </c>
      <c r="G324" s="48" t="str">
        <f ca="1">CONCATENATE(CALC2223!S323," ",CALC2223!U323," ",CALC2223!W323)</f>
        <v xml:space="preserve">  </v>
      </c>
      <c r="H324" s="48" t="str">
        <f ca="1">CONCATENATE(CALC2223!Y323," ",CALC2223!AA323," ",CALC2223!AC323)</f>
        <v xml:space="preserve">  </v>
      </c>
      <c r="I324" s="48" t="str">
        <f ca="1">CONCATENATE(CALC2223!AE323," ",CALC2223!AG323," ",CALC2223!AI323)</f>
        <v xml:space="preserve">  </v>
      </c>
      <c r="J324" s="48" t="str">
        <f ca="1">CONCATENATE(CALC2223!AK323," ",CALC2223!AM323," ",CALC2223!AO323)</f>
        <v xml:space="preserve">  </v>
      </c>
      <c r="K324" s="48" t="str">
        <f ca="1">CONCATENATE(CALC2223!AQ323," ",CALC2223!AS323," ",CALC2223!AU323," ",CALC2223!AW323)</f>
        <v xml:space="preserve">   </v>
      </c>
      <c r="L324" s="49" t="str">
        <f t="shared" ca="1" si="1"/>
        <v>actueel</v>
      </c>
      <c r="M324" s="1"/>
      <c r="N324" s="4" t="b">
        <f ca="1">OR(VALUE(CALC2223!B323)&gt;VALUE(LASTV),VALUE(CALC2223!D323)&gt;VALUE(LASTV),VALUE(CALC2223!F323)&gt;VALUE(LASTV))</f>
        <v>0</v>
      </c>
      <c r="O324" s="4" t="b">
        <f ca="1">OR(VALUE(CALC2223!H323)&gt;VALUE(LASTV),VALUE(CALC2223!J323)&gt;VALUE(LASTV),VALUE(CALC2223!L323)&gt;VALUE(LASTV))</f>
        <v>0</v>
      </c>
      <c r="P324" s="4" t="b">
        <f ca="1">OR(VALUE(CALC2223!N323)&gt;VALUE(LASTV),VALUE(CALC2223!P323)&gt;VALUE(LASTV),VALUE(CALC2223!R323)&gt;VALUE(LASTV))</f>
        <v>0</v>
      </c>
      <c r="Q324" s="4" t="b">
        <f ca="1">OR(VALUE(CALC2223!T323)&gt;VALUE(LASTV),VALUE(CALC2223!V323)&gt;VALUE(LASTV),VALUE(CALC2223!X323)&gt;VALUE(LASTV))</f>
        <v>0</v>
      </c>
      <c r="R324" s="4" t="b">
        <f ca="1">OR(VALUE(CALC2223!Z323)&gt;VALUE(LASTV),VALUE(CALC2223!AB323)&gt;VALUE(LASTV),VALUE(CALC2223!AD323)&gt;VALUE(LASTV))</f>
        <v>0</v>
      </c>
      <c r="S324" s="4" t="b">
        <f ca="1">OR(VALUE(CALC2223!AF323)&gt;VALUE(LASTV),VALUE(CALC2223!AH323)&gt;VALUE(LASTV),VALUE(CALC2223!AJ323)&gt;VALUE(LASTV))</f>
        <v>0</v>
      </c>
      <c r="T324" s="4" t="b">
        <f ca="1">OR(VALUE(CALC2223!AL323)&gt;VALUE(LASTV),VALUE(CALC2223!AN323)&gt;VALUE(LASTV),VALUE(CALC2223!AP323)&gt;VALUE(LASTV))</f>
        <v>0</v>
      </c>
      <c r="U324" s="4" t="b">
        <f ca="1">OR(VALUE(CALC2223!AR323)&gt;VALUE(LASTV),VALUE(CALC2223!AT323)&gt;VALUE(LASTV),VALUE(CALC2223!AV323)&gt;VALUE(LASTV))</f>
        <v>0</v>
      </c>
      <c r="V324" s="1"/>
    </row>
    <row r="325" spans="1:22" ht="20.25" customHeight="1">
      <c r="A325" s="69">
        <v>30</v>
      </c>
      <c r="B325" s="70" t="s">
        <v>18</v>
      </c>
      <c r="C325" s="71">
        <v>46223</v>
      </c>
      <c r="D325" s="72" t="str">
        <f ca="1">CONCATENATE(CALC2223!A324," ",CALC2223!C324," ",CALC2223!E324)</f>
        <v xml:space="preserve">  </v>
      </c>
      <c r="E325" s="72" t="str">
        <f ca="1">CONCATENATE(CALC2223!G324," ",CALC2223!I324," ",CALC2223!K324)</f>
        <v xml:space="preserve">  </v>
      </c>
      <c r="F325" s="72" t="str">
        <f ca="1">CONCATENATE(CALC2223!M324," ",CALC2223!O324," ",CALC2223!Q324)</f>
        <v xml:space="preserve">  </v>
      </c>
      <c r="G325" s="72" t="str">
        <f ca="1">CONCATENATE(CALC2223!S324," ",CALC2223!U324," ",CALC2223!W324)</f>
        <v xml:space="preserve">  </v>
      </c>
      <c r="H325" s="72" t="str">
        <f ca="1">CONCATENATE(CALC2223!Y324," ",CALC2223!AA324," ",CALC2223!AC324)</f>
        <v xml:space="preserve">  </v>
      </c>
      <c r="I325" s="72" t="str">
        <f ca="1">CONCATENATE(CALC2223!AE324," ",CALC2223!AG324," ",CALC2223!AI324)</f>
        <v xml:space="preserve">  </v>
      </c>
      <c r="J325" s="72" t="str">
        <f ca="1">CONCATENATE(CALC2223!AK324," ",CALC2223!AM324," ",CALC2223!AO324)</f>
        <v xml:space="preserve">  </v>
      </c>
      <c r="K325" s="72" t="str">
        <f ca="1">CONCATENATE(CALC2223!AQ324," ",CALC2223!AS324," ",CALC2223!AU324," ",CALC2223!AW324)</f>
        <v xml:space="preserve">   Zomervakantie   </v>
      </c>
      <c r="L325" s="73" t="str">
        <f t="shared" ca="1" si="1"/>
        <v>actueel</v>
      </c>
      <c r="M325" s="1"/>
      <c r="N325" s="4" t="b">
        <f ca="1">OR(VALUE(CALC2223!B324)&gt;VALUE(LASTV),VALUE(CALC2223!D324)&gt;VALUE(LASTV),VALUE(CALC2223!F324)&gt;VALUE(LASTV))</f>
        <v>0</v>
      </c>
      <c r="O325" s="4" t="b">
        <f ca="1">OR(VALUE(CALC2223!H324)&gt;VALUE(LASTV),VALUE(CALC2223!J324)&gt;VALUE(LASTV),VALUE(CALC2223!L324)&gt;VALUE(LASTV))</f>
        <v>0</v>
      </c>
      <c r="P325" s="4" t="b">
        <f ca="1">OR(VALUE(CALC2223!N324)&gt;VALUE(LASTV),VALUE(CALC2223!P324)&gt;VALUE(LASTV),VALUE(CALC2223!R324)&gt;VALUE(LASTV))</f>
        <v>0</v>
      </c>
      <c r="Q325" s="4" t="b">
        <f ca="1">OR(VALUE(CALC2223!T324)&gt;VALUE(LASTV),VALUE(CALC2223!V324)&gt;VALUE(LASTV),VALUE(CALC2223!X324)&gt;VALUE(LASTV))</f>
        <v>0</v>
      </c>
      <c r="R325" s="4" t="b">
        <f ca="1">OR(VALUE(CALC2223!Z324)&gt;VALUE(LASTV),VALUE(CALC2223!AB324)&gt;VALUE(LASTV),VALUE(CALC2223!AD324)&gt;VALUE(LASTV))</f>
        <v>0</v>
      </c>
      <c r="S325" s="4" t="b">
        <f ca="1">OR(VALUE(CALC2223!AF324)&gt;VALUE(LASTV),VALUE(CALC2223!AH324)&gt;VALUE(LASTV),VALUE(CALC2223!AJ324)&gt;VALUE(LASTV))</f>
        <v>0</v>
      </c>
      <c r="T325" s="4" t="b">
        <f ca="1">OR(VALUE(CALC2223!AL324)&gt;VALUE(LASTV),VALUE(CALC2223!AN324)&gt;VALUE(LASTV),VALUE(CALC2223!AP324)&gt;VALUE(LASTV))</f>
        <v>0</v>
      </c>
      <c r="U325" s="4" t="b">
        <f ca="1">OR(VALUE(CALC2223!AR324)&gt;VALUE(LASTV),VALUE(CALC2223!AT324)&gt;VALUE(LASTV),VALUE(CALC2223!AV324)&gt;VALUE(LASTV))</f>
        <v>0</v>
      </c>
      <c r="V325" s="1"/>
    </row>
    <row r="326" spans="1:22" ht="20.25" customHeight="1">
      <c r="A326" s="74"/>
      <c r="B326" s="70" t="s">
        <v>19</v>
      </c>
      <c r="C326" s="71">
        <v>46224</v>
      </c>
      <c r="D326" s="72" t="str">
        <f ca="1">CONCATENATE(CALC2223!A325," ",CALC2223!C325," ",CALC2223!E325)</f>
        <v xml:space="preserve">  </v>
      </c>
      <c r="E326" s="72" t="str">
        <f ca="1">CONCATENATE(CALC2223!G325," ",CALC2223!I325," ",CALC2223!K325)</f>
        <v xml:space="preserve">  </v>
      </c>
      <c r="F326" s="72" t="str">
        <f ca="1">CONCATENATE(CALC2223!M325," ",CALC2223!O325," ",CALC2223!Q325)</f>
        <v xml:space="preserve">  </v>
      </c>
      <c r="G326" s="72" t="str">
        <f ca="1">CONCATENATE(CALC2223!S325," ",CALC2223!U325," ",CALC2223!W325)</f>
        <v xml:space="preserve">  </v>
      </c>
      <c r="H326" s="72" t="str">
        <f ca="1">CONCATENATE(CALC2223!Y325," ",CALC2223!AA325," ",CALC2223!AC325)</f>
        <v xml:space="preserve">  </v>
      </c>
      <c r="I326" s="72" t="str">
        <f ca="1">CONCATENATE(CALC2223!AE325," ",CALC2223!AG325," ",CALC2223!AI325)</f>
        <v xml:space="preserve">  </v>
      </c>
      <c r="J326" s="72" t="str">
        <f ca="1">CONCATENATE(CALC2223!AK325," ",CALC2223!AM325," ",CALC2223!AO325)</f>
        <v xml:space="preserve">  </v>
      </c>
      <c r="K326" s="72" t="str">
        <f ca="1">CONCATENATE(CALC2223!AQ325," ",CALC2223!AS325," ",CALC2223!AU325," ",CALC2223!AW325)</f>
        <v xml:space="preserve">   </v>
      </c>
      <c r="L326" s="73" t="str">
        <f t="shared" ca="1" si="1"/>
        <v>actueel</v>
      </c>
      <c r="M326" s="1"/>
      <c r="N326" s="4" t="b">
        <f ca="1">OR(VALUE(CALC2223!B325)&gt;VALUE(LASTV),VALUE(CALC2223!D325)&gt;VALUE(LASTV),VALUE(CALC2223!F325)&gt;VALUE(LASTV))</f>
        <v>0</v>
      </c>
      <c r="O326" s="4" t="b">
        <f ca="1">OR(VALUE(CALC2223!H325)&gt;VALUE(LASTV),VALUE(CALC2223!J325)&gt;VALUE(LASTV),VALUE(CALC2223!L325)&gt;VALUE(LASTV))</f>
        <v>0</v>
      </c>
      <c r="P326" s="4" t="b">
        <f ca="1">OR(VALUE(CALC2223!N325)&gt;VALUE(LASTV),VALUE(CALC2223!P325)&gt;VALUE(LASTV),VALUE(CALC2223!R325)&gt;VALUE(LASTV))</f>
        <v>0</v>
      </c>
      <c r="Q326" s="4" t="b">
        <f ca="1">OR(VALUE(CALC2223!T325)&gt;VALUE(LASTV),VALUE(CALC2223!V325)&gt;VALUE(LASTV),VALUE(CALC2223!X325)&gt;VALUE(LASTV))</f>
        <v>0</v>
      </c>
      <c r="R326" s="4" t="b">
        <f ca="1">OR(VALUE(CALC2223!Z325)&gt;VALUE(LASTV),VALUE(CALC2223!AB325)&gt;VALUE(LASTV),VALUE(CALC2223!AD325)&gt;VALUE(LASTV))</f>
        <v>0</v>
      </c>
      <c r="S326" s="4" t="b">
        <f ca="1">OR(VALUE(CALC2223!AF325)&gt;VALUE(LASTV),VALUE(CALC2223!AH325)&gt;VALUE(LASTV),VALUE(CALC2223!AJ325)&gt;VALUE(LASTV))</f>
        <v>0</v>
      </c>
      <c r="T326" s="4" t="b">
        <f ca="1">OR(VALUE(CALC2223!AL325)&gt;VALUE(LASTV),VALUE(CALC2223!AN325)&gt;VALUE(LASTV),VALUE(CALC2223!AP325)&gt;VALUE(LASTV))</f>
        <v>0</v>
      </c>
      <c r="U326" s="4" t="b">
        <f ca="1">OR(VALUE(CALC2223!AR325)&gt;VALUE(LASTV),VALUE(CALC2223!AT325)&gt;VALUE(LASTV),VALUE(CALC2223!AV325)&gt;VALUE(LASTV))</f>
        <v>0</v>
      </c>
      <c r="V326" s="1"/>
    </row>
    <row r="327" spans="1:22" ht="20.25" customHeight="1">
      <c r="A327" s="74"/>
      <c r="B327" s="70" t="s">
        <v>20</v>
      </c>
      <c r="C327" s="71">
        <v>46225</v>
      </c>
      <c r="D327" s="72" t="str">
        <f ca="1">CONCATENATE(CALC2223!A326," ",CALC2223!C326," ",CALC2223!E326)</f>
        <v xml:space="preserve">  </v>
      </c>
      <c r="E327" s="72" t="str">
        <f ca="1">CONCATENATE(CALC2223!G326," ",CALC2223!I326," ",CALC2223!K326)</f>
        <v xml:space="preserve">  </v>
      </c>
      <c r="F327" s="72" t="str">
        <f ca="1">CONCATENATE(CALC2223!M326," ",CALC2223!O326," ",CALC2223!Q326)</f>
        <v xml:space="preserve">  </v>
      </c>
      <c r="G327" s="72" t="str">
        <f ca="1">CONCATENATE(CALC2223!S326," ",CALC2223!U326," ",CALC2223!W326)</f>
        <v xml:space="preserve">  </v>
      </c>
      <c r="H327" s="72" t="str">
        <f ca="1">CONCATENATE(CALC2223!Y326," ",CALC2223!AA326," ",CALC2223!AC326)</f>
        <v xml:space="preserve">  </v>
      </c>
      <c r="I327" s="72" t="str">
        <f ca="1">CONCATENATE(CALC2223!AE326," ",CALC2223!AG326," ",CALC2223!AI326)</f>
        <v xml:space="preserve">  </v>
      </c>
      <c r="J327" s="72" t="str">
        <f ca="1">CONCATENATE(CALC2223!AK326," ",CALC2223!AM326," ",CALC2223!AO326)</f>
        <v xml:space="preserve">  </v>
      </c>
      <c r="K327" s="72" t="str">
        <f ca="1">CONCATENATE(CALC2223!AQ326," ",CALC2223!AS326," ",CALC2223!AU326," ",CALC2223!AW326)</f>
        <v xml:space="preserve">   </v>
      </c>
      <c r="L327" s="73" t="str">
        <f t="shared" ca="1" si="1"/>
        <v>actueel</v>
      </c>
      <c r="M327" s="1"/>
      <c r="N327" s="4" t="b">
        <f ca="1">OR(VALUE(CALC2223!B326)&gt;VALUE(LASTV),VALUE(CALC2223!D326)&gt;VALUE(LASTV),VALUE(CALC2223!F326)&gt;VALUE(LASTV))</f>
        <v>0</v>
      </c>
      <c r="O327" s="4" t="b">
        <f ca="1">OR(VALUE(CALC2223!H326)&gt;VALUE(LASTV),VALUE(CALC2223!J326)&gt;VALUE(LASTV),VALUE(CALC2223!L326)&gt;VALUE(LASTV))</f>
        <v>0</v>
      </c>
      <c r="P327" s="4" t="b">
        <f ca="1">OR(VALUE(CALC2223!N326)&gt;VALUE(LASTV),VALUE(CALC2223!P326)&gt;VALUE(LASTV),VALUE(CALC2223!R326)&gt;VALUE(LASTV))</f>
        <v>0</v>
      </c>
      <c r="Q327" s="4" t="b">
        <f ca="1">OR(VALUE(CALC2223!T326)&gt;VALUE(LASTV),VALUE(CALC2223!V326)&gt;VALUE(LASTV),VALUE(CALC2223!X326)&gt;VALUE(LASTV))</f>
        <v>0</v>
      </c>
      <c r="R327" s="4" t="b">
        <f ca="1">OR(VALUE(CALC2223!Z326)&gt;VALUE(LASTV),VALUE(CALC2223!AB326)&gt;VALUE(LASTV),VALUE(CALC2223!AD326)&gt;VALUE(LASTV))</f>
        <v>0</v>
      </c>
      <c r="S327" s="4" t="b">
        <f ca="1">OR(VALUE(CALC2223!AF326)&gt;VALUE(LASTV),VALUE(CALC2223!AH326)&gt;VALUE(LASTV),VALUE(CALC2223!AJ326)&gt;VALUE(LASTV))</f>
        <v>0</v>
      </c>
      <c r="T327" s="4" t="b">
        <f ca="1">OR(VALUE(CALC2223!AL326)&gt;VALUE(LASTV),VALUE(CALC2223!AN326)&gt;VALUE(LASTV),VALUE(CALC2223!AP326)&gt;VALUE(LASTV))</f>
        <v>0</v>
      </c>
      <c r="U327" s="4" t="b">
        <f ca="1">OR(VALUE(CALC2223!AR326)&gt;VALUE(LASTV),VALUE(CALC2223!AT326)&gt;VALUE(LASTV),VALUE(CALC2223!AV326)&gt;VALUE(LASTV))</f>
        <v>0</v>
      </c>
      <c r="V327" s="1"/>
    </row>
    <row r="328" spans="1:22" ht="20.25" customHeight="1">
      <c r="A328" s="74"/>
      <c r="B328" s="70" t="s">
        <v>21</v>
      </c>
      <c r="C328" s="71">
        <v>46226</v>
      </c>
      <c r="D328" s="72" t="str">
        <f ca="1">CONCATENATE(CALC2223!A327," ",CALC2223!C327," ",CALC2223!E327)</f>
        <v xml:space="preserve">  </v>
      </c>
      <c r="E328" s="72" t="str">
        <f ca="1">CONCATENATE(CALC2223!G327," ",CALC2223!I327," ",CALC2223!K327)</f>
        <v xml:space="preserve">  </v>
      </c>
      <c r="F328" s="72" t="str">
        <f ca="1">CONCATENATE(CALC2223!M327," ",CALC2223!O327," ",CALC2223!Q327)</f>
        <v xml:space="preserve">  </v>
      </c>
      <c r="G328" s="72" t="str">
        <f ca="1">CONCATENATE(CALC2223!S327," ",CALC2223!U327," ",CALC2223!W327)</f>
        <v xml:space="preserve">  </v>
      </c>
      <c r="H328" s="72" t="str">
        <f ca="1">CONCATENATE(CALC2223!Y327," ",CALC2223!AA327," ",CALC2223!AC327)</f>
        <v xml:space="preserve">  </v>
      </c>
      <c r="I328" s="72" t="str">
        <f ca="1">CONCATENATE(CALC2223!AE327," ",CALC2223!AG327," ",CALC2223!AI327)</f>
        <v xml:space="preserve">  </v>
      </c>
      <c r="J328" s="72" t="str">
        <f ca="1">CONCATENATE(CALC2223!AK327," ",CALC2223!AM327," ",CALC2223!AO327)</f>
        <v xml:space="preserve">  </v>
      </c>
      <c r="K328" s="72" t="str">
        <f ca="1">CONCATENATE(CALC2223!AQ327," ",CALC2223!AS327," ",CALC2223!AU327," ",CALC2223!AW327)</f>
        <v xml:space="preserve">   </v>
      </c>
      <c r="L328" s="73" t="str">
        <f t="shared" ca="1" si="1"/>
        <v>actueel</v>
      </c>
      <c r="M328" s="1"/>
      <c r="N328" s="4" t="b">
        <f ca="1">OR(VALUE(CALC2223!B327)&gt;VALUE(LASTV),VALUE(CALC2223!D327)&gt;VALUE(LASTV),VALUE(CALC2223!F327)&gt;VALUE(LASTV))</f>
        <v>0</v>
      </c>
      <c r="O328" s="4" t="b">
        <f ca="1">OR(VALUE(CALC2223!H327)&gt;VALUE(LASTV),VALUE(CALC2223!J327)&gt;VALUE(LASTV),VALUE(CALC2223!L327)&gt;VALUE(LASTV))</f>
        <v>0</v>
      </c>
      <c r="P328" s="4" t="b">
        <f ca="1">OR(VALUE(CALC2223!N327)&gt;VALUE(LASTV),VALUE(CALC2223!P327)&gt;VALUE(LASTV),VALUE(CALC2223!R327)&gt;VALUE(LASTV))</f>
        <v>0</v>
      </c>
      <c r="Q328" s="4" t="b">
        <f ca="1">OR(VALUE(CALC2223!T327)&gt;VALUE(LASTV),VALUE(CALC2223!V327)&gt;VALUE(LASTV),VALUE(CALC2223!X327)&gt;VALUE(LASTV))</f>
        <v>0</v>
      </c>
      <c r="R328" s="4" t="b">
        <f ca="1">OR(VALUE(CALC2223!Z327)&gt;VALUE(LASTV),VALUE(CALC2223!AB327)&gt;VALUE(LASTV),VALUE(CALC2223!AD327)&gt;VALUE(LASTV))</f>
        <v>0</v>
      </c>
      <c r="S328" s="4" t="b">
        <f ca="1">OR(VALUE(CALC2223!AF327)&gt;VALUE(LASTV),VALUE(CALC2223!AH327)&gt;VALUE(LASTV),VALUE(CALC2223!AJ327)&gt;VALUE(LASTV))</f>
        <v>0</v>
      </c>
      <c r="T328" s="4" t="b">
        <f ca="1">OR(VALUE(CALC2223!AL327)&gt;VALUE(LASTV),VALUE(CALC2223!AN327)&gt;VALUE(LASTV),VALUE(CALC2223!AP327)&gt;VALUE(LASTV))</f>
        <v>0</v>
      </c>
      <c r="U328" s="4" t="b">
        <f ca="1">OR(VALUE(CALC2223!AR327)&gt;VALUE(LASTV),VALUE(CALC2223!AT327)&gt;VALUE(LASTV),VALUE(CALC2223!AV327)&gt;VALUE(LASTV))</f>
        <v>0</v>
      </c>
      <c r="V328" s="1"/>
    </row>
    <row r="329" spans="1:22" ht="20.25" customHeight="1">
      <c r="A329" s="74"/>
      <c r="B329" s="70" t="s">
        <v>22</v>
      </c>
      <c r="C329" s="71">
        <v>46227</v>
      </c>
      <c r="D329" s="72" t="str">
        <f ca="1">CONCATENATE(CALC2223!A328," ",CALC2223!C328," ",CALC2223!E328)</f>
        <v xml:space="preserve">  </v>
      </c>
      <c r="E329" s="72" t="str">
        <f ca="1">CONCATENATE(CALC2223!G328," ",CALC2223!I328," ",CALC2223!K328)</f>
        <v xml:space="preserve">  </v>
      </c>
      <c r="F329" s="72" t="str">
        <f ca="1">CONCATENATE(CALC2223!M328," ",CALC2223!O328," ",CALC2223!Q328)</f>
        <v xml:space="preserve">  </v>
      </c>
      <c r="G329" s="72" t="str">
        <f ca="1">CONCATENATE(CALC2223!S328," ",CALC2223!U328," ",CALC2223!W328)</f>
        <v xml:space="preserve">  </v>
      </c>
      <c r="H329" s="72" t="str">
        <f ca="1">CONCATENATE(CALC2223!Y328," ",CALC2223!AA328," ",CALC2223!AC328)</f>
        <v xml:space="preserve">  </v>
      </c>
      <c r="I329" s="72" t="str">
        <f ca="1">CONCATENATE(CALC2223!AE328," ",CALC2223!AG328," ",CALC2223!AI328)</f>
        <v xml:space="preserve">  </v>
      </c>
      <c r="J329" s="72" t="str">
        <f ca="1">CONCATENATE(CALC2223!AK328," ",CALC2223!AM328," ",CALC2223!AO328)</f>
        <v xml:space="preserve">  </v>
      </c>
      <c r="K329" s="72" t="str">
        <f ca="1">CONCATENATE(CALC2223!AQ328," ",CALC2223!AS328," ",CALC2223!AU328," ",CALC2223!AW328)</f>
        <v xml:space="preserve">   </v>
      </c>
      <c r="L329" s="73" t="str">
        <f t="shared" ca="1" si="1"/>
        <v>actueel</v>
      </c>
      <c r="M329" s="1"/>
      <c r="N329" s="4" t="b">
        <f ca="1">OR(VALUE(CALC2223!B328)&gt;VALUE(LASTV),VALUE(CALC2223!D328)&gt;VALUE(LASTV),VALUE(CALC2223!F328)&gt;VALUE(LASTV))</f>
        <v>0</v>
      </c>
      <c r="O329" s="4" t="b">
        <f ca="1">OR(VALUE(CALC2223!H328)&gt;VALUE(LASTV),VALUE(CALC2223!J328)&gt;VALUE(LASTV),VALUE(CALC2223!L328)&gt;VALUE(LASTV))</f>
        <v>0</v>
      </c>
      <c r="P329" s="4" t="b">
        <f ca="1">OR(VALUE(CALC2223!N328)&gt;VALUE(LASTV),VALUE(CALC2223!P328)&gt;VALUE(LASTV),VALUE(CALC2223!R328)&gt;VALUE(LASTV))</f>
        <v>0</v>
      </c>
      <c r="Q329" s="4" t="b">
        <f ca="1">OR(VALUE(CALC2223!T328)&gt;VALUE(LASTV),VALUE(CALC2223!V328)&gt;VALUE(LASTV),VALUE(CALC2223!X328)&gt;VALUE(LASTV))</f>
        <v>0</v>
      </c>
      <c r="R329" s="4" t="b">
        <f ca="1">OR(VALUE(CALC2223!Z328)&gt;VALUE(LASTV),VALUE(CALC2223!AB328)&gt;VALUE(LASTV),VALUE(CALC2223!AD328)&gt;VALUE(LASTV))</f>
        <v>0</v>
      </c>
      <c r="S329" s="4" t="b">
        <f ca="1">OR(VALUE(CALC2223!AF328)&gt;VALUE(LASTV),VALUE(CALC2223!AH328)&gt;VALUE(LASTV),VALUE(CALC2223!AJ328)&gt;VALUE(LASTV))</f>
        <v>0</v>
      </c>
      <c r="T329" s="4" t="b">
        <f ca="1">OR(VALUE(CALC2223!AL328)&gt;VALUE(LASTV),VALUE(CALC2223!AN328)&gt;VALUE(LASTV),VALUE(CALC2223!AP328)&gt;VALUE(LASTV))</f>
        <v>0</v>
      </c>
      <c r="U329" s="4" t="b">
        <f ca="1">OR(VALUE(CALC2223!AR328)&gt;VALUE(LASTV),VALUE(CALC2223!AT328)&gt;VALUE(LASTV),VALUE(CALC2223!AV328)&gt;VALUE(LASTV))</f>
        <v>0</v>
      </c>
      <c r="V329" s="1"/>
    </row>
    <row r="330" spans="1:22" ht="20.25" customHeight="1">
      <c r="A330" s="45"/>
      <c r="B330" s="46" t="s">
        <v>23</v>
      </c>
      <c r="C330" s="82">
        <v>46228</v>
      </c>
      <c r="D330" s="83" t="str">
        <f ca="1">CONCATENATE(CALC2223!A329," ",CALC2223!C329," ",CALC2223!E329)</f>
        <v xml:space="preserve">  </v>
      </c>
      <c r="E330" s="83" t="str">
        <f ca="1">CONCATENATE(CALC2223!G329," ",CALC2223!I329," ",CALC2223!K329)</f>
        <v xml:space="preserve">  </v>
      </c>
      <c r="F330" s="83" t="str">
        <f ca="1">CONCATENATE(CALC2223!M329," ",CALC2223!O329," ",CALC2223!Q329)</f>
        <v xml:space="preserve">  </v>
      </c>
      <c r="G330" s="83" t="str">
        <f ca="1">CONCATENATE(CALC2223!S329," ",CALC2223!U329," ",CALC2223!W329)</f>
        <v xml:space="preserve">  </v>
      </c>
      <c r="H330" s="83" t="str">
        <f ca="1">CONCATENATE(CALC2223!Y329," ",CALC2223!AA329," ",CALC2223!AC329)</f>
        <v xml:space="preserve">  </v>
      </c>
      <c r="I330" s="83" t="str">
        <f ca="1">CONCATENATE(CALC2223!AE329," ",CALC2223!AG329," ",CALC2223!AI329)</f>
        <v xml:space="preserve">  </v>
      </c>
      <c r="J330" s="83" t="str">
        <f ca="1">CONCATENATE(CALC2223!AK329," ",CALC2223!AM329," ",CALC2223!AO329)</f>
        <v xml:space="preserve">  </v>
      </c>
      <c r="K330" s="83" t="str">
        <f ca="1">CONCATENATE(CALC2223!AQ329," ",CALC2223!AS329," ",CALC2223!AU329," ",CALC2223!AW329)</f>
        <v xml:space="preserve">   </v>
      </c>
      <c r="L330" s="84" t="str">
        <f t="shared" ca="1" si="1"/>
        <v>actueel</v>
      </c>
      <c r="M330" s="1"/>
      <c r="N330" s="4" t="b">
        <f ca="1">OR(VALUE(CALC2223!B329)&gt;VALUE(LASTV),VALUE(CALC2223!D329)&gt;VALUE(LASTV),VALUE(CALC2223!F329)&gt;VALUE(LASTV))</f>
        <v>0</v>
      </c>
      <c r="O330" s="4" t="b">
        <f ca="1">OR(VALUE(CALC2223!H329)&gt;VALUE(LASTV),VALUE(CALC2223!J329)&gt;VALUE(LASTV),VALUE(CALC2223!L329)&gt;VALUE(LASTV))</f>
        <v>0</v>
      </c>
      <c r="P330" s="4" t="b">
        <f ca="1">OR(VALUE(CALC2223!N329)&gt;VALUE(LASTV),VALUE(CALC2223!P329)&gt;VALUE(LASTV),VALUE(CALC2223!R329)&gt;VALUE(LASTV))</f>
        <v>0</v>
      </c>
      <c r="Q330" s="4" t="b">
        <f ca="1">OR(VALUE(CALC2223!T329)&gt;VALUE(LASTV),VALUE(CALC2223!V329)&gt;VALUE(LASTV),VALUE(CALC2223!X329)&gt;VALUE(LASTV))</f>
        <v>0</v>
      </c>
      <c r="R330" s="4" t="b">
        <f ca="1">OR(VALUE(CALC2223!Z329)&gt;VALUE(LASTV),VALUE(CALC2223!AB329)&gt;VALUE(LASTV),VALUE(CALC2223!AD329)&gt;VALUE(LASTV))</f>
        <v>0</v>
      </c>
      <c r="S330" s="4" t="b">
        <f ca="1">OR(VALUE(CALC2223!AF329)&gt;VALUE(LASTV),VALUE(CALC2223!AH329)&gt;VALUE(LASTV),VALUE(CALC2223!AJ329)&gt;VALUE(LASTV))</f>
        <v>0</v>
      </c>
      <c r="T330" s="4" t="b">
        <f ca="1">OR(VALUE(CALC2223!AL329)&gt;VALUE(LASTV),VALUE(CALC2223!AN329)&gt;VALUE(LASTV),VALUE(CALC2223!AP329)&gt;VALUE(LASTV))</f>
        <v>0</v>
      </c>
      <c r="U330" s="4" t="b">
        <f ca="1">OR(VALUE(CALC2223!AR329)&gt;VALUE(LASTV),VALUE(CALC2223!AT329)&gt;VALUE(LASTV),VALUE(CALC2223!AV329)&gt;VALUE(LASTV))</f>
        <v>0</v>
      </c>
      <c r="V330" s="1"/>
    </row>
    <row r="331" spans="1:22" ht="20.25" customHeight="1">
      <c r="A331" s="45"/>
      <c r="B331" s="46" t="s">
        <v>24</v>
      </c>
      <c r="C331" s="82">
        <v>46229</v>
      </c>
      <c r="D331" s="83" t="str">
        <f ca="1">CONCATENATE(CALC2223!A330," ",CALC2223!C330," ",CALC2223!E330)</f>
        <v xml:space="preserve">  </v>
      </c>
      <c r="E331" s="83" t="str">
        <f ca="1">CONCATENATE(CALC2223!G330," ",CALC2223!I330," ",CALC2223!K330)</f>
        <v xml:space="preserve">  </v>
      </c>
      <c r="F331" s="83" t="str">
        <f ca="1">CONCATENATE(CALC2223!M330," ",CALC2223!O330," ",CALC2223!Q330)</f>
        <v xml:space="preserve">  </v>
      </c>
      <c r="G331" s="83" t="str">
        <f ca="1">CONCATENATE(CALC2223!S330," ",CALC2223!U330," ",CALC2223!W330)</f>
        <v xml:space="preserve">  </v>
      </c>
      <c r="H331" s="83" t="str">
        <f ca="1">CONCATENATE(CALC2223!Y330," ",CALC2223!AA330," ",CALC2223!AC330)</f>
        <v xml:space="preserve">  </v>
      </c>
      <c r="I331" s="83" t="str">
        <f ca="1">CONCATENATE(CALC2223!AE330," ",CALC2223!AG330," ",CALC2223!AI330)</f>
        <v xml:space="preserve">  </v>
      </c>
      <c r="J331" s="83" t="str">
        <f ca="1">CONCATENATE(CALC2223!AK330," ",CALC2223!AM330," ",CALC2223!AO330)</f>
        <v xml:space="preserve">  </v>
      </c>
      <c r="K331" s="83" t="str">
        <f ca="1">CONCATENATE(CALC2223!AQ330," ",CALC2223!AS330," ",CALC2223!AU330," ",CALC2223!AW330)</f>
        <v xml:space="preserve">   </v>
      </c>
      <c r="L331" s="84" t="str">
        <f t="shared" ca="1" si="1"/>
        <v>actueel</v>
      </c>
      <c r="M331" s="1"/>
      <c r="N331" s="4" t="b">
        <f ca="1">OR(VALUE(CALC2223!B330)&gt;VALUE(LASTV),VALUE(CALC2223!D330)&gt;VALUE(LASTV),VALUE(CALC2223!F330)&gt;VALUE(LASTV))</f>
        <v>0</v>
      </c>
      <c r="O331" s="4" t="b">
        <f ca="1">OR(VALUE(CALC2223!H330)&gt;VALUE(LASTV),VALUE(CALC2223!J330)&gt;VALUE(LASTV),VALUE(CALC2223!L330)&gt;VALUE(LASTV))</f>
        <v>0</v>
      </c>
      <c r="P331" s="4" t="b">
        <f ca="1">OR(VALUE(CALC2223!N330)&gt;VALUE(LASTV),VALUE(CALC2223!P330)&gt;VALUE(LASTV),VALUE(CALC2223!R330)&gt;VALUE(LASTV))</f>
        <v>0</v>
      </c>
      <c r="Q331" s="4" t="b">
        <f ca="1">OR(VALUE(CALC2223!T330)&gt;VALUE(LASTV),VALUE(CALC2223!V330)&gt;VALUE(LASTV),VALUE(CALC2223!X330)&gt;VALUE(LASTV))</f>
        <v>0</v>
      </c>
      <c r="R331" s="4" t="b">
        <f ca="1">OR(VALUE(CALC2223!Z330)&gt;VALUE(LASTV),VALUE(CALC2223!AB330)&gt;VALUE(LASTV),VALUE(CALC2223!AD330)&gt;VALUE(LASTV))</f>
        <v>0</v>
      </c>
      <c r="S331" s="4" t="b">
        <f ca="1">OR(VALUE(CALC2223!AF330)&gt;VALUE(LASTV),VALUE(CALC2223!AH330)&gt;VALUE(LASTV),VALUE(CALC2223!AJ330)&gt;VALUE(LASTV))</f>
        <v>0</v>
      </c>
      <c r="T331" s="4" t="b">
        <f ca="1">OR(VALUE(CALC2223!AL330)&gt;VALUE(LASTV),VALUE(CALC2223!AN330)&gt;VALUE(LASTV),VALUE(CALC2223!AP330)&gt;VALUE(LASTV))</f>
        <v>0</v>
      </c>
      <c r="U331" s="4" t="b">
        <f ca="1">OR(VALUE(CALC2223!AR330)&gt;VALUE(LASTV),VALUE(CALC2223!AT330)&gt;VALUE(LASTV),VALUE(CALC2223!AV330)&gt;VALUE(LASTV))</f>
        <v>0</v>
      </c>
      <c r="V331" s="1"/>
    </row>
    <row r="332" spans="1:22" ht="20.25" customHeight="1">
      <c r="A332" s="53">
        <v>31</v>
      </c>
      <c r="B332" s="54" t="s">
        <v>18</v>
      </c>
      <c r="C332" s="55">
        <v>46230</v>
      </c>
      <c r="D332" s="56" t="str">
        <f ca="1">CONCATENATE(CALC2223!A331," ",CALC2223!C331," ",CALC2223!E331)</f>
        <v xml:space="preserve">  </v>
      </c>
      <c r="E332" s="56" t="str">
        <f ca="1">CONCATENATE(CALC2223!G331," ",CALC2223!I331," ",CALC2223!K331)</f>
        <v xml:space="preserve">  </v>
      </c>
      <c r="F332" s="56" t="str">
        <f ca="1">CONCATENATE(CALC2223!M331," ",CALC2223!O331," ",CALC2223!Q331)</f>
        <v xml:space="preserve">  </v>
      </c>
      <c r="G332" s="56" t="str">
        <f ca="1">CONCATENATE(CALC2223!S331," ",CALC2223!U331," ",CALC2223!W331)</f>
        <v xml:space="preserve">  </v>
      </c>
      <c r="H332" s="56" t="str">
        <f ca="1">CONCATENATE(CALC2223!Y331," ",CALC2223!AA331," ",CALC2223!AC331)</f>
        <v xml:space="preserve">  </v>
      </c>
      <c r="I332" s="56" t="str">
        <f ca="1">CONCATENATE(CALC2223!AE331," ",CALC2223!AG331," ",CALC2223!AI331)</f>
        <v xml:space="preserve">  </v>
      </c>
      <c r="J332" s="56" t="str">
        <f ca="1">CONCATENATE(CALC2223!AK331," ",CALC2223!AM331," ",CALC2223!AO331)</f>
        <v xml:space="preserve">  </v>
      </c>
      <c r="K332" s="56" t="str">
        <f ca="1">CONCATENATE(CALC2223!AQ331," ",CALC2223!AS331," ",CALC2223!AU331," ",CALC2223!AW331)</f>
        <v xml:space="preserve">   Zomervakantie   </v>
      </c>
      <c r="L332" s="57" t="str">
        <f t="shared" ca="1" si="1"/>
        <v>actueel</v>
      </c>
      <c r="M332" s="1"/>
      <c r="N332" s="4" t="b">
        <f ca="1">OR(VALUE(CALC2223!B331)&gt;VALUE(LASTV),VALUE(CALC2223!D331)&gt;VALUE(LASTV),VALUE(CALC2223!F331)&gt;VALUE(LASTV))</f>
        <v>0</v>
      </c>
      <c r="O332" s="4" t="b">
        <f ca="1">OR(VALUE(CALC2223!H331)&gt;VALUE(LASTV),VALUE(CALC2223!J331)&gt;VALUE(LASTV),VALUE(CALC2223!L331)&gt;VALUE(LASTV))</f>
        <v>0</v>
      </c>
      <c r="P332" s="4" t="b">
        <f ca="1">OR(VALUE(CALC2223!N331)&gt;VALUE(LASTV),VALUE(CALC2223!P331)&gt;VALUE(LASTV),VALUE(CALC2223!R331)&gt;VALUE(LASTV))</f>
        <v>0</v>
      </c>
      <c r="Q332" s="4" t="b">
        <f ca="1">OR(VALUE(CALC2223!T331)&gt;VALUE(LASTV),VALUE(CALC2223!V331)&gt;VALUE(LASTV),VALUE(CALC2223!X331)&gt;VALUE(LASTV))</f>
        <v>0</v>
      </c>
      <c r="R332" s="4" t="b">
        <f ca="1">OR(VALUE(CALC2223!Z331)&gt;VALUE(LASTV),VALUE(CALC2223!AB331)&gt;VALUE(LASTV),VALUE(CALC2223!AD331)&gt;VALUE(LASTV))</f>
        <v>0</v>
      </c>
      <c r="S332" s="4" t="b">
        <f ca="1">OR(VALUE(CALC2223!AF331)&gt;VALUE(LASTV),VALUE(CALC2223!AH331)&gt;VALUE(LASTV),VALUE(CALC2223!AJ331)&gt;VALUE(LASTV))</f>
        <v>0</v>
      </c>
      <c r="T332" s="4" t="b">
        <f ca="1">OR(VALUE(CALC2223!AL331)&gt;VALUE(LASTV),VALUE(CALC2223!AN331)&gt;VALUE(LASTV),VALUE(CALC2223!AP331)&gt;VALUE(LASTV))</f>
        <v>0</v>
      </c>
      <c r="U332" s="4" t="b">
        <f ca="1">OR(VALUE(CALC2223!AR331)&gt;VALUE(LASTV),VALUE(CALC2223!AT331)&gt;VALUE(LASTV),VALUE(CALC2223!AV331)&gt;VALUE(LASTV))</f>
        <v>0</v>
      </c>
      <c r="V332" s="1"/>
    </row>
    <row r="333" spans="1:22" ht="20.25" customHeight="1">
      <c r="A333" s="58"/>
      <c r="B333" s="54" t="s">
        <v>19</v>
      </c>
      <c r="C333" s="55">
        <v>46231</v>
      </c>
      <c r="D333" s="56" t="str">
        <f ca="1">CONCATENATE(CALC2223!A332," ",CALC2223!C332," ",CALC2223!E332)</f>
        <v xml:space="preserve">  </v>
      </c>
      <c r="E333" s="56" t="str">
        <f ca="1">CONCATENATE(CALC2223!G332," ",CALC2223!I332," ",CALC2223!K332)</f>
        <v xml:space="preserve">  </v>
      </c>
      <c r="F333" s="56" t="str">
        <f ca="1">CONCATENATE(CALC2223!M332," ",CALC2223!O332," ",CALC2223!Q332)</f>
        <v xml:space="preserve">  </v>
      </c>
      <c r="G333" s="56" t="str">
        <f ca="1">CONCATENATE(CALC2223!S332," ",CALC2223!U332," ",CALC2223!W332)</f>
        <v xml:space="preserve">  </v>
      </c>
      <c r="H333" s="56" t="str">
        <f ca="1">CONCATENATE(CALC2223!Y332," ",CALC2223!AA332," ",CALC2223!AC332)</f>
        <v xml:space="preserve">  </v>
      </c>
      <c r="I333" s="56" t="str">
        <f ca="1">CONCATENATE(CALC2223!AE332," ",CALC2223!AG332," ",CALC2223!AI332)</f>
        <v xml:space="preserve">  </v>
      </c>
      <c r="J333" s="56" t="str">
        <f ca="1">CONCATENATE(CALC2223!AK332," ",CALC2223!AM332," ",CALC2223!AO332)</f>
        <v xml:space="preserve">  </v>
      </c>
      <c r="K333" s="56" t="str">
        <f ca="1">CONCATENATE(CALC2223!AQ332," ",CALC2223!AS332," ",CALC2223!AU332," ",CALC2223!AW332)</f>
        <v xml:space="preserve">   </v>
      </c>
      <c r="L333" s="57" t="str">
        <f t="shared" ca="1" si="1"/>
        <v>actueel</v>
      </c>
      <c r="M333" s="1"/>
      <c r="N333" s="4" t="b">
        <f ca="1">OR(VALUE(CALC2223!B332)&gt;VALUE(LASTV),VALUE(CALC2223!D332)&gt;VALUE(LASTV),VALUE(CALC2223!F332)&gt;VALUE(LASTV))</f>
        <v>0</v>
      </c>
      <c r="O333" s="4" t="b">
        <f ca="1">OR(VALUE(CALC2223!H332)&gt;VALUE(LASTV),VALUE(CALC2223!J332)&gt;VALUE(LASTV),VALUE(CALC2223!L332)&gt;VALUE(LASTV))</f>
        <v>0</v>
      </c>
      <c r="P333" s="4" t="b">
        <f ca="1">OR(VALUE(CALC2223!N332)&gt;VALUE(LASTV),VALUE(CALC2223!P332)&gt;VALUE(LASTV),VALUE(CALC2223!R332)&gt;VALUE(LASTV))</f>
        <v>0</v>
      </c>
      <c r="Q333" s="4" t="b">
        <f ca="1">OR(VALUE(CALC2223!T332)&gt;VALUE(LASTV),VALUE(CALC2223!V332)&gt;VALUE(LASTV),VALUE(CALC2223!X332)&gt;VALUE(LASTV))</f>
        <v>0</v>
      </c>
      <c r="R333" s="4" t="b">
        <f ca="1">OR(VALUE(CALC2223!Z332)&gt;VALUE(LASTV),VALUE(CALC2223!AB332)&gt;VALUE(LASTV),VALUE(CALC2223!AD332)&gt;VALUE(LASTV))</f>
        <v>0</v>
      </c>
      <c r="S333" s="4" t="b">
        <f ca="1">OR(VALUE(CALC2223!AF332)&gt;VALUE(LASTV),VALUE(CALC2223!AH332)&gt;VALUE(LASTV),VALUE(CALC2223!AJ332)&gt;VALUE(LASTV))</f>
        <v>0</v>
      </c>
      <c r="T333" s="4" t="b">
        <f ca="1">OR(VALUE(CALC2223!AL332)&gt;VALUE(LASTV),VALUE(CALC2223!AN332)&gt;VALUE(LASTV),VALUE(CALC2223!AP332)&gt;VALUE(LASTV))</f>
        <v>0</v>
      </c>
      <c r="U333" s="4" t="b">
        <f ca="1">OR(VALUE(CALC2223!AR332)&gt;VALUE(LASTV),VALUE(CALC2223!AT332)&gt;VALUE(LASTV),VALUE(CALC2223!AV332)&gt;VALUE(LASTV))</f>
        <v>0</v>
      </c>
      <c r="V333" s="1"/>
    </row>
    <row r="334" spans="1:22" ht="20.25" customHeight="1">
      <c r="A334" s="58"/>
      <c r="B334" s="54" t="s">
        <v>20</v>
      </c>
      <c r="C334" s="55">
        <v>46232</v>
      </c>
      <c r="D334" s="56" t="str">
        <f ca="1">CONCATENATE(CALC2223!A333," ",CALC2223!C333," ",CALC2223!E333)</f>
        <v xml:space="preserve">  </v>
      </c>
      <c r="E334" s="56" t="str">
        <f ca="1">CONCATENATE(CALC2223!G333," ",CALC2223!I333," ",CALC2223!K333)</f>
        <v xml:space="preserve">  </v>
      </c>
      <c r="F334" s="56" t="str">
        <f ca="1">CONCATENATE(CALC2223!M333," ",CALC2223!O333," ",CALC2223!Q333)</f>
        <v xml:space="preserve">  </v>
      </c>
      <c r="G334" s="56" t="str">
        <f ca="1">CONCATENATE(CALC2223!S333," ",CALC2223!U333," ",CALC2223!W333)</f>
        <v xml:space="preserve">  </v>
      </c>
      <c r="H334" s="56" t="str">
        <f ca="1">CONCATENATE(CALC2223!Y333," ",CALC2223!AA333," ",CALC2223!AC333)</f>
        <v xml:space="preserve">  </v>
      </c>
      <c r="I334" s="56" t="str">
        <f ca="1">CONCATENATE(CALC2223!AE333," ",CALC2223!AG333," ",CALC2223!AI333)</f>
        <v xml:space="preserve">  </v>
      </c>
      <c r="J334" s="56" t="str">
        <f ca="1">CONCATENATE(CALC2223!AK333," ",CALC2223!AM333," ",CALC2223!AO333)</f>
        <v xml:space="preserve">  </v>
      </c>
      <c r="K334" s="56" t="str">
        <f ca="1">CONCATENATE(CALC2223!AQ333," ",CALC2223!AS333," ",CALC2223!AU333," ",CALC2223!AW333)</f>
        <v xml:space="preserve">   </v>
      </c>
      <c r="L334" s="57" t="str">
        <f t="shared" ca="1" si="1"/>
        <v>actueel</v>
      </c>
      <c r="M334" s="1"/>
      <c r="N334" s="4" t="b">
        <f ca="1">OR(VALUE(CALC2223!B333)&gt;VALUE(LASTV),VALUE(CALC2223!D333)&gt;VALUE(LASTV),VALUE(CALC2223!F333)&gt;VALUE(LASTV))</f>
        <v>0</v>
      </c>
      <c r="O334" s="4" t="b">
        <f ca="1">OR(VALUE(CALC2223!H333)&gt;VALUE(LASTV),VALUE(CALC2223!J333)&gt;VALUE(LASTV),VALUE(CALC2223!L333)&gt;VALUE(LASTV))</f>
        <v>0</v>
      </c>
      <c r="P334" s="4" t="b">
        <f ca="1">OR(VALUE(CALC2223!N333)&gt;VALUE(LASTV),VALUE(CALC2223!P333)&gt;VALUE(LASTV),VALUE(CALC2223!R333)&gt;VALUE(LASTV))</f>
        <v>0</v>
      </c>
      <c r="Q334" s="4" t="b">
        <f ca="1">OR(VALUE(CALC2223!T333)&gt;VALUE(LASTV),VALUE(CALC2223!V333)&gt;VALUE(LASTV),VALUE(CALC2223!X333)&gt;VALUE(LASTV))</f>
        <v>0</v>
      </c>
      <c r="R334" s="4" t="b">
        <f ca="1">OR(VALUE(CALC2223!Z333)&gt;VALUE(LASTV),VALUE(CALC2223!AB333)&gt;VALUE(LASTV),VALUE(CALC2223!AD333)&gt;VALUE(LASTV))</f>
        <v>0</v>
      </c>
      <c r="S334" s="4" t="b">
        <f ca="1">OR(VALUE(CALC2223!AF333)&gt;VALUE(LASTV),VALUE(CALC2223!AH333)&gt;VALUE(LASTV),VALUE(CALC2223!AJ333)&gt;VALUE(LASTV))</f>
        <v>0</v>
      </c>
      <c r="T334" s="4" t="b">
        <f ca="1">OR(VALUE(CALC2223!AL333)&gt;VALUE(LASTV),VALUE(CALC2223!AN333)&gt;VALUE(LASTV),VALUE(CALC2223!AP333)&gt;VALUE(LASTV))</f>
        <v>0</v>
      </c>
      <c r="U334" s="4" t="b">
        <f ca="1">OR(VALUE(CALC2223!AR333)&gt;VALUE(LASTV),VALUE(CALC2223!AT333)&gt;VALUE(LASTV),VALUE(CALC2223!AV333)&gt;VALUE(LASTV))</f>
        <v>0</v>
      </c>
      <c r="V334" s="1"/>
    </row>
    <row r="335" spans="1:22" ht="20.25" customHeight="1">
      <c r="A335" s="58"/>
      <c r="B335" s="54" t="s">
        <v>21</v>
      </c>
      <c r="C335" s="55">
        <v>46233</v>
      </c>
      <c r="D335" s="56" t="str">
        <f ca="1">CONCATENATE(CALC2223!A334," ",CALC2223!C334," ",CALC2223!E334)</f>
        <v xml:space="preserve">  </v>
      </c>
      <c r="E335" s="56" t="str">
        <f ca="1">CONCATENATE(CALC2223!G334," ",CALC2223!I334," ",CALC2223!K334)</f>
        <v xml:space="preserve">  </v>
      </c>
      <c r="F335" s="56" t="str">
        <f ca="1">CONCATENATE(CALC2223!M334," ",CALC2223!O334," ",CALC2223!Q334)</f>
        <v xml:space="preserve">  </v>
      </c>
      <c r="G335" s="56" t="str">
        <f ca="1">CONCATENATE(CALC2223!S334," ",CALC2223!U334," ",CALC2223!W334)</f>
        <v xml:space="preserve">  </v>
      </c>
      <c r="H335" s="56" t="str">
        <f ca="1">CONCATENATE(CALC2223!Y334," ",CALC2223!AA334," ",CALC2223!AC334)</f>
        <v xml:space="preserve">  </v>
      </c>
      <c r="I335" s="56" t="str">
        <f ca="1">CONCATENATE(CALC2223!AE334," ",CALC2223!AG334," ",CALC2223!AI334)</f>
        <v xml:space="preserve">  </v>
      </c>
      <c r="J335" s="56" t="str">
        <f ca="1">CONCATENATE(CALC2223!AK334," ",CALC2223!AM334," ",CALC2223!AO334)</f>
        <v xml:space="preserve">  </v>
      </c>
      <c r="K335" s="56" t="str">
        <f ca="1">CONCATENATE(CALC2223!AQ334," ",CALC2223!AS334," ",CALC2223!AU334," ",CALC2223!AW334)</f>
        <v xml:space="preserve">   </v>
      </c>
      <c r="L335" s="57" t="str">
        <f t="shared" ca="1" si="1"/>
        <v>actueel</v>
      </c>
      <c r="M335" s="1"/>
      <c r="N335" s="4" t="b">
        <f ca="1">OR(VALUE(CALC2223!B334)&gt;VALUE(LASTV),VALUE(CALC2223!D334)&gt;VALUE(LASTV),VALUE(CALC2223!F334)&gt;VALUE(LASTV))</f>
        <v>0</v>
      </c>
      <c r="O335" s="4" t="b">
        <f ca="1">OR(VALUE(CALC2223!H334)&gt;VALUE(LASTV),VALUE(CALC2223!J334)&gt;VALUE(LASTV),VALUE(CALC2223!L334)&gt;VALUE(LASTV))</f>
        <v>0</v>
      </c>
      <c r="P335" s="4" t="b">
        <f ca="1">OR(VALUE(CALC2223!N334)&gt;VALUE(LASTV),VALUE(CALC2223!P334)&gt;VALUE(LASTV),VALUE(CALC2223!R334)&gt;VALUE(LASTV))</f>
        <v>0</v>
      </c>
      <c r="Q335" s="4" t="b">
        <f ca="1">OR(VALUE(CALC2223!T334)&gt;VALUE(LASTV),VALUE(CALC2223!V334)&gt;VALUE(LASTV),VALUE(CALC2223!X334)&gt;VALUE(LASTV))</f>
        <v>0</v>
      </c>
      <c r="R335" s="4" t="b">
        <f ca="1">OR(VALUE(CALC2223!Z334)&gt;VALUE(LASTV),VALUE(CALC2223!AB334)&gt;VALUE(LASTV),VALUE(CALC2223!AD334)&gt;VALUE(LASTV))</f>
        <v>0</v>
      </c>
      <c r="S335" s="4" t="b">
        <f ca="1">OR(VALUE(CALC2223!AF334)&gt;VALUE(LASTV),VALUE(CALC2223!AH334)&gt;VALUE(LASTV),VALUE(CALC2223!AJ334)&gt;VALUE(LASTV))</f>
        <v>0</v>
      </c>
      <c r="T335" s="4" t="b">
        <f ca="1">OR(VALUE(CALC2223!AL334)&gt;VALUE(LASTV),VALUE(CALC2223!AN334)&gt;VALUE(LASTV),VALUE(CALC2223!AP334)&gt;VALUE(LASTV))</f>
        <v>0</v>
      </c>
      <c r="U335" s="4" t="b">
        <f ca="1">OR(VALUE(CALC2223!AR334)&gt;VALUE(LASTV),VALUE(CALC2223!AT334)&gt;VALUE(LASTV),VALUE(CALC2223!AV334)&gt;VALUE(LASTV))</f>
        <v>0</v>
      </c>
      <c r="V335" s="1"/>
    </row>
    <row r="336" spans="1:22" ht="20.25" customHeight="1">
      <c r="A336" s="58"/>
      <c r="B336" s="54" t="s">
        <v>22</v>
      </c>
      <c r="C336" s="55">
        <v>46234</v>
      </c>
      <c r="D336" s="56" t="str">
        <f ca="1">CONCATENATE(CALC2223!A335," ",CALC2223!C335," ",CALC2223!E335)</f>
        <v xml:space="preserve">  </v>
      </c>
      <c r="E336" s="56" t="str">
        <f ca="1">CONCATENATE(CALC2223!G335," ",CALC2223!I335," ",CALC2223!K335)</f>
        <v xml:space="preserve">  </v>
      </c>
      <c r="F336" s="56" t="str">
        <f ca="1">CONCATENATE(CALC2223!M335," ",CALC2223!O335," ",CALC2223!Q335)</f>
        <v xml:space="preserve">  </v>
      </c>
      <c r="G336" s="56" t="str">
        <f ca="1">CONCATENATE(CALC2223!S335," ",CALC2223!U335," ",CALC2223!W335)</f>
        <v xml:space="preserve">  </v>
      </c>
      <c r="H336" s="56" t="str">
        <f ca="1">CONCATENATE(CALC2223!Y335," ",CALC2223!AA335," ",CALC2223!AC335)</f>
        <v xml:space="preserve">  </v>
      </c>
      <c r="I336" s="56" t="str">
        <f ca="1">CONCATENATE(CALC2223!AE335," ",CALC2223!AG335," ",CALC2223!AI335)</f>
        <v xml:space="preserve">  </v>
      </c>
      <c r="J336" s="56" t="str">
        <f ca="1">CONCATENATE(CALC2223!AK335," ",CALC2223!AM335," ",CALC2223!AO335)</f>
        <v xml:space="preserve">  </v>
      </c>
      <c r="K336" s="56" t="str">
        <f ca="1">CONCATENATE(CALC2223!AQ335," ",CALC2223!AS335," ",CALC2223!AU335," ",CALC2223!AW335)</f>
        <v xml:space="preserve">   </v>
      </c>
      <c r="L336" s="57" t="str">
        <f t="shared" ca="1" si="1"/>
        <v>actueel</v>
      </c>
      <c r="M336" s="1"/>
      <c r="N336" s="4" t="b">
        <f ca="1">OR(VALUE(CALC2223!B335)&gt;VALUE(LASTV),VALUE(CALC2223!D335)&gt;VALUE(LASTV),VALUE(CALC2223!F335)&gt;VALUE(LASTV))</f>
        <v>0</v>
      </c>
      <c r="O336" s="4" t="b">
        <f ca="1">OR(VALUE(CALC2223!H335)&gt;VALUE(LASTV),VALUE(CALC2223!J335)&gt;VALUE(LASTV),VALUE(CALC2223!L335)&gt;VALUE(LASTV))</f>
        <v>0</v>
      </c>
      <c r="P336" s="4" t="b">
        <f ca="1">OR(VALUE(CALC2223!N335)&gt;VALUE(LASTV),VALUE(CALC2223!P335)&gt;VALUE(LASTV),VALUE(CALC2223!R335)&gt;VALUE(LASTV))</f>
        <v>0</v>
      </c>
      <c r="Q336" s="4" t="b">
        <f ca="1">OR(VALUE(CALC2223!T335)&gt;VALUE(LASTV),VALUE(CALC2223!V335)&gt;VALUE(LASTV),VALUE(CALC2223!X335)&gt;VALUE(LASTV))</f>
        <v>0</v>
      </c>
      <c r="R336" s="4" t="b">
        <f ca="1">OR(VALUE(CALC2223!Z335)&gt;VALUE(LASTV),VALUE(CALC2223!AB335)&gt;VALUE(LASTV),VALUE(CALC2223!AD335)&gt;VALUE(LASTV))</f>
        <v>0</v>
      </c>
      <c r="S336" s="4" t="b">
        <f ca="1">OR(VALUE(CALC2223!AF335)&gt;VALUE(LASTV),VALUE(CALC2223!AH335)&gt;VALUE(LASTV),VALUE(CALC2223!AJ335)&gt;VALUE(LASTV))</f>
        <v>0</v>
      </c>
      <c r="T336" s="4" t="b">
        <f ca="1">OR(VALUE(CALC2223!AL335)&gt;VALUE(LASTV),VALUE(CALC2223!AN335)&gt;VALUE(LASTV),VALUE(CALC2223!AP335)&gt;VALUE(LASTV))</f>
        <v>0</v>
      </c>
      <c r="U336" s="4" t="b">
        <f ca="1">OR(VALUE(CALC2223!AR335)&gt;VALUE(LASTV),VALUE(CALC2223!AT335)&gt;VALUE(LASTV),VALUE(CALC2223!AV335)&gt;VALUE(LASTV))</f>
        <v>0</v>
      </c>
      <c r="V336" s="1"/>
    </row>
    <row r="337" spans="1:22" ht="20.25" customHeight="1">
      <c r="A337" s="80"/>
      <c r="B337" s="81" t="s">
        <v>23</v>
      </c>
      <c r="C337" s="82">
        <v>46235</v>
      </c>
      <c r="D337" s="83" t="str">
        <f ca="1">CONCATENATE(CALC2223!A336," ",CALC2223!C336," ",CALC2223!E336)</f>
        <v xml:space="preserve">  </v>
      </c>
      <c r="E337" s="83" t="str">
        <f ca="1">CONCATENATE(CALC2223!G336," ",CALC2223!I336," ",CALC2223!K336)</f>
        <v xml:space="preserve">  </v>
      </c>
      <c r="F337" s="83" t="str">
        <f ca="1">CONCATENATE(CALC2223!M336," ",CALC2223!O336," ",CALC2223!Q336)</f>
        <v xml:space="preserve">  </v>
      </c>
      <c r="G337" s="83" t="str">
        <f ca="1">CONCATENATE(CALC2223!S336," ",CALC2223!U336," ",CALC2223!W336)</f>
        <v xml:space="preserve">  </v>
      </c>
      <c r="H337" s="83" t="str">
        <f ca="1">CONCATENATE(CALC2223!Y336," ",CALC2223!AA336," ",CALC2223!AC336)</f>
        <v xml:space="preserve">  </v>
      </c>
      <c r="I337" s="83" t="str">
        <f ca="1">CONCATENATE(CALC2223!AE336," ",CALC2223!AG336," ",CALC2223!AI336)</f>
        <v xml:space="preserve">  </v>
      </c>
      <c r="J337" s="83" t="str">
        <f ca="1">CONCATENATE(CALC2223!AK336," ",CALC2223!AM336," ",CALC2223!AO336)</f>
        <v xml:space="preserve">  </v>
      </c>
      <c r="K337" s="83" t="str">
        <f ca="1">CONCATENATE(CALC2223!AQ336," ",CALC2223!AS336," ",CALC2223!AU336," ",CALC2223!AW336)</f>
        <v xml:space="preserve">   </v>
      </c>
      <c r="L337" s="49" t="str">
        <f t="shared" ca="1" si="1"/>
        <v>actueel</v>
      </c>
      <c r="M337" s="1"/>
      <c r="N337" s="4" t="b">
        <f ca="1">OR(VALUE(CALC2223!B336)&gt;VALUE(LASTV),VALUE(CALC2223!D336)&gt;VALUE(LASTV),VALUE(CALC2223!F336)&gt;VALUE(LASTV))</f>
        <v>0</v>
      </c>
      <c r="O337" s="4" t="b">
        <f ca="1">OR(VALUE(CALC2223!H336)&gt;VALUE(LASTV),VALUE(CALC2223!J336)&gt;VALUE(LASTV),VALUE(CALC2223!L336)&gt;VALUE(LASTV))</f>
        <v>0</v>
      </c>
      <c r="P337" s="4" t="b">
        <f ca="1">OR(VALUE(CALC2223!N336)&gt;VALUE(LASTV),VALUE(CALC2223!P336)&gt;VALUE(LASTV),VALUE(CALC2223!R336)&gt;VALUE(LASTV))</f>
        <v>0</v>
      </c>
      <c r="Q337" s="4" t="b">
        <f ca="1">OR(VALUE(CALC2223!T336)&gt;VALUE(LASTV),VALUE(CALC2223!V336)&gt;VALUE(LASTV),VALUE(CALC2223!X336)&gt;VALUE(LASTV))</f>
        <v>0</v>
      </c>
      <c r="R337" s="4" t="b">
        <f ca="1">OR(VALUE(CALC2223!Z336)&gt;VALUE(LASTV),VALUE(CALC2223!AB336)&gt;VALUE(LASTV),VALUE(CALC2223!AD336)&gt;VALUE(LASTV))</f>
        <v>0</v>
      </c>
      <c r="S337" s="4" t="b">
        <f ca="1">OR(VALUE(CALC2223!AF336)&gt;VALUE(LASTV),VALUE(CALC2223!AH336)&gt;VALUE(LASTV),VALUE(CALC2223!AJ336)&gt;VALUE(LASTV))</f>
        <v>0</v>
      </c>
      <c r="T337" s="4" t="b">
        <f ca="1">OR(VALUE(CALC2223!AL336)&gt;VALUE(LASTV),VALUE(CALC2223!AN336)&gt;VALUE(LASTV),VALUE(CALC2223!AP336)&gt;VALUE(LASTV))</f>
        <v>0</v>
      </c>
      <c r="U337" s="4" t="b">
        <f ca="1">OR(VALUE(CALC2223!AR336)&gt;VALUE(LASTV),VALUE(CALC2223!AT336)&gt;VALUE(LASTV),VALUE(CALC2223!AV336)&gt;VALUE(LASTV))</f>
        <v>0</v>
      </c>
      <c r="V337" s="1"/>
    </row>
    <row r="338" spans="1:22" ht="20.25" customHeight="1">
      <c r="A338" s="80"/>
      <c r="B338" s="81" t="s">
        <v>24</v>
      </c>
      <c r="C338" s="82">
        <v>46236</v>
      </c>
      <c r="D338" s="83" t="str">
        <f ca="1">CONCATENATE(CALC2223!A337," ",CALC2223!C337," ",CALC2223!E337)</f>
        <v xml:space="preserve">  </v>
      </c>
      <c r="E338" s="83" t="str">
        <f ca="1">CONCATENATE(CALC2223!G337," ",CALC2223!I337," ",CALC2223!K337)</f>
        <v xml:space="preserve">  </v>
      </c>
      <c r="F338" s="83" t="str">
        <f ca="1">CONCATENATE(CALC2223!M337," ",CALC2223!O337," ",CALC2223!Q337)</f>
        <v xml:space="preserve">  </v>
      </c>
      <c r="G338" s="83" t="str">
        <f ca="1">CONCATENATE(CALC2223!S337," ",CALC2223!U337," ",CALC2223!W337)</f>
        <v xml:space="preserve">  </v>
      </c>
      <c r="H338" s="83" t="str">
        <f ca="1">CONCATENATE(CALC2223!Y337," ",CALC2223!AA337," ",CALC2223!AC337)</f>
        <v xml:space="preserve">  </v>
      </c>
      <c r="I338" s="83" t="str">
        <f ca="1">CONCATENATE(CALC2223!AE337," ",CALC2223!AG337," ",CALC2223!AI337)</f>
        <v xml:space="preserve">  </v>
      </c>
      <c r="J338" s="83" t="str">
        <f ca="1">CONCATENATE(CALC2223!AK337," ",CALC2223!AM337," ",CALC2223!AO337)</f>
        <v xml:space="preserve">  </v>
      </c>
      <c r="K338" s="83" t="str">
        <f ca="1">CONCATENATE(CALC2223!AQ337," ",CALC2223!AS337," ",CALC2223!AU337," ",CALC2223!AW337)</f>
        <v xml:space="preserve">   </v>
      </c>
      <c r="L338" s="49" t="str">
        <f t="shared" ca="1" si="1"/>
        <v>actueel</v>
      </c>
      <c r="M338" s="1"/>
      <c r="N338" s="4" t="b">
        <f ca="1">OR(VALUE(CALC2223!B337)&gt;VALUE(LASTV),VALUE(CALC2223!D337)&gt;VALUE(LASTV),VALUE(CALC2223!F337)&gt;VALUE(LASTV))</f>
        <v>0</v>
      </c>
      <c r="O338" s="4" t="b">
        <f ca="1">OR(VALUE(CALC2223!H337)&gt;VALUE(LASTV),VALUE(CALC2223!J337)&gt;VALUE(LASTV),VALUE(CALC2223!L337)&gt;VALUE(LASTV))</f>
        <v>0</v>
      </c>
      <c r="P338" s="4" t="b">
        <f ca="1">OR(VALUE(CALC2223!N337)&gt;VALUE(LASTV),VALUE(CALC2223!P337)&gt;VALUE(LASTV),VALUE(CALC2223!R337)&gt;VALUE(LASTV))</f>
        <v>0</v>
      </c>
      <c r="Q338" s="4" t="b">
        <f ca="1">OR(VALUE(CALC2223!T337)&gt;VALUE(LASTV),VALUE(CALC2223!V337)&gt;VALUE(LASTV),VALUE(CALC2223!X337)&gt;VALUE(LASTV))</f>
        <v>0</v>
      </c>
      <c r="R338" s="4" t="b">
        <f ca="1">OR(VALUE(CALC2223!Z337)&gt;VALUE(LASTV),VALUE(CALC2223!AB337)&gt;VALUE(LASTV),VALUE(CALC2223!AD337)&gt;VALUE(LASTV))</f>
        <v>0</v>
      </c>
      <c r="S338" s="4" t="b">
        <f ca="1">OR(VALUE(CALC2223!AF337)&gt;VALUE(LASTV),VALUE(CALC2223!AH337)&gt;VALUE(LASTV),VALUE(CALC2223!AJ337)&gt;VALUE(LASTV))</f>
        <v>0</v>
      </c>
      <c r="T338" s="4" t="b">
        <f ca="1">OR(VALUE(CALC2223!AL337)&gt;VALUE(LASTV),VALUE(CALC2223!AN337)&gt;VALUE(LASTV),VALUE(CALC2223!AP337)&gt;VALUE(LASTV))</f>
        <v>0</v>
      </c>
      <c r="U338" s="4" t="b">
        <f ca="1">OR(VALUE(CALC2223!AR337)&gt;VALUE(LASTV),VALUE(CALC2223!AT337)&gt;VALUE(LASTV),VALUE(CALC2223!AV337)&gt;VALUE(LASTV))</f>
        <v>0</v>
      </c>
      <c r="V338" s="1"/>
    </row>
    <row r="339" spans="1:22" ht="20.25" customHeight="1">
      <c r="A339" s="53">
        <v>32</v>
      </c>
      <c r="B339" s="54" t="s">
        <v>18</v>
      </c>
      <c r="C339" s="55">
        <v>46237</v>
      </c>
      <c r="D339" s="56" t="str">
        <f ca="1">CONCATENATE(CALC2223!A338," ",CALC2223!C338," ",CALC2223!E338)</f>
        <v xml:space="preserve">  </v>
      </c>
      <c r="E339" s="56" t="str">
        <f ca="1">CONCATENATE(CALC2223!G338," ",CALC2223!I338," ",CALC2223!K338)</f>
        <v xml:space="preserve">  </v>
      </c>
      <c r="F339" s="56" t="str">
        <f ca="1">CONCATENATE(CALC2223!M338," ",CALC2223!O338," ",CALC2223!Q338)</f>
        <v xml:space="preserve">  </v>
      </c>
      <c r="G339" s="56" t="str">
        <f ca="1">CONCATENATE(CALC2223!S338," ",CALC2223!U338," ",CALC2223!W338)</f>
        <v xml:space="preserve">  </v>
      </c>
      <c r="H339" s="56" t="str">
        <f ca="1">CONCATENATE(CALC2223!Y338," ",CALC2223!AA338," ",CALC2223!AC338)</f>
        <v xml:space="preserve">  </v>
      </c>
      <c r="I339" s="56" t="str">
        <f ca="1">CONCATENATE(CALC2223!AE338," ",CALC2223!AG338," ",CALC2223!AI338)</f>
        <v xml:space="preserve">  </v>
      </c>
      <c r="J339" s="56" t="str">
        <f ca="1">CONCATENATE(CALC2223!AK338," ",CALC2223!AM338," ",CALC2223!AO338)</f>
        <v xml:space="preserve">  </v>
      </c>
      <c r="K339" s="56" t="str">
        <f ca="1">CONCATENATE(CALC2223!AQ338," ",CALC2223!AS338," ",CALC2223!AU338," ",CALC2223!AW338)</f>
        <v xml:space="preserve">   Zomervakantie   </v>
      </c>
      <c r="L339" s="57" t="str">
        <f t="shared" ca="1" si="1"/>
        <v>actueel</v>
      </c>
      <c r="M339" s="1"/>
      <c r="N339" s="4" t="b">
        <f ca="1">OR(VALUE(CALC2223!B338)&gt;VALUE(LASTV),VALUE(CALC2223!D338)&gt;VALUE(LASTV),VALUE(CALC2223!F338)&gt;VALUE(LASTV))</f>
        <v>0</v>
      </c>
      <c r="O339" s="4" t="b">
        <f ca="1">OR(VALUE(CALC2223!H338)&gt;VALUE(LASTV),VALUE(CALC2223!J338)&gt;VALUE(LASTV),VALUE(CALC2223!L338)&gt;VALUE(LASTV))</f>
        <v>0</v>
      </c>
      <c r="P339" s="4" t="b">
        <f ca="1">OR(VALUE(CALC2223!N338)&gt;VALUE(LASTV),VALUE(CALC2223!P338)&gt;VALUE(LASTV),VALUE(CALC2223!R338)&gt;VALUE(LASTV))</f>
        <v>0</v>
      </c>
      <c r="Q339" s="4" t="b">
        <f ca="1">OR(VALUE(CALC2223!T338)&gt;VALUE(LASTV),VALUE(CALC2223!V338)&gt;VALUE(LASTV),VALUE(CALC2223!X338)&gt;VALUE(LASTV))</f>
        <v>0</v>
      </c>
      <c r="R339" s="4" t="b">
        <f ca="1">OR(VALUE(CALC2223!Z338)&gt;VALUE(LASTV),VALUE(CALC2223!AB338)&gt;VALUE(LASTV),VALUE(CALC2223!AD338)&gt;VALUE(LASTV))</f>
        <v>0</v>
      </c>
      <c r="S339" s="4" t="b">
        <f ca="1">OR(VALUE(CALC2223!AF338)&gt;VALUE(LASTV),VALUE(CALC2223!AH338)&gt;VALUE(LASTV),VALUE(CALC2223!AJ338)&gt;VALUE(LASTV))</f>
        <v>0</v>
      </c>
      <c r="T339" s="4" t="b">
        <f ca="1">OR(VALUE(CALC2223!AL338)&gt;VALUE(LASTV),VALUE(CALC2223!AN338)&gt;VALUE(LASTV),VALUE(CALC2223!AP338)&gt;VALUE(LASTV))</f>
        <v>0</v>
      </c>
      <c r="U339" s="4" t="b">
        <f ca="1">OR(VALUE(CALC2223!AR338)&gt;VALUE(LASTV),VALUE(CALC2223!AT338)&gt;VALUE(LASTV),VALUE(CALC2223!AV338)&gt;VALUE(LASTV))</f>
        <v>0</v>
      </c>
      <c r="V339" s="1"/>
    </row>
    <row r="340" spans="1:22" ht="20.25" customHeight="1">
      <c r="A340" s="58"/>
      <c r="B340" s="54" t="s">
        <v>19</v>
      </c>
      <c r="C340" s="55">
        <v>46238</v>
      </c>
      <c r="D340" s="56" t="str">
        <f ca="1">CONCATENATE(CALC2223!A339," ",CALC2223!C339," ",CALC2223!E339)</f>
        <v xml:space="preserve">  </v>
      </c>
      <c r="E340" s="56" t="str">
        <f ca="1">CONCATENATE(CALC2223!G339," ",CALC2223!I339," ",CALC2223!K339)</f>
        <v xml:space="preserve">  </v>
      </c>
      <c r="F340" s="56" t="str">
        <f ca="1">CONCATENATE(CALC2223!M339," ",CALC2223!O339," ",CALC2223!Q339)</f>
        <v xml:space="preserve">  </v>
      </c>
      <c r="G340" s="56" t="str">
        <f ca="1">CONCATENATE(CALC2223!S339," ",CALC2223!U339," ",CALC2223!W339)</f>
        <v xml:space="preserve">  </v>
      </c>
      <c r="H340" s="56" t="str">
        <f ca="1">CONCATENATE(CALC2223!Y339," ",CALC2223!AA339," ",CALC2223!AC339)</f>
        <v xml:space="preserve">  </v>
      </c>
      <c r="I340" s="56" t="str">
        <f ca="1">CONCATENATE(CALC2223!AE339," ",CALC2223!AG339," ",CALC2223!AI339)</f>
        <v xml:space="preserve">  </v>
      </c>
      <c r="J340" s="56" t="str">
        <f ca="1">CONCATENATE(CALC2223!AK339," ",CALC2223!AM339," ",CALC2223!AO339)</f>
        <v xml:space="preserve">  </v>
      </c>
      <c r="K340" s="56" t="str">
        <f ca="1">CONCATENATE(CALC2223!AQ339," ",CALC2223!AS339," ",CALC2223!AU339," ",CALC2223!AW339)</f>
        <v xml:space="preserve">   </v>
      </c>
      <c r="L340" s="57" t="str">
        <f t="shared" ca="1" si="1"/>
        <v>actueel</v>
      </c>
      <c r="M340" s="1"/>
      <c r="N340" s="4" t="b">
        <f ca="1">OR(VALUE(CALC2223!B339)&gt;VALUE(LASTV),VALUE(CALC2223!D339)&gt;VALUE(LASTV),VALUE(CALC2223!F339)&gt;VALUE(LASTV))</f>
        <v>0</v>
      </c>
      <c r="O340" s="4" t="b">
        <f ca="1">OR(VALUE(CALC2223!H339)&gt;VALUE(LASTV),VALUE(CALC2223!J339)&gt;VALUE(LASTV),VALUE(CALC2223!L339)&gt;VALUE(LASTV))</f>
        <v>0</v>
      </c>
      <c r="P340" s="4" t="b">
        <f ca="1">OR(VALUE(CALC2223!N339)&gt;VALUE(LASTV),VALUE(CALC2223!P339)&gt;VALUE(LASTV),VALUE(CALC2223!R339)&gt;VALUE(LASTV))</f>
        <v>0</v>
      </c>
      <c r="Q340" s="4" t="b">
        <f ca="1">OR(VALUE(CALC2223!T339)&gt;VALUE(LASTV),VALUE(CALC2223!V339)&gt;VALUE(LASTV),VALUE(CALC2223!X339)&gt;VALUE(LASTV))</f>
        <v>0</v>
      </c>
      <c r="R340" s="4" t="b">
        <f ca="1">OR(VALUE(CALC2223!Z339)&gt;VALUE(LASTV),VALUE(CALC2223!AB339)&gt;VALUE(LASTV),VALUE(CALC2223!AD339)&gt;VALUE(LASTV))</f>
        <v>0</v>
      </c>
      <c r="S340" s="4" t="b">
        <f ca="1">OR(VALUE(CALC2223!AF339)&gt;VALUE(LASTV),VALUE(CALC2223!AH339)&gt;VALUE(LASTV),VALUE(CALC2223!AJ339)&gt;VALUE(LASTV))</f>
        <v>0</v>
      </c>
      <c r="T340" s="4" t="b">
        <f ca="1">OR(VALUE(CALC2223!AL339)&gt;VALUE(LASTV),VALUE(CALC2223!AN339)&gt;VALUE(LASTV),VALUE(CALC2223!AP339)&gt;VALUE(LASTV))</f>
        <v>0</v>
      </c>
      <c r="U340" s="4" t="b">
        <f ca="1">OR(VALUE(CALC2223!AR339)&gt;VALUE(LASTV),VALUE(CALC2223!AT339)&gt;VALUE(LASTV),VALUE(CALC2223!AV339)&gt;VALUE(LASTV))</f>
        <v>0</v>
      </c>
      <c r="V340" s="1"/>
    </row>
    <row r="341" spans="1:22" ht="20.25" customHeight="1">
      <c r="A341" s="58"/>
      <c r="B341" s="54" t="s">
        <v>20</v>
      </c>
      <c r="C341" s="55">
        <v>46239</v>
      </c>
      <c r="D341" s="56" t="str">
        <f ca="1">CONCATENATE(CALC2223!A340," ",CALC2223!C340," ",CALC2223!E340)</f>
        <v xml:space="preserve">  </v>
      </c>
      <c r="E341" s="56" t="str">
        <f ca="1">CONCATENATE(CALC2223!G340," ",CALC2223!I340," ",CALC2223!K340)</f>
        <v xml:space="preserve">  </v>
      </c>
      <c r="F341" s="56" t="str">
        <f ca="1">CONCATENATE(CALC2223!M340," ",CALC2223!O340," ",CALC2223!Q340)</f>
        <v xml:space="preserve">  </v>
      </c>
      <c r="G341" s="56" t="str">
        <f ca="1">CONCATENATE(CALC2223!S340," ",CALC2223!U340," ",CALC2223!W340)</f>
        <v xml:space="preserve">  </v>
      </c>
      <c r="H341" s="56" t="str">
        <f ca="1">CONCATENATE(CALC2223!Y340," ",CALC2223!AA340," ",CALC2223!AC340)</f>
        <v xml:space="preserve">  </v>
      </c>
      <c r="I341" s="56" t="str">
        <f ca="1">CONCATENATE(CALC2223!AE340," ",CALC2223!AG340," ",CALC2223!AI340)</f>
        <v xml:space="preserve">  </v>
      </c>
      <c r="J341" s="56" t="str">
        <f ca="1">CONCATENATE(CALC2223!AK340," ",CALC2223!AM340," ",CALC2223!AO340)</f>
        <v xml:space="preserve">  </v>
      </c>
      <c r="K341" s="56" t="str">
        <f ca="1">CONCATENATE(CALC2223!AQ340," ",CALC2223!AS340," ",CALC2223!AU340," ",CALC2223!AW340)</f>
        <v xml:space="preserve">   </v>
      </c>
      <c r="L341" s="57" t="str">
        <f t="shared" ca="1" si="1"/>
        <v>actueel</v>
      </c>
      <c r="M341" s="1"/>
      <c r="N341" s="4" t="b">
        <f ca="1">OR(VALUE(CALC2223!B340)&gt;VALUE(LASTV),VALUE(CALC2223!D340)&gt;VALUE(LASTV),VALUE(CALC2223!F340)&gt;VALUE(LASTV))</f>
        <v>0</v>
      </c>
      <c r="O341" s="4" t="b">
        <f ca="1">OR(VALUE(CALC2223!H340)&gt;VALUE(LASTV),VALUE(CALC2223!J340)&gt;VALUE(LASTV),VALUE(CALC2223!L340)&gt;VALUE(LASTV))</f>
        <v>0</v>
      </c>
      <c r="P341" s="4" t="b">
        <f ca="1">OR(VALUE(CALC2223!N340)&gt;VALUE(LASTV),VALUE(CALC2223!P340)&gt;VALUE(LASTV),VALUE(CALC2223!R340)&gt;VALUE(LASTV))</f>
        <v>0</v>
      </c>
      <c r="Q341" s="4" t="b">
        <f ca="1">OR(VALUE(CALC2223!T340)&gt;VALUE(LASTV),VALUE(CALC2223!V340)&gt;VALUE(LASTV),VALUE(CALC2223!X340)&gt;VALUE(LASTV))</f>
        <v>0</v>
      </c>
      <c r="R341" s="4" t="b">
        <f ca="1">OR(VALUE(CALC2223!Z340)&gt;VALUE(LASTV),VALUE(CALC2223!AB340)&gt;VALUE(LASTV),VALUE(CALC2223!AD340)&gt;VALUE(LASTV))</f>
        <v>0</v>
      </c>
      <c r="S341" s="4" t="b">
        <f ca="1">OR(VALUE(CALC2223!AF340)&gt;VALUE(LASTV),VALUE(CALC2223!AH340)&gt;VALUE(LASTV),VALUE(CALC2223!AJ340)&gt;VALUE(LASTV))</f>
        <v>0</v>
      </c>
      <c r="T341" s="4" t="b">
        <f ca="1">OR(VALUE(CALC2223!AL340)&gt;VALUE(LASTV),VALUE(CALC2223!AN340)&gt;VALUE(LASTV),VALUE(CALC2223!AP340)&gt;VALUE(LASTV))</f>
        <v>0</v>
      </c>
      <c r="U341" s="4" t="b">
        <f ca="1">OR(VALUE(CALC2223!AR340)&gt;VALUE(LASTV),VALUE(CALC2223!AT340)&gt;VALUE(LASTV),VALUE(CALC2223!AV340)&gt;VALUE(LASTV))</f>
        <v>0</v>
      </c>
      <c r="V341" s="1"/>
    </row>
    <row r="342" spans="1:22" ht="20.25" customHeight="1">
      <c r="A342" s="58"/>
      <c r="B342" s="54" t="s">
        <v>21</v>
      </c>
      <c r="C342" s="55">
        <v>46240</v>
      </c>
      <c r="D342" s="56" t="str">
        <f ca="1">CONCATENATE(CALC2223!A341," ",CALC2223!C341," ",CALC2223!E341)</f>
        <v xml:space="preserve">  </v>
      </c>
      <c r="E342" s="56" t="str">
        <f ca="1">CONCATENATE(CALC2223!G341," ",CALC2223!I341," ",CALC2223!K341)</f>
        <v xml:space="preserve">  </v>
      </c>
      <c r="F342" s="56" t="str">
        <f ca="1">CONCATENATE(CALC2223!M341," ",CALC2223!O341," ",CALC2223!Q341)</f>
        <v xml:space="preserve">  </v>
      </c>
      <c r="G342" s="56" t="str">
        <f ca="1">CONCATENATE(CALC2223!S341," ",CALC2223!U341," ",CALC2223!W341)</f>
        <v xml:space="preserve">  </v>
      </c>
      <c r="H342" s="56" t="str">
        <f ca="1">CONCATENATE(CALC2223!Y341," ",CALC2223!AA341," ",CALC2223!AC341)</f>
        <v xml:space="preserve">  </v>
      </c>
      <c r="I342" s="56" t="str">
        <f ca="1">CONCATENATE(CALC2223!AE341," ",CALC2223!AG341," ",CALC2223!AI341)</f>
        <v xml:space="preserve">  </v>
      </c>
      <c r="J342" s="56" t="str">
        <f ca="1">CONCATENATE(CALC2223!AK341," ",CALC2223!AM341," ",CALC2223!AO341)</f>
        <v xml:space="preserve">  </v>
      </c>
      <c r="K342" s="56" t="str">
        <f ca="1">CONCATENATE(CALC2223!AQ341," ",CALC2223!AS341," ",CALC2223!AU341," ",CALC2223!AW341)</f>
        <v xml:space="preserve">   </v>
      </c>
      <c r="L342" s="57" t="str">
        <f t="shared" ca="1" si="1"/>
        <v>actueel</v>
      </c>
      <c r="M342" s="1"/>
      <c r="N342" s="4" t="b">
        <f ca="1">OR(VALUE(CALC2223!B341)&gt;VALUE(LASTV),VALUE(CALC2223!D341)&gt;VALUE(LASTV),VALUE(CALC2223!F341)&gt;VALUE(LASTV))</f>
        <v>0</v>
      </c>
      <c r="O342" s="4" t="b">
        <f ca="1">OR(VALUE(CALC2223!H341)&gt;VALUE(LASTV),VALUE(CALC2223!J341)&gt;VALUE(LASTV),VALUE(CALC2223!L341)&gt;VALUE(LASTV))</f>
        <v>0</v>
      </c>
      <c r="P342" s="4" t="b">
        <f ca="1">OR(VALUE(CALC2223!N341)&gt;VALUE(LASTV),VALUE(CALC2223!P341)&gt;VALUE(LASTV),VALUE(CALC2223!R341)&gt;VALUE(LASTV))</f>
        <v>0</v>
      </c>
      <c r="Q342" s="4" t="b">
        <f ca="1">OR(VALUE(CALC2223!T341)&gt;VALUE(LASTV),VALUE(CALC2223!V341)&gt;VALUE(LASTV),VALUE(CALC2223!X341)&gt;VALUE(LASTV))</f>
        <v>0</v>
      </c>
      <c r="R342" s="4" t="b">
        <f ca="1">OR(VALUE(CALC2223!Z341)&gt;VALUE(LASTV),VALUE(CALC2223!AB341)&gt;VALUE(LASTV),VALUE(CALC2223!AD341)&gt;VALUE(LASTV))</f>
        <v>0</v>
      </c>
      <c r="S342" s="4" t="b">
        <f ca="1">OR(VALUE(CALC2223!AF341)&gt;VALUE(LASTV),VALUE(CALC2223!AH341)&gt;VALUE(LASTV),VALUE(CALC2223!AJ341)&gt;VALUE(LASTV))</f>
        <v>0</v>
      </c>
      <c r="T342" s="4" t="b">
        <f ca="1">OR(VALUE(CALC2223!AL341)&gt;VALUE(LASTV),VALUE(CALC2223!AN341)&gt;VALUE(LASTV),VALUE(CALC2223!AP341)&gt;VALUE(LASTV))</f>
        <v>0</v>
      </c>
      <c r="U342" s="4" t="b">
        <f ca="1">OR(VALUE(CALC2223!AR341)&gt;VALUE(LASTV),VALUE(CALC2223!AT341)&gt;VALUE(LASTV),VALUE(CALC2223!AV341)&gt;VALUE(LASTV))</f>
        <v>0</v>
      </c>
      <c r="V342" s="1"/>
    </row>
    <row r="343" spans="1:22" ht="20.25" customHeight="1">
      <c r="A343" s="58"/>
      <c r="B343" s="54" t="s">
        <v>22</v>
      </c>
      <c r="C343" s="55">
        <v>46241</v>
      </c>
      <c r="D343" s="56" t="str">
        <f ca="1">CONCATENATE(CALC2223!A342," ",CALC2223!C342," ",CALC2223!E342)</f>
        <v xml:space="preserve">  </v>
      </c>
      <c r="E343" s="56" t="str">
        <f ca="1">CONCATENATE(CALC2223!G342," ",CALC2223!I342," ",CALC2223!K342)</f>
        <v xml:space="preserve">  </v>
      </c>
      <c r="F343" s="56" t="str">
        <f ca="1">CONCATENATE(CALC2223!M342," ",CALC2223!O342," ",CALC2223!Q342)</f>
        <v xml:space="preserve">  </v>
      </c>
      <c r="G343" s="56" t="str">
        <f ca="1">CONCATENATE(CALC2223!S342," ",CALC2223!U342," ",CALC2223!W342)</f>
        <v xml:space="preserve">  </v>
      </c>
      <c r="H343" s="56" t="str">
        <f ca="1">CONCATENATE(CALC2223!Y342," ",CALC2223!AA342," ",CALC2223!AC342)</f>
        <v xml:space="preserve">  </v>
      </c>
      <c r="I343" s="56" t="str">
        <f ca="1">CONCATENATE(CALC2223!AE342," ",CALC2223!AG342," ",CALC2223!AI342)</f>
        <v xml:space="preserve">  </v>
      </c>
      <c r="J343" s="56" t="str">
        <f ca="1">CONCATENATE(CALC2223!AK342," ",CALC2223!AM342," ",CALC2223!AO342)</f>
        <v xml:space="preserve">  </v>
      </c>
      <c r="K343" s="56" t="str">
        <f ca="1">CONCATENATE(CALC2223!AQ342," ",CALC2223!AS342," ",CALC2223!AU342," ",CALC2223!AW342)</f>
        <v xml:space="preserve">   </v>
      </c>
      <c r="L343" s="57" t="str">
        <f t="shared" ca="1" si="1"/>
        <v>actueel</v>
      </c>
      <c r="M343" s="1"/>
      <c r="N343" s="4" t="b">
        <f ca="1">OR(VALUE(CALC2223!B342)&gt;VALUE(LASTV),VALUE(CALC2223!D342)&gt;VALUE(LASTV),VALUE(CALC2223!F342)&gt;VALUE(LASTV))</f>
        <v>0</v>
      </c>
      <c r="O343" s="4" t="b">
        <f ca="1">OR(VALUE(CALC2223!H342)&gt;VALUE(LASTV),VALUE(CALC2223!J342)&gt;VALUE(LASTV),VALUE(CALC2223!L342)&gt;VALUE(LASTV))</f>
        <v>0</v>
      </c>
      <c r="P343" s="4" t="b">
        <f ca="1">OR(VALUE(CALC2223!N342)&gt;VALUE(LASTV),VALUE(CALC2223!P342)&gt;VALUE(LASTV),VALUE(CALC2223!R342)&gt;VALUE(LASTV))</f>
        <v>0</v>
      </c>
      <c r="Q343" s="4" t="b">
        <f ca="1">OR(VALUE(CALC2223!T342)&gt;VALUE(LASTV),VALUE(CALC2223!V342)&gt;VALUE(LASTV),VALUE(CALC2223!X342)&gt;VALUE(LASTV))</f>
        <v>0</v>
      </c>
      <c r="R343" s="4" t="b">
        <f ca="1">OR(VALUE(CALC2223!Z342)&gt;VALUE(LASTV),VALUE(CALC2223!AB342)&gt;VALUE(LASTV),VALUE(CALC2223!AD342)&gt;VALUE(LASTV))</f>
        <v>0</v>
      </c>
      <c r="S343" s="4" t="b">
        <f ca="1">OR(VALUE(CALC2223!AF342)&gt;VALUE(LASTV),VALUE(CALC2223!AH342)&gt;VALUE(LASTV),VALUE(CALC2223!AJ342)&gt;VALUE(LASTV))</f>
        <v>0</v>
      </c>
      <c r="T343" s="4" t="b">
        <f ca="1">OR(VALUE(CALC2223!AL342)&gt;VALUE(LASTV),VALUE(CALC2223!AN342)&gt;VALUE(LASTV),VALUE(CALC2223!AP342)&gt;VALUE(LASTV))</f>
        <v>0</v>
      </c>
      <c r="U343" s="4" t="b">
        <f ca="1">OR(VALUE(CALC2223!AR342)&gt;VALUE(LASTV),VALUE(CALC2223!AT342)&gt;VALUE(LASTV),VALUE(CALC2223!AV342)&gt;VALUE(LASTV))</f>
        <v>0</v>
      </c>
      <c r="V343" s="1"/>
    </row>
    <row r="344" spans="1:22" ht="20.25" customHeight="1">
      <c r="A344" s="80"/>
      <c r="B344" s="81" t="s">
        <v>23</v>
      </c>
      <c r="C344" s="82">
        <v>46242</v>
      </c>
      <c r="D344" s="83" t="str">
        <f ca="1">CONCATENATE(CALC2223!A343," ",CALC2223!C343," ",CALC2223!E343)</f>
        <v xml:space="preserve">  </v>
      </c>
      <c r="E344" s="83" t="str">
        <f ca="1">CONCATENATE(CALC2223!G343," ",CALC2223!I343," ",CALC2223!K343)</f>
        <v xml:space="preserve">  </v>
      </c>
      <c r="F344" s="83" t="str">
        <f ca="1">CONCATENATE(CALC2223!M343," ",CALC2223!O343," ",CALC2223!Q343)</f>
        <v xml:space="preserve">  </v>
      </c>
      <c r="G344" s="83" t="str">
        <f ca="1">CONCATENATE(CALC2223!S343," ",CALC2223!U343," ",CALC2223!W343)</f>
        <v xml:space="preserve">  </v>
      </c>
      <c r="H344" s="83" t="str">
        <f ca="1">CONCATENATE(CALC2223!Y343," ",CALC2223!AA343," ",CALC2223!AC343)</f>
        <v xml:space="preserve">  </v>
      </c>
      <c r="I344" s="83" t="str">
        <f ca="1">CONCATENATE(CALC2223!AE343," ",CALC2223!AG343," ",CALC2223!AI343)</f>
        <v xml:space="preserve">  </v>
      </c>
      <c r="J344" s="83" t="str">
        <f ca="1">CONCATENATE(CALC2223!AK343," ",CALC2223!AM343," ",CALC2223!AO343)</f>
        <v xml:space="preserve">  </v>
      </c>
      <c r="K344" s="83" t="str">
        <f ca="1">CONCATENATE(CALC2223!AQ343," ",CALC2223!AS343," ",CALC2223!AU343," ",CALC2223!AW343)</f>
        <v xml:space="preserve">   </v>
      </c>
      <c r="L344" s="49" t="str">
        <f t="shared" ca="1" si="1"/>
        <v>actueel</v>
      </c>
      <c r="M344" s="1"/>
      <c r="N344" s="4" t="b">
        <f ca="1">OR(VALUE(CALC2223!B343)&gt;VALUE(LASTV),VALUE(CALC2223!D343)&gt;VALUE(LASTV),VALUE(CALC2223!F343)&gt;VALUE(LASTV))</f>
        <v>0</v>
      </c>
      <c r="O344" s="4" t="b">
        <f ca="1">OR(VALUE(CALC2223!H343)&gt;VALUE(LASTV),VALUE(CALC2223!J343)&gt;VALUE(LASTV),VALUE(CALC2223!L343)&gt;VALUE(LASTV))</f>
        <v>0</v>
      </c>
      <c r="P344" s="4" t="b">
        <f ca="1">OR(VALUE(CALC2223!N343)&gt;VALUE(LASTV),VALUE(CALC2223!P343)&gt;VALUE(LASTV),VALUE(CALC2223!R343)&gt;VALUE(LASTV))</f>
        <v>0</v>
      </c>
      <c r="Q344" s="4" t="b">
        <f ca="1">OR(VALUE(CALC2223!T343)&gt;VALUE(LASTV),VALUE(CALC2223!V343)&gt;VALUE(LASTV),VALUE(CALC2223!X343)&gt;VALUE(LASTV))</f>
        <v>0</v>
      </c>
      <c r="R344" s="4" t="b">
        <f ca="1">OR(VALUE(CALC2223!Z343)&gt;VALUE(LASTV),VALUE(CALC2223!AB343)&gt;VALUE(LASTV),VALUE(CALC2223!AD343)&gt;VALUE(LASTV))</f>
        <v>0</v>
      </c>
      <c r="S344" s="4" t="b">
        <f ca="1">OR(VALUE(CALC2223!AF343)&gt;VALUE(LASTV),VALUE(CALC2223!AH343)&gt;VALUE(LASTV),VALUE(CALC2223!AJ343)&gt;VALUE(LASTV))</f>
        <v>0</v>
      </c>
      <c r="T344" s="4" t="b">
        <f ca="1">OR(VALUE(CALC2223!AL343)&gt;VALUE(LASTV),VALUE(CALC2223!AN343)&gt;VALUE(LASTV),VALUE(CALC2223!AP343)&gt;VALUE(LASTV))</f>
        <v>0</v>
      </c>
      <c r="U344" s="4" t="b">
        <f ca="1">OR(VALUE(CALC2223!AR343)&gt;VALUE(LASTV),VALUE(CALC2223!AT343)&gt;VALUE(LASTV),VALUE(CALC2223!AV343)&gt;VALUE(LASTV))</f>
        <v>0</v>
      </c>
      <c r="V344" s="1"/>
    </row>
    <row r="345" spans="1:22" ht="20.25" customHeight="1">
      <c r="A345" s="80"/>
      <c r="B345" s="81" t="s">
        <v>24</v>
      </c>
      <c r="C345" s="82">
        <v>46243</v>
      </c>
      <c r="D345" s="83" t="str">
        <f ca="1">CONCATENATE(CALC2223!A344," ",CALC2223!C344," ",CALC2223!E344)</f>
        <v xml:space="preserve">  </v>
      </c>
      <c r="E345" s="83" t="str">
        <f ca="1">CONCATENATE(CALC2223!G344," ",CALC2223!I344," ",CALC2223!K344)</f>
        <v xml:space="preserve">  </v>
      </c>
      <c r="F345" s="83" t="str">
        <f ca="1">CONCATENATE(CALC2223!M344," ",CALC2223!O344," ",CALC2223!Q344)</f>
        <v xml:space="preserve">  </v>
      </c>
      <c r="G345" s="83" t="str">
        <f ca="1">CONCATENATE(CALC2223!S344," ",CALC2223!U344," ",CALC2223!W344)</f>
        <v xml:space="preserve">  </v>
      </c>
      <c r="H345" s="83" t="str">
        <f ca="1">CONCATENATE(CALC2223!Y344," ",CALC2223!AA344," ",CALC2223!AC344)</f>
        <v xml:space="preserve">  </v>
      </c>
      <c r="I345" s="83" t="str">
        <f ca="1">CONCATENATE(CALC2223!AE344," ",CALC2223!AG344," ",CALC2223!AI344)</f>
        <v xml:space="preserve">  </v>
      </c>
      <c r="J345" s="83" t="str">
        <f ca="1">CONCATENATE(CALC2223!AK344," ",CALC2223!AM344," ",CALC2223!AO344)</f>
        <v xml:space="preserve">  </v>
      </c>
      <c r="K345" s="83" t="str">
        <f ca="1">CONCATENATE(CALC2223!AQ344," ",CALC2223!AS344," ",CALC2223!AU344," ",CALC2223!AW344)</f>
        <v xml:space="preserve">   </v>
      </c>
      <c r="L345" s="49" t="str">
        <f t="shared" ca="1" si="1"/>
        <v>actueel</v>
      </c>
      <c r="M345" s="1"/>
      <c r="N345" s="4" t="b">
        <f ca="1">OR(VALUE(CALC2223!B344)&gt;VALUE(LASTV),VALUE(CALC2223!D344)&gt;VALUE(LASTV),VALUE(CALC2223!F344)&gt;VALUE(LASTV))</f>
        <v>0</v>
      </c>
      <c r="O345" s="4" t="b">
        <f ca="1">OR(VALUE(CALC2223!H344)&gt;VALUE(LASTV),VALUE(CALC2223!J344)&gt;VALUE(LASTV),VALUE(CALC2223!L344)&gt;VALUE(LASTV))</f>
        <v>0</v>
      </c>
      <c r="P345" s="4" t="b">
        <f ca="1">OR(VALUE(CALC2223!N344)&gt;VALUE(LASTV),VALUE(CALC2223!P344)&gt;VALUE(LASTV),VALUE(CALC2223!R344)&gt;VALUE(LASTV))</f>
        <v>0</v>
      </c>
      <c r="Q345" s="4" t="b">
        <f ca="1">OR(VALUE(CALC2223!T344)&gt;VALUE(LASTV),VALUE(CALC2223!V344)&gt;VALUE(LASTV),VALUE(CALC2223!X344)&gt;VALUE(LASTV))</f>
        <v>0</v>
      </c>
      <c r="R345" s="4" t="b">
        <f ca="1">OR(VALUE(CALC2223!Z344)&gt;VALUE(LASTV),VALUE(CALC2223!AB344)&gt;VALUE(LASTV),VALUE(CALC2223!AD344)&gt;VALUE(LASTV))</f>
        <v>0</v>
      </c>
      <c r="S345" s="4" t="b">
        <f ca="1">OR(VALUE(CALC2223!AF344)&gt;VALUE(LASTV),VALUE(CALC2223!AH344)&gt;VALUE(LASTV),VALUE(CALC2223!AJ344)&gt;VALUE(LASTV))</f>
        <v>0</v>
      </c>
      <c r="T345" s="4" t="b">
        <f ca="1">OR(VALUE(CALC2223!AL344)&gt;VALUE(LASTV),VALUE(CALC2223!AN344)&gt;VALUE(LASTV),VALUE(CALC2223!AP344)&gt;VALUE(LASTV))</f>
        <v>0</v>
      </c>
      <c r="U345" s="4" t="b">
        <f ca="1">OR(VALUE(CALC2223!AR344)&gt;VALUE(LASTV),VALUE(CALC2223!AT344)&gt;VALUE(LASTV),VALUE(CALC2223!AV344)&gt;VALUE(LASTV))</f>
        <v>0</v>
      </c>
      <c r="V345" s="1"/>
    </row>
    <row r="346" spans="1:22" ht="20.25" customHeight="1">
      <c r="A346" s="53">
        <v>33</v>
      </c>
      <c r="B346" s="54" t="s">
        <v>18</v>
      </c>
      <c r="C346" s="55">
        <v>46244</v>
      </c>
      <c r="D346" s="56" t="str">
        <f ca="1">CONCATENATE(CALC2223!A345," ",CALC2223!C345," ",CALC2223!E345)</f>
        <v xml:space="preserve">  </v>
      </c>
      <c r="E346" s="56" t="str">
        <f ca="1">CONCATENATE(CALC2223!G345," ",CALC2223!I345," ",CALC2223!K345)</f>
        <v xml:space="preserve">  </v>
      </c>
      <c r="F346" s="56" t="str">
        <f ca="1">CONCATENATE(CALC2223!M345," ",CALC2223!O345," ",CALC2223!Q345)</f>
        <v xml:space="preserve">  </v>
      </c>
      <c r="G346" s="56" t="str">
        <f ca="1">CONCATENATE(CALC2223!S345," ",CALC2223!U345," ",CALC2223!W345)</f>
        <v xml:space="preserve">  </v>
      </c>
      <c r="H346" s="56" t="str">
        <f ca="1">CONCATENATE(CALC2223!Y345," ",CALC2223!AA345," ",CALC2223!AC345)</f>
        <v xml:space="preserve">  </v>
      </c>
      <c r="I346" s="56" t="str">
        <f ca="1">CONCATENATE(CALC2223!AE345," ",CALC2223!AG345," ",CALC2223!AI345)</f>
        <v xml:space="preserve">  </v>
      </c>
      <c r="J346" s="56" t="str">
        <f ca="1">CONCATENATE(CALC2223!AK345," ",CALC2223!AM345," ",CALC2223!AO345)</f>
        <v xml:space="preserve">  </v>
      </c>
      <c r="K346" s="56" t="str">
        <f ca="1">CONCATENATE(CALC2223!AQ345," ",CALC2223!AS345," ",CALC2223!AU345," ",CALC2223!AW345)</f>
        <v xml:space="preserve">   Zomervakantie   </v>
      </c>
      <c r="L346" s="57" t="str">
        <f t="shared" ca="1" si="1"/>
        <v>actueel</v>
      </c>
      <c r="M346" s="1"/>
      <c r="N346" s="4" t="b">
        <f ca="1">OR(VALUE(CALC2223!B345)&gt;VALUE(LASTV),VALUE(CALC2223!D345)&gt;VALUE(LASTV),VALUE(CALC2223!F345)&gt;VALUE(LASTV))</f>
        <v>0</v>
      </c>
      <c r="O346" s="4" t="b">
        <f ca="1">OR(VALUE(CALC2223!H345)&gt;VALUE(LASTV),VALUE(CALC2223!J345)&gt;VALUE(LASTV),VALUE(CALC2223!L345)&gt;VALUE(LASTV))</f>
        <v>0</v>
      </c>
      <c r="P346" s="4" t="b">
        <f ca="1">OR(VALUE(CALC2223!N345)&gt;VALUE(LASTV),VALUE(CALC2223!P345)&gt;VALUE(LASTV),VALUE(CALC2223!R345)&gt;VALUE(LASTV))</f>
        <v>0</v>
      </c>
      <c r="Q346" s="4" t="b">
        <f ca="1">OR(VALUE(CALC2223!T345)&gt;VALUE(LASTV),VALUE(CALC2223!V345)&gt;VALUE(LASTV),VALUE(CALC2223!X345)&gt;VALUE(LASTV))</f>
        <v>0</v>
      </c>
      <c r="R346" s="4" t="b">
        <f ca="1">OR(VALUE(CALC2223!Z345)&gt;VALUE(LASTV),VALUE(CALC2223!AB345)&gt;VALUE(LASTV),VALUE(CALC2223!AD345)&gt;VALUE(LASTV))</f>
        <v>0</v>
      </c>
      <c r="S346" s="4" t="b">
        <f ca="1">OR(VALUE(CALC2223!AF345)&gt;VALUE(LASTV),VALUE(CALC2223!AH345)&gt;VALUE(LASTV),VALUE(CALC2223!AJ345)&gt;VALUE(LASTV))</f>
        <v>0</v>
      </c>
      <c r="T346" s="4" t="b">
        <f ca="1">OR(VALUE(CALC2223!AL345)&gt;VALUE(LASTV),VALUE(CALC2223!AN345)&gt;VALUE(LASTV),VALUE(CALC2223!AP345)&gt;VALUE(LASTV))</f>
        <v>0</v>
      </c>
      <c r="U346" s="4" t="b">
        <f ca="1">OR(VALUE(CALC2223!AR345)&gt;VALUE(LASTV),VALUE(CALC2223!AT345)&gt;VALUE(LASTV),VALUE(CALC2223!AV345)&gt;VALUE(LASTV))</f>
        <v>0</v>
      </c>
      <c r="V346" s="1"/>
    </row>
    <row r="347" spans="1:22" ht="20.25" customHeight="1">
      <c r="A347" s="58"/>
      <c r="B347" s="54" t="s">
        <v>19</v>
      </c>
      <c r="C347" s="55">
        <v>46245</v>
      </c>
      <c r="D347" s="56" t="str">
        <f ca="1">CONCATENATE(CALC2223!A346," ",CALC2223!C346," ",CALC2223!E346)</f>
        <v xml:space="preserve">  </v>
      </c>
      <c r="E347" s="56" t="str">
        <f ca="1">CONCATENATE(CALC2223!G346," ",CALC2223!I346," ",CALC2223!K346)</f>
        <v xml:space="preserve">  </v>
      </c>
      <c r="F347" s="56" t="str">
        <f ca="1">CONCATENATE(CALC2223!M346," ",CALC2223!O346," ",CALC2223!Q346)</f>
        <v xml:space="preserve">  </v>
      </c>
      <c r="G347" s="56" t="str">
        <f ca="1">CONCATENATE(CALC2223!S346," ",CALC2223!U346," ",CALC2223!W346)</f>
        <v xml:space="preserve">  </v>
      </c>
      <c r="H347" s="56" t="str">
        <f ca="1">CONCATENATE(CALC2223!Y346," ",CALC2223!AA346," ",CALC2223!AC346)</f>
        <v xml:space="preserve">  </v>
      </c>
      <c r="I347" s="56" t="str">
        <f ca="1">CONCATENATE(CALC2223!AE346," ",CALC2223!AG346," ",CALC2223!AI346)</f>
        <v xml:space="preserve">  </v>
      </c>
      <c r="J347" s="56" t="str">
        <f ca="1">CONCATENATE(CALC2223!AK346," ",CALC2223!AM346," ",CALC2223!AO346)</f>
        <v xml:space="preserve">  </v>
      </c>
      <c r="K347" s="56" t="str">
        <f ca="1">CONCATENATE(CALC2223!AQ346," ",CALC2223!AS346," ",CALC2223!AU346," ",CALC2223!AW346)</f>
        <v xml:space="preserve">   </v>
      </c>
      <c r="L347" s="57" t="str">
        <f t="shared" ca="1" si="1"/>
        <v>actueel</v>
      </c>
      <c r="M347" s="1"/>
      <c r="N347" s="4" t="b">
        <f ca="1">OR(VALUE(CALC2223!B346)&gt;VALUE(LASTV),VALUE(CALC2223!D346)&gt;VALUE(LASTV),VALUE(CALC2223!F346)&gt;VALUE(LASTV))</f>
        <v>0</v>
      </c>
      <c r="O347" s="4" t="b">
        <f ca="1">OR(VALUE(CALC2223!H346)&gt;VALUE(LASTV),VALUE(CALC2223!J346)&gt;VALUE(LASTV),VALUE(CALC2223!L346)&gt;VALUE(LASTV))</f>
        <v>0</v>
      </c>
      <c r="P347" s="4" t="b">
        <f ca="1">OR(VALUE(CALC2223!N346)&gt;VALUE(LASTV),VALUE(CALC2223!P346)&gt;VALUE(LASTV),VALUE(CALC2223!R346)&gt;VALUE(LASTV))</f>
        <v>0</v>
      </c>
      <c r="Q347" s="4" t="b">
        <f ca="1">OR(VALUE(CALC2223!T346)&gt;VALUE(LASTV),VALUE(CALC2223!V346)&gt;VALUE(LASTV),VALUE(CALC2223!X346)&gt;VALUE(LASTV))</f>
        <v>0</v>
      </c>
      <c r="R347" s="4" t="b">
        <f ca="1">OR(VALUE(CALC2223!Z346)&gt;VALUE(LASTV),VALUE(CALC2223!AB346)&gt;VALUE(LASTV),VALUE(CALC2223!AD346)&gt;VALUE(LASTV))</f>
        <v>0</v>
      </c>
      <c r="S347" s="4" t="b">
        <f ca="1">OR(VALUE(CALC2223!AF346)&gt;VALUE(LASTV),VALUE(CALC2223!AH346)&gt;VALUE(LASTV),VALUE(CALC2223!AJ346)&gt;VALUE(LASTV))</f>
        <v>0</v>
      </c>
      <c r="T347" s="4" t="b">
        <f ca="1">OR(VALUE(CALC2223!AL346)&gt;VALUE(LASTV),VALUE(CALC2223!AN346)&gt;VALUE(LASTV),VALUE(CALC2223!AP346)&gt;VALUE(LASTV))</f>
        <v>0</v>
      </c>
      <c r="U347" s="4" t="b">
        <f ca="1">OR(VALUE(CALC2223!AR346)&gt;VALUE(LASTV),VALUE(CALC2223!AT346)&gt;VALUE(LASTV),VALUE(CALC2223!AV346)&gt;VALUE(LASTV))</f>
        <v>0</v>
      </c>
      <c r="V347" s="1"/>
    </row>
    <row r="348" spans="1:22" ht="20.25" customHeight="1">
      <c r="A348" s="58"/>
      <c r="B348" s="54" t="s">
        <v>20</v>
      </c>
      <c r="C348" s="55">
        <v>46246</v>
      </c>
      <c r="D348" s="56" t="str">
        <f ca="1">CONCATENATE(CALC2223!A347," ",CALC2223!C347," ",CALC2223!E347)</f>
        <v xml:space="preserve">  </v>
      </c>
      <c r="E348" s="56" t="str">
        <f ca="1">CONCATENATE(CALC2223!G347," ",CALC2223!I347," ",CALC2223!K347)</f>
        <v xml:space="preserve">  </v>
      </c>
      <c r="F348" s="56" t="str">
        <f ca="1">CONCATENATE(CALC2223!M347," ",CALC2223!O347," ",CALC2223!Q347)</f>
        <v xml:space="preserve">  </v>
      </c>
      <c r="G348" s="56" t="str">
        <f ca="1">CONCATENATE(CALC2223!S347," ",CALC2223!U347," ",CALC2223!W347)</f>
        <v xml:space="preserve">  </v>
      </c>
      <c r="H348" s="56" t="str">
        <f ca="1">CONCATENATE(CALC2223!Y347," ",CALC2223!AA347," ",CALC2223!AC347)</f>
        <v xml:space="preserve">  </v>
      </c>
      <c r="I348" s="56" t="str">
        <f ca="1">CONCATENATE(CALC2223!AE347," ",CALC2223!AG347," ",CALC2223!AI347)</f>
        <v xml:space="preserve">  </v>
      </c>
      <c r="J348" s="56" t="str">
        <f ca="1">CONCATENATE(CALC2223!AK347," ",CALC2223!AM347," ",CALC2223!AO347)</f>
        <v xml:space="preserve">  </v>
      </c>
      <c r="K348" s="56" t="str">
        <f ca="1">CONCATENATE(CALC2223!AQ347," ",CALC2223!AS347," ",CALC2223!AU347," ",CALC2223!AW347)</f>
        <v xml:space="preserve">   </v>
      </c>
      <c r="L348" s="57" t="str">
        <f t="shared" ca="1" si="1"/>
        <v>actueel</v>
      </c>
      <c r="M348" s="1"/>
      <c r="N348" s="4" t="b">
        <f ca="1">OR(VALUE(CALC2223!B347)&gt;VALUE(LASTV),VALUE(CALC2223!D347)&gt;VALUE(LASTV),VALUE(CALC2223!F347)&gt;VALUE(LASTV))</f>
        <v>0</v>
      </c>
      <c r="O348" s="4" t="b">
        <f ca="1">OR(VALUE(CALC2223!H347)&gt;VALUE(LASTV),VALUE(CALC2223!J347)&gt;VALUE(LASTV),VALUE(CALC2223!L347)&gt;VALUE(LASTV))</f>
        <v>0</v>
      </c>
      <c r="P348" s="4" t="b">
        <f ca="1">OR(VALUE(CALC2223!N347)&gt;VALUE(LASTV),VALUE(CALC2223!P347)&gt;VALUE(LASTV),VALUE(CALC2223!R347)&gt;VALUE(LASTV))</f>
        <v>0</v>
      </c>
      <c r="Q348" s="4" t="b">
        <f ca="1">OR(VALUE(CALC2223!T347)&gt;VALUE(LASTV),VALUE(CALC2223!V347)&gt;VALUE(LASTV),VALUE(CALC2223!X347)&gt;VALUE(LASTV))</f>
        <v>0</v>
      </c>
      <c r="R348" s="4" t="b">
        <f ca="1">OR(VALUE(CALC2223!Z347)&gt;VALUE(LASTV),VALUE(CALC2223!AB347)&gt;VALUE(LASTV),VALUE(CALC2223!AD347)&gt;VALUE(LASTV))</f>
        <v>0</v>
      </c>
      <c r="S348" s="4" t="b">
        <f ca="1">OR(VALUE(CALC2223!AF347)&gt;VALUE(LASTV),VALUE(CALC2223!AH347)&gt;VALUE(LASTV),VALUE(CALC2223!AJ347)&gt;VALUE(LASTV))</f>
        <v>0</v>
      </c>
      <c r="T348" s="4" t="b">
        <f ca="1">OR(VALUE(CALC2223!AL347)&gt;VALUE(LASTV),VALUE(CALC2223!AN347)&gt;VALUE(LASTV),VALUE(CALC2223!AP347)&gt;VALUE(LASTV))</f>
        <v>0</v>
      </c>
      <c r="U348" s="4" t="b">
        <f ca="1">OR(VALUE(CALC2223!AR347)&gt;VALUE(LASTV),VALUE(CALC2223!AT347)&gt;VALUE(LASTV),VALUE(CALC2223!AV347)&gt;VALUE(LASTV))</f>
        <v>0</v>
      </c>
      <c r="V348" s="1"/>
    </row>
    <row r="349" spans="1:22" ht="20.25" customHeight="1">
      <c r="A349" s="58"/>
      <c r="B349" s="54" t="s">
        <v>21</v>
      </c>
      <c r="C349" s="55">
        <v>46247</v>
      </c>
      <c r="D349" s="56" t="str">
        <f ca="1">CONCATENATE(CALC2223!A348," ",CALC2223!C348," ",CALC2223!E348)</f>
        <v xml:space="preserve">  </v>
      </c>
      <c r="E349" s="56" t="str">
        <f ca="1">CONCATENATE(CALC2223!G348," ",CALC2223!I348," ",CALC2223!K348)</f>
        <v xml:space="preserve">  </v>
      </c>
      <c r="F349" s="56" t="str">
        <f ca="1">CONCATENATE(CALC2223!M348," ",CALC2223!O348," ",CALC2223!Q348)</f>
        <v xml:space="preserve">  </v>
      </c>
      <c r="G349" s="56" t="str">
        <f ca="1">CONCATENATE(CALC2223!S348," ",CALC2223!U348," ",CALC2223!W348)</f>
        <v xml:space="preserve">  </v>
      </c>
      <c r="H349" s="56" t="str">
        <f ca="1">CONCATENATE(CALC2223!Y348," ",CALC2223!AA348," ",CALC2223!AC348)</f>
        <v xml:space="preserve">  </v>
      </c>
      <c r="I349" s="56" t="str">
        <f ca="1">CONCATENATE(CALC2223!AE348," ",CALC2223!AG348," ",CALC2223!AI348)</f>
        <v xml:space="preserve">  </v>
      </c>
      <c r="J349" s="56" t="str">
        <f ca="1">CONCATENATE(CALC2223!AK348," ",CALC2223!AM348," ",CALC2223!AO348)</f>
        <v xml:space="preserve">  </v>
      </c>
      <c r="K349" s="56" t="str">
        <f ca="1">CONCATENATE(CALC2223!AQ348," ",CALC2223!AS348," ",CALC2223!AU348," ",CALC2223!AW348)</f>
        <v xml:space="preserve">   </v>
      </c>
      <c r="L349" s="57" t="str">
        <f t="shared" ca="1" si="1"/>
        <v>actueel</v>
      </c>
      <c r="M349" s="1"/>
      <c r="N349" s="4" t="b">
        <f ca="1">OR(VALUE(CALC2223!B348)&gt;VALUE(LASTV),VALUE(CALC2223!D348)&gt;VALUE(LASTV),VALUE(CALC2223!F348)&gt;VALUE(LASTV))</f>
        <v>0</v>
      </c>
      <c r="O349" s="4" t="b">
        <f ca="1">OR(VALUE(CALC2223!H348)&gt;VALUE(LASTV),VALUE(CALC2223!J348)&gt;VALUE(LASTV),VALUE(CALC2223!L348)&gt;VALUE(LASTV))</f>
        <v>0</v>
      </c>
      <c r="P349" s="4" t="b">
        <f ca="1">OR(VALUE(CALC2223!N348)&gt;VALUE(LASTV),VALUE(CALC2223!P348)&gt;VALUE(LASTV),VALUE(CALC2223!R348)&gt;VALUE(LASTV))</f>
        <v>0</v>
      </c>
      <c r="Q349" s="4" t="b">
        <f ca="1">OR(VALUE(CALC2223!T348)&gt;VALUE(LASTV),VALUE(CALC2223!V348)&gt;VALUE(LASTV),VALUE(CALC2223!X348)&gt;VALUE(LASTV))</f>
        <v>0</v>
      </c>
      <c r="R349" s="4" t="b">
        <f ca="1">OR(VALUE(CALC2223!Z348)&gt;VALUE(LASTV),VALUE(CALC2223!AB348)&gt;VALUE(LASTV),VALUE(CALC2223!AD348)&gt;VALUE(LASTV))</f>
        <v>0</v>
      </c>
      <c r="S349" s="4" t="b">
        <f ca="1">OR(VALUE(CALC2223!AF348)&gt;VALUE(LASTV),VALUE(CALC2223!AH348)&gt;VALUE(LASTV),VALUE(CALC2223!AJ348)&gt;VALUE(LASTV))</f>
        <v>0</v>
      </c>
      <c r="T349" s="4" t="b">
        <f ca="1">OR(VALUE(CALC2223!AL348)&gt;VALUE(LASTV),VALUE(CALC2223!AN348)&gt;VALUE(LASTV),VALUE(CALC2223!AP348)&gt;VALUE(LASTV))</f>
        <v>0</v>
      </c>
      <c r="U349" s="4" t="b">
        <f ca="1">OR(VALUE(CALC2223!AR348)&gt;VALUE(LASTV),VALUE(CALC2223!AT348)&gt;VALUE(LASTV),VALUE(CALC2223!AV348)&gt;VALUE(LASTV))</f>
        <v>0</v>
      </c>
      <c r="V349" s="1"/>
    </row>
    <row r="350" spans="1:22" ht="20.25" customHeight="1">
      <c r="A350" s="58"/>
      <c r="B350" s="54" t="s">
        <v>22</v>
      </c>
      <c r="C350" s="55">
        <v>46248</v>
      </c>
      <c r="D350" s="56" t="str">
        <f ca="1">CONCATENATE(CALC2223!A349," ",CALC2223!C349," ",CALC2223!E349)</f>
        <v xml:space="preserve">  </v>
      </c>
      <c r="E350" s="56" t="str">
        <f ca="1">CONCATENATE(CALC2223!G349," ",CALC2223!I349," ",CALC2223!K349)</f>
        <v xml:space="preserve">  </v>
      </c>
      <c r="F350" s="56" t="str">
        <f ca="1">CONCATENATE(CALC2223!M349," ",CALC2223!O349," ",CALC2223!Q349)</f>
        <v xml:space="preserve">  </v>
      </c>
      <c r="G350" s="56" t="str">
        <f ca="1">CONCATENATE(CALC2223!S349," ",CALC2223!U349," ",CALC2223!W349)</f>
        <v xml:space="preserve">  </v>
      </c>
      <c r="H350" s="56" t="str">
        <f ca="1">CONCATENATE(CALC2223!Y349," ",CALC2223!AA349," ",CALC2223!AC349)</f>
        <v xml:space="preserve">  </v>
      </c>
      <c r="I350" s="56" t="str">
        <f ca="1">CONCATENATE(CALC2223!AE349," ",CALC2223!AG349," ",CALC2223!AI349)</f>
        <v xml:space="preserve">  </v>
      </c>
      <c r="J350" s="56" t="str">
        <f ca="1">CONCATENATE(CALC2223!AK349," ",CALC2223!AM349," ",CALC2223!AO349)</f>
        <v xml:space="preserve">  </v>
      </c>
      <c r="K350" s="56" t="str">
        <f ca="1">CONCATENATE(CALC2223!AQ349," ",CALC2223!AS349," ",CALC2223!AU349," ",CALC2223!AW349)</f>
        <v xml:space="preserve">   </v>
      </c>
      <c r="L350" s="57" t="str">
        <f t="shared" ca="1" si="1"/>
        <v>actueel</v>
      </c>
      <c r="M350" s="1"/>
      <c r="N350" s="4" t="b">
        <f ca="1">OR(VALUE(CALC2223!B349)&gt;VALUE(LASTV),VALUE(CALC2223!D349)&gt;VALUE(LASTV),VALUE(CALC2223!F349)&gt;VALUE(LASTV))</f>
        <v>0</v>
      </c>
      <c r="O350" s="4" t="b">
        <f ca="1">OR(VALUE(CALC2223!H349)&gt;VALUE(LASTV),VALUE(CALC2223!J349)&gt;VALUE(LASTV),VALUE(CALC2223!L349)&gt;VALUE(LASTV))</f>
        <v>0</v>
      </c>
      <c r="P350" s="4" t="b">
        <f ca="1">OR(VALUE(CALC2223!N349)&gt;VALUE(LASTV),VALUE(CALC2223!P349)&gt;VALUE(LASTV),VALUE(CALC2223!R349)&gt;VALUE(LASTV))</f>
        <v>0</v>
      </c>
      <c r="Q350" s="4" t="b">
        <f ca="1">OR(VALUE(CALC2223!T349)&gt;VALUE(LASTV),VALUE(CALC2223!V349)&gt;VALUE(LASTV),VALUE(CALC2223!X349)&gt;VALUE(LASTV))</f>
        <v>0</v>
      </c>
      <c r="R350" s="4" t="b">
        <f ca="1">OR(VALUE(CALC2223!Z349)&gt;VALUE(LASTV),VALUE(CALC2223!AB349)&gt;VALUE(LASTV),VALUE(CALC2223!AD349)&gt;VALUE(LASTV))</f>
        <v>0</v>
      </c>
      <c r="S350" s="4" t="b">
        <f ca="1">OR(VALUE(CALC2223!AF349)&gt;VALUE(LASTV),VALUE(CALC2223!AH349)&gt;VALUE(LASTV),VALUE(CALC2223!AJ349)&gt;VALUE(LASTV))</f>
        <v>0</v>
      </c>
      <c r="T350" s="4" t="b">
        <f ca="1">OR(VALUE(CALC2223!AL349)&gt;VALUE(LASTV),VALUE(CALC2223!AN349)&gt;VALUE(LASTV),VALUE(CALC2223!AP349)&gt;VALUE(LASTV))</f>
        <v>0</v>
      </c>
      <c r="U350" s="4" t="b">
        <f ca="1">OR(VALUE(CALC2223!AR349)&gt;VALUE(LASTV),VALUE(CALC2223!AT349)&gt;VALUE(LASTV),VALUE(CALC2223!AV349)&gt;VALUE(LASTV))</f>
        <v>0</v>
      </c>
      <c r="V350" s="1"/>
    </row>
    <row r="351" spans="1:22" ht="20.25" customHeight="1">
      <c r="A351" s="80"/>
      <c r="B351" s="81" t="s">
        <v>23</v>
      </c>
      <c r="C351" s="82">
        <v>46249</v>
      </c>
      <c r="D351" s="83" t="str">
        <f ca="1">CONCATENATE(CALC2223!A350," ",CALC2223!C350," ",CALC2223!E350)</f>
        <v xml:space="preserve">  </v>
      </c>
      <c r="E351" s="83" t="str">
        <f ca="1">CONCATENATE(CALC2223!G350," ",CALC2223!I350," ",CALC2223!K350)</f>
        <v xml:space="preserve">  </v>
      </c>
      <c r="F351" s="83" t="str">
        <f ca="1">CONCATENATE(CALC2223!M350," ",CALC2223!O350," ",CALC2223!Q350)</f>
        <v xml:space="preserve">  </v>
      </c>
      <c r="G351" s="83" t="str">
        <f ca="1">CONCATENATE(CALC2223!S350," ",CALC2223!U350," ",CALC2223!W350)</f>
        <v xml:space="preserve">  </v>
      </c>
      <c r="H351" s="83" t="str">
        <f ca="1">CONCATENATE(CALC2223!Y350," ",CALC2223!AA350," ",CALC2223!AC350)</f>
        <v xml:space="preserve">  </v>
      </c>
      <c r="I351" s="83" t="str">
        <f ca="1">CONCATENATE(CALC2223!AE350," ",CALC2223!AG350," ",CALC2223!AI350)</f>
        <v xml:space="preserve">  </v>
      </c>
      <c r="J351" s="83" t="str">
        <f ca="1">CONCATENATE(CALC2223!AK350," ",CALC2223!AM350," ",CALC2223!AO350)</f>
        <v xml:space="preserve">  </v>
      </c>
      <c r="K351" s="83" t="str">
        <f ca="1">CONCATENATE(CALC2223!AQ350," ",CALC2223!AS350," ",CALC2223!AU350," ",CALC2223!AW350)</f>
        <v xml:space="preserve">   </v>
      </c>
      <c r="L351" s="49" t="str">
        <f t="shared" ca="1" si="1"/>
        <v>actueel</v>
      </c>
      <c r="M351" s="1"/>
      <c r="N351" s="4" t="b">
        <f ca="1">OR(VALUE(CALC2223!B350)&gt;VALUE(LASTV),VALUE(CALC2223!D350)&gt;VALUE(LASTV),VALUE(CALC2223!F350)&gt;VALUE(LASTV))</f>
        <v>0</v>
      </c>
      <c r="O351" s="4" t="b">
        <f ca="1">OR(VALUE(CALC2223!H350)&gt;VALUE(LASTV),VALUE(CALC2223!J350)&gt;VALUE(LASTV),VALUE(CALC2223!L350)&gt;VALUE(LASTV))</f>
        <v>0</v>
      </c>
      <c r="P351" s="4" t="b">
        <f ca="1">OR(VALUE(CALC2223!N350)&gt;VALUE(LASTV),VALUE(CALC2223!P350)&gt;VALUE(LASTV),VALUE(CALC2223!R350)&gt;VALUE(LASTV))</f>
        <v>0</v>
      </c>
      <c r="Q351" s="4" t="b">
        <f ca="1">OR(VALUE(CALC2223!T350)&gt;VALUE(LASTV),VALUE(CALC2223!V350)&gt;VALUE(LASTV),VALUE(CALC2223!X350)&gt;VALUE(LASTV))</f>
        <v>0</v>
      </c>
      <c r="R351" s="4" t="b">
        <f ca="1">OR(VALUE(CALC2223!Z350)&gt;VALUE(LASTV),VALUE(CALC2223!AB350)&gt;VALUE(LASTV),VALUE(CALC2223!AD350)&gt;VALUE(LASTV))</f>
        <v>0</v>
      </c>
      <c r="S351" s="4" t="b">
        <f ca="1">OR(VALUE(CALC2223!AF350)&gt;VALUE(LASTV),VALUE(CALC2223!AH350)&gt;VALUE(LASTV),VALUE(CALC2223!AJ350)&gt;VALUE(LASTV))</f>
        <v>0</v>
      </c>
      <c r="T351" s="4" t="b">
        <f ca="1">OR(VALUE(CALC2223!AL350)&gt;VALUE(LASTV),VALUE(CALC2223!AN350)&gt;VALUE(LASTV),VALUE(CALC2223!AP350)&gt;VALUE(LASTV))</f>
        <v>0</v>
      </c>
      <c r="U351" s="4" t="b">
        <f ca="1">OR(VALUE(CALC2223!AR350)&gt;VALUE(LASTV),VALUE(CALC2223!AT350)&gt;VALUE(LASTV),VALUE(CALC2223!AV350)&gt;VALUE(LASTV))</f>
        <v>0</v>
      </c>
      <c r="V351" s="1"/>
    </row>
    <row r="352" spans="1:22" ht="20.25" customHeight="1">
      <c r="A352" s="80"/>
      <c r="B352" s="81" t="s">
        <v>24</v>
      </c>
      <c r="C352" s="82">
        <v>46250</v>
      </c>
      <c r="D352" s="83" t="str">
        <f ca="1">CONCATENATE(CALC2223!A351," ",CALC2223!C351," ",CALC2223!E351)</f>
        <v xml:space="preserve">  </v>
      </c>
      <c r="E352" s="83" t="str">
        <f ca="1">CONCATENATE(CALC2223!G351," ",CALC2223!I351," ",CALC2223!K351)</f>
        <v xml:space="preserve">  </v>
      </c>
      <c r="F352" s="83" t="str">
        <f ca="1">CONCATENATE(CALC2223!M351," ",CALC2223!O351," ",CALC2223!Q351)</f>
        <v xml:space="preserve">  </v>
      </c>
      <c r="G352" s="83" t="str">
        <f ca="1">CONCATENATE(CALC2223!S351," ",CALC2223!U351," ",CALC2223!W351)</f>
        <v xml:space="preserve">  </v>
      </c>
      <c r="H352" s="83" t="str">
        <f ca="1">CONCATENATE(CALC2223!Y351," ",CALC2223!AA351," ",CALC2223!AC351)</f>
        <v xml:space="preserve">  </v>
      </c>
      <c r="I352" s="83" t="str">
        <f ca="1">CONCATENATE(CALC2223!AE351," ",CALC2223!AG351," ",CALC2223!AI351)</f>
        <v xml:space="preserve">  </v>
      </c>
      <c r="J352" s="83" t="str">
        <f ca="1">CONCATENATE(CALC2223!AK351," ",CALC2223!AM351," ",CALC2223!AO351)</f>
        <v xml:space="preserve">  </v>
      </c>
      <c r="K352" s="83" t="str">
        <f ca="1">CONCATENATE(CALC2223!AQ351," ",CALC2223!AS351," ",CALC2223!AU351," ",CALC2223!AW351)</f>
        <v xml:space="preserve">   </v>
      </c>
      <c r="L352" s="49" t="str">
        <f t="shared" ca="1" si="1"/>
        <v>actueel</v>
      </c>
      <c r="M352" s="1"/>
      <c r="N352" s="4" t="b">
        <f ca="1">OR(VALUE(CALC2223!B351)&gt;VALUE(LASTV),VALUE(CALC2223!D351)&gt;VALUE(LASTV),VALUE(CALC2223!F351)&gt;VALUE(LASTV))</f>
        <v>0</v>
      </c>
      <c r="O352" s="4" t="b">
        <f ca="1">OR(VALUE(CALC2223!H351)&gt;VALUE(LASTV),VALUE(CALC2223!J351)&gt;VALUE(LASTV),VALUE(CALC2223!L351)&gt;VALUE(LASTV))</f>
        <v>0</v>
      </c>
      <c r="P352" s="4" t="b">
        <f ca="1">OR(VALUE(CALC2223!N351)&gt;VALUE(LASTV),VALUE(CALC2223!P351)&gt;VALUE(LASTV),VALUE(CALC2223!R351)&gt;VALUE(LASTV))</f>
        <v>0</v>
      </c>
      <c r="Q352" s="4" t="b">
        <f ca="1">OR(VALUE(CALC2223!T351)&gt;VALUE(LASTV),VALUE(CALC2223!V351)&gt;VALUE(LASTV),VALUE(CALC2223!X351)&gt;VALUE(LASTV))</f>
        <v>0</v>
      </c>
      <c r="R352" s="4" t="b">
        <f ca="1">OR(VALUE(CALC2223!Z351)&gt;VALUE(LASTV),VALUE(CALC2223!AB351)&gt;VALUE(LASTV),VALUE(CALC2223!AD351)&gt;VALUE(LASTV))</f>
        <v>0</v>
      </c>
      <c r="S352" s="4" t="b">
        <f ca="1">OR(VALUE(CALC2223!AF351)&gt;VALUE(LASTV),VALUE(CALC2223!AH351)&gt;VALUE(LASTV),VALUE(CALC2223!AJ351)&gt;VALUE(LASTV))</f>
        <v>0</v>
      </c>
      <c r="T352" s="4" t="b">
        <f ca="1">OR(VALUE(CALC2223!AL351)&gt;VALUE(LASTV),VALUE(CALC2223!AN351)&gt;VALUE(LASTV),VALUE(CALC2223!AP351)&gt;VALUE(LASTV))</f>
        <v>0</v>
      </c>
      <c r="U352" s="4" t="b">
        <f ca="1">OR(VALUE(CALC2223!AR351)&gt;VALUE(LASTV),VALUE(CALC2223!AT351)&gt;VALUE(LASTV),VALUE(CALC2223!AV351)&gt;VALUE(LASTV))</f>
        <v>0</v>
      </c>
      <c r="V352" s="1"/>
    </row>
    <row r="353" spans="1:22" ht="20.25" customHeight="1">
      <c r="A353" s="53">
        <v>34</v>
      </c>
      <c r="B353" s="54" t="s">
        <v>18</v>
      </c>
      <c r="C353" s="55">
        <v>46251</v>
      </c>
      <c r="D353" s="56" t="str">
        <f ca="1">CONCATENATE(CALC2223!A352," ",CALC2223!C352," ",CALC2223!E352)</f>
        <v xml:space="preserve">  </v>
      </c>
      <c r="E353" s="56" t="str">
        <f ca="1">CONCATENATE(CALC2223!G352," ",CALC2223!I352," ",CALC2223!K352)</f>
        <v xml:space="preserve">  </v>
      </c>
      <c r="F353" s="56" t="str">
        <f ca="1">CONCATENATE(CALC2223!M352," ",CALC2223!O352," ",CALC2223!Q352)</f>
        <v xml:space="preserve">  </v>
      </c>
      <c r="G353" s="56" t="str">
        <f ca="1">CONCATENATE(CALC2223!S352," ",CALC2223!U352," ",CALC2223!W352)</f>
        <v xml:space="preserve">  </v>
      </c>
      <c r="H353" s="56" t="str">
        <f ca="1">CONCATENATE(CALC2223!Y352," ",CALC2223!AA352," ",CALC2223!AC352)</f>
        <v xml:space="preserve">  </v>
      </c>
      <c r="I353" s="56" t="str">
        <f ca="1">CONCATENATE(CALC2223!AE352," ",CALC2223!AG352," ",CALC2223!AI352)</f>
        <v xml:space="preserve">  </v>
      </c>
      <c r="J353" s="56" t="str">
        <f ca="1">CONCATENATE(CALC2223!AK352," ",CALC2223!AM352," ",CALC2223!AO352)</f>
        <v xml:space="preserve">  </v>
      </c>
      <c r="K353" s="56" t="str">
        <f ca="1">CONCATENATE(CALC2223!AQ352," ",CALC2223!AS352," ",CALC2223!AU352," ",CALC2223!AW352)</f>
        <v xml:space="preserve">   Zomervakantie   </v>
      </c>
      <c r="L353" s="57" t="str">
        <f t="shared" ca="1" si="1"/>
        <v>actueel</v>
      </c>
      <c r="M353" s="1"/>
      <c r="N353" s="4" t="b">
        <f ca="1">OR(VALUE(CALC2223!B352)&gt;VALUE(LASTV),VALUE(CALC2223!D352)&gt;VALUE(LASTV),VALUE(CALC2223!F352)&gt;VALUE(LASTV))</f>
        <v>0</v>
      </c>
      <c r="O353" s="4" t="b">
        <f ca="1">OR(VALUE(CALC2223!H352)&gt;VALUE(LASTV),VALUE(CALC2223!J352)&gt;VALUE(LASTV),VALUE(CALC2223!L352)&gt;VALUE(LASTV))</f>
        <v>0</v>
      </c>
      <c r="P353" s="4" t="b">
        <f ca="1">OR(VALUE(CALC2223!N352)&gt;VALUE(LASTV),VALUE(CALC2223!P352)&gt;VALUE(LASTV),VALUE(CALC2223!R352)&gt;VALUE(LASTV))</f>
        <v>0</v>
      </c>
      <c r="Q353" s="4" t="b">
        <f ca="1">OR(VALUE(CALC2223!T352)&gt;VALUE(LASTV),VALUE(CALC2223!V352)&gt;VALUE(LASTV),VALUE(CALC2223!X352)&gt;VALUE(LASTV))</f>
        <v>0</v>
      </c>
      <c r="R353" s="4" t="b">
        <f ca="1">OR(VALUE(CALC2223!Z352)&gt;VALUE(LASTV),VALUE(CALC2223!AB352)&gt;VALUE(LASTV),VALUE(CALC2223!AD352)&gt;VALUE(LASTV))</f>
        <v>0</v>
      </c>
      <c r="S353" s="4" t="b">
        <f ca="1">OR(VALUE(CALC2223!AF352)&gt;VALUE(LASTV),VALUE(CALC2223!AH352)&gt;VALUE(LASTV),VALUE(CALC2223!AJ352)&gt;VALUE(LASTV))</f>
        <v>0</v>
      </c>
      <c r="T353" s="4" t="b">
        <f ca="1">OR(VALUE(CALC2223!AL352)&gt;VALUE(LASTV),VALUE(CALC2223!AN352)&gt;VALUE(LASTV),VALUE(CALC2223!AP352)&gt;VALUE(LASTV))</f>
        <v>0</v>
      </c>
      <c r="U353" s="4" t="b">
        <f ca="1">OR(VALUE(CALC2223!AR352)&gt;VALUE(LASTV),VALUE(CALC2223!AT352)&gt;VALUE(LASTV),VALUE(CALC2223!AV352)&gt;VALUE(LASTV))</f>
        <v>0</v>
      </c>
      <c r="V353" s="1"/>
    </row>
    <row r="354" spans="1:22" ht="20.25" customHeight="1">
      <c r="A354" s="58"/>
      <c r="B354" s="54" t="s">
        <v>19</v>
      </c>
      <c r="C354" s="55">
        <v>46252</v>
      </c>
      <c r="D354" s="56" t="str">
        <f ca="1">CONCATENATE(CALC2223!A353," ",CALC2223!C353," ",CALC2223!E353)</f>
        <v xml:space="preserve">  </v>
      </c>
      <c r="E354" s="56" t="str">
        <f ca="1">CONCATENATE(CALC2223!G353," ",CALC2223!I353," ",CALC2223!K353)</f>
        <v xml:space="preserve">  </v>
      </c>
      <c r="F354" s="56" t="str">
        <f ca="1">CONCATENATE(CALC2223!M353," ",CALC2223!O353," ",CALC2223!Q353)</f>
        <v xml:space="preserve">  </v>
      </c>
      <c r="G354" s="56" t="str">
        <f ca="1">CONCATENATE(CALC2223!S353," ",CALC2223!U353," ",CALC2223!W353)</f>
        <v xml:space="preserve">  </v>
      </c>
      <c r="H354" s="56" t="str">
        <f ca="1">CONCATENATE(CALC2223!Y353," ",CALC2223!AA353," ",CALC2223!AC353)</f>
        <v xml:space="preserve">  </v>
      </c>
      <c r="I354" s="56" t="str">
        <f ca="1">CONCATENATE(CALC2223!AE353," ",CALC2223!AG353," ",CALC2223!AI353)</f>
        <v xml:space="preserve">  </v>
      </c>
      <c r="J354" s="56" t="str">
        <f ca="1">CONCATENATE(CALC2223!AK353," ",CALC2223!AM353," ",CALC2223!AO353)</f>
        <v xml:space="preserve">  </v>
      </c>
      <c r="K354" s="56" t="str">
        <f ca="1">CONCATENATE(CALC2223!AQ353," ",CALC2223!AS353," ",CALC2223!AU353," ",CALC2223!AW353)</f>
        <v xml:space="preserve">   </v>
      </c>
      <c r="L354" s="57" t="str">
        <f t="shared" ca="1" si="1"/>
        <v>actueel</v>
      </c>
      <c r="M354" s="1"/>
      <c r="N354" s="4" t="b">
        <f ca="1">OR(VALUE(CALC2223!B353)&gt;VALUE(LASTV),VALUE(CALC2223!D353)&gt;VALUE(LASTV),VALUE(CALC2223!F353)&gt;VALUE(LASTV))</f>
        <v>0</v>
      </c>
      <c r="O354" s="4" t="b">
        <f ca="1">OR(VALUE(CALC2223!H353)&gt;VALUE(LASTV),VALUE(CALC2223!J353)&gt;VALUE(LASTV),VALUE(CALC2223!L353)&gt;VALUE(LASTV))</f>
        <v>0</v>
      </c>
      <c r="P354" s="4" t="b">
        <f ca="1">OR(VALUE(CALC2223!N353)&gt;VALUE(LASTV),VALUE(CALC2223!P353)&gt;VALUE(LASTV),VALUE(CALC2223!R353)&gt;VALUE(LASTV))</f>
        <v>0</v>
      </c>
      <c r="Q354" s="4" t="b">
        <f ca="1">OR(VALUE(CALC2223!T353)&gt;VALUE(LASTV),VALUE(CALC2223!V353)&gt;VALUE(LASTV),VALUE(CALC2223!X353)&gt;VALUE(LASTV))</f>
        <v>0</v>
      </c>
      <c r="R354" s="4" t="b">
        <f ca="1">OR(VALUE(CALC2223!Z353)&gt;VALUE(LASTV),VALUE(CALC2223!AB353)&gt;VALUE(LASTV),VALUE(CALC2223!AD353)&gt;VALUE(LASTV))</f>
        <v>0</v>
      </c>
      <c r="S354" s="4" t="b">
        <f ca="1">OR(VALUE(CALC2223!AF353)&gt;VALUE(LASTV),VALUE(CALC2223!AH353)&gt;VALUE(LASTV),VALUE(CALC2223!AJ353)&gt;VALUE(LASTV))</f>
        <v>0</v>
      </c>
      <c r="T354" s="4" t="b">
        <f ca="1">OR(VALUE(CALC2223!AL353)&gt;VALUE(LASTV),VALUE(CALC2223!AN353)&gt;VALUE(LASTV),VALUE(CALC2223!AP353)&gt;VALUE(LASTV))</f>
        <v>0</v>
      </c>
      <c r="U354" s="4" t="b">
        <f ca="1">OR(VALUE(CALC2223!AR353)&gt;VALUE(LASTV),VALUE(CALC2223!AT353)&gt;VALUE(LASTV),VALUE(CALC2223!AV353)&gt;VALUE(LASTV))</f>
        <v>0</v>
      </c>
      <c r="V354" s="1"/>
    </row>
    <row r="355" spans="1:22" ht="20.25" customHeight="1">
      <c r="A355" s="58"/>
      <c r="B355" s="54" t="s">
        <v>20</v>
      </c>
      <c r="C355" s="55">
        <v>46253</v>
      </c>
      <c r="D355" s="56" t="str">
        <f ca="1">CONCATENATE(CALC2223!A354," ",CALC2223!C354," ",CALC2223!E354)</f>
        <v xml:space="preserve">  </v>
      </c>
      <c r="E355" s="56" t="str">
        <f ca="1">CONCATENATE(CALC2223!G354," ",CALC2223!I354," ",CALC2223!K354)</f>
        <v xml:space="preserve">  </v>
      </c>
      <c r="F355" s="56" t="str">
        <f ca="1">CONCATENATE(CALC2223!M354," ",CALC2223!O354," ",CALC2223!Q354)</f>
        <v xml:space="preserve">  </v>
      </c>
      <c r="G355" s="56" t="str">
        <f ca="1">CONCATENATE(CALC2223!S354," ",CALC2223!U354," ",CALC2223!W354)</f>
        <v xml:space="preserve">  </v>
      </c>
      <c r="H355" s="56" t="str">
        <f ca="1">CONCATENATE(CALC2223!Y354," ",CALC2223!AA354," ",CALC2223!AC354)</f>
        <v xml:space="preserve">  </v>
      </c>
      <c r="I355" s="56" t="str">
        <f ca="1">CONCATENATE(CALC2223!AE354," ",CALC2223!AG354," ",CALC2223!AI354)</f>
        <v xml:space="preserve">  </v>
      </c>
      <c r="J355" s="56" t="str">
        <f ca="1">CONCATENATE(CALC2223!AK354," ",CALC2223!AM354," ",CALC2223!AO354)</f>
        <v xml:space="preserve">  </v>
      </c>
      <c r="K355" s="56" t="str">
        <f ca="1">CONCATENATE(CALC2223!AQ354," ",CALC2223!AS354," ",CALC2223!AU354," ",CALC2223!AW354)</f>
        <v xml:space="preserve">   </v>
      </c>
      <c r="L355" s="57" t="str">
        <f t="shared" ca="1" si="1"/>
        <v>actueel</v>
      </c>
      <c r="M355" s="1"/>
      <c r="N355" s="4" t="b">
        <f ca="1">OR(VALUE(CALC2223!B354)&gt;VALUE(LASTV),VALUE(CALC2223!D354)&gt;VALUE(LASTV),VALUE(CALC2223!F354)&gt;VALUE(LASTV))</f>
        <v>0</v>
      </c>
      <c r="O355" s="4" t="b">
        <f ca="1">OR(VALUE(CALC2223!H354)&gt;VALUE(LASTV),VALUE(CALC2223!J354)&gt;VALUE(LASTV),VALUE(CALC2223!L354)&gt;VALUE(LASTV))</f>
        <v>0</v>
      </c>
      <c r="P355" s="4" t="b">
        <f ca="1">OR(VALUE(CALC2223!N354)&gt;VALUE(LASTV),VALUE(CALC2223!P354)&gt;VALUE(LASTV),VALUE(CALC2223!R354)&gt;VALUE(LASTV))</f>
        <v>0</v>
      </c>
      <c r="Q355" s="4" t="b">
        <f ca="1">OR(VALUE(CALC2223!T354)&gt;VALUE(LASTV),VALUE(CALC2223!V354)&gt;VALUE(LASTV),VALUE(CALC2223!X354)&gt;VALUE(LASTV))</f>
        <v>0</v>
      </c>
      <c r="R355" s="4" t="b">
        <f ca="1">OR(VALUE(CALC2223!Z354)&gt;VALUE(LASTV),VALUE(CALC2223!AB354)&gt;VALUE(LASTV),VALUE(CALC2223!AD354)&gt;VALUE(LASTV))</f>
        <v>0</v>
      </c>
      <c r="S355" s="4" t="b">
        <f ca="1">OR(VALUE(CALC2223!AF354)&gt;VALUE(LASTV),VALUE(CALC2223!AH354)&gt;VALUE(LASTV),VALUE(CALC2223!AJ354)&gt;VALUE(LASTV))</f>
        <v>0</v>
      </c>
      <c r="T355" s="4" t="b">
        <f ca="1">OR(VALUE(CALC2223!AL354)&gt;VALUE(LASTV),VALUE(CALC2223!AN354)&gt;VALUE(LASTV),VALUE(CALC2223!AP354)&gt;VALUE(LASTV))</f>
        <v>0</v>
      </c>
      <c r="U355" s="4" t="b">
        <f ca="1">OR(VALUE(CALC2223!AR354)&gt;VALUE(LASTV),VALUE(CALC2223!AT354)&gt;VALUE(LASTV),VALUE(CALC2223!AV354)&gt;VALUE(LASTV))</f>
        <v>0</v>
      </c>
      <c r="V355" s="1"/>
    </row>
    <row r="356" spans="1:22" ht="20.25" customHeight="1">
      <c r="A356" s="58"/>
      <c r="B356" s="54" t="s">
        <v>21</v>
      </c>
      <c r="C356" s="55">
        <v>46254</v>
      </c>
      <c r="D356" s="56" t="str">
        <f ca="1">CONCATENATE(CALC2223!A355," ",CALC2223!C355," ",CALC2223!E355)</f>
        <v xml:space="preserve">  </v>
      </c>
      <c r="E356" s="56" t="str">
        <f ca="1">CONCATENATE(CALC2223!G355," ",CALC2223!I355," ",CALC2223!K355)</f>
        <v xml:space="preserve">  </v>
      </c>
      <c r="F356" s="56" t="str">
        <f ca="1">CONCATENATE(CALC2223!M355," ",CALC2223!O355," ",CALC2223!Q355)</f>
        <v xml:space="preserve">  </v>
      </c>
      <c r="G356" s="56" t="str">
        <f ca="1">CONCATENATE(CALC2223!S355," ",CALC2223!U355," ",CALC2223!W355)</f>
        <v xml:space="preserve">  </v>
      </c>
      <c r="H356" s="56" t="str">
        <f ca="1">CONCATENATE(CALC2223!Y355," ",CALC2223!AA355," ",CALC2223!AC355)</f>
        <v xml:space="preserve">  </v>
      </c>
      <c r="I356" s="56" t="str">
        <f ca="1">CONCATENATE(CALC2223!AE355," ",CALC2223!AG355," ",CALC2223!AI355)</f>
        <v xml:space="preserve">  </v>
      </c>
      <c r="J356" s="56" t="str">
        <f ca="1">CONCATENATE(CALC2223!AK355," ",CALC2223!AM355," ",CALC2223!AO355)</f>
        <v xml:space="preserve">  </v>
      </c>
      <c r="K356" s="56" t="str">
        <f ca="1">CONCATENATE(CALC2223!AQ355," ",CALC2223!AS355," ",CALC2223!AU355," ",CALC2223!AW355)</f>
        <v xml:space="preserve">   </v>
      </c>
      <c r="L356" s="57" t="str">
        <f t="shared" ca="1" si="1"/>
        <v>actueel</v>
      </c>
      <c r="M356" s="1"/>
      <c r="N356" s="4" t="b">
        <f ca="1">OR(VALUE(CALC2223!B355)&gt;VALUE(LASTV),VALUE(CALC2223!D355)&gt;VALUE(LASTV),VALUE(CALC2223!F355)&gt;VALUE(LASTV))</f>
        <v>0</v>
      </c>
      <c r="O356" s="4" t="b">
        <f ca="1">OR(VALUE(CALC2223!H355)&gt;VALUE(LASTV),VALUE(CALC2223!J355)&gt;VALUE(LASTV),VALUE(CALC2223!L355)&gt;VALUE(LASTV))</f>
        <v>0</v>
      </c>
      <c r="P356" s="4" t="b">
        <f ca="1">OR(VALUE(CALC2223!N355)&gt;VALUE(LASTV),VALUE(CALC2223!P355)&gt;VALUE(LASTV),VALUE(CALC2223!R355)&gt;VALUE(LASTV))</f>
        <v>0</v>
      </c>
      <c r="Q356" s="4" t="b">
        <f ca="1">OR(VALUE(CALC2223!T355)&gt;VALUE(LASTV),VALUE(CALC2223!V355)&gt;VALUE(LASTV),VALUE(CALC2223!X355)&gt;VALUE(LASTV))</f>
        <v>0</v>
      </c>
      <c r="R356" s="4" t="b">
        <f ca="1">OR(VALUE(CALC2223!Z355)&gt;VALUE(LASTV),VALUE(CALC2223!AB355)&gt;VALUE(LASTV),VALUE(CALC2223!AD355)&gt;VALUE(LASTV))</f>
        <v>0</v>
      </c>
      <c r="S356" s="4" t="b">
        <f ca="1">OR(VALUE(CALC2223!AF355)&gt;VALUE(LASTV),VALUE(CALC2223!AH355)&gt;VALUE(LASTV),VALUE(CALC2223!AJ355)&gt;VALUE(LASTV))</f>
        <v>0</v>
      </c>
      <c r="T356" s="4" t="b">
        <f ca="1">OR(VALUE(CALC2223!AL355)&gt;VALUE(LASTV),VALUE(CALC2223!AN355)&gt;VALUE(LASTV),VALUE(CALC2223!AP355)&gt;VALUE(LASTV))</f>
        <v>0</v>
      </c>
      <c r="U356" s="4" t="b">
        <f ca="1">OR(VALUE(CALC2223!AR355)&gt;VALUE(LASTV),VALUE(CALC2223!AT355)&gt;VALUE(LASTV),VALUE(CALC2223!AV355)&gt;VALUE(LASTV))</f>
        <v>0</v>
      </c>
      <c r="V356" s="1"/>
    </row>
    <row r="357" spans="1:22" ht="20.25" customHeight="1">
      <c r="A357" s="58"/>
      <c r="B357" s="54" t="s">
        <v>22</v>
      </c>
      <c r="C357" s="55">
        <v>46255</v>
      </c>
      <c r="D357" s="56" t="str">
        <f ca="1">CONCATENATE(CALC2223!A356," ",CALC2223!C356," ",CALC2223!E356)</f>
        <v xml:space="preserve">  </v>
      </c>
      <c r="E357" s="56" t="str">
        <f ca="1">CONCATENATE(CALC2223!G356," ",CALC2223!I356," ",CALC2223!K356)</f>
        <v xml:space="preserve">  </v>
      </c>
      <c r="F357" s="56" t="str">
        <f ca="1">CONCATENATE(CALC2223!M356," ",CALC2223!O356," ",CALC2223!Q356)</f>
        <v xml:space="preserve">  </v>
      </c>
      <c r="G357" s="56" t="str">
        <f ca="1">CONCATENATE(CALC2223!S356," ",CALC2223!U356," ",CALC2223!W356)</f>
        <v xml:space="preserve">  </v>
      </c>
      <c r="H357" s="56" t="str">
        <f ca="1">CONCATENATE(CALC2223!Y356," ",CALC2223!AA356," ",CALC2223!AC356)</f>
        <v xml:space="preserve">  </v>
      </c>
      <c r="I357" s="56" t="str">
        <f ca="1">CONCATENATE(CALC2223!AE356," ",CALC2223!AG356," ",CALC2223!AI356)</f>
        <v xml:space="preserve">  </v>
      </c>
      <c r="J357" s="56" t="str">
        <f ca="1">CONCATENATE(CALC2223!AK356," ",CALC2223!AM356," ",CALC2223!AO356)</f>
        <v xml:space="preserve">  </v>
      </c>
      <c r="K357" s="56" t="str">
        <f ca="1">CONCATENATE(CALC2223!AQ356," ",CALC2223!AS356," ",CALC2223!AU356," ",CALC2223!AW356)</f>
        <v xml:space="preserve">   </v>
      </c>
      <c r="L357" s="57" t="str">
        <f t="shared" ca="1" si="1"/>
        <v>actueel</v>
      </c>
      <c r="M357" s="1"/>
      <c r="N357" s="4" t="b">
        <f ca="1">OR(VALUE(CALC2223!B356)&gt;VALUE(LASTV),VALUE(CALC2223!D356)&gt;VALUE(LASTV),VALUE(CALC2223!F356)&gt;VALUE(LASTV))</f>
        <v>0</v>
      </c>
      <c r="O357" s="4" t="b">
        <f ca="1">OR(VALUE(CALC2223!H356)&gt;VALUE(LASTV),VALUE(CALC2223!J356)&gt;VALUE(LASTV),VALUE(CALC2223!L356)&gt;VALUE(LASTV))</f>
        <v>0</v>
      </c>
      <c r="P357" s="4" t="b">
        <f ca="1">OR(VALUE(CALC2223!N356)&gt;VALUE(LASTV),VALUE(CALC2223!P356)&gt;VALUE(LASTV),VALUE(CALC2223!R356)&gt;VALUE(LASTV))</f>
        <v>0</v>
      </c>
      <c r="Q357" s="4" t="b">
        <f ca="1">OR(VALUE(CALC2223!T356)&gt;VALUE(LASTV),VALUE(CALC2223!V356)&gt;VALUE(LASTV),VALUE(CALC2223!X356)&gt;VALUE(LASTV))</f>
        <v>0</v>
      </c>
      <c r="R357" s="4" t="b">
        <f ca="1">OR(VALUE(CALC2223!Z356)&gt;VALUE(LASTV),VALUE(CALC2223!AB356)&gt;VALUE(LASTV),VALUE(CALC2223!AD356)&gt;VALUE(LASTV))</f>
        <v>0</v>
      </c>
      <c r="S357" s="4" t="b">
        <f ca="1">OR(VALUE(CALC2223!AF356)&gt;VALUE(LASTV),VALUE(CALC2223!AH356)&gt;VALUE(LASTV),VALUE(CALC2223!AJ356)&gt;VALUE(LASTV))</f>
        <v>0</v>
      </c>
      <c r="T357" s="4" t="b">
        <f ca="1">OR(VALUE(CALC2223!AL356)&gt;VALUE(LASTV),VALUE(CALC2223!AN356)&gt;VALUE(LASTV),VALUE(CALC2223!AP356)&gt;VALUE(LASTV))</f>
        <v>0</v>
      </c>
      <c r="U357" s="4" t="b">
        <f ca="1">OR(VALUE(CALC2223!AR356)&gt;VALUE(LASTV),VALUE(CALC2223!AT356)&gt;VALUE(LASTV),VALUE(CALC2223!AV356)&gt;VALUE(LASTV))</f>
        <v>0</v>
      </c>
      <c r="V357" s="1"/>
    </row>
    <row r="358" spans="1:22" ht="20.25" customHeight="1">
      <c r="A358" s="45"/>
      <c r="B358" s="81" t="s">
        <v>23</v>
      </c>
      <c r="C358" s="82">
        <v>46256</v>
      </c>
      <c r="D358" s="83" t="str">
        <f ca="1">CONCATENATE(CALC2223!A357," ",CALC2223!C357," ",CALC2223!E357)</f>
        <v xml:space="preserve">  </v>
      </c>
      <c r="E358" s="83" t="str">
        <f ca="1">CONCATENATE(CALC2223!G357," ",CALC2223!I357," ",CALC2223!K357)</f>
        <v xml:space="preserve">  </v>
      </c>
      <c r="F358" s="83" t="str">
        <f ca="1">CONCATENATE(CALC2223!M357," ",CALC2223!O357," ",CALC2223!Q357)</f>
        <v xml:space="preserve">  </v>
      </c>
      <c r="G358" s="83" t="str">
        <f ca="1">CONCATENATE(CALC2223!S357," ",CALC2223!U357," ",CALC2223!W357)</f>
        <v xml:space="preserve">  </v>
      </c>
      <c r="H358" s="83" t="str">
        <f ca="1">CONCATENATE(CALC2223!Y357," ",CALC2223!AA357," ",CALC2223!AC357)</f>
        <v xml:space="preserve">  </v>
      </c>
      <c r="I358" s="83" t="str">
        <f ca="1">CONCATENATE(CALC2223!AE357," ",CALC2223!AG357," ",CALC2223!AI357)</f>
        <v xml:space="preserve">  </v>
      </c>
      <c r="J358" s="83" t="str">
        <f ca="1">CONCATENATE(CALC2223!AK357," ",CALC2223!AM357," ",CALC2223!AO357)</f>
        <v xml:space="preserve">  </v>
      </c>
      <c r="K358" s="83" t="str">
        <f ca="1">CONCATENATE(CALC2223!AQ357," ",CALC2223!AS357," ",CALC2223!AU357," ",CALC2223!AW357)</f>
        <v xml:space="preserve">   </v>
      </c>
      <c r="L358" s="49" t="str">
        <f t="shared" ca="1" si="1"/>
        <v>actueel</v>
      </c>
      <c r="M358" s="1"/>
      <c r="N358" s="4" t="b">
        <f ca="1">OR(VALUE(CALC2223!B357)&gt;VALUE(LASTV),VALUE(CALC2223!D357)&gt;VALUE(LASTV),VALUE(CALC2223!F357)&gt;VALUE(LASTV))</f>
        <v>0</v>
      </c>
      <c r="O358" s="4" t="b">
        <f ca="1">OR(VALUE(CALC2223!H357)&gt;VALUE(LASTV),VALUE(CALC2223!J357)&gt;VALUE(LASTV),VALUE(CALC2223!L357)&gt;VALUE(LASTV))</f>
        <v>0</v>
      </c>
      <c r="P358" s="4" t="b">
        <f ca="1">OR(VALUE(CALC2223!N357)&gt;VALUE(LASTV),VALUE(CALC2223!P357)&gt;VALUE(LASTV),VALUE(CALC2223!R357)&gt;VALUE(LASTV))</f>
        <v>0</v>
      </c>
      <c r="Q358" s="4" t="b">
        <f ca="1">OR(VALUE(CALC2223!T357)&gt;VALUE(LASTV),VALUE(CALC2223!V357)&gt;VALUE(LASTV),VALUE(CALC2223!X357)&gt;VALUE(LASTV))</f>
        <v>0</v>
      </c>
      <c r="R358" s="4" t="b">
        <f ca="1">OR(VALUE(CALC2223!Z357)&gt;VALUE(LASTV),VALUE(CALC2223!AB357)&gt;VALUE(LASTV),VALUE(CALC2223!AD357)&gt;VALUE(LASTV))</f>
        <v>0</v>
      </c>
      <c r="S358" s="4" t="b">
        <f ca="1">OR(VALUE(CALC2223!AF357)&gt;VALUE(LASTV),VALUE(CALC2223!AH357)&gt;VALUE(LASTV),VALUE(CALC2223!AJ357)&gt;VALUE(LASTV))</f>
        <v>0</v>
      </c>
      <c r="T358" s="4" t="b">
        <f ca="1">OR(VALUE(CALC2223!AL357)&gt;VALUE(LASTV),VALUE(CALC2223!AN357)&gt;VALUE(LASTV),VALUE(CALC2223!AP357)&gt;VALUE(LASTV))</f>
        <v>0</v>
      </c>
      <c r="U358" s="4" t="b">
        <f ca="1">OR(VALUE(CALC2223!AR357)&gt;VALUE(LASTV),VALUE(CALC2223!AT357)&gt;VALUE(LASTV),VALUE(CALC2223!AV357)&gt;VALUE(LASTV))</f>
        <v>0</v>
      </c>
      <c r="V358" s="1"/>
    </row>
    <row r="359" spans="1:22" ht="20.25" customHeight="1">
      <c r="A359" s="45"/>
      <c r="B359" s="81" t="s">
        <v>24</v>
      </c>
      <c r="C359" s="82">
        <v>46257</v>
      </c>
      <c r="D359" s="83" t="str">
        <f ca="1">CONCATENATE(CALC2223!A358," ",CALC2223!C358," ",CALC2223!E358)</f>
        <v xml:space="preserve">  </v>
      </c>
      <c r="E359" s="83" t="str">
        <f ca="1">CONCATENATE(CALC2223!G358," ",CALC2223!I358," ",CALC2223!K358)</f>
        <v xml:space="preserve">  </v>
      </c>
      <c r="F359" s="83" t="str">
        <f ca="1">CONCATENATE(CALC2223!M358," ",CALC2223!O358," ",CALC2223!Q358)</f>
        <v xml:space="preserve">  </v>
      </c>
      <c r="G359" s="83" t="str">
        <f ca="1">CONCATENATE(CALC2223!S358," ",CALC2223!U358," ",CALC2223!W358)</f>
        <v xml:space="preserve">  </v>
      </c>
      <c r="H359" s="83" t="str">
        <f ca="1">CONCATENATE(CALC2223!Y358," ",CALC2223!AA358," ",CALC2223!AC358)</f>
        <v xml:space="preserve">  </v>
      </c>
      <c r="I359" s="83" t="str">
        <f ca="1">CONCATENATE(CALC2223!AE358," ",CALC2223!AG358," ",CALC2223!AI358)</f>
        <v xml:space="preserve">  </v>
      </c>
      <c r="J359" s="83" t="str">
        <f ca="1">CONCATENATE(CALC2223!AK358," ",CALC2223!AM358," ",CALC2223!AO358)</f>
        <v xml:space="preserve">  </v>
      </c>
      <c r="K359" s="83" t="str">
        <f ca="1">CONCATENATE(CALC2223!AQ358," ",CALC2223!AS358," ",CALC2223!AU358," ",CALC2223!AW358)</f>
        <v xml:space="preserve">   </v>
      </c>
      <c r="L359" s="49" t="str">
        <f t="shared" ca="1" si="1"/>
        <v>actueel</v>
      </c>
      <c r="M359" s="1"/>
      <c r="N359" s="4" t="b">
        <f ca="1">OR(VALUE(CALC2223!B358)&gt;VALUE(LASTV),VALUE(CALC2223!D358)&gt;VALUE(LASTV),VALUE(CALC2223!F358)&gt;VALUE(LASTV))</f>
        <v>0</v>
      </c>
      <c r="O359" s="4" t="b">
        <f ca="1">OR(VALUE(CALC2223!H358)&gt;VALUE(LASTV),VALUE(CALC2223!J358)&gt;VALUE(LASTV),VALUE(CALC2223!L358)&gt;VALUE(LASTV))</f>
        <v>0</v>
      </c>
      <c r="P359" s="4" t="b">
        <f ca="1">OR(VALUE(CALC2223!N358)&gt;VALUE(LASTV),VALUE(CALC2223!P358)&gt;VALUE(LASTV),VALUE(CALC2223!R358)&gt;VALUE(LASTV))</f>
        <v>0</v>
      </c>
      <c r="Q359" s="4" t="b">
        <f ca="1">OR(VALUE(CALC2223!T358)&gt;VALUE(LASTV),VALUE(CALC2223!V358)&gt;VALUE(LASTV),VALUE(CALC2223!X358)&gt;VALUE(LASTV))</f>
        <v>0</v>
      </c>
      <c r="R359" s="4" t="b">
        <f ca="1">OR(VALUE(CALC2223!Z358)&gt;VALUE(LASTV),VALUE(CALC2223!AB358)&gt;VALUE(LASTV),VALUE(CALC2223!AD358)&gt;VALUE(LASTV))</f>
        <v>0</v>
      </c>
      <c r="S359" s="4" t="b">
        <f ca="1">OR(VALUE(CALC2223!AF358)&gt;VALUE(LASTV),VALUE(CALC2223!AH358)&gt;VALUE(LASTV),VALUE(CALC2223!AJ358)&gt;VALUE(LASTV))</f>
        <v>0</v>
      </c>
      <c r="T359" s="4" t="b">
        <f ca="1">OR(VALUE(CALC2223!AL358)&gt;VALUE(LASTV),VALUE(CALC2223!AN358)&gt;VALUE(LASTV),VALUE(CALC2223!AP358)&gt;VALUE(LASTV))</f>
        <v>0</v>
      </c>
      <c r="U359" s="4" t="b">
        <f ca="1">OR(VALUE(CALC2223!AR358)&gt;VALUE(LASTV),VALUE(CALC2223!AT358)&gt;VALUE(LASTV),VALUE(CALC2223!AV358)&gt;VALUE(LASTV))</f>
        <v>0</v>
      </c>
      <c r="V359" s="1"/>
    </row>
    <row r="360" spans="1:22" ht="20.25" customHeight="1">
      <c r="A360" s="53">
        <v>35</v>
      </c>
      <c r="B360" s="54" t="s">
        <v>18</v>
      </c>
      <c r="C360" s="55">
        <v>46258</v>
      </c>
      <c r="D360" s="56" t="str">
        <f ca="1">CONCATENATE(CALC2223!A359," ",CALC2223!C359," ",CALC2223!E359)</f>
        <v xml:space="preserve">  </v>
      </c>
      <c r="E360" s="56" t="str">
        <f ca="1">CONCATENATE(CALC2223!G359," ",CALC2223!I359," ",CALC2223!K359)</f>
        <v xml:space="preserve">  </v>
      </c>
      <c r="F360" s="56" t="str">
        <f ca="1">CONCATENATE(CALC2223!M359," ",CALC2223!O359," ",CALC2223!Q359)</f>
        <v xml:space="preserve">  </v>
      </c>
      <c r="G360" s="56" t="str">
        <f ca="1">CONCATENATE(CALC2223!S359," ",CALC2223!U359," ",CALC2223!W359)</f>
        <v xml:space="preserve">  </v>
      </c>
      <c r="H360" s="56" t="str">
        <f ca="1">CONCATENATE(CALC2223!Y359," ",CALC2223!AA359," ",CALC2223!AC359)</f>
        <v xml:space="preserve">  </v>
      </c>
      <c r="I360" s="56" t="str">
        <f ca="1">CONCATENATE(CALC2223!AE359," ",CALC2223!AG359," ",CALC2223!AI359)</f>
        <v xml:space="preserve">  </v>
      </c>
      <c r="J360" s="56" t="str">
        <f ca="1">CONCATENATE(CALC2223!AK359," ",CALC2223!AM359," ",CALC2223!AO359)</f>
        <v xml:space="preserve">  </v>
      </c>
      <c r="K360" s="56" t="str">
        <f ca="1">CONCATENATE(CALC2223!AQ359," ",CALC2223!AS359," ",CALC2223!AU359," ",CALC2223!AW359)</f>
        <v xml:space="preserve">   Zomervakantie   </v>
      </c>
      <c r="L360" s="57" t="str">
        <f t="shared" ca="1" si="1"/>
        <v>actueel</v>
      </c>
      <c r="M360" s="1"/>
      <c r="N360" s="4" t="b">
        <f ca="1">OR(VALUE(CALC2223!B359)&gt;VALUE(LASTV),VALUE(CALC2223!D359)&gt;VALUE(LASTV),VALUE(CALC2223!F359)&gt;VALUE(LASTV))</f>
        <v>0</v>
      </c>
      <c r="O360" s="4" t="b">
        <f ca="1">OR(VALUE(CALC2223!H359)&gt;VALUE(LASTV),VALUE(CALC2223!J359)&gt;VALUE(LASTV),VALUE(CALC2223!L359)&gt;VALUE(LASTV))</f>
        <v>0</v>
      </c>
      <c r="P360" s="4" t="b">
        <f ca="1">OR(VALUE(CALC2223!N359)&gt;VALUE(LASTV),VALUE(CALC2223!P359)&gt;VALUE(LASTV),VALUE(CALC2223!R359)&gt;VALUE(LASTV))</f>
        <v>0</v>
      </c>
      <c r="Q360" s="4" t="b">
        <f ca="1">OR(VALUE(CALC2223!T359)&gt;VALUE(LASTV),VALUE(CALC2223!V359)&gt;VALUE(LASTV),VALUE(CALC2223!X359)&gt;VALUE(LASTV))</f>
        <v>0</v>
      </c>
      <c r="R360" s="4" t="b">
        <f ca="1">OR(VALUE(CALC2223!Z359)&gt;VALUE(LASTV),VALUE(CALC2223!AB359)&gt;VALUE(LASTV),VALUE(CALC2223!AD359)&gt;VALUE(LASTV))</f>
        <v>0</v>
      </c>
      <c r="S360" s="4" t="b">
        <f ca="1">OR(VALUE(CALC2223!AF359)&gt;VALUE(LASTV),VALUE(CALC2223!AH359)&gt;VALUE(LASTV),VALUE(CALC2223!AJ359)&gt;VALUE(LASTV))</f>
        <v>0</v>
      </c>
      <c r="T360" s="4" t="b">
        <f ca="1">OR(VALUE(CALC2223!AL359)&gt;VALUE(LASTV),VALUE(CALC2223!AN359)&gt;VALUE(LASTV),VALUE(CALC2223!AP359)&gt;VALUE(LASTV))</f>
        <v>0</v>
      </c>
      <c r="U360" s="4" t="b">
        <f ca="1">OR(VALUE(CALC2223!AR359)&gt;VALUE(LASTV),VALUE(CALC2223!AT359)&gt;VALUE(LASTV),VALUE(CALC2223!AV359)&gt;VALUE(LASTV))</f>
        <v>0</v>
      </c>
      <c r="V360" s="1"/>
    </row>
    <row r="361" spans="1:22" ht="20.25" customHeight="1">
      <c r="A361" s="58"/>
      <c r="B361" s="54" t="s">
        <v>19</v>
      </c>
      <c r="C361" s="55">
        <v>46259</v>
      </c>
      <c r="D361" s="56" t="str">
        <f ca="1">CONCATENATE(CALC2223!A360," ",CALC2223!C360," ",CALC2223!E360)</f>
        <v xml:space="preserve">  </v>
      </c>
      <c r="E361" s="56" t="str">
        <f ca="1">CONCATENATE(CALC2223!G360," ",CALC2223!I360," ",CALC2223!K360)</f>
        <v xml:space="preserve">  </v>
      </c>
      <c r="F361" s="56" t="str">
        <f ca="1">CONCATENATE(CALC2223!M360," ",CALC2223!O360," ",CALC2223!Q360)</f>
        <v xml:space="preserve">  </v>
      </c>
      <c r="G361" s="56" t="str">
        <f ca="1">CONCATENATE(CALC2223!S360," ",CALC2223!U360," ",CALC2223!W360)</f>
        <v xml:space="preserve">  </v>
      </c>
      <c r="H361" s="56" t="str">
        <f ca="1">CONCATENATE(CALC2223!Y360," ",CALC2223!AA360," ",CALC2223!AC360)</f>
        <v xml:space="preserve">  </v>
      </c>
      <c r="I361" s="56" t="str">
        <f ca="1">CONCATENATE(CALC2223!AE360," ",CALC2223!AG360," ",CALC2223!AI360)</f>
        <v xml:space="preserve">  </v>
      </c>
      <c r="J361" s="56" t="str">
        <f ca="1">CONCATENATE(CALC2223!AK360," ",CALC2223!AM360," ",CALC2223!AO360)</f>
        <v xml:space="preserve">  </v>
      </c>
      <c r="K361" s="56" t="str">
        <f ca="1">CONCATENATE(CALC2223!AQ360," ",CALC2223!AS360," ",CALC2223!AU360," ",CALC2223!AW360)</f>
        <v xml:space="preserve">   </v>
      </c>
      <c r="L361" s="57" t="str">
        <f t="shared" ca="1" si="1"/>
        <v>actueel</v>
      </c>
      <c r="M361" s="1"/>
      <c r="N361" s="4" t="b">
        <f ca="1">OR(VALUE(CALC2223!B360)&gt;VALUE(LASTV),VALUE(CALC2223!D360)&gt;VALUE(LASTV),VALUE(CALC2223!F360)&gt;VALUE(LASTV))</f>
        <v>0</v>
      </c>
      <c r="O361" s="4" t="b">
        <f ca="1">OR(VALUE(CALC2223!H360)&gt;VALUE(LASTV),VALUE(CALC2223!J360)&gt;VALUE(LASTV),VALUE(CALC2223!L360)&gt;VALUE(LASTV))</f>
        <v>0</v>
      </c>
      <c r="P361" s="4" t="b">
        <f ca="1">OR(VALUE(CALC2223!N360)&gt;VALUE(LASTV),VALUE(CALC2223!P360)&gt;VALUE(LASTV),VALUE(CALC2223!R360)&gt;VALUE(LASTV))</f>
        <v>0</v>
      </c>
      <c r="Q361" s="4" t="b">
        <f ca="1">OR(VALUE(CALC2223!T360)&gt;VALUE(LASTV),VALUE(CALC2223!V360)&gt;VALUE(LASTV),VALUE(CALC2223!X360)&gt;VALUE(LASTV))</f>
        <v>0</v>
      </c>
      <c r="R361" s="4" t="b">
        <f ca="1">OR(VALUE(CALC2223!Z360)&gt;VALUE(LASTV),VALUE(CALC2223!AB360)&gt;VALUE(LASTV),VALUE(CALC2223!AD360)&gt;VALUE(LASTV))</f>
        <v>0</v>
      </c>
      <c r="S361" s="4" t="b">
        <f ca="1">OR(VALUE(CALC2223!AF360)&gt;VALUE(LASTV),VALUE(CALC2223!AH360)&gt;VALUE(LASTV),VALUE(CALC2223!AJ360)&gt;VALUE(LASTV))</f>
        <v>0</v>
      </c>
      <c r="T361" s="4" t="b">
        <f ca="1">OR(VALUE(CALC2223!AL360)&gt;VALUE(LASTV),VALUE(CALC2223!AN360)&gt;VALUE(LASTV),VALUE(CALC2223!AP360)&gt;VALUE(LASTV))</f>
        <v>0</v>
      </c>
      <c r="U361" s="4" t="b">
        <f ca="1">OR(VALUE(CALC2223!AR360)&gt;VALUE(LASTV),VALUE(CALC2223!AT360)&gt;VALUE(LASTV),VALUE(CALC2223!AV360)&gt;VALUE(LASTV))</f>
        <v>0</v>
      </c>
      <c r="V361" s="1"/>
    </row>
    <row r="362" spans="1:22" ht="20.25" customHeight="1">
      <c r="A362" s="58"/>
      <c r="B362" s="54" t="s">
        <v>20</v>
      </c>
      <c r="C362" s="55">
        <v>46260</v>
      </c>
      <c r="D362" s="56" t="str">
        <f ca="1">CONCATENATE(CALC2223!A361," ",CALC2223!C361," ",CALC2223!E361)</f>
        <v xml:space="preserve">  </v>
      </c>
      <c r="E362" s="56" t="str">
        <f ca="1">CONCATENATE(CALC2223!G361," ",CALC2223!I361," ",CALC2223!K361)</f>
        <v xml:space="preserve">  </v>
      </c>
      <c r="F362" s="56" t="str">
        <f ca="1">CONCATENATE(CALC2223!M361," ",CALC2223!O361," ",CALC2223!Q361)</f>
        <v xml:space="preserve">  </v>
      </c>
      <c r="G362" s="56" t="str">
        <f ca="1">CONCATENATE(CALC2223!S361," ",CALC2223!U361," ",CALC2223!W361)</f>
        <v xml:space="preserve">  </v>
      </c>
      <c r="H362" s="56" t="str">
        <f ca="1">CONCATENATE(CALC2223!Y361," ",CALC2223!AA361," ",CALC2223!AC361)</f>
        <v xml:space="preserve">  </v>
      </c>
      <c r="I362" s="56" t="str">
        <f ca="1">CONCATENATE(CALC2223!AE361," ",CALC2223!AG361," ",CALC2223!AI361)</f>
        <v xml:space="preserve">  </v>
      </c>
      <c r="J362" s="56" t="str">
        <f ca="1">CONCATENATE(CALC2223!AK361," ",CALC2223!AM361," ",CALC2223!AO361)</f>
        <v xml:space="preserve">  </v>
      </c>
      <c r="K362" s="56" t="str">
        <f ca="1">CONCATENATE(CALC2223!AQ361," ",CALC2223!AS361," ",CALC2223!AU361," ",CALC2223!AW361)</f>
        <v xml:space="preserve">   </v>
      </c>
      <c r="L362" s="57" t="str">
        <f t="shared" ca="1" si="1"/>
        <v>actueel</v>
      </c>
      <c r="M362" s="1"/>
      <c r="N362" s="4" t="b">
        <f ca="1">OR(VALUE(CALC2223!B361)&gt;VALUE(LASTV),VALUE(CALC2223!D361)&gt;VALUE(LASTV),VALUE(CALC2223!F361)&gt;VALUE(LASTV))</f>
        <v>0</v>
      </c>
      <c r="O362" s="4" t="b">
        <f ca="1">OR(VALUE(CALC2223!H361)&gt;VALUE(LASTV),VALUE(CALC2223!J361)&gt;VALUE(LASTV),VALUE(CALC2223!L361)&gt;VALUE(LASTV))</f>
        <v>0</v>
      </c>
      <c r="P362" s="4" t="b">
        <f ca="1">OR(VALUE(CALC2223!N361)&gt;VALUE(LASTV),VALUE(CALC2223!P361)&gt;VALUE(LASTV),VALUE(CALC2223!R361)&gt;VALUE(LASTV))</f>
        <v>0</v>
      </c>
      <c r="Q362" s="4" t="b">
        <f ca="1">OR(VALUE(CALC2223!T361)&gt;VALUE(LASTV),VALUE(CALC2223!V361)&gt;VALUE(LASTV),VALUE(CALC2223!X361)&gt;VALUE(LASTV))</f>
        <v>0</v>
      </c>
      <c r="R362" s="4" t="b">
        <f ca="1">OR(VALUE(CALC2223!Z361)&gt;VALUE(LASTV),VALUE(CALC2223!AB361)&gt;VALUE(LASTV),VALUE(CALC2223!AD361)&gt;VALUE(LASTV))</f>
        <v>0</v>
      </c>
      <c r="S362" s="4" t="b">
        <f ca="1">OR(VALUE(CALC2223!AF361)&gt;VALUE(LASTV),VALUE(CALC2223!AH361)&gt;VALUE(LASTV),VALUE(CALC2223!AJ361)&gt;VALUE(LASTV))</f>
        <v>0</v>
      </c>
      <c r="T362" s="4" t="b">
        <f ca="1">OR(VALUE(CALC2223!AL361)&gt;VALUE(LASTV),VALUE(CALC2223!AN361)&gt;VALUE(LASTV),VALUE(CALC2223!AP361)&gt;VALUE(LASTV))</f>
        <v>0</v>
      </c>
      <c r="U362" s="4" t="b">
        <f ca="1">OR(VALUE(CALC2223!AR361)&gt;VALUE(LASTV),VALUE(CALC2223!AT361)&gt;VALUE(LASTV),VALUE(CALC2223!AV361)&gt;VALUE(LASTV))</f>
        <v>0</v>
      </c>
      <c r="V362" s="1"/>
    </row>
    <row r="363" spans="1:22" ht="20.25" customHeight="1">
      <c r="A363" s="58"/>
      <c r="B363" s="54" t="s">
        <v>21</v>
      </c>
      <c r="C363" s="55">
        <v>46261</v>
      </c>
      <c r="D363" s="56" t="str">
        <f ca="1">CONCATENATE(CALC2223!A362," ",CALC2223!C362," ",CALC2223!E362)</f>
        <v xml:space="preserve">  </v>
      </c>
      <c r="E363" s="56" t="str">
        <f ca="1">CONCATENATE(CALC2223!G362," ",CALC2223!I362," ",CALC2223!K362)</f>
        <v xml:space="preserve">  </v>
      </c>
      <c r="F363" s="56" t="str">
        <f ca="1">CONCATENATE(CALC2223!M362," ",CALC2223!O362," ",CALC2223!Q362)</f>
        <v xml:space="preserve">  </v>
      </c>
      <c r="G363" s="56" t="str">
        <f ca="1">CONCATENATE(CALC2223!S362," ",CALC2223!U362," ",CALC2223!W362)</f>
        <v xml:space="preserve">  </v>
      </c>
      <c r="H363" s="56" t="str">
        <f ca="1">CONCATENATE(CALC2223!Y362," ",CALC2223!AA362," ",CALC2223!AC362)</f>
        <v xml:space="preserve">  </v>
      </c>
      <c r="I363" s="56" t="str">
        <f ca="1">CONCATENATE(CALC2223!AE362," ",CALC2223!AG362," ",CALC2223!AI362)</f>
        <v xml:space="preserve">  </v>
      </c>
      <c r="J363" s="56" t="str">
        <f ca="1">CONCATENATE(CALC2223!AK362," ",CALC2223!AM362," ",CALC2223!AO362)</f>
        <v xml:space="preserve">  </v>
      </c>
      <c r="K363" s="56" t="str">
        <f ca="1">CONCATENATE(CALC2223!AQ362," ",CALC2223!AS362," ",CALC2223!AU362," ",CALC2223!AW362)</f>
        <v xml:space="preserve">   </v>
      </c>
      <c r="L363" s="57" t="str">
        <f t="shared" ca="1" si="1"/>
        <v>actueel</v>
      </c>
      <c r="M363" s="1"/>
      <c r="N363" s="4" t="b">
        <f ca="1">OR(VALUE(CALC2223!B362)&gt;VALUE(LASTV),VALUE(CALC2223!D362)&gt;VALUE(LASTV),VALUE(CALC2223!F362)&gt;VALUE(LASTV))</f>
        <v>0</v>
      </c>
      <c r="O363" s="4" t="b">
        <f ca="1">OR(VALUE(CALC2223!H362)&gt;VALUE(LASTV),VALUE(CALC2223!J362)&gt;VALUE(LASTV),VALUE(CALC2223!L362)&gt;VALUE(LASTV))</f>
        <v>0</v>
      </c>
      <c r="P363" s="4" t="b">
        <f ca="1">OR(VALUE(CALC2223!N362)&gt;VALUE(LASTV),VALUE(CALC2223!P362)&gt;VALUE(LASTV),VALUE(CALC2223!R362)&gt;VALUE(LASTV))</f>
        <v>0</v>
      </c>
      <c r="Q363" s="4" t="b">
        <f ca="1">OR(VALUE(CALC2223!T362)&gt;VALUE(LASTV),VALUE(CALC2223!V362)&gt;VALUE(LASTV),VALUE(CALC2223!X362)&gt;VALUE(LASTV))</f>
        <v>0</v>
      </c>
      <c r="R363" s="4" t="b">
        <f ca="1">OR(VALUE(CALC2223!Z362)&gt;VALUE(LASTV),VALUE(CALC2223!AB362)&gt;VALUE(LASTV),VALUE(CALC2223!AD362)&gt;VALUE(LASTV))</f>
        <v>0</v>
      </c>
      <c r="S363" s="4" t="b">
        <f ca="1">OR(VALUE(CALC2223!AF362)&gt;VALUE(LASTV),VALUE(CALC2223!AH362)&gt;VALUE(LASTV),VALUE(CALC2223!AJ362)&gt;VALUE(LASTV))</f>
        <v>0</v>
      </c>
      <c r="T363" s="4" t="b">
        <f ca="1">OR(VALUE(CALC2223!AL362)&gt;VALUE(LASTV),VALUE(CALC2223!AN362)&gt;VALUE(LASTV),VALUE(CALC2223!AP362)&gt;VALUE(LASTV))</f>
        <v>0</v>
      </c>
      <c r="U363" s="4" t="b">
        <f ca="1">OR(VALUE(CALC2223!AR362)&gt;VALUE(LASTV),VALUE(CALC2223!AT362)&gt;VALUE(LASTV),VALUE(CALC2223!AV362)&gt;VALUE(LASTV))</f>
        <v>0</v>
      </c>
      <c r="V363" s="1"/>
    </row>
    <row r="364" spans="1:22" ht="20.25" customHeight="1">
      <c r="A364" s="58"/>
      <c r="B364" s="54" t="s">
        <v>22</v>
      </c>
      <c r="C364" s="55">
        <v>46262</v>
      </c>
      <c r="D364" s="56" t="str">
        <f ca="1">CONCATENATE(CALC2223!A363," ",CALC2223!C363," ",CALC2223!E363)</f>
        <v xml:space="preserve">  </v>
      </c>
      <c r="E364" s="56" t="str">
        <f ca="1">CONCATENATE(CALC2223!G363," ",CALC2223!I363," ",CALC2223!K363)</f>
        <v xml:space="preserve">  </v>
      </c>
      <c r="F364" s="56" t="str">
        <f ca="1">CONCATENATE(CALC2223!M363," ",CALC2223!O363," ",CALC2223!Q363)</f>
        <v xml:space="preserve">  </v>
      </c>
      <c r="G364" s="56" t="str">
        <f ca="1">CONCATENATE(CALC2223!S363," ",CALC2223!U363," ",CALC2223!W363)</f>
        <v xml:space="preserve">  </v>
      </c>
      <c r="H364" s="56" t="str">
        <f ca="1">CONCATENATE(CALC2223!Y363," ",CALC2223!AA363," ",CALC2223!AC363)</f>
        <v xml:space="preserve">  </v>
      </c>
      <c r="I364" s="56" t="str">
        <f ca="1">CONCATENATE(CALC2223!AE363," ",CALC2223!AG363," ",CALC2223!AI363)</f>
        <v xml:space="preserve">  </v>
      </c>
      <c r="J364" s="56" t="str">
        <f ca="1">CONCATENATE(CALC2223!AK363," ",CALC2223!AM363," ",CALC2223!AO363)</f>
        <v xml:space="preserve">  </v>
      </c>
      <c r="K364" s="56" t="str">
        <f ca="1">CONCATENATE(CALC2223!AQ363," ",CALC2223!AS363," ",CALC2223!AU363," ",CALC2223!AW363)</f>
        <v xml:space="preserve">   </v>
      </c>
      <c r="L364" s="57" t="str">
        <f t="shared" ca="1" si="1"/>
        <v>actueel</v>
      </c>
      <c r="M364" s="1"/>
      <c r="N364" s="4" t="b">
        <f ca="1">OR(VALUE(CALC2223!B363)&gt;VALUE(LASTV),VALUE(CALC2223!D363)&gt;VALUE(LASTV),VALUE(CALC2223!F363)&gt;VALUE(LASTV))</f>
        <v>0</v>
      </c>
      <c r="O364" s="4" t="b">
        <f ca="1">OR(VALUE(CALC2223!H363)&gt;VALUE(LASTV),VALUE(CALC2223!J363)&gt;VALUE(LASTV),VALUE(CALC2223!L363)&gt;VALUE(LASTV))</f>
        <v>0</v>
      </c>
      <c r="P364" s="4" t="b">
        <f ca="1">OR(VALUE(CALC2223!N363)&gt;VALUE(LASTV),VALUE(CALC2223!P363)&gt;VALUE(LASTV),VALUE(CALC2223!R363)&gt;VALUE(LASTV))</f>
        <v>0</v>
      </c>
      <c r="Q364" s="4" t="b">
        <f ca="1">OR(VALUE(CALC2223!T363)&gt;VALUE(LASTV),VALUE(CALC2223!V363)&gt;VALUE(LASTV),VALUE(CALC2223!X363)&gt;VALUE(LASTV))</f>
        <v>0</v>
      </c>
      <c r="R364" s="4" t="b">
        <f ca="1">OR(VALUE(CALC2223!Z363)&gt;VALUE(LASTV),VALUE(CALC2223!AB363)&gt;VALUE(LASTV),VALUE(CALC2223!AD363)&gt;VALUE(LASTV))</f>
        <v>0</v>
      </c>
      <c r="S364" s="4" t="b">
        <f ca="1">OR(VALUE(CALC2223!AF363)&gt;VALUE(LASTV),VALUE(CALC2223!AH363)&gt;VALUE(LASTV),VALUE(CALC2223!AJ363)&gt;VALUE(LASTV))</f>
        <v>0</v>
      </c>
      <c r="T364" s="4" t="b">
        <f ca="1">OR(VALUE(CALC2223!AL363)&gt;VALUE(LASTV),VALUE(CALC2223!AN363)&gt;VALUE(LASTV),VALUE(CALC2223!AP363)&gt;VALUE(LASTV))</f>
        <v>0</v>
      </c>
      <c r="U364" s="4" t="b">
        <f ca="1">OR(VALUE(CALC2223!AR363)&gt;VALUE(LASTV),VALUE(CALC2223!AT363)&gt;VALUE(LASTV),VALUE(CALC2223!AV363)&gt;VALUE(LASTV))</f>
        <v>0</v>
      </c>
      <c r="V364" s="1"/>
    </row>
    <row r="365" spans="1:22" ht="20.25" customHeight="1">
      <c r="A365" s="80"/>
      <c r="B365" s="81" t="s">
        <v>23</v>
      </c>
      <c r="C365" s="82">
        <v>46263</v>
      </c>
      <c r="D365" s="83" t="str">
        <f ca="1">CONCATENATE(CALC2223!A364," ",CALC2223!C364," ",CALC2223!E364)</f>
        <v xml:space="preserve">  </v>
      </c>
      <c r="E365" s="83" t="str">
        <f ca="1">CONCATENATE(CALC2223!G364," ",CALC2223!I364," ",CALC2223!K364)</f>
        <v xml:space="preserve">  </v>
      </c>
      <c r="F365" s="83" t="str">
        <f ca="1">CONCATENATE(CALC2223!M364," ",CALC2223!O364," ",CALC2223!Q364)</f>
        <v xml:space="preserve">  </v>
      </c>
      <c r="G365" s="83" t="str">
        <f ca="1">CONCATENATE(CALC2223!S364," ",CALC2223!U364," ",CALC2223!W364)</f>
        <v xml:space="preserve">  </v>
      </c>
      <c r="H365" s="83" t="str">
        <f ca="1">CONCATENATE(CALC2223!Y364," ",CALC2223!AA364," ",CALC2223!AC364)</f>
        <v xml:space="preserve">  </v>
      </c>
      <c r="I365" s="83" t="str">
        <f ca="1">CONCATENATE(CALC2223!AE364," ",CALC2223!AG364," ",CALC2223!AI364)</f>
        <v xml:space="preserve">  </v>
      </c>
      <c r="J365" s="83" t="str">
        <f ca="1">CONCATENATE(CALC2223!AK364," ",CALC2223!AM364," ",CALC2223!AO364)</f>
        <v xml:space="preserve">  </v>
      </c>
      <c r="K365" s="83" t="str">
        <f ca="1">CONCATENATE(CALC2223!AQ364," ",CALC2223!AS364," ",CALC2223!AU364," ",CALC2223!AW364)</f>
        <v xml:space="preserve">   </v>
      </c>
      <c r="L365" s="49" t="str">
        <f t="shared" ca="1" si="1"/>
        <v>actueel</v>
      </c>
      <c r="M365" s="1"/>
      <c r="N365" s="4" t="b">
        <f ca="1">OR(VALUE(CALC2223!B364)&gt;VALUE(LASTV),VALUE(CALC2223!D364)&gt;VALUE(LASTV),VALUE(CALC2223!F364)&gt;VALUE(LASTV))</f>
        <v>0</v>
      </c>
      <c r="O365" s="4" t="b">
        <f ca="1">OR(VALUE(CALC2223!H364)&gt;VALUE(LASTV),VALUE(CALC2223!J364)&gt;VALUE(LASTV),VALUE(CALC2223!L364)&gt;VALUE(LASTV))</f>
        <v>0</v>
      </c>
      <c r="P365" s="4" t="b">
        <f ca="1">OR(VALUE(CALC2223!N364)&gt;VALUE(LASTV),VALUE(CALC2223!P364)&gt;VALUE(LASTV),VALUE(CALC2223!R364)&gt;VALUE(LASTV))</f>
        <v>0</v>
      </c>
      <c r="Q365" s="4" t="b">
        <f ca="1">OR(VALUE(CALC2223!T364)&gt;VALUE(LASTV),VALUE(CALC2223!V364)&gt;VALUE(LASTV),VALUE(CALC2223!X364)&gt;VALUE(LASTV))</f>
        <v>0</v>
      </c>
      <c r="R365" s="4" t="b">
        <f ca="1">OR(VALUE(CALC2223!Z364)&gt;VALUE(LASTV),VALUE(CALC2223!AB364)&gt;VALUE(LASTV),VALUE(CALC2223!AD364)&gt;VALUE(LASTV))</f>
        <v>0</v>
      </c>
      <c r="S365" s="4" t="b">
        <f ca="1">OR(VALUE(CALC2223!AF364)&gt;VALUE(LASTV),VALUE(CALC2223!AH364)&gt;VALUE(LASTV),VALUE(CALC2223!AJ364)&gt;VALUE(LASTV))</f>
        <v>0</v>
      </c>
      <c r="T365" s="4" t="b">
        <f ca="1">OR(VALUE(CALC2223!AL364)&gt;VALUE(LASTV),VALUE(CALC2223!AN364)&gt;VALUE(LASTV),VALUE(CALC2223!AP364)&gt;VALUE(LASTV))</f>
        <v>0</v>
      </c>
      <c r="U365" s="4" t="b">
        <f ca="1">OR(VALUE(CALC2223!AR364)&gt;VALUE(LASTV),VALUE(CALC2223!AT364)&gt;VALUE(LASTV),VALUE(CALC2223!AV364)&gt;VALUE(LASTV))</f>
        <v>0</v>
      </c>
      <c r="V365" s="1"/>
    </row>
    <row r="366" spans="1:22" ht="20.25" customHeight="1">
      <c r="A366" s="80"/>
      <c r="B366" s="81" t="s">
        <v>24</v>
      </c>
      <c r="C366" s="82">
        <v>46264</v>
      </c>
      <c r="D366" s="83" t="str">
        <f ca="1">CONCATENATE(CALC2223!A365," ",CALC2223!C365," ",CALC2223!E365)</f>
        <v xml:space="preserve">  </v>
      </c>
      <c r="E366" s="83" t="str">
        <f ca="1">CONCATENATE(CALC2223!G365," ",CALC2223!I365," ",CALC2223!K365)</f>
        <v xml:space="preserve">  </v>
      </c>
      <c r="F366" s="83" t="str">
        <f ca="1">CONCATENATE(CALC2223!M365," ",CALC2223!O365," ",CALC2223!Q365)</f>
        <v xml:space="preserve">  </v>
      </c>
      <c r="G366" s="83" t="str">
        <f ca="1">CONCATENATE(CALC2223!S365," ",CALC2223!U365," ",CALC2223!W365)</f>
        <v xml:space="preserve">  </v>
      </c>
      <c r="H366" s="83" t="str">
        <f ca="1">CONCATENATE(CALC2223!Y365," ",CALC2223!AA365," ",CALC2223!AC365)</f>
        <v xml:space="preserve">  </v>
      </c>
      <c r="I366" s="83" t="str">
        <f ca="1">CONCATENATE(CALC2223!AE365," ",CALC2223!AG365," ",CALC2223!AI365)</f>
        <v xml:space="preserve">  </v>
      </c>
      <c r="J366" s="83" t="str">
        <f ca="1">CONCATENATE(CALC2223!AK365," ",CALC2223!AM365," ",CALC2223!AO365)</f>
        <v xml:space="preserve">  </v>
      </c>
      <c r="K366" s="83" t="str">
        <f ca="1">CONCATENATE(CALC2223!AQ365," ",CALC2223!AS365," ",CALC2223!AU365," ",CALC2223!AW365)</f>
        <v xml:space="preserve">   </v>
      </c>
      <c r="L366" s="49" t="str">
        <f t="shared" ca="1" si="1"/>
        <v>actueel</v>
      </c>
      <c r="M366" s="1"/>
      <c r="N366" s="4" t="b">
        <f ca="1">OR(VALUE(CALC2223!B365)&gt;VALUE(LASTV),VALUE(CALC2223!D365)&gt;VALUE(LASTV),VALUE(CALC2223!F365)&gt;VALUE(LASTV))</f>
        <v>0</v>
      </c>
      <c r="O366" s="4" t="b">
        <f ca="1">OR(VALUE(CALC2223!H365)&gt;VALUE(LASTV),VALUE(CALC2223!J365)&gt;VALUE(LASTV),VALUE(CALC2223!L365)&gt;VALUE(LASTV))</f>
        <v>0</v>
      </c>
      <c r="P366" s="4" t="b">
        <f ca="1">OR(VALUE(CALC2223!N365)&gt;VALUE(LASTV),VALUE(CALC2223!P365)&gt;VALUE(LASTV),VALUE(CALC2223!R365)&gt;VALUE(LASTV))</f>
        <v>0</v>
      </c>
      <c r="Q366" s="4" t="b">
        <f ca="1">OR(VALUE(CALC2223!T365)&gt;VALUE(LASTV),VALUE(CALC2223!V365)&gt;VALUE(LASTV),VALUE(CALC2223!X365)&gt;VALUE(LASTV))</f>
        <v>0</v>
      </c>
      <c r="R366" s="4" t="b">
        <f ca="1">OR(VALUE(CALC2223!Z365)&gt;VALUE(LASTV),VALUE(CALC2223!AB365)&gt;VALUE(LASTV),VALUE(CALC2223!AD365)&gt;VALUE(LASTV))</f>
        <v>0</v>
      </c>
      <c r="S366" s="4" t="b">
        <f ca="1">OR(VALUE(CALC2223!AF365)&gt;VALUE(LASTV),VALUE(CALC2223!AH365)&gt;VALUE(LASTV),VALUE(CALC2223!AJ365)&gt;VALUE(LASTV))</f>
        <v>0</v>
      </c>
      <c r="T366" s="4" t="b">
        <f ca="1">OR(VALUE(CALC2223!AL365)&gt;VALUE(LASTV),VALUE(CALC2223!AN365)&gt;VALUE(LASTV),VALUE(CALC2223!AP365)&gt;VALUE(LASTV))</f>
        <v>0</v>
      </c>
      <c r="U366" s="4" t="b">
        <f ca="1">OR(VALUE(CALC2223!AR365)&gt;VALUE(LASTV),VALUE(CALC2223!AT365)&gt;VALUE(LASTV),VALUE(CALC2223!AV365)&gt;VALUE(LASTV))</f>
        <v>0</v>
      </c>
      <c r="V366" s="1"/>
    </row>
    <row r="367" spans="1:22" ht="20.25" hidden="1" customHeight="1">
      <c r="A367" t="s">
        <v>25</v>
      </c>
    </row>
    <row r="368" spans="1:22" ht="20.25" hidden="1" customHeight="1"/>
    <row r="369" ht="20.25" hidden="1" customHeight="1"/>
    <row r="370" ht="20.25" hidden="1" customHeight="1"/>
    <row r="371" ht="20.25" hidden="1" customHeight="1"/>
    <row r="372" ht="20.25" hidden="1" customHeight="1"/>
    <row r="373" ht="20.25" hidden="1" customHeight="1"/>
    <row r="374" ht="20.25" hidden="1" customHeight="1"/>
  </sheetData>
  <autoFilter ref="A2:V374" xr:uid="{00000000-0001-0000-0000-000000000000}">
    <filterColumn colId="11">
      <filters>
        <filter val="actueel"/>
      </filters>
    </filterColumn>
  </autoFilter>
  <conditionalFormatting sqref="D3:J366">
    <cfRule type="expression" dxfId="5" priority="4">
      <formula>N3</formula>
    </cfRule>
  </conditionalFormatting>
  <conditionalFormatting sqref="K3:K366">
    <cfRule type="expression" dxfId="4" priority="7">
      <formula>U3</formula>
    </cfRule>
  </conditionalFormatting>
  <conditionalFormatting sqref="N4">
    <cfRule type="expression" dxfId="3" priority="6">
      <formula>O4=TRUE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defaultColWidth="13.5" defaultRowHeight="15" customHeight="1"/>
  <cols>
    <col min="1" max="1" width="8.375" customWidth="1"/>
    <col min="2" max="2" width="4.875" hidden="1" customWidth="1"/>
    <col min="3" max="3" width="11.125" customWidth="1"/>
    <col min="4" max="26" width="8.375" customWidth="1"/>
  </cols>
  <sheetData>
    <row r="1" spans="1:26" ht="15.75" customHeight="1">
      <c r="A1" s="1" t="s">
        <v>26</v>
      </c>
      <c r="B1" s="7">
        <f t="shared" ref="B1:B2" ca="1" si="0">C1</f>
        <v>46089</v>
      </c>
      <c r="C1" s="8">
        <f ca="1">Dashboard!$C$2</f>
        <v>46089</v>
      </c>
      <c r="D1" s="9" t="s">
        <v>27</v>
      </c>
      <c r="E1" s="9"/>
      <c r="F1" s="9"/>
      <c r="G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5.75" customHeight="1">
      <c r="A2" s="1" t="s">
        <v>28</v>
      </c>
      <c r="B2" s="7">
        <f t="shared" ca="1" si="0"/>
        <v>46082</v>
      </c>
      <c r="C2" s="10">
        <f ca="1">Dashboard!$D$2</f>
        <v>46082</v>
      </c>
      <c r="D2" s="9" t="s">
        <v>29</v>
      </c>
      <c r="E2" s="9"/>
      <c r="F2" s="9"/>
      <c r="G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.7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5.7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75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5.7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5.75" customHeight="1">
      <c r="A7" s="11" t="s">
        <v>30</v>
      </c>
      <c r="C7" s="12" t="s">
        <v>31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5.75" customHeight="1">
      <c r="A8" s="13" t="s">
        <v>32</v>
      </c>
      <c r="C8" s="12" t="s">
        <v>33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5.75" customHeight="1">
      <c r="A9" s="14" t="s">
        <v>34</v>
      </c>
      <c r="C9" s="12" t="s">
        <v>35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5.75" customHeight="1">
      <c r="A10" s="15" t="s">
        <v>36</v>
      </c>
      <c r="C10" s="12" t="s">
        <v>37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5.75" customHeight="1">
      <c r="A11" s="16" t="s">
        <v>38</v>
      </c>
      <c r="C11" s="12" t="s">
        <v>39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5.75" customHeight="1">
      <c r="A12" s="17" t="s">
        <v>40</v>
      </c>
      <c r="C12" s="12" t="s">
        <v>41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5.75" customHeight="1">
      <c r="A14" s="18" t="s">
        <v>9</v>
      </c>
      <c r="B14" s="9"/>
      <c r="C14" s="12" t="s">
        <v>42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5.75" customHeight="1">
      <c r="A15" s="18" t="s">
        <v>10</v>
      </c>
      <c r="B15" s="9"/>
      <c r="C15" s="12" t="s">
        <v>43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5.75" customHeight="1">
      <c r="A16" s="18" t="s">
        <v>11</v>
      </c>
      <c r="B16" s="9"/>
      <c r="C16" s="12" t="s">
        <v>44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5.75" customHeight="1">
      <c r="A17" s="18" t="s">
        <v>12</v>
      </c>
      <c r="B17" s="9"/>
      <c r="C17" s="12" t="s">
        <v>45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5.75" customHeight="1">
      <c r="A18" s="18" t="s">
        <v>13</v>
      </c>
      <c r="B18" s="9"/>
      <c r="C18" s="12" t="s">
        <v>46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5.75" customHeight="1">
      <c r="A19" s="18" t="s">
        <v>14</v>
      </c>
      <c r="B19" s="9"/>
      <c r="C19" s="12" t="s">
        <v>47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5.75" customHeight="1">
      <c r="A20" s="18" t="s">
        <v>15</v>
      </c>
      <c r="B20" s="9"/>
      <c r="C20" s="12" t="s">
        <v>48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5.75" customHeight="1">
      <c r="A21" s="18" t="s">
        <v>16</v>
      </c>
      <c r="B21" s="9"/>
      <c r="C21" s="12" t="s">
        <v>49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conditionalFormatting sqref="A7:A10">
    <cfRule type="expression" dxfId="2" priority="2">
      <formula>K7</formula>
    </cfRule>
  </conditionalFormatting>
  <conditionalFormatting sqref="A12">
    <cfRule type="expression" dxfId="1" priority="1">
      <formula>K12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F8A39-74C9-E643-B686-00B8E380BD87}">
  <dimension ref="A1:D9"/>
  <sheetViews>
    <sheetView workbookViewId="0">
      <selection activeCell="A10" sqref="A10"/>
    </sheetView>
  </sheetViews>
  <sheetFormatPr defaultColWidth="8.875" defaultRowHeight="15"/>
  <cols>
    <col min="1" max="1" width="16" style="25" customWidth="1"/>
    <col min="2" max="2" width="8.875" style="25"/>
    <col min="3" max="3" width="11.125" style="25" bestFit="1" customWidth="1"/>
    <col min="4" max="4" width="11" style="25" customWidth="1"/>
    <col min="5" max="16384" width="8.875" style="25"/>
  </cols>
  <sheetData>
    <row r="1" spans="1:4">
      <c r="A1" s="25" t="s">
        <v>50</v>
      </c>
      <c r="B1" s="25" t="s">
        <v>51</v>
      </c>
      <c r="C1" s="25" t="s">
        <v>52</v>
      </c>
      <c r="D1" s="25" t="s">
        <v>53</v>
      </c>
    </row>
    <row r="2" spans="1:4">
      <c r="A2" s="25" t="s">
        <v>54</v>
      </c>
      <c r="B2" s="25">
        <f>COUNTIF('G1'!D:D,"WAAR")</f>
        <v>37</v>
      </c>
      <c r="C2" s="26">
        <f ca="1">TODAY()</f>
        <v>46089</v>
      </c>
      <c r="D2" s="26">
        <f ca="1">C2-7</f>
        <v>46082</v>
      </c>
    </row>
    <row r="3" spans="1:4">
      <c r="A3" s="25" t="s">
        <v>55</v>
      </c>
      <c r="B3" s="25">
        <f>COUNTIF('G2'!D:D,"WAAR")</f>
        <v>40</v>
      </c>
    </row>
    <row r="4" spans="1:4">
      <c r="A4" s="25" t="s">
        <v>56</v>
      </c>
      <c r="B4" s="25">
        <f>COUNTIF('G3'!D:D,"WAAR")</f>
        <v>61</v>
      </c>
    </row>
    <row r="5" spans="1:4">
      <c r="A5" s="25" t="s">
        <v>57</v>
      </c>
      <c r="B5" s="25">
        <f>COUNTIF('G4'!D:D,"WAAR")</f>
        <v>124</v>
      </c>
    </row>
    <row r="6" spans="1:4">
      <c r="A6" s="25" t="s">
        <v>58</v>
      </c>
      <c r="B6" s="25">
        <f>COUNTIF('G5'!D:D,"WAAR")</f>
        <v>131</v>
      </c>
    </row>
    <row r="7" spans="1:4">
      <c r="A7" s="25" t="s">
        <v>59</v>
      </c>
      <c r="B7" s="25">
        <f>COUNTIF('G6'!D:D,"WAAR")</f>
        <v>101</v>
      </c>
    </row>
    <row r="8" spans="1:4">
      <c r="A8" s="25" t="s">
        <v>60</v>
      </c>
      <c r="B8" s="25">
        <f>COUNTIF(PE!D:D,"WAAR")</f>
        <v>58</v>
      </c>
    </row>
    <row r="9" spans="1:4">
      <c r="A9" s="25" t="s">
        <v>61</v>
      </c>
      <c r="B9" s="25">
        <f>COUNTIF(AL!D:D,"WAAR")</f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E372"/>
  <sheetViews>
    <sheetView topLeftCell="T1" workbookViewId="0">
      <pane ySplit="1" topLeftCell="U275" activePane="bottomLeft" state="frozen"/>
      <selection pane="bottomLeft" activeCell="U275" sqref="U275"/>
    </sheetView>
  </sheetViews>
  <sheetFormatPr defaultColWidth="13.5" defaultRowHeight="15" customHeight="1"/>
  <cols>
    <col min="1" max="1" width="32" customWidth="1"/>
    <col min="2" max="2" width="5.125" customWidth="1"/>
    <col min="3" max="3" width="7.875" customWidth="1"/>
    <col min="4" max="4" width="5.125" customWidth="1"/>
    <col min="5" max="5" width="7.875" customWidth="1"/>
    <col min="6" max="6" width="5.125" customWidth="1"/>
    <col min="7" max="7" width="14.875" customWidth="1"/>
    <col min="8" max="8" width="5.125" customWidth="1"/>
    <col min="9" max="9" width="7.875" customWidth="1"/>
    <col min="10" max="10" width="5.125" customWidth="1"/>
    <col min="11" max="11" width="7.875" customWidth="1"/>
    <col min="12" max="12" width="5.125" customWidth="1"/>
    <col min="13" max="13" width="28.375" customWidth="1"/>
    <col min="14" max="14" width="5.125" customWidth="1"/>
    <col min="15" max="15" width="7.875" customWidth="1"/>
    <col min="16" max="16" width="5.125" customWidth="1"/>
    <col min="17" max="17" width="7.875" customWidth="1"/>
    <col min="18" max="18" width="5.125" customWidth="1"/>
    <col min="19" max="19" width="37.375" customWidth="1"/>
    <col min="20" max="20" width="5.125" customWidth="1"/>
    <col min="21" max="21" width="7.875" customWidth="1"/>
    <col min="22" max="22" width="5.125" customWidth="1"/>
    <col min="23" max="23" width="7.875" customWidth="1"/>
    <col min="24" max="24" width="5.125" customWidth="1"/>
    <col min="25" max="25" width="31.125" customWidth="1"/>
    <col min="26" max="26" width="5.125" customWidth="1"/>
    <col min="27" max="27" width="23.5" customWidth="1"/>
    <col min="28" max="28" width="5.125" customWidth="1"/>
    <col min="29" max="29" width="7.875" customWidth="1"/>
    <col min="30" max="30" width="5.125" customWidth="1"/>
    <col min="31" max="31" width="19.625" customWidth="1"/>
    <col min="32" max="32" width="5.125" customWidth="1"/>
    <col min="33" max="33" width="32.625" customWidth="1"/>
    <col min="34" max="34" width="5.125" customWidth="1"/>
    <col min="35" max="35" width="10" customWidth="1"/>
    <col min="36" max="36" width="5.125" customWidth="1"/>
    <col min="37" max="37" width="27.125" customWidth="1"/>
    <col min="38" max="38" width="5.125" customWidth="1"/>
    <col min="39" max="39" width="29.625" customWidth="1"/>
    <col min="40" max="40" width="5.125" customWidth="1"/>
    <col min="41" max="41" width="16.125" customWidth="1"/>
    <col min="42" max="42" width="5.125" customWidth="1"/>
    <col min="43" max="43" width="31" customWidth="1"/>
    <col min="44" max="44" width="5.125" customWidth="1"/>
    <col min="45" max="45" width="23.5" customWidth="1"/>
    <col min="46" max="46" width="5.125" customWidth="1"/>
    <col min="47" max="47" width="11.875" customWidth="1"/>
    <col min="48" max="48" width="11" customWidth="1"/>
    <col min="49" max="57" width="4" customWidth="1"/>
  </cols>
  <sheetData>
    <row r="1" spans="1:57" ht="15.75" customHeight="1">
      <c r="A1" s="2" t="s">
        <v>62</v>
      </c>
      <c r="B1" s="19" t="s">
        <v>63</v>
      </c>
      <c r="C1" s="2" t="s">
        <v>64</v>
      </c>
      <c r="D1" s="19" t="s">
        <v>65</v>
      </c>
      <c r="E1" s="2" t="s">
        <v>66</v>
      </c>
      <c r="F1" s="19" t="s">
        <v>67</v>
      </c>
      <c r="G1" s="2" t="s">
        <v>68</v>
      </c>
      <c r="H1" s="19" t="s">
        <v>69</v>
      </c>
      <c r="I1" s="2" t="s">
        <v>70</v>
      </c>
      <c r="J1" s="19" t="s">
        <v>71</v>
      </c>
      <c r="K1" s="2" t="s">
        <v>72</v>
      </c>
      <c r="L1" s="19" t="s">
        <v>73</v>
      </c>
      <c r="M1" s="2" t="s">
        <v>74</v>
      </c>
      <c r="N1" s="19" t="s">
        <v>75</v>
      </c>
      <c r="O1" s="2" t="s">
        <v>76</v>
      </c>
      <c r="P1" s="19" t="s">
        <v>77</v>
      </c>
      <c r="Q1" s="2" t="s">
        <v>78</v>
      </c>
      <c r="R1" s="19" t="s">
        <v>79</v>
      </c>
      <c r="S1" s="2" t="s">
        <v>80</v>
      </c>
      <c r="T1" s="19" t="s">
        <v>81</v>
      </c>
      <c r="U1" s="2" t="s">
        <v>82</v>
      </c>
      <c r="V1" s="19" t="s">
        <v>83</v>
      </c>
      <c r="W1" s="2" t="s">
        <v>84</v>
      </c>
      <c r="X1" s="19" t="s">
        <v>85</v>
      </c>
      <c r="Y1" s="2" t="s">
        <v>86</v>
      </c>
      <c r="Z1" s="19" t="s">
        <v>87</v>
      </c>
      <c r="AA1" s="2" t="s">
        <v>88</v>
      </c>
      <c r="AB1" s="19" t="s">
        <v>89</v>
      </c>
      <c r="AC1" s="2" t="s">
        <v>90</v>
      </c>
      <c r="AD1" s="19" t="s">
        <v>91</v>
      </c>
      <c r="AE1" s="2" t="s">
        <v>92</v>
      </c>
      <c r="AF1" s="19" t="s">
        <v>93</v>
      </c>
      <c r="AG1" s="2" t="s">
        <v>94</v>
      </c>
      <c r="AH1" s="19" t="s">
        <v>95</v>
      </c>
      <c r="AI1" s="2" t="s">
        <v>96</v>
      </c>
      <c r="AJ1" s="19" t="s">
        <v>97</v>
      </c>
      <c r="AK1" s="2" t="s">
        <v>98</v>
      </c>
      <c r="AL1" s="19" t="s">
        <v>99</v>
      </c>
      <c r="AM1" s="2" t="s">
        <v>100</v>
      </c>
      <c r="AN1" s="19" t="s">
        <v>101</v>
      </c>
      <c r="AO1" s="2" t="s">
        <v>102</v>
      </c>
      <c r="AP1" s="19" t="s">
        <v>103</v>
      </c>
      <c r="AQ1" s="2" t="s">
        <v>104</v>
      </c>
      <c r="AR1" s="19" t="s">
        <v>105</v>
      </c>
      <c r="AS1" s="2" t="s">
        <v>106</v>
      </c>
      <c r="AT1" s="19" t="s">
        <v>107</v>
      </c>
      <c r="AU1" s="2" t="s">
        <v>108</v>
      </c>
      <c r="AV1" s="19" t="s">
        <v>109</v>
      </c>
      <c r="AW1" s="2" t="s">
        <v>110</v>
      </c>
      <c r="AX1" s="2" t="s">
        <v>111</v>
      </c>
      <c r="AY1" s="2" t="s">
        <v>112</v>
      </c>
      <c r="AZ1" s="2" t="s">
        <v>113</v>
      </c>
      <c r="BA1" s="2" t="s">
        <v>114</v>
      </c>
      <c r="BB1" s="2" t="s">
        <v>115</v>
      </c>
      <c r="BC1" s="2" t="s">
        <v>116</v>
      </c>
      <c r="BD1" s="2" t="s">
        <v>117</v>
      </c>
      <c r="BE1" s="2" t="s">
        <v>118</v>
      </c>
    </row>
    <row r="2" spans="1:57" ht="15.75" customHeight="1">
      <c r="A2" s="20" t="str">
        <f ca="1">IF(CALC2223!AX2&gt;0,INDIRECT(ADDRESS(MATCH(Agenda2526!C3,'CAL1'!A:A,0),2,4,1,"CAL1")),"")</f>
        <v/>
      </c>
      <c r="B2" s="21">
        <f ca="1">IF(CALC2223!AX2&gt;0,INDIRECT(ADDRESS(MATCH(Agenda2526!C3,'CAL1'!A:A,0),3,4,1,"CAL1")),0)</f>
        <v>0</v>
      </c>
      <c r="C2" s="20" t="str">
        <f ca="1">IF(CALC2223!AX2&gt;1,INDIRECT(ADDRESS(MATCH(Agenda2526!C3,'CAL1'!A:A,0)+1,2,4,1,"CAL1")),"")</f>
        <v/>
      </c>
      <c r="D2" s="21">
        <f ca="1">IF(CALC2223!AX2&gt;1,INDIRECT(ADDRESS(MATCH(Agenda2526!C3,'CAL1'!A:A,0)+1,3,4,1,"CAL1")),0)</f>
        <v>0</v>
      </c>
      <c r="E2" s="20" t="str">
        <f ca="1">IF(CALC2223!AX2&gt;2,INDIRECT(ADDRESS(MATCH(Agenda2526!C3,'CAL1'!A:A,0)+2,2,4,1,"CAL1")),"")</f>
        <v/>
      </c>
      <c r="F2" s="21">
        <f ca="1">IF(CALC2223!AX2&gt;2,INDIRECT(ADDRESS(MATCH(Agenda2526!C3,'CAL1'!A:A,0)+2,3,4,1,"CAL1")),0)</f>
        <v>0</v>
      </c>
      <c r="G2" s="20" t="str">
        <f ca="1">IF(CALC2223!AY2&gt;0,INDIRECT(ADDRESS(MATCH(Agenda2526!C3,'CAL2'!A:A,0),2,4,1,"CAL2")),"")</f>
        <v/>
      </c>
      <c r="H2" s="21">
        <f ca="1">IF(CALC2223!AY2&gt;0,INDIRECT(ADDRESS(MATCH(Agenda2526!C3,'CAL2'!A:A,0),3,4,1,"CAL2")),0)</f>
        <v>0</v>
      </c>
      <c r="I2" s="20" t="str">
        <f ca="1">IF(CALC2223!AY2&gt;1,INDIRECT(ADDRESS(MATCH(Agenda2526!C3,'CAL2'!A:A,0)+1,2,4,1,"CAL2")),"")</f>
        <v/>
      </c>
      <c r="J2" s="21">
        <f ca="1">IF(CALC2223!AY2&gt;1,INDIRECT(ADDRESS(MATCH(Agenda2526!C3,'CAL2'!A:A,0)+1,3,4,1,"CAL2")),0)</f>
        <v>0</v>
      </c>
      <c r="K2" s="20" t="str">
        <f ca="1">IF(CALC2223!AY2&gt;2,INDIRECT(ADDRESS(MATCH(Agenda2526!C3,'CAL2'!A:A,0)+2,2,4,1,"CAL2")),"")</f>
        <v/>
      </c>
      <c r="L2" s="21">
        <f ca="1">IF(CALC2223!AY2&gt;2,INDIRECT(ADDRESS(MATCH(Agenda2526!C3,'CAL2'!A:A,0)+2,3,4,1,"CAL2")),0)</f>
        <v>0</v>
      </c>
      <c r="M2" s="20" t="str">
        <f ca="1">IF(CALC2223!AZ2&gt;0,INDIRECT(ADDRESS(MATCH(Agenda2526!C3,'CAL3'!A:A,0),2,4,1,"CAL3")),"")</f>
        <v/>
      </c>
      <c r="N2" s="21">
        <f ca="1">IF(CALC2223!AZ2&gt;0,INDIRECT(ADDRESS(MATCH(Agenda2526!C3,'CAL3'!A:A,0),3,4,1,"CAL3")),0)</f>
        <v>0</v>
      </c>
      <c r="O2" s="20" t="str">
        <f ca="1">IF(CALC2223!AZ2&gt;1,INDIRECT(ADDRESS(MATCH(Agenda2526!C3,'CAL3'!A:A,0)+1,2,4,1,"CAL3")),"")</f>
        <v/>
      </c>
      <c r="P2" s="21">
        <f ca="1">IF(CALC2223!AZ2&gt;1,INDIRECT(ADDRESS(MATCH(Agenda2526!C3,'CAL3'!A:A,0)+1,3,4,1,"CAL3")),0)</f>
        <v>0</v>
      </c>
      <c r="Q2" s="20" t="str">
        <f ca="1">IF(CALC2223!AZ2&gt;2,INDIRECT(ADDRESS(MATCH(Agenda2526!C3,'CAL3'!A:A,0)+2,2,4,1,"CAL3")),"")</f>
        <v/>
      </c>
      <c r="R2" s="21">
        <f ca="1">IF(CALC2223!AZ2&gt;2,INDIRECT(ADDRESS(MATCH(Agenda2526!C3,'CAL3'!A:A,0)+2,3,4,1,"CAL3")),0)</f>
        <v>0</v>
      </c>
      <c r="S2" s="20" t="str">
        <f ca="1">IF(CALC2223!BA2&gt;0,INDIRECT(ADDRESS(MATCH(Agenda2526!C3,'CAL4'!A:A,0),2,4,1,"CAL4")),"")</f>
        <v/>
      </c>
      <c r="T2" s="21">
        <f ca="1">IF(CALC2223!BA2&gt;0,INDIRECT(ADDRESS(MATCH(Agenda2526!C3,'CAL4'!A:A,0),3,4,1,"CAL4")),0)</f>
        <v>0</v>
      </c>
      <c r="U2" s="20" t="str">
        <f ca="1">IF(CALC2223!BA2&gt;1,INDIRECT(ADDRESS(MATCH(Agenda2526!C3,'CAL4'!A:A,0)+1,2,4,1,"CAL4")),"")</f>
        <v/>
      </c>
      <c r="V2" s="21">
        <f ca="1">IF(CALC2223!BA2&gt;1,INDIRECT(ADDRESS(MATCH(Agenda2526!C3,'CAL4'!A:A,0)+1,3,4,1,"CAL4")),0)</f>
        <v>0</v>
      </c>
      <c r="W2" s="20" t="str">
        <f ca="1">IF(CALC2223!BA2&gt;2,INDIRECT(ADDRESS(MATCH(Agenda2526!C3,'CAL4'!A:A,0)+2,2,4,1,"CAL4")),"")</f>
        <v/>
      </c>
      <c r="X2" s="21">
        <f ca="1">IF(CALC2223!BA2&gt;2,INDIRECT(ADDRESS(MATCH(Agenda2526!C3,'CAL4'!A:A,0)+2,3,4,1,"CAL4")),0)</f>
        <v>0</v>
      </c>
      <c r="Y2" s="20" t="str">
        <f ca="1">IF(CALC2223!BB2&gt;0,INDIRECT(ADDRESS(MATCH(Agenda2526!C3,'CAL5'!A:A,0),2,4,1,"CAL5")),"")</f>
        <v/>
      </c>
      <c r="Z2" s="21">
        <f ca="1">IF(CALC2223!BB2&gt;0,INDIRECT(ADDRESS(MATCH(Agenda2526!C3,'CAL5'!A:A,0),3,4,1,"CAL5")),0)</f>
        <v>0</v>
      </c>
      <c r="AA2" s="20" t="str">
        <f ca="1">IF(CALC2223!BB2&gt;1,INDIRECT(ADDRESS(MATCH(Agenda2526!C3,'CAL5'!A:A,0)+1,2,4,1,"CAL5")),"")</f>
        <v/>
      </c>
      <c r="AB2" s="21">
        <f ca="1">IF(CALC2223!BB2&gt;1,INDIRECT(ADDRESS(MATCH(Agenda2526!C3,'CAL5'!A:A,0)+1,3,4,1,"CAL5")),0)</f>
        <v>0</v>
      </c>
      <c r="AC2" s="20" t="str">
        <f ca="1">IF(CALC2223!BB2&gt;2,INDIRECT(ADDRESS(MATCH(Agenda2526!C3,'CAL5'!A:A,0)+2,2,4,1,"CAL5")),"")</f>
        <v/>
      </c>
      <c r="AD2" s="21">
        <f ca="1">IF(CALC2223!BB2&gt;2,INDIRECT(ADDRESS(MATCH(Agenda2526!C3,'CAL5'!A:A,0)+2,3,4,1,"CAL5")),0)</f>
        <v>0</v>
      </c>
      <c r="AE2" s="20" t="str">
        <f ca="1">IF(CALC2223!BC2&gt;0,INDIRECT(ADDRESS(MATCH(Agenda2526!C3,'CAL6'!A:A,0),2,4,1,"CAL6")),"")</f>
        <v/>
      </c>
      <c r="AF2" s="21">
        <f ca="1">IF(CALC2223!BC2&gt;0,INDIRECT(ADDRESS(MATCH(Agenda2526!C3,'CAL6'!A:A,0),3,4,1,"CAL6")),0)</f>
        <v>0</v>
      </c>
      <c r="AG2" s="20" t="str">
        <f ca="1">IF(CALC2223!BC2&gt;1,INDIRECT(ADDRESS(MATCH(Agenda2526!C3,'CAL6'!A:A,0)+1,2,4,1,"CAL6")),"")</f>
        <v/>
      </c>
      <c r="AH2" s="21">
        <f ca="1">IF(CALC2223!BC2&gt;1,INDIRECT(ADDRESS(MATCH(Agenda2526!C3,'CAL6'!A:A,0)+1,3,4,1,"CAL6")),0)</f>
        <v>0</v>
      </c>
      <c r="AI2" s="20" t="str">
        <f ca="1">IF(CALC2223!BC2&gt;2,INDIRECT(ADDRESS(MATCH(Agenda2526!C3,'CAL6'!A:A,0)+2,2,4,1,"CAL6")),"")</f>
        <v/>
      </c>
      <c r="AJ2" s="21">
        <f ca="1">IF(CALC2223!BC2&gt;2,INDIRECT(ADDRESS(MATCH(Agenda2526!C3,'CAL6'!A:A,0)+2,3,4,1,"CAL6")),0)</f>
        <v>0</v>
      </c>
      <c r="AK2" s="20" t="str">
        <f ca="1">IF(CALC2223!BD2&gt;0,INDIRECT(ADDRESS(MATCH(Agenda2526!C3,'CAL7'!A:A,0),2,4,1,"CAL7")),"")</f>
        <v/>
      </c>
      <c r="AL2" s="21">
        <f ca="1">IF(CALC2223!BD2&gt;0,INDIRECT(ADDRESS(MATCH(Agenda2526!C3,'CAL7'!A:A,0),3,4,1,"CAL7")),0)</f>
        <v>0</v>
      </c>
      <c r="AM2" s="20" t="str">
        <f ca="1">IF(CALC2223!BD2&gt;1,INDIRECT(ADDRESS(MATCH(Agenda2526!C3,'CAL7'!A:A,0)+1,2,4,1,"CAL7")),"")</f>
        <v/>
      </c>
      <c r="AN2" s="21">
        <f ca="1">IF(CALC2223!BD2&gt;1,INDIRECT(ADDRESS(MATCH(Agenda2526!C3,'CAL7'!A:A,0)+1,3,4,1,"CAL7")),0)</f>
        <v>0</v>
      </c>
      <c r="AO2" s="20" t="str">
        <f ca="1">IF(CALC2223!BD2&gt;2,INDIRECT(ADDRESS(MATCH(Agenda2526!C3,'CAL7'!A:A,0)+2,2,4,1,"CAL7")),"")</f>
        <v/>
      </c>
      <c r="AP2" s="21">
        <f ca="1">IF(CALC2223!BD2&gt;2,INDIRECT(ADDRESS(MATCH(Agenda2526!C3,'CAL7'!A:A,0)+2,3,4,1,"CAL7")),0)</f>
        <v>0</v>
      </c>
      <c r="AQ2" s="20" t="str">
        <f ca="1">IF(CALC2223!BE2&gt;0,INDIRECT(ADDRESS(MATCH(Agenda2526!C3,'CAL8'!A:A,0),2,4,1,"CAL8")),"")</f>
        <v>personeelsdag</v>
      </c>
      <c r="AR2" s="21">
        <f ca="1">IF(CALC2223!BE2&gt;0,INDIRECT(ADDRESS(MATCH(Agenda2526!C3,'CAL8'!A:A,0),3,4,1,"CAL8")),0)</f>
        <v>45896</v>
      </c>
      <c r="AS2" s="20" t="str">
        <f ca="1">IF(CALC2223!BE2&gt;1,INDIRECT(ADDRESS(MATCH(Agenda2526!C3,'CAL8'!A:A,0)+1,2,4,1,"CAL8")),"")</f>
        <v/>
      </c>
      <c r="AT2" s="21">
        <f ca="1">IF(CALC2223!BE2&gt;1,INDIRECT(ADDRESS(MATCH(Agenda2526!C3,'CAL8'!A:A,0)+1,3,4,1,"CAL8")),0)</f>
        <v>0</v>
      </c>
      <c r="AU2" s="20" t="str">
        <f ca="1">IF(CALC2223!BE2&gt;2,INDIRECT(ADDRESS(MATCH(Agenda2526!C3,'CAL8'!A:A,0)+2,2,4,1,"CAL8")),"")</f>
        <v/>
      </c>
      <c r="AV2" s="21">
        <f ca="1">IF(CALC2223!BE2&gt;2,INDIRECT(ADDRESS(MATCH(Agenda2526!C3,'CAL8'!A:A,0)+2,3,4,1,"CAL8")),0)</f>
        <v>0</v>
      </c>
      <c r="AW2" s="103"/>
      <c r="AX2" s="20">
        <f>COUNTIF('CAL1'!A:A,Agenda2526!C3)</f>
        <v>0</v>
      </c>
      <c r="AY2" s="20">
        <f>COUNTIF('CAL2'!A:A,Agenda2526!C3)</f>
        <v>0</v>
      </c>
      <c r="AZ2" s="20">
        <f>COUNTIF('CAL3'!A:A,Agenda2526!C3)</f>
        <v>0</v>
      </c>
      <c r="BA2" s="20">
        <f>COUNTIF('CAL4'!A:A,Agenda2526!C3)</f>
        <v>0</v>
      </c>
      <c r="BB2" s="20">
        <f>COUNTIF('CAL5'!A:A,Agenda2526!C3)</f>
        <v>0</v>
      </c>
      <c r="BC2" s="20">
        <f>COUNTIF('CAL6'!A:A,Agenda2526!C3)</f>
        <v>0</v>
      </c>
      <c r="BD2" s="20">
        <f>COUNTIF('CAL7'!A:A,Agenda2526!C3)</f>
        <v>0</v>
      </c>
      <c r="BE2" s="20">
        <f>COUNTIF('CAL8'!A:A,Agenda2526!C3)</f>
        <v>1</v>
      </c>
    </row>
    <row r="3" spans="1:57" ht="15.75" customHeight="1">
      <c r="A3" s="20" t="str">
        <f ca="1">IF(CALC2223!AX3&gt;0,INDIRECT(ADDRESS(MATCH(Agenda2526!C4,'CAL1'!A:A,0),2,4,1,"CAL1")),"")</f>
        <v/>
      </c>
      <c r="B3" s="21">
        <f ca="1">IF(CALC2223!AX3&gt;0,INDIRECT(ADDRESS(MATCH(Agenda2526!C4,'CAL1'!A:A,0),3,4,1,"CAL1")),0)</f>
        <v>0</v>
      </c>
      <c r="C3" s="20" t="str">
        <f ca="1">IF(CALC2223!AX3&gt;1,INDIRECT(ADDRESS(MATCH(Agenda2526!C4,'CAL1'!A:A,0)+1,2,4,1,"CAL1")),"")</f>
        <v/>
      </c>
      <c r="D3" s="21">
        <f ca="1">IF(CALC2223!AX3&gt;1,INDIRECT(ADDRESS(MATCH(Agenda2526!C4,'CAL1'!A:A,0)+1,3,4,1,"CAL1")),0)</f>
        <v>0</v>
      </c>
      <c r="E3" s="20" t="str">
        <f ca="1">IF(CALC2223!AX3&gt;2,INDIRECT(ADDRESS(MATCH(Agenda2526!C4,'CAL1'!A:A,0)+2,2,4,1,"CAL1")),"")</f>
        <v/>
      </c>
      <c r="F3" s="21">
        <f ca="1">IF(CALC2223!AX3&gt;2,INDIRECT(ADDRESS(MATCH(Agenda2526!C4,'CAL1'!A:A,0)+2,3,4,1,"CAL1")),0)</f>
        <v>0</v>
      </c>
      <c r="G3" s="4" t="str">
        <f ca="1">IF(CALC2223!AY3&gt;0,INDIRECT(ADDRESS(MATCH(Agenda2526!C4,'CAL2'!A:A,0),2,4,1,"CAL2")),"")</f>
        <v/>
      </c>
      <c r="H3" s="22">
        <f ca="1">IF(CALC2223!AY3&gt;0,INDIRECT(ADDRESS(MATCH(Agenda2526!C4,'CAL2'!A:A,0),3,4,1,"CAL2")),0)</f>
        <v>0</v>
      </c>
      <c r="I3" s="4" t="str">
        <f ca="1">IF(CALC2223!AY3&gt;1,INDIRECT(ADDRESS(MATCH(Agenda2526!C4,'CAL2'!A:A,0)+1,2,4,1,"CAL2")),"")</f>
        <v/>
      </c>
      <c r="J3" s="22">
        <f ca="1">IF(CALC2223!AY3&gt;1,INDIRECT(ADDRESS(MATCH(Agenda2526!C4,'CAL2'!A:A,0)+1,3,4,1,"CAL2")),0)</f>
        <v>0</v>
      </c>
      <c r="K3" s="4" t="str">
        <f ca="1">IF(CALC2223!AY3&gt;2,INDIRECT(ADDRESS(MATCH(Agenda2526!C4,'CAL2'!A:A,0)+2,2,4,1,"CAL2")),"")</f>
        <v/>
      </c>
      <c r="L3" s="22">
        <f ca="1">IF(CALC2223!AY3&gt;2,INDIRECT(ADDRESS(MATCH(Agenda2526!C4,'CAL2'!A:A,0)+2,3,4,1,"CAL2")),0)</f>
        <v>0</v>
      </c>
      <c r="M3" s="20" t="str">
        <f ca="1">IF(CALC2223!AZ3&gt;0,INDIRECT(ADDRESS(MATCH(Agenda2526!C4,'CAL3'!A:A,0),2,4,1,"CAL3")),"")</f>
        <v/>
      </c>
      <c r="N3" s="21">
        <f ca="1">IF(CALC2223!AZ3&gt;0,INDIRECT(ADDRESS(MATCH(Agenda2526!C4,'CAL3'!A:A,0),3,4,1,"CAL3")),0)</f>
        <v>0</v>
      </c>
      <c r="O3" s="20" t="str">
        <f ca="1">IF(CALC2223!AZ3&gt;1,INDIRECT(ADDRESS(MATCH(Agenda2526!C4,'CAL3'!A:A,0)+1,2,4,1,"CAL3")),"")</f>
        <v/>
      </c>
      <c r="P3" s="21">
        <f ca="1">IF(CALC2223!AZ3&gt;1,INDIRECT(ADDRESS(MATCH(Agenda2526!C4,'CAL3'!A:A,0)+1,3,4,1,"CAL3")),0)</f>
        <v>0</v>
      </c>
      <c r="Q3" s="20" t="str">
        <f ca="1">IF(CALC2223!AZ3&gt;2,INDIRECT(ADDRESS(MATCH(Agenda2526!C4,'CAL3'!A:A,0)+2,2,4,1,"CAL3")),"")</f>
        <v/>
      </c>
      <c r="R3" s="21">
        <f ca="1">IF(CALC2223!AZ3&gt;2,INDIRECT(ADDRESS(MATCH(Agenda2526!C4,'CAL3'!A:A,0)+2,3,4,1,"CAL3")),0)</f>
        <v>0</v>
      </c>
      <c r="S3" s="20" t="str">
        <f ca="1">IF(CALC2223!BA3&gt;0,INDIRECT(ADDRESS(MATCH(Agenda2526!C4,'CAL4'!A:A,0),2,4,1,"CAL4")),"")</f>
        <v/>
      </c>
      <c r="T3" s="21">
        <f ca="1">IF(CALC2223!BA3&gt;0,INDIRECT(ADDRESS(MATCH(Agenda2526!C4,'CAL4'!A:A,0),3,4,1,"CAL4")),0)</f>
        <v>0</v>
      </c>
      <c r="U3" s="20" t="str">
        <f ca="1">IF(CALC2223!BA3&gt;1,INDIRECT(ADDRESS(MATCH(Agenda2526!C4,'CAL4'!A:A,0)+1,2,4,1,"CAL4")),"")</f>
        <v/>
      </c>
      <c r="V3" s="21">
        <f ca="1">IF(CALC2223!BA3&gt;1,INDIRECT(ADDRESS(MATCH(Agenda2526!C4,'CAL4'!A:A,0)+1,3,4,1,"CAL4")),0)</f>
        <v>0</v>
      </c>
      <c r="W3" s="20" t="str">
        <f ca="1">IF(CALC2223!BA3&gt;2,INDIRECT(ADDRESS(MATCH(Agenda2526!C4,'CAL4'!A:A,0)+2,2,4,1,"CAL4")),"")</f>
        <v/>
      </c>
      <c r="X3" s="21">
        <f ca="1">IF(CALC2223!BA3&gt;2,INDIRECT(ADDRESS(MATCH(Agenda2526!C4,'CAL4'!A:A,0)+2,3,4,1,"CAL4")),0)</f>
        <v>0</v>
      </c>
      <c r="Y3" s="20" t="str">
        <f ca="1">IF(CALC2223!BB3&gt;0,INDIRECT(ADDRESS(MATCH(Agenda2526!C4,'CAL5'!A:A,0),2,4,1,"CAL5")),"")</f>
        <v/>
      </c>
      <c r="Z3" s="21">
        <f ca="1">IF(CALC2223!BB3&gt;0,INDIRECT(ADDRESS(MATCH(Agenda2526!C4,'CAL5'!A:A,0),3,4,1,"CAL5")),0)</f>
        <v>0</v>
      </c>
      <c r="AA3" s="20" t="str">
        <f ca="1">IF(CALC2223!BB3&gt;1,INDIRECT(ADDRESS(MATCH(Agenda2526!C4,'CAL5'!A:A,0)+1,2,4,1,"CAL5")),"")</f>
        <v/>
      </c>
      <c r="AB3" s="21">
        <f ca="1">IF(CALC2223!BB3&gt;1,INDIRECT(ADDRESS(MATCH(Agenda2526!C4,'CAL5'!A:A,0)+1,3,4,1,"CAL5")),0)</f>
        <v>0</v>
      </c>
      <c r="AC3" s="20" t="str">
        <f ca="1">IF(CALC2223!BB3&gt;2,INDIRECT(ADDRESS(MATCH(Agenda2526!C4,'CAL5'!A:A,0)+2,2,4,1,"CAL5")),"")</f>
        <v/>
      </c>
      <c r="AD3" s="21">
        <f ca="1">IF(CALC2223!BB3&gt;2,INDIRECT(ADDRESS(MATCH(Agenda2526!C4,'CAL5'!A:A,0)+2,3,4,1,"CAL5")),0)</f>
        <v>0</v>
      </c>
      <c r="AE3" s="20" t="str">
        <f ca="1">IF(CALC2223!BC3&gt;0,INDIRECT(ADDRESS(MATCH(Agenda2526!C4,'CAL6'!A:A,0),2,4,1,"CAL6")),"")</f>
        <v/>
      </c>
      <c r="AF3" s="21">
        <f ca="1">IF(CALC2223!BC3&gt;0,INDIRECT(ADDRESS(MATCH(Agenda2526!C4,'CAL6'!A:A,0),3,4,1,"CAL6")),0)</f>
        <v>0</v>
      </c>
      <c r="AG3" s="20" t="str">
        <f ca="1">IF(CALC2223!BC3&gt;1,INDIRECT(ADDRESS(MATCH(Agenda2526!C4,'CAL6'!A:A,0)+1,2,4,1,"CAL6")),"")</f>
        <v/>
      </c>
      <c r="AH3" s="21">
        <f ca="1">IF(CALC2223!BC3&gt;1,INDIRECT(ADDRESS(MATCH(Agenda2526!C4,'CAL6'!A:A,0)+1,3,4,1,"CAL6")),0)</f>
        <v>0</v>
      </c>
      <c r="AI3" s="20" t="str">
        <f ca="1">IF(CALC2223!BC3&gt;2,INDIRECT(ADDRESS(MATCH(Agenda2526!C4,'CAL6'!A:A,0)+2,2,4,1,"CAL6")),"")</f>
        <v/>
      </c>
      <c r="AJ3" s="21">
        <f ca="1">IF(CALC2223!BC3&gt;2,INDIRECT(ADDRESS(MATCH(Agenda2526!C4,'CAL6'!A:A,0)+2,3,4,1,"CAL6")),0)</f>
        <v>0</v>
      </c>
      <c r="AK3" s="20" t="str">
        <f ca="1">IF(CALC2223!BD3&gt;0,INDIRECT(ADDRESS(MATCH(Agenda2526!C4,'CAL7'!A:A,0),2,4,1,"CAL7")),"")</f>
        <v/>
      </c>
      <c r="AL3" s="21">
        <f ca="1">IF(CALC2223!BD3&gt;0,INDIRECT(ADDRESS(MATCH(Agenda2526!C4,'CAL7'!A:A,0),3,4,1,"CAL7")),0)</f>
        <v>0</v>
      </c>
      <c r="AM3" s="20" t="str">
        <f ca="1">IF(CALC2223!BD3&gt;1,INDIRECT(ADDRESS(MATCH(Agenda2526!C4,'CAL7'!A:A,0)+1,2,4,1,"CAL7")),"")</f>
        <v/>
      </c>
      <c r="AN3" s="21">
        <f ca="1">IF(CALC2223!BD3&gt;1,INDIRECT(ADDRESS(MATCH(Agenda2526!C4,'CAL7'!A:A,0)+1,3,4,1,"CAL7")),0)</f>
        <v>0</v>
      </c>
      <c r="AO3" s="20" t="str">
        <f ca="1">IF(CALC2223!BD3&gt;2,INDIRECT(ADDRESS(MATCH(Agenda2526!C4,'CAL7'!A:A,0)+2,2,4,1,"CAL7")),"")</f>
        <v/>
      </c>
      <c r="AP3" s="21">
        <f ca="1">IF(CALC2223!BD3&gt;2,INDIRECT(ADDRESS(MATCH(Agenda2526!C4,'CAL7'!A:A,0)+2,3,4,1,"CAL7")),0)</f>
        <v>0</v>
      </c>
      <c r="AQ3" s="20" t="str">
        <f ca="1">IF(CALC2223!BE3&gt;0,INDIRECT(ADDRESS(MATCH(Agenda2526!C4,'CAL8'!A:A,0),2,4,1,"CAL8")),"")</f>
        <v>CGUweek1; fotograaf</v>
      </c>
      <c r="AR3" s="21">
        <f ca="1">IF(CALC2223!BE3&gt;0,INDIRECT(ADDRESS(MATCH(Agenda2526!C4,'CAL8'!A:A,0),3,4,1,"CAL8")),0)</f>
        <v>45896</v>
      </c>
      <c r="AS3" s="20" t="str">
        <f ca="1">IF(CALC2223!BE3&gt;1,INDIRECT(ADDRESS(MATCH(Agenda2526!C4,'CAL8'!A:A,0)+1,2,4,1,"CAL8")),"")</f>
        <v/>
      </c>
      <c r="AT3" s="21">
        <f ca="1">IF(CALC2223!BE3&gt;1,INDIRECT(ADDRESS(MATCH(Agenda2526!C4,'CAL8'!A:A,0)+1,3,4,1,"CAL8")),0)</f>
        <v>0</v>
      </c>
      <c r="AU3" s="20" t="str">
        <f ca="1">IF(CALC2223!BE3&gt;2,INDIRECT(ADDRESS(MATCH(Agenda2526!C4,'CAL8'!A:A,0)+2,2,4,1,"CAL8")),"")</f>
        <v/>
      </c>
      <c r="AV3" s="21">
        <f ca="1">IF(CALC2223!BE3&gt;2,INDIRECT(ADDRESS(MATCH(Agenda2526!C4,'CAL8'!A:A,0)+2,3,4,1,"CAL8")),0)</f>
        <v>0</v>
      </c>
      <c r="AW3" s="104"/>
      <c r="AX3" s="20">
        <f>COUNTIF('CAL1'!A:A,Agenda2526!C4)</f>
        <v>0</v>
      </c>
      <c r="AY3" s="20">
        <f>COUNTIF('CAL2'!A:A,Agenda2526!C4)</f>
        <v>0</v>
      </c>
      <c r="AZ3" s="20">
        <f>COUNTIF('CAL3'!A:A,Agenda2526!C4)</f>
        <v>0</v>
      </c>
      <c r="BA3" s="20">
        <f>COUNTIF('CAL4'!A:A,Agenda2526!C4)</f>
        <v>0</v>
      </c>
      <c r="BB3" s="20">
        <f>COUNTIF('CAL5'!A:A,Agenda2526!C4)</f>
        <v>0</v>
      </c>
      <c r="BC3" s="20">
        <f>COUNTIF('CAL6'!A:A,Agenda2526!C4)</f>
        <v>0</v>
      </c>
      <c r="BD3" s="20">
        <f>COUNTIF('CAL7'!A:A,Agenda2526!C4)</f>
        <v>0</v>
      </c>
      <c r="BE3" s="20">
        <f>COUNTIF('CAL8'!A:A,Agenda2526!C4)</f>
        <v>1</v>
      </c>
    </row>
    <row r="4" spans="1:57" ht="15.75" customHeight="1">
      <c r="A4" s="20" t="str">
        <f ca="1">IF(CALC2223!AX4&gt;0,INDIRECT(ADDRESS(MATCH(Agenda2526!C5,'CAL1'!A:A,0),2,4,1,"CAL1")),"")</f>
        <v/>
      </c>
      <c r="B4" s="21">
        <f ca="1">IF(CALC2223!AX4&gt;0,INDIRECT(ADDRESS(MATCH(Agenda2526!C5,'CAL1'!A:A,0),3,4,1,"CAL1")),0)</f>
        <v>0</v>
      </c>
      <c r="C4" s="20" t="str">
        <f ca="1">IF(CALC2223!AX4&gt;1,INDIRECT(ADDRESS(MATCH(Agenda2526!C5,'CAL1'!A:A,0)+1,2,4,1,"CAL1")),"")</f>
        <v/>
      </c>
      <c r="D4" s="21">
        <f ca="1">IF(CALC2223!AX4&gt;1,INDIRECT(ADDRESS(MATCH(Agenda2526!C5,'CAL1'!A:A,0)+1,3,4,1,"CAL1")),0)</f>
        <v>0</v>
      </c>
      <c r="E4" s="20" t="str">
        <f ca="1">IF(CALC2223!AX4&gt;2,INDIRECT(ADDRESS(MATCH(Agenda2526!C5,'CAL1'!A:A,0)+2,2,4,1,"CAL1")),"")</f>
        <v/>
      </c>
      <c r="F4" s="21">
        <f ca="1">IF(CALC2223!AX4&gt;2,INDIRECT(ADDRESS(MATCH(Agenda2526!C5,'CAL1'!A:A,0)+2,3,4,1,"CAL1")),0)</f>
        <v>0</v>
      </c>
      <c r="G4" s="20" t="str">
        <f ca="1">IF(CALC2223!AY4&gt;0,INDIRECT(ADDRESS(MATCH(Agenda2526!C5,'CAL2'!A:A,0),2,4,1,"CAL2")),"")</f>
        <v/>
      </c>
      <c r="H4" s="21">
        <f ca="1">IF(CALC2223!AY4&gt;0,INDIRECT(ADDRESS(MATCH(Agenda2526!C5,'CAL2'!A:A,0),3,4,1,"CAL2")),0)</f>
        <v>0</v>
      </c>
      <c r="I4" s="20" t="str">
        <f ca="1">IF(CALC2223!AY4&gt;1,INDIRECT(ADDRESS(MATCH(Agenda2526!C5,'CAL2'!A:A,0)+1,2,4,1,"CAL2")),"")</f>
        <v/>
      </c>
      <c r="J4" s="21">
        <f ca="1">IF(CALC2223!AY4&gt;1,INDIRECT(ADDRESS(MATCH(Agenda2526!C5,'CAL2'!A:A,0)+1,3,4,1,"CAL2")),0)</f>
        <v>0</v>
      </c>
      <c r="K4" s="20" t="str">
        <f ca="1">IF(CALC2223!AY4&gt;2,INDIRECT(ADDRESS(MATCH(Agenda2526!C5,'CAL2'!A:A,0)+2,2,4,1,"CAL2")),"")</f>
        <v/>
      </c>
      <c r="L4" s="21">
        <f ca="1">IF(CALC2223!AY4&gt;2,INDIRECT(ADDRESS(MATCH(Agenda2526!C5,'CAL2'!A:A,0)+2,3,4,1,"CAL2")),0)</f>
        <v>0</v>
      </c>
      <c r="M4" s="20" t="str">
        <f ca="1">IF(CALC2223!AZ4&gt;0,INDIRECT(ADDRESS(MATCH(Agenda2526!C5,'CAL3'!A:A,0),2,4,1,"CAL3")),"")</f>
        <v/>
      </c>
      <c r="N4" s="21">
        <f ca="1">IF(CALC2223!AZ4&gt;0,INDIRECT(ADDRESS(MATCH(Agenda2526!C5,'CAL3'!A:A,0),3,4,1,"CAL3")),0)</f>
        <v>0</v>
      </c>
      <c r="O4" s="20" t="str">
        <f ca="1">IF(CALC2223!AZ4&gt;1,INDIRECT(ADDRESS(MATCH(Agenda2526!C5,'CAL3'!A:A,0)+1,2,4,1,"CAL3")),"")</f>
        <v/>
      </c>
      <c r="P4" s="21">
        <f ca="1">IF(CALC2223!AZ4&gt;1,INDIRECT(ADDRESS(MATCH(Agenda2526!C5,'CAL3'!A:A,0)+1,3,4,1,"CAL3")),0)</f>
        <v>0</v>
      </c>
      <c r="Q4" s="20" t="str">
        <f ca="1">IF(CALC2223!AZ4&gt;2,INDIRECT(ADDRESS(MATCH(Agenda2526!C5,'CAL3'!A:A,0)+2,2,4,1,"CAL3")),"")</f>
        <v/>
      </c>
      <c r="R4" s="21">
        <f ca="1">IF(CALC2223!AZ4&gt;2,INDIRECT(ADDRESS(MATCH(Agenda2526!C5,'CAL3'!A:A,0)+2,3,4,1,"CAL3")),0)</f>
        <v>0</v>
      </c>
      <c r="S4" s="20" t="str">
        <f ca="1">IF(CALC2223!BA4&gt;0,INDIRECT(ADDRESS(MATCH(Agenda2526!C5,'CAL4'!A:A,0),2,4,1,"CAL4")),"")</f>
        <v/>
      </c>
      <c r="T4" s="21">
        <f ca="1">IF(CALC2223!BA4&gt;0,INDIRECT(ADDRESS(MATCH(Agenda2526!C5,'CAL4'!A:A,0),3,4,1,"CAL4")),0)</f>
        <v>0</v>
      </c>
      <c r="U4" s="20" t="str">
        <f ca="1">IF(CALC2223!BA4&gt;1,INDIRECT(ADDRESS(MATCH(Agenda2526!C5,'CAL4'!A:A,0)+1,2,4,1,"CAL4")),"")</f>
        <v/>
      </c>
      <c r="V4" s="21">
        <f ca="1">IF(CALC2223!BA4&gt;1,INDIRECT(ADDRESS(MATCH(Agenda2526!C5,'CAL4'!A:A,0)+1,3,4,1,"CAL4")),0)</f>
        <v>0</v>
      </c>
      <c r="W4" s="20" t="str">
        <f ca="1">IF(CALC2223!BA4&gt;2,INDIRECT(ADDRESS(MATCH(Agenda2526!C5,'CAL4'!A:A,0)+2,2,4,1,"CAL4")),"")</f>
        <v/>
      </c>
      <c r="X4" s="21">
        <f ca="1">IF(CALC2223!BA4&gt;2,INDIRECT(ADDRESS(MATCH(Agenda2526!C5,'CAL4'!A:A,0)+2,3,4,1,"CAL4")),0)</f>
        <v>0</v>
      </c>
      <c r="Y4" s="20" t="str">
        <f ca="1">IF(CALC2223!BB4&gt;0,INDIRECT(ADDRESS(MATCH(Agenda2526!C5,'CAL5'!A:A,0),2,4,1,"CAL5")),"")</f>
        <v/>
      </c>
      <c r="Z4" s="21">
        <f ca="1">IF(CALC2223!BB4&gt;0,INDIRECT(ADDRESS(MATCH(Agenda2526!C5,'CAL5'!A:A,0),3,4,1,"CAL5")),0)</f>
        <v>0</v>
      </c>
      <c r="AA4" s="20" t="str">
        <f ca="1">IF(CALC2223!BB4&gt;1,INDIRECT(ADDRESS(MATCH(Agenda2526!C5,'CAL5'!A:A,0)+1,2,4,1,"CAL5")),"")</f>
        <v/>
      </c>
      <c r="AB4" s="21">
        <f ca="1">IF(CALC2223!BB4&gt;1,INDIRECT(ADDRESS(MATCH(Agenda2526!C5,'CAL5'!A:A,0)+1,3,4,1,"CAL5")),0)</f>
        <v>0</v>
      </c>
      <c r="AC4" s="20" t="str">
        <f ca="1">IF(CALC2223!BB4&gt;2,INDIRECT(ADDRESS(MATCH(Agenda2526!C5,'CAL5'!A:A,0)+2,2,4,1,"CAL5")),"")</f>
        <v/>
      </c>
      <c r="AD4" s="21">
        <f ca="1">IF(CALC2223!BB4&gt;2,INDIRECT(ADDRESS(MATCH(Agenda2526!C5,'CAL5'!A:A,0)+2,3,4,1,"CAL5")),0)</f>
        <v>0</v>
      </c>
      <c r="AE4" s="20" t="str">
        <f ca="1">IF(CALC2223!BC4&gt;0,INDIRECT(ADDRESS(MATCH(Agenda2526!C5,'CAL6'!A:A,0),2,4,1,"CAL6")),"")</f>
        <v/>
      </c>
      <c r="AF4" s="21">
        <f ca="1">IF(CALC2223!BC4&gt;0,INDIRECT(ADDRESS(MATCH(Agenda2526!C5,'CAL6'!A:A,0),3,4,1,"CAL6")),0)</f>
        <v>0</v>
      </c>
      <c r="AG4" s="20" t="str">
        <f ca="1">IF(CALC2223!BC4&gt;1,INDIRECT(ADDRESS(MATCH(Agenda2526!C5,'CAL6'!A:A,0)+1,2,4,1,"CAL6")),"")</f>
        <v/>
      </c>
      <c r="AH4" s="21">
        <f ca="1">IF(CALC2223!BC4&gt;1,INDIRECT(ADDRESS(MATCH(Agenda2526!C5,'CAL6'!A:A,0)+1,3,4,1,"CAL6")),0)</f>
        <v>0</v>
      </c>
      <c r="AI4" s="20" t="str">
        <f ca="1">IF(CALC2223!BC4&gt;2,INDIRECT(ADDRESS(MATCH(Agenda2526!C5,'CAL6'!A:A,0)+2,2,4,1,"CAL6")),"")</f>
        <v/>
      </c>
      <c r="AJ4" s="21">
        <f ca="1">IF(CALC2223!BC4&gt;2,INDIRECT(ADDRESS(MATCH(Agenda2526!C5,'CAL6'!A:A,0)+2,3,4,1,"CAL6")),0)</f>
        <v>0</v>
      </c>
      <c r="AK4" s="20" t="str">
        <f ca="1">IF(CALC2223!BD4&gt;0,INDIRECT(ADDRESS(MATCH(Agenda2526!C5,'CAL7'!A:A,0),2,4,1,"CAL7")),"")</f>
        <v/>
      </c>
      <c r="AL4" s="21">
        <f ca="1">IF(CALC2223!BD4&gt;0,INDIRECT(ADDRESS(MATCH(Agenda2526!C5,'CAL7'!A:A,0),3,4,1,"CAL7")),0)</f>
        <v>0</v>
      </c>
      <c r="AM4" s="20" t="str">
        <f ca="1">IF(CALC2223!BD4&gt;1,INDIRECT(ADDRESS(MATCH(Agenda2526!C5,'CAL7'!A:A,0)+1,2,4,1,"CAL7")),"")</f>
        <v/>
      </c>
      <c r="AN4" s="21">
        <f ca="1">IF(CALC2223!BD4&gt;1,INDIRECT(ADDRESS(MATCH(Agenda2526!C5,'CAL7'!A:A,0)+1,3,4,1,"CAL7")),0)</f>
        <v>0</v>
      </c>
      <c r="AO4" s="20" t="str">
        <f ca="1">IF(CALC2223!BD4&gt;2,INDIRECT(ADDRESS(MATCH(Agenda2526!C5,'CAL7'!A:A,0)+2,2,4,1,"CAL7")),"")</f>
        <v/>
      </c>
      <c r="AP4" s="21">
        <f ca="1">IF(CALC2223!BD4&gt;2,INDIRECT(ADDRESS(MATCH(Agenda2526!C5,'CAL7'!A:A,0)+2,3,4,1,"CAL7")),0)</f>
        <v>0</v>
      </c>
      <c r="AQ4" s="20" t="str">
        <f ca="1">IF(CALC2223!BE4&gt;0,INDIRECT(ADDRESS(MATCH(Agenda2526!C5,'CAL8'!A:A,0),2,4,1,"CAL8")),"")</f>
        <v/>
      </c>
      <c r="AR4" s="21">
        <f ca="1">IF(CALC2223!BE4&gt;0,INDIRECT(ADDRESS(MATCH(Agenda2526!C5,'CAL8'!A:A,0),3,4,1,"CAL8")),0)</f>
        <v>0</v>
      </c>
      <c r="AS4" s="20" t="str">
        <f ca="1">IF(CALC2223!BE4&gt;1,INDIRECT(ADDRESS(MATCH(Agenda2526!C5,'CAL8'!A:A,0)+1,2,4,1,"CAL8")),"")</f>
        <v/>
      </c>
      <c r="AT4" s="21">
        <f ca="1">IF(CALC2223!BE4&gt;1,INDIRECT(ADDRESS(MATCH(Agenda2526!C5,'CAL8'!A:A,0)+1,3,4,1,"CAL8")),0)</f>
        <v>0</v>
      </c>
      <c r="AU4" s="20" t="str">
        <f ca="1">IF(CALC2223!BE4&gt;2,INDIRECT(ADDRESS(MATCH(Agenda2526!C5,'CAL8'!A:A,0)+2,2,4,1,"CAL8")),"")</f>
        <v/>
      </c>
      <c r="AV4" s="21">
        <f ca="1">IF(CALC2223!BE4&gt;2,INDIRECT(ADDRESS(MATCH(Agenda2526!C5,'CAL8'!A:A,0)+2,3,4,1,"CAL8")),0)</f>
        <v>0</v>
      </c>
      <c r="AW4" s="104"/>
      <c r="AX4" s="20">
        <f>COUNTIF('CAL1'!A:A,Agenda2526!C5)</f>
        <v>0</v>
      </c>
      <c r="AY4" s="20">
        <f>COUNTIF('CAL2'!A:A,Agenda2526!C5)</f>
        <v>0</v>
      </c>
      <c r="AZ4" s="20">
        <f>COUNTIF('CAL3'!A:A,Agenda2526!C5)</f>
        <v>0</v>
      </c>
      <c r="BA4" s="20">
        <f>COUNTIF('CAL4'!A:A,Agenda2526!C5)</f>
        <v>0</v>
      </c>
      <c r="BB4" s="20">
        <f>COUNTIF('CAL5'!A:A,Agenda2526!C5)</f>
        <v>0</v>
      </c>
      <c r="BC4" s="20">
        <f>COUNTIF('CAL6'!A:A,Agenda2526!C5)</f>
        <v>0</v>
      </c>
      <c r="BD4" s="20">
        <f>COUNTIF('CAL7'!A:A,Agenda2526!C5)</f>
        <v>0</v>
      </c>
      <c r="BE4" s="20">
        <f>COUNTIF('CAL8'!A:A,Agenda2526!C5)</f>
        <v>0</v>
      </c>
    </row>
    <row r="5" spans="1:57" ht="15.75" customHeight="1">
      <c r="A5" s="20" t="str">
        <f ca="1">IF(CALC2223!AX5&gt;0,INDIRECT(ADDRESS(MATCH(Agenda2526!C6,'CAL1'!A:A,0),2,4,1,"CAL1")),"")</f>
        <v/>
      </c>
      <c r="B5" s="21">
        <f ca="1">IF(CALC2223!AX5&gt;0,INDIRECT(ADDRESS(MATCH(Agenda2526!C6,'CAL1'!A:A,0),3,4,1,"CAL1")),0)</f>
        <v>0</v>
      </c>
      <c r="C5" s="20" t="str">
        <f ca="1">IF(CALC2223!AX5&gt;1,INDIRECT(ADDRESS(MATCH(Agenda2526!C6,'CAL1'!A:A,0)+1,2,4,1,"CAL1")),"")</f>
        <v/>
      </c>
      <c r="D5" s="21">
        <f ca="1">IF(CALC2223!AX5&gt;1,INDIRECT(ADDRESS(MATCH(Agenda2526!C6,'CAL1'!A:A,0)+1,3,4,1,"CAL1")),0)</f>
        <v>0</v>
      </c>
      <c r="E5" s="20" t="str">
        <f ca="1">IF(CALC2223!AX5&gt;2,INDIRECT(ADDRESS(MATCH(Agenda2526!C6,'CAL1'!A:A,0)+2,2,4,1,"CAL1")),"")</f>
        <v/>
      </c>
      <c r="F5" s="21">
        <f ca="1">IF(CALC2223!AX5&gt;2,INDIRECT(ADDRESS(MATCH(Agenda2526!C6,'CAL1'!A:A,0)+2,3,4,1,"CAL1")),0)</f>
        <v>0</v>
      </c>
      <c r="G5" s="20" t="str">
        <f ca="1">IF(CALC2223!AY5&gt;0,INDIRECT(ADDRESS(MATCH(Agenda2526!C6,'CAL2'!A:A,0),2,4,1,"CAL2")),"")</f>
        <v/>
      </c>
      <c r="H5" s="21">
        <f ca="1">IF(CALC2223!AY5&gt;0,INDIRECT(ADDRESS(MATCH(Agenda2526!C6,'CAL2'!A:A,0),3,4,1,"CAL2")),0)</f>
        <v>0</v>
      </c>
      <c r="I5" s="20" t="str">
        <f ca="1">IF(CALC2223!AY5&gt;1,INDIRECT(ADDRESS(MATCH(Agenda2526!C6,'CAL2'!A:A,0)+1,2,4,1,"CAL2")),"")</f>
        <v/>
      </c>
      <c r="J5" s="21">
        <f ca="1">IF(CALC2223!AY5&gt;1,INDIRECT(ADDRESS(MATCH(Agenda2526!C6,'CAL2'!A:A,0)+1,3,4,1,"CAL2")),0)</f>
        <v>0</v>
      </c>
      <c r="K5" s="20" t="str">
        <f ca="1">IF(CALC2223!AY5&gt;2,INDIRECT(ADDRESS(MATCH(Agenda2526!C6,'CAL2'!A:A,0)+2,2,4,1,"CAL2")),"")</f>
        <v/>
      </c>
      <c r="L5" s="21">
        <f ca="1">IF(CALC2223!AY5&gt;2,INDIRECT(ADDRESS(MATCH(Agenda2526!C6,'CAL2'!A:A,0)+2,3,4,1,"CAL2")),0)</f>
        <v>0</v>
      </c>
      <c r="M5" s="20" t="str">
        <f ca="1">IF(CALC2223!AZ5&gt;0,INDIRECT(ADDRESS(MATCH(Agenda2526!C6,'CAL3'!A:A,0),2,4,1,"CAL3")),"")</f>
        <v/>
      </c>
      <c r="N5" s="21">
        <f ca="1">IF(CALC2223!AZ5&gt;0,INDIRECT(ADDRESS(MATCH(Agenda2526!C6,'CAL3'!A:A,0),3,4,1,"CAL3")),0)</f>
        <v>0</v>
      </c>
      <c r="O5" s="20" t="str">
        <f ca="1">IF(CALC2223!AZ5&gt;1,INDIRECT(ADDRESS(MATCH(Agenda2526!C6,'CAL3'!A:A,0)+1,2,4,1,"CAL3")),"")</f>
        <v/>
      </c>
      <c r="P5" s="21">
        <f ca="1">IF(CALC2223!AZ5&gt;1,INDIRECT(ADDRESS(MATCH(Agenda2526!C6,'CAL3'!A:A,0)+1,3,4,1,"CAL3")),0)</f>
        <v>0</v>
      </c>
      <c r="Q5" s="20" t="str">
        <f ca="1">IF(CALC2223!AZ5&gt;2,INDIRECT(ADDRESS(MATCH(Agenda2526!C6,'CAL3'!A:A,0)+2,2,4,1,"CAL3")),"")</f>
        <v/>
      </c>
      <c r="R5" s="21">
        <f ca="1">IF(CALC2223!AZ5&gt;2,INDIRECT(ADDRESS(MATCH(Agenda2526!C6,'CAL3'!A:A,0)+2,3,4,1,"CAL3")),0)</f>
        <v>0</v>
      </c>
      <c r="S5" s="20" t="str">
        <f ca="1">IF(CALC2223!BA5&gt;0,INDIRECT(ADDRESS(MATCH(Agenda2526!C6,'CAL4'!A:A,0),2,4,1,"CAL4")),"")</f>
        <v/>
      </c>
      <c r="T5" s="21">
        <f ca="1">IF(CALC2223!BA5&gt;0,INDIRECT(ADDRESS(MATCH(Agenda2526!C6,'CAL4'!A:A,0),3,4,1,"CAL4")),0)</f>
        <v>0</v>
      </c>
      <c r="U5" s="20" t="str">
        <f ca="1">IF(CALC2223!BA5&gt;1,INDIRECT(ADDRESS(MATCH(Agenda2526!C6,'CAL4'!A:A,0)+1,2,4,1,"CAL4")),"")</f>
        <v/>
      </c>
      <c r="V5" s="21">
        <f ca="1">IF(CALC2223!BA5&gt;1,INDIRECT(ADDRESS(MATCH(Agenda2526!C6,'CAL4'!A:A,0)+1,3,4,1,"CAL4")),0)</f>
        <v>0</v>
      </c>
      <c r="W5" s="20" t="str">
        <f ca="1">IF(CALC2223!BA5&gt;2,INDIRECT(ADDRESS(MATCH(Agenda2526!C6,'CAL4'!A:A,0)+2,2,4,1,"CAL4")),"")</f>
        <v/>
      </c>
      <c r="X5" s="21">
        <f ca="1">IF(CALC2223!BA5&gt;2,INDIRECT(ADDRESS(MATCH(Agenda2526!C6,'CAL4'!A:A,0)+2,3,4,1,"CAL4")),0)</f>
        <v>0</v>
      </c>
      <c r="Y5" s="20" t="str">
        <f ca="1">IF(CALC2223!BB5&gt;0,INDIRECT(ADDRESS(MATCH(Agenda2526!C6,'CAL5'!A:A,0),2,4,1,"CAL5")),"")</f>
        <v/>
      </c>
      <c r="Z5" s="21">
        <f ca="1">IF(CALC2223!BB5&gt;0,INDIRECT(ADDRESS(MATCH(Agenda2526!C6,'CAL5'!A:A,0),3,4,1,"CAL5")),0)</f>
        <v>0</v>
      </c>
      <c r="AA5" s="20" t="str">
        <f ca="1">IF(CALC2223!BB5&gt;1,INDIRECT(ADDRESS(MATCH(Agenda2526!C6,'CAL5'!A:A,0)+1,2,4,1,"CAL5")),"")</f>
        <v/>
      </c>
      <c r="AB5" s="21">
        <f ca="1">IF(CALC2223!BB5&gt;1,INDIRECT(ADDRESS(MATCH(Agenda2526!C6,'CAL5'!A:A,0)+1,3,4,1,"CAL5")),0)</f>
        <v>0</v>
      </c>
      <c r="AC5" s="20" t="str">
        <f ca="1">IF(CALC2223!BB5&gt;2,INDIRECT(ADDRESS(MATCH(Agenda2526!C6,'CAL5'!A:A,0)+2,2,4,1,"CAL5")),"")</f>
        <v/>
      </c>
      <c r="AD5" s="21">
        <f ca="1">IF(CALC2223!BB5&gt;2,INDIRECT(ADDRESS(MATCH(Agenda2526!C6,'CAL5'!A:A,0)+2,3,4,1,"CAL5")),0)</f>
        <v>0</v>
      </c>
      <c r="AE5" s="20" t="str">
        <f ca="1">IF(CALC2223!BC5&gt;0,INDIRECT(ADDRESS(MATCH(Agenda2526!C6,'CAL6'!A:A,0),2,4,1,"CAL6")),"")</f>
        <v/>
      </c>
      <c r="AF5" s="21">
        <f ca="1">IF(CALC2223!BC5&gt;0,INDIRECT(ADDRESS(MATCH(Agenda2526!C6,'CAL6'!A:A,0),3,4,1,"CAL6")),0)</f>
        <v>0</v>
      </c>
      <c r="AG5" s="20" t="str">
        <f ca="1">IF(CALC2223!BC5&gt;1,INDIRECT(ADDRESS(MATCH(Agenda2526!C6,'CAL6'!A:A,0)+1,2,4,1,"CAL6")),"")</f>
        <v/>
      </c>
      <c r="AH5" s="21">
        <f ca="1">IF(CALC2223!BC5&gt;1,INDIRECT(ADDRESS(MATCH(Agenda2526!C6,'CAL6'!A:A,0)+1,3,4,1,"CAL6")),0)</f>
        <v>0</v>
      </c>
      <c r="AI5" s="20" t="str">
        <f ca="1">IF(CALC2223!BC5&gt;2,INDIRECT(ADDRESS(MATCH(Agenda2526!C6,'CAL6'!A:A,0)+2,2,4,1,"CAL6")),"")</f>
        <v/>
      </c>
      <c r="AJ5" s="21">
        <f ca="1">IF(CALC2223!BC5&gt;2,INDIRECT(ADDRESS(MATCH(Agenda2526!C6,'CAL6'!A:A,0)+2,3,4,1,"CAL6")),0)</f>
        <v>0</v>
      </c>
      <c r="AK5" s="20" t="str">
        <f ca="1">IF(CALC2223!BD5&gt;0,INDIRECT(ADDRESS(MATCH(Agenda2526!C6,'CAL7'!A:A,0),2,4,1,"CAL7")),"")</f>
        <v>secties#1</v>
      </c>
      <c r="AL5" s="21">
        <f ca="1">IF(CALC2223!BD5&gt;0,INDIRECT(ADDRESS(MATCH(Agenda2526!C6,'CAL7'!A:A,0),3,4,1,"CAL7")),0)</f>
        <v>45896</v>
      </c>
      <c r="AM5" s="20" t="str">
        <f ca="1">IF(CALC2223!BD5&gt;1,INDIRECT(ADDRESS(MATCH(Agenda2526!C6,'CAL7'!A:A,0)+1,2,4,1,"CAL7")),"")</f>
        <v/>
      </c>
      <c r="AN5" s="21">
        <f ca="1">IF(CALC2223!BD5&gt;1,INDIRECT(ADDRESS(MATCH(Agenda2526!C6,'CAL7'!A:A,0)+1,3,4,1,"CAL7")),0)</f>
        <v>0</v>
      </c>
      <c r="AO5" s="20" t="str">
        <f ca="1">IF(CALC2223!BD5&gt;2,INDIRECT(ADDRESS(MATCH(Agenda2526!C6,'CAL7'!A:A,0)+2,2,4,1,"CAL7")),"")</f>
        <v/>
      </c>
      <c r="AP5" s="21">
        <f ca="1">IF(CALC2223!BD5&gt;2,INDIRECT(ADDRESS(MATCH(Agenda2526!C6,'CAL7'!A:A,0)+2,3,4,1,"CAL7")),0)</f>
        <v>0</v>
      </c>
      <c r="AQ5" s="20" t="str">
        <f ca="1">IF(CALC2223!BE5&gt;0,INDIRECT(ADDRESS(MATCH(Agenda2526!C6,'CAL8'!A:A,0),2,4,1,"CAL8")),"")</f>
        <v>ouderavond brugklas</v>
      </c>
      <c r="AR5" s="21">
        <f ca="1">IF(CALC2223!BE5&gt;0,INDIRECT(ADDRESS(MATCH(Agenda2526!C6,'CAL8'!A:A,0),3,4,1,"CAL8")),0)</f>
        <v>45903</v>
      </c>
      <c r="AS5" s="20" t="str">
        <f ca="1">IF(CALC2223!BE5&gt;1,INDIRECT(ADDRESS(MATCH(Agenda2526!C6,'CAL8'!A:A,0)+1,2,4,1,"CAL8")),"")</f>
        <v/>
      </c>
      <c r="AT5" s="21">
        <f ca="1">IF(CALC2223!BE5&gt;1,INDIRECT(ADDRESS(MATCH(Agenda2526!C6,'CAL8'!A:A,0)+1,3,4,1,"CAL8")),0)</f>
        <v>0</v>
      </c>
      <c r="AU5" s="20" t="str">
        <f ca="1">IF(CALC2223!BE5&gt;2,INDIRECT(ADDRESS(MATCH(Agenda2526!C6,'CAL8'!A:A,0)+2,2,4,1,"CAL8")),"")</f>
        <v/>
      </c>
      <c r="AV5" s="21">
        <f ca="1">IF(CALC2223!BE5&gt;2,INDIRECT(ADDRESS(MATCH(Agenda2526!C6,'CAL8'!A:A,0)+2,3,4,1,"CAL8")),0)</f>
        <v>0</v>
      </c>
      <c r="AW5" s="104"/>
      <c r="AX5" s="20">
        <f>COUNTIF('CAL1'!A:A,Agenda2526!C6)</f>
        <v>0</v>
      </c>
      <c r="AY5" s="20">
        <f>COUNTIF('CAL2'!A:A,Agenda2526!C6)</f>
        <v>0</v>
      </c>
      <c r="AZ5" s="20">
        <f>COUNTIF('CAL3'!A:A,Agenda2526!C6)</f>
        <v>0</v>
      </c>
      <c r="BA5" s="20">
        <f>COUNTIF('CAL4'!A:A,Agenda2526!C6)</f>
        <v>0</v>
      </c>
      <c r="BB5" s="20">
        <f>COUNTIF('CAL5'!A:A,Agenda2526!C6)</f>
        <v>0</v>
      </c>
      <c r="BC5" s="20">
        <f>COUNTIF('CAL6'!A:A,Agenda2526!C6)</f>
        <v>0</v>
      </c>
      <c r="BD5" s="20">
        <f>COUNTIF('CAL7'!A:A,Agenda2526!C6)</f>
        <v>1</v>
      </c>
      <c r="BE5" s="20">
        <f>COUNTIF('CAL8'!A:A,Agenda2526!C6)</f>
        <v>1</v>
      </c>
    </row>
    <row r="6" spans="1:57" ht="15.75" customHeight="1">
      <c r="A6" s="20" t="str">
        <f ca="1">IF(CALC2223!AX6&gt;0,INDIRECT(ADDRESS(MATCH(Agenda2526!C7,'CAL1'!A:A,0),2,4,1,"CAL1")),"")</f>
        <v/>
      </c>
      <c r="B6" s="21">
        <f ca="1">IF(CALC2223!AX6&gt;0,INDIRECT(ADDRESS(MATCH(Agenda2526!C7,'CAL1'!A:A,0),3,4,1,"CAL1")),0)</f>
        <v>0</v>
      </c>
      <c r="C6" s="20" t="str">
        <f ca="1">IF(CALC2223!AX6&gt;1,INDIRECT(ADDRESS(MATCH(Agenda2526!C7,'CAL1'!A:A,0)+1,2,4,1,"CAL1")),"")</f>
        <v/>
      </c>
      <c r="D6" s="21">
        <f ca="1">IF(CALC2223!AX6&gt;1,INDIRECT(ADDRESS(MATCH(Agenda2526!C7,'CAL1'!A:A,0)+1,3,4,1,"CAL1")),0)</f>
        <v>0</v>
      </c>
      <c r="E6" s="20" t="str">
        <f ca="1">IF(CALC2223!AX6&gt;2,INDIRECT(ADDRESS(MATCH(Agenda2526!C7,'CAL1'!A:A,0)+2,2,4,1,"CAL1")),"")</f>
        <v/>
      </c>
      <c r="F6" s="21">
        <f ca="1">IF(CALC2223!AX6&gt;2,INDIRECT(ADDRESS(MATCH(Agenda2526!C7,'CAL1'!A:A,0)+2,3,4,1,"CAL1")),0)</f>
        <v>0</v>
      </c>
      <c r="G6" s="20" t="str">
        <f ca="1">IF(CALC2223!AY6&gt;0,INDIRECT(ADDRESS(MATCH(Agenda2526!C7,'CAL2'!A:A,0),2,4,1,"CAL2")),"")</f>
        <v/>
      </c>
      <c r="H6" s="21">
        <f ca="1">IF(CALC2223!AY6&gt;0,INDIRECT(ADDRESS(MATCH(Agenda2526!C7,'CAL2'!A:A,0),3,4,1,"CAL2")),0)</f>
        <v>0</v>
      </c>
      <c r="I6" s="20" t="str">
        <f ca="1">IF(CALC2223!AY6&gt;1,INDIRECT(ADDRESS(MATCH(Agenda2526!C7,'CAL2'!A:A,0)+1,2,4,1,"CAL2")),"")</f>
        <v/>
      </c>
      <c r="J6" s="21">
        <f ca="1">IF(CALC2223!AY6&gt;1,INDIRECT(ADDRESS(MATCH(Agenda2526!C7,'CAL2'!A:A,0)+1,3,4,1,"CAL2")),0)</f>
        <v>0</v>
      </c>
      <c r="K6" s="20" t="str">
        <f ca="1">IF(CALC2223!AY6&gt;2,INDIRECT(ADDRESS(MATCH(Agenda2526!C7,'CAL2'!A:A,0)+2,2,4,1,"CAL2")),"")</f>
        <v/>
      </c>
      <c r="L6" s="21">
        <f ca="1">IF(CALC2223!AY6&gt;2,INDIRECT(ADDRESS(MATCH(Agenda2526!C7,'CAL2'!A:A,0)+2,3,4,1,"CAL2")),0)</f>
        <v>0</v>
      </c>
      <c r="M6" s="20" t="str">
        <f ca="1">IF(CALC2223!AZ6&gt;0,INDIRECT(ADDRESS(MATCH(Agenda2526!C7,'CAL3'!A:A,0),2,4,1,"CAL3")),"")</f>
        <v/>
      </c>
      <c r="N6" s="21">
        <f ca="1">IF(CALC2223!AZ6&gt;0,INDIRECT(ADDRESS(MATCH(Agenda2526!C7,'CAL3'!A:A,0),3,4,1,"CAL3")),0)</f>
        <v>0</v>
      </c>
      <c r="O6" s="20" t="str">
        <f ca="1">IF(CALC2223!AZ6&gt;1,INDIRECT(ADDRESS(MATCH(Agenda2526!C7,'CAL3'!A:A,0)+1,2,4,1,"CAL3")),"")</f>
        <v/>
      </c>
      <c r="P6" s="21">
        <f ca="1">IF(CALC2223!AZ6&gt;1,INDIRECT(ADDRESS(MATCH(Agenda2526!C7,'CAL3'!A:A,0)+1,3,4,1,"CAL3")),0)</f>
        <v>0</v>
      </c>
      <c r="Q6" s="20" t="str">
        <f ca="1">IF(CALC2223!AZ6&gt;2,INDIRECT(ADDRESS(MATCH(Agenda2526!C7,'CAL3'!A:A,0)+2,2,4,1,"CAL3")),"")</f>
        <v/>
      </c>
      <c r="R6" s="21">
        <f ca="1">IF(CALC2223!AZ6&gt;2,INDIRECT(ADDRESS(MATCH(Agenda2526!C7,'CAL3'!A:A,0)+2,3,4,1,"CAL3")),0)</f>
        <v>0</v>
      </c>
      <c r="S6" s="20" t="str">
        <f ca="1">IF(CALC2223!BA6&gt;0,INDIRECT(ADDRESS(MATCH(Agenda2526!C7,'CAL4'!A:A,0),2,4,1,"CAL4")),"")</f>
        <v/>
      </c>
      <c r="T6" s="21">
        <f ca="1">IF(CALC2223!BA6&gt;0,INDIRECT(ADDRESS(MATCH(Agenda2526!C7,'CAL4'!A:A,0),3,4,1,"CAL4")),0)</f>
        <v>0</v>
      </c>
      <c r="U6" s="20" t="str">
        <f ca="1">IF(CALC2223!BA6&gt;1,INDIRECT(ADDRESS(MATCH(Agenda2526!C7,'CAL4'!A:A,0)+1,2,4,1,"CAL4")),"")</f>
        <v/>
      </c>
      <c r="V6" s="21">
        <f ca="1">IF(CALC2223!BA6&gt;1,INDIRECT(ADDRESS(MATCH(Agenda2526!C7,'CAL4'!A:A,0)+1,3,4,1,"CAL4")),0)</f>
        <v>0</v>
      </c>
      <c r="W6" s="20" t="str">
        <f ca="1">IF(CALC2223!BA6&gt;2,INDIRECT(ADDRESS(MATCH(Agenda2526!C7,'CAL4'!A:A,0)+2,2,4,1,"CAL4")),"")</f>
        <v/>
      </c>
      <c r="X6" s="21">
        <f ca="1">IF(CALC2223!BA6&gt;2,INDIRECT(ADDRESS(MATCH(Agenda2526!C7,'CAL4'!A:A,0)+2,3,4,1,"CAL4")),0)</f>
        <v>0</v>
      </c>
      <c r="Y6" s="20" t="str">
        <f ca="1">IF(CALC2223!BB6&gt;0,INDIRECT(ADDRESS(MATCH(Agenda2526!C7,'CAL5'!A:A,0),2,4,1,"CAL5")),"")</f>
        <v/>
      </c>
      <c r="Z6" s="21">
        <f ca="1">IF(CALC2223!BB6&gt;0,INDIRECT(ADDRESS(MATCH(Agenda2526!C7,'CAL5'!A:A,0),3,4,1,"CAL5")),0)</f>
        <v>0</v>
      </c>
      <c r="AA6" s="20" t="str">
        <f ca="1">IF(CALC2223!BB6&gt;1,INDIRECT(ADDRESS(MATCH(Agenda2526!C7,'CAL5'!A:A,0)+1,2,4,1,"CAL5")),"")</f>
        <v/>
      </c>
      <c r="AB6" s="21">
        <f ca="1">IF(CALC2223!BB6&gt;1,INDIRECT(ADDRESS(MATCH(Agenda2526!C7,'CAL5'!A:A,0)+1,3,4,1,"CAL5")),0)</f>
        <v>0</v>
      </c>
      <c r="AC6" s="20" t="str">
        <f ca="1">IF(CALC2223!BB6&gt;2,INDIRECT(ADDRESS(MATCH(Agenda2526!C7,'CAL5'!A:A,0)+2,2,4,1,"CAL5")),"")</f>
        <v/>
      </c>
      <c r="AD6" s="21">
        <f ca="1">IF(CALC2223!BB6&gt;2,INDIRECT(ADDRESS(MATCH(Agenda2526!C7,'CAL5'!A:A,0)+2,3,4,1,"CAL5")),0)</f>
        <v>0</v>
      </c>
      <c r="AE6" s="20" t="str">
        <f ca="1">IF(CALC2223!BC6&gt;0,INDIRECT(ADDRESS(MATCH(Agenda2526!C7,'CAL6'!A:A,0),2,4,1,"CAL6")),"")</f>
        <v>opgave herkansingen 17 uur</v>
      </c>
      <c r="AF6" s="21">
        <f ca="1">IF(CALC2223!BC6&gt;0,INDIRECT(ADDRESS(MATCH(Agenda2526!C7,'CAL6'!A:A,0),3,4,1,"CAL6")),0)</f>
        <v>45896</v>
      </c>
      <c r="AG6" s="20" t="str">
        <f ca="1">IF(CALC2223!BC6&gt;1,INDIRECT(ADDRESS(MATCH(Agenda2526!C7,'CAL6'!A:A,0)+1,2,4,1,"CAL6")),"")</f>
        <v/>
      </c>
      <c r="AH6" s="21">
        <f ca="1">IF(CALC2223!BC6&gt;1,INDIRECT(ADDRESS(MATCH(Agenda2526!C7,'CAL6'!A:A,0)+1,3,4,1,"CAL6")),0)</f>
        <v>0</v>
      </c>
      <c r="AI6" s="20" t="str">
        <f ca="1">IF(CALC2223!BC6&gt;2,INDIRECT(ADDRESS(MATCH(Agenda2526!C7,'CAL6'!A:A,0)+2,2,4,1,"CAL6")),"")</f>
        <v/>
      </c>
      <c r="AJ6" s="21">
        <f ca="1">IF(CALC2223!BC6&gt;2,INDIRECT(ADDRESS(MATCH(Agenda2526!C7,'CAL6'!A:A,0)+2,3,4,1,"CAL6")),0)</f>
        <v>0</v>
      </c>
      <c r="AK6" s="20" t="str">
        <f ca="1">IF(CALC2223!BD6&gt;0,INDIRECT(ADDRESS(MATCH(Agenda2526!C7,'CAL7'!A:A,0),2,4,1,"CAL7")),"")</f>
        <v/>
      </c>
      <c r="AL6" s="21">
        <f ca="1">IF(CALC2223!BD6&gt;0,INDIRECT(ADDRESS(MATCH(Agenda2526!C7,'CAL7'!A:A,0),3,4,1,"CAL7")),0)</f>
        <v>0</v>
      </c>
      <c r="AM6" s="20" t="str">
        <f ca="1">IF(CALC2223!BD6&gt;1,INDIRECT(ADDRESS(MATCH(Agenda2526!C7,'CAL7'!A:A,0)+1,2,4,1,"CAL7")),"")</f>
        <v/>
      </c>
      <c r="AN6" s="21">
        <f ca="1">IF(CALC2223!BD6&gt;1,INDIRECT(ADDRESS(MATCH(Agenda2526!C7,'CAL7'!A:A,0)+1,3,4,1,"CAL7")),0)</f>
        <v>0</v>
      </c>
      <c r="AO6" s="20" t="str">
        <f ca="1">IF(CALC2223!BD6&gt;2,INDIRECT(ADDRESS(MATCH(Agenda2526!C7,'CAL7'!A:A,0)+2,2,4,1,"CAL7")),"")</f>
        <v/>
      </c>
      <c r="AP6" s="21">
        <f ca="1">IF(CALC2223!BD6&gt;2,INDIRECT(ADDRESS(MATCH(Agenda2526!C7,'CAL7'!A:A,0)+2,3,4,1,"CAL7")),0)</f>
        <v>0</v>
      </c>
      <c r="AQ6" s="20" t="str">
        <f ca="1">IF(CALC2223!BE6&gt;0,INDIRECT(ADDRESS(MATCH(Agenda2526!C7,'CAL8'!A:A,0),2,4,1,"CAL8")),"")</f>
        <v>start lessen Lacadeia middag</v>
      </c>
      <c r="AR6" s="21">
        <f ca="1">IF(CALC2223!BE6&gt;0,INDIRECT(ADDRESS(MATCH(Agenda2526!C7,'CAL8'!A:A,0),3,4,1,"CAL8")),0)</f>
        <v>45896</v>
      </c>
      <c r="AS6" s="20" t="str">
        <f ca="1">IF(CALC2223!BE6&gt;1,INDIRECT(ADDRESS(MATCH(Agenda2526!C7,'CAL8'!A:A,0)+1,2,4,1,"CAL8")),"")</f>
        <v/>
      </c>
      <c r="AT6" s="21">
        <f ca="1">IF(CALC2223!BE6&gt;1,INDIRECT(ADDRESS(MATCH(Agenda2526!C7,'CAL8'!A:A,0)+1,3,4,1,"CAL8")),0)</f>
        <v>0</v>
      </c>
      <c r="AU6" s="20" t="str">
        <f ca="1">IF(CALC2223!BE6&gt;2,INDIRECT(ADDRESS(MATCH(Agenda2526!C7,'CAL8'!A:A,0)+2,2,4,1,"CAL8")),"")</f>
        <v/>
      </c>
      <c r="AV6" s="21">
        <f ca="1">IF(CALC2223!BE6&gt;2,INDIRECT(ADDRESS(MATCH(Agenda2526!C7,'CAL8'!A:A,0)+2,3,4,1,"CAL8")),0)</f>
        <v>0</v>
      </c>
      <c r="AW6" s="105"/>
      <c r="AX6" s="20">
        <f>COUNTIF('CAL1'!A:A,Agenda2526!C7)</f>
        <v>0</v>
      </c>
      <c r="AY6" s="20">
        <f>COUNTIF('CAL2'!A:A,Agenda2526!C7)</f>
        <v>0</v>
      </c>
      <c r="AZ6" s="20">
        <f>COUNTIF('CAL3'!A:A,Agenda2526!C7)</f>
        <v>0</v>
      </c>
      <c r="BA6" s="20">
        <f>COUNTIF('CAL4'!A:A,Agenda2526!C7)</f>
        <v>0</v>
      </c>
      <c r="BB6" s="20">
        <f>COUNTIF('CAL5'!A:A,Agenda2526!C7)</f>
        <v>0</v>
      </c>
      <c r="BC6" s="20">
        <f>COUNTIF('CAL6'!A:A,Agenda2526!C7)</f>
        <v>1</v>
      </c>
      <c r="BD6" s="20">
        <f>COUNTIF('CAL7'!A:A,Agenda2526!C7)</f>
        <v>0</v>
      </c>
      <c r="BE6" s="20">
        <f>COUNTIF('CAL8'!A:A,Agenda2526!C7)</f>
        <v>1</v>
      </c>
    </row>
    <row r="7" spans="1:57" ht="15.75" customHeight="1">
      <c r="A7" s="20" t="str">
        <f ca="1">IF(CALC2223!AX7&gt;0,INDIRECT(ADDRESS(MATCH(Agenda2526!C8,'CAL1'!A:A,0),2,4,1,"CAL1")),"")</f>
        <v/>
      </c>
      <c r="B7" s="21">
        <f ca="1">IF(CALC2223!AX7&gt;0,INDIRECT(ADDRESS(MATCH(Agenda2526!C8,'CAL1'!A:A,0),3,4,1,"CAL1")),0)</f>
        <v>0</v>
      </c>
      <c r="C7" s="20" t="str">
        <f ca="1">IF(CALC2223!AX7&gt;1,INDIRECT(ADDRESS(MATCH(Agenda2526!C8,'CAL1'!A:A,0)+1,2,4,1,"CAL1")),"")</f>
        <v/>
      </c>
      <c r="D7" s="21">
        <f ca="1">IF(CALC2223!AX7&gt;1,INDIRECT(ADDRESS(MATCH(Agenda2526!C8,'CAL1'!A:A,0)+1,3,4,1,"CAL1")),0)</f>
        <v>0</v>
      </c>
      <c r="E7" s="20" t="str">
        <f ca="1">IF(CALC2223!AX7&gt;2,INDIRECT(ADDRESS(MATCH(Agenda2526!C8,'CAL1'!A:A,0)+2,2,4,1,"CAL1")),"")</f>
        <v/>
      </c>
      <c r="F7" s="21">
        <f ca="1">IF(CALC2223!AX7&gt;2,INDIRECT(ADDRESS(MATCH(Agenda2526!C8,'CAL1'!A:A,0)+2,3,4,1,"CAL1")),0)</f>
        <v>0</v>
      </c>
      <c r="G7" s="20" t="str">
        <f ca="1">IF(CALC2223!AY7&gt;0,INDIRECT(ADDRESS(MATCH(Agenda2526!C8,'CAL2'!A:A,0),2,4,1,"CAL2")),"")</f>
        <v/>
      </c>
      <c r="H7" s="21">
        <f ca="1">IF(CALC2223!AY7&gt;0,INDIRECT(ADDRESS(MATCH(Agenda2526!C8,'CAL2'!A:A,0),3,4,1,"CAL2")),0)</f>
        <v>0</v>
      </c>
      <c r="I7" s="20" t="str">
        <f ca="1">IF(CALC2223!AY7&gt;1,INDIRECT(ADDRESS(MATCH(Agenda2526!C8,'CAL2'!A:A,0)+1,2,4,1,"CAL2")),"")</f>
        <v/>
      </c>
      <c r="J7" s="21">
        <f ca="1">IF(CALC2223!AY7&gt;1,INDIRECT(ADDRESS(MATCH(Agenda2526!C8,'CAL2'!A:A,0)+1,3,4,1,"CAL2")),0)</f>
        <v>0</v>
      </c>
      <c r="K7" s="20" t="str">
        <f ca="1">IF(CALC2223!AY7&gt;2,INDIRECT(ADDRESS(MATCH(Agenda2526!C8,'CAL2'!A:A,0)+2,2,4,1,"CAL2")),"")</f>
        <v/>
      </c>
      <c r="L7" s="21">
        <f ca="1">IF(CALC2223!AY7&gt;2,INDIRECT(ADDRESS(MATCH(Agenda2526!C8,'CAL2'!A:A,0)+2,3,4,1,"CAL2")),0)</f>
        <v>0</v>
      </c>
      <c r="M7" s="20" t="str">
        <f ca="1">IF(CALC2223!AZ7&gt;0,INDIRECT(ADDRESS(MATCH(Agenda2526!C8,'CAL3'!A:A,0),2,4,1,"CAL3")),"")</f>
        <v/>
      </c>
      <c r="N7" s="21">
        <f ca="1">IF(CALC2223!AZ7&gt;0,INDIRECT(ADDRESS(MATCH(Agenda2526!C8,'CAL3'!A:A,0),3,4,1,"CAL3")),0)</f>
        <v>0</v>
      </c>
      <c r="O7" s="20" t="str">
        <f ca="1">IF(CALC2223!AZ7&gt;1,INDIRECT(ADDRESS(MATCH(Agenda2526!C8,'CAL3'!A:A,0)+1,2,4,1,"CAL3")),"")</f>
        <v/>
      </c>
      <c r="P7" s="21">
        <f ca="1">IF(CALC2223!AZ7&gt;1,INDIRECT(ADDRESS(MATCH(Agenda2526!C8,'CAL3'!A:A,0)+1,3,4,1,"CAL3")),0)</f>
        <v>0</v>
      </c>
      <c r="Q7" s="20" t="str">
        <f ca="1">IF(CALC2223!AZ7&gt;2,INDIRECT(ADDRESS(MATCH(Agenda2526!C8,'CAL3'!A:A,0)+2,2,4,1,"CAL3")),"")</f>
        <v/>
      </c>
      <c r="R7" s="21">
        <f ca="1">IF(CALC2223!AZ7&gt;2,INDIRECT(ADDRESS(MATCH(Agenda2526!C8,'CAL3'!A:A,0)+2,3,4,1,"CAL3")),0)</f>
        <v>0</v>
      </c>
      <c r="S7" s="20" t="str">
        <f ca="1">IF(CALC2223!BA7&gt;0,INDIRECT(ADDRESS(MATCH(Agenda2526!C8,'CAL4'!A:A,0),2,4,1,"CAL4")),"")</f>
        <v/>
      </c>
      <c r="T7" s="21">
        <f ca="1">IF(CALC2223!BA7&gt;0,INDIRECT(ADDRESS(MATCH(Agenda2526!C8,'CAL4'!A:A,0),3,4,1,"CAL4")),0)</f>
        <v>0</v>
      </c>
      <c r="U7" s="20" t="str">
        <f ca="1">IF(CALC2223!BA7&gt;1,INDIRECT(ADDRESS(MATCH(Agenda2526!C8,'CAL4'!A:A,0)+1,2,4,1,"CAL4")),"")</f>
        <v/>
      </c>
      <c r="V7" s="21">
        <f ca="1">IF(CALC2223!BA7&gt;1,INDIRECT(ADDRESS(MATCH(Agenda2526!C8,'CAL4'!A:A,0)+1,3,4,1,"CAL4")),0)</f>
        <v>0</v>
      </c>
      <c r="W7" s="20" t="str">
        <f ca="1">IF(CALC2223!BA7&gt;2,INDIRECT(ADDRESS(MATCH(Agenda2526!C8,'CAL4'!A:A,0)+2,2,4,1,"CAL4")),"")</f>
        <v/>
      </c>
      <c r="X7" s="21">
        <f ca="1">IF(CALC2223!BA7&gt;2,INDIRECT(ADDRESS(MATCH(Agenda2526!C8,'CAL4'!A:A,0)+2,3,4,1,"CAL4")),0)</f>
        <v>0</v>
      </c>
      <c r="Y7" s="20" t="str">
        <f ca="1">IF(CALC2223!BB7&gt;0,INDIRECT(ADDRESS(MATCH(Agenda2526!C8,'CAL5'!A:A,0),2,4,1,"CAL5")),"")</f>
        <v/>
      </c>
      <c r="Z7" s="21">
        <f ca="1">IF(CALC2223!BB7&gt;0,INDIRECT(ADDRESS(MATCH(Agenda2526!C8,'CAL5'!A:A,0),3,4,1,"CAL5")),0)</f>
        <v>0</v>
      </c>
      <c r="AA7" s="20" t="str">
        <f ca="1">IF(CALC2223!BB7&gt;1,INDIRECT(ADDRESS(MATCH(Agenda2526!C8,'CAL5'!A:A,0)+1,2,4,1,"CAL5")),"")</f>
        <v/>
      </c>
      <c r="AB7" s="21">
        <f ca="1">IF(CALC2223!BB7&gt;1,INDIRECT(ADDRESS(MATCH(Agenda2526!C8,'CAL5'!A:A,0)+1,3,4,1,"CAL5")),0)</f>
        <v>0</v>
      </c>
      <c r="AC7" s="20" t="str">
        <f ca="1">IF(CALC2223!BB7&gt;2,INDIRECT(ADDRESS(MATCH(Agenda2526!C8,'CAL5'!A:A,0)+2,2,4,1,"CAL5")),"")</f>
        <v/>
      </c>
      <c r="AD7" s="21">
        <f ca="1">IF(CALC2223!BB7&gt;2,INDIRECT(ADDRESS(MATCH(Agenda2526!C8,'CAL5'!A:A,0)+2,3,4,1,"CAL5")),0)</f>
        <v>0</v>
      </c>
      <c r="AE7" s="20" t="str">
        <f ca="1">IF(CALC2223!BC7&gt;0,INDIRECT(ADDRESS(MATCH(Agenda2526!C8,'CAL6'!A:A,0),2,4,1,"CAL6")),"")</f>
        <v/>
      </c>
      <c r="AF7" s="21">
        <f ca="1">IF(CALC2223!BC7&gt;0,INDIRECT(ADDRESS(MATCH(Agenda2526!C8,'CAL6'!A:A,0),3,4,1,"CAL6")),0)</f>
        <v>0</v>
      </c>
      <c r="AG7" s="20" t="str">
        <f ca="1">IF(CALC2223!BC7&gt;1,INDIRECT(ADDRESS(MATCH(Agenda2526!C8,'CAL6'!A:A,0)+1,2,4,1,"CAL6")),"")</f>
        <v/>
      </c>
      <c r="AH7" s="21">
        <f ca="1">IF(CALC2223!BC7&gt;1,INDIRECT(ADDRESS(MATCH(Agenda2526!C8,'CAL6'!A:A,0)+1,3,4,1,"CAL6")),0)</f>
        <v>0</v>
      </c>
      <c r="AI7" s="20" t="str">
        <f ca="1">IF(CALC2223!BC7&gt;2,INDIRECT(ADDRESS(MATCH(Agenda2526!C8,'CAL6'!A:A,0)+2,2,4,1,"CAL6")),"")</f>
        <v/>
      </c>
      <c r="AJ7" s="21">
        <f ca="1">IF(CALC2223!BC7&gt;2,INDIRECT(ADDRESS(MATCH(Agenda2526!C8,'CAL6'!A:A,0)+2,3,4,1,"CAL6")),0)</f>
        <v>0</v>
      </c>
      <c r="AK7" s="20" t="str">
        <f ca="1">IF(CALC2223!BD7&gt;0,INDIRECT(ADDRESS(MATCH(Agenda2526!C8,'CAL7'!A:A,0),2,4,1,"CAL7")),"")</f>
        <v/>
      </c>
      <c r="AL7" s="21">
        <f ca="1">IF(CALC2223!BD7&gt;0,INDIRECT(ADDRESS(MATCH(Agenda2526!C8,'CAL7'!A:A,0),3,4,1,"CAL7")),0)</f>
        <v>0</v>
      </c>
      <c r="AM7" s="20" t="str">
        <f ca="1">IF(CALC2223!BD7&gt;1,INDIRECT(ADDRESS(MATCH(Agenda2526!C8,'CAL7'!A:A,0)+1,2,4,1,"CAL7")),"")</f>
        <v/>
      </c>
      <c r="AN7" s="21">
        <f ca="1">IF(CALC2223!BD7&gt;1,INDIRECT(ADDRESS(MATCH(Agenda2526!C8,'CAL7'!A:A,0)+1,3,4,1,"CAL7")),0)</f>
        <v>0</v>
      </c>
      <c r="AO7" s="20" t="str">
        <f ca="1">IF(CALC2223!BD7&gt;2,INDIRECT(ADDRESS(MATCH(Agenda2526!C8,'CAL7'!A:A,0)+2,2,4,1,"CAL7")),"")</f>
        <v/>
      </c>
      <c r="AP7" s="21">
        <f ca="1">IF(CALC2223!BD7&gt;2,INDIRECT(ADDRESS(MATCH(Agenda2526!C8,'CAL7'!A:A,0)+2,3,4,1,"CAL7")),0)</f>
        <v>0</v>
      </c>
      <c r="AQ7" s="20" t="str">
        <f ca="1">IF(CALC2223!BE7&gt;0,INDIRECT(ADDRESS(MATCH(Agenda2526!C8,'CAL8'!A:A,0),2,4,1,"CAL8")),"")</f>
        <v/>
      </c>
      <c r="AR7" s="21">
        <f ca="1">IF(CALC2223!BE7&gt;0,INDIRECT(ADDRESS(MATCH(Agenda2526!C8,'CAL8'!A:A,0),3,4,1,"CAL8")),0)</f>
        <v>0</v>
      </c>
      <c r="AS7" s="20" t="str">
        <f ca="1">IF(CALC2223!BE7&gt;1,INDIRECT(ADDRESS(MATCH(Agenda2526!C8,'CAL8'!A:A,0)+1,2,4,1,"CAL8")),"")</f>
        <v/>
      </c>
      <c r="AT7" s="21">
        <f ca="1">IF(CALC2223!BE7&gt;1,INDIRECT(ADDRESS(MATCH(Agenda2526!C8,'CAL8'!A:A,0)+1,3,4,1,"CAL8")),0)</f>
        <v>0</v>
      </c>
      <c r="AU7" s="20" t="str">
        <f ca="1">IF(CALC2223!BE7&gt;2,INDIRECT(ADDRESS(MATCH(Agenda2526!C8,'CAL8'!A:A,0)+2,2,4,1,"CAL8")),"")</f>
        <v/>
      </c>
      <c r="AV7" s="21">
        <f ca="1">IF(CALC2223!BE7&gt;2,INDIRECT(ADDRESS(MATCH(Agenda2526!C8,'CAL8'!A:A,0)+2,3,4,1,"CAL8")),0)</f>
        <v>0</v>
      </c>
      <c r="AW7" s="106"/>
      <c r="AX7" s="20">
        <f>COUNTIF('CAL1'!A:A,Agenda2526!C8)</f>
        <v>0</v>
      </c>
      <c r="AY7" s="20">
        <f>COUNTIF('CAL2'!A:A,Agenda2526!C8)</f>
        <v>0</v>
      </c>
      <c r="AZ7" s="20">
        <f>COUNTIF('CAL3'!A:A,Agenda2526!C8)</f>
        <v>0</v>
      </c>
      <c r="BA7" s="20">
        <f>COUNTIF('CAL4'!A:A,Agenda2526!C8)</f>
        <v>0</v>
      </c>
      <c r="BB7" s="20">
        <f>COUNTIF('CAL5'!A:A,Agenda2526!C8)</f>
        <v>0</v>
      </c>
      <c r="BC7" s="20">
        <f>COUNTIF('CAL6'!A:A,Agenda2526!C8)</f>
        <v>0</v>
      </c>
      <c r="BD7" s="20">
        <f>COUNTIF('CAL7'!A:A,Agenda2526!C8)</f>
        <v>0</v>
      </c>
      <c r="BE7" s="20">
        <f>COUNTIF('CAL8'!A:A,Agenda2526!C8)</f>
        <v>0</v>
      </c>
    </row>
    <row r="8" spans="1:57" ht="15.75" customHeight="1">
      <c r="A8" s="20" t="str">
        <f ca="1">IF(CALC2223!AX8&gt;0,INDIRECT(ADDRESS(MATCH(Agenda2526!C9,'CAL1'!A:A,0),2,4,1,"CAL1")),"")</f>
        <v/>
      </c>
      <c r="B8" s="21">
        <f ca="1">IF(CALC2223!AX8&gt;0,INDIRECT(ADDRESS(MATCH(Agenda2526!C9,'CAL1'!A:A,0),3,4,1,"CAL1")),0)</f>
        <v>0</v>
      </c>
      <c r="C8" s="20" t="str">
        <f ca="1">IF(CALC2223!AX8&gt;1,INDIRECT(ADDRESS(MATCH(Agenda2526!C9,'CAL1'!A:A,0)+1,2,4,1,"CAL1")),"")</f>
        <v/>
      </c>
      <c r="D8" s="21">
        <f ca="1">IF(CALC2223!AX8&gt;1,INDIRECT(ADDRESS(MATCH(Agenda2526!C9,'CAL1'!A:A,0)+1,3,4,1,"CAL1")),0)</f>
        <v>0</v>
      </c>
      <c r="E8" s="20" t="str">
        <f ca="1">IF(CALC2223!AX8&gt;2,INDIRECT(ADDRESS(MATCH(Agenda2526!C9,'CAL1'!A:A,0)+2,2,4,1,"CAL1")),"")</f>
        <v/>
      </c>
      <c r="F8" s="21">
        <f ca="1">IF(CALC2223!AX8&gt;2,INDIRECT(ADDRESS(MATCH(Agenda2526!C9,'CAL1'!A:A,0)+2,3,4,1,"CAL1")),0)</f>
        <v>0</v>
      </c>
      <c r="G8" s="20" t="str">
        <f ca="1">IF(CALC2223!AY8&gt;0,INDIRECT(ADDRESS(MATCH(Agenda2526!C9,'CAL2'!A:A,0),2,4,1,"CAL2")),"")</f>
        <v/>
      </c>
      <c r="H8" s="21">
        <f ca="1">IF(CALC2223!AY8&gt;0,INDIRECT(ADDRESS(MATCH(Agenda2526!C9,'CAL2'!A:A,0),3,4,1,"CAL2")),0)</f>
        <v>0</v>
      </c>
      <c r="I8" s="20" t="str">
        <f ca="1">IF(CALC2223!AY8&gt;1,INDIRECT(ADDRESS(MATCH(Agenda2526!C9,'CAL2'!A:A,0)+1,2,4,1,"CAL2")),"")</f>
        <v/>
      </c>
      <c r="J8" s="21">
        <f ca="1">IF(CALC2223!AY8&gt;1,INDIRECT(ADDRESS(MATCH(Agenda2526!C9,'CAL2'!A:A,0)+1,3,4,1,"CAL2")),0)</f>
        <v>0</v>
      </c>
      <c r="K8" s="20" t="str">
        <f ca="1">IF(CALC2223!AY8&gt;2,INDIRECT(ADDRESS(MATCH(Agenda2526!C9,'CAL2'!A:A,0)+2,2,4,1,"CAL2")),"")</f>
        <v/>
      </c>
      <c r="L8" s="21">
        <f ca="1">IF(CALC2223!AY8&gt;2,INDIRECT(ADDRESS(MATCH(Agenda2526!C9,'CAL2'!A:A,0)+2,3,4,1,"CAL2")),0)</f>
        <v>0</v>
      </c>
      <c r="M8" s="20" t="str">
        <f ca="1">IF(CALC2223!AZ8&gt;0,INDIRECT(ADDRESS(MATCH(Agenda2526!C9,'CAL3'!A:A,0),2,4,1,"CAL3")),"")</f>
        <v/>
      </c>
      <c r="N8" s="21">
        <f ca="1">IF(CALC2223!AZ8&gt;0,INDIRECT(ADDRESS(MATCH(Agenda2526!C9,'CAL3'!A:A,0),3,4,1,"CAL3")),0)</f>
        <v>0</v>
      </c>
      <c r="O8" s="20" t="str">
        <f ca="1">IF(CALC2223!AZ8&gt;1,INDIRECT(ADDRESS(MATCH(Agenda2526!C9,'CAL3'!A:A,0)+1,2,4,1,"CAL3")),"")</f>
        <v/>
      </c>
      <c r="P8" s="21">
        <f ca="1">IF(CALC2223!AZ8&gt;1,INDIRECT(ADDRESS(MATCH(Agenda2526!C9,'CAL3'!A:A,0)+1,3,4,1,"CAL3")),0)</f>
        <v>0</v>
      </c>
      <c r="Q8" s="20" t="str">
        <f ca="1">IF(CALC2223!AZ8&gt;2,INDIRECT(ADDRESS(MATCH(Agenda2526!C9,'CAL3'!A:A,0)+2,2,4,1,"CAL3")),"")</f>
        <v/>
      </c>
      <c r="R8" s="21">
        <f ca="1">IF(CALC2223!AZ8&gt;2,INDIRECT(ADDRESS(MATCH(Agenda2526!C9,'CAL3'!A:A,0)+2,3,4,1,"CAL3")),0)</f>
        <v>0</v>
      </c>
      <c r="S8" s="20" t="str">
        <f ca="1">IF(CALC2223!BA8&gt;0,INDIRECT(ADDRESS(MATCH(Agenda2526!C9,'CAL4'!A:A,0),2,4,1,"CAL4")),"")</f>
        <v/>
      </c>
      <c r="T8" s="21">
        <f ca="1">IF(CALC2223!BA8&gt;0,INDIRECT(ADDRESS(MATCH(Agenda2526!C9,'CAL4'!A:A,0),3,4,1,"CAL4")),0)</f>
        <v>0</v>
      </c>
      <c r="U8" s="20" t="str">
        <f ca="1">IF(CALC2223!BA8&gt;1,INDIRECT(ADDRESS(MATCH(Agenda2526!C9,'CAL4'!A:A,0)+1,2,4,1,"CAL4")),"")</f>
        <v/>
      </c>
      <c r="V8" s="21">
        <f ca="1">IF(CALC2223!BA8&gt;1,INDIRECT(ADDRESS(MATCH(Agenda2526!C9,'CAL4'!A:A,0)+1,3,4,1,"CAL4")),0)</f>
        <v>0</v>
      </c>
      <c r="W8" s="20" t="str">
        <f ca="1">IF(CALC2223!BA8&gt;2,INDIRECT(ADDRESS(MATCH(Agenda2526!C9,'CAL4'!A:A,0)+2,2,4,1,"CAL4")),"")</f>
        <v/>
      </c>
      <c r="X8" s="21">
        <f ca="1">IF(CALC2223!BA8&gt;2,INDIRECT(ADDRESS(MATCH(Agenda2526!C9,'CAL4'!A:A,0)+2,3,4,1,"CAL4")),0)</f>
        <v>0</v>
      </c>
      <c r="Y8" s="20" t="str">
        <f ca="1">IF(CALC2223!BB8&gt;0,INDIRECT(ADDRESS(MATCH(Agenda2526!C9,'CAL5'!A:A,0),2,4,1,"CAL5")),"")</f>
        <v/>
      </c>
      <c r="Z8" s="21">
        <f ca="1">IF(CALC2223!BB8&gt;0,INDIRECT(ADDRESS(MATCH(Agenda2526!C9,'CAL5'!A:A,0),3,4,1,"CAL5")),0)</f>
        <v>0</v>
      </c>
      <c r="AA8" s="20" t="str">
        <f ca="1">IF(CALC2223!BB8&gt;1,INDIRECT(ADDRESS(MATCH(Agenda2526!C9,'CAL5'!A:A,0)+1,2,4,1,"CAL5")),"")</f>
        <v/>
      </c>
      <c r="AB8" s="21">
        <f ca="1">IF(CALC2223!BB8&gt;1,INDIRECT(ADDRESS(MATCH(Agenda2526!C9,'CAL5'!A:A,0)+1,3,4,1,"CAL5")),0)</f>
        <v>0</v>
      </c>
      <c r="AC8" s="20" t="str">
        <f ca="1">IF(CALC2223!BB8&gt;2,INDIRECT(ADDRESS(MATCH(Agenda2526!C9,'CAL5'!A:A,0)+2,2,4,1,"CAL5")),"")</f>
        <v/>
      </c>
      <c r="AD8" s="21">
        <f ca="1">IF(CALC2223!BB8&gt;2,INDIRECT(ADDRESS(MATCH(Agenda2526!C9,'CAL5'!A:A,0)+2,3,4,1,"CAL5")),0)</f>
        <v>0</v>
      </c>
      <c r="AE8" s="20" t="str">
        <f ca="1">IF(CALC2223!BC8&gt;0,INDIRECT(ADDRESS(MATCH(Agenda2526!C9,'CAL6'!A:A,0),2,4,1,"CAL6")),"")</f>
        <v/>
      </c>
      <c r="AF8" s="21">
        <f ca="1">IF(CALC2223!BC8&gt;0,INDIRECT(ADDRESS(MATCH(Agenda2526!C9,'CAL6'!A:A,0),3,4,1,"CAL6")),0)</f>
        <v>0</v>
      </c>
      <c r="AG8" s="20" t="str">
        <f ca="1">IF(CALC2223!BC8&gt;1,INDIRECT(ADDRESS(MATCH(Agenda2526!C9,'CAL6'!A:A,0)+1,2,4,1,"CAL6")),"")</f>
        <v/>
      </c>
      <c r="AH8" s="21">
        <f ca="1">IF(CALC2223!BC8&gt;1,INDIRECT(ADDRESS(MATCH(Agenda2526!C9,'CAL6'!A:A,0)+1,3,4,1,"CAL6")),0)</f>
        <v>0</v>
      </c>
      <c r="AI8" s="20" t="str">
        <f ca="1">IF(CALC2223!BC8&gt;2,INDIRECT(ADDRESS(MATCH(Agenda2526!C9,'CAL6'!A:A,0)+2,2,4,1,"CAL6")),"")</f>
        <v/>
      </c>
      <c r="AJ8" s="21">
        <f ca="1">IF(CALC2223!BC8&gt;2,INDIRECT(ADDRESS(MATCH(Agenda2526!C9,'CAL6'!A:A,0)+2,3,4,1,"CAL6")),0)</f>
        <v>0</v>
      </c>
      <c r="AK8" s="20" t="str">
        <f ca="1">IF(CALC2223!BD8&gt;0,INDIRECT(ADDRESS(MATCH(Agenda2526!C9,'CAL7'!A:A,0),2,4,1,"CAL7")),"")</f>
        <v/>
      </c>
      <c r="AL8" s="21">
        <f ca="1">IF(CALC2223!BD8&gt;0,INDIRECT(ADDRESS(MATCH(Agenda2526!C9,'CAL7'!A:A,0),3,4,1,"CAL7")),0)</f>
        <v>0</v>
      </c>
      <c r="AM8" s="20" t="str">
        <f ca="1">IF(CALC2223!BD8&gt;1,INDIRECT(ADDRESS(MATCH(Agenda2526!C9,'CAL7'!A:A,0)+1,2,4,1,"CAL7")),"")</f>
        <v/>
      </c>
      <c r="AN8" s="21">
        <f ca="1">IF(CALC2223!BD8&gt;1,INDIRECT(ADDRESS(MATCH(Agenda2526!C9,'CAL7'!A:A,0)+1,3,4,1,"CAL7")),0)</f>
        <v>0</v>
      </c>
      <c r="AO8" s="20" t="str">
        <f ca="1">IF(CALC2223!BD8&gt;2,INDIRECT(ADDRESS(MATCH(Agenda2526!C9,'CAL7'!A:A,0)+2,2,4,1,"CAL7")),"")</f>
        <v/>
      </c>
      <c r="AP8" s="21">
        <f ca="1">IF(CALC2223!BD8&gt;2,INDIRECT(ADDRESS(MATCH(Agenda2526!C9,'CAL7'!A:A,0)+2,3,4,1,"CAL7")),0)</f>
        <v>0</v>
      </c>
      <c r="AQ8" s="20" t="str">
        <f ca="1">IF(CALC2223!BE8&gt;0,INDIRECT(ADDRESS(MATCH(Agenda2526!C9,'CAL8'!A:A,0),2,4,1,"CAL8")),"")</f>
        <v/>
      </c>
      <c r="AR8" s="21">
        <f ca="1">IF(CALC2223!BE8&gt;0,INDIRECT(ADDRESS(MATCH(Agenda2526!C9,'CAL8'!A:A,0),3,4,1,"CAL8")),0)</f>
        <v>0</v>
      </c>
      <c r="AS8" s="20" t="str">
        <f ca="1">IF(CALC2223!BE8&gt;1,INDIRECT(ADDRESS(MATCH(Agenda2526!C9,'CAL8'!A:A,0)+1,2,4,1,"CAL8")),"")</f>
        <v/>
      </c>
      <c r="AT8" s="21">
        <f ca="1">IF(CALC2223!BE8&gt;1,INDIRECT(ADDRESS(MATCH(Agenda2526!C9,'CAL8'!A:A,0)+1,3,4,1,"CAL8")),0)</f>
        <v>0</v>
      </c>
      <c r="AU8" s="20" t="str">
        <f ca="1">IF(CALC2223!BE8&gt;2,INDIRECT(ADDRESS(MATCH(Agenda2526!C9,'CAL8'!A:A,0)+2,2,4,1,"CAL8")),"")</f>
        <v/>
      </c>
      <c r="AV8" s="21">
        <f ca="1">IF(CALC2223!BE8&gt;2,INDIRECT(ADDRESS(MATCH(Agenda2526!C9,'CAL8'!A:A,0)+2,3,4,1,"CAL8")),0)</f>
        <v>0</v>
      </c>
      <c r="AW8" s="106"/>
      <c r="AX8" s="20">
        <f>COUNTIF('CAL1'!A:A,Agenda2526!C9)</f>
        <v>0</v>
      </c>
      <c r="AY8" s="20">
        <f>COUNTIF('CAL2'!A:A,Agenda2526!C9)</f>
        <v>0</v>
      </c>
      <c r="AZ8" s="20">
        <f>COUNTIF('CAL3'!A:A,Agenda2526!C9)</f>
        <v>0</v>
      </c>
      <c r="BA8" s="20">
        <f>COUNTIF('CAL4'!A:A,Agenda2526!C9)</f>
        <v>0</v>
      </c>
      <c r="BB8" s="20">
        <f>COUNTIF('CAL5'!A:A,Agenda2526!C9)</f>
        <v>0</v>
      </c>
      <c r="BC8" s="20">
        <f>COUNTIF('CAL6'!A:A,Agenda2526!C9)</f>
        <v>0</v>
      </c>
      <c r="BD8" s="20">
        <f>COUNTIF('CAL7'!A:A,Agenda2526!C9)</f>
        <v>0</v>
      </c>
      <c r="BE8" s="20">
        <f>COUNTIF('CAL8'!A:A,Agenda2526!C9)</f>
        <v>0</v>
      </c>
    </row>
    <row r="9" spans="1:57" ht="15.75" customHeight="1">
      <c r="A9" s="20" t="str">
        <f ca="1">IF(CALC2223!AX9&gt;0,INDIRECT(ADDRESS(MATCH(Agenda2526!C10,'CAL1'!A:A,0),2,4,1,"CAL1")),"")</f>
        <v/>
      </c>
      <c r="B9" s="21">
        <f ca="1">IF(CALC2223!AX9&gt;0,INDIRECT(ADDRESS(MATCH(Agenda2526!C10,'CAL1'!A:A,0),3,4,1,"CAL1")),0)</f>
        <v>0</v>
      </c>
      <c r="C9" s="20" t="str">
        <f ca="1">IF(CALC2223!AX9&gt;1,INDIRECT(ADDRESS(MATCH(Agenda2526!C10,'CAL1'!A:A,0)+1,2,4,1,"CAL1")),"")</f>
        <v/>
      </c>
      <c r="D9" s="21">
        <f ca="1">IF(CALC2223!AX9&gt;1,INDIRECT(ADDRESS(MATCH(Agenda2526!C10,'CAL1'!A:A,0)+1,3,4,1,"CAL1")),0)</f>
        <v>0</v>
      </c>
      <c r="E9" s="20" t="str">
        <f ca="1">IF(CALC2223!AX9&gt;2,INDIRECT(ADDRESS(MATCH(Agenda2526!C10,'CAL1'!A:A,0)+2,2,4,1,"CAL1")),"")</f>
        <v/>
      </c>
      <c r="F9" s="21">
        <f ca="1">IF(CALC2223!AX9&gt;2,INDIRECT(ADDRESS(MATCH(Agenda2526!C10,'CAL1'!A:A,0)+2,3,4,1,"CAL1")),0)</f>
        <v>0</v>
      </c>
      <c r="G9" s="20" t="str">
        <f ca="1">IF(CALC2223!AY9&gt;0,INDIRECT(ADDRESS(MATCH(Agenda2526!C10,'CAL2'!A:A,0),2,4,1,"CAL2")),"")</f>
        <v/>
      </c>
      <c r="H9" s="21">
        <f ca="1">IF(CALC2223!AY9&gt;0,INDIRECT(ADDRESS(MATCH(Agenda2526!C10,'CAL2'!A:A,0),3,4,1,"CAL2")),0)</f>
        <v>0</v>
      </c>
      <c r="I9" s="20" t="str">
        <f ca="1">IF(CALC2223!AY9&gt;1,INDIRECT(ADDRESS(MATCH(Agenda2526!C10,'CAL2'!A:A,0)+1,2,4,1,"CAL2")),"")</f>
        <v/>
      </c>
      <c r="J9" s="21">
        <f ca="1">IF(CALC2223!AY9&gt;1,INDIRECT(ADDRESS(MATCH(Agenda2526!C10,'CAL2'!A:A,0)+1,3,4,1,"CAL2")),0)</f>
        <v>0</v>
      </c>
      <c r="K9" s="20" t="str">
        <f ca="1">IF(CALC2223!AY9&gt;2,INDIRECT(ADDRESS(MATCH(Agenda2526!C10,'CAL2'!A:A,0)+2,2,4,1,"CAL2")),"")</f>
        <v/>
      </c>
      <c r="L9" s="21">
        <f ca="1">IF(CALC2223!AY9&gt;2,INDIRECT(ADDRESS(MATCH(Agenda2526!C10,'CAL2'!A:A,0)+2,3,4,1,"CAL2")),0)</f>
        <v>0</v>
      </c>
      <c r="M9" s="20" t="str">
        <f ca="1">IF(CALC2223!AZ9&gt;0,INDIRECT(ADDRESS(MATCH(Agenda2526!C10,'CAL3'!A:A,0),2,4,1,"CAL3")),"")</f>
        <v/>
      </c>
      <c r="N9" s="21">
        <f ca="1">IF(CALC2223!AZ9&gt;0,INDIRECT(ADDRESS(MATCH(Agenda2526!C10,'CAL3'!A:A,0),3,4,1,"CAL3")),0)</f>
        <v>0</v>
      </c>
      <c r="O9" s="20" t="str">
        <f ca="1">IF(CALC2223!AZ9&gt;1,INDIRECT(ADDRESS(MATCH(Agenda2526!C10,'CAL3'!A:A,0)+1,2,4,1,"CAL3")),"")</f>
        <v/>
      </c>
      <c r="P9" s="21">
        <f ca="1">IF(CALC2223!AZ9&gt;1,INDIRECT(ADDRESS(MATCH(Agenda2526!C10,'CAL3'!A:A,0)+1,3,4,1,"CAL3")),0)</f>
        <v>0</v>
      </c>
      <c r="Q9" s="20" t="str">
        <f ca="1">IF(CALC2223!AZ9&gt;2,INDIRECT(ADDRESS(MATCH(Agenda2526!C10,'CAL3'!A:A,0)+2,2,4,1,"CAL3")),"")</f>
        <v/>
      </c>
      <c r="R9" s="21">
        <f ca="1">IF(CALC2223!AZ9&gt;2,INDIRECT(ADDRESS(MATCH(Agenda2526!C10,'CAL3'!A:A,0)+2,3,4,1,"CAL3")),0)</f>
        <v>0</v>
      </c>
      <c r="S9" s="20" t="str">
        <f ca="1">IF(CALC2223!BA9&gt;0,INDIRECT(ADDRESS(MATCH(Agenda2526!C10,'CAL4'!A:A,0),2,4,1,"CAL4")),"")</f>
        <v/>
      </c>
      <c r="T9" s="21">
        <f ca="1">IF(CALC2223!BA9&gt;0,INDIRECT(ADDRESS(MATCH(Agenda2526!C10,'CAL4'!A:A,0),3,4,1,"CAL4")),0)</f>
        <v>0</v>
      </c>
      <c r="U9" s="20" t="str">
        <f ca="1">IF(CALC2223!BA9&gt;1,INDIRECT(ADDRESS(MATCH(Agenda2526!C10,'CAL4'!A:A,0)+1,2,4,1,"CAL4")),"")</f>
        <v/>
      </c>
      <c r="V9" s="21">
        <f ca="1">IF(CALC2223!BA9&gt;1,INDIRECT(ADDRESS(MATCH(Agenda2526!C10,'CAL4'!A:A,0)+1,3,4,1,"CAL4")),0)</f>
        <v>0</v>
      </c>
      <c r="W9" s="20" t="str">
        <f ca="1">IF(CALC2223!BA9&gt;2,INDIRECT(ADDRESS(MATCH(Agenda2526!C10,'CAL4'!A:A,0)+2,2,4,1,"CAL4")),"")</f>
        <v/>
      </c>
      <c r="X9" s="21">
        <f ca="1">IF(CALC2223!BA9&gt;2,INDIRECT(ADDRESS(MATCH(Agenda2526!C10,'CAL4'!A:A,0)+2,3,4,1,"CAL4")),0)</f>
        <v>0</v>
      </c>
      <c r="Y9" s="20" t="str">
        <f ca="1">IF(CALC2223!BB9&gt;0,INDIRECT(ADDRESS(MATCH(Agenda2526!C10,'CAL5'!A:A,0),2,4,1,"CAL5")),"")</f>
        <v/>
      </c>
      <c r="Z9" s="21">
        <f ca="1">IF(CALC2223!BB9&gt;0,INDIRECT(ADDRESS(MATCH(Agenda2526!C10,'CAL5'!A:A,0),3,4,1,"CAL5")),0)</f>
        <v>0</v>
      </c>
      <c r="AA9" s="20" t="str">
        <f ca="1">IF(CALC2223!BB9&gt;1,INDIRECT(ADDRESS(MATCH(Agenda2526!C10,'CAL5'!A:A,0)+1,2,4,1,"CAL5")),"")</f>
        <v/>
      </c>
      <c r="AB9" s="21">
        <f ca="1">IF(CALC2223!BB9&gt;1,INDIRECT(ADDRESS(MATCH(Agenda2526!C10,'CAL5'!A:A,0)+1,3,4,1,"CAL5")),0)</f>
        <v>0</v>
      </c>
      <c r="AC9" s="20" t="str">
        <f ca="1">IF(CALC2223!BB9&gt;2,INDIRECT(ADDRESS(MATCH(Agenda2526!C10,'CAL5'!A:A,0)+2,2,4,1,"CAL5")),"")</f>
        <v/>
      </c>
      <c r="AD9" s="21">
        <f ca="1">IF(CALC2223!BB9&gt;2,INDIRECT(ADDRESS(MATCH(Agenda2526!C10,'CAL5'!A:A,0)+2,3,4,1,"CAL5")),0)</f>
        <v>0</v>
      </c>
      <c r="AE9" s="20" t="str">
        <f ca="1">IF(CALC2223!BC9&gt;0,INDIRECT(ADDRESS(MATCH(Agenda2526!C10,'CAL6'!A:A,0),2,4,1,"CAL6")),"")</f>
        <v/>
      </c>
      <c r="AF9" s="21">
        <f ca="1">IF(CALC2223!BC9&gt;0,INDIRECT(ADDRESS(MATCH(Agenda2526!C10,'CAL6'!A:A,0),3,4,1,"CAL6")),0)</f>
        <v>0</v>
      </c>
      <c r="AG9" s="20" t="str">
        <f ca="1">IF(CALC2223!BC9&gt;1,INDIRECT(ADDRESS(MATCH(Agenda2526!C10,'CAL6'!A:A,0)+1,2,4,1,"CAL6")),"")</f>
        <v/>
      </c>
      <c r="AH9" s="21">
        <f ca="1">IF(CALC2223!BC9&gt;1,INDIRECT(ADDRESS(MATCH(Agenda2526!C10,'CAL6'!A:A,0)+1,3,4,1,"CAL6")),0)</f>
        <v>0</v>
      </c>
      <c r="AI9" s="20" t="str">
        <f ca="1">IF(CALC2223!BC9&gt;2,INDIRECT(ADDRESS(MATCH(Agenda2526!C10,'CAL6'!A:A,0)+2,2,4,1,"CAL6")),"")</f>
        <v/>
      </c>
      <c r="AJ9" s="21">
        <f ca="1">IF(CALC2223!BC9&gt;2,INDIRECT(ADDRESS(MATCH(Agenda2526!C10,'CAL6'!A:A,0)+2,3,4,1,"CAL6")),0)</f>
        <v>0</v>
      </c>
      <c r="AK9" s="20" t="str">
        <f ca="1">IF(CALC2223!BD9&gt;0,INDIRECT(ADDRESS(MATCH(Agenda2526!C10,'CAL7'!A:A,0),2,4,1,"CAL7")),"")</f>
        <v/>
      </c>
      <c r="AL9" s="21">
        <f ca="1">IF(CALC2223!BD9&gt;0,INDIRECT(ADDRESS(MATCH(Agenda2526!C10,'CAL7'!A:A,0),3,4,1,"CAL7")),0)</f>
        <v>0</v>
      </c>
      <c r="AM9" s="20" t="str">
        <f ca="1">IF(CALC2223!BD9&gt;1,INDIRECT(ADDRESS(MATCH(Agenda2526!C10,'CAL7'!A:A,0)+1,2,4,1,"CAL7")),"")</f>
        <v/>
      </c>
      <c r="AN9" s="21">
        <f ca="1">IF(CALC2223!BD9&gt;1,INDIRECT(ADDRESS(MATCH(Agenda2526!C10,'CAL7'!A:A,0)+1,3,4,1,"CAL7")),0)</f>
        <v>0</v>
      </c>
      <c r="AO9" s="20" t="str">
        <f ca="1">IF(CALC2223!BD9&gt;2,INDIRECT(ADDRESS(MATCH(Agenda2526!C10,'CAL7'!A:A,0)+2,2,4,1,"CAL7")),"")</f>
        <v/>
      </c>
      <c r="AP9" s="21">
        <f ca="1">IF(CALC2223!BD9&gt;2,INDIRECT(ADDRESS(MATCH(Agenda2526!C10,'CAL7'!A:A,0)+2,3,4,1,"CAL7")),0)</f>
        <v>0</v>
      </c>
      <c r="AQ9" s="20" t="str">
        <f ca="1">IF(CALC2223!BE9&gt;0,INDIRECT(ADDRESS(MATCH(Agenda2526!C10,'CAL8'!A:A,0),2,4,1,"CAL8")),"")</f>
        <v/>
      </c>
      <c r="AR9" s="21">
        <f ca="1">IF(CALC2223!BE9&gt;0,INDIRECT(ADDRESS(MATCH(Agenda2526!C10,'CAL8'!A:A,0),3,4,1,"CAL8")),0)</f>
        <v>0</v>
      </c>
      <c r="AS9" s="20" t="str">
        <f ca="1">IF(CALC2223!BE9&gt;1,INDIRECT(ADDRESS(MATCH(Agenda2526!C10,'CAL8'!A:A,0)+1,2,4,1,"CAL8")),"")</f>
        <v/>
      </c>
      <c r="AT9" s="21">
        <f ca="1">IF(CALC2223!BE9&gt;1,INDIRECT(ADDRESS(MATCH(Agenda2526!C10,'CAL8'!A:A,0)+1,3,4,1,"CAL8")),0)</f>
        <v>0</v>
      </c>
      <c r="AU9" s="20" t="str">
        <f ca="1">IF(CALC2223!BE9&gt;2,INDIRECT(ADDRESS(MATCH(Agenda2526!C10,'CAL8'!A:A,0)+2,2,4,1,"CAL8")),"")</f>
        <v/>
      </c>
      <c r="AV9" s="21">
        <f ca="1">IF(CALC2223!BE9&gt;2,INDIRECT(ADDRESS(MATCH(Agenda2526!C10,'CAL8'!A:A,0)+2,3,4,1,"CAL8")),0)</f>
        <v>0</v>
      </c>
      <c r="AW9" s="105"/>
      <c r="AX9" s="20">
        <f>COUNTIF('CAL1'!A:A,Agenda2526!C10)</f>
        <v>0</v>
      </c>
      <c r="AY9" s="20">
        <f>COUNTIF('CAL2'!A:A,Agenda2526!C10)</f>
        <v>0</v>
      </c>
      <c r="AZ9" s="20">
        <f>COUNTIF('CAL3'!A:A,Agenda2526!C10)</f>
        <v>0</v>
      </c>
      <c r="BA9" s="20">
        <f>COUNTIF('CAL4'!A:A,Agenda2526!C10)</f>
        <v>0</v>
      </c>
      <c r="BB9" s="20">
        <f>COUNTIF('CAL5'!A:A,Agenda2526!C10)</f>
        <v>0</v>
      </c>
      <c r="BC9" s="20">
        <f>COUNTIF('CAL6'!A:A,Agenda2526!C10)</f>
        <v>0</v>
      </c>
      <c r="BD9" s="20">
        <f>COUNTIF('CAL7'!A:A,Agenda2526!C10)</f>
        <v>0</v>
      </c>
      <c r="BE9" s="20">
        <f>COUNTIF('CAL8'!A:A,Agenda2526!C10)</f>
        <v>0</v>
      </c>
    </row>
    <row r="10" spans="1:57" ht="15.75" customHeight="1">
      <c r="A10" s="20" t="str">
        <f ca="1">IF(CALC2223!AX10&gt;0,INDIRECT(ADDRESS(MATCH(Agenda2526!C11,'CAL1'!A:A,0),2,4,1,"CAL1")),"")</f>
        <v/>
      </c>
      <c r="B10" s="21">
        <f ca="1">IF(CALC2223!AX10&gt;0,INDIRECT(ADDRESS(MATCH(Agenda2526!C11,'CAL1'!A:A,0),3,4,1,"CAL1")),0)</f>
        <v>0</v>
      </c>
      <c r="C10" s="20" t="str">
        <f ca="1">IF(CALC2223!AX10&gt;1,INDIRECT(ADDRESS(MATCH(Agenda2526!C11,'CAL1'!A:A,0)+1,2,4,1,"CAL1")),"")</f>
        <v/>
      </c>
      <c r="D10" s="21">
        <f ca="1">IF(CALC2223!AX10&gt;1,INDIRECT(ADDRESS(MATCH(Agenda2526!C11,'CAL1'!A:A,0)+1,3,4,1,"CAL1")),0)</f>
        <v>0</v>
      </c>
      <c r="E10" s="20" t="str">
        <f ca="1">IF(CALC2223!AX10&gt;2,INDIRECT(ADDRESS(MATCH(Agenda2526!C11,'CAL1'!A:A,0)+2,2,4,1,"CAL1")),"")</f>
        <v/>
      </c>
      <c r="F10" s="21">
        <f ca="1">IF(CALC2223!AX10&gt;2,INDIRECT(ADDRESS(MATCH(Agenda2526!C11,'CAL1'!A:A,0)+2,3,4,1,"CAL1")),0)</f>
        <v>0</v>
      </c>
      <c r="G10" s="20" t="str">
        <f ca="1">IF(CALC2223!AY10&gt;0,INDIRECT(ADDRESS(MATCH(Agenda2526!C11,'CAL2'!A:A,0),2,4,1,"CAL2")),"")</f>
        <v/>
      </c>
      <c r="H10" s="21">
        <f ca="1">IF(CALC2223!AY10&gt;0,INDIRECT(ADDRESS(MATCH(Agenda2526!C11,'CAL2'!A:A,0),3,4,1,"CAL2")),0)</f>
        <v>0</v>
      </c>
      <c r="I10" s="20" t="str">
        <f ca="1">IF(CALC2223!AY10&gt;1,INDIRECT(ADDRESS(MATCH(Agenda2526!C11,'CAL2'!A:A,0)+1,2,4,1,"CAL2")),"")</f>
        <v/>
      </c>
      <c r="J10" s="21">
        <f ca="1">IF(CALC2223!AY10&gt;1,INDIRECT(ADDRESS(MATCH(Agenda2526!C11,'CAL2'!A:A,0)+1,3,4,1,"CAL2")),0)</f>
        <v>0</v>
      </c>
      <c r="K10" s="20" t="str">
        <f ca="1">IF(CALC2223!AY10&gt;2,INDIRECT(ADDRESS(MATCH(Agenda2526!C11,'CAL2'!A:A,0)+2,2,4,1,"CAL2")),"")</f>
        <v/>
      </c>
      <c r="L10" s="21">
        <f ca="1">IF(CALC2223!AY10&gt;2,INDIRECT(ADDRESS(MATCH(Agenda2526!C11,'CAL2'!A:A,0)+2,3,4,1,"CAL2")),0)</f>
        <v>0</v>
      </c>
      <c r="M10" s="20" t="str">
        <f ca="1">IF(CALC2223!AZ10&gt;0,INDIRECT(ADDRESS(MATCH(Agenda2526!C11,'CAL3'!A:A,0),2,4,1,"CAL3")),"")</f>
        <v/>
      </c>
      <c r="N10" s="21">
        <f ca="1">IF(CALC2223!AZ10&gt;0,INDIRECT(ADDRESS(MATCH(Agenda2526!C11,'CAL3'!A:A,0),3,4,1,"CAL3")),0)</f>
        <v>0</v>
      </c>
      <c r="O10" s="20" t="str">
        <f ca="1">IF(CALC2223!AZ10&gt;1,INDIRECT(ADDRESS(MATCH(Agenda2526!C11,'CAL3'!A:A,0)+1,2,4,1,"CAL3")),"")</f>
        <v/>
      </c>
      <c r="P10" s="21">
        <f ca="1">IF(CALC2223!AZ10&gt;1,INDIRECT(ADDRESS(MATCH(Agenda2526!C11,'CAL3'!A:A,0)+1,3,4,1,"CAL3")),0)</f>
        <v>0</v>
      </c>
      <c r="Q10" s="20" t="str">
        <f ca="1">IF(CALC2223!AZ10&gt;2,INDIRECT(ADDRESS(MATCH(Agenda2526!C11,'CAL3'!A:A,0)+2,2,4,1,"CAL3")),"")</f>
        <v/>
      </c>
      <c r="R10" s="21">
        <f ca="1">IF(CALC2223!AZ10&gt;2,INDIRECT(ADDRESS(MATCH(Agenda2526!C11,'CAL3'!A:A,0)+2,3,4,1,"CAL3")),0)</f>
        <v>0</v>
      </c>
      <c r="S10" s="20" t="str">
        <f ca="1">IF(CALC2223!BA10&gt;0,INDIRECT(ADDRESS(MATCH(Agenda2526!C11,'CAL4'!A:A,0),2,4,1,"CAL4")),"")</f>
        <v/>
      </c>
      <c r="T10" s="21">
        <f ca="1">IF(CALC2223!BA10&gt;0,INDIRECT(ADDRESS(MATCH(Agenda2526!C11,'CAL4'!A:A,0),3,4,1,"CAL4")),0)</f>
        <v>0</v>
      </c>
      <c r="U10" s="20" t="str">
        <f ca="1">IF(CALC2223!BA10&gt;1,INDIRECT(ADDRESS(MATCH(Agenda2526!C11,'CAL4'!A:A,0)+1,2,4,1,"CAL4")),"")</f>
        <v/>
      </c>
      <c r="V10" s="21">
        <f ca="1">IF(CALC2223!BA10&gt;1,INDIRECT(ADDRESS(MATCH(Agenda2526!C11,'CAL4'!A:A,0)+1,3,4,1,"CAL4")),0)</f>
        <v>0</v>
      </c>
      <c r="W10" s="20" t="str">
        <f ca="1">IF(CALC2223!BA10&gt;2,INDIRECT(ADDRESS(MATCH(Agenda2526!C11,'CAL4'!A:A,0)+2,2,4,1,"CAL4")),"")</f>
        <v/>
      </c>
      <c r="X10" s="21">
        <f ca="1">IF(CALC2223!BA10&gt;2,INDIRECT(ADDRESS(MATCH(Agenda2526!C11,'CAL4'!A:A,0)+2,3,4,1,"CAL4")),0)</f>
        <v>0</v>
      </c>
      <c r="Y10" s="20" t="str">
        <f ca="1">IF(CALC2223!BB10&gt;0,INDIRECT(ADDRESS(MATCH(Agenda2526!C11,'CAL5'!A:A,0),2,4,1,"CAL5")),"")</f>
        <v/>
      </c>
      <c r="Z10" s="21">
        <f ca="1">IF(CALC2223!BB10&gt;0,INDIRECT(ADDRESS(MATCH(Agenda2526!C11,'CAL5'!A:A,0),3,4,1,"CAL5")),0)</f>
        <v>0</v>
      </c>
      <c r="AA10" s="20" t="str">
        <f ca="1">IF(CALC2223!BB10&gt;1,INDIRECT(ADDRESS(MATCH(Agenda2526!C11,'CAL5'!A:A,0)+1,2,4,1,"CAL5")),"")</f>
        <v/>
      </c>
      <c r="AB10" s="21">
        <f ca="1">IF(CALC2223!BB10&gt;1,INDIRECT(ADDRESS(MATCH(Agenda2526!C11,'CAL5'!A:A,0)+1,3,4,1,"CAL5")),0)</f>
        <v>0</v>
      </c>
      <c r="AC10" s="20" t="str">
        <f ca="1">IF(CALC2223!BB10&gt;2,INDIRECT(ADDRESS(MATCH(Agenda2526!C11,'CAL5'!A:A,0)+2,2,4,1,"CAL5")),"")</f>
        <v/>
      </c>
      <c r="AD10" s="21">
        <f ca="1">IF(CALC2223!BB10&gt;2,INDIRECT(ADDRESS(MATCH(Agenda2526!C11,'CAL5'!A:A,0)+2,3,4,1,"CAL5")),0)</f>
        <v>0</v>
      </c>
      <c r="AE10" s="20" t="str">
        <f ca="1">IF(CALC2223!BC10&gt;0,INDIRECT(ADDRESS(MATCH(Agenda2526!C11,'CAL6'!A:A,0),2,4,1,"CAL6")),"")</f>
        <v/>
      </c>
      <c r="AF10" s="21">
        <f ca="1">IF(CALC2223!BC10&gt;0,INDIRECT(ADDRESS(MATCH(Agenda2526!C11,'CAL6'!A:A,0),3,4,1,"CAL6")),0)</f>
        <v>0</v>
      </c>
      <c r="AG10" s="20" t="str">
        <f ca="1">IF(CALC2223!BC10&gt;1,INDIRECT(ADDRESS(MATCH(Agenda2526!C11,'CAL6'!A:A,0)+1,2,4,1,"CAL6")),"")</f>
        <v/>
      </c>
      <c r="AH10" s="21">
        <f ca="1">IF(CALC2223!BC10&gt;1,INDIRECT(ADDRESS(MATCH(Agenda2526!C11,'CAL6'!A:A,0)+1,3,4,1,"CAL6")),0)</f>
        <v>0</v>
      </c>
      <c r="AI10" s="20" t="str">
        <f ca="1">IF(CALC2223!BC10&gt;2,INDIRECT(ADDRESS(MATCH(Agenda2526!C11,'CAL6'!A:A,0)+2,2,4,1,"CAL6")),"")</f>
        <v/>
      </c>
      <c r="AJ10" s="21">
        <f ca="1">IF(CALC2223!BC10&gt;2,INDIRECT(ADDRESS(MATCH(Agenda2526!C11,'CAL6'!A:A,0)+2,3,4,1,"CAL6")),0)</f>
        <v>0</v>
      </c>
      <c r="AK10" s="20" t="str">
        <f ca="1">IF(CALC2223!BD10&gt;0,INDIRECT(ADDRESS(MATCH(Agenda2526!C11,'CAL7'!A:A,0),2,4,1,"CAL7")),"")</f>
        <v/>
      </c>
      <c r="AL10" s="21">
        <f ca="1">IF(CALC2223!BD10&gt;0,INDIRECT(ADDRESS(MATCH(Agenda2526!C11,'CAL7'!A:A,0),3,4,1,"CAL7")),0)</f>
        <v>0</v>
      </c>
      <c r="AM10" s="20" t="str">
        <f ca="1">IF(CALC2223!BD10&gt;1,INDIRECT(ADDRESS(MATCH(Agenda2526!C11,'CAL7'!A:A,0)+1,2,4,1,"CAL7")),"")</f>
        <v/>
      </c>
      <c r="AN10" s="21">
        <f ca="1">IF(CALC2223!BD10&gt;1,INDIRECT(ADDRESS(MATCH(Agenda2526!C11,'CAL7'!A:A,0)+1,3,4,1,"CAL7")),0)</f>
        <v>0</v>
      </c>
      <c r="AO10" s="20" t="str">
        <f ca="1">IF(CALC2223!BD10&gt;2,INDIRECT(ADDRESS(MATCH(Agenda2526!C11,'CAL7'!A:A,0)+2,2,4,1,"CAL7")),"")</f>
        <v/>
      </c>
      <c r="AP10" s="21">
        <f ca="1">IF(CALC2223!BD10&gt;2,INDIRECT(ADDRESS(MATCH(Agenda2526!C11,'CAL7'!A:A,0)+2,3,4,1,"CAL7")),0)</f>
        <v>0</v>
      </c>
      <c r="AQ10" s="20" t="str">
        <f ca="1">IF(CALC2223!BE10&gt;0,INDIRECT(ADDRESS(MATCH(Agenda2526!C11,'CAL8'!A:A,0),2,4,1,"CAL8")),"")</f>
        <v/>
      </c>
      <c r="AR10" s="21">
        <f ca="1">IF(CALC2223!BE10&gt;0,INDIRECT(ADDRESS(MATCH(Agenda2526!C11,'CAL8'!A:A,0),3,4,1,"CAL8")),0)</f>
        <v>0</v>
      </c>
      <c r="AS10" s="20" t="str">
        <f ca="1">IF(CALC2223!BE10&gt;1,INDIRECT(ADDRESS(MATCH(Agenda2526!C11,'CAL8'!A:A,0)+1,2,4,1,"CAL8")),"")</f>
        <v/>
      </c>
      <c r="AT10" s="21">
        <f ca="1">IF(CALC2223!BE10&gt;1,INDIRECT(ADDRESS(MATCH(Agenda2526!C11,'CAL8'!A:A,0)+1,3,4,1,"CAL8")),0)</f>
        <v>0</v>
      </c>
      <c r="AU10" s="20" t="str">
        <f ca="1">IF(CALC2223!BE10&gt;2,INDIRECT(ADDRESS(MATCH(Agenda2526!C11,'CAL8'!A:A,0)+2,2,4,1,"CAL8")),"")</f>
        <v/>
      </c>
      <c r="AV10" s="21">
        <f ca="1">IF(CALC2223!BE10&gt;2,INDIRECT(ADDRESS(MATCH(Agenda2526!C11,'CAL8'!A:A,0)+2,3,4,1,"CAL8")),0)</f>
        <v>0</v>
      </c>
      <c r="AW10" s="105"/>
      <c r="AX10" s="20">
        <f>COUNTIF('CAL1'!A:A,Agenda2526!C11)</f>
        <v>0</v>
      </c>
      <c r="AY10" s="20">
        <f>COUNTIF('CAL2'!A:A,Agenda2526!C11)</f>
        <v>0</v>
      </c>
      <c r="AZ10" s="20">
        <f>COUNTIF('CAL3'!A:A,Agenda2526!C11)</f>
        <v>0</v>
      </c>
      <c r="BA10" s="20">
        <f>COUNTIF('CAL4'!A:A,Agenda2526!C11)</f>
        <v>0</v>
      </c>
      <c r="BB10" s="20">
        <f>COUNTIF('CAL5'!A:A,Agenda2526!C11)</f>
        <v>0</v>
      </c>
      <c r="BC10" s="20">
        <f>COUNTIF('CAL6'!A:A,Agenda2526!C11)</f>
        <v>0</v>
      </c>
      <c r="BD10" s="20">
        <f>COUNTIF('CAL7'!A:A,Agenda2526!C11)</f>
        <v>0</v>
      </c>
      <c r="BE10" s="20">
        <f>COUNTIF('CAL8'!A:A,Agenda2526!C11)</f>
        <v>0</v>
      </c>
    </row>
    <row r="11" spans="1:57" ht="15.75" customHeight="1">
      <c r="A11" s="20" t="str">
        <f ca="1">IF(CALC2223!AX11&gt;0,INDIRECT(ADDRESS(MATCH(Agenda2526!C12,'CAL1'!A:A,0),2,4,1,"CAL1")),"")</f>
        <v/>
      </c>
      <c r="B11" s="21">
        <f ca="1">IF(CALC2223!AX11&gt;0,INDIRECT(ADDRESS(MATCH(Agenda2526!C12,'CAL1'!A:A,0),3,4,1,"CAL1")),0)</f>
        <v>0</v>
      </c>
      <c r="C11" s="20" t="str">
        <f ca="1">IF(CALC2223!AX11&gt;1,INDIRECT(ADDRESS(MATCH(Agenda2526!C12,'CAL1'!A:A,0)+1,2,4,1,"CAL1")),"")</f>
        <v/>
      </c>
      <c r="D11" s="21">
        <f ca="1">IF(CALC2223!AX11&gt;1,INDIRECT(ADDRESS(MATCH(Agenda2526!C12,'CAL1'!A:A,0)+1,3,4,1,"CAL1")),0)</f>
        <v>0</v>
      </c>
      <c r="E11" s="20" t="str">
        <f ca="1">IF(CALC2223!AX11&gt;2,INDIRECT(ADDRESS(MATCH(Agenda2526!C12,'CAL1'!A:A,0)+2,2,4,1,"CAL1")),"")</f>
        <v/>
      </c>
      <c r="F11" s="21">
        <f ca="1">IF(CALC2223!AX11&gt;2,INDIRECT(ADDRESS(MATCH(Agenda2526!C12,'CAL1'!A:A,0)+2,3,4,1,"CAL1")),0)</f>
        <v>0</v>
      </c>
      <c r="G11" s="20" t="str">
        <f ca="1">IF(CALC2223!AY11&gt;0,INDIRECT(ADDRESS(MATCH(Agenda2526!C12,'CAL2'!A:A,0),2,4,1,"CAL2")),"")</f>
        <v/>
      </c>
      <c r="H11" s="21">
        <f ca="1">IF(CALC2223!AY11&gt;0,INDIRECT(ADDRESS(MATCH(Agenda2526!C12,'CAL2'!A:A,0),3,4,1,"CAL2")),0)</f>
        <v>0</v>
      </c>
      <c r="I11" s="20" t="str">
        <f ca="1">IF(CALC2223!AY11&gt;1,INDIRECT(ADDRESS(MATCH(Agenda2526!C12,'CAL2'!A:A,0)+1,2,4,1,"CAL2")),"")</f>
        <v/>
      </c>
      <c r="J11" s="21">
        <f ca="1">IF(CALC2223!AY11&gt;1,INDIRECT(ADDRESS(MATCH(Agenda2526!C12,'CAL2'!A:A,0)+1,3,4,1,"CAL2")),0)</f>
        <v>0</v>
      </c>
      <c r="K11" s="20" t="str">
        <f ca="1">IF(CALC2223!AY11&gt;2,INDIRECT(ADDRESS(MATCH(Agenda2526!C12,'CAL2'!A:A,0)+2,2,4,1,"CAL2")),"")</f>
        <v/>
      </c>
      <c r="L11" s="21">
        <f ca="1">IF(CALC2223!AY11&gt;2,INDIRECT(ADDRESS(MATCH(Agenda2526!C12,'CAL2'!A:A,0)+2,3,4,1,"CAL2")),0)</f>
        <v>0</v>
      </c>
      <c r="M11" s="20" t="str">
        <f ca="1">IF(CALC2223!AZ11&gt;0,INDIRECT(ADDRESS(MATCH(Agenda2526!C12,'CAL3'!A:A,0),2,4,1,"CAL3")),"")</f>
        <v/>
      </c>
      <c r="N11" s="21">
        <f ca="1">IF(CALC2223!AZ11&gt;0,INDIRECT(ADDRESS(MATCH(Agenda2526!C12,'CAL3'!A:A,0),3,4,1,"CAL3")),0)</f>
        <v>0</v>
      </c>
      <c r="O11" s="20" t="str">
        <f ca="1">IF(CALC2223!AZ11&gt;1,INDIRECT(ADDRESS(MATCH(Agenda2526!C12,'CAL3'!A:A,0)+1,2,4,1,"CAL3")),"")</f>
        <v/>
      </c>
      <c r="P11" s="21">
        <f ca="1">IF(CALC2223!AZ11&gt;1,INDIRECT(ADDRESS(MATCH(Agenda2526!C12,'CAL3'!A:A,0)+1,3,4,1,"CAL3")),0)</f>
        <v>0</v>
      </c>
      <c r="Q11" s="20" t="str">
        <f ca="1">IF(CALC2223!AZ11&gt;2,INDIRECT(ADDRESS(MATCH(Agenda2526!C12,'CAL3'!A:A,0)+2,2,4,1,"CAL3")),"")</f>
        <v/>
      </c>
      <c r="R11" s="21">
        <f ca="1">IF(CALC2223!AZ11&gt;2,INDIRECT(ADDRESS(MATCH(Agenda2526!C12,'CAL3'!A:A,0)+2,3,4,1,"CAL3")),0)</f>
        <v>0</v>
      </c>
      <c r="S11" s="20" t="str">
        <f ca="1">IF(CALC2223!BA11&gt;0,INDIRECT(ADDRESS(MATCH(Agenda2526!C12,'CAL4'!A:A,0),2,4,1,"CAL4")),"")</f>
        <v/>
      </c>
      <c r="T11" s="21">
        <f ca="1">IF(CALC2223!BA11&gt;0,INDIRECT(ADDRESS(MATCH(Agenda2526!C12,'CAL4'!A:A,0),3,4,1,"CAL4")),0)</f>
        <v>0</v>
      </c>
      <c r="U11" s="20" t="str">
        <f ca="1">IF(CALC2223!BA11&gt;1,INDIRECT(ADDRESS(MATCH(Agenda2526!C12,'CAL4'!A:A,0)+1,2,4,1,"CAL4")),"")</f>
        <v/>
      </c>
      <c r="V11" s="21">
        <f ca="1">IF(CALC2223!BA11&gt;1,INDIRECT(ADDRESS(MATCH(Agenda2526!C12,'CAL4'!A:A,0)+1,3,4,1,"CAL4")),0)</f>
        <v>0</v>
      </c>
      <c r="W11" s="20" t="str">
        <f ca="1">IF(CALC2223!BA11&gt;2,INDIRECT(ADDRESS(MATCH(Agenda2526!C12,'CAL4'!A:A,0)+2,2,4,1,"CAL4")),"")</f>
        <v/>
      </c>
      <c r="X11" s="21">
        <f ca="1">IF(CALC2223!BA11&gt;2,INDIRECT(ADDRESS(MATCH(Agenda2526!C12,'CAL4'!A:A,0)+2,3,4,1,"CAL4")),0)</f>
        <v>0</v>
      </c>
      <c r="Y11" s="20" t="str">
        <f ca="1">IF(CALC2223!BB11&gt;0,INDIRECT(ADDRESS(MATCH(Agenda2526!C12,'CAL5'!A:A,0),2,4,1,"CAL5")),"")</f>
        <v/>
      </c>
      <c r="Z11" s="21">
        <f ca="1">IF(CALC2223!BB11&gt;0,INDIRECT(ADDRESS(MATCH(Agenda2526!C12,'CAL5'!A:A,0),3,4,1,"CAL5")),0)</f>
        <v>0</v>
      </c>
      <c r="AA11" s="20" t="str">
        <f ca="1">IF(CALC2223!BB11&gt;1,INDIRECT(ADDRESS(MATCH(Agenda2526!C12,'CAL5'!A:A,0)+1,2,4,1,"CAL5")),"")</f>
        <v/>
      </c>
      <c r="AB11" s="21">
        <f ca="1">IF(CALC2223!BB11&gt;1,INDIRECT(ADDRESS(MATCH(Agenda2526!C12,'CAL5'!A:A,0)+1,3,4,1,"CAL5")),0)</f>
        <v>0</v>
      </c>
      <c r="AC11" s="20" t="str">
        <f ca="1">IF(CALC2223!BB11&gt;2,INDIRECT(ADDRESS(MATCH(Agenda2526!C12,'CAL5'!A:A,0)+2,2,4,1,"CAL5")),"")</f>
        <v/>
      </c>
      <c r="AD11" s="21">
        <f ca="1">IF(CALC2223!BB11&gt;2,INDIRECT(ADDRESS(MATCH(Agenda2526!C12,'CAL5'!A:A,0)+2,3,4,1,"CAL5")),0)</f>
        <v>0</v>
      </c>
      <c r="AE11" s="20" t="str">
        <f ca="1">IF(CALC2223!BC11&gt;0,INDIRECT(ADDRESS(MATCH(Agenda2526!C12,'CAL6'!A:A,0),2,4,1,"CAL6")),"")</f>
        <v/>
      </c>
      <c r="AF11" s="21">
        <f ca="1">IF(CALC2223!BC11&gt;0,INDIRECT(ADDRESS(MATCH(Agenda2526!C12,'CAL6'!A:A,0),3,4,1,"CAL6")),0)</f>
        <v>0</v>
      </c>
      <c r="AG11" s="20" t="str">
        <f ca="1">IF(CALC2223!BC11&gt;1,INDIRECT(ADDRESS(MATCH(Agenda2526!C12,'CAL6'!A:A,0)+1,2,4,1,"CAL6")),"")</f>
        <v/>
      </c>
      <c r="AH11" s="21">
        <f ca="1">IF(CALC2223!BC11&gt;1,INDIRECT(ADDRESS(MATCH(Agenda2526!C12,'CAL6'!A:A,0)+1,3,4,1,"CAL6")),0)</f>
        <v>0</v>
      </c>
      <c r="AI11" s="20" t="str">
        <f ca="1">IF(CALC2223!BC11&gt;2,INDIRECT(ADDRESS(MATCH(Agenda2526!C12,'CAL6'!A:A,0)+2,2,4,1,"CAL6")),"")</f>
        <v/>
      </c>
      <c r="AJ11" s="21">
        <f ca="1">IF(CALC2223!BC11&gt;2,INDIRECT(ADDRESS(MATCH(Agenda2526!C12,'CAL6'!A:A,0)+2,3,4,1,"CAL6")),0)</f>
        <v>0</v>
      </c>
      <c r="AK11" s="20" t="str">
        <f ca="1">IF(CALC2223!BD11&gt;0,INDIRECT(ADDRESS(MATCH(Agenda2526!C12,'CAL7'!A:A,0),2,4,1,"CAL7")),"")</f>
        <v/>
      </c>
      <c r="AL11" s="21">
        <f ca="1">IF(CALC2223!BD11&gt;0,INDIRECT(ADDRESS(MATCH(Agenda2526!C12,'CAL7'!A:A,0),3,4,1,"CAL7")),0)</f>
        <v>0</v>
      </c>
      <c r="AM11" s="20" t="str">
        <f ca="1">IF(CALC2223!BD11&gt;1,INDIRECT(ADDRESS(MATCH(Agenda2526!C12,'CAL7'!A:A,0)+1,2,4,1,"CAL7")),"")</f>
        <v/>
      </c>
      <c r="AN11" s="21">
        <f ca="1">IF(CALC2223!BD11&gt;1,INDIRECT(ADDRESS(MATCH(Agenda2526!C12,'CAL7'!A:A,0)+1,3,4,1,"CAL7")),0)</f>
        <v>0</v>
      </c>
      <c r="AO11" s="20" t="str">
        <f ca="1">IF(CALC2223!BD11&gt;2,INDIRECT(ADDRESS(MATCH(Agenda2526!C12,'CAL7'!A:A,0)+2,2,4,1,"CAL7")),"")</f>
        <v/>
      </c>
      <c r="AP11" s="21">
        <f ca="1">IF(CALC2223!BD11&gt;2,INDIRECT(ADDRESS(MATCH(Agenda2526!C12,'CAL7'!A:A,0)+2,3,4,1,"CAL7")),0)</f>
        <v>0</v>
      </c>
      <c r="AQ11" s="20" t="str">
        <f ca="1">IF(CALC2223!BE11&gt;0,INDIRECT(ADDRESS(MATCH(Agenda2526!C12,'CAL8'!A:A,0),2,4,1,"CAL8")),"")</f>
        <v/>
      </c>
      <c r="AR11" s="21">
        <f ca="1">IF(CALC2223!BE11&gt;0,INDIRECT(ADDRESS(MATCH(Agenda2526!C12,'CAL8'!A:A,0),3,4,1,"CAL8")),0)</f>
        <v>0</v>
      </c>
      <c r="AS11" s="20" t="str">
        <f ca="1">IF(CALC2223!BE11&gt;1,INDIRECT(ADDRESS(MATCH(Agenda2526!C12,'CAL8'!A:A,0)+1,2,4,1,"CAL8")),"")</f>
        <v/>
      </c>
      <c r="AT11" s="21">
        <f ca="1">IF(CALC2223!BE11&gt;1,INDIRECT(ADDRESS(MATCH(Agenda2526!C12,'CAL8'!A:A,0)+1,3,4,1,"CAL8")),0)</f>
        <v>0</v>
      </c>
      <c r="AU11" s="20" t="str">
        <f ca="1">IF(CALC2223!BE11&gt;2,INDIRECT(ADDRESS(MATCH(Agenda2526!C12,'CAL8'!A:A,0)+2,2,4,1,"CAL8")),"")</f>
        <v/>
      </c>
      <c r="AV11" s="21">
        <f ca="1">IF(CALC2223!BE11&gt;2,INDIRECT(ADDRESS(MATCH(Agenda2526!C12,'CAL8'!A:A,0)+2,3,4,1,"CAL8")),0)</f>
        <v>0</v>
      </c>
      <c r="AW11" s="105"/>
      <c r="AX11" s="20">
        <f>COUNTIF('CAL1'!A:A,Agenda2526!C12)</f>
        <v>0</v>
      </c>
      <c r="AY11" s="20">
        <f>COUNTIF('CAL2'!A:A,Agenda2526!C12)</f>
        <v>0</v>
      </c>
      <c r="AZ11" s="20">
        <f>COUNTIF('CAL3'!A:A,Agenda2526!C12)</f>
        <v>0</v>
      </c>
      <c r="BA11" s="20">
        <f>COUNTIF('CAL4'!A:A,Agenda2526!C12)</f>
        <v>0</v>
      </c>
      <c r="BB11" s="20">
        <f>COUNTIF('CAL5'!A:A,Agenda2526!C12)</f>
        <v>0</v>
      </c>
      <c r="BC11" s="20">
        <f>COUNTIF('CAL6'!A:A,Agenda2526!C12)</f>
        <v>0</v>
      </c>
      <c r="BD11" s="20">
        <f>COUNTIF('CAL7'!A:A,Agenda2526!C12)</f>
        <v>0</v>
      </c>
      <c r="BE11" s="20">
        <f>COUNTIF('CAL8'!A:A,Agenda2526!C12)</f>
        <v>0</v>
      </c>
    </row>
    <row r="12" spans="1:57" ht="15.75" customHeight="1">
      <c r="A12" s="20" t="str">
        <f ca="1">IF(CALC2223!AX12&gt;0,INDIRECT(ADDRESS(MATCH(Agenda2526!C13,'CAL1'!A:A,0),2,4,1,"CAL1")),"")</f>
        <v/>
      </c>
      <c r="B12" s="21">
        <f ca="1">IF(CALC2223!AX12&gt;0,INDIRECT(ADDRESS(MATCH(Agenda2526!C13,'CAL1'!A:A,0),3,4,1,"CAL1")),0)</f>
        <v>0</v>
      </c>
      <c r="C12" s="20" t="str">
        <f ca="1">IF(CALC2223!AX12&gt;1,INDIRECT(ADDRESS(MATCH(Agenda2526!C13,'CAL1'!A:A,0)+1,2,4,1,"CAL1")),"")</f>
        <v/>
      </c>
      <c r="D12" s="21">
        <f ca="1">IF(CALC2223!AX12&gt;1,INDIRECT(ADDRESS(MATCH(Agenda2526!C13,'CAL1'!A:A,0)+1,3,4,1,"CAL1")),0)</f>
        <v>0</v>
      </c>
      <c r="E12" s="20" t="str">
        <f ca="1">IF(CALC2223!AX12&gt;2,INDIRECT(ADDRESS(MATCH(Agenda2526!C13,'CAL1'!A:A,0)+2,2,4,1,"CAL1")),"")</f>
        <v/>
      </c>
      <c r="F12" s="21">
        <f ca="1">IF(CALC2223!AX12&gt;2,INDIRECT(ADDRESS(MATCH(Agenda2526!C13,'CAL1'!A:A,0)+2,3,4,1,"CAL1")),0)</f>
        <v>0</v>
      </c>
      <c r="G12" s="20" t="str">
        <f ca="1">IF(CALC2223!AY12&gt;0,INDIRECT(ADDRESS(MATCH(Agenda2526!C13,'CAL2'!A:A,0),2,4,1,"CAL2")),"")</f>
        <v/>
      </c>
      <c r="H12" s="21">
        <f ca="1">IF(CALC2223!AY12&gt;0,INDIRECT(ADDRESS(MATCH(Agenda2526!C13,'CAL2'!A:A,0),3,4,1,"CAL2")),0)</f>
        <v>0</v>
      </c>
      <c r="I12" s="20" t="str">
        <f ca="1">IF(CALC2223!AY12&gt;1,INDIRECT(ADDRESS(MATCH(Agenda2526!C13,'CAL2'!A:A,0)+1,2,4,1,"CAL2")),"")</f>
        <v/>
      </c>
      <c r="J12" s="21">
        <f ca="1">IF(CALC2223!AY12&gt;1,INDIRECT(ADDRESS(MATCH(Agenda2526!C13,'CAL2'!A:A,0)+1,3,4,1,"CAL2")),0)</f>
        <v>0</v>
      </c>
      <c r="K12" s="20" t="str">
        <f ca="1">IF(CALC2223!AY12&gt;2,INDIRECT(ADDRESS(MATCH(Agenda2526!C13,'CAL2'!A:A,0)+2,2,4,1,"CAL2")),"")</f>
        <v/>
      </c>
      <c r="L12" s="21">
        <f ca="1">IF(CALC2223!AY12&gt;2,INDIRECT(ADDRESS(MATCH(Agenda2526!C13,'CAL2'!A:A,0)+2,3,4,1,"CAL2")),0)</f>
        <v>0</v>
      </c>
      <c r="M12" s="20" t="str">
        <f ca="1">IF(CALC2223!AZ12&gt;0,INDIRECT(ADDRESS(MATCH(Agenda2526!C13,'CAL3'!A:A,0),2,4,1,"CAL3")),"")</f>
        <v/>
      </c>
      <c r="N12" s="21">
        <f ca="1">IF(CALC2223!AZ12&gt;0,INDIRECT(ADDRESS(MATCH(Agenda2526!C13,'CAL3'!A:A,0),3,4,1,"CAL3")),0)</f>
        <v>0</v>
      </c>
      <c r="O12" s="20" t="str">
        <f ca="1">IF(CALC2223!AZ12&gt;1,INDIRECT(ADDRESS(MATCH(Agenda2526!C13,'CAL3'!A:A,0)+1,2,4,1,"CAL3")),"")</f>
        <v/>
      </c>
      <c r="P12" s="21">
        <f ca="1">IF(CALC2223!AZ12&gt;1,INDIRECT(ADDRESS(MATCH(Agenda2526!C13,'CAL3'!A:A,0)+1,3,4,1,"CAL3")),0)</f>
        <v>0</v>
      </c>
      <c r="Q12" s="20" t="str">
        <f ca="1">IF(CALC2223!AZ12&gt;2,INDIRECT(ADDRESS(MATCH(Agenda2526!C13,'CAL3'!A:A,0)+2,2,4,1,"CAL3")),"")</f>
        <v/>
      </c>
      <c r="R12" s="21">
        <f ca="1">IF(CALC2223!AZ12&gt;2,INDIRECT(ADDRESS(MATCH(Agenda2526!C13,'CAL3'!A:A,0)+2,3,4,1,"CAL3")),0)</f>
        <v>0</v>
      </c>
      <c r="S12" s="20" t="str">
        <f ca="1">IF(CALC2223!BA12&gt;0,INDIRECT(ADDRESS(MATCH(Agenda2526!C13,'CAL4'!A:A,0),2,4,1,"CAL4")),"")</f>
        <v/>
      </c>
      <c r="T12" s="21">
        <f ca="1">IF(CALC2223!BA12&gt;0,INDIRECT(ADDRESS(MATCH(Agenda2526!C13,'CAL4'!A:A,0),3,4,1,"CAL4")),0)</f>
        <v>0</v>
      </c>
      <c r="U12" s="20" t="str">
        <f ca="1">IF(CALC2223!BA12&gt;1,INDIRECT(ADDRESS(MATCH(Agenda2526!C13,'CAL4'!A:A,0)+1,2,4,1,"CAL4")),"")</f>
        <v/>
      </c>
      <c r="V12" s="21">
        <f ca="1">IF(CALC2223!BA12&gt;1,INDIRECT(ADDRESS(MATCH(Agenda2526!C13,'CAL4'!A:A,0)+1,3,4,1,"CAL4")),0)</f>
        <v>0</v>
      </c>
      <c r="W12" s="20" t="str">
        <f ca="1">IF(CALC2223!BA12&gt;2,INDIRECT(ADDRESS(MATCH(Agenda2526!C13,'CAL4'!A:A,0)+2,2,4,1,"CAL4")),"")</f>
        <v/>
      </c>
      <c r="X12" s="21">
        <f ca="1">IF(CALC2223!BA12&gt;2,INDIRECT(ADDRESS(MATCH(Agenda2526!C13,'CAL4'!A:A,0)+2,3,4,1,"CAL4")),0)</f>
        <v>0</v>
      </c>
      <c r="Y12" s="20" t="str">
        <f ca="1">IF(CALC2223!BB12&gt;0,INDIRECT(ADDRESS(MATCH(Agenda2526!C13,'CAL5'!A:A,0),2,4,1,"CAL5")),"")</f>
        <v/>
      </c>
      <c r="Z12" s="21">
        <f ca="1">IF(CALC2223!BB12&gt;0,INDIRECT(ADDRESS(MATCH(Agenda2526!C13,'CAL5'!A:A,0),3,4,1,"CAL5")),0)</f>
        <v>0</v>
      </c>
      <c r="AA12" s="20" t="str">
        <f ca="1">IF(CALC2223!BB12&gt;1,INDIRECT(ADDRESS(MATCH(Agenda2526!C13,'CAL5'!A:A,0)+1,2,4,1,"CAL5")),"")</f>
        <v/>
      </c>
      <c r="AB12" s="21">
        <f ca="1">IF(CALC2223!BB12&gt;1,INDIRECT(ADDRESS(MATCH(Agenda2526!C13,'CAL5'!A:A,0)+1,3,4,1,"CAL5")),0)</f>
        <v>0</v>
      </c>
      <c r="AC12" s="20" t="str">
        <f ca="1">IF(CALC2223!BB12&gt;2,INDIRECT(ADDRESS(MATCH(Agenda2526!C13,'CAL5'!A:A,0)+2,2,4,1,"CAL5")),"")</f>
        <v/>
      </c>
      <c r="AD12" s="21">
        <f ca="1">IF(CALC2223!BB12&gt;2,INDIRECT(ADDRESS(MATCH(Agenda2526!C13,'CAL5'!A:A,0)+2,3,4,1,"CAL5")),0)</f>
        <v>0</v>
      </c>
      <c r="AE12" s="20" t="str">
        <f ca="1">IF(CALC2223!BC12&gt;0,INDIRECT(ADDRESS(MATCH(Agenda2526!C13,'CAL6'!A:A,0),2,4,1,"CAL6")),"")</f>
        <v/>
      </c>
      <c r="AF12" s="21">
        <f ca="1">IF(CALC2223!BC12&gt;0,INDIRECT(ADDRESS(MATCH(Agenda2526!C13,'CAL6'!A:A,0),3,4,1,"CAL6")),0)</f>
        <v>0</v>
      </c>
      <c r="AG12" s="20" t="str">
        <f ca="1">IF(CALC2223!BC12&gt;1,INDIRECT(ADDRESS(MATCH(Agenda2526!C13,'CAL6'!A:A,0)+1,2,4,1,"CAL6")),"")</f>
        <v/>
      </c>
      <c r="AH12" s="21">
        <f ca="1">IF(CALC2223!BC12&gt;1,INDIRECT(ADDRESS(MATCH(Agenda2526!C13,'CAL6'!A:A,0)+1,3,4,1,"CAL6")),0)</f>
        <v>0</v>
      </c>
      <c r="AI12" s="20" t="str">
        <f ca="1">IF(CALC2223!BC12&gt;2,INDIRECT(ADDRESS(MATCH(Agenda2526!C13,'CAL6'!A:A,0)+2,2,4,1,"CAL6")),"")</f>
        <v/>
      </c>
      <c r="AJ12" s="21">
        <f ca="1">IF(CALC2223!BC12&gt;2,INDIRECT(ADDRESS(MATCH(Agenda2526!C13,'CAL6'!A:A,0)+2,3,4,1,"CAL6")),0)</f>
        <v>0</v>
      </c>
      <c r="AK12" s="20" t="str">
        <f ca="1">IF(CALC2223!BD12&gt;0,INDIRECT(ADDRESS(MATCH(Agenda2526!C13,'CAL7'!A:A,0),2,4,1,"CAL7")),"")</f>
        <v>mentoren#1/ Claudia Visser over signaleren HB leerlingen</v>
      </c>
      <c r="AL12" s="21">
        <f ca="1">IF(CALC2223!BD12&gt;0,INDIRECT(ADDRESS(MATCH(Agenda2526!C13,'CAL7'!A:A,0),3,4,1,"CAL7")),0)</f>
        <v>45896</v>
      </c>
      <c r="AM12" s="20" t="str">
        <f ca="1">IF(CALC2223!BD12&gt;1,INDIRECT(ADDRESS(MATCH(Agenda2526!C13,'CAL7'!A:A,0)+1,2,4,1,"CAL7")),"")</f>
        <v/>
      </c>
      <c r="AN12" s="21">
        <f ca="1">IF(CALC2223!BD12&gt;1,INDIRECT(ADDRESS(MATCH(Agenda2526!C13,'CAL7'!A:A,0)+1,3,4,1,"CAL7")),0)</f>
        <v>0</v>
      </c>
      <c r="AO12" s="20" t="str">
        <f ca="1">IF(CALC2223!BD12&gt;2,INDIRECT(ADDRESS(MATCH(Agenda2526!C13,'CAL7'!A:A,0)+2,2,4,1,"CAL7")),"")</f>
        <v/>
      </c>
      <c r="AP12" s="21">
        <f ca="1">IF(CALC2223!BD12&gt;2,INDIRECT(ADDRESS(MATCH(Agenda2526!C13,'CAL7'!A:A,0)+2,3,4,1,"CAL7")),0)</f>
        <v>0</v>
      </c>
      <c r="AQ12" s="20" t="str">
        <f ca="1">IF(CALC2223!BE12&gt;0,INDIRECT(ADDRESS(MATCH(Agenda2526!C13,'CAL8'!A:A,0),2,4,1,"CAL8")),"")</f>
        <v/>
      </c>
      <c r="AR12" s="21">
        <f ca="1">IF(CALC2223!BE12&gt;0,INDIRECT(ADDRESS(MATCH(Agenda2526!C13,'CAL8'!A:A,0),3,4,1,"CAL8")),0)</f>
        <v>0</v>
      </c>
      <c r="AS12" s="20" t="str">
        <f ca="1">IF(CALC2223!BE12&gt;1,INDIRECT(ADDRESS(MATCH(Agenda2526!C13,'CAL8'!A:A,0)+1,2,4,1,"CAL8")),"")</f>
        <v/>
      </c>
      <c r="AT12" s="21">
        <f ca="1">IF(CALC2223!BE12&gt;1,INDIRECT(ADDRESS(MATCH(Agenda2526!C13,'CAL8'!A:A,0)+1,3,4,1,"CAL8")),0)</f>
        <v>0</v>
      </c>
      <c r="AU12" s="20" t="str">
        <f ca="1">IF(CALC2223!BE12&gt;2,INDIRECT(ADDRESS(MATCH(Agenda2526!C13,'CAL8'!A:A,0)+2,2,4,1,"CAL8")),"")</f>
        <v/>
      </c>
      <c r="AV12" s="21">
        <f ca="1">IF(CALC2223!BE12&gt;2,INDIRECT(ADDRESS(MATCH(Agenda2526!C13,'CAL8'!A:A,0)+2,3,4,1,"CAL8")),0)</f>
        <v>0</v>
      </c>
      <c r="AW12" s="105"/>
      <c r="AX12" s="20">
        <f>COUNTIF('CAL1'!A:A,Agenda2526!C13)</f>
        <v>0</v>
      </c>
      <c r="AY12" s="20">
        <f>COUNTIF('CAL2'!A:A,Agenda2526!C13)</f>
        <v>0</v>
      </c>
      <c r="AZ12" s="20">
        <f>COUNTIF('CAL3'!A:A,Agenda2526!C13)</f>
        <v>0</v>
      </c>
      <c r="BA12" s="20">
        <f>COUNTIF('CAL4'!A:A,Agenda2526!C13)</f>
        <v>0</v>
      </c>
      <c r="BB12" s="20">
        <f>COUNTIF('CAL5'!A:A,Agenda2526!C13)</f>
        <v>0</v>
      </c>
      <c r="BC12" s="20">
        <f>COUNTIF('CAL6'!A:A,Agenda2526!C13)</f>
        <v>0</v>
      </c>
      <c r="BD12" s="20">
        <f>COUNTIF('CAL7'!A:A,Agenda2526!C13)</f>
        <v>1</v>
      </c>
      <c r="BE12" s="20">
        <f>COUNTIF('CAL8'!A:A,Agenda2526!C13)</f>
        <v>0</v>
      </c>
    </row>
    <row r="13" spans="1:57" ht="15.75" customHeight="1">
      <c r="A13" s="20" t="str">
        <f ca="1">IF(CALC2223!AX13&gt;0,INDIRECT(ADDRESS(MATCH(Agenda2526!C14,'CAL1'!A:A,0),2,4,1,"CAL1")),"")</f>
        <v/>
      </c>
      <c r="B13" s="21">
        <f ca="1">IF(CALC2223!AX13&gt;0,INDIRECT(ADDRESS(MATCH(Agenda2526!C14,'CAL1'!A:A,0),3,4,1,"CAL1")),0)</f>
        <v>0</v>
      </c>
      <c r="C13" s="20" t="str">
        <f ca="1">IF(CALC2223!AX13&gt;1,INDIRECT(ADDRESS(MATCH(Agenda2526!C14,'CAL1'!A:A,0)+1,2,4,1,"CAL1")),"")</f>
        <v/>
      </c>
      <c r="D13" s="21">
        <f ca="1">IF(CALC2223!AX13&gt;1,INDIRECT(ADDRESS(MATCH(Agenda2526!C14,'CAL1'!A:A,0)+1,3,4,1,"CAL1")),0)</f>
        <v>0</v>
      </c>
      <c r="E13" s="20" t="str">
        <f ca="1">IF(CALC2223!AX13&gt;2,INDIRECT(ADDRESS(MATCH(Agenda2526!C14,'CAL1'!A:A,0)+2,2,4,1,"CAL1")),"")</f>
        <v/>
      </c>
      <c r="F13" s="21">
        <f ca="1">IF(CALC2223!AX13&gt;2,INDIRECT(ADDRESS(MATCH(Agenda2526!C14,'CAL1'!A:A,0)+2,3,4,1,"CAL1")),0)</f>
        <v>0</v>
      </c>
      <c r="G13" s="20" t="str">
        <f ca="1">IF(CALC2223!AY13&gt;0,INDIRECT(ADDRESS(MATCH(Agenda2526!C14,'CAL2'!A:A,0),2,4,1,"CAL2")),"")</f>
        <v/>
      </c>
      <c r="H13" s="21">
        <f ca="1">IF(CALC2223!AY13&gt;0,INDIRECT(ADDRESS(MATCH(Agenda2526!C14,'CAL2'!A:A,0),3,4,1,"CAL2")),0)</f>
        <v>0</v>
      </c>
      <c r="I13" s="20" t="str">
        <f ca="1">IF(CALC2223!AY13&gt;1,INDIRECT(ADDRESS(MATCH(Agenda2526!C14,'CAL2'!A:A,0)+1,2,4,1,"CAL2")),"")</f>
        <v/>
      </c>
      <c r="J13" s="21">
        <f ca="1">IF(CALC2223!AY13&gt;1,INDIRECT(ADDRESS(MATCH(Agenda2526!C14,'CAL2'!A:A,0)+1,3,4,1,"CAL2")),0)</f>
        <v>0</v>
      </c>
      <c r="K13" s="20" t="str">
        <f ca="1">IF(CALC2223!AY13&gt;2,INDIRECT(ADDRESS(MATCH(Agenda2526!C14,'CAL2'!A:A,0)+2,2,4,1,"CAL2")),"")</f>
        <v/>
      </c>
      <c r="L13" s="21">
        <f ca="1">IF(CALC2223!AY13&gt;2,INDIRECT(ADDRESS(MATCH(Agenda2526!C14,'CAL2'!A:A,0)+2,3,4,1,"CAL2")),0)</f>
        <v>0</v>
      </c>
      <c r="M13" s="20" t="str">
        <f ca="1">IF(CALC2223!AZ13&gt;0,INDIRECT(ADDRESS(MATCH(Agenda2526!C14,'CAL3'!A:A,0),2,4,1,"CAL3")),"")</f>
        <v/>
      </c>
      <c r="N13" s="21">
        <f ca="1">IF(CALC2223!AZ13&gt;0,INDIRECT(ADDRESS(MATCH(Agenda2526!C14,'CAL3'!A:A,0),3,4,1,"CAL3")),0)</f>
        <v>0</v>
      </c>
      <c r="O13" s="20" t="str">
        <f ca="1">IF(CALC2223!AZ13&gt;1,INDIRECT(ADDRESS(MATCH(Agenda2526!C14,'CAL3'!A:A,0)+1,2,4,1,"CAL3")),"")</f>
        <v/>
      </c>
      <c r="P13" s="21">
        <f ca="1">IF(CALC2223!AZ13&gt;1,INDIRECT(ADDRESS(MATCH(Agenda2526!C14,'CAL3'!A:A,0)+1,3,4,1,"CAL3")),0)</f>
        <v>0</v>
      </c>
      <c r="Q13" s="20" t="str">
        <f ca="1">IF(CALC2223!AZ13&gt;2,INDIRECT(ADDRESS(MATCH(Agenda2526!C14,'CAL3'!A:A,0)+2,2,4,1,"CAL3")),"")</f>
        <v/>
      </c>
      <c r="R13" s="21">
        <f ca="1">IF(CALC2223!AZ13&gt;2,INDIRECT(ADDRESS(MATCH(Agenda2526!C14,'CAL3'!A:A,0)+2,3,4,1,"CAL3")),0)</f>
        <v>0</v>
      </c>
      <c r="S13" s="20" t="str">
        <f ca="1">IF(CALC2223!BA13&gt;0,INDIRECT(ADDRESS(MATCH(Agenda2526!C14,'CAL4'!A:A,0),2,4,1,"CAL4")),"")</f>
        <v/>
      </c>
      <c r="T13" s="21">
        <f ca="1">IF(CALC2223!BA13&gt;0,INDIRECT(ADDRESS(MATCH(Agenda2526!C14,'CAL4'!A:A,0),3,4,1,"CAL4")),0)</f>
        <v>0</v>
      </c>
      <c r="U13" s="20" t="str">
        <f ca="1">IF(CALC2223!BA13&gt;1,INDIRECT(ADDRESS(MATCH(Agenda2526!C14,'CAL4'!A:A,0)+1,2,4,1,"CAL4")),"")</f>
        <v/>
      </c>
      <c r="V13" s="21">
        <f ca="1">IF(CALC2223!BA13&gt;1,INDIRECT(ADDRESS(MATCH(Agenda2526!C14,'CAL4'!A:A,0)+1,3,4,1,"CAL4")),0)</f>
        <v>0</v>
      </c>
      <c r="W13" s="20" t="str">
        <f ca="1">IF(CALC2223!BA13&gt;2,INDIRECT(ADDRESS(MATCH(Agenda2526!C14,'CAL4'!A:A,0)+2,2,4,1,"CAL4")),"")</f>
        <v/>
      </c>
      <c r="X13" s="21">
        <f ca="1">IF(CALC2223!BA13&gt;2,INDIRECT(ADDRESS(MATCH(Agenda2526!C14,'CAL4'!A:A,0)+2,3,4,1,"CAL4")),0)</f>
        <v>0</v>
      </c>
      <c r="Y13" s="20" t="str">
        <f ca="1">IF(CALC2223!BB13&gt;0,INDIRECT(ADDRESS(MATCH(Agenda2526!C14,'CAL5'!A:A,0),2,4,1,"CAL5")),"")</f>
        <v>opgave herkansing ANW</v>
      </c>
      <c r="Z13" s="21">
        <f ca="1">IF(CALC2223!BB13&gt;0,INDIRECT(ADDRESS(MATCH(Agenda2526!C14,'CAL5'!A:A,0),3,4,1,"CAL5")),0)</f>
        <v>45896</v>
      </c>
      <c r="AA13" s="20" t="str">
        <f ca="1">IF(CALC2223!BB13&gt;1,INDIRECT(ADDRESS(MATCH(Agenda2526!C14,'CAL5'!A:A,0)+1,2,4,1,"CAL5")),"")</f>
        <v/>
      </c>
      <c r="AB13" s="21">
        <f ca="1">IF(CALC2223!BB13&gt;1,INDIRECT(ADDRESS(MATCH(Agenda2526!C14,'CAL5'!A:A,0)+1,3,4,1,"CAL5")),0)</f>
        <v>0</v>
      </c>
      <c r="AC13" s="20" t="str">
        <f ca="1">IF(CALC2223!BB13&gt;2,INDIRECT(ADDRESS(MATCH(Agenda2526!C14,'CAL5'!A:A,0)+2,2,4,1,"CAL5")),"")</f>
        <v/>
      </c>
      <c r="AD13" s="21">
        <f ca="1">IF(CALC2223!BB13&gt;2,INDIRECT(ADDRESS(MATCH(Agenda2526!C14,'CAL5'!A:A,0)+2,3,4,1,"CAL5")),0)</f>
        <v>0</v>
      </c>
      <c r="AE13" s="20" t="str">
        <f ca="1">IF(CALC2223!BC13&gt;0,INDIRECT(ADDRESS(MATCH(Agenda2526!C14,'CAL6'!A:A,0),2,4,1,"CAL6")),"")</f>
        <v>herkansen (geen les)</v>
      </c>
      <c r="AF13" s="21">
        <f ca="1">IF(CALC2223!BC13&gt;0,INDIRECT(ADDRESS(MATCH(Agenda2526!C14,'CAL6'!A:A,0),3,4,1,"CAL6")),0)</f>
        <v>45896</v>
      </c>
      <c r="AG13" s="20" t="str">
        <f ca="1">IF(CALC2223!BC13&gt;1,INDIRECT(ADDRESS(MATCH(Agenda2526!C14,'CAL6'!A:A,0)+1,2,4,1,"CAL6")),"")</f>
        <v/>
      </c>
      <c r="AH13" s="21">
        <f ca="1">IF(CALC2223!BC13&gt;1,INDIRECT(ADDRESS(MATCH(Agenda2526!C14,'CAL6'!A:A,0)+1,3,4,1,"CAL6")),0)</f>
        <v>0</v>
      </c>
      <c r="AI13" s="20" t="str">
        <f ca="1">IF(CALC2223!BC13&gt;2,INDIRECT(ADDRESS(MATCH(Agenda2526!C14,'CAL6'!A:A,0)+2,2,4,1,"CAL6")),"")</f>
        <v/>
      </c>
      <c r="AJ13" s="21">
        <f ca="1">IF(CALC2223!BC13&gt;2,INDIRECT(ADDRESS(MATCH(Agenda2526!C14,'CAL6'!A:A,0)+2,3,4,1,"CAL6")),0)</f>
        <v>0</v>
      </c>
      <c r="AK13" s="20" t="str">
        <f ca="1">IF(CALC2223!BD13&gt;0,INDIRECT(ADDRESS(MATCH(Agenda2526!C14,'CAL7'!A:A,0),2,4,1,"CAL7")),"")</f>
        <v/>
      </c>
      <c r="AL13" s="21">
        <f ca="1">IF(CALC2223!BD13&gt;0,INDIRECT(ADDRESS(MATCH(Agenda2526!C14,'CAL7'!A:A,0),3,4,1,"CAL7")),0)</f>
        <v>0</v>
      </c>
      <c r="AM13" s="20" t="str">
        <f ca="1">IF(CALC2223!BD13&gt;1,INDIRECT(ADDRESS(MATCH(Agenda2526!C14,'CAL7'!A:A,0)+1,2,4,1,"CAL7")),"")</f>
        <v/>
      </c>
      <c r="AN13" s="21">
        <f ca="1">IF(CALC2223!BD13&gt;1,INDIRECT(ADDRESS(MATCH(Agenda2526!C14,'CAL7'!A:A,0)+1,3,4,1,"CAL7")),0)</f>
        <v>0</v>
      </c>
      <c r="AO13" s="20" t="str">
        <f ca="1">IF(CALC2223!BD13&gt;2,INDIRECT(ADDRESS(MATCH(Agenda2526!C14,'CAL7'!A:A,0)+2,2,4,1,"CAL7")),"")</f>
        <v/>
      </c>
      <c r="AP13" s="21">
        <f ca="1">IF(CALC2223!BD13&gt;2,INDIRECT(ADDRESS(MATCH(Agenda2526!C14,'CAL7'!A:A,0)+2,3,4,1,"CAL7")),0)</f>
        <v>0</v>
      </c>
      <c r="AQ13" s="20" t="str">
        <f ca="1">IF(CALC2223!BE13&gt;0,INDIRECT(ADDRESS(MATCH(Agenda2526!C14,'CAL8'!A:A,0),2,4,1,"CAL8")),"")</f>
        <v/>
      </c>
      <c r="AR13" s="21">
        <f ca="1">IF(CALC2223!BE13&gt;0,INDIRECT(ADDRESS(MATCH(Agenda2526!C14,'CAL8'!A:A,0),3,4,1,"CAL8")),0)</f>
        <v>0</v>
      </c>
      <c r="AS13" s="20" t="str">
        <f ca="1">IF(CALC2223!BE13&gt;1,INDIRECT(ADDRESS(MATCH(Agenda2526!C14,'CAL8'!A:A,0)+1,2,4,1,"CAL8")),"")</f>
        <v/>
      </c>
      <c r="AT13" s="21">
        <f ca="1">IF(CALC2223!BE13&gt;1,INDIRECT(ADDRESS(MATCH(Agenda2526!C14,'CAL8'!A:A,0)+1,3,4,1,"CAL8")),0)</f>
        <v>0</v>
      </c>
      <c r="AU13" s="20" t="str">
        <f ca="1">IF(CALC2223!BE13&gt;2,INDIRECT(ADDRESS(MATCH(Agenda2526!C14,'CAL8'!A:A,0)+2,2,4,1,"CAL8")),"")</f>
        <v/>
      </c>
      <c r="AV13" s="21">
        <f ca="1">IF(CALC2223!BE13&gt;2,INDIRECT(ADDRESS(MATCH(Agenda2526!C14,'CAL8'!A:A,0)+2,3,4,1,"CAL8")),0)</f>
        <v>0</v>
      </c>
      <c r="AW13" s="105"/>
      <c r="AX13" s="20">
        <f>COUNTIF('CAL1'!A:A,Agenda2526!C14)</f>
        <v>0</v>
      </c>
      <c r="AY13" s="20">
        <f>COUNTIF('CAL2'!A:A,Agenda2526!C14)</f>
        <v>0</v>
      </c>
      <c r="AZ13" s="20">
        <f>COUNTIF('CAL3'!A:A,Agenda2526!C14)</f>
        <v>0</v>
      </c>
      <c r="BA13" s="20">
        <f>COUNTIF('CAL4'!A:A,Agenda2526!C14)</f>
        <v>0</v>
      </c>
      <c r="BB13" s="20">
        <f>COUNTIF('CAL5'!A:A,Agenda2526!C14)</f>
        <v>1</v>
      </c>
      <c r="BC13" s="20">
        <f>COUNTIF('CAL6'!A:A,Agenda2526!C14)</f>
        <v>1</v>
      </c>
      <c r="BD13" s="20">
        <f>COUNTIF('CAL7'!A:A,Agenda2526!C14)</f>
        <v>0</v>
      </c>
      <c r="BE13" s="20">
        <f>COUNTIF('CAL8'!A:A,Agenda2526!C14)</f>
        <v>0</v>
      </c>
    </row>
    <row r="14" spans="1:57" ht="15.75" customHeight="1">
      <c r="A14" s="20" t="str">
        <f ca="1">IF(CALC2223!AX14&gt;0,INDIRECT(ADDRESS(MATCH(Agenda2526!C15,'CAL1'!A:A,0),2,4,1,"CAL1")),"")</f>
        <v/>
      </c>
      <c r="B14" s="21">
        <f ca="1">IF(CALC2223!AX14&gt;0,INDIRECT(ADDRESS(MATCH(Agenda2526!C15,'CAL1'!A:A,0),3,4,1,"CAL1")),0)</f>
        <v>0</v>
      </c>
      <c r="C14" s="20" t="str">
        <f ca="1">IF(CALC2223!AX14&gt;1,INDIRECT(ADDRESS(MATCH(Agenda2526!C15,'CAL1'!A:A,0)+1,2,4,1,"CAL1")),"")</f>
        <v/>
      </c>
      <c r="D14" s="21">
        <f ca="1">IF(CALC2223!AX14&gt;1,INDIRECT(ADDRESS(MATCH(Agenda2526!C15,'CAL1'!A:A,0)+1,3,4,1,"CAL1")),0)</f>
        <v>0</v>
      </c>
      <c r="E14" s="20" t="str">
        <f ca="1">IF(CALC2223!AX14&gt;2,INDIRECT(ADDRESS(MATCH(Agenda2526!C15,'CAL1'!A:A,0)+2,2,4,1,"CAL1")),"")</f>
        <v/>
      </c>
      <c r="F14" s="21">
        <f ca="1">IF(CALC2223!AX14&gt;2,INDIRECT(ADDRESS(MATCH(Agenda2526!C15,'CAL1'!A:A,0)+2,3,4,1,"CAL1")),0)</f>
        <v>0</v>
      </c>
      <c r="G14" s="20" t="str">
        <f ca="1">IF(CALC2223!AY14&gt;0,INDIRECT(ADDRESS(MATCH(Agenda2526!C15,'CAL2'!A:A,0),2,4,1,"CAL2")),"")</f>
        <v/>
      </c>
      <c r="H14" s="21">
        <f ca="1">IF(CALC2223!AY14&gt;0,INDIRECT(ADDRESS(MATCH(Agenda2526!C15,'CAL2'!A:A,0),3,4,1,"CAL2")),0)</f>
        <v>0</v>
      </c>
      <c r="I14" s="20" t="str">
        <f ca="1">IF(CALC2223!AY14&gt;1,INDIRECT(ADDRESS(MATCH(Agenda2526!C15,'CAL2'!A:A,0)+1,2,4,1,"CAL2")),"")</f>
        <v/>
      </c>
      <c r="J14" s="21">
        <f ca="1">IF(CALC2223!AY14&gt;1,INDIRECT(ADDRESS(MATCH(Agenda2526!C15,'CAL2'!A:A,0)+1,3,4,1,"CAL2")),0)</f>
        <v>0</v>
      </c>
      <c r="K14" s="20" t="str">
        <f ca="1">IF(CALC2223!AY14&gt;2,INDIRECT(ADDRESS(MATCH(Agenda2526!C15,'CAL2'!A:A,0)+2,2,4,1,"CAL2")),"")</f>
        <v/>
      </c>
      <c r="L14" s="21">
        <f ca="1">IF(CALC2223!AY14&gt;2,INDIRECT(ADDRESS(MATCH(Agenda2526!C15,'CAL2'!A:A,0)+2,3,4,1,"CAL2")),0)</f>
        <v>0</v>
      </c>
      <c r="M14" s="20" t="str">
        <f ca="1">IF(CALC2223!AZ14&gt;0,INDIRECT(ADDRESS(MATCH(Agenda2526!C15,'CAL3'!A:A,0),2,4,1,"CAL3")),"")</f>
        <v/>
      </c>
      <c r="N14" s="21">
        <f ca="1">IF(CALC2223!AZ14&gt;0,INDIRECT(ADDRESS(MATCH(Agenda2526!C15,'CAL3'!A:A,0),3,4,1,"CAL3")),0)</f>
        <v>0</v>
      </c>
      <c r="O14" s="20" t="str">
        <f ca="1">IF(CALC2223!AZ14&gt;1,INDIRECT(ADDRESS(MATCH(Agenda2526!C15,'CAL3'!A:A,0)+1,2,4,1,"CAL3")),"")</f>
        <v/>
      </c>
      <c r="P14" s="21">
        <f ca="1">IF(CALC2223!AZ14&gt;1,INDIRECT(ADDRESS(MATCH(Agenda2526!C15,'CAL3'!A:A,0)+1,3,4,1,"CAL3")),0)</f>
        <v>0</v>
      </c>
      <c r="Q14" s="20" t="str">
        <f ca="1">IF(CALC2223!AZ14&gt;2,INDIRECT(ADDRESS(MATCH(Agenda2526!C15,'CAL3'!A:A,0)+2,2,4,1,"CAL3")),"")</f>
        <v/>
      </c>
      <c r="R14" s="21">
        <f ca="1">IF(CALC2223!AZ14&gt;2,INDIRECT(ADDRESS(MATCH(Agenda2526!C15,'CAL3'!A:A,0)+2,3,4,1,"CAL3")),0)</f>
        <v>0</v>
      </c>
      <c r="S14" s="20" t="str">
        <f ca="1">IF(CALC2223!BA14&gt;0,INDIRECT(ADDRESS(MATCH(Agenda2526!C15,'CAL4'!A:A,0),2,4,1,"CAL4")),"")</f>
        <v/>
      </c>
      <c r="T14" s="21">
        <f ca="1">IF(CALC2223!BA14&gt;0,INDIRECT(ADDRESS(MATCH(Agenda2526!C15,'CAL4'!A:A,0),3,4,1,"CAL4")),0)</f>
        <v>0</v>
      </c>
      <c r="U14" s="20" t="str">
        <f ca="1">IF(CALC2223!BA14&gt;1,INDIRECT(ADDRESS(MATCH(Agenda2526!C15,'CAL4'!A:A,0)+1,2,4,1,"CAL4")),"")</f>
        <v/>
      </c>
      <c r="V14" s="21">
        <f ca="1">IF(CALC2223!BA14&gt;1,INDIRECT(ADDRESS(MATCH(Agenda2526!C15,'CAL4'!A:A,0)+1,3,4,1,"CAL4")),0)</f>
        <v>0</v>
      </c>
      <c r="W14" s="20" t="str">
        <f ca="1">IF(CALC2223!BA14&gt;2,INDIRECT(ADDRESS(MATCH(Agenda2526!C15,'CAL4'!A:A,0)+2,2,4,1,"CAL4")),"")</f>
        <v/>
      </c>
      <c r="X14" s="21">
        <f ca="1">IF(CALC2223!BA14&gt;2,INDIRECT(ADDRESS(MATCH(Agenda2526!C15,'CAL4'!A:A,0)+2,3,4,1,"CAL4")),0)</f>
        <v>0</v>
      </c>
      <c r="Y14" s="20" t="str">
        <f ca="1">IF(CALC2223!BB14&gt;0,INDIRECT(ADDRESS(MATCH(Agenda2526!C15,'CAL5'!A:A,0),2,4,1,"CAL5")),"")</f>
        <v/>
      </c>
      <c r="Z14" s="21">
        <f ca="1">IF(CALC2223!BB14&gt;0,INDIRECT(ADDRESS(MATCH(Agenda2526!C15,'CAL5'!A:A,0),3,4,1,"CAL5")),0)</f>
        <v>0</v>
      </c>
      <c r="AA14" s="20" t="str">
        <f ca="1">IF(CALC2223!BB14&gt;1,INDIRECT(ADDRESS(MATCH(Agenda2526!C15,'CAL5'!A:A,0)+1,2,4,1,"CAL5")),"")</f>
        <v/>
      </c>
      <c r="AB14" s="21">
        <f ca="1">IF(CALC2223!BB14&gt;1,INDIRECT(ADDRESS(MATCH(Agenda2526!C15,'CAL5'!A:A,0)+1,3,4,1,"CAL5")),0)</f>
        <v>0</v>
      </c>
      <c r="AC14" s="20" t="str">
        <f ca="1">IF(CALC2223!BB14&gt;2,INDIRECT(ADDRESS(MATCH(Agenda2526!C15,'CAL5'!A:A,0)+2,2,4,1,"CAL5")),"")</f>
        <v/>
      </c>
      <c r="AD14" s="21">
        <f ca="1">IF(CALC2223!BB14&gt;2,INDIRECT(ADDRESS(MATCH(Agenda2526!C15,'CAL5'!A:A,0)+2,3,4,1,"CAL5")),0)</f>
        <v>0</v>
      </c>
      <c r="AE14" s="20" t="str">
        <f ca="1">IF(CALC2223!BC14&gt;0,INDIRECT(ADDRESS(MATCH(Agenda2526!C15,'CAL6'!A:A,0),2,4,1,"CAL6")),"")</f>
        <v/>
      </c>
      <c r="AF14" s="21">
        <f ca="1">IF(CALC2223!BC14&gt;0,INDIRECT(ADDRESS(MATCH(Agenda2526!C15,'CAL6'!A:A,0),3,4,1,"CAL6")),0)</f>
        <v>0</v>
      </c>
      <c r="AG14" s="20" t="str">
        <f ca="1">IF(CALC2223!BC14&gt;1,INDIRECT(ADDRESS(MATCH(Agenda2526!C15,'CAL6'!A:A,0)+1,2,4,1,"CAL6")),"")</f>
        <v/>
      </c>
      <c r="AH14" s="21">
        <f ca="1">IF(CALC2223!BC14&gt;1,INDIRECT(ADDRESS(MATCH(Agenda2526!C15,'CAL6'!A:A,0)+1,3,4,1,"CAL6")),0)</f>
        <v>0</v>
      </c>
      <c r="AI14" s="20" t="str">
        <f ca="1">IF(CALC2223!BC14&gt;2,INDIRECT(ADDRESS(MATCH(Agenda2526!C15,'CAL6'!A:A,0)+2,2,4,1,"CAL6")),"")</f>
        <v/>
      </c>
      <c r="AJ14" s="21">
        <f ca="1">IF(CALC2223!BC14&gt;2,INDIRECT(ADDRESS(MATCH(Agenda2526!C15,'CAL6'!A:A,0)+2,3,4,1,"CAL6")),0)</f>
        <v>0</v>
      </c>
      <c r="AK14" s="20" t="str">
        <f ca="1">IF(CALC2223!BD14&gt;0,INDIRECT(ADDRESS(MATCH(Agenda2526!C15,'CAL7'!A:A,0),2,4,1,"CAL7")),"")</f>
        <v/>
      </c>
      <c r="AL14" s="21">
        <f ca="1">IF(CALC2223!BD14&gt;0,INDIRECT(ADDRESS(MATCH(Agenda2526!C15,'CAL7'!A:A,0),3,4,1,"CAL7")),0)</f>
        <v>0</v>
      </c>
      <c r="AM14" s="20" t="str">
        <f ca="1">IF(CALC2223!BD14&gt;1,INDIRECT(ADDRESS(MATCH(Agenda2526!C15,'CAL7'!A:A,0)+1,2,4,1,"CAL7")),"")</f>
        <v/>
      </c>
      <c r="AN14" s="21">
        <f ca="1">IF(CALC2223!BD14&gt;1,INDIRECT(ADDRESS(MATCH(Agenda2526!C15,'CAL7'!A:A,0)+1,3,4,1,"CAL7")),0)</f>
        <v>0</v>
      </c>
      <c r="AO14" s="20" t="str">
        <f ca="1">IF(CALC2223!BD14&gt;2,INDIRECT(ADDRESS(MATCH(Agenda2526!C15,'CAL7'!A:A,0)+2,2,4,1,"CAL7")),"")</f>
        <v/>
      </c>
      <c r="AP14" s="21">
        <f ca="1">IF(CALC2223!BD14&gt;2,INDIRECT(ADDRESS(MATCH(Agenda2526!C15,'CAL7'!A:A,0)+2,3,4,1,"CAL7")),0)</f>
        <v>0</v>
      </c>
      <c r="AQ14" s="20" t="str">
        <f ca="1">IF(CALC2223!BE14&gt;0,INDIRECT(ADDRESS(MATCH(Agenda2526!C15,'CAL8'!A:A,0),2,4,1,"CAL8")),"")</f>
        <v/>
      </c>
      <c r="AR14" s="21">
        <f ca="1">IF(CALC2223!BE14&gt;0,INDIRECT(ADDRESS(MATCH(Agenda2526!C15,'CAL8'!A:A,0),3,4,1,"CAL8")),0)</f>
        <v>0</v>
      </c>
      <c r="AS14" s="20" t="str">
        <f ca="1">IF(CALC2223!BE14&gt;1,INDIRECT(ADDRESS(MATCH(Agenda2526!C15,'CAL8'!A:A,0)+1,2,4,1,"CAL8")),"")</f>
        <v/>
      </c>
      <c r="AT14" s="21">
        <f ca="1">IF(CALC2223!BE14&gt;1,INDIRECT(ADDRESS(MATCH(Agenda2526!C15,'CAL8'!A:A,0)+1,3,4,1,"CAL8")),0)</f>
        <v>0</v>
      </c>
      <c r="AU14" s="20" t="str">
        <f ca="1">IF(CALC2223!BE14&gt;2,INDIRECT(ADDRESS(MATCH(Agenda2526!C15,'CAL8'!A:A,0)+2,2,4,1,"CAL8")),"")</f>
        <v/>
      </c>
      <c r="AV14" s="21">
        <f ca="1">IF(CALC2223!BE14&gt;2,INDIRECT(ADDRESS(MATCH(Agenda2526!C15,'CAL8'!A:A,0)+2,3,4,1,"CAL8")),0)</f>
        <v>0</v>
      </c>
      <c r="AW14" s="106"/>
      <c r="AX14" s="20">
        <f>COUNTIF('CAL1'!A:A,Agenda2526!C15)</f>
        <v>0</v>
      </c>
      <c r="AY14" s="20">
        <f>COUNTIF('CAL2'!A:A,Agenda2526!C15)</f>
        <v>0</v>
      </c>
      <c r="AZ14" s="20">
        <f>COUNTIF('CAL3'!A:A,Agenda2526!C15)</f>
        <v>0</v>
      </c>
      <c r="BA14" s="20">
        <f>COUNTIF('CAL4'!A:A,Agenda2526!C15)</f>
        <v>0</v>
      </c>
      <c r="BB14" s="20">
        <f>COUNTIF('CAL5'!A:A,Agenda2526!C15)</f>
        <v>0</v>
      </c>
      <c r="BC14" s="20">
        <f>COUNTIF('CAL6'!A:A,Agenda2526!C15)</f>
        <v>0</v>
      </c>
      <c r="BD14" s="20">
        <f>COUNTIF('CAL7'!A:A,Agenda2526!C15)</f>
        <v>0</v>
      </c>
      <c r="BE14" s="20">
        <f>COUNTIF('CAL8'!A:A,Agenda2526!C15)</f>
        <v>0</v>
      </c>
    </row>
    <row r="15" spans="1:57" ht="15.75" customHeight="1">
      <c r="A15" s="20" t="str">
        <f ca="1">IF(CALC2223!AX15&gt;0,INDIRECT(ADDRESS(MATCH(Agenda2526!C16,'CAL1'!A:A,0),2,4,1,"CAL1")),"")</f>
        <v/>
      </c>
      <c r="B15" s="21">
        <f ca="1">IF(CALC2223!AX15&gt;0,INDIRECT(ADDRESS(MATCH(Agenda2526!C16,'CAL1'!A:A,0),3,4,1,"CAL1")),0)</f>
        <v>0</v>
      </c>
      <c r="C15" s="20" t="str">
        <f ca="1">IF(CALC2223!AX15&gt;1,INDIRECT(ADDRESS(MATCH(Agenda2526!C16,'CAL1'!A:A,0)+1,2,4,1,"CAL1")),"")</f>
        <v/>
      </c>
      <c r="D15" s="21">
        <f ca="1">IF(CALC2223!AX15&gt;1,INDIRECT(ADDRESS(MATCH(Agenda2526!C16,'CAL1'!A:A,0)+1,3,4,1,"CAL1")),0)</f>
        <v>0</v>
      </c>
      <c r="E15" s="20" t="str">
        <f ca="1">IF(CALC2223!AX15&gt;2,INDIRECT(ADDRESS(MATCH(Agenda2526!C16,'CAL1'!A:A,0)+2,2,4,1,"CAL1")),"")</f>
        <v/>
      </c>
      <c r="F15" s="21">
        <f ca="1">IF(CALC2223!AX15&gt;2,INDIRECT(ADDRESS(MATCH(Agenda2526!C16,'CAL1'!A:A,0)+2,3,4,1,"CAL1")),0)</f>
        <v>0</v>
      </c>
      <c r="G15" s="20" t="str">
        <f ca="1">IF(CALC2223!AY15&gt;0,INDIRECT(ADDRESS(MATCH(Agenda2526!C16,'CAL2'!A:A,0),2,4,1,"CAL2")),"")</f>
        <v/>
      </c>
      <c r="H15" s="21">
        <f ca="1">IF(CALC2223!AY15&gt;0,INDIRECT(ADDRESS(MATCH(Agenda2526!C16,'CAL2'!A:A,0),3,4,1,"CAL2")),0)</f>
        <v>0</v>
      </c>
      <c r="I15" s="20" t="str">
        <f ca="1">IF(CALC2223!AY15&gt;1,INDIRECT(ADDRESS(MATCH(Agenda2526!C16,'CAL2'!A:A,0)+1,2,4,1,"CAL2")),"")</f>
        <v/>
      </c>
      <c r="J15" s="21">
        <f ca="1">IF(CALC2223!AY15&gt;1,INDIRECT(ADDRESS(MATCH(Agenda2526!C16,'CAL2'!A:A,0)+1,3,4,1,"CAL2")),0)</f>
        <v>0</v>
      </c>
      <c r="K15" s="20" t="str">
        <f ca="1">IF(CALC2223!AY15&gt;2,INDIRECT(ADDRESS(MATCH(Agenda2526!C16,'CAL2'!A:A,0)+2,2,4,1,"CAL2")),"")</f>
        <v/>
      </c>
      <c r="L15" s="21">
        <f ca="1">IF(CALC2223!AY15&gt;2,INDIRECT(ADDRESS(MATCH(Agenda2526!C16,'CAL2'!A:A,0)+2,3,4,1,"CAL2")),0)</f>
        <v>0</v>
      </c>
      <c r="M15" s="20" t="str">
        <f ca="1">IF(CALC2223!AZ15&gt;0,INDIRECT(ADDRESS(MATCH(Agenda2526!C16,'CAL3'!A:A,0),2,4,1,"CAL3")),"")</f>
        <v/>
      </c>
      <c r="N15" s="21">
        <f ca="1">IF(CALC2223!AZ15&gt;0,INDIRECT(ADDRESS(MATCH(Agenda2526!C16,'CAL3'!A:A,0),3,4,1,"CAL3")),0)</f>
        <v>0</v>
      </c>
      <c r="O15" s="20" t="str">
        <f ca="1">IF(CALC2223!AZ15&gt;1,INDIRECT(ADDRESS(MATCH(Agenda2526!C16,'CAL3'!A:A,0)+1,2,4,1,"CAL3")),"")</f>
        <v/>
      </c>
      <c r="P15" s="21">
        <f ca="1">IF(CALC2223!AZ15&gt;1,INDIRECT(ADDRESS(MATCH(Agenda2526!C16,'CAL3'!A:A,0)+1,3,4,1,"CAL3")),0)</f>
        <v>0</v>
      </c>
      <c r="Q15" s="20" t="str">
        <f ca="1">IF(CALC2223!AZ15&gt;2,INDIRECT(ADDRESS(MATCH(Agenda2526!C16,'CAL3'!A:A,0)+2,2,4,1,"CAL3")),"")</f>
        <v/>
      </c>
      <c r="R15" s="21">
        <f ca="1">IF(CALC2223!AZ15&gt;2,INDIRECT(ADDRESS(MATCH(Agenda2526!C16,'CAL3'!A:A,0)+2,3,4,1,"CAL3")),0)</f>
        <v>0</v>
      </c>
      <c r="S15" s="20" t="str">
        <f ca="1">IF(CALC2223!BA15&gt;0,INDIRECT(ADDRESS(MATCH(Agenda2526!C16,'CAL4'!A:A,0),2,4,1,"CAL4")),"")</f>
        <v/>
      </c>
      <c r="T15" s="21">
        <f ca="1">IF(CALC2223!BA15&gt;0,INDIRECT(ADDRESS(MATCH(Agenda2526!C16,'CAL4'!A:A,0),3,4,1,"CAL4")),0)</f>
        <v>0</v>
      </c>
      <c r="U15" s="20" t="str">
        <f ca="1">IF(CALC2223!BA15&gt;1,INDIRECT(ADDRESS(MATCH(Agenda2526!C16,'CAL4'!A:A,0)+1,2,4,1,"CAL4")),"")</f>
        <v/>
      </c>
      <c r="V15" s="21">
        <f ca="1">IF(CALC2223!BA15&gt;1,INDIRECT(ADDRESS(MATCH(Agenda2526!C16,'CAL4'!A:A,0)+1,3,4,1,"CAL4")),0)</f>
        <v>0</v>
      </c>
      <c r="W15" s="20" t="str">
        <f ca="1">IF(CALC2223!BA15&gt;2,INDIRECT(ADDRESS(MATCH(Agenda2526!C16,'CAL4'!A:A,0)+2,2,4,1,"CAL4")),"")</f>
        <v/>
      </c>
      <c r="X15" s="21">
        <f ca="1">IF(CALC2223!BA15&gt;2,INDIRECT(ADDRESS(MATCH(Agenda2526!C16,'CAL4'!A:A,0)+2,3,4,1,"CAL4")),0)</f>
        <v>0</v>
      </c>
      <c r="Y15" s="20" t="str">
        <f ca="1">IF(CALC2223!BB15&gt;0,INDIRECT(ADDRESS(MATCH(Agenda2526!C16,'CAL5'!A:A,0),2,4,1,"CAL5")),"")</f>
        <v/>
      </c>
      <c r="Z15" s="21">
        <f ca="1">IF(CALC2223!BB15&gt;0,INDIRECT(ADDRESS(MATCH(Agenda2526!C16,'CAL5'!A:A,0),3,4,1,"CAL5")),0)</f>
        <v>0</v>
      </c>
      <c r="AA15" s="20" t="str">
        <f ca="1">IF(CALC2223!BB15&gt;1,INDIRECT(ADDRESS(MATCH(Agenda2526!C16,'CAL5'!A:A,0)+1,2,4,1,"CAL5")),"")</f>
        <v/>
      </c>
      <c r="AB15" s="21">
        <f ca="1">IF(CALC2223!BB15&gt;1,INDIRECT(ADDRESS(MATCH(Agenda2526!C16,'CAL5'!A:A,0)+1,3,4,1,"CAL5")),0)</f>
        <v>0</v>
      </c>
      <c r="AC15" s="20" t="str">
        <f ca="1">IF(CALC2223!BB15&gt;2,INDIRECT(ADDRESS(MATCH(Agenda2526!C16,'CAL5'!A:A,0)+2,2,4,1,"CAL5")),"")</f>
        <v/>
      </c>
      <c r="AD15" s="21">
        <f ca="1">IF(CALC2223!BB15&gt;2,INDIRECT(ADDRESS(MATCH(Agenda2526!C16,'CAL5'!A:A,0)+2,3,4,1,"CAL5")),0)</f>
        <v>0</v>
      </c>
      <c r="AE15" s="20" t="str">
        <f ca="1">IF(CALC2223!BC15&gt;0,INDIRECT(ADDRESS(MATCH(Agenda2526!C16,'CAL6'!A:A,0),2,4,1,"CAL6")),"")</f>
        <v/>
      </c>
      <c r="AF15" s="21">
        <f ca="1">IF(CALC2223!BC15&gt;0,INDIRECT(ADDRESS(MATCH(Agenda2526!C16,'CAL6'!A:A,0),3,4,1,"CAL6")),0)</f>
        <v>0</v>
      </c>
      <c r="AG15" s="20" t="str">
        <f ca="1">IF(CALC2223!BC15&gt;1,INDIRECT(ADDRESS(MATCH(Agenda2526!C16,'CAL6'!A:A,0)+1,2,4,1,"CAL6")),"")</f>
        <v/>
      </c>
      <c r="AH15" s="21">
        <f ca="1">IF(CALC2223!BC15&gt;1,INDIRECT(ADDRESS(MATCH(Agenda2526!C16,'CAL6'!A:A,0)+1,3,4,1,"CAL6")),0)</f>
        <v>0</v>
      </c>
      <c r="AI15" s="20" t="str">
        <f ca="1">IF(CALC2223!BC15&gt;2,INDIRECT(ADDRESS(MATCH(Agenda2526!C16,'CAL6'!A:A,0)+2,2,4,1,"CAL6")),"")</f>
        <v/>
      </c>
      <c r="AJ15" s="21">
        <f ca="1">IF(CALC2223!BC15&gt;2,INDIRECT(ADDRESS(MATCH(Agenda2526!C16,'CAL6'!A:A,0)+2,3,4,1,"CAL6")),0)</f>
        <v>0</v>
      </c>
      <c r="AK15" s="20" t="str">
        <f ca="1">IF(CALC2223!BD15&gt;0,INDIRECT(ADDRESS(MATCH(Agenda2526!C16,'CAL7'!A:A,0),2,4,1,"CAL7")),"")</f>
        <v/>
      </c>
      <c r="AL15" s="21">
        <f ca="1">IF(CALC2223!BD15&gt;0,INDIRECT(ADDRESS(MATCH(Agenda2526!C16,'CAL7'!A:A,0),3,4,1,"CAL7")),0)</f>
        <v>0</v>
      </c>
      <c r="AM15" s="20" t="str">
        <f ca="1">IF(CALC2223!BD15&gt;1,INDIRECT(ADDRESS(MATCH(Agenda2526!C16,'CAL7'!A:A,0)+1,2,4,1,"CAL7")),"")</f>
        <v/>
      </c>
      <c r="AN15" s="21">
        <f ca="1">IF(CALC2223!BD15&gt;1,INDIRECT(ADDRESS(MATCH(Agenda2526!C16,'CAL7'!A:A,0)+1,3,4,1,"CAL7")),0)</f>
        <v>0</v>
      </c>
      <c r="AO15" s="20" t="str">
        <f ca="1">IF(CALC2223!BD15&gt;2,INDIRECT(ADDRESS(MATCH(Agenda2526!C16,'CAL7'!A:A,0)+2,2,4,1,"CAL7")),"")</f>
        <v/>
      </c>
      <c r="AP15" s="21">
        <f ca="1">IF(CALC2223!BD15&gt;2,INDIRECT(ADDRESS(MATCH(Agenda2526!C16,'CAL7'!A:A,0)+2,3,4,1,"CAL7")),0)</f>
        <v>0</v>
      </c>
      <c r="AQ15" s="20" t="str">
        <f ca="1">IF(CALC2223!BE15&gt;0,INDIRECT(ADDRESS(MATCH(Agenda2526!C16,'CAL8'!A:A,0),2,4,1,"CAL8")),"")</f>
        <v/>
      </c>
      <c r="AR15" s="21">
        <f ca="1">IF(CALC2223!BE15&gt;0,INDIRECT(ADDRESS(MATCH(Agenda2526!C16,'CAL8'!A:A,0),3,4,1,"CAL8")),0)</f>
        <v>0</v>
      </c>
      <c r="AS15" s="20" t="str">
        <f ca="1">IF(CALC2223!BE15&gt;1,INDIRECT(ADDRESS(MATCH(Agenda2526!C16,'CAL8'!A:A,0)+1,2,4,1,"CAL8")),"")</f>
        <v/>
      </c>
      <c r="AT15" s="21">
        <f ca="1">IF(CALC2223!BE15&gt;1,INDIRECT(ADDRESS(MATCH(Agenda2526!C16,'CAL8'!A:A,0)+1,3,4,1,"CAL8")),0)</f>
        <v>0</v>
      </c>
      <c r="AU15" s="20" t="str">
        <f ca="1">IF(CALC2223!BE15&gt;2,INDIRECT(ADDRESS(MATCH(Agenda2526!C16,'CAL8'!A:A,0)+2,2,4,1,"CAL8")),"")</f>
        <v/>
      </c>
      <c r="AV15" s="21">
        <f ca="1">IF(CALC2223!BE15&gt;2,INDIRECT(ADDRESS(MATCH(Agenda2526!C16,'CAL8'!A:A,0)+2,3,4,1,"CAL8")),0)</f>
        <v>0</v>
      </c>
      <c r="AW15" s="106"/>
      <c r="AX15" s="20">
        <f>COUNTIF('CAL1'!A:A,Agenda2526!C16)</f>
        <v>0</v>
      </c>
      <c r="AY15" s="20">
        <f>COUNTIF('CAL2'!A:A,Agenda2526!C16)</f>
        <v>0</v>
      </c>
      <c r="AZ15" s="20">
        <f>COUNTIF('CAL3'!A:A,Agenda2526!C16)</f>
        <v>0</v>
      </c>
      <c r="BA15" s="20">
        <f>COUNTIF('CAL4'!A:A,Agenda2526!C16)</f>
        <v>0</v>
      </c>
      <c r="BB15" s="20">
        <f>COUNTIF('CAL5'!A:A,Agenda2526!C16)</f>
        <v>0</v>
      </c>
      <c r="BC15" s="20">
        <f>COUNTIF('CAL6'!A:A,Agenda2526!C16)</f>
        <v>0</v>
      </c>
      <c r="BD15" s="20">
        <f>COUNTIF('CAL7'!A:A,Agenda2526!C16)</f>
        <v>0</v>
      </c>
      <c r="BE15" s="20">
        <f>COUNTIF('CAL8'!A:A,Agenda2526!C16)</f>
        <v>0</v>
      </c>
    </row>
    <row r="16" spans="1:57" ht="15.75" customHeight="1">
      <c r="A16" s="20" t="str">
        <f ca="1">IF(CALC2223!AX16&gt;0,INDIRECT(ADDRESS(MATCH(Agenda2526!C17,'CAL1'!A:A,0),2,4,1,"CAL1")),"")</f>
        <v/>
      </c>
      <c r="B16" s="21">
        <f ca="1">IF(CALC2223!AX16&gt;0,INDIRECT(ADDRESS(MATCH(Agenda2526!C17,'CAL1'!A:A,0),3,4,1,"CAL1")),0)</f>
        <v>0</v>
      </c>
      <c r="C16" s="20" t="str">
        <f ca="1">IF(CALC2223!AX16&gt;1,INDIRECT(ADDRESS(MATCH(Agenda2526!C17,'CAL1'!A:A,0)+1,2,4,1,"CAL1")),"")</f>
        <v/>
      </c>
      <c r="D16" s="21">
        <f ca="1">IF(CALC2223!AX16&gt;1,INDIRECT(ADDRESS(MATCH(Agenda2526!C17,'CAL1'!A:A,0)+1,3,4,1,"CAL1")),0)</f>
        <v>0</v>
      </c>
      <c r="E16" s="20" t="str">
        <f ca="1">IF(CALC2223!AX16&gt;2,INDIRECT(ADDRESS(MATCH(Agenda2526!C17,'CAL1'!A:A,0)+2,2,4,1,"CAL1")),"")</f>
        <v/>
      </c>
      <c r="F16" s="21">
        <f ca="1">IF(CALC2223!AX16&gt;2,INDIRECT(ADDRESS(MATCH(Agenda2526!C17,'CAL1'!A:A,0)+2,3,4,1,"CAL1")),0)</f>
        <v>0</v>
      </c>
      <c r="G16" s="20" t="str">
        <f ca="1">IF(CALC2223!AY16&gt;0,INDIRECT(ADDRESS(MATCH(Agenda2526!C17,'CAL2'!A:A,0),2,4,1,"CAL2")),"")</f>
        <v/>
      </c>
      <c r="H16" s="21">
        <f ca="1">IF(CALC2223!AY16&gt;0,INDIRECT(ADDRESS(MATCH(Agenda2526!C17,'CAL2'!A:A,0),3,4,1,"CAL2")),0)</f>
        <v>0</v>
      </c>
      <c r="I16" s="20" t="str">
        <f ca="1">IF(CALC2223!AY16&gt;1,INDIRECT(ADDRESS(MATCH(Agenda2526!C17,'CAL2'!A:A,0)+1,2,4,1,"CAL2")),"")</f>
        <v/>
      </c>
      <c r="J16" s="21">
        <f ca="1">IF(CALC2223!AY16&gt;1,INDIRECT(ADDRESS(MATCH(Agenda2526!C17,'CAL2'!A:A,0)+1,3,4,1,"CAL2")),0)</f>
        <v>0</v>
      </c>
      <c r="K16" s="20" t="str">
        <f ca="1">IF(CALC2223!AY16&gt;2,INDIRECT(ADDRESS(MATCH(Agenda2526!C17,'CAL2'!A:A,0)+2,2,4,1,"CAL2")),"")</f>
        <v/>
      </c>
      <c r="L16" s="21">
        <f ca="1">IF(CALC2223!AY16&gt;2,INDIRECT(ADDRESS(MATCH(Agenda2526!C17,'CAL2'!A:A,0)+2,3,4,1,"CAL2")),0)</f>
        <v>0</v>
      </c>
      <c r="M16" s="20" t="str">
        <f ca="1">IF(CALC2223!AZ16&gt;0,INDIRECT(ADDRESS(MATCH(Agenda2526!C17,'CAL3'!A:A,0),2,4,1,"CAL3")),"")</f>
        <v/>
      </c>
      <c r="N16" s="21">
        <f ca="1">IF(CALC2223!AZ16&gt;0,INDIRECT(ADDRESS(MATCH(Agenda2526!C17,'CAL3'!A:A,0),3,4,1,"CAL3")),0)</f>
        <v>0</v>
      </c>
      <c r="O16" s="20" t="str">
        <f ca="1">IF(CALC2223!AZ16&gt;1,INDIRECT(ADDRESS(MATCH(Agenda2526!C17,'CAL3'!A:A,0)+1,2,4,1,"CAL3")),"")</f>
        <v/>
      </c>
      <c r="P16" s="21">
        <f ca="1">IF(CALC2223!AZ16&gt;1,INDIRECT(ADDRESS(MATCH(Agenda2526!C17,'CAL3'!A:A,0)+1,3,4,1,"CAL3")),0)</f>
        <v>0</v>
      </c>
      <c r="Q16" s="20" t="str">
        <f ca="1">IF(CALC2223!AZ16&gt;2,INDIRECT(ADDRESS(MATCH(Agenda2526!C17,'CAL3'!A:A,0)+2,2,4,1,"CAL3")),"")</f>
        <v/>
      </c>
      <c r="R16" s="21">
        <f ca="1">IF(CALC2223!AZ16&gt;2,INDIRECT(ADDRESS(MATCH(Agenda2526!C17,'CAL3'!A:A,0)+2,3,4,1,"CAL3")),0)</f>
        <v>0</v>
      </c>
      <c r="S16" s="20" t="str">
        <f ca="1">IF(CALC2223!BA16&gt;0,INDIRECT(ADDRESS(MATCH(Agenda2526!C17,'CAL4'!A:A,0),2,4,1,"CAL4")),"")</f>
        <v/>
      </c>
      <c r="T16" s="21">
        <f ca="1">IF(CALC2223!BA16&gt;0,INDIRECT(ADDRESS(MATCH(Agenda2526!C17,'CAL4'!A:A,0),3,4,1,"CAL4")),0)</f>
        <v>0</v>
      </c>
      <c r="U16" s="20" t="str">
        <f ca="1">IF(CALC2223!BA16&gt;1,INDIRECT(ADDRESS(MATCH(Agenda2526!C17,'CAL4'!A:A,0)+1,2,4,1,"CAL4")),"")</f>
        <v/>
      </c>
      <c r="V16" s="21">
        <f ca="1">IF(CALC2223!BA16&gt;1,INDIRECT(ADDRESS(MATCH(Agenda2526!C17,'CAL4'!A:A,0)+1,3,4,1,"CAL4")),0)</f>
        <v>0</v>
      </c>
      <c r="W16" s="20" t="str">
        <f ca="1">IF(CALC2223!BA16&gt;2,INDIRECT(ADDRESS(MATCH(Agenda2526!C17,'CAL4'!A:A,0)+2,2,4,1,"CAL4")),"")</f>
        <v/>
      </c>
      <c r="X16" s="21">
        <f ca="1">IF(CALC2223!BA16&gt;2,INDIRECT(ADDRESS(MATCH(Agenda2526!C17,'CAL4'!A:A,0)+2,3,4,1,"CAL4")),0)</f>
        <v>0</v>
      </c>
      <c r="Y16" s="20" t="str">
        <f ca="1">IF(CALC2223!BB16&gt;0,INDIRECT(ADDRESS(MATCH(Agenda2526!C17,'CAL5'!A:A,0),2,4,1,"CAL5")),"")</f>
        <v/>
      </c>
      <c r="Z16" s="21">
        <f ca="1">IF(CALC2223!BB16&gt;0,INDIRECT(ADDRESS(MATCH(Agenda2526!C17,'CAL5'!A:A,0),3,4,1,"CAL5")),0)</f>
        <v>0</v>
      </c>
      <c r="AA16" s="20" t="str">
        <f ca="1">IF(CALC2223!BB16&gt;1,INDIRECT(ADDRESS(MATCH(Agenda2526!C17,'CAL5'!A:A,0)+1,2,4,1,"CAL5")),"")</f>
        <v/>
      </c>
      <c r="AB16" s="21">
        <f ca="1">IF(CALC2223!BB16&gt;1,INDIRECT(ADDRESS(MATCH(Agenda2526!C17,'CAL5'!A:A,0)+1,3,4,1,"CAL5")),0)</f>
        <v>0</v>
      </c>
      <c r="AC16" s="20" t="str">
        <f ca="1">IF(CALC2223!BB16&gt;2,INDIRECT(ADDRESS(MATCH(Agenda2526!C17,'CAL5'!A:A,0)+2,2,4,1,"CAL5")),"")</f>
        <v/>
      </c>
      <c r="AD16" s="21">
        <f ca="1">IF(CALC2223!BB16&gt;2,INDIRECT(ADDRESS(MATCH(Agenda2526!C17,'CAL5'!A:A,0)+2,3,4,1,"CAL5")),0)</f>
        <v>0</v>
      </c>
      <c r="AE16" s="20" t="str">
        <f ca="1">IF(CALC2223!BC16&gt;0,INDIRECT(ADDRESS(MATCH(Agenda2526!C17,'CAL6'!A:A,0),2,4,1,"CAL6")),"")</f>
        <v/>
      </c>
      <c r="AF16" s="21">
        <f ca="1">IF(CALC2223!BC16&gt;0,INDIRECT(ADDRESS(MATCH(Agenda2526!C17,'CAL6'!A:A,0),3,4,1,"CAL6")),0)</f>
        <v>0</v>
      </c>
      <c r="AG16" s="20" t="str">
        <f ca="1">IF(CALC2223!BC16&gt;1,INDIRECT(ADDRESS(MATCH(Agenda2526!C17,'CAL6'!A:A,0)+1,2,4,1,"CAL6")),"")</f>
        <v/>
      </c>
      <c r="AH16" s="21">
        <f ca="1">IF(CALC2223!BC16&gt;1,INDIRECT(ADDRESS(MATCH(Agenda2526!C17,'CAL6'!A:A,0)+1,3,4,1,"CAL6")),0)</f>
        <v>0</v>
      </c>
      <c r="AI16" s="20" t="str">
        <f ca="1">IF(CALC2223!BC16&gt;2,INDIRECT(ADDRESS(MATCH(Agenda2526!C17,'CAL6'!A:A,0)+2,2,4,1,"CAL6")),"")</f>
        <v/>
      </c>
      <c r="AJ16" s="21">
        <f ca="1">IF(CALC2223!BC16&gt;2,INDIRECT(ADDRESS(MATCH(Agenda2526!C17,'CAL6'!A:A,0)+2,3,4,1,"CAL6")),0)</f>
        <v>0</v>
      </c>
      <c r="AK16" s="20" t="str">
        <f ca="1">IF(CALC2223!BD16&gt;0,INDIRECT(ADDRESS(MATCH(Agenda2526!C17,'CAL7'!A:A,0),2,4,1,"CAL7")),"")</f>
        <v/>
      </c>
      <c r="AL16" s="21">
        <f ca="1">IF(CALC2223!BD16&gt;0,INDIRECT(ADDRESS(MATCH(Agenda2526!C17,'CAL7'!A:A,0),3,4,1,"CAL7")),0)</f>
        <v>0</v>
      </c>
      <c r="AM16" s="20" t="str">
        <f ca="1">IF(CALC2223!BD16&gt;1,INDIRECT(ADDRESS(MATCH(Agenda2526!C17,'CAL7'!A:A,0)+1,2,4,1,"CAL7")),"")</f>
        <v/>
      </c>
      <c r="AN16" s="21">
        <f ca="1">IF(CALC2223!BD16&gt;1,INDIRECT(ADDRESS(MATCH(Agenda2526!C17,'CAL7'!A:A,0)+1,3,4,1,"CAL7")),0)</f>
        <v>0</v>
      </c>
      <c r="AO16" s="20" t="str">
        <f ca="1">IF(CALC2223!BD16&gt;2,INDIRECT(ADDRESS(MATCH(Agenda2526!C17,'CAL7'!A:A,0)+2,2,4,1,"CAL7")),"")</f>
        <v/>
      </c>
      <c r="AP16" s="21">
        <f ca="1">IF(CALC2223!BD16&gt;2,INDIRECT(ADDRESS(MATCH(Agenda2526!C17,'CAL7'!A:A,0)+2,3,4,1,"CAL7")),0)</f>
        <v>0</v>
      </c>
      <c r="AQ16" s="20" t="str">
        <f ca="1">IF(CALC2223!BE16&gt;0,INDIRECT(ADDRESS(MATCH(Agenda2526!C17,'CAL8'!A:A,0),2,4,1,"CAL8")),"")</f>
        <v/>
      </c>
      <c r="AR16" s="21">
        <f ca="1">IF(CALC2223!BE16&gt;0,INDIRECT(ADDRESS(MATCH(Agenda2526!C17,'CAL8'!A:A,0),3,4,1,"CAL8")),0)</f>
        <v>0</v>
      </c>
      <c r="AS16" s="20" t="str">
        <f ca="1">IF(CALC2223!BE16&gt;1,INDIRECT(ADDRESS(MATCH(Agenda2526!C17,'CAL8'!A:A,0)+1,2,4,1,"CAL8")),"")</f>
        <v/>
      </c>
      <c r="AT16" s="21">
        <f ca="1">IF(CALC2223!BE16&gt;1,INDIRECT(ADDRESS(MATCH(Agenda2526!C17,'CAL8'!A:A,0)+1,3,4,1,"CAL8")),0)</f>
        <v>0</v>
      </c>
      <c r="AU16" s="20" t="str">
        <f ca="1">IF(CALC2223!BE16&gt;2,INDIRECT(ADDRESS(MATCH(Agenda2526!C17,'CAL8'!A:A,0)+2,2,4,1,"CAL8")),"")</f>
        <v/>
      </c>
      <c r="AV16" s="21">
        <f ca="1">IF(CALC2223!BE16&gt;2,INDIRECT(ADDRESS(MATCH(Agenda2526!C17,'CAL8'!A:A,0)+2,3,4,1,"CAL8")),0)</f>
        <v>0</v>
      </c>
      <c r="AW16" s="105"/>
      <c r="AX16" s="20">
        <f>COUNTIF('CAL1'!A:A,Agenda2526!C17)</f>
        <v>0</v>
      </c>
      <c r="AY16" s="20">
        <f>COUNTIF('CAL2'!A:A,Agenda2526!C17)</f>
        <v>0</v>
      </c>
      <c r="AZ16" s="20">
        <f>COUNTIF('CAL3'!A:A,Agenda2526!C17)</f>
        <v>0</v>
      </c>
      <c r="BA16" s="20">
        <f>COUNTIF('CAL4'!A:A,Agenda2526!C17)</f>
        <v>0</v>
      </c>
      <c r="BB16" s="20">
        <f>COUNTIF('CAL5'!A:A,Agenda2526!C17)</f>
        <v>0</v>
      </c>
      <c r="BC16" s="20">
        <f>COUNTIF('CAL6'!A:A,Agenda2526!C17)</f>
        <v>0</v>
      </c>
      <c r="BD16" s="20">
        <f>COUNTIF('CAL7'!A:A,Agenda2526!C17)</f>
        <v>0</v>
      </c>
      <c r="BE16" s="20">
        <f>COUNTIF('CAL8'!A:A,Agenda2526!C17)</f>
        <v>0</v>
      </c>
    </row>
    <row r="17" spans="1:57" ht="15.75" customHeight="1">
      <c r="A17" s="20" t="str">
        <f ca="1">IF(CALC2223!AX17&gt;0,INDIRECT(ADDRESS(MATCH(Agenda2526!C18,'CAL1'!A:A,0),2,4,1,"CAL1")),"")</f>
        <v>BKK ABCD</v>
      </c>
      <c r="B17" s="21">
        <f ca="1">IF(CALC2223!AX17&gt;0,INDIRECT(ADDRESS(MATCH(Agenda2526!C18,'CAL1'!A:A,0),3,4,1,"CAL1")),0)</f>
        <v>45896</v>
      </c>
      <c r="C17" s="20" t="str">
        <f ca="1">IF(CALC2223!AX17&gt;1,INDIRECT(ADDRESS(MATCH(Agenda2526!C18,'CAL1'!A:A,0)+1,2,4,1,"CAL1")),"")</f>
        <v/>
      </c>
      <c r="D17" s="21">
        <f ca="1">IF(CALC2223!AX17&gt;1,INDIRECT(ADDRESS(MATCH(Agenda2526!C18,'CAL1'!A:A,0)+1,3,4,1,"CAL1")),0)</f>
        <v>0</v>
      </c>
      <c r="E17" s="20" t="str">
        <f ca="1">IF(CALC2223!AX17&gt;2,INDIRECT(ADDRESS(MATCH(Agenda2526!C18,'CAL1'!A:A,0)+2,2,4,1,"CAL1")),"")</f>
        <v/>
      </c>
      <c r="F17" s="21">
        <f ca="1">IF(CALC2223!AX17&gt;2,INDIRECT(ADDRESS(MATCH(Agenda2526!C18,'CAL1'!A:A,0)+2,3,4,1,"CAL1")),0)</f>
        <v>0</v>
      </c>
      <c r="G17" s="20" t="str">
        <f ca="1">IF(CALC2223!AY17&gt;0,INDIRECT(ADDRESS(MATCH(Agenda2526!C18,'CAL2'!A:A,0),2,4,1,"CAL2")),"")</f>
        <v/>
      </c>
      <c r="H17" s="21">
        <f ca="1">IF(CALC2223!AY17&gt;0,INDIRECT(ADDRESS(MATCH(Agenda2526!C18,'CAL2'!A:A,0),3,4,1,"CAL2")),0)</f>
        <v>0</v>
      </c>
      <c r="I17" s="20" t="str">
        <f ca="1">IF(CALC2223!AY17&gt;1,INDIRECT(ADDRESS(MATCH(Agenda2526!C18,'CAL2'!A:A,0)+1,2,4,1,"CAL2")),"")</f>
        <v/>
      </c>
      <c r="J17" s="21">
        <f ca="1">IF(CALC2223!AY17&gt;1,INDIRECT(ADDRESS(MATCH(Agenda2526!C18,'CAL2'!A:A,0)+1,3,4,1,"CAL2")),0)</f>
        <v>0</v>
      </c>
      <c r="K17" s="20" t="str">
        <f ca="1">IF(CALC2223!AY17&gt;2,INDIRECT(ADDRESS(MATCH(Agenda2526!C18,'CAL2'!A:A,0)+2,2,4,1,"CAL2")),"")</f>
        <v/>
      </c>
      <c r="L17" s="21">
        <f ca="1">IF(CALC2223!AY17&gt;2,INDIRECT(ADDRESS(MATCH(Agenda2526!C18,'CAL2'!A:A,0)+2,3,4,1,"CAL2")),0)</f>
        <v>0</v>
      </c>
      <c r="M17" s="20" t="str">
        <f ca="1">IF(CALC2223!AZ17&gt;0,INDIRECT(ADDRESS(MATCH(Agenda2526!C18,'CAL3'!A:A,0),2,4,1,"CAL3")),"")</f>
        <v>Team Ollie</v>
      </c>
      <c r="N17" s="21">
        <f ca="1">IF(CALC2223!AZ17&gt;0,INDIRECT(ADDRESS(MATCH(Agenda2526!C18,'CAL3'!A:A,0),3,4,1,"CAL3")),0)</f>
        <v>45916</v>
      </c>
      <c r="O17" s="20" t="str">
        <f ca="1">IF(CALC2223!AZ17&gt;1,INDIRECT(ADDRESS(MATCH(Agenda2526!C18,'CAL3'!A:A,0)+1,2,4,1,"CAL3")),"")</f>
        <v/>
      </c>
      <c r="P17" s="21">
        <f ca="1">IF(CALC2223!AZ17&gt;1,INDIRECT(ADDRESS(MATCH(Agenda2526!C18,'CAL3'!A:A,0)+1,3,4,1,"CAL3")),0)</f>
        <v>0</v>
      </c>
      <c r="Q17" s="20" t="str">
        <f ca="1">IF(CALC2223!AZ17&gt;2,INDIRECT(ADDRESS(MATCH(Agenda2526!C18,'CAL3'!A:A,0)+2,2,4,1,"CAL3")),"")</f>
        <v/>
      </c>
      <c r="R17" s="21">
        <f ca="1">IF(CALC2223!AZ17&gt;2,INDIRECT(ADDRESS(MATCH(Agenda2526!C18,'CAL3'!A:A,0)+2,3,4,1,"CAL3")),0)</f>
        <v>0</v>
      </c>
      <c r="S17" s="20" t="str">
        <f ca="1">IF(CALC2223!BA17&gt;0,INDIRECT(ADDRESS(MATCH(Agenda2526!C18,'CAL4'!A:A,0),2,4,1,"CAL4")),"")</f>
        <v/>
      </c>
      <c r="T17" s="21">
        <f ca="1">IF(CALC2223!BA17&gt;0,INDIRECT(ADDRESS(MATCH(Agenda2526!C18,'CAL4'!A:A,0),3,4,1,"CAL4")),0)</f>
        <v>0</v>
      </c>
      <c r="U17" s="20" t="str">
        <f ca="1">IF(CALC2223!BA17&gt;1,INDIRECT(ADDRESS(MATCH(Agenda2526!C18,'CAL4'!A:A,0)+1,2,4,1,"CAL4")),"")</f>
        <v/>
      </c>
      <c r="V17" s="21">
        <f ca="1">IF(CALC2223!BA17&gt;1,INDIRECT(ADDRESS(MATCH(Agenda2526!C18,'CAL4'!A:A,0)+1,3,4,1,"CAL4")),0)</f>
        <v>0</v>
      </c>
      <c r="W17" s="20" t="str">
        <f ca="1">IF(CALC2223!BA17&gt;2,INDIRECT(ADDRESS(MATCH(Agenda2526!C18,'CAL4'!A:A,0)+2,2,4,1,"CAL4")),"")</f>
        <v/>
      </c>
      <c r="X17" s="21">
        <f ca="1">IF(CALC2223!BA17&gt;2,INDIRECT(ADDRESS(MATCH(Agenda2526!C18,'CAL4'!A:A,0)+2,3,4,1,"CAL4")),0)</f>
        <v>0</v>
      </c>
      <c r="Y17" s="20" t="str">
        <f ca="1">IF(CALC2223!BB17&gt;0,INDIRECT(ADDRESS(MATCH(Agenda2526!C18,'CAL5'!A:A,0),2,4,1,"CAL5")),"")</f>
        <v/>
      </c>
      <c r="Z17" s="21">
        <f ca="1">IF(CALC2223!BB17&gt;0,INDIRECT(ADDRESS(MATCH(Agenda2526!C18,'CAL5'!A:A,0),3,4,1,"CAL5")),0)</f>
        <v>0</v>
      </c>
      <c r="AA17" s="20" t="str">
        <f ca="1">IF(CALC2223!BB17&gt;1,INDIRECT(ADDRESS(MATCH(Agenda2526!C18,'CAL5'!A:A,0)+1,2,4,1,"CAL5")),"")</f>
        <v/>
      </c>
      <c r="AB17" s="21">
        <f ca="1">IF(CALC2223!BB17&gt;1,INDIRECT(ADDRESS(MATCH(Agenda2526!C18,'CAL5'!A:A,0)+1,3,4,1,"CAL5")),0)</f>
        <v>0</v>
      </c>
      <c r="AC17" s="20" t="str">
        <f ca="1">IF(CALC2223!BB17&gt;2,INDIRECT(ADDRESS(MATCH(Agenda2526!C18,'CAL5'!A:A,0)+2,2,4,1,"CAL5")),"")</f>
        <v/>
      </c>
      <c r="AD17" s="21">
        <f ca="1">IF(CALC2223!BB17&gt;2,INDIRECT(ADDRESS(MATCH(Agenda2526!C18,'CAL5'!A:A,0)+2,3,4,1,"CAL5")),0)</f>
        <v>0</v>
      </c>
      <c r="AE17" s="20" t="str">
        <f ca="1">IF(CALC2223!BC17&gt;0,INDIRECT(ADDRESS(MATCH(Agenda2526!C18,'CAL6'!A:A,0),2,4,1,"CAL6")),"")</f>
        <v/>
      </c>
      <c r="AF17" s="21">
        <f ca="1">IF(CALC2223!BC17&gt;0,INDIRECT(ADDRESS(MATCH(Agenda2526!C18,'CAL6'!A:A,0),3,4,1,"CAL6")),0)</f>
        <v>0</v>
      </c>
      <c r="AG17" s="20" t="str">
        <f ca="1">IF(CALC2223!BC17&gt;1,INDIRECT(ADDRESS(MATCH(Agenda2526!C18,'CAL6'!A:A,0)+1,2,4,1,"CAL6")),"")</f>
        <v/>
      </c>
      <c r="AH17" s="21">
        <f ca="1">IF(CALC2223!BC17&gt;1,INDIRECT(ADDRESS(MATCH(Agenda2526!C18,'CAL6'!A:A,0)+1,3,4,1,"CAL6")),0)</f>
        <v>0</v>
      </c>
      <c r="AI17" s="20" t="str">
        <f ca="1">IF(CALC2223!BC17&gt;2,INDIRECT(ADDRESS(MATCH(Agenda2526!C18,'CAL6'!A:A,0)+2,2,4,1,"CAL6")),"")</f>
        <v/>
      </c>
      <c r="AJ17" s="21">
        <f ca="1">IF(CALC2223!BC17&gt;2,INDIRECT(ADDRESS(MATCH(Agenda2526!C18,'CAL6'!A:A,0)+2,3,4,1,"CAL6")),0)</f>
        <v>0</v>
      </c>
      <c r="AK17" s="20" t="str">
        <f ca="1">IF(CALC2223!BD17&gt;0,INDIRECT(ADDRESS(MATCH(Agenda2526!C18,'CAL7'!A:A,0),2,4,1,"CAL7")),"")</f>
        <v/>
      </c>
      <c r="AL17" s="21">
        <f ca="1">IF(CALC2223!BD17&gt;0,INDIRECT(ADDRESS(MATCH(Agenda2526!C18,'CAL7'!A:A,0),3,4,1,"CAL7")),0)</f>
        <v>0</v>
      </c>
      <c r="AM17" s="20" t="str">
        <f ca="1">IF(CALC2223!BD17&gt;1,INDIRECT(ADDRESS(MATCH(Agenda2526!C18,'CAL7'!A:A,0)+1,2,4,1,"CAL7")),"")</f>
        <v/>
      </c>
      <c r="AN17" s="21">
        <f ca="1">IF(CALC2223!BD17&gt;1,INDIRECT(ADDRESS(MATCH(Agenda2526!C18,'CAL7'!A:A,0)+1,3,4,1,"CAL7")),0)</f>
        <v>0</v>
      </c>
      <c r="AO17" s="20" t="str">
        <f ca="1">IF(CALC2223!BD17&gt;2,INDIRECT(ADDRESS(MATCH(Agenda2526!C18,'CAL7'!A:A,0)+2,2,4,1,"CAL7")),"")</f>
        <v/>
      </c>
      <c r="AP17" s="21">
        <f ca="1">IF(CALC2223!BD17&gt;2,INDIRECT(ADDRESS(MATCH(Agenda2526!C18,'CAL7'!A:A,0)+2,3,4,1,"CAL7")),0)</f>
        <v>0</v>
      </c>
      <c r="AQ17" s="20" t="str">
        <f ca="1">IF(CALC2223!BE17&gt;0,INDIRECT(ADDRESS(MATCH(Agenda2526!C18,'CAL8'!A:A,0),2,4,1,"CAL8")),"")</f>
        <v/>
      </c>
      <c r="AR17" s="21">
        <f ca="1">IF(CALC2223!BE17&gt;0,INDIRECT(ADDRESS(MATCH(Agenda2526!C18,'CAL8'!A:A,0),3,4,1,"CAL8")),0)</f>
        <v>0</v>
      </c>
      <c r="AS17" s="20" t="str">
        <f ca="1">IF(CALC2223!BE17&gt;1,INDIRECT(ADDRESS(MATCH(Agenda2526!C18,'CAL8'!A:A,0)+1,2,4,1,"CAL8")),"")</f>
        <v/>
      </c>
      <c r="AT17" s="21">
        <f ca="1">IF(CALC2223!BE17&gt;1,INDIRECT(ADDRESS(MATCH(Agenda2526!C18,'CAL8'!A:A,0)+1,3,4,1,"CAL8")),0)</f>
        <v>0</v>
      </c>
      <c r="AU17" s="20" t="str">
        <f ca="1">IF(CALC2223!BE17&gt;2,INDIRECT(ADDRESS(MATCH(Agenda2526!C18,'CAL8'!A:A,0)+2,2,4,1,"CAL8")),"")</f>
        <v/>
      </c>
      <c r="AV17" s="21">
        <f ca="1">IF(CALC2223!BE17&gt;2,INDIRECT(ADDRESS(MATCH(Agenda2526!C18,'CAL8'!A:A,0)+2,3,4,1,"CAL8")),0)</f>
        <v>0</v>
      </c>
      <c r="AW17" s="105"/>
      <c r="AX17" s="20">
        <f>COUNTIF('CAL1'!A:A,Agenda2526!C18)</f>
        <v>1</v>
      </c>
      <c r="AY17" s="20">
        <f>COUNTIF('CAL2'!A:A,Agenda2526!C18)</f>
        <v>0</v>
      </c>
      <c r="AZ17" s="20">
        <f>COUNTIF('CAL3'!A:A,Agenda2526!C18)</f>
        <v>1</v>
      </c>
      <c r="BA17" s="20">
        <f>COUNTIF('CAL4'!A:A,Agenda2526!C18)</f>
        <v>0</v>
      </c>
      <c r="BB17" s="20">
        <f>COUNTIF('CAL5'!A:A,Agenda2526!C18)</f>
        <v>0</v>
      </c>
      <c r="BC17" s="20">
        <f>COUNTIF('CAL6'!A:A,Agenda2526!C18)</f>
        <v>0</v>
      </c>
      <c r="BD17" s="20">
        <f>COUNTIF('CAL7'!A:A,Agenda2526!C18)</f>
        <v>0</v>
      </c>
      <c r="BE17" s="20">
        <f>COUNTIF('CAL8'!A:A,Agenda2526!C18)</f>
        <v>0</v>
      </c>
    </row>
    <row r="18" spans="1:57" ht="15.75" customHeight="1">
      <c r="A18" s="20" t="str">
        <f ca="1">IF(CALC2223!AX18&gt;0,INDIRECT(ADDRESS(MATCH(Agenda2526!C19,'CAL1'!A:A,0),2,4,1,"CAL1")),"")</f>
        <v>BKK ABCD</v>
      </c>
      <c r="B18" s="21">
        <f ca="1">IF(CALC2223!AX18&gt;0,INDIRECT(ADDRESS(MATCH(Agenda2526!C19,'CAL1'!A:A,0),3,4,1,"CAL1")),0)</f>
        <v>45896</v>
      </c>
      <c r="C18" s="20" t="str">
        <f ca="1">IF(CALC2223!AX18&gt;1,INDIRECT(ADDRESS(MATCH(Agenda2526!C19,'CAL1'!A:A,0)+1,2,4,1,"CAL1")),"")</f>
        <v/>
      </c>
      <c r="D18" s="21">
        <f ca="1">IF(CALC2223!AX18&gt;1,INDIRECT(ADDRESS(MATCH(Agenda2526!C19,'CAL1'!A:A,0)+1,3,4,1,"CAL1")),0)</f>
        <v>0</v>
      </c>
      <c r="E18" s="20" t="str">
        <f ca="1">IF(CALC2223!AX18&gt;2,INDIRECT(ADDRESS(MATCH(Agenda2526!C19,'CAL1'!A:A,0)+2,2,4,1,"CAL1")),"")</f>
        <v/>
      </c>
      <c r="F18" s="21">
        <f ca="1">IF(CALC2223!AX18&gt;2,INDIRECT(ADDRESS(MATCH(Agenda2526!C19,'CAL1'!A:A,0)+2,3,4,1,"CAL1")),0)</f>
        <v>0</v>
      </c>
      <c r="G18" s="20" t="str">
        <f ca="1">IF(CALC2223!AY18&gt;0,INDIRECT(ADDRESS(MATCH(Agenda2526!C19,'CAL2'!A:A,0),2,4,1,"CAL2")),"")</f>
        <v/>
      </c>
      <c r="H18" s="21">
        <f ca="1">IF(CALC2223!AY18&gt;0,INDIRECT(ADDRESS(MATCH(Agenda2526!C19,'CAL2'!A:A,0),3,4,1,"CAL2")),0)</f>
        <v>0</v>
      </c>
      <c r="I18" s="20" t="str">
        <f ca="1">IF(CALC2223!AY18&gt;1,INDIRECT(ADDRESS(MATCH(Agenda2526!C19,'CAL2'!A:A,0)+1,2,4,1,"CAL2")),"")</f>
        <v/>
      </c>
      <c r="J18" s="21">
        <f ca="1">IF(CALC2223!AY18&gt;1,INDIRECT(ADDRESS(MATCH(Agenda2526!C19,'CAL2'!A:A,0)+1,3,4,1,"CAL2")),0)</f>
        <v>0</v>
      </c>
      <c r="K18" s="20" t="str">
        <f ca="1">IF(CALC2223!AY18&gt;2,INDIRECT(ADDRESS(MATCH(Agenda2526!C19,'CAL2'!A:A,0)+2,2,4,1,"CAL2")),"")</f>
        <v/>
      </c>
      <c r="L18" s="21">
        <f ca="1">IF(CALC2223!AY18&gt;2,INDIRECT(ADDRESS(MATCH(Agenda2526!C19,'CAL2'!A:A,0)+2,3,4,1,"CAL2")),0)</f>
        <v>0</v>
      </c>
      <c r="M18" s="20" t="str">
        <f ca="1">IF(CALC2223!AZ18&gt;0,INDIRECT(ADDRESS(MATCH(Agenda2526!C19,'CAL3'!A:A,0),2,4,1,"CAL3")),"")</f>
        <v/>
      </c>
      <c r="N18" s="21">
        <f ca="1">IF(CALC2223!AZ18&gt;0,INDIRECT(ADDRESS(MATCH(Agenda2526!C19,'CAL3'!A:A,0),3,4,1,"CAL3")),0)</f>
        <v>0</v>
      </c>
      <c r="O18" s="20" t="str">
        <f ca="1">IF(CALC2223!AZ18&gt;1,INDIRECT(ADDRESS(MATCH(Agenda2526!C19,'CAL3'!A:A,0)+1,2,4,1,"CAL3")),"")</f>
        <v/>
      </c>
      <c r="P18" s="21">
        <f ca="1">IF(CALC2223!AZ18&gt;1,INDIRECT(ADDRESS(MATCH(Agenda2526!C19,'CAL3'!A:A,0)+1,3,4,1,"CAL3")),0)</f>
        <v>0</v>
      </c>
      <c r="Q18" s="20" t="str">
        <f ca="1">IF(CALC2223!AZ18&gt;2,INDIRECT(ADDRESS(MATCH(Agenda2526!C19,'CAL3'!A:A,0)+2,2,4,1,"CAL3")),"")</f>
        <v/>
      </c>
      <c r="R18" s="21">
        <f ca="1">IF(CALC2223!AZ18&gt;2,INDIRECT(ADDRESS(MATCH(Agenda2526!C19,'CAL3'!A:A,0)+2,3,4,1,"CAL3")),0)</f>
        <v>0</v>
      </c>
      <c r="S18" s="20" t="str">
        <f ca="1">IF(CALC2223!BA18&gt;0,INDIRECT(ADDRESS(MATCH(Agenda2526!C19,'CAL4'!A:A,0),2,4,1,"CAL4")),"")</f>
        <v/>
      </c>
      <c r="T18" s="21">
        <f ca="1">IF(CALC2223!BA18&gt;0,INDIRECT(ADDRESS(MATCH(Agenda2526!C19,'CAL4'!A:A,0),3,4,1,"CAL4")),0)</f>
        <v>0</v>
      </c>
      <c r="U18" s="20" t="str">
        <f ca="1">IF(CALC2223!BA18&gt;1,INDIRECT(ADDRESS(MATCH(Agenda2526!C19,'CAL4'!A:A,0)+1,2,4,1,"CAL4")),"")</f>
        <v/>
      </c>
      <c r="V18" s="21">
        <f ca="1">IF(CALC2223!BA18&gt;1,INDIRECT(ADDRESS(MATCH(Agenda2526!C19,'CAL4'!A:A,0)+1,3,4,1,"CAL4")),0)</f>
        <v>0</v>
      </c>
      <c r="W18" s="20" t="str">
        <f ca="1">IF(CALC2223!BA18&gt;2,INDIRECT(ADDRESS(MATCH(Agenda2526!C19,'CAL4'!A:A,0)+2,2,4,1,"CAL4")),"")</f>
        <v/>
      </c>
      <c r="X18" s="21">
        <f ca="1">IF(CALC2223!BA18&gt;2,INDIRECT(ADDRESS(MATCH(Agenda2526!C19,'CAL4'!A:A,0)+2,3,4,1,"CAL4")),0)</f>
        <v>0</v>
      </c>
      <c r="Y18" s="20" t="str">
        <f ca="1">IF(CALC2223!BB18&gt;0,INDIRECT(ADDRESS(MATCH(Agenda2526!C19,'CAL5'!A:A,0),2,4,1,"CAL5")),"")</f>
        <v>herkansen ANW</v>
      </c>
      <c r="Z18" s="21">
        <f ca="1">IF(CALC2223!BB18&gt;0,INDIRECT(ADDRESS(MATCH(Agenda2526!C19,'CAL5'!A:A,0),3,4,1,"CAL5")),0)</f>
        <v>45896</v>
      </c>
      <c r="AA18" s="20" t="str">
        <f ca="1">IF(CALC2223!BB18&gt;1,INDIRECT(ADDRESS(MATCH(Agenda2526!C19,'CAL5'!A:A,0)+1,2,4,1,"CAL5")),"")</f>
        <v/>
      </c>
      <c r="AB18" s="21">
        <f ca="1">IF(CALC2223!BB18&gt;1,INDIRECT(ADDRESS(MATCH(Agenda2526!C19,'CAL5'!A:A,0)+1,3,4,1,"CAL5")),0)</f>
        <v>0</v>
      </c>
      <c r="AC18" s="20" t="str">
        <f ca="1">IF(CALC2223!BB18&gt;2,INDIRECT(ADDRESS(MATCH(Agenda2526!C19,'CAL5'!A:A,0)+2,2,4,1,"CAL5")),"")</f>
        <v/>
      </c>
      <c r="AD18" s="21">
        <f ca="1">IF(CALC2223!BB18&gt;2,INDIRECT(ADDRESS(MATCH(Agenda2526!C19,'CAL5'!A:A,0)+2,3,4,1,"CAL5")),0)</f>
        <v>0</v>
      </c>
      <c r="AE18" s="20" t="str">
        <f ca="1">IF(CALC2223!BC18&gt;0,INDIRECT(ADDRESS(MATCH(Agenda2526!C19,'CAL6'!A:A,0),2,4,1,"CAL6")),"")</f>
        <v/>
      </c>
      <c r="AF18" s="21">
        <f ca="1">IF(CALC2223!BC18&gt;0,INDIRECT(ADDRESS(MATCH(Agenda2526!C19,'CAL6'!A:A,0),3,4,1,"CAL6")),0)</f>
        <v>0</v>
      </c>
      <c r="AG18" s="20" t="str">
        <f ca="1">IF(CALC2223!BC18&gt;1,INDIRECT(ADDRESS(MATCH(Agenda2526!C19,'CAL6'!A:A,0)+1,2,4,1,"CAL6")),"")</f>
        <v/>
      </c>
      <c r="AH18" s="21">
        <f ca="1">IF(CALC2223!BC18&gt;1,INDIRECT(ADDRESS(MATCH(Agenda2526!C19,'CAL6'!A:A,0)+1,3,4,1,"CAL6")),0)</f>
        <v>0</v>
      </c>
      <c r="AI18" s="20" t="str">
        <f ca="1">IF(CALC2223!BC18&gt;2,INDIRECT(ADDRESS(MATCH(Agenda2526!C19,'CAL6'!A:A,0)+2,2,4,1,"CAL6")),"")</f>
        <v/>
      </c>
      <c r="AJ18" s="21">
        <f ca="1">IF(CALC2223!BC18&gt;2,INDIRECT(ADDRESS(MATCH(Agenda2526!C19,'CAL6'!A:A,0)+2,3,4,1,"CAL6")),0)</f>
        <v>0</v>
      </c>
      <c r="AK18" s="20" t="str">
        <f ca="1">IF(CALC2223!BD18&gt;0,INDIRECT(ADDRESS(MATCH(Agenda2526!C19,'CAL7'!A:A,0),2,4,1,"CAL7")),"")</f>
        <v/>
      </c>
      <c r="AL18" s="21">
        <f ca="1">IF(CALC2223!BD18&gt;0,INDIRECT(ADDRESS(MATCH(Agenda2526!C19,'CAL7'!A:A,0),3,4,1,"CAL7")),0)</f>
        <v>0</v>
      </c>
      <c r="AM18" s="20" t="str">
        <f ca="1">IF(CALC2223!BD18&gt;1,INDIRECT(ADDRESS(MATCH(Agenda2526!C19,'CAL7'!A:A,0)+1,2,4,1,"CAL7")),"")</f>
        <v/>
      </c>
      <c r="AN18" s="21">
        <f ca="1">IF(CALC2223!BD18&gt;1,INDIRECT(ADDRESS(MATCH(Agenda2526!C19,'CAL7'!A:A,0)+1,3,4,1,"CAL7")),0)</f>
        <v>0</v>
      </c>
      <c r="AO18" s="20" t="str">
        <f ca="1">IF(CALC2223!BD18&gt;2,INDIRECT(ADDRESS(MATCH(Agenda2526!C19,'CAL7'!A:A,0)+2,2,4,1,"CAL7")),"")</f>
        <v/>
      </c>
      <c r="AP18" s="21">
        <f ca="1">IF(CALC2223!BD18&gt;2,INDIRECT(ADDRESS(MATCH(Agenda2526!C19,'CAL7'!A:A,0)+2,3,4,1,"CAL7")),0)</f>
        <v>0</v>
      </c>
      <c r="AQ18" s="20" t="str">
        <f ca="1">IF(CALC2223!BE18&gt;0,INDIRECT(ADDRESS(MATCH(Agenda2526!C19,'CAL8'!A:A,0),2,4,1,"CAL8")),"")</f>
        <v/>
      </c>
      <c r="AR18" s="21">
        <f ca="1">IF(CALC2223!BE18&gt;0,INDIRECT(ADDRESS(MATCH(Agenda2526!C19,'CAL8'!A:A,0),3,4,1,"CAL8")),0)</f>
        <v>0</v>
      </c>
      <c r="AS18" s="20" t="str">
        <f ca="1">IF(CALC2223!BE18&gt;1,INDIRECT(ADDRESS(MATCH(Agenda2526!C19,'CAL8'!A:A,0)+1,2,4,1,"CAL8")),"")</f>
        <v/>
      </c>
      <c r="AT18" s="21">
        <f ca="1">IF(CALC2223!BE18&gt;1,INDIRECT(ADDRESS(MATCH(Agenda2526!C19,'CAL8'!A:A,0)+1,3,4,1,"CAL8")),0)</f>
        <v>0</v>
      </c>
      <c r="AU18" s="20" t="str">
        <f ca="1">IF(CALC2223!BE18&gt;2,INDIRECT(ADDRESS(MATCH(Agenda2526!C19,'CAL8'!A:A,0)+2,2,4,1,"CAL8")),"")</f>
        <v/>
      </c>
      <c r="AV18" s="21">
        <f ca="1">IF(CALC2223!BE18&gt;2,INDIRECT(ADDRESS(MATCH(Agenda2526!C19,'CAL8'!A:A,0)+2,3,4,1,"CAL8")),0)</f>
        <v>0</v>
      </c>
      <c r="AW18" s="105"/>
      <c r="AX18" s="20">
        <f>COUNTIF('CAL1'!A:A,Agenda2526!C19)</f>
        <v>1</v>
      </c>
      <c r="AY18" s="20">
        <f>COUNTIF('CAL2'!A:A,Agenda2526!C19)</f>
        <v>0</v>
      </c>
      <c r="AZ18" s="20">
        <f>COUNTIF('CAL3'!A:A,Agenda2526!C19)</f>
        <v>0</v>
      </c>
      <c r="BA18" s="20">
        <f>COUNTIF('CAL4'!A:A,Agenda2526!C19)</f>
        <v>0</v>
      </c>
      <c r="BB18" s="20">
        <f>COUNTIF('CAL5'!A:A,Agenda2526!C19)</f>
        <v>1</v>
      </c>
      <c r="BC18" s="20">
        <f>COUNTIF('CAL6'!A:A,Agenda2526!C19)</f>
        <v>0</v>
      </c>
      <c r="BD18" s="20">
        <f>COUNTIF('CAL7'!A:A,Agenda2526!C19)</f>
        <v>0</v>
      </c>
      <c r="BE18" s="20">
        <f>COUNTIF('CAL8'!A:A,Agenda2526!C19)</f>
        <v>0</v>
      </c>
    </row>
    <row r="19" spans="1:57" ht="15.75" customHeight="1">
      <c r="A19" s="20" t="str">
        <f ca="1">IF(CALC2223!AX19&gt;0,INDIRECT(ADDRESS(MATCH(Agenda2526!C20,'CAL1'!A:A,0),2,4,1,"CAL1")),"")</f>
        <v>BKK ABCD</v>
      </c>
      <c r="B19" s="21">
        <f ca="1">IF(CALC2223!AX19&gt;0,INDIRECT(ADDRESS(MATCH(Agenda2526!C20,'CAL1'!A:A,0),3,4,1,"CAL1")),0)</f>
        <v>45896</v>
      </c>
      <c r="C19" s="20" t="str">
        <f ca="1">IF(CALC2223!AX19&gt;1,INDIRECT(ADDRESS(MATCH(Agenda2526!C20,'CAL1'!A:A,0)+1,2,4,1,"CAL1")),"")</f>
        <v/>
      </c>
      <c r="D19" s="21">
        <f ca="1">IF(CALC2223!AX19&gt;1,INDIRECT(ADDRESS(MATCH(Agenda2526!C20,'CAL1'!A:A,0)+1,3,4,1,"CAL1")),0)</f>
        <v>0</v>
      </c>
      <c r="E19" s="20" t="str">
        <f ca="1">IF(CALC2223!AX19&gt;2,INDIRECT(ADDRESS(MATCH(Agenda2526!C20,'CAL1'!A:A,0)+2,2,4,1,"CAL1")),"")</f>
        <v/>
      </c>
      <c r="F19" s="21">
        <f ca="1">IF(CALC2223!AX19&gt;2,INDIRECT(ADDRESS(MATCH(Agenda2526!C20,'CAL1'!A:A,0)+2,3,4,1,"CAL1")),0)</f>
        <v>0</v>
      </c>
      <c r="G19" s="20" t="str">
        <f ca="1">IF(CALC2223!AY19&gt;0,INDIRECT(ADDRESS(MATCH(Agenda2526!C20,'CAL2'!A:A,0),2,4,1,"CAL2")),"")</f>
        <v/>
      </c>
      <c r="H19" s="21">
        <f ca="1">IF(CALC2223!AY19&gt;0,INDIRECT(ADDRESS(MATCH(Agenda2526!C20,'CAL2'!A:A,0),3,4,1,"CAL2")),0)</f>
        <v>0</v>
      </c>
      <c r="I19" s="20" t="str">
        <f ca="1">IF(CALC2223!AY19&gt;1,INDIRECT(ADDRESS(MATCH(Agenda2526!C20,'CAL2'!A:A,0)+1,2,4,1,"CAL2")),"")</f>
        <v/>
      </c>
      <c r="J19" s="21">
        <f ca="1">IF(CALC2223!AY19&gt;1,INDIRECT(ADDRESS(MATCH(Agenda2526!C20,'CAL2'!A:A,0)+1,3,4,1,"CAL2")),0)</f>
        <v>0</v>
      </c>
      <c r="K19" s="20" t="str">
        <f ca="1">IF(CALC2223!AY19&gt;2,INDIRECT(ADDRESS(MATCH(Agenda2526!C20,'CAL2'!A:A,0)+2,2,4,1,"CAL2")),"")</f>
        <v/>
      </c>
      <c r="L19" s="21">
        <f ca="1">IF(CALC2223!AY19&gt;2,INDIRECT(ADDRESS(MATCH(Agenda2526!C20,'CAL2'!A:A,0)+2,3,4,1,"CAL2")),0)</f>
        <v>0</v>
      </c>
      <c r="M19" s="20" t="str">
        <f ca="1">IF(CALC2223!AZ19&gt;0,INDIRECT(ADDRESS(MATCH(Agenda2526!C20,'CAL3'!A:A,0),2,4,1,"CAL3")),"")</f>
        <v/>
      </c>
      <c r="N19" s="21">
        <f ca="1">IF(CALC2223!AZ19&gt;0,INDIRECT(ADDRESS(MATCH(Agenda2526!C20,'CAL3'!A:A,0),3,4,1,"CAL3")),0)</f>
        <v>0</v>
      </c>
      <c r="O19" s="20" t="str">
        <f ca="1">IF(CALC2223!AZ19&gt;1,INDIRECT(ADDRESS(MATCH(Agenda2526!C20,'CAL3'!A:A,0)+1,2,4,1,"CAL3")),"")</f>
        <v/>
      </c>
      <c r="P19" s="21">
        <f ca="1">IF(CALC2223!AZ19&gt;1,INDIRECT(ADDRESS(MATCH(Agenda2526!C20,'CAL3'!A:A,0)+1,3,4,1,"CAL3")),0)</f>
        <v>0</v>
      </c>
      <c r="Q19" s="20" t="str">
        <f ca="1">IF(CALC2223!AZ19&gt;2,INDIRECT(ADDRESS(MATCH(Agenda2526!C20,'CAL3'!A:A,0)+2,2,4,1,"CAL3")),"")</f>
        <v/>
      </c>
      <c r="R19" s="21">
        <f ca="1">IF(CALC2223!AZ19&gt;2,INDIRECT(ADDRESS(MATCH(Agenda2526!C20,'CAL3'!A:A,0)+2,3,4,1,"CAL3")),0)</f>
        <v>0</v>
      </c>
      <c r="S19" s="20" t="str">
        <f ca="1">IF(CALC2223!BA19&gt;0,INDIRECT(ADDRESS(MATCH(Agenda2526!C20,'CAL4'!A:A,0),2,4,1,"CAL4")),"")</f>
        <v/>
      </c>
      <c r="T19" s="21">
        <f ca="1">IF(CALC2223!BA19&gt;0,INDIRECT(ADDRESS(MATCH(Agenda2526!C20,'CAL4'!A:A,0),3,4,1,"CAL4")),0)</f>
        <v>0</v>
      </c>
      <c r="U19" s="20" t="str">
        <f ca="1">IF(CALC2223!BA19&gt;1,INDIRECT(ADDRESS(MATCH(Agenda2526!C20,'CAL4'!A:A,0)+1,2,4,1,"CAL4")),"")</f>
        <v/>
      </c>
      <c r="V19" s="21">
        <f ca="1">IF(CALC2223!BA19&gt;1,INDIRECT(ADDRESS(MATCH(Agenda2526!C20,'CAL4'!A:A,0)+1,3,4,1,"CAL4")),0)</f>
        <v>0</v>
      </c>
      <c r="W19" s="20" t="str">
        <f ca="1">IF(CALC2223!BA19&gt;2,INDIRECT(ADDRESS(MATCH(Agenda2526!C20,'CAL4'!A:A,0)+2,2,4,1,"CAL4")),"")</f>
        <v/>
      </c>
      <c r="X19" s="21">
        <f ca="1">IF(CALC2223!BA19&gt;2,INDIRECT(ADDRESS(MATCH(Agenda2526!C20,'CAL4'!A:A,0)+2,3,4,1,"CAL4")),0)</f>
        <v>0</v>
      </c>
      <c r="Y19" s="20" t="str">
        <f ca="1">IF(CALC2223!BB19&gt;0,INDIRECT(ADDRESS(MATCH(Agenda2526!C20,'CAL5'!A:A,0),2,4,1,"CAL5")),"")</f>
        <v/>
      </c>
      <c r="Z19" s="21">
        <f ca="1">IF(CALC2223!BB19&gt;0,INDIRECT(ADDRESS(MATCH(Agenda2526!C20,'CAL5'!A:A,0),3,4,1,"CAL5")),0)</f>
        <v>0</v>
      </c>
      <c r="AA19" s="20" t="str">
        <f ca="1">IF(CALC2223!BB19&gt;1,INDIRECT(ADDRESS(MATCH(Agenda2526!C20,'CAL5'!A:A,0)+1,2,4,1,"CAL5")),"")</f>
        <v/>
      </c>
      <c r="AB19" s="21">
        <f ca="1">IF(CALC2223!BB19&gt;1,INDIRECT(ADDRESS(MATCH(Agenda2526!C20,'CAL5'!A:A,0)+1,3,4,1,"CAL5")),0)</f>
        <v>0</v>
      </c>
      <c r="AC19" s="20" t="str">
        <f ca="1">IF(CALC2223!BB19&gt;2,INDIRECT(ADDRESS(MATCH(Agenda2526!C20,'CAL5'!A:A,0)+2,2,4,1,"CAL5")),"")</f>
        <v/>
      </c>
      <c r="AD19" s="21">
        <f ca="1">IF(CALC2223!BB19&gt;2,INDIRECT(ADDRESS(MATCH(Agenda2526!C20,'CAL5'!A:A,0)+2,3,4,1,"CAL5")),0)</f>
        <v>0</v>
      </c>
      <c r="AE19" s="20" t="str">
        <f ca="1">IF(CALC2223!BC19&gt;0,INDIRECT(ADDRESS(MATCH(Agenda2526!C20,'CAL6'!A:A,0),2,4,1,"CAL6")),"")</f>
        <v>LO1:1</v>
      </c>
      <c r="AF19" s="21">
        <f ca="1">IF(CALC2223!BC19&gt;0,INDIRECT(ADDRESS(MATCH(Agenda2526!C20,'CAL6'!A:A,0),3,4,1,"CAL6")),0)</f>
        <v>45896</v>
      </c>
      <c r="AG19" s="20" t="str">
        <f ca="1">IF(CALC2223!BC19&gt;1,INDIRECT(ADDRESS(MATCH(Agenda2526!C20,'CAL6'!A:A,0)+1,2,4,1,"CAL6")),"")</f>
        <v/>
      </c>
      <c r="AH19" s="21">
        <f ca="1">IF(CALC2223!BC19&gt;1,INDIRECT(ADDRESS(MATCH(Agenda2526!C20,'CAL6'!A:A,0)+1,3,4,1,"CAL6")),0)</f>
        <v>0</v>
      </c>
      <c r="AI19" s="20" t="str">
        <f ca="1">IF(CALC2223!BC19&gt;2,INDIRECT(ADDRESS(MATCH(Agenda2526!C20,'CAL6'!A:A,0)+2,2,4,1,"CAL6")),"")</f>
        <v/>
      </c>
      <c r="AJ19" s="21">
        <f ca="1">IF(CALC2223!BC19&gt;2,INDIRECT(ADDRESS(MATCH(Agenda2526!C20,'CAL6'!A:A,0)+2,3,4,1,"CAL6")),0)</f>
        <v>0</v>
      </c>
      <c r="AK19" s="20" t="str">
        <f ca="1">IF(CALC2223!BD19&gt;0,INDIRECT(ADDRESS(MATCH(Agenda2526!C20,'CAL7'!A:A,0),2,4,1,"CAL7")),"")</f>
        <v>commissies#1</v>
      </c>
      <c r="AL19" s="21">
        <f ca="1">IF(CALC2223!BD19&gt;0,INDIRECT(ADDRESS(MATCH(Agenda2526!C20,'CAL7'!A:A,0),3,4,1,"CAL7")),0)</f>
        <v>45896</v>
      </c>
      <c r="AM19" s="20" t="str">
        <f ca="1">IF(CALC2223!BD19&gt;1,INDIRECT(ADDRESS(MATCH(Agenda2526!C20,'CAL7'!A:A,0)+1,2,4,1,"CAL7")),"")</f>
        <v>verpleegkundige</v>
      </c>
      <c r="AN19" s="21">
        <f ca="1">IF(CALC2223!BD19&gt;1,INDIRECT(ADDRESS(MATCH(Agenda2526!C20,'CAL7'!A:A,0)+1,3,4,1,"CAL7")),0)</f>
        <v>45915</v>
      </c>
      <c r="AO19" s="20" t="str">
        <f ca="1">IF(CALC2223!BD19&gt;2,INDIRECT(ADDRESS(MATCH(Agenda2526!C20,'CAL7'!A:A,0)+2,2,4,1,"CAL7")),"")</f>
        <v/>
      </c>
      <c r="AP19" s="21">
        <f ca="1">IF(CALC2223!BD19&gt;2,INDIRECT(ADDRESS(MATCH(Agenda2526!C20,'CAL7'!A:A,0)+2,3,4,1,"CAL7")),0)</f>
        <v>0</v>
      </c>
      <c r="AQ19" s="20" t="str">
        <f ca="1">IF(CALC2223!BE19&gt;0,INDIRECT(ADDRESS(MATCH(Agenda2526!C20,'CAL8'!A:A,0),2,4,1,"CAL8")),"")</f>
        <v/>
      </c>
      <c r="AR19" s="21">
        <f ca="1">IF(CALC2223!BE19&gt;0,INDIRECT(ADDRESS(MATCH(Agenda2526!C20,'CAL8'!A:A,0),3,4,1,"CAL8")),0)</f>
        <v>0</v>
      </c>
      <c r="AS19" s="20" t="str">
        <f ca="1">IF(CALC2223!BE19&gt;1,INDIRECT(ADDRESS(MATCH(Agenda2526!C20,'CAL8'!A:A,0)+1,2,4,1,"CAL8")),"")</f>
        <v/>
      </c>
      <c r="AT19" s="21">
        <f ca="1">IF(CALC2223!BE19&gt;1,INDIRECT(ADDRESS(MATCH(Agenda2526!C20,'CAL8'!A:A,0)+1,3,4,1,"CAL8")),0)</f>
        <v>0</v>
      </c>
      <c r="AU19" s="20" t="str">
        <f ca="1">IF(CALC2223!BE19&gt;2,INDIRECT(ADDRESS(MATCH(Agenda2526!C20,'CAL8'!A:A,0)+2,2,4,1,"CAL8")),"")</f>
        <v/>
      </c>
      <c r="AV19" s="21">
        <f ca="1">IF(CALC2223!BE19&gt;2,INDIRECT(ADDRESS(MATCH(Agenda2526!C20,'CAL8'!A:A,0)+2,3,4,1,"CAL8")),0)</f>
        <v>0</v>
      </c>
      <c r="AW19" s="105"/>
      <c r="AX19" s="20">
        <f>COUNTIF('CAL1'!A:A,Agenda2526!C20)</f>
        <v>1</v>
      </c>
      <c r="AY19" s="20">
        <f>COUNTIF('CAL2'!A:A,Agenda2526!C20)</f>
        <v>0</v>
      </c>
      <c r="AZ19" s="20">
        <f>COUNTIF('CAL3'!A:A,Agenda2526!C20)</f>
        <v>0</v>
      </c>
      <c r="BA19" s="20">
        <f>COUNTIF('CAL4'!A:A,Agenda2526!C20)</f>
        <v>0</v>
      </c>
      <c r="BB19" s="20">
        <f>COUNTIF('CAL5'!A:A,Agenda2526!C20)</f>
        <v>0</v>
      </c>
      <c r="BC19" s="20">
        <f>COUNTIF('CAL6'!A:A,Agenda2526!C20)</f>
        <v>1</v>
      </c>
      <c r="BD19" s="20">
        <f>COUNTIF('CAL7'!A:A,Agenda2526!C20)</f>
        <v>2</v>
      </c>
      <c r="BE19" s="20">
        <f>COUNTIF('CAL8'!A:A,Agenda2526!C20)</f>
        <v>0</v>
      </c>
    </row>
    <row r="20" spans="1:57" ht="15.75" customHeight="1">
      <c r="A20" s="20" t="str">
        <f ca="1">IF(CALC2223!AX20&gt;0,INDIRECT(ADDRESS(MATCH(Agenda2526!C21,'CAL1'!A:A,0),2,4,1,"CAL1")),"")</f>
        <v>BKK ABCD</v>
      </c>
      <c r="B20" s="21">
        <f ca="1">IF(CALC2223!AX20&gt;0,INDIRECT(ADDRESS(MATCH(Agenda2526!C21,'CAL1'!A:A,0),3,4,1,"CAL1")),0)</f>
        <v>45896</v>
      </c>
      <c r="C20" s="20" t="str">
        <f ca="1">IF(CALC2223!AX20&gt;1,INDIRECT(ADDRESS(MATCH(Agenda2526!C21,'CAL1'!A:A,0)+1,2,4,1,"CAL1")),"")</f>
        <v/>
      </c>
      <c r="D20" s="21">
        <f ca="1">IF(CALC2223!AX20&gt;1,INDIRECT(ADDRESS(MATCH(Agenda2526!C21,'CAL1'!A:A,0)+1,3,4,1,"CAL1")),0)</f>
        <v>0</v>
      </c>
      <c r="E20" s="20" t="str">
        <f ca="1">IF(CALC2223!AX20&gt;2,INDIRECT(ADDRESS(MATCH(Agenda2526!C21,'CAL1'!A:A,0)+2,2,4,1,"CAL1")),"")</f>
        <v/>
      </c>
      <c r="F20" s="21">
        <f ca="1">IF(CALC2223!AX20&gt;2,INDIRECT(ADDRESS(MATCH(Agenda2526!C21,'CAL1'!A:A,0)+2,3,4,1,"CAL1")),0)</f>
        <v>0</v>
      </c>
      <c r="G20" s="20" t="str">
        <f ca="1">IF(CALC2223!AY20&gt;0,INDIRECT(ADDRESS(MATCH(Agenda2526!C21,'CAL2'!A:A,0),2,4,1,"CAL2")),"")</f>
        <v/>
      </c>
      <c r="H20" s="21">
        <f ca="1">IF(CALC2223!AY20&gt;0,INDIRECT(ADDRESS(MATCH(Agenda2526!C21,'CAL2'!A:A,0),3,4,1,"CAL2")),0)</f>
        <v>0</v>
      </c>
      <c r="I20" s="20" t="str">
        <f ca="1">IF(CALC2223!AY20&gt;1,INDIRECT(ADDRESS(MATCH(Agenda2526!C21,'CAL2'!A:A,0)+1,2,4,1,"CAL2")),"")</f>
        <v/>
      </c>
      <c r="J20" s="21">
        <f ca="1">IF(CALC2223!AY20&gt;1,INDIRECT(ADDRESS(MATCH(Agenda2526!C21,'CAL2'!A:A,0)+1,3,4,1,"CAL2")),0)</f>
        <v>0</v>
      </c>
      <c r="K20" s="20" t="str">
        <f ca="1">IF(CALC2223!AY20&gt;2,INDIRECT(ADDRESS(MATCH(Agenda2526!C21,'CAL2'!A:A,0)+2,2,4,1,"CAL2")),"")</f>
        <v/>
      </c>
      <c r="L20" s="21">
        <f ca="1">IF(CALC2223!AY20&gt;2,INDIRECT(ADDRESS(MATCH(Agenda2526!C21,'CAL2'!A:A,0)+2,3,4,1,"CAL2")),0)</f>
        <v>0</v>
      </c>
      <c r="M20" s="20" t="str">
        <f ca="1">IF(CALC2223!AZ20&gt;0,INDIRECT(ADDRESS(MATCH(Agenda2526!C21,'CAL3'!A:A,0),2,4,1,"CAL3")),"")</f>
        <v/>
      </c>
      <c r="N20" s="21">
        <f ca="1">IF(CALC2223!AZ20&gt;0,INDIRECT(ADDRESS(MATCH(Agenda2526!C21,'CAL3'!A:A,0),3,4,1,"CAL3")),0)</f>
        <v>0</v>
      </c>
      <c r="O20" s="20" t="str">
        <f ca="1">IF(CALC2223!AZ20&gt;1,INDIRECT(ADDRESS(MATCH(Agenda2526!C21,'CAL3'!A:A,0)+1,2,4,1,"CAL3")),"")</f>
        <v/>
      </c>
      <c r="P20" s="21">
        <f ca="1">IF(CALC2223!AZ20&gt;1,INDIRECT(ADDRESS(MATCH(Agenda2526!C21,'CAL3'!A:A,0)+1,3,4,1,"CAL3")),0)</f>
        <v>0</v>
      </c>
      <c r="Q20" s="20" t="str">
        <f ca="1">IF(CALC2223!AZ20&gt;2,INDIRECT(ADDRESS(MATCH(Agenda2526!C21,'CAL3'!A:A,0)+2,2,4,1,"CAL3")),"")</f>
        <v/>
      </c>
      <c r="R20" s="21">
        <f ca="1">IF(CALC2223!AZ20&gt;2,INDIRECT(ADDRESS(MATCH(Agenda2526!C21,'CAL3'!A:A,0)+2,3,4,1,"CAL3")),0)</f>
        <v>0</v>
      </c>
      <c r="S20" s="20" t="str">
        <f ca="1">IF(CALC2223!BA20&gt;0,INDIRECT(ADDRESS(MATCH(Agenda2526!C21,'CAL4'!A:A,0),2,4,1,"CAL4")),"")</f>
        <v/>
      </c>
      <c r="T20" s="21">
        <f ca="1">IF(CALC2223!BA20&gt;0,INDIRECT(ADDRESS(MATCH(Agenda2526!C21,'CAL4'!A:A,0),3,4,1,"CAL4")),0)</f>
        <v>0</v>
      </c>
      <c r="U20" s="20" t="str">
        <f ca="1">IF(CALC2223!BA20&gt;1,INDIRECT(ADDRESS(MATCH(Agenda2526!C21,'CAL4'!A:A,0)+1,2,4,1,"CAL4")),"")</f>
        <v/>
      </c>
      <c r="V20" s="21">
        <f ca="1">IF(CALC2223!BA20&gt;1,INDIRECT(ADDRESS(MATCH(Agenda2526!C21,'CAL4'!A:A,0)+1,3,4,1,"CAL4")),0)</f>
        <v>0</v>
      </c>
      <c r="W20" s="20" t="str">
        <f ca="1">IF(CALC2223!BA20&gt;2,INDIRECT(ADDRESS(MATCH(Agenda2526!C21,'CAL4'!A:A,0)+2,2,4,1,"CAL4")),"")</f>
        <v/>
      </c>
      <c r="X20" s="21">
        <f ca="1">IF(CALC2223!BA20&gt;2,INDIRECT(ADDRESS(MATCH(Agenda2526!C21,'CAL4'!A:A,0)+2,3,4,1,"CAL4")),0)</f>
        <v>0</v>
      </c>
      <c r="Y20" s="20" t="str">
        <f ca="1">IF(CALC2223!BB20&gt;0,INDIRECT(ADDRESS(MATCH(Agenda2526!C21,'CAL5'!A:A,0),2,4,1,"CAL5")),"")</f>
        <v/>
      </c>
      <c r="Z20" s="21">
        <f ca="1">IF(CALC2223!BB20&gt;0,INDIRECT(ADDRESS(MATCH(Agenda2526!C21,'CAL5'!A:A,0),3,4,1,"CAL5")),0)</f>
        <v>0</v>
      </c>
      <c r="AA20" s="20" t="str">
        <f ca="1">IF(CALC2223!BB20&gt;1,INDIRECT(ADDRESS(MATCH(Agenda2526!C21,'CAL5'!A:A,0)+1,2,4,1,"CAL5")),"")</f>
        <v/>
      </c>
      <c r="AB20" s="21">
        <f ca="1">IF(CALC2223!BB20&gt;1,INDIRECT(ADDRESS(MATCH(Agenda2526!C21,'CAL5'!A:A,0)+1,3,4,1,"CAL5")),0)</f>
        <v>0</v>
      </c>
      <c r="AC20" s="20" t="str">
        <f ca="1">IF(CALC2223!BB20&gt;2,INDIRECT(ADDRESS(MATCH(Agenda2526!C21,'CAL5'!A:A,0)+2,2,4,1,"CAL5")),"")</f>
        <v/>
      </c>
      <c r="AD20" s="21">
        <f ca="1">IF(CALC2223!BB20&gt;2,INDIRECT(ADDRESS(MATCH(Agenda2526!C21,'CAL5'!A:A,0)+2,3,4,1,"CAL5")),0)</f>
        <v>0</v>
      </c>
      <c r="AE20" s="20" t="str">
        <f ca="1">IF(CALC2223!BC20&gt;0,INDIRECT(ADDRESS(MATCH(Agenda2526!C21,'CAL6'!A:A,0),2,4,1,"CAL6")),"")</f>
        <v/>
      </c>
      <c r="AF20" s="21">
        <f ca="1">IF(CALC2223!BC20&gt;0,INDIRECT(ADDRESS(MATCH(Agenda2526!C21,'CAL6'!A:A,0),3,4,1,"CAL6")),0)</f>
        <v>0</v>
      </c>
      <c r="AG20" s="20" t="str">
        <f ca="1">IF(CALC2223!BC20&gt;1,INDIRECT(ADDRESS(MATCH(Agenda2526!C21,'CAL6'!A:A,0)+1,2,4,1,"CAL6")),"")</f>
        <v/>
      </c>
      <c r="AH20" s="21">
        <f ca="1">IF(CALC2223!BC20&gt;1,INDIRECT(ADDRESS(MATCH(Agenda2526!C21,'CAL6'!A:A,0)+1,3,4,1,"CAL6")),0)</f>
        <v>0</v>
      </c>
      <c r="AI20" s="20" t="str">
        <f ca="1">IF(CALC2223!BC20&gt;2,INDIRECT(ADDRESS(MATCH(Agenda2526!C21,'CAL6'!A:A,0)+2,2,4,1,"CAL6")),"")</f>
        <v/>
      </c>
      <c r="AJ20" s="21">
        <f ca="1">IF(CALC2223!BC20&gt;2,INDIRECT(ADDRESS(MATCH(Agenda2526!C21,'CAL6'!A:A,0)+2,3,4,1,"CAL6")),0)</f>
        <v>0</v>
      </c>
      <c r="AK20" s="20" t="str">
        <f ca="1">IF(CALC2223!BD20&gt;0,INDIRECT(ADDRESS(MATCH(Agenda2526!C21,'CAL7'!A:A,0),2,4,1,"CAL7")),"")</f>
        <v/>
      </c>
      <c r="AL20" s="21">
        <f ca="1">IF(CALC2223!BD20&gt;0,INDIRECT(ADDRESS(MATCH(Agenda2526!C21,'CAL7'!A:A,0),3,4,1,"CAL7")),0)</f>
        <v>0</v>
      </c>
      <c r="AM20" s="20" t="str">
        <f ca="1">IF(CALC2223!BD20&gt;1,INDIRECT(ADDRESS(MATCH(Agenda2526!C21,'CAL7'!A:A,0)+1,2,4,1,"CAL7")),"")</f>
        <v/>
      </c>
      <c r="AN20" s="21">
        <f ca="1">IF(CALC2223!BD20&gt;1,INDIRECT(ADDRESS(MATCH(Agenda2526!C21,'CAL7'!A:A,0)+1,3,4,1,"CAL7")),0)</f>
        <v>0</v>
      </c>
      <c r="AO20" s="20" t="str">
        <f ca="1">IF(CALC2223!BD20&gt;2,INDIRECT(ADDRESS(MATCH(Agenda2526!C21,'CAL7'!A:A,0)+2,2,4,1,"CAL7")),"")</f>
        <v/>
      </c>
      <c r="AP20" s="21">
        <f ca="1">IF(CALC2223!BD20&gt;2,INDIRECT(ADDRESS(MATCH(Agenda2526!C21,'CAL7'!A:A,0)+2,3,4,1,"CAL7")),0)</f>
        <v>0</v>
      </c>
      <c r="AQ20" s="20" t="str">
        <f ca="1">IF(CALC2223!BE20&gt;0,INDIRECT(ADDRESS(MATCH(Agenda2526!C21,'CAL8'!A:A,0),2,4,1,"CAL8")),"")</f>
        <v/>
      </c>
      <c r="AR20" s="21">
        <f ca="1">IF(CALC2223!BE20&gt;0,INDIRECT(ADDRESS(MATCH(Agenda2526!C21,'CAL8'!A:A,0),3,4,1,"CAL8")),0)</f>
        <v>0</v>
      </c>
      <c r="AS20" s="20" t="str">
        <f ca="1">IF(CALC2223!BE20&gt;1,INDIRECT(ADDRESS(MATCH(Agenda2526!C21,'CAL8'!A:A,0)+1,2,4,1,"CAL8")),"")</f>
        <v/>
      </c>
      <c r="AT20" s="21">
        <f ca="1">IF(CALC2223!BE20&gt;1,INDIRECT(ADDRESS(MATCH(Agenda2526!C21,'CAL8'!A:A,0)+1,3,4,1,"CAL8")),0)</f>
        <v>0</v>
      </c>
      <c r="AU20" s="20" t="str">
        <f ca="1">IF(CALC2223!BE20&gt;2,INDIRECT(ADDRESS(MATCH(Agenda2526!C21,'CAL8'!A:A,0)+2,2,4,1,"CAL8")),"")</f>
        <v/>
      </c>
      <c r="AV20" s="21">
        <f ca="1">IF(CALC2223!BE20&gt;2,INDIRECT(ADDRESS(MATCH(Agenda2526!C21,'CAL8'!A:A,0)+2,3,4,1,"CAL8")),0)</f>
        <v>0</v>
      </c>
      <c r="AW20" s="105"/>
      <c r="AX20" s="20">
        <f>COUNTIF('CAL1'!A:A,Agenda2526!C21)</f>
        <v>1</v>
      </c>
      <c r="AY20" s="20">
        <f>COUNTIF('CAL2'!A:A,Agenda2526!C21)</f>
        <v>0</v>
      </c>
      <c r="AZ20" s="20">
        <f>COUNTIF('CAL3'!A:A,Agenda2526!C21)</f>
        <v>0</v>
      </c>
      <c r="BA20" s="20">
        <f>COUNTIF('CAL4'!A:A,Agenda2526!C21)</f>
        <v>0</v>
      </c>
      <c r="BB20" s="20">
        <f>COUNTIF('CAL5'!A:A,Agenda2526!C21)</f>
        <v>0</v>
      </c>
      <c r="BC20" s="20">
        <f>COUNTIF('CAL6'!A:A,Agenda2526!C21)</f>
        <v>0</v>
      </c>
      <c r="BD20" s="20">
        <f>COUNTIF('CAL7'!A:A,Agenda2526!C21)</f>
        <v>0</v>
      </c>
      <c r="BE20" s="20">
        <f>COUNTIF('CAL8'!A:A,Agenda2526!C21)</f>
        <v>0</v>
      </c>
    </row>
    <row r="21" spans="1:57" ht="15.75" customHeight="1">
      <c r="A21" s="20" t="str">
        <f ca="1">IF(CALC2223!AX21&gt;0,INDIRECT(ADDRESS(MATCH(Agenda2526!C22,'CAL1'!A:A,0),2,4,1,"CAL1")),"")</f>
        <v/>
      </c>
      <c r="B21" s="21">
        <f ca="1">IF(CALC2223!AX21&gt;0,INDIRECT(ADDRESS(MATCH(Agenda2526!C22,'CAL1'!A:A,0),3,4,1,"CAL1")),0)</f>
        <v>0</v>
      </c>
      <c r="C21" s="20" t="str">
        <f ca="1">IF(CALC2223!AX21&gt;1,INDIRECT(ADDRESS(MATCH(Agenda2526!C22,'CAL1'!A:A,0)+1,2,4,1,"CAL1")),"")</f>
        <v/>
      </c>
      <c r="D21" s="21">
        <f ca="1">IF(CALC2223!AX21&gt;1,INDIRECT(ADDRESS(MATCH(Agenda2526!C22,'CAL1'!A:A,0)+1,3,4,1,"CAL1")),0)</f>
        <v>0</v>
      </c>
      <c r="E21" s="20" t="str">
        <f ca="1">IF(CALC2223!AX21&gt;2,INDIRECT(ADDRESS(MATCH(Agenda2526!C22,'CAL1'!A:A,0)+2,2,4,1,"CAL1")),"")</f>
        <v/>
      </c>
      <c r="F21" s="21">
        <f ca="1">IF(CALC2223!AX21&gt;2,INDIRECT(ADDRESS(MATCH(Agenda2526!C22,'CAL1'!A:A,0)+2,3,4,1,"CAL1")),0)</f>
        <v>0</v>
      </c>
      <c r="G21" s="20" t="str">
        <f ca="1">IF(CALC2223!AY21&gt;0,INDIRECT(ADDRESS(MATCH(Agenda2526!C22,'CAL2'!A:A,0),2,4,1,"CAL2")),"")</f>
        <v/>
      </c>
      <c r="H21" s="21">
        <f ca="1">IF(CALC2223!AY21&gt;0,INDIRECT(ADDRESS(MATCH(Agenda2526!C22,'CAL2'!A:A,0),3,4,1,"CAL2")),0)</f>
        <v>0</v>
      </c>
      <c r="I21" s="20" t="str">
        <f ca="1">IF(CALC2223!AY21&gt;1,INDIRECT(ADDRESS(MATCH(Agenda2526!C22,'CAL2'!A:A,0)+1,2,4,1,"CAL2")),"")</f>
        <v/>
      </c>
      <c r="J21" s="21">
        <f ca="1">IF(CALC2223!AY21&gt;1,INDIRECT(ADDRESS(MATCH(Agenda2526!C22,'CAL2'!A:A,0)+1,3,4,1,"CAL2")),0)</f>
        <v>0</v>
      </c>
      <c r="K21" s="20" t="str">
        <f ca="1">IF(CALC2223!AY21&gt;2,INDIRECT(ADDRESS(MATCH(Agenda2526!C22,'CAL2'!A:A,0)+2,2,4,1,"CAL2")),"")</f>
        <v/>
      </c>
      <c r="L21" s="21">
        <f ca="1">IF(CALC2223!AY21&gt;2,INDIRECT(ADDRESS(MATCH(Agenda2526!C22,'CAL2'!A:A,0)+2,3,4,1,"CAL2")),0)</f>
        <v>0</v>
      </c>
      <c r="M21" s="20" t="str">
        <f ca="1">IF(CALC2223!AZ21&gt;0,INDIRECT(ADDRESS(MATCH(Agenda2526!C22,'CAL3'!A:A,0),2,4,1,"CAL3")),"")</f>
        <v/>
      </c>
      <c r="N21" s="21">
        <f ca="1">IF(CALC2223!AZ21&gt;0,INDIRECT(ADDRESS(MATCH(Agenda2526!C22,'CAL3'!A:A,0),3,4,1,"CAL3")),0)</f>
        <v>0</v>
      </c>
      <c r="O21" s="20" t="str">
        <f ca="1">IF(CALC2223!AZ21&gt;1,INDIRECT(ADDRESS(MATCH(Agenda2526!C22,'CAL3'!A:A,0)+1,2,4,1,"CAL3")),"")</f>
        <v/>
      </c>
      <c r="P21" s="21">
        <f ca="1">IF(CALC2223!AZ21&gt;1,INDIRECT(ADDRESS(MATCH(Agenda2526!C22,'CAL3'!A:A,0)+1,3,4,1,"CAL3")),0)</f>
        <v>0</v>
      </c>
      <c r="Q21" s="20" t="str">
        <f ca="1">IF(CALC2223!AZ21&gt;2,INDIRECT(ADDRESS(MATCH(Agenda2526!C22,'CAL3'!A:A,0)+2,2,4,1,"CAL3")),"")</f>
        <v/>
      </c>
      <c r="R21" s="21">
        <f ca="1">IF(CALC2223!AZ21&gt;2,INDIRECT(ADDRESS(MATCH(Agenda2526!C22,'CAL3'!A:A,0)+2,3,4,1,"CAL3")),0)</f>
        <v>0</v>
      </c>
      <c r="S21" s="20" t="str">
        <f ca="1">IF(CALC2223!BA21&gt;0,INDIRECT(ADDRESS(MATCH(Agenda2526!C22,'CAL4'!A:A,0),2,4,1,"CAL4")),"")</f>
        <v/>
      </c>
      <c r="T21" s="21">
        <f ca="1">IF(CALC2223!BA21&gt;0,INDIRECT(ADDRESS(MATCH(Agenda2526!C22,'CAL4'!A:A,0),3,4,1,"CAL4")),0)</f>
        <v>0</v>
      </c>
      <c r="U21" s="20" t="str">
        <f ca="1">IF(CALC2223!BA21&gt;1,INDIRECT(ADDRESS(MATCH(Agenda2526!C22,'CAL4'!A:A,0)+1,2,4,1,"CAL4")),"")</f>
        <v/>
      </c>
      <c r="V21" s="21">
        <f ca="1">IF(CALC2223!BA21&gt;1,INDIRECT(ADDRESS(MATCH(Agenda2526!C22,'CAL4'!A:A,0)+1,3,4,1,"CAL4")),0)</f>
        <v>0</v>
      </c>
      <c r="W21" s="20" t="str">
        <f ca="1">IF(CALC2223!BA21&gt;2,INDIRECT(ADDRESS(MATCH(Agenda2526!C22,'CAL4'!A:A,0)+2,2,4,1,"CAL4")),"")</f>
        <v/>
      </c>
      <c r="X21" s="21">
        <f ca="1">IF(CALC2223!BA21&gt;2,INDIRECT(ADDRESS(MATCH(Agenda2526!C22,'CAL4'!A:A,0)+2,3,4,1,"CAL4")),0)</f>
        <v>0</v>
      </c>
      <c r="Y21" s="20" t="str">
        <f ca="1">IF(CALC2223!BB21&gt;0,INDIRECT(ADDRESS(MATCH(Agenda2526!C22,'CAL5'!A:A,0),2,4,1,"CAL5")),"")</f>
        <v/>
      </c>
      <c r="Z21" s="21">
        <f ca="1">IF(CALC2223!BB21&gt;0,INDIRECT(ADDRESS(MATCH(Agenda2526!C22,'CAL5'!A:A,0),3,4,1,"CAL5")),0)</f>
        <v>0</v>
      </c>
      <c r="AA21" s="20" t="str">
        <f ca="1">IF(CALC2223!BB21&gt;1,INDIRECT(ADDRESS(MATCH(Agenda2526!C22,'CAL5'!A:A,0)+1,2,4,1,"CAL5")),"")</f>
        <v/>
      </c>
      <c r="AB21" s="21">
        <f ca="1">IF(CALC2223!BB21&gt;1,INDIRECT(ADDRESS(MATCH(Agenda2526!C22,'CAL5'!A:A,0)+1,3,4,1,"CAL5")),0)</f>
        <v>0</v>
      </c>
      <c r="AC21" s="20" t="str">
        <f ca="1">IF(CALC2223!BB21&gt;2,INDIRECT(ADDRESS(MATCH(Agenda2526!C22,'CAL5'!A:A,0)+2,2,4,1,"CAL5")),"")</f>
        <v/>
      </c>
      <c r="AD21" s="21">
        <f ca="1">IF(CALC2223!BB21&gt;2,INDIRECT(ADDRESS(MATCH(Agenda2526!C22,'CAL5'!A:A,0)+2,3,4,1,"CAL5")),0)</f>
        <v>0</v>
      </c>
      <c r="AE21" s="20" t="str">
        <f ca="1">IF(CALC2223!BC21&gt;0,INDIRECT(ADDRESS(MATCH(Agenda2526!C22,'CAL6'!A:A,0),2,4,1,"CAL6")),"")</f>
        <v/>
      </c>
      <c r="AF21" s="21">
        <f ca="1">IF(CALC2223!BC21&gt;0,INDIRECT(ADDRESS(MATCH(Agenda2526!C22,'CAL6'!A:A,0),3,4,1,"CAL6")),0)</f>
        <v>0</v>
      </c>
      <c r="AG21" s="20" t="str">
        <f ca="1">IF(CALC2223!BC21&gt;1,INDIRECT(ADDRESS(MATCH(Agenda2526!C22,'CAL6'!A:A,0)+1,2,4,1,"CAL6")),"")</f>
        <v/>
      </c>
      <c r="AH21" s="21">
        <f ca="1">IF(CALC2223!BC21&gt;1,INDIRECT(ADDRESS(MATCH(Agenda2526!C22,'CAL6'!A:A,0)+1,3,4,1,"CAL6")),0)</f>
        <v>0</v>
      </c>
      <c r="AI21" s="20" t="str">
        <f ca="1">IF(CALC2223!BC21&gt;2,INDIRECT(ADDRESS(MATCH(Agenda2526!C22,'CAL6'!A:A,0)+2,2,4,1,"CAL6")),"")</f>
        <v/>
      </c>
      <c r="AJ21" s="21">
        <f ca="1">IF(CALC2223!BC21&gt;2,INDIRECT(ADDRESS(MATCH(Agenda2526!C22,'CAL6'!A:A,0)+2,3,4,1,"CAL6")),0)</f>
        <v>0</v>
      </c>
      <c r="AK21" s="20" t="str">
        <f ca="1">IF(CALC2223!BD21&gt;0,INDIRECT(ADDRESS(MATCH(Agenda2526!C22,'CAL7'!A:A,0),2,4,1,"CAL7")),"")</f>
        <v/>
      </c>
      <c r="AL21" s="21">
        <f ca="1">IF(CALC2223!BD21&gt;0,INDIRECT(ADDRESS(MATCH(Agenda2526!C22,'CAL7'!A:A,0),3,4,1,"CAL7")),0)</f>
        <v>0</v>
      </c>
      <c r="AM21" s="20" t="str">
        <f ca="1">IF(CALC2223!BD21&gt;1,INDIRECT(ADDRESS(MATCH(Agenda2526!C22,'CAL7'!A:A,0)+1,2,4,1,"CAL7")),"")</f>
        <v/>
      </c>
      <c r="AN21" s="21">
        <f ca="1">IF(CALC2223!BD21&gt;1,INDIRECT(ADDRESS(MATCH(Agenda2526!C22,'CAL7'!A:A,0)+1,3,4,1,"CAL7")),0)</f>
        <v>0</v>
      </c>
      <c r="AO21" s="20" t="str">
        <f ca="1">IF(CALC2223!BD21&gt;2,INDIRECT(ADDRESS(MATCH(Agenda2526!C22,'CAL7'!A:A,0)+2,2,4,1,"CAL7")),"")</f>
        <v/>
      </c>
      <c r="AP21" s="21">
        <f ca="1">IF(CALC2223!BD21&gt;2,INDIRECT(ADDRESS(MATCH(Agenda2526!C22,'CAL7'!A:A,0)+2,3,4,1,"CAL7")),0)</f>
        <v>0</v>
      </c>
      <c r="AQ21" s="20" t="str">
        <f ca="1">IF(CALC2223!BE21&gt;0,INDIRECT(ADDRESS(MATCH(Agenda2526!C22,'CAL8'!A:A,0),2,4,1,"CAL8")),"")</f>
        <v/>
      </c>
      <c r="AR21" s="21">
        <f ca="1">IF(CALC2223!BE21&gt;0,INDIRECT(ADDRESS(MATCH(Agenda2526!C22,'CAL8'!A:A,0),3,4,1,"CAL8")),0)</f>
        <v>0</v>
      </c>
      <c r="AS21" s="20" t="str">
        <f ca="1">IF(CALC2223!BE21&gt;1,INDIRECT(ADDRESS(MATCH(Agenda2526!C22,'CAL8'!A:A,0)+1,2,4,1,"CAL8")),"")</f>
        <v/>
      </c>
      <c r="AT21" s="21">
        <f ca="1">IF(CALC2223!BE21&gt;1,INDIRECT(ADDRESS(MATCH(Agenda2526!C22,'CAL8'!A:A,0)+1,3,4,1,"CAL8")),0)</f>
        <v>0</v>
      </c>
      <c r="AU21" s="20" t="str">
        <f ca="1">IF(CALC2223!BE21&gt;2,INDIRECT(ADDRESS(MATCH(Agenda2526!C22,'CAL8'!A:A,0)+2,2,4,1,"CAL8")),"")</f>
        <v/>
      </c>
      <c r="AV21" s="21">
        <f ca="1">IF(CALC2223!BE21&gt;2,INDIRECT(ADDRESS(MATCH(Agenda2526!C22,'CAL8'!A:A,0)+2,3,4,1,"CAL8")),0)</f>
        <v>0</v>
      </c>
      <c r="AW21" s="106"/>
      <c r="AX21" s="20">
        <f>COUNTIF('CAL1'!A:A,Agenda2526!C22)</f>
        <v>0</v>
      </c>
      <c r="AY21" s="20">
        <f>COUNTIF('CAL2'!A:A,Agenda2526!C22)</f>
        <v>0</v>
      </c>
      <c r="AZ21" s="20">
        <f>COUNTIF('CAL3'!A:A,Agenda2526!C22)</f>
        <v>0</v>
      </c>
      <c r="BA21" s="20">
        <f>COUNTIF('CAL4'!A:A,Agenda2526!C22)</f>
        <v>0</v>
      </c>
      <c r="BB21" s="20">
        <f>COUNTIF('CAL5'!A:A,Agenda2526!C22)</f>
        <v>0</v>
      </c>
      <c r="BC21" s="20">
        <f>COUNTIF('CAL6'!A:A,Agenda2526!C22)</f>
        <v>0</v>
      </c>
      <c r="BD21" s="20">
        <f>COUNTIF('CAL7'!A:A,Agenda2526!C22)</f>
        <v>0</v>
      </c>
      <c r="BE21" s="20">
        <f>COUNTIF('CAL8'!A:A,Agenda2526!C22)</f>
        <v>0</v>
      </c>
    </row>
    <row r="22" spans="1:57" ht="15.75" customHeight="1">
      <c r="A22" s="20" t="str">
        <f ca="1">IF(CALC2223!AX22&gt;0,INDIRECT(ADDRESS(MATCH(Agenda2526!C23,'CAL1'!A:A,0),2,4,1,"CAL1")),"")</f>
        <v/>
      </c>
      <c r="B22" s="21">
        <f ca="1">IF(CALC2223!AX22&gt;0,INDIRECT(ADDRESS(MATCH(Agenda2526!C23,'CAL1'!A:A,0),3,4,1,"CAL1")),0)</f>
        <v>0</v>
      </c>
      <c r="C22" s="20" t="str">
        <f ca="1">IF(CALC2223!AX22&gt;1,INDIRECT(ADDRESS(MATCH(Agenda2526!C23,'CAL1'!A:A,0)+1,2,4,1,"CAL1")),"")</f>
        <v/>
      </c>
      <c r="D22" s="21">
        <f ca="1">IF(CALC2223!AX22&gt;1,INDIRECT(ADDRESS(MATCH(Agenda2526!C23,'CAL1'!A:A,0)+1,3,4,1,"CAL1")),0)</f>
        <v>0</v>
      </c>
      <c r="E22" s="20" t="str">
        <f ca="1">IF(CALC2223!AX22&gt;2,INDIRECT(ADDRESS(MATCH(Agenda2526!C23,'CAL1'!A:A,0)+2,2,4,1,"CAL1")),"")</f>
        <v/>
      </c>
      <c r="F22" s="21">
        <f ca="1">IF(CALC2223!AX22&gt;2,INDIRECT(ADDRESS(MATCH(Agenda2526!C23,'CAL1'!A:A,0)+2,3,4,1,"CAL1")),0)</f>
        <v>0</v>
      </c>
      <c r="G22" s="20" t="str">
        <f ca="1">IF(CALC2223!AY22&gt;0,INDIRECT(ADDRESS(MATCH(Agenda2526!C23,'CAL2'!A:A,0),2,4,1,"CAL2")),"")</f>
        <v/>
      </c>
      <c r="H22" s="21">
        <f ca="1">IF(CALC2223!AY22&gt;0,INDIRECT(ADDRESS(MATCH(Agenda2526!C23,'CAL2'!A:A,0),3,4,1,"CAL2")),0)</f>
        <v>0</v>
      </c>
      <c r="I22" s="20" t="str">
        <f ca="1">IF(CALC2223!AY22&gt;1,INDIRECT(ADDRESS(MATCH(Agenda2526!C23,'CAL2'!A:A,0)+1,2,4,1,"CAL2")),"")</f>
        <v/>
      </c>
      <c r="J22" s="21">
        <f ca="1">IF(CALC2223!AY22&gt;1,INDIRECT(ADDRESS(MATCH(Agenda2526!C23,'CAL2'!A:A,0)+1,3,4,1,"CAL2")),0)</f>
        <v>0</v>
      </c>
      <c r="K22" s="20" t="str">
        <f ca="1">IF(CALC2223!AY22&gt;2,INDIRECT(ADDRESS(MATCH(Agenda2526!C23,'CAL2'!A:A,0)+2,2,4,1,"CAL2")),"")</f>
        <v/>
      </c>
      <c r="L22" s="21">
        <f ca="1">IF(CALC2223!AY22&gt;2,INDIRECT(ADDRESS(MATCH(Agenda2526!C23,'CAL2'!A:A,0)+2,3,4,1,"CAL2")),0)</f>
        <v>0</v>
      </c>
      <c r="M22" s="20" t="str">
        <f ca="1">IF(CALC2223!AZ22&gt;0,INDIRECT(ADDRESS(MATCH(Agenda2526!C23,'CAL3'!A:A,0),2,4,1,"CAL3")),"")</f>
        <v/>
      </c>
      <c r="N22" s="21">
        <f ca="1">IF(CALC2223!AZ22&gt;0,INDIRECT(ADDRESS(MATCH(Agenda2526!C23,'CAL3'!A:A,0),3,4,1,"CAL3")),0)</f>
        <v>0</v>
      </c>
      <c r="O22" s="20" t="str">
        <f ca="1">IF(CALC2223!AZ22&gt;1,INDIRECT(ADDRESS(MATCH(Agenda2526!C23,'CAL3'!A:A,0)+1,2,4,1,"CAL3")),"")</f>
        <v/>
      </c>
      <c r="P22" s="21">
        <f ca="1">IF(CALC2223!AZ22&gt;1,INDIRECT(ADDRESS(MATCH(Agenda2526!C23,'CAL3'!A:A,0)+1,3,4,1,"CAL3")),0)</f>
        <v>0</v>
      </c>
      <c r="Q22" s="20" t="str">
        <f ca="1">IF(CALC2223!AZ22&gt;2,INDIRECT(ADDRESS(MATCH(Agenda2526!C23,'CAL3'!A:A,0)+2,2,4,1,"CAL3")),"")</f>
        <v/>
      </c>
      <c r="R22" s="21">
        <f ca="1">IF(CALC2223!AZ22&gt;2,INDIRECT(ADDRESS(MATCH(Agenda2526!C23,'CAL3'!A:A,0)+2,3,4,1,"CAL3")),0)</f>
        <v>0</v>
      </c>
      <c r="S22" s="20" t="str">
        <f ca="1">IF(CALC2223!BA22&gt;0,INDIRECT(ADDRESS(MATCH(Agenda2526!C23,'CAL4'!A:A,0),2,4,1,"CAL4")),"")</f>
        <v/>
      </c>
      <c r="T22" s="21">
        <f ca="1">IF(CALC2223!BA22&gt;0,INDIRECT(ADDRESS(MATCH(Agenda2526!C23,'CAL4'!A:A,0),3,4,1,"CAL4")),0)</f>
        <v>0</v>
      </c>
      <c r="U22" s="20" t="str">
        <f ca="1">IF(CALC2223!BA22&gt;1,INDIRECT(ADDRESS(MATCH(Agenda2526!C23,'CAL4'!A:A,0)+1,2,4,1,"CAL4")),"")</f>
        <v/>
      </c>
      <c r="V22" s="21">
        <f ca="1">IF(CALC2223!BA22&gt;1,INDIRECT(ADDRESS(MATCH(Agenda2526!C23,'CAL4'!A:A,0)+1,3,4,1,"CAL4")),0)</f>
        <v>0</v>
      </c>
      <c r="W22" s="20" t="str">
        <f ca="1">IF(CALC2223!BA22&gt;2,INDIRECT(ADDRESS(MATCH(Agenda2526!C23,'CAL4'!A:A,0)+2,2,4,1,"CAL4")),"")</f>
        <v/>
      </c>
      <c r="X22" s="21">
        <f ca="1">IF(CALC2223!BA22&gt;2,INDIRECT(ADDRESS(MATCH(Agenda2526!C23,'CAL4'!A:A,0)+2,3,4,1,"CAL4")),0)</f>
        <v>0</v>
      </c>
      <c r="Y22" s="20" t="str">
        <f ca="1">IF(CALC2223!BB22&gt;0,INDIRECT(ADDRESS(MATCH(Agenda2526!C23,'CAL5'!A:A,0),2,4,1,"CAL5")),"")</f>
        <v/>
      </c>
      <c r="Z22" s="21">
        <f ca="1">IF(CALC2223!BB22&gt;0,INDIRECT(ADDRESS(MATCH(Agenda2526!C23,'CAL5'!A:A,0),3,4,1,"CAL5")),0)</f>
        <v>0</v>
      </c>
      <c r="AA22" s="20" t="str">
        <f ca="1">IF(CALC2223!BB22&gt;1,INDIRECT(ADDRESS(MATCH(Agenda2526!C23,'CAL5'!A:A,0)+1,2,4,1,"CAL5")),"")</f>
        <v/>
      </c>
      <c r="AB22" s="21">
        <f ca="1">IF(CALC2223!BB22&gt;1,INDIRECT(ADDRESS(MATCH(Agenda2526!C23,'CAL5'!A:A,0)+1,3,4,1,"CAL5")),0)</f>
        <v>0</v>
      </c>
      <c r="AC22" s="20" t="str">
        <f ca="1">IF(CALC2223!BB22&gt;2,INDIRECT(ADDRESS(MATCH(Agenda2526!C23,'CAL5'!A:A,0)+2,2,4,1,"CAL5")),"")</f>
        <v/>
      </c>
      <c r="AD22" s="21">
        <f ca="1">IF(CALC2223!BB22&gt;2,INDIRECT(ADDRESS(MATCH(Agenda2526!C23,'CAL5'!A:A,0)+2,3,4,1,"CAL5")),0)</f>
        <v>0</v>
      </c>
      <c r="AE22" s="20" t="str">
        <f ca="1">IF(CALC2223!BC22&gt;0,INDIRECT(ADDRESS(MATCH(Agenda2526!C23,'CAL6'!A:A,0),2,4,1,"CAL6")),"")</f>
        <v/>
      </c>
      <c r="AF22" s="21">
        <f ca="1">IF(CALC2223!BC22&gt;0,INDIRECT(ADDRESS(MATCH(Agenda2526!C23,'CAL6'!A:A,0),3,4,1,"CAL6")),0)</f>
        <v>0</v>
      </c>
      <c r="AG22" s="20" t="str">
        <f ca="1">IF(CALC2223!BC22&gt;1,INDIRECT(ADDRESS(MATCH(Agenda2526!C23,'CAL6'!A:A,0)+1,2,4,1,"CAL6")),"")</f>
        <v/>
      </c>
      <c r="AH22" s="21">
        <f ca="1">IF(CALC2223!BC22&gt;1,INDIRECT(ADDRESS(MATCH(Agenda2526!C23,'CAL6'!A:A,0)+1,3,4,1,"CAL6")),0)</f>
        <v>0</v>
      </c>
      <c r="AI22" s="20" t="str">
        <f ca="1">IF(CALC2223!BC22&gt;2,INDIRECT(ADDRESS(MATCH(Agenda2526!C23,'CAL6'!A:A,0)+2,2,4,1,"CAL6")),"")</f>
        <v/>
      </c>
      <c r="AJ22" s="21">
        <f ca="1">IF(CALC2223!BC22&gt;2,INDIRECT(ADDRESS(MATCH(Agenda2526!C23,'CAL6'!A:A,0)+2,3,4,1,"CAL6")),0)</f>
        <v>0</v>
      </c>
      <c r="AK22" s="20" t="str">
        <f ca="1">IF(CALC2223!BD22&gt;0,INDIRECT(ADDRESS(MATCH(Agenda2526!C23,'CAL7'!A:A,0),2,4,1,"CAL7")),"")</f>
        <v/>
      </c>
      <c r="AL22" s="21">
        <f ca="1">IF(CALC2223!BD22&gt;0,INDIRECT(ADDRESS(MATCH(Agenda2526!C23,'CAL7'!A:A,0),3,4,1,"CAL7")),0)</f>
        <v>0</v>
      </c>
      <c r="AM22" s="20" t="str">
        <f ca="1">IF(CALC2223!BD22&gt;1,INDIRECT(ADDRESS(MATCH(Agenda2526!C23,'CAL7'!A:A,0)+1,2,4,1,"CAL7")),"")</f>
        <v/>
      </c>
      <c r="AN22" s="21">
        <f ca="1">IF(CALC2223!BD22&gt;1,INDIRECT(ADDRESS(MATCH(Agenda2526!C23,'CAL7'!A:A,0)+1,3,4,1,"CAL7")),0)</f>
        <v>0</v>
      </c>
      <c r="AO22" s="20" t="str">
        <f ca="1">IF(CALC2223!BD22&gt;2,INDIRECT(ADDRESS(MATCH(Agenda2526!C23,'CAL7'!A:A,0)+2,2,4,1,"CAL7")),"")</f>
        <v/>
      </c>
      <c r="AP22" s="21">
        <f ca="1">IF(CALC2223!BD22&gt;2,INDIRECT(ADDRESS(MATCH(Agenda2526!C23,'CAL7'!A:A,0)+2,3,4,1,"CAL7")),0)</f>
        <v>0</v>
      </c>
      <c r="AQ22" s="20" t="str">
        <f ca="1">IF(CALC2223!BE22&gt;0,INDIRECT(ADDRESS(MATCH(Agenda2526!C23,'CAL8'!A:A,0),2,4,1,"CAL8")),"")</f>
        <v/>
      </c>
      <c r="AR22" s="21">
        <f ca="1">IF(CALC2223!BE22&gt;0,INDIRECT(ADDRESS(MATCH(Agenda2526!C23,'CAL8'!A:A,0),3,4,1,"CAL8")),0)</f>
        <v>0</v>
      </c>
      <c r="AS22" s="20" t="str">
        <f ca="1">IF(CALC2223!BE22&gt;1,INDIRECT(ADDRESS(MATCH(Agenda2526!C23,'CAL8'!A:A,0)+1,2,4,1,"CAL8")),"")</f>
        <v/>
      </c>
      <c r="AT22" s="21">
        <f ca="1">IF(CALC2223!BE22&gt;1,INDIRECT(ADDRESS(MATCH(Agenda2526!C23,'CAL8'!A:A,0)+1,3,4,1,"CAL8")),0)</f>
        <v>0</v>
      </c>
      <c r="AU22" s="20" t="str">
        <f ca="1">IF(CALC2223!BE22&gt;2,INDIRECT(ADDRESS(MATCH(Agenda2526!C23,'CAL8'!A:A,0)+2,2,4,1,"CAL8")),"")</f>
        <v/>
      </c>
      <c r="AV22" s="21">
        <f ca="1">IF(CALC2223!BE22&gt;2,INDIRECT(ADDRESS(MATCH(Agenda2526!C23,'CAL8'!A:A,0)+2,3,4,1,"CAL8")),0)</f>
        <v>0</v>
      </c>
      <c r="AW22" s="106"/>
      <c r="AX22" s="20">
        <f>COUNTIF('CAL1'!A:A,Agenda2526!C23)</f>
        <v>0</v>
      </c>
      <c r="AY22" s="20">
        <f>COUNTIF('CAL2'!A:A,Agenda2526!C23)</f>
        <v>0</v>
      </c>
      <c r="AZ22" s="20">
        <f>COUNTIF('CAL3'!A:A,Agenda2526!C23)</f>
        <v>0</v>
      </c>
      <c r="BA22" s="20">
        <f>COUNTIF('CAL4'!A:A,Agenda2526!C23)</f>
        <v>0</v>
      </c>
      <c r="BB22" s="20">
        <f>COUNTIF('CAL5'!A:A,Agenda2526!C23)</f>
        <v>0</v>
      </c>
      <c r="BC22" s="20">
        <f>COUNTIF('CAL6'!A:A,Agenda2526!C23)</f>
        <v>0</v>
      </c>
      <c r="BD22" s="20">
        <f>COUNTIF('CAL7'!A:A,Agenda2526!C23)</f>
        <v>0</v>
      </c>
      <c r="BE22" s="20">
        <f>COUNTIF('CAL8'!A:A,Agenda2526!C23)</f>
        <v>0</v>
      </c>
    </row>
    <row r="23" spans="1:57" ht="15.75" customHeight="1">
      <c r="A23" s="20" t="str">
        <f ca="1">IF(CALC2223!AX23&gt;0,INDIRECT(ADDRESS(MATCH(Agenda2526!C24,'CAL1'!A:A,0),2,4,1,"CAL1")),"")</f>
        <v/>
      </c>
      <c r="B23" s="21">
        <f ca="1">IF(CALC2223!AX23&gt;0,INDIRECT(ADDRESS(MATCH(Agenda2526!C24,'CAL1'!A:A,0),3,4,1,"CAL1")),0)</f>
        <v>0</v>
      </c>
      <c r="C23" s="20" t="str">
        <f ca="1">IF(CALC2223!AX23&gt;1,INDIRECT(ADDRESS(MATCH(Agenda2526!C24,'CAL1'!A:A,0)+1,2,4,1,"CAL1")),"")</f>
        <v/>
      </c>
      <c r="D23" s="21">
        <f ca="1">IF(CALC2223!AX23&gt;1,INDIRECT(ADDRESS(MATCH(Agenda2526!C24,'CAL1'!A:A,0)+1,3,4,1,"CAL1")),0)</f>
        <v>0</v>
      </c>
      <c r="E23" s="20" t="str">
        <f ca="1">IF(CALC2223!AX23&gt;2,INDIRECT(ADDRESS(MATCH(Agenda2526!C24,'CAL1'!A:A,0)+2,2,4,1,"CAL1")),"")</f>
        <v/>
      </c>
      <c r="F23" s="21">
        <f ca="1">IF(CALC2223!AX23&gt;2,INDIRECT(ADDRESS(MATCH(Agenda2526!C24,'CAL1'!A:A,0)+2,3,4,1,"CAL1")),0)</f>
        <v>0</v>
      </c>
      <c r="G23" s="20" t="str">
        <f ca="1">IF(CALC2223!AY23&gt;0,INDIRECT(ADDRESS(MATCH(Agenda2526!C24,'CAL2'!A:A,0),2,4,1,"CAL2")),"")</f>
        <v/>
      </c>
      <c r="H23" s="21">
        <f ca="1">IF(CALC2223!AY23&gt;0,INDIRECT(ADDRESS(MATCH(Agenda2526!C24,'CAL2'!A:A,0),3,4,1,"CAL2")),0)</f>
        <v>0</v>
      </c>
      <c r="I23" s="20" t="str">
        <f ca="1">IF(CALC2223!AY23&gt;1,INDIRECT(ADDRESS(MATCH(Agenda2526!C24,'CAL2'!A:A,0)+1,2,4,1,"CAL2")),"")</f>
        <v/>
      </c>
      <c r="J23" s="21">
        <f ca="1">IF(CALC2223!AY23&gt;1,INDIRECT(ADDRESS(MATCH(Agenda2526!C24,'CAL2'!A:A,0)+1,3,4,1,"CAL2")),0)</f>
        <v>0</v>
      </c>
      <c r="K23" s="20" t="str">
        <f ca="1">IF(CALC2223!AY23&gt;2,INDIRECT(ADDRESS(MATCH(Agenda2526!C24,'CAL2'!A:A,0)+2,2,4,1,"CAL2")),"")</f>
        <v/>
      </c>
      <c r="L23" s="21">
        <f ca="1">IF(CALC2223!AY23&gt;2,INDIRECT(ADDRESS(MATCH(Agenda2526!C24,'CAL2'!A:A,0)+2,3,4,1,"CAL2")),0)</f>
        <v>0</v>
      </c>
      <c r="M23" s="20" t="str">
        <f ca="1">IF(CALC2223!AZ23&gt;0,INDIRECT(ADDRESS(MATCH(Agenda2526!C24,'CAL3'!A:A,0),2,4,1,"CAL3")),"")</f>
        <v/>
      </c>
      <c r="N23" s="21">
        <f ca="1">IF(CALC2223!AZ23&gt;0,INDIRECT(ADDRESS(MATCH(Agenda2526!C24,'CAL3'!A:A,0),3,4,1,"CAL3")),0)</f>
        <v>0</v>
      </c>
      <c r="O23" s="20" t="str">
        <f ca="1">IF(CALC2223!AZ23&gt;1,INDIRECT(ADDRESS(MATCH(Agenda2526!C24,'CAL3'!A:A,0)+1,2,4,1,"CAL3")),"")</f>
        <v/>
      </c>
      <c r="P23" s="21">
        <f ca="1">IF(CALC2223!AZ23&gt;1,INDIRECT(ADDRESS(MATCH(Agenda2526!C24,'CAL3'!A:A,0)+1,3,4,1,"CAL3")),0)</f>
        <v>0</v>
      </c>
      <c r="Q23" s="20" t="str">
        <f ca="1">IF(CALC2223!AZ23&gt;2,INDIRECT(ADDRESS(MATCH(Agenda2526!C24,'CAL3'!A:A,0)+2,2,4,1,"CAL3")),"")</f>
        <v/>
      </c>
      <c r="R23" s="21">
        <f ca="1">IF(CALC2223!AZ23&gt;2,INDIRECT(ADDRESS(MATCH(Agenda2526!C24,'CAL3'!A:A,0)+2,3,4,1,"CAL3")),0)</f>
        <v>0</v>
      </c>
      <c r="S23" s="20" t="str">
        <f ca="1">IF(CALC2223!BA23&gt;0,INDIRECT(ADDRESS(MATCH(Agenda2526!C24,'CAL4'!A:A,0),2,4,1,"CAL4")),"")</f>
        <v/>
      </c>
      <c r="T23" s="21">
        <f ca="1">IF(CALC2223!BA23&gt;0,INDIRECT(ADDRESS(MATCH(Agenda2526!C24,'CAL4'!A:A,0),3,4,1,"CAL4")),0)</f>
        <v>0</v>
      </c>
      <c r="U23" s="20" t="str">
        <f ca="1">IF(CALC2223!BA23&gt;1,INDIRECT(ADDRESS(MATCH(Agenda2526!C24,'CAL4'!A:A,0)+1,2,4,1,"CAL4")),"")</f>
        <v/>
      </c>
      <c r="V23" s="21">
        <f ca="1">IF(CALC2223!BA23&gt;1,INDIRECT(ADDRESS(MATCH(Agenda2526!C24,'CAL4'!A:A,0)+1,3,4,1,"CAL4")),0)</f>
        <v>0</v>
      </c>
      <c r="W23" s="20" t="str">
        <f ca="1">IF(CALC2223!BA23&gt;2,INDIRECT(ADDRESS(MATCH(Agenda2526!C24,'CAL4'!A:A,0)+2,2,4,1,"CAL4")),"")</f>
        <v/>
      </c>
      <c r="X23" s="21">
        <f ca="1">IF(CALC2223!BA23&gt;2,INDIRECT(ADDRESS(MATCH(Agenda2526!C24,'CAL4'!A:A,0)+2,3,4,1,"CAL4")),0)</f>
        <v>0</v>
      </c>
      <c r="Y23" s="20" t="str">
        <f ca="1">IF(CALC2223!BB23&gt;0,INDIRECT(ADDRESS(MATCH(Agenda2526!C24,'CAL5'!A:A,0),2,4,1,"CAL5")),"")</f>
        <v/>
      </c>
      <c r="Z23" s="21">
        <f ca="1">IF(CALC2223!BB23&gt;0,INDIRECT(ADDRESS(MATCH(Agenda2526!C24,'CAL5'!A:A,0),3,4,1,"CAL5")),0)</f>
        <v>0</v>
      </c>
      <c r="AA23" s="20" t="str">
        <f ca="1">IF(CALC2223!BB23&gt;1,INDIRECT(ADDRESS(MATCH(Agenda2526!C24,'CAL5'!A:A,0)+1,2,4,1,"CAL5")),"")</f>
        <v/>
      </c>
      <c r="AB23" s="21">
        <f ca="1">IF(CALC2223!BB23&gt;1,INDIRECT(ADDRESS(MATCH(Agenda2526!C24,'CAL5'!A:A,0)+1,3,4,1,"CAL5")),0)</f>
        <v>0</v>
      </c>
      <c r="AC23" s="20" t="str">
        <f ca="1">IF(CALC2223!BB23&gt;2,INDIRECT(ADDRESS(MATCH(Agenda2526!C24,'CAL5'!A:A,0)+2,2,4,1,"CAL5")),"")</f>
        <v/>
      </c>
      <c r="AD23" s="21">
        <f ca="1">IF(CALC2223!BB23&gt;2,INDIRECT(ADDRESS(MATCH(Agenda2526!C24,'CAL5'!A:A,0)+2,3,4,1,"CAL5")),0)</f>
        <v>0</v>
      </c>
      <c r="AE23" s="20" t="str">
        <f ca="1">IF(CALC2223!BC23&gt;0,INDIRECT(ADDRESS(MATCH(Agenda2526!C24,'CAL6'!A:A,0),2,4,1,"CAL6")),"")</f>
        <v/>
      </c>
      <c r="AF23" s="21">
        <f ca="1">IF(CALC2223!BC23&gt;0,INDIRECT(ADDRESS(MATCH(Agenda2526!C24,'CAL6'!A:A,0),3,4,1,"CAL6")),0)</f>
        <v>0</v>
      </c>
      <c r="AG23" s="20" t="str">
        <f ca="1">IF(CALC2223!BC23&gt;1,INDIRECT(ADDRESS(MATCH(Agenda2526!C24,'CAL6'!A:A,0)+1,2,4,1,"CAL6")),"")</f>
        <v/>
      </c>
      <c r="AH23" s="21">
        <f ca="1">IF(CALC2223!BC23&gt;1,INDIRECT(ADDRESS(MATCH(Agenda2526!C24,'CAL6'!A:A,0)+1,3,4,1,"CAL6")),0)</f>
        <v>0</v>
      </c>
      <c r="AI23" s="20" t="str">
        <f ca="1">IF(CALC2223!BC23&gt;2,INDIRECT(ADDRESS(MATCH(Agenda2526!C24,'CAL6'!A:A,0)+2,2,4,1,"CAL6")),"")</f>
        <v/>
      </c>
      <c r="AJ23" s="21">
        <f ca="1">IF(CALC2223!BC23&gt;2,INDIRECT(ADDRESS(MATCH(Agenda2526!C24,'CAL6'!A:A,0)+2,3,4,1,"CAL6")),0)</f>
        <v>0</v>
      </c>
      <c r="AK23" s="20" t="str">
        <f ca="1">IF(CALC2223!BD23&gt;0,INDIRECT(ADDRESS(MATCH(Agenda2526!C24,'CAL7'!A:A,0),2,4,1,"CAL7")),"")</f>
        <v/>
      </c>
      <c r="AL23" s="21">
        <f ca="1">IF(CALC2223!BD23&gt;0,INDIRECT(ADDRESS(MATCH(Agenda2526!C24,'CAL7'!A:A,0),3,4,1,"CAL7")),0)</f>
        <v>0</v>
      </c>
      <c r="AM23" s="20" t="str">
        <f ca="1">IF(CALC2223!BD23&gt;1,INDIRECT(ADDRESS(MATCH(Agenda2526!C24,'CAL7'!A:A,0)+1,2,4,1,"CAL7")),"")</f>
        <v/>
      </c>
      <c r="AN23" s="21">
        <f ca="1">IF(CALC2223!BD23&gt;1,INDIRECT(ADDRESS(MATCH(Agenda2526!C24,'CAL7'!A:A,0)+1,3,4,1,"CAL7")),0)</f>
        <v>0</v>
      </c>
      <c r="AO23" s="20" t="str">
        <f ca="1">IF(CALC2223!BD23&gt;2,INDIRECT(ADDRESS(MATCH(Agenda2526!C24,'CAL7'!A:A,0)+2,2,4,1,"CAL7")),"")</f>
        <v/>
      </c>
      <c r="AP23" s="21">
        <f ca="1">IF(CALC2223!BD23&gt;2,INDIRECT(ADDRESS(MATCH(Agenda2526!C24,'CAL7'!A:A,0)+2,3,4,1,"CAL7")),0)</f>
        <v>0</v>
      </c>
      <c r="AQ23" s="20" t="str">
        <f ca="1">IF(CALC2223!BE23&gt;0,INDIRECT(ADDRESS(MATCH(Agenda2526!C24,'CAL8'!A:A,0),2,4,1,"CAL8")),"")</f>
        <v/>
      </c>
      <c r="AR23" s="21">
        <f ca="1">IF(CALC2223!BE23&gt;0,INDIRECT(ADDRESS(MATCH(Agenda2526!C24,'CAL8'!A:A,0),3,4,1,"CAL8")),0)</f>
        <v>0</v>
      </c>
      <c r="AS23" s="20" t="str">
        <f ca="1">IF(CALC2223!BE23&gt;1,INDIRECT(ADDRESS(MATCH(Agenda2526!C24,'CAL8'!A:A,0)+1,2,4,1,"CAL8")),"")</f>
        <v/>
      </c>
      <c r="AT23" s="21">
        <f ca="1">IF(CALC2223!BE23&gt;1,INDIRECT(ADDRESS(MATCH(Agenda2526!C24,'CAL8'!A:A,0)+1,3,4,1,"CAL8")),0)</f>
        <v>0</v>
      </c>
      <c r="AU23" s="20" t="str">
        <f ca="1">IF(CALC2223!BE23&gt;2,INDIRECT(ADDRESS(MATCH(Agenda2526!C24,'CAL8'!A:A,0)+2,2,4,1,"CAL8")),"")</f>
        <v/>
      </c>
      <c r="AV23" s="21">
        <f ca="1">IF(CALC2223!BE23&gt;2,INDIRECT(ADDRESS(MATCH(Agenda2526!C24,'CAL8'!A:A,0)+2,3,4,1,"CAL8")),0)</f>
        <v>0</v>
      </c>
      <c r="AW23" s="105"/>
      <c r="AX23" s="20">
        <f>COUNTIF('CAL1'!A:A,Agenda2526!C24)</f>
        <v>0</v>
      </c>
      <c r="AY23" s="20">
        <f>COUNTIF('CAL2'!A:A,Agenda2526!C24)</f>
        <v>0</v>
      </c>
      <c r="AZ23" s="20">
        <f>COUNTIF('CAL3'!A:A,Agenda2526!C24)</f>
        <v>0</v>
      </c>
      <c r="BA23" s="20">
        <f>COUNTIF('CAL4'!A:A,Agenda2526!C24)</f>
        <v>0</v>
      </c>
      <c r="BB23" s="20">
        <f>COUNTIF('CAL5'!A:A,Agenda2526!C24)</f>
        <v>0</v>
      </c>
      <c r="BC23" s="20">
        <f>COUNTIF('CAL6'!A:A,Agenda2526!C24)</f>
        <v>0</v>
      </c>
      <c r="BD23" s="20">
        <f>COUNTIF('CAL7'!A:A,Agenda2526!C24)</f>
        <v>0</v>
      </c>
      <c r="BE23" s="20">
        <f>COUNTIF('CAL8'!A:A,Agenda2526!C24)</f>
        <v>0</v>
      </c>
    </row>
    <row r="24" spans="1:57" ht="15.75" customHeight="1">
      <c r="A24" s="20" t="str">
        <f ca="1">IF(CALC2223!AX24&gt;0,INDIRECT(ADDRESS(MATCH(Agenda2526!C25,'CAL1'!A:A,0),2,4,1,"CAL1")),"")</f>
        <v>BKK EFG</v>
      </c>
      <c r="B24" s="21">
        <f ca="1">IF(CALC2223!AX24&gt;0,INDIRECT(ADDRESS(MATCH(Agenda2526!C25,'CAL1'!A:A,0),3,4,1,"CAL1")),0)</f>
        <v>45896</v>
      </c>
      <c r="C24" s="20" t="str">
        <f ca="1">IF(CALC2223!AX24&gt;1,INDIRECT(ADDRESS(MATCH(Agenda2526!C25,'CAL1'!A:A,0)+1,2,4,1,"CAL1")),"")</f>
        <v/>
      </c>
      <c r="D24" s="21">
        <f ca="1">IF(CALC2223!AX24&gt;1,INDIRECT(ADDRESS(MATCH(Agenda2526!C25,'CAL1'!A:A,0)+1,3,4,1,"CAL1")),0)</f>
        <v>0</v>
      </c>
      <c r="E24" s="20" t="str">
        <f ca="1">IF(CALC2223!AX24&gt;2,INDIRECT(ADDRESS(MATCH(Agenda2526!C25,'CAL1'!A:A,0)+2,2,4,1,"CAL1")),"")</f>
        <v/>
      </c>
      <c r="F24" s="21">
        <f ca="1">IF(CALC2223!AX24&gt;2,INDIRECT(ADDRESS(MATCH(Agenda2526!C25,'CAL1'!A:A,0)+2,3,4,1,"CAL1")),0)</f>
        <v>0</v>
      </c>
      <c r="G24" s="20" t="str">
        <f ca="1">IF(CALC2223!AY24&gt;0,INDIRECT(ADDRESS(MATCH(Agenda2526!C25,'CAL2'!A:A,0),2,4,1,"CAL2")),"")</f>
        <v/>
      </c>
      <c r="H24" s="21">
        <f ca="1">IF(CALC2223!AY24&gt;0,INDIRECT(ADDRESS(MATCH(Agenda2526!C25,'CAL2'!A:A,0),3,4,1,"CAL2")),0)</f>
        <v>0</v>
      </c>
      <c r="I24" s="20" t="str">
        <f ca="1">IF(CALC2223!AY24&gt;1,INDIRECT(ADDRESS(MATCH(Agenda2526!C25,'CAL2'!A:A,0)+1,2,4,1,"CAL2")),"")</f>
        <v/>
      </c>
      <c r="J24" s="21">
        <f ca="1">IF(CALC2223!AY24&gt;1,INDIRECT(ADDRESS(MATCH(Agenda2526!C25,'CAL2'!A:A,0)+1,3,4,1,"CAL2")),0)</f>
        <v>0</v>
      </c>
      <c r="K24" s="20" t="str">
        <f ca="1">IF(CALC2223!AY24&gt;2,INDIRECT(ADDRESS(MATCH(Agenda2526!C25,'CAL2'!A:A,0)+2,2,4,1,"CAL2")),"")</f>
        <v/>
      </c>
      <c r="L24" s="21">
        <f ca="1">IF(CALC2223!AY24&gt;2,INDIRECT(ADDRESS(MATCH(Agenda2526!C25,'CAL2'!A:A,0)+2,3,4,1,"CAL2")),0)</f>
        <v>0</v>
      </c>
      <c r="M24" s="20" t="str">
        <f ca="1">IF(CALC2223!AZ24&gt;0,INDIRECT(ADDRESS(MATCH(Agenda2526!C25,'CAL3'!A:A,0),2,4,1,"CAL3")),"")</f>
        <v/>
      </c>
      <c r="N24" s="21">
        <f ca="1">IF(CALC2223!AZ24&gt;0,INDIRECT(ADDRESS(MATCH(Agenda2526!C25,'CAL3'!A:A,0),3,4,1,"CAL3")),0)</f>
        <v>0</v>
      </c>
      <c r="O24" s="20" t="str">
        <f ca="1">IF(CALC2223!AZ24&gt;1,INDIRECT(ADDRESS(MATCH(Agenda2526!C25,'CAL3'!A:A,0)+1,2,4,1,"CAL3")),"")</f>
        <v/>
      </c>
      <c r="P24" s="21">
        <f ca="1">IF(CALC2223!AZ24&gt;1,INDIRECT(ADDRESS(MATCH(Agenda2526!C25,'CAL3'!A:A,0)+1,3,4,1,"CAL3")),0)</f>
        <v>0</v>
      </c>
      <c r="Q24" s="20" t="str">
        <f ca="1">IF(CALC2223!AZ24&gt;2,INDIRECT(ADDRESS(MATCH(Agenda2526!C25,'CAL3'!A:A,0)+2,2,4,1,"CAL3")),"")</f>
        <v/>
      </c>
      <c r="R24" s="21">
        <f ca="1">IF(CALC2223!AZ24&gt;2,INDIRECT(ADDRESS(MATCH(Agenda2526!C25,'CAL3'!A:A,0)+2,3,4,1,"CAL3")),0)</f>
        <v>0</v>
      </c>
      <c r="S24" s="20" t="str">
        <f ca="1">IF(CALC2223!BA24&gt;0,INDIRECT(ADDRESS(MATCH(Agenda2526!C25,'CAL4'!A:A,0),2,4,1,"CAL4")),"")</f>
        <v/>
      </c>
      <c r="T24" s="21">
        <f ca="1">IF(CALC2223!BA24&gt;0,INDIRECT(ADDRESS(MATCH(Agenda2526!C25,'CAL4'!A:A,0),3,4,1,"CAL4")),0)</f>
        <v>0</v>
      </c>
      <c r="U24" s="20" t="str">
        <f ca="1">IF(CALC2223!BA24&gt;1,INDIRECT(ADDRESS(MATCH(Agenda2526!C25,'CAL4'!A:A,0)+1,2,4,1,"CAL4")),"")</f>
        <v/>
      </c>
      <c r="V24" s="21">
        <f ca="1">IF(CALC2223!BA24&gt;1,INDIRECT(ADDRESS(MATCH(Agenda2526!C25,'CAL4'!A:A,0)+1,3,4,1,"CAL4")),0)</f>
        <v>0</v>
      </c>
      <c r="W24" s="20" t="str">
        <f ca="1">IF(CALC2223!BA24&gt;2,INDIRECT(ADDRESS(MATCH(Agenda2526!C25,'CAL4'!A:A,0)+2,2,4,1,"CAL4")),"")</f>
        <v/>
      </c>
      <c r="X24" s="21">
        <f ca="1">IF(CALC2223!BA24&gt;2,INDIRECT(ADDRESS(MATCH(Agenda2526!C25,'CAL4'!A:A,0)+2,3,4,1,"CAL4")),0)</f>
        <v>0</v>
      </c>
      <c r="Y24" s="20" t="str">
        <f ca="1">IF(CALC2223!BB24&gt;0,INDIRECT(ADDRESS(MATCH(Agenda2526!C25,'CAL5'!A:A,0),2,4,1,"CAL5")),"")</f>
        <v>inh rep EN</v>
      </c>
      <c r="Z24" s="21">
        <f ca="1">IF(CALC2223!BB24&gt;0,INDIRECT(ADDRESS(MATCH(Agenda2526!C25,'CAL5'!A:A,0),3,4,1,"CAL5")),0)</f>
        <v>45923</v>
      </c>
      <c r="AA24" s="20" t="str">
        <f ca="1">IF(CALC2223!BB24&gt;1,INDIRECT(ADDRESS(MATCH(Agenda2526!C25,'CAL5'!A:A,0)+1,2,4,1,"CAL5")),"")</f>
        <v>inh rep SK</v>
      </c>
      <c r="AB24" s="21">
        <f ca="1">IF(CALC2223!BB24&gt;1,INDIRECT(ADDRESS(MATCH(Agenda2526!C25,'CAL5'!A:A,0)+1,3,4,1,"CAL5")),0)</f>
        <v>45923</v>
      </c>
      <c r="AC24" s="20" t="str">
        <f ca="1">IF(CALC2223!BB24&gt;2,INDIRECT(ADDRESS(MATCH(Agenda2526!C25,'CAL5'!A:A,0)+2,2,4,1,"CAL5")),"")</f>
        <v/>
      </c>
      <c r="AD24" s="21">
        <f ca="1">IF(CALC2223!BB24&gt;2,INDIRECT(ADDRESS(MATCH(Agenda2526!C25,'CAL5'!A:A,0)+2,3,4,1,"CAL5")),0)</f>
        <v>0</v>
      </c>
      <c r="AE24" s="20" t="str">
        <f ca="1">IF(CALC2223!BC24&gt;0,INDIRECT(ADDRESS(MATCH(Agenda2526!C25,'CAL6'!A:A,0),2,4,1,"CAL6")),"")</f>
        <v/>
      </c>
      <c r="AF24" s="21">
        <f ca="1">IF(CALC2223!BC24&gt;0,INDIRECT(ADDRESS(MATCH(Agenda2526!C25,'CAL6'!A:A,0),3,4,1,"CAL6")),0)</f>
        <v>0</v>
      </c>
      <c r="AG24" s="20" t="str">
        <f ca="1">IF(CALC2223!BC24&gt;1,INDIRECT(ADDRESS(MATCH(Agenda2526!C25,'CAL6'!A:A,0)+1,2,4,1,"CAL6")),"")</f>
        <v/>
      </c>
      <c r="AH24" s="21">
        <f ca="1">IF(CALC2223!BC24&gt;1,INDIRECT(ADDRESS(MATCH(Agenda2526!C25,'CAL6'!A:A,0)+1,3,4,1,"CAL6")),0)</f>
        <v>0</v>
      </c>
      <c r="AI24" s="20" t="str">
        <f ca="1">IF(CALC2223!BC24&gt;2,INDIRECT(ADDRESS(MATCH(Agenda2526!C25,'CAL6'!A:A,0)+2,2,4,1,"CAL6")),"")</f>
        <v/>
      </c>
      <c r="AJ24" s="21">
        <f ca="1">IF(CALC2223!BC24&gt;2,INDIRECT(ADDRESS(MATCH(Agenda2526!C25,'CAL6'!A:A,0)+2,3,4,1,"CAL6")),0)</f>
        <v>0</v>
      </c>
      <c r="AK24" s="20" t="str">
        <f ca="1">IF(CALC2223!BD24&gt;0,INDIRECT(ADDRESS(MATCH(Agenda2526!C25,'CAL7'!A:A,0),2,4,1,"CAL7")),"")</f>
        <v/>
      </c>
      <c r="AL24" s="21">
        <f ca="1">IF(CALC2223!BD24&gt;0,INDIRECT(ADDRESS(MATCH(Agenda2526!C25,'CAL7'!A:A,0),3,4,1,"CAL7")),0)</f>
        <v>0</v>
      </c>
      <c r="AM24" s="20" t="str">
        <f ca="1">IF(CALC2223!BD24&gt;1,INDIRECT(ADDRESS(MATCH(Agenda2526!C25,'CAL7'!A:A,0)+1,2,4,1,"CAL7")),"")</f>
        <v/>
      </c>
      <c r="AN24" s="21">
        <f ca="1">IF(CALC2223!BD24&gt;1,INDIRECT(ADDRESS(MATCH(Agenda2526!C25,'CAL7'!A:A,0)+1,3,4,1,"CAL7")),0)</f>
        <v>0</v>
      </c>
      <c r="AO24" s="20" t="str">
        <f ca="1">IF(CALC2223!BD24&gt;2,INDIRECT(ADDRESS(MATCH(Agenda2526!C25,'CAL7'!A:A,0)+2,2,4,1,"CAL7")),"")</f>
        <v/>
      </c>
      <c r="AP24" s="21">
        <f ca="1">IF(CALC2223!BD24&gt;2,INDIRECT(ADDRESS(MATCH(Agenda2526!C25,'CAL7'!A:A,0)+2,3,4,1,"CAL7")),0)</f>
        <v>0</v>
      </c>
      <c r="AQ24" s="20" t="str">
        <f ca="1">IF(CALC2223!BE24&gt;0,INDIRECT(ADDRESS(MATCH(Agenda2526!C25,'CAL8'!A:A,0),2,4,1,"CAL8")),"")</f>
        <v/>
      </c>
      <c r="AR24" s="21">
        <f ca="1">IF(CALC2223!BE24&gt;0,INDIRECT(ADDRESS(MATCH(Agenda2526!C25,'CAL8'!A:A,0),3,4,1,"CAL8")),0)</f>
        <v>0</v>
      </c>
      <c r="AS24" s="20" t="str">
        <f ca="1">IF(CALC2223!BE24&gt;1,INDIRECT(ADDRESS(MATCH(Agenda2526!C25,'CAL8'!A:A,0)+1,2,4,1,"CAL8")),"")</f>
        <v/>
      </c>
      <c r="AT24" s="21">
        <f ca="1">IF(CALC2223!BE24&gt;1,INDIRECT(ADDRESS(MATCH(Agenda2526!C25,'CAL8'!A:A,0)+1,3,4,1,"CAL8")),0)</f>
        <v>0</v>
      </c>
      <c r="AU24" s="20" t="str">
        <f ca="1">IF(CALC2223!BE24&gt;2,INDIRECT(ADDRESS(MATCH(Agenda2526!C25,'CAL8'!A:A,0)+2,2,4,1,"CAL8")),"")</f>
        <v/>
      </c>
      <c r="AV24" s="21">
        <f ca="1">IF(CALC2223!BE24&gt;2,INDIRECT(ADDRESS(MATCH(Agenda2526!C25,'CAL8'!A:A,0)+2,3,4,1,"CAL8")),0)</f>
        <v>0</v>
      </c>
      <c r="AW24" s="105"/>
      <c r="AX24" s="20">
        <f>COUNTIF('CAL1'!A:A,Agenda2526!C25)</f>
        <v>1</v>
      </c>
      <c r="AY24" s="20">
        <f>COUNTIF('CAL2'!A:A,Agenda2526!C25)</f>
        <v>0</v>
      </c>
      <c r="AZ24" s="20">
        <f>COUNTIF('CAL3'!A:A,Agenda2526!C25)</f>
        <v>0</v>
      </c>
      <c r="BA24" s="20">
        <f>COUNTIF('CAL4'!A:A,Agenda2526!C25)</f>
        <v>0</v>
      </c>
      <c r="BB24" s="20">
        <f>COUNTIF('CAL5'!A:A,Agenda2526!C25)</f>
        <v>2</v>
      </c>
      <c r="BC24" s="20">
        <f>COUNTIF('CAL6'!A:A,Agenda2526!C25)</f>
        <v>0</v>
      </c>
      <c r="BD24" s="20">
        <f>COUNTIF('CAL7'!A:A,Agenda2526!C25)</f>
        <v>0</v>
      </c>
      <c r="BE24" s="20">
        <f>COUNTIF('CAL8'!A:A,Agenda2526!C25)</f>
        <v>0</v>
      </c>
    </row>
    <row r="25" spans="1:57" ht="15.75" customHeight="1">
      <c r="A25" s="20" t="str">
        <f ca="1">IF(CALC2223!AX25&gt;0,INDIRECT(ADDRESS(MATCH(Agenda2526!C26,'CAL1'!A:A,0),2,4,1,"CAL1")),"")</f>
        <v>BKK EFG</v>
      </c>
      <c r="B25" s="21">
        <f ca="1">IF(CALC2223!AX25&gt;0,INDIRECT(ADDRESS(MATCH(Agenda2526!C26,'CAL1'!A:A,0),3,4,1,"CAL1")),0)</f>
        <v>45896</v>
      </c>
      <c r="C25" s="20" t="str">
        <f ca="1">IF(CALC2223!AX25&gt;1,INDIRECT(ADDRESS(MATCH(Agenda2526!C26,'CAL1'!A:A,0)+1,2,4,1,"CAL1")),"")</f>
        <v/>
      </c>
      <c r="D25" s="21">
        <f ca="1">IF(CALC2223!AX25&gt;1,INDIRECT(ADDRESS(MATCH(Agenda2526!C26,'CAL1'!A:A,0)+1,3,4,1,"CAL1")),0)</f>
        <v>0</v>
      </c>
      <c r="E25" s="20" t="str">
        <f ca="1">IF(CALC2223!AX25&gt;2,INDIRECT(ADDRESS(MATCH(Agenda2526!C26,'CAL1'!A:A,0)+2,2,4,1,"CAL1")),"")</f>
        <v/>
      </c>
      <c r="F25" s="21">
        <f ca="1">IF(CALC2223!AX25&gt;2,INDIRECT(ADDRESS(MATCH(Agenda2526!C26,'CAL1'!A:A,0)+2,3,4,1,"CAL1")),0)</f>
        <v>0</v>
      </c>
      <c r="G25" s="20" t="str">
        <f ca="1">IF(CALC2223!AY25&gt;0,INDIRECT(ADDRESS(MATCH(Agenda2526!C26,'CAL2'!A:A,0),2,4,1,"CAL2")),"")</f>
        <v/>
      </c>
      <c r="H25" s="21">
        <f ca="1">IF(CALC2223!AY25&gt;0,INDIRECT(ADDRESS(MATCH(Agenda2526!C26,'CAL2'!A:A,0),3,4,1,"CAL2")),0)</f>
        <v>0</v>
      </c>
      <c r="I25" s="20" t="str">
        <f ca="1">IF(CALC2223!AY25&gt;1,INDIRECT(ADDRESS(MATCH(Agenda2526!C26,'CAL2'!A:A,0)+1,2,4,1,"CAL2")),"")</f>
        <v/>
      </c>
      <c r="J25" s="21">
        <f ca="1">IF(CALC2223!AY25&gt;1,INDIRECT(ADDRESS(MATCH(Agenda2526!C26,'CAL2'!A:A,0)+1,3,4,1,"CAL2")),0)</f>
        <v>0</v>
      </c>
      <c r="K25" s="20" t="str">
        <f ca="1">IF(CALC2223!AY25&gt;2,INDIRECT(ADDRESS(MATCH(Agenda2526!C26,'CAL2'!A:A,0)+2,2,4,1,"CAL2")),"")</f>
        <v/>
      </c>
      <c r="L25" s="21">
        <f ca="1">IF(CALC2223!AY25&gt;2,INDIRECT(ADDRESS(MATCH(Agenda2526!C26,'CAL2'!A:A,0)+2,3,4,1,"CAL2")),0)</f>
        <v>0</v>
      </c>
      <c r="M25" s="20" t="str">
        <f ca="1">IF(CALC2223!AZ25&gt;0,INDIRECT(ADDRESS(MATCH(Agenda2526!C26,'CAL3'!A:A,0),2,4,1,"CAL3")),"")</f>
        <v/>
      </c>
      <c r="N25" s="21">
        <f ca="1">IF(CALC2223!AZ25&gt;0,INDIRECT(ADDRESS(MATCH(Agenda2526!C26,'CAL3'!A:A,0),3,4,1,"CAL3")),0)</f>
        <v>0</v>
      </c>
      <c r="O25" s="20" t="str">
        <f ca="1">IF(CALC2223!AZ25&gt;1,INDIRECT(ADDRESS(MATCH(Agenda2526!C26,'CAL3'!A:A,0)+1,2,4,1,"CAL3")),"")</f>
        <v/>
      </c>
      <c r="P25" s="21">
        <f ca="1">IF(CALC2223!AZ25&gt;1,INDIRECT(ADDRESS(MATCH(Agenda2526!C26,'CAL3'!A:A,0)+1,3,4,1,"CAL3")),0)</f>
        <v>0</v>
      </c>
      <c r="Q25" s="20" t="str">
        <f ca="1">IF(CALC2223!AZ25&gt;2,INDIRECT(ADDRESS(MATCH(Agenda2526!C26,'CAL3'!A:A,0)+2,2,4,1,"CAL3")),"")</f>
        <v/>
      </c>
      <c r="R25" s="21">
        <f ca="1">IF(CALC2223!AZ25&gt;2,INDIRECT(ADDRESS(MATCH(Agenda2526!C26,'CAL3'!A:A,0)+2,3,4,1,"CAL3")),0)</f>
        <v>0</v>
      </c>
      <c r="S25" s="20" t="str">
        <f ca="1">IF(CALC2223!BA25&gt;0,INDIRECT(ADDRESS(MATCH(Agenda2526!C26,'CAL4'!A:A,0),2,4,1,"CAL4")),"")</f>
        <v/>
      </c>
      <c r="T25" s="21">
        <f ca="1">IF(CALC2223!BA25&gt;0,INDIRECT(ADDRESS(MATCH(Agenda2526!C26,'CAL4'!A:A,0),3,4,1,"CAL4")),0)</f>
        <v>0</v>
      </c>
      <c r="U25" s="20" t="str">
        <f ca="1">IF(CALC2223!BA25&gt;1,INDIRECT(ADDRESS(MATCH(Agenda2526!C26,'CAL4'!A:A,0)+1,2,4,1,"CAL4")),"")</f>
        <v/>
      </c>
      <c r="V25" s="21">
        <f ca="1">IF(CALC2223!BA25&gt;1,INDIRECT(ADDRESS(MATCH(Agenda2526!C26,'CAL4'!A:A,0)+1,3,4,1,"CAL4")),0)</f>
        <v>0</v>
      </c>
      <c r="W25" s="20" t="str">
        <f ca="1">IF(CALC2223!BA25&gt;2,INDIRECT(ADDRESS(MATCH(Agenda2526!C26,'CAL4'!A:A,0)+2,2,4,1,"CAL4")),"")</f>
        <v/>
      </c>
      <c r="X25" s="21">
        <f ca="1">IF(CALC2223!BA25&gt;2,INDIRECT(ADDRESS(MATCH(Agenda2526!C26,'CAL4'!A:A,0)+2,3,4,1,"CAL4")),0)</f>
        <v>0</v>
      </c>
      <c r="Y25" s="20" t="str">
        <f ca="1">IF(CALC2223!BB25&gt;0,INDIRECT(ADDRESS(MATCH(Agenda2526!C26,'CAL5'!A:A,0),2,4,1,"CAL5")),"")</f>
        <v/>
      </c>
      <c r="Z25" s="21">
        <f ca="1">IF(CALC2223!BB25&gt;0,INDIRECT(ADDRESS(MATCH(Agenda2526!C26,'CAL5'!A:A,0),3,4,1,"CAL5")),0)</f>
        <v>0</v>
      </c>
      <c r="AA25" s="20" t="str">
        <f ca="1">IF(CALC2223!BB25&gt;1,INDIRECT(ADDRESS(MATCH(Agenda2526!C26,'CAL5'!A:A,0)+1,2,4,1,"CAL5")),"")</f>
        <v/>
      </c>
      <c r="AB25" s="21">
        <f ca="1">IF(CALC2223!BB25&gt;1,INDIRECT(ADDRESS(MATCH(Agenda2526!C26,'CAL5'!A:A,0)+1,3,4,1,"CAL5")),0)</f>
        <v>0</v>
      </c>
      <c r="AC25" s="20" t="str">
        <f ca="1">IF(CALC2223!BB25&gt;2,INDIRECT(ADDRESS(MATCH(Agenda2526!C26,'CAL5'!A:A,0)+2,2,4,1,"CAL5")),"")</f>
        <v/>
      </c>
      <c r="AD25" s="21">
        <f ca="1">IF(CALC2223!BB25&gt;2,INDIRECT(ADDRESS(MATCH(Agenda2526!C26,'CAL5'!A:A,0)+2,3,4,1,"CAL5")),0)</f>
        <v>0</v>
      </c>
      <c r="AE25" s="20" t="str">
        <f ca="1">IF(CALC2223!BC25&gt;0,INDIRECT(ADDRESS(MATCH(Agenda2526!C26,'CAL6'!A:A,0),2,4,1,"CAL6")),"")</f>
        <v/>
      </c>
      <c r="AF25" s="21">
        <f ca="1">IF(CALC2223!BC25&gt;0,INDIRECT(ADDRESS(MATCH(Agenda2526!C26,'CAL6'!A:A,0),3,4,1,"CAL6")),0)</f>
        <v>0</v>
      </c>
      <c r="AG25" s="20" t="str">
        <f ca="1">IF(CALC2223!BC25&gt;1,INDIRECT(ADDRESS(MATCH(Agenda2526!C26,'CAL6'!A:A,0)+1,2,4,1,"CAL6")),"")</f>
        <v/>
      </c>
      <c r="AH25" s="21">
        <f ca="1">IF(CALC2223!BC25&gt;1,INDIRECT(ADDRESS(MATCH(Agenda2526!C26,'CAL6'!A:A,0)+1,3,4,1,"CAL6")),0)</f>
        <v>0</v>
      </c>
      <c r="AI25" s="20" t="str">
        <f ca="1">IF(CALC2223!BC25&gt;2,INDIRECT(ADDRESS(MATCH(Agenda2526!C26,'CAL6'!A:A,0)+2,2,4,1,"CAL6")),"")</f>
        <v/>
      </c>
      <c r="AJ25" s="21">
        <f ca="1">IF(CALC2223!BC25&gt;2,INDIRECT(ADDRESS(MATCH(Agenda2526!C26,'CAL6'!A:A,0)+2,3,4,1,"CAL6")),0)</f>
        <v>0</v>
      </c>
      <c r="AK25" s="20" t="str">
        <f ca="1">IF(CALC2223!BD25&gt;0,INDIRECT(ADDRESS(MATCH(Agenda2526!C26,'CAL7'!A:A,0),2,4,1,"CAL7")),"")</f>
        <v/>
      </c>
      <c r="AL25" s="21">
        <f ca="1">IF(CALC2223!BD25&gt;0,INDIRECT(ADDRESS(MATCH(Agenda2526!C26,'CAL7'!A:A,0),3,4,1,"CAL7")),0)</f>
        <v>0</v>
      </c>
      <c r="AM25" s="20" t="str">
        <f ca="1">IF(CALC2223!BD25&gt;1,INDIRECT(ADDRESS(MATCH(Agenda2526!C26,'CAL7'!A:A,0)+1,2,4,1,"CAL7")),"")</f>
        <v/>
      </c>
      <c r="AN25" s="21">
        <f ca="1">IF(CALC2223!BD25&gt;1,INDIRECT(ADDRESS(MATCH(Agenda2526!C26,'CAL7'!A:A,0)+1,3,4,1,"CAL7")),0)</f>
        <v>0</v>
      </c>
      <c r="AO25" s="20" t="str">
        <f ca="1">IF(CALC2223!BD25&gt;2,INDIRECT(ADDRESS(MATCH(Agenda2526!C26,'CAL7'!A:A,0)+2,2,4,1,"CAL7")),"")</f>
        <v/>
      </c>
      <c r="AP25" s="21">
        <f ca="1">IF(CALC2223!BD25&gt;2,INDIRECT(ADDRESS(MATCH(Agenda2526!C26,'CAL7'!A:A,0)+2,3,4,1,"CAL7")),0)</f>
        <v>0</v>
      </c>
      <c r="AQ25" s="20" t="str">
        <f ca="1">IF(CALC2223!BE25&gt;0,INDIRECT(ADDRESS(MATCH(Agenda2526!C26,'CAL8'!A:A,0),2,4,1,"CAL8")),"")</f>
        <v/>
      </c>
      <c r="AR25" s="21">
        <f ca="1">IF(CALC2223!BE25&gt;0,INDIRECT(ADDRESS(MATCH(Agenda2526!C26,'CAL8'!A:A,0),3,4,1,"CAL8")),0)</f>
        <v>0</v>
      </c>
      <c r="AS25" s="20" t="str">
        <f ca="1">IF(CALC2223!BE25&gt;1,INDIRECT(ADDRESS(MATCH(Agenda2526!C26,'CAL8'!A:A,0)+1,2,4,1,"CAL8")),"")</f>
        <v/>
      </c>
      <c r="AT25" s="21">
        <f ca="1">IF(CALC2223!BE25&gt;1,INDIRECT(ADDRESS(MATCH(Agenda2526!C26,'CAL8'!A:A,0)+1,3,4,1,"CAL8")),0)</f>
        <v>0</v>
      </c>
      <c r="AU25" s="20" t="str">
        <f ca="1">IF(CALC2223!BE25&gt;2,INDIRECT(ADDRESS(MATCH(Agenda2526!C26,'CAL8'!A:A,0)+2,2,4,1,"CAL8")),"")</f>
        <v/>
      </c>
      <c r="AV25" s="21">
        <f ca="1">IF(CALC2223!BE25&gt;2,INDIRECT(ADDRESS(MATCH(Agenda2526!C26,'CAL8'!A:A,0)+2,3,4,1,"CAL8")),0)</f>
        <v>0</v>
      </c>
      <c r="AW25" s="105"/>
      <c r="AX25" s="20">
        <f>COUNTIF('CAL1'!A:A,Agenda2526!C26)</f>
        <v>1</v>
      </c>
      <c r="AY25" s="20">
        <f>COUNTIF('CAL2'!A:A,Agenda2526!C26)</f>
        <v>0</v>
      </c>
      <c r="AZ25" s="20">
        <f>COUNTIF('CAL3'!A:A,Agenda2526!C26)</f>
        <v>0</v>
      </c>
      <c r="BA25" s="20">
        <f>COUNTIF('CAL4'!A:A,Agenda2526!C26)</f>
        <v>0</v>
      </c>
      <c r="BB25" s="20">
        <f>COUNTIF('CAL5'!A:A,Agenda2526!C26)</f>
        <v>0</v>
      </c>
      <c r="BC25" s="20">
        <f>COUNTIF('CAL6'!A:A,Agenda2526!C26)</f>
        <v>0</v>
      </c>
      <c r="BD25" s="20">
        <f>COUNTIF('CAL7'!A:A,Agenda2526!C26)</f>
        <v>0</v>
      </c>
      <c r="BE25" s="20">
        <f>COUNTIF('CAL8'!A:A,Agenda2526!C26)</f>
        <v>0</v>
      </c>
    </row>
    <row r="26" spans="1:57" ht="15.75" customHeight="1">
      <c r="A26" s="20" t="str">
        <f ca="1">IF(CALC2223!AX26&gt;0,INDIRECT(ADDRESS(MATCH(Agenda2526!C27,'CAL1'!A:A,0),2,4,1,"CAL1")),"")</f>
        <v>BKK EFG</v>
      </c>
      <c r="B26" s="21">
        <f ca="1">IF(CALC2223!AX26&gt;0,INDIRECT(ADDRESS(MATCH(Agenda2526!C27,'CAL1'!A:A,0),3,4,1,"CAL1")),0)</f>
        <v>45896</v>
      </c>
      <c r="C26" s="20" t="str">
        <f ca="1">IF(CALC2223!AX26&gt;1,INDIRECT(ADDRESS(MATCH(Agenda2526!C27,'CAL1'!A:A,0)+1,2,4,1,"CAL1")),"")</f>
        <v/>
      </c>
      <c r="D26" s="21">
        <f ca="1">IF(CALC2223!AX26&gt;1,INDIRECT(ADDRESS(MATCH(Agenda2526!C27,'CAL1'!A:A,0)+1,3,4,1,"CAL1")),0)</f>
        <v>0</v>
      </c>
      <c r="E26" s="20" t="str">
        <f ca="1">IF(CALC2223!AX26&gt;2,INDIRECT(ADDRESS(MATCH(Agenda2526!C27,'CAL1'!A:A,0)+2,2,4,1,"CAL1")),"")</f>
        <v/>
      </c>
      <c r="F26" s="21">
        <f ca="1">IF(CALC2223!AX26&gt;2,INDIRECT(ADDRESS(MATCH(Agenda2526!C27,'CAL1'!A:A,0)+2,3,4,1,"CAL1")),0)</f>
        <v>0</v>
      </c>
      <c r="G26" s="20" t="str">
        <f ca="1">IF(CALC2223!AY26&gt;0,INDIRECT(ADDRESS(MATCH(Agenda2526!C27,'CAL2'!A:A,0),2,4,1,"CAL2")),"")</f>
        <v/>
      </c>
      <c r="H26" s="21">
        <f ca="1">IF(CALC2223!AY26&gt;0,INDIRECT(ADDRESS(MATCH(Agenda2526!C27,'CAL2'!A:A,0),3,4,1,"CAL2")),0)</f>
        <v>0</v>
      </c>
      <c r="I26" s="20" t="str">
        <f ca="1">IF(CALC2223!AY26&gt;1,INDIRECT(ADDRESS(MATCH(Agenda2526!C27,'CAL2'!A:A,0)+1,2,4,1,"CAL2")),"")</f>
        <v/>
      </c>
      <c r="J26" s="21">
        <f ca="1">IF(CALC2223!AY26&gt;1,INDIRECT(ADDRESS(MATCH(Agenda2526!C27,'CAL2'!A:A,0)+1,3,4,1,"CAL2")),0)</f>
        <v>0</v>
      </c>
      <c r="K26" s="20" t="str">
        <f ca="1">IF(CALC2223!AY26&gt;2,INDIRECT(ADDRESS(MATCH(Agenda2526!C27,'CAL2'!A:A,0)+2,2,4,1,"CAL2")),"")</f>
        <v/>
      </c>
      <c r="L26" s="21">
        <f ca="1">IF(CALC2223!AY26&gt;2,INDIRECT(ADDRESS(MATCH(Agenda2526!C27,'CAL2'!A:A,0)+2,3,4,1,"CAL2")),0)</f>
        <v>0</v>
      </c>
      <c r="M26" s="20" t="str">
        <f ca="1">IF(CALC2223!AZ26&gt;0,INDIRECT(ADDRESS(MATCH(Agenda2526!C27,'CAL3'!A:A,0),2,4,1,"CAL3")),"")</f>
        <v/>
      </c>
      <c r="N26" s="21">
        <f ca="1">IF(CALC2223!AZ26&gt;0,INDIRECT(ADDRESS(MATCH(Agenda2526!C27,'CAL3'!A:A,0),3,4,1,"CAL3")),0)</f>
        <v>0</v>
      </c>
      <c r="O26" s="20" t="str">
        <f ca="1">IF(CALC2223!AZ26&gt;1,INDIRECT(ADDRESS(MATCH(Agenda2526!C27,'CAL3'!A:A,0)+1,2,4,1,"CAL3")),"")</f>
        <v/>
      </c>
      <c r="P26" s="21">
        <f ca="1">IF(CALC2223!AZ26&gt;1,INDIRECT(ADDRESS(MATCH(Agenda2526!C27,'CAL3'!A:A,0)+1,3,4,1,"CAL3")),0)</f>
        <v>0</v>
      </c>
      <c r="Q26" s="20" t="str">
        <f ca="1">IF(CALC2223!AZ26&gt;2,INDIRECT(ADDRESS(MATCH(Agenda2526!C27,'CAL3'!A:A,0)+2,2,4,1,"CAL3")),"")</f>
        <v/>
      </c>
      <c r="R26" s="21">
        <f ca="1">IF(CALC2223!AZ26&gt;2,INDIRECT(ADDRESS(MATCH(Agenda2526!C27,'CAL3'!A:A,0)+2,3,4,1,"CAL3")),0)</f>
        <v>0</v>
      </c>
      <c r="S26" s="20" t="str">
        <f ca="1">IF(CALC2223!BA26&gt;0,INDIRECT(ADDRESS(MATCH(Agenda2526!C27,'CAL4'!A:A,0),2,4,1,"CAL4")),"")</f>
        <v/>
      </c>
      <c r="T26" s="21">
        <f ca="1">IF(CALC2223!BA26&gt;0,INDIRECT(ADDRESS(MATCH(Agenda2526!C27,'CAL4'!A:A,0),3,4,1,"CAL4")),0)</f>
        <v>0</v>
      </c>
      <c r="U26" s="20" t="str">
        <f ca="1">IF(CALC2223!BA26&gt;1,INDIRECT(ADDRESS(MATCH(Agenda2526!C27,'CAL4'!A:A,0)+1,2,4,1,"CAL4")),"")</f>
        <v/>
      </c>
      <c r="V26" s="21">
        <f ca="1">IF(CALC2223!BA26&gt;1,INDIRECT(ADDRESS(MATCH(Agenda2526!C27,'CAL4'!A:A,0)+1,3,4,1,"CAL4")),0)</f>
        <v>0</v>
      </c>
      <c r="W26" s="20" t="str">
        <f ca="1">IF(CALC2223!BA26&gt;2,INDIRECT(ADDRESS(MATCH(Agenda2526!C27,'CAL4'!A:A,0)+2,2,4,1,"CAL4")),"")</f>
        <v/>
      </c>
      <c r="X26" s="21">
        <f ca="1">IF(CALC2223!BA26&gt;2,INDIRECT(ADDRESS(MATCH(Agenda2526!C27,'CAL4'!A:A,0)+2,3,4,1,"CAL4")),0)</f>
        <v>0</v>
      </c>
      <c r="Y26" s="20" t="str">
        <f ca="1">IF(CALC2223!BB26&gt;0,INDIRECT(ADDRESS(MATCH(Agenda2526!C27,'CAL5'!A:A,0),2,4,1,"CAL5")),"")</f>
        <v/>
      </c>
      <c r="Z26" s="21">
        <f ca="1">IF(CALC2223!BB26&gt;0,INDIRECT(ADDRESS(MATCH(Agenda2526!C27,'CAL5'!A:A,0),3,4,1,"CAL5")),0)</f>
        <v>0</v>
      </c>
      <c r="AA26" s="20" t="str">
        <f ca="1">IF(CALC2223!BB26&gt;1,INDIRECT(ADDRESS(MATCH(Agenda2526!C27,'CAL5'!A:A,0)+1,2,4,1,"CAL5")),"")</f>
        <v/>
      </c>
      <c r="AB26" s="21">
        <f ca="1">IF(CALC2223!BB26&gt;1,INDIRECT(ADDRESS(MATCH(Agenda2526!C27,'CAL5'!A:A,0)+1,3,4,1,"CAL5")),0)</f>
        <v>0</v>
      </c>
      <c r="AC26" s="20" t="str">
        <f ca="1">IF(CALC2223!BB26&gt;2,INDIRECT(ADDRESS(MATCH(Agenda2526!C27,'CAL5'!A:A,0)+2,2,4,1,"CAL5")),"")</f>
        <v/>
      </c>
      <c r="AD26" s="21">
        <f ca="1">IF(CALC2223!BB26&gt;2,INDIRECT(ADDRESS(MATCH(Agenda2526!C27,'CAL5'!A:A,0)+2,3,4,1,"CAL5")),0)</f>
        <v>0</v>
      </c>
      <c r="AE26" s="20" t="str">
        <f ca="1">IF(CALC2223!BC26&gt;0,INDIRECT(ADDRESS(MATCH(Agenda2526!C27,'CAL6'!A:A,0),2,4,1,"CAL6")),"")</f>
        <v>LO1:2</v>
      </c>
      <c r="AF26" s="21">
        <f ca="1">IF(CALC2223!BC26&gt;0,INDIRECT(ADDRESS(MATCH(Agenda2526!C27,'CAL6'!A:A,0),3,4,1,"CAL6")),0)</f>
        <v>45896</v>
      </c>
      <c r="AG26" s="20" t="str">
        <f ca="1">IF(CALC2223!BC26&gt;1,INDIRECT(ADDRESS(MATCH(Agenda2526!C27,'CAL6'!A:A,0)+1,2,4,1,"CAL6")),"")</f>
        <v/>
      </c>
      <c r="AH26" s="21">
        <f ca="1">IF(CALC2223!BC26&gt;1,INDIRECT(ADDRESS(MATCH(Agenda2526!C27,'CAL6'!A:A,0)+1,3,4,1,"CAL6")),0)</f>
        <v>0</v>
      </c>
      <c r="AI26" s="20" t="str">
        <f ca="1">IF(CALC2223!BC26&gt;2,INDIRECT(ADDRESS(MATCH(Agenda2526!C27,'CAL6'!A:A,0)+2,2,4,1,"CAL6")),"")</f>
        <v/>
      </c>
      <c r="AJ26" s="21">
        <f ca="1">IF(CALC2223!BC26&gt;2,INDIRECT(ADDRESS(MATCH(Agenda2526!C27,'CAL6'!A:A,0)+2,3,4,1,"CAL6")),0)</f>
        <v>0</v>
      </c>
      <c r="AK26" s="20" t="str">
        <f ca="1">IF(CALC2223!BD26&gt;0,INDIRECT(ADDRESS(MATCH(Agenda2526!C27,'CAL7'!A:A,0),2,4,1,"CAL7")),"")</f>
        <v>commissies#2/MR#1</v>
      </c>
      <c r="AL26" s="21">
        <f ca="1">IF(CALC2223!BD26&gt;0,INDIRECT(ADDRESS(MATCH(Agenda2526!C27,'CAL7'!A:A,0),3,4,1,"CAL7")),0)</f>
        <v>45896</v>
      </c>
      <c r="AM26" s="20" t="str">
        <f ca="1">IF(CALC2223!BD26&gt;1,INDIRECT(ADDRESS(MATCH(Agenda2526!C27,'CAL7'!A:A,0)+1,2,4,1,"CAL7")),"")</f>
        <v/>
      </c>
      <c r="AN26" s="21">
        <f ca="1">IF(CALC2223!BD26&gt;1,INDIRECT(ADDRESS(MATCH(Agenda2526!C27,'CAL7'!A:A,0)+1,3,4,1,"CAL7")),0)</f>
        <v>0</v>
      </c>
      <c r="AO26" s="20" t="str">
        <f ca="1">IF(CALC2223!BD26&gt;2,INDIRECT(ADDRESS(MATCH(Agenda2526!C27,'CAL7'!A:A,0)+2,2,4,1,"CAL7")),"")</f>
        <v/>
      </c>
      <c r="AP26" s="21">
        <f ca="1">IF(CALC2223!BD26&gt;2,INDIRECT(ADDRESS(MATCH(Agenda2526!C27,'CAL7'!A:A,0)+2,3,4,1,"CAL7")),0)</f>
        <v>0</v>
      </c>
      <c r="AQ26" s="20" t="str">
        <f ca="1">IF(CALC2223!BE26&gt;0,INDIRECT(ADDRESS(MATCH(Agenda2526!C27,'CAL8'!A:A,0),2,4,1,"CAL8")),"")</f>
        <v/>
      </c>
      <c r="AR26" s="21">
        <f ca="1">IF(CALC2223!BE26&gt;0,INDIRECT(ADDRESS(MATCH(Agenda2526!C27,'CAL8'!A:A,0),3,4,1,"CAL8")),0)</f>
        <v>0</v>
      </c>
      <c r="AS26" s="20" t="str">
        <f ca="1">IF(CALC2223!BE26&gt;1,INDIRECT(ADDRESS(MATCH(Agenda2526!C27,'CAL8'!A:A,0)+1,2,4,1,"CAL8")),"")</f>
        <v/>
      </c>
      <c r="AT26" s="21">
        <f ca="1">IF(CALC2223!BE26&gt;1,INDIRECT(ADDRESS(MATCH(Agenda2526!C27,'CAL8'!A:A,0)+1,3,4,1,"CAL8")),0)</f>
        <v>0</v>
      </c>
      <c r="AU26" s="20" t="str">
        <f ca="1">IF(CALC2223!BE26&gt;2,INDIRECT(ADDRESS(MATCH(Agenda2526!C27,'CAL8'!A:A,0)+2,2,4,1,"CAL8")),"")</f>
        <v/>
      </c>
      <c r="AV26" s="21">
        <f ca="1">IF(CALC2223!BE26&gt;2,INDIRECT(ADDRESS(MATCH(Agenda2526!C27,'CAL8'!A:A,0)+2,3,4,1,"CAL8")),0)</f>
        <v>0</v>
      </c>
      <c r="AW26" s="105"/>
      <c r="AX26" s="20">
        <f>COUNTIF('CAL1'!A:A,Agenda2526!C27)</f>
        <v>1</v>
      </c>
      <c r="AY26" s="20">
        <f>COUNTIF('CAL2'!A:A,Agenda2526!C27)</f>
        <v>0</v>
      </c>
      <c r="AZ26" s="20">
        <f>COUNTIF('CAL3'!A:A,Agenda2526!C27)</f>
        <v>0</v>
      </c>
      <c r="BA26" s="20">
        <f>COUNTIF('CAL4'!A:A,Agenda2526!C27)</f>
        <v>0</v>
      </c>
      <c r="BB26" s="20">
        <f>COUNTIF('CAL5'!A:A,Agenda2526!C27)</f>
        <v>0</v>
      </c>
      <c r="BC26" s="20">
        <f>COUNTIF('CAL6'!A:A,Agenda2526!C27)</f>
        <v>1</v>
      </c>
      <c r="BD26" s="20">
        <f>COUNTIF('CAL7'!A:A,Agenda2526!C27)</f>
        <v>1</v>
      </c>
      <c r="BE26" s="20">
        <f>COUNTIF('CAL8'!A:A,Agenda2526!C27)</f>
        <v>0</v>
      </c>
    </row>
    <row r="27" spans="1:57" ht="15.75" customHeight="1">
      <c r="A27" s="20" t="str">
        <f ca="1">IF(CALC2223!AX27&gt;0,INDIRECT(ADDRESS(MATCH(Agenda2526!C28,'CAL1'!A:A,0),2,4,1,"CAL1")),"")</f>
        <v>BKK EFG</v>
      </c>
      <c r="B27" s="21">
        <f ca="1">IF(CALC2223!AX27&gt;0,INDIRECT(ADDRESS(MATCH(Agenda2526!C28,'CAL1'!A:A,0),3,4,1,"CAL1")),0)</f>
        <v>45896</v>
      </c>
      <c r="C27" s="20" t="str">
        <f ca="1">IF(CALC2223!AX27&gt;1,INDIRECT(ADDRESS(MATCH(Agenda2526!C28,'CAL1'!A:A,0)+1,2,4,1,"CAL1")),"")</f>
        <v/>
      </c>
      <c r="D27" s="21">
        <f ca="1">IF(CALC2223!AX27&gt;1,INDIRECT(ADDRESS(MATCH(Agenda2526!C28,'CAL1'!A:A,0)+1,3,4,1,"CAL1")),0)</f>
        <v>0</v>
      </c>
      <c r="E27" s="20" t="str">
        <f ca="1">IF(CALC2223!AX27&gt;2,INDIRECT(ADDRESS(MATCH(Agenda2526!C28,'CAL1'!A:A,0)+2,2,4,1,"CAL1")),"")</f>
        <v/>
      </c>
      <c r="F27" s="21">
        <f ca="1">IF(CALC2223!AX27&gt;2,INDIRECT(ADDRESS(MATCH(Agenda2526!C28,'CAL1'!A:A,0)+2,3,4,1,"CAL1")),0)</f>
        <v>0</v>
      </c>
      <c r="G27" s="20" t="str">
        <f ca="1">IF(CALC2223!AY27&gt;0,INDIRECT(ADDRESS(MATCH(Agenda2526!C28,'CAL2'!A:A,0),2,4,1,"CAL2")),"")</f>
        <v/>
      </c>
      <c r="H27" s="21">
        <f ca="1">IF(CALC2223!AY27&gt;0,INDIRECT(ADDRESS(MATCH(Agenda2526!C28,'CAL2'!A:A,0),3,4,1,"CAL2")),0)</f>
        <v>0</v>
      </c>
      <c r="I27" s="20" t="str">
        <f ca="1">IF(CALC2223!AY27&gt;1,INDIRECT(ADDRESS(MATCH(Agenda2526!C28,'CAL2'!A:A,0)+1,2,4,1,"CAL2")),"")</f>
        <v/>
      </c>
      <c r="J27" s="21">
        <f ca="1">IF(CALC2223!AY27&gt;1,INDIRECT(ADDRESS(MATCH(Agenda2526!C28,'CAL2'!A:A,0)+1,3,4,1,"CAL2")),0)</f>
        <v>0</v>
      </c>
      <c r="K27" s="20" t="str">
        <f ca="1">IF(CALC2223!AY27&gt;2,INDIRECT(ADDRESS(MATCH(Agenda2526!C28,'CAL2'!A:A,0)+2,2,4,1,"CAL2")),"")</f>
        <v/>
      </c>
      <c r="L27" s="21">
        <f ca="1">IF(CALC2223!AY27&gt;2,INDIRECT(ADDRESS(MATCH(Agenda2526!C28,'CAL2'!A:A,0)+2,3,4,1,"CAL2")),0)</f>
        <v>0</v>
      </c>
      <c r="M27" s="20" t="str">
        <f ca="1">IF(CALC2223!AZ27&gt;0,INDIRECT(ADDRESS(MATCH(Agenda2526!C28,'CAL3'!A:A,0),2,4,1,"CAL3")),"")</f>
        <v/>
      </c>
      <c r="N27" s="21">
        <f ca="1">IF(CALC2223!AZ27&gt;0,INDIRECT(ADDRESS(MATCH(Agenda2526!C28,'CAL3'!A:A,0),3,4,1,"CAL3")),0)</f>
        <v>0</v>
      </c>
      <c r="O27" s="20" t="str">
        <f ca="1">IF(CALC2223!AZ27&gt;1,INDIRECT(ADDRESS(MATCH(Agenda2526!C28,'CAL3'!A:A,0)+1,2,4,1,"CAL3")),"")</f>
        <v/>
      </c>
      <c r="P27" s="21">
        <f ca="1">IF(CALC2223!AZ27&gt;1,INDIRECT(ADDRESS(MATCH(Agenda2526!C28,'CAL3'!A:A,0)+1,3,4,1,"CAL3")),0)</f>
        <v>0</v>
      </c>
      <c r="Q27" s="20" t="str">
        <f ca="1">IF(CALC2223!AZ27&gt;2,INDIRECT(ADDRESS(MATCH(Agenda2526!C28,'CAL3'!A:A,0)+2,2,4,1,"CAL3")),"")</f>
        <v/>
      </c>
      <c r="R27" s="21">
        <f ca="1">IF(CALC2223!AZ27&gt;2,INDIRECT(ADDRESS(MATCH(Agenda2526!C28,'CAL3'!A:A,0)+2,3,4,1,"CAL3")),0)</f>
        <v>0</v>
      </c>
      <c r="S27" s="20" t="str">
        <f ca="1">IF(CALC2223!BA27&gt;0,INDIRECT(ADDRESS(MATCH(Agenda2526!C28,'CAL4'!A:A,0),2,4,1,"CAL4")),"")</f>
        <v/>
      </c>
      <c r="T27" s="21">
        <f ca="1">IF(CALC2223!BA27&gt;0,INDIRECT(ADDRESS(MATCH(Agenda2526!C28,'CAL4'!A:A,0),3,4,1,"CAL4")),0)</f>
        <v>0</v>
      </c>
      <c r="U27" s="20" t="str">
        <f ca="1">IF(CALC2223!BA27&gt;1,INDIRECT(ADDRESS(MATCH(Agenda2526!C28,'CAL4'!A:A,0)+1,2,4,1,"CAL4")),"")</f>
        <v/>
      </c>
      <c r="V27" s="21">
        <f ca="1">IF(CALC2223!BA27&gt;1,INDIRECT(ADDRESS(MATCH(Agenda2526!C28,'CAL4'!A:A,0)+1,3,4,1,"CAL4")),0)</f>
        <v>0</v>
      </c>
      <c r="W27" s="20" t="str">
        <f ca="1">IF(CALC2223!BA27&gt;2,INDIRECT(ADDRESS(MATCH(Agenda2526!C28,'CAL4'!A:A,0)+2,2,4,1,"CAL4")),"")</f>
        <v/>
      </c>
      <c r="X27" s="21">
        <f ca="1">IF(CALC2223!BA27&gt;2,INDIRECT(ADDRESS(MATCH(Agenda2526!C28,'CAL4'!A:A,0)+2,3,4,1,"CAL4")),0)</f>
        <v>0</v>
      </c>
      <c r="Y27" s="20" t="str">
        <f ca="1">IF(CALC2223!BB27&gt;0,INDIRECT(ADDRESS(MATCH(Agenda2526!C28,'CAL5'!A:A,0),2,4,1,"CAL5")),"")</f>
        <v/>
      </c>
      <c r="Z27" s="21">
        <f ca="1">IF(CALC2223!BB27&gt;0,INDIRECT(ADDRESS(MATCH(Agenda2526!C28,'CAL5'!A:A,0),3,4,1,"CAL5")),0)</f>
        <v>0</v>
      </c>
      <c r="AA27" s="20" t="str">
        <f ca="1">IF(CALC2223!BB27&gt;1,INDIRECT(ADDRESS(MATCH(Agenda2526!C28,'CAL5'!A:A,0)+1,2,4,1,"CAL5")),"")</f>
        <v/>
      </c>
      <c r="AB27" s="21">
        <f ca="1">IF(CALC2223!BB27&gt;1,INDIRECT(ADDRESS(MATCH(Agenda2526!C28,'CAL5'!A:A,0)+1,3,4,1,"CAL5")),0)</f>
        <v>0</v>
      </c>
      <c r="AC27" s="20" t="str">
        <f ca="1">IF(CALC2223!BB27&gt;2,INDIRECT(ADDRESS(MATCH(Agenda2526!C28,'CAL5'!A:A,0)+2,2,4,1,"CAL5")),"")</f>
        <v/>
      </c>
      <c r="AD27" s="21">
        <f ca="1">IF(CALC2223!BB27&gt;2,INDIRECT(ADDRESS(MATCH(Agenda2526!C28,'CAL5'!A:A,0)+2,3,4,1,"CAL5")),0)</f>
        <v>0</v>
      </c>
      <c r="AE27" s="20" t="str">
        <f ca="1">IF(CALC2223!BC27&gt;0,INDIRECT(ADDRESS(MATCH(Agenda2526!C28,'CAL6'!A:A,0),2,4,1,"CAL6")),"")</f>
        <v/>
      </c>
      <c r="AF27" s="21">
        <f ca="1">IF(CALC2223!BC27&gt;0,INDIRECT(ADDRESS(MATCH(Agenda2526!C28,'CAL6'!A:A,0),3,4,1,"CAL6")),0)</f>
        <v>0</v>
      </c>
      <c r="AG27" s="20" t="str">
        <f ca="1">IF(CALC2223!BC27&gt;1,INDIRECT(ADDRESS(MATCH(Agenda2526!C28,'CAL6'!A:A,0)+1,2,4,1,"CAL6")),"")</f>
        <v/>
      </c>
      <c r="AH27" s="21">
        <f ca="1">IF(CALC2223!BC27&gt;1,INDIRECT(ADDRESS(MATCH(Agenda2526!C28,'CAL6'!A:A,0)+1,3,4,1,"CAL6")),0)</f>
        <v>0</v>
      </c>
      <c r="AI27" s="20" t="str">
        <f ca="1">IF(CALC2223!BC27&gt;2,INDIRECT(ADDRESS(MATCH(Agenda2526!C28,'CAL6'!A:A,0)+2,2,4,1,"CAL6")),"")</f>
        <v/>
      </c>
      <c r="AJ27" s="21">
        <f ca="1">IF(CALC2223!BC27&gt;2,INDIRECT(ADDRESS(MATCH(Agenda2526!C28,'CAL6'!A:A,0)+2,3,4,1,"CAL6")),0)</f>
        <v>0</v>
      </c>
      <c r="AK27" s="20" t="str">
        <f ca="1">IF(CALC2223!BD27&gt;0,INDIRECT(ADDRESS(MATCH(Agenda2526!C28,'CAL7'!A:A,0),2,4,1,"CAL7")),"")</f>
        <v/>
      </c>
      <c r="AL27" s="21">
        <f ca="1">IF(CALC2223!BD27&gt;0,INDIRECT(ADDRESS(MATCH(Agenda2526!C28,'CAL7'!A:A,0),3,4,1,"CAL7")),0)</f>
        <v>0</v>
      </c>
      <c r="AM27" s="20" t="str">
        <f ca="1">IF(CALC2223!BD27&gt;1,INDIRECT(ADDRESS(MATCH(Agenda2526!C28,'CAL7'!A:A,0)+1,2,4,1,"CAL7")),"")</f>
        <v/>
      </c>
      <c r="AN27" s="21">
        <f ca="1">IF(CALC2223!BD27&gt;1,INDIRECT(ADDRESS(MATCH(Agenda2526!C28,'CAL7'!A:A,0)+1,3,4,1,"CAL7")),0)</f>
        <v>0</v>
      </c>
      <c r="AO27" s="20" t="str">
        <f ca="1">IF(CALC2223!BD27&gt;2,INDIRECT(ADDRESS(MATCH(Agenda2526!C28,'CAL7'!A:A,0)+2,2,4,1,"CAL7")),"")</f>
        <v/>
      </c>
      <c r="AP27" s="21">
        <f ca="1">IF(CALC2223!BD27&gt;2,INDIRECT(ADDRESS(MATCH(Agenda2526!C28,'CAL7'!A:A,0)+2,3,4,1,"CAL7")),0)</f>
        <v>0</v>
      </c>
      <c r="AQ27" s="20" t="str">
        <f ca="1">IF(CALC2223!BE27&gt;0,INDIRECT(ADDRESS(MATCH(Agenda2526!C28,'CAL8'!A:A,0),2,4,1,"CAL8")),"")</f>
        <v/>
      </c>
      <c r="AR27" s="21">
        <f ca="1">IF(CALC2223!BE27&gt;0,INDIRECT(ADDRESS(MATCH(Agenda2526!C28,'CAL8'!A:A,0),3,4,1,"CAL8")),0)</f>
        <v>0</v>
      </c>
      <c r="AS27" s="20" t="str">
        <f ca="1">IF(CALC2223!BE27&gt;1,INDIRECT(ADDRESS(MATCH(Agenda2526!C28,'CAL8'!A:A,0)+1,2,4,1,"CAL8")),"")</f>
        <v/>
      </c>
      <c r="AT27" s="21">
        <f ca="1">IF(CALC2223!BE27&gt;1,INDIRECT(ADDRESS(MATCH(Agenda2526!C28,'CAL8'!A:A,0)+1,3,4,1,"CAL8")),0)</f>
        <v>0</v>
      </c>
      <c r="AU27" s="20" t="str">
        <f ca="1">IF(CALC2223!BE27&gt;2,INDIRECT(ADDRESS(MATCH(Agenda2526!C28,'CAL8'!A:A,0)+2,2,4,1,"CAL8")),"")</f>
        <v/>
      </c>
      <c r="AV27" s="21">
        <f ca="1">IF(CALC2223!BE27&gt;2,INDIRECT(ADDRESS(MATCH(Agenda2526!C28,'CAL8'!A:A,0)+2,3,4,1,"CAL8")),0)</f>
        <v>0</v>
      </c>
      <c r="AW27" s="105"/>
      <c r="AX27" s="20">
        <f>COUNTIF('CAL1'!A:A,Agenda2526!C28)</f>
        <v>1</v>
      </c>
      <c r="AY27" s="20">
        <f>COUNTIF('CAL2'!A:A,Agenda2526!C28)</f>
        <v>0</v>
      </c>
      <c r="AZ27" s="20">
        <f>COUNTIF('CAL3'!A:A,Agenda2526!C28)</f>
        <v>0</v>
      </c>
      <c r="BA27" s="20">
        <f>COUNTIF('CAL4'!A:A,Agenda2526!C28)</f>
        <v>0</v>
      </c>
      <c r="BB27" s="20">
        <f>COUNTIF('CAL5'!A:A,Agenda2526!C28)</f>
        <v>0</v>
      </c>
      <c r="BC27" s="20">
        <f>COUNTIF('CAL6'!A:A,Agenda2526!C28)</f>
        <v>0</v>
      </c>
      <c r="BD27" s="20">
        <f>COUNTIF('CAL7'!A:A,Agenda2526!C28)</f>
        <v>0</v>
      </c>
      <c r="BE27" s="20">
        <f>COUNTIF('CAL8'!A:A,Agenda2526!C28)</f>
        <v>0</v>
      </c>
    </row>
    <row r="28" spans="1:57" ht="15.75" customHeight="1">
      <c r="A28" s="20" t="str">
        <f ca="1">IF(CALC2223!AX28&gt;0,INDIRECT(ADDRESS(MATCH(Agenda2526!C29,'CAL1'!A:A,0),2,4,1,"CAL1")),"")</f>
        <v/>
      </c>
      <c r="B28" s="21">
        <f ca="1">IF(CALC2223!AX28&gt;0,INDIRECT(ADDRESS(MATCH(Agenda2526!C29,'CAL1'!A:A,0),3,4,1,"CAL1")),0)</f>
        <v>0</v>
      </c>
      <c r="C28" s="20" t="str">
        <f ca="1">IF(CALC2223!AX28&gt;1,INDIRECT(ADDRESS(MATCH(Agenda2526!C29,'CAL1'!A:A,0)+1,2,4,1,"CAL1")),"")</f>
        <v/>
      </c>
      <c r="D28" s="21">
        <f ca="1">IF(CALC2223!AX28&gt;1,INDIRECT(ADDRESS(MATCH(Agenda2526!C29,'CAL1'!A:A,0)+1,3,4,1,"CAL1")),0)</f>
        <v>0</v>
      </c>
      <c r="E28" s="20" t="str">
        <f ca="1">IF(CALC2223!AX28&gt;2,INDIRECT(ADDRESS(MATCH(Agenda2526!C29,'CAL1'!A:A,0)+2,2,4,1,"CAL1")),"")</f>
        <v/>
      </c>
      <c r="F28" s="21">
        <f ca="1">IF(CALC2223!AX28&gt;2,INDIRECT(ADDRESS(MATCH(Agenda2526!C29,'CAL1'!A:A,0)+2,3,4,1,"CAL1")),0)</f>
        <v>0</v>
      </c>
      <c r="G28" s="20" t="str">
        <f ca="1">IF(CALC2223!AY28&gt;0,INDIRECT(ADDRESS(MATCH(Agenda2526!C29,'CAL2'!A:A,0),2,4,1,"CAL2")),"")</f>
        <v/>
      </c>
      <c r="H28" s="21">
        <f ca="1">IF(CALC2223!AY28&gt;0,INDIRECT(ADDRESS(MATCH(Agenda2526!C29,'CAL2'!A:A,0),3,4,1,"CAL2")),0)</f>
        <v>0</v>
      </c>
      <c r="I28" s="20" t="str">
        <f ca="1">IF(CALC2223!AY28&gt;1,INDIRECT(ADDRESS(MATCH(Agenda2526!C29,'CAL2'!A:A,0)+1,2,4,1,"CAL2")),"")</f>
        <v/>
      </c>
      <c r="J28" s="21">
        <f ca="1">IF(CALC2223!AY28&gt;1,INDIRECT(ADDRESS(MATCH(Agenda2526!C29,'CAL2'!A:A,0)+1,3,4,1,"CAL2")),0)</f>
        <v>0</v>
      </c>
      <c r="K28" s="20" t="str">
        <f ca="1">IF(CALC2223!AY28&gt;2,INDIRECT(ADDRESS(MATCH(Agenda2526!C29,'CAL2'!A:A,0)+2,2,4,1,"CAL2")),"")</f>
        <v/>
      </c>
      <c r="L28" s="21">
        <f ca="1">IF(CALC2223!AY28&gt;2,INDIRECT(ADDRESS(MATCH(Agenda2526!C29,'CAL2'!A:A,0)+2,3,4,1,"CAL2")),0)</f>
        <v>0</v>
      </c>
      <c r="M28" s="20" t="str">
        <f ca="1">IF(CALC2223!AZ28&gt;0,INDIRECT(ADDRESS(MATCH(Agenda2526!C29,'CAL3'!A:A,0),2,4,1,"CAL3")),"")</f>
        <v/>
      </c>
      <c r="N28" s="21">
        <f ca="1">IF(CALC2223!AZ28&gt;0,INDIRECT(ADDRESS(MATCH(Agenda2526!C29,'CAL3'!A:A,0),3,4,1,"CAL3")),0)</f>
        <v>0</v>
      </c>
      <c r="O28" s="20" t="str">
        <f ca="1">IF(CALC2223!AZ28&gt;1,INDIRECT(ADDRESS(MATCH(Agenda2526!C29,'CAL3'!A:A,0)+1,2,4,1,"CAL3")),"")</f>
        <v/>
      </c>
      <c r="P28" s="21">
        <f ca="1">IF(CALC2223!AZ28&gt;1,INDIRECT(ADDRESS(MATCH(Agenda2526!C29,'CAL3'!A:A,0)+1,3,4,1,"CAL3")),0)</f>
        <v>0</v>
      </c>
      <c r="Q28" s="20" t="str">
        <f ca="1">IF(CALC2223!AZ28&gt;2,INDIRECT(ADDRESS(MATCH(Agenda2526!C29,'CAL3'!A:A,0)+2,2,4,1,"CAL3")),"")</f>
        <v/>
      </c>
      <c r="R28" s="21">
        <f ca="1">IF(CALC2223!AZ28&gt;2,INDIRECT(ADDRESS(MATCH(Agenda2526!C29,'CAL3'!A:A,0)+2,3,4,1,"CAL3")),0)</f>
        <v>0</v>
      </c>
      <c r="S28" s="20" t="str">
        <f ca="1">IF(CALC2223!BA28&gt;0,INDIRECT(ADDRESS(MATCH(Agenda2526!C29,'CAL4'!A:A,0),2,4,1,"CAL4")),"")</f>
        <v/>
      </c>
      <c r="T28" s="21">
        <f ca="1">IF(CALC2223!BA28&gt;0,INDIRECT(ADDRESS(MATCH(Agenda2526!C29,'CAL4'!A:A,0),3,4,1,"CAL4")),0)</f>
        <v>0</v>
      </c>
      <c r="U28" s="20" t="str">
        <f ca="1">IF(CALC2223!BA28&gt;1,INDIRECT(ADDRESS(MATCH(Agenda2526!C29,'CAL4'!A:A,0)+1,2,4,1,"CAL4")),"")</f>
        <v/>
      </c>
      <c r="V28" s="21">
        <f ca="1">IF(CALC2223!BA28&gt;1,INDIRECT(ADDRESS(MATCH(Agenda2526!C29,'CAL4'!A:A,0)+1,3,4,1,"CAL4")),0)</f>
        <v>0</v>
      </c>
      <c r="W28" s="20" t="str">
        <f ca="1">IF(CALC2223!BA28&gt;2,INDIRECT(ADDRESS(MATCH(Agenda2526!C29,'CAL4'!A:A,0)+2,2,4,1,"CAL4")),"")</f>
        <v/>
      </c>
      <c r="X28" s="21">
        <f ca="1">IF(CALC2223!BA28&gt;2,INDIRECT(ADDRESS(MATCH(Agenda2526!C29,'CAL4'!A:A,0)+2,3,4,1,"CAL4")),0)</f>
        <v>0</v>
      </c>
      <c r="Y28" s="20" t="str">
        <f ca="1">IF(CALC2223!BB28&gt;0,INDIRECT(ADDRESS(MATCH(Agenda2526!C29,'CAL5'!A:A,0),2,4,1,"CAL5")),"")</f>
        <v/>
      </c>
      <c r="Z28" s="21">
        <f ca="1">IF(CALC2223!BB28&gt;0,INDIRECT(ADDRESS(MATCH(Agenda2526!C29,'CAL5'!A:A,0),3,4,1,"CAL5")),0)</f>
        <v>0</v>
      </c>
      <c r="AA28" s="20" t="str">
        <f ca="1">IF(CALC2223!BB28&gt;1,INDIRECT(ADDRESS(MATCH(Agenda2526!C29,'CAL5'!A:A,0)+1,2,4,1,"CAL5")),"")</f>
        <v/>
      </c>
      <c r="AB28" s="21">
        <f ca="1">IF(CALC2223!BB28&gt;1,INDIRECT(ADDRESS(MATCH(Agenda2526!C29,'CAL5'!A:A,0)+1,3,4,1,"CAL5")),0)</f>
        <v>0</v>
      </c>
      <c r="AC28" s="20" t="str">
        <f ca="1">IF(CALC2223!BB28&gt;2,INDIRECT(ADDRESS(MATCH(Agenda2526!C29,'CAL5'!A:A,0)+2,2,4,1,"CAL5")),"")</f>
        <v/>
      </c>
      <c r="AD28" s="21">
        <f ca="1">IF(CALC2223!BB28&gt;2,INDIRECT(ADDRESS(MATCH(Agenda2526!C29,'CAL5'!A:A,0)+2,3,4,1,"CAL5")),0)</f>
        <v>0</v>
      </c>
      <c r="AE28" s="20" t="str">
        <f ca="1">IF(CALC2223!BC28&gt;0,INDIRECT(ADDRESS(MATCH(Agenda2526!C29,'CAL6'!A:A,0),2,4,1,"CAL6")),"")</f>
        <v/>
      </c>
      <c r="AF28" s="21">
        <f ca="1">IF(CALC2223!BC28&gt;0,INDIRECT(ADDRESS(MATCH(Agenda2526!C29,'CAL6'!A:A,0),3,4,1,"CAL6")),0)</f>
        <v>0</v>
      </c>
      <c r="AG28" s="20" t="str">
        <f ca="1">IF(CALC2223!BC28&gt;1,INDIRECT(ADDRESS(MATCH(Agenda2526!C29,'CAL6'!A:A,0)+1,2,4,1,"CAL6")),"")</f>
        <v/>
      </c>
      <c r="AH28" s="21">
        <f ca="1">IF(CALC2223!BC28&gt;1,INDIRECT(ADDRESS(MATCH(Agenda2526!C29,'CAL6'!A:A,0)+1,3,4,1,"CAL6")),0)</f>
        <v>0</v>
      </c>
      <c r="AI28" s="20" t="str">
        <f ca="1">IF(CALC2223!BC28&gt;2,INDIRECT(ADDRESS(MATCH(Agenda2526!C29,'CAL6'!A:A,0)+2,2,4,1,"CAL6")),"")</f>
        <v/>
      </c>
      <c r="AJ28" s="21">
        <f ca="1">IF(CALC2223!BC28&gt;2,INDIRECT(ADDRESS(MATCH(Agenda2526!C29,'CAL6'!A:A,0)+2,3,4,1,"CAL6")),0)</f>
        <v>0</v>
      </c>
      <c r="AK28" s="20" t="str">
        <f ca="1">IF(CALC2223!BD28&gt;0,INDIRECT(ADDRESS(MATCH(Agenda2526!C29,'CAL7'!A:A,0),2,4,1,"CAL7")),"")</f>
        <v/>
      </c>
      <c r="AL28" s="21">
        <f ca="1">IF(CALC2223!BD28&gt;0,INDIRECT(ADDRESS(MATCH(Agenda2526!C29,'CAL7'!A:A,0),3,4,1,"CAL7")),0)</f>
        <v>0</v>
      </c>
      <c r="AM28" s="20" t="str">
        <f ca="1">IF(CALC2223!BD28&gt;1,INDIRECT(ADDRESS(MATCH(Agenda2526!C29,'CAL7'!A:A,0)+1,2,4,1,"CAL7")),"")</f>
        <v/>
      </c>
      <c r="AN28" s="21">
        <f ca="1">IF(CALC2223!BD28&gt;1,INDIRECT(ADDRESS(MATCH(Agenda2526!C29,'CAL7'!A:A,0)+1,3,4,1,"CAL7")),0)</f>
        <v>0</v>
      </c>
      <c r="AO28" s="20" t="str">
        <f ca="1">IF(CALC2223!BD28&gt;2,INDIRECT(ADDRESS(MATCH(Agenda2526!C29,'CAL7'!A:A,0)+2,2,4,1,"CAL7")),"")</f>
        <v/>
      </c>
      <c r="AP28" s="21">
        <f ca="1">IF(CALC2223!BD28&gt;2,INDIRECT(ADDRESS(MATCH(Agenda2526!C29,'CAL7'!A:A,0)+2,3,4,1,"CAL7")),0)</f>
        <v>0</v>
      </c>
      <c r="AQ28" s="20" t="str">
        <f ca="1">IF(CALC2223!BE28&gt;0,INDIRECT(ADDRESS(MATCH(Agenda2526!C29,'CAL8'!A:A,0),2,4,1,"CAL8")),"")</f>
        <v/>
      </c>
      <c r="AR28" s="21">
        <f ca="1">IF(CALC2223!BE28&gt;0,INDIRECT(ADDRESS(MATCH(Agenda2526!C29,'CAL8'!A:A,0),3,4,1,"CAL8")),0)</f>
        <v>0</v>
      </c>
      <c r="AS28" s="20" t="str">
        <f ca="1">IF(CALC2223!BE28&gt;1,INDIRECT(ADDRESS(MATCH(Agenda2526!C29,'CAL8'!A:A,0)+1,2,4,1,"CAL8")),"")</f>
        <v/>
      </c>
      <c r="AT28" s="21">
        <f ca="1">IF(CALC2223!BE28&gt;1,INDIRECT(ADDRESS(MATCH(Agenda2526!C29,'CAL8'!A:A,0)+1,3,4,1,"CAL8")),0)</f>
        <v>0</v>
      </c>
      <c r="AU28" s="20" t="str">
        <f ca="1">IF(CALC2223!BE28&gt;2,INDIRECT(ADDRESS(MATCH(Agenda2526!C29,'CAL8'!A:A,0)+2,2,4,1,"CAL8")),"")</f>
        <v/>
      </c>
      <c r="AV28" s="21">
        <f ca="1">IF(CALC2223!BE28&gt;2,INDIRECT(ADDRESS(MATCH(Agenda2526!C29,'CAL8'!A:A,0)+2,3,4,1,"CAL8")),0)</f>
        <v>0</v>
      </c>
      <c r="AW28" s="106"/>
      <c r="AX28" s="20">
        <f>COUNTIF('CAL1'!A:A,Agenda2526!C29)</f>
        <v>0</v>
      </c>
      <c r="AY28" s="20">
        <f>COUNTIF('CAL2'!A:A,Agenda2526!C29)</f>
        <v>0</v>
      </c>
      <c r="AZ28" s="20">
        <f>COUNTIF('CAL3'!A:A,Agenda2526!C29)</f>
        <v>0</v>
      </c>
      <c r="BA28" s="20">
        <f>COUNTIF('CAL4'!A:A,Agenda2526!C29)</f>
        <v>0</v>
      </c>
      <c r="BB28" s="20">
        <f>COUNTIF('CAL5'!A:A,Agenda2526!C29)</f>
        <v>0</v>
      </c>
      <c r="BC28" s="20">
        <f>COUNTIF('CAL6'!A:A,Agenda2526!C29)</f>
        <v>0</v>
      </c>
      <c r="BD28" s="20">
        <f>COUNTIF('CAL7'!A:A,Agenda2526!C29)</f>
        <v>0</v>
      </c>
      <c r="BE28" s="20">
        <f>COUNTIF('CAL8'!A:A,Agenda2526!C29)</f>
        <v>0</v>
      </c>
    </row>
    <row r="29" spans="1:57" ht="15.75" customHeight="1">
      <c r="A29" s="20" t="str">
        <f ca="1">IF(CALC2223!AX29&gt;0,INDIRECT(ADDRESS(MATCH(Agenda2526!C30,'CAL1'!A:A,0),2,4,1,"CAL1")),"")</f>
        <v/>
      </c>
      <c r="B29" s="21">
        <f ca="1">IF(CALC2223!AX29&gt;0,INDIRECT(ADDRESS(MATCH(Agenda2526!C30,'CAL1'!A:A,0),3,4,1,"CAL1")),0)</f>
        <v>0</v>
      </c>
      <c r="C29" s="20" t="str">
        <f ca="1">IF(CALC2223!AX29&gt;1,INDIRECT(ADDRESS(MATCH(Agenda2526!C30,'CAL1'!A:A,0)+1,2,4,1,"CAL1")),"")</f>
        <v/>
      </c>
      <c r="D29" s="21">
        <f ca="1">IF(CALC2223!AX29&gt;1,INDIRECT(ADDRESS(MATCH(Agenda2526!C30,'CAL1'!A:A,0)+1,3,4,1,"CAL1")),0)</f>
        <v>0</v>
      </c>
      <c r="E29" s="20" t="str">
        <f ca="1">IF(CALC2223!AX29&gt;2,INDIRECT(ADDRESS(MATCH(Agenda2526!C30,'CAL1'!A:A,0)+2,2,4,1,"CAL1")),"")</f>
        <v/>
      </c>
      <c r="F29" s="21">
        <f ca="1">IF(CALC2223!AX29&gt;2,INDIRECT(ADDRESS(MATCH(Agenda2526!C30,'CAL1'!A:A,0)+2,3,4,1,"CAL1")),0)</f>
        <v>0</v>
      </c>
      <c r="G29" s="20" t="str">
        <f ca="1">IF(CALC2223!AY29&gt;0,INDIRECT(ADDRESS(MATCH(Agenda2526!C30,'CAL2'!A:A,0),2,4,1,"CAL2")),"")</f>
        <v/>
      </c>
      <c r="H29" s="21">
        <f ca="1">IF(CALC2223!AY29&gt;0,INDIRECT(ADDRESS(MATCH(Agenda2526!C30,'CAL2'!A:A,0),3,4,1,"CAL2")),0)</f>
        <v>0</v>
      </c>
      <c r="I29" s="20" t="str">
        <f ca="1">IF(CALC2223!AY29&gt;1,INDIRECT(ADDRESS(MATCH(Agenda2526!C30,'CAL2'!A:A,0)+1,2,4,1,"CAL2")),"")</f>
        <v/>
      </c>
      <c r="J29" s="21">
        <f ca="1">IF(CALC2223!AY29&gt;1,INDIRECT(ADDRESS(MATCH(Agenda2526!C30,'CAL2'!A:A,0)+1,3,4,1,"CAL2")),0)</f>
        <v>0</v>
      </c>
      <c r="K29" s="20" t="str">
        <f ca="1">IF(CALC2223!AY29&gt;2,INDIRECT(ADDRESS(MATCH(Agenda2526!C30,'CAL2'!A:A,0)+2,2,4,1,"CAL2")),"")</f>
        <v/>
      </c>
      <c r="L29" s="21">
        <f ca="1">IF(CALC2223!AY29&gt;2,INDIRECT(ADDRESS(MATCH(Agenda2526!C30,'CAL2'!A:A,0)+2,3,4,1,"CAL2")),0)</f>
        <v>0</v>
      </c>
      <c r="M29" s="20" t="str">
        <f ca="1">IF(CALC2223!AZ29&gt;0,INDIRECT(ADDRESS(MATCH(Agenda2526!C30,'CAL3'!A:A,0),2,4,1,"CAL3")),"")</f>
        <v/>
      </c>
      <c r="N29" s="21">
        <f ca="1">IF(CALC2223!AZ29&gt;0,INDIRECT(ADDRESS(MATCH(Agenda2526!C30,'CAL3'!A:A,0),3,4,1,"CAL3")),0)</f>
        <v>0</v>
      </c>
      <c r="O29" s="20" t="str">
        <f ca="1">IF(CALC2223!AZ29&gt;1,INDIRECT(ADDRESS(MATCH(Agenda2526!C30,'CAL3'!A:A,0)+1,2,4,1,"CAL3")),"")</f>
        <v/>
      </c>
      <c r="P29" s="21">
        <f ca="1">IF(CALC2223!AZ29&gt;1,INDIRECT(ADDRESS(MATCH(Agenda2526!C30,'CAL3'!A:A,0)+1,3,4,1,"CAL3")),0)</f>
        <v>0</v>
      </c>
      <c r="Q29" s="20" t="str">
        <f ca="1">IF(CALC2223!AZ29&gt;2,INDIRECT(ADDRESS(MATCH(Agenda2526!C30,'CAL3'!A:A,0)+2,2,4,1,"CAL3")),"")</f>
        <v/>
      </c>
      <c r="R29" s="21">
        <f ca="1">IF(CALC2223!AZ29&gt;2,INDIRECT(ADDRESS(MATCH(Agenda2526!C30,'CAL3'!A:A,0)+2,3,4,1,"CAL3")),0)</f>
        <v>0</v>
      </c>
      <c r="S29" s="20" t="str">
        <f ca="1">IF(CALC2223!BA29&gt;0,INDIRECT(ADDRESS(MATCH(Agenda2526!C30,'CAL4'!A:A,0),2,4,1,"CAL4")),"")</f>
        <v/>
      </c>
      <c r="T29" s="21">
        <f ca="1">IF(CALC2223!BA29&gt;0,INDIRECT(ADDRESS(MATCH(Agenda2526!C30,'CAL4'!A:A,0),3,4,1,"CAL4")),0)</f>
        <v>0</v>
      </c>
      <c r="U29" s="20" t="str">
        <f ca="1">IF(CALC2223!BA29&gt;1,INDIRECT(ADDRESS(MATCH(Agenda2526!C30,'CAL4'!A:A,0)+1,2,4,1,"CAL4")),"")</f>
        <v/>
      </c>
      <c r="V29" s="21">
        <f ca="1">IF(CALC2223!BA29&gt;1,INDIRECT(ADDRESS(MATCH(Agenda2526!C30,'CAL4'!A:A,0)+1,3,4,1,"CAL4")),0)</f>
        <v>0</v>
      </c>
      <c r="W29" s="20" t="str">
        <f ca="1">IF(CALC2223!BA29&gt;2,INDIRECT(ADDRESS(MATCH(Agenda2526!C30,'CAL4'!A:A,0)+2,2,4,1,"CAL4")),"")</f>
        <v/>
      </c>
      <c r="X29" s="21">
        <f ca="1">IF(CALC2223!BA29&gt;2,INDIRECT(ADDRESS(MATCH(Agenda2526!C30,'CAL4'!A:A,0)+2,3,4,1,"CAL4")),0)</f>
        <v>0</v>
      </c>
      <c r="Y29" s="20" t="str">
        <f ca="1">IF(CALC2223!BB29&gt;0,INDIRECT(ADDRESS(MATCH(Agenda2526!C30,'CAL5'!A:A,0),2,4,1,"CAL5")),"")</f>
        <v/>
      </c>
      <c r="Z29" s="21">
        <f ca="1">IF(CALC2223!BB29&gt;0,INDIRECT(ADDRESS(MATCH(Agenda2526!C30,'CAL5'!A:A,0),3,4,1,"CAL5")),0)</f>
        <v>0</v>
      </c>
      <c r="AA29" s="20" t="str">
        <f ca="1">IF(CALC2223!BB29&gt;1,INDIRECT(ADDRESS(MATCH(Agenda2526!C30,'CAL5'!A:A,0)+1,2,4,1,"CAL5")),"")</f>
        <v/>
      </c>
      <c r="AB29" s="21">
        <f ca="1">IF(CALC2223!BB29&gt;1,INDIRECT(ADDRESS(MATCH(Agenda2526!C30,'CAL5'!A:A,0)+1,3,4,1,"CAL5")),0)</f>
        <v>0</v>
      </c>
      <c r="AC29" s="20" t="str">
        <f ca="1">IF(CALC2223!BB29&gt;2,INDIRECT(ADDRESS(MATCH(Agenda2526!C30,'CAL5'!A:A,0)+2,2,4,1,"CAL5")),"")</f>
        <v/>
      </c>
      <c r="AD29" s="21">
        <f ca="1">IF(CALC2223!BB29&gt;2,INDIRECT(ADDRESS(MATCH(Agenda2526!C30,'CAL5'!A:A,0)+2,3,4,1,"CAL5")),0)</f>
        <v>0</v>
      </c>
      <c r="AE29" s="20" t="str">
        <f ca="1">IF(CALC2223!BC29&gt;0,INDIRECT(ADDRESS(MATCH(Agenda2526!C30,'CAL6'!A:A,0),2,4,1,"CAL6")),"")</f>
        <v/>
      </c>
      <c r="AF29" s="21">
        <f ca="1">IF(CALC2223!BC29&gt;0,INDIRECT(ADDRESS(MATCH(Agenda2526!C30,'CAL6'!A:A,0),3,4,1,"CAL6")),0)</f>
        <v>0</v>
      </c>
      <c r="AG29" s="20" t="str">
        <f ca="1">IF(CALC2223!BC29&gt;1,INDIRECT(ADDRESS(MATCH(Agenda2526!C30,'CAL6'!A:A,0)+1,2,4,1,"CAL6")),"")</f>
        <v/>
      </c>
      <c r="AH29" s="21">
        <f ca="1">IF(CALC2223!BC29&gt;1,INDIRECT(ADDRESS(MATCH(Agenda2526!C30,'CAL6'!A:A,0)+1,3,4,1,"CAL6")),0)</f>
        <v>0</v>
      </c>
      <c r="AI29" s="20" t="str">
        <f ca="1">IF(CALC2223!BC29&gt;2,INDIRECT(ADDRESS(MATCH(Agenda2526!C30,'CAL6'!A:A,0)+2,2,4,1,"CAL6")),"")</f>
        <v/>
      </c>
      <c r="AJ29" s="21">
        <f ca="1">IF(CALC2223!BC29&gt;2,INDIRECT(ADDRESS(MATCH(Agenda2526!C30,'CAL6'!A:A,0)+2,3,4,1,"CAL6")),0)</f>
        <v>0</v>
      </c>
      <c r="AK29" s="20" t="str">
        <f ca="1">IF(CALC2223!BD29&gt;0,INDIRECT(ADDRESS(MATCH(Agenda2526!C30,'CAL7'!A:A,0),2,4,1,"CAL7")),"")</f>
        <v/>
      </c>
      <c r="AL29" s="21">
        <f ca="1">IF(CALC2223!BD29&gt;0,INDIRECT(ADDRESS(MATCH(Agenda2526!C30,'CAL7'!A:A,0),3,4,1,"CAL7")),0)</f>
        <v>0</v>
      </c>
      <c r="AM29" s="20" t="str">
        <f ca="1">IF(CALC2223!BD29&gt;1,INDIRECT(ADDRESS(MATCH(Agenda2526!C30,'CAL7'!A:A,0)+1,2,4,1,"CAL7")),"")</f>
        <v/>
      </c>
      <c r="AN29" s="21">
        <f ca="1">IF(CALC2223!BD29&gt;1,INDIRECT(ADDRESS(MATCH(Agenda2526!C30,'CAL7'!A:A,0)+1,3,4,1,"CAL7")),0)</f>
        <v>0</v>
      </c>
      <c r="AO29" s="20" t="str">
        <f ca="1">IF(CALC2223!BD29&gt;2,INDIRECT(ADDRESS(MATCH(Agenda2526!C30,'CAL7'!A:A,0)+2,2,4,1,"CAL7")),"")</f>
        <v/>
      </c>
      <c r="AP29" s="21">
        <f ca="1">IF(CALC2223!BD29&gt;2,INDIRECT(ADDRESS(MATCH(Agenda2526!C30,'CAL7'!A:A,0)+2,3,4,1,"CAL7")),0)</f>
        <v>0</v>
      </c>
      <c r="AQ29" s="20" t="str">
        <f ca="1">IF(CALC2223!BE29&gt;0,INDIRECT(ADDRESS(MATCH(Agenda2526!C30,'CAL8'!A:A,0),2,4,1,"CAL8")),"")</f>
        <v/>
      </c>
      <c r="AR29" s="21">
        <f ca="1">IF(CALC2223!BE29&gt;0,INDIRECT(ADDRESS(MATCH(Agenda2526!C30,'CAL8'!A:A,0),3,4,1,"CAL8")),0)</f>
        <v>0</v>
      </c>
      <c r="AS29" s="20" t="str">
        <f ca="1">IF(CALC2223!BE29&gt;1,INDIRECT(ADDRESS(MATCH(Agenda2526!C30,'CAL8'!A:A,0)+1,2,4,1,"CAL8")),"")</f>
        <v/>
      </c>
      <c r="AT29" s="21">
        <f ca="1">IF(CALC2223!BE29&gt;1,INDIRECT(ADDRESS(MATCH(Agenda2526!C30,'CAL8'!A:A,0)+1,3,4,1,"CAL8")),0)</f>
        <v>0</v>
      </c>
      <c r="AU29" s="20" t="str">
        <f ca="1">IF(CALC2223!BE29&gt;2,INDIRECT(ADDRESS(MATCH(Agenda2526!C30,'CAL8'!A:A,0)+2,2,4,1,"CAL8")),"")</f>
        <v/>
      </c>
      <c r="AV29" s="21">
        <f ca="1">IF(CALC2223!BE29&gt;2,INDIRECT(ADDRESS(MATCH(Agenda2526!C30,'CAL8'!A:A,0)+2,3,4,1,"CAL8")),0)</f>
        <v>0</v>
      </c>
      <c r="AW29" s="106"/>
      <c r="AX29" s="20">
        <f>COUNTIF('CAL1'!A:A,Agenda2526!C30)</f>
        <v>0</v>
      </c>
      <c r="AY29" s="20">
        <f>COUNTIF('CAL2'!A:A,Agenda2526!C30)</f>
        <v>0</v>
      </c>
      <c r="AZ29" s="20">
        <f>COUNTIF('CAL3'!A:A,Agenda2526!C30)</f>
        <v>0</v>
      </c>
      <c r="BA29" s="20">
        <f>COUNTIF('CAL4'!A:A,Agenda2526!C30)</f>
        <v>0</v>
      </c>
      <c r="BB29" s="20">
        <f>COUNTIF('CAL5'!A:A,Agenda2526!C30)</f>
        <v>0</v>
      </c>
      <c r="BC29" s="20">
        <f>COUNTIF('CAL6'!A:A,Agenda2526!C30)</f>
        <v>0</v>
      </c>
      <c r="BD29" s="20">
        <f>COUNTIF('CAL7'!A:A,Agenda2526!C30)</f>
        <v>0</v>
      </c>
      <c r="BE29" s="20">
        <f>COUNTIF('CAL8'!A:A,Agenda2526!C30)</f>
        <v>0</v>
      </c>
    </row>
    <row r="30" spans="1:57" ht="15.75" customHeight="1">
      <c r="A30" s="20" t="str">
        <f ca="1">IF(CALC2223!AX30&gt;0,INDIRECT(ADDRESS(MATCH(Agenda2526!C31,'CAL1'!A:A,0),2,4,1,"CAL1")),"")</f>
        <v/>
      </c>
      <c r="B30" s="21">
        <f ca="1">IF(CALC2223!AX30&gt;0,INDIRECT(ADDRESS(MATCH(Agenda2526!C31,'CAL1'!A:A,0),3,4,1,"CAL1")),0)</f>
        <v>0</v>
      </c>
      <c r="C30" s="20" t="str">
        <f ca="1">IF(CALC2223!AX30&gt;1,INDIRECT(ADDRESS(MATCH(Agenda2526!C31,'CAL1'!A:A,0)+1,2,4,1,"CAL1")),"")</f>
        <v/>
      </c>
      <c r="D30" s="21">
        <f ca="1">IF(CALC2223!AX30&gt;1,INDIRECT(ADDRESS(MATCH(Agenda2526!C31,'CAL1'!A:A,0)+1,3,4,1,"CAL1")),0)</f>
        <v>0</v>
      </c>
      <c r="E30" s="20" t="str">
        <f ca="1">IF(CALC2223!AX30&gt;2,INDIRECT(ADDRESS(MATCH(Agenda2526!C31,'CAL1'!A:A,0)+2,2,4,1,"CAL1")),"")</f>
        <v/>
      </c>
      <c r="F30" s="21">
        <f ca="1">IF(CALC2223!AX30&gt;2,INDIRECT(ADDRESS(MATCH(Agenda2526!C31,'CAL1'!A:A,0)+2,3,4,1,"CAL1")),0)</f>
        <v>0</v>
      </c>
      <c r="G30" s="20" t="str">
        <f ca="1">IF(CALC2223!AY30&gt;0,INDIRECT(ADDRESS(MATCH(Agenda2526!C31,'CAL2'!A:A,0),2,4,1,"CAL2")),"")</f>
        <v/>
      </c>
      <c r="H30" s="21">
        <f ca="1">IF(CALC2223!AY30&gt;0,INDIRECT(ADDRESS(MATCH(Agenda2526!C31,'CAL2'!A:A,0),3,4,1,"CAL2")),0)</f>
        <v>0</v>
      </c>
      <c r="I30" s="20" t="str">
        <f ca="1">IF(CALC2223!AY30&gt;1,INDIRECT(ADDRESS(MATCH(Agenda2526!C31,'CAL2'!A:A,0)+1,2,4,1,"CAL2")),"")</f>
        <v/>
      </c>
      <c r="J30" s="21">
        <f ca="1">IF(CALC2223!AY30&gt;1,INDIRECT(ADDRESS(MATCH(Agenda2526!C31,'CAL2'!A:A,0)+1,3,4,1,"CAL2")),0)</f>
        <v>0</v>
      </c>
      <c r="K30" s="20" t="str">
        <f ca="1">IF(CALC2223!AY30&gt;2,INDIRECT(ADDRESS(MATCH(Agenda2526!C31,'CAL2'!A:A,0)+2,2,4,1,"CAL2")),"")</f>
        <v/>
      </c>
      <c r="L30" s="21">
        <f ca="1">IF(CALC2223!AY30&gt;2,INDIRECT(ADDRESS(MATCH(Agenda2526!C31,'CAL2'!A:A,0)+2,3,4,1,"CAL2")),0)</f>
        <v>0</v>
      </c>
      <c r="M30" s="20" t="str">
        <f ca="1">IF(CALC2223!AZ30&gt;0,INDIRECT(ADDRESS(MATCH(Agenda2526!C31,'CAL3'!A:A,0),2,4,1,"CAL3")),"")</f>
        <v>Team Ollie</v>
      </c>
      <c r="N30" s="21">
        <f ca="1">IF(CALC2223!AZ30&gt;0,INDIRECT(ADDRESS(MATCH(Agenda2526!C31,'CAL3'!A:A,0),3,4,1,"CAL3")),0)</f>
        <v>45915</v>
      </c>
      <c r="O30" s="20" t="str">
        <f ca="1">IF(CALC2223!AZ30&gt;1,INDIRECT(ADDRESS(MATCH(Agenda2526!C31,'CAL3'!A:A,0)+1,2,4,1,"CAL3")),"")</f>
        <v/>
      </c>
      <c r="P30" s="21">
        <f ca="1">IF(CALC2223!AZ30&gt;1,INDIRECT(ADDRESS(MATCH(Agenda2526!C31,'CAL3'!A:A,0)+1,3,4,1,"CAL3")),0)</f>
        <v>0</v>
      </c>
      <c r="Q30" s="20" t="str">
        <f ca="1">IF(CALC2223!AZ30&gt;2,INDIRECT(ADDRESS(MATCH(Agenda2526!C31,'CAL3'!A:A,0)+2,2,4,1,"CAL3")),"")</f>
        <v/>
      </c>
      <c r="R30" s="21">
        <f ca="1">IF(CALC2223!AZ30&gt;2,INDIRECT(ADDRESS(MATCH(Agenda2526!C31,'CAL3'!A:A,0)+2,3,4,1,"CAL3")),0)</f>
        <v>0</v>
      </c>
      <c r="S30" s="20" t="str">
        <f ca="1">IF(CALC2223!BA30&gt;0,INDIRECT(ADDRESS(MATCH(Agenda2526!C31,'CAL4'!A:A,0),2,4,1,"CAL4")),"")</f>
        <v/>
      </c>
      <c r="T30" s="21">
        <f ca="1">IF(CALC2223!BA30&gt;0,INDIRECT(ADDRESS(MATCH(Agenda2526!C31,'CAL4'!A:A,0),3,4,1,"CAL4")),0)</f>
        <v>0</v>
      </c>
      <c r="U30" s="20" t="str">
        <f ca="1">IF(CALC2223!BA30&gt;1,INDIRECT(ADDRESS(MATCH(Agenda2526!C31,'CAL4'!A:A,0)+1,2,4,1,"CAL4")),"")</f>
        <v/>
      </c>
      <c r="V30" s="21">
        <f ca="1">IF(CALC2223!BA30&gt;1,INDIRECT(ADDRESS(MATCH(Agenda2526!C31,'CAL4'!A:A,0)+1,3,4,1,"CAL4")),0)</f>
        <v>0</v>
      </c>
      <c r="W30" s="20" t="str">
        <f ca="1">IF(CALC2223!BA30&gt;2,INDIRECT(ADDRESS(MATCH(Agenda2526!C31,'CAL4'!A:A,0)+2,2,4,1,"CAL4")),"")</f>
        <v/>
      </c>
      <c r="X30" s="21">
        <f ca="1">IF(CALC2223!BA30&gt;2,INDIRECT(ADDRESS(MATCH(Agenda2526!C31,'CAL4'!A:A,0)+2,3,4,1,"CAL4")),0)</f>
        <v>0</v>
      </c>
      <c r="Y30" s="20" t="str">
        <f ca="1">IF(CALC2223!BB30&gt;0,INDIRECT(ADDRESS(MATCH(Agenda2526!C31,'CAL5'!A:A,0),2,4,1,"CAL5")),"")</f>
        <v/>
      </c>
      <c r="Z30" s="21">
        <f ca="1">IF(CALC2223!BB30&gt;0,INDIRECT(ADDRESS(MATCH(Agenda2526!C31,'CAL5'!A:A,0),3,4,1,"CAL5")),0)</f>
        <v>0</v>
      </c>
      <c r="AA30" s="20" t="str">
        <f ca="1">IF(CALC2223!BB30&gt;1,INDIRECT(ADDRESS(MATCH(Agenda2526!C31,'CAL5'!A:A,0)+1,2,4,1,"CAL5")),"")</f>
        <v/>
      </c>
      <c r="AB30" s="21">
        <f ca="1">IF(CALC2223!BB30&gt;1,INDIRECT(ADDRESS(MATCH(Agenda2526!C31,'CAL5'!A:A,0)+1,3,4,1,"CAL5")),0)</f>
        <v>0</v>
      </c>
      <c r="AC30" s="20" t="str">
        <f ca="1">IF(CALC2223!BB30&gt;2,INDIRECT(ADDRESS(MATCH(Agenda2526!C31,'CAL5'!A:A,0)+2,2,4,1,"CAL5")),"")</f>
        <v/>
      </c>
      <c r="AD30" s="21">
        <f ca="1">IF(CALC2223!BB30&gt;2,INDIRECT(ADDRESS(MATCH(Agenda2526!C31,'CAL5'!A:A,0)+2,3,4,1,"CAL5")),0)</f>
        <v>0</v>
      </c>
      <c r="AE30" s="20" t="str">
        <f ca="1">IF(CALC2223!BC30&gt;0,INDIRECT(ADDRESS(MATCH(Agenda2526!C31,'CAL6'!A:A,0),2,4,1,"CAL6")),"")</f>
        <v>excursie ak</v>
      </c>
      <c r="AF30" s="21">
        <f ca="1">IF(CALC2223!BC30&gt;0,INDIRECT(ADDRESS(MATCH(Agenda2526!C31,'CAL6'!A:A,0),3,4,1,"CAL6")),0)</f>
        <v>45915</v>
      </c>
      <c r="AG30" s="20" t="str">
        <f ca="1">IF(CALC2223!BC30&gt;1,INDIRECT(ADDRESS(MATCH(Agenda2526!C31,'CAL6'!A:A,0)+1,2,4,1,"CAL6")),"")</f>
        <v/>
      </c>
      <c r="AH30" s="21">
        <f ca="1">IF(CALC2223!BC30&gt;1,INDIRECT(ADDRESS(MATCH(Agenda2526!C31,'CAL6'!A:A,0)+1,3,4,1,"CAL6")),0)</f>
        <v>0</v>
      </c>
      <c r="AI30" s="20" t="str">
        <f ca="1">IF(CALC2223!BC30&gt;2,INDIRECT(ADDRESS(MATCH(Agenda2526!C31,'CAL6'!A:A,0)+2,2,4,1,"CAL6")),"")</f>
        <v/>
      </c>
      <c r="AJ30" s="21">
        <f ca="1">IF(CALC2223!BC30&gt;2,INDIRECT(ADDRESS(MATCH(Agenda2526!C31,'CAL6'!A:A,0)+2,3,4,1,"CAL6")),0)</f>
        <v>0</v>
      </c>
      <c r="AK30" s="20" t="str">
        <f ca="1">IF(CALC2223!BD30&gt;0,INDIRECT(ADDRESS(MATCH(Agenda2526!C31,'CAL7'!A:A,0),2,4,1,"CAL7")),"")</f>
        <v/>
      </c>
      <c r="AL30" s="21">
        <f ca="1">IF(CALC2223!BD30&gt;0,INDIRECT(ADDRESS(MATCH(Agenda2526!C31,'CAL7'!A:A,0),3,4,1,"CAL7")),0)</f>
        <v>0</v>
      </c>
      <c r="AM30" s="20" t="str">
        <f ca="1">IF(CALC2223!BD30&gt;1,INDIRECT(ADDRESS(MATCH(Agenda2526!C31,'CAL7'!A:A,0)+1,2,4,1,"CAL7")),"")</f>
        <v/>
      </c>
      <c r="AN30" s="21">
        <f ca="1">IF(CALC2223!BD30&gt;1,INDIRECT(ADDRESS(MATCH(Agenda2526!C31,'CAL7'!A:A,0)+1,3,4,1,"CAL7")),0)</f>
        <v>0</v>
      </c>
      <c r="AO30" s="20" t="str">
        <f ca="1">IF(CALC2223!BD30&gt;2,INDIRECT(ADDRESS(MATCH(Agenda2526!C31,'CAL7'!A:A,0)+2,2,4,1,"CAL7")),"")</f>
        <v/>
      </c>
      <c r="AP30" s="21">
        <f ca="1">IF(CALC2223!BD30&gt;2,INDIRECT(ADDRESS(MATCH(Agenda2526!C31,'CAL7'!A:A,0)+2,3,4,1,"CAL7")),0)</f>
        <v>0</v>
      </c>
      <c r="AQ30" s="20" t="str">
        <f ca="1">IF(CALC2223!BE30&gt;0,INDIRECT(ADDRESS(MATCH(Agenda2526!C31,'CAL8'!A:A,0),2,4,1,"CAL8")),"")</f>
        <v>ouderavond G3 (19 u) en G6 (20 u)</v>
      </c>
      <c r="AR30" s="21">
        <f ca="1">IF(CALC2223!BE30&gt;0,INDIRECT(ADDRESS(MATCH(Agenda2526!C31,'CAL8'!A:A,0),3,4,1,"CAL8")),0)</f>
        <v>45896</v>
      </c>
      <c r="AS30" s="20" t="str">
        <f ca="1">IF(CALC2223!BE30&gt;1,INDIRECT(ADDRESS(MATCH(Agenda2526!C31,'CAL8'!A:A,0)+1,2,4,1,"CAL8")),"")</f>
        <v/>
      </c>
      <c r="AT30" s="21">
        <f ca="1">IF(CALC2223!BE30&gt;1,INDIRECT(ADDRESS(MATCH(Agenda2526!C31,'CAL8'!A:A,0)+1,3,4,1,"CAL8")),0)</f>
        <v>0</v>
      </c>
      <c r="AU30" s="20" t="str">
        <f ca="1">IF(CALC2223!BE30&gt;2,INDIRECT(ADDRESS(MATCH(Agenda2526!C31,'CAL8'!A:A,0)+2,2,4,1,"CAL8")),"")</f>
        <v/>
      </c>
      <c r="AV30" s="21">
        <f ca="1">IF(CALC2223!BE30&gt;2,INDIRECT(ADDRESS(MATCH(Agenda2526!C31,'CAL8'!A:A,0)+2,3,4,1,"CAL8")),0)</f>
        <v>0</v>
      </c>
      <c r="AW30" s="105"/>
      <c r="AX30" s="20">
        <f>COUNTIF('CAL1'!A:A,Agenda2526!C31)</f>
        <v>0</v>
      </c>
      <c r="AY30" s="20">
        <f>COUNTIF('CAL2'!A:A,Agenda2526!C31)</f>
        <v>0</v>
      </c>
      <c r="AZ30" s="20">
        <f>COUNTIF('CAL3'!A:A,Agenda2526!C31)</f>
        <v>1</v>
      </c>
      <c r="BA30" s="20">
        <f>COUNTIF('CAL4'!A:A,Agenda2526!C31)</f>
        <v>0</v>
      </c>
      <c r="BB30" s="20">
        <f>COUNTIF('CAL5'!A:A,Agenda2526!C31)</f>
        <v>0</v>
      </c>
      <c r="BC30" s="20">
        <f>COUNTIF('CAL6'!A:A,Agenda2526!C31)</f>
        <v>1</v>
      </c>
      <c r="BD30" s="20">
        <f>COUNTIF('CAL7'!A:A,Agenda2526!C31)</f>
        <v>0</v>
      </c>
      <c r="BE30" s="20">
        <f>COUNTIF('CAL8'!A:A,Agenda2526!C31)</f>
        <v>1</v>
      </c>
    </row>
    <row r="31" spans="1:57" ht="15.75" customHeight="1">
      <c r="A31" s="20" t="str">
        <f ca="1">IF(CALC2223!AX31&gt;0,INDIRECT(ADDRESS(MATCH(Agenda2526!C32,'CAL1'!A:A,0),2,4,1,"CAL1")),"")</f>
        <v/>
      </c>
      <c r="B31" s="21">
        <f ca="1">IF(CALC2223!AX31&gt;0,INDIRECT(ADDRESS(MATCH(Agenda2526!C32,'CAL1'!A:A,0),3,4,1,"CAL1")),0)</f>
        <v>0</v>
      </c>
      <c r="C31" s="20" t="str">
        <f ca="1">IF(CALC2223!AX31&gt;1,INDIRECT(ADDRESS(MATCH(Agenda2526!C32,'CAL1'!A:A,0)+1,2,4,1,"CAL1")),"")</f>
        <v/>
      </c>
      <c r="D31" s="21">
        <f ca="1">IF(CALC2223!AX31&gt;1,INDIRECT(ADDRESS(MATCH(Agenda2526!C32,'CAL1'!A:A,0)+1,3,4,1,"CAL1")),0)</f>
        <v>0</v>
      </c>
      <c r="E31" s="20" t="str">
        <f ca="1">IF(CALC2223!AX31&gt;2,INDIRECT(ADDRESS(MATCH(Agenda2526!C32,'CAL1'!A:A,0)+2,2,4,1,"CAL1")),"")</f>
        <v/>
      </c>
      <c r="F31" s="21">
        <f ca="1">IF(CALC2223!AX31&gt;2,INDIRECT(ADDRESS(MATCH(Agenda2526!C32,'CAL1'!A:A,0)+2,3,4,1,"CAL1")),0)</f>
        <v>0</v>
      </c>
      <c r="G31" s="20" t="str">
        <f ca="1">IF(CALC2223!AY31&gt;0,INDIRECT(ADDRESS(MATCH(Agenda2526!C32,'CAL2'!A:A,0),2,4,1,"CAL2")),"")</f>
        <v/>
      </c>
      <c r="H31" s="21">
        <f ca="1">IF(CALC2223!AY31&gt;0,INDIRECT(ADDRESS(MATCH(Agenda2526!C32,'CAL2'!A:A,0),3,4,1,"CAL2")),0)</f>
        <v>0</v>
      </c>
      <c r="I31" s="20" t="str">
        <f ca="1">IF(CALC2223!AY31&gt;1,INDIRECT(ADDRESS(MATCH(Agenda2526!C32,'CAL2'!A:A,0)+1,2,4,1,"CAL2")),"")</f>
        <v/>
      </c>
      <c r="J31" s="21">
        <f ca="1">IF(CALC2223!AY31&gt;1,INDIRECT(ADDRESS(MATCH(Agenda2526!C32,'CAL2'!A:A,0)+1,3,4,1,"CAL2")),0)</f>
        <v>0</v>
      </c>
      <c r="K31" s="20" t="str">
        <f ca="1">IF(CALC2223!AY31&gt;2,INDIRECT(ADDRESS(MATCH(Agenda2526!C32,'CAL2'!A:A,0)+2,2,4,1,"CAL2")),"")</f>
        <v/>
      </c>
      <c r="L31" s="21">
        <f ca="1">IF(CALC2223!AY31&gt;2,INDIRECT(ADDRESS(MATCH(Agenda2526!C32,'CAL2'!A:A,0)+2,3,4,1,"CAL2")),0)</f>
        <v>0</v>
      </c>
      <c r="M31" s="20" t="str">
        <f ca="1">IF(CALC2223!AZ31&gt;0,INDIRECT(ADDRESS(MATCH(Agenda2526!C32,'CAL3'!A:A,0),2,4,1,"CAL3")),"")</f>
        <v/>
      </c>
      <c r="N31" s="21">
        <f ca="1">IF(CALC2223!AZ31&gt;0,INDIRECT(ADDRESS(MATCH(Agenda2526!C32,'CAL3'!A:A,0),3,4,1,"CAL3")),0)</f>
        <v>0</v>
      </c>
      <c r="O31" s="20" t="str">
        <f ca="1">IF(CALC2223!AZ31&gt;1,INDIRECT(ADDRESS(MATCH(Agenda2526!C32,'CAL3'!A:A,0)+1,2,4,1,"CAL3")),"")</f>
        <v/>
      </c>
      <c r="P31" s="21">
        <f ca="1">IF(CALC2223!AZ31&gt;1,INDIRECT(ADDRESS(MATCH(Agenda2526!C32,'CAL3'!A:A,0)+1,3,4,1,"CAL3")),0)</f>
        <v>0</v>
      </c>
      <c r="Q31" s="20" t="str">
        <f ca="1">IF(CALC2223!AZ31&gt;2,INDIRECT(ADDRESS(MATCH(Agenda2526!C32,'CAL3'!A:A,0)+2,2,4,1,"CAL3")),"")</f>
        <v/>
      </c>
      <c r="R31" s="21">
        <f ca="1">IF(CALC2223!AZ31&gt;2,INDIRECT(ADDRESS(MATCH(Agenda2526!C32,'CAL3'!A:A,0)+2,3,4,1,"CAL3")),0)</f>
        <v>0</v>
      </c>
      <c r="S31" s="20" t="str">
        <f ca="1">IF(CALC2223!BA31&gt;0,INDIRECT(ADDRESS(MATCH(Agenda2526!C32,'CAL4'!A:A,0),2,4,1,"CAL4")),"")</f>
        <v/>
      </c>
      <c r="T31" s="21">
        <f ca="1">IF(CALC2223!BA31&gt;0,INDIRECT(ADDRESS(MATCH(Agenda2526!C32,'CAL4'!A:A,0),3,4,1,"CAL4")),0)</f>
        <v>0</v>
      </c>
      <c r="U31" s="20" t="str">
        <f ca="1">IF(CALC2223!BA31&gt;1,INDIRECT(ADDRESS(MATCH(Agenda2526!C32,'CAL4'!A:A,0)+1,2,4,1,"CAL4")),"")</f>
        <v/>
      </c>
      <c r="V31" s="21">
        <f ca="1">IF(CALC2223!BA31&gt;1,INDIRECT(ADDRESS(MATCH(Agenda2526!C32,'CAL4'!A:A,0)+1,3,4,1,"CAL4")),0)</f>
        <v>0</v>
      </c>
      <c r="W31" s="20" t="str">
        <f ca="1">IF(CALC2223!BA31&gt;2,INDIRECT(ADDRESS(MATCH(Agenda2526!C32,'CAL4'!A:A,0)+2,2,4,1,"CAL4")),"")</f>
        <v/>
      </c>
      <c r="X31" s="21">
        <f ca="1">IF(CALC2223!BA31&gt;2,INDIRECT(ADDRESS(MATCH(Agenda2526!C32,'CAL4'!A:A,0)+2,3,4,1,"CAL4")),0)</f>
        <v>0</v>
      </c>
      <c r="Y31" s="20" t="str">
        <f ca="1">IF(CALC2223!BB31&gt;0,INDIRECT(ADDRESS(MATCH(Agenda2526!C32,'CAL5'!A:A,0),2,4,1,"CAL5")),"")</f>
        <v/>
      </c>
      <c r="Z31" s="21">
        <f ca="1">IF(CALC2223!BB31&gt;0,INDIRECT(ADDRESS(MATCH(Agenda2526!C32,'CAL5'!A:A,0),3,4,1,"CAL5")),0)</f>
        <v>0</v>
      </c>
      <c r="AA31" s="20" t="str">
        <f ca="1">IF(CALC2223!BB31&gt;1,INDIRECT(ADDRESS(MATCH(Agenda2526!C32,'CAL5'!A:A,0)+1,2,4,1,"CAL5")),"")</f>
        <v/>
      </c>
      <c r="AB31" s="21">
        <f ca="1">IF(CALC2223!BB31&gt;1,INDIRECT(ADDRESS(MATCH(Agenda2526!C32,'CAL5'!A:A,0)+1,3,4,1,"CAL5")),0)</f>
        <v>0</v>
      </c>
      <c r="AC31" s="20" t="str">
        <f ca="1">IF(CALC2223!BB31&gt;2,INDIRECT(ADDRESS(MATCH(Agenda2526!C32,'CAL5'!A:A,0)+2,2,4,1,"CAL5")),"")</f>
        <v/>
      </c>
      <c r="AD31" s="21">
        <f ca="1">IF(CALC2223!BB31&gt;2,INDIRECT(ADDRESS(MATCH(Agenda2526!C32,'CAL5'!A:A,0)+2,3,4,1,"CAL5")),0)</f>
        <v>0</v>
      </c>
      <c r="AE31" s="20" t="str">
        <f ca="1">IF(CALC2223!BC31&gt;0,INDIRECT(ADDRESS(MATCH(Agenda2526!C32,'CAL6'!A:A,0),2,4,1,"CAL6")),"")</f>
        <v/>
      </c>
      <c r="AF31" s="21">
        <f ca="1">IF(CALC2223!BC31&gt;0,INDIRECT(ADDRESS(MATCH(Agenda2526!C32,'CAL6'!A:A,0),3,4,1,"CAL6")),0)</f>
        <v>0</v>
      </c>
      <c r="AG31" s="20" t="str">
        <f ca="1">IF(CALC2223!BC31&gt;1,INDIRECT(ADDRESS(MATCH(Agenda2526!C32,'CAL6'!A:A,0)+1,2,4,1,"CAL6")),"")</f>
        <v/>
      </c>
      <c r="AH31" s="21">
        <f ca="1">IF(CALC2223!BC31&gt;1,INDIRECT(ADDRESS(MATCH(Agenda2526!C32,'CAL6'!A:A,0)+1,3,4,1,"CAL6")),0)</f>
        <v>0</v>
      </c>
      <c r="AI31" s="20" t="str">
        <f ca="1">IF(CALC2223!BC31&gt;2,INDIRECT(ADDRESS(MATCH(Agenda2526!C32,'CAL6'!A:A,0)+2,2,4,1,"CAL6")),"")</f>
        <v/>
      </c>
      <c r="AJ31" s="21">
        <f ca="1">IF(CALC2223!BC31&gt;2,INDIRECT(ADDRESS(MATCH(Agenda2526!C32,'CAL6'!A:A,0)+2,3,4,1,"CAL6")),0)</f>
        <v>0</v>
      </c>
      <c r="AK31" s="20" t="str">
        <f ca="1">IF(CALC2223!BD31&gt;0,INDIRECT(ADDRESS(MATCH(Agenda2526!C32,'CAL7'!A:A,0),2,4,1,"CAL7")),"")</f>
        <v/>
      </c>
      <c r="AL31" s="21">
        <f ca="1">IF(CALC2223!BD31&gt;0,INDIRECT(ADDRESS(MATCH(Agenda2526!C32,'CAL7'!A:A,0),3,4,1,"CAL7")),0)</f>
        <v>0</v>
      </c>
      <c r="AM31" s="20" t="str">
        <f ca="1">IF(CALC2223!BD31&gt;1,INDIRECT(ADDRESS(MATCH(Agenda2526!C32,'CAL7'!A:A,0)+1,2,4,1,"CAL7")),"")</f>
        <v/>
      </c>
      <c r="AN31" s="21">
        <f ca="1">IF(CALC2223!BD31&gt;1,INDIRECT(ADDRESS(MATCH(Agenda2526!C32,'CAL7'!A:A,0)+1,3,4,1,"CAL7")),0)</f>
        <v>0</v>
      </c>
      <c r="AO31" s="20" t="str">
        <f ca="1">IF(CALC2223!BD31&gt;2,INDIRECT(ADDRESS(MATCH(Agenda2526!C32,'CAL7'!A:A,0)+2,2,4,1,"CAL7")),"")</f>
        <v/>
      </c>
      <c r="AP31" s="21">
        <f ca="1">IF(CALC2223!BD31&gt;2,INDIRECT(ADDRESS(MATCH(Agenda2526!C32,'CAL7'!A:A,0)+2,3,4,1,"CAL7")),0)</f>
        <v>0</v>
      </c>
      <c r="AQ31" s="20" t="str">
        <f ca="1">IF(CALC2223!BE31&gt;0,INDIRECT(ADDRESS(MATCH(Agenda2526!C32,'CAL8'!A:A,0),2,4,1,"CAL8")),"")</f>
        <v/>
      </c>
      <c r="AR31" s="21">
        <f ca="1">IF(CALC2223!BE31&gt;0,INDIRECT(ADDRESS(MATCH(Agenda2526!C32,'CAL8'!A:A,0),3,4,1,"CAL8")),0)</f>
        <v>0</v>
      </c>
      <c r="AS31" s="20" t="str">
        <f ca="1">IF(CALC2223!BE31&gt;1,INDIRECT(ADDRESS(MATCH(Agenda2526!C32,'CAL8'!A:A,0)+1,2,4,1,"CAL8")),"")</f>
        <v/>
      </c>
      <c r="AT31" s="21">
        <f ca="1">IF(CALC2223!BE31&gt;1,INDIRECT(ADDRESS(MATCH(Agenda2526!C32,'CAL8'!A:A,0)+1,3,4,1,"CAL8")),0)</f>
        <v>0</v>
      </c>
      <c r="AU31" s="20" t="str">
        <f ca="1">IF(CALC2223!BE31&gt;2,INDIRECT(ADDRESS(MATCH(Agenda2526!C32,'CAL8'!A:A,0)+2,2,4,1,"CAL8")),"")</f>
        <v/>
      </c>
      <c r="AV31" s="21">
        <f ca="1">IF(CALC2223!BE31&gt;2,INDIRECT(ADDRESS(MATCH(Agenda2526!C32,'CAL8'!A:A,0)+2,3,4,1,"CAL8")),0)</f>
        <v>0</v>
      </c>
      <c r="AW31" s="105"/>
      <c r="AX31" s="20">
        <f>COUNTIF('CAL1'!A:A,Agenda2526!C32)</f>
        <v>0</v>
      </c>
      <c r="AY31" s="20">
        <f>COUNTIF('CAL2'!A:A,Agenda2526!C32)</f>
        <v>0</v>
      </c>
      <c r="AZ31" s="20">
        <f>COUNTIF('CAL3'!A:A,Agenda2526!C32)</f>
        <v>0</v>
      </c>
      <c r="BA31" s="20">
        <f>COUNTIF('CAL4'!A:A,Agenda2526!C32)</f>
        <v>0</v>
      </c>
      <c r="BB31" s="20">
        <f>COUNTIF('CAL5'!A:A,Agenda2526!C32)</f>
        <v>0</v>
      </c>
      <c r="BC31" s="20">
        <f>COUNTIF('CAL6'!A:A,Agenda2526!C32)</f>
        <v>0</v>
      </c>
      <c r="BD31" s="20">
        <f>COUNTIF('CAL7'!A:A,Agenda2526!C32)</f>
        <v>0</v>
      </c>
      <c r="BE31" s="20">
        <f>COUNTIF('CAL8'!A:A,Agenda2526!C32)</f>
        <v>0</v>
      </c>
    </row>
    <row r="32" spans="1:57" ht="15.75" customHeight="1">
      <c r="A32" s="20" t="str">
        <f ca="1">IF(CALC2223!AX32&gt;0,INDIRECT(ADDRESS(MATCH(Agenda2526!C33,'CAL1'!A:A,0),2,4,1,"CAL1")),"")</f>
        <v/>
      </c>
      <c r="B32" s="21">
        <f ca="1">IF(CALC2223!AX32&gt;0,INDIRECT(ADDRESS(MATCH(Agenda2526!C33,'CAL1'!A:A,0),3,4,1,"CAL1")),0)</f>
        <v>0</v>
      </c>
      <c r="C32" s="20" t="str">
        <f ca="1">IF(CALC2223!AX32&gt;1,INDIRECT(ADDRESS(MATCH(Agenda2526!C33,'CAL1'!A:A,0)+1,2,4,1,"CAL1")),"")</f>
        <v/>
      </c>
      <c r="D32" s="21">
        <f ca="1">IF(CALC2223!AX32&gt;1,INDIRECT(ADDRESS(MATCH(Agenda2526!C33,'CAL1'!A:A,0)+1,3,4,1,"CAL1")),0)</f>
        <v>0</v>
      </c>
      <c r="E32" s="20" t="str">
        <f ca="1">IF(CALC2223!AX32&gt;2,INDIRECT(ADDRESS(MATCH(Agenda2526!C33,'CAL1'!A:A,0)+2,2,4,1,"CAL1")),"")</f>
        <v/>
      </c>
      <c r="F32" s="21">
        <f ca="1">IF(CALC2223!AX32&gt;2,INDIRECT(ADDRESS(MATCH(Agenda2526!C33,'CAL1'!A:A,0)+2,3,4,1,"CAL1")),0)</f>
        <v>0</v>
      </c>
      <c r="G32" s="20" t="str">
        <f ca="1">IF(CALC2223!AY32&gt;0,INDIRECT(ADDRESS(MATCH(Agenda2526!C33,'CAL2'!A:A,0),2,4,1,"CAL2")),"")</f>
        <v/>
      </c>
      <c r="H32" s="21">
        <f ca="1">IF(CALC2223!AY32&gt;0,INDIRECT(ADDRESS(MATCH(Agenda2526!C33,'CAL2'!A:A,0),3,4,1,"CAL2")),0)</f>
        <v>0</v>
      </c>
      <c r="I32" s="20" t="str">
        <f ca="1">IF(CALC2223!AY32&gt;1,INDIRECT(ADDRESS(MATCH(Agenda2526!C33,'CAL2'!A:A,0)+1,2,4,1,"CAL2")),"")</f>
        <v/>
      </c>
      <c r="J32" s="21">
        <f ca="1">IF(CALC2223!AY32&gt;1,INDIRECT(ADDRESS(MATCH(Agenda2526!C33,'CAL2'!A:A,0)+1,3,4,1,"CAL2")),0)</f>
        <v>0</v>
      </c>
      <c r="K32" s="20" t="str">
        <f ca="1">IF(CALC2223!AY32&gt;2,INDIRECT(ADDRESS(MATCH(Agenda2526!C33,'CAL2'!A:A,0)+2,2,4,1,"CAL2")),"")</f>
        <v/>
      </c>
      <c r="L32" s="21">
        <f ca="1">IF(CALC2223!AY32&gt;2,INDIRECT(ADDRESS(MATCH(Agenda2526!C33,'CAL2'!A:A,0)+2,3,4,1,"CAL2")),0)</f>
        <v>0</v>
      </c>
      <c r="M32" s="20" t="str">
        <f ca="1">IF(CALC2223!AZ32&gt;0,INDIRECT(ADDRESS(MATCH(Agenda2526!C33,'CAL3'!A:A,0),2,4,1,"CAL3")),"")</f>
        <v/>
      </c>
      <c r="N32" s="21">
        <f ca="1">IF(CALC2223!AZ32&gt;0,INDIRECT(ADDRESS(MATCH(Agenda2526!C33,'CAL3'!A:A,0),3,4,1,"CAL3")),0)</f>
        <v>0</v>
      </c>
      <c r="O32" s="20" t="str">
        <f ca="1">IF(CALC2223!AZ32&gt;1,INDIRECT(ADDRESS(MATCH(Agenda2526!C33,'CAL3'!A:A,0)+1,2,4,1,"CAL3")),"")</f>
        <v/>
      </c>
      <c r="P32" s="21">
        <f ca="1">IF(CALC2223!AZ32&gt;1,INDIRECT(ADDRESS(MATCH(Agenda2526!C33,'CAL3'!A:A,0)+1,3,4,1,"CAL3")),0)</f>
        <v>0</v>
      </c>
      <c r="Q32" s="20" t="str">
        <f ca="1">IF(CALC2223!AZ32&gt;2,INDIRECT(ADDRESS(MATCH(Agenda2526!C33,'CAL3'!A:A,0)+2,2,4,1,"CAL3")),"")</f>
        <v/>
      </c>
      <c r="R32" s="21">
        <f ca="1">IF(CALC2223!AZ32&gt;2,INDIRECT(ADDRESS(MATCH(Agenda2526!C33,'CAL3'!A:A,0)+2,3,4,1,"CAL3")),0)</f>
        <v>0</v>
      </c>
      <c r="S32" s="20" t="str">
        <f ca="1">IF(CALC2223!BA32&gt;0,INDIRECT(ADDRESS(MATCH(Agenda2526!C33,'CAL4'!A:A,0),2,4,1,"CAL4")),"")</f>
        <v/>
      </c>
      <c r="T32" s="21">
        <f ca="1">IF(CALC2223!BA32&gt;0,INDIRECT(ADDRESS(MATCH(Agenda2526!C33,'CAL4'!A:A,0),3,4,1,"CAL4")),0)</f>
        <v>0</v>
      </c>
      <c r="U32" s="20" t="str">
        <f ca="1">IF(CALC2223!BA32&gt;1,INDIRECT(ADDRESS(MATCH(Agenda2526!C33,'CAL4'!A:A,0)+1,2,4,1,"CAL4")),"")</f>
        <v/>
      </c>
      <c r="V32" s="21">
        <f ca="1">IF(CALC2223!BA32&gt;1,INDIRECT(ADDRESS(MATCH(Agenda2526!C33,'CAL4'!A:A,0)+1,3,4,1,"CAL4")),0)</f>
        <v>0</v>
      </c>
      <c r="W32" s="20" t="str">
        <f ca="1">IF(CALC2223!BA32&gt;2,INDIRECT(ADDRESS(MATCH(Agenda2526!C33,'CAL4'!A:A,0)+2,2,4,1,"CAL4")),"")</f>
        <v/>
      </c>
      <c r="X32" s="21">
        <f ca="1">IF(CALC2223!BA32&gt;2,INDIRECT(ADDRESS(MATCH(Agenda2526!C33,'CAL4'!A:A,0)+2,3,4,1,"CAL4")),0)</f>
        <v>0</v>
      </c>
      <c r="Y32" s="20" t="str">
        <f ca="1">IF(CALC2223!BB32&gt;0,INDIRECT(ADDRESS(MATCH(Agenda2526!C33,'CAL5'!A:A,0),2,4,1,"CAL5")),"")</f>
        <v>Rep BI</v>
      </c>
      <c r="Z32" s="21">
        <f ca="1">IF(CALC2223!BB32&gt;0,INDIRECT(ADDRESS(MATCH(Agenda2526!C33,'CAL5'!A:A,0),3,4,1,"CAL5")),0)</f>
        <v>45896</v>
      </c>
      <c r="AA32" s="20" t="str">
        <f ca="1">IF(CALC2223!BB32&gt;1,INDIRECT(ADDRESS(MATCH(Agenda2526!C33,'CAL5'!A:A,0)+1,2,4,1,"CAL5")),"")</f>
        <v/>
      </c>
      <c r="AB32" s="21">
        <f ca="1">IF(CALC2223!BB32&gt;1,INDIRECT(ADDRESS(MATCH(Agenda2526!C33,'CAL5'!A:A,0)+1,3,4,1,"CAL5")),0)</f>
        <v>0</v>
      </c>
      <c r="AC32" s="20" t="str">
        <f ca="1">IF(CALC2223!BB32&gt;2,INDIRECT(ADDRESS(MATCH(Agenda2526!C33,'CAL5'!A:A,0)+2,2,4,1,"CAL5")),"")</f>
        <v/>
      </c>
      <c r="AD32" s="21">
        <f ca="1">IF(CALC2223!BB32&gt;2,INDIRECT(ADDRESS(MATCH(Agenda2526!C33,'CAL5'!A:A,0)+2,3,4,1,"CAL5")),0)</f>
        <v>0</v>
      </c>
      <c r="AE32" s="20" t="str">
        <f ca="1">IF(CALC2223!BC32&gt;0,INDIRECT(ADDRESS(MATCH(Agenda2526!C33,'CAL6'!A:A,0),2,4,1,"CAL6")),"")</f>
        <v/>
      </c>
      <c r="AF32" s="21">
        <f ca="1">IF(CALC2223!BC32&gt;0,INDIRECT(ADDRESS(MATCH(Agenda2526!C33,'CAL6'!A:A,0),3,4,1,"CAL6")),0)</f>
        <v>0</v>
      </c>
      <c r="AG32" s="20" t="str">
        <f ca="1">IF(CALC2223!BC32&gt;1,INDIRECT(ADDRESS(MATCH(Agenda2526!C33,'CAL6'!A:A,0)+1,2,4,1,"CAL6")),"")</f>
        <v/>
      </c>
      <c r="AH32" s="21">
        <f ca="1">IF(CALC2223!BC32&gt;1,INDIRECT(ADDRESS(MATCH(Agenda2526!C33,'CAL6'!A:A,0)+1,3,4,1,"CAL6")),0)</f>
        <v>0</v>
      </c>
      <c r="AI32" s="20" t="str">
        <f ca="1">IF(CALC2223!BC32&gt;2,INDIRECT(ADDRESS(MATCH(Agenda2526!C33,'CAL6'!A:A,0)+2,2,4,1,"CAL6")),"")</f>
        <v/>
      </c>
      <c r="AJ32" s="21">
        <f ca="1">IF(CALC2223!BC32&gt;2,INDIRECT(ADDRESS(MATCH(Agenda2526!C33,'CAL6'!A:A,0)+2,3,4,1,"CAL6")),0)</f>
        <v>0</v>
      </c>
      <c r="AK32" s="20" t="str">
        <f ca="1">IF(CALC2223!BD32&gt;0,INDIRECT(ADDRESS(MATCH(Agenda2526!C33,'CAL7'!A:A,0),2,4,1,"CAL7")),"")</f>
        <v/>
      </c>
      <c r="AL32" s="21">
        <f ca="1">IF(CALC2223!BD32&gt;0,INDIRECT(ADDRESS(MATCH(Agenda2526!C33,'CAL7'!A:A,0),3,4,1,"CAL7")),0)</f>
        <v>0</v>
      </c>
      <c r="AM32" s="20" t="str">
        <f ca="1">IF(CALC2223!BD32&gt;1,INDIRECT(ADDRESS(MATCH(Agenda2526!C33,'CAL7'!A:A,0)+1,2,4,1,"CAL7")),"")</f>
        <v/>
      </c>
      <c r="AN32" s="21">
        <f ca="1">IF(CALC2223!BD32&gt;1,INDIRECT(ADDRESS(MATCH(Agenda2526!C33,'CAL7'!A:A,0)+1,3,4,1,"CAL7")),0)</f>
        <v>0</v>
      </c>
      <c r="AO32" s="20" t="str">
        <f ca="1">IF(CALC2223!BD32&gt;2,INDIRECT(ADDRESS(MATCH(Agenda2526!C33,'CAL7'!A:A,0)+2,2,4,1,"CAL7")),"")</f>
        <v/>
      </c>
      <c r="AP32" s="21">
        <f ca="1">IF(CALC2223!BD32&gt;2,INDIRECT(ADDRESS(MATCH(Agenda2526!C33,'CAL7'!A:A,0)+2,3,4,1,"CAL7")),0)</f>
        <v>0</v>
      </c>
      <c r="AQ32" s="20" t="str">
        <f ca="1">IF(CALC2223!BE32&gt;0,INDIRECT(ADDRESS(MATCH(Agenda2526!C33,'CAL8'!A:A,0),2,4,1,"CAL8")),"")</f>
        <v>ouderavond G1 (19 u) en G4 (20 u)</v>
      </c>
      <c r="AR32" s="21">
        <f ca="1">IF(CALC2223!BE32&gt;0,INDIRECT(ADDRESS(MATCH(Agenda2526!C33,'CAL8'!A:A,0),3,4,1,"CAL8")),0)</f>
        <v>45896</v>
      </c>
      <c r="AS32" s="20" t="str">
        <f ca="1">IF(CALC2223!BE32&gt;1,INDIRECT(ADDRESS(MATCH(Agenda2526!C33,'CAL8'!A:A,0)+1,2,4,1,"CAL8")),"")</f>
        <v/>
      </c>
      <c r="AT32" s="21">
        <f ca="1">IF(CALC2223!BE32&gt;1,INDIRECT(ADDRESS(MATCH(Agenda2526!C33,'CAL8'!A:A,0)+1,3,4,1,"CAL8")),0)</f>
        <v>0</v>
      </c>
      <c r="AU32" s="20" t="str">
        <f ca="1">IF(CALC2223!BE32&gt;2,INDIRECT(ADDRESS(MATCH(Agenda2526!C33,'CAL8'!A:A,0)+2,2,4,1,"CAL8")),"")</f>
        <v/>
      </c>
      <c r="AV32" s="21">
        <f ca="1">IF(CALC2223!BE32&gt;2,INDIRECT(ADDRESS(MATCH(Agenda2526!C33,'CAL8'!A:A,0)+2,3,4,1,"CAL8")),0)</f>
        <v>0</v>
      </c>
      <c r="AW32" s="105"/>
      <c r="AX32" s="20">
        <f>COUNTIF('CAL1'!A:A,Agenda2526!C33)</f>
        <v>0</v>
      </c>
      <c r="AY32" s="20">
        <f>COUNTIF('CAL2'!A:A,Agenda2526!C33)</f>
        <v>0</v>
      </c>
      <c r="AZ32" s="20">
        <f>COUNTIF('CAL3'!A:A,Agenda2526!C33)</f>
        <v>0</v>
      </c>
      <c r="BA32" s="20">
        <f>COUNTIF('CAL4'!A:A,Agenda2526!C33)</f>
        <v>0</v>
      </c>
      <c r="BB32" s="20">
        <f>COUNTIF('CAL5'!A:A,Agenda2526!C33)</f>
        <v>1</v>
      </c>
      <c r="BC32" s="20">
        <f>COUNTIF('CAL6'!A:A,Agenda2526!C33)</f>
        <v>0</v>
      </c>
      <c r="BD32" s="20">
        <f>COUNTIF('CAL7'!A:A,Agenda2526!C33)</f>
        <v>0</v>
      </c>
      <c r="BE32" s="20">
        <f>COUNTIF('CAL8'!A:A,Agenda2526!C33)</f>
        <v>1</v>
      </c>
    </row>
    <row r="33" spans="1:57" ht="15.75" customHeight="1">
      <c r="A33" s="20" t="str">
        <f ca="1">IF(CALC2223!AX33&gt;0,INDIRECT(ADDRESS(MATCH(Agenda2526!C34,'CAL1'!A:A,0),2,4,1,"CAL1")),"")</f>
        <v/>
      </c>
      <c r="B33" s="21">
        <f ca="1">IF(CALC2223!AX33&gt;0,INDIRECT(ADDRESS(MATCH(Agenda2526!C34,'CAL1'!A:A,0),3,4,1,"CAL1")),0)</f>
        <v>0</v>
      </c>
      <c r="C33" s="20" t="str">
        <f ca="1">IF(CALC2223!AX33&gt;1,INDIRECT(ADDRESS(MATCH(Agenda2526!C34,'CAL1'!A:A,0)+1,2,4,1,"CAL1")),"")</f>
        <v/>
      </c>
      <c r="D33" s="21">
        <f ca="1">IF(CALC2223!AX33&gt;1,INDIRECT(ADDRESS(MATCH(Agenda2526!C34,'CAL1'!A:A,0)+1,3,4,1,"CAL1")),0)</f>
        <v>0</v>
      </c>
      <c r="E33" s="20" t="str">
        <f ca="1">IF(CALC2223!AX33&gt;2,INDIRECT(ADDRESS(MATCH(Agenda2526!C34,'CAL1'!A:A,0)+2,2,4,1,"CAL1")),"")</f>
        <v/>
      </c>
      <c r="F33" s="21">
        <f ca="1">IF(CALC2223!AX33&gt;2,INDIRECT(ADDRESS(MATCH(Agenda2526!C34,'CAL1'!A:A,0)+2,3,4,1,"CAL1")),0)</f>
        <v>0</v>
      </c>
      <c r="G33" s="20" t="str">
        <f ca="1">IF(CALC2223!AY33&gt;0,INDIRECT(ADDRESS(MATCH(Agenda2526!C34,'CAL2'!A:A,0),2,4,1,"CAL2")),"")</f>
        <v/>
      </c>
      <c r="H33" s="21">
        <f ca="1">IF(CALC2223!AY33&gt;0,INDIRECT(ADDRESS(MATCH(Agenda2526!C34,'CAL2'!A:A,0),3,4,1,"CAL2")),0)</f>
        <v>0</v>
      </c>
      <c r="I33" s="20" t="str">
        <f ca="1">IF(CALC2223!AY33&gt;1,INDIRECT(ADDRESS(MATCH(Agenda2526!C34,'CAL2'!A:A,0)+1,2,4,1,"CAL2")),"")</f>
        <v/>
      </c>
      <c r="J33" s="21">
        <f ca="1">IF(CALC2223!AY33&gt;1,INDIRECT(ADDRESS(MATCH(Agenda2526!C34,'CAL2'!A:A,0)+1,3,4,1,"CAL2")),0)</f>
        <v>0</v>
      </c>
      <c r="K33" s="20" t="str">
        <f ca="1">IF(CALC2223!AY33&gt;2,INDIRECT(ADDRESS(MATCH(Agenda2526!C34,'CAL2'!A:A,0)+2,2,4,1,"CAL2")),"")</f>
        <v/>
      </c>
      <c r="L33" s="21">
        <f ca="1">IF(CALC2223!AY33&gt;2,INDIRECT(ADDRESS(MATCH(Agenda2526!C34,'CAL2'!A:A,0)+2,3,4,1,"CAL2")),0)</f>
        <v>0</v>
      </c>
      <c r="M33" s="20" t="str">
        <f ca="1">IF(CALC2223!AZ33&gt;0,INDIRECT(ADDRESS(MATCH(Agenda2526!C34,'CAL3'!A:A,0),2,4,1,"CAL3")),"")</f>
        <v>Rep GES</v>
      </c>
      <c r="N33" s="21">
        <f ca="1">IF(CALC2223!AZ33&gt;0,INDIRECT(ADDRESS(MATCH(Agenda2526!C34,'CAL3'!A:A,0),3,4,1,"CAL3")),0)</f>
        <v>45903</v>
      </c>
      <c r="O33" s="20" t="str">
        <f ca="1">IF(CALC2223!AZ33&gt;1,INDIRECT(ADDRESS(MATCH(Agenda2526!C34,'CAL3'!A:A,0)+1,2,4,1,"CAL3")),"")</f>
        <v/>
      </c>
      <c r="P33" s="21">
        <f ca="1">IF(CALC2223!AZ33&gt;1,INDIRECT(ADDRESS(MATCH(Agenda2526!C34,'CAL3'!A:A,0)+1,3,4,1,"CAL3")),0)</f>
        <v>0</v>
      </c>
      <c r="Q33" s="20" t="str">
        <f ca="1">IF(CALC2223!AZ33&gt;2,INDIRECT(ADDRESS(MATCH(Agenda2526!C34,'CAL3'!A:A,0)+2,2,4,1,"CAL3")),"")</f>
        <v/>
      </c>
      <c r="R33" s="21">
        <f ca="1">IF(CALC2223!AZ33&gt;2,INDIRECT(ADDRESS(MATCH(Agenda2526!C34,'CAL3'!A:A,0)+2,3,4,1,"CAL3")),0)</f>
        <v>0</v>
      </c>
      <c r="S33" s="20" t="str">
        <f ca="1">IF(CALC2223!BA33&gt;0,INDIRECT(ADDRESS(MATCH(Agenda2526!C34,'CAL4'!A:A,0),2,4,1,"CAL4")),"")</f>
        <v/>
      </c>
      <c r="T33" s="21">
        <f ca="1">IF(CALC2223!BA33&gt;0,INDIRECT(ADDRESS(MATCH(Agenda2526!C34,'CAL4'!A:A,0),3,4,1,"CAL4")),0)</f>
        <v>0</v>
      </c>
      <c r="U33" s="20" t="str">
        <f ca="1">IF(CALC2223!BA33&gt;1,INDIRECT(ADDRESS(MATCH(Agenda2526!C34,'CAL4'!A:A,0)+1,2,4,1,"CAL4")),"")</f>
        <v/>
      </c>
      <c r="V33" s="21">
        <f ca="1">IF(CALC2223!BA33&gt;1,INDIRECT(ADDRESS(MATCH(Agenda2526!C34,'CAL4'!A:A,0)+1,3,4,1,"CAL4")),0)</f>
        <v>0</v>
      </c>
      <c r="W33" s="20" t="str">
        <f ca="1">IF(CALC2223!BA33&gt;2,INDIRECT(ADDRESS(MATCH(Agenda2526!C34,'CAL4'!A:A,0)+2,2,4,1,"CAL4")),"")</f>
        <v/>
      </c>
      <c r="X33" s="21">
        <f ca="1">IF(CALC2223!BA33&gt;2,INDIRECT(ADDRESS(MATCH(Agenda2526!C34,'CAL4'!A:A,0)+2,3,4,1,"CAL4")),0)</f>
        <v>0</v>
      </c>
      <c r="Y33" s="20" t="str">
        <f ca="1">IF(CALC2223!BB33&gt;0,INDIRECT(ADDRESS(MATCH(Agenda2526!C34,'CAL5'!A:A,0),2,4,1,"CAL5")),"")</f>
        <v/>
      </c>
      <c r="Z33" s="21">
        <f ca="1">IF(CALC2223!BB33&gt;0,INDIRECT(ADDRESS(MATCH(Agenda2526!C34,'CAL5'!A:A,0),3,4,1,"CAL5")),0)</f>
        <v>0</v>
      </c>
      <c r="AA33" s="20" t="str">
        <f ca="1">IF(CALC2223!BB33&gt;1,INDIRECT(ADDRESS(MATCH(Agenda2526!C34,'CAL5'!A:A,0)+1,2,4,1,"CAL5")),"")</f>
        <v/>
      </c>
      <c r="AB33" s="21">
        <f ca="1">IF(CALC2223!BB33&gt;1,INDIRECT(ADDRESS(MATCH(Agenda2526!C34,'CAL5'!A:A,0)+1,3,4,1,"CAL5")),0)</f>
        <v>0</v>
      </c>
      <c r="AC33" s="20" t="str">
        <f ca="1">IF(CALC2223!BB33&gt;2,INDIRECT(ADDRESS(MATCH(Agenda2526!C34,'CAL5'!A:A,0)+2,2,4,1,"CAL5")),"")</f>
        <v/>
      </c>
      <c r="AD33" s="21">
        <f ca="1">IF(CALC2223!BB33&gt;2,INDIRECT(ADDRESS(MATCH(Agenda2526!C34,'CAL5'!A:A,0)+2,3,4,1,"CAL5")),0)</f>
        <v>0</v>
      </c>
      <c r="AE33" s="20" t="str">
        <f ca="1">IF(CALC2223!BC33&gt;0,INDIRECT(ADDRESS(MATCH(Agenda2526!C34,'CAL6'!A:A,0),2,4,1,"CAL6")),"")</f>
        <v>LO1:3</v>
      </c>
      <c r="AF33" s="21">
        <f ca="1">IF(CALC2223!BC33&gt;0,INDIRECT(ADDRESS(MATCH(Agenda2526!C34,'CAL6'!A:A,0),3,4,1,"CAL6")),0)</f>
        <v>45896</v>
      </c>
      <c r="AG33" s="20" t="str">
        <f ca="1">IF(CALC2223!BC33&gt;1,INDIRECT(ADDRESS(MATCH(Agenda2526!C34,'CAL6'!A:A,0)+1,2,4,1,"CAL6")),"")</f>
        <v/>
      </c>
      <c r="AH33" s="21">
        <f ca="1">IF(CALC2223!BC33&gt;1,INDIRECT(ADDRESS(MATCH(Agenda2526!C34,'CAL6'!A:A,0)+1,3,4,1,"CAL6")),0)</f>
        <v>0</v>
      </c>
      <c r="AI33" s="20" t="str">
        <f ca="1">IF(CALC2223!BC33&gt;2,INDIRECT(ADDRESS(MATCH(Agenda2526!C34,'CAL6'!A:A,0)+2,2,4,1,"CAL6")),"")</f>
        <v/>
      </c>
      <c r="AJ33" s="21">
        <f ca="1">IF(CALC2223!BC33&gt;2,INDIRECT(ADDRESS(MATCH(Agenda2526!C34,'CAL6'!A:A,0)+2,3,4,1,"CAL6")),0)</f>
        <v>0</v>
      </c>
      <c r="AK33" s="20" t="str">
        <f ca="1">IF(CALC2223!BD33&gt;0,INDIRECT(ADDRESS(MATCH(Agenda2526!C34,'CAL7'!A:A,0),2,4,1,"CAL7")),"")</f>
        <v>secties#2/afscheid Jeanette</v>
      </c>
      <c r="AL33" s="21">
        <f ca="1">IF(CALC2223!BD33&gt;0,INDIRECT(ADDRESS(MATCH(Agenda2526!C34,'CAL7'!A:A,0),3,4,1,"CAL7")),0)</f>
        <v>45896</v>
      </c>
      <c r="AM33" s="20" t="str">
        <f ca="1">IF(CALC2223!BD33&gt;1,INDIRECT(ADDRESS(MATCH(Agenda2526!C34,'CAL7'!A:A,0)+1,2,4,1,"CAL7")),"")</f>
        <v/>
      </c>
      <c r="AN33" s="21">
        <f ca="1">IF(CALC2223!BD33&gt;1,INDIRECT(ADDRESS(MATCH(Agenda2526!C34,'CAL7'!A:A,0)+1,3,4,1,"CAL7")),0)</f>
        <v>0</v>
      </c>
      <c r="AO33" s="20" t="str">
        <f ca="1">IF(CALC2223!BD33&gt;2,INDIRECT(ADDRESS(MATCH(Agenda2526!C34,'CAL7'!A:A,0)+2,2,4,1,"CAL7")),"")</f>
        <v/>
      </c>
      <c r="AP33" s="21">
        <f ca="1">IF(CALC2223!BD33&gt;2,INDIRECT(ADDRESS(MATCH(Agenda2526!C34,'CAL7'!A:A,0)+2,3,4,1,"CAL7")),0)</f>
        <v>0</v>
      </c>
      <c r="AQ33" s="20" t="str">
        <f ca="1">IF(CALC2223!BE33&gt;0,INDIRECT(ADDRESS(MATCH(Agenda2526!C34,'CAL8'!A:A,0),2,4,1,"CAL8")),"")</f>
        <v/>
      </c>
      <c r="AR33" s="21">
        <f ca="1">IF(CALC2223!BE33&gt;0,INDIRECT(ADDRESS(MATCH(Agenda2526!C34,'CAL8'!A:A,0),3,4,1,"CAL8")),0)</f>
        <v>0</v>
      </c>
      <c r="AS33" s="20" t="str">
        <f ca="1">IF(CALC2223!BE33&gt;1,INDIRECT(ADDRESS(MATCH(Agenda2526!C34,'CAL8'!A:A,0)+1,2,4,1,"CAL8")),"")</f>
        <v/>
      </c>
      <c r="AT33" s="21">
        <f ca="1">IF(CALC2223!BE33&gt;1,INDIRECT(ADDRESS(MATCH(Agenda2526!C34,'CAL8'!A:A,0)+1,3,4,1,"CAL8")),0)</f>
        <v>0</v>
      </c>
      <c r="AU33" s="20" t="str">
        <f ca="1">IF(CALC2223!BE33&gt;2,INDIRECT(ADDRESS(MATCH(Agenda2526!C34,'CAL8'!A:A,0)+2,2,4,1,"CAL8")),"")</f>
        <v/>
      </c>
      <c r="AV33" s="21">
        <f ca="1">IF(CALC2223!BE33&gt;2,INDIRECT(ADDRESS(MATCH(Agenda2526!C34,'CAL8'!A:A,0)+2,3,4,1,"CAL8")),0)</f>
        <v>0</v>
      </c>
      <c r="AW33" s="105"/>
      <c r="AX33" s="20">
        <f>COUNTIF('CAL1'!A:A,Agenda2526!C34)</f>
        <v>0</v>
      </c>
      <c r="AY33" s="20">
        <f>COUNTIF('CAL2'!A:A,Agenda2526!C34)</f>
        <v>0</v>
      </c>
      <c r="AZ33" s="20">
        <f>COUNTIF('CAL3'!A:A,Agenda2526!C34)</f>
        <v>1</v>
      </c>
      <c r="BA33" s="20">
        <f>COUNTIF('CAL4'!A:A,Agenda2526!C34)</f>
        <v>0</v>
      </c>
      <c r="BB33" s="20">
        <f>COUNTIF('CAL5'!A:A,Agenda2526!C34)</f>
        <v>0</v>
      </c>
      <c r="BC33" s="20">
        <f>COUNTIF('CAL6'!A:A,Agenda2526!C34)</f>
        <v>1</v>
      </c>
      <c r="BD33" s="20">
        <f>COUNTIF('CAL7'!A:A,Agenda2526!C34)</f>
        <v>1</v>
      </c>
      <c r="BE33" s="20">
        <f>COUNTIF('CAL8'!A:A,Agenda2526!C34)</f>
        <v>0</v>
      </c>
    </row>
    <row r="34" spans="1:57" ht="15.75" customHeight="1">
      <c r="A34" s="20" t="str">
        <f ca="1">IF(CALC2223!AX34&gt;0,INDIRECT(ADDRESS(MATCH(Agenda2526!C35,'CAL1'!A:A,0),2,4,1,"CAL1")),"")</f>
        <v/>
      </c>
      <c r="B34" s="21">
        <f ca="1">IF(CALC2223!AX34&gt;0,INDIRECT(ADDRESS(MATCH(Agenda2526!C35,'CAL1'!A:A,0),3,4,1,"CAL1")),0)</f>
        <v>0</v>
      </c>
      <c r="C34" s="20" t="str">
        <f ca="1">IF(CALC2223!AX34&gt;1,INDIRECT(ADDRESS(MATCH(Agenda2526!C35,'CAL1'!A:A,0)+1,2,4,1,"CAL1")),"")</f>
        <v/>
      </c>
      <c r="D34" s="21">
        <f ca="1">IF(CALC2223!AX34&gt;1,INDIRECT(ADDRESS(MATCH(Agenda2526!C35,'CAL1'!A:A,0)+1,3,4,1,"CAL1")),0)</f>
        <v>0</v>
      </c>
      <c r="E34" s="20" t="str">
        <f ca="1">IF(CALC2223!AX34&gt;2,INDIRECT(ADDRESS(MATCH(Agenda2526!C35,'CAL1'!A:A,0)+2,2,4,1,"CAL1")),"")</f>
        <v/>
      </c>
      <c r="F34" s="21">
        <f ca="1">IF(CALC2223!AX34&gt;2,INDIRECT(ADDRESS(MATCH(Agenda2526!C35,'CAL1'!A:A,0)+2,3,4,1,"CAL1")),0)</f>
        <v>0</v>
      </c>
      <c r="G34" s="20" t="str">
        <f ca="1">IF(CALC2223!AY34&gt;0,INDIRECT(ADDRESS(MATCH(Agenda2526!C35,'CAL2'!A:A,0),2,4,1,"CAL2")),"")</f>
        <v>Rep BIO</v>
      </c>
      <c r="H34" s="21">
        <f ca="1">IF(CALC2223!AY34&gt;0,INDIRECT(ADDRESS(MATCH(Agenda2526!C35,'CAL2'!A:A,0),3,4,1,"CAL2")),0)</f>
        <v>45903</v>
      </c>
      <c r="I34" s="20" t="str">
        <f ca="1">IF(CALC2223!AY34&gt;1,INDIRECT(ADDRESS(MATCH(Agenda2526!C35,'CAL2'!A:A,0)+1,2,4,1,"CAL2")),"")</f>
        <v/>
      </c>
      <c r="J34" s="21">
        <f ca="1">IF(CALC2223!AY34&gt;1,INDIRECT(ADDRESS(MATCH(Agenda2526!C35,'CAL2'!A:A,0)+1,3,4,1,"CAL2")),0)</f>
        <v>0</v>
      </c>
      <c r="K34" s="20" t="str">
        <f ca="1">IF(CALC2223!AY34&gt;2,INDIRECT(ADDRESS(MATCH(Agenda2526!C35,'CAL2'!A:A,0)+2,2,4,1,"CAL2")),"")</f>
        <v/>
      </c>
      <c r="L34" s="21">
        <f ca="1">IF(CALC2223!AY34&gt;2,INDIRECT(ADDRESS(MATCH(Agenda2526!C35,'CAL2'!A:A,0)+2,3,4,1,"CAL2")),0)</f>
        <v>0</v>
      </c>
      <c r="M34" s="20" t="str">
        <f ca="1">IF(CALC2223!AZ34&gt;0,INDIRECT(ADDRESS(MATCH(Agenda2526!C35,'CAL3'!A:A,0),2,4,1,"CAL3")),"")</f>
        <v/>
      </c>
      <c r="N34" s="21">
        <f ca="1">IF(CALC2223!AZ34&gt;0,INDIRECT(ADDRESS(MATCH(Agenda2526!C35,'CAL3'!A:A,0),3,4,1,"CAL3")),0)</f>
        <v>0</v>
      </c>
      <c r="O34" s="20" t="str">
        <f ca="1">IF(CALC2223!AZ34&gt;1,INDIRECT(ADDRESS(MATCH(Agenda2526!C35,'CAL3'!A:A,0)+1,2,4,1,"CAL3")),"")</f>
        <v/>
      </c>
      <c r="P34" s="21">
        <f ca="1">IF(CALC2223!AZ34&gt;1,INDIRECT(ADDRESS(MATCH(Agenda2526!C35,'CAL3'!A:A,0)+1,3,4,1,"CAL3")),0)</f>
        <v>0</v>
      </c>
      <c r="Q34" s="20" t="str">
        <f ca="1">IF(CALC2223!AZ34&gt;2,INDIRECT(ADDRESS(MATCH(Agenda2526!C35,'CAL3'!A:A,0)+2,2,4,1,"CAL3")),"")</f>
        <v/>
      </c>
      <c r="R34" s="21">
        <f ca="1">IF(CALC2223!AZ34&gt;2,INDIRECT(ADDRESS(MATCH(Agenda2526!C35,'CAL3'!A:A,0)+2,3,4,1,"CAL3")),0)</f>
        <v>0</v>
      </c>
      <c r="S34" s="20" t="str">
        <f ca="1">IF(CALC2223!BA34&gt;0,INDIRECT(ADDRESS(MATCH(Agenda2526!C35,'CAL4'!A:A,0),2,4,1,"CAL4")),"")</f>
        <v/>
      </c>
      <c r="T34" s="21">
        <f ca="1">IF(CALC2223!BA34&gt;0,INDIRECT(ADDRESS(MATCH(Agenda2526!C35,'CAL4'!A:A,0),3,4,1,"CAL4")),0)</f>
        <v>0</v>
      </c>
      <c r="U34" s="20" t="str">
        <f ca="1">IF(CALC2223!BA34&gt;1,INDIRECT(ADDRESS(MATCH(Agenda2526!C35,'CAL4'!A:A,0)+1,2,4,1,"CAL4")),"")</f>
        <v/>
      </c>
      <c r="V34" s="21">
        <f ca="1">IF(CALC2223!BA34&gt;1,INDIRECT(ADDRESS(MATCH(Agenda2526!C35,'CAL4'!A:A,0)+1,3,4,1,"CAL4")),0)</f>
        <v>0</v>
      </c>
      <c r="W34" s="20" t="str">
        <f ca="1">IF(CALC2223!BA34&gt;2,INDIRECT(ADDRESS(MATCH(Agenda2526!C35,'CAL4'!A:A,0)+2,2,4,1,"CAL4")),"")</f>
        <v/>
      </c>
      <c r="X34" s="21">
        <f ca="1">IF(CALC2223!BA34&gt;2,INDIRECT(ADDRESS(MATCH(Agenda2526!C35,'CAL4'!A:A,0)+2,3,4,1,"CAL4")),0)</f>
        <v>0</v>
      </c>
      <c r="Y34" s="20" t="str">
        <f ca="1">IF(CALC2223!BB34&gt;0,INDIRECT(ADDRESS(MATCH(Agenda2526!C35,'CAL5'!A:A,0),2,4,1,"CAL5")),"")</f>
        <v/>
      </c>
      <c r="Z34" s="21">
        <f ca="1">IF(CALC2223!BB34&gt;0,INDIRECT(ADDRESS(MATCH(Agenda2526!C35,'CAL5'!A:A,0),3,4,1,"CAL5")),0)</f>
        <v>0</v>
      </c>
      <c r="AA34" s="20" t="str">
        <f ca="1">IF(CALC2223!BB34&gt;1,INDIRECT(ADDRESS(MATCH(Agenda2526!C35,'CAL5'!A:A,0)+1,2,4,1,"CAL5")),"")</f>
        <v/>
      </c>
      <c r="AB34" s="21">
        <f ca="1">IF(CALC2223!BB34&gt;1,INDIRECT(ADDRESS(MATCH(Agenda2526!C35,'CAL5'!A:A,0)+1,3,4,1,"CAL5")),0)</f>
        <v>0</v>
      </c>
      <c r="AC34" s="20" t="str">
        <f ca="1">IF(CALC2223!BB34&gt;2,INDIRECT(ADDRESS(MATCH(Agenda2526!C35,'CAL5'!A:A,0)+2,2,4,1,"CAL5")),"")</f>
        <v/>
      </c>
      <c r="AD34" s="21">
        <f ca="1">IF(CALC2223!BB34&gt;2,INDIRECT(ADDRESS(MATCH(Agenda2526!C35,'CAL5'!A:A,0)+2,3,4,1,"CAL5")),0)</f>
        <v>0</v>
      </c>
      <c r="AE34" s="20" t="str">
        <f ca="1">IF(CALC2223!BC34&gt;0,INDIRECT(ADDRESS(MATCH(Agenda2526!C35,'CAL6'!A:A,0),2,4,1,"CAL6")),"")</f>
        <v>PWS conceptversie</v>
      </c>
      <c r="AF34" s="21">
        <f ca="1">IF(CALC2223!BC34&gt;0,INDIRECT(ADDRESS(MATCH(Agenda2526!C35,'CAL6'!A:A,0),3,4,1,"CAL6")),0)</f>
        <v>45896</v>
      </c>
      <c r="AG34" s="20" t="str">
        <f ca="1">IF(CALC2223!BC34&gt;1,INDIRECT(ADDRESS(MATCH(Agenda2526!C35,'CAL6'!A:A,0)+1,2,4,1,"CAL6")),"")</f>
        <v/>
      </c>
      <c r="AH34" s="21">
        <f ca="1">IF(CALC2223!BC34&gt;1,INDIRECT(ADDRESS(MATCH(Agenda2526!C35,'CAL6'!A:A,0)+1,3,4,1,"CAL6")),0)</f>
        <v>0</v>
      </c>
      <c r="AI34" s="20" t="str">
        <f ca="1">IF(CALC2223!BC34&gt;2,INDIRECT(ADDRESS(MATCH(Agenda2526!C35,'CAL6'!A:A,0)+2,2,4,1,"CAL6")),"")</f>
        <v/>
      </c>
      <c r="AJ34" s="21">
        <f ca="1">IF(CALC2223!BC34&gt;2,INDIRECT(ADDRESS(MATCH(Agenda2526!C35,'CAL6'!A:A,0)+2,3,4,1,"CAL6")),0)</f>
        <v>0</v>
      </c>
      <c r="AK34" s="20" t="str">
        <f ca="1">IF(CALC2223!BD34&gt;0,INDIRECT(ADDRESS(MATCH(Agenda2526!C35,'CAL7'!A:A,0),2,4,1,"CAL7")),"")</f>
        <v/>
      </c>
      <c r="AL34" s="21">
        <f ca="1">IF(CALC2223!BD34&gt;0,INDIRECT(ADDRESS(MATCH(Agenda2526!C35,'CAL7'!A:A,0),3,4,1,"CAL7")),0)</f>
        <v>0</v>
      </c>
      <c r="AM34" s="20" t="str">
        <f ca="1">IF(CALC2223!BD34&gt;1,INDIRECT(ADDRESS(MATCH(Agenda2526!C35,'CAL7'!A:A,0)+1,2,4,1,"CAL7")),"")</f>
        <v/>
      </c>
      <c r="AN34" s="21">
        <f ca="1">IF(CALC2223!BD34&gt;1,INDIRECT(ADDRESS(MATCH(Agenda2526!C35,'CAL7'!A:A,0)+1,3,4,1,"CAL7")),0)</f>
        <v>0</v>
      </c>
      <c r="AO34" s="20" t="str">
        <f ca="1">IF(CALC2223!BD34&gt;2,INDIRECT(ADDRESS(MATCH(Agenda2526!C35,'CAL7'!A:A,0)+2,2,4,1,"CAL7")),"")</f>
        <v/>
      </c>
      <c r="AP34" s="21">
        <f ca="1">IF(CALC2223!BD34&gt;2,INDIRECT(ADDRESS(MATCH(Agenda2526!C35,'CAL7'!A:A,0)+2,3,4,1,"CAL7")),0)</f>
        <v>0</v>
      </c>
      <c r="AQ34" s="20" t="str">
        <f ca="1">IF(CALC2223!BE34&gt;0,INDIRECT(ADDRESS(MATCH(Agenda2526!C35,'CAL8'!A:A,0),2,4,1,"CAL8")),"")</f>
        <v/>
      </c>
      <c r="AR34" s="21">
        <f ca="1">IF(CALC2223!BE34&gt;0,INDIRECT(ADDRESS(MATCH(Agenda2526!C35,'CAL8'!A:A,0),3,4,1,"CAL8")),0)</f>
        <v>0</v>
      </c>
      <c r="AS34" s="20" t="str">
        <f ca="1">IF(CALC2223!BE34&gt;1,INDIRECT(ADDRESS(MATCH(Agenda2526!C35,'CAL8'!A:A,0)+1,2,4,1,"CAL8")),"")</f>
        <v/>
      </c>
      <c r="AT34" s="21">
        <f ca="1">IF(CALC2223!BE34&gt;1,INDIRECT(ADDRESS(MATCH(Agenda2526!C35,'CAL8'!A:A,0)+1,3,4,1,"CAL8")),0)</f>
        <v>0</v>
      </c>
      <c r="AU34" s="20" t="str">
        <f ca="1">IF(CALC2223!BE34&gt;2,INDIRECT(ADDRESS(MATCH(Agenda2526!C35,'CAL8'!A:A,0)+2,2,4,1,"CAL8")),"")</f>
        <v/>
      </c>
      <c r="AV34" s="21">
        <f ca="1">IF(CALC2223!BE34&gt;2,INDIRECT(ADDRESS(MATCH(Agenda2526!C35,'CAL8'!A:A,0)+2,3,4,1,"CAL8")),0)</f>
        <v>0</v>
      </c>
      <c r="AW34" s="105"/>
      <c r="AX34" s="20">
        <f>COUNTIF('CAL1'!A:A,Agenda2526!C35)</f>
        <v>0</v>
      </c>
      <c r="AY34" s="20">
        <f>COUNTIF('CAL2'!A:A,Agenda2526!C35)</f>
        <v>1</v>
      </c>
      <c r="AZ34" s="20">
        <f>COUNTIF('CAL3'!A:A,Agenda2526!C35)</f>
        <v>0</v>
      </c>
      <c r="BA34" s="20">
        <f>COUNTIF('CAL4'!A:A,Agenda2526!C35)</f>
        <v>0</v>
      </c>
      <c r="BB34" s="20">
        <f>COUNTIF('CAL5'!A:A,Agenda2526!C35)</f>
        <v>0</v>
      </c>
      <c r="BC34" s="20">
        <f>COUNTIF('CAL6'!A:A,Agenda2526!C35)</f>
        <v>1</v>
      </c>
      <c r="BD34" s="20">
        <f>COUNTIF('CAL7'!A:A,Agenda2526!C35)</f>
        <v>0</v>
      </c>
      <c r="BE34" s="20">
        <f>COUNTIF('CAL8'!A:A,Agenda2526!C35)</f>
        <v>0</v>
      </c>
    </row>
    <row r="35" spans="1:57" ht="15.75" customHeight="1">
      <c r="A35" s="20" t="str">
        <f ca="1">IF(CALC2223!AX35&gt;0,INDIRECT(ADDRESS(MATCH(Agenda2526!C36,'CAL1'!A:A,0),2,4,1,"CAL1")),"")</f>
        <v/>
      </c>
      <c r="B35" s="21">
        <f ca="1">IF(CALC2223!AX35&gt;0,INDIRECT(ADDRESS(MATCH(Agenda2526!C36,'CAL1'!A:A,0),3,4,1,"CAL1")),0)</f>
        <v>0</v>
      </c>
      <c r="C35" s="20" t="str">
        <f ca="1">IF(CALC2223!AX35&gt;1,INDIRECT(ADDRESS(MATCH(Agenda2526!C36,'CAL1'!A:A,0)+1,2,4,1,"CAL1")),"")</f>
        <v/>
      </c>
      <c r="D35" s="21">
        <f ca="1">IF(CALC2223!AX35&gt;1,INDIRECT(ADDRESS(MATCH(Agenda2526!C36,'CAL1'!A:A,0)+1,3,4,1,"CAL1")),0)</f>
        <v>0</v>
      </c>
      <c r="E35" s="20" t="str">
        <f ca="1">IF(CALC2223!AX35&gt;2,INDIRECT(ADDRESS(MATCH(Agenda2526!C36,'CAL1'!A:A,0)+2,2,4,1,"CAL1")),"")</f>
        <v/>
      </c>
      <c r="F35" s="21">
        <f ca="1">IF(CALC2223!AX35&gt;2,INDIRECT(ADDRESS(MATCH(Agenda2526!C36,'CAL1'!A:A,0)+2,3,4,1,"CAL1")),0)</f>
        <v>0</v>
      </c>
      <c r="G35" s="20" t="str">
        <f ca="1">IF(CALC2223!AY35&gt;0,INDIRECT(ADDRESS(MATCH(Agenda2526!C36,'CAL2'!A:A,0),2,4,1,"CAL2")),"")</f>
        <v/>
      </c>
      <c r="H35" s="21">
        <f ca="1">IF(CALC2223!AY35&gt;0,INDIRECT(ADDRESS(MATCH(Agenda2526!C36,'CAL2'!A:A,0),3,4,1,"CAL2")),0)</f>
        <v>0</v>
      </c>
      <c r="I35" s="20" t="str">
        <f ca="1">IF(CALC2223!AY35&gt;1,INDIRECT(ADDRESS(MATCH(Agenda2526!C36,'CAL2'!A:A,0)+1,2,4,1,"CAL2")),"")</f>
        <v/>
      </c>
      <c r="J35" s="21">
        <f ca="1">IF(CALC2223!AY35&gt;1,INDIRECT(ADDRESS(MATCH(Agenda2526!C36,'CAL2'!A:A,0)+1,3,4,1,"CAL2")),0)</f>
        <v>0</v>
      </c>
      <c r="K35" s="20" t="str">
        <f ca="1">IF(CALC2223!AY35&gt;2,INDIRECT(ADDRESS(MATCH(Agenda2526!C36,'CAL2'!A:A,0)+2,2,4,1,"CAL2")),"")</f>
        <v/>
      </c>
      <c r="L35" s="21">
        <f ca="1">IF(CALC2223!AY35&gt;2,INDIRECT(ADDRESS(MATCH(Agenda2526!C36,'CAL2'!A:A,0)+2,3,4,1,"CAL2")),0)</f>
        <v>0</v>
      </c>
      <c r="M35" s="20" t="str">
        <f ca="1">IF(CALC2223!AZ35&gt;0,INDIRECT(ADDRESS(MATCH(Agenda2526!C36,'CAL3'!A:A,0),2,4,1,"CAL3")),"")</f>
        <v/>
      </c>
      <c r="N35" s="21">
        <f ca="1">IF(CALC2223!AZ35&gt;0,INDIRECT(ADDRESS(MATCH(Agenda2526!C36,'CAL3'!A:A,0),3,4,1,"CAL3")),0)</f>
        <v>0</v>
      </c>
      <c r="O35" s="20" t="str">
        <f ca="1">IF(CALC2223!AZ35&gt;1,INDIRECT(ADDRESS(MATCH(Agenda2526!C36,'CAL3'!A:A,0)+1,2,4,1,"CAL3")),"")</f>
        <v/>
      </c>
      <c r="P35" s="21">
        <f ca="1">IF(CALC2223!AZ35&gt;1,INDIRECT(ADDRESS(MATCH(Agenda2526!C36,'CAL3'!A:A,0)+1,3,4,1,"CAL3")),0)</f>
        <v>0</v>
      </c>
      <c r="Q35" s="20" t="str">
        <f ca="1">IF(CALC2223!AZ35&gt;2,INDIRECT(ADDRESS(MATCH(Agenda2526!C36,'CAL3'!A:A,0)+2,2,4,1,"CAL3")),"")</f>
        <v/>
      </c>
      <c r="R35" s="21">
        <f ca="1">IF(CALC2223!AZ35&gt;2,INDIRECT(ADDRESS(MATCH(Agenda2526!C36,'CAL3'!A:A,0)+2,3,4,1,"CAL3")),0)</f>
        <v>0</v>
      </c>
      <c r="S35" s="20" t="str">
        <f ca="1">IF(CALC2223!BA35&gt;0,INDIRECT(ADDRESS(MATCH(Agenda2526!C36,'CAL4'!A:A,0),2,4,1,"CAL4")),"")</f>
        <v/>
      </c>
      <c r="T35" s="21">
        <f ca="1">IF(CALC2223!BA35&gt;0,INDIRECT(ADDRESS(MATCH(Agenda2526!C36,'CAL4'!A:A,0),3,4,1,"CAL4")),0)</f>
        <v>0</v>
      </c>
      <c r="U35" s="20" t="str">
        <f ca="1">IF(CALC2223!BA35&gt;1,INDIRECT(ADDRESS(MATCH(Agenda2526!C36,'CAL4'!A:A,0)+1,2,4,1,"CAL4")),"")</f>
        <v/>
      </c>
      <c r="V35" s="21">
        <f ca="1">IF(CALC2223!BA35&gt;1,INDIRECT(ADDRESS(MATCH(Agenda2526!C36,'CAL4'!A:A,0)+1,3,4,1,"CAL4")),0)</f>
        <v>0</v>
      </c>
      <c r="W35" s="20" t="str">
        <f ca="1">IF(CALC2223!BA35&gt;2,INDIRECT(ADDRESS(MATCH(Agenda2526!C36,'CAL4'!A:A,0)+2,2,4,1,"CAL4")),"")</f>
        <v/>
      </c>
      <c r="X35" s="21">
        <f ca="1">IF(CALC2223!BA35&gt;2,INDIRECT(ADDRESS(MATCH(Agenda2526!C36,'CAL4'!A:A,0)+2,3,4,1,"CAL4")),0)</f>
        <v>0</v>
      </c>
      <c r="Y35" s="20" t="str">
        <f ca="1">IF(CALC2223!BB35&gt;0,INDIRECT(ADDRESS(MATCH(Agenda2526!C36,'CAL5'!A:A,0),2,4,1,"CAL5")),"")</f>
        <v/>
      </c>
      <c r="Z35" s="21">
        <f ca="1">IF(CALC2223!BB35&gt;0,INDIRECT(ADDRESS(MATCH(Agenda2526!C36,'CAL5'!A:A,0),3,4,1,"CAL5")),0)</f>
        <v>0</v>
      </c>
      <c r="AA35" s="20" t="str">
        <f ca="1">IF(CALC2223!BB35&gt;1,INDIRECT(ADDRESS(MATCH(Agenda2526!C36,'CAL5'!A:A,0)+1,2,4,1,"CAL5")),"")</f>
        <v/>
      </c>
      <c r="AB35" s="21">
        <f ca="1">IF(CALC2223!BB35&gt;1,INDIRECT(ADDRESS(MATCH(Agenda2526!C36,'CAL5'!A:A,0)+1,3,4,1,"CAL5")),0)</f>
        <v>0</v>
      </c>
      <c r="AC35" s="20" t="str">
        <f ca="1">IF(CALC2223!BB35&gt;2,INDIRECT(ADDRESS(MATCH(Agenda2526!C36,'CAL5'!A:A,0)+2,2,4,1,"CAL5")),"")</f>
        <v/>
      </c>
      <c r="AD35" s="21">
        <f ca="1">IF(CALC2223!BB35&gt;2,INDIRECT(ADDRESS(MATCH(Agenda2526!C36,'CAL5'!A:A,0)+2,3,4,1,"CAL5")),0)</f>
        <v>0</v>
      </c>
      <c r="AE35" s="20" t="str">
        <f ca="1">IF(CALC2223!BC35&gt;0,INDIRECT(ADDRESS(MATCH(Agenda2526!C36,'CAL6'!A:A,0),2,4,1,"CAL6")),"")</f>
        <v/>
      </c>
      <c r="AF35" s="21">
        <f ca="1">IF(CALC2223!BC35&gt;0,INDIRECT(ADDRESS(MATCH(Agenda2526!C36,'CAL6'!A:A,0),3,4,1,"CAL6")),0)</f>
        <v>0</v>
      </c>
      <c r="AG35" s="20" t="str">
        <f ca="1">IF(CALC2223!BC35&gt;1,INDIRECT(ADDRESS(MATCH(Agenda2526!C36,'CAL6'!A:A,0)+1,2,4,1,"CAL6")),"")</f>
        <v/>
      </c>
      <c r="AH35" s="21">
        <f ca="1">IF(CALC2223!BC35&gt;1,INDIRECT(ADDRESS(MATCH(Agenda2526!C36,'CAL6'!A:A,0)+1,3,4,1,"CAL6")),0)</f>
        <v>0</v>
      </c>
      <c r="AI35" s="20" t="str">
        <f ca="1">IF(CALC2223!BC35&gt;2,INDIRECT(ADDRESS(MATCH(Agenda2526!C36,'CAL6'!A:A,0)+2,2,4,1,"CAL6")),"")</f>
        <v/>
      </c>
      <c r="AJ35" s="21">
        <f ca="1">IF(CALC2223!BC35&gt;2,INDIRECT(ADDRESS(MATCH(Agenda2526!C36,'CAL6'!A:A,0)+2,3,4,1,"CAL6")),0)</f>
        <v>0</v>
      </c>
      <c r="AK35" s="20" t="str">
        <f ca="1">IF(CALC2223!BD35&gt;0,INDIRECT(ADDRESS(MATCH(Agenda2526!C36,'CAL7'!A:A,0),2,4,1,"CAL7")),"")</f>
        <v/>
      </c>
      <c r="AL35" s="21">
        <f ca="1">IF(CALC2223!BD35&gt;0,INDIRECT(ADDRESS(MATCH(Agenda2526!C36,'CAL7'!A:A,0),3,4,1,"CAL7")),0)</f>
        <v>0</v>
      </c>
      <c r="AM35" s="20" t="str">
        <f ca="1">IF(CALC2223!BD35&gt;1,INDIRECT(ADDRESS(MATCH(Agenda2526!C36,'CAL7'!A:A,0)+1,2,4,1,"CAL7")),"")</f>
        <v/>
      </c>
      <c r="AN35" s="21">
        <f ca="1">IF(CALC2223!BD35&gt;1,INDIRECT(ADDRESS(MATCH(Agenda2526!C36,'CAL7'!A:A,0)+1,3,4,1,"CAL7")),0)</f>
        <v>0</v>
      </c>
      <c r="AO35" s="20" t="str">
        <f ca="1">IF(CALC2223!BD35&gt;2,INDIRECT(ADDRESS(MATCH(Agenda2526!C36,'CAL7'!A:A,0)+2,2,4,1,"CAL7")),"")</f>
        <v/>
      </c>
      <c r="AP35" s="21">
        <f ca="1">IF(CALC2223!BD35&gt;2,INDIRECT(ADDRESS(MATCH(Agenda2526!C36,'CAL7'!A:A,0)+2,3,4,1,"CAL7")),0)</f>
        <v>0</v>
      </c>
      <c r="AQ35" s="20" t="str">
        <f ca="1">IF(CALC2223!BE35&gt;0,INDIRECT(ADDRESS(MATCH(Agenda2526!C36,'CAL8'!A:A,0),2,4,1,"CAL8")),"")</f>
        <v/>
      </c>
      <c r="AR35" s="21">
        <f ca="1">IF(CALC2223!BE35&gt;0,INDIRECT(ADDRESS(MATCH(Agenda2526!C36,'CAL8'!A:A,0),3,4,1,"CAL8")),0)</f>
        <v>0</v>
      </c>
      <c r="AS35" s="20" t="str">
        <f ca="1">IF(CALC2223!BE35&gt;1,INDIRECT(ADDRESS(MATCH(Agenda2526!C36,'CAL8'!A:A,0)+1,2,4,1,"CAL8")),"")</f>
        <v/>
      </c>
      <c r="AT35" s="21">
        <f ca="1">IF(CALC2223!BE35&gt;1,INDIRECT(ADDRESS(MATCH(Agenda2526!C36,'CAL8'!A:A,0)+1,3,4,1,"CAL8")),0)</f>
        <v>0</v>
      </c>
      <c r="AU35" s="20" t="str">
        <f ca="1">IF(CALC2223!BE35&gt;2,INDIRECT(ADDRESS(MATCH(Agenda2526!C36,'CAL8'!A:A,0)+2,2,4,1,"CAL8")),"")</f>
        <v/>
      </c>
      <c r="AV35" s="21">
        <f ca="1">IF(CALC2223!BE35&gt;2,INDIRECT(ADDRESS(MATCH(Agenda2526!C36,'CAL8'!A:A,0)+2,3,4,1,"CAL8")),0)</f>
        <v>0</v>
      </c>
      <c r="AW35" s="106"/>
      <c r="AX35" s="20">
        <f>COUNTIF('CAL1'!A:A,Agenda2526!C36)</f>
        <v>0</v>
      </c>
      <c r="AY35" s="20">
        <f>COUNTIF('CAL2'!A:A,Agenda2526!C36)</f>
        <v>0</v>
      </c>
      <c r="AZ35" s="20">
        <f>COUNTIF('CAL3'!A:A,Agenda2526!C36)</f>
        <v>0</v>
      </c>
      <c r="BA35" s="20">
        <f>COUNTIF('CAL4'!A:A,Agenda2526!C36)</f>
        <v>0</v>
      </c>
      <c r="BB35" s="20">
        <f>COUNTIF('CAL5'!A:A,Agenda2526!C36)</f>
        <v>0</v>
      </c>
      <c r="BC35" s="20">
        <f>COUNTIF('CAL6'!A:A,Agenda2526!C36)</f>
        <v>0</v>
      </c>
      <c r="BD35" s="20">
        <f>COUNTIF('CAL7'!A:A,Agenda2526!C36)</f>
        <v>0</v>
      </c>
      <c r="BE35" s="20">
        <f>COUNTIF('CAL8'!A:A,Agenda2526!C36)</f>
        <v>0</v>
      </c>
    </row>
    <row r="36" spans="1:57" ht="15.75" customHeight="1">
      <c r="A36" s="20" t="str">
        <f ca="1">IF(CALC2223!AX36&gt;0,INDIRECT(ADDRESS(MATCH(Agenda2526!C37,'CAL1'!A:A,0),2,4,1,"CAL1")),"")</f>
        <v/>
      </c>
      <c r="B36" s="21">
        <f ca="1">IF(CALC2223!AX36&gt;0,INDIRECT(ADDRESS(MATCH(Agenda2526!C37,'CAL1'!A:A,0),3,4,1,"CAL1")),0)</f>
        <v>0</v>
      </c>
      <c r="C36" s="20" t="str">
        <f ca="1">IF(CALC2223!AX36&gt;1,INDIRECT(ADDRESS(MATCH(Agenda2526!C37,'CAL1'!A:A,0)+1,2,4,1,"CAL1")),"")</f>
        <v/>
      </c>
      <c r="D36" s="21">
        <f ca="1">IF(CALC2223!AX36&gt;1,INDIRECT(ADDRESS(MATCH(Agenda2526!C37,'CAL1'!A:A,0)+1,3,4,1,"CAL1")),0)</f>
        <v>0</v>
      </c>
      <c r="E36" s="20" t="str">
        <f ca="1">IF(CALC2223!AX36&gt;2,INDIRECT(ADDRESS(MATCH(Agenda2526!C37,'CAL1'!A:A,0)+2,2,4,1,"CAL1")),"")</f>
        <v/>
      </c>
      <c r="F36" s="21">
        <f ca="1">IF(CALC2223!AX36&gt;2,INDIRECT(ADDRESS(MATCH(Agenda2526!C37,'CAL1'!A:A,0)+2,3,4,1,"CAL1")),0)</f>
        <v>0</v>
      </c>
      <c r="G36" s="20" t="str">
        <f ca="1">IF(CALC2223!AY36&gt;0,INDIRECT(ADDRESS(MATCH(Agenda2526!C37,'CAL2'!A:A,0),2,4,1,"CAL2")),"")</f>
        <v/>
      </c>
      <c r="H36" s="21">
        <f ca="1">IF(CALC2223!AY36&gt;0,INDIRECT(ADDRESS(MATCH(Agenda2526!C37,'CAL2'!A:A,0),3,4,1,"CAL2")),0)</f>
        <v>0</v>
      </c>
      <c r="I36" s="20" t="str">
        <f ca="1">IF(CALC2223!AY36&gt;1,INDIRECT(ADDRESS(MATCH(Agenda2526!C37,'CAL2'!A:A,0)+1,2,4,1,"CAL2")),"")</f>
        <v/>
      </c>
      <c r="J36" s="21">
        <f ca="1">IF(CALC2223!AY36&gt;1,INDIRECT(ADDRESS(MATCH(Agenda2526!C37,'CAL2'!A:A,0)+1,3,4,1,"CAL2")),0)</f>
        <v>0</v>
      </c>
      <c r="K36" s="20" t="str">
        <f ca="1">IF(CALC2223!AY36&gt;2,INDIRECT(ADDRESS(MATCH(Agenda2526!C37,'CAL2'!A:A,0)+2,2,4,1,"CAL2")),"")</f>
        <v/>
      </c>
      <c r="L36" s="21">
        <f ca="1">IF(CALC2223!AY36&gt;2,INDIRECT(ADDRESS(MATCH(Agenda2526!C37,'CAL2'!A:A,0)+2,3,4,1,"CAL2")),0)</f>
        <v>0</v>
      </c>
      <c r="M36" s="20" t="str">
        <f ca="1">IF(CALC2223!AZ36&gt;0,INDIRECT(ADDRESS(MATCH(Agenda2526!C37,'CAL3'!A:A,0),2,4,1,"CAL3")),"")</f>
        <v/>
      </c>
      <c r="N36" s="21">
        <f ca="1">IF(CALC2223!AZ36&gt;0,INDIRECT(ADDRESS(MATCH(Agenda2526!C37,'CAL3'!A:A,0),3,4,1,"CAL3")),0)</f>
        <v>0</v>
      </c>
      <c r="O36" s="20" t="str">
        <f ca="1">IF(CALC2223!AZ36&gt;1,INDIRECT(ADDRESS(MATCH(Agenda2526!C37,'CAL3'!A:A,0)+1,2,4,1,"CAL3")),"")</f>
        <v/>
      </c>
      <c r="P36" s="21">
        <f ca="1">IF(CALC2223!AZ36&gt;1,INDIRECT(ADDRESS(MATCH(Agenda2526!C37,'CAL3'!A:A,0)+1,3,4,1,"CAL3")),0)</f>
        <v>0</v>
      </c>
      <c r="Q36" s="20" t="str">
        <f ca="1">IF(CALC2223!AZ36&gt;2,INDIRECT(ADDRESS(MATCH(Agenda2526!C37,'CAL3'!A:A,0)+2,2,4,1,"CAL3")),"")</f>
        <v/>
      </c>
      <c r="R36" s="21">
        <f ca="1">IF(CALC2223!AZ36&gt;2,INDIRECT(ADDRESS(MATCH(Agenda2526!C37,'CAL3'!A:A,0)+2,3,4,1,"CAL3")),0)</f>
        <v>0</v>
      </c>
      <c r="S36" s="20" t="str">
        <f ca="1">IF(CALC2223!BA36&gt;0,INDIRECT(ADDRESS(MATCH(Agenda2526!C37,'CAL4'!A:A,0),2,4,1,"CAL4")),"")</f>
        <v/>
      </c>
      <c r="T36" s="21">
        <f ca="1">IF(CALC2223!BA36&gt;0,INDIRECT(ADDRESS(MATCH(Agenda2526!C37,'CAL4'!A:A,0),3,4,1,"CAL4")),0)</f>
        <v>0</v>
      </c>
      <c r="U36" s="20" t="str">
        <f ca="1">IF(CALC2223!BA36&gt;1,INDIRECT(ADDRESS(MATCH(Agenda2526!C37,'CAL4'!A:A,0)+1,2,4,1,"CAL4")),"")</f>
        <v/>
      </c>
      <c r="V36" s="21">
        <f ca="1">IF(CALC2223!BA36&gt;1,INDIRECT(ADDRESS(MATCH(Agenda2526!C37,'CAL4'!A:A,0)+1,3,4,1,"CAL4")),0)</f>
        <v>0</v>
      </c>
      <c r="W36" s="20" t="str">
        <f ca="1">IF(CALC2223!BA36&gt;2,INDIRECT(ADDRESS(MATCH(Agenda2526!C37,'CAL4'!A:A,0)+2,2,4,1,"CAL4")),"")</f>
        <v/>
      </c>
      <c r="X36" s="21">
        <f ca="1">IF(CALC2223!BA36&gt;2,INDIRECT(ADDRESS(MATCH(Agenda2526!C37,'CAL4'!A:A,0)+2,3,4,1,"CAL4")),0)</f>
        <v>0</v>
      </c>
      <c r="Y36" s="20" t="str">
        <f ca="1">IF(CALC2223!BB36&gt;0,INDIRECT(ADDRESS(MATCH(Agenda2526!C37,'CAL5'!A:A,0),2,4,1,"CAL5")),"")</f>
        <v/>
      </c>
      <c r="Z36" s="21">
        <f ca="1">IF(CALC2223!BB36&gt;0,INDIRECT(ADDRESS(MATCH(Agenda2526!C37,'CAL5'!A:A,0),3,4,1,"CAL5")),0)</f>
        <v>0</v>
      </c>
      <c r="AA36" s="20" t="str">
        <f ca="1">IF(CALC2223!BB36&gt;1,INDIRECT(ADDRESS(MATCH(Agenda2526!C37,'CAL5'!A:A,0)+1,2,4,1,"CAL5")),"")</f>
        <v/>
      </c>
      <c r="AB36" s="21">
        <f ca="1">IF(CALC2223!BB36&gt;1,INDIRECT(ADDRESS(MATCH(Agenda2526!C37,'CAL5'!A:A,0)+1,3,4,1,"CAL5")),0)</f>
        <v>0</v>
      </c>
      <c r="AC36" s="20" t="str">
        <f ca="1">IF(CALC2223!BB36&gt;2,INDIRECT(ADDRESS(MATCH(Agenda2526!C37,'CAL5'!A:A,0)+2,2,4,1,"CAL5")),"")</f>
        <v/>
      </c>
      <c r="AD36" s="21">
        <f ca="1">IF(CALC2223!BB36&gt;2,INDIRECT(ADDRESS(MATCH(Agenda2526!C37,'CAL5'!A:A,0)+2,3,4,1,"CAL5")),0)</f>
        <v>0</v>
      </c>
      <c r="AE36" s="20" t="str">
        <f ca="1">IF(CALC2223!BC36&gt;0,INDIRECT(ADDRESS(MATCH(Agenda2526!C37,'CAL6'!A:A,0),2,4,1,"CAL6")),"")</f>
        <v/>
      </c>
      <c r="AF36" s="21">
        <f ca="1">IF(CALC2223!BC36&gt;0,INDIRECT(ADDRESS(MATCH(Agenda2526!C37,'CAL6'!A:A,0),3,4,1,"CAL6")),0)</f>
        <v>0</v>
      </c>
      <c r="AG36" s="20" t="str">
        <f ca="1">IF(CALC2223!BC36&gt;1,INDIRECT(ADDRESS(MATCH(Agenda2526!C37,'CAL6'!A:A,0)+1,2,4,1,"CAL6")),"")</f>
        <v/>
      </c>
      <c r="AH36" s="21">
        <f ca="1">IF(CALC2223!BC36&gt;1,INDIRECT(ADDRESS(MATCH(Agenda2526!C37,'CAL6'!A:A,0)+1,3,4,1,"CAL6")),0)</f>
        <v>0</v>
      </c>
      <c r="AI36" s="20" t="str">
        <f ca="1">IF(CALC2223!BC36&gt;2,INDIRECT(ADDRESS(MATCH(Agenda2526!C37,'CAL6'!A:A,0)+2,2,4,1,"CAL6")),"")</f>
        <v/>
      </c>
      <c r="AJ36" s="21">
        <f ca="1">IF(CALC2223!BC36&gt;2,INDIRECT(ADDRESS(MATCH(Agenda2526!C37,'CAL6'!A:A,0)+2,3,4,1,"CAL6")),0)</f>
        <v>0</v>
      </c>
      <c r="AK36" s="20" t="str">
        <f ca="1">IF(CALC2223!BD36&gt;0,INDIRECT(ADDRESS(MATCH(Agenda2526!C37,'CAL7'!A:A,0),2,4,1,"CAL7")),"")</f>
        <v/>
      </c>
      <c r="AL36" s="21">
        <f ca="1">IF(CALC2223!BD36&gt;0,INDIRECT(ADDRESS(MATCH(Agenda2526!C37,'CAL7'!A:A,0),3,4,1,"CAL7")),0)</f>
        <v>0</v>
      </c>
      <c r="AM36" s="20" t="str">
        <f ca="1">IF(CALC2223!BD36&gt;1,INDIRECT(ADDRESS(MATCH(Agenda2526!C37,'CAL7'!A:A,0)+1,2,4,1,"CAL7")),"")</f>
        <v/>
      </c>
      <c r="AN36" s="21">
        <f ca="1">IF(CALC2223!BD36&gt;1,INDIRECT(ADDRESS(MATCH(Agenda2526!C37,'CAL7'!A:A,0)+1,3,4,1,"CAL7")),0)</f>
        <v>0</v>
      </c>
      <c r="AO36" s="20" t="str">
        <f ca="1">IF(CALC2223!BD36&gt;2,INDIRECT(ADDRESS(MATCH(Agenda2526!C37,'CAL7'!A:A,0)+2,2,4,1,"CAL7")),"")</f>
        <v/>
      </c>
      <c r="AP36" s="21">
        <f ca="1">IF(CALC2223!BD36&gt;2,INDIRECT(ADDRESS(MATCH(Agenda2526!C37,'CAL7'!A:A,0)+2,3,4,1,"CAL7")),0)</f>
        <v>0</v>
      </c>
      <c r="AQ36" s="20" t="str">
        <f ca="1">IF(CALC2223!BE36&gt;0,INDIRECT(ADDRESS(MATCH(Agenda2526!C37,'CAL8'!A:A,0),2,4,1,"CAL8")),"")</f>
        <v/>
      </c>
      <c r="AR36" s="21">
        <f ca="1">IF(CALC2223!BE36&gt;0,INDIRECT(ADDRESS(MATCH(Agenda2526!C37,'CAL8'!A:A,0),3,4,1,"CAL8")),0)</f>
        <v>0</v>
      </c>
      <c r="AS36" s="20" t="str">
        <f ca="1">IF(CALC2223!BE36&gt;1,INDIRECT(ADDRESS(MATCH(Agenda2526!C37,'CAL8'!A:A,0)+1,2,4,1,"CAL8")),"")</f>
        <v/>
      </c>
      <c r="AT36" s="21">
        <f ca="1">IF(CALC2223!BE36&gt;1,INDIRECT(ADDRESS(MATCH(Agenda2526!C37,'CAL8'!A:A,0)+1,3,4,1,"CAL8")),0)</f>
        <v>0</v>
      </c>
      <c r="AU36" s="20" t="str">
        <f ca="1">IF(CALC2223!BE36&gt;2,INDIRECT(ADDRESS(MATCH(Agenda2526!C37,'CAL8'!A:A,0)+2,2,4,1,"CAL8")),"")</f>
        <v/>
      </c>
      <c r="AV36" s="21">
        <f ca="1">IF(CALC2223!BE36&gt;2,INDIRECT(ADDRESS(MATCH(Agenda2526!C37,'CAL8'!A:A,0)+2,3,4,1,"CAL8")),0)</f>
        <v>0</v>
      </c>
      <c r="AW36" s="106"/>
      <c r="AX36" s="20">
        <f>COUNTIF('CAL1'!A:A,Agenda2526!C37)</f>
        <v>0</v>
      </c>
      <c r="AY36" s="20">
        <f>COUNTIF('CAL2'!A:A,Agenda2526!C37)</f>
        <v>0</v>
      </c>
      <c r="AZ36" s="20">
        <f>COUNTIF('CAL3'!A:A,Agenda2526!C37)</f>
        <v>0</v>
      </c>
      <c r="BA36" s="20">
        <f>COUNTIF('CAL4'!A:A,Agenda2526!C37)</f>
        <v>0</v>
      </c>
      <c r="BB36" s="20">
        <f>COUNTIF('CAL5'!A:A,Agenda2526!C37)</f>
        <v>0</v>
      </c>
      <c r="BC36" s="20">
        <f>COUNTIF('CAL6'!A:A,Agenda2526!C37)</f>
        <v>0</v>
      </c>
      <c r="BD36" s="20">
        <f>COUNTIF('CAL7'!A:A,Agenda2526!C37)</f>
        <v>0</v>
      </c>
      <c r="BE36" s="20">
        <f>COUNTIF('CAL8'!A:A,Agenda2526!C37)</f>
        <v>0</v>
      </c>
    </row>
    <row r="37" spans="1:57" ht="15.75" customHeight="1">
      <c r="A37" s="20" t="str">
        <f ca="1">IF(CALC2223!AX37&gt;0,INDIRECT(ADDRESS(MATCH(Agenda2526!C38,'CAL1'!A:A,0),2,4,1,"CAL1")),"")</f>
        <v/>
      </c>
      <c r="B37" s="21">
        <f ca="1">IF(CALC2223!AX37&gt;0,INDIRECT(ADDRESS(MATCH(Agenda2526!C38,'CAL1'!A:A,0),3,4,1,"CAL1")),0)</f>
        <v>0</v>
      </c>
      <c r="C37" s="20" t="str">
        <f ca="1">IF(CALC2223!AX37&gt;1,INDIRECT(ADDRESS(MATCH(Agenda2526!C38,'CAL1'!A:A,0)+1,2,4,1,"CAL1")),"")</f>
        <v/>
      </c>
      <c r="D37" s="21">
        <f ca="1">IF(CALC2223!AX37&gt;1,INDIRECT(ADDRESS(MATCH(Agenda2526!C38,'CAL1'!A:A,0)+1,3,4,1,"CAL1")),0)</f>
        <v>0</v>
      </c>
      <c r="E37" s="20" t="str">
        <f ca="1">IF(CALC2223!AX37&gt;2,INDIRECT(ADDRESS(MATCH(Agenda2526!C38,'CAL1'!A:A,0)+2,2,4,1,"CAL1")),"")</f>
        <v/>
      </c>
      <c r="F37" s="21">
        <f ca="1">IF(CALC2223!AX37&gt;2,INDIRECT(ADDRESS(MATCH(Agenda2526!C38,'CAL1'!A:A,0)+2,3,4,1,"CAL1")),0)</f>
        <v>0</v>
      </c>
      <c r="G37" s="20" t="str">
        <f ca="1">IF(CALC2223!AY37&gt;0,INDIRECT(ADDRESS(MATCH(Agenda2526!C38,'CAL2'!A:A,0),2,4,1,"CAL2")),"")</f>
        <v/>
      </c>
      <c r="H37" s="21">
        <f ca="1">IF(CALC2223!AY37&gt;0,INDIRECT(ADDRESS(MATCH(Agenda2526!C38,'CAL2'!A:A,0),3,4,1,"CAL2")),0)</f>
        <v>0</v>
      </c>
      <c r="I37" s="20" t="str">
        <f ca="1">IF(CALC2223!AY37&gt;1,INDIRECT(ADDRESS(MATCH(Agenda2526!C38,'CAL2'!A:A,0)+1,2,4,1,"CAL2")),"")</f>
        <v/>
      </c>
      <c r="J37" s="21">
        <f ca="1">IF(CALC2223!AY37&gt;1,INDIRECT(ADDRESS(MATCH(Agenda2526!C38,'CAL2'!A:A,0)+1,3,4,1,"CAL2")),0)</f>
        <v>0</v>
      </c>
      <c r="K37" s="20" t="str">
        <f ca="1">IF(CALC2223!AY37&gt;2,INDIRECT(ADDRESS(MATCH(Agenda2526!C38,'CAL2'!A:A,0)+2,2,4,1,"CAL2")),"")</f>
        <v/>
      </c>
      <c r="L37" s="21">
        <f ca="1">IF(CALC2223!AY37&gt;2,INDIRECT(ADDRESS(MATCH(Agenda2526!C38,'CAL2'!A:A,0)+2,3,4,1,"CAL2")),0)</f>
        <v>0</v>
      </c>
      <c r="M37" s="20" t="str">
        <f ca="1">IF(CALC2223!AZ37&gt;0,INDIRECT(ADDRESS(MATCH(Agenda2526!C38,'CAL3'!A:A,0),2,4,1,"CAL3")),"")</f>
        <v/>
      </c>
      <c r="N37" s="21">
        <f ca="1">IF(CALC2223!AZ37&gt;0,INDIRECT(ADDRESS(MATCH(Agenda2526!C38,'CAL3'!A:A,0),3,4,1,"CAL3")),0)</f>
        <v>0</v>
      </c>
      <c r="O37" s="20" t="str">
        <f ca="1">IF(CALC2223!AZ37&gt;1,INDIRECT(ADDRESS(MATCH(Agenda2526!C38,'CAL3'!A:A,0)+1,2,4,1,"CAL3")),"")</f>
        <v/>
      </c>
      <c r="P37" s="21">
        <f ca="1">IF(CALC2223!AZ37&gt;1,INDIRECT(ADDRESS(MATCH(Agenda2526!C38,'CAL3'!A:A,0)+1,3,4,1,"CAL3")),0)</f>
        <v>0</v>
      </c>
      <c r="Q37" s="20" t="str">
        <f ca="1">IF(CALC2223!AZ37&gt;2,INDIRECT(ADDRESS(MATCH(Agenda2526!C38,'CAL3'!A:A,0)+2,2,4,1,"CAL3")),"")</f>
        <v/>
      </c>
      <c r="R37" s="21">
        <f ca="1">IF(CALC2223!AZ37&gt;2,INDIRECT(ADDRESS(MATCH(Agenda2526!C38,'CAL3'!A:A,0)+2,3,4,1,"CAL3")),0)</f>
        <v>0</v>
      </c>
      <c r="S37" s="20" t="str">
        <f ca="1">IF(CALC2223!BA37&gt;0,INDIRECT(ADDRESS(MATCH(Agenda2526!C38,'CAL4'!A:A,0),2,4,1,"CAL4")),"")</f>
        <v/>
      </c>
      <c r="T37" s="21">
        <f ca="1">IF(CALC2223!BA37&gt;0,INDIRECT(ADDRESS(MATCH(Agenda2526!C38,'CAL4'!A:A,0),3,4,1,"CAL4")),0)</f>
        <v>0</v>
      </c>
      <c r="U37" s="20" t="str">
        <f ca="1">IF(CALC2223!BA37&gt;1,INDIRECT(ADDRESS(MATCH(Agenda2526!C38,'CAL4'!A:A,0)+1,2,4,1,"CAL4")),"")</f>
        <v/>
      </c>
      <c r="V37" s="21">
        <f ca="1">IF(CALC2223!BA37&gt;1,INDIRECT(ADDRESS(MATCH(Agenda2526!C38,'CAL4'!A:A,0)+1,3,4,1,"CAL4")),0)</f>
        <v>0</v>
      </c>
      <c r="W37" s="20" t="str">
        <f ca="1">IF(CALC2223!BA37&gt;2,INDIRECT(ADDRESS(MATCH(Agenda2526!C38,'CAL4'!A:A,0)+2,2,4,1,"CAL4")),"")</f>
        <v/>
      </c>
      <c r="X37" s="21">
        <f ca="1">IF(CALC2223!BA37&gt;2,INDIRECT(ADDRESS(MATCH(Agenda2526!C38,'CAL4'!A:A,0)+2,3,4,1,"CAL4")),0)</f>
        <v>0</v>
      </c>
      <c r="Y37" s="20" t="str">
        <f ca="1">IF(CALC2223!BB37&gt;0,INDIRECT(ADDRESS(MATCH(Agenda2526!C38,'CAL5'!A:A,0),2,4,1,"CAL5")),"")</f>
        <v>SE AK</v>
      </c>
      <c r="Z37" s="21">
        <f ca="1">IF(CALC2223!BB37&gt;0,INDIRECT(ADDRESS(MATCH(Agenda2526!C38,'CAL5'!A:A,0),3,4,1,"CAL5")),0)</f>
        <v>45903</v>
      </c>
      <c r="AA37" s="20" t="str">
        <f ca="1">IF(CALC2223!BB37&gt;1,INDIRECT(ADDRESS(MATCH(Agenda2526!C38,'CAL5'!A:A,0)+1,2,4,1,"CAL5")),"")</f>
        <v/>
      </c>
      <c r="AB37" s="21">
        <f ca="1">IF(CALC2223!BB37&gt;1,INDIRECT(ADDRESS(MATCH(Agenda2526!C38,'CAL5'!A:A,0)+1,3,4,1,"CAL5")),0)</f>
        <v>0</v>
      </c>
      <c r="AC37" s="20" t="str">
        <f ca="1">IF(CALC2223!BB37&gt;2,INDIRECT(ADDRESS(MATCH(Agenda2526!C38,'CAL5'!A:A,0)+2,2,4,1,"CAL5")),"")</f>
        <v/>
      </c>
      <c r="AD37" s="21">
        <f ca="1">IF(CALC2223!BB37&gt;2,INDIRECT(ADDRESS(MATCH(Agenda2526!C38,'CAL5'!A:A,0)+2,3,4,1,"CAL5")),0)</f>
        <v>0</v>
      </c>
      <c r="AE37" s="20" t="str">
        <f ca="1">IF(CALC2223!BC37&gt;0,INDIRECT(ADDRESS(MATCH(Agenda2526!C38,'CAL6'!A:A,0),2,4,1,"CAL6")),"")</f>
        <v/>
      </c>
      <c r="AF37" s="21">
        <f ca="1">IF(CALC2223!BC37&gt;0,INDIRECT(ADDRESS(MATCH(Agenda2526!C38,'CAL6'!A:A,0),3,4,1,"CAL6")),0)</f>
        <v>0</v>
      </c>
      <c r="AG37" s="20" t="str">
        <f ca="1">IF(CALC2223!BC37&gt;1,INDIRECT(ADDRESS(MATCH(Agenda2526!C38,'CAL6'!A:A,0)+1,2,4,1,"CAL6")),"")</f>
        <v/>
      </c>
      <c r="AH37" s="21">
        <f ca="1">IF(CALC2223!BC37&gt;1,INDIRECT(ADDRESS(MATCH(Agenda2526!C38,'CAL6'!A:A,0)+1,3,4,1,"CAL6")),0)</f>
        <v>0</v>
      </c>
      <c r="AI37" s="20" t="str">
        <f ca="1">IF(CALC2223!BC37&gt;2,INDIRECT(ADDRESS(MATCH(Agenda2526!C38,'CAL6'!A:A,0)+2,2,4,1,"CAL6")),"")</f>
        <v/>
      </c>
      <c r="AJ37" s="21">
        <f ca="1">IF(CALC2223!BC37&gt;2,INDIRECT(ADDRESS(MATCH(Agenda2526!C38,'CAL6'!A:A,0)+2,3,4,1,"CAL6")),0)</f>
        <v>0</v>
      </c>
      <c r="AK37" s="20" t="str">
        <f ca="1">IF(CALC2223!BD37&gt;0,INDIRECT(ADDRESS(MATCH(Agenda2526!C38,'CAL7'!A:A,0),2,4,1,"CAL7")),"")</f>
        <v/>
      </c>
      <c r="AL37" s="21">
        <f ca="1">IF(CALC2223!BD37&gt;0,INDIRECT(ADDRESS(MATCH(Agenda2526!C38,'CAL7'!A:A,0),3,4,1,"CAL7")),0)</f>
        <v>0</v>
      </c>
      <c r="AM37" s="20" t="str">
        <f ca="1">IF(CALC2223!BD37&gt;1,INDIRECT(ADDRESS(MATCH(Agenda2526!C38,'CAL7'!A:A,0)+1,2,4,1,"CAL7")),"")</f>
        <v/>
      </c>
      <c r="AN37" s="21">
        <f ca="1">IF(CALC2223!BD37&gt;1,INDIRECT(ADDRESS(MATCH(Agenda2526!C38,'CAL7'!A:A,0)+1,3,4,1,"CAL7")),0)</f>
        <v>0</v>
      </c>
      <c r="AO37" s="20" t="str">
        <f ca="1">IF(CALC2223!BD37&gt;2,INDIRECT(ADDRESS(MATCH(Agenda2526!C38,'CAL7'!A:A,0)+2,2,4,1,"CAL7")),"")</f>
        <v/>
      </c>
      <c r="AP37" s="21">
        <f ca="1">IF(CALC2223!BD37&gt;2,INDIRECT(ADDRESS(MATCH(Agenda2526!C38,'CAL7'!A:A,0)+2,3,4,1,"CAL7")),0)</f>
        <v>0</v>
      </c>
      <c r="AQ37" s="20" t="str">
        <f ca="1">IF(CALC2223!BE37&gt;0,INDIRECT(ADDRESS(MATCH(Agenda2526!C38,'CAL8'!A:A,0),2,4,1,"CAL8")),"")</f>
        <v/>
      </c>
      <c r="AR37" s="21">
        <f ca="1">IF(CALC2223!BE37&gt;0,INDIRECT(ADDRESS(MATCH(Agenda2526!C38,'CAL8'!A:A,0),3,4,1,"CAL8")),0)</f>
        <v>0</v>
      </c>
      <c r="AS37" s="20" t="str">
        <f ca="1">IF(CALC2223!BE37&gt;1,INDIRECT(ADDRESS(MATCH(Agenda2526!C38,'CAL8'!A:A,0)+1,2,4,1,"CAL8")),"")</f>
        <v/>
      </c>
      <c r="AT37" s="21">
        <f ca="1">IF(CALC2223!BE37&gt;1,INDIRECT(ADDRESS(MATCH(Agenda2526!C38,'CAL8'!A:A,0)+1,3,4,1,"CAL8")),0)</f>
        <v>0</v>
      </c>
      <c r="AU37" s="20" t="str">
        <f ca="1">IF(CALC2223!BE37&gt;2,INDIRECT(ADDRESS(MATCH(Agenda2526!C38,'CAL8'!A:A,0)+2,2,4,1,"CAL8")),"")</f>
        <v/>
      </c>
      <c r="AV37" s="21">
        <f ca="1">IF(CALC2223!BE37&gt;2,INDIRECT(ADDRESS(MATCH(Agenda2526!C38,'CAL8'!A:A,0)+2,3,4,1,"CAL8")),0)</f>
        <v>0</v>
      </c>
      <c r="AW37" s="105"/>
      <c r="AX37" s="20">
        <f>COUNTIF('CAL1'!A:A,Agenda2526!C38)</f>
        <v>0</v>
      </c>
      <c r="AY37" s="20">
        <f>COUNTIF('CAL2'!A:A,Agenda2526!C38)</f>
        <v>0</v>
      </c>
      <c r="AZ37" s="20">
        <f>COUNTIF('CAL3'!A:A,Agenda2526!C38)</f>
        <v>0</v>
      </c>
      <c r="BA37" s="20">
        <f>COUNTIF('CAL4'!A:A,Agenda2526!C38)</f>
        <v>0</v>
      </c>
      <c r="BB37" s="20">
        <f>COUNTIF('CAL5'!A:A,Agenda2526!C38)</f>
        <v>1</v>
      </c>
      <c r="BC37" s="20">
        <f>COUNTIF('CAL6'!A:A,Agenda2526!C38)</f>
        <v>0</v>
      </c>
      <c r="BD37" s="20">
        <f>COUNTIF('CAL7'!A:A,Agenda2526!C38)</f>
        <v>0</v>
      </c>
      <c r="BE37" s="20">
        <f>COUNTIF('CAL8'!A:A,Agenda2526!C38)</f>
        <v>0</v>
      </c>
    </row>
    <row r="38" spans="1:57" ht="15.75" customHeight="1">
      <c r="A38" s="20" t="str">
        <f ca="1">IF(CALC2223!AX38&gt;0,INDIRECT(ADDRESS(MATCH(Agenda2526!C39,'CAL1'!A:A,0),2,4,1,"CAL1")),"")</f>
        <v/>
      </c>
      <c r="B38" s="21">
        <f ca="1">IF(CALC2223!AX38&gt;0,INDIRECT(ADDRESS(MATCH(Agenda2526!C39,'CAL1'!A:A,0),3,4,1,"CAL1")),0)</f>
        <v>0</v>
      </c>
      <c r="C38" s="20" t="str">
        <f ca="1">IF(CALC2223!AX38&gt;1,INDIRECT(ADDRESS(MATCH(Agenda2526!C39,'CAL1'!A:A,0)+1,2,4,1,"CAL1")),"")</f>
        <v/>
      </c>
      <c r="D38" s="21">
        <f ca="1">IF(CALC2223!AX38&gt;1,INDIRECT(ADDRESS(MATCH(Agenda2526!C39,'CAL1'!A:A,0)+1,3,4,1,"CAL1")),0)</f>
        <v>0</v>
      </c>
      <c r="E38" s="20" t="str">
        <f ca="1">IF(CALC2223!AX38&gt;2,INDIRECT(ADDRESS(MATCH(Agenda2526!C39,'CAL1'!A:A,0)+2,2,4,1,"CAL1")),"")</f>
        <v/>
      </c>
      <c r="F38" s="21">
        <f ca="1">IF(CALC2223!AX38&gt;2,INDIRECT(ADDRESS(MATCH(Agenda2526!C39,'CAL1'!A:A,0)+2,3,4,1,"CAL1")),0)</f>
        <v>0</v>
      </c>
      <c r="G38" s="20" t="str">
        <f ca="1">IF(CALC2223!AY38&gt;0,INDIRECT(ADDRESS(MATCH(Agenda2526!C39,'CAL2'!A:A,0),2,4,1,"CAL2")),"")</f>
        <v/>
      </c>
      <c r="H38" s="21">
        <f ca="1">IF(CALC2223!AY38&gt;0,INDIRECT(ADDRESS(MATCH(Agenda2526!C39,'CAL2'!A:A,0),3,4,1,"CAL2")),0)</f>
        <v>0</v>
      </c>
      <c r="I38" s="20" t="str">
        <f ca="1">IF(CALC2223!AY38&gt;1,INDIRECT(ADDRESS(MATCH(Agenda2526!C39,'CAL2'!A:A,0)+1,2,4,1,"CAL2")),"")</f>
        <v/>
      </c>
      <c r="J38" s="21">
        <f ca="1">IF(CALC2223!AY38&gt;1,INDIRECT(ADDRESS(MATCH(Agenda2526!C39,'CAL2'!A:A,0)+1,3,4,1,"CAL2")),0)</f>
        <v>0</v>
      </c>
      <c r="K38" s="20" t="str">
        <f ca="1">IF(CALC2223!AY38&gt;2,INDIRECT(ADDRESS(MATCH(Agenda2526!C39,'CAL2'!A:A,0)+2,2,4,1,"CAL2")),"")</f>
        <v/>
      </c>
      <c r="L38" s="21">
        <f ca="1">IF(CALC2223!AY38&gt;2,INDIRECT(ADDRESS(MATCH(Agenda2526!C39,'CAL2'!A:A,0)+2,3,4,1,"CAL2")),0)</f>
        <v>0</v>
      </c>
      <c r="M38" s="20" t="str">
        <f ca="1">IF(CALC2223!AZ38&gt;0,INDIRECT(ADDRESS(MATCH(Agenda2526!C39,'CAL3'!A:A,0),2,4,1,"CAL3")),"")</f>
        <v/>
      </c>
      <c r="N38" s="21">
        <f ca="1">IF(CALC2223!AZ38&gt;0,INDIRECT(ADDRESS(MATCH(Agenda2526!C39,'CAL3'!A:A,0),3,4,1,"CAL3")),0)</f>
        <v>0</v>
      </c>
      <c r="O38" s="20" t="str">
        <f ca="1">IF(CALC2223!AZ38&gt;1,INDIRECT(ADDRESS(MATCH(Agenda2526!C39,'CAL3'!A:A,0)+1,2,4,1,"CAL3")),"")</f>
        <v/>
      </c>
      <c r="P38" s="21">
        <f ca="1">IF(CALC2223!AZ38&gt;1,INDIRECT(ADDRESS(MATCH(Agenda2526!C39,'CAL3'!A:A,0)+1,3,4,1,"CAL3")),0)</f>
        <v>0</v>
      </c>
      <c r="Q38" s="20" t="str">
        <f ca="1">IF(CALC2223!AZ38&gt;2,INDIRECT(ADDRESS(MATCH(Agenda2526!C39,'CAL3'!A:A,0)+2,2,4,1,"CAL3")),"")</f>
        <v/>
      </c>
      <c r="R38" s="21">
        <f ca="1">IF(CALC2223!AZ38&gt;2,INDIRECT(ADDRESS(MATCH(Agenda2526!C39,'CAL3'!A:A,0)+2,3,4,1,"CAL3")),0)</f>
        <v>0</v>
      </c>
      <c r="S38" s="20" t="str">
        <f ca="1">IF(CALC2223!BA38&gt;0,INDIRECT(ADDRESS(MATCH(Agenda2526!C39,'CAL4'!A:A,0),2,4,1,"CAL4")),"")</f>
        <v/>
      </c>
      <c r="T38" s="21">
        <f ca="1">IF(CALC2223!BA38&gt;0,INDIRECT(ADDRESS(MATCH(Agenda2526!C39,'CAL4'!A:A,0),3,4,1,"CAL4")),0)</f>
        <v>0</v>
      </c>
      <c r="U38" s="20" t="str">
        <f ca="1">IF(CALC2223!BA38&gt;1,INDIRECT(ADDRESS(MATCH(Agenda2526!C39,'CAL4'!A:A,0)+1,2,4,1,"CAL4")),"")</f>
        <v/>
      </c>
      <c r="V38" s="21">
        <f ca="1">IF(CALC2223!BA38&gt;1,INDIRECT(ADDRESS(MATCH(Agenda2526!C39,'CAL4'!A:A,0)+1,3,4,1,"CAL4")),0)</f>
        <v>0</v>
      </c>
      <c r="W38" s="20" t="str">
        <f ca="1">IF(CALC2223!BA38&gt;2,INDIRECT(ADDRESS(MATCH(Agenda2526!C39,'CAL4'!A:A,0)+2,2,4,1,"CAL4")),"")</f>
        <v/>
      </c>
      <c r="X38" s="21">
        <f ca="1">IF(CALC2223!BA38&gt;2,INDIRECT(ADDRESS(MATCH(Agenda2526!C39,'CAL4'!A:A,0)+2,3,4,1,"CAL4")),0)</f>
        <v>0</v>
      </c>
      <c r="Y38" s="20" t="str">
        <f ca="1">IF(CALC2223!BB38&gt;0,INDIRECT(ADDRESS(MATCH(Agenda2526!C39,'CAL5'!A:A,0),2,4,1,"CAL5")),"")</f>
        <v/>
      </c>
      <c r="Z38" s="21">
        <f ca="1">IF(CALC2223!BB38&gt;0,INDIRECT(ADDRESS(MATCH(Agenda2526!C39,'CAL5'!A:A,0),3,4,1,"CAL5")),0)</f>
        <v>0</v>
      </c>
      <c r="AA38" s="20" t="str">
        <f ca="1">IF(CALC2223!BB38&gt;1,INDIRECT(ADDRESS(MATCH(Agenda2526!C39,'CAL5'!A:A,0)+1,2,4,1,"CAL5")),"")</f>
        <v/>
      </c>
      <c r="AB38" s="21">
        <f ca="1">IF(CALC2223!BB38&gt;1,INDIRECT(ADDRESS(MATCH(Agenda2526!C39,'CAL5'!A:A,0)+1,3,4,1,"CAL5")),0)</f>
        <v>0</v>
      </c>
      <c r="AC38" s="20" t="str">
        <f ca="1">IF(CALC2223!BB38&gt;2,INDIRECT(ADDRESS(MATCH(Agenda2526!C39,'CAL5'!A:A,0)+2,2,4,1,"CAL5")),"")</f>
        <v/>
      </c>
      <c r="AD38" s="21">
        <f ca="1">IF(CALC2223!BB38&gt;2,INDIRECT(ADDRESS(MATCH(Agenda2526!C39,'CAL5'!A:A,0)+2,3,4,1,"CAL5")),0)</f>
        <v>0</v>
      </c>
      <c r="AE38" s="20" t="str">
        <f ca="1">IF(CALC2223!BC38&gt;0,INDIRECT(ADDRESS(MATCH(Agenda2526!C39,'CAL6'!A:A,0),2,4,1,"CAL6")),"")</f>
        <v/>
      </c>
      <c r="AF38" s="21">
        <f ca="1">IF(CALC2223!BC38&gt;0,INDIRECT(ADDRESS(MATCH(Agenda2526!C39,'CAL6'!A:A,0),3,4,1,"CAL6")),0)</f>
        <v>0</v>
      </c>
      <c r="AG38" s="20" t="str">
        <f ca="1">IF(CALC2223!BC38&gt;1,INDIRECT(ADDRESS(MATCH(Agenda2526!C39,'CAL6'!A:A,0)+1,2,4,1,"CAL6")),"")</f>
        <v/>
      </c>
      <c r="AH38" s="21">
        <f ca="1">IF(CALC2223!BC38&gt;1,INDIRECT(ADDRESS(MATCH(Agenda2526!C39,'CAL6'!A:A,0)+1,3,4,1,"CAL6")),0)</f>
        <v>0</v>
      </c>
      <c r="AI38" s="20" t="str">
        <f ca="1">IF(CALC2223!BC38&gt;2,INDIRECT(ADDRESS(MATCH(Agenda2526!C39,'CAL6'!A:A,0)+2,2,4,1,"CAL6")),"")</f>
        <v/>
      </c>
      <c r="AJ38" s="21">
        <f ca="1">IF(CALC2223!BC38&gt;2,INDIRECT(ADDRESS(MATCH(Agenda2526!C39,'CAL6'!A:A,0)+2,3,4,1,"CAL6")),0)</f>
        <v>0</v>
      </c>
      <c r="AK38" s="20" t="str">
        <f ca="1">IF(CALC2223!BD38&gt;0,INDIRECT(ADDRESS(MATCH(Agenda2526!C39,'CAL7'!A:A,0),2,4,1,"CAL7")),"")</f>
        <v/>
      </c>
      <c r="AL38" s="21">
        <f ca="1">IF(CALC2223!BD38&gt;0,INDIRECT(ADDRESS(MATCH(Agenda2526!C39,'CAL7'!A:A,0),3,4,1,"CAL7")),0)</f>
        <v>0</v>
      </c>
      <c r="AM38" s="20" t="str">
        <f ca="1">IF(CALC2223!BD38&gt;1,INDIRECT(ADDRESS(MATCH(Agenda2526!C39,'CAL7'!A:A,0)+1,2,4,1,"CAL7")),"")</f>
        <v/>
      </c>
      <c r="AN38" s="21">
        <f ca="1">IF(CALC2223!BD38&gt;1,INDIRECT(ADDRESS(MATCH(Agenda2526!C39,'CAL7'!A:A,0)+1,3,4,1,"CAL7")),0)</f>
        <v>0</v>
      </c>
      <c r="AO38" s="20" t="str">
        <f ca="1">IF(CALC2223!BD38&gt;2,INDIRECT(ADDRESS(MATCH(Agenda2526!C39,'CAL7'!A:A,0)+2,2,4,1,"CAL7")),"")</f>
        <v/>
      </c>
      <c r="AP38" s="21">
        <f ca="1">IF(CALC2223!BD38&gt;2,INDIRECT(ADDRESS(MATCH(Agenda2526!C39,'CAL7'!A:A,0)+2,3,4,1,"CAL7")),0)</f>
        <v>0</v>
      </c>
      <c r="AQ38" s="20" t="str">
        <f ca="1">IF(CALC2223!BE38&gt;0,INDIRECT(ADDRESS(MATCH(Agenda2526!C39,'CAL8'!A:A,0),2,4,1,"CAL8")),"")</f>
        <v/>
      </c>
      <c r="AR38" s="21">
        <f ca="1">IF(CALC2223!BE38&gt;0,INDIRECT(ADDRESS(MATCH(Agenda2526!C39,'CAL8'!A:A,0),3,4,1,"CAL8")),0)</f>
        <v>0</v>
      </c>
      <c r="AS38" s="20" t="str">
        <f ca="1">IF(CALC2223!BE38&gt;1,INDIRECT(ADDRESS(MATCH(Agenda2526!C39,'CAL8'!A:A,0)+1,2,4,1,"CAL8")),"")</f>
        <v/>
      </c>
      <c r="AT38" s="21">
        <f ca="1">IF(CALC2223!BE38&gt;1,INDIRECT(ADDRESS(MATCH(Agenda2526!C39,'CAL8'!A:A,0)+1,3,4,1,"CAL8")),0)</f>
        <v>0</v>
      </c>
      <c r="AU38" s="20" t="str">
        <f ca="1">IF(CALC2223!BE38&gt;2,INDIRECT(ADDRESS(MATCH(Agenda2526!C39,'CAL8'!A:A,0)+2,2,4,1,"CAL8")),"")</f>
        <v/>
      </c>
      <c r="AV38" s="21">
        <f ca="1">IF(CALC2223!BE38&gt;2,INDIRECT(ADDRESS(MATCH(Agenda2526!C39,'CAL8'!A:A,0)+2,3,4,1,"CAL8")),0)</f>
        <v>0</v>
      </c>
      <c r="AW38" s="105"/>
      <c r="AX38" s="20">
        <f>COUNTIF('CAL1'!A:A,Agenda2526!C39)</f>
        <v>0</v>
      </c>
      <c r="AY38" s="20">
        <f>COUNTIF('CAL2'!A:A,Agenda2526!C39)</f>
        <v>0</v>
      </c>
      <c r="AZ38" s="20">
        <f>COUNTIF('CAL3'!A:A,Agenda2526!C39)</f>
        <v>0</v>
      </c>
      <c r="BA38" s="20">
        <f>COUNTIF('CAL4'!A:A,Agenda2526!C39)</f>
        <v>0</v>
      </c>
      <c r="BB38" s="20">
        <f>COUNTIF('CAL5'!A:A,Agenda2526!C39)</f>
        <v>0</v>
      </c>
      <c r="BC38" s="20">
        <f>COUNTIF('CAL6'!A:A,Agenda2526!C39)</f>
        <v>0</v>
      </c>
      <c r="BD38" s="20">
        <f>COUNTIF('CAL7'!A:A,Agenda2526!C39)</f>
        <v>0</v>
      </c>
      <c r="BE38" s="20">
        <f>COUNTIF('CAL8'!A:A,Agenda2526!C39)</f>
        <v>0</v>
      </c>
    </row>
    <row r="39" spans="1:57" ht="15.75" customHeight="1">
      <c r="A39" s="20" t="str">
        <f ca="1">IF(CALC2223!AX39&gt;0,INDIRECT(ADDRESS(MATCH(Agenda2526!C40,'CAL1'!A:A,0),2,4,1,"CAL1")),"")</f>
        <v/>
      </c>
      <c r="B39" s="21">
        <f ca="1">IF(CALC2223!AX39&gt;0,INDIRECT(ADDRESS(MATCH(Agenda2526!C40,'CAL1'!A:A,0),3,4,1,"CAL1")),0)</f>
        <v>0</v>
      </c>
      <c r="C39" s="20" t="str">
        <f ca="1">IF(CALC2223!AX39&gt;1,INDIRECT(ADDRESS(MATCH(Agenda2526!C40,'CAL1'!A:A,0)+1,2,4,1,"CAL1")),"")</f>
        <v/>
      </c>
      <c r="D39" s="21">
        <f ca="1">IF(CALC2223!AX39&gt;1,INDIRECT(ADDRESS(MATCH(Agenda2526!C40,'CAL1'!A:A,0)+1,3,4,1,"CAL1")),0)</f>
        <v>0</v>
      </c>
      <c r="E39" s="20" t="str">
        <f ca="1">IF(CALC2223!AX39&gt;2,INDIRECT(ADDRESS(MATCH(Agenda2526!C40,'CAL1'!A:A,0)+2,2,4,1,"CAL1")),"")</f>
        <v/>
      </c>
      <c r="F39" s="21">
        <f ca="1">IF(CALC2223!AX39&gt;2,INDIRECT(ADDRESS(MATCH(Agenda2526!C40,'CAL1'!A:A,0)+2,3,4,1,"CAL1")),0)</f>
        <v>0</v>
      </c>
      <c r="G39" s="20" t="str">
        <f ca="1">IF(CALC2223!AY39&gt;0,INDIRECT(ADDRESS(MATCH(Agenda2526!C40,'CAL2'!A:A,0),2,4,1,"CAL2")),"")</f>
        <v/>
      </c>
      <c r="H39" s="21">
        <f ca="1">IF(CALC2223!AY39&gt;0,INDIRECT(ADDRESS(MATCH(Agenda2526!C40,'CAL2'!A:A,0),3,4,1,"CAL2")),0)</f>
        <v>0</v>
      </c>
      <c r="I39" s="20" t="str">
        <f ca="1">IF(CALC2223!AY39&gt;1,INDIRECT(ADDRESS(MATCH(Agenda2526!C40,'CAL2'!A:A,0)+1,2,4,1,"CAL2")),"")</f>
        <v/>
      </c>
      <c r="J39" s="21">
        <f ca="1">IF(CALC2223!AY39&gt;1,INDIRECT(ADDRESS(MATCH(Agenda2526!C40,'CAL2'!A:A,0)+1,3,4,1,"CAL2")),0)</f>
        <v>0</v>
      </c>
      <c r="K39" s="20" t="str">
        <f ca="1">IF(CALC2223!AY39&gt;2,INDIRECT(ADDRESS(MATCH(Agenda2526!C40,'CAL2'!A:A,0)+2,2,4,1,"CAL2")),"")</f>
        <v/>
      </c>
      <c r="L39" s="21">
        <f ca="1">IF(CALC2223!AY39&gt;2,INDIRECT(ADDRESS(MATCH(Agenda2526!C40,'CAL2'!A:A,0)+2,3,4,1,"CAL2")),0)</f>
        <v>0</v>
      </c>
      <c r="M39" s="20" t="str">
        <f ca="1">IF(CALC2223!AZ39&gt;0,INDIRECT(ADDRESS(MATCH(Agenda2526!C40,'CAL3'!A:A,0),2,4,1,"CAL3")),"")</f>
        <v/>
      </c>
      <c r="N39" s="21">
        <f ca="1">IF(CALC2223!AZ39&gt;0,INDIRECT(ADDRESS(MATCH(Agenda2526!C40,'CAL3'!A:A,0),3,4,1,"CAL3")),0)</f>
        <v>0</v>
      </c>
      <c r="O39" s="20" t="str">
        <f ca="1">IF(CALC2223!AZ39&gt;1,INDIRECT(ADDRESS(MATCH(Agenda2526!C40,'CAL3'!A:A,0)+1,2,4,1,"CAL3")),"")</f>
        <v/>
      </c>
      <c r="P39" s="21">
        <f ca="1">IF(CALC2223!AZ39&gt;1,INDIRECT(ADDRESS(MATCH(Agenda2526!C40,'CAL3'!A:A,0)+1,3,4,1,"CAL3")),0)</f>
        <v>0</v>
      </c>
      <c r="Q39" s="20" t="str">
        <f ca="1">IF(CALC2223!AZ39&gt;2,INDIRECT(ADDRESS(MATCH(Agenda2526!C40,'CAL3'!A:A,0)+2,2,4,1,"CAL3")),"")</f>
        <v/>
      </c>
      <c r="R39" s="21">
        <f ca="1">IF(CALC2223!AZ39&gt;2,INDIRECT(ADDRESS(MATCH(Agenda2526!C40,'CAL3'!A:A,0)+2,3,4,1,"CAL3")),0)</f>
        <v>0</v>
      </c>
      <c r="S39" s="20" t="str">
        <f ca="1">IF(CALC2223!BA39&gt;0,INDIRECT(ADDRESS(MATCH(Agenda2526!C40,'CAL4'!A:A,0),2,4,1,"CAL4")),"")</f>
        <v>KUBVexcursie</v>
      </c>
      <c r="T39" s="21">
        <f ca="1">IF(CALC2223!BA39&gt;0,INDIRECT(ADDRESS(MATCH(Agenda2526!C40,'CAL4'!A:A,0),3,4,1,"CAL4")),0)</f>
        <v>45896</v>
      </c>
      <c r="U39" s="20" t="str">
        <f ca="1">IF(CALC2223!BA39&gt;1,INDIRECT(ADDRESS(MATCH(Agenda2526!C40,'CAL4'!A:A,0)+1,2,4,1,"CAL4")),"")</f>
        <v/>
      </c>
      <c r="V39" s="21">
        <f ca="1">IF(CALC2223!BA39&gt;1,INDIRECT(ADDRESS(MATCH(Agenda2526!C40,'CAL4'!A:A,0)+1,3,4,1,"CAL4")),0)</f>
        <v>0</v>
      </c>
      <c r="W39" s="20" t="str">
        <f ca="1">IF(CALC2223!BA39&gt;2,INDIRECT(ADDRESS(MATCH(Agenda2526!C40,'CAL4'!A:A,0)+2,2,4,1,"CAL4")),"")</f>
        <v/>
      </c>
      <c r="X39" s="21">
        <f ca="1">IF(CALC2223!BA39&gt;2,INDIRECT(ADDRESS(MATCH(Agenda2526!C40,'CAL4'!A:A,0)+2,3,4,1,"CAL4")),0)</f>
        <v>0</v>
      </c>
      <c r="Y39" s="20" t="str">
        <f ca="1">IF(CALC2223!BB39&gt;0,INDIRECT(ADDRESS(MATCH(Agenda2526!C40,'CAL5'!A:A,0),2,4,1,"CAL5")),"")</f>
        <v>KUBVexcursie/Rep BE</v>
      </c>
      <c r="Z39" s="21">
        <f ca="1">IF(CALC2223!BB39&gt;0,INDIRECT(ADDRESS(MATCH(Agenda2526!C40,'CAL5'!A:A,0),3,4,1,"CAL5")),0)</f>
        <v>45896</v>
      </c>
      <c r="AA39" s="20" t="str">
        <f ca="1">IF(CALC2223!BB39&gt;1,INDIRECT(ADDRESS(MATCH(Agenda2526!C40,'CAL5'!A:A,0)+1,2,4,1,"CAL5")),"")</f>
        <v/>
      </c>
      <c r="AB39" s="21">
        <f ca="1">IF(CALC2223!BB39&gt;1,INDIRECT(ADDRESS(MATCH(Agenda2526!C40,'CAL5'!A:A,0)+1,3,4,1,"CAL5")),0)</f>
        <v>0</v>
      </c>
      <c r="AC39" s="20" t="str">
        <f ca="1">IF(CALC2223!BB39&gt;2,INDIRECT(ADDRESS(MATCH(Agenda2526!C40,'CAL5'!A:A,0)+2,2,4,1,"CAL5")),"")</f>
        <v/>
      </c>
      <c r="AD39" s="21">
        <f ca="1">IF(CALC2223!BB39&gt;2,INDIRECT(ADDRESS(MATCH(Agenda2526!C40,'CAL5'!A:A,0)+2,3,4,1,"CAL5")),0)</f>
        <v>0</v>
      </c>
      <c r="AE39" s="20" t="str">
        <f ca="1">IF(CALC2223!BC39&gt;0,INDIRECT(ADDRESS(MATCH(Agenda2526!C40,'CAL6'!A:A,0),2,4,1,"CAL6")),"")</f>
        <v/>
      </c>
      <c r="AF39" s="21">
        <f ca="1">IF(CALC2223!BC39&gt;0,INDIRECT(ADDRESS(MATCH(Agenda2526!C40,'CAL6'!A:A,0),3,4,1,"CAL6")),0)</f>
        <v>0</v>
      </c>
      <c r="AG39" s="20" t="str">
        <f ca="1">IF(CALC2223!BC39&gt;1,INDIRECT(ADDRESS(MATCH(Agenda2526!C40,'CAL6'!A:A,0)+1,2,4,1,"CAL6")),"")</f>
        <v/>
      </c>
      <c r="AH39" s="21">
        <f ca="1">IF(CALC2223!BC39&gt;1,INDIRECT(ADDRESS(MATCH(Agenda2526!C40,'CAL6'!A:A,0)+1,3,4,1,"CAL6")),0)</f>
        <v>0</v>
      </c>
      <c r="AI39" s="20" t="str">
        <f ca="1">IF(CALC2223!BC39&gt;2,INDIRECT(ADDRESS(MATCH(Agenda2526!C40,'CAL6'!A:A,0)+2,2,4,1,"CAL6")),"")</f>
        <v/>
      </c>
      <c r="AJ39" s="21">
        <f ca="1">IF(CALC2223!BC39&gt;2,INDIRECT(ADDRESS(MATCH(Agenda2526!C40,'CAL6'!A:A,0)+2,3,4,1,"CAL6")),0)</f>
        <v>0</v>
      </c>
      <c r="AK39" s="20" t="str">
        <f ca="1">IF(CALC2223!BD39&gt;0,INDIRECT(ADDRESS(MATCH(Agenda2526!C40,'CAL7'!A:A,0),2,4,1,"CAL7")),"")</f>
        <v/>
      </c>
      <c r="AL39" s="21">
        <f ca="1">IF(CALC2223!BD39&gt;0,INDIRECT(ADDRESS(MATCH(Agenda2526!C40,'CAL7'!A:A,0),3,4,1,"CAL7")),0)</f>
        <v>0</v>
      </c>
      <c r="AM39" s="20" t="str">
        <f ca="1">IF(CALC2223!BD39&gt;1,INDIRECT(ADDRESS(MATCH(Agenda2526!C40,'CAL7'!A:A,0)+1,2,4,1,"CAL7")),"")</f>
        <v/>
      </c>
      <c r="AN39" s="21">
        <f ca="1">IF(CALC2223!BD39&gt;1,INDIRECT(ADDRESS(MATCH(Agenda2526!C40,'CAL7'!A:A,0)+1,3,4,1,"CAL7")),0)</f>
        <v>0</v>
      </c>
      <c r="AO39" s="20" t="str">
        <f ca="1">IF(CALC2223!BD39&gt;2,INDIRECT(ADDRESS(MATCH(Agenda2526!C40,'CAL7'!A:A,0)+2,2,4,1,"CAL7")),"")</f>
        <v/>
      </c>
      <c r="AP39" s="21">
        <f ca="1">IF(CALC2223!BD39&gt;2,INDIRECT(ADDRESS(MATCH(Agenda2526!C40,'CAL7'!A:A,0)+2,3,4,1,"CAL7")),0)</f>
        <v>0</v>
      </c>
      <c r="AQ39" s="20" t="str">
        <f ca="1">IF(CALC2223!BE39&gt;0,INDIRECT(ADDRESS(MATCH(Agenda2526!C40,'CAL8'!A:A,0),2,4,1,"CAL8")),"")</f>
        <v/>
      </c>
      <c r="AR39" s="21">
        <f ca="1">IF(CALC2223!BE39&gt;0,INDIRECT(ADDRESS(MATCH(Agenda2526!C40,'CAL8'!A:A,0),3,4,1,"CAL8")),0)</f>
        <v>0</v>
      </c>
      <c r="AS39" s="20" t="str">
        <f ca="1">IF(CALC2223!BE39&gt;1,INDIRECT(ADDRESS(MATCH(Agenda2526!C40,'CAL8'!A:A,0)+1,2,4,1,"CAL8")),"")</f>
        <v/>
      </c>
      <c r="AT39" s="21">
        <f ca="1">IF(CALC2223!BE39&gt;1,INDIRECT(ADDRESS(MATCH(Agenda2526!C40,'CAL8'!A:A,0)+1,3,4,1,"CAL8")),0)</f>
        <v>0</v>
      </c>
      <c r="AU39" s="20" t="str">
        <f ca="1">IF(CALC2223!BE39&gt;2,INDIRECT(ADDRESS(MATCH(Agenda2526!C40,'CAL8'!A:A,0)+2,2,4,1,"CAL8")),"")</f>
        <v/>
      </c>
      <c r="AV39" s="21">
        <f ca="1">IF(CALC2223!BE39&gt;2,INDIRECT(ADDRESS(MATCH(Agenda2526!C40,'CAL8'!A:A,0)+2,3,4,1,"CAL8")),0)</f>
        <v>0</v>
      </c>
      <c r="AW39" s="105"/>
      <c r="AX39" s="20">
        <f>COUNTIF('CAL1'!A:A,Agenda2526!C40)</f>
        <v>0</v>
      </c>
      <c r="AY39" s="20">
        <f>COUNTIF('CAL2'!A:A,Agenda2526!C40)</f>
        <v>0</v>
      </c>
      <c r="AZ39" s="20">
        <f>COUNTIF('CAL3'!A:A,Agenda2526!C40)</f>
        <v>0</v>
      </c>
      <c r="BA39" s="20">
        <f>COUNTIF('CAL4'!A:A,Agenda2526!C40)</f>
        <v>1</v>
      </c>
      <c r="BB39" s="20">
        <f>COUNTIF('CAL5'!A:A,Agenda2526!C40)</f>
        <v>1</v>
      </c>
      <c r="BC39" s="20">
        <f>COUNTIF('CAL6'!A:A,Agenda2526!C40)</f>
        <v>0</v>
      </c>
      <c r="BD39" s="20">
        <f>COUNTIF('CAL7'!A:A,Agenda2526!C40)</f>
        <v>0</v>
      </c>
      <c r="BE39" s="20">
        <f>COUNTIF('CAL8'!A:A,Agenda2526!C40)</f>
        <v>0</v>
      </c>
    </row>
    <row r="40" spans="1:57" ht="15.75" customHeight="1">
      <c r="A40" s="20" t="str">
        <f ca="1">IF(CALC2223!AX40&gt;0,INDIRECT(ADDRESS(MATCH(Agenda2526!C41,'CAL1'!A:A,0),2,4,1,"CAL1")),"")</f>
        <v/>
      </c>
      <c r="B40" s="21">
        <f ca="1">IF(CALC2223!AX40&gt;0,INDIRECT(ADDRESS(MATCH(Agenda2526!C41,'CAL1'!A:A,0),3,4,1,"CAL1")),0)</f>
        <v>0</v>
      </c>
      <c r="C40" s="20" t="str">
        <f ca="1">IF(CALC2223!AX40&gt;1,INDIRECT(ADDRESS(MATCH(Agenda2526!C41,'CAL1'!A:A,0)+1,2,4,1,"CAL1")),"")</f>
        <v/>
      </c>
      <c r="D40" s="21">
        <f ca="1">IF(CALC2223!AX40&gt;1,INDIRECT(ADDRESS(MATCH(Agenda2526!C41,'CAL1'!A:A,0)+1,3,4,1,"CAL1")),0)</f>
        <v>0</v>
      </c>
      <c r="E40" s="20" t="str">
        <f ca="1">IF(CALC2223!AX40&gt;2,INDIRECT(ADDRESS(MATCH(Agenda2526!C41,'CAL1'!A:A,0)+2,2,4,1,"CAL1")),"")</f>
        <v/>
      </c>
      <c r="F40" s="21">
        <f ca="1">IF(CALC2223!AX40&gt;2,INDIRECT(ADDRESS(MATCH(Agenda2526!C41,'CAL1'!A:A,0)+2,3,4,1,"CAL1")),0)</f>
        <v>0</v>
      </c>
      <c r="G40" s="20" t="str">
        <f ca="1">IF(CALC2223!AY40&gt;0,INDIRECT(ADDRESS(MATCH(Agenda2526!C41,'CAL2'!A:A,0),2,4,1,"CAL2")),"")</f>
        <v/>
      </c>
      <c r="H40" s="21">
        <f ca="1">IF(CALC2223!AY40&gt;0,INDIRECT(ADDRESS(MATCH(Agenda2526!C41,'CAL2'!A:A,0),3,4,1,"CAL2")),0)</f>
        <v>0</v>
      </c>
      <c r="I40" s="20" t="str">
        <f ca="1">IF(CALC2223!AY40&gt;1,INDIRECT(ADDRESS(MATCH(Agenda2526!C41,'CAL2'!A:A,0)+1,2,4,1,"CAL2")),"")</f>
        <v/>
      </c>
      <c r="J40" s="21">
        <f ca="1">IF(CALC2223!AY40&gt;1,INDIRECT(ADDRESS(MATCH(Agenda2526!C41,'CAL2'!A:A,0)+1,3,4,1,"CAL2")),0)</f>
        <v>0</v>
      </c>
      <c r="K40" s="20" t="str">
        <f ca="1">IF(CALC2223!AY40&gt;2,INDIRECT(ADDRESS(MATCH(Agenda2526!C41,'CAL2'!A:A,0)+2,2,4,1,"CAL2")),"")</f>
        <v/>
      </c>
      <c r="L40" s="21">
        <f ca="1">IF(CALC2223!AY40&gt;2,INDIRECT(ADDRESS(MATCH(Agenda2526!C41,'CAL2'!A:A,0)+2,3,4,1,"CAL2")),0)</f>
        <v>0</v>
      </c>
      <c r="M40" s="20" t="str">
        <f ca="1">IF(CALC2223!AZ40&gt;0,INDIRECT(ADDRESS(MATCH(Agenda2526!C41,'CAL3'!A:A,0),2,4,1,"CAL3")),"")</f>
        <v>Rep WIS</v>
      </c>
      <c r="N40" s="21">
        <f ca="1">IF(CALC2223!AZ40&gt;0,INDIRECT(ADDRESS(MATCH(Agenda2526!C41,'CAL3'!A:A,0),3,4,1,"CAL3")),0)</f>
        <v>45903</v>
      </c>
      <c r="O40" s="20" t="str">
        <f ca="1">IF(CALC2223!AZ40&gt;1,INDIRECT(ADDRESS(MATCH(Agenda2526!C41,'CAL3'!A:A,0)+1,2,4,1,"CAL3")),"")</f>
        <v/>
      </c>
      <c r="P40" s="21">
        <f ca="1">IF(CALC2223!AZ40&gt;1,INDIRECT(ADDRESS(MATCH(Agenda2526!C41,'CAL3'!A:A,0)+1,3,4,1,"CAL3")),0)</f>
        <v>0</v>
      </c>
      <c r="Q40" s="20" t="str">
        <f ca="1">IF(CALC2223!AZ40&gt;2,INDIRECT(ADDRESS(MATCH(Agenda2526!C41,'CAL3'!A:A,0)+2,2,4,1,"CAL3")),"")</f>
        <v/>
      </c>
      <c r="R40" s="21">
        <f ca="1">IF(CALC2223!AZ40&gt;2,INDIRECT(ADDRESS(MATCH(Agenda2526!C41,'CAL3'!A:A,0)+2,3,4,1,"CAL3")),0)</f>
        <v>0</v>
      </c>
      <c r="S40" s="20" t="str">
        <f ca="1">IF(CALC2223!BA40&gt;0,INDIRECT(ADDRESS(MATCH(Agenda2526!C41,'CAL4'!A:A,0),2,4,1,"CAL4")),"")</f>
        <v>HPG</v>
      </c>
      <c r="T40" s="21">
        <f ca="1">IF(CALC2223!BA40&gt;0,INDIRECT(ADDRESS(MATCH(Agenda2526!C41,'CAL4'!A:A,0),3,4,1,"CAL4")),0)</f>
        <v>45896</v>
      </c>
      <c r="U40" s="20" t="str">
        <f ca="1">IF(CALC2223!BA40&gt;1,INDIRECT(ADDRESS(MATCH(Agenda2526!C41,'CAL4'!A:A,0)+1,2,4,1,"CAL4")),"")</f>
        <v/>
      </c>
      <c r="V40" s="21">
        <f ca="1">IF(CALC2223!BA40&gt;1,INDIRECT(ADDRESS(MATCH(Agenda2526!C41,'CAL4'!A:A,0)+1,3,4,1,"CAL4")),0)</f>
        <v>0</v>
      </c>
      <c r="W40" s="20" t="str">
        <f ca="1">IF(CALC2223!BA40&gt;2,INDIRECT(ADDRESS(MATCH(Agenda2526!C41,'CAL4'!A:A,0)+2,2,4,1,"CAL4")),"")</f>
        <v/>
      </c>
      <c r="X40" s="21">
        <f ca="1">IF(CALC2223!BA40&gt;2,INDIRECT(ADDRESS(MATCH(Agenda2526!C41,'CAL4'!A:A,0)+2,3,4,1,"CAL4")),0)</f>
        <v>0</v>
      </c>
      <c r="Y40" s="20" t="str">
        <f ca="1">IF(CALC2223!BB40&gt;0,INDIRECT(ADDRESS(MATCH(Agenda2526!C41,'CAL5'!A:A,0),2,4,1,"CAL5")),"")</f>
        <v>HPG</v>
      </c>
      <c r="Z40" s="21">
        <f ca="1">IF(CALC2223!BB40&gt;0,INDIRECT(ADDRESS(MATCH(Agenda2526!C41,'CAL5'!A:A,0),3,4,1,"CAL5")),0)</f>
        <v>45896</v>
      </c>
      <c r="AA40" s="20" t="str">
        <f ca="1">IF(CALC2223!BB40&gt;1,INDIRECT(ADDRESS(MATCH(Agenda2526!C41,'CAL5'!A:A,0)+1,2,4,1,"CAL5")),"")</f>
        <v>excursie ak</v>
      </c>
      <c r="AB40" s="21">
        <f ca="1">IF(CALC2223!BB40&gt;1,INDIRECT(ADDRESS(MATCH(Agenda2526!C41,'CAL5'!A:A,0)+1,3,4,1,"CAL5")),0)</f>
        <v>45915</v>
      </c>
      <c r="AC40" s="20" t="str">
        <f ca="1">IF(CALC2223!BB40&gt;2,INDIRECT(ADDRESS(MATCH(Agenda2526!C41,'CAL5'!A:A,0)+2,2,4,1,"CAL5")),"")</f>
        <v/>
      </c>
      <c r="AD40" s="21">
        <f ca="1">IF(CALC2223!BB40&gt;2,INDIRECT(ADDRESS(MATCH(Agenda2526!C41,'CAL5'!A:A,0)+2,3,4,1,"CAL5")),0)</f>
        <v>0</v>
      </c>
      <c r="AE40" s="20" t="str">
        <f ca="1">IF(CALC2223!BC40&gt;0,INDIRECT(ADDRESS(MATCH(Agenda2526!C41,'CAL6'!A:A,0),2,4,1,"CAL6")),"")</f>
        <v>LO1:4/HPG</v>
      </c>
      <c r="AF40" s="21">
        <f ca="1">IF(CALC2223!BC40&gt;0,INDIRECT(ADDRESS(MATCH(Agenda2526!C41,'CAL6'!A:A,0),3,4,1,"CAL6")),0)</f>
        <v>45896</v>
      </c>
      <c r="AG40" s="20" t="str">
        <f ca="1">IF(CALC2223!BC40&gt;1,INDIRECT(ADDRESS(MATCH(Agenda2526!C41,'CAL6'!A:A,0)+1,2,4,1,"CAL6")),"")</f>
        <v/>
      </c>
      <c r="AH40" s="21">
        <f ca="1">IF(CALC2223!BC40&gt;1,INDIRECT(ADDRESS(MATCH(Agenda2526!C41,'CAL6'!A:A,0)+1,3,4,1,"CAL6")),0)</f>
        <v>0</v>
      </c>
      <c r="AI40" s="20" t="str">
        <f ca="1">IF(CALC2223!BC40&gt;2,INDIRECT(ADDRESS(MATCH(Agenda2526!C41,'CAL6'!A:A,0)+2,2,4,1,"CAL6")),"")</f>
        <v/>
      </c>
      <c r="AJ40" s="21">
        <f ca="1">IF(CALC2223!BC40&gt;2,INDIRECT(ADDRESS(MATCH(Agenda2526!C41,'CAL6'!A:A,0)+2,3,4,1,"CAL6")),0)</f>
        <v>0</v>
      </c>
      <c r="AK40" s="20" t="str">
        <f ca="1">IF(CALC2223!BD40&gt;0,INDIRECT(ADDRESS(MATCH(Agenda2526!C41,'CAL7'!A:A,0),2,4,1,"CAL7")),"")</f>
        <v xml:space="preserve">klasbespreking#1 </v>
      </c>
      <c r="AL40" s="21">
        <f ca="1">IF(CALC2223!BD40&gt;0,INDIRECT(ADDRESS(MATCH(Agenda2526!C41,'CAL7'!A:A,0),3,4,1,"CAL7")),0)</f>
        <v>45896</v>
      </c>
      <c r="AM40" s="20" t="str">
        <f ca="1">IF(CALC2223!BD40&gt;1,INDIRECT(ADDRESS(MATCH(Agenda2526!C41,'CAL7'!A:A,0)+1,2,4,1,"CAL7")),"")</f>
        <v/>
      </c>
      <c r="AN40" s="21">
        <f ca="1">IF(CALC2223!BD40&gt;1,INDIRECT(ADDRESS(MATCH(Agenda2526!C41,'CAL7'!A:A,0)+1,3,4,1,"CAL7")),0)</f>
        <v>0</v>
      </c>
      <c r="AO40" s="20" t="str">
        <f ca="1">IF(CALC2223!BD40&gt;2,INDIRECT(ADDRESS(MATCH(Agenda2526!C41,'CAL7'!A:A,0)+2,2,4,1,"CAL7")),"")</f>
        <v/>
      </c>
      <c r="AP40" s="21">
        <f ca="1">IF(CALC2223!BD40&gt;2,INDIRECT(ADDRESS(MATCH(Agenda2526!C41,'CAL7'!A:A,0)+2,3,4,1,"CAL7")),0)</f>
        <v>0</v>
      </c>
      <c r="AQ40" s="20" t="str">
        <f ca="1">IF(CALC2223!BE40&gt;0,INDIRECT(ADDRESS(MATCH(Agenda2526!C41,'CAL8'!A:A,0),2,4,1,"CAL8")),"")</f>
        <v>ouderavond G2  (19 u) en G5 (20 u)</v>
      </c>
      <c r="AR40" s="21">
        <f ca="1">IF(CALC2223!BE40&gt;0,INDIRECT(ADDRESS(MATCH(Agenda2526!C41,'CAL8'!A:A,0),3,4,1,"CAL8")),0)</f>
        <v>45896</v>
      </c>
      <c r="AS40" s="20" t="str">
        <f ca="1">IF(CALC2223!BE40&gt;1,INDIRECT(ADDRESS(MATCH(Agenda2526!C41,'CAL8'!A:A,0)+1,2,4,1,"CAL8")),"")</f>
        <v>dag van de Duitse taal</v>
      </c>
      <c r="AT40" s="21">
        <f ca="1">IF(CALC2223!BE40&gt;1,INDIRECT(ADDRESS(MATCH(Agenda2526!C41,'CAL8'!A:A,0)+1,3,4,1,"CAL8")),0)</f>
        <v>45937</v>
      </c>
      <c r="AU40" s="20" t="str">
        <f ca="1">IF(CALC2223!BE40&gt;2,INDIRECT(ADDRESS(MATCH(Agenda2526!C41,'CAL8'!A:A,0)+2,2,4,1,"CAL8")),"")</f>
        <v/>
      </c>
      <c r="AV40" s="21">
        <f ca="1">IF(CALC2223!BE40&gt;2,INDIRECT(ADDRESS(MATCH(Agenda2526!C41,'CAL8'!A:A,0)+2,3,4,1,"CAL8")),0)</f>
        <v>0</v>
      </c>
      <c r="AW40" s="105"/>
      <c r="AX40" s="20">
        <f>COUNTIF('CAL1'!A:A,Agenda2526!C41)</f>
        <v>0</v>
      </c>
      <c r="AY40" s="20">
        <f>COUNTIF('CAL2'!A:A,Agenda2526!C41)</f>
        <v>0</v>
      </c>
      <c r="AZ40" s="20">
        <f>COUNTIF('CAL3'!A:A,Agenda2526!C41)</f>
        <v>1</v>
      </c>
      <c r="BA40" s="20">
        <f>COUNTIF('CAL4'!A:A,Agenda2526!C41)</f>
        <v>1</v>
      </c>
      <c r="BB40" s="20">
        <f>COUNTIF('CAL5'!A:A,Agenda2526!C41)</f>
        <v>2</v>
      </c>
      <c r="BC40" s="20">
        <f>COUNTIF('CAL6'!A:A,Agenda2526!C41)</f>
        <v>1</v>
      </c>
      <c r="BD40" s="20">
        <f>COUNTIF('CAL7'!A:A,Agenda2526!C41)</f>
        <v>1</v>
      </c>
      <c r="BE40" s="20">
        <f>COUNTIF('CAL8'!A:A,Agenda2526!C41)</f>
        <v>2</v>
      </c>
    </row>
    <row r="41" spans="1:57" ht="15.75" customHeight="1">
      <c r="A41" s="20" t="str">
        <f ca="1">IF(CALC2223!AX41&gt;0,INDIRECT(ADDRESS(MATCH(Agenda2526!C42,'CAL1'!A:A,0),2,4,1,"CAL1")),"")</f>
        <v/>
      </c>
      <c r="B41" s="21">
        <f ca="1">IF(CALC2223!AX41&gt;0,INDIRECT(ADDRESS(MATCH(Agenda2526!C42,'CAL1'!A:A,0),3,4,1,"CAL1")),0)</f>
        <v>0</v>
      </c>
      <c r="C41" s="20" t="str">
        <f ca="1">IF(CALC2223!AX41&gt;1,INDIRECT(ADDRESS(MATCH(Agenda2526!C42,'CAL1'!A:A,0)+1,2,4,1,"CAL1")),"")</f>
        <v/>
      </c>
      <c r="D41" s="21">
        <f ca="1">IF(CALC2223!AX41&gt;1,INDIRECT(ADDRESS(MATCH(Agenda2526!C42,'CAL1'!A:A,0)+1,3,4,1,"CAL1")),0)</f>
        <v>0</v>
      </c>
      <c r="E41" s="20" t="str">
        <f ca="1">IF(CALC2223!AX41&gt;2,INDIRECT(ADDRESS(MATCH(Agenda2526!C42,'CAL1'!A:A,0)+2,2,4,1,"CAL1")),"")</f>
        <v/>
      </c>
      <c r="F41" s="21">
        <f ca="1">IF(CALC2223!AX41&gt;2,INDIRECT(ADDRESS(MATCH(Agenda2526!C42,'CAL1'!A:A,0)+2,3,4,1,"CAL1")),0)</f>
        <v>0</v>
      </c>
      <c r="G41" s="20" t="str">
        <f ca="1">IF(CALC2223!AY41&gt;0,INDIRECT(ADDRESS(MATCH(Agenda2526!C42,'CAL2'!A:A,0),2,4,1,"CAL2")),"")</f>
        <v>Rep GES</v>
      </c>
      <c r="H41" s="21">
        <f ca="1">IF(CALC2223!AY41&gt;0,INDIRECT(ADDRESS(MATCH(Agenda2526!C42,'CAL2'!A:A,0),3,4,1,"CAL2")),0)</f>
        <v>45903</v>
      </c>
      <c r="I41" s="20" t="str">
        <f ca="1">IF(CALC2223!AY41&gt;1,INDIRECT(ADDRESS(MATCH(Agenda2526!C42,'CAL2'!A:A,0)+1,2,4,1,"CAL2")),"")</f>
        <v/>
      </c>
      <c r="J41" s="21">
        <f ca="1">IF(CALC2223!AY41&gt;1,INDIRECT(ADDRESS(MATCH(Agenda2526!C42,'CAL2'!A:A,0)+1,3,4,1,"CAL2")),0)</f>
        <v>0</v>
      </c>
      <c r="K41" s="20" t="str">
        <f ca="1">IF(CALC2223!AY41&gt;2,INDIRECT(ADDRESS(MATCH(Agenda2526!C42,'CAL2'!A:A,0)+2,2,4,1,"CAL2")),"")</f>
        <v/>
      </c>
      <c r="L41" s="21">
        <f ca="1">IF(CALC2223!AY41&gt;2,INDIRECT(ADDRESS(MATCH(Agenda2526!C42,'CAL2'!A:A,0)+2,3,4,1,"CAL2")),0)</f>
        <v>0</v>
      </c>
      <c r="M41" s="20" t="str">
        <f ca="1">IF(CALC2223!AZ41&gt;0,INDIRECT(ADDRESS(MATCH(Agenda2526!C42,'CAL3'!A:A,0),2,4,1,"CAL3")),"")</f>
        <v/>
      </c>
      <c r="N41" s="21">
        <f ca="1">IF(CALC2223!AZ41&gt;0,INDIRECT(ADDRESS(MATCH(Agenda2526!C42,'CAL3'!A:A,0),3,4,1,"CAL3")),0)</f>
        <v>0</v>
      </c>
      <c r="O41" s="20" t="str">
        <f ca="1">IF(CALC2223!AZ41&gt;1,INDIRECT(ADDRESS(MATCH(Agenda2526!C42,'CAL3'!A:A,0)+1,2,4,1,"CAL3")),"")</f>
        <v/>
      </c>
      <c r="P41" s="21">
        <f ca="1">IF(CALC2223!AZ41&gt;1,INDIRECT(ADDRESS(MATCH(Agenda2526!C42,'CAL3'!A:A,0)+1,3,4,1,"CAL3")),0)</f>
        <v>0</v>
      </c>
      <c r="Q41" s="20" t="str">
        <f ca="1">IF(CALC2223!AZ41&gt;2,INDIRECT(ADDRESS(MATCH(Agenda2526!C42,'CAL3'!A:A,0)+2,2,4,1,"CAL3")),"")</f>
        <v/>
      </c>
      <c r="R41" s="21">
        <f ca="1">IF(CALC2223!AZ41&gt;2,INDIRECT(ADDRESS(MATCH(Agenda2526!C42,'CAL3'!A:A,0)+2,3,4,1,"CAL3")),0)</f>
        <v>0</v>
      </c>
      <c r="S41" s="20" t="str">
        <f ca="1">IF(CALC2223!BA41&gt;0,INDIRECT(ADDRESS(MATCH(Agenda2526!C42,'CAL4'!A:A,0),2,4,1,"CAL4")),"")</f>
        <v>Rep WIABC</v>
      </c>
      <c r="T41" s="21">
        <f ca="1">IF(CALC2223!BA41&gt;0,INDIRECT(ADDRESS(MATCH(Agenda2526!C42,'CAL4'!A:A,0),3,4,1,"CAL4")),0)</f>
        <v>45896</v>
      </c>
      <c r="U41" s="20" t="str">
        <f ca="1">IF(CALC2223!BA41&gt;1,INDIRECT(ADDRESS(MATCH(Agenda2526!C42,'CAL4'!A:A,0)+1,2,4,1,"CAL4")),"")</f>
        <v/>
      </c>
      <c r="V41" s="21">
        <f ca="1">IF(CALC2223!BA41&gt;1,INDIRECT(ADDRESS(MATCH(Agenda2526!C42,'CAL4'!A:A,0)+1,3,4,1,"CAL4")),0)</f>
        <v>0</v>
      </c>
      <c r="W41" s="20" t="str">
        <f ca="1">IF(CALC2223!BA41&gt;2,INDIRECT(ADDRESS(MATCH(Agenda2526!C42,'CAL4'!A:A,0)+2,2,4,1,"CAL4")),"")</f>
        <v/>
      </c>
      <c r="X41" s="21">
        <f ca="1">IF(CALC2223!BA41&gt;2,INDIRECT(ADDRESS(MATCH(Agenda2526!C42,'CAL4'!A:A,0)+2,3,4,1,"CAL4")),0)</f>
        <v>0</v>
      </c>
      <c r="Y41" s="20" t="str">
        <f ca="1">IF(CALC2223!BB41&gt;0,INDIRECT(ADDRESS(MATCH(Agenda2526!C42,'CAL5'!A:A,0),2,4,1,"CAL5")),"")</f>
        <v>excursie Lille (Fa)</v>
      </c>
      <c r="Z41" s="21">
        <f ca="1">IF(CALC2223!BB41&gt;0,INDIRECT(ADDRESS(MATCH(Agenda2526!C42,'CAL5'!A:A,0),3,4,1,"CAL5")),0)</f>
        <v>45902</v>
      </c>
      <c r="AA41" s="20" t="str">
        <f ca="1">IF(CALC2223!BB41&gt;1,INDIRECT(ADDRESS(MATCH(Agenda2526!C42,'CAL5'!A:A,0)+1,2,4,1,"CAL5")),"")</f>
        <v/>
      </c>
      <c r="AB41" s="21">
        <f ca="1">IF(CALC2223!BB41&gt;1,INDIRECT(ADDRESS(MATCH(Agenda2526!C42,'CAL5'!A:A,0)+1,3,4,1,"CAL5")),0)</f>
        <v>0</v>
      </c>
      <c r="AC41" s="20" t="str">
        <f ca="1">IF(CALC2223!BB41&gt;2,INDIRECT(ADDRESS(MATCH(Agenda2526!C42,'CAL5'!A:A,0)+2,2,4,1,"CAL5")),"")</f>
        <v/>
      </c>
      <c r="AD41" s="21">
        <f ca="1">IF(CALC2223!BB41&gt;2,INDIRECT(ADDRESS(MATCH(Agenda2526!C42,'CAL5'!A:A,0)+2,3,4,1,"CAL5")),0)</f>
        <v>0</v>
      </c>
      <c r="AE41" s="20" t="str">
        <f ca="1">IF(CALC2223!BC41&gt;0,INDIRECT(ADDRESS(MATCH(Agenda2526!C42,'CAL6'!A:A,0),2,4,1,"CAL6")),"")</f>
        <v/>
      </c>
      <c r="AF41" s="21">
        <f ca="1">IF(CALC2223!BC41&gt;0,INDIRECT(ADDRESS(MATCH(Agenda2526!C42,'CAL6'!A:A,0),3,4,1,"CAL6")),0)</f>
        <v>0</v>
      </c>
      <c r="AG41" s="20" t="str">
        <f ca="1">IF(CALC2223!BC41&gt;1,INDIRECT(ADDRESS(MATCH(Agenda2526!C42,'CAL6'!A:A,0)+1,2,4,1,"CAL6")),"")</f>
        <v/>
      </c>
      <c r="AH41" s="21">
        <f ca="1">IF(CALC2223!BC41&gt;1,INDIRECT(ADDRESS(MATCH(Agenda2526!C42,'CAL6'!A:A,0)+1,3,4,1,"CAL6")),0)</f>
        <v>0</v>
      </c>
      <c r="AI41" s="20" t="str">
        <f ca="1">IF(CALC2223!BC41&gt;2,INDIRECT(ADDRESS(MATCH(Agenda2526!C42,'CAL6'!A:A,0)+2,2,4,1,"CAL6")),"")</f>
        <v/>
      </c>
      <c r="AJ41" s="21">
        <f ca="1">IF(CALC2223!BC41&gt;2,INDIRECT(ADDRESS(MATCH(Agenda2526!C42,'CAL6'!A:A,0)+2,3,4,1,"CAL6")),0)</f>
        <v>0</v>
      </c>
      <c r="AK41" s="20" t="str">
        <f ca="1">IF(CALC2223!BD41&gt;0,INDIRECT(ADDRESS(MATCH(Agenda2526!C42,'CAL7'!A:A,0),2,4,1,"CAL7")),"")</f>
        <v/>
      </c>
      <c r="AL41" s="21">
        <f ca="1">IF(CALC2223!BD41&gt;0,INDIRECT(ADDRESS(MATCH(Agenda2526!C42,'CAL7'!A:A,0),3,4,1,"CAL7")),0)</f>
        <v>0</v>
      </c>
      <c r="AM41" s="20" t="str">
        <f ca="1">IF(CALC2223!BD41&gt;1,INDIRECT(ADDRESS(MATCH(Agenda2526!C42,'CAL7'!A:A,0)+1,2,4,1,"CAL7")),"")</f>
        <v/>
      </c>
      <c r="AN41" s="21">
        <f ca="1">IF(CALC2223!BD41&gt;1,INDIRECT(ADDRESS(MATCH(Agenda2526!C42,'CAL7'!A:A,0)+1,3,4,1,"CAL7")),0)</f>
        <v>0</v>
      </c>
      <c r="AO41" s="20" t="str">
        <f ca="1">IF(CALC2223!BD41&gt;2,INDIRECT(ADDRESS(MATCH(Agenda2526!C42,'CAL7'!A:A,0)+2,2,4,1,"CAL7")),"")</f>
        <v/>
      </c>
      <c r="AP41" s="21">
        <f ca="1">IF(CALC2223!BD41&gt;2,INDIRECT(ADDRESS(MATCH(Agenda2526!C42,'CAL7'!A:A,0)+2,3,4,1,"CAL7")),0)</f>
        <v>0</v>
      </c>
      <c r="AQ41" s="20" t="str">
        <f ca="1">IF(CALC2223!BE41&gt;0,INDIRECT(ADDRESS(MATCH(Agenda2526!C42,'CAL8'!A:A,0),2,4,1,"CAL8")),"")</f>
        <v/>
      </c>
      <c r="AR41" s="21">
        <f ca="1">IF(CALC2223!BE41&gt;0,INDIRECT(ADDRESS(MATCH(Agenda2526!C42,'CAL8'!A:A,0),3,4,1,"CAL8")),0)</f>
        <v>0</v>
      </c>
      <c r="AS41" s="20" t="str">
        <f ca="1">IF(CALC2223!BE41&gt;1,INDIRECT(ADDRESS(MATCH(Agenda2526!C42,'CAL8'!A:A,0)+1,2,4,1,"CAL8")),"")</f>
        <v/>
      </c>
      <c r="AT41" s="21">
        <f ca="1">IF(CALC2223!BE41&gt;1,INDIRECT(ADDRESS(MATCH(Agenda2526!C42,'CAL8'!A:A,0)+1,3,4,1,"CAL8")),0)</f>
        <v>0</v>
      </c>
      <c r="AU41" s="20" t="str">
        <f ca="1">IF(CALC2223!BE41&gt;2,INDIRECT(ADDRESS(MATCH(Agenda2526!C42,'CAL8'!A:A,0)+2,2,4,1,"CAL8")),"")</f>
        <v/>
      </c>
      <c r="AV41" s="21">
        <f ca="1">IF(CALC2223!BE41&gt;2,INDIRECT(ADDRESS(MATCH(Agenda2526!C42,'CAL8'!A:A,0)+2,3,4,1,"CAL8")),0)</f>
        <v>0</v>
      </c>
      <c r="AW41" s="105"/>
      <c r="AX41" s="20">
        <f>COUNTIF('CAL1'!A:A,Agenda2526!C42)</f>
        <v>0</v>
      </c>
      <c r="AY41" s="20">
        <f>COUNTIF('CAL2'!A:A,Agenda2526!C42)</f>
        <v>1</v>
      </c>
      <c r="AZ41" s="20">
        <f>COUNTIF('CAL3'!A:A,Agenda2526!C42)</f>
        <v>0</v>
      </c>
      <c r="BA41" s="20">
        <f>COUNTIF('CAL4'!A:A,Agenda2526!C42)</f>
        <v>1</v>
      </c>
      <c r="BB41" s="20">
        <f>COUNTIF('CAL5'!A:A,Agenda2526!C42)</f>
        <v>1</v>
      </c>
      <c r="BC41" s="20">
        <f>COUNTIF('CAL6'!A:A,Agenda2526!C42)</f>
        <v>0</v>
      </c>
      <c r="BD41" s="20">
        <f>COUNTIF('CAL7'!A:A,Agenda2526!C42)</f>
        <v>0</v>
      </c>
      <c r="BE41" s="20">
        <f>COUNTIF('CAL8'!A:A,Agenda2526!C42)</f>
        <v>0</v>
      </c>
    </row>
    <row r="42" spans="1:57" ht="15.75" customHeight="1">
      <c r="A42" s="20" t="str">
        <f ca="1">IF(CALC2223!AX42&gt;0,INDIRECT(ADDRESS(MATCH(Agenda2526!C43,'CAL1'!A:A,0),2,4,1,"CAL1")),"")</f>
        <v/>
      </c>
      <c r="B42" s="21">
        <f ca="1">IF(CALC2223!AX42&gt;0,INDIRECT(ADDRESS(MATCH(Agenda2526!C43,'CAL1'!A:A,0),3,4,1,"CAL1")),0)</f>
        <v>0</v>
      </c>
      <c r="C42" s="20" t="str">
        <f ca="1">IF(CALC2223!AX42&gt;1,INDIRECT(ADDRESS(MATCH(Agenda2526!C43,'CAL1'!A:A,0)+1,2,4,1,"CAL1")),"")</f>
        <v/>
      </c>
      <c r="D42" s="21">
        <f ca="1">IF(CALC2223!AX42&gt;1,INDIRECT(ADDRESS(MATCH(Agenda2526!C43,'CAL1'!A:A,0)+1,3,4,1,"CAL1")),0)</f>
        <v>0</v>
      </c>
      <c r="E42" s="20" t="str">
        <f ca="1">IF(CALC2223!AX42&gt;2,INDIRECT(ADDRESS(MATCH(Agenda2526!C43,'CAL1'!A:A,0)+2,2,4,1,"CAL1")),"")</f>
        <v/>
      </c>
      <c r="F42" s="21">
        <f ca="1">IF(CALC2223!AX42&gt;2,INDIRECT(ADDRESS(MATCH(Agenda2526!C43,'CAL1'!A:A,0)+2,3,4,1,"CAL1")),0)</f>
        <v>0</v>
      </c>
      <c r="G42" s="20" t="str">
        <f ca="1">IF(CALC2223!AY42&gt;0,INDIRECT(ADDRESS(MATCH(Agenda2526!C43,'CAL2'!A:A,0),2,4,1,"CAL2")),"")</f>
        <v/>
      </c>
      <c r="H42" s="21">
        <f ca="1">IF(CALC2223!AY42&gt;0,INDIRECT(ADDRESS(MATCH(Agenda2526!C43,'CAL2'!A:A,0),3,4,1,"CAL2")),0)</f>
        <v>0</v>
      </c>
      <c r="I42" s="20" t="str">
        <f ca="1">IF(CALC2223!AY42&gt;1,INDIRECT(ADDRESS(MATCH(Agenda2526!C43,'CAL2'!A:A,0)+1,2,4,1,"CAL2")),"")</f>
        <v/>
      </c>
      <c r="J42" s="21">
        <f ca="1">IF(CALC2223!AY42&gt;1,INDIRECT(ADDRESS(MATCH(Agenda2526!C43,'CAL2'!A:A,0)+1,3,4,1,"CAL2")),0)</f>
        <v>0</v>
      </c>
      <c r="K42" s="20" t="str">
        <f ca="1">IF(CALC2223!AY42&gt;2,INDIRECT(ADDRESS(MATCH(Agenda2526!C43,'CAL2'!A:A,0)+2,2,4,1,"CAL2")),"")</f>
        <v/>
      </c>
      <c r="L42" s="21">
        <f ca="1">IF(CALC2223!AY42&gt;2,INDIRECT(ADDRESS(MATCH(Agenda2526!C43,'CAL2'!A:A,0)+2,3,4,1,"CAL2")),0)</f>
        <v>0</v>
      </c>
      <c r="M42" s="20" t="str">
        <f ca="1">IF(CALC2223!AZ42&gt;0,INDIRECT(ADDRESS(MATCH(Agenda2526!C43,'CAL3'!A:A,0),2,4,1,"CAL3")),"")</f>
        <v/>
      </c>
      <c r="N42" s="21">
        <f ca="1">IF(CALC2223!AZ42&gt;0,INDIRECT(ADDRESS(MATCH(Agenda2526!C43,'CAL3'!A:A,0),3,4,1,"CAL3")),0)</f>
        <v>0</v>
      </c>
      <c r="O42" s="20" t="str">
        <f ca="1">IF(CALC2223!AZ42&gt;1,INDIRECT(ADDRESS(MATCH(Agenda2526!C43,'CAL3'!A:A,0)+1,2,4,1,"CAL3")),"")</f>
        <v/>
      </c>
      <c r="P42" s="21">
        <f ca="1">IF(CALC2223!AZ42&gt;1,INDIRECT(ADDRESS(MATCH(Agenda2526!C43,'CAL3'!A:A,0)+1,3,4,1,"CAL3")),0)</f>
        <v>0</v>
      </c>
      <c r="Q42" s="20" t="str">
        <f ca="1">IF(CALC2223!AZ42&gt;2,INDIRECT(ADDRESS(MATCH(Agenda2526!C43,'CAL3'!A:A,0)+2,2,4,1,"CAL3")),"")</f>
        <v/>
      </c>
      <c r="R42" s="21">
        <f ca="1">IF(CALC2223!AZ42&gt;2,INDIRECT(ADDRESS(MATCH(Agenda2526!C43,'CAL3'!A:A,0)+2,3,4,1,"CAL3")),0)</f>
        <v>0</v>
      </c>
      <c r="S42" s="20" t="str">
        <f ca="1">IF(CALC2223!BA42&gt;0,INDIRECT(ADDRESS(MATCH(Agenda2526!C43,'CAL4'!A:A,0),2,4,1,"CAL4")),"")</f>
        <v/>
      </c>
      <c r="T42" s="21">
        <f ca="1">IF(CALC2223!BA42&gt;0,INDIRECT(ADDRESS(MATCH(Agenda2526!C43,'CAL4'!A:A,0),3,4,1,"CAL4")),0)</f>
        <v>0</v>
      </c>
      <c r="U42" s="20" t="str">
        <f ca="1">IF(CALC2223!BA42&gt;1,INDIRECT(ADDRESS(MATCH(Agenda2526!C43,'CAL4'!A:A,0)+1,2,4,1,"CAL4")),"")</f>
        <v/>
      </c>
      <c r="V42" s="21">
        <f ca="1">IF(CALC2223!BA42&gt;1,INDIRECT(ADDRESS(MATCH(Agenda2526!C43,'CAL4'!A:A,0)+1,3,4,1,"CAL4")),0)</f>
        <v>0</v>
      </c>
      <c r="W42" s="20" t="str">
        <f ca="1">IF(CALC2223!BA42&gt;2,INDIRECT(ADDRESS(MATCH(Agenda2526!C43,'CAL4'!A:A,0)+2,2,4,1,"CAL4")),"")</f>
        <v/>
      </c>
      <c r="X42" s="21">
        <f ca="1">IF(CALC2223!BA42&gt;2,INDIRECT(ADDRESS(MATCH(Agenda2526!C43,'CAL4'!A:A,0)+2,3,4,1,"CAL4")),0)</f>
        <v>0</v>
      </c>
      <c r="Y42" s="20" t="str">
        <f ca="1">IF(CALC2223!BB42&gt;0,INDIRECT(ADDRESS(MATCH(Agenda2526!C43,'CAL5'!A:A,0),2,4,1,"CAL5")),"")</f>
        <v/>
      </c>
      <c r="Z42" s="21">
        <f ca="1">IF(CALC2223!BB42&gt;0,INDIRECT(ADDRESS(MATCH(Agenda2526!C43,'CAL5'!A:A,0),3,4,1,"CAL5")),0)</f>
        <v>0</v>
      </c>
      <c r="AA42" s="20" t="str">
        <f ca="1">IF(CALC2223!BB42&gt;1,INDIRECT(ADDRESS(MATCH(Agenda2526!C43,'CAL5'!A:A,0)+1,2,4,1,"CAL5")),"")</f>
        <v/>
      </c>
      <c r="AB42" s="21">
        <f ca="1">IF(CALC2223!BB42&gt;1,INDIRECT(ADDRESS(MATCH(Agenda2526!C43,'CAL5'!A:A,0)+1,3,4,1,"CAL5")),0)</f>
        <v>0</v>
      </c>
      <c r="AC42" s="20" t="str">
        <f ca="1">IF(CALC2223!BB42&gt;2,INDIRECT(ADDRESS(MATCH(Agenda2526!C43,'CAL5'!A:A,0)+2,2,4,1,"CAL5")),"")</f>
        <v/>
      </c>
      <c r="AD42" s="21">
        <f ca="1">IF(CALC2223!BB42&gt;2,INDIRECT(ADDRESS(MATCH(Agenda2526!C43,'CAL5'!A:A,0)+2,3,4,1,"CAL5")),0)</f>
        <v>0</v>
      </c>
      <c r="AE42" s="20" t="str">
        <f ca="1">IF(CALC2223!BC42&gt;0,INDIRECT(ADDRESS(MATCH(Agenda2526!C43,'CAL6'!A:A,0),2,4,1,"CAL6")),"")</f>
        <v/>
      </c>
      <c r="AF42" s="21">
        <f ca="1">IF(CALC2223!BC42&gt;0,INDIRECT(ADDRESS(MATCH(Agenda2526!C43,'CAL6'!A:A,0),3,4,1,"CAL6")),0)</f>
        <v>0</v>
      </c>
      <c r="AG42" s="20" t="str">
        <f ca="1">IF(CALC2223!BC42&gt;1,INDIRECT(ADDRESS(MATCH(Agenda2526!C43,'CAL6'!A:A,0)+1,2,4,1,"CAL6")),"")</f>
        <v/>
      </c>
      <c r="AH42" s="21">
        <f ca="1">IF(CALC2223!BC42&gt;1,INDIRECT(ADDRESS(MATCH(Agenda2526!C43,'CAL6'!A:A,0)+1,3,4,1,"CAL6")),0)</f>
        <v>0</v>
      </c>
      <c r="AI42" s="20" t="str">
        <f ca="1">IF(CALC2223!BC42&gt;2,INDIRECT(ADDRESS(MATCH(Agenda2526!C43,'CAL6'!A:A,0)+2,2,4,1,"CAL6")),"")</f>
        <v/>
      </c>
      <c r="AJ42" s="21">
        <f ca="1">IF(CALC2223!BC42&gt;2,INDIRECT(ADDRESS(MATCH(Agenda2526!C43,'CAL6'!A:A,0)+2,3,4,1,"CAL6")),0)</f>
        <v>0</v>
      </c>
      <c r="AK42" s="20" t="str">
        <f ca="1">IF(CALC2223!BD42&gt;0,INDIRECT(ADDRESS(MATCH(Agenda2526!C43,'CAL7'!A:A,0),2,4,1,"CAL7")),"")</f>
        <v/>
      </c>
      <c r="AL42" s="21">
        <f ca="1">IF(CALC2223!BD42&gt;0,INDIRECT(ADDRESS(MATCH(Agenda2526!C43,'CAL7'!A:A,0),3,4,1,"CAL7")),0)</f>
        <v>0</v>
      </c>
      <c r="AM42" s="20" t="str">
        <f ca="1">IF(CALC2223!BD42&gt;1,INDIRECT(ADDRESS(MATCH(Agenda2526!C43,'CAL7'!A:A,0)+1,2,4,1,"CAL7")),"")</f>
        <v/>
      </c>
      <c r="AN42" s="21">
        <f ca="1">IF(CALC2223!BD42&gt;1,INDIRECT(ADDRESS(MATCH(Agenda2526!C43,'CAL7'!A:A,0)+1,3,4,1,"CAL7")),0)</f>
        <v>0</v>
      </c>
      <c r="AO42" s="20" t="str">
        <f ca="1">IF(CALC2223!BD42&gt;2,INDIRECT(ADDRESS(MATCH(Agenda2526!C43,'CAL7'!A:A,0)+2,2,4,1,"CAL7")),"")</f>
        <v/>
      </c>
      <c r="AP42" s="21">
        <f ca="1">IF(CALC2223!BD42&gt;2,INDIRECT(ADDRESS(MATCH(Agenda2526!C43,'CAL7'!A:A,0)+2,3,4,1,"CAL7")),0)</f>
        <v>0</v>
      </c>
      <c r="AQ42" s="20" t="str">
        <f ca="1">IF(CALC2223!BE42&gt;0,INDIRECT(ADDRESS(MATCH(Agenda2526!C43,'CAL8'!A:A,0),2,4,1,"CAL8")),"")</f>
        <v/>
      </c>
      <c r="AR42" s="21">
        <f ca="1">IF(CALC2223!BE42&gt;0,INDIRECT(ADDRESS(MATCH(Agenda2526!C43,'CAL8'!A:A,0),3,4,1,"CAL8")),0)</f>
        <v>0</v>
      </c>
      <c r="AS42" s="20" t="str">
        <f ca="1">IF(CALC2223!BE42&gt;1,INDIRECT(ADDRESS(MATCH(Agenda2526!C43,'CAL8'!A:A,0)+1,2,4,1,"CAL8")),"")</f>
        <v/>
      </c>
      <c r="AT42" s="21">
        <f ca="1">IF(CALC2223!BE42&gt;1,INDIRECT(ADDRESS(MATCH(Agenda2526!C43,'CAL8'!A:A,0)+1,3,4,1,"CAL8")),0)</f>
        <v>0</v>
      </c>
      <c r="AU42" s="20" t="str">
        <f ca="1">IF(CALC2223!BE42&gt;2,INDIRECT(ADDRESS(MATCH(Agenda2526!C43,'CAL8'!A:A,0)+2,2,4,1,"CAL8")),"")</f>
        <v/>
      </c>
      <c r="AV42" s="21">
        <f ca="1">IF(CALC2223!BE42&gt;2,INDIRECT(ADDRESS(MATCH(Agenda2526!C43,'CAL8'!A:A,0)+2,3,4,1,"CAL8")),0)</f>
        <v>0</v>
      </c>
      <c r="AW42" s="106"/>
      <c r="AX42" s="20">
        <f>COUNTIF('CAL1'!A:A,Agenda2526!C43)</f>
        <v>0</v>
      </c>
      <c r="AY42" s="20">
        <f>COUNTIF('CAL2'!A:A,Agenda2526!C43)</f>
        <v>0</v>
      </c>
      <c r="AZ42" s="20">
        <f>COUNTIF('CAL3'!A:A,Agenda2526!C43)</f>
        <v>0</v>
      </c>
      <c r="BA42" s="20">
        <f>COUNTIF('CAL4'!A:A,Agenda2526!C43)</f>
        <v>0</v>
      </c>
      <c r="BB42" s="20">
        <f>COUNTIF('CAL5'!A:A,Agenda2526!C43)</f>
        <v>0</v>
      </c>
      <c r="BC42" s="20">
        <f>COUNTIF('CAL6'!A:A,Agenda2526!C43)</f>
        <v>0</v>
      </c>
      <c r="BD42" s="20">
        <f>COUNTIF('CAL7'!A:A,Agenda2526!C43)</f>
        <v>0</v>
      </c>
      <c r="BE42" s="20">
        <f>COUNTIF('CAL8'!A:A,Agenda2526!C43)</f>
        <v>0</v>
      </c>
    </row>
    <row r="43" spans="1:57" ht="15.75" customHeight="1">
      <c r="A43" s="20" t="str">
        <f ca="1">IF(CALC2223!AX43&gt;0,INDIRECT(ADDRESS(MATCH(Agenda2526!C44,'CAL1'!A:A,0),2,4,1,"CAL1")),"")</f>
        <v/>
      </c>
      <c r="B43" s="21">
        <f ca="1">IF(CALC2223!AX43&gt;0,INDIRECT(ADDRESS(MATCH(Agenda2526!C44,'CAL1'!A:A,0),3,4,1,"CAL1")),0)</f>
        <v>0</v>
      </c>
      <c r="C43" s="20" t="str">
        <f ca="1">IF(CALC2223!AX43&gt;1,INDIRECT(ADDRESS(MATCH(Agenda2526!C44,'CAL1'!A:A,0)+1,2,4,1,"CAL1")),"")</f>
        <v/>
      </c>
      <c r="D43" s="21">
        <f ca="1">IF(CALC2223!AX43&gt;1,INDIRECT(ADDRESS(MATCH(Agenda2526!C44,'CAL1'!A:A,0)+1,3,4,1,"CAL1")),0)</f>
        <v>0</v>
      </c>
      <c r="E43" s="20" t="str">
        <f ca="1">IF(CALC2223!AX43&gt;2,INDIRECT(ADDRESS(MATCH(Agenda2526!C44,'CAL1'!A:A,0)+2,2,4,1,"CAL1")),"")</f>
        <v/>
      </c>
      <c r="F43" s="21">
        <f ca="1">IF(CALC2223!AX43&gt;2,INDIRECT(ADDRESS(MATCH(Agenda2526!C44,'CAL1'!A:A,0)+2,3,4,1,"CAL1")),0)</f>
        <v>0</v>
      </c>
      <c r="G43" s="20" t="str">
        <f ca="1">IF(CALC2223!AY43&gt;0,INDIRECT(ADDRESS(MATCH(Agenda2526!C44,'CAL2'!A:A,0),2,4,1,"CAL2")),"")</f>
        <v/>
      </c>
      <c r="H43" s="21">
        <f ca="1">IF(CALC2223!AY43&gt;0,INDIRECT(ADDRESS(MATCH(Agenda2526!C44,'CAL2'!A:A,0),3,4,1,"CAL2")),0)</f>
        <v>0</v>
      </c>
      <c r="I43" s="20" t="str">
        <f ca="1">IF(CALC2223!AY43&gt;1,INDIRECT(ADDRESS(MATCH(Agenda2526!C44,'CAL2'!A:A,0)+1,2,4,1,"CAL2")),"")</f>
        <v/>
      </c>
      <c r="J43" s="21">
        <f ca="1">IF(CALC2223!AY43&gt;1,INDIRECT(ADDRESS(MATCH(Agenda2526!C44,'CAL2'!A:A,0)+1,3,4,1,"CAL2")),0)</f>
        <v>0</v>
      </c>
      <c r="K43" s="20" t="str">
        <f ca="1">IF(CALC2223!AY43&gt;2,INDIRECT(ADDRESS(MATCH(Agenda2526!C44,'CAL2'!A:A,0)+2,2,4,1,"CAL2")),"")</f>
        <v/>
      </c>
      <c r="L43" s="21">
        <f ca="1">IF(CALC2223!AY43&gt;2,INDIRECT(ADDRESS(MATCH(Agenda2526!C44,'CAL2'!A:A,0)+2,3,4,1,"CAL2")),0)</f>
        <v>0</v>
      </c>
      <c r="M43" s="20" t="str">
        <f ca="1">IF(CALC2223!AZ43&gt;0,INDIRECT(ADDRESS(MATCH(Agenda2526!C44,'CAL3'!A:A,0),2,4,1,"CAL3")),"")</f>
        <v/>
      </c>
      <c r="N43" s="21">
        <f ca="1">IF(CALC2223!AZ43&gt;0,INDIRECT(ADDRESS(MATCH(Agenda2526!C44,'CAL3'!A:A,0),3,4,1,"CAL3")),0)</f>
        <v>0</v>
      </c>
      <c r="O43" s="20" t="str">
        <f ca="1">IF(CALC2223!AZ43&gt;1,INDIRECT(ADDRESS(MATCH(Agenda2526!C44,'CAL3'!A:A,0)+1,2,4,1,"CAL3")),"")</f>
        <v/>
      </c>
      <c r="P43" s="21">
        <f ca="1">IF(CALC2223!AZ43&gt;1,INDIRECT(ADDRESS(MATCH(Agenda2526!C44,'CAL3'!A:A,0)+1,3,4,1,"CAL3")),0)</f>
        <v>0</v>
      </c>
      <c r="Q43" s="20" t="str">
        <f ca="1">IF(CALC2223!AZ43&gt;2,INDIRECT(ADDRESS(MATCH(Agenda2526!C44,'CAL3'!A:A,0)+2,2,4,1,"CAL3")),"")</f>
        <v/>
      </c>
      <c r="R43" s="21">
        <f ca="1">IF(CALC2223!AZ43&gt;2,INDIRECT(ADDRESS(MATCH(Agenda2526!C44,'CAL3'!A:A,0)+2,3,4,1,"CAL3")),0)</f>
        <v>0</v>
      </c>
      <c r="S43" s="20" t="str">
        <f ca="1">IF(CALC2223!BA43&gt;0,INDIRECT(ADDRESS(MATCH(Agenda2526!C44,'CAL4'!A:A,0),2,4,1,"CAL4")),"")</f>
        <v/>
      </c>
      <c r="T43" s="21">
        <f ca="1">IF(CALC2223!BA43&gt;0,INDIRECT(ADDRESS(MATCH(Agenda2526!C44,'CAL4'!A:A,0),3,4,1,"CAL4")),0)</f>
        <v>0</v>
      </c>
      <c r="U43" s="20" t="str">
        <f ca="1">IF(CALC2223!BA43&gt;1,INDIRECT(ADDRESS(MATCH(Agenda2526!C44,'CAL4'!A:A,0)+1,2,4,1,"CAL4")),"")</f>
        <v/>
      </c>
      <c r="V43" s="21">
        <f ca="1">IF(CALC2223!BA43&gt;1,INDIRECT(ADDRESS(MATCH(Agenda2526!C44,'CAL4'!A:A,0)+1,3,4,1,"CAL4")),0)</f>
        <v>0</v>
      </c>
      <c r="W43" s="20" t="str">
        <f ca="1">IF(CALC2223!BA43&gt;2,INDIRECT(ADDRESS(MATCH(Agenda2526!C44,'CAL4'!A:A,0)+2,2,4,1,"CAL4")),"")</f>
        <v/>
      </c>
      <c r="X43" s="21">
        <f ca="1">IF(CALC2223!BA43&gt;2,INDIRECT(ADDRESS(MATCH(Agenda2526!C44,'CAL4'!A:A,0)+2,3,4,1,"CAL4")),0)</f>
        <v>0</v>
      </c>
      <c r="Y43" s="20" t="str">
        <f ca="1">IF(CALC2223!BB43&gt;0,INDIRECT(ADDRESS(MATCH(Agenda2526!C44,'CAL5'!A:A,0),2,4,1,"CAL5")),"")</f>
        <v/>
      </c>
      <c r="Z43" s="21">
        <f ca="1">IF(CALC2223!BB43&gt;0,INDIRECT(ADDRESS(MATCH(Agenda2526!C44,'CAL5'!A:A,0),3,4,1,"CAL5")),0)</f>
        <v>0</v>
      </c>
      <c r="AA43" s="20" t="str">
        <f ca="1">IF(CALC2223!BB43&gt;1,INDIRECT(ADDRESS(MATCH(Agenda2526!C44,'CAL5'!A:A,0)+1,2,4,1,"CAL5")),"")</f>
        <v/>
      </c>
      <c r="AB43" s="21">
        <f ca="1">IF(CALC2223!BB43&gt;1,INDIRECT(ADDRESS(MATCH(Agenda2526!C44,'CAL5'!A:A,0)+1,3,4,1,"CAL5")),0)</f>
        <v>0</v>
      </c>
      <c r="AC43" s="20" t="str">
        <f ca="1">IF(CALC2223!BB43&gt;2,INDIRECT(ADDRESS(MATCH(Agenda2526!C44,'CAL5'!A:A,0)+2,2,4,1,"CAL5")),"")</f>
        <v/>
      </c>
      <c r="AD43" s="21">
        <f ca="1">IF(CALC2223!BB43&gt;2,INDIRECT(ADDRESS(MATCH(Agenda2526!C44,'CAL5'!A:A,0)+2,3,4,1,"CAL5")),0)</f>
        <v>0</v>
      </c>
      <c r="AE43" s="20" t="str">
        <f ca="1">IF(CALC2223!BC43&gt;0,INDIRECT(ADDRESS(MATCH(Agenda2526!C44,'CAL6'!A:A,0),2,4,1,"CAL6")),"")</f>
        <v/>
      </c>
      <c r="AF43" s="21">
        <f ca="1">IF(CALC2223!BC43&gt;0,INDIRECT(ADDRESS(MATCH(Agenda2526!C44,'CAL6'!A:A,0),3,4,1,"CAL6")),0)</f>
        <v>0</v>
      </c>
      <c r="AG43" s="20" t="str">
        <f ca="1">IF(CALC2223!BC43&gt;1,INDIRECT(ADDRESS(MATCH(Agenda2526!C44,'CAL6'!A:A,0)+1,2,4,1,"CAL6")),"")</f>
        <v/>
      </c>
      <c r="AH43" s="21">
        <f ca="1">IF(CALC2223!BC43&gt;1,INDIRECT(ADDRESS(MATCH(Agenda2526!C44,'CAL6'!A:A,0)+1,3,4,1,"CAL6")),0)</f>
        <v>0</v>
      </c>
      <c r="AI43" s="20" t="str">
        <f ca="1">IF(CALC2223!BC43&gt;2,INDIRECT(ADDRESS(MATCH(Agenda2526!C44,'CAL6'!A:A,0)+2,2,4,1,"CAL6")),"")</f>
        <v/>
      </c>
      <c r="AJ43" s="21">
        <f ca="1">IF(CALC2223!BC43&gt;2,INDIRECT(ADDRESS(MATCH(Agenda2526!C44,'CAL6'!A:A,0)+2,3,4,1,"CAL6")),0)</f>
        <v>0</v>
      </c>
      <c r="AK43" s="20" t="str">
        <f ca="1">IF(CALC2223!BD43&gt;0,INDIRECT(ADDRESS(MATCH(Agenda2526!C44,'CAL7'!A:A,0),2,4,1,"CAL7")),"")</f>
        <v/>
      </c>
      <c r="AL43" s="21">
        <f ca="1">IF(CALC2223!BD43&gt;0,INDIRECT(ADDRESS(MATCH(Agenda2526!C44,'CAL7'!A:A,0),3,4,1,"CAL7")),0)</f>
        <v>0</v>
      </c>
      <c r="AM43" s="20" t="str">
        <f ca="1">IF(CALC2223!BD43&gt;1,INDIRECT(ADDRESS(MATCH(Agenda2526!C44,'CAL7'!A:A,0)+1,2,4,1,"CAL7")),"")</f>
        <v/>
      </c>
      <c r="AN43" s="21">
        <f ca="1">IF(CALC2223!BD43&gt;1,INDIRECT(ADDRESS(MATCH(Agenda2526!C44,'CAL7'!A:A,0)+1,3,4,1,"CAL7")),0)</f>
        <v>0</v>
      </c>
      <c r="AO43" s="20" t="str">
        <f ca="1">IF(CALC2223!BD43&gt;2,INDIRECT(ADDRESS(MATCH(Agenda2526!C44,'CAL7'!A:A,0)+2,2,4,1,"CAL7")),"")</f>
        <v/>
      </c>
      <c r="AP43" s="21">
        <f ca="1">IF(CALC2223!BD43&gt;2,INDIRECT(ADDRESS(MATCH(Agenda2526!C44,'CAL7'!A:A,0)+2,3,4,1,"CAL7")),0)</f>
        <v>0</v>
      </c>
      <c r="AQ43" s="20" t="str">
        <f ca="1">IF(CALC2223!BE43&gt;0,INDIRECT(ADDRESS(MATCH(Agenda2526!C44,'CAL8'!A:A,0),2,4,1,"CAL8")),"")</f>
        <v/>
      </c>
      <c r="AR43" s="21">
        <f ca="1">IF(CALC2223!BE43&gt;0,INDIRECT(ADDRESS(MATCH(Agenda2526!C44,'CAL8'!A:A,0),3,4,1,"CAL8")),0)</f>
        <v>0</v>
      </c>
      <c r="AS43" s="20" t="str">
        <f ca="1">IF(CALC2223!BE43&gt;1,INDIRECT(ADDRESS(MATCH(Agenda2526!C44,'CAL8'!A:A,0)+1,2,4,1,"CAL8")),"")</f>
        <v/>
      </c>
      <c r="AT43" s="21">
        <f ca="1">IF(CALC2223!BE43&gt;1,INDIRECT(ADDRESS(MATCH(Agenda2526!C44,'CAL8'!A:A,0)+1,3,4,1,"CAL8")),0)</f>
        <v>0</v>
      </c>
      <c r="AU43" s="20" t="str">
        <f ca="1">IF(CALC2223!BE43&gt;2,INDIRECT(ADDRESS(MATCH(Agenda2526!C44,'CAL8'!A:A,0)+2,2,4,1,"CAL8")),"")</f>
        <v/>
      </c>
      <c r="AV43" s="21">
        <f ca="1">IF(CALC2223!BE43&gt;2,INDIRECT(ADDRESS(MATCH(Agenda2526!C44,'CAL8'!A:A,0)+2,3,4,1,"CAL8")),0)</f>
        <v>0</v>
      </c>
      <c r="AW43" s="106"/>
      <c r="AX43" s="20">
        <f>COUNTIF('CAL1'!A:A,Agenda2526!C44)</f>
        <v>0</v>
      </c>
      <c r="AY43" s="20">
        <f>COUNTIF('CAL2'!A:A,Agenda2526!C44)</f>
        <v>0</v>
      </c>
      <c r="AZ43" s="20">
        <f>COUNTIF('CAL3'!A:A,Agenda2526!C44)</f>
        <v>0</v>
      </c>
      <c r="BA43" s="20">
        <f>COUNTIF('CAL4'!A:A,Agenda2526!C44)</f>
        <v>0</v>
      </c>
      <c r="BB43" s="20">
        <f>COUNTIF('CAL5'!A:A,Agenda2526!C44)</f>
        <v>0</v>
      </c>
      <c r="BC43" s="20">
        <f>COUNTIF('CAL6'!A:A,Agenda2526!C44)</f>
        <v>0</v>
      </c>
      <c r="BD43" s="20">
        <f>COUNTIF('CAL7'!A:A,Agenda2526!C44)</f>
        <v>0</v>
      </c>
      <c r="BE43" s="20">
        <f>COUNTIF('CAL8'!A:A,Agenda2526!C44)</f>
        <v>0</v>
      </c>
    </row>
    <row r="44" spans="1:57" ht="15.75" customHeight="1">
      <c r="A44" s="20" t="str">
        <f ca="1">IF(CALC2223!AX44&gt;0,INDIRECT(ADDRESS(MATCH(Agenda2526!C45,'CAL1'!A:A,0),2,4,1,"CAL1")),"")</f>
        <v/>
      </c>
      <c r="B44" s="21">
        <f ca="1">IF(CALC2223!AX44&gt;0,INDIRECT(ADDRESS(MATCH(Agenda2526!C45,'CAL1'!A:A,0),3,4,1,"CAL1")),0)</f>
        <v>0</v>
      </c>
      <c r="C44" s="20" t="str">
        <f ca="1">IF(CALC2223!AX44&gt;1,INDIRECT(ADDRESS(MATCH(Agenda2526!C45,'CAL1'!A:A,0)+1,2,4,1,"CAL1")),"")</f>
        <v/>
      </c>
      <c r="D44" s="21">
        <f ca="1">IF(CALC2223!AX44&gt;1,INDIRECT(ADDRESS(MATCH(Agenda2526!C45,'CAL1'!A:A,0)+1,3,4,1,"CAL1")),0)</f>
        <v>0</v>
      </c>
      <c r="E44" s="20" t="str">
        <f ca="1">IF(CALC2223!AX44&gt;2,INDIRECT(ADDRESS(MATCH(Agenda2526!C45,'CAL1'!A:A,0)+2,2,4,1,"CAL1")),"")</f>
        <v/>
      </c>
      <c r="F44" s="21">
        <f ca="1">IF(CALC2223!AX44&gt;2,INDIRECT(ADDRESS(MATCH(Agenda2526!C45,'CAL1'!A:A,0)+2,3,4,1,"CAL1")),0)</f>
        <v>0</v>
      </c>
      <c r="G44" s="20" t="str">
        <f ca="1">IF(CALC2223!AY44&gt;0,INDIRECT(ADDRESS(MATCH(Agenda2526!C45,'CAL2'!A:A,0),2,4,1,"CAL2")),"")</f>
        <v/>
      </c>
      <c r="H44" s="21">
        <f ca="1">IF(CALC2223!AY44&gt;0,INDIRECT(ADDRESS(MATCH(Agenda2526!C45,'CAL2'!A:A,0),3,4,1,"CAL2")),0)</f>
        <v>0</v>
      </c>
      <c r="I44" s="20" t="str">
        <f ca="1">IF(CALC2223!AY44&gt;1,INDIRECT(ADDRESS(MATCH(Agenda2526!C45,'CAL2'!A:A,0)+1,2,4,1,"CAL2")),"")</f>
        <v/>
      </c>
      <c r="J44" s="21">
        <f ca="1">IF(CALC2223!AY44&gt;1,INDIRECT(ADDRESS(MATCH(Agenda2526!C45,'CAL2'!A:A,0)+1,3,4,1,"CAL2")),0)</f>
        <v>0</v>
      </c>
      <c r="K44" s="20" t="str">
        <f ca="1">IF(CALC2223!AY44&gt;2,INDIRECT(ADDRESS(MATCH(Agenda2526!C45,'CAL2'!A:A,0)+2,2,4,1,"CAL2")),"")</f>
        <v/>
      </c>
      <c r="L44" s="21">
        <f ca="1">IF(CALC2223!AY44&gt;2,INDIRECT(ADDRESS(MATCH(Agenda2526!C45,'CAL2'!A:A,0)+2,3,4,1,"CAL2")),0)</f>
        <v>0</v>
      </c>
      <c r="M44" s="20" t="str">
        <f ca="1">IF(CALC2223!AZ44&gt;0,INDIRECT(ADDRESS(MATCH(Agenda2526!C45,'CAL3'!A:A,0),2,4,1,"CAL3")),"")</f>
        <v/>
      </c>
      <c r="N44" s="21">
        <f ca="1">IF(CALC2223!AZ44&gt;0,INDIRECT(ADDRESS(MATCH(Agenda2526!C45,'CAL3'!A:A,0),3,4,1,"CAL3")),0)</f>
        <v>0</v>
      </c>
      <c r="O44" s="20" t="str">
        <f ca="1">IF(CALC2223!AZ44&gt;1,INDIRECT(ADDRESS(MATCH(Agenda2526!C45,'CAL3'!A:A,0)+1,2,4,1,"CAL3")),"")</f>
        <v/>
      </c>
      <c r="P44" s="21">
        <f ca="1">IF(CALC2223!AZ44&gt;1,INDIRECT(ADDRESS(MATCH(Agenda2526!C45,'CAL3'!A:A,0)+1,3,4,1,"CAL3")),0)</f>
        <v>0</v>
      </c>
      <c r="Q44" s="20" t="str">
        <f ca="1">IF(CALC2223!AZ44&gt;2,INDIRECT(ADDRESS(MATCH(Agenda2526!C45,'CAL3'!A:A,0)+2,2,4,1,"CAL3")),"")</f>
        <v/>
      </c>
      <c r="R44" s="21">
        <f ca="1">IF(CALC2223!AZ44&gt;2,INDIRECT(ADDRESS(MATCH(Agenda2526!C45,'CAL3'!A:A,0)+2,3,4,1,"CAL3")),0)</f>
        <v>0</v>
      </c>
      <c r="S44" s="20" t="str">
        <f ca="1">IF(CALC2223!BA44&gt;0,INDIRECT(ADDRESS(MATCH(Agenda2526!C45,'CAL4'!A:A,0),2,4,1,"CAL4")),"")</f>
        <v/>
      </c>
      <c r="T44" s="21">
        <f ca="1">IF(CALC2223!BA44&gt;0,INDIRECT(ADDRESS(MATCH(Agenda2526!C45,'CAL4'!A:A,0),3,4,1,"CAL4")),0)</f>
        <v>0</v>
      </c>
      <c r="U44" s="20" t="str">
        <f ca="1">IF(CALC2223!BA44&gt;1,INDIRECT(ADDRESS(MATCH(Agenda2526!C45,'CAL4'!A:A,0)+1,2,4,1,"CAL4")),"")</f>
        <v/>
      </c>
      <c r="V44" s="21">
        <f ca="1">IF(CALC2223!BA44&gt;1,INDIRECT(ADDRESS(MATCH(Agenda2526!C45,'CAL4'!A:A,0)+1,3,4,1,"CAL4")),0)</f>
        <v>0</v>
      </c>
      <c r="W44" s="20" t="str">
        <f ca="1">IF(CALC2223!BA44&gt;2,INDIRECT(ADDRESS(MATCH(Agenda2526!C45,'CAL4'!A:A,0)+2,2,4,1,"CAL4")),"")</f>
        <v/>
      </c>
      <c r="X44" s="21">
        <f ca="1">IF(CALC2223!BA44&gt;2,INDIRECT(ADDRESS(MATCH(Agenda2526!C45,'CAL4'!A:A,0)+2,3,4,1,"CAL4")),0)</f>
        <v>0</v>
      </c>
      <c r="Y44" s="20" t="str">
        <f ca="1">IF(CALC2223!BB44&gt;0,INDIRECT(ADDRESS(MATCH(Agenda2526!C45,'CAL5'!A:A,0),2,4,1,"CAL5")),"")</f>
        <v>SE WID</v>
      </c>
      <c r="Z44" s="21">
        <f ca="1">IF(CALC2223!BB44&gt;0,INDIRECT(ADDRESS(MATCH(Agenda2526!C45,'CAL5'!A:A,0),3,4,1,"CAL5")),0)</f>
        <v>45936</v>
      </c>
      <c r="AA44" s="20" t="str">
        <f ca="1">IF(CALC2223!BB44&gt;1,INDIRECT(ADDRESS(MATCH(Agenda2526!C45,'CAL5'!A:A,0)+1,2,4,1,"CAL5")),"")</f>
        <v>inh rep bi</v>
      </c>
      <c r="AB44" s="21">
        <f ca="1">IF(CALC2223!BB44&gt;1,INDIRECT(ADDRESS(MATCH(Agenda2526!C45,'CAL5'!A:A,0)+1,3,4,1,"CAL5")),0)</f>
        <v>45936</v>
      </c>
      <c r="AC44" s="20" t="str">
        <f ca="1">IF(CALC2223!BB44&gt;2,INDIRECT(ADDRESS(MATCH(Agenda2526!C45,'CAL5'!A:A,0)+2,2,4,1,"CAL5")),"")</f>
        <v/>
      </c>
      <c r="AD44" s="21">
        <f ca="1">IF(CALC2223!BB44&gt;2,INDIRECT(ADDRESS(MATCH(Agenda2526!C45,'CAL5'!A:A,0)+2,3,4,1,"CAL5")),0)</f>
        <v>0</v>
      </c>
      <c r="AE44" s="20" t="str">
        <f ca="1">IF(CALC2223!BC44&gt;0,INDIRECT(ADDRESS(MATCH(Agenda2526!C45,'CAL6'!A:A,0),2,4,1,"CAL6")),"")</f>
        <v>SE sk/SE gs</v>
      </c>
      <c r="AF44" s="21">
        <f ca="1">IF(CALC2223!BC44&gt;0,INDIRECT(ADDRESS(MATCH(Agenda2526!C45,'CAL6'!A:A,0),3,4,1,"CAL6")),0)</f>
        <v>45930</v>
      </c>
      <c r="AG44" s="20" t="str">
        <f ca="1">IF(CALC2223!BC44&gt;1,INDIRECT(ADDRESS(MATCH(Agenda2526!C45,'CAL6'!A:A,0)+1,2,4,1,"CAL6")),"")</f>
        <v/>
      </c>
      <c r="AH44" s="21">
        <f ca="1">IF(CALC2223!BC44&gt;1,INDIRECT(ADDRESS(MATCH(Agenda2526!C45,'CAL6'!A:A,0)+1,3,4,1,"CAL6")),0)</f>
        <v>0</v>
      </c>
      <c r="AI44" s="20" t="str">
        <f ca="1">IF(CALC2223!BC44&gt;2,INDIRECT(ADDRESS(MATCH(Agenda2526!C45,'CAL6'!A:A,0)+2,2,4,1,"CAL6")),"")</f>
        <v/>
      </c>
      <c r="AJ44" s="21">
        <f ca="1">IF(CALC2223!BC44&gt;2,INDIRECT(ADDRESS(MATCH(Agenda2526!C45,'CAL6'!A:A,0)+2,3,4,1,"CAL6")),0)</f>
        <v>0</v>
      </c>
      <c r="AK44" s="20" t="str">
        <f ca="1">IF(CALC2223!BD44&gt;0,INDIRECT(ADDRESS(MATCH(Agenda2526!C45,'CAL7'!A:A,0),2,4,1,"CAL7")),"")</f>
        <v/>
      </c>
      <c r="AL44" s="21">
        <f ca="1">IF(CALC2223!BD44&gt;0,INDIRECT(ADDRESS(MATCH(Agenda2526!C45,'CAL7'!A:A,0),3,4,1,"CAL7")),0)</f>
        <v>0</v>
      </c>
      <c r="AM44" s="20" t="str">
        <f ca="1">IF(CALC2223!BD44&gt;1,INDIRECT(ADDRESS(MATCH(Agenda2526!C45,'CAL7'!A:A,0)+1,2,4,1,"CAL7")),"")</f>
        <v/>
      </c>
      <c r="AN44" s="21">
        <f ca="1">IF(CALC2223!BD44&gt;1,INDIRECT(ADDRESS(MATCH(Agenda2526!C45,'CAL7'!A:A,0)+1,3,4,1,"CAL7")),0)</f>
        <v>0</v>
      </c>
      <c r="AO44" s="20" t="str">
        <f ca="1">IF(CALC2223!BD44&gt;2,INDIRECT(ADDRESS(MATCH(Agenda2526!C45,'CAL7'!A:A,0)+2,2,4,1,"CAL7")),"")</f>
        <v/>
      </c>
      <c r="AP44" s="21">
        <f ca="1">IF(CALC2223!BD44&gt;2,INDIRECT(ADDRESS(MATCH(Agenda2526!C45,'CAL7'!A:A,0)+2,3,4,1,"CAL7")),0)</f>
        <v>0</v>
      </c>
      <c r="AQ44" s="20" t="str">
        <f ca="1">IF(CALC2223!BE44&gt;0,INDIRECT(ADDRESS(MATCH(Agenda2526!C45,'CAL8'!A:A,0),2,4,1,"CAL8")),"")</f>
        <v/>
      </c>
      <c r="AR44" s="21">
        <f ca="1">IF(CALC2223!BE44&gt;0,INDIRECT(ADDRESS(MATCH(Agenda2526!C45,'CAL8'!A:A,0),3,4,1,"CAL8")),0)</f>
        <v>0</v>
      </c>
      <c r="AS44" s="20" t="str">
        <f ca="1">IF(CALC2223!BE44&gt;1,INDIRECT(ADDRESS(MATCH(Agenda2526!C45,'CAL8'!A:A,0)+1,2,4,1,"CAL8")),"")</f>
        <v/>
      </c>
      <c r="AT44" s="21">
        <f ca="1">IF(CALC2223!BE44&gt;1,INDIRECT(ADDRESS(MATCH(Agenda2526!C45,'CAL8'!A:A,0)+1,3,4,1,"CAL8")),0)</f>
        <v>0</v>
      </c>
      <c r="AU44" s="20" t="str">
        <f ca="1">IF(CALC2223!BE44&gt;2,INDIRECT(ADDRESS(MATCH(Agenda2526!C45,'CAL8'!A:A,0)+2,2,4,1,"CAL8")),"")</f>
        <v/>
      </c>
      <c r="AV44" s="21">
        <f ca="1">IF(CALC2223!BE44&gt;2,INDIRECT(ADDRESS(MATCH(Agenda2526!C45,'CAL8'!A:A,0)+2,3,4,1,"CAL8")),0)</f>
        <v>0</v>
      </c>
      <c r="AW44" s="105"/>
      <c r="AX44" s="20">
        <f>COUNTIF('CAL1'!A:A,Agenda2526!C45)</f>
        <v>0</v>
      </c>
      <c r="AY44" s="20">
        <f>COUNTIF('CAL2'!A:A,Agenda2526!C45)</f>
        <v>0</v>
      </c>
      <c r="AZ44" s="20">
        <f>COUNTIF('CAL3'!A:A,Agenda2526!C45)</f>
        <v>0</v>
      </c>
      <c r="BA44" s="20">
        <f>COUNTIF('CAL4'!A:A,Agenda2526!C45)</f>
        <v>0</v>
      </c>
      <c r="BB44" s="20">
        <f>COUNTIF('CAL5'!A:A,Agenda2526!C45)</f>
        <v>2</v>
      </c>
      <c r="BC44" s="20">
        <f>COUNTIF('CAL6'!A:A,Agenda2526!C45)</f>
        <v>1</v>
      </c>
      <c r="BD44" s="20">
        <f>COUNTIF('CAL7'!A:A,Agenda2526!C45)</f>
        <v>0</v>
      </c>
      <c r="BE44" s="20">
        <f>COUNTIF('CAL8'!A:A,Agenda2526!C45)</f>
        <v>0</v>
      </c>
    </row>
    <row r="45" spans="1:57" ht="15.75" customHeight="1">
      <c r="A45" s="20" t="str">
        <f ca="1">IF(CALC2223!AX45&gt;0,INDIRECT(ADDRESS(MATCH(Agenda2526!C46,'CAL1'!A:A,0),2,4,1,"CAL1")),"")</f>
        <v/>
      </c>
      <c r="B45" s="21">
        <f ca="1">IF(CALC2223!AX45&gt;0,INDIRECT(ADDRESS(MATCH(Agenda2526!C46,'CAL1'!A:A,0),3,4,1,"CAL1")),0)</f>
        <v>0</v>
      </c>
      <c r="C45" s="20" t="str">
        <f ca="1">IF(CALC2223!AX45&gt;1,INDIRECT(ADDRESS(MATCH(Agenda2526!C46,'CAL1'!A:A,0)+1,2,4,1,"CAL1")),"")</f>
        <v/>
      </c>
      <c r="D45" s="21">
        <f ca="1">IF(CALC2223!AX45&gt;1,INDIRECT(ADDRESS(MATCH(Agenda2526!C46,'CAL1'!A:A,0)+1,3,4,1,"CAL1")),0)</f>
        <v>0</v>
      </c>
      <c r="E45" s="20" t="str">
        <f ca="1">IF(CALC2223!AX45&gt;2,INDIRECT(ADDRESS(MATCH(Agenda2526!C46,'CAL1'!A:A,0)+2,2,4,1,"CAL1")),"")</f>
        <v/>
      </c>
      <c r="F45" s="21">
        <f ca="1">IF(CALC2223!AX45&gt;2,INDIRECT(ADDRESS(MATCH(Agenda2526!C46,'CAL1'!A:A,0)+2,3,4,1,"CAL1")),0)</f>
        <v>0</v>
      </c>
      <c r="G45" s="20" t="str">
        <f ca="1">IF(CALC2223!AY45&gt;0,INDIRECT(ADDRESS(MATCH(Agenda2526!C46,'CAL2'!A:A,0),2,4,1,"CAL2")),"")</f>
        <v/>
      </c>
      <c r="H45" s="21">
        <f ca="1">IF(CALC2223!AY45&gt;0,INDIRECT(ADDRESS(MATCH(Agenda2526!C46,'CAL2'!A:A,0),3,4,1,"CAL2")),0)</f>
        <v>0</v>
      </c>
      <c r="I45" s="20" t="str">
        <f ca="1">IF(CALC2223!AY45&gt;1,INDIRECT(ADDRESS(MATCH(Agenda2526!C46,'CAL2'!A:A,0)+1,2,4,1,"CAL2")),"")</f>
        <v/>
      </c>
      <c r="J45" s="21">
        <f ca="1">IF(CALC2223!AY45&gt;1,INDIRECT(ADDRESS(MATCH(Agenda2526!C46,'CAL2'!A:A,0)+1,3,4,1,"CAL2")),0)</f>
        <v>0</v>
      </c>
      <c r="K45" s="20" t="str">
        <f ca="1">IF(CALC2223!AY45&gt;2,INDIRECT(ADDRESS(MATCH(Agenda2526!C46,'CAL2'!A:A,0)+2,2,4,1,"CAL2")),"")</f>
        <v/>
      </c>
      <c r="L45" s="21">
        <f ca="1">IF(CALC2223!AY45&gt;2,INDIRECT(ADDRESS(MATCH(Agenda2526!C46,'CAL2'!A:A,0)+2,3,4,1,"CAL2")),0)</f>
        <v>0</v>
      </c>
      <c r="M45" s="20" t="str">
        <f ca="1">IF(CALC2223!AZ45&gt;0,INDIRECT(ADDRESS(MATCH(Agenda2526!C46,'CAL3'!A:A,0),2,4,1,"CAL3")),"")</f>
        <v/>
      </c>
      <c r="N45" s="21">
        <f ca="1">IF(CALC2223!AZ45&gt;0,INDIRECT(ADDRESS(MATCH(Agenda2526!C46,'CAL3'!A:A,0),3,4,1,"CAL3")),0)</f>
        <v>0</v>
      </c>
      <c r="O45" s="20" t="str">
        <f ca="1">IF(CALC2223!AZ45&gt;1,INDIRECT(ADDRESS(MATCH(Agenda2526!C46,'CAL3'!A:A,0)+1,2,4,1,"CAL3")),"")</f>
        <v/>
      </c>
      <c r="P45" s="21">
        <f ca="1">IF(CALC2223!AZ45&gt;1,INDIRECT(ADDRESS(MATCH(Agenda2526!C46,'CAL3'!A:A,0)+1,3,4,1,"CAL3")),0)</f>
        <v>0</v>
      </c>
      <c r="Q45" s="20" t="str">
        <f ca="1">IF(CALC2223!AZ45&gt;2,INDIRECT(ADDRESS(MATCH(Agenda2526!C46,'CAL3'!A:A,0)+2,2,4,1,"CAL3")),"")</f>
        <v/>
      </c>
      <c r="R45" s="21">
        <f ca="1">IF(CALC2223!AZ45&gt;2,INDIRECT(ADDRESS(MATCH(Agenda2526!C46,'CAL3'!A:A,0)+2,3,4,1,"CAL3")),0)</f>
        <v>0</v>
      </c>
      <c r="S45" s="20" t="str">
        <f ca="1">IF(CALC2223!BA45&gt;0,INDIRECT(ADDRESS(MATCH(Agenda2526!C46,'CAL4'!A:A,0),2,4,1,"CAL4")),"")</f>
        <v>Rep EC</v>
      </c>
      <c r="T45" s="21">
        <f ca="1">IF(CALC2223!BA45&gt;0,INDIRECT(ADDRESS(MATCH(Agenda2526!C46,'CAL4'!A:A,0),3,4,1,"CAL4")),0)</f>
        <v>45896</v>
      </c>
      <c r="U45" s="20" t="str">
        <f ca="1">IF(CALC2223!BA45&gt;1,INDIRECT(ADDRESS(MATCH(Agenda2526!C46,'CAL4'!A:A,0)+1,2,4,1,"CAL4")),"")</f>
        <v/>
      </c>
      <c r="V45" s="21">
        <f ca="1">IF(CALC2223!BA45&gt;1,INDIRECT(ADDRESS(MATCH(Agenda2526!C46,'CAL4'!A:A,0)+1,3,4,1,"CAL4")),0)</f>
        <v>0</v>
      </c>
      <c r="W45" s="20" t="str">
        <f ca="1">IF(CALC2223!BA45&gt;2,INDIRECT(ADDRESS(MATCH(Agenda2526!C46,'CAL4'!A:A,0)+2,2,4,1,"CAL4")),"")</f>
        <v/>
      </c>
      <c r="X45" s="21">
        <f ca="1">IF(CALC2223!BA45&gt;2,INDIRECT(ADDRESS(MATCH(Agenda2526!C46,'CAL4'!A:A,0)+2,3,4,1,"CAL4")),0)</f>
        <v>0</v>
      </c>
      <c r="Y45" s="20" t="str">
        <f ca="1">IF(CALC2223!BB45&gt;0,INDIRECT(ADDRESS(MATCH(Agenda2526!C46,'CAL5'!A:A,0),2,4,1,"CAL5")),"")</f>
        <v/>
      </c>
      <c r="Z45" s="21">
        <f ca="1">IF(CALC2223!BB45&gt;0,INDIRECT(ADDRESS(MATCH(Agenda2526!C46,'CAL5'!A:A,0),3,4,1,"CAL5")),0)</f>
        <v>0</v>
      </c>
      <c r="AA45" s="20" t="str">
        <f ca="1">IF(CALC2223!BB45&gt;1,INDIRECT(ADDRESS(MATCH(Agenda2526!C46,'CAL5'!A:A,0)+1,2,4,1,"CAL5")),"")</f>
        <v/>
      </c>
      <c r="AB45" s="21">
        <f ca="1">IF(CALC2223!BB45&gt;1,INDIRECT(ADDRESS(MATCH(Agenda2526!C46,'CAL5'!A:A,0)+1,3,4,1,"CAL5")),0)</f>
        <v>0</v>
      </c>
      <c r="AC45" s="20" t="str">
        <f ca="1">IF(CALC2223!BB45&gt;2,INDIRECT(ADDRESS(MATCH(Agenda2526!C46,'CAL5'!A:A,0)+2,2,4,1,"CAL5")),"")</f>
        <v/>
      </c>
      <c r="AD45" s="21">
        <f ca="1">IF(CALC2223!BB45&gt;2,INDIRECT(ADDRESS(MATCH(Agenda2526!C46,'CAL5'!A:A,0)+2,3,4,1,"CAL5")),0)</f>
        <v>0</v>
      </c>
      <c r="AE45" s="20" t="str">
        <f ca="1">IF(CALC2223!BC45&gt;0,INDIRECT(ADDRESS(MATCH(Agenda2526!C46,'CAL6'!A:A,0),2,4,1,"CAL6")),"")</f>
        <v>SE ak/SE wiD</v>
      </c>
      <c r="AF45" s="21">
        <f ca="1">IF(CALC2223!BC45&gt;0,INDIRECT(ADDRESS(MATCH(Agenda2526!C46,'CAL6'!A:A,0),3,4,1,"CAL6")),0)</f>
        <v>45930</v>
      </c>
      <c r="AG45" s="20" t="str">
        <f ca="1">IF(CALC2223!BC45&gt;1,INDIRECT(ADDRESS(MATCH(Agenda2526!C46,'CAL6'!A:A,0)+1,2,4,1,"CAL6")),"")</f>
        <v/>
      </c>
      <c r="AH45" s="21">
        <f ca="1">IF(CALC2223!BC45&gt;1,INDIRECT(ADDRESS(MATCH(Agenda2526!C46,'CAL6'!A:A,0)+1,3,4,1,"CAL6")),0)</f>
        <v>0</v>
      </c>
      <c r="AI45" s="20" t="str">
        <f ca="1">IF(CALC2223!BC45&gt;2,INDIRECT(ADDRESS(MATCH(Agenda2526!C46,'CAL6'!A:A,0)+2,2,4,1,"CAL6")),"")</f>
        <v/>
      </c>
      <c r="AJ45" s="21">
        <f ca="1">IF(CALC2223!BC45&gt;2,INDIRECT(ADDRESS(MATCH(Agenda2526!C46,'CAL6'!A:A,0)+2,3,4,1,"CAL6")),0)</f>
        <v>0</v>
      </c>
      <c r="AK45" s="20" t="str">
        <f ca="1">IF(CALC2223!BD45&gt;0,INDIRECT(ADDRESS(MATCH(Agenda2526!C46,'CAL7'!A:A,0),2,4,1,"CAL7")),"")</f>
        <v>animus ouderavond</v>
      </c>
      <c r="AL45" s="21">
        <f ca="1">IF(CALC2223!BD45&gt;0,INDIRECT(ADDRESS(MATCH(Agenda2526!C46,'CAL7'!A:A,0),3,4,1,"CAL7")),0)</f>
        <v>45915</v>
      </c>
      <c r="AM45" s="20" t="str">
        <f ca="1">IF(CALC2223!BD45&gt;1,INDIRECT(ADDRESS(MATCH(Agenda2526!C46,'CAL7'!A:A,0)+1,2,4,1,"CAL7")),"")</f>
        <v/>
      </c>
      <c r="AN45" s="21">
        <f ca="1">IF(CALC2223!BD45&gt;1,INDIRECT(ADDRESS(MATCH(Agenda2526!C46,'CAL7'!A:A,0)+1,3,4,1,"CAL7")),0)</f>
        <v>0</v>
      </c>
      <c r="AO45" s="20" t="str">
        <f ca="1">IF(CALC2223!BD45&gt;2,INDIRECT(ADDRESS(MATCH(Agenda2526!C46,'CAL7'!A:A,0)+2,2,4,1,"CAL7")),"")</f>
        <v/>
      </c>
      <c r="AP45" s="21">
        <f ca="1">IF(CALC2223!BD45&gt;2,INDIRECT(ADDRESS(MATCH(Agenda2526!C46,'CAL7'!A:A,0)+2,3,4,1,"CAL7")),0)</f>
        <v>0</v>
      </c>
      <c r="AQ45" s="20" t="str">
        <f ca="1">IF(CALC2223!BE45&gt;0,INDIRECT(ADDRESS(MATCH(Agenda2526!C46,'CAL8'!A:A,0),2,4,1,"CAL8")),"")</f>
        <v/>
      </c>
      <c r="AR45" s="21">
        <f ca="1">IF(CALC2223!BE45&gt;0,INDIRECT(ADDRESS(MATCH(Agenda2526!C46,'CAL8'!A:A,0),3,4,1,"CAL8")),0)</f>
        <v>0</v>
      </c>
      <c r="AS45" s="20" t="str">
        <f ca="1">IF(CALC2223!BE45&gt;1,INDIRECT(ADDRESS(MATCH(Agenda2526!C46,'CAL8'!A:A,0)+1,2,4,1,"CAL8")),"")</f>
        <v/>
      </c>
      <c r="AT45" s="21">
        <f ca="1">IF(CALC2223!BE45&gt;1,INDIRECT(ADDRESS(MATCH(Agenda2526!C46,'CAL8'!A:A,0)+1,3,4,1,"CAL8")),0)</f>
        <v>0</v>
      </c>
      <c r="AU45" s="20" t="str">
        <f ca="1">IF(CALC2223!BE45&gt;2,INDIRECT(ADDRESS(MATCH(Agenda2526!C46,'CAL8'!A:A,0)+2,2,4,1,"CAL8")),"")</f>
        <v/>
      </c>
      <c r="AV45" s="21">
        <f ca="1">IF(CALC2223!BE45&gt;2,INDIRECT(ADDRESS(MATCH(Agenda2526!C46,'CAL8'!A:A,0)+2,3,4,1,"CAL8")),0)</f>
        <v>0</v>
      </c>
      <c r="AW45" s="105"/>
      <c r="AX45" s="20">
        <f>COUNTIF('CAL1'!A:A,Agenda2526!C46)</f>
        <v>0</v>
      </c>
      <c r="AY45" s="20">
        <f>COUNTIF('CAL2'!A:A,Agenda2526!C46)</f>
        <v>0</v>
      </c>
      <c r="AZ45" s="20">
        <f>COUNTIF('CAL3'!A:A,Agenda2526!C46)</f>
        <v>0</v>
      </c>
      <c r="BA45" s="20">
        <f>COUNTIF('CAL4'!A:A,Agenda2526!C46)</f>
        <v>1</v>
      </c>
      <c r="BB45" s="20">
        <f>COUNTIF('CAL5'!A:A,Agenda2526!C46)</f>
        <v>0</v>
      </c>
      <c r="BC45" s="20">
        <f>COUNTIF('CAL6'!A:A,Agenda2526!C46)</f>
        <v>1</v>
      </c>
      <c r="BD45" s="20">
        <f>COUNTIF('CAL7'!A:A,Agenda2526!C46)</f>
        <v>1</v>
      </c>
      <c r="BE45" s="20">
        <f>COUNTIF('CAL8'!A:A,Agenda2526!C46)</f>
        <v>0</v>
      </c>
    </row>
    <row r="46" spans="1:57" ht="15.75" customHeight="1">
      <c r="A46" s="20" t="str">
        <f ca="1">IF(CALC2223!AX46&gt;0,INDIRECT(ADDRESS(MATCH(Agenda2526!C47,'CAL1'!A:A,0),2,4,1,"CAL1")),"")</f>
        <v>Rep BIO</v>
      </c>
      <c r="B46" s="21">
        <f ca="1">IF(CALC2223!AX46&gt;0,INDIRECT(ADDRESS(MATCH(Agenda2526!C47,'CAL1'!A:A,0),3,4,1,"CAL1")),0)</f>
        <v>45901</v>
      </c>
      <c r="C46" s="20" t="str">
        <f ca="1">IF(CALC2223!AX46&gt;1,INDIRECT(ADDRESS(MATCH(Agenda2526!C47,'CAL1'!A:A,0)+1,2,4,1,"CAL1")),"")</f>
        <v/>
      </c>
      <c r="D46" s="21">
        <f ca="1">IF(CALC2223!AX46&gt;1,INDIRECT(ADDRESS(MATCH(Agenda2526!C47,'CAL1'!A:A,0)+1,3,4,1,"CAL1")),0)</f>
        <v>0</v>
      </c>
      <c r="E46" s="20" t="str">
        <f ca="1">IF(CALC2223!AX46&gt;2,INDIRECT(ADDRESS(MATCH(Agenda2526!C47,'CAL1'!A:A,0)+2,2,4,1,"CAL1")),"")</f>
        <v/>
      </c>
      <c r="F46" s="21">
        <f ca="1">IF(CALC2223!AX46&gt;2,INDIRECT(ADDRESS(MATCH(Agenda2526!C47,'CAL1'!A:A,0)+2,3,4,1,"CAL1")),0)</f>
        <v>0</v>
      </c>
      <c r="G46" s="20" t="str">
        <f ca="1">IF(CALC2223!AY46&gt;0,INDIRECT(ADDRESS(MATCH(Agenda2526!C47,'CAL2'!A:A,0),2,4,1,"CAL2")),"")</f>
        <v/>
      </c>
      <c r="H46" s="21">
        <f ca="1">IF(CALC2223!AY46&gt;0,INDIRECT(ADDRESS(MATCH(Agenda2526!C47,'CAL2'!A:A,0),3,4,1,"CAL2")),0)</f>
        <v>0</v>
      </c>
      <c r="I46" s="20" t="str">
        <f ca="1">IF(CALC2223!AY46&gt;1,INDIRECT(ADDRESS(MATCH(Agenda2526!C47,'CAL2'!A:A,0)+1,2,4,1,"CAL2")),"")</f>
        <v/>
      </c>
      <c r="J46" s="21">
        <f ca="1">IF(CALC2223!AY46&gt;1,INDIRECT(ADDRESS(MATCH(Agenda2526!C47,'CAL2'!A:A,0)+1,3,4,1,"CAL2")),0)</f>
        <v>0</v>
      </c>
      <c r="K46" s="20" t="str">
        <f ca="1">IF(CALC2223!AY46&gt;2,INDIRECT(ADDRESS(MATCH(Agenda2526!C47,'CAL2'!A:A,0)+2,2,4,1,"CAL2")),"")</f>
        <v/>
      </c>
      <c r="L46" s="21">
        <f ca="1">IF(CALC2223!AY46&gt;2,INDIRECT(ADDRESS(MATCH(Agenda2526!C47,'CAL2'!A:A,0)+2,3,4,1,"CAL2")),0)</f>
        <v>0</v>
      </c>
      <c r="M46" s="20" t="str">
        <f ca="1">IF(CALC2223!AZ46&gt;0,INDIRECT(ADDRESS(MATCH(Agenda2526!C47,'CAL3'!A:A,0),2,4,1,"CAL3")),"")</f>
        <v/>
      </c>
      <c r="N46" s="21">
        <f ca="1">IF(CALC2223!AZ46&gt;0,INDIRECT(ADDRESS(MATCH(Agenda2526!C47,'CAL3'!A:A,0),3,4,1,"CAL3")),0)</f>
        <v>0</v>
      </c>
      <c r="O46" s="20" t="str">
        <f ca="1">IF(CALC2223!AZ46&gt;1,INDIRECT(ADDRESS(MATCH(Agenda2526!C47,'CAL3'!A:A,0)+1,2,4,1,"CAL3")),"")</f>
        <v/>
      </c>
      <c r="P46" s="21">
        <f ca="1">IF(CALC2223!AZ46&gt;1,INDIRECT(ADDRESS(MATCH(Agenda2526!C47,'CAL3'!A:A,0)+1,3,4,1,"CAL3")),0)</f>
        <v>0</v>
      </c>
      <c r="Q46" s="20" t="str">
        <f ca="1">IF(CALC2223!AZ46&gt;2,INDIRECT(ADDRESS(MATCH(Agenda2526!C47,'CAL3'!A:A,0)+2,2,4,1,"CAL3")),"")</f>
        <v/>
      </c>
      <c r="R46" s="21">
        <f ca="1">IF(CALC2223!AZ46&gt;2,INDIRECT(ADDRESS(MATCH(Agenda2526!C47,'CAL3'!A:A,0)+2,3,4,1,"CAL3")),0)</f>
        <v>0</v>
      </c>
      <c r="S46" s="20" t="str">
        <f ca="1">IF(CALC2223!BA46&gt;0,INDIRECT(ADDRESS(MATCH(Agenda2526!C47,'CAL4'!A:A,0),2,4,1,"CAL4")),"")</f>
        <v>Bezoek voorstelling Confrontaties in stadsschouwburh</v>
      </c>
      <c r="T46" s="21">
        <f ca="1">IF(CALC2223!BA46&gt;0,INDIRECT(ADDRESS(MATCH(Agenda2526!C47,'CAL4'!A:A,0),3,4,1,"CAL4")),0)</f>
        <v>45943</v>
      </c>
      <c r="U46" s="20" t="str">
        <f ca="1">IF(CALC2223!BA46&gt;1,INDIRECT(ADDRESS(MATCH(Agenda2526!C47,'CAL4'!A:A,0)+1,2,4,1,"CAL4")),"")</f>
        <v/>
      </c>
      <c r="V46" s="21">
        <f ca="1">IF(CALC2223!BA46&gt;1,INDIRECT(ADDRESS(MATCH(Agenda2526!C47,'CAL4'!A:A,0)+1,3,4,1,"CAL4")),0)</f>
        <v>0</v>
      </c>
      <c r="W46" s="20" t="str">
        <f ca="1">IF(CALC2223!BA46&gt;2,INDIRECT(ADDRESS(MATCH(Agenda2526!C47,'CAL4'!A:A,0)+2,2,4,1,"CAL4")),"")</f>
        <v/>
      </c>
      <c r="X46" s="21">
        <f ca="1">IF(CALC2223!BA46&gt;2,INDIRECT(ADDRESS(MATCH(Agenda2526!C47,'CAL4'!A:A,0)+2,3,4,1,"CAL4")),0)</f>
        <v>0</v>
      </c>
      <c r="Y46" s="20" t="str">
        <f ca="1">IF(CALC2223!BB46&gt;0,INDIRECT(ADDRESS(MATCH(Agenda2526!C47,'CAL5'!A:A,0),2,4,1,"CAL5")),"")</f>
        <v>Rep GR/LA</v>
      </c>
      <c r="Z46" s="21">
        <f ca="1">IF(CALC2223!BB46&gt;0,INDIRECT(ADDRESS(MATCH(Agenda2526!C47,'CAL5'!A:A,0),3,4,1,"CAL5")),0)</f>
        <v>45896</v>
      </c>
      <c r="AA46" s="20" t="str">
        <f ca="1">IF(CALC2223!BB46&gt;1,INDIRECT(ADDRESS(MATCH(Agenda2526!C47,'CAL5'!A:A,0)+1,2,4,1,"CAL5")),"")</f>
        <v/>
      </c>
      <c r="AB46" s="21">
        <f ca="1">IF(CALC2223!BB46&gt;1,INDIRECT(ADDRESS(MATCH(Agenda2526!C47,'CAL5'!A:A,0)+1,3,4,1,"CAL5")),0)</f>
        <v>0</v>
      </c>
      <c r="AC46" s="20" t="str">
        <f ca="1">IF(CALC2223!BB46&gt;2,INDIRECT(ADDRESS(MATCH(Agenda2526!C47,'CAL5'!A:A,0)+2,2,4,1,"CAL5")),"")</f>
        <v/>
      </c>
      <c r="AD46" s="21">
        <f ca="1">IF(CALC2223!BB46&gt;2,INDIRECT(ADDRESS(MATCH(Agenda2526!C47,'CAL5'!A:A,0)+2,3,4,1,"CAL5")),0)</f>
        <v>0</v>
      </c>
      <c r="AE46" s="20" t="str">
        <f ca="1">IF(CALC2223!BC46&gt;0,INDIRECT(ADDRESS(MATCH(Agenda2526!C47,'CAL6'!A:A,0),2,4,1,"CAL6")),"")</f>
        <v>SE Du/ SE bio</v>
      </c>
      <c r="AF46" s="21">
        <f ca="1">IF(CALC2223!BC46&gt;0,INDIRECT(ADDRESS(MATCH(Agenda2526!C47,'CAL6'!A:A,0),3,4,1,"CAL6")),0)</f>
        <v>45930</v>
      </c>
      <c r="AG46" s="20" t="str">
        <f ca="1">IF(CALC2223!BC46&gt;1,INDIRECT(ADDRESS(MATCH(Agenda2526!C47,'CAL6'!A:A,0)+1,2,4,1,"CAL6")),"")</f>
        <v/>
      </c>
      <c r="AH46" s="21">
        <f ca="1">IF(CALC2223!BC46&gt;1,INDIRECT(ADDRESS(MATCH(Agenda2526!C47,'CAL6'!A:A,0)+1,3,4,1,"CAL6")),0)</f>
        <v>0</v>
      </c>
      <c r="AI46" s="20" t="str">
        <f ca="1">IF(CALC2223!BC46&gt;2,INDIRECT(ADDRESS(MATCH(Agenda2526!C47,'CAL6'!A:A,0)+2,2,4,1,"CAL6")),"")</f>
        <v/>
      </c>
      <c r="AJ46" s="21">
        <f ca="1">IF(CALC2223!BC46&gt;2,INDIRECT(ADDRESS(MATCH(Agenda2526!C47,'CAL6'!A:A,0)+2,3,4,1,"CAL6")),0)</f>
        <v>0</v>
      </c>
      <c r="AK46" s="20" t="str">
        <f ca="1">IF(CALC2223!BD46&gt;0,INDIRECT(ADDRESS(MATCH(Agenda2526!C47,'CAL7'!A:A,0),2,4,1,"CAL7")),"")</f>
        <v/>
      </c>
      <c r="AL46" s="21">
        <f ca="1">IF(CALC2223!BD46&gt;0,INDIRECT(ADDRESS(MATCH(Agenda2526!C47,'CAL7'!A:A,0),3,4,1,"CAL7")),0)</f>
        <v>0</v>
      </c>
      <c r="AM46" s="20" t="str">
        <f ca="1">IF(CALC2223!BD46&gt;1,INDIRECT(ADDRESS(MATCH(Agenda2526!C47,'CAL7'!A:A,0)+1,2,4,1,"CAL7")),"")</f>
        <v/>
      </c>
      <c r="AN46" s="21">
        <f ca="1">IF(CALC2223!BD46&gt;1,INDIRECT(ADDRESS(MATCH(Agenda2526!C47,'CAL7'!A:A,0)+1,3,4,1,"CAL7")),0)</f>
        <v>0</v>
      </c>
      <c r="AO46" s="20" t="str">
        <f ca="1">IF(CALC2223!BD46&gt;2,INDIRECT(ADDRESS(MATCH(Agenda2526!C47,'CAL7'!A:A,0)+2,2,4,1,"CAL7")),"")</f>
        <v/>
      </c>
      <c r="AP46" s="21">
        <f ca="1">IF(CALC2223!BD46&gt;2,INDIRECT(ADDRESS(MATCH(Agenda2526!C47,'CAL7'!A:A,0)+2,3,4,1,"CAL7")),0)</f>
        <v>0</v>
      </c>
      <c r="AQ46" s="20" t="str">
        <f ca="1">IF(CALC2223!BE46&gt;0,INDIRECT(ADDRESS(MATCH(Agenda2526!C47,'CAL8'!A:A,0),2,4,1,"CAL8")),"")</f>
        <v/>
      </c>
      <c r="AR46" s="21">
        <f ca="1">IF(CALC2223!BE46&gt;0,INDIRECT(ADDRESS(MATCH(Agenda2526!C47,'CAL8'!A:A,0),3,4,1,"CAL8")),0)</f>
        <v>0</v>
      </c>
      <c r="AS46" s="20" t="str">
        <f ca="1">IF(CALC2223!BE46&gt;1,INDIRECT(ADDRESS(MATCH(Agenda2526!C47,'CAL8'!A:A,0)+1,2,4,1,"CAL8")),"")</f>
        <v/>
      </c>
      <c r="AT46" s="21">
        <f ca="1">IF(CALC2223!BE46&gt;1,INDIRECT(ADDRESS(MATCH(Agenda2526!C47,'CAL8'!A:A,0)+1,3,4,1,"CAL8")),0)</f>
        <v>0</v>
      </c>
      <c r="AU46" s="20" t="str">
        <f ca="1">IF(CALC2223!BE46&gt;2,INDIRECT(ADDRESS(MATCH(Agenda2526!C47,'CAL8'!A:A,0)+2,2,4,1,"CAL8")),"")</f>
        <v/>
      </c>
      <c r="AV46" s="21">
        <f ca="1">IF(CALC2223!BE46&gt;2,INDIRECT(ADDRESS(MATCH(Agenda2526!C47,'CAL8'!A:A,0)+2,3,4,1,"CAL8")),0)</f>
        <v>0</v>
      </c>
      <c r="AW46" s="105"/>
      <c r="AX46" s="20">
        <f>COUNTIF('CAL1'!A:A,Agenda2526!C47)</f>
        <v>1</v>
      </c>
      <c r="AY46" s="20">
        <f>COUNTIF('CAL2'!A:A,Agenda2526!C47)</f>
        <v>0</v>
      </c>
      <c r="AZ46" s="20">
        <f>COUNTIF('CAL3'!A:A,Agenda2526!C47)</f>
        <v>0</v>
      </c>
      <c r="BA46" s="20">
        <f>COUNTIF('CAL4'!A:A,Agenda2526!C47)</f>
        <v>1</v>
      </c>
      <c r="BB46" s="20">
        <f>COUNTIF('CAL5'!A:A,Agenda2526!C47)</f>
        <v>1</v>
      </c>
      <c r="BC46" s="20">
        <f>COUNTIF('CAL6'!A:A,Agenda2526!C47)</f>
        <v>1</v>
      </c>
      <c r="BD46" s="20">
        <f>COUNTIF('CAL7'!A:A,Agenda2526!C47)</f>
        <v>0</v>
      </c>
      <c r="BE46" s="20">
        <f>COUNTIF('CAL8'!A:A,Agenda2526!C47)</f>
        <v>0</v>
      </c>
    </row>
    <row r="47" spans="1:57" ht="15.75" customHeight="1">
      <c r="A47" s="20" t="str">
        <f ca="1">IF(CALC2223!AX47&gt;0,INDIRECT(ADDRESS(MATCH(Agenda2526!C48,'CAL1'!A:A,0),2,4,1,"CAL1")),"")</f>
        <v/>
      </c>
      <c r="B47" s="21">
        <f ca="1">IF(CALC2223!AX47&gt;0,INDIRECT(ADDRESS(MATCH(Agenda2526!C48,'CAL1'!A:A,0),3,4,1,"CAL1")),0)</f>
        <v>0</v>
      </c>
      <c r="C47" s="20" t="str">
        <f ca="1">IF(CALC2223!AX47&gt;1,INDIRECT(ADDRESS(MATCH(Agenda2526!C48,'CAL1'!A:A,0)+1,2,4,1,"CAL1")),"")</f>
        <v/>
      </c>
      <c r="D47" s="21">
        <f ca="1">IF(CALC2223!AX47&gt;1,INDIRECT(ADDRESS(MATCH(Agenda2526!C48,'CAL1'!A:A,0)+1,3,4,1,"CAL1")),0)</f>
        <v>0</v>
      </c>
      <c r="E47" s="20" t="str">
        <f ca="1">IF(CALC2223!AX47&gt;2,INDIRECT(ADDRESS(MATCH(Agenda2526!C48,'CAL1'!A:A,0)+2,2,4,1,"CAL1")),"")</f>
        <v/>
      </c>
      <c r="F47" s="21">
        <f ca="1">IF(CALC2223!AX47&gt;2,INDIRECT(ADDRESS(MATCH(Agenda2526!C48,'CAL1'!A:A,0)+2,3,4,1,"CAL1")),0)</f>
        <v>0</v>
      </c>
      <c r="G47" s="20" t="str">
        <f ca="1">IF(CALC2223!AY47&gt;0,INDIRECT(ADDRESS(MATCH(Agenda2526!C48,'CAL2'!A:A,0),2,4,1,"CAL2")),"")</f>
        <v/>
      </c>
      <c r="H47" s="21">
        <f ca="1">IF(CALC2223!AY47&gt;0,INDIRECT(ADDRESS(MATCH(Agenda2526!C48,'CAL2'!A:A,0),3,4,1,"CAL2")),0)</f>
        <v>0</v>
      </c>
      <c r="I47" s="20" t="str">
        <f ca="1">IF(CALC2223!AY47&gt;1,INDIRECT(ADDRESS(MATCH(Agenda2526!C48,'CAL2'!A:A,0)+1,2,4,1,"CAL2")),"")</f>
        <v/>
      </c>
      <c r="J47" s="21">
        <f ca="1">IF(CALC2223!AY47&gt;1,INDIRECT(ADDRESS(MATCH(Agenda2526!C48,'CAL2'!A:A,0)+1,3,4,1,"CAL2")),0)</f>
        <v>0</v>
      </c>
      <c r="K47" s="20" t="str">
        <f ca="1">IF(CALC2223!AY47&gt;2,INDIRECT(ADDRESS(MATCH(Agenda2526!C48,'CAL2'!A:A,0)+2,2,4,1,"CAL2")),"")</f>
        <v/>
      </c>
      <c r="L47" s="21">
        <f ca="1">IF(CALC2223!AY47&gt;2,INDIRECT(ADDRESS(MATCH(Agenda2526!C48,'CAL2'!A:A,0)+2,3,4,1,"CAL2")),0)</f>
        <v>0</v>
      </c>
      <c r="M47" s="20" t="str">
        <f ca="1">IF(CALC2223!AZ47&gt;0,INDIRECT(ADDRESS(MATCH(Agenda2526!C48,'CAL3'!A:A,0),2,4,1,"CAL3")),"")</f>
        <v>Rep NA</v>
      </c>
      <c r="N47" s="21">
        <f ca="1">IF(CALC2223!AZ47&gt;0,INDIRECT(ADDRESS(MATCH(Agenda2526!C48,'CAL3'!A:A,0),3,4,1,"CAL3")),0)</f>
        <v>45903</v>
      </c>
      <c r="O47" s="20" t="str">
        <f ca="1">IF(CALC2223!AZ47&gt;1,INDIRECT(ADDRESS(MATCH(Agenda2526!C48,'CAL3'!A:A,0)+1,2,4,1,"CAL3")),"")</f>
        <v/>
      </c>
      <c r="P47" s="21">
        <f ca="1">IF(CALC2223!AZ47&gt;1,INDIRECT(ADDRESS(MATCH(Agenda2526!C48,'CAL3'!A:A,0)+1,3,4,1,"CAL3")),0)</f>
        <v>0</v>
      </c>
      <c r="Q47" s="20" t="str">
        <f ca="1">IF(CALC2223!AZ47&gt;2,INDIRECT(ADDRESS(MATCH(Agenda2526!C48,'CAL3'!A:A,0)+2,2,4,1,"CAL3")),"")</f>
        <v/>
      </c>
      <c r="R47" s="21">
        <f ca="1">IF(CALC2223!AZ47&gt;2,INDIRECT(ADDRESS(MATCH(Agenda2526!C48,'CAL3'!A:A,0)+2,3,4,1,"CAL3")),0)</f>
        <v>0</v>
      </c>
      <c r="S47" s="20" t="str">
        <f ca="1">IF(CALC2223!BA47&gt;0,INDIRECT(ADDRESS(MATCH(Agenda2526!C48,'CAL4'!A:A,0),2,4,1,"CAL4")),"")</f>
        <v>SE ANW</v>
      </c>
      <c r="T47" s="21">
        <f ca="1">IF(CALC2223!BA47&gt;0,INDIRECT(ADDRESS(MATCH(Agenda2526!C48,'CAL4'!A:A,0),3,4,1,"CAL4")),0)</f>
        <v>45896</v>
      </c>
      <c r="U47" s="20" t="str">
        <f ca="1">IF(CALC2223!BA47&gt;1,INDIRECT(ADDRESS(MATCH(Agenda2526!C48,'CAL4'!A:A,0)+1,2,4,1,"CAL4")),"")</f>
        <v/>
      </c>
      <c r="V47" s="21">
        <f ca="1">IF(CALC2223!BA47&gt;1,INDIRECT(ADDRESS(MATCH(Agenda2526!C48,'CAL4'!A:A,0)+1,3,4,1,"CAL4")),0)</f>
        <v>0</v>
      </c>
      <c r="W47" s="20" t="str">
        <f ca="1">IF(CALC2223!BA47&gt;2,INDIRECT(ADDRESS(MATCH(Agenda2526!C48,'CAL4'!A:A,0)+2,2,4,1,"CAL4")),"")</f>
        <v/>
      </c>
      <c r="X47" s="21">
        <f ca="1">IF(CALC2223!BA47&gt;2,INDIRECT(ADDRESS(MATCH(Agenda2526!C48,'CAL4'!A:A,0)+2,3,4,1,"CAL4")),0)</f>
        <v>0</v>
      </c>
      <c r="Y47" s="20" t="str">
        <f ca="1">IF(CALC2223!BB47&gt;0,INDIRECT(ADDRESS(MATCH(Agenda2526!C48,'CAL5'!A:A,0),2,4,1,"CAL5")),"")</f>
        <v>inh SE ak (geannuleerd)</v>
      </c>
      <c r="Z47" s="21">
        <f ca="1">IF(CALC2223!BB47&gt;0,INDIRECT(ADDRESS(MATCH(Agenda2526!C48,'CAL5'!A:A,0),3,4,1,"CAL5")),0)</f>
        <v>45940</v>
      </c>
      <c r="AA47" s="20" t="str">
        <f ca="1">IF(CALC2223!BB47&gt;1,INDIRECT(ADDRESS(MATCH(Agenda2526!C48,'CAL5'!A:A,0)+1,2,4,1,"CAL5")),"")</f>
        <v/>
      </c>
      <c r="AB47" s="21">
        <f ca="1">IF(CALC2223!BB47&gt;1,INDIRECT(ADDRESS(MATCH(Agenda2526!C48,'CAL5'!A:A,0)+1,3,4,1,"CAL5")),0)</f>
        <v>0</v>
      </c>
      <c r="AC47" s="20" t="str">
        <f ca="1">IF(CALC2223!BB47&gt;2,INDIRECT(ADDRESS(MATCH(Agenda2526!C48,'CAL5'!A:A,0)+2,2,4,1,"CAL5")),"")</f>
        <v/>
      </c>
      <c r="AD47" s="21">
        <f ca="1">IF(CALC2223!BB47&gt;2,INDIRECT(ADDRESS(MATCH(Agenda2526!C48,'CAL5'!A:A,0)+2,3,4,1,"CAL5")),0)</f>
        <v>0</v>
      </c>
      <c r="AE47" s="20" t="str">
        <f ca="1">IF(CALC2223!BC47&gt;0,INDIRECT(ADDRESS(MATCH(Agenda2526!C48,'CAL6'!A:A,0),2,4,1,"CAL6")),"")</f>
        <v>SE fi/ SE na</v>
      </c>
      <c r="AF47" s="21">
        <f ca="1">IF(CALC2223!BC47&gt;0,INDIRECT(ADDRESS(MATCH(Agenda2526!C48,'CAL6'!A:A,0),3,4,1,"CAL6")),0)</f>
        <v>45930</v>
      </c>
      <c r="AG47" s="20" t="str">
        <f ca="1">IF(CALC2223!BC47&gt;1,INDIRECT(ADDRESS(MATCH(Agenda2526!C48,'CAL6'!A:A,0)+1,2,4,1,"CAL6")),"")</f>
        <v/>
      </c>
      <c r="AH47" s="21">
        <f ca="1">IF(CALC2223!BC47&gt;1,INDIRECT(ADDRESS(MATCH(Agenda2526!C48,'CAL6'!A:A,0)+1,3,4,1,"CAL6")),0)</f>
        <v>0</v>
      </c>
      <c r="AI47" s="20" t="str">
        <f ca="1">IF(CALC2223!BC47&gt;2,INDIRECT(ADDRESS(MATCH(Agenda2526!C48,'CAL6'!A:A,0)+2,2,4,1,"CAL6")),"")</f>
        <v/>
      </c>
      <c r="AJ47" s="21">
        <f ca="1">IF(CALC2223!BC47&gt;2,INDIRECT(ADDRESS(MATCH(Agenda2526!C48,'CAL6'!A:A,0)+2,3,4,1,"CAL6")),0)</f>
        <v>0</v>
      </c>
      <c r="AK47" s="20" t="str">
        <f ca="1">IF(CALC2223!BD47&gt;0,INDIRECT(ADDRESS(MATCH(Agenda2526!C48,'CAL7'!A:A,0),2,4,1,"CAL7")),"")</f>
        <v>studiemiddag groerpsdynamiek  lezing Ivo Dokman</v>
      </c>
      <c r="AL47" s="21">
        <f ca="1">IF(CALC2223!BD47&gt;0,INDIRECT(ADDRESS(MATCH(Agenda2526!C48,'CAL7'!A:A,0),3,4,1,"CAL7")),0)</f>
        <v>45939</v>
      </c>
      <c r="AM47" s="20" t="str">
        <f ca="1">IF(CALC2223!BD47&gt;1,INDIRECT(ADDRESS(MATCH(Agenda2526!C48,'CAL7'!A:A,0)+1,2,4,1,"CAL7")),"")</f>
        <v/>
      </c>
      <c r="AN47" s="21">
        <f ca="1">IF(CALC2223!BD47&gt;1,INDIRECT(ADDRESS(MATCH(Agenda2526!C48,'CAL7'!A:A,0)+1,3,4,1,"CAL7")),0)</f>
        <v>0</v>
      </c>
      <c r="AO47" s="20" t="str">
        <f ca="1">IF(CALC2223!BD47&gt;2,INDIRECT(ADDRESS(MATCH(Agenda2526!C48,'CAL7'!A:A,0)+2,2,4,1,"CAL7")),"")</f>
        <v/>
      </c>
      <c r="AP47" s="21">
        <f ca="1">IF(CALC2223!BD47&gt;2,INDIRECT(ADDRESS(MATCH(Agenda2526!C48,'CAL7'!A:A,0)+2,3,4,1,"CAL7")),0)</f>
        <v>0</v>
      </c>
      <c r="AQ47" s="20" t="str">
        <f ca="1">IF(CALC2223!BE47&gt;0,INDIRECT(ADDRESS(MATCH(Agenda2526!C48,'CAL8'!A:A,0),2,4,1,"CAL8")),"")</f>
        <v/>
      </c>
      <c r="AR47" s="21">
        <f ca="1">IF(CALC2223!BE47&gt;0,INDIRECT(ADDRESS(MATCH(Agenda2526!C48,'CAL8'!A:A,0),3,4,1,"CAL8")),0)</f>
        <v>0</v>
      </c>
      <c r="AS47" s="20" t="str">
        <f ca="1">IF(CALC2223!BE47&gt;1,INDIRECT(ADDRESS(MATCH(Agenda2526!C48,'CAL8'!A:A,0)+1,2,4,1,"CAL8")),"")</f>
        <v/>
      </c>
      <c r="AT47" s="21">
        <f ca="1">IF(CALC2223!BE47&gt;1,INDIRECT(ADDRESS(MATCH(Agenda2526!C48,'CAL8'!A:A,0)+1,3,4,1,"CAL8")),0)</f>
        <v>0</v>
      </c>
      <c r="AU47" s="20" t="str">
        <f ca="1">IF(CALC2223!BE47&gt;2,INDIRECT(ADDRESS(MATCH(Agenda2526!C48,'CAL8'!A:A,0)+2,2,4,1,"CAL8")),"")</f>
        <v/>
      </c>
      <c r="AV47" s="21">
        <f ca="1">IF(CALC2223!BE47&gt;2,INDIRECT(ADDRESS(MATCH(Agenda2526!C48,'CAL8'!A:A,0)+2,3,4,1,"CAL8")),0)</f>
        <v>0</v>
      </c>
      <c r="AW47" s="105"/>
      <c r="AX47" s="20">
        <f>COUNTIF('CAL1'!A:A,Agenda2526!C48)</f>
        <v>0</v>
      </c>
      <c r="AY47" s="20">
        <f>COUNTIF('CAL2'!A:A,Agenda2526!C48)</f>
        <v>0</v>
      </c>
      <c r="AZ47" s="20">
        <f>COUNTIF('CAL3'!A:A,Agenda2526!C48)</f>
        <v>1</v>
      </c>
      <c r="BA47" s="20">
        <f>COUNTIF('CAL4'!A:A,Agenda2526!C48)</f>
        <v>1</v>
      </c>
      <c r="BB47" s="20">
        <f>COUNTIF('CAL5'!A:A,Agenda2526!C48)</f>
        <v>1</v>
      </c>
      <c r="BC47" s="20">
        <f>COUNTIF('CAL6'!A:A,Agenda2526!C48)</f>
        <v>1</v>
      </c>
      <c r="BD47" s="20">
        <f>COUNTIF('CAL7'!A:A,Agenda2526!C48)</f>
        <v>1</v>
      </c>
      <c r="BE47" s="20">
        <f>COUNTIF('CAL8'!A:A,Agenda2526!C48)</f>
        <v>0</v>
      </c>
    </row>
    <row r="48" spans="1:57" ht="15.75" customHeight="1">
      <c r="A48" s="20" t="str">
        <f ca="1">IF(CALC2223!AX48&gt;0,INDIRECT(ADDRESS(MATCH(Agenda2526!C49,'CAL1'!A:A,0),2,4,1,"CAL1")),"")</f>
        <v/>
      </c>
      <c r="B48" s="21">
        <f ca="1">IF(CALC2223!AX48&gt;0,INDIRECT(ADDRESS(MATCH(Agenda2526!C49,'CAL1'!A:A,0),3,4,1,"CAL1")),0)</f>
        <v>0</v>
      </c>
      <c r="C48" s="20" t="str">
        <f ca="1">IF(CALC2223!AX48&gt;1,INDIRECT(ADDRESS(MATCH(Agenda2526!C49,'CAL1'!A:A,0)+1,2,4,1,"CAL1")),"")</f>
        <v/>
      </c>
      <c r="D48" s="21">
        <f ca="1">IF(CALC2223!AX48&gt;1,INDIRECT(ADDRESS(MATCH(Agenda2526!C49,'CAL1'!A:A,0)+1,3,4,1,"CAL1")),0)</f>
        <v>0</v>
      </c>
      <c r="E48" s="20" t="str">
        <f ca="1">IF(CALC2223!AX48&gt;2,INDIRECT(ADDRESS(MATCH(Agenda2526!C49,'CAL1'!A:A,0)+2,2,4,1,"CAL1")),"")</f>
        <v/>
      </c>
      <c r="F48" s="21">
        <f ca="1">IF(CALC2223!AX48&gt;2,INDIRECT(ADDRESS(MATCH(Agenda2526!C49,'CAL1'!A:A,0)+2,3,4,1,"CAL1")),0)</f>
        <v>0</v>
      </c>
      <c r="G48" s="20" t="str">
        <f ca="1">IF(CALC2223!AY48&gt;0,INDIRECT(ADDRESS(MATCH(Agenda2526!C49,'CAL2'!A:A,0),2,4,1,"CAL2")),"")</f>
        <v>Rep WIS</v>
      </c>
      <c r="H48" s="21">
        <f ca="1">IF(CALC2223!AY48&gt;0,INDIRECT(ADDRESS(MATCH(Agenda2526!C49,'CAL2'!A:A,0),3,4,1,"CAL2")),0)</f>
        <v>45903</v>
      </c>
      <c r="I48" s="20" t="str">
        <f ca="1">IF(CALC2223!AY48&gt;1,INDIRECT(ADDRESS(MATCH(Agenda2526!C49,'CAL2'!A:A,0)+1,2,4,1,"CAL2")),"")</f>
        <v/>
      </c>
      <c r="J48" s="21">
        <f ca="1">IF(CALC2223!AY48&gt;1,INDIRECT(ADDRESS(MATCH(Agenda2526!C49,'CAL2'!A:A,0)+1,3,4,1,"CAL2")),0)</f>
        <v>0</v>
      </c>
      <c r="K48" s="20" t="str">
        <f ca="1">IF(CALC2223!AY48&gt;2,INDIRECT(ADDRESS(MATCH(Agenda2526!C49,'CAL2'!A:A,0)+2,2,4,1,"CAL2")),"")</f>
        <v/>
      </c>
      <c r="L48" s="21">
        <f ca="1">IF(CALC2223!AY48&gt;2,INDIRECT(ADDRESS(MATCH(Agenda2526!C49,'CAL2'!A:A,0)+2,3,4,1,"CAL2")),0)</f>
        <v>0</v>
      </c>
      <c r="M48" s="20" t="str">
        <f ca="1">IF(CALC2223!AZ48&gt;0,INDIRECT(ADDRESS(MATCH(Agenda2526!C49,'CAL3'!A:A,0),2,4,1,"CAL3")),"")</f>
        <v/>
      </c>
      <c r="N48" s="21">
        <f ca="1">IF(CALC2223!AZ48&gt;0,INDIRECT(ADDRESS(MATCH(Agenda2526!C49,'CAL3'!A:A,0),3,4,1,"CAL3")),0)</f>
        <v>0</v>
      </c>
      <c r="O48" s="20" t="str">
        <f ca="1">IF(CALC2223!AZ48&gt;1,INDIRECT(ADDRESS(MATCH(Agenda2526!C49,'CAL3'!A:A,0)+1,2,4,1,"CAL3")),"")</f>
        <v/>
      </c>
      <c r="P48" s="21">
        <f ca="1">IF(CALC2223!AZ48&gt;1,INDIRECT(ADDRESS(MATCH(Agenda2526!C49,'CAL3'!A:A,0)+1,3,4,1,"CAL3")),0)</f>
        <v>0</v>
      </c>
      <c r="Q48" s="20" t="str">
        <f ca="1">IF(CALC2223!AZ48&gt;2,INDIRECT(ADDRESS(MATCH(Agenda2526!C49,'CAL3'!A:A,0)+2,2,4,1,"CAL3")),"")</f>
        <v/>
      </c>
      <c r="R48" s="21">
        <f ca="1">IF(CALC2223!AZ48&gt;2,INDIRECT(ADDRESS(MATCH(Agenda2526!C49,'CAL3'!A:A,0)+2,3,4,1,"CAL3")),0)</f>
        <v>0</v>
      </c>
      <c r="S48" s="20" t="str">
        <f ca="1">IF(CALC2223!BA48&gt;0,INDIRECT(ADDRESS(MATCH(Agenda2526!C49,'CAL4'!A:A,0),2,4,1,"CAL4")),"")</f>
        <v>Rep EN</v>
      </c>
      <c r="T48" s="21">
        <f ca="1">IF(CALC2223!BA48&gt;0,INDIRECT(ADDRESS(MATCH(Agenda2526!C49,'CAL4'!A:A,0),3,4,1,"CAL4")),0)</f>
        <v>45896</v>
      </c>
      <c r="U48" s="20" t="str">
        <f ca="1">IF(CALC2223!BA48&gt;1,INDIRECT(ADDRESS(MATCH(Agenda2526!C49,'CAL4'!A:A,0)+1,2,4,1,"CAL4")),"")</f>
        <v/>
      </c>
      <c r="V48" s="21">
        <f ca="1">IF(CALC2223!BA48&gt;1,INDIRECT(ADDRESS(MATCH(Agenda2526!C49,'CAL4'!A:A,0)+1,3,4,1,"CAL4")),0)</f>
        <v>0</v>
      </c>
      <c r="W48" s="20" t="str">
        <f ca="1">IF(CALC2223!BA48&gt;2,INDIRECT(ADDRESS(MATCH(Agenda2526!C49,'CAL4'!A:A,0)+2,2,4,1,"CAL4")),"")</f>
        <v/>
      </c>
      <c r="X48" s="21">
        <f ca="1">IF(CALC2223!BA48&gt;2,INDIRECT(ADDRESS(MATCH(Agenda2526!C49,'CAL4'!A:A,0)+2,3,4,1,"CAL4")),0)</f>
        <v>0</v>
      </c>
      <c r="Y48" s="20" t="str">
        <f ca="1">IF(CALC2223!BB48&gt;0,INDIRECT(ADDRESS(MATCH(Agenda2526!C49,'CAL5'!A:A,0),2,4,1,"CAL5")),"")</f>
        <v>rep wiC</v>
      </c>
      <c r="Z48" s="21">
        <f ca="1">IF(CALC2223!BB48&gt;0,INDIRECT(ADDRESS(MATCH(Agenda2526!C49,'CAL5'!A:A,0),3,4,1,"CAL5")),0)</f>
        <v>45939</v>
      </c>
      <c r="AA48" s="20" t="str">
        <f ca="1">IF(CALC2223!BB48&gt;1,INDIRECT(ADDRESS(MATCH(Agenda2526!C49,'CAL5'!A:A,0)+1,2,4,1,"CAL5")),"")</f>
        <v/>
      </c>
      <c r="AB48" s="21">
        <f ca="1">IF(CALC2223!BB48&gt;1,INDIRECT(ADDRESS(MATCH(Agenda2526!C49,'CAL5'!A:A,0)+1,3,4,1,"CAL5")),0)</f>
        <v>0</v>
      </c>
      <c r="AC48" s="20" t="str">
        <f ca="1">IF(CALC2223!BB48&gt;2,INDIRECT(ADDRESS(MATCH(Agenda2526!C49,'CAL5'!A:A,0)+2,2,4,1,"CAL5")),"")</f>
        <v/>
      </c>
      <c r="AD48" s="21">
        <f ca="1">IF(CALC2223!BB48&gt;2,INDIRECT(ADDRESS(MATCH(Agenda2526!C49,'CAL5'!A:A,0)+2,3,4,1,"CAL5")),0)</f>
        <v>0</v>
      </c>
      <c r="AE48" s="20" t="str">
        <f ca="1">IF(CALC2223!BC48&gt;0,INDIRECT(ADDRESS(MATCH(Agenda2526!C49,'CAL6'!A:A,0),2,4,1,"CAL6")),"")</f>
        <v>SE wiABC</v>
      </c>
      <c r="AF48" s="21">
        <f ca="1">IF(CALC2223!BC48&gt;0,INDIRECT(ADDRESS(MATCH(Agenda2526!C49,'CAL6'!A:A,0),3,4,1,"CAL6")),0)</f>
        <v>45930</v>
      </c>
      <c r="AG48" s="20" t="str">
        <f ca="1">IF(CALC2223!BC48&gt;1,INDIRECT(ADDRESS(MATCH(Agenda2526!C49,'CAL6'!A:A,0)+1,2,4,1,"CAL6")),"")</f>
        <v/>
      </c>
      <c r="AH48" s="21">
        <f ca="1">IF(CALC2223!BC48&gt;1,INDIRECT(ADDRESS(MATCH(Agenda2526!C49,'CAL6'!A:A,0)+1,3,4,1,"CAL6")),0)</f>
        <v>0</v>
      </c>
      <c r="AI48" s="20" t="str">
        <f ca="1">IF(CALC2223!BC48&gt;2,INDIRECT(ADDRESS(MATCH(Agenda2526!C49,'CAL6'!A:A,0)+2,2,4,1,"CAL6")),"")</f>
        <v/>
      </c>
      <c r="AJ48" s="21">
        <f ca="1">IF(CALC2223!BC48&gt;2,INDIRECT(ADDRESS(MATCH(Agenda2526!C49,'CAL6'!A:A,0)+2,3,4,1,"CAL6")),0)</f>
        <v>0</v>
      </c>
      <c r="AK48" s="20" t="str">
        <f ca="1">IF(CALC2223!BD48&gt;0,INDIRECT(ADDRESS(MATCH(Agenda2526!C49,'CAL7'!A:A,0),2,4,1,"CAL7")),"")</f>
        <v/>
      </c>
      <c r="AL48" s="21">
        <f ca="1">IF(CALC2223!BD48&gt;0,INDIRECT(ADDRESS(MATCH(Agenda2526!C49,'CAL7'!A:A,0),3,4,1,"CAL7")),0)</f>
        <v>0</v>
      </c>
      <c r="AM48" s="20" t="str">
        <f ca="1">IF(CALC2223!BD48&gt;1,INDIRECT(ADDRESS(MATCH(Agenda2526!C49,'CAL7'!A:A,0)+1,2,4,1,"CAL7")),"")</f>
        <v/>
      </c>
      <c r="AN48" s="21">
        <f ca="1">IF(CALC2223!BD48&gt;1,INDIRECT(ADDRESS(MATCH(Agenda2526!C49,'CAL7'!A:A,0)+1,3,4,1,"CAL7")),0)</f>
        <v>0</v>
      </c>
      <c r="AO48" s="20" t="str">
        <f ca="1">IF(CALC2223!BD48&gt;2,INDIRECT(ADDRESS(MATCH(Agenda2526!C49,'CAL7'!A:A,0)+2,2,4,1,"CAL7")),"")</f>
        <v/>
      </c>
      <c r="AP48" s="21">
        <f ca="1">IF(CALC2223!BD48&gt;2,INDIRECT(ADDRESS(MATCH(Agenda2526!C49,'CAL7'!A:A,0)+2,3,4,1,"CAL7")),0)</f>
        <v>0</v>
      </c>
      <c r="AQ48" s="20" t="str">
        <f ca="1">IF(CALC2223!BE48&gt;0,INDIRECT(ADDRESS(MATCH(Agenda2526!C49,'CAL8'!A:A,0),2,4,1,"CAL8")),"")</f>
        <v>schoolfeest</v>
      </c>
      <c r="AR48" s="21">
        <f ca="1">IF(CALC2223!BE48&gt;0,INDIRECT(ADDRESS(MATCH(Agenda2526!C49,'CAL8'!A:A,0),3,4,1,"CAL8")),0)</f>
        <v>45915</v>
      </c>
      <c r="AS48" s="20" t="str">
        <f ca="1">IF(CALC2223!BE48&gt;1,INDIRECT(ADDRESS(MATCH(Agenda2526!C49,'CAL8'!A:A,0)+1,2,4,1,"CAL8")),"")</f>
        <v/>
      </c>
      <c r="AT48" s="21">
        <f ca="1">IF(CALC2223!BE48&gt;1,INDIRECT(ADDRESS(MATCH(Agenda2526!C49,'CAL8'!A:A,0)+1,3,4,1,"CAL8")),0)</f>
        <v>0</v>
      </c>
      <c r="AU48" s="20" t="str">
        <f ca="1">IF(CALC2223!BE48&gt;2,INDIRECT(ADDRESS(MATCH(Agenda2526!C49,'CAL8'!A:A,0)+2,2,4,1,"CAL8")),"")</f>
        <v/>
      </c>
      <c r="AV48" s="21">
        <f ca="1">IF(CALC2223!BE48&gt;2,INDIRECT(ADDRESS(MATCH(Agenda2526!C49,'CAL8'!A:A,0)+2,3,4,1,"CAL8")),0)</f>
        <v>0</v>
      </c>
      <c r="AW48" s="105"/>
      <c r="AX48" s="20">
        <f>COUNTIF('CAL1'!A:A,Agenda2526!C49)</f>
        <v>0</v>
      </c>
      <c r="AY48" s="20">
        <f>COUNTIF('CAL2'!A:A,Agenda2526!C49)</f>
        <v>1</v>
      </c>
      <c r="AZ48" s="20">
        <f>COUNTIF('CAL3'!A:A,Agenda2526!C49)</f>
        <v>0</v>
      </c>
      <c r="BA48" s="20">
        <f>COUNTIF('CAL4'!A:A,Agenda2526!C49)</f>
        <v>1</v>
      </c>
      <c r="BB48" s="20">
        <f>COUNTIF('CAL5'!A:A,Agenda2526!C49)</f>
        <v>1</v>
      </c>
      <c r="BC48" s="20">
        <f>COUNTIF('CAL6'!A:A,Agenda2526!C49)</f>
        <v>1</v>
      </c>
      <c r="BD48" s="20">
        <f>COUNTIF('CAL7'!A:A,Agenda2526!C49)</f>
        <v>0</v>
      </c>
      <c r="BE48" s="20">
        <f>COUNTIF('CAL8'!A:A,Agenda2526!C49)</f>
        <v>1</v>
      </c>
    </row>
    <row r="49" spans="1:57" ht="15.75" customHeight="1">
      <c r="A49" s="20" t="str">
        <f ca="1">IF(CALC2223!AX49&gt;0,INDIRECT(ADDRESS(MATCH(Agenda2526!C50,'CAL1'!A:A,0),2,4,1,"CAL1")),"")</f>
        <v/>
      </c>
      <c r="B49" s="21">
        <f ca="1">IF(CALC2223!AX49&gt;0,INDIRECT(ADDRESS(MATCH(Agenda2526!C50,'CAL1'!A:A,0),3,4,1,"CAL1")),0)</f>
        <v>0</v>
      </c>
      <c r="C49" s="20" t="str">
        <f ca="1">IF(CALC2223!AX49&gt;1,INDIRECT(ADDRESS(MATCH(Agenda2526!C50,'CAL1'!A:A,0)+1,2,4,1,"CAL1")),"")</f>
        <v/>
      </c>
      <c r="D49" s="21">
        <f ca="1">IF(CALC2223!AX49&gt;1,INDIRECT(ADDRESS(MATCH(Agenda2526!C50,'CAL1'!A:A,0)+1,3,4,1,"CAL1")),0)</f>
        <v>0</v>
      </c>
      <c r="E49" s="20" t="str">
        <f ca="1">IF(CALC2223!AX49&gt;2,INDIRECT(ADDRESS(MATCH(Agenda2526!C50,'CAL1'!A:A,0)+2,2,4,1,"CAL1")),"")</f>
        <v/>
      </c>
      <c r="F49" s="21">
        <f ca="1">IF(CALC2223!AX49&gt;2,INDIRECT(ADDRESS(MATCH(Agenda2526!C50,'CAL1'!A:A,0)+2,3,4,1,"CAL1")),0)</f>
        <v>0</v>
      </c>
      <c r="G49" s="20" t="str">
        <f ca="1">IF(CALC2223!AY49&gt;0,INDIRECT(ADDRESS(MATCH(Agenda2526!C50,'CAL2'!A:A,0),2,4,1,"CAL2")),"")</f>
        <v/>
      </c>
      <c r="H49" s="21">
        <f ca="1">IF(CALC2223!AY49&gt;0,INDIRECT(ADDRESS(MATCH(Agenda2526!C50,'CAL2'!A:A,0),3,4,1,"CAL2")),0)</f>
        <v>0</v>
      </c>
      <c r="I49" s="20" t="str">
        <f ca="1">IF(CALC2223!AY49&gt;1,INDIRECT(ADDRESS(MATCH(Agenda2526!C50,'CAL2'!A:A,0)+1,2,4,1,"CAL2")),"")</f>
        <v/>
      </c>
      <c r="J49" s="21">
        <f ca="1">IF(CALC2223!AY49&gt;1,INDIRECT(ADDRESS(MATCH(Agenda2526!C50,'CAL2'!A:A,0)+1,3,4,1,"CAL2")),0)</f>
        <v>0</v>
      </c>
      <c r="K49" s="20" t="str">
        <f ca="1">IF(CALC2223!AY49&gt;2,INDIRECT(ADDRESS(MATCH(Agenda2526!C50,'CAL2'!A:A,0)+2,2,4,1,"CAL2")),"")</f>
        <v/>
      </c>
      <c r="L49" s="21">
        <f ca="1">IF(CALC2223!AY49&gt;2,INDIRECT(ADDRESS(MATCH(Agenda2526!C50,'CAL2'!A:A,0)+2,3,4,1,"CAL2")),0)</f>
        <v>0</v>
      </c>
      <c r="M49" s="20" t="str">
        <f ca="1">IF(CALC2223!AZ49&gt;0,INDIRECT(ADDRESS(MATCH(Agenda2526!C50,'CAL3'!A:A,0),2,4,1,"CAL3")),"")</f>
        <v/>
      </c>
      <c r="N49" s="21">
        <f ca="1">IF(CALC2223!AZ49&gt;0,INDIRECT(ADDRESS(MATCH(Agenda2526!C50,'CAL3'!A:A,0),3,4,1,"CAL3")),0)</f>
        <v>0</v>
      </c>
      <c r="O49" s="20" t="str">
        <f ca="1">IF(CALC2223!AZ49&gt;1,INDIRECT(ADDRESS(MATCH(Agenda2526!C50,'CAL3'!A:A,0)+1,2,4,1,"CAL3")),"")</f>
        <v/>
      </c>
      <c r="P49" s="21">
        <f ca="1">IF(CALC2223!AZ49&gt;1,INDIRECT(ADDRESS(MATCH(Agenda2526!C50,'CAL3'!A:A,0)+1,3,4,1,"CAL3")),0)</f>
        <v>0</v>
      </c>
      <c r="Q49" s="20" t="str">
        <f ca="1">IF(CALC2223!AZ49&gt;2,INDIRECT(ADDRESS(MATCH(Agenda2526!C50,'CAL3'!A:A,0)+2,2,4,1,"CAL3")),"")</f>
        <v/>
      </c>
      <c r="R49" s="21">
        <f ca="1">IF(CALC2223!AZ49&gt;2,INDIRECT(ADDRESS(MATCH(Agenda2526!C50,'CAL3'!A:A,0)+2,3,4,1,"CAL3")),0)</f>
        <v>0</v>
      </c>
      <c r="S49" s="20" t="str">
        <f ca="1">IF(CALC2223!BA49&gt;0,INDIRECT(ADDRESS(MATCH(Agenda2526!C50,'CAL4'!A:A,0),2,4,1,"CAL4")),"")</f>
        <v/>
      </c>
      <c r="T49" s="21">
        <f ca="1">IF(CALC2223!BA49&gt;0,INDIRECT(ADDRESS(MATCH(Agenda2526!C50,'CAL4'!A:A,0),3,4,1,"CAL4")),0)</f>
        <v>0</v>
      </c>
      <c r="U49" s="20" t="str">
        <f ca="1">IF(CALC2223!BA49&gt;1,INDIRECT(ADDRESS(MATCH(Agenda2526!C50,'CAL4'!A:A,0)+1,2,4,1,"CAL4")),"")</f>
        <v/>
      </c>
      <c r="V49" s="21">
        <f ca="1">IF(CALC2223!BA49&gt;1,INDIRECT(ADDRESS(MATCH(Agenda2526!C50,'CAL4'!A:A,0)+1,3,4,1,"CAL4")),0)</f>
        <v>0</v>
      </c>
      <c r="W49" s="20" t="str">
        <f ca="1">IF(CALC2223!BA49&gt;2,INDIRECT(ADDRESS(MATCH(Agenda2526!C50,'CAL4'!A:A,0)+2,2,4,1,"CAL4")),"")</f>
        <v/>
      </c>
      <c r="X49" s="21">
        <f ca="1">IF(CALC2223!BA49&gt;2,INDIRECT(ADDRESS(MATCH(Agenda2526!C50,'CAL4'!A:A,0)+2,3,4,1,"CAL4")),0)</f>
        <v>0</v>
      </c>
      <c r="Y49" s="20" t="str">
        <f ca="1">IF(CALC2223!BB49&gt;0,INDIRECT(ADDRESS(MATCH(Agenda2526!C50,'CAL5'!A:A,0),2,4,1,"CAL5")),"")</f>
        <v/>
      </c>
      <c r="Z49" s="21">
        <f ca="1">IF(CALC2223!BB49&gt;0,INDIRECT(ADDRESS(MATCH(Agenda2526!C50,'CAL5'!A:A,0),3,4,1,"CAL5")),0)</f>
        <v>0</v>
      </c>
      <c r="AA49" s="20" t="str">
        <f ca="1">IF(CALC2223!BB49&gt;1,INDIRECT(ADDRESS(MATCH(Agenda2526!C50,'CAL5'!A:A,0)+1,2,4,1,"CAL5")),"")</f>
        <v/>
      </c>
      <c r="AB49" s="21">
        <f ca="1">IF(CALC2223!BB49&gt;1,INDIRECT(ADDRESS(MATCH(Agenda2526!C50,'CAL5'!A:A,0)+1,3,4,1,"CAL5")),0)</f>
        <v>0</v>
      </c>
      <c r="AC49" s="20" t="str">
        <f ca="1">IF(CALC2223!BB49&gt;2,INDIRECT(ADDRESS(MATCH(Agenda2526!C50,'CAL5'!A:A,0)+2,2,4,1,"CAL5")),"")</f>
        <v/>
      </c>
      <c r="AD49" s="21">
        <f ca="1">IF(CALC2223!BB49&gt;2,INDIRECT(ADDRESS(MATCH(Agenda2526!C50,'CAL5'!A:A,0)+2,3,4,1,"CAL5")),0)</f>
        <v>0</v>
      </c>
      <c r="AE49" s="20" t="str">
        <f ca="1">IF(CALC2223!BC49&gt;0,INDIRECT(ADDRESS(MATCH(Agenda2526!C50,'CAL6'!A:A,0),2,4,1,"CAL6")),"")</f>
        <v/>
      </c>
      <c r="AF49" s="21">
        <f ca="1">IF(CALC2223!BC49&gt;0,INDIRECT(ADDRESS(MATCH(Agenda2526!C50,'CAL6'!A:A,0),3,4,1,"CAL6")),0)</f>
        <v>0</v>
      </c>
      <c r="AG49" s="20" t="str">
        <f ca="1">IF(CALC2223!BC49&gt;1,INDIRECT(ADDRESS(MATCH(Agenda2526!C50,'CAL6'!A:A,0)+1,2,4,1,"CAL6")),"")</f>
        <v/>
      </c>
      <c r="AH49" s="21">
        <f ca="1">IF(CALC2223!BC49&gt;1,INDIRECT(ADDRESS(MATCH(Agenda2526!C50,'CAL6'!A:A,0)+1,3,4,1,"CAL6")),0)</f>
        <v>0</v>
      </c>
      <c r="AI49" s="20" t="str">
        <f ca="1">IF(CALC2223!BC49&gt;2,INDIRECT(ADDRESS(MATCH(Agenda2526!C50,'CAL6'!A:A,0)+2,2,4,1,"CAL6")),"")</f>
        <v/>
      </c>
      <c r="AJ49" s="21">
        <f ca="1">IF(CALC2223!BC49&gt;2,INDIRECT(ADDRESS(MATCH(Agenda2526!C50,'CAL6'!A:A,0)+2,3,4,1,"CAL6")),0)</f>
        <v>0</v>
      </c>
      <c r="AK49" s="20" t="str">
        <f ca="1">IF(CALC2223!BD49&gt;0,INDIRECT(ADDRESS(MATCH(Agenda2526!C50,'CAL7'!A:A,0),2,4,1,"CAL7")),"")</f>
        <v/>
      </c>
      <c r="AL49" s="21">
        <f ca="1">IF(CALC2223!BD49&gt;0,INDIRECT(ADDRESS(MATCH(Agenda2526!C50,'CAL7'!A:A,0),3,4,1,"CAL7")),0)</f>
        <v>0</v>
      </c>
      <c r="AM49" s="20" t="str">
        <f ca="1">IF(CALC2223!BD49&gt;1,INDIRECT(ADDRESS(MATCH(Agenda2526!C50,'CAL7'!A:A,0)+1,2,4,1,"CAL7")),"")</f>
        <v/>
      </c>
      <c r="AN49" s="21">
        <f ca="1">IF(CALC2223!BD49&gt;1,INDIRECT(ADDRESS(MATCH(Agenda2526!C50,'CAL7'!A:A,0)+1,3,4,1,"CAL7")),0)</f>
        <v>0</v>
      </c>
      <c r="AO49" s="20" t="str">
        <f ca="1">IF(CALC2223!BD49&gt;2,INDIRECT(ADDRESS(MATCH(Agenda2526!C50,'CAL7'!A:A,0)+2,2,4,1,"CAL7")),"")</f>
        <v/>
      </c>
      <c r="AP49" s="21">
        <f ca="1">IF(CALC2223!BD49&gt;2,INDIRECT(ADDRESS(MATCH(Agenda2526!C50,'CAL7'!A:A,0)+2,3,4,1,"CAL7")),0)</f>
        <v>0</v>
      </c>
      <c r="AQ49" s="20" t="str">
        <f ca="1">IF(CALC2223!BE49&gt;0,INDIRECT(ADDRESS(MATCH(Agenda2526!C50,'CAL8'!A:A,0),2,4,1,"CAL8")),"")</f>
        <v>Herfstvakantie</v>
      </c>
      <c r="AR49" s="21">
        <f ca="1">IF(CALC2223!BE49&gt;0,INDIRECT(ADDRESS(MATCH(Agenda2526!C50,'CAL8'!A:A,0),3,4,1,"CAL8")),0)</f>
        <v>45617</v>
      </c>
      <c r="AS49" s="20" t="str">
        <f ca="1">IF(CALC2223!BE49&gt;1,INDIRECT(ADDRESS(MATCH(Agenda2526!C50,'CAL8'!A:A,0)+1,2,4,1,"CAL8")),"")</f>
        <v/>
      </c>
      <c r="AT49" s="21">
        <f ca="1">IF(CALC2223!BE49&gt;1,INDIRECT(ADDRESS(MATCH(Agenda2526!C50,'CAL8'!A:A,0)+1,3,4,1,"CAL8")),0)</f>
        <v>0</v>
      </c>
      <c r="AU49" s="20" t="str">
        <f ca="1">IF(CALC2223!BE49&gt;2,INDIRECT(ADDRESS(MATCH(Agenda2526!C50,'CAL8'!A:A,0)+2,2,4,1,"CAL8")),"")</f>
        <v/>
      </c>
      <c r="AV49" s="21">
        <f ca="1">IF(CALC2223!BE49&gt;2,INDIRECT(ADDRESS(MATCH(Agenda2526!C50,'CAL8'!A:A,0)+2,3,4,1,"CAL8")),0)</f>
        <v>0</v>
      </c>
      <c r="AW49" s="106"/>
      <c r="AX49" s="20">
        <f>COUNTIF('CAL1'!A:A,Agenda2526!C50)</f>
        <v>0</v>
      </c>
      <c r="AY49" s="20">
        <f>COUNTIF('CAL2'!A:A,Agenda2526!C50)</f>
        <v>0</v>
      </c>
      <c r="AZ49" s="20">
        <f>COUNTIF('CAL3'!A:A,Agenda2526!C50)</f>
        <v>0</v>
      </c>
      <c r="BA49" s="20">
        <f>COUNTIF('CAL4'!A:A,Agenda2526!C50)</f>
        <v>0</v>
      </c>
      <c r="BB49" s="20">
        <f>COUNTIF('CAL5'!A:A,Agenda2526!C50)</f>
        <v>0</v>
      </c>
      <c r="BC49" s="20">
        <f>COUNTIF('CAL6'!A:A,Agenda2526!C50)</f>
        <v>0</v>
      </c>
      <c r="BD49" s="20">
        <f>COUNTIF('CAL7'!A:A,Agenda2526!C50)</f>
        <v>0</v>
      </c>
      <c r="BE49" s="20">
        <f>COUNTIF('CAL8'!A:A,Agenda2526!C50)</f>
        <v>1</v>
      </c>
    </row>
    <row r="50" spans="1:57" ht="15.75" customHeight="1">
      <c r="A50" s="20" t="str">
        <f ca="1">IF(CALC2223!AX50&gt;0,INDIRECT(ADDRESS(MATCH(Agenda2526!C51,'CAL1'!A:A,0),2,4,1,"CAL1")),"")</f>
        <v/>
      </c>
      <c r="B50" s="21">
        <f ca="1">IF(CALC2223!AX50&gt;0,INDIRECT(ADDRESS(MATCH(Agenda2526!C51,'CAL1'!A:A,0),3,4,1,"CAL1")),0)</f>
        <v>0</v>
      </c>
      <c r="C50" s="20" t="str">
        <f ca="1">IF(CALC2223!AX50&gt;1,INDIRECT(ADDRESS(MATCH(Agenda2526!C51,'CAL1'!A:A,0)+1,2,4,1,"CAL1")),"")</f>
        <v/>
      </c>
      <c r="D50" s="21">
        <f ca="1">IF(CALC2223!AX50&gt;1,INDIRECT(ADDRESS(MATCH(Agenda2526!C51,'CAL1'!A:A,0)+1,3,4,1,"CAL1")),0)</f>
        <v>0</v>
      </c>
      <c r="E50" s="20" t="str">
        <f ca="1">IF(CALC2223!AX50&gt;2,INDIRECT(ADDRESS(MATCH(Agenda2526!C51,'CAL1'!A:A,0)+2,2,4,1,"CAL1")),"")</f>
        <v/>
      </c>
      <c r="F50" s="21">
        <f ca="1">IF(CALC2223!AX50&gt;2,INDIRECT(ADDRESS(MATCH(Agenda2526!C51,'CAL1'!A:A,0)+2,3,4,1,"CAL1")),0)</f>
        <v>0</v>
      </c>
      <c r="G50" s="20" t="str">
        <f ca="1">IF(CALC2223!AY50&gt;0,INDIRECT(ADDRESS(MATCH(Agenda2526!C51,'CAL2'!A:A,0),2,4,1,"CAL2")),"")</f>
        <v/>
      </c>
      <c r="H50" s="21">
        <f ca="1">IF(CALC2223!AY50&gt;0,INDIRECT(ADDRESS(MATCH(Agenda2526!C51,'CAL2'!A:A,0),3,4,1,"CAL2")),0)</f>
        <v>0</v>
      </c>
      <c r="I50" s="20" t="str">
        <f ca="1">IF(CALC2223!AY50&gt;1,INDIRECT(ADDRESS(MATCH(Agenda2526!C51,'CAL2'!A:A,0)+1,2,4,1,"CAL2")),"")</f>
        <v/>
      </c>
      <c r="J50" s="21">
        <f ca="1">IF(CALC2223!AY50&gt;1,INDIRECT(ADDRESS(MATCH(Agenda2526!C51,'CAL2'!A:A,0)+1,3,4,1,"CAL2")),0)</f>
        <v>0</v>
      </c>
      <c r="K50" s="20" t="str">
        <f ca="1">IF(CALC2223!AY50&gt;2,INDIRECT(ADDRESS(MATCH(Agenda2526!C51,'CAL2'!A:A,0)+2,2,4,1,"CAL2")),"")</f>
        <v/>
      </c>
      <c r="L50" s="21">
        <f ca="1">IF(CALC2223!AY50&gt;2,INDIRECT(ADDRESS(MATCH(Agenda2526!C51,'CAL2'!A:A,0)+2,3,4,1,"CAL2")),0)</f>
        <v>0</v>
      </c>
      <c r="M50" s="20" t="str">
        <f ca="1">IF(CALC2223!AZ50&gt;0,INDIRECT(ADDRESS(MATCH(Agenda2526!C51,'CAL3'!A:A,0),2,4,1,"CAL3")),"")</f>
        <v/>
      </c>
      <c r="N50" s="21">
        <f ca="1">IF(CALC2223!AZ50&gt;0,INDIRECT(ADDRESS(MATCH(Agenda2526!C51,'CAL3'!A:A,0),3,4,1,"CAL3")),0)</f>
        <v>0</v>
      </c>
      <c r="O50" s="20" t="str">
        <f ca="1">IF(CALC2223!AZ50&gt;1,INDIRECT(ADDRESS(MATCH(Agenda2526!C51,'CAL3'!A:A,0)+1,2,4,1,"CAL3")),"")</f>
        <v/>
      </c>
      <c r="P50" s="21">
        <f ca="1">IF(CALC2223!AZ50&gt;1,INDIRECT(ADDRESS(MATCH(Agenda2526!C51,'CAL3'!A:A,0)+1,3,4,1,"CAL3")),0)</f>
        <v>0</v>
      </c>
      <c r="Q50" s="20" t="str">
        <f ca="1">IF(CALC2223!AZ50&gt;2,INDIRECT(ADDRESS(MATCH(Agenda2526!C51,'CAL3'!A:A,0)+2,2,4,1,"CAL3")),"")</f>
        <v/>
      </c>
      <c r="R50" s="21">
        <f ca="1">IF(CALC2223!AZ50&gt;2,INDIRECT(ADDRESS(MATCH(Agenda2526!C51,'CAL3'!A:A,0)+2,3,4,1,"CAL3")),0)</f>
        <v>0</v>
      </c>
      <c r="S50" s="20" t="str">
        <f ca="1">IF(CALC2223!BA50&gt;0,INDIRECT(ADDRESS(MATCH(Agenda2526!C51,'CAL4'!A:A,0),2,4,1,"CAL4")),"")</f>
        <v/>
      </c>
      <c r="T50" s="21">
        <f ca="1">IF(CALC2223!BA50&gt;0,INDIRECT(ADDRESS(MATCH(Agenda2526!C51,'CAL4'!A:A,0),3,4,1,"CAL4")),0)</f>
        <v>0</v>
      </c>
      <c r="U50" s="20" t="str">
        <f ca="1">IF(CALC2223!BA50&gt;1,INDIRECT(ADDRESS(MATCH(Agenda2526!C51,'CAL4'!A:A,0)+1,2,4,1,"CAL4")),"")</f>
        <v/>
      </c>
      <c r="V50" s="21">
        <f ca="1">IF(CALC2223!BA50&gt;1,INDIRECT(ADDRESS(MATCH(Agenda2526!C51,'CAL4'!A:A,0)+1,3,4,1,"CAL4")),0)</f>
        <v>0</v>
      </c>
      <c r="W50" s="20" t="str">
        <f ca="1">IF(CALC2223!BA50&gt;2,INDIRECT(ADDRESS(MATCH(Agenda2526!C51,'CAL4'!A:A,0)+2,2,4,1,"CAL4")),"")</f>
        <v/>
      </c>
      <c r="X50" s="21">
        <f ca="1">IF(CALC2223!BA50&gt;2,INDIRECT(ADDRESS(MATCH(Agenda2526!C51,'CAL4'!A:A,0)+2,3,4,1,"CAL4")),0)</f>
        <v>0</v>
      </c>
      <c r="Y50" s="20" t="str">
        <f ca="1">IF(CALC2223!BB50&gt;0,INDIRECT(ADDRESS(MATCH(Agenda2526!C51,'CAL5'!A:A,0),2,4,1,"CAL5")),"")</f>
        <v/>
      </c>
      <c r="Z50" s="21">
        <f ca="1">IF(CALC2223!BB50&gt;0,INDIRECT(ADDRESS(MATCH(Agenda2526!C51,'CAL5'!A:A,0),3,4,1,"CAL5")),0)</f>
        <v>0</v>
      </c>
      <c r="AA50" s="20" t="str">
        <f ca="1">IF(CALC2223!BB50&gt;1,INDIRECT(ADDRESS(MATCH(Agenda2526!C51,'CAL5'!A:A,0)+1,2,4,1,"CAL5")),"")</f>
        <v/>
      </c>
      <c r="AB50" s="21">
        <f ca="1">IF(CALC2223!BB50&gt;1,INDIRECT(ADDRESS(MATCH(Agenda2526!C51,'CAL5'!A:A,0)+1,3,4,1,"CAL5")),0)</f>
        <v>0</v>
      </c>
      <c r="AC50" s="20" t="str">
        <f ca="1">IF(CALC2223!BB50&gt;2,INDIRECT(ADDRESS(MATCH(Agenda2526!C51,'CAL5'!A:A,0)+2,2,4,1,"CAL5")),"")</f>
        <v/>
      </c>
      <c r="AD50" s="21">
        <f ca="1">IF(CALC2223!BB50&gt;2,INDIRECT(ADDRESS(MATCH(Agenda2526!C51,'CAL5'!A:A,0)+2,3,4,1,"CAL5")),0)</f>
        <v>0</v>
      </c>
      <c r="AE50" s="20" t="str">
        <f ca="1">IF(CALC2223!BC50&gt;0,INDIRECT(ADDRESS(MATCH(Agenda2526!C51,'CAL6'!A:A,0),2,4,1,"CAL6")),"")</f>
        <v/>
      </c>
      <c r="AF50" s="21">
        <f ca="1">IF(CALC2223!BC50&gt;0,INDIRECT(ADDRESS(MATCH(Agenda2526!C51,'CAL6'!A:A,0),3,4,1,"CAL6")),0)</f>
        <v>0</v>
      </c>
      <c r="AG50" s="20" t="str">
        <f ca="1">IF(CALC2223!BC50&gt;1,INDIRECT(ADDRESS(MATCH(Agenda2526!C51,'CAL6'!A:A,0)+1,2,4,1,"CAL6")),"")</f>
        <v/>
      </c>
      <c r="AH50" s="21">
        <f ca="1">IF(CALC2223!BC50&gt;1,INDIRECT(ADDRESS(MATCH(Agenda2526!C51,'CAL6'!A:A,0)+1,3,4,1,"CAL6")),0)</f>
        <v>0</v>
      </c>
      <c r="AI50" s="20" t="str">
        <f ca="1">IF(CALC2223!BC50&gt;2,INDIRECT(ADDRESS(MATCH(Agenda2526!C51,'CAL6'!A:A,0)+2,2,4,1,"CAL6")),"")</f>
        <v/>
      </c>
      <c r="AJ50" s="21">
        <f ca="1">IF(CALC2223!BC50&gt;2,INDIRECT(ADDRESS(MATCH(Agenda2526!C51,'CAL6'!A:A,0)+2,3,4,1,"CAL6")),0)</f>
        <v>0</v>
      </c>
      <c r="AK50" s="20" t="str">
        <f ca="1">IF(CALC2223!BD50&gt;0,INDIRECT(ADDRESS(MATCH(Agenda2526!C51,'CAL7'!A:A,0),2,4,1,"CAL7")),"")</f>
        <v/>
      </c>
      <c r="AL50" s="21">
        <f ca="1">IF(CALC2223!BD50&gt;0,INDIRECT(ADDRESS(MATCH(Agenda2526!C51,'CAL7'!A:A,0),3,4,1,"CAL7")),0)</f>
        <v>0</v>
      </c>
      <c r="AM50" s="20" t="str">
        <f ca="1">IF(CALC2223!BD50&gt;1,INDIRECT(ADDRESS(MATCH(Agenda2526!C51,'CAL7'!A:A,0)+1,2,4,1,"CAL7")),"")</f>
        <v/>
      </c>
      <c r="AN50" s="21">
        <f ca="1">IF(CALC2223!BD50&gt;1,INDIRECT(ADDRESS(MATCH(Agenda2526!C51,'CAL7'!A:A,0)+1,3,4,1,"CAL7")),0)</f>
        <v>0</v>
      </c>
      <c r="AO50" s="20" t="str">
        <f ca="1">IF(CALC2223!BD50&gt;2,INDIRECT(ADDRESS(MATCH(Agenda2526!C51,'CAL7'!A:A,0)+2,2,4,1,"CAL7")),"")</f>
        <v/>
      </c>
      <c r="AP50" s="21">
        <f ca="1">IF(CALC2223!BD50&gt;2,INDIRECT(ADDRESS(MATCH(Agenda2526!C51,'CAL7'!A:A,0)+2,3,4,1,"CAL7")),0)</f>
        <v>0</v>
      </c>
      <c r="AQ50" s="20" t="str">
        <f ca="1">IF(CALC2223!BE50&gt;0,INDIRECT(ADDRESS(MATCH(Agenda2526!C51,'CAL8'!A:A,0),2,4,1,"CAL8")),"")</f>
        <v/>
      </c>
      <c r="AR50" s="21">
        <f ca="1">IF(CALC2223!BE50&gt;0,INDIRECT(ADDRESS(MATCH(Agenda2526!C51,'CAL8'!A:A,0),3,4,1,"CAL8")),0)</f>
        <v>0</v>
      </c>
      <c r="AS50" s="20" t="str">
        <f ca="1">IF(CALC2223!BE50&gt;1,INDIRECT(ADDRESS(MATCH(Agenda2526!C51,'CAL8'!A:A,0)+1,2,4,1,"CAL8")),"")</f>
        <v/>
      </c>
      <c r="AT50" s="21">
        <f ca="1">IF(CALC2223!BE50&gt;1,INDIRECT(ADDRESS(MATCH(Agenda2526!C51,'CAL8'!A:A,0)+1,3,4,1,"CAL8")),0)</f>
        <v>0</v>
      </c>
      <c r="AU50" s="20" t="str">
        <f ca="1">IF(CALC2223!BE50&gt;2,INDIRECT(ADDRESS(MATCH(Agenda2526!C51,'CAL8'!A:A,0)+2,2,4,1,"CAL8")),"")</f>
        <v/>
      </c>
      <c r="AV50" s="21">
        <f ca="1">IF(CALC2223!BE50&gt;2,INDIRECT(ADDRESS(MATCH(Agenda2526!C51,'CAL8'!A:A,0)+2,3,4,1,"CAL8")),0)</f>
        <v>0</v>
      </c>
      <c r="AW50" s="106"/>
      <c r="AX50" s="20">
        <f>COUNTIF('CAL1'!A:A,Agenda2526!C51)</f>
        <v>0</v>
      </c>
      <c r="AY50" s="20">
        <f>COUNTIF('CAL2'!A:A,Agenda2526!C51)</f>
        <v>0</v>
      </c>
      <c r="AZ50" s="20">
        <f>COUNTIF('CAL3'!A:A,Agenda2526!C51)</f>
        <v>0</v>
      </c>
      <c r="BA50" s="20">
        <f>COUNTIF('CAL4'!A:A,Agenda2526!C51)</f>
        <v>0</v>
      </c>
      <c r="BB50" s="20">
        <f>COUNTIF('CAL5'!A:A,Agenda2526!C51)</f>
        <v>0</v>
      </c>
      <c r="BC50" s="20">
        <f>COUNTIF('CAL6'!A:A,Agenda2526!C51)</f>
        <v>0</v>
      </c>
      <c r="BD50" s="20">
        <f>COUNTIF('CAL7'!A:A,Agenda2526!C51)</f>
        <v>0</v>
      </c>
      <c r="BE50" s="20">
        <f>COUNTIF('CAL8'!A:A,Agenda2526!C51)</f>
        <v>0</v>
      </c>
    </row>
    <row r="51" spans="1:57" ht="15.75" customHeight="1">
      <c r="A51" s="20" t="str">
        <f ca="1">IF(CALC2223!AX51&gt;0,INDIRECT(ADDRESS(MATCH(Agenda2526!C52,'CAL1'!A:A,0),2,4,1,"CAL1")),"")</f>
        <v/>
      </c>
      <c r="B51" s="21">
        <f ca="1">IF(CALC2223!AX51&gt;0,INDIRECT(ADDRESS(MATCH(Agenda2526!C52,'CAL1'!A:A,0),3,4,1,"CAL1")),0)</f>
        <v>0</v>
      </c>
      <c r="C51" s="20" t="str">
        <f ca="1">IF(CALC2223!AX51&gt;1,INDIRECT(ADDRESS(MATCH(Agenda2526!C52,'CAL1'!A:A,0)+1,2,4,1,"CAL1")),"")</f>
        <v/>
      </c>
      <c r="D51" s="21">
        <f ca="1">IF(CALC2223!AX51&gt;1,INDIRECT(ADDRESS(MATCH(Agenda2526!C52,'CAL1'!A:A,0)+1,3,4,1,"CAL1")),0)</f>
        <v>0</v>
      </c>
      <c r="E51" s="20" t="str">
        <f ca="1">IF(CALC2223!AX51&gt;2,INDIRECT(ADDRESS(MATCH(Agenda2526!C52,'CAL1'!A:A,0)+2,2,4,1,"CAL1")),"")</f>
        <v/>
      </c>
      <c r="F51" s="21">
        <f ca="1">IF(CALC2223!AX51&gt;2,INDIRECT(ADDRESS(MATCH(Agenda2526!C52,'CAL1'!A:A,0)+2,3,4,1,"CAL1")),0)</f>
        <v>0</v>
      </c>
      <c r="G51" s="20" t="str">
        <f ca="1">IF(CALC2223!AY51&gt;0,INDIRECT(ADDRESS(MATCH(Agenda2526!C52,'CAL2'!A:A,0),2,4,1,"CAL2")),"")</f>
        <v/>
      </c>
      <c r="H51" s="21">
        <f ca="1">IF(CALC2223!AY51&gt;0,INDIRECT(ADDRESS(MATCH(Agenda2526!C52,'CAL2'!A:A,0),3,4,1,"CAL2")),0)</f>
        <v>0</v>
      </c>
      <c r="I51" s="20" t="str">
        <f ca="1">IF(CALC2223!AY51&gt;1,INDIRECT(ADDRESS(MATCH(Agenda2526!C52,'CAL2'!A:A,0)+1,2,4,1,"CAL2")),"")</f>
        <v/>
      </c>
      <c r="J51" s="21">
        <f ca="1">IF(CALC2223!AY51&gt;1,INDIRECT(ADDRESS(MATCH(Agenda2526!C52,'CAL2'!A:A,0)+1,3,4,1,"CAL2")),0)</f>
        <v>0</v>
      </c>
      <c r="K51" s="20" t="str">
        <f ca="1">IF(CALC2223!AY51&gt;2,INDIRECT(ADDRESS(MATCH(Agenda2526!C52,'CAL2'!A:A,0)+2,2,4,1,"CAL2")),"")</f>
        <v/>
      </c>
      <c r="L51" s="21">
        <f ca="1">IF(CALC2223!AY51&gt;2,INDIRECT(ADDRESS(MATCH(Agenda2526!C52,'CAL2'!A:A,0)+2,3,4,1,"CAL2")),0)</f>
        <v>0</v>
      </c>
      <c r="M51" s="20" t="str">
        <f ca="1">IF(CALC2223!AZ51&gt;0,INDIRECT(ADDRESS(MATCH(Agenda2526!C52,'CAL3'!A:A,0),2,4,1,"CAL3")),"")</f>
        <v/>
      </c>
      <c r="N51" s="21">
        <f ca="1">IF(CALC2223!AZ51&gt;0,INDIRECT(ADDRESS(MATCH(Agenda2526!C52,'CAL3'!A:A,0),3,4,1,"CAL3")),0)</f>
        <v>0</v>
      </c>
      <c r="O51" s="20" t="str">
        <f ca="1">IF(CALC2223!AZ51&gt;1,INDIRECT(ADDRESS(MATCH(Agenda2526!C52,'CAL3'!A:A,0)+1,2,4,1,"CAL3")),"")</f>
        <v/>
      </c>
      <c r="P51" s="21">
        <f ca="1">IF(CALC2223!AZ51&gt;1,INDIRECT(ADDRESS(MATCH(Agenda2526!C52,'CAL3'!A:A,0)+1,3,4,1,"CAL3")),0)</f>
        <v>0</v>
      </c>
      <c r="Q51" s="20" t="str">
        <f ca="1">IF(CALC2223!AZ51&gt;2,INDIRECT(ADDRESS(MATCH(Agenda2526!C52,'CAL3'!A:A,0)+2,2,4,1,"CAL3")),"")</f>
        <v/>
      </c>
      <c r="R51" s="21">
        <f ca="1">IF(CALC2223!AZ51&gt;2,INDIRECT(ADDRESS(MATCH(Agenda2526!C52,'CAL3'!A:A,0)+2,3,4,1,"CAL3")),0)</f>
        <v>0</v>
      </c>
      <c r="S51" s="20" t="str">
        <f ca="1">IF(CALC2223!BA51&gt;0,INDIRECT(ADDRESS(MATCH(Agenda2526!C52,'CAL4'!A:A,0),2,4,1,"CAL4")),"")</f>
        <v/>
      </c>
      <c r="T51" s="21">
        <f ca="1">IF(CALC2223!BA51&gt;0,INDIRECT(ADDRESS(MATCH(Agenda2526!C52,'CAL4'!A:A,0),3,4,1,"CAL4")),0)</f>
        <v>0</v>
      </c>
      <c r="U51" s="20" t="str">
        <f ca="1">IF(CALC2223!BA51&gt;1,INDIRECT(ADDRESS(MATCH(Agenda2526!C52,'CAL4'!A:A,0)+1,2,4,1,"CAL4")),"")</f>
        <v/>
      </c>
      <c r="V51" s="21">
        <f ca="1">IF(CALC2223!BA51&gt;1,INDIRECT(ADDRESS(MATCH(Agenda2526!C52,'CAL4'!A:A,0)+1,3,4,1,"CAL4")),0)</f>
        <v>0</v>
      </c>
      <c r="W51" s="20" t="str">
        <f ca="1">IF(CALC2223!BA51&gt;2,INDIRECT(ADDRESS(MATCH(Agenda2526!C52,'CAL4'!A:A,0)+2,2,4,1,"CAL4")),"")</f>
        <v/>
      </c>
      <c r="X51" s="21">
        <f ca="1">IF(CALC2223!BA51&gt;2,INDIRECT(ADDRESS(MATCH(Agenda2526!C52,'CAL4'!A:A,0)+2,3,4,1,"CAL4")),0)</f>
        <v>0</v>
      </c>
      <c r="Y51" s="20" t="str">
        <f ca="1">IF(CALC2223!BB51&gt;0,INDIRECT(ADDRESS(MATCH(Agenda2526!C52,'CAL5'!A:A,0),2,4,1,"CAL5")),"")</f>
        <v/>
      </c>
      <c r="Z51" s="21">
        <f ca="1">IF(CALC2223!BB51&gt;0,INDIRECT(ADDRESS(MATCH(Agenda2526!C52,'CAL5'!A:A,0),3,4,1,"CAL5")),0)</f>
        <v>0</v>
      </c>
      <c r="AA51" s="20" t="str">
        <f ca="1">IF(CALC2223!BB51&gt;1,INDIRECT(ADDRESS(MATCH(Agenda2526!C52,'CAL5'!A:A,0)+1,2,4,1,"CAL5")),"")</f>
        <v/>
      </c>
      <c r="AB51" s="21">
        <f ca="1">IF(CALC2223!BB51&gt;1,INDIRECT(ADDRESS(MATCH(Agenda2526!C52,'CAL5'!A:A,0)+1,3,4,1,"CAL5")),0)</f>
        <v>0</v>
      </c>
      <c r="AC51" s="20" t="str">
        <f ca="1">IF(CALC2223!BB51&gt;2,INDIRECT(ADDRESS(MATCH(Agenda2526!C52,'CAL5'!A:A,0)+2,2,4,1,"CAL5")),"")</f>
        <v/>
      </c>
      <c r="AD51" s="21">
        <f ca="1">IF(CALC2223!BB51&gt;2,INDIRECT(ADDRESS(MATCH(Agenda2526!C52,'CAL5'!A:A,0)+2,3,4,1,"CAL5")),0)</f>
        <v>0</v>
      </c>
      <c r="AE51" s="20" t="str">
        <f ca="1">IF(CALC2223!BC51&gt;0,INDIRECT(ADDRESS(MATCH(Agenda2526!C52,'CAL6'!A:A,0),2,4,1,"CAL6")),"")</f>
        <v/>
      </c>
      <c r="AF51" s="21">
        <f ca="1">IF(CALC2223!BC51&gt;0,INDIRECT(ADDRESS(MATCH(Agenda2526!C52,'CAL6'!A:A,0),3,4,1,"CAL6")),0)</f>
        <v>0</v>
      </c>
      <c r="AG51" s="20" t="str">
        <f ca="1">IF(CALC2223!BC51&gt;1,INDIRECT(ADDRESS(MATCH(Agenda2526!C52,'CAL6'!A:A,0)+1,2,4,1,"CAL6")),"")</f>
        <v/>
      </c>
      <c r="AH51" s="21">
        <f ca="1">IF(CALC2223!BC51&gt;1,INDIRECT(ADDRESS(MATCH(Agenda2526!C52,'CAL6'!A:A,0)+1,3,4,1,"CAL6")),0)</f>
        <v>0</v>
      </c>
      <c r="AI51" s="20" t="str">
        <f ca="1">IF(CALC2223!BC51&gt;2,INDIRECT(ADDRESS(MATCH(Agenda2526!C52,'CAL6'!A:A,0)+2,2,4,1,"CAL6")),"")</f>
        <v/>
      </c>
      <c r="AJ51" s="21">
        <f ca="1">IF(CALC2223!BC51&gt;2,INDIRECT(ADDRESS(MATCH(Agenda2526!C52,'CAL6'!A:A,0)+2,3,4,1,"CAL6")),0)</f>
        <v>0</v>
      </c>
      <c r="AK51" s="20" t="str">
        <f ca="1">IF(CALC2223!BD51&gt;0,INDIRECT(ADDRESS(MATCH(Agenda2526!C52,'CAL7'!A:A,0),2,4,1,"CAL7")),"")</f>
        <v/>
      </c>
      <c r="AL51" s="21">
        <f ca="1">IF(CALC2223!BD51&gt;0,INDIRECT(ADDRESS(MATCH(Agenda2526!C52,'CAL7'!A:A,0),3,4,1,"CAL7")),0)</f>
        <v>0</v>
      </c>
      <c r="AM51" s="20" t="str">
        <f ca="1">IF(CALC2223!BD51&gt;1,INDIRECT(ADDRESS(MATCH(Agenda2526!C52,'CAL7'!A:A,0)+1,2,4,1,"CAL7")),"")</f>
        <v/>
      </c>
      <c r="AN51" s="21">
        <f ca="1">IF(CALC2223!BD51&gt;1,INDIRECT(ADDRESS(MATCH(Agenda2526!C52,'CAL7'!A:A,0)+1,3,4,1,"CAL7")),0)</f>
        <v>0</v>
      </c>
      <c r="AO51" s="20" t="str">
        <f ca="1">IF(CALC2223!BD51&gt;2,INDIRECT(ADDRESS(MATCH(Agenda2526!C52,'CAL7'!A:A,0)+2,2,4,1,"CAL7")),"")</f>
        <v/>
      </c>
      <c r="AP51" s="21">
        <f ca="1">IF(CALC2223!BD51&gt;2,INDIRECT(ADDRESS(MATCH(Agenda2526!C52,'CAL7'!A:A,0)+2,3,4,1,"CAL7")),0)</f>
        <v>0</v>
      </c>
      <c r="AQ51" s="20" t="str">
        <f ca="1">IF(CALC2223!BE51&gt;0,INDIRECT(ADDRESS(MATCH(Agenda2526!C52,'CAL8'!A:A,0),2,4,1,"CAL8")),"")</f>
        <v/>
      </c>
      <c r="AR51" s="21">
        <f ca="1">IF(CALC2223!BE51&gt;0,INDIRECT(ADDRESS(MATCH(Agenda2526!C52,'CAL8'!A:A,0),3,4,1,"CAL8")),0)</f>
        <v>0</v>
      </c>
      <c r="AS51" s="20" t="str">
        <f ca="1">IF(CALC2223!BE51&gt;1,INDIRECT(ADDRESS(MATCH(Agenda2526!C52,'CAL8'!A:A,0)+1,2,4,1,"CAL8")),"")</f>
        <v/>
      </c>
      <c r="AT51" s="21">
        <f ca="1">IF(CALC2223!BE51&gt;1,INDIRECT(ADDRESS(MATCH(Agenda2526!C52,'CAL8'!A:A,0)+1,3,4,1,"CAL8")),0)</f>
        <v>0</v>
      </c>
      <c r="AU51" s="20" t="str">
        <f ca="1">IF(CALC2223!BE51&gt;2,INDIRECT(ADDRESS(MATCH(Agenda2526!C52,'CAL8'!A:A,0)+2,2,4,1,"CAL8")),"")</f>
        <v/>
      </c>
      <c r="AV51" s="21">
        <f ca="1">IF(CALC2223!BE51&gt;2,INDIRECT(ADDRESS(MATCH(Agenda2526!C52,'CAL8'!A:A,0)+2,3,4,1,"CAL8")),0)</f>
        <v>0</v>
      </c>
      <c r="AW51" s="107" t="s">
        <v>119</v>
      </c>
      <c r="AX51" s="20">
        <f>COUNTIF('CAL1'!A:A,Agenda2526!C52)</f>
        <v>0</v>
      </c>
      <c r="AY51" s="20">
        <f>COUNTIF('CAL2'!A:A,Agenda2526!C52)</f>
        <v>0</v>
      </c>
      <c r="AZ51" s="20">
        <f>COUNTIF('CAL3'!A:A,Agenda2526!C52)</f>
        <v>0</v>
      </c>
      <c r="BA51" s="20">
        <f>COUNTIF('CAL4'!A:A,Agenda2526!C52)</f>
        <v>0</v>
      </c>
      <c r="BB51" s="20">
        <f>COUNTIF('CAL5'!A:A,Agenda2526!C52)</f>
        <v>0</v>
      </c>
      <c r="BC51" s="20">
        <f>COUNTIF('CAL6'!A:A,Agenda2526!C52)</f>
        <v>0</v>
      </c>
      <c r="BD51" s="20">
        <f>COUNTIF('CAL7'!A:A,Agenda2526!C52)</f>
        <v>0</v>
      </c>
      <c r="BE51" s="20">
        <f>COUNTIF('CAL8'!A:A,Agenda2526!C52)</f>
        <v>0</v>
      </c>
    </row>
    <row r="52" spans="1:57" ht="15.75" customHeight="1">
      <c r="A52" s="20" t="str">
        <f ca="1">IF(CALC2223!AX52&gt;0,INDIRECT(ADDRESS(MATCH(Agenda2526!C53,'CAL1'!A:A,0),2,4,1,"CAL1")),"")</f>
        <v/>
      </c>
      <c r="B52" s="21">
        <f ca="1">IF(CALC2223!AX52&gt;0,INDIRECT(ADDRESS(MATCH(Agenda2526!C53,'CAL1'!A:A,0),3,4,1,"CAL1")),0)</f>
        <v>0</v>
      </c>
      <c r="C52" s="20" t="str">
        <f ca="1">IF(CALC2223!AX52&gt;1,INDIRECT(ADDRESS(MATCH(Agenda2526!C53,'CAL1'!A:A,0)+1,2,4,1,"CAL1")),"")</f>
        <v/>
      </c>
      <c r="D52" s="21">
        <f ca="1">IF(CALC2223!AX52&gt;1,INDIRECT(ADDRESS(MATCH(Agenda2526!C53,'CAL1'!A:A,0)+1,3,4,1,"CAL1")),0)</f>
        <v>0</v>
      </c>
      <c r="E52" s="20" t="str">
        <f ca="1">IF(CALC2223!AX52&gt;2,INDIRECT(ADDRESS(MATCH(Agenda2526!C53,'CAL1'!A:A,0)+2,2,4,1,"CAL1")),"")</f>
        <v/>
      </c>
      <c r="F52" s="21">
        <f ca="1">IF(CALC2223!AX52&gt;2,INDIRECT(ADDRESS(MATCH(Agenda2526!C53,'CAL1'!A:A,0)+2,3,4,1,"CAL1")),0)</f>
        <v>0</v>
      </c>
      <c r="G52" s="20" t="str">
        <f ca="1">IF(CALC2223!AY52&gt;0,INDIRECT(ADDRESS(MATCH(Agenda2526!C53,'CAL2'!A:A,0),2,4,1,"CAL2")),"")</f>
        <v/>
      </c>
      <c r="H52" s="21">
        <f ca="1">IF(CALC2223!AY52&gt;0,INDIRECT(ADDRESS(MATCH(Agenda2526!C53,'CAL2'!A:A,0),3,4,1,"CAL2")),0)</f>
        <v>0</v>
      </c>
      <c r="I52" s="20" t="str">
        <f ca="1">IF(CALC2223!AY52&gt;1,INDIRECT(ADDRESS(MATCH(Agenda2526!C53,'CAL2'!A:A,0)+1,2,4,1,"CAL2")),"")</f>
        <v/>
      </c>
      <c r="J52" s="21">
        <f ca="1">IF(CALC2223!AY52&gt;1,INDIRECT(ADDRESS(MATCH(Agenda2526!C53,'CAL2'!A:A,0)+1,3,4,1,"CAL2")),0)</f>
        <v>0</v>
      </c>
      <c r="K52" s="20" t="str">
        <f ca="1">IF(CALC2223!AY52&gt;2,INDIRECT(ADDRESS(MATCH(Agenda2526!C53,'CAL2'!A:A,0)+2,2,4,1,"CAL2")),"")</f>
        <v/>
      </c>
      <c r="L52" s="21">
        <f ca="1">IF(CALC2223!AY52&gt;2,INDIRECT(ADDRESS(MATCH(Agenda2526!C53,'CAL2'!A:A,0)+2,3,4,1,"CAL2")),0)</f>
        <v>0</v>
      </c>
      <c r="M52" s="20" t="str">
        <f ca="1">IF(CALC2223!AZ52&gt;0,INDIRECT(ADDRESS(MATCH(Agenda2526!C53,'CAL3'!A:A,0),2,4,1,"CAL3")),"")</f>
        <v/>
      </c>
      <c r="N52" s="21">
        <f ca="1">IF(CALC2223!AZ52&gt;0,INDIRECT(ADDRESS(MATCH(Agenda2526!C53,'CAL3'!A:A,0),3,4,1,"CAL3")),0)</f>
        <v>0</v>
      </c>
      <c r="O52" s="20" t="str">
        <f ca="1">IF(CALC2223!AZ52&gt;1,INDIRECT(ADDRESS(MATCH(Agenda2526!C53,'CAL3'!A:A,0)+1,2,4,1,"CAL3")),"")</f>
        <v/>
      </c>
      <c r="P52" s="21">
        <f ca="1">IF(CALC2223!AZ52&gt;1,INDIRECT(ADDRESS(MATCH(Agenda2526!C53,'CAL3'!A:A,0)+1,3,4,1,"CAL3")),0)</f>
        <v>0</v>
      </c>
      <c r="Q52" s="20" t="str">
        <f ca="1">IF(CALC2223!AZ52&gt;2,INDIRECT(ADDRESS(MATCH(Agenda2526!C53,'CAL3'!A:A,0)+2,2,4,1,"CAL3")),"")</f>
        <v/>
      </c>
      <c r="R52" s="21">
        <f ca="1">IF(CALC2223!AZ52&gt;2,INDIRECT(ADDRESS(MATCH(Agenda2526!C53,'CAL3'!A:A,0)+2,3,4,1,"CAL3")),0)</f>
        <v>0</v>
      </c>
      <c r="S52" s="20" t="str">
        <f ca="1">IF(CALC2223!BA52&gt;0,INDIRECT(ADDRESS(MATCH(Agenda2526!C53,'CAL4'!A:A,0),2,4,1,"CAL4")),"")</f>
        <v/>
      </c>
      <c r="T52" s="21">
        <f ca="1">IF(CALC2223!BA52&gt;0,INDIRECT(ADDRESS(MATCH(Agenda2526!C53,'CAL4'!A:A,0),3,4,1,"CAL4")),0)</f>
        <v>0</v>
      </c>
      <c r="U52" s="20" t="str">
        <f ca="1">IF(CALC2223!BA52&gt;1,INDIRECT(ADDRESS(MATCH(Agenda2526!C53,'CAL4'!A:A,0)+1,2,4,1,"CAL4")),"")</f>
        <v/>
      </c>
      <c r="V52" s="21">
        <f ca="1">IF(CALC2223!BA52&gt;1,INDIRECT(ADDRESS(MATCH(Agenda2526!C53,'CAL4'!A:A,0)+1,3,4,1,"CAL4")),0)</f>
        <v>0</v>
      </c>
      <c r="W52" s="20" t="str">
        <f ca="1">IF(CALC2223!BA52&gt;2,INDIRECT(ADDRESS(MATCH(Agenda2526!C53,'CAL4'!A:A,0)+2,2,4,1,"CAL4")),"")</f>
        <v/>
      </c>
      <c r="X52" s="21">
        <f ca="1">IF(CALC2223!BA52&gt;2,INDIRECT(ADDRESS(MATCH(Agenda2526!C53,'CAL4'!A:A,0)+2,3,4,1,"CAL4")),0)</f>
        <v>0</v>
      </c>
      <c r="Y52" s="20" t="str">
        <f ca="1">IF(CALC2223!BB52&gt;0,INDIRECT(ADDRESS(MATCH(Agenda2526!C53,'CAL5'!A:A,0),2,4,1,"CAL5")),"")</f>
        <v/>
      </c>
      <c r="Z52" s="21">
        <f ca="1">IF(CALC2223!BB52&gt;0,INDIRECT(ADDRESS(MATCH(Agenda2526!C53,'CAL5'!A:A,0),3,4,1,"CAL5")),0)</f>
        <v>0</v>
      </c>
      <c r="AA52" s="20" t="str">
        <f ca="1">IF(CALC2223!BB52&gt;1,INDIRECT(ADDRESS(MATCH(Agenda2526!C53,'CAL5'!A:A,0)+1,2,4,1,"CAL5")),"")</f>
        <v/>
      </c>
      <c r="AB52" s="21">
        <f ca="1">IF(CALC2223!BB52&gt;1,INDIRECT(ADDRESS(MATCH(Agenda2526!C53,'CAL5'!A:A,0)+1,3,4,1,"CAL5")),0)</f>
        <v>0</v>
      </c>
      <c r="AC52" s="20" t="str">
        <f ca="1">IF(CALC2223!BB52&gt;2,INDIRECT(ADDRESS(MATCH(Agenda2526!C53,'CAL5'!A:A,0)+2,2,4,1,"CAL5")),"")</f>
        <v/>
      </c>
      <c r="AD52" s="21">
        <f ca="1">IF(CALC2223!BB52&gt;2,INDIRECT(ADDRESS(MATCH(Agenda2526!C53,'CAL5'!A:A,0)+2,3,4,1,"CAL5")),0)</f>
        <v>0</v>
      </c>
      <c r="AE52" s="20" t="str">
        <f ca="1">IF(CALC2223!BC52&gt;0,INDIRECT(ADDRESS(MATCH(Agenda2526!C53,'CAL6'!A:A,0),2,4,1,"CAL6")),"")</f>
        <v/>
      </c>
      <c r="AF52" s="21">
        <f ca="1">IF(CALC2223!BC52&gt;0,INDIRECT(ADDRESS(MATCH(Agenda2526!C53,'CAL6'!A:A,0),3,4,1,"CAL6")),0)</f>
        <v>0</v>
      </c>
      <c r="AG52" s="20" t="str">
        <f ca="1">IF(CALC2223!BC52&gt;1,INDIRECT(ADDRESS(MATCH(Agenda2526!C53,'CAL6'!A:A,0)+1,2,4,1,"CAL6")),"")</f>
        <v/>
      </c>
      <c r="AH52" s="21">
        <f ca="1">IF(CALC2223!BC52&gt;1,INDIRECT(ADDRESS(MATCH(Agenda2526!C53,'CAL6'!A:A,0)+1,3,4,1,"CAL6")),0)</f>
        <v>0</v>
      </c>
      <c r="AI52" s="20" t="str">
        <f ca="1">IF(CALC2223!BC52&gt;2,INDIRECT(ADDRESS(MATCH(Agenda2526!C53,'CAL6'!A:A,0)+2,2,4,1,"CAL6")),"")</f>
        <v/>
      </c>
      <c r="AJ52" s="21">
        <f ca="1">IF(CALC2223!BC52&gt;2,INDIRECT(ADDRESS(MATCH(Agenda2526!C53,'CAL6'!A:A,0)+2,3,4,1,"CAL6")),0)</f>
        <v>0</v>
      </c>
      <c r="AK52" s="20" t="str">
        <f ca="1">IF(CALC2223!BD52&gt;0,INDIRECT(ADDRESS(MATCH(Agenda2526!C53,'CAL7'!A:A,0),2,4,1,"CAL7")),"")</f>
        <v/>
      </c>
      <c r="AL52" s="21">
        <f ca="1">IF(CALC2223!BD52&gt;0,INDIRECT(ADDRESS(MATCH(Agenda2526!C53,'CAL7'!A:A,0),3,4,1,"CAL7")),0)</f>
        <v>0</v>
      </c>
      <c r="AM52" s="20" t="str">
        <f ca="1">IF(CALC2223!BD52&gt;1,INDIRECT(ADDRESS(MATCH(Agenda2526!C53,'CAL7'!A:A,0)+1,2,4,1,"CAL7")),"")</f>
        <v/>
      </c>
      <c r="AN52" s="21">
        <f ca="1">IF(CALC2223!BD52&gt;1,INDIRECT(ADDRESS(MATCH(Agenda2526!C53,'CAL7'!A:A,0)+1,3,4,1,"CAL7")),0)</f>
        <v>0</v>
      </c>
      <c r="AO52" s="20" t="str">
        <f ca="1">IF(CALC2223!BD52&gt;2,INDIRECT(ADDRESS(MATCH(Agenda2526!C53,'CAL7'!A:A,0)+2,2,4,1,"CAL7")),"")</f>
        <v/>
      </c>
      <c r="AP52" s="21">
        <f ca="1">IF(CALC2223!BD52&gt;2,INDIRECT(ADDRESS(MATCH(Agenda2526!C53,'CAL7'!A:A,0)+2,3,4,1,"CAL7")),0)</f>
        <v>0</v>
      </c>
      <c r="AQ52" s="20" t="str">
        <f ca="1">IF(CALC2223!BE52&gt;0,INDIRECT(ADDRESS(MATCH(Agenda2526!C53,'CAL8'!A:A,0),2,4,1,"CAL8")),"")</f>
        <v/>
      </c>
      <c r="AR52" s="21">
        <f ca="1">IF(CALC2223!BE52&gt;0,INDIRECT(ADDRESS(MATCH(Agenda2526!C53,'CAL8'!A:A,0),3,4,1,"CAL8")),0)</f>
        <v>0</v>
      </c>
      <c r="AS52" s="20" t="str">
        <f ca="1">IF(CALC2223!BE52&gt;1,INDIRECT(ADDRESS(MATCH(Agenda2526!C53,'CAL8'!A:A,0)+1,2,4,1,"CAL8")),"")</f>
        <v/>
      </c>
      <c r="AT52" s="21">
        <f ca="1">IF(CALC2223!BE52&gt;1,INDIRECT(ADDRESS(MATCH(Agenda2526!C53,'CAL8'!A:A,0)+1,3,4,1,"CAL8")),0)</f>
        <v>0</v>
      </c>
      <c r="AU52" s="20" t="str">
        <f ca="1">IF(CALC2223!BE52&gt;2,INDIRECT(ADDRESS(MATCH(Agenda2526!C53,'CAL8'!A:A,0)+2,2,4,1,"CAL8")),"")</f>
        <v/>
      </c>
      <c r="AV52" s="21">
        <f ca="1">IF(CALC2223!BE52&gt;2,INDIRECT(ADDRESS(MATCH(Agenda2526!C53,'CAL8'!A:A,0)+2,3,4,1,"CAL8")),0)</f>
        <v>0</v>
      </c>
      <c r="AW52" s="107"/>
      <c r="AX52" s="20">
        <f>COUNTIF('CAL1'!A:A,Agenda2526!C53)</f>
        <v>0</v>
      </c>
      <c r="AY52" s="20">
        <f>COUNTIF('CAL2'!A:A,Agenda2526!C53)</f>
        <v>0</v>
      </c>
      <c r="AZ52" s="20">
        <f>COUNTIF('CAL3'!A:A,Agenda2526!C53)</f>
        <v>0</v>
      </c>
      <c r="BA52" s="20">
        <f>COUNTIF('CAL4'!A:A,Agenda2526!C53)</f>
        <v>0</v>
      </c>
      <c r="BB52" s="20">
        <f>COUNTIF('CAL5'!A:A,Agenda2526!C53)</f>
        <v>0</v>
      </c>
      <c r="BC52" s="20">
        <f>COUNTIF('CAL6'!A:A,Agenda2526!C53)</f>
        <v>0</v>
      </c>
      <c r="BD52" s="20">
        <f>COUNTIF('CAL7'!A:A,Agenda2526!C53)</f>
        <v>0</v>
      </c>
      <c r="BE52" s="20">
        <f>COUNTIF('CAL8'!A:A,Agenda2526!C53)</f>
        <v>0</v>
      </c>
    </row>
    <row r="53" spans="1:57" ht="15.75" customHeight="1">
      <c r="A53" s="20" t="str">
        <f ca="1">IF(CALC2223!AX53&gt;0,INDIRECT(ADDRESS(MATCH(Agenda2526!C54,'CAL1'!A:A,0),2,4,1,"CAL1")),"")</f>
        <v/>
      </c>
      <c r="B53" s="21">
        <f ca="1">IF(CALC2223!AX53&gt;0,INDIRECT(ADDRESS(MATCH(Agenda2526!C54,'CAL1'!A:A,0),3,4,1,"CAL1")),0)</f>
        <v>0</v>
      </c>
      <c r="C53" s="20" t="str">
        <f ca="1">IF(CALC2223!AX53&gt;1,INDIRECT(ADDRESS(MATCH(Agenda2526!C54,'CAL1'!A:A,0)+1,2,4,1,"CAL1")),"")</f>
        <v/>
      </c>
      <c r="D53" s="21">
        <f ca="1">IF(CALC2223!AX53&gt;1,INDIRECT(ADDRESS(MATCH(Agenda2526!C54,'CAL1'!A:A,0)+1,3,4,1,"CAL1")),0)</f>
        <v>0</v>
      </c>
      <c r="E53" s="20" t="str">
        <f ca="1">IF(CALC2223!AX53&gt;2,INDIRECT(ADDRESS(MATCH(Agenda2526!C54,'CAL1'!A:A,0)+2,2,4,1,"CAL1")),"")</f>
        <v/>
      </c>
      <c r="F53" s="21">
        <f ca="1">IF(CALC2223!AX53&gt;2,INDIRECT(ADDRESS(MATCH(Agenda2526!C54,'CAL1'!A:A,0)+2,3,4,1,"CAL1")),0)</f>
        <v>0</v>
      </c>
      <c r="G53" s="20" t="str">
        <f ca="1">IF(CALC2223!AY53&gt;0,INDIRECT(ADDRESS(MATCH(Agenda2526!C54,'CAL2'!A:A,0),2,4,1,"CAL2")),"")</f>
        <v/>
      </c>
      <c r="H53" s="21">
        <f ca="1">IF(CALC2223!AY53&gt;0,INDIRECT(ADDRESS(MATCH(Agenda2526!C54,'CAL2'!A:A,0),3,4,1,"CAL2")),0)</f>
        <v>0</v>
      </c>
      <c r="I53" s="20" t="str">
        <f ca="1">IF(CALC2223!AY53&gt;1,INDIRECT(ADDRESS(MATCH(Agenda2526!C54,'CAL2'!A:A,0)+1,2,4,1,"CAL2")),"")</f>
        <v/>
      </c>
      <c r="J53" s="21">
        <f ca="1">IF(CALC2223!AY53&gt;1,INDIRECT(ADDRESS(MATCH(Agenda2526!C54,'CAL2'!A:A,0)+1,3,4,1,"CAL2")),0)</f>
        <v>0</v>
      </c>
      <c r="K53" s="20" t="str">
        <f ca="1">IF(CALC2223!AY53&gt;2,INDIRECT(ADDRESS(MATCH(Agenda2526!C54,'CAL2'!A:A,0)+2,2,4,1,"CAL2")),"")</f>
        <v/>
      </c>
      <c r="L53" s="21">
        <f ca="1">IF(CALC2223!AY53&gt;2,INDIRECT(ADDRESS(MATCH(Agenda2526!C54,'CAL2'!A:A,0)+2,3,4,1,"CAL2")),0)</f>
        <v>0</v>
      </c>
      <c r="M53" s="20" t="str">
        <f ca="1">IF(CALC2223!AZ53&gt;0,INDIRECT(ADDRESS(MATCH(Agenda2526!C54,'CAL3'!A:A,0),2,4,1,"CAL3")),"")</f>
        <v/>
      </c>
      <c r="N53" s="21">
        <f ca="1">IF(CALC2223!AZ53&gt;0,INDIRECT(ADDRESS(MATCH(Agenda2526!C54,'CAL3'!A:A,0),3,4,1,"CAL3")),0)</f>
        <v>0</v>
      </c>
      <c r="O53" s="20" t="str">
        <f ca="1">IF(CALC2223!AZ53&gt;1,INDIRECT(ADDRESS(MATCH(Agenda2526!C54,'CAL3'!A:A,0)+1,2,4,1,"CAL3")),"")</f>
        <v/>
      </c>
      <c r="P53" s="21">
        <f ca="1">IF(CALC2223!AZ53&gt;1,INDIRECT(ADDRESS(MATCH(Agenda2526!C54,'CAL3'!A:A,0)+1,3,4,1,"CAL3")),0)</f>
        <v>0</v>
      </c>
      <c r="Q53" s="20" t="str">
        <f ca="1">IF(CALC2223!AZ53&gt;2,INDIRECT(ADDRESS(MATCH(Agenda2526!C54,'CAL3'!A:A,0)+2,2,4,1,"CAL3")),"")</f>
        <v/>
      </c>
      <c r="R53" s="21">
        <f ca="1">IF(CALC2223!AZ53&gt;2,INDIRECT(ADDRESS(MATCH(Agenda2526!C54,'CAL3'!A:A,0)+2,3,4,1,"CAL3")),0)</f>
        <v>0</v>
      </c>
      <c r="S53" s="20" t="str">
        <f ca="1">IF(CALC2223!BA53&gt;0,INDIRECT(ADDRESS(MATCH(Agenda2526!C54,'CAL4'!A:A,0),2,4,1,"CAL4")),"")</f>
        <v/>
      </c>
      <c r="T53" s="21">
        <f ca="1">IF(CALC2223!BA53&gt;0,INDIRECT(ADDRESS(MATCH(Agenda2526!C54,'CAL4'!A:A,0),3,4,1,"CAL4")),0)</f>
        <v>0</v>
      </c>
      <c r="U53" s="20" t="str">
        <f ca="1">IF(CALC2223!BA53&gt;1,INDIRECT(ADDRESS(MATCH(Agenda2526!C54,'CAL4'!A:A,0)+1,2,4,1,"CAL4")),"")</f>
        <v/>
      </c>
      <c r="V53" s="21">
        <f ca="1">IF(CALC2223!BA53&gt;1,INDIRECT(ADDRESS(MATCH(Agenda2526!C54,'CAL4'!A:A,0)+1,3,4,1,"CAL4")),0)</f>
        <v>0</v>
      </c>
      <c r="W53" s="20" t="str">
        <f ca="1">IF(CALC2223!BA53&gt;2,INDIRECT(ADDRESS(MATCH(Agenda2526!C54,'CAL4'!A:A,0)+2,2,4,1,"CAL4")),"")</f>
        <v/>
      </c>
      <c r="X53" s="21">
        <f ca="1">IF(CALC2223!BA53&gt;2,INDIRECT(ADDRESS(MATCH(Agenda2526!C54,'CAL4'!A:A,0)+2,3,4,1,"CAL4")),0)</f>
        <v>0</v>
      </c>
      <c r="Y53" s="20" t="str">
        <f ca="1">IF(CALC2223!BB53&gt;0,INDIRECT(ADDRESS(MATCH(Agenda2526!C54,'CAL5'!A:A,0),2,4,1,"CAL5")),"")</f>
        <v/>
      </c>
      <c r="Z53" s="21">
        <f ca="1">IF(CALC2223!BB53&gt;0,INDIRECT(ADDRESS(MATCH(Agenda2526!C54,'CAL5'!A:A,0),3,4,1,"CAL5")),0)</f>
        <v>0</v>
      </c>
      <c r="AA53" s="20" t="str">
        <f ca="1">IF(CALC2223!BB53&gt;1,INDIRECT(ADDRESS(MATCH(Agenda2526!C54,'CAL5'!A:A,0)+1,2,4,1,"CAL5")),"")</f>
        <v/>
      </c>
      <c r="AB53" s="21">
        <f ca="1">IF(CALC2223!BB53&gt;1,INDIRECT(ADDRESS(MATCH(Agenda2526!C54,'CAL5'!A:A,0)+1,3,4,1,"CAL5")),0)</f>
        <v>0</v>
      </c>
      <c r="AC53" s="20" t="str">
        <f ca="1">IF(CALC2223!BB53&gt;2,INDIRECT(ADDRESS(MATCH(Agenda2526!C54,'CAL5'!A:A,0)+2,2,4,1,"CAL5")),"")</f>
        <v/>
      </c>
      <c r="AD53" s="21">
        <f ca="1">IF(CALC2223!BB53&gt;2,INDIRECT(ADDRESS(MATCH(Agenda2526!C54,'CAL5'!A:A,0)+2,3,4,1,"CAL5")),0)</f>
        <v>0</v>
      </c>
      <c r="AE53" s="20" t="str">
        <f ca="1">IF(CALC2223!BC53&gt;0,INDIRECT(ADDRESS(MATCH(Agenda2526!C54,'CAL6'!A:A,0),2,4,1,"CAL6")),"")</f>
        <v/>
      </c>
      <c r="AF53" s="21">
        <f ca="1">IF(CALC2223!BC53&gt;0,INDIRECT(ADDRESS(MATCH(Agenda2526!C54,'CAL6'!A:A,0),3,4,1,"CAL6")),0)</f>
        <v>0</v>
      </c>
      <c r="AG53" s="20" t="str">
        <f ca="1">IF(CALC2223!BC53&gt;1,INDIRECT(ADDRESS(MATCH(Agenda2526!C54,'CAL6'!A:A,0)+1,2,4,1,"CAL6")),"")</f>
        <v/>
      </c>
      <c r="AH53" s="21">
        <f ca="1">IF(CALC2223!BC53&gt;1,INDIRECT(ADDRESS(MATCH(Agenda2526!C54,'CAL6'!A:A,0)+1,3,4,1,"CAL6")),0)</f>
        <v>0</v>
      </c>
      <c r="AI53" s="20" t="str">
        <f ca="1">IF(CALC2223!BC53&gt;2,INDIRECT(ADDRESS(MATCH(Agenda2526!C54,'CAL6'!A:A,0)+2,2,4,1,"CAL6")),"")</f>
        <v/>
      </c>
      <c r="AJ53" s="21">
        <f ca="1">IF(CALC2223!BC53&gt;2,INDIRECT(ADDRESS(MATCH(Agenda2526!C54,'CAL6'!A:A,0)+2,3,4,1,"CAL6")),0)</f>
        <v>0</v>
      </c>
      <c r="AK53" s="20" t="str">
        <f ca="1">IF(CALC2223!BD53&gt;0,INDIRECT(ADDRESS(MATCH(Agenda2526!C54,'CAL7'!A:A,0),2,4,1,"CAL7")),"")</f>
        <v/>
      </c>
      <c r="AL53" s="21">
        <f ca="1">IF(CALC2223!BD53&gt;0,INDIRECT(ADDRESS(MATCH(Agenda2526!C54,'CAL7'!A:A,0),3,4,1,"CAL7")),0)</f>
        <v>0</v>
      </c>
      <c r="AM53" s="20" t="str">
        <f ca="1">IF(CALC2223!BD53&gt;1,INDIRECT(ADDRESS(MATCH(Agenda2526!C54,'CAL7'!A:A,0)+1,2,4,1,"CAL7")),"")</f>
        <v/>
      </c>
      <c r="AN53" s="21">
        <f ca="1">IF(CALC2223!BD53&gt;1,INDIRECT(ADDRESS(MATCH(Agenda2526!C54,'CAL7'!A:A,0)+1,3,4,1,"CAL7")),0)</f>
        <v>0</v>
      </c>
      <c r="AO53" s="20" t="str">
        <f ca="1">IF(CALC2223!BD53&gt;2,INDIRECT(ADDRESS(MATCH(Agenda2526!C54,'CAL7'!A:A,0)+2,2,4,1,"CAL7")),"")</f>
        <v/>
      </c>
      <c r="AP53" s="21">
        <f ca="1">IF(CALC2223!BD53&gt;2,INDIRECT(ADDRESS(MATCH(Agenda2526!C54,'CAL7'!A:A,0)+2,3,4,1,"CAL7")),0)</f>
        <v>0</v>
      </c>
      <c r="AQ53" s="20" t="str">
        <f ca="1">IF(CALC2223!BE53&gt;0,INDIRECT(ADDRESS(MATCH(Agenda2526!C54,'CAL8'!A:A,0),2,4,1,"CAL8")),"")</f>
        <v/>
      </c>
      <c r="AR53" s="21">
        <f ca="1">IF(CALC2223!BE53&gt;0,INDIRECT(ADDRESS(MATCH(Agenda2526!C54,'CAL8'!A:A,0),3,4,1,"CAL8")),0)</f>
        <v>0</v>
      </c>
      <c r="AS53" s="20" t="str">
        <f ca="1">IF(CALC2223!BE53&gt;1,INDIRECT(ADDRESS(MATCH(Agenda2526!C54,'CAL8'!A:A,0)+1,2,4,1,"CAL8")),"")</f>
        <v/>
      </c>
      <c r="AT53" s="21">
        <f ca="1">IF(CALC2223!BE53&gt;1,INDIRECT(ADDRESS(MATCH(Agenda2526!C54,'CAL8'!A:A,0)+1,3,4,1,"CAL8")),0)</f>
        <v>0</v>
      </c>
      <c r="AU53" s="20" t="str">
        <f ca="1">IF(CALC2223!BE53&gt;2,INDIRECT(ADDRESS(MATCH(Agenda2526!C54,'CAL8'!A:A,0)+2,2,4,1,"CAL8")),"")</f>
        <v/>
      </c>
      <c r="AV53" s="21">
        <f ca="1">IF(CALC2223!BE53&gt;2,INDIRECT(ADDRESS(MATCH(Agenda2526!C54,'CAL8'!A:A,0)+2,3,4,1,"CAL8")),0)</f>
        <v>0</v>
      </c>
      <c r="AW53" s="107"/>
      <c r="AX53" s="20">
        <f>COUNTIF('CAL1'!A:A,Agenda2526!C54)</f>
        <v>0</v>
      </c>
      <c r="AY53" s="20">
        <f>COUNTIF('CAL2'!A:A,Agenda2526!C54)</f>
        <v>0</v>
      </c>
      <c r="AZ53" s="20">
        <f>COUNTIF('CAL3'!A:A,Agenda2526!C54)</f>
        <v>0</v>
      </c>
      <c r="BA53" s="20">
        <f>COUNTIF('CAL4'!A:A,Agenda2526!C54)</f>
        <v>0</v>
      </c>
      <c r="BB53" s="20">
        <f>COUNTIF('CAL5'!A:A,Agenda2526!C54)</f>
        <v>0</v>
      </c>
      <c r="BC53" s="20">
        <f>COUNTIF('CAL6'!A:A,Agenda2526!C54)</f>
        <v>0</v>
      </c>
      <c r="BD53" s="20">
        <f>COUNTIF('CAL7'!A:A,Agenda2526!C54)</f>
        <v>0</v>
      </c>
      <c r="BE53" s="20">
        <f>COUNTIF('CAL8'!A:A,Agenda2526!C54)</f>
        <v>0</v>
      </c>
    </row>
    <row r="54" spans="1:57" ht="15.75" customHeight="1">
      <c r="A54" s="20" t="str">
        <f ca="1">IF(CALC2223!AX54&gt;0,INDIRECT(ADDRESS(MATCH(Agenda2526!C55,'CAL1'!A:A,0),2,4,1,"CAL1")),"")</f>
        <v/>
      </c>
      <c r="B54" s="21">
        <f ca="1">IF(CALC2223!AX54&gt;0,INDIRECT(ADDRESS(MATCH(Agenda2526!C55,'CAL1'!A:A,0),3,4,1,"CAL1")),0)</f>
        <v>0</v>
      </c>
      <c r="C54" s="20" t="str">
        <f ca="1">IF(CALC2223!AX54&gt;1,INDIRECT(ADDRESS(MATCH(Agenda2526!C55,'CAL1'!A:A,0)+1,2,4,1,"CAL1")),"")</f>
        <v/>
      </c>
      <c r="D54" s="21">
        <f ca="1">IF(CALC2223!AX54&gt;1,INDIRECT(ADDRESS(MATCH(Agenda2526!C55,'CAL1'!A:A,0)+1,3,4,1,"CAL1")),0)</f>
        <v>0</v>
      </c>
      <c r="E54" s="20" t="str">
        <f ca="1">IF(CALC2223!AX54&gt;2,INDIRECT(ADDRESS(MATCH(Agenda2526!C55,'CAL1'!A:A,0)+2,2,4,1,"CAL1")),"")</f>
        <v/>
      </c>
      <c r="F54" s="21">
        <f ca="1">IF(CALC2223!AX54&gt;2,INDIRECT(ADDRESS(MATCH(Agenda2526!C55,'CAL1'!A:A,0)+2,3,4,1,"CAL1")),0)</f>
        <v>0</v>
      </c>
      <c r="G54" s="20" t="str">
        <f ca="1">IF(CALC2223!AY54&gt;0,INDIRECT(ADDRESS(MATCH(Agenda2526!C55,'CAL2'!A:A,0),2,4,1,"CAL2")),"")</f>
        <v/>
      </c>
      <c r="H54" s="21">
        <f ca="1">IF(CALC2223!AY54&gt;0,INDIRECT(ADDRESS(MATCH(Agenda2526!C55,'CAL2'!A:A,0),3,4,1,"CAL2")),0)</f>
        <v>0</v>
      </c>
      <c r="I54" s="20" t="str">
        <f ca="1">IF(CALC2223!AY54&gt;1,INDIRECT(ADDRESS(MATCH(Agenda2526!C55,'CAL2'!A:A,0)+1,2,4,1,"CAL2")),"")</f>
        <v/>
      </c>
      <c r="J54" s="21">
        <f ca="1">IF(CALC2223!AY54&gt;1,INDIRECT(ADDRESS(MATCH(Agenda2526!C55,'CAL2'!A:A,0)+1,3,4,1,"CAL2")),0)</f>
        <v>0</v>
      </c>
      <c r="K54" s="20" t="str">
        <f ca="1">IF(CALC2223!AY54&gt;2,INDIRECT(ADDRESS(MATCH(Agenda2526!C55,'CAL2'!A:A,0)+2,2,4,1,"CAL2")),"")</f>
        <v/>
      </c>
      <c r="L54" s="21">
        <f ca="1">IF(CALC2223!AY54&gt;2,INDIRECT(ADDRESS(MATCH(Agenda2526!C55,'CAL2'!A:A,0)+2,3,4,1,"CAL2")),0)</f>
        <v>0</v>
      </c>
      <c r="M54" s="20" t="str">
        <f ca="1">IF(CALC2223!AZ54&gt;0,INDIRECT(ADDRESS(MATCH(Agenda2526!C55,'CAL3'!A:A,0),2,4,1,"CAL3")),"")</f>
        <v/>
      </c>
      <c r="N54" s="21">
        <f ca="1">IF(CALC2223!AZ54&gt;0,INDIRECT(ADDRESS(MATCH(Agenda2526!C55,'CAL3'!A:A,0),3,4,1,"CAL3")),0)</f>
        <v>0</v>
      </c>
      <c r="O54" s="20" t="str">
        <f ca="1">IF(CALC2223!AZ54&gt;1,INDIRECT(ADDRESS(MATCH(Agenda2526!C55,'CAL3'!A:A,0)+1,2,4,1,"CAL3")),"")</f>
        <v/>
      </c>
      <c r="P54" s="21">
        <f ca="1">IF(CALC2223!AZ54&gt;1,INDIRECT(ADDRESS(MATCH(Agenda2526!C55,'CAL3'!A:A,0)+1,3,4,1,"CAL3")),0)</f>
        <v>0</v>
      </c>
      <c r="Q54" s="20" t="str">
        <f ca="1">IF(CALC2223!AZ54&gt;2,INDIRECT(ADDRESS(MATCH(Agenda2526!C55,'CAL3'!A:A,0)+2,2,4,1,"CAL3")),"")</f>
        <v/>
      </c>
      <c r="R54" s="21">
        <f ca="1">IF(CALC2223!AZ54&gt;2,INDIRECT(ADDRESS(MATCH(Agenda2526!C55,'CAL3'!A:A,0)+2,3,4,1,"CAL3")),0)</f>
        <v>0</v>
      </c>
      <c r="S54" s="20" t="str">
        <f ca="1">IF(CALC2223!BA54&gt;0,INDIRECT(ADDRESS(MATCH(Agenda2526!C55,'CAL4'!A:A,0),2,4,1,"CAL4")),"")</f>
        <v/>
      </c>
      <c r="T54" s="21">
        <f ca="1">IF(CALC2223!BA54&gt;0,INDIRECT(ADDRESS(MATCH(Agenda2526!C55,'CAL4'!A:A,0),3,4,1,"CAL4")),0)</f>
        <v>0</v>
      </c>
      <c r="U54" s="20" t="str">
        <f ca="1">IF(CALC2223!BA54&gt;1,INDIRECT(ADDRESS(MATCH(Agenda2526!C55,'CAL4'!A:A,0)+1,2,4,1,"CAL4")),"")</f>
        <v/>
      </c>
      <c r="V54" s="21">
        <f ca="1">IF(CALC2223!BA54&gt;1,INDIRECT(ADDRESS(MATCH(Agenda2526!C55,'CAL4'!A:A,0)+1,3,4,1,"CAL4")),0)</f>
        <v>0</v>
      </c>
      <c r="W54" s="20" t="str">
        <f ca="1">IF(CALC2223!BA54&gt;2,INDIRECT(ADDRESS(MATCH(Agenda2526!C55,'CAL4'!A:A,0)+2,2,4,1,"CAL4")),"")</f>
        <v/>
      </c>
      <c r="X54" s="21">
        <f ca="1">IF(CALC2223!BA54&gt;2,INDIRECT(ADDRESS(MATCH(Agenda2526!C55,'CAL4'!A:A,0)+2,3,4,1,"CAL4")),0)</f>
        <v>0</v>
      </c>
      <c r="Y54" s="20" t="str">
        <f ca="1">IF(CALC2223!BB54&gt;0,INDIRECT(ADDRESS(MATCH(Agenda2526!C55,'CAL5'!A:A,0),2,4,1,"CAL5")),"")</f>
        <v/>
      </c>
      <c r="Z54" s="21">
        <f ca="1">IF(CALC2223!BB54&gt;0,INDIRECT(ADDRESS(MATCH(Agenda2526!C55,'CAL5'!A:A,0),3,4,1,"CAL5")),0)</f>
        <v>0</v>
      </c>
      <c r="AA54" s="20" t="str">
        <f ca="1">IF(CALC2223!BB54&gt;1,INDIRECT(ADDRESS(MATCH(Agenda2526!C55,'CAL5'!A:A,0)+1,2,4,1,"CAL5")),"")</f>
        <v/>
      </c>
      <c r="AB54" s="21">
        <f ca="1">IF(CALC2223!BB54&gt;1,INDIRECT(ADDRESS(MATCH(Agenda2526!C55,'CAL5'!A:A,0)+1,3,4,1,"CAL5")),0)</f>
        <v>0</v>
      </c>
      <c r="AC54" s="20" t="str">
        <f ca="1">IF(CALC2223!BB54&gt;2,INDIRECT(ADDRESS(MATCH(Agenda2526!C55,'CAL5'!A:A,0)+2,2,4,1,"CAL5")),"")</f>
        <v/>
      </c>
      <c r="AD54" s="21">
        <f ca="1">IF(CALC2223!BB54&gt;2,INDIRECT(ADDRESS(MATCH(Agenda2526!C55,'CAL5'!A:A,0)+2,3,4,1,"CAL5")),0)</f>
        <v>0</v>
      </c>
      <c r="AE54" s="20" t="str">
        <f ca="1">IF(CALC2223!BC54&gt;0,INDIRECT(ADDRESS(MATCH(Agenda2526!C55,'CAL6'!A:A,0),2,4,1,"CAL6")),"")</f>
        <v/>
      </c>
      <c r="AF54" s="21">
        <f ca="1">IF(CALC2223!BC54&gt;0,INDIRECT(ADDRESS(MATCH(Agenda2526!C55,'CAL6'!A:A,0),3,4,1,"CAL6")),0)</f>
        <v>0</v>
      </c>
      <c r="AG54" s="20" t="str">
        <f ca="1">IF(CALC2223!BC54&gt;1,INDIRECT(ADDRESS(MATCH(Agenda2526!C55,'CAL6'!A:A,0)+1,2,4,1,"CAL6")),"")</f>
        <v/>
      </c>
      <c r="AH54" s="21">
        <f ca="1">IF(CALC2223!BC54&gt;1,INDIRECT(ADDRESS(MATCH(Agenda2526!C55,'CAL6'!A:A,0)+1,3,4,1,"CAL6")),0)</f>
        <v>0</v>
      </c>
      <c r="AI54" s="20" t="str">
        <f ca="1">IF(CALC2223!BC54&gt;2,INDIRECT(ADDRESS(MATCH(Agenda2526!C55,'CAL6'!A:A,0)+2,2,4,1,"CAL6")),"")</f>
        <v/>
      </c>
      <c r="AJ54" s="21">
        <f ca="1">IF(CALC2223!BC54&gt;2,INDIRECT(ADDRESS(MATCH(Agenda2526!C55,'CAL6'!A:A,0)+2,3,4,1,"CAL6")),0)</f>
        <v>0</v>
      </c>
      <c r="AK54" s="20" t="str">
        <f ca="1">IF(CALC2223!BD54&gt;0,INDIRECT(ADDRESS(MATCH(Agenda2526!C55,'CAL7'!A:A,0),2,4,1,"CAL7")),"")</f>
        <v/>
      </c>
      <c r="AL54" s="21">
        <f ca="1">IF(CALC2223!BD54&gt;0,INDIRECT(ADDRESS(MATCH(Agenda2526!C55,'CAL7'!A:A,0),3,4,1,"CAL7")),0)</f>
        <v>0</v>
      </c>
      <c r="AM54" s="20" t="str">
        <f ca="1">IF(CALC2223!BD54&gt;1,INDIRECT(ADDRESS(MATCH(Agenda2526!C55,'CAL7'!A:A,0)+1,2,4,1,"CAL7")),"")</f>
        <v/>
      </c>
      <c r="AN54" s="21">
        <f ca="1">IF(CALC2223!BD54&gt;1,INDIRECT(ADDRESS(MATCH(Agenda2526!C55,'CAL7'!A:A,0)+1,3,4,1,"CAL7")),0)</f>
        <v>0</v>
      </c>
      <c r="AO54" s="20" t="str">
        <f ca="1">IF(CALC2223!BD54&gt;2,INDIRECT(ADDRESS(MATCH(Agenda2526!C55,'CAL7'!A:A,0)+2,2,4,1,"CAL7")),"")</f>
        <v/>
      </c>
      <c r="AP54" s="21">
        <f ca="1">IF(CALC2223!BD54&gt;2,INDIRECT(ADDRESS(MATCH(Agenda2526!C55,'CAL7'!A:A,0)+2,3,4,1,"CAL7")),0)</f>
        <v>0</v>
      </c>
      <c r="AQ54" s="20" t="str">
        <f ca="1">IF(CALC2223!BE54&gt;0,INDIRECT(ADDRESS(MATCH(Agenda2526!C55,'CAL8'!A:A,0),2,4,1,"CAL8")),"")</f>
        <v/>
      </c>
      <c r="AR54" s="21">
        <f ca="1">IF(CALC2223!BE54&gt;0,INDIRECT(ADDRESS(MATCH(Agenda2526!C55,'CAL8'!A:A,0),3,4,1,"CAL8")),0)</f>
        <v>0</v>
      </c>
      <c r="AS54" s="20" t="str">
        <f ca="1">IF(CALC2223!BE54&gt;1,INDIRECT(ADDRESS(MATCH(Agenda2526!C55,'CAL8'!A:A,0)+1,2,4,1,"CAL8")),"")</f>
        <v/>
      </c>
      <c r="AT54" s="21">
        <f ca="1">IF(CALC2223!BE54&gt;1,INDIRECT(ADDRESS(MATCH(Agenda2526!C55,'CAL8'!A:A,0)+1,3,4,1,"CAL8")),0)</f>
        <v>0</v>
      </c>
      <c r="AU54" s="20" t="str">
        <f ca="1">IF(CALC2223!BE54&gt;2,INDIRECT(ADDRESS(MATCH(Agenda2526!C55,'CAL8'!A:A,0)+2,2,4,1,"CAL8")),"")</f>
        <v/>
      </c>
      <c r="AV54" s="21">
        <f ca="1">IF(CALC2223!BE54&gt;2,INDIRECT(ADDRESS(MATCH(Agenda2526!C55,'CAL8'!A:A,0)+2,3,4,1,"CAL8")),0)</f>
        <v>0</v>
      </c>
      <c r="AW54" s="107"/>
      <c r="AX54" s="20">
        <f>COUNTIF('CAL1'!A:A,Agenda2526!C55)</f>
        <v>0</v>
      </c>
      <c r="AY54" s="20">
        <f>COUNTIF('CAL2'!A:A,Agenda2526!C55)</f>
        <v>0</v>
      </c>
      <c r="AZ54" s="20">
        <f>COUNTIF('CAL3'!A:A,Agenda2526!C55)</f>
        <v>0</v>
      </c>
      <c r="BA54" s="20">
        <f>COUNTIF('CAL4'!A:A,Agenda2526!C55)</f>
        <v>0</v>
      </c>
      <c r="BB54" s="20">
        <f>COUNTIF('CAL5'!A:A,Agenda2526!C55)</f>
        <v>0</v>
      </c>
      <c r="BC54" s="20">
        <f>COUNTIF('CAL6'!A:A,Agenda2526!C55)</f>
        <v>0</v>
      </c>
      <c r="BD54" s="20">
        <f>COUNTIF('CAL7'!A:A,Agenda2526!C55)</f>
        <v>0</v>
      </c>
      <c r="BE54" s="20">
        <f>COUNTIF('CAL8'!A:A,Agenda2526!C55)</f>
        <v>0</v>
      </c>
    </row>
    <row r="55" spans="1:57" ht="15.75" customHeight="1">
      <c r="A55" s="20" t="str">
        <f ca="1">IF(CALC2223!AX55&gt;0,INDIRECT(ADDRESS(MATCH(Agenda2526!C56,'CAL1'!A:A,0),2,4,1,"CAL1")),"")</f>
        <v/>
      </c>
      <c r="B55" s="21">
        <f ca="1">IF(CALC2223!AX55&gt;0,INDIRECT(ADDRESS(MATCH(Agenda2526!C56,'CAL1'!A:A,0),3,4,1,"CAL1")),0)</f>
        <v>0</v>
      </c>
      <c r="C55" s="20" t="str">
        <f ca="1">IF(CALC2223!AX55&gt;1,INDIRECT(ADDRESS(MATCH(Agenda2526!C56,'CAL1'!A:A,0)+1,2,4,1,"CAL1")),"")</f>
        <v/>
      </c>
      <c r="D55" s="21">
        <f ca="1">IF(CALC2223!AX55&gt;1,INDIRECT(ADDRESS(MATCH(Agenda2526!C56,'CAL1'!A:A,0)+1,3,4,1,"CAL1")),0)</f>
        <v>0</v>
      </c>
      <c r="E55" s="20" t="str">
        <f ca="1">IF(CALC2223!AX55&gt;2,INDIRECT(ADDRESS(MATCH(Agenda2526!C56,'CAL1'!A:A,0)+2,2,4,1,"CAL1")),"")</f>
        <v/>
      </c>
      <c r="F55" s="21">
        <f ca="1">IF(CALC2223!AX55&gt;2,INDIRECT(ADDRESS(MATCH(Agenda2526!C56,'CAL1'!A:A,0)+2,3,4,1,"CAL1")),0)</f>
        <v>0</v>
      </c>
      <c r="G55" s="20" t="str">
        <f ca="1">IF(CALC2223!AY55&gt;0,INDIRECT(ADDRESS(MATCH(Agenda2526!C56,'CAL2'!A:A,0),2,4,1,"CAL2")),"")</f>
        <v/>
      </c>
      <c r="H55" s="21">
        <f ca="1">IF(CALC2223!AY55&gt;0,INDIRECT(ADDRESS(MATCH(Agenda2526!C56,'CAL2'!A:A,0),3,4,1,"CAL2")),0)</f>
        <v>0</v>
      </c>
      <c r="I55" s="20" t="str">
        <f ca="1">IF(CALC2223!AY55&gt;1,INDIRECT(ADDRESS(MATCH(Agenda2526!C56,'CAL2'!A:A,0)+1,2,4,1,"CAL2")),"")</f>
        <v/>
      </c>
      <c r="J55" s="21">
        <f ca="1">IF(CALC2223!AY55&gt;1,INDIRECT(ADDRESS(MATCH(Agenda2526!C56,'CAL2'!A:A,0)+1,3,4,1,"CAL2")),0)</f>
        <v>0</v>
      </c>
      <c r="K55" s="20" t="str">
        <f ca="1">IF(CALC2223!AY55&gt;2,INDIRECT(ADDRESS(MATCH(Agenda2526!C56,'CAL2'!A:A,0)+2,2,4,1,"CAL2")),"")</f>
        <v/>
      </c>
      <c r="L55" s="21">
        <f ca="1">IF(CALC2223!AY55&gt;2,INDIRECT(ADDRESS(MATCH(Agenda2526!C56,'CAL2'!A:A,0)+2,3,4,1,"CAL2")),0)</f>
        <v>0</v>
      </c>
      <c r="M55" s="20" t="str">
        <f ca="1">IF(CALC2223!AZ55&gt;0,INDIRECT(ADDRESS(MATCH(Agenda2526!C56,'CAL3'!A:A,0),2,4,1,"CAL3")),"")</f>
        <v/>
      </c>
      <c r="N55" s="21">
        <f ca="1">IF(CALC2223!AZ55&gt;0,INDIRECT(ADDRESS(MATCH(Agenda2526!C56,'CAL3'!A:A,0),3,4,1,"CAL3")),0)</f>
        <v>0</v>
      </c>
      <c r="O55" s="20" t="str">
        <f ca="1">IF(CALC2223!AZ55&gt;1,INDIRECT(ADDRESS(MATCH(Agenda2526!C56,'CAL3'!A:A,0)+1,2,4,1,"CAL3")),"")</f>
        <v/>
      </c>
      <c r="P55" s="21">
        <f ca="1">IF(CALC2223!AZ55&gt;1,INDIRECT(ADDRESS(MATCH(Agenda2526!C56,'CAL3'!A:A,0)+1,3,4,1,"CAL3")),0)</f>
        <v>0</v>
      </c>
      <c r="Q55" s="20" t="str">
        <f ca="1">IF(CALC2223!AZ55&gt;2,INDIRECT(ADDRESS(MATCH(Agenda2526!C56,'CAL3'!A:A,0)+2,2,4,1,"CAL3")),"")</f>
        <v/>
      </c>
      <c r="R55" s="21">
        <f ca="1">IF(CALC2223!AZ55&gt;2,INDIRECT(ADDRESS(MATCH(Agenda2526!C56,'CAL3'!A:A,0)+2,3,4,1,"CAL3")),0)</f>
        <v>0</v>
      </c>
      <c r="S55" s="20" t="str">
        <f ca="1">IF(CALC2223!BA55&gt;0,INDIRECT(ADDRESS(MATCH(Agenda2526!C56,'CAL4'!A:A,0),2,4,1,"CAL4")),"")</f>
        <v/>
      </c>
      <c r="T55" s="21">
        <f ca="1">IF(CALC2223!BA55&gt;0,INDIRECT(ADDRESS(MATCH(Agenda2526!C56,'CAL4'!A:A,0),3,4,1,"CAL4")),0)</f>
        <v>0</v>
      </c>
      <c r="U55" s="20" t="str">
        <f ca="1">IF(CALC2223!BA55&gt;1,INDIRECT(ADDRESS(MATCH(Agenda2526!C56,'CAL4'!A:A,0)+1,2,4,1,"CAL4")),"")</f>
        <v/>
      </c>
      <c r="V55" s="21">
        <f ca="1">IF(CALC2223!BA55&gt;1,INDIRECT(ADDRESS(MATCH(Agenda2526!C56,'CAL4'!A:A,0)+1,3,4,1,"CAL4")),0)</f>
        <v>0</v>
      </c>
      <c r="W55" s="20" t="str">
        <f ca="1">IF(CALC2223!BA55&gt;2,INDIRECT(ADDRESS(MATCH(Agenda2526!C56,'CAL4'!A:A,0)+2,2,4,1,"CAL4")),"")</f>
        <v/>
      </c>
      <c r="X55" s="21">
        <f ca="1">IF(CALC2223!BA55&gt;2,INDIRECT(ADDRESS(MATCH(Agenda2526!C56,'CAL4'!A:A,0)+2,3,4,1,"CAL4")),0)</f>
        <v>0</v>
      </c>
      <c r="Y55" s="20" t="str">
        <f ca="1">IF(CALC2223!BB55&gt;0,INDIRECT(ADDRESS(MATCH(Agenda2526!C56,'CAL5'!A:A,0),2,4,1,"CAL5")),"")</f>
        <v/>
      </c>
      <c r="Z55" s="21">
        <f ca="1">IF(CALC2223!BB55&gt;0,INDIRECT(ADDRESS(MATCH(Agenda2526!C56,'CAL5'!A:A,0),3,4,1,"CAL5")),0)</f>
        <v>0</v>
      </c>
      <c r="AA55" s="20" t="str">
        <f ca="1">IF(CALC2223!BB55&gt;1,INDIRECT(ADDRESS(MATCH(Agenda2526!C56,'CAL5'!A:A,0)+1,2,4,1,"CAL5")),"")</f>
        <v/>
      </c>
      <c r="AB55" s="21">
        <f ca="1">IF(CALC2223!BB55&gt;1,INDIRECT(ADDRESS(MATCH(Agenda2526!C56,'CAL5'!A:A,0)+1,3,4,1,"CAL5")),0)</f>
        <v>0</v>
      </c>
      <c r="AC55" s="20" t="str">
        <f ca="1">IF(CALC2223!BB55&gt;2,INDIRECT(ADDRESS(MATCH(Agenda2526!C56,'CAL5'!A:A,0)+2,2,4,1,"CAL5")),"")</f>
        <v/>
      </c>
      <c r="AD55" s="21">
        <f ca="1">IF(CALC2223!BB55&gt;2,INDIRECT(ADDRESS(MATCH(Agenda2526!C56,'CAL5'!A:A,0)+2,3,4,1,"CAL5")),0)</f>
        <v>0</v>
      </c>
      <c r="AE55" s="20" t="str">
        <f ca="1">IF(CALC2223!BC55&gt;0,INDIRECT(ADDRESS(MATCH(Agenda2526!C56,'CAL6'!A:A,0),2,4,1,"CAL6")),"")</f>
        <v/>
      </c>
      <c r="AF55" s="21">
        <f ca="1">IF(CALC2223!BC55&gt;0,INDIRECT(ADDRESS(MATCH(Agenda2526!C56,'CAL6'!A:A,0),3,4,1,"CAL6")),0)</f>
        <v>0</v>
      </c>
      <c r="AG55" s="20" t="str">
        <f ca="1">IF(CALC2223!BC55&gt;1,INDIRECT(ADDRESS(MATCH(Agenda2526!C56,'CAL6'!A:A,0)+1,2,4,1,"CAL6")),"")</f>
        <v/>
      </c>
      <c r="AH55" s="21">
        <f ca="1">IF(CALC2223!BC55&gt;1,INDIRECT(ADDRESS(MATCH(Agenda2526!C56,'CAL6'!A:A,0)+1,3,4,1,"CAL6")),0)</f>
        <v>0</v>
      </c>
      <c r="AI55" s="20" t="str">
        <f ca="1">IF(CALC2223!BC55&gt;2,INDIRECT(ADDRESS(MATCH(Agenda2526!C56,'CAL6'!A:A,0)+2,2,4,1,"CAL6")),"")</f>
        <v/>
      </c>
      <c r="AJ55" s="21">
        <f ca="1">IF(CALC2223!BC55&gt;2,INDIRECT(ADDRESS(MATCH(Agenda2526!C56,'CAL6'!A:A,0)+2,3,4,1,"CAL6")),0)</f>
        <v>0</v>
      </c>
      <c r="AK55" s="20" t="str">
        <f ca="1">IF(CALC2223!BD55&gt;0,INDIRECT(ADDRESS(MATCH(Agenda2526!C56,'CAL7'!A:A,0),2,4,1,"CAL7")),"")</f>
        <v/>
      </c>
      <c r="AL55" s="21">
        <f ca="1">IF(CALC2223!BD55&gt;0,INDIRECT(ADDRESS(MATCH(Agenda2526!C56,'CAL7'!A:A,0),3,4,1,"CAL7")),0)</f>
        <v>0</v>
      </c>
      <c r="AM55" s="20" t="str">
        <f ca="1">IF(CALC2223!BD55&gt;1,INDIRECT(ADDRESS(MATCH(Agenda2526!C56,'CAL7'!A:A,0)+1,2,4,1,"CAL7")),"")</f>
        <v/>
      </c>
      <c r="AN55" s="21">
        <f ca="1">IF(CALC2223!BD55&gt;1,INDIRECT(ADDRESS(MATCH(Agenda2526!C56,'CAL7'!A:A,0)+1,3,4,1,"CAL7")),0)</f>
        <v>0</v>
      </c>
      <c r="AO55" s="20" t="str">
        <f ca="1">IF(CALC2223!BD55&gt;2,INDIRECT(ADDRESS(MATCH(Agenda2526!C56,'CAL7'!A:A,0)+2,2,4,1,"CAL7")),"")</f>
        <v/>
      </c>
      <c r="AP55" s="21">
        <f ca="1">IF(CALC2223!BD55&gt;2,INDIRECT(ADDRESS(MATCH(Agenda2526!C56,'CAL7'!A:A,0)+2,3,4,1,"CAL7")),0)</f>
        <v>0</v>
      </c>
      <c r="AQ55" s="20" t="str">
        <f ca="1">IF(CALC2223!BE55&gt;0,INDIRECT(ADDRESS(MATCH(Agenda2526!C56,'CAL8'!A:A,0),2,4,1,"CAL8")),"")</f>
        <v/>
      </c>
      <c r="AR55" s="21">
        <f ca="1">IF(CALC2223!BE55&gt;0,INDIRECT(ADDRESS(MATCH(Agenda2526!C56,'CAL8'!A:A,0),3,4,1,"CAL8")),0)</f>
        <v>0</v>
      </c>
      <c r="AS55" s="20" t="str">
        <f ca="1">IF(CALC2223!BE55&gt;1,INDIRECT(ADDRESS(MATCH(Agenda2526!C56,'CAL8'!A:A,0)+1,2,4,1,"CAL8")),"")</f>
        <v/>
      </c>
      <c r="AT55" s="21">
        <f ca="1">IF(CALC2223!BE55&gt;1,INDIRECT(ADDRESS(MATCH(Agenda2526!C56,'CAL8'!A:A,0)+1,3,4,1,"CAL8")),0)</f>
        <v>0</v>
      </c>
      <c r="AU55" s="20" t="str">
        <f ca="1">IF(CALC2223!BE55&gt;2,INDIRECT(ADDRESS(MATCH(Agenda2526!C56,'CAL8'!A:A,0)+2,2,4,1,"CAL8")),"")</f>
        <v/>
      </c>
      <c r="AV55" s="21">
        <f ca="1">IF(CALC2223!BE55&gt;2,INDIRECT(ADDRESS(MATCH(Agenda2526!C56,'CAL8'!A:A,0)+2,3,4,1,"CAL8")),0)</f>
        <v>0</v>
      </c>
      <c r="AW55" s="107"/>
      <c r="AX55" s="20">
        <f>COUNTIF('CAL1'!A:A,Agenda2526!C56)</f>
        <v>0</v>
      </c>
      <c r="AY55" s="20">
        <f>COUNTIF('CAL2'!A:A,Agenda2526!C56)</f>
        <v>0</v>
      </c>
      <c r="AZ55" s="20">
        <f>COUNTIF('CAL3'!A:A,Agenda2526!C56)</f>
        <v>0</v>
      </c>
      <c r="BA55" s="20">
        <f>COUNTIF('CAL4'!A:A,Agenda2526!C56)</f>
        <v>0</v>
      </c>
      <c r="BB55" s="20">
        <f>COUNTIF('CAL5'!A:A,Agenda2526!C56)</f>
        <v>0</v>
      </c>
      <c r="BC55" s="20">
        <f>COUNTIF('CAL6'!A:A,Agenda2526!C56)</f>
        <v>0</v>
      </c>
      <c r="BD55" s="20">
        <f>COUNTIF('CAL7'!A:A,Agenda2526!C56)</f>
        <v>0</v>
      </c>
      <c r="BE55" s="20">
        <f>COUNTIF('CAL8'!A:A,Agenda2526!C56)</f>
        <v>0</v>
      </c>
    </row>
    <row r="56" spans="1:57" ht="15.75" customHeight="1">
      <c r="A56" s="20" t="str">
        <f ca="1">IF(CALC2223!AX56&gt;0,INDIRECT(ADDRESS(MATCH(Agenda2526!C57,'CAL1'!A:A,0),2,4,1,"CAL1")),"")</f>
        <v/>
      </c>
      <c r="B56" s="21">
        <f ca="1">IF(CALC2223!AX56&gt;0,INDIRECT(ADDRESS(MATCH(Agenda2526!C57,'CAL1'!A:A,0),3,4,1,"CAL1")),0)</f>
        <v>0</v>
      </c>
      <c r="C56" s="20" t="str">
        <f ca="1">IF(CALC2223!AX56&gt;1,INDIRECT(ADDRESS(MATCH(Agenda2526!C57,'CAL1'!A:A,0)+1,2,4,1,"CAL1")),"")</f>
        <v/>
      </c>
      <c r="D56" s="21">
        <f ca="1">IF(CALC2223!AX56&gt;1,INDIRECT(ADDRESS(MATCH(Agenda2526!C57,'CAL1'!A:A,0)+1,3,4,1,"CAL1")),0)</f>
        <v>0</v>
      </c>
      <c r="E56" s="20" t="str">
        <f ca="1">IF(CALC2223!AX56&gt;2,INDIRECT(ADDRESS(MATCH(Agenda2526!C57,'CAL1'!A:A,0)+2,2,4,1,"CAL1")),"")</f>
        <v/>
      </c>
      <c r="F56" s="21">
        <f ca="1">IF(CALC2223!AX56&gt;2,INDIRECT(ADDRESS(MATCH(Agenda2526!C57,'CAL1'!A:A,0)+2,3,4,1,"CAL1")),0)</f>
        <v>0</v>
      </c>
      <c r="G56" s="20" t="str">
        <f ca="1">IF(CALC2223!AY56&gt;0,INDIRECT(ADDRESS(MATCH(Agenda2526!C57,'CAL2'!A:A,0),2,4,1,"CAL2")),"")</f>
        <v/>
      </c>
      <c r="H56" s="21">
        <f ca="1">IF(CALC2223!AY56&gt;0,INDIRECT(ADDRESS(MATCH(Agenda2526!C57,'CAL2'!A:A,0),3,4,1,"CAL2")),0)</f>
        <v>0</v>
      </c>
      <c r="I56" s="20" t="str">
        <f ca="1">IF(CALC2223!AY56&gt;1,INDIRECT(ADDRESS(MATCH(Agenda2526!C57,'CAL2'!A:A,0)+1,2,4,1,"CAL2")),"")</f>
        <v/>
      </c>
      <c r="J56" s="21">
        <f ca="1">IF(CALC2223!AY56&gt;1,INDIRECT(ADDRESS(MATCH(Agenda2526!C57,'CAL2'!A:A,0)+1,3,4,1,"CAL2")),0)</f>
        <v>0</v>
      </c>
      <c r="K56" s="20" t="str">
        <f ca="1">IF(CALC2223!AY56&gt;2,INDIRECT(ADDRESS(MATCH(Agenda2526!C57,'CAL2'!A:A,0)+2,2,4,1,"CAL2")),"")</f>
        <v/>
      </c>
      <c r="L56" s="21">
        <f ca="1">IF(CALC2223!AY56&gt;2,INDIRECT(ADDRESS(MATCH(Agenda2526!C57,'CAL2'!A:A,0)+2,3,4,1,"CAL2")),0)</f>
        <v>0</v>
      </c>
      <c r="M56" s="20" t="str">
        <f ca="1">IF(CALC2223!AZ56&gt;0,INDIRECT(ADDRESS(MATCH(Agenda2526!C57,'CAL3'!A:A,0),2,4,1,"CAL3")),"")</f>
        <v/>
      </c>
      <c r="N56" s="21">
        <f ca="1">IF(CALC2223!AZ56&gt;0,INDIRECT(ADDRESS(MATCH(Agenda2526!C57,'CAL3'!A:A,0),3,4,1,"CAL3")),0)</f>
        <v>0</v>
      </c>
      <c r="O56" s="20" t="str">
        <f ca="1">IF(CALC2223!AZ56&gt;1,INDIRECT(ADDRESS(MATCH(Agenda2526!C57,'CAL3'!A:A,0)+1,2,4,1,"CAL3")),"")</f>
        <v/>
      </c>
      <c r="P56" s="21">
        <f ca="1">IF(CALC2223!AZ56&gt;1,INDIRECT(ADDRESS(MATCH(Agenda2526!C57,'CAL3'!A:A,0)+1,3,4,1,"CAL3")),0)</f>
        <v>0</v>
      </c>
      <c r="Q56" s="20" t="str">
        <f ca="1">IF(CALC2223!AZ56&gt;2,INDIRECT(ADDRESS(MATCH(Agenda2526!C57,'CAL3'!A:A,0)+2,2,4,1,"CAL3")),"")</f>
        <v/>
      </c>
      <c r="R56" s="21">
        <f ca="1">IF(CALC2223!AZ56&gt;2,INDIRECT(ADDRESS(MATCH(Agenda2526!C57,'CAL3'!A:A,0)+2,3,4,1,"CAL3")),0)</f>
        <v>0</v>
      </c>
      <c r="S56" s="20" t="str">
        <f ca="1">IF(CALC2223!BA56&gt;0,INDIRECT(ADDRESS(MATCH(Agenda2526!C57,'CAL4'!A:A,0),2,4,1,"CAL4")),"")</f>
        <v/>
      </c>
      <c r="T56" s="21">
        <f ca="1">IF(CALC2223!BA56&gt;0,INDIRECT(ADDRESS(MATCH(Agenda2526!C57,'CAL4'!A:A,0),3,4,1,"CAL4")),0)</f>
        <v>0</v>
      </c>
      <c r="U56" s="20" t="str">
        <f ca="1">IF(CALC2223!BA56&gt;1,INDIRECT(ADDRESS(MATCH(Agenda2526!C57,'CAL4'!A:A,0)+1,2,4,1,"CAL4")),"")</f>
        <v/>
      </c>
      <c r="V56" s="21">
        <f ca="1">IF(CALC2223!BA56&gt;1,INDIRECT(ADDRESS(MATCH(Agenda2526!C57,'CAL4'!A:A,0)+1,3,4,1,"CAL4")),0)</f>
        <v>0</v>
      </c>
      <c r="W56" s="20" t="str">
        <f ca="1">IF(CALC2223!BA56&gt;2,INDIRECT(ADDRESS(MATCH(Agenda2526!C57,'CAL4'!A:A,0)+2,2,4,1,"CAL4")),"")</f>
        <v/>
      </c>
      <c r="X56" s="21">
        <f ca="1">IF(CALC2223!BA56&gt;2,INDIRECT(ADDRESS(MATCH(Agenda2526!C57,'CAL4'!A:A,0)+2,3,4,1,"CAL4")),0)</f>
        <v>0</v>
      </c>
      <c r="Y56" s="20" t="str">
        <f ca="1">IF(CALC2223!BB56&gt;0,INDIRECT(ADDRESS(MATCH(Agenda2526!C57,'CAL5'!A:A,0),2,4,1,"CAL5")),"")</f>
        <v/>
      </c>
      <c r="Z56" s="21">
        <f ca="1">IF(CALC2223!BB56&gt;0,INDIRECT(ADDRESS(MATCH(Agenda2526!C57,'CAL5'!A:A,0),3,4,1,"CAL5")),0)</f>
        <v>0</v>
      </c>
      <c r="AA56" s="20" t="str">
        <f ca="1">IF(CALC2223!BB56&gt;1,INDIRECT(ADDRESS(MATCH(Agenda2526!C57,'CAL5'!A:A,0)+1,2,4,1,"CAL5")),"")</f>
        <v/>
      </c>
      <c r="AB56" s="21">
        <f ca="1">IF(CALC2223!BB56&gt;1,INDIRECT(ADDRESS(MATCH(Agenda2526!C57,'CAL5'!A:A,0)+1,3,4,1,"CAL5")),0)</f>
        <v>0</v>
      </c>
      <c r="AC56" s="20" t="str">
        <f ca="1">IF(CALC2223!BB56&gt;2,INDIRECT(ADDRESS(MATCH(Agenda2526!C57,'CAL5'!A:A,0)+2,2,4,1,"CAL5")),"")</f>
        <v/>
      </c>
      <c r="AD56" s="21">
        <f ca="1">IF(CALC2223!BB56&gt;2,INDIRECT(ADDRESS(MATCH(Agenda2526!C57,'CAL5'!A:A,0)+2,3,4,1,"CAL5")),0)</f>
        <v>0</v>
      </c>
      <c r="AE56" s="20" t="str">
        <f ca="1">IF(CALC2223!BC56&gt;0,INDIRECT(ADDRESS(MATCH(Agenda2526!C57,'CAL6'!A:A,0),2,4,1,"CAL6")),"")</f>
        <v/>
      </c>
      <c r="AF56" s="21">
        <f ca="1">IF(CALC2223!BC56&gt;0,INDIRECT(ADDRESS(MATCH(Agenda2526!C57,'CAL6'!A:A,0),3,4,1,"CAL6")),0)</f>
        <v>0</v>
      </c>
      <c r="AG56" s="20" t="str">
        <f ca="1">IF(CALC2223!BC56&gt;1,INDIRECT(ADDRESS(MATCH(Agenda2526!C57,'CAL6'!A:A,0)+1,2,4,1,"CAL6")),"")</f>
        <v/>
      </c>
      <c r="AH56" s="21">
        <f ca="1">IF(CALC2223!BC56&gt;1,INDIRECT(ADDRESS(MATCH(Agenda2526!C57,'CAL6'!A:A,0)+1,3,4,1,"CAL6")),0)</f>
        <v>0</v>
      </c>
      <c r="AI56" s="20" t="str">
        <f ca="1">IF(CALC2223!BC56&gt;2,INDIRECT(ADDRESS(MATCH(Agenda2526!C57,'CAL6'!A:A,0)+2,2,4,1,"CAL6")),"")</f>
        <v/>
      </c>
      <c r="AJ56" s="21">
        <f ca="1">IF(CALC2223!BC56&gt;2,INDIRECT(ADDRESS(MATCH(Agenda2526!C57,'CAL6'!A:A,0)+2,3,4,1,"CAL6")),0)</f>
        <v>0</v>
      </c>
      <c r="AK56" s="20" t="str">
        <f ca="1">IF(CALC2223!BD56&gt;0,INDIRECT(ADDRESS(MATCH(Agenda2526!C57,'CAL7'!A:A,0),2,4,1,"CAL7")),"")</f>
        <v/>
      </c>
      <c r="AL56" s="21">
        <f ca="1">IF(CALC2223!BD56&gt;0,INDIRECT(ADDRESS(MATCH(Agenda2526!C57,'CAL7'!A:A,0),3,4,1,"CAL7")),0)</f>
        <v>0</v>
      </c>
      <c r="AM56" s="20" t="str">
        <f ca="1">IF(CALC2223!BD56&gt;1,INDIRECT(ADDRESS(MATCH(Agenda2526!C57,'CAL7'!A:A,0)+1,2,4,1,"CAL7")),"")</f>
        <v/>
      </c>
      <c r="AN56" s="21">
        <f ca="1">IF(CALC2223!BD56&gt;1,INDIRECT(ADDRESS(MATCH(Agenda2526!C57,'CAL7'!A:A,0)+1,3,4,1,"CAL7")),0)</f>
        <v>0</v>
      </c>
      <c r="AO56" s="20" t="str">
        <f ca="1">IF(CALC2223!BD56&gt;2,INDIRECT(ADDRESS(MATCH(Agenda2526!C57,'CAL7'!A:A,0)+2,2,4,1,"CAL7")),"")</f>
        <v/>
      </c>
      <c r="AP56" s="21">
        <f ca="1">IF(CALC2223!BD56&gt;2,INDIRECT(ADDRESS(MATCH(Agenda2526!C57,'CAL7'!A:A,0)+2,3,4,1,"CAL7")),0)</f>
        <v>0</v>
      </c>
      <c r="AQ56" s="20" t="str">
        <f ca="1">IF(CALC2223!BE56&gt;0,INDIRECT(ADDRESS(MATCH(Agenda2526!C57,'CAL8'!A:A,0),2,4,1,"CAL8")),"")</f>
        <v/>
      </c>
      <c r="AR56" s="21">
        <f ca="1">IF(CALC2223!BE56&gt;0,INDIRECT(ADDRESS(MATCH(Agenda2526!C57,'CAL8'!A:A,0),3,4,1,"CAL8")),0)</f>
        <v>0</v>
      </c>
      <c r="AS56" s="20" t="str">
        <f ca="1">IF(CALC2223!BE56&gt;1,INDIRECT(ADDRESS(MATCH(Agenda2526!C57,'CAL8'!A:A,0)+1,2,4,1,"CAL8")),"")</f>
        <v/>
      </c>
      <c r="AT56" s="21">
        <f ca="1">IF(CALC2223!BE56&gt;1,INDIRECT(ADDRESS(MATCH(Agenda2526!C57,'CAL8'!A:A,0)+1,3,4,1,"CAL8")),0)</f>
        <v>0</v>
      </c>
      <c r="AU56" s="20" t="str">
        <f ca="1">IF(CALC2223!BE56&gt;2,INDIRECT(ADDRESS(MATCH(Agenda2526!C57,'CAL8'!A:A,0)+2,2,4,1,"CAL8")),"")</f>
        <v/>
      </c>
      <c r="AV56" s="21">
        <f ca="1">IF(CALC2223!BE56&gt;2,INDIRECT(ADDRESS(MATCH(Agenda2526!C57,'CAL8'!A:A,0)+2,3,4,1,"CAL8")),0)</f>
        <v>0</v>
      </c>
      <c r="AW56" s="106"/>
      <c r="AX56" s="20">
        <f>COUNTIF('CAL1'!A:A,Agenda2526!C57)</f>
        <v>0</v>
      </c>
      <c r="AY56" s="20">
        <f>COUNTIF('CAL2'!A:A,Agenda2526!C57)</f>
        <v>0</v>
      </c>
      <c r="AZ56" s="20">
        <f>COUNTIF('CAL3'!A:A,Agenda2526!C57)</f>
        <v>0</v>
      </c>
      <c r="BA56" s="20">
        <f>COUNTIF('CAL4'!A:A,Agenda2526!C57)</f>
        <v>0</v>
      </c>
      <c r="BB56" s="20">
        <f>COUNTIF('CAL5'!A:A,Agenda2526!C57)</f>
        <v>0</v>
      </c>
      <c r="BC56" s="20">
        <f>COUNTIF('CAL6'!A:A,Agenda2526!C57)</f>
        <v>0</v>
      </c>
      <c r="BD56" s="20">
        <f>COUNTIF('CAL7'!A:A,Agenda2526!C57)</f>
        <v>0</v>
      </c>
      <c r="BE56" s="20">
        <f>COUNTIF('CAL8'!A:A,Agenda2526!C57)</f>
        <v>0</v>
      </c>
    </row>
    <row r="57" spans="1:57" ht="15.75" customHeight="1">
      <c r="A57" s="20" t="str">
        <f ca="1">IF(CALC2223!AX57&gt;0,INDIRECT(ADDRESS(MATCH(Agenda2526!C58,'CAL1'!A:A,0),2,4,1,"CAL1")),"")</f>
        <v/>
      </c>
      <c r="B57" s="21">
        <f ca="1">IF(CALC2223!AX57&gt;0,INDIRECT(ADDRESS(MATCH(Agenda2526!C58,'CAL1'!A:A,0),3,4,1,"CAL1")),0)</f>
        <v>0</v>
      </c>
      <c r="C57" s="20" t="str">
        <f ca="1">IF(CALC2223!AX57&gt;1,INDIRECT(ADDRESS(MATCH(Agenda2526!C58,'CAL1'!A:A,0)+1,2,4,1,"CAL1")),"")</f>
        <v/>
      </c>
      <c r="D57" s="21">
        <f ca="1">IF(CALC2223!AX57&gt;1,INDIRECT(ADDRESS(MATCH(Agenda2526!C58,'CAL1'!A:A,0)+1,3,4,1,"CAL1")),0)</f>
        <v>0</v>
      </c>
      <c r="E57" s="20" t="str">
        <f ca="1">IF(CALC2223!AX57&gt;2,INDIRECT(ADDRESS(MATCH(Agenda2526!C58,'CAL1'!A:A,0)+2,2,4,1,"CAL1")),"")</f>
        <v/>
      </c>
      <c r="F57" s="21">
        <f ca="1">IF(CALC2223!AX57&gt;2,INDIRECT(ADDRESS(MATCH(Agenda2526!C58,'CAL1'!A:A,0)+2,3,4,1,"CAL1")),0)</f>
        <v>0</v>
      </c>
      <c r="G57" s="20" t="str">
        <f ca="1">IF(CALC2223!AY57&gt;0,INDIRECT(ADDRESS(MATCH(Agenda2526!C58,'CAL2'!A:A,0),2,4,1,"CAL2")),"")</f>
        <v/>
      </c>
      <c r="H57" s="21">
        <f ca="1">IF(CALC2223!AY57&gt;0,INDIRECT(ADDRESS(MATCH(Agenda2526!C58,'CAL2'!A:A,0),3,4,1,"CAL2")),0)</f>
        <v>0</v>
      </c>
      <c r="I57" s="20" t="str">
        <f ca="1">IF(CALC2223!AY57&gt;1,INDIRECT(ADDRESS(MATCH(Agenda2526!C58,'CAL2'!A:A,0)+1,2,4,1,"CAL2")),"")</f>
        <v/>
      </c>
      <c r="J57" s="21">
        <f ca="1">IF(CALC2223!AY57&gt;1,INDIRECT(ADDRESS(MATCH(Agenda2526!C58,'CAL2'!A:A,0)+1,3,4,1,"CAL2")),0)</f>
        <v>0</v>
      </c>
      <c r="K57" s="20" t="str">
        <f ca="1">IF(CALC2223!AY57&gt;2,INDIRECT(ADDRESS(MATCH(Agenda2526!C58,'CAL2'!A:A,0)+2,2,4,1,"CAL2")),"")</f>
        <v/>
      </c>
      <c r="L57" s="21">
        <f ca="1">IF(CALC2223!AY57&gt;2,INDIRECT(ADDRESS(MATCH(Agenda2526!C58,'CAL2'!A:A,0)+2,3,4,1,"CAL2")),0)</f>
        <v>0</v>
      </c>
      <c r="M57" s="20" t="str">
        <f ca="1">IF(CALC2223!AZ57&gt;0,INDIRECT(ADDRESS(MATCH(Agenda2526!C58,'CAL3'!A:A,0),2,4,1,"CAL3")),"")</f>
        <v/>
      </c>
      <c r="N57" s="21">
        <f ca="1">IF(CALC2223!AZ57&gt;0,INDIRECT(ADDRESS(MATCH(Agenda2526!C58,'CAL3'!A:A,0),3,4,1,"CAL3")),0)</f>
        <v>0</v>
      </c>
      <c r="O57" s="20" t="str">
        <f ca="1">IF(CALC2223!AZ57&gt;1,INDIRECT(ADDRESS(MATCH(Agenda2526!C58,'CAL3'!A:A,0)+1,2,4,1,"CAL3")),"")</f>
        <v/>
      </c>
      <c r="P57" s="21">
        <f ca="1">IF(CALC2223!AZ57&gt;1,INDIRECT(ADDRESS(MATCH(Agenda2526!C58,'CAL3'!A:A,0)+1,3,4,1,"CAL3")),0)</f>
        <v>0</v>
      </c>
      <c r="Q57" s="20" t="str">
        <f ca="1">IF(CALC2223!AZ57&gt;2,INDIRECT(ADDRESS(MATCH(Agenda2526!C58,'CAL3'!A:A,0)+2,2,4,1,"CAL3")),"")</f>
        <v/>
      </c>
      <c r="R57" s="21">
        <f ca="1">IF(CALC2223!AZ57&gt;2,INDIRECT(ADDRESS(MATCH(Agenda2526!C58,'CAL3'!A:A,0)+2,3,4,1,"CAL3")),0)</f>
        <v>0</v>
      </c>
      <c r="S57" s="20" t="str">
        <f ca="1">IF(CALC2223!BA57&gt;0,INDIRECT(ADDRESS(MATCH(Agenda2526!C58,'CAL4'!A:A,0),2,4,1,"CAL4")),"")</f>
        <v/>
      </c>
      <c r="T57" s="21">
        <f ca="1">IF(CALC2223!BA57&gt;0,INDIRECT(ADDRESS(MATCH(Agenda2526!C58,'CAL4'!A:A,0),3,4,1,"CAL4")),0)</f>
        <v>0</v>
      </c>
      <c r="U57" s="20" t="str">
        <f ca="1">IF(CALC2223!BA57&gt;1,INDIRECT(ADDRESS(MATCH(Agenda2526!C58,'CAL4'!A:A,0)+1,2,4,1,"CAL4")),"")</f>
        <v/>
      </c>
      <c r="V57" s="21">
        <f ca="1">IF(CALC2223!BA57&gt;1,INDIRECT(ADDRESS(MATCH(Agenda2526!C58,'CAL4'!A:A,0)+1,3,4,1,"CAL4")),0)</f>
        <v>0</v>
      </c>
      <c r="W57" s="20" t="str">
        <f ca="1">IF(CALC2223!BA57&gt;2,INDIRECT(ADDRESS(MATCH(Agenda2526!C58,'CAL4'!A:A,0)+2,2,4,1,"CAL4")),"")</f>
        <v/>
      </c>
      <c r="X57" s="21">
        <f ca="1">IF(CALC2223!BA57&gt;2,INDIRECT(ADDRESS(MATCH(Agenda2526!C58,'CAL4'!A:A,0)+2,3,4,1,"CAL4")),0)</f>
        <v>0</v>
      </c>
      <c r="Y57" s="20" t="str">
        <f ca="1">IF(CALC2223!BB57&gt;0,INDIRECT(ADDRESS(MATCH(Agenda2526!C58,'CAL5'!A:A,0),2,4,1,"CAL5")),"")</f>
        <v/>
      </c>
      <c r="Z57" s="21">
        <f ca="1">IF(CALC2223!BB57&gt;0,INDIRECT(ADDRESS(MATCH(Agenda2526!C58,'CAL5'!A:A,0),3,4,1,"CAL5")),0)</f>
        <v>0</v>
      </c>
      <c r="AA57" s="20" t="str">
        <f ca="1">IF(CALC2223!BB57&gt;1,INDIRECT(ADDRESS(MATCH(Agenda2526!C58,'CAL5'!A:A,0)+1,2,4,1,"CAL5")),"")</f>
        <v/>
      </c>
      <c r="AB57" s="21">
        <f ca="1">IF(CALC2223!BB57&gt;1,INDIRECT(ADDRESS(MATCH(Agenda2526!C58,'CAL5'!A:A,0)+1,3,4,1,"CAL5")),0)</f>
        <v>0</v>
      </c>
      <c r="AC57" s="20" t="str">
        <f ca="1">IF(CALC2223!BB57&gt;2,INDIRECT(ADDRESS(MATCH(Agenda2526!C58,'CAL5'!A:A,0)+2,2,4,1,"CAL5")),"")</f>
        <v/>
      </c>
      <c r="AD57" s="21">
        <f ca="1">IF(CALC2223!BB57&gt;2,INDIRECT(ADDRESS(MATCH(Agenda2526!C58,'CAL5'!A:A,0)+2,3,4,1,"CAL5")),0)</f>
        <v>0</v>
      </c>
      <c r="AE57" s="20" t="str">
        <f ca="1">IF(CALC2223!BC57&gt;0,INDIRECT(ADDRESS(MATCH(Agenda2526!C58,'CAL6'!A:A,0),2,4,1,"CAL6")),"")</f>
        <v/>
      </c>
      <c r="AF57" s="21">
        <f ca="1">IF(CALC2223!BC57&gt;0,INDIRECT(ADDRESS(MATCH(Agenda2526!C58,'CAL6'!A:A,0),3,4,1,"CAL6")),0)</f>
        <v>0</v>
      </c>
      <c r="AG57" s="20" t="str">
        <f ca="1">IF(CALC2223!BC57&gt;1,INDIRECT(ADDRESS(MATCH(Agenda2526!C58,'CAL6'!A:A,0)+1,2,4,1,"CAL6")),"")</f>
        <v/>
      </c>
      <c r="AH57" s="21">
        <f ca="1">IF(CALC2223!BC57&gt;1,INDIRECT(ADDRESS(MATCH(Agenda2526!C58,'CAL6'!A:A,0)+1,3,4,1,"CAL6")),0)</f>
        <v>0</v>
      </c>
      <c r="AI57" s="20" t="str">
        <f ca="1">IF(CALC2223!BC57&gt;2,INDIRECT(ADDRESS(MATCH(Agenda2526!C58,'CAL6'!A:A,0)+2,2,4,1,"CAL6")),"")</f>
        <v/>
      </c>
      <c r="AJ57" s="21">
        <f ca="1">IF(CALC2223!BC57&gt;2,INDIRECT(ADDRESS(MATCH(Agenda2526!C58,'CAL6'!A:A,0)+2,3,4,1,"CAL6")),0)</f>
        <v>0</v>
      </c>
      <c r="AK57" s="20" t="str">
        <f ca="1">IF(CALC2223!BD57&gt;0,INDIRECT(ADDRESS(MATCH(Agenda2526!C58,'CAL7'!A:A,0),2,4,1,"CAL7")),"")</f>
        <v/>
      </c>
      <c r="AL57" s="21">
        <f ca="1">IF(CALC2223!BD57&gt;0,INDIRECT(ADDRESS(MATCH(Agenda2526!C58,'CAL7'!A:A,0),3,4,1,"CAL7")),0)</f>
        <v>0</v>
      </c>
      <c r="AM57" s="20" t="str">
        <f ca="1">IF(CALC2223!BD57&gt;1,INDIRECT(ADDRESS(MATCH(Agenda2526!C58,'CAL7'!A:A,0)+1,2,4,1,"CAL7")),"")</f>
        <v/>
      </c>
      <c r="AN57" s="21">
        <f ca="1">IF(CALC2223!BD57&gt;1,INDIRECT(ADDRESS(MATCH(Agenda2526!C58,'CAL7'!A:A,0)+1,3,4,1,"CAL7")),0)</f>
        <v>0</v>
      </c>
      <c r="AO57" s="20" t="str">
        <f ca="1">IF(CALC2223!BD57&gt;2,INDIRECT(ADDRESS(MATCH(Agenda2526!C58,'CAL7'!A:A,0)+2,2,4,1,"CAL7")),"")</f>
        <v/>
      </c>
      <c r="AP57" s="21">
        <f ca="1">IF(CALC2223!BD57&gt;2,INDIRECT(ADDRESS(MATCH(Agenda2526!C58,'CAL7'!A:A,0)+2,3,4,1,"CAL7")),0)</f>
        <v>0</v>
      </c>
      <c r="AQ57" s="20" t="str">
        <f ca="1">IF(CALC2223!BE57&gt;0,INDIRECT(ADDRESS(MATCH(Agenda2526!C58,'CAL8'!A:A,0),2,4,1,"CAL8")),"")</f>
        <v/>
      </c>
      <c r="AR57" s="21">
        <f ca="1">IF(CALC2223!BE57&gt;0,INDIRECT(ADDRESS(MATCH(Agenda2526!C58,'CAL8'!A:A,0),3,4,1,"CAL8")),0)</f>
        <v>0</v>
      </c>
      <c r="AS57" s="20" t="str">
        <f ca="1">IF(CALC2223!BE57&gt;1,INDIRECT(ADDRESS(MATCH(Agenda2526!C58,'CAL8'!A:A,0)+1,2,4,1,"CAL8")),"")</f>
        <v/>
      </c>
      <c r="AT57" s="21">
        <f ca="1">IF(CALC2223!BE57&gt;1,INDIRECT(ADDRESS(MATCH(Agenda2526!C58,'CAL8'!A:A,0)+1,3,4,1,"CAL8")),0)</f>
        <v>0</v>
      </c>
      <c r="AU57" s="20" t="str">
        <f ca="1">IF(CALC2223!BE57&gt;2,INDIRECT(ADDRESS(MATCH(Agenda2526!C58,'CAL8'!A:A,0)+2,2,4,1,"CAL8")),"")</f>
        <v/>
      </c>
      <c r="AV57" s="21">
        <f ca="1">IF(CALC2223!BE57&gt;2,INDIRECT(ADDRESS(MATCH(Agenda2526!C58,'CAL8'!A:A,0)+2,3,4,1,"CAL8")),0)</f>
        <v>0</v>
      </c>
      <c r="AW57" s="106"/>
      <c r="AX57" s="20">
        <f>COUNTIF('CAL1'!A:A,Agenda2526!C58)</f>
        <v>0</v>
      </c>
      <c r="AY57" s="20">
        <f>COUNTIF('CAL2'!A:A,Agenda2526!C58)</f>
        <v>0</v>
      </c>
      <c r="AZ57" s="20">
        <f>COUNTIF('CAL3'!A:A,Agenda2526!C58)</f>
        <v>0</v>
      </c>
      <c r="BA57" s="20">
        <f>COUNTIF('CAL4'!A:A,Agenda2526!C58)</f>
        <v>0</v>
      </c>
      <c r="BB57" s="20">
        <f>COUNTIF('CAL5'!A:A,Agenda2526!C58)</f>
        <v>0</v>
      </c>
      <c r="BC57" s="20">
        <f>COUNTIF('CAL6'!A:A,Agenda2526!C58)</f>
        <v>0</v>
      </c>
      <c r="BD57" s="20">
        <f>COUNTIF('CAL7'!A:A,Agenda2526!C58)</f>
        <v>0</v>
      </c>
      <c r="BE57" s="20">
        <f>COUNTIF('CAL8'!A:A,Agenda2526!C58)</f>
        <v>0</v>
      </c>
    </row>
    <row r="58" spans="1:57" ht="15.75" customHeight="1">
      <c r="A58" s="20" t="str">
        <f ca="1">IF(CALC2223!AX58&gt;0,INDIRECT(ADDRESS(MATCH(Agenda2526!C59,'CAL1'!A:A,0),2,4,1,"CAL1")),"")</f>
        <v/>
      </c>
      <c r="B58" s="21">
        <f ca="1">IF(CALC2223!AX58&gt;0,INDIRECT(ADDRESS(MATCH(Agenda2526!C59,'CAL1'!A:A,0),3,4,1,"CAL1")),0)</f>
        <v>0</v>
      </c>
      <c r="C58" s="20" t="str">
        <f ca="1">IF(CALC2223!AX58&gt;1,INDIRECT(ADDRESS(MATCH(Agenda2526!C59,'CAL1'!A:A,0)+1,2,4,1,"CAL1")),"")</f>
        <v/>
      </c>
      <c r="D58" s="21">
        <f ca="1">IF(CALC2223!AX58&gt;1,INDIRECT(ADDRESS(MATCH(Agenda2526!C59,'CAL1'!A:A,0)+1,3,4,1,"CAL1")),0)</f>
        <v>0</v>
      </c>
      <c r="E58" s="20" t="str">
        <f ca="1">IF(CALC2223!AX58&gt;2,INDIRECT(ADDRESS(MATCH(Agenda2526!C59,'CAL1'!A:A,0)+2,2,4,1,"CAL1")),"")</f>
        <v/>
      </c>
      <c r="F58" s="21">
        <f ca="1">IF(CALC2223!AX58&gt;2,INDIRECT(ADDRESS(MATCH(Agenda2526!C59,'CAL1'!A:A,0)+2,3,4,1,"CAL1")),0)</f>
        <v>0</v>
      </c>
      <c r="G58" s="20" t="str">
        <f ca="1">IF(CALC2223!AY58&gt;0,INDIRECT(ADDRESS(MATCH(Agenda2526!C59,'CAL2'!A:A,0),2,4,1,"CAL2")),"")</f>
        <v/>
      </c>
      <c r="H58" s="21">
        <f ca="1">IF(CALC2223!AY58&gt;0,INDIRECT(ADDRESS(MATCH(Agenda2526!C59,'CAL2'!A:A,0),3,4,1,"CAL2")),0)</f>
        <v>0</v>
      </c>
      <c r="I58" s="20" t="str">
        <f ca="1">IF(CALC2223!AY58&gt;1,INDIRECT(ADDRESS(MATCH(Agenda2526!C59,'CAL2'!A:A,0)+1,2,4,1,"CAL2")),"")</f>
        <v/>
      </c>
      <c r="J58" s="21">
        <f ca="1">IF(CALC2223!AY58&gt;1,INDIRECT(ADDRESS(MATCH(Agenda2526!C59,'CAL2'!A:A,0)+1,3,4,1,"CAL2")),0)</f>
        <v>0</v>
      </c>
      <c r="K58" s="20" t="str">
        <f ca="1">IF(CALC2223!AY58&gt;2,INDIRECT(ADDRESS(MATCH(Agenda2526!C59,'CAL2'!A:A,0)+2,2,4,1,"CAL2")),"")</f>
        <v/>
      </c>
      <c r="L58" s="21">
        <f ca="1">IF(CALC2223!AY58&gt;2,INDIRECT(ADDRESS(MATCH(Agenda2526!C59,'CAL2'!A:A,0)+2,3,4,1,"CAL2")),0)</f>
        <v>0</v>
      </c>
      <c r="M58" s="20" t="str">
        <f ca="1">IF(CALC2223!AZ58&gt;0,INDIRECT(ADDRESS(MATCH(Agenda2526!C59,'CAL3'!A:A,0),2,4,1,"CAL3")),"")</f>
        <v/>
      </c>
      <c r="N58" s="21">
        <f ca="1">IF(CALC2223!AZ58&gt;0,INDIRECT(ADDRESS(MATCH(Agenda2526!C59,'CAL3'!A:A,0),3,4,1,"CAL3")),0)</f>
        <v>0</v>
      </c>
      <c r="O58" s="20" t="str">
        <f ca="1">IF(CALC2223!AZ58&gt;1,INDIRECT(ADDRESS(MATCH(Agenda2526!C59,'CAL3'!A:A,0)+1,2,4,1,"CAL3")),"")</f>
        <v/>
      </c>
      <c r="P58" s="21">
        <f ca="1">IF(CALC2223!AZ58&gt;1,INDIRECT(ADDRESS(MATCH(Agenda2526!C59,'CAL3'!A:A,0)+1,3,4,1,"CAL3")),0)</f>
        <v>0</v>
      </c>
      <c r="Q58" s="20" t="str">
        <f ca="1">IF(CALC2223!AZ58&gt;2,INDIRECT(ADDRESS(MATCH(Agenda2526!C59,'CAL3'!A:A,0)+2,2,4,1,"CAL3")),"")</f>
        <v/>
      </c>
      <c r="R58" s="21">
        <f ca="1">IF(CALC2223!AZ58&gt;2,INDIRECT(ADDRESS(MATCH(Agenda2526!C59,'CAL3'!A:A,0)+2,3,4,1,"CAL3")),0)</f>
        <v>0</v>
      </c>
      <c r="S58" s="20" t="str">
        <f ca="1">IF(CALC2223!BA58&gt;0,INDIRECT(ADDRESS(MATCH(Agenda2526!C59,'CAL4'!A:A,0),2,4,1,"CAL4")),"")</f>
        <v>inh rep WI</v>
      </c>
      <c r="T58" s="21">
        <f ca="1">IF(CALC2223!BA58&gt;0,INDIRECT(ADDRESS(MATCH(Agenda2526!C59,'CAL4'!A:A,0),3,4,1,"CAL4")),0)</f>
        <v>45936</v>
      </c>
      <c r="U58" s="20" t="str">
        <f ca="1">IF(CALC2223!BA58&gt;1,INDIRECT(ADDRESS(MATCH(Agenda2526!C59,'CAL4'!A:A,0)+1,2,4,1,"CAL4")),"")</f>
        <v/>
      </c>
      <c r="V58" s="21">
        <f ca="1">IF(CALC2223!BA58&gt;1,INDIRECT(ADDRESS(MATCH(Agenda2526!C59,'CAL4'!A:A,0)+1,3,4,1,"CAL4")),0)</f>
        <v>0</v>
      </c>
      <c r="W58" s="20" t="str">
        <f ca="1">IF(CALC2223!BA58&gt;2,INDIRECT(ADDRESS(MATCH(Agenda2526!C59,'CAL4'!A:A,0)+2,2,4,1,"CAL4")),"")</f>
        <v/>
      </c>
      <c r="X58" s="21">
        <f ca="1">IF(CALC2223!BA58&gt;2,INDIRECT(ADDRESS(MATCH(Agenda2526!C59,'CAL4'!A:A,0)+2,3,4,1,"CAL4")),0)</f>
        <v>0</v>
      </c>
      <c r="Y58" s="20" t="str">
        <f ca="1">IF(CALC2223!BB58&gt;0,INDIRECT(ADDRESS(MATCH(Agenda2526!C59,'CAL5'!A:A,0),2,4,1,"CAL5")),"")</f>
        <v>SE WIB  Rep WIA</v>
      </c>
      <c r="Z58" s="21">
        <f ca="1">IF(CALC2223!BB58&gt;0,INDIRECT(ADDRESS(MATCH(Agenda2526!C59,'CAL5'!A:A,0),3,4,1,"CAL5")),0)</f>
        <v>45896</v>
      </c>
      <c r="AA58" s="20" t="str">
        <f ca="1">IF(CALC2223!BB58&gt;1,INDIRECT(ADDRESS(MATCH(Agenda2526!C59,'CAL5'!A:A,0)+1,2,4,1,"CAL5")),"")</f>
        <v>inh rep beco</v>
      </c>
      <c r="AB58" s="21">
        <f ca="1">IF(CALC2223!BB58&gt;1,INDIRECT(ADDRESS(MATCH(Agenda2526!C59,'CAL5'!A:A,0)+1,3,4,1,"CAL5")),0)</f>
        <v>45936</v>
      </c>
      <c r="AC58" s="20" t="str">
        <f ca="1">IF(CALC2223!BB58&gt;2,INDIRECT(ADDRESS(MATCH(Agenda2526!C59,'CAL5'!A:A,0)+2,2,4,1,"CAL5")),"")</f>
        <v/>
      </c>
      <c r="AD58" s="21">
        <f ca="1">IF(CALC2223!BB58&gt;2,INDIRECT(ADDRESS(MATCH(Agenda2526!C59,'CAL5'!A:A,0)+2,3,4,1,"CAL5")),0)</f>
        <v>0</v>
      </c>
      <c r="AE58" s="20" t="str">
        <f ca="1">IF(CALC2223!BC58&gt;0,INDIRECT(ADDRESS(MATCH(Agenda2526!C59,'CAL6'!A:A,0),2,4,1,"CAL6")),"")</f>
        <v/>
      </c>
      <c r="AF58" s="21">
        <f ca="1">IF(CALC2223!BC58&gt;0,INDIRECT(ADDRESS(MATCH(Agenda2526!C59,'CAL6'!A:A,0),3,4,1,"CAL6")),0)</f>
        <v>0</v>
      </c>
      <c r="AG58" s="20" t="str">
        <f ca="1">IF(CALC2223!BC58&gt;1,INDIRECT(ADDRESS(MATCH(Agenda2526!C59,'CAL6'!A:A,0)+1,2,4,1,"CAL6")),"")</f>
        <v/>
      </c>
      <c r="AH58" s="21">
        <f ca="1">IF(CALC2223!BC58&gt;1,INDIRECT(ADDRESS(MATCH(Agenda2526!C59,'CAL6'!A:A,0)+1,3,4,1,"CAL6")),0)</f>
        <v>0</v>
      </c>
      <c r="AI58" s="20" t="str">
        <f ca="1">IF(CALC2223!BC58&gt;2,INDIRECT(ADDRESS(MATCH(Agenda2526!C59,'CAL6'!A:A,0)+2,2,4,1,"CAL6")),"")</f>
        <v/>
      </c>
      <c r="AJ58" s="21">
        <f ca="1">IF(CALC2223!BC58&gt;2,INDIRECT(ADDRESS(MATCH(Agenda2526!C59,'CAL6'!A:A,0)+2,3,4,1,"CAL6")),0)</f>
        <v>0</v>
      </c>
      <c r="AK58" s="20" t="str">
        <f ca="1">IF(CALC2223!BD58&gt;0,INDIRECT(ADDRESS(MATCH(Agenda2526!C59,'CAL7'!A:A,0),2,4,1,"CAL7")),"")</f>
        <v/>
      </c>
      <c r="AL58" s="21">
        <f ca="1">IF(CALC2223!BD58&gt;0,INDIRECT(ADDRESS(MATCH(Agenda2526!C59,'CAL7'!A:A,0),3,4,1,"CAL7")),0)</f>
        <v>0</v>
      </c>
      <c r="AM58" s="20" t="str">
        <f ca="1">IF(CALC2223!BD58&gt;1,INDIRECT(ADDRESS(MATCH(Agenda2526!C59,'CAL7'!A:A,0)+1,2,4,1,"CAL7")),"")</f>
        <v/>
      </c>
      <c r="AN58" s="21">
        <f ca="1">IF(CALC2223!BD58&gt;1,INDIRECT(ADDRESS(MATCH(Agenda2526!C59,'CAL7'!A:A,0)+1,3,4,1,"CAL7")),0)</f>
        <v>0</v>
      </c>
      <c r="AO58" s="20" t="str">
        <f ca="1">IF(CALC2223!BD58&gt;2,INDIRECT(ADDRESS(MATCH(Agenda2526!C59,'CAL7'!A:A,0)+2,2,4,1,"CAL7")),"")</f>
        <v/>
      </c>
      <c r="AP58" s="21">
        <f ca="1">IF(CALC2223!BD58&gt;2,INDIRECT(ADDRESS(MATCH(Agenda2526!C59,'CAL7'!A:A,0)+2,3,4,1,"CAL7")),0)</f>
        <v>0</v>
      </c>
      <c r="AQ58" s="20" t="str">
        <f ca="1">IF(CALC2223!BE58&gt;0,INDIRECT(ADDRESS(MATCH(Agenda2526!C59,'CAL8'!A:A,0),2,4,1,"CAL8")),"")</f>
        <v/>
      </c>
      <c r="AR58" s="21">
        <f ca="1">IF(CALC2223!BE58&gt;0,INDIRECT(ADDRESS(MATCH(Agenda2526!C59,'CAL8'!A:A,0),3,4,1,"CAL8")),0)</f>
        <v>0</v>
      </c>
      <c r="AS58" s="20" t="str">
        <f ca="1">IF(CALC2223!BE58&gt;1,INDIRECT(ADDRESS(MATCH(Agenda2526!C59,'CAL8'!A:A,0)+1,2,4,1,"CAL8")),"")</f>
        <v/>
      </c>
      <c r="AT58" s="21">
        <f ca="1">IF(CALC2223!BE58&gt;1,INDIRECT(ADDRESS(MATCH(Agenda2526!C59,'CAL8'!A:A,0)+1,3,4,1,"CAL8")),0)</f>
        <v>0</v>
      </c>
      <c r="AU58" s="20" t="str">
        <f ca="1">IF(CALC2223!BE58&gt;2,INDIRECT(ADDRESS(MATCH(Agenda2526!C59,'CAL8'!A:A,0)+2,2,4,1,"CAL8")),"")</f>
        <v/>
      </c>
      <c r="AV58" s="21">
        <f ca="1">IF(CALC2223!BE58&gt;2,INDIRECT(ADDRESS(MATCH(Agenda2526!C59,'CAL8'!A:A,0)+2,3,4,1,"CAL8")),0)</f>
        <v>0</v>
      </c>
      <c r="AW58" s="105"/>
      <c r="AX58" s="20">
        <f>COUNTIF('CAL1'!A:A,Agenda2526!C59)</f>
        <v>0</v>
      </c>
      <c r="AY58" s="20">
        <f>COUNTIF('CAL2'!A:A,Agenda2526!C59)</f>
        <v>0</v>
      </c>
      <c r="AZ58" s="20">
        <f>COUNTIF('CAL3'!A:A,Agenda2526!C59)</f>
        <v>0</v>
      </c>
      <c r="BA58" s="20">
        <f>COUNTIF('CAL4'!A:A,Agenda2526!C59)</f>
        <v>1</v>
      </c>
      <c r="BB58" s="20">
        <f>COUNTIF('CAL5'!A:A,Agenda2526!C59)</f>
        <v>2</v>
      </c>
      <c r="BC58" s="20">
        <f>COUNTIF('CAL6'!A:A,Agenda2526!C59)</f>
        <v>0</v>
      </c>
      <c r="BD58" s="20">
        <f>COUNTIF('CAL7'!A:A,Agenda2526!C59)</f>
        <v>0</v>
      </c>
      <c r="BE58" s="20">
        <f>COUNTIF('CAL8'!A:A,Agenda2526!C59)</f>
        <v>0</v>
      </c>
    </row>
    <row r="59" spans="1:57" ht="15.75" customHeight="1">
      <c r="A59" s="20" t="str">
        <f ca="1">IF(CALC2223!AX59&gt;0,INDIRECT(ADDRESS(MATCH(Agenda2526!C60,'CAL1'!A:A,0),2,4,1,"CAL1")),"")</f>
        <v/>
      </c>
      <c r="B59" s="21">
        <f ca="1">IF(CALC2223!AX59&gt;0,INDIRECT(ADDRESS(MATCH(Agenda2526!C60,'CAL1'!A:A,0),3,4,1,"CAL1")),0)</f>
        <v>0</v>
      </c>
      <c r="C59" s="20" t="str">
        <f ca="1">IF(CALC2223!AX59&gt;1,INDIRECT(ADDRESS(MATCH(Agenda2526!C60,'CAL1'!A:A,0)+1,2,4,1,"CAL1")),"")</f>
        <v/>
      </c>
      <c r="D59" s="21">
        <f ca="1">IF(CALC2223!AX59&gt;1,INDIRECT(ADDRESS(MATCH(Agenda2526!C60,'CAL1'!A:A,0)+1,3,4,1,"CAL1")),0)</f>
        <v>0</v>
      </c>
      <c r="E59" s="20" t="str">
        <f ca="1">IF(CALC2223!AX59&gt;2,INDIRECT(ADDRESS(MATCH(Agenda2526!C60,'CAL1'!A:A,0)+2,2,4,1,"CAL1")),"")</f>
        <v/>
      </c>
      <c r="F59" s="21">
        <f ca="1">IF(CALC2223!AX59&gt;2,INDIRECT(ADDRESS(MATCH(Agenda2526!C60,'CAL1'!A:A,0)+2,3,4,1,"CAL1")),0)</f>
        <v>0</v>
      </c>
      <c r="G59" s="20" t="str">
        <f ca="1">IF(CALC2223!AY59&gt;0,INDIRECT(ADDRESS(MATCH(Agenda2526!C60,'CAL2'!A:A,0),2,4,1,"CAL2")),"")</f>
        <v/>
      </c>
      <c r="H59" s="21">
        <f ca="1">IF(CALC2223!AY59&gt;0,INDIRECT(ADDRESS(MATCH(Agenda2526!C60,'CAL2'!A:A,0),3,4,1,"CAL2")),0)</f>
        <v>0</v>
      </c>
      <c r="I59" s="20" t="str">
        <f ca="1">IF(CALC2223!AY59&gt;1,INDIRECT(ADDRESS(MATCH(Agenda2526!C60,'CAL2'!A:A,0)+1,2,4,1,"CAL2")),"")</f>
        <v/>
      </c>
      <c r="J59" s="21">
        <f ca="1">IF(CALC2223!AY59&gt;1,INDIRECT(ADDRESS(MATCH(Agenda2526!C60,'CAL2'!A:A,0)+1,3,4,1,"CAL2")),0)</f>
        <v>0</v>
      </c>
      <c r="K59" s="20" t="str">
        <f ca="1">IF(CALC2223!AY59&gt;2,INDIRECT(ADDRESS(MATCH(Agenda2526!C60,'CAL2'!A:A,0)+2,2,4,1,"CAL2")),"")</f>
        <v/>
      </c>
      <c r="L59" s="21">
        <f ca="1">IF(CALC2223!AY59&gt;2,INDIRECT(ADDRESS(MATCH(Agenda2526!C60,'CAL2'!A:A,0)+2,3,4,1,"CAL2")),0)</f>
        <v>0</v>
      </c>
      <c r="M59" s="20" t="str">
        <f ca="1">IF(CALC2223!AZ59&gt;0,INDIRECT(ADDRESS(MATCH(Agenda2526!C60,'CAL3'!A:A,0),2,4,1,"CAL3")),"")</f>
        <v/>
      </c>
      <c r="N59" s="21">
        <f ca="1">IF(CALC2223!AZ59&gt;0,INDIRECT(ADDRESS(MATCH(Agenda2526!C60,'CAL3'!A:A,0),3,4,1,"CAL3")),0)</f>
        <v>0</v>
      </c>
      <c r="O59" s="20" t="str">
        <f ca="1">IF(CALC2223!AZ59&gt;1,INDIRECT(ADDRESS(MATCH(Agenda2526!C60,'CAL3'!A:A,0)+1,2,4,1,"CAL3")),"")</f>
        <v/>
      </c>
      <c r="P59" s="21">
        <f ca="1">IF(CALC2223!AZ59&gt;1,INDIRECT(ADDRESS(MATCH(Agenda2526!C60,'CAL3'!A:A,0)+1,3,4,1,"CAL3")),0)</f>
        <v>0</v>
      </c>
      <c r="Q59" s="20" t="str">
        <f ca="1">IF(CALC2223!AZ59&gt;2,INDIRECT(ADDRESS(MATCH(Agenda2526!C60,'CAL3'!A:A,0)+2,2,4,1,"CAL3")),"")</f>
        <v/>
      </c>
      <c r="R59" s="21">
        <f ca="1">IF(CALC2223!AZ59&gt;2,INDIRECT(ADDRESS(MATCH(Agenda2526!C60,'CAL3'!A:A,0)+2,3,4,1,"CAL3")),0)</f>
        <v>0</v>
      </c>
      <c r="S59" s="20" t="str">
        <f ca="1">IF(CALC2223!BA59&gt;0,INDIRECT(ADDRESS(MATCH(Agenda2526!C60,'CAL4'!A:A,0),2,4,1,"CAL4")),"")</f>
        <v>Rep GS</v>
      </c>
      <c r="T59" s="21">
        <f ca="1">IF(CALC2223!BA59&gt;0,INDIRECT(ADDRESS(MATCH(Agenda2526!C60,'CAL4'!A:A,0),3,4,1,"CAL4")),0)</f>
        <v>45896</v>
      </c>
      <c r="U59" s="20" t="str">
        <f ca="1">IF(CALC2223!BA59&gt;1,INDIRECT(ADDRESS(MATCH(Agenda2526!C60,'CAL4'!A:A,0)+1,2,4,1,"CAL4")),"")</f>
        <v>Uitwisseling Munster op bezoek bij CGU</v>
      </c>
      <c r="V59" s="21">
        <f ca="1">IF(CALC2223!BA59&gt;1,INDIRECT(ADDRESS(MATCH(Agenda2526!C60,'CAL4'!A:A,0)+1,3,4,1,"CAL4")),0)</f>
        <v>45915</v>
      </c>
      <c r="W59" s="20" t="str">
        <f ca="1">IF(CALC2223!BA59&gt;2,INDIRECT(ADDRESS(MATCH(Agenda2526!C60,'CAL4'!A:A,0)+2,2,4,1,"CAL4")),"")</f>
        <v/>
      </c>
      <c r="X59" s="21">
        <f ca="1">IF(CALC2223!BA59&gt;2,INDIRECT(ADDRESS(MATCH(Agenda2526!C60,'CAL4'!A:A,0)+2,3,4,1,"CAL4")),0)</f>
        <v>0</v>
      </c>
      <c r="Y59" s="20" t="str">
        <f ca="1">IF(CALC2223!BB59&gt;0,INDIRECT(ADDRESS(MATCH(Agenda2526!C60,'CAL5'!A:A,0),2,4,1,"CAL5")),"")</f>
        <v xml:space="preserve">inh rep wiC </v>
      </c>
      <c r="Z59" s="21">
        <f ca="1">IF(CALC2223!BB59&gt;0,INDIRECT(ADDRESS(MATCH(Agenda2526!C60,'CAL5'!A:A,0),3,4,1,"CAL5")),0)</f>
        <v>45938</v>
      </c>
      <c r="AA59" s="20" t="str">
        <f ca="1">IF(CALC2223!BB59&gt;1,INDIRECT(ADDRESS(MATCH(Agenda2526!C60,'CAL5'!A:A,0)+1,2,4,1,"CAL5")),"")</f>
        <v/>
      </c>
      <c r="AB59" s="21">
        <f ca="1">IF(CALC2223!BB59&gt;1,INDIRECT(ADDRESS(MATCH(Agenda2526!C60,'CAL5'!A:A,0)+1,3,4,1,"CAL5")),0)</f>
        <v>0</v>
      </c>
      <c r="AC59" s="20" t="str">
        <f ca="1">IF(CALC2223!BB59&gt;2,INDIRECT(ADDRESS(MATCH(Agenda2526!C60,'CAL5'!A:A,0)+2,2,4,1,"CAL5")),"")</f>
        <v/>
      </c>
      <c r="AD59" s="21">
        <f ca="1">IF(CALC2223!BB59&gt;2,INDIRECT(ADDRESS(MATCH(Agenda2526!C60,'CAL5'!A:A,0)+2,3,4,1,"CAL5")),0)</f>
        <v>0</v>
      </c>
      <c r="AE59" s="20" t="str">
        <f ca="1">IF(CALC2223!BC59&gt;0,INDIRECT(ADDRESS(MATCH(Agenda2526!C60,'CAL6'!A:A,0),2,4,1,"CAL6")),"")</f>
        <v>inhalen SE</v>
      </c>
      <c r="AF59" s="21">
        <f ca="1">IF(CALC2223!BC59&gt;0,INDIRECT(ADDRESS(MATCH(Agenda2526!C60,'CAL6'!A:A,0),3,4,1,"CAL6")),0)</f>
        <v>45896</v>
      </c>
      <c r="AG59" s="20" t="str">
        <f ca="1">IF(CALC2223!BC59&gt;1,INDIRECT(ADDRESS(MATCH(Agenda2526!C60,'CAL6'!A:A,0)+1,2,4,1,"CAL6")),"")</f>
        <v/>
      </c>
      <c r="AH59" s="21">
        <f ca="1">IF(CALC2223!BC59&gt;1,INDIRECT(ADDRESS(MATCH(Agenda2526!C60,'CAL6'!A:A,0)+1,3,4,1,"CAL6")),0)</f>
        <v>0</v>
      </c>
      <c r="AI59" s="20" t="str">
        <f ca="1">IF(CALC2223!BC59&gt;2,INDIRECT(ADDRESS(MATCH(Agenda2526!C60,'CAL6'!A:A,0)+2,2,4,1,"CAL6")),"")</f>
        <v/>
      </c>
      <c r="AJ59" s="21">
        <f ca="1">IF(CALC2223!BC59&gt;2,INDIRECT(ADDRESS(MATCH(Agenda2526!C60,'CAL6'!A:A,0)+2,3,4,1,"CAL6")),0)</f>
        <v>0</v>
      </c>
      <c r="AK59" s="20" t="str">
        <f ca="1">IF(CALC2223!BD59&gt;0,INDIRECT(ADDRESS(MATCH(Agenda2526!C60,'CAL7'!A:A,0),2,4,1,"CAL7")),"")</f>
        <v/>
      </c>
      <c r="AL59" s="21">
        <f ca="1">IF(CALC2223!BD59&gt;0,INDIRECT(ADDRESS(MATCH(Agenda2526!C60,'CAL7'!A:A,0),3,4,1,"CAL7")),0)</f>
        <v>0</v>
      </c>
      <c r="AM59" s="20" t="str">
        <f ca="1">IF(CALC2223!BD59&gt;1,INDIRECT(ADDRESS(MATCH(Agenda2526!C60,'CAL7'!A:A,0)+1,2,4,1,"CAL7")),"")</f>
        <v/>
      </c>
      <c r="AN59" s="21">
        <f ca="1">IF(CALC2223!BD59&gt;1,INDIRECT(ADDRESS(MATCH(Agenda2526!C60,'CAL7'!A:A,0)+1,3,4,1,"CAL7")),0)</f>
        <v>0</v>
      </c>
      <c r="AO59" s="20" t="str">
        <f ca="1">IF(CALC2223!BD59&gt;2,INDIRECT(ADDRESS(MATCH(Agenda2526!C60,'CAL7'!A:A,0)+2,2,4,1,"CAL7")),"")</f>
        <v/>
      </c>
      <c r="AP59" s="21">
        <f ca="1">IF(CALC2223!BD59&gt;2,INDIRECT(ADDRESS(MATCH(Agenda2526!C60,'CAL7'!A:A,0)+2,3,4,1,"CAL7")),0)</f>
        <v>0</v>
      </c>
      <c r="AQ59" s="20" t="str">
        <f ca="1">IF(CALC2223!BE59&gt;0,INDIRECT(ADDRESS(MATCH(Agenda2526!C60,'CAL8'!A:A,0),2,4,1,"CAL8")),"")</f>
        <v/>
      </c>
      <c r="AR59" s="21">
        <f ca="1">IF(CALC2223!BE59&gt;0,INDIRECT(ADDRESS(MATCH(Agenda2526!C60,'CAL8'!A:A,0),3,4,1,"CAL8")),0)</f>
        <v>0</v>
      </c>
      <c r="AS59" s="20" t="str">
        <f ca="1">IF(CALC2223!BE59&gt;1,INDIRECT(ADDRESS(MATCH(Agenda2526!C60,'CAL8'!A:A,0)+1,2,4,1,"CAL8")),"")</f>
        <v/>
      </c>
      <c r="AT59" s="21">
        <f ca="1">IF(CALC2223!BE59&gt;1,INDIRECT(ADDRESS(MATCH(Agenda2526!C60,'CAL8'!A:A,0)+1,3,4,1,"CAL8")),0)</f>
        <v>0</v>
      </c>
      <c r="AU59" s="20" t="str">
        <f ca="1">IF(CALC2223!BE59&gt;2,INDIRECT(ADDRESS(MATCH(Agenda2526!C60,'CAL8'!A:A,0)+2,2,4,1,"CAL8")),"")</f>
        <v/>
      </c>
      <c r="AV59" s="21">
        <f ca="1">IF(CALC2223!BE59&gt;2,INDIRECT(ADDRESS(MATCH(Agenda2526!C60,'CAL8'!A:A,0)+2,3,4,1,"CAL8")),0)</f>
        <v>0</v>
      </c>
      <c r="AW59" s="105"/>
      <c r="AX59" s="20">
        <f>COUNTIF('CAL1'!A:A,Agenda2526!C60)</f>
        <v>0</v>
      </c>
      <c r="AY59" s="20">
        <f>COUNTIF('CAL2'!A:A,Agenda2526!C60)</f>
        <v>0</v>
      </c>
      <c r="AZ59" s="20">
        <f>COUNTIF('CAL3'!A:A,Agenda2526!C60)</f>
        <v>0</v>
      </c>
      <c r="BA59" s="20">
        <f>COUNTIF('CAL4'!A:A,Agenda2526!C60)</f>
        <v>2</v>
      </c>
      <c r="BB59" s="20">
        <f>COUNTIF('CAL5'!A:A,Agenda2526!C60)</f>
        <v>1</v>
      </c>
      <c r="BC59" s="20">
        <f>COUNTIF('CAL6'!A:A,Agenda2526!C60)</f>
        <v>1</v>
      </c>
      <c r="BD59" s="20">
        <f>COUNTIF('CAL7'!A:A,Agenda2526!C60)</f>
        <v>0</v>
      </c>
      <c r="BE59" s="20">
        <f>COUNTIF('CAL8'!A:A,Agenda2526!C60)</f>
        <v>0</v>
      </c>
    </row>
    <row r="60" spans="1:57" ht="15.75" customHeight="1">
      <c r="A60" s="20" t="str">
        <f ca="1">IF(CALC2223!AX60&gt;0,INDIRECT(ADDRESS(MATCH(Agenda2526!C61,'CAL1'!A:A,0),2,4,1,"CAL1")),"")</f>
        <v/>
      </c>
      <c r="B60" s="21">
        <f ca="1">IF(CALC2223!AX60&gt;0,INDIRECT(ADDRESS(MATCH(Agenda2526!C61,'CAL1'!A:A,0),3,4,1,"CAL1")),0)</f>
        <v>0</v>
      </c>
      <c r="C60" s="20" t="str">
        <f ca="1">IF(CALC2223!AX60&gt;1,INDIRECT(ADDRESS(MATCH(Agenda2526!C61,'CAL1'!A:A,0)+1,2,4,1,"CAL1")),"")</f>
        <v/>
      </c>
      <c r="D60" s="21">
        <f ca="1">IF(CALC2223!AX60&gt;1,INDIRECT(ADDRESS(MATCH(Agenda2526!C61,'CAL1'!A:A,0)+1,3,4,1,"CAL1")),0)</f>
        <v>0</v>
      </c>
      <c r="E60" s="20" t="str">
        <f ca="1">IF(CALC2223!AX60&gt;2,INDIRECT(ADDRESS(MATCH(Agenda2526!C61,'CAL1'!A:A,0)+2,2,4,1,"CAL1")),"")</f>
        <v/>
      </c>
      <c r="F60" s="21">
        <f ca="1">IF(CALC2223!AX60&gt;2,INDIRECT(ADDRESS(MATCH(Agenda2526!C61,'CAL1'!A:A,0)+2,3,4,1,"CAL1")),0)</f>
        <v>0</v>
      </c>
      <c r="G60" s="20" t="str">
        <f ca="1">IF(CALC2223!AY60&gt;0,INDIRECT(ADDRESS(MATCH(Agenda2526!C61,'CAL2'!A:A,0),2,4,1,"CAL2")),"")</f>
        <v/>
      </c>
      <c r="H60" s="21">
        <f ca="1">IF(CALC2223!AY60&gt;0,INDIRECT(ADDRESS(MATCH(Agenda2526!C61,'CAL2'!A:A,0),3,4,1,"CAL2")),0)</f>
        <v>0</v>
      </c>
      <c r="I60" s="20" t="str">
        <f ca="1">IF(CALC2223!AY60&gt;1,INDIRECT(ADDRESS(MATCH(Agenda2526!C61,'CAL2'!A:A,0)+1,2,4,1,"CAL2")),"")</f>
        <v/>
      </c>
      <c r="J60" s="21">
        <f ca="1">IF(CALC2223!AY60&gt;1,INDIRECT(ADDRESS(MATCH(Agenda2526!C61,'CAL2'!A:A,0)+1,3,4,1,"CAL2")),0)</f>
        <v>0</v>
      </c>
      <c r="K60" s="20" t="str">
        <f ca="1">IF(CALC2223!AY60&gt;2,INDIRECT(ADDRESS(MATCH(Agenda2526!C61,'CAL2'!A:A,0)+2,2,4,1,"CAL2")),"")</f>
        <v/>
      </c>
      <c r="L60" s="21">
        <f ca="1">IF(CALC2223!AY60&gt;2,INDIRECT(ADDRESS(MATCH(Agenda2526!C61,'CAL2'!A:A,0)+2,3,4,1,"CAL2")),0)</f>
        <v>0</v>
      </c>
      <c r="M60" s="20" t="str">
        <f ca="1">IF(CALC2223!AZ60&gt;0,INDIRECT(ADDRESS(MATCH(Agenda2526!C61,'CAL3'!A:A,0),2,4,1,"CAL3")),"")</f>
        <v/>
      </c>
      <c r="N60" s="21">
        <f ca="1">IF(CALC2223!AZ60&gt;0,INDIRECT(ADDRESS(MATCH(Agenda2526!C61,'CAL3'!A:A,0),3,4,1,"CAL3")),0)</f>
        <v>0</v>
      </c>
      <c r="O60" s="20" t="str">
        <f ca="1">IF(CALC2223!AZ60&gt;1,INDIRECT(ADDRESS(MATCH(Agenda2526!C61,'CAL3'!A:A,0)+1,2,4,1,"CAL3")),"")</f>
        <v/>
      </c>
      <c r="P60" s="21">
        <f ca="1">IF(CALC2223!AZ60&gt;1,INDIRECT(ADDRESS(MATCH(Agenda2526!C61,'CAL3'!A:A,0)+1,3,4,1,"CAL3")),0)</f>
        <v>0</v>
      </c>
      <c r="Q60" s="20" t="str">
        <f ca="1">IF(CALC2223!AZ60&gt;2,INDIRECT(ADDRESS(MATCH(Agenda2526!C61,'CAL3'!A:A,0)+2,2,4,1,"CAL3")),"")</f>
        <v/>
      </c>
      <c r="R60" s="21">
        <f ca="1">IF(CALC2223!AZ60&gt;2,INDIRECT(ADDRESS(MATCH(Agenda2526!C61,'CAL3'!A:A,0)+2,3,4,1,"CAL3")),0)</f>
        <v>0</v>
      </c>
      <c r="S60" s="20" t="str">
        <f ca="1">IF(CALC2223!BA60&gt;0,INDIRECT(ADDRESS(MATCH(Agenda2526!C61,'CAL4'!A:A,0),2,4,1,"CAL4")),"")</f>
        <v>Uitwisseling Munster op bezoek bij CGU</v>
      </c>
      <c r="T60" s="21">
        <f ca="1">IF(CALC2223!BA60&gt;0,INDIRECT(ADDRESS(MATCH(Agenda2526!C61,'CAL4'!A:A,0),3,4,1,"CAL4")),0)</f>
        <v>45915</v>
      </c>
      <c r="U60" s="20" t="str">
        <f ca="1">IF(CALC2223!BA60&gt;1,INDIRECT(ADDRESS(MATCH(Agenda2526!C61,'CAL4'!A:A,0)+1,2,4,1,"CAL4")),"")</f>
        <v>inh rep EC</v>
      </c>
      <c r="V60" s="21">
        <f ca="1">IF(CALC2223!BA60&gt;1,INDIRECT(ADDRESS(MATCH(Agenda2526!C61,'CAL4'!A:A,0)+1,3,4,1,"CAL4")),0)</f>
        <v>45940</v>
      </c>
      <c r="W60" s="20" t="str">
        <f ca="1">IF(CALC2223!BA60&gt;2,INDIRECT(ADDRESS(MATCH(Agenda2526!C61,'CAL4'!A:A,0)+2,2,4,1,"CAL4")),"")</f>
        <v/>
      </c>
      <c r="X60" s="21">
        <f ca="1">IF(CALC2223!BA60&gt;2,INDIRECT(ADDRESS(MATCH(Agenda2526!C61,'CAL4'!A:A,0)+2,3,4,1,"CAL4")),0)</f>
        <v>0</v>
      </c>
      <c r="Y60" s="20" t="str">
        <f ca="1">IF(CALC2223!BB60&gt;0,INDIRECT(ADDRESS(MATCH(Agenda2526!C61,'CAL5'!A:A,0),2,4,1,"CAL5")),"")</f>
        <v>Rep FI</v>
      </c>
      <c r="Z60" s="21">
        <f ca="1">IF(CALC2223!BB60&gt;0,INDIRECT(ADDRESS(MATCH(Agenda2526!C61,'CAL5'!A:A,0),3,4,1,"CAL5")),0)</f>
        <v>45896</v>
      </c>
      <c r="AA60" s="20" t="str">
        <f ca="1">IF(CALC2223!BB60&gt;1,INDIRECT(ADDRESS(MATCH(Agenda2526!C61,'CAL5'!A:A,0)+1,2,4,1,"CAL5")),"")</f>
        <v/>
      </c>
      <c r="AB60" s="21">
        <f ca="1">IF(CALC2223!BB60&gt;1,INDIRECT(ADDRESS(MATCH(Agenda2526!C61,'CAL5'!A:A,0)+1,3,4,1,"CAL5")),0)</f>
        <v>0</v>
      </c>
      <c r="AC60" s="20" t="str">
        <f ca="1">IF(CALC2223!BB60&gt;2,INDIRECT(ADDRESS(MATCH(Agenda2526!C61,'CAL5'!A:A,0)+2,2,4,1,"CAL5")),"")</f>
        <v/>
      </c>
      <c r="AD60" s="21">
        <f ca="1">IF(CALC2223!BB60&gt;2,INDIRECT(ADDRESS(MATCH(Agenda2526!C61,'CAL5'!A:A,0)+2,3,4,1,"CAL5")),0)</f>
        <v>0</v>
      </c>
      <c r="AE60" s="20" t="str">
        <f ca="1">IF(CALC2223!BC60&gt;0,INDIRECT(ADDRESS(MATCH(Agenda2526!C61,'CAL6'!A:A,0),2,4,1,"CAL6")),"")</f>
        <v>KuBV excursie centraal museum (4e en 5e uur)</v>
      </c>
      <c r="AF60" s="21">
        <f ca="1">IF(CALC2223!BC60&gt;0,INDIRECT(ADDRESS(MATCH(Agenda2526!C61,'CAL6'!A:A,0),3,4,1,"CAL6")),0)</f>
        <v>45936</v>
      </c>
      <c r="AG60" s="20" t="str">
        <f ca="1">IF(CALC2223!BC60&gt;1,INDIRECT(ADDRESS(MATCH(Agenda2526!C61,'CAL6'!A:A,0)+1,2,4,1,"CAL6")),"")</f>
        <v/>
      </c>
      <c r="AH60" s="21">
        <f ca="1">IF(CALC2223!BC60&gt;1,INDIRECT(ADDRESS(MATCH(Agenda2526!C61,'CAL6'!A:A,0)+1,3,4,1,"CAL6")),0)</f>
        <v>0</v>
      </c>
      <c r="AI60" s="20" t="str">
        <f ca="1">IF(CALC2223!BC60&gt;2,INDIRECT(ADDRESS(MATCH(Agenda2526!C61,'CAL6'!A:A,0)+2,2,4,1,"CAL6")),"")</f>
        <v/>
      </c>
      <c r="AJ60" s="21">
        <f ca="1">IF(CALC2223!BC60&gt;2,INDIRECT(ADDRESS(MATCH(Agenda2526!C61,'CAL6'!A:A,0)+2,3,4,1,"CAL6")),0)</f>
        <v>0</v>
      </c>
      <c r="AK60" s="20" t="str">
        <f ca="1">IF(CALC2223!BD60&gt;0,INDIRECT(ADDRESS(MATCH(Agenda2526!C61,'CAL7'!A:A,0),2,4,1,"CAL7")),"")</f>
        <v/>
      </c>
      <c r="AL60" s="21">
        <f ca="1">IF(CALC2223!BD60&gt;0,INDIRECT(ADDRESS(MATCH(Agenda2526!C61,'CAL7'!A:A,0),3,4,1,"CAL7")),0)</f>
        <v>0</v>
      </c>
      <c r="AM60" s="20" t="str">
        <f ca="1">IF(CALC2223!BD60&gt;1,INDIRECT(ADDRESS(MATCH(Agenda2526!C61,'CAL7'!A:A,0)+1,2,4,1,"CAL7")),"")</f>
        <v/>
      </c>
      <c r="AN60" s="21">
        <f ca="1">IF(CALC2223!BD60&gt;1,INDIRECT(ADDRESS(MATCH(Agenda2526!C61,'CAL7'!A:A,0)+1,3,4,1,"CAL7")),0)</f>
        <v>0</v>
      </c>
      <c r="AO60" s="20" t="str">
        <f ca="1">IF(CALC2223!BD60&gt;2,INDIRECT(ADDRESS(MATCH(Agenda2526!C61,'CAL7'!A:A,0)+2,2,4,1,"CAL7")),"")</f>
        <v/>
      </c>
      <c r="AP60" s="21">
        <f ca="1">IF(CALC2223!BD60&gt;2,INDIRECT(ADDRESS(MATCH(Agenda2526!C61,'CAL7'!A:A,0)+2,3,4,1,"CAL7")),0)</f>
        <v>0</v>
      </c>
      <c r="AQ60" s="20" t="str">
        <f ca="1">IF(CALC2223!BE60&gt;0,INDIRECT(ADDRESS(MATCH(Agenda2526!C61,'CAL8'!A:A,0),2,4,1,"CAL8")),"")</f>
        <v/>
      </c>
      <c r="AR60" s="21">
        <f ca="1">IF(CALC2223!BE60&gt;0,INDIRECT(ADDRESS(MATCH(Agenda2526!C61,'CAL8'!A:A,0),3,4,1,"CAL8")),0)</f>
        <v>0</v>
      </c>
      <c r="AS60" s="20" t="str">
        <f ca="1">IF(CALC2223!BE60&gt;1,INDIRECT(ADDRESS(MATCH(Agenda2526!C61,'CAL8'!A:A,0)+1,2,4,1,"CAL8")),"")</f>
        <v/>
      </c>
      <c r="AT60" s="21">
        <f ca="1">IF(CALC2223!BE60&gt;1,INDIRECT(ADDRESS(MATCH(Agenda2526!C61,'CAL8'!A:A,0)+1,3,4,1,"CAL8")),0)</f>
        <v>0</v>
      </c>
      <c r="AU60" s="20" t="str">
        <f ca="1">IF(CALC2223!BE60&gt;2,INDIRECT(ADDRESS(MATCH(Agenda2526!C61,'CAL8'!A:A,0)+2,2,4,1,"CAL8")),"")</f>
        <v/>
      </c>
      <c r="AV60" s="21">
        <f ca="1">IF(CALC2223!BE60&gt;2,INDIRECT(ADDRESS(MATCH(Agenda2526!C61,'CAL8'!A:A,0)+2,3,4,1,"CAL8")),0)</f>
        <v>0</v>
      </c>
      <c r="AW60" s="105"/>
      <c r="AX60" s="20">
        <f>COUNTIF('CAL1'!A:A,Agenda2526!C61)</f>
        <v>0</v>
      </c>
      <c r="AY60" s="20">
        <f>COUNTIF('CAL2'!A:A,Agenda2526!C61)</f>
        <v>0</v>
      </c>
      <c r="AZ60" s="20">
        <f>COUNTIF('CAL3'!A:A,Agenda2526!C61)</f>
        <v>0</v>
      </c>
      <c r="BA60" s="20">
        <f>COUNTIF('CAL4'!A:A,Agenda2526!C61)</f>
        <v>2</v>
      </c>
      <c r="BB60" s="20">
        <f>COUNTIF('CAL5'!A:A,Agenda2526!C61)</f>
        <v>1</v>
      </c>
      <c r="BC60" s="20">
        <f>COUNTIF('CAL6'!A:A,Agenda2526!C61)</f>
        <v>1</v>
      </c>
      <c r="BD60" s="20">
        <f>COUNTIF('CAL7'!A:A,Agenda2526!C61)</f>
        <v>0</v>
      </c>
      <c r="BE60" s="20">
        <f>COUNTIF('CAL8'!A:A,Agenda2526!C61)</f>
        <v>0</v>
      </c>
    </row>
    <row r="61" spans="1:57" ht="15.75" customHeight="1">
      <c r="A61" s="20" t="str">
        <f ca="1">IF(CALC2223!AX61&gt;0,INDIRECT(ADDRESS(MATCH(Agenda2526!C62,'CAL1'!A:A,0),2,4,1,"CAL1")),"")</f>
        <v/>
      </c>
      <c r="B61" s="21">
        <f ca="1">IF(CALC2223!AX61&gt;0,INDIRECT(ADDRESS(MATCH(Agenda2526!C62,'CAL1'!A:A,0),3,4,1,"CAL1")),0)</f>
        <v>0</v>
      </c>
      <c r="C61" s="20" t="str">
        <f ca="1">IF(CALC2223!AX61&gt;1,INDIRECT(ADDRESS(MATCH(Agenda2526!C62,'CAL1'!A:A,0)+1,2,4,1,"CAL1")),"")</f>
        <v/>
      </c>
      <c r="D61" s="21">
        <f ca="1">IF(CALC2223!AX61&gt;1,INDIRECT(ADDRESS(MATCH(Agenda2526!C62,'CAL1'!A:A,0)+1,3,4,1,"CAL1")),0)</f>
        <v>0</v>
      </c>
      <c r="E61" s="20" t="str">
        <f ca="1">IF(CALC2223!AX61&gt;2,INDIRECT(ADDRESS(MATCH(Agenda2526!C62,'CAL1'!A:A,0)+2,2,4,1,"CAL1")),"")</f>
        <v/>
      </c>
      <c r="F61" s="21">
        <f ca="1">IF(CALC2223!AX61&gt;2,INDIRECT(ADDRESS(MATCH(Agenda2526!C62,'CAL1'!A:A,0)+2,3,4,1,"CAL1")),0)</f>
        <v>0</v>
      </c>
      <c r="G61" s="20" t="str">
        <f ca="1">IF(CALC2223!AY61&gt;0,INDIRECT(ADDRESS(MATCH(Agenda2526!C62,'CAL2'!A:A,0),2,4,1,"CAL2")),"")</f>
        <v/>
      </c>
      <c r="H61" s="21">
        <f ca="1">IF(CALC2223!AY61&gt;0,INDIRECT(ADDRESS(MATCH(Agenda2526!C62,'CAL2'!A:A,0),3,4,1,"CAL2")),0)</f>
        <v>0</v>
      </c>
      <c r="I61" s="20" t="str">
        <f ca="1">IF(CALC2223!AY61&gt;1,INDIRECT(ADDRESS(MATCH(Agenda2526!C62,'CAL2'!A:A,0)+1,2,4,1,"CAL2")),"")</f>
        <v/>
      </c>
      <c r="J61" s="21">
        <f ca="1">IF(CALC2223!AY61&gt;1,INDIRECT(ADDRESS(MATCH(Agenda2526!C62,'CAL2'!A:A,0)+1,3,4,1,"CAL2")),0)</f>
        <v>0</v>
      </c>
      <c r="K61" s="20" t="str">
        <f ca="1">IF(CALC2223!AY61&gt;2,INDIRECT(ADDRESS(MATCH(Agenda2526!C62,'CAL2'!A:A,0)+2,2,4,1,"CAL2")),"")</f>
        <v/>
      </c>
      <c r="L61" s="21">
        <f ca="1">IF(CALC2223!AY61&gt;2,INDIRECT(ADDRESS(MATCH(Agenda2526!C62,'CAL2'!A:A,0)+2,3,4,1,"CAL2")),0)</f>
        <v>0</v>
      </c>
      <c r="M61" s="20" t="str">
        <f ca="1">IF(CALC2223!AZ61&gt;0,INDIRECT(ADDRESS(MATCH(Agenda2526!C62,'CAL3'!A:A,0),2,4,1,"CAL3")),"")</f>
        <v>Rep SK</v>
      </c>
      <c r="N61" s="21">
        <f ca="1">IF(CALC2223!AZ61&gt;0,INDIRECT(ADDRESS(MATCH(Agenda2526!C62,'CAL3'!A:A,0),3,4,1,"CAL3")),0)</f>
        <v>45903</v>
      </c>
      <c r="O61" s="20" t="str">
        <f ca="1">IF(CALC2223!AZ61&gt;1,INDIRECT(ADDRESS(MATCH(Agenda2526!C62,'CAL3'!A:A,0)+1,2,4,1,"CAL3")),"")</f>
        <v/>
      </c>
      <c r="P61" s="21">
        <f ca="1">IF(CALC2223!AZ61&gt;1,INDIRECT(ADDRESS(MATCH(Agenda2526!C62,'CAL3'!A:A,0)+1,3,4,1,"CAL3")),0)</f>
        <v>0</v>
      </c>
      <c r="Q61" s="20" t="str">
        <f ca="1">IF(CALC2223!AZ61&gt;2,INDIRECT(ADDRESS(MATCH(Agenda2526!C62,'CAL3'!A:A,0)+2,2,4,1,"CAL3")),"")</f>
        <v/>
      </c>
      <c r="R61" s="21">
        <f ca="1">IF(CALC2223!AZ61&gt;2,INDIRECT(ADDRESS(MATCH(Agenda2526!C62,'CAL3'!A:A,0)+2,3,4,1,"CAL3")),0)</f>
        <v>0</v>
      </c>
      <c r="S61" s="20" t="str">
        <f ca="1">IF(CALC2223!BA61&gt;0,INDIRECT(ADDRESS(MATCH(Agenda2526!C62,'CAL4'!A:A,0),2,4,1,"CAL4")),"")</f>
        <v>Uitwisseling Munster op bezoek bij CGU</v>
      </c>
      <c r="T61" s="21">
        <f ca="1">IF(CALC2223!BA61&gt;0,INDIRECT(ADDRESS(MATCH(Agenda2526!C62,'CAL4'!A:A,0),3,4,1,"CAL4")),0)</f>
        <v>45915</v>
      </c>
      <c r="U61" s="20" t="str">
        <f ca="1">IF(CALC2223!BA61&gt;1,INDIRECT(ADDRESS(MATCH(Agenda2526!C62,'CAL4'!A:A,0)+1,2,4,1,"CAL4")),"")</f>
        <v>inh rep EN</v>
      </c>
      <c r="V61" s="21">
        <f ca="1">IF(CALC2223!BA61&gt;1,INDIRECT(ADDRESS(MATCH(Agenda2526!C62,'CAL4'!A:A,0)+1,3,4,1,"CAL4")),0)</f>
        <v>45936</v>
      </c>
      <c r="W61" s="20" t="str">
        <f ca="1">IF(CALC2223!BA61&gt;2,INDIRECT(ADDRESS(MATCH(Agenda2526!C62,'CAL4'!A:A,0)+2,2,4,1,"CAL4")),"")</f>
        <v/>
      </c>
      <c r="X61" s="21">
        <f ca="1">IF(CALC2223!BA61&gt;2,INDIRECT(ADDRESS(MATCH(Agenda2526!C62,'CAL4'!A:A,0)+2,3,4,1,"CAL4")),0)</f>
        <v>0</v>
      </c>
      <c r="Y61" s="20" t="str">
        <f ca="1">IF(CALC2223!BB61&gt;0,INDIRECT(ADDRESS(MATCH(Agenda2526!C62,'CAL5'!A:A,0),2,4,1,"CAL5")),"")</f>
        <v>inh SE wiD</v>
      </c>
      <c r="Z61" s="21">
        <f ca="1">IF(CALC2223!BB61&gt;0,INDIRECT(ADDRESS(MATCH(Agenda2526!C62,'CAL5'!A:A,0),3,4,1,"CAL5")),0)</f>
        <v>45936</v>
      </c>
      <c r="AA61" s="20" t="str">
        <f ca="1">IF(CALC2223!BB61&gt;1,INDIRECT(ADDRESS(MATCH(Agenda2526!C62,'CAL5'!A:A,0)+1,2,4,1,"CAL5")),"")</f>
        <v/>
      </c>
      <c r="AB61" s="21">
        <f ca="1">IF(CALC2223!BB61&gt;1,INDIRECT(ADDRESS(MATCH(Agenda2526!C62,'CAL5'!A:A,0)+1,3,4,1,"CAL5")),0)</f>
        <v>0</v>
      </c>
      <c r="AC61" s="20" t="str">
        <f ca="1">IF(CALC2223!BB61&gt;2,INDIRECT(ADDRESS(MATCH(Agenda2526!C62,'CAL5'!A:A,0)+2,2,4,1,"CAL5")),"")</f>
        <v/>
      </c>
      <c r="AD61" s="21">
        <f ca="1">IF(CALC2223!BB61&gt;2,INDIRECT(ADDRESS(MATCH(Agenda2526!C62,'CAL5'!A:A,0)+2,3,4,1,"CAL5")),0)</f>
        <v>0</v>
      </c>
      <c r="AE61" s="20" t="str">
        <f ca="1">IF(CALC2223!BC61&gt;0,INDIRECT(ADDRESS(MATCH(Agenda2526!C62,'CAL6'!A:A,0),2,4,1,"CAL6")),"")</f>
        <v>LO2:1</v>
      </c>
      <c r="AF61" s="21">
        <f ca="1">IF(CALC2223!BC61&gt;0,INDIRECT(ADDRESS(MATCH(Agenda2526!C62,'CAL6'!A:A,0),3,4,1,"CAL6")),0)</f>
        <v>45896</v>
      </c>
      <c r="AG61" s="20" t="str">
        <f ca="1">IF(CALC2223!BC61&gt;1,INDIRECT(ADDRESS(MATCH(Agenda2526!C62,'CAL6'!A:A,0)+1,2,4,1,"CAL6")),"")</f>
        <v/>
      </c>
      <c r="AH61" s="21">
        <f ca="1">IF(CALC2223!BC61&gt;1,INDIRECT(ADDRESS(MATCH(Agenda2526!C62,'CAL6'!A:A,0)+1,3,4,1,"CAL6")),0)</f>
        <v>0</v>
      </c>
      <c r="AI61" s="20" t="str">
        <f ca="1">IF(CALC2223!BC61&gt;2,INDIRECT(ADDRESS(MATCH(Agenda2526!C62,'CAL6'!A:A,0)+2,2,4,1,"CAL6")),"")</f>
        <v/>
      </c>
      <c r="AJ61" s="21">
        <f ca="1">IF(CALC2223!BC61&gt;2,INDIRECT(ADDRESS(MATCH(Agenda2526!C62,'CAL6'!A:A,0)+2,3,4,1,"CAL6")),0)</f>
        <v>0</v>
      </c>
      <c r="AK61" s="20" t="str">
        <f ca="1">IF(CALC2223!BD61&gt;0,INDIRECT(ADDRESS(MATCH(Agenda2526!C62,'CAL7'!A:A,0),2,4,1,"CAL7")),"")</f>
        <v>Kenniscarroussel</v>
      </c>
      <c r="AL61" s="21">
        <f ca="1">IF(CALC2223!BD61&gt;0,INDIRECT(ADDRESS(MATCH(Agenda2526!C62,'CAL7'!A:A,0),3,4,1,"CAL7")),0)</f>
        <v>45896</v>
      </c>
      <c r="AM61" s="20" t="str">
        <f ca="1">IF(CALC2223!BD61&gt;1,INDIRECT(ADDRESS(MATCH(Agenda2526!C62,'CAL7'!A:A,0)+1,2,4,1,"CAL7")),"")</f>
        <v/>
      </c>
      <c r="AN61" s="21">
        <f ca="1">IF(CALC2223!BD61&gt;1,INDIRECT(ADDRESS(MATCH(Agenda2526!C62,'CAL7'!A:A,0)+1,3,4,1,"CAL7")),0)</f>
        <v>0</v>
      </c>
      <c r="AO61" s="20" t="str">
        <f ca="1">IF(CALC2223!BD61&gt;2,INDIRECT(ADDRESS(MATCH(Agenda2526!C62,'CAL7'!A:A,0)+2,2,4,1,"CAL7")),"")</f>
        <v/>
      </c>
      <c r="AP61" s="21">
        <f ca="1">IF(CALC2223!BD61&gt;2,INDIRECT(ADDRESS(MATCH(Agenda2526!C62,'CAL7'!A:A,0)+2,3,4,1,"CAL7")),0)</f>
        <v>0</v>
      </c>
      <c r="AQ61" s="20" t="str">
        <f ca="1">IF(CALC2223!BE61&gt;0,INDIRECT(ADDRESS(MATCH(Agenda2526!C62,'CAL8'!A:A,0),2,4,1,"CAL8")),"")</f>
        <v/>
      </c>
      <c r="AR61" s="21">
        <f ca="1">IF(CALC2223!BE61&gt;0,INDIRECT(ADDRESS(MATCH(Agenda2526!C62,'CAL8'!A:A,0),3,4,1,"CAL8")),0)</f>
        <v>0</v>
      </c>
      <c r="AS61" s="20" t="str">
        <f ca="1">IF(CALC2223!BE61&gt;1,INDIRECT(ADDRESS(MATCH(Agenda2526!C62,'CAL8'!A:A,0)+1,2,4,1,"CAL8")),"")</f>
        <v/>
      </c>
      <c r="AT61" s="21">
        <f ca="1">IF(CALC2223!BE61&gt;1,INDIRECT(ADDRESS(MATCH(Agenda2526!C62,'CAL8'!A:A,0)+1,3,4,1,"CAL8")),0)</f>
        <v>0</v>
      </c>
      <c r="AU61" s="20" t="str">
        <f ca="1">IF(CALC2223!BE61&gt;2,INDIRECT(ADDRESS(MATCH(Agenda2526!C62,'CAL8'!A:A,0)+2,2,4,1,"CAL8")),"")</f>
        <v/>
      </c>
      <c r="AV61" s="21">
        <f ca="1">IF(CALC2223!BE61&gt;2,INDIRECT(ADDRESS(MATCH(Agenda2526!C62,'CAL8'!A:A,0)+2,3,4,1,"CAL8")),0)</f>
        <v>0</v>
      </c>
      <c r="AW61" s="105"/>
      <c r="AX61" s="20">
        <f>COUNTIF('CAL1'!A:A,Agenda2526!C62)</f>
        <v>0</v>
      </c>
      <c r="AY61" s="20">
        <f>COUNTIF('CAL2'!A:A,Agenda2526!C62)</f>
        <v>0</v>
      </c>
      <c r="AZ61" s="20">
        <f>COUNTIF('CAL3'!A:A,Agenda2526!C62)</f>
        <v>1</v>
      </c>
      <c r="BA61" s="20">
        <f>COUNTIF('CAL4'!A:A,Agenda2526!C62)</f>
        <v>2</v>
      </c>
      <c r="BB61" s="20">
        <f>COUNTIF('CAL5'!A:A,Agenda2526!C62)</f>
        <v>1</v>
      </c>
      <c r="BC61" s="20">
        <f>COUNTIF('CAL6'!A:A,Agenda2526!C62)</f>
        <v>1</v>
      </c>
      <c r="BD61" s="20">
        <f>COUNTIF('CAL7'!A:A,Agenda2526!C62)</f>
        <v>1</v>
      </c>
      <c r="BE61" s="20">
        <f>COUNTIF('CAL8'!A:A,Agenda2526!C62)</f>
        <v>0</v>
      </c>
    </row>
    <row r="62" spans="1:57" ht="15.75" customHeight="1">
      <c r="A62" s="20" t="str">
        <f ca="1">IF(CALC2223!AX62&gt;0,INDIRECT(ADDRESS(MATCH(Agenda2526!C63,'CAL1'!A:A,0),2,4,1,"CAL1")),"")</f>
        <v/>
      </c>
      <c r="B62" s="21">
        <f ca="1">IF(CALC2223!AX62&gt;0,INDIRECT(ADDRESS(MATCH(Agenda2526!C63,'CAL1'!A:A,0),3,4,1,"CAL1")),0)</f>
        <v>0</v>
      </c>
      <c r="C62" s="20" t="str">
        <f ca="1">IF(CALC2223!AX62&gt;1,INDIRECT(ADDRESS(MATCH(Agenda2526!C63,'CAL1'!A:A,0)+1,2,4,1,"CAL1")),"")</f>
        <v/>
      </c>
      <c r="D62" s="21">
        <f ca="1">IF(CALC2223!AX62&gt;1,INDIRECT(ADDRESS(MATCH(Agenda2526!C63,'CAL1'!A:A,0)+1,3,4,1,"CAL1")),0)</f>
        <v>0</v>
      </c>
      <c r="E62" s="20" t="str">
        <f ca="1">IF(CALC2223!AX62&gt;2,INDIRECT(ADDRESS(MATCH(Agenda2526!C63,'CAL1'!A:A,0)+2,2,4,1,"CAL1")),"")</f>
        <v/>
      </c>
      <c r="F62" s="21">
        <f ca="1">IF(CALC2223!AX62&gt;2,INDIRECT(ADDRESS(MATCH(Agenda2526!C63,'CAL1'!A:A,0)+2,3,4,1,"CAL1")),0)</f>
        <v>0</v>
      </c>
      <c r="G62" s="20" t="str">
        <f ca="1">IF(CALC2223!AY62&gt;0,INDIRECT(ADDRESS(MATCH(Agenda2526!C63,'CAL2'!A:A,0),2,4,1,"CAL2")),"")</f>
        <v>Rep AK</v>
      </c>
      <c r="H62" s="21">
        <f ca="1">IF(CALC2223!AY62&gt;0,INDIRECT(ADDRESS(MATCH(Agenda2526!C63,'CAL2'!A:A,0),3,4,1,"CAL2")),0)</f>
        <v>45903</v>
      </c>
      <c r="I62" s="20" t="str">
        <f ca="1">IF(CALC2223!AY62&gt;1,INDIRECT(ADDRESS(MATCH(Agenda2526!C63,'CAL2'!A:A,0)+1,2,4,1,"CAL2")),"")</f>
        <v/>
      </c>
      <c r="J62" s="21">
        <f ca="1">IF(CALC2223!AY62&gt;1,INDIRECT(ADDRESS(MATCH(Agenda2526!C63,'CAL2'!A:A,0)+1,3,4,1,"CAL2")),0)</f>
        <v>0</v>
      </c>
      <c r="K62" s="20" t="str">
        <f ca="1">IF(CALC2223!AY62&gt;2,INDIRECT(ADDRESS(MATCH(Agenda2526!C63,'CAL2'!A:A,0)+2,2,4,1,"CAL2")),"")</f>
        <v/>
      </c>
      <c r="L62" s="21">
        <f ca="1">IF(CALC2223!AY62&gt;2,INDIRECT(ADDRESS(MATCH(Agenda2526!C63,'CAL2'!A:A,0)+2,3,4,1,"CAL2")),0)</f>
        <v>0</v>
      </c>
      <c r="M62" s="20" t="str">
        <f ca="1">IF(CALC2223!AZ62&gt;0,INDIRECT(ADDRESS(MATCH(Agenda2526!C63,'CAL3'!A:A,0),2,4,1,"CAL3")),"")</f>
        <v/>
      </c>
      <c r="N62" s="21">
        <f ca="1">IF(CALC2223!AZ62&gt;0,INDIRECT(ADDRESS(MATCH(Agenda2526!C63,'CAL3'!A:A,0),3,4,1,"CAL3")),0)</f>
        <v>0</v>
      </c>
      <c r="O62" s="20" t="str">
        <f ca="1">IF(CALC2223!AZ62&gt;1,INDIRECT(ADDRESS(MATCH(Agenda2526!C63,'CAL3'!A:A,0)+1,2,4,1,"CAL3")),"")</f>
        <v/>
      </c>
      <c r="P62" s="21">
        <f ca="1">IF(CALC2223!AZ62&gt;1,INDIRECT(ADDRESS(MATCH(Agenda2526!C63,'CAL3'!A:A,0)+1,3,4,1,"CAL3")),0)</f>
        <v>0</v>
      </c>
      <c r="Q62" s="20" t="str">
        <f ca="1">IF(CALC2223!AZ62&gt;2,INDIRECT(ADDRESS(MATCH(Agenda2526!C63,'CAL3'!A:A,0)+2,2,4,1,"CAL3")),"")</f>
        <v/>
      </c>
      <c r="R62" s="21">
        <f ca="1">IF(CALC2223!AZ62&gt;2,INDIRECT(ADDRESS(MATCH(Agenda2526!C63,'CAL3'!A:A,0)+2,3,4,1,"CAL3")),0)</f>
        <v>0</v>
      </c>
      <c r="S62" s="20" t="str">
        <f ca="1">IF(CALC2223!BA62&gt;0,INDIRECT(ADDRESS(MATCH(Agenda2526!C63,'CAL4'!A:A,0),2,4,1,"CAL4")),"")</f>
        <v>Rep FI</v>
      </c>
      <c r="T62" s="21">
        <f ca="1">IF(CALC2223!BA62&gt;0,INDIRECT(ADDRESS(MATCH(Agenda2526!C63,'CAL4'!A:A,0),3,4,1,"CAL4")),0)</f>
        <v>45896</v>
      </c>
      <c r="U62" s="20" t="str">
        <f ca="1">IF(CALC2223!BA62&gt;1,INDIRECT(ADDRESS(MATCH(Agenda2526!C63,'CAL4'!A:A,0)+1,2,4,1,"CAL4")),"")</f>
        <v/>
      </c>
      <c r="V62" s="21">
        <f ca="1">IF(CALC2223!BA62&gt;1,INDIRECT(ADDRESS(MATCH(Agenda2526!C63,'CAL4'!A:A,0)+1,3,4,1,"CAL4")),0)</f>
        <v>0</v>
      </c>
      <c r="W62" s="20" t="str">
        <f ca="1">IF(CALC2223!BA62&gt;2,INDIRECT(ADDRESS(MATCH(Agenda2526!C63,'CAL4'!A:A,0)+2,2,4,1,"CAL4")),"")</f>
        <v/>
      </c>
      <c r="X62" s="21">
        <f ca="1">IF(CALC2223!BA62&gt;2,INDIRECT(ADDRESS(MATCH(Agenda2526!C63,'CAL4'!A:A,0)+2,3,4,1,"CAL4")),0)</f>
        <v>0</v>
      </c>
      <c r="Y62" s="20" t="str">
        <f ca="1">IF(CALC2223!BB62&gt;0,INDIRECT(ADDRESS(MATCH(Agenda2526!C63,'CAL5'!A:A,0),2,4,1,"CAL5")),"")</f>
        <v/>
      </c>
      <c r="Z62" s="21">
        <f ca="1">IF(CALC2223!BB62&gt;0,INDIRECT(ADDRESS(MATCH(Agenda2526!C63,'CAL5'!A:A,0),3,4,1,"CAL5")),0)</f>
        <v>0</v>
      </c>
      <c r="AA62" s="20" t="str">
        <f ca="1">IF(CALC2223!BB62&gt;1,INDIRECT(ADDRESS(MATCH(Agenda2526!C63,'CAL5'!A:A,0)+1,2,4,1,"CAL5")),"")</f>
        <v/>
      </c>
      <c r="AB62" s="21">
        <f ca="1">IF(CALC2223!BB62&gt;1,INDIRECT(ADDRESS(MATCH(Agenda2526!C63,'CAL5'!A:A,0)+1,3,4,1,"CAL5")),0)</f>
        <v>0</v>
      </c>
      <c r="AC62" s="20" t="str">
        <f ca="1">IF(CALC2223!BB62&gt;2,INDIRECT(ADDRESS(MATCH(Agenda2526!C63,'CAL5'!A:A,0)+2,2,4,1,"CAL5")),"")</f>
        <v/>
      </c>
      <c r="AD62" s="21">
        <f ca="1">IF(CALC2223!BB62&gt;2,INDIRECT(ADDRESS(MATCH(Agenda2526!C63,'CAL5'!A:A,0)+2,3,4,1,"CAL5")),0)</f>
        <v>0</v>
      </c>
      <c r="AE62" s="20" t="str">
        <f ca="1">IF(CALC2223!BC62&gt;0,INDIRECT(ADDRESS(MATCH(Agenda2526!C63,'CAL6'!A:A,0),2,4,1,"CAL6")),"")</f>
        <v/>
      </c>
      <c r="AF62" s="21">
        <f ca="1">IF(CALC2223!BC62&gt;0,INDIRECT(ADDRESS(MATCH(Agenda2526!C63,'CAL6'!A:A,0),3,4,1,"CAL6")),0)</f>
        <v>0</v>
      </c>
      <c r="AG62" s="20" t="str">
        <f ca="1">IF(CALC2223!BC62&gt;1,INDIRECT(ADDRESS(MATCH(Agenda2526!C63,'CAL6'!A:A,0)+1,2,4,1,"CAL6")),"")</f>
        <v/>
      </c>
      <c r="AH62" s="21">
        <f ca="1">IF(CALC2223!BC62&gt;1,INDIRECT(ADDRESS(MATCH(Agenda2526!C63,'CAL6'!A:A,0)+1,3,4,1,"CAL6")),0)</f>
        <v>0</v>
      </c>
      <c r="AI62" s="20" t="str">
        <f ca="1">IF(CALC2223!BC62&gt;2,INDIRECT(ADDRESS(MATCH(Agenda2526!C63,'CAL6'!A:A,0)+2,2,4,1,"CAL6")),"")</f>
        <v/>
      </c>
      <c r="AJ62" s="21">
        <f ca="1">IF(CALC2223!BC62&gt;2,INDIRECT(ADDRESS(MATCH(Agenda2526!C63,'CAL6'!A:A,0)+2,3,4,1,"CAL6")),0)</f>
        <v>0</v>
      </c>
      <c r="AK62" s="20" t="str">
        <f ca="1">IF(CALC2223!BD62&gt;0,INDIRECT(ADDRESS(MATCH(Agenda2526!C63,'CAL7'!A:A,0),2,4,1,"CAL7")),"")</f>
        <v/>
      </c>
      <c r="AL62" s="21">
        <f ca="1">IF(CALC2223!BD62&gt;0,INDIRECT(ADDRESS(MATCH(Agenda2526!C63,'CAL7'!A:A,0),3,4,1,"CAL7")),0)</f>
        <v>0</v>
      </c>
      <c r="AM62" s="20" t="str">
        <f ca="1">IF(CALC2223!BD62&gt;1,INDIRECT(ADDRESS(MATCH(Agenda2526!C63,'CAL7'!A:A,0)+1,2,4,1,"CAL7")),"")</f>
        <v/>
      </c>
      <c r="AN62" s="21">
        <f ca="1">IF(CALC2223!BD62&gt;1,INDIRECT(ADDRESS(MATCH(Agenda2526!C63,'CAL7'!A:A,0)+1,3,4,1,"CAL7")),0)</f>
        <v>0</v>
      </c>
      <c r="AO62" s="20" t="str">
        <f ca="1">IF(CALC2223!BD62&gt;2,INDIRECT(ADDRESS(MATCH(Agenda2526!C63,'CAL7'!A:A,0)+2,2,4,1,"CAL7")),"")</f>
        <v/>
      </c>
      <c r="AP62" s="21">
        <f ca="1">IF(CALC2223!BD62&gt;2,INDIRECT(ADDRESS(MATCH(Agenda2526!C63,'CAL7'!A:A,0)+2,3,4,1,"CAL7")),0)</f>
        <v>0</v>
      </c>
      <c r="AQ62" s="20" t="str">
        <f ca="1">IF(CALC2223!BE62&gt;0,INDIRECT(ADDRESS(MATCH(Agenda2526!C63,'CAL8'!A:A,0),2,4,1,"CAL8")),"")</f>
        <v/>
      </c>
      <c r="AR62" s="21">
        <f ca="1">IF(CALC2223!BE62&gt;0,INDIRECT(ADDRESS(MATCH(Agenda2526!C63,'CAL8'!A:A,0),3,4,1,"CAL8")),0)</f>
        <v>0</v>
      </c>
      <c r="AS62" s="20" t="str">
        <f ca="1">IF(CALC2223!BE62&gt;1,INDIRECT(ADDRESS(MATCH(Agenda2526!C63,'CAL8'!A:A,0)+1,2,4,1,"CAL8")),"")</f>
        <v/>
      </c>
      <c r="AT62" s="21">
        <f ca="1">IF(CALC2223!BE62&gt;1,INDIRECT(ADDRESS(MATCH(Agenda2526!C63,'CAL8'!A:A,0)+1,3,4,1,"CAL8")),0)</f>
        <v>0</v>
      </c>
      <c r="AU62" s="20" t="str">
        <f ca="1">IF(CALC2223!BE62&gt;2,INDIRECT(ADDRESS(MATCH(Agenda2526!C63,'CAL8'!A:A,0)+2,2,4,1,"CAL8")),"")</f>
        <v/>
      </c>
      <c r="AV62" s="21">
        <f ca="1">IF(CALC2223!BE62&gt;2,INDIRECT(ADDRESS(MATCH(Agenda2526!C63,'CAL8'!A:A,0)+2,3,4,1,"CAL8")),0)</f>
        <v>0</v>
      </c>
      <c r="AW62" s="105"/>
      <c r="AX62" s="20">
        <f>COUNTIF('CAL1'!A:A,Agenda2526!C63)</f>
        <v>0</v>
      </c>
      <c r="AY62" s="20">
        <f>COUNTIF('CAL2'!A:A,Agenda2526!C63)</f>
        <v>1</v>
      </c>
      <c r="AZ62" s="20">
        <f>COUNTIF('CAL3'!A:A,Agenda2526!C63)</f>
        <v>0</v>
      </c>
      <c r="BA62" s="20">
        <f>COUNTIF('CAL4'!A:A,Agenda2526!C63)</f>
        <v>1</v>
      </c>
      <c r="BB62" s="20">
        <f>COUNTIF('CAL5'!A:A,Agenda2526!C63)</f>
        <v>0</v>
      </c>
      <c r="BC62" s="20">
        <f>COUNTIF('CAL6'!A:A,Agenda2526!C63)</f>
        <v>0</v>
      </c>
      <c r="BD62" s="20">
        <f>COUNTIF('CAL7'!A:A,Agenda2526!C63)</f>
        <v>0</v>
      </c>
      <c r="BE62" s="20">
        <f>COUNTIF('CAL8'!A:A,Agenda2526!C63)</f>
        <v>0</v>
      </c>
    </row>
    <row r="63" spans="1:57" ht="15.75" customHeight="1">
      <c r="A63" s="20" t="str">
        <f ca="1">IF(CALC2223!AX63&gt;0,INDIRECT(ADDRESS(MATCH(Agenda2526!C64,'CAL1'!A:A,0),2,4,1,"CAL1")),"")</f>
        <v/>
      </c>
      <c r="B63" s="21">
        <f ca="1">IF(CALC2223!AX63&gt;0,INDIRECT(ADDRESS(MATCH(Agenda2526!C64,'CAL1'!A:A,0),3,4,1,"CAL1")),0)</f>
        <v>0</v>
      </c>
      <c r="C63" s="20" t="str">
        <f ca="1">IF(CALC2223!AX63&gt;1,INDIRECT(ADDRESS(MATCH(Agenda2526!C64,'CAL1'!A:A,0)+1,2,4,1,"CAL1")),"")</f>
        <v/>
      </c>
      <c r="D63" s="21">
        <f ca="1">IF(CALC2223!AX63&gt;1,INDIRECT(ADDRESS(MATCH(Agenda2526!C64,'CAL1'!A:A,0)+1,3,4,1,"CAL1")),0)</f>
        <v>0</v>
      </c>
      <c r="E63" s="20" t="str">
        <f ca="1">IF(CALC2223!AX63&gt;2,INDIRECT(ADDRESS(MATCH(Agenda2526!C64,'CAL1'!A:A,0)+2,2,4,1,"CAL1")),"")</f>
        <v/>
      </c>
      <c r="F63" s="21">
        <f ca="1">IF(CALC2223!AX63&gt;2,INDIRECT(ADDRESS(MATCH(Agenda2526!C64,'CAL1'!A:A,0)+2,3,4,1,"CAL1")),0)</f>
        <v>0</v>
      </c>
      <c r="G63" s="20" t="str">
        <f ca="1">IF(CALC2223!AY63&gt;0,INDIRECT(ADDRESS(MATCH(Agenda2526!C64,'CAL2'!A:A,0),2,4,1,"CAL2")),"")</f>
        <v/>
      </c>
      <c r="H63" s="21">
        <f ca="1">IF(CALC2223!AY63&gt;0,INDIRECT(ADDRESS(MATCH(Agenda2526!C64,'CAL2'!A:A,0),3,4,1,"CAL2")),0)</f>
        <v>0</v>
      </c>
      <c r="I63" s="20" t="str">
        <f ca="1">IF(CALC2223!AY63&gt;1,INDIRECT(ADDRESS(MATCH(Agenda2526!C64,'CAL2'!A:A,0)+1,2,4,1,"CAL2")),"")</f>
        <v/>
      </c>
      <c r="J63" s="21">
        <f ca="1">IF(CALC2223!AY63&gt;1,INDIRECT(ADDRESS(MATCH(Agenda2526!C64,'CAL2'!A:A,0)+1,3,4,1,"CAL2")),0)</f>
        <v>0</v>
      </c>
      <c r="K63" s="20" t="str">
        <f ca="1">IF(CALC2223!AY63&gt;2,INDIRECT(ADDRESS(MATCH(Agenda2526!C64,'CAL2'!A:A,0)+2,2,4,1,"CAL2")),"")</f>
        <v/>
      </c>
      <c r="L63" s="21">
        <f ca="1">IF(CALC2223!AY63&gt;2,INDIRECT(ADDRESS(MATCH(Agenda2526!C64,'CAL2'!A:A,0)+2,3,4,1,"CAL2")),0)</f>
        <v>0</v>
      </c>
      <c r="M63" s="20" t="str">
        <f ca="1">IF(CALC2223!AZ63&gt;0,INDIRECT(ADDRESS(MATCH(Agenda2526!C64,'CAL3'!A:A,0),2,4,1,"CAL3")),"")</f>
        <v/>
      </c>
      <c r="N63" s="21">
        <f ca="1">IF(CALC2223!AZ63&gt;0,INDIRECT(ADDRESS(MATCH(Agenda2526!C64,'CAL3'!A:A,0),3,4,1,"CAL3")),0)</f>
        <v>0</v>
      </c>
      <c r="O63" s="20" t="str">
        <f ca="1">IF(CALC2223!AZ63&gt;1,INDIRECT(ADDRESS(MATCH(Agenda2526!C64,'CAL3'!A:A,0)+1,2,4,1,"CAL3")),"")</f>
        <v/>
      </c>
      <c r="P63" s="21">
        <f ca="1">IF(CALC2223!AZ63&gt;1,INDIRECT(ADDRESS(MATCH(Agenda2526!C64,'CAL3'!A:A,0)+1,3,4,1,"CAL3")),0)</f>
        <v>0</v>
      </c>
      <c r="Q63" s="20" t="str">
        <f ca="1">IF(CALC2223!AZ63&gt;2,INDIRECT(ADDRESS(MATCH(Agenda2526!C64,'CAL3'!A:A,0)+2,2,4,1,"CAL3")),"")</f>
        <v/>
      </c>
      <c r="R63" s="21">
        <f ca="1">IF(CALC2223!AZ63&gt;2,INDIRECT(ADDRESS(MATCH(Agenda2526!C64,'CAL3'!A:A,0)+2,3,4,1,"CAL3")),0)</f>
        <v>0</v>
      </c>
      <c r="S63" s="20" t="str">
        <f ca="1">IF(CALC2223!BA63&gt;0,INDIRECT(ADDRESS(MATCH(Agenda2526!C64,'CAL4'!A:A,0),2,4,1,"CAL4")),"")</f>
        <v/>
      </c>
      <c r="T63" s="21">
        <f ca="1">IF(CALC2223!BA63&gt;0,INDIRECT(ADDRESS(MATCH(Agenda2526!C64,'CAL4'!A:A,0),3,4,1,"CAL4")),0)</f>
        <v>0</v>
      </c>
      <c r="U63" s="20" t="str">
        <f ca="1">IF(CALC2223!BA63&gt;1,INDIRECT(ADDRESS(MATCH(Agenda2526!C64,'CAL4'!A:A,0)+1,2,4,1,"CAL4")),"")</f>
        <v/>
      </c>
      <c r="V63" s="21">
        <f ca="1">IF(CALC2223!BA63&gt;1,INDIRECT(ADDRESS(MATCH(Agenda2526!C64,'CAL4'!A:A,0)+1,3,4,1,"CAL4")),0)</f>
        <v>0</v>
      </c>
      <c r="W63" s="20" t="str">
        <f ca="1">IF(CALC2223!BA63&gt;2,INDIRECT(ADDRESS(MATCH(Agenda2526!C64,'CAL4'!A:A,0)+2,2,4,1,"CAL4")),"")</f>
        <v/>
      </c>
      <c r="X63" s="21">
        <f ca="1">IF(CALC2223!BA63&gt;2,INDIRECT(ADDRESS(MATCH(Agenda2526!C64,'CAL4'!A:A,0)+2,3,4,1,"CAL4")),0)</f>
        <v>0</v>
      </c>
      <c r="Y63" s="20" t="str">
        <f ca="1">IF(CALC2223!BB63&gt;0,INDIRECT(ADDRESS(MATCH(Agenda2526!C64,'CAL5'!A:A,0),2,4,1,"CAL5")),"")</f>
        <v/>
      </c>
      <c r="Z63" s="21">
        <f ca="1">IF(CALC2223!BB63&gt;0,INDIRECT(ADDRESS(MATCH(Agenda2526!C64,'CAL5'!A:A,0),3,4,1,"CAL5")),0)</f>
        <v>0</v>
      </c>
      <c r="AA63" s="20" t="str">
        <f ca="1">IF(CALC2223!BB63&gt;1,INDIRECT(ADDRESS(MATCH(Agenda2526!C64,'CAL5'!A:A,0)+1,2,4,1,"CAL5")),"")</f>
        <v/>
      </c>
      <c r="AB63" s="21">
        <f ca="1">IF(CALC2223!BB63&gt;1,INDIRECT(ADDRESS(MATCH(Agenda2526!C64,'CAL5'!A:A,0)+1,3,4,1,"CAL5")),0)</f>
        <v>0</v>
      </c>
      <c r="AC63" s="20" t="str">
        <f ca="1">IF(CALC2223!BB63&gt;2,INDIRECT(ADDRESS(MATCH(Agenda2526!C64,'CAL5'!A:A,0)+2,2,4,1,"CAL5")),"")</f>
        <v/>
      </c>
      <c r="AD63" s="21">
        <f ca="1">IF(CALC2223!BB63&gt;2,INDIRECT(ADDRESS(MATCH(Agenda2526!C64,'CAL5'!A:A,0)+2,3,4,1,"CAL5")),0)</f>
        <v>0</v>
      </c>
      <c r="AE63" s="20" t="str">
        <f ca="1">IF(CALC2223!BC63&gt;0,INDIRECT(ADDRESS(MATCH(Agenda2526!C64,'CAL6'!A:A,0),2,4,1,"CAL6")),"")</f>
        <v/>
      </c>
      <c r="AF63" s="21">
        <f ca="1">IF(CALC2223!BC63&gt;0,INDIRECT(ADDRESS(MATCH(Agenda2526!C64,'CAL6'!A:A,0),3,4,1,"CAL6")),0)</f>
        <v>0</v>
      </c>
      <c r="AG63" s="20" t="str">
        <f ca="1">IF(CALC2223!BC63&gt;1,INDIRECT(ADDRESS(MATCH(Agenda2526!C64,'CAL6'!A:A,0)+1,2,4,1,"CAL6")),"")</f>
        <v/>
      </c>
      <c r="AH63" s="21">
        <f ca="1">IF(CALC2223!BC63&gt;1,INDIRECT(ADDRESS(MATCH(Agenda2526!C64,'CAL6'!A:A,0)+1,3,4,1,"CAL6")),0)</f>
        <v>0</v>
      </c>
      <c r="AI63" s="20" t="str">
        <f ca="1">IF(CALC2223!BC63&gt;2,INDIRECT(ADDRESS(MATCH(Agenda2526!C64,'CAL6'!A:A,0)+2,2,4,1,"CAL6")),"")</f>
        <v/>
      </c>
      <c r="AJ63" s="21">
        <f ca="1">IF(CALC2223!BC63&gt;2,INDIRECT(ADDRESS(MATCH(Agenda2526!C64,'CAL6'!A:A,0)+2,3,4,1,"CAL6")),0)</f>
        <v>0</v>
      </c>
      <c r="AK63" s="20" t="str">
        <f ca="1">IF(CALC2223!BD63&gt;0,INDIRECT(ADDRESS(MATCH(Agenda2526!C64,'CAL7'!A:A,0),2,4,1,"CAL7")),"")</f>
        <v/>
      </c>
      <c r="AL63" s="21">
        <f ca="1">IF(CALC2223!BD63&gt;0,INDIRECT(ADDRESS(MATCH(Agenda2526!C64,'CAL7'!A:A,0),3,4,1,"CAL7")),0)</f>
        <v>0</v>
      </c>
      <c r="AM63" s="20" t="str">
        <f ca="1">IF(CALC2223!BD63&gt;1,INDIRECT(ADDRESS(MATCH(Agenda2526!C64,'CAL7'!A:A,0)+1,2,4,1,"CAL7")),"")</f>
        <v/>
      </c>
      <c r="AN63" s="21">
        <f ca="1">IF(CALC2223!BD63&gt;1,INDIRECT(ADDRESS(MATCH(Agenda2526!C64,'CAL7'!A:A,0)+1,3,4,1,"CAL7")),0)</f>
        <v>0</v>
      </c>
      <c r="AO63" s="20" t="str">
        <f ca="1">IF(CALC2223!BD63&gt;2,INDIRECT(ADDRESS(MATCH(Agenda2526!C64,'CAL7'!A:A,0)+2,2,4,1,"CAL7")),"")</f>
        <v/>
      </c>
      <c r="AP63" s="21">
        <f ca="1">IF(CALC2223!BD63&gt;2,INDIRECT(ADDRESS(MATCH(Agenda2526!C64,'CAL7'!A:A,0)+2,3,4,1,"CAL7")),0)</f>
        <v>0</v>
      </c>
      <c r="AQ63" s="20" t="str">
        <f ca="1">IF(CALC2223!BE63&gt;0,INDIRECT(ADDRESS(MATCH(Agenda2526!C64,'CAL8'!A:A,0),2,4,1,"CAL8")),"")</f>
        <v/>
      </c>
      <c r="AR63" s="21">
        <f ca="1">IF(CALC2223!BE63&gt;0,INDIRECT(ADDRESS(MATCH(Agenda2526!C64,'CAL8'!A:A,0),3,4,1,"CAL8")),0)</f>
        <v>0</v>
      </c>
      <c r="AS63" s="20" t="str">
        <f ca="1">IF(CALC2223!BE63&gt;1,INDIRECT(ADDRESS(MATCH(Agenda2526!C64,'CAL8'!A:A,0)+1,2,4,1,"CAL8")),"")</f>
        <v/>
      </c>
      <c r="AT63" s="21">
        <f ca="1">IF(CALC2223!BE63&gt;1,INDIRECT(ADDRESS(MATCH(Agenda2526!C64,'CAL8'!A:A,0)+1,3,4,1,"CAL8")),0)</f>
        <v>0</v>
      </c>
      <c r="AU63" s="20" t="str">
        <f ca="1">IF(CALC2223!BE63&gt;2,INDIRECT(ADDRESS(MATCH(Agenda2526!C64,'CAL8'!A:A,0)+2,2,4,1,"CAL8")),"")</f>
        <v/>
      </c>
      <c r="AV63" s="21">
        <f ca="1">IF(CALC2223!BE63&gt;2,INDIRECT(ADDRESS(MATCH(Agenda2526!C64,'CAL8'!A:A,0)+2,3,4,1,"CAL8")),0)</f>
        <v>0</v>
      </c>
      <c r="AW63" s="106"/>
      <c r="AX63" s="20">
        <f>COUNTIF('CAL1'!A:A,Agenda2526!C64)</f>
        <v>0</v>
      </c>
      <c r="AY63" s="20">
        <f>COUNTIF('CAL2'!A:A,Agenda2526!C64)</f>
        <v>0</v>
      </c>
      <c r="AZ63" s="20">
        <f>COUNTIF('CAL3'!A:A,Agenda2526!C64)</f>
        <v>0</v>
      </c>
      <c r="BA63" s="20">
        <f>COUNTIF('CAL4'!A:A,Agenda2526!C64)</f>
        <v>0</v>
      </c>
      <c r="BB63" s="20">
        <f>COUNTIF('CAL5'!A:A,Agenda2526!C64)</f>
        <v>0</v>
      </c>
      <c r="BC63" s="20">
        <f>COUNTIF('CAL6'!A:A,Agenda2526!C64)</f>
        <v>0</v>
      </c>
      <c r="BD63" s="20">
        <f>COUNTIF('CAL7'!A:A,Agenda2526!C64)</f>
        <v>0</v>
      </c>
      <c r="BE63" s="20">
        <f>COUNTIF('CAL8'!A:A,Agenda2526!C64)</f>
        <v>0</v>
      </c>
    </row>
    <row r="64" spans="1:57" ht="15.75" customHeight="1">
      <c r="A64" s="20" t="str">
        <f ca="1">IF(CALC2223!AX64&gt;0,INDIRECT(ADDRESS(MATCH(Agenda2526!C65,'CAL1'!A:A,0),2,4,1,"CAL1")),"")</f>
        <v/>
      </c>
      <c r="B64" s="21">
        <f ca="1">IF(CALC2223!AX64&gt;0,INDIRECT(ADDRESS(MATCH(Agenda2526!C65,'CAL1'!A:A,0),3,4,1,"CAL1")),0)</f>
        <v>0</v>
      </c>
      <c r="C64" s="20" t="str">
        <f ca="1">IF(CALC2223!AX64&gt;1,INDIRECT(ADDRESS(MATCH(Agenda2526!C65,'CAL1'!A:A,0)+1,2,4,1,"CAL1")),"")</f>
        <v/>
      </c>
      <c r="D64" s="21">
        <f ca="1">IF(CALC2223!AX64&gt;1,INDIRECT(ADDRESS(MATCH(Agenda2526!C65,'CAL1'!A:A,0)+1,3,4,1,"CAL1")),0)</f>
        <v>0</v>
      </c>
      <c r="E64" s="20" t="str">
        <f ca="1">IF(CALC2223!AX64&gt;2,INDIRECT(ADDRESS(MATCH(Agenda2526!C65,'CAL1'!A:A,0)+2,2,4,1,"CAL1")),"")</f>
        <v/>
      </c>
      <c r="F64" s="21">
        <f ca="1">IF(CALC2223!AX64&gt;2,INDIRECT(ADDRESS(MATCH(Agenda2526!C65,'CAL1'!A:A,0)+2,3,4,1,"CAL1")),0)</f>
        <v>0</v>
      </c>
      <c r="G64" s="20" t="str">
        <f ca="1">IF(CALC2223!AY64&gt;0,INDIRECT(ADDRESS(MATCH(Agenda2526!C65,'CAL2'!A:A,0),2,4,1,"CAL2")),"")</f>
        <v/>
      </c>
      <c r="H64" s="21">
        <f ca="1">IF(CALC2223!AY64&gt;0,INDIRECT(ADDRESS(MATCH(Agenda2526!C65,'CAL2'!A:A,0),3,4,1,"CAL2")),0)</f>
        <v>0</v>
      </c>
      <c r="I64" s="20" t="str">
        <f ca="1">IF(CALC2223!AY64&gt;1,INDIRECT(ADDRESS(MATCH(Agenda2526!C65,'CAL2'!A:A,0)+1,2,4,1,"CAL2")),"")</f>
        <v/>
      </c>
      <c r="J64" s="21">
        <f ca="1">IF(CALC2223!AY64&gt;1,INDIRECT(ADDRESS(MATCH(Agenda2526!C65,'CAL2'!A:A,0)+1,3,4,1,"CAL2")),0)</f>
        <v>0</v>
      </c>
      <c r="K64" s="20" t="str">
        <f ca="1">IF(CALC2223!AY64&gt;2,INDIRECT(ADDRESS(MATCH(Agenda2526!C65,'CAL2'!A:A,0)+2,2,4,1,"CAL2")),"")</f>
        <v/>
      </c>
      <c r="L64" s="21">
        <f ca="1">IF(CALC2223!AY64&gt;2,INDIRECT(ADDRESS(MATCH(Agenda2526!C65,'CAL2'!A:A,0)+2,3,4,1,"CAL2")),0)</f>
        <v>0</v>
      </c>
      <c r="M64" s="20" t="str">
        <f ca="1">IF(CALC2223!AZ64&gt;0,INDIRECT(ADDRESS(MATCH(Agenda2526!C65,'CAL3'!A:A,0),2,4,1,"CAL3")),"")</f>
        <v/>
      </c>
      <c r="N64" s="21">
        <f ca="1">IF(CALC2223!AZ64&gt;0,INDIRECT(ADDRESS(MATCH(Agenda2526!C65,'CAL3'!A:A,0),3,4,1,"CAL3")),0)</f>
        <v>0</v>
      </c>
      <c r="O64" s="20" t="str">
        <f ca="1">IF(CALC2223!AZ64&gt;1,INDIRECT(ADDRESS(MATCH(Agenda2526!C65,'CAL3'!A:A,0)+1,2,4,1,"CAL3")),"")</f>
        <v/>
      </c>
      <c r="P64" s="21">
        <f ca="1">IF(CALC2223!AZ64&gt;1,INDIRECT(ADDRESS(MATCH(Agenda2526!C65,'CAL3'!A:A,0)+1,3,4,1,"CAL3")),0)</f>
        <v>0</v>
      </c>
      <c r="Q64" s="20" t="str">
        <f ca="1">IF(CALC2223!AZ64&gt;2,INDIRECT(ADDRESS(MATCH(Agenda2526!C65,'CAL3'!A:A,0)+2,2,4,1,"CAL3")),"")</f>
        <v/>
      </c>
      <c r="R64" s="21">
        <f ca="1">IF(CALC2223!AZ64&gt;2,INDIRECT(ADDRESS(MATCH(Agenda2526!C65,'CAL3'!A:A,0)+2,3,4,1,"CAL3")),0)</f>
        <v>0</v>
      </c>
      <c r="S64" s="20" t="str">
        <f ca="1">IF(CALC2223!BA64&gt;0,INDIRECT(ADDRESS(MATCH(Agenda2526!C65,'CAL4'!A:A,0),2,4,1,"CAL4")),"")</f>
        <v/>
      </c>
      <c r="T64" s="21">
        <f ca="1">IF(CALC2223!BA64&gt;0,INDIRECT(ADDRESS(MATCH(Agenda2526!C65,'CAL4'!A:A,0),3,4,1,"CAL4")),0)</f>
        <v>0</v>
      </c>
      <c r="U64" s="20" t="str">
        <f ca="1">IF(CALC2223!BA64&gt;1,INDIRECT(ADDRESS(MATCH(Agenda2526!C65,'CAL4'!A:A,0)+1,2,4,1,"CAL4")),"")</f>
        <v/>
      </c>
      <c r="V64" s="21">
        <f ca="1">IF(CALC2223!BA64&gt;1,INDIRECT(ADDRESS(MATCH(Agenda2526!C65,'CAL4'!A:A,0)+1,3,4,1,"CAL4")),0)</f>
        <v>0</v>
      </c>
      <c r="W64" s="20" t="str">
        <f ca="1">IF(CALC2223!BA64&gt;2,INDIRECT(ADDRESS(MATCH(Agenda2526!C65,'CAL4'!A:A,0)+2,2,4,1,"CAL4")),"")</f>
        <v/>
      </c>
      <c r="X64" s="21">
        <f ca="1">IF(CALC2223!BA64&gt;2,INDIRECT(ADDRESS(MATCH(Agenda2526!C65,'CAL4'!A:A,0)+2,3,4,1,"CAL4")),0)</f>
        <v>0</v>
      </c>
      <c r="Y64" s="20" t="str">
        <f ca="1">IF(CALC2223!BB64&gt;0,INDIRECT(ADDRESS(MATCH(Agenda2526!C65,'CAL5'!A:A,0),2,4,1,"CAL5")),"")</f>
        <v/>
      </c>
      <c r="Z64" s="21">
        <f ca="1">IF(CALC2223!BB64&gt;0,INDIRECT(ADDRESS(MATCH(Agenda2526!C65,'CAL5'!A:A,0),3,4,1,"CAL5")),0)</f>
        <v>0</v>
      </c>
      <c r="AA64" s="20" t="str">
        <f ca="1">IF(CALC2223!BB64&gt;1,INDIRECT(ADDRESS(MATCH(Agenda2526!C65,'CAL5'!A:A,0)+1,2,4,1,"CAL5")),"")</f>
        <v/>
      </c>
      <c r="AB64" s="21">
        <f ca="1">IF(CALC2223!BB64&gt;1,INDIRECT(ADDRESS(MATCH(Agenda2526!C65,'CAL5'!A:A,0)+1,3,4,1,"CAL5")),0)</f>
        <v>0</v>
      </c>
      <c r="AC64" s="20" t="str">
        <f ca="1">IF(CALC2223!BB64&gt;2,INDIRECT(ADDRESS(MATCH(Agenda2526!C65,'CAL5'!A:A,0)+2,2,4,1,"CAL5")),"")</f>
        <v/>
      </c>
      <c r="AD64" s="21">
        <f ca="1">IF(CALC2223!BB64&gt;2,INDIRECT(ADDRESS(MATCH(Agenda2526!C65,'CAL5'!A:A,0)+2,3,4,1,"CAL5")),0)</f>
        <v>0</v>
      </c>
      <c r="AE64" s="20" t="str">
        <f ca="1">IF(CALC2223!BC64&gt;0,INDIRECT(ADDRESS(MATCH(Agenda2526!C65,'CAL6'!A:A,0),2,4,1,"CAL6")),"")</f>
        <v/>
      </c>
      <c r="AF64" s="21">
        <f ca="1">IF(CALC2223!BC64&gt;0,INDIRECT(ADDRESS(MATCH(Agenda2526!C65,'CAL6'!A:A,0),3,4,1,"CAL6")),0)</f>
        <v>0</v>
      </c>
      <c r="AG64" s="20" t="str">
        <f ca="1">IF(CALC2223!BC64&gt;1,INDIRECT(ADDRESS(MATCH(Agenda2526!C65,'CAL6'!A:A,0)+1,2,4,1,"CAL6")),"")</f>
        <v/>
      </c>
      <c r="AH64" s="21">
        <f ca="1">IF(CALC2223!BC64&gt;1,INDIRECT(ADDRESS(MATCH(Agenda2526!C65,'CAL6'!A:A,0)+1,3,4,1,"CAL6")),0)</f>
        <v>0</v>
      </c>
      <c r="AI64" s="20" t="str">
        <f ca="1">IF(CALC2223!BC64&gt;2,INDIRECT(ADDRESS(MATCH(Agenda2526!C65,'CAL6'!A:A,0)+2,2,4,1,"CAL6")),"")</f>
        <v/>
      </c>
      <c r="AJ64" s="21">
        <f ca="1">IF(CALC2223!BC64&gt;2,INDIRECT(ADDRESS(MATCH(Agenda2526!C65,'CAL6'!A:A,0)+2,3,4,1,"CAL6")),0)</f>
        <v>0</v>
      </c>
      <c r="AK64" s="20" t="str">
        <f ca="1">IF(CALC2223!BD64&gt;0,INDIRECT(ADDRESS(MATCH(Agenda2526!C65,'CAL7'!A:A,0),2,4,1,"CAL7")),"")</f>
        <v/>
      </c>
      <c r="AL64" s="21">
        <f ca="1">IF(CALC2223!BD64&gt;0,INDIRECT(ADDRESS(MATCH(Agenda2526!C65,'CAL7'!A:A,0),3,4,1,"CAL7")),0)</f>
        <v>0</v>
      </c>
      <c r="AM64" s="20" t="str">
        <f ca="1">IF(CALC2223!BD64&gt;1,INDIRECT(ADDRESS(MATCH(Agenda2526!C65,'CAL7'!A:A,0)+1,2,4,1,"CAL7")),"")</f>
        <v/>
      </c>
      <c r="AN64" s="21">
        <f ca="1">IF(CALC2223!BD64&gt;1,INDIRECT(ADDRESS(MATCH(Agenda2526!C65,'CAL7'!A:A,0)+1,3,4,1,"CAL7")),0)</f>
        <v>0</v>
      </c>
      <c r="AO64" s="20" t="str">
        <f ca="1">IF(CALC2223!BD64&gt;2,INDIRECT(ADDRESS(MATCH(Agenda2526!C65,'CAL7'!A:A,0)+2,2,4,1,"CAL7")),"")</f>
        <v/>
      </c>
      <c r="AP64" s="21">
        <f ca="1">IF(CALC2223!BD64&gt;2,INDIRECT(ADDRESS(MATCH(Agenda2526!C65,'CAL7'!A:A,0)+2,3,4,1,"CAL7")),0)</f>
        <v>0</v>
      </c>
      <c r="AQ64" s="20" t="str">
        <f ca="1">IF(CALC2223!BE64&gt;0,INDIRECT(ADDRESS(MATCH(Agenda2526!C65,'CAL8'!A:A,0),2,4,1,"CAL8")),"")</f>
        <v/>
      </c>
      <c r="AR64" s="21">
        <f ca="1">IF(CALC2223!BE64&gt;0,INDIRECT(ADDRESS(MATCH(Agenda2526!C65,'CAL8'!A:A,0),3,4,1,"CAL8")),0)</f>
        <v>0</v>
      </c>
      <c r="AS64" s="20" t="str">
        <f ca="1">IF(CALC2223!BE64&gt;1,INDIRECT(ADDRESS(MATCH(Agenda2526!C65,'CAL8'!A:A,0)+1,2,4,1,"CAL8")),"")</f>
        <v/>
      </c>
      <c r="AT64" s="21">
        <f ca="1">IF(CALC2223!BE64&gt;1,INDIRECT(ADDRESS(MATCH(Agenda2526!C65,'CAL8'!A:A,0)+1,3,4,1,"CAL8")),0)</f>
        <v>0</v>
      </c>
      <c r="AU64" s="20" t="str">
        <f ca="1">IF(CALC2223!BE64&gt;2,INDIRECT(ADDRESS(MATCH(Agenda2526!C65,'CAL8'!A:A,0)+2,2,4,1,"CAL8")),"")</f>
        <v/>
      </c>
      <c r="AV64" s="21">
        <f ca="1">IF(CALC2223!BE64&gt;2,INDIRECT(ADDRESS(MATCH(Agenda2526!C65,'CAL8'!A:A,0)+2,3,4,1,"CAL8")),0)</f>
        <v>0</v>
      </c>
      <c r="AW64" s="106"/>
      <c r="AX64" s="20">
        <f>COUNTIF('CAL1'!A:A,Agenda2526!C65)</f>
        <v>0</v>
      </c>
      <c r="AY64" s="20">
        <f>COUNTIF('CAL2'!A:A,Agenda2526!C65)</f>
        <v>0</v>
      </c>
      <c r="AZ64" s="20">
        <f>COUNTIF('CAL3'!A:A,Agenda2526!C65)</f>
        <v>0</v>
      </c>
      <c r="BA64" s="20">
        <f>COUNTIF('CAL4'!A:A,Agenda2526!C65)</f>
        <v>0</v>
      </c>
      <c r="BB64" s="20">
        <f>COUNTIF('CAL5'!A:A,Agenda2526!C65)</f>
        <v>0</v>
      </c>
      <c r="BC64" s="20">
        <f>COUNTIF('CAL6'!A:A,Agenda2526!C65)</f>
        <v>0</v>
      </c>
      <c r="BD64" s="20">
        <f>COUNTIF('CAL7'!A:A,Agenda2526!C65)</f>
        <v>0</v>
      </c>
      <c r="BE64" s="20">
        <f>COUNTIF('CAL8'!A:A,Agenda2526!C65)</f>
        <v>0</v>
      </c>
    </row>
    <row r="65" spans="1:57" ht="15.75" customHeight="1">
      <c r="A65" s="20" t="str">
        <f ca="1">IF(CALC2223!AX65&gt;0,INDIRECT(ADDRESS(MATCH(Agenda2526!C66,'CAL1'!A:A,0),2,4,1,"CAL1")),"")</f>
        <v/>
      </c>
      <c r="B65" s="21">
        <f ca="1">IF(CALC2223!AX65&gt;0,INDIRECT(ADDRESS(MATCH(Agenda2526!C66,'CAL1'!A:A,0),3,4,1,"CAL1")),0)</f>
        <v>0</v>
      </c>
      <c r="C65" s="20" t="str">
        <f ca="1">IF(CALC2223!AX65&gt;1,INDIRECT(ADDRESS(MATCH(Agenda2526!C66,'CAL1'!A:A,0)+1,2,4,1,"CAL1")),"")</f>
        <v/>
      </c>
      <c r="D65" s="21">
        <f ca="1">IF(CALC2223!AX65&gt;1,INDIRECT(ADDRESS(MATCH(Agenda2526!C66,'CAL1'!A:A,0)+1,3,4,1,"CAL1")),0)</f>
        <v>0</v>
      </c>
      <c r="E65" s="20" t="str">
        <f ca="1">IF(CALC2223!AX65&gt;2,INDIRECT(ADDRESS(MATCH(Agenda2526!C66,'CAL1'!A:A,0)+2,2,4,1,"CAL1")),"")</f>
        <v/>
      </c>
      <c r="F65" s="21">
        <f ca="1">IF(CALC2223!AX65&gt;2,INDIRECT(ADDRESS(MATCH(Agenda2526!C66,'CAL1'!A:A,0)+2,3,4,1,"CAL1")),0)</f>
        <v>0</v>
      </c>
      <c r="G65" s="20" t="str">
        <f ca="1">IF(CALC2223!AY65&gt;0,INDIRECT(ADDRESS(MATCH(Agenda2526!C66,'CAL2'!A:A,0),2,4,1,"CAL2")),"")</f>
        <v/>
      </c>
      <c r="H65" s="21">
        <f ca="1">IF(CALC2223!AY65&gt;0,INDIRECT(ADDRESS(MATCH(Agenda2526!C66,'CAL2'!A:A,0),3,4,1,"CAL2")),0)</f>
        <v>0</v>
      </c>
      <c r="I65" s="20" t="str">
        <f ca="1">IF(CALC2223!AY65&gt;1,INDIRECT(ADDRESS(MATCH(Agenda2526!C66,'CAL2'!A:A,0)+1,2,4,1,"CAL2")),"")</f>
        <v/>
      </c>
      <c r="J65" s="21">
        <f ca="1">IF(CALC2223!AY65&gt;1,INDIRECT(ADDRESS(MATCH(Agenda2526!C66,'CAL2'!A:A,0)+1,3,4,1,"CAL2")),0)</f>
        <v>0</v>
      </c>
      <c r="K65" s="20" t="str">
        <f ca="1">IF(CALC2223!AY65&gt;2,INDIRECT(ADDRESS(MATCH(Agenda2526!C66,'CAL2'!A:A,0)+2,2,4,1,"CAL2")),"")</f>
        <v/>
      </c>
      <c r="L65" s="21">
        <f ca="1">IF(CALC2223!AY65&gt;2,INDIRECT(ADDRESS(MATCH(Agenda2526!C66,'CAL2'!A:A,0)+2,3,4,1,"CAL2")),0)</f>
        <v>0</v>
      </c>
      <c r="M65" s="20" t="str">
        <f ca="1">IF(CALC2223!AZ65&gt;0,INDIRECT(ADDRESS(MATCH(Agenda2526!C66,'CAL3'!A:A,0),2,4,1,"CAL3")),"")</f>
        <v/>
      </c>
      <c r="N65" s="21">
        <f ca="1">IF(CALC2223!AZ65&gt;0,INDIRECT(ADDRESS(MATCH(Agenda2526!C66,'CAL3'!A:A,0),3,4,1,"CAL3")),0)</f>
        <v>0</v>
      </c>
      <c r="O65" s="20" t="str">
        <f ca="1">IF(CALC2223!AZ65&gt;1,INDIRECT(ADDRESS(MATCH(Agenda2526!C66,'CAL3'!A:A,0)+1,2,4,1,"CAL3")),"")</f>
        <v/>
      </c>
      <c r="P65" s="21">
        <f ca="1">IF(CALC2223!AZ65&gt;1,INDIRECT(ADDRESS(MATCH(Agenda2526!C66,'CAL3'!A:A,0)+1,3,4,1,"CAL3")),0)</f>
        <v>0</v>
      </c>
      <c r="Q65" s="20" t="str">
        <f ca="1">IF(CALC2223!AZ65&gt;2,INDIRECT(ADDRESS(MATCH(Agenda2526!C66,'CAL3'!A:A,0)+2,2,4,1,"CAL3")),"")</f>
        <v/>
      </c>
      <c r="R65" s="21">
        <f ca="1">IF(CALC2223!AZ65&gt;2,INDIRECT(ADDRESS(MATCH(Agenda2526!C66,'CAL3'!A:A,0)+2,3,4,1,"CAL3")),0)</f>
        <v>0</v>
      </c>
      <c r="S65" s="20" t="str">
        <f ca="1">IF(CALC2223!BA65&gt;0,INDIRECT(ADDRESS(MATCH(Agenda2526!C66,'CAL4'!A:A,0),2,4,1,"CAL4")),"")</f>
        <v>inh SE ANW</v>
      </c>
      <c r="T65" s="21">
        <f ca="1">IF(CALC2223!BA65&gt;0,INDIRECT(ADDRESS(MATCH(Agenda2526!C66,'CAL4'!A:A,0),3,4,1,"CAL4")),0)</f>
        <v>45936</v>
      </c>
      <c r="U65" s="20" t="str">
        <f ca="1">IF(CALC2223!BA65&gt;1,INDIRECT(ADDRESS(MATCH(Agenda2526!C66,'CAL4'!A:A,0)+1,2,4,1,"CAL4")),"")</f>
        <v/>
      </c>
      <c r="V65" s="21">
        <f ca="1">IF(CALC2223!BA65&gt;1,INDIRECT(ADDRESS(MATCH(Agenda2526!C66,'CAL4'!A:A,0)+1,3,4,1,"CAL4")),0)</f>
        <v>0</v>
      </c>
      <c r="W65" s="20" t="str">
        <f ca="1">IF(CALC2223!BA65&gt;2,INDIRECT(ADDRESS(MATCH(Agenda2526!C66,'CAL4'!A:A,0)+2,2,4,1,"CAL4")),"")</f>
        <v/>
      </c>
      <c r="X65" s="21">
        <f ca="1">IF(CALC2223!BA65&gt;2,INDIRECT(ADDRESS(MATCH(Agenda2526!C66,'CAL4'!A:A,0)+2,3,4,1,"CAL4")),0)</f>
        <v>0</v>
      </c>
      <c r="Y65" s="20" t="str">
        <f ca="1">IF(CALC2223!BB65&gt;0,INDIRECT(ADDRESS(MATCH(Agenda2526!C66,'CAL5'!A:A,0),2,4,1,"CAL5")),"")</f>
        <v>Rep SK</v>
      </c>
      <c r="Z65" s="21">
        <f ca="1">IF(CALC2223!BB65&gt;0,INDIRECT(ADDRESS(MATCH(Agenda2526!C66,'CAL5'!A:A,0),3,4,1,"CAL5")),0)</f>
        <v>45896</v>
      </c>
      <c r="AA65" s="20" t="str">
        <f ca="1">IF(CALC2223!BB65&gt;1,INDIRECT(ADDRESS(MATCH(Agenda2526!C66,'CAL5'!A:A,0)+1,2,4,1,"CAL5")),"")</f>
        <v>inh rep GR/LA</v>
      </c>
      <c r="AB65" s="21">
        <f ca="1">IF(CALC2223!BB65&gt;1,INDIRECT(ADDRESS(MATCH(Agenda2526!C66,'CAL5'!A:A,0)+1,3,4,1,"CAL5")),0)</f>
        <v>45936</v>
      </c>
      <c r="AC65" s="20" t="str">
        <f ca="1">IF(CALC2223!BB65&gt;2,INDIRECT(ADDRESS(MATCH(Agenda2526!C66,'CAL5'!A:A,0)+2,2,4,1,"CAL5")),"")</f>
        <v/>
      </c>
      <c r="AD65" s="21">
        <f ca="1">IF(CALC2223!BB65&gt;2,INDIRECT(ADDRESS(MATCH(Agenda2526!C66,'CAL5'!A:A,0)+2,3,4,1,"CAL5")),0)</f>
        <v>0</v>
      </c>
      <c r="AE65" s="20" t="str">
        <f ca="1">IF(CALC2223!BC65&gt;0,INDIRECT(ADDRESS(MATCH(Agenda2526!C66,'CAL6'!A:A,0),2,4,1,"CAL6")),"")</f>
        <v/>
      </c>
      <c r="AF65" s="21">
        <f ca="1">IF(CALC2223!BC65&gt;0,INDIRECT(ADDRESS(MATCH(Agenda2526!C66,'CAL6'!A:A,0),3,4,1,"CAL6")),0)</f>
        <v>0</v>
      </c>
      <c r="AG65" s="20" t="str">
        <f ca="1">IF(CALC2223!BC65&gt;1,INDIRECT(ADDRESS(MATCH(Agenda2526!C66,'CAL6'!A:A,0)+1,2,4,1,"CAL6")),"")</f>
        <v/>
      </c>
      <c r="AH65" s="21">
        <f ca="1">IF(CALC2223!BC65&gt;1,INDIRECT(ADDRESS(MATCH(Agenda2526!C66,'CAL6'!A:A,0)+1,3,4,1,"CAL6")),0)</f>
        <v>0</v>
      </c>
      <c r="AI65" s="20" t="str">
        <f ca="1">IF(CALC2223!BC65&gt;2,INDIRECT(ADDRESS(MATCH(Agenda2526!C66,'CAL6'!A:A,0)+2,2,4,1,"CAL6")),"")</f>
        <v/>
      </c>
      <c r="AJ65" s="21">
        <f ca="1">IF(CALC2223!BC65&gt;2,INDIRECT(ADDRESS(MATCH(Agenda2526!C66,'CAL6'!A:A,0)+2,3,4,1,"CAL6")),0)</f>
        <v>0</v>
      </c>
      <c r="AK65" s="20" t="str">
        <f ca="1">IF(CALC2223!BD65&gt;0,INDIRECT(ADDRESS(MATCH(Agenda2526!C66,'CAL7'!A:A,0),2,4,1,"CAL7")),"")</f>
        <v/>
      </c>
      <c r="AL65" s="21">
        <f ca="1">IF(CALC2223!BD65&gt;0,INDIRECT(ADDRESS(MATCH(Agenda2526!C66,'CAL7'!A:A,0),3,4,1,"CAL7")),0)</f>
        <v>0</v>
      </c>
      <c r="AM65" s="20" t="str">
        <f ca="1">IF(CALC2223!BD65&gt;1,INDIRECT(ADDRESS(MATCH(Agenda2526!C66,'CAL7'!A:A,0)+1,2,4,1,"CAL7")),"")</f>
        <v/>
      </c>
      <c r="AN65" s="21">
        <f ca="1">IF(CALC2223!BD65&gt;1,INDIRECT(ADDRESS(MATCH(Agenda2526!C66,'CAL7'!A:A,0)+1,3,4,1,"CAL7")),0)</f>
        <v>0</v>
      </c>
      <c r="AO65" s="20" t="str">
        <f ca="1">IF(CALC2223!BD65&gt;2,INDIRECT(ADDRESS(MATCH(Agenda2526!C66,'CAL7'!A:A,0)+2,2,4,1,"CAL7")),"")</f>
        <v/>
      </c>
      <c r="AP65" s="21">
        <f ca="1">IF(CALC2223!BD65&gt;2,INDIRECT(ADDRESS(MATCH(Agenda2526!C66,'CAL7'!A:A,0)+2,3,4,1,"CAL7")),0)</f>
        <v>0</v>
      </c>
      <c r="AQ65" s="20" t="str">
        <f ca="1">IF(CALC2223!BE65&gt;0,INDIRECT(ADDRESS(MATCH(Agenda2526!C66,'CAL8'!A:A,0),2,4,1,"CAL8")),"")</f>
        <v/>
      </c>
      <c r="AR65" s="21">
        <f ca="1">IF(CALC2223!BE65&gt;0,INDIRECT(ADDRESS(MATCH(Agenda2526!C66,'CAL8'!A:A,0),3,4,1,"CAL8")),0)</f>
        <v>0</v>
      </c>
      <c r="AS65" s="20" t="str">
        <f ca="1">IF(CALC2223!BE65&gt;1,INDIRECT(ADDRESS(MATCH(Agenda2526!C66,'CAL8'!A:A,0)+1,2,4,1,"CAL8")),"")</f>
        <v/>
      </c>
      <c r="AT65" s="21">
        <f ca="1">IF(CALC2223!BE65&gt;1,INDIRECT(ADDRESS(MATCH(Agenda2526!C66,'CAL8'!A:A,0)+1,3,4,1,"CAL8")),0)</f>
        <v>0</v>
      </c>
      <c r="AU65" s="20" t="str">
        <f ca="1">IF(CALC2223!BE65&gt;2,INDIRECT(ADDRESS(MATCH(Agenda2526!C66,'CAL8'!A:A,0)+2,2,4,1,"CAL8")),"")</f>
        <v/>
      </c>
      <c r="AV65" s="21">
        <f ca="1">IF(CALC2223!BE65&gt;2,INDIRECT(ADDRESS(MATCH(Agenda2526!C66,'CAL8'!A:A,0)+2,3,4,1,"CAL8")),0)</f>
        <v>0</v>
      </c>
      <c r="AW65" s="105"/>
      <c r="AX65" s="20">
        <f>COUNTIF('CAL1'!A:A,Agenda2526!C66)</f>
        <v>0</v>
      </c>
      <c r="AY65" s="20">
        <f>COUNTIF('CAL2'!A:A,Agenda2526!C66)</f>
        <v>0</v>
      </c>
      <c r="AZ65" s="20">
        <f>COUNTIF('CAL3'!A:A,Agenda2526!C66)</f>
        <v>0</v>
      </c>
      <c r="BA65" s="20">
        <f>COUNTIF('CAL4'!A:A,Agenda2526!C66)</f>
        <v>1</v>
      </c>
      <c r="BB65" s="20">
        <f>COUNTIF('CAL5'!A:A,Agenda2526!C66)</f>
        <v>2</v>
      </c>
      <c r="BC65" s="20">
        <f>COUNTIF('CAL6'!A:A,Agenda2526!C66)</f>
        <v>0</v>
      </c>
      <c r="BD65" s="20">
        <f>COUNTIF('CAL7'!A:A,Agenda2526!C66)</f>
        <v>0</v>
      </c>
      <c r="BE65" s="20">
        <f>COUNTIF('CAL8'!A:A,Agenda2526!C66)</f>
        <v>0</v>
      </c>
    </row>
    <row r="66" spans="1:57" ht="15.75" customHeight="1">
      <c r="A66" s="20" t="str">
        <f ca="1">IF(CALC2223!AX66&gt;0,INDIRECT(ADDRESS(MATCH(Agenda2526!C67,'CAL1'!A:A,0),2,4,1,"CAL1")),"")</f>
        <v/>
      </c>
      <c r="B66" s="21">
        <f ca="1">IF(CALC2223!AX66&gt;0,INDIRECT(ADDRESS(MATCH(Agenda2526!C67,'CAL1'!A:A,0),3,4,1,"CAL1")),0)</f>
        <v>0</v>
      </c>
      <c r="C66" s="20" t="str">
        <f ca="1">IF(CALC2223!AX66&gt;1,INDIRECT(ADDRESS(MATCH(Agenda2526!C67,'CAL1'!A:A,0)+1,2,4,1,"CAL1")),"")</f>
        <v/>
      </c>
      <c r="D66" s="21">
        <f ca="1">IF(CALC2223!AX66&gt;1,INDIRECT(ADDRESS(MATCH(Agenda2526!C67,'CAL1'!A:A,0)+1,3,4,1,"CAL1")),0)</f>
        <v>0</v>
      </c>
      <c r="E66" s="20" t="str">
        <f ca="1">IF(CALC2223!AX66&gt;2,INDIRECT(ADDRESS(MATCH(Agenda2526!C67,'CAL1'!A:A,0)+2,2,4,1,"CAL1")),"")</f>
        <v/>
      </c>
      <c r="F66" s="21">
        <f ca="1">IF(CALC2223!AX66&gt;2,INDIRECT(ADDRESS(MATCH(Agenda2526!C67,'CAL1'!A:A,0)+2,3,4,1,"CAL1")),0)</f>
        <v>0</v>
      </c>
      <c r="G66" s="20" t="str">
        <f ca="1">IF(CALC2223!AY66&gt;0,INDIRECT(ADDRESS(MATCH(Agenda2526!C67,'CAL2'!A:A,0),2,4,1,"CAL2")),"")</f>
        <v/>
      </c>
      <c r="H66" s="21">
        <f ca="1">IF(CALC2223!AY66&gt;0,INDIRECT(ADDRESS(MATCH(Agenda2526!C67,'CAL2'!A:A,0),3,4,1,"CAL2")),0)</f>
        <v>0</v>
      </c>
      <c r="I66" s="20" t="str">
        <f ca="1">IF(CALC2223!AY66&gt;1,INDIRECT(ADDRESS(MATCH(Agenda2526!C67,'CAL2'!A:A,0)+1,2,4,1,"CAL2")),"")</f>
        <v/>
      </c>
      <c r="J66" s="21">
        <f ca="1">IF(CALC2223!AY66&gt;1,INDIRECT(ADDRESS(MATCH(Agenda2526!C67,'CAL2'!A:A,0)+1,3,4,1,"CAL2")),0)</f>
        <v>0</v>
      </c>
      <c r="K66" s="20" t="str">
        <f ca="1">IF(CALC2223!AY66&gt;2,INDIRECT(ADDRESS(MATCH(Agenda2526!C67,'CAL2'!A:A,0)+2,2,4,1,"CAL2")),"")</f>
        <v/>
      </c>
      <c r="L66" s="21">
        <f ca="1">IF(CALC2223!AY66&gt;2,INDIRECT(ADDRESS(MATCH(Agenda2526!C67,'CAL2'!A:A,0)+2,3,4,1,"CAL2")),0)</f>
        <v>0</v>
      </c>
      <c r="M66" s="20" t="str">
        <f ca="1">IF(CALC2223!AZ66&gt;0,INDIRECT(ADDRESS(MATCH(Agenda2526!C67,'CAL3'!A:A,0),2,4,1,"CAL3")),"")</f>
        <v/>
      </c>
      <c r="N66" s="21">
        <f ca="1">IF(CALC2223!AZ66&gt;0,INDIRECT(ADDRESS(MATCH(Agenda2526!C67,'CAL3'!A:A,0),3,4,1,"CAL3")),0)</f>
        <v>0</v>
      </c>
      <c r="O66" s="20" t="str">
        <f ca="1">IF(CALC2223!AZ66&gt;1,INDIRECT(ADDRESS(MATCH(Agenda2526!C67,'CAL3'!A:A,0)+1,2,4,1,"CAL3")),"")</f>
        <v/>
      </c>
      <c r="P66" s="21">
        <f ca="1">IF(CALC2223!AZ66&gt;1,INDIRECT(ADDRESS(MATCH(Agenda2526!C67,'CAL3'!A:A,0)+1,3,4,1,"CAL3")),0)</f>
        <v>0</v>
      </c>
      <c r="Q66" s="20" t="str">
        <f ca="1">IF(CALC2223!AZ66&gt;2,INDIRECT(ADDRESS(MATCH(Agenda2526!C67,'CAL3'!A:A,0)+2,2,4,1,"CAL3")),"")</f>
        <v/>
      </c>
      <c r="R66" s="21">
        <f ca="1">IF(CALC2223!AZ66&gt;2,INDIRECT(ADDRESS(MATCH(Agenda2526!C67,'CAL3'!A:A,0)+2,3,4,1,"CAL3")),0)</f>
        <v>0</v>
      </c>
      <c r="S66" s="20" t="str">
        <f ca="1">IF(CALC2223!BA66&gt;0,INDIRECT(ADDRESS(MATCH(Agenda2526!C67,'CAL4'!A:A,0),2,4,1,"CAL4")),"")</f>
        <v>Rep NA</v>
      </c>
      <c r="T66" s="21">
        <f ca="1">IF(CALC2223!BA66&gt;0,INDIRECT(ADDRESS(MATCH(Agenda2526!C67,'CAL4'!A:A,0),3,4,1,"CAL4")),0)</f>
        <v>45896</v>
      </c>
      <c r="U66" s="20" t="str">
        <f ca="1">IF(CALC2223!BA66&gt;1,INDIRECT(ADDRESS(MATCH(Agenda2526!C67,'CAL4'!A:A,0)+1,2,4,1,"CAL4")),"")</f>
        <v/>
      </c>
      <c r="V66" s="21">
        <f ca="1">IF(CALC2223!BA66&gt;1,INDIRECT(ADDRESS(MATCH(Agenda2526!C67,'CAL4'!A:A,0)+1,3,4,1,"CAL4")),0)</f>
        <v>0</v>
      </c>
      <c r="W66" s="20" t="str">
        <f ca="1">IF(CALC2223!BA66&gt;2,INDIRECT(ADDRESS(MATCH(Agenda2526!C67,'CAL4'!A:A,0)+2,2,4,1,"CAL4")),"")</f>
        <v/>
      </c>
      <c r="X66" s="21">
        <f ca="1">IF(CALC2223!BA66&gt;2,INDIRECT(ADDRESS(MATCH(Agenda2526!C67,'CAL4'!A:A,0)+2,3,4,1,"CAL4")),0)</f>
        <v>0</v>
      </c>
      <c r="Y66" s="20" t="str">
        <f ca="1">IF(CALC2223!BB66&gt;0,INDIRECT(ADDRESS(MATCH(Agenda2526!C67,'CAL5'!A:A,0),2,4,1,"CAL5")),"")</f>
        <v/>
      </c>
      <c r="Z66" s="21">
        <f ca="1">IF(CALC2223!BB66&gt;0,INDIRECT(ADDRESS(MATCH(Agenda2526!C67,'CAL5'!A:A,0),3,4,1,"CAL5")),0)</f>
        <v>0</v>
      </c>
      <c r="AA66" s="20" t="str">
        <f ca="1">IF(CALC2223!BB66&gt;1,INDIRECT(ADDRESS(MATCH(Agenda2526!C67,'CAL5'!A:A,0)+1,2,4,1,"CAL5")),"")</f>
        <v/>
      </c>
      <c r="AB66" s="21">
        <f ca="1">IF(CALC2223!BB66&gt;1,INDIRECT(ADDRESS(MATCH(Agenda2526!C67,'CAL5'!A:A,0)+1,3,4,1,"CAL5")),0)</f>
        <v>0</v>
      </c>
      <c r="AC66" s="20" t="str">
        <f ca="1">IF(CALC2223!BB66&gt;2,INDIRECT(ADDRESS(MATCH(Agenda2526!C67,'CAL5'!A:A,0)+2,2,4,1,"CAL5")),"")</f>
        <v/>
      </c>
      <c r="AD66" s="21">
        <f ca="1">IF(CALC2223!BB66&gt;2,INDIRECT(ADDRESS(MATCH(Agenda2526!C67,'CAL5'!A:A,0)+2,3,4,1,"CAL5")),0)</f>
        <v>0</v>
      </c>
      <c r="AE66" s="20" t="str">
        <f ca="1">IF(CALC2223!BC66&gt;0,INDIRECT(ADDRESS(MATCH(Agenda2526!C67,'CAL6'!A:A,0),2,4,1,"CAL6")),"")</f>
        <v/>
      </c>
      <c r="AF66" s="21">
        <f ca="1">IF(CALC2223!BC66&gt;0,INDIRECT(ADDRESS(MATCH(Agenda2526!C67,'CAL6'!A:A,0),3,4,1,"CAL6")),0)</f>
        <v>0</v>
      </c>
      <c r="AG66" s="20" t="str">
        <f ca="1">IF(CALC2223!BC66&gt;1,INDIRECT(ADDRESS(MATCH(Agenda2526!C67,'CAL6'!A:A,0)+1,2,4,1,"CAL6")),"")</f>
        <v/>
      </c>
      <c r="AH66" s="21">
        <f ca="1">IF(CALC2223!BC66&gt;1,INDIRECT(ADDRESS(MATCH(Agenda2526!C67,'CAL6'!A:A,0)+1,3,4,1,"CAL6")),0)</f>
        <v>0</v>
      </c>
      <c r="AI66" s="20" t="str">
        <f ca="1">IF(CALC2223!BC66&gt;2,INDIRECT(ADDRESS(MATCH(Agenda2526!C67,'CAL6'!A:A,0)+2,2,4,1,"CAL6")),"")</f>
        <v/>
      </c>
      <c r="AJ66" s="21">
        <f ca="1">IF(CALC2223!BC66&gt;2,INDIRECT(ADDRESS(MATCH(Agenda2526!C67,'CAL6'!A:A,0)+2,3,4,1,"CAL6")),0)</f>
        <v>0</v>
      </c>
      <c r="AK66" s="20" t="str">
        <f ca="1">IF(CALC2223!BD66&gt;0,INDIRECT(ADDRESS(MATCH(Agenda2526!C67,'CAL7'!A:A,0),2,4,1,"CAL7")),"")</f>
        <v/>
      </c>
      <c r="AL66" s="21">
        <f ca="1">IF(CALC2223!BD66&gt;0,INDIRECT(ADDRESS(MATCH(Agenda2526!C67,'CAL7'!A:A,0),3,4,1,"CAL7")),0)</f>
        <v>0</v>
      </c>
      <c r="AM66" s="20" t="str">
        <f ca="1">IF(CALC2223!BD66&gt;1,INDIRECT(ADDRESS(MATCH(Agenda2526!C67,'CAL7'!A:A,0)+1,2,4,1,"CAL7")),"")</f>
        <v/>
      </c>
      <c r="AN66" s="21">
        <f ca="1">IF(CALC2223!BD66&gt;1,INDIRECT(ADDRESS(MATCH(Agenda2526!C67,'CAL7'!A:A,0)+1,3,4,1,"CAL7")),0)</f>
        <v>0</v>
      </c>
      <c r="AO66" s="20" t="str">
        <f ca="1">IF(CALC2223!BD66&gt;2,INDIRECT(ADDRESS(MATCH(Agenda2526!C67,'CAL7'!A:A,0)+2,2,4,1,"CAL7")),"")</f>
        <v/>
      </c>
      <c r="AP66" s="21">
        <f ca="1">IF(CALC2223!BD66&gt;2,INDIRECT(ADDRESS(MATCH(Agenda2526!C67,'CAL7'!A:A,0)+2,3,4,1,"CAL7")),0)</f>
        <v>0</v>
      </c>
      <c r="AQ66" s="20" t="str">
        <f ca="1">IF(CALC2223!BE66&gt;0,INDIRECT(ADDRESS(MATCH(Agenda2526!C67,'CAL8'!A:A,0),2,4,1,"CAL8")),"")</f>
        <v/>
      </c>
      <c r="AR66" s="21">
        <f ca="1">IF(CALC2223!BE66&gt;0,INDIRECT(ADDRESS(MATCH(Agenda2526!C67,'CAL8'!A:A,0),3,4,1,"CAL8")),0)</f>
        <v>0</v>
      </c>
      <c r="AS66" s="20" t="str">
        <f ca="1">IF(CALC2223!BE66&gt;1,INDIRECT(ADDRESS(MATCH(Agenda2526!C67,'CAL8'!A:A,0)+1,2,4,1,"CAL8")),"")</f>
        <v/>
      </c>
      <c r="AT66" s="21">
        <f ca="1">IF(CALC2223!BE66&gt;1,INDIRECT(ADDRESS(MATCH(Agenda2526!C67,'CAL8'!A:A,0)+1,3,4,1,"CAL8")),0)</f>
        <v>0</v>
      </c>
      <c r="AU66" s="20" t="str">
        <f ca="1">IF(CALC2223!BE66&gt;2,INDIRECT(ADDRESS(MATCH(Agenda2526!C67,'CAL8'!A:A,0)+2,2,4,1,"CAL8")),"")</f>
        <v/>
      </c>
      <c r="AV66" s="21">
        <f ca="1">IF(CALC2223!BE66&gt;2,INDIRECT(ADDRESS(MATCH(Agenda2526!C67,'CAL8'!A:A,0)+2,3,4,1,"CAL8")),0)</f>
        <v>0</v>
      </c>
      <c r="AW66" s="105"/>
      <c r="AX66" s="20">
        <f>COUNTIF('CAL1'!A:A,Agenda2526!C67)</f>
        <v>0</v>
      </c>
      <c r="AY66" s="20">
        <f>COUNTIF('CAL2'!A:A,Agenda2526!C67)</f>
        <v>0</v>
      </c>
      <c r="AZ66" s="20">
        <f>COUNTIF('CAL3'!A:A,Agenda2526!C67)</f>
        <v>0</v>
      </c>
      <c r="BA66" s="20">
        <f>COUNTIF('CAL4'!A:A,Agenda2526!C67)</f>
        <v>1</v>
      </c>
      <c r="BB66" s="20">
        <f>COUNTIF('CAL5'!A:A,Agenda2526!C67)</f>
        <v>0</v>
      </c>
      <c r="BC66" s="20">
        <f>COUNTIF('CAL6'!A:A,Agenda2526!C67)</f>
        <v>0</v>
      </c>
      <c r="BD66" s="20">
        <f>COUNTIF('CAL7'!A:A,Agenda2526!C67)</f>
        <v>0</v>
      </c>
      <c r="BE66" s="20">
        <f>COUNTIF('CAL8'!A:A,Agenda2526!C67)</f>
        <v>0</v>
      </c>
    </row>
    <row r="67" spans="1:57" ht="15.75" customHeight="1">
      <c r="A67" s="20" t="str">
        <f ca="1">IF(CALC2223!AX67&gt;0,INDIRECT(ADDRESS(MATCH(Agenda2526!C68,'CAL1'!A:A,0),2,4,1,"CAL1")),"")</f>
        <v>Rep AK</v>
      </c>
      <c r="B67" s="21">
        <f ca="1">IF(CALC2223!AX67&gt;0,INDIRECT(ADDRESS(MATCH(Agenda2526!C68,'CAL1'!A:A,0),3,4,1,"CAL1")),0)</f>
        <v>45901</v>
      </c>
      <c r="C67" s="20" t="str">
        <f ca="1">IF(CALC2223!AX67&gt;1,INDIRECT(ADDRESS(MATCH(Agenda2526!C68,'CAL1'!A:A,0)+1,2,4,1,"CAL1")),"")</f>
        <v/>
      </c>
      <c r="D67" s="21">
        <f ca="1">IF(CALC2223!AX67&gt;1,INDIRECT(ADDRESS(MATCH(Agenda2526!C68,'CAL1'!A:A,0)+1,3,4,1,"CAL1")),0)</f>
        <v>0</v>
      </c>
      <c r="E67" s="20" t="str">
        <f ca="1">IF(CALC2223!AX67&gt;2,INDIRECT(ADDRESS(MATCH(Agenda2526!C68,'CAL1'!A:A,0)+2,2,4,1,"CAL1")),"")</f>
        <v/>
      </c>
      <c r="F67" s="21">
        <f ca="1">IF(CALC2223!AX67&gt;2,INDIRECT(ADDRESS(MATCH(Agenda2526!C68,'CAL1'!A:A,0)+2,3,4,1,"CAL1")),0)</f>
        <v>0</v>
      </c>
      <c r="G67" s="20" t="str">
        <f ca="1">IF(CALC2223!AY67&gt;0,INDIRECT(ADDRESS(MATCH(Agenda2526!C68,'CAL2'!A:A,0),2,4,1,"CAL2")),"")</f>
        <v/>
      </c>
      <c r="H67" s="21">
        <f ca="1">IF(CALC2223!AY67&gt;0,INDIRECT(ADDRESS(MATCH(Agenda2526!C68,'CAL2'!A:A,0),3,4,1,"CAL2")),0)</f>
        <v>0</v>
      </c>
      <c r="I67" s="20" t="str">
        <f ca="1">IF(CALC2223!AY67&gt;1,INDIRECT(ADDRESS(MATCH(Agenda2526!C68,'CAL2'!A:A,0)+1,2,4,1,"CAL2")),"")</f>
        <v/>
      </c>
      <c r="J67" s="21">
        <f ca="1">IF(CALC2223!AY67&gt;1,INDIRECT(ADDRESS(MATCH(Agenda2526!C68,'CAL2'!A:A,0)+1,3,4,1,"CAL2")),0)</f>
        <v>0</v>
      </c>
      <c r="K67" s="20" t="str">
        <f ca="1">IF(CALC2223!AY67&gt;2,INDIRECT(ADDRESS(MATCH(Agenda2526!C68,'CAL2'!A:A,0)+2,2,4,1,"CAL2")),"")</f>
        <v/>
      </c>
      <c r="L67" s="21">
        <f ca="1">IF(CALC2223!AY67&gt;2,INDIRECT(ADDRESS(MATCH(Agenda2526!C68,'CAL2'!A:A,0)+2,3,4,1,"CAL2")),0)</f>
        <v>0</v>
      </c>
      <c r="M67" s="20" t="str">
        <f ca="1">IF(CALC2223!AZ67&gt;0,INDIRECT(ADDRESS(MATCH(Agenda2526!C68,'CAL3'!A:A,0),2,4,1,"CAL3")),"")</f>
        <v/>
      </c>
      <c r="N67" s="21">
        <f ca="1">IF(CALC2223!AZ67&gt;0,INDIRECT(ADDRESS(MATCH(Agenda2526!C68,'CAL3'!A:A,0),3,4,1,"CAL3")),0)</f>
        <v>0</v>
      </c>
      <c r="O67" s="20" t="str">
        <f ca="1">IF(CALC2223!AZ67&gt;1,INDIRECT(ADDRESS(MATCH(Agenda2526!C68,'CAL3'!A:A,0)+1,2,4,1,"CAL3")),"")</f>
        <v/>
      </c>
      <c r="P67" s="21">
        <f ca="1">IF(CALC2223!AZ67&gt;1,INDIRECT(ADDRESS(MATCH(Agenda2526!C68,'CAL3'!A:A,0)+1,3,4,1,"CAL3")),0)</f>
        <v>0</v>
      </c>
      <c r="Q67" s="20" t="str">
        <f ca="1">IF(CALC2223!AZ67&gt;2,INDIRECT(ADDRESS(MATCH(Agenda2526!C68,'CAL3'!A:A,0)+2,2,4,1,"CAL3")),"")</f>
        <v/>
      </c>
      <c r="R67" s="21">
        <f ca="1">IF(CALC2223!AZ67&gt;2,INDIRECT(ADDRESS(MATCH(Agenda2526!C68,'CAL3'!A:A,0)+2,3,4,1,"CAL3")),0)</f>
        <v>0</v>
      </c>
      <c r="S67" s="20" t="str">
        <f ca="1">IF(CALC2223!BA67&gt;0,INDIRECT(ADDRESS(MATCH(Agenda2526!C68,'CAL4'!A:A,0),2,4,1,"CAL4")),"")</f>
        <v/>
      </c>
      <c r="T67" s="21">
        <f ca="1">IF(CALC2223!BA67&gt;0,INDIRECT(ADDRESS(MATCH(Agenda2526!C68,'CAL4'!A:A,0),3,4,1,"CAL4")),0)</f>
        <v>0</v>
      </c>
      <c r="U67" s="20" t="str">
        <f ca="1">IF(CALC2223!BA67&gt;1,INDIRECT(ADDRESS(MATCH(Agenda2526!C68,'CAL4'!A:A,0)+1,2,4,1,"CAL4")),"")</f>
        <v/>
      </c>
      <c r="V67" s="21">
        <f ca="1">IF(CALC2223!BA67&gt;1,INDIRECT(ADDRESS(MATCH(Agenda2526!C68,'CAL4'!A:A,0)+1,3,4,1,"CAL4")),0)</f>
        <v>0</v>
      </c>
      <c r="W67" s="20" t="str">
        <f ca="1">IF(CALC2223!BA67&gt;2,INDIRECT(ADDRESS(MATCH(Agenda2526!C68,'CAL4'!A:A,0)+2,2,4,1,"CAL4")),"")</f>
        <v/>
      </c>
      <c r="X67" s="21">
        <f ca="1">IF(CALC2223!BA67&gt;2,INDIRECT(ADDRESS(MATCH(Agenda2526!C68,'CAL4'!A:A,0)+2,3,4,1,"CAL4")),0)</f>
        <v>0</v>
      </c>
      <c r="Y67" s="20" t="str">
        <f ca="1">IF(CALC2223!BB67&gt;0,INDIRECT(ADDRESS(MATCH(Agenda2526!C68,'CAL5'!A:A,0),2,4,1,"CAL5")),"")</f>
        <v>Rep BI</v>
      </c>
      <c r="Z67" s="21">
        <f ca="1">IF(CALC2223!BB67&gt;0,INDIRECT(ADDRESS(MATCH(Agenda2526!C68,'CAL5'!A:A,0),3,4,1,"CAL5")),0)</f>
        <v>45896</v>
      </c>
      <c r="AA67" s="20" t="str">
        <f ca="1">IF(CALC2223!BB67&gt;1,INDIRECT(ADDRESS(MATCH(Agenda2526!C68,'CAL5'!A:A,0)+1,2,4,1,"CAL5")),"")</f>
        <v/>
      </c>
      <c r="AB67" s="21">
        <f ca="1">IF(CALC2223!BB67&gt;1,INDIRECT(ADDRESS(MATCH(Agenda2526!C68,'CAL5'!A:A,0)+1,3,4,1,"CAL5")),0)</f>
        <v>0</v>
      </c>
      <c r="AC67" s="20" t="str">
        <f ca="1">IF(CALC2223!BB67&gt;2,INDIRECT(ADDRESS(MATCH(Agenda2526!C68,'CAL5'!A:A,0)+2,2,4,1,"CAL5")),"")</f>
        <v/>
      </c>
      <c r="AD67" s="21">
        <f ca="1">IF(CALC2223!BB67&gt;2,INDIRECT(ADDRESS(MATCH(Agenda2526!C68,'CAL5'!A:A,0)+2,3,4,1,"CAL5")),0)</f>
        <v>0</v>
      </c>
      <c r="AE67" s="20" t="str">
        <f ca="1">IF(CALC2223!BC67&gt;0,INDIRECT(ADDRESS(MATCH(Agenda2526!C68,'CAL6'!A:A,0),2,4,1,"CAL6")),"")</f>
        <v/>
      </c>
      <c r="AF67" s="21">
        <f ca="1">IF(CALC2223!BC67&gt;0,INDIRECT(ADDRESS(MATCH(Agenda2526!C68,'CAL6'!A:A,0),3,4,1,"CAL6")),0)</f>
        <v>0</v>
      </c>
      <c r="AG67" s="20" t="str">
        <f ca="1">IF(CALC2223!BC67&gt;1,INDIRECT(ADDRESS(MATCH(Agenda2526!C68,'CAL6'!A:A,0)+1,2,4,1,"CAL6")),"")</f>
        <v/>
      </c>
      <c r="AH67" s="21">
        <f ca="1">IF(CALC2223!BC67&gt;1,INDIRECT(ADDRESS(MATCH(Agenda2526!C68,'CAL6'!A:A,0)+1,3,4,1,"CAL6")),0)</f>
        <v>0</v>
      </c>
      <c r="AI67" s="20" t="str">
        <f ca="1">IF(CALC2223!BC67&gt;2,INDIRECT(ADDRESS(MATCH(Agenda2526!C68,'CAL6'!A:A,0)+2,2,4,1,"CAL6")),"")</f>
        <v/>
      </c>
      <c r="AJ67" s="21">
        <f ca="1">IF(CALC2223!BC67&gt;2,INDIRECT(ADDRESS(MATCH(Agenda2526!C68,'CAL6'!A:A,0)+2,3,4,1,"CAL6")),0)</f>
        <v>0</v>
      </c>
      <c r="AK67" s="20" t="str">
        <f ca="1">IF(CALC2223!BD67&gt;0,INDIRECT(ADDRESS(MATCH(Agenda2526!C68,'CAL7'!A:A,0),2,4,1,"CAL7")),"")</f>
        <v/>
      </c>
      <c r="AL67" s="21">
        <f ca="1">IF(CALC2223!BD67&gt;0,INDIRECT(ADDRESS(MATCH(Agenda2526!C68,'CAL7'!A:A,0),3,4,1,"CAL7")),0)</f>
        <v>0</v>
      </c>
      <c r="AM67" s="20" t="str">
        <f ca="1">IF(CALC2223!BD67&gt;1,INDIRECT(ADDRESS(MATCH(Agenda2526!C68,'CAL7'!A:A,0)+1,2,4,1,"CAL7")),"")</f>
        <v/>
      </c>
      <c r="AN67" s="21">
        <f ca="1">IF(CALC2223!BD67&gt;1,INDIRECT(ADDRESS(MATCH(Agenda2526!C68,'CAL7'!A:A,0)+1,3,4,1,"CAL7")),0)</f>
        <v>0</v>
      </c>
      <c r="AO67" s="20" t="str">
        <f ca="1">IF(CALC2223!BD67&gt;2,INDIRECT(ADDRESS(MATCH(Agenda2526!C68,'CAL7'!A:A,0)+2,2,4,1,"CAL7")),"")</f>
        <v/>
      </c>
      <c r="AP67" s="21">
        <f ca="1">IF(CALC2223!BD67&gt;2,INDIRECT(ADDRESS(MATCH(Agenda2526!C68,'CAL7'!A:A,0)+2,3,4,1,"CAL7")),0)</f>
        <v>0</v>
      </c>
      <c r="AQ67" s="20" t="str">
        <f ca="1">IF(CALC2223!BE67&gt;0,INDIRECT(ADDRESS(MATCH(Agenda2526!C68,'CAL8'!A:A,0),2,4,1,"CAL8")),"")</f>
        <v/>
      </c>
      <c r="AR67" s="21">
        <f ca="1">IF(CALC2223!BE67&gt;0,INDIRECT(ADDRESS(MATCH(Agenda2526!C68,'CAL8'!A:A,0),3,4,1,"CAL8")),0)</f>
        <v>0</v>
      </c>
      <c r="AS67" s="20" t="str">
        <f ca="1">IF(CALC2223!BE67&gt;1,INDIRECT(ADDRESS(MATCH(Agenda2526!C68,'CAL8'!A:A,0)+1,2,4,1,"CAL8")),"")</f>
        <v/>
      </c>
      <c r="AT67" s="21">
        <f ca="1">IF(CALC2223!BE67&gt;1,INDIRECT(ADDRESS(MATCH(Agenda2526!C68,'CAL8'!A:A,0)+1,3,4,1,"CAL8")),0)</f>
        <v>0</v>
      </c>
      <c r="AU67" s="20" t="str">
        <f ca="1">IF(CALC2223!BE67&gt;2,INDIRECT(ADDRESS(MATCH(Agenda2526!C68,'CAL8'!A:A,0)+2,2,4,1,"CAL8")),"")</f>
        <v/>
      </c>
      <c r="AV67" s="21">
        <f ca="1">IF(CALC2223!BE67&gt;2,INDIRECT(ADDRESS(MATCH(Agenda2526!C68,'CAL8'!A:A,0)+2,3,4,1,"CAL8")),0)</f>
        <v>0</v>
      </c>
      <c r="AW67" s="105"/>
      <c r="AX67" s="20">
        <f>COUNTIF('CAL1'!A:A,Agenda2526!C68)</f>
        <v>1</v>
      </c>
      <c r="AY67" s="20">
        <f>COUNTIF('CAL2'!A:A,Agenda2526!C68)</f>
        <v>0</v>
      </c>
      <c r="AZ67" s="20">
        <f>COUNTIF('CAL3'!A:A,Agenda2526!C68)</f>
        <v>0</v>
      </c>
      <c r="BA67" s="20">
        <f>COUNTIF('CAL4'!A:A,Agenda2526!C68)</f>
        <v>0</v>
      </c>
      <c r="BB67" s="20">
        <f>COUNTIF('CAL5'!A:A,Agenda2526!C68)</f>
        <v>1</v>
      </c>
      <c r="BC67" s="20">
        <f>COUNTIF('CAL6'!A:A,Agenda2526!C68)</f>
        <v>0</v>
      </c>
      <c r="BD67" s="20">
        <f>COUNTIF('CAL7'!A:A,Agenda2526!C68)</f>
        <v>0</v>
      </c>
      <c r="BE67" s="20">
        <f>COUNTIF('CAL8'!A:A,Agenda2526!C68)</f>
        <v>0</v>
      </c>
    </row>
    <row r="68" spans="1:57" ht="15.75" customHeight="1">
      <c r="A68" s="20" t="str">
        <f ca="1">IF(CALC2223!AX68&gt;0,INDIRECT(ADDRESS(MATCH(Agenda2526!C69,'CAL1'!A:A,0),2,4,1,"CAL1")),"")</f>
        <v/>
      </c>
      <c r="B68" s="21">
        <f ca="1">IF(CALC2223!AX68&gt;0,INDIRECT(ADDRESS(MATCH(Agenda2526!C69,'CAL1'!A:A,0),3,4,1,"CAL1")),0)</f>
        <v>0</v>
      </c>
      <c r="C68" s="20" t="str">
        <f ca="1">IF(CALC2223!AX68&gt;1,INDIRECT(ADDRESS(MATCH(Agenda2526!C69,'CAL1'!A:A,0)+1,2,4,1,"CAL1")),"")</f>
        <v/>
      </c>
      <c r="D68" s="21">
        <f ca="1">IF(CALC2223!AX68&gt;1,INDIRECT(ADDRESS(MATCH(Agenda2526!C69,'CAL1'!A:A,0)+1,3,4,1,"CAL1")),0)</f>
        <v>0</v>
      </c>
      <c r="E68" s="20" t="str">
        <f ca="1">IF(CALC2223!AX68&gt;2,INDIRECT(ADDRESS(MATCH(Agenda2526!C69,'CAL1'!A:A,0)+2,2,4,1,"CAL1")),"")</f>
        <v/>
      </c>
      <c r="F68" s="21">
        <f ca="1">IF(CALC2223!AX68&gt;2,INDIRECT(ADDRESS(MATCH(Agenda2526!C69,'CAL1'!A:A,0)+2,3,4,1,"CAL1")),0)</f>
        <v>0</v>
      </c>
      <c r="G68" s="20" t="str">
        <f ca="1">IF(CALC2223!AY68&gt;0,INDIRECT(ADDRESS(MATCH(Agenda2526!C69,'CAL2'!A:A,0),2,4,1,"CAL2")),"")</f>
        <v/>
      </c>
      <c r="H68" s="21">
        <f ca="1">IF(CALC2223!AY68&gt;0,INDIRECT(ADDRESS(MATCH(Agenda2526!C69,'CAL2'!A:A,0),3,4,1,"CAL2")),0)</f>
        <v>0</v>
      </c>
      <c r="I68" s="20" t="str">
        <f ca="1">IF(CALC2223!AY68&gt;1,INDIRECT(ADDRESS(MATCH(Agenda2526!C69,'CAL2'!A:A,0)+1,2,4,1,"CAL2")),"")</f>
        <v/>
      </c>
      <c r="J68" s="21">
        <f ca="1">IF(CALC2223!AY68&gt;1,INDIRECT(ADDRESS(MATCH(Agenda2526!C69,'CAL2'!A:A,0)+1,3,4,1,"CAL2")),0)</f>
        <v>0</v>
      </c>
      <c r="K68" s="20" t="str">
        <f ca="1">IF(CALC2223!AY68&gt;2,INDIRECT(ADDRESS(MATCH(Agenda2526!C69,'CAL2'!A:A,0)+2,2,4,1,"CAL2")),"")</f>
        <v/>
      </c>
      <c r="L68" s="21">
        <f ca="1">IF(CALC2223!AY68&gt;2,INDIRECT(ADDRESS(MATCH(Agenda2526!C69,'CAL2'!A:A,0)+2,3,4,1,"CAL2")),0)</f>
        <v>0</v>
      </c>
      <c r="M68" s="20" t="str">
        <f ca="1">IF(CALC2223!AZ68&gt;0,INDIRECT(ADDRESS(MATCH(Agenda2526!C69,'CAL3'!A:A,0),2,4,1,"CAL3")),"")</f>
        <v>Rep EN</v>
      </c>
      <c r="N68" s="21">
        <f ca="1">IF(CALC2223!AZ68&gt;0,INDIRECT(ADDRESS(MATCH(Agenda2526!C69,'CAL3'!A:A,0),3,4,1,"CAL3")),0)</f>
        <v>45903</v>
      </c>
      <c r="O68" s="20" t="str">
        <f ca="1">IF(CALC2223!AZ68&gt;1,INDIRECT(ADDRESS(MATCH(Agenda2526!C69,'CAL3'!A:A,0)+1,2,4,1,"CAL3")),"")</f>
        <v/>
      </c>
      <c r="P68" s="21">
        <f ca="1">IF(CALC2223!AZ68&gt;1,INDIRECT(ADDRESS(MATCH(Agenda2526!C69,'CAL3'!A:A,0)+1,3,4,1,"CAL3")),0)</f>
        <v>0</v>
      </c>
      <c r="Q68" s="20" t="str">
        <f ca="1">IF(CALC2223!AZ68&gt;2,INDIRECT(ADDRESS(MATCH(Agenda2526!C69,'CAL3'!A:A,0)+2,2,4,1,"CAL3")),"")</f>
        <v/>
      </c>
      <c r="R68" s="21">
        <f ca="1">IF(CALC2223!AZ68&gt;2,INDIRECT(ADDRESS(MATCH(Agenda2526!C69,'CAL3'!A:A,0)+2,3,4,1,"CAL3")),0)</f>
        <v>0</v>
      </c>
      <c r="S68" s="20" t="str">
        <f ca="1">IF(CALC2223!BA68&gt;0,INDIRECT(ADDRESS(MATCH(Agenda2526!C69,'CAL4'!A:A,0),2,4,1,"CAL4")),"")</f>
        <v/>
      </c>
      <c r="T68" s="21">
        <f ca="1">IF(CALC2223!BA68&gt;0,INDIRECT(ADDRESS(MATCH(Agenda2526!C69,'CAL4'!A:A,0),3,4,1,"CAL4")),0)</f>
        <v>0</v>
      </c>
      <c r="U68" s="20" t="str">
        <f ca="1">IF(CALC2223!BA68&gt;1,INDIRECT(ADDRESS(MATCH(Agenda2526!C69,'CAL4'!A:A,0)+1,2,4,1,"CAL4")),"")</f>
        <v/>
      </c>
      <c r="V68" s="21">
        <f ca="1">IF(CALC2223!BA68&gt;1,INDIRECT(ADDRESS(MATCH(Agenda2526!C69,'CAL4'!A:A,0)+1,3,4,1,"CAL4")),0)</f>
        <v>0</v>
      </c>
      <c r="W68" s="20" t="str">
        <f ca="1">IF(CALC2223!BA68&gt;2,INDIRECT(ADDRESS(MATCH(Agenda2526!C69,'CAL4'!A:A,0)+2,2,4,1,"CAL4")),"")</f>
        <v/>
      </c>
      <c r="X68" s="21">
        <f ca="1">IF(CALC2223!BA68&gt;2,INDIRECT(ADDRESS(MATCH(Agenda2526!C69,'CAL4'!A:A,0)+2,3,4,1,"CAL4")),0)</f>
        <v>0</v>
      </c>
      <c r="Y68" s="20" t="str">
        <f ca="1">IF(CALC2223!BB68&gt;0,INDIRECT(ADDRESS(MATCH(Agenda2526!C69,'CAL5'!A:A,0),2,4,1,"CAL5")),"")</f>
        <v/>
      </c>
      <c r="Z68" s="21">
        <f ca="1">IF(CALC2223!BB68&gt;0,INDIRECT(ADDRESS(MATCH(Agenda2526!C69,'CAL5'!A:A,0),3,4,1,"CAL5")),0)</f>
        <v>0</v>
      </c>
      <c r="AA68" s="20" t="str">
        <f ca="1">IF(CALC2223!BB68&gt;1,INDIRECT(ADDRESS(MATCH(Agenda2526!C69,'CAL5'!A:A,0)+1,2,4,1,"CAL5")),"")</f>
        <v/>
      </c>
      <c r="AB68" s="21">
        <f ca="1">IF(CALC2223!BB68&gt;1,INDIRECT(ADDRESS(MATCH(Agenda2526!C69,'CAL5'!A:A,0)+1,3,4,1,"CAL5")),0)</f>
        <v>0</v>
      </c>
      <c r="AC68" s="20" t="str">
        <f ca="1">IF(CALC2223!BB68&gt;2,INDIRECT(ADDRESS(MATCH(Agenda2526!C69,'CAL5'!A:A,0)+2,2,4,1,"CAL5")),"")</f>
        <v/>
      </c>
      <c r="AD68" s="21">
        <f ca="1">IF(CALC2223!BB68&gt;2,INDIRECT(ADDRESS(MATCH(Agenda2526!C69,'CAL5'!A:A,0)+2,3,4,1,"CAL5")),0)</f>
        <v>0</v>
      </c>
      <c r="AE68" s="20" t="str">
        <f ca="1">IF(CALC2223!BC68&gt;0,INDIRECT(ADDRESS(MATCH(Agenda2526!C69,'CAL6'!A:A,0),2,4,1,"CAL6")),"")</f>
        <v>LO2:2</v>
      </c>
      <c r="AF68" s="21">
        <f ca="1">IF(CALC2223!BC68&gt;0,INDIRECT(ADDRESS(MATCH(Agenda2526!C69,'CAL6'!A:A,0),3,4,1,"CAL6")),0)</f>
        <v>45896</v>
      </c>
      <c r="AG68" s="20" t="str">
        <f ca="1">IF(CALC2223!BC68&gt;1,INDIRECT(ADDRESS(MATCH(Agenda2526!C69,'CAL6'!A:A,0)+1,2,4,1,"CAL6")),"")</f>
        <v/>
      </c>
      <c r="AH68" s="21">
        <f ca="1">IF(CALC2223!BC68&gt;1,INDIRECT(ADDRESS(MATCH(Agenda2526!C69,'CAL6'!A:A,0)+1,3,4,1,"CAL6")),0)</f>
        <v>0</v>
      </c>
      <c r="AI68" s="20" t="str">
        <f ca="1">IF(CALC2223!BC68&gt;2,INDIRECT(ADDRESS(MATCH(Agenda2526!C69,'CAL6'!A:A,0)+2,2,4,1,"CAL6")),"")</f>
        <v/>
      </c>
      <c r="AJ68" s="21">
        <f ca="1">IF(CALC2223!BC68&gt;2,INDIRECT(ADDRESS(MATCH(Agenda2526!C69,'CAL6'!A:A,0)+2,3,4,1,"CAL6")),0)</f>
        <v>0</v>
      </c>
      <c r="AK68" s="20" t="str">
        <f ca="1">IF(CALC2223!BD68&gt;0,INDIRECT(ADDRESS(MATCH(Agenda2526!C69,'CAL7'!A:A,0),2,4,1,"CAL7")),"")</f>
        <v>studiemiddag#1</v>
      </c>
      <c r="AL68" s="21">
        <f ca="1">IF(CALC2223!BD68&gt;0,INDIRECT(ADDRESS(MATCH(Agenda2526!C69,'CAL7'!A:A,0),3,4,1,"CAL7")),0)</f>
        <v>45896</v>
      </c>
      <c r="AM68" s="20" t="str">
        <f ca="1">IF(CALC2223!BD68&gt;1,INDIRECT(ADDRESS(MATCH(Agenda2526!C69,'CAL7'!A:A,0)+1,2,4,1,"CAL7")),"")</f>
        <v/>
      </c>
      <c r="AN68" s="21">
        <f ca="1">IF(CALC2223!BD68&gt;1,INDIRECT(ADDRESS(MATCH(Agenda2526!C69,'CAL7'!A:A,0)+1,3,4,1,"CAL7")),0)</f>
        <v>0</v>
      </c>
      <c r="AO68" s="20" t="str">
        <f ca="1">IF(CALC2223!BD68&gt;2,INDIRECT(ADDRESS(MATCH(Agenda2526!C69,'CAL7'!A:A,0)+2,2,4,1,"CAL7")),"")</f>
        <v/>
      </c>
      <c r="AP68" s="21">
        <f ca="1">IF(CALC2223!BD68&gt;2,INDIRECT(ADDRESS(MATCH(Agenda2526!C69,'CAL7'!A:A,0)+2,3,4,1,"CAL7")),0)</f>
        <v>0</v>
      </c>
      <c r="AQ68" s="20" t="str">
        <f ca="1">IF(CALC2223!BE68&gt;0,INDIRECT(ADDRESS(MATCH(Agenda2526!C69,'CAL8'!A:A,0),2,4,1,"CAL8")),"")</f>
        <v/>
      </c>
      <c r="AR68" s="21">
        <f ca="1">IF(CALC2223!BE68&gt;0,INDIRECT(ADDRESS(MATCH(Agenda2526!C69,'CAL8'!A:A,0),3,4,1,"CAL8")),0)</f>
        <v>0</v>
      </c>
      <c r="AS68" s="20" t="str">
        <f ca="1">IF(CALC2223!BE68&gt;1,INDIRECT(ADDRESS(MATCH(Agenda2526!C69,'CAL8'!A:A,0)+1,2,4,1,"CAL8")),"")</f>
        <v/>
      </c>
      <c r="AT68" s="21">
        <f ca="1">IF(CALC2223!BE68&gt;1,INDIRECT(ADDRESS(MATCH(Agenda2526!C69,'CAL8'!A:A,0)+1,3,4,1,"CAL8")),0)</f>
        <v>0</v>
      </c>
      <c r="AU68" s="20" t="str">
        <f ca="1">IF(CALC2223!BE68&gt;2,INDIRECT(ADDRESS(MATCH(Agenda2526!C69,'CAL8'!A:A,0)+2,2,4,1,"CAL8")),"")</f>
        <v/>
      </c>
      <c r="AV68" s="21">
        <f ca="1">IF(CALC2223!BE68&gt;2,INDIRECT(ADDRESS(MATCH(Agenda2526!C69,'CAL8'!A:A,0)+2,3,4,1,"CAL8")),0)</f>
        <v>0</v>
      </c>
      <c r="AW68" s="105"/>
      <c r="AX68" s="20">
        <f>COUNTIF('CAL1'!A:A,Agenda2526!C69)</f>
        <v>0</v>
      </c>
      <c r="AY68" s="20">
        <f>COUNTIF('CAL2'!A:A,Agenda2526!C69)</f>
        <v>0</v>
      </c>
      <c r="AZ68" s="20">
        <f>COUNTIF('CAL3'!A:A,Agenda2526!C69)</f>
        <v>1</v>
      </c>
      <c r="BA68" s="20">
        <f>COUNTIF('CAL4'!A:A,Agenda2526!C69)</f>
        <v>0</v>
      </c>
      <c r="BB68" s="20">
        <f>COUNTIF('CAL5'!A:A,Agenda2526!C69)</f>
        <v>0</v>
      </c>
      <c r="BC68" s="20">
        <f>COUNTIF('CAL6'!A:A,Agenda2526!C69)</f>
        <v>1</v>
      </c>
      <c r="BD68" s="20">
        <f>COUNTIF('CAL7'!A:A,Agenda2526!C69)</f>
        <v>1</v>
      </c>
      <c r="BE68" s="20">
        <f>COUNTIF('CAL8'!A:A,Agenda2526!C69)</f>
        <v>0</v>
      </c>
    </row>
    <row r="69" spans="1:57" ht="15.75" customHeight="1">
      <c r="A69" s="20" t="str">
        <f ca="1">IF(CALC2223!AX69&gt;0,INDIRECT(ADDRESS(MATCH(Agenda2526!C70,'CAL1'!A:A,0),2,4,1,"CAL1")),"")</f>
        <v/>
      </c>
      <c r="B69" s="21">
        <f ca="1">IF(CALC2223!AX69&gt;0,INDIRECT(ADDRESS(MATCH(Agenda2526!C70,'CAL1'!A:A,0),3,4,1,"CAL1")),0)</f>
        <v>0</v>
      </c>
      <c r="C69" s="20" t="str">
        <f ca="1">IF(CALC2223!AX69&gt;1,INDIRECT(ADDRESS(MATCH(Agenda2526!C70,'CAL1'!A:A,0)+1,2,4,1,"CAL1")),"")</f>
        <v/>
      </c>
      <c r="D69" s="21">
        <f ca="1">IF(CALC2223!AX69&gt;1,INDIRECT(ADDRESS(MATCH(Agenda2526!C70,'CAL1'!A:A,0)+1,3,4,1,"CAL1")),0)</f>
        <v>0</v>
      </c>
      <c r="E69" s="20" t="str">
        <f ca="1">IF(CALC2223!AX69&gt;2,INDIRECT(ADDRESS(MATCH(Agenda2526!C70,'CAL1'!A:A,0)+2,2,4,1,"CAL1")),"")</f>
        <v/>
      </c>
      <c r="F69" s="21">
        <f ca="1">IF(CALC2223!AX69&gt;2,INDIRECT(ADDRESS(MATCH(Agenda2526!C70,'CAL1'!A:A,0)+2,3,4,1,"CAL1")),0)</f>
        <v>0</v>
      </c>
      <c r="G69" s="20" t="str">
        <f ca="1">IF(CALC2223!AY69&gt;0,INDIRECT(ADDRESS(MATCH(Agenda2526!C70,'CAL2'!A:A,0),2,4,1,"CAL2")),"")</f>
        <v>Rep EN</v>
      </c>
      <c r="H69" s="21">
        <f ca="1">IF(CALC2223!AY69&gt;0,INDIRECT(ADDRESS(MATCH(Agenda2526!C70,'CAL2'!A:A,0),3,4,1,"CAL2")),0)</f>
        <v>45903</v>
      </c>
      <c r="I69" s="20" t="str">
        <f ca="1">IF(CALC2223!AY69&gt;1,INDIRECT(ADDRESS(MATCH(Agenda2526!C70,'CAL2'!A:A,0)+1,2,4,1,"CAL2")),"")</f>
        <v/>
      </c>
      <c r="J69" s="21">
        <f ca="1">IF(CALC2223!AY69&gt;1,INDIRECT(ADDRESS(MATCH(Agenda2526!C70,'CAL2'!A:A,0)+1,3,4,1,"CAL2")),0)</f>
        <v>0</v>
      </c>
      <c r="K69" s="20" t="str">
        <f ca="1">IF(CALC2223!AY69&gt;2,INDIRECT(ADDRESS(MATCH(Agenda2526!C70,'CAL2'!A:A,0)+2,2,4,1,"CAL2")),"")</f>
        <v/>
      </c>
      <c r="L69" s="21">
        <f ca="1">IF(CALC2223!AY69&gt;2,INDIRECT(ADDRESS(MATCH(Agenda2526!C70,'CAL2'!A:A,0)+2,3,4,1,"CAL2")),0)</f>
        <v>0</v>
      </c>
      <c r="M69" s="20" t="str">
        <f ca="1">IF(CALC2223!AZ69&gt;0,INDIRECT(ADDRESS(MATCH(Agenda2526!C70,'CAL3'!A:A,0),2,4,1,"CAL3")),"")</f>
        <v/>
      </c>
      <c r="N69" s="21">
        <f ca="1">IF(CALC2223!AZ69&gt;0,INDIRECT(ADDRESS(MATCH(Agenda2526!C70,'CAL3'!A:A,0),3,4,1,"CAL3")),0)</f>
        <v>0</v>
      </c>
      <c r="O69" s="20" t="str">
        <f ca="1">IF(CALC2223!AZ69&gt;1,INDIRECT(ADDRESS(MATCH(Agenda2526!C70,'CAL3'!A:A,0)+1,2,4,1,"CAL3")),"")</f>
        <v/>
      </c>
      <c r="P69" s="21">
        <f ca="1">IF(CALC2223!AZ69&gt;1,INDIRECT(ADDRESS(MATCH(Agenda2526!C70,'CAL3'!A:A,0)+1,3,4,1,"CAL3")),0)</f>
        <v>0</v>
      </c>
      <c r="Q69" s="20" t="str">
        <f ca="1">IF(CALC2223!AZ69&gt;2,INDIRECT(ADDRESS(MATCH(Agenda2526!C70,'CAL3'!A:A,0)+2,2,4,1,"CAL3")),"")</f>
        <v/>
      </c>
      <c r="R69" s="21">
        <f ca="1">IF(CALC2223!AZ69&gt;2,INDIRECT(ADDRESS(MATCH(Agenda2526!C70,'CAL3'!A:A,0)+2,3,4,1,"CAL3")),0)</f>
        <v>0</v>
      </c>
      <c r="S69" s="20" t="str">
        <f ca="1">IF(CALC2223!BA69&gt;0,INDIRECT(ADDRESS(MATCH(Agenda2526!C70,'CAL4'!A:A,0),2,4,1,"CAL4")),"")</f>
        <v>Rep SK</v>
      </c>
      <c r="T69" s="21">
        <f ca="1">IF(CALC2223!BA69&gt;0,INDIRECT(ADDRESS(MATCH(Agenda2526!C70,'CAL4'!A:A,0),3,4,1,"CAL4")),0)</f>
        <v>45896</v>
      </c>
      <c r="U69" s="20" t="str">
        <f ca="1">IF(CALC2223!BA69&gt;1,INDIRECT(ADDRESS(MATCH(Agenda2526!C70,'CAL4'!A:A,0)+1,2,4,1,"CAL4")),"")</f>
        <v/>
      </c>
      <c r="V69" s="21">
        <f ca="1">IF(CALC2223!BA69&gt;1,INDIRECT(ADDRESS(MATCH(Agenda2526!C70,'CAL4'!A:A,0)+1,3,4,1,"CAL4")),0)</f>
        <v>0</v>
      </c>
      <c r="W69" s="20" t="str">
        <f ca="1">IF(CALC2223!BA69&gt;2,INDIRECT(ADDRESS(MATCH(Agenda2526!C70,'CAL4'!A:A,0)+2,2,4,1,"CAL4")),"")</f>
        <v/>
      </c>
      <c r="X69" s="21">
        <f ca="1">IF(CALC2223!BA69&gt;2,INDIRECT(ADDRESS(MATCH(Agenda2526!C70,'CAL4'!A:A,0)+2,3,4,1,"CAL4")),0)</f>
        <v>0</v>
      </c>
      <c r="Y69" s="20" t="str">
        <f ca="1">IF(CALC2223!BB69&gt;0,INDIRECT(ADDRESS(MATCH(Agenda2526!C70,'CAL5'!A:A,0),2,4,1,"CAL5")),"")</f>
        <v/>
      </c>
      <c r="Z69" s="21">
        <f ca="1">IF(CALC2223!BB69&gt;0,INDIRECT(ADDRESS(MATCH(Agenda2526!C70,'CAL5'!A:A,0),3,4,1,"CAL5")),0)</f>
        <v>0</v>
      </c>
      <c r="AA69" s="20" t="str">
        <f ca="1">IF(CALC2223!BB69&gt;1,INDIRECT(ADDRESS(MATCH(Agenda2526!C70,'CAL5'!A:A,0)+1,2,4,1,"CAL5")),"")</f>
        <v/>
      </c>
      <c r="AB69" s="21">
        <f ca="1">IF(CALC2223!BB69&gt;1,INDIRECT(ADDRESS(MATCH(Agenda2526!C70,'CAL5'!A:A,0)+1,3,4,1,"CAL5")),0)</f>
        <v>0</v>
      </c>
      <c r="AC69" s="20" t="str">
        <f ca="1">IF(CALC2223!BB69&gt;2,INDIRECT(ADDRESS(MATCH(Agenda2526!C70,'CAL5'!A:A,0)+2,2,4,1,"CAL5")),"")</f>
        <v/>
      </c>
      <c r="AD69" s="21">
        <f ca="1">IF(CALC2223!BB69&gt;2,INDIRECT(ADDRESS(MATCH(Agenda2526!C70,'CAL5'!A:A,0)+2,3,4,1,"CAL5")),0)</f>
        <v>0</v>
      </c>
      <c r="AE69" s="20" t="str">
        <f ca="1">IF(CALC2223!BC69&gt;0,INDIRECT(ADDRESS(MATCH(Agenda2526!C70,'CAL6'!A:A,0),2,4,1,"CAL6")),"")</f>
        <v/>
      </c>
      <c r="AF69" s="21">
        <f ca="1">IF(CALC2223!BC69&gt;0,INDIRECT(ADDRESS(MATCH(Agenda2526!C70,'CAL6'!A:A,0),3,4,1,"CAL6")),0)</f>
        <v>0</v>
      </c>
      <c r="AG69" s="20" t="str">
        <f ca="1">IF(CALC2223!BC69&gt;1,INDIRECT(ADDRESS(MATCH(Agenda2526!C70,'CAL6'!A:A,0)+1,2,4,1,"CAL6")),"")</f>
        <v/>
      </c>
      <c r="AH69" s="21">
        <f ca="1">IF(CALC2223!BC69&gt;1,INDIRECT(ADDRESS(MATCH(Agenda2526!C70,'CAL6'!A:A,0)+1,3,4,1,"CAL6")),0)</f>
        <v>0</v>
      </c>
      <c r="AI69" s="20" t="str">
        <f ca="1">IF(CALC2223!BC69&gt;2,INDIRECT(ADDRESS(MATCH(Agenda2526!C70,'CAL6'!A:A,0)+2,2,4,1,"CAL6")),"")</f>
        <v/>
      </c>
      <c r="AJ69" s="21">
        <f ca="1">IF(CALC2223!BC69&gt;2,INDIRECT(ADDRESS(MATCH(Agenda2526!C70,'CAL6'!A:A,0)+2,3,4,1,"CAL6")),0)</f>
        <v>0</v>
      </c>
      <c r="AK69" s="20" t="str">
        <f ca="1">IF(CALC2223!BD69&gt;0,INDIRECT(ADDRESS(MATCH(Agenda2526!C70,'CAL7'!A:A,0),2,4,1,"CAL7")),"")</f>
        <v/>
      </c>
      <c r="AL69" s="21">
        <f ca="1">IF(CALC2223!BD69&gt;0,INDIRECT(ADDRESS(MATCH(Agenda2526!C70,'CAL7'!A:A,0),3,4,1,"CAL7")),0)</f>
        <v>0</v>
      </c>
      <c r="AM69" s="20" t="str">
        <f ca="1">IF(CALC2223!BD69&gt;1,INDIRECT(ADDRESS(MATCH(Agenda2526!C70,'CAL7'!A:A,0)+1,2,4,1,"CAL7")),"")</f>
        <v/>
      </c>
      <c r="AN69" s="21">
        <f ca="1">IF(CALC2223!BD69&gt;1,INDIRECT(ADDRESS(MATCH(Agenda2526!C70,'CAL7'!A:A,0)+1,3,4,1,"CAL7")),0)</f>
        <v>0</v>
      </c>
      <c r="AO69" s="20" t="str">
        <f ca="1">IF(CALC2223!BD69&gt;2,INDIRECT(ADDRESS(MATCH(Agenda2526!C70,'CAL7'!A:A,0)+2,2,4,1,"CAL7")),"")</f>
        <v/>
      </c>
      <c r="AP69" s="21">
        <f ca="1">IF(CALC2223!BD69&gt;2,INDIRECT(ADDRESS(MATCH(Agenda2526!C70,'CAL7'!A:A,0)+2,3,4,1,"CAL7")),0)</f>
        <v>0</v>
      </c>
      <c r="AQ69" s="20" t="str">
        <f ca="1">IF(CALC2223!BE69&gt;0,INDIRECT(ADDRESS(MATCH(Agenda2526!C70,'CAL8'!A:A,0),2,4,1,"CAL8")),"")</f>
        <v/>
      </c>
      <c r="AR69" s="21">
        <f ca="1">IF(CALC2223!BE69&gt;0,INDIRECT(ADDRESS(MATCH(Agenda2526!C70,'CAL8'!A:A,0),3,4,1,"CAL8")),0)</f>
        <v>0</v>
      </c>
      <c r="AS69" s="20" t="str">
        <f ca="1">IF(CALC2223!BE69&gt;1,INDIRECT(ADDRESS(MATCH(Agenda2526!C70,'CAL8'!A:A,0)+1,2,4,1,"CAL8")),"")</f>
        <v/>
      </c>
      <c r="AT69" s="21">
        <f ca="1">IF(CALC2223!BE69&gt;1,INDIRECT(ADDRESS(MATCH(Agenda2526!C70,'CAL8'!A:A,0)+1,3,4,1,"CAL8")),0)</f>
        <v>0</v>
      </c>
      <c r="AU69" s="20" t="str">
        <f ca="1">IF(CALC2223!BE69&gt;2,INDIRECT(ADDRESS(MATCH(Agenda2526!C70,'CAL8'!A:A,0)+2,2,4,1,"CAL8")),"")</f>
        <v/>
      </c>
      <c r="AV69" s="21">
        <f ca="1">IF(CALC2223!BE69&gt;2,INDIRECT(ADDRESS(MATCH(Agenda2526!C70,'CAL8'!A:A,0)+2,3,4,1,"CAL8")),0)</f>
        <v>0</v>
      </c>
      <c r="AW69" s="105"/>
      <c r="AX69" s="20">
        <f>COUNTIF('CAL1'!A:A,Agenda2526!C70)</f>
        <v>0</v>
      </c>
      <c r="AY69" s="20">
        <f>COUNTIF('CAL2'!A:A,Agenda2526!C70)</f>
        <v>1</v>
      </c>
      <c r="AZ69" s="20">
        <f>COUNTIF('CAL3'!A:A,Agenda2526!C70)</f>
        <v>0</v>
      </c>
      <c r="BA69" s="20">
        <f>COUNTIF('CAL4'!A:A,Agenda2526!C70)</f>
        <v>1</v>
      </c>
      <c r="BB69" s="20">
        <f>COUNTIF('CAL5'!A:A,Agenda2526!C70)</f>
        <v>0</v>
      </c>
      <c r="BC69" s="20">
        <f>COUNTIF('CAL6'!A:A,Agenda2526!C70)</f>
        <v>0</v>
      </c>
      <c r="BD69" s="20">
        <f>COUNTIF('CAL7'!A:A,Agenda2526!C70)</f>
        <v>0</v>
      </c>
      <c r="BE69" s="20">
        <f>COUNTIF('CAL8'!A:A,Agenda2526!C70)</f>
        <v>0</v>
      </c>
    </row>
    <row r="70" spans="1:57" ht="15.75" customHeight="1">
      <c r="A70" s="20" t="str">
        <f ca="1">IF(CALC2223!AX70&gt;0,INDIRECT(ADDRESS(MATCH(Agenda2526!C71,'CAL1'!A:A,0),2,4,1,"CAL1")),"")</f>
        <v/>
      </c>
      <c r="B70" s="21">
        <f ca="1">IF(CALC2223!AX70&gt;0,INDIRECT(ADDRESS(MATCH(Agenda2526!C71,'CAL1'!A:A,0),3,4,1,"CAL1")),0)</f>
        <v>0</v>
      </c>
      <c r="C70" s="20" t="str">
        <f ca="1">IF(CALC2223!AX70&gt;1,INDIRECT(ADDRESS(MATCH(Agenda2526!C71,'CAL1'!A:A,0)+1,2,4,1,"CAL1")),"")</f>
        <v/>
      </c>
      <c r="D70" s="21">
        <f ca="1">IF(CALC2223!AX70&gt;1,INDIRECT(ADDRESS(MATCH(Agenda2526!C71,'CAL1'!A:A,0)+1,3,4,1,"CAL1")),0)</f>
        <v>0</v>
      </c>
      <c r="E70" s="20" t="str">
        <f ca="1">IF(CALC2223!AX70&gt;2,INDIRECT(ADDRESS(MATCH(Agenda2526!C71,'CAL1'!A:A,0)+2,2,4,1,"CAL1")),"")</f>
        <v/>
      </c>
      <c r="F70" s="21">
        <f ca="1">IF(CALC2223!AX70&gt;2,INDIRECT(ADDRESS(MATCH(Agenda2526!C71,'CAL1'!A:A,0)+2,3,4,1,"CAL1")),0)</f>
        <v>0</v>
      </c>
      <c r="G70" s="20" t="str">
        <f ca="1">IF(CALC2223!AY70&gt;0,INDIRECT(ADDRESS(MATCH(Agenda2526!C71,'CAL2'!A:A,0),2,4,1,"CAL2")),"")</f>
        <v/>
      </c>
      <c r="H70" s="21">
        <f ca="1">IF(CALC2223!AY70&gt;0,INDIRECT(ADDRESS(MATCH(Agenda2526!C71,'CAL2'!A:A,0),3,4,1,"CAL2")),0)</f>
        <v>0</v>
      </c>
      <c r="I70" s="20" t="str">
        <f ca="1">IF(CALC2223!AY70&gt;1,INDIRECT(ADDRESS(MATCH(Agenda2526!C71,'CAL2'!A:A,0)+1,2,4,1,"CAL2")),"")</f>
        <v/>
      </c>
      <c r="J70" s="21">
        <f ca="1">IF(CALC2223!AY70&gt;1,INDIRECT(ADDRESS(MATCH(Agenda2526!C71,'CAL2'!A:A,0)+1,3,4,1,"CAL2")),0)</f>
        <v>0</v>
      </c>
      <c r="K70" s="20" t="str">
        <f ca="1">IF(CALC2223!AY70&gt;2,INDIRECT(ADDRESS(MATCH(Agenda2526!C71,'CAL2'!A:A,0)+2,2,4,1,"CAL2")),"")</f>
        <v/>
      </c>
      <c r="L70" s="21">
        <f ca="1">IF(CALC2223!AY70&gt;2,INDIRECT(ADDRESS(MATCH(Agenda2526!C71,'CAL2'!A:A,0)+2,3,4,1,"CAL2")),0)</f>
        <v>0</v>
      </c>
      <c r="M70" s="20" t="str">
        <f ca="1">IF(CALC2223!AZ70&gt;0,INDIRECT(ADDRESS(MATCH(Agenda2526!C71,'CAL3'!A:A,0),2,4,1,"CAL3")),"")</f>
        <v/>
      </c>
      <c r="N70" s="21">
        <f ca="1">IF(CALC2223!AZ70&gt;0,INDIRECT(ADDRESS(MATCH(Agenda2526!C71,'CAL3'!A:A,0),3,4,1,"CAL3")),0)</f>
        <v>0</v>
      </c>
      <c r="O70" s="20" t="str">
        <f ca="1">IF(CALC2223!AZ70&gt;1,INDIRECT(ADDRESS(MATCH(Agenda2526!C71,'CAL3'!A:A,0)+1,2,4,1,"CAL3")),"")</f>
        <v/>
      </c>
      <c r="P70" s="21">
        <f ca="1">IF(CALC2223!AZ70&gt;1,INDIRECT(ADDRESS(MATCH(Agenda2526!C71,'CAL3'!A:A,0)+1,3,4,1,"CAL3")),0)</f>
        <v>0</v>
      </c>
      <c r="Q70" s="20" t="str">
        <f ca="1">IF(CALC2223!AZ70&gt;2,INDIRECT(ADDRESS(MATCH(Agenda2526!C71,'CAL3'!A:A,0)+2,2,4,1,"CAL3")),"")</f>
        <v/>
      </c>
      <c r="R70" s="21">
        <f ca="1">IF(CALC2223!AZ70&gt;2,INDIRECT(ADDRESS(MATCH(Agenda2526!C71,'CAL3'!A:A,0)+2,3,4,1,"CAL3")),0)</f>
        <v>0</v>
      </c>
      <c r="S70" s="20" t="str">
        <f ca="1">IF(CALC2223!BA70&gt;0,INDIRECT(ADDRESS(MATCH(Agenda2526!C71,'CAL4'!A:A,0),2,4,1,"CAL4")),"")</f>
        <v/>
      </c>
      <c r="T70" s="21">
        <f ca="1">IF(CALC2223!BA70&gt;0,INDIRECT(ADDRESS(MATCH(Agenda2526!C71,'CAL4'!A:A,0),3,4,1,"CAL4")),0)</f>
        <v>0</v>
      </c>
      <c r="U70" s="20" t="str">
        <f ca="1">IF(CALC2223!BA70&gt;1,INDIRECT(ADDRESS(MATCH(Agenda2526!C71,'CAL4'!A:A,0)+1,2,4,1,"CAL4")),"")</f>
        <v/>
      </c>
      <c r="V70" s="21">
        <f ca="1">IF(CALC2223!BA70&gt;1,INDIRECT(ADDRESS(MATCH(Agenda2526!C71,'CAL4'!A:A,0)+1,3,4,1,"CAL4")),0)</f>
        <v>0</v>
      </c>
      <c r="W70" s="20" t="str">
        <f ca="1">IF(CALC2223!BA70&gt;2,INDIRECT(ADDRESS(MATCH(Agenda2526!C71,'CAL4'!A:A,0)+2,2,4,1,"CAL4")),"")</f>
        <v/>
      </c>
      <c r="X70" s="21">
        <f ca="1">IF(CALC2223!BA70&gt;2,INDIRECT(ADDRESS(MATCH(Agenda2526!C71,'CAL4'!A:A,0)+2,3,4,1,"CAL4")),0)</f>
        <v>0</v>
      </c>
      <c r="Y70" s="20" t="str">
        <f ca="1">IF(CALC2223!BB70&gt;0,INDIRECT(ADDRESS(MATCH(Agenda2526!C71,'CAL5'!A:A,0),2,4,1,"CAL5")),"")</f>
        <v/>
      </c>
      <c r="Z70" s="21">
        <f ca="1">IF(CALC2223!BB70&gt;0,INDIRECT(ADDRESS(MATCH(Agenda2526!C71,'CAL5'!A:A,0),3,4,1,"CAL5")),0)</f>
        <v>0</v>
      </c>
      <c r="AA70" s="20" t="str">
        <f ca="1">IF(CALC2223!BB70&gt;1,INDIRECT(ADDRESS(MATCH(Agenda2526!C71,'CAL5'!A:A,0)+1,2,4,1,"CAL5")),"")</f>
        <v/>
      </c>
      <c r="AB70" s="21">
        <f ca="1">IF(CALC2223!BB70&gt;1,INDIRECT(ADDRESS(MATCH(Agenda2526!C71,'CAL5'!A:A,0)+1,3,4,1,"CAL5")),0)</f>
        <v>0</v>
      </c>
      <c r="AC70" s="20" t="str">
        <f ca="1">IF(CALC2223!BB70&gt;2,INDIRECT(ADDRESS(MATCH(Agenda2526!C71,'CAL5'!A:A,0)+2,2,4,1,"CAL5")),"")</f>
        <v/>
      </c>
      <c r="AD70" s="21">
        <f ca="1">IF(CALC2223!BB70&gt;2,INDIRECT(ADDRESS(MATCH(Agenda2526!C71,'CAL5'!A:A,0)+2,3,4,1,"CAL5")),0)</f>
        <v>0</v>
      </c>
      <c r="AE70" s="20" t="str">
        <f ca="1">IF(CALC2223!BC70&gt;0,INDIRECT(ADDRESS(MATCH(Agenda2526!C71,'CAL6'!A:A,0),2,4,1,"CAL6")),"")</f>
        <v/>
      </c>
      <c r="AF70" s="21">
        <f ca="1">IF(CALC2223!BC70&gt;0,INDIRECT(ADDRESS(MATCH(Agenda2526!C71,'CAL6'!A:A,0),3,4,1,"CAL6")),0)</f>
        <v>0</v>
      </c>
      <c r="AG70" s="20" t="str">
        <f ca="1">IF(CALC2223!BC70&gt;1,INDIRECT(ADDRESS(MATCH(Agenda2526!C71,'CAL6'!A:A,0)+1,2,4,1,"CAL6")),"")</f>
        <v/>
      </c>
      <c r="AH70" s="21">
        <f ca="1">IF(CALC2223!BC70&gt;1,INDIRECT(ADDRESS(MATCH(Agenda2526!C71,'CAL6'!A:A,0)+1,3,4,1,"CAL6")),0)</f>
        <v>0</v>
      </c>
      <c r="AI70" s="20" t="str">
        <f ca="1">IF(CALC2223!BC70&gt;2,INDIRECT(ADDRESS(MATCH(Agenda2526!C71,'CAL6'!A:A,0)+2,2,4,1,"CAL6")),"")</f>
        <v/>
      </c>
      <c r="AJ70" s="21">
        <f ca="1">IF(CALC2223!BC70&gt;2,INDIRECT(ADDRESS(MATCH(Agenda2526!C71,'CAL6'!A:A,0)+2,3,4,1,"CAL6")),0)</f>
        <v>0</v>
      </c>
      <c r="AK70" s="20" t="str">
        <f ca="1">IF(CALC2223!BD70&gt;0,INDIRECT(ADDRESS(MATCH(Agenda2526!C71,'CAL7'!A:A,0),2,4,1,"CAL7")),"")</f>
        <v/>
      </c>
      <c r="AL70" s="21">
        <f ca="1">IF(CALC2223!BD70&gt;0,INDIRECT(ADDRESS(MATCH(Agenda2526!C71,'CAL7'!A:A,0),3,4,1,"CAL7")),0)</f>
        <v>0</v>
      </c>
      <c r="AM70" s="20" t="str">
        <f ca="1">IF(CALC2223!BD70&gt;1,INDIRECT(ADDRESS(MATCH(Agenda2526!C71,'CAL7'!A:A,0)+1,2,4,1,"CAL7")),"")</f>
        <v/>
      </c>
      <c r="AN70" s="21">
        <f ca="1">IF(CALC2223!BD70&gt;1,INDIRECT(ADDRESS(MATCH(Agenda2526!C71,'CAL7'!A:A,0)+1,3,4,1,"CAL7")),0)</f>
        <v>0</v>
      </c>
      <c r="AO70" s="20" t="str">
        <f ca="1">IF(CALC2223!BD70&gt;2,INDIRECT(ADDRESS(MATCH(Agenda2526!C71,'CAL7'!A:A,0)+2,2,4,1,"CAL7")),"")</f>
        <v/>
      </c>
      <c r="AP70" s="21">
        <f ca="1">IF(CALC2223!BD70&gt;2,INDIRECT(ADDRESS(MATCH(Agenda2526!C71,'CAL7'!A:A,0)+2,3,4,1,"CAL7")),0)</f>
        <v>0</v>
      </c>
      <c r="AQ70" s="20" t="str">
        <f ca="1">IF(CALC2223!BE70&gt;0,INDIRECT(ADDRESS(MATCH(Agenda2526!C71,'CAL8'!A:A,0),2,4,1,"CAL8")),"")</f>
        <v/>
      </c>
      <c r="AR70" s="21">
        <f ca="1">IF(CALC2223!BE70&gt;0,INDIRECT(ADDRESS(MATCH(Agenda2526!C71,'CAL8'!A:A,0),3,4,1,"CAL8")),0)</f>
        <v>0</v>
      </c>
      <c r="AS70" s="20" t="str">
        <f ca="1">IF(CALC2223!BE70&gt;1,INDIRECT(ADDRESS(MATCH(Agenda2526!C71,'CAL8'!A:A,0)+1,2,4,1,"CAL8")),"")</f>
        <v/>
      </c>
      <c r="AT70" s="21">
        <f ca="1">IF(CALC2223!BE70&gt;1,INDIRECT(ADDRESS(MATCH(Agenda2526!C71,'CAL8'!A:A,0)+1,3,4,1,"CAL8")),0)</f>
        <v>0</v>
      </c>
      <c r="AU70" s="20" t="str">
        <f ca="1">IF(CALC2223!BE70&gt;2,INDIRECT(ADDRESS(MATCH(Agenda2526!C71,'CAL8'!A:A,0)+2,2,4,1,"CAL8")),"")</f>
        <v/>
      </c>
      <c r="AV70" s="21">
        <f ca="1">IF(CALC2223!BE70&gt;2,INDIRECT(ADDRESS(MATCH(Agenda2526!C71,'CAL8'!A:A,0)+2,3,4,1,"CAL8")),0)</f>
        <v>0</v>
      </c>
      <c r="AW70" s="106"/>
      <c r="AX70" s="20">
        <f>COUNTIF('CAL1'!A:A,Agenda2526!C71)</f>
        <v>0</v>
      </c>
      <c r="AY70" s="20">
        <f>COUNTIF('CAL2'!A:A,Agenda2526!C71)</f>
        <v>0</v>
      </c>
      <c r="AZ70" s="20">
        <f>COUNTIF('CAL3'!A:A,Agenda2526!C71)</f>
        <v>0</v>
      </c>
      <c r="BA70" s="20">
        <f>COUNTIF('CAL4'!A:A,Agenda2526!C71)</f>
        <v>0</v>
      </c>
      <c r="BB70" s="20">
        <f>COUNTIF('CAL5'!A:A,Agenda2526!C71)</f>
        <v>0</v>
      </c>
      <c r="BC70" s="20">
        <f>COUNTIF('CAL6'!A:A,Agenda2526!C71)</f>
        <v>0</v>
      </c>
      <c r="BD70" s="20">
        <f>COUNTIF('CAL7'!A:A,Agenda2526!C71)</f>
        <v>0</v>
      </c>
      <c r="BE70" s="20">
        <f>COUNTIF('CAL8'!A:A,Agenda2526!C71)</f>
        <v>0</v>
      </c>
    </row>
    <row r="71" spans="1:57" ht="15.75" customHeight="1">
      <c r="A71" s="20" t="str">
        <f ca="1">IF(CALC2223!AX71&gt;0,INDIRECT(ADDRESS(MATCH(Agenda2526!C72,'CAL1'!A:A,0),2,4,1,"CAL1")),"")</f>
        <v/>
      </c>
      <c r="B71" s="21">
        <f ca="1">IF(CALC2223!AX71&gt;0,INDIRECT(ADDRESS(MATCH(Agenda2526!C72,'CAL1'!A:A,0),3,4,1,"CAL1")),0)</f>
        <v>0</v>
      </c>
      <c r="C71" s="20" t="str">
        <f ca="1">IF(CALC2223!AX71&gt;1,INDIRECT(ADDRESS(MATCH(Agenda2526!C72,'CAL1'!A:A,0)+1,2,4,1,"CAL1")),"")</f>
        <v/>
      </c>
      <c r="D71" s="21">
        <f ca="1">IF(CALC2223!AX71&gt;1,INDIRECT(ADDRESS(MATCH(Agenda2526!C72,'CAL1'!A:A,0)+1,3,4,1,"CAL1")),0)</f>
        <v>0</v>
      </c>
      <c r="E71" s="20" t="str">
        <f ca="1">IF(CALC2223!AX71&gt;2,INDIRECT(ADDRESS(MATCH(Agenda2526!C72,'CAL1'!A:A,0)+2,2,4,1,"CAL1")),"")</f>
        <v/>
      </c>
      <c r="F71" s="21">
        <f ca="1">IF(CALC2223!AX71&gt;2,INDIRECT(ADDRESS(MATCH(Agenda2526!C72,'CAL1'!A:A,0)+2,3,4,1,"CAL1")),0)</f>
        <v>0</v>
      </c>
      <c r="G71" s="20" t="str">
        <f ca="1">IF(CALC2223!AY71&gt;0,INDIRECT(ADDRESS(MATCH(Agenda2526!C72,'CAL2'!A:A,0),2,4,1,"CAL2")),"")</f>
        <v/>
      </c>
      <c r="H71" s="21">
        <f ca="1">IF(CALC2223!AY71&gt;0,INDIRECT(ADDRESS(MATCH(Agenda2526!C72,'CAL2'!A:A,0),3,4,1,"CAL2")),0)</f>
        <v>0</v>
      </c>
      <c r="I71" s="20" t="str">
        <f ca="1">IF(CALC2223!AY71&gt;1,INDIRECT(ADDRESS(MATCH(Agenda2526!C72,'CAL2'!A:A,0)+1,2,4,1,"CAL2")),"")</f>
        <v/>
      </c>
      <c r="J71" s="21">
        <f ca="1">IF(CALC2223!AY71&gt;1,INDIRECT(ADDRESS(MATCH(Agenda2526!C72,'CAL2'!A:A,0)+1,3,4,1,"CAL2")),0)</f>
        <v>0</v>
      </c>
      <c r="K71" s="20" t="str">
        <f ca="1">IF(CALC2223!AY71&gt;2,INDIRECT(ADDRESS(MATCH(Agenda2526!C72,'CAL2'!A:A,0)+2,2,4,1,"CAL2")),"")</f>
        <v/>
      </c>
      <c r="L71" s="21">
        <f ca="1">IF(CALC2223!AY71&gt;2,INDIRECT(ADDRESS(MATCH(Agenda2526!C72,'CAL2'!A:A,0)+2,3,4,1,"CAL2")),0)</f>
        <v>0</v>
      </c>
      <c r="M71" s="20" t="str">
        <f ca="1">IF(CALC2223!AZ71&gt;0,INDIRECT(ADDRESS(MATCH(Agenda2526!C72,'CAL3'!A:A,0),2,4,1,"CAL3")),"")</f>
        <v/>
      </c>
      <c r="N71" s="21">
        <f ca="1">IF(CALC2223!AZ71&gt;0,INDIRECT(ADDRESS(MATCH(Agenda2526!C72,'CAL3'!A:A,0),3,4,1,"CAL3")),0)</f>
        <v>0</v>
      </c>
      <c r="O71" s="20" t="str">
        <f ca="1">IF(CALC2223!AZ71&gt;1,INDIRECT(ADDRESS(MATCH(Agenda2526!C72,'CAL3'!A:A,0)+1,2,4,1,"CAL3")),"")</f>
        <v/>
      </c>
      <c r="P71" s="21">
        <f ca="1">IF(CALC2223!AZ71&gt;1,INDIRECT(ADDRESS(MATCH(Agenda2526!C72,'CAL3'!A:A,0)+1,3,4,1,"CAL3")),0)</f>
        <v>0</v>
      </c>
      <c r="Q71" s="20" t="str">
        <f ca="1">IF(CALC2223!AZ71&gt;2,INDIRECT(ADDRESS(MATCH(Agenda2526!C72,'CAL3'!A:A,0)+2,2,4,1,"CAL3")),"")</f>
        <v/>
      </c>
      <c r="R71" s="21">
        <f ca="1">IF(CALC2223!AZ71&gt;2,INDIRECT(ADDRESS(MATCH(Agenda2526!C72,'CAL3'!A:A,0)+2,3,4,1,"CAL3")),0)</f>
        <v>0</v>
      </c>
      <c r="S71" s="20" t="str">
        <f ca="1">IF(CALC2223!BA71&gt;0,INDIRECT(ADDRESS(MATCH(Agenda2526!C72,'CAL4'!A:A,0),2,4,1,"CAL4")),"")</f>
        <v/>
      </c>
      <c r="T71" s="21">
        <f ca="1">IF(CALC2223!BA71&gt;0,INDIRECT(ADDRESS(MATCH(Agenda2526!C72,'CAL4'!A:A,0),3,4,1,"CAL4")),0)</f>
        <v>0</v>
      </c>
      <c r="U71" s="20" t="str">
        <f ca="1">IF(CALC2223!BA71&gt;1,INDIRECT(ADDRESS(MATCH(Agenda2526!C72,'CAL4'!A:A,0)+1,2,4,1,"CAL4")),"")</f>
        <v/>
      </c>
      <c r="V71" s="21">
        <f ca="1">IF(CALC2223!BA71&gt;1,INDIRECT(ADDRESS(MATCH(Agenda2526!C72,'CAL4'!A:A,0)+1,3,4,1,"CAL4")),0)</f>
        <v>0</v>
      </c>
      <c r="W71" s="20" t="str">
        <f ca="1">IF(CALC2223!BA71&gt;2,INDIRECT(ADDRESS(MATCH(Agenda2526!C72,'CAL4'!A:A,0)+2,2,4,1,"CAL4")),"")</f>
        <v/>
      </c>
      <c r="X71" s="21">
        <f ca="1">IF(CALC2223!BA71&gt;2,INDIRECT(ADDRESS(MATCH(Agenda2526!C72,'CAL4'!A:A,0)+2,3,4,1,"CAL4")),0)</f>
        <v>0</v>
      </c>
      <c r="Y71" s="20" t="str">
        <f ca="1">IF(CALC2223!BB71&gt;0,INDIRECT(ADDRESS(MATCH(Agenda2526!C72,'CAL5'!A:A,0),2,4,1,"CAL5")),"")</f>
        <v/>
      </c>
      <c r="Z71" s="21">
        <f ca="1">IF(CALC2223!BB71&gt;0,INDIRECT(ADDRESS(MATCH(Agenda2526!C72,'CAL5'!A:A,0),3,4,1,"CAL5")),0)</f>
        <v>0</v>
      </c>
      <c r="AA71" s="20" t="str">
        <f ca="1">IF(CALC2223!BB71&gt;1,INDIRECT(ADDRESS(MATCH(Agenda2526!C72,'CAL5'!A:A,0)+1,2,4,1,"CAL5")),"")</f>
        <v/>
      </c>
      <c r="AB71" s="21">
        <f ca="1">IF(CALC2223!BB71&gt;1,INDIRECT(ADDRESS(MATCH(Agenda2526!C72,'CAL5'!A:A,0)+1,3,4,1,"CAL5")),0)</f>
        <v>0</v>
      </c>
      <c r="AC71" s="20" t="str">
        <f ca="1">IF(CALC2223!BB71&gt;2,INDIRECT(ADDRESS(MATCH(Agenda2526!C72,'CAL5'!A:A,0)+2,2,4,1,"CAL5")),"")</f>
        <v/>
      </c>
      <c r="AD71" s="21">
        <f ca="1">IF(CALC2223!BB71&gt;2,INDIRECT(ADDRESS(MATCH(Agenda2526!C72,'CAL5'!A:A,0)+2,3,4,1,"CAL5")),0)</f>
        <v>0</v>
      </c>
      <c r="AE71" s="20" t="str">
        <f ca="1">IF(CALC2223!BC71&gt;0,INDIRECT(ADDRESS(MATCH(Agenda2526!C72,'CAL6'!A:A,0),2,4,1,"CAL6")),"")</f>
        <v/>
      </c>
      <c r="AF71" s="21">
        <f ca="1">IF(CALC2223!BC71&gt;0,INDIRECT(ADDRESS(MATCH(Agenda2526!C72,'CAL6'!A:A,0),3,4,1,"CAL6")),0)</f>
        <v>0</v>
      </c>
      <c r="AG71" s="20" t="str">
        <f ca="1">IF(CALC2223!BC71&gt;1,INDIRECT(ADDRESS(MATCH(Agenda2526!C72,'CAL6'!A:A,0)+1,2,4,1,"CAL6")),"")</f>
        <v/>
      </c>
      <c r="AH71" s="21">
        <f ca="1">IF(CALC2223!BC71&gt;1,INDIRECT(ADDRESS(MATCH(Agenda2526!C72,'CAL6'!A:A,0)+1,3,4,1,"CAL6")),0)</f>
        <v>0</v>
      </c>
      <c r="AI71" s="20" t="str">
        <f ca="1">IF(CALC2223!BC71&gt;2,INDIRECT(ADDRESS(MATCH(Agenda2526!C72,'CAL6'!A:A,0)+2,2,4,1,"CAL6")),"")</f>
        <v/>
      </c>
      <c r="AJ71" s="21">
        <f ca="1">IF(CALC2223!BC71&gt;2,INDIRECT(ADDRESS(MATCH(Agenda2526!C72,'CAL6'!A:A,0)+2,3,4,1,"CAL6")),0)</f>
        <v>0</v>
      </c>
      <c r="AK71" s="20" t="str">
        <f ca="1">IF(CALC2223!BD71&gt;0,INDIRECT(ADDRESS(MATCH(Agenda2526!C72,'CAL7'!A:A,0),2,4,1,"CAL7")),"")</f>
        <v/>
      </c>
      <c r="AL71" s="21">
        <f ca="1">IF(CALC2223!BD71&gt;0,INDIRECT(ADDRESS(MATCH(Agenda2526!C72,'CAL7'!A:A,0),3,4,1,"CAL7")),0)</f>
        <v>0</v>
      </c>
      <c r="AM71" s="20" t="str">
        <f ca="1">IF(CALC2223!BD71&gt;1,INDIRECT(ADDRESS(MATCH(Agenda2526!C72,'CAL7'!A:A,0)+1,2,4,1,"CAL7")),"")</f>
        <v/>
      </c>
      <c r="AN71" s="21">
        <f ca="1">IF(CALC2223!BD71&gt;1,INDIRECT(ADDRESS(MATCH(Agenda2526!C72,'CAL7'!A:A,0)+1,3,4,1,"CAL7")),0)</f>
        <v>0</v>
      </c>
      <c r="AO71" s="20" t="str">
        <f ca="1">IF(CALC2223!BD71&gt;2,INDIRECT(ADDRESS(MATCH(Agenda2526!C72,'CAL7'!A:A,0)+2,2,4,1,"CAL7")),"")</f>
        <v/>
      </c>
      <c r="AP71" s="21">
        <f ca="1">IF(CALC2223!BD71&gt;2,INDIRECT(ADDRESS(MATCH(Agenda2526!C72,'CAL7'!A:A,0)+2,3,4,1,"CAL7")),0)</f>
        <v>0</v>
      </c>
      <c r="AQ71" s="20" t="str">
        <f ca="1">IF(CALC2223!BE71&gt;0,INDIRECT(ADDRESS(MATCH(Agenda2526!C72,'CAL8'!A:A,0),2,4,1,"CAL8")),"")</f>
        <v/>
      </c>
      <c r="AR71" s="21">
        <f ca="1">IF(CALC2223!BE71&gt;0,INDIRECT(ADDRESS(MATCH(Agenda2526!C72,'CAL8'!A:A,0),3,4,1,"CAL8")),0)</f>
        <v>0</v>
      </c>
      <c r="AS71" s="20" t="str">
        <f ca="1">IF(CALC2223!BE71&gt;1,INDIRECT(ADDRESS(MATCH(Agenda2526!C72,'CAL8'!A:A,0)+1,2,4,1,"CAL8")),"")</f>
        <v/>
      </c>
      <c r="AT71" s="21">
        <f ca="1">IF(CALC2223!BE71&gt;1,INDIRECT(ADDRESS(MATCH(Agenda2526!C72,'CAL8'!A:A,0)+1,3,4,1,"CAL8")),0)</f>
        <v>0</v>
      </c>
      <c r="AU71" s="20" t="str">
        <f ca="1">IF(CALC2223!BE71&gt;2,INDIRECT(ADDRESS(MATCH(Agenda2526!C72,'CAL8'!A:A,0)+2,2,4,1,"CAL8")),"")</f>
        <v/>
      </c>
      <c r="AV71" s="21">
        <f ca="1">IF(CALC2223!BE71&gt;2,INDIRECT(ADDRESS(MATCH(Agenda2526!C72,'CAL8'!A:A,0)+2,3,4,1,"CAL8")),0)</f>
        <v>0</v>
      </c>
      <c r="AW71" s="106"/>
      <c r="AX71" s="20">
        <f>COUNTIF('CAL1'!A:A,Agenda2526!C72)</f>
        <v>0</v>
      </c>
      <c r="AY71" s="20">
        <f>COUNTIF('CAL2'!A:A,Agenda2526!C72)</f>
        <v>0</v>
      </c>
      <c r="AZ71" s="20">
        <f>COUNTIF('CAL3'!A:A,Agenda2526!C72)</f>
        <v>0</v>
      </c>
      <c r="BA71" s="20">
        <f>COUNTIF('CAL4'!A:A,Agenda2526!C72)</f>
        <v>0</v>
      </c>
      <c r="BB71" s="20">
        <f>COUNTIF('CAL5'!A:A,Agenda2526!C72)</f>
        <v>0</v>
      </c>
      <c r="BC71" s="20">
        <f>COUNTIF('CAL6'!A:A,Agenda2526!C72)</f>
        <v>0</v>
      </c>
      <c r="BD71" s="20">
        <f>COUNTIF('CAL7'!A:A,Agenda2526!C72)</f>
        <v>0</v>
      </c>
      <c r="BE71" s="20">
        <f>COUNTIF('CAL8'!A:A,Agenda2526!C72)</f>
        <v>0</v>
      </c>
    </row>
    <row r="72" spans="1:57" ht="15.75" customHeight="1">
      <c r="A72" s="20" t="str">
        <f ca="1">IF(CALC2223!AX72&gt;0,INDIRECT(ADDRESS(MATCH(Agenda2526!C73,'CAL1'!A:A,0),2,4,1,"CAL1")),"")</f>
        <v/>
      </c>
      <c r="B72" s="21">
        <f ca="1">IF(CALC2223!AX72&gt;0,INDIRECT(ADDRESS(MATCH(Agenda2526!C73,'CAL1'!A:A,0),3,4,1,"CAL1")),0)</f>
        <v>0</v>
      </c>
      <c r="C72" s="20" t="str">
        <f ca="1">IF(CALC2223!AX72&gt;1,INDIRECT(ADDRESS(MATCH(Agenda2526!C73,'CAL1'!A:A,0)+1,2,4,1,"CAL1")),"")</f>
        <v/>
      </c>
      <c r="D72" s="21">
        <f ca="1">IF(CALC2223!AX72&gt;1,INDIRECT(ADDRESS(MATCH(Agenda2526!C73,'CAL1'!A:A,0)+1,3,4,1,"CAL1")),0)</f>
        <v>0</v>
      </c>
      <c r="E72" s="20" t="str">
        <f ca="1">IF(CALC2223!AX72&gt;2,INDIRECT(ADDRESS(MATCH(Agenda2526!C73,'CAL1'!A:A,0)+2,2,4,1,"CAL1")),"")</f>
        <v/>
      </c>
      <c r="F72" s="21">
        <f ca="1">IF(CALC2223!AX72&gt;2,INDIRECT(ADDRESS(MATCH(Agenda2526!C73,'CAL1'!A:A,0)+2,3,4,1,"CAL1")),0)</f>
        <v>0</v>
      </c>
      <c r="G72" s="20" t="str">
        <f ca="1">IF(CALC2223!AY72&gt;0,INDIRECT(ADDRESS(MATCH(Agenda2526!C73,'CAL2'!A:A,0),2,4,1,"CAL2")),"")</f>
        <v/>
      </c>
      <c r="H72" s="21">
        <f ca="1">IF(CALC2223!AY72&gt;0,INDIRECT(ADDRESS(MATCH(Agenda2526!C73,'CAL2'!A:A,0),3,4,1,"CAL2")),0)</f>
        <v>0</v>
      </c>
      <c r="I72" s="20" t="str">
        <f ca="1">IF(CALC2223!AY72&gt;1,INDIRECT(ADDRESS(MATCH(Agenda2526!C73,'CAL2'!A:A,0)+1,2,4,1,"CAL2")),"")</f>
        <v/>
      </c>
      <c r="J72" s="21">
        <f ca="1">IF(CALC2223!AY72&gt;1,INDIRECT(ADDRESS(MATCH(Agenda2526!C73,'CAL2'!A:A,0)+1,3,4,1,"CAL2")),0)</f>
        <v>0</v>
      </c>
      <c r="K72" s="20" t="str">
        <f ca="1">IF(CALC2223!AY72&gt;2,INDIRECT(ADDRESS(MATCH(Agenda2526!C73,'CAL2'!A:A,0)+2,2,4,1,"CAL2")),"")</f>
        <v/>
      </c>
      <c r="L72" s="21">
        <f ca="1">IF(CALC2223!AY72&gt;2,INDIRECT(ADDRESS(MATCH(Agenda2526!C73,'CAL2'!A:A,0)+2,3,4,1,"CAL2")),0)</f>
        <v>0</v>
      </c>
      <c r="M72" s="20" t="str">
        <f ca="1">IF(CALC2223!AZ72&gt;0,INDIRECT(ADDRESS(MATCH(Agenda2526!C73,'CAL3'!A:A,0),2,4,1,"CAL3")),"")</f>
        <v/>
      </c>
      <c r="N72" s="21">
        <f ca="1">IF(CALC2223!AZ72&gt;0,INDIRECT(ADDRESS(MATCH(Agenda2526!C73,'CAL3'!A:A,0),3,4,1,"CAL3")),0)</f>
        <v>0</v>
      </c>
      <c r="O72" s="20" t="str">
        <f ca="1">IF(CALC2223!AZ72&gt;1,INDIRECT(ADDRESS(MATCH(Agenda2526!C73,'CAL3'!A:A,0)+1,2,4,1,"CAL3")),"")</f>
        <v/>
      </c>
      <c r="P72" s="21">
        <f ca="1">IF(CALC2223!AZ72&gt;1,INDIRECT(ADDRESS(MATCH(Agenda2526!C73,'CAL3'!A:A,0)+1,3,4,1,"CAL3")),0)</f>
        <v>0</v>
      </c>
      <c r="Q72" s="20" t="str">
        <f ca="1">IF(CALC2223!AZ72&gt;2,INDIRECT(ADDRESS(MATCH(Agenda2526!C73,'CAL3'!A:A,0)+2,2,4,1,"CAL3")),"")</f>
        <v/>
      </c>
      <c r="R72" s="21">
        <f ca="1">IF(CALC2223!AZ72&gt;2,INDIRECT(ADDRESS(MATCH(Agenda2526!C73,'CAL3'!A:A,0)+2,3,4,1,"CAL3")),0)</f>
        <v>0</v>
      </c>
      <c r="S72" s="20" t="str">
        <f ca="1">IF(CALC2223!BA72&gt;0,INDIRECT(ADDRESS(MATCH(Agenda2526!C73,'CAL4'!A:A,0),2,4,1,"CAL4")),"")</f>
        <v>inh rep GS</v>
      </c>
      <c r="T72" s="21">
        <f ca="1">IF(CALC2223!BA72&gt;0,INDIRECT(ADDRESS(MATCH(Agenda2526!C73,'CAL4'!A:A,0),3,4,1,"CAL4")),0)</f>
        <v>45936</v>
      </c>
      <c r="U72" s="20" t="str">
        <f ca="1">IF(CALC2223!BA72&gt;1,INDIRECT(ADDRESS(MATCH(Agenda2526!C73,'CAL4'!A:A,0)+1,2,4,1,"CAL4")),"")</f>
        <v/>
      </c>
      <c r="V72" s="21">
        <f ca="1">IF(CALC2223!BA72&gt;1,INDIRECT(ADDRESS(MATCH(Agenda2526!C73,'CAL4'!A:A,0)+1,3,4,1,"CAL4")),0)</f>
        <v>0</v>
      </c>
      <c r="W72" s="20" t="str">
        <f ca="1">IF(CALC2223!BA72&gt;2,INDIRECT(ADDRESS(MATCH(Agenda2526!C73,'CAL4'!A:A,0)+2,2,4,1,"CAL4")),"")</f>
        <v/>
      </c>
      <c r="X72" s="21">
        <f ca="1">IF(CALC2223!BA72&gt;2,INDIRECT(ADDRESS(MATCH(Agenda2526!C73,'CAL4'!A:A,0)+2,3,4,1,"CAL4")),0)</f>
        <v>0</v>
      </c>
      <c r="Y72" s="20" t="str">
        <f ca="1">IF(CALC2223!BB72&gt;0,INDIRECT(ADDRESS(MATCH(Agenda2526!C73,'CAL5'!A:A,0),2,4,1,"CAL5")),"")</f>
        <v>Rep EN</v>
      </c>
      <c r="Z72" s="21">
        <f ca="1">IF(CALC2223!BB72&gt;0,INDIRECT(ADDRESS(MATCH(Agenda2526!C73,'CAL5'!A:A,0),3,4,1,"CAL5")),0)</f>
        <v>45896</v>
      </c>
      <c r="AA72" s="20" t="str">
        <f ca="1">IF(CALC2223!BB72&gt;1,INDIRECT(ADDRESS(MATCH(Agenda2526!C73,'CAL5'!A:A,0)+1,2,4,1,"CAL5")),"")</f>
        <v>inh rep wiA/SE wiB</v>
      </c>
      <c r="AB72" s="21">
        <f ca="1">IF(CALC2223!BB72&gt;1,INDIRECT(ADDRESS(MATCH(Agenda2526!C73,'CAL5'!A:A,0)+1,3,4,1,"CAL5")),0)</f>
        <v>45936</v>
      </c>
      <c r="AC72" s="20" t="str">
        <f ca="1">IF(CALC2223!BB72&gt;2,INDIRECT(ADDRESS(MATCH(Agenda2526!C73,'CAL5'!A:A,0)+2,2,4,1,"CAL5")),"")</f>
        <v/>
      </c>
      <c r="AD72" s="21">
        <f ca="1">IF(CALC2223!BB72&gt;2,INDIRECT(ADDRESS(MATCH(Agenda2526!C73,'CAL5'!A:A,0)+2,3,4,1,"CAL5")),0)</f>
        <v>0</v>
      </c>
      <c r="AE72" s="20" t="str">
        <f ca="1">IF(CALC2223!BC72&gt;0,INDIRECT(ADDRESS(MATCH(Agenda2526!C73,'CAL6'!A:A,0),2,4,1,"CAL6")),"")</f>
        <v/>
      </c>
      <c r="AF72" s="21">
        <f ca="1">IF(CALC2223!BC72&gt;0,INDIRECT(ADDRESS(MATCH(Agenda2526!C73,'CAL6'!A:A,0),3,4,1,"CAL6")),0)</f>
        <v>0</v>
      </c>
      <c r="AG72" s="20" t="str">
        <f ca="1">IF(CALC2223!BC72&gt;1,INDIRECT(ADDRESS(MATCH(Agenda2526!C73,'CAL6'!A:A,0)+1,2,4,1,"CAL6")),"")</f>
        <v/>
      </c>
      <c r="AH72" s="21">
        <f ca="1">IF(CALC2223!BC72&gt;1,INDIRECT(ADDRESS(MATCH(Agenda2526!C73,'CAL6'!A:A,0)+1,3,4,1,"CAL6")),0)</f>
        <v>0</v>
      </c>
      <c r="AI72" s="20" t="str">
        <f ca="1">IF(CALC2223!BC72&gt;2,INDIRECT(ADDRESS(MATCH(Agenda2526!C73,'CAL6'!A:A,0)+2,2,4,1,"CAL6")),"")</f>
        <v/>
      </c>
      <c r="AJ72" s="21">
        <f ca="1">IF(CALC2223!BC72&gt;2,INDIRECT(ADDRESS(MATCH(Agenda2526!C73,'CAL6'!A:A,0)+2,3,4,1,"CAL6")),0)</f>
        <v>0</v>
      </c>
      <c r="AK72" s="20" t="str">
        <f ca="1">IF(CALC2223!BD72&gt;0,INDIRECT(ADDRESS(MATCH(Agenda2526!C73,'CAL7'!A:A,0),2,4,1,"CAL7")),"")</f>
        <v/>
      </c>
      <c r="AL72" s="21">
        <f ca="1">IF(CALC2223!BD72&gt;0,INDIRECT(ADDRESS(MATCH(Agenda2526!C73,'CAL7'!A:A,0),3,4,1,"CAL7")),0)</f>
        <v>0</v>
      </c>
      <c r="AM72" s="20" t="str">
        <f ca="1">IF(CALC2223!BD72&gt;1,INDIRECT(ADDRESS(MATCH(Agenda2526!C73,'CAL7'!A:A,0)+1,2,4,1,"CAL7")),"")</f>
        <v/>
      </c>
      <c r="AN72" s="21">
        <f ca="1">IF(CALC2223!BD72&gt;1,INDIRECT(ADDRESS(MATCH(Agenda2526!C73,'CAL7'!A:A,0)+1,3,4,1,"CAL7")),0)</f>
        <v>0</v>
      </c>
      <c r="AO72" s="20" t="str">
        <f ca="1">IF(CALC2223!BD72&gt;2,INDIRECT(ADDRESS(MATCH(Agenda2526!C73,'CAL7'!A:A,0)+2,2,4,1,"CAL7")),"")</f>
        <v/>
      </c>
      <c r="AP72" s="21">
        <f ca="1">IF(CALC2223!BD72&gt;2,INDIRECT(ADDRESS(MATCH(Agenda2526!C73,'CAL7'!A:A,0)+2,3,4,1,"CAL7")),0)</f>
        <v>0</v>
      </c>
      <c r="AQ72" s="20" t="str">
        <f ca="1">IF(CALC2223!BE72&gt;0,INDIRECT(ADDRESS(MATCH(Agenda2526!C73,'CAL8'!A:A,0),2,4,1,"CAL8")),"")</f>
        <v>periode 2</v>
      </c>
      <c r="AR72" s="21">
        <f ca="1">IF(CALC2223!BE72&gt;0,INDIRECT(ADDRESS(MATCH(Agenda2526!C73,'CAL8'!A:A,0),3,4,1,"CAL8")),0)</f>
        <v>45896</v>
      </c>
      <c r="AS72" s="20" t="str">
        <f ca="1">IF(CALC2223!BE72&gt;1,INDIRECT(ADDRESS(MATCH(Agenda2526!C73,'CAL8'!A:A,0)+1,2,4,1,"CAL8")),"")</f>
        <v/>
      </c>
      <c r="AT72" s="21">
        <f ca="1">IF(CALC2223!BE72&gt;1,INDIRECT(ADDRESS(MATCH(Agenda2526!C73,'CAL8'!A:A,0)+1,3,4,1,"CAL8")),0)</f>
        <v>0</v>
      </c>
      <c r="AU72" s="20" t="str">
        <f ca="1">IF(CALC2223!BE72&gt;2,INDIRECT(ADDRESS(MATCH(Agenda2526!C73,'CAL8'!A:A,0)+2,2,4,1,"CAL8")),"")</f>
        <v/>
      </c>
      <c r="AV72" s="21">
        <f ca="1">IF(CALC2223!BE72&gt;2,INDIRECT(ADDRESS(MATCH(Agenda2526!C73,'CAL8'!A:A,0)+2,3,4,1,"CAL8")),0)</f>
        <v>0</v>
      </c>
      <c r="AW72" s="105"/>
      <c r="AX72" s="20">
        <f>COUNTIF('CAL1'!A:A,Agenda2526!C73)</f>
        <v>0</v>
      </c>
      <c r="AY72" s="20">
        <f>COUNTIF('CAL2'!A:A,Agenda2526!C73)</f>
        <v>0</v>
      </c>
      <c r="AZ72" s="20">
        <f>COUNTIF('CAL3'!A:A,Agenda2526!C73)</f>
        <v>0</v>
      </c>
      <c r="BA72" s="20">
        <f>COUNTIF('CAL4'!A:A,Agenda2526!C73)</f>
        <v>1</v>
      </c>
      <c r="BB72" s="20">
        <f>COUNTIF('CAL5'!A:A,Agenda2526!C73)</f>
        <v>2</v>
      </c>
      <c r="BC72" s="20">
        <f>COUNTIF('CAL6'!A:A,Agenda2526!C73)</f>
        <v>0</v>
      </c>
      <c r="BD72" s="20">
        <f>COUNTIF('CAL7'!A:A,Agenda2526!C73)</f>
        <v>0</v>
      </c>
      <c r="BE72" s="20">
        <f>COUNTIF('CAL8'!A:A,Agenda2526!C73)</f>
        <v>1</v>
      </c>
    </row>
    <row r="73" spans="1:57" ht="15.75" customHeight="1">
      <c r="A73" s="20" t="str">
        <f ca="1">IF(CALC2223!AX73&gt;0,INDIRECT(ADDRESS(MATCH(Agenda2526!C74,'CAL1'!A:A,0),2,4,1,"CAL1")),"")</f>
        <v/>
      </c>
      <c r="B73" s="21">
        <f ca="1">IF(CALC2223!AX73&gt;0,INDIRECT(ADDRESS(MATCH(Agenda2526!C74,'CAL1'!A:A,0),3,4,1,"CAL1")),0)</f>
        <v>0</v>
      </c>
      <c r="C73" s="20" t="str">
        <f ca="1">IF(CALC2223!AX73&gt;1,INDIRECT(ADDRESS(MATCH(Agenda2526!C74,'CAL1'!A:A,0)+1,2,4,1,"CAL1")),"")</f>
        <v/>
      </c>
      <c r="D73" s="21">
        <f ca="1">IF(CALC2223!AX73&gt;1,INDIRECT(ADDRESS(MATCH(Agenda2526!C74,'CAL1'!A:A,0)+1,3,4,1,"CAL1")),0)</f>
        <v>0</v>
      </c>
      <c r="E73" s="20" t="str">
        <f ca="1">IF(CALC2223!AX73&gt;2,INDIRECT(ADDRESS(MATCH(Agenda2526!C74,'CAL1'!A:A,0)+2,2,4,1,"CAL1")),"")</f>
        <v/>
      </c>
      <c r="F73" s="21">
        <f ca="1">IF(CALC2223!AX73&gt;2,INDIRECT(ADDRESS(MATCH(Agenda2526!C74,'CAL1'!A:A,0)+2,3,4,1,"CAL1")),0)</f>
        <v>0</v>
      </c>
      <c r="G73" s="20" t="str">
        <f ca="1">IF(CALC2223!AY73&gt;0,INDIRECT(ADDRESS(MATCH(Agenda2526!C74,'CAL2'!A:A,0),2,4,1,"CAL2")),"")</f>
        <v/>
      </c>
      <c r="H73" s="21">
        <f ca="1">IF(CALC2223!AY73&gt;0,INDIRECT(ADDRESS(MATCH(Agenda2526!C74,'CAL2'!A:A,0),3,4,1,"CAL2")),0)</f>
        <v>0</v>
      </c>
      <c r="I73" s="20" t="str">
        <f ca="1">IF(CALC2223!AY73&gt;1,INDIRECT(ADDRESS(MATCH(Agenda2526!C74,'CAL2'!A:A,0)+1,2,4,1,"CAL2")),"")</f>
        <v/>
      </c>
      <c r="J73" s="21">
        <f ca="1">IF(CALC2223!AY73&gt;1,INDIRECT(ADDRESS(MATCH(Agenda2526!C74,'CAL2'!A:A,0)+1,3,4,1,"CAL2")),0)</f>
        <v>0</v>
      </c>
      <c r="K73" s="20" t="str">
        <f ca="1">IF(CALC2223!AY73&gt;2,INDIRECT(ADDRESS(MATCH(Agenda2526!C74,'CAL2'!A:A,0)+2,2,4,1,"CAL2")),"")</f>
        <v/>
      </c>
      <c r="L73" s="21">
        <f ca="1">IF(CALC2223!AY73&gt;2,INDIRECT(ADDRESS(MATCH(Agenda2526!C74,'CAL2'!A:A,0)+2,3,4,1,"CAL2")),0)</f>
        <v>0</v>
      </c>
      <c r="M73" s="20" t="str">
        <f ca="1">IF(CALC2223!AZ73&gt;0,INDIRECT(ADDRESS(MATCH(Agenda2526!C74,'CAL3'!A:A,0),2,4,1,"CAL3")),"")</f>
        <v/>
      </c>
      <c r="N73" s="21">
        <f ca="1">IF(CALC2223!AZ73&gt;0,INDIRECT(ADDRESS(MATCH(Agenda2526!C74,'CAL3'!A:A,0),3,4,1,"CAL3")),0)</f>
        <v>0</v>
      </c>
      <c r="O73" s="20" t="str">
        <f ca="1">IF(CALC2223!AZ73&gt;1,INDIRECT(ADDRESS(MATCH(Agenda2526!C74,'CAL3'!A:A,0)+1,2,4,1,"CAL3")),"")</f>
        <v/>
      </c>
      <c r="P73" s="21">
        <f ca="1">IF(CALC2223!AZ73&gt;1,INDIRECT(ADDRESS(MATCH(Agenda2526!C74,'CAL3'!A:A,0)+1,3,4,1,"CAL3")),0)</f>
        <v>0</v>
      </c>
      <c r="Q73" s="20" t="str">
        <f ca="1">IF(CALC2223!AZ73&gt;2,INDIRECT(ADDRESS(MATCH(Agenda2526!C74,'CAL3'!A:A,0)+2,2,4,1,"CAL3")),"")</f>
        <v/>
      </c>
      <c r="R73" s="21">
        <f ca="1">IF(CALC2223!AZ73&gt;2,INDIRECT(ADDRESS(MATCH(Agenda2526!C74,'CAL3'!A:A,0)+2,3,4,1,"CAL3")),0)</f>
        <v>0</v>
      </c>
      <c r="S73" s="20" t="str">
        <f ca="1">IF(CALC2223!BA73&gt;0,INDIRECT(ADDRESS(MATCH(Agenda2526!C74,'CAL4'!A:A,0),2,4,1,"CAL4")),"")</f>
        <v>Rep LA</v>
      </c>
      <c r="T73" s="21">
        <f ca="1">IF(CALC2223!BA73&gt;0,INDIRECT(ADDRESS(MATCH(Agenda2526!C74,'CAL4'!A:A,0),3,4,1,"CAL4")),0)</f>
        <v>45896</v>
      </c>
      <c r="U73" s="20" t="str">
        <f ca="1">IF(CALC2223!BA73&gt;1,INDIRECT(ADDRESS(MATCH(Agenda2526!C74,'CAL4'!A:A,0)+1,2,4,1,"CAL4")),"")</f>
        <v/>
      </c>
      <c r="V73" s="21">
        <f ca="1">IF(CALC2223!BA73&gt;1,INDIRECT(ADDRESS(MATCH(Agenda2526!C74,'CAL4'!A:A,0)+1,3,4,1,"CAL4")),0)</f>
        <v>0</v>
      </c>
      <c r="W73" s="20" t="str">
        <f ca="1">IF(CALC2223!BA73&gt;2,INDIRECT(ADDRESS(MATCH(Agenda2526!C74,'CAL4'!A:A,0)+2,2,4,1,"CAL4")),"")</f>
        <v/>
      </c>
      <c r="X73" s="21">
        <f ca="1">IF(CALC2223!BA73&gt;2,INDIRECT(ADDRESS(MATCH(Agenda2526!C74,'CAL4'!A:A,0)+2,3,4,1,"CAL4")),0)</f>
        <v>0</v>
      </c>
      <c r="Y73" s="20" t="str">
        <f ca="1">IF(CALC2223!BB73&gt;0,INDIRECT(ADDRESS(MATCH(Agenda2526!C74,'CAL5'!A:A,0),2,4,1,"CAL5")),"")</f>
        <v/>
      </c>
      <c r="Z73" s="21">
        <f ca="1">IF(CALC2223!BB73&gt;0,INDIRECT(ADDRESS(MATCH(Agenda2526!C74,'CAL5'!A:A,0),3,4,1,"CAL5")),0)</f>
        <v>0</v>
      </c>
      <c r="AA73" s="20" t="str">
        <f ca="1">IF(CALC2223!BB73&gt;1,INDIRECT(ADDRESS(MATCH(Agenda2526!C74,'CAL5'!A:A,0)+1,2,4,1,"CAL5")),"")</f>
        <v/>
      </c>
      <c r="AB73" s="21">
        <f ca="1">IF(CALC2223!BB73&gt;1,INDIRECT(ADDRESS(MATCH(Agenda2526!C74,'CAL5'!A:A,0)+1,3,4,1,"CAL5")),0)</f>
        <v>0</v>
      </c>
      <c r="AC73" s="20" t="str">
        <f ca="1">IF(CALC2223!BB73&gt;2,INDIRECT(ADDRESS(MATCH(Agenda2526!C74,'CAL5'!A:A,0)+2,2,4,1,"CAL5")),"")</f>
        <v/>
      </c>
      <c r="AD73" s="21">
        <f ca="1">IF(CALC2223!BB73&gt;2,INDIRECT(ADDRESS(MATCH(Agenda2526!C74,'CAL5'!A:A,0)+2,3,4,1,"CAL5")),0)</f>
        <v>0</v>
      </c>
      <c r="AE73" s="20" t="str">
        <f ca="1">IF(CALC2223!BC73&gt;0,INDIRECT(ADDRESS(MATCH(Agenda2526!C74,'CAL6'!A:A,0),2,4,1,"CAL6")),"")</f>
        <v/>
      </c>
      <c r="AF73" s="21">
        <f ca="1">IF(CALC2223!BC73&gt;0,INDIRECT(ADDRESS(MATCH(Agenda2526!C74,'CAL6'!A:A,0),3,4,1,"CAL6")),0)</f>
        <v>0</v>
      </c>
      <c r="AG73" s="20" t="str">
        <f ca="1">IF(CALC2223!BC73&gt;1,INDIRECT(ADDRESS(MATCH(Agenda2526!C74,'CAL6'!A:A,0)+1,2,4,1,"CAL6")),"")</f>
        <v/>
      </c>
      <c r="AH73" s="21">
        <f ca="1">IF(CALC2223!BC73&gt;1,INDIRECT(ADDRESS(MATCH(Agenda2526!C74,'CAL6'!A:A,0)+1,3,4,1,"CAL6")),0)</f>
        <v>0</v>
      </c>
      <c r="AI73" s="20" t="str">
        <f ca="1">IF(CALC2223!BC73&gt;2,INDIRECT(ADDRESS(MATCH(Agenda2526!C74,'CAL6'!A:A,0)+2,2,4,1,"CAL6")),"")</f>
        <v/>
      </c>
      <c r="AJ73" s="21">
        <f ca="1">IF(CALC2223!BC73&gt;2,INDIRECT(ADDRESS(MATCH(Agenda2526!C74,'CAL6'!A:A,0)+2,3,4,1,"CAL6")),0)</f>
        <v>0</v>
      </c>
      <c r="AK73" s="20" t="str">
        <f ca="1">IF(CALC2223!BD73&gt;0,INDIRECT(ADDRESS(MATCH(Agenda2526!C74,'CAL7'!A:A,0),2,4,1,"CAL7")),"")</f>
        <v/>
      </c>
      <c r="AL73" s="21">
        <f ca="1">IF(CALC2223!BD73&gt;0,INDIRECT(ADDRESS(MATCH(Agenda2526!C74,'CAL7'!A:A,0),3,4,1,"CAL7")),0)</f>
        <v>0</v>
      </c>
      <c r="AM73" s="20" t="str">
        <f ca="1">IF(CALC2223!BD73&gt;1,INDIRECT(ADDRESS(MATCH(Agenda2526!C74,'CAL7'!A:A,0)+1,2,4,1,"CAL7")),"")</f>
        <v/>
      </c>
      <c r="AN73" s="21">
        <f ca="1">IF(CALC2223!BD73&gt;1,INDIRECT(ADDRESS(MATCH(Agenda2526!C74,'CAL7'!A:A,0)+1,3,4,1,"CAL7")),0)</f>
        <v>0</v>
      </c>
      <c r="AO73" s="20" t="str">
        <f ca="1">IF(CALC2223!BD73&gt;2,INDIRECT(ADDRESS(MATCH(Agenda2526!C74,'CAL7'!A:A,0)+2,2,4,1,"CAL7")),"")</f>
        <v/>
      </c>
      <c r="AP73" s="21">
        <f ca="1">IF(CALC2223!BD73&gt;2,INDIRECT(ADDRESS(MATCH(Agenda2526!C74,'CAL7'!A:A,0)+2,3,4,1,"CAL7")),0)</f>
        <v>0</v>
      </c>
      <c r="AQ73" s="20" t="str">
        <f ca="1">IF(CALC2223!BE73&gt;0,INDIRECT(ADDRESS(MATCH(Agenda2526!C74,'CAL8'!A:A,0),2,4,1,"CAL8")),"")</f>
        <v/>
      </c>
      <c r="AR73" s="21">
        <f ca="1">IF(CALC2223!BE73&gt;0,INDIRECT(ADDRESS(MATCH(Agenda2526!C74,'CAL8'!A:A,0),3,4,1,"CAL8")),0)</f>
        <v>0</v>
      </c>
      <c r="AS73" s="20" t="str">
        <f ca="1">IF(CALC2223!BE73&gt;1,INDIRECT(ADDRESS(MATCH(Agenda2526!C74,'CAL8'!A:A,0)+1,2,4,1,"CAL8")),"")</f>
        <v/>
      </c>
      <c r="AT73" s="21">
        <f ca="1">IF(CALC2223!BE73&gt;1,INDIRECT(ADDRESS(MATCH(Agenda2526!C74,'CAL8'!A:A,0)+1,3,4,1,"CAL8")),0)</f>
        <v>0</v>
      </c>
      <c r="AU73" s="20" t="str">
        <f ca="1">IF(CALC2223!BE73&gt;2,INDIRECT(ADDRESS(MATCH(Agenda2526!C74,'CAL8'!A:A,0)+2,2,4,1,"CAL8")),"")</f>
        <v/>
      </c>
      <c r="AV73" s="21">
        <f ca="1">IF(CALC2223!BE73&gt;2,INDIRECT(ADDRESS(MATCH(Agenda2526!C74,'CAL8'!A:A,0)+2,3,4,1,"CAL8")),0)</f>
        <v>0</v>
      </c>
      <c r="AW73" s="105"/>
      <c r="AX73" s="20">
        <f>COUNTIF('CAL1'!A:A,Agenda2526!C74)</f>
        <v>0</v>
      </c>
      <c r="AY73" s="20">
        <f>COUNTIF('CAL2'!A:A,Agenda2526!C74)</f>
        <v>0</v>
      </c>
      <c r="AZ73" s="20">
        <f>COUNTIF('CAL3'!A:A,Agenda2526!C74)</f>
        <v>0</v>
      </c>
      <c r="BA73" s="20">
        <f>COUNTIF('CAL4'!A:A,Agenda2526!C74)</f>
        <v>1</v>
      </c>
      <c r="BB73" s="20">
        <f>COUNTIF('CAL5'!A:A,Agenda2526!C74)</f>
        <v>0</v>
      </c>
      <c r="BC73" s="20">
        <f>COUNTIF('CAL6'!A:A,Agenda2526!C74)</f>
        <v>0</v>
      </c>
      <c r="BD73" s="20">
        <f>COUNTIF('CAL7'!A:A,Agenda2526!C74)</f>
        <v>0</v>
      </c>
      <c r="BE73" s="20">
        <f>COUNTIF('CAL8'!A:A,Agenda2526!C74)</f>
        <v>0</v>
      </c>
    </row>
    <row r="74" spans="1:57" ht="15.75" customHeight="1">
      <c r="A74" s="20" t="str">
        <f ca="1">IF(CALC2223!AX74&gt;0,INDIRECT(ADDRESS(MATCH(Agenda2526!C75,'CAL1'!A:A,0),2,4,1,"CAL1")),"")</f>
        <v>Rep FA</v>
      </c>
      <c r="B74" s="21">
        <f ca="1">IF(CALC2223!AX74&gt;0,INDIRECT(ADDRESS(MATCH(Agenda2526!C75,'CAL1'!A:A,0),3,4,1,"CAL1")),0)</f>
        <v>45901</v>
      </c>
      <c r="C74" s="20" t="str">
        <f ca="1">IF(CALC2223!AX74&gt;1,INDIRECT(ADDRESS(MATCH(Agenda2526!C75,'CAL1'!A:A,0)+1,2,4,1,"CAL1")),"")</f>
        <v/>
      </c>
      <c r="D74" s="21">
        <f ca="1">IF(CALC2223!AX74&gt;1,INDIRECT(ADDRESS(MATCH(Agenda2526!C75,'CAL1'!A:A,0)+1,3,4,1,"CAL1")),0)</f>
        <v>0</v>
      </c>
      <c r="E74" s="20" t="str">
        <f ca="1">IF(CALC2223!AX74&gt;2,INDIRECT(ADDRESS(MATCH(Agenda2526!C75,'CAL1'!A:A,0)+2,2,4,1,"CAL1")),"")</f>
        <v/>
      </c>
      <c r="F74" s="21">
        <f ca="1">IF(CALC2223!AX74&gt;2,INDIRECT(ADDRESS(MATCH(Agenda2526!C75,'CAL1'!A:A,0)+2,3,4,1,"CAL1")),0)</f>
        <v>0</v>
      </c>
      <c r="G74" s="20" t="str">
        <f ca="1">IF(CALC2223!AY74&gt;0,INDIRECT(ADDRESS(MATCH(Agenda2526!C75,'CAL2'!A:A,0),2,4,1,"CAL2")),"")</f>
        <v/>
      </c>
      <c r="H74" s="21">
        <f ca="1">IF(CALC2223!AY74&gt;0,INDIRECT(ADDRESS(MATCH(Agenda2526!C75,'CAL2'!A:A,0),3,4,1,"CAL2")),0)</f>
        <v>0</v>
      </c>
      <c r="I74" s="20" t="str">
        <f ca="1">IF(CALC2223!AY74&gt;1,INDIRECT(ADDRESS(MATCH(Agenda2526!C75,'CAL2'!A:A,0)+1,2,4,1,"CAL2")),"")</f>
        <v/>
      </c>
      <c r="J74" s="21">
        <f ca="1">IF(CALC2223!AY74&gt;1,INDIRECT(ADDRESS(MATCH(Agenda2526!C75,'CAL2'!A:A,0)+1,3,4,1,"CAL2")),0)</f>
        <v>0</v>
      </c>
      <c r="K74" s="20" t="str">
        <f ca="1">IF(CALC2223!AY74&gt;2,INDIRECT(ADDRESS(MATCH(Agenda2526!C75,'CAL2'!A:A,0)+2,2,4,1,"CAL2")),"")</f>
        <v/>
      </c>
      <c r="L74" s="21">
        <f ca="1">IF(CALC2223!AY74&gt;2,INDIRECT(ADDRESS(MATCH(Agenda2526!C75,'CAL2'!A:A,0)+2,3,4,1,"CAL2")),0)</f>
        <v>0</v>
      </c>
      <c r="M74" s="20" t="str">
        <f ca="1">IF(CALC2223!AZ74&gt;0,INDIRECT(ADDRESS(MATCH(Agenda2526!C75,'CAL3'!A:A,0),2,4,1,"CAL3")),"")</f>
        <v/>
      </c>
      <c r="N74" s="21">
        <f ca="1">IF(CALC2223!AZ74&gt;0,INDIRECT(ADDRESS(MATCH(Agenda2526!C75,'CAL3'!A:A,0),3,4,1,"CAL3")),0)</f>
        <v>0</v>
      </c>
      <c r="O74" s="20" t="str">
        <f ca="1">IF(CALC2223!AZ74&gt;1,INDIRECT(ADDRESS(MATCH(Agenda2526!C75,'CAL3'!A:A,0)+1,2,4,1,"CAL3")),"")</f>
        <v/>
      </c>
      <c r="P74" s="21">
        <f ca="1">IF(CALC2223!AZ74&gt;1,INDIRECT(ADDRESS(MATCH(Agenda2526!C75,'CAL3'!A:A,0)+1,3,4,1,"CAL3")),0)</f>
        <v>0</v>
      </c>
      <c r="Q74" s="20" t="str">
        <f ca="1">IF(CALC2223!AZ74&gt;2,INDIRECT(ADDRESS(MATCH(Agenda2526!C75,'CAL3'!A:A,0)+2,2,4,1,"CAL3")),"")</f>
        <v/>
      </c>
      <c r="R74" s="21">
        <f ca="1">IF(CALC2223!AZ74&gt;2,INDIRECT(ADDRESS(MATCH(Agenda2526!C75,'CAL3'!A:A,0)+2,3,4,1,"CAL3")),0)</f>
        <v>0</v>
      </c>
      <c r="S74" s="20" t="str">
        <f ca="1">IF(CALC2223!BA74&gt;0,INDIRECT(ADDRESS(MATCH(Agenda2526!C75,'CAL4'!A:A,0),2,4,1,"CAL4")),"")</f>
        <v>naar Rennes uitwisseling Fa</v>
      </c>
      <c r="T74" s="21">
        <f ca="1">IF(CALC2223!BA74&gt;0,INDIRECT(ADDRESS(MATCH(Agenda2526!C75,'CAL4'!A:A,0),3,4,1,"CAL4")),0)</f>
        <v>45896</v>
      </c>
      <c r="U74" s="20" t="str">
        <f ca="1">IF(CALC2223!BA74&gt;1,INDIRECT(ADDRESS(MATCH(Agenda2526!C75,'CAL4'!A:A,0)+1,2,4,1,"CAL4")),"")</f>
        <v/>
      </c>
      <c r="V74" s="21">
        <f ca="1">IF(CALC2223!BA74&gt;1,INDIRECT(ADDRESS(MATCH(Agenda2526!C75,'CAL4'!A:A,0)+1,3,4,1,"CAL4")),0)</f>
        <v>0</v>
      </c>
      <c r="W74" s="20" t="str">
        <f ca="1">IF(CALC2223!BA74&gt;2,INDIRECT(ADDRESS(MATCH(Agenda2526!C75,'CAL4'!A:A,0)+2,2,4,1,"CAL4")),"")</f>
        <v/>
      </c>
      <c r="X74" s="21">
        <f ca="1">IF(CALC2223!BA74&gt;2,INDIRECT(ADDRESS(MATCH(Agenda2526!C75,'CAL4'!A:A,0)+2,3,4,1,"CAL4")),0)</f>
        <v>0</v>
      </c>
      <c r="Y74" s="20" t="str">
        <f ca="1">IF(CALC2223!BB74&gt;0,INDIRECT(ADDRESS(MATCH(Agenda2526!C75,'CAL5'!A:A,0),2,4,1,"CAL5")),"")</f>
        <v>Rep EC</v>
      </c>
      <c r="Z74" s="21">
        <f ca="1">IF(CALC2223!BB74&gt;0,INDIRECT(ADDRESS(MATCH(Agenda2526!C75,'CAL5'!A:A,0),3,4,1,"CAL5")),0)</f>
        <v>45896</v>
      </c>
      <c r="AA74" s="20" t="str">
        <f ca="1">IF(CALC2223!BB74&gt;1,INDIRECT(ADDRESS(MATCH(Agenda2526!C75,'CAL5'!A:A,0)+1,2,4,1,"CAL5")),"")</f>
        <v/>
      </c>
      <c r="AB74" s="21">
        <f ca="1">IF(CALC2223!BB74&gt;1,INDIRECT(ADDRESS(MATCH(Agenda2526!C75,'CAL5'!A:A,0)+1,3,4,1,"CAL5")),0)</f>
        <v>0</v>
      </c>
      <c r="AC74" s="20" t="str">
        <f ca="1">IF(CALC2223!BB74&gt;2,INDIRECT(ADDRESS(MATCH(Agenda2526!C75,'CAL5'!A:A,0)+2,2,4,1,"CAL5")),"")</f>
        <v/>
      </c>
      <c r="AD74" s="21">
        <f ca="1">IF(CALC2223!BB74&gt;2,INDIRECT(ADDRESS(MATCH(Agenda2526!C75,'CAL5'!A:A,0)+2,3,4,1,"CAL5")),0)</f>
        <v>0</v>
      </c>
      <c r="AE74" s="20" t="str">
        <f ca="1">IF(CALC2223!BC74&gt;0,INDIRECT(ADDRESS(MATCH(Agenda2526!C75,'CAL6'!A:A,0),2,4,1,"CAL6")),"")</f>
        <v/>
      </c>
      <c r="AF74" s="21">
        <f ca="1">IF(CALC2223!BC74&gt;0,INDIRECT(ADDRESS(MATCH(Agenda2526!C75,'CAL6'!A:A,0),3,4,1,"CAL6")),0)</f>
        <v>0</v>
      </c>
      <c r="AG74" s="20" t="str">
        <f ca="1">IF(CALC2223!BC74&gt;1,INDIRECT(ADDRESS(MATCH(Agenda2526!C75,'CAL6'!A:A,0)+1,2,4,1,"CAL6")),"")</f>
        <v/>
      </c>
      <c r="AH74" s="21">
        <f ca="1">IF(CALC2223!BC74&gt;1,INDIRECT(ADDRESS(MATCH(Agenda2526!C75,'CAL6'!A:A,0)+1,3,4,1,"CAL6")),0)</f>
        <v>0</v>
      </c>
      <c r="AI74" s="20" t="str">
        <f ca="1">IF(CALC2223!BC74&gt;2,INDIRECT(ADDRESS(MATCH(Agenda2526!C75,'CAL6'!A:A,0)+2,2,4,1,"CAL6")),"")</f>
        <v/>
      </c>
      <c r="AJ74" s="21">
        <f ca="1">IF(CALC2223!BC74&gt;2,INDIRECT(ADDRESS(MATCH(Agenda2526!C75,'CAL6'!A:A,0)+2,3,4,1,"CAL6")),0)</f>
        <v>0</v>
      </c>
      <c r="AK74" s="20" t="str">
        <f ca="1">IF(CALC2223!BD74&gt;0,INDIRECT(ADDRESS(MATCH(Agenda2526!C75,'CAL7'!A:A,0),2,4,1,"CAL7")),"")</f>
        <v/>
      </c>
      <c r="AL74" s="21">
        <f ca="1">IF(CALC2223!BD74&gt;0,INDIRECT(ADDRESS(MATCH(Agenda2526!C75,'CAL7'!A:A,0),3,4,1,"CAL7")),0)</f>
        <v>0</v>
      </c>
      <c r="AM74" s="20" t="str">
        <f ca="1">IF(CALC2223!BD74&gt;1,INDIRECT(ADDRESS(MATCH(Agenda2526!C75,'CAL7'!A:A,0)+1,2,4,1,"CAL7")),"")</f>
        <v/>
      </c>
      <c r="AN74" s="21">
        <f ca="1">IF(CALC2223!BD74&gt;1,INDIRECT(ADDRESS(MATCH(Agenda2526!C75,'CAL7'!A:A,0)+1,3,4,1,"CAL7")),0)</f>
        <v>0</v>
      </c>
      <c r="AO74" s="20" t="str">
        <f ca="1">IF(CALC2223!BD74&gt;2,INDIRECT(ADDRESS(MATCH(Agenda2526!C75,'CAL7'!A:A,0)+2,2,4,1,"CAL7")),"")</f>
        <v/>
      </c>
      <c r="AP74" s="21">
        <f ca="1">IF(CALC2223!BD74&gt;2,INDIRECT(ADDRESS(MATCH(Agenda2526!C75,'CAL7'!A:A,0)+2,3,4,1,"CAL7")),0)</f>
        <v>0</v>
      </c>
      <c r="AQ74" s="20" t="str">
        <f ca="1">IF(CALC2223!BE74&gt;0,INDIRECT(ADDRESS(MATCH(Agenda2526!C75,'CAL8'!A:A,0),2,4,1,"CAL8")),"")</f>
        <v/>
      </c>
      <c r="AR74" s="21">
        <f ca="1">IF(CALC2223!BE74&gt;0,INDIRECT(ADDRESS(MATCH(Agenda2526!C75,'CAL8'!A:A,0),3,4,1,"CAL8")),0)</f>
        <v>0</v>
      </c>
      <c r="AS74" s="20" t="str">
        <f ca="1">IF(CALC2223!BE74&gt;1,INDIRECT(ADDRESS(MATCH(Agenda2526!C75,'CAL8'!A:A,0)+1,2,4,1,"CAL8")),"")</f>
        <v/>
      </c>
      <c r="AT74" s="21">
        <f ca="1">IF(CALC2223!BE74&gt;1,INDIRECT(ADDRESS(MATCH(Agenda2526!C75,'CAL8'!A:A,0)+1,3,4,1,"CAL8")),0)</f>
        <v>0</v>
      </c>
      <c r="AU74" s="20" t="str">
        <f ca="1">IF(CALC2223!BE74&gt;2,INDIRECT(ADDRESS(MATCH(Agenda2526!C75,'CAL8'!A:A,0)+2,2,4,1,"CAL8")),"")</f>
        <v/>
      </c>
      <c r="AV74" s="21">
        <f ca="1">IF(CALC2223!BE74&gt;2,INDIRECT(ADDRESS(MATCH(Agenda2526!C75,'CAL8'!A:A,0)+2,3,4,1,"CAL8")),0)</f>
        <v>0</v>
      </c>
      <c r="AW74" s="105"/>
      <c r="AX74" s="20">
        <f>COUNTIF('CAL1'!A:A,Agenda2526!C75)</f>
        <v>1</v>
      </c>
      <c r="AY74" s="20">
        <f>COUNTIF('CAL2'!A:A,Agenda2526!C75)</f>
        <v>0</v>
      </c>
      <c r="AZ74" s="20">
        <f>COUNTIF('CAL3'!A:A,Agenda2526!C75)</f>
        <v>0</v>
      </c>
      <c r="BA74" s="20">
        <f>COUNTIF('CAL4'!A:A,Agenda2526!C75)</f>
        <v>1</v>
      </c>
      <c r="BB74" s="20">
        <f>COUNTIF('CAL5'!A:A,Agenda2526!C75)</f>
        <v>1</v>
      </c>
      <c r="BC74" s="20">
        <f>COUNTIF('CAL6'!A:A,Agenda2526!C75)</f>
        <v>0</v>
      </c>
      <c r="BD74" s="20">
        <f>COUNTIF('CAL7'!A:A,Agenda2526!C75)</f>
        <v>0</v>
      </c>
      <c r="BE74" s="20">
        <f>COUNTIF('CAL8'!A:A,Agenda2526!C75)</f>
        <v>0</v>
      </c>
    </row>
    <row r="75" spans="1:57" ht="15.75" customHeight="1">
      <c r="A75" s="20" t="str">
        <f ca="1">IF(CALC2223!AX75&gt;0,INDIRECT(ADDRESS(MATCH(Agenda2526!C76,'CAL1'!A:A,0),2,4,1,"CAL1")),"")</f>
        <v/>
      </c>
      <c r="B75" s="21">
        <f ca="1">IF(CALC2223!AX75&gt;0,INDIRECT(ADDRESS(MATCH(Agenda2526!C76,'CAL1'!A:A,0),3,4,1,"CAL1")),0)</f>
        <v>0</v>
      </c>
      <c r="C75" s="20" t="str">
        <f ca="1">IF(CALC2223!AX75&gt;1,INDIRECT(ADDRESS(MATCH(Agenda2526!C76,'CAL1'!A:A,0)+1,2,4,1,"CAL1")),"")</f>
        <v/>
      </c>
      <c r="D75" s="21">
        <f ca="1">IF(CALC2223!AX75&gt;1,INDIRECT(ADDRESS(MATCH(Agenda2526!C76,'CAL1'!A:A,0)+1,3,4,1,"CAL1")),0)</f>
        <v>0</v>
      </c>
      <c r="E75" s="20" t="str">
        <f ca="1">IF(CALC2223!AX75&gt;2,INDIRECT(ADDRESS(MATCH(Agenda2526!C76,'CAL1'!A:A,0)+2,2,4,1,"CAL1")),"")</f>
        <v/>
      </c>
      <c r="F75" s="21">
        <f ca="1">IF(CALC2223!AX75&gt;2,INDIRECT(ADDRESS(MATCH(Agenda2526!C76,'CAL1'!A:A,0)+2,3,4,1,"CAL1")),0)</f>
        <v>0</v>
      </c>
      <c r="G75" s="20" t="str">
        <f ca="1">IF(CALC2223!AY75&gt;0,INDIRECT(ADDRESS(MATCH(Agenda2526!C76,'CAL2'!A:A,0),2,4,1,"CAL2")),"")</f>
        <v/>
      </c>
      <c r="H75" s="21">
        <f ca="1">IF(CALC2223!AY75&gt;0,INDIRECT(ADDRESS(MATCH(Agenda2526!C76,'CAL2'!A:A,0),3,4,1,"CAL2")),0)</f>
        <v>0</v>
      </c>
      <c r="I75" s="20" t="str">
        <f ca="1">IF(CALC2223!AY75&gt;1,INDIRECT(ADDRESS(MATCH(Agenda2526!C76,'CAL2'!A:A,0)+1,2,4,1,"CAL2")),"")</f>
        <v/>
      </c>
      <c r="J75" s="21">
        <f ca="1">IF(CALC2223!AY75&gt;1,INDIRECT(ADDRESS(MATCH(Agenda2526!C76,'CAL2'!A:A,0)+1,3,4,1,"CAL2")),0)</f>
        <v>0</v>
      </c>
      <c r="K75" s="20" t="str">
        <f ca="1">IF(CALC2223!AY75&gt;2,INDIRECT(ADDRESS(MATCH(Agenda2526!C76,'CAL2'!A:A,0)+2,2,4,1,"CAL2")),"")</f>
        <v/>
      </c>
      <c r="L75" s="21">
        <f ca="1">IF(CALC2223!AY75&gt;2,INDIRECT(ADDRESS(MATCH(Agenda2526!C76,'CAL2'!A:A,0)+2,3,4,1,"CAL2")),0)</f>
        <v>0</v>
      </c>
      <c r="M75" s="20" t="str">
        <f ca="1">IF(CALC2223!AZ75&gt;0,INDIRECT(ADDRESS(MATCH(Agenda2526!C76,'CAL3'!A:A,0),2,4,1,"CAL3")),"")</f>
        <v>Rep AK</v>
      </c>
      <c r="N75" s="21">
        <f ca="1">IF(CALC2223!AZ75&gt;0,INDIRECT(ADDRESS(MATCH(Agenda2526!C76,'CAL3'!A:A,0),3,4,1,"CAL3")),0)</f>
        <v>45903</v>
      </c>
      <c r="O75" s="20" t="str">
        <f ca="1">IF(CALC2223!AZ75&gt;1,INDIRECT(ADDRESS(MATCH(Agenda2526!C76,'CAL3'!A:A,0)+1,2,4,1,"CAL3")),"")</f>
        <v/>
      </c>
      <c r="P75" s="21">
        <f ca="1">IF(CALC2223!AZ75&gt;1,INDIRECT(ADDRESS(MATCH(Agenda2526!C76,'CAL3'!A:A,0)+1,3,4,1,"CAL3")),0)</f>
        <v>0</v>
      </c>
      <c r="Q75" s="20" t="str">
        <f ca="1">IF(CALC2223!AZ75&gt;2,INDIRECT(ADDRESS(MATCH(Agenda2526!C76,'CAL3'!A:A,0)+2,2,4,1,"CAL3")),"")</f>
        <v/>
      </c>
      <c r="R75" s="21">
        <f ca="1">IF(CALC2223!AZ75&gt;2,INDIRECT(ADDRESS(MATCH(Agenda2526!C76,'CAL3'!A:A,0)+2,3,4,1,"CAL3")),0)</f>
        <v>0</v>
      </c>
      <c r="S75" s="20" t="str">
        <f ca="1">IF(CALC2223!BA75&gt;0,INDIRECT(ADDRESS(MATCH(Agenda2526!C76,'CAL4'!A:A,0),2,4,1,"CAL4")),"")</f>
        <v>inh rep FI</v>
      </c>
      <c r="T75" s="21">
        <f ca="1">IF(CALC2223!BA75&gt;0,INDIRECT(ADDRESS(MATCH(Agenda2526!C76,'CAL4'!A:A,0),3,4,1,"CAL4")),0)</f>
        <v>45936</v>
      </c>
      <c r="U75" s="20" t="str">
        <f ca="1">IF(CALC2223!BA75&gt;1,INDIRECT(ADDRESS(MATCH(Agenda2526!C76,'CAL4'!A:A,0)+1,2,4,1,"CAL4")),"")</f>
        <v/>
      </c>
      <c r="V75" s="21">
        <f ca="1">IF(CALC2223!BA75&gt;1,INDIRECT(ADDRESS(MATCH(Agenda2526!C76,'CAL4'!A:A,0)+1,3,4,1,"CAL4")),0)</f>
        <v>0</v>
      </c>
      <c r="W75" s="20" t="str">
        <f ca="1">IF(CALC2223!BA75&gt;2,INDIRECT(ADDRESS(MATCH(Agenda2526!C76,'CAL4'!A:A,0)+2,2,4,1,"CAL4")),"")</f>
        <v/>
      </c>
      <c r="X75" s="21">
        <f ca="1">IF(CALC2223!BA75&gt;2,INDIRECT(ADDRESS(MATCH(Agenda2526!C76,'CAL4'!A:A,0)+2,3,4,1,"CAL4")),0)</f>
        <v>0</v>
      </c>
      <c r="Y75" s="20" t="str">
        <f ca="1">IF(CALC2223!BB75&gt;0,INDIRECT(ADDRESS(MATCH(Agenda2526!C76,'CAL5'!A:A,0),2,4,1,"CAL5")),"")</f>
        <v>inh rep FI</v>
      </c>
      <c r="Z75" s="21">
        <f ca="1">IF(CALC2223!BB75&gt;0,INDIRECT(ADDRESS(MATCH(Agenda2526!C76,'CAL5'!A:A,0),3,4,1,"CAL5")),0)</f>
        <v>45936</v>
      </c>
      <c r="AA75" s="20" t="str">
        <f ca="1">IF(CALC2223!BB75&gt;1,INDIRECT(ADDRESS(MATCH(Agenda2526!C76,'CAL5'!A:A,0)+1,2,4,1,"CAL5")),"")</f>
        <v/>
      </c>
      <c r="AB75" s="21">
        <f ca="1">IF(CALC2223!BB75&gt;1,INDIRECT(ADDRESS(MATCH(Agenda2526!C76,'CAL5'!A:A,0)+1,3,4,1,"CAL5")),0)</f>
        <v>0</v>
      </c>
      <c r="AC75" s="20" t="str">
        <f ca="1">IF(CALC2223!BB75&gt;2,INDIRECT(ADDRESS(MATCH(Agenda2526!C76,'CAL5'!A:A,0)+2,2,4,1,"CAL5")),"")</f>
        <v/>
      </c>
      <c r="AD75" s="21">
        <f ca="1">IF(CALC2223!BB75&gt;2,INDIRECT(ADDRESS(MATCH(Agenda2526!C76,'CAL5'!A:A,0)+2,3,4,1,"CAL5")),0)</f>
        <v>0</v>
      </c>
      <c r="AE75" s="20" t="str">
        <f ca="1">IF(CALC2223!BC75&gt;0,INDIRECT(ADDRESS(MATCH(Agenda2526!C76,'CAL6'!A:A,0),2,4,1,"CAL6")),"")</f>
        <v/>
      </c>
      <c r="AF75" s="21">
        <f ca="1">IF(CALC2223!BC75&gt;0,INDIRECT(ADDRESS(MATCH(Agenda2526!C76,'CAL6'!A:A,0),3,4,1,"CAL6")),0)</f>
        <v>0</v>
      </c>
      <c r="AG75" s="20" t="str">
        <f ca="1">IF(CALC2223!BC75&gt;1,INDIRECT(ADDRESS(MATCH(Agenda2526!C76,'CAL6'!A:A,0)+1,2,4,1,"CAL6")),"")</f>
        <v/>
      </c>
      <c r="AH75" s="21">
        <f ca="1">IF(CALC2223!BC75&gt;1,INDIRECT(ADDRESS(MATCH(Agenda2526!C76,'CAL6'!A:A,0)+1,3,4,1,"CAL6")),0)</f>
        <v>0</v>
      </c>
      <c r="AI75" s="20" t="str">
        <f ca="1">IF(CALC2223!BC75&gt;2,INDIRECT(ADDRESS(MATCH(Agenda2526!C76,'CAL6'!A:A,0)+2,2,4,1,"CAL6")),"")</f>
        <v/>
      </c>
      <c r="AJ75" s="21">
        <f ca="1">IF(CALC2223!BC75&gt;2,INDIRECT(ADDRESS(MATCH(Agenda2526!C76,'CAL6'!A:A,0)+2,3,4,1,"CAL6")),0)</f>
        <v>0</v>
      </c>
      <c r="AK75" s="20" t="str">
        <f ca="1">IF(CALC2223!BD75&gt;0,INDIRECT(ADDRESS(MATCH(Agenda2526!C76,'CAL7'!A:A,0),2,4,1,"CAL7")),"")</f>
        <v>mentoren#3</v>
      </c>
      <c r="AL75" s="21">
        <f ca="1">IF(CALC2223!BD75&gt;0,INDIRECT(ADDRESS(MATCH(Agenda2526!C76,'CAL7'!A:A,0),3,4,1,"CAL7")),0)</f>
        <v>45896</v>
      </c>
      <c r="AM75" s="20" t="str">
        <f ca="1">IF(CALC2223!BD75&gt;1,INDIRECT(ADDRESS(MATCH(Agenda2526!C76,'CAL7'!A:A,0)+1,2,4,1,"CAL7")),"")</f>
        <v/>
      </c>
      <c r="AN75" s="21">
        <f ca="1">IF(CALC2223!BD75&gt;1,INDIRECT(ADDRESS(MATCH(Agenda2526!C76,'CAL7'!A:A,0)+1,3,4,1,"CAL7")),0)</f>
        <v>0</v>
      </c>
      <c r="AO75" s="20" t="str">
        <f ca="1">IF(CALC2223!BD75&gt;2,INDIRECT(ADDRESS(MATCH(Agenda2526!C76,'CAL7'!A:A,0)+2,2,4,1,"CAL7")),"")</f>
        <v/>
      </c>
      <c r="AP75" s="21">
        <f ca="1">IF(CALC2223!BD75&gt;2,INDIRECT(ADDRESS(MATCH(Agenda2526!C76,'CAL7'!A:A,0)+2,3,4,1,"CAL7")),0)</f>
        <v>0</v>
      </c>
      <c r="AQ75" s="20" t="str">
        <f ca="1">IF(CALC2223!BE75&gt;0,INDIRECT(ADDRESS(MATCH(Agenda2526!C76,'CAL8'!A:A,0),2,4,1,"CAL8")),"")</f>
        <v>ouderklankbord</v>
      </c>
      <c r="AR75" s="21">
        <f ca="1">IF(CALC2223!BE75&gt;0,INDIRECT(ADDRESS(MATCH(Agenda2526!C76,'CAL8'!A:A,0),3,4,1,"CAL8")),0)</f>
        <v>45958</v>
      </c>
      <c r="AS75" s="20" t="str">
        <f ca="1">IF(CALC2223!BE75&gt;1,INDIRECT(ADDRESS(MATCH(Agenda2526!C76,'CAL8'!A:A,0)+1,2,4,1,"CAL8")),"")</f>
        <v/>
      </c>
      <c r="AT75" s="21">
        <f ca="1">IF(CALC2223!BE75&gt;1,INDIRECT(ADDRESS(MATCH(Agenda2526!C76,'CAL8'!A:A,0)+1,3,4,1,"CAL8")),0)</f>
        <v>0</v>
      </c>
      <c r="AU75" s="20" t="str">
        <f ca="1">IF(CALC2223!BE75&gt;2,INDIRECT(ADDRESS(MATCH(Agenda2526!C76,'CAL8'!A:A,0)+2,2,4,1,"CAL8")),"")</f>
        <v/>
      </c>
      <c r="AV75" s="21">
        <f ca="1">IF(CALC2223!BE75&gt;2,INDIRECT(ADDRESS(MATCH(Agenda2526!C76,'CAL8'!A:A,0)+2,3,4,1,"CAL8")),0)</f>
        <v>0</v>
      </c>
      <c r="AW75" s="105"/>
      <c r="AX75" s="20">
        <f>COUNTIF('CAL1'!A:A,Agenda2526!C76)</f>
        <v>0</v>
      </c>
      <c r="AY75" s="20">
        <f>COUNTIF('CAL2'!A:A,Agenda2526!C76)</f>
        <v>0</v>
      </c>
      <c r="AZ75" s="20">
        <f>COUNTIF('CAL3'!A:A,Agenda2526!C76)</f>
        <v>1</v>
      </c>
      <c r="BA75" s="20">
        <f>COUNTIF('CAL4'!A:A,Agenda2526!C76)</f>
        <v>1</v>
      </c>
      <c r="BB75" s="20">
        <f>COUNTIF('CAL5'!A:A,Agenda2526!C76)</f>
        <v>1</v>
      </c>
      <c r="BC75" s="20">
        <f>COUNTIF('CAL6'!A:A,Agenda2526!C76)</f>
        <v>0</v>
      </c>
      <c r="BD75" s="20">
        <f>COUNTIF('CAL7'!A:A,Agenda2526!C76)</f>
        <v>1</v>
      </c>
      <c r="BE75" s="20">
        <f>COUNTIF('CAL8'!A:A,Agenda2526!C76)</f>
        <v>1</v>
      </c>
    </row>
    <row r="76" spans="1:57" ht="15.75" customHeight="1">
      <c r="A76" s="20" t="str">
        <f ca="1">IF(CALC2223!AX76&gt;0,INDIRECT(ADDRESS(MATCH(Agenda2526!C77,'CAL1'!A:A,0),2,4,1,"CAL1")),"")</f>
        <v/>
      </c>
      <c r="B76" s="21">
        <f ca="1">IF(CALC2223!AX76&gt;0,INDIRECT(ADDRESS(MATCH(Agenda2526!C77,'CAL1'!A:A,0),3,4,1,"CAL1")),0)</f>
        <v>0</v>
      </c>
      <c r="C76" s="20" t="str">
        <f ca="1">IF(CALC2223!AX76&gt;1,INDIRECT(ADDRESS(MATCH(Agenda2526!C77,'CAL1'!A:A,0)+1,2,4,1,"CAL1")),"")</f>
        <v/>
      </c>
      <c r="D76" s="21">
        <f ca="1">IF(CALC2223!AX76&gt;1,INDIRECT(ADDRESS(MATCH(Agenda2526!C77,'CAL1'!A:A,0)+1,3,4,1,"CAL1")),0)</f>
        <v>0</v>
      </c>
      <c r="E76" s="20" t="str">
        <f ca="1">IF(CALC2223!AX76&gt;2,INDIRECT(ADDRESS(MATCH(Agenda2526!C77,'CAL1'!A:A,0)+2,2,4,1,"CAL1")),"")</f>
        <v/>
      </c>
      <c r="F76" s="21">
        <f ca="1">IF(CALC2223!AX76&gt;2,INDIRECT(ADDRESS(MATCH(Agenda2526!C77,'CAL1'!A:A,0)+2,3,4,1,"CAL1")),0)</f>
        <v>0</v>
      </c>
      <c r="G76" s="20" t="str">
        <f ca="1">IF(CALC2223!AY76&gt;0,INDIRECT(ADDRESS(MATCH(Agenda2526!C77,'CAL2'!A:A,0),2,4,1,"CAL2")),"")</f>
        <v>Rep GR</v>
      </c>
      <c r="H76" s="21">
        <f ca="1">IF(CALC2223!AY76&gt;0,INDIRECT(ADDRESS(MATCH(Agenda2526!C77,'CAL2'!A:A,0),3,4,1,"CAL2")),0)</f>
        <v>45903</v>
      </c>
      <c r="I76" s="20" t="str">
        <f ca="1">IF(CALC2223!AY76&gt;1,INDIRECT(ADDRESS(MATCH(Agenda2526!C77,'CAL2'!A:A,0)+1,2,4,1,"CAL2")),"")</f>
        <v/>
      </c>
      <c r="J76" s="21">
        <f ca="1">IF(CALC2223!AY76&gt;1,INDIRECT(ADDRESS(MATCH(Agenda2526!C77,'CAL2'!A:A,0)+1,3,4,1,"CAL2")),0)</f>
        <v>0</v>
      </c>
      <c r="K76" s="20" t="str">
        <f ca="1">IF(CALC2223!AY76&gt;2,INDIRECT(ADDRESS(MATCH(Agenda2526!C77,'CAL2'!A:A,0)+2,2,4,1,"CAL2")),"")</f>
        <v/>
      </c>
      <c r="L76" s="21">
        <f ca="1">IF(CALC2223!AY76&gt;2,INDIRECT(ADDRESS(MATCH(Agenda2526!C77,'CAL2'!A:A,0)+2,3,4,1,"CAL2")),0)</f>
        <v>0</v>
      </c>
      <c r="M76" s="20" t="str">
        <f ca="1">IF(CALC2223!AZ76&gt;0,INDIRECT(ADDRESS(MATCH(Agenda2526!C77,'CAL3'!A:A,0),2,4,1,"CAL3")),"")</f>
        <v/>
      </c>
      <c r="N76" s="21">
        <f ca="1">IF(CALC2223!AZ76&gt;0,INDIRECT(ADDRESS(MATCH(Agenda2526!C77,'CAL3'!A:A,0),3,4,1,"CAL3")),0)</f>
        <v>0</v>
      </c>
      <c r="O76" s="20" t="str">
        <f ca="1">IF(CALC2223!AZ76&gt;1,INDIRECT(ADDRESS(MATCH(Agenda2526!C77,'CAL3'!A:A,0)+1,2,4,1,"CAL3")),"")</f>
        <v/>
      </c>
      <c r="P76" s="21">
        <f ca="1">IF(CALC2223!AZ76&gt;1,INDIRECT(ADDRESS(MATCH(Agenda2526!C77,'CAL3'!A:A,0)+1,3,4,1,"CAL3")),0)</f>
        <v>0</v>
      </c>
      <c r="Q76" s="20" t="str">
        <f ca="1">IF(CALC2223!AZ76&gt;2,INDIRECT(ADDRESS(MATCH(Agenda2526!C77,'CAL3'!A:A,0)+2,2,4,1,"CAL3")),"")</f>
        <v/>
      </c>
      <c r="R76" s="21">
        <f ca="1">IF(CALC2223!AZ76&gt;2,INDIRECT(ADDRESS(MATCH(Agenda2526!C77,'CAL3'!A:A,0)+2,3,4,1,"CAL3")),0)</f>
        <v>0</v>
      </c>
      <c r="S76" s="20" t="str">
        <f ca="1">IF(CALC2223!BA76&gt;0,INDIRECT(ADDRESS(MATCH(Agenda2526!C77,'CAL4'!A:A,0),2,4,1,"CAL4")),"")</f>
        <v>Rep AK</v>
      </c>
      <c r="T76" s="21">
        <f ca="1">IF(CALC2223!BA76&gt;0,INDIRECT(ADDRESS(MATCH(Agenda2526!C77,'CAL4'!A:A,0),3,4,1,"CAL4")),0)</f>
        <v>45896</v>
      </c>
      <c r="U76" s="20" t="str">
        <f ca="1">IF(CALC2223!BA76&gt;1,INDIRECT(ADDRESS(MATCH(Agenda2526!C77,'CAL4'!A:A,0)+1,2,4,1,"CAL4")),"")</f>
        <v/>
      </c>
      <c r="V76" s="21">
        <f ca="1">IF(CALC2223!BA76&gt;1,INDIRECT(ADDRESS(MATCH(Agenda2526!C77,'CAL4'!A:A,0)+1,3,4,1,"CAL4")),0)</f>
        <v>0</v>
      </c>
      <c r="W76" s="20" t="str">
        <f ca="1">IF(CALC2223!BA76&gt;2,INDIRECT(ADDRESS(MATCH(Agenda2526!C77,'CAL4'!A:A,0)+2,2,4,1,"CAL4")),"")</f>
        <v/>
      </c>
      <c r="X76" s="21">
        <f ca="1">IF(CALC2223!BA76&gt;2,INDIRECT(ADDRESS(MATCH(Agenda2526!C77,'CAL4'!A:A,0)+2,3,4,1,"CAL4")),0)</f>
        <v>0</v>
      </c>
      <c r="Y76" s="20" t="str">
        <f ca="1">IF(CALC2223!BB76&gt;0,INDIRECT(ADDRESS(MATCH(Agenda2526!C77,'CAL5'!A:A,0),2,4,1,"CAL5")),"")</f>
        <v/>
      </c>
      <c r="Z76" s="21">
        <f ca="1">IF(CALC2223!BB76&gt;0,INDIRECT(ADDRESS(MATCH(Agenda2526!C77,'CAL5'!A:A,0),3,4,1,"CAL5")),0)</f>
        <v>0</v>
      </c>
      <c r="AA76" s="20" t="str">
        <f ca="1">IF(CALC2223!BB76&gt;1,INDIRECT(ADDRESS(MATCH(Agenda2526!C77,'CAL5'!A:A,0)+1,2,4,1,"CAL5")),"")</f>
        <v/>
      </c>
      <c r="AB76" s="21">
        <f ca="1">IF(CALC2223!BB76&gt;1,INDIRECT(ADDRESS(MATCH(Agenda2526!C77,'CAL5'!A:A,0)+1,3,4,1,"CAL5")),0)</f>
        <v>0</v>
      </c>
      <c r="AC76" s="20" t="str">
        <f ca="1">IF(CALC2223!BB76&gt;2,INDIRECT(ADDRESS(MATCH(Agenda2526!C77,'CAL5'!A:A,0)+2,2,4,1,"CAL5")),"")</f>
        <v/>
      </c>
      <c r="AD76" s="21">
        <f ca="1">IF(CALC2223!BB76&gt;2,INDIRECT(ADDRESS(MATCH(Agenda2526!C77,'CAL5'!A:A,0)+2,3,4,1,"CAL5")),0)</f>
        <v>0</v>
      </c>
      <c r="AE76" s="20" t="str">
        <f ca="1">IF(CALC2223!BC76&gt;0,INDIRECT(ADDRESS(MATCH(Agenda2526!C77,'CAL6'!A:A,0),2,4,1,"CAL6")),"")</f>
        <v/>
      </c>
      <c r="AF76" s="21">
        <f ca="1">IF(CALC2223!BC76&gt;0,INDIRECT(ADDRESS(MATCH(Agenda2526!C77,'CAL6'!A:A,0),3,4,1,"CAL6")),0)</f>
        <v>0</v>
      </c>
      <c r="AG76" s="20" t="str">
        <f ca="1">IF(CALC2223!BC76&gt;1,INDIRECT(ADDRESS(MATCH(Agenda2526!C77,'CAL6'!A:A,0)+1,2,4,1,"CAL6")),"")</f>
        <v/>
      </c>
      <c r="AH76" s="21">
        <f ca="1">IF(CALC2223!BC76&gt;1,INDIRECT(ADDRESS(MATCH(Agenda2526!C77,'CAL6'!A:A,0)+1,3,4,1,"CAL6")),0)</f>
        <v>0</v>
      </c>
      <c r="AI76" s="20" t="str">
        <f ca="1">IF(CALC2223!BC76&gt;2,INDIRECT(ADDRESS(MATCH(Agenda2526!C77,'CAL6'!A:A,0)+2,2,4,1,"CAL6")),"")</f>
        <v/>
      </c>
      <c r="AJ76" s="21">
        <f ca="1">IF(CALC2223!BC76&gt;2,INDIRECT(ADDRESS(MATCH(Agenda2526!C77,'CAL6'!A:A,0)+2,3,4,1,"CAL6")),0)</f>
        <v>0</v>
      </c>
      <c r="AK76" s="20" t="str">
        <f ca="1">IF(CALC2223!BD76&gt;0,INDIRECT(ADDRESS(MATCH(Agenda2526!C77,'CAL7'!A:A,0),2,4,1,"CAL7")),"")</f>
        <v/>
      </c>
      <c r="AL76" s="21">
        <f ca="1">IF(CALC2223!BD76&gt;0,INDIRECT(ADDRESS(MATCH(Agenda2526!C77,'CAL7'!A:A,0),3,4,1,"CAL7")),0)</f>
        <v>0</v>
      </c>
      <c r="AM76" s="20" t="str">
        <f ca="1">IF(CALC2223!BD76&gt;1,INDIRECT(ADDRESS(MATCH(Agenda2526!C77,'CAL7'!A:A,0)+1,2,4,1,"CAL7")),"")</f>
        <v/>
      </c>
      <c r="AN76" s="21">
        <f ca="1">IF(CALC2223!BD76&gt;1,INDIRECT(ADDRESS(MATCH(Agenda2526!C77,'CAL7'!A:A,0)+1,3,4,1,"CAL7")),0)</f>
        <v>0</v>
      </c>
      <c r="AO76" s="20" t="str">
        <f ca="1">IF(CALC2223!BD76&gt;2,INDIRECT(ADDRESS(MATCH(Agenda2526!C77,'CAL7'!A:A,0)+2,2,4,1,"CAL7")),"")</f>
        <v/>
      </c>
      <c r="AP76" s="21">
        <f ca="1">IF(CALC2223!BD76&gt;2,INDIRECT(ADDRESS(MATCH(Agenda2526!C77,'CAL7'!A:A,0)+2,3,4,1,"CAL7")),0)</f>
        <v>0</v>
      </c>
      <c r="AQ76" s="20" t="str">
        <f ca="1">IF(CALC2223!BE76&gt;0,INDIRECT(ADDRESS(MATCH(Agenda2526!C77,'CAL8'!A:A,0),2,4,1,"CAL8")),"")</f>
        <v>ARS Café</v>
      </c>
      <c r="AR76" s="21">
        <f ca="1">IF(CALC2223!BE76&gt;0,INDIRECT(ADDRESS(MATCH(Agenda2526!C77,'CAL8'!A:A,0),3,4,1,"CAL8")),0)</f>
        <v>45936</v>
      </c>
      <c r="AS76" s="20" t="str">
        <f ca="1">IF(CALC2223!BE76&gt;1,INDIRECT(ADDRESS(MATCH(Agenda2526!C77,'CAL8'!A:A,0)+1,2,4,1,"CAL8")),"")</f>
        <v/>
      </c>
      <c r="AT76" s="21">
        <f ca="1">IF(CALC2223!BE76&gt;1,INDIRECT(ADDRESS(MATCH(Agenda2526!C77,'CAL8'!A:A,0)+1,3,4,1,"CAL8")),0)</f>
        <v>0</v>
      </c>
      <c r="AU76" s="20" t="str">
        <f ca="1">IF(CALC2223!BE76&gt;2,INDIRECT(ADDRESS(MATCH(Agenda2526!C77,'CAL8'!A:A,0)+2,2,4,1,"CAL8")),"")</f>
        <v/>
      </c>
      <c r="AV76" s="21">
        <f ca="1">IF(CALC2223!BE76&gt;2,INDIRECT(ADDRESS(MATCH(Agenda2526!C77,'CAL8'!A:A,0)+2,3,4,1,"CAL8")),0)</f>
        <v>0</v>
      </c>
      <c r="AW76" s="105"/>
      <c r="AX76" s="20">
        <f>COUNTIF('CAL1'!A:A,Agenda2526!C77)</f>
        <v>0</v>
      </c>
      <c r="AY76" s="20">
        <f>COUNTIF('CAL2'!A:A,Agenda2526!C77)</f>
        <v>1</v>
      </c>
      <c r="AZ76" s="20">
        <f>COUNTIF('CAL3'!A:A,Agenda2526!C77)</f>
        <v>0</v>
      </c>
      <c r="BA76" s="20">
        <f>COUNTIF('CAL4'!A:A,Agenda2526!C77)</f>
        <v>1</v>
      </c>
      <c r="BB76" s="20">
        <f>COUNTIF('CAL5'!A:A,Agenda2526!C77)</f>
        <v>0</v>
      </c>
      <c r="BC76" s="20">
        <f>COUNTIF('CAL6'!A:A,Agenda2526!C77)</f>
        <v>0</v>
      </c>
      <c r="BD76" s="20">
        <f>COUNTIF('CAL7'!A:A,Agenda2526!C77)</f>
        <v>0</v>
      </c>
      <c r="BE76" s="20">
        <f>COUNTIF('CAL8'!A:A,Agenda2526!C77)</f>
        <v>1</v>
      </c>
    </row>
    <row r="77" spans="1:57" ht="15.75" customHeight="1">
      <c r="A77" s="20" t="str">
        <f ca="1">IF(CALC2223!AX77&gt;0,INDIRECT(ADDRESS(MATCH(Agenda2526!C78,'CAL1'!A:A,0),2,4,1,"CAL1")),"")</f>
        <v/>
      </c>
      <c r="B77" s="21">
        <f ca="1">IF(CALC2223!AX77&gt;0,INDIRECT(ADDRESS(MATCH(Agenda2526!C78,'CAL1'!A:A,0),3,4,1,"CAL1")),0)</f>
        <v>0</v>
      </c>
      <c r="C77" s="20" t="str">
        <f ca="1">IF(CALC2223!AX77&gt;1,INDIRECT(ADDRESS(MATCH(Agenda2526!C78,'CAL1'!A:A,0)+1,2,4,1,"CAL1")),"")</f>
        <v/>
      </c>
      <c r="D77" s="21">
        <f ca="1">IF(CALC2223!AX77&gt;1,INDIRECT(ADDRESS(MATCH(Agenda2526!C78,'CAL1'!A:A,0)+1,3,4,1,"CAL1")),0)</f>
        <v>0</v>
      </c>
      <c r="E77" s="20" t="str">
        <f ca="1">IF(CALC2223!AX77&gt;2,INDIRECT(ADDRESS(MATCH(Agenda2526!C78,'CAL1'!A:A,0)+2,2,4,1,"CAL1")),"")</f>
        <v/>
      </c>
      <c r="F77" s="21">
        <f ca="1">IF(CALC2223!AX77&gt;2,INDIRECT(ADDRESS(MATCH(Agenda2526!C78,'CAL1'!A:A,0)+2,3,4,1,"CAL1")),0)</f>
        <v>0</v>
      </c>
      <c r="G77" s="20" t="str">
        <f ca="1">IF(CALC2223!AY77&gt;0,INDIRECT(ADDRESS(MATCH(Agenda2526!C78,'CAL2'!A:A,0),2,4,1,"CAL2")),"")</f>
        <v/>
      </c>
      <c r="H77" s="21">
        <f ca="1">IF(CALC2223!AY77&gt;0,INDIRECT(ADDRESS(MATCH(Agenda2526!C78,'CAL2'!A:A,0),3,4,1,"CAL2")),0)</f>
        <v>0</v>
      </c>
      <c r="I77" s="20" t="str">
        <f ca="1">IF(CALC2223!AY77&gt;1,INDIRECT(ADDRESS(MATCH(Agenda2526!C78,'CAL2'!A:A,0)+1,2,4,1,"CAL2")),"")</f>
        <v/>
      </c>
      <c r="J77" s="21">
        <f ca="1">IF(CALC2223!AY77&gt;1,INDIRECT(ADDRESS(MATCH(Agenda2526!C78,'CAL2'!A:A,0)+1,3,4,1,"CAL2")),0)</f>
        <v>0</v>
      </c>
      <c r="K77" s="20" t="str">
        <f ca="1">IF(CALC2223!AY77&gt;2,INDIRECT(ADDRESS(MATCH(Agenda2526!C78,'CAL2'!A:A,0)+2,2,4,1,"CAL2")),"")</f>
        <v/>
      </c>
      <c r="L77" s="21">
        <f ca="1">IF(CALC2223!AY77&gt;2,INDIRECT(ADDRESS(MATCH(Agenda2526!C78,'CAL2'!A:A,0)+2,3,4,1,"CAL2")),0)</f>
        <v>0</v>
      </c>
      <c r="M77" s="20" t="str">
        <f ca="1">IF(CALC2223!AZ77&gt;0,INDIRECT(ADDRESS(MATCH(Agenda2526!C78,'CAL3'!A:A,0),2,4,1,"CAL3")),"")</f>
        <v/>
      </c>
      <c r="N77" s="21">
        <f ca="1">IF(CALC2223!AZ77&gt;0,INDIRECT(ADDRESS(MATCH(Agenda2526!C78,'CAL3'!A:A,0),3,4,1,"CAL3")),0)</f>
        <v>0</v>
      </c>
      <c r="O77" s="20" t="str">
        <f ca="1">IF(CALC2223!AZ77&gt;1,INDIRECT(ADDRESS(MATCH(Agenda2526!C78,'CAL3'!A:A,0)+1,2,4,1,"CAL3")),"")</f>
        <v/>
      </c>
      <c r="P77" s="21">
        <f ca="1">IF(CALC2223!AZ77&gt;1,INDIRECT(ADDRESS(MATCH(Agenda2526!C78,'CAL3'!A:A,0)+1,3,4,1,"CAL3")),0)</f>
        <v>0</v>
      </c>
      <c r="Q77" s="20" t="str">
        <f ca="1">IF(CALC2223!AZ77&gt;2,INDIRECT(ADDRESS(MATCH(Agenda2526!C78,'CAL3'!A:A,0)+2,2,4,1,"CAL3")),"")</f>
        <v/>
      </c>
      <c r="R77" s="21">
        <f ca="1">IF(CALC2223!AZ77&gt;2,INDIRECT(ADDRESS(MATCH(Agenda2526!C78,'CAL3'!A:A,0)+2,3,4,1,"CAL3")),0)</f>
        <v>0</v>
      </c>
      <c r="S77" s="20" t="str">
        <f ca="1">IF(CALC2223!BA77&gt;0,INDIRECT(ADDRESS(MATCH(Agenda2526!C78,'CAL4'!A:A,0),2,4,1,"CAL4")),"")</f>
        <v/>
      </c>
      <c r="T77" s="21">
        <f ca="1">IF(CALC2223!BA77&gt;0,INDIRECT(ADDRESS(MATCH(Agenda2526!C78,'CAL4'!A:A,0),3,4,1,"CAL4")),0)</f>
        <v>0</v>
      </c>
      <c r="U77" s="20" t="str">
        <f ca="1">IF(CALC2223!BA77&gt;1,INDIRECT(ADDRESS(MATCH(Agenda2526!C78,'CAL4'!A:A,0)+1,2,4,1,"CAL4")),"")</f>
        <v/>
      </c>
      <c r="V77" s="21">
        <f ca="1">IF(CALC2223!BA77&gt;1,INDIRECT(ADDRESS(MATCH(Agenda2526!C78,'CAL4'!A:A,0)+1,3,4,1,"CAL4")),0)</f>
        <v>0</v>
      </c>
      <c r="W77" s="20" t="str">
        <f ca="1">IF(CALC2223!BA77&gt;2,INDIRECT(ADDRESS(MATCH(Agenda2526!C78,'CAL4'!A:A,0)+2,2,4,1,"CAL4")),"")</f>
        <v/>
      </c>
      <c r="X77" s="21">
        <f ca="1">IF(CALC2223!BA77&gt;2,INDIRECT(ADDRESS(MATCH(Agenda2526!C78,'CAL4'!A:A,0)+2,3,4,1,"CAL4")),0)</f>
        <v>0</v>
      </c>
      <c r="Y77" s="20" t="str">
        <f ca="1">IF(CALC2223!BB77&gt;0,INDIRECT(ADDRESS(MATCH(Agenda2526!C78,'CAL5'!A:A,0),2,4,1,"CAL5")),"")</f>
        <v/>
      </c>
      <c r="Z77" s="21">
        <f ca="1">IF(CALC2223!BB77&gt;0,INDIRECT(ADDRESS(MATCH(Agenda2526!C78,'CAL5'!A:A,0),3,4,1,"CAL5")),0)</f>
        <v>0</v>
      </c>
      <c r="AA77" s="20" t="str">
        <f ca="1">IF(CALC2223!BB77&gt;1,INDIRECT(ADDRESS(MATCH(Agenda2526!C78,'CAL5'!A:A,0)+1,2,4,1,"CAL5")),"")</f>
        <v/>
      </c>
      <c r="AB77" s="21">
        <f ca="1">IF(CALC2223!BB77&gt;1,INDIRECT(ADDRESS(MATCH(Agenda2526!C78,'CAL5'!A:A,0)+1,3,4,1,"CAL5")),0)</f>
        <v>0</v>
      </c>
      <c r="AC77" s="20" t="str">
        <f ca="1">IF(CALC2223!BB77&gt;2,INDIRECT(ADDRESS(MATCH(Agenda2526!C78,'CAL5'!A:A,0)+2,2,4,1,"CAL5")),"")</f>
        <v/>
      </c>
      <c r="AD77" s="21">
        <f ca="1">IF(CALC2223!BB77&gt;2,INDIRECT(ADDRESS(MATCH(Agenda2526!C78,'CAL5'!A:A,0)+2,3,4,1,"CAL5")),0)</f>
        <v>0</v>
      </c>
      <c r="AE77" s="20" t="str">
        <f ca="1">IF(CALC2223!BC77&gt;0,INDIRECT(ADDRESS(MATCH(Agenda2526!C78,'CAL6'!A:A,0),2,4,1,"CAL6")),"")</f>
        <v/>
      </c>
      <c r="AF77" s="21">
        <f ca="1">IF(CALC2223!BC77&gt;0,INDIRECT(ADDRESS(MATCH(Agenda2526!C78,'CAL6'!A:A,0),3,4,1,"CAL6")),0)</f>
        <v>0</v>
      </c>
      <c r="AG77" s="20" t="str">
        <f ca="1">IF(CALC2223!BC77&gt;1,INDIRECT(ADDRESS(MATCH(Agenda2526!C78,'CAL6'!A:A,0)+1,2,4,1,"CAL6")),"")</f>
        <v/>
      </c>
      <c r="AH77" s="21">
        <f ca="1">IF(CALC2223!BC77&gt;1,INDIRECT(ADDRESS(MATCH(Agenda2526!C78,'CAL6'!A:A,0)+1,3,4,1,"CAL6")),0)</f>
        <v>0</v>
      </c>
      <c r="AI77" s="20" t="str">
        <f ca="1">IF(CALC2223!BC77&gt;2,INDIRECT(ADDRESS(MATCH(Agenda2526!C78,'CAL6'!A:A,0)+2,2,4,1,"CAL6")),"")</f>
        <v/>
      </c>
      <c r="AJ77" s="21">
        <f ca="1">IF(CALC2223!BC77&gt;2,INDIRECT(ADDRESS(MATCH(Agenda2526!C78,'CAL6'!A:A,0)+2,3,4,1,"CAL6")),0)</f>
        <v>0</v>
      </c>
      <c r="AK77" s="20" t="str">
        <f ca="1">IF(CALC2223!BD77&gt;0,INDIRECT(ADDRESS(MATCH(Agenda2526!C78,'CAL7'!A:A,0),2,4,1,"CAL7")),"")</f>
        <v/>
      </c>
      <c r="AL77" s="21">
        <f ca="1">IF(CALC2223!BD77&gt;0,INDIRECT(ADDRESS(MATCH(Agenda2526!C78,'CAL7'!A:A,0),3,4,1,"CAL7")),0)</f>
        <v>0</v>
      </c>
      <c r="AM77" s="20" t="str">
        <f ca="1">IF(CALC2223!BD77&gt;1,INDIRECT(ADDRESS(MATCH(Agenda2526!C78,'CAL7'!A:A,0)+1,2,4,1,"CAL7")),"")</f>
        <v/>
      </c>
      <c r="AN77" s="21">
        <f ca="1">IF(CALC2223!BD77&gt;1,INDIRECT(ADDRESS(MATCH(Agenda2526!C78,'CAL7'!A:A,0)+1,3,4,1,"CAL7")),0)</f>
        <v>0</v>
      </c>
      <c r="AO77" s="20" t="str">
        <f ca="1">IF(CALC2223!BD77&gt;2,INDIRECT(ADDRESS(MATCH(Agenda2526!C78,'CAL7'!A:A,0)+2,2,4,1,"CAL7")),"")</f>
        <v/>
      </c>
      <c r="AP77" s="21">
        <f ca="1">IF(CALC2223!BD77&gt;2,INDIRECT(ADDRESS(MATCH(Agenda2526!C78,'CAL7'!A:A,0)+2,3,4,1,"CAL7")),0)</f>
        <v>0</v>
      </c>
      <c r="AQ77" s="20" t="str">
        <f ca="1">IF(CALC2223!BE77&gt;0,INDIRECT(ADDRESS(MATCH(Agenda2526!C78,'CAL8'!A:A,0),2,4,1,"CAL8")),"")</f>
        <v/>
      </c>
      <c r="AR77" s="21">
        <f ca="1">IF(CALC2223!BE77&gt;0,INDIRECT(ADDRESS(MATCH(Agenda2526!C78,'CAL8'!A:A,0),3,4,1,"CAL8")),0)</f>
        <v>0</v>
      </c>
      <c r="AS77" s="20" t="str">
        <f ca="1">IF(CALC2223!BE77&gt;1,INDIRECT(ADDRESS(MATCH(Agenda2526!C78,'CAL8'!A:A,0)+1,2,4,1,"CAL8")),"")</f>
        <v/>
      </c>
      <c r="AT77" s="21">
        <f ca="1">IF(CALC2223!BE77&gt;1,INDIRECT(ADDRESS(MATCH(Agenda2526!C78,'CAL8'!A:A,0)+1,3,4,1,"CAL8")),0)</f>
        <v>0</v>
      </c>
      <c r="AU77" s="20" t="str">
        <f ca="1">IF(CALC2223!BE77&gt;2,INDIRECT(ADDRESS(MATCH(Agenda2526!C78,'CAL8'!A:A,0)+2,2,4,1,"CAL8")),"")</f>
        <v/>
      </c>
      <c r="AV77" s="21">
        <f ca="1">IF(CALC2223!BE77&gt;2,INDIRECT(ADDRESS(MATCH(Agenda2526!C78,'CAL8'!A:A,0)+2,3,4,1,"CAL8")),0)</f>
        <v>0</v>
      </c>
      <c r="AW77" s="106"/>
      <c r="AX77" s="20">
        <f>COUNTIF('CAL1'!A:A,Agenda2526!C78)</f>
        <v>0</v>
      </c>
      <c r="AY77" s="20">
        <f>COUNTIF('CAL2'!A:A,Agenda2526!C78)</f>
        <v>0</v>
      </c>
      <c r="AZ77" s="20">
        <f>COUNTIF('CAL3'!A:A,Agenda2526!C78)</f>
        <v>0</v>
      </c>
      <c r="BA77" s="20">
        <f>COUNTIF('CAL4'!A:A,Agenda2526!C78)</f>
        <v>0</v>
      </c>
      <c r="BB77" s="20">
        <f>COUNTIF('CAL5'!A:A,Agenda2526!C78)</f>
        <v>0</v>
      </c>
      <c r="BC77" s="20">
        <f>COUNTIF('CAL6'!A:A,Agenda2526!C78)</f>
        <v>0</v>
      </c>
      <c r="BD77" s="20">
        <f>COUNTIF('CAL7'!A:A,Agenda2526!C78)</f>
        <v>0</v>
      </c>
      <c r="BE77" s="20">
        <f>COUNTIF('CAL8'!A:A,Agenda2526!C78)</f>
        <v>0</v>
      </c>
    </row>
    <row r="78" spans="1:57" ht="15.75" customHeight="1">
      <c r="A78" s="20" t="str">
        <f ca="1">IF(CALC2223!AX78&gt;0,INDIRECT(ADDRESS(MATCH(Agenda2526!C79,'CAL1'!A:A,0),2,4,1,"CAL1")),"")</f>
        <v/>
      </c>
      <c r="B78" s="21">
        <f ca="1">IF(CALC2223!AX78&gt;0,INDIRECT(ADDRESS(MATCH(Agenda2526!C79,'CAL1'!A:A,0),3,4,1,"CAL1")),0)</f>
        <v>0</v>
      </c>
      <c r="C78" s="20" t="str">
        <f ca="1">IF(CALC2223!AX78&gt;1,INDIRECT(ADDRESS(MATCH(Agenda2526!C79,'CAL1'!A:A,0)+1,2,4,1,"CAL1")),"")</f>
        <v/>
      </c>
      <c r="D78" s="21">
        <f ca="1">IF(CALC2223!AX78&gt;1,INDIRECT(ADDRESS(MATCH(Agenda2526!C79,'CAL1'!A:A,0)+1,3,4,1,"CAL1")),0)</f>
        <v>0</v>
      </c>
      <c r="E78" s="20" t="str">
        <f ca="1">IF(CALC2223!AX78&gt;2,INDIRECT(ADDRESS(MATCH(Agenda2526!C79,'CAL1'!A:A,0)+2,2,4,1,"CAL1")),"")</f>
        <v/>
      </c>
      <c r="F78" s="21">
        <f ca="1">IF(CALC2223!AX78&gt;2,INDIRECT(ADDRESS(MATCH(Agenda2526!C79,'CAL1'!A:A,0)+2,3,4,1,"CAL1")),0)</f>
        <v>0</v>
      </c>
      <c r="G78" s="20" t="str">
        <f ca="1">IF(CALC2223!AY78&gt;0,INDIRECT(ADDRESS(MATCH(Agenda2526!C79,'CAL2'!A:A,0),2,4,1,"CAL2")),"")</f>
        <v/>
      </c>
      <c r="H78" s="21">
        <f ca="1">IF(CALC2223!AY78&gt;0,INDIRECT(ADDRESS(MATCH(Agenda2526!C79,'CAL2'!A:A,0),3,4,1,"CAL2")),0)</f>
        <v>0</v>
      </c>
      <c r="I78" s="20" t="str">
        <f ca="1">IF(CALC2223!AY78&gt;1,INDIRECT(ADDRESS(MATCH(Agenda2526!C79,'CAL2'!A:A,0)+1,2,4,1,"CAL2")),"")</f>
        <v/>
      </c>
      <c r="J78" s="21">
        <f ca="1">IF(CALC2223!AY78&gt;1,INDIRECT(ADDRESS(MATCH(Agenda2526!C79,'CAL2'!A:A,0)+1,3,4,1,"CAL2")),0)</f>
        <v>0</v>
      </c>
      <c r="K78" s="20" t="str">
        <f ca="1">IF(CALC2223!AY78&gt;2,INDIRECT(ADDRESS(MATCH(Agenda2526!C79,'CAL2'!A:A,0)+2,2,4,1,"CAL2")),"")</f>
        <v/>
      </c>
      <c r="L78" s="21">
        <f ca="1">IF(CALC2223!AY78&gt;2,INDIRECT(ADDRESS(MATCH(Agenda2526!C79,'CAL2'!A:A,0)+2,3,4,1,"CAL2")),0)</f>
        <v>0</v>
      </c>
      <c r="M78" s="20" t="str">
        <f ca="1">IF(CALC2223!AZ78&gt;0,INDIRECT(ADDRESS(MATCH(Agenda2526!C79,'CAL3'!A:A,0),2,4,1,"CAL3")),"")</f>
        <v/>
      </c>
      <c r="N78" s="21">
        <f ca="1">IF(CALC2223!AZ78&gt;0,INDIRECT(ADDRESS(MATCH(Agenda2526!C79,'CAL3'!A:A,0),3,4,1,"CAL3")),0)</f>
        <v>0</v>
      </c>
      <c r="O78" s="20" t="str">
        <f ca="1">IF(CALC2223!AZ78&gt;1,INDIRECT(ADDRESS(MATCH(Agenda2526!C79,'CAL3'!A:A,0)+1,2,4,1,"CAL3")),"")</f>
        <v/>
      </c>
      <c r="P78" s="21">
        <f ca="1">IF(CALC2223!AZ78&gt;1,INDIRECT(ADDRESS(MATCH(Agenda2526!C79,'CAL3'!A:A,0)+1,3,4,1,"CAL3")),0)</f>
        <v>0</v>
      </c>
      <c r="Q78" s="20" t="str">
        <f ca="1">IF(CALC2223!AZ78&gt;2,INDIRECT(ADDRESS(MATCH(Agenda2526!C79,'CAL3'!A:A,0)+2,2,4,1,"CAL3")),"")</f>
        <v/>
      </c>
      <c r="R78" s="21">
        <f ca="1">IF(CALC2223!AZ78&gt;2,INDIRECT(ADDRESS(MATCH(Agenda2526!C79,'CAL3'!A:A,0)+2,3,4,1,"CAL3")),0)</f>
        <v>0</v>
      </c>
      <c r="S78" s="20" t="str">
        <f ca="1">IF(CALC2223!BA78&gt;0,INDIRECT(ADDRESS(MATCH(Agenda2526!C79,'CAL4'!A:A,0),2,4,1,"CAL4")),"")</f>
        <v/>
      </c>
      <c r="T78" s="21">
        <f ca="1">IF(CALC2223!BA78&gt;0,INDIRECT(ADDRESS(MATCH(Agenda2526!C79,'CAL4'!A:A,0),3,4,1,"CAL4")),0)</f>
        <v>0</v>
      </c>
      <c r="U78" s="20" t="str">
        <f ca="1">IF(CALC2223!BA78&gt;1,INDIRECT(ADDRESS(MATCH(Agenda2526!C79,'CAL4'!A:A,0)+1,2,4,1,"CAL4")),"")</f>
        <v/>
      </c>
      <c r="V78" s="21">
        <f ca="1">IF(CALC2223!BA78&gt;1,INDIRECT(ADDRESS(MATCH(Agenda2526!C79,'CAL4'!A:A,0)+1,3,4,1,"CAL4")),0)</f>
        <v>0</v>
      </c>
      <c r="W78" s="20" t="str">
        <f ca="1">IF(CALC2223!BA78&gt;2,INDIRECT(ADDRESS(MATCH(Agenda2526!C79,'CAL4'!A:A,0)+2,2,4,1,"CAL4")),"")</f>
        <v/>
      </c>
      <c r="X78" s="21">
        <f ca="1">IF(CALC2223!BA78&gt;2,INDIRECT(ADDRESS(MATCH(Agenda2526!C79,'CAL4'!A:A,0)+2,3,4,1,"CAL4")),0)</f>
        <v>0</v>
      </c>
      <c r="Y78" s="20" t="str">
        <f ca="1">IF(CALC2223!BB78&gt;0,INDIRECT(ADDRESS(MATCH(Agenda2526!C79,'CAL5'!A:A,0),2,4,1,"CAL5")),"")</f>
        <v/>
      </c>
      <c r="Z78" s="21">
        <f ca="1">IF(CALC2223!BB78&gt;0,INDIRECT(ADDRESS(MATCH(Agenda2526!C79,'CAL5'!A:A,0),3,4,1,"CAL5")),0)</f>
        <v>0</v>
      </c>
      <c r="AA78" s="20" t="str">
        <f ca="1">IF(CALC2223!BB78&gt;1,INDIRECT(ADDRESS(MATCH(Agenda2526!C79,'CAL5'!A:A,0)+1,2,4,1,"CAL5")),"")</f>
        <v/>
      </c>
      <c r="AB78" s="21">
        <f ca="1">IF(CALC2223!BB78&gt;1,INDIRECT(ADDRESS(MATCH(Agenda2526!C79,'CAL5'!A:A,0)+1,3,4,1,"CAL5")),0)</f>
        <v>0</v>
      </c>
      <c r="AC78" s="20" t="str">
        <f ca="1">IF(CALC2223!BB78&gt;2,INDIRECT(ADDRESS(MATCH(Agenda2526!C79,'CAL5'!A:A,0)+2,2,4,1,"CAL5")),"")</f>
        <v/>
      </c>
      <c r="AD78" s="21">
        <f ca="1">IF(CALC2223!BB78&gt;2,INDIRECT(ADDRESS(MATCH(Agenda2526!C79,'CAL5'!A:A,0)+2,3,4,1,"CAL5")),0)</f>
        <v>0</v>
      </c>
      <c r="AE78" s="20" t="str">
        <f ca="1">IF(CALC2223!BC78&gt;0,INDIRECT(ADDRESS(MATCH(Agenda2526!C79,'CAL6'!A:A,0),2,4,1,"CAL6")),"")</f>
        <v/>
      </c>
      <c r="AF78" s="21">
        <f ca="1">IF(CALC2223!BC78&gt;0,INDIRECT(ADDRESS(MATCH(Agenda2526!C79,'CAL6'!A:A,0),3,4,1,"CAL6")),0)</f>
        <v>0</v>
      </c>
      <c r="AG78" s="20" t="str">
        <f ca="1">IF(CALC2223!BC78&gt;1,INDIRECT(ADDRESS(MATCH(Agenda2526!C79,'CAL6'!A:A,0)+1,2,4,1,"CAL6")),"")</f>
        <v/>
      </c>
      <c r="AH78" s="21">
        <f ca="1">IF(CALC2223!BC78&gt;1,INDIRECT(ADDRESS(MATCH(Agenda2526!C79,'CAL6'!A:A,0)+1,3,4,1,"CAL6")),0)</f>
        <v>0</v>
      </c>
      <c r="AI78" s="20" t="str">
        <f ca="1">IF(CALC2223!BC78&gt;2,INDIRECT(ADDRESS(MATCH(Agenda2526!C79,'CAL6'!A:A,0)+2,2,4,1,"CAL6")),"")</f>
        <v/>
      </c>
      <c r="AJ78" s="21">
        <f ca="1">IF(CALC2223!BC78&gt;2,INDIRECT(ADDRESS(MATCH(Agenda2526!C79,'CAL6'!A:A,0)+2,3,4,1,"CAL6")),0)</f>
        <v>0</v>
      </c>
      <c r="AK78" s="20" t="str">
        <f ca="1">IF(CALC2223!BD78&gt;0,INDIRECT(ADDRESS(MATCH(Agenda2526!C79,'CAL7'!A:A,0),2,4,1,"CAL7")),"")</f>
        <v/>
      </c>
      <c r="AL78" s="21">
        <f ca="1">IF(CALC2223!BD78&gt;0,INDIRECT(ADDRESS(MATCH(Agenda2526!C79,'CAL7'!A:A,0),3,4,1,"CAL7")),0)</f>
        <v>0</v>
      </c>
      <c r="AM78" s="20" t="str">
        <f ca="1">IF(CALC2223!BD78&gt;1,INDIRECT(ADDRESS(MATCH(Agenda2526!C79,'CAL7'!A:A,0)+1,2,4,1,"CAL7")),"")</f>
        <v/>
      </c>
      <c r="AN78" s="21">
        <f ca="1">IF(CALC2223!BD78&gt;1,INDIRECT(ADDRESS(MATCH(Agenda2526!C79,'CAL7'!A:A,0)+1,3,4,1,"CAL7")),0)</f>
        <v>0</v>
      </c>
      <c r="AO78" s="20" t="str">
        <f ca="1">IF(CALC2223!BD78&gt;2,INDIRECT(ADDRESS(MATCH(Agenda2526!C79,'CAL7'!A:A,0)+2,2,4,1,"CAL7")),"")</f>
        <v/>
      </c>
      <c r="AP78" s="21">
        <f ca="1">IF(CALC2223!BD78&gt;2,INDIRECT(ADDRESS(MATCH(Agenda2526!C79,'CAL7'!A:A,0)+2,3,4,1,"CAL7")),0)</f>
        <v>0</v>
      </c>
      <c r="AQ78" s="20" t="str">
        <f ca="1">IF(CALC2223!BE78&gt;0,INDIRECT(ADDRESS(MATCH(Agenda2526!C79,'CAL8'!A:A,0),2,4,1,"CAL8")),"")</f>
        <v/>
      </c>
      <c r="AR78" s="21">
        <f ca="1">IF(CALC2223!BE78&gt;0,INDIRECT(ADDRESS(MATCH(Agenda2526!C79,'CAL8'!A:A,0),3,4,1,"CAL8")),0)</f>
        <v>0</v>
      </c>
      <c r="AS78" s="20" t="str">
        <f ca="1">IF(CALC2223!BE78&gt;1,INDIRECT(ADDRESS(MATCH(Agenda2526!C79,'CAL8'!A:A,0)+1,2,4,1,"CAL8")),"")</f>
        <v/>
      </c>
      <c r="AT78" s="21">
        <f ca="1">IF(CALC2223!BE78&gt;1,INDIRECT(ADDRESS(MATCH(Agenda2526!C79,'CAL8'!A:A,0)+1,3,4,1,"CAL8")),0)</f>
        <v>0</v>
      </c>
      <c r="AU78" s="20" t="str">
        <f ca="1">IF(CALC2223!BE78&gt;2,INDIRECT(ADDRESS(MATCH(Agenda2526!C79,'CAL8'!A:A,0)+2,2,4,1,"CAL8")),"")</f>
        <v/>
      </c>
      <c r="AV78" s="21">
        <f ca="1">IF(CALC2223!BE78&gt;2,INDIRECT(ADDRESS(MATCH(Agenda2526!C79,'CAL8'!A:A,0)+2,3,4,1,"CAL8")),0)</f>
        <v>0</v>
      </c>
      <c r="AW78" s="106"/>
      <c r="AX78" s="20">
        <f>COUNTIF('CAL1'!A:A,Agenda2526!C79)</f>
        <v>0</v>
      </c>
      <c r="AY78" s="20">
        <f>COUNTIF('CAL2'!A:A,Agenda2526!C79)</f>
        <v>0</v>
      </c>
      <c r="AZ78" s="20">
        <f>COUNTIF('CAL3'!A:A,Agenda2526!C79)</f>
        <v>0</v>
      </c>
      <c r="BA78" s="20">
        <f>COUNTIF('CAL4'!A:A,Agenda2526!C79)</f>
        <v>0</v>
      </c>
      <c r="BB78" s="20">
        <f>COUNTIF('CAL5'!A:A,Agenda2526!C79)</f>
        <v>0</v>
      </c>
      <c r="BC78" s="20">
        <f>COUNTIF('CAL6'!A:A,Agenda2526!C79)</f>
        <v>0</v>
      </c>
      <c r="BD78" s="20">
        <f>COUNTIF('CAL7'!A:A,Agenda2526!C79)</f>
        <v>0</v>
      </c>
      <c r="BE78" s="20">
        <f>COUNTIF('CAL8'!A:A,Agenda2526!C79)</f>
        <v>0</v>
      </c>
    </row>
    <row r="79" spans="1:57" ht="15.75" customHeight="1">
      <c r="A79" s="20" t="str">
        <f ca="1">IF(CALC2223!AX79&gt;0,INDIRECT(ADDRESS(MATCH(Agenda2526!C80,'CAL1'!A:A,0),2,4,1,"CAL1")),"")</f>
        <v/>
      </c>
      <c r="B79" s="21">
        <f ca="1">IF(CALC2223!AX79&gt;0,INDIRECT(ADDRESS(MATCH(Agenda2526!C80,'CAL1'!A:A,0),3,4,1,"CAL1")),0)</f>
        <v>0</v>
      </c>
      <c r="C79" s="20" t="str">
        <f ca="1">IF(CALC2223!AX79&gt;1,INDIRECT(ADDRESS(MATCH(Agenda2526!C80,'CAL1'!A:A,0)+1,2,4,1,"CAL1")),"")</f>
        <v/>
      </c>
      <c r="D79" s="21">
        <f ca="1">IF(CALC2223!AX79&gt;1,INDIRECT(ADDRESS(MATCH(Agenda2526!C80,'CAL1'!A:A,0)+1,3,4,1,"CAL1")),0)</f>
        <v>0</v>
      </c>
      <c r="E79" s="20" t="str">
        <f ca="1">IF(CALC2223!AX79&gt;2,INDIRECT(ADDRESS(MATCH(Agenda2526!C80,'CAL1'!A:A,0)+2,2,4,1,"CAL1")),"")</f>
        <v/>
      </c>
      <c r="F79" s="21">
        <f ca="1">IF(CALC2223!AX79&gt;2,INDIRECT(ADDRESS(MATCH(Agenda2526!C80,'CAL1'!A:A,0)+2,3,4,1,"CAL1")),0)</f>
        <v>0</v>
      </c>
      <c r="G79" s="20" t="str">
        <f ca="1">IF(CALC2223!AY79&gt;0,INDIRECT(ADDRESS(MATCH(Agenda2526!C80,'CAL2'!A:A,0),2,4,1,"CAL2")),"")</f>
        <v/>
      </c>
      <c r="H79" s="21">
        <f ca="1">IF(CALC2223!AY79&gt;0,INDIRECT(ADDRESS(MATCH(Agenda2526!C80,'CAL2'!A:A,0),3,4,1,"CAL2")),0)</f>
        <v>0</v>
      </c>
      <c r="I79" s="20" t="str">
        <f ca="1">IF(CALC2223!AY79&gt;1,INDIRECT(ADDRESS(MATCH(Agenda2526!C80,'CAL2'!A:A,0)+1,2,4,1,"CAL2")),"")</f>
        <v/>
      </c>
      <c r="J79" s="21">
        <f ca="1">IF(CALC2223!AY79&gt;1,INDIRECT(ADDRESS(MATCH(Agenda2526!C80,'CAL2'!A:A,0)+1,3,4,1,"CAL2")),0)</f>
        <v>0</v>
      </c>
      <c r="K79" s="20" t="str">
        <f ca="1">IF(CALC2223!AY79&gt;2,INDIRECT(ADDRESS(MATCH(Agenda2526!C80,'CAL2'!A:A,0)+2,2,4,1,"CAL2")),"")</f>
        <v/>
      </c>
      <c r="L79" s="21">
        <f ca="1">IF(CALC2223!AY79&gt;2,INDIRECT(ADDRESS(MATCH(Agenda2526!C80,'CAL2'!A:A,0)+2,3,4,1,"CAL2")),0)</f>
        <v>0</v>
      </c>
      <c r="M79" s="20" t="str">
        <f ca="1">IF(CALC2223!AZ79&gt;0,INDIRECT(ADDRESS(MATCH(Agenda2526!C80,'CAL3'!A:A,0),2,4,1,"CAL3")),"")</f>
        <v/>
      </c>
      <c r="N79" s="21">
        <f ca="1">IF(CALC2223!AZ79&gt;0,INDIRECT(ADDRESS(MATCH(Agenda2526!C80,'CAL3'!A:A,0),3,4,1,"CAL3")),0)</f>
        <v>0</v>
      </c>
      <c r="O79" s="20" t="str">
        <f ca="1">IF(CALC2223!AZ79&gt;1,INDIRECT(ADDRESS(MATCH(Agenda2526!C80,'CAL3'!A:A,0)+1,2,4,1,"CAL3")),"")</f>
        <v/>
      </c>
      <c r="P79" s="21">
        <f ca="1">IF(CALC2223!AZ79&gt;1,INDIRECT(ADDRESS(MATCH(Agenda2526!C80,'CAL3'!A:A,0)+1,3,4,1,"CAL3")),0)</f>
        <v>0</v>
      </c>
      <c r="Q79" s="20" t="str">
        <f ca="1">IF(CALC2223!AZ79&gt;2,INDIRECT(ADDRESS(MATCH(Agenda2526!C80,'CAL3'!A:A,0)+2,2,4,1,"CAL3")),"")</f>
        <v/>
      </c>
      <c r="R79" s="21">
        <f ca="1">IF(CALC2223!AZ79&gt;2,INDIRECT(ADDRESS(MATCH(Agenda2526!C80,'CAL3'!A:A,0)+2,3,4,1,"CAL3")),0)</f>
        <v>0</v>
      </c>
      <c r="S79" s="20" t="str">
        <f ca="1">IF(CALC2223!BA79&gt;0,INDIRECT(ADDRESS(MATCH(Agenda2526!C80,'CAL4'!A:A,0),2,4,1,"CAL4")),"")</f>
        <v>inh rep NA</v>
      </c>
      <c r="T79" s="21">
        <f ca="1">IF(CALC2223!BA79&gt;0,INDIRECT(ADDRESS(MATCH(Agenda2526!C80,'CAL4'!A:A,0),3,4,1,"CAL4")),0)</f>
        <v>45936</v>
      </c>
      <c r="U79" s="20" t="str">
        <f ca="1">IF(CALC2223!BA79&gt;1,INDIRECT(ADDRESS(MATCH(Agenda2526!C80,'CAL4'!A:A,0)+1,2,4,1,"CAL4")),"")</f>
        <v/>
      </c>
      <c r="V79" s="21">
        <f ca="1">IF(CALC2223!BA79&gt;1,INDIRECT(ADDRESS(MATCH(Agenda2526!C80,'CAL4'!A:A,0)+1,3,4,1,"CAL4")),0)</f>
        <v>0</v>
      </c>
      <c r="W79" s="20" t="str">
        <f ca="1">IF(CALC2223!BA79&gt;2,INDIRECT(ADDRESS(MATCH(Agenda2526!C80,'CAL4'!A:A,0)+2,2,4,1,"CAL4")),"")</f>
        <v/>
      </c>
      <c r="X79" s="21">
        <f ca="1">IF(CALC2223!BA79&gt;2,INDIRECT(ADDRESS(MATCH(Agenda2526!C80,'CAL4'!A:A,0)+2,3,4,1,"CAL4")),0)</f>
        <v>0</v>
      </c>
      <c r="Y79" s="20" t="str">
        <f ca="1">IF(CALC2223!BB79&gt;0,INDIRECT(ADDRESS(MATCH(Agenda2526!C80,'CAL5'!A:A,0),2,4,1,"CAL5")),"")</f>
        <v>Maat naar Den Haag</v>
      </c>
      <c r="Z79" s="21">
        <f ca="1">IF(CALC2223!BB79&gt;0,INDIRECT(ADDRESS(MATCH(Agenda2526!C80,'CAL5'!A:A,0),3,4,1,"CAL5")),0)</f>
        <v>45925</v>
      </c>
      <c r="AA79" s="20" t="str">
        <f ca="1">IF(CALC2223!BB79&gt;1,INDIRECT(ADDRESS(MATCH(Agenda2526!C80,'CAL5'!A:A,0)+1,2,4,1,"CAL5")),"")</f>
        <v>inh rep SK</v>
      </c>
      <c r="AB79" s="21">
        <f ca="1">IF(CALC2223!BB79&gt;1,INDIRECT(ADDRESS(MATCH(Agenda2526!C80,'CAL5'!A:A,0)+1,3,4,1,"CAL5")),0)</f>
        <v>45936</v>
      </c>
      <c r="AC79" s="20" t="str">
        <f ca="1">IF(CALC2223!BB79&gt;2,INDIRECT(ADDRESS(MATCH(Agenda2526!C80,'CAL5'!A:A,0)+2,2,4,1,"CAL5")),"")</f>
        <v/>
      </c>
      <c r="AD79" s="21">
        <f ca="1">IF(CALC2223!BB79&gt;2,INDIRECT(ADDRESS(MATCH(Agenda2526!C80,'CAL5'!A:A,0)+2,3,4,1,"CAL5")),0)</f>
        <v>0</v>
      </c>
      <c r="AE79" s="20" t="str">
        <f ca="1">IF(CALC2223!BC79&gt;0,INDIRECT(ADDRESS(MATCH(Agenda2526!C80,'CAL6'!A:A,0),2,4,1,"CAL6")),"")</f>
        <v/>
      </c>
      <c r="AF79" s="21">
        <f ca="1">IF(CALC2223!BC79&gt;0,INDIRECT(ADDRESS(MATCH(Agenda2526!C80,'CAL6'!A:A,0),3,4,1,"CAL6")),0)</f>
        <v>0</v>
      </c>
      <c r="AG79" s="20" t="str">
        <f ca="1">IF(CALC2223!BC79&gt;1,INDIRECT(ADDRESS(MATCH(Agenda2526!C80,'CAL6'!A:A,0)+1,2,4,1,"CAL6")),"")</f>
        <v/>
      </c>
      <c r="AH79" s="21">
        <f ca="1">IF(CALC2223!BC79&gt;1,INDIRECT(ADDRESS(MATCH(Agenda2526!C80,'CAL6'!A:A,0)+1,3,4,1,"CAL6")),0)</f>
        <v>0</v>
      </c>
      <c r="AI79" s="20" t="str">
        <f ca="1">IF(CALC2223!BC79&gt;2,INDIRECT(ADDRESS(MATCH(Agenda2526!C80,'CAL6'!A:A,0)+2,2,4,1,"CAL6")),"")</f>
        <v/>
      </c>
      <c r="AJ79" s="21">
        <f ca="1">IF(CALC2223!BC79&gt;2,INDIRECT(ADDRESS(MATCH(Agenda2526!C80,'CAL6'!A:A,0)+2,3,4,1,"CAL6")),0)</f>
        <v>0</v>
      </c>
      <c r="AK79" s="20" t="str">
        <f ca="1">IF(CALC2223!BD79&gt;0,INDIRECT(ADDRESS(MATCH(Agenda2526!C80,'CAL7'!A:A,0),2,4,1,"CAL7")),"")</f>
        <v>30' rooster/leerlingbespreking lj 1/</v>
      </c>
      <c r="AL79" s="21">
        <f ca="1">IF(CALC2223!BD79&gt;0,INDIRECT(ADDRESS(MATCH(Agenda2526!C80,'CAL7'!A:A,0),3,4,1,"CAL7")),0)</f>
        <v>45896</v>
      </c>
      <c r="AM79" s="20" t="str">
        <f ca="1">IF(CALC2223!BD79&gt;1,INDIRECT(ADDRESS(MATCH(Agenda2526!C80,'CAL7'!A:A,0)+1,2,4,1,"CAL7")),"")</f>
        <v/>
      </c>
      <c r="AN79" s="21">
        <f ca="1">IF(CALC2223!BD79&gt;1,INDIRECT(ADDRESS(MATCH(Agenda2526!C80,'CAL7'!A:A,0)+1,3,4,1,"CAL7")),0)</f>
        <v>0</v>
      </c>
      <c r="AO79" s="20" t="str">
        <f ca="1">IF(CALC2223!BD79&gt;2,INDIRECT(ADDRESS(MATCH(Agenda2526!C80,'CAL7'!A:A,0)+2,2,4,1,"CAL7")),"")</f>
        <v/>
      </c>
      <c r="AP79" s="21">
        <f ca="1">IF(CALC2223!BD79&gt;2,INDIRECT(ADDRESS(MATCH(Agenda2526!C80,'CAL7'!A:A,0)+2,3,4,1,"CAL7")),0)</f>
        <v>0</v>
      </c>
      <c r="AQ79" s="20" t="str">
        <f ca="1">IF(CALC2223!BE79&gt;0,INDIRECT(ADDRESS(MATCH(Agenda2526!C80,'CAL8'!A:A,0),2,4,1,"CAL8")),"")</f>
        <v/>
      </c>
      <c r="AR79" s="21">
        <f ca="1">IF(CALC2223!BE79&gt;0,INDIRECT(ADDRESS(MATCH(Agenda2526!C80,'CAL8'!A:A,0),3,4,1,"CAL8")),0)</f>
        <v>0</v>
      </c>
      <c r="AS79" s="20" t="str">
        <f ca="1">IF(CALC2223!BE79&gt;1,INDIRECT(ADDRESS(MATCH(Agenda2526!C80,'CAL8'!A:A,0)+1,2,4,1,"CAL8")),"")</f>
        <v/>
      </c>
      <c r="AT79" s="21">
        <f ca="1">IF(CALC2223!BE79&gt;1,INDIRECT(ADDRESS(MATCH(Agenda2526!C80,'CAL8'!A:A,0)+1,3,4,1,"CAL8")),0)</f>
        <v>0</v>
      </c>
      <c r="AU79" s="20" t="str">
        <f ca="1">IF(CALC2223!BE79&gt;2,INDIRECT(ADDRESS(MATCH(Agenda2526!C80,'CAL8'!A:A,0)+2,2,4,1,"CAL8")),"")</f>
        <v/>
      </c>
      <c r="AV79" s="21">
        <f ca="1">IF(CALC2223!BE79&gt;2,INDIRECT(ADDRESS(MATCH(Agenda2526!C80,'CAL8'!A:A,0)+2,3,4,1,"CAL8")),0)</f>
        <v>0</v>
      </c>
      <c r="AW79" s="105"/>
      <c r="AX79" s="20">
        <f>COUNTIF('CAL1'!A:A,Agenda2526!C80)</f>
        <v>0</v>
      </c>
      <c r="AY79" s="20">
        <f>COUNTIF('CAL2'!A:A,Agenda2526!C80)</f>
        <v>0</v>
      </c>
      <c r="AZ79" s="20">
        <f>COUNTIF('CAL3'!A:A,Agenda2526!C80)</f>
        <v>0</v>
      </c>
      <c r="BA79" s="20">
        <f>COUNTIF('CAL4'!A:A,Agenda2526!C80)</f>
        <v>1</v>
      </c>
      <c r="BB79" s="20">
        <f>COUNTIF('CAL5'!A:A,Agenda2526!C80)</f>
        <v>2</v>
      </c>
      <c r="BC79" s="20">
        <f>COUNTIF('CAL6'!A:A,Agenda2526!C80)</f>
        <v>0</v>
      </c>
      <c r="BD79" s="20">
        <f>COUNTIF('CAL7'!A:A,Agenda2526!C80)</f>
        <v>1</v>
      </c>
      <c r="BE79" s="20">
        <f>COUNTIF('CAL8'!A:A,Agenda2526!C80)</f>
        <v>0</v>
      </c>
    </row>
    <row r="80" spans="1:57" ht="15.75" customHeight="1">
      <c r="A80" s="20" t="str">
        <f ca="1">IF(CALC2223!AX80&gt;0,INDIRECT(ADDRESS(MATCH(Agenda2526!C81,'CAL1'!A:A,0),2,4,1,"CAL1")),"")</f>
        <v/>
      </c>
      <c r="B80" s="21">
        <f ca="1">IF(CALC2223!AX80&gt;0,INDIRECT(ADDRESS(MATCH(Agenda2526!C81,'CAL1'!A:A,0),3,4,1,"CAL1")),0)</f>
        <v>0</v>
      </c>
      <c r="C80" s="20" t="str">
        <f ca="1">IF(CALC2223!AX80&gt;1,INDIRECT(ADDRESS(MATCH(Agenda2526!C81,'CAL1'!A:A,0)+1,2,4,1,"CAL1")),"")</f>
        <v/>
      </c>
      <c r="D80" s="21">
        <f ca="1">IF(CALC2223!AX80&gt;1,INDIRECT(ADDRESS(MATCH(Agenda2526!C81,'CAL1'!A:A,0)+1,3,4,1,"CAL1")),0)</f>
        <v>0</v>
      </c>
      <c r="E80" s="20" t="str">
        <f ca="1">IF(CALC2223!AX80&gt;2,INDIRECT(ADDRESS(MATCH(Agenda2526!C81,'CAL1'!A:A,0)+2,2,4,1,"CAL1")),"")</f>
        <v/>
      </c>
      <c r="F80" s="21">
        <f ca="1">IF(CALC2223!AX80&gt;2,INDIRECT(ADDRESS(MATCH(Agenda2526!C81,'CAL1'!A:A,0)+2,3,4,1,"CAL1")),0)</f>
        <v>0</v>
      </c>
      <c r="G80" s="20" t="str">
        <f ca="1">IF(CALC2223!AY80&gt;0,INDIRECT(ADDRESS(MATCH(Agenda2526!C81,'CAL2'!A:A,0),2,4,1,"CAL2")),"")</f>
        <v/>
      </c>
      <c r="H80" s="21">
        <f ca="1">IF(CALC2223!AY80&gt;0,INDIRECT(ADDRESS(MATCH(Agenda2526!C81,'CAL2'!A:A,0),3,4,1,"CAL2")),0)</f>
        <v>0</v>
      </c>
      <c r="I80" s="20" t="str">
        <f ca="1">IF(CALC2223!AY80&gt;1,INDIRECT(ADDRESS(MATCH(Agenda2526!C81,'CAL2'!A:A,0)+1,2,4,1,"CAL2")),"")</f>
        <v/>
      </c>
      <c r="J80" s="21">
        <f ca="1">IF(CALC2223!AY80&gt;1,INDIRECT(ADDRESS(MATCH(Agenda2526!C81,'CAL2'!A:A,0)+1,3,4,1,"CAL2")),0)</f>
        <v>0</v>
      </c>
      <c r="K80" s="20" t="str">
        <f ca="1">IF(CALC2223!AY80&gt;2,INDIRECT(ADDRESS(MATCH(Agenda2526!C81,'CAL2'!A:A,0)+2,2,4,1,"CAL2")),"")</f>
        <v/>
      </c>
      <c r="L80" s="21">
        <f ca="1">IF(CALC2223!AY80&gt;2,INDIRECT(ADDRESS(MATCH(Agenda2526!C81,'CAL2'!A:A,0)+2,3,4,1,"CAL2")),0)</f>
        <v>0</v>
      </c>
      <c r="M80" s="20" t="str">
        <f ca="1">IF(CALC2223!AZ80&gt;0,INDIRECT(ADDRESS(MATCH(Agenda2526!C81,'CAL3'!A:A,0),2,4,1,"CAL3")),"")</f>
        <v/>
      </c>
      <c r="N80" s="21">
        <f ca="1">IF(CALC2223!AZ80&gt;0,INDIRECT(ADDRESS(MATCH(Agenda2526!C81,'CAL3'!A:A,0),3,4,1,"CAL3")),0)</f>
        <v>0</v>
      </c>
      <c r="O80" s="20" t="str">
        <f ca="1">IF(CALC2223!AZ80&gt;1,INDIRECT(ADDRESS(MATCH(Agenda2526!C81,'CAL3'!A:A,0)+1,2,4,1,"CAL3")),"")</f>
        <v/>
      </c>
      <c r="P80" s="21">
        <f ca="1">IF(CALC2223!AZ80&gt;1,INDIRECT(ADDRESS(MATCH(Agenda2526!C81,'CAL3'!A:A,0)+1,3,4,1,"CAL3")),0)</f>
        <v>0</v>
      </c>
      <c r="Q80" s="20" t="str">
        <f ca="1">IF(CALC2223!AZ80&gt;2,INDIRECT(ADDRESS(MATCH(Agenda2526!C81,'CAL3'!A:A,0)+2,2,4,1,"CAL3")),"")</f>
        <v/>
      </c>
      <c r="R80" s="21">
        <f ca="1">IF(CALC2223!AZ80&gt;2,INDIRECT(ADDRESS(MATCH(Agenda2526!C81,'CAL3'!A:A,0)+2,3,4,1,"CAL3")),0)</f>
        <v>0</v>
      </c>
      <c r="S80" s="20" t="str">
        <f ca="1">IF(CALC2223!BA80&gt;0,INDIRECT(ADDRESS(MATCH(Agenda2526!C81,'CAL4'!A:A,0),2,4,1,"CAL4")),"")</f>
        <v>terug uit Rennes</v>
      </c>
      <c r="T80" s="21">
        <f ca="1">IF(CALC2223!BA80&gt;0,INDIRECT(ADDRESS(MATCH(Agenda2526!C81,'CAL4'!A:A,0),3,4,1,"CAL4")),0)</f>
        <v>45896</v>
      </c>
      <c r="U80" s="20" t="str">
        <f ca="1">IF(CALC2223!BA80&gt;1,INDIRECT(ADDRESS(MATCH(Agenda2526!C81,'CAL4'!A:A,0)+1,2,4,1,"CAL4")),"")</f>
        <v/>
      </c>
      <c r="V80" s="21">
        <f ca="1">IF(CALC2223!BA80&gt;1,INDIRECT(ADDRESS(MATCH(Agenda2526!C81,'CAL4'!A:A,0)+1,3,4,1,"CAL4")),0)</f>
        <v>0</v>
      </c>
      <c r="W80" s="20" t="str">
        <f ca="1">IF(CALC2223!BA80&gt;2,INDIRECT(ADDRESS(MATCH(Agenda2526!C81,'CAL4'!A:A,0)+2,2,4,1,"CAL4")),"")</f>
        <v/>
      </c>
      <c r="X80" s="21">
        <f ca="1">IF(CALC2223!BA80&gt;2,INDIRECT(ADDRESS(MATCH(Agenda2526!C81,'CAL4'!A:A,0)+2,3,4,1,"CAL4")),0)</f>
        <v>0</v>
      </c>
      <c r="Y80" s="20" t="str">
        <f ca="1">IF(CALC2223!BB80&gt;0,INDIRECT(ADDRESS(MATCH(Agenda2526!C81,'CAL5'!A:A,0),2,4,1,"CAL5")),"")</f>
        <v/>
      </c>
      <c r="Z80" s="21">
        <f ca="1">IF(CALC2223!BB80&gt;0,INDIRECT(ADDRESS(MATCH(Agenda2526!C81,'CAL5'!A:A,0),3,4,1,"CAL5")),0)</f>
        <v>0</v>
      </c>
      <c r="AA80" s="20" t="str">
        <f ca="1">IF(CALC2223!BB80&gt;1,INDIRECT(ADDRESS(MATCH(Agenda2526!C81,'CAL5'!A:A,0)+1,2,4,1,"CAL5")),"")</f>
        <v/>
      </c>
      <c r="AB80" s="21">
        <f ca="1">IF(CALC2223!BB80&gt;1,INDIRECT(ADDRESS(MATCH(Agenda2526!C81,'CAL5'!A:A,0)+1,3,4,1,"CAL5")),0)</f>
        <v>0</v>
      </c>
      <c r="AC80" s="20" t="str">
        <f ca="1">IF(CALC2223!BB80&gt;2,INDIRECT(ADDRESS(MATCH(Agenda2526!C81,'CAL5'!A:A,0)+2,2,4,1,"CAL5")),"")</f>
        <v/>
      </c>
      <c r="AD80" s="21">
        <f ca="1">IF(CALC2223!BB80&gt;2,INDIRECT(ADDRESS(MATCH(Agenda2526!C81,'CAL5'!A:A,0)+2,3,4,1,"CAL5")),0)</f>
        <v>0</v>
      </c>
      <c r="AE80" s="20" t="str">
        <f ca="1">IF(CALC2223!BC80&gt;0,INDIRECT(ADDRESS(MATCH(Agenda2526!C81,'CAL6'!A:A,0),2,4,1,"CAL6")),"")</f>
        <v/>
      </c>
      <c r="AF80" s="21">
        <f ca="1">IF(CALC2223!BC80&gt;0,INDIRECT(ADDRESS(MATCH(Agenda2526!C81,'CAL6'!A:A,0),3,4,1,"CAL6")),0)</f>
        <v>0</v>
      </c>
      <c r="AG80" s="20" t="str">
        <f ca="1">IF(CALC2223!BC80&gt;1,INDIRECT(ADDRESS(MATCH(Agenda2526!C81,'CAL6'!A:A,0)+1,2,4,1,"CAL6")),"")</f>
        <v/>
      </c>
      <c r="AH80" s="21">
        <f ca="1">IF(CALC2223!BC80&gt;1,INDIRECT(ADDRESS(MATCH(Agenda2526!C81,'CAL6'!A:A,0)+1,3,4,1,"CAL6")),0)</f>
        <v>0</v>
      </c>
      <c r="AI80" s="20" t="str">
        <f ca="1">IF(CALC2223!BC80&gt;2,INDIRECT(ADDRESS(MATCH(Agenda2526!C81,'CAL6'!A:A,0)+2,2,4,1,"CAL6")),"")</f>
        <v/>
      </c>
      <c r="AJ80" s="21">
        <f ca="1">IF(CALC2223!BC80&gt;2,INDIRECT(ADDRESS(MATCH(Agenda2526!C81,'CAL6'!A:A,0)+2,3,4,1,"CAL6")),0)</f>
        <v>0</v>
      </c>
      <c r="AK80" s="20" t="str">
        <f ca="1">IF(CALC2223!BD80&gt;0,INDIRECT(ADDRESS(MATCH(Agenda2526!C81,'CAL7'!A:A,0),2,4,1,"CAL7")),"")</f>
        <v>30' rooster/leerlingbespreking lj 2</v>
      </c>
      <c r="AL80" s="21">
        <f ca="1">IF(CALC2223!BD80&gt;0,INDIRECT(ADDRESS(MATCH(Agenda2526!C81,'CAL7'!A:A,0),3,4,1,"CAL7")),0)</f>
        <v>45896</v>
      </c>
      <c r="AM80" s="20" t="str">
        <f ca="1">IF(CALC2223!BD80&gt;1,INDIRECT(ADDRESS(MATCH(Agenda2526!C81,'CAL7'!A:A,0)+1,2,4,1,"CAL7")),"")</f>
        <v/>
      </c>
      <c r="AN80" s="21">
        <f ca="1">IF(CALC2223!BD80&gt;1,INDIRECT(ADDRESS(MATCH(Agenda2526!C81,'CAL7'!A:A,0)+1,3,4,1,"CAL7")),0)</f>
        <v>0</v>
      </c>
      <c r="AO80" s="20" t="str">
        <f ca="1">IF(CALC2223!BD80&gt;2,INDIRECT(ADDRESS(MATCH(Agenda2526!C81,'CAL7'!A:A,0)+2,2,4,1,"CAL7")),"")</f>
        <v/>
      </c>
      <c r="AP80" s="21">
        <f ca="1">IF(CALC2223!BD80&gt;2,INDIRECT(ADDRESS(MATCH(Agenda2526!C81,'CAL7'!A:A,0)+2,3,4,1,"CAL7")),0)</f>
        <v>0</v>
      </c>
      <c r="AQ80" s="20" t="str">
        <f ca="1">IF(CALC2223!BE80&gt;0,INDIRECT(ADDRESS(MATCH(Agenda2526!C81,'CAL8'!A:A,0),2,4,1,"CAL8")),"")</f>
        <v/>
      </c>
      <c r="AR80" s="21">
        <f ca="1">IF(CALC2223!BE80&gt;0,INDIRECT(ADDRESS(MATCH(Agenda2526!C81,'CAL8'!A:A,0),3,4,1,"CAL8")),0)</f>
        <v>0</v>
      </c>
      <c r="AS80" s="20" t="str">
        <f ca="1">IF(CALC2223!BE80&gt;1,INDIRECT(ADDRESS(MATCH(Agenda2526!C81,'CAL8'!A:A,0)+1,2,4,1,"CAL8")),"")</f>
        <v/>
      </c>
      <c r="AT80" s="21">
        <f ca="1">IF(CALC2223!BE80&gt;1,INDIRECT(ADDRESS(MATCH(Agenda2526!C81,'CAL8'!A:A,0)+1,3,4,1,"CAL8")),0)</f>
        <v>0</v>
      </c>
      <c r="AU80" s="20" t="str">
        <f ca="1">IF(CALC2223!BE80&gt;2,INDIRECT(ADDRESS(MATCH(Agenda2526!C81,'CAL8'!A:A,0)+2,2,4,1,"CAL8")),"")</f>
        <v/>
      </c>
      <c r="AV80" s="21">
        <f ca="1">IF(CALC2223!BE80&gt;2,INDIRECT(ADDRESS(MATCH(Agenda2526!C81,'CAL8'!A:A,0)+2,3,4,1,"CAL8")),0)</f>
        <v>0</v>
      </c>
      <c r="AW80" s="105"/>
      <c r="AX80" s="20">
        <f>COUNTIF('CAL1'!A:A,Agenda2526!C81)</f>
        <v>0</v>
      </c>
      <c r="AY80" s="20">
        <f>COUNTIF('CAL2'!A:A,Agenda2526!C81)</f>
        <v>0</v>
      </c>
      <c r="AZ80" s="20">
        <f>COUNTIF('CAL3'!A:A,Agenda2526!C81)</f>
        <v>0</v>
      </c>
      <c r="BA80" s="20">
        <f>COUNTIF('CAL4'!A:A,Agenda2526!C81)</f>
        <v>1</v>
      </c>
      <c r="BB80" s="20">
        <f>COUNTIF('CAL5'!A:A,Agenda2526!C81)</f>
        <v>0</v>
      </c>
      <c r="BC80" s="20">
        <f>COUNTIF('CAL6'!A:A,Agenda2526!C81)</f>
        <v>0</v>
      </c>
      <c r="BD80" s="20">
        <f>COUNTIF('CAL7'!A:A,Agenda2526!C81)</f>
        <v>1</v>
      </c>
      <c r="BE80" s="20">
        <f>COUNTIF('CAL8'!A:A,Agenda2526!C81)</f>
        <v>0</v>
      </c>
    </row>
    <row r="81" spans="1:57" ht="15.75" customHeight="1">
      <c r="A81" s="20" t="str">
        <f ca="1">IF(CALC2223!AX81&gt;0,INDIRECT(ADDRESS(MATCH(Agenda2526!C82,'CAL1'!A:A,0),2,4,1,"CAL1")),"")</f>
        <v/>
      </c>
      <c r="B81" s="21">
        <f ca="1">IF(CALC2223!AX81&gt;0,INDIRECT(ADDRESS(MATCH(Agenda2526!C82,'CAL1'!A:A,0),3,4,1,"CAL1")),0)</f>
        <v>0</v>
      </c>
      <c r="C81" s="20" t="str">
        <f ca="1">IF(CALC2223!AX81&gt;1,INDIRECT(ADDRESS(MATCH(Agenda2526!C82,'CAL1'!A:A,0)+1,2,4,1,"CAL1")),"")</f>
        <v/>
      </c>
      <c r="D81" s="21">
        <f ca="1">IF(CALC2223!AX81&gt;1,INDIRECT(ADDRESS(MATCH(Agenda2526!C82,'CAL1'!A:A,0)+1,3,4,1,"CAL1")),0)</f>
        <v>0</v>
      </c>
      <c r="E81" s="20" t="str">
        <f ca="1">IF(CALC2223!AX81&gt;2,INDIRECT(ADDRESS(MATCH(Agenda2526!C82,'CAL1'!A:A,0)+2,2,4,1,"CAL1")),"")</f>
        <v/>
      </c>
      <c r="F81" s="21">
        <f ca="1">IF(CALC2223!AX81&gt;2,INDIRECT(ADDRESS(MATCH(Agenda2526!C82,'CAL1'!A:A,0)+2,3,4,1,"CAL1")),0)</f>
        <v>0</v>
      </c>
      <c r="G81" s="20" t="str">
        <f ca="1">IF(CALC2223!AY81&gt;0,INDIRECT(ADDRESS(MATCH(Agenda2526!C82,'CAL2'!A:A,0),2,4,1,"CAL2")),"")</f>
        <v/>
      </c>
      <c r="H81" s="21">
        <f ca="1">IF(CALC2223!AY81&gt;0,INDIRECT(ADDRESS(MATCH(Agenda2526!C82,'CAL2'!A:A,0),3,4,1,"CAL2")),0)</f>
        <v>0</v>
      </c>
      <c r="I81" s="20" t="str">
        <f ca="1">IF(CALC2223!AY81&gt;1,INDIRECT(ADDRESS(MATCH(Agenda2526!C82,'CAL2'!A:A,0)+1,2,4,1,"CAL2")),"")</f>
        <v/>
      </c>
      <c r="J81" s="21">
        <f ca="1">IF(CALC2223!AY81&gt;1,INDIRECT(ADDRESS(MATCH(Agenda2526!C82,'CAL2'!A:A,0)+1,3,4,1,"CAL2")),0)</f>
        <v>0</v>
      </c>
      <c r="K81" s="20" t="str">
        <f ca="1">IF(CALC2223!AY81&gt;2,INDIRECT(ADDRESS(MATCH(Agenda2526!C82,'CAL2'!A:A,0)+2,2,4,1,"CAL2")),"")</f>
        <v/>
      </c>
      <c r="L81" s="21">
        <f ca="1">IF(CALC2223!AY81&gt;2,INDIRECT(ADDRESS(MATCH(Agenda2526!C82,'CAL2'!A:A,0)+2,3,4,1,"CAL2")),0)</f>
        <v>0</v>
      </c>
      <c r="M81" s="20" t="str">
        <f ca="1">IF(CALC2223!AZ81&gt;0,INDIRECT(ADDRESS(MATCH(Agenda2526!C82,'CAL3'!A:A,0),2,4,1,"CAL3")),"")</f>
        <v/>
      </c>
      <c r="N81" s="21">
        <f ca="1">IF(CALC2223!AZ81&gt;0,INDIRECT(ADDRESS(MATCH(Agenda2526!C82,'CAL3'!A:A,0),3,4,1,"CAL3")),0)</f>
        <v>0</v>
      </c>
      <c r="O81" s="20" t="str">
        <f ca="1">IF(CALC2223!AZ81&gt;1,INDIRECT(ADDRESS(MATCH(Agenda2526!C82,'CAL3'!A:A,0)+1,2,4,1,"CAL3")),"")</f>
        <v/>
      </c>
      <c r="P81" s="21">
        <f ca="1">IF(CALC2223!AZ81&gt;1,INDIRECT(ADDRESS(MATCH(Agenda2526!C82,'CAL3'!A:A,0)+1,3,4,1,"CAL3")),0)</f>
        <v>0</v>
      </c>
      <c r="Q81" s="20" t="str">
        <f ca="1">IF(CALC2223!AZ81&gt;2,INDIRECT(ADDRESS(MATCH(Agenda2526!C82,'CAL3'!A:A,0)+2,2,4,1,"CAL3")),"")</f>
        <v/>
      </c>
      <c r="R81" s="21">
        <f ca="1">IF(CALC2223!AZ81&gt;2,INDIRECT(ADDRESS(MATCH(Agenda2526!C82,'CAL3'!A:A,0)+2,3,4,1,"CAL3")),0)</f>
        <v>0</v>
      </c>
      <c r="S81" s="20" t="str">
        <f ca="1">IF(CALC2223!BA81&gt;0,INDIRECT(ADDRESS(MATCH(Agenda2526!C82,'CAL4'!A:A,0),2,4,1,"CAL4")),"")</f>
        <v/>
      </c>
      <c r="T81" s="21">
        <f ca="1">IF(CALC2223!BA81&gt;0,INDIRECT(ADDRESS(MATCH(Agenda2526!C82,'CAL4'!A:A,0),3,4,1,"CAL4")),0)</f>
        <v>0</v>
      </c>
      <c r="U81" s="20" t="str">
        <f ca="1">IF(CALC2223!BA81&gt;1,INDIRECT(ADDRESS(MATCH(Agenda2526!C82,'CAL4'!A:A,0)+1,2,4,1,"CAL4")),"")</f>
        <v/>
      </c>
      <c r="V81" s="21">
        <f ca="1">IF(CALC2223!BA81&gt;1,INDIRECT(ADDRESS(MATCH(Agenda2526!C82,'CAL4'!A:A,0)+1,3,4,1,"CAL4")),0)</f>
        <v>0</v>
      </c>
      <c r="W81" s="20" t="str">
        <f ca="1">IF(CALC2223!BA81&gt;2,INDIRECT(ADDRESS(MATCH(Agenda2526!C82,'CAL4'!A:A,0)+2,2,4,1,"CAL4")),"")</f>
        <v/>
      </c>
      <c r="X81" s="21">
        <f ca="1">IF(CALC2223!BA81&gt;2,INDIRECT(ADDRESS(MATCH(Agenda2526!C82,'CAL4'!A:A,0)+2,3,4,1,"CAL4")),0)</f>
        <v>0</v>
      </c>
      <c r="Y81" s="20" t="str">
        <f ca="1">IF(CALC2223!BB81&gt;0,INDIRECT(ADDRESS(MATCH(Agenda2526!C82,'CAL5'!A:A,0),2,4,1,"CAL5")),"")</f>
        <v>Rep NA/PWS presentaties</v>
      </c>
      <c r="Z81" s="21">
        <f ca="1">IF(CALC2223!BB81&gt;0,INDIRECT(ADDRESS(MATCH(Agenda2526!C82,'CAL5'!A:A,0),3,4,1,"CAL5")),0)</f>
        <v>45896</v>
      </c>
      <c r="AA81" s="20" t="str">
        <f ca="1">IF(CALC2223!BB81&gt;1,INDIRECT(ADDRESS(MATCH(Agenda2526!C82,'CAL5'!A:A,0)+1,2,4,1,"CAL5")),"")</f>
        <v/>
      </c>
      <c r="AB81" s="21">
        <f ca="1">IF(CALC2223!BB81&gt;1,INDIRECT(ADDRESS(MATCH(Agenda2526!C82,'CAL5'!A:A,0)+1,3,4,1,"CAL5")),0)</f>
        <v>0</v>
      </c>
      <c r="AC81" s="20" t="str">
        <f ca="1">IF(CALC2223!BB81&gt;2,INDIRECT(ADDRESS(MATCH(Agenda2526!C82,'CAL5'!A:A,0)+2,2,4,1,"CAL5")),"")</f>
        <v/>
      </c>
      <c r="AD81" s="21">
        <f ca="1">IF(CALC2223!BB81&gt;2,INDIRECT(ADDRESS(MATCH(Agenda2526!C82,'CAL5'!A:A,0)+2,3,4,1,"CAL5")),0)</f>
        <v>0</v>
      </c>
      <c r="AE81" s="20" t="str">
        <f ca="1">IF(CALC2223!BC81&gt;0,INDIRECT(ADDRESS(MATCH(Agenda2526!C82,'CAL6'!A:A,0),2,4,1,"CAL6")),"")</f>
        <v>PWS presentaties</v>
      </c>
      <c r="AF81" s="21">
        <f ca="1">IF(CALC2223!BC81&gt;0,INDIRECT(ADDRESS(MATCH(Agenda2526!C82,'CAL6'!A:A,0),3,4,1,"CAL6")),0)</f>
        <v>45896</v>
      </c>
      <c r="AG81" s="20" t="str">
        <f ca="1">IF(CALC2223!BC81&gt;1,INDIRECT(ADDRESS(MATCH(Agenda2526!C82,'CAL6'!A:A,0)+1,2,4,1,"CAL6")),"")</f>
        <v/>
      </c>
      <c r="AH81" s="21">
        <f ca="1">IF(CALC2223!BC81&gt;1,INDIRECT(ADDRESS(MATCH(Agenda2526!C82,'CAL6'!A:A,0)+1,3,4,1,"CAL6")),0)</f>
        <v>0</v>
      </c>
      <c r="AI81" s="20" t="str">
        <f ca="1">IF(CALC2223!BC81&gt;2,INDIRECT(ADDRESS(MATCH(Agenda2526!C82,'CAL6'!A:A,0)+2,2,4,1,"CAL6")),"")</f>
        <v/>
      </c>
      <c r="AJ81" s="21">
        <f ca="1">IF(CALC2223!BC81&gt;2,INDIRECT(ADDRESS(MATCH(Agenda2526!C82,'CAL6'!A:A,0)+2,3,4,1,"CAL6")),0)</f>
        <v>0</v>
      </c>
      <c r="AK81" s="20" t="str">
        <f ca="1">IF(CALC2223!BD81&gt;0,INDIRECT(ADDRESS(MATCH(Agenda2526!C82,'CAL7'!A:A,0),2,4,1,"CAL7")),"")</f>
        <v>30' rooster/leerlingbespreking lj 3</v>
      </c>
      <c r="AL81" s="21">
        <f ca="1">IF(CALC2223!BD81&gt;0,INDIRECT(ADDRESS(MATCH(Agenda2526!C82,'CAL7'!A:A,0),3,4,1,"CAL7")),0)</f>
        <v>45896</v>
      </c>
      <c r="AM81" s="20" t="str">
        <f ca="1">IF(CALC2223!BD81&gt;1,INDIRECT(ADDRESS(MATCH(Agenda2526!C82,'CAL7'!A:A,0)+1,2,4,1,"CAL7")),"")</f>
        <v/>
      </c>
      <c r="AN81" s="21">
        <f ca="1">IF(CALC2223!BD81&gt;1,INDIRECT(ADDRESS(MATCH(Agenda2526!C82,'CAL7'!A:A,0)+1,3,4,1,"CAL7")),0)</f>
        <v>0</v>
      </c>
      <c r="AO81" s="20" t="str">
        <f ca="1">IF(CALC2223!BD81&gt;2,INDIRECT(ADDRESS(MATCH(Agenda2526!C82,'CAL7'!A:A,0)+2,2,4,1,"CAL7")),"")</f>
        <v/>
      </c>
      <c r="AP81" s="21">
        <f ca="1">IF(CALC2223!BD81&gt;2,INDIRECT(ADDRESS(MATCH(Agenda2526!C82,'CAL7'!A:A,0)+2,3,4,1,"CAL7")),0)</f>
        <v>0</v>
      </c>
      <c r="AQ81" s="20" t="str">
        <f ca="1">IF(CALC2223!BE81&gt;0,INDIRECT(ADDRESS(MATCH(Agenda2526!C82,'CAL8'!A:A,0),2,4,1,"CAL8")),"")</f>
        <v/>
      </c>
      <c r="AR81" s="21">
        <f ca="1">IF(CALC2223!BE81&gt;0,INDIRECT(ADDRESS(MATCH(Agenda2526!C82,'CAL8'!A:A,0),3,4,1,"CAL8")),0)</f>
        <v>0</v>
      </c>
      <c r="AS81" s="20" t="str">
        <f ca="1">IF(CALC2223!BE81&gt;1,INDIRECT(ADDRESS(MATCH(Agenda2526!C82,'CAL8'!A:A,0)+1,2,4,1,"CAL8")),"")</f>
        <v/>
      </c>
      <c r="AT81" s="21">
        <f ca="1">IF(CALC2223!BE81&gt;1,INDIRECT(ADDRESS(MATCH(Agenda2526!C82,'CAL8'!A:A,0)+1,3,4,1,"CAL8")),0)</f>
        <v>0</v>
      </c>
      <c r="AU81" s="20" t="str">
        <f ca="1">IF(CALC2223!BE81&gt;2,INDIRECT(ADDRESS(MATCH(Agenda2526!C82,'CAL8'!A:A,0)+2,2,4,1,"CAL8")),"")</f>
        <v/>
      </c>
      <c r="AV81" s="21">
        <f ca="1">IF(CALC2223!BE81&gt;2,INDIRECT(ADDRESS(MATCH(Agenda2526!C82,'CAL8'!A:A,0)+2,3,4,1,"CAL8")),0)</f>
        <v>0</v>
      </c>
      <c r="AW81" s="105"/>
      <c r="AX81" s="20">
        <f>COUNTIF('CAL1'!A:A,Agenda2526!C82)</f>
        <v>0</v>
      </c>
      <c r="AY81" s="20">
        <f>COUNTIF('CAL2'!A:A,Agenda2526!C82)</f>
        <v>0</v>
      </c>
      <c r="AZ81" s="20">
        <f>COUNTIF('CAL3'!A:A,Agenda2526!C82)</f>
        <v>0</v>
      </c>
      <c r="BA81" s="20">
        <f>COUNTIF('CAL4'!A:A,Agenda2526!C82)</f>
        <v>0</v>
      </c>
      <c r="BB81" s="20">
        <f>COUNTIF('CAL5'!A:A,Agenda2526!C82)</f>
        <v>1</v>
      </c>
      <c r="BC81" s="20">
        <f>COUNTIF('CAL6'!A:A,Agenda2526!C82)</f>
        <v>1</v>
      </c>
      <c r="BD81" s="20">
        <f>COUNTIF('CAL7'!A:A,Agenda2526!C82)</f>
        <v>1</v>
      </c>
      <c r="BE81" s="20">
        <f>COUNTIF('CAL8'!A:A,Agenda2526!C82)</f>
        <v>0</v>
      </c>
    </row>
    <row r="82" spans="1:57" ht="15.75" customHeight="1">
      <c r="A82" s="20" t="str">
        <f ca="1">IF(CALC2223!AX82&gt;0,INDIRECT(ADDRESS(MATCH(Agenda2526!C83,'CAL1'!A:A,0),2,4,1,"CAL1")),"")</f>
        <v/>
      </c>
      <c r="B82" s="21">
        <f ca="1">IF(CALC2223!AX82&gt;0,INDIRECT(ADDRESS(MATCH(Agenda2526!C83,'CAL1'!A:A,0),3,4,1,"CAL1")),0)</f>
        <v>0</v>
      </c>
      <c r="C82" s="20" t="str">
        <f ca="1">IF(CALC2223!AX82&gt;1,INDIRECT(ADDRESS(MATCH(Agenda2526!C83,'CAL1'!A:A,0)+1,2,4,1,"CAL1")),"")</f>
        <v/>
      </c>
      <c r="D82" s="21">
        <f ca="1">IF(CALC2223!AX82&gt;1,INDIRECT(ADDRESS(MATCH(Agenda2526!C83,'CAL1'!A:A,0)+1,3,4,1,"CAL1")),0)</f>
        <v>0</v>
      </c>
      <c r="E82" s="20" t="str">
        <f ca="1">IF(CALC2223!AX82&gt;2,INDIRECT(ADDRESS(MATCH(Agenda2526!C83,'CAL1'!A:A,0)+2,2,4,1,"CAL1")),"")</f>
        <v/>
      </c>
      <c r="F82" s="21">
        <f ca="1">IF(CALC2223!AX82&gt;2,INDIRECT(ADDRESS(MATCH(Agenda2526!C83,'CAL1'!A:A,0)+2,3,4,1,"CAL1")),0)</f>
        <v>0</v>
      </c>
      <c r="G82" s="20" t="str">
        <f ca="1">IF(CALC2223!AY82&gt;0,INDIRECT(ADDRESS(MATCH(Agenda2526!C83,'CAL2'!A:A,0),2,4,1,"CAL2")),"")</f>
        <v/>
      </c>
      <c r="H82" s="21">
        <f ca="1">IF(CALC2223!AY82&gt;0,INDIRECT(ADDRESS(MATCH(Agenda2526!C83,'CAL2'!A:A,0),3,4,1,"CAL2")),0)</f>
        <v>0</v>
      </c>
      <c r="I82" s="20" t="str">
        <f ca="1">IF(CALC2223!AY82&gt;1,INDIRECT(ADDRESS(MATCH(Agenda2526!C83,'CAL2'!A:A,0)+1,2,4,1,"CAL2")),"")</f>
        <v/>
      </c>
      <c r="J82" s="21">
        <f ca="1">IF(CALC2223!AY82&gt;1,INDIRECT(ADDRESS(MATCH(Agenda2526!C83,'CAL2'!A:A,0)+1,3,4,1,"CAL2")),0)</f>
        <v>0</v>
      </c>
      <c r="K82" s="20" t="str">
        <f ca="1">IF(CALC2223!AY82&gt;2,INDIRECT(ADDRESS(MATCH(Agenda2526!C83,'CAL2'!A:A,0)+2,2,4,1,"CAL2")),"")</f>
        <v/>
      </c>
      <c r="L82" s="21">
        <f ca="1">IF(CALC2223!AY82&gt;2,INDIRECT(ADDRESS(MATCH(Agenda2526!C83,'CAL2'!A:A,0)+2,3,4,1,"CAL2")),0)</f>
        <v>0</v>
      </c>
      <c r="M82" s="20" t="str">
        <f ca="1">IF(CALC2223!AZ82&gt;0,INDIRECT(ADDRESS(MATCH(Agenda2526!C83,'CAL3'!A:A,0),2,4,1,"CAL3")),"")</f>
        <v>Rep FA</v>
      </c>
      <c r="N82" s="21">
        <f ca="1">IF(CALC2223!AZ82&gt;0,INDIRECT(ADDRESS(MATCH(Agenda2526!C83,'CAL3'!A:A,0),3,4,1,"CAL3")),0)</f>
        <v>45903</v>
      </c>
      <c r="O82" s="20" t="str">
        <f ca="1">IF(CALC2223!AZ82&gt;1,INDIRECT(ADDRESS(MATCH(Agenda2526!C83,'CAL3'!A:A,0)+1,2,4,1,"CAL3")),"")</f>
        <v/>
      </c>
      <c r="P82" s="21">
        <f ca="1">IF(CALC2223!AZ82&gt;1,INDIRECT(ADDRESS(MATCH(Agenda2526!C83,'CAL3'!A:A,0)+1,3,4,1,"CAL3")),0)</f>
        <v>0</v>
      </c>
      <c r="Q82" s="20" t="str">
        <f ca="1">IF(CALC2223!AZ82&gt;2,INDIRECT(ADDRESS(MATCH(Agenda2526!C83,'CAL3'!A:A,0)+2,2,4,1,"CAL3")),"")</f>
        <v/>
      </c>
      <c r="R82" s="21">
        <f ca="1">IF(CALC2223!AZ82&gt;2,INDIRECT(ADDRESS(MATCH(Agenda2526!C83,'CAL3'!A:A,0)+2,3,4,1,"CAL3")),0)</f>
        <v>0</v>
      </c>
      <c r="S82" s="20" t="str">
        <f ca="1">IF(CALC2223!BA82&gt;0,INDIRECT(ADDRESS(MATCH(Agenda2526!C83,'CAL4'!A:A,0),2,4,1,"CAL4")),"")</f>
        <v>inh rep SK</v>
      </c>
      <c r="T82" s="21">
        <f ca="1">IF(CALC2223!BA82&gt;0,INDIRECT(ADDRESS(MATCH(Agenda2526!C83,'CAL4'!A:A,0),3,4,1,"CAL4")),0)</f>
        <v>45936</v>
      </c>
      <c r="U82" s="20" t="str">
        <f ca="1">IF(CALC2223!BA82&gt;1,INDIRECT(ADDRESS(MATCH(Agenda2526!C83,'CAL4'!A:A,0)+1,2,4,1,"CAL4")),"")</f>
        <v/>
      </c>
      <c r="V82" s="21">
        <f ca="1">IF(CALC2223!BA82&gt;1,INDIRECT(ADDRESS(MATCH(Agenda2526!C83,'CAL4'!A:A,0)+1,3,4,1,"CAL4")),0)</f>
        <v>0</v>
      </c>
      <c r="W82" s="20" t="str">
        <f ca="1">IF(CALC2223!BA82&gt;2,INDIRECT(ADDRESS(MATCH(Agenda2526!C83,'CAL4'!A:A,0)+2,2,4,1,"CAL4")),"")</f>
        <v/>
      </c>
      <c r="X82" s="21">
        <f ca="1">IF(CALC2223!BA82&gt;2,INDIRECT(ADDRESS(MATCH(Agenda2526!C83,'CAL4'!A:A,0)+2,3,4,1,"CAL4")),0)</f>
        <v>0</v>
      </c>
      <c r="Y82" s="20" t="str">
        <f ca="1">IF(CALC2223!BB82&gt;0,INDIRECT(ADDRESS(MATCH(Agenda2526!C83,'CAL5'!A:A,0),2,4,1,"CAL5")),"")</f>
        <v>inh rep BI</v>
      </c>
      <c r="Z82" s="21">
        <f ca="1">IF(CALC2223!BB82&gt;0,INDIRECT(ADDRESS(MATCH(Agenda2526!C83,'CAL5'!A:A,0),3,4,1,"CAL5")),0)</f>
        <v>45936</v>
      </c>
      <c r="AA82" s="20" t="str">
        <f ca="1">IF(CALC2223!BB82&gt;1,INDIRECT(ADDRESS(MATCH(Agenda2526!C83,'CAL5'!A:A,0)+1,2,4,1,"CAL5")),"")</f>
        <v/>
      </c>
      <c r="AB82" s="21">
        <f ca="1">IF(CALC2223!BB82&gt;1,INDIRECT(ADDRESS(MATCH(Agenda2526!C83,'CAL5'!A:A,0)+1,3,4,1,"CAL5")),0)</f>
        <v>0</v>
      </c>
      <c r="AC82" s="20" t="str">
        <f ca="1">IF(CALC2223!BB82&gt;2,INDIRECT(ADDRESS(MATCH(Agenda2526!C83,'CAL5'!A:A,0)+2,2,4,1,"CAL5")),"")</f>
        <v/>
      </c>
      <c r="AD82" s="21">
        <f ca="1">IF(CALC2223!BB82&gt;2,INDIRECT(ADDRESS(MATCH(Agenda2526!C83,'CAL5'!A:A,0)+2,3,4,1,"CAL5")),0)</f>
        <v>0</v>
      </c>
      <c r="AE82" s="20" t="str">
        <f ca="1">IF(CALC2223!BC82&gt;0,INDIRECT(ADDRESS(MATCH(Agenda2526!C83,'CAL6'!A:A,0),2,4,1,"CAL6")),"")</f>
        <v/>
      </c>
      <c r="AF82" s="21">
        <f ca="1">IF(CALC2223!BC82&gt;0,INDIRECT(ADDRESS(MATCH(Agenda2526!C83,'CAL6'!A:A,0),3,4,1,"CAL6")),0)</f>
        <v>0</v>
      </c>
      <c r="AG82" s="20" t="str">
        <f ca="1">IF(CALC2223!BC82&gt;1,INDIRECT(ADDRESS(MATCH(Agenda2526!C83,'CAL6'!A:A,0)+1,2,4,1,"CAL6")),"")</f>
        <v/>
      </c>
      <c r="AH82" s="21">
        <f ca="1">IF(CALC2223!BC82&gt;1,INDIRECT(ADDRESS(MATCH(Agenda2526!C83,'CAL6'!A:A,0)+1,3,4,1,"CAL6")),0)</f>
        <v>0</v>
      </c>
      <c r="AI82" s="20" t="str">
        <f ca="1">IF(CALC2223!BC82&gt;2,INDIRECT(ADDRESS(MATCH(Agenda2526!C83,'CAL6'!A:A,0)+2,2,4,1,"CAL6")),"")</f>
        <v/>
      </c>
      <c r="AJ82" s="21">
        <f ca="1">IF(CALC2223!BC82&gt;2,INDIRECT(ADDRESS(MATCH(Agenda2526!C83,'CAL6'!A:A,0)+2,3,4,1,"CAL6")),0)</f>
        <v>0</v>
      </c>
      <c r="AK82" s="20" t="str">
        <f ca="1">IF(CALC2223!BD82&gt;0,INDIRECT(ADDRESS(MATCH(Agenda2526!C83,'CAL7'!A:A,0),2,4,1,"CAL7")),"")</f>
        <v>30" rooster; secties#3</v>
      </c>
      <c r="AL82" s="21">
        <f ca="1">IF(CALC2223!BD82&gt;0,INDIRECT(ADDRESS(MATCH(Agenda2526!C83,'CAL7'!A:A,0),3,4,1,"CAL7")),0)</f>
        <v>45959</v>
      </c>
      <c r="AM82" s="20" t="str">
        <f ca="1">IF(CALC2223!BD82&gt;1,INDIRECT(ADDRESS(MATCH(Agenda2526!C83,'CAL7'!A:A,0)+1,2,4,1,"CAL7")),"")</f>
        <v/>
      </c>
      <c r="AN82" s="21">
        <f ca="1">IF(CALC2223!BD82&gt;1,INDIRECT(ADDRESS(MATCH(Agenda2526!C83,'CAL7'!A:A,0)+1,3,4,1,"CAL7")),0)</f>
        <v>0</v>
      </c>
      <c r="AO82" s="20" t="str">
        <f ca="1">IF(CALC2223!BD82&gt;2,INDIRECT(ADDRESS(MATCH(Agenda2526!C83,'CAL7'!A:A,0)+2,2,4,1,"CAL7")),"")</f>
        <v/>
      </c>
      <c r="AP82" s="21">
        <f ca="1">IF(CALC2223!BD82&gt;2,INDIRECT(ADDRESS(MATCH(Agenda2526!C83,'CAL7'!A:A,0)+2,3,4,1,"CAL7")),0)</f>
        <v>0</v>
      </c>
      <c r="AQ82" s="20" t="str">
        <f ca="1">IF(CALC2223!BE82&gt;0,INDIRECT(ADDRESS(MATCH(Agenda2526!C83,'CAL8'!A:A,0),2,4,1,"CAL8")),"")</f>
        <v/>
      </c>
      <c r="AR82" s="21">
        <f ca="1">IF(CALC2223!BE82&gt;0,INDIRECT(ADDRESS(MATCH(Agenda2526!C83,'CAL8'!A:A,0),3,4,1,"CAL8")),0)</f>
        <v>0</v>
      </c>
      <c r="AS82" s="20" t="str">
        <f ca="1">IF(CALC2223!BE82&gt;1,INDIRECT(ADDRESS(MATCH(Agenda2526!C83,'CAL8'!A:A,0)+1,2,4,1,"CAL8")),"")</f>
        <v/>
      </c>
      <c r="AT82" s="21">
        <f ca="1">IF(CALC2223!BE82&gt;1,INDIRECT(ADDRESS(MATCH(Agenda2526!C83,'CAL8'!A:A,0)+1,3,4,1,"CAL8")),0)</f>
        <v>0</v>
      </c>
      <c r="AU82" s="20" t="str">
        <f ca="1">IF(CALC2223!BE82&gt;2,INDIRECT(ADDRESS(MATCH(Agenda2526!C83,'CAL8'!A:A,0)+2,2,4,1,"CAL8")),"")</f>
        <v/>
      </c>
      <c r="AV82" s="21">
        <f ca="1">IF(CALC2223!BE82&gt;2,INDIRECT(ADDRESS(MATCH(Agenda2526!C83,'CAL8'!A:A,0)+2,3,4,1,"CAL8")),0)</f>
        <v>0</v>
      </c>
      <c r="AW82" s="105"/>
      <c r="AX82" s="20">
        <f>COUNTIF('CAL1'!A:A,Agenda2526!C83)</f>
        <v>0</v>
      </c>
      <c r="AY82" s="20">
        <f>COUNTIF('CAL2'!A:A,Agenda2526!C83)</f>
        <v>0</v>
      </c>
      <c r="AZ82" s="20">
        <f>COUNTIF('CAL3'!A:A,Agenda2526!C83)</f>
        <v>1</v>
      </c>
      <c r="BA82" s="20">
        <f>COUNTIF('CAL4'!A:A,Agenda2526!C83)</f>
        <v>1</v>
      </c>
      <c r="BB82" s="20">
        <f>COUNTIF('CAL5'!A:A,Agenda2526!C83)</f>
        <v>1</v>
      </c>
      <c r="BC82" s="20">
        <f>COUNTIF('CAL6'!A:A,Agenda2526!C83)</f>
        <v>0</v>
      </c>
      <c r="BD82" s="20">
        <f>COUNTIF('CAL7'!A:A,Agenda2526!C83)</f>
        <v>1</v>
      </c>
      <c r="BE82" s="20">
        <f>COUNTIF('CAL8'!A:A,Agenda2526!C83)</f>
        <v>0</v>
      </c>
    </row>
    <row r="83" spans="1:57" ht="15.75" customHeight="1">
      <c r="A83" s="20" t="str">
        <f ca="1">IF(CALC2223!AX83&gt;0,INDIRECT(ADDRESS(MATCH(Agenda2526!C84,'CAL1'!A:A,0),2,4,1,"CAL1")),"")</f>
        <v/>
      </c>
      <c r="B83" s="21">
        <f ca="1">IF(CALC2223!AX83&gt;0,INDIRECT(ADDRESS(MATCH(Agenda2526!C84,'CAL1'!A:A,0),3,4,1,"CAL1")),0)</f>
        <v>0</v>
      </c>
      <c r="C83" s="20" t="str">
        <f ca="1">IF(CALC2223!AX83&gt;1,INDIRECT(ADDRESS(MATCH(Agenda2526!C84,'CAL1'!A:A,0)+1,2,4,1,"CAL1")),"")</f>
        <v/>
      </c>
      <c r="D83" s="21">
        <f ca="1">IF(CALC2223!AX83&gt;1,INDIRECT(ADDRESS(MATCH(Agenda2526!C84,'CAL1'!A:A,0)+1,3,4,1,"CAL1")),0)</f>
        <v>0</v>
      </c>
      <c r="E83" s="20" t="str">
        <f ca="1">IF(CALC2223!AX83&gt;2,INDIRECT(ADDRESS(MATCH(Agenda2526!C84,'CAL1'!A:A,0)+2,2,4,1,"CAL1")),"")</f>
        <v/>
      </c>
      <c r="F83" s="21">
        <f ca="1">IF(CALC2223!AX83&gt;2,INDIRECT(ADDRESS(MATCH(Agenda2526!C84,'CAL1'!A:A,0)+2,3,4,1,"CAL1")),0)</f>
        <v>0</v>
      </c>
      <c r="G83" s="20" t="str">
        <f ca="1">IF(CALC2223!AY83&gt;0,INDIRECT(ADDRESS(MATCH(Agenda2526!C84,'CAL2'!A:A,0),2,4,1,"CAL2")),"")</f>
        <v>Rep DU</v>
      </c>
      <c r="H83" s="21">
        <f ca="1">IF(CALC2223!AY83&gt;0,INDIRECT(ADDRESS(MATCH(Agenda2526!C84,'CAL2'!A:A,0),3,4,1,"CAL2")),0)</f>
        <v>45903</v>
      </c>
      <c r="I83" s="20" t="str">
        <f ca="1">IF(CALC2223!AY83&gt;1,INDIRECT(ADDRESS(MATCH(Agenda2526!C84,'CAL2'!A:A,0)+1,2,4,1,"CAL2")),"")</f>
        <v/>
      </c>
      <c r="J83" s="21">
        <f ca="1">IF(CALC2223!AY83&gt;1,INDIRECT(ADDRESS(MATCH(Agenda2526!C84,'CAL2'!A:A,0)+1,3,4,1,"CAL2")),0)</f>
        <v>0</v>
      </c>
      <c r="K83" s="20" t="str">
        <f ca="1">IF(CALC2223!AY83&gt;2,INDIRECT(ADDRESS(MATCH(Agenda2526!C84,'CAL2'!A:A,0)+2,2,4,1,"CAL2")),"")</f>
        <v/>
      </c>
      <c r="L83" s="21">
        <f ca="1">IF(CALC2223!AY83&gt;2,INDIRECT(ADDRESS(MATCH(Agenda2526!C84,'CAL2'!A:A,0)+2,3,4,1,"CAL2")),0)</f>
        <v>0</v>
      </c>
      <c r="M83" s="20" t="str">
        <f ca="1">IF(CALC2223!AZ83&gt;0,INDIRECT(ADDRESS(MATCH(Agenda2526!C84,'CAL3'!A:A,0),2,4,1,"CAL3")),"")</f>
        <v/>
      </c>
      <c r="N83" s="21">
        <f ca="1">IF(CALC2223!AZ83&gt;0,INDIRECT(ADDRESS(MATCH(Agenda2526!C84,'CAL3'!A:A,0),3,4,1,"CAL3")),0)</f>
        <v>0</v>
      </c>
      <c r="O83" s="20" t="str">
        <f ca="1">IF(CALC2223!AZ83&gt;1,INDIRECT(ADDRESS(MATCH(Agenda2526!C84,'CAL3'!A:A,0)+1,2,4,1,"CAL3")),"")</f>
        <v/>
      </c>
      <c r="P83" s="21">
        <f ca="1">IF(CALC2223!AZ83&gt;1,INDIRECT(ADDRESS(MATCH(Agenda2526!C84,'CAL3'!A:A,0)+1,3,4,1,"CAL3")),0)</f>
        <v>0</v>
      </c>
      <c r="Q83" s="20" t="str">
        <f ca="1">IF(CALC2223!AZ83&gt;2,INDIRECT(ADDRESS(MATCH(Agenda2526!C84,'CAL3'!A:A,0)+2,2,4,1,"CAL3")),"")</f>
        <v/>
      </c>
      <c r="R83" s="21">
        <f ca="1">IF(CALC2223!AZ83&gt;2,INDIRECT(ADDRESS(MATCH(Agenda2526!C84,'CAL3'!A:A,0)+2,3,4,1,"CAL3")),0)</f>
        <v>0</v>
      </c>
      <c r="S83" s="20" t="str">
        <f ca="1">IF(CALC2223!BA83&gt;0,INDIRECT(ADDRESS(MATCH(Agenda2526!C84,'CAL4'!A:A,0),2,4,1,"CAL4")),"")</f>
        <v>Rep BI</v>
      </c>
      <c r="T83" s="21">
        <f ca="1">IF(CALC2223!BA83&gt;0,INDIRECT(ADDRESS(MATCH(Agenda2526!C84,'CAL4'!A:A,0),3,4,1,"CAL4")),0)</f>
        <v>45896</v>
      </c>
      <c r="U83" s="20" t="str">
        <f ca="1">IF(CALC2223!BA83&gt;1,INDIRECT(ADDRESS(MATCH(Agenda2526!C84,'CAL4'!A:A,0)+1,2,4,1,"CAL4")),"")</f>
        <v/>
      </c>
      <c r="V83" s="21">
        <f ca="1">IF(CALC2223!BA83&gt;1,INDIRECT(ADDRESS(MATCH(Agenda2526!C84,'CAL4'!A:A,0)+1,3,4,1,"CAL4")),0)</f>
        <v>0</v>
      </c>
      <c r="W83" s="20" t="str">
        <f ca="1">IF(CALC2223!BA83&gt;2,INDIRECT(ADDRESS(MATCH(Agenda2526!C84,'CAL4'!A:A,0)+2,2,4,1,"CAL4")),"")</f>
        <v/>
      </c>
      <c r="X83" s="21">
        <f ca="1">IF(CALC2223!BA83&gt;2,INDIRECT(ADDRESS(MATCH(Agenda2526!C84,'CAL4'!A:A,0)+2,3,4,1,"CAL4")),0)</f>
        <v>0</v>
      </c>
      <c r="Y83" s="20" t="str">
        <f ca="1">IF(CALC2223!BB83&gt;0,INDIRECT(ADDRESS(MATCH(Agenda2526!C84,'CAL5'!A:A,0),2,4,1,"CAL5")),"")</f>
        <v/>
      </c>
      <c r="Z83" s="21">
        <f ca="1">IF(CALC2223!BB83&gt;0,INDIRECT(ADDRESS(MATCH(Agenda2526!C84,'CAL5'!A:A,0),3,4,1,"CAL5")),0)</f>
        <v>0</v>
      </c>
      <c r="AA83" s="20" t="str">
        <f ca="1">IF(CALC2223!BB83&gt;1,INDIRECT(ADDRESS(MATCH(Agenda2526!C84,'CAL5'!A:A,0)+1,2,4,1,"CAL5")),"")</f>
        <v/>
      </c>
      <c r="AB83" s="21">
        <f ca="1">IF(CALC2223!BB83&gt;1,INDIRECT(ADDRESS(MATCH(Agenda2526!C84,'CAL5'!A:A,0)+1,3,4,1,"CAL5")),0)</f>
        <v>0</v>
      </c>
      <c r="AC83" s="20" t="str">
        <f ca="1">IF(CALC2223!BB83&gt;2,INDIRECT(ADDRESS(MATCH(Agenda2526!C84,'CAL5'!A:A,0)+2,2,4,1,"CAL5")),"")</f>
        <v/>
      </c>
      <c r="AD83" s="21">
        <f ca="1">IF(CALC2223!BB83&gt;2,INDIRECT(ADDRESS(MATCH(Agenda2526!C84,'CAL5'!A:A,0)+2,3,4,1,"CAL5")),0)</f>
        <v>0</v>
      </c>
      <c r="AE83" s="20" t="str">
        <f ca="1">IF(CALC2223!BC83&gt;0,INDIRECT(ADDRESS(MATCH(Agenda2526!C84,'CAL6'!A:A,0),2,4,1,"CAL6")),"")</f>
        <v>PWS inleveren</v>
      </c>
      <c r="AF83" s="21">
        <f ca="1">IF(CALC2223!BC83&gt;0,INDIRECT(ADDRESS(MATCH(Agenda2526!C84,'CAL6'!A:A,0),3,4,1,"CAL6")),0)</f>
        <v>45896</v>
      </c>
      <c r="AG83" s="20" t="str">
        <f ca="1">IF(CALC2223!BC83&gt;1,INDIRECT(ADDRESS(MATCH(Agenda2526!C84,'CAL6'!A:A,0)+1,2,4,1,"CAL6")),"")</f>
        <v/>
      </c>
      <c r="AH83" s="21">
        <f ca="1">IF(CALC2223!BC83&gt;1,INDIRECT(ADDRESS(MATCH(Agenda2526!C84,'CAL6'!A:A,0)+1,3,4,1,"CAL6")),0)</f>
        <v>0</v>
      </c>
      <c r="AI83" s="20" t="str">
        <f ca="1">IF(CALC2223!BC83&gt;2,INDIRECT(ADDRESS(MATCH(Agenda2526!C84,'CAL6'!A:A,0)+2,2,4,1,"CAL6")),"")</f>
        <v/>
      </c>
      <c r="AJ83" s="21">
        <f ca="1">IF(CALC2223!BC83&gt;2,INDIRECT(ADDRESS(MATCH(Agenda2526!C84,'CAL6'!A:A,0)+2,3,4,1,"CAL6")),0)</f>
        <v>0</v>
      </c>
      <c r="AK83" s="20" t="str">
        <f ca="1">IF(CALC2223!BD83&gt;0,INDIRECT(ADDRESS(MATCH(Agenda2526!C84,'CAL7'!A:A,0),2,4,1,"CAL7")),"")</f>
        <v>30' rooster/leerlingbespreking lj 4</v>
      </c>
      <c r="AL83" s="21">
        <f ca="1">IF(CALC2223!BD83&gt;0,INDIRECT(ADDRESS(MATCH(Agenda2526!C84,'CAL7'!A:A,0),3,4,1,"CAL7")),0)</f>
        <v>45896</v>
      </c>
      <c r="AM83" s="20" t="str">
        <f ca="1">IF(CALC2223!BD83&gt;1,INDIRECT(ADDRESS(MATCH(Agenda2526!C84,'CAL7'!A:A,0)+1,2,4,1,"CAL7")),"")</f>
        <v/>
      </c>
      <c r="AN83" s="21">
        <f ca="1">IF(CALC2223!BD83&gt;1,INDIRECT(ADDRESS(MATCH(Agenda2526!C84,'CAL7'!A:A,0)+1,3,4,1,"CAL7")),0)</f>
        <v>0</v>
      </c>
      <c r="AO83" s="20" t="str">
        <f ca="1">IF(CALC2223!BD83&gt;2,INDIRECT(ADDRESS(MATCH(Agenda2526!C84,'CAL7'!A:A,0)+2,2,4,1,"CAL7")),"")</f>
        <v/>
      </c>
      <c r="AP83" s="21">
        <f ca="1">IF(CALC2223!BD83&gt;2,INDIRECT(ADDRESS(MATCH(Agenda2526!C84,'CAL7'!A:A,0)+2,3,4,1,"CAL7")),0)</f>
        <v>0</v>
      </c>
      <c r="AQ83" s="20" t="str">
        <f ca="1">IF(CALC2223!BE83&gt;0,INDIRECT(ADDRESS(MATCH(Agenda2526!C84,'CAL8'!A:A,0),2,4,1,"CAL8")),"")</f>
        <v/>
      </c>
      <c r="AR83" s="21">
        <f ca="1">IF(CALC2223!BE83&gt;0,INDIRECT(ADDRESS(MATCH(Agenda2526!C84,'CAL8'!A:A,0),3,4,1,"CAL8")),0)</f>
        <v>0</v>
      </c>
      <c r="AS83" s="20" t="str">
        <f ca="1">IF(CALC2223!BE83&gt;1,INDIRECT(ADDRESS(MATCH(Agenda2526!C84,'CAL8'!A:A,0)+1,2,4,1,"CAL8")),"")</f>
        <v/>
      </c>
      <c r="AT83" s="21">
        <f ca="1">IF(CALC2223!BE83&gt;1,INDIRECT(ADDRESS(MATCH(Agenda2526!C84,'CAL8'!A:A,0)+1,3,4,1,"CAL8")),0)</f>
        <v>0</v>
      </c>
      <c r="AU83" s="20" t="str">
        <f ca="1">IF(CALC2223!BE83&gt;2,INDIRECT(ADDRESS(MATCH(Agenda2526!C84,'CAL8'!A:A,0)+2,2,4,1,"CAL8")),"")</f>
        <v/>
      </c>
      <c r="AV83" s="21">
        <f ca="1">IF(CALC2223!BE83&gt;2,INDIRECT(ADDRESS(MATCH(Agenda2526!C84,'CAL8'!A:A,0)+2,3,4,1,"CAL8")),0)</f>
        <v>0</v>
      </c>
      <c r="AW83" s="105"/>
      <c r="AX83" s="20">
        <f>COUNTIF('CAL1'!A:A,Agenda2526!C84)</f>
        <v>0</v>
      </c>
      <c r="AY83" s="20">
        <f>COUNTIF('CAL2'!A:A,Agenda2526!C84)</f>
        <v>1</v>
      </c>
      <c r="AZ83" s="20">
        <f>COUNTIF('CAL3'!A:A,Agenda2526!C84)</f>
        <v>0</v>
      </c>
      <c r="BA83" s="20">
        <f>COUNTIF('CAL4'!A:A,Agenda2526!C84)</f>
        <v>1</v>
      </c>
      <c r="BB83" s="20">
        <f>COUNTIF('CAL5'!A:A,Agenda2526!C84)</f>
        <v>0</v>
      </c>
      <c r="BC83" s="20">
        <f>COUNTIF('CAL6'!A:A,Agenda2526!C84)</f>
        <v>1</v>
      </c>
      <c r="BD83" s="20">
        <f>COUNTIF('CAL7'!A:A,Agenda2526!C84)</f>
        <v>1</v>
      </c>
      <c r="BE83" s="20">
        <f>COUNTIF('CAL8'!A:A,Agenda2526!C84)</f>
        <v>0</v>
      </c>
    </row>
    <row r="84" spans="1:57" ht="15.75" customHeight="1">
      <c r="A84" s="20" t="str">
        <f ca="1">IF(CALC2223!AX84&gt;0,INDIRECT(ADDRESS(MATCH(Agenda2526!C85,'CAL1'!A:A,0),2,4,1,"CAL1")),"")</f>
        <v/>
      </c>
      <c r="B84" s="21">
        <f ca="1">IF(CALC2223!AX84&gt;0,INDIRECT(ADDRESS(MATCH(Agenda2526!C85,'CAL1'!A:A,0),3,4,1,"CAL1")),0)</f>
        <v>0</v>
      </c>
      <c r="C84" s="20" t="str">
        <f ca="1">IF(CALC2223!AX84&gt;1,INDIRECT(ADDRESS(MATCH(Agenda2526!C85,'CAL1'!A:A,0)+1,2,4,1,"CAL1")),"")</f>
        <v/>
      </c>
      <c r="D84" s="21">
        <f ca="1">IF(CALC2223!AX84&gt;1,INDIRECT(ADDRESS(MATCH(Agenda2526!C85,'CAL1'!A:A,0)+1,3,4,1,"CAL1")),0)</f>
        <v>0</v>
      </c>
      <c r="E84" s="20" t="str">
        <f ca="1">IF(CALC2223!AX84&gt;2,INDIRECT(ADDRESS(MATCH(Agenda2526!C85,'CAL1'!A:A,0)+2,2,4,1,"CAL1")),"")</f>
        <v/>
      </c>
      <c r="F84" s="21">
        <f ca="1">IF(CALC2223!AX84&gt;2,INDIRECT(ADDRESS(MATCH(Agenda2526!C85,'CAL1'!A:A,0)+2,3,4,1,"CAL1")),0)</f>
        <v>0</v>
      </c>
      <c r="G84" s="20" t="str">
        <f ca="1">IF(CALC2223!AY84&gt;0,INDIRECT(ADDRESS(MATCH(Agenda2526!C85,'CAL2'!A:A,0),2,4,1,"CAL2")),"")</f>
        <v/>
      </c>
      <c r="H84" s="21">
        <f ca="1">IF(CALC2223!AY84&gt;0,INDIRECT(ADDRESS(MATCH(Agenda2526!C85,'CAL2'!A:A,0),3,4,1,"CAL2")),0)</f>
        <v>0</v>
      </c>
      <c r="I84" s="20" t="str">
        <f ca="1">IF(CALC2223!AY84&gt;1,INDIRECT(ADDRESS(MATCH(Agenda2526!C85,'CAL2'!A:A,0)+1,2,4,1,"CAL2")),"")</f>
        <v/>
      </c>
      <c r="J84" s="21">
        <f ca="1">IF(CALC2223!AY84&gt;1,INDIRECT(ADDRESS(MATCH(Agenda2526!C85,'CAL2'!A:A,0)+1,3,4,1,"CAL2")),0)</f>
        <v>0</v>
      </c>
      <c r="K84" s="20" t="str">
        <f ca="1">IF(CALC2223!AY84&gt;2,INDIRECT(ADDRESS(MATCH(Agenda2526!C85,'CAL2'!A:A,0)+2,2,4,1,"CAL2")),"")</f>
        <v/>
      </c>
      <c r="L84" s="21">
        <f ca="1">IF(CALC2223!AY84&gt;2,INDIRECT(ADDRESS(MATCH(Agenda2526!C85,'CAL2'!A:A,0)+2,3,4,1,"CAL2")),0)</f>
        <v>0</v>
      </c>
      <c r="M84" s="20" t="str">
        <f ca="1">IF(CALC2223!AZ84&gt;0,INDIRECT(ADDRESS(MATCH(Agenda2526!C85,'CAL3'!A:A,0),2,4,1,"CAL3")),"")</f>
        <v/>
      </c>
      <c r="N84" s="21">
        <f ca="1">IF(CALC2223!AZ84&gt;0,INDIRECT(ADDRESS(MATCH(Agenda2526!C85,'CAL3'!A:A,0),3,4,1,"CAL3")),0)</f>
        <v>0</v>
      </c>
      <c r="O84" s="20" t="str">
        <f ca="1">IF(CALC2223!AZ84&gt;1,INDIRECT(ADDRESS(MATCH(Agenda2526!C85,'CAL3'!A:A,0)+1,2,4,1,"CAL3")),"")</f>
        <v/>
      </c>
      <c r="P84" s="21">
        <f ca="1">IF(CALC2223!AZ84&gt;1,INDIRECT(ADDRESS(MATCH(Agenda2526!C85,'CAL3'!A:A,0)+1,3,4,1,"CAL3")),0)</f>
        <v>0</v>
      </c>
      <c r="Q84" s="20" t="str">
        <f ca="1">IF(CALC2223!AZ84&gt;2,INDIRECT(ADDRESS(MATCH(Agenda2526!C85,'CAL3'!A:A,0)+2,2,4,1,"CAL3")),"")</f>
        <v/>
      </c>
      <c r="R84" s="21">
        <f ca="1">IF(CALC2223!AZ84&gt;2,INDIRECT(ADDRESS(MATCH(Agenda2526!C85,'CAL3'!A:A,0)+2,3,4,1,"CAL3")),0)</f>
        <v>0</v>
      </c>
      <c r="S84" s="20" t="str">
        <f ca="1">IF(CALC2223!BA84&gt;0,INDIRECT(ADDRESS(MATCH(Agenda2526!C85,'CAL4'!A:A,0),2,4,1,"CAL4")),"")</f>
        <v/>
      </c>
      <c r="T84" s="21">
        <f ca="1">IF(CALC2223!BA84&gt;0,INDIRECT(ADDRESS(MATCH(Agenda2526!C85,'CAL4'!A:A,0),3,4,1,"CAL4")),0)</f>
        <v>0</v>
      </c>
      <c r="U84" s="20" t="str">
        <f ca="1">IF(CALC2223!BA84&gt;1,INDIRECT(ADDRESS(MATCH(Agenda2526!C85,'CAL4'!A:A,0)+1,2,4,1,"CAL4")),"")</f>
        <v/>
      </c>
      <c r="V84" s="21">
        <f ca="1">IF(CALC2223!BA84&gt;1,INDIRECT(ADDRESS(MATCH(Agenda2526!C85,'CAL4'!A:A,0)+1,3,4,1,"CAL4")),0)</f>
        <v>0</v>
      </c>
      <c r="W84" s="20" t="str">
        <f ca="1">IF(CALC2223!BA84&gt;2,INDIRECT(ADDRESS(MATCH(Agenda2526!C85,'CAL4'!A:A,0)+2,2,4,1,"CAL4")),"")</f>
        <v/>
      </c>
      <c r="X84" s="21">
        <f ca="1">IF(CALC2223!BA84&gt;2,INDIRECT(ADDRESS(MATCH(Agenda2526!C85,'CAL4'!A:A,0)+2,3,4,1,"CAL4")),0)</f>
        <v>0</v>
      </c>
      <c r="Y84" s="20" t="str">
        <f ca="1">IF(CALC2223!BB84&gt;0,INDIRECT(ADDRESS(MATCH(Agenda2526!C85,'CAL5'!A:A,0),2,4,1,"CAL5")),"")</f>
        <v/>
      </c>
      <c r="Z84" s="21">
        <f ca="1">IF(CALC2223!BB84&gt;0,INDIRECT(ADDRESS(MATCH(Agenda2526!C85,'CAL5'!A:A,0),3,4,1,"CAL5")),0)</f>
        <v>0</v>
      </c>
      <c r="AA84" s="20" t="str">
        <f ca="1">IF(CALC2223!BB84&gt;1,INDIRECT(ADDRESS(MATCH(Agenda2526!C85,'CAL5'!A:A,0)+1,2,4,1,"CAL5")),"")</f>
        <v/>
      </c>
      <c r="AB84" s="21">
        <f ca="1">IF(CALC2223!BB84&gt;1,INDIRECT(ADDRESS(MATCH(Agenda2526!C85,'CAL5'!A:A,0)+1,3,4,1,"CAL5")),0)</f>
        <v>0</v>
      </c>
      <c r="AC84" s="20" t="str">
        <f ca="1">IF(CALC2223!BB84&gt;2,INDIRECT(ADDRESS(MATCH(Agenda2526!C85,'CAL5'!A:A,0)+2,2,4,1,"CAL5")),"")</f>
        <v/>
      </c>
      <c r="AD84" s="21">
        <f ca="1">IF(CALC2223!BB84&gt;2,INDIRECT(ADDRESS(MATCH(Agenda2526!C85,'CAL5'!A:A,0)+2,3,4,1,"CAL5")),0)</f>
        <v>0</v>
      </c>
      <c r="AE84" s="20" t="str">
        <f ca="1">IF(CALC2223!BC84&gt;0,INDIRECT(ADDRESS(MATCH(Agenda2526!C85,'CAL6'!A:A,0),2,4,1,"CAL6")),"")</f>
        <v/>
      </c>
      <c r="AF84" s="21">
        <f ca="1">IF(CALC2223!BC84&gt;0,INDIRECT(ADDRESS(MATCH(Agenda2526!C85,'CAL6'!A:A,0),3,4,1,"CAL6")),0)</f>
        <v>0</v>
      </c>
      <c r="AG84" s="20" t="str">
        <f ca="1">IF(CALC2223!BC84&gt;1,INDIRECT(ADDRESS(MATCH(Agenda2526!C85,'CAL6'!A:A,0)+1,2,4,1,"CAL6")),"")</f>
        <v/>
      </c>
      <c r="AH84" s="21">
        <f ca="1">IF(CALC2223!BC84&gt;1,INDIRECT(ADDRESS(MATCH(Agenda2526!C85,'CAL6'!A:A,0)+1,3,4,1,"CAL6")),0)</f>
        <v>0</v>
      </c>
      <c r="AI84" s="20" t="str">
        <f ca="1">IF(CALC2223!BC84&gt;2,INDIRECT(ADDRESS(MATCH(Agenda2526!C85,'CAL6'!A:A,0)+2,2,4,1,"CAL6")),"")</f>
        <v/>
      </c>
      <c r="AJ84" s="21">
        <f ca="1">IF(CALC2223!BC84&gt;2,INDIRECT(ADDRESS(MATCH(Agenda2526!C85,'CAL6'!A:A,0)+2,3,4,1,"CAL6")),0)</f>
        <v>0</v>
      </c>
      <c r="AK84" s="20" t="str">
        <f ca="1">IF(CALC2223!BD84&gt;0,INDIRECT(ADDRESS(MATCH(Agenda2526!C85,'CAL7'!A:A,0),2,4,1,"CAL7")),"")</f>
        <v/>
      </c>
      <c r="AL84" s="21">
        <f ca="1">IF(CALC2223!BD84&gt;0,INDIRECT(ADDRESS(MATCH(Agenda2526!C85,'CAL7'!A:A,0),3,4,1,"CAL7")),0)</f>
        <v>0</v>
      </c>
      <c r="AM84" s="20" t="str">
        <f ca="1">IF(CALC2223!BD84&gt;1,INDIRECT(ADDRESS(MATCH(Agenda2526!C85,'CAL7'!A:A,0)+1,2,4,1,"CAL7")),"")</f>
        <v/>
      </c>
      <c r="AN84" s="21">
        <f ca="1">IF(CALC2223!BD84&gt;1,INDIRECT(ADDRESS(MATCH(Agenda2526!C85,'CAL7'!A:A,0)+1,3,4,1,"CAL7")),0)</f>
        <v>0</v>
      </c>
      <c r="AO84" s="20" t="str">
        <f ca="1">IF(CALC2223!BD84&gt;2,INDIRECT(ADDRESS(MATCH(Agenda2526!C85,'CAL7'!A:A,0)+2,2,4,1,"CAL7")),"")</f>
        <v/>
      </c>
      <c r="AP84" s="21">
        <f ca="1">IF(CALC2223!BD84&gt;2,INDIRECT(ADDRESS(MATCH(Agenda2526!C85,'CAL7'!A:A,0)+2,3,4,1,"CAL7")),0)</f>
        <v>0</v>
      </c>
      <c r="AQ84" s="20" t="str">
        <f ca="1">IF(CALC2223!BE84&gt;0,INDIRECT(ADDRESS(MATCH(Agenda2526!C85,'CAL8'!A:A,0),2,4,1,"CAL8")),"")</f>
        <v/>
      </c>
      <c r="AR84" s="21">
        <f ca="1">IF(CALC2223!BE84&gt;0,INDIRECT(ADDRESS(MATCH(Agenda2526!C85,'CAL8'!A:A,0),3,4,1,"CAL8")),0)</f>
        <v>0</v>
      </c>
      <c r="AS84" s="20" t="str">
        <f ca="1">IF(CALC2223!BE84&gt;1,INDIRECT(ADDRESS(MATCH(Agenda2526!C85,'CAL8'!A:A,0)+1,2,4,1,"CAL8")),"")</f>
        <v/>
      </c>
      <c r="AT84" s="21">
        <f ca="1">IF(CALC2223!BE84&gt;1,INDIRECT(ADDRESS(MATCH(Agenda2526!C85,'CAL8'!A:A,0)+1,3,4,1,"CAL8")),0)</f>
        <v>0</v>
      </c>
      <c r="AU84" s="20" t="str">
        <f ca="1">IF(CALC2223!BE84&gt;2,INDIRECT(ADDRESS(MATCH(Agenda2526!C85,'CAL8'!A:A,0)+2,2,4,1,"CAL8")),"")</f>
        <v/>
      </c>
      <c r="AV84" s="21">
        <f ca="1">IF(CALC2223!BE84&gt;2,INDIRECT(ADDRESS(MATCH(Agenda2526!C85,'CAL8'!A:A,0)+2,3,4,1,"CAL8")),0)</f>
        <v>0</v>
      </c>
      <c r="AW84" s="106"/>
      <c r="AX84" s="20">
        <f>COUNTIF('CAL1'!A:A,Agenda2526!C85)</f>
        <v>0</v>
      </c>
      <c r="AY84" s="20">
        <f>COUNTIF('CAL2'!A:A,Agenda2526!C85)</f>
        <v>0</v>
      </c>
      <c r="AZ84" s="20">
        <f>COUNTIF('CAL3'!A:A,Agenda2526!C85)</f>
        <v>0</v>
      </c>
      <c r="BA84" s="20">
        <f>COUNTIF('CAL4'!A:A,Agenda2526!C85)</f>
        <v>0</v>
      </c>
      <c r="BB84" s="20">
        <f>COUNTIF('CAL5'!A:A,Agenda2526!C85)</f>
        <v>0</v>
      </c>
      <c r="BC84" s="20">
        <f>COUNTIF('CAL6'!A:A,Agenda2526!C85)</f>
        <v>0</v>
      </c>
      <c r="BD84" s="20">
        <f>COUNTIF('CAL7'!A:A,Agenda2526!C85)</f>
        <v>0</v>
      </c>
      <c r="BE84" s="20">
        <f>COUNTIF('CAL8'!A:A,Agenda2526!C85)</f>
        <v>0</v>
      </c>
    </row>
    <row r="85" spans="1:57" ht="15.75" customHeight="1">
      <c r="A85" s="20" t="str">
        <f ca="1">IF(CALC2223!AX85&gt;0,INDIRECT(ADDRESS(MATCH(Agenda2526!C86,'CAL1'!A:A,0),2,4,1,"CAL1")),"")</f>
        <v/>
      </c>
      <c r="B85" s="21">
        <f ca="1">IF(CALC2223!AX85&gt;0,INDIRECT(ADDRESS(MATCH(Agenda2526!C86,'CAL1'!A:A,0),3,4,1,"CAL1")),0)</f>
        <v>0</v>
      </c>
      <c r="C85" s="20" t="str">
        <f ca="1">IF(CALC2223!AX85&gt;1,INDIRECT(ADDRESS(MATCH(Agenda2526!C86,'CAL1'!A:A,0)+1,2,4,1,"CAL1")),"")</f>
        <v/>
      </c>
      <c r="D85" s="21">
        <f ca="1">IF(CALC2223!AX85&gt;1,INDIRECT(ADDRESS(MATCH(Agenda2526!C86,'CAL1'!A:A,0)+1,3,4,1,"CAL1")),0)</f>
        <v>0</v>
      </c>
      <c r="E85" s="20" t="str">
        <f ca="1">IF(CALC2223!AX85&gt;2,INDIRECT(ADDRESS(MATCH(Agenda2526!C86,'CAL1'!A:A,0)+2,2,4,1,"CAL1")),"")</f>
        <v/>
      </c>
      <c r="F85" s="21">
        <f ca="1">IF(CALC2223!AX85&gt;2,INDIRECT(ADDRESS(MATCH(Agenda2526!C86,'CAL1'!A:A,0)+2,3,4,1,"CAL1")),0)</f>
        <v>0</v>
      </c>
      <c r="G85" s="20" t="str">
        <f ca="1">IF(CALC2223!AY85&gt;0,INDIRECT(ADDRESS(MATCH(Agenda2526!C86,'CAL2'!A:A,0),2,4,1,"CAL2")),"")</f>
        <v/>
      </c>
      <c r="H85" s="21">
        <f ca="1">IF(CALC2223!AY85&gt;0,INDIRECT(ADDRESS(MATCH(Agenda2526!C86,'CAL2'!A:A,0),3,4,1,"CAL2")),0)</f>
        <v>0</v>
      </c>
      <c r="I85" s="20" t="str">
        <f ca="1">IF(CALC2223!AY85&gt;1,INDIRECT(ADDRESS(MATCH(Agenda2526!C86,'CAL2'!A:A,0)+1,2,4,1,"CAL2")),"")</f>
        <v/>
      </c>
      <c r="J85" s="21">
        <f ca="1">IF(CALC2223!AY85&gt;1,INDIRECT(ADDRESS(MATCH(Agenda2526!C86,'CAL2'!A:A,0)+1,3,4,1,"CAL2")),0)</f>
        <v>0</v>
      </c>
      <c r="K85" s="20" t="str">
        <f ca="1">IF(CALC2223!AY85&gt;2,INDIRECT(ADDRESS(MATCH(Agenda2526!C86,'CAL2'!A:A,0)+2,2,4,1,"CAL2")),"")</f>
        <v/>
      </c>
      <c r="L85" s="21">
        <f ca="1">IF(CALC2223!AY85&gt;2,INDIRECT(ADDRESS(MATCH(Agenda2526!C86,'CAL2'!A:A,0)+2,3,4,1,"CAL2")),0)</f>
        <v>0</v>
      </c>
      <c r="M85" s="20" t="str">
        <f ca="1">IF(CALC2223!AZ85&gt;0,INDIRECT(ADDRESS(MATCH(Agenda2526!C86,'CAL3'!A:A,0),2,4,1,"CAL3")),"")</f>
        <v/>
      </c>
      <c r="N85" s="21">
        <f ca="1">IF(CALC2223!AZ85&gt;0,INDIRECT(ADDRESS(MATCH(Agenda2526!C86,'CAL3'!A:A,0),3,4,1,"CAL3")),0)</f>
        <v>0</v>
      </c>
      <c r="O85" s="20" t="str">
        <f ca="1">IF(CALC2223!AZ85&gt;1,INDIRECT(ADDRESS(MATCH(Agenda2526!C86,'CAL3'!A:A,0)+1,2,4,1,"CAL3")),"")</f>
        <v/>
      </c>
      <c r="P85" s="21">
        <f ca="1">IF(CALC2223!AZ85&gt;1,INDIRECT(ADDRESS(MATCH(Agenda2526!C86,'CAL3'!A:A,0)+1,3,4,1,"CAL3")),0)</f>
        <v>0</v>
      </c>
      <c r="Q85" s="20" t="str">
        <f ca="1">IF(CALC2223!AZ85&gt;2,INDIRECT(ADDRESS(MATCH(Agenda2526!C86,'CAL3'!A:A,0)+2,2,4,1,"CAL3")),"")</f>
        <v/>
      </c>
      <c r="R85" s="21">
        <f ca="1">IF(CALC2223!AZ85&gt;2,INDIRECT(ADDRESS(MATCH(Agenda2526!C86,'CAL3'!A:A,0)+2,3,4,1,"CAL3")),0)</f>
        <v>0</v>
      </c>
      <c r="S85" s="20" t="str">
        <f ca="1">IF(CALC2223!BA85&gt;0,INDIRECT(ADDRESS(MATCH(Agenda2526!C86,'CAL4'!A:A,0),2,4,1,"CAL4")),"")</f>
        <v/>
      </c>
      <c r="T85" s="21">
        <f ca="1">IF(CALC2223!BA85&gt;0,INDIRECT(ADDRESS(MATCH(Agenda2526!C86,'CAL4'!A:A,0),3,4,1,"CAL4")),0)</f>
        <v>0</v>
      </c>
      <c r="U85" s="20" t="str">
        <f ca="1">IF(CALC2223!BA85&gt;1,INDIRECT(ADDRESS(MATCH(Agenda2526!C86,'CAL4'!A:A,0)+1,2,4,1,"CAL4")),"")</f>
        <v/>
      </c>
      <c r="V85" s="21">
        <f ca="1">IF(CALC2223!BA85&gt;1,INDIRECT(ADDRESS(MATCH(Agenda2526!C86,'CAL4'!A:A,0)+1,3,4,1,"CAL4")),0)</f>
        <v>0</v>
      </c>
      <c r="W85" s="20" t="str">
        <f ca="1">IF(CALC2223!BA85&gt;2,INDIRECT(ADDRESS(MATCH(Agenda2526!C86,'CAL4'!A:A,0)+2,2,4,1,"CAL4")),"")</f>
        <v/>
      </c>
      <c r="X85" s="21">
        <f ca="1">IF(CALC2223!BA85&gt;2,INDIRECT(ADDRESS(MATCH(Agenda2526!C86,'CAL4'!A:A,0)+2,3,4,1,"CAL4")),0)</f>
        <v>0</v>
      </c>
      <c r="Y85" s="20" t="str">
        <f ca="1">IF(CALC2223!BB85&gt;0,INDIRECT(ADDRESS(MATCH(Agenda2526!C86,'CAL5'!A:A,0),2,4,1,"CAL5")),"")</f>
        <v/>
      </c>
      <c r="Z85" s="21">
        <f ca="1">IF(CALC2223!BB85&gt;0,INDIRECT(ADDRESS(MATCH(Agenda2526!C86,'CAL5'!A:A,0),3,4,1,"CAL5")),0)</f>
        <v>0</v>
      </c>
      <c r="AA85" s="20" t="str">
        <f ca="1">IF(CALC2223!BB85&gt;1,INDIRECT(ADDRESS(MATCH(Agenda2526!C86,'CAL5'!A:A,0)+1,2,4,1,"CAL5")),"")</f>
        <v/>
      </c>
      <c r="AB85" s="21">
        <f ca="1">IF(CALC2223!BB85&gt;1,INDIRECT(ADDRESS(MATCH(Agenda2526!C86,'CAL5'!A:A,0)+1,3,4,1,"CAL5")),0)</f>
        <v>0</v>
      </c>
      <c r="AC85" s="20" t="str">
        <f ca="1">IF(CALC2223!BB85&gt;2,INDIRECT(ADDRESS(MATCH(Agenda2526!C86,'CAL5'!A:A,0)+2,2,4,1,"CAL5")),"")</f>
        <v/>
      </c>
      <c r="AD85" s="21">
        <f ca="1">IF(CALC2223!BB85&gt;2,INDIRECT(ADDRESS(MATCH(Agenda2526!C86,'CAL5'!A:A,0)+2,3,4,1,"CAL5")),0)</f>
        <v>0</v>
      </c>
      <c r="AE85" s="20" t="str">
        <f ca="1">IF(CALC2223!BC85&gt;0,INDIRECT(ADDRESS(MATCH(Agenda2526!C86,'CAL6'!A:A,0),2,4,1,"CAL6")),"")</f>
        <v/>
      </c>
      <c r="AF85" s="21">
        <f ca="1">IF(CALC2223!BC85&gt;0,INDIRECT(ADDRESS(MATCH(Agenda2526!C86,'CAL6'!A:A,0),3,4,1,"CAL6")),0)</f>
        <v>0</v>
      </c>
      <c r="AG85" s="20" t="str">
        <f ca="1">IF(CALC2223!BC85&gt;1,INDIRECT(ADDRESS(MATCH(Agenda2526!C86,'CAL6'!A:A,0)+1,2,4,1,"CAL6")),"")</f>
        <v/>
      </c>
      <c r="AH85" s="21">
        <f ca="1">IF(CALC2223!BC85&gt;1,INDIRECT(ADDRESS(MATCH(Agenda2526!C86,'CAL6'!A:A,0)+1,3,4,1,"CAL6")),0)</f>
        <v>0</v>
      </c>
      <c r="AI85" s="20" t="str">
        <f ca="1">IF(CALC2223!BC85&gt;2,INDIRECT(ADDRESS(MATCH(Agenda2526!C86,'CAL6'!A:A,0)+2,2,4,1,"CAL6")),"")</f>
        <v/>
      </c>
      <c r="AJ85" s="21">
        <f ca="1">IF(CALC2223!BC85&gt;2,INDIRECT(ADDRESS(MATCH(Agenda2526!C86,'CAL6'!A:A,0)+2,3,4,1,"CAL6")),0)</f>
        <v>0</v>
      </c>
      <c r="AK85" s="20" t="str">
        <f ca="1">IF(CALC2223!BD85&gt;0,INDIRECT(ADDRESS(MATCH(Agenda2526!C86,'CAL7'!A:A,0),2,4,1,"CAL7")),"")</f>
        <v/>
      </c>
      <c r="AL85" s="21">
        <f ca="1">IF(CALC2223!BD85&gt;0,INDIRECT(ADDRESS(MATCH(Agenda2526!C86,'CAL7'!A:A,0),3,4,1,"CAL7")),0)</f>
        <v>0</v>
      </c>
      <c r="AM85" s="20" t="str">
        <f ca="1">IF(CALC2223!BD85&gt;1,INDIRECT(ADDRESS(MATCH(Agenda2526!C86,'CAL7'!A:A,0)+1,2,4,1,"CAL7")),"")</f>
        <v/>
      </c>
      <c r="AN85" s="21">
        <f ca="1">IF(CALC2223!BD85&gt;1,INDIRECT(ADDRESS(MATCH(Agenda2526!C86,'CAL7'!A:A,0)+1,3,4,1,"CAL7")),0)</f>
        <v>0</v>
      </c>
      <c r="AO85" s="20" t="str">
        <f ca="1">IF(CALC2223!BD85&gt;2,INDIRECT(ADDRESS(MATCH(Agenda2526!C86,'CAL7'!A:A,0)+2,2,4,1,"CAL7")),"")</f>
        <v/>
      </c>
      <c r="AP85" s="21">
        <f ca="1">IF(CALC2223!BD85&gt;2,INDIRECT(ADDRESS(MATCH(Agenda2526!C86,'CAL7'!A:A,0)+2,3,4,1,"CAL7")),0)</f>
        <v>0</v>
      </c>
      <c r="AQ85" s="20" t="str">
        <f ca="1">IF(CALC2223!BE85&gt;0,INDIRECT(ADDRESS(MATCH(Agenda2526!C86,'CAL8'!A:A,0),2,4,1,"CAL8")),"")</f>
        <v/>
      </c>
      <c r="AR85" s="21">
        <f ca="1">IF(CALC2223!BE85&gt;0,INDIRECT(ADDRESS(MATCH(Agenda2526!C86,'CAL8'!A:A,0),3,4,1,"CAL8")),0)</f>
        <v>0</v>
      </c>
      <c r="AS85" s="20" t="str">
        <f ca="1">IF(CALC2223!BE85&gt;1,INDIRECT(ADDRESS(MATCH(Agenda2526!C86,'CAL8'!A:A,0)+1,2,4,1,"CAL8")),"")</f>
        <v/>
      </c>
      <c r="AT85" s="21">
        <f ca="1">IF(CALC2223!BE85&gt;1,INDIRECT(ADDRESS(MATCH(Agenda2526!C86,'CAL8'!A:A,0)+1,3,4,1,"CAL8")),0)</f>
        <v>0</v>
      </c>
      <c r="AU85" s="20" t="str">
        <f ca="1">IF(CALC2223!BE85&gt;2,INDIRECT(ADDRESS(MATCH(Agenda2526!C86,'CAL8'!A:A,0)+2,2,4,1,"CAL8")),"")</f>
        <v/>
      </c>
      <c r="AV85" s="21">
        <f ca="1">IF(CALC2223!BE85&gt;2,INDIRECT(ADDRESS(MATCH(Agenda2526!C86,'CAL8'!A:A,0)+2,3,4,1,"CAL8")),0)</f>
        <v>0</v>
      </c>
      <c r="AW85" s="106"/>
      <c r="AX85" s="20">
        <f>COUNTIF('CAL1'!A:A,Agenda2526!C86)</f>
        <v>0</v>
      </c>
      <c r="AY85" s="20">
        <f>COUNTIF('CAL2'!A:A,Agenda2526!C86)</f>
        <v>0</v>
      </c>
      <c r="AZ85" s="20">
        <f>COUNTIF('CAL3'!A:A,Agenda2526!C86)</f>
        <v>0</v>
      </c>
      <c r="BA85" s="20">
        <f>COUNTIF('CAL4'!A:A,Agenda2526!C86)</f>
        <v>0</v>
      </c>
      <c r="BB85" s="20">
        <f>COUNTIF('CAL5'!A:A,Agenda2526!C86)</f>
        <v>0</v>
      </c>
      <c r="BC85" s="20">
        <f>COUNTIF('CAL6'!A:A,Agenda2526!C86)</f>
        <v>0</v>
      </c>
      <c r="BD85" s="20">
        <f>COUNTIF('CAL7'!A:A,Agenda2526!C86)</f>
        <v>0</v>
      </c>
      <c r="BE85" s="20">
        <f>COUNTIF('CAL8'!A:A,Agenda2526!C86)</f>
        <v>0</v>
      </c>
    </row>
    <row r="86" spans="1:57" ht="15.75" customHeight="1">
      <c r="A86" s="20" t="str">
        <f ca="1">IF(CALC2223!AX86&gt;0,INDIRECT(ADDRESS(MATCH(Agenda2526!C87,'CAL1'!A:A,0),2,4,1,"CAL1")),"")</f>
        <v/>
      </c>
      <c r="B86" s="21">
        <f ca="1">IF(CALC2223!AX86&gt;0,INDIRECT(ADDRESS(MATCH(Agenda2526!C87,'CAL1'!A:A,0),3,4,1,"CAL1")),0)</f>
        <v>0</v>
      </c>
      <c r="C86" s="20" t="str">
        <f ca="1">IF(CALC2223!AX86&gt;1,INDIRECT(ADDRESS(MATCH(Agenda2526!C87,'CAL1'!A:A,0)+1,2,4,1,"CAL1")),"")</f>
        <v/>
      </c>
      <c r="D86" s="21">
        <f ca="1">IF(CALC2223!AX86&gt;1,INDIRECT(ADDRESS(MATCH(Agenda2526!C87,'CAL1'!A:A,0)+1,3,4,1,"CAL1")),0)</f>
        <v>0</v>
      </c>
      <c r="E86" s="20" t="str">
        <f ca="1">IF(CALC2223!AX86&gt;2,INDIRECT(ADDRESS(MATCH(Agenda2526!C87,'CAL1'!A:A,0)+2,2,4,1,"CAL1")),"")</f>
        <v/>
      </c>
      <c r="F86" s="21">
        <f ca="1">IF(CALC2223!AX86&gt;2,INDIRECT(ADDRESS(MATCH(Agenda2526!C87,'CAL1'!A:A,0)+2,3,4,1,"CAL1")),0)</f>
        <v>0</v>
      </c>
      <c r="G86" s="20" t="str">
        <f ca="1">IF(CALC2223!AY86&gt;0,INDIRECT(ADDRESS(MATCH(Agenda2526!C87,'CAL2'!A:A,0),2,4,1,"CAL2")),"")</f>
        <v/>
      </c>
      <c r="H86" s="21">
        <f ca="1">IF(CALC2223!AY86&gt;0,INDIRECT(ADDRESS(MATCH(Agenda2526!C87,'CAL2'!A:A,0),3,4,1,"CAL2")),0)</f>
        <v>0</v>
      </c>
      <c r="I86" s="20" t="str">
        <f ca="1">IF(CALC2223!AY86&gt;1,INDIRECT(ADDRESS(MATCH(Agenda2526!C87,'CAL2'!A:A,0)+1,2,4,1,"CAL2")),"")</f>
        <v/>
      </c>
      <c r="J86" s="21">
        <f ca="1">IF(CALC2223!AY86&gt;1,INDIRECT(ADDRESS(MATCH(Agenda2526!C87,'CAL2'!A:A,0)+1,3,4,1,"CAL2")),0)</f>
        <v>0</v>
      </c>
      <c r="K86" s="20" t="str">
        <f ca="1">IF(CALC2223!AY86&gt;2,INDIRECT(ADDRESS(MATCH(Agenda2526!C87,'CAL2'!A:A,0)+2,2,4,1,"CAL2")),"")</f>
        <v/>
      </c>
      <c r="L86" s="21">
        <f ca="1">IF(CALC2223!AY86&gt;2,INDIRECT(ADDRESS(MATCH(Agenda2526!C87,'CAL2'!A:A,0)+2,3,4,1,"CAL2")),0)</f>
        <v>0</v>
      </c>
      <c r="M86" s="20" t="str">
        <f ca="1">IF(CALC2223!AZ86&gt;0,INDIRECT(ADDRESS(MATCH(Agenda2526!C87,'CAL3'!A:A,0),2,4,1,"CAL3")),"")</f>
        <v>week van de vakkenvoorlichting / Ouderavond Profielkeuze</v>
      </c>
      <c r="N86" s="21">
        <f ca="1">IF(CALC2223!AZ86&gt;0,INDIRECT(ADDRESS(MATCH(Agenda2526!C87,'CAL3'!A:A,0),3,4,1,"CAL3")),0)</f>
        <v>45896</v>
      </c>
      <c r="O86" s="20" t="str">
        <f ca="1">IF(CALC2223!AZ86&gt;1,INDIRECT(ADDRESS(MATCH(Agenda2526!C87,'CAL3'!A:A,0)+1,2,4,1,"CAL3")),"")</f>
        <v/>
      </c>
      <c r="P86" s="21">
        <f ca="1">IF(CALC2223!AZ86&gt;1,INDIRECT(ADDRESS(MATCH(Agenda2526!C87,'CAL3'!A:A,0)+1,3,4,1,"CAL3")),0)</f>
        <v>0</v>
      </c>
      <c r="Q86" s="20" t="str">
        <f ca="1">IF(CALC2223!AZ86&gt;2,INDIRECT(ADDRESS(MATCH(Agenda2526!C87,'CAL3'!A:A,0)+2,2,4,1,"CAL3")),"")</f>
        <v/>
      </c>
      <c r="R86" s="21">
        <f ca="1">IF(CALC2223!AZ86&gt;2,INDIRECT(ADDRESS(MATCH(Agenda2526!C87,'CAL3'!A:A,0)+2,3,4,1,"CAL3")),0)</f>
        <v>0</v>
      </c>
      <c r="S86" s="20" t="str">
        <f ca="1">IF(CALC2223!BA86&gt;0,INDIRECT(ADDRESS(MATCH(Agenda2526!C87,'CAL4'!A:A,0),2,4,1,"CAL4")),"")</f>
        <v>inh rep LA</v>
      </c>
      <c r="T86" s="21">
        <f ca="1">IF(CALC2223!BA86&gt;0,INDIRECT(ADDRESS(MATCH(Agenda2526!C87,'CAL4'!A:A,0),3,4,1,"CAL4")),0)</f>
        <v>45936</v>
      </c>
      <c r="U86" s="20" t="str">
        <f ca="1">IF(CALC2223!BA86&gt;1,INDIRECT(ADDRESS(MATCH(Agenda2526!C87,'CAL4'!A:A,0)+1,2,4,1,"CAL4")),"")</f>
        <v/>
      </c>
      <c r="V86" s="21">
        <f ca="1">IF(CALC2223!BA86&gt;1,INDIRECT(ADDRESS(MATCH(Agenda2526!C87,'CAL4'!A:A,0)+1,3,4,1,"CAL4")),0)</f>
        <v>0</v>
      </c>
      <c r="W86" s="20" t="str">
        <f ca="1">IF(CALC2223!BA86&gt;2,INDIRECT(ADDRESS(MATCH(Agenda2526!C87,'CAL4'!A:A,0)+2,2,4,1,"CAL4")),"")</f>
        <v/>
      </c>
      <c r="X86" s="21">
        <f ca="1">IF(CALC2223!BA86&gt;2,INDIRECT(ADDRESS(MATCH(Agenda2526!C87,'CAL4'!A:A,0)+2,3,4,1,"CAL4")),0)</f>
        <v>0</v>
      </c>
      <c r="Y86" s="20" t="str">
        <f ca="1">IF(CALC2223!BB86&gt;0,INDIRECT(ADDRESS(MATCH(Agenda2526!C87,'CAL5'!A:A,0),2,4,1,"CAL5")),"")</f>
        <v>SE AC</v>
      </c>
      <c r="Z86" s="21">
        <f ca="1">IF(CALC2223!BB86&gt;0,INDIRECT(ADDRESS(MATCH(Agenda2526!C87,'CAL5'!A:A,0),3,4,1,"CAL5")),0)</f>
        <v>45925</v>
      </c>
      <c r="AA86" s="20" t="str">
        <f ca="1">IF(CALC2223!BB86&gt;1,INDIRECT(ADDRESS(MATCH(Agenda2526!C87,'CAL5'!A:A,0)+1,2,4,1,"CAL5")),"")</f>
        <v>inh rep EN</v>
      </c>
      <c r="AB86" s="21">
        <f ca="1">IF(CALC2223!BB86&gt;1,INDIRECT(ADDRESS(MATCH(Agenda2526!C87,'CAL5'!A:A,0)+1,3,4,1,"CAL5")),0)</f>
        <v>45936</v>
      </c>
      <c r="AC86" s="20" t="str">
        <f ca="1">IF(CALC2223!BB86&gt;2,INDIRECT(ADDRESS(MATCH(Agenda2526!C87,'CAL5'!A:A,0)+2,2,4,1,"CAL5")),"")</f>
        <v/>
      </c>
      <c r="AD86" s="21">
        <f ca="1">IF(CALC2223!BB86&gt;2,INDIRECT(ADDRESS(MATCH(Agenda2526!C87,'CAL5'!A:A,0)+2,3,4,1,"CAL5")),0)</f>
        <v>0</v>
      </c>
      <c r="AE86" s="20" t="str">
        <f ca="1">IF(CALC2223!BC86&gt;0,INDIRECT(ADDRESS(MATCH(Agenda2526!C87,'CAL6'!A:A,0),2,4,1,"CAL6")),"")</f>
        <v>KuDr CKF</v>
      </c>
      <c r="AF86" s="21">
        <f ca="1">IF(CALC2223!BC86&gt;0,INDIRECT(ADDRESS(MATCH(Agenda2526!C87,'CAL6'!A:A,0),3,4,1,"CAL6")),0)</f>
        <v>45896</v>
      </c>
      <c r="AG86" s="20" t="str">
        <f ca="1">IF(CALC2223!BC86&gt;1,INDIRECT(ADDRESS(MATCH(Agenda2526!C87,'CAL6'!A:A,0)+1,2,4,1,"CAL6")),"")</f>
        <v/>
      </c>
      <c r="AH86" s="21">
        <f ca="1">IF(CALC2223!BC86&gt;1,INDIRECT(ADDRESS(MATCH(Agenda2526!C87,'CAL6'!A:A,0)+1,3,4,1,"CAL6")),0)</f>
        <v>0</v>
      </c>
      <c r="AI86" s="20" t="str">
        <f ca="1">IF(CALC2223!BC86&gt;2,INDIRECT(ADDRESS(MATCH(Agenda2526!C87,'CAL6'!A:A,0)+2,2,4,1,"CAL6")),"")</f>
        <v/>
      </c>
      <c r="AJ86" s="21">
        <f ca="1">IF(CALC2223!BC86&gt;2,INDIRECT(ADDRESS(MATCH(Agenda2526!C87,'CAL6'!A:A,0)+2,3,4,1,"CAL6")),0)</f>
        <v>0</v>
      </c>
      <c r="AK86" s="20" t="str">
        <f ca="1">IF(CALC2223!BD86&gt;0,INDIRECT(ADDRESS(MATCH(Agenda2526!C87,'CAL7'!A:A,0),2,4,1,"CAL7")),"")</f>
        <v/>
      </c>
      <c r="AL86" s="21">
        <f ca="1">IF(CALC2223!BD86&gt;0,INDIRECT(ADDRESS(MATCH(Agenda2526!C87,'CAL7'!A:A,0),3,4,1,"CAL7")),0)</f>
        <v>0</v>
      </c>
      <c r="AM86" s="20" t="str">
        <f ca="1">IF(CALC2223!BD86&gt;1,INDIRECT(ADDRESS(MATCH(Agenda2526!C87,'CAL7'!A:A,0)+1,2,4,1,"CAL7")),"")</f>
        <v/>
      </c>
      <c r="AN86" s="21">
        <f ca="1">IF(CALC2223!BD86&gt;1,INDIRECT(ADDRESS(MATCH(Agenda2526!C87,'CAL7'!A:A,0)+1,3,4,1,"CAL7")),0)</f>
        <v>0</v>
      </c>
      <c r="AO86" s="20" t="str">
        <f ca="1">IF(CALC2223!BD86&gt;2,INDIRECT(ADDRESS(MATCH(Agenda2526!C87,'CAL7'!A:A,0)+2,2,4,1,"CAL7")),"")</f>
        <v/>
      </c>
      <c r="AP86" s="21">
        <f ca="1">IF(CALC2223!BD86&gt;2,INDIRECT(ADDRESS(MATCH(Agenda2526!C87,'CAL7'!A:A,0)+2,3,4,1,"CAL7")),0)</f>
        <v>0</v>
      </c>
      <c r="AQ86" s="20" t="str">
        <f ca="1">IF(CALC2223!BE86&gt;0,INDIRECT(ADDRESS(MATCH(Agenda2526!C87,'CAL8'!A:A,0),2,4,1,"CAL8")),"")</f>
        <v>ouderavond informatie profielkeuze</v>
      </c>
      <c r="AR86" s="21">
        <f ca="1">IF(CALC2223!BE86&gt;0,INDIRECT(ADDRESS(MATCH(Agenda2526!C87,'CAL8'!A:A,0),3,4,1,"CAL8")),0)</f>
        <v>45896</v>
      </c>
      <c r="AS86" s="20" t="str">
        <f ca="1">IF(CALC2223!BE86&gt;1,INDIRECT(ADDRESS(MATCH(Agenda2526!C87,'CAL8'!A:A,0)+1,2,4,1,"CAL8")),"")</f>
        <v/>
      </c>
      <c r="AT86" s="21">
        <f ca="1">IF(CALC2223!BE86&gt;1,INDIRECT(ADDRESS(MATCH(Agenda2526!C87,'CAL8'!A:A,0)+1,3,4,1,"CAL8")),0)</f>
        <v>0</v>
      </c>
      <c r="AU86" s="20" t="str">
        <f ca="1">IF(CALC2223!BE86&gt;2,INDIRECT(ADDRESS(MATCH(Agenda2526!C87,'CAL8'!A:A,0)+2,2,4,1,"CAL8")),"")</f>
        <v/>
      </c>
      <c r="AV86" s="21">
        <f ca="1">IF(CALC2223!BE86&gt;2,INDIRECT(ADDRESS(MATCH(Agenda2526!C87,'CAL8'!A:A,0)+2,3,4,1,"CAL8")),0)</f>
        <v>0</v>
      </c>
      <c r="AW86" s="105"/>
      <c r="AX86" s="20">
        <f>COUNTIF('CAL1'!A:A,Agenda2526!C87)</f>
        <v>0</v>
      </c>
      <c r="AY86" s="20">
        <f>COUNTIF('CAL2'!A:A,Agenda2526!C87)</f>
        <v>0</v>
      </c>
      <c r="AZ86" s="20">
        <f>COUNTIF('CAL3'!A:A,Agenda2526!C87)</f>
        <v>1</v>
      </c>
      <c r="BA86" s="20">
        <f>COUNTIF('CAL4'!A:A,Agenda2526!C87)</f>
        <v>1</v>
      </c>
      <c r="BB86" s="20">
        <f>COUNTIF('CAL5'!A:A,Agenda2526!C87)</f>
        <v>2</v>
      </c>
      <c r="BC86" s="20">
        <f>COUNTIF('CAL6'!A:A,Agenda2526!C87)</f>
        <v>1</v>
      </c>
      <c r="BD86" s="20">
        <f>COUNTIF('CAL7'!A:A,Agenda2526!C87)</f>
        <v>0</v>
      </c>
      <c r="BE86" s="20">
        <f>COUNTIF('CAL8'!A:A,Agenda2526!C87)</f>
        <v>1</v>
      </c>
    </row>
    <row r="87" spans="1:57" ht="15.75" customHeight="1">
      <c r="A87" s="20" t="str">
        <f ca="1">IF(CALC2223!AX87&gt;0,INDIRECT(ADDRESS(MATCH(Agenda2526!C88,'CAL1'!A:A,0),2,4,1,"CAL1")),"")</f>
        <v/>
      </c>
      <c r="B87" s="21">
        <f ca="1">IF(CALC2223!AX87&gt;0,INDIRECT(ADDRESS(MATCH(Agenda2526!C88,'CAL1'!A:A,0),3,4,1,"CAL1")),0)</f>
        <v>0</v>
      </c>
      <c r="C87" s="20" t="str">
        <f ca="1">IF(CALC2223!AX87&gt;1,INDIRECT(ADDRESS(MATCH(Agenda2526!C88,'CAL1'!A:A,0)+1,2,4,1,"CAL1")),"")</f>
        <v/>
      </c>
      <c r="D87" s="21">
        <f ca="1">IF(CALC2223!AX87&gt;1,INDIRECT(ADDRESS(MATCH(Agenda2526!C88,'CAL1'!A:A,0)+1,3,4,1,"CAL1")),0)</f>
        <v>0</v>
      </c>
      <c r="E87" s="20" t="str">
        <f ca="1">IF(CALC2223!AX87&gt;2,INDIRECT(ADDRESS(MATCH(Agenda2526!C88,'CAL1'!A:A,0)+2,2,4,1,"CAL1")),"")</f>
        <v/>
      </c>
      <c r="F87" s="21">
        <f ca="1">IF(CALC2223!AX87&gt;2,INDIRECT(ADDRESS(MATCH(Agenda2526!C88,'CAL1'!A:A,0)+2,3,4,1,"CAL1")),0)</f>
        <v>0</v>
      </c>
      <c r="G87" s="20" t="str">
        <f ca="1">IF(CALC2223!AY87&gt;0,INDIRECT(ADDRESS(MATCH(Agenda2526!C88,'CAL2'!A:A,0),2,4,1,"CAL2")),"")</f>
        <v/>
      </c>
      <c r="H87" s="21">
        <f ca="1">IF(CALC2223!AY87&gt;0,INDIRECT(ADDRESS(MATCH(Agenda2526!C88,'CAL2'!A:A,0),3,4,1,"CAL2")),0)</f>
        <v>0</v>
      </c>
      <c r="I87" s="20" t="str">
        <f ca="1">IF(CALC2223!AY87&gt;1,INDIRECT(ADDRESS(MATCH(Agenda2526!C88,'CAL2'!A:A,0)+1,2,4,1,"CAL2")),"")</f>
        <v/>
      </c>
      <c r="J87" s="21">
        <f ca="1">IF(CALC2223!AY87&gt;1,INDIRECT(ADDRESS(MATCH(Agenda2526!C88,'CAL2'!A:A,0)+1,3,4,1,"CAL2")),0)</f>
        <v>0</v>
      </c>
      <c r="K87" s="20" t="str">
        <f ca="1">IF(CALC2223!AY87&gt;2,INDIRECT(ADDRESS(MATCH(Agenda2526!C88,'CAL2'!A:A,0)+2,2,4,1,"CAL2")),"")</f>
        <v/>
      </c>
      <c r="L87" s="21">
        <f ca="1">IF(CALC2223!AY87&gt;2,INDIRECT(ADDRESS(MATCH(Agenda2526!C88,'CAL2'!A:A,0)+2,3,4,1,"CAL2")),0)</f>
        <v>0</v>
      </c>
      <c r="M87" s="20" t="str">
        <f ca="1">IF(CALC2223!AZ87&gt;0,INDIRECT(ADDRESS(MATCH(Agenda2526!C88,'CAL3'!A:A,0),2,4,1,"CAL3")),"")</f>
        <v>week van de vakkenvoorlichting</v>
      </c>
      <c r="N87" s="21">
        <f ca="1">IF(CALC2223!AZ87&gt;0,INDIRECT(ADDRESS(MATCH(Agenda2526!C88,'CAL3'!A:A,0),3,4,1,"CAL3")),0)</f>
        <v>45896</v>
      </c>
      <c r="O87" s="20" t="str">
        <f ca="1">IF(CALC2223!AZ87&gt;1,INDIRECT(ADDRESS(MATCH(Agenda2526!C88,'CAL3'!A:A,0)+1,2,4,1,"CAL3")),"")</f>
        <v/>
      </c>
      <c r="P87" s="21">
        <f ca="1">IF(CALC2223!AZ87&gt;1,INDIRECT(ADDRESS(MATCH(Agenda2526!C88,'CAL3'!A:A,0)+1,3,4,1,"CAL3")),0)</f>
        <v>0</v>
      </c>
      <c r="Q87" s="20" t="str">
        <f ca="1">IF(CALC2223!AZ87&gt;2,INDIRECT(ADDRESS(MATCH(Agenda2526!C88,'CAL3'!A:A,0)+2,2,4,1,"CAL3")),"")</f>
        <v/>
      </c>
      <c r="R87" s="21">
        <f ca="1">IF(CALC2223!AZ87&gt;2,INDIRECT(ADDRESS(MATCH(Agenda2526!C88,'CAL3'!A:A,0)+2,3,4,1,"CAL3")),0)</f>
        <v>0</v>
      </c>
      <c r="S87" s="20" t="str">
        <f ca="1">IF(CALC2223!BA87&gt;0,INDIRECT(ADDRESS(MATCH(Agenda2526!C88,'CAL4'!A:A,0),2,4,1,"CAL4")),"")</f>
        <v>Rep GR</v>
      </c>
      <c r="T87" s="21">
        <f ca="1">IF(CALC2223!BA87&gt;0,INDIRECT(ADDRESS(MATCH(Agenda2526!C88,'CAL4'!A:A,0),3,4,1,"CAL4")),0)</f>
        <v>45896</v>
      </c>
      <c r="U87" s="20" t="str">
        <f ca="1">IF(CALC2223!BA87&gt;1,INDIRECT(ADDRESS(MATCH(Agenda2526!C88,'CAL4'!A:A,0)+1,2,4,1,"CAL4")),"")</f>
        <v/>
      </c>
      <c r="V87" s="21">
        <f ca="1">IF(CALC2223!BA87&gt;1,INDIRECT(ADDRESS(MATCH(Agenda2526!C88,'CAL4'!A:A,0)+1,3,4,1,"CAL4")),0)</f>
        <v>0</v>
      </c>
      <c r="W87" s="20" t="str">
        <f ca="1">IF(CALC2223!BA87&gt;2,INDIRECT(ADDRESS(MATCH(Agenda2526!C88,'CAL4'!A:A,0)+2,2,4,1,"CAL4")),"")</f>
        <v/>
      </c>
      <c r="X87" s="21">
        <f ca="1">IF(CALC2223!BA87&gt;2,INDIRECT(ADDRESS(MATCH(Agenda2526!C88,'CAL4'!A:A,0)+2,3,4,1,"CAL4")),0)</f>
        <v>0</v>
      </c>
      <c r="Y87" s="20" t="str">
        <f ca="1">IF(CALC2223!BB87&gt;0,INDIRECT(ADDRESS(MATCH(Agenda2526!C88,'CAL5'!A:A,0),2,4,1,"CAL5")),"")</f>
        <v/>
      </c>
      <c r="Z87" s="21">
        <f ca="1">IF(CALC2223!BB87&gt;0,INDIRECT(ADDRESS(MATCH(Agenda2526!C88,'CAL5'!A:A,0),3,4,1,"CAL5")),0)</f>
        <v>0</v>
      </c>
      <c r="AA87" s="20" t="str">
        <f ca="1">IF(CALC2223!BB87&gt;1,INDIRECT(ADDRESS(MATCH(Agenda2526!C88,'CAL5'!A:A,0)+1,2,4,1,"CAL5")),"")</f>
        <v/>
      </c>
      <c r="AB87" s="21">
        <f ca="1">IF(CALC2223!BB87&gt;1,INDIRECT(ADDRESS(MATCH(Agenda2526!C88,'CAL5'!A:A,0)+1,3,4,1,"CAL5")),0)</f>
        <v>0</v>
      </c>
      <c r="AC87" s="20" t="str">
        <f ca="1">IF(CALC2223!BB87&gt;2,INDIRECT(ADDRESS(MATCH(Agenda2526!C88,'CAL5'!A:A,0)+2,2,4,1,"CAL5")),"")</f>
        <v/>
      </c>
      <c r="AD87" s="21">
        <f ca="1">IF(CALC2223!BB87&gt;2,INDIRECT(ADDRESS(MATCH(Agenda2526!C88,'CAL5'!A:A,0)+2,3,4,1,"CAL5")),0)</f>
        <v>0</v>
      </c>
      <c r="AE87" s="20" t="str">
        <f ca="1">IF(CALC2223!BC87&gt;0,INDIRECT(ADDRESS(MATCH(Agenda2526!C88,'CAL6'!A:A,0),2,4,1,"CAL6")),"")</f>
        <v>KuBv groen licht</v>
      </c>
      <c r="AF87" s="21">
        <f ca="1">IF(CALC2223!BC87&gt;0,INDIRECT(ADDRESS(MATCH(Agenda2526!C88,'CAL6'!A:A,0),3,4,1,"CAL6")),0)</f>
        <v>45896</v>
      </c>
      <c r="AG87" s="20" t="str">
        <f ca="1">IF(CALC2223!BC87&gt;1,INDIRECT(ADDRESS(MATCH(Agenda2526!C88,'CAL6'!A:A,0)+1,2,4,1,"CAL6")),"")</f>
        <v/>
      </c>
      <c r="AH87" s="21">
        <f ca="1">IF(CALC2223!BC87&gt;1,INDIRECT(ADDRESS(MATCH(Agenda2526!C88,'CAL6'!A:A,0)+1,3,4,1,"CAL6")),0)</f>
        <v>0</v>
      </c>
      <c r="AI87" s="20" t="str">
        <f ca="1">IF(CALC2223!BC87&gt;2,INDIRECT(ADDRESS(MATCH(Agenda2526!C88,'CAL6'!A:A,0)+2,2,4,1,"CAL6")),"")</f>
        <v/>
      </c>
      <c r="AJ87" s="21">
        <f ca="1">IF(CALC2223!BC87&gt;2,INDIRECT(ADDRESS(MATCH(Agenda2526!C88,'CAL6'!A:A,0)+2,3,4,1,"CAL6")),0)</f>
        <v>0</v>
      </c>
      <c r="AK87" s="20" t="str">
        <f ca="1">IF(CALC2223!BD87&gt;0,INDIRECT(ADDRESS(MATCH(Agenda2526!C88,'CAL7'!A:A,0),2,4,1,"CAL7")),"")</f>
        <v/>
      </c>
      <c r="AL87" s="21">
        <f ca="1">IF(CALC2223!BD87&gt;0,INDIRECT(ADDRESS(MATCH(Agenda2526!C88,'CAL7'!A:A,0),3,4,1,"CAL7")),0)</f>
        <v>0</v>
      </c>
      <c r="AM87" s="20" t="str">
        <f ca="1">IF(CALC2223!BD87&gt;1,INDIRECT(ADDRESS(MATCH(Agenda2526!C88,'CAL7'!A:A,0)+1,2,4,1,"CAL7")),"")</f>
        <v/>
      </c>
      <c r="AN87" s="21">
        <f ca="1">IF(CALC2223!BD87&gt;1,INDIRECT(ADDRESS(MATCH(Agenda2526!C88,'CAL7'!A:A,0)+1,3,4,1,"CAL7")),0)</f>
        <v>0</v>
      </c>
      <c r="AO87" s="20" t="str">
        <f ca="1">IF(CALC2223!BD87&gt;2,INDIRECT(ADDRESS(MATCH(Agenda2526!C88,'CAL7'!A:A,0)+2,2,4,1,"CAL7")),"")</f>
        <v/>
      </c>
      <c r="AP87" s="21">
        <f ca="1">IF(CALC2223!BD87&gt;2,INDIRECT(ADDRESS(MATCH(Agenda2526!C88,'CAL7'!A:A,0)+2,3,4,1,"CAL7")),0)</f>
        <v>0</v>
      </c>
      <c r="AQ87" s="20" t="str">
        <f ca="1">IF(CALC2223!BE87&gt;0,INDIRECT(ADDRESS(MATCH(Agenda2526!C88,'CAL8'!A:A,0),2,4,1,"CAL8")),"")</f>
        <v/>
      </c>
      <c r="AR87" s="21">
        <f ca="1">IF(CALC2223!BE87&gt;0,INDIRECT(ADDRESS(MATCH(Agenda2526!C88,'CAL8'!A:A,0),3,4,1,"CAL8")),0)</f>
        <v>0</v>
      </c>
      <c r="AS87" s="20" t="str">
        <f ca="1">IF(CALC2223!BE87&gt;1,INDIRECT(ADDRESS(MATCH(Agenda2526!C88,'CAL8'!A:A,0)+1,2,4,1,"CAL8")),"")</f>
        <v/>
      </c>
      <c r="AT87" s="21">
        <f ca="1">IF(CALC2223!BE87&gt;1,INDIRECT(ADDRESS(MATCH(Agenda2526!C88,'CAL8'!A:A,0)+1,3,4,1,"CAL8")),0)</f>
        <v>0</v>
      </c>
      <c r="AU87" s="20" t="str">
        <f ca="1">IF(CALC2223!BE87&gt;2,INDIRECT(ADDRESS(MATCH(Agenda2526!C88,'CAL8'!A:A,0)+2,2,4,1,"CAL8")),"")</f>
        <v/>
      </c>
      <c r="AV87" s="21">
        <f ca="1">IF(CALC2223!BE87&gt;2,INDIRECT(ADDRESS(MATCH(Agenda2526!C88,'CAL8'!A:A,0)+2,3,4,1,"CAL8")),0)</f>
        <v>0</v>
      </c>
      <c r="AW87" s="105"/>
      <c r="AX87" s="20">
        <f>COUNTIF('CAL1'!A:A,Agenda2526!C88)</f>
        <v>0</v>
      </c>
      <c r="AY87" s="20">
        <f>COUNTIF('CAL2'!A:A,Agenda2526!C88)</f>
        <v>0</v>
      </c>
      <c r="AZ87" s="20">
        <f>COUNTIF('CAL3'!A:A,Agenda2526!C88)</f>
        <v>1</v>
      </c>
      <c r="BA87" s="20">
        <f>COUNTIF('CAL4'!A:A,Agenda2526!C88)</f>
        <v>1</v>
      </c>
      <c r="BB87" s="20">
        <f>COUNTIF('CAL5'!A:A,Agenda2526!C88)</f>
        <v>0</v>
      </c>
      <c r="BC87" s="20">
        <f>COUNTIF('CAL6'!A:A,Agenda2526!C88)</f>
        <v>1</v>
      </c>
      <c r="BD87" s="20">
        <f>COUNTIF('CAL7'!A:A,Agenda2526!C88)</f>
        <v>0</v>
      </c>
      <c r="BE87" s="20">
        <f>COUNTIF('CAL8'!A:A,Agenda2526!C88)</f>
        <v>0</v>
      </c>
    </row>
    <row r="88" spans="1:57" ht="15.75" customHeight="1">
      <c r="A88" s="20" t="str">
        <f ca="1">IF(CALC2223!AX88&gt;0,INDIRECT(ADDRESS(MATCH(Agenda2526!C89,'CAL1'!A:A,0),2,4,1,"CAL1")),"")</f>
        <v>Rep WIS</v>
      </c>
      <c r="B88" s="21">
        <f ca="1">IF(CALC2223!AX88&gt;0,INDIRECT(ADDRESS(MATCH(Agenda2526!C89,'CAL1'!A:A,0),3,4,1,"CAL1")),0)</f>
        <v>45901</v>
      </c>
      <c r="C88" s="20" t="str">
        <f ca="1">IF(CALC2223!AX88&gt;1,INDIRECT(ADDRESS(MATCH(Agenda2526!C89,'CAL1'!A:A,0)+1,2,4,1,"CAL1")),"")</f>
        <v/>
      </c>
      <c r="D88" s="21">
        <f ca="1">IF(CALC2223!AX88&gt;1,INDIRECT(ADDRESS(MATCH(Agenda2526!C89,'CAL1'!A:A,0)+1,3,4,1,"CAL1")),0)</f>
        <v>0</v>
      </c>
      <c r="E88" s="20" t="str">
        <f ca="1">IF(CALC2223!AX88&gt;2,INDIRECT(ADDRESS(MATCH(Agenda2526!C89,'CAL1'!A:A,0)+2,2,4,1,"CAL1")),"")</f>
        <v/>
      </c>
      <c r="F88" s="21">
        <f ca="1">IF(CALC2223!AX88&gt;2,INDIRECT(ADDRESS(MATCH(Agenda2526!C89,'CAL1'!A:A,0)+2,3,4,1,"CAL1")),0)</f>
        <v>0</v>
      </c>
      <c r="G88" s="20" t="str">
        <f ca="1">IF(CALC2223!AY88&gt;0,INDIRECT(ADDRESS(MATCH(Agenda2526!C89,'CAL2'!A:A,0),2,4,1,"CAL2")),"")</f>
        <v/>
      </c>
      <c r="H88" s="21">
        <f ca="1">IF(CALC2223!AY88&gt;0,INDIRECT(ADDRESS(MATCH(Agenda2526!C89,'CAL2'!A:A,0),3,4,1,"CAL2")),0)</f>
        <v>0</v>
      </c>
      <c r="I88" s="20" t="str">
        <f ca="1">IF(CALC2223!AY88&gt;1,INDIRECT(ADDRESS(MATCH(Agenda2526!C89,'CAL2'!A:A,0)+1,2,4,1,"CAL2")),"")</f>
        <v/>
      </c>
      <c r="J88" s="21">
        <f ca="1">IF(CALC2223!AY88&gt;1,INDIRECT(ADDRESS(MATCH(Agenda2526!C89,'CAL2'!A:A,0)+1,3,4,1,"CAL2")),0)</f>
        <v>0</v>
      </c>
      <c r="K88" s="20" t="str">
        <f ca="1">IF(CALC2223!AY88&gt;2,INDIRECT(ADDRESS(MATCH(Agenda2526!C89,'CAL2'!A:A,0)+2,2,4,1,"CAL2")),"")</f>
        <v/>
      </c>
      <c r="L88" s="21">
        <f ca="1">IF(CALC2223!AY88&gt;2,INDIRECT(ADDRESS(MATCH(Agenda2526!C89,'CAL2'!A:A,0)+2,3,4,1,"CAL2")),0)</f>
        <v>0</v>
      </c>
      <c r="M88" s="20" t="str">
        <f ca="1">IF(CALC2223!AZ88&gt;0,INDIRECT(ADDRESS(MATCH(Agenda2526!C89,'CAL3'!A:A,0),2,4,1,"CAL3")),"")</f>
        <v>week van de vakkenvoorlichting</v>
      </c>
      <c r="N88" s="21">
        <f ca="1">IF(CALC2223!AZ88&gt;0,INDIRECT(ADDRESS(MATCH(Agenda2526!C89,'CAL3'!A:A,0),3,4,1,"CAL3")),0)</f>
        <v>45896</v>
      </c>
      <c r="O88" s="20" t="str">
        <f ca="1">IF(CALC2223!AZ88&gt;1,INDIRECT(ADDRESS(MATCH(Agenda2526!C89,'CAL3'!A:A,0)+1,2,4,1,"CAL3")),"")</f>
        <v/>
      </c>
      <c r="P88" s="21">
        <f ca="1">IF(CALC2223!AZ88&gt;1,INDIRECT(ADDRESS(MATCH(Agenda2526!C89,'CAL3'!A:A,0)+1,3,4,1,"CAL3")),0)</f>
        <v>0</v>
      </c>
      <c r="Q88" s="20" t="str">
        <f ca="1">IF(CALC2223!AZ88&gt;2,INDIRECT(ADDRESS(MATCH(Agenda2526!C89,'CAL3'!A:A,0)+2,2,4,1,"CAL3")),"")</f>
        <v/>
      </c>
      <c r="R88" s="21">
        <f ca="1">IF(CALC2223!AZ88&gt;2,INDIRECT(ADDRESS(MATCH(Agenda2526!C89,'CAL3'!A:A,0)+2,3,4,1,"CAL3")),0)</f>
        <v>0</v>
      </c>
      <c r="S88" s="20" t="str">
        <f ca="1">IF(CALC2223!BA88&gt;0,INDIRECT(ADDRESS(MATCH(Agenda2526!C89,'CAL4'!A:A,0),2,4,1,"CAL4")),"")</f>
        <v/>
      </c>
      <c r="T88" s="21">
        <f ca="1">IF(CALC2223!BA88&gt;0,INDIRECT(ADDRESS(MATCH(Agenda2526!C89,'CAL4'!A:A,0),3,4,1,"CAL4")),0)</f>
        <v>0</v>
      </c>
      <c r="U88" s="20" t="str">
        <f ca="1">IF(CALC2223!BA88&gt;1,INDIRECT(ADDRESS(MATCH(Agenda2526!C89,'CAL4'!A:A,0)+1,2,4,1,"CAL4")),"")</f>
        <v/>
      </c>
      <c r="V88" s="21">
        <f ca="1">IF(CALC2223!BA88&gt;1,INDIRECT(ADDRESS(MATCH(Agenda2526!C89,'CAL4'!A:A,0)+1,3,4,1,"CAL4")),0)</f>
        <v>0</v>
      </c>
      <c r="W88" s="20" t="str">
        <f ca="1">IF(CALC2223!BA88&gt;2,INDIRECT(ADDRESS(MATCH(Agenda2526!C89,'CAL4'!A:A,0)+2,2,4,1,"CAL4")),"")</f>
        <v/>
      </c>
      <c r="X88" s="21">
        <f ca="1">IF(CALC2223!BA88&gt;2,INDIRECT(ADDRESS(MATCH(Agenda2526!C89,'CAL4'!A:A,0)+2,3,4,1,"CAL4")),0)</f>
        <v>0</v>
      </c>
      <c r="Y88" s="20" t="str">
        <f ca="1">IF(CALC2223!BB88&gt;0,INDIRECT(ADDRESS(MATCH(Agenda2526!C89,'CAL5'!A:A,0),2,4,1,"CAL5")),"")</f>
        <v>SE MAAT</v>
      </c>
      <c r="Z88" s="21">
        <f ca="1">IF(CALC2223!BB88&gt;0,INDIRECT(ADDRESS(MATCH(Agenda2526!C89,'CAL5'!A:A,0),3,4,1,"CAL5")),0)</f>
        <v>45896</v>
      </c>
      <c r="AA88" s="20" t="str">
        <f ca="1">IF(CALC2223!BB88&gt;1,INDIRECT(ADDRESS(MATCH(Agenda2526!C89,'CAL5'!A:A,0)+1,2,4,1,"CAL5")),"")</f>
        <v/>
      </c>
      <c r="AB88" s="21">
        <f ca="1">IF(CALC2223!BB88&gt;1,INDIRECT(ADDRESS(MATCH(Agenda2526!C89,'CAL5'!A:A,0)+1,3,4,1,"CAL5")),0)</f>
        <v>0</v>
      </c>
      <c r="AC88" s="20" t="str">
        <f ca="1">IF(CALC2223!BB88&gt;2,INDIRECT(ADDRESS(MATCH(Agenda2526!C89,'CAL5'!A:A,0)+2,2,4,1,"CAL5")),"")</f>
        <v/>
      </c>
      <c r="AD88" s="21">
        <f ca="1">IF(CALC2223!BB88&gt;2,INDIRECT(ADDRESS(MATCH(Agenda2526!C89,'CAL5'!A:A,0)+2,3,4,1,"CAL5")),0)</f>
        <v>0</v>
      </c>
      <c r="AE88" s="20" t="str">
        <f ca="1">IF(CALC2223!BC88&gt;0,INDIRECT(ADDRESS(MATCH(Agenda2526!C89,'CAL6'!A:A,0),2,4,1,"CAL6")),"")</f>
        <v/>
      </c>
      <c r="AF88" s="21">
        <f ca="1">IF(CALC2223!BC88&gt;0,INDIRECT(ADDRESS(MATCH(Agenda2526!C89,'CAL6'!A:A,0),3,4,1,"CAL6")),0)</f>
        <v>0</v>
      </c>
      <c r="AG88" s="20" t="str">
        <f ca="1">IF(CALC2223!BC88&gt;1,INDIRECT(ADDRESS(MATCH(Agenda2526!C89,'CAL6'!A:A,0)+1,2,4,1,"CAL6")),"")</f>
        <v/>
      </c>
      <c r="AH88" s="21">
        <f ca="1">IF(CALC2223!BC88&gt;1,INDIRECT(ADDRESS(MATCH(Agenda2526!C89,'CAL6'!A:A,0)+1,3,4,1,"CAL6")),0)</f>
        <v>0</v>
      </c>
      <c r="AI88" s="20" t="str">
        <f ca="1">IF(CALC2223!BC88&gt;2,INDIRECT(ADDRESS(MATCH(Agenda2526!C89,'CAL6'!A:A,0)+2,2,4,1,"CAL6")),"")</f>
        <v/>
      </c>
      <c r="AJ88" s="21">
        <f ca="1">IF(CALC2223!BC88&gt;2,INDIRECT(ADDRESS(MATCH(Agenda2526!C89,'CAL6'!A:A,0)+2,3,4,1,"CAL6")),0)</f>
        <v>0</v>
      </c>
      <c r="AK88" s="20" t="str">
        <f ca="1">IF(CALC2223!BD88&gt;0,INDIRECT(ADDRESS(MATCH(Agenda2526!C89,'CAL7'!A:A,0),2,4,1,"CAL7")),"")</f>
        <v/>
      </c>
      <c r="AL88" s="21">
        <f ca="1">IF(CALC2223!BD88&gt;0,INDIRECT(ADDRESS(MATCH(Agenda2526!C89,'CAL7'!A:A,0),3,4,1,"CAL7")),0)</f>
        <v>0</v>
      </c>
      <c r="AM88" s="20" t="str">
        <f ca="1">IF(CALC2223!BD88&gt;1,INDIRECT(ADDRESS(MATCH(Agenda2526!C89,'CAL7'!A:A,0)+1,2,4,1,"CAL7")),"")</f>
        <v/>
      </c>
      <c r="AN88" s="21">
        <f ca="1">IF(CALC2223!BD88&gt;1,INDIRECT(ADDRESS(MATCH(Agenda2526!C89,'CAL7'!A:A,0)+1,3,4,1,"CAL7")),0)</f>
        <v>0</v>
      </c>
      <c r="AO88" s="20" t="str">
        <f ca="1">IF(CALC2223!BD88&gt;2,INDIRECT(ADDRESS(MATCH(Agenda2526!C89,'CAL7'!A:A,0)+2,2,4,1,"CAL7")),"")</f>
        <v/>
      </c>
      <c r="AP88" s="21">
        <f ca="1">IF(CALC2223!BD88&gt;2,INDIRECT(ADDRESS(MATCH(Agenda2526!C89,'CAL7'!A:A,0)+2,3,4,1,"CAL7")),0)</f>
        <v>0</v>
      </c>
      <c r="AQ88" s="20" t="str">
        <f ca="1">IF(CALC2223!BE88&gt;0,INDIRECT(ADDRESS(MATCH(Agenda2526!C89,'CAL8'!A:A,0),2,4,1,"CAL8")),"")</f>
        <v>Studium Gymasiale</v>
      </c>
      <c r="AR88" s="21">
        <f ca="1">IF(CALC2223!BE88&gt;0,INDIRECT(ADDRESS(MATCH(Agenda2526!C89,'CAL8'!A:A,0),3,4,1,"CAL8")),0)</f>
        <v>45896</v>
      </c>
      <c r="AS88" s="20" t="str">
        <f ca="1">IF(CALC2223!BE88&gt;1,INDIRECT(ADDRESS(MATCH(Agenda2526!C89,'CAL8'!A:A,0)+1,2,4,1,"CAL8")),"")</f>
        <v/>
      </c>
      <c r="AT88" s="21">
        <f ca="1">IF(CALC2223!BE88&gt;1,INDIRECT(ADDRESS(MATCH(Agenda2526!C89,'CAL8'!A:A,0)+1,3,4,1,"CAL8")),0)</f>
        <v>0</v>
      </c>
      <c r="AU88" s="20" t="str">
        <f ca="1">IF(CALC2223!BE88&gt;2,INDIRECT(ADDRESS(MATCH(Agenda2526!C89,'CAL8'!A:A,0)+2,2,4,1,"CAL8")),"")</f>
        <v/>
      </c>
      <c r="AV88" s="21">
        <f ca="1">IF(CALC2223!BE88&gt;2,INDIRECT(ADDRESS(MATCH(Agenda2526!C89,'CAL8'!A:A,0)+2,3,4,1,"CAL8")),0)</f>
        <v>0</v>
      </c>
      <c r="AW88" s="105"/>
      <c r="AX88" s="20">
        <f>COUNTIF('CAL1'!A:A,Agenda2526!C89)</f>
        <v>1</v>
      </c>
      <c r="AY88" s="20">
        <f>COUNTIF('CAL2'!A:A,Agenda2526!C89)</f>
        <v>0</v>
      </c>
      <c r="AZ88" s="20">
        <f>COUNTIF('CAL3'!A:A,Agenda2526!C89)</f>
        <v>1</v>
      </c>
      <c r="BA88" s="20">
        <f>COUNTIF('CAL4'!A:A,Agenda2526!C89)</f>
        <v>0</v>
      </c>
      <c r="BB88" s="20">
        <f>COUNTIF('CAL5'!A:A,Agenda2526!C89)</f>
        <v>1</v>
      </c>
      <c r="BC88" s="20">
        <f>COUNTIF('CAL6'!A:A,Agenda2526!C89)</f>
        <v>0</v>
      </c>
      <c r="BD88" s="20">
        <f>COUNTIF('CAL7'!A:A,Agenda2526!C89)</f>
        <v>0</v>
      </c>
      <c r="BE88" s="20">
        <f>COUNTIF('CAL8'!A:A,Agenda2526!C89)</f>
        <v>1</v>
      </c>
    </row>
    <row r="89" spans="1:57" ht="15.75" customHeight="1">
      <c r="A89" s="20" t="str">
        <f ca="1">IF(CALC2223!AX89&gt;0,INDIRECT(ADDRESS(MATCH(Agenda2526!C90,'CAL1'!A:A,0),2,4,1,"CAL1")),"")</f>
        <v/>
      </c>
      <c r="B89" s="21">
        <f ca="1">IF(CALC2223!AX89&gt;0,INDIRECT(ADDRESS(MATCH(Agenda2526!C90,'CAL1'!A:A,0),3,4,1,"CAL1")),0)</f>
        <v>0</v>
      </c>
      <c r="C89" s="20" t="str">
        <f ca="1">IF(CALC2223!AX89&gt;1,INDIRECT(ADDRESS(MATCH(Agenda2526!C90,'CAL1'!A:A,0)+1,2,4,1,"CAL1")),"")</f>
        <v/>
      </c>
      <c r="D89" s="21">
        <f ca="1">IF(CALC2223!AX89&gt;1,INDIRECT(ADDRESS(MATCH(Agenda2526!C90,'CAL1'!A:A,0)+1,3,4,1,"CAL1")),0)</f>
        <v>0</v>
      </c>
      <c r="E89" s="20" t="str">
        <f ca="1">IF(CALC2223!AX89&gt;2,INDIRECT(ADDRESS(MATCH(Agenda2526!C90,'CAL1'!A:A,0)+2,2,4,1,"CAL1")),"")</f>
        <v/>
      </c>
      <c r="F89" s="21">
        <f ca="1">IF(CALC2223!AX89&gt;2,INDIRECT(ADDRESS(MATCH(Agenda2526!C90,'CAL1'!A:A,0)+2,3,4,1,"CAL1")),0)</f>
        <v>0</v>
      </c>
      <c r="G89" s="20" t="str">
        <f ca="1">IF(CALC2223!AY89&gt;0,INDIRECT(ADDRESS(MATCH(Agenda2526!C90,'CAL2'!A:A,0),2,4,1,"CAL2")),"")</f>
        <v/>
      </c>
      <c r="H89" s="21">
        <f ca="1">IF(CALC2223!AY89&gt;0,INDIRECT(ADDRESS(MATCH(Agenda2526!C90,'CAL2'!A:A,0),3,4,1,"CAL2")),0)</f>
        <v>0</v>
      </c>
      <c r="I89" s="20" t="str">
        <f ca="1">IF(CALC2223!AY89&gt;1,INDIRECT(ADDRESS(MATCH(Agenda2526!C90,'CAL2'!A:A,0)+1,2,4,1,"CAL2")),"")</f>
        <v/>
      </c>
      <c r="J89" s="21">
        <f ca="1">IF(CALC2223!AY89&gt;1,INDIRECT(ADDRESS(MATCH(Agenda2526!C90,'CAL2'!A:A,0)+1,3,4,1,"CAL2")),0)</f>
        <v>0</v>
      </c>
      <c r="K89" s="20" t="str">
        <f ca="1">IF(CALC2223!AY89&gt;2,INDIRECT(ADDRESS(MATCH(Agenda2526!C90,'CAL2'!A:A,0)+2,2,4,1,"CAL2")),"")</f>
        <v/>
      </c>
      <c r="L89" s="21">
        <f ca="1">IF(CALC2223!AY89&gt;2,INDIRECT(ADDRESS(MATCH(Agenda2526!C90,'CAL2'!A:A,0)+2,3,4,1,"CAL2")),0)</f>
        <v>0</v>
      </c>
      <c r="M89" s="20" t="str">
        <f ca="1">IF(CALC2223!AZ89&gt;0,INDIRECT(ADDRESS(MATCH(Agenda2526!C90,'CAL3'!A:A,0),2,4,1,"CAL3")),"")</f>
        <v>week van de vakkenvoorlichting /</v>
      </c>
      <c r="N89" s="21">
        <f ca="1">IF(CALC2223!AZ89&gt;0,INDIRECT(ADDRESS(MATCH(Agenda2526!C90,'CAL3'!A:A,0),3,4,1,"CAL3")),0)</f>
        <v>45912</v>
      </c>
      <c r="O89" s="20" t="str">
        <f ca="1">IF(CALC2223!AZ89&gt;1,INDIRECT(ADDRESS(MATCH(Agenda2526!C90,'CAL3'!A:A,0)+1,2,4,1,"CAL3")),"")</f>
        <v>REP GR</v>
      </c>
      <c r="P89" s="21">
        <f ca="1">IF(CALC2223!AZ89&gt;1,INDIRECT(ADDRESS(MATCH(Agenda2526!C90,'CAL3'!A:A,0)+1,3,4,1,"CAL3")),0)</f>
        <v>45903</v>
      </c>
      <c r="Q89" s="20" t="str">
        <f ca="1">IF(CALC2223!AZ89&gt;2,INDIRECT(ADDRESS(MATCH(Agenda2526!C90,'CAL3'!A:A,0)+2,2,4,1,"CAL3")),"")</f>
        <v/>
      </c>
      <c r="R89" s="21">
        <f ca="1">IF(CALC2223!AZ89&gt;2,INDIRECT(ADDRESS(MATCH(Agenda2526!C90,'CAL3'!A:A,0)+2,3,4,1,"CAL3")),0)</f>
        <v>0</v>
      </c>
      <c r="S89" s="20" t="str">
        <f ca="1">IF(CALC2223!BA89&gt;0,INDIRECT(ADDRESS(MATCH(Agenda2526!C90,'CAL4'!A:A,0),2,4,1,"CAL4")),"")</f>
        <v>inh rep AK</v>
      </c>
      <c r="T89" s="21">
        <f ca="1">IF(CALC2223!BA89&gt;0,INDIRECT(ADDRESS(MATCH(Agenda2526!C90,'CAL4'!A:A,0),3,4,1,"CAL4")),0)</f>
        <v>45936</v>
      </c>
      <c r="U89" s="20" t="str">
        <f ca="1">IF(CALC2223!BA89&gt;1,INDIRECT(ADDRESS(MATCH(Agenda2526!C90,'CAL4'!A:A,0)+1,2,4,1,"CAL4")),"")</f>
        <v/>
      </c>
      <c r="V89" s="21">
        <f ca="1">IF(CALC2223!BA89&gt;1,INDIRECT(ADDRESS(MATCH(Agenda2526!C90,'CAL4'!A:A,0)+1,3,4,1,"CAL4")),0)</f>
        <v>0</v>
      </c>
      <c r="W89" s="20" t="str">
        <f ca="1">IF(CALC2223!BA89&gt;2,INDIRECT(ADDRESS(MATCH(Agenda2526!C90,'CAL4'!A:A,0)+2,2,4,1,"CAL4")),"")</f>
        <v/>
      </c>
      <c r="X89" s="21">
        <f ca="1">IF(CALC2223!BA89&gt;2,INDIRECT(ADDRESS(MATCH(Agenda2526!C90,'CAL4'!A:A,0)+2,3,4,1,"CAL4")),0)</f>
        <v>0</v>
      </c>
      <c r="Y89" s="20" t="str">
        <f ca="1">IF(CALC2223!BB89&gt;0,INDIRECT(ADDRESS(MATCH(Agenda2526!C90,'CAL5'!A:A,0),2,4,1,"CAL5")),"")</f>
        <v>inh rep EC</v>
      </c>
      <c r="Z89" s="21">
        <f ca="1">IF(CALC2223!BB89&gt;0,INDIRECT(ADDRESS(MATCH(Agenda2526!C90,'CAL5'!A:A,0),3,4,1,"CAL5")),0)</f>
        <v>45936</v>
      </c>
      <c r="AA89" s="20" t="str">
        <f ca="1">IF(CALC2223!BB89&gt;1,INDIRECT(ADDRESS(MATCH(Agenda2526!C90,'CAL5'!A:A,0)+1,2,4,1,"CAL5")),"")</f>
        <v/>
      </c>
      <c r="AB89" s="21">
        <f ca="1">IF(CALC2223!BB89&gt;1,INDIRECT(ADDRESS(MATCH(Agenda2526!C90,'CAL5'!A:A,0)+1,3,4,1,"CAL5")),0)</f>
        <v>0</v>
      </c>
      <c r="AC89" s="20" t="str">
        <f ca="1">IF(CALC2223!BB89&gt;2,INDIRECT(ADDRESS(MATCH(Agenda2526!C90,'CAL5'!A:A,0)+2,2,4,1,"CAL5")),"")</f>
        <v/>
      </c>
      <c r="AD89" s="21">
        <f ca="1">IF(CALC2223!BB89&gt;2,INDIRECT(ADDRESS(MATCH(Agenda2526!C90,'CAL5'!A:A,0)+2,3,4,1,"CAL5")),0)</f>
        <v>0</v>
      </c>
      <c r="AE89" s="20" t="str">
        <f ca="1">IF(CALC2223!BC89&gt;0,INDIRECT(ADDRESS(MATCH(Agenda2526!C90,'CAL6'!A:A,0),2,4,1,"CAL6")),"")</f>
        <v>LO2:3</v>
      </c>
      <c r="AF89" s="21">
        <f ca="1">IF(CALC2223!BC89&gt;0,INDIRECT(ADDRESS(MATCH(Agenda2526!C90,'CAL6'!A:A,0),3,4,1,"CAL6")),0)</f>
        <v>45896</v>
      </c>
      <c r="AG89" s="20" t="str">
        <f ca="1">IF(CALC2223!BC89&gt;1,INDIRECT(ADDRESS(MATCH(Agenda2526!C90,'CAL6'!A:A,0)+1,2,4,1,"CAL6")),"")</f>
        <v/>
      </c>
      <c r="AH89" s="21">
        <f ca="1">IF(CALC2223!BC89&gt;1,INDIRECT(ADDRESS(MATCH(Agenda2526!C90,'CAL6'!A:A,0)+1,3,4,1,"CAL6")),0)</f>
        <v>0</v>
      </c>
      <c r="AI89" s="20" t="str">
        <f ca="1">IF(CALC2223!BC89&gt;2,INDIRECT(ADDRESS(MATCH(Agenda2526!C90,'CAL6'!A:A,0)+2,2,4,1,"CAL6")),"")</f>
        <v/>
      </c>
      <c r="AJ89" s="21">
        <f ca="1">IF(CALC2223!BC89&gt;2,INDIRECT(ADDRESS(MATCH(Agenda2526!C90,'CAL6'!A:A,0)+2,3,4,1,"CAL6")),0)</f>
        <v>0</v>
      </c>
      <c r="AK89" s="20" t="str">
        <f ca="1">IF(CALC2223!BD89&gt;0,INDIRECT(ADDRESS(MATCH(Agenda2526!C90,'CAL7'!A:A,0),2,4,1,"CAL7")),"")</f>
        <v>commissies#3/MR#2</v>
      </c>
      <c r="AL89" s="21">
        <f ca="1">IF(CALC2223!BD89&gt;0,INDIRECT(ADDRESS(MATCH(Agenda2526!C90,'CAL7'!A:A,0),3,4,1,"CAL7")),0)</f>
        <v>45896</v>
      </c>
      <c r="AM89" s="20" t="str">
        <f ca="1">IF(CALC2223!BD89&gt;1,INDIRECT(ADDRESS(MATCH(Agenda2526!C90,'CAL7'!A:A,0)+1,2,4,1,"CAL7")),"")</f>
        <v/>
      </c>
      <c r="AN89" s="21">
        <f ca="1">IF(CALC2223!BD89&gt;1,INDIRECT(ADDRESS(MATCH(Agenda2526!C90,'CAL7'!A:A,0)+1,3,4,1,"CAL7")),0)</f>
        <v>0</v>
      </c>
      <c r="AO89" s="20" t="str">
        <f ca="1">IF(CALC2223!BD89&gt;2,INDIRECT(ADDRESS(MATCH(Agenda2526!C90,'CAL7'!A:A,0)+2,2,4,1,"CAL7")),"")</f>
        <v/>
      </c>
      <c r="AP89" s="21">
        <f ca="1">IF(CALC2223!BD89&gt;2,INDIRECT(ADDRESS(MATCH(Agenda2526!C90,'CAL7'!A:A,0)+2,3,4,1,"CAL7")),0)</f>
        <v>0</v>
      </c>
      <c r="AQ89" s="20" t="str">
        <f ca="1">IF(CALC2223!BE89&gt;0,INDIRECT(ADDRESS(MATCH(Agenda2526!C90,'CAL8'!A:A,0),2,4,1,"CAL8")),"")</f>
        <v/>
      </c>
      <c r="AR89" s="21">
        <f ca="1">IF(CALC2223!BE89&gt;0,INDIRECT(ADDRESS(MATCH(Agenda2526!C90,'CAL8'!A:A,0),3,4,1,"CAL8")),0)</f>
        <v>0</v>
      </c>
      <c r="AS89" s="20" t="str">
        <f ca="1">IF(CALC2223!BE89&gt;1,INDIRECT(ADDRESS(MATCH(Agenda2526!C90,'CAL8'!A:A,0)+1,2,4,1,"CAL8")),"")</f>
        <v/>
      </c>
      <c r="AT89" s="21">
        <f ca="1">IF(CALC2223!BE89&gt;1,INDIRECT(ADDRESS(MATCH(Agenda2526!C90,'CAL8'!A:A,0)+1,3,4,1,"CAL8")),0)</f>
        <v>0</v>
      </c>
      <c r="AU89" s="20" t="str">
        <f ca="1">IF(CALC2223!BE89&gt;2,INDIRECT(ADDRESS(MATCH(Agenda2526!C90,'CAL8'!A:A,0)+2,2,4,1,"CAL8")),"")</f>
        <v/>
      </c>
      <c r="AV89" s="21">
        <f ca="1">IF(CALC2223!BE89&gt;2,INDIRECT(ADDRESS(MATCH(Agenda2526!C90,'CAL8'!A:A,0)+2,3,4,1,"CAL8")),0)</f>
        <v>0</v>
      </c>
      <c r="AW89" s="105"/>
      <c r="AX89" s="20">
        <f>COUNTIF('CAL1'!A:A,Agenda2526!C90)</f>
        <v>0</v>
      </c>
      <c r="AY89" s="20">
        <f>COUNTIF('CAL2'!A:A,Agenda2526!C90)</f>
        <v>0</v>
      </c>
      <c r="AZ89" s="20">
        <f>COUNTIF('CAL3'!A:A,Agenda2526!C90)</f>
        <v>2</v>
      </c>
      <c r="BA89" s="20">
        <f>COUNTIF('CAL4'!A:A,Agenda2526!C90)</f>
        <v>1</v>
      </c>
      <c r="BB89" s="20">
        <f>COUNTIF('CAL5'!A:A,Agenda2526!C90)</f>
        <v>1</v>
      </c>
      <c r="BC89" s="20">
        <f>COUNTIF('CAL6'!A:A,Agenda2526!C90)</f>
        <v>1</v>
      </c>
      <c r="BD89" s="20">
        <f>COUNTIF('CAL7'!A:A,Agenda2526!C90)</f>
        <v>1</v>
      </c>
      <c r="BE89" s="20">
        <f>COUNTIF('CAL8'!A:A,Agenda2526!C90)</f>
        <v>0</v>
      </c>
    </row>
    <row r="90" spans="1:57" ht="15.75" customHeight="1">
      <c r="A90" s="20" t="str">
        <f ca="1">IF(CALC2223!AX90&gt;0,INDIRECT(ADDRESS(MATCH(Agenda2526!C91,'CAL1'!A:A,0),2,4,1,"CAL1")),"")</f>
        <v>Sinterklaasfeest</v>
      </c>
      <c r="B90" s="21">
        <f ca="1">IF(CALC2223!AX90&gt;0,INDIRECT(ADDRESS(MATCH(Agenda2526!C91,'CAL1'!A:A,0),3,4,1,"CAL1")),0)</f>
        <v>45931</v>
      </c>
      <c r="C90" s="20" t="str">
        <f ca="1">IF(CALC2223!AX90&gt;1,INDIRECT(ADDRESS(MATCH(Agenda2526!C91,'CAL1'!A:A,0)+1,2,4,1,"CAL1")),"")</f>
        <v/>
      </c>
      <c r="D90" s="21">
        <f ca="1">IF(CALC2223!AX90&gt;1,INDIRECT(ADDRESS(MATCH(Agenda2526!C91,'CAL1'!A:A,0)+1,3,4,1,"CAL1")),0)</f>
        <v>0</v>
      </c>
      <c r="E90" s="20" t="str">
        <f ca="1">IF(CALC2223!AX90&gt;2,INDIRECT(ADDRESS(MATCH(Agenda2526!C91,'CAL1'!A:A,0)+2,2,4,1,"CAL1")),"")</f>
        <v/>
      </c>
      <c r="F90" s="21">
        <f ca="1">IF(CALC2223!AX90&gt;2,INDIRECT(ADDRESS(MATCH(Agenda2526!C91,'CAL1'!A:A,0)+2,3,4,1,"CAL1")),0)</f>
        <v>0</v>
      </c>
      <c r="G90" s="20" t="str">
        <f ca="1">IF(CALC2223!AY90&gt;0,INDIRECT(ADDRESS(MATCH(Agenda2526!C91,'CAL2'!A:A,0),2,4,1,"CAL2")),"")</f>
        <v>Rep FA</v>
      </c>
      <c r="H90" s="21">
        <f ca="1">IF(CALC2223!AY90&gt;0,INDIRECT(ADDRESS(MATCH(Agenda2526!C91,'CAL2'!A:A,0),3,4,1,"CAL2")),0)</f>
        <v>45903</v>
      </c>
      <c r="I90" s="20" t="str">
        <f ca="1">IF(CALC2223!AY90&gt;1,INDIRECT(ADDRESS(MATCH(Agenda2526!C91,'CAL2'!A:A,0)+1,2,4,1,"CAL2")),"")</f>
        <v/>
      </c>
      <c r="J90" s="21">
        <f ca="1">IF(CALC2223!AY90&gt;1,INDIRECT(ADDRESS(MATCH(Agenda2526!C91,'CAL2'!A:A,0)+1,3,4,1,"CAL2")),0)</f>
        <v>0</v>
      </c>
      <c r="K90" s="20" t="str">
        <f ca="1">IF(CALC2223!AY90&gt;2,INDIRECT(ADDRESS(MATCH(Agenda2526!C91,'CAL2'!A:A,0)+2,2,4,1,"CAL2")),"")</f>
        <v/>
      </c>
      <c r="L90" s="21">
        <f ca="1">IF(CALC2223!AY90&gt;2,INDIRECT(ADDRESS(MATCH(Agenda2526!C91,'CAL2'!A:A,0)+2,3,4,1,"CAL2")),0)</f>
        <v>0</v>
      </c>
      <c r="M90" s="20" t="str">
        <f ca="1">IF(CALC2223!AZ90&gt;0,INDIRECT(ADDRESS(MATCH(Agenda2526!C91,'CAL3'!A:A,0),2,4,1,"CAL3")),"")</f>
        <v>week van de vakkenvoorlichting</v>
      </c>
      <c r="N90" s="21">
        <f ca="1">IF(CALC2223!AZ90&gt;0,INDIRECT(ADDRESS(MATCH(Agenda2526!C91,'CAL3'!A:A,0),3,4,1,"CAL3")),0)</f>
        <v>45915</v>
      </c>
      <c r="O90" s="20" t="str">
        <f ca="1">IF(CALC2223!AZ90&gt;1,INDIRECT(ADDRESS(MATCH(Agenda2526!C91,'CAL3'!A:A,0)+1,2,4,1,"CAL3")),"")</f>
        <v/>
      </c>
      <c r="P90" s="21">
        <f ca="1">IF(CALC2223!AZ90&gt;1,INDIRECT(ADDRESS(MATCH(Agenda2526!C91,'CAL3'!A:A,0)+1,3,4,1,"CAL3")),0)</f>
        <v>0</v>
      </c>
      <c r="Q90" s="20" t="str">
        <f ca="1">IF(CALC2223!AZ90&gt;2,INDIRECT(ADDRESS(MATCH(Agenda2526!C91,'CAL3'!A:A,0)+2,2,4,1,"CAL3")),"")</f>
        <v/>
      </c>
      <c r="R90" s="21">
        <f ca="1">IF(CALC2223!AZ90&gt;2,INDIRECT(ADDRESS(MATCH(Agenda2526!C91,'CAL3'!A:A,0)+2,3,4,1,"CAL3")),0)</f>
        <v>0</v>
      </c>
      <c r="S90" s="20" t="str">
        <f ca="1">IF(CALC2223!BA90&gt;0,INDIRECT(ADDRESS(MATCH(Agenda2526!C91,'CAL4'!A:A,0),2,4,1,"CAL4")),"")</f>
        <v>Rep WIABC</v>
      </c>
      <c r="T90" s="21">
        <f ca="1">IF(CALC2223!BA90&gt;0,INDIRECT(ADDRESS(MATCH(Agenda2526!C91,'CAL4'!A:A,0),3,4,1,"CAL4")),0)</f>
        <v>45896</v>
      </c>
      <c r="U90" s="20" t="str">
        <f ca="1">IF(CALC2223!BA90&gt;1,INDIRECT(ADDRESS(MATCH(Agenda2526!C91,'CAL4'!A:A,0)+1,2,4,1,"CAL4")),"")</f>
        <v>Bezoek studiebeurs Jaarbeurs</v>
      </c>
      <c r="V90" s="21">
        <f ca="1">IF(CALC2223!BA90&gt;1,INDIRECT(ADDRESS(MATCH(Agenda2526!C91,'CAL4'!A:A,0)+1,3,4,1,"CAL4")),0)</f>
        <v>45936</v>
      </c>
      <c r="W90" s="20" t="str">
        <f ca="1">IF(CALC2223!BA90&gt;2,INDIRECT(ADDRESS(MATCH(Agenda2526!C91,'CAL4'!A:A,0)+2,2,4,1,"CAL4")),"")</f>
        <v/>
      </c>
      <c r="X90" s="21">
        <f ca="1">IF(CALC2223!BA90&gt;2,INDIRECT(ADDRESS(MATCH(Agenda2526!C91,'CAL4'!A:A,0)+2,3,4,1,"CAL4")),0)</f>
        <v>0</v>
      </c>
      <c r="Y90" s="20" t="str">
        <f ca="1">IF(CALC2223!BB90&gt;0,INDIRECT(ADDRESS(MATCH(Agenda2526!C91,'CAL5'!A:A,0),2,4,1,"CAL5")),"")</f>
        <v/>
      </c>
      <c r="Z90" s="21">
        <f ca="1">IF(CALC2223!BB90&gt;0,INDIRECT(ADDRESS(MATCH(Agenda2526!C91,'CAL5'!A:A,0),3,4,1,"CAL5")),0)</f>
        <v>0</v>
      </c>
      <c r="AA90" s="20" t="str">
        <f ca="1">IF(CALC2223!BB90&gt;1,INDIRECT(ADDRESS(MATCH(Agenda2526!C91,'CAL5'!A:A,0)+1,2,4,1,"CAL5")),"")</f>
        <v/>
      </c>
      <c r="AB90" s="21">
        <f ca="1">IF(CALC2223!BB90&gt;1,INDIRECT(ADDRESS(MATCH(Agenda2526!C91,'CAL5'!A:A,0)+1,3,4,1,"CAL5")),0)</f>
        <v>0</v>
      </c>
      <c r="AC90" s="20" t="str">
        <f ca="1">IF(CALC2223!BB90&gt;2,INDIRECT(ADDRESS(MATCH(Agenda2526!C91,'CAL5'!A:A,0)+2,2,4,1,"CAL5")),"")</f>
        <v/>
      </c>
      <c r="AD90" s="21">
        <f ca="1">IF(CALC2223!BB90&gt;2,INDIRECT(ADDRESS(MATCH(Agenda2526!C91,'CAL5'!A:A,0)+2,3,4,1,"CAL5")),0)</f>
        <v>0</v>
      </c>
      <c r="AE90" s="20" t="str">
        <f ca="1">IF(CALC2223!BC90&gt;0,INDIRECT(ADDRESS(MATCH(Agenda2526!C91,'CAL6'!A:A,0),2,4,1,"CAL6")),"")</f>
        <v/>
      </c>
      <c r="AF90" s="21">
        <f ca="1">IF(CALC2223!BC90&gt;0,INDIRECT(ADDRESS(MATCH(Agenda2526!C91,'CAL6'!A:A,0),3,4,1,"CAL6")),0)</f>
        <v>0</v>
      </c>
      <c r="AG90" s="20" t="str">
        <f ca="1">IF(CALC2223!BC90&gt;1,INDIRECT(ADDRESS(MATCH(Agenda2526!C91,'CAL6'!A:A,0)+1,2,4,1,"CAL6")),"")</f>
        <v/>
      </c>
      <c r="AH90" s="21">
        <f ca="1">IF(CALC2223!BC90&gt;1,INDIRECT(ADDRESS(MATCH(Agenda2526!C91,'CAL6'!A:A,0)+1,3,4,1,"CAL6")),0)</f>
        <v>0</v>
      </c>
      <c r="AI90" s="20" t="str">
        <f ca="1">IF(CALC2223!BC90&gt;2,INDIRECT(ADDRESS(MATCH(Agenda2526!C91,'CAL6'!A:A,0)+2,2,4,1,"CAL6")),"")</f>
        <v/>
      </c>
      <c r="AJ90" s="21">
        <f ca="1">IF(CALC2223!BC90&gt;2,INDIRECT(ADDRESS(MATCH(Agenda2526!C91,'CAL6'!A:A,0)+2,3,4,1,"CAL6")),0)</f>
        <v>0</v>
      </c>
      <c r="AK90" s="20" t="str">
        <f ca="1">IF(CALC2223!BD90&gt;0,INDIRECT(ADDRESS(MATCH(Agenda2526!C91,'CAL7'!A:A,0),2,4,1,"CAL7")),"")</f>
        <v/>
      </c>
      <c r="AL90" s="21">
        <f ca="1">IF(CALC2223!BD90&gt;0,INDIRECT(ADDRESS(MATCH(Agenda2526!C91,'CAL7'!A:A,0),3,4,1,"CAL7")),0)</f>
        <v>0</v>
      </c>
      <c r="AM90" s="20" t="str">
        <f ca="1">IF(CALC2223!BD90&gt;1,INDIRECT(ADDRESS(MATCH(Agenda2526!C91,'CAL7'!A:A,0)+1,2,4,1,"CAL7")),"")</f>
        <v/>
      </c>
      <c r="AN90" s="21">
        <f ca="1">IF(CALC2223!BD90&gt;1,INDIRECT(ADDRESS(MATCH(Agenda2526!C91,'CAL7'!A:A,0)+1,3,4,1,"CAL7")),0)</f>
        <v>0</v>
      </c>
      <c r="AO90" s="20" t="str">
        <f ca="1">IF(CALC2223!BD90&gt;2,INDIRECT(ADDRESS(MATCH(Agenda2526!C91,'CAL7'!A:A,0)+2,2,4,1,"CAL7")),"")</f>
        <v/>
      </c>
      <c r="AP90" s="21">
        <f ca="1">IF(CALC2223!BD90&gt;2,INDIRECT(ADDRESS(MATCH(Agenda2526!C91,'CAL7'!A:A,0)+2,3,4,1,"CAL7")),0)</f>
        <v>0</v>
      </c>
      <c r="AQ90" s="20" t="str">
        <f ca="1">IF(CALC2223!BE90&gt;0,INDIRECT(ADDRESS(MATCH(Agenda2526!C91,'CAL8'!A:A,0),2,4,1,"CAL8")),"")</f>
        <v/>
      </c>
      <c r="AR90" s="21">
        <f ca="1">IF(CALC2223!BE90&gt;0,INDIRECT(ADDRESS(MATCH(Agenda2526!C91,'CAL8'!A:A,0),3,4,1,"CAL8")),0)</f>
        <v>0</v>
      </c>
      <c r="AS90" s="20" t="str">
        <f ca="1">IF(CALC2223!BE90&gt;1,INDIRECT(ADDRESS(MATCH(Agenda2526!C91,'CAL8'!A:A,0)+1,2,4,1,"CAL8")),"")</f>
        <v/>
      </c>
      <c r="AT90" s="21">
        <f ca="1">IF(CALC2223!BE90&gt;1,INDIRECT(ADDRESS(MATCH(Agenda2526!C91,'CAL8'!A:A,0)+1,3,4,1,"CAL8")),0)</f>
        <v>0</v>
      </c>
      <c r="AU90" s="20" t="str">
        <f ca="1">IF(CALC2223!BE90&gt;2,INDIRECT(ADDRESS(MATCH(Agenda2526!C91,'CAL8'!A:A,0)+2,2,4,1,"CAL8")),"")</f>
        <v/>
      </c>
      <c r="AV90" s="21">
        <f ca="1">IF(CALC2223!BE90&gt;2,INDIRECT(ADDRESS(MATCH(Agenda2526!C91,'CAL8'!A:A,0)+2,3,4,1,"CAL8")),0)</f>
        <v>0</v>
      </c>
      <c r="AW90" s="105"/>
      <c r="AX90" s="20">
        <f>COUNTIF('CAL1'!A:A,Agenda2526!C91)</f>
        <v>1</v>
      </c>
      <c r="AY90" s="20">
        <f>COUNTIF('CAL2'!A:A,Agenda2526!C91)</f>
        <v>1</v>
      </c>
      <c r="AZ90" s="20">
        <f>COUNTIF('CAL3'!A:A,Agenda2526!C91)</f>
        <v>1</v>
      </c>
      <c r="BA90" s="20">
        <f>COUNTIF('CAL4'!A:A,Agenda2526!C91)</f>
        <v>2</v>
      </c>
      <c r="BB90" s="20">
        <f>COUNTIF('CAL5'!A:A,Agenda2526!C91)</f>
        <v>0</v>
      </c>
      <c r="BC90" s="20">
        <f>COUNTIF('CAL6'!A:A,Agenda2526!C91)</f>
        <v>0</v>
      </c>
      <c r="BD90" s="20">
        <f>COUNTIF('CAL7'!A:A,Agenda2526!C91)</f>
        <v>0</v>
      </c>
      <c r="BE90" s="20">
        <f>COUNTIF('CAL8'!A:A,Agenda2526!C91)</f>
        <v>0</v>
      </c>
    </row>
    <row r="91" spans="1:57" ht="15.75" customHeight="1">
      <c r="A91" s="20" t="str">
        <f ca="1">IF(CALC2223!AX91&gt;0,INDIRECT(ADDRESS(MATCH(Agenda2526!C92,'CAL1'!A:A,0),2,4,1,"CAL1")),"")</f>
        <v/>
      </c>
      <c r="B91" s="21">
        <f ca="1">IF(CALC2223!AX91&gt;0,INDIRECT(ADDRESS(MATCH(Agenda2526!C92,'CAL1'!A:A,0),3,4,1,"CAL1")),0)</f>
        <v>0</v>
      </c>
      <c r="C91" s="20" t="str">
        <f ca="1">IF(CALC2223!AX91&gt;1,INDIRECT(ADDRESS(MATCH(Agenda2526!C92,'CAL1'!A:A,0)+1,2,4,1,"CAL1")),"")</f>
        <v/>
      </c>
      <c r="D91" s="21">
        <f ca="1">IF(CALC2223!AX91&gt;1,INDIRECT(ADDRESS(MATCH(Agenda2526!C92,'CAL1'!A:A,0)+1,3,4,1,"CAL1")),0)</f>
        <v>0</v>
      </c>
      <c r="E91" s="20" t="str">
        <f ca="1">IF(CALC2223!AX91&gt;2,INDIRECT(ADDRESS(MATCH(Agenda2526!C92,'CAL1'!A:A,0)+2,2,4,1,"CAL1")),"")</f>
        <v/>
      </c>
      <c r="F91" s="21">
        <f ca="1">IF(CALC2223!AX91&gt;2,INDIRECT(ADDRESS(MATCH(Agenda2526!C92,'CAL1'!A:A,0)+2,3,4,1,"CAL1")),0)</f>
        <v>0</v>
      </c>
      <c r="G91" s="20" t="str">
        <f ca="1">IF(CALC2223!AY91&gt;0,INDIRECT(ADDRESS(MATCH(Agenda2526!C92,'CAL2'!A:A,0),2,4,1,"CAL2")),"")</f>
        <v/>
      </c>
      <c r="H91" s="21">
        <f ca="1">IF(CALC2223!AY91&gt;0,INDIRECT(ADDRESS(MATCH(Agenda2526!C92,'CAL2'!A:A,0),3,4,1,"CAL2")),0)</f>
        <v>0</v>
      </c>
      <c r="I91" s="20" t="str">
        <f ca="1">IF(CALC2223!AY91&gt;1,INDIRECT(ADDRESS(MATCH(Agenda2526!C92,'CAL2'!A:A,0)+1,2,4,1,"CAL2")),"")</f>
        <v/>
      </c>
      <c r="J91" s="21">
        <f ca="1">IF(CALC2223!AY91&gt;1,INDIRECT(ADDRESS(MATCH(Agenda2526!C92,'CAL2'!A:A,0)+1,3,4,1,"CAL2")),0)</f>
        <v>0</v>
      </c>
      <c r="K91" s="20" t="str">
        <f ca="1">IF(CALC2223!AY91&gt;2,INDIRECT(ADDRESS(MATCH(Agenda2526!C92,'CAL2'!A:A,0)+2,2,4,1,"CAL2")),"")</f>
        <v/>
      </c>
      <c r="L91" s="21">
        <f ca="1">IF(CALC2223!AY91&gt;2,INDIRECT(ADDRESS(MATCH(Agenda2526!C92,'CAL2'!A:A,0)+2,3,4,1,"CAL2")),0)</f>
        <v>0</v>
      </c>
      <c r="M91" s="20" t="str">
        <f ca="1">IF(CALC2223!AZ91&gt;0,INDIRECT(ADDRESS(MATCH(Agenda2526!C92,'CAL3'!A:A,0),2,4,1,"CAL3")),"")</f>
        <v/>
      </c>
      <c r="N91" s="21">
        <f ca="1">IF(CALC2223!AZ91&gt;0,INDIRECT(ADDRESS(MATCH(Agenda2526!C92,'CAL3'!A:A,0),3,4,1,"CAL3")),0)</f>
        <v>0</v>
      </c>
      <c r="O91" s="20" t="str">
        <f ca="1">IF(CALC2223!AZ91&gt;1,INDIRECT(ADDRESS(MATCH(Agenda2526!C92,'CAL3'!A:A,0)+1,2,4,1,"CAL3")),"")</f>
        <v/>
      </c>
      <c r="P91" s="21">
        <f ca="1">IF(CALC2223!AZ91&gt;1,INDIRECT(ADDRESS(MATCH(Agenda2526!C92,'CAL3'!A:A,0)+1,3,4,1,"CAL3")),0)</f>
        <v>0</v>
      </c>
      <c r="Q91" s="20" t="str">
        <f ca="1">IF(CALC2223!AZ91&gt;2,INDIRECT(ADDRESS(MATCH(Agenda2526!C92,'CAL3'!A:A,0)+2,2,4,1,"CAL3")),"")</f>
        <v/>
      </c>
      <c r="R91" s="21">
        <f ca="1">IF(CALC2223!AZ91&gt;2,INDIRECT(ADDRESS(MATCH(Agenda2526!C92,'CAL3'!A:A,0)+2,3,4,1,"CAL3")),0)</f>
        <v>0</v>
      </c>
      <c r="S91" s="20" t="str">
        <f ca="1">IF(CALC2223!BA91&gt;0,INDIRECT(ADDRESS(MATCH(Agenda2526!C92,'CAL4'!A:A,0),2,4,1,"CAL4")),"")</f>
        <v/>
      </c>
      <c r="T91" s="21">
        <f ca="1">IF(CALC2223!BA91&gt;0,INDIRECT(ADDRESS(MATCH(Agenda2526!C92,'CAL4'!A:A,0),3,4,1,"CAL4")),0)</f>
        <v>0</v>
      </c>
      <c r="U91" s="20" t="str">
        <f ca="1">IF(CALC2223!BA91&gt;1,INDIRECT(ADDRESS(MATCH(Agenda2526!C92,'CAL4'!A:A,0)+1,2,4,1,"CAL4")),"")</f>
        <v/>
      </c>
      <c r="V91" s="21">
        <f ca="1">IF(CALC2223!BA91&gt;1,INDIRECT(ADDRESS(MATCH(Agenda2526!C92,'CAL4'!A:A,0)+1,3,4,1,"CAL4")),0)</f>
        <v>0</v>
      </c>
      <c r="W91" s="20" t="str">
        <f ca="1">IF(CALC2223!BA91&gt;2,INDIRECT(ADDRESS(MATCH(Agenda2526!C92,'CAL4'!A:A,0)+2,2,4,1,"CAL4")),"")</f>
        <v/>
      </c>
      <c r="X91" s="21">
        <f ca="1">IF(CALC2223!BA91&gt;2,INDIRECT(ADDRESS(MATCH(Agenda2526!C92,'CAL4'!A:A,0)+2,3,4,1,"CAL4")),0)</f>
        <v>0</v>
      </c>
      <c r="Y91" s="20" t="str">
        <f ca="1">IF(CALC2223!BB91&gt;0,INDIRECT(ADDRESS(MATCH(Agenda2526!C92,'CAL5'!A:A,0),2,4,1,"CAL5")),"")</f>
        <v/>
      </c>
      <c r="Z91" s="21">
        <f ca="1">IF(CALC2223!BB91&gt;0,INDIRECT(ADDRESS(MATCH(Agenda2526!C92,'CAL5'!A:A,0),3,4,1,"CAL5")),0)</f>
        <v>0</v>
      </c>
      <c r="AA91" s="20" t="str">
        <f ca="1">IF(CALC2223!BB91&gt;1,INDIRECT(ADDRESS(MATCH(Agenda2526!C92,'CAL5'!A:A,0)+1,2,4,1,"CAL5")),"")</f>
        <v/>
      </c>
      <c r="AB91" s="21">
        <f ca="1">IF(CALC2223!BB91&gt;1,INDIRECT(ADDRESS(MATCH(Agenda2526!C92,'CAL5'!A:A,0)+1,3,4,1,"CAL5")),0)</f>
        <v>0</v>
      </c>
      <c r="AC91" s="20" t="str">
        <f ca="1">IF(CALC2223!BB91&gt;2,INDIRECT(ADDRESS(MATCH(Agenda2526!C92,'CAL5'!A:A,0)+2,2,4,1,"CAL5")),"")</f>
        <v/>
      </c>
      <c r="AD91" s="21">
        <f ca="1">IF(CALC2223!BB91&gt;2,INDIRECT(ADDRESS(MATCH(Agenda2526!C92,'CAL5'!A:A,0)+2,3,4,1,"CAL5")),0)</f>
        <v>0</v>
      </c>
      <c r="AE91" s="20" t="str">
        <f ca="1">IF(CALC2223!BC91&gt;0,INDIRECT(ADDRESS(MATCH(Agenda2526!C92,'CAL6'!A:A,0),2,4,1,"CAL6")),"")</f>
        <v/>
      </c>
      <c r="AF91" s="21">
        <f ca="1">IF(CALC2223!BC91&gt;0,INDIRECT(ADDRESS(MATCH(Agenda2526!C92,'CAL6'!A:A,0),3,4,1,"CAL6")),0)</f>
        <v>0</v>
      </c>
      <c r="AG91" s="20" t="str">
        <f ca="1">IF(CALC2223!BC91&gt;1,INDIRECT(ADDRESS(MATCH(Agenda2526!C92,'CAL6'!A:A,0)+1,2,4,1,"CAL6")),"")</f>
        <v/>
      </c>
      <c r="AH91" s="21">
        <f ca="1">IF(CALC2223!BC91&gt;1,INDIRECT(ADDRESS(MATCH(Agenda2526!C92,'CAL6'!A:A,0)+1,3,4,1,"CAL6")),0)</f>
        <v>0</v>
      </c>
      <c r="AI91" s="20" t="str">
        <f ca="1">IF(CALC2223!BC91&gt;2,INDIRECT(ADDRESS(MATCH(Agenda2526!C92,'CAL6'!A:A,0)+2,2,4,1,"CAL6")),"")</f>
        <v/>
      </c>
      <c r="AJ91" s="21">
        <f ca="1">IF(CALC2223!BC91&gt;2,INDIRECT(ADDRESS(MATCH(Agenda2526!C92,'CAL6'!A:A,0)+2,3,4,1,"CAL6")),0)</f>
        <v>0</v>
      </c>
      <c r="AK91" s="20" t="str">
        <f ca="1">IF(CALC2223!BD91&gt;0,INDIRECT(ADDRESS(MATCH(Agenda2526!C92,'CAL7'!A:A,0),2,4,1,"CAL7")),"")</f>
        <v/>
      </c>
      <c r="AL91" s="21">
        <f ca="1">IF(CALC2223!BD91&gt;0,INDIRECT(ADDRESS(MATCH(Agenda2526!C92,'CAL7'!A:A,0),3,4,1,"CAL7")),0)</f>
        <v>0</v>
      </c>
      <c r="AM91" s="20" t="str">
        <f ca="1">IF(CALC2223!BD91&gt;1,INDIRECT(ADDRESS(MATCH(Agenda2526!C92,'CAL7'!A:A,0)+1,2,4,1,"CAL7")),"")</f>
        <v/>
      </c>
      <c r="AN91" s="21">
        <f ca="1">IF(CALC2223!BD91&gt;1,INDIRECT(ADDRESS(MATCH(Agenda2526!C92,'CAL7'!A:A,0)+1,3,4,1,"CAL7")),0)</f>
        <v>0</v>
      </c>
      <c r="AO91" s="20" t="str">
        <f ca="1">IF(CALC2223!BD91&gt;2,INDIRECT(ADDRESS(MATCH(Agenda2526!C92,'CAL7'!A:A,0)+2,2,4,1,"CAL7")),"")</f>
        <v/>
      </c>
      <c r="AP91" s="21">
        <f ca="1">IF(CALC2223!BD91&gt;2,INDIRECT(ADDRESS(MATCH(Agenda2526!C92,'CAL7'!A:A,0)+2,3,4,1,"CAL7")),0)</f>
        <v>0</v>
      </c>
      <c r="AQ91" s="20" t="str">
        <f ca="1">IF(CALC2223!BE91&gt;0,INDIRECT(ADDRESS(MATCH(Agenda2526!C92,'CAL8'!A:A,0),2,4,1,"CAL8")),"")</f>
        <v/>
      </c>
      <c r="AR91" s="21">
        <f ca="1">IF(CALC2223!BE91&gt;0,INDIRECT(ADDRESS(MATCH(Agenda2526!C92,'CAL8'!A:A,0),3,4,1,"CAL8")),0)</f>
        <v>0</v>
      </c>
      <c r="AS91" s="20" t="str">
        <f ca="1">IF(CALC2223!BE91&gt;1,INDIRECT(ADDRESS(MATCH(Agenda2526!C92,'CAL8'!A:A,0)+1,2,4,1,"CAL8")),"")</f>
        <v/>
      </c>
      <c r="AT91" s="21">
        <f ca="1">IF(CALC2223!BE91&gt;1,INDIRECT(ADDRESS(MATCH(Agenda2526!C92,'CAL8'!A:A,0)+1,3,4,1,"CAL8")),0)</f>
        <v>0</v>
      </c>
      <c r="AU91" s="20" t="str">
        <f ca="1">IF(CALC2223!BE91&gt;2,INDIRECT(ADDRESS(MATCH(Agenda2526!C92,'CAL8'!A:A,0)+2,2,4,1,"CAL8")),"")</f>
        <v/>
      </c>
      <c r="AV91" s="21">
        <f ca="1">IF(CALC2223!BE91&gt;2,INDIRECT(ADDRESS(MATCH(Agenda2526!C92,'CAL8'!A:A,0)+2,3,4,1,"CAL8")),0)</f>
        <v>0</v>
      </c>
      <c r="AW91" s="106"/>
      <c r="AX91" s="20">
        <f>COUNTIF('CAL1'!A:A,Agenda2526!C92)</f>
        <v>0</v>
      </c>
      <c r="AY91" s="20">
        <f>COUNTIF('CAL2'!A:A,Agenda2526!C92)</f>
        <v>0</v>
      </c>
      <c r="AZ91" s="20">
        <f>COUNTIF('CAL3'!A:A,Agenda2526!C92)</f>
        <v>0</v>
      </c>
      <c r="BA91" s="20">
        <f>COUNTIF('CAL4'!A:A,Agenda2526!C92)</f>
        <v>0</v>
      </c>
      <c r="BB91" s="20">
        <f>COUNTIF('CAL5'!A:A,Agenda2526!C92)</f>
        <v>0</v>
      </c>
      <c r="BC91" s="20">
        <f>COUNTIF('CAL6'!A:A,Agenda2526!C92)</f>
        <v>0</v>
      </c>
      <c r="BD91" s="20">
        <f>COUNTIF('CAL7'!A:A,Agenda2526!C92)</f>
        <v>0</v>
      </c>
      <c r="BE91" s="20">
        <f>COUNTIF('CAL8'!A:A,Agenda2526!C92)</f>
        <v>0</v>
      </c>
    </row>
    <row r="92" spans="1:57" ht="15.75" customHeight="1">
      <c r="A92" s="20" t="str">
        <f ca="1">IF(CALC2223!AX92&gt;0,INDIRECT(ADDRESS(MATCH(Agenda2526!C93,'CAL1'!A:A,0),2,4,1,"CAL1")),"")</f>
        <v/>
      </c>
      <c r="B92" s="21">
        <f ca="1">IF(CALC2223!AX92&gt;0,INDIRECT(ADDRESS(MATCH(Agenda2526!C93,'CAL1'!A:A,0),3,4,1,"CAL1")),0)</f>
        <v>0</v>
      </c>
      <c r="C92" s="20" t="str">
        <f ca="1">IF(CALC2223!AX92&gt;1,INDIRECT(ADDRESS(MATCH(Agenda2526!C93,'CAL1'!A:A,0)+1,2,4,1,"CAL1")),"")</f>
        <v/>
      </c>
      <c r="D92" s="21">
        <f ca="1">IF(CALC2223!AX92&gt;1,INDIRECT(ADDRESS(MATCH(Agenda2526!C93,'CAL1'!A:A,0)+1,3,4,1,"CAL1")),0)</f>
        <v>0</v>
      </c>
      <c r="E92" s="20" t="str">
        <f ca="1">IF(CALC2223!AX92&gt;2,INDIRECT(ADDRESS(MATCH(Agenda2526!C93,'CAL1'!A:A,0)+2,2,4,1,"CAL1")),"")</f>
        <v/>
      </c>
      <c r="F92" s="21">
        <f ca="1">IF(CALC2223!AX92&gt;2,INDIRECT(ADDRESS(MATCH(Agenda2526!C93,'CAL1'!A:A,0)+2,3,4,1,"CAL1")),0)</f>
        <v>0</v>
      </c>
      <c r="G92" s="20" t="str">
        <f ca="1">IF(CALC2223!AY92&gt;0,INDIRECT(ADDRESS(MATCH(Agenda2526!C93,'CAL2'!A:A,0),2,4,1,"CAL2")),"")</f>
        <v/>
      </c>
      <c r="H92" s="21">
        <f ca="1">IF(CALC2223!AY92&gt;0,INDIRECT(ADDRESS(MATCH(Agenda2526!C93,'CAL2'!A:A,0),3,4,1,"CAL2")),0)</f>
        <v>0</v>
      </c>
      <c r="I92" s="20" t="str">
        <f ca="1">IF(CALC2223!AY92&gt;1,INDIRECT(ADDRESS(MATCH(Agenda2526!C93,'CAL2'!A:A,0)+1,2,4,1,"CAL2")),"")</f>
        <v/>
      </c>
      <c r="J92" s="21">
        <f ca="1">IF(CALC2223!AY92&gt;1,INDIRECT(ADDRESS(MATCH(Agenda2526!C93,'CAL2'!A:A,0)+1,3,4,1,"CAL2")),0)</f>
        <v>0</v>
      </c>
      <c r="K92" s="20" t="str">
        <f ca="1">IF(CALC2223!AY92&gt;2,INDIRECT(ADDRESS(MATCH(Agenda2526!C93,'CAL2'!A:A,0)+2,2,4,1,"CAL2")),"")</f>
        <v/>
      </c>
      <c r="L92" s="21">
        <f ca="1">IF(CALC2223!AY92&gt;2,INDIRECT(ADDRESS(MATCH(Agenda2526!C93,'CAL2'!A:A,0)+2,3,4,1,"CAL2")),0)</f>
        <v>0</v>
      </c>
      <c r="M92" s="20" t="str">
        <f ca="1">IF(CALC2223!AZ92&gt;0,INDIRECT(ADDRESS(MATCH(Agenda2526!C93,'CAL3'!A:A,0),2,4,1,"CAL3")),"")</f>
        <v/>
      </c>
      <c r="N92" s="21">
        <f ca="1">IF(CALC2223!AZ92&gt;0,INDIRECT(ADDRESS(MATCH(Agenda2526!C93,'CAL3'!A:A,0),3,4,1,"CAL3")),0)</f>
        <v>0</v>
      </c>
      <c r="O92" s="20" t="str">
        <f ca="1">IF(CALC2223!AZ92&gt;1,INDIRECT(ADDRESS(MATCH(Agenda2526!C93,'CAL3'!A:A,0)+1,2,4,1,"CAL3")),"")</f>
        <v/>
      </c>
      <c r="P92" s="21">
        <f ca="1">IF(CALC2223!AZ92&gt;1,INDIRECT(ADDRESS(MATCH(Agenda2526!C93,'CAL3'!A:A,0)+1,3,4,1,"CAL3")),0)</f>
        <v>0</v>
      </c>
      <c r="Q92" s="20" t="str">
        <f ca="1">IF(CALC2223!AZ92&gt;2,INDIRECT(ADDRESS(MATCH(Agenda2526!C93,'CAL3'!A:A,0)+2,2,4,1,"CAL3")),"")</f>
        <v/>
      </c>
      <c r="R92" s="21">
        <f ca="1">IF(CALC2223!AZ92&gt;2,INDIRECT(ADDRESS(MATCH(Agenda2526!C93,'CAL3'!A:A,0)+2,3,4,1,"CAL3")),0)</f>
        <v>0</v>
      </c>
      <c r="S92" s="20" t="str">
        <f ca="1">IF(CALC2223!BA92&gt;0,INDIRECT(ADDRESS(MATCH(Agenda2526!C93,'CAL4'!A:A,0),2,4,1,"CAL4")),"")</f>
        <v/>
      </c>
      <c r="T92" s="21">
        <f ca="1">IF(CALC2223!BA92&gt;0,INDIRECT(ADDRESS(MATCH(Agenda2526!C93,'CAL4'!A:A,0),3,4,1,"CAL4")),0)</f>
        <v>0</v>
      </c>
      <c r="U92" s="20" t="str">
        <f ca="1">IF(CALC2223!BA92&gt;1,INDIRECT(ADDRESS(MATCH(Agenda2526!C93,'CAL4'!A:A,0)+1,2,4,1,"CAL4")),"")</f>
        <v/>
      </c>
      <c r="V92" s="21">
        <f ca="1">IF(CALC2223!BA92&gt;1,INDIRECT(ADDRESS(MATCH(Agenda2526!C93,'CAL4'!A:A,0)+1,3,4,1,"CAL4")),0)</f>
        <v>0</v>
      </c>
      <c r="W92" s="20" t="str">
        <f ca="1">IF(CALC2223!BA92&gt;2,INDIRECT(ADDRESS(MATCH(Agenda2526!C93,'CAL4'!A:A,0)+2,2,4,1,"CAL4")),"")</f>
        <v/>
      </c>
      <c r="X92" s="21">
        <f ca="1">IF(CALC2223!BA92&gt;2,INDIRECT(ADDRESS(MATCH(Agenda2526!C93,'CAL4'!A:A,0)+2,3,4,1,"CAL4")),0)</f>
        <v>0</v>
      </c>
      <c r="Y92" s="20" t="str">
        <f ca="1">IF(CALC2223!BB92&gt;0,INDIRECT(ADDRESS(MATCH(Agenda2526!C93,'CAL5'!A:A,0),2,4,1,"CAL5")),"")</f>
        <v/>
      </c>
      <c r="Z92" s="21">
        <f ca="1">IF(CALC2223!BB92&gt;0,INDIRECT(ADDRESS(MATCH(Agenda2526!C93,'CAL5'!A:A,0),3,4,1,"CAL5")),0)</f>
        <v>0</v>
      </c>
      <c r="AA92" s="20" t="str">
        <f ca="1">IF(CALC2223!BB92&gt;1,INDIRECT(ADDRESS(MATCH(Agenda2526!C93,'CAL5'!A:A,0)+1,2,4,1,"CAL5")),"")</f>
        <v/>
      </c>
      <c r="AB92" s="21">
        <f ca="1">IF(CALC2223!BB92&gt;1,INDIRECT(ADDRESS(MATCH(Agenda2526!C93,'CAL5'!A:A,0)+1,3,4,1,"CAL5")),0)</f>
        <v>0</v>
      </c>
      <c r="AC92" s="20" t="str">
        <f ca="1">IF(CALC2223!BB92&gt;2,INDIRECT(ADDRESS(MATCH(Agenda2526!C93,'CAL5'!A:A,0)+2,2,4,1,"CAL5")),"")</f>
        <v/>
      </c>
      <c r="AD92" s="21">
        <f ca="1">IF(CALC2223!BB92&gt;2,INDIRECT(ADDRESS(MATCH(Agenda2526!C93,'CAL5'!A:A,0)+2,3,4,1,"CAL5")),0)</f>
        <v>0</v>
      </c>
      <c r="AE92" s="20" t="str">
        <f ca="1">IF(CALC2223!BC92&gt;0,INDIRECT(ADDRESS(MATCH(Agenda2526!C93,'CAL6'!A:A,0),2,4,1,"CAL6")),"")</f>
        <v/>
      </c>
      <c r="AF92" s="21">
        <f ca="1">IF(CALC2223!BC92&gt;0,INDIRECT(ADDRESS(MATCH(Agenda2526!C93,'CAL6'!A:A,0),3,4,1,"CAL6")),0)</f>
        <v>0</v>
      </c>
      <c r="AG92" s="20" t="str">
        <f ca="1">IF(CALC2223!BC92&gt;1,INDIRECT(ADDRESS(MATCH(Agenda2526!C93,'CAL6'!A:A,0)+1,2,4,1,"CAL6")),"")</f>
        <v/>
      </c>
      <c r="AH92" s="21">
        <f ca="1">IF(CALC2223!BC92&gt;1,INDIRECT(ADDRESS(MATCH(Agenda2526!C93,'CAL6'!A:A,0)+1,3,4,1,"CAL6")),0)</f>
        <v>0</v>
      </c>
      <c r="AI92" s="20" t="str">
        <f ca="1">IF(CALC2223!BC92&gt;2,INDIRECT(ADDRESS(MATCH(Agenda2526!C93,'CAL6'!A:A,0)+2,2,4,1,"CAL6")),"")</f>
        <v/>
      </c>
      <c r="AJ92" s="21">
        <f ca="1">IF(CALC2223!BC92&gt;2,INDIRECT(ADDRESS(MATCH(Agenda2526!C93,'CAL6'!A:A,0)+2,3,4,1,"CAL6")),0)</f>
        <v>0</v>
      </c>
      <c r="AK92" s="20" t="str">
        <f ca="1">IF(CALC2223!BD92&gt;0,INDIRECT(ADDRESS(MATCH(Agenda2526!C93,'CAL7'!A:A,0),2,4,1,"CAL7")),"")</f>
        <v/>
      </c>
      <c r="AL92" s="21">
        <f ca="1">IF(CALC2223!BD92&gt;0,INDIRECT(ADDRESS(MATCH(Agenda2526!C93,'CAL7'!A:A,0),3,4,1,"CAL7")),0)</f>
        <v>0</v>
      </c>
      <c r="AM92" s="20" t="str">
        <f ca="1">IF(CALC2223!BD92&gt;1,INDIRECT(ADDRESS(MATCH(Agenda2526!C93,'CAL7'!A:A,0)+1,2,4,1,"CAL7")),"")</f>
        <v/>
      </c>
      <c r="AN92" s="21">
        <f ca="1">IF(CALC2223!BD92&gt;1,INDIRECT(ADDRESS(MATCH(Agenda2526!C93,'CAL7'!A:A,0)+1,3,4,1,"CAL7")),0)</f>
        <v>0</v>
      </c>
      <c r="AO92" s="20" t="str">
        <f ca="1">IF(CALC2223!BD92&gt;2,INDIRECT(ADDRESS(MATCH(Agenda2526!C93,'CAL7'!A:A,0)+2,2,4,1,"CAL7")),"")</f>
        <v/>
      </c>
      <c r="AP92" s="21">
        <f ca="1">IF(CALC2223!BD92&gt;2,INDIRECT(ADDRESS(MATCH(Agenda2526!C93,'CAL7'!A:A,0)+2,3,4,1,"CAL7")),0)</f>
        <v>0</v>
      </c>
      <c r="AQ92" s="20" t="str">
        <f ca="1">IF(CALC2223!BE92&gt;0,INDIRECT(ADDRESS(MATCH(Agenda2526!C93,'CAL8'!A:A,0),2,4,1,"CAL8")),"")</f>
        <v/>
      </c>
      <c r="AR92" s="21">
        <f ca="1">IF(CALC2223!BE92&gt;0,INDIRECT(ADDRESS(MATCH(Agenda2526!C93,'CAL8'!A:A,0),3,4,1,"CAL8")),0)</f>
        <v>0</v>
      </c>
      <c r="AS92" s="20" t="str">
        <f ca="1">IF(CALC2223!BE92&gt;1,INDIRECT(ADDRESS(MATCH(Agenda2526!C93,'CAL8'!A:A,0)+1,2,4,1,"CAL8")),"")</f>
        <v/>
      </c>
      <c r="AT92" s="21">
        <f ca="1">IF(CALC2223!BE92&gt;1,INDIRECT(ADDRESS(MATCH(Agenda2526!C93,'CAL8'!A:A,0)+1,3,4,1,"CAL8")),0)</f>
        <v>0</v>
      </c>
      <c r="AU92" s="20" t="str">
        <f ca="1">IF(CALC2223!BE92&gt;2,INDIRECT(ADDRESS(MATCH(Agenda2526!C93,'CAL8'!A:A,0)+2,2,4,1,"CAL8")),"")</f>
        <v/>
      </c>
      <c r="AV92" s="21">
        <f ca="1">IF(CALC2223!BE92&gt;2,INDIRECT(ADDRESS(MATCH(Agenda2526!C93,'CAL8'!A:A,0)+2,3,4,1,"CAL8")),0)</f>
        <v>0</v>
      </c>
      <c r="AW92" s="106"/>
      <c r="AX92" s="20">
        <f>COUNTIF('CAL1'!A:A,Agenda2526!C93)</f>
        <v>0</v>
      </c>
      <c r="AY92" s="20">
        <f>COUNTIF('CAL2'!A:A,Agenda2526!C93)</f>
        <v>0</v>
      </c>
      <c r="AZ92" s="20">
        <f>COUNTIF('CAL3'!A:A,Agenda2526!C93)</f>
        <v>0</v>
      </c>
      <c r="BA92" s="20">
        <f>COUNTIF('CAL4'!A:A,Agenda2526!C93)</f>
        <v>0</v>
      </c>
      <c r="BB92" s="20">
        <f>COUNTIF('CAL5'!A:A,Agenda2526!C93)</f>
        <v>0</v>
      </c>
      <c r="BC92" s="20">
        <f>COUNTIF('CAL6'!A:A,Agenda2526!C93)</f>
        <v>0</v>
      </c>
      <c r="BD92" s="20">
        <f>COUNTIF('CAL7'!A:A,Agenda2526!C93)</f>
        <v>0</v>
      </c>
      <c r="BE92" s="20">
        <f>COUNTIF('CAL8'!A:A,Agenda2526!C93)</f>
        <v>0</v>
      </c>
    </row>
    <row r="93" spans="1:57" ht="15.75" customHeight="1">
      <c r="A93" s="20" t="str">
        <f ca="1">IF(CALC2223!AX93&gt;0,INDIRECT(ADDRESS(MATCH(Agenda2526!C94,'CAL1'!A:A,0),2,4,1,"CAL1")),"")</f>
        <v/>
      </c>
      <c r="B93" s="21">
        <f ca="1">IF(CALC2223!AX93&gt;0,INDIRECT(ADDRESS(MATCH(Agenda2526!C94,'CAL1'!A:A,0),3,4,1,"CAL1")),0)</f>
        <v>0</v>
      </c>
      <c r="C93" s="20" t="str">
        <f ca="1">IF(CALC2223!AX93&gt;1,INDIRECT(ADDRESS(MATCH(Agenda2526!C94,'CAL1'!A:A,0)+1,2,4,1,"CAL1")),"")</f>
        <v/>
      </c>
      <c r="D93" s="21">
        <f ca="1">IF(CALC2223!AX93&gt;1,INDIRECT(ADDRESS(MATCH(Agenda2526!C94,'CAL1'!A:A,0)+1,3,4,1,"CAL1")),0)</f>
        <v>0</v>
      </c>
      <c r="E93" s="20" t="str">
        <f ca="1">IF(CALC2223!AX93&gt;2,INDIRECT(ADDRESS(MATCH(Agenda2526!C94,'CAL1'!A:A,0)+2,2,4,1,"CAL1")),"")</f>
        <v/>
      </c>
      <c r="F93" s="21">
        <f ca="1">IF(CALC2223!AX93&gt;2,INDIRECT(ADDRESS(MATCH(Agenda2526!C94,'CAL1'!A:A,0)+2,3,4,1,"CAL1")),0)</f>
        <v>0</v>
      </c>
      <c r="G93" s="20" t="str">
        <f ca="1">IF(CALC2223!AY93&gt;0,INDIRECT(ADDRESS(MATCH(Agenda2526!C94,'CAL2'!A:A,0),2,4,1,"CAL2")),"")</f>
        <v/>
      </c>
      <c r="H93" s="21">
        <f ca="1">IF(CALC2223!AY93&gt;0,INDIRECT(ADDRESS(MATCH(Agenda2526!C94,'CAL2'!A:A,0),3,4,1,"CAL2")),0)</f>
        <v>0</v>
      </c>
      <c r="I93" s="20" t="str">
        <f ca="1">IF(CALC2223!AY93&gt;1,INDIRECT(ADDRESS(MATCH(Agenda2526!C94,'CAL2'!A:A,0)+1,2,4,1,"CAL2")),"")</f>
        <v/>
      </c>
      <c r="J93" s="21">
        <f ca="1">IF(CALC2223!AY93&gt;1,INDIRECT(ADDRESS(MATCH(Agenda2526!C94,'CAL2'!A:A,0)+1,3,4,1,"CAL2")),0)</f>
        <v>0</v>
      </c>
      <c r="K93" s="20" t="str">
        <f ca="1">IF(CALC2223!AY93&gt;2,INDIRECT(ADDRESS(MATCH(Agenda2526!C94,'CAL2'!A:A,0)+2,2,4,1,"CAL2")),"")</f>
        <v/>
      </c>
      <c r="L93" s="21">
        <f ca="1">IF(CALC2223!AY93&gt;2,INDIRECT(ADDRESS(MATCH(Agenda2526!C94,'CAL2'!A:A,0)+2,3,4,1,"CAL2")),0)</f>
        <v>0</v>
      </c>
      <c r="M93" s="20" t="str">
        <f ca="1">IF(CALC2223!AZ93&gt;0,INDIRECT(ADDRESS(MATCH(Agenda2526!C94,'CAL3'!A:A,0),2,4,1,"CAL3")),"")</f>
        <v/>
      </c>
      <c r="N93" s="21">
        <f ca="1">IF(CALC2223!AZ93&gt;0,INDIRECT(ADDRESS(MATCH(Agenda2526!C94,'CAL3'!A:A,0),3,4,1,"CAL3")),0)</f>
        <v>0</v>
      </c>
      <c r="O93" s="20" t="str">
        <f ca="1">IF(CALC2223!AZ93&gt;1,INDIRECT(ADDRESS(MATCH(Agenda2526!C94,'CAL3'!A:A,0)+1,2,4,1,"CAL3")),"")</f>
        <v/>
      </c>
      <c r="P93" s="21">
        <f ca="1">IF(CALC2223!AZ93&gt;1,INDIRECT(ADDRESS(MATCH(Agenda2526!C94,'CAL3'!A:A,0)+1,3,4,1,"CAL3")),0)</f>
        <v>0</v>
      </c>
      <c r="Q93" s="20" t="str">
        <f ca="1">IF(CALC2223!AZ93&gt;2,INDIRECT(ADDRESS(MATCH(Agenda2526!C94,'CAL3'!A:A,0)+2,2,4,1,"CAL3")),"")</f>
        <v/>
      </c>
      <c r="R93" s="21">
        <f ca="1">IF(CALC2223!AZ93&gt;2,INDIRECT(ADDRESS(MATCH(Agenda2526!C94,'CAL3'!A:A,0)+2,3,4,1,"CAL3")),0)</f>
        <v>0</v>
      </c>
      <c r="S93" s="20" t="str">
        <f ca="1">IF(CALC2223!BA93&gt;0,INDIRECT(ADDRESS(MATCH(Agenda2526!C94,'CAL4'!A:A,0),2,4,1,"CAL4")),"")</f>
        <v/>
      </c>
      <c r="T93" s="21">
        <f ca="1">IF(CALC2223!BA93&gt;0,INDIRECT(ADDRESS(MATCH(Agenda2526!C94,'CAL4'!A:A,0),3,4,1,"CAL4")),0)</f>
        <v>0</v>
      </c>
      <c r="U93" s="20" t="str">
        <f ca="1">IF(CALC2223!BA93&gt;1,INDIRECT(ADDRESS(MATCH(Agenda2526!C94,'CAL4'!A:A,0)+1,2,4,1,"CAL4")),"")</f>
        <v/>
      </c>
      <c r="V93" s="21">
        <f ca="1">IF(CALC2223!BA93&gt;1,INDIRECT(ADDRESS(MATCH(Agenda2526!C94,'CAL4'!A:A,0)+1,3,4,1,"CAL4")),0)</f>
        <v>0</v>
      </c>
      <c r="W93" s="20" t="str">
        <f ca="1">IF(CALC2223!BA93&gt;2,INDIRECT(ADDRESS(MATCH(Agenda2526!C94,'CAL4'!A:A,0)+2,2,4,1,"CAL4")),"")</f>
        <v/>
      </c>
      <c r="X93" s="21">
        <f ca="1">IF(CALC2223!BA93&gt;2,INDIRECT(ADDRESS(MATCH(Agenda2526!C94,'CAL4'!A:A,0)+2,3,4,1,"CAL4")),0)</f>
        <v>0</v>
      </c>
      <c r="Y93" s="20" t="str">
        <f ca="1">IF(CALC2223!BB93&gt;0,INDIRECT(ADDRESS(MATCH(Agenda2526!C94,'CAL5'!A:A,0),2,4,1,"CAL5")),"")</f>
        <v>inh SE AC</v>
      </c>
      <c r="Z93" s="21">
        <f ca="1">IF(CALC2223!BB93&gt;0,INDIRECT(ADDRESS(MATCH(Agenda2526!C94,'CAL5'!A:A,0),3,4,1,"CAL5")),0)</f>
        <v>45936</v>
      </c>
      <c r="AA93" s="20" t="str">
        <f ca="1">IF(CALC2223!BB93&gt;1,INDIRECT(ADDRESS(MATCH(Agenda2526!C94,'CAL5'!A:A,0)+1,2,4,1,"CAL5")),"")</f>
        <v>rep FA</v>
      </c>
      <c r="AB93" s="21">
        <f ca="1">IF(CALC2223!BB93&gt;1,INDIRECT(ADDRESS(MATCH(Agenda2526!C94,'CAL5'!A:A,0)+1,3,4,1,"CAL5")),0)</f>
        <v>45936</v>
      </c>
      <c r="AC93" s="20" t="str">
        <f ca="1">IF(CALC2223!BB93&gt;2,INDIRECT(ADDRESS(MATCH(Agenda2526!C94,'CAL5'!A:A,0)+2,2,4,1,"CAL5")),"")</f>
        <v/>
      </c>
      <c r="AD93" s="21">
        <f ca="1">IF(CALC2223!BB93&gt;2,INDIRECT(ADDRESS(MATCH(Agenda2526!C94,'CAL5'!A:A,0)+2,3,4,1,"CAL5")),0)</f>
        <v>0</v>
      </c>
      <c r="AE93" s="20" t="str">
        <f ca="1">IF(CALC2223!BC93&gt;0,INDIRECT(ADDRESS(MATCH(Agenda2526!C94,'CAL6'!A:A,0),2,4,1,"CAL6")),"")</f>
        <v/>
      </c>
      <c r="AF93" s="21">
        <f ca="1">IF(CALC2223!BC93&gt;0,INDIRECT(ADDRESS(MATCH(Agenda2526!C94,'CAL6'!A:A,0),3,4,1,"CAL6")),0)</f>
        <v>0</v>
      </c>
      <c r="AG93" s="20" t="str">
        <f ca="1">IF(CALC2223!BC93&gt;1,INDIRECT(ADDRESS(MATCH(Agenda2526!C94,'CAL6'!A:A,0)+1,2,4,1,"CAL6")),"")</f>
        <v/>
      </c>
      <c r="AH93" s="21">
        <f ca="1">IF(CALC2223!BC93&gt;1,INDIRECT(ADDRESS(MATCH(Agenda2526!C94,'CAL6'!A:A,0)+1,3,4,1,"CAL6")),0)</f>
        <v>0</v>
      </c>
      <c r="AI93" s="20" t="str">
        <f ca="1">IF(CALC2223!BC93&gt;2,INDIRECT(ADDRESS(MATCH(Agenda2526!C94,'CAL6'!A:A,0)+2,2,4,1,"CAL6")),"")</f>
        <v/>
      </c>
      <c r="AJ93" s="21">
        <f ca="1">IF(CALC2223!BC93&gt;2,INDIRECT(ADDRESS(MATCH(Agenda2526!C94,'CAL6'!A:A,0)+2,3,4,1,"CAL6")),0)</f>
        <v>0</v>
      </c>
      <c r="AK93" s="20" t="str">
        <f ca="1">IF(CALC2223!BD93&gt;0,INDIRECT(ADDRESS(MATCH(Agenda2526!C94,'CAL7'!A:A,0),2,4,1,"CAL7")),"")</f>
        <v/>
      </c>
      <c r="AL93" s="21">
        <f ca="1">IF(CALC2223!BD93&gt;0,INDIRECT(ADDRESS(MATCH(Agenda2526!C94,'CAL7'!A:A,0),3,4,1,"CAL7")),0)</f>
        <v>0</v>
      </c>
      <c r="AM93" s="20" t="str">
        <f ca="1">IF(CALC2223!BD93&gt;1,INDIRECT(ADDRESS(MATCH(Agenda2526!C94,'CAL7'!A:A,0)+1,2,4,1,"CAL7")),"")</f>
        <v/>
      </c>
      <c r="AN93" s="21">
        <f ca="1">IF(CALC2223!BD93&gt;1,INDIRECT(ADDRESS(MATCH(Agenda2526!C94,'CAL7'!A:A,0)+1,3,4,1,"CAL7")),0)</f>
        <v>0</v>
      </c>
      <c r="AO93" s="20" t="str">
        <f ca="1">IF(CALC2223!BD93&gt;2,INDIRECT(ADDRESS(MATCH(Agenda2526!C94,'CAL7'!A:A,0)+2,2,4,1,"CAL7")),"")</f>
        <v/>
      </c>
      <c r="AP93" s="21">
        <f ca="1">IF(CALC2223!BD93&gt;2,INDIRECT(ADDRESS(MATCH(Agenda2526!C94,'CAL7'!A:A,0)+2,3,4,1,"CAL7")),0)</f>
        <v>0</v>
      </c>
      <c r="AQ93" s="20" t="str">
        <f ca="1">IF(CALC2223!BE93&gt;0,INDIRECT(ADDRESS(MATCH(Agenda2526!C94,'CAL8'!A:A,0),2,4,1,"CAL8")),"")</f>
        <v>start cijferperiode 2</v>
      </c>
      <c r="AR93" s="21">
        <f ca="1">IF(CALC2223!BE93&gt;0,INDIRECT(ADDRESS(MATCH(Agenda2526!C94,'CAL8'!A:A,0),3,4,1,"CAL8")),0)</f>
        <v>45896</v>
      </c>
      <c r="AS93" s="20" t="str">
        <f ca="1">IF(CALC2223!BE93&gt;1,INDIRECT(ADDRESS(MATCH(Agenda2526!C94,'CAL8'!A:A,0)+1,2,4,1,"CAL8")),"")</f>
        <v/>
      </c>
      <c r="AT93" s="21">
        <f ca="1">IF(CALC2223!BE93&gt;1,INDIRECT(ADDRESS(MATCH(Agenda2526!C94,'CAL8'!A:A,0)+1,3,4,1,"CAL8")),0)</f>
        <v>0</v>
      </c>
      <c r="AU93" s="20" t="str">
        <f ca="1">IF(CALC2223!BE93&gt;2,INDIRECT(ADDRESS(MATCH(Agenda2526!C94,'CAL8'!A:A,0)+2,2,4,1,"CAL8")),"")</f>
        <v/>
      </c>
      <c r="AV93" s="21">
        <f ca="1">IF(CALC2223!BE93&gt;2,INDIRECT(ADDRESS(MATCH(Agenda2526!C94,'CAL8'!A:A,0)+2,3,4,1,"CAL8")),0)</f>
        <v>0</v>
      </c>
      <c r="AW93" s="105"/>
      <c r="AX93" s="20">
        <f>COUNTIF('CAL1'!A:A,Agenda2526!C94)</f>
        <v>0</v>
      </c>
      <c r="AY93" s="20">
        <f>COUNTIF('CAL2'!A:A,Agenda2526!C94)</f>
        <v>0</v>
      </c>
      <c r="AZ93" s="20">
        <f>COUNTIF('CAL3'!A:A,Agenda2526!C94)</f>
        <v>0</v>
      </c>
      <c r="BA93" s="20">
        <f>COUNTIF('CAL4'!A:A,Agenda2526!C94)</f>
        <v>0</v>
      </c>
      <c r="BB93" s="20">
        <f>COUNTIF('CAL5'!A:A,Agenda2526!C94)</f>
        <v>2</v>
      </c>
      <c r="BC93" s="20">
        <f>COUNTIF('CAL6'!A:A,Agenda2526!C94)</f>
        <v>0</v>
      </c>
      <c r="BD93" s="20">
        <f>COUNTIF('CAL7'!A:A,Agenda2526!C94)</f>
        <v>0</v>
      </c>
      <c r="BE93" s="20">
        <f>COUNTIF('CAL8'!A:A,Agenda2526!C94)</f>
        <v>1</v>
      </c>
    </row>
    <row r="94" spans="1:57" ht="15.75" customHeight="1">
      <c r="A94" s="20" t="str">
        <f ca="1">IF(CALC2223!AX94&gt;0,INDIRECT(ADDRESS(MATCH(Agenda2526!C95,'CAL1'!A:A,0),2,4,1,"CAL1")),"")</f>
        <v/>
      </c>
      <c r="B94" s="21">
        <f ca="1">IF(CALC2223!AX94&gt;0,INDIRECT(ADDRESS(MATCH(Agenda2526!C95,'CAL1'!A:A,0),3,4,1,"CAL1")),0)</f>
        <v>0</v>
      </c>
      <c r="C94" s="20" t="str">
        <f ca="1">IF(CALC2223!AX94&gt;1,INDIRECT(ADDRESS(MATCH(Agenda2526!C95,'CAL1'!A:A,0)+1,2,4,1,"CAL1")),"")</f>
        <v/>
      </c>
      <c r="D94" s="21">
        <f ca="1">IF(CALC2223!AX94&gt;1,INDIRECT(ADDRESS(MATCH(Agenda2526!C95,'CAL1'!A:A,0)+1,3,4,1,"CAL1")),0)</f>
        <v>0</v>
      </c>
      <c r="E94" s="20" t="str">
        <f ca="1">IF(CALC2223!AX94&gt;2,INDIRECT(ADDRESS(MATCH(Agenda2526!C95,'CAL1'!A:A,0)+2,2,4,1,"CAL1")),"")</f>
        <v/>
      </c>
      <c r="F94" s="21">
        <f ca="1">IF(CALC2223!AX94&gt;2,INDIRECT(ADDRESS(MATCH(Agenda2526!C95,'CAL1'!A:A,0)+2,3,4,1,"CAL1")),0)</f>
        <v>0</v>
      </c>
      <c r="G94" s="20" t="str">
        <f ca="1">IF(CALC2223!AY94&gt;0,INDIRECT(ADDRESS(MATCH(Agenda2526!C95,'CAL2'!A:A,0),2,4,1,"CAL2")),"")</f>
        <v/>
      </c>
      <c r="H94" s="21">
        <f ca="1">IF(CALC2223!AY94&gt;0,INDIRECT(ADDRESS(MATCH(Agenda2526!C95,'CAL2'!A:A,0),3,4,1,"CAL2")),0)</f>
        <v>0</v>
      </c>
      <c r="I94" s="20" t="str">
        <f ca="1">IF(CALC2223!AY94&gt;1,INDIRECT(ADDRESS(MATCH(Agenda2526!C95,'CAL2'!A:A,0)+1,2,4,1,"CAL2")),"")</f>
        <v/>
      </c>
      <c r="J94" s="21">
        <f ca="1">IF(CALC2223!AY94&gt;1,INDIRECT(ADDRESS(MATCH(Agenda2526!C95,'CAL2'!A:A,0)+1,3,4,1,"CAL2")),0)</f>
        <v>0</v>
      </c>
      <c r="K94" s="20" t="str">
        <f ca="1">IF(CALC2223!AY94&gt;2,INDIRECT(ADDRESS(MATCH(Agenda2526!C95,'CAL2'!A:A,0)+2,2,4,1,"CAL2")),"")</f>
        <v/>
      </c>
      <c r="L94" s="21">
        <f ca="1">IF(CALC2223!AY94&gt;2,INDIRECT(ADDRESS(MATCH(Agenda2526!C95,'CAL2'!A:A,0)+2,3,4,1,"CAL2")),0)</f>
        <v>0</v>
      </c>
      <c r="M94" s="20" t="str">
        <f ca="1">IF(CALC2223!AZ94&gt;0,INDIRECT(ADDRESS(MATCH(Agenda2526!C95,'CAL3'!A:A,0),2,4,1,"CAL3")),"")</f>
        <v/>
      </c>
      <c r="N94" s="21">
        <f ca="1">IF(CALC2223!AZ94&gt;0,INDIRECT(ADDRESS(MATCH(Agenda2526!C95,'CAL3'!A:A,0),3,4,1,"CAL3")),0)</f>
        <v>0</v>
      </c>
      <c r="O94" s="20" t="str">
        <f ca="1">IF(CALC2223!AZ94&gt;1,INDIRECT(ADDRESS(MATCH(Agenda2526!C95,'CAL3'!A:A,0)+1,2,4,1,"CAL3")),"")</f>
        <v/>
      </c>
      <c r="P94" s="21">
        <f ca="1">IF(CALC2223!AZ94&gt;1,INDIRECT(ADDRESS(MATCH(Agenda2526!C95,'CAL3'!A:A,0)+1,3,4,1,"CAL3")),0)</f>
        <v>0</v>
      </c>
      <c r="Q94" s="20" t="str">
        <f ca="1">IF(CALC2223!AZ94&gt;2,INDIRECT(ADDRESS(MATCH(Agenda2526!C95,'CAL3'!A:A,0)+2,2,4,1,"CAL3")),"")</f>
        <v/>
      </c>
      <c r="R94" s="21">
        <f ca="1">IF(CALC2223!AZ94&gt;2,INDIRECT(ADDRESS(MATCH(Agenda2526!C95,'CAL3'!A:A,0)+2,3,4,1,"CAL3")),0)</f>
        <v>0</v>
      </c>
      <c r="S94" s="20" t="str">
        <f ca="1">IF(CALC2223!BA94&gt;0,INDIRECT(ADDRESS(MATCH(Agenda2526!C95,'CAL4'!A:A,0),2,4,1,"CAL4")),"")</f>
        <v>Rep NA</v>
      </c>
      <c r="T94" s="21">
        <f ca="1">IF(CALC2223!BA94&gt;0,INDIRECT(ADDRESS(MATCH(Agenda2526!C95,'CAL4'!A:A,0),3,4,1,"CAL4")),0)</f>
        <v>45896</v>
      </c>
      <c r="U94" s="20" t="str">
        <f ca="1">IF(CALC2223!BA94&gt;1,INDIRECT(ADDRESS(MATCH(Agenda2526!C95,'CAL4'!A:A,0)+1,2,4,1,"CAL4")),"")</f>
        <v/>
      </c>
      <c r="V94" s="21">
        <f ca="1">IF(CALC2223!BA94&gt;1,INDIRECT(ADDRESS(MATCH(Agenda2526!C95,'CAL4'!A:A,0)+1,3,4,1,"CAL4")),0)</f>
        <v>0</v>
      </c>
      <c r="W94" s="20" t="str">
        <f ca="1">IF(CALC2223!BA94&gt;2,INDIRECT(ADDRESS(MATCH(Agenda2526!C95,'CAL4'!A:A,0)+2,2,4,1,"CAL4")),"")</f>
        <v/>
      </c>
      <c r="X94" s="21">
        <f ca="1">IF(CALC2223!BA94&gt;2,INDIRECT(ADDRESS(MATCH(Agenda2526!C95,'CAL4'!A:A,0)+2,3,4,1,"CAL4")),0)</f>
        <v>0</v>
      </c>
      <c r="Y94" s="20" t="str">
        <f ca="1">IF(CALC2223!BB94&gt;0,INDIRECT(ADDRESS(MATCH(Agenda2526!C95,'CAL5'!A:A,0),2,4,1,"CAL5")),"")</f>
        <v/>
      </c>
      <c r="Z94" s="21">
        <f ca="1">IF(CALC2223!BB94&gt;0,INDIRECT(ADDRESS(MATCH(Agenda2526!C95,'CAL5'!A:A,0),3,4,1,"CAL5")),0)</f>
        <v>0</v>
      </c>
      <c r="AA94" s="20" t="str">
        <f ca="1">IF(CALC2223!BB94&gt;1,INDIRECT(ADDRESS(MATCH(Agenda2526!C95,'CAL5'!A:A,0)+1,2,4,1,"CAL5")),"")</f>
        <v/>
      </c>
      <c r="AB94" s="21">
        <f ca="1">IF(CALC2223!BB94&gt;1,INDIRECT(ADDRESS(MATCH(Agenda2526!C95,'CAL5'!A:A,0)+1,3,4,1,"CAL5")),0)</f>
        <v>0</v>
      </c>
      <c r="AC94" s="20" t="str">
        <f ca="1">IF(CALC2223!BB94&gt;2,INDIRECT(ADDRESS(MATCH(Agenda2526!C95,'CAL5'!A:A,0)+2,2,4,1,"CAL5")),"")</f>
        <v/>
      </c>
      <c r="AD94" s="21">
        <f ca="1">IF(CALC2223!BB94&gt;2,INDIRECT(ADDRESS(MATCH(Agenda2526!C95,'CAL5'!A:A,0)+2,3,4,1,"CAL5")),0)</f>
        <v>0</v>
      </c>
      <c r="AE94" s="20" t="str">
        <f ca="1">IF(CALC2223!BC94&gt;0,INDIRECT(ADDRESS(MATCH(Agenda2526!C95,'CAL6'!A:A,0),2,4,1,"CAL6")),"")</f>
        <v/>
      </c>
      <c r="AF94" s="21">
        <f ca="1">IF(CALC2223!BC94&gt;0,INDIRECT(ADDRESS(MATCH(Agenda2526!C95,'CAL6'!A:A,0),3,4,1,"CAL6")),0)</f>
        <v>0</v>
      </c>
      <c r="AG94" s="20" t="str">
        <f ca="1">IF(CALC2223!BC94&gt;1,INDIRECT(ADDRESS(MATCH(Agenda2526!C95,'CAL6'!A:A,0)+1,2,4,1,"CAL6")),"")</f>
        <v/>
      </c>
      <c r="AH94" s="21">
        <f ca="1">IF(CALC2223!BC94&gt;1,INDIRECT(ADDRESS(MATCH(Agenda2526!C95,'CAL6'!A:A,0)+1,3,4,1,"CAL6")),0)</f>
        <v>0</v>
      </c>
      <c r="AI94" s="20" t="str">
        <f ca="1">IF(CALC2223!BC94&gt;2,INDIRECT(ADDRESS(MATCH(Agenda2526!C95,'CAL6'!A:A,0)+2,2,4,1,"CAL6")),"")</f>
        <v/>
      </c>
      <c r="AJ94" s="21">
        <f ca="1">IF(CALC2223!BC94&gt;2,INDIRECT(ADDRESS(MATCH(Agenda2526!C95,'CAL6'!A:A,0)+2,3,4,1,"CAL6")),0)</f>
        <v>0</v>
      </c>
      <c r="AK94" s="20" t="str">
        <f ca="1">IF(CALC2223!BD94&gt;0,INDIRECT(ADDRESS(MATCH(Agenda2526!C95,'CAL7'!A:A,0),2,4,1,"CAL7")),"")</f>
        <v>animus ouderavond</v>
      </c>
      <c r="AL94" s="21">
        <f ca="1">IF(CALC2223!BD94&gt;0,INDIRECT(ADDRESS(MATCH(Agenda2526!C95,'CAL7'!A:A,0),3,4,1,"CAL7")),0)</f>
        <v>45915</v>
      </c>
      <c r="AM94" s="20" t="str">
        <f ca="1">IF(CALC2223!BD94&gt;1,INDIRECT(ADDRESS(MATCH(Agenda2526!C95,'CAL7'!A:A,0)+1,2,4,1,"CAL7")),"")</f>
        <v/>
      </c>
      <c r="AN94" s="21">
        <f ca="1">IF(CALC2223!BD94&gt;1,INDIRECT(ADDRESS(MATCH(Agenda2526!C95,'CAL7'!A:A,0)+1,3,4,1,"CAL7")),0)</f>
        <v>0</v>
      </c>
      <c r="AO94" s="20" t="str">
        <f ca="1">IF(CALC2223!BD94&gt;2,INDIRECT(ADDRESS(MATCH(Agenda2526!C95,'CAL7'!A:A,0)+2,2,4,1,"CAL7")),"")</f>
        <v/>
      </c>
      <c r="AP94" s="21">
        <f ca="1">IF(CALC2223!BD94&gt;2,INDIRECT(ADDRESS(MATCH(Agenda2526!C95,'CAL7'!A:A,0)+2,3,4,1,"CAL7")),0)</f>
        <v>0</v>
      </c>
      <c r="AQ94" s="20" t="str">
        <f ca="1">IF(CALC2223!BE94&gt;0,INDIRECT(ADDRESS(MATCH(Agenda2526!C95,'CAL8'!A:A,0),2,4,1,"CAL8")),"")</f>
        <v/>
      </c>
      <c r="AR94" s="21">
        <f ca="1">IF(CALC2223!BE94&gt;0,INDIRECT(ADDRESS(MATCH(Agenda2526!C95,'CAL8'!A:A,0),3,4,1,"CAL8")),0)</f>
        <v>0</v>
      </c>
      <c r="AS94" s="20" t="str">
        <f ca="1">IF(CALC2223!BE94&gt;1,INDIRECT(ADDRESS(MATCH(Agenda2526!C95,'CAL8'!A:A,0)+1,2,4,1,"CAL8")),"")</f>
        <v/>
      </c>
      <c r="AT94" s="21">
        <f ca="1">IF(CALC2223!BE94&gt;1,INDIRECT(ADDRESS(MATCH(Agenda2526!C95,'CAL8'!A:A,0)+1,3,4,1,"CAL8")),0)</f>
        <v>0</v>
      </c>
      <c r="AU94" s="20" t="str">
        <f ca="1">IF(CALC2223!BE94&gt;2,INDIRECT(ADDRESS(MATCH(Agenda2526!C95,'CAL8'!A:A,0)+2,2,4,1,"CAL8")),"")</f>
        <v/>
      </c>
      <c r="AV94" s="21">
        <f ca="1">IF(CALC2223!BE94&gt;2,INDIRECT(ADDRESS(MATCH(Agenda2526!C95,'CAL8'!A:A,0)+2,3,4,1,"CAL8")),0)</f>
        <v>0</v>
      </c>
      <c r="AW94" s="105"/>
      <c r="AX94" s="20">
        <f>COUNTIF('CAL1'!A:A,Agenda2526!C95)</f>
        <v>0</v>
      </c>
      <c r="AY94" s="20">
        <f>COUNTIF('CAL2'!A:A,Agenda2526!C95)</f>
        <v>0</v>
      </c>
      <c r="AZ94" s="20">
        <f>COUNTIF('CAL3'!A:A,Agenda2526!C95)</f>
        <v>0</v>
      </c>
      <c r="BA94" s="20">
        <f>COUNTIF('CAL4'!A:A,Agenda2526!C95)</f>
        <v>1</v>
      </c>
      <c r="BB94" s="20">
        <f>COUNTIF('CAL5'!A:A,Agenda2526!C95)</f>
        <v>0</v>
      </c>
      <c r="BC94" s="20">
        <f>COUNTIF('CAL6'!A:A,Agenda2526!C95)</f>
        <v>0</v>
      </c>
      <c r="BD94" s="20">
        <f>COUNTIF('CAL7'!A:A,Agenda2526!C95)</f>
        <v>1</v>
      </c>
      <c r="BE94" s="20">
        <f>COUNTIF('CAL8'!A:A,Agenda2526!C95)</f>
        <v>0</v>
      </c>
    </row>
    <row r="95" spans="1:57" ht="15.75" customHeight="1">
      <c r="A95" s="20" t="str">
        <f ca="1">IF(CALC2223!AX95&gt;0,INDIRECT(ADDRESS(MATCH(Agenda2526!C96,'CAL1'!A:A,0),2,4,1,"CAL1")),"")</f>
        <v>Rep EN</v>
      </c>
      <c r="B95" s="21">
        <f ca="1">IF(CALC2223!AX95&gt;0,INDIRECT(ADDRESS(MATCH(Agenda2526!C96,'CAL1'!A:A,0),3,4,1,"CAL1")),0)</f>
        <v>45901</v>
      </c>
      <c r="C95" s="20" t="str">
        <f ca="1">IF(CALC2223!AX95&gt;1,INDIRECT(ADDRESS(MATCH(Agenda2526!C96,'CAL1'!A:A,0)+1,2,4,1,"CAL1")),"")</f>
        <v/>
      </c>
      <c r="D95" s="21">
        <f ca="1">IF(CALC2223!AX95&gt;1,INDIRECT(ADDRESS(MATCH(Agenda2526!C96,'CAL1'!A:A,0)+1,3,4,1,"CAL1")),0)</f>
        <v>0</v>
      </c>
      <c r="E95" s="20" t="str">
        <f ca="1">IF(CALC2223!AX95&gt;2,INDIRECT(ADDRESS(MATCH(Agenda2526!C96,'CAL1'!A:A,0)+2,2,4,1,"CAL1")),"")</f>
        <v/>
      </c>
      <c r="F95" s="21">
        <f ca="1">IF(CALC2223!AX95&gt;2,INDIRECT(ADDRESS(MATCH(Agenda2526!C96,'CAL1'!A:A,0)+2,3,4,1,"CAL1")),0)</f>
        <v>0</v>
      </c>
      <c r="G95" s="20" t="str">
        <f ca="1">IF(CALC2223!AY95&gt;0,INDIRECT(ADDRESS(MATCH(Agenda2526!C96,'CAL2'!A:A,0),2,4,1,"CAL2")),"")</f>
        <v/>
      </c>
      <c r="H95" s="21">
        <f ca="1">IF(CALC2223!AY95&gt;0,INDIRECT(ADDRESS(MATCH(Agenda2526!C96,'CAL2'!A:A,0),3,4,1,"CAL2")),0)</f>
        <v>0</v>
      </c>
      <c r="I95" s="20" t="str">
        <f ca="1">IF(CALC2223!AY95&gt;1,INDIRECT(ADDRESS(MATCH(Agenda2526!C96,'CAL2'!A:A,0)+1,2,4,1,"CAL2")),"")</f>
        <v/>
      </c>
      <c r="J95" s="21">
        <f ca="1">IF(CALC2223!AY95&gt;1,INDIRECT(ADDRESS(MATCH(Agenda2526!C96,'CAL2'!A:A,0)+1,3,4,1,"CAL2")),0)</f>
        <v>0</v>
      </c>
      <c r="K95" s="20" t="str">
        <f ca="1">IF(CALC2223!AY95&gt;2,INDIRECT(ADDRESS(MATCH(Agenda2526!C96,'CAL2'!A:A,0)+2,2,4,1,"CAL2")),"")</f>
        <v/>
      </c>
      <c r="L95" s="21">
        <f ca="1">IF(CALC2223!AY95&gt;2,INDIRECT(ADDRESS(MATCH(Agenda2526!C96,'CAL2'!A:A,0)+2,3,4,1,"CAL2")),0)</f>
        <v>0</v>
      </c>
      <c r="M95" s="20" t="str">
        <f ca="1">IF(CALC2223!AZ95&gt;0,INDIRECT(ADDRESS(MATCH(Agenda2526!C96,'CAL3'!A:A,0),2,4,1,"CAL3")),"")</f>
        <v/>
      </c>
      <c r="N95" s="21">
        <f ca="1">IF(CALC2223!AZ95&gt;0,INDIRECT(ADDRESS(MATCH(Agenda2526!C96,'CAL3'!A:A,0),3,4,1,"CAL3")),0)</f>
        <v>0</v>
      </c>
      <c r="O95" s="20" t="str">
        <f ca="1">IF(CALC2223!AZ95&gt;1,INDIRECT(ADDRESS(MATCH(Agenda2526!C96,'CAL3'!A:A,0)+1,2,4,1,"CAL3")),"")</f>
        <v/>
      </c>
      <c r="P95" s="21">
        <f ca="1">IF(CALC2223!AZ95&gt;1,INDIRECT(ADDRESS(MATCH(Agenda2526!C96,'CAL3'!A:A,0)+1,3,4,1,"CAL3")),0)</f>
        <v>0</v>
      </c>
      <c r="Q95" s="20" t="str">
        <f ca="1">IF(CALC2223!AZ95&gt;2,INDIRECT(ADDRESS(MATCH(Agenda2526!C96,'CAL3'!A:A,0)+2,2,4,1,"CAL3")),"")</f>
        <v/>
      </c>
      <c r="R95" s="21">
        <f ca="1">IF(CALC2223!AZ95&gt;2,INDIRECT(ADDRESS(MATCH(Agenda2526!C96,'CAL3'!A:A,0)+2,3,4,1,"CAL3")),0)</f>
        <v>0</v>
      </c>
      <c r="S95" s="20" t="str">
        <f ca="1">IF(CALC2223!BA95&gt;0,INDIRECT(ADDRESS(MATCH(Agenda2526!C96,'CAL4'!A:A,0),2,4,1,"CAL4")),"")</f>
        <v/>
      </c>
      <c r="T95" s="21">
        <f ca="1">IF(CALC2223!BA95&gt;0,INDIRECT(ADDRESS(MATCH(Agenda2526!C96,'CAL4'!A:A,0),3,4,1,"CAL4")),0)</f>
        <v>0</v>
      </c>
      <c r="U95" s="20" t="str">
        <f ca="1">IF(CALC2223!BA95&gt;1,INDIRECT(ADDRESS(MATCH(Agenda2526!C96,'CAL4'!A:A,0)+1,2,4,1,"CAL4")),"")</f>
        <v/>
      </c>
      <c r="V95" s="21">
        <f ca="1">IF(CALC2223!BA95&gt;1,INDIRECT(ADDRESS(MATCH(Agenda2526!C96,'CAL4'!A:A,0)+1,3,4,1,"CAL4")),0)</f>
        <v>0</v>
      </c>
      <c r="W95" s="20" t="str">
        <f ca="1">IF(CALC2223!BA95&gt;2,INDIRECT(ADDRESS(MATCH(Agenda2526!C96,'CAL4'!A:A,0)+2,2,4,1,"CAL4")),"")</f>
        <v/>
      </c>
      <c r="X95" s="21">
        <f ca="1">IF(CALC2223!BA95&gt;2,INDIRECT(ADDRESS(MATCH(Agenda2526!C96,'CAL4'!A:A,0)+2,3,4,1,"CAL4")),0)</f>
        <v>0</v>
      </c>
      <c r="Y95" s="20" t="str">
        <f ca="1">IF(CALC2223!BB95&gt;0,INDIRECT(ADDRESS(MATCH(Agenda2526!C96,'CAL5'!A:A,0),2,4,1,"CAL5")),"")</f>
        <v>SE WIA</v>
      </c>
      <c r="Z95" s="21">
        <f ca="1">IF(CALC2223!BB95&gt;0,INDIRECT(ADDRESS(MATCH(Agenda2526!C96,'CAL5'!A:A,0),3,4,1,"CAL5")),0)</f>
        <v>45896</v>
      </c>
      <c r="AA95" s="20" t="str">
        <f ca="1">IF(CALC2223!BB95&gt;1,INDIRECT(ADDRESS(MATCH(Agenda2526!C96,'CAL5'!A:A,0)+1,2,4,1,"CAL5")),"")</f>
        <v/>
      </c>
      <c r="AB95" s="21">
        <f ca="1">IF(CALC2223!BB95&gt;1,INDIRECT(ADDRESS(MATCH(Agenda2526!C96,'CAL5'!A:A,0)+1,3,4,1,"CAL5")),0)</f>
        <v>0</v>
      </c>
      <c r="AC95" s="20" t="str">
        <f ca="1">IF(CALC2223!BB95&gt;2,INDIRECT(ADDRESS(MATCH(Agenda2526!C96,'CAL5'!A:A,0)+2,2,4,1,"CAL5")),"")</f>
        <v/>
      </c>
      <c r="AD95" s="21">
        <f ca="1">IF(CALC2223!BB95&gt;2,INDIRECT(ADDRESS(MATCH(Agenda2526!C96,'CAL5'!A:A,0)+2,3,4,1,"CAL5")),0)</f>
        <v>0</v>
      </c>
      <c r="AE95" s="20" t="str">
        <f ca="1">IF(CALC2223!BC95&gt;0,INDIRECT(ADDRESS(MATCH(Agenda2526!C96,'CAL6'!A:A,0),2,4,1,"CAL6")),"")</f>
        <v/>
      </c>
      <c r="AF95" s="21">
        <f ca="1">IF(CALC2223!BC95&gt;0,INDIRECT(ADDRESS(MATCH(Agenda2526!C96,'CAL6'!A:A,0),3,4,1,"CAL6")),0)</f>
        <v>0</v>
      </c>
      <c r="AG95" s="20" t="str">
        <f ca="1">IF(CALC2223!BC95&gt;1,INDIRECT(ADDRESS(MATCH(Agenda2526!C96,'CAL6'!A:A,0)+1,2,4,1,"CAL6")),"")</f>
        <v/>
      </c>
      <c r="AH95" s="21">
        <f ca="1">IF(CALC2223!BC95&gt;1,INDIRECT(ADDRESS(MATCH(Agenda2526!C96,'CAL6'!A:A,0)+1,3,4,1,"CAL6")),0)</f>
        <v>0</v>
      </c>
      <c r="AI95" s="20" t="str">
        <f ca="1">IF(CALC2223!BC95&gt;2,INDIRECT(ADDRESS(MATCH(Agenda2526!C96,'CAL6'!A:A,0)+2,2,4,1,"CAL6")),"")</f>
        <v/>
      </c>
      <c r="AJ95" s="21">
        <f ca="1">IF(CALC2223!BC95&gt;2,INDIRECT(ADDRESS(MATCH(Agenda2526!C96,'CAL6'!A:A,0)+2,3,4,1,"CAL6")),0)</f>
        <v>0</v>
      </c>
      <c r="AK95" s="20" t="str">
        <f ca="1">IF(CALC2223!BD95&gt;0,INDIRECT(ADDRESS(MATCH(Agenda2526!C96,'CAL7'!A:A,0),2,4,1,"CAL7")),"")</f>
        <v>rleg burgerschap optie</v>
      </c>
      <c r="AL95" s="21">
        <f ca="1">IF(CALC2223!BD95&gt;0,INDIRECT(ADDRESS(MATCH(Agenda2526!C96,'CAL7'!A:A,0),3,4,1,"CAL7")),0)</f>
        <v>45988</v>
      </c>
      <c r="AM95" s="20" t="str">
        <f ca="1">IF(CALC2223!BD95&gt;1,INDIRECT(ADDRESS(MATCH(Agenda2526!C96,'CAL7'!A:A,0)+1,2,4,1,"CAL7")),"")</f>
        <v/>
      </c>
      <c r="AN95" s="21">
        <f ca="1">IF(CALC2223!BD95&gt;1,INDIRECT(ADDRESS(MATCH(Agenda2526!C96,'CAL7'!A:A,0)+1,3,4,1,"CAL7")),0)</f>
        <v>0</v>
      </c>
      <c r="AO95" s="20" t="str">
        <f ca="1">IF(CALC2223!BD95&gt;2,INDIRECT(ADDRESS(MATCH(Agenda2526!C96,'CAL7'!A:A,0)+2,2,4,1,"CAL7")),"")</f>
        <v/>
      </c>
      <c r="AP95" s="21">
        <f ca="1">IF(CALC2223!BD95&gt;2,INDIRECT(ADDRESS(MATCH(Agenda2526!C96,'CAL7'!A:A,0)+2,3,4,1,"CAL7")),0)</f>
        <v>0</v>
      </c>
      <c r="AQ95" s="20" t="str">
        <f ca="1">IF(CALC2223!BE95&gt;0,INDIRECT(ADDRESS(MATCH(Agenda2526!C96,'CAL8'!A:A,0),2,4,1,"CAL8")),"")</f>
        <v/>
      </c>
      <c r="AR95" s="21">
        <f ca="1">IF(CALC2223!BE95&gt;0,INDIRECT(ADDRESS(MATCH(Agenda2526!C96,'CAL8'!A:A,0),3,4,1,"CAL8")),0)</f>
        <v>0</v>
      </c>
      <c r="AS95" s="20" t="str">
        <f ca="1">IF(CALC2223!BE95&gt;1,INDIRECT(ADDRESS(MATCH(Agenda2526!C96,'CAL8'!A:A,0)+1,2,4,1,"CAL8")),"")</f>
        <v/>
      </c>
      <c r="AT95" s="21">
        <f ca="1">IF(CALC2223!BE95&gt;1,INDIRECT(ADDRESS(MATCH(Agenda2526!C96,'CAL8'!A:A,0)+1,3,4,1,"CAL8")),0)</f>
        <v>0</v>
      </c>
      <c r="AU95" s="20" t="str">
        <f ca="1">IF(CALC2223!BE95&gt;2,INDIRECT(ADDRESS(MATCH(Agenda2526!C96,'CAL8'!A:A,0)+2,2,4,1,"CAL8")),"")</f>
        <v/>
      </c>
      <c r="AV95" s="21">
        <f ca="1">IF(CALC2223!BE95&gt;2,INDIRECT(ADDRESS(MATCH(Agenda2526!C96,'CAL8'!A:A,0)+2,3,4,1,"CAL8")),0)</f>
        <v>0</v>
      </c>
      <c r="AW95" s="105"/>
      <c r="AX95" s="20">
        <f>COUNTIF('CAL1'!A:A,Agenda2526!C96)</f>
        <v>1</v>
      </c>
      <c r="AY95" s="20">
        <f>COUNTIF('CAL2'!A:A,Agenda2526!C96)</f>
        <v>0</v>
      </c>
      <c r="AZ95" s="20">
        <f>COUNTIF('CAL3'!A:A,Agenda2526!C96)</f>
        <v>0</v>
      </c>
      <c r="BA95" s="20">
        <f>COUNTIF('CAL4'!A:A,Agenda2526!C96)</f>
        <v>0</v>
      </c>
      <c r="BB95" s="20">
        <f>COUNTIF('CAL5'!A:A,Agenda2526!C96)</f>
        <v>1</v>
      </c>
      <c r="BC95" s="20">
        <f>COUNTIF('CAL6'!A:A,Agenda2526!C96)</f>
        <v>0</v>
      </c>
      <c r="BD95" s="20">
        <f>COUNTIF('CAL7'!A:A,Agenda2526!C96)</f>
        <v>1</v>
      </c>
      <c r="BE95" s="20">
        <f>COUNTIF('CAL8'!A:A,Agenda2526!C96)</f>
        <v>0</v>
      </c>
    </row>
    <row r="96" spans="1:57" ht="15.75" customHeight="1">
      <c r="A96" s="20" t="str">
        <f ca="1">IF(CALC2223!AX96&gt;0,INDIRECT(ADDRESS(MATCH(Agenda2526!C97,'CAL1'!A:A,0),2,4,1,"CAL1")),"")</f>
        <v/>
      </c>
      <c r="B96" s="21">
        <f ca="1">IF(CALC2223!AX96&gt;0,INDIRECT(ADDRESS(MATCH(Agenda2526!C97,'CAL1'!A:A,0),3,4,1,"CAL1")),0)</f>
        <v>0</v>
      </c>
      <c r="C96" s="20" t="str">
        <f ca="1">IF(CALC2223!AX96&gt;1,INDIRECT(ADDRESS(MATCH(Agenda2526!C97,'CAL1'!A:A,0)+1,2,4,1,"CAL1")),"")</f>
        <v/>
      </c>
      <c r="D96" s="21">
        <f ca="1">IF(CALC2223!AX96&gt;1,INDIRECT(ADDRESS(MATCH(Agenda2526!C97,'CAL1'!A:A,0)+1,3,4,1,"CAL1")),0)</f>
        <v>0</v>
      </c>
      <c r="E96" s="20" t="str">
        <f ca="1">IF(CALC2223!AX96&gt;2,INDIRECT(ADDRESS(MATCH(Agenda2526!C97,'CAL1'!A:A,0)+2,2,4,1,"CAL1")),"")</f>
        <v/>
      </c>
      <c r="F96" s="21">
        <f ca="1">IF(CALC2223!AX96&gt;2,INDIRECT(ADDRESS(MATCH(Agenda2526!C97,'CAL1'!A:A,0)+2,3,4,1,"CAL1")),0)</f>
        <v>0</v>
      </c>
      <c r="G96" s="20" t="str">
        <f ca="1">IF(CALC2223!AY96&gt;0,INDIRECT(ADDRESS(MATCH(Agenda2526!C97,'CAL2'!A:A,0),2,4,1,"CAL2")),"")</f>
        <v/>
      </c>
      <c r="H96" s="21">
        <f ca="1">IF(CALC2223!AY96&gt;0,INDIRECT(ADDRESS(MATCH(Agenda2526!C97,'CAL2'!A:A,0),3,4,1,"CAL2")),0)</f>
        <v>0</v>
      </c>
      <c r="I96" s="20" t="str">
        <f ca="1">IF(CALC2223!AY96&gt;1,INDIRECT(ADDRESS(MATCH(Agenda2526!C97,'CAL2'!A:A,0)+1,2,4,1,"CAL2")),"")</f>
        <v/>
      </c>
      <c r="J96" s="21">
        <f ca="1">IF(CALC2223!AY96&gt;1,INDIRECT(ADDRESS(MATCH(Agenda2526!C97,'CAL2'!A:A,0)+1,3,4,1,"CAL2")),0)</f>
        <v>0</v>
      </c>
      <c r="K96" s="20" t="str">
        <f ca="1">IF(CALC2223!AY96&gt;2,INDIRECT(ADDRESS(MATCH(Agenda2526!C97,'CAL2'!A:A,0)+2,2,4,1,"CAL2")),"")</f>
        <v/>
      </c>
      <c r="L96" s="21">
        <f ca="1">IF(CALC2223!AY96&gt;2,INDIRECT(ADDRESS(MATCH(Agenda2526!C97,'CAL2'!A:A,0)+2,3,4,1,"CAL2")),0)</f>
        <v>0</v>
      </c>
      <c r="M96" s="20" t="str">
        <f ca="1">IF(CALC2223!AZ96&gt;0,INDIRECT(ADDRESS(MATCH(Agenda2526!C97,'CAL3'!A:A,0),2,4,1,"CAL3")),"")</f>
        <v>Rep DUI</v>
      </c>
      <c r="N96" s="21">
        <f ca="1">IF(CALC2223!AZ96&gt;0,INDIRECT(ADDRESS(MATCH(Agenda2526!C97,'CAL3'!A:A,0),3,4,1,"CAL3")),0)</f>
        <v>45903</v>
      </c>
      <c r="O96" s="20" t="str">
        <f ca="1">IF(CALC2223!AZ96&gt;1,INDIRECT(ADDRESS(MATCH(Agenda2526!C97,'CAL3'!A:A,0)+1,2,4,1,"CAL3")),"")</f>
        <v/>
      </c>
      <c r="P96" s="21">
        <f ca="1">IF(CALC2223!AZ96&gt;1,INDIRECT(ADDRESS(MATCH(Agenda2526!C97,'CAL3'!A:A,0)+1,3,4,1,"CAL3")),0)</f>
        <v>0</v>
      </c>
      <c r="Q96" s="20" t="str">
        <f ca="1">IF(CALC2223!AZ96&gt;2,INDIRECT(ADDRESS(MATCH(Agenda2526!C97,'CAL3'!A:A,0)+2,2,4,1,"CAL3")),"")</f>
        <v/>
      </c>
      <c r="R96" s="21">
        <f ca="1">IF(CALC2223!AZ96&gt;2,INDIRECT(ADDRESS(MATCH(Agenda2526!C97,'CAL3'!A:A,0)+2,3,4,1,"CAL3")),0)</f>
        <v>0</v>
      </c>
      <c r="S96" s="20" t="str">
        <f ca="1">IF(CALC2223!BA96&gt;0,INDIRECT(ADDRESS(MATCH(Agenda2526!C97,'CAL4'!A:A,0),2,4,1,"CAL4")),"")</f>
        <v>SE ANW</v>
      </c>
      <c r="T96" s="21">
        <f ca="1">IF(CALC2223!BA96&gt;0,INDIRECT(ADDRESS(MATCH(Agenda2526!C97,'CAL4'!A:A,0),3,4,1,"CAL4")),0)</f>
        <v>45896</v>
      </c>
      <c r="U96" s="20" t="str">
        <f ca="1">IF(CALC2223!BA96&gt;1,INDIRECT(ADDRESS(MATCH(Agenda2526!C97,'CAL4'!A:A,0)+1,2,4,1,"CAL4")),"")</f>
        <v>inh rep BI</v>
      </c>
      <c r="V96" s="21">
        <f ca="1">IF(CALC2223!BA96&gt;1,INDIRECT(ADDRESS(MATCH(Agenda2526!C97,'CAL4'!A:A,0)+1,3,4,1,"CAL4")),0)</f>
        <v>45937</v>
      </c>
      <c r="W96" s="20" t="str">
        <f ca="1">IF(CALC2223!BA96&gt;2,INDIRECT(ADDRESS(MATCH(Agenda2526!C97,'CAL4'!A:A,0)+2,2,4,1,"CAL4")),"")</f>
        <v/>
      </c>
      <c r="X96" s="21">
        <f ca="1">IF(CALC2223!BA96&gt;2,INDIRECT(ADDRESS(MATCH(Agenda2526!C97,'CAL4'!A:A,0)+2,3,4,1,"CAL4")),0)</f>
        <v>0</v>
      </c>
      <c r="Y96" s="20" t="str">
        <f ca="1">IF(CALC2223!BB96&gt;0,INDIRECT(ADDRESS(MATCH(Agenda2526!C97,'CAL5'!A:A,0),2,4,1,"CAL5")),"")</f>
        <v>inh rep NA</v>
      </c>
      <c r="Z96" s="21">
        <f ca="1">IF(CALC2223!BB96&gt;0,INDIRECT(ADDRESS(MATCH(Agenda2526!C97,'CAL5'!A:A,0),3,4,1,"CAL5")),0)</f>
        <v>45937</v>
      </c>
      <c r="AA96" s="20" t="str">
        <f ca="1">IF(CALC2223!BB96&gt;1,INDIRECT(ADDRESS(MATCH(Agenda2526!C97,'CAL5'!A:A,0)+1,2,4,1,"CAL5")),"")</f>
        <v/>
      </c>
      <c r="AB96" s="21">
        <f ca="1">IF(CALC2223!BB96&gt;1,INDIRECT(ADDRESS(MATCH(Agenda2526!C97,'CAL5'!A:A,0)+1,3,4,1,"CAL5")),0)</f>
        <v>0</v>
      </c>
      <c r="AC96" s="20" t="str">
        <f ca="1">IF(CALC2223!BB96&gt;2,INDIRECT(ADDRESS(MATCH(Agenda2526!C97,'CAL5'!A:A,0)+2,2,4,1,"CAL5")),"")</f>
        <v/>
      </c>
      <c r="AD96" s="21">
        <f ca="1">IF(CALC2223!BB96&gt;2,INDIRECT(ADDRESS(MATCH(Agenda2526!C97,'CAL5'!A:A,0)+2,3,4,1,"CAL5")),0)</f>
        <v>0</v>
      </c>
      <c r="AE96" s="20" t="str">
        <f ca="1">IF(CALC2223!BC96&gt;0,INDIRECT(ADDRESS(MATCH(Agenda2526!C97,'CAL6'!A:A,0),2,4,1,"CAL6")),"")</f>
        <v>LO2:4</v>
      </c>
      <c r="AF96" s="21">
        <f ca="1">IF(CALC2223!BC96&gt;0,INDIRECT(ADDRESS(MATCH(Agenda2526!C97,'CAL6'!A:A,0),3,4,1,"CAL6")),0)</f>
        <v>45896</v>
      </c>
      <c r="AG96" s="20" t="str">
        <f ca="1">IF(CALC2223!BC96&gt;1,INDIRECT(ADDRESS(MATCH(Agenda2526!C97,'CAL6'!A:A,0)+1,2,4,1,"CAL6")),"")</f>
        <v/>
      </c>
      <c r="AH96" s="21">
        <f ca="1">IF(CALC2223!BC96&gt;1,INDIRECT(ADDRESS(MATCH(Agenda2526!C97,'CAL6'!A:A,0)+1,3,4,1,"CAL6")),0)</f>
        <v>0</v>
      </c>
      <c r="AI96" s="20" t="str">
        <f ca="1">IF(CALC2223!BC96&gt;2,INDIRECT(ADDRESS(MATCH(Agenda2526!C97,'CAL6'!A:A,0)+2,2,4,1,"CAL6")),"")</f>
        <v/>
      </c>
      <c r="AJ96" s="21">
        <f ca="1">IF(CALC2223!BC96&gt;2,INDIRECT(ADDRESS(MATCH(Agenda2526!C97,'CAL6'!A:A,0)+2,3,4,1,"CAL6")),0)</f>
        <v>0</v>
      </c>
      <c r="AK96" s="20" t="str">
        <f ca="1">IF(CALC2223!BD96&gt;0,INDIRECT(ADDRESS(MATCH(Agenda2526!C97,'CAL7'!A:A,0),2,4,1,"CAL7")),"")</f>
        <v>30'-rooster/docentenspreekmomenten 13.30-16.30</v>
      </c>
      <c r="AL96" s="21">
        <f ca="1">IF(CALC2223!BD96&gt;0,INDIRECT(ADDRESS(MATCH(Agenda2526!C97,'CAL7'!A:A,0),3,4,1,"CAL7")),0)</f>
        <v>45896</v>
      </c>
      <c r="AM96" s="20" t="str">
        <f ca="1">IF(CALC2223!BD96&gt;1,INDIRECT(ADDRESS(MATCH(Agenda2526!C97,'CAL7'!A:A,0)+1,2,4,1,"CAL7")),"")</f>
        <v/>
      </c>
      <c r="AN96" s="21">
        <f ca="1">IF(CALC2223!BD96&gt;1,INDIRECT(ADDRESS(MATCH(Agenda2526!C97,'CAL7'!A:A,0)+1,3,4,1,"CAL7")),0)</f>
        <v>0</v>
      </c>
      <c r="AO96" s="20" t="str">
        <f ca="1">IF(CALC2223!BD96&gt;2,INDIRECT(ADDRESS(MATCH(Agenda2526!C97,'CAL7'!A:A,0)+2,2,4,1,"CAL7")),"")</f>
        <v/>
      </c>
      <c r="AP96" s="21">
        <f ca="1">IF(CALC2223!BD96&gt;2,INDIRECT(ADDRESS(MATCH(Agenda2526!C97,'CAL7'!A:A,0)+2,3,4,1,"CAL7")),0)</f>
        <v>0</v>
      </c>
      <c r="AQ96" s="20" t="str">
        <f ca="1">IF(CALC2223!BE96&gt;0,INDIRECT(ADDRESS(MATCH(Agenda2526!C97,'CAL8'!A:A,0),2,4,1,"CAL8")),"")</f>
        <v>30'-rooster/docentenspreekmomenten 13.30-16.30</v>
      </c>
      <c r="AR96" s="21">
        <f ca="1">IF(CALC2223!BE96&gt;0,INDIRECT(ADDRESS(MATCH(Agenda2526!C97,'CAL8'!A:A,0),3,4,1,"CAL8")),0)</f>
        <v>45896</v>
      </c>
      <c r="AS96" s="20" t="str">
        <f ca="1">IF(CALC2223!BE96&gt;1,INDIRECT(ADDRESS(MATCH(Agenda2526!C97,'CAL8'!A:A,0)+1,2,4,1,"CAL8")),"")</f>
        <v>info-avond ouders groep 8</v>
      </c>
      <c r="AT96" s="21">
        <f ca="1">IF(CALC2223!BE96&gt;1,INDIRECT(ADDRESS(MATCH(Agenda2526!C97,'CAL8'!A:A,0)+1,3,4,1,"CAL8")),0)</f>
        <v>45915</v>
      </c>
      <c r="AU96" s="20" t="str">
        <f ca="1">IF(CALC2223!BE96&gt;2,INDIRECT(ADDRESS(MATCH(Agenda2526!C97,'CAL8'!A:A,0)+2,2,4,1,"CAL8")),"")</f>
        <v/>
      </c>
      <c r="AV96" s="21">
        <f ca="1">IF(CALC2223!BE96&gt;2,INDIRECT(ADDRESS(MATCH(Agenda2526!C97,'CAL8'!A:A,0)+2,3,4,1,"CAL8")),0)</f>
        <v>0</v>
      </c>
      <c r="AW96" s="105"/>
      <c r="AX96" s="20">
        <f>COUNTIF('CAL1'!A:A,Agenda2526!C97)</f>
        <v>0</v>
      </c>
      <c r="AY96" s="20">
        <f>COUNTIF('CAL2'!A:A,Agenda2526!C97)</f>
        <v>0</v>
      </c>
      <c r="AZ96" s="20">
        <f>COUNTIF('CAL3'!A:A,Agenda2526!C97)</f>
        <v>1</v>
      </c>
      <c r="BA96" s="20">
        <f>COUNTIF('CAL4'!A:A,Agenda2526!C97)</f>
        <v>2</v>
      </c>
      <c r="BB96" s="20">
        <f>COUNTIF('CAL5'!A:A,Agenda2526!C97)</f>
        <v>1</v>
      </c>
      <c r="BC96" s="20">
        <f>COUNTIF('CAL6'!A:A,Agenda2526!C97)</f>
        <v>1</v>
      </c>
      <c r="BD96" s="20">
        <f>COUNTIF('CAL7'!A:A,Agenda2526!C97)</f>
        <v>1</v>
      </c>
      <c r="BE96" s="20">
        <f>COUNTIF('CAL8'!A:A,Agenda2526!C97)</f>
        <v>2</v>
      </c>
    </row>
    <row r="97" spans="1:57" ht="15.75" customHeight="1">
      <c r="A97" s="20" t="str">
        <f ca="1">IF(CALC2223!AX97&gt;0,INDIRECT(ADDRESS(MATCH(Agenda2526!C98,'CAL1'!A:A,0),2,4,1,"CAL1")),"")</f>
        <v/>
      </c>
      <c r="B97" s="21">
        <f ca="1">IF(CALC2223!AX97&gt;0,INDIRECT(ADDRESS(MATCH(Agenda2526!C98,'CAL1'!A:A,0),3,4,1,"CAL1")),0)</f>
        <v>0</v>
      </c>
      <c r="C97" s="20" t="str">
        <f ca="1">IF(CALC2223!AX97&gt;1,INDIRECT(ADDRESS(MATCH(Agenda2526!C98,'CAL1'!A:A,0)+1,2,4,1,"CAL1")),"")</f>
        <v/>
      </c>
      <c r="D97" s="21">
        <f ca="1">IF(CALC2223!AX97&gt;1,INDIRECT(ADDRESS(MATCH(Agenda2526!C98,'CAL1'!A:A,0)+1,3,4,1,"CAL1")),0)</f>
        <v>0</v>
      </c>
      <c r="E97" s="20" t="str">
        <f ca="1">IF(CALC2223!AX97&gt;2,INDIRECT(ADDRESS(MATCH(Agenda2526!C98,'CAL1'!A:A,0)+2,2,4,1,"CAL1")),"")</f>
        <v/>
      </c>
      <c r="F97" s="21">
        <f ca="1">IF(CALC2223!AX97&gt;2,INDIRECT(ADDRESS(MATCH(Agenda2526!C98,'CAL1'!A:A,0)+2,3,4,1,"CAL1")),0)</f>
        <v>0</v>
      </c>
      <c r="G97" s="20" t="str">
        <f ca="1">IF(CALC2223!AY97&gt;0,INDIRECT(ADDRESS(MATCH(Agenda2526!C98,'CAL2'!A:A,0),2,4,1,"CAL2")),"")</f>
        <v>Rep NA</v>
      </c>
      <c r="H97" s="21">
        <f ca="1">IF(CALC2223!AY97&gt;0,INDIRECT(ADDRESS(MATCH(Agenda2526!C98,'CAL2'!A:A,0),3,4,1,"CAL2")),0)</f>
        <v>45903</v>
      </c>
      <c r="I97" s="20" t="str">
        <f ca="1">IF(CALC2223!AY97&gt;1,INDIRECT(ADDRESS(MATCH(Agenda2526!C98,'CAL2'!A:A,0)+1,2,4,1,"CAL2")),"")</f>
        <v/>
      </c>
      <c r="J97" s="21">
        <f ca="1">IF(CALC2223!AY97&gt;1,INDIRECT(ADDRESS(MATCH(Agenda2526!C98,'CAL2'!A:A,0)+1,3,4,1,"CAL2")),0)</f>
        <v>0</v>
      </c>
      <c r="K97" s="20" t="str">
        <f ca="1">IF(CALC2223!AY97&gt;2,INDIRECT(ADDRESS(MATCH(Agenda2526!C98,'CAL2'!A:A,0)+2,2,4,1,"CAL2")),"")</f>
        <v/>
      </c>
      <c r="L97" s="21">
        <f ca="1">IF(CALC2223!AY97&gt;2,INDIRECT(ADDRESS(MATCH(Agenda2526!C98,'CAL2'!A:A,0)+2,3,4,1,"CAL2")),0)</f>
        <v>0</v>
      </c>
      <c r="M97" s="20" t="str">
        <f ca="1">IF(CALC2223!AZ97&gt;0,INDIRECT(ADDRESS(MATCH(Agenda2526!C98,'CAL3'!A:A,0),2,4,1,"CAL3")),"")</f>
        <v/>
      </c>
      <c r="N97" s="21">
        <f ca="1">IF(CALC2223!AZ97&gt;0,INDIRECT(ADDRESS(MATCH(Agenda2526!C98,'CAL3'!A:A,0),3,4,1,"CAL3")),0)</f>
        <v>0</v>
      </c>
      <c r="O97" s="20" t="str">
        <f ca="1">IF(CALC2223!AZ97&gt;1,INDIRECT(ADDRESS(MATCH(Agenda2526!C98,'CAL3'!A:A,0)+1,2,4,1,"CAL3")),"")</f>
        <v/>
      </c>
      <c r="P97" s="21">
        <f ca="1">IF(CALC2223!AZ97&gt;1,INDIRECT(ADDRESS(MATCH(Agenda2526!C98,'CAL3'!A:A,0)+1,3,4,1,"CAL3")),0)</f>
        <v>0</v>
      </c>
      <c r="Q97" s="20" t="str">
        <f ca="1">IF(CALC2223!AZ97&gt;2,INDIRECT(ADDRESS(MATCH(Agenda2526!C98,'CAL3'!A:A,0)+2,2,4,1,"CAL3")),"")</f>
        <v/>
      </c>
      <c r="R97" s="21">
        <f ca="1">IF(CALC2223!AZ97&gt;2,INDIRECT(ADDRESS(MATCH(Agenda2526!C98,'CAL3'!A:A,0)+2,3,4,1,"CAL3")),0)</f>
        <v>0</v>
      </c>
      <c r="S97" s="20" t="str">
        <f ca="1">IF(CALC2223!BA97&gt;0,INDIRECT(ADDRESS(MATCH(Agenda2526!C98,'CAL4'!A:A,0),2,4,1,"CAL4")),"")</f>
        <v/>
      </c>
      <c r="T97" s="21">
        <f ca="1">IF(CALC2223!BA97&gt;0,INDIRECT(ADDRESS(MATCH(Agenda2526!C98,'CAL4'!A:A,0),3,4,1,"CAL4")),0)</f>
        <v>0</v>
      </c>
      <c r="U97" s="20" t="str">
        <f ca="1">IF(CALC2223!BA97&gt;1,INDIRECT(ADDRESS(MATCH(Agenda2526!C98,'CAL4'!A:A,0)+1,2,4,1,"CAL4")),"")</f>
        <v/>
      </c>
      <c r="V97" s="21">
        <f ca="1">IF(CALC2223!BA97&gt;1,INDIRECT(ADDRESS(MATCH(Agenda2526!C98,'CAL4'!A:A,0)+1,3,4,1,"CAL4")),0)</f>
        <v>0</v>
      </c>
      <c r="W97" s="20" t="str">
        <f ca="1">IF(CALC2223!BA97&gt;2,INDIRECT(ADDRESS(MATCH(Agenda2526!C98,'CAL4'!A:A,0)+2,2,4,1,"CAL4")),"")</f>
        <v/>
      </c>
      <c r="X97" s="21">
        <f ca="1">IF(CALC2223!BA97&gt;2,INDIRECT(ADDRESS(MATCH(Agenda2526!C98,'CAL4'!A:A,0)+2,3,4,1,"CAL4")),0)</f>
        <v>0</v>
      </c>
      <c r="Y97" s="20" t="str">
        <f ca="1">IF(CALC2223!BB97&gt;0,INDIRECT(ADDRESS(MATCH(Agenda2526!C98,'CAL5'!A:A,0),2,4,1,"CAL5")),"")</f>
        <v/>
      </c>
      <c r="Z97" s="21">
        <f ca="1">IF(CALC2223!BB97&gt;0,INDIRECT(ADDRESS(MATCH(Agenda2526!C98,'CAL5'!A:A,0),3,4,1,"CAL5")),0)</f>
        <v>0</v>
      </c>
      <c r="AA97" s="20" t="str">
        <f ca="1">IF(CALC2223!BB97&gt;1,INDIRECT(ADDRESS(MATCH(Agenda2526!C98,'CAL5'!A:A,0)+1,2,4,1,"CAL5")),"")</f>
        <v/>
      </c>
      <c r="AB97" s="21">
        <f ca="1">IF(CALC2223!BB97&gt;1,INDIRECT(ADDRESS(MATCH(Agenda2526!C98,'CAL5'!A:A,0)+1,3,4,1,"CAL5")),0)</f>
        <v>0</v>
      </c>
      <c r="AC97" s="20" t="str">
        <f ca="1">IF(CALC2223!BB97&gt;2,INDIRECT(ADDRESS(MATCH(Agenda2526!C98,'CAL5'!A:A,0)+2,2,4,1,"CAL5")),"")</f>
        <v/>
      </c>
      <c r="AD97" s="21">
        <f ca="1">IF(CALC2223!BB97&gt;2,INDIRECT(ADDRESS(MATCH(Agenda2526!C98,'CAL5'!A:A,0)+2,3,4,1,"CAL5")),0)</f>
        <v>0</v>
      </c>
      <c r="AE97" s="20" t="str">
        <f ca="1">IF(CALC2223!BC97&gt;0,INDIRECT(ADDRESS(MATCH(Agenda2526!C98,'CAL6'!A:A,0),2,4,1,"CAL6")),"")</f>
        <v/>
      </c>
      <c r="AF97" s="21">
        <f ca="1">IF(CALC2223!BC97&gt;0,INDIRECT(ADDRESS(MATCH(Agenda2526!C98,'CAL6'!A:A,0),3,4,1,"CAL6")),0)</f>
        <v>0</v>
      </c>
      <c r="AG97" s="20" t="str">
        <f ca="1">IF(CALC2223!BC97&gt;1,INDIRECT(ADDRESS(MATCH(Agenda2526!C98,'CAL6'!A:A,0)+1,2,4,1,"CAL6")),"")</f>
        <v/>
      </c>
      <c r="AH97" s="21">
        <f ca="1">IF(CALC2223!BC97&gt;1,INDIRECT(ADDRESS(MATCH(Agenda2526!C98,'CAL6'!A:A,0)+1,3,4,1,"CAL6")),0)</f>
        <v>0</v>
      </c>
      <c r="AI97" s="20" t="str">
        <f ca="1">IF(CALC2223!BC97&gt;2,INDIRECT(ADDRESS(MATCH(Agenda2526!C98,'CAL6'!A:A,0)+2,2,4,1,"CAL6")),"")</f>
        <v/>
      </c>
      <c r="AJ97" s="21">
        <f ca="1">IF(CALC2223!BC97&gt;2,INDIRECT(ADDRESS(MATCH(Agenda2526!C98,'CAL6'!A:A,0)+2,3,4,1,"CAL6")),0)</f>
        <v>0</v>
      </c>
      <c r="AK97" s="20" t="str">
        <f ca="1">IF(CALC2223!BD97&gt;0,INDIRECT(ADDRESS(MATCH(Agenda2526!C98,'CAL7'!A:A,0),2,4,1,"CAL7")),"")</f>
        <v/>
      </c>
      <c r="AL97" s="21">
        <f ca="1">IF(CALC2223!BD97&gt;0,INDIRECT(ADDRESS(MATCH(Agenda2526!C98,'CAL7'!A:A,0),3,4,1,"CAL7")),0)</f>
        <v>0</v>
      </c>
      <c r="AM97" s="20" t="str">
        <f ca="1">IF(CALC2223!BD97&gt;1,INDIRECT(ADDRESS(MATCH(Agenda2526!C98,'CAL7'!A:A,0)+1,2,4,1,"CAL7")),"")</f>
        <v/>
      </c>
      <c r="AN97" s="21">
        <f ca="1">IF(CALC2223!BD97&gt;1,INDIRECT(ADDRESS(MATCH(Agenda2526!C98,'CAL7'!A:A,0)+1,3,4,1,"CAL7")),0)</f>
        <v>0</v>
      </c>
      <c r="AO97" s="20" t="str">
        <f ca="1">IF(CALC2223!BD97&gt;2,INDIRECT(ADDRESS(MATCH(Agenda2526!C98,'CAL7'!A:A,0)+2,2,4,1,"CAL7")),"")</f>
        <v/>
      </c>
      <c r="AP97" s="21">
        <f ca="1">IF(CALC2223!BD97&gt;2,INDIRECT(ADDRESS(MATCH(Agenda2526!C98,'CAL7'!A:A,0)+2,3,4,1,"CAL7")),0)</f>
        <v>0</v>
      </c>
      <c r="AQ97" s="20" t="str">
        <f ca="1">IF(CALC2223!BE97&gt;0,INDIRECT(ADDRESS(MATCH(Agenda2526!C98,'CAL8'!A:A,0),2,4,1,"CAL8")),"")</f>
        <v/>
      </c>
      <c r="AR97" s="21">
        <f ca="1">IF(CALC2223!BE97&gt;0,INDIRECT(ADDRESS(MATCH(Agenda2526!C98,'CAL8'!A:A,0),3,4,1,"CAL8")),0)</f>
        <v>0</v>
      </c>
      <c r="AS97" s="20" t="str">
        <f ca="1">IF(CALC2223!BE97&gt;1,INDIRECT(ADDRESS(MATCH(Agenda2526!C98,'CAL8'!A:A,0)+1,2,4,1,"CAL8")),"")</f>
        <v/>
      </c>
      <c r="AT97" s="21">
        <f ca="1">IF(CALC2223!BE97&gt;1,INDIRECT(ADDRESS(MATCH(Agenda2526!C98,'CAL8'!A:A,0)+1,3,4,1,"CAL8")),0)</f>
        <v>0</v>
      </c>
      <c r="AU97" s="20" t="str">
        <f ca="1">IF(CALC2223!BE97&gt;2,INDIRECT(ADDRESS(MATCH(Agenda2526!C98,'CAL8'!A:A,0)+2,2,4,1,"CAL8")),"")</f>
        <v/>
      </c>
      <c r="AV97" s="21">
        <f ca="1">IF(CALC2223!BE97&gt;2,INDIRECT(ADDRESS(MATCH(Agenda2526!C98,'CAL8'!A:A,0)+2,3,4,1,"CAL8")),0)</f>
        <v>0</v>
      </c>
      <c r="AW97" s="105"/>
      <c r="AX97" s="20">
        <f>COUNTIF('CAL1'!A:A,Agenda2526!C98)</f>
        <v>0</v>
      </c>
      <c r="AY97" s="20">
        <f>COUNTIF('CAL2'!A:A,Agenda2526!C98)</f>
        <v>1</v>
      </c>
      <c r="AZ97" s="20">
        <f>COUNTIF('CAL3'!A:A,Agenda2526!C98)</f>
        <v>0</v>
      </c>
      <c r="BA97" s="20">
        <f>COUNTIF('CAL4'!A:A,Agenda2526!C98)</f>
        <v>0</v>
      </c>
      <c r="BB97" s="20">
        <f>COUNTIF('CAL5'!A:A,Agenda2526!C98)</f>
        <v>0</v>
      </c>
      <c r="BC97" s="20">
        <f>COUNTIF('CAL6'!A:A,Agenda2526!C98)</f>
        <v>0</v>
      </c>
      <c r="BD97" s="20">
        <f>COUNTIF('CAL7'!A:A,Agenda2526!C98)</f>
        <v>0</v>
      </c>
      <c r="BE97" s="20">
        <f>COUNTIF('CAL8'!A:A,Agenda2526!C98)</f>
        <v>0</v>
      </c>
    </row>
    <row r="98" spans="1:57" ht="15.75" customHeight="1">
      <c r="A98" s="20" t="str">
        <f ca="1">IF(CALC2223!AX98&gt;0,INDIRECT(ADDRESS(MATCH(Agenda2526!C99,'CAL1'!A:A,0),2,4,1,"CAL1")),"")</f>
        <v/>
      </c>
      <c r="B98" s="21">
        <f ca="1">IF(CALC2223!AX98&gt;0,INDIRECT(ADDRESS(MATCH(Agenda2526!C99,'CAL1'!A:A,0),3,4,1,"CAL1")),0)</f>
        <v>0</v>
      </c>
      <c r="C98" s="20" t="str">
        <f ca="1">IF(CALC2223!AX98&gt;1,INDIRECT(ADDRESS(MATCH(Agenda2526!C99,'CAL1'!A:A,0)+1,2,4,1,"CAL1")),"")</f>
        <v/>
      </c>
      <c r="D98" s="21">
        <f ca="1">IF(CALC2223!AX98&gt;1,INDIRECT(ADDRESS(MATCH(Agenda2526!C99,'CAL1'!A:A,0)+1,3,4,1,"CAL1")),0)</f>
        <v>0</v>
      </c>
      <c r="E98" s="20" t="str">
        <f ca="1">IF(CALC2223!AX98&gt;2,INDIRECT(ADDRESS(MATCH(Agenda2526!C99,'CAL1'!A:A,0)+2,2,4,1,"CAL1")),"")</f>
        <v/>
      </c>
      <c r="F98" s="21">
        <f ca="1">IF(CALC2223!AX98&gt;2,INDIRECT(ADDRESS(MATCH(Agenda2526!C99,'CAL1'!A:A,0)+2,3,4,1,"CAL1")),0)</f>
        <v>0</v>
      </c>
      <c r="G98" s="20" t="str">
        <f ca="1">IF(CALC2223!AY98&gt;0,INDIRECT(ADDRESS(MATCH(Agenda2526!C99,'CAL2'!A:A,0),2,4,1,"CAL2")),"")</f>
        <v/>
      </c>
      <c r="H98" s="21">
        <f ca="1">IF(CALC2223!AY98&gt;0,INDIRECT(ADDRESS(MATCH(Agenda2526!C99,'CAL2'!A:A,0),3,4,1,"CAL2")),0)</f>
        <v>0</v>
      </c>
      <c r="I98" s="20" t="str">
        <f ca="1">IF(CALC2223!AY98&gt;1,INDIRECT(ADDRESS(MATCH(Agenda2526!C99,'CAL2'!A:A,0)+1,2,4,1,"CAL2")),"")</f>
        <v/>
      </c>
      <c r="J98" s="21">
        <f ca="1">IF(CALC2223!AY98&gt;1,INDIRECT(ADDRESS(MATCH(Agenda2526!C99,'CAL2'!A:A,0)+1,3,4,1,"CAL2")),0)</f>
        <v>0</v>
      </c>
      <c r="K98" s="20" t="str">
        <f ca="1">IF(CALC2223!AY98&gt;2,INDIRECT(ADDRESS(MATCH(Agenda2526!C99,'CAL2'!A:A,0)+2,2,4,1,"CAL2")),"")</f>
        <v/>
      </c>
      <c r="L98" s="21">
        <f ca="1">IF(CALC2223!AY98&gt;2,INDIRECT(ADDRESS(MATCH(Agenda2526!C99,'CAL2'!A:A,0)+2,3,4,1,"CAL2")),0)</f>
        <v>0</v>
      </c>
      <c r="M98" s="20" t="str">
        <f ca="1">IF(CALC2223!AZ98&gt;0,INDIRECT(ADDRESS(MATCH(Agenda2526!C99,'CAL3'!A:A,0),2,4,1,"CAL3")),"")</f>
        <v/>
      </c>
      <c r="N98" s="21">
        <f ca="1">IF(CALC2223!AZ98&gt;0,INDIRECT(ADDRESS(MATCH(Agenda2526!C99,'CAL3'!A:A,0),3,4,1,"CAL3")),0)</f>
        <v>0</v>
      </c>
      <c r="O98" s="20" t="str">
        <f ca="1">IF(CALC2223!AZ98&gt;1,INDIRECT(ADDRESS(MATCH(Agenda2526!C99,'CAL3'!A:A,0)+1,2,4,1,"CAL3")),"")</f>
        <v/>
      </c>
      <c r="P98" s="21">
        <f ca="1">IF(CALC2223!AZ98&gt;1,INDIRECT(ADDRESS(MATCH(Agenda2526!C99,'CAL3'!A:A,0)+1,3,4,1,"CAL3")),0)</f>
        <v>0</v>
      </c>
      <c r="Q98" s="20" t="str">
        <f ca="1">IF(CALC2223!AZ98&gt;2,INDIRECT(ADDRESS(MATCH(Agenda2526!C99,'CAL3'!A:A,0)+2,2,4,1,"CAL3")),"")</f>
        <v/>
      </c>
      <c r="R98" s="21">
        <f ca="1">IF(CALC2223!AZ98&gt;2,INDIRECT(ADDRESS(MATCH(Agenda2526!C99,'CAL3'!A:A,0)+2,3,4,1,"CAL3")),0)</f>
        <v>0</v>
      </c>
      <c r="S98" s="20" t="str">
        <f ca="1">IF(CALC2223!BA98&gt;0,INDIRECT(ADDRESS(MATCH(Agenda2526!C99,'CAL4'!A:A,0),2,4,1,"CAL4")),"")</f>
        <v/>
      </c>
      <c r="T98" s="21">
        <f ca="1">IF(CALC2223!BA98&gt;0,INDIRECT(ADDRESS(MATCH(Agenda2526!C99,'CAL4'!A:A,0),3,4,1,"CAL4")),0)</f>
        <v>0</v>
      </c>
      <c r="U98" s="20" t="str">
        <f ca="1">IF(CALC2223!BA98&gt;1,INDIRECT(ADDRESS(MATCH(Agenda2526!C99,'CAL4'!A:A,0)+1,2,4,1,"CAL4")),"")</f>
        <v/>
      </c>
      <c r="V98" s="21">
        <f ca="1">IF(CALC2223!BA98&gt;1,INDIRECT(ADDRESS(MATCH(Agenda2526!C99,'CAL4'!A:A,0)+1,3,4,1,"CAL4")),0)</f>
        <v>0</v>
      </c>
      <c r="W98" s="20" t="str">
        <f ca="1">IF(CALC2223!BA98&gt;2,INDIRECT(ADDRESS(MATCH(Agenda2526!C99,'CAL4'!A:A,0)+2,2,4,1,"CAL4")),"")</f>
        <v/>
      </c>
      <c r="X98" s="21">
        <f ca="1">IF(CALC2223!BA98&gt;2,INDIRECT(ADDRESS(MATCH(Agenda2526!C99,'CAL4'!A:A,0)+2,3,4,1,"CAL4")),0)</f>
        <v>0</v>
      </c>
      <c r="Y98" s="20" t="str">
        <f ca="1">IF(CALC2223!BB98&gt;0,INDIRECT(ADDRESS(MATCH(Agenda2526!C99,'CAL5'!A:A,0),2,4,1,"CAL5")),"")</f>
        <v/>
      </c>
      <c r="Z98" s="21">
        <f ca="1">IF(CALC2223!BB98&gt;0,INDIRECT(ADDRESS(MATCH(Agenda2526!C99,'CAL5'!A:A,0),3,4,1,"CAL5")),0)</f>
        <v>0</v>
      </c>
      <c r="AA98" s="20" t="str">
        <f ca="1">IF(CALC2223!BB98&gt;1,INDIRECT(ADDRESS(MATCH(Agenda2526!C99,'CAL5'!A:A,0)+1,2,4,1,"CAL5")),"")</f>
        <v/>
      </c>
      <c r="AB98" s="21">
        <f ca="1">IF(CALC2223!BB98&gt;1,INDIRECT(ADDRESS(MATCH(Agenda2526!C99,'CAL5'!A:A,0)+1,3,4,1,"CAL5")),0)</f>
        <v>0</v>
      </c>
      <c r="AC98" s="20" t="str">
        <f ca="1">IF(CALC2223!BB98&gt;2,INDIRECT(ADDRESS(MATCH(Agenda2526!C99,'CAL5'!A:A,0)+2,2,4,1,"CAL5")),"")</f>
        <v/>
      </c>
      <c r="AD98" s="21">
        <f ca="1">IF(CALC2223!BB98&gt;2,INDIRECT(ADDRESS(MATCH(Agenda2526!C99,'CAL5'!A:A,0)+2,3,4,1,"CAL5")),0)</f>
        <v>0</v>
      </c>
      <c r="AE98" s="20" t="str">
        <f ca="1">IF(CALC2223!BC98&gt;0,INDIRECT(ADDRESS(MATCH(Agenda2526!C99,'CAL6'!A:A,0),2,4,1,"CAL6")),"")</f>
        <v/>
      </c>
      <c r="AF98" s="21">
        <f ca="1">IF(CALC2223!BC98&gt;0,INDIRECT(ADDRESS(MATCH(Agenda2526!C99,'CAL6'!A:A,0),3,4,1,"CAL6")),0)</f>
        <v>0</v>
      </c>
      <c r="AG98" s="20" t="str">
        <f ca="1">IF(CALC2223!BC98&gt;1,INDIRECT(ADDRESS(MATCH(Agenda2526!C99,'CAL6'!A:A,0)+1,2,4,1,"CAL6")),"")</f>
        <v/>
      </c>
      <c r="AH98" s="21">
        <f ca="1">IF(CALC2223!BC98&gt;1,INDIRECT(ADDRESS(MATCH(Agenda2526!C99,'CAL6'!A:A,0)+1,3,4,1,"CAL6")),0)</f>
        <v>0</v>
      </c>
      <c r="AI98" s="20" t="str">
        <f ca="1">IF(CALC2223!BC98&gt;2,INDIRECT(ADDRESS(MATCH(Agenda2526!C99,'CAL6'!A:A,0)+2,2,4,1,"CAL6")),"")</f>
        <v/>
      </c>
      <c r="AJ98" s="21">
        <f ca="1">IF(CALC2223!BC98&gt;2,INDIRECT(ADDRESS(MATCH(Agenda2526!C99,'CAL6'!A:A,0)+2,3,4,1,"CAL6")),0)</f>
        <v>0</v>
      </c>
      <c r="AK98" s="20" t="str">
        <f ca="1">IF(CALC2223!BD98&gt;0,INDIRECT(ADDRESS(MATCH(Agenda2526!C99,'CAL7'!A:A,0),2,4,1,"CAL7")),"")</f>
        <v/>
      </c>
      <c r="AL98" s="21">
        <f ca="1">IF(CALC2223!BD98&gt;0,INDIRECT(ADDRESS(MATCH(Agenda2526!C99,'CAL7'!A:A,0),3,4,1,"CAL7")),0)</f>
        <v>0</v>
      </c>
      <c r="AM98" s="20" t="str">
        <f ca="1">IF(CALC2223!BD98&gt;1,INDIRECT(ADDRESS(MATCH(Agenda2526!C99,'CAL7'!A:A,0)+1,2,4,1,"CAL7")),"")</f>
        <v/>
      </c>
      <c r="AN98" s="21">
        <f ca="1">IF(CALC2223!BD98&gt;1,INDIRECT(ADDRESS(MATCH(Agenda2526!C99,'CAL7'!A:A,0)+1,3,4,1,"CAL7")),0)</f>
        <v>0</v>
      </c>
      <c r="AO98" s="20" t="str">
        <f ca="1">IF(CALC2223!BD98&gt;2,INDIRECT(ADDRESS(MATCH(Agenda2526!C99,'CAL7'!A:A,0)+2,2,4,1,"CAL7")),"")</f>
        <v/>
      </c>
      <c r="AP98" s="21">
        <f ca="1">IF(CALC2223!BD98&gt;2,INDIRECT(ADDRESS(MATCH(Agenda2526!C99,'CAL7'!A:A,0)+2,3,4,1,"CAL7")),0)</f>
        <v>0</v>
      </c>
      <c r="AQ98" s="20" t="str">
        <f ca="1">IF(CALC2223!BE98&gt;0,INDIRECT(ADDRESS(MATCH(Agenda2526!C99,'CAL8'!A:A,0),2,4,1,"CAL8")),"")</f>
        <v/>
      </c>
      <c r="AR98" s="21">
        <f ca="1">IF(CALC2223!BE98&gt;0,INDIRECT(ADDRESS(MATCH(Agenda2526!C99,'CAL8'!A:A,0),3,4,1,"CAL8")),0)</f>
        <v>0</v>
      </c>
      <c r="AS98" s="20" t="str">
        <f ca="1">IF(CALC2223!BE98&gt;1,INDIRECT(ADDRESS(MATCH(Agenda2526!C99,'CAL8'!A:A,0)+1,2,4,1,"CAL8")),"")</f>
        <v/>
      </c>
      <c r="AT98" s="21">
        <f ca="1">IF(CALC2223!BE98&gt;1,INDIRECT(ADDRESS(MATCH(Agenda2526!C99,'CAL8'!A:A,0)+1,3,4,1,"CAL8")),0)</f>
        <v>0</v>
      </c>
      <c r="AU98" s="20" t="str">
        <f ca="1">IF(CALC2223!BE98&gt;2,INDIRECT(ADDRESS(MATCH(Agenda2526!C99,'CAL8'!A:A,0)+2,2,4,1,"CAL8")),"")</f>
        <v/>
      </c>
      <c r="AV98" s="21">
        <f ca="1">IF(CALC2223!BE98&gt;2,INDIRECT(ADDRESS(MATCH(Agenda2526!C99,'CAL8'!A:A,0)+2,3,4,1,"CAL8")),0)</f>
        <v>0</v>
      </c>
      <c r="AW98" s="106"/>
      <c r="AX98" s="20">
        <f>COUNTIF('CAL1'!A:A,Agenda2526!C99)</f>
        <v>0</v>
      </c>
      <c r="AY98" s="20">
        <f>COUNTIF('CAL2'!A:A,Agenda2526!C99)</f>
        <v>0</v>
      </c>
      <c r="AZ98" s="20">
        <f>COUNTIF('CAL3'!A:A,Agenda2526!C99)</f>
        <v>0</v>
      </c>
      <c r="BA98" s="20">
        <f>COUNTIF('CAL4'!A:A,Agenda2526!C99)</f>
        <v>0</v>
      </c>
      <c r="BB98" s="20">
        <f>COUNTIF('CAL5'!A:A,Agenda2526!C99)</f>
        <v>0</v>
      </c>
      <c r="BC98" s="20">
        <f>COUNTIF('CAL6'!A:A,Agenda2526!C99)</f>
        <v>0</v>
      </c>
      <c r="BD98" s="20">
        <f>COUNTIF('CAL7'!A:A,Agenda2526!C99)</f>
        <v>0</v>
      </c>
      <c r="BE98" s="20">
        <f>COUNTIF('CAL8'!A:A,Agenda2526!C99)</f>
        <v>0</v>
      </c>
    </row>
    <row r="99" spans="1:57" ht="15.75" customHeight="1">
      <c r="A99" s="20" t="str">
        <f ca="1">IF(CALC2223!AX99&gt;0,INDIRECT(ADDRESS(MATCH(Agenda2526!C100,'CAL1'!A:A,0),2,4,1,"CAL1")),"")</f>
        <v/>
      </c>
      <c r="B99" s="21">
        <f ca="1">IF(CALC2223!AX99&gt;0,INDIRECT(ADDRESS(MATCH(Agenda2526!C100,'CAL1'!A:A,0),3,4,1,"CAL1")),0)</f>
        <v>0</v>
      </c>
      <c r="C99" s="20" t="str">
        <f ca="1">IF(CALC2223!AX99&gt;1,INDIRECT(ADDRESS(MATCH(Agenda2526!C100,'CAL1'!A:A,0)+1,2,4,1,"CAL1")),"")</f>
        <v/>
      </c>
      <c r="D99" s="21">
        <f ca="1">IF(CALC2223!AX99&gt;1,INDIRECT(ADDRESS(MATCH(Agenda2526!C100,'CAL1'!A:A,0)+1,3,4,1,"CAL1")),0)</f>
        <v>0</v>
      </c>
      <c r="E99" s="20" t="str">
        <f ca="1">IF(CALC2223!AX99&gt;2,INDIRECT(ADDRESS(MATCH(Agenda2526!C100,'CAL1'!A:A,0)+2,2,4,1,"CAL1")),"")</f>
        <v/>
      </c>
      <c r="F99" s="21">
        <f ca="1">IF(CALC2223!AX99&gt;2,INDIRECT(ADDRESS(MATCH(Agenda2526!C100,'CAL1'!A:A,0)+2,3,4,1,"CAL1")),0)</f>
        <v>0</v>
      </c>
      <c r="G99" s="20" t="str">
        <f ca="1">IF(CALC2223!AY99&gt;0,INDIRECT(ADDRESS(MATCH(Agenda2526!C100,'CAL2'!A:A,0),2,4,1,"CAL2")),"")</f>
        <v/>
      </c>
      <c r="H99" s="21">
        <f ca="1">IF(CALC2223!AY99&gt;0,INDIRECT(ADDRESS(MATCH(Agenda2526!C100,'CAL2'!A:A,0),3,4,1,"CAL2")),0)</f>
        <v>0</v>
      </c>
      <c r="I99" s="20" t="str">
        <f ca="1">IF(CALC2223!AY99&gt;1,INDIRECT(ADDRESS(MATCH(Agenda2526!C100,'CAL2'!A:A,0)+1,2,4,1,"CAL2")),"")</f>
        <v/>
      </c>
      <c r="J99" s="21">
        <f ca="1">IF(CALC2223!AY99&gt;1,INDIRECT(ADDRESS(MATCH(Agenda2526!C100,'CAL2'!A:A,0)+1,3,4,1,"CAL2")),0)</f>
        <v>0</v>
      </c>
      <c r="K99" s="20" t="str">
        <f ca="1">IF(CALC2223!AY99&gt;2,INDIRECT(ADDRESS(MATCH(Agenda2526!C100,'CAL2'!A:A,0)+2,2,4,1,"CAL2")),"")</f>
        <v/>
      </c>
      <c r="L99" s="21">
        <f ca="1">IF(CALC2223!AY99&gt;2,INDIRECT(ADDRESS(MATCH(Agenda2526!C100,'CAL2'!A:A,0)+2,3,4,1,"CAL2")),0)</f>
        <v>0</v>
      </c>
      <c r="M99" s="20" t="str">
        <f ca="1">IF(CALC2223!AZ99&gt;0,INDIRECT(ADDRESS(MATCH(Agenda2526!C100,'CAL3'!A:A,0),2,4,1,"CAL3")),"")</f>
        <v/>
      </c>
      <c r="N99" s="21">
        <f ca="1">IF(CALC2223!AZ99&gt;0,INDIRECT(ADDRESS(MATCH(Agenda2526!C100,'CAL3'!A:A,0),3,4,1,"CAL3")),0)</f>
        <v>0</v>
      </c>
      <c r="O99" s="20" t="str">
        <f ca="1">IF(CALC2223!AZ99&gt;1,INDIRECT(ADDRESS(MATCH(Agenda2526!C100,'CAL3'!A:A,0)+1,2,4,1,"CAL3")),"")</f>
        <v/>
      </c>
      <c r="P99" s="21">
        <f ca="1">IF(CALC2223!AZ99&gt;1,INDIRECT(ADDRESS(MATCH(Agenda2526!C100,'CAL3'!A:A,0)+1,3,4,1,"CAL3")),0)</f>
        <v>0</v>
      </c>
      <c r="Q99" s="20" t="str">
        <f ca="1">IF(CALC2223!AZ99&gt;2,INDIRECT(ADDRESS(MATCH(Agenda2526!C100,'CAL3'!A:A,0)+2,2,4,1,"CAL3")),"")</f>
        <v/>
      </c>
      <c r="R99" s="21">
        <f ca="1">IF(CALC2223!AZ99&gt;2,INDIRECT(ADDRESS(MATCH(Agenda2526!C100,'CAL3'!A:A,0)+2,3,4,1,"CAL3")),0)</f>
        <v>0</v>
      </c>
      <c r="S99" s="20" t="str">
        <f ca="1">IF(CALC2223!BA99&gt;0,INDIRECT(ADDRESS(MATCH(Agenda2526!C100,'CAL4'!A:A,0),2,4,1,"CAL4")),"")</f>
        <v/>
      </c>
      <c r="T99" s="21">
        <f ca="1">IF(CALC2223!BA99&gt;0,INDIRECT(ADDRESS(MATCH(Agenda2526!C100,'CAL4'!A:A,0),3,4,1,"CAL4")),0)</f>
        <v>0</v>
      </c>
      <c r="U99" s="20" t="str">
        <f ca="1">IF(CALC2223!BA99&gt;1,INDIRECT(ADDRESS(MATCH(Agenda2526!C100,'CAL4'!A:A,0)+1,2,4,1,"CAL4")),"")</f>
        <v/>
      </c>
      <c r="V99" s="21">
        <f ca="1">IF(CALC2223!BA99&gt;1,INDIRECT(ADDRESS(MATCH(Agenda2526!C100,'CAL4'!A:A,0)+1,3,4,1,"CAL4")),0)</f>
        <v>0</v>
      </c>
      <c r="W99" s="20" t="str">
        <f ca="1">IF(CALC2223!BA99&gt;2,INDIRECT(ADDRESS(MATCH(Agenda2526!C100,'CAL4'!A:A,0)+2,2,4,1,"CAL4")),"")</f>
        <v/>
      </c>
      <c r="X99" s="21">
        <f ca="1">IF(CALC2223!BA99&gt;2,INDIRECT(ADDRESS(MATCH(Agenda2526!C100,'CAL4'!A:A,0)+2,3,4,1,"CAL4")),0)</f>
        <v>0</v>
      </c>
      <c r="Y99" s="20" t="str">
        <f ca="1">IF(CALC2223!BB99&gt;0,INDIRECT(ADDRESS(MATCH(Agenda2526!C100,'CAL5'!A:A,0),2,4,1,"CAL5")),"")</f>
        <v/>
      </c>
      <c r="Z99" s="21">
        <f ca="1">IF(CALC2223!BB99&gt;0,INDIRECT(ADDRESS(MATCH(Agenda2526!C100,'CAL5'!A:A,0),3,4,1,"CAL5")),0)</f>
        <v>0</v>
      </c>
      <c r="AA99" s="20" t="str">
        <f ca="1">IF(CALC2223!BB99&gt;1,INDIRECT(ADDRESS(MATCH(Agenda2526!C100,'CAL5'!A:A,0)+1,2,4,1,"CAL5")),"")</f>
        <v/>
      </c>
      <c r="AB99" s="21">
        <f ca="1">IF(CALC2223!BB99&gt;1,INDIRECT(ADDRESS(MATCH(Agenda2526!C100,'CAL5'!A:A,0)+1,3,4,1,"CAL5")),0)</f>
        <v>0</v>
      </c>
      <c r="AC99" s="20" t="str">
        <f ca="1">IF(CALC2223!BB99&gt;2,INDIRECT(ADDRESS(MATCH(Agenda2526!C100,'CAL5'!A:A,0)+2,2,4,1,"CAL5")),"")</f>
        <v/>
      </c>
      <c r="AD99" s="21">
        <f ca="1">IF(CALC2223!BB99&gt;2,INDIRECT(ADDRESS(MATCH(Agenda2526!C100,'CAL5'!A:A,0)+2,3,4,1,"CAL5")),0)</f>
        <v>0</v>
      </c>
      <c r="AE99" s="20" t="str">
        <f ca="1">IF(CALC2223!BC99&gt;0,INDIRECT(ADDRESS(MATCH(Agenda2526!C100,'CAL6'!A:A,0),2,4,1,"CAL6")),"")</f>
        <v/>
      </c>
      <c r="AF99" s="21">
        <f ca="1">IF(CALC2223!BC99&gt;0,INDIRECT(ADDRESS(MATCH(Agenda2526!C100,'CAL6'!A:A,0),3,4,1,"CAL6")),0)</f>
        <v>0</v>
      </c>
      <c r="AG99" s="20" t="str">
        <f ca="1">IF(CALC2223!BC99&gt;1,INDIRECT(ADDRESS(MATCH(Agenda2526!C100,'CAL6'!A:A,0)+1,2,4,1,"CAL6")),"")</f>
        <v/>
      </c>
      <c r="AH99" s="21">
        <f ca="1">IF(CALC2223!BC99&gt;1,INDIRECT(ADDRESS(MATCH(Agenda2526!C100,'CAL6'!A:A,0)+1,3,4,1,"CAL6")),0)</f>
        <v>0</v>
      </c>
      <c r="AI99" s="20" t="str">
        <f ca="1">IF(CALC2223!BC99&gt;2,INDIRECT(ADDRESS(MATCH(Agenda2526!C100,'CAL6'!A:A,0)+2,2,4,1,"CAL6")),"")</f>
        <v/>
      </c>
      <c r="AJ99" s="21">
        <f ca="1">IF(CALC2223!BC99&gt;2,INDIRECT(ADDRESS(MATCH(Agenda2526!C100,'CAL6'!A:A,0)+2,3,4,1,"CAL6")),0)</f>
        <v>0</v>
      </c>
      <c r="AK99" s="20" t="str">
        <f ca="1">IF(CALC2223!BD99&gt;0,INDIRECT(ADDRESS(MATCH(Agenda2526!C100,'CAL7'!A:A,0),2,4,1,"CAL7")),"")</f>
        <v/>
      </c>
      <c r="AL99" s="21">
        <f ca="1">IF(CALC2223!BD99&gt;0,INDIRECT(ADDRESS(MATCH(Agenda2526!C100,'CAL7'!A:A,0),3,4,1,"CAL7")),0)</f>
        <v>0</v>
      </c>
      <c r="AM99" s="20" t="str">
        <f ca="1">IF(CALC2223!BD99&gt;1,INDIRECT(ADDRESS(MATCH(Agenda2526!C100,'CAL7'!A:A,0)+1,2,4,1,"CAL7")),"")</f>
        <v/>
      </c>
      <c r="AN99" s="21">
        <f ca="1">IF(CALC2223!BD99&gt;1,INDIRECT(ADDRESS(MATCH(Agenda2526!C100,'CAL7'!A:A,0)+1,3,4,1,"CAL7")),0)</f>
        <v>0</v>
      </c>
      <c r="AO99" s="20" t="str">
        <f ca="1">IF(CALC2223!BD99&gt;2,INDIRECT(ADDRESS(MATCH(Agenda2526!C100,'CAL7'!A:A,0)+2,2,4,1,"CAL7")),"")</f>
        <v/>
      </c>
      <c r="AP99" s="21">
        <f ca="1">IF(CALC2223!BD99&gt;2,INDIRECT(ADDRESS(MATCH(Agenda2526!C100,'CAL7'!A:A,0)+2,3,4,1,"CAL7")),0)</f>
        <v>0</v>
      </c>
      <c r="AQ99" s="20" t="str">
        <f ca="1">IF(CALC2223!BE99&gt;0,INDIRECT(ADDRESS(MATCH(Agenda2526!C100,'CAL8'!A:A,0),2,4,1,"CAL8")),"")</f>
        <v/>
      </c>
      <c r="AR99" s="21">
        <f ca="1">IF(CALC2223!BE99&gt;0,INDIRECT(ADDRESS(MATCH(Agenda2526!C100,'CAL8'!A:A,0),3,4,1,"CAL8")),0)</f>
        <v>0</v>
      </c>
      <c r="AS99" s="20" t="str">
        <f ca="1">IF(CALC2223!BE99&gt;1,INDIRECT(ADDRESS(MATCH(Agenda2526!C100,'CAL8'!A:A,0)+1,2,4,1,"CAL8")),"")</f>
        <v/>
      </c>
      <c r="AT99" s="21">
        <f ca="1">IF(CALC2223!BE99&gt;1,INDIRECT(ADDRESS(MATCH(Agenda2526!C100,'CAL8'!A:A,0)+1,3,4,1,"CAL8")),0)</f>
        <v>0</v>
      </c>
      <c r="AU99" s="20" t="str">
        <f ca="1">IF(CALC2223!BE99&gt;2,INDIRECT(ADDRESS(MATCH(Agenda2526!C100,'CAL8'!A:A,0)+2,2,4,1,"CAL8")),"")</f>
        <v/>
      </c>
      <c r="AV99" s="21">
        <f ca="1">IF(CALC2223!BE99&gt;2,INDIRECT(ADDRESS(MATCH(Agenda2526!C100,'CAL8'!A:A,0)+2,3,4,1,"CAL8")),0)</f>
        <v>0</v>
      </c>
      <c r="AW99" s="106"/>
      <c r="AX99" s="20">
        <f>COUNTIF('CAL1'!A:A,Agenda2526!C100)</f>
        <v>0</v>
      </c>
      <c r="AY99" s="20">
        <f>COUNTIF('CAL2'!A:A,Agenda2526!C100)</f>
        <v>0</v>
      </c>
      <c r="AZ99" s="20">
        <f>COUNTIF('CAL3'!A:A,Agenda2526!C100)</f>
        <v>0</v>
      </c>
      <c r="BA99" s="20">
        <f>COUNTIF('CAL4'!A:A,Agenda2526!C100)</f>
        <v>0</v>
      </c>
      <c r="BB99" s="20">
        <f>COUNTIF('CAL5'!A:A,Agenda2526!C100)</f>
        <v>0</v>
      </c>
      <c r="BC99" s="20">
        <f>COUNTIF('CAL6'!A:A,Agenda2526!C100)</f>
        <v>0</v>
      </c>
      <c r="BD99" s="20">
        <f>COUNTIF('CAL7'!A:A,Agenda2526!C100)</f>
        <v>0</v>
      </c>
      <c r="BE99" s="20">
        <f>COUNTIF('CAL8'!A:A,Agenda2526!C100)</f>
        <v>0</v>
      </c>
    </row>
    <row r="100" spans="1:57" ht="15.75" customHeight="1">
      <c r="A100" s="20" t="str">
        <f ca="1">IF(CALC2223!AX100&gt;0,INDIRECT(ADDRESS(MATCH(Agenda2526!C101,'CAL1'!A:A,0),2,4,1,"CAL1")),"")</f>
        <v/>
      </c>
      <c r="B100" s="21">
        <f ca="1">IF(CALC2223!AX100&gt;0,INDIRECT(ADDRESS(MATCH(Agenda2526!C101,'CAL1'!A:A,0),3,4,1,"CAL1")),0)</f>
        <v>0</v>
      </c>
      <c r="C100" s="20" t="str">
        <f ca="1">IF(CALC2223!AX100&gt;1,INDIRECT(ADDRESS(MATCH(Agenda2526!C101,'CAL1'!A:A,0)+1,2,4,1,"CAL1")),"")</f>
        <v/>
      </c>
      <c r="D100" s="21">
        <f ca="1">IF(CALC2223!AX100&gt;1,INDIRECT(ADDRESS(MATCH(Agenda2526!C101,'CAL1'!A:A,0)+1,3,4,1,"CAL1")),0)</f>
        <v>0</v>
      </c>
      <c r="E100" s="20" t="str">
        <f ca="1">IF(CALC2223!AX100&gt;2,INDIRECT(ADDRESS(MATCH(Agenda2526!C101,'CAL1'!A:A,0)+2,2,4,1,"CAL1")),"")</f>
        <v/>
      </c>
      <c r="F100" s="21">
        <f ca="1">IF(CALC2223!AX100&gt;2,INDIRECT(ADDRESS(MATCH(Agenda2526!C101,'CAL1'!A:A,0)+2,3,4,1,"CAL1")),0)</f>
        <v>0</v>
      </c>
      <c r="G100" s="20" t="str">
        <f ca="1">IF(CALC2223!AY100&gt;0,INDIRECT(ADDRESS(MATCH(Agenda2526!C101,'CAL2'!A:A,0),2,4,1,"CAL2")),"")</f>
        <v/>
      </c>
      <c r="H100" s="21">
        <f ca="1">IF(CALC2223!AY100&gt;0,INDIRECT(ADDRESS(MATCH(Agenda2526!C101,'CAL2'!A:A,0),3,4,1,"CAL2")),0)</f>
        <v>0</v>
      </c>
      <c r="I100" s="20" t="str">
        <f ca="1">IF(CALC2223!AY100&gt;1,INDIRECT(ADDRESS(MATCH(Agenda2526!C101,'CAL2'!A:A,0)+1,2,4,1,"CAL2")),"")</f>
        <v/>
      </c>
      <c r="J100" s="21">
        <f ca="1">IF(CALC2223!AY100&gt;1,INDIRECT(ADDRESS(MATCH(Agenda2526!C101,'CAL2'!A:A,0)+1,3,4,1,"CAL2")),0)</f>
        <v>0</v>
      </c>
      <c r="K100" s="20" t="str">
        <f ca="1">IF(CALC2223!AY100&gt;2,INDIRECT(ADDRESS(MATCH(Agenda2526!C101,'CAL2'!A:A,0)+2,2,4,1,"CAL2")),"")</f>
        <v/>
      </c>
      <c r="L100" s="21">
        <f ca="1">IF(CALC2223!AY100&gt;2,INDIRECT(ADDRESS(MATCH(Agenda2526!C101,'CAL2'!A:A,0)+2,3,4,1,"CAL2")),0)</f>
        <v>0</v>
      </c>
      <c r="M100" s="20" t="str">
        <f ca="1">IF(CALC2223!AZ100&gt;0,INDIRECT(ADDRESS(MATCH(Agenda2526!C101,'CAL3'!A:A,0),2,4,1,"CAL3")),"")</f>
        <v/>
      </c>
      <c r="N100" s="21">
        <f ca="1">IF(CALC2223!AZ100&gt;0,INDIRECT(ADDRESS(MATCH(Agenda2526!C101,'CAL3'!A:A,0),3,4,1,"CAL3")),0)</f>
        <v>0</v>
      </c>
      <c r="O100" s="20" t="str">
        <f ca="1">IF(CALC2223!AZ100&gt;1,INDIRECT(ADDRESS(MATCH(Agenda2526!C101,'CAL3'!A:A,0)+1,2,4,1,"CAL3")),"")</f>
        <v/>
      </c>
      <c r="P100" s="21">
        <f ca="1">IF(CALC2223!AZ100&gt;1,INDIRECT(ADDRESS(MATCH(Agenda2526!C101,'CAL3'!A:A,0)+1,3,4,1,"CAL3")),0)</f>
        <v>0</v>
      </c>
      <c r="Q100" s="20" t="str">
        <f ca="1">IF(CALC2223!AZ100&gt;2,INDIRECT(ADDRESS(MATCH(Agenda2526!C101,'CAL3'!A:A,0)+2,2,4,1,"CAL3")),"")</f>
        <v/>
      </c>
      <c r="R100" s="21">
        <f ca="1">IF(CALC2223!AZ100&gt;2,INDIRECT(ADDRESS(MATCH(Agenda2526!C101,'CAL3'!A:A,0)+2,3,4,1,"CAL3")),0)</f>
        <v>0</v>
      </c>
      <c r="S100" s="20" t="str">
        <f ca="1">IF(CALC2223!BA100&gt;0,INDIRECT(ADDRESS(MATCH(Agenda2526!C101,'CAL4'!A:A,0),2,4,1,"CAL4")),"")</f>
        <v>inh rep GR</v>
      </c>
      <c r="T100" s="21">
        <f ca="1">IF(CALC2223!BA100&gt;0,INDIRECT(ADDRESS(MATCH(Agenda2526!C101,'CAL4'!A:A,0),3,4,1,"CAL4")),0)</f>
        <v>45936</v>
      </c>
      <c r="U100" s="20" t="str">
        <f ca="1">IF(CALC2223!BA100&gt;1,INDIRECT(ADDRESS(MATCH(Agenda2526!C101,'CAL4'!A:A,0)+1,2,4,1,"CAL4")),"")</f>
        <v/>
      </c>
      <c r="V100" s="21">
        <f ca="1">IF(CALC2223!BA100&gt;1,INDIRECT(ADDRESS(MATCH(Agenda2526!C101,'CAL4'!A:A,0)+1,3,4,1,"CAL4")),0)</f>
        <v>0</v>
      </c>
      <c r="W100" s="20" t="str">
        <f ca="1">IF(CALC2223!BA100&gt;2,INDIRECT(ADDRESS(MATCH(Agenda2526!C101,'CAL4'!A:A,0)+2,2,4,1,"CAL4")),"")</f>
        <v/>
      </c>
      <c r="X100" s="21">
        <f ca="1">IF(CALC2223!BA100&gt;2,INDIRECT(ADDRESS(MATCH(Agenda2526!C101,'CAL4'!A:A,0)+2,3,4,1,"CAL4")),0)</f>
        <v>0</v>
      </c>
      <c r="Y100" s="20" t="str">
        <f ca="1">IF(CALC2223!BB100&gt;0,INDIRECT(ADDRESS(MATCH(Agenda2526!C101,'CAL5'!A:A,0),2,4,1,"CAL5")),"")</f>
        <v>Rep BE</v>
      </c>
      <c r="Z100" s="21">
        <f ca="1">IF(CALC2223!BB100&gt;0,INDIRECT(ADDRESS(MATCH(Agenda2526!C101,'CAL5'!A:A,0),3,4,1,"CAL5")),0)</f>
        <v>45896</v>
      </c>
      <c r="AA100" s="20" t="str">
        <f ca="1">IF(CALC2223!BB100&gt;1,INDIRECT(ADDRESS(MATCH(Agenda2526!C101,'CAL5'!A:A,0)+1,2,4,1,"CAL5")),"")</f>
        <v>inh rep FA</v>
      </c>
      <c r="AB100" s="21">
        <f ca="1">IF(CALC2223!BB100&gt;1,INDIRECT(ADDRESS(MATCH(Agenda2526!C101,'CAL5'!A:A,0)+1,3,4,1,"CAL5")),0)</f>
        <v>45936</v>
      </c>
      <c r="AC100" s="20" t="str">
        <f ca="1">IF(CALC2223!BB100&gt;2,INDIRECT(ADDRESS(MATCH(Agenda2526!C101,'CAL5'!A:A,0)+2,2,4,1,"CAL5")),"")</f>
        <v/>
      </c>
      <c r="AD100" s="21">
        <f ca="1">IF(CALC2223!BB100&gt;2,INDIRECT(ADDRESS(MATCH(Agenda2526!C101,'CAL5'!A:A,0)+2,3,4,1,"CAL5")),0)</f>
        <v>0</v>
      </c>
      <c r="AE100" s="20" t="str">
        <f ca="1">IF(CALC2223!BC100&gt;0,INDIRECT(ADDRESS(MATCH(Agenda2526!C101,'CAL6'!A:A,0),2,4,1,"CAL6")),"")</f>
        <v/>
      </c>
      <c r="AF100" s="21">
        <f ca="1">IF(CALC2223!BC100&gt;0,INDIRECT(ADDRESS(MATCH(Agenda2526!C101,'CAL6'!A:A,0),3,4,1,"CAL6")),0)</f>
        <v>0</v>
      </c>
      <c r="AG100" s="20" t="str">
        <f ca="1">IF(CALC2223!BC100&gt;1,INDIRECT(ADDRESS(MATCH(Agenda2526!C101,'CAL6'!A:A,0)+1,2,4,1,"CAL6")),"")</f>
        <v/>
      </c>
      <c r="AH100" s="21">
        <f ca="1">IF(CALC2223!BC100&gt;1,INDIRECT(ADDRESS(MATCH(Agenda2526!C101,'CAL6'!A:A,0)+1,3,4,1,"CAL6")),0)</f>
        <v>0</v>
      </c>
      <c r="AI100" s="20" t="str">
        <f ca="1">IF(CALC2223!BC100&gt;2,INDIRECT(ADDRESS(MATCH(Agenda2526!C101,'CAL6'!A:A,0)+2,2,4,1,"CAL6")),"")</f>
        <v/>
      </c>
      <c r="AJ100" s="21">
        <f ca="1">IF(CALC2223!BC100&gt;2,INDIRECT(ADDRESS(MATCH(Agenda2526!C101,'CAL6'!A:A,0)+2,3,4,1,"CAL6")),0)</f>
        <v>0</v>
      </c>
      <c r="AK100" s="20" t="str">
        <f ca="1">IF(CALC2223!BD100&gt;0,INDIRECT(ADDRESS(MATCH(Agenda2526!C101,'CAL7'!A:A,0),2,4,1,"CAL7")),"")</f>
        <v>30'-rooster/docentenspreekmomenten 14-17 uur</v>
      </c>
      <c r="AL100" s="21">
        <f ca="1">IF(CALC2223!BD100&gt;0,INDIRECT(ADDRESS(MATCH(Agenda2526!C101,'CAL7'!A:A,0),3,4,1,"CAL7")),0)</f>
        <v>45896</v>
      </c>
      <c r="AM100" s="20" t="str">
        <f ca="1">IF(CALC2223!BD100&gt;1,INDIRECT(ADDRESS(MATCH(Agenda2526!C101,'CAL7'!A:A,0)+1,2,4,1,"CAL7")),"")</f>
        <v/>
      </c>
      <c r="AN100" s="21">
        <f ca="1">IF(CALC2223!BD100&gt;1,INDIRECT(ADDRESS(MATCH(Agenda2526!C101,'CAL7'!A:A,0)+1,3,4,1,"CAL7")),0)</f>
        <v>0</v>
      </c>
      <c r="AO100" s="20" t="str">
        <f ca="1">IF(CALC2223!BD100&gt;2,INDIRECT(ADDRESS(MATCH(Agenda2526!C101,'CAL7'!A:A,0)+2,2,4,1,"CAL7")),"")</f>
        <v/>
      </c>
      <c r="AP100" s="21">
        <f ca="1">IF(CALC2223!BD100&gt;2,INDIRECT(ADDRESS(MATCH(Agenda2526!C101,'CAL7'!A:A,0)+2,3,4,1,"CAL7")),0)</f>
        <v>0</v>
      </c>
      <c r="AQ100" s="20" t="str">
        <f ca="1">IF(CALC2223!BE100&gt;0,INDIRECT(ADDRESS(MATCH(Agenda2526!C101,'CAL8'!A:A,0),2,4,1,"CAL8")),"")</f>
        <v>30'-rooster/docentenspreekmomenten 14-17 uur</v>
      </c>
      <c r="AR100" s="21">
        <f ca="1">IF(CALC2223!BE100&gt;0,INDIRECT(ADDRESS(MATCH(Agenda2526!C101,'CAL8'!A:A,0),3,4,1,"CAL8")),0)</f>
        <v>45896</v>
      </c>
      <c r="AS100" s="20" t="str">
        <f ca="1">IF(CALC2223!BE100&gt;1,INDIRECT(ADDRESS(MATCH(Agenda2526!C101,'CAL8'!A:A,0)+1,2,4,1,"CAL8")),"")</f>
        <v/>
      </c>
      <c r="AT100" s="21">
        <f ca="1">IF(CALC2223!BE100&gt;1,INDIRECT(ADDRESS(MATCH(Agenda2526!C101,'CAL8'!A:A,0)+1,3,4,1,"CAL8")),0)</f>
        <v>0</v>
      </c>
      <c r="AU100" s="20" t="str">
        <f ca="1">IF(CALC2223!BE100&gt;2,INDIRECT(ADDRESS(MATCH(Agenda2526!C101,'CAL8'!A:A,0)+2,2,4,1,"CAL8")),"")</f>
        <v/>
      </c>
      <c r="AV100" s="21">
        <f ca="1">IF(CALC2223!BE100&gt;2,INDIRECT(ADDRESS(MATCH(Agenda2526!C101,'CAL8'!A:A,0)+2,3,4,1,"CAL8")),0)</f>
        <v>0</v>
      </c>
      <c r="AW100" s="105"/>
      <c r="AX100" s="20">
        <f>COUNTIF('CAL1'!A:A,Agenda2526!C101)</f>
        <v>0</v>
      </c>
      <c r="AY100" s="20">
        <f>COUNTIF('CAL2'!A:A,Agenda2526!C101)</f>
        <v>0</v>
      </c>
      <c r="AZ100" s="20">
        <f>COUNTIF('CAL3'!A:A,Agenda2526!C101)</f>
        <v>0</v>
      </c>
      <c r="BA100" s="20">
        <f>COUNTIF('CAL4'!A:A,Agenda2526!C101)</f>
        <v>1</v>
      </c>
      <c r="BB100" s="20">
        <f>COUNTIF('CAL5'!A:A,Agenda2526!C101)</f>
        <v>2</v>
      </c>
      <c r="BC100" s="20">
        <f>COUNTIF('CAL6'!A:A,Agenda2526!C101)</f>
        <v>0</v>
      </c>
      <c r="BD100" s="20">
        <f>COUNTIF('CAL7'!A:A,Agenda2526!C101)</f>
        <v>1</v>
      </c>
      <c r="BE100" s="20">
        <f>COUNTIF('CAL8'!A:A,Agenda2526!C101)</f>
        <v>1</v>
      </c>
    </row>
    <row r="101" spans="1:57" ht="15.75" customHeight="1">
      <c r="A101" s="20" t="str">
        <f ca="1">IF(CALC2223!AX101&gt;0,INDIRECT(ADDRESS(MATCH(Agenda2526!C102,'CAL1'!A:A,0),2,4,1,"CAL1")),"")</f>
        <v/>
      </c>
      <c r="B101" s="21">
        <f ca="1">IF(CALC2223!AX101&gt;0,INDIRECT(ADDRESS(MATCH(Agenda2526!C102,'CAL1'!A:A,0),3,4,1,"CAL1")),0)</f>
        <v>0</v>
      </c>
      <c r="C101" s="20" t="str">
        <f ca="1">IF(CALC2223!AX101&gt;1,INDIRECT(ADDRESS(MATCH(Agenda2526!C102,'CAL1'!A:A,0)+1,2,4,1,"CAL1")),"")</f>
        <v/>
      </c>
      <c r="D101" s="21">
        <f ca="1">IF(CALC2223!AX101&gt;1,INDIRECT(ADDRESS(MATCH(Agenda2526!C102,'CAL1'!A:A,0)+1,3,4,1,"CAL1")),0)</f>
        <v>0</v>
      </c>
      <c r="E101" s="20" t="str">
        <f ca="1">IF(CALC2223!AX101&gt;2,INDIRECT(ADDRESS(MATCH(Agenda2526!C102,'CAL1'!A:A,0)+2,2,4,1,"CAL1")),"")</f>
        <v/>
      </c>
      <c r="F101" s="21">
        <f ca="1">IF(CALC2223!AX101&gt;2,INDIRECT(ADDRESS(MATCH(Agenda2526!C102,'CAL1'!A:A,0)+2,3,4,1,"CAL1")),0)</f>
        <v>0</v>
      </c>
      <c r="G101" s="20" t="str">
        <f ca="1">IF(CALC2223!AY101&gt;0,INDIRECT(ADDRESS(MATCH(Agenda2526!C102,'CAL2'!A:A,0),2,4,1,"CAL2")),"")</f>
        <v/>
      </c>
      <c r="H101" s="21">
        <f ca="1">IF(CALC2223!AY101&gt;0,INDIRECT(ADDRESS(MATCH(Agenda2526!C102,'CAL2'!A:A,0),3,4,1,"CAL2")),0)</f>
        <v>0</v>
      </c>
      <c r="I101" s="20" t="str">
        <f ca="1">IF(CALC2223!AY101&gt;1,INDIRECT(ADDRESS(MATCH(Agenda2526!C102,'CAL2'!A:A,0)+1,2,4,1,"CAL2")),"")</f>
        <v/>
      </c>
      <c r="J101" s="21">
        <f ca="1">IF(CALC2223!AY101&gt;1,INDIRECT(ADDRESS(MATCH(Agenda2526!C102,'CAL2'!A:A,0)+1,3,4,1,"CAL2")),0)</f>
        <v>0</v>
      </c>
      <c r="K101" s="20" t="str">
        <f ca="1">IF(CALC2223!AY101&gt;2,INDIRECT(ADDRESS(MATCH(Agenda2526!C102,'CAL2'!A:A,0)+2,2,4,1,"CAL2")),"")</f>
        <v/>
      </c>
      <c r="L101" s="21">
        <f ca="1">IF(CALC2223!AY101&gt;2,INDIRECT(ADDRESS(MATCH(Agenda2526!C102,'CAL2'!A:A,0)+2,3,4,1,"CAL2")),0)</f>
        <v>0</v>
      </c>
      <c r="M101" s="20" t="str">
        <f ca="1">IF(CALC2223!AZ101&gt;0,INDIRECT(ADDRESS(MATCH(Agenda2526!C102,'CAL3'!A:A,0),2,4,1,"CAL3")),"")</f>
        <v/>
      </c>
      <c r="N101" s="21">
        <f ca="1">IF(CALC2223!AZ101&gt;0,INDIRECT(ADDRESS(MATCH(Agenda2526!C102,'CAL3'!A:A,0),3,4,1,"CAL3")),0)</f>
        <v>0</v>
      </c>
      <c r="O101" s="20" t="str">
        <f ca="1">IF(CALC2223!AZ101&gt;1,INDIRECT(ADDRESS(MATCH(Agenda2526!C102,'CAL3'!A:A,0)+1,2,4,1,"CAL3")),"")</f>
        <v/>
      </c>
      <c r="P101" s="21">
        <f ca="1">IF(CALC2223!AZ101&gt;1,INDIRECT(ADDRESS(MATCH(Agenda2526!C102,'CAL3'!A:A,0)+1,3,4,1,"CAL3")),0)</f>
        <v>0</v>
      </c>
      <c r="Q101" s="20" t="str">
        <f ca="1">IF(CALC2223!AZ101&gt;2,INDIRECT(ADDRESS(MATCH(Agenda2526!C102,'CAL3'!A:A,0)+2,2,4,1,"CAL3")),"")</f>
        <v/>
      </c>
      <c r="R101" s="21">
        <f ca="1">IF(CALC2223!AZ101&gt;2,INDIRECT(ADDRESS(MATCH(Agenda2526!C102,'CAL3'!A:A,0)+2,3,4,1,"CAL3")),0)</f>
        <v>0</v>
      </c>
      <c r="S101" s="20" t="str">
        <f ca="1">IF(CALC2223!BA101&gt;0,INDIRECT(ADDRESS(MATCH(Agenda2526!C102,'CAL4'!A:A,0),2,4,1,"CAL4")),"")</f>
        <v>Rep EC</v>
      </c>
      <c r="T101" s="21">
        <f ca="1">IF(CALC2223!BA101&gt;0,INDIRECT(ADDRESS(MATCH(Agenda2526!C102,'CAL4'!A:A,0),3,4,1,"CAL4")),0)</f>
        <v>45896</v>
      </c>
      <c r="U101" s="20" t="str">
        <f ca="1">IF(CALC2223!BA101&gt;1,INDIRECT(ADDRESS(MATCH(Agenda2526!C102,'CAL4'!A:A,0)+1,2,4,1,"CAL4")),"")</f>
        <v/>
      </c>
      <c r="V101" s="21">
        <f ca="1">IF(CALC2223!BA101&gt;1,INDIRECT(ADDRESS(MATCH(Agenda2526!C102,'CAL4'!A:A,0)+1,3,4,1,"CAL4")),0)</f>
        <v>0</v>
      </c>
      <c r="W101" s="20" t="str">
        <f ca="1">IF(CALC2223!BA101&gt;2,INDIRECT(ADDRESS(MATCH(Agenda2526!C102,'CAL4'!A:A,0)+2,2,4,1,"CAL4")),"")</f>
        <v/>
      </c>
      <c r="X101" s="21">
        <f ca="1">IF(CALC2223!BA101&gt;2,INDIRECT(ADDRESS(MATCH(Agenda2526!C102,'CAL4'!A:A,0)+2,3,4,1,"CAL4")),0)</f>
        <v>0</v>
      </c>
      <c r="Y101" s="20" t="str">
        <f ca="1">IF(CALC2223!BB101&gt;0,INDIRECT(ADDRESS(MATCH(Agenda2526!C102,'CAL5'!A:A,0),2,4,1,"CAL5")),"")</f>
        <v/>
      </c>
      <c r="Z101" s="21">
        <f ca="1">IF(CALC2223!BB101&gt;0,INDIRECT(ADDRESS(MATCH(Agenda2526!C102,'CAL5'!A:A,0),3,4,1,"CAL5")),0)</f>
        <v>0</v>
      </c>
      <c r="AA101" s="20" t="str">
        <f ca="1">IF(CALC2223!BB101&gt;1,INDIRECT(ADDRESS(MATCH(Agenda2526!C102,'CAL5'!A:A,0)+1,2,4,1,"CAL5")),"")</f>
        <v/>
      </c>
      <c r="AB101" s="21">
        <f ca="1">IF(CALC2223!BB101&gt;1,INDIRECT(ADDRESS(MATCH(Agenda2526!C102,'CAL5'!A:A,0)+1,3,4,1,"CAL5")),0)</f>
        <v>0</v>
      </c>
      <c r="AC101" s="20" t="str">
        <f ca="1">IF(CALC2223!BB101&gt;2,INDIRECT(ADDRESS(MATCH(Agenda2526!C102,'CAL5'!A:A,0)+2,2,4,1,"CAL5")),"")</f>
        <v/>
      </c>
      <c r="AD101" s="21">
        <f ca="1">IF(CALC2223!BB101&gt;2,INDIRECT(ADDRESS(MATCH(Agenda2526!C102,'CAL5'!A:A,0)+2,3,4,1,"CAL5")),0)</f>
        <v>0</v>
      </c>
      <c r="AE101" s="20" t="str">
        <f ca="1">IF(CALC2223!BC101&gt;0,INDIRECT(ADDRESS(MATCH(Agenda2526!C102,'CAL6'!A:A,0),2,4,1,"CAL6")),"")</f>
        <v/>
      </c>
      <c r="AF101" s="21">
        <f ca="1">IF(CALC2223!BC101&gt;0,INDIRECT(ADDRESS(MATCH(Agenda2526!C102,'CAL6'!A:A,0),3,4,1,"CAL6")),0)</f>
        <v>0</v>
      </c>
      <c r="AG101" s="20" t="str">
        <f ca="1">IF(CALC2223!BC101&gt;1,INDIRECT(ADDRESS(MATCH(Agenda2526!C102,'CAL6'!A:A,0)+1,2,4,1,"CAL6")),"")</f>
        <v/>
      </c>
      <c r="AH101" s="21">
        <f ca="1">IF(CALC2223!BC101&gt;1,INDIRECT(ADDRESS(MATCH(Agenda2526!C102,'CAL6'!A:A,0)+1,3,4,1,"CAL6")),0)</f>
        <v>0</v>
      </c>
      <c r="AI101" s="20" t="str">
        <f ca="1">IF(CALC2223!BC101&gt;2,INDIRECT(ADDRESS(MATCH(Agenda2526!C102,'CAL6'!A:A,0)+2,2,4,1,"CAL6")),"")</f>
        <v/>
      </c>
      <c r="AJ101" s="21">
        <f ca="1">IF(CALC2223!BC101&gt;2,INDIRECT(ADDRESS(MATCH(Agenda2526!C102,'CAL6'!A:A,0)+2,3,4,1,"CAL6")),0)</f>
        <v>0</v>
      </c>
      <c r="AK101" s="20" t="str">
        <f ca="1">IF(CALC2223!BD101&gt;0,INDIRECT(ADDRESS(MATCH(Agenda2526!C102,'CAL7'!A:A,0),2,4,1,"CAL7")),"")</f>
        <v/>
      </c>
      <c r="AL101" s="21">
        <f ca="1">IF(CALC2223!BD101&gt;0,INDIRECT(ADDRESS(MATCH(Agenda2526!C102,'CAL7'!A:A,0),3,4,1,"CAL7")),0)</f>
        <v>0</v>
      </c>
      <c r="AM101" s="20" t="str">
        <f ca="1">IF(CALC2223!BD101&gt;1,INDIRECT(ADDRESS(MATCH(Agenda2526!C102,'CAL7'!A:A,0)+1,2,4,1,"CAL7")),"")</f>
        <v/>
      </c>
      <c r="AN101" s="21">
        <f ca="1">IF(CALC2223!BD101&gt;1,INDIRECT(ADDRESS(MATCH(Agenda2526!C102,'CAL7'!A:A,0)+1,3,4,1,"CAL7")),0)</f>
        <v>0</v>
      </c>
      <c r="AO101" s="20" t="str">
        <f ca="1">IF(CALC2223!BD101&gt;2,INDIRECT(ADDRESS(MATCH(Agenda2526!C102,'CAL7'!A:A,0)+2,2,4,1,"CAL7")),"")</f>
        <v/>
      </c>
      <c r="AP101" s="21">
        <f ca="1">IF(CALC2223!BD101&gt;2,INDIRECT(ADDRESS(MATCH(Agenda2526!C102,'CAL7'!A:A,0)+2,3,4,1,"CAL7")),0)</f>
        <v>0</v>
      </c>
      <c r="AQ101" s="20" t="str">
        <f ca="1">IF(CALC2223!BE101&gt;0,INDIRECT(ADDRESS(MATCH(Agenda2526!C102,'CAL8'!A:A,0),2,4,1,"CAL8")),"")</f>
        <v/>
      </c>
      <c r="AR101" s="21">
        <f ca="1">IF(CALC2223!BE101&gt;0,INDIRECT(ADDRESS(MATCH(Agenda2526!C102,'CAL8'!A:A,0),3,4,1,"CAL8")),0)</f>
        <v>0</v>
      </c>
      <c r="AS101" s="20" t="str">
        <f ca="1">IF(CALC2223!BE101&gt;1,INDIRECT(ADDRESS(MATCH(Agenda2526!C102,'CAL8'!A:A,0)+1,2,4,1,"CAL8")),"")</f>
        <v/>
      </c>
      <c r="AT101" s="21">
        <f ca="1">IF(CALC2223!BE101&gt;1,INDIRECT(ADDRESS(MATCH(Agenda2526!C102,'CAL8'!A:A,0)+1,3,4,1,"CAL8")),0)</f>
        <v>0</v>
      </c>
      <c r="AU101" s="20" t="str">
        <f ca="1">IF(CALC2223!BE101&gt;2,INDIRECT(ADDRESS(MATCH(Agenda2526!C102,'CAL8'!A:A,0)+2,2,4,1,"CAL8")),"")</f>
        <v/>
      </c>
      <c r="AV101" s="21">
        <f ca="1">IF(CALC2223!BE101&gt;2,INDIRECT(ADDRESS(MATCH(Agenda2526!C102,'CAL8'!A:A,0)+2,3,4,1,"CAL8")),0)</f>
        <v>0</v>
      </c>
      <c r="AW101" s="105"/>
      <c r="AX101" s="20">
        <f>COUNTIF('CAL1'!A:A,Agenda2526!C102)</f>
        <v>0</v>
      </c>
      <c r="AY101" s="20">
        <f>COUNTIF('CAL2'!A:A,Agenda2526!C102)</f>
        <v>0</v>
      </c>
      <c r="AZ101" s="20">
        <f>COUNTIF('CAL3'!A:A,Agenda2526!C102)</f>
        <v>0</v>
      </c>
      <c r="BA101" s="20">
        <f>COUNTIF('CAL4'!A:A,Agenda2526!C102)</f>
        <v>1</v>
      </c>
      <c r="BB101" s="20">
        <f>COUNTIF('CAL5'!A:A,Agenda2526!C102)</f>
        <v>0</v>
      </c>
      <c r="BC101" s="20">
        <f>COUNTIF('CAL6'!A:A,Agenda2526!C102)</f>
        <v>0</v>
      </c>
      <c r="BD101" s="20">
        <f>COUNTIF('CAL7'!A:A,Agenda2526!C102)</f>
        <v>0</v>
      </c>
      <c r="BE101" s="20">
        <f>COUNTIF('CAL8'!A:A,Agenda2526!C102)</f>
        <v>0</v>
      </c>
    </row>
    <row r="102" spans="1:57" ht="15.75" customHeight="1">
      <c r="A102" s="20" t="str">
        <f ca="1">IF(CALC2223!AX102&gt;0,INDIRECT(ADDRESS(MATCH(Agenda2526!C103,'CAL1'!A:A,0),2,4,1,"CAL1")),"")</f>
        <v>Rep BIO</v>
      </c>
      <c r="B102" s="21">
        <f ca="1">IF(CALC2223!AX102&gt;0,INDIRECT(ADDRESS(MATCH(Agenda2526!C103,'CAL1'!A:A,0),3,4,1,"CAL1")),0)</f>
        <v>45901</v>
      </c>
      <c r="C102" s="20" t="str">
        <f ca="1">IF(CALC2223!AX102&gt;1,INDIRECT(ADDRESS(MATCH(Agenda2526!C103,'CAL1'!A:A,0)+1,2,4,1,"CAL1")),"")</f>
        <v/>
      </c>
      <c r="D102" s="21">
        <f ca="1">IF(CALC2223!AX102&gt;1,INDIRECT(ADDRESS(MATCH(Agenda2526!C103,'CAL1'!A:A,0)+1,3,4,1,"CAL1")),0)</f>
        <v>0</v>
      </c>
      <c r="E102" s="20" t="str">
        <f ca="1">IF(CALC2223!AX102&gt;2,INDIRECT(ADDRESS(MATCH(Agenda2526!C103,'CAL1'!A:A,0)+2,2,4,1,"CAL1")),"")</f>
        <v/>
      </c>
      <c r="F102" s="21">
        <f ca="1">IF(CALC2223!AX102&gt;2,INDIRECT(ADDRESS(MATCH(Agenda2526!C103,'CAL1'!A:A,0)+2,3,4,1,"CAL1")),0)</f>
        <v>0</v>
      </c>
      <c r="G102" s="20" t="str">
        <f ca="1">IF(CALC2223!AY102&gt;0,INDIRECT(ADDRESS(MATCH(Agenda2526!C103,'CAL2'!A:A,0),2,4,1,"CAL2")),"")</f>
        <v/>
      </c>
      <c r="H102" s="21">
        <f ca="1">IF(CALC2223!AY102&gt;0,INDIRECT(ADDRESS(MATCH(Agenda2526!C103,'CAL2'!A:A,0),3,4,1,"CAL2")),0)</f>
        <v>0</v>
      </c>
      <c r="I102" s="20" t="str">
        <f ca="1">IF(CALC2223!AY102&gt;1,INDIRECT(ADDRESS(MATCH(Agenda2526!C103,'CAL2'!A:A,0)+1,2,4,1,"CAL2")),"")</f>
        <v/>
      </c>
      <c r="J102" s="21">
        <f ca="1">IF(CALC2223!AY102&gt;1,INDIRECT(ADDRESS(MATCH(Agenda2526!C103,'CAL2'!A:A,0)+1,3,4,1,"CAL2")),0)</f>
        <v>0</v>
      </c>
      <c r="K102" s="20" t="str">
        <f ca="1">IF(CALC2223!AY102&gt;2,INDIRECT(ADDRESS(MATCH(Agenda2526!C103,'CAL2'!A:A,0)+2,2,4,1,"CAL2")),"")</f>
        <v/>
      </c>
      <c r="L102" s="21">
        <f ca="1">IF(CALC2223!AY102&gt;2,INDIRECT(ADDRESS(MATCH(Agenda2526!C103,'CAL2'!A:A,0)+2,3,4,1,"CAL2")),0)</f>
        <v>0</v>
      </c>
      <c r="M102" s="20" t="str">
        <f ca="1">IF(CALC2223!AZ102&gt;0,INDIRECT(ADDRESS(MATCH(Agenda2526!C103,'CAL3'!A:A,0),2,4,1,"CAL3")),"")</f>
        <v/>
      </c>
      <c r="N102" s="21">
        <f ca="1">IF(CALC2223!AZ102&gt;0,INDIRECT(ADDRESS(MATCH(Agenda2526!C103,'CAL3'!A:A,0),3,4,1,"CAL3")),0)</f>
        <v>0</v>
      </c>
      <c r="O102" s="20" t="str">
        <f ca="1">IF(CALC2223!AZ102&gt;1,INDIRECT(ADDRESS(MATCH(Agenda2526!C103,'CAL3'!A:A,0)+1,2,4,1,"CAL3")),"")</f>
        <v/>
      </c>
      <c r="P102" s="21">
        <f ca="1">IF(CALC2223!AZ102&gt;1,INDIRECT(ADDRESS(MATCH(Agenda2526!C103,'CAL3'!A:A,0)+1,3,4,1,"CAL3")),0)</f>
        <v>0</v>
      </c>
      <c r="Q102" s="20" t="str">
        <f ca="1">IF(CALC2223!AZ102&gt;2,INDIRECT(ADDRESS(MATCH(Agenda2526!C103,'CAL3'!A:A,0)+2,2,4,1,"CAL3")),"")</f>
        <v/>
      </c>
      <c r="R102" s="21">
        <f ca="1">IF(CALC2223!AZ102&gt;2,INDIRECT(ADDRESS(MATCH(Agenda2526!C103,'CAL3'!A:A,0)+2,3,4,1,"CAL3")),0)</f>
        <v>0</v>
      </c>
      <c r="S102" s="20" t="str">
        <f ca="1">IF(CALC2223!BA102&gt;0,INDIRECT(ADDRESS(MATCH(Agenda2526!C103,'CAL4'!A:A,0),2,4,1,"CAL4")),"")</f>
        <v/>
      </c>
      <c r="T102" s="21">
        <f ca="1">IF(CALC2223!BA102&gt;0,INDIRECT(ADDRESS(MATCH(Agenda2526!C103,'CAL4'!A:A,0),3,4,1,"CAL4")),0)</f>
        <v>0</v>
      </c>
      <c r="U102" s="20" t="str">
        <f ca="1">IF(CALC2223!BA102&gt;1,INDIRECT(ADDRESS(MATCH(Agenda2526!C103,'CAL4'!A:A,0)+1,2,4,1,"CAL4")),"")</f>
        <v/>
      </c>
      <c r="V102" s="21">
        <f ca="1">IF(CALC2223!BA102&gt;1,INDIRECT(ADDRESS(MATCH(Agenda2526!C103,'CAL4'!A:A,0)+1,3,4,1,"CAL4")),0)</f>
        <v>0</v>
      </c>
      <c r="W102" s="20" t="str">
        <f ca="1">IF(CALC2223!BA102&gt;2,INDIRECT(ADDRESS(MATCH(Agenda2526!C103,'CAL4'!A:A,0)+2,2,4,1,"CAL4")),"")</f>
        <v/>
      </c>
      <c r="X102" s="21">
        <f ca="1">IF(CALC2223!BA102&gt;2,INDIRECT(ADDRESS(MATCH(Agenda2526!C103,'CAL4'!A:A,0)+2,3,4,1,"CAL4")),0)</f>
        <v>0</v>
      </c>
      <c r="Y102" s="20" t="str">
        <f ca="1">IF(CALC2223!BB102&gt;0,INDIRECT(ADDRESS(MATCH(Agenda2526!C103,'CAL5'!A:A,0),2,4,1,"CAL5")),"")</f>
        <v>SE WISD</v>
      </c>
      <c r="Z102" s="21">
        <f ca="1">IF(CALC2223!BB102&gt;0,INDIRECT(ADDRESS(MATCH(Agenda2526!C103,'CAL5'!A:A,0),3,4,1,"CAL5")),0)</f>
        <v>45987</v>
      </c>
      <c r="AA102" s="20" t="str">
        <f ca="1">IF(CALC2223!BB102&gt;1,INDIRECT(ADDRESS(MATCH(Agenda2526!C103,'CAL5'!A:A,0)+1,2,4,1,"CAL5")),"")</f>
        <v>kerstmarkt</v>
      </c>
      <c r="AB102" s="21">
        <f ca="1">IF(CALC2223!BB102&gt;1,INDIRECT(ADDRESS(MATCH(Agenda2526!C103,'CAL5'!A:A,0)+1,3,4,1,"CAL5")),0)</f>
        <v>45986</v>
      </c>
      <c r="AC102" s="20" t="str">
        <f ca="1">IF(CALC2223!BB102&gt;2,INDIRECT(ADDRESS(MATCH(Agenda2526!C103,'CAL5'!A:A,0)+2,2,4,1,"CAL5")),"")</f>
        <v/>
      </c>
      <c r="AD102" s="21">
        <f ca="1">IF(CALC2223!BB102&gt;2,INDIRECT(ADDRESS(MATCH(Agenda2526!C103,'CAL5'!A:A,0)+2,3,4,1,"CAL5")),0)</f>
        <v>0</v>
      </c>
      <c r="AE102" s="20" t="str">
        <f ca="1">IF(CALC2223!BC102&gt;0,INDIRECT(ADDRESS(MATCH(Agenda2526!C103,'CAL6'!A:A,0),2,4,1,"CAL6")),"")</f>
        <v>tsweek: G6 Entl en EC</v>
      </c>
      <c r="AF102" s="21">
        <f ca="1">IF(CALC2223!BC102&gt;0,INDIRECT(ADDRESS(MATCH(Agenda2526!C103,'CAL6'!A:A,0),3,4,1,"CAL6")),0)</f>
        <v>46001</v>
      </c>
      <c r="AG102" s="20" t="str">
        <f ca="1">IF(CALC2223!BC102&gt;1,INDIRECT(ADDRESS(MATCH(Agenda2526!C103,'CAL6'!A:A,0)+1,2,4,1,"CAL6")),"")</f>
        <v/>
      </c>
      <c r="AH102" s="21">
        <f ca="1">IF(CALC2223!BC102&gt;1,INDIRECT(ADDRESS(MATCH(Agenda2526!C103,'CAL6'!A:A,0)+1,3,4,1,"CAL6")),0)</f>
        <v>0</v>
      </c>
      <c r="AI102" s="20" t="str">
        <f ca="1">IF(CALC2223!BC102&gt;2,INDIRECT(ADDRESS(MATCH(Agenda2526!C103,'CAL6'!A:A,0)+2,2,4,1,"CAL6")),"")</f>
        <v/>
      </c>
      <c r="AJ102" s="21">
        <f ca="1">IF(CALC2223!BC102&gt;2,INDIRECT(ADDRESS(MATCH(Agenda2526!C103,'CAL6'!A:A,0)+2,3,4,1,"CAL6")),0)</f>
        <v>0</v>
      </c>
      <c r="AK102" s="20" t="str">
        <f ca="1">IF(CALC2223!BD102&gt;0,INDIRECT(ADDRESS(MATCH(Agenda2526!C103,'CAL7'!A:A,0),2,4,1,"CAL7")),"")</f>
        <v/>
      </c>
      <c r="AL102" s="21">
        <f ca="1">IF(CALC2223!BD102&gt;0,INDIRECT(ADDRESS(MATCH(Agenda2526!C103,'CAL7'!A:A,0),3,4,1,"CAL7")),0)</f>
        <v>0</v>
      </c>
      <c r="AM102" s="20" t="str">
        <f ca="1">IF(CALC2223!BD102&gt;1,INDIRECT(ADDRESS(MATCH(Agenda2526!C103,'CAL7'!A:A,0)+1,2,4,1,"CAL7")),"")</f>
        <v/>
      </c>
      <c r="AN102" s="21">
        <f ca="1">IF(CALC2223!BD102&gt;1,INDIRECT(ADDRESS(MATCH(Agenda2526!C103,'CAL7'!A:A,0)+1,3,4,1,"CAL7")),0)</f>
        <v>0</v>
      </c>
      <c r="AO102" s="20" t="str">
        <f ca="1">IF(CALC2223!BD102&gt;2,INDIRECT(ADDRESS(MATCH(Agenda2526!C103,'CAL7'!A:A,0)+2,2,4,1,"CAL7")),"")</f>
        <v/>
      </c>
      <c r="AP102" s="21">
        <f ca="1">IF(CALC2223!BD102&gt;2,INDIRECT(ADDRESS(MATCH(Agenda2526!C103,'CAL7'!A:A,0)+2,3,4,1,"CAL7")),0)</f>
        <v>0</v>
      </c>
      <c r="AQ102" s="20" t="str">
        <f ca="1">IF(CALC2223!BE102&gt;0,INDIRECT(ADDRESS(MATCH(Agenda2526!C103,'CAL8'!A:A,0),2,4,1,"CAL8")),"")</f>
        <v/>
      </c>
      <c r="AR102" s="21">
        <f ca="1">IF(CALC2223!BE102&gt;0,INDIRECT(ADDRESS(MATCH(Agenda2526!C103,'CAL8'!A:A,0),3,4,1,"CAL8")),0)</f>
        <v>0</v>
      </c>
      <c r="AS102" s="20" t="str">
        <f ca="1">IF(CALC2223!BE102&gt;1,INDIRECT(ADDRESS(MATCH(Agenda2526!C103,'CAL8'!A:A,0)+1,2,4,1,"CAL8")),"")</f>
        <v/>
      </c>
      <c r="AT102" s="21">
        <f ca="1">IF(CALC2223!BE102&gt;1,INDIRECT(ADDRESS(MATCH(Agenda2526!C103,'CAL8'!A:A,0)+1,3,4,1,"CAL8")),0)</f>
        <v>0</v>
      </c>
      <c r="AU102" s="20" t="str">
        <f ca="1">IF(CALC2223!BE102&gt;2,INDIRECT(ADDRESS(MATCH(Agenda2526!C103,'CAL8'!A:A,0)+2,2,4,1,"CAL8")),"")</f>
        <v/>
      </c>
      <c r="AV102" s="21">
        <f ca="1">IF(CALC2223!BE102&gt;2,INDIRECT(ADDRESS(MATCH(Agenda2526!C103,'CAL8'!A:A,0)+2,3,4,1,"CAL8")),0)</f>
        <v>0</v>
      </c>
      <c r="AW102" s="105"/>
      <c r="AX102" s="20">
        <f>COUNTIF('CAL1'!A:A,Agenda2526!C103)</f>
        <v>1</v>
      </c>
      <c r="AY102" s="20">
        <f>COUNTIF('CAL2'!A:A,Agenda2526!C103)</f>
        <v>0</v>
      </c>
      <c r="AZ102" s="20">
        <f>COUNTIF('CAL3'!A:A,Agenda2526!C103)</f>
        <v>0</v>
      </c>
      <c r="BA102" s="20">
        <f>COUNTIF('CAL4'!A:A,Agenda2526!C103)</f>
        <v>0</v>
      </c>
      <c r="BB102" s="20">
        <f>COUNTIF('CAL5'!A:A,Agenda2526!C103)</f>
        <v>2</v>
      </c>
      <c r="BC102" s="20">
        <f>COUNTIF('CAL6'!A:A,Agenda2526!C103)</f>
        <v>1</v>
      </c>
      <c r="BD102" s="20">
        <f>COUNTIF('CAL7'!A:A,Agenda2526!C103)</f>
        <v>0</v>
      </c>
      <c r="BE102" s="20">
        <f>COUNTIF('CAL8'!A:A,Agenda2526!C103)</f>
        <v>0</v>
      </c>
    </row>
    <row r="103" spans="1:57" ht="15.75" customHeight="1">
      <c r="A103" s="20" t="str">
        <f ca="1">IF(CALC2223!AX103&gt;0,INDIRECT(ADDRESS(MATCH(Agenda2526!C104,'CAL1'!A:A,0),2,4,1,"CAL1")),"")</f>
        <v/>
      </c>
      <c r="B103" s="21">
        <f ca="1">IF(CALC2223!AX103&gt;0,INDIRECT(ADDRESS(MATCH(Agenda2526!C104,'CAL1'!A:A,0),3,4,1,"CAL1")),0)</f>
        <v>0</v>
      </c>
      <c r="C103" s="20" t="str">
        <f ca="1">IF(CALC2223!AX103&gt;1,INDIRECT(ADDRESS(MATCH(Agenda2526!C104,'CAL1'!A:A,0)+1,2,4,1,"CAL1")),"")</f>
        <v/>
      </c>
      <c r="D103" s="21">
        <f ca="1">IF(CALC2223!AX103&gt;1,INDIRECT(ADDRESS(MATCH(Agenda2526!C104,'CAL1'!A:A,0)+1,3,4,1,"CAL1")),0)</f>
        <v>0</v>
      </c>
      <c r="E103" s="20" t="str">
        <f ca="1">IF(CALC2223!AX103&gt;2,INDIRECT(ADDRESS(MATCH(Agenda2526!C104,'CAL1'!A:A,0)+2,2,4,1,"CAL1")),"")</f>
        <v/>
      </c>
      <c r="F103" s="21">
        <f ca="1">IF(CALC2223!AX103&gt;2,INDIRECT(ADDRESS(MATCH(Agenda2526!C104,'CAL1'!A:A,0)+2,3,4,1,"CAL1")),0)</f>
        <v>0</v>
      </c>
      <c r="G103" s="20" t="str">
        <f ca="1">IF(CALC2223!AY103&gt;0,INDIRECT(ADDRESS(MATCH(Agenda2526!C104,'CAL2'!A:A,0),2,4,1,"CAL2")),"")</f>
        <v/>
      </c>
      <c r="H103" s="21">
        <f ca="1">IF(CALC2223!AY103&gt;0,INDIRECT(ADDRESS(MATCH(Agenda2526!C104,'CAL2'!A:A,0),3,4,1,"CAL2")),0)</f>
        <v>0</v>
      </c>
      <c r="I103" s="20" t="str">
        <f ca="1">IF(CALC2223!AY103&gt;1,INDIRECT(ADDRESS(MATCH(Agenda2526!C104,'CAL2'!A:A,0)+1,2,4,1,"CAL2")),"")</f>
        <v/>
      </c>
      <c r="J103" s="21">
        <f ca="1">IF(CALC2223!AY103&gt;1,INDIRECT(ADDRESS(MATCH(Agenda2526!C104,'CAL2'!A:A,0)+1,3,4,1,"CAL2")),0)</f>
        <v>0</v>
      </c>
      <c r="K103" s="20" t="str">
        <f ca="1">IF(CALC2223!AY103&gt;2,INDIRECT(ADDRESS(MATCH(Agenda2526!C104,'CAL2'!A:A,0)+2,2,4,1,"CAL2")),"")</f>
        <v/>
      </c>
      <c r="L103" s="21">
        <f ca="1">IF(CALC2223!AY103&gt;2,INDIRECT(ADDRESS(MATCH(Agenda2526!C104,'CAL2'!A:A,0)+2,3,4,1,"CAL2")),0)</f>
        <v>0</v>
      </c>
      <c r="M103" s="20" t="str">
        <f ca="1">IF(CALC2223!AZ103&gt;0,INDIRECT(ADDRESS(MATCH(Agenda2526!C104,'CAL3'!A:A,0),2,4,1,"CAL3")),"")</f>
        <v>Rep WIS</v>
      </c>
      <c r="N103" s="21">
        <f ca="1">IF(CALC2223!AZ103&gt;0,INDIRECT(ADDRESS(MATCH(Agenda2526!C104,'CAL3'!A:A,0),3,4,1,"CAL3")),0)</f>
        <v>45903</v>
      </c>
      <c r="O103" s="20" t="str">
        <f ca="1">IF(CALC2223!AZ103&gt;1,INDIRECT(ADDRESS(MATCH(Agenda2526!C104,'CAL3'!A:A,0)+1,2,4,1,"CAL3")),"")</f>
        <v/>
      </c>
      <c r="P103" s="21">
        <f ca="1">IF(CALC2223!AZ103&gt;1,INDIRECT(ADDRESS(MATCH(Agenda2526!C104,'CAL3'!A:A,0)+1,3,4,1,"CAL3")),0)</f>
        <v>0</v>
      </c>
      <c r="Q103" s="20" t="str">
        <f ca="1">IF(CALC2223!AZ103&gt;2,INDIRECT(ADDRESS(MATCH(Agenda2526!C104,'CAL3'!A:A,0)+2,2,4,1,"CAL3")),"")</f>
        <v/>
      </c>
      <c r="R103" s="21">
        <f ca="1">IF(CALC2223!AZ103&gt;2,INDIRECT(ADDRESS(MATCH(Agenda2526!C104,'CAL3'!A:A,0)+2,3,4,1,"CAL3")),0)</f>
        <v>0</v>
      </c>
      <c r="S103" s="20" t="str">
        <f ca="1">IF(CALC2223!BA103&gt;0,INDIRECT(ADDRESS(MATCH(Agenda2526!C104,'CAL4'!A:A,0),2,4,1,"CAL4")),"")</f>
        <v>HPGcafé</v>
      </c>
      <c r="T103" s="21">
        <f ca="1">IF(CALC2223!BA103&gt;0,INDIRECT(ADDRESS(MATCH(Agenda2526!C104,'CAL4'!A:A,0),3,4,1,"CAL4")),0)</f>
        <v>45896</v>
      </c>
      <c r="U103" s="20" t="str">
        <f ca="1">IF(CALC2223!BA103&gt;1,INDIRECT(ADDRESS(MATCH(Agenda2526!C104,'CAL4'!A:A,0)+1,2,4,1,"CAL4")),"")</f>
        <v>inh rep WI</v>
      </c>
      <c r="V103" s="21">
        <f ca="1">IF(CALC2223!BA103&gt;1,INDIRECT(ADDRESS(MATCH(Agenda2526!C104,'CAL4'!A:A,0)+1,3,4,1,"CAL4")),0)</f>
        <v>45923</v>
      </c>
      <c r="W103" s="20" t="str">
        <f ca="1">IF(CALC2223!BA103&gt;2,INDIRECT(ADDRESS(MATCH(Agenda2526!C104,'CAL4'!A:A,0)+2,2,4,1,"CAL4")),"")</f>
        <v/>
      </c>
      <c r="X103" s="21">
        <f ca="1">IF(CALC2223!BA103&gt;2,INDIRECT(ADDRESS(MATCH(Agenda2526!C104,'CAL4'!A:A,0)+2,3,4,1,"CAL4")),0)</f>
        <v>0</v>
      </c>
      <c r="Y103" s="20" t="str">
        <f ca="1">IF(CALC2223!BB103&gt;0,INDIRECT(ADDRESS(MATCH(Agenda2526!C104,'CAL5'!A:A,0),2,4,1,"CAL5")),"")</f>
        <v>HPGcafé</v>
      </c>
      <c r="Z103" s="21">
        <f ca="1">IF(CALC2223!BB103&gt;0,INDIRECT(ADDRESS(MATCH(Agenda2526!C104,'CAL5'!A:A,0),3,4,1,"CAL5")),0)</f>
        <v>45896</v>
      </c>
      <c r="AA103" s="20" t="str">
        <f ca="1">IF(CALC2223!BB103&gt;1,INDIRECT(ADDRESS(MATCH(Agenda2526!C104,'CAL5'!A:A,0)+1,2,4,1,"CAL5")),"")</f>
        <v>inh SE MAAT</v>
      </c>
      <c r="AB103" s="21">
        <f ca="1">IF(CALC2223!BB103&gt;1,INDIRECT(ADDRESS(MATCH(Agenda2526!C104,'CAL5'!A:A,0)+1,3,4,1,"CAL5")),0)</f>
        <v>45923</v>
      </c>
      <c r="AC103" s="20" t="str">
        <f ca="1">IF(CALC2223!BB103&gt;2,INDIRECT(ADDRESS(MATCH(Agenda2526!C104,'CAL5'!A:A,0)+2,2,4,1,"CAL5")),"")</f>
        <v/>
      </c>
      <c r="AD103" s="21">
        <f ca="1">IF(CALC2223!BB103&gt;2,INDIRECT(ADDRESS(MATCH(Agenda2526!C104,'CAL5'!A:A,0)+2,3,4,1,"CAL5")),0)</f>
        <v>0</v>
      </c>
      <c r="AE103" s="20" t="str">
        <f ca="1">IF(CALC2223!BC103&gt;0,INDIRECT(ADDRESS(MATCH(Agenda2526!C104,'CAL6'!A:A,0),2,4,1,"CAL6")),"")</f>
        <v>tsweek: G6 BI / HPGcafé</v>
      </c>
      <c r="AF103" s="21">
        <f ca="1">IF(CALC2223!BC103&gt;0,INDIRECT(ADDRESS(MATCH(Agenda2526!C104,'CAL6'!A:A,0),3,4,1,"CAL6")),0)</f>
        <v>46001</v>
      </c>
      <c r="AG103" s="20" t="str">
        <f ca="1">IF(CALC2223!BC103&gt;1,INDIRECT(ADDRESS(MATCH(Agenda2526!C104,'CAL6'!A:A,0)+1,2,4,1,"CAL6")),"")</f>
        <v/>
      </c>
      <c r="AH103" s="21">
        <f ca="1">IF(CALC2223!BC103&gt;1,INDIRECT(ADDRESS(MATCH(Agenda2526!C104,'CAL6'!A:A,0)+1,3,4,1,"CAL6")),0)</f>
        <v>0</v>
      </c>
      <c r="AI103" s="20" t="str">
        <f ca="1">IF(CALC2223!BC103&gt;2,INDIRECT(ADDRESS(MATCH(Agenda2526!C104,'CAL6'!A:A,0)+2,2,4,1,"CAL6")),"")</f>
        <v/>
      </c>
      <c r="AJ103" s="21">
        <f ca="1">IF(CALC2223!BC103&gt;2,INDIRECT(ADDRESS(MATCH(Agenda2526!C104,'CAL6'!A:A,0)+2,3,4,1,"CAL6")),0)</f>
        <v>0</v>
      </c>
      <c r="AK103" s="20" t="str">
        <f ca="1">IF(CALC2223!BD103&gt;0,INDIRECT(ADDRESS(MATCH(Agenda2526!C104,'CAL7'!A:A,0),2,4,1,"CAL7")),"")</f>
        <v>secties#4</v>
      </c>
      <c r="AL103" s="21">
        <f ca="1">IF(CALC2223!BD103&gt;0,INDIRECT(ADDRESS(MATCH(Agenda2526!C104,'CAL7'!A:A,0),3,4,1,"CAL7")),0)</f>
        <v>45896</v>
      </c>
      <c r="AM103" s="20" t="str">
        <f ca="1">IF(CALC2223!BD103&gt;1,INDIRECT(ADDRESS(MATCH(Agenda2526!C104,'CAL7'!A:A,0)+1,2,4,1,"CAL7")),"")</f>
        <v/>
      </c>
      <c r="AN103" s="21">
        <f ca="1">IF(CALC2223!BD103&gt;1,INDIRECT(ADDRESS(MATCH(Agenda2526!C104,'CAL7'!A:A,0)+1,3,4,1,"CAL7")),0)</f>
        <v>0</v>
      </c>
      <c r="AO103" s="20" t="str">
        <f ca="1">IF(CALC2223!BD103&gt;2,INDIRECT(ADDRESS(MATCH(Agenda2526!C104,'CAL7'!A:A,0)+2,2,4,1,"CAL7")),"")</f>
        <v/>
      </c>
      <c r="AP103" s="21">
        <f ca="1">IF(CALC2223!BD103&gt;2,INDIRECT(ADDRESS(MATCH(Agenda2526!C104,'CAL7'!A:A,0)+2,3,4,1,"CAL7")),0)</f>
        <v>0</v>
      </c>
      <c r="AQ103" s="20" t="str">
        <f ca="1">IF(CALC2223!BE103&gt;0,INDIRECT(ADDRESS(MATCH(Agenda2526!C104,'CAL8'!A:A,0),2,4,1,"CAL8")),"")</f>
        <v/>
      </c>
      <c r="AR103" s="21">
        <f ca="1">IF(CALC2223!BE103&gt;0,INDIRECT(ADDRESS(MATCH(Agenda2526!C104,'CAL8'!A:A,0),3,4,1,"CAL8")),0)</f>
        <v>0</v>
      </c>
      <c r="AS103" s="20" t="str">
        <f ca="1">IF(CALC2223!BE103&gt;1,INDIRECT(ADDRESS(MATCH(Agenda2526!C104,'CAL8'!A:A,0)+1,2,4,1,"CAL8")),"")</f>
        <v/>
      </c>
      <c r="AT103" s="21">
        <f ca="1">IF(CALC2223!BE103&gt;1,INDIRECT(ADDRESS(MATCH(Agenda2526!C104,'CAL8'!A:A,0)+1,3,4,1,"CAL8")),0)</f>
        <v>0</v>
      </c>
      <c r="AU103" s="20" t="str">
        <f ca="1">IF(CALC2223!BE103&gt;2,INDIRECT(ADDRESS(MATCH(Agenda2526!C104,'CAL8'!A:A,0)+2,2,4,1,"CAL8")),"")</f>
        <v/>
      </c>
      <c r="AV103" s="21">
        <f ca="1">IF(CALC2223!BE103&gt;2,INDIRECT(ADDRESS(MATCH(Agenda2526!C104,'CAL8'!A:A,0)+2,3,4,1,"CAL8")),0)</f>
        <v>0</v>
      </c>
      <c r="AW103" s="108"/>
      <c r="AX103" s="20">
        <f>COUNTIF('CAL1'!A:A,Agenda2526!C104)</f>
        <v>0</v>
      </c>
      <c r="AY103" s="20">
        <f>COUNTIF('CAL2'!A:A,Agenda2526!C104)</f>
        <v>0</v>
      </c>
      <c r="AZ103" s="20">
        <f>COUNTIF('CAL3'!A:A,Agenda2526!C104)</f>
        <v>1</v>
      </c>
      <c r="BA103" s="20">
        <f>COUNTIF('CAL4'!A:A,Agenda2526!C104)</f>
        <v>2</v>
      </c>
      <c r="BB103" s="20">
        <f>COUNTIF('CAL5'!A:A,Agenda2526!C104)</f>
        <v>2</v>
      </c>
      <c r="BC103" s="20">
        <f>COUNTIF('CAL6'!A:A,Agenda2526!C104)</f>
        <v>1</v>
      </c>
      <c r="BD103" s="20">
        <f>COUNTIF('CAL7'!A:A,Agenda2526!C104)</f>
        <v>1</v>
      </c>
      <c r="BE103" s="20">
        <f>COUNTIF('CAL8'!A:A,Agenda2526!C104)</f>
        <v>0</v>
      </c>
    </row>
    <row r="104" spans="1:57" ht="15.75" customHeight="1">
      <c r="A104" s="20" t="str">
        <f ca="1">IF(CALC2223!AX104&gt;0,INDIRECT(ADDRESS(MATCH(Agenda2526!C105,'CAL1'!A:A,0),2,4,1,"CAL1")),"")</f>
        <v/>
      </c>
      <c r="B104" s="21">
        <f ca="1">IF(CALC2223!AX104&gt;0,INDIRECT(ADDRESS(MATCH(Agenda2526!C105,'CAL1'!A:A,0),3,4,1,"CAL1")),0)</f>
        <v>0</v>
      </c>
      <c r="C104" s="20" t="str">
        <f ca="1">IF(CALC2223!AX104&gt;1,INDIRECT(ADDRESS(MATCH(Agenda2526!C105,'CAL1'!A:A,0)+1,2,4,1,"CAL1")),"")</f>
        <v/>
      </c>
      <c r="D104" s="21">
        <f ca="1">IF(CALC2223!AX104&gt;1,INDIRECT(ADDRESS(MATCH(Agenda2526!C105,'CAL1'!A:A,0)+1,3,4,1,"CAL1")),0)</f>
        <v>0</v>
      </c>
      <c r="E104" s="20" t="str">
        <f ca="1">IF(CALC2223!AX104&gt;2,INDIRECT(ADDRESS(MATCH(Agenda2526!C105,'CAL1'!A:A,0)+2,2,4,1,"CAL1")),"")</f>
        <v/>
      </c>
      <c r="F104" s="21">
        <f ca="1">IF(CALC2223!AX104&gt;2,INDIRECT(ADDRESS(MATCH(Agenda2526!C105,'CAL1'!A:A,0)+2,3,4,1,"CAL1")),0)</f>
        <v>0</v>
      </c>
      <c r="G104" s="20" t="str">
        <f ca="1">IF(CALC2223!AY104&gt;0,INDIRECT(ADDRESS(MATCH(Agenda2526!C105,'CAL2'!A:A,0),2,4,1,"CAL2")),"")</f>
        <v>Rep BIO</v>
      </c>
      <c r="H104" s="21">
        <f ca="1">IF(CALC2223!AY104&gt;0,INDIRECT(ADDRESS(MATCH(Agenda2526!C105,'CAL2'!A:A,0),3,4,1,"CAL2")),0)</f>
        <v>45903</v>
      </c>
      <c r="I104" s="20" t="str">
        <f ca="1">IF(CALC2223!AY104&gt;1,INDIRECT(ADDRESS(MATCH(Agenda2526!C105,'CAL2'!A:A,0)+1,2,4,1,"CAL2")),"")</f>
        <v/>
      </c>
      <c r="J104" s="21">
        <f ca="1">IF(CALC2223!AY104&gt;1,INDIRECT(ADDRESS(MATCH(Agenda2526!C105,'CAL2'!A:A,0)+1,3,4,1,"CAL2")),0)</f>
        <v>0</v>
      </c>
      <c r="K104" s="20" t="str">
        <f ca="1">IF(CALC2223!AY104&gt;2,INDIRECT(ADDRESS(MATCH(Agenda2526!C105,'CAL2'!A:A,0)+2,2,4,1,"CAL2")),"")</f>
        <v/>
      </c>
      <c r="L104" s="21">
        <f ca="1">IF(CALC2223!AY104&gt;2,INDIRECT(ADDRESS(MATCH(Agenda2526!C105,'CAL2'!A:A,0)+2,3,4,1,"CAL2")),0)</f>
        <v>0</v>
      </c>
      <c r="M104" s="20" t="str">
        <f ca="1">IF(CALC2223!AZ104&gt;0,INDIRECT(ADDRESS(MATCH(Agenda2526!C105,'CAL3'!A:A,0),2,4,1,"CAL3")),"")</f>
        <v/>
      </c>
      <c r="N104" s="21">
        <f ca="1">IF(CALC2223!AZ104&gt;0,INDIRECT(ADDRESS(MATCH(Agenda2526!C105,'CAL3'!A:A,0),3,4,1,"CAL3")),0)</f>
        <v>0</v>
      </c>
      <c r="O104" s="20" t="str">
        <f ca="1">IF(CALC2223!AZ104&gt;1,INDIRECT(ADDRESS(MATCH(Agenda2526!C105,'CAL3'!A:A,0)+1,2,4,1,"CAL3")),"")</f>
        <v/>
      </c>
      <c r="P104" s="21">
        <f ca="1">IF(CALC2223!AZ104&gt;1,INDIRECT(ADDRESS(MATCH(Agenda2526!C105,'CAL3'!A:A,0)+1,3,4,1,"CAL3")),0)</f>
        <v>0</v>
      </c>
      <c r="Q104" s="20" t="str">
        <f ca="1">IF(CALC2223!AZ104&gt;2,INDIRECT(ADDRESS(MATCH(Agenda2526!C105,'CAL3'!A:A,0)+2,2,4,1,"CAL3")),"")</f>
        <v/>
      </c>
      <c r="R104" s="21">
        <f ca="1">IF(CALC2223!AZ104&gt;2,INDIRECT(ADDRESS(MATCH(Agenda2526!C105,'CAL3'!A:A,0)+2,3,4,1,"CAL3")),0)</f>
        <v>0</v>
      </c>
      <c r="S104" s="20" t="str">
        <f ca="1">IF(CALC2223!BA104&gt;0,INDIRECT(ADDRESS(MATCH(Agenda2526!C105,'CAL4'!A:A,0),2,4,1,"CAL4")),"")</f>
        <v>Rep BE</v>
      </c>
      <c r="T104" s="21">
        <f ca="1">IF(CALC2223!BA104&gt;0,INDIRECT(ADDRESS(MATCH(Agenda2526!C105,'CAL4'!A:A,0),3,4,1,"CAL4")),0)</f>
        <v>45896</v>
      </c>
      <c r="U104" s="20" t="str">
        <f ca="1">IF(CALC2223!BA104&gt;1,INDIRECT(ADDRESS(MATCH(Agenda2526!C105,'CAL4'!A:A,0)+1,2,4,1,"CAL4")),"")</f>
        <v/>
      </c>
      <c r="V104" s="21">
        <f ca="1">IF(CALC2223!BA104&gt;1,INDIRECT(ADDRESS(MATCH(Agenda2526!C105,'CAL4'!A:A,0)+1,3,4,1,"CAL4")),0)</f>
        <v>0</v>
      </c>
      <c r="W104" s="20" t="str">
        <f ca="1">IF(CALC2223!BA104&gt;2,INDIRECT(ADDRESS(MATCH(Agenda2526!C105,'CAL4'!A:A,0)+2,2,4,1,"CAL4")),"")</f>
        <v/>
      </c>
      <c r="X104" s="21">
        <f ca="1">IF(CALC2223!BA104&gt;2,INDIRECT(ADDRESS(MATCH(Agenda2526!C105,'CAL4'!A:A,0)+2,3,4,1,"CAL4")),0)</f>
        <v>0</v>
      </c>
      <c r="Y104" s="20" t="str">
        <f ca="1">IF(CALC2223!BB104&gt;0,INDIRECT(ADDRESS(MATCH(Agenda2526!C105,'CAL5'!A:A,0),2,4,1,"CAL5")),"")</f>
        <v/>
      </c>
      <c r="Z104" s="21">
        <f ca="1">IF(CALC2223!BB104&gt;0,INDIRECT(ADDRESS(MATCH(Agenda2526!C105,'CAL5'!A:A,0),3,4,1,"CAL5")),0)</f>
        <v>0</v>
      </c>
      <c r="AA104" s="20" t="str">
        <f ca="1">IF(CALC2223!BB104&gt;1,INDIRECT(ADDRESS(MATCH(Agenda2526!C105,'CAL5'!A:A,0)+1,2,4,1,"CAL5")),"")</f>
        <v/>
      </c>
      <c r="AB104" s="21">
        <f ca="1">IF(CALC2223!BB104&gt;1,INDIRECT(ADDRESS(MATCH(Agenda2526!C105,'CAL5'!A:A,0)+1,3,4,1,"CAL5")),0)</f>
        <v>0</v>
      </c>
      <c r="AC104" s="20" t="str">
        <f ca="1">IF(CALC2223!BB104&gt;2,INDIRECT(ADDRESS(MATCH(Agenda2526!C105,'CAL5'!A:A,0)+2,2,4,1,"CAL5")),"")</f>
        <v/>
      </c>
      <c r="AD104" s="21">
        <f ca="1">IF(CALC2223!BB104&gt;2,INDIRECT(ADDRESS(MATCH(Agenda2526!C105,'CAL5'!A:A,0)+2,3,4,1,"CAL5")),0)</f>
        <v>0</v>
      </c>
      <c r="AE104" s="20" t="str">
        <f ca="1">IF(CALC2223!BC104&gt;0,INDIRECT(ADDRESS(MATCH(Agenda2526!C105,'CAL6'!A:A,0),2,4,1,"CAL6")),"")</f>
        <v>tsweek: G6 FI, BE en SK</v>
      </c>
      <c r="AF104" s="21">
        <f ca="1">IF(CALC2223!BC104&gt;0,INDIRECT(ADDRESS(MATCH(Agenda2526!C105,'CAL6'!A:A,0),3,4,1,"CAL6")),0)</f>
        <v>46001</v>
      </c>
      <c r="AG104" s="20" t="str">
        <f ca="1">IF(CALC2223!BC104&gt;1,INDIRECT(ADDRESS(MATCH(Agenda2526!C105,'CAL6'!A:A,0)+1,2,4,1,"CAL6")),"")</f>
        <v/>
      </c>
      <c r="AH104" s="21">
        <f ca="1">IF(CALC2223!BC104&gt;1,INDIRECT(ADDRESS(MATCH(Agenda2526!C105,'CAL6'!A:A,0)+1,3,4,1,"CAL6")),0)</f>
        <v>0</v>
      </c>
      <c r="AI104" s="20" t="str">
        <f ca="1">IF(CALC2223!BC104&gt;2,INDIRECT(ADDRESS(MATCH(Agenda2526!C105,'CAL6'!A:A,0)+2,2,4,1,"CAL6")),"")</f>
        <v/>
      </c>
      <c r="AJ104" s="21">
        <f ca="1">IF(CALC2223!BC104&gt;2,INDIRECT(ADDRESS(MATCH(Agenda2526!C105,'CAL6'!A:A,0)+2,3,4,1,"CAL6")),0)</f>
        <v>0</v>
      </c>
      <c r="AK104" s="20" t="str">
        <f ca="1">IF(CALC2223!BD104&gt;0,INDIRECT(ADDRESS(MATCH(Agenda2526!C105,'CAL7'!A:A,0),2,4,1,"CAL7")),"")</f>
        <v/>
      </c>
      <c r="AL104" s="21">
        <f ca="1">IF(CALC2223!BD104&gt;0,INDIRECT(ADDRESS(MATCH(Agenda2526!C105,'CAL7'!A:A,0),3,4,1,"CAL7")),0)</f>
        <v>0</v>
      </c>
      <c r="AM104" s="20" t="str">
        <f ca="1">IF(CALC2223!BD104&gt;1,INDIRECT(ADDRESS(MATCH(Agenda2526!C105,'CAL7'!A:A,0)+1,2,4,1,"CAL7")),"")</f>
        <v/>
      </c>
      <c r="AN104" s="21">
        <f ca="1">IF(CALC2223!BD104&gt;1,INDIRECT(ADDRESS(MATCH(Agenda2526!C105,'CAL7'!A:A,0)+1,3,4,1,"CAL7")),0)</f>
        <v>0</v>
      </c>
      <c r="AO104" s="20" t="str">
        <f ca="1">IF(CALC2223!BD104&gt;2,INDIRECT(ADDRESS(MATCH(Agenda2526!C105,'CAL7'!A:A,0)+2,2,4,1,"CAL7")),"")</f>
        <v/>
      </c>
      <c r="AP104" s="21">
        <f ca="1">IF(CALC2223!BD104&gt;2,INDIRECT(ADDRESS(MATCH(Agenda2526!C105,'CAL7'!A:A,0)+2,3,4,1,"CAL7")),0)</f>
        <v>0</v>
      </c>
      <c r="AQ104" s="20" t="str">
        <f ca="1">IF(CALC2223!BE104&gt;0,INDIRECT(ADDRESS(MATCH(Agenda2526!C105,'CAL8'!A:A,0),2,4,1,"CAL8")),"")</f>
        <v>Paarse Vrijdag</v>
      </c>
      <c r="AR104" s="21">
        <f ca="1">IF(CALC2223!BE104&gt;0,INDIRECT(ADDRESS(MATCH(Agenda2526!C105,'CAL8'!A:A,0),3,4,1,"CAL8")),0)</f>
        <v>45896</v>
      </c>
      <c r="AS104" s="20" t="str">
        <f ca="1">IF(CALC2223!BE104&gt;1,INDIRECT(ADDRESS(MATCH(Agenda2526!C105,'CAL8'!A:A,0)+1,2,4,1,"CAL8")),"")</f>
        <v/>
      </c>
      <c r="AT104" s="21">
        <f ca="1">IF(CALC2223!BE104&gt;1,INDIRECT(ADDRESS(MATCH(Agenda2526!C105,'CAL8'!A:A,0)+1,3,4,1,"CAL8")),0)</f>
        <v>0</v>
      </c>
      <c r="AU104" s="20" t="str">
        <f ca="1">IF(CALC2223!BE104&gt;2,INDIRECT(ADDRESS(MATCH(Agenda2526!C105,'CAL8'!A:A,0)+2,2,4,1,"CAL8")),"")</f>
        <v/>
      </c>
      <c r="AV104" s="21">
        <f ca="1">IF(CALC2223!BE104&gt;2,INDIRECT(ADDRESS(MATCH(Agenda2526!C105,'CAL8'!A:A,0)+2,3,4,1,"CAL8")),0)</f>
        <v>0</v>
      </c>
      <c r="AW104" s="109"/>
      <c r="AX104" s="20">
        <f>COUNTIF('CAL1'!A:A,Agenda2526!C105)</f>
        <v>0</v>
      </c>
      <c r="AY104" s="20">
        <f>COUNTIF('CAL2'!A:A,Agenda2526!C105)</f>
        <v>1</v>
      </c>
      <c r="AZ104" s="20">
        <f>COUNTIF('CAL3'!A:A,Agenda2526!C105)</f>
        <v>0</v>
      </c>
      <c r="BA104" s="20">
        <f>COUNTIF('CAL4'!A:A,Agenda2526!C105)</f>
        <v>1</v>
      </c>
      <c r="BB104" s="20">
        <f>COUNTIF('CAL5'!A:A,Agenda2526!C105)</f>
        <v>0</v>
      </c>
      <c r="BC104" s="20">
        <f>COUNTIF('CAL6'!A:A,Agenda2526!C105)</f>
        <v>1</v>
      </c>
      <c r="BD104" s="20">
        <f>COUNTIF('CAL7'!A:A,Agenda2526!C105)</f>
        <v>0</v>
      </c>
      <c r="BE104" s="20">
        <f>COUNTIF('CAL8'!A:A,Agenda2526!C105)</f>
        <v>1</v>
      </c>
    </row>
    <row r="105" spans="1:57" ht="15.75" customHeight="1">
      <c r="A105" s="20" t="str">
        <f ca="1">IF(CALC2223!AX105&gt;0,INDIRECT(ADDRESS(MATCH(Agenda2526!C106,'CAL1'!A:A,0),2,4,1,"CAL1")),"")</f>
        <v/>
      </c>
      <c r="B105" s="21">
        <f ca="1">IF(CALC2223!AX105&gt;0,INDIRECT(ADDRESS(MATCH(Agenda2526!C106,'CAL1'!A:A,0),3,4,1,"CAL1")),0)</f>
        <v>0</v>
      </c>
      <c r="C105" s="20" t="str">
        <f ca="1">IF(CALC2223!AX105&gt;1,INDIRECT(ADDRESS(MATCH(Agenda2526!C106,'CAL1'!A:A,0)+1,2,4,1,"CAL1")),"")</f>
        <v/>
      </c>
      <c r="D105" s="21">
        <f ca="1">IF(CALC2223!AX105&gt;1,INDIRECT(ADDRESS(MATCH(Agenda2526!C106,'CAL1'!A:A,0)+1,3,4,1,"CAL1")),0)</f>
        <v>0</v>
      </c>
      <c r="E105" s="20" t="str">
        <f ca="1">IF(CALC2223!AX105&gt;2,INDIRECT(ADDRESS(MATCH(Agenda2526!C106,'CAL1'!A:A,0)+2,2,4,1,"CAL1")),"")</f>
        <v/>
      </c>
      <c r="F105" s="21">
        <f ca="1">IF(CALC2223!AX105&gt;2,INDIRECT(ADDRESS(MATCH(Agenda2526!C106,'CAL1'!A:A,0)+2,3,4,1,"CAL1")),0)</f>
        <v>0</v>
      </c>
      <c r="G105" s="20" t="str">
        <f ca="1">IF(CALC2223!AY105&gt;0,INDIRECT(ADDRESS(MATCH(Agenda2526!C106,'CAL2'!A:A,0),2,4,1,"CAL2")),"")</f>
        <v/>
      </c>
      <c r="H105" s="21">
        <f ca="1">IF(CALC2223!AY105&gt;0,INDIRECT(ADDRESS(MATCH(Agenda2526!C106,'CAL2'!A:A,0),3,4,1,"CAL2")),0)</f>
        <v>0</v>
      </c>
      <c r="I105" s="20" t="str">
        <f ca="1">IF(CALC2223!AY105&gt;1,INDIRECT(ADDRESS(MATCH(Agenda2526!C106,'CAL2'!A:A,0)+1,2,4,1,"CAL2")),"")</f>
        <v/>
      </c>
      <c r="J105" s="21">
        <f ca="1">IF(CALC2223!AY105&gt;1,INDIRECT(ADDRESS(MATCH(Agenda2526!C106,'CAL2'!A:A,0)+1,3,4,1,"CAL2")),0)</f>
        <v>0</v>
      </c>
      <c r="K105" s="20" t="str">
        <f ca="1">IF(CALC2223!AY105&gt;2,INDIRECT(ADDRESS(MATCH(Agenda2526!C106,'CAL2'!A:A,0)+2,2,4,1,"CAL2")),"")</f>
        <v/>
      </c>
      <c r="L105" s="21">
        <f ca="1">IF(CALC2223!AY105&gt;2,INDIRECT(ADDRESS(MATCH(Agenda2526!C106,'CAL2'!A:A,0)+2,3,4,1,"CAL2")),0)</f>
        <v>0</v>
      </c>
      <c r="M105" s="20" t="str">
        <f ca="1">IF(CALC2223!AZ105&gt;0,INDIRECT(ADDRESS(MATCH(Agenda2526!C106,'CAL3'!A:A,0),2,4,1,"CAL3")),"")</f>
        <v/>
      </c>
      <c r="N105" s="21">
        <f ca="1">IF(CALC2223!AZ105&gt;0,INDIRECT(ADDRESS(MATCH(Agenda2526!C106,'CAL3'!A:A,0),3,4,1,"CAL3")),0)</f>
        <v>0</v>
      </c>
      <c r="O105" s="20" t="str">
        <f ca="1">IF(CALC2223!AZ105&gt;1,INDIRECT(ADDRESS(MATCH(Agenda2526!C106,'CAL3'!A:A,0)+1,2,4,1,"CAL3")),"")</f>
        <v/>
      </c>
      <c r="P105" s="21">
        <f ca="1">IF(CALC2223!AZ105&gt;1,INDIRECT(ADDRESS(MATCH(Agenda2526!C106,'CAL3'!A:A,0)+1,3,4,1,"CAL3")),0)</f>
        <v>0</v>
      </c>
      <c r="Q105" s="20" t="str">
        <f ca="1">IF(CALC2223!AZ105&gt;2,INDIRECT(ADDRESS(MATCH(Agenda2526!C106,'CAL3'!A:A,0)+2,2,4,1,"CAL3")),"")</f>
        <v/>
      </c>
      <c r="R105" s="21">
        <f ca="1">IF(CALC2223!AZ105&gt;2,INDIRECT(ADDRESS(MATCH(Agenda2526!C106,'CAL3'!A:A,0)+2,3,4,1,"CAL3")),0)</f>
        <v>0</v>
      </c>
      <c r="S105" s="20" t="str">
        <f ca="1">IF(CALC2223!BA105&gt;0,INDIRECT(ADDRESS(MATCH(Agenda2526!C106,'CAL4'!A:A,0),2,4,1,"CAL4")),"")</f>
        <v/>
      </c>
      <c r="T105" s="21">
        <f ca="1">IF(CALC2223!BA105&gt;0,INDIRECT(ADDRESS(MATCH(Agenda2526!C106,'CAL4'!A:A,0),3,4,1,"CAL4")),0)</f>
        <v>0</v>
      </c>
      <c r="U105" s="20" t="str">
        <f ca="1">IF(CALC2223!BA105&gt;1,INDIRECT(ADDRESS(MATCH(Agenda2526!C106,'CAL4'!A:A,0)+1,2,4,1,"CAL4")),"")</f>
        <v/>
      </c>
      <c r="V105" s="21">
        <f ca="1">IF(CALC2223!BA105&gt;1,INDIRECT(ADDRESS(MATCH(Agenda2526!C106,'CAL4'!A:A,0)+1,3,4,1,"CAL4")),0)</f>
        <v>0</v>
      </c>
      <c r="W105" s="20" t="str">
        <f ca="1">IF(CALC2223!BA105&gt;2,INDIRECT(ADDRESS(MATCH(Agenda2526!C106,'CAL4'!A:A,0)+2,2,4,1,"CAL4")),"")</f>
        <v/>
      </c>
      <c r="X105" s="21">
        <f ca="1">IF(CALC2223!BA105&gt;2,INDIRECT(ADDRESS(MATCH(Agenda2526!C106,'CAL4'!A:A,0)+2,3,4,1,"CAL4")),0)</f>
        <v>0</v>
      </c>
      <c r="Y105" s="20" t="str">
        <f ca="1">IF(CALC2223!BB105&gt;0,INDIRECT(ADDRESS(MATCH(Agenda2526!C106,'CAL5'!A:A,0),2,4,1,"CAL5")),"")</f>
        <v/>
      </c>
      <c r="Z105" s="21">
        <f ca="1">IF(CALC2223!BB105&gt;0,INDIRECT(ADDRESS(MATCH(Agenda2526!C106,'CAL5'!A:A,0),3,4,1,"CAL5")),0)</f>
        <v>0</v>
      </c>
      <c r="AA105" s="20" t="str">
        <f ca="1">IF(CALC2223!BB105&gt;1,INDIRECT(ADDRESS(MATCH(Agenda2526!C106,'CAL5'!A:A,0)+1,2,4,1,"CAL5")),"")</f>
        <v/>
      </c>
      <c r="AB105" s="21">
        <f ca="1">IF(CALC2223!BB105&gt;1,INDIRECT(ADDRESS(MATCH(Agenda2526!C106,'CAL5'!A:A,0)+1,3,4,1,"CAL5")),0)</f>
        <v>0</v>
      </c>
      <c r="AC105" s="20" t="str">
        <f ca="1">IF(CALC2223!BB105&gt;2,INDIRECT(ADDRESS(MATCH(Agenda2526!C106,'CAL5'!A:A,0)+2,2,4,1,"CAL5")),"")</f>
        <v/>
      </c>
      <c r="AD105" s="21">
        <f ca="1">IF(CALC2223!BB105&gt;2,INDIRECT(ADDRESS(MATCH(Agenda2526!C106,'CAL5'!A:A,0)+2,3,4,1,"CAL5")),0)</f>
        <v>0</v>
      </c>
      <c r="AE105" s="20" t="str">
        <f ca="1">IF(CALC2223!BC105&gt;0,INDIRECT(ADDRESS(MATCH(Agenda2526!C106,'CAL6'!A:A,0),2,4,1,"CAL6")),"")</f>
        <v/>
      </c>
      <c r="AF105" s="21">
        <f ca="1">IF(CALC2223!BC105&gt;0,INDIRECT(ADDRESS(MATCH(Agenda2526!C106,'CAL6'!A:A,0),3,4,1,"CAL6")),0)</f>
        <v>0</v>
      </c>
      <c r="AG105" s="20" t="str">
        <f ca="1">IF(CALC2223!BC105&gt;1,INDIRECT(ADDRESS(MATCH(Agenda2526!C106,'CAL6'!A:A,0)+1,2,4,1,"CAL6")),"")</f>
        <v/>
      </c>
      <c r="AH105" s="21">
        <f ca="1">IF(CALC2223!BC105&gt;1,INDIRECT(ADDRESS(MATCH(Agenda2526!C106,'CAL6'!A:A,0)+1,3,4,1,"CAL6")),0)</f>
        <v>0</v>
      </c>
      <c r="AI105" s="20" t="str">
        <f ca="1">IF(CALC2223!BC105&gt;2,INDIRECT(ADDRESS(MATCH(Agenda2526!C106,'CAL6'!A:A,0)+2,2,4,1,"CAL6")),"")</f>
        <v/>
      </c>
      <c r="AJ105" s="21">
        <f ca="1">IF(CALC2223!BC105&gt;2,INDIRECT(ADDRESS(MATCH(Agenda2526!C106,'CAL6'!A:A,0)+2,3,4,1,"CAL6")),0)</f>
        <v>0</v>
      </c>
      <c r="AK105" s="20" t="str">
        <f ca="1">IF(CALC2223!BD105&gt;0,INDIRECT(ADDRESS(MATCH(Agenda2526!C106,'CAL7'!A:A,0),2,4,1,"CAL7")),"")</f>
        <v/>
      </c>
      <c r="AL105" s="21">
        <f ca="1">IF(CALC2223!BD105&gt;0,INDIRECT(ADDRESS(MATCH(Agenda2526!C106,'CAL7'!A:A,0),3,4,1,"CAL7")),0)</f>
        <v>0</v>
      </c>
      <c r="AM105" s="20" t="str">
        <f ca="1">IF(CALC2223!BD105&gt;1,INDIRECT(ADDRESS(MATCH(Agenda2526!C106,'CAL7'!A:A,0)+1,2,4,1,"CAL7")),"")</f>
        <v/>
      </c>
      <c r="AN105" s="21">
        <f ca="1">IF(CALC2223!BD105&gt;1,INDIRECT(ADDRESS(MATCH(Agenda2526!C106,'CAL7'!A:A,0)+1,3,4,1,"CAL7")),0)</f>
        <v>0</v>
      </c>
      <c r="AO105" s="20" t="str">
        <f ca="1">IF(CALC2223!BD105&gt;2,INDIRECT(ADDRESS(MATCH(Agenda2526!C106,'CAL7'!A:A,0)+2,2,4,1,"CAL7")),"")</f>
        <v/>
      </c>
      <c r="AP105" s="21">
        <f ca="1">IF(CALC2223!BD105&gt;2,INDIRECT(ADDRESS(MATCH(Agenda2526!C106,'CAL7'!A:A,0)+2,3,4,1,"CAL7")),0)</f>
        <v>0</v>
      </c>
      <c r="AQ105" s="20" t="str">
        <f ca="1">IF(CALC2223!BE105&gt;0,INDIRECT(ADDRESS(MATCH(Agenda2526!C106,'CAL8'!A:A,0),2,4,1,"CAL8")),"")</f>
        <v/>
      </c>
      <c r="AR105" s="21">
        <f ca="1">IF(CALC2223!BE105&gt;0,INDIRECT(ADDRESS(MATCH(Agenda2526!C106,'CAL8'!A:A,0),3,4,1,"CAL8")),0)</f>
        <v>0</v>
      </c>
      <c r="AS105" s="20" t="str">
        <f ca="1">IF(CALC2223!BE105&gt;1,INDIRECT(ADDRESS(MATCH(Agenda2526!C106,'CAL8'!A:A,0)+1,2,4,1,"CAL8")),"")</f>
        <v/>
      </c>
      <c r="AT105" s="21">
        <f ca="1">IF(CALC2223!BE105&gt;1,INDIRECT(ADDRESS(MATCH(Agenda2526!C106,'CAL8'!A:A,0)+1,3,4,1,"CAL8")),0)</f>
        <v>0</v>
      </c>
      <c r="AU105" s="20" t="str">
        <f ca="1">IF(CALC2223!BE105&gt;2,INDIRECT(ADDRESS(MATCH(Agenda2526!C106,'CAL8'!A:A,0)+2,2,4,1,"CAL8")),"")</f>
        <v/>
      </c>
      <c r="AV105" s="21">
        <f ca="1">IF(CALC2223!BE105&gt;2,INDIRECT(ADDRESS(MATCH(Agenda2526!C106,'CAL8'!A:A,0)+2,3,4,1,"CAL8")),0)</f>
        <v>0</v>
      </c>
      <c r="AW105" s="106"/>
      <c r="AX105" s="20">
        <f>COUNTIF('CAL1'!A:A,Agenda2526!C106)</f>
        <v>0</v>
      </c>
      <c r="AY105" s="20">
        <f>COUNTIF('CAL2'!A:A,Agenda2526!C106)</f>
        <v>0</v>
      </c>
      <c r="AZ105" s="20">
        <f>COUNTIF('CAL3'!A:A,Agenda2526!C106)</f>
        <v>0</v>
      </c>
      <c r="BA105" s="20">
        <f>COUNTIF('CAL4'!A:A,Agenda2526!C106)</f>
        <v>0</v>
      </c>
      <c r="BB105" s="20">
        <f>COUNTIF('CAL5'!A:A,Agenda2526!C106)</f>
        <v>0</v>
      </c>
      <c r="BC105" s="20">
        <f>COUNTIF('CAL6'!A:A,Agenda2526!C106)</f>
        <v>0</v>
      </c>
      <c r="BD105" s="20">
        <f>COUNTIF('CAL7'!A:A,Agenda2526!C106)</f>
        <v>0</v>
      </c>
      <c r="BE105" s="20">
        <f>COUNTIF('CAL8'!A:A,Agenda2526!C106)</f>
        <v>0</v>
      </c>
    </row>
    <row r="106" spans="1:57" ht="15.75" customHeight="1">
      <c r="A106" s="20" t="str">
        <f ca="1">IF(CALC2223!AX106&gt;0,INDIRECT(ADDRESS(MATCH(Agenda2526!C107,'CAL1'!A:A,0),2,4,1,"CAL1")),"")</f>
        <v/>
      </c>
      <c r="B106" s="21">
        <f ca="1">IF(CALC2223!AX106&gt;0,INDIRECT(ADDRESS(MATCH(Agenda2526!C107,'CAL1'!A:A,0),3,4,1,"CAL1")),0)</f>
        <v>0</v>
      </c>
      <c r="C106" s="20" t="str">
        <f ca="1">IF(CALC2223!AX106&gt;1,INDIRECT(ADDRESS(MATCH(Agenda2526!C107,'CAL1'!A:A,0)+1,2,4,1,"CAL1")),"")</f>
        <v/>
      </c>
      <c r="D106" s="21">
        <f ca="1">IF(CALC2223!AX106&gt;1,INDIRECT(ADDRESS(MATCH(Agenda2526!C107,'CAL1'!A:A,0)+1,3,4,1,"CAL1")),0)</f>
        <v>0</v>
      </c>
      <c r="E106" s="20" t="str">
        <f ca="1">IF(CALC2223!AX106&gt;2,INDIRECT(ADDRESS(MATCH(Agenda2526!C107,'CAL1'!A:A,0)+2,2,4,1,"CAL1")),"")</f>
        <v/>
      </c>
      <c r="F106" s="21">
        <f ca="1">IF(CALC2223!AX106&gt;2,INDIRECT(ADDRESS(MATCH(Agenda2526!C107,'CAL1'!A:A,0)+2,3,4,1,"CAL1")),0)</f>
        <v>0</v>
      </c>
      <c r="G106" s="20" t="str">
        <f ca="1">IF(CALC2223!AY106&gt;0,INDIRECT(ADDRESS(MATCH(Agenda2526!C107,'CAL2'!A:A,0),2,4,1,"CAL2")),"")</f>
        <v/>
      </c>
      <c r="H106" s="21">
        <f ca="1">IF(CALC2223!AY106&gt;0,INDIRECT(ADDRESS(MATCH(Agenda2526!C107,'CAL2'!A:A,0),3,4,1,"CAL2")),0)</f>
        <v>0</v>
      </c>
      <c r="I106" s="20" t="str">
        <f ca="1">IF(CALC2223!AY106&gt;1,INDIRECT(ADDRESS(MATCH(Agenda2526!C107,'CAL2'!A:A,0)+1,2,4,1,"CAL2")),"")</f>
        <v/>
      </c>
      <c r="J106" s="21">
        <f ca="1">IF(CALC2223!AY106&gt;1,INDIRECT(ADDRESS(MATCH(Agenda2526!C107,'CAL2'!A:A,0)+1,3,4,1,"CAL2")),0)</f>
        <v>0</v>
      </c>
      <c r="K106" s="20" t="str">
        <f ca="1">IF(CALC2223!AY106&gt;2,INDIRECT(ADDRESS(MATCH(Agenda2526!C107,'CAL2'!A:A,0)+2,2,4,1,"CAL2")),"")</f>
        <v/>
      </c>
      <c r="L106" s="21">
        <f ca="1">IF(CALC2223!AY106&gt;2,INDIRECT(ADDRESS(MATCH(Agenda2526!C107,'CAL2'!A:A,0)+2,3,4,1,"CAL2")),0)</f>
        <v>0</v>
      </c>
      <c r="M106" s="20" t="str">
        <f ca="1">IF(CALC2223!AZ106&gt;0,INDIRECT(ADDRESS(MATCH(Agenda2526!C107,'CAL3'!A:A,0),2,4,1,"CAL3")),"")</f>
        <v/>
      </c>
      <c r="N106" s="21">
        <f ca="1">IF(CALC2223!AZ106&gt;0,INDIRECT(ADDRESS(MATCH(Agenda2526!C107,'CAL3'!A:A,0),3,4,1,"CAL3")),0)</f>
        <v>0</v>
      </c>
      <c r="O106" s="20" t="str">
        <f ca="1">IF(CALC2223!AZ106&gt;1,INDIRECT(ADDRESS(MATCH(Agenda2526!C107,'CAL3'!A:A,0)+1,2,4,1,"CAL3")),"")</f>
        <v/>
      </c>
      <c r="P106" s="21">
        <f ca="1">IF(CALC2223!AZ106&gt;1,INDIRECT(ADDRESS(MATCH(Agenda2526!C107,'CAL3'!A:A,0)+1,3,4,1,"CAL3")),0)</f>
        <v>0</v>
      </c>
      <c r="Q106" s="20" t="str">
        <f ca="1">IF(CALC2223!AZ106&gt;2,INDIRECT(ADDRESS(MATCH(Agenda2526!C107,'CAL3'!A:A,0)+2,2,4,1,"CAL3")),"")</f>
        <v/>
      </c>
      <c r="R106" s="21">
        <f ca="1">IF(CALC2223!AZ106&gt;2,INDIRECT(ADDRESS(MATCH(Agenda2526!C107,'CAL3'!A:A,0)+2,3,4,1,"CAL3")),0)</f>
        <v>0</v>
      </c>
      <c r="S106" s="20" t="str">
        <f ca="1">IF(CALC2223!BA106&gt;0,INDIRECT(ADDRESS(MATCH(Agenda2526!C107,'CAL4'!A:A,0),2,4,1,"CAL4")),"")</f>
        <v/>
      </c>
      <c r="T106" s="21">
        <f ca="1">IF(CALC2223!BA106&gt;0,INDIRECT(ADDRESS(MATCH(Agenda2526!C107,'CAL4'!A:A,0),3,4,1,"CAL4")),0)</f>
        <v>0</v>
      </c>
      <c r="U106" s="20" t="str">
        <f ca="1">IF(CALC2223!BA106&gt;1,INDIRECT(ADDRESS(MATCH(Agenda2526!C107,'CAL4'!A:A,0)+1,2,4,1,"CAL4")),"")</f>
        <v/>
      </c>
      <c r="V106" s="21">
        <f ca="1">IF(CALC2223!BA106&gt;1,INDIRECT(ADDRESS(MATCH(Agenda2526!C107,'CAL4'!A:A,0)+1,3,4,1,"CAL4")),0)</f>
        <v>0</v>
      </c>
      <c r="W106" s="20" t="str">
        <f ca="1">IF(CALC2223!BA106&gt;2,INDIRECT(ADDRESS(MATCH(Agenda2526!C107,'CAL4'!A:A,0)+2,2,4,1,"CAL4")),"")</f>
        <v/>
      </c>
      <c r="X106" s="21">
        <f ca="1">IF(CALC2223!BA106&gt;2,INDIRECT(ADDRESS(MATCH(Agenda2526!C107,'CAL4'!A:A,0)+2,3,4,1,"CAL4")),0)</f>
        <v>0</v>
      </c>
      <c r="Y106" s="20" t="str">
        <f ca="1">IF(CALC2223!BB106&gt;0,INDIRECT(ADDRESS(MATCH(Agenda2526!C107,'CAL5'!A:A,0),2,4,1,"CAL5")),"")</f>
        <v/>
      </c>
      <c r="Z106" s="21">
        <f ca="1">IF(CALC2223!BB106&gt;0,INDIRECT(ADDRESS(MATCH(Agenda2526!C107,'CAL5'!A:A,0),3,4,1,"CAL5")),0)</f>
        <v>0</v>
      </c>
      <c r="AA106" s="20" t="str">
        <f ca="1">IF(CALC2223!BB106&gt;1,INDIRECT(ADDRESS(MATCH(Agenda2526!C107,'CAL5'!A:A,0)+1,2,4,1,"CAL5")),"")</f>
        <v/>
      </c>
      <c r="AB106" s="21">
        <f ca="1">IF(CALC2223!BB106&gt;1,INDIRECT(ADDRESS(MATCH(Agenda2526!C107,'CAL5'!A:A,0)+1,3,4,1,"CAL5")),0)</f>
        <v>0</v>
      </c>
      <c r="AC106" s="20" t="str">
        <f ca="1">IF(CALC2223!BB106&gt;2,INDIRECT(ADDRESS(MATCH(Agenda2526!C107,'CAL5'!A:A,0)+2,2,4,1,"CAL5")),"")</f>
        <v/>
      </c>
      <c r="AD106" s="21">
        <f ca="1">IF(CALC2223!BB106&gt;2,INDIRECT(ADDRESS(MATCH(Agenda2526!C107,'CAL5'!A:A,0)+2,3,4,1,"CAL5")),0)</f>
        <v>0</v>
      </c>
      <c r="AE106" s="20" t="str">
        <f ca="1">IF(CALC2223!BC106&gt;0,INDIRECT(ADDRESS(MATCH(Agenda2526!C107,'CAL6'!A:A,0),2,4,1,"CAL6")),"")</f>
        <v/>
      </c>
      <c r="AF106" s="21">
        <f ca="1">IF(CALC2223!BC106&gt;0,INDIRECT(ADDRESS(MATCH(Agenda2526!C107,'CAL6'!A:A,0),3,4,1,"CAL6")),0)</f>
        <v>0</v>
      </c>
      <c r="AG106" s="20" t="str">
        <f ca="1">IF(CALC2223!BC106&gt;1,INDIRECT(ADDRESS(MATCH(Agenda2526!C107,'CAL6'!A:A,0)+1,2,4,1,"CAL6")),"")</f>
        <v/>
      </c>
      <c r="AH106" s="21">
        <f ca="1">IF(CALC2223!BC106&gt;1,INDIRECT(ADDRESS(MATCH(Agenda2526!C107,'CAL6'!A:A,0)+1,3,4,1,"CAL6")),0)</f>
        <v>0</v>
      </c>
      <c r="AI106" s="20" t="str">
        <f ca="1">IF(CALC2223!BC106&gt;2,INDIRECT(ADDRESS(MATCH(Agenda2526!C107,'CAL6'!A:A,0)+2,2,4,1,"CAL6")),"")</f>
        <v/>
      </c>
      <c r="AJ106" s="21">
        <f ca="1">IF(CALC2223!BC106&gt;2,INDIRECT(ADDRESS(MATCH(Agenda2526!C107,'CAL6'!A:A,0)+2,3,4,1,"CAL6")),0)</f>
        <v>0</v>
      </c>
      <c r="AK106" s="20" t="str">
        <f ca="1">IF(CALC2223!BD106&gt;0,INDIRECT(ADDRESS(MATCH(Agenda2526!C107,'CAL7'!A:A,0),2,4,1,"CAL7")),"")</f>
        <v/>
      </c>
      <c r="AL106" s="21">
        <f ca="1">IF(CALC2223!BD106&gt;0,INDIRECT(ADDRESS(MATCH(Agenda2526!C107,'CAL7'!A:A,0),3,4,1,"CAL7")),0)</f>
        <v>0</v>
      </c>
      <c r="AM106" s="20" t="str">
        <f ca="1">IF(CALC2223!BD106&gt;1,INDIRECT(ADDRESS(MATCH(Agenda2526!C107,'CAL7'!A:A,0)+1,2,4,1,"CAL7")),"")</f>
        <v/>
      </c>
      <c r="AN106" s="21">
        <f ca="1">IF(CALC2223!BD106&gt;1,INDIRECT(ADDRESS(MATCH(Agenda2526!C107,'CAL7'!A:A,0)+1,3,4,1,"CAL7")),0)</f>
        <v>0</v>
      </c>
      <c r="AO106" s="20" t="str">
        <f ca="1">IF(CALC2223!BD106&gt;2,INDIRECT(ADDRESS(MATCH(Agenda2526!C107,'CAL7'!A:A,0)+2,2,4,1,"CAL7")),"")</f>
        <v/>
      </c>
      <c r="AP106" s="21">
        <f ca="1">IF(CALC2223!BD106&gt;2,INDIRECT(ADDRESS(MATCH(Agenda2526!C107,'CAL7'!A:A,0)+2,3,4,1,"CAL7")),0)</f>
        <v>0</v>
      </c>
      <c r="AQ106" s="20" t="str">
        <f ca="1">IF(CALC2223!BE106&gt;0,INDIRECT(ADDRESS(MATCH(Agenda2526!C107,'CAL8'!A:A,0),2,4,1,"CAL8")),"")</f>
        <v/>
      </c>
      <c r="AR106" s="21">
        <f ca="1">IF(CALC2223!BE106&gt;0,INDIRECT(ADDRESS(MATCH(Agenda2526!C107,'CAL8'!A:A,0),3,4,1,"CAL8")),0)</f>
        <v>0</v>
      </c>
      <c r="AS106" s="20" t="str">
        <f ca="1">IF(CALC2223!BE106&gt;1,INDIRECT(ADDRESS(MATCH(Agenda2526!C107,'CAL8'!A:A,0)+1,2,4,1,"CAL8")),"")</f>
        <v/>
      </c>
      <c r="AT106" s="21">
        <f ca="1">IF(CALC2223!BE106&gt;1,INDIRECT(ADDRESS(MATCH(Agenda2526!C107,'CAL8'!A:A,0)+1,3,4,1,"CAL8")),0)</f>
        <v>0</v>
      </c>
      <c r="AU106" s="20" t="str">
        <f ca="1">IF(CALC2223!BE106&gt;2,INDIRECT(ADDRESS(MATCH(Agenda2526!C107,'CAL8'!A:A,0)+2,2,4,1,"CAL8")),"")</f>
        <v/>
      </c>
      <c r="AV106" s="21">
        <f ca="1">IF(CALC2223!BE106&gt;2,INDIRECT(ADDRESS(MATCH(Agenda2526!C107,'CAL8'!A:A,0)+2,3,4,1,"CAL8")),0)</f>
        <v>0</v>
      </c>
      <c r="AW106" s="106"/>
      <c r="AX106" s="20">
        <f>COUNTIF('CAL1'!A:A,Agenda2526!C107)</f>
        <v>0</v>
      </c>
      <c r="AY106" s="20">
        <f>COUNTIF('CAL2'!A:A,Agenda2526!C107)</f>
        <v>0</v>
      </c>
      <c r="AZ106" s="20">
        <f>COUNTIF('CAL3'!A:A,Agenda2526!C107)</f>
        <v>0</v>
      </c>
      <c r="BA106" s="20">
        <f>COUNTIF('CAL4'!A:A,Agenda2526!C107)</f>
        <v>0</v>
      </c>
      <c r="BB106" s="20">
        <f>COUNTIF('CAL5'!A:A,Agenda2526!C107)</f>
        <v>0</v>
      </c>
      <c r="BC106" s="20">
        <f>COUNTIF('CAL6'!A:A,Agenda2526!C107)</f>
        <v>0</v>
      </c>
      <c r="BD106" s="20">
        <f>COUNTIF('CAL7'!A:A,Agenda2526!C107)</f>
        <v>0</v>
      </c>
      <c r="BE106" s="20">
        <f>COUNTIF('CAL8'!A:A,Agenda2526!C107)</f>
        <v>0</v>
      </c>
    </row>
    <row r="107" spans="1:57" ht="15.75" customHeight="1">
      <c r="A107" s="20" t="str">
        <f ca="1">IF(CALC2223!AX107&gt;0,INDIRECT(ADDRESS(MATCH(Agenda2526!C108,'CAL1'!A:A,0),2,4,1,"CAL1")),"")</f>
        <v/>
      </c>
      <c r="B107" s="21">
        <f ca="1">IF(CALC2223!AX107&gt;0,INDIRECT(ADDRESS(MATCH(Agenda2526!C108,'CAL1'!A:A,0),3,4,1,"CAL1")),0)</f>
        <v>0</v>
      </c>
      <c r="C107" s="20" t="str">
        <f ca="1">IF(CALC2223!AX107&gt;1,INDIRECT(ADDRESS(MATCH(Agenda2526!C108,'CAL1'!A:A,0)+1,2,4,1,"CAL1")),"")</f>
        <v/>
      </c>
      <c r="D107" s="21">
        <f ca="1">IF(CALC2223!AX107&gt;1,INDIRECT(ADDRESS(MATCH(Agenda2526!C108,'CAL1'!A:A,0)+1,3,4,1,"CAL1")),0)</f>
        <v>0</v>
      </c>
      <c r="E107" s="20" t="str">
        <f ca="1">IF(CALC2223!AX107&gt;2,INDIRECT(ADDRESS(MATCH(Agenda2526!C108,'CAL1'!A:A,0)+2,2,4,1,"CAL1")),"")</f>
        <v/>
      </c>
      <c r="F107" s="21">
        <f ca="1">IF(CALC2223!AX107&gt;2,INDIRECT(ADDRESS(MATCH(Agenda2526!C108,'CAL1'!A:A,0)+2,3,4,1,"CAL1")),0)</f>
        <v>0</v>
      </c>
      <c r="G107" s="20" t="str">
        <f ca="1">IF(CALC2223!AY107&gt;0,INDIRECT(ADDRESS(MATCH(Agenda2526!C108,'CAL2'!A:A,0),2,4,1,"CAL2")),"")</f>
        <v/>
      </c>
      <c r="H107" s="21">
        <f ca="1">IF(CALC2223!AY107&gt;0,INDIRECT(ADDRESS(MATCH(Agenda2526!C108,'CAL2'!A:A,0),3,4,1,"CAL2")),0)</f>
        <v>0</v>
      </c>
      <c r="I107" s="20" t="str">
        <f ca="1">IF(CALC2223!AY107&gt;1,INDIRECT(ADDRESS(MATCH(Agenda2526!C108,'CAL2'!A:A,0)+1,2,4,1,"CAL2")),"")</f>
        <v/>
      </c>
      <c r="J107" s="21">
        <f ca="1">IF(CALC2223!AY107&gt;1,INDIRECT(ADDRESS(MATCH(Agenda2526!C108,'CAL2'!A:A,0)+1,3,4,1,"CAL2")),0)</f>
        <v>0</v>
      </c>
      <c r="K107" s="20" t="str">
        <f ca="1">IF(CALC2223!AY107&gt;2,INDIRECT(ADDRESS(MATCH(Agenda2526!C108,'CAL2'!A:A,0)+2,2,4,1,"CAL2")),"")</f>
        <v/>
      </c>
      <c r="L107" s="21">
        <f ca="1">IF(CALC2223!AY107&gt;2,INDIRECT(ADDRESS(MATCH(Agenda2526!C108,'CAL2'!A:A,0)+2,3,4,1,"CAL2")),0)</f>
        <v>0</v>
      </c>
      <c r="M107" s="20" t="str">
        <f ca="1">IF(CALC2223!AZ107&gt;0,INDIRECT(ADDRESS(MATCH(Agenda2526!C108,'CAL3'!A:A,0),2,4,1,"CAL3")),"")</f>
        <v/>
      </c>
      <c r="N107" s="21">
        <f ca="1">IF(CALC2223!AZ107&gt;0,INDIRECT(ADDRESS(MATCH(Agenda2526!C108,'CAL3'!A:A,0),3,4,1,"CAL3")),0)</f>
        <v>0</v>
      </c>
      <c r="O107" s="20" t="str">
        <f ca="1">IF(CALC2223!AZ107&gt;1,INDIRECT(ADDRESS(MATCH(Agenda2526!C108,'CAL3'!A:A,0)+1,2,4,1,"CAL3")),"")</f>
        <v/>
      </c>
      <c r="P107" s="21">
        <f ca="1">IF(CALC2223!AZ107&gt;1,INDIRECT(ADDRESS(MATCH(Agenda2526!C108,'CAL3'!A:A,0)+1,3,4,1,"CAL3")),0)</f>
        <v>0</v>
      </c>
      <c r="Q107" s="20" t="str">
        <f ca="1">IF(CALC2223!AZ107&gt;2,INDIRECT(ADDRESS(MATCH(Agenda2526!C108,'CAL3'!A:A,0)+2,2,4,1,"CAL3")),"")</f>
        <v/>
      </c>
      <c r="R107" s="21">
        <f ca="1">IF(CALC2223!AZ107&gt;2,INDIRECT(ADDRESS(MATCH(Agenda2526!C108,'CAL3'!A:A,0)+2,3,4,1,"CAL3")),0)</f>
        <v>0</v>
      </c>
      <c r="S107" s="20" t="str">
        <f ca="1">IF(CALC2223!BA107&gt;0,INDIRECT(ADDRESS(MATCH(Agenda2526!C108,'CAL4'!A:A,0),2,4,1,"CAL4")),"")</f>
        <v>inh rep NA</v>
      </c>
      <c r="T107" s="21">
        <f ca="1">IF(CALC2223!BA107&gt;0,INDIRECT(ADDRESS(MATCH(Agenda2526!C108,'CAL4'!A:A,0),3,4,1,"CAL4")),0)</f>
        <v>45936</v>
      </c>
      <c r="U107" s="20" t="str">
        <f ca="1">IF(CALC2223!BA107&gt;1,INDIRECT(ADDRESS(MATCH(Agenda2526!C108,'CAL4'!A:A,0)+1,2,4,1,"CAL4")),"")</f>
        <v/>
      </c>
      <c r="V107" s="21">
        <f ca="1">IF(CALC2223!BA107&gt;1,INDIRECT(ADDRESS(MATCH(Agenda2526!C108,'CAL4'!A:A,0)+1,3,4,1,"CAL4")),0)</f>
        <v>0</v>
      </c>
      <c r="W107" s="20" t="str">
        <f ca="1">IF(CALC2223!BA107&gt;2,INDIRECT(ADDRESS(MATCH(Agenda2526!C108,'CAL4'!A:A,0)+2,2,4,1,"CAL4")),"")</f>
        <v/>
      </c>
      <c r="X107" s="21">
        <f ca="1">IF(CALC2223!BA107&gt;2,INDIRECT(ADDRESS(MATCH(Agenda2526!C108,'CAL4'!A:A,0)+2,3,4,1,"CAL4")),0)</f>
        <v>0</v>
      </c>
      <c r="Y107" s="20" t="str">
        <f ca="1">IF(CALC2223!BB107&gt;0,INDIRECT(ADDRESS(MATCH(Agenda2526!C108,'CAL5'!A:A,0),2,4,1,"CAL5")),"")</f>
        <v>inh SE wiA</v>
      </c>
      <c r="Z107" s="21">
        <f ca="1">IF(CALC2223!BB107&gt;0,INDIRECT(ADDRESS(MATCH(Agenda2526!C108,'CAL5'!A:A,0),3,4,1,"CAL5")),0)</f>
        <v>45936</v>
      </c>
      <c r="AA107" s="20" t="str">
        <f ca="1">IF(CALC2223!BB107&gt;1,INDIRECT(ADDRESS(MATCH(Agenda2526!C108,'CAL5'!A:A,0)+1,2,4,1,"CAL5")),"")</f>
        <v/>
      </c>
      <c r="AB107" s="21">
        <f ca="1">IF(CALC2223!BB107&gt;1,INDIRECT(ADDRESS(MATCH(Agenda2526!C108,'CAL5'!A:A,0)+1,3,4,1,"CAL5")),0)</f>
        <v>0</v>
      </c>
      <c r="AC107" s="20" t="str">
        <f ca="1">IF(CALC2223!BB107&gt;2,INDIRECT(ADDRESS(MATCH(Agenda2526!C108,'CAL5'!A:A,0)+2,2,4,1,"CAL5")),"")</f>
        <v/>
      </c>
      <c r="AD107" s="21">
        <f ca="1">IF(CALC2223!BB107&gt;2,INDIRECT(ADDRESS(MATCH(Agenda2526!C108,'CAL5'!A:A,0)+2,3,4,1,"CAL5")),0)</f>
        <v>0</v>
      </c>
      <c r="AE107" s="20" t="str">
        <f ca="1">IF(CALC2223!BC107&gt;0,INDIRECT(ADDRESS(MATCH(Agenda2526!C108,'CAL6'!A:A,0),2,4,1,"CAL6")),"")</f>
        <v>tsweek: G6 AK, FATL, SPTL en WID</v>
      </c>
      <c r="AF107" s="21">
        <f ca="1">IF(CALC2223!BC107&gt;0,INDIRECT(ADDRESS(MATCH(Agenda2526!C108,'CAL6'!A:A,0),3,4,1,"CAL6")),0)</f>
        <v>46001</v>
      </c>
      <c r="AG107" s="20" t="str">
        <f ca="1">IF(CALC2223!BC107&gt;1,INDIRECT(ADDRESS(MATCH(Agenda2526!C108,'CAL6'!A:A,0)+1,2,4,1,"CAL6")),"")</f>
        <v/>
      </c>
      <c r="AH107" s="21">
        <f ca="1">IF(CALC2223!BC107&gt;1,INDIRECT(ADDRESS(MATCH(Agenda2526!C108,'CAL6'!A:A,0)+1,3,4,1,"CAL6")),0)</f>
        <v>0</v>
      </c>
      <c r="AI107" s="20" t="str">
        <f ca="1">IF(CALC2223!BC107&gt;2,INDIRECT(ADDRESS(MATCH(Agenda2526!C108,'CAL6'!A:A,0)+2,2,4,1,"CAL6")),"")</f>
        <v/>
      </c>
      <c r="AJ107" s="21">
        <f ca="1">IF(CALC2223!BC107&gt;2,INDIRECT(ADDRESS(MATCH(Agenda2526!C108,'CAL6'!A:A,0)+2,3,4,1,"CAL6")),0)</f>
        <v>0</v>
      </c>
      <c r="AK107" s="20" t="str">
        <f ca="1">IF(CALC2223!BD107&gt;0,INDIRECT(ADDRESS(MATCH(Agenda2526!C108,'CAL7'!A:A,0),2,4,1,"CAL7")),"")</f>
        <v/>
      </c>
      <c r="AL107" s="21">
        <f ca="1">IF(CALC2223!BD107&gt;0,INDIRECT(ADDRESS(MATCH(Agenda2526!C108,'CAL7'!A:A,0),3,4,1,"CAL7")),0)</f>
        <v>0</v>
      </c>
      <c r="AM107" s="20" t="str">
        <f ca="1">IF(CALC2223!BD107&gt;1,INDIRECT(ADDRESS(MATCH(Agenda2526!C108,'CAL7'!A:A,0)+1,2,4,1,"CAL7")),"")</f>
        <v/>
      </c>
      <c r="AN107" s="21">
        <f ca="1">IF(CALC2223!BD107&gt;1,INDIRECT(ADDRESS(MATCH(Agenda2526!C108,'CAL7'!A:A,0)+1,3,4,1,"CAL7")),0)</f>
        <v>0</v>
      </c>
      <c r="AO107" s="20" t="str">
        <f ca="1">IF(CALC2223!BD107&gt;2,INDIRECT(ADDRESS(MATCH(Agenda2526!C108,'CAL7'!A:A,0)+2,2,4,1,"CAL7")),"")</f>
        <v/>
      </c>
      <c r="AP107" s="21">
        <f ca="1">IF(CALC2223!BD107&gt;2,INDIRECT(ADDRESS(MATCH(Agenda2526!C108,'CAL7'!A:A,0)+2,3,4,1,"CAL7")),0)</f>
        <v>0</v>
      </c>
      <c r="AQ107" s="20" t="str">
        <f ca="1">IF(CALC2223!BE107&gt;0,INDIRECT(ADDRESS(MATCH(Agenda2526!C108,'CAL8'!A:A,0),2,4,1,"CAL8")),"")</f>
        <v/>
      </c>
      <c r="AR107" s="21">
        <f ca="1">IF(CALC2223!BE107&gt;0,INDIRECT(ADDRESS(MATCH(Agenda2526!C108,'CAL8'!A:A,0),3,4,1,"CAL8")),0)</f>
        <v>0</v>
      </c>
      <c r="AS107" s="20" t="str">
        <f ca="1">IF(CALC2223!BE107&gt;1,INDIRECT(ADDRESS(MATCH(Agenda2526!C108,'CAL8'!A:A,0)+1,2,4,1,"CAL8")),"")</f>
        <v/>
      </c>
      <c r="AT107" s="21">
        <f ca="1">IF(CALC2223!BE107&gt;1,INDIRECT(ADDRESS(MATCH(Agenda2526!C108,'CAL8'!A:A,0)+1,3,4,1,"CAL8")),0)</f>
        <v>0</v>
      </c>
      <c r="AU107" s="20" t="str">
        <f ca="1">IF(CALC2223!BE107&gt;2,INDIRECT(ADDRESS(MATCH(Agenda2526!C108,'CAL8'!A:A,0)+2,2,4,1,"CAL8")),"")</f>
        <v/>
      </c>
      <c r="AV107" s="21">
        <f ca="1">IF(CALC2223!BE107&gt;2,INDIRECT(ADDRESS(MATCH(Agenda2526!C108,'CAL8'!A:A,0)+2,3,4,1,"CAL8")),0)</f>
        <v>0</v>
      </c>
      <c r="AW107" s="108"/>
      <c r="AX107" s="20">
        <f>COUNTIF('CAL1'!A:A,Agenda2526!C108)</f>
        <v>0</v>
      </c>
      <c r="AY107" s="20">
        <f>COUNTIF('CAL2'!A:A,Agenda2526!C108)</f>
        <v>0</v>
      </c>
      <c r="AZ107" s="20">
        <f>COUNTIF('CAL3'!A:A,Agenda2526!C108)</f>
        <v>0</v>
      </c>
      <c r="BA107" s="20">
        <f>COUNTIF('CAL4'!A:A,Agenda2526!C108)</f>
        <v>1</v>
      </c>
      <c r="BB107" s="20">
        <f>COUNTIF('CAL5'!A:A,Agenda2526!C108)</f>
        <v>1</v>
      </c>
      <c r="BC107" s="20">
        <f>COUNTIF('CAL6'!A:A,Agenda2526!C108)</f>
        <v>1</v>
      </c>
      <c r="BD107" s="20">
        <f>COUNTIF('CAL7'!A:A,Agenda2526!C108)</f>
        <v>0</v>
      </c>
      <c r="BE107" s="20">
        <f>COUNTIF('CAL8'!A:A,Agenda2526!C108)</f>
        <v>0</v>
      </c>
    </row>
    <row r="108" spans="1:57" ht="15.75" customHeight="1">
      <c r="A108" s="20" t="str">
        <f ca="1">IF(CALC2223!AX108&gt;0,INDIRECT(ADDRESS(MATCH(Agenda2526!C109,'CAL1'!A:A,0),2,4,1,"CAL1")),"")</f>
        <v/>
      </c>
      <c r="B108" s="21">
        <f ca="1">IF(CALC2223!AX108&gt;0,INDIRECT(ADDRESS(MATCH(Agenda2526!C109,'CAL1'!A:A,0),3,4,1,"CAL1")),0)</f>
        <v>0</v>
      </c>
      <c r="C108" s="20" t="str">
        <f ca="1">IF(CALC2223!AX108&gt;1,INDIRECT(ADDRESS(MATCH(Agenda2526!C109,'CAL1'!A:A,0)+1,2,4,1,"CAL1")),"")</f>
        <v/>
      </c>
      <c r="D108" s="21">
        <f ca="1">IF(CALC2223!AX108&gt;1,INDIRECT(ADDRESS(MATCH(Agenda2526!C109,'CAL1'!A:A,0)+1,3,4,1,"CAL1")),0)</f>
        <v>0</v>
      </c>
      <c r="E108" s="20" t="str">
        <f ca="1">IF(CALC2223!AX108&gt;2,INDIRECT(ADDRESS(MATCH(Agenda2526!C109,'CAL1'!A:A,0)+2,2,4,1,"CAL1")),"")</f>
        <v/>
      </c>
      <c r="F108" s="21">
        <f ca="1">IF(CALC2223!AX108&gt;2,INDIRECT(ADDRESS(MATCH(Agenda2526!C109,'CAL1'!A:A,0)+2,3,4,1,"CAL1")),0)</f>
        <v>0</v>
      </c>
      <c r="G108" s="20" t="str">
        <f ca="1">IF(CALC2223!AY108&gt;0,INDIRECT(ADDRESS(MATCH(Agenda2526!C109,'CAL2'!A:A,0),2,4,1,"CAL2")),"")</f>
        <v/>
      </c>
      <c r="H108" s="21">
        <f ca="1">IF(CALC2223!AY108&gt;0,INDIRECT(ADDRESS(MATCH(Agenda2526!C109,'CAL2'!A:A,0),3,4,1,"CAL2")),0)</f>
        <v>0</v>
      </c>
      <c r="I108" s="20" t="str">
        <f ca="1">IF(CALC2223!AY108&gt;1,INDIRECT(ADDRESS(MATCH(Agenda2526!C109,'CAL2'!A:A,0)+1,2,4,1,"CAL2")),"")</f>
        <v/>
      </c>
      <c r="J108" s="21">
        <f ca="1">IF(CALC2223!AY108&gt;1,INDIRECT(ADDRESS(MATCH(Agenda2526!C109,'CAL2'!A:A,0)+1,3,4,1,"CAL2")),0)</f>
        <v>0</v>
      </c>
      <c r="K108" s="20" t="str">
        <f ca="1">IF(CALC2223!AY108&gt;2,INDIRECT(ADDRESS(MATCH(Agenda2526!C109,'CAL2'!A:A,0)+2,2,4,1,"CAL2")),"")</f>
        <v/>
      </c>
      <c r="L108" s="21">
        <f ca="1">IF(CALC2223!AY108&gt;2,INDIRECT(ADDRESS(MATCH(Agenda2526!C109,'CAL2'!A:A,0)+2,3,4,1,"CAL2")),0)</f>
        <v>0</v>
      </c>
      <c r="M108" s="20" t="str">
        <f ca="1">IF(CALC2223!AZ108&gt;0,INDIRECT(ADDRESS(MATCH(Agenda2526!C109,'CAL3'!A:A,0),2,4,1,"CAL3")),"")</f>
        <v/>
      </c>
      <c r="N108" s="21">
        <f ca="1">IF(CALC2223!AZ108&gt;0,INDIRECT(ADDRESS(MATCH(Agenda2526!C109,'CAL3'!A:A,0),3,4,1,"CAL3")),0)</f>
        <v>0</v>
      </c>
      <c r="O108" s="20" t="str">
        <f ca="1">IF(CALC2223!AZ108&gt;1,INDIRECT(ADDRESS(MATCH(Agenda2526!C109,'CAL3'!A:A,0)+1,2,4,1,"CAL3")),"")</f>
        <v/>
      </c>
      <c r="P108" s="21">
        <f ca="1">IF(CALC2223!AZ108&gt;1,INDIRECT(ADDRESS(MATCH(Agenda2526!C109,'CAL3'!A:A,0)+1,3,4,1,"CAL3")),0)</f>
        <v>0</v>
      </c>
      <c r="Q108" s="20" t="str">
        <f ca="1">IF(CALC2223!AZ108&gt;2,INDIRECT(ADDRESS(MATCH(Agenda2526!C109,'CAL3'!A:A,0)+2,2,4,1,"CAL3")),"")</f>
        <v/>
      </c>
      <c r="R108" s="21">
        <f ca="1">IF(CALC2223!AZ108&gt;2,INDIRECT(ADDRESS(MATCH(Agenda2526!C109,'CAL3'!A:A,0)+2,3,4,1,"CAL3")),0)</f>
        <v>0</v>
      </c>
      <c r="S108" s="20" t="str">
        <f ca="1">IF(CALC2223!BA108&gt;0,INDIRECT(ADDRESS(MATCH(Agenda2526!C109,'CAL4'!A:A,0),2,4,1,"CAL4")),"")</f>
        <v>Rep GS</v>
      </c>
      <c r="T108" s="21">
        <f ca="1">IF(CALC2223!BA108&gt;0,INDIRECT(ADDRESS(MATCH(Agenda2526!C109,'CAL4'!A:A,0),3,4,1,"CAL4")),0)</f>
        <v>45929</v>
      </c>
      <c r="U108" s="20" t="str">
        <f ca="1">IF(CALC2223!BA108&gt;1,INDIRECT(ADDRESS(MATCH(Agenda2526!C109,'CAL4'!A:A,0)+1,2,4,1,"CAL4")),"")</f>
        <v/>
      </c>
      <c r="V108" s="21">
        <f ca="1">IF(CALC2223!BA108&gt;1,INDIRECT(ADDRESS(MATCH(Agenda2526!C109,'CAL4'!A:A,0)+1,3,4,1,"CAL4")),0)</f>
        <v>0</v>
      </c>
      <c r="W108" s="20" t="str">
        <f ca="1">IF(CALC2223!BA108&gt;2,INDIRECT(ADDRESS(MATCH(Agenda2526!C109,'CAL4'!A:A,0)+2,2,4,1,"CAL4")),"")</f>
        <v/>
      </c>
      <c r="X108" s="21">
        <f ca="1">IF(CALC2223!BA108&gt;2,INDIRECT(ADDRESS(MATCH(Agenda2526!C109,'CAL4'!A:A,0)+2,3,4,1,"CAL4")),0)</f>
        <v>0</v>
      </c>
      <c r="Y108" s="20" t="str">
        <f ca="1">IF(CALC2223!BB108&gt;0,INDIRECT(ADDRESS(MATCH(Agenda2526!C109,'CAL5'!A:A,0),2,4,1,"CAL5")),"")</f>
        <v/>
      </c>
      <c r="Z108" s="21">
        <f ca="1">IF(CALC2223!BB108&gt;0,INDIRECT(ADDRESS(MATCH(Agenda2526!C109,'CAL5'!A:A,0),3,4,1,"CAL5")),0)</f>
        <v>0</v>
      </c>
      <c r="AA108" s="20" t="str">
        <f ca="1">IF(CALC2223!BB108&gt;1,INDIRECT(ADDRESS(MATCH(Agenda2526!C109,'CAL5'!A:A,0)+1,2,4,1,"CAL5")),"")</f>
        <v/>
      </c>
      <c r="AB108" s="21">
        <f ca="1">IF(CALC2223!BB108&gt;1,INDIRECT(ADDRESS(MATCH(Agenda2526!C109,'CAL5'!A:A,0)+1,3,4,1,"CAL5")),0)</f>
        <v>0</v>
      </c>
      <c r="AC108" s="20" t="str">
        <f ca="1">IF(CALC2223!BB108&gt;2,INDIRECT(ADDRESS(MATCH(Agenda2526!C109,'CAL5'!A:A,0)+2,2,4,1,"CAL5")),"")</f>
        <v/>
      </c>
      <c r="AD108" s="21">
        <f ca="1">IF(CALC2223!BB108&gt;2,INDIRECT(ADDRESS(MATCH(Agenda2526!C109,'CAL5'!A:A,0)+2,3,4,1,"CAL5")),0)</f>
        <v>0</v>
      </c>
      <c r="AE108" s="20" t="str">
        <f ca="1">IF(CALC2223!BC108&gt;0,INDIRECT(ADDRESS(MATCH(Agenda2526!C109,'CAL6'!A:A,0),2,4,1,"CAL6")),"")</f>
        <v>tsweek: G6 NETL</v>
      </c>
      <c r="AF108" s="21">
        <f ca="1">IF(CALC2223!BC108&gt;0,INDIRECT(ADDRESS(MATCH(Agenda2526!C109,'CAL6'!A:A,0),3,4,1,"CAL6")),0)</f>
        <v>46001</v>
      </c>
      <c r="AG108" s="20" t="str">
        <f ca="1">IF(CALC2223!BC108&gt;1,INDIRECT(ADDRESS(MATCH(Agenda2526!C109,'CAL6'!A:A,0)+1,2,4,1,"CAL6")),"")</f>
        <v/>
      </c>
      <c r="AH108" s="21">
        <f ca="1">IF(CALC2223!BC108&gt;1,INDIRECT(ADDRESS(MATCH(Agenda2526!C109,'CAL6'!A:A,0)+1,3,4,1,"CAL6")),0)</f>
        <v>0</v>
      </c>
      <c r="AI108" s="20" t="str">
        <f ca="1">IF(CALC2223!BC108&gt;2,INDIRECT(ADDRESS(MATCH(Agenda2526!C109,'CAL6'!A:A,0)+2,2,4,1,"CAL6")),"")</f>
        <v/>
      </c>
      <c r="AJ108" s="21">
        <f ca="1">IF(CALC2223!BC108&gt;2,INDIRECT(ADDRESS(MATCH(Agenda2526!C109,'CAL6'!A:A,0)+2,3,4,1,"CAL6")),0)</f>
        <v>0</v>
      </c>
      <c r="AK108" s="20" t="str">
        <f ca="1">IF(CALC2223!BD108&gt;0,INDIRECT(ADDRESS(MATCH(Agenda2526!C109,'CAL7'!A:A,0),2,4,1,"CAL7")),"")</f>
        <v/>
      </c>
      <c r="AL108" s="21">
        <f ca="1">IF(CALC2223!BD108&gt;0,INDIRECT(ADDRESS(MATCH(Agenda2526!C109,'CAL7'!A:A,0),3,4,1,"CAL7")),0)</f>
        <v>0</v>
      </c>
      <c r="AM108" s="20" t="str">
        <f ca="1">IF(CALC2223!BD108&gt;1,INDIRECT(ADDRESS(MATCH(Agenda2526!C109,'CAL7'!A:A,0)+1,2,4,1,"CAL7")),"")</f>
        <v/>
      </c>
      <c r="AN108" s="21">
        <f ca="1">IF(CALC2223!BD108&gt;1,INDIRECT(ADDRESS(MATCH(Agenda2526!C109,'CAL7'!A:A,0)+1,3,4,1,"CAL7")),0)</f>
        <v>0</v>
      </c>
      <c r="AO108" s="20" t="str">
        <f ca="1">IF(CALC2223!BD108&gt;2,INDIRECT(ADDRESS(MATCH(Agenda2526!C109,'CAL7'!A:A,0)+2,2,4,1,"CAL7")),"")</f>
        <v/>
      </c>
      <c r="AP108" s="21">
        <f ca="1">IF(CALC2223!BD108&gt;2,INDIRECT(ADDRESS(MATCH(Agenda2526!C109,'CAL7'!A:A,0)+2,3,4,1,"CAL7")),0)</f>
        <v>0</v>
      </c>
      <c r="AQ108" s="20" t="str">
        <f ca="1">IF(CALC2223!BE108&gt;0,INDIRECT(ADDRESS(MATCH(Agenda2526!C109,'CAL8'!A:A,0),2,4,1,"CAL8")),"")</f>
        <v/>
      </c>
      <c r="AR108" s="21">
        <f ca="1">IF(CALC2223!BE108&gt;0,INDIRECT(ADDRESS(MATCH(Agenda2526!C109,'CAL8'!A:A,0),3,4,1,"CAL8")),0)</f>
        <v>0</v>
      </c>
      <c r="AS108" s="20" t="str">
        <f ca="1">IF(CALC2223!BE108&gt;1,INDIRECT(ADDRESS(MATCH(Agenda2526!C109,'CAL8'!A:A,0)+1,2,4,1,"CAL8")),"")</f>
        <v/>
      </c>
      <c r="AT108" s="21">
        <f ca="1">IF(CALC2223!BE108&gt;1,INDIRECT(ADDRESS(MATCH(Agenda2526!C109,'CAL8'!A:A,0)+1,3,4,1,"CAL8")),0)</f>
        <v>0</v>
      </c>
      <c r="AU108" s="20" t="str">
        <f ca="1">IF(CALC2223!BE108&gt;2,INDIRECT(ADDRESS(MATCH(Agenda2526!C109,'CAL8'!A:A,0)+2,2,4,1,"CAL8")),"")</f>
        <v/>
      </c>
      <c r="AV108" s="21">
        <f ca="1">IF(CALC2223!BE108&gt;2,INDIRECT(ADDRESS(MATCH(Agenda2526!C109,'CAL8'!A:A,0)+2,3,4,1,"CAL8")),0)</f>
        <v>0</v>
      </c>
      <c r="AW108" s="105"/>
      <c r="AX108" s="20">
        <f>COUNTIF('CAL1'!A:A,Agenda2526!C109)</f>
        <v>0</v>
      </c>
      <c r="AY108" s="20">
        <f>COUNTIF('CAL2'!A:A,Agenda2526!C109)</f>
        <v>0</v>
      </c>
      <c r="AZ108" s="20">
        <f>COUNTIF('CAL3'!A:A,Agenda2526!C109)</f>
        <v>0</v>
      </c>
      <c r="BA108" s="20">
        <f>COUNTIF('CAL4'!A:A,Agenda2526!C109)</f>
        <v>1</v>
      </c>
      <c r="BB108" s="20">
        <f>COUNTIF('CAL5'!A:A,Agenda2526!C109)</f>
        <v>0</v>
      </c>
      <c r="BC108" s="20">
        <f>COUNTIF('CAL6'!A:A,Agenda2526!C109)</f>
        <v>1</v>
      </c>
      <c r="BD108" s="20">
        <f>COUNTIF('CAL7'!A:A,Agenda2526!C109)</f>
        <v>0</v>
      </c>
      <c r="BE108" s="20">
        <f>COUNTIF('CAL8'!A:A,Agenda2526!C109)</f>
        <v>0</v>
      </c>
    </row>
    <row r="109" spans="1:57" ht="15.75" customHeight="1">
      <c r="A109" s="20" t="str">
        <f ca="1">IF(CALC2223!AX109&gt;0,INDIRECT(ADDRESS(MATCH(Agenda2526!C110,'CAL1'!A:A,0),2,4,1,"CAL1")),"")</f>
        <v>Toetsdag: Rep LA</v>
      </c>
      <c r="B109" s="21">
        <f ca="1">IF(CALC2223!AX109&gt;0,INDIRECT(ADDRESS(MATCH(Agenda2526!C110,'CAL1'!A:A,0),3,4,1,"CAL1")),0)</f>
        <v>45994</v>
      </c>
      <c r="C109" s="20" t="str">
        <f ca="1">IF(CALC2223!AX109&gt;1,INDIRECT(ADDRESS(MATCH(Agenda2526!C110,'CAL1'!A:A,0)+1,2,4,1,"CAL1")),"")</f>
        <v/>
      </c>
      <c r="D109" s="21">
        <f ca="1">IF(CALC2223!AX109&gt;1,INDIRECT(ADDRESS(MATCH(Agenda2526!C110,'CAL1'!A:A,0)+1,3,4,1,"CAL1")),0)</f>
        <v>0</v>
      </c>
      <c r="E109" s="20" t="str">
        <f ca="1">IF(CALC2223!AX109&gt;2,INDIRECT(ADDRESS(MATCH(Agenda2526!C110,'CAL1'!A:A,0)+2,2,4,1,"CAL1")),"")</f>
        <v/>
      </c>
      <c r="F109" s="21">
        <f ca="1">IF(CALC2223!AX109&gt;2,INDIRECT(ADDRESS(MATCH(Agenda2526!C110,'CAL1'!A:A,0)+2,3,4,1,"CAL1")),0)</f>
        <v>0</v>
      </c>
      <c r="G109" s="20" t="str">
        <f ca="1">IF(CALC2223!AY109&gt;0,INDIRECT(ADDRESS(MATCH(Agenda2526!C110,'CAL2'!A:A,0),2,4,1,"CAL2")),"")</f>
        <v>Toetsdag: Rep GES/LA</v>
      </c>
      <c r="H109" s="21">
        <f ca="1">IF(CALC2223!AY109&gt;0,INDIRECT(ADDRESS(MATCH(Agenda2526!C110,'CAL2'!A:A,0),3,4,1,"CAL2")),0)</f>
        <v>45994</v>
      </c>
      <c r="I109" s="20" t="str">
        <f ca="1">IF(CALC2223!AY109&gt;1,INDIRECT(ADDRESS(MATCH(Agenda2526!C110,'CAL2'!A:A,0)+1,2,4,1,"CAL2")),"")</f>
        <v/>
      </c>
      <c r="J109" s="21">
        <f ca="1">IF(CALC2223!AY109&gt;1,INDIRECT(ADDRESS(MATCH(Agenda2526!C110,'CAL2'!A:A,0)+1,3,4,1,"CAL2")),0)</f>
        <v>0</v>
      </c>
      <c r="K109" s="20" t="str">
        <f ca="1">IF(CALC2223!AY109&gt;2,INDIRECT(ADDRESS(MATCH(Agenda2526!C110,'CAL2'!A:A,0)+2,2,4,1,"CAL2")),"")</f>
        <v/>
      </c>
      <c r="L109" s="21">
        <f ca="1">IF(CALC2223!AY109&gt;2,INDIRECT(ADDRESS(MATCH(Agenda2526!C110,'CAL2'!A:A,0)+2,3,4,1,"CAL2")),0)</f>
        <v>0</v>
      </c>
      <c r="M109" s="20" t="str">
        <f ca="1">IF(CALC2223!AZ109&gt;0,INDIRECT(ADDRESS(MATCH(Agenda2526!C110,'CAL3'!A:A,0),2,4,1,"CAL3")),"")</f>
        <v>Toetsdag: Rep GES/NA</v>
      </c>
      <c r="N109" s="21">
        <f ca="1">IF(CALC2223!AZ109&gt;0,INDIRECT(ADDRESS(MATCH(Agenda2526!C110,'CAL3'!A:A,0),3,4,1,"CAL3")),0)</f>
        <v>45994</v>
      </c>
      <c r="O109" s="20" t="str">
        <f ca="1">IF(CALC2223!AZ109&gt;1,INDIRECT(ADDRESS(MATCH(Agenda2526!C110,'CAL3'!A:A,0)+1,2,4,1,"CAL3")),"")</f>
        <v/>
      </c>
      <c r="P109" s="21">
        <f ca="1">IF(CALC2223!AZ109&gt;1,INDIRECT(ADDRESS(MATCH(Agenda2526!C110,'CAL3'!A:A,0)+1,3,4,1,"CAL3")),0)</f>
        <v>0</v>
      </c>
      <c r="Q109" s="20" t="str">
        <f ca="1">IF(CALC2223!AZ109&gt;2,INDIRECT(ADDRESS(MATCH(Agenda2526!C110,'CAL3'!A:A,0)+2,2,4,1,"CAL3")),"")</f>
        <v/>
      </c>
      <c r="R109" s="21">
        <f ca="1">IF(CALC2223!AZ109&gt;2,INDIRECT(ADDRESS(MATCH(Agenda2526!C110,'CAL3'!A:A,0)+2,3,4,1,"CAL3")),0)</f>
        <v>0</v>
      </c>
      <c r="S109" s="20" t="str">
        <f ca="1">IF(CALC2223!BA109&gt;0,INDIRECT(ADDRESS(MATCH(Agenda2526!C110,'CAL4'!A:A,0),2,4,1,"CAL4")),"")</f>
        <v>Rep SP (1e uur)  en MDT workshop</v>
      </c>
      <c r="T109" s="21">
        <f ca="1">IF(CALC2223!BA109&gt;0,INDIRECT(ADDRESS(MATCH(Agenda2526!C110,'CAL4'!A:A,0),3,4,1,"CAL4")),0)</f>
        <v>45939</v>
      </c>
      <c r="U109" s="20" t="str">
        <f ca="1">IF(CALC2223!BA109&gt;1,INDIRECT(ADDRESS(MATCH(Agenda2526!C110,'CAL4'!A:A,0)+1,2,4,1,"CAL4")),"")</f>
        <v/>
      </c>
      <c r="V109" s="21">
        <f ca="1">IF(CALC2223!BA109&gt;1,INDIRECT(ADDRESS(MATCH(Agenda2526!C110,'CAL4'!A:A,0)+1,3,4,1,"CAL4")),0)</f>
        <v>0</v>
      </c>
      <c r="W109" s="20" t="str">
        <f ca="1">IF(CALC2223!BA109&gt;2,INDIRECT(ADDRESS(MATCH(Agenda2526!C110,'CAL4'!A:A,0)+2,2,4,1,"CAL4")),"")</f>
        <v/>
      </c>
      <c r="X109" s="21">
        <f ca="1">IF(CALC2223!BA109&gt;2,INDIRECT(ADDRESS(MATCH(Agenda2526!C110,'CAL4'!A:A,0)+2,3,4,1,"CAL4")),0)</f>
        <v>0</v>
      </c>
      <c r="Y109" s="20" t="str">
        <f ca="1">IF(CALC2223!BB109&gt;0,INDIRECT(ADDRESS(MATCH(Agenda2526!C110,'CAL5'!A:A,0),2,4,1,"CAL5")),"")</f>
        <v>Toetsdag SE BI  SE GS</v>
      </c>
      <c r="Z109" s="21">
        <f ca="1">IF(CALC2223!BB109&gt;0,INDIRECT(ADDRESS(MATCH(Agenda2526!C110,'CAL5'!A:A,0),3,4,1,"CAL5")),0)</f>
        <v>45995</v>
      </c>
      <c r="AA109" s="20" t="str">
        <f ca="1">IF(CALC2223!BB109&gt;1,INDIRECT(ADDRESS(MATCH(Agenda2526!C110,'CAL5'!A:A,0)+1,2,4,1,"CAL5")),"")</f>
        <v/>
      </c>
      <c r="AB109" s="21">
        <f ca="1">IF(CALC2223!BB109&gt;1,INDIRECT(ADDRESS(MATCH(Agenda2526!C110,'CAL5'!A:A,0)+1,3,4,1,"CAL5")),0)</f>
        <v>0</v>
      </c>
      <c r="AC109" s="20" t="str">
        <f ca="1">IF(CALC2223!BB109&gt;2,INDIRECT(ADDRESS(MATCH(Agenda2526!C110,'CAL5'!A:A,0)+2,2,4,1,"CAL5")),"")</f>
        <v/>
      </c>
      <c r="AD109" s="21">
        <f ca="1">IF(CALC2223!BB109&gt;2,INDIRECT(ADDRESS(MATCH(Agenda2526!C110,'CAL5'!A:A,0)+2,3,4,1,"CAL5")),0)</f>
        <v>0</v>
      </c>
      <c r="AE109" s="20" t="str">
        <f ca="1">IF(CALC2223!BC109&gt;0,INDIRECT(ADDRESS(MATCH(Agenda2526!C110,'CAL6'!A:A,0),2,4,1,"CAL6")),"")</f>
        <v>tsweek: G6 GRTL, LATL</v>
      </c>
      <c r="AF109" s="21">
        <f ca="1">IF(CALC2223!BC109&gt;0,INDIRECT(ADDRESS(MATCH(Agenda2526!C110,'CAL6'!A:A,0),3,4,1,"CAL6")),0)</f>
        <v>46001</v>
      </c>
      <c r="AG109" s="20" t="str">
        <f ca="1">IF(CALC2223!BC109&gt;1,INDIRECT(ADDRESS(MATCH(Agenda2526!C110,'CAL6'!A:A,0)+1,2,4,1,"CAL6")),"")</f>
        <v/>
      </c>
      <c r="AH109" s="21">
        <f ca="1">IF(CALC2223!BC109&gt;1,INDIRECT(ADDRESS(MATCH(Agenda2526!C110,'CAL6'!A:A,0)+1,3,4,1,"CAL6")),0)</f>
        <v>0</v>
      </c>
      <c r="AI109" s="20" t="str">
        <f ca="1">IF(CALC2223!BC109&gt;2,INDIRECT(ADDRESS(MATCH(Agenda2526!C110,'CAL6'!A:A,0)+2,2,4,1,"CAL6")),"")</f>
        <v/>
      </c>
      <c r="AJ109" s="21">
        <f ca="1">IF(CALC2223!BC109&gt;2,INDIRECT(ADDRESS(MATCH(Agenda2526!C110,'CAL6'!A:A,0)+2,3,4,1,"CAL6")),0)</f>
        <v>0</v>
      </c>
      <c r="AK109" s="20" t="str">
        <f ca="1">IF(CALC2223!BD109&gt;0,INDIRECT(ADDRESS(MATCH(Agenda2526!C110,'CAL7'!A:A,0),2,4,1,"CAL7")),"")</f>
        <v/>
      </c>
      <c r="AL109" s="21">
        <f ca="1">IF(CALC2223!BD109&gt;0,INDIRECT(ADDRESS(MATCH(Agenda2526!C110,'CAL7'!A:A,0),3,4,1,"CAL7")),0)</f>
        <v>0</v>
      </c>
      <c r="AM109" s="20" t="str">
        <f ca="1">IF(CALC2223!BD109&gt;1,INDIRECT(ADDRESS(MATCH(Agenda2526!C110,'CAL7'!A:A,0)+1,2,4,1,"CAL7")),"")</f>
        <v/>
      </c>
      <c r="AN109" s="21">
        <f ca="1">IF(CALC2223!BD109&gt;1,INDIRECT(ADDRESS(MATCH(Agenda2526!C110,'CAL7'!A:A,0)+1,3,4,1,"CAL7")),0)</f>
        <v>0</v>
      </c>
      <c r="AO109" s="20" t="str">
        <f ca="1">IF(CALC2223!BD109&gt;2,INDIRECT(ADDRESS(MATCH(Agenda2526!C110,'CAL7'!A:A,0)+2,2,4,1,"CAL7")),"")</f>
        <v/>
      </c>
      <c r="AP109" s="21">
        <f ca="1">IF(CALC2223!BD109&gt;2,INDIRECT(ADDRESS(MATCH(Agenda2526!C110,'CAL7'!A:A,0)+2,3,4,1,"CAL7")),0)</f>
        <v>0</v>
      </c>
      <c r="AQ109" s="20" t="str">
        <f ca="1">IF(CALC2223!BE109&gt;0,INDIRECT(ADDRESS(MATCH(Agenda2526!C110,'CAL8'!A:A,0),2,4,1,"CAL8")),"")</f>
        <v/>
      </c>
      <c r="AR109" s="21">
        <f ca="1">IF(CALC2223!BE109&gt;0,INDIRECT(ADDRESS(MATCH(Agenda2526!C110,'CAL8'!A:A,0),3,4,1,"CAL8")),0)</f>
        <v>0</v>
      </c>
      <c r="AS109" s="20" t="str">
        <f ca="1">IF(CALC2223!BE109&gt;1,INDIRECT(ADDRESS(MATCH(Agenda2526!C110,'CAL8'!A:A,0)+1,2,4,1,"CAL8")),"")</f>
        <v/>
      </c>
      <c r="AT109" s="21">
        <f ca="1">IF(CALC2223!BE109&gt;1,INDIRECT(ADDRESS(MATCH(Agenda2526!C110,'CAL8'!A:A,0)+1,3,4,1,"CAL8")),0)</f>
        <v>0</v>
      </c>
      <c r="AU109" s="20" t="str">
        <f ca="1">IF(CALC2223!BE109&gt;2,INDIRECT(ADDRESS(MATCH(Agenda2526!C110,'CAL8'!A:A,0)+2,2,4,1,"CAL8")),"")</f>
        <v/>
      </c>
      <c r="AV109" s="21">
        <f ca="1">IF(CALC2223!BE109&gt;2,INDIRECT(ADDRESS(MATCH(Agenda2526!C110,'CAL8'!A:A,0)+2,3,4,1,"CAL8")),0)</f>
        <v>0</v>
      </c>
      <c r="AW109" s="105"/>
      <c r="AX109" s="20">
        <f>COUNTIF('CAL1'!A:A,Agenda2526!C110)</f>
        <v>1</v>
      </c>
      <c r="AY109" s="20">
        <f>COUNTIF('CAL2'!A:A,Agenda2526!C110)</f>
        <v>1</v>
      </c>
      <c r="AZ109" s="20">
        <f>COUNTIF('CAL3'!A:A,Agenda2526!C110)</f>
        <v>1</v>
      </c>
      <c r="BA109" s="20">
        <f>COUNTIF('CAL4'!A:A,Agenda2526!C110)</f>
        <v>1</v>
      </c>
      <c r="BB109" s="20">
        <f>COUNTIF('CAL5'!A:A,Agenda2526!C110)</f>
        <v>1</v>
      </c>
      <c r="BC109" s="20">
        <f>COUNTIF('CAL6'!A:A,Agenda2526!C110)</f>
        <v>1</v>
      </c>
      <c r="BD109" s="20">
        <f>COUNTIF('CAL7'!A:A,Agenda2526!C110)</f>
        <v>0</v>
      </c>
      <c r="BE109" s="20">
        <f>COUNTIF('CAL8'!A:A,Agenda2526!C110)</f>
        <v>0</v>
      </c>
    </row>
    <row r="110" spans="1:57" ht="15.75" customHeight="1">
      <c r="A110" s="20" t="str">
        <f ca="1">IF(CALC2223!AX110&gt;0,INDIRECT(ADDRESS(MATCH(Agenda2526!C111,'CAL1'!A:A,0),2,4,1,"CAL1")),"")</f>
        <v/>
      </c>
      <c r="B110" s="21">
        <f ca="1">IF(CALC2223!AX110&gt;0,INDIRECT(ADDRESS(MATCH(Agenda2526!C111,'CAL1'!A:A,0),3,4,1,"CAL1")),0)</f>
        <v>0</v>
      </c>
      <c r="C110" s="20" t="str">
        <f ca="1">IF(CALC2223!AX110&gt;1,INDIRECT(ADDRESS(MATCH(Agenda2526!C111,'CAL1'!A:A,0)+1,2,4,1,"CAL1")),"")</f>
        <v/>
      </c>
      <c r="D110" s="21">
        <f ca="1">IF(CALC2223!AX110&gt;1,INDIRECT(ADDRESS(MATCH(Agenda2526!C111,'CAL1'!A:A,0)+1,3,4,1,"CAL1")),0)</f>
        <v>0</v>
      </c>
      <c r="E110" s="20" t="str">
        <f ca="1">IF(CALC2223!AX110&gt;2,INDIRECT(ADDRESS(MATCH(Agenda2526!C111,'CAL1'!A:A,0)+2,2,4,1,"CAL1")),"")</f>
        <v/>
      </c>
      <c r="F110" s="21">
        <f ca="1">IF(CALC2223!AX110&gt;2,INDIRECT(ADDRESS(MATCH(Agenda2526!C111,'CAL1'!A:A,0)+2,3,4,1,"CAL1")),0)</f>
        <v>0</v>
      </c>
      <c r="G110" s="20" t="str">
        <f ca="1">IF(CALC2223!AY110&gt;0,INDIRECT(ADDRESS(MATCH(Agenda2526!C111,'CAL2'!A:A,0),2,4,1,"CAL2")),"")</f>
        <v>Toetsdag: Rep WIS</v>
      </c>
      <c r="H110" s="21">
        <f ca="1">IF(CALC2223!AY110&gt;0,INDIRECT(ADDRESS(MATCH(Agenda2526!C111,'CAL2'!A:A,0),3,4,1,"CAL2")),0)</f>
        <v>45994</v>
      </c>
      <c r="I110" s="20" t="str">
        <f ca="1">IF(CALC2223!AY110&gt;1,INDIRECT(ADDRESS(MATCH(Agenda2526!C111,'CAL2'!A:A,0)+1,2,4,1,"CAL2")),"")</f>
        <v/>
      </c>
      <c r="J110" s="21">
        <f ca="1">IF(CALC2223!AY110&gt;1,INDIRECT(ADDRESS(MATCH(Agenda2526!C111,'CAL2'!A:A,0)+1,3,4,1,"CAL2")),0)</f>
        <v>0</v>
      </c>
      <c r="K110" s="20" t="str">
        <f ca="1">IF(CALC2223!AY110&gt;2,INDIRECT(ADDRESS(MATCH(Agenda2526!C111,'CAL2'!A:A,0)+2,2,4,1,"CAL2")),"")</f>
        <v/>
      </c>
      <c r="L110" s="21">
        <f ca="1">IF(CALC2223!AY110&gt;2,INDIRECT(ADDRESS(MATCH(Agenda2526!C111,'CAL2'!A:A,0)+2,3,4,1,"CAL2")),0)</f>
        <v>0</v>
      </c>
      <c r="M110" s="20" t="str">
        <f ca="1">IF(CALC2223!AZ110&gt;0,INDIRECT(ADDRESS(MATCH(Agenda2526!C111,'CAL3'!A:A,0),2,4,1,"CAL3")),"")</f>
        <v>Toetsdag: Rep LA/SK</v>
      </c>
      <c r="N110" s="21">
        <f ca="1">IF(CALC2223!AZ110&gt;0,INDIRECT(ADDRESS(MATCH(Agenda2526!C111,'CAL3'!A:A,0),3,4,1,"CAL3")),0)</f>
        <v>45994</v>
      </c>
      <c r="O110" s="20" t="str">
        <f ca="1">IF(CALC2223!AZ110&gt;1,INDIRECT(ADDRESS(MATCH(Agenda2526!C111,'CAL3'!A:A,0)+1,2,4,1,"CAL3")),"")</f>
        <v/>
      </c>
      <c r="P110" s="21">
        <f ca="1">IF(CALC2223!AZ110&gt;1,INDIRECT(ADDRESS(MATCH(Agenda2526!C111,'CAL3'!A:A,0)+1,3,4,1,"CAL3")),0)</f>
        <v>0</v>
      </c>
      <c r="Q110" s="20" t="str">
        <f ca="1">IF(CALC2223!AZ110&gt;2,INDIRECT(ADDRESS(MATCH(Agenda2526!C111,'CAL3'!A:A,0)+2,2,4,1,"CAL3")),"")</f>
        <v/>
      </c>
      <c r="R110" s="21">
        <f ca="1">IF(CALC2223!AZ110&gt;2,INDIRECT(ADDRESS(MATCH(Agenda2526!C111,'CAL3'!A:A,0)+2,3,4,1,"CAL3")),0)</f>
        <v>0</v>
      </c>
      <c r="S110" s="20" t="str">
        <f ca="1">IF(CALC2223!BA110&gt;0,INDIRECT(ADDRESS(MATCH(Agenda2526!C111,'CAL4'!A:A,0),2,4,1,"CAL4")),"")</f>
        <v>inh SE ANW en MDT workshop</v>
      </c>
      <c r="T110" s="21">
        <f ca="1">IF(CALC2223!BA110&gt;0,INDIRECT(ADDRESS(MATCH(Agenda2526!C111,'CAL4'!A:A,0),3,4,1,"CAL4")),0)</f>
        <v>45939</v>
      </c>
      <c r="U110" s="20" t="str">
        <f ca="1">IF(CALC2223!BA110&gt;1,INDIRECT(ADDRESS(MATCH(Agenda2526!C111,'CAL4'!A:A,0)+1,2,4,1,"CAL4")),"")</f>
        <v/>
      </c>
      <c r="V110" s="21">
        <f ca="1">IF(CALC2223!BA110&gt;1,INDIRECT(ADDRESS(MATCH(Agenda2526!C111,'CAL4'!A:A,0)+1,3,4,1,"CAL4")),0)</f>
        <v>0</v>
      </c>
      <c r="W110" s="20" t="str">
        <f ca="1">IF(CALC2223!BA110&gt;2,INDIRECT(ADDRESS(MATCH(Agenda2526!C111,'CAL4'!A:A,0)+2,2,4,1,"CAL4")),"")</f>
        <v/>
      </c>
      <c r="X110" s="21">
        <f ca="1">IF(CALC2223!BA110&gt;2,INDIRECT(ADDRESS(MATCH(Agenda2526!C111,'CAL4'!A:A,0)+2,3,4,1,"CAL4")),0)</f>
        <v>0</v>
      </c>
      <c r="Y110" s="20" t="str">
        <f ca="1">IF(CALC2223!BB110&gt;0,INDIRECT(ADDRESS(MATCH(Agenda2526!C111,'CAL5'!A:A,0),2,4,1,"CAL5")),"")</f>
        <v>Toetsdag SE AK  SEWIC  Rep WIB</v>
      </c>
      <c r="Z110" s="21">
        <f ca="1">IF(CALC2223!BB110&gt;0,INDIRECT(ADDRESS(MATCH(Agenda2526!C111,'CAL5'!A:A,0),3,4,1,"CAL5")),0)</f>
        <v>45995</v>
      </c>
      <c r="AA110" s="20" t="str">
        <f ca="1">IF(CALC2223!BB110&gt;1,INDIRECT(ADDRESS(MATCH(Agenda2526!C111,'CAL5'!A:A,0)+1,2,4,1,"CAL5")),"")</f>
        <v/>
      </c>
      <c r="AB110" s="21">
        <f ca="1">IF(CALC2223!BB110&gt;1,INDIRECT(ADDRESS(MATCH(Agenda2526!C111,'CAL5'!A:A,0)+1,3,4,1,"CAL5")),0)</f>
        <v>0</v>
      </c>
      <c r="AC110" s="20" t="str">
        <f ca="1">IF(CALC2223!BB110&gt;2,INDIRECT(ADDRESS(MATCH(Agenda2526!C111,'CAL5'!A:A,0)+2,2,4,1,"CAL5")),"")</f>
        <v/>
      </c>
      <c r="AD110" s="21">
        <f ca="1">IF(CALC2223!BB110&gt;2,INDIRECT(ADDRESS(MATCH(Agenda2526!C111,'CAL5'!A:A,0)+2,3,4,1,"CAL5")),0)</f>
        <v>0</v>
      </c>
      <c r="AE110" s="20" t="str">
        <f ca="1">IF(CALC2223!BC110&gt;0,INDIRECT(ADDRESS(MATCH(Agenda2526!C111,'CAL6'!A:A,0),2,4,1,"CAL6")),"")</f>
        <v>tsweek: G6 WIA, B en C / kerstdiner</v>
      </c>
      <c r="AF110" s="21">
        <f ca="1">IF(CALC2223!BC110&gt;0,INDIRECT(ADDRESS(MATCH(Agenda2526!C111,'CAL6'!A:A,0),3,4,1,"CAL6")),0)</f>
        <v>46001</v>
      </c>
      <c r="AG110" s="20" t="str">
        <f ca="1">IF(CALC2223!BC110&gt;1,INDIRECT(ADDRESS(MATCH(Agenda2526!C111,'CAL6'!A:A,0)+1,2,4,1,"CAL6")),"")</f>
        <v/>
      </c>
      <c r="AH110" s="21">
        <f ca="1">IF(CALC2223!BC110&gt;1,INDIRECT(ADDRESS(MATCH(Agenda2526!C111,'CAL6'!A:A,0)+1,3,4,1,"CAL6")),0)</f>
        <v>0</v>
      </c>
      <c r="AI110" s="20" t="str">
        <f ca="1">IF(CALC2223!BC110&gt;2,INDIRECT(ADDRESS(MATCH(Agenda2526!C111,'CAL6'!A:A,0)+2,2,4,1,"CAL6")),"")</f>
        <v/>
      </c>
      <c r="AJ110" s="21">
        <f ca="1">IF(CALC2223!BC110&gt;2,INDIRECT(ADDRESS(MATCH(Agenda2526!C111,'CAL6'!A:A,0)+2,3,4,1,"CAL6")),0)</f>
        <v>0</v>
      </c>
      <c r="AK110" s="20" t="str">
        <f ca="1">IF(CALC2223!BD110&gt;0,INDIRECT(ADDRESS(MATCH(Agenda2526!C111,'CAL7'!A:A,0),2,4,1,"CAL7")),"")</f>
        <v>commissies#4</v>
      </c>
      <c r="AL110" s="21">
        <f ca="1">IF(CALC2223!BD110&gt;0,INDIRECT(ADDRESS(MATCH(Agenda2526!C111,'CAL7'!A:A,0),3,4,1,"CAL7")),0)</f>
        <v>45896</v>
      </c>
      <c r="AM110" s="20" t="str">
        <f ca="1">IF(CALC2223!BD110&gt;1,INDIRECT(ADDRESS(MATCH(Agenda2526!C111,'CAL7'!A:A,0)+1,2,4,1,"CAL7")),"")</f>
        <v/>
      </c>
      <c r="AN110" s="21">
        <f ca="1">IF(CALC2223!BD110&gt;1,INDIRECT(ADDRESS(MATCH(Agenda2526!C111,'CAL7'!A:A,0)+1,3,4,1,"CAL7")),0)</f>
        <v>0</v>
      </c>
      <c r="AO110" s="20" t="str">
        <f ca="1">IF(CALC2223!BD110&gt;2,INDIRECT(ADDRESS(MATCH(Agenda2526!C111,'CAL7'!A:A,0)+2,2,4,1,"CAL7")),"")</f>
        <v/>
      </c>
      <c r="AP110" s="21">
        <f ca="1">IF(CALC2223!BD110&gt;2,INDIRECT(ADDRESS(MATCH(Agenda2526!C111,'CAL7'!A:A,0)+2,3,4,1,"CAL7")),0)</f>
        <v>0</v>
      </c>
      <c r="AQ110" s="20" t="str">
        <f ca="1">IF(CALC2223!BE110&gt;0,INDIRECT(ADDRESS(MATCH(Agenda2526!C111,'CAL8'!A:A,0),2,4,1,"CAL8")),"")</f>
        <v>stgala</v>
      </c>
      <c r="AR110" s="21">
        <f ca="1">IF(CALC2223!BE110&gt;0,INDIRECT(ADDRESS(MATCH(Agenda2526!C111,'CAL8'!A:A,0),3,4,1,"CAL8")),0)</f>
        <v>45929</v>
      </c>
      <c r="AS110" s="20" t="str">
        <f ca="1">IF(CALC2223!BE110&gt;1,INDIRECT(ADDRESS(MATCH(Agenda2526!C111,'CAL8'!A:A,0)+1,2,4,1,"CAL8")),"")</f>
        <v/>
      </c>
      <c r="AT110" s="21">
        <f ca="1">IF(CALC2223!BE110&gt;1,INDIRECT(ADDRESS(MATCH(Agenda2526!C111,'CAL8'!A:A,0)+1,3,4,1,"CAL8")),0)</f>
        <v>0</v>
      </c>
      <c r="AU110" s="20" t="str">
        <f ca="1">IF(CALC2223!BE110&gt;2,INDIRECT(ADDRESS(MATCH(Agenda2526!C111,'CAL8'!A:A,0)+2,2,4,1,"CAL8")),"")</f>
        <v/>
      </c>
      <c r="AV110" s="21">
        <f ca="1">IF(CALC2223!BE110&gt;2,INDIRECT(ADDRESS(MATCH(Agenda2526!C111,'CAL8'!A:A,0)+2,3,4,1,"CAL8")),0)</f>
        <v>0</v>
      </c>
      <c r="AW110" s="105"/>
      <c r="AX110" s="20">
        <f>COUNTIF('CAL1'!A:A,Agenda2526!C111)</f>
        <v>0</v>
      </c>
      <c r="AY110" s="20">
        <f>COUNTIF('CAL2'!A:A,Agenda2526!C111)</f>
        <v>1</v>
      </c>
      <c r="AZ110" s="20">
        <f>COUNTIF('CAL3'!A:A,Agenda2526!C111)</f>
        <v>1</v>
      </c>
      <c r="BA110" s="20">
        <f>COUNTIF('CAL4'!A:A,Agenda2526!C111)</f>
        <v>1</v>
      </c>
      <c r="BB110" s="20">
        <f>COUNTIF('CAL5'!A:A,Agenda2526!C111)</f>
        <v>1</v>
      </c>
      <c r="BC110" s="20">
        <f>COUNTIF('CAL6'!A:A,Agenda2526!C111)</f>
        <v>1</v>
      </c>
      <c r="BD110" s="20">
        <f>COUNTIF('CAL7'!A:A,Agenda2526!C111)</f>
        <v>1</v>
      </c>
      <c r="BE110" s="20">
        <f>COUNTIF('CAL8'!A:A,Agenda2526!C111)</f>
        <v>1</v>
      </c>
    </row>
    <row r="111" spans="1:57" ht="15.75" customHeight="1">
      <c r="A111" s="20" t="str">
        <f ca="1">IF(CALC2223!AX111&gt;0,INDIRECT(ADDRESS(MATCH(Agenda2526!C112,'CAL1'!A:A,0),2,4,1,"CAL1")),"")</f>
        <v/>
      </c>
      <c r="B111" s="21">
        <f ca="1">IF(CALC2223!AX111&gt;0,INDIRECT(ADDRESS(MATCH(Agenda2526!C112,'CAL1'!A:A,0),3,4,1,"CAL1")),0)</f>
        <v>0</v>
      </c>
      <c r="C111" s="20" t="str">
        <f ca="1">IF(CALC2223!AX111&gt;1,INDIRECT(ADDRESS(MATCH(Agenda2526!C112,'CAL1'!A:A,0)+1,2,4,1,"CAL1")),"")</f>
        <v/>
      </c>
      <c r="D111" s="21">
        <f ca="1">IF(CALC2223!AX111&gt;1,INDIRECT(ADDRESS(MATCH(Agenda2526!C112,'CAL1'!A:A,0)+1,3,4,1,"CAL1")),0)</f>
        <v>0</v>
      </c>
      <c r="E111" s="20" t="str">
        <f ca="1">IF(CALC2223!AX111&gt;2,INDIRECT(ADDRESS(MATCH(Agenda2526!C112,'CAL1'!A:A,0)+2,2,4,1,"CAL1")),"")</f>
        <v/>
      </c>
      <c r="F111" s="21">
        <f ca="1">IF(CALC2223!AX111&gt;2,INDIRECT(ADDRESS(MATCH(Agenda2526!C112,'CAL1'!A:A,0)+2,3,4,1,"CAL1")),0)</f>
        <v>0</v>
      </c>
      <c r="G111" s="20" t="str">
        <f ca="1">IF(CALC2223!AY111&gt;0,INDIRECT(ADDRESS(MATCH(Agenda2526!C112,'CAL2'!A:A,0),2,4,1,"CAL2")),"")</f>
        <v/>
      </c>
      <c r="H111" s="21">
        <f ca="1">IF(CALC2223!AY111&gt;0,INDIRECT(ADDRESS(MATCH(Agenda2526!C112,'CAL2'!A:A,0),3,4,1,"CAL2")),0)</f>
        <v>0</v>
      </c>
      <c r="I111" s="20" t="str">
        <f ca="1">IF(CALC2223!AY111&gt;1,INDIRECT(ADDRESS(MATCH(Agenda2526!C112,'CAL2'!A:A,0)+1,2,4,1,"CAL2")),"")</f>
        <v/>
      </c>
      <c r="J111" s="21">
        <f ca="1">IF(CALC2223!AY111&gt;1,INDIRECT(ADDRESS(MATCH(Agenda2526!C112,'CAL2'!A:A,0)+1,3,4,1,"CAL2")),0)</f>
        <v>0</v>
      </c>
      <c r="K111" s="20" t="str">
        <f ca="1">IF(CALC2223!AY111&gt;2,INDIRECT(ADDRESS(MATCH(Agenda2526!C112,'CAL2'!A:A,0)+2,2,4,1,"CAL2")),"")</f>
        <v/>
      </c>
      <c r="L111" s="21">
        <f ca="1">IF(CALC2223!AY111&gt;2,INDIRECT(ADDRESS(MATCH(Agenda2526!C112,'CAL2'!A:A,0)+2,3,4,1,"CAL2")),0)</f>
        <v>0</v>
      </c>
      <c r="M111" s="20" t="str">
        <f ca="1">IF(CALC2223!AZ111&gt;0,INDIRECT(ADDRESS(MATCH(Agenda2526!C112,'CAL3'!A:A,0),2,4,1,"CAL3")),"")</f>
        <v/>
      </c>
      <c r="N111" s="21">
        <f ca="1">IF(CALC2223!AZ111&gt;0,INDIRECT(ADDRESS(MATCH(Agenda2526!C112,'CAL3'!A:A,0),3,4,1,"CAL3")),0)</f>
        <v>0</v>
      </c>
      <c r="O111" s="20" t="str">
        <f ca="1">IF(CALC2223!AZ111&gt;1,INDIRECT(ADDRESS(MATCH(Agenda2526!C112,'CAL3'!A:A,0)+1,2,4,1,"CAL3")),"")</f>
        <v/>
      </c>
      <c r="P111" s="21">
        <f ca="1">IF(CALC2223!AZ111&gt;1,INDIRECT(ADDRESS(MATCH(Agenda2526!C112,'CAL3'!A:A,0)+1,3,4,1,"CAL3")),0)</f>
        <v>0</v>
      </c>
      <c r="Q111" s="20" t="str">
        <f ca="1">IF(CALC2223!AZ111&gt;2,INDIRECT(ADDRESS(MATCH(Agenda2526!C112,'CAL3'!A:A,0)+2,2,4,1,"CAL3")),"")</f>
        <v/>
      </c>
      <c r="R111" s="21">
        <f ca="1">IF(CALC2223!AZ111&gt;2,INDIRECT(ADDRESS(MATCH(Agenda2526!C112,'CAL3'!A:A,0)+2,3,4,1,"CAL3")),0)</f>
        <v>0</v>
      </c>
      <c r="S111" s="20" t="str">
        <f ca="1">IF(CALC2223!BA111&gt;0,INDIRECT(ADDRESS(MATCH(Agenda2526!C112,'CAL4'!A:A,0),2,4,1,"CAL4")),"")</f>
        <v/>
      </c>
      <c r="T111" s="21">
        <f ca="1">IF(CALC2223!BA111&gt;0,INDIRECT(ADDRESS(MATCH(Agenda2526!C112,'CAL4'!A:A,0),3,4,1,"CAL4")),0)</f>
        <v>0</v>
      </c>
      <c r="U111" s="20" t="str">
        <f ca="1">IF(CALC2223!BA111&gt;1,INDIRECT(ADDRESS(MATCH(Agenda2526!C112,'CAL4'!A:A,0)+1,2,4,1,"CAL4")),"")</f>
        <v/>
      </c>
      <c r="V111" s="21">
        <f ca="1">IF(CALC2223!BA111&gt;1,INDIRECT(ADDRESS(MATCH(Agenda2526!C112,'CAL4'!A:A,0)+1,3,4,1,"CAL4")),0)</f>
        <v>0</v>
      </c>
      <c r="W111" s="20" t="str">
        <f ca="1">IF(CALC2223!BA111&gt;2,INDIRECT(ADDRESS(MATCH(Agenda2526!C112,'CAL4'!A:A,0)+2,2,4,1,"CAL4")),"")</f>
        <v/>
      </c>
      <c r="X111" s="21">
        <f ca="1">IF(CALC2223!BA111&gt;2,INDIRECT(ADDRESS(MATCH(Agenda2526!C112,'CAL4'!A:A,0)+2,3,4,1,"CAL4")),0)</f>
        <v>0</v>
      </c>
      <c r="Y111" s="20" t="str">
        <f ca="1">IF(CALC2223!BB111&gt;0,INDIRECT(ADDRESS(MATCH(Agenda2526!C112,'CAL5'!A:A,0),2,4,1,"CAL5")),"")</f>
        <v/>
      </c>
      <c r="Z111" s="21">
        <f ca="1">IF(CALC2223!BB111&gt;0,INDIRECT(ADDRESS(MATCH(Agenda2526!C112,'CAL5'!A:A,0),3,4,1,"CAL5")),0)</f>
        <v>0</v>
      </c>
      <c r="AA111" s="20" t="str">
        <f ca="1">IF(CALC2223!BB111&gt;1,INDIRECT(ADDRESS(MATCH(Agenda2526!C112,'CAL5'!A:A,0)+1,2,4,1,"CAL5")),"")</f>
        <v/>
      </c>
      <c r="AB111" s="21">
        <f ca="1">IF(CALC2223!BB111&gt;1,INDIRECT(ADDRESS(MATCH(Agenda2526!C112,'CAL5'!A:A,0)+1,3,4,1,"CAL5")),0)</f>
        <v>0</v>
      </c>
      <c r="AC111" s="20" t="str">
        <f ca="1">IF(CALC2223!BB111&gt;2,INDIRECT(ADDRESS(MATCH(Agenda2526!C112,'CAL5'!A:A,0)+2,2,4,1,"CAL5")),"")</f>
        <v/>
      </c>
      <c r="AD111" s="21">
        <f ca="1">IF(CALC2223!BB111&gt;2,INDIRECT(ADDRESS(MATCH(Agenda2526!C112,'CAL5'!A:A,0)+2,3,4,1,"CAL5")),0)</f>
        <v>0</v>
      </c>
      <c r="AE111" s="20" t="str">
        <f ca="1">IF(CALC2223!BC111&gt;0,INDIRECT(ADDRESS(MATCH(Agenda2526!C112,'CAL6'!A:A,0),2,4,1,"CAL6")),"")</f>
        <v/>
      </c>
      <c r="AF111" s="21">
        <f ca="1">IF(CALC2223!BC111&gt;0,INDIRECT(ADDRESS(MATCH(Agenda2526!C112,'CAL6'!A:A,0),3,4,1,"CAL6")),0)</f>
        <v>0</v>
      </c>
      <c r="AG111" s="20" t="str">
        <f ca="1">IF(CALC2223!BC111&gt;1,INDIRECT(ADDRESS(MATCH(Agenda2526!C112,'CAL6'!A:A,0)+1,2,4,1,"CAL6")),"")</f>
        <v/>
      </c>
      <c r="AH111" s="21">
        <f ca="1">IF(CALC2223!BC111&gt;1,INDIRECT(ADDRESS(MATCH(Agenda2526!C112,'CAL6'!A:A,0)+1,3,4,1,"CAL6")),0)</f>
        <v>0</v>
      </c>
      <c r="AI111" s="20" t="str">
        <f ca="1">IF(CALC2223!BC111&gt;2,INDIRECT(ADDRESS(MATCH(Agenda2526!C112,'CAL6'!A:A,0)+2,2,4,1,"CAL6")),"")</f>
        <v/>
      </c>
      <c r="AJ111" s="21">
        <f ca="1">IF(CALC2223!BC111&gt;2,INDIRECT(ADDRESS(MATCH(Agenda2526!C112,'CAL6'!A:A,0)+2,3,4,1,"CAL6")),0)</f>
        <v>0</v>
      </c>
      <c r="AK111" s="20" t="str">
        <f ca="1">IF(CALC2223!BD111&gt;0,INDIRECT(ADDRESS(MATCH(Agenda2526!C112,'CAL7'!A:A,0),2,4,1,"CAL7")),"")</f>
        <v/>
      </c>
      <c r="AL111" s="21">
        <f ca="1">IF(CALC2223!BD111&gt;0,INDIRECT(ADDRESS(MATCH(Agenda2526!C112,'CAL7'!A:A,0),3,4,1,"CAL7")),0)</f>
        <v>0</v>
      </c>
      <c r="AM111" s="20" t="str">
        <f ca="1">IF(CALC2223!BD111&gt;1,INDIRECT(ADDRESS(MATCH(Agenda2526!C112,'CAL7'!A:A,0)+1,2,4,1,"CAL7")),"")</f>
        <v/>
      </c>
      <c r="AN111" s="21">
        <f ca="1">IF(CALC2223!BD111&gt;1,INDIRECT(ADDRESS(MATCH(Agenda2526!C112,'CAL7'!A:A,0)+1,3,4,1,"CAL7")),0)</f>
        <v>0</v>
      </c>
      <c r="AO111" s="20" t="str">
        <f ca="1">IF(CALC2223!BD111&gt;2,INDIRECT(ADDRESS(MATCH(Agenda2526!C112,'CAL7'!A:A,0)+2,2,4,1,"CAL7")),"")</f>
        <v/>
      </c>
      <c r="AP111" s="21">
        <f ca="1">IF(CALC2223!BD111&gt;2,INDIRECT(ADDRESS(MATCH(Agenda2526!C112,'CAL7'!A:A,0)+2,3,4,1,"CAL7")),0)</f>
        <v>0</v>
      </c>
      <c r="AQ111" s="20" t="str">
        <f ca="1">IF(CALC2223!BE111&gt;0,INDIRECT(ADDRESS(MATCH(Agenda2526!C112,'CAL8'!A:A,0),2,4,1,"CAL8")),"")</f>
        <v xml:space="preserve">kerstviering         </v>
      </c>
      <c r="AR111" s="21">
        <f ca="1">IF(CALC2223!BE111&gt;0,INDIRECT(ADDRESS(MATCH(Agenda2526!C112,'CAL8'!A:A,0),3,4,1,"CAL8")),0)</f>
        <v>45896</v>
      </c>
      <c r="AS111" s="20" t="str">
        <f ca="1">IF(CALC2223!BE111&gt;1,INDIRECT(ADDRESS(MATCH(Agenda2526!C112,'CAL8'!A:A,0)+1,2,4,1,"CAL8")),"")</f>
        <v/>
      </c>
      <c r="AT111" s="21">
        <f ca="1">IF(CALC2223!BE111&gt;1,INDIRECT(ADDRESS(MATCH(Agenda2526!C112,'CAL8'!A:A,0)+1,3,4,1,"CAL8")),0)</f>
        <v>0</v>
      </c>
      <c r="AU111" s="20" t="str">
        <f ca="1">IF(CALC2223!BE111&gt;2,INDIRECT(ADDRESS(MATCH(Agenda2526!C112,'CAL8'!A:A,0)+2,2,4,1,"CAL8")),"")</f>
        <v/>
      </c>
      <c r="AV111" s="21">
        <f ca="1">IF(CALC2223!BE111&gt;2,INDIRECT(ADDRESS(MATCH(Agenda2526!C112,'CAL8'!A:A,0)+2,3,4,1,"CAL8")),0)</f>
        <v>0</v>
      </c>
      <c r="AW111" s="104"/>
      <c r="AX111" s="20">
        <f>COUNTIF('CAL1'!A:A,Agenda2526!C112)</f>
        <v>0</v>
      </c>
      <c r="AY111" s="20">
        <f>COUNTIF('CAL2'!A:A,Agenda2526!C112)</f>
        <v>0</v>
      </c>
      <c r="AZ111" s="20">
        <f>COUNTIF('CAL3'!A:A,Agenda2526!C112)</f>
        <v>0</v>
      </c>
      <c r="BA111" s="20">
        <f>COUNTIF('CAL4'!A:A,Agenda2526!C112)</f>
        <v>0</v>
      </c>
      <c r="BB111" s="20">
        <f>COUNTIF('CAL5'!A:A,Agenda2526!C112)</f>
        <v>0</v>
      </c>
      <c r="BC111" s="20">
        <f>COUNTIF('CAL6'!A:A,Agenda2526!C112)</f>
        <v>0</v>
      </c>
      <c r="BD111" s="20">
        <f>COUNTIF('CAL7'!A:A,Agenda2526!C112)</f>
        <v>0</v>
      </c>
      <c r="BE111" s="20">
        <f>COUNTIF('CAL8'!A:A,Agenda2526!C112)</f>
        <v>1</v>
      </c>
    </row>
    <row r="112" spans="1:57" ht="15.75" customHeight="1">
      <c r="A112" s="20" t="str">
        <f ca="1">IF(CALC2223!AX112&gt;0,INDIRECT(ADDRESS(MATCH(Agenda2526!C113,'CAL1'!A:A,0),2,4,1,"CAL1")),"")</f>
        <v/>
      </c>
      <c r="B112" s="21">
        <f ca="1">IF(CALC2223!AX112&gt;0,INDIRECT(ADDRESS(MATCH(Agenda2526!C113,'CAL1'!A:A,0),3,4,1,"CAL1")),0)</f>
        <v>0</v>
      </c>
      <c r="C112" s="20" t="str">
        <f ca="1">IF(CALC2223!AX112&gt;1,INDIRECT(ADDRESS(MATCH(Agenda2526!C113,'CAL1'!A:A,0)+1,2,4,1,"CAL1")),"")</f>
        <v/>
      </c>
      <c r="D112" s="21">
        <f ca="1">IF(CALC2223!AX112&gt;1,INDIRECT(ADDRESS(MATCH(Agenda2526!C113,'CAL1'!A:A,0)+1,3,4,1,"CAL1")),0)</f>
        <v>0</v>
      </c>
      <c r="E112" s="20" t="str">
        <f ca="1">IF(CALC2223!AX112&gt;2,INDIRECT(ADDRESS(MATCH(Agenda2526!C113,'CAL1'!A:A,0)+2,2,4,1,"CAL1")),"")</f>
        <v/>
      </c>
      <c r="F112" s="21">
        <f ca="1">IF(CALC2223!AX112&gt;2,INDIRECT(ADDRESS(MATCH(Agenda2526!C113,'CAL1'!A:A,0)+2,3,4,1,"CAL1")),0)</f>
        <v>0</v>
      </c>
      <c r="G112" s="20" t="str">
        <f ca="1">IF(CALC2223!AY112&gt;0,INDIRECT(ADDRESS(MATCH(Agenda2526!C113,'CAL2'!A:A,0),2,4,1,"CAL2")),"")</f>
        <v/>
      </c>
      <c r="H112" s="21">
        <f ca="1">IF(CALC2223!AY112&gt;0,INDIRECT(ADDRESS(MATCH(Agenda2526!C113,'CAL2'!A:A,0),3,4,1,"CAL2")),0)</f>
        <v>0</v>
      </c>
      <c r="I112" s="20" t="str">
        <f ca="1">IF(CALC2223!AY112&gt;1,INDIRECT(ADDRESS(MATCH(Agenda2526!C113,'CAL2'!A:A,0)+1,2,4,1,"CAL2")),"")</f>
        <v/>
      </c>
      <c r="J112" s="21">
        <f ca="1">IF(CALC2223!AY112&gt;1,INDIRECT(ADDRESS(MATCH(Agenda2526!C113,'CAL2'!A:A,0)+1,3,4,1,"CAL2")),0)</f>
        <v>0</v>
      </c>
      <c r="K112" s="20" t="str">
        <f ca="1">IF(CALC2223!AY112&gt;2,INDIRECT(ADDRESS(MATCH(Agenda2526!C113,'CAL2'!A:A,0)+2,2,4,1,"CAL2")),"")</f>
        <v/>
      </c>
      <c r="L112" s="21">
        <f ca="1">IF(CALC2223!AY112&gt;2,INDIRECT(ADDRESS(MATCH(Agenda2526!C113,'CAL2'!A:A,0)+2,3,4,1,"CAL2")),0)</f>
        <v>0</v>
      </c>
      <c r="M112" s="20" t="str">
        <f ca="1">IF(CALC2223!AZ112&gt;0,INDIRECT(ADDRESS(MATCH(Agenda2526!C113,'CAL3'!A:A,0),2,4,1,"CAL3")),"")</f>
        <v/>
      </c>
      <c r="N112" s="21">
        <f ca="1">IF(CALC2223!AZ112&gt;0,INDIRECT(ADDRESS(MATCH(Agenda2526!C113,'CAL3'!A:A,0),3,4,1,"CAL3")),0)</f>
        <v>0</v>
      </c>
      <c r="O112" s="20" t="str">
        <f ca="1">IF(CALC2223!AZ112&gt;1,INDIRECT(ADDRESS(MATCH(Agenda2526!C113,'CAL3'!A:A,0)+1,2,4,1,"CAL3")),"")</f>
        <v/>
      </c>
      <c r="P112" s="21">
        <f ca="1">IF(CALC2223!AZ112&gt;1,INDIRECT(ADDRESS(MATCH(Agenda2526!C113,'CAL3'!A:A,0)+1,3,4,1,"CAL3")),0)</f>
        <v>0</v>
      </c>
      <c r="Q112" s="20" t="str">
        <f ca="1">IF(CALC2223!AZ112&gt;2,INDIRECT(ADDRESS(MATCH(Agenda2526!C113,'CAL3'!A:A,0)+2,2,4,1,"CAL3")),"")</f>
        <v/>
      </c>
      <c r="R112" s="21">
        <f ca="1">IF(CALC2223!AZ112&gt;2,INDIRECT(ADDRESS(MATCH(Agenda2526!C113,'CAL3'!A:A,0)+2,3,4,1,"CAL3")),0)</f>
        <v>0</v>
      </c>
      <c r="S112" s="20" t="str">
        <f ca="1">IF(CALC2223!BA112&gt;0,INDIRECT(ADDRESS(MATCH(Agenda2526!C113,'CAL4'!A:A,0),2,4,1,"CAL4")),"")</f>
        <v/>
      </c>
      <c r="T112" s="21">
        <f ca="1">IF(CALC2223!BA112&gt;0,INDIRECT(ADDRESS(MATCH(Agenda2526!C113,'CAL4'!A:A,0),3,4,1,"CAL4")),0)</f>
        <v>0</v>
      </c>
      <c r="U112" s="20" t="str">
        <f ca="1">IF(CALC2223!BA112&gt;1,INDIRECT(ADDRESS(MATCH(Agenda2526!C113,'CAL4'!A:A,0)+1,2,4,1,"CAL4")),"")</f>
        <v/>
      </c>
      <c r="V112" s="21">
        <f ca="1">IF(CALC2223!BA112&gt;1,INDIRECT(ADDRESS(MATCH(Agenda2526!C113,'CAL4'!A:A,0)+1,3,4,1,"CAL4")),0)</f>
        <v>0</v>
      </c>
      <c r="W112" s="20" t="str">
        <f ca="1">IF(CALC2223!BA112&gt;2,INDIRECT(ADDRESS(MATCH(Agenda2526!C113,'CAL4'!A:A,0)+2,2,4,1,"CAL4")),"")</f>
        <v/>
      </c>
      <c r="X112" s="21">
        <f ca="1">IF(CALC2223!BA112&gt;2,INDIRECT(ADDRESS(MATCH(Agenda2526!C113,'CAL4'!A:A,0)+2,3,4,1,"CAL4")),0)</f>
        <v>0</v>
      </c>
      <c r="Y112" s="20" t="str">
        <f ca="1">IF(CALC2223!BB112&gt;0,INDIRECT(ADDRESS(MATCH(Agenda2526!C113,'CAL5'!A:A,0),2,4,1,"CAL5")),"")</f>
        <v/>
      </c>
      <c r="Z112" s="21">
        <f ca="1">IF(CALC2223!BB112&gt;0,INDIRECT(ADDRESS(MATCH(Agenda2526!C113,'CAL5'!A:A,0),3,4,1,"CAL5")),0)</f>
        <v>0</v>
      </c>
      <c r="AA112" s="20" t="str">
        <f ca="1">IF(CALC2223!BB112&gt;1,INDIRECT(ADDRESS(MATCH(Agenda2526!C113,'CAL5'!A:A,0)+1,2,4,1,"CAL5")),"")</f>
        <v/>
      </c>
      <c r="AB112" s="21">
        <f ca="1">IF(CALC2223!BB112&gt;1,INDIRECT(ADDRESS(MATCH(Agenda2526!C113,'CAL5'!A:A,0)+1,3,4,1,"CAL5")),0)</f>
        <v>0</v>
      </c>
      <c r="AC112" s="20" t="str">
        <f ca="1">IF(CALC2223!BB112&gt;2,INDIRECT(ADDRESS(MATCH(Agenda2526!C113,'CAL5'!A:A,0)+2,2,4,1,"CAL5")),"")</f>
        <v/>
      </c>
      <c r="AD112" s="21">
        <f ca="1">IF(CALC2223!BB112&gt;2,INDIRECT(ADDRESS(MATCH(Agenda2526!C113,'CAL5'!A:A,0)+2,3,4,1,"CAL5")),0)</f>
        <v>0</v>
      </c>
      <c r="AE112" s="20" t="str">
        <f ca="1">IF(CALC2223!BC112&gt;0,INDIRECT(ADDRESS(MATCH(Agenda2526!C113,'CAL6'!A:A,0),2,4,1,"CAL6")),"")</f>
        <v/>
      </c>
      <c r="AF112" s="21">
        <f ca="1">IF(CALC2223!BC112&gt;0,INDIRECT(ADDRESS(MATCH(Agenda2526!C113,'CAL6'!A:A,0),3,4,1,"CAL6")),0)</f>
        <v>0</v>
      </c>
      <c r="AG112" s="20" t="str">
        <f ca="1">IF(CALC2223!BC112&gt;1,INDIRECT(ADDRESS(MATCH(Agenda2526!C113,'CAL6'!A:A,0)+1,2,4,1,"CAL6")),"")</f>
        <v/>
      </c>
      <c r="AH112" s="21">
        <f ca="1">IF(CALC2223!BC112&gt;1,INDIRECT(ADDRESS(MATCH(Agenda2526!C113,'CAL6'!A:A,0)+1,3,4,1,"CAL6")),0)</f>
        <v>0</v>
      </c>
      <c r="AI112" s="20" t="str">
        <f ca="1">IF(CALC2223!BC112&gt;2,INDIRECT(ADDRESS(MATCH(Agenda2526!C113,'CAL6'!A:A,0)+2,2,4,1,"CAL6")),"")</f>
        <v/>
      </c>
      <c r="AJ112" s="21">
        <f ca="1">IF(CALC2223!BC112&gt;2,INDIRECT(ADDRESS(MATCH(Agenda2526!C113,'CAL6'!A:A,0)+2,3,4,1,"CAL6")),0)</f>
        <v>0</v>
      </c>
      <c r="AK112" s="20" t="str">
        <f ca="1">IF(CALC2223!BD112&gt;0,INDIRECT(ADDRESS(MATCH(Agenda2526!C113,'CAL7'!A:A,0),2,4,1,"CAL7")),"")</f>
        <v/>
      </c>
      <c r="AL112" s="21">
        <f ca="1">IF(CALC2223!BD112&gt;0,INDIRECT(ADDRESS(MATCH(Agenda2526!C113,'CAL7'!A:A,0),3,4,1,"CAL7")),0)</f>
        <v>0</v>
      </c>
      <c r="AM112" s="20" t="str">
        <f ca="1">IF(CALC2223!BD112&gt;1,INDIRECT(ADDRESS(MATCH(Agenda2526!C113,'CAL7'!A:A,0)+1,2,4,1,"CAL7")),"")</f>
        <v/>
      </c>
      <c r="AN112" s="21">
        <f ca="1">IF(CALC2223!BD112&gt;1,INDIRECT(ADDRESS(MATCH(Agenda2526!C113,'CAL7'!A:A,0)+1,3,4,1,"CAL7")),0)</f>
        <v>0</v>
      </c>
      <c r="AO112" s="20" t="str">
        <f ca="1">IF(CALC2223!BD112&gt;2,INDIRECT(ADDRESS(MATCH(Agenda2526!C113,'CAL7'!A:A,0)+2,2,4,1,"CAL7")),"")</f>
        <v/>
      </c>
      <c r="AP112" s="21">
        <f ca="1">IF(CALC2223!BD112&gt;2,INDIRECT(ADDRESS(MATCH(Agenda2526!C113,'CAL7'!A:A,0)+2,3,4,1,"CAL7")),0)</f>
        <v>0</v>
      </c>
      <c r="AQ112" s="20" t="str">
        <f ca="1">IF(CALC2223!BE112&gt;0,INDIRECT(ADDRESS(MATCH(Agenda2526!C113,'CAL8'!A:A,0),2,4,1,"CAL8")),"")</f>
        <v>Kerstvakantie</v>
      </c>
      <c r="AR112" s="21">
        <f ca="1">IF(CALC2223!BE112&gt;0,INDIRECT(ADDRESS(MATCH(Agenda2526!C113,'CAL8'!A:A,0),3,4,1,"CAL8")),0)</f>
        <v>45617</v>
      </c>
      <c r="AS112" s="20" t="str">
        <f ca="1">IF(CALC2223!BE112&gt;1,INDIRECT(ADDRESS(MATCH(Agenda2526!C113,'CAL8'!A:A,0)+1,2,4,1,"CAL8")),"")</f>
        <v/>
      </c>
      <c r="AT112" s="21">
        <f ca="1">IF(CALC2223!BE112&gt;1,INDIRECT(ADDRESS(MATCH(Agenda2526!C113,'CAL8'!A:A,0)+1,3,4,1,"CAL8")),0)</f>
        <v>0</v>
      </c>
      <c r="AU112" s="20" t="str">
        <f ca="1">IF(CALC2223!BE112&gt;2,INDIRECT(ADDRESS(MATCH(Agenda2526!C113,'CAL8'!A:A,0)+2,2,4,1,"CAL8")),"")</f>
        <v/>
      </c>
      <c r="AV112" s="21">
        <f ca="1">IF(CALC2223!BE112&gt;2,INDIRECT(ADDRESS(MATCH(Agenda2526!C113,'CAL8'!A:A,0)+2,3,4,1,"CAL8")),0)</f>
        <v>0</v>
      </c>
      <c r="AW112" s="106"/>
      <c r="AX112" s="20">
        <f>COUNTIF('CAL1'!A:A,Agenda2526!C113)</f>
        <v>0</v>
      </c>
      <c r="AY112" s="20">
        <f>COUNTIF('CAL2'!A:A,Agenda2526!C113)</f>
        <v>0</v>
      </c>
      <c r="AZ112" s="20">
        <f>COUNTIF('CAL3'!A:A,Agenda2526!C113)</f>
        <v>0</v>
      </c>
      <c r="BA112" s="20">
        <f>COUNTIF('CAL4'!A:A,Agenda2526!C113)</f>
        <v>0</v>
      </c>
      <c r="BB112" s="20">
        <f>COUNTIF('CAL5'!A:A,Agenda2526!C113)</f>
        <v>0</v>
      </c>
      <c r="BC112" s="20">
        <f>COUNTIF('CAL6'!A:A,Agenda2526!C113)</f>
        <v>0</v>
      </c>
      <c r="BD112" s="20">
        <f>COUNTIF('CAL7'!A:A,Agenda2526!C113)</f>
        <v>0</v>
      </c>
      <c r="BE112" s="20">
        <f>COUNTIF('CAL8'!A:A,Agenda2526!C113)</f>
        <v>1</v>
      </c>
    </row>
    <row r="113" spans="1:57" ht="15.75" customHeight="1">
      <c r="A113" s="20" t="str">
        <f ca="1">IF(CALC2223!AX113&gt;0,INDIRECT(ADDRESS(MATCH(Agenda2526!C114,'CAL1'!A:A,0),2,4,1,"CAL1")),"")</f>
        <v/>
      </c>
      <c r="B113" s="21">
        <f ca="1">IF(CALC2223!AX113&gt;0,INDIRECT(ADDRESS(MATCH(Agenda2526!C114,'CAL1'!A:A,0),3,4,1,"CAL1")),0)</f>
        <v>0</v>
      </c>
      <c r="C113" s="20" t="str">
        <f ca="1">IF(CALC2223!AX113&gt;1,INDIRECT(ADDRESS(MATCH(Agenda2526!C114,'CAL1'!A:A,0)+1,2,4,1,"CAL1")),"")</f>
        <v/>
      </c>
      <c r="D113" s="21">
        <f ca="1">IF(CALC2223!AX113&gt;1,INDIRECT(ADDRESS(MATCH(Agenda2526!C114,'CAL1'!A:A,0)+1,3,4,1,"CAL1")),0)</f>
        <v>0</v>
      </c>
      <c r="E113" s="20" t="str">
        <f ca="1">IF(CALC2223!AX113&gt;2,INDIRECT(ADDRESS(MATCH(Agenda2526!C114,'CAL1'!A:A,0)+2,2,4,1,"CAL1")),"")</f>
        <v/>
      </c>
      <c r="F113" s="21">
        <f ca="1">IF(CALC2223!AX113&gt;2,INDIRECT(ADDRESS(MATCH(Agenda2526!C114,'CAL1'!A:A,0)+2,3,4,1,"CAL1")),0)</f>
        <v>0</v>
      </c>
      <c r="G113" s="20" t="str">
        <f ca="1">IF(CALC2223!AY113&gt;0,INDIRECT(ADDRESS(MATCH(Agenda2526!C114,'CAL2'!A:A,0),2,4,1,"CAL2")),"")</f>
        <v/>
      </c>
      <c r="H113" s="21">
        <f ca="1">IF(CALC2223!AY113&gt;0,INDIRECT(ADDRESS(MATCH(Agenda2526!C114,'CAL2'!A:A,0),3,4,1,"CAL2")),0)</f>
        <v>0</v>
      </c>
      <c r="I113" s="20" t="str">
        <f ca="1">IF(CALC2223!AY113&gt;1,INDIRECT(ADDRESS(MATCH(Agenda2526!C114,'CAL2'!A:A,0)+1,2,4,1,"CAL2")),"")</f>
        <v/>
      </c>
      <c r="J113" s="21">
        <f ca="1">IF(CALC2223!AY113&gt;1,INDIRECT(ADDRESS(MATCH(Agenda2526!C114,'CAL2'!A:A,0)+1,3,4,1,"CAL2")),0)</f>
        <v>0</v>
      </c>
      <c r="K113" s="20" t="str">
        <f ca="1">IF(CALC2223!AY113&gt;2,INDIRECT(ADDRESS(MATCH(Agenda2526!C114,'CAL2'!A:A,0)+2,2,4,1,"CAL2")),"")</f>
        <v/>
      </c>
      <c r="L113" s="21">
        <f ca="1">IF(CALC2223!AY113&gt;2,INDIRECT(ADDRESS(MATCH(Agenda2526!C114,'CAL2'!A:A,0)+2,3,4,1,"CAL2")),0)</f>
        <v>0</v>
      </c>
      <c r="M113" s="20" t="str">
        <f ca="1">IF(CALC2223!AZ113&gt;0,INDIRECT(ADDRESS(MATCH(Agenda2526!C114,'CAL3'!A:A,0),2,4,1,"CAL3")),"")</f>
        <v/>
      </c>
      <c r="N113" s="21">
        <f ca="1">IF(CALC2223!AZ113&gt;0,INDIRECT(ADDRESS(MATCH(Agenda2526!C114,'CAL3'!A:A,0),3,4,1,"CAL3")),0)</f>
        <v>0</v>
      </c>
      <c r="O113" s="20" t="str">
        <f ca="1">IF(CALC2223!AZ113&gt;1,INDIRECT(ADDRESS(MATCH(Agenda2526!C114,'CAL3'!A:A,0)+1,2,4,1,"CAL3")),"")</f>
        <v/>
      </c>
      <c r="P113" s="21">
        <f ca="1">IF(CALC2223!AZ113&gt;1,INDIRECT(ADDRESS(MATCH(Agenda2526!C114,'CAL3'!A:A,0)+1,3,4,1,"CAL3")),0)</f>
        <v>0</v>
      </c>
      <c r="Q113" s="20" t="str">
        <f ca="1">IF(CALC2223!AZ113&gt;2,INDIRECT(ADDRESS(MATCH(Agenda2526!C114,'CAL3'!A:A,0)+2,2,4,1,"CAL3")),"")</f>
        <v/>
      </c>
      <c r="R113" s="21">
        <f ca="1">IF(CALC2223!AZ113&gt;2,INDIRECT(ADDRESS(MATCH(Agenda2526!C114,'CAL3'!A:A,0)+2,3,4,1,"CAL3")),0)</f>
        <v>0</v>
      </c>
      <c r="S113" s="20" t="str">
        <f ca="1">IF(CALC2223!BA113&gt;0,INDIRECT(ADDRESS(MATCH(Agenda2526!C114,'CAL4'!A:A,0),2,4,1,"CAL4")),"")</f>
        <v/>
      </c>
      <c r="T113" s="21">
        <f ca="1">IF(CALC2223!BA113&gt;0,INDIRECT(ADDRESS(MATCH(Agenda2526!C114,'CAL4'!A:A,0),3,4,1,"CAL4")),0)</f>
        <v>0</v>
      </c>
      <c r="U113" s="20" t="str">
        <f ca="1">IF(CALC2223!BA113&gt;1,INDIRECT(ADDRESS(MATCH(Agenda2526!C114,'CAL4'!A:A,0)+1,2,4,1,"CAL4")),"")</f>
        <v/>
      </c>
      <c r="V113" s="21">
        <f ca="1">IF(CALC2223!BA113&gt;1,INDIRECT(ADDRESS(MATCH(Agenda2526!C114,'CAL4'!A:A,0)+1,3,4,1,"CAL4")),0)</f>
        <v>0</v>
      </c>
      <c r="W113" s="20" t="str">
        <f ca="1">IF(CALC2223!BA113&gt;2,INDIRECT(ADDRESS(MATCH(Agenda2526!C114,'CAL4'!A:A,0)+2,2,4,1,"CAL4")),"")</f>
        <v/>
      </c>
      <c r="X113" s="21">
        <f ca="1">IF(CALC2223!BA113&gt;2,INDIRECT(ADDRESS(MATCH(Agenda2526!C114,'CAL4'!A:A,0)+2,3,4,1,"CAL4")),0)</f>
        <v>0</v>
      </c>
      <c r="Y113" s="20" t="str">
        <f ca="1">IF(CALC2223!BB113&gt;0,INDIRECT(ADDRESS(MATCH(Agenda2526!C114,'CAL5'!A:A,0),2,4,1,"CAL5")),"")</f>
        <v/>
      </c>
      <c r="Z113" s="21">
        <f ca="1">IF(CALC2223!BB113&gt;0,INDIRECT(ADDRESS(MATCH(Agenda2526!C114,'CAL5'!A:A,0),3,4,1,"CAL5")),0)</f>
        <v>0</v>
      </c>
      <c r="AA113" s="20" t="str">
        <f ca="1">IF(CALC2223!BB113&gt;1,INDIRECT(ADDRESS(MATCH(Agenda2526!C114,'CAL5'!A:A,0)+1,2,4,1,"CAL5")),"")</f>
        <v/>
      </c>
      <c r="AB113" s="21">
        <f ca="1">IF(CALC2223!BB113&gt;1,INDIRECT(ADDRESS(MATCH(Agenda2526!C114,'CAL5'!A:A,0)+1,3,4,1,"CAL5")),0)</f>
        <v>0</v>
      </c>
      <c r="AC113" s="20" t="str">
        <f ca="1">IF(CALC2223!BB113&gt;2,INDIRECT(ADDRESS(MATCH(Agenda2526!C114,'CAL5'!A:A,0)+2,2,4,1,"CAL5")),"")</f>
        <v/>
      </c>
      <c r="AD113" s="21">
        <f ca="1">IF(CALC2223!BB113&gt;2,INDIRECT(ADDRESS(MATCH(Agenda2526!C114,'CAL5'!A:A,0)+2,3,4,1,"CAL5")),0)</f>
        <v>0</v>
      </c>
      <c r="AE113" s="20" t="str">
        <f ca="1">IF(CALC2223!BC113&gt;0,INDIRECT(ADDRESS(MATCH(Agenda2526!C114,'CAL6'!A:A,0),2,4,1,"CAL6")),"")</f>
        <v/>
      </c>
      <c r="AF113" s="21">
        <f ca="1">IF(CALC2223!BC113&gt;0,INDIRECT(ADDRESS(MATCH(Agenda2526!C114,'CAL6'!A:A,0),3,4,1,"CAL6")),0)</f>
        <v>0</v>
      </c>
      <c r="AG113" s="20" t="str">
        <f ca="1">IF(CALC2223!BC113&gt;1,INDIRECT(ADDRESS(MATCH(Agenda2526!C114,'CAL6'!A:A,0)+1,2,4,1,"CAL6")),"")</f>
        <v/>
      </c>
      <c r="AH113" s="21">
        <f ca="1">IF(CALC2223!BC113&gt;1,INDIRECT(ADDRESS(MATCH(Agenda2526!C114,'CAL6'!A:A,0)+1,3,4,1,"CAL6")),0)</f>
        <v>0</v>
      </c>
      <c r="AI113" s="20" t="str">
        <f ca="1">IF(CALC2223!BC113&gt;2,INDIRECT(ADDRESS(MATCH(Agenda2526!C114,'CAL6'!A:A,0)+2,2,4,1,"CAL6")),"")</f>
        <v/>
      </c>
      <c r="AJ113" s="21">
        <f ca="1">IF(CALC2223!BC113&gt;2,INDIRECT(ADDRESS(MATCH(Agenda2526!C114,'CAL6'!A:A,0)+2,3,4,1,"CAL6")),0)</f>
        <v>0</v>
      </c>
      <c r="AK113" s="20" t="str">
        <f ca="1">IF(CALC2223!BD113&gt;0,INDIRECT(ADDRESS(MATCH(Agenda2526!C114,'CAL7'!A:A,0),2,4,1,"CAL7")),"")</f>
        <v/>
      </c>
      <c r="AL113" s="21">
        <f ca="1">IF(CALC2223!BD113&gt;0,INDIRECT(ADDRESS(MATCH(Agenda2526!C114,'CAL7'!A:A,0),3,4,1,"CAL7")),0)</f>
        <v>0</v>
      </c>
      <c r="AM113" s="20" t="str">
        <f ca="1">IF(CALC2223!BD113&gt;1,INDIRECT(ADDRESS(MATCH(Agenda2526!C114,'CAL7'!A:A,0)+1,2,4,1,"CAL7")),"")</f>
        <v/>
      </c>
      <c r="AN113" s="21">
        <f ca="1">IF(CALC2223!BD113&gt;1,INDIRECT(ADDRESS(MATCH(Agenda2526!C114,'CAL7'!A:A,0)+1,3,4,1,"CAL7")),0)</f>
        <v>0</v>
      </c>
      <c r="AO113" s="20" t="str">
        <f ca="1">IF(CALC2223!BD113&gt;2,INDIRECT(ADDRESS(MATCH(Agenda2526!C114,'CAL7'!A:A,0)+2,2,4,1,"CAL7")),"")</f>
        <v/>
      </c>
      <c r="AP113" s="21">
        <f ca="1">IF(CALC2223!BD113&gt;2,INDIRECT(ADDRESS(MATCH(Agenda2526!C114,'CAL7'!A:A,0)+2,3,4,1,"CAL7")),0)</f>
        <v>0</v>
      </c>
      <c r="AQ113" s="20" t="str">
        <f ca="1">IF(CALC2223!BE113&gt;0,INDIRECT(ADDRESS(MATCH(Agenda2526!C114,'CAL8'!A:A,0),2,4,1,"CAL8")),"")</f>
        <v/>
      </c>
      <c r="AR113" s="21">
        <f ca="1">IF(CALC2223!BE113&gt;0,INDIRECT(ADDRESS(MATCH(Agenda2526!C114,'CAL8'!A:A,0),3,4,1,"CAL8")),0)</f>
        <v>0</v>
      </c>
      <c r="AS113" s="20" t="str">
        <f ca="1">IF(CALC2223!BE113&gt;1,INDIRECT(ADDRESS(MATCH(Agenda2526!C114,'CAL8'!A:A,0)+1,2,4,1,"CAL8")),"")</f>
        <v/>
      </c>
      <c r="AT113" s="21">
        <f ca="1">IF(CALC2223!BE113&gt;1,INDIRECT(ADDRESS(MATCH(Agenda2526!C114,'CAL8'!A:A,0)+1,3,4,1,"CAL8")),0)</f>
        <v>0</v>
      </c>
      <c r="AU113" s="20" t="str">
        <f ca="1">IF(CALC2223!BE113&gt;2,INDIRECT(ADDRESS(MATCH(Agenda2526!C114,'CAL8'!A:A,0)+2,2,4,1,"CAL8")),"")</f>
        <v/>
      </c>
      <c r="AV113" s="21">
        <f ca="1">IF(CALC2223!BE113&gt;2,INDIRECT(ADDRESS(MATCH(Agenda2526!C114,'CAL8'!A:A,0)+2,3,4,1,"CAL8")),0)</f>
        <v>0</v>
      </c>
      <c r="AW113" s="106"/>
      <c r="AX113" s="20">
        <f>COUNTIF('CAL1'!A:A,Agenda2526!C114)</f>
        <v>0</v>
      </c>
      <c r="AY113" s="20">
        <f>COUNTIF('CAL2'!A:A,Agenda2526!C114)</f>
        <v>0</v>
      </c>
      <c r="AZ113" s="20">
        <f>COUNTIF('CAL3'!A:A,Agenda2526!C114)</f>
        <v>0</v>
      </c>
      <c r="BA113" s="20">
        <f>COUNTIF('CAL4'!A:A,Agenda2526!C114)</f>
        <v>0</v>
      </c>
      <c r="BB113" s="20">
        <f>COUNTIF('CAL5'!A:A,Agenda2526!C114)</f>
        <v>0</v>
      </c>
      <c r="BC113" s="20">
        <f>COUNTIF('CAL6'!A:A,Agenda2526!C114)</f>
        <v>0</v>
      </c>
      <c r="BD113" s="20">
        <f>COUNTIF('CAL7'!A:A,Agenda2526!C114)</f>
        <v>0</v>
      </c>
      <c r="BE113" s="20">
        <f>COUNTIF('CAL8'!A:A,Agenda2526!C114)</f>
        <v>0</v>
      </c>
    </row>
    <row r="114" spans="1:57" ht="15.75" customHeight="1">
      <c r="A114" s="20" t="str">
        <f ca="1">IF(CALC2223!AX114&gt;0,INDIRECT(ADDRESS(MATCH(Agenda2526!C115,'CAL1'!A:A,0),2,4,1,"CAL1")),"")</f>
        <v/>
      </c>
      <c r="B114" s="21">
        <f ca="1">IF(CALC2223!AX114&gt;0,INDIRECT(ADDRESS(MATCH(Agenda2526!C115,'CAL1'!A:A,0),3,4,1,"CAL1")),0)</f>
        <v>0</v>
      </c>
      <c r="C114" s="20" t="str">
        <f ca="1">IF(CALC2223!AX114&gt;1,INDIRECT(ADDRESS(MATCH(Agenda2526!C115,'CAL1'!A:A,0)+1,2,4,1,"CAL1")),"")</f>
        <v/>
      </c>
      <c r="D114" s="21">
        <f ca="1">IF(CALC2223!AX114&gt;1,INDIRECT(ADDRESS(MATCH(Agenda2526!C115,'CAL1'!A:A,0)+1,3,4,1,"CAL1")),0)</f>
        <v>0</v>
      </c>
      <c r="E114" s="20" t="str">
        <f ca="1">IF(CALC2223!AX114&gt;2,INDIRECT(ADDRESS(MATCH(Agenda2526!C115,'CAL1'!A:A,0)+2,2,4,1,"CAL1")),"")</f>
        <v/>
      </c>
      <c r="F114" s="21">
        <f ca="1">IF(CALC2223!AX114&gt;2,INDIRECT(ADDRESS(MATCH(Agenda2526!C115,'CAL1'!A:A,0)+2,3,4,1,"CAL1")),0)</f>
        <v>0</v>
      </c>
      <c r="G114" s="20" t="str">
        <f ca="1">IF(CALC2223!AY114&gt;0,INDIRECT(ADDRESS(MATCH(Agenda2526!C115,'CAL2'!A:A,0),2,4,1,"CAL2")),"")</f>
        <v/>
      </c>
      <c r="H114" s="21">
        <f ca="1">IF(CALC2223!AY114&gt;0,INDIRECT(ADDRESS(MATCH(Agenda2526!C115,'CAL2'!A:A,0),3,4,1,"CAL2")),0)</f>
        <v>0</v>
      </c>
      <c r="I114" s="20" t="str">
        <f ca="1">IF(CALC2223!AY114&gt;1,INDIRECT(ADDRESS(MATCH(Agenda2526!C115,'CAL2'!A:A,0)+1,2,4,1,"CAL2")),"")</f>
        <v/>
      </c>
      <c r="J114" s="21">
        <f ca="1">IF(CALC2223!AY114&gt;1,INDIRECT(ADDRESS(MATCH(Agenda2526!C115,'CAL2'!A:A,0)+1,3,4,1,"CAL2")),0)</f>
        <v>0</v>
      </c>
      <c r="K114" s="20" t="str">
        <f ca="1">IF(CALC2223!AY114&gt;2,INDIRECT(ADDRESS(MATCH(Agenda2526!C115,'CAL2'!A:A,0)+2,2,4,1,"CAL2")),"")</f>
        <v/>
      </c>
      <c r="L114" s="21">
        <f ca="1">IF(CALC2223!AY114&gt;2,INDIRECT(ADDRESS(MATCH(Agenda2526!C115,'CAL2'!A:A,0)+2,3,4,1,"CAL2")),0)</f>
        <v>0</v>
      </c>
      <c r="M114" s="20" t="str">
        <f ca="1">IF(CALC2223!AZ114&gt;0,INDIRECT(ADDRESS(MATCH(Agenda2526!C115,'CAL3'!A:A,0),2,4,1,"CAL3")),"")</f>
        <v/>
      </c>
      <c r="N114" s="21">
        <f ca="1">IF(CALC2223!AZ114&gt;0,INDIRECT(ADDRESS(MATCH(Agenda2526!C115,'CAL3'!A:A,0),3,4,1,"CAL3")),0)</f>
        <v>0</v>
      </c>
      <c r="O114" s="20" t="str">
        <f ca="1">IF(CALC2223!AZ114&gt;1,INDIRECT(ADDRESS(MATCH(Agenda2526!C115,'CAL3'!A:A,0)+1,2,4,1,"CAL3")),"")</f>
        <v/>
      </c>
      <c r="P114" s="21">
        <f ca="1">IF(CALC2223!AZ114&gt;1,INDIRECT(ADDRESS(MATCH(Agenda2526!C115,'CAL3'!A:A,0)+1,3,4,1,"CAL3")),0)</f>
        <v>0</v>
      </c>
      <c r="Q114" s="20" t="str">
        <f ca="1">IF(CALC2223!AZ114&gt;2,INDIRECT(ADDRESS(MATCH(Agenda2526!C115,'CAL3'!A:A,0)+2,2,4,1,"CAL3")),"")</f>
        <v/>
      </c>
      <c r="R114" s="21">
        <f ca="1">IF(CALC2223!AZ114&gt;2,INDIRECT(ADDRESS(MATCH(Agenda2526!C115,'CAL3'!A:A,0)+2,3,4,1,"CAL3")),0)</f>
        <v>0</v>
      </c>
      <c r="S114" s="20" t="str">
        <f ca="1">IF(CALC2223!BA114&gt;0,INDIRECT(ADDRESS(MATCH(Agenda2526!C115,'CAL4'!A:A,0),2,4,1,"CAL4")),"")</f>
        <v/>
      </c>
      <c r="T114" s="21">
        <f ca="1">IF(CALC2223!BA114&gt;0,INDIRECT(ADDRESS(MATCH(Agenda2526!C115,'CAL4'!A:A,0),3,4,1,"CAL4")),0)</f>
        <v>0</v>
      </c>
      <c r="U114" s="20" t="str">
        <f ca="1">IF(CALC2223!BA114&gt;1,INDIRECT(ADDRESS(MATCH(Agenda2526!C115,'CAL4'!A:A,0)+1,2,4,1,"CAL4")),"")</f>
        <v/>
      </c>
      <c r="V114" s="21">
        <f ca="1">IF(CALC2223!BA114&gt;1,INDIRECT(ADDRESS(MATCH(Agenda2526!C115,'CAL4'!A:A,0)+1,3,4,1,"CAL4")),0)</f>
        <v>0</v>
      </c>
      <c r="W114" s="20" t="str">
        <f ca="1">IF(CALC2223!BA114&gt;2,INDIRECT(ADDRESS(MATCH(Agenda2526!C115,'CAL4'!A:A,0)+2,2,4,1,"CAL4")),"")</f>
        <v/>
      </c>
      <c r="X114" s="21">
        <f ca="1">IF(CALC2223!BA114&gt;2,INDIRECT(ADDRESS(MATCH(Agenda2526!C115,'CAL4'!A:A,0)+2,3,4,1,"CAL4")),0)</f>
        <v>0</v>
      </c>
      <c r="Y114" s="20" t="str">
        <f ca="1">IF(CALC2223!BB114&gt;0,INDIRECT(ADDRESS(MATCH(Agenda2526!C115,'CAL5'!A:A,0),2,4,1,"CAL5")),"")</f>
        <v/>
      </c>
      <c r="Z114" s="21">
        <f ca="1">IF(CALC2223!BB114&gt;0,INDIRECT(ADDRESS(MATCH(Agenda2526!C115,'CAL5'!A:A,0),3,4,1,"CAL5")),0)</f>
        <v>0</v>
      </c>
      <c r="AA114" s="20" t="str">
        <f ca="1">IF(CALC2223!BB114&gt;1,INDIRECT(ADDRESS(MATCH(Agenda2526!C115,'CAL5'!A:A,0)+1,2,4,1,"CAL5")),"")</f>
        <v/>
      </c>
      <c r="AB114" s="21">
        <f ca="1">IF(CALC2223!BB114&gt;1,INDIRECT(ADDRESS(MATCH(Agenda2526!C115,'CAL5'!A:A,0)+1,3,4,1,"CAL5")),0)</f>
        <v>0</v>
      </c>
      <c r="AC114" s="20" t="str">
        <f ca="1">IF(CALC2223!BB114&gt;2,INDIRECT(ADDRESS(MATCH(Agenda2526!C115,'CAL5'!A:A,0)+2,2,4,1,"CAL5")),"")</f>
        <v/>
      </c>
      <c r="AD114" s="21">
        <f ca="1">IF(CALC2223!BB114&gt;2,INDIRECT(ADDRESS(MATCH(Agenda2526!C115,'CAL5'!A:A,0)+2,3,4,1,"CAL5")),0)</f>
        <v>0</v>
      </c>
      <c r="AE114" s="20" t="str">
        <f ca="1">IF(CALC2223!BC114&gt;0,INDIRECT(ADDRESS(MATCH(Agenda2526!C115,'CAL6'!A:A,0),2,4,1,"CAL6")),"")</f>
        <v/>
      </c>
      <c r="AF114" s="21">
        <f ca="1">IF(CALC2223!BC114&gt;0,INDIRECT(ADDRESS(MATCH(Agenda2526!C115,'CAL6'!A:A,0),3,4,1,"CAL6")),0)</f>
        <v>0</v>
      </c>
      <c r="AG114" s="20" t="str">
        <f ca="1">IF(CALC2223!BC114&gt;1,INDIRECT(ADDRESS(MATCH(Agenda2526!C115,'CAL6'!A:A,0)+1,2,4,1,"CAL6")),"")</f>
        <v/>
      </c>
      <c r="AH114" s="21">
        <f ca="1">IF(CALC2223!BC114&gt;1,INDIRECT(ADDRESS(MATCH(Agenda2526!C115,'CAL6'!A:A,0)+1,3,4,1,"CAL6")),0)</f>
        <v>0</v>
      </c>
      <c r="AI114" s="20" t="str">
        <f ca="1">IF(CALC2223!BC114&gt;2,INDIRECT(ADDRESS(MATCH(Agenda2526!C115,'CAL6'!A:A,0)+2,2,4,1,"CAL6")),"")</f>
        <v/>
      </c>
      <c r="AJ114" s="21">
        <f ca="1">IF(CALC2223!BC114&gt;2,INDIRECT(ADDRESS(MATCH(Agenda2526!C115,'CAL6'!A:A,0)+2,3,4,1,"CAL6")),0)</f>
        <v>0</v>
      </c>
      <c r="AK114" s="20" t="str">
        <f ca="1">IF(CALC2223!BD114&gt;0,INDIRECT(ADDRESS(MATCH(Agenda2526!C115,'CAL7'!A:A,0),2,4,1,"CAL7")),"")</f>
        <v/>
      </c>
      <c r="AL114" s="21">
        <f ca="1">IF(CALC2223!BD114&gt;0,INDIRECT(ADDRESS(MATCH(Agenda2526!C115,'CAL7'!A:A,0),3,4,1,"CAL7")),0)</f>
        <v>0</v>
      </c>
      <c r="AM114" s="20" t="str">
        <f ca="1">IF(CALC2223!BD114&gt;1,INDIRECT(ADDRESS(MATCH(Agenda2526!C115,'CAL7'!A:A,0)+1,2,4,1,"CAL7")),"")</f>
        <v/>
      </c>
      <c r="AN114" s="21">
        <f ca="1">IF(CALC2223!BD114&gt;1,INDIRECT(ADDRESS(MATCH(Agenda2526!C115,'CAL7'!A:A,0)+1,3,4,1,"CAL7")),0)</f>
        <v>0</v>
      </c>
      <c r="AO114" s="20" t="str">
        <f ca="1">IF(CALC2223!BD114&gt;2,INDIRECT(ADDRESS(MATCH(Agenda2526!C115,'CAL7'!A:A,0)+2,2,4,1,"CAL7")),"")</f>
        <v/>
      </c>
      <c r="AP114" s="21">
        <f ca="1">IF(CALC2223!BD114&gt;2,INDIRECT(ADDRESS(MATCH(Agenda2526!C115,'CAL7'!A:A,0)+2,3,4,1,"CAL7")),0)</f>
        <v>0</v>
      </c>
      <c r="AQ114" s="20" t="str">
        <f ca="1">IF(CALC2223!BE114&gt;0,INDIRECT(ADDRESS(MATCH(Agenda2526!C115,'CAL8'!A:A,0),2,4,1,"CAL8")),"")</f>
        <v/>
      </c>
      <c r="AR114" s="21">
        <f ca="1">IF(CALC2223!BE114&gt;0,INDIRECT(ADDRESS(MATCH(Agenda2526!C115,'CAL8'!A:A,0),3,4,1,"CAL8")),0)</f>
        <v>0</v>
      </c>
      <c r="AS114" s="20" t="str">
        <f ca="1">IF(CALC2223!BE114&gt;1,INDIRECT(ADDRESS(MATCH(Agenda2526!C115,'CAL8'!A:A,0)+1,2,4,1,"CAL8")),"")</f>
        <v/>
      </c>
      <c r="AT114" s="21">
        <f ca="1">IF(CALC2223!BE114&gt;1,INDIRECT(ADDRESS(MATCH(Agenda2526!C115,'CAL8'!A:A,0)+1,3,4,1,"CAL8")),0)</f>
        <v>0</v>
      </c>
      <c r="AU114" s="20" t="str">
        <f ca="1">IF(CALC2223!BE114&gt;2,INDIRECT(ADDRESS(MATCH(Agenda2526!C115,'CAL8'!A:A,0)+2,2,4,1,"CAL8")),"")</f>
        <v/>
      </c>
      <c r="AV114" s="21">
        <f ca="1">IF(CALC2223!BE114&gt;2,INDIRECT(ADDRESS(MATCH(Agenda2526!C115,'CAL8'!A:A,0)+2,3,4,1,"CAL8")),0)</f>
        <v>0</v>
      </c>
      <c r="AW114" s="107" t="s">
        <v>120</v>
      </c>
      <c r="AX114" s="20">
        <f>COUNTIF('CAL1'!A:A,Agenda2526!C115)</f>
        <v>0</v>
      </c>
      <c r="AY114" s="20">
        <f>COUNTIF('CAL2'!A:A,Agenda2526!C115)</f>
        <v>0</v>
      </c>
      <c r="AZ114" s="20">
        <f>COUNTIF('CAL3'!A:A,Agenda2526!C115)</f>
        <v>0</v>
      </c>
      <c r="BA114" s="20">
        <f>COUNTIF('CAL4'!A:A,Agenda2526!C115)</f>
        <v>0</v>
      </c>
      <c r="BB114" s="20">
        <f>COUNTIF('CAL5'!A:A,Agenda2526!C115)</f>
        <v>0</v>
      </c>
      <c r="BC114" s="20">
        <f>COUNTIF('CAL6'!A:A,Agenda2526!C115)</f>
        <v>0</v>
      </c>
      <c r="BD114" s="20">
        <f>COUNTIF('CAL7'!A:A,Agenda2526!C115)</f>
        <v>0</v>
      </c>
      <c r="BE114" s="20">
        <f>COUNTIF('CAL8'!A:A,Agenda2526!C115)</f>
        <v>0</v>
      </c>
    </row>
    <row r="115" spans="1:57" ht="15.75" customHeight="1">
      <c r="A115" s="20" t="str">
        <f ca="1">IF(CALC2223!AX115&gt;0,INDIRECT(ADDRESS(MATCH(Agenda2526!C116,'CAL1'!A:A,0),2,4,1,"CAL1")),"")</f>
        <v/>
      </c>
      <c r="B115" s="21">
        <f ca="1">IF(CALC2223!AX115&gt;0,INDIRECT(ADDRESS(MATCH(Agenda2526!C116,'CAL1'!A:A,0),3,4,1,"CAL1")),0)</f>
        <v>0</v>
      </c>
      <c r="C115" s="20" t="str">
        <f ca="1">IF(CALC2223!AX115&gt;1,INDIRECT(ADDRESS(MATCH(Agenda2526!C116,'CAL1'!A:A,0)+1,2,4,1,"CAL1")),"")</f>
        <v/>
      </c>
      <c r="D115" s="21">
        <f ca="1">IF(CALC2223!AX115&gt;1,INDIRECT(ADDRESS(MATCH(Agenda2526!C116,'CAL1'!A:A,0)+1,3,4,1,"CAL1")),0)</f>
        <v>0</v>
      </c>
      <c r="E115" s="20" t="str">
        <f ca="1">IF(CALC2223!AX115&gt;2,INDIRECT(ADDRESS(MATCH(Agenda2526!C116,'CAL1'!A:A,0)+2,2,4,1,"CAL1")),"")</f>
        <v/>
      </c>
      <c r="F115" s="21">
        <f ca="1">IF(CALC2223!AX115&gt;2,INDIRECT(ADDRESS(MATCH(Agenda2526!C116,'CAL1'!A:A,0)+2,3,4,1,"CAL1")),0)</f>
        <v>0</v>
      </c>
      <c r="G115" s="20" t="str">
        <f ca="1">IF(CALC2223!AY115&gt;0,INDIRECT(ADDRESS(MATCH(Agenda2526!C116,'CAL2'!A:A,0),2,4,1,"CAL2")),"")</f>
        <v/>
      </c>
      <c r="H115" s="21">
        <f ca="1">IF(CALC2223!AY115&gt;0,INDIRECT(ADDRESS(MATCH(Agenda2526!C116,'CAL2'!A:A,0),3,4,1,"CAL2")),0)</f>
        <v>0</v>
      </c>
      <c r="I115" s="20" t="str">
        <f ca="1">IF(CALC2223!AY115&gt;1,INDIRECT(ADDRESS(MATCH(Agenda2526!C116,'CAL2'!A:A,0)+1,2,4,1,"CAL2")),"")</f>
        <v/>
      </c>
      <c r="J115" s="21">
        <f ca="1">IF(CALC2223!AY115&gt;1,INDIRECT(ADDRESS(MATCH(Agenda2526!C116,'CAL2'!A:A,0)+1,3,4,1,"CAL2")),0)</f>
        <v>0</v>
      </c>
      <c r="K115" s="20" t="str">
        <f ca="1">IF(CALC2223!AY115&gt;2,INDIRECT(ADDRESS(MATCH(Agenda2526!C116,'CAL2'!A:A,0)+2,2,4,1,"CAL2")),"")</f>
        <v/>
      </c>
      <c r="L115" s="21">
        <f ca="1">IF(CALC2223!AY115&gt;2,INDIRECT(ADDRESS(MATCH(Agenda2526!C116,'CAL2'!A:A,0)+2,3,4,1,"CAL2")),0)</f>
        <v>0</v>
      </c>
      <c r="M115" s="20" t="str">
        <f ca="1">IF(CALC2223!AZ115&gt;0,INDIRECT(ADDRESS(MATCH(Agenda2526!C116,'CAL3'!A:A,0),2,4,1,"CAL3")),"")</f>
        <v/>
      </c>
      <c r="N115" s="21">
        <f ca="1">IF(CALC2223!AZ115&gt;0,INDIRECT(ADDRESS(MATCH(Agenda2526!C116,'CAL3'!A:A,0),3,4,1,"CAL3")),0)</f>
        <v>0</v>
      </c>
      <c r="O115" s="20" t="str">
        <f ca="1">IF(CALC2223!AZ115&gt;1,INDIRECT(ADDRESS(MATCH(Agenda2526!C116,'CAL3'!A:A,0)+1,2,4,1,"CAL3")),"")</f>
        <v/>
      </c>
      <c r="P115" s="21">
        <f ca="1">IF(CALC2223!AZ115&gt;1,INDIRECT(ADDRESS(MATCH(Agenda2526!C116,'CAL3'!A:A,0)+1,3,4,1,"CAL3")),0)</f>
        <v>0</v>
      </c>
      <c r="Q115" s="20" t="str">
        <f ca="1">IF(CALC2223!AZ115&gt;2,INDIRECT(ADDRESS(MATCH(Agenda2526!C116,'CAL3'!A:A,0)+2,2,4,1,"CAL3")),"")</f>
        <v/>
      </c>
      <c r="R115" s="21">
        <f ca="1">IF(CALC2223!AZ115&gt;2,INDIRECT(ADDRESS(MATCH(Agenda2526!C116,'CAL3'!A:A,0)+2,3,4,1,"CAL3")),0)</f>
        <v>0</v>
      </c>
      <c r="S115" s="20" t="str">
        <f ca="1">IF(CALC2223!BA115&gt;0,INDIRECT(ADDRESS(MATCH(Agenda2526!C116,'CAL4'!A:A,0),2,4,1,"CAL4")),"")</f>
        <v/>
      </c>
      <c r="T115" s="21">
        <f ca="1">IF(CALC2223!BA115&gt;0,INDIRECT(ADDRESS(MATCH(Agenda2526!C116,'CAL4'!A:A,0),3,4,1,"CAL4")),0)</f>
        <v>0</v>
      </c>
      <c r="U115" s="20" t="str">
        <f ca="1">IF(CALC2223!BA115&gt;1,INDIRECT(ADDRESS(MATCH(Agenda2526!C116,'CAL4'!A:A,0)+1,2,4,1,"CAL4")),"")</f>
        <v/>
      </c>
      <c r="V115" s="21">
        <f ca="1">IF(CALC2223!BA115&gt;1,INDIRECT(ADDRESS(MATCH(Agenda2526!C116,'CAL4'!A:A,0)+1,3,4,1,"CAL4")),0)</f>
        <v>0</v>
      </c>
      <c r="W115" s="20" t="str">
        <f ca="1">IF(CALC2223!BA115&gt;2,INDIRECT(ADDRESS(MATCH(Agenda2526!C116,'CAL4'!A:A,0)+2,2,4,1,"CAL4")),"")</f>
        <v/>
      </c>
      <c r="X115" s="21">
        <f ca="1">IF(CALC2223!BA115&gt;2,INDIRECT(ADDRESS(MATCH(Agenda2526!C116,'CAL4'!A:A,0)+2,3,4,1,"CAL4")),0)</f>
        <v>0</v>
      </c>
      <c r="Y115" s="20" t="str">
        <f ca="1">IF(CALC2223!BB115&gt;0,INDIRECT(ADDRESS(MATCH(Agenda2526!C116,'CAL5'!A:A,0),2,4,1,"CAL5")),"")</f>
        <v/>
      </c>
      <c r="Z115" s="21">
        <f ca="1">IF(CALC2223!BB115&gt;0,INDIRECT(ADDRESS(MATCH(Agenda2526!C116,'CAL5'!A:A,0),3,4,1,"CAL5")),0)</f>
        <v>0</v>
      </c>
      <c r="AA115" s="20" t="str">
        <f ca="1">IF(CALC2223!BB115&gt;1,INDIRECT(ADDRESS(MATCH(Agenda2526!C116,'CAL5'!A:A,0)+1,2,4,1,"CAL5")),"")</f>
        <v/>
      </c>
      <c r="AB115" s="21">
        <f ca="1">IF(CALC2223!BB115&gt;1,INDIRECT(ADDRESS(MATCH(Agenda2526!C116,'CAL5'!A:A,0)+1,3,4,1,"CAL5")),0)</f>
        <v>0</v>
      </c>
      <c r="AC115" s="20" t="str">
        <f ca="1">IF(CALC2223!BB115&gt;2,INDIRECT(ADDRESS(MATCH(Agenda2526!C116,'CAL5'!A:A,0)+2,2,4,1,"CAL5")),"")</f>
        <v/>
      </c>
      <c r="AD115" s="21">
        <f ca="1">IF(CALC2223!BB115&gt;2,INDIRECT(ADDRESS(MATCH(Agenda2526!C116,'CAL5'!A:A,0)+2,3,4,1,"CAL5")),0)</f>
        <v>0</v>
      </c>
      <c r="AE115" s="20" t="str">
        <f ca="1">IF(CALC2223!BC115&gt;0,INDIRECT(ADDRESS(MATCH(Agenda2526!C116,'CAL6'!A:A,0),2,4,1,"CAL6")),"")</f>
        <v/>
      </c>
      <c r="AF115" s="21">
        <f ca="1">IF(CALC2223!BC115&gt;0,INDIRECT(ADDRESS(MATCH(Agenda2526!C116,'CAL6'!A:A,0),3,4,1,"CAL6")),0)</f>
        <v>0</v>
      </c>
      <c r="AG115" s="20" t="str">
        <f ca="1">IF(CALC2223!BC115&gt;1,INDIRECT(ADDRESS(MATCH(Agenda2526!C116,'CAL6'!A:A,0)+1,2,4,1,"CAL6")),"")</f>
        <v/>
      </c>
      <c r="AH115" s="21">
        <f ca="1">IF(CALC2223!BC115&gt;1,INDIRECT(ADDRESS(MATCH(Agenda2526!C116,'CAL6'!A:A,0)+1,3,4,1,"CAL6")),0)</f>
        <v>0</v>
      </c>
      <c r="AI115" s="20" t="str">
        <f ca="1">IF(CALC2223!BC115&gt;2,INDIRECT(ADDRESS(MATCH(Agenda2526!C116,'CAL6'!A:A,0)+2,2,4,1,"CAL6")),"")</f>
        <v/>
      </c>
      <c r="AJ115" s="21">
        <f ca="1">IF(CALC2223!BC115&gt;2,INDIRECT(ADDRESS(MATCH(Agenda2526!C116,'CAL6'!A:A,0)+2,3,4,1,"CAL6")),0)</f>
        <v>0</v>
      </c>
      <c r="AK115" s="20" t="str">
        <f ca="1">IF(CALC2223!BD115&gt;0,INDIRECT(ADDRESS(MATCH(Agenda2526!C116,'CAL7'!A:A,0),2,4,1,"CAL7")),"")</f>
        <v/>
      </c>
      <c r="AL115" s="21">
        <f ca="1">IF(CALC2223!BD115&gt;0,INDIRECT(ADDRESS(MATCH(Agenda2526!C116,'CAL7'!A:A,0),3,4,1,"CAL7")),0)</f>
        <v>0</v>
      </c>
      <c r="AM115" s="20" t="str">
        <f ca="1">IF(CALC2223!BD115&gt;1,INDIRECT(ADDRESS(MATCH(Agenda2526!C116,'CAL7'!A:A,0)+1,2,4,1,"CAL7")),"")</f>
        <v/>
      </c>
      <c r="AN115" s="21">
        <f ca="1">IF(CALC2223!BD115&gt;1,INDIRECT(ADDRESS(MATCH(Agenda2526!C116,'CAL7'!A:A,0)+1,3,4,1,"CAL7")),0)</f>
        <v>0</v>
      </c>
      <c r="AO115" s="20" t="str">
        <f ca="1">IF(CALC2223!BD115&gt;2,INDIRECT(ADDRESS(MATCH(Agenda2526!C116,'CAL7'!A:A,0)+2,2,4,1,"CAL7")),"")</f>
        <v/>
      </c>
      <c r="AP115" s="21">
        <f ca="1">IF(CALC2223!BD115&gt;2,INDIRECT(ADDRESS(MATCH(Agenda2526!C116,'CAL7'!A:A,0)+2,3,4,1,"CAL7")),0)</f>
        <v>0</v>
      </c>
      <c r="AQ115" s="20" t="str">
        <f ca="1">IF(CALC2223!BE115&gt;0,INDIRECT(ADDRESS(MATCH(Agenda2526!C116,'CAL8'!A:A,0),2,4,1,"CAL8")),"")</f>
        <v/>
      </c>
      <c r="AR115" s="21">
        <f ca="1">IF(CALC2223!BE115&gt;0,INDIRECT(ADDRESS(MATCH(Agenda2526!C116,'CAL8'!A:A,0),3,4,1,"CAL8")),0)</f>
        <v>0</v>
      </c>
      <c r="AS115" s="20" t="str">
        <f ca="1">IF(CALC2223!BE115&gt;1,INDIRECT(ADDRESS(MATCH(Agenda2526!C116,'CAL8'!A:A,0)+1,2,4,1,"CAL8")),"")</f>
        <v/>
      </c>
      <c r="AT115" s="21">
        <f ca="1">IF(CALC2223!BE115&gt;1,INDIRECT(ADDRESS(MATCH(Agenda2526!C116,'CAL8'!A:A,0)+1,3,4,1,"CAL8")),0)</f>
        <v>0</v>
      </c>
      <c r="AU115" s="20" t="str">
        <f ca="1">IF(CALC2223!BE115&gt;2,INDIRECT(ADDRESS(MATCH(Agenda2526!C116,'CAL8'!A:A,0)+2,2,4,1,"CAL8")),"")</f>
        <v/>
      </c>
      <c r="AV115" s="21">
        <f ca="1">IF(CALC2223!BE115&gt;2,INDIRECT(ADDRESS(MATCH(Agenda2526!C116,'CAL8'!A:A,0)+2,3,4,1,"CAL8")),0)</f>
        <v>0</v>
      </c>
      <c r="AW115" s="107"/>
      <c r="AX115" s="20">
        <f>COUNTIF('CAL1'!A:A,Agenda2526!C116)</f>
        <v>0</v>
      </c>
      <c r="AY115" s="20">
        <f>COUNTIF('CAL2'!A:A,Agenda2526!C116)</f>
        <v>0</v>
      </c>
      <c r="AZ115" s="20">
        <f>COUNTIF('CAL3'!A:A,Agenda2526!C116)</f>
        <v>0</v>
      </c>
      <c r="BA115" s="20">
        <f>COUNTIF('CAL4'!A:A,Agenda2526!C116)</f>
        <v>0</v>
      </c>
      <c r="BB115" s="20">
        <f>COUNTIF('CAL5'!A:A,Agenda2526!C116)</f>
        <v>0</v>
      </c>
      <c r="BC115" s="20">
        <f>COUNTIF('CAL6'!A:A,Agenda2526!C116)</f>
        <v>0</v>
      </c>
      <c r="BD115" s="20">
        <f>COUNTIF('CAL7'!A:A,Agenda2526!C116)</f>
        <v>0</v>
      </c>
      <c r="BE115" s="20">
        <f>COUNTIF('CAL8'!A:A,Agenda2526!C116)</f>
        <v>0</v>
      </c>
    </row>
    <row r="116" spans="1:57" ht="15.75" customHeight="1">
      <c r="A116" s="20" t="str">
        <f ca="1">IF(CALC2223!AX116&gt;0,INDIRECT(ADDRESS(MATCH(Agenda2526!C117,'CAL1'!A:A,0),2,4,1,"CAL1")),"")</f>
        <v/>
      </c>
      <c r="B116" s="21">
        <f ca="1">IF(CALC2223!AX116&gt;0,INDIRECT(ADDRESS(MATCH(Agenda2526!C117,'CAL1'!A:A,0),3,4,1,"CAL1")),0)</f>
        <v>0</v>
      </c>
      <c r="C116" s="20" t="str">
        <f ca="1">IF(CALC2223!AX116&gt;1,INDIRECT(ADDRESS(MATCH(Agenda2526!C117,'CAL1'!A:A,0)+1,2,4,1,"CAL1")),"")</f>
        <v/>
      </c>
      <c r="D116" s="21">
        <f ca="1">IF(CALC2223!AX116&gt;1,INDIRECT(ADDRESS(MATCH(Agenda2526!C117,'CAL1'!A:A,0)+1,3,4,1,"CAL1")),0)</f>
        <v>0</v>
      </c>
      <c r="E116" s="20" t="str">
        <f ca="1">IF(CALC2223!AX116&gt;2,INDIRECT(ADDRESS(MATCH(Agenda2526!C117,'CAL1'!A:A,0)+2,2,4,1,"CAL1")),"")</f>
        <v/>
      </c>
      <c r="F116" s="21">
        <f ca="1">IF(CALC2223!AX116&gt;2,INDIRECT(ADDRESS(MATCH(Agenda2526!C117,'CAL1'!A:A,0)+2,3,4,1,"CAL1")),0)</f>
        <v>0</v>
      </c>
      <c r="G116" s="20" t="str">
        <f ca="1">IF(CALC2223!AY116&gt;0,INDIRECT(ADDRESS(MATCH(Agenda2526!C117,'CAL2'!A:A,0),2,4,1,"CAL2")),"")</f>
        <v/>
      </c>
      <c r="H116" s="21">
        <f ca="1">IF(CALC2223!AY116&gt;0,INDIRECT(ADDRESS(MATCH(Agenda2526!C117,'CAL2'!A:A,0),3,4,1,"CAL2")),0)</f>
        <v>0</v>
      </c>
      <c r="I116" s="20" t="str">
        <f ca="1">IF(CALC2223!AY116&gt;1,INDIRECT(ADDRESS(MATCH(Agenda2526!C117,'CAL2'!A:A,0)+1,2,4,1,"CAL2")),"")</f>
        <v/>
      </c>
      <c r="J116" s="21">
        <f ca="1">IF(CALC2223!AY116&gt;1,INDIRECT(ADDRESS(MATCH(Agenda2526!C117,'CAL2'!A:A,0)+1,3,4,1,"CAL2")),0)</f>
        <v>0</v>
      </c>
      <c r="K116" s="20" t="str">
        <f ca="1">IF(CALC2223!AY116&gt;2,INDIRECT(ADDRESS(MATCH(Agenda2526!C117,'CAL2'!A:A,0)+2,2,4,1,"CAL2")),"")</f>
        <v/>
      </c>
      <c r="L116" s="21">
        <f ca="1">IF(CALC2223!AY116&gt;2,INDIRECT(ADDRESS(MATCH(Agenda2526!C117,'CAL2'!A:A,0)+2,3,4,1,"CAL2")),0)</f>
        <v>0</v>
      </c>
      <c r="M116" s="20" t="str">
        <f ca="1">IF(CALC2223!AZ116&gt;0,INDIRECT(ADDRESS(MATCH(Agenda2526!C117,'CAL3'!A:A,0),2,4,1,"CAL3")),"")</f>
        <v/>
      </c>
      <c r="N116" s="21">
        <f ca="1">IF(CALC2223!AZ116&gt;0,INDIRECT(ADDRESS(MATCH(Agenda2526!C117,'CAL3'!A:A,0),3,4,1,"CAL3")),0)</f>
        <v>0</v>
      </c>
      <c r="O116" s="20" t="str">
        <f ca="1">IF(CALC2223!AZ116&gt;1,INDIRECT(ADDRESS(MATCH(Agenda2526!C117,'CAL3'!A:A,0)+1,2,4,1,"CAL3")),"")</f>
        <v/>
      </c>
      <c r="P116" s="21">
        <f ca="1">IF(CALC2223!AZ116&gt;1,INDIRECT(ADDRESS(MATCH(Agenda2526!C117,'CAL3'!A:A,0)+1,3,4,1,"CAL3")),0)</f>
        <v>0</v>
      </c>
      <c r="Q116" s="20" t="str">
        <f ca="1">IF(CALC2223!AZ116&gt;2,INDIRECT(ADDRESS(MATCH(Agenda2526!C117,'CAL3'!A:A,0)+2,2,4,1,"CAL3")),"")</f>
        <v/>
      </c>
      <c r="R116" s="21">
        <f ca="1">IF(CALC2223!AZ116&gt;2,INDIRECT(ADDRESS(MATCH(Agenda2526!C117,'CAL3'!A:A,0)+2,3,4,1,"CAL3")),0)</f>
        <v>0</v>
      </c>
      <c r="S116" s="20" t="str">
        <f ca="1">IF(CALC2223!BA116&gt;0,INDIRECT(ADDRESS(MATCH(Agenda2526!C117,'CAL4'!A:A,0),2,4,1,"CAL4")),"")</f>
        <v/>
      </c>
      <c r="T116" s="21">
        <f ca="1">IF(CALC2223!BA116&gt;0,INDIRECT(ADDRESS(MATCH(Agenda2526!C117,'CAL4'!A:A,0),3,4,1,"CAL4")),0)</f>
        <v>0</v>
      </c>
      <c r="U116" s="20" t="str">
        <f ca="1">IF(CALC2223!BA116&gt;1,INDIRECT(ADDRESS(MATCH(Agenda2526!C117,'CAL4'!A:A,0)+1,2,4,1,"CAL4")),"")</f>
        <v/>
      </c>
      <c r="V116" s="21">
        <f ca="1">IF(CALC2223!BA116&gt;1,INDIRECT(ADDRESS(MATCH(Agenda2526!C117,'CAL4'!A:A,0)+1,3,4,1,"CAL4")),0)</f>
        <v>0</v>
      </c>
      <c r="W116" s="20" t="str">
        <f ca="1">IF(CALC2223!BA116&gt;2,INDIRECT(ADDRESS(MATCH(Agenda2526!C117,'CAL4'!A:A,0)+2,2,4,1,"CAL4")),"")</f>
        <v/>
      </c>
      <c r="X116" s="21">
        <f ca="1">IF(CALC2223!BA116&gt;2,INDIRECT(ADDRESS(MATCH(Agenda2526!C117,'CAL4'!A:A,0)+2,3,4,1,"CAL4")),0)</f>
        <v>0</v>
      </c>
      <c r="Y116" s="20" t="str">
        <f ca="1">IF(CALC2223!BB116&gt;0,INDIRECT(ADDRESS(MATCH(Agenda2526!C117,'CAL5'!A:A,0),2,4,1,"CAL5")),"")</f>
        <v/>
      </c>
      <c r="Z116" s="21">
        <f ca="1">IF(CALC2223!BB116&gt;0,INDIRECT(ADDRESS(MATCH(Agenda2526!C117,'CAL5'!A:A,0),3,4,1,"CAL5")),0)</f>
        <v>0</v>
      </c>
      <c r="AA116" s="20" t="str">
        <f ca="1">IF(CALC2223!BB116&gt;1,INDIRECT(ADDRESS(MATCH(Agenda2526!C117,'CAL5'!A:A,0)+1,2,4,1,"CAL5")),"")</f>
        <v/>
      </c>
      <c r="AB116" s="21">
        <f ca="1">IF(CALC2223!BB116&gt;1,INDIRECT(ADDRESS(MATCH(Agenda2526!C117,'CAL5'!A:A,0)+1,3,4,1,"CAL5")),0)</f>
        <v>0</v>
      </c>
      <c r="AC116" s="20" t="str">
        <f ca="1">IF(CALC2223!BB116&gt;2,INDIRECT(ADDRESS(MATCH(Agenda2526!C117,'CAL5'!A:A,0)+2,2,4,1,"CAL5")),"")</f>
        <v/>
      </c>
      <c r="AD116" s="21">
        <f ca="1">IF(CALC2223!BB116&gt;2,INDIRECT(ADDRESS(MATCH(Agenda2526!C117,'CAL5'!A:A,0)+2,3,4,1,"CAL5")),0)</f>
        <v>0</v>
      </c>
      <c r="AE116" s="20" t="str">
        <f ca="1">IF(CALC2223!BC116&gt;0,INDIRECT(ADDRESS(MATCH(Agenda2526!C117,'CAL6'!A:A,0),2,4,1,"CAL6")),"")</f>
        <v/>
      </c>
      <c r="AF116" s="21">
        <f ca="1">IF(CALC2223!BC116&gt;0,INDIRECT(ADDRESS(MATCH(Agenda2526!C117,'CAL6'!A:A,0),3,4,1,"CAL6")),0)</f>
        <v>0</v>
      </c>
      <c r="AG116" s="20" t="str">
        <f ca="1">IF(CALC2223!BC116&gt;1,INDIRECT(ADDRESS(MATCH(Agenda2526!C117,'CAL6'!A:A,0)+1,2,4,1,"CAL6")),"")</f>
        <v/>
      </c>
      <c r="AH116" s="21">
        <f ca="1">IF(CALC2223!BC116&gt;1,INDIRECT(ADDRESS(MATCH(Agenda2526!C117,'CAL6'!A:A,0)+1,3,4,1,"CAL6")),0)</f>
        <v>0</v>
      </c>
      <c r="AI116" s="20" t="str">
        <f ca="1">IF(CALC2223!BC116&gt;2,INDIRECT(ADDRESS(MATCH(Agenda2526!C117,'CAL6'!A:A,0)+2,2,4,1,"CAL6")),"")</f>
        <v/>
      </c>
      <c r="AJ116" s="21">
        <f ca="1">IF(CALC2223!BC116&gt;2,INDIRECT(ADDRESS(MATCH(Agenda2526!C117,'CAL6'!A:A,0)+2,3,4,1,"CAL6")),0)</f>
        <v>0</v>
      </c>
      <c r="AK116" s="20" t="str">
        <f ca="1">IF(CALC2223!BD116&gt;0,INDIRECT(ADDRESS(MATCH(Agenda2526!C117,'CAL7'!A:A,0),2,4,1,"CAL7")),"")</f>
        <v/>
      </c>
      <c r="AL116" s="21">
        <f ca="1">IF(CALC2223!BD116&gt;0,INDIRECT(ADDRESS(MATCH(Agenda2526!C117,'CAL7'!A:A,0),3,4,1,"CAL7")),0)</f>
        <v>0</v>
      </c>
      <c r="AM116" s="20" t="str">
        <f ca="1">IF(CALC2223!BD116&gt;1,INDIRECT(ADDRESS(MATCH(Agenda2526!C117,'CAL7'!A:A,0)+1,2,4,1,"CAL7")),"")</f>
        <v/>
      </c>
      <c r="AN116" s="21">
        <f ca="1">IF(CALC2223!BD116&gt;1,INDIRECT(ADDRESS(MATCH(Agenda2526!C117,'CAL7'!A:A,0)+1,3,4,1,"CAL7")),0)</f>
        <v>0</v>
      </c>
      <c r="AO116" s="20" t="str">
        <f ca="1">IF(CALC2223!BD116&gt;2,INDIRECT(ADDRESS(MATCH(Agenda2526!C117,'CAL7'!A:A,0)+2,2,4,1,"CAL7")),"")</f>
        <v/>
      </c>
      <c r="AP116" s="21">
        <f ca="1">IF(CALC2223!BD116&gt;2,INDIRECT(ADDRESS(MATCH(Agenda2526!C117,'CAL7'!A:A,0)+2,3,4,1,"CAL7")),0)</f>
        <v>0</v>
      </c>
      <c r="AQ116" s="20" t="str">
        <f ca="1">IF(CALC2223!BE116&gt;0,INDIRECT(ADDRESS(MATCH(Agenda2526!C117,'CAL8'!A:A,0),2,4,1,"CAL8")),"")</f>
        <v/>
      </c>
      <c r="AR116" s="21">
        <f ca="1">IF(CALC2223!BE116&gt;0,INDIRECT(ADDRESS(MATCH(Agenda2526!C117,'CAL8'!A:A,0),3,4,1,"CAL8")),0)</f>
        <v>0</v>
      </c>
      <c r="AS116" s="20" t="str">
        <f ca="1">IF(CALC2223!BE116&gt;1,INDIRECT(ADDRESS(MATCH(Agenda2526!C117,'CAL8'!A:A,0)+1,2,4,1,"CAL8")),"")</f>
        <v/>
      </c>
      <c r="AT116" s="21">
        <f ca="1">IF(CALC2223!BE116&gt;1,INDIRECT(ADDRESS(MATCH(Agenda2526!C117,'CAL8'!A:A,0)+1,3,4,1,"CAL8")),0)</f>
        <v>0</v>
      </c>
      <c r="AU116" s="20" t="str">
        <f ca="1">IF(CALC2223!BE116&gt;2,INDIRECT(ADDRESS(MATCH(Agenda2526!C117,'CAL8'!A:A,0)+2,2,4,1,"CAL8")),"")</f>
        <v/>
      </c>
      <c r="AV116" s="21">
        <f ca="1">IF(CALC2223!BE116&gt;2,INDIRECT(ADDRESS(MATCH(Agenda2526!C117,'CAL8'!A:A,0)+2,3,4,1,"CAL8")),0)</f>
        <v>0</v>
      </c>
      <c r="AW116" s="107"/>
      <c r="AX116" s="20">
        <f>COUNTIF('CAL1'!A:A,Agenda2526!C117)</f>
        <v>0</v>
      </c>
      <c r="AY116" s="20">
        <f>COUNTIF('CAL2'!A:A,Agenda2526!C117)</f>
        <v>0</v>
      </c>
      <c r="AZ116" s="20">
        <f>COUNTIF('CAL3'!A:A,Agenda2526!C117)</f>
        <v>0</v>
      </c>
      <c r="BA116" s="20">
        <f>COUNTIF('CAL4'!A:A,Agenda2526!C117)</f>
        <v>0</v>
      </c>
      <c r="BB116" s="20">
        <f>COUNTIF('CAL5'!A:A,Agenda2526!C117)</f>
        <v>0</v>
      </c>
      <c r="BC116" s="20">
        <f>COUNTIF('CAL6'!A:A,Agenda2526!C117)</f>
        <v>0</v>
      </c>
      <c r="BD116" s="20">
        <f>COUNTIF('CAL7'!A:A,Agenda2526!C117)</f>
        <v>0</v>
      </c>
      <c r="BE116" s="20">
        <f>COUNTIF('CAL8'!A:A,Agenda2526!C117)</f>
        <v>0</v>
      </c>
    </row>
    <row r="117" spans="1:57" ht="15.75" customHeight="1">
      <c r="A117" s="20" t="str">
        <f ca="1">IF(CALC2223!AX117&gt;0,INDIRECT(ADDRESS(MATCH(Agenda2526!C118,'CAL1'!A:A,0),2,4,1,"CAL1")),"")</f>
        <v/>
      </c>
      <c r="B117" s="21">
        <f ca="1">IF(CALC2223!AX117&gt;0,INDIRECT(ADDRESS(MATCH(Agenda2526!C118,'CAL1'!A:A,0),3,4,1,"CAL1")),0)</f>
        <v>0</v>
      </c>
      <c r="C117" s="20" t="str">
        <f ca="1">IF(CALC2223!AX117&gt;1,INDIRECT(ADDRESS(MATCH(Agenda2526!C118,'CAL1'!A:A,0)+1,2,4,1,"CAL1")),"")</f>
        <v/>
      </c>
      <c r="D117" s="21">
        <f ca="1">IF(CALC2223!AX117&gt;1,INDIRECT(ADDRESS(MATCH(Agenda2526!C118,'CAL1'!A:A,0)+1,3,4,1,"CAL1")),0)</f>
        <v>0</v>
      </c>
      <c r="E117" s="20" t="str">
        <f ca="1">IF(CALC2223!AX117&gt;2,INDIRECT(ADDRESS(MATCH(Agenda2526!C118,'CAL1'!A:A,0)+2,2,4,1,"CAL1")),"")</f>
        <v/>
      </c>
      <c r="F117" s="21">
        <f ca="1">IF(CALC2223!AX117&gt;2,INDIRECT(ADDRESS(MATCH(Agenda2526!C118,'CAL1'!A:A,0)+2,3,4,1,"CAL1")),0)</f>
        <v>0</v>
      </c>
      <c r="G117" s="20" t="str">
        <f ca="1">IF(CALC2223!AY117&gt;0,INDIRECT(ADDRESS(MATCH(Agenda2526!C118,'CAL2'!A:A,0),2,4,1,"CAL2")),"")</f>
        <v/>
      </c>
      <c r="H117" s="21">
        <f ca="1">IF(CALC2223!AY117&gt;0,INDIRECT(ADDRESS(MATCH(Agenda2526!C118,'CAL2'!A:A,0),3,4,1,"CAL2")),0)</f>
        <v>0</v>
      </c>
      <c r="I117" s="20" t="str">
        <f ca="1">IF(CALC2223!AY117&gt;1,INDIRECT(ADDRESS(MATCH(Agenda2526!C118,'CAL2'!A:A,0)+1,2,4,1,"CAL2")),"")</f>
        <v/>
      </c>
      <c r="J117" s="21">
        <f ca="1">IF(CALC2223!AY117&gt;1,INDIRECT(ADDRESS(MATCH(Agenda2526!C118,'CAL2'!A:A,0)+1,3,4,1,"CAL2")),0)</f>
        <v>0</v>
      </c>
      <c r="K117" s="20" t="str">
        <f ca="1">IF(CALC2223!AY117&gt;2,INDIRECT(ADDRESS(MATCH(Agenda2526!C118,'CAL2'!A:A,0)+2,2,4,1,"CAL2")),"")</f>
        <v/>
      </c>
      <c r="L117" s="21">
        <f ca="1">IF(CALC2223!AY117&gt;2,INDIRECT(ADDRESS(MATCH(Agenda2526!C118,'CAL2'!A:A,0)+2,3,4,1,"CAL2")),0)</f>
        <v>0</v>
      </c>
      <c r="M117" s="20" t="str">
        <f ca="1">IF(CALC2223!AZ117&gt;0,INDIRECT(ADDRESS(MATCH(Agenda2526!C118,'CAL3'!A:A,0),2,4,1,"CAL3")),"")</f>
        <v/>
      </c>
      <c r="N117" s="21">
        <f ca="1">IF(CALC2223!AZ117&gt;0,INDIRECT(ADDRESS(MATCH(Agenda2526!C118,'CAL3'!A:A,0),3,4,1,"CAL3")),0)</f>
        <v>0</v>
      </c>
      <c r="O117" s="20" t="str">
        <f ca="1">IF(CALC2223!AZ117&gt;1,INDIRECT(ADDRESS(MATCH(Agenda2526!C118,'CAL3'!A:A,0)+1,2,4,1,"CAL3")),"")</f>
        <v/>
      </c>
      <c r="P117" s="21">
        <f ca="1">IF(CALC2223!AZ117&gt;1,INDIRECT(ADDRESS(MATCH(Agenda2526!C118,'CAL3'!A:A,0)+1,3,4,1,"CAL3")),0)</f>
        <v>0</v>
      </c>
      <c r="Q117" s="20" t="str">
        <f ca="1">IF(CALC2223!AZ117&gt;2,INDIRECT(ADDRESS(MATCH(Agenda2526!C118,'CAL3'!A:A,0)+2,2,4,1,"CAL3")),"")</f>
        <v/>
      </c>
      <c r="R117" s="21">
        <f ca="1">IF(CALC2223!AZ117&gt;2,INDIRECT(ADDRESS(MATCH(Agenda2526!C118,'CAL3'!A:A,0)+2,3,4,1,"CAL3")),0)</f>
        <v>0</v>
      </c>
      <c r="S117" s="20" t="str">
        <f ca="1">IF(CALC2223!BA117&gt;0,INDIRECT(ADDRESS(MATCH(Agenda2526!C118,'CAL4'!A:A,0),2,4,1,"CAL4")),"")</f>
        <v/>
      </c>
      <c r="T117" s="21">
        <f ca="1">IF(CALC2223!BA117&gt;0,INDIRECT(ADDRESS(MATCH(Agenda2526!C118,'CAL4'!A:A,0),3,4,1,"CAL4")),0)</f>
        <v>0</v>
      </c>
      <c r="U117" s="20" t="str">
        <f ca="1">IF(CALC2223!BA117&gt;1,INDIRECT(ADDRESS(MATCH(Agenda2526!C118,'CAL4'!A:A,0)+1,2,4,1,"CAL4")),"")</f>
        <v/>
      </c>
      <c r="V117" s="21">
        <f ca="1">IF(CALC2223!BA117&gt;1,INDIRECT(ADDRESS(MATCH(Agenda2526!C118,'CAL4'!A:A,0)+1,3,4,1,"CAL4")),0)</f>
        <v>0</v>
      </c>
      <c r="W117" s="20" t="str">
        <f ca="1">IF(CALC2223!BA117&gt;2,INDIRECT(ADDRESS(MATCH(Agenda2526!C118,'CAL4'!A:A,0)+2,2,4,1,"CAL4")),"")</f>
        <v/>
      </c>
      <c r="X117" s="21">
        <f ca="1">IF(CALC2223!BA117&gt;2,INDIRECT(ADDRESS(MATCH(Agenda2526!C118,'CAL4'!A:A,0)+2,3,4,1,"CAL4")),0)</f>
        <v>0</v>
      </c>
      <c r="Y117" s="20" t="str">
        <f ca="1">IF(CALC2223!BB117&gt;0,INDIRECT(ADDRESS(MATCH(Agenda2526!C118,'CAL5'!A:A,0),2,4,1,"CAL5")),"")</f>
        <v/>
      </c>
      <c r="Z117" s="21">
        <f ca="1">IF(CALC2223!BB117&gt;0,INDIRECT(ADDRESS(MATCH(Agenda2526!C118,'CAL5'!A:A,0),3,4,1,"CAL5")),0)</f>
        <v>0</v>
      </c>
      <c r="AA117" s="20" t="str">
        <f ca="1">IF(CALC2223!BB117&gt;1,INDIRECT(ADDRESS(MATCH(Agenda2526!C118,'CAL5'!A:A,0)+1,2,4,1,"CAL5")),"")</f>
        <v/>
      </c>
      <c r="AB117" s="21">
        <f ca="1">IF(CALC2223!BB117&gt;1,INDIRECT(ADDRESS(MATCH(Agenda2526!C118,'CAL5'!A:A,0)+1,3,4,1,"CAL5")),0)</f>
        <v>0</v>
      </c>
      <c r="AC117" s="20" t="str">
        <f ca="1">IF(CALC2223!BB117&gt;2,INDIRECT(ADDRESS(MATCH(Agenda2526!C118,'CAL5'!A:A,0)+2,2,4,1,"CAL5")),"")</f>
        <v/>
      </c>
      <c r="AD117" s="21">
        <f ca="1">IF(CALC2223!BB117&gt;2,INDIRECT(ADDRESS(MATCH(Agenda2526!C118,'CAL5'!A:A,0)+2,3,4,1,"CAL5")),0)</f>
        <v>0</v>
      </c>
      <c r="AE117" s="20" t="str">
        <f ca="1">IF(CALC2223!BC117&gt;0,INDIRECT(ADDRESS(MATCH(Agenda2526!C118,'CAL6'!A:A,0),2,4,1,"CAL6")),"")</f>
        <v/>
      </c>
      <c r="AF117" s="21">
        <f ca="1">IF(CALC2223!BC117&gt;0,INDIRECT(ADDRESS(MATCH(Agenda2526!C118,'CAL6'!A:A,0),3,4,1,"CAL6")),0)</f>
        <v>0</v>
      </c>
      <c r="AG117" s="20" t="str">
        <f ca="1">IF(CALC2223!BC117&gt;1,INDIRECT(ADDRESS(MATCH(Agenda2526!C118,'CAL6'!A:A,0)+1,2,4,1,"CAL6")),"")</f>
        <v/>
      </c>
      <c r="AH117" s="21">
        <f ca="1">IF(CALC2223!BC117&gt;1,INDIRECT(ADDRESS(MATCH(Agenda2526!C118,'CAL6'!A:A,0)+1,3,4,1,"CAL6")),0)</f>
        <v>0</v>
      </c>
      <c r="AI117" s="20" t="str">
        <f ca="1">IF(CALC2223!BC117&gt;2,INDIRECT(ADDRESS(MATCH(Agenda2526!C118,'CAL6'!A:A,0)+2,2,4,1,"CAL6")),"")</f>
        <v/>
      </c>
      <c r="AJ117" s="21">
        <f ca="1">IF(CALC2223!BC117&gt;2,INDIRECT(ADDRESS(MATCH(Agenda2526!C118,'CAL6'!A:A,0)+2,3,4,1,"CAL6")),0)</f>
        <v>0</v>
      </c>
      <c r="AK117" s="20" t="str">
        <f ca="1">IF(CALC2223!BD117&gt;0,INDIRECT(ADDRESS(MATCH(Agenda2526!C118,'CAL7'!A:A,0),2,4,1,"CAL7")),"")</f>
        <v/>
      </c>
      <c r="AL117" s="21">
        <f ca="1">IF(CALC2223!BD117&gt;0,INDIRECT(ADDRESS(MATCH(Agenda2526!C118,'CAL7'!A:A,0),3,4,1,"CAL7")),0)</f>
        <v>0</v>
      </c>
      <c r="AM117" s="20" t="str">
        <f ca="1">IF(CALC2223!BD117&gt;1,INDIRECT(ADDRESS(MATCH(Agenda2526!C118,'CAL7'!A:A,0)+1,2,4,1,"CAL7")),"")</f>
        <v/>
      </c>
      <c r="AN117" s="21">
        <f ca="1">IF(CALC2223!BD117&gt;1,INDIRECT(ADDRESS(MATCH(Agenda2526!C118,'CAL7'!A:A,0)+1,3,4,1,"CAL7")),0)</f>
        <v>0</v>
      </c>
      <c r="AO117" s="20" t="str">
        <f ca="1">IF(CALC2223!BD117&gt;2,INDIRECT(ADDRESS(MATCH(Agenda2526!C118,'CAL7'!A:A,0)+2,2,4,1,"CAL7")),"")</f>
        <v/>
      </c>
      <c r="AP117" s="21">
        <f ca="1">IF(CALC2223!BD117&gt;2,INDIRECT(ADDRESS(MATCH(Agenda2526!C118,'CAL7'!A:A,0)+2,3,4,1,"CAL7")),0)</f>
        <v>0</v>
      </c>
      <c r="AQ117" s="20" t="str">
        <f ca="1">IF(CALC2223!BE117&gt;0,INDIRECT(ADDRESS(MATCH(Agenda2526!C118,'CAL8'!A:A,0),2,4,1,"CAL8")),"")</f>
        <v>1e kerstdag</v>
      </c>
      <c r="AR117" s="21">
        <f ca="1">IF(CALC2223!BE117&gt;0,INDIRECT(ADDRESS(MATCH(Agenda2526!C118,'CAL8'!A:A,0),3,4,1,"CAL8")),0)</f>
        <v>45896</v>
      </c>
      <c r="AS117" s="20" t="str">
        <f ca="1">IF(CALC2223!BE117&gt;1,INDIRECT(ADDRESS(MATCH(Agenda2526!C118,'CAL8'!A:A,0)+1,2,4,1,"CAL8")),"")</f>
        <v/>
      </c>
      <c r="AT117" s="21">
        <f ca="1">IF(CALC2223!BE117&gt;1,INDIRECT(ADDRESS(MATCH(Agenda2526!C118,'CAL8'!A:A,0)+1,3,4,1,"CAL8")),0)</f>
        <v>0</v>
      </c>
      <c r="AU117" s="20" t="str">
        <f ca="1">IF(CALC2223!BE117&gt;2,INDIRECT(ADDRESS(MATCH(Agenda2526!C118,'CAL8'!A:A,0)+2,2,4,1,"CAL8")),"")</f>
        <v/>
      </c>
      <c r="AV117" s="21">
        <f ca="1">IF(CALC2223!BE117&gt;2,INDIRECT(ADDRESS(MATCH(Agenda2526!C118,'CAL8'!A:A,0)+2,3,4,1,"CAL8")),0)</f>
        <v>0</v>
      </c>
      <c r="AW117" s="110"/>
      <c r="AX117" s="20">
        <f>COUNTIF('CAL1'!A:A,Agenda2526!C118)</f>
        <v>0</v>
      </c>
      <c r="AY117" s="20">
        <f>COUNTIF('CAL2'!A:A,Agenda2526!C118)</f>
        <v>0</v>
      </c>
      <c r="AZ117" s="20">
        <f>COUNTIF('CAL3'!A:A,Agenda2526!C118)</f>
        <v>0</v>
      </c>
      <c r="BA117" s="20">
        <f>COUNTIF('CAL4'!A:A,Agenda2526!C118)</f>
        <v>0</v>
      </c>
      <c r="BB117" s="20">
        <f>COUNTIF('CAL5'!A:A,Agenda2526!C118)</f>
        <v>0</v>
      </c>
      <c r="BC117" s="20">
        <f>COUNTIF('CAL6'!A:A,Agenda2526!C118)</f>
        <v>0</v>
      </c>
      <c r="BD117" s="20">
        <f>COUNTIF('CAL7'!A:A,Agenda2526!C118)</f>
        <v>0</v>
      </c>
      <c r="BE117" s="20">
        <f>COUNTIF('CAL8'!A:A,Agenda2526!C118)</f>
        <v>1</v>
      </c>
    </row>
    <row r="118" spans="1:57" ht="15.75" customHeight="1">
      <c r="A118" s="20" t="str">
        <f ca="1">IF(CALC2223!AX118&gt;0,INDIRECT(ADDRESS(MATCH(Agenda2526!C119,'CAL1'!A:A,0),2,4,1,"CAL1")),"")</f>
        <v/>
      </c>
      <c r="B118" s="21">
        <f ca="1">IF(CALC2223!AX118&gt;0,INDIRECT(ADDRESS(MATCH(Agenda2526!C119,'CAL1'!A:A,0),3,4,1,"CAL1")),0)</f>
        <v>0</v>
      </c>
      <c r="C118" s="20" t="str">
        <f ca="1">IF(CALC2223!AX118&gt;1,INDIRECT(ADDRESS(MATCH(Agenda2526!C119,'CAL1'!A:A,0)+1,2,4,1,"CAL1")),"")</f>
        <v/>
      </c>
      <c r="D118" s="21">
        <f ca="1">IF(CALC2223!AX118&gt;1,INDIRECT(ADDRESS(MATCH(Agenda2526!C119,'CAL1'!A:A,0)+1,3,4,1,"CAL1")),0)</f>
        <v>0</v>
      </c>
      <c r="E118" s="20" t="str">
        <f ca="1">IF(CALC2223!AX118&gt;2,INDIRECT(ADDRESS(MATCH(Agenda2526!C119,'CAL1'!A:A,0)+2,2,4,1,"CAL1")),"")</f>
        <v/>
      </c>
      <c r="F118" s="21">
        <f ca="1">IF(CALC2223!AX118&gt;2,INDIRECT(ADDRESS(MATCH(Agenda2526!C119,'CAL1'!A:A,0)+2,3,4,1,"CAL1")),0)</f>
        <v>0</v>
      </c>
      <c r="G118" s="20" t="str">
        <f ca="1">IF(CALC2223!AY118&gt;0,INDIRECT(ADDRESS(MATCH(Agenda2526!C119,'CAL2'!A:A,0),2,4,1,"CAL2")),"")</f>
        <v/>
      </c>
      <c r="H118" s="21">
        <f ca="1">IF(CALC2223!AY118&gt;0,INDIRECT(ADDRESS(MATCH(Agenda2526!C119,'CAL2'!A:A,0),3,4,1,"CAL2")),0)</f>
        <v>0</v>
      </c>
      <c r="I118" s="20" t="str">
        <f ca="1">IF(CALC2223!AY118&gt;1,INDIRECT(ADDRESS(MATCH(Agenda2526!C119,'CAL2'!A:A,0)+1,2,4,1,"CAL2")),"")</f>
        <v/>
      </c>
      <c r="J118" s="21">
        <f ca="1">IF(CALC2223!AY118&gt;1,INDIRECT(ADDRESS(MATCH(Agenda2526!C119,'CAL2'!A:A,0)+1,3,4,1,"CAL2")),0)</f>
        <v>0</v>
      </c>
      <c r="K118" s="20" t="str">
        <f ca="1">IF(CALC2223!AY118&gt;2,INDIRECT(ADDRESS(MATCH(Agenda2526!C119,'CAL2'!A:A,0)+2,2,4,1,"CAL2")),"")</f>
        <v/>
      </c>
      <c r="L118" s="21">
        <f ca="1">IF(CALC2223!AY118&gt;2,INDIRECT(ADDRESS(MATCH(Agenda2526!C119,'CAL2'!A:A,0)+2,3,4,1,"CAL2")),0)</f>
        <v>0</v>
      </c>
      <c r="M118" s="20" t="str">
        <f ca="1">IF(CALC2223!AZ118&gt;0,INDIRECT(ADDRESS(MATCH(Agenda2526!C119,'CAL3'!A:A,0),2,4,1,"CAL3")),"")</f>
        <v/>
      </c>
      <c r="N118" s="21">
        <f ca="1">IF(CALC2223!AZ118&gt;0,INDIRECT(ADDRESS(MATCH(Agenda2526!C119,'CAL3'!A:A,0),3,4,1,"CAL3")),0)</f>
        <v>0</v>
      </c>
      <c r="O118" s="20" t="str">
        <f ca="1">IF(CALC2223!AZ118&gt;1,INDIRECT(ADDRESS(MATCH(Agenda2526!C119,'CAL3'!A:A,0)+1,2,4,1,"CAL3")),"")</f>
        <v/>
      </c>
      <c r="P118" s="21">
        <f ca="1">IF(CALC2223!AZ118&gt;1,INDIRECT(ADDRESS(MATCH(Agenda2526!C119,'CAL3'!A:A,0)+1,3,4,1,"CAL3")),0)</f>
        <v>0</v>
      </c>
      <c r="Q118" s="20" t="str">
        <f ca="1">IF(CALC2223!AZ118&gt;2,INDIRECT(ADDRESS(MATCH(Agenda2526!C119,'CAL3'!A:A,0)+2,2,4,1,"CAL3")),"")</f>
        <v/>
      </c>
      <c r="R118" s="21">
        <f ca="1">IF(CALC2223!AZ118&gt;2,INDIRECT(ADDRESS(MATCH(Agenda2526!C119,'CAL3'!A:A,0)+2,3,4,1,"CAL3")),0)</f>
        <v>0</v>
      </c>
      <c r="S118" s="20" t="str">
        <f ca="1">IF(CALC2223!BA118&gt;0,INDIRECT(ADDRESS(MATCH(Agenda2526!C119,'CAL4'!A:A,0),2,4,1,"CAL4")),"")</f>
        <v/>
      </c>
      <c r="T118" s="21">
        <f ca="1">IF(CALC2223!BA118&gt;0,INDIRECT(ADDRESS(MATCH(Agenda2526!C119,'CAL4'!A:A,0),3,4,1,"CAL4")),0)</f>
        <v>0</v>
      </c>
      <c r="U118" s="20" t="str">
        <f ca="1">IF(CALC2223!BA118&gt;1,INDIRECT(ADDRESS(MATCH(Agenda2526!C119,'CAL4'!A:A,0)+1,2,4,1,"CAL4")),"")</f>
        <v/>
      </c>
      <c r="V118" s="21">
        <f ca="1">IF(CALC2223!BA118&gt;1,INDIRECT(ADDRESS(MATCH(Agenda2526!C119,'CAL4'!A:A,0)+1,3,4,1,"CAL4")),0)</f>
        <v>0</v>
      </c>
      <c r="W118" s="20" t="str">
        <f ca="1">IF(CALC2223!BA118&gt;2,INDIRECT(ADDRESS(MATCH(Agenda2526!C119,'CAL4'!A:A,0)+2,2,4,1,"CAL4")),"")</f>
        <v/>
      </c>
      <c r="X118" s="21">
        <f ca="1">IF(CALC2223!BA118&gt;2,INDIRECT(ADDRESS(MATCH(Agenda2526!C119,'CAL4'!A:A,0)+2,3,4,1,"CAL4")),0)</f>
        <v>0</v>
      </c>
      <c r="Y118" s="20" t="str">
        <f ca="1">IF(CALC2223!BB118&gt;0,INDIRECT(ADDRESS(MATCH(Agenda2526!C119,'CAL5'!A:A,0),2,4,1,"CAL5")),"")</f>
        <v/>
      </c>
      <c r="Z118" s="21">
        <f ca="1">IF(CALC2223!BB118&gt;0,INDIRECT(ADDRESS(MATCH(Agenda2526!C119,'CAL5'!A:A,0),3,4,1,"CAL5")),0)</f>
        <v>0</v>
      </c>
      <c r="AA118" s="20" t="str">
        <f ca="1">IF(CALC2223!BB118&gt;1,INDIRECT(ADDRESS(MATCH(Agenda2526!C119,'CAL5'!A:A,0)+1,2,4,1,"CAL5")),"")</f>
        <v/>
      </c>
      <c r="AB118" s="21">
        <f ca="1">IF(CALC2223!BB118&gt;1,INDIRECT(ADDRESS(MATCH(Agenda2526!C119,'CAL5'!A:A,0)+1,3,4,1,"CAL5")),0)</f>
        <v>0</v>
      </c>
      <c r="AC118" s="20" t="str">
        <f ca="1">IF(CALC2223!BB118&gt;2,INDIRECT(ADDRESS(MATCH(Agenda2526!C119,'CAL5'!A:A,0)+2,2,4,1,"CAL5")),"")</f>
        <v/>
      </c>
      <c r="AD118" s="21">
        <f ca="1">IF(CALC2223!BB118&gt;2,INDIRECT(ADDRESS(MATCH(Agenda2526!C119,'CAL5'!A:A,0)+2,3,4,1,"CAL5")),0)</f>
        <v>0</v>
      </c>
      <c r="AE118" s="20" t="str">
        <f ca="1">IF(CALC2223!BC118&gt;0,INDIRECT(ADDRESS(MATCH(Agenda2526!C119,'CAL6'!A:A,0),2,4,1,"CAL6")),"")</f>
        <v/>
      </c>
      <c r="AF118" s="21">
        <f ca="1">IF(CALC2223!BC118&gt;0,INDIRECT(ADDRESS(MATCH(Agenda2526!C119,'CAL6'!A:A,0),3,4,1,"CAL6")),0)</f>
        <v>0</v>
      </c>
      <c r="AG118" s="20" t="str">
        <f ca="1">IF(CALC2223!BC118&gt;1,INDIRECT(ADDRESS(MATCH(Agenda2526!C119,'CAL6'!A:A,0)+1,2,4,1,"CAL6")),"")</f>
        <v/>
      </c>
      <c r="AH118" s="21">
        <f ca="1">IF(CALC2223!BC118&gt;1,INDIRECT(ADDRESS(MATCH(Agenda2526!C119,'CAL6'!A:A,0)+1,3,4,1,"CAL6")),0)</f>
        <v>0</v>
      </c>
      <c r="AI118" s="20" t="str">
        <f ca="1">IF(CALC2223!BC118&gt;2,INDIRECT(ADDRESS(MATCH(Agenda2526!C119,'CAL6'!A:A,0)+2,2,4,1,"CAL6")),"")</f>
        <v/>
      </c>
      <c r="AJ118" s="21">
        <f ca="1">IF(CALC2223!BC118&gt;2,INDIRECT(ADDRESS(MATCH(Agenda2526!C119,'CAL6'!A:A,0)+2,3,4,1,"CAL6")),0)</f>
        <v>0</v>
      </c>
      <c r="AK118" s="20" t="str">
        <f ca="1">IF(CALC2223!BD118&gt;0,INDIRECT(ADDRESS(MATCH(Agenda2526!C119,'CAL7'!A:A,0),2,4,1,"CAL7")),"")</f>
        <v/>
      </c>
      <c r="AL118" s="21">
        <f ca="1">IF(CALC2223!BD118&gt;0,INDIRECT(ADDRESS(MATCH(Agenda2526!C119,'CAL7'!A:A,0),3,4,1,"CAL7")),0)</f>
        <v>0</v>
      </c>
      <c r="AM118" s="20" t="str">
        <f ca="1">IF(CALC2223!BD118&gt;1,INDIRECT(ADDRESS(MATCH(Agenda2526!C119,'CAL7'!A:A,0)+1,2,4,1,"CAL7")),"")</f>
        <v/>
      </c>
      <c r="AN118" s="21">
        <f ca="1">IF(CALC2223!BD118&gt;1,INDIRECT(ADDRESS(MATCH(Agenda2526!C119,'CAL7'!A:A,0)+1,3,4,1,"CAL7")),0)</f>
        <v>0</v>
      </c>
      <c r="AO118" s="20" t="str">
        <f ca="1">IF(CALC2223!BD118&gt;2,INDIRECT(ADDRESS(MATCH(Agenda2526!C119,'CAL7'!A:A,0)+2,2,4,1,"CAL7")),"")</f>
        <v/>
      </c>
      <c r="AP118" s="21">
        <f ca="1">IF(CALC2223!BD118&gt;2,INDIRECT(ADDRESS(MATCH(Agenda2526!C119,'CAL7'!A:A,0)+2,3,4,1,"CAL7")),0)</f>
        <v>0</v>
      </c>
      <c r="AQ118" s="20" t="str">
        <f ca="1">IF(CALC2223!BE118&gt;0,INDIRECT(ADDRESS(MATCH(Agenda2526!C119,'CAL8'!A:A,0),2,4,1,"CAL8")),"")</f>
        <v>2e kerstdag</v>
      </c>
      <c r="AR118" s="21">
        <f ca="1">IF(CALC2223!BE118&gt;0,INDIRECT(ADDRESS(MATCH(Agenda2526!C119,'CAL8'!A:A,0),3,4,1,"CAL8")),0)</f>
        <v>45896</v>
      </c>
      <c r="AS118" s="20" t="str">
        <f ca="1">IF(CALC2223!BE118&gt;1,INDIRECT(ADDRESS(MATCH(Agenda2526!C119,'CAL8'!A:A,0)+1,2,4,1,"CAL8")),"")</f>
        <v/>
      </c>
      <c r="AT118" s="21">
        <f ca="1">IF(CALC2223!BE118&gt;1,INDIRECT(ADDRESS(MATCH(Agenda2526!C119,'CAL8'!A:A,0)+1,3,4,1,"CAL8")),0)</f>
        <v>0</v>
      </c>
      <c r="AU118" s="20" t="str">
        <f ca="1">IF(CALC2223!BE118&gt;2,INDIRECT(ADDRESS(MATCH(Agenda2526!C119,'CAL8'!A:A,0)+2,2,4,1,"CAL8")),"")</f>
        <v/>
      </c>
      <c r="AV118" s="21">
        <f ca="1">IF(CALC2223!BE118&gt;2,INDIRECT(ADDRESS(MATCH(Agenda2526!C119,'CAL8'!A:A,0)+2,3,4,1,"CAL8")),0)</f>
        <v>0</v>
      </c>
      <c r="AW118" s="110"/>
      <c r="AX118" s="20">
        <f>COUNTIF('CAL1'!A:A,Agenda2526!C119)</f>
        <v>0</v>
      </c>
      <c r="AY118" s="20">
        <f>COUNTIF('CAL2'!A:A,Agenda2526!C119)</f>
        <v>0</v>
      </c>
      <c r="AZ118" s="20">
        <f>COUNTIF('CAL3'!A:A,Agenda2526!C119)</f>
        <v>0</v>
      </c>
      <c r="BA118" s="20">
        <f>COUNTIF('CAL4'!A:A,Agenda2526!C119)</f>
        <v>0</v>
      </c>
      <c r="BB118" s="20">
        <f>COUNTIF('CAL5'!A:A,Agenda2526!C119)</f>
        <v>0</v>
      </c>
      <c r="BC118" s="20">
        <f>COUNTIF('CAL6'!A:A,Agenda2526!C119)</f>
        <v>0</v>
      </c>
      <c r="BD118" s="20">
        <f>COUNTIF('CAL7'!A:A,Agenda2526!C119)</f>
        <v>0</v>
      </c>
      <c r="BE118" s="20">
        <f>COUNTIF('CAL8'!A:A,Agenda2526!C119)</f>
        <v>1</v>
      </c>
    </row>
    <row r="119" spans="1:57" ht="15.75" customHeight="1">
      <c r="A119" s="20" t="str">
        <f ca="1">IF(CALC2223!AX119&gt;0,INDIRECT(ADDRESS(MATCH(Agenda2526!C120,'CAL1'!A:A,0),2,4,1,"CAL1")),"")</f>
        <v/>
      </c>
      <c r="B119" s="21">
        <f ca="1">IF(CALC2223!AX119&gt;0,INDIRECT(ADDRESS(MATCH(Agenda2526!C120,'CAL1'!A:A,0),3,4,1,"CAL1")),0)</f>
        <v>0</v>
      </c>
      <c r="C119" s="20" t="str">
        <f ca="1">IF(CALC2223!AX119&gt;1,INDIRECT(ADDRESS(MATCH(Agenda2526!C120,'CAL1'!A:A,0)+1,2,4,1,"CAL1")),"")</f>
        <v/>
      </c>
      <c r="D119" s="21">
        <f ca="1">IF(CALC2223!AX119&gt;1,INDIRECT(ADDRESS(MATCH(Agenda2526!C120,'CAL1'!A:A,0)+1,3,4,1,"CAL1")),0)</f>
        <v>0</v>
      </c>
      <c r="E119" s="20" t="str">
        <f ca="1">IF(CALC2223!AX119&gt;2,INDIRECT(ADDRESS(MATCH(Agenda2526!C120,'CAL1'!A:A,0)+2,2,4,1,"CAL1")),"")</f>
        <v/>
      </c>
      <c r="F119" s="21">
        <f ca="1">IF(CALC2223!AX119&gt;2,INDIRECT(ADDRESS(MATCH(Agenda2526!C120,'CAL1'!A:A,0)+2,3,4,1,"CAL1")),0)</f>
        <v>0</v>
      </c>
      <c r="G119" s="20" t="str">
        <f ca="1">IF(CALC2223!AY119&gt;0,INDIRECT(ADDRESS(MATCH(Agenda2526!C120,'CAL2'!A:A,0),2,4,1,"CAL2")),"")</f>
        <v/>
      </c>
      <c r="H119" s="21">
        <f ca="1">IF(CALC2223!AY119&gt;0,INDIRECT(ADDRESS(MATCH(Agenda2526!C120,'CAL2'!A:A,0),3,4,1,"CAL2")),0)</f>
        <v>0</v>
      </c>
      <c r="I119" s="20" t="str">
        <f ca="1">IF(CALC2223!AY119&gt;1,INDIRECT(ADDRESS(MATCH(Agenda2526!C120,'CAL2'!A:A,0)+1,2,4,1,"CAL2")),"")</f>
        <v/>
      </c>
      <c r="J119" s="21">
        <f ca="1">IF(CALC2223!AY119&gt;1,INDIRECT(ADDRESS(MATCH(Agenda2526!C120,'CAL2'!A:A,0)+1,3,4,1,"CAL2")),0)</f>
        <v>0</v>
      </c>
      <c r="K119" s="20" t="str">
        <f ca="1">IF(CALC2223!AY119&gt;2,INDIRECT(ADDRESS(MATCH(Agenda2526!C120,'CAL2'!A:A,0)+2,2,4,1,"CAL2")),"")</f>
        <v/>
      </c>
      <c r="L119" s="21">
        <f ca="1">IF(CALC2223!AY119&gt;2,INDIRECT(ADDRESS(MATCH(Agenda2526!C120,'CAL2'!A:A,0)+2,3,4,1,"CAL2")),0)</f>
        <v>0</v>
      </c>
      <c r="M119" s="20" t="str">
        <f ca="1">IF(CALC2223!AZ119&gt;0,INDIRECT(ADDRESS(MATCH(Agenda2526!C120,'CAL3'!A:A,0),2,4,1,"CAL3")),"")</f>
        <v/>
      </c>
      <c r="N119" s="21">
        <f ca="1">IF(CALC2223!AZ119&gt;0,INDIRECT(ADDRESS(MATCH(Agenda2526!C120,'CAL3'!A:A,0),3,4,1,"CAL3")),0)</f>
        <v>0</v>
      </c>
      <c r="O119" s="20" t="str">
        <f ca="1">IF(CALC2223!AZ119&gt;1,INDIRECT(ADDRESS(MATCH(Agenda2526!C120,'CAL3'!A:A,0)+1,2,4,1,"CAL3")),"")</f>
        <v/>
      </c>
      <c r="P119" s="21">
        <f ca="1">IF(CALC2223!AZ119&gt;1,INDIRECT(ADDRESS(MATCH(Agenda2526!C120,'CAL3'!A:A,0)+1,3,4,1,"CAL3")),0)</f>
        <v>0</v>
      </c>
      <c r="Q119" s="20" t="str">
        <f ca="1">IF(CALC2223!AZ119&gt;2,INDIRECT(ADDRESS(MATCH(Agenda2526!C120,'CAL3'!A:A,0)+2,2,4,1,"CAL3")),"")</f>
        <v/>
      </c>
      <c r="R119" s="21">
        <f ca="1">IF(CALC2223!AZ119&gt;2,INDIRECT(ADDRESS(MATCH(Agenda2526!C120,'CAL3'!A:A,0)+2,3,4,1,"CAL3")),0)</f>
        <v>0</v>
      </c>
      <c r="S119" s="20" t="str">
        <f ca="1">IF(CALC2223!BA119&gt;0,INDIRECT(ADDRESS(MATCH(Agenda2526!C120,'CAL4'!A:A,0),2,4,1,"CAL4")),"")</f>
        <v/>
      </c>
      <c r="T119" s="21">
        <f ca="1">IF(CALC2223!BA119&gt;0,INDIRECT(ADDRESS(MATCH(Agenda2526!C120,'CAL4'!A:A,0),3,4,1,"CAL4")),0)</f>
        <v>0</v>
      </c>
      <c r="U119" s="20" t="str">
        <f ca="1">IF(CALC2223!BA119&gt;1,INDIRECT(ADDRESS(MATCH(Agenda2526!C120,'CAL4'!A:A,0)+1,2,4,1,"CAL4")),"")</f>
        <v/>
      </c>
      <c r="V119" s="21">
        <f ca="1">IF(CALC2223!BA119&gt;1,INDIRECT(ADDRESS(MATCH(Agenda2526!C120,'CAL4'!A:A,0)+1,3,4,1,"CAL4")),0)</f>
        <v>0</v>
      </c>
      <c r="W119" s="20" t="str">
        <f ca="1">IF(CALC2223!BA119&gt;2,INDIRECT(ADDRESS(MATCH(Agenda2526!C120,'CAL4'!A:A,0)+2,2,4,1,"CAL4")),"")</f>
        <v/>
      </c>
      <c r="X119" s="21">
        <f ca="1">IF(CALC2223!BA119&gt;2,INDIRECT(ADDRESS(MATCH(Agenda2526!C120,'CAL4'!A:A,0)+2,3,4,1,"CAL4")),0)</f>
        <v>0</v>
      </c>
      <c r="Y119" s="20" t="str">
        <f ca="1">IF(CALC2223!BB119&gt;0,INDIRECT(ADDRESS(MATCH(Agenda2526!C120,'CAL5'!A:A,0),2,4,1,"CAL5")),"")</f>
        <v/>
      </c>
      <c r="Z119" s="21">
        <f ca="1">IF(CALC2223!BB119&gt;0,INDIRECT(ADDRESS(MATCH(Agenda2526!C120,'CAL5'!A:A,0),3,4,1,"CAL5")),0)</f>
        <v>0</v>
      </c>
      <c r="AA119" s="20" t="str">
        <f ca="1">IF(CALC2223!BB119&gt;1,INDIRECT(ADDRESS(MATCH(Agenda2526!C120,'CAL5'!A:A,0)+1,2,4,1,"CAL5")),"")</f>
        <v/>
      </c>
      <c r="AB119" s="21">
        <f ca="1">IF(CALC2223!BB119&gt;1,INDIRECT(ADDRESS(MATCH(Agenda2526!C120,'CAL5'!A:A,0)+1,3,4,1,"CAL5")),0)</f>
        <v>0</v>
      </c>
      <c r="AC119" s="20" t="str">
        <f ca="1">IF(CALC2223!BB119&gt;2,INDIRECT(ADDRESS(MATCH(Agenda2526!C120,'CAL5'!A:A,0)+2,2,4,1,"CAL5")),"")</f>
        <v/>
      </c>
      <c r="AD119" s="21">
        <f ca="1">IF(CALC2223!BB119&gt;2,INDIRECT(ADDRESS(MATCH(Agenda2526!C120,'CAL5'!A:A,0)+2,3,4,1,"CAL5")),0)</f>
        <v>0</v>
      </c>
      <c r="AE119" s="20" t="str">
        <f ca="1">IF(CALC2223!BC119&gt;0,INDIRECT(ADDRESS(MATCH(Agenda2526!C120,'CAL6'!A:A,0),2,4,1,"CAL6")),"")</f>
        <v/>
      </c>
      <c r="AF119" s="21">
        <f ca="1">IF(CALC2223!BC119&gt;0,INDIRECT(ADDRESS(MATCH(Agenda2526!C120,'CAL6'!A:A,0),3,4,1,"CAL6")),0)</f>
        <v>0</v>
      </c>
      <c r="AG119" s="20" t="str">
        <f ca="1">IF(CALC2223!BC119&gt;1,INDIRECT(ADDRESS(MATCH(Agenda2526!C120,'CAL6'!A:A,0)+1,2,4,1,"CAL6")),"")</f>
        <v/>
      </c>
      <c r="AH119" s="21">
        <f ca="1">IF(CALC2223!BC119&gt;1,INDIRECT(ADDRESS(MATCH(Agenda2526!C120,'CAL6'!A:A,0)+1,3,4,1,"CAL6")),0)</f>
        <v>0</v>
      </c>
      <c r="AI119" s="20" t="str">
        <f ca="1">IF(CALC2223!BC119&gt;2,INDIRECT(ADDRESS(MATCH(Agenda2526!C120,'CAL6'!A:A,0)+2,2,4,1,"CAL6")),"")</f>
        <v/>
      </c>
      <c r="AJ119" s="21">
        <f ca="1">IF(CALC2223!BC119&gt;2,INDIRECT(ADDRESS(MATCH(Agenda2526!C120,'CAL6'!A:A,0)+2,3,4,1,"CAL6")),0)</f>
        <v>0</v>
      </c>
      <c r="AK119" s="20" t="str">
        <f ca="1">IF(CALC2223!BD119&gt;0,INDIRECT(ADDRESS(MATCH(Agenda2526!C120,'CAL7'!A:A,0),2,4,1,"CAL7")),"")</f>
        <v/>
      </c>
      <c r="AL119" s="21">
        <f ca="1">IF(CALC2223!BD119&gt;0,INDIRECT(ADDRESS(MATCH(Agenda2526!C120,'CAL7'!A:A,0),3,4,1,"CAL7")),0)</f>
        <v>0</v>
      </c>
      <c r="AM119" s="20" t="str">
        <f ca="1">IF(CALC2223!BD119&gt;1,INDIRECT(ADDRESS(MATCH(Agenda2526!C120,'CAL7'!A:A,0)+1,2,4,1,"CAL7")),"")</f>
        <v/>
      </c>
      <c r="AN119" s="21">
        <f ca="1">IF(CALC2223!BD119&gt;1,INDIRECT(ADDRESS(MATCH(Agenda2526!C120,'CAL7'!A:A,0)+1,3,4,1,"CAL7")),0)</f>
        <v>0</v>
      </c>
      <c r="AO119" s="20" t="str">
        <f ca="1">IF(CALC2223!BD119&gt;2,INDIRECT(ADDRESS(MATCH(Agenda2526!C120,'CAL7'!A:A,0)+2,2,4,1,"CAL7")),"")</f>
        <v/>
      </c>
      <c r="AP119" s="21">
        <f ca="1">IF(CALC2223!BD119&gt;2,INDIRECT(ADDRESS(MATCH(Agenda2526!C120,'CAL7'!A:A,0)+2,3,4,1,"CAL7")),0)</f>
        <v>0</v>
      </c>
      <c r="AQ119" s="20" t="str">
        <f ca="1">IF(CALC2223!BE119&gt;0,INDIRECT(ADDRESS(MATCH(Agenda2526!C120,'CAL8'!A:A,0),2,4,1,"CAL8")),"")</f>
        <v/>
      </c>
      <c r="AR119" s="21">
        <f ca="1">IF(CALC2223!BE119&gt;0,INDIRECT(ADDRESS(MATCH(Agenda2526!C120,'CAL8'!A:A,0),3,4,1,"CAL8")),0)</f>
        <v>0</v>
      </c>
      <c r="AS119" s="20" t="str">
        <f ca="1">IF(CALC2223!BE119&gt;1,INDIRECT(ADDRESS(MATCH(Agenda2526!C120,'CAL8'!A:A,0)+1,2,4,1,"CAL8")),"")</f>
        <v/>
      </c>
      <c r="AT119" s="21">
        <f ca="1">IF(CALC2223!BE119&gt;1,INDIRECT(ADDRESS(MATCH(Agenda2526!C120,'CAL8'!A:A,0)+1,3,4,1,"CAL8")),0)</f>
        <v>0</v>
      </c>
      <c r="AU119" s="20" t="str">
        <f ca="1">IF(CALC2223!BE119&gt;2,INDIRECT(ADDRESS(MATCH(Agenda2526!C120,'CAL8'!A:A,0)+2,2,4,1,"CAL8")),"")</f>
        <v/>
      </c>
      <c r="AV119" s="21">
        <f ca="1">IF(CALC2223!BE119&gt;2,INDIRECT(ADDRESS(MATCH(Agenda2526!C120,'CAL8'!A:A,0)+2,3,4,1,"CAL8")),0)</f>
        <v>0</v>
      </c>
      <c r="AW119" s="106"/>
      <c r="AX119" s="20">
        <f>COUNTIF('CAL1'!A:A,Agenda2526!C120)</f>
        <v>0</v>
      </c>
      <c r="AY119" s="20">
        <f>COUNTIF('CAL2'!A:A,Agenda2526!C120)</f>
        <v>0</v>
      </c>
      <c r="AZ119" s="20">
        <f>COUNTIF('CAL3'!A:A,Agenda2526!C120)</f>
        <v>0</v>
      </c>
      <c r="BA119" s="20">
        <f>COUNTIF('CAL4'!A:A,Agenda2526!C120)</f>
        <v>0</v>
      </c>
      <c r="BB119" s="20">
        <f>COUNTIF('CAL5'!A:A,Agenda2526!C120)</f>
        <v>0</v>
      </c>
      <c r="BC119" s="20">
        <f>COUNTIF('CAL6'!A:A,Agenda2526!C120)</f>
        <v>0</v>
      </c>
      <c r="BD119" s="20">
        <f>COUNTIF('CAL7'!A:A,Agenda2526!C120)</f>
        <v>0</v>
      </c>
      <c r="BE119" s="20">
        <f>COUNTIF('CAL8'!A:A,Agenda2526!C120)</f>
        <v>0</v>
      </c>
    </row>
    <row r="120" spans="1:57" ht="15.75" customHeight="1">
      <c r="A120" s="20" t="str">
        <f ca="1">IF(CALC2223!AX120&gt;0,INDIRECT(ADDRESS(MATCH(Agenda2526!C121,'CAL1'!A:A,0),2,4,1,"CAL1")),"")</f>
        <v/>
      </c>
      <c r="B120" s="21">
        <f ca="1">IF(CALC2223!AX120&gt;0,INDIRECT(ADDRESS(MATCH(Agenda2526!C121,'CAL1'!A:A,0),3,4,1,"CAL1")),0)</f>
        <v>0</v>
      </c>
      <c r="C120" s="20" t="str">
        <f ca="1">IF(CALC2223!AX120&gt;1,INDIRECT(ADDRESS(MATCH(Agenda2526!C121,'CAL1'!A:A,0)+1,2,4,1,"CAL1")),"")</f>
        <v/>
      </c>
      <c r="D120" s="21">
        <f ca="1">IF(CALC2223!AX120&gt;1,INDIRECT(ADDRESS(MATCH(Agenda2526!C121,'CAL1'!A:A,0)+1,3,4,1,"CAL1")),0)</f>
        <v>0</v>
      </c>
      <c r="E120" s="20" t="str">
        <f ca="1">IF(CALC2223!AX120&gt;2,INDIRECT(ADDRESS(MATCH(Agenda2526!C121,'CAL1'!A:A,0)+2,2,4,1,"CAL1")),"")</f>
        <v/>
      </c>
      <c r="F120" s="21">
        <f ca="1">IF(CALC2223!AX120&gt;2,INDIRECT(ADDRESS(MATCH(Agenda2526!C121,'CAL1'!A:A,0)+2,3,4,1,"CAL1")),0)</f>
        <v>0</v>
      </c>
      <c r="G120" s="20" t="str">
        <f ca="1">IF(CALC2223!AY120&gt;0,INDIRECT(ADDRESS(MATCH(Agenda2526!C121,'CAL2'!A:A,0),2,4,1,"CAL2")),"")</f>
        <v/>
      </c>
      <c r="H120" s="21">
        <f ca="1">IF(CALC2223!AY120&gt;0,INDIRECT(ADDRESS(MATCH(Agenda2526!C121,'CAL2'!A:A,0),3,4,1,"CAL2")),0)</f>
        <v>0</v>
      </c>
      <c r="I120" s="20" t="str">
        <f ca="1">IF(CALC2223!AY120&gt;1,INDIRECT(ADDRESS(MATCH(Agenda2526!C121,'CAL2'!A:A,0)+1,2,4,1,"CAL2")),"")</f>
        <v/>
      </c>
      <c r="J120" s="21">
        <f ca="1">IF(CALC2223!AY120&gt;1,INDIRECT(ADDRESS(MATCH(Agenda2526!C121,'CAL2'!A:A,0)+1,3,4,1,"CAL2")),0)</f>
        <v>0</v>
      </c>
      <c r="K120" s="20" t="str">
        <f ca="1">IF(CALC2223!AY120&gt;2,INDIRECT(ADDRESS(MATCH(Agenda2526!C121,'CAL2'!A:A,0)+2,2,4,1,"CAL2")),"")</f>
        <v/>
      </c>
      <c r="L120" s="21">
        <f ca="1">IF(CALC2223!AY120&gt;2,INDIRECT(ADDRESS(MATCH(Agenda2526!C121,'CAL2'!A:A,0)+2,3,4,1,"CAL2")),0)</f>
        <v>0</v>
      </c>
      <c r="M120" s="20" t="str">
        <f ca="1">IF(CALC2223!AZ120&gt;0,INDIRECT(ADDRESS(MATCH(Agenda2526!C121,'CAL3'!A:A,0),2,4,1,"CAL3")),"")</f>
        <v/>
      </c>
      <c r="N120" s="21">
        <f ca="1">IF(CALC2223!AZ120&gt;0,INDIRECT(ADDRESS(MATCH(Agenda2526!C121,'CAL3'!A:A,0),3,4,1,"CAL3")),0)</f>
        <v>0</v>
      </c>
      <c r="O120" s="20" t="str">
        <f ca="1">IF(CALC2223!AZ120&gt;1,INDIRECT(ADDRESS(MATCH(Agenda2526!C121,'CAL3'!A:A,0)+1,2,4,1,"CAL3")),"")</f>
        <v/>
      </c>
      <c r="P120" s="21">
        <f ca="1">IF(CALC2223!AZ120&gt;1,INDIRECT(ADDRESS(MATCH(Agenda2526!C121,'CAL3'!A:A,0)+1,3,4,1,"CAL3")),0)</f>
        <v>0</v>
      </c>
      <c r="Q120" s="20" t="str">
        <f ca="1">IF(CALC2223!AZ120&gt;2,INDIRECT(ADDRESS(MATCH(Agenda2526!C121,'CAL3'!A:A,0)+2,2,4,1,"CAL3")),"")</f>
        <v/>
      </c>
      <c r="R120" s="21">
        <f ca="1">IF(CALC2223!AZ120&gt;2,INDIRECT(ADDRESS(MATCH(Agenda2526!C121,'CAL3'!A:A,0)+2,3,4,1,"CAL3")),0)</f>
        <v>0</v>
      </c>
      <c r="S120" s="20" t="str">
        <f ca="1">IF(CALC2223!BA120&gt;0,INDIRECT(ADDRESS(MATCH(Agenda2526!C121,'CAL4'!A:A,0),2,4,1,"CAL4")),"")</f>
        <v/>
      </c>
      <c r="T120" s="21">
        <f ca="1">IF(CALC2223!BA120&gt;0,INDIRECT(ADDRESS(MATCH(Agenda2526!C121,'CAL4'!A:A,0),3,4,1,"CAL4")),0)</f>
        <v>0</v>
      </c>
      <c r="U120" s="20" t="str">
        <f ca="1">IF(CALC2223!BA120&gt;1,INDIRECT(ADDRESS(MATCH(Agenda2526!C121,'CAL4'!A:A,0)+1,2,4,1,"CAL4")),"")</f>
        <v/>
      </c>
      <c r="V120" s="21">
        <f ca="1">IF(CALC2223!BA120&gt;1,INDIRECT(ADDRESS(MATCH(Agenda2526!C121,'CAL4'!A:A,0)+1,3,4,1,"CAL4")),0)</f>
        <v>0</v>
      </c>
      <c r="W120" s="20" t="str">
        <f ca="1">IF(CALC2223!BA120&gt;2,INDIRECT(ADDRESS(MATCH(Agenda2526!C121,'CAL4'!A:A,0)+2,2,4,1,"CAL4")),"")</f>
        <v/>
      </c>
      <c r="X120" s="21">
        <f ca="1">IF(CALC2223!BA120&gt;2,INDIRECT(ADDRESS(MATCH(Agenda2526!C121,'CAL4'!A:A,0)+2,3,4,1,"CAL4")),0)</f>
        <v>0</v>
      </c>
      <c r="Y120" s="20" t="str">
        <f ca="1">IF(CALC2223!BB120&gt;0,INDIRECT(ADDRESS(MATCH(Agenda2526!C121,'CAL5'!A:A,0),2,4,1,"CAL5")),"")</f>
        <v/>
      </c>
      <c r="Z120" s="21">
        <f ca="1">IF(CALC2223!BB120&gt;0,INDIRECT(ADDRESS(MATCH(Agenda2526!C121,'CAL5'!A:A,0),3,4,1,"CAL5")),0)</f>
        <v>0</v>
      </c>
      <c r="AA120" s="20" t="str">
        <f ca="1">IF(CALC2223!BB120&gt;1,INDIRECT(ADDRESS(MATCH(Agenda2526!C121,'CAL5'!A:A,0)+1,2,4,1,"CAL5")),"")</f>
        <v/>
      </c>
      <c r="AB120" s="21">
        <f ca="1">IF(CALC2223!BB120&gt;1,INDIRECT(ADDRESS(MATCH(Agenda2526!C121,'CAL5'!A:A,0)+1,3,4,1,"CAL5")),0)</f>
        <v>0</v>
      </c>
      <c r="AC120" s="20" t="str">
        <f ca="1">IF(CALC2223!BB120&gt;2,INDIRECT(ADDRESS(MATCH(Agenda2526!C121,'CAL5'!A:A,0)+2,2,4,1,"CAL5")),"")</f>
        <v/>
      </c>
      <c r="AD120" s="21">
        <f ca="1">IF(CALC2223!BB120&gt;2,INDIRECT(ADDRESS(MATCH(Agenda2526!C121,'CAL5'!A:A,0)+2,3,4,1,"CAL5")),0)</f>
        <v>0</v>
      </c>
      <c r="AE120" s="20" t="str">
        <f ca="1">IF(CALC2223!BC120&gt;0,INDIRECT(ADDRESS(MATCH(Agenda2526!C121,'CAL6'!A:A,0),2,4,1,"CAL6")),"")</f>
        <v/>
      </c>
      <c r="AF120" s="21">
        <f ca="1">IF(CALC2223!BC120&gt;0,INDIRECT(ADDRESS(MATCH(Agenda2526!C121,'CAL6'!A:A,0),3,4,1,"CAL6")),0)</f>
        <v>0</v>
      </c>
      <c r="AG120" s="20" t="str">
        <f ca="1">IF(CALC2223!BC120&gt;1,INDIRECT(ADDRESS(MATCH(Agenda2526!C121,'CAL6'!A:A,0)+1,2,4,1,"CAL6")),"")</f>
        <v/>
      </c>
      <c r="AH120" s="21">
        <f ca="1">IF(CALC2223!BC120&gt;1,INDIRECT(ADDRESS(MATCH(Agenda2526!C121,'CAL6'!A:A,0)+1,3,4,1,"CAL6")),0)</f>
        <v>0</v>
      </c>
      <c r="AI120" s="20" t="str">
        <f ca="1">IF(CALC2223!BC120&gt;2,INDIRECT(ADDRESS(MATCH(Agenda2526!C121,'CAL6'!A:A,0)+2,2,4,1,"CAL6")),"")</f>
        <v/>
      </c>
      <c r="AJ120" s="21">
        <f ca="1">IF(CALC2223!BC120&gt;2,INDIRECT(ADDRESS(MATCH(Agenda2526!C121,'CAL6'!A:A,0)+2,3,4,1,"CAL6")),0)</f>
        <v>0</v>
      </c>
      <c r="AK120" s="20" t="str">
        <f ca="1">IF(CALC2223!BD120&gt;0,INDIRECT(ADDRESS(MATCH(Agenda2526!C121,'CAL7'!A:A,0),2,4,1,"CAL7")),"")</f>
        <v/>
      </c>
      <c r="AL120" s="21">
        <f ca="1">IF(CALC2223!BD120&gt;0,INDIRECT(ADDRESS(MATCH(Agenda2526!C121,'CAL7'!A:A,0),3,4,1,"CAL7")),0)</f>
        <v>0</v>
      </c>
      <c r="AM120" s="20" t="str">
        <f ca="1">IF(CALC2223!BD120&gt;1,INDIRECT(ADDRESS(MATCH(Agenda2526!C121,'CAL7'!A:A,0)+1,2,4,1,"CAL7")),"")</f>
        <v/>
      </c>
      <c r="AN120" s="21">
        <f ca="1">IF(CALC2223!BD120&gt;1,INDIRECT(ADDRESS(MATCH(Agenda2526!C121,'CAL7'!A:A,0)+1,3,4,1,"CAL7")),0)</f>
        <v>0</v>
      </c>
      <c r="AO120" s="20" t="str">
        <f ca="1">IF(CALC2223!BD120&gt;2,INDIRECT(ADDRESS(MATCH(Agenda2526!C121,'CAL7'!A:A,0)+2,2,4,1,"CAL7")),"")</f>
        <v/>
      </c>
      <c r="AP120" s="21">
        <f ca="1">IF(CALC2223!BD120&gt;2,INDIRECT(ADDRESS(MATCH(Agenda2526!C121,'CAL7'!A:A,0)+2,3,4,1,"CAL7")),0)</f>
        <v>0</v>
      </c>
      <c r="AQ120" s="20" t="str">
        <f ca="1">IF(CALC2223!BE120&gt;0,INDIRECT(ADDRESS(MATCH(Agenda2526!C121,'CAL8'!A:A,0),2,4,1,"CAL8")),"")</f>
        <v/>
      </c>
      <c r="AR120" s="21">
        <f ca="1">IF(CALC2223!BE120&gt;0,INDIRECT(ADDRESS(MATCH(Agenda2526!C121,'CAL8'!A:A,0),3,4,1,"CAL8")),0)</f>
        <v>0</v>
      </c>
      <c r="AS120" s="20" t="str">
        <f ca="1">IF(CALC2223!BE120&gt;1,INDIRECT(ADDRESS(MATCH(Agenda2526!C121,'CAL8'!A:A,0)+1,2,4,1,"CAL8")),"")</f>
        <v/>
      </c>
      <c r="AT120" s="21">
        <f ca="1">IF(CALC2223!BE120&gt;1,INDIRECT(ADDRESS(MATCH(Agenda2526!C121,'CAL8'!A:A,0)+1,3,4,1,"CAL8")),0)</f>
        <v>0</v>
      </c>
      <c r="AU120" s="20" t="str">
        <f ca="1">IF(CALC2223!BE120&gt;2,INDIRECT(ADDRESS(MATCH(Agenda2526!C121,'CAL8'!A:A,0)+2,2,4,1,"CAL8")),"")</f>
        <v/>
      </c>
      <c r="AV120" s="21">
        <f ca="1">IF(CALC2223!BE120&gt;2,INDIRECT(ADDRESS(MATCH(Agenda2526!C121,'CAL8'!A:A,0)+2,3,4,1,"CAL8")),0)</f>
        <v>0</v>
      </c>
      <c r="AW120" s="106"/>
      <c r="AX120" s="20">
        <f>COUNTIF('CAL1'!A:A,Agenda2526!C121)</f>
        <v>0</v>
      </c>
      <c r="AY120" s="20">
        <f>COUNTIF('CAL2'!A:A,Agenda2526!C121)</f>
        <v>0</v>
      </c>
      <c r="AZ120" s="20">
        <f>COUNTIF('CAL3'!A:A,Agenda2526!C121)</f>
        <v>0</v>
      </c>
      <c r="BA120" s="20">
        <f>COUNTIF('CAL4'!A:A,Agenda2526!C121)</f>
        <v>0</v>
      </c>
      <c r="BB120" s="20">
        <f>COUNTIF('CAL5'!A:A,Agenda2526!C121)</f>
        <v>0</v>
      </c>
      <c r="BC120" s="20">
        <f>COUNTIF('CAL6'!A:A,Agenda2526!C121)</f>
        <v>0</v>
      </c>
      <c r="BD120" s="20">
        <f>COUNTIF('CAL7'!A:A,Agenda2526!C121)</f>
        <v>0</v>
      </c>
      <c r="BE120" s="20">
        <f>COUNTIF('CAL8'!A:A,Agenda2526!C121)</f>
        <v>0</v>
      </c>
    </row>
    <row r="121" spans="1:57" ht="15.75" customHeight="1">
      <c r="A121" s="20" t="str">
        <f ca="1">IF(CALC2223!AX121&gt;0,INDIRECT(ADDRESS(MATCH(Agenda2526!C122,'CAL1'!A:A,0),2,4,1,"CAL1")),"")</f>
        <v/>
      </c>
      <c r="B121" s="21">
        <f ca="1">IF(CALC2223!AX121&gt;0,INDIRECT(ADDRESS(MATCH(Agenda2526!C122,'CAL1'!A:A,0),3,4,1,"CAL1")),0)</f>
        <v>0</v>
      </c>
      <c r="C121" s="20" t="str">
        <f ca="1">IF(CALC2223!AX121&gt;1,INDIRECT(ADDRESS(MATCH(Agenda2526!C122,'CAL1'!A:A,0)+1,2,4,1,"CAL1")),"")</f>
        <v/>
      </c>
      <c r="D121" s="21">
        <f ca="1">IF(CALC2223!AX121&gt;1,INDIRECT(ADDRESS(MATCH(Agenda2526!C122,'CAL1'!A:A,0)+1,3,4,1,"CAL1")),0)</f>
        <v>0</v>
      </c>
      <c r="E121" s="20" t="str">
        <f ca="1">IF(CALC2223!AX121&gt;2,INDIRECT(ADDRESS(MATCH(Agenda2526!C122,'CAL1'!A:A,0)+2,2,4,1,"CAL1")),"")</f>
        <v/>
      </c>
      <c r="F121" s="21">
        <f ca="1">IF(CALC2223!AX121&gt;2,INDIRECT(ADDRESS(MATCH(Agenda2526!C122,'CAL1'!A:A,0)+2,3,4,1,"CAL1")),0)</f>
        <v>0</v>
      </c>
      <c r="G121" s="20" t="str">
        <f ca="1">IF(CALC2223!AY121&gt;0,INDIRECT(ADDRESS(MATCH(Agenda2526!C122,'CAL2'!A:A,0),2,4,1,"CAL2")),"")</f>
        <v/>
      </c>
      <c r="H121" s="21">
        <f ca="1">IF(CALC2223!AY121&gt;0,INDIRECT(ADDRESS(MATCH(Agenda2526!C122,'CAL2'!A:A,0),3,4,1,"CAL2")),0)</f>
        <v>0</v>
      </c>
      <c r="I121" s="20" t="str">
        <f ca="1">IF(CALC2223!AY121&gt;1,INDIRECT(ADDRESS(MATCH(Agenda2526!C122,'CAL2'!A:A,0)+1,2,4,1,"CAL2")),"")</f>
        <v/>
      </c>
      <c r="J121" s="21">
        <f ca="1">IF(CALC2223!AY121&gt;1,INDIRECT(ADDRESS(MATCH(Agenda2526!C122,'CAL2'!A:A,0)+1,3,4,1,"CAL2")),0)</f>
        <v>0</v>
      </c>
      <c r="K121" s="20" t="str">
        <f ca="1">IF(CALC2223!AY121&gt;2,INDIRECT(ADDRESS(MATCH(Agenda2526!C122,'CAL2'!A:A,0)+2,2,4,1,"CAL2")),"")</f>
        <v/>
      </c>
      <c r="L121" s="21">
        <f ca="1">IF(CALC2223!AY121&gt;2,INDIRECT(ADDRESS(MATCH(Agenda2526!C122,'CAL2'!A:A,0)+2,3,4,1,"CAL2")),0)</f>
        <v>0</v>
      </c>
      <c r="M121" s="20" t="str">
        <f ca="1">IF(CALC2223!AZ121&gt;0,INDIRECT(ADDRESS(MATCH(Agenda2526!C122,'CAL3'!A:A,0),2,4,1,"CAL3")),"")</f>
        <v/>
      </c>
      <c r="N121" s="21">
        <f ca="1">IF(CALC2223!AZ121&gt;0,INDIRECT(ADDRESS(MATCH(Agenda2526!C122,'CAL3'!A:A,0),3,4,1,"CAL3")),0)</f>
        <v>0</v>
      </c>
      <c r="O121" s="20" t="str">
        <f ca="1">IF(CALC2223!AZ121&gt;1,INDIRECT(ADDRESS(MATCH(Agenda2526!C122,'CAL3'!A:A,0)+1,2,4,1,"CAL3")),"")</f>
        <v/>
      </c>
      <c r="P121" s="21">
        <f ca="1">IF(CALC2223!AZ121&gt;1,INDIRECT(ADDRESS(MATCH(Agenda2526!C122,'CAL3'!A:A,0)+1,3,4,1,"CAL3")),0)</f>
        <v>0</v>
      </c>
      <c r="Q121" s="20" t="str">
        <f ca="1">IF(CALC2223!AZ121&gt;2,INDIRECT(ADDRESS(MATCH(Agenda2526!C122,'CAL3'!A:A,0)+2,2,4,1,"CAL3")),"")</f>
        <v/>
      </c>
      <c r="R121" s="21">
        <f ca="1">IF(CALC2223!AZ121&gt;2,INDIRECT(ADDRESS(MATCH(Agenda2526!C122,'CAL3'!A:A,0)+2,3,4,1,"CAL3")),0)</f>
        <v>0</v>
      </c>
      <c r="S121" s="20" t="str">
        <f ca="1">IF(CALC2223!BA121&gt;0,INDIRECT(ADDRESS(MATCH(Agenda2526!C122,'CAL4'!A:A,0),2,4,1,"CAL4")),"")</f>
        <v/>
      </c>
      <c r="T121" s="21">
        <f ca="1">IF(CALC2223!BA121&gt;0,INDIRECT(ADDRESS(MATCH(Agenda2526!C122,'CAL4'!A:A,0),3,4,1,"CAL4")),0)</f>
        <v>0</v>
      </c>
      <c r="U121" s="20" t="str">
        <f ca="1">IF(CALC2223!BA121&gt;1,INDIRECT(ADDRESS(MATCH(Agenda2526!C122,'CAL4'!A:A,0)+1,2,4,1,"CAL4")),"")</f>
        <v/>
      </c>
      <c r="V121" s="21">
        <f ca="1">IF(CALC2223!BA121&gt;1,INDIRECT(ADDRESS(MATCH(Agenda2526!C122,'CAL4'!A:A,0)+1,3,4,1,"CAL4")),0)</f>
        <v>0</v>
      </c>
      <c r="W121" s="20" t="str">
        <f ca="1">IF(CALC2223!BA121&gt;2,INDIRECT(ADDRESS(MATCH(Agenda2526!C122,'CAL4'!A:A,0)+2,2,4,1,"CAL4")),"")</f>
        <v/>
      </c>
      <c r="X121" s="21">
        <f ca="1">IF(CALC2223!BA121&gt;2,INDIRECT(ADDRESS(MATCH(Agenda2526!C122,'CAL4'!A:A,0)+2,3,4,1,"CAL4")),0)</f>
        <v>0</v>
      </c>
      <c r="Y121" s="20" t="str">
        <f ca="1">IF(CALC2223!BB121&gt;0,INDIRECT(ADDRESS(MATCH(Agenda2526!C122,'CAL5'!A:A,0),2,4,1,"CAL5")),"")</f>
        <v/>
      </c>
      <c r="Z121" s="21">
        <f ca="1">IF(CALC2223!BB121&gt;0,INDIRECT(ADDRESS(MATCH(Agenda2526!C122,'CAL5'!A:A,0),3,4,1,"CAL5")),0)</f>
        <v>0</v>
      </c>
      <c r="AA121" s="20" t="str">
        <f ca="1">IF(CALC2223!BB121&gt;1,INDIRECT(ADDRESS(MATCH(Agenda2526!C122,'CAL5'!A:A,0)+1,2,4,1,"CAL5")),"")</f>
        <v/>
      </c>
      <c r="AB121" s="21">
        <f ca="1">IF(CALC2223!BB121&gt;1,INDIRECT(ADDRESS(MATCH(Agenda2526!C122,'CAL5'!A:A,0)+1,3,4,1,"CAL5")),0)</f>
        <v>0</v>
      </c>
      <c r="AC121" s="20" t="str">
        <f ca="1">IF(CALC2223!BB121&gt;2,INDIRECT(ADDRESS(MATCH(Agenda2526!C122,'CAL5'!A:A,0)+2,2,4,1,"CAL5")),"")</f>
        <v/>
      </c>
      <c r="AD121" s="21">
        <f ca="1">IF(CALC2223!BB121&gt;2,INDIRECT(ADDRESS(MATCH(Agenda2526!C122,'CAL5'!A:A,0)+2,3,4,1,"CAL5")),0)</f>
        <v>0</v>
      </c>
      <c r="AE121" s="20" t="str">
        <f ca="1">IF(CALC2223!BC121&gt;0,INDIRECT(ADDRESS(MATCH(Agenda2526!C122,'CAL6'!A:A,0),2,4,1,"CAL6")),"")</f>
        <v/>
      </c>
      <c r="AF121" s="21">
        <f ca="1">IF(CALC2223!BC121&gt;0,INDIRECT(ADDRESS(MATCH(Agenda2526!C122,'CAL6'!A:A,0),3,4,1,"CAL6")),0)</f>
        <v>0</v>
      </c>
      <c r="AG121" s="20" t="str">
        <f ca="1">IF(CALC2223!BC121&gt;1,INDIRECT(ADDRESS(MATCH(Agenda2526!C122,'CAL6'!A:A,0)+1,2,4,1,"CAL6")),"")</f>
        <v/>
      </c>
      <c r="AH121" s="21">
        <f ca="1">IF(CALC2223!BC121&gt;1,INDIRECT(ADDRESS(MATCH(Agenda2526!C122,'CAL6'!A:A,0)+1,3,4,1,"CAL6")),0)</f>
        <v>0</v>
      </c>
      <c r="AI121" s="20" t="str">
        <f ca="1">IF(CALC2223!BC121&gt;2,INDIRECT(ADDRESS(MATCH(Agenda2526!C122,'CAL6'!A:A,0)+2,2,4,1,"CAL6")),"")</f>
        <v/>
      </c>
      <c r="AJ121" s="21">
        <f ca="1">IF(CALC2223!BC121&gt;2,INDIRECT(ADDRESS(MATCH(Agenda2526!C122,'CAL6'!A:A,0)+2,3,4,1,"CAL6")),0)</f>
        <v>0</v>
      </c>
      <c r="AK121" s="20" t="str">
        <f ca="1">IF(CALC2223!BD121&gt;0,INDIRECT(ADDRESS(MATCH(Agenda2526!C122,'CAL7'!A:A,0),2,4,1,"CAL7")),"")</f>
        <v/>
      </c>
      <c r="AL121" s="21">
        <f ca="1">IF(CALC2223!BD121&gt;0,INDIRECT(ADDRESS(MATCH(Agenda2526!C122,'CAL7'!A:A,0),3,4,1,"CAL7")),0)</f>
        <v>0</v>
      </c>
      <c r="AM121" s="20" t="str">
        <f ca="1">IF(CALC2223!BD121&gt;1,INDIRECT(ADDRESS(MATCH(Agenda2526!C122,'CAL7'!A:A,0)+1,2,4,1,"CAL7")),"")</f>
        <v/>
      </c>
      <c r="AN121" s="21">
        <f ca="1">IF(CALC2223!BD121&gt;1,INDIRECT(ADDRESS(MATCH(Agenda2526!C122,'CAL7'!A:A,0)+1,3,4,1,"CAL7")),0)</f>
        <v>0</v>
      </c>
      <c r="AO121" s="20" t="str">
        <f ca="1">IF(CALC2223!BD121&gt;2,INDIRECT(ADDRESS(MATCH(Agenda2526!C122,'CAL7'!A:A,0)+2,2,4,1,"CAL7")),"")</f>
        <v/>
      </c>
      <c r="AP121" s="21">
        <f ca="1">IF(CALC2223!BD121&gt;2,INDIRECT(ADDRESS(MATCH(Agenda2526!C122,'CAL7'!A:A,0)+2,3,4,1,"CAL7")),0)</f>
        <v>0</v>
      </c>
      <c r="AQ121" s="20" t="str">
        <f ca="1">IF(CALC2223!BE121&gt;0,INDIRECT(ADDRESS(MATCH(Agenda2526!C122,'CAL8'!A:A,0),2,4,1,"CAL8")),"")</f>
        <v/>
      </c>
      <c r="AR121" s="21">
        <f ca="1">IF(CALC2223!BE121&gt;0,INDIRECT(ADDRESS(MATCH(Agenda2526!C122,'CAL8'!A:A,0),3,4,1,"CAL8")),0)</f>
        <v>0</v>
      </c>
      <c r="AS121" s="20" t="str">
        <f ca="1">IF(CALC2223!BE121&gt;1,INDIRECT(ADDRESS(MATCH(Agenda2526!C122,'CAL8'!A:A,0)+1,2,4,1,"CAL8")),"")</f>
        <v/>
      </c>
      <c r="AT121" s="21">
        <f ca="1">IF(CALC2223!BE121&gt;1,INDIRECT(ADDRESS(MATCH(Agenda2526!C122,'CAL8'!A:A,0)+1,3,4,1,"CAL8")),0)</f>
        <v>0</v>
      </c>
      <c r="AU121" s="20" t="str">
        <f ca="1">IF(CALC2223!BE121&gt;2,INDIRECT(ADDRESS(MATCH(Agenda2526!C122,'CAL8'!A:A,0)+2,2,4,1,"CAL8")),"")</f>
        <v/>
      </c>
      <c r="AV121" s="21">
        <f ca="1">IF(CALC2223!BE121&gt;2,INDIRECT(ADDRESS(MATCH(Agenda2526!C122,'CAL8'!A:A,0)+2,3,4,1,"CAL8")),0)</f>
        <v>0</v>
      </c>
      <c r="AW121" s="107" t="s">
        <v>120</v>
      </c>
      <c r="AX121" s="20">
        <f>COUNTIF('CAL1'!A:A,Agenda2526!C122)</f>
        <v>0</v>
      </c>
      <c r="AY121" s="20">
        <f>COUNTIF('CAL2'!A:A,Agenda2526!C122)</f>
        <v>0</v>
      </c>
      <c r="AZ121" s="20">
        <f>COUNTIF('CAL3'!A:A,Agenda2526!C122)</f>
        <v>0</v>
      </c>
      <c r="BA121" s="20">
        <f>COUNTIF('CAL4'!A:A,Agenda2526!C122)</f>
        <v>0</v>
      </c>
      <c r="BB121" s="20">
        <f>COUNTIF('CAL5'!A:A,Agenda2526!C122)</f>
        <v>0</v>
      </c>
      <c r="BC121" s="20">
        <f>COUNTIF('CAL6'!A:A,Agenda2526!C122)</f>
        <v>0</v>
      </c>
      <c r="BD121" s="20">
        <f>COUNTIF('CAL7'!A:A,Agenda2526!C122)</f>
        <v>0</v>
      </c>
      <c r="BE121" s="20">
        <f>COUNTIF('CAL8'!A:A,Agenda2526!C122)</f>
        <v>0</v>
      </c>
    </row>
    <row r="122" spans="1:57" ht="15.75" customHeight="1">
      <c r="A122" s="20" t="str">
        <f ca="1">IF(CALC2223!AX122&gt;0,INDIRECT(ADDRESS(MATCH(Agenda2526!C123,'CAL1'!A:A,0),2,4,1,"CAL1")),"")</f>
        <v/>
      </c>
      <c r="B122" s="21">
        <f ca="1">IF(CALC2223!AX122&gt;0,INDIRECT(ADDRESS(MATCH(Agenda2526!C123,'CAL1'!A:A,0),3,4,1,"CAL1")),0)</f>
        <v>0</v>
      </c>
      <c r="C122" s="20" t="str">
        <f ca="1">IF(CALC2223!AX122&gt;1,INDIRECT(ADDRESS(MATCH(Agenda2526!C123,'CAL1'!A:A,0)+1,2,4,1,"CAL1")),"")</f>
        <v/>
      </c>
      <c r="D122" s="21">
        <f ca="1">IF(CALC2223!AX122&gt;1,INDIRECT(ADDRESS(MATCH(Agenda2526!C123,'CAL1'!A:A,0)+1,3,4,1,"CAL1")),0)</f>
        <v>0</v>
      </c>
      <c r="E122" s="20" t="str">
        <f ca="1">IF(CALC2223!AX122&gt;2,INDIRECT(ADDRESS(MATCH(Agenda2526!C123,'CAL1'!A:A,0)+2,2,4,1,"CAL1")),"")</f>
        <v/>
      </c>
      <c r="F122" s="21">
        <f ca="1">IF(CALC2223!AX122&gt;2,INDIRECT(ADDRESS(MATCH(Agenda2526!C123,'CAL1'!A:A,0)+2,3,4,1,"CAL1")),0)</f>
        <v>0</v>
      </c>
      <c r="G122" s="20" t="str">
        <f ca="1">IF(CALC2223!AY122&gt;0,INDIRECT(ADDRESS(MATCH(Agenda2526!C123,'CAL2'!A:A,0),2,4,1,"CAL2")),"")</f>
        <v/>
      </c>
      <c r="H122" s="21">
        <f ca="1">IF(CALC2223!AY122&gt;0,INDIRECT(ADDRESS(MATCH(Agenda2526!C123,'CAL2'!A:A,0),3,4,1,"CAL2")),0)</f>
        <v>0</v>
      </c>
      <c r="I122" s="20" t="str">
        <f ca="1">IF(CALC2223!AY122&gt;1,INDIRECT(ADDRESS(MATCH(Agenda2526!C123,'CAL2'!A:A,0)+1,2,4,1,"CAL2")),"")</f>
        <v/>
      </c>
      <c r="J122" s="21">
        <f ca="1">IF(CALC2223!AY122&gt;1,INDIRECT(ADDRESS(MATCH(Agenda2526!C123,'CAL2'!A:A,0)+1,3,4,1,"CAL2")),0)</f>
        <v>0</v>
      </c>
      <c r="K122" s="20" t="str">
        <f ca="1">IF(CALC2223!AY122&gt;2,INDIRECT(ADDRESS(MATCH(Agenda2526!C123,'CAL2'!A:A,0)+2,2,4,1,"CAL2")),"")</f>
        <v/>
      </c>
      <c r="L122" s="21">
        <f ca="1">IF(CALC2223!AY122&gt;2,INDIRECT(ADDRESS(MATCH(Agenda2526!C123,'CAL2'!A:A,0)+2,3,4,1,"CAL2")),0)</f>
        <v>0</v>
      </c>
      <c r="M122" s="20" t="str">
        <f ca="1">IF(CALC2223!AZ122&gt;0,INDIRECT(ADDRESS(MATCH(Agenda2526!C123,'CAL3'!A:A,0),2,4,1,"CAL3")),"")</f>
        <v/>
      </c>
      <c r="N122" s="21">
        <f ca="1">IF(CALC2223!AZ122&gt;0,INDIRECT(ADDRESS(MATCH(Agenda2526!C123,'CAL3'!A:A,0),3,4,1,"CAL3")),0)</f>
        <v>0</v>
      </c>
      <c r="O122" s="20" t="str">
        <f ca="1">IF(CALC2223!AZ122&gt;1,INDIRECT(ADDRESS(MATCH(Agenda2526!C123,'CAL3'!A:A,0)+1,2,4,1,"CAL3")),"")</f>
        <v/>
      </c>
      <c r="P122" s="21">
        <f ca="1">IF(CALC2223!AZ122&gt;1,INDIRECT(ADDRESS(MATCH(Agenda2526!C123,'CAL3'!A:A,0)+1,3,4,1,"CAL3")),0)</f>
        <v>0</v>
      </c>
      <c r="Q122" s="20" t="str">
        <f ca="1">IF(CALC2223!AZ122&gt;2,INDIRECT(ADDRESS(MATCH(Agenda2526!C123,'CAL3'!A:A,0)+2,2,4,1,"CAL3")),"")</f>
        <v/>
      </c>
      <c r="R122" s="21">
        <f ca="1">IF(CALC2223!AZ122&gt;2,INDIRECT(ADDRESS(MATCH(Agenda2526!C123,'CAL3'!A:A,0)+2,3,4,1,"CAL3")),0)</f>
        <v>0</v>
      </c>
      <c r="S122" s="20" t="str">
        <f ca="1">IF(CALC2223!BA122&gt;0,INDIRECT(ADDRESS(MATCH(Agenda2526!C123,'CAL4'!A:A,0),2,4,1,"CAL4")),"")</f>
        <v/>
      </c>
      <c r="T122" s="21">
        <f ca="1">IF(CALC2223!BA122&gt;0,INDIRECT(ADDRESS(MATCH(Agenda2526!C123,'CAL4'!A:A,0),3,4,1,"CAL4")),0)</f>
        <v>0</v>
      </c>
      <c r="U122" s="20" t="str">
        <f ca="1">IF(CALC2223!BA122&gt;1,INDIRECT(ADDRESS(MATCH(Agenda2526!C123,'CAL4'!A:A,0)+1,2,4,1,"CAL4")),"")</f>
        <v/>
      </c>
      <c r="V122" s="21">
        <f ca="1">IF(CALC2223!BA122&gt;1,INDIRECT(ADDRESS(MATCH(Agenda2526!C123,'CAL4'!A:A,0)+1,3,4,1,"CAL4")),0)</f>
        <v>0</v>
      </c>
      <c r="W122" s="20" t="str">
        <f ca="1">IF(CALC2223!BA122&gt;2,INDIRECT(ADDRESS(MATCH(Agenda2526!C123,'CAL4'!A:A,0)+2,2,4,1,"CAL4")),"")</f>
        <v/>
      </c>
      <c r="X122" s="21">
        <f ca="1">IF(CALC2223!BA122&gt;2,INDIRECT(ADDRESS(MATCH(Agenda2526!C123,'CAL4'!A:A,0)+2,3,4,1,"CAL4")),0)</f>
        <v>0</v>
      </c>
      <c r="Y122" s="20" t="str">
        <f ca="1">IF(CALC2223!BB122&gt;0,INDIRECT(ADDRESS(MATCH(Agenda2526!C123,'CAL5'!A:A,0),2,4,1,"CAL5")),"")</f>
        <v/>
      </c>
      <c r="Z122" s="21">
        <f ca="1">IF(CALC2223!BB122&gt;0,INDIRECT(ADDRESS(MATCH(Agenda2526!C123,'CAL5'!A:A,0),3,4,1,"CAL5")),0)</f>
        <v>0</v>
      </c>
      <c r="AA122" s="20" t="str">
        <f ca="1">IF(CALC2223!BB122&gt;1,INDIRECT(ADDRESS(MATCH(Agenda2526!C123,'CAL5'!A:A,0)+1,2,4,1,"CAL5")),"")</f>
        <v/>
      </c>
      <c r="AB122" s="21">
        <f ca="1">IF(CALC2223!BB122&gt;1,INDIRECT(ADDRESS(MATCH(Agenda2526!C123,'CAL5'!A:A,0)+1,3,4,1,"CAL5")),0)</f>
        <v>0</v>
      </c>
      <c r="AC122" s="20" t="str">
        <f ca="1">IF(CALC2223!BB122&gt;2,INDIRECT(ADDRESS(MATCH(Agenda2526!C123,'CAL5'!A:A,0)+2,2,4,1,"CAL5")),"")</f>
        <v/>
      </c>
      <c r="AD122" s="21">
        <f ca="1">IF(CALC2223!BB122&gt;2,INDIRECT(ADDRESS(MATCH(Agenda2526!C123,'CAL5'!A:A,0)+2,3,4,1,"CAL5")),0)</f>
        <v>0</v>
      </c>
      <c r="AE122" s="20" t="str">
        <f ca="1">IF(CALC2223!BC122&gt;0,INDIRECT(ADDRESS(MATCH(Agenda2526!C123,'CAL6'!A:A,0),2,4,1,"CAL6")),"")</f>
        <v/>
      </c>
      <c r="AF122" s="21">
        <f ca="1">IF(CALC2223!BC122&gt;0,INDIRECT(ADDRESS(MATCH(Agenda2526!C123,'CAL6'!A:A,0),3,4,1,"CAL6")),0)</f>
        <v>0</v>
      </c>
      <c r="AG122" s="20" t="str">
        <f ca="1">IF(CALC2223!BC122&gt;1,INDIRECT(ADDRESS(MATCH(Agenda2526!C123,'CAL6'!A:A,0)+1,2,4,1,"CAL6")),"")</f>
        <v/>
      </c>
      <c r="AH122" s="21">
        <f ca="1">IF(CALC2223!BC122&gt;1,INDIRECT(ADDRESS(MATCH(Agenda2526!C123,'CAL6'!A:A,0)+1,3,4,1,"CAL6")),0)</f>
        <v>0</v>
      </c>
      <c r="AI122" s="20" t="str">
        <f ca="1">IF(CALC2223!BC122&gt;2,INDIRECT(ADDRESS(MATCH(Agenda2526!C123,'CAL6'!A:A,0)+2,2,4,1,"CAL6")),"")</f>
        <v/>
      </c>
      <c r="AJ122" s="21">
        <f ca="1">IF(CALC2223!BC122&gt;2,INDIRECT(ADDRESS(MATCH(Agenda2526!C123,'CAL6'!A:A,0)+2,3,4,1,"CAL6")),0)</f>
        <v>0</v>
      </c>
      <c r="AK122" s="20" t="str">
        <f ca="1">IF(CALC2223!BD122&gt;0,INDIRECT(ADDRESS(MATCH(Agenda2526!C123,'CAL7'!A:A,0),2,4,1,"CAL7")),"")</f>
        <v/>
      </c>
      <c r="AL122" s="21">
        <f ca="1">IF(CALC2223!BD122&gt;0,INDIRECT(ADDRESS(MATCH(Agenda2526!C123,'CAL7'!A:A,0),3,4,1,"CAL7")),0)</f>
        <v>0</v>
      </c>
      <c r="AM122" s="20" t="str">
        <f ca="1">IF(CALC2223!BD122&gt;1,INDIRECT(ADDRESS(MATCH(Agenda2526!C123,'CAL7'!A:A,0)+1,2,4,1,"CAL7")),"")</f>
        <v/>
      </c>
      <c r="AN122" s="21">
        <f ca="1">IF(CALC2223!BD122&gt;1,INDIRECT(ADDRESS(MATCH(Agenda2526!C123,'CAL7'!A:A,0)+1,3,4,1,"CAL7")),0)</f>
        <v>0</v>
      </c>
      <c r="AO122" s="20" t="str">
        <f ca="1">IF(CALC2223!BD122&gt;2,INDIRECT(ADDRESS(MATCH(Agenda2526!C123,'CAL7'!A:A,0)+2,2,4,1,"CAL7")),"")</f>
        <v/>
      </c>
      <c r="AP122" s="21">
        <f ca="1">IF(CALC2223!BD122&gt;2,INDIRECT(ADDRESS(MATCH(Agenda2526!C123,'CAL7'!A:A,0)+2,3,4,1,"CAL7")),0)</f>
        <v>0</v>
      </c>
      <c r="AQ122" s="20" t="str">
        <f ca="1">IF(CALC2223!BE122&gt;0,INDIRECT(ADDRESS(MATCH(Agenda2526!C123,'CAL8'!A:A,0),2,4,1,"CAL8")),"")</f>
        <v/>
      </c>
      <c r="AR122" s="21">
        <f ca="1">IF(CALC2223!BE122&gt;0,INDIRECT(ADDRESS(MATCH(Agenda2526!C123,'CAL8'!A:A,0),3,4,1,"CAL8")),0)</f>
        <v>0</v>
      </c>
      <c r="AS122" s="20" t="str">
        <f ca="1">IF(CALC2223!BE122&gt;1,INDIRECT(ADDRESS(MATCH(Agenda2526!C123,'CAL8'!A:A,0)+1,2,4,1,"CAL8")),"")</f>
        <v/>
      </c>
      <c r="AT122" s="21">
        <f ca="1">IF(CALC2223!BE122&gt;1,INDIRECT(ADDRESS(MATCH(Agenda2526!C123,'CAL8'!A:A,0)+1,3,4,1,"CAL8")),0)</f>
        <v>0</v>
      </c>
      <c r="AU122" s="20" t="str">
        <f ca="1">IF(CALC2223!BE122&gt;2,INDIRECT(ADDRESS(MATCH(Agenda2526!C123,'CAL8'!A:A,0)+2,2,4,1,"CAL8")),"")</f>
        <v/>
      </c>
      <c r="AV122" s="21">
        <f ca="1">IF(CALC2223!BE122&gt;2,INDIRECT(ADDRESS(MATCH(Agenda2526!C123,'CAL8'!A:A,0)+2,3,4,1,"CAL8")),0)</f>
        <v>0</v>
      </c>
      <c r="AW122" s="107"/>
      <c r="AX122" s="20">
        <f>COUNTIF('CAL1'!A:A,Agenda2526!C123)</f>
        <v>0</v>
      </c>
      <c r="AY122" s="20">
        <f>COUNTIF('CAL2'!A:A,Agenda2526!C123)</f>
        <v>0</v>
      </c>
      <c r="AZ122" s="20">
        <f>COUNTIF('CAL3'!A:A,Agenda2526!C123)</f>
        <v>0</v>
      </c>
      <c r="BA122" s="20">
        <f>COUNTIF('CAL4'!A:A,Agenda2526!C123)</f>
        <v>0</v>
      </c>
      <c r="BB122" s="20">
        <f>COUNTIF('CAL5'!A:A,Agenda2526!C123)</f>
        <v>0</v>
      </c>
      <c r="BC122" s="20">
        <f>COUNTIF('CAL6'!A:A,Agenda2526!C123)</f>
        <v>0</v>
      </c>
      <c r="BD122" s="20">
        <f>COUNTIF('CAL7'!A:A,Agenda2526!C123)</f>
        <v>0</v>
      </c>
      <c r="BE122" s="20">
        <f>COUNTIF('CAL8'!A:A,Agenda2526!C123)</f>
        <v>0</v>
      </c>
    </row>
    <row r="123" spans="1:57" ht="15.75" customHeight="1">
      <c r="A123" s="20" t="str">
        <f ca="1">IF(CALC2223!AX123&gt;0,INDIRECT(ADDRESS(MATCH(Agenda2526!C124,'CAL1'!A:A,0),2,4,1,"CAL1")),"")</f>
        <v/>
      </c>
      <c r="B123" s="21">
        <f ca="1">IF(CALC2223!AX123&gt;0,INDIRECT(ADDRESS(MATCH(Agenda2526!C124,'CAL1'!A:A,0),3,4,1,"CAL1")),0)</f>
        <v>0</v>
      </c>
      <c r="C123" s="20" t="str">
        <f ca="1">IF(CALC2223!AX123&gt;1,INDIRECT(ADDRESS(MATCH(Agenda2526!C124,'CAL1'!A:A,0)+1,2,4,1,"CAL1")),"")</f>
        <v/>
      </c>
      <c r="D123" s="21">
        <f ca="1">IF(CALC2223!AX123&gt;1,INDIRECT(ADDRESS(MATCH(Agenda2526!C124,'CAL1'!A:A,0)+1,3,4,1,"CAL1")),0)</f>
        <v>0</v>
      </c>
      <c r="E123" s="20" t="str">
        <f ca="1">IF(CALC2223!AX123&gt;2,INDIRECT(ADDRESS(MATCH(Agenda2526!C124,'CAL1'!A:A,0)+2,2,4,1,"CAL1")),"")</f>
        <v/>
      </c>
      <c r="F123" s="21">
        <f ca="1">IF(CALC2223!AX123&gt;2,INDIRECT(ADDRESS(MATCH(Agenda2526!C124,'CAL1'!A:A,0)+2,3,4,1,"CAL1")),0)</f>
        <v>0</v>
      </c>
      <c r="G123" s="20" t="str">
        <f ca="1">IF(CALC2223!AY123&gt;0,INDIRECT(ADDRESS(MATCH(Agenda2526!C124,'CAL2'!A:A,0),2,4,1,"CAL2")),"")</f>
        <v/>
      </c>
      <c r="H123" s="21">
        <f ca="1">IF(CALC2223!AY123&gt;0,INDIRECT(ADDRESS(MATCH(Agenda2526!C124,'CAL2'!A:A,0),3,4,1,"CAL2")),0)</f>
        <v>0</v>
      </c>
      <c r="I123" s="20" t="str">
        <f ca="1">IF(CALC2223!AY123&gt;1,INDIRECT(ADDRESS(MATCH(Agenda2526!C124,'CAL2'!A:A,0)+1,2,4,1,"CAL2")),"")</f>
        <v/>
      </c>
      <c r="J123" s="21">
        <f ca="1">IF(CALC2223!AY123&gt;1,INDIRECT(ADDRESS(MATCH(Agenda2526!C124,'CAL2'!A:A,0)+1,3,4,1,"CAL2")),0)</f>
        <v>0</v>
      </c>
      <c r="K123" s="20" t="str">
        <f ca="1">IF(CALC2223!AY123&gt;2,INDIRECT(ADDRESS(MATCH(Agenda2526!C124,'CAL2'!A:A,0)+2,2,4,1,"CAL2")),"")</f>
        <v/>
      </c>
      <c r="L123" s="21">
        <f ca="1">IF(CALC2223!AY123&gt;2,INDIRECT(ADDRESS(MATCH(Agenda2526!C124,'CAL2'!A:A,0)+2,3,4,1,"CAL2")),0)</f>
        <v>0</v>
      </c>
      <c r="M123" s="20" t="str">
        <f ca="1">IF(CALC2223!AZ123&gt;0,INDIRECT(ADDRESS(MATCH(Agenda2526!C124,'CAL3'!A:A,0),2,4,1,"CAL3")),"")</f>
        <v/>
      </c>
      <c r="N123" s="21">
        <f ca="1">IF(CALC2223!AZ123&gt;0,INDIRECT(ADDRESS(MATCH(Agenda2526!C124,'CAL3'!A:A,0),3,4,1,"CAL3")),0)</f>
        <v>0</v>
      </c>
      <c r="O123" s="20" t="str">
        <f ca="1">IF(CALC2223!AZ123&gt;1,INDIRECT(ADDRESS(MATCH(Agenda2526!C124,'CAL3'!A:A,0)+1,2,4,1,"CAL3")),"")</f>
        <v/>
      </c>
      <c r="P123" s="21">
        <f ca="1">IF(CALC2223!AZ123&gt;1,INDIRECT(ADDRESS(MATCH(Agenda2526!C124,'CAL3'!A:A,0)+1,3,4,1,"CAL3")),0)</f>
        <v>0</v>
      </c>
      <c r="Q123" s="20" t="str">
        <f ca="1">IF(CALC2223!AZ123&gt;2,INDIRECT(ADDRESS(MATCH(Agenda2526!C124,'CAL3'!A:A,0)+2,2,4,1,"CAL3")),"")</f>
        <v/>
      </c>
      <c r="R123" s="21">
        <f ca="1">IF(CALC2223!AZ123&gt;2,INDIRECT(ADDRESS(MATCH(Agenda2526!C124,'CAL3'!A:A,0)+2,3,4,1,"CAL3")),0)</f>
        <v>0</v>
      </c>
      <c r="S123" s="20" t="str">
        <f ca="1">IF(CALC2223!BA123&gt;0,INDIRECT(ADDRESS(MATCH(Agenda2526!C124,'CAL4'!A:A,0),2,4,1,"CAL4")),"")</f>
        <v/>
      </c>
      <c r="T123" s="21">
        <f ca="1">IF(CALC2223!BA123&gt;0,INDIRECT(ADDRESS(MATCH(Agenda2526!C124,'CAL4'!A:A,0),3,4,1,"CAL4")),0)</f>
        <v>0</v>
      </c>
      <c r="U123" s="20" t="str">
        <f ca="1">IF(CALC2223!BA123&gt;1,INDIRECT(ADDRESS(MATCH(Agenda2526!C124,'CAL4'!A:A,0)+1,2,4,1,"CAL4")),"")</f>
        <v/>
      </c>
      <c r="V123" s="21">
        <f ca="1">IF(CALC2223!BA123&gt;1,INDIRECT(ADDRESS(MATCH(Agenda2526!C124,'CAL4'!A:A,0)+1,3,4,1,"CAL4")),0)</f>
        <v>0</v>
      </c>
      <c r="W123" s="20" t="str">
        <f ca="1">IF(CALC2223!BA123&gt;2,INDIRECT(ADDRESS(MATCH(Agenda2526!C124,'CAL4'!A:A,0)+2,2,4,1,"CAL4")),"")</f>
        <v/>
      </c>
      <c r="X123" s="21">
        <f ca="1">IF(CALC2223!BA123&gt;2,INDIRECT(ADDRESS(MATCH(Agenda2526!C124,'CAL4'!A:A,0)+2,3,4,1,"CAL4")),0)</f>
        <v>0</v>
      </c>
      <c r="Y123" s="20" t="str">
        <f ca="1">IF(CALC2223!BB123&gt;0,INDIRECT(ADDRESS(MATCH(Agenda2526!C124,'CAL5'!A:A,0),2,4,1,"CAL5")),"")</f>
        <v/>
      </c>
      <c r="Z123" s="21">
        <f ca="1">IF(CALC2223!BB123&gt;0,INDIRECT(ADDRESS(MATCH(Agenda2526!C124,'CAL5'!A:A,0),3,4,1,"CAL5")),0)</f>
        <v>0</v>
      </c>
      <c r="AA123" s="20" t="str">
        <f ca="1">IF(CALC2223!BB123&gt;1,INDIRECT(ADDRESS(MATCH(Agenda2526!C124,'CAL5'!A:A,0)+1,2,4,1,"CAL5")),"")</f>
        <v/>
      </c>
      <c r="AB123" s="21">
        <f ca="1">IF(CALC2223!BB123&gt;1,INDIRECT(ADDRESS(MATCH(Agenda2526!C124,'CAL5'!A:A,0)+1,3,4,1,"CAL5")),0)</f>
        <v>0</v>
      </c>
      <c r="AC123" s="20" t="str">
        <f ca="1">IF(CALC2223!BB123&gt;2,INDIRECT(ADDRESS(MATCH(Agenda2526!C124,'CAL5'!A:A,0)+2,2,4,1,"CAL5")),"")</f>
        <v/>
      </c>
      <c r="AD123" s="21">
        <f ca="1">IF(CALC2223!BB123&gt;2,INDIRECT(ADDRESS(MATCH(Agenda2526!C124,'CAL5'!A:A,0)+2,3,4,1,"CAL5")),0)</f>
        <v>0</v>
      </c>
      <c r="AE123" s="20" t="str">
        <f ca="1">IF(CALC2223!BC123&gt;0,INDIRECT(ADDRESS(MATCH(Agenda2526!C124,'CAL6'!A:A,0),2,4,1,"CAL6")),"")</f>
        <v/>
      </c>
      <c r="AF123" s="21">
        <f ca="1">IF(CALC2223!BC123&gt;0,INDIRECT(ADDRESS(MATCH(Agenda2526!C124,'CAL6'!A:A,0),3,4,1,"CAL6")),0)</f>
        <v>0</v>
      </c>
      <c r="AG123" s="20" t="str">
        <f ca="1">IF(CALC2223!BC123&gt;1,INDIRECT(ADDRESS(MATCH(Agenda2526!C124,'CAL6'!A:A,0)+1,2,4,1,"CAL6")),"")</f>
        <v/>
      </c>
      <c r="AH123" s="21">
        <f ca="1">IF(CALC2223!BC123&gt;1,INDIRECT(ADDRESS(MATCH(Agenda2526!C124,'CAL6'!A:A,0)+1,3,4,1,"CAL6")),0)</f>
        <v>0</v>
      </c>
      <c r="AI123" s="20" t="str">
        <f ca="1">IF(CALC2223!BC123&gt;2,INDIRECT(ADDRESS(MATCH(Agenda2526!C124,'CAL6'!A:A,0)+2,2,4,1,"CAL6")),"")</f>
        <v/>
      </c>
      <c r="AJ123" s="21">
        <f ca="1">IF(CALC2223!BC123&gt;2,INDIRECT(ADDRESS(MATCH(Agenda2526!C124,'CAL6'!A:A,0)+2,3,4,1,"CAL6")),0)</f>
        <v>0</v>
      </c>
      <c r="AK123" s="20" t="str">
        <f ca="1">IF(CALC2223!BD123&gt;0,INDIRECT(ADDRESS(MATCH(Agenda2526!C124,'CAL7'!A:A,0),2,4,1,"CAL7")),"")</f>
        <v/>
      </c>
      <c r="AL123" s="21">
        <f ca="1">IF(CALC2223!BD123&gt;0,INDIRECT(ADDRESS(MATCH(Agenda2526!C124,'CAL7'!A:A,0),3,4,1,"CAL7")),0)</f>
        <v>0</v>
      </c>
      <c r="AM123" s="20" t="str">
        <f ca="1">IF(CALC2223!BD123&gt;1,INDIRECT(ADDRESS(MATCH(Agenda2526!C124,'CAL7'!A:A,0)+1,2,4,1,"CAL7")),"")</f>
        <v/>
      </c>
      <c r="AN123" s="21">
        <f ca="1">IF(CALC2223!BD123&gt;1,INDIRECT(ADDRESS(MATCH(Agenda2526!C124,'CAL7'!A:A,0)+1,3,4,1,"CAL7")),0)</f>
        <v>0</v>
      </c>
      <c r="AO123" s="20" t="str">
        <f ca="1">IF(CALC2223!BD123&gt;2,INDIRECT(ADDRESS(MATCH(Agenda2526!C124,'CAL7'!A:A,0)+2,2,4,1,"CAL7")),"")</f>
        <v/>
      </c>
      <c r="AP123" s="21">
        <f ca="1">IF(CALC2223!BD123&gt;2,INDIRECT(ADDRESS(MATCH(Agenda2526!C124,'CAL7'!A:A,0)+2,3,4,1,"CAL7")),0)</f>
        <v>0</v>
      </c>
      <c r="AQ123" s="20" t="str">
        <f ca="1">IF(CALC2223!BE123&gt;0,INDIRECT(ADDRESS(MATCH(Agenda2526!C124,'CAL8'!A:A,0),2,4,1,"CAL8")),"")</f>
        <v>ouderjaarsdag</v>
      </c>
      <c r="AR123" s="21">
        <f ca="1">IF(CALC2223!BE123&gt;0,INDIRECT(ADDRESS(MATCH(Agenda2526!C124,'CAL8'!A:A,0),3,4,1,"CAL8")),0)</f>
        <v>45896</v>
      </c>
      <c r="AS123" s="20" t="str">
        <f ca="1">IF(CALC2223!BE123&gt;1,INDIRECT(ADDRESS(MATCH(Agenda2526!C124,'CAL8'!A:A,0)+1,2,4,1,"CAL8")),"")</f>
        <v/>
      </c>
      <c r="AT123" s="21">
        <f ca="1">IF(CALC2223!BE123&gt;1,INDIRECT(ADDRESS(MATCH(Agenda2526!C124,'CAL8'!A:A,0)+1,3,4,1,"CAL8")),0)</f>
        <v>0</v>
      </c>
      <c r="AU123" s="20" t="str">
        <f ca="1">IF(CALC2223!BE123&gt;2,INDIRECT(ADDRESS(MATCH(Agenda2526!C124,'CAL8'!A:A,0)+2,2,4,1,"CAL8")),"")</f>
        <v/>
      </c>
      <c r="AV123" s="21">
        <f ca="1">IF(CALC2223!BE123&gt;2,INDIRECT(ADDRESS(MATCH(Agenda2526!C124,'CAL8'!A:A,0)+2,3,4,1,"CAL8")),0)</f>
        <v>0</v>
      </c>
      <c r="AW123" s="107"/>
      <c r="AX123" s="20">
        <f>COUNTIF('CAL1'!A:A,Agenda2526!C124)</f>
        <v>0</v>
      </c>
      <c r="AY123" s="20">
        <f>COUNTIF('CAL2'!A:A,Agenda2526!C124)</f>
        <v>0</v>
      </c>
      <c r="AZ123" s="20">
        <f>COUNTIF('CAL3'!A:A,Agenda2526!C124)</f>
        <v>0</v>
      </c>
      <c r="BA123" s="20">
        <f>COUNTIF('CAL4'!A:A,Agenda2526!C124)</f>
        <v>0</v>
      </c>
      <c r="BB123" s="20">
        <f>COUNTIF('CAL5'!A:A,Agenda2526!C124)</f>
        <v>0</v>
      </c>
      <c r="BC123" s="20">
        <f>COUNTIF('CAL6'!A:A,Agenda2526!C124)</f>
        <v>0</v>
      </c>
      <c r="BD123" s="20">
        <f>COUNTIF('CAL7'!A:A,Agenda2526!C124)</f>
        <v>0</v>
      </c>
      <c r="BE123" s="20">
        <f>COUNTIF('CAL8'!A:A,Agenda2526!C124)</f>
        <v>1</v>
      </c>
    </row>
    <row r="124" spans="1:57" ht="15.75" customHeight="1">
      <c r="A124" s="20" t="str">
        <f ca="1">IF(CALC2223!AX124&gt;0,INDIRECT(ADDRESS(MATCH(Agenda2526!C125,'CAL1'!A:A,0),2,4,1,"CAL1")),"")</f>
        <v/>
      </c>
      <c r="B124" s="21">
        <f ca="1">IF(CALC2223!AX124&gt;0,INDIRECT(ADDRESS(MATCH(Agenda2526!C125,'CAL1'!A:A,0),3,4,1,"CAL1")),0)</f>
        <v>0</v>
      </c>
      <c r="C124" s="20" t="str">
        <f ca="1">IF(CALC2223!AX124&gt;1,INDIRECT(ADDRESS(MATCH(Agenda2526!C125,'CAL1'!A:A,0)+1,2,4,1,"CAL1")),"")</f>
        <v/>
      </c>
      <c r="D124" s="21">
        <f ca="1">IF(CALC2223!AX124&gt;1,INDIRECT(ADDRESS(MATCH(Agenda2526!C125,'CAL1'!A:A,0)+1,3,4,1,"CAL1")),0)</f>
        <v>0</v>
      </c>
      <c r="E124" s="20" t="str">
        <f ca="1">IF(CALC2223!AX124&gt;2,INDIRECT(ADDRESS(MATCH(Agenda2526!C125,'CAL1'!A:A,0)+2,2,4,1,"CAL1")),"")</f>
        <v/>
      </c>
      <c r="F124" s="21">
        <f ca="1">IF(CALC2223!AX124&gt;2,INDIRECT(ADDRESS(MATCH(Agenda2526!C125,'CAL1'!A:A,0)+2,3,4,1,"CAL1")),0)</f>
        <v>0</v>
      </c>
      <c r="G124" s="20" t="str">
        <f ca="1">IF(CALC2223!AY124&gt;0,INDIRECT(ADDRESS(MATCH(Agenda2526!C125,'CAL2'!A:A,0),2,4,1,"CAL2")),"")</f>
        <v/>
      </c>
      <c r="H124" s="21">
        <f ca="1">IF(CALC2223!AY124&gt;0,INDIRECT(ADDRESS(MATCH(Agenda2526!C125,'CAL2'!A:A,0),3,4,1,"CAL2")),0)</f>
        <v>0</v>
      </c>
      <c r="I124" s="20" t="str">
        <f ca="1">IF(CALC2223!AY124&gt;1,INDIRECT(ADDRESS(MATCH(Agenda2526!C125,'CAL2'!A:A,0)+1,2,4,1,"CAL2")),"")</f>
        <v/>
      </c>
      <c r="J124" s="21">
        <f ca="1">IF(CALC2223!AY124&gt;1,INDIRECT(ADDRESS(MATCH(Agenda2526!C125,'CAL2'!A:A,0)+1,3,4,1,"CAL2")),0)</f>
        <v>0</v>
      </c>
      <c r="K124" s="20" t="str">
        <f ca="1">IF(CALC2223!AY124&gt;2,INDIRECT(ADDRESS(MATCH(Agenda2526!C125,'CAL2'!A:A,0)+2,2,4,1,"CAL2")),"")</f>
        <v/>
      </c>
      <c r="L124" s="21">
        <f ca="1">IF(CALC2223!AY124&gt;2,INDIRECT(ADDRESS(MATCH(Agenda2526!C125,'CAL2'!A:A,0)+2,3,4,1,"CAL2")),0)</f>
        <v>0</v>
      </c>
      <c r="M124" s="20" t="str">
        <f ca="1">IF(CALC2223!AZ124&gt;0,INDIRECT(ADDRESS(MATCH(Agenda2526!C125,'CAL3'!A:A,0),2,4,1,"CAL3")),"")</f>
        <v/>
      </c>
      <c r="N124" s="21">
        <f ca="1">IF(CALC2223!AZ124&gt;0,INDIRECT(ADDRESS(MATCH(Agenda2526!C125,'CAL3'!A:A,0),3,4,1,"CAL3")),0)</f>
        <v>0</v>
      </c>
      <c r="O124" s="20" t="str">
        <f ca="1">IF(CALC2223!AZ124&gt;1,INDIRECT(ADDRESS(MATCH(Agenda2526!C125,'CAL3'!A:A,0)+1,2,4,1,"CAL3")),"")</f>
        <v/>
      </c>
      <c r="P124" s="21">
        <f ca="1">IF(CALC2223!AZ124&gt;1,INDIRECT(ADDRESS(MATCH(Agenda2526!C125,'CAL3'!A:A,0)+1,3,4,1,"CAL3")),0)</f>
        <v>0</v>
      </c>
      <c r="Q124" s="20" t="str">
        <f ca="1">IF(CALC2223!AZ124&gt;2,INDIRECT(ADDRESS(MATCH(Agenda2526!C125,'CAL3'!A:A,0)+2,2,4,1,"CAL3")),"")</f>
        <v/>
      </c>
      <c r="R124" s="21">
        <f ca="1">IF(CALC2223!AZ124&gt;2,INDIRECT(ADDRESS(MATCH(Agenda2526!C125,'CAL3'!A:A,0)+2,3,4,1,"CAL3")),0)</f>
        <v>0</v>
      </c>
      <c r="S124" s="20" t="str">
        <f ca="1">IF(CALC2223!BA124&gt;0,INDIRECT(ADDRESS(MATCH(Agenda2526!C125,'CAL4'!A:A,0),2,4,1,"CAL4")),"")</f>
        <v/>
      </c>
      <c r="T124" s="21">
        <f ca="1">IF(CALC2223!BA124&gt;0,INDIRECT(ADDRESS(MATCH(Agenda2526!C125,'CAL4'!A:A,0),3,4,1,"CAL4")),0)</f>
        <v>0</v>
      </c>
      <c r="U124" s="20" t="str">
        <f ca="1">IF(CALC2223!BA124&gt;1,INDIRECT(ADDRESS(MATCH(Agenda2526!C125,'CAL4'!A:A,0)+1,2,4,1,"CAL4")),"")</f>
        <v/>
      </c>
      <c r="V124" s="21">
        <f ca="1">IF(CALC2223!BA124&gt;1,INDIRECT(ADDRESS(MATCH(Agenda2526!C125,'CAL4'!A:A,0)+1,3,4,1,"CAL4")),0)</f>
        <v>0</v>
      </c>
      <c r="W124" s="20" t="str">
        <f ca="1">IF(CALC2223!BA124&gt;2,INDIRECT(ADDRESS(MATCH(Agenda2526!C125,'CAL4'!A:A,0)+2,2,4,1,"CAL4")),"")</f>
        <v/>
      </c>
      <c r="X124" s="21">
        <f ca="1">IF(CALC2223!BA124&gt;2,INDIRECT(ADDRESS(MATCH(Agenda2526!C125,'CAL4'!A:A,0)+2,3,4,1,"CAL4")),0)</f>
        <v>0</v>
      </c>
      <c r="Y124" s="20" t="str">
        <f ca="1">IF(CALC2223!BB124&gt;0,INDIRECT(ADDRESS(MATCH(Agenda2526!C125,'CAL5'!A:A,0),2,4,1,"CAL5")),"")</f>
        <v/>
      </c>
      <c r="Z124" s="21">
        <f ca="1">IF(CALC2223!BB124&gt;0,INDIRECT(ADDRESS(MATCH(Agenda2526!C125,'CAL5'!A:A,0),3,4,1,"CAL5")),0)</f>
        <v>0</v>
      </c>
      <c r="AA124" s="20" t="str">
        <f ca="1">IF(CALC2223!BB124&gt;1,INDIRECT(ADDRESS(MATCH(Agenda2526!C125,'CAL5'!A:A,0)+1,2,4,1,"CAL5")),"")</f>
        <v/>
      </c>
      <c r="AB124" s="21">
        <f ca="1">IF(CALC2223!BB124&gt;1,INDIRECT(ADDRESS(MATCH(Agenda2526!C125,'CAL5'!A:A,0)+1,3,4,1,"CAL5")),0)</f>
        <v>0</v>
      </c>
      <c r="AC124" s="20" t="str">
        <f ca="1">IF(CALC2223!BB124&gt;2,INDIRECT(ADDRESS(MATCH(Agenda2526!C125,'CAL5'!A:A,0)+2,2,4,1,"CAL5")),"")</f>
        <v/>
      </c>
      <c r="AD124" s="21">
        <f ca="1">IF(CALC2223!BB124&gt;2,INDIRECT(ADDRESS(MATCH(Agenda2526!C125,'CAL5'!A:A,0)+2,3,4,1,"CAL5")),0)</f>
        <v>0</v>
      </c>
      <c r="AE124" s="20" t="str">
        <f ca="1">IF(CALC2223!BC124&gt;0,INDIRECT(ADDRESS(MATCH(Agenda2526!C125,'CAL6'!A:A,0),2,4,1,"CAL6")),"")</f>
        <v/>
      </c>
      <c r="AF124" s="21">
        <f ca="1">IF(CALC2223!BC124&gt;0,INDIRECT(ADDRESS(MATCH(Agenda2526!C125,'CAL6'!A:A,0),3,4,1,"CAL6")),0)</f>
        <v>0</v>
      </c>
      <c r="AG124" s="20" t="str">
        <f ca="1">IF(CALC2223!BC124&gt;1,INDIRECT(ADDRESS(MATCH(Agenda2526!C125,'CAL6'!A:A,0)+1,2,4,1,"CAL6")),"")</f>
        <v/>
      </c>
      <c r="AH124" s="21">
        <f ca="1">IF(CALC2223!BC124&gt;1,INDIRECT(ADDRESS(MATCH(Agenda2526!C125,'CAL6'!A:A,0)+1,3,4,1,"CAL6")),0)</f>
        <v>0</v>
      </c>
      <c r="AI124" s="20" t="str">
        <f ca="1">IF(CALC2223!BC124&gt;2,INDIRECT(ADDRESS(MATCH(Agenda2526!C125,'CAL6'!A:A,0)+2,2,4,1,"CAL6")),"")</f>
        <v/>
      </c>
      <c r="AJ124" s="21">
        <f ca="1">IF(CALC2223!BC124&gt;2,INDIRECT(ADDRESS(MATCH(Agenda2526!C125,'CAL6'!A:A,0)+2,3,4,1,"CAL6")),0)</f>
        <v>0</v>
      </c>
      <c r="AK124" s="20" t="str">
        <f ca="1">IF(CALC2223!BD124&gt;0,INDIRECT(ADDRESS(MATCH(Agenda2526!C125,'CAL7'!A:A,0),2,4,1,"CAL7")),"")</f>
        <v/>
      </c>
      <c r="AL124" s="21">
        <f ca="1">IF(CALC2223!BD124&gt;0,INDIRECT(ADDRESS(MATCH(Agenda2526!C125,'CAL7'!A:A,0),3,4,1,"CAL7")),0)</f>
        <v>0</v>
      </c>
      <c r="AM124" s="20" t="str">
        <f ca="1">IF(CALC2223!BD124&gt;1,INDIRECT(ADDRESS(MATCH(Agenda2526!C125,'CAL7'!A:A,0)+1,2,4,1,"CAL7")),"")</f>
        <v/>
      </c>
      <c r="AN124" s="21">
        <f ca="1">IF(CALC2223!BD124&gt;1,INDIRECT(ADDRESS(MATCH(Agenda2526!C125,'CAL7'!A:A,0)+1,3,4,1,"CAL7")),0)</f>
        <v>0</v>
      </c>
      <c r="AO124" s="20" t="str">
        <f ca="1">IF(CALC2223!BD124&gt;2,INDIRECT(ADDRESS(MATCH(Agenda2526!C125,'CAL7'!A:A,0)+2,2,4,1,"CAL7")),"")</f>
        <v/>
      </c>
      <c r="AP124" s="21">
        <f ca="1">IF(CALC2223!BD124&gt;2,INDIRECT(ADDRESS(MATCH(Agenda2526!C125,'CAL7'!A:A,0)+2,3,4,1,"CAL7")),0)</f>
        <v>0</v>
      </c>
      <c r="AQ124" s="20" t="str">
        <f ca="1">IF(CALC2223!BE124&gt;0,INDIRECT(ADDRESS(MATCH(Agenda2526!C125,'CAL8'!A:A,0),2,4,1,"CAL8")),"")</f>
        <v>Nieuwjaarsdag</v>
      </c>
      <c r="AR124" s="21">
        <f ca="1">IF(CALC2223!BE124&gt;0,INDIRECT(ADDRESS(MATCH(Agenda2526!C125,'CAL8'!A:A,0),3,4,1,"CAL8")),0)</f>
        <v>45896</v>
      </c>
      <c r="AS124" s="20" t="str">
        <f ca="1">IF(CALC2223!BE124&gt;1,INDIRECT(ADDRESS(MATCH(Agenda2526!C125,'CAL8'!A:A,0)+1,2,4,1,"CAL8")),"")</f>
        <v/>
      </c>
      <c r="AT124" s="21">
        <f ca="1">IF(CALC2223!BE124&gt;1,INDIRECT(ADDRESS(MATCH(Agenda2526!C125,'CAL8'!A:A,0)+1,3,4,1,"CAL8")),0)</f>
        <v>0</v>
      </c>
      <c r="AU124" s="20" t="str">
        <f ca="1">IF(CALC2223!BE124&gt;2,INDIRECT(ADDRESS(MATCH(Agenda2526!C125,'CAL8'!A:A,0)+2,2,4,1,"CAL8")),"")</f>
        <v/>
      </c>
      <c r="AV124" s="21">
        <f ca="1">IF(CALC2223!BE124&gt;2,INDIRECT(ADDRESS(MATCH(Agenda2526!C125,'CAL8'!A:A,0)+2,3,4,1,"CAL8")),0)</f>
        <v>0</v>
      </c>
      <c r="AW124" s="110"/>
      <c r="AX124" s="20">
        <f>COUNTIF('CAL1'!A:A,Agenda2526!C125)</f>
        <v>0</v>
      </c>
      <c r="AY124" s="20">
        <f>COUNTIF('CAL2'!A:A,Agenda2526!C125)</f>
        <v>0</v>
      </c>
      <c r="AZ124" s="20">
        <f>COUNTIF('CAL3'!A:A,Agenda2526!C125)</f>
        <v>0</v>
      </c>
      <c r="BA124" s="20">
        <f>COUNTIF('CAL4'!A:A,Agenda2526!C125)</f>
        <v>0</v>
      </c>
      <c r="BB124" s="20">
        <f>COUNTIF('CAL5'!A:A,Agenda2526!C125)</f>
        <v>0</v>
      </c>
      <c r="BC124" s="20">
        <f>COUNTIF('CAL6'!A:A,Agenda2526!C125)</f>
        <v>0</v>
      </c>
      <c r="BD124" s="20">
        <f>COUNTIF('CAL7'!A:A,Agenda2526!C125)</f>
        <v>0</v>
      </c>
      <c r="BE124" s="20">
        <f>COUNTIF('CAL8'!A:A,Agenda2526!C125)</f>
        <v>1</v>
      </c>
    </row>
    <row r="125" spans="1:57" ht="15.75" customHeight="1">
      <c r="A125" s="20" t="str">
        <f ca="1">IF(CALC2223!AX125&gt;0,INDIRECT(ADDRESS(MATCH(Agenda2526!C126,'CAL1'!A:A,0),2,4,1,"CAL1")),"")</f>
        <v/>
      </c>
      <c r="B125" s="21">
        <f ca="1">IF(CALC2223!AX125&gt;0,INDIRECT(ADDRESS(MATCH(Agenda2526!C126,'CAL1'!A:A,0),3,4,1,"CAL1")),0)</f>
        <v>0</v>
      </c>
      <c r="C125" s="20" t="str">
        <f ca="1">IF(CALC2223!AX125&gt;1,INDIRECT(ADDRESS(MATCH(Agenda2526!C126,'CAL1'!A:A,0)+1,2,4,1,"CAL1")),"")</f>
        <v/>
      </c>
      <c r="D125" s="21">
        <f ca="1">IF(CALC2223!AX125&gt;1,INDIRECT(ADDRESS(MATCH(Agenda2526!C126,'CAL1'!A:A,0)+1,3,4,1,"CAL1")),0)</f>
        <v>0</v>
      </c>
      <c r="E125" s="20" t="str">
        <f ca="1">IF(CALC2223!AX125&gt;2,INDIRECT(ADDRESS(MATCH(Agenda2526!C126,'CAL1'!A:A,0)+2,2,4,1,"CAL1")),"")</f>
        <v/>
      </c>
      <c r="F125" s="21">
        <f ca="1">IF(CALC2223!AX125&gt;2,INDIRECT(ADDRESS(MATCH(Agenda2526!C126,'CAL1'!A:A,0)+2,3,4,1,"CAL1")),0)</f>
        <v>0</v>
      </c>
      <c r="G125" s="20" t="str">
        <f ca="1">IF(CALC2223!AY125&gt;0,INDIRECT(ADDRESS(MATCH(Agenda2526!C126,'CAL2'!A:A,0),2,4,1,"CAL2")),"")</f>
        <v/>
      </c>
      <c r="H125" s="21">
        <f ca="1">IF(CALC2223!AY125&gt;0,INDIRECT(ADDRESS(MATCH(Agenda2526!C126,'CAL2'!A:A,0),3,4,1,"CAL2")),0)</f>
        <v>0</v>
      </c>
      <c r="I125" s="20" t="str">
        <f ca="1">IF(CALC2223!AY125&gt;1,INDIRECT(ADDRESS(MATCH(Agenda2526!C126,'CAL2'!A:A,0)+1,2,4,1,"CAL2")),"")</f>
        <v/>
      </c>
      <c r="J125" s="21">
        <f ca="1">IF(CALC2223!AY125&gt;1,INDIRECT(ADDRESS(MATCH(Agenda2526!C126,'CAL2'!A:A,0)+1,3,4,1,"CAL2")),0)</f>
        <v>0</v>
      </c>
      <c r="K125" s="20" t="str">
        <f ca="1">IF(CALC2223!AY125&gt;2,INDIRECT(ADDRESS(MATCH(Agenda2526!C126,'CAL2'!A:A,0)+2,2,4,1,"CAL2")),"")</f>
        <v/>
      </c>
      <c r="L125" s="21">
        <f ca="1">IF(CALC2223!AY125&gt;2,INDIRECT(ADDRESS(MATCH(Agenda2526!C126,'CAL2'!A:A,0)+2,3,4,1,"CAL2")),0)</f>
        <v>0</v>
      </c>
      <c r="M125" s="20" t="str">
        <f ca="1">IF(CALC2223!AZ125&gt;0,INDIRECT(ADDRESS(MATCH(Agenda2526!C126,'CAL3'!A:A,0),2,4,1,"CAL3")),"")</f>
        <v/>
      </c>
      <c r="N125" s="21">
        <f ca="1">IF(CALC2223!AZ125&gt;0,INDIRECT(ADDRESS(MATCH(Agenda2526!C126,'CAL3'!A:A,0),3,4,1,"CAL3")),0)</f>
        <v>0</v>
      </c>
      <c r="O125" s="20" t="str">
        <f ca="1">IF(CALC2223!AZ125&gt;1,INDIRECT(ADDRESS(MATCH(Agenda2526!C126,'CAL3'!A:A,0)+1,2,4,1,"CAL3")),"")</f>
        <v/>
      </c>
      <c r="P125" s="21">
        <f ca="1">IF(CALC2223!AZ125&gt;1,INDIRECT(ADDRESS(MATCH(Agenda2526!C126,'CAL3'!A:A,0)+1,3,4,1,"CAL3")),0)</f>
        <v>0</v>
      </c>
      <c r="Q125" s="20" t="str">
        <f ca="1">IF(CALC2223!AZ125&gt;2,INDIRECT(ADDRESS(MATCH(Agenda2526!C126,'CAL3'!A:A,0)+2,2,4,1,"CAL3")),"")</f>
        <v/>
      </c>
      <c r="R125" s="21">
        <f ca="1">IF(CALC2223!AZ125&gt;2,INDIRECT(ADDRESS(MATCH(Agenda2526!C126,'CAL3'!A:A,0)+2,3,4,1,"CAL3")),0)</f>
        <v>0</v>
      </c>
      <c r="S125" s="20" t="str">
        <f ca="1">IF(CALC2223!BA125&gt;0,INDIRECT(ADDRESS(MATCH(Agenda2526!C126,'CAL4'!A:A,0),2,4,1,"CAL4")),"")</f>
        <v/>
      </c>
      <c r="T125" s="21">
        <f ca="1">IF(CALC2223!BA125&gt;0,INDIRECT(ADDRESS(MATCH(Agenda2526!C126,'CAL4'!A:A,0),3,4,1,"CAL4")),0)</f>
        <v>0</v>
      </c>
      <c r="U125" s="20" t="str">
        <f ca="1">IF(CALC2223!BA125&gt;1,INDIRECT(ADDRESS(MATCH(Agenda2526!C126,'CAL4'!A:A,0)+1,2,4,1,"CAL4")),"")</f>
        <v/>
      </c>
      <c r="V125" s="21">
        <f ca="1">IF(CALC2223!BA125&gt;1,INDIRECT(ADDRESS(MATCH(Agenda2526!C126,'CAL4'!A:A,0)+1,3,4,1,"CAL4")),0)</f>
        <v>0</v>
      </c>
      <c r="W125" s="20" t="str">
        <f ca="1">IF(CALC2223!BA125&gt;2,INDIRECT(ADDRESS(MATCH(Agenda2526!C126,'CAL4'!A:A,0)+2,2,4,1,"CAL4")),"")</f>
        <v/>
      </c>
      <c r="X125" s="21">
        <f ca="1">IF(CALC2223!BA125&gt;2,INDIRECT(ADDRESS(MATCH(Agenda2526!C126,'CAL4'!A:A,0)+2,3,4,1,"CAL4")),0)</f>
        <v>0</v>
      </c>
      <c r="Y125" s="20" t="str">
        <f ca="1">IF(CALC2223!BB125&gt;0,INDIRECT(ADDRESS(MATCH(Agenda2526!C126,'CAL5'!A:A,0),2,4,1,"CAL5")),"")</f>
        <v/>
      </c>
      <c r="Z125" s="21">
        <f ca="1">IF(CALC2223!BB125&gt;0,INDIRECT(ADDRESS(MATCH(Agenda2526!C126,'CAL5'!A:A,0),3,4,1,"CAL5")),0)</f>
        <v>0</v>
      </c>
      <c r="AA125" s="20" t="str">
        <f ca="1">IF(CALC2223!BB125&gt;1,INDIRECT(ADDRESS(MATCH(Agenda2526!C126,'CAL5'!A:A,0)+1,2,4,1,"CAL5")),"")</f>
        <v/>
      </c>
      <c r="AB125" s="21">
        <f ca="1">IF(CALC2223!BB125&gt;1,INDIRECT(ADDRESS(MATCH(Agenda2526!C126,'CAL5'!A:A,0)+1,3,4,1,"CAL5")),0)</f>
        <v>0</v>
      </c>
      <c r="AC125" s="20" t="str">
        <f ca="1">IF(CALC2223!BB125&gt;2,INDIRECT(ADDRESS(MATCH(Agenda2526!C126,'CAL5'!A:A,0)+2,2,4,1,"CAL5")),"")</f>
        <v/>
      </c>
      <c r="AD125" s="21">
        <f ca="1">IF(CALC2223!BB125&gt;2,INDIRECT(ADDRESS(MATCH(Agenda2526!C126,'CAL5'!A:A,0)+2,3,4,1,"CAL5")),0)</f>
        <v>0</v>
      </c>
      <c r="AE125" s="20" t="str">
        <f ca="1">IF(CALC2223!BC125&gt;0,INDIRECT(ADDRESS(MATCH(Agenda2526!C126,'CAL6'!A:A,0),2,4,1,"CAL6")),"")</f>
        <v/>
      </c>
      <c r="AF125" s="21">
        <f ca="1">IF(CALC2223!BC125&gt;0,INDIRECT(ADDRESS(MATCH(Agenda2526!C126,'CAL6'!A:A,0),3,4,1,"CAL6")),0)</f>
        <v>0</v>
      </c>
      <c r="AG125" s="20" t="str">
        <f ca="1">IF(CALC2223!BC125&gt;1,INDIRECT(ADDRESS(MATCH(Agenda2526!C126,'CAL6'!A:A,0)+1,2,4,1,"CAL6")),"")</f>
        <v/>
      </c>
      <c r="AH125" s="21">
        <f ca="1">IF(CALC2223!BC125&gt;1,INDIRECT(ADDRESS(MATCH(Agenda2526!C126,'CAL6'!A:A,0)+1,3,4,1,"CAL6")),0)</f>
        <v>0</v>
      </c>
      <c r="AI125" s="20" t="str">
        <f ca="1">IF(CALC2223!BC125&gt;2,INDIRECT(ADDRESS(MATCH(Agenda2526!C126,'CAL6'!A:A,0)+2,2,4,1,"CAL6")),"")</f>
        <v/>
      </c>
      <c r="AJ125" s="21">
        <f ca="1">IF(CALC2223!BC125&gt;2,INDIRECT(ADDRESS(MATCH(Agenda2526!C126,'CAL6'!A:A,0)+2,3,4,1,"CAL6")),0)</f>
        <v>0</v>
      </c>
      <c r="AK125" s="20" t="str">
        <f ca="1">IF(CALC2223!BD125&gt;0,INDIRECT(ADDRESS(MATCH(Agenda2526!C126,'CAL7'!A:A,0),2,4,1,"CAL7")),"")</f>
        <v/>
      </c>
      <c r="AL125" s="21">
        <f ca="1">IF(CALC2223!BD125&gt;0,INDIRECT(ADDRESS(MATCH(Agenda2526!C126,'CAL7'!A:A,0),3,4,1,"CAL7")),0)</f>
        <v>0</v>
      </c>
      <c r="AM125" s="20" t="str">
        <f ca="1">IF(CALC2223!BD125&gt;1,INDIRECT(ADDRESS(MATCH(Agenda2526!C126,'CAL7'!A:A,0)+1,2,4,1,"CAL7")),"")</f>
        <v/>
      </c>
      <c r="AN125" s="21">
        <f ca="1">IF(CALC2223!BD125&gt;1,INDIRECT(ADDRESS(MATCH(Agenda2526!C126,'CAL7'!A:A,0)+1,3,4,1,"CAL7")),0)</f>
        <v>0</v>
      </c>
      <c r="AO125" s="20" t="str">
        <f ca="1">IF(CALC2223!BD125&gt;2,INDIRECT(ADDRESS(MATCH(Agenda2526!C126,'CAL7'!A:A,0)+2,2,4,1,"CAL7")),"")</f>
        <v/>
      </c>
      <c r="AP125" s="21">
        <f ca="1">IF(CALC2223!BD125&gt;2,INDIRECT(ADDRESS(MATCH(Agenda2526!C126,'CAL7'!A:A,0)+2,3,4,1,"CAL7")),0)</f>
        <v>0</v>
      </c>
      <c r="AQ125" s="20" t="str">
        <f ca="1">IF(CALC2223!BE125&gt;0,INDIRECT(ADDRESS(MATCH(Agenda2526!C126,'CAL8'!A:A,0),2,4,1,"CAL8")),"")</f>
        <v/>
      </c>
      <c r="AR125" s="21">
        <f ca="1">IF(CALC2223!BE125&gt;0,INDIRECT(ADDRESS(MATCH(Agenda2526!C126,'CAL8'!A:A,0),3,4,1,"CAL8")),0)</f>
        <v>0</v>
      </c>
      <c r="AS125" s="20" t="str">
        <f ca="1">IF(CALC2223!BE125&gt;1,INDIRECT(ADDRESS(MATCH(Agenda2526!C126,'CAL8'!A:A,0)+1,2,4,1,"CAL8")),"")</f>
        <v/>
      </c>
      <c r="AT125" s="21">
        <f ca="1">IF(CALC2223!BE125&gt;1,INDIRECT(ADDRESS(MATCH(Agenda2526!C126,'CAL8'!A:A,0)+1,3,4,1,"CAL8")),0)</f>
        <v>0</v>
      </c>
      <c r="AU125" s="20" t="str">
        <f ca="1">IF(CALC2223!BE125&gt;2,INDIRECT(ADDRESS(MATCH(Agenda2526!C126,'CAL8'!A:A,0)+2,2,4,1,"CAL8")),"")</f>
        <v/>
      </c>
      <c r="AV125" s="21">
        <f ca="1">IF(CALC2223!BE125&gt;2,INDIRECT(ADDRESS(MATCH(Agenda2526!C126,'CAL8'!A:A,0)+2,3,4,1,"CAL8")),0)</f>
        <v>0</v>
      </c>
      <c r="AW125" s="107"/>
      <c r="AX125" s="20">
        <f>COUNTIF('CAL1'!A:A,Agenda2526!C126)</f>
        <v>0</v>
      </c>
      <c r="AY125" s="20">
        <f>COUNTIF('CAL2'!A:A,Agenda2526!C126)</f>
        <v>0</v>
      </c>
      <c r="AZ125" s="20">
        <f>COUNTIF('CAL3'!A:A,Agenda2526!C126)</f>
        <v>0</v>
      </c>
      <c r="BA125" s="20">
        <f>COUNTIF('CAL4'!A:A,Agenda2526!C126)</f>
        <v>0</v>
      </c>
      <c r="BB125" s="20">
        <f>COUNTIF('CAL5'!A:A,Agenda2526!C126)</f>
        <v>0</v>
      </c>
      <c r="BC125" s="20">
        <f>COUNTIF('CAL6'!A:A,Agenda2526!C126)</f>
        <v>0</v>
      </c>
      <c r="BD125" s="20">
        <f>COUNTIF('CAL7'!A:A,Agenda2526!C126)</f>
        <v>0</v>
      </c>
      <c r="BE125" s="20">
        <f>COUNTIF('CAL8'!A:A,Agenda2526!C126)</f>
        <v>0</v>
      </c>
    </row>
    <row r="126" spans="1:57" ht="15.75" customHeight="1">
      <c r="A126" s="20" t="str">
        <f ca="1">IF(CALC2223!AX126&gt;0,INDIRECT(ADDRESS(MATCH(Agenda2526!C127,'CAL1'!A:A,0),2,4,1,"CAL1")),"")</f>
        <v/>
      </c>
      <c r="B126" s="21">
        <f ca="1">IF(CALC2223!AX126&gt;0,INDIRECT(ADDRESS(MATCH(Agenda2526!C127,'CAL1'!A:A,0),3,4,1,"CAL1")),0)</f>
        <v>0</v>
      </c>
      <c r="C126" s="20" t="str">
        <f ca="1">IF(CALC2223!AX126&gt;1,INDIRECT(ADDRESS(MATCH(Agenda2526!C127,'CAL1'!A:A,0)+1,2,4,1,"CAL1")),"")</f>
        <v/>
      </c>
      <c r="D126" s="21">
        <f ca="1">IF(CALC2223!AX126&gt;1,INDIRECT(ADDRESS(MATCH(Agenda2526!C127,'CAL1'!A:A,0)+1,3,4,1,"CAL1")),0)</f>
        <v>0</v>
      </c>
      <c r="E126" s="20" t="str">
        <f ca="1">IF(CALC2223!AX126&gt;2,INDIRECT(ADDRESS(MATCH(Agenda2526!C127,'CAL1'!A:A,0)+2,2,4,1,"CAL1")),"")</f>
        <v/>
      </c>
      <c r="F126" s="21">
        <f ca="1">IF(CALC2223!AX126&gt;2,INDIRECT(ADDRESS(MATCH(Agenda2526!C127,'CAL1'!A:A,0)+2,3,4,1,"CAL1")),0)</f>
        <v>0</v>
      </c>
      <c r="G126" s="20" t="str">
        <f ca="1">IF(CALC2223!AY126&gt;0,INDIRECT(ADDRESS(MATCH(Agenda2526!C127,'CAL2'!A:A,0),2,4,1,"CAL2")),"")</f>
        <v/>
      </c>
      <c r="H126" s="21">
        <f ca="1">IF(CALC2223!AY126&gt;0,INDIRECT(ADDRESS(MATCH(Agenda2526!C127,'CAL2'!A:A,0),3,4,1,"CAL2")),0)</f>
        <v>0</v>
      </c>
      <c r="I126" s="20" t="str">
        <f ca="1">IF(CALC2223!AY126&gt;1,INDIRECT(ADDRESS(MATCH(Agenda2526!C127,'CAL2'!A:A,0)+1,2,4,1,"CAL2")),"")</f>
        <v/>
      </c>
      <c r="J126" s="21">
        <f ca="1">IF(CALC2223!AY126&gt;1,INDIRECT(ADDRESS(MATCH(Agenda2526!C127,'CAL2'!A:A,0)+1,3,4,1,"CAL2")),0)</f>
        <v>0</v>
      </c>
      <c r="K126" s="20" t="str">
        <f ca="1">IF(CALC2223!AY126&gt;2,INDIRECT(ADDRESS(MATCH(Agenda2526!C127,'CAL2'!A:A,0)+2,2,4,1,"CAL2")),"")</f>
        <v/>
      </c>
      <c r="L126" s="21">
        <f ca="1">IF(CALC2223!AY126&gt;2,INDIRECT(ADDRESS(MATCH(Agenda2526!C127,'CAL2'!A:A,0)+2,3,4,1,"CAL2")),0)</f>
        <v>0</v>
      </c>
      <c r="M126" s="20" t="str">
        <f ca="1">IF(CALC2223!AZ126&gt;0,INDIRECT(ADDRESS(MATCH(Agenda2526!C127,'CAL3'!A:A,0),2,4,1,"CAL3")),"")</f>
        <v/>
      </c>
      <c r="N126" s="21">
        <f ca="1">IF(CALC2223!AZ126&gt;0,INDIRECT(ADDRESS(MATCH(Agenda2526!C127,'CAL3'!A:A,0),3,4,1,"CAL3")),0)</f>
        <v>0</v>
      </c>
      <c r="O126" s="20" t="str">
        <f ca="1">IF(CALC2223!AZ126&gt;1,INDIRECT(ADDRESS(MATCH(Agenda2526!C127,'CAL3'!A:A,0)+1,2,4,1,"CAL3")),"")</f>
        <v/>
      </c>
      <c r="P126" s="21">
        <f ca="1">IF(CALC2223!AZ126&gt;1,INDIRECT(ADDRESS(MATCH(Agenda2526!C127,'CAL3'!A:A,0)+1,3,4,1,"CAL3")),0)</f>
        <v>0</v>
      </c>
      <c r="Q126" s="20" t="str">
        <f ca="1">IF(CALC2223!AZ126&gt;2,INDIRECT(ADDRESS(MATCH(Agenda2526!C127,'CAL3'!A:A,0)+2,2,4,1,"CAL3")),"")</f>
        <v/>
      </c>
      <c r="R126" s="21">
        <f ca="1">IF(CALC2223!AZ126&gt;2,INDIRECT(ADDRESS(MATCH(Agenda2526!C127,'CAL3'!A:A,0)+2,3,4,1,"CAL3")),0)</f>
        <v>0</v>
      </c>
      <c r="S126" s="20" t="str">
        <f ca="1">IF(CALC2223!BA126&gt;0,INDIRECT(ADDRESS(MATCH(Agenda2526!C127,'CAL4'!A:A,0),2,4,1,"CAL4")),"")</f>
        <v/>
      </c>
      <c r="T126" s="21">
        <f ca="1">IF(CALC2223!BA126&gt;0,INDIRECT(ADDRESS(MATCH(Agenda2526!C127,'CAL4'!A:A,0),3,4,1,"CAL4")),0)</f>
        <v>0</v>
      </c>
      <c r="U126" s="20" t="str">
        <f ca="1">IF(CALC2223!BA126&gt;1,INDIRECT(ADDRESS(MATCH(Agenda2526!C127,'CAL4'!A:A,0)+1,2,4,1,"CAL4")),"")</f>
        <v/>
      </c>
      <c r="V126" s="21">
        <f ca="1">IF(CALC2223!BA126&gt;1,INDIRECT(ADDRESS(MATCH(Agenda2526!C127,'CAL4'!A:A,0)+1,3,4,1,"CAL4")),0)</f>
        <v>0</v>
      </c>
      <c r="W126" s="20" t="str">
        <f ca="1">IF(CALC2223!BA126&gt;2,INDIRECT(ADDRESS(MATCH(Agenda2526!C127,'CAL4'!A:A,0)+2,2,4,1,"CAL4")),"")</f>
        <v/>
      </c>
      <c r="X126" s="21">
        <f ca="1">IF(CALC2223!BA126&gt;2,INDIRECT(ADDRESS(MATCH(Agenda2526!C127,'CAL4'!A:A,0)+2,3,4,1,"CAL4")),0)</f>
        <v>0</v>
      </c>
      <c r="Y126" s="20" t="str">
        <f ca="1">IF(CALC2223!BB126&gt;0,INDIRECT(ADDRESS(MATCH(Agenda2526!C127,'CAL5'!A:A,0),2,4,1,"CAL5")),"")</f>
        <v/>
      </c>
      <c r="Z126" s="21">
        <f ca="1">IF(CALC2223!BB126&gt;0,INDIRECT(ADDRESS(MATCH(Agenda2526!C127,'CAL5'!A:A,0),3,4,1,"CAL5")),0)</f>
        <v>0</v>
      </c>
      <c r="AA126" s="20" t="str">
        <f ca="1">IF(CALC2223!BB126&gt;1,INDIRECT(ADDRESS(MATCH(Agenda2526!C127,'CAL5'!A:A,0)+1,2,4,1,"CAL5")),"")</f>
        <v/>
      </c>
      <c r="AB126" s="21">
        <f ca="1">IF(CALC2223!BB126&gt;1,INDIRECT(ADDRESS(MATCH(Agenda2526!C127,'CAL5'!A:A,0)+1,3,4,1,"CAL5")),0)</f>
        <v>0</v>
      </c>
      <c r="AC126" s="20" t="str">
        <f ca="1">IF(CALC2223!BB126&gt;2,INDIRECT(ADDRESS(MATCH(Agenda2526!C127,'CAL5'!A:A,0)+2,2,4,1,"CAL5")),"")</f>
        <v/>
      </c>
      <c r="AD126" s="21">
        <f ca="1">IF(CALC2223!BB126&gt;2,INDIRECT(ADDRESS(MATCH(Agenda2526!C127,'CAL5'!A:A,0)+2,3,4,1,"CAL5")),0)</f>
        <v>0</v>
      </c>
      <c r="AE126" s="20" t="str">
        <f ca="1">IF(CALC2223!BC126&gt;0,INDIRECT(ADDRESS(MATCH(Agenda2526!C127,'CAL6'!A:A,0),2,4,1,"CAL6")),"")</f>
        <v/>
      </c>
      <c r="AF126" s="21">
        <f ca="1">IF(CALC2223!BC126&gt;0,INDIRECT(ADDRESS(MATCH(Agenda2526!C127,'CAL6'!A:A,0),3,4,1,"CAL6")),0)</f>
        <v>0</v>
      </c>
      <c r="AG126" s="20" t="str">
        <f ca="1">IF(CALC2223!BC126&gt;1,INDIRECT(ADDRESS(MATCH(Agenda2526!C127,'CAL6'!A:A,0)+1,2,4,1,"CAL6")),"")</f>
        <v/>
      </c>
      <c r="AH126" s="21">
        <f ca="1">IF(CALC2223!BC126&gt;1,INDIRECT(ADDRESS(MATCH(Agenda2526!C127,'CAL6'!A:A,0)+1,3,4,1,"CAL6")),0)</f>
        <v>0</v>
      </c>
      <c r="AI126" s="20" t="str">
        <f ca="1">IF(CALC2223!BC126&gt;2,INDIRECT(ADDRESS(MATCH(Agenda2526!C127,'CAL6'!A:A,0)+2,2,4,1,"CAL6")),"")</f>
        <v/>
      </c>
      <c r="AJ126" s="21">
        <f ca="1">IF(CALC2223!BC126&gt;2,INDIRECT(ADDRESS(MATCH(Agenda2526!C127,'CAL6'!A:A,0)+2,3,4,1,"CAL6")),0)</f>
        <v>0</v>
      </c>
      <c r="AK126" s="20" t="str">
        <f ca="1">IF(CALC2223!BD126&gt;0,INDIRECT(ADDRESS(MATCH(Agenda2526!C127,'CAL7'!A:A,0),2,4,1,"CAL7")),"")</f>
        <v/>
      </c>
      <c r="AL126" s="21">
        <f ca="1">IF(CALC2223!BD126&gt;0,INDIRECT(ADDRESS(MATCH(Agenda2526!C127,'CAL7'!A:A,0),3,4,1,"CAL7")),0)</f>
        <v>0</v>
      </c>
      <c r="AM126" s="20" t="str">
        <f ca="1">IF(CALC2223!BD126&gt;1,INDIRECT(ADDRESS(MATCH(Agenda2526!C127,'CAL7'!A:A,0)+1,2,4,1,"CAL7")),"")</f>
        <v/>
      </c>
      <c r="AN126" s="21">
        <f ca="1">IF(CALC2223!BD126&gt;1,INDIRECT(ADDRESS(MATCH(Agenda2526!C127,'CAL7'!A:A,0)+1,3,4,1,"CAL7")),0)</f>
        <v>0</v>
      </c>
      <c r="AO126" s="20" t="str">
        <f ca="1">IF(CALC2223!BD126&gt;2,INDIRECT(ADDRESS(MATCH(Agenda2526!C127,'CAL7'!A:A,0)+2,2,4,1,"CAL7")),"")</f>
        <v/>
      </c>
      <c r="AP126" s="21">
        <f ca="1">IF(CALC2223!BD126&gt;2,INDIRECT(ADDRESS(MATCH(Agenda2526!C127,'CAL7'!A:A,0)+2,3,4,1,"CAL7")),0)</f>
        <v>0</v>
      </c>
      <c r="AQ126" s="20" t="str">
        <f ca="1">IF(CALC2223!BE126&gt;0,INDIRECT(ADDRESS(MATCH(Agenda2526!C127,'CAL8'!A:A,0),2,4,1,"CAL8")),"")</f>
        <v/>
      </c>
      <c r="AR126" s="21">
        <f ca="1">IF(CALC2223!BE126&gt;0,INDIRECT(ADDRESS(MATCH(Agenda2526!C127,'CAL8'!A:A,0),3,4,1,"CAL8")),0)</f>
        <v>0</v>
      </c>
      <c r="AS126" s="20" t="str">
        <f ca="1">IF(CALC2223!BE126&gt;1,INDIRECT(ADDRESS(MATCH(Agenda2526!C127,'CAL8'!A:A,0)+1,2,4,1,"CAL8")),"")</f>
        <v/>
      </c>
      <c r="AT126" s="21">
        <f ca="1">IF(CALC2223!BE126&gt;1,INDIRECT(ADDRESS(MATCH(Agenda2526!C127,'CAL8'!A:A,0)+1,3,4,1,"CAL8")),0)</f>
        <v>0</v>
      </c>
      <c r="AU126" s="20" t="str">
        <f ca="1">IF(CALC2223!BE126&gt;2,INDIRECT(ADDRESS(MATCH(Agenda2526!C127,'CAL8'!A:A,0)+2,2,4,1,"CAL8")),"")</f>
        <v/>
      </c>
      <c r="AV126" s="21">
        <f ca="1">IF(CALC2223!BE126&gt;2,INDIRECT(ADDRESS(MATCH(Agenda2526!C127,'CAL8'!A:A,0)+2,3,4,1,"CAL8")),0)</f>
        <v>0</v>
      </c>
      <c r="AW126" s="106"/>
      <c r="AX126" s="20">
        <f>COUNTIF('CAL1'!A:A,Agenda2526!C127)</f>
        <v>0</v>
      </c>
      <c r="AY126" s="20">
        <f>COUNTIF('CAL2'!A:A,Agenda2526!C127)</f>
        <v>0</v>
      </c>
      <c r="AZ126" s="20">
        <f>COUNTIF('CAL3'!A:A,Agenda2526!C127)</f>
        <v>0</v>
      </c>
      <c r="BA126" s="20">
        <f>COUNTIF('CAL4'!A:A,Agenda2526!C127)</f>
        <v>0</v>
      </c>
      <c r="BB126" s="20">
        <f>COUNTIF('CAL5'!A:A,Agenda2526!C127)</f>
        <v>0</v>
      </c>
      <c r="BC126" s="20">
        <f>COUNTIF('CAL6'!A:A,Agenda2526!C127)</f>
        <v>0</v>
      </c>
      <c r="BD126" s="20">
        <f>COUNTIF('CAL7'!A:A,Agenda2526!C127)</f>
        <v>0</v>
      </c>
      <c r="BE126" s="20">
        <f>COUNTIF('CAL8'!A:A,Agenda2526!C127)</f>
        <v>0</v>
      </c>
    </row>
    <row r="127" spans="1:57" ht="15.75" customHeight="1">
      <c r="A127" s="20" t="str">
        <f ca="1">IF(CALC2223!AX127&gt;0,INDIRECT(ADDRESS(MATCH(Agenda2526!C128,'CAL1'!A:A,0),2,4,1,"CAL1")),"")</f>
        <v/>
      </c>
      <c r="B127" s="21">
        <f ca="1">IF(CALC2223!AX127&gt;0,INDIRECT(ADDRESS(MATCH(Agenda2526!C128,'CAL1'!A:A,0),3,4,1,"CAL1")),0)</f>
        <v>0</v>
      </c>
      <c r="C127" s="20" t="str">
        <f ca="1">IF(CALC2223!AX127&gt;1,INDIRECT(ADDRESS(MATCH(Agenda2526!C128,'CAL1'!A:A,0)+1,2,4,1,"CAL1")),"")</f>
        <v/>
      </c>
      <c r="D127" s="21">
        <f ca="1">IF(CALC2223!AX127&gt;1,INDIRECT(ADDRESS(MATCH(Agenda2526!C128,'CAL1'!A:A,0)+1,3,4,1,"CAL1")),0)</f>
        <v>0</v>
      </c>
      <c r="E127" s="20" t="str">
        <f ca="1">IF(CALC2223!AX127&gt;2,INDIRECT(ADDRESS(MATCH(Agenda2526!C128,'CAL1'!A:A,0)+2,2,4,1,"CAL1")),"")</f>
        <v/>
      </c>
      <c r="F127" s="21">
        <f ca="1">IF(CALC2223!AX127&gt;2,INDIRECT(ADDRESS(MATCH(Agenda2526!C128,'CAL1'!A:A,0)+2,3,4,1,"CAL1")),0)</f>
        <v>0</v>
      </c>
      <c r="G127" s="20" t="str">
        <f ca="1">IF(CALC2223!AY127&gt;0,INDIRECT(ADDRESS(MATCH(Agenda2526!C128,'CAL2'!A:A,0),2,4,1,"CAL2")),"")</f>
        <v/>
      </c>
      <c r="H127" s="21">
        <f ca="1">IF(CALC2223!AY127&gt;0,INDIRECT(ADDRESS(MATCH(Agenda2526!C128,'CAL2'!A:A,0),3,4,1,"CAL2")),0)</f>
        <v>0</v>
      </c>
      <c r="I127" s="20" t="str">
        <f ca="1">IF(CALC2223!AY127&gt;1,INDIRECT(ADDRESS(MATCH(Agenda2526!C128,'CAL2'!A:A,0)+1,2,4,1,"CAL2")),"")</f>
        <v/>
      </c>
      <c r="J127" s="21">
        <f ca="1">IF(CALC2223!AY127&gt;1,INDIRECT(ADDRESS(MATCH(Agenda2526!C128,'CAL2'!A:A,0)+1,3,4,1,"CAL2")),0)</f>
        <v>0</v>
      </c>
      <c r="K127" s="20" t="str">
        <f ca="1">IF(CALC2223!AY127&gt;2,INDIRECT(ADDRESS(MATCH(Agenda2526!C128,'CAL2'!A:A,0)+2,2,4,1,"CAL2")),"")</f>
        <v/>
      </c>
      <c r="L127" s="21">
        <f ca="1">IF(CALC2223!AY127&gt;2,INDIRECT(ADDRESS(MATCH(Agenda2526!C128,'CAL2'!A:A,0)+2,3,4,1,"CAL2")),0)</f>
        <v>0</v>
      </c>
      <c r="M127" s="20" t="str">
        <f ca="1">IF(CALC2223!AZ127&gt;0,INDIRECT(ADDRESS(MATCH(Agenda2526!C128,'CAL3'!A:A,0),2,4,1,"CAL3")),"")</f>
        <v/>
      </c>
      <c r="N127" s="21">
        <f ca="1">IF(CALC2223!AZ127&gt;0,INDIRECT(ADDRESS(MATCH(Agenda2526!C128,'CAL3'!A:A,0),3,4,1,"CAL3")),0)</f>
        <v>0</v>
      </c>
      <c r="O127" s="20" t="str">
        <f ca="1">IF(CALC2223!AZ127&gt;1,INDIRECT(ADDRESS(MATCH(Agenda2526!C128,'CAL3'!A:A,0)+1,2,4,1,"CAL3")),"")</f>
        <v/>
      </c>
      <c r="P127" s="21">
        <f ca="1">IF(CALC2223!AZ127&gt;1,INDIRECT(ADDRESS(MATCH(Agenda2526!C128,'CAL3'!A:A,0)+1,3,4,1,"CAL3")),0)</f>
        <v>0</v>
      </c>
      <c r="Q127" s="20" t="str">
        <f ca="1">IF(CALC2223!AZ127&gt;2,INDIRECT(ADDRESS(MATCH(Agenda2526!C128,'CAL3'!A:A,0)+2,2,4,1,"CAL3")),"")</f>
        <v/>
      </c>
      <c r="R127" s="21">
        <f ca="1">IF(CALC2223!AZ127&gt;2,INDIRECT(ADDRESS(MATCH(Agenda2526!C128,'CAL3'!A:A,0)+2,3,4,1,"CAL3")),0)</f>
        <v>0</v>
      </c>
      <c r="S127" s="20" t="str">
        <f ca="1">IF(CALC2223!BA127&gt;0,INDIRECT(ADDRESS(MATCH(Agenda2526!C128,'CAL4'!A:A,0),2,4,1,"CAL4")),"")</f>
        <v/>
      </c>
      <c r="T127" s="21">
        <f ca="1">IF(CALC2223!BA127&gt;0,INDIRECT(ADDRESS(MATCH(Agenda2526!C128,'CAL4'!A:A,0),3,4,1,"CAL4")),0)</f>
        <v>0</v>
      </c>
      <c r="U127" s="20" t="str">
        <f ca="1">IF(CALC2223!BA127&gt;1,INDIRECT(ADDRESS(MATCH(Agenda2526!C128,'CAL4'!A:A,0)+1,2,4,1,"CAL4")),"")</f>
        <v/>
      </c>
      <c r="V127" s="21">
        <f ca="1">IF(CALC2223!BA127&gt;1,INDIRECT(ADDRESS(MATCH(Agenda2526!C128,'CAL4'!A:A,0)+1,3,4,1,"CAL4")),0)</f>
        <v>0</v>
      </c>
      <c r="W127" s="20" t="str">
        <f ca="1">IF(CALC2223!BA127&gt;2,INDIRECT(ADDRESS(MATCH(Agenda2526!C128,'CAL4'!A:A,0)+2,2,4,1,"CAL4")),"")</f>
        <v/>
      </c>
      <c r="X127" s="21">
        <f ca="1">IF(CALC2223!BA127&gt;2,INDIRECT(ADDRESS(MATCH(Agenda2526!C128,'CAL4'!A:A,0)+2,3,4,1,"CAL4")),0)</f>
        <v>0</v>
      </c>
      <c r="Y127" s="20" t="str">
        <f ca="1">IF(CALC2223!BB127&gt;0,INDIRECT(ADDRESS(MATCH(Agenda2526!C128,'CAL5'!A:A,0),2,4,1,"CAL5")),"")</f>
        <v/>
      </c>
      <c r="Z127" s="21">
        <f ca="1">IF(CALC2223!BB127&gt;0,INDIRECT(ADDRESS(MATCH(Agenda2526!C128,'CAL5'!A:A,0),3,4,1,"CAL5")),0)</f>
        <v>0</v>
      </c>
      <c r="AA127" s="20" t="str">
        <f ca="1">IF(CALC2223!BB127&gt;1,INDIRECT(ADDRESS(MATCH(Agenda2526!C128,'CAL5'!A:A,0)+1,2,4,1,"CAL5")),"")</f>
        <v/>
      </c>
      <c r="AB127" s="21">
        <f ca="1">IF(CALC2223!BB127&gt;1,INDIRECT(ADDRESS(MATCH(Agenda2526!C128,'CAL5'!A:A,0)+1,3,4,1,"CAL5")),0)</f>
        <v>0</v>
      </c>
      <c r="AC127" s="20" t="str">
        <f ca="1">IF(CALC2223!BB127&gt;2,INDIRECT(ADDRESS(MATCH(Agenda2526!C128,'CAL5'!A:A,0)+2,2,4,1,"CAL5")),"")</f>
        <v/>
      </c>
      <c r="AD127" s="21">
        <f ca="1">IF(CALC2223!BB127&gt;2,INDIRECT(ADDRESS(MATCH(Agenda2526!C128,'CAL5'!A:A,0)+2,3,4,1,"CAL5")),0)</f>
        <v>0</v>
      </c>
      <c r="AE127" s="20" t="str">
        <f ca="1">IF(CALC2223!BC127&gt;0,INDIRECT(ADDRESS(MATCH(Agenda2526!C128,'CAL6'!A:A,0),2,4,1,"CAL6")),"")</f>
        <v/>
      </c>
      <c r="AF127" s="21">
        <f ca="1">IF(CALC2223!BC127&gt;0,INDIRECT(ADDRESS(MATCH(Agenda2526!C128,'CAL6'!A:A,0),3,4,1,"CAL6")),0)</f>
        <v>0</v>
      </c>
      <c r="AG127" s="20" t="str">
        <f ca="1">IF(CALC2223!BC127&gt;1,INDIRECT(ADDRESS(MATCH(Agenda2526!C128,'CAL6'!A:A,0)+1,2,4,1,"CAL6")),"")</f>
        <v/>
      </c>
      <c r="AH127" s="21">
        <f ca="1">IF(CALC2223!BC127&gt;1,INDIRECT(ADDRESS(MATCH(Agenda2526!C128,'CAL6'!A:A,0)+1,3,4,1,"CAL6")),0)</f>
        <v>0</v>
      </c>
      <c r="AI127" s="20" t="str">
        <f ca="1">IF(CALC2223!BC127&gt;2,INDIRECT(ADDRESS(MATCH(Agenda2526!C128,'CAL6'!A:A,0)+2,2,4,1,"CAL6")),"")</f>
        <v/>
      </c>
      <c r="AJ127" s="21">
        <f ca="1">IF(CALC2223!BC127&gt;2,INDIRECT(ADDRESS(MATCH(Agenda2526!C128,'CAL6'!A:A,0)+2,3,4,1,"CAL6")),0)</f>
        <v>0</v>
      </c>
      <c r="AK127" s="20" t="str">
        <f ca="1">IF(CALC2223!BD127&gt;0,INDIRECT(ADDRESS(MATCH(Agenda2526!C128,'CAL7'!A:A,0),2,4,1,"CAL7")),"")</f>
        <v/>
      </c>
      <c r="AL127" s="21">
        <f ca="1">IF(CALC2223!BD127&gt;0,INDIRECT(ADDRESS(MATCH(Agenda2526!C128,'CAL7'!A:A,0),3,4,1,"CAL7")),0)</f>
        <v>0</v>
      </c>
      <c r="AM127" s="20" t="str">
        <f ca="1">IF(CALC2223!BD127&gt;1,INDIRECT(ADDRESS(MATCH(Agenda2526!C128,'CAL7'!A:A,0)+1,2,4,1,"CAL7")),"")</f>
        <v/>
      </c>
      <c r="AN127" s="21">
        <f ca="1">IF(CALC2223!BD127&gt;1,INDIRECT(ADDRESS(MATCH(Agenda2526!C128,'CAL7'!A:A,0)+1,3,4,1,"CAL7")),0)</f>
        <v>0</v>
      </c>
      <c r="AO127" s="20" t="str">
        <f ca="1">IF(CALC2223!BD127&gt;2,INDIRECT(ADDRESS(MATCH(Agenda2526!C128,'CAL7'!A:A,0)+2,2,4,1,"CAL7")),"")</f>
        <v/>
      </c>
      <c r="AP127" s="21">
        <f ca="1">IF(CALC2223!BD127&gt;2,INDIRECT(ADDRESS(MATCH(Agenda2526!C128,'CAL7'!A:A,0)+2,3,4,1,"CAL7")),0)</f>
        <v>0</v>
      </c>
      <c r="AQ127" s="20" t="str">
        <f ca="1">IF(CALC2223!BE127&gt;0,INDIRECT(ADDRESS(MATCH(Agenda2526!C128,'CAL8'!A:A,0),2,4,1,"CAL8")),"")</f>
        <v/>
      </c>
      <c r="AR127" s="21">
        <f ca="1">IF(CALC2223!BE127&gt;0,INDIRECT(ADDRESS(MATCH(Agenda2526!C128,'CAL8'!A:A,0),3,4,1,"CAL8")),0)</f>
        <v>0</v>
      </c>
      <c r="AS127" s="20" t="str">
        <f ca="1">IF(CALC2223!BE127&gt;1,INDIRECT(ADDRESS(MATCH(Agenda2526!C128,'CAL8'!A:A,0)+1,2,4,1,"CAL8")),"")</f>
        <v/>
      </c>
      <c r="AT127" s="21">
        <f ca="1">IF(CALC2223!BE127&gt;1,INDIRECT(ADDRESS(MATCH(Agenda2526!C128,'CAL8'!A:A,0)+1,3,4,1,"CAL8")),0)</f>
        <v>0</v>
      </c>
      <c r="AU127" s="20" t="str">
        <f ca="1">IF(CALC2223!BE127&gt;2,INDIRECT(ADDRESS(MATCH(Agenda2526!C128,'CAL8'!A:A,0)+2,2,4,1,"CAL8")),"")</f>
        <v/>
      </c>
      <c r="AV127" s="21">
        <f ca="1">IF(CALC2223!BE127&gt;2,INDIRECT(ADDRESS(MATCH(Agenda2526!C128,'CAL8'!A:A,0)+2,3,4,1,"CAL8")),0)</f>
        <v>0</v>
      </c>
      <c r="AW127" s="106"/>
      <c r="AX127" s="20">
        <f>COUNTIF('CAL1'!A:A,Agenda2526!C128)</f>
        <v>0</v>
      </c>
      <c r="AY127" s="20">
        <f>COUNTIF('CAL2'!A:A,Agenda2526!C128)</f>
        <v>0</v>
      </c>
      <c r="AZ127" s="20">
        <f>COUNTIF('CAL3'!A:A,Agenda2526!C128)</f>
        <v>0</v>
      </c>
      <c r="BA127" s="20">
        <f>COUNTIF('CAL4'!A:A,Agenda2526!C128)</f>
        <v>0</v>
      </c>
      <c r="BB127" s="20">
        <f>COUNTIF('CAL5'!A:A,Agenda2526!C128)</f>
        <v>0</v>
      </c>
      <c r="BC127" s="20">
        <f>COUNTIF('CAL6'!A:A,Agenda2526!C128)</f>
        <v>0</v>
      </c>
      <c r="BD127" s="20">
        <f>COUNTIF('CAL7'!A:A,Agenda2526!C128)</f>
        <v>0</v>
      </c>
      <c r="BE127" s="20">
        <f>COUNTIF('CAL8'!A:A,Agenda2526!C128)</f>
        <v>0</v>
      </c>
    </row>
    <row r="128" spans="1:57" ht="15.75" customHeight="1">
      <c r="A128" s="20" t="str">
        <f ca="1">IF(CALC2223!AX128&gt;0,INDIRECT(ADDRESS(MATCH(Agenda2526!C129,'CAL1'!A:A,0),2,4,1,"CAL1")),"")</f>
        <v/>
      </c>
      <c r="B128" s="21">
        <f ca="1">IF(CALC2223!AX128&gt;0,INDIRECT(ADDRESS(MATCH(Agenda2526!C129,'CAL1'!A:A,0),3,4,1,"CAL1")),0)</f>
        <v>0</v>
      </c>
      <c r="C128" s="20" t="str">
        <f ca="1">IF(CALC2223!AX128&gt;1,INDIRECT(ADDRESS(MATCH(Agenda2526!C129,'CAL1'!A:A,0)+1,2,4,1,"CAL1")),"")</f>
        <v/>
      </c>
      <c r="D128" s="21">
        <f ca="1">IF(CALC2223!AX128&gt;1,INDIRECT(ADDRESS(MATCH(Agenda2526!C129,'CAL1'!A:A,0)+1,3,4,1,"CAL1")),0)</f>
        <v>0</v>
      </c>
      <c r="E128" s="20" t="str">
        <f ca="1">IF(CALC2223!AX128&gt;2,INDIRECT(ADDRESS(MATCH(Agenda2526!C129,'CAL1'!A:A,0)+2,2,4,1,"CAL1")),"")</f>
        <v/>
      </c>
      <c r="F128" s="21">
        <f ca="1">IF(CALC2223!AX128&gt;2,INDIRECT(ADDRESS(MATCH(Agenda2526!C129,'CAL1'!A:A,0)+2,3,4,1,"CAL1")),0)</f>
        <v>0</v>
      </c>
      <c r="G128" s="20" t="str">
        <f ca="1">IF(CALC2223!AY128&gt;0,INDIRECT(ADDRESS(MATCH(Agenda2526!C129,'CAL2'!A:A,0),2,4,1,"CAL2")),"")</f>
        <v/>
      </c>
      <c r="H128" s="21">
        <f ca="1">IF(CALC2223!AY128&gt;0,INDIRECT(ADDRESS(MATCH(Agenda2526!C129,'CAL2'!A:A,0),3,4,1,"CAL2")),0)</f>
        <v>0</v>
      </c>
      <c r="I128" s="20" t="str">
        <f ca="1">IF(CALC2223!AY128&gt;1,INDIRECT(ADDRESS(MATCH(Agenda2526!C129,'CAL2'!A:A,0)+1,2,4,1,"CAL2")),"")</f>
        <v/>
      </c>
      <c r="J128" s="21">
        <f ca="1">IF(CALC2223!AY128&gt;1,INDIRECT(ADDRESS(MATCH(Agenda2526!C129,'CAL2'!A:A,0)+1,3,4,1,"CAL2")),0)</f>
        <v>0</v>
      </c>
      <c r="K128" s="20" t="str">
        <f ca="1">IF(CALC2223!AY128&gt;2,INDIRECT(ADDRESS(MATCH(Agenda2526!C129,'CAL2'!A:A,0)+2,2,4,1,"CAL2")),"")</f>
        <v/>
      </c>
      <c r="L128" s="21">
        <f ca="1">IF(CALC2223!AY128&gt;2,INDIRECT(ADDRESS(MATCH(Agenda2526!C129,'CAL2'!A:A,0)+2,3,4,1,"CAL2")),0)</f>
        <v>0</v>
      </c>
      <c r="M128" s="20" t="str">
        <f ca="1">IF(CALC2223!AZ128&gt;0,INDIRECT(ADDRESS(MATCH(Agenda2526!C129,'CAL3'!A:A,0),2,4,1,"CAL3")),"")</f>
        <v/>
      </c>
      <c r="N128" s="21">
        <f ca="1">IF(CALC2223!AZ128&gt;0,INDIRECT(ADDRESS(MATCH(Agenda2526!C129,'CAL3'!A:A,0),3,4,1,"CAL3")),0)</f>
        <v>0</v>
      </c>
      <c r="O128" s="20" t="str">
        <f ca="1">IF(CALC2223!AZ128&gt;1,INDIRECT(ADDRESS(MATCH(Agenda2526!C129,'CAL3'!A:A,0)+1,2,4,1,"CAL3")),"")</f>
        <v/>
      </c>
      <c r="P128" s="21">
        <f ca="1">IF(CALC2223!AZ128&gt;1,INDIRECT(ADDRESS(MATCH(Agenda2526!C129,'CAL3'!A:A,0)+1,3,4,1,"CAL3")),0)</f>
        <v>0</v>
      </c>
      <c r="Q128" s="20" t="str">
        <f ca="1">IF(CALC2223!AZ128&gt;2,INDIRECT(ADDRESS(MATCH(Agenda2526!C129,'CAL3'!A:A,0)+2,2,4,1,"CAL3")),"")</f>
        <v/>
      </c>
      <c r="R128" s="21">
        <f ca="1">IF(CALC2223!AZ128&gt;2,INDIRECT(ADDRESS(MATCH(Agenda2526!C129,'CAL3'!A:A,0)+2,3,4,1,"CAL3")),0)</f>
        <v>0</v>
      </c>
      <c r="S128" s="20" t="str">
        <f ca="1">IF(CALC2223!BA128&gt;0,INDIRECT(ADDRESS(MATCH(Agenda2526!C129,'CAL4'!A:A,0),2,4,1,"CAL4")),"")</f>
        <v/>
      </c>
      <c r="T128" s="21">
        <f ca="1">IF(CALC2223!BA128&gt;0,INDIRECT(ADDRESS(MATCH(Agenda2526!C129,'CAL4'!A:A,0),3,4,1,"CAL4")),0)</f>
        <v>0</v>
      </c>
      <c r="U128" s="20" t="str">
        <f ca="1">IF(CALC2223!BA128&gt;1,INDIRECT(ADDRESS(MATCH(Agenda2526!C129,'CAL4'!A:A,0)+1,2,4,1,"CAL4")),"")</f>
        <v/>
      </c>
      <c r="V128" s="21">
        <f ca="1">IF(CALC2223!BA128&gt;1,INDIRECT(ADDRESS(MATCH(Agenda2526!C129,'CAL4'!A:A,0)+1,3,4,1,"CAL4")),0)</f>
        <v>0</v>
      </c>
      <c r="W128" s="20" t="str">
        <f ca="1">IF(CALC2223!BA128&gt;2,INDIRECT(ADDRESS(MATCH(Agenda2526!C129,'CAL4'!A:A,0)+2,2,4,1,"CAL4")),"")</f>
        <v/>
      </c>
      <c r="X128" s="21">
        <f ca="1">IF(CALC2223!BA128&gt;2,INDIRECT(ADDRESS(MATCH(Agenda2526!C129,'CAL4'!A:A,0)+2,3,4,1,"CAL4")),0)</f>
        <v>0</v>
      </c>
      <c r="Y128" s="20" t="str">
        <f ca="1">IF(CALC2223!BB128&gt;0,INDIRECT(ADDRESS(MATCH(Agenda2526!C129,'CAL5'!A:A,0),2,4,1,"CAL5")),"")</f>
        <v/>
      </c>
      <c r="Z128" s="21">
        <f ca="1">IF(CALC2223!BB128&gt;0,INDIRECT(ADDRESS(MATCH(Agenda2526!C129,'CAL5'!A:A,0),3,4,1,"CAL5")),0)</f>
        <v>0</v>
      </c>
      <c r="AA128" s="20" t="str">
        <f ca="1">IF(CALC2223!BB128&gt;1,INDIRECT(ADDRESS(MATCH(Agenda2526!C129,'CAL5'!A:A,0)+1,2,4,1,"CAL5")),"")</f>
        <v/>
      </c>
      <c r="AB128" s="21">
        <f ca="1">IF(CALC2223!BB128&gt;1,INDIRECT(ADDRESS(MATCH(Agenda2526!C129,'CAL5'!A:A,0)+1,3,4,1,"CAL5")),0)</f>
        <v>0</v>
      </c>
      <c r="AC128" s="20" t="str">
        <f ca="1">IF(CALC2223!BB128&gt;2,INDIRECT(ADDRESS(MATCH(Agenda2526!C129,'CAL5'!A:A,0)+2,2,4,1,"CAL5")),"")</f>
        <v/>
      </c>
      <c r="AD128" s="21">
        <f ca="1">IF(CALC2223!BB128&gt;2,INDIRECT(ADDRESS(MATCH(Agenda2526!C129,'CAL5'!A:A,0)+2,3,4,1,"CAL5")),0)</f>
        <v>0</v>
      </c>
      <c r="AE128" s="20" t="str">
        <f ca="1">IF(CALC2223!BC128&gt;0,INDIRECT(ADDRESS(MATCH(Agenda2526!C129,'CAL6'!A:A,0),2,4,1,"CAL6")),"")</f>
        <v/>
      </c>
      <c r="AF128" s="21">
        <f ca="1">IF(CALC2223!BC128&gt;0,INDIRECT(ADDRESS(MATCH(Agenda2526!C129,'CAL6'!A:A,0),3,4,1,"CAL6")),0)</f>
        <v>0</v>
      </c>
      <c r="AG128" s="20" t="str">
        <f ca="1">IF(CALC2223!BC128&gt;1,INDIRECT(ADDRESS(MATCH(Agenda2526!C129,'CAL6'!A:A,0)+1,2,4,1,"CAL6")),"")</f>
        <v/>
      </c>
      <c r="AH128" s="21">
        <f ca="1">IF(CALC2223!BC128&gt;1,INDIRECT(ADDRESS(MATCH(Agenda2526!C129,'CAL6'!A:A,0)+1,3,4,1,"CAL6")),0)</f>
        <v>0</v>
      </c>
      <c r="AI128" s="20" t="str">
        <f ca="1">IF(CALC2223!BC128&gt;2,INDIRECT(ADDRESS(MATCH(Agenda2526!C129,'CAL6'!A:A,0)+2,2,4,1,"CAL6")),"")</f>
        <v/>
      </c>
      <c r="AJ128" s="21">
        <f ca="1">IF(CALC2223!BC128&gt;2,INDIRECT(ADDRESS(MATCH(Agenda2526!C129,'CAL6'!A:A,0)+2,3,4,1,"CAL6")),0)</f>
        <v>0</v>
      </c>
      <c r="AK128" s="20" t="str">
        <f ca="1">IF(CALC2223!BD128&gt;0,INDIRECT(ADDRESS(MATCH(Agenda2526!C129,'CAL7'!A:A,0),2,4,1,"CAL7")),"")</f>
        <v/>
      </c>
      <c r="AL128" s="21">
        <f ca="1">IF(CALC2223!BD128&gt;0,INDIRECT(ADDRESS(MATCH(Agenda2526!C129,'CAL7'!A:A,0),3,4,1,"CAL7")),0)</f>
        <v>0</v>
      </c>
      <c r="AM128" s="20" t="str">
        <f ca="1">IF(CALC2223!BD128&gt;1,INDIRECT(ADDRESS(MATCH(Agenda2526!C129,'CAL7'!A:A,0)+1,2,4,1,"CAL7")),"")</f>
        <v/>
      </c>
      <c r="AN128" s="21">
        <f ca="1">IF(CALC2223!BD128&gt;1,INDIRECT(ADDRESS(MATCH(Agenda2526!C129,'CAL7'!A:A,0)+1,3,4,1,"CAL7")),0)</f>
        <v>0</v>
      </c>
      <c r="AO128" s="20" t="str">
        <f ca="1">IF(CALC2223!BD128&gt;2,INDIRECT(ADDRESS(MATCH(Agenda2526!C129,'CAL7'!A:A,0)+2,2,4,1,"CAL7")),"")</f>
        <v/>
      </c>
      <c r="AP128" s="21">
        <f ca="1">IF(CALC2223!BD128&gt;2,INDIRECT(ADDRESS(MATCH(Agenda2526!C129,'CAL7'!A:A,0)+2,3,4,1,"CAL7")),0)</f>
        <v>0</v>
      </c>
      <c r="AQ128" s="20" t="str">
        <f ca="1">IF(CALC2223!BE128&gt;0,INDIRECT(ADDRESS(MATCH(Agenda2526!C129,'CAL8'!A:A,0),2,4,1,"CAL8")),"")</f>
        <v/>
      </c>
      <c r="AR128" s="21">
        <f ca="1">IF(CALC2223!BE128&gt;0,INDIRECT(ADDRESS(MATCH(Agenda2526!C129,'CAL8'!A:A,0),3,4,1,"CAL8")),0)</f>
        <v>0</v>
      </c>
      <c r="AS128" s="20" t="str">
        <f ca="1">IF(CALC2223!BE128&gt;1,INDIRECT(ADDRESS(MATCH(Agenda2526!C129,'CAL8'!A:A,0)+1,2,4,1,"CAL8")),"")</f>
        <v/>
      </c>
      <c r="AT128" s="21">
        <f ca="1">IF(CALC2223!BE128&gt;1,INDIRECT(ADDRESS(MATCH(Agenda2526!C129,'CAL8'!A:A,0)+1,3,4,1,"CAL8")),0)</f>
        <v>0</v>
      </c>
      <c r="AU128" s="20" t="str">
        <f ca="1">IF(CALC2223!BE128&gt;2,INDIRECT(ADDRESS(MATCH(Agenda2526!C129,'CAL8'!A:A,0)+2,2,4,1,"CAL8")),"")</f>
        <v/>
      </c>
      <c r="AV128" s="21">
        <f ca="1">IF(CALC2223!BE128&gt;2,INDIRECT(ADDRESS(MATCH(Agenda2526!C129,'CAL8'!A:A,0)+2,3,4,1,"CAL8")),0)</f>
        <v>0</v>
      </c>
      <c r="AW128" s="105"/>
      <c r="AX128" s="20">
        <f>COUNTIF('CAL1'!A:A,Agenda2526!C129)</f>
        <v>0</v>
      </c>
      <c r="AY128" s="20">
        <f>COUNTIF('CAL2'!A:A,Agenda2526!C129)</f>
        <v>0</v>
      </c>
      <c r="AZ128" s="20">
        <f>COUNTIF('CAL3'!A:A,Agenda2526!C129)</f>
        <v>0</v>
      </c>
      <c r="BA128" s="20">
        <f>COUNTIF('CAL4'!A:A,Agenda2526!C129)</f>
        <v>0</v>
      </c>
      <c r="BB128" s="20">
        <f>COUNTIF('CAL5'!A:A,Agenda2526!C129)</f>
        <v>0</v>
      </c>
      <c r="BC128" s="20">
        <f>COUNTIF('CAL6'!A:A,Agenda2526!C129)</f>
        <v>0</v>
      </c>
      <c r="BD128" s="20">
        <f>COUNTIF('CAL7'!A:A,Agenda2526!C129)</f>
        <v>0</v>
      </c>
      <c r="BE128" s="20">
        <f>COUNTIF('CAL8'!A:A,Agenda2526!C129)</f>
        <v>0</v>
      </c>
    </row>
    <row r="129" spans="1:57" ht="15.75" customHeight="1">
      <c r="A129" s="20" t="str">
        <f ca="1">IF(CALC2223!AX129&gt;0,INDIRECT(ADDRESS(MATCH(Agenda2526!C130,'CAL1'!A:A,0),2,4,1,"CAL1")),"")</f>
        <v/>
      </c>
      <c r="B129" s="21">
        <f ca="1">IF(CALC2223!AX129&gt;0,INDIRECT(ADDRESS(MATCH(Agenda2526!C130,'CAL1'!A:A,0),3,4,1,"CAL1")),0)</f>
        <v>0</v>
      </c>
      <c r="C129" s="20" t="str">
        <f ca="1">IF(CALC2223!AX129&gt;1,INDIRECT(ADDRESS(MATCH(Agenda2526!C130,'CAL1'!A:A,0)+1,2,4,1,"CAL1")),"")</f>
        <v/>
      </c>
      <c r="D129" s="21">
        <f ca="1">IF(CALC2223!AX129&gt;1,INDIRECT(ADDRESS(MATCH(Agenda2526!C130,'CAL1'!A:A,0)+1,3,4,1,"CAL1")),0)</f>
        <v>0</v>
      </c>
      <c r="E129" s="20" t="str">
        <f ca="1">IF(CALC2223!AX129&gt;2,INDIRECT(ADDRESS(MATCH(Agenda2526!C130,'CAL1'!A:A,0)+2,2,4,1,"CAL1")),"")</f>
        <v/>
      </c>
      <c r="F129" s="21">
        <f ca="1">IF(CALC2223!AX129&gt;2,INDIRECT(ADDRESS(MATCH(Agenda2526!C130,'CAL1'!A:A,0)+2,3,4,1,"CAL1")),0)</f>
        <v>0</v>
      </c>
      <c r="G129" s="20" t="str">
        <f ca="1">IF(CALC2223!AY129&gt;0,INDIRECT(ADDRESS(MATCH(Agenda2526!C130,'CAL2'!A:A,0),2,4,1,"CAL2")),"")</f>
        <v/>
      </c>
      <c r="H129" s="21">
        <f ca="1">IF(CALC2223!AY129&gt;0,INDIRECT(ADDRESS(MATCH(Agenda2526!C130,'CAL2'!A:A,0),3,4,1,"CAL2")),0)</f>
        <v>0</v>
      </c>
      <c r="I129" s="20" t="str">
        <f ca="1">IF(CALC2223!AY129&gt;1,INDIRECT(ADDRESS(MATCH(Agenda2526!C130,'CAL2'!A:A,0)+1,2,4,1,"CAL2")),"")</f>
        <v/>
      </c>
      <c r="J129" s="21">
        <f ca="1">IF(CALC2223!AY129&gt;1,INDIRECT(ADDRESS(MATCH(Agenda2526!C130,'CAL2'!A:A,0)+1,3,4,1,"CAL2")),0)</f>
        <v>0</v>
      </c>
      <c r="K129" s="20" t="str">
        <f ca="1">IF(CALC2223!AY129&gt;2,INDIRECT(ADDRESS(MATCH(Agenda2526!C130,'CAL2'!A:A,0)+2,2,4,1,"CAL2")),"")</f>
        <v/>
      </c>
      <c r="L129" s="21">
        <f ca="1">IF(CALC2223!AY129&gt;2,INDIRECT(ADDRESS(MATCH(Agenda2526!C130,'CAL2'!A:A,0)+2,3,4,1,"CAL2")),0)</f>
        <v>0</v>
      </c>
      <c r="M129" s="20" t="str">
        <f ca="1">IF(CALC2223!AZ129&gt;0,INDIRECT(ADDRESS(MATCH(Agenda2526!C130,'CAL3'!A:A,0),2,4,1,"CAL3")),"")</f>
        <v/>
      </c>
      <c r="N129" s="21">
        <f ca="1">IF(CALC2223!AZ129&gt;0,INDIRECT(ADDRESS(MATCH(Agenda2526!C130,'CAL3'!A:A,0),3,4,1,"CAL3")),0)</f>
        <v>0</v>
      </c>
      <c r="O129" s="20" t="str">
        <f ca="1">IF(CALC2223!AZ129&gt;1,INDIRECT(ADDRESS(MATCH(Agenda2526!C130,'CAL3'!A:A,0)+1,2,4,1,"CAL3")),"")</f>
        <v/>
      </c>
      <c r="P129" s="21">
        <f ca="1">IF(CALC2223!AZ129&gt;1,INDIRECT(ADDRESS(MATCH(Agenda2526!C130,'CAL3'!A:A,0)+1,3,4,1,"CAL3")),0)</f>
        <v>0</v>
      </c>
      <c r="Q129" s="20" t="str">
        <f ca="1">IF(CALC2223!AZ129&gt;2,INDIRECT(ADDRESS(MATCH(Agenda2526!C130,'CAL3'!A:A,0)+2,2,4,1,"CAL3")),"")</f>
        <v/>
      </c>
      <c r="R129" s="21">
        <f ca="1">IF(CALC2223!AZ129&gt;2,INDIRECT(ADDRESS(MATCH(Agenda2526!C130,'CAL3'!A:A,0)+2,3,4,1,"CAL3")),0)</f>
        <v>0</v>
      </c>
      <c r="S129" s="20" t="str">
        <f ca="1">IF(CALC2223!BA129&gt;0,INDIRECT(ADDRESS(MATCH(Agenda2526!C130,'CAL4'!A:A,0),2,4,1,"CAL4")),"")</f>
        <v/>
      </c>
      <c r="T129" s="21">
        <f ca="1">IF(CALC2223!BA129&gt;0,INDIRECT(ADDRESS(MATCH(Agenda2526!C130,'CAL4'!A:A,0),3,4,1,"CAL4")),0)</f>
        <v>0</v>
      </c>
      <c r="U129" s="20" t="str">
        <f ca="1">IF(CALC2223!BA129&gt;1,INDIRECT(ADDRESS(MATCH(Agenda2526!C130,'CAL4'!A:A,0)+1,2,4,1,"CAL4")),"")</f>
        <v/>
      </c>
      <c r="V129" s="21">
        <f ca="1">IF(CALC2223!BA129&gt;1,INDIRECT(ADDRESS(MATCH(Agenda2526!C130,'CAL4'!A:A,0)+1,3,4,1,"CAL4")),0)</f>
        <v>0</v>
      </c>
      <c r="W129" s="20" t="str">
        <f ca="1">IF(CALC2223!BA129&gt;2,INDIRECT(ADDRESS(MATCH(Agenda2526!C130,'CAL4'!A:A,0)+2,2,4,1,"CAL4")),"")</f>
        <v/>
      </c>
      <c r="X129" s="21">
        <f ca="1">IF(CALC2223!BA129&gt;2,INDIRECT(ADDRESS(MATCH(Agenda2526!C130,'CAL4'!A:A,0)+2,3,4,1,"CAL4")),0)</f>
        <v>0</v>
      </c>
      <c r="Y129" s="20" t="str">
        <f ca="1">IF(CALC2223!BB129&gt;0,INDIRECT(ADDRESS(MATCH(Agenda2526!C130,'CAL5'!A:A,0),2,4,1,"CAL5")),"")</f>
        <v/>
      </c>
      <c r="Z129" s="21">
        <f ca="1">IF(CALC2223!BB129&gt;0,INDIRECT(ADDRESS(MATCH(Agenda2526!C130,'CAL5'!A:A,0),3,4,1,"CAL5")),0)</f>
        <v>0</v>
      </c>
      <c r="AA129" s="20" t="str">
        <f ca="1">IF(CALC2223!BB129&gt;1,INDIRECT(ADDRESS(MATCH(Agenda2526!C130,'CAL5'!A:A,0)+1,2,4,1,"CAL5")),"")</f>
        <v/>
      </c>
      <c r="AB129" s="21">
        <f ca="1">IF(CALC2223!BB129&gt;1,INDIRECT(ADDRESS(MATCH(Agenda2526!C130,'CAL5'!A:A,0)+1,3,4,1,"CAL5")),0)</f>
        <v>0</v>
      </c>
      <c r="AC129" s="20" t="str">
        <f ca="1">IF(CALC2223!BB129&gt;2,INDIRECT(ADDRESS(MATCH(Agenda2526!C130,'CAL5'!A:A,0)+2,2,4,1,"CAL5")),"")</f>
        <v/>
      </c>
      <c r="AD129" s="21">
        <f ca="1">IF(CALC2223!BB129&gt;2,INDIRECT(ADDRESS(MATCH(Agenda2526!C130,'CAL5'!A:A,0)+2,3,4,1,"CAL5")),0)</f>
        <v>0</v>
      </c>
      <c r="AE129" s="20" t="str">
        <f ca="1">IF(CALC2223!BC129&gt;0,INDIRECT(ADDRESS(MATCH(Agenda2526!C130,'CAL6'!A:A,0),2,4,1,"CAL6")),"")</f>
        <v>inhalen SE</v>
      </c>
      <c r="AF129" s="21">
        <f ca="1">IF(CALC2223!BC129&gt;0,INDIRECT(ADDRESS(MATCH(Agenda2526!C130,'CAL6'!A:A,0),3,4,1,"CAL6")),0)</f>
        <v>45896</v>
      </c>
      <c r="AG129" s="20" t="str">
        <f ca="1">IF(CALC2223!BC129&gt;1,INDIRECT(ADDRESS(MATCH(Agenda2526!C130,'CAL6'!A:A,0)+1,2,4,1,"CAL6")),"")</f>
        <v/>
      </c>
      <c r="AH129" s="21">
        <f ca="1">IF(CALC2223!BC129&gt;1,INDIRECT(ADDRESS(MATCH(Agenda2526!C130,'CAL6'!A:A,0)+1,3,4,1,"CAL6")),0)</f>
        <v>0</v>
      </c>
      <c r="AI129" s="20" t="str">
        <f ca="1">IF(CALC2223!BC129&gt;2,INDIRECT(ADDRESS(MATCH(Agenda2526!C130,'CAL6'!A:A,0)+2,2,4,1,"CAL6")),"")</f>
        <v/>
      </c>
      <c r="AJ129" s="21">
        <f ca="1">IF(CALC2223!BC129&gt;2,INDIRECT(ADDRESS(MATCH(Agenda2526!C130,'CAL6'!A:A,0)+2,3,4,1,"CAL6")),0)</f>
        <v>0</v>
      </c>
      <c r="AK129" s="20" t="str">
        <f ca="1">IF(CALC2223!BD129&gt;0,INDIRECT(ADDRESS(MATCH(Agenda2526!C130,'CAL7'!A:A,0),2,4,1,"CAL7")),"")</f>
        <v/>
      </c>
      <c r="AL129" s="21">
        <f ca="1">IF(CALC2223!BD129&gt;0,INDIRECT(ADDRESS(MATCH(Agenda2526!C130,'CAL7'!A:A,0),3,4,1,"CAL7")),0)</f>
        <v>0</v>
      </c>
      <c r="AM129" s="20" t="str">
        <f ca="1">IF(CALC2223!BD129&gt;1,INDIRECT(ADDRESS(MATCH(Agenda2526!C130,'CAL7'!A:A,0)+1,2,4,1,"CAL7")),"")</f>
        <v/>
      </c>
      <c r="AN129" s="21">
        <f ca="1">IF(CALC2223!BD129&gt;1,INDIRECT(ADDRESS(MATCH(Agenda2526!C130,'CAL7'!A:A,0)+1,3,4,1,"CAL7")),0)</f>
        <v>0</v>
      </c>
      <c r="AO129" s="20" t="str">
        <f ca="1">IF(CALC2223!BD129&gt;2,INDIRECT(ADDRESS(MATCH(Agenda2526!C130,'CAL7'!A:A,0)+2,2,4,1,"CAL7")),"")</f>
        <v/>
      </c>
      <c r="AP129" s="21">
        <f ca="1">IF(CALC2223!BD129&gt;2,INDIRECT(ADDRESS(MATCH(Agenda2526!C130,'CAL7'!A:A,0)+2,3,4,1,"CAL7")),0)</f>
        <v>0</v>
      </c>
      <c r="AQ129" s="20" t="str">
        <f ca="1">IF(CALC2223!BE129&gt;0,INDIRECT(ADDRESS(MATCH(Agenda2526!C130,'CAL8'!A:A,0),2,4,1,"CAL8")),"")</f>
        <v/>
      </c>
      <c r="AR129" s="21">
        <f ca="1">IF(CALC2223!BE129&gt;0,INDIRECT(ADDRESS(MATCH(Agenda2526!C130,'CAL8'!A:A,0),3,4,1,"CAL8")),0)</f>
        <v>0</v>
      </c>
      <c r="AS129" s="20" t="str">
        <f ca="1">IF(CALC2223!BE129&gt;1,INDIRECT(ADDRESS(MATCH(Agenda2526!C130,'CAL8'!A:A,0)+1,2,4,1,"CAL8")),"")</f>
        <v/>
      </c>
      <c r="AT129" s="21">
        <f ca="1">IF(CALC2223!BE129&gt;1,INDIRECT(ADDRESS(MATCH(Agenda2526!C130,'CAL8'!A:A,0)+1,3,4,1,"CAL8")),0)</f>
        <v>0</v>
      </c>
      <c r="AU129" s="20" t="str">
        <f ca="1">IF(CALC2223!BE129&gt;2,INDIRECT(ADDRESS(MATCH(Agenda2526!C130,'CAL8'!A:A,0)+2,2,4,1,"CAL8")),"")</f>
        <v/>
      </c>
      <c r="AV129" s="21">
        <f ca="1">IF(CALC2223!BE129&gt;2,INDIRECT(ADDRESS(MATCH(Agenda2526!C130,'CAL8'!A:A,0)+2,3,4,1,"CAL8")),0)</f>
        <v>0</v>
      </c>
      <c r="AW129" s="105"/>
      <c r="AX129" s="20">
        <f>COUNTIF('CAL1'!A:A,Agenda2526!C130)</f>
        <v>0</v>
      </c>
      <c r="AY129" s="20">
        <f>COUNTIF('CAL2'!A:A,Agenda2526!C130)</f>
        <v>0</v>
      </c>
      <c r="AZ129" s="20">
        <f>COUNTIF('CAL3'!A:A,Agenda2526!C130)</f>
        <v>0</v>
      </c>
      <c r="BA129" s="20">
        <f>COUNTIF('CAL4'!A:A,Agenda2526!C130)</f>
        <v>0</v>
      </c>
      <c r="BB129" s="20">
        <f>COUNTIF('CAL5'!A:A,Agenda2526!C130)</f>
        <v>0</v>
      </c>
      <c r="BC129" s="20">
        <f>COUNTIF('CAL6'!A:A,Agenda2526!C130)</f>
        <v>1</v>
      </c>
      <c r="BD129" s="20">
        <f>COUNTIF('CAL7'!A:A,Agenda2526!C130)</f>
        <v>0</v>
      </c>
      <c r="BE129" s="20">
        <f>COUNTIF('CAL8'!A:A,Agenda2526!C130)</f>
        <v>0</v>
      </c>
    </row>
    <row r="130" spans="1:57" ht="15.75" customHeight="1">
      <c r="A130" s="20" t="str">
        <f ca="1">IF(CALC2223!AX130&gt;0,INDIRECT(ADDRESS(MATCH(Agenda2526!C131,'CAL1'!A:A,0),2,4,1,"CAL1")),"")</f>
        <v/>
      </c>
      <c r="B130" s="21">
        <f ca="1">IF(CALC2223!AX130&gt;0,INDIRECT(ADDRESS(MATCH(Agenda2526!C131,'CAL1'!A:A,0),3,4,1,"CAL1")),0)</f>
        <v>0</v>
      </c>
      <c r="C130" s="20" t="str">
        <f ca="1">IF(CALC2223!AX130&gt;1,INDIRECT(ADDRESS(MATCH(Agenda2526!C131,'CAL1'!A:A,0)+1,2,4,1,"CAL1")),"")</f>
        <v/>
      </c>
      <c r="D130" s="21">
        <f ca="1">IF(CALC2223!AX130&gt;1,INDIRECT(ADDRESS(MATCH(Agenda2526!C131,'CAL1'!A:A,0)+1,3,4,1,"CAL1")),0)</f>
        <v>0</v>
      </c>
      <c r="E130" s="20" t="str">
        <f ca="1">IF(CALC2223!AX130&gt;2,INDIRECT(ADDRESS(MATCH(Agenda2526!C131,'CAL1'!A:A,0)+2,2,4,1,"CAL1")),"")</f>
        <v/>
      </c>
      <c r="F130" s="21">
        <f ca="1">IF(CALC2223!AX130&gt;2,INDIRECT(ADDRESS(MATCH(Agenda2526!C131,'CAL1'!A:A,0)+2,3,4,1,"CAL1")),0)</f>
        <v>0</v>
      </c>
      <c r="G130" s="20" t="str">
        <f ca="1">IF(CALC2223!AY130&gt;0,INDIRECT(ADDRESS(MATCH(Agenda2526!C131,'CAL2'!A:A,0),2,4,1,"CAL2")),"")</f>
        <v/>
      </c>
      <c r="H130" s="21">
        <f ca="1">IF(CALC2223!AY130&gt;0,INDIRECT(ADDRESS(MATCH(Agenda2526!C131,'CAL2'!A:A,0),3,4,1,"CAL2")),0)</f>
        <v>0</v>
      </c>
      <c r="I130" s="20" t="str">
        <f ca="1">IF(CALC2223!AY130&gt;1,INDIRECT(ADDRESS(MATCH(Agenda2526!C131,'CAL2'!A:A,0)+1,2,4,1,"CAL2")),"")</f>
        <v/>
      </c>
      <c r="J130" s="21">
        <f ca="1">IF(CALC2223!AY130&gt;1,INDIRECT(ADDRESS(MATCH(Agenda2526!C131,'CAL2'!A:A,0)+1,3,4,1,"CAL2")),0)</f>
        <v>0</v>
      </c>
      <c r="K130" s="20" t="str">
        <f ca="1">IF(CALC2223!AY130&gt;2,INDIRECT(ADDRESS(MATCH(Agenda2526!C131,'CAL2'!A:A,0)+2,2,4,1,"CAL2")),"")</f>
        <v/>
      </c>
      <c r="L130" s="21">
        <f ca="1">IF(CALC2223!AY130&gt;2,INDIRECT(ADDRESS(MATCH(Agenda2526!C131,'CAL2'!A:A,0)+2,3,4,1,"CAL2")),0)</f>
        <v>0</v>
      </c>
      <c r="M130" s="20" t="str">
        <f ca="1">IF(CALC2223!AZ130&gt;0,INDIRECT(ADDRESS(MATCH(Agenda2526!C131,'CAL3'!A:A,0),2,4,1,"CAL3")),"")</f>
        <v/>
      </c>
      <c r="N130" s="21">
        <f ca="1">IF(CALC2223!AZ130&gt;0,INDIRECT(ADDRESS(MATCH(Agenda2526!C131,'CAL3'!A:A,0),3,4,1,"CAL3")),0)</f>
        <v>0</v>
      </c>
      <c r="O130" s="20" t="str">
        <f ca="1">IF(CALC2223!AZ130&gt;1,INDIRECT(ADDRESS(MATCH(Agenda2526!C131,'CAL3'!A:A,0)+1,2,4,1,"CAL3")),"")</f>
        <v/>
      </c>
      <c r="P130" s="21">
        <f ca="1">IF(CALC2223!AZ130&gt;1,INDIRECT(ADDRESS(MATCH(Agenda2526!C131,'CAL3'!A:A,0)+1,3,4,1,"CAL3")),0)</f>
        <v>0</v>
      </c>
      <c r="Q130" s="20" t="str">
        <f ca="1">IF(CALC2223!AZ130&gt;2,INDIRECT(ADDRESS(MATCH(Agenda2526!C131,'CAL3'!A:A,0)+2,2,4,1,"CAL3")),"")</f>
        <v/>
      </c>
      <c r="R130" s="21">
        <f ca="1">IF(CALC2223!AZ130&gt;2,INDIRECT(ADDRESS(MATCH(Agenda2526!C131,'CAL3'!A:A,0)+2,3,4,1,"CAL3")),0)</f>
        <v>0</v>
      </c>
      <c r="S130" s="20" t="str">
        <f ca="1">IF(CALC2223!BA130&gt;0,INDIRECT(ADDRESS(MATCH(Agenda2526!C131,'CAL4'!A:A,0),2,4,1,"CAL4")),"")</f>
        <v>inh rep EC</v>
      </c>
      <c r="T130" s="21">
        <f ca="1">IF(CALC2223!BA130&gt;0,INDIRECT(ADDRESS(MATCH(Agenda2526!C131,'CAL4'!A:A,0),3,4,1,"CAL4")),0)</f>
        <v>45936</v>
      </c>
      <c r="U130" s="20" t="str">
        <f ca="1">IF(CALC2223!BA130&gt;1,INDIRECT(ADDRESS(MATCH(Agenda2526!C131,'CAL4'!A:A,0)+1,2,4,1,"CAL4")),"")</f>
        <v/>
      </c>
      <c r="V130" s="21">
        <f ca="1">IF(CALC2223!BA130&gt;1,INDIRECT(ADDRESS(MATCH(Agenda2526!C131,'CAL4'!A:A,0)+1,3,4,1,"CAL4")),0)</f>
        <v>0</v>
      </c>
      <c r="W130" s="20" t="str">
        <f ca="1">IF(CALC2223!BA130&gt;2,INDIRECT(ADDRESS(MATCH(Agenda2526!C131,'CAL4'!A:A,0)+2,2,4,1,"CAL4")),"")</f>
        <v/>
      </c>
      <c r="X130" s="21">
        <f ca="1">IF(CALC2223!BA130&gt;2,INDIRECT(ADDRESS(MATCH(Agenda2526!C131,'CAL4'!A:A,0)+2,3,4,1,"CAL4")),0)</f>
        <v>0</v>
      </c>
      <c r="Y130" s="20" t="str">
        <f ca="1">IF(CALC2223!BB130&gt;0,INDIRECT(ADDRESS(MATCH(Agenda2526!C131,'CAL5'!A:A,0),2,4,1,"CAL5")),"")</f>
        <v/>
      </c>
      <c r="Z130" s="21">
        <f ca="1">IF(CALC2223!BB130&gt;0,INDIRECT(ADDRESS(MATCH(Agenda2526!C131,'CAL5'!A:A,0),3,4,1,"CAL5")),0)</f>
        <v>0</v>
      </c>
      <c r="AA130" s="20" t="str">
        <f ca="1">IF(CALC2223!BB130&gt;1,INDIRECT(ADDRESS(MATCH(Agenda2526!C131,'CAL5'!A:A,0)+1,2,4,1,"CAL5")),"")</f>
        <v/>
      </c>
      <c r="AB130" s="21">
        <f ca="1">IF(CALC2223!BB130&gt;1,INDIRECT(ADDRESS(MATCH(Agenda2526!C131,'CAL5'!A:A,0)+1,3,4,1,"CAL5")),0)</f>
        <v>0</v>
      </c>
      <c r="AC130" s="20" t="str">
        <f ca="1">IF(CALC2223!BB130&gt;2,INDIRECT(ADDRESS(MATCH(Agenda2526!C131,'CAL5'!A:A,0)+2,2,4,1,"CAL5")),"")</f>
        <v/>
      </c>
      <c r="AD130" s="21">
        <f ca="1">IF(CALC2223!BB130&gt;2,INDIRECT(ADDRESS(MATCH(Agenda2526!C131,'CAL5'!A:A,0)+2,3,4,1,"CAL5")),0)</f>
        <v>0</v>
      </c>
      <c r="AE130" s="20" t="str">
        <f ca="1">IF(CALC2223!BC130&gt;0,INDIRECT(ADDRESS(MATCH(Agenda2526!C131,'CAL6'!A:A,0),2,4,1,"CAL6")),"")</f>
        <v/>
      </c>
      <c r="AF130" s="21">
        <f ca="1">IF(CALC2223!BC130&gt;0,INDIRECT(ADDRESS(MATCH(Agenda2526!C131,'CAL6'!A:A,0),3,4,1,"CAL6")),0)</f>
        <v>0</v>
      </c>
      <c r="AG130" s="20" t="str">
        <f ca="1">IF(CALC2223!BC130&gt;1,INDIRECT(ADDRESS(MATCH(Agenda2526!C131,'CAL6'!A:A,0)+1,2,4,1,"CAL6")),"")</f>
        <v/>
      </c>
      <c r="AH130" s="21">
        <f ca="1">IF(CALC2223!BC130&gt;1,INDIRECT(ADDRESS(MATCH(Agenda2526!C131,'CAL6'!A:A,0)+1,3,4,1,"CAL6")),0)</f>
        <v>0</v>
      </c>
      <c r="AI130" s="20" t="str">
        <f ca="1">IF(CALC2223!BC130&gt;2,INDIRECT(ADDRESS(MATCH(Agenda2526!C131,'CAL6'!A:A,0)+2,2,4,1,"CAL6")),"")</f>
        <v/>
      </c>
      <c r="AJ130" s="21">
        <f ca="1">IF(CALC2223!BC130&gt;2,INDIRECT(ADDRESS(MATCH(Agenda2526!C131,'CAL6'!A:A,0)+2,3,4,1,"CAL6")),0)</f>
        <v>0</v>
      </c>
      <c r="AK130" s="20" t="str">
        <f ca="1">IF(CALC2223!BD130&gt;0,INDIRECT(ADDRESS(MATCH(Agenda2526!C131,'CAL7'!A:A,0),2,4,1,"CAL7")),"")</f>
        <v/>
      </c>
      <c r="AL130" s="21">
        <f ca="1">IF(CALC2223!BD130&gt;0,INDIRECT(ADDRESS(MATCH(Agenda2526!C131,'CAL7'!A:A,0),3,4,1,"CAL7")),0)</f>
        <v>0</v>
      </c>
      <c r="AM130" s="20" t="str">
        <f ca="1">IF(CALC2223!BD130&gt;1,INDIRECT(ADDRESS(MATCH(Agenda2526!C131,'CAL7'!A:A,0)+1,2,4,1,"CAL7")),"")</f>
        <v/>
      </c>
      <c r="AN130" s="21">
        <f ca="1">IF(CALC2223!BD130&gt;1,INDIRECT(ADDRESS(MATCH(Agenda2526!C131,'CAL7'!A:A,0)+1,3,4,1,"CAL7")),0)</f>
        <v>0</v>
      </c>
      <c r="AO130" s="20" t="str">
        <f ca="1">IF(CALC2223!BD130&gt;2,INDIRECT(ADDRESS(MATCH(Agenda2526!C131,'CAL7'!A:A,0)+2,2,4,1,"CAL7")),"")</f>
        <v/>
      </c>
      <c r="AP130" s="21">
        <f ca="1">IF(CALC2223!BD130&gt;2,INDIRECT(ADDRESS(MATCH(Agenda2526!C131,'CAL7'!A:A,0)+2,3,4,1,"CAL7")),0)</f>
        <v>0</v>
      </c>
      <c r="AQ130" s="20" t="str">
        <f ca="1">IF(CALC2223!BE130&gt;0,INDIRECT(ADDRESS(MATCH(Agenda2526!C131,'CAL8'!A:A,0),2,4,1,"CAL8")),"")</f>
        <v/>
      </c>
      <c r="AR130" s="21">
        <f ca="1">IF(CALC2223!BE130&gt;0,INDIRECT(ADDRESS(MATCH(Agenda2526!C131,'CAL8'!A:A,0),3,4,1,"CAL8")),0)</f>
        <v>0</v>
      </c>
      <c r="AS130" s="20" t="str">
        <f ca="1">IF(CALC2223!BE130&gt;1,INDIRECT(ADDRESS(MATCH(Agenda2526!C131,'CAL8'!A:A,0)+1,2,4,1,"CAL8")),"")</f>
        <v/>
      </c>
      <c r="AT130" s="21">
        <f ca="1">IF(CALC2223!BE130&gt;1,INDIRECT(ADDRESS(MATCH(Agenda2526!C131,'CAL8'!A:A,0)+1,3,4,1,"CAL8")),0)</f>
        <v>0</v>
      </c>
      <c r="AU130" s="20" t="str">
        <f ca="1">IF(CALC2223!BE130&gt;2,INDIRECT(ADDRESS(MATCH(Agenda2526!C131,'CAL8'!A:A,0)+2,2,4,1,"CAL8")),"")</f>
        <v/>
      </c>
      <c r="AV130" s="21">
        <f ca="1">IF(CALC2223!BE130&gt;2,INDIRECT(ADDRESS(MATCH(Agenda2526!C131,'CAL8'!A:A,0)+2,3,4,1,"CAL8")),0)</f>
        <v>0</v>
      </c>
      <c r="AW130" s="105"/>
      <c r="AX130" s="20">
        <f>COUNTIF('CAL1'!A:A,Agenda2526!C131)</f>
        <v>0</v>
      </c>
      <c r="AY130" s="20">
        <f>COUNTIF('CAL2'!A:A,Agenda2526!C131)</f>
        <v>0</v>
      </c>
      <c r="AZ130" s="20">
        <f>COUNTIF('CAL3'!A:A,Agenda2526!C131)</f>
        <v>0</v>
      </c>
      <c r="BA130" s="20">
        <f>COUNTIF('CAL4'!A:A,Agenda2526!C131)</f>
        <v>1</v>
      </c>
      <c r="BB130" s="20">
        <f>COUNTIF('CAL5'!A:A,Agenda2526!C131)</f>
        <v>0</v>
      </c>
      <c r="BC130" s="20">
        <f>COUNTIF('CAL6'!A:A,Agenda2526!C131)</f>
        <v>0</v>
      </c>
      <c r="BD130" s="20">
        <f>COUNTIF('CAL7'!A:A,Agenda2526!C131)</f>
        <v>0</v>
      </c>
      <c r="BE130" s="20">
        <f>COUNTIF('CAL8'!A:A,Agenda2526!C131)</f>
        <v>0</v>
      </c>
    </row>
    <row r="131" spans="1:57" ht="15.75" customHeight="1">
      <c r="A131" s="20" t="str">
        <f ca="1">IF(CALC2223!AX131&gt;0,INDIRECT(ADDRESS(MATCH(Agenda2526!C132,'CAL1'!A:A,0),2,4,1,"CAL1")),"")</f>
        <v/>
      </c>
      <c r="B131" s="21">
        <f ca="1">IF(CALC2223!AX131&gt;0,INDIRECT(ADDRESS(MATCH(Agenda2526!C132,'CAL1'!A:A,0),3,4,1,"CAL1")),0)</f>
        <v>0</v>
      </c>
      <c r="C131" s="20" t="str">
        <f ca="1">IF(CALC2223!AX131&gt;1,INDIRECT(ADDRESS(MATCH(Agenda2526!C132,'CAL1'!A:A,0)+1,2,4,1,"CAL1")),"")</f>
        <v/>
      </c>
      <c r="D131" s="21">
        <f ca="1">IF(CALC2223!AX131&gt;1,INDIRECT(ADDRESS(MATCH(Agenda2526!C132,'CAL1'!A:A,0)+1,3,4,1,"CAL1")),0)</f>
        <v>0</v>
      </c>
      <c r="E131" s="20" t="str">
        <f ca="1">IF(CALC2223!AX131&gt;2,INDIRECT(ADDRESS(MATCH(Agenda2526!C132,'CAL1'!A:A,0)+2,2,4,1,"CAL1")),"")</f>
        <v/>
      </c>
      <c r="F131" s="21">
        <f ca="1">IF(CALC2223!AX131&gt;2,INDIRECT(ADDRESS(MATCH(Agenda2526!C132,'CAL1'!A:A,0)+2,3,4,1,"CAL1")),0)</f>
        <v>0</v>
      </c>
      <c r="G131" s="20" t="str">
        <f ca="1">IF(CALC2223!AY131&gt;0,INDIRECT(ADDRESS(MATCH(Agenda2526!C132,'CAL2'!A:A,0),2,4,1,"CAL2")),"")</f>
        <v/>
      </c>
      <c r="H131" s="21">
        <f ca="1">IF(CALC2223!AY131&gt;0,INDIRECT(ADDRESS(MATCH(Agenda2526!C132,'CAL2'!A:A,0),3,4,1,"CAL2")),0)</f>
        <v>0</v>
      </c>
      <c r="I131" s="20" t="str">
        <f ca="1">IF(CALC2223!AY131&gt;1,INDIRECT(ADDRESS(MATCH(Agenda2526!C132,'CAL2'!A:A,0)+1,2,4,1,"CAL2")),"")</f>
        <v/>
      </c>
      <c r="J131" s="21">
        <f ca="1">IF(CALC2223!AY131&gt;1,INDIRECT(ADDRESS(MATCH(Agenda2526!C132,'CAL2'!A:A,0)+1,3,4,1,"CAL2")),0)</f>
        <v>0</v>
      </c>
      <c r="K131" s="20" t="str">
        <f ca="1">IF(CALC2223!AY131&gt;2,INDIRECT(ADDRESS(MATCH(Agenda2526!C132,'CAL2'!A:A,0)+2,2,4,1,"CAL2")),"")</f>
        <v/>
      </c>
      <c r="L131" s="21">
        <f ca="1">IF(CALC2223!AY131&gt;2,INDIRECT(ADDRESS(MATCH(Agenda2526!C132,'CAL2'!A:A,0)+2,3,4,1,"CAL2")),0)</f>
        <v>0</v>
      </c>
      <c r="M131" s="20" t="str">
        <f ca="1">IF(CALC2223!AZ131&gt;0,INDIRECT(ADDRESS(MATCH(Agenda2526!C132,'CAL3'!A:A,0),2,4,1,"CAL3")),"")</f>
        <v/>
      </c>
      <c r="N131" s="21">
        <f ca="1">IF(CALC2223!AZ131&gt;0,INDIRECT(ADDRESS(MATCH(Agenda2526!C132,'CAL3'!A:A,0),3,4,1,"CAL3")),0)</f>
        <v>0</v>
      </c>
      <c r="O131" s="20" t="str">
        <f ca="1">IF(CALC2223!AZ131&gt;1,INDIRECT(ADDRESS(MATCH(Agenda2526!C132,'CAL3'!A:A,0)+1,2,4,1,"CAL3")),"")</f>
        <v/>
      </c>
      <c r="P131" s="21">
        <f ca="1">IF(CALC2223!AZ131&gt;1,INDIRECT(ADDRESS(MATCH(Agenda2526!C132,'CAL3'!A:A,0)+1,3,4,1,"CAL3")),0)</f>
        <v>0</v>
      </c>
      <c r="Q131" s="20" t="str">
        <f ca="1">IF(CALC2223!AZ131&gt;2,INDIRECT(ADDRESS(MATCH(Agenda2526!C132,'CAL3'!A:A,0)+2,2,4,1,"CAL3")),"")</f>
        <v/>
      </c>
      <c r="R131" s="21">
        <f ca="1">IF(CALC2223!AZ131&gt;2,INDIRECT(ADDRESS(MATCH(Agenda2526!C132,'CAL3'!A:A,0)+2,3,4,1,"CAL3")),0)</f>
        <v>0</v>
      </c>
      <c r="S131" s="20" t="str">
        <f ca="1">IF(CALC2223!BA131&gt;0,INDIRECT(ADDRESS(MATCH(Agenda2526!C132,'CAL4'!A:A,0),2,4,1,"CAL4")),"")</f>
        <v>inh rep SP</v>
      </c>
      <c r="T131" s="21">
        <f ca="1">IF(CALC2223!BA131&gt;0,INDIRECT(ADDRESS(MATCH(Agenda2526!C132,'CAL4'!A:A,0),3,4,1,"CAL4")),0)</f>
        <v>46008</v>
      </c>
      <c r="U131" s="20" t="str">
        <f ca="1">IF(CALC2223!BA131&gt;1,INDIRECT(ADDRESS(MATCH(Agenda2526!C132,'CAL4'!A:A,0)+1,2,4,1,"CAL4")),"")</f>
        <v>inh rep BE</v>
      </c>
      <c r="V131" s="21">
        <f ca="1">IF(CALC2223!BA131&gt;1,INDIRECT(ADDRESS(MATCH(Agenda2526!C132,'CAL4'!A:A,0)+1,3,4,1,"CAL4")),0)</f>
        <v>45936</v>
      </c>
      <c r="W131" s="20" t="str">
        <f ca="1">IF(CALC2223!BA131&gt;2,INDIRECT(ADDRESS(MATCH(Agenda2526!C132,'CAL4'!A:A,0)+2,2,4,1,"CAL4")),"")</f>
        <v/>
      </c>
      <c r="X131" s="21">
        <f ca="1">IF(CALC2223!BA131&gt;2,INDIRECT(ADDRESS(MATCH(Agenda2526!C132,'CAL4'!A:A,0)+2,3,4,1,"CAL4")),0)</f>
        <v>0</v>
      </c>
      <c r="Y131" s="20" t="str">
        <f ca="1">IF(CALC2223!BB131&gt;0,INDIRECT(ADDRESS(MATCH(Agenda2526!C132,'CAL5'!A:A,0),2,4,1,"CAL5")),"")</f>
        <v>oud-llnochtend (4/5uur)</v>
      </c>
      <c r="Z131" s="21">
        <f ca="1">IF(CALC2223!BB131&gt;0,INDIRECT(ADDRESS(MATCH(Agenda2526!C132,'CAL5'!A:A,0),3,4,1,"CAL5")),0)</f>
        <v>45896</v>
      </c>
      <c r="AA131" s="20" t="str">
        <f ca="1">IF(CALC2223!BB131&gt;1,INDIRECT(ADDRESS(MATCH(Agenda2526!C132,'CAL5'!A:A,0)+1,2,4,1,"CAL5")),"")</f>
        <v>inh SE wiD en inh rep BE</v>
      </c>
      <c r="AB131" s="21">
        <f ca="1">IF(CALC2223!BB131&gt;1,INDIRECT(ADDRESS(MATCH(Agenda2526!C132,'CAL5'!A:A,0)+1,3,4,1,"CAL5")),0)</f>
        <v>45936</v>
      </c>
      <c r="AC131" s="20" t="str">
        <f ca="1">IF(CALC2223!BB131&gt;2,INDIRECT(ADDRESS(MATCH(Agenda2526!C132,'CAL5'!A:A,0)+2,2,4,1,"CAL5")),"")</f>
        <v/>
      </c>
      <c r="AD131" s="21">
        <f ca="1">IF(CALC2223!BB131&gt;2,INDIRECT(ADDRESS(MATCH(Agenda2526!C132,'CAL5'!A:A,0)+2,3,4,1,"CAL5")),0)</f>
        <v>0</v>
      </c>
      <c r="AE131" s="20" t="str">
        <f ca="1">IF(CALC2223!BC131&gt;0,INDIRECT(ADDRESS(MATCH(Agenda2526!C132,'CAL6'!A:A,0),2,4,1,"CAL6")),"")</f>
        <v>LO3:1</v>
      </c>
      <c r="AF131" s="21">
        <f ca="1">IF(CALC2223!BC131&gt;0,INDIRECT(ADDRESS(MATCH(Agenda2526!C132,'CAL6'!A:A,0),3,4,1,"CAL6")),0)</f>
        <v>45896</v>
      </c>
      <c r="AG131" s="20" t="str">
        <f ca="1">IF(CALC2223!BC131&gt;1,INDIRECT(ADDRESS(MATCH(Agenda2526!C132,'CAL6'!A:A,0)+1,2,4,1,"CAL6")),"")</f>
        <v>Inhalen SE</v>
      </c>
      <c r="AH131" s="21">
        <f ca="1">IF(CALC2223!BC131&gt;1,INDIRECT(ADDRESS(MATCH(Agenda2526!C132,'CAL6'!A:A,0)+1,3,4,1,"CAL6")),0)</f>
        <v>46028</v>
      </c>
      <c r="AI131" s="20" t="str">
        <f ca="1">IF(CALC2223!BC131&gt;2,INDIRECT(ADDRESS(MATCH(Agenda2526!C132,'CAL6'!A:A,0)+2,2,4,1,"CAL6")),"")</f>
        <v/>
      </c>
      <c r="AJ131" s="21">
        <f ca="1">IF(CALC2223!BC131&gt;2,INDIRECT(ADDRESS(MATCH(Agenda2526!C132,'CAL6'!A:A,0)+2,3,4,1,"CAL6")),0)</f>
        <v>0</v>
      </c>
      <c r="AK131" s="20" t="str">
        <f ca="1">IF(CALC2223!BD131&gt;0,INDIRECT(ADDRESS(MATCH(Agenda2526!C132,'CAL7'!A:A,0),2,4,1,"CAL7")),"")</f>
        <v/>
      </c>
      <c r="AL131" s="21">
        <f ca="1">IF(CALC2223!BD131&gt;0,INDIRECT(ADDRESS(MATCH(Agenda2526!C132,'CAL7'!A:A,0),3,4,1,"CAL7")),0)</f>
        <v>0</v>
      </c>
      <c r="AM131" s="20" t="str">
        <f ca="1">IF(CALC2223!BD131&gt;1,INDIRECT(ADDRESS(MATCH(Agenda2526!C132,'CAL7'!A:A,0)+1,2,4,1,"CAL7")),"")</f>
        <v/>
      </c>
      <c r="AN131" s="21">
        <f ca="1">IF(CALC2223!BD131&gt;1,INDIRECT(ADDRESS(MATCH(Agenda2526!C132,'CAL7'!A:A,0)+1,3,4,1,"CAL7")),0)</f>
        <v>0</v>
      </c>
      <c r="AO131" s="20" t="str">
        <f ca="1">IF(CALC2223!BD131&gt;2,INDIRECT(ADDRESS(MATCH(Agenda2526!C132,'CAL7'!A:A,0)+2,2,4,1,"CAL7")),"")</f>
        <v/>
      </c>
      <c r="AP131" s="21">
        <f ca="1">IF(CALC2223!BD131&gt;2,INDIRECT(ADDRESS(MATCH(Agenda2526!C132,'CAL7'!A:A,0)+2,3,4,1,"CAL7")),0)</f>
        <v>0</v>
      </c>
      <c r="AQ131" s="20" t="str">
        <f ca="1">IF(CALC2223!BE131&gt;0,INDIRECT(ADDRESS(MATCH(Agenda2526!C132,'CAL8'!A:A,0),2,4,1,"CAL8")),"")</f>
        <v/>
      </c>
      <c r="AR131" s="21">
        <f ca="1">IF(CALC2223!BE131&gt;0,INDIRECT(ADDRESS(MATCH(Agenda2526!C132,'CAL8'!A:A,0),3,4,1,"CAL8")),0)</f>
        <v>0</v>
      </c>
      <c r="AS131" s="20" t="str">
        <f ca="1">IF(CALC2223!BE131&gt;1,INDIRECT(ADDRESS(MATCH(Agenda2526!C132,'CAL8'!A:A,0)+1,2,4,1,"CAL8")),"")</f>
        <v/>
      </c>
      <c r="AT131" s="21">
        <f ca="1">IF(CALC2223!BE131&gt;1,INDIRECT(ADDRESS(MATCH(Agenda2526!C132,'CAL8'!A:A,0)+1,3,4,1,"CAL8")),0)</f>
        <v>0</v>
      </c>
      <c r="AU131" s="20" t="str">
        <f ca="1">IF(CALC2223!BE131&gt;2,INDIRECT(ADDRESS(MATCH(Agenda2526!C132,'CAL8'!A:A,0)+2,2,4,1,"CAL8")),"")</f>
        <v/>
      </c>
      <c r="AV131" s="21">
        <f ca="1">IF(CALC2223!BE131&gt;2,INDIRECT(ADDRESS(MATCH(Agenda2526!C132,'CAL8'!A:A,0)+2,3,4,1,"CAL8")),0)</f>
        <v>0</v>
      </c>
      <c r="AW131" s="105"/>
      <c r="AX131" s="20">
        <f>COUNTIF('CAL1'!A:A,Agenda2526!C132)</f>
        <v>0</v>
      </c>
      <c r="AY131" s="20">
        <f>COUNTIF('CAL2'!A:A,Agenda2526!C132)</f>
        <v>0</v>
      </c>
      <c r="AZ131" s="20">
        <f>COUNTIF('CAL3'!A:A,Agenda2526!C132)</f>
        <v>0</v>
      </c>
      <c r="BA131" s="20">
        <f>COUNTIF('CAL4'!A:A,Agenda2526!C132)</f>
        <v>2</v>
      </c>
      <c r="BB131" s="20">
        <f>COUNTIF('CAL5'!A:A,Agenda2526!C132)</f>
        <v>2</v>
      </c>
      <c r="BC131" s="20">
        <f>COUNTIF('CAL6'!A:A,Agenda2526!C132)</f>
        <v>2</v>
      </c>
      <c r="BD131" s="20">
        <f>COUNTIF('CAL7'!A:A,Agenda2526!C132)</f>
        <v>0</v>
      </c>
      <c r="BE131" s="20">
        <f>COUNTIF('CAL8'!A:A,Agenda2526!C132)</f>
        <v>0</v>
      </c>
    </row>
    <row r="132" spans="1:57" ht="15.75" customHeight="1">
      <c r="A132" s="20" t="str">
        <f ca="1">IF(CALC2223!AX132&gt;0,INDIRECT(ADDRESS(MATCH(Agenda2526!C133,'CAL1'!A:A,0),2,4,1,"CAL1")),"")</f>
        <v/>
      </c>
      <c r="B132" s="21">
        <f ca="1">IF(CALC2223!AX132&gt;0,INDIRECT(ADDRESS(MATCH(Agenda2526!C133,'CAL1'!A:A,0),3,4,1,"CAL1")),0)</f>
        <v>0</v>
      </c>
      <c r="C132" s="20" t="str">
        <f ca="1">IF(CALC2223!AX132&gt;1,INDIRECT(ADDRESS(MATCH(Agenda2526!C133,'CAL1'!A:A,0)+1,2,4,1,"CAL1")),"")</f>
        <v/>
      </c>
      <c r="D132" s="21">
        <f ca="1">IF(CALC2223!AX132&gt;1,INDIRECT(ADDRESS(MATCH(Agenda2526!C133,'CAL1'!A:A,0)+1,3,4,1,"CAL1")),0)</f>
        <v>0</v>
      </c>
      <c r="E132" s="20" t="str">
        <f ca="1">IF(CALC2223!AX132&gt;2,INDIRECT(ADDRESS(MATCH(Agenda2526!C133,'CAL1'!A:A,0)+2,2,4,1,"CAL1")),"")</f>
        <v/>
      </c>
      <c r="F132" s="21">
        <f ca="1">IF(CALC2223!AX132&gt;2,INDIRECT(ADDRESS(MATCH(Agenda2526!C133,'CAL1'!A:A,0)+2,3,4,1,"CAL1")),0)</f>
        <v>0</v>
      </c>
      <c r="G132" s="20" t="str">
        <f ca="1">IF(CALC2223!AY132&gt;0,INDIRECT(ADDRESS(MATCH(Agenda2526!C133,'CAL2'!A:A,0),2,4,1,"CAL2")),"")</f>
        <v/>
      </c>
      <c r="H132" s="21">
        <f ca="1">IF(CALC2223!AY132&gt;0,INDIRECT(ADDRESS(MATCH(Agenda2526!C133,'CAL2'!A:A,0),3,4,1,"CAL2")),0)</f>
        <v>0</v>
      </c>
      <c r="I132" s="20" t="str">
        <f ca="1">IF(CALC2223!AY132&gt;1,INDIRECT(ADDRESS(MATCH(Agenda2526!C133,'CAL2'!A:A,0)+1,2,4,1,"CAL2")),"")</f>
        <v/>
      </c>
      <c r="J132" s="21">
        <f ca="1">IF(CALC2223!AY132&gt;1,INDIRECT(ADDRESS(MATCH(Agenda2526!C133,'CAL2'!A:A,0)+1,3,4,1,"CAL2")),0)</f>
        <v>0</v>
      </c>
      <c r="K132" s="20" t="str">
        <f ca="1">IF(CALC2223!AY132&gt;2,INDIRECT(ADDRESS(MATCH(Agenda2526!C133,'CAL2'!A:A,0)+2,2,4,1,"CAL2")),"")</f>
        <v/>
      </c>
      <c r="L132" s="21">
        <f ca="1">IF(CALC2223!AY132&gt;2,INDIRECT(ADDRESS(MATCH(Agenda2526!C133,'CAL2'!A:A,0)+2,3,4,1,"CAL2")),0)</f>
        <v>0</v>
      </c>
      <c r="M132" s="20" t="str">
        <f ca="1">IF(CALC2223!AZ132&gt;0,INDIRECT(ADDRESS(MATCH(Agenda2526!C133,'CAL3'!A:A,0),2,4,1,"CAL3")),"")</f>
        <v/>
      </c>
      <c r="N132" s="21">
        <f ca="1">IF(CALC2223!AZ132&gt;0,INDIRECT(ADDRESS(MATCH(Agenda2526!C133,'CAL3'!A:A,0),3,4,1,"CAL3")),0)</f>
        <v>0</v>
      </c>
      <c r="O132" s="20" t="str">
        <f ca="1">IF(CALC2223!AZ132&gt;1,INDIRECT(ADDRESS(MATCH(Agenda2526!C133,'CAL3'!A:A,0)+1,2,4,1,"CAL3")),"")</f>
        <v/>
      </c>
      <c r="P132" s="21">
        <f ca="1">IF(CALC2223!AZ132&gt;1,INDIRECT(ADDRESS(MATCH(Agenda2526!C133,'CAL3'!A:A,0)+1,3,4,1,"CAL3")),0)</f>
        <v>0</v>
      </c>
      <c r="Q132" s="20" t="str">
        <f ca="1">IF(CALC2223!AZ132&gt;2,INDIRECT(ADDRESS(MATCH(Agenda2526!C133,'CAL3'!A:A,0)+2,2,4,1,"CAL3")),"")</f>
        <v/>
      </c>
      <c r="R132" s="21">
        <f ca="1">IF(CALC2223!AZ132&gt;2,INDIRECT(ADDRESS(MATCH(Agenda2526!C133,'CAL3'!A:A,0)+2,3,4,1,"CAL3")),0)</f>
        <v>0</v>
      </c>
      <c r="S132" s="20" t="str">
        <f ca="1">IF(CALC2223!BA132&gt;0,INDIRECT(ADDRESS(MATCH(Agenda2526!C133,'CAL4'!A:A,0),2,4,1,"CAL4")),"")</f>
        <v/>
      </c>
      <c r="T132" s="21">
        <f ca="1">IF(CALC2223!BA132&gt;0,INDIRECT(ADDRESS(MATCH(Agenda2526!C133,'CAL4'!A:A,0),3,4,1,"CAL4")),0)</f>
        <v>0</v>
      </c>
      <c r="U132" s="20" t="str">
        <f ca="1">IF(CALC2223!BA132&gt;1,INDIRECT(ADDRESS(MATCH(Agenda2526!C133,'CAL4'!A:A,0)+1,2,4,1,"CAL4")),"")</f>
        <v/>
      </c>
      <c r="V132" s="21">
        <f ca="1">IF(CALC2223!BA132&gt;1,INDIRECT(ADDRESS(MATCH(Agenda2526!C133,'CAL4'!A:A,0)+1,3,4,1,"CAL4")),0)</f>
        <v>0</v>
      </c>
      <c r="W132" s="20" t="str">
        <f ca="1">IF(CALC2223!BA132&gt;2,INDIRECT(ADDRESS(MATCH(Agenda2526!C133,'CAL4'!A:A,0)+2,2,4,1,"CAL4")),"")</f>
        <v/>
      </c>
      <c r="X132" s="21">
        <f ca="1">IF(CALC2223!BA132&gt;2,INDIRECT(ADDRESS(MATCH(Agenda2526!C133,'CAL4'!A:A,0)+2,3,4,1,"CAL4")),0)</f>
        <v>0</v>
      </c>
      <c r="Y132" s="20" t="str">
        <f ca="1">IF(CALC2223!BB132&gt;0,INDIRECT(ADDRESS(MATCH(Agenda2526!C133,'CAL5'!A:A,0),2,4,1,"CAL5")),"")</f>
        <v/>
      </c>
      <c r="Z132" s="21">
        <f ca="1">IF(CALC2223!BB132&gt;0,INDIRECT(ADDRESS(MATCH(Agenda2526!C133,'CAL5'!A:A,0),3,4,1,"CAL5")),0)</f>
        <v>0</v>
      </c>
      <c r="AA132" s="20" t="str">
        <f ca="1">IF(CALC2223!BB132&gt;1,INDIRECT(ADDRESS(MATCH(Agenda2526!C133,'CAL5'!A:A,0)+1,2,4,1,"CAL5")),"")</f>
        <v/>
      </c>
      <c r="AB132" s="21">
        <f ca="1">IF(CALC2223!BB132&gt;1,INDIRECT(ADDRESS(MATCH(Agenda2526!C133,'CAL5'!A:A,0)+1,3,4,1,"CAL5")),0)</f>
        <v>0</v>
      </c>
      <c r="AC132" s="20" t="str">
        <f ca="1">IF(CALC2223!BB132&gt;2,INDIRECT(ADDRESS(MATCH(Agenda2526!C133,'CAL5'!A:A,0)+2,2,4,1,"CAL5")),"")</f>
        <v/>
      </c>
      <c r="AD132" s="21">
        <f ca="1">IF(CALC2223!BB132&gt;2,INDIRECT(ADDRESS(MATCH(Agenda2526!C133,'CAL5'!A:A,0)+2,3,4,1,"CAL5")),0)</f>
        <v>0</v>
      </c>
      <c r="AE132" s="20" t="str">
        <f ca="1">IF(CALC2223!BC132&gt;0,INDIRECT(ADDRESS(MATCH(Agenda2526!C133,'CAL6'!A:A,0),2,4,1,"CAL6")),"")</f>
        <v/>
      </c>
      <c r="AF132" s="21">
        <f ca="1">IF(CALC2223!BC132&gt;0,INDIRECT(ADDRESS(MATCH(Agenda2526!C133,'CAL6'!A:A,0),3,4,1,"CAL6")),0)</f>
        <v>0</v>
      </c>
      <c r="AG132" s="20" t="str">
        <f ca="1">IF(CALC2223!BC132&gt;1,INDIRECT(ADDRESS(MATCH(Agenda2526!C133,'CAL6'!A:A,0)+1,2,4,1,"CAL6")),"")</f>
        <v/>
      </c>
      <c r="AH132" s="21">
        <f ca="1">IF(CALC2223!BC132&gt;1,INDIRECT(ADDRESS(MATCH(Agenda2526!C133,'CAL6'!A:A,0)+1,3,4,1,"CAL6")),0)</f>
        <v>0</v>
      </c>
      <c r="AI132" s="20" t="str">
        <f ca="1">IF(CALC2223!BC132&gt;2,INDIRECT(ADDRESS(MATCH(Agenda2526!C133,'CAL6'!A:A,0)+2,2,4,1,"CAL6")),"")</f>
        <v/>
      </c>
      <c r="AJ132" s="21">
        <f ca="1">IF(CALC2223!BC132&gt;2,INDIRECT(ADDRESS(MATCH(Agenda2526!C133,'CAL6'!A:A,0)+2,3,4,1,"CAL6")),0)</f>
        <v>0</v>
      </c>
      <c r="AK132" s="20" t="str">
        <f ca="1">IF(CALC2223!BD132&gt;0,INDIRECT(ADDRESS(MATCH(Agenda2526!C133,'CAL7'!A:A,0),2,4,1,"CAL7")),"")</f>
        <v/>
      </c>
      <c r="AL132" s="21">
        <f ca="1">IF(CALC2223!BD132&gt;0,INDIRECT(ADDRESS(MATCH(Agenda2526!C133,'CAL7'!A:A,0),3,4,1,"CAL7")),0)</f>
        <v>0</v>
      </c>
      <c r="AM132" s="20" t="str">
        <f ca="1">IF(CALC2223!BD132&gt;1,INDIRECT(ADDRESS(MATCH(Agenda2526!C133,'CAL7'!A:A,0)+1,2,4,1,"CAL7")),"")</f>
        <v/>
      </c>
      <c r="AN132" s="21">
        <f ca="1">IF(CALC2223!BD132&gt;1,INDIRECT(ADDRESS(MATCH(Agenda2526!C133,'CAL7'!A:A,0)+1,3,4,1,"CAL7")),0)</f>
        <v>0</v>
      </c>
      <c r="AO132" s="20" t="str">
        <f ca="1">IF(CALC2223!BD132&gt;2,INDIRECT(ADDRESS(MATCH(Agenda2526!C133,'CAL7'!A:A,0)+2,2,4,1,"CAL7")),"")</f>
        <v/>
      </c>
      <c r="AP132" s="21">
        <f ca="1">IF(CALC2223!BD132&gt;2,INDIRECT(ADDRESS(MATCH(Agenda2526!C133,'CAL7'!A:A,0)+2,3,4,1,"CAL7")),0)</f>
        <v>0</v>
      </c>
      <c r="AQ132" s="20" t="str">
        <f ca="1">IF(CALC2223!BE132&gt;0,INDIRECT(ADDRESS(MATCH(Agenda2526!C133,'CAL8'!A:A,0),2,4,1,"CAL8")),"")</f>
        <v/>
      </c>
      <c r="AR132" s="21">
        <f ca="1">IF(CALC2223!BE132&gt;0,INDIRECT(ADDRESS(MATCH(Agenda2526!C133,'CAL8'!A:A,0),3,4,1,"CAL8")),0)</f>
        <v>0</v>
      </c>
      <c r="AS132" s="20" t="str">
        <f ca="1">IF(CALC2223!BE132&gt;1,INDIRECT(ADDRESS(MATCH(Agenda2526!C133,'CAL8'!A:A,0)+1,2,4,1,"CAL8")),"")</f>
        <v/>
      </c>
      <c r="AT132" s="21">
        <f ca="1">IF(CALC2223!BE132&gt;1,INDIRECT(ADDRESS(MATCH(Agenda2526!C133,'CAL8'!A:A,0)+1,3,4,1,"CAL8")),0)</f>
        <v>0</v>
      </c>
      <c r="AU132" s="20" t="str">
        <f ca="1">IF(CALC2223!BE132&gt;2,INDIRECT(ADDRESS(MATCH(Agenda2526!C133,'CAL8'!A:A,0)+2,2,4,1,"CAL8")),"")</f>
        <v/>
      </c>
      <c r="AV132" s="21">
        <f ca="1">IF(CALC2223!BE132&gt;2,INDIRECT(ADDRESS(MATCH(Agenda2526!C133,'CAL8'!A:A,0)+2,3,4,1,"CAL8")),0)</f>
        <v>0</v>
      </c>
      <c r="AW132" s="105"/>
      <c r="AX132" s="20">
        <f>COUNTIF('CAL1'!A:A,Agenda2526!C133)</f>
        <v>0</v>
      </c>
      <c r="AY132" s="20">
        <f>COUNTIF('CAL2'!A:A,Agenda2526!C133)</f>
        <v>0</v>
      </c>
      <c r="AZ132" s="20">
        <f>COUNTIF('CAL3'!A:A,Agenda2526!C133)</f>
        <v>0</v>
      </c>
      <c r="BA132" s="20">
        <f>COUNTIF('CAL4'!A:A,Agenda2526!C133)</f>
        <v>0</v>
      </c>
      <c r="BB132" s="20">
        <f>COUNTIF('CAL5'!A:A,Agenda2526!C133)</f>
        <v>0</v>
      </c>
      <c r="BC132" s="20">
        <f>COUNTIF('CAL6'!A:A,Agenda2526!C133)</f>
        <v>0</v>
      </c>
      <c r="BD132" s="20">
        <f>COUNTIF('CAL7'!A:A,Agenda2526!C133)</f>
        <v>0</v>
      </c>
      <c r="BE132" s="20">
        <f>COUNTIF('CAL8'!A:A,Agenda2526!C133)</f>
        <v>0</v>
      </c>
    </row>
    <row r="133" spans="1:57" ht="15.75" customHeight="1">
      <c r="A133" s="20" t="str">
        <f ca="1">IF(CALC2223!AX133&gt;0,INDIRECT(ADDRESS(MATCH(Agenda2526!C134,'CAL1'!A:A,0),2,4,1,"CAL1")),"")</f>
        <v/>
      </c>
      <c r="B133" s="21">
        <f ca="1">IF(CALC2223!AX133&gt;0,INDIRECT(ADDRESS(MATCH(Agenda2526!C134,'CAL1'!A:A,0),3,4,1,"CAL1")),0)</f>
        <v>0</v>
      </c>
      <c r="C133" s="20" t="str">
        <f ca="1">IF(CALC2223!AX133&gt;1,INDIRECT(ADDRESS(MATCH(Agenda2526!C134,'CAL1'!A:A,0)+1,2,4,1,"CAL1")),"")</f>
        <v/>
      </c>
      <c r="D133" s="21">
        <f ca="1">IF(CALC2223!AX133&gt;1,INDIRECT(ADDRESS(MATCH(Agenda2526!C134,'CAL1'!A:A,0)+1,3,4,1,"CAL1")),0)</f>
        <v>0</v>
      </c>
      <c r="E133" s="20" t="str">
        <f ca="1">IF(CALC2223!AX133&gt;2,INDIRECT(ADDRESS(MATCH(Agenda2526!C134,'CAL1'!A:A,0)+2,2,4,1,"CAL1")),"")</f>
        <v/>
      </c>
      <c r="F133" s="21">
        <f ca="1">IF(CALC2223!AX133&gt;2,INDIRECT(ADDRESS(MATCH(Agenda2526!C134,'CAL1'!A:A,0)+2,3,4,1,"CAL1")),0)</f>
        <v>0</v>
      </c>
      <c r="G133" s="20" t="str">
        <f ca="1">IF(CALC2223!AY133&gt;0,INDIRECT(ADDRESS(MATCH(Agenda2526!C134,'CAL2'!A:A,0),2,4,1,"CAL2")),"")</f>
        <v/>
      </c>
      <c r="H133" s="21">
        <f ca="1">IF(CALC2223!AY133&gt;0,INDIRECT(ADDRESS(MATCH(Agenda2526!C134,'CAL2'!A:A,0),3,4,1,"CAL2")),0)</f>
        <v>0</v>
      </c>
      <c r="I133" s="20" t="str">
        <f ca="1">IF(CALC2223!AY133&gt;1,INDIRECT(ADDRESS(MATCH(Agenda2526!C134,'CAL2'!A:A,0)+1,2,4,1,"CAL2")),"")</f>
        <v/>
      </c>
      <c r="J133" s="21">
        <f ca="1">IF(CALC2223!AY133&gt;1,INDIRECT(ADDRESS(MATCH(Agenda2526!C134,'CAL2'!A:A,0)+1,3,4,1,"CAL2")),0)</f>
        <v>0</v>
      </c>
      <c r="K133" s="20" t="str">
        <f ca="1">IF(CALC2223!AY133&gt;2,INDIRECT(ADDRESS(MATCH(Agenda2526!C134,'CAL2'!A:A,0)+2,2,4,1,"CAL2")),"")</f>
        <v/>
      </c>
      <c r="L133" s="21">
        <f ca="1">IF(CALC2223!AY133&gt;2,INDIRECT(ADDRESS(MATCH(Agenda2526!C134,'CAL2'!A:A,0)+2,3,4,1,"CAL2")),0)</f>
        <v>0</v>
      </c>
      <c r="M133" s="20" t="str">
        <f ca="1">IF(CALC2223!AZ133&gt;0,INDIRECT(ADDRESS(MATCH(Agenda2526!C134,'CAL3'!A:A,0),2,4,1,"CAL3")),"")</f>
        <v/>
      </c>
      <c r="N133" s="21">
        <f ca="1">IF(CALC2223!AZ133&gt;0,INDIRECT(ADDRESS(MATCH(Agenda2526!C134,'CAL3'!A:A,0),3,4,1,"CAL3")),0)</f>
        <v>0</v>
      </c>
      <c r="O133" s="20" t="str">
        <f ca="1">IF(CALC2223!AZ133&gt;1,INDIRECT(ADDRESS(MATCH(Agenda2526!C134,'CAL3'!A:A,0)+1,2,4,1,"CAL3")),"")</f>
        <v/>
      </c>
      <c r="P133" s="21">
        <f ca="1">IF(CALC2223!AZ133&gt;1,INDIRECT(ADDRESS(MATCH(Agenda2526!C134,'CAL3'!A:A,0)+1,3,4,1,"CAL3")),0)</f>
        <v>0</v>
      </c>
      <c r="Q133" s="20" t="str">
        <f ca="1">IF(CALC2223!AZ133&gt;2,INDIRECT(ADDRESS(MATCH(Agenda2526!C134,'CAL3'!A:A,0)+2,2,4,1,"CAL3")),"")</f>
        <v/>
      </c>
      <c r="R133" s="21">
        <f ca="1">IF(CALC2223!AZ133&gt;2,INDIRECT(ADDRESS(MATCH(Agenda2526!C134,'CAL3'!A:A,0)+2,3,4,1,"CAL3")),0)</f>
        <v>0</v>
      </c>
      <c r="S133" s="20" t="str">
        <f ca="1">IF(CALC2223!BA133&gt;0,INDIRECT(ADDRESS(MATCH(Agenda2526!C134,'CAL4'!A:A,0),2,4,1,"CAL4")),"")</f>
        <v/>
      </c>
      <c r="T133" s="21">
        <f ca="1">IF(CALC2223!BA133&gt;0,INDIRECT(ADDRESS(MATCH(Agenda2526!C134,'CAL4'!A:A,0),3,4,1,"CAL4")),0)</f>
        <v>0</v>
      </c>
      <c r="U133" s="20" t="str">
        <f ca="1">IF(CALC2223!BA133&gt;1,INDIRECT(ADDRESS(MATCH(Agenda2526!C134,'CAL4'!A:A,0)+1,2,4,1,"CAL4")),"")</f>
        <v/>
      </c>
      <c r="V133" s="21">
        <f ca="1">IF(CALC2223!BA133&gt;1,INDIRECT(ADDRESS(MATCH(Agenda2526!C134,'CAL4'!A:A,0)+1,3,4,1,"CAL4")),0)</f>
        <v>0</v>
      </c>
      <c r="W133" s="20" t="str">
        <f ca="1">IF(CALC2223!BA133&gt;2,INDIRECT(ADDRESS(MATCH(Agenda2526!C134,'CAL4'!A:A,0)+2,2,4,1,"CAL4")),"")</f>
        <v/>
      </c>
      <c r="X133" s="21">
        <f ca="1">IF(CALC2223!BA133&gt;2,INDIRECT(ADDRESS(MATCH(Agenda2526!C134,'CAL4'!A:A,0)+2,3,4,1,"CAL4")),0)</f>
        <v>0</v>
      </c>
      <c r="Y133" s="20" t="str">
        <f ca="1">IF(CALC2223!BB133&gt;0,INDIRECT(ADDRESS(MATCH(Agenda2526!C134,'CAL5'!A:A,0),2,4,1,"CAL5")),"")</f>
        <v/>
      </c>
      <c r="Z133" s="21">
        <f ca="1">IF(CALC2223!BB133&gt;0,INDIRECT(ADDRESS(MATCH(Agenda2526!C134,'CAL5'!A:A,0),3,4,1,"CAL5")),0)</f>
        <v>0</v>
      </c>
      <c r="AA133" s="20" t="str">
        <f ca="1">IF(CALC2223!BB133&gt;1,INDIRECT(ADDRESS(MATCH(Agenda2526!C134,'CAL5'!A:A,0)+1,2,4,1,"CAL5")),"")</f>
        <v/>
      </c>
      <c r="AB133" s="21">
        <f ca="1">IF(CALC2223!BB133&gt;1,INDIRECT(ADDRESS(MATCH(Agenda2526!C134,'CAL5'!A:A,0)+1,3,4,1,"CAL5")),0)</f>
        <v>0</v>
      </c>
      <c r="AC133" s="20" t="str">
        <f ca="1">IF(CALC2223!BB133&gt;2,INDIRECT(ADDRESS(MATCH(Agenda2526!C134,'CAL5'!A:A,0)+2,2,4,1,"CAL5")),"")</f>
        <v/>
      </c>
      <c r="AD133" s="21">
        <f ca="1">IF(CALC2223!BB133&gt;2,INDIRECT(ADDRESS(MATCH(Agenda2526!C134,'CAL5'!A:A,0)+2,3,4,1,"CAL5")),0)</f>
        <v>0</v>
      </c>
      <c r="AE133" s="20" t="str">
        <f ca="1">IF(CALC2223!BC133&gt;0,INDIRECT(ADDRESS(MATCH(Agenda2526!C134,'CAL6'!A:A,0),2,4,1,"CAL6")),"")</f>
        <v/>
      </c>
      <c r="AF133" s="21">
        <f ca="1">IF(CALC2223!BC133&gt;0,INDIRECT(ADDRESS(MATCH(Agenda2526!C134,'CAL6'!A:A,0),3,4,1,"CAL6")),0)</f>
        <v>0</v>
      </c>
      <c r="AG133" s="20" t="str">
        <f ca="1">IF(CALC2223!BC133&gt;1,INDIRECT(ADDRESS(MATCH(Agenda2526!C134,'CAL6'!A:A,0)+1,2,4,1,"CAL6")),"")</f>
        <v/>
      </c>
      <c r="AH133" s="21">
        <f ca="1">IF(CALC2223!BC133&gt;1,INDIRECT(ADDRESS(MATCH(Agenda2526!C134,'CAL6'!A:A,0)+1,3,4,1,"CAL6")),0)</f>
        <v>0</v>
      </c>
      <c r="AI133" s="20" t="str">
        <f ca="1">IF(CALC2223!BC133&gt;2,INDIRECT(ADDRESS(MATCH(Agenda2526!C134,'CAL6'!A:A,0)+2,2,4,1,"CAL6")),"")</f>
        <v/>
      </c>
      <c r="AJ133" s="21">
        <f ca="1">IF(CALC2223!BC133&gt;2,INDIRECT(ADDRESS(MATCH(Agenda2526!C134,'CAL6'!A:A,0)+2,3,4,1,"CAL6")),0)</f>
        <v>0</v>
      </c>
      <c r="AK133" s="20" t="str">
        <f ca="1">IF(CALC2223!BD133&gt;0,INDIRECT(ADDRESS(MATCH(Agenda2526!C134,'CAL7'!A:A,0),2,4,1,"CAL7")),"")</f>
        <v/>
      </c>
      <c r="AL133" s="21">
        <f ca="1">IF(CALC2223!BD133&gt;0,INDIRECT(ADDRESS(MATCH(Agenda2526!C134,'CAL7'!A:A,0),3,4,1,"CAL7")),0)</f>
        <v>0</v>
      </c>
      <c r="AM133" s="20" t="str">
        <f ca="1">IF(CALC2223!BD133&gt;1,INDIRECT(ADDRESS(MATCH(Agenda2526!C134,'CAL7'!A:A,0)+1,2,4,1,"CAL7")),"")</f>
        <v/>
      </c>
      <c r="AN133" s="21">
        <f ca="1">IF(CALC2223!BD133&gt;1,INDIRECT(ADDRESS(MATCH(Agenda2526!C134,'CAL7'!A:A,0)+1,3,4,1,"CAL7")),0)</f>
        <v>0</v>
      </c>
      <c r="AO133" s="20" t="str">
        <f ca="1">IF(CALC2223!BD133&gt;2,INDIRECT(ADDRESS(MATCH(Agenda2526!C134,'CAL7'!A:A,0)+2,2,4,1,"CAL7")),"")</f>
        <v/>
      </c>
      <c r="AP133" s="21">
        <f ca="1">IF(CALC2223!BD133&gt;2,INDIRECT(ADDRESS(MATCH(Agenda2526!C134,'CAL7'!A:A,0)+2,3,4,1,"CAL7")),0)</f>
        <v>0</v>
      </c>
      <c r="AQ133" s="20" t="str">
        <f ca="1">IF(CALC2223!BE133&gt;0,INDIRECT(ADDRESS(MATCH(Agenda2526!C134,'CAL8'!A:A,0),2,4,1,"CAL8")),"")</f>
        <v/>
      </c>
      <c r="AR133" s="21">
        <f ca="1">IF(CALC2223!BE133&gt;0,INDIRECT(ADDRESS(MATCH(Agenda2526!C134,'CAL8'!A:A,0),3,4,1,"CAL8")),0)</f>
        <v>0</v>
      </c>
      <c r="AS133" s="20" t="str">
        <f ca="1">IF(CALC2223!BE133&gt;1,INDIRECT(ADDRESS(MATCH(Agenda2526!C134,'CAL8'!A:A,0)+1,2,4,1,"CAL8")),"")</f>
        <v/>
      </c>
      <c r="AT133" s="21">
        <f ca="1">IF(CALC2223!BE133&gt;1,INDIRECT(ADDRESS(MATCH(Agenda2526!C134,'CAL8'!A:A,0)+1,3,4,1,"CAL8")),0)</f>
        <v>0</v>
      </c>
      <c r="AU133" s="20" t="str">
        <f ca="1">IF(CALC2223!BE133&gt;2,INDIRECT(ADDRESS(MATCH(Agenda2526!C134,'CAL8'!A:A,0)+2,2,4,1,"CAL8")),"")</f>
        <v/>
      </c>
      <c r="AV133" s="21">
        <f ca="1">IF(CALC2223!BE133&gt;2,INDIRECT(ADDRESS(MATCH(Agenda2526!C134,'CAL8'!A:A,0)+2,3,4,1,"CAL8")),0)</f>
        <v>0</v>
      </c>
      <c r="AW133" s="106"/>
      <c r="AX133" s="20">
        <f>COUNTIF('CAL1'!A:A,Agenda2526!C134)</f>
        <v>0</v>
      </c>
      <c r="AY133" s="20">
        <f>COUNTIF('CAL2'!A:A,Agenda2526!C134)</f>
        <v>0</v>
      </c>
      <c r="AZ133" s="20">
        <f>COUNTIF('CAL3'!A:A,Agenda2526!C134)</f>
        <v>0</v>
      </c>
      <c r="BA133" s="20">
        <f>COUNTIF('CAL4'!A:A,Agenda2526!C134)</f>
        <v>0</v>
      </c>
      <c r="BB133" s="20">
        <f>COUNTIF('CAL5'!A:A,Agenda2526!C134)</f>
        <v>0</v>
      </c>
      <c r="BC133" s="20">
        <f>COUNTIF('CAL6'!A:A,Agenda2526!C134)</f>
        <v>0</v>
      </c>
      <c r="BD133" s="20">
        <f>COUNTIF('CAL7'!A:A,Agenda2526!C134)</f>
        <v>0</v>
      </c>
      <c r="BE133" s="20">
        <f>COUNTIF('CAL8'!A:A,Agenda2526!C134)</f>
        <v>0</v>
      </c>
    </row>
    <row r="134" spans="1:57" ht="15.75" customHeight="1">
      <c r="A134" s="20" t="str">
        <f ca="1">IF(CALC2223!AX134&gt;0,INDIRECT(ADDRESS(MATCH(Agenda2526!C135,'CAL1'!A:A,0),2,4,1,"CAL1")),"")</f>
        <v/>
      </c>
      <c r="B134" s="21">
        <f ca="1">IF(CALC2223!AX134&gt;0,INDIRECT(ADDRESS(MATCH(Agenda2526!C135,'CAL1'!A:A,0),3,4,1,"CAL1")),0)</f>
        <v>0</v>
      </c>
      <c r="C134" s="20" t="str">
        <f ca="1">IF(CALC2223!AX134&gt;1,INDIRECT(ADDRESS(MATCH(Agenda2526!C135,'CAL1'!A:A,0)+1,2,4,1,"CAL1")),"")</f>
        <v/>
      </c>
      <c r="D134" s="21">
        <f ca="1">IF(CALC2223!AX134&gt;1,INDIRECT(ADDRESS(MATCH(Agenda2526!C135,'CAL1'!A:A,0)+1,3,4,1,"CAL1")),0)</f>
        <v>0</v>
      </c>
      <c r="E134" s="20" t="str">
        <f ca="1">IF(CALC2223!AX134&gt;2,INDIRECT(ADDRESS(MATCH(Agenda2526!C135,'CAL1'!A:A,0)+2,2,4,1,"CAL1")),"")</f>
        <v/>
      </c>
      <c r="F134" s="21">
        <f ca="1">IF(CALC2223!AX134&gt;2,INDIRECT(ADDRESS(MATCH(Agenda2526!C135,'CAL1'!A:A,0)+2,3,4,1,"CAL1")),0)</f>
        <v>0</v>
      </c>
      <c r="G134" s="20" t="str">
        <f ca="1">IF(CALC2223!AY134&gt;0,INDIRECT(ADDRESS(MATCH(Agenda2526!C135,'CAL2'!A:A,0),2,4,1,"CAL2")),"")</f>
        <v/>
      </c>
      <c r="H134" s="21">
        <f ca="1">IF(CALC2223!AY134&gt;0,INDIRECT(ADDRESS(MATCH(Agenda2526!C135,'CAL2'!A:A,0),3,4,1,"CAL2")),0)</f>
        <v>0</v>
      </c>
      <c r="I134" s="20" t="str">
        <f ca="1">IF(CALC2223!AY134&gt;1,INDIRECT(ADDRESS(MATCH(Agenda2526!C135,'CAL2'!A:A,0)+1,2,4,1,"CAL2")),"")</f>
        <v/>
      </c>
      <c r="J134" s="21">
        <f ca="1">IF(CALC2223!AY134&gt;1,INDIRECT(ADDRESS(MATCH(Agenda2526!C135,'CAL2'!A:A,0)+1,3,4,1,"CAL2")),0)</f>
        <v>0</v>
      </c>
      <c r="K134" s="20" t="str">
        <f ca="1">IF(CALC2223!AY134&gt;2,INDIRECT(ADDRESS(MATCH(Agenda2526!C135,'CAL2'!A:A,0)+2,2,4,1,"CAL2")),"")</f>
        <v/>
      </c>
      <c r="L134" s="21">
        <f ca="1">IF(CALC2223!AY134&gt;2,INDIRECT(ADDRESS(MATCH(Agenda2526!C135,'CAL2'!A:A,0)+2,3,4,1,"CAL2")),0)</f>
        <v>0</v>
      </c>
      <c r="M134" s="20" t="str">
        <f ca="1">IF(CALC2223!AZ134&gt;0,INDIRECT(ADDRESS(MATCH(Agenda2526!C135,'CAL3'!A:A,0),2,4,1,"CAL3")),"")</f>
        <v/>
      </c>
      <c r="N134" s="21">
        <f ca="1">IF(CALC2223!AZ134&gt;0,INDIRECT(ADDRESS(MATCH(Agenda2526!C135,'CAL3'!A:A,0),3,4,1,"CAL3")),0)</f>
        <v>0</v>
      </c>
      <c r="O134" s="20" t="str">
        <f ca="1">IF(CALC2223!AZ134&gt;1,INDIRECT(ADDRESS(MATCH(Agenda2526!C135,'CAL3'!A:A,0)+1,2,4,1,"CAL3")),"")</f>
        <v/>
      </c>
      <c r="P134" s="21">
        <f ca="1">IF(CALC2223!AZ134&gt;1,INDIRECT(ADDRESS(MATCH(Agenda2526!C135,'CAL3'!A:A,0)+1,3,4,1,"CAL3")),0)</f>
        <v>0</v>
      </c>
      <c r="Q134" s="20" t="str">
        <f ca="1">IF(CALC2223!AZ134&gt;2,INDIRECT(ADDRESS(MATCH(Agenda2526!C135,'CAL3'!A:A,0)+2,2,4,1,"CAL3")),"")</f>
        <v/>
      </c>
      <c r="R134" s="21">
        <f ca="1">IF(CALC2223!AZ134&gt;2,INDIRECT(ADDRESS(MATCH(Agenda2526!C135,'CAL3'!A:A,0)+2,3,4,1,"CAL3")),0)</f>
        <v>0</v>
      </c>
      <c r="S134" s="20" t="str">
        <f ca="1">IF(CALC2223!BA134&gt;0,INDIRECT(ADDRESS(MATCH(Agenda2526!C135,'CAL4'!A:A,0),2,4,1,"CAL4")),"")</f>
        <v/>
      </c>
      <c r="T134" s="21">
        <f ca="1">IF(CALC2223!BA134&gt;0,INDIRECT(ADDRESS(MATCH(Agenda2526!C135,'CAL4'!A:A,0),3,4,1,"CAL4")),0)</f>
        <v>0</v>
      </c>
      <c r="U134" s="20" t="str">
        <f ca="1">IF(CALC2223!BA134&gt;1,INDIRECT(ADDRESS(MATCH(Agenda2526!C135,'CAL4'!A:A,0)+1,2,4,1,"CAL4")),"")</f>
        <v/>
      </c>
      <c r="V134" s="21">
        <f ca="1">IF(CALC2223!BA134&gt;1,INDIRECT(ADDRESS(MATCH(Agenda2526!C135,'CAL4'!A:A,0)+1,3,4,1,"CAL4")),0)</f>
        <v>0</v>
      </c>
      <c r="W134" s="20" t="str">
        <f ca="1">IF(CALC2223!BA134&gt;2,INDIRECT(ADDRESS(MATCH(Agenda2526!C135,'CAL4'!A:A,0)+2,2,4,1,"CAL4")),"")</f>
        <v/>
      </c>
      <c r="X134" s="21">
        <f ca="1">IF(CALC2223!BA134&gt;2,INDIRECT(ADDRESS(MATCH(Agenda2526!C135,'CAL4'!A:A,0)+2,3,4,1,"CAL4")),0)</f>
        <v>0</v>
      </c>
      <c r="Y134" s="20" t="str">
        <f ca="1">IF(CALC2223!BB134&gt;0,INDIRECT(ADDRESS(MATCH(Agenda2526!C135,'CAL5'!A:A,0),2,4,1,"CAL5")),"")</f>
        <v/>
      </c>
      <c r="Z134" s="21">
        <f ca="1">IF(CALC2223!BB134&gt;0,INDIRECT(ADDRESS(MATCH(Agenda2526!C135,'CAL5'!A:A,0),3,4,1,"CAL5")),0)</f>
        <v>0</v>
      </c>
      <c r="AA134" s="20" t="str">
        <f ca="1">IF(CALC2223!BB134&gt;1,INDIRECT(ADDRESS(MATCH(Agenda2526!C135,'CAL5'!A:A,0)+1,2,4,1,"CAL5")),"")</f>
        <v/>
      </c>
      <c r="AB134" s="21">
        <f ca="1">IF(CALC2223!BB134&gt;1,INDIRECT(ADDRESS(MATCH(Agenda2526!C135,'CAL5'!A:A,0)+1,3,4,1,"CAL5")),0)</f>
        <v>0</v>
      </c>
      <c r="AC134" s="20" t="str">
        <f ca="1">IF(CALC2223!BB134&gt;2,INDIRECT(ADDRESS(MATCH(Agenda2526!C135,'CAL5'!A:A,0)+2,2,4,1,"CAL5")),"")</f>
        <v/>
      </c>
      <c r="AD134" s="21">
        <f ca="1">IF(CALC2223!BB134&gt;2,INDIRECT(ADDRESS(MATCH(Agenda2526!C135,'CAL5'!A:A,0)+2,3,4,1,"CAL5")),0)</f>
        <v>0</v>
      </c>
      <c r="AE134" s="20" t="str">
        <f ca="1">IF(CALC2223!BC134&gt;0,INDIRECT(ADDRESS(MATCH(Agenda2526!C135,'CAL6'!A:A,0),2,4,1,"CAL6")),"")</f>
        <v/>
      </c>
      <c r="AF134" s="21">
        <f ca="1">IF(CALC2223!BC134&gt;0,INDIRECT(ADDRESS(MATCH(Agenda2526!C135,'CAL6'!A:A,0),3,4,1,"CAL6")),0)</f>
        <v>0</v>
      </c>
      <c r="AG134" s="20" t="str">
        <f ca="1">IF(CALC2223!BC134&gt;1,INDIRECT(ADDRESS(MATCH(Agenda2526!C135,'CAL6'!A:A,0)+1,2,4,1,"CAL6")),"")</f>
        <v/>
      </c>
      <c r="AH134" s="21">
        <f ca="1">IF(CALC2223!BC134&gt;1,INDIRECT(ADDRESS(MATCH(Agenda2526!C135,'CAL6'!A:A,0)+1,3,4,1,"CAL6")),0)</f>
        <v>0</v>
      </c>
      <c r="AI134" s="20" t="str">
        <f ca="1">IF(CALC2223!BC134&gt;2,INDIRECT(ADDRESS(MATCH(Agenda2526!C135,'CAL6'!A:A,0)+2,2,4,1,"CAL6")),"")</f>
        <v/>
      </c>
      <c r="AJ134" s="21">
        <f ca="1">IF(CALC2223!BC134&gt;2,INDIRECT(ADDRESS(MATCH(Agenda2526!C135,'CAL6'!A:A,0)+2,3,4,1,"CAL6")),0)</f>
        <v>0</v>
      </c>
      <c r="AK134" s="20" t="str">
        <f ca="1">IF(CALC2223!BD134&gt;0,INDIRECT(ADDRESS(MATCH(Agenda2526!C135,'CAL7'!A:A,0),2,4,1,"CAL7")),"")</f>
        <v/>
      </c>
      <c r="AL134" s="21">
        <f ca="1">IF(CALC2223!BD134&gt;0,INDIRECT(ADDRESS(MATCH(Agenda2526!C135,'CAL7'!A:A,0),3,4,1,"CAL7")),0)</f>
        <v>0</v>
      </c>
      <c r="AM134" s="20" t="str">
        <f ca="1">IF(CALC2223!BD134&gt;1,INDIRECT(ADDRESS(MATCH(Agenda2526!C135,'CAL7'!A:A,0)+1,2,4,1,"CAL7")),"")</f>
        <v/>
      </c>
      <c r="AN134" s="21">
        <f ca="1">IF(CALC2223!BD134&gt;1,INDIRECT(ADDRESS(MATCH(Agenda2526!C135,'CAL7'!A:A,0)+1,3,4,1,"CAL7")),0)</f>
        <v>0</v>
      </c>
      <c r="AO134" s="20" t="str">
        <f ca="1">IF(CALC2223!BD134&gt;2,INDIRECT(ADDRESS(MATCH(Agenda2526!C135,'CAL7'!A:A,0)+2,2,4,1,"CAL7")),"")</f>
        <v/>
      </c>
      <c r="AP134" s="21">
        <f ca="1">IF(CALC2223!BD134&gt;2,INDIRECT(ADDRESS(MATCH(Agenda2526!C135,'CAL7'!A:A,0)+2,3,4,1,"CAL7")),0)</f>
        <v>0</v>
      </c>
      <c r="AQ134" s="20" t="str">
        <f ca="1">IF(CALC2223!BE134&gt;0,INDIRECT(ADDRESS(MATCH(Agenda2526!C135,'CAL8'!A:A,0),2,4,1,"CAL8")),"")</f>
        <v/>
      </c>
      <c r="AR134" s="21">
        <f ca="1">IF(CALC2223!BE134&gt;0,INDIRECT(ADDRESS(MATCH(Agenda2526!C135,'CAL8'!A:A,0),3,4,1,"CAL8")),0)</f>
        <v>0</v>
      </c>
      <c r="AS134" s="20" t="str">
        <f ca="1">IF(CALC2223!BE134&gt;1,INDIRECT(ADDRESS(MATCH(Agenda2526!C135,'CAL8'!A:A,0)+1,2,4,1,"CAL8")),"")</f>
        <v/>
      </c>
      <c r="AT134" s="21">
        <f ca="1">IF(CALC2223!BE134&gt;1,INDIRECT(ADDRESS(MATCH(Agenda2526!C135,'CAL8'!A:A,0)+1,3,4,1,"CAL8")),0)</f>
        <v>0</v>
      </c>
      <c r="AU134" s="20" t="str">
        <f ca="1">IF(CALC2223!BE134&gt;2,INDIRECT(ADDRESS(MATCH(Agenda2526!C135,'CAL8'!A:A,0)+2,2,4,1,"CAL8")),"")</f>
        <v/>
      </c>
      <c r="AV134" s="21">
        <f ca="1">IF(CALC2223!BE134&gt;2,INDIRECT(ADDRESS(MATCH(Agenda2526!C135,'CAL8'!A:A,0)+2,3,4,1,"CAL8")),0)</f>
        <v>0</v>
      </c>
      <c r="AW134" s="106"/>
      <c r="AX134" s="20">
        <f>COUNTIF('CAL1'!A:A,Agenda2526!C135)</f>
        <v>0</v>
      </c>
      <c r="AY134" s="20">
        <f>COUNTIF('CAL2'!A:A,Agenda2526!C135)</f>
        <v>0</v>
      </c>
      <c r="AZ134" s="20">
        <f>COUNTIF('CAL3'!A:A,Agenda2526!C135)</f>
        <v>0</v>
      </c>
      <c r="BA134" s="20">
        <f>COUNTIF('CAL4'!A:A,Agenda2526!C135)</f>
        <v>0</v>
      </c>
      <c r="BB134" s="20">
        <f>COUNTIF('CAL5'!A:A,Agenda2526!C135)</f>
        <v>0</v>
      </c>
      <c r="BC134" s="20">
        <f>COUNTIF('CAL6'!A:A,Agenda2526!C135)</f>
        <v>0</v>
      </c>
      <c r="BD134" s="20">
        <f>COUNTIF('CAL7'!A:A,Agenda2526!C135)</f>
        <v>0</v>
      </c>
      <c r="BE134" s="20">
        <f>COUNTIF('CAL8'!A:A,Agenda2526!C135)</f>
        <v>0</v>
      </c>
    </row>
    <row r="135" spans="1:57" ht="15.75" customHeight="1">
      <c r="A135" s="20" t="str">
        <f ca="1">IF(CALC2223!AX135&gt;0,INDIRECT(ADDRESS(MATCH(Agenda2526!C136,'CAL1'!A:A,0),2,4,1,"CAL1")),"")</f>
        <v/>
      </c>
      <c r="B135" s="21">
        <f ca="1">IF(CALC2223!AX135&gt;0,INDIRECT(ADDRESS(MATCH(Agenda2526!C136,'CAL1'!A:A,0),3,4,1,"CAL1")),0)</f>
        <v>0</v>
      </c>
      <c r="C135" s="20" t="str">
        <f ca="1">IF(CALC2223!AX135&gt;1,INDIRECT(ADDRESS(MATCH(Agenda2526!C136,'CAL1'!A:A,0)+1,2,4,1,"CAL1")),"")</f>
        <v/>
      </c>
      <c r="D135" s="21">
        <f ca="1">IF(CALC2223!AX135&gt;1,INDIRECT(ADDRESS(MATCH(Agenda2526!C136,'CAL1'!A:A,0)+1,3,4,1,"CAL1")),0)</f>
        <v>0</v>
      </c>
      <c r="E135" s="20" t="str">
        <f ca="1">IF(CALC2223!AX135&gt;2,INDIRECT(ADDRESS(MATCH(Agenda2526!C136,'CAL1'!A:A,0)+2,2,4,1,"CAL1")),"")</f>
        <v/>
      </c>
      <c r="F135" s="21">
        <f ca="1">IF(CALC2223!AX135&gt;2,INDIRECT(ADDRESS(MATCH(Agenda2526!C136,'CAL1'!A:A,0)+2,3,4,1,"CAL1")),0)</f>
        <v>0</v>
      </c>
      <c r="G135" s="20" t="str">
        <f ca="1">IF(CALC2223!AY135&gt;0,INDIRECT(ADDRESS(MATCH(Agenda2526!C136,'CAL2'!A:A,0),2,4,1,"CAL2")),"")</f>
        <v/>
      </c>
      <c r="H135" s="21">
        <f ca="1">IF(CALC2223!AY135&gt;0,INDIRECT(ADDRESS(MATCH(Agenda2526!C136,'CAL2'!A:A,0),3,4,1,"CAL2")),0)</f>
        <v>0</v>
      </c>
      <c r="I135" s="20" t="str">
        <f ca="1">IF(CALC2223!AY135&gt;1,INDIRECT(ADDRESS(MATCH(Agenda2526!C136,'CAL2'!A:A,0)+1,2,4,1,"CAL2")),"")</f>
        <v/>
      </c>
      <c r="J135" s="21">
        <f ca="1">IF(CALC2223!AY135&gt;1,INDIRECT(ADDRESS(MATCH(Agenda2526!C136,'CAL2'!A:A,0)+1,3,4,1,"CAL2")),0)</f>
        <v>0</v>
      </c>
      <c r="K135" s="20" t="str">
        <f ca="1">IF(CALC2223!AY135&gt;2,INDIRECT(ADDRESS(MATCH(Agenda2526!C136,'CAL2'!A:A,0)+2,2,4,1,"CAL2")),"")</f>
        <v/>
      </c>
      <c r="L135" s="21">
        <f ca="1">IF(CALC2223!AY135&gt;2,INDIRECT(ADDRESS(MATCH(Agenda2526!C136,'CAL2'!A:A,0)+2,3,4,1,"CAL2")),0)</f>
        <v>0</v>
      </c>
      <c r="M135" s="20" t="str">
        <f ca="1">IF(CALC2223!AZ135&gt;0,INDIRECT(ADDRESS(MATCH(Agenda2526!C136,'CAL3'!A:A,0),2,4,1,"CAL3")),"")</f>
        <v/>
      </c>
      <c r="N135" s="21">
        <f ca="1">IF(CALC2223!AZ135&gt;0,INDIRECT(ADDRESS(MATCH(Agenda2526!C136,'CAL3'!A:A,0),3,4,1,"CAL3")),0)</f>
        <v>0</v>
      </c>
      <c r="O135" s="20" t="str">
        <f ca="1">IF(CALC2223!AZ135&gt;1,INDIRECT(ADDRESS(MATCH(Agenda2526!C136,'CAL3'!A:A,0)+1,2,4,1,"CAL3")),"")</f>
        <v/>
      </c>
      <c r="P135" s="21">
        <f ca="1">IF(CALC2223!AZ135&gt;1,INDIRECT(ADDRESS(MATCH(Agenda2526!C136,'CAL3'!A:A,0)+1,3,4,1,"CAL3")),0)</f>
        <v>0</v>
      </c>
      <c r="Q135" s="20" t="str">
        <f ca="1">IF(CALC2223!AZ135&gt;2,INDIRECT(ADDRESS(MATCH(Agenda2526!C136,'CAL3'!A:A,0)+2,2,4,1,"CAL3")),"")</f>
        <v/>
      </c>
      <c r="R135" s="21">
        <f ca="1">IF(CALC2223!AZ135&gt;2,INDIRECT(ADDRESS(MATCH(Agenda2526!C136,'CAL3'!A:A,0)+2,3,4,1,"CAL3")),0)</f>
        <v>0</v>
      </c>
      <c r="S135" s="20" t="str">
        <f ca="1">IF(CALC2223!BA135&gt;0,INDIRECT(ADDRESS(MATCH(Agenda2526!C136,'CAL4'!A:A,0),2,4,1,"CAL4")),"")</f>
        <v>inh BE en GS</v>
      </c>
      <c r="T135" s="21">
        <f ca="1">IF(CALC2223!BA135&gt;0,INDIRECT(ADDRESS(MATCH(Agenda2526!C136,'CAL4'!A:A,0),3,4,1,"CAL4")),0)</f>
        <v>46029</v>
      </c>
      <c r="U135" s="20" t="str">
        <f ca="1">IF(CALC2223!BA135&gt;1,INDIRECT(ADDRESS(MATCH(Agenda2526!C136,'CAL4'!A:A,0)+1,2,4,1,"CAL4")),"")</f>
        <v/>
      </c>
      <c r="V135" s="21">
        <f ca="1">IF(CALC2223!BA135&gt;1,INDIRECT(ADDRESS(MATCH(Agenda2526!C136,'CAL4'!A:A,0)+1,3,4,1,"CAL4")),0)</f>
        <v>0</v>
      </c>
      <c r="W135" s="20" t="str">
        <f ca="1">IF(CALC2223!BA135&gt;2,INDIRECT(ADDRESS(MATCH(Agenda2526!C136,'CAL4'!A:A,0)+2,2,4,1,"CAL4")),"")</f>
        <v/>
      </c>
      <c r="X135" s="21">
        <f ca="1">IF(CALC2223!BA135&gt;2,INDIRECT(ADDRESS(MATCH(Agenda2526!C136,'CAL4'!A:A,0)+2,3,4,1,"CAL4")),0)</f>
        <v>0</v>
      </c>
      <c r="Y135" s="20" t="str">
        <f ca="1">IF(CALC2223!BB135&gt;0,INDIRECT(ADDRESS(MATCH(Agenda2526!C136,'CAL5'!A:A,0),2,4,1,"CAL5")),"")</f>
        <v>inh SE GS en WiD</v>
      </c>
      <c r="Z135" s="21">
        <f ca="1">IF(CALC2223!BB135&gt;0,INDIRECT(ADDRESS(MATCH(Agenda2526!C136,'CAL5'!A:A,0),3,4,1,"CAL5")),0)</f>
        <v>46029</v>
      </c>
      <c r="AA135" s="20" t="str">
        <f ca="1">IF(CALC2223!BB135&gt;1,INDIRECT(ADDRESS(MATCH(Agenda2526!C136,'CAL5'!A:A,0)+1,2,4,1,"CAL5")),"")</f>
        <v/>
      </c>
      <c r="AB135" s="21">
        <f ca="1">IF(CALC2223!BB135&gt;1,INDIRECT(ADDRESS(MATCH(Agenda2526!C136,'CAL5'!A:A,0)+1,3,4,1,"CAL5")),0)</f>
        <v>0</v>
      </c>
      <c r="AC135" s="20" t="str">
        <f ca="1">IF(CALC2223!BB135&gt;2,INDIRECT(ADDRESS(MATCH(Agenda2526!C136,'CAL5'!A:A,0)+2,2,4,1,"CAL5")),"")</f>
        <v/>
      </c>
      <c r="AD135" s="21">
        <f ca="1">IF(CALC2223!BB135&gt;2,INDIRECT(ADDRESS(MATCH(Agenda2526!C136,'CAL5'!A:A,0)+2,3,4,1,"CAL5")),0)</f>
        <v>0</v>
      </c>
      <c r="AE135" s="20" t="str">
        <f ca="1">IF(CALC2223!BC135&gt;0,INDIRECT(ADDRESS(MATCH(Agenda2526!C136,'CAL6'!A:A,0),2,4,1,"CAL6")),"")</f>
        <v/>
      </c>
      <c r="AF135" s="21">
        <f ca="1">IF(CALC2223!BC135&gt;0,INDIRECT(ADDRESS(MATCH(Agenda2526!C136,'CAL6'!A:A,0),3,4,1,"CAL6")),0)</f>
        <v>0</v>
      </c>
      <c r="AG135" s="20" t="str">
        <f ca="1">IF(CALC2223!BC135&gt;1,INDIRECT(ADDRESS(MATCH(Agenda2526!C136,'CAL6'!A:A,0)+1,2,4,1,"CAL6")),"")</f>
        <v/>
      </c>
      <c r="AH135" s="21">
        <f ca="1">IF(CALC2223!BC135&gt;1,INDIRECT(ADDRESS(MATCH(Agenda2526!C136,'CAL6'!A:A,0)+1,3,4,1,"CAL6")),0)</f>
        <v>0</v>
      </c>
      <c r="AI135" s="20" t="str">
        <f ca="1">IF(CALC2223!BC135&gt;2,INDIRECT(ADDRESS(MATCH(Agenda2526!C136,'CAL6'!A:A,0)+2,2,4,1,"CAL6")),"")</f>
        <v/>
      </c>
      <c r="AJ135" s="21">
        <f ca="1">IF(CALC2223!BC135&gt;2,INDIRECT(ADDRESS(MATCH(Agenda2526!C136,'CAL6'!A:A,0)+2,3,4,1,"CAL6")),0)</f>
        <v>0</v>
      </c>
      <c r="AK135" s="20" t="str">
        <f ca="1">IF(CALC2223!BD135&gt;0,INDIRECT(ADDRESS(MATCH(Agenda2526!C136,'CAL7'!A:A,0),2,4,1,"CAL7")),"")</f>
        <v/>
      </c>
      <c r="AL135" s="21">
        <f ca="1">IF(CALC2223!BD135&gt;0,INDIRECT(ADDRESS(MATCH(Agenda2526!C136,'CAL7'!A:A,0),3,4,1,"CAL7")),0)</f>
        <v>0</v>
      </c>
      <c r="AM135" s="20" t="str">
        <f ca="1">IF(CALC2223!BD135&gt;1,INDIRECT(ADDRESS(MATCH(Agenda2526!C136,'CAL7'!A:A,0)+1,2,4,1,"CAL7")),"")</f>
        <v/>
      </c>
      <c r="AN135" s="21">
        <f ca="1">IF(CALC2223!BD135&gt;1,INDIRECT(ADDRESS(MATCH(Agenda2526!C136,'CAL7'!A:A,0)+1,3,4,1,"CAL7")),0)</f>
        <v>0</v>
      </c>
      <c r="AO135" s="20" t="str">
        <f ca="1">IF(CALC2223!BD135&gt;2,INDIRECT(ADDRESS(MATCH(Agenda2526!C136,'CAL7'!A:A,0)+2,2,4,1,"CAL7")),"")</f>
        <v/>
      </c>
      <c r="AP135" s="21">
        <f ca="1">IF(CALC2223!BD135&gt;2,INDIRECT(ADDRESS(MATCH(Agenda2526!C136,'CAL7'!A:A,0)+2,3,4,1,"CAL7")),0)</f>
        <v>0</v>
      </c>
      <c r="AQ135" s="20" t="str">
        <f ca="1">IF(CALC2223!BE135&gt;0,INDIRECT(ADDRESS(MATCH(Agenda2526!C136,'CAL8'!A:A,0),2,4,1,"CAL8")),"")</f>
        <v/>
      </c>
      <c r="AR135" s="21">
        <f ca="1">IF(CALC2223!BE135&gt;0,INDIRECT(ADDRESS(MATCH(Agenda2526!C136,'CAL8'!A:A,0),3,4,1,"CAL8")),0)</f>
        <v>0</v>
      </c>
      <c r="AS135" s="20" t="str">
        <f ca="1">IF(CALC2223!BE135&gt;1,INDIRECT(ADDRESS(MATCH(Agenda2526!C136,'CAL8'!A:A,0)+1,2,4,1,"CAL8")),"")</f>
        <v/>
      </c>
      <c r="AT135" s="21">
        <f ca="1">IF(CALC2223!BE135&gt;1,INDIRECT(ADDRESS(MATCH(Agenda2526!C136,'CAL8'!A:A,0)+1,3,4,1,"CAL8")),0)</f>
        <v>0</v>
      </c>
      <c r="AU135" s="20" t="str">
        <f ca="1">IF(CALC2223!BE135&gt;2,INDIRECT(ADDRESS(MATCH(Agenda2526!C136,'CAL8'!A:A,0)+2,2,4,1,"CAL8")),"")</f>
        <v/>
      </c>
      <c r="AV135" s="21">
        <f ca="1">IF(CALC2223!BE135&gt;2,INDIRECT(ADDRESS(MATCH(Agenda2526!C136,'CAL8'!A:A,0)+2,3,4,1,"CAL8")),0)</f>
        <v>0</v>
      </c>
      <c r="AW135" s="105"/>
      <c r="AX135" s="20">
        <f>COUNTIF('CAL1'!A:A,Agenda2526!C136)</f>
        <v>0</v>
      </c>
      <c r="AY135" s="20">
        <f>COUNTIF('CAL2'!A:A,Agenda2526!C136)</f>
        <v>0</v>
      </c>
      <c r="AZ135" s="20">
        <f>COUNTIF('CAL3'!A:A,Agenda2526!C136)</f>
        <v>0</v>
      </c>
      <c r="BA135" s="20">
        <f>COUNTIF('CAL4'!A:A,Agenda2526!C136)</f>
        <v>1</v>
      </c>
      <c r="BB135" s="20">
        <f>COUNTIF('CAL5'!A:A,Agenda2526!C136)</f>
        <v>1</v>
      </c>
      <c r="BC135" s="20">
        <f>COUNTIF('CAL6'!A:A,Agenda2526!C136)</f>
        <v>0</v>
      </c>
      <c r="BD135" s="20">
        <f>COUNTIF('CAL7'!A:A,Agenda2526!C136)</f>
        <v>0</v>
      </c>
      <c r="BE135" s="20">
        <f>COUNTIF('CAL8'!A:A,Agenda2526!C136)</f>
        <v>0</v>
      </c>
    </row>
    <row r="136" spans="1:57" ht="15.75" customHeight="1">
      <c r="A136" s="20" t="str">
        <f ca="1">IF(CALC2223!AX136&gt;0,INDIRECT(ADDRESS(MATCH(Agenda2526!C137,'CAL1'!A:A,0),2,4,1,"CAL1")),"")</f>
        <v/>
      </c>
      <c r="B136" s="21">
        <f ca="1">IF(CALC2223!AX136&gt;0,INDIRECT(ADDRESS(MATCH(Agenda2526!C137,'CAL1'!A:A,0),3,4,1,"CAL1")),0)</f>
        <v>0</v>
      </c>
      <c r="C136" s="20" t="str">
        <f ca="1">IF(CALC2223!AX136&gt;1,INDIRECT(ADDRESS(MATCH(Agenda2526!C137,'CAL1'!A:A,0)+1,2,4,1,"CAL1")),"")</f>
        <v/>
      </c>
      <c r="D136" s="21">
        <f ca="1">IF(CALC2223!AX136&gt;1,INDIRECT(ADDRESS(MATCH(Agenda2526!C137,'CAL1'!A:A,0)+1,3,4,1,"CAL1")),0)</f>
        <v>0</v>
      </c>
      <c r="E136" s="20" t="str">
        <f ca="1">IF(CALC2223!AX136&gt;2,INDIRECT(ADDRESS(MATCH(Agenda2526!C137,'CAL1'!A:A,0)+2,2,4,1,"CAL1")),"")</f>
        <v/>
      </c>
      <c r="F136" s="21">
        <f ca="1">IF(CALC2223!AX136&gt;2,INDIRECT(ADDRESS(MATCH(Agenda2526!C137,'CAL1'!A:A,0)+2,3,4,1,"CAL1")),0)</f>
        <v>0</v>
      </c>
      <c r="G136" s="20" t="str">
        <f ca="1">IF(CALC2223!AY136&gt;0,INDIRECT(ADDRESS(MATCH(Agenda2526!C137,'CAL2'!A:A,0),2,4,1,"CAL2")),"")</f>
        <v/>
      </c>
      <c r="H136" s="21">
        <f ca="1">IF(CALC2223!AY136&gt;0,INDIRECT(ADDRESS(MATCH(Agenda2526!C137,'CAL2'!A:A,0),3,4,1,"CAL2")),0)</f>
        <v>0</v>
      </c>
      <c r="I136" s="20" t="str">
        <f ca="1">IF(CALC2223!AY136&gt;1,INDIRECT(ADDRESS(MATCH(Agenda2526!C137,'CAL2'!A:A,0)+1,2,4,1,"CAL2")),"")</f>
        <v/>
      </c>
      <c r="J136" s="21">
        <f ca="1">IF(CALC2223!AY136&gt;1,INDIRECT(ADDRESS(MATCH(Agenda2526!C137,'CAL2'!A:A,0)+1,3,4,1,"CAL2")),0)</f>
        <v>0</v>
      </c>
      <c r="K136" s="20" t="str">
        <f ca="1">IF(CALC2223!AY136&gt;2,INDIRECT(ADDRESS(MATCH(Agenda2526!C137,'CAL2'!A:A,0)+2,2,4,1,"CAL2")),"")</f>
        <v/>
      </c>
      <c r="L136" s="21">
        <f ca="1">IF(CALC2223!AY136&gt;2,INDIRECT(ADDRESS(MATCH(Agenda2526!C137,'CAL2'!A:A,0)+2,3,4,1,"CAL2")),0)</f>
        <v>0</v>
      </c>
      <c r="M136" s="20" t="str">
        <f ca="1">IF(CALC2223!AZ136&gt;0,INDIRECT(ADDRESS(MATCH(Agenda2526!C137,'CAL3'!A:A,0),2,4,1,"CAL3")),"")</f>
        <v/>
      </c>
      <c r="N136" s="21">
        <f ca="1">IF(CALC2223!AZ136&gt;0,INDIRECT(ADDRESS(MATCH(Agenda2526!C137,'CAL3'!A:A,0),3,4,1,"CAL3")),0)</f>
        <v>0</v>
      </c>
      <c r="O136" s="20" t="str">
        <f ca="1">IF(CALC2223!AZ136&gt;1,INDIRECT(ADDRESS(MATCH(Agenda2526!C137,'CAL3'!A:A,0)+1,2,4,1,"CAL3")),"")</f>
        <v/>
      </c>
      <c r="P136" s="21">
        <f ca="1">IF(CALC2223!AZ136&gt;1,INDIRECT(ADDRESS(MATCH(Agenda2526!C137,'CAL3'!A:A,0)+1,3,4,1,"CAL3")),0)</f>
        <v>0</v>
      </c>
      <c r="Q136" s="20" t="str">
        <f ca="1">IF(CALC2223!AZ136&gt;2,INDIRECT(ADDRESS(MATCH(Agenda2526!C137,'CAL3'!A:A,0)+2,2,4,1,"CAL3")),"")</f>
        <v/>
      </c>
      <c r="R136" s="21">
        <f ca="1">IF(CALC2223!AZ136&gt;2,INDIRECT(ADDRESS(MATCH(Agenda2526!C137,'CAL3'!A:A,0)+2,3,4,1,"CAL3")),0)</f>
        <v>0</v>
      </c>
      <c r="S136" s="20" t="str">
        <f ca="1">IF(CALC2223!BA136&gt;0,INDIRECT(ADDRESS(MATCH(Agenda2526!C137,'CAL4'!A:A,0),2,4,1,"CAL4")),"")</f>
        <v>Rep EN</v>
      </c>
      <c r="T136" s="21">
        <f ca="1">IF(CALC2223!BA136&gt;0,INDIRECT(ADDRESS(MATCH(Agenda2526!C137,'CAL4'!A:A,0),3,4,1,"CAL4")),0)</f>
        <v>45896</v>
      </c>
      <c r="U136" s="20" t="str">
        <f ca="1">IF(CALC2223!BA136&gt;1,INDIRECT(ADDRESS(MATCH(Agenda2526!C137,'CAL4'!A:A,0)+1,2,4,1,"CAL4")),"")</f>
        <v/>
      </c>
      <c r="V136" s="21">
        <f ca="1">IF(CALC2223!BA136&gt;1,INDIRECT(ADDRESS(MATCH(Agenda2526!C137,'CAL4'!A:A,0)+1,3,4,1,"CAL4")),0)</f>
        <v>0</v>
      </c>
      <c r="W136" s="20" t="str">
        <f ca="1">IF(CALC2223!BA136&gt;2,INDIRECT(ADDRESS(MATCH(Agenda2526!C137,'CAL4'!A:A,0)+2,2,4,1,"CAL4")),"")</f>
        <v/>
      </c>
      <c r="X136" s="21">
        <f ca="1">IF(CALC2223!BA136&gt;2,INDIRECT(ADDRESS(MATCH(Agenda2526!C137,'CAL4'!A:A,0)+2,3,4,1,"CAL4")),0)</f>
        <v>0</v>
      </c>
      <c r="Y136" s="20" t="str">
        <f ca="1">IF(CALC2223!BB136&gt;0,INDIRECT(ADDRESS(MATCH(Agenda2526!C137,'CAL5'!A:A,0),2,4,1,"CAL5")),"")</f>
        <v/>
      </c>
      <c r="Z136" s="21">
        <f ca="1">IF(CALC2223!BB136&gt;0,INDIRECT(ADDRESS(MATCH(Agenda2526!C137,'CAL5'!A:A,0),3,4,1,"CAL5")),0)</f>
        <v>0</v>
      </c>
      <c r="AA136" s="20" t="str">
        <f ca="1">IF(CALC2223!BB136&gt;1,INDIRECT(ADDRESS(MATCH(Agenda2526!C137,'CAL5'!A:A,0)+1,2,4,1,"CAL5")),"")</f>
        <v/>
      </c>
      <c r="AB136" s="21">
        <f ca="1">IF(CALC2223!BB136&gt;1,INDIRECT(ADDRESS(MATCH(Agenda2526!C137,'CAL5'!A:A,0)+1,3,4,1,"CAL5")),0)</f>
        <v>0</v>
      </c>
      <c r="AC136" s="20" t="str">
        <f ca="1">IF(CALC2223!BB136&gt;2,INDIRECT(ADDRESS(MATCH(Agenda2526!C137,'CAL5'!A:A,0)+2,2,4,1,"CAL5")),"")</f>
        <v/>
      </c>
      <c r="AD136" s="21">
        <f ca="1">IF(CALC2223!BB136&gt;2,INDIRECT(ADDRESS(MATCH(Agenda2526!C137,'CAL5'!A:A,0)+2,3,4,1,"CAL5")),0)</f>
        <v>0</v>
      </c>
      <c r="AE136" s="20" t="str">
        <f ca="1">IF(CALC2223!BC136&gt;0,INDIRECT(ADDRESS(MATCH(Agenda2526!C137,'CAL6'!A:A,0),2,4,1,"CAL6")),"")</f>
        <v>Inhaal SE's</v>
      </c>
      <c r="AF136" s="21">
        <f ca="1">IF(CALC2223!BC136&gt;0,INDIRECT(ADDRESS(MATCH(Agenda2526!C137,'CAL6'!A:A,0),3,4,1,"CAL6")),0)</f>
        <v>46030</v>
      </c>
      <c r="AG136" s="20" t="str">
        <f ca="1">IF(CALC2223!BC136&gt;1,INDIRECT(ADDRESS(MATCH(Agenda2526!C137,'CAL6'!A:A,0)+1,2,4,1,"CAL6")),"")</f>
        <v/>
      </c>
      <c r="AH136" s="21">
        <f ca="1">IF(CALC2223!BC136&gt;1,INDIRECT(ADDRESS(MATCH(Agenda2526!C137,'CAL6'!A:A,0)+1,3,4,1,"CAL6")),0)</f>
        <v>0</v>
      </c>
      <c r="AI136" s="20" t="str">
        <f ca="1">IF(CALC2223!BC136&gt;2,INDIRECT(ADDRESS(MATCH(Agenda2526!C137,'CAL6'!A:A,0)+2,2,4,1,"CAL6")),"")</f>
        <v/>
      </c>
      <c r="AJ136" s="21">
        <f ca="1">IF(CALC2223!BC136&gt;2,INDIRECT(ADDRESS(MATCH(Agenda2526!C137,'CAL6'!A:A,0)+2,3,4,1,"CAL6")),0)</f>
        <v>0</v>
      </c>
      <c r="AK136" s="20" t="str">
        <f ca="1">IF(CALC2223!BD136&gt;0,INDIRECT(ADDRESS(MATCH(Agenda2526!C137,'CAL7'!A:A,0),2,4,1,"CAL7")),"")</f>
        <v/>
      </c>
      <c r="AL136" s="21">
        <f ca="1">IF(CALC2223!BD136&gt;0,INDIRECT(ADDRESS(MATCH(Agenda2526!C137,'CAL7'!A:A,0),3,4,1,"CAL7")),0)</f>
        <v>0</v>
      </c>
      <c r="AM136" s="20" t="str">
        <f ca="1">IF(CALC2223!BD136&gt;1,INDIRECT(ADDRESS(MATCH(Agenda2526!C137,'CAL7'!A:A,0)+1,2,4,1,"CAL7")),"")</f>
        <v/>
      </c>
      <c r="AN136" s="21">
        <f ca="1">IF(CALC2223!BD136&gt;1,INDIRECT(ADDRESS(MATCH(Agenda2526!C137,'CAL7'!A:A,0)+1,3,4,1,"CAL7")),0)</f>
        <v>0</v>
      </c>
      <c r="AO136" s="20" t="str">
        <f ca="1">IF(CALC2223!BD136&gt;2,INDIRECT(ADDRESS(MATCH(Agenda2526!C137,'CAL7'!A:A,0)+2,2,4,1,"CAL7")),"")</f>
        <v/>
      </c>
      <c r="AP136" s="21">
        <f ca="1">IF(CALC2223!BD136&gt;2,INDIRECT(ADDRESS(MATCH(Agenda2526!C137,'CAL7'!A:A,0)+2,3,4,1,"CAL7")),0)</f>
        <v>0</v>
      </c>
      <c r="AQ136" s="20" t="str">
        <f ca="1">IF(CALC2223!BE136&gt;0,INDIRECT(ADDRESS(MATCH(Agenda2526!C137,'CAL8'!A:A,0),2,4,1,"CAL8")),"")</f>
        <v/>
      </c>
      <c r="AR136" s="21">
        <f ca="1">IF(CALC2223!BE136&gt;0,INDIRECT(ADDRESS(MATCH(Agenda2526!C137,'CAL8'!A:A,0),3,4,1,"CAL8")),0)</f>
        <v>0</v>
      </c>
      <c r="AS136" s="20" t="str">
        <f ca="1">IF(CALC2223!BE136&gt;1,INDIRECT(ADDRESS(MATCH(Agenda2526!C137,'CAL8'!A:A,0)+1,2,4,1,"CAL8")),"")</f>
        <v/>
      </c>
      <c r="AT136" s="21">
        <f ca="1">IF(CALC2223!BE136&gt;1,INDIRECT(ADDRESS(MATCH(Agenda2526!C137,'CAL8'!A:A,0)+1,3,4,1,"CAL8")),0)</f>
        <v>0</v>
      </c>
      <c r="AU136" s="20" t="str">
        <f ca="1">IF(CALC2223!BE136&gt;2,INDIRECT(ADDRESS(MATCH(Agenda2526!C137,'CAL8'!A:A,0)+2,2,4,1,"CAL8")),"")</f>
        <v/>
      </c>
      <c r="AV136" s="21">
        <f ca="1">IF(CALC2223!BE136&gt;2,INDIRECT(ADDRESS(MATCH(Agenda2526!C137,'CAL8'!A:A,0)+2,3,4,1,"CAL8")),0)</f>
        <v>0</v>
      </c>
      <c r="AW136" s="105"/>
      <c r="AX136" s="20">
        <f>COUNTIF('CAL1'!A:A,Agenda2526!C137)</f>
        <v>0</v>
      </c>
      <c r="AY136" s="20">
        <f>COUNTIF('CAL2'!A:A,Agenda2526!C137)</f>
        <v>0</v>
      </c>
      <c r="AZ136" s="20">
        <f>COUNTIF('CAL3'!A:A,Agenda2526!C137)</f>
        <v>0</v>
      </c>
      <c r="BA136" s="20">
        <f>COUNTIF('CAL4'!A:A,Agenda2526!C137)</f>
        <v>1</v>
      </c>
      <c r="BB136" s="20">
        <f>COUNTIF('CAL5'!A:A,Agenda2526!C137)</f>
        <v>0</v>
      </c>
      <c r="BC136" s="20">
        <f>COUNTIF('CAL6'!A:A,Agenda2526!C137)</f>
        <v>1</v>
      </c>
      <c r="BD136" s="20">
        <f>COUNTIF('CAL7'!A:A,Agenda2526!C137)</f>
        <v>0</v>
      </c>
      <c r="BE136" s="20">
        <f>COUNTIF('CAL8'!A:A,Agenda2526!C137)</f>
        <v>0</v>
      </c>
    </row>
    <row r="137" spans="1:57" ht="15.75" customHeight="1">
      <c r="A137" s="20" t="str">
        <f ca="1">IF(CALC2223!AX137&gt;0,INDIRECT(ADDRESS(MATCH(Agenda2526!C138,'CAL1'!A:A,0),2,4,1,"CAL1")),"")</f>
        <v>Rep FA</v>
      </c>
      <c r="B137" s="21">
        <f ca="1">IF(CALC2223!AX137&gt;0,INDIRECT(ADDRESS(MATCH(Agenda2526!C138,'CAL1'!A:A,0),3,4,1,"CAL1")),0)</f>
        <v>45901</v>
      </c>
      <c r="C137" s="20" t="str">
        <f ca="1">IF(CALC2223!AX137&gt;1,INDIRECT(ADDRESS(MATCH(Agenda2526!C138,'CAL1'!A:A,0)+1,2,4,1,"CAL1")),"")</f>
        <v/>
      </c>
      <c r="D137" s="21">
        <f ca="1">IF(CALC2223!AX137&gt;1,INDIRECT(ADDRESS(MATCH(Agenda2526!C138,'CAL1'!A:A,0)+1,3,4,1,"CAL1")),0)</f>
        <v>0</v>
      </c>
      <c r="E137" s="20" t="str">
        <f ca="1">IF(CALC2223!AX137&gt;2,INDIRECT(ADDRESS(MATCH(Agenda2526!C138,'CAL1'!A:A,0)+2,2,4,1,"CAL1")),"")</f>
        <v/>
      </c>
      <c r="F137" s="21">
        <f ca="1">IF(CALC2223!AX137&gt;2,INDIRECT(ADDRESS(MATCH(Agenda2526!C138,'CAL1'!A:A,0)+2,3,4,1,"CAL1")),0)</f>
        <v>0</v>
      </c>
      <c r="G137" s="20" t="str">
        <f ca="1">IF(CALC2223!AY137&gt;0,INDIRECT(ADDRESS(MATCH(Agenda2526!C138,'CAL2'!A:A,0),2,4,1,"CAL2")),"")</f>
        <v/>
      </c>
      <c r="H137" s="21">
        <f ca="1">IF(CALC2223!AY137&gt;0,INDIRECT(ADDRESS(MATCH(Agenda2526!C138,'CAL2'!A:A,0),3,4,1,"CAL2")),0)</f>
        <v>0</v>
      </c>
      <c r="I137" s="20" t="str">
        <f ca="1">IF(CALC2223!AY137&gt;1,INDIRECT(ADDRESS(MATCH(Agenda2526!C138,'CAL2'!A:A,0)+1,2,4,1,"CAL2")),"")</f>
        <v/>
      </c>
      <c r="J137" s="21">
        <f ca="1">IF(CALC2223!AY137&gt;1,INDIRECT(ADDRESS(MATCH(Agenda2526!C138,'CAL2'!A:A,0)+1,3,4,1,"CAL2")),0)</f>
        <v>0</v>
      </c>
      <c r="K137" s="20" t="str">
        <f ca="1">IF(CALC2223!AY137&gt;2,INDIRECT(ADDRESS(MATCH(Agenda2526!C138,'CAL2'!A:A,0)+2,2,4,1,"CAL2")),"")</f>
        <v/>
      </c>
      <c r="L137" s="21">
        <f ca="1">IF(CALC2223!AY137&gt;2,INDIRECT(ADDRESS(MATCH(Agenda2526!C138,'CAL2'!A:A,0)+2,3,4,1,"CAL2")),0)</f>
        <v>0</v>
      </c>
      <c r="M137" s="20" t="str">
        <f ca="1">IF(CALC2223!AZ137&gt;0,INDIRECT(ADDRESS(MATCH(Agenda2526!C138,'CAL3'!A:A,0),2,4,1,"CAL3")),"")</f>
        <v/>
      </c>
      <c r="N137" s="21">
        <f ca="1">IF(CALC2223!AZ137&gt;0,INDIRECT(ADDRESS(MATCH(Agenda2526!C138,'CAL3'!A:A,0),3,4,1,"CAL3")),0)</f>
        <v>0</v>
      </c>
      <c r="O137" s="20" t="str">
        <f ca="1">IF(CALC2223!AZ137&gt;1,INDIRECT(ADDRESS(MATCH(Agenda2526!C138,'CAL3'!A:A,0)+1,2,4,1,"CAL3")),"")</f>
        <v/>
      </c>
      <c r="P137" s="21">
        <f ca="1">IF(CALC2223!AZ137&gt;1,INDIRECT(ADDRESS(MATCH(Agenda2526!C138,'CAL3'!A:A,0)+1,3,4,1,"CAL3")),0)</f>
        <v>0</v>
      </c>
      <c r="Q137" s="20" t="str">
        <f ca="1">IF(CALC2223!AZ137&gt;2,INDIRECT(ADDRESS(MATCH(Agenda2526!C138,'CAL3'!A:A,0)+2,2,4,1,"CAL3")),"")</f>
        <v/>
      </c>
      <c r="R137" s="21">
        <f ca="1">IF(CALC2223!AZ137&gt;2,INDIRECT(ADDRESS(MATCH(Agenda2526!C138,'CAL3'!A:A,0)+2,3,4,1,"CAL3")),0)</f>
        <v>0</v>
      </c>
      <c r="S137" s="20" t="str">
        <f ca="1">IF(CALC2223!BA137&gt;0,INDIRECT(ADDRESS(MATCH(Agenda2526!C138,'CAL4'!A:A,0),2,4,1,"CAL4")),"")</f>
        <v/>
      </c>
      <c r="T137" s="21">
        <f ca="1">IF(CALC2223!BA137&gt;0,INDIRECT(ADDRESS(MATCH(Agenda2526!C138,'CAL4'!A:A,0),3,4,1,"CAL4")),0)</f>
        <v>0</v>
      </c>
      <c r="U137" s="20" t="str">
        <f ca="1">IF(CALC2223!BA137&gt;1,INDIRECT(ADDRESS(MATCH(Agenda2526!C138,'CAL4'!A:A,0)+1,2,4,1,"CAL4")),"")</f>
        <v/>
      </c>
      <c r="V137" s="21">
        <f ca="1">IF(CALC2223!BA137&gt;1,INDIRECT(ADDRESS(MATCH(Agenda2526!C138,'CAL4'!A:A,0)+1,3,4,1,"CAL4")),0)</f>
        <v>0</v>
      </c>
      <c r="W137" s="20" t="str">
        <f ca="1">IF(CALC2223!BA137&gt;2,INDIRECT(ADDRESS(MATCH(Agenda2526!C138,'CAL4'!A:A,0)+2,2,4,1,"CAL4")),"")</f>
        <v/>
      </c>
      <c r="X137" s="21">
        <f ca="1">IF(CALC2223!BA137&gt;2,INDIRECT(ADDRESS(MATCH(Agenda2526!C138,'CAL4'!A:A,0)+2,3,4,1,"CAL4")),0)</f>
        <v>0</v>
      </c>
      <c r="Y137" s="20" t="str">
        <f ca="1">IF(CALC2223!BB137&gt;0,INDIRECT(ADDRESS(MATCH(Agenda2526!C138,'CAL5'!A:A,0),2,4,1,"CAL5")),"")</f>
        <v>SE FI</v>
      </c>
      <c r="Z137" s="21">
        <f ca="1">IF(CALC2223!BB137&gt;0,INDIRECT(ADDRESS(MATCH(Agenda2526!C138,'CAL5'!A:A,0),3,4,1,"CAL5")),0)</f>
        <v>45896</v>
      </c>
      <c r="AA137" s="20" t="str">
        <f ca="1">IF(CALC2223!BB137&gt;1,INDIRECT(ADDRESS(MATCH(Agenda2526!C138,'CAL5'!A:A,0)+1,2,4,1,"CAL5")),"")</f>
        <v/>
      </c>
      <c r="AB137" s="21">
        <f ca="1">IF(CALC2223!BB137&gt;1,INDIRECT(ADDRESS(MATCH(Agenda2526!C138,'CAL5'!A:A,0)+1,3,4,1,"CAL5")),0)</f>
        <v>0</v>
      </c>
      <c r="AC137" s="20" t="str">
        <f ca="1">IF(CALC2223!BB137&gt;2,INDIRECT(ADDRESS(MATCH(Agenda2526!C138,'CAL5'!A:A,0)+2,2,4,1,"CAL5")),"")</f>
        <v/>
      </c>
      <c r="AD137" s="21">
        <f ca="1">IF(CALC2223!BB137&gt;2,INDIRECT(ADDRESS(MATCH(Agenda2526!C138,'CAL5'!A:A,0)+2,3,4,1,"CAL5")),0)</f>
        <v>0</v>
      </c>
      <c r="AE137" s="20" t="str">
        <f ca="1">IF(CALC2223!BC137&gt;0,INDIRECT(ADDRESS(MATCH(Agenda2526!C138,'CAL6'!A:A,0),2,4,1,"CAL6")),"")</f>
        <v>grtl bezoek Toneelvoorstelling Odyssee (8e+9e uur)</v>
      </c>
      <c r="AF137" s="21">
        <f ca="1">IF(CALC2223!BC137&gt;0,INDIRECT(ADDRESS(MATCH(Agenda2526!C138,'CAL6'!A:A,0),3,4,1,"CAL6")),0)</f>
        <v>45915</v>
      </c>
      <c r="AG137" s="20" t="str">
        <f ca="1">IF(CALC2223!BC137&gt;1,INDIRECT(ADDRESS(MATCH(Agenda2526!C138,'CAL6'!A:A,0)+1,2,4,1,"CAL6")),"")</f>
        <v/>
      </c>
      <c r="AH137" s="21">
        <f ca="1">IF(CALC2223!BC137&gt;1,INDIRECT(ADDRESS(MATCH(Agenda2526!C138,'CAL6'!A:A,0)+1,3,4,1,"CAL6")),0)</f>
        <v>0</v>
      </c>
      <c r="AI137" s="20" t="str">
        <f ca="1">IF(CALC2223!BC137&gt;2,INDIRECT(ADDRESS(MATCH(Agenda2526!C138,'CAL6'!A:A,0)+2,2,4,1,"CAL6")),"")</f>
        <v/>
      </c>
      <c r="AJ137" s="21">
        <f ca="1">IF(CALC2223!BC137&gt;2,INDIRECT(ADDRESS(MATCH(Agenda2526!C138,'CAL6'!A:A,0)+2,3,4,1,"CAL6")),0)</f>
        <v>0</v>
      </c>
      <c r="AK137" s="20" t="str">
        <f ca="1">IF(CALC2223!BD137&gt;0,INDIRECT(ADDRESS(MATCH(Agenda2526!C138,'CAL7'!A:A,0),2,4,1,"CAL7")),"")</f>
        <v/>
      </c>
      <c r="AL137" s="21">
        <f ca="1">IF(CALC2223!BD137&gt;0,INDIRECT(ADDRESS(MATCH(Agenda2526!C138,'CAL7'!A:A,0),3,4,1,"CAL7")),0)</f>
        <v>0</v>
      </c>
      <c r="AM137" s="20" t="str">
        <f ca="1">IF(CALC2223!BD137&gt;1,INDIRECT(ADDRESS(MATCH(Agenda2526!C138,'CAL7'!A:A,0)+1,2,4,1,"CAL7")),"")</f>
        <v/>
      </c>
      <c r="AN137" s="21">
        <f ca="1">IF(CALC2223!BD137&gt;1,INDIRECT(ADDRESS(MATCH(Agenda2526!C138,'CAL7'!A:A,0)+1,3,4,1,"CAL7")),0)</f>
        <v>0</v>
      </c>
      <c r="AO137" s="20" t="str">
        <f ca="1">IF(CALC2223!BD137&gt;2,INDIRECT(ADDRESS(MATCH(Agenda2526!C138,'CAL7'!A:A,0)+2,2,4,1,"CAL7")),"")</f>
        <v/>
      </c>
      <c r="AP137" s="21">
        <f ca="1">IF(CALC2223!BD137&gt;2,INDIRECT(ADDRESS(MATCH(Agenda2526!C138,'CAL7'!A:A,0)+2,3,4,1,"CAL7")),0)</f>
        <v>0</v>
      </c>
      <c r="AQ137" s="20" t="str">
        <f ca="1">IF(CALC2223!BE137&gt;0,INDIRECT(ADDRESS(MATCH(Agenda2526!C138,'CAL8'!A:A,0),2,4,1,"CAL8")),"")</f>
        <v/>
      </c>
      <c r="AR137" s="21">
        <f ca="1">IF(CALC2223!BE137&gt;0,INDIRECT(ADDRESS(MATCH(Agenda2526!C138,'CAL8'!A:A,0),3,4,1,"CAL8")),0)</f>
        <v>0</v>
      </c>
      <c r="AS137" s="20" t="str">
        <f ca="1">IF(CALC2223!BE137&gt;1,INDIRECT(ADDRESS(MATCH(Agenda2526!C138,'CAL8'!A:A,0)+1,2,4,1,"CAL8")),"")</f>
        <v/>
      </c>
      <c r="AT137" s="21">
        <f ca="1">IF(CALC2223!BE137&gt;1,INDIRECT(ADDRESS(MATCH(Agenda2526!C138,'CAL8'!A:A,0)+1,3,4,1,"CAL8")),0)</f>
        <v>0</v>
      </c>
      <c r="AU137" s="20" t="str">
        <f ca="1">IF(CALC2223!BE137&gt;2,INDIRECT(ADDRESS(MATCH(Agenda2526!C138,'CAL8'!A:A,0)+2,2,4,1,"CAL8")),"")</f>
        <v/>
      </c>
      <c r="AV137" s="21">
        <f ca="1">IF(CALC2223!BE137&gt;2,INDIRECT(ADDRESS(MATCH(Agenda2526!C138,'CAL8'!A:A,0)+2,3,4,1,"CAL8")),0)</f>
        <v>0</v>
      </c>
      <c r="AW137" s="105"/>
      <c r="AX137" s="20">
        <f>COUNTIF('CAL1'!A:A,Agenda2526!C138)</f>
        <v>1</v>
      </c>
      <c r="AY137" s="20">
        <f>COUNTIF('CAL2'!A:A,Agenda2526!C138)</f>
        <v>0</v>
      </c>
      <c r="AZ137" s="20">
        <f>COUNTIF('CAL3'!A:A,Agenda2526!C138)</f>
        <v>0</v>
      </c>
      <c r="BA137" s="20">
        <f>COUNTIF('CAL4'!A:A,Agenda2526!C138)</f>
        <v>0</v>
      </c>
      <c r="BB137" s="20">
        <f>COUNTIF('CAL5'!A:A,Agenda2526!C138)</f>
        <v>1</v>
      </c>
      <c r="BC137" s="20">
        <f>COUNTIF('CAL6'!A:A,Agenda2526!C138)</f>
        <v>1</v>
      </c>
      <c r="BD137" s="20">
        <f>COUNTIF('CAL7'!A:A,Agenda2526!C138)</f>
        <v>0</v>
      </c>
      <c r="BE137" s="20">
        <f>COUNTIF('CAL8'!A:A,Agenda2526!C138)</f>
        <v>0</v>
      </c>
    </row>
    <row r="138" spans="1:57" ht="15.75" customHeight="1">
      <c r="A138" s="20" t="str">
        <f ca="1">IF(CALC2223!AX138&gt;0,INDIRECT(ADDRESS(MATCH(Agenda2526!C139,'CAL1'!A:A,0),2,4,1,"CAL1")),"")</f>
        <v/>
      </c>
      <c r="B138" s="21">
        <f ca="1">IF(CALC2223!AX138&gt;0,INDIRECT(ADDRESS(MATCH(Agenda2526!C139,'CAL1'!A:A,0),3,4,1,"CAL1")),0)</f>
        <v>0</v>
      </c>
      <c r="C138" s="20" t="str">
        <f ca="1">IF(CALC2223!AX138&gt;1,INDIRECT(ADDRESS(MATCH(Agenda2526!C139,'CAL1'!A:A,0)+1,2,4,1,"CAL1")),"")</f>
        <v/>
      </c>
      <c r="D138" s="21">
        <f ca="1">IF(CALC2223!AX138&gt;1,INDIRECT(ADDRESS(MATCH(Agenda2526!C139,'CAL1'!A:A,0)+1,3,4,1,"CAL1")),0)</f>
        <v>0</v>
      </c>
      <c r="E138" s="20" t="str">
        <f ca="1">IF(CALC2223!AX138&gt;2,INDIRECT(ADDRESS(MATCH(Agenda2526!C139,'CAL1'!A:A,0)+2,2,4,1,"CAL1")),"")</f>
        <v/>
      </c>
      <c r="F138" s="21">
        <f ca="1">IF(CALC2223!AX138&gt;2,INDIRECT(ADDRESS(MATCH(Agenda2526!C139,'CAL1'!A:A,0)+2,3,4,1,"CAL1")),0)</f>
        <v>0</v>
      </c>
      <c r="G138" s="20" t="str">
        <f ca="1">IF(CALC2223!AY138&gt;0,INDIRECT(ADDRESS(MATCH(Agenda2526!C139,'CAL2'!A:A,0),2,4,1,"CAL2")),"")</f>
        <v/>
      </c>
      <c r="H138" s="21">
        <f ca="1">IF(CALC2223!AY138&gt;0,INDIRECT(ADDRESS(MATCH(Agenda2526!C139,'CAL2'!A:A,0),3,4,1,"CAL2")),0)</f>
        <v>0</v>
      </c>
      <c r="I138" s="20" t="str">
        <f ca="1">IF(CALC2223!AY138&gt;1,INDIRECT(ADDRESS(MATCH(Agenda2526!C139,'CAL2'!A:A,0)+1,2,4,1,"CAL2")),"")</f>
        <v/>
      </c>
      <c r="J138" s="21">
        <f ca="1">IF(CALC2223!AY138&gt;1,INDIRECT(ADDRESS(MATCH(Agenda2526!C139,'CAL2'!A:A,0)+1,3,4,1,"CAL2")),0)</f>
        <v>0</v>
      </c>
      <c r="K138" s="20" t="str">
        <f ca="1">IF(CALC2223!AY138&gt;2,INDIRECT(ADDRESS(MATCH(Agenda2526!C139,'CAL2'!A:A,0)+2,2,4,1,"CAL2")),"")</f>
        <v/>
      </c>
      <c r="L138" s="21">
        <f ca="1">IF(CALC2223!AY138&gt;2,INDIRECT(ADDRESS(MATCH(Agenda2526!C139,'CAL2'!A:A,0)+2,3,4,1,"CAL2")),0)</f>
        <v>0</v>
      </c>
      <c r="M138" s="20" t="str">
        <f ca="1">IF(CALC2223!AZ138&gt;0,INDIRECT(ADDRESS(MATCH(Agenda2526!C139,'CAL3'!A:A,0),2,4,1,"CAL3")),"")</f>
        <v>Rep AK</v>
      </c>
      <c r="N138" s="21">
        <f ca="1">IF(CALC2223!AZ138&gt;0,INDIRECT(ADDRESS(MATCH(Agenda2526!C139,'CAL3'!A:A,0),3,4,1,"CAL3")),0)</f>
        <v>46002</v>
      </c>
      <c r="O138" s="20" t="str">
        <f ca="1">IF(CALC2223!AZ138&gt;1,INDIRECT(ADDRESS(MATCH(Agenda2526!C139,'CAL3'!A:A,0)+1,2,4,1,"CAL3")),"")</f>
        <v/>
      </c>
      <c r="P138" s="21">
        <f ca="1">IF(CALC2223!AZ138&gt;1,INDIRECT(ADDRESS(MATCH(Agenda2526!C139,'CAL3'!A:A,0)+1,3,4,1,"CAL3")),0)</f>
        <v>0</v>
      </c>
      <c r="Q138" s="20" t="str">
        <f ca="1">IF(CALC2223!AZ138&gt;2,INDIRECT(ADDRESS(MATCH(Agenda2526!C139,'CAL3'!A:A,0)+2,2,4,1,"CAL3")),"")</f>
        <v/>
      </c>
      <c r="R138" s="21">
        <f ca="1">IF(CALC2223!AZ138&gt;2,INDIRECT(ADDRESS(MATCH(Agenda2526!C139,'CAL3'!A:A,0)+2,3,4,1,"CAL3")),0)</f>
        <v>0</v>
      </c>
      <c r="S138" s="20" t="str">
        <f ca="1">IF(CALC2223!BA138&gt;0,INDIRECT(ADDRESS(MATCH(Agenda2526!C139,'CAL4'!A:A,0),2,4,1,"CAL4")),"")</f>
        <v>Inh EC</v>
      </c>
      <c r="T138" s="21">
        <f ca="1">IF(CALC2223!BA138&gt;0,INDIRECT(ADDRESS(MATCH(Agenda2526!C139,'CAL4'!A:A,0),3,4,1,"CAL4")),0)</f>
        <v>46029</v>
      </c>
      <c r="U138" s="20" t="str">
        <f ca="1">IF(CALC2223!BA138&gt;1,INDIRECT(ADDRESS(MATCH(Agenda2526!C139,'CAL4'!A:A,0)+1,2,4,1,"CAL4")),"")</f>
        <v/>
      </c>
      <c r="V138" s="21">
        <f ca="1">IF(CALC2223!BA138&gt;1,INDIRECT(ADDRESS(MATCH(Agenda2526!C139,'CAL4'!A:A,0)+1,3,4,1,"CAL4")),0)</f>
        <v>0</v>
      </c>
      <c r="W138" s="20" t="str">
        <f ca="1">IF(CALC2223!BA138&gt;2,INDIRECT(ADDRESS(MATCH(Agenda2526!C139,'CAL4'!A:A,0)+2,2,4,1,"CAL4")),"")</f>
        <v/>
      </c>
      <c r="X138" s="21">
        <f ca="1">IF(CALC2223!BA138&gt;2,INDIRECT(ADDRESS(MATCH(Agenda2526!C139,'CAL4'!A:A,0)+2,3,4,1,"CAL4")),0)</f>
        <v>0</v>
      </c>
      <c r="Y138" s="20" t="str">
        <f ca="1">IF(CALC2223!BB138&gt;0,INDIRECT(ADDRESS(MATCH(Agenda2526!C139,'CAL5'!A:A,0),2,4,1,"CAL5")),"")</f>
        <v>inh SE AK en BE</v>
      </c>
      <c r="Z138" s="21">
        <f ca="1">IF(CALC2223!BB138&gt;0,INDIRECT(ADDRESS(MATCH(Agenda2526!C139,'CAL5'!A:A,0),3,4,1,"CAL5")),0)</f>
        <v>46029</v>
      </c>
      <c r="AA138" s="20" t="str">
        <f ca="1">IF(CALC2223!BB138&gt;1,INDIRECT(ADDRESS(MATCH(Agenda2526!C139,'CAL5'!A:A,0)+1,2,4,1,"CAL5")),"")</f>
        <v/>
      </c>
      <c r="AB138" s="21">
        <f ca="1">IF(CALC2223!BB138&gt;1,INDIRECT(ADDRESS(MATCH(Agenda2526!C139,'CAL5'!A:A,0)+1,3,4,1,"CAL5")),0)</f>
        <v>0</v>
      </c>
      <c r="AC138" s="20" t="str">
        <f ca="1">IF(CALC2223!BB138&gt;2,INDIRECT(ADDRESS(MATCH(Agenda2526!C139,'CAL5'!A:A,0)+2,2,4,1,"CAL5")),"")</f>
        <v/>
      </c>
      <c r="AD138" s="21">
        <f ca="1">IF(CALC2223!BB138&gt;2,INDIRECT(ADDRESS(MATCH(Agenda2526!C139,'CAL5'!A:A,0)+2,3,4,1,"CAL5")),0)</f>
        <v>0</v>
      </c>
      <c r="AE138" s="20" t="str">
        <f ca="1">IF(CALC2223!BC138&gt;0,INDIRECT(ADDRESS(MATCH(Agenda2526!C139,'CAL6'!A:A,0),2,4,1,"CAL6")),"")</f>
        <v>LO3:2</v>
      </c>
      <c r="AF138" s="21">
        <f ca="1">IF(CALC2223!BC138&gt;0,INDIRECT(ADDRESS(MATCH(Agenda2526!C139,'CAL6'!A:A,0),3,4,1,"CAL6")),0)</f>
        <v>45896</v>
      </c>
      <c r="AG138" s="20" t="str">
        <f ca="1">IF(CALC2223!BC138&gt;1,INDIRECT(ADDRESS(MATCH(Agenda2526!C139,'CAL6'!A:A,0)+1,2,4,1,"CAL6")),"")</f>
        <v>Inhaal SE's</v>
      </c>
      <c r="AH138" s="21">
        <f ca="1">IF(CALC2223!BC138&gt;1,INDIRECT(ADDRESS(MATCH(Agenda2526!C139,'CAL6'!A:A,0)+1,3,4,1,"CAL6")),0)</f>
        <v>46030</v>
      </c>
      <c r="AI138" s="20" t="str">
        <f ca="1">IF(CALC2223!BC138&gt;2,INDIRECT(ADDRESS(MATCH(Agenda2526!C139,'CAL6'!A:A,0)+2,2,4,1,"CAL6")),"")</f>
        <v/>
      </c>
      <c r="AJ138" s="21">
        <f ca="1">IF(CALC2223!BC138&gt;2,INDIRECT(ADDRESS(MATCH(Agenda2526!C139,'CAL6'!A:A,0)+2,3,4,1,"CAL6")),0)</f>
        <v>0</v>
      </c>
      <c r="AK138" s="20" t="str">
        <f ca="1">IF(CALC2223!BD138&gt;0,INDIRECT(ADDRESS(MATCH(Agenda2526!C139,'CAL7'!A:A,0),2,4,1,"CAL7")),"")</f>
        <v>studiemiddag#2</v>
      </c>
      <c r="AL138" s="21">
        <f ca="1">IF(CALC2223!BD138&gt;0,INDIRECT(ADDRESS(MATCH(Agenda2526!C139,'CAL7'!A:A,0),3,4,1,"CAL7")),0)</f>
        <v>45896</v>
      </c>
      <c r="AM138" s="20" t="str">
        <f ca="1">IF(CALC2223!BD138&gt;1,INDIRECT(ADDRESS(MATCH(Agenda2526!C139,'CAL7'!A:A,0)+1,2,4,1,"CAL7")),"")</f>
        <v/>
      </c>
      <c r="AN138" s="21">
        <f ca="1">IF(CALC2223!BD138&gt;1,INDIRECT(ADDRESS(MATCH(Agenda2526!C139,'CAL7'!A:A,0)+1,3,4,1,"CAL7")),0)</f>
        <v>0</v>
      </c>
      <c r="AO138" s="20" t="str">
        <f ca="1">IF(CALC2223!BD138&gt;2,INDIRECT(ADDRESS(MATCH(Agenda2526!C139,'CAL7'!A:A,0)+2,2,4,1,"CAL7")),"")</f>
        <v/>
      </c>
      <c r="AP138" s="21">
        <f ca="1">IF(CALC2223!BD138&gt;2,INDIRECT(ADDRESS(MATCH(Agenda2526!C139,'CAL7'!A:A,0)+2,3,4,1,"CAL7")),0)</f>
        <v>0</v>
      </c>
      <c r="AQ138" s="20" t="str">
        <f ca="1">IF(CALC2223!BE138&gt;0,INDIRECT(ADDRESS(MATCH(Agenda2526!C139,'CAL8'!A:A,0),2,4,1,"CAL8")),"")</f>
        <v/>
      </c>
      <c r="AR138" s="21">
        <f ca="1">IF(CALC2223!BE138&gt;0,INDIRECT(ADDRESS(MATCH(Agenda2526!C139,'CAL8'!A:A,0),3,4,1,"CAL8")),0)</f>
        <v>0</v>
      </c>
      <c r="AS138" s="20" t="str">
        <f ca="1">IF(CALC2223!BE138&gt;1,INDIRECT(ADDRESS(MATCH(Agenda2526!C139,'CAL8'!A:A,0)+1,2,4,1,"CAL8")),"")</f>
        <v/>
      </c>
      <c r="AT138" s="21">
        <f ca="1">IF(CALC2223!BE138&gt;1,INDIRECT(ADDRESS(MATCH(Agenda2526!C139,'CAL8'!A:A,0)+1,3,4,1,"CAL8")),0)</f>
        <v>0</v>
      </c>
      <c r="AU138" s="20" t="str">
        <f ca="1">IF(CALC2223!BE138&gt;2,INDIRECT(ADDRESS(MATCH(Agenda2526!C139,'CAL8'!A:A,0)+2,2,4,1,"CAL8")),"")</f>
        <v/>
      </c>
      <c r="AV138" s="21">
        <f ca="1">IF(CALC2223!BE138&gt;2,INDIRECT(ADDRESS(MATCH(Agenda2526!C139,'CAL8'!A:A,0)+2,3,4,1,"CAL8")),0)</f>
        <v>0</v>
      </c>
      <c r="AW138" s="105"/>
      <c r="AX138" s="20">
        <f>COUNTIF('CAL1'!A:A,Agenda2526!C139)</f>
        <v>0</v>
      </c>
      <c r="AY138" s="20">
        <f>COUNTIF('CAL2'!A:A,Agenda2526!C139)</f>
        <v>0</v>
      </c>
      <c r="AZ138" s="20">
        <f>COUNTIF('CAL3'!A:A,Agenda2526!C139)</f>
        <v>1</v>
      </c>
      <c r="BA138" s="20">
        <f>COUNTIF('CAL4'!A:A,Agenda2526!C139)</f>
        <v>1</v>
      </c>
      <c r="BB138" s="20">
        <f>COUNTIF('CAL5'!A:A,Agenda2526!C139)</f>
        <v>1</v>
      </c>
      <c r="BC138" s="20">
        <f>COUNTIF('CAL6'!A:A,Agenda2526!C139)</f>
        <v>2</v>
      </c>
      <c r="BD138" s="20">
        <f>COUNTIF('CAL7'!A:A,Agenda2526!C139)</f>
        <v>1</v>
      </c>
      <c r="BE138" s="20">
        <f>COUNTIF('CAL8'!A:A,Agenda2526!C139)</f>
        <v>0</v>
      </c>
    </row>
    <row r="139" spans="1:57" ht="15.75" customHeight="1">
      <c r="A139" s="20" t="str">
        <f ca="1">IF(CALC2223!AX139&gt;0,INDIRECT(ADDRESS(MATCH(Agenda2526!C140,'CAL1'!A:A,0),2,4,1,"CAL1")),"")</f>
        <v/>
      </c>
      <c r="B139" s="21">
        <f ca="1">IF(CALC2223!AX139&gt;0,INDIRECT(ADDRESS(MATCH(Agenda2526!C140,'CAL1'!A:A,0),3,4,1,"CAL1")),0)</f>
        <v>0</v>
      </c>
      <c r="C139" s="20" t="str">
        <f ca="1">IF(CALC2223!AX139&gt;1,INDIRECT(ADDRESS(MATCH(Agenda2526!C140,'CAL1'!A:A,0)+1,2,4,1,"CAL1")),"")</f>
        <v/>
      </c>
      <c r="D139" s="21">
        <f ca="1">IF(CALC2223!AX139&gt;1,INDIRECT(ADDRESS(MATCH(Agenda2526!C140,'CAL1'!A:A,0)+1,3,4,1,"CAL1")),0)</f>
        <v>0</v>
      </c>
      <c r="E139" s="20" t="str">
        <f ca="1">IF(CALC2223!AX139&gt;2,INDIRECT(ADDRESS(MATCH(Agenda2526!C140,'CAL1'!A:A,0)+2,2,4,1,"CAL1")),"")</f>
        <v/>
      </c>
      <c r="F139" s="21">
        <f ca="1">IF(CALC2223!AX139&gt;2,INDIRECT(ADDRESS(MATCH(Agenda2526!C140,'CAL1'!A:A,0)+2,3,4,1,"CAL1")),0)</f>
        <v>0</v>
      </c>
      <c r="G139" s="20" t="str">
        <f ca="1">IF(CALC2223!AY139&gt;0,INDIRECT(ADDRESS(MATCH(Agenda2526!C140,'CAL2'!A:A,0),2,4,1,"CAL2")),"")</f>
        <v>Rep AK</v>
      </c>
      <c r="H139" s="21">
        <f ca="1">IF(CALC2223!AY139&gt;0,INDIRECT(ADDRESS(MATCH(Agenda2526!C140,'CAL2'!A:A,0),3,4,1,"CAL2")),0)</f>
        <v>46031</v>
      </c>
      <c r="I139" s="20" t="str">
        <f ca="1">IF(CALC2223!AY139&gt;1,INDIRECT(ADDRESS(MATCH(Agenda2526!C140,'CAL2'!A:A,0)+1,2,4,1,"CAL2")),"")</f>
        <v/>
      </c>
      <c r="J139" s="21">
        <f ca="1">IF(CALC2223!AY139&gt;1,INDIRECT(ADDRESS(MATCH(Agenda2526!C140,'CAL2'!A:A,0)+1,3,4,1,"CAL2")),0)</f>
        <v>0</v>
      </c>
      <c r="K139" s="20" t="str">
        <f ca="1">IF(CALC2223!AY139&gt;2,INDIRECT(ADDRESS(MATCH(Agenda2526!C140,'CAL2'!A:A,0)+2,2,4,1,"CAL2")),"")</f>
        <v/>
      </c>
      <c r="L139" s="21">
        <f ca="1">IF(CALC2223!AY139&gt;2,INDIRECT(ADDRESS(MATCH(Agenda2526!C140,'CAL2'!A:A,0)+2,3,4,1,"CAL2")),0)</f>
        <v>0</v>
      </c>
      <c r="M139" s="20" t="str">
        <f ca="1">IF(CALC2223!AZ139&gt;0,INDIRECT(ADDRESS(MATCH(Agenda2526!C140,'CAL3'!A:A,0),2,4,1,"CAL3")),"")</f>
        <v/>
      </c>
      <c r="N139" s="21">
        <f ca="1">IF(CALC2223!AZ139&gt;0,INDIRECT(ADDRESS(MATCH(Agenda2526!C140,'CAL3'!A:A,0),3,4,1,"CAL3")),0)</f>
        <v>0</v>
      </c>
      <c r="O139" s="20" t="str">
        <f ca="1">IF(CALC2223!AZ139&gt;1,INDIRECT(ADDRESS(MATCH(Agenda2526!C140,'CAL3'!A:A,0)+1,2,4,1,"CAL3")),"")</f>
        <v/>
      </c>
      <c r="P139" s="21">
        <f ca="1">IF(CALC2223!AZ139&gt;1,INDIRECT(ADDRESS(MATCH(Agenda2526!C140,'CAL3'!A:A,0)+1,3,4,1,"CAL3")),0)</f>
        <v>0</v>
      </c>
      <c r="Q139" s="20" t="str">
        <f ca="1">IF(CALC2223!AZ139&gt;2,INDIRECT(ADDRESS(MATCH(Agenda2526!C140,'CAL3'!A:A,0)+2,2,4,1,"CAL3")),"")</f>
        <v/>
      </c>
      <c r="R139" s="21">
        <f ca="1">IF(CALC2223!AZ139&gt;2,INDIRECT(ADDRESS(MATCH(Agenda2526!C140,'CAL3'!A:A,0)+2,3,4,1,"CAL3")),0)</f>
        <v>0</v>
      </c>
      <c r="S139" s="20" t="str">
        <f ca="1">IF(CALC2223!BA139&gt;0,INDIRECT(ADDRESS(MATCH(Agenda2526!C140,'CAL4'!A:A,0),2,4,1,"CAL4")),"")</f>
        <v>Rep BI</v>
      </c>
      <c r="T139" s="21">
        <f ca="1">IF(CALC2223!BA139&gt;0,INDIRECT(ADDRESS(MATCH(Agenda2526!C140,'CAL4'!A:A,0),3,4,1,"CAL4")),0)</f>
        <v>45896</v>
      </c>
      <c r="U139" s="20" t="str">
        <f ca="1">IF(CALC2223!BA139&gt;1,INDIRECT(ADDRESS(MATCH(Agenda2526!C140,'CAL4'!A:A,0)+1,2,4,1,"CAL4")),"")</f>
        <v/>
      </c>
      <c r="V139" s="21">
        <f ca="1">IF(CALC2223!BA139&gt;1,INDIRECT(ADDRESS(MATCH(Agenda2526!C140,'CAL4'!A:A,0)+1,3,4,1,"CAL4")),0)</f>
        <v>0</v>
      </c>
      <c r="W139" s="20" t="str">
        <f ca="1">IF(CALC2223!BA139&gt;2,INDIRECT(ADDRESS(MATCH(Agenda2526!C140,'CAL4'!A:A,0)+2,2,4,1,"CAL4")),"")</f>
        <v/>
      </c>
      <c r="X139" s="21">
        <f ca="1">IF(CALC2223!BA139&gt;2,INDIRECT(ADDRESS(MATCH(Agenda2526!C140,'CAL4'!A:A,0)+2,3,4,1,"CAL4")),0)</f>
        <v>0</v>
      </c>
      <c r="Y139" s="20" t="str">
        <f ca="1">IF(CALC2223!BB139&gt;0,INDIRECT(ADDRESS(MATCH(Agenda2526!C140,'CAL5'!A:A,0),2,4,1,"CAL5")),"")</f>
        <v/>
      </c>
      <c r="Z139" s="21">
        <f ca="1">IF(CALC2223!BB139&gt;0,INDIRECT(ADDRESS(MATCH(Agenda2526!C140,'CAL5'!A:A,0),3,4,1,"CAL5")),0)</f>
        <v>0</v>
      </c>
      <c r="AA139" s="20" t="str">
        <f ca="1">IF(CALC2223!BB139&gt;1,INDIRECT(ADDRESS(MATCH(Agenda2526!C140,'CAL5'!A:A,0)+1,2,4,1,"CAL5")),"")</f>
        <v/>
      </c>
      <c r="AB139" s="21">
        <f ca="1">IF(CALC2223!BB139&gt;1,INDIRECT(ADDRESS(MATCH(Agenda2526!C140,'CAL5'!A:A,0)+1,3,4,1,"CAL5")),0)</f>
        <v>0</v>
      </c>
      <c r="AC139" s="20" t="str">
        <f ca="1">IF(CALC2223!BB139&gt;2,INDIRECT(ADDRESS(MATCH(Agenda2526!C140,'CAL5'!A:A,0)+2,2,4,1,"CAL5")),"")</f>
        <v/>
      </c>
      <c r="AD139" s="21">
        <f ca="1">IF(CALC2223!BB139&gt;2,INDIRECT(ADDRESS(MATCH(Agenda2526!C140,'CAL5'!A:A,0)+2,3,4,1,"CAL5")),0)</f>
        <v>0</v>
      </c>
      <c r="AE139" s="20" t="str">
        <f ca="1">IF(CALC2223!BC139&gt;0,INDIRECT(ADDRESS(MATCH(Agenda2526!C140,'CAL6'!A:A,0),2,4,1,"CAL6")),"")</f>
        <v/>
      </c>
      <c r="AF139" s="21">
        <f ca="1">IF(CALC2223!BC139&gt;0,INDIRECT(ADDRESS(MATCH(Agenda2526!C140,'CAL6'!A:A,0),3,4,1,"CAL6")),0)</f>
        <v>0</v>
      </c>
      <c r="AG139" s="20" t="str">
        <f ca="1">IF(CALC2223!BC139&gt;1,INDIRECT(ADDRESS(MATCH(Agenda2526!C140,'CAL6'!A:A,0)+1,2,4,1,"CAL6")),"")</f>
        <v/>
      </c>
      <c r="AH139" s="21">
        <f ca="1">IF(CALC2223!BC139&gt;1,INDIRECT(ADDRESS(MATCH(Agenda2526!C140,'CAL6'!A:A,0)+1,3,4,1,"CAL6")),0)</f>
        <v>0</v>
      </c>
      <c r="AI139" s="20" t="str">
        <f ca="1">IF(CALC2223!BC139&gt;2,INDIRECT(ADDRESS(MATCH(Agenda2526!C140,'CAL6'!A:A,0)+2,2,4,1,"CAL6")),"")</f>
        <v/>
      </c>
      <c r="AJ139" s="21">
        <f ca="1">IF(CALC2223!BC139&gt;2,INDIRECT(ADDRESS(MATCH(Agenda2526!C140,'CAL6'!A:A,0)+2,3,4,1,"CAL6")),0)</f>
        <v>0</v>
      </c>
      <c r="AK139" s="20" t="str">
        <f ca="1">IF(CALC2223!BD139&gt;0,INDIRECT(ADDRESS(MATCH(Agenda2526!C140,'CAL7'!A:A,0),2,4,1,"CAL7")),"")</f>
        <v/>
      </c>
      <c r="AL139" s="21">
        <f ca="1">IF(CALC2223!BD139&gt;0,INDIRECT(ADDRESS(MATCH(Agenda2526!C140,'CAL7'!A:A,0),3,4,1,"CAL7")),0)</f>
        <v>0</v>
      </c>
      <c r="AM139" s="20" t="str">
        <f ca="1">IF(CALC2223!BD139&gt;1,INDIRECT(ADDRESS(MATCH(Agenda2526!C140,'CAL7'!A:A,0)+1,2,4,1,"CAL7")),"")</f>
        <v/>
      </c>
      <c r="AN139" s="21">
        <f ca="1">IF(CALC2223!BD139&gt;1,INDIRECT(ADDRESS(MATCH(Agenda2526!C140,'CAL7'!A:A,0)+1,3,4,1,"CAL7")),0)</f>
        <v>0</v>
      </c>
      <c r="AO139" s="20" t="str">
        <f ca="1">IF(CALC2223!BD139&gt;2,INDIRECT(ADDRESS(MATCH(Agenda2526!C140,'CAL7'!A:A,0)+2,2,4,1,"CAL7")),"")</f>
        <v/>
      </c>
      <c r="AP139" s="21">
        <f ca="1">IF(CALC2223!BD139&gt;2,INDIRECT(ADDRESS(MATCH(Agenda2526!C140,'CAL7'!A:A,0)+2,3,4,1,"CAL7")),0)</f>
        <v>0</v>
      </c>
      <c r="AQ139" s="20" t="str">
        <f ca="1">IF(CALC2223!BE139&gt;0,INDIRECT(ADDRESS(MATCH(Agenda2526!C140,'CAL8'!A:A,0),2,4,1,"CAL8")),"")</f>
        <v/>
      </c>
      <c r="AR139" s="21">
        <f ca="1">IF(CALC2223!BE139&gt;0,INDIRECT(ADDRESS(MATCH(Agenda2526!C140,'CAL8'!A:A,0),3,4,1,"CAL8")),0)</f>
        <v>0</v>
      </c>
      <c r="AS139" s="20" t="str">
        <f ca="1">IF(CALC2223!BE139&gt;1,INDIRECT(ADDRESS(MATCH(Agenda2526!C140,'CAL8'!A:A,0)+1,2,4,1,"CAL8")),"")</f>
        <v/>
      </c>
      <c r="AT139" s="21">
        <f ca="1">IF(CALC2223!BE139&gt;1,INDIRECT(ADDRESS(MATCH(Agenda2526!C140,'CAL8'!A:A,0)+1,3,4,1,"CAL8")),0)</f>
        <v>0</v>
      </c>
      <c r="AU139" s="20" t="str">
        <f ca="1">IF(CALC2223!BE139&gt;2,INDIRECT(ADDRESS(MATCH(Agenda2526!C140,'CAL8'!A:A,0)+2,2,4,1,"CAL8")),"")</f>
        <v/>
      </c>
      <c r="AV139" s="21">
        <f ca="1">IF(CALC2223!BE139&gt;2,INDIRECT(ADDRESS(MATCH(Agenda2526!C140,'CAL8'!A:A,0)+2,3,4,1,"CAL8")),0)</f>
        <v>0</v>
      </c>
      <c r="AW139" s="105"/>
      <c r="AX139" s="20">
        <f>COUNTIF('CAL1'!A:A,Agenda2526!C140)</f>
        <v>0</v>
      </c>
      <c r="AY139" s="20">
        <f>COUNTIF('CAL2'!A:A,Agenda2526!C140)</f>
        <v>1</v>
      </c>
      <c r="AZ139" s="20">
        <f>COUNTIF('CAL3'!A:A,Agenda2526!C140)</f>
        <v>0</v>
      </c>
      <c r="BA139" s="20">
        <f>COUNTIF('CAL4'!A:A,Agenda2526!C140)</f>
        <v>1</v>
      </c>
      <c r="BB139" s="20">
        <f>COUNTIF('CAL5'!A:A,Agenda2526!C140)</f>
        <v>0</v>
      </c>
      <c r="BC139" s="20">
        <f>COUNTIF('CAL6'!A:A,Agenda2526!C140)</f>
        <v>0</v>
      </c>
      <c r="BD139" s="20">
        <f>COUNTIF('CAL7'!A:A,Agenda2526!C140)</f>
        <v>0</v>
      </c>
      <c r="BE139" s="20">
        <f>COUNTIF('CAL8'!A:A,Agenda2526!C140)</f>
        <v>0</v>
      </c>
    </row>
    <row r="140" spans="1:57" ht="15.75" customHeight="1">
      <c r="A140" s="20" t="str">
        <f ca="1">IF(CALC2223!AX140&gt;0,INDIRECT(ADDRESS(MATCH(Agenda2526!C141,'CAL1'!A:A,0),2,4,1,"CAL1")),"")</f>
        <v/>
      </c>
      <c r="B140" s="21">
        <f ca="1">IF(CALC2223!AX140&gt;0,INDIRECT(ADDRESS(MATCH(Agenda2526!C141,'CAL1'!A:A,0),3,4,1,"CAL1")),0)</f>
        <v>0</v>
      </c>
      <c r="C140" s="20" t="str">
        <f ca="1">IF(CALC2223!AX140&gt;1,INDIRECT(ADDRESS(MATCH(Agenda2526!C141,'CAL1'!A:A,0)+1,2,4,1,"CAL1")),"")</f>
        <v/>
      </c>
      <c r="D140" s="21">
        <f ca="1">IF(CALC2223!AX140&gt;1,INDIRECT(ADDRESS(MATCH(Agenda2526!C141,'CAL1'!A:A,0)+1,3,4,1,"CAL1")),0)</f>
        <v>0</v>
      </c>
      <c r="E140" s="20" t="str">
        <f ca="1">IF(CALC2223!AX140&gt;2,INDIRECT(ADDRESS(MATCH(Agenda2526!C141,'CAL1'!A:A,0)+2,2,4,1,"CAL1")),"")</f>
        <v/>
      </c>
      <c r="F140" s="21">
        <f ca="1">IF(CALC2223!AX140&gt;2,INDIRECT(ADDRESS(MATCH(Agenda2526!C141,'CAL1'!A:A,0)+2,3,4,1,"CAL1")),0)</f>
        <v>0</v>
      </c>
      <c r="G140" s="20" t="str">
        <f ca="1">IF(CALC2223!AY140&gt;0,INDIRECT(ADDRESS(MATCH(Agenda2526!C141,'CAL2'!A:A,0),2,4,1,"CAL2")),"")</f>
        <v/>
      </c>
      <c r="H140" s="21">
        <f ca="1">IF(CALC2223!AY140&gt;0,INDIRECT(ADDRESS(MATCH(Agenda2526!C141,'CAL2'!A:A,0),3,4,1,"CAL2")),0)</f>
        <v>0</v>
      </c>
      <c r="I140" s="20" t="str">
        <f ca="1">IF(CALC2223!AY140&gt;1,INDIRECT(ADDRESS(MATCH(Agenda2526!C141,'CAL2'!A:A,0)+1,2,4,1,"CAL2")),"")</f>
        <v/>
      </c>
      <c r="J140" s="21">
        <f ca="1">IF(CALC2223!AY140&gt;1,INDIRECT(ADDRESS(MATCH(Agenda2526!C141,'CAL2'!A:A,0)+1,3,4,1,"CAL2")),0)</f>
        <v>0</v>
      </c>
      <c r="K140" s="20" t="str">
        <f ca="1">IF(CALC2223!AY140&gt;2,INDIRECT(ADDRESS(MATCH(Agenda2526!C141,'CAL2'!A:A,0)+2,2,4,1,"CAL2")),"")</f>
        <v/>
      </c>
      <c r="L140" s="21">
        <f ca="1">IF(CALC2223!AY140&gt;2,INDIRECT(ADDRESS(MATCH(Agenda2526!C141,'CAL2'!A:A,0)+2,3,4,1,"CAL2")),0)</f>
        <v>0</v>
      </c>
      <c r="M140" s="20" t="str">
        <f ca="1">IF(CALC2223!AZ140&gt;0,INDIRECT(ADDRESS(MATCH(Agenda2526!C141,'CAL3'!A:A,0),2,4,1,"CAL3")),"")</f>
        <v/>
      </c>
      <c r="N140" s="21">
        <f ca="1">IF(CALC2223!AZ140&gt;0,INDIRECT(ADDRESS(MATCH(Agenda2526!C141,'CAL3'!A:A,0),3,4,1,"CAL3")),0)</f>
        <v>0</v>
      </c>
      <c r="O140" s="20" t="str">
        <f ca="1">IF(CALC2223!AZ140&gt;1,INDIRECT(ADDRESS(MATCH(Agenda2526!C141,'CAL3'!A:A,0)+1,2,4,1,"CAL3")),"")</f>
        <v/>
      </c>
      <c r="P140" s="21">
        <f ca="1">IF(CALC2223!AZ140&gt;1,INDIRECT(ADDRESS(MATCH(Agenda2526!C141,'CAL3'!A:A,0)+1,3,4,1,"CAL3")),0)</f>
        <v>0</v>
      </c>
      <c r="Q140" s="20" t="str">
        <f ca="1">IF(CALC2223!AZ140&gt;2,INDIRECT(ADDRESS(MATCH(Agenda2526!C141,'CAL3'!A:A,0)+2,2,4,1,"CAL3")),"")</f>
        <v/>
      </c>
      <c r="R140" s="21">
        <f ca="1">IF(CALC2223!AZ140&gt;2,INDIRECT(ADDRESS(MATCH(Agenda2526!C141,'CAL3'!A:A,0)+2,3,4,1,"CAL3")),0)</f>
        <v>0</v>
      </c>
      <c r="S140" s="20" t="str">
        <f ca="1">IF(CALC2223!BA140&gt;0,INDIRECT(ADDRESS(MATCH(Agenda2526!C141,'CAL4'!A:A,0),2,4,1,"CAL4")),"")</f>
        <v/>
      </c>
      <c r="T140" s="21">
        <f ca="1">IF(CALC2223!BA140&gt;0,INDIRECT(ADDRESS(MATCH(Agenda2526!C141,'CAL4'!A:A,0),3,4,1,"CAL4")),0)</f>
        <v>0</v>
      </c>
      <c r="U140" s="20" t="str">
        <f ca="1">IF(CALC2223!BA140&gt;1,INDIRECT(ADDRESS(MATCH(Agenda2526!C141,'CAL4'!A:A,0)+1,2,4,1,"CAL4")),"")</f>
        <v/>
      </c>
      <c r="V140" s="21">
        <f ca="1">IF(CALC2223!BA140&gt;1,INDIRECT(ADDRESS(MATCH(Agenda2526!C141,'CAL4'!A:A,0)+1,3,4,1,"CAL4")),0)</f>
        <v>0</v>
      </c>
      <c r="W140" s="20" t="str">
        <f ca="1">IF(CALC2223!BA140&gt;2,INDIRECT(ADDRESS(MATCH(Agenda2526!C141,'CAL4'!A:A,0)+2,2,4,1,"CAL4")),"")</f>
        <v/>
      </c>
      <c r="X140" s="21">
        <f ca="1">IF(CALC2223!BA140&gt;2,INDIRECT(ADDRESS(MATCH(Agenda2526!C141,'CAL4'!A:A,0)+2,3,4,1,"CAL4")),0)</f>
        <v>0</v>
      </c>
      <c r="Y140" s="20" t="str">
        <f ca="1">IF(CALC2223!BB140&gt;0,INDIRECT(ADDRESS(MATCH(Agenda2526!C141,'CAL5'!A:A,0),2,4,1,"CAL5")),"")</f>
        <v/>
      </c>
      <c r="Z140" s="21">
        <f ca="1">IF(CALC2223!BB140&gt;0,INDIRECT(ADDRESS(MATCH(Agenda2526!C141,'CAL5'!A:A,0),3,4,1,"CAL5")),0)</f>
        <v>0</v>
      </c>
      <c r="AA140" s="20" t="str">
        <f ca="1">IF(CALC2223!BB140&gt;1,INDIRECT(ADDRESS(MATCH(Agenda2526!C141,'CAL5'!A:A,0)+1,2,4,1,"CAL5")),"")</f>
        <v/>
      </c>
      <c r="AB140" s="21">
        <f ca="1">IF(CALC2223!BB140&gt;1,INDIRECT(ADDRESS(MATCH(Agenda2526!C141,'CAL5'!A:A,0)+1,3,4,1,"CAL5")),0)</f>
        <v>0</v>
      </c>
      <c r="AC140" s="20" t="str">
        <f ca="1">IF(CALC2223!BB140&gt;2,INDIRECT(ADDRESS(MATCH(Agenda2526!C141,'CAL5'!A:A,0)+2,2,4,1,"CAL5")),"")</f>
        <v/>
      </c>
      <c r="AD140" s="21">
        <f ca="1">IF(CALC2223!BB140&gt;2,INDIRECT(ADDRESS(MATCH(Agenda2526!C141,'CAL5'!A:A,0)+2,3,4,1,"CAL5")),0)</f>
        <v>0</v>
      </c>
      <c r="AE140" s="20" t="str">
        <f ca="1">IF(CALC2223!BC140&gt;0,INDIRECT(ADDRESS(MATCH(Agenda2526!C141,'CAL6'!A:A,0),2,4,1,"CAL6")),"")</f>
        <v/>
      </c>
      <c r="AF140" s="21">
        <f ca="1">IF(CALC2223!BC140&gt;0,INDIRECT(ADDRESS(MATCH(Agenda2526!C141,'CAL6'!A:A,0),3,4,1,"CAL6")),0)</f>
        <v>0</v>
      </c>
      <c r="AG140" s="20" t="str">
        <f ca="1">IF(CALC2223!BC140&gt;1,INDIRECT(ADDRESS(MATCH(Agenda2526!C141,'CAL6'!A:A,0)+1,2,4,1,"CAL6")),"")</f>
        <v/>
      </c>
      <c r="AH140" s="21">
        <f ca="1">IF(CALC2223!BC140&gt;1,INDIRECT(ADDRESS(MATCH(Agenda2526!C141,'CAL6'!A:A,0)+1,3,4,1,"CAL6")),0)</f>
        <v>0</v>
      </c>
      <c r="AI140" s="20" t="str">
        <f ca="1">IF(CALC2223!BC140&gt;2,INDIRECT(ADDRESS(MATCH(Agenda2526!C141,'CAL6'!A:A,0)+2,2,4,1,"CAL6")),"")</f>
        <v/>
      </c>
      <c r="AJ140" s="21">
        <f ca="1">IF(CALC2223!BC140&gt;2,INDIRECT(ADDRESS(MATCH(Agenda2526!C141,'CAL6'!A:A,0)+2,3,4,1,"CAL6")),0)</f>
        <v>0</v>
      </c>
      <c r="AK140" s="20" t="str">
        <f ca="1">IF(CALC2223!BD140&gt;0,INDIRECT(ADDRESS(MATCH(Agenda2526!C141,'CAL7'!A:A,0),2,4,1,"CAL7")),"")</f>
        <v/>
      </c>
      <c r="AL140" s="21">
        <f ca="1">IF(CALC2223!BD140&gt;0,INDIRECT(ADDRESS(MATCH(Agenda2526!C141,'CAL7'!A:A,0),3,4,1,"CAL7")),0)</f>
        <v>0</v>
      </c>
      <c r="AM140" s="20" t="str">
        <f ca="1">IF(CALC2223!BD140&gt;1,INDIRECT(ADDRESS(MATCH(Agenda2526!C141,'CAL7'!A:A,0)+1,2,4,1,"CAL7")),"")</f>
        <v/>
      </c>
      <c r="AN140" s="21">
        <f ca="1">IF(CALC2223!BD140&gt;1,INDIRECT(ADDRESS(MATCH(Agenda2526!C141,'CAL7'!A:A,0)+1,3,4,1,"CAL7")),0)</f>
        <v>0</v>
      </c>
      <c r="AO140" s="20" t="str">
        <f ca="1">IF(CALC2223!BD140&gt;2,INDIRECT(ADDRESS(MATCH(Agenda2526!C141,'CAL7'!A:A,0)+2,2,4,1,"CAL7")),"")</f>
        <v/>
      </c>
      <c r="AP140" s="21">
        <f ca="1">IF(CALC2223!BD140&gt;2,INDIRECT(ADDRESS(MATCH(Agenda2526!C141,'CAL7'!A:A,0)+2,3,4,1,"CAL7")),0)</f>
        <v>0</v>
      </c>
      <c r="AQ140" s="20" t="str">
        <f ca="1">IF(CALC2223!BE140&gt;0,INDIRECT(ADDRESS(MATCH(Agenda2526!C141,'CAL8'!A:A,0),2,4,1,"CAL8")),"")</f>
        <v/>
      </c>
      <c r="AR140" s="21">
        <f ca="1">IF(CALC2223!BE140&gt;0,INDIRECT(ADDRESS(MATCH(Agenda2526!C141,'CAL8'!A:A,0),3,4,1,"CAL8")),0)</f>
        <v>0</v>
      </c>
      <c r="AS140" s="20" t="str">
        <f ca="1">IF(CALC2223!BE140&gt;1,INDIRECT(ADDRESS(MATCH(Agenda2526!C141,'CAL8'!A:A,0)+1,2,4,1,"CAL8")),"")</f>
        <v/>
      </c>
      <c r="AT140" s="21">
        <f ca="1">IF(CALC2223!BE140&gt;1,INDIRECT(ADDRESS(MATCH(Agenda2526!C141,'CAL8'!A:A,0)+1,3,4,1,"CAL8")),0)</f>
        <v>0</v>
      </c>
      <c r="AU140" s="20" t="str">
        <f ca="1">IF(CALC2223!BE140&gt;2,INDIRECT(ADDRESS(MATCH(Agenda2526!C141,'CAL8'!A:A,0)+2,2,4,1,"CAL8")),"")</f>
        <v/>
      </c>
      <c r="AV140" s="21">
        <f ca="1">IF(CALC2223!BE140&gt;2,INDIRECT(ADDRESS(MATCH(Agenda2526!C141,'CAL8'!A:A,0)+2,3,4,1,"CAL8")),0)</f>
        <v>0</v>
      </c>
      <c r="AW140" s="106"/>
      <c r="AX140" s="20">
        <f>COUNTIF('CAL1'!A:A,Agenda2526!C141)</f>
        <v>0</v>
      </c>
      <c r="AY140" s="20">
        <f>COUNTIF('CAL2'!A:A,Agenda2526!C141)</f>
        <v>0</v>
      </c>
      <c r="AZ140" s="20">
        <f>COUNTIF('CAL3'!A:A,Agenda2526!C141)</f>
        <v>0</v>
      </c>
      <c r="BA140" s="20">
        <f>COUNTIF('CAL4'!A:A,Agenda2526!C141)</f>
        <v>0</v>
      </c>
      <c r="BB140" s="20">
        <f>COUNTIF('CAL5'!A:A,Agenda2526!C141)</f>
        <v>0</v>
      </c>
      <c r="BC140" s="20">
        <f>COUNTIF('CAL6'!A:A,Agenda2526!C141)</f>
        <v>0</v>
      </c>
      <c r="BD140" s="20">
        <f>COUNTIF('CAL7'!A:A,Agenda2526!C141)</f>
        <v>0</v>
      </c>
      <c r="BE140" s="20">
        <f>COUNTIF('CAL8'!A:A,Agenda2526!C141)</f>
        <v>0</v>
      </c>
    </row>
    <row r="141" spans="1:57" ht="15.75" customHeight="1">
      <c r="A141" s="20" t="str">
        <f ca="1">IF(CALC2223!AX141&gt;0,INDIRECT(ADDRESS(MATCH(Agenda2526!C142,'CAL1'!A:A,0),2,4,1,"CAL1")),"")</f>
        <v/>
      </c>
      <c r="B141" s="21">
        <f ca="1">IF(CALC2223!AX141&gt;0,INDIRECT(ADDRESS(MATCH(Agenda2526!C142,'CAL1'!A:A,0),3,4,1,"CAL1")),0)</f>
        <v>0</v>
      </c>
      <c r="C141" s="20" t="str">
        <f ca="1">IF(CALC2223!AX141&gt;1,INDIRECT(ADDRESS(MATCH(Agenda2526!C142,'CAL1'!A:A,0)+1,2,4,1,"CAL1")),"")</f>
        <v/>
      </c>
      <c r="D141" s="21">
        <f ca="1">IF(CALC2223!AX141&gt;1,INDIRECT(ADDRESS(MATCH(Agenda2526!C142,'CAL1'!A:A,0)+1,3,4,1,"CAL1")),0)</f>
        <v>0</v>
      </c>
      <c r="E141" s="20" t="str">
        <f ca="1">IF(CALC2223!AX141&gt;2,INDIRECT(ADDRESS(MATCH(Agenda2526!C142,'CAL1'!A:A,0)+2,2,4,1,"CAL1")),"")</f>
        <v/>
      </c>
      <c r="F141" s="21">
        <f ca="1">IF(CALC2223!AX141&gt;2,INDIRECT(ADDRESS(MATCH(Agenda2526!C142,'CAL1'!A:A,0)+2,3,4,1,"CAL1")),0)</f>
        <v>0</v>
      </c>
      <c r="G141" s="20" t="str">
        <f ca="1">IF(CALC2223!AY141&gt;0,INDIRECT(ADDRESS(MATCH(Agenda2526!C142,'CAL2'!A:A,0),2,4,1,"CAL2")),"")</f>
        <v/>
      </c>
      <c r="H141" s="21">
        <f ca="1">IF(CALC2223!AY141&gt;0,INDIRECT(ADDRESS(MATCH(Agenda2526!C142,'CAL2'!A:A,0),3,4,1,"CAL2")),0)</f>
        <v>0</v>
      </c>
      <c r="I141" s="20" t="str">
        <f ca="1">IF(CALC2223!AY141&gt;1,INDIRECT(ADDRESS(MATCH(Agenda2526!C142,'CAL2'!A:A,0)+1,2,4,1,"CAL2")),"")</f>
        <v/>
      </c>
      <c r="J141" s="21">
        <f ca="1">IF(CALC2223!AY141&gt;1,INDIRECT(ADDRESS(MATCH(Agenda2526!C142,'CAL2'!A:A,0)+1,3,4,1,"CAL2")),0)</f>
        <v>0</v>
      </c>
      <c r="K141" s="20" t="str">
        <f ca="1">IF(CALC2223!AY141&gt;2,INDIRECT(ADDRESS(MATCH(Agenda2526!C142,'CAL2'!A:A,0)+2,2,4,1,"CAL2")),"")</f>
        <v/>
      </c>
      <c r="L141" s="21">
        <f ca="1">IF(CALC2223!AY141&gt;2,INDIRECT(ADDRESS(MATCH(Agenda2526!C142,'CAL2'!A:A,0)+2,3,4,1,"CAL2")),0)</f>
        <v>0</v>
      </c>
      <c r="M141" s="20" t="str">
        <f ca="1">IF(CALC2223!AZ141&gt;0,INDIRECT(ADDRESS(MATCH(Agenda2526!C142,'CAL3'!A:A,0),2,4,1,"CAL3")),"")</f>
        <v/>
      </c>
      <c r="N141" s="21">
        <f ca="1">IF(CALC2223!AZ141&gt;0,INDIRECT(ADDRESS(MATCH(Agenda2526!C142,'CAL3'!A:A,0),3,4,1,"CAL3")),0)</f>
        <v>0</v>
      </c>
      <c r="O141" s="20" t="str">
        <f ca="1">IF(CALC2223!AZ141&gt;1,INDIRECT(ADDRESS(MATCH(Agenda2526!C142,'CAL3'!A:A,0)+1,2,4,1,"CAL3")),"")</f>
        <v/>
      </c>
      <c r="P141" s="21">
        <f ca="1">IF(CALC2223!AZ141&gt;1,INDIRECT(ADDRESS(MATCH(Agenda2526!C142,'CAL3'!A:A,0)+1,3,4,1,"CAL3")),0)</f>
        <v>0</v>
      </c>
      <c r="Q141" s="20" t="str">
        <f ca="1">IF(CALC2223!AZ141&gt;2,INDIRECT(ADDRESS(MATCH(Agenda2526!C142,'CAL3'!A:A,0)+2,2,4,1,"CAL3")),"")</f>
        <v/>
      </c>
      <c r="R141" s="21">
        <f ca="1">IF(CALC2223!AZ141&gt;2,INDIRECT(ADDRESS(MATCH(Agenda2526!C142,'CAL3'!A:A,0)+2,3,4,1,"CAL3")),0)</f>
        <v>0</v>
      </c>
      <c r="S141" s="20" t="str">
        <f ca="1">IF(CALC2223!BA141&gt;0,INDIRECT(ADDRESS(MATCH(Agenda2526!C142,'CAL4'!A:A,0),2,4,1,"CAL4")),"")</f>
        <v/>
      </c>
      <c r="T141" s="21">
        <f ca="1">IF(CALC2223!BA141&gt;0,INDIRECT(ADDRESS(MATCH(Agenda2526!C142,'CAL4'!A:A,0),3,4,1,"CAL4")),0)</f>
        <v>0</v>
      </c>
      <c r="U141" s="20" t="str">
        <f ca="1">IF(CALC2223!BA141&gt;1,INDIRECT(ADDRESS(MATCH(Agenda2526!C142,'CAL4'!A:A,0)+1,2,4,1,"CAL4")),"")</f>
        <v/>
      </c>
      <c r="V141" s="21">
        <f ca="1">IF(CALC2223!BA141&gt;1,INDIRECT(ADDRESS(MATCH(Agenda2526!C142,'CAL4'!A:A,0)+1,3,4,1,"CAL4")),0)</f>
        <v>0</v>
      </c>
      <c r="W141" s="20" t="str">
        <f ca="1">IF(CALC2223!BA141&gt;2,INDIRECT(ADDRESS(MATCH(Agenda2526!C142,'CAL4'!A:A,0)+2,2,4,1,"CAL4")),"")</f>
        <v/>
      </c>
      <c r="X141" s="21">
        <f ca="1">IF(CALC2223!BA141&gt;2,INDIRECT(ADDRESS(MATCH(Agenda2526!C142,'CAL4'!A:A,0)+2,3,4,1,"CAL4")),0)</f>
        <v>0</v>
      </c>
      <c r="Y141" s="20" t="str">
        <f ca="1">IF(CALC2223!BB141&gt;0,INDIRECT(ADDRESS(MATCH(Agenda2526!C142,'CAL5'!A:A,0),2,4,1,"CAL5")),"")</f>
        <v/>
      </c>
      <c r="Z141" s="21">
        <f ca="1">IF(CALC2223!BB141&gt;0,INDIRECT(ADDRESS(MATCH(Agenda2526!C142,'CAL5'!A:A,0),3,4,1,"CAL5")),0)</f>
        <v>0</v>
      </c>
      <c r="AA141" s="20" t="str">
        <f ca="1">IF(CALC2223!BB141&gt;1,INDIRECT(ADDRESS(MATCH(Agenda2526!C142,'CAL5'!A:A,0)+1,2,4,1,"CAL5")),"")</f>
        <v/>
      </c>
      <c r="AB141" s="21">
        <f ca="1">IF(CALC2223!BB141&gt;1,INDIRECT(ADDRESS(MATCH(Agenda2526!C142,'CAL5'!A:A,0)+1,3,4,1,"CAL5")),0)</f>
        <v>0</v>
      </c>
      <c r="AC141" s="20" t="str">
        <f ca="1">IF(CALC2223!BB141&gt;2,INDIRECT(ADDRESS(MATCH(Agenda2526!C142,'CAL5'!A:A,0)+2,2,4,1,"CAL5")),"")</f>
        <v/>
      </c>
      <c r="AD141" s="21">
        <f ca="1">IF(CALC2223!BB141&gt;2,INDIRECT(ADDRESS(MATCH(Agenda2526!C142,'CAL5'!A:A,0)+2,3,4,1,"CAL5")),0)</f>
        <v>0</v>
      </c>
      <c r="AE141" s="20" t="str">
        <f ca="1">IF(CALC2223!BC141&gt;0,INDIRECT(ADDRESS(MATCH(Agenda2526!C142,'CAL6'!A:A,0),2,4,1,"CAL6")),"")</f>
        <v/>
      </c>
      <c r="AF141" s="21">
        <f ca="1">IF(CALC2223!BC141&gt;0,INDIRECT(ADDRESS(MATCH(Agenda2526!C142,'CAL6'!A:A,0),3,4,1,"CAL6")),0)</f>
        <v>0</v>
      </c>
      <c r="AG141" s="20" t="str">
        <f ca="1">IF(CALC2223!BC141&gt;1,INDIRECT(ADDRESS(MATCH(Agenda2526!C142,'CAL6'!A:A,0)+1,2,4,1,"CAL6")),"")</f>
        <v/>
      </c>
      <c r="AH141" s="21">
        <f ca="1">IF(CALC2223!BC141&gt;1,INDIRECT(ADDRESS(MATCH(Agenda2526!C142,'CAL6'!A:A,0)+1,3,4,1,"CAL6")),0)</f>
        <v>0</v>
      </c>
      <c r="AI141" s="20" t="str">
        <f ca="1">IF(CALC2223!BC141&gt;2,INDIRECT(ADDRESS(MATCH(Agenda2526!C142,'CAL6'!A:A,0)+2,2,4,1,"CAL6")),"")</f>
        <v/>
      </c>
      <c r="AJ141" s="21">
        <f ca="1">IF(CALC2223!BC141&gt;2,INDIRECT(ADDRESS(MATCH(Agenda2526!C142,'CAL6'!A:A,0)+2,3,4,1,"CAL6")),0)</f>
        <v>0</v>
      </c>
      <c r="AK141" s="20" t="str">
        <f ca="1">IF(CALC2223!BD141&gt;0,INDIRECT(ADDRESS(MATCH(Agenda2526!C142,'CAL7'!A:A,0),2,4,1,"CAL7")),"")</f>
        <v/>
      </c>
      <c r="AL141" s="21">
        <f ca="1">IF(CALC2223!BD141&gt;0,INDIRECT(ADDRESS(MATCH(Agenda2526!C142,'CAL7'!A:A,0),3,4,1,"CAL7")),0)</f>
        <v>0</v>
      </c>
      <c r="AM141" s="20" t="str">
        <f ca="1">IF(CALC2223!BD141&gt;1,INDIRECT(ADDRESS(MATCH(Agenda2526!C142,'CAL7'!A:A,0)+1,2,4,1,"CAL7")),"")</f>
        <v/>
      </c>
      <c r="AN141" s="21">
        <f ca="1">IF(CALC2223!BD141&gt;1,INDIRECT(ADDRESS(MATCH(Agenda2526!C142,'CAL7'!A:A,0)+1,3,4,1,"CAL7")),0)</f>
        <v>0</v>
      </c>
      <c r="AO141" s="20" t="str">
        <f ca="1">IF(CALC2223!BD141&gt;2,INDIRECT(ADDRESS(MATCH(Agenda2526!C142,'CAL7'!A:A,0)+2,2,4,1,"CAL7")),"")</f>
        <v/>
      </c>
      <c r="AP141" s="21">
        <f ca="1">IF(CALC2223!BD141&gt;2,INDIRECT(ADDRESS(MATCH(Agenda2526!C142,'CAL7'!A:A,0)+2,3,4,1,"CAL7")),0)</f>
        <v>0</v>
      </c>
      <c r="AQ141" s="20" t="str">
        <f ca="1">IF(CALC2223!BE141&gt;0,INDIRECT(ADDRESS(MATCH(Agenda2526!C142,'CAL8'!A:A,0),2,4,1,"CAL8")),"")</f>
        <v/>
      </c>
      <c r="AR141" s="21">
        <f ca="1">IF(CALC2223!BE141&gt;0,INDIRECT(ADDRESS(MATCH(Agenda2526!C142,'CAL8'!A:A,0),3,4,1,"CAL8")),0)</f>
        <v>0</v>
      </c>
      <c r="AS141" s="20" t="str">
        <f ca="1">IF(CALC2223!BE141&gt;1,INDIRECT(ADDRESS(MATCH(Agenda2526!C142,'CAL8'!A:A,0)+1,2,4,1,"CAL8")),"")</f>
        <v/>
      </c>
      <c r="AT141" s="21">
        <f ca="1">IF(CALC2223!BE141&gt;1,INDIRECT(ADDRESS(MATCH(Agenda2526!C142,'CAL8'!A:A,0)+1,3,4,1,"CAL8")),0)</f>
        <v>0</v>
      </c>
      <c r="AU141" s="20" t="str">
        <f ca="1">IF(CALC2223!BE141&gt;2,INDIRECT(ADDRESS(MATCH(Agenda2526!C142,'CAL8'!A:A,0)+2,2,4,1,"CAL8")),"")</f>
        <v/>
      </c>
      <c r="AV141" s="21">
        <f ca="1">IF(CALC2223!BE141&gt;2,INDIRECT(ADDRESS(MATCH(Agenda2526!C142,'CAL8'!A:A,0)+2,3,4,1,"CAL8")),0)</f>
        <v>0</v>
      </c>
      <c r="AW141" s="106"/>
      <c r="AX141" s="20">
        <f>COUNTIF('CAL1'!A:A,Agenda2526!C142)</f>
        <v>0</v>
      </c>
      <c r="AY141" s="20">
        <f>COUNTIF('CAL2'!A:A,Agenda2526!C142)</f>
        <v>0</v>
      </c>
      <c r="AZ141" s="20">
        <f>COUNTIF('CAL3'!A:A,Agenda2526!C142)</f>
        <v>0</v>
      </c>
      <c r="BA141" s="20">
        <f>COUNTIF('CAL4'!A:A,Agenda2526!C142)</f>
        <v>0</v>
      </c>
      <c r="BB141" s="20">
        <f>COUNTIF('CAL5'!A:A,Agenda2526!C142)</f>
        <v>0</v>
      </c>
      <c r="BC141" s="20">
        <f>COUNTIF('CAL6'!A:A,Agenda2526!C142)</f>
        <v>0</v>
      </c>
      <c r="BD141" s="20">
        <f>COUNTIF('CAL7'!A:A,Agenda2526!C142)</f>
        <v>0</v>
      </c>
      <c r="BE141" s="20">
        <f>COUNTIF('CAL8'!A:A,Agenda2526!C142)</f>
        <v>0</v>
      </c>
    </row>
    <row r="142" spans="1:57" ht="15.75" customHeight="1">
      <c r="A142" s="20" t="str">
        <f ca="1">IF(CALC2223!AX142&gt;0,INDIRECT(ADDRESS(MATCH(Agenda2526!C143,'CAL1'!A:A,0),2,4,1,"CAL1")),"")</f>
        <v/>
      </c>
      <c r="B142" s="21">
        <f ca="1">IF(CALC2223!AX142&gt;0,INDIRECT(ADDRESS(MATCH(Agenda2526!C143,'CAL1'!A:A,0),3,4,1,"CAL1")),0)</f>
        <v>0</v>
      </c>
      <c r="C142" s="20" t="str">
        <f ca="1">IF(CALC2223!AX142&gt;1,INDIRECT(ADDRESS(MATCH(Agenda2526!C143,'CAL1'!A:A,0)+1,2,4,1,"CAL1")),"")</f>
        <v/>
      </c>
      <c r="D142" s="21">
        <f ca="1">IF(CALC2223!AX142&gt;1,INDIRECT(ADDRESS(MATCH(Agenda2526!C143,'CAL1'!A:A,0)+1,3,4,1,"CAL1")),0)</f>
        <v>0</v>
      </c>
      <c r="E142" s="20" t="str">
        <f ca="1">IF(CALC2223!AX142&gt;2,INDIRECT(ADDRESS(MATCH(Agenda2526!C143,'CAL1'!A:A,0)+2,2,4,1,"CAL1")),"")</f>
        <v/>
      </c>
      <c r="F142" s="21">
        <f ca="1">IF(CALC2223!AX142&gt;2,INDIRECT(ADDRESS(MATCH(Agenda2526!C143,'CAL1'!A:A,0)+2,3,4,1,"CAL1")),0)</f>
        <v>0</v>
      </c>
      <c r="G142" s="20" t="str">
        <f ca="1">IF(CALC2223!AY142&gt;0,INDIRECT(ADDRESS(MATCH(Agenda2526!C143,'CAL2'!A:A,0),2,4,1,"CAL2")),"")</f>
        <v/>
      </c>
      <c r="H142" s="21">
        <f ca="1">IF(CALC2223!AY142&gt;0,INDIRECT(ADDRESS(MATCH(Agenda2526!C143,'CAL2'!A:A,0),3,4,1,"CAL2")),0)</f>
        <v>0</v>
      </c>
      <c r="I142" s="20" t="str">
        <f ca="1">IF(CALC2223!AY142&gt;1,INDIRECT(ADDRESS(MATCH(Agenda2526!C143,'CAL2'!A:A,0)+1,2,4,1,"CAL2")),"")</f>
        <v/>
      </c>
      <c r="J142" s="21">
        <f ca="1">IF(CALC2223!AY142&gt;1,INDIRECT(ADDRESS(MATCH(Agenda2526!C143,'CAL2'!A:A,0)+1,3,4,1,"CAL2")),0)</f>
        <v>0</v>
      </c>
      <c r="K142" s="20" t="str">
        <f ca="1">IF(CALC2223!AY142&gt;2,INDIRECT(ADDRESS(MATCH(Agenda2526!C143,'CAL2'!A:A,0)+2,2,4,1,"CAL2")),"")</f>
        <v/>
      </c>
      <c r="L142" s="21">
        <f ca="1">IF(CALC2223!AY142&gt;2,INDIRECT(ADDRESS(MATCH(Agenda2526!C143,'CAL2'!A:A,0)+2,3,4,1,"CAL2")),0)</f>
        <v>0</v>
      </c>
      <c r="M142" s="20" t="str">
        <f ca="1">IF(CALC2223!AZ142&gt;0,INDIRECT(ADDRESS(MATCH(Agenda2526!C143,'CAL3'!A:A,0),2,4,1,"CAL3")),"")</f>
        <v/>
      </c>
      <c r="N142" s="21">
        <f ca="1">IF(CALC2223!AZ142&gt;0,INDIRECT(ADDRESS(MATCH(Agenda2526!C143,'CAL3'!A:A,0),3,4,1,"CAL3")),0)</f>
        <v>0</v>
      </c>
      <c r="O142" s="20" t="str">
        <f ca="1">IF(CALC2223!AZ142&gt;1,INDIRECT(ADDRESS(MATCH(Agenda2526!C143,'CAL3'!A:A,0)+1,2,4,1,"CAL3")),"")</f>
        <v/>
      </c>
      <c r="P142" s="21">
        <f ca="1">IF(CALC2223!AZ142&gt;1,INDIRECT(ADDRESS(MATCH(Agenda2526!C143,'CAL3'!A:A,0)+1,3,4,1,"CAL3")),0)</f>
        <v>0</v>
      </c>
      <c r="Q142" s="20" t="str">
        <f ca="1">IF(CALC2223!AZ142&gt;2,INDIRECT(ADDRESS(MATCH(Agenda2526!C143,'CAL3'!A:A,0)+2,2,4,1,"CAL3")),"")</f>
        <v/>
      </c>
      <c r="R142" s="21">
        <f ca="1">IF(CALC2223!AZ142&gt;2,INDIRECT(ADDRESS(MATCH(Agenda2526!C143,'CAL3'!A:A,0)+2,3,4,1,"CAL3")),0)</f>
        <v>0</v>
      </c>
      <c r="S142" s="20" t="str">
        <f ca="1">IF(CALC2223!BA142&gt;0,INDIRECT(ADDRESS(MATCH(Agenda2526!C143,'CAL4'!A:A,0),2,4,1,"CAL4")),"")</f>
        <v/>
      </c>
      <c r="T142" s="21">
        <f ca="1">IF(CALC2223!BA142&gt;0,INDIRECT(ADDRESS(MATCH(Agenda2526!C143,'CAL4'!A:A,0),3,4,1,"CAL4")),0)</f>
        <v>0</v>
      </c>
      <c r="U142" s="20" t="str">
        <f ca="1">IF(CALC2223!BA142&gt;1,INDIRECT(ADDRESS(MATCH(Agenda2526!C143,'CAL4'!A:A,0)+1,2,4,1,"CAL4")),"")</f>
        <v/>
      </c>
      <c r="V142" s="21">
        <f ca="1">IF(CALC2223!BA142&gt;1,INDIRECT(ADDRESS(MATCH(Agenda2526!C143,'CAL4'!A:A,0)+1,3,4,1,"CAL4")),0)</f>
        <v>0</v>
      </c>
      <c r="W142" s="20" t="str">
        <f ca="1">IF(CALC2223!BA142&gt;2,INDIRECT(ADDRESS(MATCH(Agenda2526!C143,'CAL4'!A:A,0)+2,2,4,1,"CAL4")),"")</f>
        <v/>
      </c>
      <c r="X142" s="21">
        <f ca="1">IF(CALC2223!BA142&gt;2,INDIRECT(ADDRESS(MATCH(Agenda2526!C143,'CAL4'!A:A,0)+2,3,4,1,"CAL4")),0)</f>
        <v>0</v>
      </c>
      <c r="Y142" s="20" t="str">
        <f ca="1">IF(CALC2223!BB142&gt;0,INDIRECT(ADDRESS(MATCH(Agenda2526!C143,'CAL5'!A:A,0),2,4,1,"CAL5")),"")</f>
        <v>Inh SE BI (1e en 2e uur!)</v>
      </c>
      <c r="Z142" s="21">
        <f ca="1">IF(CALC2223!BB142&gt;0,INDIRECT(ADDRESS(MATCH(Agenda2526!C143,'CAL5'!A:A,0),3,4,1,"CAL5")),0)</f>
        <v>46027</v>
      </c>
      <c r="AA142" s="20" t="str">
        <f ca="1">IF(CALC2223!BB142&gt;1,INDIRECT(ADDRESS(MATCH(Agenda2526!C143,'CAL5'!A:A,0)+1,2,4,1,"CAL5")),"")</f>
        <v/>
      </c>
      <c r="AB142" s="21">
        <f ca="1">IF(CALC2223!BB142&gt;1,INDIRECT(ADDRESS(MATCH(Agenda2526!C143,'CAL5'!A:A,0)+1,3,4,1,"CAL5")),0)</f>
        <v>0</v>
      </c>
      <c r="AC142" s="20" t="str">
        <f ca="1">IF(CALC2223!BB142&gt;2,INDIRECT(ADDRESS(MATCH(Agenda2526!C143,'CAL5'!A:A,0)+2,2,4,1,"CAL5")),"")</f>
        <v/>
      </c>
      <c r="AD142" s="21">
        <f ca="1">IF(CALC2223!BB142&gt;2,INDIRECT(ADDRESS(MATCH(Agenda2526!C143,'CAL5'!A:A,0)+2,3,4,1,"CAL5")),0)</f>
        <v>0</v>
      </c>
      <c r="AE142" s="20" t="str">
        <f ca="1">IF(CALC2223!BC142&gt;0,INDIRECT(ADDRESS(MATCH(Agenda2526!C143,'CAL6'!A:A,0),2,4,1,"CAL6")),"")</f>
        <v>KLT Duits</v>
      </c>
      <c r="AF142" s="21">
        <f ca="1">IF(CALC2223!BC142&gt;0,INDIRECT(ADDRESS(MATCH(Agenda2526!C143,'CAL6'!A:A,0),3,4,1,"CAL6")),0)</f>
        <v>45915</v>
      </c>
      <c r="AG142" s="20" t="str">
        <f ca="1">IF(CALC2223!BC142&gt;1,INDIRECT(ADDRESS(MATCH(Agenda2526!C143,'CAL6'!A:A,0)+1,2,4,1,"CAL6")),"")</f>
        <v>KLT Duits</v>
      </c>
      <c r="AH142" s="21">
        <f ca="1">IF(CALC2223!BC142&gt;1,INDIRECT(ADDRESS(MATCH(Agenda2526!C143,'CAL6'!A:A,0)+1,3,4,1,"CAL6")),0)</f>
        <v>45896</v>
      </c>
      <c r="AI142" s="20" t="str">
        <f ca="1">IF(CALC2223!BC142&gt;2,INDIRECT(ADDRESS(MATCH(Agenda2526!C143,'CAL6'!A:A,0)+2,2,4,1,"CAL6")),"")</f>
        <v/>
      </c>
      <c r="AJ142" s="21">
        <f ca="1">IF(CALC2223!BC142&gt;2,INDIRECT(ADDRESS(MATCH(Agenda2526!C143,'CAL6'!A:A,0)+2,3,4,1,"CAL6")),0)</f>
        <v>0</v>
      </c>
      <c r="AK142" s="20" t="str">
        <f ca="1">IF(CALC2223!BD142&gt;0,INDIRECT(ADDRESS(MATCH(Agenda2526!C143,'CAL7'!A:A,0),2,4,1,"CAL7")),"")</f>
        <v/>
      </c>
      <c r="AL142" s="21">
        <f ca="1">IF(CALC2223!BD142&gt;0,INDIRECT(ADDRESS(MATCH(Agenda2526!C143,'CAL7'!A:A,0),3,4,1,"CAL7")),0)</f>
        <v>0</v>
      </c>
      <c r="AM142" s="20" t="str">
        <f ca="1">IF(CALC2223!BD142&gt;1,INDIRECT(ADDRESS(MATCH(Agenda2526!C143,'CAL7'!A:A,0)+1,2,4,1,"CAL7")),"")</f>
        <v/>
      </c>
      <c r="AN142" s="21">
        <f ca="1">IF(CALC2223!BD142&gt;1,INDIRECT(ADDRESS(MATCH(Agenda2526!C143,'CAL7'!A:A,0)+1,3,4,1,"CAL7")),0)</f>
        <v>0</v>
      </c>
      <c r="AO142" s="20" t="str">
        <f ca="1">IF(CALC2223!BD142&gt;2,INDIRECT(ADDRESS(MATCH(Agenda2526!C143,'CAL7'!A:A,0)+2,2,4,1,"CAL7")),"")</f>
        <v/>
      </c>
      <c r="AP142" s="21">
        <f ca="1">IF(CALC2223!BD142&gt;2,INDIRECT(ADDRESS(MATCH(Agenda2526!C143,'CAL7'!A:A,0)+2,3,4,1,"CAL7")),0)</f>
        <v>0</v>
      </c>
      <c r="AQ142" s="20" t="str">
        <f ca="1">IF(CALC2223!BE142&gt;0,INDIRECT(ADDRESS(MATCH(Agenda2526!C143,'CAL8'!A:A,0),2,4,1,"CAL8")),"")</f>
        <v/>
      </c>
      <c r="AR142" s="21">
        <f ca="1">IF(CALC2223!BE142&gt;0,INDIRECT(ADDRESS(MATCH(Agenda2526!C143,'CAL8'!A:A,0),3,4,1,"CAL8")),0)</f>
        <v>0</v>
      </c>
      <c r="AS142" s="20" t="str">
        <f ca="1">IF(CALC2223!BE142&gt;1,INDIRECT(ADDRESS(MATCH(Agenda2526!C143,'CAL8'!A:A,0)+1,2,4,1,"CAL8")),"")</f>
        <v/>
      </c>
      <c r="AT142" s="21">
        <f ca="1">IF(CALC2223!BE142&gt;1,INDIRECT(ADDRESS(MATCH(Agenda2526!C143,'CAL8'!A:A,0)+1,3,4,1,"CAL8")),0)</f>
        <v>0</v>
      </c>
      <c r="AU142" s="20" t="str">
        <f ca="1">IF(CALC2223!BE142&gt;2,INDIRECT(ADDRESS(MATCH(Agenda2526!C143,'CAL8'!A:A,0)+2,2,4,1,"CAL8")),"")</f>
        <v/>
      </c>
      <c r="AV142" s="21">
        <f ca="1">IF(CALC2223!BE142&gt;2,INDIRECT(ADDRESS(MATCH(Agenda2526!C143,'CAL8'!A:A,0)+2,3,4,1,"CAL8")),0)</f>
        <v>0</v>
      </c>
      <c r="AW142" s="105"/>
      <c r="AX142" s="20">
        <f>COUNTIF('CAL1'!A:A,Agenda2526!C143)</f>
        <v>0</v>
      </c>
      <c r="AY142" s="20">
        <f>COUNTIF('CAL2'!A:A,Agenda2526!C143)</f>
        <v>0</v>
      </c>
      <c r="AZ142" s="20">
        <f>COUNTIF('CAL3'!A:A,Agenda2526!C143)</f>
        <v>0</v>
      </c>
      <c r="BA142" s="20">
        <f>COUNTIF('CAL4'!A:A,Agenda2526!C143)</f>
        <v>0</v>
      </c>
      <c r="BB142" s="20">
        <f>COUNTIF('CAL5'!A:A,Agenda2526!C143)</f>
        <v>1</v>
      </c>
      <c r="BC142" s="20">
        <f>COUNTIF('CAL6'!A:A,Agenda2526!C143)</f>
        <v>2</v>
      </c>
      <c r="BD142" s="20">
        <f>COUNTIF('CAL7'!A:A,Agenda2526!C143)</f>
        <v>0</v>
      </c>
      <c r="BE142" s="20">
        <f>COUNTIF('CAL8'!A:A,Agenda2526!C143)</f>
        <v>0</v>
      </c>
    </row>
    <row r="143" spans="1:57" ht="15.75" customHeight="1">
      <c r="A143" s="20" t="str">
        <f ca="1">IF(CALC2223!AX143&gt;0,INDIRECT(ADDRESS(MATCH(Agenda2526!C144,'CAL1'!A:A,0),2,4,1,"CAL1")),"")</f>
        <v/>
      </c>
      <c r="B143" s="21">
        <f ca="1">IF(CALC2223!AX143&gt;0,INDIRECT(ADDRESS(MATCH(Agenda2526!C144,'CAL1'!A:A,0),3,4,1,"CAL1")),0)</f>
        <v>0</v>
      </c>
      <c r="C143" s="20" t="str">
        <f ca="1">IF(CALC2223!AX143&gt;1,INDIRECT(ADDRESS(MATCH(Agenda2526!C144,'CAL1'!A:A,0)+1,2,4,1,"CAL1")),"")</f>
        <v/>
      </c>
      <c r="D143" s="21">
        <f ca="1">IF(CALC2223!AX143&gt;1,INDIRECT(ADDRESS(MATCH(Agenda2526!C144,'CAL1'!A:A,0)+1,3,4,1,"CAL1")),0)</f>
        <v>0</v>
      </c>
      <c r="E143" s="20" t="str">
        <f ca="1">IF(CALC2223!AX143&gt;2,INDIRECT(ADDRESS(MATCH(Agenda2526!C144,'CAL1'!A:A,0)+2,2,4,1,"CAL1")),"")</f>
        <v/>
      </c>
      <c r="F143" s="21">
        <f ca="1">IF(CALC2223!AX143&gt;2,INDIRECT(ADDRESS(MATCH(Agenda2526!C144,'CAL1'!A:A,0)+2,3,4,1,"CAL1")),0)</f>
        <v>0</v>
      </c>
      <c r="G143" s="20" t="str">
        <f ca="1">IF(CALC2223!AY143&gt;0,INDIRECT(ADDRESS(MATCH(Agenda2526!C144,'CAL2'!A:A,0),2,4,1,"CAL2")),"")</f>
        <v/>
      </c>
      <c r="H143" s="21">
        <f ca="1">IF(CALC2223!AY143&gt;0,INDIRECT(ADDRESS(MATCH(Agenda2526!C144,'CAL2'!A:A,0),3,4,1,"CAL2")),0)</f>
        <v>0</v>
      </c>
      <c r="I143" s="20" t="str">
        <f ca="1">IF(CALC2223!AY143&gt;1,INDIRECT(ADDRESS(MATCH(Agenda2526!C144,'CAL2'!A:A,0)+1,2,4,1,"CAL2")),"")</f>
        <v/>
      </c>
      <c r="J143" s="21">
        <f ca="1">IF(CALC2223!AY143&gt;1,INDIRECT(ADDRESS(MATCH(Agenda2526!C144,'CAL2'!A:A,0)+1,3,4,1,"CAL2")),0)</f>
        <v>0</v>
      </c>
      <c r="K143" s="20" t="str">
        <f ca="1">IF(CALC2223!AY143&gt;2,INDIRECT(ADDRESS(MATCH(Agenda2526!C144,'CAL2'!A:A,0)+2,2,4,1,"CAL2")),"")</f>
        <v/>
      </c>
      <c r="L143" s="21">
        <f ca="1">IF(CALC2223!AY143&gt;2,INDIRECT(ADDRESS(MATCH(Agenda2526!C144,'CAL2'!A:A,0)+2,3,4,1,"CAL2")),0)</f>
        <v>0</v>
      </c>
      <c r="M143" s="20" t="str">
        <f ca="1">IF(CALC2223!AZ143&gt;0,INDIRECT(ADDRESS(MATCH(Agenda2526!C144,'CAL3'!A:A,0),2,4,1,"CAL3")),"")</f>
        <v/>
      </c>
      <c r="N143" s="21">
        <f ca="1">IF(CALC2223!AZ143&gt;0,INDIRECT(ADDRESS(MATCH(Agenda2526!C144,'CAL3'!A:A,0),3,4,1,"CAL3")),0)</f>
        <v>0</v>
      </c>
      <c r="O143" s="20" t="str">
        <f ca="1">IF(CALC2223!AZ143&gt;1,INDIRECT(ADDRESS(MATCH(Agenda2526!C144,'CAL3'!A:A,0)+1,2,4,1,"CAL3")),"")</f>
        <v/>
      </c>
      <c r="P143" s="21">
        <f ca="1">IF(CALC2223!AZ143&gt;1,INDIRECT(ADDRESS(MATCH(Agenda2526!C144,'CAL3'!A:A,0)+1,3,4,1,"CAL3")),0)</f>
        <v>0</v>
      </c>
      <c r="Q143" s="20" t="str">
        <f ca="1">IF(CALC2223!AZ143&gt;2,INDIRECT(ADDRESS(MATCH(Agenda2526!C144,'CAL3'!A:A,0)+2,2,4,1,"CAL3")),"")</f>
        <v/>
      </c>
      <c r="R143" s="21">
        <f ca="1">IF(CALC2223!AZ143&gt;2,INDIRECT(ADDRESS(MATCH(Agenda2526!C144,'CAL3'!A:A,0)+2,3,4,1,"CAL3")),0)</f>
        <v>0</v>
      </c>
      <c r="S143" s="20" t="str">
        <f ca="1">IF(CALC2223!BA143&gt;0,INDIRECT(ADDRESS(MATCH(Agenda2526!C144,'CAL4'!A:A,0),2,4,1,"CAL4")),"")</f>
        <v>Rep AK</v>
      </c>
      <c r="T143" s="21">
        <f ca="1">IF(CALC2223!BA143&gt;0,INDIRECT(ADDRESS(MATCH(Agenda2526!C144,'CAL4'!A:A,0),3,4,1,"CAL4")),0)</f>
        <v>45896</v>
      </c>
      <c r="U143" s="20" t="str">
        <f ca="1">IF(CALC2223!BA143&gt;1,INDIRECT(ADDRESS(MATCH(Agenda2526!C144,'CAL4'!A:A,0)+1,2,4,1,"CAL4")),"")</f>
        <v/>
      </c>
      <c r="V143" s="21">
        <f ca="1">IF(CALC2223!BA143&gt;1,INDIRECT(ADDRESS(MATCH(Agenda2526!C144,'CAL4'!A:A,0)+1,3,4,1,"CAL4")),0)</f>
        <v>0</v>
      </c>
      <c r="W143" s="20" t="str">
        <f ca="1">IF(CALC2223!BA143&gt;2,INDIRECT(ADDRESS(MATCH(Agenda2526!C144,'CAL4'!A:A,0)+2,2,4,1,"CAL4")),"")</f>
        <v/>
      </c>
      <c r="X143" s="21">
        <f ca="1">IF(CALC2223!BA143&gt;2,INDIRECT(ADDRESS(MATCH(Agenda2526!C144,'CAL4'!A:A,0)+2,3,4,1,"CAL4")),0)</f>
        <v>0</v>
      </c>
      <c r="Y143" s="20" t="str">
        <f ca="1">IF(CALC2223!BB143&gt;0,INDIRECT(ADDRESS(MATCH(Agenda2526!C144,'CAL5'!A:A,0),2,4,1,"CAL5")),"")</f>
        <v/>
      </c>
      <c r="Z143" s="21">
        <f ca="1">IF(CALC2223!BB143&gt;0,INDIRECT(ADDRESS(MATCH(Agenda2526!C144,'CAL5'!A:A,0),3,4,1,"CAL5")),0)</f>
        <v>0</v>
      </c>
      <c r="AA143" s="20" t="str">
        <f ca="1">IF(CALC2223!BB143&gt;1,INDIRECT(ADDRESS(MATCH(Agenda2526!C144,'CAL5'!A:A,0)+1,2,4,1,"CAL5")),"")</f>
        <v/>
      </c>
      <c r="AB143" s="21">
        <f ca="1">IF(CALC2223!BB143&gt;1,INDIRECT(ADDRESS(MATCH(Agenda2526!C144,'CAL5'!A:A,0)+1,3,4,1,"CAL5")),0)</f>
        <v>0</v>
      </c>
      <c r="AC143" s="20" t="str">
        <f ca="1">IF(CALC2223!BB143&gt;2,INDIRECT(ADDRESS(MATCH(Agenda2526!C144,'CAL5'!A:A,0)+2,2,4,1,"CAL5")),"")</f>
        <v/>
      </c>
      <c r="AD143" s="21">
        <f ca="1">IF(CALC2223!BB143&gt;2,INDIRECT(ADDRESS(MATCH(Agenda2526!C144,'CAL5'!A:A,0)+2,3,4,1,"CAL5")),0)</f>
        <v>0</v>
      </c>
      <c r="AE143" s="20" t="str">
        <f ca="1">IF(CALC2223!BC143&gt;0,INDIRECT(ADDRESS(MATCH(Agenda2526!C144,'CAL6'!A:A,0),2,4,1,"CAL6")),"")</f>
        <v/>
      </c>
      <c r="AF143" s="21">
        <f ca="1">IF(CALC2223!BC143&gt;0,INDIRECT(ADDRESS(MATCH(Agenda2526!C144,'CAL6'!A:A,0),3,4,1,"CAL6")),0)</f>
        <v>0</v>
      </c>
      <c r="AG143" s="20" t="str">
        <f ca="1">IF(CALC2223!BC143&gt;1,INDIRECT(ADDRESS(MATCH(Agenda2526!C144,'CAL6'!A:A,0)+1,2,4,1,"CAL6")),"")</f>
        <v/>
      </c>
      <c r="AH143" s="21">
        <f ca="1">IF(CALC2223!BC143&gt;1,INDIRECT(ADDRESS(MATCH(Agenda2526!C144,'CAL6'!A:A,0)+1,3,4,1,"CAL6")),0)</f>
        <v>0</v>
      </c>
      <c r="AI143" s="20" t="str">
        <f ca="1">IF(CALC2223!BC143&gt;2,INDIRECT(ADDRESS(MATCH(Agenda2526!C144,'CAL6'!A:A,0)+2,2,4,1,"CAL6")),"")</f>
        <v/>
      </c>
      <c r="AJ143" s="21">
        <f ca="1">IF(CALC2223!BC143&gt;2,INDIRECT(ADDRESS(MATCH(Agenda2526!C144,'CAL6'!A:A,0)+2,3,4,1,"CAL6")),0)</f>
        <v>0</v>
      </c>
      <c r="AK143" s="20" t="str">
        <f ca="1">IF(CALC2223!BD143&gt;0,INDIRECT(ADDRESS(MATCH(Agenda2526!C144,'CAL7'!A:A,0),2,4,1,"CAL7")),"")</f>
        <v/>
      </c>
      <c r="AL143" s="21">
        <f ca="1">IF(CALC2223!BD143&gt;0,INDIRECT(ADDRESS(MATCH(Agenda2526!C144,'CAL7'!A:A,0),3,4,1,"CAL7")),0)</f>
        <v>0</v>
      </c>
      <c r="AM143" s="20" t="str">
        <f ca="1">IF(CALC2223!BD143&gt;1,INDIRECT(ADDRESS(MATCH(Agenda2526!C144,'CAL7'!A:A,0)+1,2,4,1,"CAL7")),"")</f>
        <v/>
      </c>
      <c r="AN143" s="21">
        <f ca="1">IF(CALC2223!BD143&gt;1,INDIRECT(ADDRESS(MATCH(Agenda2526!C144,'CAL7'!A:A,0)+1,3,4,1,"CAL7")),0)</f>
        <v>0</v>
      </c>
      <c r="AO143" s="20" t="str">
        <f ca="1">IF(CALC2223!BD143&gt;2,INDIRECT(ADDRESS(MATCH(Agenda2526!C144,'CAL7'!A:A,0)+2,2,4,1,"CAL7")),"")</f>
        <v/>
      </c>
      <c r="AP143" s="21">
        <f ca="1">IF(CALC2223!BD143&gt;2,INDIRECT(ADDRESS(MATCH(Agenda2526!C144,'CAL7'!A:A,0)+2,3,4,1,"CAL7")),0)</f>
        <v>0</v>
      </c>
      <c r="AQ143" s="20" t="str">
        <f ca="1">IF(CALC2223!BE143&gt;0,INDIRECT(ADDRESS(MATCH(Agenda2526!C144,'CAL8'!A:A,0),2,4,1,"CAL8")),"")</f>
        <v/>
      </c>
      <c r="AR143" s="21">
        <f ca="1">IF(CALC2223!BE143&gt;0,INDIRECT(ADDRESS(MATCH(Agenda2526!C144,'CAL8'!A:A,0),3,4,1,"CAL8")),0)</f>
        <v>0</v>
      </c>
      <c r="AS143" s="20" t="str">
        <f ca="1">IF(CALC2223!BE143&gt;1,INDIRECT(ADDRESS(MATCH(Agenda2526!C144,'CAL8'!A:A,0)+1,2,4,1,"CAL8")),"")</f>
        <v/>
      </c>
      <c r="AT143" s="21">
        <f ca="1">IF(CALC2223!BE143&gt;1,INDIRECT(ADDRESS(MATCH(Agenda2526!C144,'CAL8'!A:A,0)+1,3,4,1,"CAL8")),0)</f>
        <v>0</v>
      </c>
      <c r="AU143" s="20" t="str">
        <f ca="1">IF(CALC2223!BE143&gt;2,INDIRECT(ADDRESS(MATCH(Agenda2526!C144,'CAL8'!A:A,0)+2,2,4,1,"CAL8")),"")</f>
        <v/>
      </c>
      <c r="AV143" s="21">
        <f ca="1">IF(CALC2223!BE143&gt;2,INDIRECT(ADDRESS(MATCH(Agenda2526!C144,'CAL8'!A:A,0)+2,3,4,1,"CAL8")),0)</f>
        <v>0</v>
      </c>
      <c r="AW143" s="105"/>
      <c r="AX143" s="20">
        <f>COUNTIF('CAL1'!A:A,Agenda2526!C144)</f>
        <v>0</v>
      </c>
      <c r="AY143" s="20">
        <f>COUNTIF('CAL2'!A:A,Agenda2526!C144)</f>
        <v>0</v>
      </c>
      <c r="AZ143" s="20">
        <f>COUNTIF('CAL3'!A:A,Agenda2526!C144)</f>
        <v>0</v>
      </c>
      <c r="BA143" s="20">
        <f>COUNTIF('CAL4'!A:A,Agenda2526!C144)</f>
        <v>1</v>
      </c>
      <c r="BB143" s="20">
        <f>COUNTIF('CAL5'!A:A,Agenda2526!C144)</f>
        <v>0</v>
      </c>
      <c r="BC143" s="20">
        <f>COUNTIF('CAL6'!A:A,Agenda2526!C144)</f>
        <v>0</v>
      </c>
      <c r="BD143" s="20">
        <f>COUNTIF('CAL7'!A:A,Agenda2526!C144)</f>
        <v>0</v>
      </c>
      <c r="BE143" s="20">
        <f>COUNTIF('CAL8'!A:A,Agenda2526!C144)</f>
        <v>0</v>
      </c>
    </row>
    <row r="144" spans="1:57" ht="15.75" customHeight="1">
      <c r="A144" s="20" t="str">
        <f ca="1">IF(CALC2223!AX144&gt;0,INDIRECT(ADDRESS(MATCH(Agenda2526!C145,'CAL1'!A:A,0),2,4,1,"CAL1")),"")</f>
        <v>Rep WIS</v>
      </c>
      <c r="B144" s="21">
        <f ca="1">IF(CALC2223!AX144&gt;0,INDIRECT(ADDRESS(MATCH(Agenda2526!C145,'CAL1'!A:A,0),3,4,1,"CAL1")),0)</f>
        <v>45901</v>
      </c>
      <c r="C144" s="20" t="str">
        <f ca="1">IF(CALC2223!AX144&gt;1,INDIRECT(ADDRESS(MATCH(Agenda2526!C145,'CAL1'!A:A,0)+1,2,4,1,"CAL1")),"")</f>
        <v/>
      </c>
      <c r="D144" s="21">
        <f ca="1">IF(CALC2223!AX144&gt;1,INDIRECT(ADDRESS(MATCH(Agenda2526!C145,'CAL1'!A:A,0)+1,3,4,1,"CAL1")),0)</f>
        <v>0</v>
      </c>
      <c r="E144" s="20" t="str">
        <f ca="1">IF(CALC2223!AX144&gt;2,INDIRECT(ADDRESS(MATCH(Agenda2526!C145,'CAL1'!A:A,0)+2,2,4,1,"CAL1")),"")</f>
        <v/>
      </c>
      <c r="F144" s="21">
        <f ca="1">IF(CALC2223!AX144&gt;2,INDIRECT(ADDRESS(MATCH(Agenda2526!C145,'CAL1'!A:A,0)+2,3,4,1,"CAL1")),0)</f>
        <v>0</v>
      </c>
      <c r="G144" s="20" t="str">
        <f ca="1">IF(CALC2223!AY144&gt;0,INDIRECT(ADDRESS(MATCH(Agenda2526!C145,'CAL2'!A:A,0),2,4,1,"CAL2")),"")</f>
        <v/>
      </c>
      <c r="H144" s="21">
        <f ca="1">IF(CALC2223!AY144&gt;0,INDIRECT(ADDRESS(MATCH(Agenda2526!C145,'CAL2'!A:A,0),3,4,1,"CAL2")),0)</f>
        <v>0</v>
      </c>
      <c r="I144" s="20" t="str">
        <f ca="1">IF(CALC2223!AY144&gt;1,INDIRECT(ADDRESS(MATCH(Agenda2526!C145,'CAL2'!A:A,0)+1,2,4,1,"CAL2")),"")</f>
        <v/>
      </c>
      <c r="J144" s="21">
        <f ca="1">IF(CALC2223!AY144&gt;1,INDIRECT(ADDRESS(MATCH(Agenda2526!C145,'CAL2'!A:A,0)+1,3,4,1,"CAL2")),0)</f>
        <v>0</v>
      </c>
      <c r="K144" s="20" t="str">
        <f ca="1">IF(CALC2223!AY144&gt;2,INDIRECT(ADDRESS(MATCH(Agenda2526!C145,'CAL2'!A:A,0)+2,2,4,1,"CAL2")),"")</f>
        <v/>
      </c>
      <c r="L144" s="21">
        <f ca="1">IF(CALC2223!AY144&gt;2,INDIRECT(ADDRESS(MATCH(Agenda2526!C145,'CAL2'!A:A,0)+2,3,4,1,"CAL2")),0)</f>
        <v>0</v>
      </c>
      <c r="M144" s="20" t="str">
        <f ca="1">IF(CALC2223!AZ144&gt;0,INDIRECT(ADDRESS(MATCH(Agenda2526!C145,'CAL3'!A:A,0),2,4,1,"CAL3")),"")</f>
        <v/>
      </c>
      <c r="N144" s="21">
        <f ca="1">IF(CALC2223!AZ144&gt;0,INDIRECT(ADDRESS(MATCH(Agenda2526!C145,'CAL3'!A:A,0),3,4,1,"CAL3")),0)</f>
        <v>0</v>
      </c>
      <c r="O144" s="20" t="str">
        <f ca="1">IF(CALC2223!AZ144&gt;1,INDIRECT(ADDRESS(MATCH(Agenda2526!C145,'CAL3'!A:A,0)+1,2,4,1,"CAL3")),"")</f>
        <v/>
      </c>
      <c r="P144" s="21">
        <f ca="1">IF(CALC2223!AZ144&gt;1,INDIRECT(ADDRESS(MATCH(Agenda2526!C145,'CAL3'!A:A,0)+1,3,4,1,"CAL3")),0)</f>
        <v>0</v>
      </c>
      <c r="Q144" s="20" t="str">
        <f ca="1">IF(CALC2223!AZ144&gt;2,INDIRECT(ADDRESS(MATCH(Agenda2526!C145,'CAL3'!A:A,0)+2,2,4,1,"CAL3")),"")</f>
        <v/>
      </c>
      <c r="R144" s="21">
        <f ca="1">IF(CALC2223!AZ144&gt;2,INDIRECT(ADDRESS(MATCH(Agenda2526!C145,'CAL3'!A:A,0)+2,3,4,1,"CAL3")),0)</f>
        <v>0</v>
      </c>
      <c r="S144" s="20" t="str">
        <f ca="1">IF(CALC2223!BA144&gt;0,INDIRECT(ADDRESS(MATCH(Agenda2526!C145,'CAL4'!A:A,0),2,4,1,"CAL4")),"")</f>
        <v/>
      </c>
      <c r="T144" s="21">
        <f ca="1">IF(CALC2223!BA144&gt;0,INDIRECT(ADDRESS(MATCH(Agenda2526!C145,'CAL4'!A:A,0),3,4,1,"CAL4")),0)</f>
        <v>0</v>
      </c>
      <c r="U144" s="20" t="str">
        <f ca="1">IF(CALC2223!BA144&gt;1,INDIRECT(ADDRESS(MATCH(Agenda2526!C145,'CAL4'!A:A,0)+1,2,4,1,"CAL4")),"")</f>
        <v/>
      </c>
      <c r="V144" s="21">
        <f ca="1">IF(CALC2223!BA144&gt;1,INDIRECT(ADDRESS(MATCH(Agenda2526!C145,'CAL4'!A:A,0)+1,3,4,1,"CAL4")),0)</f>
        <v>0</v>
      </c>
      <c r="W144" s="20" t="str">
        <f ca="1">IF(CALC2223!BA144&gt;2,INDIRECT(ADDRESS(MATCH(Agenda2526!C145,'CAL4'!A:A,0)+2,2,4,1,"CAL4")),"")</f>
        <v/>
      </c>
      <c r="X144" s="21">
        <f ca="1">IF(CALC2223!BA144&gt;2,INDIRECT(ADDRESS(MATCH(Agenda2526!C145,'CAL4'!A:A,0)+2,3,4,1,"CAL4")),0)</f>
        <v>0</v>
      </c>
      <c r="Y144" s="20" t="str">
        <f ca="1">IF(CALC2223!BB144&gt;0,INDIRECT(ADDRESS(MATCH(Agenda2526!C145,'CAL5'!A:A,0),2,4,1,"CAL5")),"")</f>
        <v>inh rep wiB (1e uur)</v>
      </c>
      <c r="Z144" s="21">
        <f ca="1">IF(CALC2223!BB144&gt;0,INDIRECT(ADDRESS(MATCH(Agenda2526!C145,'CAL5'!A:A,0),3,4,1,"CAL5")),0)</f>
        <v>46036</v>
      </c>
      <c r="AA144" s="20" t="str">
        <f ca="1">IF(CALC2223!BB144&gt;1,INDIRECT(ADDRESS(MATCH(Agenda2526!C145,'CAL5'!A:A,0)+1,2,4,1,"CAL5")),"")</f>
        <v/>
      </c>
      <c r="AB144" s="21">
        <f ca="1">IF(CALC2223!BB144&gt;1,INDIRECT(ADDRESS(MATCH(Agenda2526!C145,'CAL5'!A:A,0)+1,3,4,1,"CAL5")),0)</f>
        <v>0</v>
      </c>
      <c r="AC144" s="20" t="str">
        <f ca="1">IF(CALC2223!BB144&gt;2,INDIRECT(ADDRESS(MATCH(Agenda2526!C145,'CAL5'!A:A,0)+2,2,4,1,"CAL5")),"")</f>
        <v/>
      </c>
      <c r="AD144" s="21">
        <f ca="1">IF(CALC2223!BB144&gt;2,INDIRECT(ADDRESS(MATCH(Agenda2526!C145,'CAL5'!A:A,0)+2,3,4,1,"CAL5")),0)</f>
        <v>0</v>
      </c>
      <c r="AE144" s="20" t="str">
        <f ca="1">IF(CALC2223!BC144&gt;0,INDIRECT(ADDRESS(MATCH(Agenda2526!C145,'CAL6'!A:A,0),2,4,1,"CAL6")),"")</f>
        <v>KuBv groen licht</v>
      </c>
      <c r="AF144" s="21">
        <f ca="1">IF(CALC2223!BC144&gt;0,INDIRECT(ADDRESS(MATCH(Agenda2526!C145,'CAL6'!A:A,0),3,4,1,"CAL6")),0)</f>
        <v>45896</v>
      </c>
      <c r="AG144" s="20" t="str">
        <f ca="1">IF(CALC2223!BC144&gt;1,INDIRECT(ADDRESS(MATCH(Agenda2526!C145,'CAL6'!A:A,0)+1,2,4,1,"CAL6")),"")</f>
        <v/>
      </c>
      <c r="AH144" s="21">
        <f ca="1">IF(CALC2223!BC144&gt;1,INDIRECT(ADDRESS(MATCH(Agenda2526!C145,'CAL6'!A:A,0)+1,3,4,1,"CAL6")),0)</f>
        <v>0</v>
      </c>
      <c r="AI144" s="20" t="str">
        <f ca="1">IF(CALC2223!BC144&gt;2,INDIRECT(ADDRESS(MATCH(Agenda2526!C145,'CAL6'!A:A,0)+2,2,4,1,"CAL6")),"")</f>
        <v/>
      </c>
      <c r="AJ144" s="21">
        <f ca="1">IF(CALC2223!BC144&gt;2,INDIRECT(ADDRESS(MATCH(Agenda2526!C145,'CAL6'!A:A,0)+2,3,4,1,"CAL6")),0)</f>
        <v>0</v>
      </c>
      <c r="AK144" s="20" t="str">
        <f ca="1">IF(CALC2223!BD144&gt;0,INDIRECT(ADDRESS(MATCH(Agenda2526!C145,'CAL7'!A:A,0),2,4,1,"CAL7")),"")</f>
        <v/>
      </c>
      <c r="AL144" s="21">
        <f ca="1">IF(CALC2223!BD144&gt;0,INDIRECT(ADDRESS(MATCH(Agenda2526!C145,'CAL7'!A:A,0),3,4,1,"CAL7")),0)</f>
        <v>0</v>
      </c>
      <c r="AM144" s="20" t="str">
        <f ca="1">IF(CALC2223!BD144&gt;1,INDIRECT(ADDRESS(MATCH(Agenda2526!C145,'CAL7'!A:A,0)+1,2,4,1,"CAL7")),"")</f>
        <v/>
      </c>
      <c r="AN144" s="21">
        <f ca="1">IF(CALC2223!BD144&gt;1,INDIRECT(ADDRESS(MATCH(Agenda2526!C145,'CAL7'!A:A,0)+1,3,4,1,"CAL7")),0)</f>
        <v>0</v>
      </c>
      <c r="AO144" s="20" t="str">
        <f ca="1">IF(CALC2223!BD144&gt;2,INDIRECT(ADDRESS(MATCH(Agenda2526!C145,'CAL7'!A:A,0)+2,2,4,1,"CAL7")),"")</f>
        <v/>
      </c>
      <c r="AP144" s="21">
        <f ca="1">IF(CALC2223!BD144&gt;2,INDIRECT(ADDRESS(MATCH(Agenda2526!C145,'CAL7'!A:A,0)+2,3,4,1,"CAL7")),0)</f>
        <v>0</v>
      </c>
      <c r="AQ144" s="20" t="str">
        <f ca="1">IF(CALC2223!BE144&gt;0,INDIRECT(ADDRESS(MATCH(Agenda2526!C145,'CAL8'!A:A,0),2,4,1,"CAL8")),"")</f>
        <v/>
      </c>
      <c r="AR144" s="21">
        <f ca="1">IF(CALC2223!BE144&gt;0,INDIRECT(ADDRESS(MATCH(Agenda2526!C145,'CAL8'!A:A,0),3,4,1,"CAL8")),0)</f>
        <v>0</v>
      </c>
      <c r="AS144" s="20" t="str">
        <f ca="1">IF(CALC2223!BE144&gt;1,INDIRECT(ADDRESS(MATCH(Agenda2526!C145,'CAL8'!A:A,0)+1,2,4,1,"CAL8")),"")</f>
        <v/>
      </c>
      <c r="AT144" s="21">
        <f ca="1">IF(CALC2223!BE144&gt;1,INDIRECT(ADDRESS(MATCH(Agenda2526!C145,'CAL8'!A:A,0)+1,3,4,1,"CAL8")),0)</f>
        <v>0</v>
      </c>
      <c r="AU144" s="20" t="str">
        <f ca="1">IF(CALC2223!BE144&gt;2,INDIRECT(ADDRESS(MATCH(Agenda2526!C145,'CAL8'!A:A,0)+2,2,4,1,"CAL8")),"")</f>
        <v/>
      </c>
      <c r="AV144" s="21">
        <f ca="1">IF(CALC2223!BE144&gt;2,INDIRECT(ADDRESS(MATCH(Agenda2526!C145,'CAL8'!A:A,0)+2,3,4,1,"CAL8")),0)</f>
        <v>0</v>
      </c>
      <c r="AW144" s="105"/>
      <c r="AX144" s="20">
        <f>COUNTIF('CAL1'!A:A,Agenda2526!C145)</f>
        <v>1</v>
      </c>
      <c r="AY144" s="20">
        <f>COUNTIF('CAL2'!A:A,Agenda2526!C145)</f>
        <v>0</v>
      </c>
      <c r="AZ144" s="20">
        <f>COUNTIF('CAL3'!A:A,Agenda2526!C145)</f>
        <v>0</v>
      </c>
      <c r="BA144" s="20">
        <f>COUNTIF('CAL4'!A:A,Agenda2526!C145)</f>
        <v>0</v>
      </c>
      <c r="BB144" s="20">
        <f>COUNTIF('CAL5'!A:A,Agenda2526!C145)</f>
        <v>1</v>
      </c>
      <c r="BC144" s="20">
        <f>COUNTIF('CAL6'!A:A,Agenda2526!C145)</f>
        <v>1</v>
      </c>
      <c r="BD144" s="20">
        <f>COUNTIF('CAL7'!A:A,Agenda2526!C145)</f>
        <v>0</v>
      </c>
      <c r="BE144" s="20">
        <f>COUNTIF('CAL8'!A:A,Agenda2526!C145)</f>
        <v>0</v>
      </c>
    </row>
    <row r="145" spans="1:57" ht="15.75" customHeight="1">
      <c r="A145" s="20" t="str">
        <f ca="1">IF(CALC2223!AX145&gt;0,INDIRECT(ADDRESS(MATCH(Agenda2526!C146,'CAL1'!A:A,0),2,4,1,"CAL1")),"")</f>
        <v/>
      </c>
      <c r="B145" s="21">
        <f ca="1">IF(CALC2223!AX145&gt;0,INDIRECT(ADDRESS(MATCH(Agenda2526!C146,'CAL1'!A:A,0),3,4,1,"CAL1")),0)</f>
        <v>0</v>
      </c>
      <c r="C145" s="20" t="str">
        <f ca="1">IF(CALC2223!AX145&gt;1,INDIRECT(ADDRESS(MATCH(Agenda2526!C146,'CAL1'!A:A,0)+1,2,4,1,"CAL1")),"")</f>
        <v/>
      </c>
      <c r="D145" s="21">
        <f ca="1">IF(CALC2223!AX145&gt;1,INDIRECT(ADDRESS(MATCH(Agenda2526!C146,'CAL1'!A:A,0)+1,3,4,1,"CAL1")),0)</f>
        <v>0</v>
      </c>
      <c r="E145" s="20" t="str">
        <f ca="1">IF(CALC2223!AX145&gt;2,INDIRECT(ADDRESS(MATCH(Agenda2526!C146,'CAL1'!A:A,0)+2,2,4,1,"CAL1")),"")</f>
        <v/>
      </c>
      <c r="F145" s="21">
        <f ca="1">IF(CALC2223!AX145&gt;2,INDIRECT(ADDRESS(MATCH(Agenda2526!C146,'CAL1'!A:A,0)+2,3,4,1,"CAL1")),0)</f>
        <v>0</v>
      </c>
      <c r="G145" s="20" t="str">
        <f ca="1">IF(CALC2223!AY145&gt;0,INDIRECT(ADDRESS(MATCH(Agenda2526!C146,'CAL2'!A:A,0),2,4,1,"CAL2")),"")</f>
        <v/>
      </c>
      <c r="H145" s="21">
        <f ca="1">IF(CALC2223!AY145&gt;0,INDIRECT(ADDRESS(MATCH(Agenda2526!C146,'CAL2'!A:A,0),3,4,1,"CAL2")),0)</f>
        <v>0</v>
      </c>
      <c r="I145" s="20" t="str">
        <f ca="1">IF(CALC2223!AY145&gt;1,INDIRECT(ADDRESS(MATCH(Agenda2526!C146,'CAL2'!A:A,0)+1,2,4,1,"CAL2")),"")</f>
        <v/>
      </c>
      <c r="J145" s="21">
        <f ca="1">IF(CALC2223!AY145&gt;1,INDIRECT(ADDRESS(MATCH(Agenda2526!C146,'CAL2'!A:A,0)+1,3,4,1,"CAL2")),0)</f>
        <v>0</v>
      </c>
      <c r="K145" s="20" t="str">
        <f ca="1">IF(CALC2223!AY145&gt;2,INDIRECT(ADDRESS(MATCH(Agenda2526!C146,'CAL2'!A:A,0)+2,2,4,1,"CAL2")),"")</f>
        <v/>
      </c>
      <c r="L145" s="21">
        <f ca="1">IF(CALC2223!AY145&gt;2,INDIRECT(ADDRESS(MATCH(Agenda2526!C146,'CAL2'!A:A,0)+2,3,4,1,"CAL2")),0)</f>
        <v>0</v>
      </c>
      <c r="M145" s="20" t="str">
        <f ca="1">IF(CALC2223!AZ145&gt;0,INDIRECT(ADDRESS(MATCH(Agenda2526!C146,'CAL3'!A:A,0),2,4,1,"CAL3")),"")</f>
        <v/>
      </c>
      <c r="N145" s="21">
        <f ca="1">IF(CALC2223!AZ145&gt;0,INDIRECT(ADDRESS(MATCH(Agenda2526!C146,'CAL3'!A:A,0),3,4,1,"CAL3")),0)</f>
        <v>0</v>
      </c>
      <c r="O145" s="20" t="str">
        <f ca="1">IF(CALC2223!AZ145&gt;1,INDIRECT(ADDRESS(MATCH(Agenda2526!C146,'CAL3'!A:A,0)+1,2,4,1,"CAL3")),"")</f>
        <v/>
      </c>
      <c r="P145" s="21">
        <f ca="1">IF(CALC2223!AZ145&gt;1,INDIRECT(ADDRESS(MATCH(Agenda2526!C146,'CAL3'!A:A,0)+1,3,4,1,"CAL3")),0)</f>
        <v>0</v>
      </c>
      <c r="Q145" s="20" t="str">
        <f ca="1">IF(CALC2223!AZ145&gt;2,INDIRECT(ADDRESS(MATCH(Agenda2526!C146,'CAL3'!A:A,0)+2,2,4,1,"CAL3")),"")</f>
        <v/>
      </c>
      <c r="R145" s="21">
        <f ca="1">IF(CALC2223!AZ145&gt;2,INDIRECT(ADDRESS(MATCH(Agenda2526!C146,'CAL3'!A:A,0)+2,3,4,1,"CAL3")),0)</f>
        <v>0</v>
      </c>
      <c r="S145" s="20" t="str">
        <f ca="1">IF(CALC2223!BA145&gt;0,INDIRECT(ADDRESS(MATCH(Agenda2526!C146,'CAL4'!A:A,0),2,4,1,"CAL4")),"")</f>
        <v>veegmoment</v>
      </c>
      <c r="T145" s="21">
        <f ca="1">IF(CALC2223!BA145&gt;0,INDIRECT(ADDRESS(MATCH(Agenda2526!C146,'CAL4'!A:A,0),3,4,1,"CAL4")),0)</f>
        <v>45936</v>
      </c>
      <c r="U145" s="20" t="str">
        <f ca="1">IF(CALC2223!BA145&gt;1,INDIRECT(ADDRESS(MATCH(Agenda2526!C146,'CAL4'!A:A,0)+1,2,4,1,"CAL4")),"")</f>
        <v/>
      </c>
      <c r="V145" s="21">
        <f ca="1">IF(CALC2223!BA145&gt;1,INDIRECT(ADDRESS(MATCH(Agenda2526!C146,'CAL4'!A:A,0)+1,3,4,1,"CAL4")),0)</f>
        <v>0</v>
      </c>
      <c r="W145" s="20" t="str">
        <f ca="1">IF(CALC2223!BA145&gt;2,INDIRECT(ADDRESS(MATCH(Agenda2526!C146,'CAL4'!A:A,0)+2,2,4,1,"CAL4")),"")</f>
        <v/>
      </c>
      <c r="X145" s="21">
        <f ca="1">IF(CALC2223!BA145&gt;2,INDIRECT(ADDRESS(MATCH(Agenda2526!C146,'CAL4'!A:A,0)+2,3,4,1,"CAL4")),0)</f>
        <v>0</v>
      </c>
      <c r="Y145" s="20" t="str">
        <f ca="1">IF(CALC2223!BB145&gt;0,INDIRECT(ADDRESS(MATCH(Agenda2526!C146,'CAL5'!A:A,0),2,4,1,"CAL5")),"")</f>
        <v>veegmoment</v>
      </c>
      <c r="Z145" s="21">
        <f ca="1">IF(CALC2223!BB145&gt;0,INDIRECT(ADDRESS(MATCH(Agenda2526!C146,'CAL5'!A:A,0),3,4,1,"CAL5")),0)</f>
        <v>45936</v>
      </c>
      <c r="AA145" s="20" t="str">
        <f ca="1">IF(CALC2223!BB145&gt;1,INDIRECT(ADDRESS(MATCH(Agenda2526!C146,'CAL5'!A:A,0)+1,2,4,1,"CAL5")),"")</f>
        <v/>
      </c>
      <c r="AB145" s="21">
        <f ca="1">IF(CALC2223!BB145&gt;1,INDIRECT(ADDRESS(MATCH(Agenda2526!C146,'CAL5'!A:A,0)+1,3,4,1,"CAL5")),0)</f>
        <v>0</v>
      </c>
      <c r="AC145" s="20" t="str">
        <f ca="1">IF(CALC2223!BB145&gt;2,INDIRECT(ADDRESS(MATCH(Agenda2526!C146,'CAL5'!A:A,0)+2,2,4,1,"CAL5")),"")</f>
        <v/>
      </c>
      <c r="AD145" s="21">
        <f ca="1">IF(CALC2223!BB145&gt;2,INDIRECT(ADDRESS(MATCH(Agenda2526!C146,'CAL5'!A:A,0)+2,3,4,1,"CAL5")),0)</f>
        <v>0</v>
      </c>
      <c r="AE145" s="20" t="str">
        <f ca="1">IF(CALC2223!BC145&gt;0,INDIRECT(ADDRESS(MATCH(Agenda2526!C146,'CAL6'!A:A,0),2,4,1,"CAL6")),"")</f>
        <v>LO3:3</v>
      </c>
      <c r="AF145" s="21">
        <f ca="1">IF(CALC2223!BC145&gt;0,INDIRECT(ADDRESS(MATCH(Agenda2526!C146,'CAL6'!A:A,0),3,4,1,"CAL6")),0)</f>
        <v>46033</v>
      </c>
      <c r="AG145" s="20" t="str">
        <f ca="1">IF(CALC2223!BC145&gt;1,INDIRECT(ADDRESS(MATCH(Agenda2526!C146,'CAL6'!A:A,0)+1,2,4,1,"CAL6")),"")</f>
        <v/>
      </c>
      <c r="AH145" s="21">
        <f ca="1">IF(CALC2223!BC145&gt;1,INDIRECT(ADDRESS(MATCH(Agenda2526!C146,'CAL6'!A:A,0)+1,3,4,1,"CAL6")),0)</f>
        <v>0</v>
      </c>
      <c r="AI145" s="20" t="str">
        <f ca="1">IF(CALC2223!BC145&gt;2,INDIRECT(ADDRESS(MATCH(Agenda2526!C146,'CAL6'!A:A,0)+2,2,4,1,"CAL6")),"")</f>
        <v/>
      </c>
      <c r="AJ145" s="21">
        <f ca="1">IF(CALC2223!BC145&gt;2,INDIRECT(ADDRESS(MATCH(Agenda2526!C146,'CAL6'!A:A,0)+2,3,4,1,"CAL6")),0)</f>
        <v>0</v>
      </c>
      <c r="AK145" s="20" t="str">
        <f ca="1">IF(CALC2223!BD145&gt;0,INDIRECT(ADDRESS(MATCH(Agenda2526!C146,'CAL7'!A:A,0),2,4,1,"CAL7")),"")</f>
        <v>mentoren#4 (verplaatsen)</v>
      </c>
      <c r="AL145" s="21">
        <f ca="1">IF(CALC2223!BD145&gt;0,INDIRECT(ADDRESS(MATCH(Agenda2526!C146,'CAL7'!A:A,0),3,4,1,"CAL7")),0)</f>
        <v>45896</v>
      </c>
      <c r="AM145" s="20" t="str">
        <f ca="1">IF(CALC2223!BD145&gt;1,INDIRECT(ADDRESS(MATCH(Agenda2526!C146,'CAL7'!A:A,0)+1,2,4,1,"CAL7")),"")</f>
        <v/>
      </c>
      <c r="AN145" s="21">
        <f ca="1">IF(CALC2223!BD145&gt;1,INDIRECT(ADDRESS(MATCH(Agenda2526!C146,'CAL7'!A:A,0)+1,3,4,1,"CAL7")),0)</f>
        <v>0</v>
      </c>
      <c r="AO145" s="20" t="str">
        <f ca="1">IF(CALC2223!BD145&gt;2,INDIRECT(ADDRESS(MATCH(Agenda2526!C146,'CAL7'!A:A,0)+2,2,4,1,"CAL7")),"")</f>
        <v/>
      </c>
      <c r="AP145" s="21">
        <f ca="1">IF(CALC2223!BD145&gt;2,INDIRECT(ADDRESS(MATCH(Agenda2526!C146,'CAL7'!A:A,0)+2,3,4,1,"CAL7")),0)</f>
        <v>0</v>
      </c>
      <c r="AQ145" s="20" t="str">
        <f ca="1">IF(CALC2223!BE145&gt;0,INDIRECT(ADDRESS(MATCH(Agenda2526!C146,'CAL8'!A:A,0),2,4,1,"CAL8")),"")</f>
        <v>Open Dag: 16:00-21:00 uur</v>
      </c>
      <c r="AR145" s="21">
        <f ca="1">IF(CALC2223!BE145&gt;0,INDIRECT(ADDRESS(MATCH(Agenda2526!C146,'CAL8'!A:A,0),3,4,1,"CAL8")),0)</f>
        <v>45896</v>
      </c>
      <c r="AS145" s="20" t="str">
        <f ca="1">IF(CALC2223!BE145&gt;1,INDIRECT(ADDRESS(MATCH(Agenda2526!C146,'CAL8'!A:A,0)+1,2,4,1,"CAL8")),"")</f>
        <v>verkort lesrooster (30 minuten)</v>
      </c>
      <c r="AT145" s="21">
        <f ca="1">IF(CALC2223!BE145&gt;1,INDIRECT(ADDRESS(MATCH(Agenda2526!C146,'CAL8'!A:A,0)+1,3,4,1,"CAL8")),0)</f>
        <v>45999</v>
      </c>
      <c r="AU145" s="20" t="str">
        <f ca="1">IF(CALC2223!BE145&gt;2,INDIRECT(ADDRESS(MATCH(Agenda2526!C146,'CAL8'!A:A,0)+2,2,4,1,"CAL8")),"")</f>
        <v/>
      </c>
      <c r="AV145" s="21">
        <f ca="1">IF(CALC2223!BE145&gt;2,INDIRECT(ADDRESS(MATCH(Agenda2526!C146,'CAL8'!A:A,0)+2,3,4,1,"CAL8")),0)</f>
        <v>0</v>
      </c>
      <c r="AW145" s="105"/>
      <c r="AX145" s="20">
        <f>COUNTIF('CAL1'!A:A,Agenda2526!C146)</f>
        <v>0</v>
      </c>
      <c r="AY145" s="20">
        <f>COUNTIF('CAL2'!A:A,Agenda2526!C146)</f>
        <v>0</v>
      </c>
      <c r="AZ145" s="20">
        <f>COUNTIF('CAL3'!A:A,Agenda2526!C146)</f>
        <v>0</v>
      </c>
      <c r="BA145" s="20">
        <f>COUNTIF('CAL4'!A:A,Agenda2526!C146)</f>
        <v>1</v>
      </c>
      <c r="BB145" s="20">
        <f>COUNTIF('CAL5'!A:A,Agenda2526!C146)</f>
        <v>1</v>
      </c>
      <c r="BC145" s="20">
        <f>COUNTIF('CAL6'!A:A,Agenda2526!C146)</f>
        <v>1</v>
      </c>
      <c r="BD145" s="20">
        <f>COUNTIF('CAL7'!A:A,Agenda2526!C146)</f>
        <v>1</v>
      </c>
      <c r="BE145" s="20">
        <f>COUNTIF('CAL8'!A:A,Agenda2526!C146)</f>
        <v>2</v>
      </c>
    </row>
    <row r="146" spans="1:57" ht="15.75" customHeight="1">
      <c r="A146" s="20" t="str">
        <f ca="1">IF(CALC2223!AX146&gt;0,INDIRECT(ADDRESS(MATCH(Agenda2526!C147,'CAL1'!A:A,0),2,4,1,"CAL1")),"")</f>
        <v/>
      </c>
      <c r="B146" s="21">
        <f ca="1">IF(CALC2223!AX146&gt;0,INDIRECT(ADDRESS(MATCH(Agenda2526!C147,'CAL1'!A:A,0),3,4,1,"CAL1")),0)</f>
        <v>0</v>
      </c>
      <c r="C146" s="20" t="str">
        <f ca="1">IF(CALC2223!AX146&gt;1,INDIRECT(ADDRESS(MATCH(Agenda2526!C147,'CAL1'!A:A,0)+1,2,4,1,"CAL1")),"")</f>
        <v/>
      </c>
      <c r="D146" s="21">
        <f ca="1">IF(CALC2223!AX146&gt;1,INDIRECT(ADDRESS(MATCH(Agenda2526!C147,'CAL1'!A:A,0)+1,3,4,1,"CAL1")),0)</f>
        <v>0</v>
      </c>
      <c r="E146" s="20" t="str">
        <f ca="1">IF(CALC2223!AX146&gt;2,INDIRECT(ADDRESS(MATCH(Agenda2526!C147,'CAL1'!A:A,0)+2,2,4,1,"CAL1")),"")</f>
        <v/>
      </c>
      <c r="F146" s="21">
        <f ca="1">IF(CALC2223!AX146&gt;2,INDIRECT(ADDRESS(MATCH(Agenda2526!C147,'CAL1'!A:A,0)+2,3,4,1,"CAL1")),0)</f>
        <v>0</v>
      </c>
      <c r="G146" s="20" t="str">
        <f ca="1">IF(CALC2223!AY146&gt;0,INDIRECT(ADDRESS(MATCH(Agenda2526!C147,'CAL2'!A:A,0),2,4,1,"CAL2")),"")</f>
        <v>Rep NA</v>
      </c>
      <c r="H146" s="21">
        <f ca="1">IF(CALC2223!AY146&gt;0,INDIRECT(ADDRESS(MATCH(Agenda2526!C147,'CAL2'!A:A,0),3,4,1,"CAL2")),0)</f>
        <v>45903</v>
      </c>
      <c r="I146" s="20" t="str">
        <f ca="1">IF(CALC2223!AY146&gt;1,INDIRECT(ADDRESS(MATCH(Agenda2526!C147,'CAL2'!A:A,0)+1,2,4,1,"CAL2")),"")</f>
        <v/>
      </c>
      <c r="J146" s="21">
        <f ca="1">IF(CALC2223!AY146&gt;1,INDIRECT(ADDRESS(MATCH(Agenda2526!C147,'CAL2'!A:A,0)+1,3,4,1,"CAL2")),0)</f>
        <v>0</v>
      </c>
      <c r="K146" s="20" t="str">
        <f ca="1">IF(CALC2223!AY146&gt;2,INDIRECT(ADDRESS(MATCH(Agenda2526!C147,'CAL2'!A:A,0)+2,2,4,1,"CAL2")),"")</f>
        <v/>
      </c>
      <c r="L146" s="21">
        <f ca="1">IF(CALC2223!AY146&gt;2,INDIRECT(ADDRESS(MATCH(Agenda2526!C147,'CAL2'!A:A,0)+2,3,4,1,"CAL2")),0)</f>
        <v>0</v>
      </c>
      <c r="M146" s="20" t="str">
        <f ca="1">IF(CALC2223!AZ146&gt;0,INDIRECT(ADDRESS(MATCH(Agenda2526!C147,'CAL3'!A:A,0),2,4,1,"CAL3")),"")</f>
        <v/>
      </c>
      <c r="N146" s="21">
        <f ca="1">IF(CALC2223!AZ146&gt;0,INDIRECT(ADDRESS(MATCH(Agenda2526!C147,'CAL3'!A:A,0),3,4,1,"CAL3")),0)</f>
        <v>0</v>
      </c>
      <c r="O146" s="20" t="str">
        <f ca="1">IF(CALC2223!AZ146&gt;1,INDIRECT(ADDRESS(MATCH(Agenda2526!C147,'CAL3'!A:A,0)+1,2,4,1,"CAL3")),"")</f>
        <v/>
      </c>
      <c r="P146" s="21">
        <f ca="1">IF(CALC2223!AZ146&gt;1,INDIRECT(ADDRESS(MATCH(Agenda2526!C147,'CAL3'!A:A,0)+1,3,4,1,"CAL3")),0)</f>
        <v>0</v>
      </c>
      <c r="Q146" s="20" t="str">
        <f ca="1">IF(CALC2223!AZ146&gt;2,INDIRECT(ADDRESS(MATCH(Agenda2526!C147,'CAL3'!A:A,0)+2,2,4,1,"CAL3")),"")</f>
        <v/>
      </c>
      <c r="R146" s="21">
        <f ca="1">IF(CALC2223!AZ146&gt;2,INDIRECT(ADDRESS(MATCH(Agenda2526!C147,'CAL3'!A:A,0)+2,3,4,1,"CAL3")),0)</f>
        <v>0</v>
      </c>
      <c r="S146" s="20" t="str">
        <f ca="1">IF(CALC2223!BA146&gt;0,INDIRECT(ADDRESS(MATCH(Agenda2526!C147,'CAL4'!A:A,0),2,4,1,"CAL4")),"")</f>
        <v>Rep WIABC</v>
      </c>
      <c r="T146" s="21">
        <f ca="1">IF(CALC2223!BA146&gt;0,INDIRECT(ADDRESS(MATCH(Agenda2526!C147,'CAL4'!A:A,0),3,4,1,"CAL4")),0)</f>
        <v>45905</v>
      </c>
      <c r="U146" s="20" t="str">
        <f ca="1">IF(CALC2223!BA146&gt;1,INDIRECT(ADDRESS(MATCH(Agenda2526!C147,'CAL4'!A:A,0)+1,2,4,1,"CAL4")),"")</f>
        <v/>
      </c>
      <c r="V146" s="21">
        <f ca="1">IF(CALC2223!BA146&gt;1,INDIRECT(ADDRESS(MATCH(Agenda2526!C147,'CAL4'!A:A,0)+1,3,4,1,"CAL4")),0)</f>
        <v>0</v>
      </c>
      <c r="W146" s="20" t="str">
        <f ca="1">IF(CALC2223!BA146&gt;2,INDIRECT(ADDRESS(MATCH(Agenda2526!C147,'CAL4'!A:A,0)+2,2,4,1,"CAL4")),"")</f>
        <v/>
      </c>
      <c r="X146" s="21">
        <f ca="1">IF(CALC2223!BA146&gt;2,INDIRECT(ADDRESS(MATCH(Agenda2526!C147,'CAL4'!A:A,0)+2,3,4,1,"CAL4")),0)</f>
        <v>0</v>
      </c>
      <c r="Y146" s="20" t="str">
        <f ca="1">IF(CALC2223!BB146&gt;0,INDIRECT(ADDRESS(MATCH(Agenda2526!C147,'CAL5'!A:A,0),2,4,1,"CAL5")),"")</f>
        <v/>
      </c>
      <c r="Z146" s="21">
        <f ca="1">IF(CALC2223!BB146&gt;0,INDIRECT(ADDRESS(MATCH(Agenda2526!C147,'CAL5'!A:A,0),3,4,1,"CAL5")),0)</f>
        <v>0</v>
      </c>
      <c r="AA146" s="20" t="str">
        <f ca="1">IF(CALC2223!BB146&gt;1,INDIRECT(ADDRESS(MATCH(Agenda2526!C147,'CAL5'!A:A,0)+1,2,4,1,"CAL5")),"")</f>
        <v/>
      </c>
      <c r="AB146" s="21">
        <f ca="1">IF(CALC2223!BB146&gt;1,INDIRECT(ADDRESS(MATCH(Agenda2526!C147,'CAL5'!A:A,0)+1,3,4,1,"CAL5")),0)</f>
        <v>0</v>
      </c>
      <c r="AC146" s="20" t="str">
        <f ca="1">IF(CALC2223!BB146&gt;2,INDIRECT(ADDRESS(MATCH(Agenda2526!C147,'CAL5'!A:A,0)+2,2,4,1,"CAL5")),"")</f>
        <v/>
      </c>
      <c r="AD146" s="21">
        <f ca="1">IF(CALC2223!BB146&gt;2,INDIRECT(ADDRESS(MATCH(Agenda2526!C147,'CAL5'!A:A,0)+2,3,4,1,"CAL5")),0)</f>
        <v>0</v>
      </c>
      <c r="AE146" s="20" t="str">
        <f ca="1">IF(CALC2223!BC146&gt;0,INDIRECT(ADDRESS(MATCH(Agenda2526!C147,'CAL6'!A:A,0),2,4,1,"CAL6")),"")</f>
        <v>KLT Frans</v>
      </c>
      <c r="AF146" s="21">
        <f ca="1">IF(CALC2223!BC146&gt;0,INDIRECT(ADDRESS(MATCH(Agenda2526!C147,'CAL6'!A:A,0),3,4,1,"CAL6")),0)</f>
        <v>45915</v>
      </c>
      <c r="AG146" s="20" t="str">
        <f ca="1">IF(CALC2223!BC146&gt;1,INDIRECT(ADDRESS(MATCH(Agenda2526!C147,'CAL6'!A:A,0)+1,2,4,1,"CAL6")),"")</f>
        <v>KLT Frans</v>
      </c>
      <c r="AH146" s="21">
        <f ca="1">IF(CALC2223!BC146&gt;1,INDIRECT(ADDRESS(MATCH(Agenda2526!C147,'CAL6'!A:A,0)+1,3,4,1,"CAL6")),0)</f>
        <v>45896</v>
      </c>
      <c r="AI146" s="20" t="str">
        <f ca="1">IF(CALC2223!BC146&gt;2,INDIRECT(ADDRESS(MATCH(Agenda2526!C147,'CAL6'!A:A,0)+2,2,4,1,"CAL6")),"")</f>
        <v/>
      </c>
      <c r="AJ146" s="21">
        <f ca="1">IF(CALC2223!BC146&gt;2,INDIRECT(ADDRESS(MATCH(Agenda2526!C147,'CAL6'!A:A,0)+2,3,4,1,"CAL6")),0)</f>
        <v>0</v>
      </c>
      <c r="AK146" s="20" t="str">
        <f ca="1">IF(CALC2223!BD146&gt;0,INDIRECT(ADDRESS(MATCH(Agenda2526!C147,'CAL7'!A:A,0),2,4,1,"CAL7")),"")</f>
        <v/>
      </c>
      <c r="AL146" s="21">
        <f ca="1">IF(CALC2223!BD146&gt;0,INDIRECT(ADDRESS(MATCH(Agenda2526!C147,'CAL7'!A:A,0),3,4,1,"CAL7")),0)</f>
        <v>0</v>
      </c>
      <c r="AM146" s="20" t="str">
        <f ca="1">IF(CALC2223!BD146&gt;1,INDIRECT(ADDRESS(MATCH(Agenda2526!C147,'CAL7'!A:A,0)+1,2,4,1,"CAL7")),"")</f>
        <v/>
      </c>
      <c r="AN146" s="21">
        <f ca="1">IF(CALC2223!BD146&gt;1,INDIRECT(ADDRESS(MATCH(Agenda2526!C147,'CAL7'!A:A,0)+1,3,4,1,"CAL7")),0)</f>
        <v>0</v>
      </c>
      <c r="AO146" s="20" t="str">
        <f ca="1">IF(CALC2223!BD146&gt;2,INDIRECT(ADDRESS(MATCH(Agenda2526!C147,'CAL7'!A:A,0)+2,2,4,1,"CAL7")),"")</f>
        <v/>
      </c>
      <c r="AP146" s="21">
        <f ca="1">IF(CALC2223!BD146&gt;2,INDIRECT(ADDRESS(MATCH(Agenda2526!C147,'CAL7'!A:A,0)+2,3,4,1,"CAL7")),0)</f>
        <v>0</v>
      </c>
      <c r="AQ146" s="20" t="str">
        <f ca="1">IF(CALC2223!BE146&gt;0,INDIRECT(ADDRESS(MATCH(Agenda2526!C147,'CAL8'!A:A,0),2,4,1,"CAL8")),"")</f>
        <v/>
      </c>
      <c r="AR146" s="21">
        <f ca="1">IF(CALC2223!BE146&gt;0,INDIRECT(ADDRESS(MATCH(Agenda2526!C147,'CAL8'!A:A,0),3,4,1,"CAL8")),0)</f>
        <v>0</v>
      </c>
      <c r="AS146" s="20" t="str">
        <f ca="1">IF(CALC2223!BE146&gt;1,INDIRECT(ADDRESS(MATCH(Agenda2526!C147,'CAL8'!A:A,0)+1,2,4,1,"CAL8")),"")</f>
        <v/>
      </c>
      <c r="AT146" s="21">
        <f ca="1">IF(CALC2223!BE146&gt;1,INDIRECT(ADDRESS(MATCH(Agenda2526!C147,'CAL8'!A:A,0)+1,3,4,1,"CAL8")),0)</f>
        <v>0</v>
      </c>
      <c r="AU146" s="20" t="str">
        <f ca="1">IF(CALC2223!BE146&gt;2,INDIRECT(ADDRESS(MATCH(Agenda2526!C147,'CAL8'!A:A,0)+2,2,4,1,"CAL8")),"")</f>
        <v/>
      </c>
      <c r="AV146" s="21">
        <f ca="1">IF(CALC2223!BE146&gt;2,INDIRECT(ADDRESS(MATCH(Agenda2526!C147,'CAL8'!A:A,0)+2,3,4,1,"CAL8")),0)</f>
        <v>0</v>
      </c>
      <c r="AW146" s="105"/>
      <c r="AX146" s="20">
        <f>COUNTIF('CAL1'!A:A,Agenda2526!C147)</f>
        <v>0</v>
      </c>
      <c r="AY146" s="20">
        <f>COUNTIF('CAL2'!A:A,Agenda2526!C147)</f>
        <v>1</v>
      </c>
      <c r="AZ146" s="20">
        <f>COUNTIF('CAL3'!A:A,Agenda2526!C147)</f>
        <v>0</v>
      </c>
      <c r="BA146" s="20">
        <f>COUNTIF('CAL4'!A:A,Agenda2526!C147)</f>
        <v>1</v>
      </c>
      <c r="BB146" s="20">
        <f>COUNTIF('CAL5'!A:A,Agenda2526!C147)</f>
        <v>0</v>
      </c>
      <c r="BC146" s="20">
        <f>COUNTIF('CAL6'!A:A,Agenda2526!C147)</f>
        <v>2</v>
      </c>
      <c r="BD146" s="20">
        <f>COUNTIF('CAL7'!A:A,Agenda2526!C147)</f>
        <v>0</v>
      </c>
      <c r="BE146" s="20">
        <f>COUNTIF('CAL8'!A:A,Agenda2526!C147)</f>
        <v>0</v>
      </c>
    </row>
    <row r="147" spans="1:57" ht="15.75" customHeight="1">
      <c r="A147" s="20" t="str">
        <f ca="1">IF(CALC2223!AX147&gt;0,INDIRECT(ADDRESS(MATCH(Agenda2526!C148,'CAL1'!A:A,0),2,4,1,"CAL1")),"")</f>
        <v/>
      </c>
      <c r="B147" s="21">
        <f ca="1">IF(CALC2223!AX147&gt;0,INDIRECT(ADDRESS(MATCH(Agenda2526!C148,'CAL1'!A:A,0),3,4,1,"CAL1")),0)</f>
        <v>0</v>
      </c>
      <c r="C147" s="20" t="str">
        <f ca="1">IF(CALC2223!AX147&gt;1,INDIRECT(ADDRESS(MATCH(Agenda2526!C148,'CAL1'!A:A,0)+1,2,4,1,"CAL1")),"")</f>
        <v/>
      </c>
      <c r="D147" s="21">
        <f ca="1">IF(CALC2223!AX147&gt;1,INDIRECT(ADDRESS(MATCH(Agenda2526!C148,'CAL1'!A:A,0)+1,3,4,1,"CAL1")),0)</f>
        <v>0</v>
      </c>
      <c r="E147" s="20" t="str">
        <f ca="1">IF(CALC2223!AX147&gt;2,INDIRECT(ADDRESS(MATCH(Agenda2526!C148,'CAL1'!A:A,0)+2,2,4,1,"CAL1")),"")</f>
        <v/>
      </c>
      <c r="F147" s="21">
        <f ca="1">IF(CALC2223!AX147&gt;2,INDIRECT(ADDRESS(MATCH(Agenda2526!C148,'CAL1'!A:A,0)+2,3,4,1,"CAL1")),0)</f>
        <v>0</v>
      </c>
      <c r="G147" s="20" t="str">
        <f ca="1">IF(CALC2223!AY147&gt;0,INDIRECT(ADDRESS(MATCH(Agenda2526!C148,'CAL2'!A:A,0),2,4,1,"CAL2")),"")</f>
        <v/>
      </c>
      <c r="H147" s="21">
        <f ca="1">IF(CALC2223!AY147&gt;0,INDIRECT(ADDRESS(MATCH(Agenda2526!C148,'CAL2'!A:A,0),3,4,1,"CAL2")),0)</f>
        <v>0</v>
      </c>
      <c r="I147" s="20" t="str">
        <f ca="1">IF(CALC2223!AY147&gt;1,INDIRECT(ADDRESS(MATCH(Agenda2526!C148,'CAL2'!A:A,0)+1,2,4,1,"CAL2")),"")</f>
        <v/>
      </c>
      <c r="J147" s="21">
        <f ca="1">IF(CALC2223!AY147&gt;1,INDIRECT(ADDRESS(MATCH(Agenda2526!C148,'CAL2'!A:A,0)+1,3,4,1,"CAL2")),0)</f>
        <v>0</v>
      </c>
      <c r="K147" s="20" t="str">
        <f ca="1">IF(CALC2223!AY147&gt;2,INDIRECT(ADDRESS(MATCH(Agenda2526!C148,'CAL2'!A:A,0)+2,2,4,1,"CAL2")),"")</f>
        <v/>
      </c>
      <c r="L147" s="21">
        <f ca="1">IF(CALC2223!AY147&gt;2,INDIRECT(ADDRESS(MATCH(Agenda2526!C148,'CAL2'!A:A,0)+2,3,4,1,"CAL2")),0)</f>
        <v>0</v>
      </c>
      <c r="M147" s="20" t="str">
        <f ca="1">IF(CALC2223!AZ147&gt;0,INDIRECT(ADDRESS(MATCH(Agenda2526!C148,'CAL3'!A:A,0),2,4,1,"CAL3")),"")</f>
        <v/>
      </c>
      <c r="N147" s="21">
        <f ca="1">IF(CALC2223!AZ147&gt;0,INDIRECT(ADDRESS(MATCH(Agenda2526!C148,'CAL3'!A:A,0),3,4,1,"CAL3")),0)</f>
        <v>0</v>
      </c>
      <c r="O147" s="20" t="str">
        <f ca="1">IF(CALC2223!AZ147&gt;1,INDIRECT(ADDRESS(MATCH(Agenda2526!C148,'CAL3'!A:A,0)+1,2,4,1,"CAL3")),"")</f>
        <v/>
      </c>
      <c r="P147" s="21">
        <f ca="1">IF(CALC2223!AZ147&gt;1,INDIRECT(ADDRESS(MATCH(Agenda2526!C148,'CAL3'!A:A,0)+1,3,4,1,"CAL3")),0)</f>
        <v>0</v>
      </c>
      <c r="Q147" s="20" t="str">
        <f ca="1">IF(CALC2223!AZ147&gt;2,INDIRECT(ADDRESS(MATCH(Agenda2526!C148,'CAL3'!A:A,0)+2,2,4,1,"CAL3")),"")</f>
        <v/>
      </c>
      <c r="R147" s="21">
        <f ca="1">IF(CALC2223!AZ147&gt;2,INDIRECT(ADDRESS(MATCH(Agenda2526!C148,'CAL3'!A:A,0)+2,3,4,1,"CAL3")),0)</f>
        <v>0</v>
      </c>
      <c r="S147" s="20" t="str">
        <f ca="1">IF(CALC2223!BA147&gt;0,INDIRECT(ADDRESS(MATCH(Agenda2526!C148,'CAL4'!A:A,0),2,4,1,"CAL4")),"")</f>
        <v/>
      </c>
      <c r="T147" s="21">
        <f ca="1">IF(CALC2223!BA147&gt;0,INDIRECT(ADDRESS(MATCH(Agenda2526!C148,'CAL4'!A:A,0),3,4,1,"CAL4")),0)</f>
        <v>0</v>
      </c>
      <c r="U147" s="20" t="str">
        <f ca="1">IF(CALC2223!BA147&gt;1,INDIRECT(ADDRESS(MATCH(Agenda2526!C148,'CAL4'!A:A,0)+1,2,4,1,"CAL4")),"")</f>
        <v/>
      </c>
      <c r="V147" s="21">
        <f ca="1">IF(CALC2223!BA147&gt;1,INDIRECT(ADDRESS(MATCH(Agenda2526!C148,'CAL4'!A:A,0)+1,3,4,1,"CAL4")),0)</f>
        <v>0</v>
      </c>
      <c r="W147" s="20" t="str">
        <f ca="1">IF(CALC2223!BA147&gt;2,INDIRECT(ADDRESS(MATCH(Agenda2526!C148,'CAL4'!A:A,0)+2,2,4,1,"CAL4")),"")</f>
        <v/>
      </c>
      <c r="X147" s="21">
        <f ca="1">IF(CALC2223!BA147&gt;2,INDIRECT(ADDRESS(MATCH(Agenda2526!C148,'CAL4'!A:A,0)+2,3,4,1,"CAL4")),0)</f>
        <v>0</v>
      </c>
      <c r="Y147" s="20" t="str">
        <f ca="1">IF(CALC2223!BB147&gt;0,INDIRECT(ADDRESS(MATCH(Agenda2526!C148,'CAL5'!A:A,0),2,4,1,"CAL5")),"")</f>
        <v/>
      </c>
      <c r="Z147" s="21">
        <f ca="1">IF(CALC2223!BB147&gt;0,INDIRECT(ADDRESS(MATCH(Agenda2526!C148,'CAL5'!A:A,0),3,4,1,"CAL5")),0)</f>
        <v>0</v>
      </c>
      <c r="AA147" s="20" t="str">
        <f ca="1">IF(CALC2223!BB147&gt;1,INDIRECT(ADDRESS(MATCH(Agenda2526!C148,'CAL5'!A:A,0)+1,2,4,1,"CAL5")),"")</f>
        <v/>
      </c>
      <c r="AB147" s="21">
        <f ca="1">IF(CALC2223!BB147&gt;1,INDIRECT(ADDRESS(MATCH(Agenda2526!C148,'CAL5'!A:A,0)+1,3,4,1,"CAL5")),0)</f>
        <v>0</v>
      </c>
      <c r="AC147" s="20" t="str">
        <f ca="1">IF(CALC2223!BB147&gt;2,INDIRECT(ADDRESS(MATCH(Agenda2526!C148,'CAL5'!A:A,0)+2,2,4,1,"CAL5")),"")</f>
        <v/>
      </c>
      <c r="AD147" s="21">
        <f ca="1">IF(CALC2223!BB147&gt;2,INDIRECT(ADDRESS(MATCH(Agenda2526!C148,'CAL5'!A:A,0)+2,3,4,1,"CAL5")),0)</f>
        <v>0</v>
      </c>
      <c r="AE147" s="20" t="str">
        <f ca="1">IF(CALC2223!BC147&gt;0,INDIRECT(ADDRESS(MATCH(Agenda2526!C148,'CAL6'!A:A,0),2,4,1,"CAL6")),"")</f>
        <v/>
      </c>
      <c r="AF147" s="21">
        <f ca="1">IF(CALC2223!BC147&gt;0,INDIRECT(ADDRESS(MATCH(Agenda2526!C148,'CAL6'!A:A,0),3,4,1,"CAL6")),0)</f>
        <v>0</v>
      </c>
      <c r="AG147" s="20" t="str">
        <f ca="1">IF(CALC2223!BC147&gt;1,INDIRECT(ADDRESS(MATCH(Agenda2526!C148,'CAL6'!A:A,0)+1,2,4,1,"CAL6")),"")</f>
        <v/>
      </c>
      <c r="AH147" s="21">
        <f ca="1">IF(CALC2223!BC147&gt;1,INDIRECT(ADDRESS(MATCH(Agenda2526!C148,'CAL6'!A:A,0)+1,3,4,1,"CAL6")),0)</f>
        <v>0</v>
      </c>
      <c r="AI147" s="20" t="str">
        <f ca="1">IF(CALC2223!BC147&gt;2,INDIRECT(ADDRESS(MATCH(Agenda2526!C148,'CAL6'!A:A,0)+2,2,4,1,"CAL6")),"")</f>
        <v/>
      </c>
      <c r="AJ147" s="21">
        <f ca="1">IF(CALC2223!BC147&gt;2,INDIRECT(ADDRESS(MATCH(Agenda2526!C148,'CAL6'!A:A,0)+2,3,4,1,"CAL6")),0)</f>
        <v>0</v>
      </c>
      <c r="AK147" s="20" t="str">
        <f ca="1">IF(CALC2223!BD147&gt;0,INDIRECT(ADDRESS(MATCH(Agenda2526!C148,'CAL7'!A:A,0),2,4,1,"CAL7")),"")</f>
        <v/>
      </c>
      <c r="AL147" s="21">
        <f ca="1">IF(CALC2223!BD147&gt;0,INDIRECT(ADDRESS(MATCH(Agenda2526!C148,'CAL7'!A:A,0),3,4,1,"CAL7")),0)</f>
        <v>0</v>
      </c>
      <c r="AM147" s="20" t="str">
        <f ca="1">IF(CALC2223!BD147&gt;1,INDIRECT(ADDRESS(MATCH(Agenda2526!C148,'CAL7'!A:A,0)+1,2,4,1,"CAL7")),"")</f>
        <v/>
      </c>
      <c r="AN147" s="21">
        <f ca="1">IF(CALC2223!BD147&gt;1,INDIRECT(ADDRESS(MATCH(Agenda2526!C148,'CAL7'!A:A,0)+1,3,4,1,"CAL7")),0)</f>
        <v>0</v>
      </c>
      <c r="AO147" s="20" t="str">
        <f ca="1">IF(CALC2223!BD147&gt;2,INDIRECT(ADDRESS(MATCH(Agenda2526!C148,'CAL7'!A:A,0)+2,2,4,1,"CAL7")),"")</f>
        <v/>
      </c>
      <c r="AP147" s="21">
        <f ca="1">IF(CALC2223!BD147&gt;2,INDIRECT(ADDRESS(MATCH(Agenda2526!C148,'CAL7'!A:A,0)+2,3,4,1,"CAL7")),0)</f>
        <v>0</v>
      </c>
      <c r="AQ147" s="20" t="str">
        <f ca="1">IF(CALC2223!BE147&gt;0,INDIRECT(ADDRESS(MATCH(Agenda2526!C148,'CAL8'!A:A,0),2,4,1,"CAL8")),"")</f>
        <v/>
      </c>
      <c r="AR147" s="21">
        <f ca="1">IF(CALC2223!BE147&gt;0,INDIRECT(ADDRESS(MATCH(Agenda2526!C148,'CAL8'!A:A,0),3,4,1,"CAL8")),0)</f>
        <v>0</v>
      </c>
      <c r="AS147" s="20" t="str">
        <f ca="1">IF(CALC2223!BE147&gt;1,INDIRECT(ADDRESS(MATCH(Agenda2526!C148,'CAL8'!A:A,0)+1,2,4,1,"CAL8")),"")</f>
        <v/>
      </c>
      <c r="AT147" s="21">
        <f ca="1">IF(CALC2223!BE147&gt;1,INDIRECT(ADDRESS(MATCH(Agenda2526!C148,'CAL8'!A:A,0)+1,3,4,1,"CAL8")),0)</f>
        <v>0</v>
      </c>
      <c r="AU147" s="20" t="str">
        <f ca="1">IF(CALC2223!BE147&gt;2,INDIRECT(ADDRESS(MATCH(Agenda2526!C148,'CAL8'!A:A,0)+2,2,4,1,"CAL8")),"")</f>
        <v/>
      </c>
      <c r="AV147" s="21">
        <f ca="1">IF(CALC2223!BE147&gt;2,INDIRECT(ADDRESS(MATCH(Agenda2526!C148,'CAL8'!A:A,0)+2,3,4,1,"CAL8")),0)</f>
        <v>0</v>
      </c>
      <c r="AW147" s="106"/>
      <c r="AX147" s="20">
        <f>COUNTIF('CAL1'!A:A,Agenda2526!C148)</f>
        <v>0</v>
      </c>
      <c r="AY147" s="20">
        <f>COUNTIF('CAL2'!A:A,Agenda2526!C148)</f>
        <v>0</v>
      </c>
      <c r="AZ147" s="20">
        <f>COUNTIF('CAL3'!A:A,Agenda2526!C148)</f>
        <v>0</v>
      </c>
      <c r="BA147" s="20">
        <f>COUNTIF('CAL4'!A:A,Agenda2526!C148)</f>
        <v>0</v>
      </c>
      <c r="BB147" s="20">
        <f>COUNTIF('CAL5'!A:A,Agenda2526!C148)</f>
        <v>0</v>
      </c>
      <c r="BC147" s="20">
        <f>COUNTIF('CAL6'!A:A,Agenda2526!C148)</f>
        <v>0</v>
      </c>
      <c r="BD147" s="20">
        <f>COUNTIF('CAL7'!A:A,Agenda2526!C148)</f>
        <v>0</v>
      </c>
      <c r="BE147" s="20">
        <f>COUNTIF('CAL8'!A:A,Agenda2526!C148)</f>
        <v>0</v>
      </c>
    </row>
    <row r="148" spans="1:57" ht="15.75" customHeight="1">
      <c r="A148" s="20" t="str">
        <f ca="1">IF(CALC2223!AX148&gt;0,INDIRECT(ADDRESS(MATCH(Agenda2526!C149,'CAL1'!A:A,0),2,4,1,"CAL1")),"")</f>
        <v/>
      </c>
      <c r="B148" s="21">
        <f ca="1">IF(CALC2223!AX148&gt;0,INDIRECT(ADDRESS(MATCH(Agenda2526!C149,'CAL1'!A:A,0),3,4,1,"CAL1")),0)</f>
        <v>0</v>
      </c>
      <c r="C148" s="20" t="str">
        <f ca="1">IF(CALC2223!AX148&gt;1,INDIRECT(ADDRESS(MATCH(Agenda2526!C149,'CAL1'!A:A,0)+1,2,4,1,"CAL1")),"")</f>
        <v/>
      </c>
      <c r="D148" s="21">
        <f ca="1">IF(CALC2223!AX148&gt;1,INDIRECT(ADDRESS(MATCH(Agenda2526!C149,'CAL1'!A:A,0)+1,3,4,1,"CAL1")),0)</f>
        <v>0</v>
      </c>
      <c r="E148" s="20" t="str">
        <f ca="1">IF(CALC2223!AX148&gt;2,INDIRECT(ADDRESS(MATCH(Agenda2526!C149,'CAL1'!A:A,0)+2,2,4,1,"CAL1")),"")</f>
        <v/>
      </c>
      <c r="F148" s="21">
        <f ca="1">IF(CALC2223!AX148&gt;2,INDIRECT(ADDRESS(MATCH(Agenda2526!C149,'CAL1'!A:A,0)+2,3,4,1,"CAL1")),0)</f>
        <v>0</v>
      </c>
      <c r="G148" s="20" t="str">
        <f ca="1">IF(CALC2223!AY148&gt;0,INDIRECT(ADDRESS(MATCH(Agenda2526!C149,'CAL2'!A:A,0),2,4,1,"CAL2")),"")</f>
        <v/>
      </c>
      <c r="H148" s="21">
        <f ca="1">IF(CALC2223!AY148&gt;0,INDIRECT(ADDRESS(MATCH(Agenda2526!C149,'CAL2'!A:A,0),3,4,1,"CAL2")),0)</f>
        <v>0</v>
      </c>
      <c r="I148" s="20" t="str">
        <f ca="1">IF(CALC2223!AY148&gt;1,INDIRECT(ADDRESS(MATCH(Agenda2526!C149,'CAL2'!A:A,0)+1,2,4,1,"CAL2")),"")</f>
        <v/>
      </c>
      <c r="J148" s="21">
        <f ca="1">IF(CALC2223!AY148&gt;1,INDIRECT(ADDRESS(MATCH(Agenda2526!C149,'CAL2'!A:A,0)+1,3,4,1,"CAL2")),0)</f>
        <v>0</v>
      </c>
      <c r="K148" s="20" t="str">
        <f ca="1">IF(CALC2223!AY148&gt;2,INDIRECT(ADDRESS(MATCH(Agenda2526!C149,'CAL2'!A:A,0)+2,2,4,1,"CAL2")),"")</f>
        <v/>
      </c>
      <c r="L148" s="21">
        <f ca="1">IF(CALC2223!AY148&gt;2,INDIRECT(ADDRESS(MATCH(Agenda2526!C149,'CAL2'!A:A,0)+2,3,4,1,"CAL2")),0)</f>
        <v>0</v>
      </c>
      <c r="M148" s="20" t="str">
        <f ca="1">IF(CALC2223!AZ148&gt;0,INDIRECT(ADDRESS(MATCH(Agenda2526!C149,'CAL3'!A:A,0),2,4,1,"CAL3")),"")</f>
        <v/>
      </c>
      <c r="N148" s="21">
        <f ca="1">IF(CALC2223!AZ148&gt;0,INDIRECT(ADDRESS(MATCH(Agenda2526!C149,'CAL3'!A:A,0),3,4,1,"CAL3")),0)</f>
        <v>0</v>
      </c>
      <c r="O148" s="20" t="str">
        <f ca="1">IF(CALC2223!AZ148&gt;1,INDIRECT(ADDRESS(MATCH(Agenda2526!C149,'CAL3'!A:A,0)+1,2,4,1,"CAL3")),"")</f>
        <v/>
      </c>
      <c r="P148" s="21">
        <f ca="1">IF(CALC2223!AZ148&gt;1,INDIRECT(ADDRESS(MATCH(Agenda2526!C149,'CAL3'!A:A,0)+1,3,4,1,"CAL3")),0)</f>
        <v>0</v>
      </c>
      <c r="Q148" s="20" t="str">
        <f ca="1">IF(CALC2223!AZ148&gt;2,INDIRECT(ADDRESS(MATCH(Agenda2526!C149,'CAL3'!A:A,0)+2,2,4,1,"CAL3")),"")</f>
        <v/>
      </c>
      <c r="R148" s="21">
        <f ca="1">IF(CALC2223!AZ148&gt;2,INDIRECT(ADDRESS(MATCH(Agenda2526!C149,'CAL3'!A:A,0)+2,3,4,1,"CAL3")),0)</f>
        <v>0</v>
      </c>
      <c r="S148" s="20" t="str">
        <f ca="1">IF(CALC2223!BA148&gt;0,INDIRECT(ADDRESS(MATCH(Agenda2526!C149,'CAL4'!A:A,0),2,4,1,"CAL4")),"")</f>
        <v/>
      </c>
      <c r="T148" s="21">
        <f ca="1">IF(CALC2223!BA148&gt;0,INDIRECT(ADDRESS(MATCH(Agenda2526!C149,'CAL4'!A:A,0),3,4,1,"CAL4")),0)</f>
        <v>0</v>
      </c>
      <c r="U148" s="20" t="str">
        <f ca="1">IF(CALC2223!BA148&gt;1,INDIRECT(ADDRESS(MATCH(Agenda2526!C149,'CAL4'!A:A,0)+1,2,4,1,"CAL4")),"")</f>
        <v/>
      </c>
      <c r="V148" s="21">
        <f ca="1">IF(CALC2223!BA148&gt;1,INDIRECT(ADDRESS(MATCH(Agenda2526!C149,'CAL4'!A:A,0)+1,3,4,1,"CAL4")),0)</f>
        <v>0</v>
      </c>
      <c r="W148" s="20" t="str">
        <f ca="1">IF(CALC2223!BA148&gt;2,INDIRECT(ADDRESS(MATCH(Agenda2526!C149,'CAL4'!A:A,0)+2,2,4,1,"CAL4")),"")</f>
        <v/>
      </c>
      <c r="X148" s="21">
        <f ca="1">IF(CALC2223!BA148&gt;2,INDIRECT(ADDRESS(MATCH(Agenda2526!C149,'CAL4'!A:A,0)+2,3,4,1,"CAL4")),0)</f>
        <v>0</v>
      </c>
      <c r="Y148" s="20" t="str">
        <f ca="1">IF(CALC2223!BB148&gt;0,INDIRECT(ADDRESS(MATCH(Agenda2526!C149,'CAL5'!A:A,0),2,4,1,"CAL5")),"")</f>
        <v/>
      </c>
      <c r="Z148" s="21">
        <f ca="1">IF(CALC2223!BB148&gt;0,INDIRECT(ADDRESS(MATCH(Agenda2526!C149,'CAL5'!A:A,0),3,4,1,"CAL5")),0)</f>
        <v>0</v>
      </c>
      <c r="AA148" s="20" t="str">
        <f ca="1">IF(CALC2223!BB148&gt;1,INDIRECT(ADDRESS(MATCH(Agenda2526!C149,'CAL5'!A:A,0)+1,2,4,1,"CAL5")),"")</f>
        <v/>
      </c>
      <c r="AB148" s="21">
        <f ca="1">IF(CALC2223!BB148&gt;1,INDIRECT(ADDRESS(MATCH(Agenda2526!C149,'CAL5'!A:A,0)+1,3,4,1,"CAL5")),0)</f>
        <v>0</v>
      </c>
      <c r="AC148" s="20" t="str">
        <f ca="1">IF(CALC2223!BB148&gt;2,INDIRECT(ADDRESS(MATCH(Agenda2526!C149,'CAL5'!A:A,0)+2,2,4,1,"CAL5")),"")</f>
        <v/>
      </c>
      <c r="AD148" s="21">
        <f ca="1">IF(CALC2223!BB148&gt;2,INDIRECT(ADDRESS(MATCH(Agenda2526!C149,'CAL5'!A:A,0)+2,3,4,1,"CAL5")),0)</f>
        <v>0</v>
      </c>
      <c r="AE148" s="20" t="str">
        <f ca="1">IF(CALC2223!BC148&gt;0,INDIRECT(ADDRESS(MATCH(Agenda2526!C149,'CAL6'!A:A,0),2,4,1,"CAL6")),"")</f>
        <v/>
      </c>
      <c r="AF148" s="21">
        <f ca="1">IF(CALC2223!BC148&gt;0,INDIRECT(ADDRESS(MATCH(Agenda2526!C149,'CAL6'!A:A,0),3,4,1,"CAL6")),0)</f>
        <v>0</v>
      </c>
      <c r="AG148" s="20" t="str">
        <f ca="1">IF(CALC2223!BC148&gt;1,INDIRECT(ADDRESS(MATCH(Agenda2526!C149,'CAL6'!A:A,0)+1,2,4,1,"CAL6")),"")</f>
        <v/>
      </c>
      <c r="AH148" s="21">
        <f ca="1">IF(CALC2223!BC148&gt;1,INDIRECT(ADDRESS(MATCH(Agenda2526!C149,'CAL6'!A:A,0)+1,3,4,1,"CAL6")),0)</f>
        <v>0</v>
      </c>
      <c r="AI148" s="20" t="str">
        <f ca="1">IF(CALC2223!BC148&gt;2,INDIRECT(ADDRESS(MATCH(Agenda2526!C149,'CAL6'!A:A,0)+2,2,4,1,"CAL6")),"")</f>
        <v/>
      </c>
      <c r="AJ148" s="21">
        <f ca="1">IF(CALC2223!BC148&gt;2,INDIRECT(ADDRESS(MATCH(Agenda2526!C149,'CAL6'!A:A,0)+2,3,4,1,"CAL6")),0)</f>
        <v>0</v>
      </c>
      <c r="AK148" s="20" t="str">
        <f ca="1">IF(CALC2223!BD148&gt;0,INDIRECT(ADDRESS(MATCH(Agenda2526!C149,'CAL7'!A:A,0),2,4,1,"CAL7")),"")</f>
        <v/>
      </c>
      <c r="AL148" s="21">
        <f ca="1">IF(CALC2223!BD148&gt;0,INDIRECT(ADDRESS(MATCH(Agenda2526!C149,'CAL7'!A:A,0),3,4,1,"CAL7")),0)</f>
        <v>0</v>
      </c>
      <c r="AM148" s="20" t="str">
        <f ca="1">IF(CALC2223!BD148&gt;1,INDIRECT(ADDRESS(MATCH(Agenda2526!C149,'CAL7'!A:A,0)+1,2,4,1,"CAL7")),"")</f>
        <v/>
      </c>
      <c r="AN148" s="21">
        <f ca="1">IF(CALC2223!BD148&gt;1,INDIRECT(ADDRESS(MATCH(Agenda2526!C149,'CAL7'!A:A,0)+1,3,4,1,"CAL7")),0)</f>
        <v>0</v>
      </c>
      <c r="AO148" s="20" t="str">
        <f ca="1">IF(CALC2223!BD148&gt;2,INDIRECT(ADDRESS(MATCH(Agenda2526!C149,'CAL7'!A:A,0)+2,2,4,1,"CAL7")),"")</f>
        <v/>
      </c>
      <c r="AP148" s="21">
        <f ca="1">IF(CALC2223!BD148&gt;2,INDIRECT(ADDRESS(MATCH(Agenda2526!C149,'CAL7'!A:A,0)+2,3,4,1,"CAL7")),0)</f>
        <v>0</v>
      </c>
      <c r="AQ148" s="20" t="str">
        <f ca="1">IF(CALC2223!BE148&gt;0,INDIRECT(ADDRESS(MATCH(Agenda2526!C149,'CAL8'!A:A,0),2,4,1,"CAL8")),"")</f>
        <v/>
      </c>
      <c r="AR148" s="21">
        <f ca="1">IF(CALC2223!BE148&gt;0,INDIRECT(ADDRESS(MATCH(Agenda2526!C149,'CAL8'!A:A,0),3,4,1,"CAL8")),0)</f>
        <v>0</v>
      </c>
      <c r="AS148" s="20" t="str">
        <f ca="1">IF(CALC2223!BE148&gt;1,INDIRECT(ADDRESS(MATCH(Agenda2526!C149,'CAL8'!A:A,0)+1,2,4,1,"CAL8")),"")</f>
        <v/>
      </c>
      <c r="AT148" s="21">
        <f ca="1">IF(CALC2223!BE148&gt;1,INDIRECT(ADDRESS(MATCH(Agenda2526!C149,'CAL8'!A:A,0)+1,3,4,1,"CAL8")),0)</f>
        <v>0</v>
      </c>
      <c r="AU148" s="20" t="str">
        <f ca="1">IF(CALC2223!BE148&gt;2,INDIRECT(ADDRESS(MATCH(Agenda2526!C149,'CAL8'!A:A,0)+2,2,4,1,"CAL8")),"")</f>
        <v/>
      </c>
      <c r="AV148" s="21">
        <f ca="1">IF(CALC2223!BE148&gt;2,INDIRECT(ADDRESS(MATCH(Agenda2526!C149,'CAL8'!A:A,0)+2,3,4,1,"CAL8")),0)</f>
        <v>0</v>
      </c>
      <c r="AW148" s="106"/>
      <c r="AX148" s="20">
        <f>COUNTIF('CAL1'!A:A,Agenda2526!C149)</f>
        <v>0</v>
      </c>
      <c r="AY148" s="20">
        <f>COUNTIF('CAL2'!A:A,Agenda2526!C149)</f>
        <v>0</v>
      </c>
      <c r="AZ148" s="20">
        <f>COUNTIF('CAL3'!A:A,Agenda2526!C149)</f>
        <v>0</v>
      </c>
      <c r="BA148" s="20">
        <f>COUNTIF('CAL4'!A:A,Agenda2526!C149)</f>
        <v>0</v>
      </c>
      <c r="BB148" s="20">
        <f>COUNTIF('CAL5'!A:A,Agenda2526!C149)</f>
        <v>0</v>
      </c>
      <c r="BC148" s="20">
        <f>COUNTIF('CAL6'!A:A,Agenda2526!C149)</f>
        <v>0</v>
      </c>
      <c r="BD148" s="20">
        <f>COUNTIF('CAL7'!A:A,Agenda2526!C149)</f>
        <v>0</v>
      </c>
      <c r="BE148" s="20">
        <f>COUNTIF('CAL8'!A:A,Agenda2526!C149)</f>
        <v>0</v>
      </c>
    </row>
    <row r="149" spans="1:57" ht="15.75" customHeight="1">
      <c r="A149" s="20" t="str">
        <f ca="1">IF(CALC2223!AX149&gt;0,INDIRECT(ADDRESS(MATCH(Agenda2526!C150,'CAL1'!A:A,0),2,4,1,"CAL1")),"")</f>
        <v/>
      </c>
      <c r="B149" s="21">
        <f ca="1">IF(CALC2223!AX149&gt;0,INDIRECT(ADDRESS(MATCH(Agenda2526!C150,'CAL1'!A:A,0),3,4,1,"CAL1")),0)</f>
        <v>0</v>
      </c>
      <c r="C149" s="20" t="str">
        <f ca="1">IF(CALC2223!AX149&gt;1,INDIRECT(ADDRESS(MATCH(Agenda2526!C150,'CAL1'!A:A,0)+1,2,4,1,"CAL1")),"")</f>
        <v/>
      </c>
      <c r="D149" s="21">
        <f ca="1">IF(CALC2223!AX149&gt;1,INDIRECT(ADDRESS(MATCH(Agenda2526!C150,'CAL1'!A:A,0)+1,3,4,1,"CAL1")),0)</f>
        <v>0</v>
      </c>
      <c r="E149" s="20" t="str">
        <f ca="1">IF(CALC2223!AX149&gt;2,INDIRECT(ADDRESS(MATCH(Agenda2526!C150,'CAL1'!A:A,0)+2,2,4,1,"CAL1")),"")</f>
        <v/>
      </c>
      <c r="F149" s="21">
        <f ca="1">IF(CALC2223!AX149&gt;2,INDIRECT(ADDRESS(MATCH(Agenda2526!C150,'CAL1'!A:A,0)+2,3,4,1,"CAL1")),0)</f>
        <v>0</v>
      </c>
      <c r="G149" s="20" t="str">
        <f ca="1">IF(CALC2223!AY149&gt;0,INDIRECT(ADDRESS(MATCH(Agenda2526!C150,'CAL2'!A:A,0),2,4,1,"CAL2")),"")</f>
        <v/>
      </c>
      <c r="H149" s="21">
        <f ca="1">IF(CALC2223!AY149&gt;0,INDIRECT(ADDRESS(MATCH(Agenda2526!C150,'CAL2'!A:A,0),3,4,1,"CAL2")),0)</f>
        <v>0</v>
      </c>
      <c r="I149" s="20" t="str">
        <f ca="1">IF(CALC2223!AY149&gt;1,INDIRECT(ADDRESS(MATCH(Agenda2526!C150,'CAL2'!A:A,0)+1,2,4,1,"CAL2")),"")</f>
        <v/>
      </c>
      <c r="J149" s="21">
        <f ca="1">IF(CALC2223!AY149&gt;1,INDIRECT(ADDRESS(MATCH(Agenda2526!C150,'CAL2'!A:A,0)+1,3,4,1,"CAL2")),0)</f>
        <v>0</v>
      </c>
      <c r="K149" s="20" t="str">
        <f ca="1">IF(CALC2223!AY149&gt;2,INDIRECT(ADDRESS(MATCH(Agenda2526!C150,'CAL2'!A:A,0)+2,2,4,1,"CAL2")),"")</f>
        <v/>
      </c>
      <c r="L149" s="21">
        <f ca="1">IF(CALC2223!AY149&gt;2,INDIRECT(ADDRESS(MATCH(Agenda2526!C150,'CAL2'!A:A,0)+2,3,4,1,"CAL2")),0)</f>
        <v>0</v>
      </c>
      <c r="M149" s="20" t="str">
        <f ca="1">IF(CALC2223!AZ149&gt;0,INDIRECT(ADDRESS(MATCH(Agenda2526!C150,'CAL3'!A:A,0),2,4,1,"CAL3")),"")</f>
        <v>Rep GO</v>
      </c>
      <c r="N149" s="21">
        <f ca="1">IF(CALC2223!AZ149&gt;0,INDIRECT(ADDRESS(MATCH(Agenda2526!C150,'CAL3'!A:A,0),3,4,1,"CAL3")),0)</f>
        <v>46034</v>
      </c>
      <c r="O149" s="20" t="str">
        <f ca="1">IF(CALC2223!AZ149&gt;1,INDIRECT(ADDRESS(MATCH(Agenda2526!C150,'CAL3'!A:A,0)+1,2,4,1,"CAL3")),"")</f>
        <v/>
      </c>
      <c r="P149" s="21">
        <f ca="1">IF(CALC2223!AZ149&gt;1,INDIRECT(ADDRESS(MATCH(Agenda2526!C150,'CAL3'!A:A,0)+1,3,4,1,"CAL3")),0)</f>
        <v>0</v>
      </c>
      <c r="Q149" s="20" t="str">
        <f ca="1">IF(CALC2223!AZ149&gt;2,INDIRECT(ADDRESS(MATCH(Agenda2526!C150,'CAL3'!A:A,0)+2,2,4,1,"CAL3")),"")</f>
        <v/>
      </c>
      <c r="R149" s="21">
        <f ca="1">IF(CALC2223!AZ149&gt;2,INDIRECT(ADDRESS(MATCH(Agenda2526!C150,'CAL3'!A:A,0)+2,3,4,1,"CAL3")),0)</f>
        <v>0</v>
      </c>
      <c r="S149" s="20" t="str">
        <f ca="1">IF(CALC2223!BA149&gt;0,INDIRECT(ADDRESS(MATCH(Agenda2526!C150,'CAL4'!A:A,0),2,4,1,"CAL4")),"")</f>
        <v>inh rep EN</v>
      </c>
      <c r="T149" s="21">
        <f ca="1">IF(CALC2223!BA149&gt;0,INDIRECT(ADDRESS(MATCH(Agenda2526!C150,'CAL4'!A:A,0),3,4,1,"CAL4")),0)</f>
        <v>45936</v>
      </c>
      <c r="U149" s="20" t="str">
        <f ca="1">IF(CALC2223!BA149&gt;1,INDIRECT(ADDRESS(MATCH(Agenda2526!C150,'CAL4'!A:A,0)+1,2,4,1,"CAL4")),"")</f>
        <v/>
      </c>
      <c r="V149" s="21">
        <f ca="1">IF(CALC2223!BA149&gt;1,INDIRECT(ADDRESS(MATCH(Agenda2526!C150,'CAL4'!A:A,0)+1,3,4,1,"CAL4")),0)</f>
        <v>0</v>
      </c>
      <c r="W149" s="20" t="str">
        <f ca="1">IF(CALC2223!BA149&gt;2,INDIRECT(ADDRESS(MATCH(Agenda2526!C150,'CAL4'!A:A,0)+2,2,4,1,"CAL4")),"")</f>
        <v/>
      </c>
      <c r="X149" s="21">
        <f ca="1">IF(CALC2223!BA149&gt;2,INDIRECT(ADDRESS(MATCH(Agenda2526!C150,'CAL4'!A:A,0)+2,3,4,1,"CAL4")),0)</f>
        <v>0</v>
      </c>
      <c r="Y149" s="20" t="str">
        <f ca="1">IF(CALC2223!BB149&gt;0,INDIRECT(ADDRESS(MATCH(Agenda2526!C150,'CAL5'!A:A,0),2,4,1,"CAL5")),"")</f>
        <v>tsweek: rep netl / se wisd. Inhalen SE fi</v>
      </c>
      <c r="Z149" s="21">
        <f ca="1">IF(CALC2223!BB149&gt;0,INDIRECT(ADDRESS(MATCH(Agenda2526!C150,'CAL5'!A:A,0),3,4,1,"CAL5")),0)</f>
        <v>45965</v>
      </c>
      <c r="AA149" s="20" t="str">
        <f ca="1">IF(CALC2223!BB149&gt;1,INDIRECT(ADDRESS(MATCH(Agenda2526!C150,'CAL5'!A:A,0)+1,2,4,1,"CAL5")),"")</f>
        <v/>
      </c>
      <c r="AB149" s="21">
        <f ca="1">IF(CALC2223!BB149&gt;1,INDIRECT(ADDRESS(MATCH(Agenda2526!C150,'CAL5'!A:A,0)+1,3,4,1,"CAL5")),0)</f>
        <v>0</v>
      </c>
      <c r="AC149" s="20" t="str">
        <f ca="1">IF(CALC2223!BB149&gt;2,INDIRECT(ADDRESS(MATCH(Agenda2526!C150,'CAL5'!A:A,0)+2,2,4,1,"CAL5")),"")</f>
        <v/>
      </c>
      <c r="AD149" s="21">
        <f ca="1">IF(CALC2223!BB149&gt;2,INDIRECT(ADDRESS(MATCH(Agenda2526!C150,'CAL5'!A:A,0)+2,3,4,1,"CAL5")),0)</f>
        <v>0</v>
      </c>
      <c r="AE149" s="20" t="str">
        <f ca="1">IF(CALC2223!BC149&gt;0,INDIRECT(ADDRESS(MATCH(Agenda2526!C150,'CAL6'!A:A,0),2,4,1,"CAL6")),"")</f>
        <v>herkansen (lessen vervallen)</v>
      </c>
      <c r="AF149" s="21">
        <f ca="1">IF(CALC2223!BC149&gt;0,INDIRECT(ADDRESS(MATCH(Agenda2526!C150,'CAL6'!A:A,0),3,4,1,"CAL6")),0)</f>
        <v>46036</v>
      </c>
      <c r="AG149" s="20" t="str">
        <f ca="1">IF(CALC2223!BC149&gt;1,INDIRECT(ADDRESS(MATCH(Agenda2526!C150,'CAL6'!A:A,0)+1,2,4,1,"CAL6")),"")</f>
        <v/>
      </c>
      <c r="AH149" s="21">
        <f ca="1">IF(CALC2223!BC149&gt;1,INDIRECT(ADDRESS(MATCH(Agenda2526!C150,'CAL6'!A:A,0)+1,3,4,1,"CAL6")),0)</f>
        <v>0</v>
      </c>
      <c r="AI149" s="20" t="str">
        <f ca="1">IF(CALC2223!BC149&gt;2,INDIRECT(ADDRESS(MATCH(Agenda2526!C150,'CAL6'!A:A,0)+2,2,4,1,"CAL6")),"")</f>
        <v/>
      </c>
      <c r="AJ149" s="21">
        <f ca="1">IF(CALC2223!BC149&gt;2,INDIRECT(ADDRESS(MATCH(Agenda2526!C150,'CAL6'!A:A,0)+2,3,4,1,"CAL6")),0)</f>
        <v>0</v>
      </c>
      <c r="AK149" s="20" t="str">
        <f ca="1">IF(CALC2223!BD149&gt;0,INDIRECT(ADDRESS(MATCH(Agenda2526!C150,'CAL7'!A:A,0),2,4,1,"CAL7")),"")</f>
        <v/>
      </c>
      <c r="AL149" s="21">
        <f ca="1">IF(CALC2223!BD149&gt;0,INDIRECT(ADDRESS(MATCH(Agenda2526!C150,'CAL7'!A:A,0),3,4,1,"CAL7")),0)</f>
        <v>0</v>
      </c>
      <c r="AM149" s="20" t="str">
        <f ca="1">IF(CALC2223!BD149&gt;1,INDIRECT(ADDRESS(MATCH(Agenda2526!C150,'CAL7'!A:A,0)+1,2,4,1,"CAL7")),"")</f>
        <v/>
      </c>
      <c r="AN149" s="21">
        <f ca="1">IF(CALC2223!BD149&gt;1,INDIRECT(ADDRESS(MATCH(Agenda2526!C150,'CAL7'!A:A,0)+1,3,4,1,"CAL7")),0)</f>
        <v>0</v>
      </c>
      <c r="AO149" s="20" t="str">
        <f ca="1">IF(CALC2223!BD149&gt;2,INDIRECT(ADDRESS(MATCH(Agenda2526!C150,'CAL7'!A:A,0)+2,2,4,1,"CAL7")),"")</f>
        <v/>
      </c>
      <c r="AP149" s="21">
        <f ca="1">IF(CALC2223!BD149&gt;2,INDIRECT(ADDRESS(MATCH(Agenda2526!C150,'CAL7'!A:A,0)+2,3,4,1,"CAL7")),0)</f>
        <v>0</v>
      </c>
      <c r="AQ149" s="20" t="str">
        <f ca="1">IF(CALC2223!BE149&gt;0,INDIRECT(ADDRESS(MATCH(Agenda2526!C150,'CAL8'!A:A,0),2,4,1,"CAL8")),"")</f>
        <v>periode 3</v>
      </c>
      <c r="AR149" s="21">
        <f ca="1">IF(CALC2223!BE149&gt;0,INDIRECT(ADDRESS(MATCH(Agenda2526!C150,'CAL8'!A:A,0),3,4,1,"CAL8")),0)</f>
        <v>45896</v>
      </c>
      <c r="AS149" s="20" t="str">
        <f ca="1">IF(CALC2223!BE149&gt;1,INDIRECT(ADDRESS(MATCH(Agenda2526!C150,'CAL8'!A:A,0)+1,2,4,1,"CAL8")),"")</f>
        <v/>
      </c>
      <c r="AT149" s="21">
        <f ca="1">IF(CALC2223!BE149&gt;1,INDIRECT(ADDRESS(MATCH(Agenda2526!C150,'CAL8'!A:A,0)+1,3,4,1,"CAL8")),0)</f>
        <v>0</v>
      </c>
      <c r="AU149" s="20" t="str">
        <f ca="1">IF(CALC2223!BE149&gt;2,INDIRECT(ADDRESS(MATCH(Agenda2526!C150,'CAL8'!A:A,0)+2,2,4,1,"CAL8")),"")</f>
        <v/>
      </c>
      <c r="AV149" s="21">
        <f ca="1">IF(CALC2223!BE149&gt;2,INDIRECT(ADDRESS(MATCH(Agenda2526!C150,'CAL8'!A:A,0)+2,3,4,1,"CAL8")),0)</f>
        <v>0</v>
      </c>
      <c r="AW149" s="105"/>
      <c r="AX149" s="20">
        <f>COUNTIF('CAL1'!A:A,Agenda2526!C150)</f>
        <v>0</v>
      </c>
      <c r="AY149" s="20">
        <f>COUNTIF('CAL2'!A:A,Agenda2526!C150)</f>
        <v>0</v>
      </c>
      <c r="AZ149" s="20">
        <f>COUNTIF('CAL3'!A:A,Agenda2526!C150)</f>
        <v>1</v>
      </c>
      <c r="BA149" s="20">
        <f>COUNTIF('CAL4'!A:A,Agenda2526!C150)</f>
        <v>1</v>
      </c>
      <c r="BB149" s="20">
        <f>COUNTIF('CAL5'!A:A,Agenda2526!C150)</f>
        <v>1</v>
      </c>
      <c r="BC149" s="20">
        <f>COUNTIF('CAL6'!A:A,Agenda2526!C150)</f>
        <v>1</v>
      </c>
      <c r="BD149" s="20">
        <f>COUNTIF('CAL7'!A:A,Agenda2526!C150)</f>
        <v>0</v>
      </c>
      <c r="BE149" s="20">
        <f>COUNTIF('CAL8'!A:A,Agenda2526!C150)</f>
        <v>1</v>
      </c>
    </row>
    <row r="150" spans="1:57" ht="15.75" customHeight="1">
      <c r="A150" s="20" t="str">
        <f ca="1">IF(CALC2223!AX150&gt;0,INDIRECT(ADDRESS(MATCH(Agenda2526!C151,'CAL1'!A:A,0),2,4,1,"CAL1")),"")</f>
        <v/>
      </c>
      <c r="B150" s="21">
        <f ca="1">IF(CALC2223!AX150&gt;0,INDIRECT(ADDRESS(MATCH(Agenda2526!C151,'CAL1'!A:A,0),3,4,1,"CAL1")),0)</f>
        <v>0</v>
      </c>
      <c r="C150" s="20" t="str">
        <f ca="1">IF(CALC2223!AX150&gt;1,INDIRECT(ADDRESS(MATCH(Agenda2526!C151,'CAL1'!A:A,0)+1,2,4,1,"CAL1")),"")</f>
        <v/>
      </c>
      <c r="D150" s="21">
        <f ca="1">IF(CALC2223!AX150&gt;1,INDIRECT(ADDRESS(MATCH(Agenda2526!C151,'CAL1'!A:A,0)+1,3,4,1,"CAL1")),0)</f>
        <v>0</v>
      </c>
      <c r="E150" s="20" t="str">
        <f ca="1">IF(CALC2223!AX150&gt;2,INDIRECT(ADDRESS(MATCH(Agenda2526!C151,'CAL1'!A:A,0)+2,2,4,1,"CAL1")),"")</f>
        <v/>
      </c>
      <c r="F150" s="21">
        <f ca="1">IF(CALC2223!AX150&gt;2,INDIRECT(ADDRESS(MATCH(Agenda2526!C151,'CAL1'!A:A,0)+2,3,4,1,"CAL1")),0)</f>
        <v>0</v>
      </c>
      <c r="G150" s="20" t="str">
        <f ca="1">IF(CALC2223!AY150&gt;0,INDIRECT(ADDRESS(MATCH(Agenda2526!C151,'CAL2'!A:A,0),2,4,1,"CAL2")),"")</f>
        <v/>
      </c>
      <c r="H150" s="21">
        <f ca="1">IF(CALC2223!AY150&gt;0,INDIRECT(ADDRESS(MATCH(Agenda2526!C151,'CAL2'!A:A,0),3,4,1,"CAL2")),0)</f>
        <v>0</v>
      </c>
      <c r="I150" s="20" t="str">
        <f ca="1">IF(CALC2223!AY150&gt;1,INDIRECT(ADDRESS(MATCH(Agenda2526!C151,'CAL2'!A:A,0)+1,2,4,1,"CAL2")),"")</f>
        <v/>
      </c>
      <c r="J150" s="21">
        <f ca="1">IF(CALC2223!AY150&gt;1,INDIRECT(ADDRESS(MATCH(Agenda2526!C151,'CAL2'!A:A,0)+1,3,4,1,"CAL2")),0)</f>
        <v>0</v>
      </c>
      <c r="K150" s="20" t="str">
        <f ca="1">IF(CALC2223!AY150&gt;2,INDIRECT(ADDRESS(MATCH(Agenda2526!C151,'CAL2'!A:A,0)+2,2,4,1,"CAL2")),"")</f>
        <v/>
      </c>
      <c r="L150" s="21">
        <f ca="1">IF(CALC2223!AY150&gt;2,INDIRECT(ADDRESS(MATCH(Agenda2526!C151,'CAL2'!A:A,0)+2,3,4,1,"CAL2")),0)</f>
        <v>0</v>
      </c>
      <c r="M150" s="20" t="str">
        <f ca="1">IF(CALC2223!AZ150&gt;0,INDIRECT(ADDRESS(MATCH(Agenda2526!C151,'CAL3'!A:A,0),2,4,1,"CAL3")),"")</f>
        <v/>
      </c>
      <c r="N150" s="21">
        <f ca="1">IF(CALC2223!AZ150&gt;0,INDIRECT(ADDRESS(MATCH(Agenda2526!C151,'CAL3'!A:A,0),3,4,1,"CAL3")),0)</f>
        <v>0</v>
      </c>
      <c r="O150" s="20" t="str">
        <f ca="1">IF(CALC2223!AZ150&gt;1,INDIRECT(ADDRESS(MATCH(Agenda2526!C151,'CAL3'!A:A,0)+1,2,4,1,"CAL3")),"")</f>
        <v/>
      </c>
      <c r="P150" s="21">
        <f ca="1">IF(CALC2223!AZ150&gt;1,INDIRECT(ADDRESS(MATCH(Agenda2526!C151,'CAL3'!A:A,0)+1,3,4,1,"CAL3")),0)</f>
        <v>0</v>
      </c>
      <c r="Q150" s="20" t="str">
        <f ca="1">IF(CALC2223!AZ150&gt;2,INDIRECT(ADDRESS(MATCH(Agenda2526!C151,'CAL3'!A:A,0)+2,2,4,1,"CAL3")),"")</f>
        <v/>
      </c>
      <c r="R150" s="21">
        <f ca="1">IF(CALC2223!AZ150&gt;2,INDIRECT(ADDRESS(MATCH(Agenda2526!C151,'CAL3'!A:A,0)+2,3,4,1,"CAL3")),0)</f>
        <v>0</v>
      </c>
      <c r="S150" s="20" t="str">
        <f ca="1">IF(CALC2223!BA150&gt;0,INDIRECT(ADDRESS(MATCH(Agenda2526!C151,'CAL4'!A:A,0),2,4,1,"CAL4")),"")</f>
        <v>Rep SK</v>
      </c>
      <c r="T150" s="21">
        <f ca="1">IF(CALC2223!BA150&gt;0,INDIRECT(ADDRESS(MATCH(Agenda2526!C151,'CAL4'!A:A,0),3,4,1,"CAL4")),0)</f>
        <v>45896</v>
      </c>
      <c r="U150" s="20" t="str">
        <f ca="1">IF(CALC2223!BA150&gt;1,INDIRECT(ADDRESS(MATCH(Agenda2526!C151,'CAL4'!A:A,0)+1,2,4,1,"CAL4")),"")</f>
        <v/>
      </c>
      <c r="V150" s="21">
        <f ca="1">IF(CALC2223!BA150&gt;1,INDIRECT(ADDRESS(MATCH(Agenda2526!C151,'CAL4'!A:A,0)+1,3,4,1,"CAL4")),0)</f>
        <v>0</v>
      </c>
      <c r="W150" s="20" t="str">
        <f ca="1">IF(CALC2223!BA150&gt;2,INDIRECT(ADDRESS(MATCH(Agenda2526!C151,'CAL4'!A:A,0)+2,2,4,1,"CAL4")),"")</f>
        <v/>
      </c>
      <c r="X150" s="21">
        <f ca="1">IF(CALC2223!BA150&gt;2,INDIRECT(ADDRESS(MATCH(Agenda2526!C151,'CAL4'!A:A,0)+2,3,4,1,"CAL4")),0)</f>
        <v>0</v>
      </c>
      <c r="Y150" s="20" t="str">
        <f ca="1">IF(CALC2223!BB150&gt;0,INDIRECT(ADDRESS(MATCH(Agenda2526!C151,'CAL5'!A:A,0),2,4,1,"CAL5")),"")</f>
        <v>tsweek: rep nat / rep sptl</v>
      </c>
      <c r="Z150" s="21">
        <f ca="1">IF(CALC2223!BB150&gt;0,INDIRECT(ADDRESS(MATCH(Agenda2526!C151,'CAL5'!A:A,0),3,4,1,"CAL5")),0)</f>
        <v>45965</v>
      </c>
      <c r="AA150" s="20" t="str">
        <f ca="1">IF(CALC2223!BB150&gt;1,INDIRECT(ADDRESS(MATCH(Agenda2526!C151,'CAL5'!A:A,0)+1,2,4,1,"CAL5")),"")</f>
        <v/>
      </c>
      <c r="AB150" s="21">
        <f ca="1">IF(CALC2223!BB150&gt;1,INDIRECT(ADDRESS(MATCH(Agenda2526!C151,'CAL5'!A:A,0)+1,3,4,1,"CAL5")),0)</f>
        <v>0</v>
      </c>
      <c r="AC150" s="20" t="str">
        <f ca="1">IF(CALC2223!BB150&gt;2,INDIRECT(ADDRESS(MATCH(Agenda2526!C151,'CAL5'!A:A,0)+2,2,4,1,"CAL5")),"")</f>
        <v/>
      </c>
      <c r="AD150" s="21">
        <f ca="1">IF(CALC2223!BB150&gt;2,INDIRECT(ADDRESS(MATCH(Agenda2526!C151,'CAL5'!A:A,0)+2,3,4,1,"CAL5")),0)</f>
        <v>0</v>
      </c>
      <c r="AE150" s="20" t="str">
        <f ca="1">IF(CALC2223!BC150&gt;0,INDIRECT(ADDRESS(MATCH(Agenda2526!C151,'CAL6'!A:A,0),2,4,1,"CAL6")),"")</f>
        <v xml:space="preserve"> Spaans</v>
      </c>
      <c r="AF150" s="21">
        <f ca="1">IF(CALC2223!BC150&gt;0,INDIRECT(ADDRESS(MATCH(Agenda2526!C151,'CAL6'!A:A,0),3,4,1,"CAL6")),0)</f>
        <v>46033</v>
      </c>
      <c r="AG150" s="20" t="str">
        <f ca="1">IF(CALC2223!BC150&gt;1,INDIRECT(ADDRESS(MATCH(Agenda2526!C151,'CAL6'!A:A,0)+1,2,4,1,"CAL6")),"")</f>
        <v/>
      </c>
      <c r="AH150" s="21">
        <f ca="1">IF(CALC2223!BC150&gt;1,INDIRECT(ADDRESS(MATCH(Agenda2526!C151,'CAL6'!A:A,0)+1,3,4,1,"CAL6")),0)</f>
        <v>0</v>
      </c>
      <c r="AI150" s="20" t="str">
        <f ca="1">IF(CALC2223!BC150&gt;2,INDIRECT(ADDRESS(MATCH(Agenda2526!C151,'CAL6'!A:A,0)+2,2,4,1,"CAL6")),"")</f>
        <v/>
      </c>
      <c r="AJ150" s="21">
        <f ca="1">IF(CALC2223!BC150&gt;2,INDIRECT(ADDRESS(MATCH(Agenda2526!C151,'CAL6'!A:A,0)+2,3,4,1,"CAL6")),0)</f>
        <v>0</v>
      </c>
      <c r="AK150" s="20" t="str">
        <f ca="1">IF(CALC2223!BD150&gt;0,INDIRECT(ADDRESS(MATCH(Agenda2526!C151,'CAL7'!A:A,0),2,4,1,"CAL7")),"")</f>
        <v/>
      </c>
      <c r="AL150" s="21">
        <f ca="1">IF(CALC2223!BD150&gt;0,INDIRECT(ADDRESS(MATCH(Agenda2526!C151,'CAL7'!A:A,0),3,4,1,"CAL7")),0)</f>
        <v>0</v>
      </c>
      <c r="AM150" s="20" t="str">
        <f ca="1">IF(CALC2223!BD150&gt;1,INDIRECT(ADDRESS(MATCH(Agenda2526!C151,'CAL7'!A:A,0)+1,2,4,1,"CAL7")),"")</f>
        <v/>
      </c>
      <c r="AN150" s="21">
        <f ca="1">IF(CALC2223!BD150&gt;1,INDIRECT(ADDRESS(MATCH(Agenda2526!C151,'CAL7'!A:A,0)+1,3,4,1,"CAL7")),0)</f>
        <v>0</v>
      </c>
      <c r="AO150" s="20" t="str">
        <f ca="1">IF(CALC2223!BD150&gt;2,INDIRECT(ADDRESS(MATCH(Agenda2526!C151,'CAL7'!A:A,0)+2,2,4,1,"CAL7")),"")</f>
        <v/>
      </c>
      <c r="AP150" s="21">
        <f ca="1">IF(CALC2223!BD150&gt;2,INDIRECT(ADDRESS(MATCH(Agenda2526!C151,'CAL7'!A:A,0)+2,3,4,1,"CAL7")),0)</f>
        <v>0</v>
      </c>
      <c r="AQ150" s="20" t="str">
        <f ca="1">IF(CALC2223!BE150&gt;0,INDIRECT(ADDRESS(MATCH(Agenda2526!C151,'CAL8'!A:A,0),2,4,1,"CAL8")),"")</f>
        <v/>
      </c>
      <c r="AR150" s="21">
        <f ca="1">IF(CALC2223!BE150&gt;0,INDIRECT(ADDRESS(MATCH(Agenda2526!C151,'CAL8'!A:A,0),3,4,1,"CAL8")),0)</f>
        <v>0</v>
      </c>
      <c r="AS150" s="20" t="str">
        <f ca="1">IF(CALC2223!BE150&gt;1,INDIRECT(ADDRESS(MATCH(Agenda2526!C151,'CAL8'!A:A,0)+1,2,4,1,"CAL8")),"")</f>
        <v/>
      </c>
      <c r="AT150" s="21">
        <f ca="1">IF(CALC2223!BE150&gt;1,INDIRECT(ADDRESS(MATCH(Agenda2526!C151,'CAL8'!A:A,0)+1,3,4,1,"CAL8")),0)</f>
        <v>0</v>
      </c>
      <c r="AU150" s="20" t="str">
        <f ca="1">IF(CALC2223!BE150&gt;2,INDIRECT(ADDRESS(MATCH(Agenda2526!C151,'CAL8'!A:A,0)+2,2,4,1,"CAL8")),"")</f>
        <v/>
      </c>
      <c r="AV150" s="21">
        <f ca="1">IF(CALC2223!BE150&gt;2,INDIRECT(ADDRESS(MATCH(Agenda2526!C151,'CAL8'!A:A,0)+2,3,4,1,"CAL8")),0)</f>
        <v>0</v>
      </c>
      <c r="AW150" s="105"/>
      <c r="AX150" s="20">
        <f>COUNTIF('CAL1'!A:A,Agenda2526!C151)</f>
        <v>0</v>
      </c>
      <c r="AY150" s="20">
        <f>COUNTIF('CAL2'!A:A,Agenda2526!C151)</f>
        <v>0</v>
      </c>
      <c r="AZ150" s="20">
        <f>COUNTIF('CAL3'!A:A,Agenda2526!C151)</f>
        <v>0</v>
      </c>
      <c r="BA150" s="20">
        <f>COUNTIF('CAL4'!A:A,Agenda2526!C151)</f>
        <v>1</v>
      </c>
      <c r="BB150" s="20">
        <f>COUNTIF('CAL5'!A:A,Agenda2526!C151)</f>
        <v>1</v>
      </c>
      <c r="BC150" s="20">
        <f>COUNTIF('CAL6'!A:A,Agenda2526!C151)</f>
        <v>1</v>
      </c>
      <c r="BD150" s="20">
        <f>COUNTIF('CAL7'!A:A,Agenda2526!C151)</f>
        <v>0</v>
      </c>
      <c r="BE150" s="20">
        <f>COUNTIF('CAL8'!A:A,Agenda2526!C151)</f>
        <v>0</v>
      </c>
    </row>
    <row r="151" spans="1:57" ht="15.75" customHeight="1">
      <c r="A151" s="20" t="str">
        <f ca="1">IF(CALC2223!AX151&gt;0,INDIRECT(ADDRESS(MATCH(Agenda2526!C152,'CAL1'!A:A,0),2,4,1,"CAL1")),"")</f>
        <v/>
      </c>
      <c r="B151" s="21">
        <f ca="1">IF(CALC2223!AX151&gt;0,INDIRECT(ADDRESS(MATCH(Agenda2526!C152,'CAL1'!A:A,0),3,4,1,"CAL1")),0)</f>
        <v>0</v>
      </c>
      <c r="C151" s="20" t="str">
        <f ca="1">IF(CALC2223!AX151&gt;1,INDIRECT(ADDRESS(MATCH(Agenda2526!C152,'CAL1'!A:A,0)+1,2,4,1,"CAL1")),"")</f>
        <v/>
      </c>
      <c r="D151" s="21">
        <f ca="1">IF(CALC2223!AX151&gt;1,INDIRECT(ADDRESS(MATCH(Agenda2526!C152,'CAL1'!A:A,0)+1,3,4,1,"CAL1")),0)</f>
        <v>0</v>
      </c>
      <c r="E151" s="20" t="str">
        <f ca="1">IF(CALC2223!AX151&gt;2,INDIRECT(ADDRESS(MATCH(Agenda2526!C152,'CAL1'!A:A,0)+2,2,4,1,"CAL1")),"")</f>
        <v/>
      </c>
      <c r="F151" s="21">
        <f ca="1">IF(CALC2223!AX151&gt;2,INDIRECT(ADDRESS(MATCH(Agenda2526!C152,'CAL1'!A:A,0)+2,3,4,1,"CAL1")),0)</f>
        <v>0</v>
      </c>
      <c r="G151" s="20" t="str">
        <f ca="1">IF(CALC2223!AY151&gt;0,INDIRECT(ADDRESS(MATCH(Agenda2526!C152,'CAL2'!A:A,0),2,4,1,"CAL2")),"")</f>
        <v/>
      </c>
      <c r="H151" s="21">
        <f ca="1">IF(CALC2223!AY151&gt;0,INDIRECT(ADDRESS(MATCH(Agenda2526!C152,'CAL2'!A:A,0),3,4,1,"CAL2")),0)</f>
        <v>0</v>
      </c>
      <c r="I151" s="20" t="str">
        <f ca="1">IF(CALC2223!AY151&gt;1,INDIRECT(ADDRESS(MATCH(Agenda2526!C152,'CAL2'!A:A,0)+1,2,4,1,"CAL2")),"")</f>
        <v/>
      </c>
      <c r="J151" s="21">
        <f ca="1">IF(CALC2223!AY151&gt;1,INDIRECT(ADDRESS(MATCH(Agenda2526!C152,'CAL2'!A:A,0)+1,3,4,1,"CAL2")),0)</f>
        <v>0</v>
      </c>
      <c r="K151" s="20" t="str">
        <f ca="1">IF(CALC2223!AY151&gt;2,INDIRECT(ADDRESS(MATCH(Agenda2526!C152,'CAL2'!A:A,0)+2,2,4,1,"CAL2")),"")</f>
        <v/>
      </c>
      <c r="L151" s="21">
        <f ca="1">IF(CALC2223!AY151&gt;2,INDIRECT(ADDRESS(MATCH(Agenda2526!C152,'CAL2'!A:A,0)+2,3,4,1,"CAL2")),0)</f>
        <v>0</v>
      </c>
      <c r="M151" s="20" t="str">
        <f ca="1">IF(CALC2223!AZ151&gt;0,INDIRECT(ADDRESS(MATCH(Agenda2526!C152,'CAL3'!A:A,0),2,4,1,"CAL3")),"")</f>
        <v/>
      </c>
      <c r="N151" s="21">
        <f ca="1">IF(CALC2223!AZ151&gt;0,INDIRECT(ADDRESS(MATCH(Agenda2526!C152,'CAL3'!A:A,0),3,4,1,"CAL3")),0)</f>
        <v>0</v>
      </c>
      <c r="O151" s="20" t="str">
        <f ca="1">IF(CALC2223!AZ151&gt;1,INDIRECT(ADDRESS(MATCH(Agenda2526!C152,'CAL3'!A:A,0)+1,2,4,1,"CAL3")),"")</f>
        <v/>
      </c>
      <c r="P151" s="21">
        <f ca="1">IF(CALC2223!AZ151&gt;1,INDIRECT(ADDRESS(MATCH(Agenda2526!C152,'CAL3'!A:A,0)+1,3,4,1,"CAL3")),0)</f>
        <v>0</v>
      </c>
      <c r="Q151" s="20" t="str">
        <f ca="1">IF(CALC2223!AZ151&gt;2,INDIRECT(ADDRESS(MATCH(Agenda2526!C152,'CAL3'!A:A,0)+2,2,4,1,"CAL3")),"")</f>
        <v/>
      </c>
      <c r="R151" s="21">
        <f ca="1">IF(CALC2223!AZ151&gt;2,INDIRECT(ADDRESS(MATCH(Agenda2526!C152,'CAL3'!A:A,0)+2,3,4,1,"CAL3")),0)</f>
        <v>0</v>
      </c>
      <c r="S151" s="20" t="str">
        <f ca="1">IF(CALC2223!BA151&gt;0,INDIRECT(ADDRESS(MATCH(Agenda2526!C152,'CAL4'!A:A,0),2,4,1,"CAL4")),"")</f>
        <v/>
      </c>
      <c r="T151" s="21">
        <f ca="1">IF(CALC2223!BA151&gt;0,INDIRECT(ADDRESS(MATCH(Agenda2526!C152,'CAL4'!A:A,0),3,4,1,"CAL4")),0)</f>
        <v>0</v>
      </c>
      <c r="U151" s="20" t="str">
        <f ca="1">IF(CALC2223!BA151&gt;1,INDIRECT(ADDRESS(MATCH(Agenda2526!C152,'CAL4'!A:A,0)+1,2,4,1,"CAL4")),"")</f>
        <v/>
      </c>
      <c r="V151" s="21">
        <f ca="1">IF(CALC2223!BA151&gt;1,INDIRECT(ADDRESS(MATCH(Agenda2526!C152,'CAL4'!A:A,0)+1,3,4,1,"CAL4")),0)</f>
        <v>0</v>
      </c>
      <c r="W151" s="20" t="str">
        <f ca="1">IF(CALC2223!BA151&gt;2,INDIRECT(ADDRESS(MATCH(Agenda2526!C152,'CAL4'!A:A,0)+2,2,4,1,"CAL4")),"")</f>
        <v/>
      </c>
      <c r="X151" s="21">
        <f ca="1">IF(CALC2223!BA151&gt;2,INDIRECT(ADDRESS(MATCH(Agenda2526!C152,'CAL4'!A:A,0)+2,3,4,1,"CAL4")),0)</f>
        <v>0</v>
      </c>
      <c r="Y151" s="20" t="str">
        <f ca="1">IF(CALC2223!BB151&gt;0,INDIRECT(ADDRESS(MATCH(Agenda2526!C152,'CAL5'!A:A,0),2,4,1,"CAL5")),"")</f>
        <v>tsweek: rep beco / se grtl / se latl</v>
      </c>
      <c r="Z151" s="21">
        <f ca="1">IF(CALC2223!BB151&gt;0,INDIRECT(ADDRESS(MATCH(Agenda2526!C152,'CAL5'!A:A,0),3,4,1,"CAL5")),0)</f>
        <v>45965</v>
      </c>
      <c r="AA151" s="20" t="str">
        <f ca="1">IF(CALC2223!BB151&gt;1,INDIRECT(ADDRESS(MATCH(Agenda2526!C152,'CAL5'!A:A,0)+1,2,4,1,"CAL5")),"")</f>
        <v/>
      </c>
      <c r="AB151" s="21">
        <f ca="1">IF(CALC2223!BB151&gt;1,INDIRECT(ADDRESS(MATCH(Agenda2526!C152,'CAL5'!A:A,0)+1,3,4,1,"CAL5")),0)</f>
        <v>0</v>
      </c>
      <c r="AC151" s="20" t="str">
        <f ca="1">IF(CALC2223!BB151&gt;2,INDIRECT(ADDRESS(MATCH(Agenda2526!C152,'CAL5'!A:A,0)+2,2,4,1,"CAL5")),"")</f>
        <v/>
      </c>
      <c r="AD151" s="21">
        <f ca="1">IF(CALC2223!BB151&gt;2,INDIRECT(ADDRESS(MATCH(Agenda2526!C152,'CAL5'!A:A,0)+2,3,4,1,"CAL5")),0)</f>
        <v>0</v>
      </c>
      <c r="AE151" s="20" t="str">
        <f ca="1">IF(CALC2223!BC151&gt;0,INDIRECT(ADDRESS(MATCH(Agenda2526!C152,'CAL6'!A:A,0),2,4,1,"CAL6")),"")</f>
        <v/>
      </c>
      <c r="AF151" s="21">
        <f ca="1">IF(CALC2223!BC151&gt;0,INDIRECT(ADDRESS(MATCH(Agenda2526!C152,'CAL6'!A:A,0),3,4,1,"CAL6")),0)</f>
        <v>0</v>
      </c>
      <c r="AG151" s="20" t="str">
        <f ca="1">IF(CALC2223!BC151&gt;1,INDIRECT(ADDRESS(MATCH(Agenda2526!C152,'CAL6'!A:A,0)+1,2,4,1,"CAL6")),"")</f>
        <v/>
      </c>
      <c r="AH151" s="21">
        <f ca="1">IF(CALC2223!BC151&gt;1,INDIRECT(ADDRESS(MATCH(Agenda2526!C152,'CAL6'!A:A,0)+1,3,4,1,"CAL6")),0)</f>
        <v>0</v>
      </c>
      <c r="AI151" s="20" t="str">
        <f ca="1">IF(CALC2223!BC151&gt;2,INDIRECT(ADDRESS(MATCH(Agenda2526!C152,'CAL6'!A:A,0)+2,2,4,1,"CAL6")),"")</f>
        <v/>
      </c>
      <c r="AJ151" s="21">
        <f ca="1">IF(CALC2223!BC151&gt;2,INDIRECT(ADDRESS(MATCH(Agenda2526!C152,'CAL6'!A:A,0)+2,3,4,1,"CAL6")),0)</f>
        <v>0</v>
      </c>
      <c r="AK151" s="20" t="str">
        <f ca="1">IF(CALC2223!BD151&gt;0,INDIRECT(ADDRESS(MATCH(Agenda2526!C152,'CAL7'!A:A,0),2,4,1,"CAL7")),"")</f>
        <v/>
      </c>
      <c r="AL151" s="21">
        <f ca="1">IF(CALC2223!BD151&gt;0,INDIRECT(ADDRESS(MATCH(Agenda2526!C152,'CAL7'!A:A,0),3,4,1,"CAL7")),0)</f>
        <v>0</v>
      </c>
      <c r="AM151" s="20" t="str">
        <f ca="1">IF(CALC2223!BD151&gt;1,INDIRECT(ADDRESS(MATCH(Agenda2526!C152,'CAL7'!A:A,0)+1,2,4,1,"CAL7")),"")</f>
        <v/>
      </c>
      <c r="AN151" s="21">
        <f ca="1">IF(CALC2223!BD151&gt;1,INDIRECT(ADDRESS(MATCH(Agenda2526!C152,'CAL7'!A:A,0)+1,3,4,1,"CAL7")),0)</f>
        <v>0</v>
      </c>
      <c r="AO151" s="20" t="str">
        <f ca="1">IF(CALC2223!BD151&gt;2,INDIRECT(ADDRESS(MATCH(Agenda2526!C152,'CAL7'!A:A,0)+2,2,4,1,"CAL7")),"")</f>
        <v/>
      </c>
      <c r="AP151" s="21">
        <f ca="1">IF(CALC2223!BD151&gt;2,INDIRECT(ADDRESS(MATCH(Agenda2526!C152,'CAL7'!A:A,0)+2,3,4,1,"CAL7")),0)</f>
        <v>0</v>
      </c>
      <c r="AQ151" s="20" t="str">
        <f ca="1">IF(CALC2223!BE151&gt;0,INDIRECT(ADDRESS(MATCH(Agenda2526!C152,'CAL8'!A:A,0),2,4,1,"CAL8")),"")</f>
        <v/>
      </c>
      <c r="AR151" s="21">
        <f ca="1">IF(CALC2223!BE151&gt;0,INDIRECT(ADDRESS(MATCH(Agenda2526!C152,'CAL8'!A:A,0),3,4,1,"CAL8")),0)</f>
        <v>0</v>
      </c>
      <c r="AS151" s="20" t="str">
        <f ca="1">IF(CALC2223!BE151&gt;1,INDIRECT(ADDRESS(MATCH(Agenda2526!C152,'CAL8'!A:A,0)+1,2,4,1,"CAL8")),"")</f>
        <v/>
      </c>
      <c r="AT151" s="21">
        <f ca="1">IF(CALC2223!BE151&gt;1,INDIRECT(ADDRESS(MATCH(Agenda2526!C152,'CAL8'!A:A,0)+1,3,4,1,"CAL8")),0)</f>
        <v>0</v>
      </c>
      <c r="AU151" s="20" t="str">
        <f ca="1">IF(CALC2223!BE151&gt;2,INDIRECT(ADDRESS(MATCH(Agenda2526!C152,'CAL8'!A:A,0)+2,2,4,1,"CAL8")),"")</f>
        <v/>
      </c>
      <c r="AV151" s="21">
        <f ca="1">IF(CALC2223!BE151&gt;2,INDIRECT(ADDRESS(MATCH(Agenda2526!C152,'CAL8'!A:A,0)+2,3,4,1,"CAL8")),0)</f>
        <v>0</v>
      </c>
      <c r="AW151" s="105"/>
      <c r="AX151" s="20">
        <f>COUNTIF('CAL1'!A:A,Agenda2526!C152)</f>
        <v>0</v>
      </c>
      <c r="AY151" s="20">
        <f>COUNTIF('CAL2'!A:A,Agenda2526!C152)</f>
        <v>0</v>
      </c>
      <c r="AZ151" s="20">
        <f>COUNTIF('CAL3'!A:A,Agenda2526!C152)</f>
        <v>0</v>
      </c>
      <c r="BA151" s="20">
        <f>COUNTIF('CAL4'!A:A,Agenda2526!C152)</f>
        <v>0</v>
      </c>
      <c r="BB151" s="20">
        <f>COUNTIF('CAL5'!A:A,Agenda2526!C152)</f>
        <v>1</v>
      </c>
      <c r="BC151" s="20">
        <f>COUNTIF('CAL6'!A:A,Agenda2526!C152)</f>
        <v>0</v>
      </c>
      <c r="BD151" s="20">
        <f>COUNTIF('CAL7'!A:A,Agenda2526!C152)</f>
        <v>0</v>
      </c>
      <c r="BE151" s="20">
        <f>COUNTIF('CAL8'!A:A,Agenda2526!C152)</f>
        <v>0</v>
      </c>
    </row>
    <row r="152" spans="1:57" ht="15.75" customHeight="1">
      <c r="A152" s="20" t="str">
        <f ca="1">IF(CALC2223!AX152&gt;0,INDIRECT(ADDRESS(MATCH(Agenda2526!C153,'CAL1'!A:A,0),2,4,1,"CAL1")),"")</f>
        <v/>
      </c>
      <c r="B152" s="21">
        <f ca="1">IF(CALC2223!AX152&gt;0,INDIRECT(ADDRESS(MATCH(Agenda2526!C153,'CAL1'!A:A,0),3,4,1,"CAL1")),0)</f>
        <v>0</v>
      </c>
      <c r="C152" s="20" t="str">
        <f ca="1">IF(CALC2223!AX152&gt;1,INDIRECT(ADDRESS(MATCH(Agenda2526!C153,'CAL1'!A:A,0)+1,2,4,1,"CAL1")),"")</f>
        <v/>
      </c>
      <c r="D152" s="21">
        <f ca="1">IF(CALC2223!AX152&gt;1,INDIRECT(ADDRESS(MATCH(Agenda2526!C153,'CAL1'!A:A,0)+1,3,4,1,"CAL1")),0)</f>
        <v>0</v>
      </c>
      <c r="E152" s="20" t="str">
        <f ca="1">IF(CALC2223!AX152&gt;2,INDIRECT(ADDRESS(MATCH(Agenda2526!C153,'CAL1'!A:A,0)+2,2,4,1,"CAL1")),"")</f>
        <v/>
      </c>
      <c r="F152" s="21">
        <f ca="1">IF(CALC2223!AX152&gt;2,INDIRECT(ADDRESS(MATCH(Agenda2526!C153,'CAL1'!A:A,0)+2,3,4,1,"CAL1")),0)</f>
        <v>0</v>
      </c>
      <c r="G152" s="20" t="str">
        <f ca="1">IF(CALC2223!AY152&gt;0,INDIRECT(ADDRESS(MATCH(Agenda2526!C153,'CAL2'!A:A,0),2,4,1,"CAL2")),"")</f>
        <v/>
      </c>
      <c r="H152" s="21">
        <f ca="1">IF(CALC2223!AY152&gt;0,INDIRECT(ADDRESS(MATCH(Agenda2526!C153,'CAL2'!A:A,0),3,4,1,"CAL2")),0)</f>
        <v>0</v>
      </c>
      <c r="I152" s="20" t="str">
        <f ca="1">IF(CALC2223!AY152&gt;1,INDIRECT(ADDRESS(MATCH(Agenda2526!C153,'CAL2'!A:A,0)+1,2,4,1,"CAL2")),"")</f>
        <v/>
      </c>
      <c r="J152" s="21">
        <f ca="1">IF(CALC2223!AY152&gt;1,INDIRECT(ADDRESS(MATCH(Agenda2526!C153,'CAL2'!A:A,0)+1,3,4,1,"CAL2")),0)</f>
        <v>0</v>
      </c>
      <c r="K152" s="20" t="str">
        <f ca="1">IF(CALC2223!AY152&gt;2,INDIRECT(ADDRESS(MATCH(Agenda2526!C153,'CAL2'!A:A,0)+2,2,4,1,"CAL2")),"")</f>
        <v/>
      </c>
      <c r="L152" s="21">
        <f ca="1">IF(CALC2223!AY152&gt;2,INDIRECT(ADDRESS(MATCH(Agenda2526!C153,'CAL2'!A:A,0)+2,3,4,1,"CAL2")),0)</f>
        <v>0</v>
      </c>
      <c r="M152" s="20" t="str">
        <f ca="1">IF(CALC2223!AZ152&gt;0,INDIRECT(ADDRESS(MATCH(Agenda2526!C153,'CAL3'!A:A,0),2,4,1,"CAL3")),"")</f>
        <v>Rep FA</v>
      </c>
      <c r="N152" s="21">
        <f ca="1">IF(CALC2223!AZ152&gt;0,INDIRECT(ADDRESS(MATCH(Agenda2526!C153,'CAL3'!A:A,0),3,4,1,"CAL3")),0)</f>
        <v>45903</v>
      </c>
      <c r="O152" s="20" t="str">
        <f ca="1">IF(CALC2223!AZ152&gt;1,INDIRECT(ADDRESS(MATCH(Agenda2526!C153,'CAL3'!A:A,0)+1,2,4,1,"CAL3")),"")</f>
        <v/>
      </c>
      <c r="P152" s="21">
        <f ca="1">IF(CALC2223!AZ152&gt;1,INDIRECT(ADDRESS(MATCH(Agenda2526!C153,'CAL3'!A:A,0)+1,3,4,1,"CAL3")),0)</f>
        <v>0</v>
      </c>
      <c r="Q152" s="20" t="str">
        <f ca="1">IF(CALC2223!AZ152&gt;2,INDIRECT(ADDRESS(MATCH(Agenda2526!C153,'CAL3'!A:A,0)+2,2,4,1,"CAL3")),"")</f>
        <v/>
      </c>
      <c r="R152" s="21">
        <f ca="1">IF(CALC2223!AZ152&gt;2,INDIRECT(ADDRESS(MATCH(Agenda2526!C153,'CAL3'!A:A,0)+2,3,4,1,"CAL3")),0)</f>
        <v>0</v>
      </c>
      <c r="S152" s="20" t="str">
        <f ca="1">IF(CALC2223!BA152&gt;0,INDIRECT(ADDRESS(MATCH(Agenda2526!C153,'CAL4'!A:A,0),2,4,1,"CAL4")),"")</f>
        <v>inh rep BI</v>
      </c>
      <c r="T152" s="21">
        <f ca="1">IF(CALC2223!BA152&gt;0,INDIRECT(ADDRESS(MATCH(Agenda2526!C153,'CAL4'!A:A,0),3,4,1,"CAL4")),0)</f>
        <v>45936</v>
      </c>
      <c r="U152" s="20" t="str">
        <f ca="1">IF(CALC2223!BA152&gt;1,INDIRECT(ADDRESS(MATCH(Agenda2526!C153,'CAL4'!A:A,0)+1,2,4,1,"CAL4")),"")</f>
        <v>rep fi</v>
      </c>
      <c r="V152" s="21">
        <f ca="1">IF(CALC2223!BA152&gt;1,INDIRECT(ADDRESS(MATCH(Agenda2526!C153,'CAL4'!A:A,0)+1,3,4,1,"CAL4")),0)</f>
        <v>46029</v>
      </c>
      <c r="W152" s="20" t="str">
        <f ca="1">IF(CALC2223!BA152&gt;2,INDIRECT(ADDRESS(MATCH(Agenda2526!C153,'CAL4'!A:A,0)+2,2,4,1,"CAL4")),"")</f>
        <v/>
      </c>
      <c r="X152" s="21">
        <f ca="1">IF(CALC2223!BA152&gt;2,INDIRECT(ADDRESS(MATCH(Agenda2526!C153,'CAL4'!A:A,0)+2,3,4,1,"CAL4")),0)</f>
        <v>0</v>
      </c>
      <c r="Y152" s="20" t="str">
        <f ca="1">IF(CALC2223!BB152&gt;0,INDIRECT(ADDRESS(MATCH(Agenda2526!C153,'CAL5'!A:A,0),2,4,1,"CAL5")),"")</f>
        <v>tsweek: rep fatl / rep schk</v>
      </c>
      <c r="Z152" s="21">
        <f ca="1">IF(CALC2223!BB152&gt;0,INDIRECT(ADDRESS(MATCH(Agenda2526!C153,'CAL5'!A:A,0),3,4,1,"CAL5")),0)</f>
        <v>45965</v>
      </c>
      <c r="AA152" s="20" t="str">
        <f ca="1">IF(CALC2223!BB152&gt;1,INDIRECT(ADDRESS(MATCH(Agenda2526!C153,'CAL5'!A:A,0)+1,2,4,1,"CAL5")),"")</f>
        <v/>
      </c>
      <c r="AB152" s="21">
        <f ca="1">IF(CALC2223!BB152&gt;1,INDIRECT(ADDRESS(MATCH(Agenda2526!C153,'CAL5'!A:A,0)+1,3,4,1,"CAL5")),0)</f>
        <v>0</v>
      </c>
      <c r="AC152" s="20" t="str">
        <f ca="1">IF(CALC2223!BB152&gt;2,INDIRECT(ADDRESS(MATCH(Agenda2526!C153,'CAL5'!A:A,0)+2,2,4,1,"CAL5")),"")</f>
        <v/>
      </c>
      <c r="AD152" s="21">
        <f ca="1">IF(CALC2223!BB152&gt;2,INDIRECT(ADDRESS(MATCH(Agenda2526!C153,'CAL5'!A:A,0)+2,3,4,1,"CAL5")),0)</f>
        <v>0</v>
      </c>
      <c r="AE152" s="20" t="str">
        <f ca="1">IF(CALC2223!BC152&gt;0,INDIRECT(ADDRESS(MATCH(Agenda2526!C153,'CAL6'!A:A,0),2,4,1,"CAL6")),"")</f>
        <v>LO3:4</v>
      </c>
      <c r="AF152" s="21">
        <f ca="1">IF(CALC2223!BC152&gt;0,INDIRECT(ADDRESS(MATCH(Agenda2526!C153,'CAL6'!A:A,0),3,4,1,"CAL6")),0)</f>
        <v>45896</v>
      </c>
      <c r="AG152" s="20" t="str">
        <f ca="1">IF(CALC2223!BC152&gt;1,INDIRECT(ADDRESS(MATCH(Agenda2526!C153,'CAL6'!A:A,0)+1,2,4,1,"CAL6")),"")</f>
        <v xml:space="preserve"> Engels</v>
      </c>
      <c r="AH152" s="21">
        <f ca="1">IF(CALC2223!BC152&gt;1,INDIRECT(ADDRESS(MATCH(Agenda2526!C153,'CAL6'!A:A,0)+1,3,4,1,"CAL6")),0)</f>
        <v>46042</v>
      </c>
      <c r="AI152" s="20" t="str">
        <f ca="1">IF(CALC2223!BC152&gt;2,INDIRECT(ADDRESS(MATCH(Agenda2526!C153,'CAL6'!A:A,0)+2,2,4,1,"CAL6")),"")</f>
        <v/>
      </c>
      <c r="AJ152" s="21">
        <f ca="1">IF(CALC2223!BC152&gt;2,INDIRECT(ADDRESS(MATCH(Agenda2526!C153,'CAL6'!A:A,0)+2,3,4,1,"CAL6")),0)</f>
        <v>0</v>
      </c>
      <c r="AK152" s="20" t="str">
        <f ca="1">IF(CALC2223!BD152&gt;0,INDIRECT(ADDRESS(MATCH(Agenda2526!C153,'CAL7'!A:A,0),2,4,1,"CAL7")),"")</f>
        <v>commissies#5/MR#3</v>
      </c>
      <c r="AL152" s="21">
        <f ca="1">IF(CALC2223!BD152&gt;0,INDIRECT(ADDRESS(MATCH(Agenda2526!C153,'CAL7'!A:A,0),3,4,1,"CAL7")),0)</f>
        <v>45896</v>
      </c>
      <c r="AM152" s="20" t="str">
        <f ca="1">IF(CALC2223!BD152&gt;1,INDIRECT(ADDRESS(MATCH(Agenda2526!C153,'CAL7'!A:A,0)+1,2,4,1,"CAL7")),"")</f>
        <v/>
      </c>
      <c r="AN152" s="21">
        <f ca="1">IF(CALC2223!BD152&gt;1,INDIRECT(ADDRESS(MATCH(Agenda2526!C153,'CAL7'!A:A,0)+1,3,4,1,"CAL7")),0)</f>
        <v>0</v>
      </c>
      <c r="AO152" s="20" t="str">
        <f ca="1">IF(CALC2223!BD152&gt;2,INDIRECT(ADDRESS(MATCH(Agenda2526!C153,'CAL7'!A:A,0)+2,2,4,1,"CAL7")),"")</f>
        <v/>
      </c>
      <c r="AP152" s="21">
        <f ca="1">IF(CALC2223!BD152&gt;2,INDIRECT(ADDRESS(MATCH(Agenda2526!C153,'CAL7'!A:A,0)+2,3,4,1,"CAL7")),0)</f>
        <v>0</v>
      </c>
      <c r="AQ152" s="20" t="str">
        <f ca="1">IF(CALC2223!BE152&gt;0,INDIRECT(ADDRESS(MATCH(Agenda2526!C153,'CAL8'!A:A,0),2,4,1,"CAL8")),"")</f>
        <v/>
      </c>
      <c r="AR152" s="21">
        <f ca="1">IF(CALC2223!BE152&gt;0,INDIRECT(ADDRESS(MATCH(Agenda2526!C153,'CAL8'!A:A,0),3,4,1,"CAL8")),0)</f>
        <v>0</v>
      </c>
      <c r="AS152" s="20" t="str">
        <f ca="1">IF(CALC2223!BE152&gt;1,INDIRECT(ADDRESS(MATCH(Agenda2526!C153,'CAL8'!A:A,0)+1,2,4,1,"CAL8")),"")</f>
        <v/>
      </c>
      <c r="AT152" s="21">
        <f ca="1">IF(CALC2223!BE152&gt;1,INDIRECT(ADDRESS(MATCH(Agenda2526!C153,'CAL8'!A:A,0)+1,3,4,1,"CAL8")),0)</f>
        <v>0</v>
      </c>
      <c r="AU152" s="20" t="str">
        <f ca="1">IF(CALC2223!BE152&gt;2,INDIRECT(ADDRESS(MATCH(Agenda2526!C153,'CAL8'!A:A,0)+2,2,4,1,"CAL8")),"")</f>
        <v/>
      </c>
      <c r="AV152" s="21">
        <f ca="1">IF(CALC2223!BE152&gt;2,INDIRECT(ADDRESS(MATCH(Agenda2526!C153,'CAL8'!A:A,0)+2,3,4,1,"CAL8")),0)</f>
        <v>0</v>
      </c>
      <c r="AW152" s="105"/>
      <c r="AX152" s="20">
        <f>COUNTIF('CAL1'!A:A,Agenda2526!C153)</f>
        <v>0</v>
      </c>
      <c r="AY152" s="20">
        <f>COUNTIF('CAL2'!A:A,Agenda2526!C153)</f>
        <v>0</v>
      </c>
      <c r="AZ152" s="20">
        <f>COUNTIF('CAL3'!A:A,Agenda2526!C153)</f>
        <v>1</v>
      </c>
      <c r="BA152" s="20">
        <f>COUNTIF('CAL4'!A:A,Agenda2526!C153)</f>
        <v>2</v>
      </c>
      <c r="BB152" s="20">
        <f>COUNTIF('CAL5'!A:A,Agenda2526!C153)</f>
        <v>1</v>
      </c>
      <c r="BC152" s="20">
        <f>COUNTIF('CAL6'!A:A,Agenda2526!C153)</f>
        <v>2</v>
      </c>
      <c r="BD152" s="20">
        <f>COUNTIF('CAL7'!A:A,Agenda2526!C153)</f>
        <v>1</v>
      </c>
      <c r="BE152" s="20">
        <f>COUNTIF('CAL8'!A:A,Agenda2526!C153)</f>
        <v>0</v>
      </c>
    </row>
    <row r="153" spans="1:57" ht="15.75" customHeight="1">
      <c r="A153" s="20" t="str">
        <f ca="1">IF(CALC2223!AX153&gt;0,INDIRECT(ADDRESS(MATCH(Agenda2526!C154,'CAL1'!A:A,0),2,4,1,"CAL1")),"")</f>
        <v/>
      </c>
      <c r="B153" s="21">
        <f ca="1">IF(CALC2223!AX153&gt;0,INDIRECT(ADDRESS(MATCH(Agenda2526!C154,'CAL1'!A:A,0),3,4,1,"CAL1")),0)</f>
        <v>0</v>
      </c>
      <c r="C153" s="20" t="str">
        <f ca="1">IF(CALC2223!AX153&gt;1,INDIRECT(ADDRESS(MATCH(Agenda2526!C154,'CAL1'!A:A,0)+1,2,4,1,"CAL1")),"")</f>
        <v/>
      </c>
      <c r="D153" s="21">
        <f ca="1">IF(CALC2223!AX153&gt;1,INDIRECT(ADDRESS(MATCH(Agenda2526!C154,'CAL1'!A:A,0)+1,3,4,1,"CAL1")),0)</f>
        <v>0</v>
      </c>
      <c r="E153" s="20" t="str">
        <f ca="1">IF(CALC2223!AX153&gt;2,INDIRECT(ADDRESS(MATCH(Agenda2526!C154,'CAL1'!A:A,0)+2,2,4,1,"CAL1")),"")</f>
        <v/>
      </c>
      <c r="F153" s="21">
        <f ca="1">IF(CALC2223!AX153&gt;2,INDIRECT(ADDRESS(MATCH(Agenda2526!C154,'CAL1'!A:A,0)+2,3,4,1,"CAL1")),0)</f>
        <v>0</v>
      </c>
      <c r="G153" s="20" t="str">
        <f ca="1">IF(CALC2223!AY153&gt;0,INDIRECT(ADDRESS(MATCH(Agenda2526!C154,'CAL2'!A:A,0),2,4,1,"CAL2")),"")</f>
        <v>Rep FA</v>
      </c>
      <c r="H153" s="21">
        <f ca="1">IF(CALC2223!AY153&gt;0,INDIRECT(ADDRESS(MATCH(Agenda2526!C154,'CAL2'!A:A,0),3,4,1,"CAL2")),0)</f>
        <v>45903</v>
      </c>
      <c r="I153" s="20" t="str">
        <f ca="1">IF(CALC2223!AY153&gt;1,INDIRECT(ADDRESS(MATCH(Agenda2526!C154,'CAL2'!A:A,0)+1,2,4,1,"CAL2")),"")</f>
        <v/>
      </c>
      <c r="J153" s="21">
        <f ca="1">IF(CALC2223!AY153&gt;1,INDIRECT(ADDRESS(MATCH(Agenda2526!C154,'CAL2'!A:A,0)+1,3,4,1,"CAL2")),0)</f>
        <v>0</v>
      </c>
      <c r="K153" s="20" t="str">
        <f ca="1">IF(CALC2223!AY153&gt;2,INDIRECT(ADDRESS(MATCH(Agenda2526!C154,'CAL2'!A:A,0)+2,2,4,1,"CAL2")),"")</f>
        <v/>
      </c>
      <c r="L153" s="21">
        <f ca="1">IF(CALC2223!AY153&gt;2,INDIRECT(ADDRESS(MATCH(Agenda2526!C154,'CAL2'!A:A,0)+2,3,4,1,"CAL2")),0)</f>
        <v>0</v>
      </c>
      <c r="M153" s="20" t="str">
        <f ca="1">IF(CALC2223!AZ153&gt;0,INDIRECT(ADDRESS(MATCH(Agenda2526!C154,'CAL3'!A:A,0),2,4,1,"CAL3")),"")</f>
        <v/>
      </c>
      <c r="N153" s="21">
        <f ca="1">IF(CALC2223!AZ153&gt;0,INDIRECT(ADDRESS(MATCH(Agenda2526!C154,'CAL3'!A:A,0),3,4,1,"CAL3")),0)</f>
        <v>0</v>
      </c>
      <c r="O153" s="20" t="str">
        <f ca="1">IF(CALC2223!AZ153&gt;1,INDIRECT(ADDRESS(MATCH(Agenda2526!C154,'CAL3'!A:A,0)+1,2,4,1,"CAL3")),"")</f>
        <v/>
      </c>
      <c r="P153" s="21">
        <f ca="1">IF(CALC2223!AZ153&gt;1,INDIRECT(ADDRESS(MATCH(Agenda2526!C154,'CAL3'!A:A,0)+1,3,4,1,"CAL3")),0)</f>
        <v>0</v>
      </c>
      <c r="Q153" s="20" t="str">
        <f ca="1">IF(CALC2223!AZ153&gt;2,INDIRECT(ADDRESS(MATCH(Agenda2526!C154,'CAL3'!A:A,0)+2,2,4,1,"CAL3")),"")</f>
        <v/>
      </c>
      <c r="R153" s="21">
        <f ca="1">IF(CALC2223!AZ153&gt;2,INDIRECT(ADDRESS(MATCH(Agenda2526!C154,'CAL3'!A:A,0)+2,3,4,1,"CAL3")),0)</f>
        <v>0</v>
      </c>
      <c r="S153" s="20" t="str">
        <f ca="1">IF(CALC2223!BA153&gt;0,INDIRECT(ADDRESS(MATCH(Agenda2526!C154,'CAL4'!A:A,0),2,4,1,"CAL4")),"")</f>
        <v>repetitie FI</v>
      </c>
      <c r="T153" s="21">
        <f ca="1">IF(CALC2223!BA153&gt;0,INDIRECT(ADDRESS(MATCH(Agenda2526!C154,'CAL4'!A:A,0),3,4,1,"CAL4")),0)</f>
        <v>46029</v>
      </c>
      <c r="U153" s="20" t="str">
        <f ca="1">IF(CALC2223!BA153&gt;1,INDIRECT(ADDRESS(MATCH(Agenda2526!C154,'CAL4'!A:A,0)+1,2,4,1,"CAL4")),"")</f>
        <v/>
      </c>
      <c r="V153" s="21">
        <f ca="1">IF(CALC2223!BA153&gt;1,INDIRECT(ADDRESS(MATCH(Agenda2526!C154,'CAL4'!A:A,0)+1,3,4,1,"CAL4")),0)</f>
        <v>0</v>
      </c>
      <c r="W153" s="20" t="str">
        <f ca="1">IF(CALC2223!BA153&gt;2,INDIRECT(ADDRESS(MATCH(Agenda2526!C154,'CAL4'!A:A,0)+2,2,4,1,"CAL4")),"")</f>
        <v/>
      </c>
      <c r="X153" s="21">
        <f ca="1">IF(CALC2223!BA153&gt;2,INDIRECT(ADDRESS(MATCH(Agenda2526!C154,'CAL4'!A:A,0)+2,3,4,1,"CAL4")),0)</f>
        <v>0</v>
      </c>
      <c r="Y153" s="20" t="str">
        <f ca="1">IF(CALC2223!BB153&gt;0,INDIRECT(ADDRESS(MATCH(Agenda2526!C154,'CAL5'!A:A,0),2,4,1,"CAL5")),"")</f>
        <v>tsweek: rep entl</v>
      </c>
      <c r="Z153" s="21">
        <f ca="1">IF(CALC2223!BB153&gt;0,INDIRECT(ADDRESS(MATCH(Agenda2526!C154,'CAL5'!A:A,0),3,4,1,"CAL5")),0)</f>
        <v>45965</v>
      </c>
      <c r="AA153" s="20" t="str">
        <f ca="1">IF(CALC2223!BB153&gt;1,INDIRECT(ADDRESS(MATCH(Agenda2526!C154,'CAL5'!A:A,0)+1,2,4,1,"CAL5")),"")</f>
        <v/>
      </c>
      <c r="AB153" s="21">
        <f ca="1">IF(CALC2223!BB153&gt;1,INDIRECT(ADDRESS(MATCH(Agenda2526!C154,'CAL5'!A:A,0)+1,3,4,1,"CAL5")),0)</f>
        <v>0</v>
      </c>
      <c r="AC153" s="20" t="str">
        <f ca="1">IF(CALC2223!BB153&gt;2,INDIRECT(ADDRESS(MATCH(Agenda2526!C154,'CAL5'!A:A,0)+2,2,4,1,"CAL5")),"")</f>
        <v/>
      </c>
      <c r="AD153" s="21">
        <f ca="1">IF(CALC2223!BB153&gt;2,INDIRECT(ADDRESS(MATCH(Agenda2526!C154,'CAL5'!A:A,0)+2,3,4,1,"CAL5")),0)</f>
        <v>0</v>
      </c>
      <c r="AE153" s="20" t="str">
        <f ca="1">IF(CALC2223!BC153&gt;0,INDIRECT(ADDRESS(MATCH(Agenda2526!C154,'CAL6'!A:A,0),2,4,1,"CAL6")),"")</f>
        <v/>
      </c>
      <c r="AF153" s="21">
        <f ca="1">IF(CALC2223!BC153&gt;0,INDIRECT(ADDRESS(MATCH(Agenda2526!C154,'CAL6'!A:A,0),3,4,1,"CAL6")),0)</f>
        <v>0</v>
      </c>
      <c r="AG153" s="20" t="str">
        <f ca="1">IF(CALC2223!BC153&gt;1,INDIRECT(ADDRESS(MATCH(Agenda2526!C154,'CAL6'!A:A,0)+1,2,4,1,"CAL6")),"")</f>
        <v/>
      </c>
      <c r="AH153" s="21">
        <f ca="1">IF(CALC2223!BC153&gt;1,INDIRECT(ADDRESS(MATCH(Agenda2526!C154,'CAL6'!A:A,0)+1,3,4,1,"CAL6")),0)</f>
        <v>0</v>
      </c>
      <c r="AI153" s="20" t="str">
        <f ca="1">IF(CALC2223!BC153&gt;2,INDIRECT(ADDRESS(MATCH(Agenda2526!C154,'CAL6'!A:A,0)+2,2,4,1,"CAL6")),"")</f>
        <v/>
      </c>
      <c r="AJ153" s="21">
        <f ca="1">IF(CALC2223!BC153&gt;2,INDIRECT(ADDRESS(MATCH(Agenda2526!C154,'CAL6'!A:A,0)+2,3,4,1,"CAL6")),0)</f>
        <v>0</v>
      </c>
      <c r="AK153" s="20" t="str">
        <f ca="1">IF(CALC2223!BD153&gt;0,INDIRECT(ADDRESS(MATCH(Agenda2526!C154,'CAL7'!A:A,0),2,4,1,"CAL7")),"")</f>
        <v/>
      </c>
      <c r="AL153" s="21">
        <f ca="1">IF(CALC2223!BD153&gt;0,INDIRECT(ADDRESS(MATCH(Agenda2526!C154,'CAL7'!A:A,0),3,4,1,"CAL7")),0)</f>
        <v>0</v>
      </c>
      <c r="AM153" s="20" t="str">
        <f ca="1">IF(CALC2223!BD153&gt;1,INDIRECT(ADDRESS(MATCH(Agenda2526!C154,'CAL7'!A:A,0)+1,2,4,1,"CAL7")),"")</f>
        <v/>
      </c>
      <c r="AN153" s="21">
        <f ca="1">IF(CALC2223!BD153&gt;1,INDIRECT(ADDRESS(MATCH(Agenda2526!C154,'CAL7'!A:A,0)+1,3,4,1,"CAL7")),0)</f>
        <v>0</v>
      </c>
      <c r="AO153" s="20" t="str">
        <f ca="1">IF(CALC2223!BD153&gt;2,INDIRECT(ADDRESS(MATCH(Agenda2526!C154,'CAL7'!A:A,0)+2,2,4,1,"CAL7")),"")</f>
        <v/>
      </c>
      <c r="AP153" s="21">
        <f ca="1">IF(CALC2223!BD153&gt;2,INDIRECT(ADDRESS(MATCH(Agenda2526!C154,'CAL7'!A:A,0)+2,3,4,1,"CAL7")),0)</f>
        <v>0</v>
      </c>
      <c r="AQ153" s="20" t="str">
        <f ca="1">IF(CALC2223!BE153&gt;0,INDIRECT(ADDRESS(MATCH(Agenda2526!C154,'CAL8'!A:A,0),2,4,1,"CAL8")),"")</f>
        <v/>
      </c>
      <c r="AR153" s="21">
        <f ca="1">IF(CALC2223!BE153&gt;0,INDIRECT(ADDRESS(MATCH(Agenda2526!C154,'CAL8'!A:A,0),3,4,1,"CAL8")),0)</f>
        <v>0</v>
      </c>
      <c r="AS153" s="20" t="str">
        <f ca="1">IF(CALC2223!BE153&gt;1,INDIRECT(ADDRESS(MATCH(Agenda2526!C154,'CAL8'!A:A,0)+1,2,4,1,"CAL8")),"")</f>
        <v/>
      </c>
      <c r="AT153" s="21">
        <f ca="1">IF(CALC2223!BE153&gt;1,INDIRECT(ADDRESS(MATCH(Agenda2526!C154,'CAL8'!A:A,0)+1,3,4,1,"CAL8")),0)</f>
        <v>0</v>
      </c>
      <c r="AU153" s="20" t="str">
        <f ca="1">IF(CALC2223!BE153&gt;2,INDIRECT(ADDRESS(MATCH(Agenda2526!C154,'CAL8'!A:A,0)+2,2,4,1,"CAL8")),"")</f>
        <v/>
      </c>
      <c r="AV153" s="21">
        <f ca="1">IF(CALC2223!BE153&gt;2,INDIRECT(ADDRESS(MATCH(Agenda2526!C154,'CAL8'!A:A,0)+2,3,4,1,"CAL8")),0)</f>
        <v>0</v>
      </c>
      <c r="AW153" s="105"/>
      <c r="AX153" s="20">
        <f>COUNTIF('CAL1'!A:A,Agenda2526!C154)</f>
        <v>0</v>
      </c>
      <c r="AY153" s="20">
        <f>COUNTIF('CAL2'!A:A,Agenda2526!C154)</f>
        <v>1</v>
      </c>
      <c r="AZ153" s="20">
        <f>COUNTIF('CAL3'!A:A,Agenda2526!C154)</f>
        <v>0</v>
      </c>
      <c r="BA153" s="20">
        <f>COUNTIF('CAL4'!A:A,Agenda2526!C154)</f>
        <v>1</v>
      </c>
      <c r="BB153" s="20">
        <f>COUNTIF('CAL5'!A:A,Agenda2526!C154)</f>
        <v>1</v>
      </c>
      <c r="BC153" s="20">
        <f>COUNTIF('CAL6'!A:A,Agenda2526!C154)</f>
        <v>0</v>
      </c>
      <c r="BD153" s="20">
        <f>COUNTIF('CAL7'!A:A,Agenda2526!C154)</f>
        <v>0</v>
      </c>
      <c r="BE153" s="20">
        <f>COUNTIF('CAL8'!A:A,Agenda2526!C154)</f>
        <v>0</v>
      </c>
    </row>
    <row r="154" spans="1:57" ht="15.75" customHeight="1">
      <c r="A154" s="20" t="str">
        <f ca="1">IF(CALC2223!AX154&gt;0,INDIRECT(ADDRESS(MATCH(Agenda2526!C155,'CAL1'!A:A,0),2,4,1,"CAL1")),"")</f>
        <v/>
      </c>
      <c r="B154" s="21">
        <f ca="1">IF(CALC2223!AX154&gt;0,INDIRECT(ADDRESS(MATCH(Agenda2526!C155,'CAL1'!A:A,0),3,4,1,"CAL1")),0)</f>
        <v>0</v>
      </c>
      <c r="C154" s="20" t="str">
        <f ca="1">IF(CALC2223!AX154&gt;1,INDIRECT(ADDRESS(MATCH(Agenda2526!C155,'CAL1'!A:A,0)+1,2,4,1,"CAL1")),"")</f>
        <v/>
      </c>
      <c r="D154" s="21">
        <f ca="1">IF(CALC2223!AX154&gt;1,INDIRECT(ADDRESS(MATCH(Agenda2526!C155,'CAL1'!A:A,0)+1,3,4,1,"CAL1")),0)</f>
        <v>0</v>
      </c>
      <c r="E154" s="20" t="str">
        <f ca="1">IF(CALC2223!AX154&gt;2,INDIRECT(ADDRESS(MATCH(Agenda2526!C155,'CAL1'!A:A,0)+2,2,4,1,"CAL1")),"")</f>
        <v/>
      </c>
      <c r="F154" s="21">
        <f ca="1">IF(CALC2223!AX154&gt;2,INDIRECT(ADDRESS(MATCH(Agenda2526!C155,'CAL1'!A:A,0)+2,3,4,1,"CAL1")),0)</f>
        <v>0</v>
      </c>
      <c r="G154" s="20" t="str">
        <f ca="1">IF(CALC2223!AY154&gt;0,INDIRECT(ADDRESS(MATCH(Agenda2526!C155,'CAL2'!A:A,0),2,4,1,"CAL2")),"")</f>
        <v/>
      </c>
      <c r="H154" s="21">
        <f ca="1">IF(CALC2223!AY154&gt;0,INDIRECT(ADDRESS(MATCH(Agenda2526!C155,'CAL2'!A:A,0),3,4,1,"CAL2")),0)</f>
        <v>0</v>
      </c>
      <c r="I154" s="20" t="str">
        <f ca="1">IF(CALC2223!AY154&gt;1,INDIRECT(ADDRESS(MATCH(Agenda2526!C155,'CAL2'!A:A,0)+1,2,4,1,"CAL2")),"")</f>
        <v/>
      </c>
      <c r="J154" s="21">
        <f ca="1">IF(CALC2223!AY154&gt;1,INDIRECT(ADDRESS(MATCH(Agenda2526!C155,'CAL2'!A:A,0)+1,3,4,1,"CAL2")),0)</f>
        <v>0</v>
      </c>
      <c r="K154" s="20" t="str">
        <f ca="1">IF(CALC2223!AY154&gt;2,INDIRECT(ADDRESS(MATCH(Agenda2526!C155,'CAL2'!A:A,0)+2,2,4,1,"CAL2")),"")</f>
        <v/>
      </c>
      <c r="L154" s="21">
        <f ca="1">IF(CALC2223!AY154&gt;2,INDIRECT(ADDRESS(MATCH(Agenda2526!C155,'CAL2'!A:A,0)+2,3,4,1,"CAL2")),0)</f>
        <v>0</v>
      </c>
      <c r="M154" s="20" t="str">
        <f ca="1">IF(CALC2223!AZ154&gt;0,INDIRECT(ADDRESS(MATCH(Agenda2526!C155,'CAL3'!A:A,0),2,4,1,"CAL3")),"")</f>
        <v/>
      </c>
      <c r="N154" s="21">
        <f ca="1">IF(CALC2223!AZ154&gt;0,INDIRECT(ADDRESS(MATCH(Agenda2526!C155,'CAL3'!A:A,0),3,4,1,"CAL3")),0)</f>
        <v>0</v>
      </c>
      <c r="O154" s="20" t="str">
        <f ca="1">IF(CALC2223!AZ154&gt;1,INDIRECT(ADDRESS(MATCH(Agenda2526!C155,'CAL3'!A:A,0)+1,2,4,1,"CAL3")),"")</f>
        <v/>
      </c>
      <c r="P154" s="21">
        <f ca="1">IF(CALC2223!AZ154&gt;1,INDIRECT(ADDRESS(MATCH(Agenda2526!C155,'CAL3'!A:A,0)+1,3,4,1,"CAL3")),0)</f>
        <v>0</v>
      </c>
      <c r="Q154" s="20" t="str">
        <f ca="1">IF(CALC2223!AZ154&gt;2,INDIRECT(ADDRESS(MATCH(Agenda2526!C155,'CAL3'!A:A,0)+2,2,4,1,"CAL3")),"")</f>
        <v/>
      </c>
      <c r="R154" s="21">
        <f ca="1">IF(CALC2223!AZ154&gt;2,INDIRECT(ADDRESS(MATCH(Agenda2526!C155,'CAL3'!A:A,0)+2,3,4,1,"CAL3")),0)</f>
        <v>0</v>
      </c>
      <c r="S154" s="20" t="str">
        <f ca="1">IF(CALC2223!BA154&gt;0,INDIRECT(ADDRESS(MATCH(Agenda2526!C155,'CAL4'!A:A,0),2,4,1,"CAL4")),"")</f>
        <v/>
      </c>
      <c r="T154" s="21">
        <f ca="1">IF(CALC2223!BA154&gt;0,INDIRECT(ADDRESS(MATCH(Agenda2526!C155,'CAL4'!A:A,0),3,4,1,"CAL4")),0)</f>
        <v>0</v>
      </c>
      <c r="U154" s="20" t="str">
        <f ca="1">IF(CALC2223!BA154&gt;1,INDIRECT(ADDRESS(MATCH(Agenda2526!C155,'CAL4'!A:A,0)+1,2,4,1,"CAL4")),"")</f>
        <v/>
      </c>
      <c r="V154" s="21">
        <f ca="1">IF(CALC2223!BA154&gt;1,INDIRECT(ADDRESS(MATCH(Agenda2526!C155,'CAL4'!A:A,0)+1,3,4,1,"CAL4")),0)</f>
        <v>0</v>
      </c>
      <c r="W154" s="20" t="str">
        <f ca="1">IF(CALC2223!BA154&gt;2,INDIRECT(ADDRESS(MATCH(Agenda2526!C155,'CAL4'!A:A,0)+2,2,4,1,"CAL4")),"")</f>
        <v/>
      </c>
      <c r="X154" s="21">
        <f ca="1">IF(CALC2223!BA154&gt;2,INDIRECT(ADDRESS(MATCH(Agenda2526!C155,'CAL4'!A:A,0)+2,3,4,1,"CAL4")),0)</f>
        <v>0</v>
      </c>
      <c r="Y154" s="20" t="str">
        <f ca="1">IF(CALC2223!BB154&gt;0,INDIRECT(ADDRESS(MATCH(Agenda2526!C155,'CAL5'!A:A,0),2,4,1,"CAL5")),"")</f>
        <v/>
      </c>
      <c r="Z154" s="21">
        <f ca="1">IF(CALC2223!BB154&gt;0,INDIRECT(ADDRESS(MATCH(Agenda2526!C155,'CAL5'!A:A,0),3,4,1,"CAL5")),0)</f>
        <v>0</v>
      </c>
      <c r="AA154" s="20" t="str">
        <f ca="1">IF(CALC2223!BB154&gt;1,INDIRECT(ADDRESS(MATCH(Agenda2526!C155,'CAL5'!A:A,0)+1,2,4,1,"CAL5")),"")</f>
        <v/>
      </c>
      <c r="AB154" s="21">
        <f ca="1">IF(CALC2223!BB154&gt;1,INDIRECT(ADDRESS(MATCH(Agenda2526!C155,'CAL5'!A:A,0)+1,3,4,1,"CAL5")),0)</f>
        <v>0</v>
      </c>
      <c r="AC154" s="20" t="str">
        <f ca="1">IF(CALC2223!BB154&gt;2,INDIRECT(ADDRESS(MATCH(Agenda2526!C155,'CAL5'!A:A,0)+2,2,4,1,"CAL5")),"")</f>
        <v/>
      </c>
      <c r="AD154" s="21">
        <f ca="1">IF(CALC2223!BB154&gt;2,INDIRECT(ADDRESS(MATCH(Agenda2526!C155,'CAL5'!A:A,0)+2,3,4,1,"CAL5")),0)</f>
        <v>0</v>
      </c>
      <c r="AE154" s="20" t="str">
        <f ca="1">IF(CALC2223!BC154&gt;0,INDIRECT(ADDRESS(MATCH(Agenda2526!C155,'CAL6'!A:A,0),2,4,1,"CAL6")),"")</f>
        <v/>
      </c>
      <c r="AF154" s="21">
        <f ca="1">IF(CALC2223!BC154&gt;0,INDIRECT(ADDRESS(MATCH(Agenda2526!C155,'CAL6'!A:A,0),3,4,1,"CAL6")),0)</f>
        <v>0</v>
      </c>
      <c r="AG154" s="20" t="str">
        <f ca="1">IF(CALC2223!BC154&gt;1,INDIRECT(ADDRESS(MATCH(Agenda2526!C155,'CAL6'!A:A,0)+1,2,4,1,"CAL6")),"")</f>
        <v/>
      </c>
      <c r="AH154" s="21">
        <f ca="1">IF(CALC2223!BC154&gt;1,INDIRECT(ADDRESS(MATCH(Agenda2526!C155,'CAL6'!A:A,0)+1,3,4,1,"CAL6")),0)</f>
        <v>0</v>
      </c>
      <c r="AI154" s="20" t="str">
        <f ca="1">IF(CALC2223!BC154&gt;2,INDIRECT(ADDRESS(MATCH(Agenda2526!C155,'CAL6'!A:A,0)+2,2,4,1,"CAL6")),"")</f>
        <v/>
      </c>
      <c r="AJ154" s="21">
        <f ca="1">IF(CALC2223!BC154&gt;2,INDIRECT(ADDRESS(MATCH(Agenda2526!C155,'CAL6'!A:A,0)+2,3,4,1,"CAL6")),0)</f>
        <v>0</v>
      </c>
      <c r="AK154" s="20" t="str">
        <f ca="1">IF(CALC2223!BD154&gt;0,INDIRECT(ADDRESS(MATCH(Agenda2526!C155,'CAL7'!A:A,0),2,4,1,"CAL7")),"")</f>
        <v/>
      </c>
      <c r="AL154" s="21">
        <f ca="1">IF(CALC2223!BD154&gt;0,INDIRECT(ADDRESS(MATCH(Agenda2526!C155,'CAL7'!A:A,0),3,4,1,"CAL7")),0)</f>
        <v>0</v>
      </c>
      <c r="AM154" s="20" t="str">
        <f ca="1">IF(CALC2223!BD154&gt;1,INDIRECT(ADDRESS(MATCH(Agenda2526!C155,'CAL7'!A:A,0)+1,2,4,1,"CAL7")),"")</f>
        <v/>
      </c>
      <c r="AN154" s="21">
        <f ca="1">IF(CALC2223!BD154&gt;1,INDIRECT(ADDRESS(MATCH(Agenda2526!C155,'CAL7'!A:A,0)+1,3,4,1,"CAL7")),0)</f>
        <v>0</v>
      </c>
      <c r="AO154" s="20" t="str">
        <f ca="1">IF(CALC2223!BD154&gt;2,INDIRECT(ADDRESS(MATCH(Agenda2526!C155,'CAL7'!A:A,0)+2,2,4,1,"CAL7")),"")</f>
        <v/>
      </c>
      <c r="AP154" s="21">
        <f ca="1">IF(CALC2223!BD154&gt;2,INDIRECT(ADDRESS(MATCH(Agenda2526!C155,'CAL7'!A:A,0)+2,3,4,1,"CAL7")),0)</f>
        <v>0</v>
      </c>
      <c r="AQ154" s="20" t="str">
        <f ca="1">IF(CALC2223!BE154&gt;0,INDIRECT(ADDRESS(MATCH(Agenda2526!C155,'CAL8'!A:A,0),2,4,1,"CAL8")),"")</f>
        <v>schaaktoernooi SHZG</v>
      </c>
      <c r="AR154" s="21">
        <f ca="1">IF(CALC2223!BE154&gt;0,INDIRECT(ADDRESS(MATCH(Agenda2526!C155,'CAL8'!A:A,0),3,4,1,"CAL8")),0)</f>
        <v>45987</v>
      </c>
      <c r="AS154" s="20" t="str">
        <f ca="1">IF(CALC2223!BE154&gt;1,INDIRECT(ADDRESS(MATCH(Agenda2526!C155,'CAL8'!A:A,0)+1,2,4,1,"CAL8")),"")</f>
        <v/>
      </c>
      <c r="AT154" s="21">
        <f ca="1">IF(CALC2223!BE154&gt;1,INDIRECT(ADDRESS(MATCH(Agenda2526!C155,'CAL8'!A:A,0)+1,3,4,1,"CAL8")),0)</f>
        <v>0</v>
      </c>
      <c r="AU154" s="20" t="str">
        <f ca="1">IF(CALC2223!BE154&gt;2,INDIRECT(ADDRESS(MATCH(Agenda2526!C155,'CAL8'!A:A,0)+2,2,4,1,"CAL8")),"")</f>
        <v/>
      </c>
      <c r="AV154" s="21">
        <f ca="1">IF(CALC2223!BE154&gt;2,INDIRECT(ADDRESS(MATCH(Agenda2526!C155,'CAL8'!A:A,0)+2,3,4,1,"CAL8")),0)</f>
        <v>0</v>
      </c>
      <c r="AW154" s="106"/>
      <c r="AX154" s="20">
        <f>COUNTIF('CAL1'!A:A,Agenda2526!C155)</f>
        <v>0</v>
      </c>
      <c r="AY154" s="20">
        <f>COUNTIF('CAL2'!A:A,Agenda2526!C155)</f>
        <v>0</v>
      </c>
      <c r="AZ154" s="20">
        <f>COUNTIF('CAL3'!A:A,Agenda2526!C155)</f>
        <v>0</v>
      </c>
      <c r="BA154" s="20">
        <f>COUNTIF('CAL4'!A:A,Agenda2526!C155)</f>
        <v>0</v>
      </c>
      <c r="BB154" s="20">
        <f>COUNTIF('CAL5'!A:A,Agenda2526!C155)</f>
        <v>0</v>
      </c>
      <c r="BC154" s="20">
        <f>COUNTIF('CAL6'!A:A,Agenda2526!C155)</f>
        <v>0</v>
      </c>
      <c r="BD154" s="20">
        <f>COUNTIF('CAL7'!A:A,Agenda2526!C155)</f>
        <v>0</v>
      </c>
      <c r="BE154" s="20">
        <f>COUNTIF('CAL8'!A:A,Agenda2526!C155)</f>
        <v>1</v>
      </c>
    </row>
    <row r="155" spans="1:57" ht="15.75" customHeight="1">
      <c r="A155" s="20" t="str">
        <f ca="1">IF(CALC2223!AX155&gt;0,INDIRECT(ADDRESS(MATCH(Agenda2526!C156,'CAL1'!A:A,0),2,4,1,"CAL1")),"")</f>
        <v/>
      </c>
      <c r="B155" s="21">
        <f ca="1">IF(CALC2223!AX155&gt;0,INDIRECT(ADDRESS(MATCH(Agenda2526!C156,'CAL1'!A:A,0),3,4,1,"CAL1")),0)</f>
        <v>0</v>
      </c>
      <c r="C155" s="20" t="str">
        <f ca="1">IF(CALC2223!AX155&gt;1,INDIRECT(ADDRESS(MATCH(Agenda2526!C156,'CAL1'!A:A,0)+1,2,4,1,"CAL1")),"")</f>
        <v/>
      </c>
      <c r="D155" s="21">
        <f ca="1">IF(CALC2223!AX155&gt;1,INDIRECT(ADDRESS(MATCH(Agenda2526!C156,'CAL1'!A:A,0)+1,3,4,1,"CAL1")),0)</f>
        <v>0</v>
      </c>
      <c r="E155" s="20" t="str">
        <f ca="1">IF(CALC2223!AX155&gt;2,INDIRECT(ADDRESS(MATCH(Agenda2526!C156,'CAL1'!A:A,0)+2,2,4,1,"CAL1")),"")</f>
        <v/>
      </c>
      <c r="F155" s="21">
        <f ca="1">IF(CALC2223!AX155&gt;2,INDIRECT(ADDRESS(MATCH(Agenda2526!C156,'CAL1'!A:A,0)+2,3,4,1,"CAL1")),0)</f>
        <v>0</v>
      </c>
      <c r="G155" s="20" t="str">
        <f ca="1">IF(CALC2223!AY155&gt;0,INDIRECT(ADDRESS(MATCH(Agenda2526!C156,'CAL2'!A:A,0),2,4,1,"CAL2")),"")</f>
        <v/>
      </c>
      <c r="H155" s="21">
        <f ca="1">IF(CALC2223!AY155&gt;0,INDIRECT(ADDRESS(MATCH(Agenda2526!C156,'CAL2'!A:A,0),3,4,1,"CAL2")),0)</f>
        <v>0</v>
      </c>
      <c r="I155" s="20" t="str">
        <f ca="1">IF(CALC2223!AY155&gt;1,INDIRECT(ADDRESS(MATCH(Agenda2526!C156,'CAL2'!A:A,0)+1,2,4,1,"CAL2")),"")</f>
        <v/>
      </c>
      <c r="J155" s="21">
        <f ca="1">IF(CALC2223!AY155&gt;1,INDIRECT(ADDRESS(MATCH(Agenda2526!C156,'CAL2'!A:A,0)+1,3,4,1,"CAL2")),0)</f>
        <v>0</v>
      </c>
      <c r="K155" s="20" t="str">
        <f ca="1">IF(CALC2223!AY155&gt;2,INDIRECT(ADDRESS(MATCH(Agenda2526!C156,'CAL2'!A:A,0)+2,2,4,1,"CAL2")),"")</f>
        <v/>
      </c>
      <c r="L155" s="21">
        <f ca="1">IF(CALC2223!AY155&gt;2,INDIRECT(ADDRESS(MATCH(Agenda2526!C156,'CAL2'!A:A,0)+2,3,4,1,"CAL2")),0)</f>
        <v>0</v>
      </c>
      <c r="M155" s="20" t="str">
        <f ca="1">IF(CALC2223!AZ155&gt;0,INDIRECT(ADDRESS(MATCH(Agenda2526!C156,'CAL3'!A:A,0),2,4,1,"CAL3")),"")</f>
        <v/>
      </c>
      <c r="N155" s="21">
        <f ca="1">IF(CALC2223!AZ155&gt;0,INDIRECT(ADDRESS(MATCH(Agenda2526!C156,'CAL3'!A:A,0),3,4,1,"CAL3")),0)</f>
        <v>0</v>
      </c>
      <c r="O155" s="20" t="str">
        <f ca="1">IF(CALC2223!AZ155&gt;1,INDIRECT(ADDRESS(MATCH(Agenda2526!C156,'CAL3'!A:A,0)+1,2,4,1,"CAL3")),"")</f>
        <v/>
      </c>
      <c r="P155" s="21">
        <f ca="1">IF(CALC2223!AZ155&gt;1,INDIRECT(ADDRESS(MATCH(Agenda2526!C156,'CAL3'!A:A,0)+1,3,4,1,"CAL3")),0)</f>
        <v>0</v>
      </c>
      <c r="Q155" s="20" t="str">
        <f ca="1">IF(CALC2223!AZ155&gt;2,INDIRECT(ADDRESS(MATCH(Agenda2526!C156,'CAL3'!A:A,0)+2,2,4,1,"CAL3")),"")</f>
        <v/>
      </c>
      <c r="R155" s="21">
        <f ca="1">IF(CALC2223!AZ155&gt;2,INDIRECT(ADDRESS(MATCH(Agenda2526!C156,'CAL3'!A:A,0)+2,3,4,1,"CAL3")),0)</f>
        <v>0</v>
      </c>
      <c r="S155" s="20" t="str">
        <f ca="1">IF(CALC2223!BA155&gt;0,INDIRECT(ADDRESS(MATCH(Agenda2526!C156,'CAL4'!A:A,0),2,4,1,"CAL4")),"")</f>
        <v/>
      </c>
      <c r="T155" s="21">
        <f ca="1">IF(CALC2223!BA155&gt;0,INDIRECT(ADDRESS(MATCH(Agenda2526!C156,'CAL4'!A:A,0),3,4,1,"CAL4")),0)</f>
        <v>0</v>
      </c>
      <c r="U155" s="20" t="str">
        <f ca="1">IF(CALC2223!BA155&gt;1,INDIRECT(ADDRESS(MATCH(Agenda2526!C156,'CAL4'!A:A,0)+1,2,4,1,"CAL4")),"")</f>
        <v/>
      </c>
      <c r="V155" s="21">
        <f ca="1">IF(CALC2223!BA155&gt;1,INDIRECT(ADDRESS(MATCH(Agenda2526!C156,'CAL4'!A:A,0)+1,3,4,1,"CAL4")),0)</f>
        <v>0</v>
      </c>
      <c r="W155" s="20" t="str">
        <f ca="1">IF(CALC2223!BA155&gt;2,INDIRECT(ADDRESS(MATCH(Agenda2526!C156,'CAL4'!A:A,0)+2,2,4,1,"CAL4")),"")</f>
        <v/>
      </c>
      <c r="X155" s="21">
        <f ca="1">IF(CALC2223!BA155&gt;2,INDIRECT(ADDRESS(MATCH(Agenda2526!C156,'CAL4'!A:A,0)+2,3,4,1,"CAL4")),0)</f>
        <v>0</v>
      </c>
      <c r="Y155" s="20" t="str">
        <f ca="1">IF(CALC2223!BB155&gt;0,INDIRECT(ADDRESS(MATCH(Agenda2526!C156,'CAL5'!A:A,0),2,4,1,"CAL5")),"")</f>
        <v/>
      </c>
      <c r="Z155" s="21">
        <f ca="1">IF(CALC2223!BB155&gt;0,INDIRECT(ADDRESS(MATCH(Agenda2526!C156,'CAL5'!A:A,0),3,4,1,"CAL5")),0)</f>
        <v>0</v>
      </c>
      <c r="AA155" s="20" t="str">
        <f ca="1">IF(CALC2223!BB155&gt;1,INDIRECT(ADDRESS(MATCH(Agenda2526!C156,'CAL5'!A:A,0)+1,2,4,1,"CAL5")),"")</f>
        <v/>
      </c>
      <c r="AB155" s="21">
        <f ca="1">IF(CALC2223!BB155&gt;1,INDIRECT(ADDRESS(MATCH(Agenda2526!C156,'CAL5'!A:A,0)+1,3,4,1,"CAL5")),0)</f>
        <v>0</v>
      </c>
      <c r="AC155" s="20" t="str">
        <f ca="1">IF(CALC2223!BB155&gt;2,INDIRECT(ADDRESS(MATCH(Agenda2526!C156,'CAL5'!A:A,0)+2,2,4,1,"CAL5")),"")</f>
        <v/>
      </c>
      <c r="AD155" s="21">
        <f ca="1">IF(CALC2223!BB155&gt;2,INDIRECT(ADDRESS(MATCH(Agenda2526!C156,'CAL5'!A:A,0)+2,3,4,1,"CAL5")),0)</f>
        <v>0</v>
      </c>
      <c r="AE155" s="20" t="str">
        <f ca="1">IF(CALC2223!BC155&gt;0,INDIRECT(ADDRESS(MATCH(Agenda2526!C156,'CAL6'!A:A,0),2,4,1,"CAL6")),"")</f>
        <v/>
      </c>
      <c r="AF155" s="21">
        <f ca="1">IF(CALC2223!BC155&gt;0,INDIRECT(ADDRESS(MATCH(Agenda2526!C156,'CAL6'!A:A,0),3,4,1,"CAL6")),0)</f>
        <v>0</v>
      </c>
      <c r="AG155" s="20" t="str">
        <f ca="1">IF(CALC2223!BC155&gt;1,INDIRECT(ADDRESS(MATCH(Agenda2526!C156,'CAL6'!A:A,0)+1,2,4,1,"CAL6")),"")</f>
        <v/>
      </c>
      <c r="AH155" s="21">
        <f ca="1">IF(CALC2223!BC155&gt;1,INDIRECT(ADDRESS(MATCH(Agenda2526!C156,'CAL6'!A:A,0)+1,3,4,1,"CAL6")),0)</f>
        <v>0</v>
      </c>
      <c r="AI155" s="20" t="str">
        <f ca="1">IF(CALC2223!BC155&gt;2,INDIRECT(ADDRESS(MATCH(Agenda2526!C156,'CAL6'!A:A,0)+2,2,4,1,"CAL6")),"")</f>
        <v/>
      </c>
      <c r="AJ155" s="21">
        <f ca="1">IF(CALC2223!BC155&gt;2,INDIRECT(ADDRESS(MATCH(Agenda2526!C156,'CAL6'!A:A,0)+2,3,4,1,"CAL6")),0)</f>
        <v>0</v>
      </c>
      <c r="AK155" s="20" t="str">
        <f ca="1">IF(CALC2223!BD155&gt;0,INDIRECT(ADDRESS(MATCH(Agenda2526!C156,'CAL7'!A:A,0),2,4,1,"CAL7")),"")</f>
        <v/>
      </c>
      <c r="AL155" s="21">
        <f ca="1">IF(CALC2223!BD155&gt;0,INDIRECT(ADDRESS(MATCH(Agenda2526!C156,'CAL7'!A:A,0),3,4,1,"CAL7")),0)</f>
        <v>0</v>
      </c>
      <c r="AM155" s="20" t="str">
        <f ca="1">IF(CALC2223!BD155&gt;1,INDIRECT(ADDRESS(MATCH(Agenda2526!C156,'CAL7'!A:A,0)+1,2,4,1,"CAL7")),"")</f>
        <v/>
      </c>
      <c r="AN155" s="21">
        <f ca="1">IF(CALC2223!BD155&gt;1,INDIRECT(ADDRESS(MATCH(Agenda2526!C156,'CAL7'!A:A,0)+1,3,4,1,"CAL7")),0)</f>
        <v>0</v>
      </c>
      <c r="AO155" s="20" t="str">
        <f ca="1">IF(CALC2223!BD155&gt;2,INDIRECT(ADDRESS(MATCH(Agenda2526!C156,'CAL7'!A:A,0)+2,2,4,1,"CAL7")),"")</f>
        <v/>
      </c>
      <c r="AP155" s="21">
        <f ca="1">IF(CALC2223!BD155&gt;2,INDIRECT(ADDRESS(MATCH(Agenda2526!C156,'CAL7'!A:A,0)+2,3,4,1,"CAL7")),0)</f>
        <v>0</v>
      </c>
      <c r="AQ155" s="20" t="str">
        <f ca="1">IF(CALC2223!BE155&gt;0,INDIRECT(ADDRESS(MATCH(Agenda2526!C156,'CAL8'!A:A,0),2,4,1,"CAL8")),"")</f>
        <v/>
      </c>
      <c r="AR155" s="21">
        <f ca="1">IF(CALC2223!BE155&gt;0,INDIRECT(ADDRESS(MATCH(Agenda2526!C156,'CAL8'!A:A,0),3,4,1,"CAL8")),0)</f>
        <v>0</v>
      </c>
      <c r="AS155" s="20" t="str">
        <f ca="1">IF(CALC2223!BE155&gt;1,INDIRECT(ADDRESS(MATCH(Agenda2526!C156,'CAL8'!A:A,0)+1,2,4,1,"CAL8")),"")</f>
        <v/>
      </c>
      <c r="AT155" s="21">
        <f ca="1">IF(CALC2223!BE155&gt;1,INDIRECT(ADDRESS(MATCH(Agenda2526!C156,'CAL8'!A:A,0)+1,3,4,1,"CAL8")),0)</f>
        <v>0</v>
      </c>
      <c r="AU155" s="20" t="str">
        <f ca="1">IF(CALC2223!BE155&gt;2,INDIRECT(ADDRESS(MATCH(Agenda2526!C156,'CAL8'!A:A,0)+2,2,4,1,"CAL8")),"")</f>
        <v/>
      </c>
      <c r="AV155" s="21">
        <f ca="1">IF(CALC2223!BE155&gt;2,INDIRECT(ADDRESS(MATCH(Agenda2526!C156,'CAL8'!A:A,0)+2,3,4,1,"CAL8")),0)</f>
        <v>0</v>
      </c>
      <c r="AW155" s="106"/>
      <c r="AX155" s="20">
        <f>COUNTIF('CAL1'!A:A,Agenda2526!C156)</f>
        <v>0</v>
      </c>
      <c r="AY155" s="20">
        <f>COUNTIF('CAL2'!A:A,Agenda2526!C156)</f>
        <v>0</v>
      </c>
      <c r="AZ155" s="20">
        <f>COUNTIF('CAL3'!A:A,Agenda2526!C156)</f>
        <v>0</v>
      </c>
      <c r="BA155" s="20">
        <f>COUNTIF('CAL4'!A:A,Agenda2526!C156)</f>
        <v>0</v>
      </c>
      <c r="BB155" s="20">
        <f>COUNTIF('CAL5'!A:A,Agenda2526!C156)</f>
        <v>0</v>
      </c>
      <c r="BC155" s="20">
        <f>COUNTIF('CAL6'!A:A,Agenda2526!C156)</f>
        <v>0</v>
      </c>
      <c r="BD155" s="20">
        <f>COUNTIF('CAL7'!A:A,Agenda2526!C156)</f>
        <v>0</v>
      </c>
      <c r="BE155" s="20">
        <f>COUNTIF('CAL8'!A:A,Agenda2526!C156)</f>
        <v>0</v>
      </c>
    </row>
    <row r="156" spans="1:57" ht="15.75" customHeight="1">
      <c r="A156" s="20" t="str">
        <f ca="1">IF(CALC2223!AX156&gt;0,INDIRECT(ADDRESS(MATCH(Agenda2526!C157,'CAL1'!A:A,0),2,4,1,"CAL1")),"")</f>
        <v/>
      </c>
      <c r="B156" s="21">
        <f ca="1">IF(CALC2223!AX156&gt;0,INDIRECT(ADDRESS(MATCH(Agenda2526!C157,'CAL1'!A:A,0),3,4,1,"CAL1")),0)</f>
        <v>0</v>
      </c>
      <c r="C156" s="20" t="str">
        <f ca="1">IF(CALC2223!AX156&gt;1,INDIRECT(ADDRESS(MATCH(Agenda2526!C157,'CAL1'!A:A,0)+1,2,4,1,"CAL1")),"")</f>
        <v/>
      </c>
      <c r="D156" s="21">
        <f ca="1">IF(CALC2223!AX156&gt;1,INDIRECT(ADDRESS(MATCH(Agenda2526!C157,'CAL1'!A:A,0)+1,3,4,1,"CAL1")),0)</f>
        <v>0</v>
      </c>
      <c r="E156" s="20" t="str">
        <f ca="1">IF(CALC2223!AX156&gt;2,INDIRECT(ADDRESS(MATCH(Agenda2526!C157,'CAL1'!A:A,0)+2,2,4,1,"CAL1")),"")</f>
        <v/>
      </c>
      <c r="F156" s="21">
        <f ca="1">IF(CALC2223!AX156&gt;2,INDIRECT(ADDRESS(MATCH(Agenda2526!C157,'CAL1'!A:A,0)+2,3,4,1,"CAL1")),0)</f>
        <v>0</v>
      </c>
      <c r="G156" s="20" t="str">
        <f ca="1">IF(CALC2223!AY156&gt;0,INDIRECT(ADDRESS(MATCH(Agenda2526!C157,'CAL2'!A:A,0),2,4,1,"CAL2")),"")</f>
        <v/>
      </c>
      <c r="H156" s="21">
        <f ca="1">IF(CALC2223!AY156&gt;0,INDIRECT(ADDRESS(MATCH(Agenda2526!C157,'CAL2'!A:A,0),3,4,1,"CAL2")),0)</f>
        <v>0</v>
      </c>
      <c r="I156" s="20" t="str">
        <f ca="1">IF(CALC2223!AY156&gt;1,INDIRECT(ADDRESS(MATCH(Agenda2526!C157,'CAL2'!A:A,0)+1,2,4,1,"CAL2")),"")</f>
        <v/>
      </c>
      <c r="J156" s="21">
        <f ca="1">IF(CALC2223!AY156&gt;1,INDIRECT(ADDRESS(MATCH(Agenda2526!C157,'CAL2'!A:A,0)+1,3,4,1,"CAL2")),0)</f>
        <v>0</v>
      </c>
      <c r="K156" s="20" t="str">
        <f ca="1">IF(CALC2223!AY156&gt;2,INDIRECT(ADDRESS(MATCH(Agenda2526!C157,'CAL2'!A:A,0)+2,2,4,1,"CAL2")),"")</f>
        <v/>
      </c>
      <c r="L156" s="21">
        <f ca="1">IF(CALC2223!AY156&gt;2,INDIRECT(ADDRESS(MATCH(Agenda2526!C157,'CAL2'!A:A,0)+2,3,4,1,"CAL2")),0)</f>
        <v>0</v>
      </c>
      <c r="M156" s="20" t="str">
        <f ca="1">IF(CALC2223!AZ156&gt;0,INDIRECT(ADDRESS(MATCH(Agenda2526!C157,'CAL3'!A:A,0),2,4,1,"CAL3")),"")</f>
        <v/>
      </c>
      <c r="N156" s="21">
        <f ca="1">IF(CALC2223!AZ156&gt;0,INDIRECT(ADDRESS(MATCH(Agenda2526!C157,'CAL3'!A:A,0),3,4,1,"CAL3")),0)</f>
        <v>0</v>
      </c>
      <c r="O156" s="20" t="str">
        <f ca="1">IF(CALC2223!AZ156&gt;1,INDIRECT(ADDRESS(MATCH(Agenda2526!C157,'CAL3'!A:A,0)+1,2,4,1,"CAL3")),"")</f>
        <v/>
      </c>
      <c r="P156" s="21">
        <f ca="1">IF(CALC2223!AZ156&gt;1,INDIRECT(ADDRESS(MATCH(Agenda2526!C157,'CAL3'!A:A,0)+1,3,4,1,"CAL3")),0)</f>
        <v>0</v>
      </c>
      <c r="Q156" s="20" t="str">
        <f ca="1">IF(CALC2223!AZ156&gt;2,INDIRECT(ADDRESS(MATCH(Agenda2526!C157,'CAL3'!A:A,0)+2,2,4,1,"CAL3")),"")</f>
        <v/>
      </c>
      <c r="R156" s="21">
        <f ca="1">IF(CALC2223!AZ156&gt;2,INDIRECT(ADDRESS(MATCH(Agenda2526!C157,'CAL3'!A:A,0)+2,3,4,1,"CAL3")),0)</f>
        <v>0</v>
      </c>
      <c r="S156" s="20" t="str">
        <f ca="1">IF(CALC2223!BA156&gt;0,INDIRECT(ADDRESS(MATCH(Agenda2526!C157,'CAL4'!A:A,0),2,4,1,"CAL4")),"")</f>
        <v>inh rep AK</v>
      </c>
      <c r="T156" s="21">
        <f ca="1">IF(CALC2223!BA156&gt;0,INDIRECT(ADDRESS(MATCH(Agenda2526!C157,'CAL4'!A:A,0),3,4,1,"CAL4")),0)</f>
        <v>45936</v>
      </c>
      <c r="U156" s="20" t="str">
        <f ca="1">IF(CALC2223!BA156&gt;1,INDIRECT(ADDRESS(MATCH(Agenda2526!C157,'CAL4'!A:A,0)+1,2,4,1,"CAL4")),"")</f>
        <v/>
      </c>
      <c r="V156" s="21">
        <f ca="1">IF(CALC2223!BA156&gt;1,INDIRECT(ADDRESS(MATCH(Agenda2526!C157,'CAL4'!A:A,0)+1,3,4,1,"CAL4")),0)</f>
        <v>0</v>
      </c>
      <c r="W156" s="20" t="str">
        <f ca="1">IF(CALC2223!BA156&gt;2,INDIRECT(ADDRESS(MATCH(Agenda2526!C157,'CAL4'!A:A,0)+2,2,4,1,"CAL4")),"")</f>
        <v/>
      </c>
      <c r="X156" s="21">
        <f ca="1">IF(CALC2223!BA156&gt;2,INDIRECT(ADDRESS(MATCH(Agenda2526!C157,'CAL4'!A:A,0)+2,3,4,1,"CAL4")),0)</f>
        <v>0</v>
      </c>
      <c r="Y156" s="20" t="str">
        <f ca="1">IF(CALC2223!BB156&gt;0,INDIRECT(ADDRESS(MATCH(Agenda2526!C157,'CAL5'!A:A,0),2,4,1,"CAL5")),"")</f>
        <v>rep Duits</v>
      </c>
      <c r="Z156" s="21">
        <f ca="1">IF(CALC2223!BB156&gt;0,INDIRECT(ADDRESS(MATCH(Agenda2526!C157,'CAL5'!A:A,0),3,4,1,"CAL5")),0)</f>
        <v>45985</v>
      </c>
      <c r="AA156" s="20" t="str">
        <f ca="1">IF(CALC2223!BB156&gt;1,INDIRECT(ADDRESS(MATCH(Agenda2526!C157,'CAL5'!A:A,0)+1,2,4,1,"CAL5")),"")</f>
        <v/>
      </c>
      <c r="AB156" s="21">
        <f ca="1">IF(CALC2223!BB156&gt;1,INDIRECT(ADDRESS(MATCH(Agenda2526!C157,'CAL5'!A:A,0)+1,3,4,1,"CAL5")),0)</f>
        <v>0</v>
      </c>
      <c r="AC156" s="20" t="str">
        <f ca="1">IF(CALC2223!BB156&gt;2,INDIRECT(ADDRESS(MATCH(Agenda2526!C157,'CAL5'!A:A,0)+2,2,4,1,"CAL5")),"")</f>
        <v/>
      </c>
      <c r="AD156" s="21">
        <f ca="1">IF(CALC2223!BB156&gt;2,INDIRECT(ADDRESS(MATCH(Agenda2526!C157,'CAL5'!A:A,0)+2,3,4,1,"CAL5")),0)</f>
        <v>0</v>
      </c>
      <c r="AE156" s="20" t="str">
        <f ca="1">IF(CALC2223!BC156&gt;0,INDIRECT(ADDRESS(MATCH(Agenda2526!C157,'CAL6'!A:A,0),2,4,1,"CAL6")),"")</f>
        <v/>
      </c>
      <c r="AF156" s="21">
        <f ca="1">IF(CALC2223!BC156&gt;0,INDIRECT(ADDRESS(MATCH(Agenda2526!C157,'CAL6'!A:A,0),3,4,1,"CAL6")),0)</f>
        <v>0</v>
      </c>
      <c r="AG156" s="20" t="str">
        <f ca="1">IF(CALC2223!BC156&gt;1,INDIRECT(ADDRESS(MATCH(Agenda2526!C157,'CAL6'!A:A,0)+1,2,4,1,"CAL6")),"")</f>
        <v/>
      </c>
      <c r="AH156" s="21">
        <f ca="1">IF(CALC2223!BC156&gt;1,INDIRECT(ADDRESS(MATCH(Agenda2526!C157,'CAL6'!A:A,0)+1,3,4,1,"CAL6")),0)</f>
        <v>0</v>
      </c>
      <c r="AI156" s="20" t="str">
        <f ca="1">IF(CALC2223!BC156&gt;2,INDIRECT(ADDRESS(MATCH(Agenda2526!C157,'CAL6'!A:A,0)+2,2,4,1,"CAL6")),"")</f>
        <v/>
      </c>
      <c r="AJ156" s="21">
        <f ca="1">IF(CALC2223!BC156&gt;2,INDIRECT(ADDRESS(MATCH(Agenda2526!C157,'CAL6'!A:A,0)+2,3,4,1,"CAL6")),0)</f>
        <v>0</v>
      </c>
      <c r="AK156" s="20" t="str">
        <f ca="1">IF(CALC2223!BD156&gt;0,INDIRECT(ADDRESS(MATCH(Agenda2526!C157,'CAL7'!A:A,0),2,4,1,"CAL7")),"")</f>
        <v/>
      </c>
      <c r="AL156" s="21">
        <f ca="1">IF(CALC2223!BD156&gt;0,INDIRECT(ADDRESS(MATCH(Agenda2526!C157,'CAL7'!A:A,0),3,4,1,"CAL7")),0)</f>
        <v>0</v>
      </c>
      <c r="AM156" s="20" t="str">
        <f ca="1">IF(CALC2223!BD156&gt;1,INDIRECT(ADDRESS(MATCH(Agenda2526!C157,'CAL7'!A:A,0)+1,2,4,1,"CAL7")),"")</f>
        <v/>
      </c>
      <c r="AN156" s="21">
        <f ca="1">IF(CALC2223!BD156&gt;1,INDIRECT(ADDRESS(MATCH(Agenda2526!C157,'CAL7'!A:A,0)+1,3,4,1,"CAL7")),0)</f>
        <v>0</v>
      </c>
      <c r="AO156" s="20" t="str">
        <f ca="1">IF(CALC2223!BD156&gt;2,INDIRECT(ADDRESS(MATCH(Agenda2526!C157,'CAL7'!A:A,0)+2,2,4,1,"CAL7")),"")</f>
        <v/>
      </c>
      <c r="AP156" s="21">
        <f ca="1">IF(CALC2223!BD156&gt;2,INDIRECT(ADDRESS(MATCH(Agenda2526!C157,'CAL7'!A:A,0)+2,3,4,1,"CAL7")),0)</f>
        <v>0</v>
      </c>
      <c r="AQ156" s="20" t="str">
        <f ca="1">IF(CALC2223!BE156&gt;0,INDIRECT(ADDRESS(MATCH(Agenda2526!C157,'CAL8'!A:A,0),2,4,1,"CAL8")),"")</f>
        <v/>
      </c>
      <c r="AR156" s="21">
        <f ca="1">IF(CALC2223!BE156&gt;0,INDIRECT(ADDRESS(MATCH(Agenda2526!C157,'CAL8'!A:A,0),3,4,1,"CAL8")),0)</f>
        <v>0</v>
      </c>
      <c r="AS156" s="20" t="str">
        <f ca="1">IF(CALC2223!BE156&gt;1,INDIRECT(ADDRESS(MATCH(Agenda2526!C157,'CAL8'!A:A,0)+1,2,4,1,"CAL8")),"")</f>
        <v/>
      </c>
      <c r="AT156" s="21">
        <f ca="1">IF(CALC2223!BE156&gt;1,INDIRECT(ADDRESS(MATCH(Agenda2526!C157,'CAL8'!A:A,0)+1,3,4,1,"CAL8")),0)</f>
        <v>0</v>
      </c>
      <c r="AU156" s="20" t="str">
        <f ca="1">IF(CALC2223!BE156&gt;2,INDIRECT(ADDRESS(MATCH(Agenda2526!C157,'CAL8'!A:A,0)+2,2,4,1,"CAL8")),"")</f>
        <v/>
      </c>
      <c r="AV156" s="21">
        <f ca="1">IF(CALC2223!BE156&gt;2,INDIRECT(ADDRESS(MATCH(Agenda2526!C157,'CAL8'!A:A,0)+2,3,4,1,"CAL8")),0)</f>
        <v>0</v>
      </c>
      <c r="AW156" s="105"/>
      <c r="AX156" s="20">
        <f>COUNTIF('CAL1'!A:A,Agenda2526!C157)</f>
        <v>0</v>
      </c>
      <c r="AY156" s="20">
        <f>COUNTIF('CAL2'!A:A,Agenda2526!C157)</f>
        <v>0</v>
      </c>
      <c r="AZ156" s="20">
        <f>COUNTIF('CAL3'!A:A,Agenda2526!C157)</f>
        <v>0</v>
      </c>
      <c r="BA156" s="20">
        <f>COUNTIF('CAL4'!A:A,Agenda2526!C157)</f>
        <v>1</v>
      </c>
      <c r="BB156" s="20">
        <f>COUNTIF('CAL5'!A:A,Agenda2526!C157)</f>
        <v>1</v>
      </c>
      <c r="BC156" s="20">
        <f>COUNTIF('CAL6'!A:A,Agenda2526!C157)</f>
        <v>0</v>
      </c>
      <c r="BD156" s="20">
        <f>COUNTIF('CAL7'!A:A,Agenda2526!C157)</f>
        <v>0</v>
      </c>
      <c r="BE156" s="20">
        <f>COUNTIF('CAL8'!A:A,Agenda2526!C157)</f>
        <v>0</v>
      </c>
    </row>
    <row r="157" spans="1:57" ht="15.75" customHeight="1">
      <c r="A157" s="20" t="str">
        <f ca="1">IF(CALC2223!AX157&gt;0,INDIRECT(ADDRESS(MATCH(Agenda2526!C158,'CAL1'!A:A,0),2,4,1,"CAL1")),"")</f>
        <v/>
      </c>
      <c r="B157" s="21">
        <f ca="1">IF(CALC2223!AX157&gt;0,INDIRECT(ADDRESS(MATCH(Agenda2526!C158,'CAL1'!A:A,0),3,4,1,"CAL1")),0)</f>
        <v>0</v>
      </c>
      <c r="C157" s="20" t="str">
        <f ca="1">IF(CALC2223!AX157&gt;1,INDIRECT(ADDRESS(MATCH(Agenda2526!C158,'CAL1'!A:A,0)+1,2,4,1,"CAL1")),"")</f>
        <v/>
      </c>
      <c r="D157" s="21">
        <f ca="1">IF(CALC2223!AX157&gt;1,INDIRECT(ADDRESS(MATCH(Agenda2526!C158,'CAL1'!A:A,0)+1,3,4,1,"CAL1")),0)</f>
        <v>0</v>
      </c>
      <c r="E157" s="20" t="str">
        <f ca="1">IF(CALC2223!AX157&gt;2,INDIRECT(ADDRESS(MATCH(Agenda2526!C158,'CAL1'!A:A,0)+2,2,4,1,"CAL1")),"")</f>
        <v/>
      </c>
      <c r="F157" s="21">
        <f ca="1">IF(CALC2223!AX157&gt;2,INDIRECT(ADDRESS(MATCH(Agenda2526!C158,'CAL1'!A:A,0)+2,3,4,1,"CAL1")),0)</f>
        <v>0</v>
      </c>
      <c r="G157" s="20" t="str">
        <f ca="1">IF(CALC2223!AY157&gt;0,INDIRECT(ADDRESS(MATCH(Agenda2526!C158,'CAL2'!A:A,0),2,4,1,"CAL2")),"")</f>
        <v/>
      </c>
      <c r="H157" s="21">
        <f ca="1">IF(CALC2223!AY157&gt;0,INDIRECT(ADDRESS(MATCH(Agenda2526!C158,'CAL2'!A:A,0),3,4,1,"CAL2")),0)</f>
        <v>0</v>
      </c>
      <c r="I157" s="20" t="str">
        <f ca="1">IF(CALC2223!AY157&gt;1,INDIRECT(ADDRESS(MATCH(Agenda2526!C158,'CAL2'!A:A,0)+1,2,4,1,"CAL2")),"")</f>
        <v/>
      </c>
      <c r="J157" s="21">
        <f ca="1">IF(CALC2223!AY157&gt;1,INDIRECT(ADDRESS(MATCH(Agenda2526!C158,'CAL2'!A:A,0)+1,3,4,1,"CAL2")),0)</f>
        <v>0</v>
      </c>
      <c r="K157" s="20" t="str">
        <f ca="1">IF(CALC2223!AY157&gt;2,INDIRECT(ADDRESS(MATCH(Agenda2526!C158,'CAL2'!A:A,0)+2,2,4,1,"CAL2")),"")</f>
        <v/>
      </c>
      <c r="L157" s="21">
        <f ca="1">IF(CALC2223!AY157&gt;2,INDIRECT(ADDRESS(MATCH(Agenda2526!C158,'CAL2'!A:A,0)+2,3,4,1,"CAL2")),0)</f>
        <v>0</v>
      </c>
      <c r="M157" s="20" t="str">
        <f ca="1">IF(CALC2223!AZ157&gt;0,INDIRECT(ADDRESS(MATCH(Agenda2526!C158,'CAL3'!A:A,0),2,4,1,"CAL3")),"")</f>
        <v/>
      </c>
      <c r="N157" s="21">
        <f ca="1">IF(CALC2223!AZ157&gt;0,INDIRECT(ADDRESS(MATCH(Agenda2526!C158,'CAL3'!A:A,0),3,4,1,"CAL3")),0)</f>
        <v>0</v>
      </c>
      <c r="O157" s="20" t="str">
        <f ca="1">IF(CALC2223!AZ157&gt;1,INDIRECT(ADDRESS(MATCH(Agenda2526!C158,'CAL3'!A:A,0)+1,2,4,1,"CAL3")),"")</f>
        <v/>
      </c>
      <c r="P157" s="21">
        <f ca="1">IF(CALC2223!AZ157&gt;1,INDIRECT(ADDRESS(MATCH(Agenda2526!C158,'CAL3'!A:A,0)+1,3,4,1,"CAL3")),0)</f>
        <v>0</v>
      </c>
      <c r="Q157" s="20" t="str">
        <f ca="1">IF(CALC2223!AZ157&gt;2,INDIRECT(ADDRESS(MATCH(Agenda2526!C158,'CAL3'!A:A,0)+2,2,4,1,"CAL3")),"")</f>
        <v/>
      </c>
      <c r="R157" s="21">
        <f ca="1">IF(CALC2223!AZ157&gt;2,INDIRECT(ADDRESS(MATCH(Agenda2526!C158,'CAL3'!A:A,0)+2,3,4,1,"CAL3")),0)</f>
        <v>0</v>
      </c>
      <c r="S157" s="20" t="str">
        <f ca="1">IF(CALC2223!BA157&gt;0,INDIRECT(ADDRESS(MATCH(Agenda2526!C158,'CAL4'!A:A,0),2,4,1,"CAL4")),"")</f>
        <v/>
      </c>
      <c r="T157" s="21">
        <f ca="1">IF(CALC2223!BA157&gt;0,INDIRECT(ADDRESS(MATCH(Agenda2526!C158,'CAL4'!A:A,0),3,4,1,"CAL4")),0)</f>
        <v>0</v>
      </c>
      <c r="U157" s="20" t="str">
        <f ca="1">IF(CALC2223!BA157&gt;1,INDIRECT(ADDRESS(MATCH(Agenda2526!C158,'CAL4'!A:A,0)+1,2,4,1,"CAL4")),"")</f>
        <v/>
      </c>
      <c r="V157" s="21">
        <f ca="1">IF(CALC2223!BA157&gt;1,INDIRECT(ADDRESS(MATCH(Agenda2526!C158,'CAL4'!A:A,0)+1,3,4,1,"CAL4")),0)</f>
        <v>0</v>
      </c>
      <c r="W157" s="20" t="str">
        <f ca="1">IF(CALC2223!BA157&gt;2,INDIRECT(ADDRESS(MATCH(Agenda2526!C158,'CAL4'!A:A,0)+2,2,4,1,"CAL4")),"")</f>
        <v/>
      </c>
      <c r="X157" s="21">
        <f ca="1">IF(CALC2223!BA157&gt;2,INDIRECT(ADDRESS(MATCH(Agenda2526!C158,'CAL4'!A:A,0)+2,3,4,1,"CAL4")),0)</f>
        <v>0</v>
      </c>
      <c r="Y157" s="20" t="str">
        <f ca="1">IF(CALC2223!BB157&gt;0,INDIRECT(ADDRESS(MATCH(Agenda2526!C158,'CAL5'!A:A,0),2,4,1,"CAL5")),"")</f>
        <v>inhalen repetities en SE's repetitieweek</v>
      </c>
      <c r="Z157" s="21">
        <f ca="1">IF(CALC2223!BB157&gt;0,INDIRECT(ADDRESS(MATCH(Agenda2526!C158,'CAL5'!A:A,0),3,4,1,"CAL5")),0)</f>
        <v>46050</v>
      </c>
      <c r="AA157" s="20" t="str">
        <f ca="1">IF(CALC2223!BB157&gt;1,INDIRECT(ADDRESS(MATCH(Agenda2526!C158,'CAL5'!A:A,0)+1,2,4,1,"CAL5")),"")</f>
        <v/>
      </c>
      <c r="AB157" s="21">
        <f ca="1">IF(CALC2223!BB157&gt;1,INDIRECT(ADDRESS(MATCH(Agenda2526!C158,'CAL5'!A:A,0)+1,3,4,1,"CAL5")),0)</f>
        <v>0</v>
      </c>
      <c r="AC157" s="20" t="str">
        <f ca="1">IF(CALC2223!BB157&gt;2,INDIRECT(ADDRESS(MATCH(Agenda2526!C158,'CAL5'!A:A,0)+2,2,4,1,"CAL5")),"")</f>
        <v/>
      </c>
      <c r="AD157" s="21">
        <f ca="1">IF(CALC2223!BB157&gt;2,INDIRECT(ADDRESS(MATCH(Agenda2526!C158,'CAL5'!A:A,0)+2,3,4,1,"CAL5")),0)</f>
        <v>0</v>
      </c>
      <c r="AE157" s="20" t="str">
        <f ca="1">IF(CALC2223!BC157&gt;0,INDIRECT(ADDRESS(MATCH(Agenda2526!C158,'CAL6'!A:A,0),2,4,1,"CAL6")),"")</f>
        <v/>
      </c>
      <c r="AF157" s="21">
        <f ca="1">IF(CALC2223!BC157&gt;0,INDIRECT(ADDRESS(MATCH(Agenda2526!C158,'CAL6'!A:A,0),3,4,1,"CAL6")),0)</f>
        <v>0</v>
      </c>
      <c r="AG157" s="20" t="str">
        <f ca="1">IF(CALC2223!BC157&gt;1,INDIRECT(ADDRESS(MATCH(Agenda2526!C158,'CAL6'!A:A,0)+1,2,4,1,"CAL6")),"")</f>
        <v/>
      </c>
      <c r="AH157" s="21">
        <f ca="1">IF(CALC2223!BC157&gt;1,INDIRECT(ADDRESS(MATCH(Agenda2526!C158,'CAL6'!A:A,0)+1,3,4,1,"CAL6")),0)</f>
        <v>0</v>
      </c>
      <c r="AI157" s="20" t="str">
        <f ca="1">IF(CALC2223!BC157&gt;2,INDIRECT(ADDRESS(MATCH(Agenda2526!C158,'CAL6'!A:A,0)+2,2,4,1,"CAL6")),"")</f>
        <v/>
      </c>
      <c r="AJ157" s="21">
        <f ca="1">IF(CALC2223!BC157&gt;2,INDIRECT(ADDRESS(MATCH(Agenda2526!C158,'CAL6'!A:A,0)+2,3,4,1,"CAL6")),0)</f>
        <v>0</v>
      </c>
      <c r="AK157" s="20" t="str">
        <f ca="1">IF(CALC2223!BD157&gt;0,INDIRECT(ADDRESS(MATCH(Agenda2526!C158,'CAL7'!A:A,0),2,4,1,"CAL7")),"")</f>
        <v/>
      </c>
      <c r="AL157" s="21">
        <f ca="1">IF(CALC2223!BD157&gt;0,INDIRECT(ADDRESS(MATCH(Agenda2526!C158,'CAL7'!A:A,0),3,4,1,"CAL7")),0)</f>
        <v>0</v>
      </c>
      <c r="AM157" s="20" t="str">
        <f ca="1">IF(CALC2223!BD157&gt;1,INDIRECT(ADDRESS(MATCH(Agenda2526!C158,'CAL7'!A:A,0)+1,2,4,1,"CAL7")),"")</f>
        <v/>
      </c>
      <c r="AN157" s="21">
        <f ca="1">IF(CALC2223!BD157&gt;1,INDIRECT(ADDRESS(MATCH(Agenda2526!C158,'CAL7'!A:A,0)+1,3,4,1,"CAL7")),0)</f>
        <v>0</v>
      </c>
      <c r="AO157" s="20" t="str">
        <f ca="1">IF(CALC2223!BD157&gt;2,INDIRECT(ADDRESS(MATCH(Agenda2526!C158,'CAL7'!A:A,0)+2,2,4,1,"CAL7")),"")</f>
        <v/>
      </c>
      <c r="AP157" s="21">
        <f ca="1">IF(CALC2223!BD157&gt;2,INDIRECT(ADDRESS(MATCH(Agenda2526!C158,'CAL7'!A:A,0)+2,3,4,1,"CAL7")),0)</f>
        <v>0</v>
      </c>
      <c r="AQ157" s="20" t="str">
        <f ca="1">IF(CALC2223!BE157&gt;0,INDIRECT(ADDRESS(MATCH(Agenda2526!C158,'CAL8'!A:A,0),2,4,1,"CAL8")),"")</f>
        <v/>
      </c>
      <c r="AR157" s="21">
        <f ca="1">IF(CALC2223!BE157&gt;0,INDIRECT(ADDRESS(MATCH(Agenda2526!C158,'CAL8'!A:A,0),3,4,1,"CAL8")),0)</f>
        <v>0</v>
      </c>
      <c r="AS157" s="20" t="str">
        <f ca="1">IF(CALC2223!BE157&gt;1,INDIRECT(ADDRESS(MATCH(Agenda2526!C158,'CAL8'!A:A,0)+1,2,4,1,"CAL8")),"")</f>
        <v/>
      </c>
      <c r="AT157" s="21">
        <f ca="1">IF(CALC2223!BE157&gt;1,INDIRECT(ADDRESS(MATCH(Agenda2526!C158,'CAL8'!A:A,0)+1,3,4,1,"CAL8")),0)</f>
        <v>0</v>
      </c>
      <c r="AU157" s="20" t="str">
        <f ca="1">IF(CALC2223!BE157&gt;2,INDIRECT(ADDRESS(MATCH(Agenda2526!C158,'CAL8'!A:A,0)+2,2,4,1,"CAL8")),"")</f>
        <v/>
      </c>
      <c r="AV157" s="21">
        <f ca="1">IF(CALC2223!BE157&gt;2,INDIRECT(ADDRESS(MATCH(Agenda2526!C158,'CAL8'!A:A,0)+2,3,4,1,"CAL8")),0)</f>
        <v>0</v>
      </c>
      <c r="AW157" s="105"/>
      <c r="AX157" s="20">
        <f>COUNTIF('CAL1'!A:A,Agenda2526!C158)</f>
        <v>0</v>
      </c>
      <c r="AY157" s="20">
        <f>COUNTIF('CAL2'!A:A,Agenda2526!C158)</f>
        <v>0</v>
      </c>
      <c r="AZ157" s="20">
        <f>COUNTIF('CAL3'!A:A,Agenda2526!C158)</f>
        <v>0</v>
      </c>
      <c r="BA157" s="20">
        <f>COUNTIF('CAL4'!A:A,Agenda2526!C158)</f>
        <v>0</v>
      </c>
      <c r="BB157" s="20">
        <f>COUNTIF('CAL5'!A:A,Agenda2526!C158)</f>
        <v>1</v>
      </c>
      <c r="BC157" s="20">
        <f>COUNTIF('CAL6'!A:A,Agenda2526!C158)</f>
        <v>0</v>
      </c>
      <c r="BD157" s="20">
        <f>COUNTIF('CAL7'!A:A,Agenda2526!C158)</f>
        <v>0</v>
      </c>
      <c r="BE157" s="20">
        <f>COUNTIF('CAL8'!A:A,Agenda2526!C158)</f>
        <v>0</v>
      </c>
    </row>
    <row r="158" spans="1:57" ht="15.75" customHeight="1">
      <c r="A158" s="20" t="str">
        <f ca="1">IF(CALC2223!AX158&gt;0,INDIRECT(ADDRESS(MATCH(Agenda2526!C159,'CAL1'!A:A,0),2,4,1,"CAL1")),"")</f>
        <v>Rep GES</v>
      </c>
      <c r="B158" s="21">
        <f ca="1">IF(CALC2223!AX158&gt;0,INDIRECT(ADDRESS(MATCH(Agenda2526!C159,'CAL1'!A:A,0),3,4,1,"CAL1")),0)</f>
        <v>45901</v>
      </c>
      <c r="C158" s="20" t="str">
        <f ca="1">IF(CALC2223!AX158&gt;1,INDIRECT(ADDRESS(MATCH(Agenda2526!C159,'CAL1'!A:A,0)+1,2,4,1,"CAL1")),"")</f>
        <v/>
      </c>
      <c r="D158" s="21">
        <f ca="1">IF(CALC2223!AX158&gt;1,INDIRECT(ADDRESS(MATCH(Agenda2526!C159,'CAL1'!A:A,0)+1,3,4,1,"CAL1")),0)</f>
        <v>0</v>
      </c>
      <c r="E158" s="20" t="str">
        <f ca="1">IF(CALC2223!AX158&gt;2,INDIRECT(ADDRESS(MATCH(Agenda2526!C159,'CAL1'!A:A,0)+2,2,4,1,"CAL1")),"")</f>
        <v/>
      </c>
      <c r="F158" s="21">
        <f ca="1">IF(CALC2223!AX158&gt;2,INDIRECT(ADDRESS(MATCH(Agenda2526!C159,'CAL1'!A:A,0)+2,3,4,1,"CAL1")),0)</f>
        <v>0</v>
      </c>
      <c r="G158" s="20" t="str">
        <f ca="1">IF(CALC2223!AY158&gt;0,INDIRECT(ADDRESS(MATCH(Agenda2526!C159,'CAL2'!A:A,0),2,4,1,"CAL2")),"")</f>
        <v/>
      </c>
      <c r="H158" s="21">
        <f ca="1">IF(CALC2223!AY158&gt;0,INDIRECT(ADDRESS(MATCH(Agenda2526!C159,'CAL2'!A:A,0),3,4,1,"CAL2")),0)</f>
        <v>0</v>
      </c>
      <c r="I158" s="20" t="str">
        <f ca="1">IF(CALC2223!AY158&gt;1,INDIRECT(ADDRESS(MATCH(Agenda2526!C159,'CAL2'!A:A,0)+1,2,4,1,"CAL2")),"")</f>
        <v/>
      </c>
      <c r="J158" s="21">
        <f ca="1">IF(CALC2223!AY158&gt;1,INDIRECT(ADDRESS(MATCH(Agenda2526!C159,'CAL2'!A:A,0)+1,3,4,1,"CAL2")),0)</f>
        <v>0</v>
      </c>
      <c r="K158" s="20" t="str">
        <f ca="1">IF(CALC2223!AY158&gt;2,INDIRECT(ADDRESS(MATCH(Agenda2526!C159,'CAL2'!A:A,0)+2,2,4,1,"CAL2")),"")</f>
        <v/>
      </c>
      <c r="L158" s="21">
        <f ca="1">IF(CALC2223!AY158&gt;2,INDIRECT(ADDRESS(MATCH(Agenda2526!C159,'CAL2'!A:A,0)+2,3,4,1,"CAL2")),0)</f>
        <v>0</v>
      </c>
      <c r="M158" s="20" t="str">
        <f ca="1">IF(CALC2223!AZ158&gt;0,INDIRECT(ADDRESS(MATCH(Agenda2526!C159,'CAL3'!A:A,0),2,4,1,"CAL3")),"")</f>
        <v/>
      </c>
      <c r="N158" s="21">
        <f ca="1">IF(CALC2223!AZ158&gt;0,INDIRECT(ADDRESS(MATCH(Agenda2526!C159,'CAL3'!A:A,0),3,4,1,"CAL3")),0)</f>
        <v>0</v>
      </c>
      <c r="O158" s="20" t="str">
        <f ca="1">IF(CALC2223!AZ158&gt;1,INDIRECT(ADDRESS(MATCH(Agenda2526!C159,'CAL3'!A:A,0)+1,2,4,1,"CAL3")),"")</f>
        <v/>
      </c>
      <c r="P158" s="21">
        <f ca="1">IF(CALC2223!AZ158&gt;1,INDIRECT(ADDRESS(MATCH(Agenda2526!C159,'CAL3'!A:A,0)+1,3,4,1,"CAL3")),0)</f>
        <v>0</v>
      </c>
      <c r="Q158" s="20" t="str">
        <f ca="1">IF(CALC2223!AZ158&gt;2,INDIRECT(ADDRESS(MATCH(Agenda2526!C159,'CAL3'!A:A,0)+2,2,4,1,"CAL3")),"")</f>
        <v/>
      </c>
      <c r="R158" s="21">
        <f ca="1">IF(CALC2223!AZ158&gt;2,INDIRECT(ADDRESS(MATCH(Agenda2526!C159,'CAL3'!A:A,0)+2,3,4,1,"CAL3")),0)</f>
        <v>0</v>
      </c>
      <c r="S158" s="20" t="str">
        <f ca="1">IF(CALC2223!BA158&gt;0,INDIRECT(ADDRESS(MATCH(Agenda2526!C159,'CAL4'!A:A,0),2,4,1,"CAL4")),"")</f>
        <v/>
      </c>
      <c r="T158" s="21">
        <f ca="1">IF(CALC2223!BA158&gt;0,INDIRECT(ADDRESS(MATCH(Agenda2526!C159,'CAL4'!A:A,0),3,4,1,"CAL4")),0)</f>
        <v>0</v>
      </c>
      <c r="U158" s="20" t="str">
        <f ca="1">IF(CALC2223!BA158&gt;1,INDIRECT(ADDRESS(MATCH(Agenda2526!C159,'CAL4'!A:A,0)+1,2,4,1,"CAL4")),"")</f>
        <v/>
      </c>
      <c r="V158" s="21">
        <f ca="1">IF(CALC2223!BA158&gt;1,INDIRECT(ADDRESS(MATCH(Agenda2526!C159,'CAL4'!A:A,0)+1,3,4,1,"CAL4")),0)</f>
        <v>0</v>
      </c>
      <c r="W158" s="20" t="str">
        <f ca="1">IF(CALC2223!BA158&gt;2,INDIRECT(ADDRESS(MATCH(Agenda2526!C159,'CAL4'!A:A,0)+2,2,4,1,"CAL4")),"")</f>
        <v/>
      </c>
      <c r="X158" s="21">
        <f ca="1">IF(CALC2223!BA158&gt;2,INDIRECT(ADDRESS(MATCH(Agenda2526!C159,'CAL4'!A:A,0)+2,3,4,1,"CAL4")),0)</f>
        <v>0</v>
      </c>
      <c r="Y158" s="20" t="str">
        <f ca="1">IF(CALC2223!BB158&gt;0,INDIRECT(ADDRESS(MATCH(Agenda2526!C159,'CAL5'!A:A,0),2,4,1,"CAL5")),"")</f>
        <v>Rep WIA</v>
      </c>
      <c r="Z158" s="21">
        <f ca="1">IF(CALC2223!BB158&gt;0,INDIRECT(ADDRESS(MATCH(Agenda2526!C159,'CAL5'!A:A,0),3,4,1,"CAL5")),0)</f>
        <v>45896</v>
      </c>
      <c r="AA158" s="20" t="str">
        <f ca="1">IF(CALC2223!BB158&gt;1,INDIRECT(ADDRESS(MATCH(Agenda2526!C159,'CAL5'!A:A,0)+1,2,4,1,"CAL5")),"")</f>
        <v/>
      </c>
      <c r="AB158" s="21">
        <f ca="1">IF(CALC2223!BB158&gt;1,INDIRECT(ADDRESS(MATCH(Agenda2526!C159,'CAL5'!A:A,0)+1,3,4,1,"CAL5")),0)</f>
        <v>0</v>
      </c>
      <c r="AC158" s="20" t="str">
        <f ca="1">IF(CALC2223!BB158&gt;2,INDIRECT(ADDRESS(MATCH(Agenda2526!C159,'CAL5'!A:A,0)+2,2,4,1,"CAL5")),"")</f>
        <v/>
      </c>
      <c r="AD158" s="21">
        <f ca="1">IF(CALC2223!BB158&gt;2,INDIRECT(ADDRESS(MATCH(Agenda2526!C159,'CAL5'!A:A,0)+2,3,4,1,"CAL5")),0)</f>
        <v>0</v>
      </c>
      <c r="AE158" s="20" t="str">
        <f ca="1">IF(CALC2223!BC158&gt;0,INDIRECT(ADDRESS(MATCH(Agenda2526!C159,'CAL6'!A:A,0),2,4,1,"CAL6")),"")</f>
        <v/>
      </c>
      <c r="AF158" s="21">
        <f ca="1">IF(CALC2223!BC158&gt;0,INDIRECT(ADDRESS(MATCH(Agenda2526!C159,'CAL6'!A:A,0),3,4,1,"CAL6")),0)</f>
        <v>0</v>
      </c>
      <c r="AG158" s="20" t="str">
        <f ca="1">IF(CALC2223!BC158&gt;1,INDIRECT(ADDRESS(MATCH(Agenda2526!C159,'CAL6'!A:A,0)+1,2,4,1,"CAL6")),"")</f>
        <v/>
      </c>
      <c r="AH158" s="21">
        <f ca="1">IF(CALC2223!BC158&gt;1,INDIRECT(ADDRESS(MATCH(Agenda2526!C159,'CAL6'!A:A,0)+1,3,4,1,"CAL6")),0)</f>
        <v>0</v>
      </c>
      <c r="AI158" s="20" t="str">
        <f ca="1">IF(CALC2223!BC158&gt;2,INDIRECT(ADDRESS(MATCH(Agenda2526!C159,'CAL6'!A:A,0)+2,2,4,1,"CAL6")),"")</f>
        <v/>
      </c>
      <c r="AJ158" s="21">
        <f ca="1">IF(CALC2223!BC158&gt;2,INDIRECT(ADDRESS(MATCH(Agenda2526!C159,'CAL6'!A:A,0)+2,3,4,1,"CAL6")),0)</f>
        <v>0</v>
      </c>
      <c r="AK158" s="20" t="str">
        <f ca="1">IF(CALC2223!BD158&gt;0,INDIRECT(ADDRESS(MATCH(Agenda2526!C159,'CAL7'!A:A,0),2,4,1,"CAL7")),"")</f>
        <v/>
      </c>
      <c r="AL158" s="21">
        <f ca="1">IF(CALC2223!BD158&gt;0,INDIRECT(ADDRESS(MATCH(Agenda2526!C159,'CAL7'!A:A,0),3,4,1,"CAL7")),0)</f>
        <v>0</v>
      </c>
      <c r="AM158" s="20" t="str">
        <f ca="1">IF(CALC2223!BD158&gt;1,INDIRECT(ADDRESS(MATCH(Agenda2526!C159,'CAL7'!A:A,0)+1,2,4,1,"CAL7")),"")</f>
        <v/>
      </c>
      <c r="AN158" s="21">
        <f ca="1">IF(CALC2223!BD158&gt;1,INDIRECT(ADDRESS(MATCH(Agenda2526!C159,'CAL7'!A:A,0)+1,3,4,1,"CAL7")),0)</f>
        <v>0</v>
      </c>
      <c r="AO158" s="20" t="str">
        <f ca="1">IF(CALC2223!BD158&gt;2,INDIRECT(ADDRESS(MATCH(Agenda2526!C159,'CAL7'!A:A,0)+2,2,4,1,"CAL7")),"")</f>
        <v/>
      </c>
      <c r="AP158" s="21">
        <f ca="1">IF(CALC2223!BD158&gt;2,INDIRECT(ADDRESS(MATCH(Agenda2526!C159,'CAL7'!A:A,0)+2,3,4,1,"CAL7")),0)</f>
        <v>0</v>
      </c>
      <c r="AQ158" s="20" t="str">
        <f ca="1">IF(CALC2223!BE158&gt;0,INDIRECT(ADDRESS(MATCH(Agenda2526!C159,'CAL8'!A:A,0),2,4,1,"CAL8")),"")</f>
        <v/>
      </c>
      <c r="AR158" s="21">
        <f ca="1">IF(CALC2223!BE158&gt;0,INDIRECT(ADDRESS(MATCH(Agenda2526!C159,'CAL8'!A:A,0),3,4,1,"CAL8")),0)</f>
        <v>0</v>
      </c>
      <c r="AS158" s="20" t="str">
        <f ca="1">IF(CALC2223!BE158&gt;1,INDIRECT(ADDRESS(MATCH(Agenda2526!C159,'CAL8'!A:A,0)+1,2,4,1,"CAL8")),"")</f>
        <v/>
      </c>
      <c r="AT158" s="21">
        <f ca="1">IF(CALC2223!BE158&gt;1,INDIRECT(ADDRESS(MATCH(Agenda2526!C159,'CAL8'!A:A,0)+1,3,4,1,"CAL8")),0)</f>
        <v>0</v>
      </c>
      <c r="AU158" s="20" t="str">
        <f ca="1">IF(CALC2223!BE158&gt;2,INDIRECT(ADDRESS(MATCH(Agenda2526!C159,'CAL8'!A:A,0)+2,2,4,1,"CAL8")),"")</f>
        <v/>
      </c>
      <c r="AV158" s="21">
        <f ca="1">IF(CALC2223!BE158&gt;2,INDIRECT(ADDRESS(MATCH(Agenda2526!C159,'CAL8'!A:A,0)+2,3,4,1,"CAL8")),0)</f>
        <v>0</v>
      </c>
      <c r="AW158" s="105"/>
      <c r="AX158" s="20">
        <f>COUNTIF('CAL1'!A:A,Agenda2526!C159)</f>
        <v>1</v>
      </c>
      <c r="AY158" s="20">
        <f>COUNTIF('CAL2'!A:A,Agenda2526!C159)</f>
        <v>0</v>
      </c>
      <c r="AZ158" s="20">
        <f>COUNTIF('CAL3'!A:A,Agenda2526!C159)</f>
        <v>0</v>
      </c>
      <c r="BA158" s="20">
        <f>COUNTIF('CAL4'!A:A,Agenda2526!C159)</f>
        <v>0</v>
      </c>
      <c r="BB158" s="20">
        <f>COUNTIF('CAL5'!A:A,Agenda2526!C159)</f>
        <v>1</v>
      </c>
      <c r="BC158" s="20">
        <f>COUNTIF('CAL6'!A:A,Agenda2526!C159)</f>
        <v>0</v>
      </c>
      <c r="BD158" s="20">
        <f>COUNTIF('CAL7'!A:A,Agenda2526!C159)</f>
        <v>0</v>
      </c>
      <c r="BE158" s="20">
        <f>COUNTIF('CAL8'!A:A,Agenda2526!C159)</f>
        <v>0</v>
      </c>
    </row>
    <row r="159" spans="1:57" ht="15.75" customHeight="1">
      <c r="A159" s="20" t="str">
        <f ca="1">IF(CALC2223!AX159&gt;0,INDIRECT(ADDRESS(MATCH(Agenda2526!C160,'CAL1'!A:A,0),2,4,1,"CAL1")),"")</f>
        <v/>
      </c>
      <c r="B159" s="21">
        <f ca="1">IF(CALC2223!AX159&gt;0,INDIRECT(ADDRESS(MATCH(Agenda2526!C160,'CAL1'!A:A,0),3,4,1,"CAL1")),0)</f>
        <v>0</v>
      </c>
      <c r="C159" s="20" t="str">
        <f ca="1">IF(CALC2223!AX159&gt;1,INDIRECT(ADDRESS(MATCH(Agenda2526!C160,'CAL1'!A:A,0)+1,2,4,1,"CAL1")),"")</f>
        <v/>
      </c>
      <c r="D159" s="21">
        <f ca="1">IF(CALC2223!AX159&gt;1,INDIRECT(ADDRESS(MATCH(Agenda2526!C160,'CAL1'!A:A,0)+1,3,4,1,"CAL1")),0)</f>
        <v>0</v>
      </c>
      <c r="E159" s="20" t="str">
        <f ca="1">IF(CALC2223!AX159&gt;2,INDIRECT(ADDRESS(MATCH(Agenda2526!C160,'CAL1'!A:A,0)+2,2,4,1,"CAL1")),"")</f>
        <v/>
      </c>
      <c r="F159" s="21">
        <f ca="1">IF(CALC2223!AX159&gt;2,INDIRECT(ADDRESS(MATCH(Agenda2526!C160,'CAL1'!A:A,0)+2,3,4,1,"CAL1")),0)</f>
        <v>0</v>
      </c>
      <c r="G159" s="20" t="str">
        <f ca="1">IF(CALC2223!AY159&gt;0,INDIRECT(ADDRESS(MATCH(Agenda2526!C160,'CAL2'!A:A,0),2,4,1,"CAL2")),"")</f>
        <v/>
      </c>
      <c r="H159" s="21">
        <f ca="1">IF(CALC2223!AY159&gt;0,INDIRECT(ADDRESS(MATCH(Agenda2526!C160,'CAL2'!A:A,0),3,4,1,"CAL2")),0)</f>
        <v>0</v>
      </c>
      <c r="I159" s="20" t="str">
        <f ca="1">IF(CALC2223!AY159&gt;1,INDIRECT(ADDRESS(MATCH(Agenda2526!C160,'CAL2'!A:A,0)+1,2,4,1,"CAL2")),"")</f>
        <v/>
      </c>
      <c r="J159" s="21">
        <f ca="1">IF(CALC2223!AY159&gt;1,INDIRECT(ADDRESS(MATCH(Agenda2526!C160,'CAL2'!A:A,0)+1,3,4,1,"CAL2")),0)</f>
        <v>0</v>
      </c>
      <c r="K159" s="20" t="str">
        <f ca="1">IF(CALC2223!AY159&gt;2,INDIRECT(ADDRESS(MATCH(Agenda2526!C160,'CAL2'!A:A,0)+2,2,4,1,"CAL2")),"")</f>
        <v/>
      </c>
      <c r="L159" s="21">
        <f ca="1">IF(CALC2223!AY159&gt;2,INDIRECT(ADDRESS(MATCH(Agenda2526!C160,'CAL2'!A:A,0)+2,3,4,1,"CAL2")),0)</f>
        <v>0</v>
      </c>
      <c r="M159" s="20" t="str">
        <f ca="1">IF(CALC2223!AZ159&gt;0,INDIRECT(ADDRESS(MATCH(Agenda2526!C160,'CAL3'!A:A,0),2,4,1,"CAL3")),"")</f>
        <v>Rep EN</v>
      </c>
      <c r="N159" s="21">
        <f ca="1">IF(CALC2223!AZ159&gt;0,INDIRECT(ADDRESS(MATCH(Agenda2526!C160,'CAL3'!A:A,0),3,4,1,"CAL3")),0)</f>
        <v>45903</v>
      </c>
      <c r="O159" s="20" t="str">
        <f ca="1">IF(CALC2223!AZ159&gt;1,INDIRECT(ADDRESS(MATCH(Agenda2526!C160,'CAL3'!A:A,0)+1,2,4,1,"CAL3")),"")</f>
        <v>taaldorp Duits</v>
      </c>
      <c r="P159" s="21">
        <f ca="1">IF(CALC2223!AZ159&gt;1,INDIRECT(ADDRESS(MATCH(Agenda2526!C160,'CAL3'!A:A,0)+1,3,4,1,"CAL3")),0)</f>
        <v>45986</v>
      </c>
      <c r="Q159" s="20" t="str">
        <f ca="1">IF(CALC2223!AZ159&gt;2,INDIRECT(ADDRESS(MATCH(Agenda2526!C160,'CAL3'!A:A,0)+2,2,4,1,"CAL3")),"")</f>
        <v/>
      </c>
      <c r="R159" s="21">
        <f ca="1">IF(CALC2223!AZ159&gt;2,INDIRECT(ADDRESS(MATCH(Agenda2526!C160,'CAL3'!A:A,0)+2,3,4,1,"CAL3")),0)</f>
        <v>0</v>
      </c>
      <c r="S159" s="20" t="str">
        <f ca="1">IF(CALC2223!BA159&gt;0,INDIRECT(ADDRESS(MATCH(Agenda2526!C160,'CAL4'!A:A,0),2,4,1,"CAL4")),"")</f>
        <v>SE ANW</v>
      </c>
      <c r="T159" s="21">
        <f ca="1">IF(CALC2223!BA159&gt;0,INDIRECT(ADDRESS(MATCH(Agenda2526!C160,'CAL4'!A:A,0),3,4,1,"CAL4")),0)</f>
        <v>45896</v>
      </c>
      <c r="U159" s="20" t="str">
        <f ca="1">IF(CALC2223!BA159&gt;1,INDIRECT(ADDRESS(MATCH(Agenda2526!C160,'CAL4'!A:A,0)+1,2,4,1,"CAL4")),"")</f>
        <v>inh rep WI</v>
      </c>
      <c r="V159" s="21">
        <f ca="1">IF(CALC2223!BA159&gt;1,INDIRECT(ADDRESS(MATCH(Agenda2526!C160,'CAL4'!A:A,0)+1,3,4,1,"CAL4")),0)</f>
        <v>45936</v>
      </c>
      <c r="W159" s="20" t="str">
        <f ca="1">IF(CALC2223!BA159&gt;2,INDIRECT(ADDRESS(MATCH(Agenda2526!C160,'CAL4'!A:A,0)+2,2,4,1,"CAL4")),"")</f>
        <v/>
      </c>
      <c r="X159" s="21">
        <f ca="1">IF(CALC2223!BA159&gt;2,INDIRECT(ADDRESS(MATCH(Agenda2526!C160,'CAL4'!A:A,0)+2,3,4,1,"CAL4")),0)</f>
        <v>0</v>
      </c>
      <c r="Y159" s="20" t="str">
        <f ca="1">IF(CALC2223!BB159&gt;0,INDIRECT(ADDRESS(MATCH(Agenda2526!C160,'CAL5'!A:A,0),2,4,1,"CAL5")),"")</f>
        <v>inh rep be</v>
      </c>
      <c r="Z159" s="21">
        <f ca="1">IF(CALC2223!BB159&gt;0,INDIRECT(ADDRESS(MATCH(Agenda2526!C160,'CAL5'!A:A,0),3,4,1,"CAL5")),0)</f>
        <v>45936</v>
      </c>
      <c r="AA159" s="20" t="str">
        <f ca="1">IF(CALC2223!BB159&gt;1,INDIRECT(ADDRESS(MATCH(Agenda2526!C160,'CAL5'!A:A,0)+1,2,4,1,"CAL5")),"")</f>
        <v>taaldorp Duits</v>
      </c>
      <c r="AB159" s="21">
        <f ca="1">IF(CALC2223!BB159&gt;1,INDIRECT(ADDRESS(MATCH(Agenda2526!C160,'CAL5'!A:A,0)+1,3,4,1,"CAL5")),0)</f>
        <v>45986</v>
      </c>
      <c r="AC159" s="20" t="str">
        <f ca="1">IF(CALC2223!BB159&gt;2,INDIRECT(ADDRESS(MATCH(Agenda2526!C160,'CAL5'!A:A,0)+2,2,4,1,"CAL5")),"")</f>
        <v/>
      </c>
      <c r="AD159" s="21">
        <f ca="1">IF(CALC2223!BB159&gt;2,INDIRECT(ADDRESS(MATCH(Agenda2526!C160,'CAL5'!A:A,0)+2,3,4,1,"CAL5")),0)</f>
        <v>0</v>
      </c>
      <c r="AE159" s="20" t="str">
        <f ca="1">IF(CALC2223!BC159&gt;0,INDIRECT(ADDRESS(MATCH(Agenda2526!C160,'CAL6'!A:A,0),2,4,1,"CAL6")),"")</f>
        <v>LOinhalen1</v>
      </c>
      <c r="AF159" s="21">
        <f ca="1">IF(CALC2223!BC159&gt;0,INDIRECT(ADDRESS(MATCH(Agenda2526!C160,'CAL6'!A:A,0),3,4,1,"CAL6")),0)</f>
        <v>45896</v>
      </c>
      <c r="AG159" s="20" t="str">
        <f ca="1">IF(CALC2223!BC159&gt;1,INDIRECT(ADDRESS(MATCH(Agenda2526!C160,'CAL6'!A:A,0)+1,2,4,1,"CAL6")),"")</f>
        <v/>
      </c>
      <c r="AH159" s="21">
        <f ca="1">IF(CALC2223!BC159&gt;1,INDIRECT(ADDRESS(MATCH(Agenda2526!C160,'CAL6'!A:A,0)+1,3,4,1,"CAL6")),0)</f>
        <v>0</v>
      </c>
      <c r="AI159" s="20" t="str">
        <f ca="1">IF(CALC2223!BC159&gt;2,INDIRECT(ADDRESS(MATCH(Agenda2526!C160,'CAL6'!A:A,0)+2,2,4,1,"CAL6")),"")</f>
        <v/>
      </c>
      <c r="AJ159" s="21">
        <f ca="1">IF(CALC2223!BC159&gt;2,INDIRECT(ADDRESS(MATCH(Agenda2526!C160,'CAL6'!A:A,0)+2,3,4,1,"CAL6")),0)</f>
        <v>0</v>
      </c>
      <c r="AK159" s="20" t="str">
        <f ca="1">IF(CALC2223!BD159&gt;0,INDIRECT(ADDRESS(MATCH(Agenda2526!C160,'CAL7'!A:A,0),2,4,1,"CAL7")),"")</f>
        <v>secties#5</v>
      </c>
      <c r="AL159" s="21">
        <f ca="1">IF(CALC2223!BD159&gt;0,INDIRECT(ADDRESS(MATCH(Agenda2526!C160,'CAL7'!A:A,0),3,4,1,"CAL7")),0)</f>
        <v>45896</v>
      </c>
      <c r="AM159" s="20" t="str">
        <f ca="1">IF(CALC2223!BD159&gt;1,INDIRECT(ADDRESS(MATCH(Agenda2526!C160,'CAL7'!A:A,0)+1,2,4,1,"CAL7")),"")</f>
        <v/>
      </c>
      <c r="AN159" s="21">
        <f ca="1">IF(CALC2223!BD159&gt;1,INDIRECT(ADDRESS(MATCH(Agenda2526!C160,'CAL7'!A:A,0)+1,3,4,1,"CAL7")),0)</f>
        <v>0</v>
      </c>
      <c r="AO159" s="20" t="str">
        <f ca="1">IF(CALC2223!BD159&gt;2,INDIRECT(ADDRESS(MATCH(Agenda2526!C160,'CAL7'!A:A,0)+2,2,4,1,"CAL7")),"")</f>
        <v/>
      </c>
      <c r="AP159" s="21">
        <f ca="1">IF(CALC2223!BD159&gt;2,INDIRECT(ADDRESS(MATCH(Agenda2526!C160,'CAL7'!A:A,0)+2,3,4,1,"CAL7")),0)</f>
        <v>0</v>
      </c>
      <c r="AQ159" s="20" t="str">
        <f ca="1">IF(CALC2223!BE159&gt;0,INDIRECT(ADDRESS(MATCH(Agenda2526!C160,'CAL8'!A:A,0),2,4,1,"CAL8")),"")</f>
        <v/>
      </c>
      <c r="AR159" s="21">
        <f ca="1">IF(CALC2223!BE159&gt;0,INDIRECT(ADDRESS(MATCH(Agenda2526!C160,'CAL8'!A:A,0),3,4,1,"CAL8")),0)</f>
        <v>0</v>
      </c>
      <c r="AS159" s="20" t="str">
        <f ca="1">IF(CALC2223!BE159&gt;1,INDIRECT(ADDRESS(MATCH(Agenda2526!C160,'CAL8'!A:A,0)+1,2,4,1,"CAL8")),"")</f>
        <v/>
      </c>
      <c r="AT159" s="21">
        <f ca="1">IF(CALC2223!BE159&gt;1,INDIRECT(ADDRESS(MATCH(Agenda2526!C160,'CAL8'!A:A,0)+1,3,4,1,"CAL8")),0)</f>
        <v>0</v>
      </c>
      <c r="AU159" s="20" t="str">
        <f ca="1">IF(CALC2223!BE159&gt;2,INDIRECT(ADDRESS(MATCH(Agenda2526!C160,'CAL8'!A:A,0)+2,2,4,1,"CAL8")),"")</f>
        <v/>
      </c>
      <c r="AV159" s="21">
        <f ca="1">IF(CALC2223!BE159&gt;2,INDIRECT(ADDRESS(MATCH(Agenda2526!C160,'CAL8'!A:A,0)+2,3,4,1,"CAL8")),0)</f>
        <v>0</v>
      </c>
      <c r="AW159" s="105"/>
      <c r="AX159" s="20">
        <f>COUNTIF('CAL1'!A:A,Agenda2526!C160)</f>
        <v>0</v>
      </c>
      <c r="AY159" s="20">
        <f>COUNTIF('CAL2'!A:A,Agenda2526!C160)</f>
        <v>0</v>
      </c>
      <c r="AZ159" s="20">
        <f>COUNTIF('CAL3'!A:A,Agenda2526!C160)</f>
        <v>2</v>
      </c>
      <c r="BA159" s="20">
        <f>COUNTIF('CAL4'!A:A,Agenda2526!C160)</f>
        <v>2</v>
      </c>
      <c r="BB159" s="20">
        <f>COUNTIF('CAL5'!A:A,Agenda2526!C160)</f>
        <v>2</v>
      </c>
      <c r="BC159" s="20">
        <f>COUNTIF('CAL6'!A:A,Agenda2526!C160)</f>
        <v>1</v>
      </c>
      <c r="BD159" s="20">
        <f>COUNTIF('CAL7'!A:A,Agenda2526!C160)</f>
        <v>1</v>
      </c>
      <c r="BE159" s="20">
        <f>COUNTIF('CAL8'!A:A,Agenda2526!C160)</f>
        <v>0</v>
      </c>
    </row>
    <row r="160" spans="1:57" ht="15.75" customHeight="1">
      <c r="A160" s="20" t="str">
        <f ca="1">IF(CALC2223!AX160&gt;0,INDIRECT(ADDRESS(MATCH(Agenda2526!C161,'CAL1'!A:A,0),2,4,1,"CAL1")),"")</f>
        <v/>
      </c>
      <c r="B160" s="21">
        <f ca="1">IF(CALC2223!AX160&gt;0,INDIRECT(ADDRESS(MATCH(Agenda2526!C161,'CAL1'!A:A,0),3,4,1,"CAL1")),0)</f>
        <v>0</v>
      </c>
      <c r="C160" s="20" t="str">
        <f ca="1">IF(CALC2223!AX160&gt;1,INDIRECT(ADDRESS(MATCH(Agenda2526!C161,'CAL1'!A:A,0)+1,2,4,1,"CAL1")),"")</f>
        <v/>
      </c>
      <c r="D160" s="21">
        <f ca="1">IF(CALC2223!AX160&gt;1,INDIRECT(ADDRESS(MATCH(Agenda2526!C161,'CAL1'!A:A,0)+1,3,4,1,"CAL1")),0)</f>
        <v>0</v>
      </c>
      <c r="E160" s="20" t="str">
        <f ca="1">IF(CALC2223!AX160&gt;2,INDIRECT(ADDRESS(MATCH(Agenda2526!C161,'CAL1'!A:A,0)+2,2,4,1,"CAL1")),"")</f>
        <v/>
      </c>
      <c r="F160" s="21">
        <f ca="1">IF(CALC2223!AX160&gt;2,INDIRECT(ADDRESS(MATCH(Agenda2526!C161,'CAL1'!A:A,0)+2,3,4,1,"CAL1")),0)</f>
        <v>0</v>
      </c>
      <c r="G160" s="20" t="str">
        <f ca="1">IF(CALC2223!AY160&gt;0,INDIRECT(ADDRESS(MATCH(Agenda2526!C161,'CAL2'!A:A,0),2,4,1,"CAL2")),"")</f>
        <v>Rep BIO</v>
      </c>
      <c r="H160" s="21">
        <f ca="1">IF(CALC2223!AY160&gt;0,INDIRECT(ADDRESS(MATCH(Agenda2526!C161,'CAL2'!A:A,0),3,4,1,"CAL2")),0)</f>
        <v>45903</v>
      </c>
      <c r="I160" s="20" t="str">
        <f ca="1">IF(CALC2223!AY160&gt;1,INDIRECT(ADDRESS(MATCH(Agenda2526!C161,'CAL2'!A:A,0)+1,2,4,1,"CAL2")),"")</f>
        <v/>
      </c>
      <c r="J160" s="21">
        <f ca="1">IF(CALC2223!AY160&gt;1,INDIRECT(ADDRESS(MATCH(Agenda2526!C161,'CAL2'!A:A,0)+1,3,4,1,"CAL2")),0)</f>
        <v>0</v>
      </c>
      <c r="K160" s="20" t="str">
        <f ca="1">IF(CALC2223!AY160&gt;2,INDIRECT(ADDRESS(MATCH(Agenda2526!C161,'CAL2'!A:A,0)+2,2,4,1,"CAL2")),"")</f>
        <v/>
      </c>
      <c r="L160" s="21">
        <f ca="1">IF(CALC2223!AY160&gt;2,INDIRECT(ADDRESS(MATCH(Agenda2526!C161,'CAL2'!A:A,0)+2,3,4,1,"CAL2")),0)</f>
        <v>0</v>
      </c>
      <c r="M160" s="20" t="str">
        <f ca="1">IF(CALC2223!AZ160&gt;0,INDIRECT(ADDRESS(MATCH(Agenda2526!C161,'CAL3'!A:A,0),2,4,1,"CAL3")),"")</f>
        <v/>
      </c>
      <c r="N160" s="21">
        <f ca="1">IF(CALC2223!AZ160&gt;0,INDIRECT(ADDRESS(MATCH(Agenda2526!C161,'CAL3'!A:A,0),3,4,1,"CAL3")),0)</f>
        <v>0</v>
      </c>
      <c r="O160" s="20" t="str">
        <f ca="1">IF(CALC2223!AZ160&gt;1,INDIRECT(ADDRESS(MATCH(Agenda2526!C161,'CAL3'!A:A,0)+1,2,4,1,"CAL3")),"")</f>
        <v/>
      </c>
      <c r="P160" s="21">
        <f ca="1">IF(CALC2223!AZ160&gt;1,INDIRECT(ADDRESS(MATCH(Agenda2526!C161,'CAL3'!A:A,0)+1,3,4,1,"CAL3")),0)</f>
        <v>0</v>
      </c>
      <c r="Q160" s="20" t="str">
        <f ca="1">IF(CALC2223!AZ160&gt;2,INDIRECT(ADDRESS(MATCH(Agenda2526!C161,'CAL3'!A:A,0)+2,2,4,1,"CAL3")),"")</f>
        <v/>
      </c>
      <c r="R160" s="21">
        <f ca="1">IF(CALC2223!AZ160&gt;2,INDIRECT(ADDRESS(MATCH(Agenda2526!C161,'CAL3'!A:A,0)+2,3,4,1,"CAL3")),0)</f>
        <v>0</v>
      </c>
      <c r="S160" s="20" t="str">
        <f ca="1">IF(CALC2223!BA160&gt;0,INDIRECT(ADDRESS(MATCH(Agenda2526!C161,'CAL4'!A:A,0),2,4,1,"CAL4")),"")</f>
        <v/>
      </c>
      <c r="T160" s="21">
        <f ca="1">IF(CALC2223!BA160&gt;0,INDIRECT(ADDRESS(MATCH(Agenda2526!C161,'CAL4'!A:A,0),3,4,1,"CAL4")),0)</f>
        <v>0</v>
      </c>
      <c r="U160" s="20" t="str">
        <f ca="1">IF(CALC2223!BA160&gt;1,INDIRECT(ADDRESS(MATCH(Agenda2526!C161,'CAL4'!A:A,0)+1,2,4,1,"CAL4")),"")</f>
        <v/>
      </c>
      <c r="V160" s="21">
        <f ca="1">IF(CALC2223!BA160&gt;1,INDIRECT(ADDRESS(MATCH(Agenda2526!C161,'CAL4'!A:A,0)+1,3,4,1,"CAL4")),0)</f>
        <v>0</v>
      </c>
      <c r="W160" s="20" t="str">
        <f ca="1">IF(CALC2223!BA160&gt;2,INDIRECT(ADDRESS(MATCH(Agenda2526!C161,'CAL4'!A:A,0)+2,2,4,1,"CAL4")),"")</f>
        <v/>
      </c>
      <c r="X160" s="21">
        <f ca="1">IF(CALC2223!BA160&gt;2,INDIRECT(ADDRESS(MATCH(Agenda2526!C161,'CAL4'!A:A,0)+2,3,4,1,"CAL4")),0)</f>
        <v>0</v>
      </c>
      <c r="Y160" s="20" t="str">
        <f ca="1">IF(CALC2223!BB160&gt;0,INDIRECT(ADDRESS(MATCH(Agenda2526!C161,'CAL5'!A:A,0),2,4,1,"CAL5")),"")</f>
        <v/>
      </c>
      <c r="Z160" s="21">
        <f ca="1">IF(CALC2223!BB160&gt;0,INDIRECT(ADDRESS(MATCH(Agenda2526!C161,'CAL5'!A:A,0),3,4,1,"CAL5")),0)</f>
        <v>0</v>
      </c>
      <c r="AA160" s="20" t="str">
        <f ca="1">IF(CALC2223!BB160&gt;1,INDIRECT(ADDRESS(MATCH(Agenda2526!C161,'CAL5'!A:A,0)+1,2,4,1,"CAL5")),"")</f>
        <v/>
      </c>
      <c r="AB160" s="21">
        <f ca="1">IF(CALC2223!BB160&gt;1,INDIRECT(ADDRESS(MATCH(Agenda2526!C161,'CAL5'!A:A,0)+1,3,4,1,"CAL5")),0)</f>
        <v>0</v>
      </c>
      <c r="AC160" s="20" t="str">
        <f ca="1">IF(CALC2223!BB160&gt;2,INDIRECT(ADDRESS(MATCH(Agenda2526!C161,'CAL5'!A:A,0)+2,2,4,1,"CAL5")),"")</f>
        <v/>
      </c>
      <c r="AD160" s="21">
        <f ca="1">IF(CALC2223!BB160&gt;2,INDIRECT(ADDRESS(MATCH(Agenda2526!C161,'CAL5'!A:A,0)+2,3,4,1,"CAL5")),0)</f>
        <v>0</v>
      </c>
      <c r="AE160" s="20" t="str">
        <f ca="1">IF(CALC2223!BC160&gt;0,INDIRECT(ADDRESS(MATCH(Agenda2526!C161,'CAL6'!A:A,0),2,4,1,"CAL6")),"")</f>
        <v/>
      </c>
      <c r="AF160" s="21">
        <f ca="1">IF(CALC2223!BC160&gt;0,INDIRECT(ADDRESS(MATCH(Agenda2526!C161,'CAL6'!A:A,0),3,4,1,"CAL6")),0)</f>
        <v>0</v>
      </c>
      <c r="AG160" s="20" t="str">
        <f ca="1">IF(CALC2223!BC160&gt;1,INDIRECT(ADDRESS(MATCH(Agenda2526!C161,'CAL6'!A:A,0)+1,2,4,1,"CAL6")),"")</f>
        <v/>
      </c>
      <c r="AH160" s="21">
        <f ca="1">IF(CALC2223!BC160&gt;1,INDIRECT(ADDRESS(MATCH(Agenda2526!C161,'CAL6'!A:A,0)+1,3,4,1,"CAL6")),0)</f>
        <v>0</v>
      </c>
      <c r="AI160" s="20" t="str">
        <f ca="1">IF(CALC2223!BC160&gt;2,INDIRECT(ADDRESS(MATCH(Agenda2526!C161,'CAL6'!A:A,0)+2,2,4,1,"CAL6")),"")</f>
        <v/>
      </c>
      <c r="AJ160" s="21">
        <f ca="1">IF(CALC2223!BC160&gt;2,INDIRECT(ADDRESS(MATCH(Agenda2526!C161,'CAL6'!A:A,0)+2,3,4,1,"CAL6")),0)</f>
        <v>0</v>
      </c>
      <c r="AK160" s="20" t="str">
        <f ca="1">IF(CALC2223!BD160&gt;0,INDIRECT(ADDRESS(MATCH(Agenda2526!C161,'CAL7'!A:A,0),2,4,1,"CAL7")),"")</f>
        <v/>
      </c>
      <c r="AL160" s="21">
        <f ca="1">IF(CALC2223!BD160&gt;0,INDIRECT(ADDRESS(MATCH(Agenda2526!C161,'CAL7'!A:A,0),3,4,1,"CAL7")),0)</f>
        <v>0</v>
      </c>
      <c r="AM160" s="20" t="str">
        <f ca="1">IF(CALC2223!BD160&gt;1,INDIRECT(ADDRESS(MATCH(Agenda2526!C161,'CAL7'!A:A,0)+1,2,4,1,"CAL7")),"")</f>
        <v/>
      </c>
      <c r="AN160" s="21">
        <f ca="1">IF(CALC2223!BD160&gt;1,INDIRECT(ADDRESS(MATCH(Agenda2526!C161,'CAL7'!A:A,0)+1,3,4,1,"CAL7")),0)</f>
        <v>0</v>
      </c>
      <c r="AO160" s="20" t="str">
        <f ca="1">IF(CALC2223!BD160&gt;2,INDIRECT(ADDRESS(MATCH(Agenda2526!C161,'CAL7'!A:A,0)+2,2,4,1,"CAL7")),"")</f>
        <v/>
      </c>
      <c r="AP160" s="21">
        <f ca="1">IF(CALC2223!BD160&gt;2,INDIRECT(ADDRESS(MATCH(Agenda2526!C161,'CAL7'!A:A,0)+2,3,4,1,"CAL7")),0)</f>
        <v>0</v>
      </c>
      <c r="AQ160" s="20" t="str">
        <f ca="1">IF(CALC2223!BE160&gt;0,INDIRECT(ADDRESS(MATCH(Agenda2526!C161,'CAL8'!A:A,0),2,4,1,"CAL8")),"")</f>
        <v/>
      </c>
      <c r="AR160" s="21">
        <f ca="1">IF(CALC2223!BE160&gt;0,INDIRECT(ADDRESS(MATCH(Agenda2526!C161,'CAL8'!A:A,0),3,4,1,"CAL8")),0)</f>
        <v>0</v>
      </c>
      <c r="AS160" s="20" t="str">
        <f ca="1">IF(CALC2223!BE160&gt;1,INDIRECT(ADDRESS(MATCH(Agenda2526!C161,'CAL8'!A:A,0)+1,2,4,1,"CAL8")),"")</f>
        <v/>
      </c>
      <c r="AT160" s="21">
        <f ca="1">IF(CALC2223!BE160&gt;1,INDIRECT(ADDRESS(MATCH(Agenda2526!C161,'CAL8'!A:A,0)+1,3,4,1,"CAL8")),0)</f>
        <v>0</v>
      </c>
      <c r="AU160" s="20" t="str">
        <f ca="1">IF(CALC2223!BE160&gt;2,INDIRECT(ADDRESS(MATCH(Agenda2526!C161,'CAL8'!A:A,0)+2,2,4,1,"CAL8")),"")</f>
        <v/>
      </c>
      <c r="AV160" s="21">
        <f ca="1">IF(CALC2223!BE160&gt;2,INDIRECT(ADDRESS(MATCH(Agenda2526!C161,'CAL8'!A:A,0)+2,3,4,1,"CAL8")),0)</f>
        <v>0</v>
      </c>
      <c r="AW160" s="105"/>
      <c r="AX160" s="20">
        <f>COUNTIF('CAL1'!A:A,Agenda2526!C161)</f>
        <v>0</v>
      </c>
      <c r="AY160" s="20">
        <f>COUNTIF('CAL2'!A:A,Agenda2526!C161)</f>
        <v>1</v>
      </c>
      <c r="AZ160" s="20">
        <f>COUNTIF('CAL3'!A:A,Agenda2526!C161)</f>
        <v>0</v>
      </c>
      <c r="BA160" s="20">
        <f>COUNTIF('CAL4'!A:A,Agenda2526!C161)</f>
        <v>0</v>
      </c>
      <c r="BB160" s="20">
        <f>COUNTIF('CAL5'!A:A,Agenda2526!C161)</f>
        <v>0</v>
      </c>
      <c r="BC160" s="20">
        <f>COUNTIF('CAL6'!A:A,Agenda2526!C161)</f>
        <v>0</v>
      </c>
      <c r="BD160" s="20">
        <f>COUNTIF('CAL7'!A:A,Agenda2526!C161)</f>
        <v>0</v>
      </c>
      <c r="BE160" s="20">
        <f>COUNTIF('CAL8'!A:A,Agenda2526!C161)</f>
        <v>0</v>
      </c>
    </row>
    <row r="161" spans="1:57" ht="15.75" customHeight="1">
      <c r="A161" s="20" t="str">
        <f ca="1">IF(CALC2223!AX161&gt;0,INDIRECT(ADDRESS(MATCH(Agenda2526!C162,'CAL1'!A:A,0),2,4,1,"CAL1")),"")</f>
        <v/>
      </c>
      <c r="B161" s="21">
        <f ca="1">IF(CALC2223!AX161&gt;0,INDIRECT(ADDRESS(MATCH(Agenda2526!C162,'CAL1'!A:A,0),3,4,1,"CAL1")),0)</f>
        <v>0</v>
      </c>
      <c r="C161" s="20" t="str">
        <f ca="1">IF(CALC2223!AX161&gt;1,INDIRECT(ADDRESS(MATCH(Agenda2526!C162,'CAL1'!A:A,0)+1,2,4,1,"CAL1")),"")</f>
        <v/>
      </c>
      <c r="D161" s="21">
        <f ca="1">IF(CALC2223!AX161&gt;1,INDIRECT(ADDRESS(MATCH(Agenda2526!C162,'CAL1'!A:A,0)+1,3,4,1,"CAL1")),0)</f>
        <v>0</v>
      </c>
      <c r="E161" s="20" t="str">
        <f ca="1">IF(CALC2223!AX161&gt;2,INDIRECT(ADDRESS(MATCH(Agenda2526!C162,'CAL1'!A:A,0)+2,2,4,1,"CAL1")),"")</f>
        <v/>
      </c>
      <c r="F161" s="21">
        <f ca="1">IF(CALC2223!AX161&gt;2,INDIRECT(ADDRESS(MATCH(Agenda2526!C162,'CAL1'!A:A,0)+2,3,4,1,"CAL1")),0)</f>
        <v>0</v>
      </c>
      <c r="G161" s="20" t="str">
        <f ca="1">IF(CALC2223!AY161&gt;0,INDIRECT(ADDRESS(MATCH(Agenda2526!C162,'CAL2'!A:A,0),2,4,1,"CAL2")),"")</f>
        <v/>
      </c>
      <c r="H161" s="21">
        <f ca="1">IF(CALC2223!AY161&gt;0,INDIRECT(ADDRESS(MATCH(Agenda2526!C162,'CAL2'!A:A,0),3,4,1,"CAL2")),0)</f>
        <v>0</v>
      </c>
      <c r="I161" s="20" t="str">
        <f ca="1">IF(CALC2223!AY161&gt;1,INDIRECT(ADDRESS(MATCH(Agenda2526!C162,'CAL2'!A:A,0)+1,2,4,1,"CAL2")),"")</f>
        <v/>
      </c>
      <c r="J161" s="21">
        <f ca="1">IF(CALC2223!AY161&gt;1,INDIRECT(ADDRESS(MATCH(Agenda2526!C162,'CAL2'!A:A,0)+1,3,4,1,"CAL2")),0)</f>
        <v>0</v>
      </c>
      <c r="K161" s="20" t="str">
        <f ca="1">IF(CALC2223!AY161&gt;2,INDIRECT(ADDRESS(MATCH(Agenda2526!C162,'CAL2'!A:A,0)+2,2,4,1,"CAL2")),"")</f>
        <v/>
      </c>
      <c r="L161" s="21">
        <f ca="1">IF(CALC2223!AY161&gt;2,INDIRECT(ADDRESS(MATCH(Agenda2526!C162,'CAL2'!A:A,0)+2,3,4,1,"CAL2")),0)</f>
        <v>0</v>
      </c>
      <c r="M161" s="20" t="str">
        <f ca="1">IF(CALC2223!AZ161&gt;0,INDIRECT(ADDRESS(MATCH(Agenda2526!C162,'CAL3'!A:A,0),2,4,1,"CAL3")),"")</f>
        <v/>
      </c>
      <c r="N161" s="21">
        <f ca="1">IF(CALC2223!AZ161&gt;0,INDIRECT(ADDRESS(MATCH(Agenda2526!C162,'CAL3'!A:A,0),3,4,1,"CAL3")),0)</f>
        <v>0</v>
      </c>
      <c r="O161" s="20" t="str">
        <f ca="1">IF(CALC2223!AZ161&gt;1,INDIRECT(ADDRESS(MATCH(Agenda2526!C162,'CAL3'!A:A,0)+1,2,4,1,"CAL3")),"")</f>
        <v/>
      </c>
      <c r="P161" s="21">
        <f ca="1">IF(CALC2223!AZ161&gt;1,INDIRECT(ADDRESS(MATCH(Agenda2526!C162,'CAL3'!A:A,0)+1,3,4,1,"CAL3")),0)</f>
        <v>0</v>
      </c>
      <c r="Q161" s="20" t="str">
        <f ca="1">IF(CALC2223!AZ161&gt;2,INDIRECT(ADDRESS(MATCH(Agenda2526!C162,'CAL3'!A:A,0)+2,2,4,1,"CAL3")),"")</f>
        <v/>
      </c>
      <c r="R161" s="21">
        <f ca="1">IF(CALC2223!AZ161&gt;2,INDIRECT(ADDRESS(MATCH(Agenda2526!C162,'CAL3'!A:A,0)+2,3,4,1,"CAL3")),0)</f>
        <v>0</v>
      </c>
      <c r="S161" s="20" t="str">
        <f ca="1">IF(CALC2223!BA161&gt;0,INDIRECT(ADDRESS(MATCH(Agenda2526!C162,'CAL4'!A:A,0),2,4,1,"CAL4")),"")</f>
        <v/>
      </c>
      <c r="T161" s="21">
        <f ca="1">IF(CALC2223!BA161&gt;0,INDIRECT(ADDRESS(MATCH(Agenda2526!C162,'CAL4'!A:A,0),3,4,1,"CAL4")),0)</f>
        <v>0</v>
      </c>
      <c r="U161" s="20" t="str">
        <f ca="1">IF(CALC2223!BA161&gt;1,INDIRECT(ADDRESS(MATCH(Agenda2526!C162,'CAL4'!A:A,0)+1,2,4,1,"CAL4")),"")</f>
        <v/>
      </c>
      <c r="V161" s="21">
        <f ca="1">IF(CALC2223!BA161&gt;1,INDIRECT(ADDRESS(MATCH(Agenda2526!C162,'CAL4'!A:A,0)+1,3,4,1,"CAL4")),0)</f>
        <v>0</v>
      </c>
      <c r="W161" s="20" t="str">
        <f ca="1">IF(CALC2223!BA161&gt;2,INDIRECT(ADDRESS(MATCH(Agenda2526!C162,'CAL4'!A:A,0)+2,2,4,1,"CAL4")),"")</f>
        <v/>
      </c>
      <c r="X161" s="21">
        <f ca="1">IF(CALC2223!BA161&gt;2,INDIRECT(ADDRESS(MATCH(Agenda2526!C162,'CAL4'!A:A,0)+2,3,4,1,"CAL4")),0)</f>
        <v>0</v>
      </c>
      <c r="Y161" s="20" t="str">
        <f ca="1">IF(CALC2223!BB161&gt;0,INDIRECT(ADDRESS(MATCH(Agenda2526!C162,'CAL5'!A:A,0),2,4,1,"CAL5")),"")</f>
        <v/>
      </c>
      <c r="Z161" s="21">
        <f ca="1">IF(CALC2223!BB161&gt;0,INDIRECT(ADDRESS(MATCH(Agenda2526!C162,'CAL5'!A:A,0),3,4,1,"CAL5")),0)</f>
        <v>0</v>
      </c>
      <c r="AA161" s="20" t="str">
        <f ca="1">IF(CALC2223!BB161&gt;1,INDIRECT(ADDRESS(MATCH(Agenda2526!C162,'CAL5'!A:A,0)+1,2,4,1,"CAL5")),"")</f>
        <v/>
      </c>
      <c r="AB161" s="21">
        <f ca="1">IF(CALC2223!BB161&gt;1,INDIRECT(ADDRESS(MATCH(Agenda2526!C162,'CAL5'!A:A,0)+1,3,4,1,"CAL5")),0)</f>
        <v>0</v>
      </c>
      <c r="AC161" s="20" t="str">
        <f ca="1">IF(CALC2223!BB161&gt;2,INDIRECT(ADDRESS(MATCH(Agenda2526!C162,'CAL5'!A:A,0)+2,2,4,1,"CAL5")),"")</f>
        <v/>
      </c>
      <c r="AD161" s="21">
        <f ca="1">IF(CALC2223!BB161&gt;2,INDIRECT(ADDRESS(MATCH(Agenda2526!C162,'CAL5'!A:A,0)+2,3,4,1,"CAL5")),0)</f>
        <v>0</v>
      </c>
      <c r="AE161" s="20" t="str">
        <f ca="1">IF(CALC2223!BC161&gt;0,INDIRECT(ADDRESS(MATCH(Agenda2526!C162,'CAL6'!A:A,0),2,4,1,"CAL6")),"")</f>
        <v/>
      </c>
      <c r="AF161" s="21">
        <f ca="1">IF(CALC2223!BC161&gt;0,INDIRECT(ADDRESS(MATCH(Agenda2526!C162,'CAL6'!A:A,0),3,4,1,"CAL6")),0)</f>
        <v>0</v>
      </c>
      <c r="AG161" s="20" t="str">
        <f ca="1">IF(CALC2223!BC161&gt;1,INDIRECT(ADDRESS(MATCH(Agenda2526!C162,'CAL6'!A:A,0)+1,2,4,1,"CAL6")),"")</f>
        <v/>
      </c>
      <c r="AH161" s="21">
        <f ca="1">IF(CALC2223!BC161&gt;1,INDIRECT(ADDRESS(MATCH(Agenda2526!C162,'CAL6'!A:A,0)+1,3,4,1,"CAL6")),0)</f>
        <v>0</v>
      </c>
      <c r="AI161" s="20" t="str">
        <f ca="1">IF(CALC2223!BC161&gt;2,INDIRECT(ADDRESS(MATCH(Agenda2526!C162,'CAL6'!A:A,0)+2,2,4,1,"CAL6")),"")</f>
        <v/>
      </c>
      <c r="AJ161" s="21">
        <f ca="1">IF(CALC2223!BC161&gt;2,INDIRECT(ADDRESS(MATCH(Agenda2526!C162,'CAL6'!A:A,0)+2,3,4,1,"CAL6")),0)</f>
        <v>0</v>
      </c>
      <c r="AK161" s="20" t="str">
        <f ca="1">IF(CALC2223!BD161&gt;0,INDIRECT(ADDRESS(MATCH(Agenda2526!C162,'CAL7'!A:A,0),2,4,1,"CAL7")),"")</f>
        <v/>
      </c>
      <c r="AL161" s="21">
        <f ca="1">IF(CALC2223!BD161&gt;0,INDIRECT(ADDRESS(MATCH(Agenda2526!C162,'CAL7'!A:A,0),3,4,1,"CAL7")),0)</f>
        <v>0</v>
      </c>
      <c r="AM161" s="20" t="str">
        <f ca="1">IF(CALC2223!BD161&gt;1,INDIRECT(ADDRESS(MATCH(Agenda2526!C162,'CAL7'!A:A,0)+1,2,4,1,"CAL7")),"")</f>
        <v/>
      </c>
      <c r="AN161" s="21">
        <f ca="1">IF(CALC2223!BD161&gt;1,INDIRECT(ADDRESS(MATCH(Agenda2526!C162,'CAL7'!A:A,0)+1,3,4,1,"CAL7")),0)</f>
        <v>0</v>
      </c>
      <c r="AO161" s="20" t="str">
        <f ca="1">IF(CALC2223!BD161&gt;2,INDIRECT(ADDRESS(MATCH(Agenda2526!C162,'CAL7'!A:A,0)+2,2,4,1,"CAL7")),"")</f>
        <v/>
      </c>
      <c r="AP161" s="21">
        <f ca="1">IF(CALC2223!BD161&gt;2,INDIRECT(ADDRESS(MATCH(Agenda2526!C162,'CAL7'!A:A,0)+2,3,4,1,"CAL7")),0)</f>
        <v>0</v>
      </c>
      <c r="AQ161" s="20" t="str">
        <f ca="1">IF(CALC2223!BE161&gt;0,INDIRECT(ADDRESS(MATCH(Agenda2526!C162,'CAL8'!A:A,0),2,4,1,"CAL8")),"")</f>
        <v/>
      </c>
      <c r="AR161" s="21">
        <f ca="1">IF(CALC2223!BE161&gt;0,INDIRECT(ADDRESS(MATCH(Agenda2526!C162,'CAL8'!A:A,0),3,4,1,"CAL8")),0)</f>
        <v>0</v>
      </c>
      <c r="AS161" s="20" t="str">
        <f ca="1">IF(CALC2223!BE161&gt;1,INDIRECT(ADDRESS(MATCH(Agenda2526!C162,'CAL8'!A:A,0)+1,2,4,1,"CAL8")),"")</f>
        <v/>
      </c>
      <c r="AT161" s="21">
        <f ca="1">IF(CALC2223!BE161&gt;1,INDIRECT(ADDRESS(MATCH(Agenda2526!C162,'CAL8'!A:A,0)+1,3,4,1,"CAL8")),0)</f>
        <v>0</v>
      </c>
      <c r="AU161" s="20" t="str">
        <f ca="1">IF(CALC2223!BE161&gt;2,INDIRECT(ADDRESS(MATCH(Agenda2526!C162,'CAL8'!A:A,0)+2,2,4,1,"CAL8")),"")</f>
        <v/>
      </c>
      <c r="AV161" s="21">
        <f ca="1">IF(CALC2223!BE161&gt;2,INDIRECT(ADDRESS(MATCH(Agenda2526!C162,'CAL8'!A:A,0)+2,3,4,1,"CAL8")),0)</f>
        <v>0</v>
      </c>
      <c r="AW161" s="106"/>
      <c r="AX161" s="20">
        <f>COUNTIF('CAL1'!A:A,Agenda2526!C162)</f>
        <v>0</v>
      </c>
      <c r="AY161" s="20">
        <f>COUNTIF('CAL2'!A:A,Agenda2526!C162)</f>
        <v>0</v>
      </c>
      <c r="AZ161" s="20">
        <f>COUNTIF('CAL3'!A:A,Agenda2526!C162)</f>
        <v>0</v>
      </c>
      <c r="BA161" s="20">
        <f>COUNTIF('CAL4'!A:A,Agenda2526!C162)</f>
        <v>0</v>
      </c>
      <c r="BB161" s="20">
        <f>COUNTIF('CAL5'!A:A,Agenda2526!C162)</f>
        <v>0</v>
      </c>
      <c r="BC161" s="20">
        <f>COUNTIF('CAL6'!A:A,Agenda2526!C162)</f>
        <v>0</v>
      </c>
      <c r="BD161" s="20">
        <f>COUNTIF('CAL7'!A:A,Agenda2526!C162)</f>
        <v>0</v>
      </c>
      <c r="BE161" s="20">
        <f>COUNTIF('CAL8'!A:A,Agenda2526!C162)</f>
        <v>0</v>
      </c>
    </row>
    <row r="162" spans="1:57" ht="15.75" customHeight="1">
      <c r="A162" s="20" t="str">
        <f ca="1">IF(CALC2223!AX162&gt;0,INDIRECT(ADDRESS(MATCH(Agenda2526!C163,'CAL1'!A:A,0),2,4,1,"CAL1")),"")</f>
        <v/>
      </c>
      <c r="B162" s="21">
        <f ca="1">IF(CALC2223!AX162&gt;0,INDIRECT(ADDRESS(MATCH(Agenda2526!C163,'CAL1'!A:A,0),3,4,1,"CAL1")),0)</f>
        <v>0</v>
      </c>
      <c r="C162" s="20" t="str">
        <f ca="1">IF(CALC2223!AX162&gt;1,INDIRECT(ADDRESS(MATCH(Agenda2526!C163,'CAL1'!A:A,0)+1,2,4,1,"CAL1")),"")</f>
        <v/>
      </c>
      <c r="D162" s="21">
        <f ca="1">IF(CALC2223!AX162&gt;1,INDIRECT(ADDRESS(MATCH(Agenda2526!C163,'CAL1'!A:A,0)+1,3,4,1,"CAL1")),0)</f>
        <v>0</v>
      </c>
      <c r="E162" s="20" t="str">
        <f ca="1">IF(CALC2223!AX162&gt;2,INDIRECT(ADDRESS(MATCH(Agenda2526!C163,'CAL1'!A:A,0)+2,2,4,1,"CAL1")),"")</f>
        <v/>
      </c>
      <c r="F162" s="21">
        <f ca="1">IF(CALC2223!AX162&gt;2,INDIRECT(ADDRESS(MATCH(Agenda2526!C163,'CAL1'!A:A,0)+2,3,4,1,"CAL1")),0)</f>
        <v>0</v>
      </c>
      <c r="G162" s="20" t="str">
        <f ca="1">IF(CALC2223!AY162&gt;0,INDIRECT(ADDRESS(MATCH(Agenda2526!C163,'CAL2'!A:A,0),2,4,1,"CAL2")),"")</f>
        <v/>
      </c>
      <c r="H162" s="21">
        <f ca="1">IF(CALC2223!AY162&gt;0,INDIRECT(ADDRESS(MATCH(Agenda2526!C163,'CAL2'!A:A,0),3,4,1,"CAL2")),0)</f>
        <v>0</v>
      </c>
      <c r="I162" s="20" t="str">
        <f ca="1">IF(CALC2223!AY162&gt;1,INDIRECT(ADDRESS(MATCH(Agenda2526!C163,'CAL2'!A:A,0)+1,2,4,1,"CAL2")),"")</f>
        <v/>
      </c>
      <c r="J162" s="21">
        <f ca="1">IF(CALC2223!AY162&gt;1,INDIRECT(ADDRESS(MATCH(Agenda2526!C163,'CAL2'!A:A,0)+1,3,4,1,"CAL2")),0)</f>
        <v>0</v>
      </c>
      <c r="K162" s="20" t="str">
        <f ca="1">IF(CALC2223!AY162&gt;2,INDIRECT(ADDRESS(MATCH(Agenda2526!C163,'CAL2'!A:A,0)+2,2,4,1,"CAL2")),"")</f>
        <v/>
      </c>
      <c r="L162" s="21">
        <f ca="1">IF(CALC2223!AY162&gt;2,INDIRECT(ADDRESS(MATCH(Agenda2526!C163,'CAL2'!A:A,0)+2,3,4,1,"CAL2")),0)</f>
        <v>0</v>
      </c>
      <c r="M162" s="20" t="str">
        <f ca="1">IF(CALC2223!AZ162&gt;0,INDIRECT(ADDRESS(MATCH(Agenda2526!C163,'CAL3'!A:A,0),2,4,1,"CAL3")),"")</f>
        <v/>
      </c>
      <c r="N162" s="21">
        <f ca="1">IF(CALC2223!AZ162&gt;0,INDIRECT(ADDRESS(MATCH(Agenda2526!C163,'CAL3'!A:A,0),3,4,1,"CAL3")),0)</f>
        <v>0</v>
      </c>
      <c r="O162" s="20" t="str">
        <f ca="1">IF(CALC2223!AZ162&gt;1,INDIRECT(ADDRESS(MATCH(Agenda2526!C163,'CAL3'!A:A,0)+1,2,4,1,"CAL3")),"")</f>
        <v/>
      </c>
      <c r="P162" s="21">
        <f ca="1">IF(CALC2223!AZ162&gt;1,INDIRECT(ADDRESS(MATCH(Agenda2526!C163,'CAL3'!A:A,0)+1,3,4,1,"CAL3")),0)</f>
        <v>0</v>
      </c>
      <c r="Q162" s="20" t="str">
        <f ca="1">IF(CALC2223!AZ162&gt;2,INDIRECT(ADDRESS(MATCH(Agenda2526!C163,'CAL3'!A:A,0)+2,2,4,1,"CAL3")),"")</f>
        <v/>
      </c>
      <c r="R162" s="21">
        <f ca="1">IF(CALC2223!AZ162&gt;2,INDIRECT(ADDRESS(MATCH(Agenda2526!C163,'CAL3'!A:A,0)+2,3,4,1,"CAL3")),0)</f>
        <v>0</v>
      </c>
      <c r="S162" s="20" t="str">
        <f ca="1">IF(CALC2223!BA162&gt;0,INDIRECT(ADDRESS(MATCH(Agenda2526!C163,'CAL4'!A:A,0),2,4,1,"CAL4")),"")</f>
        <v/>
      </c>
      <c r="T162" s="21">
        <f ca="1">IF(CALC2223!BA162&gt;0,INDIRECT(ADDRESS(MATCH(Agenda2526!C163,'CAL4'!A:A,0),3,4,1,"CAL4")),0)</f>
        <v>0</v>
      </c>
      <c r="U162" s="20" t="str">
        <f ca="1">IF(CALC2223!BA162&gt;1,INDIRECT(ADDRESS(MATCH(Agenda2526!C163,'CAL4'!A:A,0)+1,2,4,1,"CAL4")),"")</f>
        <v/>
      </c>
      <c r="V162" s="21">
        <f ca="1">IF(CALC2223!BA162&gt;1,INDIRECT(ADDRESS(MATCH(Agenda2526!C163,'CAL4'!A:A,0)+1,3,4,1,"CAL4")),0)</f>
        <v>0</v>
      </c>
      <c r="W162" s="20" t="str">
        <f ca="1">IF(CALC2223!BA162&gt;2,INDIRECT(ADDRESS(MATCH(Agenda2526!C163,'CAL4'!A:A,0)+2,2,4,1,"CAL4")),"")</f>
        <v/>
      </c>
      <c r="X162" s="21">
        <f ca="1">IF(CALC2223!BA162&gt;2,INDIRECT(ADDRESS(MATCH(Agenda2526!C163,'CAL4'!A:A,0)+2,3,4,1,"CAL4")),0)</f>
        <v>0</v>
      </c>
      <c r="Y162" s="20" t="str">
        <f ca="1">IF(CALC2223!BB162&gt;0,INDIRECT(ADDRESS(MATCH(Agenda2526!C163,'CAL5'!A:A,0),2,4,1,"CAL5")),"")</f>
        <v/>
      </c>
      <c r="Z162" s="21">
        <f ca="1">IF(CALC2223!BB162&gt;0,INDIRECT(ADDRESS(MATCH(Agenda2526!C163,'CAL5'!A:A,0),3,4,1,"CAL5")),0)</f>
        <v>0</v>
      </c>
      <c r="AA162" s="20" t="str">
        <f ca="1">IF(CALC2223!BB162&gt;1,INDIRECT(ADDRESS(MATCH(Agenda2526!C163,'CAL5'!A:A,0)+1,2,4,1,"CAL5")),"")</f>
        <v/>
      </c>
      <c r="AB162" s="21">
        <f ca="1">IF(CALC2223!BB162&gt;1,INDIRECT(ADDRESS(MATCH(Agenda2526!C163,'CAL5'!A:A,0)+1,3,4,1,"CAL5")),0)</f>
        <v>0</v>
      </c>
      <c r="AC162" s="20" t="str">
        <f ca="1">IF(CALC2223!BB162&gt;2,INDIRECT(ADDRESS(MATCH(Agenda2526!C163,'CAL5'!A:A,0)+2,2,4,1,"CAL5")),"")</f>
        <v/>
      </c>
      <c r="AD162" s="21">
        <f ca="1">IF(CALC2223!BB162&gt;2,INDIRECT(ADDRESS(MATCH(Agenda2526!C163,'CAL5'!A:A,0)+2,3,4,1,"CAL5")),0)</f>
        <v>0</v>
      </c>
      <c r="AE162" s="20" t="str">
        <f ca="1">IF(CALC2223!BC162&gt;0,INDIRECT(ADDRESS(MATCH(Agenda2526!C163,'CAL6'!A:A,0),2,4,1,"CAL6")),"")</f>
        <v/>
      </c>
      <c r="AF162" s="21">
        <f ca="1">IF(CALC2223!BC162&gt;0,INDIRECT(ADDRESS(MATCH(Agenda2526!C163,'CAL6'!A:A,0),3,4,1,"CAL6")),0)</f>
        <v>0</v>
      </c>
      <c r="AG162" s="20" t="str">
        <f ca="1">IF(CALC2223!BC162&gt;1,INDIRECT(ADDRESS(MATCH(Agenda2526!C163,'CAL6'!A:A,0)+1,2,4,1,"CAL6")),"")</f>
        <v/>
      </c>
      <c r="AH162" s="21">
        <f ca="1">IF(CALC2223!BC162&gt;1,INDIRECT(ADDRESS(MATCH(Agenda2526!C163,'CAL6'!A:A,0)+1,3,4,1,"CAL6")),0)</f>
        <v>0</v>
      </c>
      <c r="AI162" s="20" t="str">
        <f ca="1">IF(CALC2223!BC162&gt;2,INDIRECT(ADDRESS(MATCH(Agenda2526!C163,'CAL6'!A:A,0)+2,2,4,1,"CAL6")),"")</f>
        <v/>
      </c>
      <c r="AJ162" s="21">
        <f ca="1">IF(CALC2223!BC162&gt;2,INDIRECT(ADDRESS(MATCH(Agenda2526!C163,'CAL6'!A:A,0)+2,3,4,1,"CAL6")),0)</f>
        <v>0</v>
      </c>
      <c r="AK162" s="20" t="str">
        <f ca="1">IF(CALC2223!BD162&gt;0,INDIRECT(ADDRESS(MATCH(Agenda2526!C163,'CAL7'!A:A,0),2,4,1,"CAL7")),"")</f>
        <v/>
      </c>
      <c r="AL162" s="21">
        <f ca="1">IF(CALC2223!BD162&gt;0,INDIRECT(ADDRESS(MATCH(Agenda2526!C163,'CAL7'!A:A,0),3,4,1,"CAL7")),0)</f>
        <v>0</v>
      </c>
      <c r="AM162" s="20" t="str">
        <f ca="1">IF(CALC2223!BD162&gt;1,INDIRECT(ADDRESS(MATCH(Agenda2526!C163,'CAL7'!A:A,0)+1,2,4,1,"CAL7")),"")</f>
        <v/>
      </c>
      <c r="AN162" s="21">
        <f ca="1">IF(CALC2223!BD162&gt;1,INDIRECT(ADDRESS(MATCH(Agenda2526!C163,'CAL7'!A:A,0)+1,3,4,1,"CAL7")),0)</f>
        <v>0</v>
      </c>
      <c r="AO162" s="20" t="str">
        <f ca="1">IF(CALC2223!BD162&gt;2,INDIRECT(ADDRESS(MATCH(Agenda2526!C163,'CAL7'!A:A,0)+2,2,4,1,"CAL7")),"")</f>
        <v/>
      </c>
      <c r="AP162" s="21">
        <f ca="1">IF(CALC2223!BD162&gt;2,INDIRECT(ADDRESS(MATCH(Agenda2526!C163,'CAL7'!A:A,0)+2,3,4,1,"CAL7")),0)</f>
        <v>0</v>
      </c>
      <c r="AQ162" s="20" t="str">
        <f ca="1">IF(CALC2223!BE162&gt;0,INDIRECT(ADDRESS(MATCH(Agenda2526!C163,'CAL8'!A:A,0),2,4,1,"CAL8")),"")</f>
        <v/>
      </c>
      <c r="AR162" s="21">
        <f ca="1">IF(CALC2223!BE162&gt;0,INDIRECT(ADDRESS(MATCH(Agenda2526!C163,'CAL8'!A:A,0),3,4,1,"CAL8")),0)</f>
        <v>0</v>
      </c>
      <c r="AS162" s="20" t="str">
        <f ca="1">IF(CALC2223!BE162&gt;1,INDIRECT(ADDRESS(MATCH(Agenda2526!C163,'CAL8'!A:A,0)+1,2,4,1,"CAL8")),"")</f>
        <v/>
      </c>
      <c r="AT162" s="21">
        <f ca="1">IF(CALC2223!BE162&gt;1,INDIRECT(ADDRESS(MATCH(Agenda2526!C163,'CAL8'!A:A,0)+1,3,4,1,"CAL8")),0)</f>
        <v>0</v>
      </c>
      <c r="AU162" s="20" t="str">
        <f ca="1">IF(CALC2223!BE162&gt;2,INDIRECT(ADDRESS(MATCH(Agenda2526!C163,'CAL8'!A:A,0)+2,2,4,1,"CAL8")),"")</f>
        <v/>
      </c>
      <c r="AV162" s="21">
        <f ca="1">IF(CALC2223!BE162&gt;2,INDIRECT(ADDRESS(MATCH(Agenda2526!C163,'CAL8'!A:A,0)+2,3,4,1,"CAL8")),0)</f>
        <v>0</v>
      </c>
      <c r="AW162" s="106"/>
      <c r="AX162" s="20">
        <f>COUNTIF('CAL1'!A:A,Agenda2526!C163)</f>
        <v>0</v>
      </c>
      <c r="AY162" s="20">
        <f>COUNTIF('CAL2'!A:A,Agenda2526!C163)</f>
        <v>0</v>
      </c>
      <c r="AZ162" s="20">
        <f>COUNTIF('CAL3'!A:A,Agenda2526!C163)</f>
        <v>0</v>
      </c>
      <c r="BA162" s="20">
        <f>COUNTIF('CAL4'!A:A,Agenda2526!C163)</f>
        <v>0</v>
      </c>
      <c r="BB162" s="20">
        <f>COUNTIF('CAL5'!A:A,Agenda2526!C163)</f>
        <v>0</v>
      </c>
      <c r="BC162" s="20">
        <f>COUNTIF('CAL6'!A:A,Agenda2526!C163)</f>
        <v>0</v>
      </c>
      <c r="BD162" s="20">
        <f>COUNTIF('CAL7'!A:A,Agenda2526!C163)</f>
        <v>0</v>
      </c>
      <c r="BE162" s="20">
        <f>COUNTIF('CAL8'!A:A,Agenda2526!C163)</f>
        <v>0</v>
      </c>
    </row>
    <row r="163" spans="1:57" ht="15.75" customHeight="1">
      <c r="A163" s="20" t="str">
        <f ca="1">IF(CALC2223!AX163&gt;0,INDIRECT(ADDRESS(MATCH(Agenda2526!C164,'CAL1'!A:A,0),2,4,1,"CAL1")),"")</f>
        <v/>
      </c>
      <c r="B163" s="21">
        <f ca="1">IF(CALC2223!AX163&gt;0,INDIRECT(ADDRESS(MATCH(Agenda2526!C164,'CAL1'!A:A,0),3,4,1,"CAL1")),0)</f>
        <v>0</v>
      </c>
      <c r="C163" s="20" t="str">
        <f ca="1">IF(CALC2223!AX163&gt;1,INDIRECT(ADDRESS(MATCH(Agenda2526!C164,'CAL1'!A:A,0)+1,2,4,1,"CAL1")),"")</f>
        <v/>
      </c>
      <c r="D163" s="21">
        <f ca="1">IF(CALC2223!AX163&gt;1,INDIRECT(ADDRESS(MATCH(Agenda2526!C164,'CAL1'!A:A,0)+1,3,4,1,"CAL1")),0)</f>
        <v>0</v>
      </c>
      <c r="E163" s="20" t="str">
        <f ca="1">IF(CALC2223!AX163&gt;2,INDIRECT(ADDRESS(MATCH(Agenda2526!C164,'CAL1'!A:A,0)+2,2,4,1,"CAL1")),"")</f>
        <v/>
      </c>
      <c r="F163" s="21">
        <f ca="1">IF(CALC2223!AX163&gt;2,INDIRECT(ADDRESS(MATCH(Agenda2526!C164,'CAL1'!A:A,0)+2,3,4,1,"CAL1")),0)</f>
        <v>0</v>
      </c>
      <c r="G163" s="20" t="str">
        <f ca="1">IF(CALC2223!AY163&gt;0,INDIRECT(ADDRESS(MATCH(Agenda2526!C164,'CAL2'!A:A,0),2,4,1,"CAL2")),"")</f>
        <v/>
      </c>
      <c r="H163" s="21">
        <f ca="1">IF(CALC2223!AY163&gt;0,INDIRECT(ADDRESS(MATCH(Agenda2526!C164,'CAL2'!A:A,0),3,4,1,"CAL2")),0)</f>
        <v>0</v>
      </c>
      <c r="I163" s="20" t="str">
        <f ca="1">IF(CALC2223!AY163&gt;1,INDIRECT(ADDRESS(MATCH(Agenda2526!C164,'CAL2'!A:A,0)+1,2,4,1,"CAL2")),"")</f>
        <v/>
      </c>
      <c r="J163" s="21">
        <f ca="1">IF(CALC2223!AY163&gt;1,INDIRECT(ADDRESS(MATCH(Agenda2526!C164,'CAL2'!A:A,0)+1,3,4,1,"CAL2")),0)</f>
        <v>0</v>
      </c>
      <c r="K163" s="20" t="str">
        <f ca="1">IF(CALC2223!AY163&gt;2,INDIRECT(ADDRESS(MATCH(Agenda2526!C164,'CAL2'!A:A,0)+2,2,4,1,"CAL2")),"")</f>
        <v/>
      </c>
      <c r="L163" s="21">
        <f ca="1">IF(CALC2223!AY163&gt;2,INDIRECT(ADDRESS(MATCH(Agenda2526!C164,'CAL2'!A:A,0)+2,3,4,1,"CAL2")),0)</f>
        <v>0</v>
      </c>
      <c r="M163" s="20" t="str">
        <f ca="1">IF(CALC2223!AZ163&gt;0,INDIRECT(ADDRESS(MATCH(Agenda2526!C164,'CAL3'!A:A,0),2,4,1,"CAL3")),"")</f>
        <v/>
      </c>
      <c r="N163" s="21">
        <f ca="1">IF(CALC2223!AZ163&gt;0,INDIRECT(ADDRESS(MATCH(Agenda2526!C164,'CAL3'!A:A,0),3,4,1,"CAL3")),0)</f>
        <v>0</v>
      </c>
      <c r="O163" s="20" t="str">
        <f ca="1">IF(CALC2223!AZ163&gt;1,INDIRECT(ADDRESS(MATCH(Agenda2526!C164,'CAL3'!A:A,0)+1,2,4,1,"CAL3")),"")</f>
        <v/>
      </c>
      <c r="P163" s="21">
        <f ca="1">IF(CALC2223!AZ163&gt;1,INDIRECT(ADDRESS(MATCH(Agenda2526!C164,'CAL3'!A:A,0)+1,3,4,1,"CAL3")),0)</f>
        <v>0</v>
      </c>
      <c r="Q163" s="20" t="str">
        <f ca="1">IF(CALC2223!AZ163&gt;2,INDIRECT(ADDRESS(MATCH(Agenda2526!C164,'CAL3'!A:A,0)+2,2,4,1,"CAL3")),"")</f>
        <v/>
      </c>
      <c r="R163" s="21">
        <f ca="1">IF(CALC2223!AZ163&gt;2,INDIRECT(ADDRESS(MATCH(Agenda2526!C164,'CAL3'!A:A,0)+2,3,4,1,"CAL3")),0)</f>
        <v>0</v>
      </c>
      <c r="S163" s="20" t="str">
        <f ca="1">IF(CALC2223!BA163&gt;0,INDIRECT(ADDRESS(MATCH(Agenda2526!C164,'CAL4'!A:A,0),2,4,1,"CAL4")),"")</f>
        <v>inh rep SK</v>
      </c>
      <c r="T163" s="21">
        <f ca="1">IF(CALC2223!BA163&gt;0,INDIRECT(ADDRESS(MATCH(Agenda2526!C164,'CAL4'!A:A,0),3,4,1,"CAL4")),0)</f>
        <v>45936</v>
      </c>
      <c r="U163" s="20" t="str">
        <f ca="1">IF(CALC2223!BA163&gt;1,INDIRECT(ADDRESS(MATCH(Agenda2526!C164,'CAL4'!A:A,0)+1,2,4,1,"CAL4")),"")</f>
        <v/>
      </c>
      <c r="V163" s="21">
        <f ca="1">IF(CALC2223!BA163&gt;1,INDIRECT(ADDRESS(MATCH(Agenda2526!C164,'CAL4'!A:A,0)+1,3,4,1,"CAL4")),0)</f>
        <v>0</v>
      </c>
      <c r="W163" s="20" t="str">
        <f ca="1">IF(CALC2223!BA163&gt;2,INDIRECT(ADDRESS(MATCH(Agenda2526!C164,'CAL4'!A:A,0)+2,2,4,1,"CAL4")),"")</f>
        <v/>
      </c>
      <c r="X163" s="21">
        <f ca="1">IF(CALC2223!BA163&gt;2,INDIRECT(ADDRESS(MATCH(Agenda2526!C164,'CAL4'!A:A,0)+2,3,4,1,"CAL4")),0)</f>
        <v>0</v>
      </c>
      <c r="Y163" s="20" t="str">
        <f ca="1">IF(CALC2223!BB163&gt;0,INDIRECT(ADDRESS(MATCH(Agenda2526!C164,'CAL5'!A:A,0),2,4,1,"CAL5")),"")</f>
        <v>SE AC</v>
      </c>
      <c r="Z163" s="21">
        <f ca="1">IF(CALC2223!BB163&gt;0,INDIRECT(ADDRESS(MATCH(Agenda2526!C164,'CAL5'!A:A,0),3,4,1,"CAL5")),0)</f>
        <v>45896</v>
      </c>
      <c r="AA163" s="20" t="str">
        <f ca="1">IF(CALC2223!BB163&gt;1,INDIRECT(ADDRESS(MATCH(Agenda2526!C164,'CAL5'!A:A,0)+1,2,4,1,"CAL5")),"")</f>
        <v>inh rep EN</v>
      </c>
      <c r="AB163" s="21">
        <f ca="1">IF(CALC2223!BB163&gt;1,INDIRECT(ADDRESS(MATCH(Agenda2526!C164,'CAL5'!A:A,0)+1,3,4,1,"CAL5")),0)</f>
        <v>45936</v>
      </c>
      <c r="AC163" s="20" t="str">
        <f ca="1">IF(CALC2223!BB163&gt;2,INDIRECT(ADDRESS(MATCH(Agenda2526!C164,'CAL5'!A:A,0)+2,2,4,1,"CAL5")),"")</f>
        <v/>
      </c>
      <c r="AD163" s="21">
        <f ca="1">IF(CALC2223!BB163&gt;2,INDIRECT(ADDRESS(MATCH(Agenda2526!C164,'CAL5'!A:A,0)+2,3,4,1,"CAL5")),0)</f>
        <v>0</v>
      </c>
      <c r="AE163" s="20" t="str">
        <f ca="1">IF(CALC2223!BC163&gt;0,INDIRECT(ADDRESS(MATCH(Agenda2526!C164,'CAL6'!A:A,0),2,4,1,"CAL6")),"")</f>
        <v/>
      </c>
      <c r="AF163" s="21">
        <f ca="1">IF(CALC2223!BC163&gt;0,INDIRECT(ADDRESS(MATCH(Agenda2526!C164,'CAL6'!A:A,0),3,4,1,"CAL6")),0)</f>
        <v>0</v>
      </c>
      <c r="AG163" s="20" t="str">
        <f ca="1">IF(CALC2223!BC163&gt;1,INDIRECT(ADDRESS(MATCH(Agenda2526!C164,'CAL6'!A:A,0)+1,2,4,1,"CAL6")),"")</f>
        <v/>
      </c>
      <c r="AH163" s="21">
        <f ca="1">IF(CALC2223!BC163&gt;1,INDIRECT(ADDRESS(MATCH(Agenda2526!C164,'CAL6'!A:A,0)+1,3,4,1,"CAL6")),0)</f>
        <v>0</v>
      </c>
      <c r="AI163" s="20" t="str">
        <f ca="1">IF(CALC2223!BC163&gt;2,INDIRECT(ADDRESS(MATCH(Agenda2526!C164,'CAL6'!A:A,0)+2,2,4,1,"CAL6")),"")</f>
        <v/>
      </c>
      <c r="AJ163" s="21">
        <f ca="1">IF(CALC2223!BC163&gt;2,INDIRECT(ADDRESS(MATCH(Agenda2526!C164,'CAL6'!A:A,0)+2,3,4,1,"CAL6")),0)</f>
        <v>0</v>
      </c>
      <c r="AK163" s="20" t="str">
        <f ca="1">IF(CALC2223!BD163&gt;0,INDIRECT(ADDRESS(MATCH(Agenda2526!C164,'CAL7'!A:A,0),2,4,1,"CAL7")),"")</f>
        <v/>
      </c>
      <c r="AL163" s="21">
        <f ca="1">IF(CALC2223!BD163&gt;0,INDIRECT(ADDRESS(MATCH(Agenda2526!C164,'CAL7'!A:A,0),3,4,1,"CAL7")),0)</f>
        <v>0</v>
      </c>
      <c r="AM163" s="20" t="str">
        <f ca="1">IF(CALC2223!BD163&gt;1,INDIRECT(ADDRESS(MATCH(Agenda2526!C164,'CAL7'!A:A,0)+1,2,4,1,"CAL7")),"")</f>
        <v/>
      </c>
      <c r="AN163" s="21">
        <f ca="1">IF(CALC2223!BD163&gt;1,INDIRECT(ADDRESS(MATCH(Agenda2526!C164,'CAL7'!A:A,0)+1,3,4,1,"CAL7")),0)</f>
        <v>0</v>
      </c>
      <c r="AO163" s="20" t="str">
        <f ca="1">IF(CALC2223!BD163&gt;2,INDIRECT(ADDRESS(MATCH(Agenda2526!C164,'CAL7'!A:A,0)+2,2,4,1,"CAL7")),"")</f>
        <v/>
      </c>
      <c r="AP163" s="21">
        <f ca="1">IF(CALC2223!BD163&gt;2,INDIRECT(ADDRESS(MATCH(Agenda2526!C164,'CAL7'!A:A,0)+2,3,4,1,"CAL7")),0)</f>
        <v>0</v>
      </c>
      <c r="AQ163" s="20" t="str">
        <f ca="1">IF(CALC2223!BE163&gt;0,INDIRECT(ADDRESS(MATCH(Agenda2526!C164,'CAL8'!A:A,0),2,4,1,"CAL8")),"")</f>
        <v/>
      </c>
      <c r="AR163" s="21">
        <f ca="1">IF(CALC2223!BE163&gt;0,INDIRECT(ADDRESS(MATCH(Agenda2526!C164,'CAL8'!A:A,0),3,4,1,"CAL8")),0)</f>
        <v>0</v>
      </c>
      <c r="AS163" s="20" t="str">
        <f ca="1">IF(CALC2223!BE163&gt;1,INDIRECT(ADDRESS(MATCH(Agenda2526!C164,'CAL8'!A:A,0)+1,2,4,1,"CAL8")),"")</f>
        <v/>
      </c>
      <c r="AT163" s="21">
        <f ca="1">IF(CALC2223!BE163&gt;1,INDIRECT(ADDRESS(MATCH(Agenda2526!C164,'CAL8'!A:A,0)+1,3,4,1,"CAL8")),0)</f>
        <v>0</v>
      </c>
      <c r="AU163" s="20" t="str">
        <f ca="1">IF(CALC2223!BE163&gt;2,INDIRECT(ADDRESS(MATCH(Agenda2526!C164,'CAL8'!A:A,0)+2,2,4,1,"CAL8")),"")</f>
        <v/>
      </c>
      <c r="AV163" s="21">
        <f ca="1">IF(CALC2223!BE163&gt;2,INDIRECT(ADDRESS(MATCH(Agenda2526!C164,'CAL8'!A:A,0)+2,3,4,1,"CAL8")),0)</f>
        <v>0</v>
      </c>
      <c r="AW163" s="105"/>
      <c r="AX163" s="20">
        <f>COUNTIF('CAL1'!A:A,Agenda2526!C164)</f>
        <v>0</v>
      </c>
      <c r="AY163" s="20">
        <f>COUNTIF('CAL2'!A:A,Agenda2526!C164)</f>
        <v>0</v>
      </c>
      <c r="AZ163" s="20">
        <f>COUNTIF('CAL3'!A:A,Agenda2526!C164)</f>
        <v>0</v>
      </c>
      <c r="BA163" s="20">
        <f>COUNTIF('CAL4'!A:A,Agenda2526!C164)</f>
        <v>1</v>
      </c>
      <c r="BB163" s="20">
        <f>COUNTIF('CAL5'!A:A,Agenda2526!C164)</f>
        <v>2</v>
      </c>
      <c r="BC163" s="20">
        <f>COUNTIF('CAL6'!A:A,Agenda2526!C164)</f>
        <v>0</v>
      </c>
      <c r="BD163" s="20">
        <f>COUNTIF('CAL7'!A:A,Agenda2526!C164)</f>
        <v>0</v>
      </c>
      <c r="BE163" s="20">
        <f>COUNTIF('CAL8'!A:A,Agenda2526!C164)</f>
        <v>0</v>
      </c>
    </row>
    <row r="164" spans="1:57" ht="15.75" customHeight="1">
      <c r="A164" s="20" t="str">
        <f ca="1">IF(CALC2223!AX164&gt;0,INDIRECT(ADDRESS(MATCH(Agenda2526!C165,'CAL1'!A:A,0),2,4,1,"CAL1")),"")</f>
        <v/>
      </c>
      <c r="B164" s="21">
        <f ca="1">IF(CALC2223!AX164&gt;0,INDIRECT(ADDRESS(MATCH(Agenda2526!C165,'CAL1'!A:A,0),3,4,1,"CAL1")),0)</f>
        <v>0</v>
      </c>
      <c r="C164" s="20" t="str">
        <f ca="1">IF(CALC2223!AX164&gt;1,INDIRECT(ADDRESS(MATCH(Agenda2526!C165,'CAL1'!A:A,0)+1,2,4,1,"CAL1")),"")</f>
        <v/>
      </c>
      <c r="D164" s="21">
        <f ca="1">IF(CALC2223!AX164&gt;1,INDIRECT(ADDRESS(MATCH(Agenda2526!C165,'CAL1'!A:A,0)+1,3,4,1,"CAL1")),0)</f>
        <v>0</v>
      </c>
      <c r="E164" s="20" t="str">
        <f ca="1">IF(CALC2223!AX164&gt;2,INDIRECT(ADDRESS(MATCH(Agenda2526!C165,'CAL1'!A:A,0)+2,2,4,1,"CAL1")),"")</f>
        <v/>
      </c>
      <c r="F164" s="21">
        <f ca="1">IF(CALC2223!AX164&gt;2,INDIRECT(ADDRESS(MATCH(Agenda2526!C165,'CAL1'!A:A,0)+2,3,4,1,"CAL1")),0)</f>
        <v>0</v>
      </c>
      <c r="G164" s="20" t="str">
        <f ca="1">IF(CALC2223!AY164&gt;0,INDIRECT(ADDRESS(MATCH(Agenda2526!C165,'CAL2'!A:A,0),2,4,1,"CAL2")),"")</f>
        <v/>
      </c>
      <c r="H164" s="21">
        <f ca="1">IF(CALC2223!AY164&gt;0,INDIRECT(ADDRESS(MATCH(Agenda2526!C165,'CAL2'!A:A,0),3,4,1,"CAL2")),0)</f>
        <v>0</v>
      </c>
      <c r="I164" s="20" t="str">
        <f ca="1">IF(CALC2223!AY164&gt;1,INDIRECT(ADDRESS(MATCH(Agenda2526!C165,'CAL2'!A:A,0)+1,2,4,1,"CAL2")),"")</f>
        <v/>
      </c>
      <c r="J164" s="21">
        <f ca="1">IF(CALC2223!AY164&gt;1,INDIRECT(ADDRESS(MATCH(Agenda2526!C165,'CAL2'!A:A,0)+1,3,4,1,"CAL2")),0)</f>
        <v>0</v>
      </c>
      <c r="K164" s="20" t="str">
        <f ca="1">IF(CALC2223!AY164&gt;2,INDIRECT(ADDRESS(MATCH(Agenda2526!C165,'CAL2'!A:A,0)+2,2,4,1,"CAL2")),"")</f>
        <v/>
      </c>
      <c r="L164" s="21">
        <f ca="1">IF(CALC2223!AY164&gt;2,INDIRECT(ADDRESS(MATCH(Agenda2526!C165,'CAL2'!A:A,0)+2,3,4,1,"CAL2")),0)</f>
        <v>0</v>
      </c>
      <c r="M164" s="20" t="str">
        <f ca="1">IF(CALC2223!AZ164&gt;0,INDIRECT(ADDRESS(MATCH(Agenda2526!C165,'CAL3'!A:A,0),2,4,1,"CAL3")),"")</f>
        <v>start voorlopige profielkeuze</v>
      </c>
      <c r="N164" s="21">
        <f ca="1">IF(CALC2223!AZ164&gt;0,INDIRECT(ADDRESS(MATCH(Agenda2526!C165,'CAL3'!A:A,0),3,4,1,"CAL3")),0)</f>
        <v>45912</v>
      </c>
      <c r="O164" s="20" t="str">
        <f ca="1">IF(CALC2223!AZ164&gt;1,INDIRECT(ADDRESS(MATCH(Agenda2526!C165,'CAL3'!A:A,0)+1,2,4,1,"CAL3")),"")</f>
        <v/>
      </c>
      <c r="P164" s="21">
        <f ca="1">IF(CALC2223!AZ164&gt;1,INDIRECT(ADDRESS(MATCH(Agenda2526!C165,'CAL3'!A:A,0)+1,3,4,1,"CAL3")),0)</f>
        <v>0</v>
      </c>
      <c r="Q164" s="20" t="str">
        <f ca="1">IF(CALC2223!AZ164&gt;2,INDIRECT(ADDRESS(MATCH(Agenda2526!C165,'CAL3'!A:A,0)+2,2,4,1,"CAL3")),"")</f>
        <v/>
      </c>
      <c r="R164" s="21">
        <f ca="1">IF(CALC2223!AZ164&gt;2,INDIRECT(ADDRESS(MATCH(Agenda2526!C165,'CAL3'!A:A,0)+2,3,4,1,"CAL3")),0)</f>
        <v>0</v>
      </c>
      <c r="S164" s="20" t="str">
        <f ca="1">IF(CALC2223!BA164&gt;0,INDIRECT(ADDRESS(MATCH(Agenda2526!C165,'CAL4'!A:A,0),2,4,1,"CAL4")),"")</f>
        <v>rep na</v>
      </c>
      <c r="T164" s="21">
        <f ca="1">IF(CALC2223!BA164&gt;0,INDIRECT(ADDRESS(MATCH(Agenda2526!C165,'CAL4'!A:A,0),3,4,1,"CAL4")),0)</f>
        <v>45996</v>
      </c>
      <c r="U164" s="20" t="str">
        <f ca="1">IF(CALC2223!BA164&gt;1,INDIRECT(ADDRESS(MATCH(Agenda2526!C165,'CAL4'!A:A,0)+1,2,4,1,"CAL4")),"")</f>
        <v/>
      </c>
      <c r="V164" s="21">
        <f ca="1">IF(CALC2223!BA164&gt;1,INDIRECT(ADDRESS(MATCH(Agenda2526!C165,'CAL4'!A:A,0)+1,3,4,1,"CAL4")),0)</f>
        <v>0</v>
      </c>
      <c r="W164" s="20" t="str">
        <f ca="1">IF(CALC2223!BA164&gt;2,INDIRECT(ADDRESS(MATCH(Agenda2526!C165,'CAL4'!A:A,0)+2,2,4,1,"CAL4")),"")</f>
        <v/>
      </c>
      <c r="X164" s="21">
        <f ca="1">IF(CALC2223!BA164&gt;2,INDIRECT(ADDRESS(MATCH(Agenda2526!C165,'CAL4'!A:A,0)+2,3,4,1,"CAL4")),0)</f>
        <v>0</v>
      </c>
      <c r="Y164" s="20" t="str">
        <f ca="1">IF(CALC2223!BB164&gt;0,INDIRECT(ADDRESS(MATCH(Agenda2526!C165,'CAL5'!A:A,0),2,4,1,"CAL5")),"")</f>
        <v/>
      </c>
      <c r="Z164" s="21">
        <f ca="1">IF(CALC2223!BB164&gt;0,INDIRECT(ADDRESS(MATCH(Agenda2526!C165,'CAL5'!A:A,0),3,4,1,"CAL5")),0)</f>
        <v>0</v>
      </c>
      <c r="AA164" s="20" t="str">
        <f ca="1">IF(CALC2223!BB164&gt;1,INDIRECT(ADDRESS(MATCH(Agenda2526!C165,'CAL5'!A:A,0)+1,2,4,1,"CAL5")),"")</f>
        <v/>
      </c>
      <c r="AB164" s="21">
        <f ca="1">IF(CALC2223!BB164&gt;1,INDIRECT(ADDRESS(MATCH(Agenda2526!C165,'CAL5'!A:A,0)+1,3,4,1,"CAL5")),0)</f>
        <v>0</v>
      </c>
      <c r="AC164" s="20" t="str">
        <f ca="1">IF(CALC2223!BB164&gt;2,INDIRECT(ADDRESS(MATCH(Agenda2526!C165,'CAL5'!A:A,0)+2,2,4,1,"CAL5")),"")</f>
        <v/>
      </c>
      <c r="AD164" s="21">
        <f ca="1">IF(CALC2223!BB164&gt;2,INDIRECT(ADDRESS(MATCH(Agenda2526!C165,'CAL5'!A:A,0)+2,3,4,1,"CAL5")),0)</f>
        <v>0</v>
      </c>
      <c r="AE164" s="20" t="str">
        <f ca="1">IF(CALC2223!BC164&gt;0,INDIRECT(ADDRESS(MATCH(Agenda2526!C165,'CAL6'!A:A,0),2,4,1,"CAL6")),"")</f>
        <v/>
      </c>
      <c r="AF164" s="21">
        <f ca="1">IF(CALC2223!BC164&gt;0,INDIRECT(ADDRESS(MATCH(Agenda2526!C165,'CAL6'!A:A,0),3,4,1,"CAL6")),0)</f>
        <v>0</v>
      </c>
      <c r="AG164" s="20" t="str">
        <f ca="1">IF(CALC2223!BC164&gt;1,INDIRECT(ADDRESS(MATCH(Agenda2526!C165,'CAL6'!A:A,0)+1,2,4,1,"CAL6")),"")</f>
        <v/>
      </c>
      <c r="AH164" s="21">
        <f ca="1">IF(CALC2223!BC164&gt;1,INDIRECT(ADDRESS(MATCH(Agenda2526!C165,'CAL6'!A:A,0)+1,3,4,1,"CAL6")),0)</f>
        <v>0</v>
      </c>
      <c r="AI164" s="20" t="str">
        <f ca="1">IF(CALC2223!BC164&gt;2,INDIRECT(ADDRESS(MATCH(Agenda2526!C165,'CAL6'!A:A,0)+2,2,4,1,"CAL6")),"")</f>
        <v/>
      </c>
      <c r="AJ164" s="21">
        <f ca="1">IF(CALC2223!BC164&gt;2,INDIRECT(ADDRESS(MATCH(Agenda2526!C165,'CAL6'!A:A,0)+2,3,4,1,"CAL6")),0)</f>
        <v>0</v>
      </c>
      <c r="AK164" s="20" t="str">
        <f ca="1">IF(CALC2223!BD164&gt;0,INDIRECT(ADDRESS(MATCH(Agenda2526!C165,'CAL7'!A:A,0),2,4,1,"CAL7")),"")</f>
        <v/>
      </c>
      <c r="AL164" s="21">
        <f ca="1">IF(CALC2223!BD164&gt;0,INDIRECT(ADDRESS(MATCH(Agenda2526!C165,'CAL7'!A:A,0),3,4,1,"CAL7")),0)</f>
        <v>0</v>
      </c>
      <c r="AM164" s="20" t="str">
        <f ca="1">IF(CALC2223!BD164&gt;1,INDIRECT(ADDRESS(MATCH(Agenda2526!C165,'CAL7'!A:A,0)+1,2,4,1,"CAL7")),"")</f>
        <v/>
      </c>
      <c r="AN164" s="21">
        <f ca="1">IF(CALC2223!BD164&gt;1,INDIRECT(ADDRESS(MATCH(Agenda2526!C165,'CAL7'!A:A,0)+1,3,4,1,"CAL7")),0)</f>
        <v>0</v>
      </c>
      <c r="AO164" s="20" t="str">
        <f ca="1">IF(CALC2223!BD164&gt;2,INDIRECT(ADDRESS(MATCH(Agenda2526!C165,'CAL7'!A:A,0)+2,2,4,1,"CAL7")),"")</f>
        <v/>
      </c>
      <c r="AP164" s="21">
        <f ca="1">IF(CALC2223!BD164&gt;2,INDIRECT(ADDRESS(MATCH(Agenda2526!C165,'CAL7'!A:A,0)+2,3,4,1,"CAL7")),0)</f>
        <v>0</v>
      </c>
      <c r="AQ164" s="20" t="str">
        <f ca="1">IF(CALC2223!BE164&gt;0,INDIRECT(ADDRESS(MATCH(Agenda2526!C165,'CAL8'!A:A,0),2,4,1,"CAL8")),"")</f>
        <v/>
      </c>
      <c r="AR164" s="21">
        <f ca="1">IF(CALC2223!BE164&gt;0,INDIRECT(ADDRESS(MATCH(Agenda2526!C165,'CAL8'!A:A,0),3,4,1,"CAL8")),0)</f>
        <v>0</v>
      </c>
      <c r="AS164" s="20" t="str">
        <f ca="1">IF(CALC2223!BE164&gt;1,INDIRECT(ADDRESS(MATCH(Agenda2526!C165,'CAL8'!A:A,0)+1,2,4,1,"CAL8")),"")</f>
        <v/>
      </c>
      <c r="AT164" s="21">
        <f ca="1">IF(CALC2223!BE164&gt;1,INDIRECT(ADDRESS(MATCH(Agenda2526!C165,'CAL8'!A:A,0)+1,3,4,1,"CAL8")),0)</f>
        <v>0</v>
      </c>
      <c r="AU164" s="20" t="str">
        <f ca="1">IF(CALC2223!BE164&gt;2,INDIRECT(ADDRESS(MATCH(Agenda2526!C165,'CAL8'!A:A,0)+2,2,4,1,"CAL8")),"")</f>
        <v/>
      </c>
      <c r="AV164" s="21">
        <f ca="1">IF(CALC2223!BE164&gt;2,INDIRECT(ADDRESS(MATCH(Agenda2526!C165,'CAL8'!A:A,0)+2,3,4,1,"CAL8")),0)</f>
        <v>0</v>
      </c>
      <c r="AW164" s="105"/>
      <c r="AX164" s="20">
        <f>COUNTIF('CAL1'!A:A,Agenda2526!C165)</f>
        <v>0</v>
      </c>
      <c r="AY164" s="20">
        <f>COUNTIF('CAL2'!A:A,Agenda2526!C165)</f>
        <v>0</v>
      </c>
      <c r="AZ164" s="20">
        <f>COUNTIF('CAL3'!A:A,Agenda2526!C165)</f>
        <v>1</v>
      </c>
      <c r="BA164" s="20">
        <f>COUNTIF('CAL4'!A:A,Agenda2526!C165)</f>
        <v>1</v>
      </c>
      <c r="BB164" s="20">
        <f>COUNTIF('CAL5'!A:A,Agenda2526!C165)</f>
        <v>0</v>
      </c>
      <c r="BC164" s="20">
        <f>COUNTIF('CAL6'!A:A,Agenda2526!C165)</f>
        <v>0</v>
      </c>
      <c r="BD164" s="20">
        <f>COUNTIF('CAL7'!A:A,Agenda2526!C165)</f>
        <v>0</v>
      </c>
      <c r="BE164" s="20">
        <f>COUNTIF('CAL8'!A:A,Agenda2526!C165)</f>
        <v>0</v>
      </c>
    </row>
    <row r="165" spans="1:57" ht="15.75" customHeight="1">
      <c r="A165" s="20" t="str">
        <f ca="1">IF(CALC2223!AX165&gt;0,INDIRECT(ADDRESS(MATCH(Agenda2526!C166,'CAL1'!A:A,0),2,4,1,"CAL1")),"")</f>
        <v>Rep EN</v>
      </c>
      <c r="B165" s="21">
        <f ca="1">IF(CALC2223!AX165&gt;0,INDIRECT(ADDRESS(MATCH(Agenda2526!C166,'CAL1'!A:A,0),3,4,1,"CAL1")),0)</f>
        <v>45901</v>
      </c>
      <c r="C165" s="20" t="str">
        <f ca="1">IF(CALC2223!AX165&gt;1,INDIRECT(ADDRESS(MATCH(Agenda2526!C166,'CAL1'!A:A,0)+1,2,4,1,"CAL1")),"")</f>
        <v/>
      </c>
      <c r="D165" s="21">
        <f ca="1">IF(CALC2223!AX165&gt;1,INDIRECT(ADDRESS(MATCH(Agenda2526!C166,'CAL1'!A:A,0)+1,3,4,1,"CAL1")),0)</f>
        <v>0</v>
      </c>
      <c r="E165" s="20" t="str">
        <f ca="1">IF(CALC2223!AX165&gt;2,INDIRECT(ADDRESS(MATCH(Agenda2526!C166,'CAL1'!A:A,0)+2,2,4,1,"CAL1")),"")</f>
        <v/>
      </c>
      <c r="F165" s="21">
        <f ca="1">IF(CALC2223!AX165&gt;2,INDIRECT(ADDRESS(MATCH(Agenda2526!C166,'CAL1'!A:A,0)+2,3,4,1,"CAL1")),0)</f>
        <v>0</v>
      </c>
      <c r="G165" s="20" t="str">
        <f ca="1">IF(CALC2223!AY165&gt;0,INDIRECT(ADDRESS(MATCH(Agenda2526!C166,'CAL2'!A:A,0),2,4,1,"CAL2")),"")</f>
        <v/>
      </c>
      <c r="H165" s="21">
        <f ca="1">IF(CALC2223!AY165&gt;0,INDIRECT(ADDRESS(MATCH(Agenda2526!C166,'CAL2'!A:A,0),3,4,1,"CAL2")),0)</f>
        <v>0</v>
      </c>
      <c r="I165" s="20" t="str">
        <f ca="1">IF(CALC2223!AY165&gt;1,INDIRECT(ADDRESS(MATCH(Agenda2526!C166,'CAL2'!A:A,0)+1,2,4,1,"CAL2")),"")</f>
        <v/>
      </c>
      <c r="J165" s="21">
        <f ca="1">IF(CALC2223!AY165&gt;1,INDIRECT(ADDRESS(MATCH(Agenda2526!C166,'CAL2'!A:A,0)+1,3,4,1,"CAL2")),0)</f>
        <v>0</v>
      </c>
      <c r="K165" s="20" t="str">
        <f ca="1">IF(CALC2223!AY165&gt;2,INDIRECT(ADDRESS(MATCH(Agenda2526!C166,'CAL2'!A:A,0)+2,2,4,1,"CAL2")),"")</f>
        <v/>
      </c>
      <c r="L165" s="21">
        <f ca="1">IF(CALC2223!AY165&gt;2,INDIRECT(ADDRESS(MATCH(Agenda2526!C166,'CAL2'!A:A,0)+2,3,4,1,"CAL2")),0)</f>
        <v>0</v>
      </c>
      <c r="M165" s="20" t="str">
        <f ca="1">IF(CALC2223!AZ165&gt;0,INDIRECT(ADDRESS(MATCH(Agenda2526!C166,'CAL3'!A:A,0),2,4,1,"CAL3")),"")</f>
        <v/>
      </c>
      <c r="N165" s="21">
        <f ca="1">IF(CALC2223!AZ165&gt;0,INDIRECT(ADDRESS(MATCH(Agenda2526!C166,'CAL3'!A:A,0),3,4,1,"CAL3")),0)</f>
        <v>0</v>
      </c>
      <c r="O165" s="20" t="str">
        <f ca="1">IF(CALC2223!AZ165&gt;1,INDIRECT(ADDRESS(MATCH(Agenda2526!C166,'CAL3'!A:A,0)+1,2,4,1,"CAL3")),"")</f>
        <v/>
      </c>
      <c r="P165" s="21">
        <f ca="1">IF(CALC2223!AZ165&gt;1,INDIRECT(ADDRESS(MATCH(Agenda2526!C166,'CAL3'!A:A,0)+1,3,4,1,"CAL3")),0)</f>
        <v>0</v>
      </c>
      <c r="Q165" s="20" t="str">
        <f ca="1">IF(CALC2223!AZ165&gt;2,INDIRECT(ADDRESS(MATCH(Agenda2526!C166,'CAL3'!A:A,0)+2,2,4,1,"CAL3")),"")</f>
        <v/>
      </c>
      <c r="R165" s="21">
        <f ca="1">IF(CALC2223!AZ165&gt;2,INDIRECT(ADDRESS(MATCH(Agenda2526!C166,'CAL3'!A:A,0)+2,3,4,1,"CAL3")),0)</f>
        <v>0</v>
      </c>
      <c r="S165" s="20" t="str">
        <f ca="1">IF(CALC2223!BA165&gt;0,INDIRECT(ADDRESS(MATCH(Agenda2526!C166,'CAL4'!A:A,0),2,4,1,"CAL4")),"")</f>
        <v/>
      </c>
      <c r="T165" s="21">
        <f ca="1">IF(CALC2223!BA165&gt;0,INDIRECT(ADDRESS(MATCH(Agenda2526!C166,'CAL4'!A:A,0),3,4,1,"CAL4")),0)</f>
        <v>0</v>
      </c>
      <c r="U165" s="20" t="str">
        <f ca="1">IF(CALC2223!BA165&gt;1,INDIRECT(ADDRESS(MATCH(Agenda2526!C166,'CAL4'!A:A,0)+1,2,4,1,"CAL4")),"")</f>
        <v/>
      </c>
      <c r="V165" s="21">
        <f ca="1">IF(CALC2223!BA165&gt;1,INDIRECT(ADDRESS(MATCH(Agenda2526!C166,'CAL4'!A:A,0)+1,3,4,1,"CAL4")),0)</f>
        <v>0</v>
      </c>
      <c r="W165" s="20" t="str">
        <f ca="1">IF(CALC2223!BA165&gt;2,INDIRECT(ADDRESS(MATCH(Agenda2526!C166,'CAL4'!A:A,0)+2,2,4,1,"CAL4")),"")</f>
        <v/>
      </c>
      <c r="X165" s="21">
        <f ca="1">IF(CALC2223!BA165&gt;2,INDIRECT(ADDRESS(MATCH(Agenda2526!C166,'CAL4'!A:A,0)+2,3,4,1,"CAL4")),0)</f>
        <v>0</v>
      </c>
      <c r="Y165" s="20" t="str">
        <f ca="1">IF(CALC2223!BB165&gt;0,INDIRECT(ADDRESS(MATCH(Agenda2526!C166,'CAL5'!A:A,0),2,4,1,"CAL5")),"")</f>
        <v>SE MAAT</v>
      </c>
      <c r="Z165" s="21">
        <f ca="1">IF(CALC2223!BB165&gt;0,INDIRECT(ADDRESS(MATCH(Agenda2526!C166,'CAL5'!A:A,0),3,4,1,"CAL5")),0)</f>
        <v>45896</v>
      </c>
      <c r="AA165" s="20" t="str">
        <f ca="1">IF(CALC2223!BB165&gt;1,INDIRECT(ADDRESS(MATCH(Agenda2526!C166,'CAL5'!A:A,0)+1,2,4,1,"CAL5")),"")</f>
        <v/>
      </c>
      <c r="AB165" s="21">
        <f ca="1">IF(CALC2223!BB165&gt;1,INDIRECT(ADDRESS(MATCH(Agenda2526!C166,'CAL5'!A:A,0)+1,3,4,1,"CAL5")),0)</f>
        <v>0</v>
      </c>
      <c r="AC165" s="20" t="str">
        <f ca="1">IF(CALC2223!BB165&gt;2,INDIRECT(ADDRESS(MATCH(Agenda2526!C166,'CAL5'!A:A,0)+2,2,4,1,"CAL5")),"")</f>
        <v/>
      </c>
      <c r="AD165" s="21">
        <f ca="1">IF(CALC2223!BB165&gt;2,INDIRECT(ADDRESS(MATCH(Agenda2526!C166,'CAL5'!A:A,0)+2,3,4,1,"CAL5")),0)</f>
        <v>0</v>
      </c>
      <c r="AE165" s="20" t="str">
        <f ca="1">IF(CALC2223!BC165&gt;0,INDIRECT(ADDRESS(MATCH(Agenda2526!C166,'CAL6'!A:A,0),2,4,1,"CAL6")),"")</f>
        <v>korte filmfestival</v>
      </c>
      <c r="AF165" s="21">
        <f ca="1">IF(CALC2223!BC165&gt;0,INDIRECT(ADDRESS(MATCH(Agenda2526!C166,'CAL6'!A:A,0),3,4,1,"CAL6")),0)</f>
        <v>46052</v>
      </c>
      <c r="AG165" s="20" t="str">
        <f ca="1">IF(CALC2223!BC165&gt;1,INDIRECT(ADDRESS(MATCH(Agenda2526!C166,'CAL6'!A:A,0)+1,2,4,1,"CAL6")),"")</f>
        <v/>
      </c>
      <c r="AH165" s="21">
        <f ca="1">IF(CALC2223!BC165&gt;1,INDIRECT(ADDRESS(MATCH(Agenda2526!C166,'CAL6'!A:A,0)+1,3,4,1,"CAL6")),0)</f>
        <v>0</v>
      </c>
      <c r="AI165" s="20" t="str">
        <f ca="1">IF(CALC2223!BC165&gt;2,INDIRECT(ADDRESS(MATCH(Agenda2526!C166,'CAL6'!A:A,0)+2,2,4,1,"CAL6")),"")</f>
        <v/>
      </c>
      <c r="AJ165" s="21">
        <f ca="1">IF(CALC2223!BC165&gt;2,INDIRECT(ADDRESS(MATCH(Agenda2526!C166,'CAL6'!A:A,0)+2,3,4,1,"CAL6")),0)</f>
        <v>0</v>
      </c>
      <c r="AK165" s="20" t="str">
        <f ca="1">IF(CALC2223!BD165&gt;0,INDIRECT(ADDRESS(MATCH(Agenda2526!C166,'CAL7'!A:A,0),2,4,1,"CAL7")),"")</f>
        <v/>
      </c>
      <c r="AL165" s="21">
        <f ca="1">IF(CALC2223!BD165&gt;0,INDIRECT(ADDRESS(MATCH(Agenda2526!C166,'CAL7'!A:A,0),3,4,1,"CAL7")),0)</f>
        <v>0</v>
      </c>
      <c r="AM165" s="20" t="str">
        <f ca="1">IF(CALC2223!BD165&gt;1,INDIRECT(ADDRESS(MATCH(Agenda2526!C166,'CAL7'!A:A,0)+1,2,4,1,"CAL7")),"")</f>
        <v/>
      </c>
      <c r="AN165" s="21">
        <f ca="1">IF(CALC2223!BD165&gt;1,INDIRECT(ADDRESS(MATCH(Agenda2526!C166,'CAL7'!A:A,0)+1,3,4,1,"CAL7")),0)</f>
        <v>0</v>
      </c>
      <c r="AO165" s="20" t="str">
        <f ca="1">IF(CALC2223!BD165&gt;2,INDIRECT(ADDRESS(MATCH(Agenda2526!C166,'CAL7'!A:A,0)+2,2,4,1,"CAL7")),"")</f>
        <v/>
      </c>
      <c r="AP165" s="21">
        <f ca="1">IF(CALC2223!BD165&gt;2,INDIRECT(ADDRESS(MATCH(Agenda2526!C166,'CAL7'!A:A,0)+2,3,4,1,"CAL7")),0)</f>
        <v>0</v>
      </c>
      <c r="AQ165" s="20" t="str">
        <f ca="1">IF(CALC2223!BE165&gt;0,INDIRECT(ADDRESS(MATCH(Agenda2526!C166,'CAL8'!A:A,0),2,4,1,"CAL8")),"")</f>
        <v/>
      </c>
      <c r="AR165" s="21">
        <f ca="1">IF(CALC2223!BE165&gt;0,INDIRECT(ADDRESS(MATCH(Agenda2526!C166,'CAL8'!A:A,0),3,4,1,"CAL8")),0)</f>
        <v>0</v>
      </c>
      <c r="AS165" s="20" t="str">
        <f ca="1">IF(CALC2223!BE165&gt;1,INDIRECT(ADDRESS(MATCH(Agenda2526!C166,'CAL8'!A:A,0)+1,2,4,1,"CAL8")),"")</f>
        <v/>
      </c>
      <c r="AT165" s="21">
        <f ca="1">IF(CALC2223!BE165&gt;1,INDIRECT(ADDRESS(MATCH(Agenda2526!C166,'CAL8'!A:A,0)+1,3,4,1,"CAL8")),0)</f>
        <v>0</v>
      </c>
      <c r="AU165" s="20" t="str">
        <f ca="1">IF(CALC2223!BE165&gt;2,INDIRECT(ADDRESS(MATCH(Agenda2526!C166,'CAL8'!A:A,0)+2,2,4,1,"CAL8")),"")</f>
        <v/>
      </c>
      <c r="AV165" s="21">
        <f ca="1">IF(CALC2223!BE165&gt;2,INDIRECT(ADDRESS(MATCH(Agenda2526!C166,'CAL8'!A:A,0)+2,3,4,1,"CAL8")),0)</f>
        <v>0</v>
      </c>
      <c r="AW165" s="105"/>
      <c r="AX165" s="20">
        <f>COUNTIF('CAL1'!A:A,Agenda2526!C166)</f>
        <v>1</v>
      </c>
      <c r="AY165" s="20">
        <f>COUNTIF('CAL2'!A:A,Agenda2526!C166)</f>
        <v>0</v>
      </c>
      <c r="AZ165" s="20">
        <f>COUNTIF('CAL3'!A:A,Agenda2526!C166)</f>
        <v>0</v>
      </c>
      <c r="BA165" s="20">
        <f>COUNTIF('CAL4'!A:A,Agenda2526!C166)</f>
        <v>0</v>
      </c>
      <c r="BB165" s="20">
        <f>COUNTIF('CAL5'!A:A,Agenda2526!C166)</f>
        <v>1</v>
      </c>
      <c r="BC165" s="20">
        <f>COUNTIF('CAL6'!A:A,Agenda2526!C166)</f>
        <v>1</v>
      </c>
      <c r="BD165" s="20">
        <f>COUNTIF('CAL7'!A:A,Agenda2526!C166)</f>
        <v>0</v>
      </c>
      <c r="BE165" s="20">
        <f>COUNTIF('CAL8'!A:A,Agenda2526!C166)</f>
        <v>0</v>
      </c>
    </row>
    <row r="166" spans="1:57" ht="15.75" customHeight="1">
      <c r="A166" s="20" t="str">
        <f ca="1">IF(CALC2223!AX166&gt;0,INDIRECT(ADDRESS(MATCH(Agenda2526!C167,'CAL1'!A:A,0),2,4,1,"CAL1")),"")</f>
        <v/>
      </c>
      <c r="B166" s="21">
        <f ca="1">IF(CALC2223!AX166&gt;0,INDIRECT(ADDRESS(MATCH(Agenda2526!C167,'CAL1'!A:A,0),3,4,1,"CAL1")),0)</f>
        <v>0</v>
      </c>
      <c r="C166" s="20" t="str">
        <f ca="1">IF(CALC2223!AX166&gt;1,INDIRECT(ADDRESS(MATCH(Agenda2526!C167,'CAL1'!A:A,0)+1,2,4,1,"CAL1")),"")</f>
        <v/>
      </c>
      <c r="D166" s="21">
        <f ca="1">IF(CALC2223!AX166&gt;1,INDIRECT(ADDRESS(MATCH(Agenda2526!C167,'CAL1'!A:A,0)+1,3,4,1,"CAL1")),0)</f>
        <v>0</v>
      </c>
      <c r="E166" s="20" t="str">
        <f ca="1">IF(CALC2223!AX166&gt;2,INDIRECT(ADDRESS(MATCH(Agenda2526!C167,'CAL1'!A:A,0)+2,2,4,1,"CAL1")),"")</f>
        <v/>
      </c>
      <c r="F166" s="21">
        <f ca="1">IF(CALC2223!AX166&gt;2,INDIRECT(ADDRESS(MATCH(Agenda2526!C167,'CAL1'!A:A,0)+2,3,4,1,"CAL1")),0)</f>
        <v>0</v>
      </c>
      <c r="G166" s="20" t="str">
        <f ca="1">IF(CALC2223!AY166&gt;0,INDIRECT(ADDRESS(MATCH(Agenda2526!C167,'CAL2'!A:A,0),2,4,1,"CAL2")),"")</f>
        <v/>
      </c>
      <c r="H166" s="21">
        <f ca="1">IF(CALC2223!AY166&gt;0,INDIRECT(ADDRESS(MATCH(Agenda2526!C167,'CAL2'!A:A,0),3,4,1,"CAL2")),0)</f>
        <v>0</v>
      </c>
      <c r="I166" s="20" t="str">
        <f ca="1">IF(CALC2223!AY166&gt;1,INDIRECT(ADDRESS(MATCH(Agenda2526!C167,'CAL2'!A:A,0)+1,2,4,1,"CAL2")),"")</f>
        <v/>
      </c>
      <c r="J166" s="21">
        <f ca="1">IF(CALC2223!AY166&gt;1,INDIRECT(ADDRESS(MATCH(Agenda2526!C167,'CAL2'!A:A,0)+1,3,4,1,"CAL2")),0)</f>
        <v>0</v>
      </c>
      <c r="K166" s="20" t="str">
        <f ca="1">IF(CALC2223!AY166&gt;2,INDIRECT(ADDRESS(MATCH(Agenda2526!C167,'CAL2'!A:A,0)+2,2,4,1,"CAL2")),"")</f>
        <v/>
      </c>
      <c r="L166" s="21">
        <f ca="1">IF(CALC2223!AY166&gt;2,INDIRECT(ADDRESS(MATCH(Agenda2526!C167,'CAL2'!A:A,0)+2,3,4,1,"CAL2")),0)</f>
        <v>0</v>
      </c>
      <c r="M166" s="20" t="str">
        <f ca="1">IF(CALC2223!AZ166&gt;0,INDIRECT(ADDRESS(MATCH(Agenda2526!C167,'CAL3'!A:A,0),2,4,1,"CAL3")),"")</f>
        <v>Rep NA</v>
      </c>
      <c r="N166" s="21">
        <f ca="1">IF(CALC2223!AZ166&gt;0,INDIRECT(ADDRESS(MATCH(Agenda2526!C167,'CAL3'!A:A,0),3,4,1,"CAL3")),0)</f>
        <v>45903</v>
      </c>
      <c r="O166" s="20" t="str">
        <f ca="1">IF(CALC2223!AZ166&gt;1,INDIRECT(ADDRESS(MATCH(Agenda2526!C167,'CAL3'!A:A,0)+1,2,4,1,"CAL3")),"")</f>
        <v/>
      </c>
      <c r="P166" s="21">
        <f ca="1">IF(CALC2223!AZ166&gt;1,INDIRECT(ADDRESS(MATCH(Agenda2526!C167,'CAL3'!A:A,0)+1,3,4,1,"CAL3")),0)</f>
        <v>0</v>
      </c>
      <c r="Q166" s="20" t="str">
        <f ca="1">IF(CALC2223!AZ166&gt;2,INDIRECT(ADDRESS(MATCH(Agenda2526!C167,'CAL3'!A:A,0)+2,2,4,1,"CAL3")),"")</f>
        <v/>
      </c>
      <c r="R166" s="21">
        <f ca="1">IF(CALC2223!AZ166&gt;2,INDIRECT(ADDRESS(MATCH(Agenda2526!C167,'CAL3'!A:A,0)+2,3,4,1,"CAL3")),0)</f>
        <v>0</v>
      </c>
      <c r="S166" s="20" t="str">
        <f ca="1">IF(CALC2223!BA166&gt;0,INDIRECT(ADDRESS(MATCH(Agenda2526!C167,'CAL4'!A:A,0),2,4,1,"CAL4")),"")</f>
        <v>HPGpresentaties</v>
      </c>
      <c r="T166" s="21">
        <f ca="1">IF(CALC2223!BA166&gt;0,INDIRECT(ADDRESS(MATCH(Agenda2526!C167,'CAL4'!A:A,0),3,4,1,"CAL4")),0)</f>
        <v>45896</v>
      </c>
      <c r="U166" s="20" t="str">
        <f ca="1">IF(CALC2223!BA166&gt;1,INDIRECT(ADDRESS(MATCH(Agenda2526!C167,'CAL4'!A:A,0)+1,2,4,1,"CAL4")),"")</f>
        <v>inh rep FI</v>
      </c>
      <c r="V166" s="21">
        <f ca="1">IF(CALC2223!BA166&gt;1,INDIRECT(ADDRESS(MATCH(Agenda2526!C167,'CAL4'!A:A,0)+1,3,4,1,"CAL4")),0)</f>
        <v>46030</v>
      </c>
      <c r="W166" s="20" t="str">
        <f ca="1">IF(CALC2223!BA166&gt;2,INDIRECT(ADDRESS(MATCH(Agenda2526!C167,'CAL4'!A:A,0)+2,2,4,1,"CAL4")),"")</f>
        <v/>
      </c>
      <c r="X166" s="21">
        <f ca="1">IF(CALC2223!BA166&gt;2,INDIRECT(ADDRESS(MATCH(Agenda2526!C167,'CAL4'!A:A,0)+2,3,4,1,"CAL4")),0)</f>
        <v>0</v>
      </c>
      <c r="Y166" s="20" t="str">
        <f ca="1">IF(CALC2223!BB166&gt;0,INDIRECT(ADDRESS(MATCH(Agenda2526!C167,'CAL5'!A:A,0),2,4,1,"CAL5")),"")</f>
        <v>HPGpresentaties</v>
      </c>
      <c r="Z166" s="21">
        <f ca="1">IF(CALC2223!BB166&gt;0,INDIRECT(ADDRESS(MATCH(Agenda2526!C167,'CAL5'!A:A,0),3,4,1,"CAL5")),0)</f>
        <v>45896</v>
      </c>
      <c r="AA166" s="20" t="str">
        <f ca="1">IF(CALC2223!BB166&gt;1,INDIRECT(ADDRESS(MATCH(Agenda2526!C167,'CAL5'!A:A,0)+1,2,4,1,"CAL5")),"")</f>
        <v>inh rep NA</v>
      </c>
      <c r="AB166" s="21">
        <f ca="1">IF(CALC2223!BB166&gt;1,INDIRECT(ADDRESS(MATCH(Agenda2526!C167,'CAL5'!A:A,0)+1,3,4,1,"CAL5")),0)</f>
        <v>45936</v>
      </c>
      <c r="AC166" s="20" t="str">
        <f ca="1">IF(CALC2223!BB166&gt;2,INDIRECT(ADDRESS(MATCH(Agenda2526!C167,'CAL5'!A:A,0)+2,2,4,1,"CAL5")),"")</f>
        <v/>
      </c>
      <c r="AD166" s="21">
        <f ca="1">IF(CALC2223!BB166&gt;2,INDIRECT(ADDRESS(MATCH(Agenda2526!C167,'CAL5'!A:A,0)+2,3,4,1,"CAL5")),0)</f>
        <v>0</v>
      </c>
      <c r="AE166" s="20" t="str">
        <f ca="1">IF(CALC2223!BC166&gt;0,INDIRECT(ADDRESS(MATCH(Agenda2526!C167,'CAL6'!A:A,0),2,4,1,"CAL6")),"")</f>
        <v>LOinhalen 2</v>
      </c>
      <c r="AF166" s="21">
        <f ca="1">IF(CALC2223!BC166&gt;0,INDIRECT(ADDRESS(MATCH(Agenda2526!C167,'CAL6'!A:A,0),3,4,1,"CAL6")),0)</f>
        <v>45896</v>
      </c>
      <c r="AG166" s="20" t="str">
        <f ca="1">IF(CALC2223!BC166&gt;1,INDIRECT(ADDRESS(MATCH(Agenda2526!C167,'CAL6'!A:A,0)+1,2,4,1,"CAL6")),"")</f>
        <v/>
      </c>
      <c r="AH166" s="21">
        <f ca="1">IF(CALC2223!BC166&gt;1,INDIRECT(ADDRESS(MATCH(Agenda2526!C167,'CAL6'!A:A,0)+1,3,4,1,"CAL6")),0)</f>
        <v>0</v>
      </c>
      <c r="AI166" s="20" t="str">
        <f ca="1">IF(CALC2223!BC166&gt;2,INDIRECT(ADDRESS(MATCH(Agenda2526!C167,'CAL6'!A:A,0)+2,2,4,1,"CAL6")),"")</f>
        <v/>
      </c>
      <c r="AJ166" s="21">
        <f ca="1">IF(CALC2223!BC166&gt;2,INDIRECT(ADDRESS(MATCH(Agenda2526!C167,'CAL6'!A:A,0)+2,3,4,1,"CAL6")),0)</f>
        <v>0</v>
      </c>
      <c r="AK166" s="20" t="str">
        <f ca="1">IF(CALC2223!BD166&gt;0,INDIRECT(ADDRESS(MATCH(Agenda2526!C167,'CAL7'!A:A,0),2,4,1,"CAL7")),"")</f>
        <v>mentoren#5</v>
      </c>
      <c r="AL166" s="21">
        <f ca="1">IF(CALC2223!BD166&gt;0,INDIRECT(ADDRESS(MATCH(Agenda2526!C167,'CAL7'!A:A,0),3,4,1,"CAL7")),0)</f>
        <v>45896</v>
      </c>
      <c r="AM166" s="20" t="str">
        <f ca="1">IF(CALC2223!BD166&gt;1,INDIRECT(ADDRESS(MATCH(Agenda2526!C167,'CAL7'!A:A,0)+1,2,4,1,"CAL7")),"")</f>
        <v/>
      </c>
      <c r="AN166" s="21">
        <f ca="1">IF(CALC2223!BD166&gt;1,INDIRECT(ADDRESS(MATCH(Agenda2526!C167,'CAL7'!A:A,0)+1,3,4,1,"CAL7")),0)</f>
        <v>0</v>
      </c>
      <c r="AO166" s="20" t="str">
        <f ca="1">IF(CALC2223!BD166&gt;2,INDIRECT(ADDRESS(MATCH(Agenda2526!C167,'CAL7'!A:A,0)+2,2,4,1,"CAL7")),"")</f>
        <v/>
      </c>
      <c r="AP166" s="21">
        <f ca="1">IF(CALC2223!BD166&gt;2,INDIRECT(ADDRESS(MATCH(Agenda2526!C167,'CAL7'!A:A,0)+2,3,4,1,"CAL7")),0)</f>
        <v>0</v>
      </c>
      <c r="AQ166" s="20" t="str">
        <f ca="1">IF(CALC2223!BE166&gt;0,INDIRECT(ADDRESS(MATCH(Agenda2526!C167,'CAL8'!A:A,0),2,4,1,"CAL8")),"")</f>
        <v/>
      </c>
      <c r="AR166" s="21">
        <f ca="1">IF(CALC2223!BE166&gt;0,INDIRECT(ADDRESS(MATCH(Agenda2526!C167,'CAL8'!A:A,0),3,4,1,"CAL8")),0)</f>
        <v>0</v>
      </c>
      <c r="AS166" s="20" t="str">
        <f ca="1">IF(CALC2223!BE166&gt;1,INDIRECT(ADDRESS(MATCH(Agenda2526!C167,'CAL8'!A:A,0)+1,2,4,1,"CAL8")),"")</f>
        <v/>
      </c>
      <c r="AT166" s="21">
        <f ca="1">IF(CALC2223!BE166&gt;1,INDIRECT(ADDRESS(MATCH(Agenda2526!C167,'CAL8'!A:A,0)+1,3,4,1,"CAL8")),0)</f>
        <v>0</v>
      </c>
      <c r="AU166" s="20" t="str">
        <f ca="1">IF(CALC2223!BE166&gt;2,INDIRECT(ADDRESS(MATCH(Agenda2526!C167,'CAL8'!A:A,0)+2,2,4,1,"CAL8")),"")</f>
        <v/>
      </c>
      <c r="AV166" s="21">
        <f ca="1">IF(CALC2223!BE166&gt;2,INDIRECT(ADDRESS(MATCH(Agenda2526!C167,'CAL8'!A:A,0)+2,3,4,1,"CAL8")),0)</f>
        <v>0</v>
      </c>
      <c r="AW166" s="105"/>
      <c r="AX166" s="20">
        <f>COUNTIF('CAL1'!A:A,Agenda2526!C167)</f>
        <v>0</v>
      </c>
      <c r="AY166" s="20">
        <f>COUNTIF('CAL2'!A:A,Agenda2526!C167)</f>
        <v>0</v>
      </c>
      <c r="AZ166" s="20">
        <f>COUNTIF('CAL3'!A:A,Agenda2526!C167)</f>
        <v>1</v>
      </c>
      <c r="BA166" s="20">
        <f>COUNTIF('CAL4'!A:A,Agenda2526!C167)</f>
        <v>2</v>
      </c>
      <c r="BB166" s="20">
        <f>COUNTIF('CAL5'!A:A,Agenda2526!C167)</f>
        <v>2</v>
      </c>
      <c r="BC166" s="20">
        <f>COUNTIF('CAL6'!A:A,Agenda2526!C167)</f>
        <v>1</v>
      </c>
      <c r="BD166" s="20">
        <f>COUNTIF('CAL7'!A:A,Agenda2526!C167)</f>
        <v>1</v>
      </c>
      <c r="BE166" s="20">
        <f>COUNTIF('CAL8'!A:A,Agenda2526!C167)</f>
        <v>0</v>
      </c>
    </row>
    <row r="167" spans="1:57" ht="15.75" customHeight="1">
      <c r="A167" s="20" t="str">
        <f ca="1">IF(CALC2223!AX167&gt;0,INDIRECT(ADDRESS(MATCH(Agenda2526!C168,'CAL1'!A:A,0),2,4,1,"CAL1")),"")</f>
        <v/>
      </c>
      <c r="B167" s="21">
        <f ca="1">IF(CALC2223!AX167&gt;0,INDIRECT(ADDRESS(MATCH(Agenda2526!C168,'CAL1'!A:A,0),3,4,1,"CAL1")),0)</f>
        <v>0</v>
      </c>
      <c r="C167" s="20" t="str">
        <f ca="1">IF(CALC2223!AX167&gt;1,INDIRECT(ADDRESS(MATCH(Agenda2526!C168,'CAL1'!A:A,0)+1,2,4,1,"CAL1")),"")</f>
        <v/>
      </c>
      <c r="D167" s="21">
        <f ca="1">IF(CALC2223!AX167&gt;1,INDIRECT(ADDRESS(MATCH(Agenda2526!C168,'CAL1'!A:A,0)+1,3,4,1,"CAL1")),0)</f>
        <v>0</v>
      </c>
      <c r="E167" s="20" t="str">
        <f ca="1">IF(CALC2223!AX167&gt;2,INDIRECT(ADDRESS(MATCH(Agenda2526!C168,'CAL1'!A:A,0)+2,2,4,1,"CAL1")),"")</f>
        <v/>
      </c>
      <c r="F167" s="21">
        <f ca="1">IF(CALC2223!AX167&gt;2,INDIRECT(ADDRESS(MATCH(Agenda2526!C168,'CAL1'!A:A,0)+2,3,4,1,"CAL1")),0)</f>
        <v>0</v>
      </c>
      <c r="G167" s="20" t="str">
        <f ca="1">IF(CALC2223!AY167&gt;0,INDIRECT(ADDRESS(MATCH(Agenda2526!C168,'CAL2'!A:A,0),2,4,1,"CAL2")),"")</f>
        <v>Rep EN</v>
      </c>
      <c r="H167" s="21">
        <f ca="1">IF(CALC2223!AY167&gt;0,INDIRECT(ADDRESS(MATCH(Agenda2526!C168,'CAL2'!A:A,0),3,4,1,"CAL2")),0)</f>
        <v>45903</v>
      </c>
      <c r="I167" s="20" t="str">
        <f ca="1">IF(CALC2223!AY167&gt;1,INDIRECT(ADDRESS(MATCH(Agenda2526!C168,'CAL2'!A:A,0)+1,2,4,1,"CAL2")),"")</f>
        <v/>
      </c>
      <c r="J167" s="21">
        <f ca="1">IF(CALC2223!AY167&gt;1,INDIRECT(ADDRESS(MATCH(Agenda2526!C168,'CAL2'!A:A,0)+1,3,4,1,"CAL2")),0)</f>
        <v>0</v>
      </c>
      <c r="K167" s="20" t="str">
        <f ca="1">IF(CALC2223!AY167&gt;2,INDIRECT(ADDRESS(MATCH(Agenda2526!C168,'CAL2'!A:A,0)+2,2,4,1,"CAL2")),"")</f>
        <v/>
      </c>
      <c r="L167" s="21">
        <f ca="1">IF(CALC2223!AY167&gt;2,INDIRECT(ADDRESS(MATCH(Agenda2526!C168,'CAL2'!A:A,0)+2,3,4,1,"CAL2")),0)</f>
        <v>0</v>
      </c>
      <c r="M167" s="20" t="str">
        <f ca="1">IF(CALC2223!AZ167&gt;0,INDIRECT(ADDRESS(MATCH(Agenda2526!C168,'CAL3'!A:A,0),2,4,1,"CAL3")),"")</f>
        <v/>
      </c>
      <c r="N167" s="21">
        <f ca="1">IF(CALC2223!AZ167&gt;0,INDIRECT(ADDRESS(MATCH(Agenda2526!C168,'CAL3'!A:A,0),3,4,1,"CAL3")),0)</f>
        <v>0</v>
      </c>
      <c r="O167" s="20" t="str">
        <f ca="1">IF(CALC2223!AZ167&gt;1,INDIRECT(ADDRESS(MATCH(Agenda2526!C168,'CAL3'!A:A,0)+1,2,4,1,"CAL3")),"")</f>
        <v/>
      </c>
      <c r="P167" s="21">
        <f ca="1">IF(CALC2223!AZ167&gt;1,INDIRECT(ADDRESS(MATCH(Agenda2526!C168,'CAL3'!A:A,0)+1,3,4,1,"CAL3")),0)</f>
        <v>0</v>
      </c>
      <c r="Q167" s="20" t="str">
        <f ca="1">IF(CALC2223!AZ167&gt;2,INDIRECT(ADDRESS(MATCH(Agenda2526!C168,'CAL3'!A:A,0)+2,2,4,1,"CAL3")),"")</f>
        <v/>
      </c>
      <c r="R167" s="21">
        <f ca="1">IF(CALC2223!AZ167&gt;2,INDIRECT(ADDRESS(MATCH(Agenda2526!C168,'CAL3'!A:A,0)+2,3,4,1,"CAL3")),0)</f>
        <v>0</v>
      </c>
      <c r="S167" s="20" t="str">
        <f ca="1">IF(CALC2223!BA167&gt;0,INDIRECT(ADDRESS(MATCH(Agenda2526!C168,'CAL4'!A:A,0),2,4,1,"CAL4")),"")</f>
        <v/>
      </c>
      <c r="T167" s="21">
        <f ca="1">IF(CALC2223!BA167&gt;0,INDIRECT(ADDRESS(MATCH(Agenda2526!C168,'CAL4'!A:A,0),3,4,1,"CAL4")),0)</f>
        <v>0</v>
      </c>
      <c r="U167" s="20" t="str">
        <f ca="1">IF(CALC2223!BA167&gt;1,INDIRECT(ADDRESS(MATCH(Agenda2526!C168,'CAL4'!A:A,0)+1,2,4,1,"CAL4")),"")</f>
        <v/>
      </c>
      <c r="V167" s="21">
        <f ca="1">IF(CALC2223!BA167&gt;1,INDIRECT(ADDRESS(MATCH(Agenda2526!C168,'CAL4'!A:A,0)+1,3,4,1,"CAL4")),0)</f>
        <v>0</v>
      </c>
      <c r="W167" s="20" t="str">
        <f ca="1">IF(CALC2223!BA167&gt;2,INDIRECT(ADDRESS(MATCH(Agenda2526!C168,'CAL4'!A:A,0)+2,2,4,1,"CAL4")),"")</f>
        <v/>
      </c>
      <c r="X167" s="21">
        <f ca="1">IF(CALC2223!BA167&gt;2,INDIRECT(ADDRESS(MATCH(Agenda2526!C168,'CAL4'!A:A,0)+2,3,4,1,"CAL4")),0)</f>
        <v>0</v>
      </c>
      <c r="Y167" s="20" t="str">
        <f ca="1">IF(CALC2223!BB167&gt;0,INDIRECT(ADDRESS(MATCH(Agenda2526!C168,'CAL5'!A:A,0),2,4,1,"CAL5")),"")</f>
        <v/>
      </c>
      <c r="Z167" s="21">
        <f ca="1">IF(CALC2223!BB167&gt;0,INDIRECT(ADDRESS(MATCH(Agenda2526!C168,'CAL5'!A:A,0),3,4,1,"CAL5")),0)</f>
        <v>0</v>
      </c>
      <c r="AA167" s="20" t="str">
        <f ca="1">IF(CALC2223!BB167&gt;1,INDIRECT(ADDRESS(MATCH(Agenda2526!C168,'CAL5'!A:A,0)+1,2,4,1,"CAL5")),"")</f>
        <v/>
      </c>
      <c r="AB167" s="21">
        <f ca="1">IF(CALC2223!BB167&gt;1,INDIRECT(ADDRESS(MATCH(Agenda2526!C168,'CAL5'!A:A,0)+1,3,4,1,"CAL5")),0)</f>
        <v>0</v>
      </c>
      <c r="AC167" s="20" t="str">
        <f ca="1">IF(CALC2223!BB167&gt;2,INDIRECT(ADDRESS(MATCH(Agenda2526!C168,'CAL5'!A:A,0)+2,2,4,1,"CAL5")),"")</f>
        <v/>
      </c>
      <c r="AD167" s="21">
        <f ca="1">IF(CALC2223!BB167&gt;2,INDIRECT(ADDRESS(MATCH(Agenda2526!C168,'CAL5'!A:A,0)+2,3,4,1,"CAL5")),0)</f>
        <v>0</v>
      </c>
      <c r="AE167" s="20" t="str">
        <f ca="1">IF(CALC2223!BC167&gt;0,INDIRECT(ADDRESS(MATCH(Agenda2526!C168,'CAL6'!A:A,0),2,4,1,"CAL6")),"")</f>
        <v/>
      </c>
      <c r="AF167" s="21">
        <f ca="1">IF(CALC2223!BC167&gt;0,INDIRECT(ADDRESS(MATCH(Agenda2526!C168,'CAL6'!A:A,0),3,4,1,"CAL6")),0)</f>
        <v>0</v>
      </c>
      <c r="AG167" s="20" t="str">
        <f ca="1">IF(CALC2223!BC167&gt;1,INDIRECT(ADDRESS(MATCH(Agenda2526!C168,'CAL6'!A:A,0)+1,2,4,1,"CAL6")),"")</f>
        <v/>
      </c>
      <c r="AH167" s="21">
        <f ca="1">IF(CALC2223!BC167&gt;1,INDIRECT(ADDRESS(MATCH(Agenda2526!C168,'CAL6'!A:A,0)+1,3,4,1,"CAL6")),0)</f>
        <v>0</v>
      </c>
      <c r="AI167" s="20" t="str">
        <f ca="1">IF(CALC2223!BC167&gt;2,INDIRECT(ADDRESS(MATCH(Agenda2526!C168,'CAL6'!A:A,0)+2,2,4,1,"CAL6")),"")</f>
        <v/>
      </c>
      <c r="AJ167" s="21">
        <f ca="1">IF(CALC2223!BC167&gt;2,INDIRECT(ADDRESS(MATCH(Agenda2526!C168,'CAL6'!A:A,0)+2,3,4,1,"CAL6")),0)</f>
        <v>0</v>
      </c>
      <c r="AK167" s="20" t="str">
        <f ca="1">IF(CALC2223!BD167&gt;0,INDIRECT(ADDRESS(MATCH(Agenda2526!C168,'CAL7'!A:A,0),2,4,1,"CAL7")),"")</f>
        <v/>
      </c>
      <c r="AL167" s="21">
        <f ca="1">IF(CALC2223!BD167&gt;0,INDIRECT(ADDRESS(MATCH(Agenda2526!C168,'CAL7'!A:A,0),3,4,1,"CAL7")),0)</f>
        <v>0</v>
      </c>
      <c r="AM167" s="20" t="str">
        <f ca="1">IF(CALC2223!BD167&gt;1,INDIRECT(ADDRESS(MATCH(Agenda2526!C168,'CAL7'!A:A,0)+1,2,4,1,"CAL7")),"")</f>
        <v/>
      </c>
      <c r="AN167" s="21">
        <f ca="1">IF(CALC2223!BD167&gt;1,INDIRECT(ADDRESS(MATCH(Agenda2526!C168,'CAL7'!A:A,0)+1,3,4,1,"CAL7")),0)</f>
        <v>0</v>
      </c>
      <c r="AO167" s="20" t="str">
        <f ca="1">IF(CALC2223!BD167&gt;2,INDIRECT(ADDRESS(MATCH(Agenda2526!C168,'CAL7'!A:A,0)+2,2,4,1,"CAL7")),"")</f>
        <v/>
      </c>
      <c r="AP167" s="21">
        <f ca="1">IF(CALC2223!BD167&gt;2,INDIRECT(ADDRESS(MATCH(Agenda2526!C168,'CAL7'!A:A,0)+2,3,4,1,"CAL7")),0)</f>
        <v>0</v>
      </c>
      <c r="AQ167" s="20" t="str">
        <f ca="1">IF(CALC2223!BE167&gt;0,INDIRECT(ADDRESS(MATCH(Agenda2526!C168,'CAL8'!A:A,0),2,4,1,"CAL8")),"")</f>
        <v/>
      </c>
      <c r="AR167" s="21">
        <f ca="1">IF(CALC2223!BE167&gt;0,INDIRECT(ADDRESS(MATCH(Agenda2526!C168,'CAL8'!A:A,0),3,4,1,"CAL8")),0)</f>
        <v>0</v>
      </c>
      <c r="AS167" s="20" t="str">
        <f ca="1">IF(CALC2223!BE167&gt;1,INDIRECT(ADDRESS(MATCH(Agenda2526!C168,'CAL8'!A:A,0)+1,2,4,1,"CAL8")),"")</f>
        <v/>
      </c>
      <c r="AT167" s="21">
        <f ca="1">IF(CALC2223!BE167&gt;1,INDIRECT(ADDRESS(MATCH(Agenda2526!C168,'CAL8'!A:A,0)+1,3,4,1,"CAL8")),0)</f>
        <v>0</v>
      </c>
      <c r="AU167" s="20" t="str">
        <f ca="1">IF(CALC2223!BE167&gt;2,INDIRECT(ADDRESS(MATCH(Agenda2526!C168,'CAL8'!A:A,0)+2,2,4,1,"CAL8")),"")</f>
        <v/>
      </c>
      <c r="AV167" s="21">
        <f ca="1">IF(CALC2223!BE167&gt;2,INDIRECT(ADDRESS(MATCH(Agenda2526!C168,'CAL8'!A:A,0)+2,3,4,1,"CAL8")),0)</f>
        <v>0</v>
      </c>
      <c r="AW167" s="105"/>
      <c r="AX167" s="20">
        <f>COUNTIF('CAL1'!A:A,Agenda2526!C168)</f>
        <v>0</v>
      </c>
      <c r="AY167" s="20">
        <f>COUNTIF('CAL2'!A:A,Agenda2526!C168)</f>
        <v>1</v>
      </c>
      <c r="AZ167" s="20">
        <f>COUNTIF('CAL3'!A:A,Agenda2526!C168)</f>
        <v>0</v>
      </c>
      <c r="BA167" s="20">
        <f>COUNTIF('CAL4'!A:A,Agenda2526!C168)</f>
        <v>0</v>
      </c>
      <c r="BB167" s="20">
        <f>COUNTIF('CAL5'!A:A,Agenda2526!C168)</f>
        <v>0</v>
      </c>
      <c r="BC167" s="20">
        <f>COUNTIF('CAL6'!A:A,Agenda2526!C168)</f>
        <v>0</v>
      </c>
      <c r="BD167" s="20">
        <f>COUNTIF('CAL7'!A:A,Agenda2526!C168)</f>
        <v>0</v>
      </c>
      <c r="BE167" s="20">
        <f>COUNTIF('CAL8'!A:A,Agenda2526!C168)</f>
        <v>0</v>
      </c>
    </row>
    <row r="168" spans="1:57" ht="15.75" customHeight="1">
      <c r="A168" s="20" t="str">
        <f ca="1">IF(CALC2223!AX168&gt;0,INDIRECT(ADDRESS(MATCH(Agenda2526!C169,'CAL1'!A:A,0),2,4,1,"CAL1")),"")</f>
        <v/>
      </c>
      <c r="B168" s="21">
        <f ca="1">IF(CALC2223!AX168&gt;0,INDIRECT(ADDRESS(MATCH(Agenda2526!C169,'CAL1'!A:A,0),3,4,1,"CAL1")),0)</f>
        <v>0</v>
      </c>
      <c r="C168" s="20" t="str">
        <f ca="1">IF(CALC2223!AX168&gt;1,INDIRECT(ADDRESS(MATCH(Agenda2526!C169,'CAL1'!A:A,0)+1,2,4,1,"CAL1")),"")</f>
        <v/>
      </c>
      <c r="D168" s="21">
        <f ca="1">IF(CALC2223!AX168&gt;1,INDIRECT(ADDRESS(MATCH(Agenda2526!C169,'CAL1'!A:A,0)+1,3,4,1,"CAL1")),0)</f>
        <v>0</v>
      </c>
      <c r="E168" s="20" t="str">
        <f ca="1">IF(CALC2223!AX168&gt;2,INDIRECT(ADDRESS(MATCH(Agenda2526!C169,'CAL1'!A:A,0)+2,2,4,1,"CAL1")),"")</f>
        <v/>
      </c>
      <c r="F168" s="21">
        <f ca="1">IF(CALC2223!AX168&gt;2,INDIRECT(ADDRESS(MATCH(Agenda2526!C169,'CAL1'!A:A,0)+2,3,4,1,"CAL1")),0)</f>
        <v>0</v>
      </c>
      <c r="G168" s="20" t="str">
        <f ca="1">IF(CALC2223!AY168&gt;0,INDIRECT(ADDRESS(MATCH(Agenda2526!C169,'CAL2'!A:A,0),2,4,1,"CAL2")),"")</f>
        <v/>
      </c>
      <c r="H168" s="21">
        <f ca="1">IF(CALC2223!AY168&gt;0,INDIRECT(ADDRESS(MATCH(Agenda2526!C169,'CAL2'!A:A,0),3,4,1,"CAL2")),0)</f>
        <v>0</v>
      </c>
      <c r="I168" s="20" t="str">
        <f ca="1">IF(CALC2223!AY168&gt;1,INDIRECT(ADDRESS(MATCH(Agenda2526!C169,'CAL2'!A:A,0)+1,2,4,1,"CAL2")),"")</f>
        <v/>
      </c>
      <c r="J168" s="21">
        <f ca="1">IF(CALC2223!AY168&gt;1,INDIRECT(ADDRESS(MATCH(Agenda2526!C169,'CAL2'!A:A,0)+1,3,4,1,"CAL2")),0)</f>
        <v>0</v>
      </c>
      <c r="K168" s="20" t="str">
        <f ca="1">IF(CALC2223!AY168&gt;2,INDIRECT(ADDRESS(MATCH(Agenda2526!C169,'CAL2'!A:A,0)+2,2,4,1,"CAL2")),"")</f>
        <v/>
      </c>
      <c r="L168" s="21">
        <f ca="1">IF(CALC2223!AY168&gt;2,INDIRECT(ADDRESS(MATCH(Agenda2526!C169,'CAL2'!A:A,0)+2,3,4,1,"CAL2")),0)</f>
        <v>0</v>
      </c>
      <c r="M168" s="20" t="str">
        <f ca="1">IF(CALC2223!AZ168&gt;0,INDIRECT(ADDRESS(MATCH(Agenda2526!C169,'CAL3'!A:A,0),2,4,1,"CAL3")),"")</f>
        <v/>
      </c>
      <c r="N168" s="21">
        <f ca="1">IF(CALC2223!AZ168&gt;0,INDIRECT(ADDRESS(MATCH(Agenda2526!C169,'CAL3'!A:A,0),3,4,1,"CAL3")),0)</f>
        <v>0</v>
      </c>
      <c r="O168" s="20" t="str">
        <f ca="1">IF(CALC2223!AZ168&gt;1,INDIRECT(ADDRESS(MATCH(Agenda2526!C169,'CAL3'!A:A,0)+1,2,4,1,"CAL3")),"")</f>
        <v/>
      </c>
      <c r="P168" s="21">
        <f ca="1">IF(CALC2223!AZ168&gt;1,INDIRECT(ADDRESS(MATCH(Agenda2526!C169,'CAL3'!A:A,0)+1,3,4,1,"CAL3")),0)</f>
        <v>0</v>
      </c>
      <c r="Q168" s="20" t="str">
        <f ca="1">IF(CALC2223!AZ168&gt;2,INDIRECT(ADDRESS(MATCH(Agenda2526!C169,'CAL3'!A:A,0)+2,2,4,1,"CAL3")),"")</f>
        <v/>
      </c>
      <c r="R168" s="21">
        <f ca="1">IF(CALC2223!AZ168&gt;2,INDIRECT(ADDRESS(MATCH(Agenda2526!C169,'CAL3'!A:A,0)+2,3,4,1,"CAL3")),0)</f>
        <v>0</v>
      </c>
      <c r="S168" s="20" t="str">
        <f ca="1">IF(CALC2223!BA168&gt;0,INDIRECT(ADDRESS(MATCH(Agenda2526!C169,'CAL4'!A:A,0),2,4,1,"CAL4")),"")</f>
        <v/>
      </c>
      <c r="T168" s="21">
        <f ca="1">IF(CALC2223!BA168&gt;0,INDIRECT(ADDRESS(MATCH(Agenda2526!C169,'CAL4'!A:A,0),3,4,1,"CAL4")),0)</f>
        <v>0</v>
      </c>
      <c r="U168" s="20" t="str">
        <f ca="1">IF(CALC2223!BA168&gt;1,INDIRECT(ADDRESS(MATCH(Agenda2526!C169,'CAL4'!A:A,0)+1,2,4,1,"CAL4")),"")</f>
        <v/>
      </c>
      <c r="V168" s="21">
        <f ca="1">IF(CALC2223!BA168&gt;1,INDIRECT(ADDRESS(MATCH(Agenda2526!C169,'CAL4'!A:A,0)+1,3,4,1,"CAL4")),0)</f>
        <v>0</v>
      </c>
      <c r="W168" s="20" t="str">
        <f ca="1">IF(CALC2223!BA168&gt;2,INDIRECT(ADDRESS(MATCH(Agenda2526!C169,'CAL4'!A:A,0)+2,2,4,1,"CAL4")),"")</f>
        <v/>
      </c>
      <c r="X168" s="21">
        <f ca="1">IF(CALC2223!BA168&gt;2,INDIRECT(ADDRESS(MATCH(Agenda2526!C169,'CAL4'!A:A,0)+2,3,4,1,"CAL4")),0)</f>
        <v>0</v>
      </c>
      <c r="Y168" s="20" t="str">
        <f ca="1">IF(CALC2223!BB168&gt;0,INDIRECT(ADDRESS(MATCH(Agenda2526!C169,'CAL5'!A:A,0),2,4,1,"CAL5")),"")</f>
        <v/>
      </c>
      <c r="Z168" s="21">
        <f ca="1">IF(CALC2223!BB168&gt;0,INDIRECT(ADDRESS(MATCH(Agenda2526!C169,'CAL5'!A:A,0),3,4,1,"CAL5")),0)</f>
        <v>0</v>
      </c>
      <c r="AA168" s="20" t="str">
        <f ca="1">IF(CALC2223!BB168&gt;1,INDIRECT(ADDRESS(MATCH(Agenda2526!C169,'CAL5'!A:A,0)+1,2,4,1,"CAL5")),"")</f>
        <v/>
      </c>
      <c r="AB168" s="21">
        <f ca="1">IF(CALC2223!BB168&gt;1,INDIRECT(ADDRESS(MATCH(Agenda2526!C169,'CAL5'!A:A,0)+1,3,4,1,"CAL5")),0)</f>
        <v>0</v>
      </c>
      <c r="AC168" s="20" t="str">
        <f ca="1">IF(CALC2223!BB168&gt;2,INDIRECT(ADDRESS(MATCH(Agenda2526!C169,'CAL5'!A:A,0)+2,2,4,1,"CAL5")),"")</f>
        <v/>
      </c>
      <c r="AD168" s="21">
        <f ca="1">IF(CALC2223!BB168&gt;2,INDIRECT(ADDRESS(MATCH(Agenda2526!C169,'CAL5'!A:A,0)+2,3,4,1,"CAL5")),0)</f>
        <v>0</v>
      </c>
      <c r="AE168" s="20" t="str">
        <f ca="1">IF(CALC2223!BC168&gt;0,INDIRECT(ADDRESS(MATCH(Agenda2526!C169,'CAL6'!A:A,0),2,4,1,"CAL6")),"")</f>
        <v/>
      </c>
      <c r="AF168" s="21">
        <f ca="1">IF(CALC2223!BC168&gt;0,INDIRECT(ADDRESS(MATCH(Agenda2526!C169,'CAL6'!A:A,0),3,4,1,"CAL6")),0)</f>
        <v>0</v>
      </c>
      <c r="AG168" s="20" t="str">
        <f ca="1">IF(CALC2223!BC168&gt;1,INDIRECT(ADDRESS(MATCH(Agenda2526!C169,'CAL6'!A:A,0)+1,2,4,1,"CAL6")),"")</f>
        <v/>
      </c>
      <c r="AH168" s="21">
        <f ca="1">IF(CALC2223!BC168&gt;1,INDIRECT(ADDRESS(MATCH(Agenda2526!C169,'CAL6'!A:A,0)+1,3,4,1,"CAL6")),0)</f>
        <v>0</v>
      </c>
      <c r="AI168" s="20" t="str">
        <f ca="1">IF(CALC2223!BC168&gt;2,INDIRECT(ADDRESS(MATCH(Agenda2526!C169,'CAL6'!A:A,0)+2,2,4,1,"CAL6")),"")</f>
        <v/>
      </c>
      <c r="AJ168" s="21">
        <f ca="1">IF(CALC2223!BC168&gt;2,INDIRECT(ADDRESS(MATCH(Agenda2526!C169,'CAL6'!A:A,0)+2,3,4,1,"CAL6")),0)</f>
        <v>0</v>
      </c>
      <c r="AK168" s="20" t="str">
        <f ca="1">IF(CALC2223!BD168&gt;0,INDIRECT(ADDRESS(MATCH(Agenda2526!C169,'CAL7'!A:A,0),2,4,1,"CAL7")),"")</f>
        <v/>
      </c>
      <c r="AL168" s="21">
        <f ca="1">IF(CALC2223!BD168&gt;0,INDIRECT(ADDRESS(MATCH(Agenda2526!C169,'CAL7'!A:A,0),3,4,1,"CAL7")),0)</f>
        <v>0</v>
      </c>
      <c r="AM168" s="20" t="str">
        <f ca="1">IF(CALC2223!BD168&gt;1,INDIRECT(ADDRESS(MATCH(Agenda2526!C169,'CAL7'!A:A,0)+1,2,4,1,"CAL7")),"")</f>
        <v/>
      </c>
      <c r="AN168" s="21">
        <f ca="1">IF(CALC2223!BD168&gt;1,INDIRECT(ADDRESS(MATCH(Agenda2526!C169,'CAL7'!A:A,0)+1,3,4,1,"CAL7")),0)</f>
        <v>0</v>
      </c>
      <c r="AO168" s="20" t="str">
        <f ca="1">IF(CALC2223!BD168&gt;2,INDIRECT(ADDRESS(MATCH(Agenda2526!C169,'CAL7'!A:A,0)+2,2,4,1,"CAL7")),"")</f>
        <v/>
      </c>
      <c r="AP168" s="21">
        <f ca="1">IF(CALC2223!BD168&gt;2,INDIRECT(ADDRESS(MATCH(Agenda2526!C169,'CAL7'!A:A,0)+2,3,4,1,"CAL7")),0)</f>
        <v>0</v>
      </c>
      <c r="AQ168" s="20" t="str">
        <f ca="1">IF(CALC2223!BE168&gt;0,INDIRECT(ADDRESS(MATCH(Agenda2526!C169,'CAL8'!A:A,0),2,4,1,"CAL8")),"")</f>
        <v>voorjaarsvakantie</v>
      </c>
      <c r="AR168" s="21">
        <f ca="1">IF(CALC2223!BE168&gt;0,INDIRECT(ADDRESS(MATCH(Agenda2526!C169,'CAL8'!A:A,0),3,4,1,"CAL8")),0)</f>
        <v>45617</v>
      </c>
      <c r="AS168" s="20" t="str">
        <f ca="1">IF(CALC2223!BE168&gt;1,INDIRECT(ADDRESS(MATCH(Agenda2526!C169,'CAL8'!A:A,0)+1,2,4,1,"CAL8")),"")</f>
        <v/>
      </c>
      <c r="AT168" s="21">
        <f ca="1">IF(CALC2223!BE168&gt;1,INDIRECT(ADDRESS(MATCH(Agenda2526!C169,'CAL8'!A:A,0)+1,3,4,1,"CAL8")),0)</f>
        <v>0</v>
      </c>
      <c r="AU168" s="20" t="str">
        <f ca="1">IF(CALC2223!BE168&gt;2,INDIRECT(ADDRESS(MATCH(Agenda2526!C169,'CAL8'!A:A,0)+2,2,4,1,"CAL8")),"")</f>
        <v/>
      </c>
      <c r="AV168" s="21">
        <f ca="1">IF(CALC2223!BE168&gt;2,INDIRECT(ADDRESS(MATCH(Agenda2526!C169,'CAL8'!A:A,0)+2,3,4,1,"CAL8")),0)</f>
        <v>0</v>
      </c>
      <c r="AW168" s="106"/>
      <c r="AX168" s="20">
        <f>COUNTIF('CAL1'!A:A,Agenda2526!C169)</f>
        <v>0</v>
      </c>
      <c r="AY168" s="20">
        <f>COUNTIF('CAL2'!A:A,Agenda2526!C169)</f>
        <v>0</v>
      </c>
      <c r="AZ168" s="20">
        <f>COUNTIF('CAL3'!A:A,Agenda2526!C169)</f>
        <v>0</v>
      </c>
      <c r="BA168" s="20">
        <f>COUNTIF('CAL4'!A:A,Agenda2526!C169)</f>
        <v>0</v>
      </c>
      <c r="BB168" s="20">
        <f>COUNTIF('CAL5'!A:A,Agenda2526!C169)</f>
        <v>0</v>
      </c>
      <c r="BC168" s="20">
        <f>COUNTIF('CAL6'!A:A,Agenda2526!C169)</f>
        <v>0</v>
      </c>
      <c r="BD168" s="20">
        <f>COUNTIF('CAL7'!A:A,Agenda2526!C169)</f>
        <v>0</v>
      </c>
      <c r="BE168" s="20">
        <f>COUNTIF('CAL8'!A:A,Agenda2526!C169)</f>
        <v>1</v>
      </c>
    </row>
    <row r="169" spans="1:57" ht="15.75" customHeight="1">
      <c r="A169" s="20" t="str">
        <f ca="1">IF(CALC2223!AX169&gt;0,INDIRECT(ADDRESS(MATCH(Agenda2526!C170,'CAL1'!A:A,0),2,4,1,"CAL1")),"")</f>
        <v/>
      </c>
      <c r="B169" s="21">
        <f ca="1">IF(CALC2223!AX169&gt;0,INDIRECT(ADDRESS(MATCH(Agenda2526!C170,'CAL1'!A:A,0),3,4,1,"CAL1")),0)</f>
        <v>0</v>
      </c>
      <c r="C169" s="20" t="str">
        <f ca="1">IF(CALC2223!AX169&gt;1,INDIRECT(ADDRESS(MATCH(Agenda2526!C170,'CAL1'!A:A,0)+1,2,4,1,"CAL1")),"")</f>
        <v/>
      </c>
      <c r="D169" s="21">
        <f ca="1">IF(CALC2223!AX169&gt;1,INDIRECT(ADDRESS(MATCH(Agenda2526!C170,'CAL1'!A:A,0)+1,3,4,1,"CAL1")),0)</f>
        <v>0</v>
      </c>
      <c r="E169" s="20" t="str">
        <f ca="1">IF(CALC2223!AX169&gt;2,INDIRECT(ADDRESS(MATCH(Agenda2526!C170,'CAL1'!A:A,0)+2,2,4,1,"CAL1")),"")</f>
        <v/>
      </c>
      <c r="F169" s="21">
        <f ca="1">IF(CALC2223!AX169&gt;2,INDIRECT(ADDRESS(MATCH(Agenda2526!C170,'CAL1'!A:A,0)+2,3,4,1,"CAL1")),0)</f>
        <v>0</v>
      </c>
      <c r="G169" s="20" t="str">
        <f ca="1">IF(CALC2223!AY169&gt;0,INDIRECT(ADDRESS(MATCH(Agenda2526!C170,'CAL2'!A:A,0),2,4,1,"CAL2")),"")</f>
        <v/>
      </c>
      <c r="H169" s="21">
        <f ca="1">IF(CALC2223!AY169&gt;0,INDIRECT(ADDRESS(MATCH(Agenda2526!C170,'CAL2'!A:A,0),3,4,1,"CAL2")),0)</f>
        <v>0</v>
      </c>
      <c r="I169" s="20" t="str">
        <f ca="1">IF(CALC2223!AY169&gt;1,INDIRECT(ADDRESS(MATCH(Agenda2526!C170,'CAL2'!A:A,0)+1,2,4,1,"CAL2")),"")</f>
        <v/>
      </c>
      <c r="J169" s="21">
        <f ca="1">IF(CALC2223!AY169&gt;1,INDIRECT(ADDRESS(MATCH(Agenda2526!C170,'CAL2'!A:A,0)+1,3,4,1,"CAL2")),0)</f>
        <v>0</v>
      </c>
      <c r="K169" s="20" t="str">
        <f ca="1">IF(CALC2223!AY169&gt;2,INDIRECT(ADDRESS(MATCH(Agenda2526!C170,'CAL2'!A:A,0)+2,2,4,1,"CAL2")),"")</f>
        <v/>
      </c>
      <c r="L169" s="21">
        <f ca="1">IF(CALC2223!AY169&gt;2,INDIRECT(ADDRESS(MATCH(Agenda2526!C170,'CAL2'!A:A,0)+2,3,4,1,"CAL2")),0)</f>
        <v>0</v>
      </c>
      <c r="M169" s="20" t="str">
        <f ca="1">IF(CALC2223!AZ169&gt;0,INDIRECT(ADDRESS(MATCH(Agenda2526!C170,'CAL3'!A:A,0),2,4,1,"CAL3")),"")</f>
        <v/>
      </c>
      <c r="N169" s="21">
        <f ca="1">IF(CALC2223!AZ169&gt;0,INDIRECT(ADDRESS(MATCH(Agenda2526!C170,'CAL3'!A:A,0),3,4,1,"CAL3")),0)</f>
        <v>0</v>
      </c>
      <c r="O169" s="20" t="str">
        <f ca="1">IF(CALC2223!AZ169&gt;1,INDIRECT(ADDRESS(MATCH(Agenda2526!C170,'CAL3'!A:A,0)+1,2,4,1,"CAL3")),"")</f>
        <v/>
      </c>
      <c r="P169" s="21">
        <f ca="1">IF(CALC2223!AZ169&gt;1,INDIRECT(ADDRESS(MATCH(Agenda2526!C170,'CAL3'!A:A,0)+1,3,4,1,"CAL3")),0)</f>
        <v>0</v>
      </c>
      <c r="Q169" s="20" t="str">
        <f ca="1">IF(CALC2223!AZ169&gt;2,INDIRECT(ADDRESS(MATCH(Agenda2526!C170,'CAL3'!A:A,0)+2,2,4,1,"CAL3")),"")</f>
        <v/>
      </c>
      <c r="R169" s="21">
        <f ca="1">IF(CALC2223!AZ169&gt;2,INDIRECT(ADDRESS(MATCH(Agenda2526!C170,'CAL3'!A:A,0)+2,3,4,1,"CAL3")),0)</f>
        <v>0</v>
      </c>
      <c r="S169" s="20" t="str">
        <f ca="1">IF(CALC2223!BA169&gt;0,INDIRECT(ADDRESS(MATCH(Agenda2526!C170,'CAL4'!A:A,0),2,4,1,"CAL4")),"")</f>
        <v/>
      </c>
      <c r="T169" s="21">
        <f ca="1">IF(CALC2223!BA169&gt;0,INDIRECT(ADDRESS(MATCH(Agenda2526!C170,'CAL4'!A:A,0),3,4,1,"CAL4")),0)</f>
        <v>0</v>
      </c>
      <c r="U169" s="20" t="str">
        <f ca="1">IF(CALC2223!BA169&gt;1,INDIRECT(ADDRESS(MATCH(Agenda2526!C170,'CAL4'!A:A,0)+1,2,4,1,"CAL4")),"")</f>
        <v/>
      </c>
      <c r="V169" s="21">
        <f ca="1">IF(CALC2223!BA169&gt;1,INDIRECT(ADDRESS(MATCH(Agenda2526!C170,'CAL4'!A:A,0)+1,3,4,1,"CAL4")),0)</f>
        <v>0</v>
      </c>
      <c r="W169" s="20" t="str">
        <f ca="1">IF(CALC2223!BA169&gt;2,INDIRECT(ADDRESS(MATCH(Agenda2526!C170,'CAL4'!A:A,0)+2,2,4,1,"CAL4")),"")</f>
        <v/>
      </c>
      <c r="X169" s="21">
        <f ca="1">IF(CALC2223!BA169&gt;2,INDIRECT(ADDRESS(MATCH(Agenda2526!C170,'CAL4'!A:A,0)+2,3,4,1,"CAL4")),0)</f>
        <v>0</v>
      </c>
      <c r="Y169" s="20" t="str">
        <f ca="1">IF(CALC2223!BB169&gt;0,INDIRECT(ADDRESS(MATCH(Agenda2526!C170,'CAL5'!A:A,0),2,4,1,"CAL5")),"")</f>
        <v/>
      </c>
      <c r="Z169" s="21">
        <f ca="1">IF(CALC2223!BB169&gt;0,INDIRECT(ADDRESS(MATCH(Agenda2526!C170,'CAL5'!A:A,0),3,4,1,"CAL5")),0)</f>
        <v>0</v>
      </c>
      <c r="AA169" s="20" t="str">
        <f ca="1">IF(CALC2223!BB169&gt;1,INDIRECT(ADDRESS(MATCH(Agenda2526!C170,'CAL5'!A:A,0)+1,2,4,1,"CAL5")),"")</f>
        <v/>
      </c>
      <c r="AB169" s="21">
        <f ca="1">IF(CALC2223!BB169&gt;1,INDIRECT(ADDRESS(MATCH(Agenda2526!C170,'CAL5'!A:A,0)+1,3,4,1,"CAL5")),0)</f>
        <v>0</v>
      </c>
      <c r="AC169" s="20" t="str">
        <f ca="1">IF(CALC2223!BB169&gt;2,INDIRECT(ADDRESS(MATCH(Agenda2526!C170,'CAL5'!A:A,0)+2,2,4,1,"CAL5")),"")</f>
        <v/>
      </c>
      <c r="AD169" s="21">
        <f ca="1">IF(CALC2223!BB169&gt;2,INDIRECT(ADDRESS(MATCH(Agenda2526!C170,'CAL5'!A:A,0)+2,3,4,1,"CAL5")),0)</f>
        <v>0</v>
      </c>
      <c r="AE169" s="20" t="str">
        <f ca="1">IF(CALC2223!BC169&gt;0,INDIRECT(ADDRESS(MATCH(Agenda2526!C170,'CAL6'!A:A,0),2,4,1,"CAL6")),"")</f>
        <v/>
      </c>
      <c r="AF169" s="21">
        <f ca="1">IF(CALC2223!BC169&gt;0,INDIRECT(ADDRESS(MATCH(Agenda2526!C170,'CAL6'!A:A,0),3,4,1,"CAL6")),0)</f>
        <v>0</v>
      </c>
      <c r="AG169" s="20" t="str">
        <f ca="1">IF(CALC2223!BC169&gt;1,INDIRECT(ADDRESS(MATCH(Agenda2526!C170,'CAL6'!A:A,0)+1,2,4,1,"CAL6")),"")</f>
        <v/>
      </c>
      <c r="AH169" s="21">
        <f ca="1">IF(CALC2223!BC169&gt;1,INDIRECT(ADDRESS(MATCH(Agenda2526!C170,'CAL6'!A:A,0)+1,3,4,1,"CAL6")),0)</f>
        <v>0</v>
      </c>
      <c r="AI169" s="20" t="str">
        <f ca="1">IF(CALC2223!BC169&gt;2,INDIRECT(ADDRESS(MATCH(Agenda2526!C170,'CAL6'!A:A,0)+2,2,4,1,"CAL6")),"")</f>
        <v/>
      </c>
      <c r="AJ169" s="21">
        <f ca="1">IF(CALC2223!BC169&gt;2,INDIRECT(ADDRESS(MATCH(Agenda2526!C170,'CAL6'!A:A,0)+2,3,4,1,"CAL6")),0)</f>
        <v>0</v>
      </c>
      <c r="AK169" s="20" t="str">
        <f ca="1">IF(CALC2223!BD169&gt;0,INDIRECT(ADDRESS(MATCH(Agenda2526!C170,'CAL7'!A:A,0),2,4,1,"CAL7")),"")</f>
        <v/>
      </c>
      <c r="AL169" s="21">
        <f ca="1">IF(CALC2223!BD169&gt;0,INDIRECT(ADDRESS(MATCH(Agenda2526!C170,'CAL7'!A:A,0),3,4,1,"CAL7")),0)</f>
        <v>0</v>
      </c>
      <c r="AM169" s="20" t="str">
        <f ca="1">IF(CALC2223!BD169&gt;1,INDIRECT(ADDRESS(MATCH(Agenda2526!C170,'CAL7'!A:A,0)+1,2,4,1,"CAL7")),"")</f>
        <v/>
      </c>
      <c r="AN169" s="21">
        <f ca="1">IF(CALC2223!BD169&gt;1,INDIRECT(ADDRESS(MATCH(Agenda2526!C170,'CAL7'!A:A,0)+1,3,4,1,"CAL7")),0)</f>
        <v>0</v>
      </c>
      <c r="AO169" s="20" t="str">
        <f ca="1">IF(CALC2223!BD169&gt;2,INDIRECT(ADDRESS(MATCH(Agenda2526!C170,'CAL7'!A:A,0)+2,2,4,1,"CAL7")),"")</f>
        <v/>
      </c>
      <c r="AP169" s="21">
        <f ca="1">IF(CALC2223!BD169&gt;2,INDIRECT(ADDRESS(MATCH(Agenda2526!C170,'CAL7'!A:A,0)+2,3,4,1,"CAL7")),0)</f>
        <v>0</v>
      </c>
      <c r="AQ169" s="20" t="str">
        <f ca="1">IF(CALC2223!BE169&gt;0,INDIRECT(ADDRESS(MATCH(Agenda2526!C170,'CAL8'!A:A,0),2,4,1,"CAL8")),"")</f>
        <v/>
      </c>
      <c r="AR169" s="21">
        <f ca="1">IF(CALC2223!BE169&gt;0,INDIRECT(ADDRESS(MATCH(Agenda2526!C170,'CAL8'!A:A,0),3,4,1,"CAL8")),0)</f>
        <v>0</v>
      </c>
      <c r="AS169" s="20" t="str">
        <f ca="1">IF(CALC2223!BE169&gt;1,INDIRECT(ADDRESS(MATCH(Agenda2526!C170,'CAL8'!A:A,0)+1,2,4,1,"CAL8")),"")</f>
        <v/>
      </c>
      <c r="AT169" s="21">
        <f ca="1">IF(CALC2223!BE169&gt;1,INDIRECT(ADDRESS(MATCH(Agenda2526!C170,'CAL8'!A:A,0)+1,3,4,1,"CAL8")),0)</f>
        <v>0</v>
      </c>
      <c r="AU169" s="20" t="str">
        <f ca="1">IF(CALC2223!BE169&gt;2,INDIRECT(ADDRESS(MATCH(Agenda2526!C170,'CAL8'!A:A,0)+2,2,4,1,"CAL8")),"")</f>
        <v/>
      </c>
      <c r="AV169" s="21">
        <f ca="1">IF(CALC2223!BE169&gt;2,INDIRECT(ADDRESS(MATCH(Agenda2526!C170,'CAL8'!A:A,0)+2,3,4,1,"CAL8")),0)</f>
        <v>0</v>
      </c>
      <c r="AW169" s="106"/>
      <c r="AX169" s="20">
        <f>COUNTIF('CAL1'!A:A,Agenda2526!C170)</f>
        <v>0</v>
      </c>
      <c r="AY169" s="20">
        <f>COUNTIF('CAL2'!A:A,Agenda2526!C170)</f>
        <v>0</v>
      </c>
      <c r="AZ169" s="20">
        <f>COUNTIF('CAL3'!A:A,Agenda2526!C170)</f>
        <v>0</v>
      </c>
      <c r="BA169" s="20">
        <f>COUNTIF('CAL4'!A:A,Agenda2526!C170)</f>
        <v>0</v>
      </c>
      <c r="BB169" s="20">
        <f>COUNTIF('CAL5'!A:A,Agenda2526!C170)</f>
        <v>0</v>
      </c>
      <c r="BC169" s="20">
        <f>COUNTIF('CAL6'!A:A,Agenda2526!C170)</f>
        <v>0</v>
      </c>
      <c r="BD169" s="20">
        <f>COUNTIF('CAL7'!A:A,Agenda2526!C170)</f>
        <v>0</v>
      </c>
      <c r="BE169" s="20">
        <f>COUNTIF('CAL8'!A:A,Agenda2526!C170)</f>
        <v>0</v>
      </c>
    </row>
    <row r="170" spans="1:57" ht="15.75" customHeight="1">
      <c r="A170" s="20" t="str">
        <f ca="1">IF(CALC2223!AX170&gt;0,INDIRECT(ADDRESS(MATCH(Agenda2526!C171,'CAL1'!A:A,0),2,4,1,"CAL1")),"")</f>
        <v/>
      </c>
      <c r="B170" s="21">
        <f ca="1">IF(CALC2223!AX170&gt;0,INDIRECT(ADDRESS(MATCH(Agenda2526!C171,'CAL1'!A:A,0),3,4,1,"CAL1")),0)</f>
        <v>0</v>
      </c>
      <c r="C170" s="20" t="str">
        <f ca="1">IF(CALC2223!AX170&gt;1,INDIRECT(ADDRESS(MATCH(Agenda2526!C171,'CAL1'!A:A,0)+1,2,4,1,"CAL1")),"")</f>
        <v/>
      </c>
      <c r="D170" s="21">
        <f ca="1">IF(CALC2223!AX170&gt;1,INDIRECT(ADDRESS(MATCH(Agenda2526!C171,'CAL1'!A:A,0)+1,3,4,1,"CAL1")),0)</f>
        <v>0</v>
      </c>
      <c r="E170" s="20" t="str">
        <f ca="1">IF(CALC2223!AX170&gt;2,INDIRECT(ADDRESS(MATCH(Agenda2526!C171,'CAL1'!A:A,0)+2,2,4,1,"CAL1")),"")</f>
        <v/>
      </c>
      <c r="F170" s="21">
        <f ca="1">IF(CALC2223!AX170&gt;2,INDIRECT(ADDRESS(MATCH(Agenda2526!C171,'CAL1'!A:A,0)+2,3,4,1,"CAL1")),0)</f>
        <v>0</v>
      </c>
      <c r="G170" s="20" t="str">
        <f ca="1">IF(CALC2223!AY170&gt;0,INDIRECT(ADDRESS(MATCH(Agenda2526!C171,'CAL2'!A:A,0),2,4,1,"CAL2")),"")</f>
        <v/>
      </c>
      <c r="H170" s="21">
        <f ca="1">IF(CALC2223!AY170&gt;0,INDIRECT(ADDRESS(MATCH(Agenda2526!C171,'CAL2'!A:A,0),3,4,1,"CAL2")),0)</f>
        <v>0</v>
      </c>
      <c r="I170" s="20" t="str">
        <f ca="1">IF(CALC2223!AY170&gt;1,INDIRECT(ADDRESS(MATCH(Agenda2526!C171,'CAL2'!A:A,0)+1,2,4,1,"CAL2")),"")</f>
        <v/>
      </c>
      <c r="J170" s="21">
        <f ca="1">IF(CALC2223!AY170&gt;1,INDIRECT(ADDRESS(MATCH(Agenda2526!C171,'CAL2'!A:A,0)+1,3,4,1,"CAL2")),0)</f>
        <v>0</v>
      </c>
      <c r="K170" s="20" t="str">
        <f ca="1">IF(CALC2223!AY170&gt;2,INDIRECT(ADDRESS(MATCH(Agenda2526!C171,'CAL2'!A:A,0)+2,2,4,1,"CAL2")),"")</f>
        <v/>
      </c>
      <c r="L170" s="21">
        <f ca="1">IF(CALC2223!AY170&gt;2,INDIRECT(ADDRESS(MATCH(Agenda2526!C171,'CAL2'!A:A,0)+2,3,4,1,"CAL2")),0)</f>
        <v>0</v>
      </c>
      <c r="M170" s="20" t="str">
        <f ca="1">IF(CALC2223!AZ170&gt;0,INDIRECT(ADDRESS(MATCH(Agenda2526!C171,'CAL3'!A:A,0),2,4,1,"CAL3")),"")</f>
        <v/>
      </c>
      <c r="N170" s="21">
        <f ca="1">IF(CALC2223!AZ170&gt;0,INDIRECT(ADDRESS(MATCH(Agenda2526!C171,'CAL3'!A:A,0),3,4,1,"CAL3")),0)</f>
        <v>0</v>
      </c>
      <c r="O170" s="20" t="str">
        <f ca="1">IF(CALC2223!AZ170&gt;1,INDIRECT(ADDRESS(MATCH(Agenda2526!C171,'CAL3'!A:A,0)+1,2,4,1,"CAL3")),"")</f>
        <v/>
      </c>
      <c r="P170" s="21">
        <f ca="1">IF(CALC2223!AZ170&gt;1,INDIRECT(ADDRESS(MATCH(Agenda2526!C171,'CAL3'!A:A,0)+1,3,4,1,"CAL3")),0)</f>
        <v>0</v>
      </c>
      <c r="Q170" s="20" t="str">
        <f ca="1">IF(CALC2223!AZ170&gt;2,INDIRECT(ADDRESS(MATCH(Agenda2526!C171,'CAL3'!A:A,0)+2,2,4,1,"CAL3")),"")</f>
        <v/>
      </c>
      <c r="R170" s="21">
        <f ca="1">IF(CALC2223!AZ170&gt;2,INDIRECT(ADDRESS(MATCH(Agenda2526!C171,'CAL3'!A:A,0)+2,3,4,1,"CAL3")),0)</f>
        <v>0</v>
      </c>
      <c r="S170" s="20" t="str">
        <f ca="1">IF(CALC2223!BA170&gt;0,INDIRECT(ADDRESS(MATCH(Agenda2526!C171,'CAL4'!A:A,0),2,4,1,"CAL4")),"")</f>
        <v/>
      </c>
      <c r="T170" s="21">
        <f ca="1">IF(CALC2223!BA170&gt;0,INDIRECT(ADDRESS(MATCH(Agenda2526!C171,'CAL4'!A:A,0),3,4,1,"CAL4")),0)</f>
        <v>0</v>
      </c>
      <c r="U170" s="20" t="str">
        <f ca="1">IF(CALC2223!BA170&gt;1,INDIRECT(ADDRESS(MATCH(Agenda2526!C171,'CAL4'!A:A,0)+1,2,4,1,"CAL4")),"")</f>
        <v/>
      </c>
      <c r="V170" s="21">
        <f ca="1">IF(CALC2223!BA170&gt;1,INDIRECT(ADDRESS(MATCH(Agenda2526!C171,'CAL4'!A:A,0)+1,3,4,1,"CAL4")),0)</f>
        <v>0</v>
      </c>
      <c r="W170" s="20" t="str">
        <f ca="1">IF(CALC2223!BA170&gt;2,INDIRECT(ADDRESS(MATCH(Agenda2526!C171,'CAL4'!A:A,0)+2,2,4,1,"CAL4")),"")</f>
        <v/>
      </c>
      <c r="X170" s="21">
        <f ca="1">IF(CALC2223!BA170&gt;2,INDIRECT(ADDRESS(MATCH(Agenda2526!C171,'CAL4'!A:A,0)+2,3,4,1,"CAL4")),0)</f>
        <v>0</v>
      </c>
      <c r="Y170" s="20" t="str">
        <f ca="1">IF(CALC2223!BB170&gt;0,INDIRECT(ADDRESS(MATCH(Agenda2526!C171,'CAL5'!A:A,0),2,4,1,"CAL5")),"")</f>
        <v/>
      </c>
      <c r="Z170" s="21">
        <f ca="1">IF(CALC2223!BB170&gt;0,INDIRECT(ADDRESS(MATCH(Agenda2526!C171,'CAL5'!A:A,0),3,4,1,"CAL5")),0)</f>
        <v>0</v>
      </c>
      <c r="AA170" s="20" t="str">
        <f ca="1">IF(CALC2223!BB170&gt;1,INDIRECT(ADDRESS(MATCH(Agenda2526!C171,'CAL5'!A:A,0)+1,2,4,1,"CAL5")),"")</f>
        <v/>
      </c>
      <c r="AB170" s="21">
        <f ca="1">IF(CALC2223!BB170&gt;1,INDIRECT(ADDRESS(MATCH(Agenda2526!C171,'CAL5'!A:A,0)+1,3,4,1,"CAL5")),0)</f>
        <v>0</v>
      </c>
      <c r="AC170" s="20" t="str">
        <f ca="1">IF(CALC2223!BB170&gt;2,INDIRECT(ADDRESS(MATCH(Agenda2526!C171,'CAL5'!A:A,0)+2,2,4,1,"CAL5")),"")</f>
        <v/>
      </c>
      <c r="AD170" s="21">
        <f ca="1">IF(CALC2223!BB170&gt;2,INDIRECT(ADDRESS(MATCH(Agenda2526!C171,'CAL5'!A:A,0)+2,3,4,1,"CAL5")),0)</f>
        <v>0</v>
      </c>
      <c r="AE170" s="20" t="str">
        <f ca="1">IF(CALC2223!BC170&gt;0,INDIRECT(ADDRESS(MATCH(Agenda2526!C171,'CAL6'!A:A,0),2,4,1,"CAL6")),"")</f>
        <v/>
      </c>
      <c r="AF170" s="21">
        <f ca="1">IF(CALC2223!BC170&gt;0,INDIRECT(ADDRESS(MATCH(Agenda2526!C171,'CAL6'!A:A,0),3,4,1,"CAL6")),0)</f>
        <v>0</v>
      </c>
      <c r="AG170" s="20" t="str">
        <f ca="1">IF(CALC2223!BC170&gt;1,INDIRECT(ADDRESS(MATCH(Agenda2526!C171,'CAL6'!A:A,0)+1,2,4,1,"CAL6")),"")</f>
        <v/>
      </c>
      <c r="AH170" s="21">
        <f ca="1">IF(CALC2223!BC170&gt;1,INDIRECT(ADDRESS(MATCH(Agenda2526!C171,'CAL6'!A:A,0)+1,3,4,1,"CAL6")),0)</f>
        <v>0</v>
      </c>
      <c r="AI170" s="20" t="str">
        <f ca="1">IF(CALC2223!BC170&gt;2,INDIRECT(ADDRESS(MATCH(Agenda2526!C171,'CAL6'!A:A,0)+2,2,4,1,"CAL6")),"")</f>
        <v/>
      </c>
      <c r="AJ170" s="21">
        <f ca="1">IF(CALC2223!BC170&gt;2,INDIRECT(ADDRESS(MATCH(Agenda2526!C171,'CAL6'!A:A,0)+2,3,4,1,"CAL6")),0)</f>
        <v>0</v>
      </c>
      <c r="AK170" s="20" t="str">
        <f ca="1">IF(CALC2223!BD170&gt;0,INDIRECT(ADDRESS(MATCH(Agenda2526!C171,'CAL7'!A:A,0),2,4,1,"CAL7")),"")</f>
        <v/>
      </c>
      <c r="AL170" s="21">
        <f ca="1">IF(CALC2223!BD170&gt;0,INDIRECT(ADDRESS(MATCH(Agenda2526!C171,'CAL7'!A:A,0),3,4,1,"CAL7")),0)</f>
        <v>0</v>
      </c>
      <c r="AM170" s="20" t="str">
        <f ca="1">IF(CALC2223!BD170&gt;1,INDIRECT(ADDRESS(MATCH(Agenda2526!C171,'CAL7'!A:A,0)+1,2,4,1,"CAL7")),"")</f>
        <v/>
      </c>
      <c r="AN170" s="21">
        <f ca="1">IF(CALC2223!BD170&gt;1,INDIRECT(ADDRESS(MATCH(Agenda2526!C171,'CAL7'!A:A,0)+1,3,4,1,"CAL7")),0)</f>
        <v>0</v>
      </c>
      <c r="AO170" s="20" t="str">
        <f ca="1">IF(CALC2223!BD170&gt;2,INDIRECT(ADDRESS(MATCH(Agenda2526!C171,'CAL7'!A:A,0)+2,2,4,1,"CAL7")),"")</f>
        <v/>
      </c>
      <c r="AP170" s="21">
        <f ca="1">IF(CALC2223!BD170&gt;2,INDIRECT(ADDRESS(MATCH(Agenda2526!C171,'CAL7'!A:A,0)+2,3,4,1,"CAL7")),0)</f>
        <v>0</v>
      </c>
      <c r="AQ170" s="20" t="str">
        <f ca="1">IF(CALC2223!BE170&gt;0,INDIRECT(ADDRESS(MATCH(Agenda2526!C171,'CAL8'!A:A,0),2,4,1,"CAL8")),"")</f>
        <v/>
      </c>
      <c r="AR170" s="21">
        <f ca="1">IF(CALC2223!BE170&gt;0,INDIRECT(ADDRESS(MATCH(Agenda2526!C171,'CAL8'!A:A,0),3,4,1,"CAL8")),0)</f>
        <v>0</v>
      </c>
      <c r="AS170" s="20" t="str">
        <f ca="1">IF(CALC2223!BE170&gt;1,INDIRECT(ADDRESS(MATCH(Agenda2526!C171,'CAL8'!A:A,0)+1,2,4,1,"CAL8")),"")</f>
        <v/>
      </c>
      <c r="AT170" s="21">
        <f ca="1">IF(CALC2223!BE170&gt;1,INDIRECT(ADDRESS(MATCH(Agenda2526!C171,'CAL8'!A:A,0)+1,3,4,1,"CAL8")),0)</f>
        <v>0</v>
      </c>
      <c r="AU170" s="20" t="str">
        <f ca="1">IF(CALC2223!BE170&gt;2,INDIRECT(ADDRESS(MATCH(Agenda2526!C171,'CAL8'!A:A,0)+2,2,4,1,"CAL8")),"")</f>
        <v/>
      </c>
      <c r="AV170" s="21">
        <f ca="1">IF(CALC2223!BE170&gt;2,INDIRECT(ADDRESS(MATCH(Agenda2526!C171,'CAL8'!A:A,0)+2,3,4,1,"CAL8")),0)</f>
        <v>0</v>
      </c>
      <c r="AW170" s="107" t="s">
        <v>121</v>
      </c>
      <c r="AX170" s="20">
        <f>COUNTIF('CAL1'!A:A,Agenda2526!C171)</f>
        <v>0</v>
      </c>
      <c r="AY170" s="20">
        <f>COUNTIF('CAL2'!A:A,Agenda2526!C171)</f>
        <v>0</v>
      </c>
      <c r="AZ170" s="20">
        <f>COUNTIF('CAL3'!A:A,Agenda2526!C171)</f>
        <v>0</v>
      </c>
      <c r="BA170" s="20">
        <f>COUNTIF('CAL4'!A:A,Agenda2526!C171)</f>
        <v>0</v>
      </c>
      <c r="BB170" s="20">
        <f>COUNTIF('CAL5'!A:A,Agenda2526!C171)</f>
        <v>0</v>
      </c>
      <c r="BC170" s="20">
        <f>COUNTIF('CAL6'!A:A,Agenda2526!C171)</f>
        <v>0</v>
      </c>
      <c r="BD170" s="20">
        <f>COUNTIF('CAL7'!A:A,Agenda2526!C171)</f>
        <v>0</v>
      </c>
      <c r="BE170" s="20">
        <f>COUNTIF('CAL8'!A:A,Agenda2526!C171)</f>
        <v>0</v>
      </c>
    </row>
    <row r="171" spans="1:57" ht="15.75" customHeight="1">
      <c r="A171" s="20" t="str">
        <f ca="1">IF(CALC2223!AX171&gt;0,INDIRECT(ADDRESS(MATCH(Agenda2526!C172,'CAL1'!A:A,0),2,4,1,"CAL1")),"")</f>
        <v/>
      </c>
      <c r="B171" s="21">
        <f ca="1">IF(CALC2223!AX171&gt;0,INDIRECT(ADDRESS(MATCH(Agenda2526!C172,'CAL1'!A:A,0),3,4,1,"CAL1")),0)</f>
        <v>0</v>
      </c>
      <c r="C171" s="20" t="str">
        <f ca="1">IF(CALC2223!AX171&gt;1,INDIRECT(ADDRESS(MATCH(Agenda2526!C172,'CAL1'!A:A,0)+1,2,4,1,"CAL1")),"")</f>
        <v/>
      </c>
      <c r="D171" s="21">
        <f ca="1">IF(CALC2223!AX171&gt;1,INDIRECT(ADDRESS(MATCH(Agenda2526!C172,'CAL1'!A:A,0)+1,3,4,1,"CAL1")),0)</f>
        <v>0</v>
      </c>
      <c r="E171" s="20" t="str">
        <f ca="1">IF(CALC2223!AX171&gt;2,INDIRECT(ADDRESS(MATCH(Agenda2526!C172,'CAL1'!A:A,0)+2,2,4,1,"CAL1")),"")</f>
        <v/>
      </c>
      <c r="F171" s="21">
        <f ca="1">IF(CALC2223!AX171&gt;2,INDIRECT(ADDRESS(MATCH(Agenda2526!C172,'CAL1'!A:A,0)+2,3,4,1,"CAL1")),0)</f>
        <v>0</v>
      </c>
      <c r="G171" s="20" t="str">
        <f ca="1">IF(CALC2223!AY171&gt;0,INDIRECT(ADDRESS(MATCH(Agenda2526!C172,'CAL2'!A:A,0),2,4,1,"CAL2")),"")</f>
        <v/>
      </c>
      <c r="H171" s="21">
        <f ca="1">IF(CALC2223!AY171&gt;0,INDIRECT(ADDRESS(MATCH(Agenda2526!C172,'CAL2'!A:A,0),3,4,1,"CAL2")),0)</f>
        <v>0</v>
      </c>
      <c r="I171" s="20" t="str">
        <f ca="1">IF(CALC2223!AY171&gt;1,INDIRECT(ADDRESS(MATCH(Agenda2526!C172,'CAL2'!A:A,0)+1,2,4,1,"CAL2")),"")</f>
        <v/>
      </c>
      <c r="J171" s="21">
        <f ca="1">IF(CALC2223!AY171&gt;1,INDIRECT(ADDRESS(MATCH(Agenda2526!C172,'CAL2'!A:A,0)+1,3,4,1,"CAL2")),0)</f>
        <v>0</v>
      </c>
      <c r="K171" s="20" t="str">
        <f ca="1">IF(CALC2223!AY171&gt;2,INDIRECT(ADDRESS(MATCH(Agenda2526!C172,'CAL2'!A:A,0)+2,2,4,1,"CAL2")),"")</f>
        <v/>
      </c>
      <c r="L171" s="21">
        <f ca="1">IF(CALC2223!AY171&gt;2,INDIRECT(ADDRESS(MATCH(Agenda2526!C172,'CAL2'!A:A,0)+2,3,4,1,"CAL2")),0)</f>
        <v>0</v>
      </c>
      <c r="M171" s="20" t="str">
        <f ca="1">IF(CALC2223!AZ171&gt;0,INDIRECT(ADDRESS(MATCH(Agenda2526!C172,'CAL3'!A:A,0),2,4,1,"CAL3")),"")</f>
        <v/>
      </c>
      <c r="N171" s="21">
        <f ca="1">IF(CALC2223!AZ171&gt;0,INDIRECT(ADDRESS(MATCH(Agenda2526!C172,'CAL3'!A:A,0),3,4,1,"CAL3")),0)</f>
        <v>0</v>
      </c>
      <c r="O171" s="20" t="str">
        <f ca="1">IF(CALC2223!AZ171&gt;1,INDIRECT(ADDRESS(MATCH(Agenda2526!C172,'CAL3'!A:A,0)+1,2,4,1,"CAL3")),"")</f>
        <v/>
      </c>
      <c r="P171" s="21">
        <f ca="1">IF(CALC2223!AZ171&gt;1,INDIRECT(ADDRESS(MATCH(Agenda2526!C172,'CAL3'!A:A,0)+1,3,4,1,"CAL3")),0)</f>
        <v>0</v>
      </c>
      <c r="Q171" s="20" t="str">
        <f ca="1">IF(CALC2223!AZ171&gt;2,INDIRECT(ADDRESS(MATCH(Agenda2526!C172,'CAL3'!A:A,0)+2,2,4,1,"CAL3")),"")</f>
        <v/>
      </c>
      <c r="R171" s="21">
        <f ca="1">IF(CALC2223!AZ171&gt;2,INDIRECT(ADDRESS(MATCH(Agenda2526!C172,'CAL3'!A:A,0)+2,3,4,1,"CAL3")),0)</f>
        <v>0</v>
      </c>
      <c r="S171" s="20" t="str">
        <f ca="1">IF(CALC2223!BA171&gt;0,INDIRECT(ADDRESS(MATCH(Agenda2526!C172,'CAL4'!A:A,0),2,4,1,"CAL4")),"")</f>
        <v/>
      </c>
      <c r="T171" s="21">
        <f ca="1">IF(CALC2223!BA171&gt;0,INDIRECT(ADDRESS(MATCH(Agenda2526!C172,'CAL4'!A:A,0),3,4,1,"CAL4")),0)</f>
        <v>0</v>
      </c>
      <c r="U171" s="20" t="str">
        <f ca="1">IF(CALC2223!BA171&gt;1,INDIRECT(ADDRESS(MATCH(Agenda2526!C172,'CAL4'!A:A,0)+1,2,4,1,"CAL4")),"")</f>
        <v/>
      </c>
      <c r="V171" s="21">
        <f ca="1">IF(CALC2223!BA171&gt;1,INDIRECT(ADDRESS(MATCH(Agenda2526!C172,'CAL4'!A:A,0)+1,3,4,1,"CAL4")),0)</f>
        <v>0</v>
      </c>
      <c r="W171" s="20" t="str">
        <f ca="1">IF(CALC2223!BA171&gt;2,INDIRECT(ADDRESS(MATCH(Agenda2526!C172,'CAL4'!A:A,0)+2,2,4,1,"CAL4")),"")</f>
        <v/>
      </c>
      <c r="X171" s="21">
        <f ca="1">IF(CALC2223!BA171&gt;2,INDIRECT(ADDRESS(MATCH(Agenda2526!C172,'CAL4'!A:A,0)+2,3,4,1,"CAL4")),0)</f>
        <v>0</v>
      </c>
      <c r="Y171" s="20" t="str">
        <f ca="1">IF(CALC2223!BB171&gt;0,INDIRECT(ADDRESS(MATCH(Agenda2526!C172,'CAL5'!A:A,0),2,4,1,"CAL5")),"")</f>
        <v/>
      </c>
      <c r="Z171" s="21">
        <f ca="1">IF(CALC2223!BB171&gt;0,INDIRECT(ADDRESS(MATCH(Agenda2526!C172,'CAL5'!A:A,0),3,4,1,"CAL5")),0)</f>
        <v>0</v>
      </c>
      <c r="AA171" s="20" t="str">
        <f ca="1">IF(CALC2223!BB171&gt;1,INDIRECT(ADDRESS(MATCH(Agenda2526!C172,'CAL5'!A:A,0)+1,2,4,1,"CAL5")),"")</f>
        <v/>
      </c>
      <c r="AB171" s="21">
        <f ca="1">IF(CALC2223!BB171&gt;1,INDIRECT(ADDRESS(MATCH(Agenda2526!C172,'CAL5'!A:A,0)+1,3,4,1,"CAL5")),0)</f>
        <v>0</v>
      </c>
      <c r="AC171" s="20" t="str">
        <f ca="1">IF(CALC2223!BB171&gt;2,INDIRECT(ADDRESS(MATCH(Agenda2526!C172,'CAL5'!A:A,0)+2,2,4,1,"CAL5")),"")</f>
        <v/>
      </c>
      <c r="AD171" s="21">
        <f ca="1">IF(CALC2223!BB171&gt;2,INDIRECT(ADDRESS(MATCH(Agenda2526!C172,'CAL5'!A:A,0)+2,3,4,1,"CAL5")),0)</f>
        <v>0</v>
      </c>
      <c r="AE171" s="20" t="str">
        <f ca="1">IF(CALC2223!BC171&gt;0,INDIRECT(ADDRESS(MATCH(Agenda2526!C172,'CAL6'!A:A,0),2,4,1,"CAL6")),"")</f>
        <v/>
      </c>
      <c r="AF171" s="21">
        <f ca="1">IF(CALC2223!BC171&gt;0,INDIRECT(ADDRESS(MATCH(Agenda2526!C172,'CAL6'!A:A,0),3,4,1,"CAL6")),0)</f>
        <v>0</v>
      </c>
      <c r="AG171" s="20" t="str">
        <f ca="1">IF(CALC2223!BC171&gt;1,INDIRECT(ADDRESS(MATCH(Agenda2526!C172,'CAL6'!A:A,0)+1,2,4,1,"CAL6")),"")</f>
        <v/>
      </c>
      <c r="AH171" s="21">
        <f ca="1">IF(CALC2223!BC171&gt;1,INDIRECT(ADDRESS(MATCH(Agenda2526!C172,'CAL6'!A:A,0)+1,3,4,1,"CAL6")),0)</f>
        <v>0</v>
      </c>
      <c r="AI171" s="20" t="str">
        <f ca="1">IF(CALC2223!BC171&gt;2,INDIRECT(ADDRESS(MATCH(Agenda2526!C172,'CAL6'!A:A,0)+2,2,4,1,"CAL6")),"")</f>
        <v/>
      </c>
      <c r="AJ171" s="21">
        <f ca="1">IF(CALC2223!BC171&gt;2,INDIRECT(ADDRESS(MATCH(Agenda2526!C172,'CAL6'!A:A,0)+2,3,4,1,"CAL6")),0)</f>
        <v>0</v>
      </c>
      <c r="AK171" s="20" t="str">
        <f ca="1">IF(CALC2223!BD171&gt;0,INDIRECT(ADDRESS(MATCH(Agenda2526!C172,'CAL7'!A:A,0),2,4,1,"CAL7")),"")</f>
        <v/>
      </c>
      <c r="AL171" s="21">
        <f ca="1">IF(CALC2223!BD171&gt;0,INDIRECT(ADDRESS(MATCH(Agenda2526!C172,'CAL7'!A:A,0),3,4,1,"CAL7")),0)</f>
        <v>0</v>
      </c>
      <c r="AM171" s="20" t="str">
        <f ca="1">IF(CALC2223!BD171&gt;1,INDIRECT(ADDRESS(MATCH(Agenda2526!C172,'CAL7'!A:A,0)+1,2,4,1,"CAL7")),"")</f>
        <v/>
      </c>
      <c r="AN171" s="21">
        <f ca="1">IF(CALC2223!BD171&gt;1,INDIRECT(ADDRESS(MATCH(Agenda2526!C172,'CAL7'!A:A,0)+1,3,4,1,"CAL7")),0)</f>
        <v>0</v>
      </c>
      <c r="AO171" s="20" t="str">
        <f ca="1">IF(CALC2223!BD171&gt;2,INDIRECT(ADDRESS(MATCH(Agenda2526!C172,'CAL7'!A:A,0)+2,2,4,1,"CAL7")),"")</f>
        <v/>
      </c>
      <c r="AP171" s="21">
        <f ca="1">IF(CALC2223!BD171&gt;2,INDIRECT(ADDRESS(MATCH(Agenda2526!C172,'CAL7'!A:A,0)+2,3,4,1,"CAL7")),0)</f>
        <v>0</v>
      </c>
      <c r="AQ171" s="20" t="str">
        <f ca="1">IF(CALC2223!BE171&gt;0,INDIRECT(ADDRESS(MATCH(Agenda2526!C172,'CAL8'!A:A,0),2,4,1,"CAL8")),"")</f>
        <v/>
      </c>
      <c r="AR171" s="21">
        <f ca="1">IF(CALC2223!BE171&gt;0,INDIRECT(ADDRESS(MATCH(Agenda2526!C172,'CAL8'!A:A,0),3,4,1,"CAL8")),0)</f>
        <v>0</v>
      </c>
      <c r="AS171" s="20" t="str">
        <f ca="1">IF(CALC2223!BE171&gt;1,INDIRECT(ADDRESS(MATCH(Agenda2526!C172,'CAL8'!A:A,0)+1,2,4,1,"CAL8")),"")</f>
        <v/>
      </c>
      <c r="AT171" s="21">
        <f ca="1">IF(CALC2223!BE171&gt;1,INDIRECT(ADDRESS(MATCH(Agenda2526!C172,'CAL8'!A:A,0)+1,3,4,1,"CAL8")),0)</f>
        <v>0</v>
      </c>
      <c r="AU171" s="20" t="str">
        <f ca="1">IF(CALC2223!BE171&gt;2,INDIRECT(ADDRESS(MATCH(Agenda2526!C172,'CAL8'!A:A,0)+2,2,4,1,"CAL8")),"")</f>
        <v/>
      </c>
      <c r="AV171" s="21">
        <f ca="1">IF(CALC2223!BE171&gt;2,INDIRECT(ADDRESS(MATCH(Agenda2526!C172,'CAL8'!A:A,0)+2,3,4,1,"CAL8")),0)</f>
        <v>0</v>
      </c>
      <c r="AW171" s="111"/>
      <c r="AX171" s="20">
        <f>COUNTIF('CAL1'!A:A,Agenda2526!C172)</f>
        <v>0</v>
      </c>
      <c r="AY171" s="20">
        <f>COUNTIF('CAL2'!A:A,Agenda2526!C172)</f>
        <v>0</v>
      </c>
      <c r="AZ171" s="20">
        <f>COUNTIF('CAL3'!A:A,Agenda2526!C172)</f>
        <v>0</v>
      </c>
      <c r="BA171" s="20">
        <f>COUNTIF('CAL4'!A:A,Agenda2526!C172)</f>
        <v>0</v>
      </c>
      <c r="BB171" s="20">
        <f>COUNTIF('CAL5'!A:A,Agenda2526!C172)</f>
        <v>0</v>
      </c>
      <c r="BC171" s="20">
        <f>COUNTIF('CAL6'!A:A,Agenda2526!C172)</f>
        <v>0</v>
      </c>
      <c r="BD171" s="20">
        <f>COUNTIF('CAL7'!A:A,Agenda2526!C172)</f>
        <v>0</v>
      </c>
      <c r="BE171" s="20">
        <f>COUNTIF('CAL8'!A:A,Agenda2526!C172)</f>
        <v>0</v>
      </c>
    </row>
    <row r="172" spans="1:57" ht="15.75" customHeight="1">
      <c r="A172" s="20" t="str">
        <f ca="1">IF(CALC2223!AX172&gt;0,INDIRECT(ADDRESS(MATCH(Agenda2526!C173,'CAL1'!A:A,0),2,4,1,"CAL1")),"")</f>
        <v/>
      </c>
      <c r="B172" s="21">
        <f ca="1">IF(CALC2223!AX172&gt;0,INDIRECT(ADDRESS(MATCH(Agenda2526!C173,'CAL1'!A:A,0),3,4,1,"CAL1")),0)</f>
        <v>0</v>
      </c>
      <c r="C172" s="20" t="str">
        <f ca="1">IF(CALC2223!AX172&gt;1,INDIRECT(ADDRESS(MATCH(Agenda2526!C173,'CAL1'!A:A,0)+1,2,4,1,"CAL1")),"")</f>
        <v/>
      </c>
      <c r="D172" s="21">
        <f ca="1">IF(CALC2223!AX172&gt;1,INDIRECT(ADDRESS(MATCH(Agenda2526!C173,'CAL1'!A:A,0)+1,3,4,1,"CAL1")),0)</f>
        <v>0</v>
      </c>
      <c r="E172" s="20" t="str">
        <f ca="1">IF(CALC2223!AX172&gt;2,INDIRECT(ADDRESS(MATCH(Agenda2526!C173,'CAL1'!A:A,0)+2,2,4,1,"CAL1")),"")</f>
        <v/>
      </c>
      <c r="F172" s="21">
        <f ca="1">IF(CALC2223!AX172&gt;2,INDIRECT(ADDRESS(MATCH(Agenda2526!C173,'CAL1'!A:A,0)+2,3,4,1,"CAL1")),0)</f>
        <v>0</v>
      </c>
      <c r="G172" s="20" t="str">
        <f ca="1">IF(CALC2223!AY172&gt;0,INDIRECT(ADDRESS(MATCH(Agenda2526!C173,'CAL2'!A:A,0),2,4,1,"CAL2")),"")</f>
        <v/>
      </c>
      <c r="H172" s="21">
        <f ca="1">IF(CALC2223!AY172&gt;0,INDIRECT(ADDRESS(MATCH(Agenda2526!C173,'CAL2'!A:A,0),3,4,1,"CAL2")),0)</f>
        <v>0</v>
      </c>
      <c r="I172" s="20" t="str">
        <f ca="1">IF(CALC2223!AY172&gt;1,INDIRECT(ADDRESS(MATCH(Agenda2526!C173,'CAL2'!A:A,0)+1,2,4,1,"CAL2")),"")</f>
        <v/>
      </c>
      <c r="J172" s="21">
        <f ca="1">IF(CALC2223!AY172&gt;1,INDIRECT(ADDRESS(MATCH(Agenda2526!C173,'CAL2'!A:A,0)+1,3,4,1,"CAL2")),0)</f>
        <v>0</v>
      </c>
      <c r="K172" s="20" t="str">
        <f ca="1">IF(CALC2223!AY172&gt;2,INDIRECT(ADDRESS(MATCH(Agenda2526!C173,'CAL2'!A:A,0)+2,2,4,1,"CAL2")),"")</f>
        <v/>
      </c>
      <c r="L172" s="21">
        <f ca="1">IF(CALC2223!AY172&gt;2,INDIRECT(ADDRESS(MATCH(Agenda2526!C173,'CAL2'!A:A,0)+2,3,4,1,"CAL2")),0)</f>
        <v>0</v>
      </c>
      <c r="M172" s="20" t="str">
        <f ca="1">IF(CALC2223!AZ172&gt;0,INDIRECT(ADDRESS(MATCH(Agenda2526!C173,'CAL3'!A:A,0),2,4,1,"CAL3")),"")</f>
        <v/>
      </c>
      <c r="N172" s="21">
        <f ca="1">IF(CALC2223!AZ172&gt;0,INDIRECT(ADDRESS(MATCH(Agenda2526!C173,'CAL3'!A:A,0),3,4,1,"CAL3")),0)</f>
        <v>0</v>
      </c>
      <c r="O172" s="20" t="str">
        <f ca="1">IF(CALC2223!AZ172&gt;1,INDIRECT(ADDRESS(MATCH(Agenda2526!C173,'CAL3'!A:A,0)+1,2,4,1,"CAL3")),"")</f>
        <v/>
      </c>
      <c r="P172" s="21">
        <f ca="1">IF(CALC2223!AZ172&gt;1,INDIRECT(ADDRESS(MATCH(Agenda2526!C173,'CAL3'!A:A,0)+1,3,4,1,"CAL3")),0)</f>
        <v>0</v>
      </c>
      <c r="Q172" s="20" t="str">
        <f ca="1">IF(CALC2223!AZ172&gt;2,INDIRECT(ADDRESS(MATCH(Agenda2526!C173,'CAL3'!A:A,0)+2,2,4,1,"CAL3")),"")</f>
        <v/>
      </c>
      <c r="R172" s="21">
        <f ca="1">IF(CALC2223!AZ172&gt;2,INDIRECT(ADDRESS(MATCH(Agenda2526!C173,'CAL3'!A:A,0)+2,3,4,1,"CAL3")),0)</f>
        <v>0</v>
      </c>
      <c r="S172" s="20" t="str">
        <f ca="1">IF(CALC2223!BA172&gt;0,INDIRECT(ADDRESS(MATCH(Agenda2526!C173,'CAL4'!A:A,0),2,4,1,"CAL4")),"")</f>
        <v/>
      </c>
      <c r="T172" s="21">
        <f ca="1">IF(CALC2223!BA172&gt;0,INDIRECT(ADDRESS(MATCH(Agenda2526!C173,'CAL4'!A:A,0),3,4,1,"CAL4")),0)</f>
        <v>0</v>
      </c>
      <c r="U172" s="20" t="str">
        <f ca="1">IF(CALC2223!BA172&gt;1,INDIRECT(ADDRESS(MATCH(Agenda2526!C173,'CAL4'!A:A,0)+1,2,4,1,"CAL4")),"")</f>
        <v/>
      </c>
      <c r="V172" s="21">
        <f ca="1">IF(CALC2223!BA172&gt;1,INDIRECT(ADDRESS(MATCH(Agenda2526!C173,'CAL4'!A:A,0)+1,3,4,1,"CAL4")),0)</f>
        <v>0</v>
      </c>
      <c r="W172" s="20" t="str">
        <f ca="1">IF(CALC2223!BA172&gt;2,INDIRECT(ADDRESS(MATCH(Agenda2526!C173,'CAL4'!A:A,0)+2,2,4,1,"CAL4")),"")</f>
        <v/>
      </c>
      <c r="X172" s="21">
        <f ca="1">IF(CALC2223!BA172&gt;2,INDIRECT(ADDRESS(MATCH(Agenda2526!C173,'CAL4'!A:A,0)+2,3,4,1,"CAL4")),0)</f>
        <v>0</v>
      </c>
      <c r="Y172" s="20" t="str">
        <f ca="1">IF(CALC2223!BB172&gt;0,INDIRECT(ADDRESS(MATCH(Agenda2526!C173,'CAL5'!A:A,0),2,4,1,"CAL5")),"")</f>
        <v/>
      </c>
      <c r="Z172" s="21">
        <f ca="1">IF(CALC2223!BB172&gt;0,INDIRECT(ADDRESS(MATCH(Agenda2526!C173,'CAL5'!A:A,0),3,4,1,"CAL5")),0)</f>
        <v>0</v>
      </c>
      <c r="AA172" s="20" t="str">
        <f ca="1">IF(CALC2223!BB172&gt;1,INDIRECT(ADDRESS(MATCH(Agenda2526!C173,'CAL5'!A:A,0)+1,2,4,1,"CAL5")),"")</f>
        <v/>
      </c>
      <c r="AB172" s="21">
        <f ca="1">IF(CALC2223!BB172&gt;1,INDIRECT(ADDRESS(MATCH(Agenda2526!C173,'CAL5'!A:A,0)+1,3,4,1,"CAL5")),0)</f>
        <v>0</v>
      </c>
      <c r="AC172" s="20" t="str">
        <f ca="1">IF(CALC2223!BB172&gt;2,INDIRECT(ADDRESS(MATCH(Agenda2526!C173,'CAL5'!A:A,0)+2,2,4,1,"CAL5")),"")</f>
        <v/>
      </c>
      <c r="AD172" s="21">
        <f ca="1">IF(CALC2223!BB172&gt;2,INDIRECT(ADDRESS(MATCH(Agenda2526!C173,'CAL5'!A:A,0)+2,3,4,1,"CAL5")),0)</f>
        <v>0</v>
      </c>
      <c r="AE172" s="20" t="str">
        <f ca="1">IF(CALC2223!BC172&gt;0,INDIRECT(ADDRESS(MATCH(Agenda2526!C173,'CAL6'!A:A,0),2,4,1,"CAL6")),"")</f>
        <v/>
      </c>
      <c r="AF172" s="21">
        <f ca="1">IF(CALC2223!BC172&gt;0,INDIRECT(ADDRESS(MATCH(Agenda2526!C173,'CAL6'!A:A,0),3,4,1,"CAL6")),0)</f>
        <v>0</v>
      </c>
      <c r="AG172" s="20" t="str">
        <f ca="1">IF(CALC2223!BC172&gt;1,INDIRECT(ADDRESS(MATCH(Agenda2526!C173,'CAL6'!A:A,0)+1,2,4,1,"CAL6")),"")</f>
        <v/>
      </c>
      <c r="AH172" s="21">
        <f ca="1">IF(CALC2223!BC172&gt;1,INDIRECT(ADDRESS(MATCH(Agenda2526!C173,'CAL6'!A:A,0)+1,3,4,1,"CAL6")),0)</f>
        <v>0</v>
      </c>
      <c r="AI172" s="20" t="str">
        <f ca="1">IF(CALC2223!BC172&gt;2,INDIRECT(ADDRESS(MATCH(Agenda2526!C173,'CAL6'!A:A,0)+2,2,4,1,"CAL6")),"")</f>
        <v/>
      </c>
      <c r="AJ172" s="21">
        <f ca="1">IF(CALC2223!BC172&gt;2,INDIRECT(ADDRESS(MATCH(Agenda2526!C173,'CAL6'!A:A,0)+2,3,4,1,"CAL6")),0)</f>
        <v>0</v>
      </c>
      <c r="AK172" s="20" t="str">
        <f ca="1">IF(CALC2223!BD172&gt;0,INDIRECT(ADDRESS(MATCH(Agenda2526!C173,'CAL7'!A:A,0),2,4,1,"CAL7")),"")</f>
        <v/>
      </c>
      <c r="AL172" s="21">
        <f ca="1">IF(CALC2223!BD172&gt;0,INDIRECT(ADDRESS(MATCH(Agenda2526!C173,'CAL7'!A:A,0),3,4,1,"CAL7")),0)</f>
        <v>0</v>
      </c>
      <c r="AM172" s="20" t="str">
        <f ca="1">IF(CALC2223!BD172&gt;1,INDIRECT(ADDRESS(MATCH(Agenda2526!C173,'CAL7'!A:A,0)+1,2,4,1,"CAL7")),"")</f>
        <v/>
      </c>
      <c r="AN172" s="21">
        <f ca="1">IF(CALC2223!BD172&gt;1,INDIRECT(ADDRESS(MATCH(Agenda2526!C173,'CAL7'!A:A,0)+1,3,4,1,"CAL7")),0)</f>
        <v>0</v>
      </c>
      <c r="AO172" s="20" t="str">
        <f ca="1">IF(CALC2223!BD172&gt;2,INDIRECT(ADDRESS(MATCH(Agenda2526!C173,'CAL7'!A:A,0)+2,2,4,1,"CAL7")),"")</f>
        <v/>
      </c>
      <c r="AP172" s="21">
        <f ca="1">IF(CALC2223!BD172&gt;2,INDIRECT(ADDRESS(MATCH(Agenda2526!C173,'CAL7'!A:A,0)+2,3,4,1,"CAL7")),0)</f>
        <v>0</v>
      </c>
      <c r="AQ172" s="20" t="str">
        <f ca="1">IF(CALC2223!BE172&gt;0,INDIRECT(ADDRESS(MATCH(Agenda2526!C173,'CAL8'!A:A,0),2,4,1,"CAL8")),"")</f>
        <v>start Ramadan</v>
      </c>
      <c r="AR172" s="21">
        <f ca="1">IF(CALC2223!BE172&gt;0,INDIRECT(ADDRESS(MATCH(Agenda2526!C173,'CAL8'!A:A,0),3,4,1,"CAL8")),0)</f>
        <v>45896</v>
      </c>
      <c r="AS172" s="20" t="str">
        <f ca="1">IF(CALC2223!BE172&gt;1,INDIRECT(ADDRESS(MATCH(Agenda2526!C173,'CAL8'!A:A,0)+1,2,4,1,"CAL8")),"")</f>
        <v/>
      </c>
      <c r="AT172" s="21">
        <f ca="1">IF(CALC2223!BE172&gt;1,INDIRECT(ADDRESS(MATCH(Agenda2526!C173,'CAL8'!A:A,0)+1,3,4,1,"CAL8")),0)</f>
        <v>0</v>
      </c>
      <c r="AU172" s="20" t="str">
        <f ca="1">IF(CALC2223!BE172&gt;2,INDIRECT(ADDRESS(MATCH(Agenda2526!C173,'CAL8'!A:A,0)+2,2,4,1,"CAL8")),"")</f>
        <v/>
      </c>
      <c r="AV172" s="21">
        <f ca="1">IF(CALC2223!BE172&gt;2,INDIRECT(ADDRESS(MATCH(Agenda2526!C173,'CAL8'!A:A,0)+2,3,4,1,"CAL8")),0)</f>
        <v>0</v>
      </c>
      <c r="AW172" s="107"/>
      <c r="AX172" s="20">
        <f>COUNTIF('CAL1'!A:A,Agenda2526!C173)</f>
        <v>0</v>
      </c>
      <c r="AY172" s="20">
        <f>COUNTIF('CAL2'!A:A,Agenda2526!C173)</f>
        <v>0</v>
      </c>
      <c r="AZ172" s="20">
        <f>COUNTIF('CAL3'!A:A,Agenda2526!C173)</f>
        <v>0</v>
      </c>
      <c r="BA172" s="20">
        <f>COUNTIF('CAL4'!A:A,Agenda2526!C173)</f>
        <v>0</v>
      </c>
      <c r="BB172" s="20">
        <f>COUNTIF('CAL5'!A:A,Agenda2526!C173)</f>
        <v>0</v>
      </c>
      <c r="BC172" s="20">
        <f>COUNTIF('CAL6'!A:A,Agenda2526!C173)</f>
        <v>0</v>
      </c>
      <c r="BD172" s="20">
        <f>COUNTIF('CAL7'!A:A,Agenda2526!C173)</f>
        <v>0</v>
      </c>
      <c r="BE172" s="20">
        <f>COUNTIF('CAL8'!A:A,Agenda2526!C173)</f>
        <v>1</v>
      </c>
    </row>
    <row r="173" spans="1:57" ht="15.75" customHeight="1">
      <c r="A173" s="20" t="str">
        <f ca="1">IF(CALC2223!AX173&gt;0,INDIRECT(ADDRESS(MATCH(Agenda2526!C174,'CAL1'!A:A,0),2,4,1,"CAL1")),"")</f>
        <v/>
      </c>
      <c r="B173" s="21">
        <f ca="1">IF(CALC2223!AX173&gt;0,INDIRECT(ADDRESS(MATCH(Agenda2526!C174,'CAL1'!A:A,0),3,4,1,"CAL1")),0)</f>
        <v>0</v>
      </c>
      <c r="C173" s="20" t="str">
        <f ca="1">IF(CALC2223!AX173&gt;1,INDIRECT(ADDRESS(MATCH(Agenda2526!C174,'CAL1'!A:A,0)+1,2,4,1,"CAL1")),"")</f>
        <v/>
      </c>
      <c r="D173" s="21">
        <f ca="1">IF(CALC2223!AX173&gt;1,INDIRECT(ADDRESS(MATCH(Agenda2526!C174,'CAL1'!A:A,0)+1,3,4,1,"CAL1")),0)</f>
        <v>0</v>
      </c>
      <c r="E173" s="20" t="str">
        <f ca="1">IF(CALC2223!AX173&gt;2,INDIRECT(ADDRESS(MATCH(Agenda2526!C174,'CAL1'!A:A,0)+2,2,4,1,"CAL1")),"")</f>
        <v/>
      </c>
      <c r="F173" s="21">
        <f ca="1">IF(CALC2223!AX173&gt;2,INDIRECT(ADDRESS(MATCH(Agenda2526!C174,'CAL1'!A:A,0)+2,3,4,1,"CAL1")),0)</f>
        <v>0</v>
      </c>
      <c r="G173" s="20" t="str">
        <f ca="1">IF(CALC2223!AY173&gt;0,INDIRECT(ADDRESS(MATCH(Agenda2526!C174,'CAL2'!A:A,0),2,4,1,"CAL2")),"")</f>
        <v/>
      </c>
      <c r="H173" s="21">
        <f ca="1">IF(CALC2223!AY173&gt;0,INDIRECT(ADDRESS(MATCH(Agenda2526!C174,'CAL2'!A:A,0),3,4,1,"CAL2")),0)</f>
        <v>0</v>
      </c>
      <c r="I173" s="20" t="str">
        <f ca="1">IF(CALC2223!AY173&gt;1,INDIRECT(ADDRESS(MATCH(Agenda2526!C174,'CAL2'!A:A,0)+1,2,4,1,"CAL2")),"")</f>
        <v/>
      </c>
      <c r="J173" s="21">
        <f ca="1">IF(CALC2223!AY173&gt;1,INDIRECT(ADDRESS(MATCH(Agenda2526!C174,'CAL2'!A:A,0)+1,3,4,1,"CAL2")),0)</f>
        <v>0</v>
      </c>
      <c r="K173" s="20" t="str">
        <f ca="1">IF(CALC2223!AY173&gt;2,INDIRECT(ADDRESS(MATCH(Agenda2526!C174,'CAL2'!A:A,0)+2,2,4,1,"CAL2")),"")</f>
        <v/>
      </c>
      <c r="L173" s="21">
        <f ca="1">IF(CALC2223!AY173&gt;2,INDIRECT(ADDRESS(MATCH(Agenda2526!C174,'CAL2'!A:A,0)+2,3,4,1,"CAL2")),0)</f>
        <v>0</v>
      </c>
      <c r="M173" s="20" t="str">
        <f ca="1">IF(CALC2223!AZ173&gt;0,INDIRECT(ADDRESS(MATCH(Agenda2526!C174,'CAL3'!A:A,0),2,4,1,"CAL3")),"")</f>
        <v/>
      </c>
      <c r="N173" s="21">
        <f ca="1">IF(CALC2223!AZ173&gt;0,INDIRECT(ADDRESS(MATCH(Agenda2526!C174,'CAL3'!A:A,0),3,4,1,"CAL3")),0)</f>
        <v>0</v>
      </c>
      <c r="O173" s="20" t="str">
        <f ca="1">IF(CALC2223!AZ173&gt;1,INDIRECT(ADDRESS(MATCH(Agenda2526!C174,'CAL3'!A:A,0)+1,2,4,1,"CAL3")),"")</f>
        <v/>
      </c>
      <c r="P173" s="21">
        <f ca="1">IF(CALC2223!AZ173&gt;1,INDIRECT(ADDRESS(MATCH(Agenda2526!C174,'CAL3'!A:A,0)+1,3,4,1,"CAL3")),0)</f>
        <v>0</v>
      </c>
      <c r="Q173" s="20" t="str">
        <f ca="1">IF(CALC2223!AZ173&gt;2,INDIRECT(ADDRESS(MATCH(Agenda2526!C174,'CAL3'!A:A,0)+2,2,4,1,"CAL3")),"")</f>
        <v/>
      </c>
      <c r="R173" s="21">
        <f ca="1">IF(CALC2223!AZ173&gt;2,INDIRECT(ADDRESS(MATCH(Agenda2526!C174,'CAL3'!A:A,0)+2,3,4,1,"CAL3")),0)</f>
        <v>0</v>
      </c>
      <c r="S173" s="20" t="str">
        <f ca="1">IF(CALC2223!BA173&gt;0,INDIRECT(ADDRESS(MATCH(Agenda2526!C174,'CAL4'!A:A,0),2,4,1,"CAL4")),"")</f>
        <v/>
      </c>
      <c r="T173" s="21">
        <f ca="1">IF(CALC2223!BA173&gt;0,INDIRECT(ADDRESS(MATCH(Agenda2526!C174,'CAL4'!A:A,0),3,4,1,"CAL4")),0)</f>
        <v>0</v>
      </c>
      <c r="U173" s="20" t="str">
        <f ca="1">IF(CALC2223!BA173&gt;1,INDIRECT(ADDRESS(MATCH(Agenda2526!C174,'CAL4'!A:A,0)+1,2,4,1,"CAL4")),"")</f>
        <v/>
      </c>
      <c r="V173" s="21">
        <f ca="1">IF(CALC2223!BA173&gt;1,INDIRECT(ADDRESS(MATCH(Agenda2526!C174,'CAL4'!A:A,0)+1,3,4,1,"CAL4")),0)</f>
        <v>0</v>
      </c>
      <c r="W173" s="20" t="str">
        <f ca="1">IF(CALC2223!BA173&gt;2,INDIRECT(ADDRESS(MATCH(Agenda2526!C174,'CAL4'!A:A,0)+2,2,4,1,"CAL4")),"")</f>
        <v/>
      </c>
      <c r="X173" s="21">
        <f ca="1">IF(CALC2223!BA173&gt;2,INDIRECT(ADDRESS(MATCH(Agenda2526!C174,'CAL4'!A:A,0)+2,3,4,1,"CAL4")),0)</f>
        <v>0</v>
      </c>
      <c r="Y173" s="20" t="str">
        <f ca="1">IF(CALC2223!BB173&gt;0,INDIRECT(ADDRESS(MATCH(Agenda2526!C174,'CAL5'!A:A,0),2,4,1,"CAL5")),"")</f>
        <v/>
      </c>
      <c r="Z173" s="21">
        <f ca="1">IF(CALC2223!BB173&gt;0,INDIRECT(ADDRESS(MATCH(Agenda2526!C174,'CAL5'!A:A,0),3,4,1,"CAL5")),0)</f>
        <v>0</v>
      </c>
      <c r="AA173" s="20" t="str">
        <f ca="1">IF(CALC2223!BB173&gt;1,INDIRECT(ADDRESS(MATCH(Agenda2526!C174,'CAL5'!A:A,0)+1,2,4,1,"CAL5")),"")</f>
        <v/>
      </c>
      <c r="AB173" s="21">
        <f ca="1">IF(CALC2223!BB173&gt;1,INDIRECT(ADDRESS(MATCH(Agenda2526!C174,'CAL5'!A:A,0)+1,3,4,1,"CAL5")),0)</f>
        <v>0</v>
      </c>
      <c r="AC173" s="20" t="str">
        <f ca="1">IF(CALC2223!BB173&gt;2,INDIRECT(ADDRESS(MATCH(Agenda2526!C174,'CAL5'!A:A,0)+2,2,4,1,"CAL5")),"")</f>
        <v/>
      </c>
      <c r="AD173" s="21">
        <f ca="1">IF(CALC2223!BB173&gt;2,INDIRECT(ADDRESS(MATCH(Agenda2526!C174,'CAL5'!A:A,0)+2,3,4,1,"CAL5")),0)</f>
        <v>0</v>
      </c>
      <c r="AE173" s="20" t="str">
        <f ca="1">IF(CALC2223!BC173&gt;0,INDIRECT(ADDRESS(MATCH(Agenda2526!C174,'CAL6'!A:A,0),2,4,1,"CAL6")),"")</f>
        <v/>
      </c>
      <c r="AF173" s="21">
        <f ca="1">IF(CALC2223!BC173&gt;0,INDIRECT(ADDRESS(MATCH(Agenda2526!C174,'CAL6'!A:A,0),3,4,1,"CAL6")),0)</f>
        <v>0</v>
      </c>
      <c r="AG173" s="20" t="str">
        <f ca="1">IF(CALC2223!BC173&gt;1,INDIRECT(ADDRESS(MATCH(Agenda2526!C174,'CAL6'!A:A,0)+1,2,4,1,"CAL6")),"")</f>
        <v/>
      </c>
      <c r="AH173" s="21">
        <f ca="1">IF(CALC2223!BC173&gt;1,INDIRECT(ADDRESS(MATCH(Agenda2526!C174,'CAL6'!A:A,0)+1,3,4,1,"CAL6")),0)</f>
        <v>0</v>
      </c>
      <c r="AI173" s="20" t="str">
        <f ca="1">IF(CALC2223!BC173&gt;2,INDIRECT(ADDRESS(MATCH(Agenda2526!C174,'CAL6'!A:A,0)+2,2,4,1,"CAL6")),"")</f>
        <v/>
      </c>
      <c r="AJ173" s="21">
        <f ca="1">IF(CALC2223!BC173&gt;2,INDIRECT(ADDRESS(MATCH(Agenda2526!C174,'CAL6'!A:A,0)+2,3,4,1,"CAL6")),0)</f>
        <v>0</v>
      </c>
      <c r="AK173" s="20" t="str">
        <f ca="1">IF(CALC2223!BD173&gt;0,INDIRECT(ADDRESS(MATCH(Agenda2526!C174,'CAL7'!A:A,0),2,4,1,"CAL7")),"")</f>
        <v/>
      </c>
      <c r="AL173" s="21">
        <f ca="1">IF(CALC2223!BD173&gt;0,INDIRECT(ADDRESS(MATCH(Agenda2526!C174,'CAL7'!A:A,0),3,4,1,"CAL7")),0)</f>
        <v>0</v>
      </c>
      <c r="AM173" s="20" t="str">
        <f ca="1">IF(CALC2223!BD173&gt;1,INDIRECT(ADDRESS(MATCH(Agenda2526!C174,'CAL7'!A:A,0)+1,2,4,1,"CAL7")),"")</f>
        <v/>
      </c>
      <c r="AN173" s="21">
        <f ca="1">IF(CALC2223!BD173&gt;1,INDIRECT(ADDRESS(MATCH(Agenda2526!C174,'CAL7'!A:A,0)+1,3,4,1,"CAL7")),0)</f>
        <v>0</v>
      </c>
      <c r="AO173" s="20" t="str">
        <f ca="1">IF(CALC2223!BD173&gt;2,INDIRECT(ADDRESS(MATCH(Agenda2526!C174,'CAL7'!A:A,0)+2,2,4,1,"CAL7")),"")</f>
        <v/>
      </c>
      <c r="AP173" s="21">
        <f ca="1">IF(CALC2223!BD173&gt;2,INDIRECT(ADDRESS(MATCH(Agenda2526!C174,'CAL7'!A:A,0)+2,3,4,1,"CAL7")),0)</f>
        <v>0</v>
      </c>
      <c r="AQ173" s="20" t="str">
        <f ca="1">IF(CALC2223!BE173&gt;0,INDIRECT(ADDRESS(MATCH(Agenda2526!C174,'CAL8'!A:A,0),2,4,1,"CAL8")),"")</f>
        <v/>
      </c>
      <c r="AR173" s="21">
        <f ca="1">IF(CALC2223!BE173&gt;0,INDIRECT(ADDRESS(MATCH(Agenda2526!C174,'CAL8'!A:A,0),3,4,1,"CAL8")),0)</f>
        <v>0</v>
      </c>
      <c r="AS173" s="20" t="str">
        <f ca="1">IF(CALC2223!BE173&gt;1,INDIRECT(ADDRESS(MATCH(Agenda2526!C174,'CAL8'!A:A,0)+1,2,4,1,"CAL8")),"")</f>
        <v/>
      </c>
      <c r="AT173" s="21">
        <f ca="1">IF(CALC2223!BE173&gt;1,INDIRECT(ADDRESS(MATCH(Agenda2526!C174,'CAL8'!A:A,0)+1,3,4,1,"CAL8")),0)</f>
        <v>0</v>
      </c>
      <c r="AU173" s="20" t="str">
        <f ca="1">IF(CALC2223!BE173&gt;2,INDIRECT(ADDRESS(MATCH(Agenda2526!C174,'CAL8'!A:A,0)+2,2,4,1,"CAL8")),"")</f>
        <v/>
      </c>
      <c r="AV173" s="21">
        <f ca="1">IF(CALC2223!BE173&gt;2,INDIRECT(ADDRESS(MATCH(Agenda2526!C174,'CAL8'!A:A,0)+2,3,4,1,"CAL8")),0)</f>
        <v>0</v>
      </c>
      <c r="AW173" s="107"/>
      <c r="AX173" s="20">
        <f>COUNTIF('CAL1'!A:A,Agenda2526!C174)</f>
        <v>0</v>
      </c>
      <c r="AY173" s="20">
        <f>COUNTIF('CAL2'!A:A,Agenda2526!C174)</f>
        <v>0</v>
      </c>
      <c r="AZ173" s="20">
        <f>COUNTIF('CAL3'!A:A,Agenda2526!C174)</f>
        <v>0</v>
      </c>
      <c r="BA173" s="20">
        <f>COUNTIF('CAL4'!A:A,Agenda2526!C174)</f>
        <v>0</v>
      </c>
      <c r="BB173" s="20">
        <f>COUNTIF('CAL5'!A:A,Agenda2526!C174)</f>
        <v>0</v>
      </c>
      <c r="BC173" s="20">
        <f>COUNTIF('CAL6'!A:A,Agenda2526!C174)</f>
        <v>0</v>
      </c>
      <c r="BD173" s="20">
        <f>COUNTIF('CAL7'!A:A,Agenda2526!C174)</f>
        <v>0</v>
      </c>
      <c r="BE173" s="20">
        <f>COUNTIF('CAL8'!A:A,Agenda2526!C174)</f>
        <v>0</v>
      </c>
    </row>
    <row r="174" spans="1:57" ht="15.75" customHeight="1">
      <c r="A174" s="20" t="str">
        <f ca="1">IF(CALC2223!AX174&gt;0,INDIRECT(ADDRESS(MATCH(Agenda2526!C175,'CAL1'!A:A,0),2,4,1,"CAL1")),"")</f>
        <v/>
      </c>
      <c r="B174" s="21">
        <f ca="1">IF(CALC2223!AX174&gt;0,INDIRECT(ADDRESS(MATCH(Agenda2526!C175,'CAL1'!A:A,0),3,4,1,"CAL1")),0)</f>
        <v>0</v>
      </c>
      <c r="C174" s="20" t="str">
        <f ca="1">IF(CALC2223!AX174&gt;1,INDIRECT(ADDRESS(MATCH(Agenda2526!C175,'CAL1'!A:A,0)+1,2,4,1,"CAL1")),"")</f>
        <v/>
      </c>
      <c r="D174" s="21">
        <f ca="1">IF(CALC2223!AX174&gt;1,INDIRECT(ADDRESS(MATCH(Agenda2526!C175,'CAL1'!A:A,0)+1,3,4,1,"CAL1")),0)</f>
        <v>0</v>
      </c>
      <c r="E174" s="20" t="str">
        <f ca="1">IF(CALC2223!AX174&gt;2,INDIRECT(ADDRESS(MATCH(Agenda2526!C175,'CAL1'!A:A,0)+2,2,4,1,"CAL1")),"")</f>
        <v/>
      </c>
      <c r="F174" s="21">
        <f ca="1">IF(CALC2223!AX174&gt;2,INDIRECT(ADDRESS(MATCH(Agenda2526!C175,'CAL1'!A:A,0)+2,3,4,1,"CAL1")),0)</f>
        <v>0</v>
      </c>
      <c r="G174" s="20" t="str">
        <f ca="1">IF(CALC2223!AY174&gt;0,INDIRECT(ADDRESS(MATCH(Agenda2526!C175,'CAL2'!A:A,0),2,4,1,"CAL2")),"")</f>
        <v/>
      </c>
      <c r="H174" s="21">
        <f ca="1">IF(CALC2223!AY174&gt;0,INDIRECT(ADDRESS(MATCH(Agenda2526!C175,'CAL2'!A:A,0),3,4,1,"CAL2")),0)</f>
        <v>0</v>
      </c>
      <c r="I174" s="20" t="str">
        <f ca="1">IF(CALC2223!AY174&gt;1,INDIRECT(ADDRESS(MATCH(Agenda2526!C175,'CAL2'!A:A,0)+1,2,4,1,"CAL2")),"")</f>
        <v/>
      </c>
      <c r="J174" s="21">
        <f ca="1">IF(CALC2223!AY174&gt;1,INDIRECT(ADDRESS(MATCH(Agenda2526!C175,'CAL2'!A:A,0)+1,3,4,1,"CAL2")),0)</f>
        <v>0</v>
      </c>
      <c r="K174" s="20" t="str">
        <f ca="1">IF(CALC2223!AY174&gt;2,INDIRECT(ADDRESS(MATCH(Agenda2526!C175,'CAL2'!A:A,0)+2,2,4,1,"CAL2")),"")</f>
        <v/>
      </c>
      <c r="L174" s="21">
        <f ca="1">IF(CALC2223!AY174&gt;2,INDIRECT(ADDRESS(MATCH(Agenda2526!C175,'CAL2'!A:A,0)+2,3,4,1,"CAL2")),0)</f>
        <v>0</v>
      </c>
      <c r="M174" s="20" t="str">
        <f ca="1">IF(CALC2223!AZ174&gt;0,INDIRECT(ADDRESS(MATCH(Agenda2526!C175,'CAL3'!A:A,0),2,4,1,"CAL3")),"")</f>
        <v/>
      </c>
      <c r="N174" s="21">
        <f ca="1">IF(CALC2223!AZ174&gt;0,INDIRECT(ADDRESS(MATCH(Agenda2526!C175,'CAL3'!A:A,0),3,4,1,"CAL3")),0)</f>
        <v>0</v>
      </c>
      <c r="O174" s="20" t="str">
        <f ca="1">IF(CALC2223!AZ174&gt;1,INDIRECT(ADDRESS(MATCH(Agenda2526!C175,'CAL3'!A:A,0)+1,2,4,1,"CAL3")),"")</f>
        <v/>
      </c>
      <c r="P174" s="21">
        <f ca="1">IF(CALC2223!AZ174&gt;1,INDIRECT(ADDRESS(MATCH(Agenda2526!C175,'CAL3'!A:A,0)+1,3,4,1,"CAL3")),0)</f>
        <v>0</v>
      </c>
      <c r="Q174" s="20" t="str">
        <f ca="1">IF(CALC2223!AZ174&gt;2,INDIRECT(ADDRESS(MATCH(Agenda2526!C175,'CAL3'!A:A,0)+2,2,4,1,"CAL3")),"")</f>
        <v/>
      </c>
      <c r="R174" s="21">
        <f ca="1">IF(CALC2223!AZ174&gt;2,INDIRECT(ADDRESS(MATCH(Agenda2526!C175,'CAL3'!A:A,0)+2,3,4,1,"CAL3")),0)</f>
        <v>0</v>
      </c>
      <c r="S174" s="20" t="str">
        <f ca="1">IF(CALC2223!BA174&gt;0,INDIRECT(ADDRESS(MATCH(Agenda2526!C175,'CAL4'!A:A,0),2,4,1,"CAL4")),"")</f>
        <v/>
      </c>
      <c r="T174" s="21">
        <f ca="1">IF(CALC2223!BA174&gt;0,INDIRECT(ADDRESS(MATCH(Agenda2526!C175,'CAL4'!A:A,0),3,4,1,"CAL4")),0)</f>
        <v>0</v>
      </c>
      <c r="U174" s="20" t="str">
        <f ca="1">IF(CALC2223!BA174&gt;1,INDIRECT(ADDRESS(MATCH(Agenda2526!C175,'CAL4'!A:A,0)+1,2,4,1,"CAL4")),"")</f>
        <v/>
      </c>
      <c r="V174" s="21">
        <f ca="1">IF(CALC2223!BA174&gt;1,INDIRECT(ADDRESS(MATCH(Agenda2526!C175,'CAL4'!A:A,0)+1,3,4,1,"CAL4")),0)</f>
        <v>0</v>
      </c>
      <c r="W174" s="20" t="str">
        <f ca="1">IF(CALC2223!BA174&gt;2,INDIRECT(ADDRESS(MATCH(Agenda2526!C175,'CAL4'!A:A,0)+2,2,4,1,"CAL4")),"")</f>
        <v/>
      </c>
      <c r="X174" s="21">
        <f ca="1">IF(CALC2223!BA174&gt;2,INDIRECT(ADDRESS(MATCH(Agenda2526!C175,'CAL4'!A:A,0)+2,3,4,1,"CAL4")),0)</f>
        <v>0</v>
      </c>
      <c r="Y174" s="20" t="str">
        <f ca="1">IF(CALC2223!BB174&gt;0,INDIRECT(ADDRESS(MATCH(Agenda2526!C175,'CAL5'!A:A,0),2,4,1,"CAL5")),"")</f>
        <v/>
      </c>
      <c r="Z174" s="21">
        <f ca="1">IF(CALC2223!BB174&gt;0,INDIRECT(ADDRESS(MATCH(Agenda2526!C175,'CAL5'!A:A,0),3,4,1,"CAL5")),0)</f>
        <v>0</v>
      </c>
      <c r="AA174" s="20" t="str">
        <f ca="1">IF(CALC2223!BB174&gt;1,INDIRECT(ADDRESS(MATCH(Agenda2526!C175,'CAL5'!A:A,0)+1,2,4,1,"CAL5")),"")</f>
        <v/>
      </c>
      <c r="AB174" s="21">
        <f ca="1">IF(CALC2223!BB174&gt;1,INDIRECT(ADDRESS(MATCH(Agenda2526!C175,'CAL5'!A:A,0)+1,3,4,1,"CAL5")),0)</f>
        <v>0</v>
      </c>
      <c r="AC174" s="20" t="str">
        <f ca="1">IF(CALC2223!BB174&gt;2,INDIRECT(ADDRESS(MATCH(Agenda2526!C175,'CAL5'!A:A,0)+2,2,4,1,"CAL5")),"")</f>
        <v/>
      </c>
      <c r="AD174" s="21">
        <f ca="1">IF(CALC2223!BB174&gt;2,INDIRECT(ADDRESS(MATCH(Agenda2526!C175,'CAL5'!A:A,0)+2,3,4,1,"CAL5")),0)</f>
        <v>0</v>
      </c>
      <c r="AE174" s="20" t="str">
        <f ca="1">IF(CALC2223!BC174&gt;0,INDIRECT(ADDRESS(MATCH(Agenda2526!C175,'CAL6'!A:A,0),2,4,1,"CAL6")),"")</f>
        <v/>
      </c>
      <c r="AF174" s="21">
        <f ca="1">IF(CALC2223!BC174&gt;0,INDIRECT(ADDRESS(MATCH(Agenda2526!C175,'CAL6'!A:A,0),3,4,1,"CAL6")),0)</f>
        <v>0</v>
      </c>
      <c r="AG174" s="20" t="str">
        <f ca="1">IF(CALC2223!BC174&gt;1,INDIRECT(ADDRESS(MATCH(Agenda2526!C175,'CAL6'!A:A,0)+1,2,4,1,"CAL6")),"")</f>
        <v/>
      </c>
      <c r="AH174" s="21">
        <f ca="1">IF(CALC2223!BC174&gt;1,INDIRECT(ADDRESS(MATCH(Agenda2526!C175,'CAL6'!A:A,0)+1,3,4,1,"CAL6")),0)</f>
        <v>0</v>
      </c>
      <c r="AI174" s="20" t="str">
        <f ca="1">IF(CALC2223!BC174&gt;2,INDIRECT(ADDRESS(MATCH(Agenda2526!C175,'CAL6'!A:A,0)+2,2,4,1,"CAL6")),"")</f>
        <v/>
      </c>
      <c r="AJ174" s="21">
        <f ca="1">IF(CALC2223!BC174&gt;2,INDIRECT(ADDRESS(MATCH(Agenda2526!C175,'CAL6'!A:A,0)+2,3,4,1,"CAL6")),0)</f>
        <v>0</v>
      </c>
      <c r="AK174" s="20" t="str">
        <f ca="1">IF(CALC2223!BD174&gt;0,INDIRECT(ADDRESS(MATCH(Agenda2526!C175,'CAL7'!A:A,0),2,4,1,"CAL7")),"")</f>
        <v/>
      </c>
      <c r="AL174" s="21">
        <f ca="1">IF(CALC2223!BD174&gt;0,INDIRECT(ADDRESS(MATCH(Agenda2526!C175,'CAL7'!A:A,0),3,4,1,"CAL7")),0)</f>
        <v>0</v>
      </c>
      <c r="AM174" s="20" t="str">
        <f ca="1">IF(CALC2223!BD174&gt;1,INDIRECT(ADDRESS(MATCH(Agenda2526!C175,'CAL7'!A:A,0)+1,2,4,1,"CAL7")),"")</f>
        <v/>
      </c>
      <c r="AN174" s="21">
        <f ca="1">IF(CALC2223!BD174&gt;1,INDIRECT(ADDRESS(MATCH(Agenda2526!C175,'CAL7'!A:A,0)+1,3,4,1,"CAL7")),0)</f>
        <v>0</v>
      </c>
      <c r="AO174" s="20" t="str">
        <f ca="1">IF(CALC2223!BD174&gt;2,INDIRECT(ADDRESS(MATCH(Agenda2526!C175,'CAL7'!A:A,0)+2,2,4,1,"CAL7")),"")</f>
        <v/>
      </c>
      <c r="AP174" s="21">
        <f ca="1">IF(CALC2223!BD174&gt;2,INDIRECT(ADDRESS(MATCH(Agenda2526!C175,'CAL7'!A:A,0)+2,3,4,1,"CAL7")),0)</f>
        <v>0</v>
      </c>
      <c r="AQ174" s="20" t="str">
        <f ca="1">IF(CALC2223!BE174&gt;0,INDIRECT(ADDRESS(MATCH(Agenda2526!C175,'CAL8'!A:A,0),2,4,1,"CAL8")),"")</f>
        <v/>
      </c>
      <c r="AR174" s="21">
        <f ca="1">IF(CALC2223!BE174&gt;0,INDIRECT(ADDRESS(MATCH(Agenda2526!C175,'CAL8'!A:A,0),3,4,1,"CAL8")),0)</f>
        <v>0</v>
      </c>
      <c r="AS174" s="20" t="str">
        <f ca="1">IF(CALC2223!BE174&gt;1,INDIRECT(ADDRESS(MATCH(Agenda2526!C175,'CAL8'!A:A,0)+1,2,4,1,"CAL8")),"")</f>
        <v/>
      </c>
      <c r="AT174" s="21">
        <f ca="1">IF(CALC2223!BE174&gt;1,INDIRECT(ADDRESS(MATCH(Agenda2526!C175,'CAL8'!A:A,0)+1,3,4,1,"CAL8")),0)</f>
        <v>0</v>
      </c>
      <c r="AU174" s="20" t="str">
        <f ca="1">IF(CALC2223!BE174&gt;2,INDIRECT(ADDRESS(MATCH(Agenda2526!C175,'CAL8'!A:A,0)+2,2,4,1,"CAL8")),"")</f>
        <v/>
      </c>
      <c r="AV174" s="21">
        <f ca="1">IF(CALC2223!BE174&gt;2,INDIRECT(ADDRESS(MATCH(Agenda2526!C175,'CAL8'!A:A,0)+2,3,4,1,"CAL8")),0)</f>
        <v>0</v>
      </c>
      <c r="AW174" s="107"/>
      <c r="AX174" s="20">
        <f>COUNTIF('CAL1'!A:A,Agenda2526!C175)</f>
        <v>0</v>
      </c>
      <c r="AY174" s="20">
        <f>COUNTIF('CAL2'!A:A,Agenda2526!C175)</f>
        <v>0</v>
      </c>
      <c r="AZ174" s="20">
        <f>COUNTIF('CAL3'!A:A,Agenda2526!C175)</f>
        <v>0</v>
      </c>
      <c r="BA174" s="20">
        <f>COUNTIF('CAL4'!A:A,Agenda2526!C175)</f>
        <v>0</v>
      </c>
      <c r="BB174" s="20">
        <f>COUNTIF('CAL5'!A:A,Agenda2526!C175)</f>
        <v>0</v>
      </c>
      <c r="BC174" s="20">
        <f>COUNTIF('CAL6'!A:A,Agenda2526!C175)</f>
        <v>0</v>
      </c>
      <c r="BD174" s="20">
        <f>COUNTIF('CAL7'!A:A,Agenda2526!C175)</f>
        <v>0</v>
      </c>
      <c r="BE174" s="20">
        <f>COUNTIF('CAL8'!A:A,Agenda2526!C175)</f>
        <v>0</v>
      </c>
    </row>
    <row r="175" spans="1:57" ht="15.75" customHeight="1">
      <c r="A175" s="20" t="str">
        <f ca="1">IF(CALC2223!AX175&gt;0,INDIRECT(ADDRESS(MATCH(Agenda2526!C176,'CAL1'!A:A,0),2,4,1,"CAL1")),"")</f>
        <v/>
      </c>
      <c r="B175" s="21">
        <f ca="1">IF(CALC2223!AX175&gt;0,INDIRECT(ADDRESS(MATCH(Agenda2526!C176,'CAL1'!A:A,0),3,4,1,"CAL1")),0)</f>
        <v>0</v>
      </c>
      <c r="C175" s="20" t="str">
        <f ca="1">IF(CALC2223!AX175&gt;1,INDIRECT(ADDRESS(MATCH(Agenda2526!C176,'CAL1'!A:A,0)+1,2,4,1,"CAL1")),"")</f>
        <v/>
      </c>
      <c r="D175" s="21">
        <f ca="1">IF(CALC2223!AX175&gt;1,INDIRECT(ADDRESS(MATCH(Agenda2526!C176,'CAL1'!A:A,0)+1,3,4,1,"CAL1")),0)</f>
        <v>0</v>
      </c>
      <c r="E175" s="20" t="str">
        <f ca="1">IF(CALC2223!AX175&gt;2,INDIRECT(ADDRESS(MATCH(Agenda2526!C176,'CAL1'!A:A,0)+2,2,4,1,"CAL1")),"")</f>
        <v/>
      </c>
      <c r="F175" s="21">
        <f ca="1">IF(CALC2223!AX175&gt;2,INDIRECT(ADDRESS(MATCH(Agenda2526!C176,'CAL1'!A:A,0)+2,3,4,1,"CAL1")),0)</f>
        <v>0</v>
      </c>
      <c r="G175" s="20" t="str">
        <f ca="1">IF(CALC2223!AY175&gt;0,INDIRECT(ADDRESS(MATCH(Agenda2526!C176,'CAL2'!A:A,0),2,4,1,"CAL2")),"")</f>
        <v/>
      </c>
      <c r="H175" s="21">
        <f ca="1">IF(CALC2223!AY175&gt;0,INDIRECT(ADDRESS(MATCH(Agenda2526!C176,'CAL2'!A:A,0),3,4,1,"CAL2")),0)</f>
        <v>0</v>
      </c>
      <c r="I175" s="20" t="str">
        <f ca="1">IF(CALC2223!AY175&gt;1,INDIRECT(ADDRESS(MATCH(Agenda2526!C176,'CAL2'!A:A,0)+1,2,4,1,"CAL2")),"")</f>
        <v/>
      </c>
      <c r="J175" s="21">
        <f ca="1">IF(CALC2223!AY175&gt;1,INDIRECT(ADDRESS(MATCH(Agenda2526!C176,'CAL2'!A:A,0)+1,3,4,1,"CAL2")),0)</f>
        <v>0</v>
      </c>
      <c r="K175" s="20" t="str">
        <f ca="1">IF(CALC2223!AY175&gt;2,INDIRECT(ADDRESS(MATCH(Agenda2526!C176,'CAL2'!A:A,0)+2,2,4,1,"CAL2")),"")</f>
        <v/>
      </c>
      <c r="L175" s="21">
        <f ca="1">IF(CALC2223!AY175&gt;2,INDIRECT(ADDRESS(MATCH(Agenda2526!C176,'CAL2'!A:A,0)+2,3,4,1,"CAL2")),0)</f>
        <v>0</v>
      </c>
      <c r="M175" s="20" t="str">
        <f ca="1">IF(CALC2223!AZ175&gt;0,INDIRECT(ADDRESS(MATCH(Agenda2526!C176,'CAL3'!A:A,0),2,4,1,"CAL3")),"")</f>
        <v/>
      </c>
      <c r="N175" s="21">
        <f ca="1">IF(CALC2223!AZ175&gt;0,INDIRECT(ADDRESS(MATCH(Agenda2526!C176,'CAL3'!A:A,0),3,4,1,"CAL3")),0)</f>
        <v>0</v>
      </c>
      <c r="O175" s="20" t="str">
        <f ca="1">IF(CALC2223!AZ175&gt;1,INDIRECT(ADDRESS(MATCH(Agenda2526!C176,'CAL3'!A:A,0)+1,2,4,1,"CAL3")),"")</f>
        <v/>
      </c>
      <c r="P175" s="21">
        <f ca="1">IF(CALC2223!AZ175&gt;1,INDIRECT(ADDRESS(MATCH(Agenda2526!C176,'CAL3'!A:A,0)+1,3,4,1,"CAL3")),0)</f>
        <v>0</v>
      </c>
      <c r="Q175" s="20" t="str">
        <f ca="1">IF(CALC2223!AZ175&gt;2,INDIRECT(ADDRESS(MATCH(Agenda2526!C176,'CAL3'!A:A,0)+2,2,4,1,"CAL3")),"")</f>
        <v/>
      </c>
      <c r="R175" s="21">
        <f ca="1">IF(CALC2223!AZ175&gt;2,INDIRECT(ADDRESS(MATCH(Agenda2526!C176,'CAL3'!A:A,0)+2,3,4,1,"CAL3")),0)</f>
        <v>0</v>
      </c>
      <c r="S175" s="20" t="str">
        <f ca="1">IF(CALC2223!BA175&gt;0,INDIRECT(ADDRESS(MATCH(Agenda2526!C176,'CAL4'!A:A,0),2,4,1,"CAL4")),"")</f>
        <v/>
      </c>
      <c r="T175" s="21">
        <f ca="1">IF(CALC2223!BA175&gt;0,INDIRECT(ADDRESS(MATCH(Agenda2526!C176,'CAL4'!A:A,0),3,4,1,"CAL4")),0)</f>
        <v>0</v>
      </c>
      <c r="U175" s="20" t="str">
        <f ca="1">IF(CALC2223!BA175&gt;1,INDIRECT(ADDRESS(MATCH(Agenda2526!C176,'CAL4'!A:A,0)+1,2,4,1,"CAL4")),"")</f>
        <v/>
      </c>
      <c r="V175" s="21">
        <f ca="1">IF(CALC2223!BA175&gt;1,INDIRECT(ADDRESS(MATCH(Agenda2526!C176,'CAL4'!A:A,0)+1,3,4,1,"CAL4")),0)</f>
        <v>0</v>
      </c>
      <c r="W175" s="20" t="str">
        <f ca="1">IF(CALC2223!BA175&gt;2,INDIRECT(ADDRESS(MATCH(Agenda2526!C176,'CAL4'!A:A,0)+2,2,4,1,"CAL4")),"")</f>
        <v/>
      </c>
      <c r="X175" s="21">
        <f ca="1">IF(CALC2223!BA175&gt;2,INDIRECT(ADDRESS(MATCH(Agenda2526!C176,'CAL4'!A:A,0)+2,3,4,1,"CAL4")),0)</f>
        <v>0</v>
      </c>
      <c r="Y175" s="20" t="str">
        <f ca="1">IF(CALC2223!BB175&gt;0,INDIRECT(ADDRESS(MATCH(Agenda2526!C176,'CAL5'!A:A,0),2,4,1,"CAL5")),"")</f>
        <v/>
      </c>
      <c r="Z175" s="21">
        <f ca="1">IF(CALC2223!BB175&gt;0,INDIRECT(ADDRESS(MATCH(Agenda2526!C176,'CAL5'!A:A,0),3,4,1,"CAL5")),0)</f>
        <v>0</v>
      </c>
      <c r="AA175" s="20" t="str">
        <f ca="1">IF(CALC2223!BB175&gt;1,INDIRECT(ADDRESS(MATCH(Agenda2526!C176,'CAL5'!A:A,0)+1,2,4,1,"CAL5")),"")</f>
        <v/>
      </c>
      <c r="AB175" s="21">
        <f ca="1">IF(CALC2223!BB175&gt;1,INDIRECT(ADDRESS(MATCH(Agenda2526!C176,'CAL5'!A:A,0)+1,3,4,1,"CAL5")),0)</f>
        <v>0</v>
      </c>
      <c r="AC175" s="20" t="str">
        <f ca="1">IF(CALC2223!BB175&gt;2,INDIRECT(ADDRESS(MATCH(Agenda2526!C176,'CAL5'!A:A,0)+2,2,4,1,"CAL5")),"")</f>
        <v/>
      </c>
      <c r="AD175" s="21">
        <f ca="1">IF(CALC2223!BB175&gt;2,INDIRECT(ADDRESS(MATCH(Agenda2526!C176,'CAL5'!A:A,0)+2,3,4,1,"CAL5")),0)</f>
        <v>0</v>
      </c>
      <c r="AE175" s="20" t="str">
        <f ca="1">IF(CALC2223!BC175&gt;0,INDIRECT(ADDRESS(MATCH(Agenda2526!C176,'CAL6'!A:A,0),2,4,1,"CAL6")),"")</f>
        <v/>
      </c>
      <c r="AF175" s="21">
        <f ca="1">IF(CALC2223!BC175&gt;0,INDIRECT(ADDRESS(MATCH(Agenda2526!C176,'CAL6'!A:A,0),3,4,1,"CAL6")),0)</f>
        <v>0</v>
      </c>
      <c r="AG175" s="20" t="str">
        <f ca="1">IF(CALC2223!BC175&gt;1,INDIRECT(ADDRESS(MATCH(Agenda2526!C176,'CAL6'!A:A,0)+1,2,4,1,"CAL6")),"")</f>
        <v/>
      </c>
      <c r="AH175" s="21">
        <f ca="1">IF(CALC2223!BC175&gt;1,INDIRECT(ADDRESS(MATCH(Agenda2526!C176,'CAL6'!A:A,0)+1,3,4,1,"CAL6")),0)</f>
        <v>0</v>
      </c>
      <c r="AI175" s="20" t="str">
        <f ca="1">IF(CALC2223!BC175&gt;2,INDIRECT(ADDRESS(MATCH(Agenda2526!C176,'CAL6'!A:A,0)+2,2,4,1,"CAL6")),"")</f>
        <v/>
      </c>
      <c r="AJ175" s="21">
        <f ca="1">IF(CALC2223!BC175&gt;2,INDIRECT(ADDRESS(MATCH(Agenda2526!C176,'CAL6'!A:A,0)+2,3,4,1,"CAL6")),0)</f>
        <v>0</v>
      </c>
      <c r="AK175" s="20" t="str">
        <f ca="1">IF(CALC2223!BD175&gt;0,INDIRECT(ADDRESS(MATCH(Agenda2526!C176,'CAL7'!A:A,0),2,4,1,"CAL7")),"")</f>
        <v/>
      </c>
      <c r="AL175" s="21">
        <f ca="1">IF(CALC2223!BD175&gt;0,INDIRECT(ADDRESS(MATCH(Agenda2526!C176,'CAL7'!A:A,0),3,4,1,"CAL7")),0)</f>
        <v>0</v>
      </c>
      <c r="AM175" s="20" t="str">
        <f ca="1">IF(CALC2223!BD175&gt;1,INDIRECT(ADDRESS(MATCH(Agenda2526!C176,'CAL7'!A:A,0)+1,2,4,1,"CAL7")),"")</f>
        <v/>
      </c>
      <c r="AN175" s="21">
        <f ca="1">IF(CALC2223!BD175&gt;1,INDIRECT(ADDRESS(MATCH(Agenda2526!C176,'CAL7'!A:A,0)+1,3,4,1,"CAL7")),0)</f>
        <v>0</v>
      </c>
      <c r="AO175" s="20" t="str">
        <f ca="1">IF(CALC2223!BD175&gt;2,INDIRECT(ADDRESS(MATCH(Agenda2526!C176,'CAL7'!A:A,0)+2,2,4,1,"CAL7")),"")</f>
        <v/>
      </c>
      <c r="AP175" s="21">
        <f ca="1">IF(CALC2223!BD175&gt;2,INDIRECT(ADDRESS(MATCH(Agenda2526!C176,'CAL7'!A:A,0)+2,3,4,1,"CAL7")),0)</f>
        <v>0</v>
      </c>
      <c r="AQ175" s="20" t="str">
        <f ca="1">IF(CALC2223!BE175&gt;0,INDIRECT(ADDRESS(MATCH(Agenda2526!C176,'CAL8'!A:A,0),2,4,1,"CAL8")),"")</f>
        <v/>
      </c>
      <c r="AR175" s="21">
        <f ca="1">IF(CALC2223!BE175&gt;0,INDIRECT(ADDRESS(MATCH(Agenda2526!C176,'CAL8'!A:A,0),3,4,1,"CAL8")),0)</f>
        <v>0</v>
      </c>
      <c r="AS175" s="20" t="str">
        <f ca="1">IF(CALC2223!BE175&gt;1,INDIRECT(ADDRESS(MATCH(Agenda2526!C176,'CAL8'!A:A,0)+1,2,4,1,"CAL8")),"")</f>
        <v/>
      </c>
      <c r="AT175" s="21">
        <f ca="1">IF(CALC2223!BE175&gt;1,INDIRECT(ADDRESS(MATCH(Agenda2526!C176,'CAL8'!A:A,0)+1,3,4,1,"CAL8")),0)</f>
        <v>0</v>
      </c>
      <c r="AU175" s="20" t="str">
        <f ca="1">IF(CALC2223!BE175&gt;2,INDIRECT(ADDRESS(MATCH(Agenda2526!C176,'CAL8'!A:A,0)+2,2,4,1,"CAL8")),"")</f>
        <v/>
      </c>
      <c r="AV175" s="21">
        <f ca="1">IF(CALC2223!BE175&gt;2,INDIRECT(ADDRESS(MATCH(Agenda2526!C176,'CAL8'!A:A,0)+2,3,4,1,"CAL8")),0)</f>
        <v>0</v>
      </c>
      <c r="AW175" s="106"/>
      <c r="AX175" s="20">
        <f>COUNTIF('CAL1'!A:A,Agenda2526!C176)</f>
        <v>0</v>
      </c>
      <c r="AY175" s="20">
        <f>COUNTIF('CAL2'!A:A,Agenda2526!C176)</f>
        <v>0</v>
      </c>
      <c r="AZ175" s="20">
        <f>COUNTIF('CAL3'!A:A,Agenda2526!C176)</f>
        <v>0</v>
      </c>
      <c r="BA175" s="20">
        <f>COUNTIF('CAL4'!A:A,Agenda2526!C176)</f>
        <v>0</v>
      </c>
      <c r="BB175" s="20">
        <f>COUNTIF('CAL5'!A:A,Agenda2526!C176)</f>
        <v>0</v>
      </c>
      <c r="BC175" s="20">
        <f>COUNTIF('CAL6'!A:A,Agenda2526!C176)</f>
        <v>0</v>
      </c>
      <c r="BD175" s="20">
        <f>COUNTIF('CAL7'!A:A,Agenda2526!C176)</f>
        <v>0</v>
      </c>
      <c r="BE175" s="20">
        <f>COUNTIF('CAL8'!A:A,Agenda2526!C176)</f>
        <v>0</v>
      </c>
    </row>
    <row r="176" spans="1:57" ht="15.75" customHeight="1">
      <c r="A176" s="20" t="str">
        <f ca="1">IF(CALC2223!AX176&gt;0,INDIRECT(ADDRESS(MATCH(Agenda2526!C177,'CAL1'!A:A,0),2,4,1,"CAL1")),"")</f>
        <v/>
      </c>
      <c r="B176" s="21">
        <f ca="1">IF(CALC2223!AX176&gt;0,INDIRECT(ADDRESS(MATCH(Agenda2526!C177,'CAL1'!A:A,0),3,4,1,"CAL1")),0)</f>
        <v>0</v>
      </c>
      <c r="C176" s="20" t="str">
        <f ca="1">IF(CALC2223!AX176&gt;1,INDIRECT(ADDRESS(MATCH(Agenda2526!C177,'CAL1'!A:A,0)+1,2,4,1,"CAL1")),"")</f>
        <v/>
      </c>
      <c r="D176" s="21">
        <f ca="1">IF(CALC2223!AX176&gt;1,INDIRECT(ADDRESS(MATCH(Agenda2526!C177,'CAL1'!A:A,0)+1,3,4,1,"CAL1")),0)</f>
        <v>0</v>
      </c>
      <c r="E176" s="20" t="str">
        <f ca="1">IF(CALC2223!AX176&gt;2,INDIRECT(ADDRESS(MATCH(Agenda2526!C177,'CAL1'!A:A,0)+2,2,4,1,"CAL1")),"")</f>
        <v/>
      </c>
      <c r="F176" s="21">
        <f ca="1">IF(CALC2223!AX176&gt;2,INDIRECT(ADDRESS(MATCH(Agenda2526!C177,'CAL1'!A:A,0)+2,3,4,1,"CAL1")),0)</f>
        <v>0</v>
      </c>
      <c r="G176" s="20" t="str">
        <f ca="1">IF(CALC2223!AY176&gt;0,INDIRECT(ADDRESS(MATCH(Agenda2526!C177,'CAL2'!A:A,0),2,4,1,"CAL2")),"")</f>
        <v/>
      </c>
      <c r="H176" s="21">
        <f ca="1">IF(CALC2223!AY176&gt;0,INDIRECT(ADDRESS(MATCH(Agenda2526!C177,'CAL2'!A:A,0),3,4,1,"CAL2")),0)</f>
        <v>0</v>
      </c>
      <c r="I176" s="20" t="str">
        <f ca="1">IF(CALC2223!AY176&gt;1,INDIRECT(ADDRESS(MATCH(Agenda2526!C177,'CAL2'!A:A,0)+1,2,4,1,"CAL2")),"")</f>
        <v/>
      </c>
      <c r="J176" s="21">
        <f ca="1">IF(CALC2223!AY176&gt;1,INDIRECT(ADDRESS(MATCH(Agenda2526!C177,'CAL2'!A:A,0)+1,3,4,1,"CAL2")),0)</f>
        <v>0</v>
      </c>
      <c r="K176" s="20" t="str">
        <f ca="1">IF(CALC2223!AY176&gt;2,INDIRECT(ADDRESS(MATCH(Agenda2526!C177,'CAL2'!A:A,0)+2,2,4,1,"CAL2")),"")</f>
        <v/>
      </c>
      <c r="L176" s="21">
        <f ca="1">IF(CALC2223!AY176&gt;2,INDIRECT(ADDRESS(MATCH(Agenda2526!C177,'CAL2'!A:A,0)+2,3,4,1,"CAL2")),0)</f>
        <v>0</v>
      </c>
      <c r="M176" s="20" t="str">
        <f ca="1">IF(CALC2223!AZ176&gt;0,INDIRECT(ADDRESS(MATCH(Agenda2526!C177,'CAL3'!A:A,0),2,4,1,"CAL3")),"")</f>
        <v/>
      </c>
      <c r="N176" s="21">
        <f ca="1">IF(CALC2223!AZ176&gt;0,INDIRECT(ADDRESS(MATCH(Agenda2526!C177,'CAL3'!A:A,0),3,4,1,"CAL3")),0)</f>
        <v>0</v>
      </c>
      <c r="O176" s="20" t="str">
        <f ca="1">IF(CALC2223!AZ176&gt;1,INDIRECT(ADDRESS(MATCH(Agenda2526!C177,'CAL3'!A:A,0)+1,2,4,1,"CAL3")),"")</f>
        <v/>
      </c>
      <c r="P176" s="21">
        <f ca="1">IF(CALC2223!AZ176&gt;1,INDIRECT(ADDRESS(MATCH(Agenda2526!C177,'CAL3'!A:A,0)+1,3,4,1,"CAL3")),0)</f>
        <v>0</v>
      </c>
      <c r="Q176" s="20" t="str">
        <f ca="1">IF(CALC2223!AZ176&gt;2,INDIRECT(ADDRESS(MATCH(Agenda2526!C177,'CAL3'!A:A,0)+2,2,4,1,"CAL3")),"")</f>
        <v/>
      </c>
      <c r="R176" s="21">
        <f ca="1">IF(CALC2223!AZ176&gt;2,INDIRECT(ADDRESS(MATCH(Agenda2526!C177,'CAL3'!A:A,0)+2,3,4,1,"CAL3")),0)</f>
        <v>0</v>
      </c>
      <c r="S176" s="20" t="str">
        <f ca="1">IF(CALC2223!BA176&gt;0,INDIRECT(ADDRESS(MATCH(Agenda2526!C177,'CAL4'!A:A,0),2,4,1,"CAL4")),"")</f>
        <v/>
      </c>
      <c r="T176" s="21">
        <f ca="1">IF(CALC2223!BA176&gt;0,INDIRECT(ADDRESS(MATCH(Agenda2526!C177,'CAL4'!A:A,0),3,4,1,"CAL4")),0)</f>
        <v>0</v>
      </c>
      <c r="U176" s="20" t="str">
        <f ca="1">IF(CALC2223!BA176&gt;1,INDIRECT(ADDRESS(MATCH(Agenda2526!C177,'CAL4'!A:A,0)+1,2,4,1,"CAL4")),"")</f>
        <v/>
      </c>
      <c r="V176" s="21">
        <f ca="1">IF(CALC2223!BA176&gt;1,INDIRECT(ADDRESS(MATCH(Agenda2526!C177,'CAL4'!A:A,0)+1,3,4,1,"CAL4")),0)</f>
        <v>0</v>
      </c>
      <c r="W176" s="20" t="str">
        <f ca="1">IF(CALC2223!BA176&gt;2,INDIRECT(ADDRESS(MATCH(Agenda2526!C177,'CAL4'!A:A,0)+2,2,4,1,"CAL4")),"")</f>
        <v/>
      </c>
      <c r="X176" s="21">
        <f ca="1">IF(CALC2223!BA176&gt;2,INDIRECT(ADDRESS(MATCH(Agenda2526!C177,'CAL4'!A:A,0)+2,3,4,1,"CAL4")),0)</f>
        <v>0</v>
      </c>
      <c r="Y176" s="20" t="str">
        <f ca="1">IF(CALC2223!BB176&gt;0,INDIRECT(ADDRESS(MATCH(Agenda2526!C177,'CAL5'!A:A,0),2,4,1,"CAL5")),"")</f>
        <v/>
      </c>
      <c r="Z176" s="21">
        <f ca="1">IF(CALC2223!BB176&gt;0,INDIRECT(ADDRESS(MATCH(Agenda2526!C177,'CAL5'!A:A,0),3,4,1,"CAL5")),0)</f>
        <v>0</v>
      </c>
      <c r="AA176" s="20" t="str">
        <f ca="1">IF(CALC2223!BB176&gt;1,INDIRECT(ADDRESS(MATCH(Agenda2526!C177,'CAL5'!A:A,0)+1,2,4,1,"CAL5")),"")</f>
        <v/>
      </c>
      <c r="AB176" s="21">
        <f ca="1">IF(CALC2223!BB176&gt;1,INDIRECT(ADDRESS(MATCH(Agenda2526!C177,'CAL5'!A:A,0)+1,3,4,1,"CAL5")),0)</f>
        <v>0</v>
      </c>
      <c r="AC176" s="20" t="str">
        <f ca="1">IF(CALC2223!BB176&gt;2,INDIRECT(ADDRESS(MATCH(Agenda2526!C177,'CAL5'!A:A,0)+2,2,4,1,"CAL5")),"")</f>
        <v/>
      </c>
      <c r="AD176" s="21">
        <f ca="1">IF(CALC2223!BB176&gt;2,INDIRECT(ADDRESS(MATCH(Agenda2526!C177,'CAL5'!A:A,0)+2,3,4,1,"CAL5")),0)</f>
        <v>0</v>
      </c>
      <c r="AE176" s="20" t="str">
        <f ca="1">IF(CALC2223!BC176&gt;0,INDIRECT(ADDRESS(MATCH(Agenda2526!C177,'CAL6'!A:A,0),2,4,1,"CAL6")),"")</f>
        <v/>
      </c>
      <c r="AF176" s="21">
        <f ca="1">IF(CALC2223!BC176&gt;0,INDIRECT(ADDRESS(MATCH(Agenda2526!C177,'CAL6'!A:A,0),3,4,1,"CAL6")),0)</f>
        <v>0</v>
      </c>
      <c r="AG176" s="20" t="str">
        <f ca="1">IF(CALC2223!BC176&gt;1,INDIRECT(ADDRESS(MATCH(Agenda2526!C177,'CAL6'!A:A,0)+1,2,4,1,"CAL6")),"")</f>
        <v/>
      </c>
      <c r="AH176" s="21">
        <f ca="1">IF(CALC2223!BC176&gt;1,INDIRECT(ADDRESS(MATCH(Agenda2526!C177,'CAL6'!A:A,0)+1,3,4,1,"CAL6")),0)</f>
        <v>0</v>
      </c>
      <c r="AI176" s="20" t="str">
        <f ca="1">IF(CALC2223!BC176&gt;2,INDIRECT(ADDRESS(MATCH(Agenda2526!C177,'CAL6'!A:A,0)+2,2,4,1,"CAL6")),"")</f>
        <v/>
      </c>
      <c r="AJ176" s="21">
        <f ca="1">IF(CALC2223!BC176&gt;2,INDIRECT(ADDRESS(MATCH(Agenda2526!C177,'CAL6'!A:A,0)+2,3,4,1,"CAL6")),0)</f>
        <v>0</v>
      </c>
      <c r="AK176" s="20" t="str">
        <f ca="1">IF(CALC2223!BD176&gt;0,INDIRECT(ADDRESS(MATCH(Agenda2526!C177,'CAL7'!A:A,0),2,4,1,"CAL7")),"")</f>
        <v/>
      </c>
      <c r="AL176" s="21">
        <f ca="1">IF(CALC2223!BD176&gt;0,INDIRECT(ADDRESS(MATCH(Agenda2526!C177,'CAL7'!A:A,0),3,4,1,"CAL7")),0)</f>
        <v>0</v>
      </c>
      <c r="AM176" s="20" t="str">
        <f ca="1">IF(CALC2223!BD176&gt;1,INDIRECT(ADDRESS(MATCH(Agenda2526!C177,'CAL7'!A:A,0)+1,2,4,1,"CAL7")),"")</f>
        <v/>
      </c>
      <c r="AN176" s="21">
        <f ca="1">IF(CALC2223!BD176&gt;1,INDIRECT(ADDRESS(MATCH(Agenda2526!C177,'CAL7'!A:A,0)+1,3,4,1,"CAL7")),0)</f>
        <v>0</v>
      </c>
      <c r="AO176" s="20" t="str">
        <f ca="1">IF(CALC2223!BD176&gt;2,INDIRECT(ADDRESS(MATCH(Agenda2526!C177,'CAL7'!A:A,0)+2,2,4,1,"CAL7")),"")</f>
        <v/>
      </c>
      <c r="AP176" s="21">
        <f ca="1">IF(CALC2223!BD176&gt;2,INDIRECT(ADDRESS(MATCH(Agenda2526!C177,'CAL7'!A:A,0)+2,3,4,1,"CAL7")),0)</f>
        <v>0</v>
      </c>
      <c r="AQ176" s="20" t="str">
        <f ca="1">IF(CALC2223!BE176&gt;0,INDIRECT(ADDRESS(MATCH(Agenda2526!C177,'CAL8'!A:A,0),2,4,1,"CAL8")),"")</f>
        <v/>
      </c>
      <c r="AR176" s="21">
        <f ca="1">IF(CALC2223!BE176&gt;0,INDIRECT(ADDRESS(MATCH(Agenda2526!C177,'CAL8'!A:A,0),3,4,1,"CAL8")),0)</f>
        <v>0</v>
      </c>
      <c r="AS176" s="20" t="str">
        <f ca="1">IF(CALC2223!BE176&gt;1,INDIRECT(ADDRESS(MATCH(Agenda2526!C177,'CAL8'!A:A,0)+1,2,4,1,"CAL8")),"")</f>
        <v/>
      </c>
      <c r="AT176" s="21">
        <f ca="1">IF(CALC2223!BE176&gt;1,INDIRECT(ADDRESS(MATCH(Agenda2526!C177,'CAL8'!A:A,0)+1,3,4,1,"CAL8")),0)</f>
        <v>0</v>
      </c>
      <c r="AU176" s="20" t="str">
        <f ca="1">IF(CALC2223!BE176&gt;2,INDIRECT(ADDRESS(MATCH(Agenda2526!C177,'CAL8'!A:A,0)+2,2,4,1,"CAL8")),"")</f>
        <v/>
      </c>
      <c r="AV176" s="21">
        <f ca="1">IF(CALC2223!BE176&gt;2,INDIRECT(ADDRESS(MATCH(Agenda2526!C177,'CAL8'!A:A,0)+2,3,4,1,"CAL8")),0)</f>
        <v>0</v>
      </c>
      <c r="AW176" s="106"/>
      <c r="AX176" s="20">
        <f>COUNTIF('CAL1'!A:A,Agenda2526!C177)</f>
        <v>0</v>
      </c>
      <c r="AY176" s="20">
        <f>COUNTIF('CAL2'!A:A,Agenda2526!C177)</f>
        <v>0</v>
      </c>
      <c r="AZ176" s="20">
        <f>COUNTIF('CAL3'!A:A,Agenda2526!C177)</f>
        <v>0</v>
      </c>
      <c r="BA176" s="20">
        <f>COUNTIF('CAL4'!A:A,Agenda2526!C177)</f>
        <v>0</v>
      </c>
      <c r="BB176" s="20">
        <f>COUNTIF('CAL5'!A:A,Agenda2526!C177)</f>
        <v>0</v>
      </c>
      <c r="BC176" s="20">
        <f>COUNTIF('CAL6'!A:A,Agenda2526!C177)</f>
        <v>0</v>
      </c>
      <c r="BD176" s="20">
        <f>COUNTIF('CAL7'!A:A,Agenda2526!C177)</f>
        <v>0</v>
      </c>
      <c r="BE176" s="20">
        <f>COUNTIF('CAL8'!A:A,Agenda2526!C177)</f>
        <v>0</v>
      </c>
    </row>
    <row r="177" spans="1:57" ht="15.75" customHeight="1">
      <c r="A177" s="20" t="str">
        <f ca="1">IF(CALC2223!AX177&gt;0,INDIRECT(ADDRESS(MATCH(Agenda2526!C178,'CAL1'!A:A,0),2,4,1,"CAL1")),"")</f>
        <v/>
      </c>
      <c r="B177" s="21">
        <f ca="1">IF(CALC2223!AX177&gt;0,INDIRECT(ADDRESS(MATCH(Agenda2526!C178,'CAL1'!A:A,0),3,4,1,"CAL1")),0)</f>
        <v>0</v>
      </c>
      <c r="C177" s="20" t="str">
        <f ca="1">IF(CALC2223!AX177&gt;1,INDIRECT(ADDRESS(MATCH(Agenda2526!C178,'CAL1'!A:A,0)+1,2,4,1,"CAL1")),"")</f>
        <v/>
      </c>
      <c r="D177" s="21">
        <f ca="1">IF(CALC2223!AX177&gt;1,INDIRECT(ADDRESS(MATCH(Agenda2526!C178,'CAL1'!A:A,0)+1,3,4,1,"CAL1")),0)</f>
        <v>0</v>
      </c>
      <c r="E177" s="20" t="str">
        <f ca="1">IF(CALC2223!AX177&gt;2,INDIRECT(ADDRESS(MATCH(Agenda2526!C178,'CAL1'!A:A,0)+2,2,4,1,"CAL1")),"")</f>
        <v/>
      </c>
      <c r="F177" s="21">
        <f ca="1">IF(CALC2223!AX177&gt;2,INDIRECT(ADDRESS(MATCH(Agenda2526!C178,'CAL1'!A:A,0)+2,3,4,1,"CAL1")),0)</f>
        <v>0</v>
      </c>
      <c r="G177" s="20" t="str">
        <f ca="1">IF(CALC2223!AY177&gt;0,INDIRECT(ADDRESS(MATCH(Agenda2526!C178,'CAL2'!A:A,0),2,4,1,"CAL2")),"")</f>
        <v>loopdag lj2</v>
      </c>
      <c r="H177" s="21">
        <f ca="1">IF(CALC2223!AY177&gt;0,INDIRECT(ADDRESS(MATCH(Agenda2526!C178,'CAL2'!A:A,0),3,4,1,"CAL2")),0)</f>
        <v>45939</v>
      </c>
      <c r="I177" s="20" t="str">
        <f ca="1">IF(CALC2223!AY177&gt;1,INDIRECT(ADDRESS(MATCH(Agenda2526!C178,'CAL2'!A:A,0)+1,2,4,1,"CAL2")),"")</f>
        <v/>
      </c>
      <c r="J177" s="21">
        <f ca="1">IF(CALC2223!AY177&gt;1,INDIRECT(ADDRESS(MATCH(Agenda2526!C178,'CAL2'!A:A,0)+1,3,4,1,"CAL2")),0)</f>
        <v>0</v>
      </c>
      <c r="K177" s="20" t="str">
        <f ca="1">IF(CALC2223!AY177&gt;2,INDIRECT(ADDRESS(MATCH(Agenda2526!C178,'CAL2'!A:A,0)+2,2,4,1,"CAL2")),"")</f>
        <v/>
      </c>
      <c r="L177" s="21">
        <f ca="1">IF(CALC2223!AY177&gt;2,INDIRECT(ADDRESS(MATCH(Agenda2526!C178,'CAL2'!A:A,0)+2,3,4,1,"CAL2")),0)</f>
        <v>0</v>
      </c>
      <c r="M177" s="20" t="str">
        <f ca="1">IF(CALC2223!AZ177&gt;0,INDIRECT(ADDRESS(MATCH(Agenda2526!C178,'CAL3'!A:A,0),2,4,1,"CAL3")),"")</f>
        <v/>
      </c>
      <c r="N177" s="21">
        <f ca="1">IF(CALC2223!AZ177&gt;0,INDIRECT(ADDRESS(MATCH(Agenda2526!C178,'CAL3'!A:A,0),3,4,1,"CAL3")),0)</f>
        <v>0</v>
      </c>
      <c r="O177" s="20" t="str">
        <f ca="1">IF(CALC2223!AZ177&gt;1,INDIRECT(ADDRESS(MATCH(Agenda2526!C178,'CAL3'!A:A,0)+1,2,4,1,"CAL3")),"")</f>
        <v/>
      </c>
      <c r="P177" s="21">
        <f ca="1">IF(CALC2223!AZ177&gt;1,INDIRECT(ADDRESS(MATCH(Agenda2526!C178,'CAL3'!A:A,0)+1,3,4,1,"CAL3")),0)</f>
        <v>0</v>
      </c>
      <c r="Q177" s="20" t="str">
        <f ca="1">IF(CALC2223!AZ177&gt;2,INDIRECT(ADDRESS(MATCH(Agenda2526!C178,'CAL3'!A:A,0)+2,2,4,1,"CAL3")),"")</f>
        <v/>
      </c>
      <c r="R177" s="21">
        <f ca="1">IF(CALC2223!AZ177&gt;2,INDIRECT(ADDRESS(MATCH(Agenda2526!C178,'CAL3'!A:A,0)+2,3,4,1,"CAL3")),0)</f>
        <v>0</v>
      </c>
      <c r="S177" s="20" t="str">
        <f ca="1">IF(CALC2223!BA177&gt;0,INDIRECT(ADDRESS(MATCH(Agenda2526!C178,'CAL4'!A:A,0),2,4,1,"CAL4")),"")</f>
        <v/>
      </c>
      <c r="T177" s="21">
        <f ca="1">IF(CALC2223!BA177&gt;0,INDIRECT(ADDRESS(MATCH(Agenda2526!C178,'CAL4'!A:A,0),3,4,1,"CAL4")),0)</f>
        <v>0</v>
      </c>
      <c r="U177" s="20" t="str">
        <f ca="1">IF(CALC2223!BA177&gt;1,INDIRECT(ADDRESS(MATCH(Agenda2526!C178,'CAL4'!A:A,0)+1,2,4,1,"CAL4")),"")</f>
        <v/>
      </c>
      <c r="V177" s="21">
        <f ca="1">IF(CALC2223!BA177&gt;1,INDIRECT(ADDRESS(MATCH(Agenda2526!C178,'CAL4'!A:A,0)+1,3,4,1,"CAL4")),0)</f>
        <v>0</v>
      </c>
      <c r="W177" s="20" t="str">
        <f ca="1">IF(CALC2223!BA177&gt;2,INDIRECT(ADDRESS(MATCH(Agenda2526!C178,'CAL4'!A:A,0)+2,2,4,1,"CAL4")),"")</f>
        <v/>
      </c>
      <c r="X177" s="21">
        <f ca="1">IF(CALC2223!BA177&gt;2,INDIRECT(ADDRESS(MATCH(Agenda2526!C178,'CAL4'!A:A,0)+2,3,4,1,"CAL4")),0)</f>
        <v>0</v>
      </c>
      <c r="Y177" s="20" t="str">
        <f ca="1">IF(CALC2223!BB177&gt;0,INDIRECT(ADDRESS(MATCH(Agenda2526!C178,'CAL5'!A:A,0),2,4,1,"CAL5")),"")</f>
        <v/>
      </c>
      <c r="Z177" s="21">
        <f ca="1">IF(CALC2223!BB177&gt;0,INDIRECT(ADDRESS(MATCH(Agenda2526!C178,'CAL5'!A:A,0),3,4,1,"CAL5")),0)</f>
        <v>0</v>
      </c>
      <c r="AA177" s="20" t="str">
        <f ca="1">IF(CALC2223!BB177&gt;1,INDIRECT(ADDRESS(MATCH(Agenda2526!C178,'CAL5'!A:A,0)+1,2,4,1,"CAL5")),"")</f>
        <v/>
      </c>
      <c r="AB177" s="21">
        <f ca="1">IF(CALC2223!BB177&gt;1,INDIRECT(ADDRESS(MATCH(Agenda2526!C178,'CAL5'!A:A,0)+1,3,4,1,"CAL5")),0)</f>
        <v>0</v>
      </c>
      <c r="AC177" s="20" t="str">
        <f ca="1">IF(CALC2223!BB177&gt;2,INDIRECT(ADDRESS(MATCH(Agenda2526!C178,'CAL5'!A:A,0)+2,2,4,1,"CAL5")),"")</f>
        <v/>
      </c>
      <c r="AD177" s="21">
        <f ca="1">IF(CALC2223!BB177&gt;2,INDIRECT(ADDRESS(MATCH(Agenda2526!C178,'CAL5'!A:A,0)+2,3,4,1,"CAL5")),0)</f>
        <v>0</v>
      </c>
      <c r="AE177" s="20" t="str">
        <f ca="1">IF(CALC2223!BC177&gt;0,INDIRECT(ADDRESS(MATCH(Agenda2526!C178,'CAL6'!A:A,0),2,4,1,"CAL6")),"")</f>
        <v/>
      </c>
      <c r="AF177" s="21">
        <f ca="1">IF(CALC2223!BC177&gt;0,INDIRECT(ADDRESS(MATCH(Agenda2526!C178,'CAL6'!A:A,0),3,4,1,"CAL6")),0)</f>
        <v>0</v>
      </c>
      <c r="AG177" s="20" t="str">
        <f ca="1">IF(CALC2223!BC177&gt;1,INDIRECT(ADDRESS(MATCH(Agenda2526!C178,'CAL6'!A:A,0)+1,2,4,1,"CAL6")),"")</f>
        <v/>
      </c>
      <c r="AH177" s="21">
        <f ca="1">IF(CALC2223!BC177&gt;1,INDIRECT(ADDRESS(MATCH(Agenda2526!C178,'CAL6'!A:A,0)+1,3,4,1,"CAL6")),0)</f>
        <v>0</v>
      </c>
      <c r="AI177" s="20" t="str">
        <f ca="1">IF(CALC2223!BC177&gt;2,INDIRECT(ADDRESS(MATCH(Agenda2526!C178,'CAL6'!A:A,0)+2,2,4,1,"CAL6")),"")</f>
        <v/>
      </c>
      <c r="AJ177" s="21">
        <f ca="1">IF(CALC2223!BC177&gt;2,INDIRECT(ADDRESS(MATCH(Agenda2526!C178,'CAL6'!A:A,0)+2,3,4,1,"CAL6")),0)</f>
        <v>0</v>
      </c>
      <c r="AK177" s="20" t="str">
        <f ca="1">IF(CALC2223!BD177&gt;0,INDIRECT(ADDRESS(MATCH(Agenda2526!C178,'CAL7'!A:A,0),2,4,1,"CAL7")),"")</f>
        <v/>
      </c>
      <c r="AL177" s="21">
        <f ca="1">IF(CALC2223!BD177&gt;0,INDIRECT(ADDRESS(MATCH(Agenda2526!C178,'CAL7'!A:A,0),3,4,1,"CAL7")),0)</f>
        <v>0</v>
      </c>
      <c r="AM177" s="20" t="str">
        <f ca="1">IF(CALC2223!BD177&gt;1,INDIRECT(ADDRESS(MATCH(Agenda2526!C178,'CAL7'!A:A,0)+1,2,4,1,"CAL7")),"")</f>
        <v/>
      </c>
      <c r="AN177" s="21">
        <f ca="1">IF(CALC2223!BD177&gt;1,INDIRECT(ADDRESS(MATCH(Agenda2526!C178,'CAL7'!A:A,0)+1,3,4,1,"CAL7")),0)</f>
        <v>0</v>
      </c>
      <c r="AO177" s="20" t="str">
        <f ca="1">IF(CALC2223!BD177&gt;2,INDIRECT(ADDRESS(MATCH(Agenda2526!C178,'CAL7'!A:A,0)+2,2,4,1,"CAL7")),"")</f>
        <v/>
      </c>
      <c r="AP177" s="21">
        <f ca="1">IF(CALC2223!BD177&gt;2,INDIRECT(ADDRESS(MATCH(Agenda2526!C178,'CAL7'!A:A,0)+2,3,4,1,"CAL7")),0)</f>
        <v>0</v>
      </c>
      <c r="AQ177" s="20" t="str">
        <f ca="1">IF(CALC2223!BE177&gt;0,INDIRECT(ADDRESS(MATCH(Agenda2526!C178,'CAL8'!A:A,0),2,4,1,"CAL8")),"")</f>
        <v>medewerkersdag Willibrord</v>
      </c>
      <c r="AR177" s="21">
        <f ca="1">IF(CALC2223!BE177&gt;0,INDIRECT(ADDRESS(MATCH(Agenda2526!C178,'CAL8'!A:A,0),3,4,1,"CAL8")),0)</f>
        <v>45896</v>
      </c>
      <c r="AS177" s="20" t="str">
        <f ca="1">IF(CALC2223!BE177&gt;1,INDIRECT(ADDRESS(MATCH(Agenda2526!C178,'CAL8'!A:A,0)+1,2,4,1,"CAL8")),"")</f>
        <v/>
      </c>
      <c r="AT177" s="21">
        <f ca="1">IF(CALC2223!BE177&gt;1,INDIRECT(ADDRESS(MATCH(Agenda2526!C178,'CAL8'!A:A,0)+1,3,4,1,"CAL8")),0)</f>
        <v>0</v>
      </c>
      <c r="AU177" s="20" t="str">
        <f ca="1">IF(CALC2223!BE177&gt;2,INDIRECT(ADDRESS(MATCH(Agenda2526!C178,'CAL8'!A:A,0)+2,2,4,1,"CAL8")),"")</f>
        <v/>
      </c>
      <c r="AV177" s="21">
        <f ca="1">IF(CALC2223!BE177&gt;2,INDIRECT(ADDRESS(MATCH(Agenda2526!C178,'CAL8'!A:A,0)+2,3,4,1,"CAL8")),0)</f>
        <v>0</v>
      </c>
      <c r="AW177" s="112"/>
      <c r="AX177" s="20">
        <f>COUNTIF('CAL1'!A:A,Agenda2526!C178)</f>
        <v>0</v>
      </c>
      <c r="AY177" s="20">
        <f>COUNTIF('CAL2'!A:A,Agenda2526!C178)</f>
        <v>1</v>
      </c>
      <c r="AZ177" s="20">
        <f>COUNTIF('CAL3'!A:A,Agenda2526!C178)</f>
        <v>0</v>
      </c>
      <c r="BA177" s="20">
        <f>COUNTIF('CAL4'!A:A,Agenda2526!C178)</f>
        <v>0</v>
      </c>
      <c r="BB177" s="20">
        <f>COUNTIF('CAL5'!A:A,Agenda2526!C178)</f>
        <v>0</v>
      </c>
      <c r="BC177" s="20">
        <f>COUNTIF('CAL6'!A:A,Agenda2526!C178)</f>
        <v>0</v>
      </c>
      <c r="BD177" s="20">
        <f>COUNTIF('CAL7'!A:A,Agenda2526!C178)</f>
        <v>0</v>
      </c>
      <c r="BE177" s="20">
        <f>COUNTIF('CAL8'!A:A,Agenda2526!C178)</f>
        <v>1</v>
      </c>
    </row>
    <row r="178" spans="1:57" ht="15.75" customHeight="1">
      <c r="A178" s="20" t="str">
        <f ca="1">IF(CALC2223!AX178&gt;0,INDIRECT(ADDRESS(MATCH(Agenda2526!C179,'CAL1'!A:A,0),2,4,1,"CAL1")),"")</f>
        <v>ABC kunsthal</v>
      </c>
      <c r="B178" s="21">
        <f ca="1">IF(CALC2223!AX178&gt;0,INDIRECT(ADDRESS(MATCH(Agenda2526!C179,'CAL1'!A:A,0),3,4,1,"CAL1")),0)</f>
        <v>45936</v>
      </c>
      <c r="C178" s="20" t="str">
        <f ca="1">IF(CALC2223!AX178&gt;1,INDIRECT(ADDRESS(MATCH(Agenda2526!C179,'CAL1'!A:A,0)+1,2,4,1,"CAL1")),"")</f>
        <v/>
      </c>
      <c r="D178" s="21">
        <f ca="1">IF(CALC2223!AX178&gt;1,INDIRECT(ADDRESS(MATCH(Agenda2526!C179,'CAL1'!A:A,0)+1,3,4,1,"CAL1")),0)</f>
        <v>0</v>
      </c>
      <c r="E178" s="20" t="str">
        <f ca="1">IF(CALC2223!AX178&gt;2,INDIRECT(ADDRESS(MATCH(Agenda2526!C179,'CAL1'!A:A,0)+2,2,4,1,"CAL1")),"")</f>
        <v/>
      </c>
      <c r="F178" s="21">
        <f ca="1">IF(CALC2223!AX178&gt;2,INDIRECT(ADDRESS(MATCH(Agenda2526!C179,'CAL1'!A:A,0)+2,3,4,1,"CAL1")),0)</f>
        <v>0</v>
      </c>
      <c r="G178" s="20" t="str">
        <f ca="1">IF(CALC2223!AY178&gt;0,INDIRECT(ADDRESS(MATCH(Agenda2526!C179,'CAL2'!A:A,0),2,4,1,"CAL2")),"")</f>
        <v/>
      </c>
      <c r="H178" s="21">
        <f ca="1">IF(CALC2223!AY178&gt;0,INDIRECT(ADDRESS(MATCH(Agenda2526!C179,'CAL2'!A:A,0),3,4,1,"CAL2")),0)</f>
        <v>0</v>
      </c>
      <c r="I178" s="20" t="str">
        <f ca="1">IF(CALC2223!AY178&gt;1,INDIRECT(ADDRESS(MATCH(Agenda2526!C179,'CAL2'!A:A,0)+1,2,4,1,"CAL2")),"")</f>
        <v/>
      </c>
      <c r="J178" s="21">
        <f ca="1">IF(CALC2223!AY178&gt;1,INDIRECT(ADDRESS(MATCH(Agenda2526!C179,'CAL2'!A:A,0)+1,3,4,1,"CAL2")),0)</f>
        <v>0</v>
      </c>
      <c r="K178" s="20" t="str">
        <f ca="1">IF(CALC2223!AY178&gt;2,INDIRECT(ADDRESS(MATCH(Agenda2526!C179,'CAL2'!A:A,0)+2,2,4,1,"CAL2")),"")</f>
        <v/>
      </c>
      <c r="L178" s="21">
        <f ca="1">IF(CALC2223!AY178&gt;2,INDIRECT(ADDRESS(MATCH(Agenda2526!C179,'CAL2'!A:A,0)+2,3,4,1,"CAL2")),0)</f>
        <v>0</v>
      </c>
      <c r="M178" s="20" t="str">
        <f ca="1">IF(CALC2223!AZ178&gt;0,INDIRECT(ADDRESS(MATCH(Agenda2526!C179,'CAL3'!A:A,0),2,4,1,"CAL3")),"")</f>
        <v/>
      </c>
      <c r="N178" s="21">
        <f ca="1">IF(CALC2223!AZ178&gt;0,INDIRECT(ADDRESS(MATCH(Agenda2526!C179,'CAL3'!A:A,0),3,4,1,"CAL3")),0)</f>
        <v>0</v>
      </c>
      <c r="O178" s="20" t="str">
        <f ca="1">IF(CALC2223!AZ178&gt;1,INDIRECT(ADDRESS(MATCH(Agenda2526!C179,'CAL3'!A:A,0)+1,2,4,1,"CAL3")),"")</f>
        <v/>
      </c>
      <c r="P178" s="21">
        <f ca="1">IF(CALC2223!AZ178&gt;1,INDIRECT(ADDRESS(MATCH(Agenda2526!C179,'CAL3'!A:A,0)+1,3,4,1,"CAL3")),0)</f>
        <v>0</v>
      </c>
      <c r="Q178" s="20" t="str">
        <f ca="1">IF(CALC2223!AZ178&gt;2,INDIRECT(ADDRESS(MATCH(Agenda2526!C179,'CAL3'!A:A,0)+2,2,4,1,"CAL3")),"")</f>
        <v/>
      </c>
      <c r="R178" s="21">
        <f ca="1">IF(CALC2223!AZ178&gt;2,INDIRECT(ADDRESS(MATCH(Agenda2526!C179,'CAL3'!A:A,0)+2,3,4,1,"CAL3")),0)</f>
        <v>0</v>
      </c>
      <c r="S178" s="20" t="str">
        <f ca="1">IF(CALC2223!BA178&gt;0,INDIRECT(ADDRESS(MATCH(Agenda2526!C179,'CAL4'!A:A,0),2,4,1,"CAL4")),"")</f>
        <v/>
      </c>
      <c r="T178" s="21">
        <f ca="1">IF(CALC2223!BA178&gt;0,INDIRECT(ADDRESS(MATCH(Agenda2526!C179,'CAL4'!A:A,0),3,4,1,"CAL4")),0)</f>
        <v>0</v>
      </c>
      <c r="U178" s="20" t="str">
        <f ca="1">IF(CALC2223!BA178&gt;1,INDIRECT(ADDRESS(MATCH(Agenda2526!C179,'CAL4'!A:A,0)+1,2,4,1,"CAL4")),"")</f>
        <v/>
      </c>
      <c r="V178" s="21">
        <f ca="1">IF(CALC2223!BA178&gt;1,INDIRECT(ADDRESS(MATCH(Agenda2526!C179,'CAL4'!A:A,0)+1,3,4,1,"CAL4")),0)</f>
        <v>0</v>
      </c>
      <c r="W178" s="20" t="str">
        <f ca="1">IF(CALC2223!BA178&gt;2,INDIRECT(ADDRESS(MATCH(Agenda2526!C179,'CAL4'!A:A,0)+2,2,4,1,"CAL4")),"")</f>
        <v/>
      </c>
      <c r="X178" s="21">
        <f ca="1">IF(CALC2223!BA178&gt;2,INDIRECT(ADDRESS(MATCH(Agenda2526!C179,'CAL4'!A:A,0)+2,3,4,1,"CAL4")),0)</f>
        <v>0</v>
      </c>
      <c r="Y178" s="20" t="str">
        <f ca="1">IF(CALC2223!BB178&gt;0,INDIRECT(ADDRESS(MATCH(Agenda2526!C179,'CAL5'!A:A,0),2,4,1,"CAL5")),"")</f>
        <v>projectweek kl</v>
      </c>
      <c r="Z178" s="21">
        <f ca="1">IF(CALC2223!BB178&gt;0,INDIRECT(ADDRESS(MATCH(Agenda2526!C179,'CAL5'!A:A,0),3,4,1,"CAL5")),0)</f>
        <v>45896</v>
      </c>
      <c r="AA178" s="20" t="str">
        <f ca="1">IF(CALC2223!BB178&gt;1,INDIRECT(ADDRESS(MATCH(Agenda2526!C179,'CAL5'!A:A,0)+1,2,4,1,"CAL5")),"")</f>
        <v/>
      </c>
      <c r="AB178" s="21">
        <f ca="1">IF(CALC2223!BB178&gt;1,INDIRECT(ADDRESS(MATCH(Agenda2526!C179,'CAL5'!A:A,0)+1,3,4,1,"CAL5")),0)</f>
        <v>0</v>
      </c>
      <c r="AC178" s="20" t="str">
        <f ca="1">IF(CALC2223!BB178&gt;2,INDIRECT(ADDRESS(MATCH(Agenda2526!C179,'CAL5'!A:A,0)+2,2,4,1,"CAL5")),"")</f>
        <v/>
      </c>
      <c r="AD178" s="21">
        <f ca="1">IF(CALC2223!BB178&gt;2,INDIRECT(ADDRESS(MATCH(Agenda2526!C179,'CAL5'!A:A,0)+2,3,4,1,"CAL5")),0)</f>
        <v>0</v>
      </c>
      <c r="AE178" s="20" t="str">
        <f ca="1">IF(CALC2223!BC178&gt;0,INDIRECT(ADDRESS(MATCH(Agenda2526!C179,'CAL6'!A:A,0),2,4,1,"CAL6")),"")</f>
        <v>tsweek: DUTL, FATL +LGO</v>
      </c>
      <c r="AF178" s="21">
        <f ca="1">IF(CALC2223!BC178&gt;0,INDIRECT(ADDRESS(MATCH(Agenda2526!C179,'CAL6'!A:A,0),3,4,1,"CAL6")),0)</f>
        <v>45965</v>
      </c>
      <c r="AG178" s="20" t="str">
        <f ca="1">IF(CALC2223!BC178&gt;1,INDIRECT(ADDRESS(MATCH(Agenda2526!C179,'CAL6'!A:A,0)+1,2,4,1,"CAL6")),"")</f>
        <v/>
      </c>
      <c r="AH178" s="21">
        <f ca="1">IF(CALC2223!BC178&gt;1,INDIRECT(ADDRESS(MATCH(Agenda2526!C179,'CAL6'!A:A,0)+1,3,4,1,"CAL6")),0)</f>
        <v>0</v>
      </c>
      <c r="AI178" s="20" t="str">
        <f ca="1">IF(CALC2223!BC178&gt;2,INDIRECT(ADDRESS(MATCH(Agenda2526!C179,'CAL6'!A:A,0)+2,2,4,1,"CAL6")),"")</f>
        <v/>
      </c>
      <c r="AJ178" s="21">
        <f ca="1">IF(CALC2223!BC178&gt;2,INDIRECT(ADDRESS(MATCH(Agenda2526!C179,'CAL6'!A:A,0)+2,3,4,1,"CAL6")),0)</f>
        <v>0</v>
      </c>
      <c r="AK178" s="20" t="str">
        <f ca="1">IF(CALC2223!BD178&gt;0,INDIRECT(ADDRESS(MATCH(Agenda2526!C179,'CAL7'!A:A,0),2,4,1,"CAL7")),"")</f>
        <v/>
      </c>
      <c r="AL178" s="21">
        <f ca="1">IF(CALC2223!BD178&gt;0,INDIRECT(ADDRESS(MATCH(Agenda2526!C179,'CAL7'!A:A,0),3,4,1,"CAL7")),0)</f>
        <v>0</v>
      </c>
      <c r="AM178" s="20" t="str">
        <f ca="1">IF(CALC2223!BD178&gt;1,INDIRECT(ADDRESS(MATCH(Agenda2526!C179,'CAL7'!A:A,0)+1,2,4,1,"CAL7")),"")</f>
        <v/>
      </c>
      <c r="AN178" s="21">
        <f ca="1">IF(CALC2223!BD178&gt;1,INDIRECT(ADDRESS(MATCH(Agenda2526!C179,'CAL7'!A:A,0)+1,3,4,1,"CAL7")),0)</f>
        <v>0</v>
      </c>
      <c r="AO178" s="20" t="str">
        <f ca="1">IF(CALC2223!BD178&gt;2,INDIRECT(ADDRESS(MATCH(Agenda2526!C179,'CAL7'!A:A,0)+2,2,4,1,"CAL7")),"")</f>
        <v/>
      </c>
      <c r="AP178" s="21">
        <f ca="1">IF(CALC2223!BD178&gt;2,INDIRECT(ADDRESS(MATCH(Agenda2526!C179,'CAL7'!A:A,0)+2,3,4,1,"CAL7")),0)</f>
        <v>0</v>
      </c>
      <c r="AQ178" s="20" t="str">
        <f ca="1">IF(CALC2223!BE178&gt;0,INDIRECT(ADDRESS(MATCH(Agenda2526!C179,'CAL8'!A:A,0),2,4,1,"CAL8")),"")</f>
        <v>CGUweek2</v>
      </c>
      <c r="AR178" s="21">
        <f ca="1">IF(CALC2223!BE178&gt;0,INDIRECT(ADDRESS(MATCH(Agenda2526!C179,'CAL8'!A:A,0),3,4,1,"CAL8")),0)</f>
        <v>45896</v>
      </c>
      <c r="AS178" s="20" t="str">
        <f ca="1">IF(CALC2223!BE178&gt;1,INDIRECT(ADDRESS(MATCH(Agenda2526!C179,'CAL8'!A:A,0)+1,2,4,1,"CAL8")),"")</f>
        <v/>
      </c>
      <c r="AT178" s="21">
        <f ca="1">IF(CALC2223!BE178&gt;1,INDIRECT(ADDRESS(MATCH(Agenda2526!C179,'CAL8'!A:A,0)+1,3,4,1,"CAL8")),0)</f>
        <v>0</v>
      </c>
      <c r="AU178" s="20" t="str">
        <f ca="1">IF(CALC2223!BE178&gt;2,INDIRECT(ADDRESS(MATCH(Agenda2526!C179,'CAL8'!A:A,0)+2,2,4,1,"CAL8")),"")</f>
        <v/>
      </c>
      <c r="AV178" s="21">
        <f ca="1">IF(CALC2223!BE178&gt;2,INDIRECT(ADDRESS(MATCH(Agenda2526!C179,'CAL8'!A:A,0)+2,3,4,1,"CAL8")),0)</f>
        <v>0</v>
      </c>
      <c r="AW178" s="104"/>
      <c r="AX178" s="20">
        <f>COUNTIF('CAL1'!A:A,Agenda2526!C179)</f>
        <v>1</v>
      </c>
      <c r="AY178" s="20">
        <f>COUNTIF('CAL2'!A:A,Agenda2526!C179)</f>
        <v>0</v>
      </c>
      <c r="AZ178" s="20">
        <f>COUNTIF('CAL3'!A:A,Agenda2526!C179)</f>
        <v>0</v>
      </c>
      <c r="BA178" s="20">
        <f>COUNTIF('CAL4'!A:A,Agenda2526!C179)</f>
        <v>0</v>
      </c>
      <c r="BB178" s="20">
        <f>COUNTIF('CAL5'!A:A,Agenda2526!C179)</f>
        <v>1</v>
      </c>
      <c r="BC178" s="20">
        <f>COUNTIF('CAL6'!A:A,Agenda2526!C179)</f>
        <v>1</v>
      </c>
      <c r="BD178" s="20">
        <f>COUNTIF('CAL7'!A:A,Agenda2526!C179)</f>
        <v>0</v>
      </c>
      <c r="BE178" s="20">
        <f>COUNTIF('CAL8'!A:A,Agenda2526!C179)</f>
        <v>1</v>
      </c>
    </row>
    <row r="179" spans="1:57" ht="15.75" customHeight="1">
      <c r="A179" s="20" t="str">
        <f ca="1">IF(CALC2223!AX179&gt;0,INDIRECT(ADDRESS(MATCH(Agenda2526!C180,'CAL1'!A:A,0),2,4,1,"CAL1")),"")</f>
        <v>DEFG kunsthal</v>
      </c>
      <c r="B179" s="21">
        <f ca="1">IF(CALC2223!AX179&gt;0,INDIRECT(ADDRESS(MATCH(Agenda2526!C180,'CAL1'!A:A,0),3,4,1,"CAL1")),0)</f>
        <v>45936</v>
      </c>
      <c r="C179" s="20" t="str">
        <f ca="1">IF(CALC2223!AX179&gt;1,INDIRECT(ADDRESS(MATCH(Agenda2526!C180,'CAL1'!A:A,0)+1,2,4,1,"CAL1")),"")</f>
        <v/>
      </c>
      <c r="D179" s="21">
        <f ca="1">IF(CALC2223!AX179&gt;1,INDIRECT(ADDRESS(MATCH(Agenda2526!C180,'CAL1'!A:A,0)+1,3,4,1,"CAL1")),0)</f>
        <v>0</v>
      </c>
      <c r="E179" s="20" t="str">
        <f ca="1">IF(CALC2223!AX179&gt;2,INDIRECT(ADDRESS(MATCH(Agenda2526!C180,'CAL1'!A:A,0)+2,2,4,1,"CAL1")),"")</f>
        <v/>
      </c>
      <c r="F179" s="21">
        <f ca="1">IF(CALC2223!AX179&gt;2,INDIRECT(ADDRESS(MATCH(Agenda2526!C180,'CAL1'!A:A,0)+2,3,4,1,"CAL1")),0)</f>
        <v>0</v>
      </c>
      <c r="G179" s="20" t="str">
        <f ca="1">IF(CALC2223!AY179&gt;0,INDIRECT(ADDRESS(MATCH(Agenda2526!C180,'CAL2'!A:A,0),2,4,1,"CAL2")),"")</f>
        <v/>
      </c>
      <c r="H179" s="21">
        <f ca="1">IF(CALC2223!AY179&gt;0,INDIRECT(ADDRESS(MATCH(Agenda2526!C180,'CAL2'!A:A,0),3,4,1,"CAL2")),0)</f>
        <v>0</v>
      </c>
      <c r="I179" s="20" t="str">
        <f ca="1">IF(CALC2223!AY179&gt;1,INDIRECT(ADDRESS(MATCH(Agenda2526!C180,'CAL2'!A:A,0)+1,2,4,1,"CAL2")),"")</f>
        <v/>
      </c>
      <c r="J179" s="21">
        <f ca="1">IF(CALC2223!AY179&gt;1,INDIRECT(ADDRESS(MATCH(Agenda2526!C180,'CAL2'!A:A,0)+1,3,4,1,"CAL2")),0)</f>
        <v>0</v>
      </c>
      <c r="K179" s="20" t="str">
        <f ca="1">IF(CALC2223!AY179&gt;2,INDIRECT(ADDRESS(MATCH(Agenda2526!C180,'CAL2'!A:A,0)+2,2,4,1,"CAL2")),"")</f>
        <v/>
      </c>
      <c r="L179" s="21">
        <f ca="1">IF(CALC2223!AY179&gt;2,INDIRECT(ADDRESS(MATCH(Agenda2526!C180,'CAL2'!A:A,0)+2,3,4,1,"CAL2")),0)</f>
        <v>0</v>
      </c>
      <c r="M179" s="20" t="str">
        <f ca="1">IF(CALC2223!AZ179&gt;0,INDIRECT(ADDRESS(MATCH(Agenda2526!C180,'CAL3'!A:A,0),2,4,1,"CAL3")),"")</f>
        <v/>
      </c>
      <c r="N179" s="21">
        <f ca="1">IF(CALC2223!AZ179&gt;0,INDIRECT(ADDRESS(MATCH(Agenda2526!C180,'CAL3'!A:A,0),3,4,1,"CAL3")),0)</f>
        <v>0</v>
      </c>
      <c r="O179" s="20" t="str">
        <f ca="1">IF(CALC2223!AZ179&gt;1,INDIRECT(ADDRESS(MATCH(Agenda2526!C180,'CAL3'!A:A,0)+1,2,4,1,"CAL3")),"")</f>
        <v/>
      </c>
      <c r="P179" s="21">
        <f ca="1">IF(CALC2223!AZ179&gt;1,INDIRECT(ADDRESS(MATCH(Agenda2526!C180,'CAL3'!A:A,0)+1,3,4,1,"CAL3")),0)</f>
        <v>0</v>
      </c>
      <c r="Q179" s="20" t="str">
        <f ca="1">IF(CALC2223!AZ179&gt;2,INDIRECT(ADDRESS(MATCH(Agenda2526!C180,'CAL3'!A:A,0)+2,2,4,1,"CAL3")),"")</f>
        <v/>
      </c>
      <c r="R179" s="21">
        <f ca="1">IF(CALC2223!AZ179&gt;2,INDIRECT(ADDRESS(MATCH(Agenda2526!C180,'CAL3'!A:A,0)+2,3,4,1,"CAL3")),0)</f>
        <v>0</v>
      </c>
      <c r="S179" s="20" t="str">
        <f ca="1">IF(CALC2223!BA179&gt;0,INDIRECT(ADDRESS(MATCH(Agenda2526!C180,'CAL4'!A:A,0),2,4,1,"CAL4")),"")</f>
        <v/>
      </c>
      <c r="T179" s="21">
        <f ca="1">IF(CALC2223!BA179&gt;0,INDIRECT(ADDRESS(MATCH(Agenda2526!C180,'CAL4'!A:A,0),3,4,1,"CAL4")),0)</f>
        <v>0</v>
      </c>
      <c r="U179" s="20" t="str">
        <f ca="1">IF(CALC2223!BA179&gt;1,INDIRECT(ADDRESS(MATCH(Agenda2526!C180,'CAL4'!A:A,0)+1,2,4,1,"CAL4")),"")</f>
        <v/>
      </c>
      <c r="V179" s="21">
        <f ca="1">IF(CALC2223!BA179&gt;1,INDIRECT(ADDRESS(MATCH(Agenda2526!C180,'CAL4'!A:A,0)+1,3,4,1,"CAL4")),0)</f>
        <v>0</v>
      </c>
      <c r="W179" s="20" t="str">
        <f ca="1">IF(CALC2223!BA179&gt;2,INDIRECT(ADDRESS(MATCH(Agenda2526!C180,'CAL4'!A:A,0)+2,2,4,1,"CAL4")),"")</f>
        <v/>
      </c>
      <c r="X179" s="21">
        <f ca="1">IF(CALC2223!BA179&gt;2,INDIRECT(ADDRESS(MATCH(Agenda2526!C180,'CAL4'!A:A,0)+2,3,4,1,"CAL4")),0)</f>
        <v>0</v>
      </c>
      <c r="Y179" s="20" t="str">
        <f ca="1">IF(CALC2223!BB179&gt;0,INDIRECT(ADDRESS(MATCH(Agenda2526!C180,'CAL5'!A:A,0),2,4,1,"CAL5")),"")</f>
        <v>projectweek kl</v>
      </c>
      <c r="Z179" s="21">
        <f ca="1">IF(CALC2223!BB179&gt;0,INDIRECT(ADDRESS(MATCH(Agenda2526!C180,'CAL5'!A:A,0),3,4,1,"CAL5")),0)</f>
        <v>45896</v>
      </c>
      <c r="AA179" s="20" t="str">
        <f ca="1">IF(CALC2223!BB179&gt;1,INDIRECT(ADDRESS(MATCH(Agenda2526!C180,'CAL5'!A:A,0)+1,2,4,1,"CAL5")),"")</f>
        <v/>
      </c>
      <c r="AB179" s="21">
        <f ca="1">IF(CALC2223!BB179&gt;1,INDIRECT(ADDRESS(MATCH(Agenda2526!C180,'CAL5'!A:A,0)+1,3,4,1,"CAL5")),0)</f>
        <v>0</v>
      </c>
      <c r="AC179" s="20" t="str">
        <f ca="1">IF(CALC2223!BB179&gt;2,INDIRECT(ADDRESS(MATCH(Agenda2526!C180,'CAL5'!A:A,0)+2,2,4,1,"CAL5")),"")</f>
        <v/>
      </c>
      <c r="AD179" s="21">
        <f ca="1">IF(CALC2223!BB179&gt;2,INDIRECT(ADDRESS(MATCH(Agenda2526!C180,'CAL5'!A:A,0)+2,3,4,1,"CAL5")),0)</f>
        <v>0</v>
      </c>
      <c r="AE179" s="20" t="str">
        <f ca="1">IF(CALC2223!BC179&gt;0,INDIRECT(ADDRESS(MATCH(Agenda2526!C180,'CAL6'!A:A,0),2,4,1,"CAL6")),"")</f>
        <v>tsweek: SPTL, WIB +LGO</v>
      </c>
      <c r="AF179" s="21">
        <f ca="1">IF(CALC2223!BC179&gt;0,INDIRECT(ADDRESS(MATCH(Agenda2526!C180,'CAL6'!A:A,0),3,4,1,"CAL6")),0)</f>
        <v>45965</v>
      </c>
      <c r="AG179" s="20" t="str">
        <f ca="1">IF(CALC2223!BC179&gt;1,INDIRECT(ADDRESS(MATCH(Agenda2526!C180,'CAL6'!A:A,0)+1,2,4,1,"CAL6")),"")</f>
        <v/>
      </c>
      <c r="AH179" s="21">
        <f ca="1">IF(CALC2223!BC179&gt;1,INDIRECT(ADDRESS(MATCH(Agenda2526!C180,'CAL6'!A:A,0)+1,3,4,1,"CAL6")),0)</f>
        <v>0</v>
      </c>
      <c r="AI179" s="20" t="str">
        <f ca="1">IF(CALC2223!BC179&gt;2,INDIRECT(ADDRESS(MATCH(Agenda2526!C180,'CAL6'!A:A,0)+2,2,4,1,"CAL6")),"")</f>
        <v/>
      </c>
      <c r="AJ179" s="21">
        <f ca="1">IF(CALC2223!BC179&gt;2,INDIRECT(ADDRESS(MATCH(Agenda2526!C180,'CAL6'!A:A,0)+2,3,4,1,"CAL6")),0)</f>
        <v>0</v>
      </c>
      <c r="AK179" s="20" t="str">
        <f ca="1">IF(CALC2223!BD179&gt;0,INDIRECT(ADDRESS(MATCH(Agenda2526!C180,'CAL7'!A:A,0),2,4,1,"CAL7")),"")</f>
        <v/>
      </c>
      <c r="AL179" s="21">
        <f ca="1">IF(CALC2223!BD179&gt;0,INDIRECT(ADDRESS(MATCH(Agenda2526!C180,'CAL7'!A:A,0),3,4,1,"CAL7")),0)</f>
        <v>0</v>
      </c>
      <c r="AM179" s="20" t="str">
        <f ca="1">IF(CALC2223!BD179&gt;1,INDIRECT(ADDRESS(MATCH(Agenda2526!C180,'CAL7'!A:A,0)+1,2,4,1,"CAL7")),"")</f>
        <v/>
      </c>
      <c r="AN179" s="21">
        <f ca="1">IF(CALC2223!BD179&gt;1,INDIRECT(ADDRESS(MATCH(Agenda2526!C180,'CAL7'!A:A,0)+1,3,4,1,"CAL7")),0)</f>
        <v>0</v>
      </c>
      <c r="AO179" s="20" t="str">
        <f ca="1">IF(CALC2223!BD179&gt;2,INDIRECT(ADDRESS(MATCH(Agenda2526!C180,'CAL7'!A:A,0)+2,2,4,1,"CAL7")),"")</f>
        <v/>
      </c>
      <c r="AP179" s="21">
        <f ca="1">IF(CALC2223!BD179&gt;2,INDIRECT(ADDRESS(MATCH(Agenda2526!C180,'CAL7'!A:A,0)+2,3,4,1,"CAL7")),0)</f>
        <v>0</v>
      </c>
      <c r="AQ179" s="20" t="str">
        <f ca="1">IF(CALC2223!BE179&gt;0,INDIRECT(ADDRESS(MATCH(Agenda2526!C180,'CAL8'!A:A,0),2,4,1,"CAL8")),"")</f>
        <v>Open Lesmiddag 13:30-16:00 uur; CGUweek2</v>
      </c>
      <c r="AR179" s="21">
        <f ca="1">IF(CALC2223!BE179&gt;0,INDIRECT(ADDRESS(MATCH(Agenda2526!C180,'CAL8'!A:A,0),3,4,1,"CAL8")),0)</f>
        <v>45896</v>
      </c>
      <c r="AS179" s="20" t="str">
        <f ca="1">IF(CALC2223!BE179&gt;1,INDIRECT(ADDRESS(MATCH(Agenda2526!C180,'CAL8'!A:A,0)+1,2,4,1,"CAL8")),"")</f>
        <v/>
      </c>
      <c r="AT179" s="21">
        <f ca="1">IF(CALC2223!BE179&gt;1,INDIRECT(ADDRESS(MATCH(Agenda2526!C180,'CAL8'!A:A,0)+1,3,4,1,"CAL8")),0)</f>
        <v>0</v>
      </c>
      <c r="AU179" s="20" t="str">
        <f ca="1">IF(CALC2223!BE179&gt;2,INDIRECT(ADDRESS(MATCH(Agenda2526!C180,'CAL8'!A:A,0)+2,2,4,1,"CAL8")),"")</f>
        <v/>
      </c>
      <c r="AV179" s="21">
        <f ca="1">IF(CALC2223!BE179&gt;2,INDIRECT(ADDRESS(MATCH(Agenda2526!C180,'CAL8'!A:A,0)+2,3,4,1,"CAL8")),0)</f>
        <v>0</v>
      </c>
      <c r="AW179" s="104"/>
      <c r="AX179" s="20">
        <f>COUNTIF('CAL1'!A:A,Agenda2526!C180)</f>
        <v>1</v>
      </c>
      <c r="AY179" s="20">
        <f>COUNTIF('CAL2'!A:A,Agenda2526!C180)</f>
        <v>0</v>
      </c>
      <c r="AZ179" s="20">
        <f>COUNTIF('CAL3'!A:A,Agenda2526!C180)</f>
        <v>0</v>
      </c>
      <c r="BA179" s="20">
        <f>COUNTIF('CAL4'!A:A,Agenda2526!C180)</f>
        <v>0</v>
      </c>
      <c r="BB179" s="20">
        <f>COUNTIF('CAL5'!A:A,Agenda2526!C180)</f>
        <v>1</v>
      </c>
      <c r="BC179" s="20">
        <f>COUNTIF('CAL6'!A:A,Agenda2526!C180)</f>
        <v>1</v>
      </c>
      <c r="BD179" s="20">
        <f>COUNTIF('CAL7'!A:A,Agenda2526!C180)</f>
        <v>0</v>
      </c>
      <c r="BE179" s="20">
        <f>COUNTIF('CAL8'!A:A,Agenda2526!C180)</f>
        <v>1</v>
      </c>
    </row>
    <row r="180" spans="1:57" ht="15.75" customHeight="1">
      <c r="A180" s="20" t="str">
        <f ca="1">IF(CALC2223!AX180&gt;0,INDIRECT(ADDRESS(MATCH(Agenda2526!C181,'CAL1'!A:A,0),2,4,1,"CAL1")),"")</f>
        <v/>
      </c>
      <c r="B180" s="21">
        <f ca="1">IF(CALC2223!AX180&gt;0,INDIRECT(ADDRESS(MATCH(Agenda2526!C181,'CAL1'!A:A,0),3,4,1,"CAL1")),0)</f>
        <v>0</v>
      </c>
      <c r="C180" s="20" t="str">
        <f ca="1">IF(CALC2223!AX180&gt;1,INDIRECT(ADDRESS(MATCH(Agenda2526!C181,'CAL1'!A:A,0)+1,2,4,1,"CAL1")),"")</f>
        <v/>
      </c>
      <c r="D180" s="21">
        <f ca="1">IF(CALC2223!AX180&gt;1,INDIRECT(ADDRESS(MATCH(Agenda2526!C181,'CAL1'!A:A,0)+1,3,4,1,"CAL1")),0)</f>
        <v>0</v>
      </c>
      <c r="E180" s="20" t="str">
        <f ca="1">IF(CALC2223!AX180&gt;2,INDIRECT(ADDRESS(MATCH(Agenda2526!C181,'CAL1'!A:A,0)+2,2,4,1,"CAL1")),"")</f>
        <v/>
      </c>
      <c r="F180" s="21">
        <f ca="1">IF(CALC2223!AX180&gt;2,INDIRECT(ADDRESS(MATCH(Agenda2526!C181,'CAL1'!A:A,0)+2,3,4,1,"CAL1")),0)</f>
        <v>0</v>
      </c>
      <c r="G180" s="20" t="str">
        <f ca="1">IF(CALC2223!AY180&gt;0,INDIRECT(ADDRESS(MATCH(Agenda2526!C181,'CAL2'!A:A,0),2,4,1,"CAL2")),"")</f>
        <v/>
      </c>
      <c r="H180" s="21">
        <f ca="1">IF(CALC2223!AY180&gt;0,INDIRECT(ADDRESS(MATCH(Agenda2526!C181,'CAL2'!A:A,0),3,4,1,"CAL2")),0)</f>
        <v>0</v>
      </c>
      <c r="I180" s="20" t="str">
        <f ca="1">IF(CALC2223!AY180&gt;1,INDIRECT(ADDRESS(MATCH(Agenda2526!C181,'CAL2'!A:A,0)+1,2,4,1,"CAL2")),"")</f>
        <v/>
      </c>
      <c r="J180" s="21">
        <f ca="1">IF(CALC2223!AY180&gt;1,INDIRECT(ADDRESS(MATCH(Agenda2526!C181,'CAL2'!A:A,0)+1,3,4,1,"CAL2")),0)</f>
        <v>0</v>
      </c>
      <c r="K180" s="20" t="str">
        <f ca="1">IF(CALC2223!AY180&gt;2,INDIRECT(ADDRESS(MATCH(Agenda2526!C181,'CAL2'!A:A,0)+2,2,4,1,"CAL2")),"")</f>
        <v/>
      </c>
      <c r="L180" s="21">
        <f ca="1">IF(CALC2223!AY180&gt;2,INDIRECT(ADDRESS(MATCH(Agenda2526!C181,'CAL2'!A:A,0)+2,3,4,1,"CAL2")),0)</f>
        <v>0</v>
      </c>
      <c r="M180" s="20" t="str">
        <f ca="1">IF(CALC2223!AZ180&gt;0,INDIRECT(ADDRESS(MATCH(Agenda2526!C181,'CAL3'!A:A,0),2,4,1,"CAL3")),"")</f>
        <v>Rep WIS</v>
      </c>
      <c r="N180" s="21">
        <f ca="1">IF(CALC2223!AZ180&gt;0,INDIRECT(ADDRESS(MATCH(Agenda2526!C181,'CAL3'!A:A,0),3,4,1,"CAL3")),0)</f>
        <v>45896</v>
      </c>
      <c r="O180" s="20" t="str">
        <f ca="1">IF(CALC2223!AZ180&gt;1,INDIRECT(ADDRESS(MATCH(Agenda2526!C181,'CAL3'!A:A,0)+1,2,4,1,"CAL3")),"")</f>
        <v/>
      </c>
      <c r="P180" s="21">
        <f ca="1">IF(CALC2223!AZ180&gt;1,INDIRECT(ADDRESS(MATCH(Agenda2526!C181,'CAL3'!A:A,0)+1,3,4,1,"CAL3")),0)</f>
        <v>0</v>
      </c>
      <c r="Q180" s="20" t="str">
        <f ca="1">IF(CALC2223!AZ180&gt;2,INDIRECT(ADDRESS(MATCH(Agenda2526!C181,'CAL3'!A:A,0)+2,2,4,1,"CAL3")),"")</f>
        <v/>
      </c>
      <c r="R180" s="21">
        <f ca="1">IF(CALC2223!AZ180&gt;2,INDIRECT(ADDRESS(MATCH(Agenda2526!C181,'CAL3'!A:A,0)+2,3,4,1,"CAL3")),0)</f>
        <v>0</v>
      </c>
      <c r="S180" s="20" t="str">
        <f ca="1">IF(CALC2223!BA180&gt;0,INDIRECT(ADDRESS(MATCH(Agenda2526!C181,'CAL4'!A:A,0),2,4,1,"CAL4")),"")</f>
        <v/>
      </c>
      <c r="T180" s="21">
        <f ca="1">IF(CALC2223!BA180&gt;0,INDIRECT(ADDRESS(MATCH(Agenda2526!C181,'CAL4'!A:A,0),3,4,1,"CAL4")),0)</f>
        <v>0</v>
      </c>
      <c r="U180" s="20" t="str">
        <f ca="1">IF(CALC2223!BA180&gt;1,INDIRECT(ADDRESS(MATCH(Agenda2526!C181,'CAL4'!A:A,0)+1,2,4,1,"CAL4")),"")</f>
        <v/>
      </c>
      <c r="V180" s="21">
        <f ca="1">IF(CALC2223!BA180&gt;1,INDIRECT(ADDRESS(MATCH(Agenda2526!C181,'CAL4'!A:A,0)+1,3,4,1,"CAL4")),0)</f>
        <v>0</v>
      </c>
      <c r="W180" s="20" t="str">
        <f ca="1">IF(CALC2223!BA180&gt;2,INDIRECT(ADDRESS(MATCH(Agenda2526!C181,'CAL4'!A:A,0)+2,2,4,1,"CAL4")),"")</f>
        <v/>
      </c>
      <c r="X180" s="21">
        <f ca="1">IF(CALC2223!BA180&gt;2,INDIRECT(ADDRESS(MATCH(Agenda2526!C181,'CAL4'!A:A,0)+2,3,4,1,"CAL4")),0)</f>
        <v>0</v>
      </c>
      <c r="Y180" s="20" t="str">
        <f ca="1">IF(CALC2223!BB180&gt;0,INDIRECT(ADDRESS(MATCH(Agenda2526!C181,'CAL5'!A:A,0),2,4,1,"CAL5")),"")</f>
        <v>projectweek kl</v>
      </c>
      <c r="Z180" s="21">
        <f ca="1">IF(CALC2223!BB180&gt;0,INDIRECT(ADDRESS(MATCH(Agenda2526!C181,'CAL5'!A:A,0),3,4,1,"CAL5")),0)</f>
        <v>45896</v>
      </c>
      <c r="AA180" s="20" t="str">
        <f ca="1">IF(CALC2223!BB180&gt;1,INDIRECT(ADDRESS(MATCH(Agenda2526!C181,'CAL5'!A:A,0)+1,2,4,1,"CAL5")),"")</f>
        <v/>
      </c>
      <c r="AB180" s="21">
        <f ca="1">IF(CALC2223!BB180&gt;1,INDIRECT(ADDRESS(MATCH(Agenda2526!C181,'CAL5'!A:A,0)+1,3,4,1,"CAL5")),0)</f>
        <v>0</v>
      </c>
      <c r="AC180" s="20" t="str">
        <f ca="1">IF(CALC2223!BB180&gt;2,INDIRECT(ADDRESS(MATCH(Agenda2526!C181,'CAL5'!A:A,0)+2,2,4,1,"CAL5")),"")</f>
        <v/>
      </c>
      <c r="AD180" s="21">
        <f ca="1">IF(CALC2223!BB180&gt;2,INDIRECT(ADDRESS(MATCH(Agenda2526!C181,'CAL5'!A:A,0)+2,3,4,1,"CAL5")),0)</f>
        <v>0</v>
      </c>
      <c r="AE180" s="20" t="str">
        <f ca="1">IF(CALC2223!BC180&gt;0,INDIRECT(ADDRESS(MATCH(Agenda2526!C181,'CAL6'!A:A,0),2,4,1,"CAL6")),"")</f>
        <v>tsweek: PSE NA +LGO</v>
      </c>
      <c r="AF180" s="21">
        <f ca="1">IF(CALC2223!BC180&gt;0,INDIRECT(ADDRESS(MATCH(Agenda2526!C181,'CAL6'!A:A,0),3,4,1,"CAL6")),0)</f>
        <v>45965</v>
      </c>
      <c r="AG180" s="20" t="str">
        <f ca="1">IF(CALC2223!BC180&gt;1,INDIRECT(ADDRESS(MATCH(Agenda2526!C181,'CAL6'!A:A,0)+1,2,4,1,"CAL6")),"")</f>
        <v/>
      </c>
      <c r="AH180" s="21">
        <f ca="1">IF(CALC2223!BC180&gt;1,INDIRECT(ADDRESS(MATCH(Agenda2526!C181,'CAL6'!A:A,0)+1,3,4,1,"CAL6")),0)</f>
        <v>0</v>
      </c>
      <c r="AI180" s="20" t="str">
        <f ca="1">IF(CALC2223!BC180&gt;2,INDIRECT(ADDRESS(MATCH(Agenda2526!C181,'CAL6'!A:A,0)+2,2,4,1,"CAL6")),"")</f>
        <v/>
      </c>
      <c r="AJ180" s="21">
        <f ca="1">IF(CALC2223!BC180&gt;2,INDIRECT(ADDRESS(MATCH(Agenda2526!C181,'CAL6'!A:A,0)+2,3,4,1,"CAL6")),0)</f>
        <v>0</v>
      </c>
      <c r="AK180" s="20" t="str">
        <f ca="1">IF(CALC2223!BD180&gt;0,INDIRECT(ADDRESS(MATCH(Agenda2526!C181,'CAL7'!A:A,0),2,4,1,"CAL7")),"")</f>
        <v>commissies#6</v>
      </c>
      <c r="AL180" s="21">
        <f ca="1">IF(CALC2223!BD180&gt;0,INDIRECT(ADDRESS(MATCH(Agenda2526!C181,'CAL7'!A:A,0),3,4,1,"CAL7")),0)</f>
        <v>45896</v>
      </c>
      <c r="AM180" s="20" t="str">
        <f ca="1">IF(CALC2223!BD180&gt;1,INDIRECT(ADDRESS(MATCH(Agenda2526!C181,'CAL7'!A:A,0)+1,2,4,1,"CAL7")),"")</f>
        <v/>
      </c>
      <c r="AN180" s="21">
        <f ca="1">IF(CALC2223!BD180&gt;1,INDIRECT(ADDRESS(MATCH(Agenda2526!C181,'CAL7'!A:A,0)+1,3,4,1,"CAL7")),0)</f>
        <v>0</v>
      </c>
      <c r="AO180" s="20" t="str">
        <f ca="1">IF(CALC2223!BD180&gt;2,INDIRECT(ADDRESS(MATCH(Agenda2526!C181,'CAL7'!A:A,0)+2,2,4,1,"CAL7")),"")</f>
        <v/>
      </c>
      <c r="AP180" s="21">
        <f ca="1">IF(CALC2223!BD180&gt;2,INDIRECT(ADDRESS(MATCH(Agenda2526!C181,'CAL7'!A:A,0)+2,3,4,1,"CAL7")),0)</f>
        <v>0</v>
      </c>
      <c r="AQ180" s="20" t="str">
        <f ca="1">IF(CALC2223!BE180&gt;0,INDIRECT(ADDRESS(MATCH(Agenda2526!C181,'CAL8'!A:A,0),2,4,1,"CAL8")),"")</f>
        <v>CGUweek2</v>
      </c>
      <c r="AR180" s="21">
        <f ca="1">IF(CALC2223!BE180&gt;0,INDIRECT(ADDRESS(MATCH(Agenda2526!C181,'CAL8'!A:A,0),3,4,1,"CAL8")),0)</f>
        <v>45896</v>
      </c>
      <c r="AS180" s="20" t="str">
        <f ca="1">IF(CALC2223!BE180&gt;1,INDIRECT(ADDRESS(MATCH(Agenda2526!C181,'CAL8'!A:A,0)+1,2,4,1,"CAL8")),"")</f>
        <v/>
      </c>
      <c r="AT180" s="21">
        <f ca="1">IF(CALC2223!BE180&gt;1,INDIRECT(ADDRESS(MATCH(Agenda2526!C181,'CAL8'!A:A,0)+1,3,4,1,"CAL8")),0)</f>
        <v>0</v>
      </c>
      <c r="AU180" s="20" t="str">
        <f ca="1">IF(CALC2223!BE180&gt;2,INDIRECT(ADDRESS(MATCH(Agenda2526!C181,'CAL8'!A:A,0)+2,2,4,1,"CAL8")),"")</f>
        <v/>
      </c>
      <c r="AV180" s="21">
        <f ca="1">IF(CALC2223!BE180&gt;2,INDIRECT(ADDRESS(MATCH(Agenda2526!C181,'CAL8'!A:A,0)+2,3,4,1,"CAL8")),0)</f>
        <v>0</v>
      </c>
      <c r="AW180" s="104"/>
      <c r="AX180" s="20">
        <f>COUNTIF('CAL1'!A:A,Agenda2526!C181)</f>
        <v>0</v>
      </c>
      <c r="AY180" s="20">
        <f>COUNTIF('CAL2'!A:A,Agenda2526!C181)</f>
        <v>0</v>
      </c>
      <c r="AZ180" s="20">
        <f>COUNTIF('CAL3'!A:A,Agenda2526!C181)</f>
        <v>1</v>
      </c>
      <c r="BA180" s="20">
        <f>COUNTIF('CAL4'!A:A,Agenda2526!C181)</f>
        <v>0</v>
      </c>
      <c r="BB180" s="20">
        <f>COUNTIF('CAL5'!A:A,Agenda2526!C181)</f>
        <v>1</v>
      </c>
      <c r="BC180" s="20">
        <f>COUNTIF('CAL6'!A:A,Agenda2526!C181)</f>
        <v>1</v>
      </c>
      <c r="BD180" s="20">
        <f>COUNTIF('CAL7'!A:A,Agenda2526!C181)</f>
        <v>1</v>
      </c>
      <c r="BE180" s="20">
        <f>COUNTIF('CAL8'!A:A,Agenda2526!C181)</f>
        <v>1</v>
      </c>
    </row>
    <row r="181" spans="1:57" ht="15.75" customHeight="1">
      <c r="A181" s="20" t="str">
        <f ca="1">IF(CALC2223!AX181&gt;0,INDIRECT(ADDRESS(MATCH(Agenda2526!C182,'CAL1'!A:A,0),2,4,1,"CAL1")),"")</f>
        <v/>
      </c>
      <c r="B181" s="21">
        <f ca="1">IF(CALC2223!AX181&gt;0,INDIRECT(ADDRESS(MATCH(Agenda2526!C182,'CAL1'!A:A,0),3,4,1,"CAL1")),0)</f>
        <v>0</v>
      </c>
      <c r="C181" s="20" t="str">
        <f ca="1">IF(CALC2223!AX181&gt;1,INDIRECT(ADDRESS(MATCH(Agenda2526!C182,'CAL1'!A:A,0)+1,2,4,1,"CAL1")),"")</f>
        <v/>
      </c>
      <c r="D181" s="21">
        <f ca="1">IF(CALC2223!AX181&gt;1,INDIRECT(ADDRESS(MATCH(Agenda2526!C182,'CAL1'!A:A,0)+1,3,4,1,"CAL1")),0)</f>
        <v>0</v>
      </c>
      <c r="E181" s="20" t="str">
        <f ca="1">IF(CALC2223!AX181&gt;2,INDIRECT(ADDRESS(MATCH(Agenda2526!C182,'CAL1'!A:A,0)+2,2,4,1,"CAL1")),"")</f>
        <v/>
      </c>
      <c r="F181" s="21">
        <f ca="1">IF(CALC2223!AX181&gt;2,INDIRECT(ADDRESS(MATCH(Agenda2526!C182,'CAL1'!A:A,0)+2,3,4,1,"CAL1")),0)</f>
        <v>0</v>
      </c>
      <c r="G181" s="20" t="str">
        <f ca="1">IF(CALC2223!AY181&gt;0,INDIRECT(ADDRESS(MATCH(Agenda2526!C182,'CAL2'!A:A,0),2,4,1,"CAL2")),"")</f>
        <v/>
      </c>
      <c r="H181" s="21">
        <f ca="1">IF(CALC2223!AY181&gt;0,INDIRECT(ADDRESS(MATCH(Agenda2526!C182,'CAL2'!A:A,0),3,4,1,"CAL2")),0)</f>
        <v>0</v>
      </c>
      <c r="I181" s="20" t="str">
        <f ca="1">IF(CALC2223!AY181&gt;1,INDIRECT(ADDRESS(MATCH(Agenda2526!C182,'CAL2'!A:A,0)+1,2,4,1,"CAL2")),"")</f>
        <v/>
      </c>
      <c r="J181" s="21">
        <f ca="1">IF(CALC2223!AY181&gt;1,INDIRECT(ADDRESS(MATCH(Agenda2526!C182,'CAL2'!A:A,0)+1,3,4,1,"CAL2")),0)</f>
        <v>0</v>
      </c>
      <c r="K181" s="20" t="str">
        <f ca="1">IF(CALC2223!AY181&gt;2,INDIRECT(ADDRESS(MATCH(Agenda2526!C182,'CAL2'!A:A,0)+2,2,4,1,"CAL2")),"")</f>
        <v/>
      </c>
      <c r="L181" s="21">
        <f ca="1">IF(CALC2223!AY181&gt;2,INDIRECT(ADDRESS(MATCH(Agenda2526!C182,'CAL2'!A:A,0)+2,3,4,1,"CAL2")),0)</f>
        <v>0</v>
      </c>
      <c r="M181" s="20" t="str">
        <f ca="1">IF(CALC2223!AZ181&gt;0,INDIRECT(ADDRESS(MATCH(Agenda2526!C182,'CAL3'!A:A,0),2,4,1,"CAL3")),"")</f>
        <v/>
      </c>
      <c r="N181" s="21">
        <f ca="1">IF(CALC2223!AZ181&gt;0,INDIRECT(ADDRESS(MATCH(Agenda2526!C182,'CAL3'!A:A,0),3,4,1,"CAL3")),0)</f>
        <v>0</v>
      </c>
      <c r="O181" s="20" t="str">
        <f ca="1">IF(CALC2223!AZ181&gt;1,INDIRECT(ADDRESS(MATCH(Agenda2526!C182,'CAL3'!A:A,0)+1,2,4,1,"CAL3")),"")</f>
        <v/>
      </c>
      <c r="P181" s="21">
        <f ca="1">IF(CALC2223!AZ181&gt;1,INDIRECT(ADDRESS(MATCH(Agenda2526!C182,'CAL3'!A:A,0)+1,3,4,1,"CAL3")),0)</f>
        <v>0</v>
      </c>
      <c r="Q181" s="20" t="str">
        <f ca="1">IF(CALC2223!AZ181&gt;2,INDIRECT(ADDRESS(MATCH(Agenda2526!C182,'CAL3'!A:A,0)+2,2,4,1,"CAL3")),"")</f>
        <v/>
      </c>
      <c r="R181" s="21">
        <f ca="1">IF(CALC2223!AZ181&gt;2,INDIRECT(ADDRESS(MATCH(Agenda2526!C182,'CAL3'!A:A,0)+2,3,4,1,"CAL3")),0)</f>
        <v>0</v>
      </c>
      <c r="S181" s="20" t="str">
        <f ca="1">IF(CALC2223!BA181&gt;0,INDIRECT(ADDRESS(MATCH(Agenda2526!C182,'CAL4'!A:A,0),2,4,1,"CAL4")),"")</f>
        <v/>
      </c>
      <c r="T181" s="21">
        <f ca="1">IF(CALC2223!BA181&gt;0,INDIRECT(ADDRESS(MATCH(Agenda2526!C182,'CAL4'!A:A,0),3,4,1,"CAL4")),0)</f>
        <v>0</v>
      </c>
      <c r="U181" s="20" t="str">
        <f ca="1">IF(CALC2223!BA181&gt;1,INDIRECT(ADDRESS(MATCH(Agenda2526!C182,'CAL4'!A:A,0)+1,2,4,1,"CAL4")),"")</f>
        <v/>
      </c>
      <c r="V181" s="21">
        <f ca="1">IF(CALC2223!BA181&gt;1,INDIRECT(ADDRESS(MATCH(Agenda2526!C182,'CAL4'!A:A,0)+1,3,4,1,"CAL4")),0)</f>
        <v>0</v>
      </c>
      <c r="W181" s="20" t="str">
        <f ca="1">IF(CALC2223!BA181&gt;2,INDIRECT(ADDRESS(MATCH(Agenda2526!C182,'CAL4'!A:A,0)+2,2,4,1,"CAL4")),"")</f>
        <v/>
      </c>
      <c r="X181" s="21">
        <f ca="1">IF(CALC2223!BA181&gt;2,INDIRECT(ADDRESS(MATCH(Agenda2526!C182,'CAL4'!A:A,0)+2,3,4,1,"CAL4")),0)</f>
        <v>0</v>
      </c>
      <c r="Y181" s="20" t="str">
        <f ca="1">IF(CALC2223!BB181&gt;0,INDIRECT(ADDRESS(MATCH(Agenda2526!C182,'CAL5'!A:A,0),2,4,1,"CAL5")),"")</f>
        <v>projectweek kl</v>
      </c>
      <c r="Z181" s="21">
        <f ca="1">IF(CALC2223!BB181&gt;0,INDIRECT(ADDRESS(MATCH(Agenda2526!C182,'CAL5'!A:A,0),3,4,1,"CAL5")),0)</f>
        <v>45896</v>
      </c>
      <c r="AA181" s="20" t="str">
        <f ca="1">IF(CALC2223!BB181&gt;1,INDIRECT(ADDRESS(MATCH(Agenda2526!C182,'CAL5'!A:A,0)+1,2,4,1,"CAL5")),"")</f>
        <v/>
      </c>
      <c r="AB181" s="21">
        <f ca="1">IF(CALC2223!BB181&gt;1,INDIRECT(ADDRESS(MATCH(Agenda2526!C182,'CAL5'!A:A,0)+1,3,4,1,"CAL5")),0)</f>
        <v>0</v>
      </c>
      <c r="AC181" s="20" t="str">
        <f ca="1">IF(CALC2223!BB181&gt;2,INDIRECT(ADDRESS(MATCH(Agenda2526!C182,'CAL5'!A:A,0)+2,2,4,1,"CAL5")),"")</f>
        <v/>
      </c>
      <c r="AD181" s="21">
        <f ca="1">IF(CALC2223!BB181&gt;2,INDIRECT(ADDRESS(MATCH(Agenda2526!C182,'CAL5'!A:A,0)+2,3,4,1,"CAL5")),0)</f>
        <v>0</v>
      </c>
      <c r="AE181" s="20" t="str">
        <f ca="1">IF(CALC2223!BC181&gt;0,INDIRECT(ADDRESS(MATCH(Agenda2526!C182,'CAL6'!A:A,0),2,4,1,"CAL6")),"")</f>
        <v>tsweek: ENTL +LGO</v>
      </c>
      <c r="AF181" s="21">
        <f ca="1">IF(CALC2223!BC181&gt;0,INDIRECT(ADDRESS(MATCH(Agenda2526!C182,'CAL6'!A:A,0),3,4,1,"CAL6")),0)</f>
        <v>45965</v>
      </c>
      <c r="AG181" s="20" t="str">
        <f ca="1">IF(CALC2223!BC181&gt;1,INDIRECT(ADDRESS(MATCH(Agenda2526!C182,'CAL6'!A:A,0)+1,2,4,1,"CAL6")),"")</f>
        <v>ATL G6FATL bezoek schouwburg ('s avonds)</v>
      </c>
      <c r="AH181" s="21">
        <f ca="1">IF(CALC2223!BC181&gt;1,INDIRECT(ADDRESS(MATCH(Agenda2526!C182,'CAL6'!A:A,0)+1,3,4,1,"CAL6")),0)</f>
        <v>46066</v>
      </c>
      <c r="AI181" s="20" t="str">
        <f ca="1">IF(CALC2223!BC181&gt;2,INDIRECT(ADDRESS(MATCH(Agenda2526!C182,'CAL6'!A:A,0)+2,2,4,1,"CAL6")),"")</f>
        <v/>
      </c>
      <c r="AJ181" s="21">
        <f ca="1">IF(CALC2223!BC181&gt;2,INDIRECT(ADDRESS(MATCH(Agenda2526!C182,'CAL6'!A:A,0)+2,3,4,1,"CAL6")),0)</f>
        <v>0</v>
      </c>
      <c r="AK181" s="20" t="str">
        <f ca="1">IF(CALC2223!BD181&gt;0,INDIRECT(ADDRESS(MATCH(Agenda2526!C182,'CAL7'!A:A,0),2,4,1,"CAL7")),"")</f>
        <v/>
      </c>
      <c r="AL181" s="21">
        <f ca="1">IF(CALC2223!BD181&gt;0,INDIRECT(ADDRESS(MATCH(Agenda2526!C182,'CAL7'!A:A,0),3,4,1,"CAL7")),0)</f>
        <v>0</v>
      </c>
      <c r="AM181" s="20" t="str">
        <f ca="1">IF(CALC2223!BD181&gt;1,INDIRECT(ADDRESS(MATCH(Agenda2526!C182,'CAL7'!A:A,0)+1,2,4,1,"CAL7")),"")</f>
        <v/>
      </c>
      <c r="AN181" s="21">
        <f ca="1">IF(CALC2223!BD181&gt;1,INDIRECT(ADDRESS(MATCH(Agenda2526!C182,'CAL7'!A:A,0)+1,3,4,1,"CAL7")),0)</f>
        <v>0</v>
      </c>
      <c r="AO181" s="20" t="str">
        <f ca="1">IF(CALC2223!BD181&gt;2,INDIRECT(ADDRESS(MATCH(Agenda2526!C182,'CAL7'!A:A,0)+2,2,4,1,"CAL7")),"")</f>
        <v/>
      </c>
      <c r="AP181" s="21">
        <f ca="1">IF(CALC2223!BD181&gt;2,INDIRECT(ADDRESS(MATCH(Agenda2526!C182,'CAL7'!A:A,0)+2,3,4,1,"CAL7")),0)</f>
        <v>0</v>
      </c>
      <c r="AQ181" s="20" t="str">
        <f ca="1">IF(CALC2223!BE181&gt;0,INDIRECT(ADDRESS(MATCH(Agenda2526!C182,'CAL8'!A:A,0),2,4,1,"CAL8")),"")</f>
        <v>CGUweek2</v>
      </c>
      <c r="AR181" s="21">
        <f ca="1">IF(CALC2223!BE181&gt;0,INDIRECT(ADDRESS(MATCH(Agenda2526!C182,'CAL8'!A:A,0),3,4,1,"CAL8")),0)</f>
        <v>45896</v>
      </c>
      <c r="AS181" s="20" t="str">
        <f ca="1">IF(CALC2223!BE181&gt;1,INDIRECT(ADDRESS(MATCH(Agenda2526!C182,'CAL8'!A:A,0)+1,2,4,1,"CAL8")),"")</f>
        <v/>
      </c>
      <c r="AT181" s="21">
        <f ca="1">IF(CALC2223!BE181&gt;1,INDIRECT(ADDRESS(MATCH(Agenda2526!C182,'CAL8'!A:A,0)+1,3,4,1,"CAL8")),0)</f>
        <v>0</v>
      </c>
      <c r="AU181" s="20" t="str">
        <f ca="1">IF(CALC2223!BE181&gt;2,INDIRECT(ADDRESS(MATCH(Agenda2526!C182,'CAL8'!A:A,0)+2,2,4,1,"CAL8")),"")</f>
        <v/>
      </c>
      <c r="AV181" s="21">
        <f ca="1">IF(CALC2223!BE181&gt;2,INDIRECT(ADDRESS(MATCH(Agenda2526!C182,'CAL8'!A:A,0)+2,3,4,1,"CAL8")),0)</f>
        <v>0</v>
      </c>
      <c r="AW181" s="104"/>
      <c r="AX181" s="20">
        <f>COUNTIF('CAL1'!A:A,Agenda2526!C182)</f>
        <v>0</v>
      </c>
      <c r="AY181" s="20">
        <f>COUNTIF('CAL2'!A:A,Agenda2526!C182)</f>
        <v>0</v>
      </c>
      <c r="AZ181" s="20">
        <f>COUNTIF('CAL3'!A:A,Agenda2526!C182)</f>
        <v>0</v>
      </c>
      <c r="BA181" s="20">
        <f>COUNTIF('CAL4'!A:A,Agenda2526!C182)</f>
        <v>0</v>
      </c>
      <c r="BB181" s="20">
        <f>COUNTIF('CAL5'!A:A,Agenda2526!C182)</f>
        <v>1</v>
      </c>
      <c r="BC181" s="20">
        <f>COUNTIF('CAL6'!A:A,Agenda2526!C182)</f>
        <v>2</v>
      </c>
      <c r="BD181" s="20">
        <f>COUNTIF('CAL7'!A:A,Agenda2526!C182)</f>
        <v>0</v>
      </c>
      <c r="BE181" s="20">
        <f>COUNTIF('CAL8'!A:A,Agenda2526!C182)</f>
        <v>1</v>
      </c>
    </row>
    <row r="182" spans="1:57" ht="15.75" customHeight="1">
      <c r="A182" s="20" t="str">
        <f ca="1">IF(CALC2223!AX182&gt;0,INDIRECT(ADDRESS(MATCH(Agenda2526!C183,'CAL1'!A:A,0),2,4,1,"CAL1")),"")</f>
        <v/>
      </c>
      <c r="B182" s="21">
        <f ca="1">IF(CALC2223!AX182&gt;0,INDIRECT(ADDRESS(MATCH(Agenda2526!C183,'CAL1'!A:A,0),3,4,1,"CAL1")),0)</f>
        <v>0</v>
      </c>
      <c r="C182" s="20" t="str">
        <f ca="1">IF(CALC2223!AX182&gt;1,INDIRECT(ADDRESS(MATCH(Agenda2526!C183,'CAL1'!A:A,0)+1,2,4,1,"CAL1")),"")</f>
        <v/>
      </c>
      <c r="D182" s="21">
        <f ca="1">IF(CALC2223!AX182&gt;1,INDIRECT(ADDRESS(MATCH(Agenda2526!C183,'CAL1'!A:A,0)+1,3,4,1,"CAL1")),0)</f>
        <v>0</v>
      </c>
      <c r="E182" s="20" t="str">
        <f ca="1">IF(CALC2223!AX182&gt;2,INDIRECT(ADDRESS(MATCH(Agenda2526!C183,'CAL1'!A:A,0)+2,2,4,1,"CAL1")),"")</f>
        <v/>
      </c>
      <c r="F182" s="21">
        <f ca="1">IF(CALC2223!AX182&gt;2,INDIRECT(ADDRESS(MATCH(Agenda2526!C183,'CAL1'!A:A,0)+2,3,4,1,"CAL1")),0)</f>
        <v>0</v>
      </c>
      <c r="G182" s="20" t="str">
        <f ca="1">IF(CALC2223!AY182&gt;0,INDIRECT(ADDRESS(MATCH(Agenda2526!C183,'CAL2'!A:A,0),2,4,1,"CAL2")),"")</f>
        <v/>
      </c>
      <c r="H182" s="21">
        <f ca="1">IF(CALC2223!AY182&gt;0,INDIRECT(ADDRESS(MATCH(Agenda2526!C183,'CAL2'!A:A,0),3,4,1,"CAL2")),0)</f>
        <v>0</v>
      </c>
      <c r="I182" s="20" t="str">
        <f ca="1">IF(CALC2223!AY182&gt;1,INDIRECT(ADDRESS(MATCH(Agenda2526!C183,'CAL2'!A:A,0)+1,2,4,1,"CAL2")),"")</f>
        <v/>
      </c>
      <c r="J182" s="21">
        <f ca="1">IF(CALC2223!AY182&gt;1,INDIRECT(ADDRESS(MATCH(Agenda2526!C183,'CAL2'!A:A,0)+1,3,4,1,"CAL2")),0)</f>
        <v>0</v>
      </c>
      <c r="K182" s="20" t="str">
        <f ca="1">IF(CALC2223!AY182&gt;2,INDIRECT(ADDRESS(MATCH(Agenda2526!C183,'CAL2'!A:A,0)+2,2,4,1,"CAL2")),"")</f>
        <v/>
      </c>
      <c r="L182" s="21">
        <f ca="1">IF(CALC2223!AY182&gt;2,INDIRECT(ADDRESS(MATCH(Agenda2526!C183,'CAL2'!A:A,0)+2,3,4,1,"CAL2")),0)</f>
        <v>0</v>
      </c>
      <c r="M182" s="20" t="str">
        <f ca="1">IF(CALC2223!AZ182&gt;0,INDIRECT(ADDRESS(MATCH(Agenda2526!C183,'CAL3'!A:A,0),2,4,1,"CAL3")),"")</f>
        <v/>
      </c>
      <c r="N182" s="21">
        <f ca="1">IF(CALC2223!AZ182&gt;0,INDIRECT(ADDRESS(MATCH(Agenda2526!C183,'CAL3'!A:A,0),3,4,1,"CAL3")),0)</f>
        <v>0</v>
      </c>
      <c r="O182" s="20" t="str">
        <f ca="1">IF(CALC2223!AZ182&gt;1,INDIRECT(ADDRESS(MATCH(Agenda2526!C183,'CAL3'!A:A,0)+1,2,4,1,"CAL3")),"")</f>
        <v/>
      </c>
      <c r="P182" s="21">
        <f ca="1">IF(CALC2223!AZ182&gt;1,INDIRECT(ADDRESS(MATCH(Agenda2526!C183,'CAL3'!A:A,0)+1,3,4,1,"CAL3")),0)</f>
        <v>0</v>
      </c>
      <c r="Q182" s="20" t="str">
        <f ca="1">IF(CALC2223!AZ182&gt;2,INDIRECT(ADDRESS(MATCH(Agenda2526!C183,'CAL3'!A:A,0)+2,2,4,1,"CAL3")),"")</f>
        <v/>
      </c>
      <c r="R182" s="21">
        <f ca="1">IF(CALC2223!AZ182&gt;2,INDIRECT(ADDRESS(MATCH(Agenda2526!C183,'CAL3'!A:A,0)+2,3,4,1,"CAL3")),0)</f>
        <v>0</v>
      </c>
      <c r="S182" s="20" t="str">
        <f ca="1">IF(CALC2223!BA182&gt;0,INDIRECT(ADDRESS(MATCH(Agenda2526!C183,'CAL4'!A:A,0),2,4,1,"CAL4")),"")</f>
        <v/>
      </c>
      <c r="T182" s="21">
        <f ca="1">IF(CALC2223!BA182&gt;0,INDIRECT(ADDRESS(MATCH(Agenda2526!C183,'CAL4'!A:A,0),3,4,1,"CAL4")),0)</f>
        <v>0</v>
      </c>
      <c r="U182" s="20" t="str">
        <f ca="1">IF(CALC2223!BA182&gt;1,INDIRECT(ADDRESS(MATCH(Agenda2526!C183,'CAL4'!A:A,0)+1,2,4,1,"CAL4")),"")</f>
        <v/>
      </c>
      <c r="V182" s="21">
        <f ca="1">IF(CALC2223!BA182&gt;1,INDIRECT(ADDRESS(MATCH(Agenda2526!C183,'CAL4'!A:A,0)+1,3,4,1,"CAL4")),0)</f>
        <v>0</v>
      </c>
      <c r="W182" s="20" t="str">
        <f ca="1">IF(CALC2223!BA182&gt;2,INDIRECT(ADDRESS(MATCH(Agenda2526!C183,'CAL4'!A:A,0)+2,2,4,1,"CAL4")),"")</f>
        <v/>
      </c>
      <c r="X182" s="21">
        <f ca="1">IF(CALC2223!BA182&gt;2,INDIRECT(ADDRESS(MATCH(Agenda2526!C183,'CAL4'!A:A,0)+2,3,4,1,"CAL4")),0)</f>
        <v>0</v>
      </c>
      <c r="Y182" s="20" t="str">
        <f ca="1">IF(CALC2223!BB182&gt;0,INDIRECT(ADDRESS(MATCH(Agenda2526!C183,'CAL5'!A:A,0),2,4,1,"CAL5")),"")</f>
        <v/>
      </c>
      <c r="Z182" s="21">
        <f ca="1">IF(CALC2223!BB182&gt;0,INDIRECT(ADDRESS(MATCH(Agenda2526!C183,'CAL5'!A:A,0),3,4,1,"CAL5")),0)</f>
        <v>0</v>
      </c>
      <c r="AA182" s="20" t="str">
        <f ca="1">IF(CALC2223!BB182&gt;1,INDIRECT(ADDRESS(MATCH(Agenda2526!C183,'CAL5'!A:A,0)+1,2,4,1,"CAL5")),"")</f>
        <v/>
      </c>
      <c r="AB182" s="21">
        <f ca="1">IF(CALC2223!BB182&gt;1,INDIRECT(ADDRESS(MATCH(Agenda2526!C183,'CAL5'!A:A,0)+1,3,4,1,"CAL5")),0)</f>
        <v>0</v>
      </c>
      <c r="AC182" s="20" t="str">
        <f ca="1">IF(CALC2223!BB182&gt;2,INDIRECT(ADDRESS(MATCH(Agenda2526!C183,'CAL5'!A:A,0)+2,2,4,1,"CAL5")),"")</f>
        <v/>
      </c>
      <c r="AD182" s="21">
        <f ca="1">IF(CALC2223!BB182&gt;2,INDIRECT(ADDRESS(MATCH(Agenda2526!C183,'CAL5'!A:A,0)+2,3,4,1,"CAL5")),0)</f>
        <v>0</v>
      </c>
      <c r="AE182" s="20" t="str">
        <f ca="1">IF(CALC2223!BC182&gt;0,INDIRECT(ADDRESS(MATCH(Agenda2526!C183,'CAL6'!A:A,0),2,4,1,"CAL6")),"")</f>
        <v/>
      </c>
      <c r="AF182" s="21">
        <f ca="1">IF(CALC2223!BC182&gt;0,INDIRECT(ADDRESS(MATCH(Agenda2526!C183,'CAL6'!A:A,0),3,4,1,"CAL6")),0)</f>
        <v>0</v>
      </c>
      <c r="AG182" s="20" t="str">
        <f ca="1">IF(CALC2223!BC182&gt;1,INDIRECT(ADDRESS(MATCH(Agenda2526!C183,'CAL6'!A:A,0)+1,2,4,1,"CAL6")),"")</f>
        <v/>
      </c>
      <c r="AH182" s="21">
        <f ca="1">IF(CALC2223!BC182&gt;1,INDIRECT(ADDRESS(MATCH(Agenda2526!C183,'CAL6'!A:A,0)+1,3,4,1,"CAL6")),0)</f>
        <v>0</v>
      </c>
      <c r="AI182" s="20" t="str">
        <f ca="1">IF(CALC2223!BC182&gt;2,INDIRECT(ADDRESS(MATCH(Agenda2526!C183,'CAL6'!A:A,0)+2,2,4,1,"CAL6")),"")</f>
        <v/>
      </c>
      <c r="AJ182" s="21">
        <f ca="1">IF(CALC2223!BC182&gt;2,INDIRECT(ADDRESS(MATCH(Agenda2526!C183,'CAL6'!A:A,0)+2,3,4,1,"CAL6")),0)</f>
        <v>0</v>
      </c>
      <c r="AK182" s="20" t="str">
        <f ca="1">IF(CALC2223!BD182&gt;0,INDIRECT(ADDRESS(MATCH(Agenda2526!C183,'CAL7'!A:A,0),2,4,1,"CAL7")),"")</f>
        <v/>
      </c>
      <c r="AL182" s="21">
        <f ca="1">IF(CALC2223!BD182&gt;0,INDIRECT(ADDRESS(MATCH(Agenda2526!C183,'CAL7'!A:A,0),3,4,1,"CAL7")),0)</f>
        <v>0</v>
      </c>
      <c r="AM182" s="20" t="str">
        <f ca="1">IF(CALC2223!BD182&gt;1,INDIRECT(ADDRESS(MATCH(Agenda2526!C183,'CAL7'!A:A,0)+1,2,4,1,"CAL7")),"")</f>
        <v/>
      </c>
      <c r="AN182" s="21">
        <f ca="1">IF(CALC2223!BD182&gt;1,INDIRECT(ADDRESS(MATCH(Agenda2526!C183,'CAL7'!A:A,0)+1,3,4,1,"CAL7")),0)</f>
        <v>0</v>
      </c>
      <c r="AO182" s="20" t="str">
        <f ca="1">IF(CALC2223!BD182&gt;2,INDIRECT(ADDRESS(MATCH(Agenda2526!C183,'CAL7'!A:A,0)+2,2,4,1,"CAL7")),"")</f>
        <v/>
      </c>
      <c r="AP182" s="21">
        <f ca="1">IF(CALC2223!BD182&gt;2,INDIRECT(ADDRESS(MATCH(Agenda2526!C183,'CAL7'!A:A,0)+2,3,4,1,"CAL7")),0)</f>
        <v>0</v>
      </c>
      <c r="AQ182" s="20" t="str">
        <f ca="1">IF(CALC2223!BE182&gt;0,INDIRECT(ADDRESS(MATCH(Agenda2526!C183,'CAL8'!A:A,0),2,4,1,"CAL8")),"")</f>
        <v/>
      </c>
      <c r="AR182" s="21">
        <f ca="1">IF(CALC2223!BE182&gt;0,INDIRECT(ADDRESS(MATCH(Agenda2526!C183,'CAL8'!A:A,0),3,4,1,"CAL8")),0)</f>
        <v>0</v>
      </c>
      <c r="AS182" s="20" t="str">
        <f ca="1">IF(CALC2223!BE182&gt;1,INDIRECT(ADDRESS(MATCH(Agenda2526!C183,'CAL8'!A:A,0)+1,2,4,1,"CAL8")),"")</f>
        <v/>
      </c>
      <c r="AT182" s="21">
        <f ca="1">IF(CALC2223!BE182&gt;1,INDIRECT(ADDRESS(MATCH(Agenda2526!C183,'CAL8'!A:A,0)+1,3,4,1,"CAL8")),0)</f>
        <v>0</v>
      </c>
      <c r="AU182" s="20" t="str">
        <f ca="1">IF(CALC2223!BE182&gt;2,INDIRECT(ADDRESS(MATCH(Agenda2526!C183,'CAL8'!A:A,0)+2,2,4,1,"CAL8")),"")</f>
        <v/>
      </c>
      <c r="AV182" s="21">
        <f ca="1">IF(CALC2223!BE182&gt;2,INDIRECT(ADDRESS(MATCH(Agenda2526!C183,'CAL8'!A:A,0)+2,3,4,1,"CAL8")),0)</f>
        <v>0</v>
      </c>
      <c r="AW182" s="106"/>
      <c r="AX182" s="20">
        <f>COUNTIF('CAL1'!A:A,Agenda2526!C183)</f>
        <v>0</v>
      </c>
      <c r="AY182" s="20">
        <f>COUNTIF('CAL2'!A:A,Agenda2526!C183)</f>
        <v>0</v>
      </c>
      <c r="AZ182" s="20">
        <f>COUNTIF('CAL3'!A:A,Agenda2526!C183)</f>
        <v>0</v>
      </c>
      <c r="BA182" s="20">
        <f>COUNTIF('CAL4'!A:A,Agenda2526!C183)</f>
        <v>0</v>
      </c>
      <c r="BB182" s="20">
        <f>COUNTIF('CAL5'!A:A,Agenda2526!C183)</f>
        <v>0</v>
      </c>
      <c r="BC182" s="20">
        <f>COUNTIF('CAL6'!A:A,Agenda2526!C183)</f>
        <v>0</v>
      </c>
      <c r="BD182" s="20">
        <f>COUNTIF('CAL7'!A:A,Agenda2526!C183)</f>
        <v>0</v>
      </c>
      <c r="BE182" s="20">
        <f>COUNTIF('CAL8'!A:A,Agenda2526!C183)</f>
        <v>0</v>
      </c>
    </row>
    <row r="183" spans="1:57" ht="15.75" customHeight="1">
      <c r="A183" s="20" t="str">
        <f ca="1">IF(CALC2223!AX183&gt;0,INDIRECT(ADDRESS(MATCH(Agenda2526!C184,'CAL1'!A:A,0),2,4,1,"CAL1")),"")</f>
        <v/>
      </c>
      <c r="B183" s="21">
        <f ca="1">IF(CALC2223!AX183&gt;0,INDIRECT(ADDRESS(MATCH(Agenda2526!C184,'CAL1'!A:A,0),3,4,1,"CAL1")),0)</f>
        <v>0</v>
      </c>
      <c r="C183" s="20" t="str">
        <f ca="1">IF(CALC2223!AX183&gt;1,INDIRECT(ADDRESS(MATCH(Agenda2526!C184,'CAL1'!A:A,0)+1,2,4,1,"CAL1")),"")</f>
        <v/>
      </c>
      <c r="D183" s="21">
        <f ca="1">IF(CALC2223!AX183&gt;1,INDIRECT(ADDRESS(MATCH(Agenda2526!C184,'CAL1'!A:A,0)+1,3,4,1,"CAL1")),0)</f>
        <v>0</v>
      </c>
      <c r="E183" s="20" t="str">
        <f ca="1">IF(CALC2223!AX183&gt;2,INDIRECT(ADDRESS(MATCH(Agenda2526!C184,'CAL1'!A:A,0)+2,2,4,1,"CAL1")),"")</f>
        <v/>
      </c>
      <c r="F183" s="21">
        <f ca="1">IF(CALC2223!AX183&gt;2,INDIRECT(ADDRESS(MATCH(Agenda2526!C184,'CAL1'!A:A,0)+2,3,4,1,"CAL1")),0)</f>
        <v>0</v>
      </c>
      <c r="G183" s="20" t="str">
        <f ca="1">IF(CALC2223!AY183&gt;0,INDIRECT(ADDRESS(MATCH(Agenda2526!C184,'CAL2'!A:A,0),2,4,1,"CAL2")),"")</f>
        <v/>
      </c>
      <c r="H183" s="21">
        <f ca="1">IF(CALC2223!AY183&gt;0,INDIRECT(ADDRESS(MATCH(Agenda2526!C184,'CAL2'!A:A,0),3,4,1,"CAL2")),0)</f>
        <v>0</v>
      </c>
      <c r="I183" s="20" t="str">
        <f ca="1">IF(CALC2223!AY183&gt;1,INDIRECT(ADDRESS(MATCH(Agenda2526!C184,'CAL2'!A:A,0)+1,2,4,1,"CAL2")),"")</f>
        <v/>
      </c>
      <c r="J183" s="21">
        <f ca="1">IF(CALC2223!AY183&gt;1,INDIRECT(ADDRESS(MATCH(Agenda2526!C184,'CAL2'!A:A,0)+1,3,4,1,"CAL2")),0)</f>
        <v>0</v>
      </c>
      <c r="K183" s="20" t="str">
        <f ca="1">IF(CALC2223!AY183&gt;2,INDIRECT(ADDRESS(MATCH(Agenda2526!C184,'CAL2'!A:A,0)+2,2,4,1,"CAL2")),"")</f>
        <v/>
      </c>
      <c r="L183" s="21">
        <f ca="1">IF(CALC2223!AY183&gt;2,INDIRECT(ADDRESS(MATCH(Agenda2526!C184,'CAL2'!A:A,0)+2,3,4,1,"CAL2")),0)</f>
        <v>0</v>
      </c>
      <c r="M183" s="20" t="str">
        <f ca="1">IF(CALC2223!AZ183&gt;0,INDIRECT(ADDRESS(MATCH(Agenda2526!C184,'CAL3'!A:A,0),2,4,1,"CAL3")),"")</f>
        <v/>
      </c>
      <c r="N183" s="21">
        <f ca="1">IF(CALC2223!AZ183&gt;0,INDIRECT(ADDRESS(MATCH(Agenda2526!C184,'CAL3'!A:A,0),3,4,1,"CAL3")),0)</f>
        <v>0</v>
      </c>
      <c r="O183" s="20" t="str">
        <f ca="1">IF(CALC2223!AZ183&gt;1,INDIRECT(ADDRESS(MATCH(Agenda2526!C184,'CAL3'!A:A,0)+1,2,4,1,"CAL3")),"")</f>
        <v/>
      </c>
      <c r="P183" s="21">
        <f ca="1">IF(CALC2223!AZ183&gt;1,INDIRECT(ADDRESS(MATCH(Agenda2526!C184,'CAL3'!A:A,0)+1,3,4,1,"CAL3")),0)</f>
        <v>0</v>
      </c>
      <c r="Q183" s="20" t="str">
        <f ca="1">IF(CALC2223!AZ183&gt;2,INDIRECT(ADDRESS(MATCH(Agenda2526!C184,'CAL3'!A:A,0)+2,2,4,1,"CAL3")),"")</f>
        <v/>
      </c>
      <c r="R183" s="21">
        <f ca="1">IF(CALC2223!AZ183&gt;2,INDIRECT(ADDRESS(MATCH(Agenda2526!C184,'CAL3'!A:A,0)+2,3,4,1,"CAL3")),0)</f>
        <v>0</v>
      </c>
      <c r="S183" s="20" t="str">
        <f ca="1">IF(CALC2223!BA183&gt;0,INDIRECT(ADDRESS(MATCH(Agenda2526!C184,'CAL4'!A:A,0),2,4,1,"CAL4")),"")</f>
        <v/>
      </c>
      <c r="T183" s="21">
        <f ca="1">IF(CALC2223!BA183&gt;0,INDIRECT(ADDRESS(MATCH(Agenda2526!C184,'CAL4'!A:A,0),3,4,1,"CAL4")),0)</f>
        <v>0</v>
      </c>
      <c r="U183" s="20" t="str">
        <f ca="1">IF(CALC2223!BA183&gt;1,INDIRECT(ADDRESS(MATCH(Agenda2526!C184,'CAL4'!A:A,0)+1,2,4,1,"CAL4")),"")</f>
        <v/>
      </c>
      <c r="V183" s="21">
        <f ca="1">IF(CALC2223!BA183&gt;1,INDIRECT(ADDRESS(MATCH(Agenda2526!C184,'CAL4'!A:A,0)+1,3,4,1,"CAL4")),0)</f>
        <v>0</v>
      </c>
      <c r="W183" s="20" t="str">
        <f ca="1">IF(CALC2223!BA183&gt;2,INDIRECT(ADDRESS(MATCH(Agenda2526!C184,'CAL4'!A:A,0)+2,2,4,1,"CAL4")),"")</f>
        <v/>
      </c>
      <c r="X183" s="21">
        <f ca="1">IF(CALC2223!BA183&gt;2,INDIRECT(ADDRESS(MATCH(Agenda2526!C184,'CAL4'!A:A,0)+2,3,4,1,"CAL4")),0)</f>
        <v>0</v>
      </c>
      <c r="Y183" s="20" t="str">
        <f ca="1">IF(CALC2223!BB183&gt;0,INDIRECT(ADDRESS(MATCH(Agenda2526!C184,'CAL5'!A:A,0),2,4,1,"CAL5")),"")</f>
        <v/>
      </c>
      <c r="Z183" s="21">
        <f ca="1">IF(CALC2223!BB183&gt;0,INDIRECT(ADDRESS(MATCH(Agenda2526!C184,'CAL5'!A:A,0),3,4,1,"CAL5")),0)</f>
        <v>0</v>
      </c>
      <c r="AA183" s="20" t="str">
        <f ca="1">IF(CALC2223!BB183&gt;1,INDIRECT(ADDRESS(MATCH(Agenda2526!C184,'CAL5'!A:A,0)+1,2,4,1,"CAL5")),"")</f>
        <v/>
      </c>
      <c r="AB183" s="21">
        <f ca="1">IF(CALC2223!BB183&gt;1,INDIRECT(ADDRESS(MATCH(Agenda2526!C184,'CAL5'!A:A,0)+1,3,4,1,"CAL5")),0)</f>
        <v>0</v>
      </c>
      <c r="AC183" s="20" t="str">
        <f ca="1">IF(CALC2223!BB183&gt;2,INDIRECT(ADDRESS(MATCH(Agenda2526!C184,'CAL5'!A:A,0)+2,2,4,1,"CAL5")),"")</f>
        <v/>
      </c>
      <c r="AD183" s="21">
        <f ca="1">IF(CALC2223!BB183&gt;2,INDIRECT(ADDRESS(MATCH(Agenda2526!C184,'CAL5'!A:A,0)+2,3,4,1,"CAL5")),0)</f>
        <v>0</v>
      </c>
      <c r="AE183" s="20" t="str">
        <f ca="1">IF(CALC2223!BC183&gt;0,INDIRECT(ADDRESS(MATCH(Agenda2526!C184,'CAL6'!A:A,0),2,4,1,"CAL6")),"")</f>
        <v/>
      </c>
      <c r="AF183" s="21">
        <f ca="1">IF(CALC2223!BC183&gt;0,INDIRECT(ADDRESS(MATCH(Agenda2526!C184,'CAL6'!A:A,0),3,4,1,"CAL6")),0)</f>
        <v>0</v>
      </c>
      <c r="AG183" s="20" t="str">
        <f ca="1">IF(CALC2223!BC183&gt;1,INDIRECT(ADDRESS(MATCH(Agenda2526!C184,'CAL6'!A:A,0)+1,2,4,1,"CAL6")),"")</f>
        <v/>
      </c>
      <c r="AH183" s="21">
        <f ca="1">IF(CALC2223!BC183&gt;1,INDIRECT(ADDRESS(MATCH(Agenda2526!C184,'CAL6'!A:A,0)+1,3,4,1,"CAL6")),0)</f>
        <v>0</v>
      </c>
      <c r="AI183" s="20" t="str">
        <f ca="1">IF(CALC2223!BC183&gt;2,INDIRECT(ADDRESS(MATCH(Agenda2526!C184,'CAL6'!A:A,0)+2,2,4,1,"CAL6")),"")</f>
        <v/>
      </c>
      <c r="AJ183" s="21">
        <f ca="1">IF(CALC2223!BC183&gt;2,INDIRECT(ADDRESS(MATCH(Agenda2526!C184,'CAL6'!A:A,0)+2,3,4,1,"CAL6")),0)</f>
        <v>0</v>
      </c>
      <c r="AK183" s="20" t="str">
        <f ca="1">IF(CALC2223!BD183&gt;0,INDIRECT(ADDRESS(MATCH(Agenda2526!C184,'CAL7'!A:A,0),2,4,1,"CAL7")),"")</f>
        <v/>
      </c>
      <c r="AL183" s="21">
        <f ca="1">IF(CALC2223!BD183&gt;0,INDIRECT(ADDRESS(MATCH(Agenda2526!C184,'CAL7'!A:A,0),3,4,1,"CAL7")),0)</f>
        <v>0</v>
      </c>
      <c r="AM183" s="20" t="str">
        <f ca="1">IF(CALC2223!BD183&gt;1,INDIRECT(ADDRESS(MATCH(Agenda2526!C184,'CAL7'!A:A,0)+1,2,4,1,"CAL7")),"")</f>
        <v/>
      </c>
      <c r="AN183" s="21">
        <f ca="1">IF(CALC2223!BD183&gt;1,INDIRECT(ADDRESS(MATCH(Agenda2526!C184,'CAL7'!A:A,0)+1,3,4,1,"CAL7")),0)</f>
        <v>0</v>
      </c>
      <c r="AO183" s="20" t="str">
        <f ca="1">IF(CALC2223!BD183&gt;2,INDIRECT(ADDRESS(MATCH(Agenda2526!C184,'CAL7'!A:A,0)+2,2,4,1,"CAL7")),"")</f>
        <v/>
      </c>
      <c r="AP183" s="21">
        <f ca="1">IF(CALC2223!BD183&gt;2,INDIRECT(ADDRESS(MATCH(Agenda2526!C184,'CAL7'!A:A,0)+2,3,4,1,"CAL7")),0)</f>
        <v>0</v>
      </c>
      <c r="AQ183" s="20" t="str">
        <f ca="1">IF(CALC2223!BE183&gt;0,INDIRECT(ADDRESS(MATCH(Agenda2526!C184,'CAL8'!A:A,0),2,4,1,"CAL8")),"")</f>
        <v/>
      </c>
      <c r="AR183" s="21">
        <f ca="1">IF(CALC2223!BE183&gt;0,INDIRECT(ADDRESS(MATCH(Agenda2526!C184,'CAL8'!A:A,0),3,4,1,"CAL8")),0)</f>
        <v>0</v>
      </c>
      <c r="AS183" s="20" t="str">
        <f ca="1">IF(CALC2223!BE183&gt;1,INDIRECT(ADDRESS(MATCH(Agenda2526!C184,'CAL8'!A:A,0)+1,2,4,1,"CAL8")),"")</f>
        <v/>
      </c>
      <c r="AT183" s="21">
        <f ca="1">IF(CALC2223!BE183&gt;1,INDIRECT(ADDRESS(MATCH(Agenda2526!C184,'CAL8'!A:A,0)+1,3,4,1,"CAL8")),0)</f>
        <v>0</v>
      </c>
      <c r="AU183" s="20" t="str">
        <f ca="1">IF(CALC2223!BE183&gt;2,INDIRECT(ADDRESS(MATCH(Agenda2526!C184,'CAL8'!A:A,0)+2,2,4,1,"CAL8")),"")</f>
        <v/>
      </c>
      <c r="AV183" s="21">
        <f ca="1">IF(CALC2223!BE183&gt;2,INDIRECT(ADDRESS(MATCH(Agenda2526!C184,'CAL8'!A:A,0)+2,3,4,1,"CAL8")),0)</f>
        <v>0</v>
      </c>
      <c r="AW183" s="106"/>
      <c r="AX183" s="20">
        <f>COUNTIF('CAL1'!A:A,Agenda2526!C184)</f>
        <v>0</v>
      </c>
      <c r="AY183" s="20">
        <f>COUNTIF('CAL2'!A:A,Agenda2526!C184)</f>
        <v>0</v>
      </c>
      <c r="AZ183" s="20">
        <f>COUNTIF('CAL3'!A:A,Agenda2526!C184)</f>
        <v>0</v>
      </c>
      <c r="BA183" s="20">
        <f>COUNTIF('CAL4'!A:A,Agenda2526!C184)</f>
        <v>0</v>
      </c>
      <c r="BB183" s="20">
        <f>COUNTIF('CAL5'!A:A,Agenda2526!C184)</f>
        <v>0</v>
      </c>
      <c r="BC183" s="20">
        <f>COUNTIF('CAL6'!A:A,Agenda2526!C184)</f>
        <v>0</v>
      </c>
      <c r="BD183" s="20">
        <f>COUNTIF('CAL7'!A:A,Agenda2526!C184)</f>
        <v>0</v>
      </c>
      <c r="BE183" s="20">
        <f>COUNTIF('CAL8'!A:A,Agenda2526!C184)</f>
        <v>0</v>
      </c>
    </row>
    <row r="184" spans="1:57" ht="15.75" customHeight="1">
      <c r="A184" s="20" t="str">
        <f ca="1">IF(CALC2223!AX184&gt;0,INDIRECT(ADDRESS(MATCH(Agenda2526!C185,'CAL1'!A:A,0),2,4,1,"CAL1")),"")</f>
        <v/>
      </c>
      <c r="B184" s="21">
        <f ca="1">IF(CALC2223!AX184&gt;0,INDIRECT(ADDRESS(MATCH(Agenda2526!C185,'CAL1'!A:A,0),3,4,1,"CAL1")),0)</f>
        <v>0</v>
      </c>
      <c r="C184" s="20" t="str">
        <f ca="1">IF(CALC2223!AX184&gt;1,INDIRECT(ADDRESS(MATCH(Agenda2526!C185,'CAL1'!A:A,0)+1,2,4,1,"CAL1")),"")</f>
        <v/>
      </c>
      <c r="D184" s="21">
        <f ca="1">IF(CALC2223!AX184&gt;1,INDIRECT(ADDRESS(MATCH(Agenda2526!C185,'CAL1'!A:A,0)+1,3,4,1,"CAL1")),0)</f>
        <v>0</v>
      </c>
      <c r="E184" s="20" t="str">
        <f ca="1">IF(CALC2223!AX184&gt;2,INDIRECT(ADDRESS(MATCH(Agenda2526!C185,'CAL1'!A:A,0)+2,2,4,1,"CAL1")),"")</f>
        <v/>
      </c>
      <c r="F184" s="21">
        <f ca="1">IF(CALC2223!AX184&gt;2,INDIRECT(ADDRESS(MATCH(Agenda2526!C185,'CAL1'!A:A,0)+2,3,4,1,"CAL1")),0)</f>
        <v>0</v>
      </c>
      <c r="G184" s="20" t="str">
        <f ca="1">IF(CALC2223!AY184&gt;0,INDIRECT(ADDRESS(MATCH(Agenda2526!C185,'CAL2'!A:A,0),2,4,1,"CAL2")),"")</f>
        <v/>
      </c>
      <c r="H184" s="21">
        <f ca="1">IF(CALC2223!AY184&gt;0,INDIRECT(ADDRESS(MATCH(Agenda2526!C185,'CAL2'!A:A,0),3,4,1,"CAL2")),0)</f>
        <v>0</v>
      </c>
      <c r="I184" s="20" t="str">
        <f ca="1">IF(CALC2223!AY184&gt;1,INDIRECT(ADDRESS(MATCH(Agenda2526!C185,'CAL2'!A:A,0)+1,2,4,1,"CAL2")),"")</f>
        <v/>
      </c>
      <c r="J184" s="21">
        <f ca="1">IF(CALC2223!AY184&gt;1,INDIRECT(ADDRESS(MATCH(Agenda2526!C185,'CAL2'!A:A,0)+1,3,4,1,"CAL2")),0)</f>
        <v>0</v>
      </c>
      <c r="K184" s="20" t="str">
        <f ca="1">IF(CALC2223!AY184&gt;2,INDIRECT(ADDRESS(MATCH(Agenda2526!C185,'CAL2'!A:A,0)+2,2,4,1,"CAL2")),"")</f>
        <v/>
      </c>
      <c r="L184" s="21">
        <f ca="1">IF(CALC2223!AY184&gt;2,INDIRECT(ADDRESS(MATCH(Agenda2526!C185,'CAL2'!A:A,0)+2,3,4,1,"CAL2")),0)</f>
        <v>0</v>
      </c>
      <c r="M184" s="20" t="str">
        <f ca="1">IF(CALC2223!AZ184&gt;0,INDIRECT(ADDRESS(MATCH(Agenda2526!C185,'CAL3'!A:A,0),2,4,1,"CAL3")),"")</f>
        <v>Deadline Voorlopige Profielkeuze</v>
      </c>
      <c r="N184" s="21">
        <f ca="1">IF(CALC2223!AZ184&gt;0,INDIRECT(ADDRESS(MATCH(Agenda2526!C185,'CAL3'!A:A,0),3,4,1,"CAL3")),0)</f>
        <v>45915</v>
      </c>
      <c r="O184" s="20" t="str">
        <f ca="1">IF(CALC2223!AZ184&gt;1,INDIRECT(ADDRESS(MATCH(Agenda2526!C185,'CAL3'!A:A,0)+1,2,4,1,"CAL3")),"")</f>
        <v/>
      </c>
      <c r="P184" s="21">
        <f ca="1">IF(CALC2223!AZ184&gt;1,INDIRECT(ADDRESS(MATCH(Agenda2526!C185,'CAL3'!A:A,0)+1,3,4,1,"CAL3")),0)</f>
        <v>0</v>
      </c>
      <c r="Q184" s="20" t="str">
        <f ca="1">IF(CALC2223!AZ184&gt;2,INDIRECT(ADDRESS(MATCH(Agenda2526!C185,'CAL3'!A:A,0)+2,2,4,1,"CAL3")),"")</f>
        <v/>
      </c>
      <c r="R184" s="21">
        <f ca="1">IF(CALC2223!AZ184&gt;2,INDIRECT(ADDRESS(MATCH(Agenda2526!C185,'CAL3'!A:A,0)+2,3,4,1,"CAL3")),0)</f>
        <v>0</v>
      </c>
      <c r="S184" s="20" t="str">
        <f ca="1">IF(CALC2223!BA184&gt;0,INDIRECT(ADDRESS(MATCH(Agenda2526!C185,'CAL4'!A:A,0),2,4,1,"CAL4")),"")</f>
        <v>inh rep NA</v>
      </c>
      <c r="T184" s="21">
        <f ca="1">IF(CALC2223!BA184&gt;0,INDIRECT(ADDRESS(MATCH(Agenda2526!C185,'CAL4'!A:A,0),3,4,1,"CAL4")),0)</f>
        <v>45936</v>
      </c>
      <c r="U184" s="20" t="str">
        <f ca="1">IF(CALC2223!BA184&gt;1,INDIRECT(ADDRESS(MATCH(Agenda2526!C185,'CAL4'!A:A,0)+1,2,4,1,"CAL4")),"")</f>
        <v/>
      </c>
      <c r="V184" s="21">
        <f ca="1">IF(CALC2223!BA184&gt;1,INDIRECT(ADDRESS(MATCH(Agenda2526!C185,'CAL4'!A:A,0)+1,3,4,1,"CAL4")),0)</f>
        <v>0</v>
      </c>
      <c r="W184" s="20" t="str">
        <f ca="1">IF(CALC2223!BA184&gt;2,INDIRECT(ADDRESS(MATCH(Agenda2526!C185,'CAL4'!A:A,0)+2,2,4,1,"CAL4")),"")</f>
        <v/>
      </c>
      <c r="X184" s="21">
        <f ca="1">IF(CALC2223!BA184&gt;2,INDIRECT(ADDRESS(MATCH(Agenda2526!C185,'CAL4'!A:A,0)+2,3,4,1,"CAL4")),0)</f>
        <v>0</v>
      </c>
      <c r="Y184" s="20" t="str">
        <f ca="1">IF(CALC2223!BB184&gt;0,INDIRECT(ADDRESS(MATCH(Agenda2526!C185,'CAL5'!A:A,0),2,4,1,"CAL5")),"")</f>
        <v>Rep wiB</v>
      </c>
      <c r="Z184" s="21">
        <f ca="1">IF(CALC2223!BB184&gt;0,INDIRECT(ADDRESS(MATCH(Agenda2526!C185,'CAL5'!A:A,0),3,4,1,"CAL5")),0)</f>
        <v>45915</v>
      </c>
      <c r="AA184" s="20" t="str">
        <f ca="1">IF(CALC2223!BB184&gt;1,INDIRECT(ADDRESS(MATCH(Agenda2526!C185,'CAL5'!A:A,0)+1,2,4,1,"CAL5")),"")</f>
        <v>inh rep wiA</v>
      </c>
      <c r="AB184" s="21">
        <f ca="1">IF(CALC2223!BB184&gt;1,INDIRECT(ADDRESS(MATCH(Agenda2526!C185,'CAL5'!A:A,0)+1,3,4,1,"CAL5")),0)</f>
        <v>45936</v>
      </c>
      <c r="AC184" s="20" t="str">
        <f ca="1">IF(CALC2223!BB184&gt;2,INDIRECT(ADDRESS(MATCH(Agenda2526!C185,'CAL5'!A:A,0)+2,2,4,1,"CAL5")),"")</f>
        <v/>
      </c>
      <c r="AD184" s="21">
        <f ca="1">IF(CALC2223!BB184&gt;2,INDIRECT(ADDRESS(MATCH(Agenda2526!C185,'CAL5'!A:A,0)+2,3,4,1,"CAL5")),0)</f>
        <v>0</v>
      </c>
      <c r="AE184" s="20" t="str">
        <f ca="1">IF(CALC2223!BC184&gt;0,INDIRECT(ADDRESS(MATCH(Agenda2526!C185,'CAL6'!A:A,0),2,4,1,"CAL6")),"")</f>
        <v>mondelingen/KuBv expositie</v>
      </c>
      <c r="AF184" s="21">
        <f ca="1">IF(CALC2223!BC184&gt;0,INDIRECT(ADDRESS(MATCH(Agenda2526!C185,'CAL6'!A:A,0),3,4,1,"CAL6")),0)</f>
        <v>45896</v>
      </c>
      <c r="AG184" s="20" t="str">
        <f ca="1">IF(CALC2223!BC184&gt;1,INDIRECT(ADDRESS(MATCH(Agenda2526!C185,'CAL6'!A:A,0)+1,2,4,1,"CAL6")),"")</f>
        <v/>
      </c>
      <c r="AH184" s="21">
        <f ca="1">IF(CALC2223!BC184&gt;1,INDIRECT(ADDRESS(MATCH(Agenda2526!C185,'CAL6'!A:A,0)+1,3,4,1,"CAL6")),0)</f>
        <v>0</v>
      </c>
      <c r="AI184" s="20" t="str">
        <f ca="1">IF(CALC2223!BC184&gt;2,INDIRECT(ADDRESS(MATCH(Agenda2526!C185,'CAL6'!A:A,0)+2,2,4,1,"CAL6")),"")</f>
        <v/>
      </c>
      <c r="AJ184" s="21">
        <f ca="1">IF(CALC2223!BC184&gt;2,INDIRECT(ADDRESS(MATCH(Agenda2526!C185,'CAL6'!A:A,0)+2,3,4,1,"CAL6")),0)</f>
        <v>0</v>
      </c>
      <c r="AK184" s="20" t="str">
        <f ca="1">IF(CALC2223!BD184&gt;0,INDIRECT(ADDRESS(MATCH(Agenda2526!C185,'CAL7'!A:A,0),2,4,1,"CAL7")),"")</f>
        <v/>
      </c>
      <c r="AL184" s="21">
        <f ca="1">IF(CALC2223!BD184&gt;0,INDIRECT(ADDRESS(MATCH(Agenda2526!C185,'CAL7'!A:A,0),3,4,1,"CAL7")),0)</f>
        <v>0</v>
      </c>
      <c r="AM184" s="20" t="str">
        <f ca="1">IF(CALC2223!BD184&gt;1,INDIRECT(ADDRESS(MATCH(Agenda2526!C185,'CAL7'!A:A,0)+1,2,4,1,"CAL7")),"")</f>
        <v/>
      </c>
      <c r="AN184" s="21">
        <f ca="1">IF(CALC2223!BD184&gt;1,INDIRECT(ADDRESS(MATCH(Agenda2526!C185,'CAL7'!A:A,0)+1,3,4,1,"CAL7")),0)</f>
        <v>0</v>
      </c>
      <c r="AO184" s="20" t="str">
        <f ca="1">IF(CALC2223!BD184&gt;2,INDIRECT(ADDRESS(MATCH(Agenda2526!C185,'CAL7'!A:A,0)+2,2,4,1,"CAL7")),"")</f>
        <v/>
      </c>
      <c r="AP184" s="21">
        <f ca="1">IF(CALC2223!BD184&gt;2,INDIRECT(ADDRESS(MATCH(Agenda2526!C185,'CAL7'!A:A,0)+2,3,4,1,"CAL7")),0)</f>
        <v>0</v>
      </c>
      <c r="AQ184" s="20" t="str">
        <f ca="1">IF(CALC2223!BE184&gt;0,INDIRECT(ADDRESS(MATCH(Agenda2526!C185,'CAL8'!A:A,0),2,4,1,"CAL8")),"")</f>
        <v/>
      </c>
      <c r="AR184" s="21">
        <f ca="1">IF(CALC2223!BE184&gt;0,INDIRECT(ADDRESS(MATCH(Agenda2526!C185,'CAL8'!A:A,0),3,4,1,"CAL8")),0)</f>
        <v>0</v>
      </c>
      <c r="AS184" s="20" t="str">
        <f ca="1">IF(CALC2223!BE184&gt;1,INDIRECT(ADDRESS(MATCH(Agenda2526!C185,'CAL8'!A:A,0)+1,2,4,1,"CAL8")),"")</f>
        <v/>
      </c>
      <c r="AT184" s="21">
        <f ca="1">IF(CALC2223!BE184&gt;1,INDIRECT(ADDRESS(MATCH(Agenda2526!C185,'CAL8'!A:A,0)+1,3,4,1,"CAL8")),0)</f>
        <v>0</v>
      </c>
      <c r="AU184" s="20" t="str">
        <f ca="1">IF(CALC2223!BE184&gt;2,INDIRECT(ADDRESS(MATCH(Agenda2526!C185,'CAL8'!A:A,0)+2,2,4,1,"CAL8")),"")</f>
        <v/>
      </c>
      <c r="AV184" s="21">
        <f ca="1">IF(CALC2223!BE184&gt;2,INDIRECT(ADDRESS(MATCH(Agenda2526!C185,'CAL8'!A:A,0)+2,3,4,1,"CAL8")),0)</f>
        <v>0</v>
      </c>
      <c r="AW184" s="105"/>
      <c r="AX184" s="20">
        <f>COUNTIF('CAL1'!A:A,Agenda2526!C185)</f>
        <v>0</v>
      </c>
      <c r="AY184" s="20">
        <f>COUNTIF('CAL2'!A:A,Agenda2526!C185)</f>
        <v>0</v>
      </c>
      <c r="AZ184" s="20">
        <f>COUNTIF('CAL3'!A:A,Agenda2526!C185)</f>
        <v>1</v>
      </c>
      <c r="BA184" s="20">
        <f>COUNTIF('CAL4'!A:A,Agenda2526!C185)</f>
        <v>1</v>
      </c>
      <c r="BB184" s="20">
        <f>COUNTIF('CAL5'!A:A,Agenda2526!C185)</f>
        <v>2</v>
      </c>
      <c r="BC184" s="20">
        <f>COUNTIF('CAL6'!A:A,Agenda2526!C185)</f>
        <v>1</v>
      </c>
      <c r="BD184" s="20">
        <f>COUNTIF('CAL7'!A:A,Agenda2526!C185)</f>
        <v>0</v>
      </c>
      <c r="BE184" s="20">
        <f>COUNTIF('CAL8'!A:A,Agenda2526!C185)</f>
        <v>0</v>
      </c>
    </row>
    <row r="185" spans="1:57" ht="15.75" customHeight="1">
      <c r="A185" s="20" t="str">
        <f ca="1">IF(CALC2223!AX185&gt;0,INDIRECT(ADDRESS(MATCH(Agenda2526!C186,'CAL1'!A:A,0),2,4,1,"CAL1")),"")</f>
        <v/>
      </c>
      <c r="B185" s="21">
        <f ca="1">IF(CALC2223!AX185&gt;0,INDIRECT(ADDRESS(MATCH(Agenda2526!C186,'CAL1'!A:A,0),3,4,1,"CAL1")),0)</f>
        <v>0</v>
      </c>
      <c r="C185" s="20" t="str">
        <f ca="1">IF(CALC2223!AX185&gt;1,INDIRECT(ADDRESS(MATCH(Agenda2526!C186,'CAL1'!A:A,0)+1,2,4,1,"CAL1")),"")</f>
        <v/>
      </c>
      <c r="D185" s="21">
        <f ca="1">IF(CALC2223!AX185&gt;1,INDIRECT(ADDRESS(MATCH(Agenda2526!C186,'CAL1'!A:A,0)+1,3,4,1,"CAL1")),0)</f>
        <v>0</v>
      </c>
      <c r="E185" s="20" t="str">
        <f ca="1">IF(CALC2223!AX185&gt;2,INDIRECT(ADDRESS(MATCH(Agenda2526!C186,'CAL1'!A:A,0)+2,2,4,1,"CAL1")),"")</f>
        <v/>
      </c>
      <c r="F185" s="21">
        <f ca="1">IF(CALC2223!AX185&gt;2,INDIRECT(ADDRESS(MATCH(Agenda2526!C186,'CAL1'!A:A,0)+2,3,4,1,"CAL1")),0)</f>
        <v>0</v>
      </c>
      <c r="G185" s="20" t="str">
        <f ca="1">IF(CALC2223!AY185&gt;0,INDIRECT(ADDRESS(MATCH(Agenda2526!C186,'CAL2'!A:A,0),2,4,1,"CAL2")),"")</f>
        <v/>
      </c>
      <c r="H185" s="21">
        <f ca="1">IF(CALC2223!AY185&gt;0,INDIRECT(ADDRESS(MATCH(Agenda2526!C186,'CAL2'!A:A,0),3,4,1,"CAL2")),0)</f>
        <v>0</v>
      </c>
      <c r="I185" s="20" t="str">
        <f ca="1">IF(CALC2223!AY185&gt;1,INDIRECT(ADDRESS(MATCH(Agenda2526!C186,'CAL2'!A:A,0)+1,2,4,1,"CAL2")),"")</f>
        <v/>
      </c>
      <c r="J185" s="21">
        <f ca="1">IF(CALC2223!AY185&gt;1,INDIRECT(ADDRESS(MATCH(Agenda2526!C186,'CAL2'!A:A,0)+1,3,4,1,"CAL2")),0)</f>
        <v>0</v>
      </c>
      <c r="K185" s="20" t="str">
        <f ca="1">IF(CALC2223!AY185&gt;2,INDIRECT(ADDRESS(MATCH(Agenda2526!C186,'CAL2'!A:A,0)+2,2,4,1,"CAL2")),"")</f>
        <v/>
      </c>
      <c r="L185" s="21">
        <f ca="1">IF(CALC2223!AY185&gt;2,INDIRECT(ADDRESS(MATCH(Agenda2526!C186,'CAL2'!A:A,0)+2,3,4,1,"CAL2")),0)</f>
        <v>0</v>
      </c>
      <c r="M185" s="20" t="str">
        <f ca="1">IF(CALC2223!AZ185&gt;0,INDIRECT(ADDRESS(MATCH(Agenda2526!C186,'CAL3'!A:A,0),2,4,1,"CAL3")),"")</f>
        <v/>
      </c>
      <c r="N185" s="21">
        <f ca="1">IF(CALC2223!AZ185&gt;0,INDIRECT(ADDRESS(MATCH(Agenda2526!C186,'CAL3'!A:A,0),3,4,1,"CAL3")),0)</f>
        <v>0</v>
      </c>
      <c r="O185" s="20" t="str">
        <f ca="1">IF(CALC2223!AZ185&gt;1,INDIRECT(ADDRESS(MATCH(Agenda2526!C186,'CAL3'!A:A,0)+1,2,4,1,"CAL3")),"")</f>
        <v/>
      </c>
      <c r="P185" s="21">
        <f ca="1">IF(CALC2223!AZ185&gt;1,INDIRECT(ADDRESS(MATCH(Agenda2526!C186,'CAL3'!A:A,0)+1,3,4,1,"CAL3")),0)</f>
        <v>0</v>
      </c>
      <c r="Q185" s="20" t="str">
        <f ca="1">IF(CALC2223!AZ185&gt;2,INDIRECT(ADDRESS(MATCH(Agenda2526!C186,'CAL3'!A:A,0)+2,2,4,1,"CAL3")),"")</f>
        <v/>
      </c>
      <c r="R185" s="21">
        <f ca="1">IF(CALC2223!AZ185&gt;2,INDIRECT(ADDRESS(MATCH(Agenda2526!C186,'CAL3'!A:A,0)+2,3,4,1,"CAL3")),0)</f>
        <v>0</v>
      </c>
      <c r="S185" s="20" t="str">
        <f ca="1">IF(CALC2223!BA185&gt;0,INDIRECT(ADDRESS(MATCH(Agenda2526!C186,'CAL4'!A:A,0),2,4,1,"CAL4")),"")</f>
        <v/>
      </c>
      <c r="T185" s="21">
        <f ca="1">IF(CALC2223!BA185&gt;0,INDIRECT(ADDRESS(MATCH(Agenda2526!C186,'CAL4'!A:A,0),3,4,1,"CAL4")),0)</f>
        <v>0</v>
      </c>
      <c r="U185" s="20" t="str">
        <f ca="1">IF(CALC2223!BA185&gt;1,INDIRECT(ADDRESS(MATCH(Agenda2526!C186,'CAL4'!A:A,0)+1,2,4,1,"CAL4")),"")</f>
        <v/>
      </c>
      <c r="V185" s="21">
        <f ca="1">IF(CALC2223!BA185&gt;1,INDIRECT(ADDRESS(MATCH(Agenda2526!C186,'CAL4'!A:A,0)+1,3,4,1,"CAL4")),0)</f>
        <v>0</v>
      </c>
      <c r="W185" s="20" t="str">
        <f ca="1">IF(CALC2223!BA185&gt;2,INDIRECT(ADDRESS(MATCH(Agenda2526!C186,'CAL4'!A:A,0)+2,2,4,1,"CAL4")),"")</f>
        <v/>
      </c>
      <c r="X185" s="21">
        <f ca="1">IF(CALC2223!BA185&gt;2,INDIRECT(ADDRESS(MATCH(Agenda2526!C186,'CAL4'!A:A,0)+2,3,4,1,"CAL4")),0)</f>
        <v>0</v>
      </c>
      <c r="Y185" s="20" t="str">
        <f ca="1">IF(CALC2223!BB185&gt;0,INDIRECT(ADDRESS(MATCH(Agenda2526!C186,'CAL5'!A:A,0),2,4,1,"CAL5")),"")</f>
        <v/>
      </c>
      <c r="Z185" s="21">
        <f ca="1">IF(CALC2223!BB185&gt;0,INDIRECT(ADDRESS(MATCH(Agenda2526!C186,'CAL5'!A:A,0),3,4,1,"CAL5")),0)</f>
        <v>0</v>
      </c>
      <c r="AA185" s="20" t="str">
        <f ca="1">IF(CALC2223!BB185&gt;1,INDIRECT(ADDRESS(MATCH(Agenda2526!C186,'CAL5'!A:A,0)+1,2,4,1,"CAL5")),"")</f>
        <v/>
      </c>
      <c r="AB185" s="21">
        <f ca="1">IF(CALC2223!BB185&gt;1,INDIRECT(ADDRESS(MATCH(Agenda2526!C186,'CAL5'!A:A,0)+1,3,4,1,"CAL5")),0)</f>
        <v>0</v>
      </c>
      <c r="AC185" s="20" t="str">
        <f ca="1">IF(CALC2223!BB185&gt;2,INDIRECT(ADDRESS(MATCH(Agenda2526!C186,'CAL5'!A:A,0)+2,2,4,1,"CAL5")),"")</f>
        <v/>
      </c>
      <c r="AD185" s="21">
        <f ca="1">IF(CALC2223!BB185&gt;2,INDIRECT(ADDRESS(MATCH(Agenda2526!C186,'CAL5'!A:A,0)+2,3,4,1,"CAL5")),0)</f>
        <v>0</v>
      </c>
      <c r="AE185" s="20" t="str">
        <f ca="1">IF(CALC2223!BC185&gt;0,INDIRECT(ADDRESS(MATCH(Agenda2526!C186,'CAL6'!A:A,0),2,4,1,"CAL6")),"")</f>
        <v>inhalen SE/mondelingen</v>
      </c>
      <c r="AF185" s="21">
        <f ca="1">IF(CALC2223!BC185&gt;0,INDIRECT(ADDRESS(MATCH(Agenda2526!C186,'CAL6'!A:A,0),3,4,1,"CAL6")),0)</f>
        <v>45896</v>
      </c>
      <c r="AG185" s="20" t="str">
        <f ca="1">IF(CALC2223!BC185&gt;1,INDIRECT(ADDRESS(MATCH(Agenda2526!C186,'CAL6'!A:A,0)+1,2,4,1,"CAL6")),"")</f>
        <v/>
      </c>
      <c r="AH185" s="21">
        <f ca="1">IF(CALC2223!BC185&gt;1,INDIRECT(ADDRESS(MATCH(Agenda2526!C186,'CAL6'!A:A,0)+1,3,4,1,"CAL6")),0)</f>
        <v>0</v>
      </c>
      <c r="AI185" s="20" t="str">
        <f ca="1">IF(CALC2223!BC185&gt;2,INDIRECT(ADDRESS(MATCH(Agenda2526!C186,'CAL6'!A:A,0)+2,2,4,1,"CAL6")),"")</f>
        <v/>
      </c>
      <c r="AJ185" s="21">
        <f ca="1">IF(CALC2223!BC185&gt;2,INDIRECT(ADDRESS(MATCH(Agenda2526!C186,'CAL6'!A:A,0)+2,3,4,1,"CAL6")),0)</f>
        <v>0</v>
      </c>
      <c r="AK185" s="20" t="str">
        <f ca="1">IF(CALC2223!BD185&gt;0,INDIRECT(ADDRESS(MATCH(Agenda2526!C186,'CAL7'!A:A,0),2,4,1,"CAL7")),"")</f>
        <v/>
      </c>
      <c r="AL185" s="21">
        <f ca="1">IF(CALC2223!BD185&gt;0,INDIRECT(ADDRESS(MATCH(Agenda2526!C186,'CAL7'!A:A,0),3,4,1,"CAL7")),0)</f>
        <v>0</v>
      </c>
      <c r="AM185" s="20" t="str">
        <f ca="1">IF(CALC2223!BD185&gt;1,INDIRECT(ADDRESS(MATCH(Agenda2526!C186,'CAL7'!A:A,0)+1,2,4,1,"CAL7")),"")</f>
        <v/>
      </c>
      <c r="AN185" s="21">
        <f ca="1">IF(CALC2223!BD185&gt;1,INDIRECT(ADDRESS(MATCH(Agenda2526!C186,'CAL7'!A:A,0)+1,3,4,1,"CAL7")),0)</f>
        <v>0</v>
      </c>
      <c r="AO185" s="20" t="str">
        <f ca="1">IF(CALC2223!BD185&gt;2,INDIRECT(ADDRESS(MATCH(Agenda2526!C186,'CAL7'!A:A,0)+2,2,4,1,"CAL7")),"")</f>
        <v/>
      </c>
      <c r="AP185" s="21">
        <f ca="1">IF(CALC2223!BD185&gt;2,INDIRECT(ADDRESS(MATCH(Agenda2526!C186,'CAL7'!A:A,0)+2,3,4,1,"CAL7")),0)</f>
        <v>0</v>
      </c>
      <c r="AQ185" s="20" t="str">
        <f ca="1">IF(CALC2223!BE185&gt;0,INDIRECT(ADDRESS(MATCH(Agenda2526!C186,'CAL8'!A:A,0),2,4,1,"CAL8")),"")</f>
        <v/>
      </c>
      <c r="AR185" s="21">
        <f ca="1">IF(CALC2223!BE185&gt;0,INDIRECT(ADDRESS(MATCH(Agenda2526!C186,'CAL8'!A:A,0),3,4,1,"CAL8")),0)</f>
        <v>0</v>
      </c>
      <c r="AS185" s="20" t="str">
        <f ca="1">IF(CALC2223!BE185&gt;1,INDIRECT(ADDRESS(MATCH(Agenda2526!C186,'CAL8'!A:A,0)+1,2,4,1,"CAL8")),"")</f>
        <v/>
      </c>
      <c r="AT185" s="21">
        <f ca="1">IF(CALC2223!BE185&gt;1,INDIRECT(ADDRESS(MATCH(Agenda2526!C186,'CAL8'!A:A,0)+1,3,4,1,"CAL8")),0)</f>
        <v>0</v>
      </c>
      <c r="AU185" s="20" t="str">
        <f ca="1">IF(CALC2223!BE185&gt;2,INDIRECT(ADDRESS(MATCH(Agenda2526!C186,'CAL8'!A:A,0)+2,2,4,1,"CAL8")),"")</f>
        <v/>
      </c>
      <c r="AV185" s="21">
        <f ca="1">IF(CALC2223!BE185&gt;2,INDIRECT(ADDRESS(MATCH(Agenda2526!C186,'CAL8'!A:A,0)+2,3,4,1,"CAL8")),0)</f>
        <v>0</v>
      </c>
      <c r="AW185" s="105"/>
      <c r="AX185" s="20">
        <f>COUNTIF('CAL1'!A:A,Agenda2526!C186)</f>
        <v>0</v>
      </c>
      <c r="AY185" s="20">
        <f>COUNTIF('CAL2'!A:A,Agenda2526!C186)</f>
        <v>0</v>
      </c>
      <c r="AZ185" s="20">
        <f>COUNTIF('CAL3'!A:A,Agenda2526!C186)</f>
        <v>0</v>
      </c>
      <c r="BA185" s="20">
        <f>COUNTIF('CAL4'!A:A,Agenda2526!C186)</f>
        <v>0</v>
      </c>
      <c r="BB185" s="20">
        <f>COUNTIF('CAL5'!A:A,Agenda2526!C186)</f>
        <v>0</v>
      </c>
      <c r="BC185" s="20">
        <f>COUNTIF('CAL6'!A:A,Agenda2526!C186)</f>
        <v>1</v>
      </c>
      <c r="BD185" s="20">
        <f>COUNTIF('CAL7'!A:A,Agenda2526!C186)</f>
        <v>0</v>
      </c>
      <c r="BE185" s="20">
        <f>COUNTIF('CAL8'!A:A,Agenda2526!C186)</f>
        <v>0</v>
      </c>
    </row>
    <row r="186" spans="1:57" ht="15.75" customHeight="1">
      <c r="A186" s="20" t="str">
        <f ca="1">IF(CALC2223!AX186&gt;0,INDIRECT(ADDRESS(MATCH(Agenda2526!C187,'CAL1'!A:A,0),2,4,1,"CAL1")),"")</f>
        <v/>
      </c>
      <c r="B186" s="21">
        <f ca="1">IF(CALC2223!AX186&gt;0,INDIRECT(ADDRESS(MATCH(Agenda2526!C187,'CAL1'!A:A,0),3,4,1,"CAL1")),0)</f>
        <v>0</v>
      </c>
      <c r="C186" s="20" t="str">
        <f ca="1">IF(CALC2223!AX186&gt;1,INDIRECT(ADDRESS(MATCH(Agenda2526!C187,'CAL1'!A:A,0)+1,2,4,1,"CAL1")),"")</f>
        <v/>
      </c>
      <c r="D186" s="21">
        <f ca="1">IF(CALC2223!AX186&gt;1,INDIRECT(ADDRESS(MATCH(Agenda2526!C187,'CAL1'!A:A,0)+1,3,4,1,"CAL1")),0)</f>
        <v>0</v>
      </c>
      <c r="E186" s="20" t="str">
        <f ca="1">IF(CALC2223!AX186&gt;2,INDIRECT(ADDRESS(MATCH(Agenda2526!C187,'CAL1'!A:A,0)+2,2,4,1,"CAL1")),"")</f>
        <v/>
      </c>
      <c r="F186" s="21">
        <f ca="1">IF(CALC2223!AX186&gt;2,INDIRECT(ADDRESS(MATCH(Agenda2526!C187,'CAL1'!A:A,0)+2,3,4,1,"CAL1")),0)</f>
        <v>0</v>
      </c>
      <c r="G186" s="20" t="str">
        <f ca="1">IF(CALC2223!AY186&gt;0,INDIRECT(ADDRESS(MATCH(Agenda2526!C187,'CAL2'!A:A,0),2,4,1,"CAL2")),"")</f>
        <v/>
      </c>
      <c r="H186" s="21">
        <f ca="1">IF(CALC2223!AY186&gt;0,INDIRECT(ADDRESS(MATCH(Agenda2526!C187,'CAL2'!A:A,0),3,4,1,"CAL2")),0)</f>
        <v>0</v>
      </c>
      <c r="I186" s="20" t="str">
        <f ca="1">IF(CALC2223!AY186&gt;1,INDIRECT(ADDRESS(MATCH(Agenda2526!C187,'CAL2'!A:A,0)+1,2,4,1,"CAL2")),"")</f>
        <v/>
      </c>
      <c r="J186" s="21">
        <f ca="1">IF(CALC2223!AY186&gt;1,INDIRECT(ADDRESS(MATCH(Agenda2526!C187,'CAL2'!A:A,0)+1,3,4,1,"CAL2")),0)</f>
        <v>0</v>
      </c>
      <c r="K186" s="20" t="str">
        <f ca="1">IF(CALC2223!AY186&gt;2,INDIRECT(ADDRESS(MATCH(Agenda2526!C187,'CAL2'!A:A,0)+2,2,4,1,"CAL2")),"")</f>
        <v/>
      </c>
      <c r="L186" s="21">
        <f ca="1">IF(CALC2223!AY186&gt;2,INDIRECT(ADDRESS(MATCH(Agenda2526!C187,'CAL2'!A:A,0)+2,3,4,1,"CAL2")),0)</f>
        <v>0</v>
      </c>
      <c r="M186" s="20" t="str">
        <f ca="1">IF(CALC2223!AZ186&gt;0,INDIRECT(ADDRESS(MATCH(Agenda2526!C187,'CAL3'!A:A,0),2,4,1,"CAL3")),"")</f>
        <v/>
      </c>
      <c r="N186" s="21">
        <f ca="1">IF(CALC2223!AZ186&gt;0,INDIRECT(ADDRESS(MATCH(Agenda2526!C187,'CAL3'!A:A,0),3,4,1,"CAL3")),0)</f>
        <v>0</v>
      </c>
      <c r="O186" s="20" t="str">
        <f ca="1">IF(CALC2223!AZ186&gt;1,INDIRECT(ADDRESS(MATCH(Agenda2526!C187,'CAL3'!A:A,0)+1,2,4,1,"CAL3")),"")</f>
        <v/>
      </c>
      <c r="P186" s="21">
        <f ca="1">IF(CALC2223!AZ186&gt;1,INDIRECT(ADDRESS(MATCH(Agenda2526!C187,'CAL3'!A:A,0)+1,3,4,1,"CAL3")),0)</f>
        <v>0</v>
      </c>
      <c r="Q186" s="20" t="str">
        <f ca="1">IF(CALC2223!AZ186&gt;2,INDIRECT(ADDRESS(MATCH(Agenda2526!C187,'CAL3'!A:A,0)+2,2,4,1,"CAL3")),"")</f>
        <v/>
      </c>
      <c r="R186" s="21">
        <f ca="1">IF(CALC2223!AZ186&gt;2,INDIRECT(ADDRESS(MATCH(Agenda2526!C187,'CAL3'!A:A,0)+2,3,4,1,"CAL3")),0)</f>
        <v>0</v>
      </c>
      <c r="S186" s="20" t="str">
        <f ca="1">IF(CALC2223!BA186&gt;0,INDIRECT(ADDRESS(MATCH(Agenda2526!C187,'CAL4'!A:A,0),2,4,1,"CAL4")),"")</f>
        <v/>
      </c>
      <c r="T186" s="21">
        <f ca="1">IF(CALC2223!BA186&gt;0,INDIRECT(ADDRESS(MATCH(Agenda2526!C187,'CAL4'!A:A,0),3,4,1,"CAL4")),0)</f>
        <v>0</v>
      </c>
      <c r="U186" s="20" t="str">
        <f ca="1">IF(CALC2223!BA186&gt;1,INDIRECT(ADDRESS(MATCH(Agenda2526!C187,'CAL4'!A:A,0)+1,2,4,1,"CAL4")),"")</f>
        <v/>
      </c>
      <c r="V186" s="21">
        <f ca="1">IF(CALC2223!BA186&gt;1,INDIRECT(ADDRESS(MATCH(Agenda2526!C187,'CAL4'!A:A,0)+1,3,4,1,"CAL4")),0)</f>
        <v>0</v>
      </c>
      <c r="W186" s="20" t="str">
        <f ca="1">IF(CALC2223!BA186&gt;2,INDIRECT(ADDRESS(MATCH(Agenda2526!C187,'CAL4'!A:A,0)+2,2,4,1,"CAL4")),"")</f>
        <v/>
      </c>
      <c r="X186" s="21">
        <f ca="1">IF(CALC2223!BA186&gt;2,INDIRECT(ADDRESS(MATCH(Agenda2526!C187,'CAL4'!A:A,0)+2,3,4,1,"CAL4")),0)</f>
        <v>0</v>
      </c>
      <c r="Y186" s="20" t="str">
        <f ca="1">IF(CALC2223!BB186&gt;0,INDIRECT(ADDRESS(MATCH(Agenda2526!C187,'CAL5'!A:A,0),2,4,1,"CAL5")),"")</f>
        <v>beroepenochtend (4/5 uur)</v>
      </c>
      <c r="Z186" s="21">
        <f ca="1">IF(CALC2223!BB186&gt;0,INDIRECT(ADDRESS(MATCH(Agenda2526!C187,'CAL5'!A:A,0),3,4,1,"CAL5")),0)</f>
        <v>45896</v>
      </c>
      <c r="AA186" s="20" t="str">
        <f ca="1">IF(CALC2223!BB186&gt;1,INDIRECT(ADDRESS(MATCH(Agenda2526!C187,'CAL5'!A:A,0)+1,2,4,1,"CAL5")),"")</f>
        <v>inh SE AC</v>
      </c>
      <c r="AB186" s="21">
        <f ca="1">IF(CALC2223!BB186&gt;1,INDIRECT(ADDRESS(MATCH(Agenda2526!C187,'CAL5'!A:A,0)+1,3,4,1,"CAL5")),0)</f>
        <v>45936</v>
      </c>
      <c r="AC186" s="20" t="str">
        <f ca="1">IF(CALC2223!BB186&gt;2,INDIRECT(ADDRESS(MATCH(Agenda2526!C187,'CAL5'!A:A,0)+2,2,4,1,"CAL5")),"")</f>
        <v/>
      </c>
      <c r="AD186" s="21">
        <f ca="1">IF(CALC2223!BB186&gt;2,INDIRECT(ADDRESS(MATCH(Agenda2526!C187,'CAL5'!A:A,0)+2,3,4,1,"CAL5")),0)</f>
        <v>0</v>
      </c>
      <c r="AE186" s="20" t="str">
        <f ca="1">IF(CALC2223!BC186&gt;0,INDIRECT(ADDRESS(MATCH(Agenda2526!C187,'CAL6'!A:A,0),2,4,1,"CAL6")),"")</f>
        <v>mondelingen</v>
      </c>
      <c r="AF186" s="21">
        <f ca="1">IF(CALC2223!BC186&gt;0,INDIRECT(ADDRESS(MATCH(Agenda2526!C187,'CAL6'!A:A,0),3,4,1,"CAL6")),0)</f>
        <v>45896</v>
      </c>
      <c r="AG186" s="20" t="str">
        <f ca="1">IF(CALC2223!BC186&gt;1,INDIRECT(ADDRESS(MATCH(Agenda2526!C187,'CAL6'!A:A,0)+1,2,4,1,"CAL6")),"")</f>
        <v/>
      </c>
      <c r="AH186" s="21">
        <f ca="1">IF(CALC2223!BC186&gt;1,INDIRECT(ADDRESS(MATCH(Agenda2526!C187,'CAL6'!A:A,0)+1,3,4,1,"CAL6")),0)</f>
        <v>0</v>
      </c>
      <c r="AI186" s="20" t="str">
        <f ca="1">IF(CALC2223!BC186&gt;2,INDIRECT(ADDRESS(MATCH(Agenda2526!C187,'CAL6'!A:A,0)+2,2,4,1,"CAL6")),"")</f>
        <v/>
      </c>
      <c r="AJ186" s="21">
        <f ca="1">IF(CALC2223!BC186&gt;2,INDIRECT(ADDRESS(MATCH(Agenda2526!C187,'CAL6'!A:A,0)+2,3,4,1,"CAL6")),0)</f>
        <v>0</v>
      </c>
      <c r="AK186" s="20" t="str">
        <f ca="1">IF(CALC2223!BD186&gt;0,INDIRECT(ADDRESS(MATCH(Agenda2526!C187,'CAL7'!A:A,0),2,4,1,"CAL7")),"")</f>
        <v/>
      </c>
      <c r="AL186" s="21">
        <f ca="1">IF(CALC2223!BD186&gt;0,INDIRECT(ADDRESS(MATCH(Agenda2526!C187,'CAL7'!A:A,0),3,4,1,"CAL7")),0)</f>
        <v>0</v>
      </c>
      <c r="AM186" s="20" t="str">
        <f ca="1">IF(CALC2223!BD186&gt;1,INDIRECT(ADDRESS(MATCH(Agenda2526!C187,'CAL7'!A:A,0)+1,2,4,1,"CAL7")),"")</f>
        <v/>
      </c>
      <c r="AN186" s="21">
        <f ca="1">IF(CALC2223!BD186&gt;1,INDIRECT(ADDRESS(MATCH(Agenda2526!C187,'CAL7'!A:A,0)+1,3,4,1,"CAL7")),0)</f>
        <v>0</v>
      </c>
      <c r="AO186" s="20" t="str">
        <f ca="1">IF(CALC2223!BD186&gt;2,INDIRECT(ADDRESS(MATCH(Agenda2526!C187,'CAL7'!A:A,0)+2,2,4,1,"CAL7")),"")</f>
        <v/>
      </c>
      <c r="AP186" s="21">
        <f ca="1">IF(CALC2223!BD186&gt;2,INDIRECT(ADDRESS(MATCH(Agenda2526!C187,'CAL7'!A:A,0)+2,3,4,1,"CAL7")),0)</f>
        <v>0</v>
      </c>
      <c r="AQ186" s="20" t="str">
        <f ca="1">IF(CALC2223!BE186&gt;0,INDIRECT(ADDRESS(MATCH(Agenda2526!C187,'CAL8'!A:A,0),2,4,1,"CAL8")),"")</f>
        <v>CGU-iftar</v>
      </c>
      <c r="AR186" s="21">
        <f ca="1">IF(CALC2223!BE186&gt;0,INDIRECT(ADDRESS(MATCH(Agenda2526!C187,'CAL8'!A:A,0),3,4,1,"CAL8")),0)</f>
        <v>45966</v>
      </c>
      <c r="AS186" s="20" t="str">
        <f ca="1">IF(CALC2223!BE186&gt;1,INDIRECT(ADDRESS(MATCH(Agenda2526!C187,'CAL8'!A:A,0)+1,2,4,1,"CAL8")),"")</f>
        <v/>
      </c>
      <c r="AT186" s="21">
        <f ca="1">IF(CALC2223!BE186&gt;1,INDIRECT(ADDRESS(MATCH(Agenda2526!C187,'CAL8'!A:A,0)+1,3,4,1,"CAL8")),0)</f>
        <v>0</v>
      </c>
      <c r="AU186" s="20" t="str">
        <f ca="1">IF(CALC2223!BE186&gt;2,INDIRECT(ADDRESS(MATCH(Agenda2526!C187,'CAL8'!A:A,0)+2,2,4,1,"CAL8")),"")</f>
        <v/>
      </c>
      <c r="AV186" s="21">
        <f ca="1">IF(CALC2223!BE186&gt;2,INDIRECT(ADDRESS(MATCH(Agenda2526!C187,'CAL8'!A:A,0)+2,3,4,1,"CAL8")),0)</f>
        <v>0</v>
      </c>
      <c r="AW186" s="105"/>
      <c r="AX186" s="20">
        <f>COUNTIF('CAL1'!A:A,Agenda2526!C187)</f>
        <v>0</v>
      </c>
      <c r="AY186" s="20">
        <f>COUNTIF('CAL2'!A:A,Agenda2526!C187)</f>
        <v>0</v>
      </c>
      <c r="AZ186" s="20">
        <f>COUNTIF('CAL3'!A:A,Agenda2526!C187)</f>
        <v>0</v>
      </c>
      <c r="BA186" s="20">
        <f>COUNTIF('CAL4'!A:A,Agenda2526!C187)</f>
        <v>0</v>
      </c>
      <c r="BB186" s="20">
        <f>COUNTIF('CAL5'!A:A,Agenda2526!C187)</f>
        <v>2</v>
      </c>
      <c r="BC186" s="20">
        <f>COUNTIF('CAL6'!A:A,Agenda2526!C187)</f>
        <v>1</v>
      </c>
      <c r="BD186" s="20">
        <f>COUNTIF('CAL7'!A:A,Agenda2526!C187)</f>
        <v>0</v>
      </c>
      <c r="BE186" s="20">
        <f>COUNTIF('CAL8'!A:A,Agenda2526!C187)</f>
        <v>1</v>
      </c>
    </row>
    <row r="187" spans="1:57" ht="15.75" customHeight="1">
      <c r="A187" s="20" t="str">
        <f ca="1">IF(CALC2223!AX187&gt;0,INDIRECT(ADDRESS(MATCH(Agenda2526!C188,'CAL1'!A:A,0),2,4,1,"CAL1")),"")</f>
        <v/>
      </c>
      <c r="B187" s="21">
        <f ca="1">IF(CALC2223!AX187&gt;0,INDIRECT(ADDRESS(MATCH(Agenda2526!C188,'CAL1'!A:A,0),3,4,1,"CAL1")),0)</f>
        <v>0</v>
      </c>
      <c r="C187" s="20" t="str">
        <f ca="1">IF(CALC2223!AX187&gt;1,INDIRECT(ADDRESS(MATCH(Agenda2526!C188,'CAL1'!A:A,0)+1,2,4,1,"CAL1")),"")</f>
        <v/>
      </c>
      <c r="D187" s="21">
        <f ca="1">IF(CALC2223!AX187&gt;1,INDIRECT(ADDRESS(MATCH(Agenda2526!C188,'CAL1'!A:A,0)+1,3,4,1,"CAL1")),0)</f>
        <v>0</v>
      </c>
      <c r="E187" s="20" t="str">
        <f ca="1">IF(CALC2223!AX187&gt;2,INDIRECT(ADDRESS(MATCH(Agenda2526!C188,'CAL1'!A:A,0)+2,2,4,1,"CAL1")),"")</f>
        <v/>
      </c>
      <c r="F187" s="21">
        <f ca="1">IF(CALC2223!AX187&gt;2,INDIRECT(ADDRESS(MATCH(Agenda2526!C188,'CAL1'!A:A,0)+2,3,4,1,"CAL1")),0)</f>
        <v>0</v>
      </c>
      <c r="G187" s="20" t="str">
        <f ca="1">IF(CALC2223!AY187&gt;0,INDIRECT(ADDRESS(MATCH(Agenda2526!C188,'CAL2'!A:A,0),2,4,1,"CAL2")),"")</f>
        <v/>
      </c>
      <c r="H187" s="21">
        <f ca="1">IF(CALC2223!AY187&gt;0,INDIRECT(ADDRESS(MATCH(Agenda2526!C188,'CAL2'!A:A,0),3,4,1,"CAL2")),0)</f>
        <v>0</v>
      </c>
      <c r="I187" s="20" t="str">
        <f ca="1">IF(CALC2223!AY187&gt;1,INDIRECT(ADDRESS(MATCH(Agenda2526!C188,'CAL2'!A:A,0)+1,2,4,1,"CAL2")),"")</f>
        <v/>
      </c>
      <c r="J187" s="21">
        <f ca="1">IF(CALC2223!AY187&gt;1,INDIRECT(ADDRESS(MATCH(Agenda2526!C188,'CAL2'!A:A,0)+1,3,4,1,"CAL2")),0)</f>
        <v>0</v>
      </c>
      <c r="K187" s="20" t="str">
        <f ca="1">IF(CALC2223!AY187&gt;2,INDIRECT(ADDRESS(MATCH(Agenda2526!C188,'CAL2'!A:A,0)+2,2,4,1,"CAL2")),"")</f>
        <v/>
      </c>
      <c r="L187" s="21">
        <f ca="1">IF(CALC2223!AY187&gt;2,INDIRECT(ADDRESS(MATCH(Agenda2526!C188,'CAL2'!A:A,0)+2,3,4,1,"CAL2")),0)</f>
        <v>0</v>
      </c>
      <c r="M187" s="20" t="str">
        <f ca="1">IF(CALC2223!AZ187&gt;0,INDIRECT(ADDRESS(MATCH(Agenda2526!C188,'CAL3'!A:A,0),2,4,1,"CAL3")),"")</f>
        <v>Rep SK</v>
      </c>
      <c r="N187" s="21">
        <f ca="1">IF(CALC2223!AZ187&gt;0,INDIRECT(ADDRESS(MATCH(Agenda2526!C188,'CAL3'!A:A,0),3,4,1,"CAL3")),0)</f>
        <v>45903</v>
      </c>
      <c r="O187" s="20" t="str">
        <f ca="1">IF(CALC2223!AZ187&gt;1,INDIRECT(ADDRESS(MATCH(Agenda2526!C188,'CAL3'!A:A,0)+1,2,4,1,"CAL3")),"")</f>
        <v/>
      </c>
      <c r="P187" s="21">
        <f ca="1">IF(CALC2223!AZ187&gt;1,INDIRECT(ADDRESS(MATCH(Agenda2526!C188,'CAL3'!A:A,0)+1,3,4,1,"CAL3")),0)</f>
        <v>0</v>
      </c>
      <c r="Q187" s="20" t="str">
        <f ca="1">IF(CALC2223!AZ187&gt;2,INDIRECT(ADDRESS(MATCH(Agenda2526!C188,'CAL3'!A:A,0)+2,2,4,1,"CAL3")),"")</f>
        <v/>
      </c>
      <c r="R187" s="21">
        <f ca="1">IF(CALC2223!AZ187&gt;2,INDIRECT(ADDRESS(MATCH(Agenda2526!C188,'CAL3'!A:A,0)+2,3,4,1,"CAL3")),0)</f>
        <v>0</v>
      </c>
      <c r="S187" s="20" t="str">
        <f ca="1">IF(CALC2223!BA187&gt;0,INDIRECT(ADDRESS(MATCH(Agenda2526!C188,'CAL4'!A:A,0),2,4,1,"CAL4")),"")</f>
        <v>inh SE ANW</v>
      </c>
      <c r="T187" s="21">
        <f ca="1">IF(CALC2223!BA187&gt;0,INDIRECT(ADDRESS(MATCH(Agenda2526!C188,'CAL4'!A:A,0),3,4,1,"CAL4")),0)</f>
        <v>45936</v>
      </c>
      <c r="U187" s="20" t="str">
        <f ca="1">IF(CALC2223!BA187&gt;1,INDIRECT(ADDRESS(MATCH(Agenda2526!C188,'CAL4'!A:A,0)+1,2,4,1,"CAL4")),"")</f>
        <v/>
      </c>
      <c r="V187" s="21">
        <f ca="1">IF(CALC2223!BA187&gt;1,INDIRECT(ADDRESS(MATCH(Agenda2526!C188,'CAL4'!A:A,0)+1,3,4,1,"CAL4")),0)</f>
        <v>0</v>
      </c>
      <c r="W187" s="20" t="str">
        <f ca="1">IF(CALC2223!BA187&gt;2,INDIRECT(ADDRESS(MATCH(Agenda2526!C188,'CAL4'!A:A,0)+2,2,4,1,"CAL4")),"")</f>
        <v/>
      </c>
      <c r="X187" s="21">
        <f ca="1">IF(CALC2223!BA187&gt;2,INDIRECT(ADDRESS(MATCH(Agenda2526!C188,'CAL4'!A:A,0)+2,3,4,1,"CAL4")),0)</f>
        <v>0</v>
      </c>
      <c r="Y187" s="20" t="str">
        <f ca="1">IF(CALC2223!BB187&gt;0,INDIRECT(ADDRESS(MATCH(Agenda2526!C188,'CAL5'!A:A,0),2,4,1,"CAL5")),"")</f>
        <v>inh SE MAAT</v>
      </c>
      <c r="Z187" s="21">
        <f ca="1">IF(CALC2223!BB187&gt;0,INDIRECT(ADDRESS(MATCH(Agenda2526!C188,'CAL5'!A:A,0),3,4,1,"CAL5")),0)</f>
        <v>45936</v>
      </c>
      <c r="AA187" s="20" t="str">
        <f ca="1">IF(CALC2223!BB187&gt;1,INDIRECT(ADDRESS(MATCH(Agenda2526!C188,'CAL5'!A:A,0)+1,2,4,1,"CAL5")),"")</f>
        <v/>
      </c>
      <c r="AB187" s="21">
        <f ca="1">IF(CALC2223!BB187&gt;1,INDIRECT(ADDRESS(MATCH(Agenda2526!C188,'CAL5'!A:A,0)+1,3,4,1,"CAL5")),0)</f>
        <v>0</v>
      </c>
      <c r="AC187" s="20" t="str">
        <f ca="1">IF(CALC2223!BB187&gt;2,INDIRECT(ADDRESS(MATCH(Agenda2526!C188,'CAL5'!A:A,0)+2,2,4,1,"CAL5")),"")</f>
        <v/>
      </c>
      <c r="AD187" s="21">
        <f ca="1">IF(CALC2223!BB187&gt;2,INDIRECT(ADDRESS(MATCH(Agenda2526!C188,'CAL5'!A:A,0)+2,3,4,1,"CAL5")),0)</f>
        <v>0</v>
      </c>
      <c r="AE187" s="20" t="str">
        <f ca="1">IF(CALC2223!BC187&gt;0,INDIRECT(ADDRESS(MATCH(Agenda2526!C188,'CAL6'!A:A,0),2,4,1,"CAL6")),"")</f>
        <v>mondelingen</v>
      </c>
      <c r="AF187" s="21">
        <f ca="1">IF(CALC2223!BC187&gt;0,INDIRECT(ADDRESS(MATCH(Agenda2526!C188,'CAL6'!A:A,0),3,4,1,"CAL6")),0)</f>
        <v>45896</v>
      </c>
      <c r="AG187" s="20" t="str">
        <f ca="1">IF(CALC2223!BC187&gt;1,INDIRECT(ADDRESS(MATCH(Agenda2526!C188,'CAL6'!A:A,0)+1,2,4,1,"CAL6")),"")</f>
        <v>Examenlezing Grieks</v>
      </c>
      <c r="AH187" s="21">
        <f ca="1">IF(CALC2223!BC187&gt;1,INDIRECT(ADDRESS(MATCH(Agenda2526!C188,'CAL6'!A:A,0)+1,3,4,1,"CAL6")),0)</f>
        <v>45915</v>
      </c>
      <c r="AI187" s="20" t="str">
        <f ca="1">IF(CALC2223!BC187&gt;2,INDIRECT(ADDRESS(MATCH(Agenda2526!C188,'CAL6'!A:A,0)+2,2,4,1,"CAL6")),"")</f>
        <v/>
      </c>
      <c r="AJ187" s="21">
        <f ca="1">IF(CALC2223!BC187&gt;2,INDIRECT(ADDRESS(MATCH(Agenda2526!C188,'CAL6'!A:A,0)+2,3,4,1,"CAL6")),0)</f>
        <v>0</v>
      </c>
      <c r="AK187" s="20" t="str">
        <f ca="1">IF(CALC2223!BD187&gt;0,INDIRECT(ADDRESS(MATCH(Agenda2526!C188,'CAL7'!A:A,0),2,4,1,"CAL7")),"")</f>
        <v>llbesprG5</v>
      </c>
      <c r="AL187" s="21">
        <f ca="1">IF(CALC2223!BD187&gt;0,INDIRECT(ADDRESS(MATCH(Agenda2526!C188,'CAL7'!A:A,0),3,4,1,"CAL7")),0)</f>
        <v>45896</v>
      </c>
      <c r="AM187" s="20" t="str">
        <f ca="1">IF(CALC2223!BD187&gt;1,INDIRECT(ADDRESS(MATCH(Agenda2526!C188,'CAL7'!A:A,0)+1,2,4,1,"CAL7")),"")</f>
        <v>llbesprG2</v>
      </c>
      <c r="AN187" s="21">
        <f ca="1">IF(CALC2223!BD187&gt;1,INDIRECT(ADDRESS(MATCH(Agenda2526!C188,'CAL7'!A:A,0)+1,3,4,1,"CAL7")),0)</f>
        <v>46064</v>
      </c>
      <c r="AO187" s="20" t="str">
        <f ca="1">IF(CALC2223!BD187&gt;2,INDIRECT(ADDRESS(MATCH(Agenda2526!C188,'CAL7'!A:A,0)+2,2,4,1,"CAL7")),"")</f>
        <v/>
      </c>
      <c r="AP187" s="21">
        <f ca="1">IF(CALC2223!BD187&gt;2,INDIRECT(ADDRESS(MATCH(Agenda2526!C188,'CAL7'!A:A,0)+2,3,4,1,"CAL7")),0)</f>
        <v>0</v>
      </c>
      <c r="AQ187" s="20" t="str">
        <f ca="1">IF(CALC2223!BE187&gt;0,INDIRECT(ADDRESS(MATCH(Agenda2526!C188,'CAL8'!A:A,0),2,4,1,"CAL8")),"")</f>
        <v>30' rooster</v>
      </c>
      <c r="AR187" s="21">
        <f ca="1">IF(CALC2223!BE187&gt;0,INDIRECT(ADDRESS(MATCH(Agenda2526!C188,'CAL8'!A:A,0),3,4,1,"CAL8")),0)</f>
        <v>45896</v>
      </c>
      <c r="AS187" s="20" t="str">
        <f ca="1">IF(CALC2223!BE187&gt;1,INDIRECT(ADDRESS(MATCH(Agenda2526!C188,'CAL8'!A:A,0)+1,2,4,1,"CAL8")),"")</f>
        <v/>
      </c>
      <c r="AT187" s="21">
        <f ca="1">IF(CALC2223!BE187&gt;1,INDIRECT(ADDRESS(MATCH(Agenda2526!C188,'CAL8'!A:A,0)+1,3,4,1,"CAL8")),0)</f>
        <v>0</v>
      </c>
      <c r="AU187" s="20" t="str">
        <f ca="1">IF(CALC2223!BE187&gt;2,INDIRECT(ADDRESS(MATCH(Agenda2526!C188,'CAL8'!A:A,0)+2,2,4,1,"CAL8")),"")</f>
        <v/>
      </c>
      <c r="AV187" s="21">
        <f ca="1">IF(CALC2223!BE187&gt;2,INDIRECT(ADDRESS(MATCH(Agenda2526!C188,'CAL8'!A:A,0)+2,3,4,1,"CAL8")),0)</f>
        <v>0</v>
      </c>
      <c r="AW187" s="105"/>
      <c r="AX187" s="20">
        <f>COUNTIF('CAL1'!A:A,Agenda2526!C188)</f>
        <v>0</v>
      </c>
      <c r="AY187" s="20">
        <f>COUNTIF('CAL2'!A:A,Agenda2526!C188)</f>
        <v>0</v>
      </c>
      <c r="AZ187" s="20">
        <f>COUNTIF('CAL3'!A:A,Agenda2526!C188)</f>
        <v>1</v>
      </c>
      <c r="BA187" s="20">
        <f>COUNTIF('CAL4'!A:A,Agenda2526!C188)</f>
        <v>1</v>
      </c>
      <c r="BB187" s="20">
        <f>COUNTIF('CAL5'!A:A,Agenda2526!C188)</f>
        <v>1</v>
      </c>
      <c r="BC187" s="20">
        <f>COUNTIF('CAL6'!A:A,Agenda2526!C188)</f>
        <v>2</v>
      </c>
      <c r="BD187" s="20">
        <f>COUNTIF('CAL7'!A:A,Agenda2526!C188)</f>
        <v>2</v>
      </c>
      <c r="BE187" s="20">
        <f>COUNTIF('CAL8'!A:A,Agenda2526!C188)</f>
        <v>1</v>
      </c>
    </row>
    <row r="188" spans="1:57" ht="15.75" customHeight="1">
      <c r="A188" s="20" t="str">
        <f ca="1">IF(CALC2223!AX188&gt;0,INDIRECT(ADDRESS(MATCH(Agenda2526!C189,'CAL1'!A:A,0),2,4,1,"CAL1")),"")</f>
        <v/>
      </c>
      <c r="B188" s="21">
        <f ca="1">IF(CALC2223!AX188&gt;0,INDIRECT(ADDRESS(MATCH(Agenda2526!C189,'CAL1'!A:A,0),3,4,1,"CAL1")),0)</f>
        <v>0</v>
      </c>
      <c r="C188" s="20" t="str">
        <f ca="1">IF(CALC2223!AX188&gt;1,INDIRECT(ADDRESS(MATCH(Agenda2526!C189,'CAL1'!A:A,0)+1,2,4,1,"CAL1")),"")</f>
        <v/>
      </c>
      <c r="D188" s="21">
        <f ca="1">IF(CALC2223!AX188&gt;1,INDIRECT(ADDRESS(MATCH(Agenda2526!C189,'CAL1'!A:A,0)+1,3,4,1,"CAL1")),0)</f>
        <v>0</v>
      </c>
      <c r="E188" s="20" t="str">
        <f ca="1">IF(CALC2223!AX188&gt;2,INDIRECT(ADDRESS(MATCH(Agenda2526!C189,'CAL1'!A:A,0)+2,2,4,1,"CAL1")),"")</f>
        <v/>
      </c>
      <c r="F188" s="21">
        <f ca="1">IF(CALC2223!AX188&gt;2,INDIRECT(ADDRESS(MATCH(Agenda2526!C189,'CAL1'!A:A,0)+2,3,4,1,"CAL1")),0)</f>
        <v>0</v>
      </c>
      <c r="G188" s="20" t="str">
        <f ca="1">IF(CALC2223!AY188&gt;0,INDIRECT(ADDRESS(MATCH(Agenda2526!C189,'CAL2'!A:A,0),2,4,1,"CAL2")),"")</f>
        <v>Rep Wis</v>
      </c>
      <c r="H188" s="21">
        <f ca="1">IF(CALC2223!AY188&gt;0,INDIRECT(ADDRESS(MATCH(Agenda2526!C189,'CAL2'!A:A,0),3,4,1,"CAL2")),0)</f>
        <v>45903</v>
      </c>
      <c r="I188" s="20" t="str">
        <f ca="1">IF(CALC2223!AY188&gt;1,INDIRECT(ADDRESS(MATCH(Agenda2526!C189,'CAL2'!A:A,0)+1,2,4,1,"CAL2")),"")</f>
        <v/>
      </c>
      <c r="J188" s="21">
        <f ca="1">IF(CALC2223!AY188&gt;1,INDIRECT(ADDRESS(MATCH(Agenda2526!C189,'CAL2'!A:A,0)+1,3,4,1,"CAL2")),0)</f>
        <v>0</v>
      </c>
      <c r="K188" s="20" t="str">
        <f ca="1">IF(CALC2223!AY188&gt;2,INDIRECT(ADDRESS(MATCH(Agenda2526!C189,'CAL2'!A:A,0)+2,2,4,1,"CAL2")),"")</f>
        <v/>
      </c>
      <c r="L188" s="21">
        <f ca="1">IF(CALC2223!AY188&gt;2,INDIRECT(ADDRESS(MATCH(Agenda2526!C189,'CAL2'!A:A,0)+2,3,4,1,"CAL2")),0)</f>
        <v>0</v>
      </c>
      <c r="M188" s="20" t="str">
        <f ca="1">IF(CALC2223!AZ188&gt;0,INDIRECT(ADDRESS(MATCH(Agenda2526!C189,'CAL3'!A:A,0),2,4,1,"CAL3")),"")</f>
        <v/>
      </c>
      <c r="N188" s="21">
        <f ca="1">IF(CALC2223!AZ188&gt;0,INDIRECT(ADDRESS(MATCH(Agenda2526!C189,'CAL3'!A:A,0),3,4,1,"CAL3")),0)</f>
        <v>0</v>
      </c>
      <c r="O188" s="20" t="str">
        <f ca="1">IF(CALC2223!AZ188&gt;1,INDIRECT(ADDRESS(MATCH(Agenda2526!C189,'CAL3'!A:A,0)+1,2,4,1,"CAL3")),"")</f>
        <v/>
      </c>
      <c r="P188" s="21">
        <f ca="1">IF(CALC2223!AZ188&gt;1,INDIRECT(ADDRESS(MATCH(Agenda2526!C189,'CAL3'!A:A,0)+1,3,4,1,"CAL3")),0)</f>
        <v>0</v>
      </c>
      <c r="Q188" s="20" t="str">
        <f ca="1">IF(CALC2223!AZ188&gt;2,INDIRECT(ADDRESS(MATCH(Agenda2526!C189,'CAL3'!A:A,0)+2,2,4,1,"CAL3")),"")</f>
        <v/>
      </c>
      <c r="R188" s="21">
        <f ca="1">IF(CALC2223!AZ188&gt;2,INDIRECT(ADDRESS(MATCH(Agenda2526!C189,'CAL3'!A:A,0)+2,3,4,1,"CAL3")),0)</f>
        <v>0</v>
      </c>
      <c r="S188" s="20" t="str">
        <f ca="1">IF(CALC2223!BA188&gt;0,INDIRECT(ADDRESS(MATCH(Agenda2526!C189,'CAL4'!A:A,0),2,4,1,"CAL4")),"")</f>
        <v>Rep LA</v>
      </c>
      <c r="T188" s="21">
        <f ca="1">IF(CALC2223!BA188&gt;0,INDIRECT(ADDRESS(MATCH(Agenda2526!C189,'CAL4'!A:A,0),3,4,1,"CAL4")),0)</f>
        <v>45965</v>
      </c>
      <c r="U188" s="20" t="str">
        <f ca="1">IF(CALC2223!BA188&gt;1,INDIRECT(ADDRESS(MATCH(Agenda2526!C189,'CAL4'!A:A,0)+1,2,4,1,"CAL4")),"")</f>
        <v/>
      </c>
      <c r="V188" s="21">
        <f ca="1">IF(CALC2223!BA188&gt;1,INDIRECT(ADDRESS(MATCH(Agenda2526!C189,'CAL4'!A:A,0)+1,3,4,1,"CAL4")),0)</f>
        <v>0</v>
      </c>
      <c r="W188" s="20" t="str">
        <f ca="1">IF(CALC2223!BA188&gt;2,INDIRECT(ADDRESS(MATCH(Agenda2526!C189,'CAL4'!A:A,0)+2,2,4,1,"CAL4")),"")</f>
        <v/>
      </c>
      <c r="X188" s="21">
        <f ca="1">IF(CALC2223!BA188&gt;2,INDIRECT(ADDRESS(MATCH(Agenda2526!C189,'CAL4'!A:A,0)+2,3,4,1,"CAL4")),0)</f>
        <v>0</v>
      </c>
      <c r="Y188" s="20" t="str">
        <f ca="1">IF(CALC2223!BB188&gt;0,INDIRECT(ADDRESS(MATCH(Agenda2526!C189,'CAL5'!A:A,0),2,4,1,"CAL5")),"")</f>
        <v/>
      </c>
      <c r="Z188" s="21">
        <f ca="1">IF(CALC2223!BB188&gt;0,INDIRECT(ADDRESS(MATCH(Agenda2526!C189,'CAL5'!A:A,0),3,4,1,"CAL5")),0)</f>
        <v>0</v>
      </c>
      <c r="AA188" s="20" t="str">
        <f ca="1">IF(CALC2223!BB188&gt;1,INDIRECT(ADDRESS(MATCH(Agenda2526!C189,'CAL5'!A:A,0)+1,2,4,1,"CAL5")),"")</f>
        <v/>
      </c>
      <c r="AB188" s="21">
        <f ca="1">IF(CALC2223!BB188&gt;1,INDIRECT(ADDRESS(MATCH(Agenda2526!C189,'CAL5'!A:A,0)+1,3,4,1,"CAL5")),0)</f>
        <v>0</v>
      </c>
      <c r="AC188" s="20" t="str">
        <f ca="1">IF(CALC2223!BB188&gt;2,INDIRECT(ADDRESS(MATCH(Agenda2526!C189,'CAL5'!A:A,0)+2,2,4,1,"CAL5")),"")</f>
        <v/>
      </c>
      <c r="AD188" s="21">
        <f ca="1">IF(CALC2223!BB188&gt;2,INDIRECT(ADDRESS(MATCH(Agenda2526!C189,'CAL5'!A:A,0)+2,3,4,1,"CAL5")),0)</f>
        <v>0</v>
      </c>
      <c r="AE188" s="20" t="str">
        <f ca="1">IF(CALC2223!BC188&gt;0,INDIRECT(ADDRESS(MATCH(Agenda2526!C189,'CAL6'!A:A,0),2,4,1,"CAL6")),"")</f>
        <v>mondelingen</v>
      </c>
      <c r="AF188" s="21">
        <f ca="1">IF(CALC2223!BC188&gt;0,INDIRECT(ADDRESS(MATCH(Agenda2526!C189,'CAL6'!A:A,0),3,4,1,"CAL6")),0)</f>
        <v>45896</v>
      </c>
      <c r="AG188" s="20" t="str">
        <f ca="1">IF(CALC2223!BC188&gt;1,INDIRECT(ADDRESS(MATCH(Agenda2526!C189,'CAL6'!A:A,0)+1,2,4,1,"CAL6")),"")</f>
        <v/>
      </c>
      <c r="AH188" s="21">
        <f ca="1">IF(CALC2223!BC188&gt;1,INDIRECT(ADDRESS(MATCH(Agenda2526!C189,'CAL6'!A:A,0)+1,3,4,1,"CAL6")),0)</f>
        <v>0</v>
      </c>
      <c r="AI188" s="20" t="str">
        <f ca="1">IF(CALC2223!BC188&gt;2,INDIRECT(ADDRESS(MATCH(Agenda2526!C189,'CAL6'!A:A,0)+2,2,4,1,"CAL6")),"")</f>
        <v/>
      </c>
      <c r="AJ188" s="21">
        <f ca="1">IF(CALC2223!BC188&gt;2,INDIRECT(ADDRESS(MATCH(Agenda2526!C189,'CAL6'!A:A,0)+2,3,4,1,"CAL6")),0)</f>
        <v>0</v>
      </c>
      <c r="AK188" s="20" t="str">
        <f ca="1">IF(CALC2223!BD188&gt;0,INDIRECT(ADDRESS(MATCH(Agenda2526!C189,'CAL7'!A:A,0),2,4,1,"CAL7")),"")</f>
        <v/>
      </c>
      <c r="AL188" s="21">
        <f ca="1">IF(CALC2223!BD188&gt;0,INDIRECT(ADDRESS(MATCH(Agenda2526!C189,'CAL7'!A:A,0),3,4,1,"CAL7")),0)</f>
        <v>0</v>
      </c>
      <c r="AM188" s="20" t="str">
        <f ca="1">IF(CALC2223!BD188&gt;1,INDIRECT(ADDRESS(MATCH(Agenda2526!C189,'CAL7'!A:A,0)+1,2,4,1,"CAL7")),"")</f>
        <v/>
      </c>
      <c r="AN188" s="21">
        <f ca="1">IF(CALC2223!BD188&gt;1,INDIRECT(ADDRESS(MATCH(Agenda2526!C189,'CAL7'!A:A,0)+1,3,4,1,"CAL7")),0)</f>
        <v>0</v>
      </c>
      <c r="AO188" s="20" t="str">
        <f ca="1">IF(CALC2223!BD188&gt;2,INDIRECT(ADDRESS(MATCH(Agenda2526!C189,'CAL7'!A:A,0)+2,2,4,1,"CAL7")),"")</f>
        <v/>
      </c>
      <c r="AP188" s="21">
        <f ca="1">IF(CALC2223!BD188&gt;2,INDIRECT(ADDRESS(MATCH(Agenda2526!C189,'CAL7'!A:A,0)+2,3,4,1,"CAL7")),0)</f>
        <v>0</v>
      </c>
      <c r="AQ188" s="20" t="str">
        <f ca="1">IF(CALC2223!BE188&gt;0,INDIRECT(ADDRESS(MATCH(Agenda2526!C189,'CAL8'!A:A,0),2,4,1,"CAL8")),"")</f>
        <v/>
      </c>
      <c r="AR188" s="21">
        <f ca="1">IF(CALC2223!BE188&gt;0,INDIRECT(ADDRESS(MATCH(Agenda2526!C189,'CAL8'!A:A,0),3,4,1,"CAL8")),0)</f>
        <v>0</v>
      </c>
      <c r="AS188" s="20" t="str">
        <f ca="1">IF(CALC2223!BE188&gt;1,INDIRECT(ADDRESS(MATCH(Agenda2526!C189,'CAL8'!A:A,0)+1,2,4,1,"CAL8")),"")</f>
        <v/>
      </c>
      <c r="AT188" s="21">
        <f ca="1">IF(CALC2223!BE188&gt;1,INDIRECT(ADDRESS(MATCH(Agenda2526!C189,'CAL8'!A:A,0)+1,3,4,1,"CAL8")),0)</f>
        <v>0</v>
      </c>
      <c r="AU188" s="20" t="str">
        <f ca="1">IF(CALC2223!BE188&gt;2,INDIRECT(ADDRESS(MATCH(Agenda2526!C189,'CAL8'!A:A,0)+2,2,4,1,"CAL8")),"")</f>
        <v/>
      </c>
      <c r="AV188" s="21">
        <f ca="1">IF(CALC2223!BE188&gt;2,INDIRECT(ADDRESS(MATCH(Agenda2526!C189,'CAL8'!A:A,0)+2,3,4,1,"CAL8")),0)</f>
        <v>0</v>
      </c>
      <c r="AW188" s="105"/>
      <c r="AX188" s="20">
        <f>COUNTIF('CAL1'!A:A,Agenda2526!C189)</f>
        <v>0</v>
      </c>
      <c r="AY188" s="20">
        <f>COUNTIF('CAL2'!A:A,Agenda2526!C189)</f>
        <v>1</v>
      </c>
      <c r="AZ188" s="20">
        <f>COUNTIF('CAL3'!A:A,Agenda2526!C189)</f>
        <v>0</v>
      </c>
      <c r="BA188" s="20">
        <f>COUNTIF('CAL4'!A:A,Agenda2526!C189)</f>
        <v>1</v>
      </c>
      <c r="BB188" s="20">
        <f>COUNTIF('CAL5'!A:A,Agenda2526!C189)</f>
        <v>0</v>
      </c>
      <c r="BC188" s="20">
        <f>COUNTIF('CAL6'!A:A,Agenda2526!C189)</f>
        <v>1</v>
      </c>
      <c r="BD188" s="20">
        <f>COUNTIF('CAL7'!A:A,Agenda2526!C189)</f>
        <v>0</v>
      </c>
      <c r="BE188" s="20">
        <f>COUNTIF('CAL8'!A:A,Agenda2526!C189)</f>
        <v>0</v>
      </c>
    </row>
    <row r="189" spans="1:57" ht="15.75" customHeight="1">
      <c r="A189" s="20" t="str">
        <f ca="1">IF(CALC2223!AX189&gt;0,INDIRECT(ADDRESS(MATCH(Agenda2526!C190,'CAL1'!A:A,0),2,4,1,"CAL1")),"")</f>
        <v/>
      </c>
      <c r="B189" s="21">
        <f ca="1">IF(CALC2223!AX189&gt;0,INDIRECT(ADDRESS(MATCH(Agenda2526!C190,'CAL1'!A:A,0),3,4,1,"CAL1")),0)</f>
        <v>0</v>
      </c>
      <c r="C189" s="20" t="str">
        <f ca="1">IF(CALC2223!AX189&gt;1,INDIRECT(ADDRESS(MATCH(Agenda2526!C190,'CAL1'!A:A,0)+1,2,4,1,"CAL1")),"")</f>
        <v/>
      </c>
      <c r="D189" s="21">
        <f ca="1">IF(CALC2223!AX189&gt;1,INDIRECT(ADDRESS(MATCH(Agenda2526!C190,'CAL1'!A:A,0)+1,3,4,1,"CAL1")),0)</f>
        <v>0</v>
      </c>
      <c r="E189" s="20" t="str">
        <f ca="1">IF(CALC2223!AX189&gt;2,INDIRECT(ADDRESS(MATCH(Agenda2526!C190,'CAL1'!A:A,0)+2,2,4,1,"CAL1")),"")</f>
        <v/>
      </c>
      <c r="F189" s="21">
        <f ca="1">IF(CALC2223!AX189&gt;2,INDIRECT(ADDRESS(MATCH(Agenda2526!C190,'CAL1'!A:A,0)+2,3,4,1,"CAL1")),0)</f>
        <v>0</v>
      </c>
      <c r="G189" s="20" t="str">
        <f ca="1">IF(CALC2223!AY189&gt;0,INDIRECT(ADDRESS(MATCH(Agenda2526!C190,'CAL2'!A:A,0),2,4,1,"CAL2")),"")</f>
        <v/>
      </c>
      <c r="H189" s="21">
        <f ca="1">IF(CALC2223!AY189&gt;0,INDIRECT(ADDRESS(MATCH(Agenda2526!C190,'CAL2'!A:A,0),3,4,1,"CAL2")),0)</f>
        <v>0</v>
      </c>
      <c r="I189" s="20" t="str">
        <f ca="1">IF(CALC2223!AY189&gt;1,INDIRECT(ADDRESS(MATCH(Agenda2526!C190,'CAL2'!A:A,0)+1,2,4,1,"CAL2")),"")</f>
        <v/>
      </c>
      <c r="J189" s="21">
        <f ca="1">IF(CALC2223!AY189&gt;1,INDIRECT(ADDRESS(MATCH(Agenda2526!C190,'CAL2'!A:A,0)+1,3,4,1,"CAL2")),0)</f>
        <v>0</v>
      </c>
      <c r="K189" s="20" t="str">
        <f ca="1">IF(CALC2223!AY189&gt;2,INDIRECT(ADDRESS(MATCH(Agenda2526!C190,'CAL2'!A:A,0)+2,2,4,1,"CAL2")),"")</f>
        <v/>
      </c>
      <c r="L189" s="21">
        <f ca="1">IF(CALC2223!AY189&gt;2,INDIRECT(ADDRESS(MATCH(Agenda2526!C190,'CAL2'!A:A,0)+2,3,4,1,"CAL2")),0)</f>
        <v>0</v>
      </c>
      <c r="M189" s="20" t="str">
        <f ca="1">IF(CALC2223!AZ189&gt;0,INDIRECT(ADDRESS(MATCH(Agenda2526!C190,'CAL3'!A:A,0),2,4,1,"CAL3")),"")</f>
        <v/>
      </c>
      <c r="N189" s="21">
        <f ca="1">IF(CALC2223!AZ189&gt;0,INDIRECT(ADDRESS(MATCH(Agenda2526!C190,'CAL3'!A:A,0),3,4,1,"CAL3")),0)</f>
        <v>0</v>
      </c>
      <c r="O189" s="20" t="str">
        <f ca="1">IF(CALC2223!AZ189&gt;1,INDIRECT(ADDRESS(MATCH(Agenda2526!C190,'CAL3'!A:A,0)+1,2,4,1,"CAL3")),"")</f>
        <v/>
      </c>
      <c r="P189" s="21">
        <f ca="1">IF(CALC2223!AZ189&gt;1,INDIRECT(ADDRESS(MATCH(Agenda2526!C190,'CAL3'!A:A,0)+1,3,4,1,"CAL3")),0)</f>
        <v>0</v>
      </c>
      <c r="Q189" s="20" t="str">
        <f ca="1">IF(CALC2223!AZ189&gt;2,INDIRECT(ADDRESS(MATCH(Agenda2526!C190,'CAL3'!A:A,0)+2,2,4,1,"CAL3")),"")</f>
        <v/>
      </c>
      <c r="R189" s="21">
        <f ca="1">IF(CALC2223!AZ189&gt;2,INDIRECT(ADDRESS(MATCH(Agenda2526!C190,'CAL3'!A:A,0)+2,3,4,1,"CAL3")),0)</f>
        <v>0</v>
      </c>
      <c r="S189" s="20" t="str">
        <f ca="1">IF(CALC2223!BA189&gt;0,INDIRECT(ADDRESS(MATCH(Agenda2526!C190,'CAL4'!A:A,0),2,4,1,"CAL4")),"")</f>
        <v/>
      </c>
      <c r="T189" s="21">
        <f ca="1">IF(CALC2223!BA189&gt;0,INDIRECT(ADDRESS(MATCH(Agenda2526!C190,'CAL4'!A:A,0),3,4,1,"CAL4")),0)</f>
        <v>0</v>
      </c>
      <c r="U189" s="20" t="str">
        <f ca="1">IF(CALC2223!BA189&gt;1,INDIRECT(ADDRESS(MATCH(Agenda2526!C190,'CAL4'!A:A,0)+1,2,4,1,"CAL4")),"")</f>
        <v/>
      </c>
      <c r="V189" s="21">
        <f ca="1">IF(CALC2223!BA189&gt;1,INDIRECT(ADDRESS(MATCH(Agenda2526!C190,'CAL4'!A:A,0)+1,3,4,1,"CAL4")),0)</f>
        <v>0</v>
      </c>
      <c r="W189" s="20" t="str">
        <f ca="1">IF(CALC2223!BA189&gt;2,INDIRECT(ADDRESS(MATCH(Agenda2526!C190,'CAL4'!A:A,0)+2,2,4,1,"CAL4")),"")</f>
        <v/>
      </c>
      <c r="X189" s="21">
        <f ca="1">IF(CALC2223!BA189&gt;2,INDIRECT(ADDRESS(MATCH(Agenda2526!C190,'CAL4'!A:A,0)+2,3,4,1,"CAL4")),0)</f>
        <v>0</v>
      </c>
      <c r="Y189" s="20" t="str">
        <f ca="1">IF(CALC2223!BB189&gt;0,INDIRECT(ADDRESS(MATCH(Agenda2526!C190,'CAL5'!A:A,0),2,4,1,"CAL5")),"")</f>
        <v/>
      </c>
      <c r="Z189" s="21">
        <f ca="1">IF(CALC2223!BB189&gt;0,INDIRECT(ADDRESS(MATCH(Agenda2526!C190,'CAL5'!A:A,0),3,4,1,"CAL5")),0)</f>
        <v>0</v>
      </c>
      <c r="AA189" s="20" t="str">
        <f ca="1">IF(CALC2223!BB189&gt;1,INDIRECT(ADDRESS(MATCH(Agenda2526!C190,'CAL5'!A:A,0)+1,2,4,1,"CAL5")),"")</f>
        <v/>
      </c>
      <c r="AB189" s="21">
        <f ca="1">IF(CALC2223!BB189&gt;1,INDIRECT(ADDRESS(MATCH(Agenda2526!C190,'CAL5'!A:A,0)+1,3,4,1,"CAL5")),0)</f>
        <v>0</v>
      </c>
      <c r="AC189" s="20" t="str">
        <f ca="1">IF(CALC2223!BB189&gt;2,INDIRECT(ADDRESS(MATCH(Agenda2526!C190,'CAL5'!A:A,0)+2,2,4,1,"CAL5")),"")</f>
        <v/>
      </c>
      <c r="AD189" s="21">
        <f ca="1">IF(CALC2223!BB189&gt;2,INDIRECT(ADDRESS(MATCH(Agenda2526!C190,'CAL5'!A:A,0)+2,3,4,1,"CAL5")),0)</f>
        <v>0</v>
      </c>
      <c r="AE189" s="20" t="str">
        <f ca="1">IF(CALC2223!BC189&gt;0,INDIRECT(ADDRESS(MATCH(Agenda2526!C190,'CAL6'!A:A,0),2,4,1,"CAL6")),"")</f>
        <v/>
      </c>
      <c r="AF189" s="21">
        <f ca="1">IF(CALC2223!BC189&gt;0,INDIRECT(ADDRESS(MATCH(Agenda2526!C190,'CAL6'!A:A,0),3,4,1,"CAL6")),0)</f>
        <v>0</v>
      </c>
      <c r="AG189" s="20" t="str">
        <f ca="1">IF(CALC2223!BC189&gt;1,INDIRECT(ADDRESS(MATCH(Agenda2526!C190,'CAL6'!A:A,0)+1,2,4,1,"CAL6")),"")</f>
        <v/>
      </c>
      <c r="AH189" s="21">
        <f ca="1">IF(CALC2223!BC189&gt;1,INDIRECT(ADDRESS(MATCH(Agenda2526!C190,'CAL6'!A:A,0)+1,3,4,1,"CAL6")),0)</f>
        <v>0</v>
      </c>
      <c r="AI189" s="20" t="str">
        <f ca="1">IF(CALC2223!BC189&gt;2,INDIRECT(ADDRESS(MATCH(Agenda2526!C190,'CAL6'!A:A,0)+2,2,4,1,"CAL6")),"")</f>
        <v/>
      </c>
      <c r="AJ189" s="21">
        <f ca="1">IF(CALC2223!BC189&gt;2,INDIRECT(ADDRESS(MATCH(Agenda2526!C190,'CAL6'!A:A,0)+2,3,4,1,"CAL6")),0)</f>
        <v>0</v>
      </c>
      <c r="AK189" s="20" t="str">
        <f ca="1">IF(CALC2223!BD189&gt;0,INDIRECT(ADDRESS(MATCH(Agenda2526!C190,'CAL7'!A:A,0),2,4,1,"CAL7")),"")</f>
        <v/>
      </c>
      <c r="AL189" s="21">
        <f ca="1">IF(CALC2223!BD189&gt;0,INDIRECT(ADDRESS(MATCH(Agenda2526!C190,'CAL7'!A:A,0),3,4,1,"CAL7")),0)</f>
        <v>0</v>
      </c>
      <c r="AM189" s="20" t="str">
        <f ca="1">IF(CALC2223!BD189&gt;1,INDIRECT(ADDRESS(MATCH(Agenda2526!C190,'CAL7'!A:A,0)+1,2,4,1,"CAL7")),"")</f>
        <v/>
      </c>
      <c r="AN189" s="21">
        <f ca="1">IF(CALC2223!BD189&gt;1,INDIRECT(ADDRESS(MATCH(Agenda2526!C190,'CAL7'!A:A,0)+1,3,4,1,"CAL7")),0)</f>
        <v>0</v>
      </c>
      <c r="AO189" s="20" t="str">
        <f ca="1">IF(CALC2223!BD189&gt;2,INDIRECT(ADDRESS(MATCH(Agenda2526!C190,'CAL7'!A:A,0)+2,2,4,1,"CAL7")),"")</f>
        <v/>
      </c>
      <c r="AP189" s="21">
        <f ca="1">IF(CALC2223!BD189&gt;2,INDIRECT(ADDRESS(MATCH(Agenda2526!C190,'CAL7'!A:A,0)+2,3,4,1,"CAL7")),0)</f>
        <v>0</v>
      </c>
      <c r="AQ189" s="20" t="str">
        <f ca="1">IF(CALC2223!BE189&gt;0,INDIRECT(ADDRESS(MATCH(Agenda2526!C190,'CAL8'!A:A,0),2,4,1,"CAL8")),"")</f>
        <v/>
      </c>
      <c r="AR189" s="21">
        <f ca="1">IF(CALC2223!BE189&gt;0,INDIRECT(ADDRESS(MATCH(Agenda2526!C190,'CAL8'!A:A,0),3,4,1,"CAL8")),0)</f>
        <v>0</v>
      </c>
      <c r="AS189" s="20" t="str">
        <f ca="1">IF(CALC2223!BE189&gt;1,INDIRECT(ADDRESS(MATCH(Agenda2526!C190,'CAL8'!A:A,0)+1,2,4,1,"CAL8")),"")</f>
        <v/>
      </c>
      <c r="AT189" s="21">
        <f ca="1">IF(CALC2223!BE189&gt;1,INDIRECT(ADDRESS(MATCH(Agenda2526!C190,'CAL8'!A:A,0)+1,3,4,1,"CAL8")),0)</f>
        <v>0</v>
      </c>
      <c r="AU189" s="20" t="str">
        <f ca="1">IF(CALC2223!BE189&gt;2,INDIRECT(ADDRESS(MATCH(Agenda2526!C190,'CAL8'!A:A,0)+2,2,4,1,"CAL8")),"")</f>
        <v/>
      </c>
      <c r="AV189" s="21">
        <f ca="1">IF(CALC2223!BE189&gt;2,INDIRECT(ADDRESS(MATCH(Agenda2526!C190,'CAL8'!A:A,0)+2,3,4,1,"CAL8")),0)</f>
        <v>0</v>
      </c>
      <c r="AW189" s="106"/>
      <c r="AX189" s="20">
        <f>COUNTIF('CAL1'!A:A,Agenda2526!C190)</f>
        <v>0</v>
      </c>
      <c r="AY189" s="20">
        <f>COUNTIF('CAL2'!A:A,Agenda2526!C190)</f>
        <v>0</v>
      </c>
      <c r="AZ189" s="20">
        <f>COUNTIF('CAL3'!A:A,Agenda2526!C190)</f>
        <v>0</v>
      </c>
      <c r="BA189" s="20">
        <f>COUNTIF('CAL4'!A:A,Agenda2526!C190)</f>
        <v>0</v>
      </c>
      <c r="BB189" s="20">
        <f>COUNTIF('CAL5'!A:A,Agenda2526!C190)</f>
        <v>0</v>
      </c>
      <c r="BC189" s="20">
        <f>COUNTIF('CAL6'!A:A,Agenda2526!C190)</f>
        <v>0</v>
      </c>
      <c r="BD189" s="20">
        <f>COUNTIF('CAL7'!A:A,Agenda2526!C190)</f>
        <v>0</v>
      </c>
      <c r="BE189" s="20">
        <f>COUNTIF('CAL8'!A:A,Agenda2526!C190)</f>
        <v>0</v>
      </c>
    </row>
    <row r="190" spans="1:57" ht="15.75" customHeight="1">
      <c r="A190" s="20" t="str">
        <f ca="1">IF(CALC2223!AX190&gt;0,INDIRECT(ADDRESS(MATCH(Agenda2526!C191,'CAL1'!A:A,0),2,4,1,"CAL1")),"")</f>
        <v/>
      </c>
      <c r="B190" s="21">
        <f ca="1">IF(CALC2223!AX190&gt;0,INDIRECT(ADDRESS(MATCH(Agenda2526!C191,'CAL1'!A:A,0),3,4,1,"CAL1")),0)</f>
        <v>0</v>
      </c>
      <c r="C190" s="20" t="str">
        <f ca="1">IF(CALC2223!AX190&gt;1,INDIRECT(ADDRESS(MATCH(Agenda2526!C191,'CAL1'!A:A,0)+1,2,4,1,"CAL1")),"")</f>
        <v/>
      </c>
      <c r="D190" s="21">
        <f ca="1">IF(CALC2223!AX190&gt;1,INDIRECT(ADDRESS(MATCH(Agenda2526!C191,'CAL1'!A:A,0)+1,3,4,1,"CAL1")),0)</f>
        <v>0</v>
      </c>
      <c r="E190" s="20" t="str">
        <f ca="1">IF(CALC2223!AX190&gt;2,INDIRECT(ADDRESS(MATCH(Agenda2526!C191,'CAL1'!A:A,0)+2,2,4,1,"CAL1")),"")</f>
        <v/>
      </c>
      <c r="F190" s="21">
        <f ca="1">IF(CALC2223!AX190&gt;2,INDIRECT(ADDRESS(MATCH(Agenda2526!C191,'CAL1'!A:A,0)+2,3,4,1,"CAL1")),0)</f>
        <v>0</v>
      </c>
      <c r="G190" s="20" t="str">
        <f ca="1">IF(CALC2223!AY190&gt;0,INDIRECT(ADDRESS(MATCH(Agenda2526!C191,'CAL2'!A:A,0),2,4,1,"CAL2")),"")</f>
        <v/>
      </c>
      <c r="H190" s="21">
        <f ca="1">IF(CALC2223!AY190&gt;0,INDIRECT(ADDRESS(MATCH(Agenda2526!C191,'CAL2'!A:A,0),3,4,1,"CAL2")),0)</f>
        <v>0</v>
      </c>
      <c r="I190" s="20" t="str">
        <f ca="1">IF(CALC2223!AY190&gt;1,INDIRECT(ADDRESS(MATCH(Agenda2526!C191,'CAL2'!A:A,0)+1,2,4,1,"CAL2")),"")</f>
        <v/>
      </c>
      <c r="J190" s="21">
        <f ca="1">IF(CALC2223!AY190&gt;1,INDIRECT(ADDRESS(MATCH(Agenda2526!C191,'CAL2'!A:A,0)+1,3,4,1,"CAL2")),0)</f>
        <v>0</v>
      </c>
      <c r="K190" s="20" t="str">
        <f ca="1">IF(CALC2223!AY190&gt;2,INDIRECT(ADDRESS(MATCH(Agenda2526!C191,'CAL2'!A:A,0)+2,2,4,1,"CAL2")),"")</f>
        <v/>
      </c>
      <c r="L190" s="21">
        <f ca="1">IF(CALC2223!AY190&gt;2,INDIRECT(ADDRESS(MATCH(Agenda2526!C191,'CAL2'!A:A,0)+2,3,4,1,"CAL2")),0)</f>
        <v>0</v>
      </c>
      <c r="M190" s="20" t="str">
        <f ca="1">IF(CALC2223!AZ190&gt;0,INDIRECT(ADDRESS(MATCH(Agenda2526!C191,'CAL3'!A:A,0),2,4,1,"CAL3")),"")</f>
        <v/>
      </c>
      <c r="N190" s="21">
        <f ca="1">IF(CALC2223!AZ190&gt;0,INDIRECT(ADDRESS(MATCH(Agenda2526!C191,'CAL3'!A:A,0),3,4,1,"CAL3")),0)</f>
        <v>0</v>
      </c>
      <c r="O190" s="20" t="str">
        <f ca="1">IF(CALC2223!AZ190&gt;1,INDIRECT(ADDRESS(MATCH(Agenda2526!C191,'CAL3'!A:A,0)+1,2,4,1,"CAL3")),"")</f>
        <v/>
      </c>
      <c r="P190" s="21">
        <f ca="1">IF(CALC2223!AZ190&gt;1,INDIRECT(ADDRESS(MATCH(Agenda2526!C191,'CAL3'!A:A,0)+1,3,4,1,"CAL3")),0)</f>
        <v>0</v>
      </c>
      <c r="Q190" s="20" t="str">
        <f ca="1">IF(CALC2223!AZ190&gt;2,INDIRECT(ADDRESS(MATCH(Agenda2526!C191,'CAL3'!A:A,0)+2,2,4,1,"CAL3")),"")</f>
        <v/>
      </c>
      <c r="R190" s="21">
        <f ca="1">IF(CALC2223!AZ190&gt;2,INDIRECT(ADDRESS(MATCH(Agenda2526!C191,'CAL3'!A:A,0)+2,3,4,1,"CAL3")),0)</f>
        <v>0</v>
      </c>
      <c r="S190" s="20" t="str">
        <f ca="1">IF(CALC2223!BA190&gt;0,INDIRECT(ADDRESS(MATCH(Agenda2526!C191,'CAL4'!A:A,0),2,4,1,"CAL4")),"")</f>
        <v/>
      </c>
      <c r="T190" s="21">
        <f ca="1">IF(CALC2223!BA190&gt;0,INDIRECT(ADDRESS(MATCH(Agenda2526!C191,'CAL4'!A:A,0),3,4,1,"CAL4")),0)</f>
        <v>0</v>
      </c>
      <c r="U190" s="20" t="str">
        <f ca="1">IF(CALC2223!BA190&gt;1,INDIRECT(ADDRESS(MATCH(Agenda2526!C191,'CAL4'!A:A,0)+1,2,4,1,"CAL4")),"")</f>
        <v/>
      </c>
      <c r="V190" s="21">
        <f ca="1">IF(CALC2223!BA190&gt;1,INDIRECT(ADDRESS(MATCH(Agenda2526!C191,'CAL4'!A:A,0)+1,3,4,1,"CAL4")),0)</f>
        <v>0</v>
      </c>
      <c r="W190" s="20" t="str">
        <f ca="1">IF(CALC2223!BA190&gt;2,INDIRECT(ADDRESS(MATCH(Agenda2526!C191,'CAL4'!A:A,0)+2,2,4,1,"CAL4")),"")</f>
        <v/>
      </c>
      <c r="X190" s="21">
        <f ca="1">IF(CALC2223!BA190&gt;2,INDIRECT(ADDRESS(MATCH(Agenda2526!C191,'CAL4'!A:A,0)+2,3,4,1,"CAL4")),0)</f>
        <v>0</v>
      </c>
      <c r="Y190" s="20" t="str">
        <f ca="1">IF(CALC2223!BB190&gt;0,INDIRECT(ADDRESS(MATCH(Agenda2526!C191,'CAL5'!A:A,0),2,4,1,"CAL5")),"")</f>
        <v/>
      </c>
      <c r="Z190" s="21">
        <f ca="1">IF(CALC2223!BB190&gt;0,INDIRECT(ADDRESS(MATCH(Agenda2526!C191,'CAL5'!A:A,0),3,4,1,"CAL5")),0)</f>
        <v>0</v>
      </c>
      <c r="AA190" s="20" t="str">
        <f ca="1">IF(CALC2223!BB190&gt;1,INDIRECT(ADDRESS(MATCH(Agenda2526!C191,'CAL5'!A:A,0)+1,2,4,1,"CAL5")),"")</f>
        <v/>
      </c>
      <c r="AB190" s="21">
        <f ca="1">IF(CALC2223!BB190&gt;1,INDIRECT(ADDRESS(MATCH(Agenda2526!C191,'CAL5'!A:A,0)+1,3,4,1,"CAL5")),0)</f>
        <v>0</v>
      </c>
      <c r="AC190" s="20" t="str">
        <f ca="1">IF(CALC2223!BB190&gt;2,INDIRECT(ADDRESS(MATCH(Agenda2526!C191,'CAL5'!A:A,0)+2,2,4,1,"CAL5")),"")</f>
        <v/>
      </c>
      <c r="AD190" s="21">
        <f ca="1">IF(CALC2223!BB190&gt;2,INDIRECT(ADDRESS(MATCH(Agenda2526!C191,'CAL5'!A:A,0)+2,3,4,1,"CAL5")),0)</f>
        <v>0</v>
      </c>
      <c r="AE190" s="20" t="str">
        <f ca="1">IF(CALC2223!BC190&gt;0,INDIRECT(ADDRESS(MATCH(Agenda2526!C191,'CAL6'!A:A,0),2,4,1,"CAL6")),"")</f>
        <v/>
      </c>
      <c r="AF190" s="21">
        <f ca="1">IF(CALC2223!BC190&gt;0,INDIRECT(ADDRESS(MATCH(Agenda2526!C191,'CAL6'!A:A,0),3,4,1,"CAL6")),0)</f>
        <v>0</v>
      </c>
      <c r="AG190" s="20" t="str">
        <f ca="1">IF(CALC2223!BC190&gt;1,INDIRECT(ADDRESS(MATCH(Agenda2526!C191,'CAL6'!A:A,0)+1,2,4,1,"CAL6")),"")</f>
        <v/>
      </c>
      <c r="AH190" s="21">
        <f ca="1">IF(CALC2223!BC190&gt;1,INDIRECT(ADDRESS(MATCH(Agenda2526!C191,'CAL6'!A:A,0)+1,3,4,1,"CAL6")),0)</f>
        <v>0</v>
      </c>
      <c r="AI190" s="20" t="str">
        <f ca="1">IF(CALC2223!BC190&gt;2,INDIRECT(ADDRESS(MATCH(Agenda2526!C191,'CAL6'!A:A,0)+2,2,4,1,"CAL6")),"")</f>
        <v/>
      </c>
      <c r="AJ190" s="21">
        <f ca="1">IF(CALC2223!BC190&gt;2,INDIRECT(ADDRESS(MATCH(Agenda2526!C191,'CAL6'!A:A,0)+2,3,4,1,"CAL6")),0)</f>
        <v>0</v>
      </c>
      <c r="AK190" s="20" t="str">
        <f ca="1">IF(CALC2223!BD190&gt;0,INDIRECT(ADDRESS(MATCH(Agenda2526!C191,'CAL7'!A:A,0),2,4,1,"CAL7")),"")</f>
        <v/>
      </c>
      <c r="AL190" s="21">
        <f ca="1">IF(CALC2223!BD190&gt;0,INDIRECT(ADDRESS(MATCH(Agenda2526!C191,'CAL7'!A:A,0),3,4,1,"CAL7")),0)</f>
        <v>0</v>
      </c>
      <c r="AM190" s="20" t="str">
        <f ca="1">IF(CALC2223!BD190&gt;1,INDIRECT(ADDRESS(MATCH(Agenda2526!C191,'CAL7'!A:A,0)+1,2,4,1,"CAL7")),"")</f>
        <v/>
      </c>
      <c r="AN190" s="21">
        <f ca="1">IF(CALC2223!BD190&gt;1,INDIRECT(ADDRESS(MATCH(Agenda2526!C191,'CAL7'!A:A,0)+1,3,4,1,"CAL7")),0)</f>
        <v>0</v>
      </c>
      <c r="AO190" s="20" t="str">
        <f ca="1">IF(CALC2223!BD190&gt;2,INDIRECT(ADDRESS(MATCH(Agenda2526!C191,'CAL7'!A:A,0)+2,2,4,1,"CAL7")),"")</f>
        <v/>
      </c>
      <c r="AP190" s="21">
        <f ca="1">IF(CALC2223!BD190&gt;2,INDIRECT(ADDRESS(MATCH(Agenda2526!C191,'CAL7'!A:A,0)+2,3,4,1,"CAL7")),0)</f>
        <v>0</v>
      </c>
      <c r="AQ190" s="20" t="str">
        <f ca="1">IF(CALC2223!BE190&gt;0,INDIRECT(ADDRESS(MATCH(Agenda2526!C191,'CAL8'!A:A,0),2,4,1,"CAL8")),"")</f>
        <v/>
      </c>
      <c r="AR190" s="21">
        <f ca="1">IF(CALC2223!BE190&gt;0,INDIRECT(ADDRESS(MATCH(Agenda2526!C191,'CAL8'!A:A,0),3,4,1,"CAL8")),0)</f>
        <v>0</v>
      </c>
      <c r="AS190" s="20" t="str">
        <f ca="1">IF(CALC2223!BE190&gt;1,INDIRECT(ADDRESS(MATCH(Agenda2526!C191,'CAL8'!A:A,0)+1,2,4,1,"CAL8")),"")</f>
        <v/>
      </c>
      <c r="AT190" s="21">
        <f ca="1">IF(CALC2223!BE190&gt;1,INDIRECT(ADDRESS(MATCH(Agenda2526!C191,'CAL8'!A:A,0)+1,3,4,1,"CAL8")),0)</f>
        <v>0</v>
      </c>
      <c r="AU190" s="20" t="str">
        <f ca="1">IF(CALC2223!BE190&gt;2,INDIRECT(ADDRESS(MATCH(Agenda2526!C191,'CAL8'!A:A,0)+2,2,4,1,"CAL8")),"")</f>
        <v/>
      </c>
      <c r="AV190" s="21">
        <f ca="1">IF(CALC2223!BE190&gt;2,INDIRECT(ADDRESS(MATCH(Agenda2526!C191,'CAL8'!A:A,0)+2,3,4,1,"CAL8")),0)</f>
        <v>0</v>
      </c>
      <c r="AW190" s="106"/>
      <c r="AX190" s="20">
        <f>COUNTIF('CAL1'!A:A,Agenda2526!C191)</f>
        <v>0</v>
      </c>
      <c r="AY190" s="20">
        <f>COUNTIF('CAL2'!A:A,Agenda2526!C191)</f>
        <v>0</v>
      </c>
      <c r="AZ190" s="20">
        <f>COUNTIF('CAL3'!A:A,Agenda2526!C191)</f>
        <v>0</v>
      </c>
      <c r="BA190" s="20">
        <f>COUNTIF('CAL4'!A:A,Agenda2526!C191)</f>
        <v>0</v>
      </c>
      <c r="BB190" s="20">
        <f>COUNTIF('CAL5'!A:A,Agenda2526!C191)</f>
        <v>0</v>
      </c>
      <c r="BC190" s="20">
        <f>COUNTIF('CAL6'!A:A,Agenda2526!C191)</f>
        <v>0</v>
      </c>
      <c r="BD190" s="20">
        <f>COUNTIF('CAL7'!A:A,Agenda2526!C191)</f>
        <v>0</v>
      </c>
      <c r="BE190" s="20">
        <f>COUNTIF('CAL8'!A:A,Agenda2526!C191)</f>
        <v>0</v>
      </c>
    </row>
    <row r="191" spans="1:57" ht="15.75" customHeight="1">
      <c r="A191" s="20" t="str">
        <f ca="1">IF(CALC2223!AX191&gt;0,INDIRECT(ADDRESS(MATCH(Agenda2526!C192,'CAL1'!A:A,0),2,4,1,"CAL1")),"")</f>
        <v/>
      </c>
      <c r="B191" s="21">
        <f ca="1">IF(CALC2223!AX191&gt;0,INDIRECT(ADDRESS(MATCH(Agenda2526!C192,'CAL1'!A:A,0),3,4,1,"CAL1")),0)</f>
        <v>0</v>
      </c>
      <c r="C191" s="20" t="str">
        <f ca="1">IF(CALC2223!AX191&gt;1,INDIRECT(ADDRESS(MATCH(Agenda2526!C192,'CAL1'!A:A,0)+1,2,4,1,"CAL1")),"")</f>
        <v/>
      </c>
      <c r="D191" s="21">
        <f ca="1">IF(CALC2223!AX191&gt;1,INDIRECT(ADDRESS(MATCH(Agenda2526!C192,'CAL1'!A:A,0)+1,3,4,1,"CAL1")),0)</f>
        <v>0</v>
      </c>
      <c r="E191" s="20" t="str">
        <f ca="1">IF(CALC2223!AX191&gt;2,INDIRECT(ADDRESS(MATCH(Agenda2526!C192,'CAL1'!A:A,0)+2,2,4,1,"CAL1")),"")</f>
        <v/>
      </c>
      <c r="F191" s="21">
        <f ca="1">IF(CALC2223!AX191&gt;2,INDIRECT(ADDRESS(MATCH(Agenda2526!C192,'CAL1'!A:A,0)+2,3,4,1,"CAL1")),0)</f>
        <v>0</v>
      </c>
      <c r="G191" s="20" t="str">
        <f ca="1">IF(CALC2223!AY191&gt;0,INDIRECT(ADDRESS(MATCH(Agenda2526!C192,'CAL2'!A:A,0),2,4,1,"CAL2")),"")</f>
        <v/>
      </c>
      <c r="H191" s="21">
        <f ca="1">IF(CALC2223!AY191&gt;0,INDIRECT(ADDRESS(MATCH(Agenda2526!C192,'CAL2'!A:A,0),3,4,1,"CAL2")),0)</f>
        <v>0</v>
      </c>
      <c r="I191" s="20" t="str">
        <f ca="1">IF(CALC2223!AY191&gt;1,INDIRECT(ADDRESS(MATCH(Agenda2526!C192,'CAL2'!A:A,0)+1,2,4,1,"CAL2")),"")</f>
        <v/>
      </c>
      <c r="J191" s="21">
        <f ca="1">IF(CALC2223!AY191&gt;1,INDIRECT(ADDRESS(MATCH(Agenda2526!C192,'CAL2'!A:A,0)+1,3,4,1,"CAL2")),0)</f>
        <v>0</v>
      </c>
      <c r="K191" s="20" t="str">
        <f ca="1">IF(CALC2223!AY191&gt;2,INDIRECT(ADDRESS(MATCH(Agenda2526!C192,'CAL2'!A:A,0)+2,2,4,1,"CAL2")),"")</f>
        <v/>
      </c>
      <c r="L191" s="21">
        <f ca="1">IF(CALC2223!AY191&gt;2,INDIRECT(ADDRESS(MATCH(Agenda2526!C192,'CAL2'!A:A,0)+2,3,4,1,"CAL2")),0)</f>
        <v>0</v>
      </c>
      <c r="M191" s="20" t="str">
        <f ca="1">IF(CALC2223!AZ191&gt;0,INDIRECT(ADDRESS(MATCH(Agenda2526!C192,'CAL3'!A:A,0),2,4,1,"CAL3")),"")</f>
        <v/>
      </c>
      <c r="N191" s="21">
        <f ca="1">IF(CALC2223!AZ191&gt;0,INDIRECT(ADDRESS(MATCH(Agenda2526!C192,'CAL3'!A:A,0),3,4,1,"CAL3")),0)</f>
        <v>0</v>
      </c>
      <c r="O191" s="20" t="str">
        <f ca="1">IF(CALC2223!AZ191&gt;1,INDIRECT(ADDRESS(MATCH(Agenda2526!C192,'CAL3'!A:A,0)+1,2,4,1,"CAL3")),"")</f>
        <v/>
      </c>
      <c r="P191" s="21">
        <f ca="1">IF(CALC2223!AZ191&gt;1,INDIRECT(ADDRESS(MATCH(Agenda2526!C192,'CAL3'!A:A,0)+1,3,4,1,"CAL3")),0)</f>
        <v>0</v>
      </c>
      <c r="Q191" s="20" t="str">
        <f ca="1">IF(CALC2223!AZ191&gt;2,INDIRECT(ADDRESS(MATCH(Agenda2526!C192,'CAL3'!A:A,0)+2,2,4,1,"CAL3")),"")</f>
        <v/>
      </c>
      <c r="R191" s="21">
        <f ca="1">IF(CALC2223!AZ191&gt;2,INDIRECT(ADDRESS(MATCH(Agenda2526!C192,'CAL3'!A:A,0)+2,3,4,1,"CAL3")),0)</f>
        <v>0</v>
      </c>
      <c r="S191" s="20" t="str">
        <f ca="1">IF(CALC2223!BA191&gt;0,INDIRECT(ADDRESS(MATCH(Agenda2526!C192,'CAL4'!A:A,0),2,4,1,"CAL4")),"")</f>
        <v/>
      </c>
      <c r="T191" s="21">
        <f ca="1">IF(CALC2223!BA191&gt;0,INDIRECT(ADDRESS(MATCH(Agenda2526!C192,'CAL4'!A:A,0),3,4,1,"CAL4")),0)</f>
        <v>0</v>
      </c>
      <c r="U191" s="20" t="str">
        <f ca="1">IF(CALC2223!BA191&gt;1,INDIRECT(ADDRESS(MATCH(Agenda2526!C192,'CAL4'!A:A,0)+1,2,4,1,"CAL4")),"")</f>
        <v/>
      </c>
      <c r="V191" s="21">
        <f ca="1">IF(CALC2223!BA191&gt;1,INDIRECT(ADDRESS(MATCH(Agenda2526!C192,'CAL4'!A:A,0)+1,3,4,1,"CAL4")),0)</f>
        <v>0</v>
      </c>
      <c r="W191" s="20" t="str">
        <f ca="1">IF(CALC2223!BA191&gt;2,INDIRECT(ADDRESS(MATCH(Agenda2526!C192,'CAL4'!A:A,0)+2,2,4,1,"CAL4")),"")</f>
        <v/>
      </c>
      <c r="X191" s="21">
        <f ca="1">IF(CALC2223!BA191&gt;2,INDIRECT(ADDRESS(MATCH(Agenda2526!C192,'CAL4'!A:A,0)+2,3,4,1,"CAL4")),0)</f>
        <v>0</v>
      </c>
      <c r="Y191" s="20" t="str">
        <f ca="1">IF(CALC2223!BB191&gt;0,INDIRECT(ADDRESS(MATCH(Agenda2526!C192,'CAL5'!A:A,0),2,4,1,"CAL5")),"")</f>
        <v>Rep LA</v>
      </c>
      <c r="Z191" s="21">
        <f ca="1">IF(CALC2223!BB191&gt;0,INDIRECT(ADDRESS(MATCH(Agenda2526!C192,'CAL5'!A:A,0),3,4,1,"CAL5")),0)</f>
        <v>45896</v>
      </c>
      <c r="AA191" s="20" t="str">
        <f ca="1">IF(CALC2223!BB191&gt;1,INDIRECT(ADDRESS(MATCH(Agenda2526!C192,'CAL5'!A:A,0)+1,2,4,1,"CAL5")),"")</f>
        <v/>
      </c>
      <c r="AB191" s="21">
        <f ca="1">IF(CALC2223!BB191&gt;1,INDIRECT(ADDRESS(MATCH(Agenda2526!C192,'CAL5'!A:A,0)+1,3,4,1,"CAL5")),0)</f>
        <v>0</v>
      </c>
      <c r="AC191" s="20" t="str">
        <f ca="1">IF(CALC2223!BB191&gt;2,INDIRECT(ADDRESS(MATCH(Agenda2526!C192,'CAL5'!A:A,0)+2,2,4,1,"CAL5")),"")</f>
        <v/>
      </c>
      <c r="AD191" s="21">
        <f ca="1">IF(CALC2223!BB191&gt;2,INDIRECT(ADDRESS(MATCH(Agenda2526!C192,'CAL5'!A:A,0)+2,3,4,1,"CAL5")),0)</f>
        <v>0</v>
      </c>
      <c r="AE191" s="20" t="str">
        <f ca="1">IF(CALC2223!BC191&gt;0,INDIRECT(ADDRESS(MATCH(Agenda2526!C192,'CAL6'!A:A,0),2,4,1,"CAL6")),"")</f>
        <v>KuBv opening</v>
      </c>
      <c r="AF191" s="21">
        <f ca="1">IF(CALC2223!BC191&gt;0,INDIRECT(ADDRESS(MATCH(Agenda2526!C192,'CAL6'!A:A,0),3,4,1,"CAL6")),0)</f>
        <v>45896</v>
      </c>
      <c r="AG191" s="20" t="str">
        <f ca="1">IF(CALC2223!BC191&gt;1,INDIRECT(ADDRESS(MATCH(Agenda2526!C192,'CAL6'!A:A,0)+1,2,4,1,"CAL6")),"")</f>
        <v/>
      </c>
      <c r="AH191" s="21">
        <f ca="1">IF(CALC2223!BC191&gt;1,INDIRECT(ADDRESS(MATCH(Agenda2526!C192,'CAL6'!A:A,0)+1,3,4,1,"CAL6")),0)</f>
        <v>0</v>
      </c>
      <c r="AI191" s="20" t="str">
        <f ca="1">IF(CALC2223!BC191&gt;2,INDIRECT(ADDRESS(MATCH(Agenda2526!C192,'CAL6'!A:A,0)+2,2,4,1,"CAL6")),"")</f>
        <v/>
      </c>
      <c r="AJ191" s="21">
        <f ca="1">IF(CALC2223!BC191&gt;2,INDIRECT(ADDRESS(MATCH(Agenda2526!C192,'CAL6'!A:A,0)+2,3,4,1,"CAL6")),0)</f>
        <v>0</v>
      </c>
      <c r="AK191" s="20" t="str">
        <f ca="1">IF(CALC2223!BD191&gt;0,INDIRECT(ADDRESS(MATCH(Agenda2526!C192,'CAL7'!A:A,0),2,4,1,"CAL7")),"")</f>
        <v>llbesprG3</v>
      </c>
      <c r="AL191" s="21">
        <f ca="1">IF(CALC2223!BD191&gt;0,INDIRECT(ADDRESS(MATCH(Agenda2526!C192,'CAL7'!A:A,0),3,4,1,"CAL7")),0)</f>
        <v>45896</v>
      </c>
      <c r="AM191" s="20" t="str">
        <f ca="1">IF(CALC2223!BD191&gt;1,INDIRECT(ADDRESS(MATCH(Agenda2526!C192,'CAL7'!A:A,0)+1,2,4,1,"CAL7")),"")</f>
        <v/>
      </c>
      <c r="AN191" s="21">
        <f ca="1">IF(CALC2223!BD191&gt;1,INDIRECT(ADDRESS(MATCH(Agenda2526!C192,'CAL7'!A:A,0)+1,3,4,1,"CAL7")),0)</f>
        <v>0</v>
      </c>
      <c r="AO191" s="20" t="str">
        <f ca="1">IF(CALC2223!BD191&gt;2,INDIRECT(ADDRESS(MATCH(Agenda2526!C192,'CAL7'!A:A,0)+2,2,4,1,"CAL7")),"")</f>
        <v/>
      </c>
      <c r="AP191" s="21">
        <f ca="1">IF(CALC2223!BD191&gt;2,INDIRECT(ADDRESS(MATCH(Agenda2526!C192,'CAL7'!A:A,0)+2,3,4,1,"CAL7")),0)</f>
        <v>0</v>
      </c>
      <c r="AQ191" s="20" t="str">
        <f ca="1">IF(CALC2223!BE191&gt;0,INDIRECT(ADDRESS(MATCH(Agenda2526!C192,'CAL8'!A:A,0),2,4,1,"CAL8")),"")</f>
        <v>30" rooster</v>
      </c>
      <c r="AR191" s="21">
        <f ca="1">IF(CALC2223!BE191&gt;0,INDIRECT(ADDRESS(MATCH(Agenda2526!C192,'CAL8'!A:A,0),3,4,1,"CAL8")),0)</f>
        <v>45896</v>
      </c>
      <c r="AS191" s="20" t="str">
        <f ca="1">IF(CALC2223!BE191&gt;1,INDIRECT(ADDRESS(MATCH(Agenda2526!C192,'CAL8'!A:A,0)+1,2,4,1,"CAL8")),"")</f>
        <v/>
      </c>
      <c r="AT191" s="21">
        <f ca="1">IF(CALC2223!BE191&gt;1,INDIRECT(ADDRESS(MATCH(Agenda2526!C192,'CAL8'!A:A,0)+1,3,4,1,"CAL8")),0)</f>
        <v>0</v>
      </c>
      <c r="AU191" s="20" t="str">
        <f ca="1">IF(CALC2223!BE191&gt;2,INDIRECT(ADDRESS(MATCH(Agenda2526!C192,'CAL8'!A:A,0)+2,2,4,1,"CAL8")),"")</f>
        <v/>
      </c>
      <c r="AV191" s="21">
        <f ca="1">IF(CALC2223!BE191&gt;2,INDIRECT(ADDRESS(MATCH(Agenda2526!C192,'CAL8'!A:A,0)+2,3,4,1,"CAL8")),0)</f>
        <v>0</v>
      </c>
      <c r="AW191" s="105"/>
      <c r="AX191" s="20">
        <f>COUNTIF('CAL1'!A:A,Agenda2526!C192)</f>
        <v>0</v>
      </c>
      <c r="AY191" s="20">
        <f>COUNTIF('CAL2'!A:A,Agenda2526!C192)</f>
        <v>0</v>
      </c>
      <c r="AZ191" s="20">
        <f>COUNTIF('CAL3'!A:A,Agenda2526!C192)</f>
        <v>0</v>
      </c>
      <c r="BA191" s="20">
        <f>COUNTIF('CAL4'!A:A,Agenda2526!C192)</f>
        <v>0</v>
      </c>
      <c r="BB191" s="20">
        <f>COUNTIF('CAL5'!A:A,Agenda2526!C192)</f>
        <v>1</v>
      </c>
      <c r="BC191" s="20">
        <f>COUNTIF('CAL6'!A:A,Agenda2526!C192)</f>
        <v>1</v>
      </c>
      <c r="BD191" s="20">
        <f>COUNTIF('CAL7'!A:A,Agenda2526!C192)</f>
        <v>1</v>
      </c>
      <c r="BE191" s="20">
        <f>COUNTIF('CAL8'!A:A,Agenda2526!C192)</f>
        <v>1</v>
      </c>
    </row>
    <row r="192" spans="1:57" ht="15.75" customHeight="1">
      <c r="A192" s="20" t="str">
        <f ca="1">IF(CALC2223!AX192&gt;0,INDIRECT(ADDRESS(MATCH(Agenda2526!C193,'CAL1'!A:A,0),2,4,1,"CAL1")),"")</f>
        <v/>
      </c>
      <c r="B192" s="21">
        <f ca="1">IF(CALC2223!AX192&gt;0,INDIRECT(ADDRESS(MATCH(Agenda2526!C193,'CAL1'!A:A,0),3,4,1,"CAL1")),0)</f>
        <v>0</v>
      </c>
      <c r="C192" s="20" t="str">
        <f ca="1">IF(CALC2223!AX192&gt;1,INDIRECT(ADDRESS(MATCH(Agenda2526!C193,'CAL1'!A:A,0)+1,2,4,1,"CAL1")),"")</f>
        <v/>
      </c>
      <c r="D192" s="21">
        <f ca="1">IF(CALC2223!AX192&gt;1,INDIRECT(ADDRESS(MATCH(Agenda2526!C193,'CAL1'!A:A,0)+1,3,4,1,"CAL1")),0)</f>
        <v>0</v>
      </c>
      <c r="E192" s="20" t="str">
        <f ca="1">IF(CALC2223!AX192&gt;2,INDIRECT(ADDRESS(MATCH(Agenda2526!C193,'CAL1'!A:A,0)+2,2,4,1,"CAL1")),"")</f>
        <v/>
      </c>
      <c r="F192" s="21">
        <f ca="1">IF(CALC2223!AX192&gt;2,INDIRECT(ADDRESS(MATCH(Agenda2526!C193,'CAL1'!A:A,0)+2,3,4,1,"CAL1")),0)</f>
        <v>0</v>
      </c>
      <c r="G192" s="20" t="str">
        <f ca="1">IF(CALC2223!AY192&gt;0,INDIRECT(ADDRESS(MATCH(Agenda2526!C193,'CAL2'!A:A,0),2,4,1,"CAL2")),"")</f>
        <v/>
      </c>
      <c r="H192" s="21">
        <f ca="1">IF(CALC2223!AY192&gt;0,INDIRECT(ADDRESS(MATCH(Agenda2526!C193,'CAL2'!A:A,0),3,4,1,"CAL2")),0)</f>
        <v>0</v>
      </c>
      <c r="I192" s="20" t="str">
        <f ca="1">IF(CALC2223!AY192&gt;1,INDIRECT(ADDRESS(MATCH(Agenda2526!C193,'CAL2'!A:A,0)+1,2,4,1,"CAL2")),"")</f>
        <v/>
      </c>
      <c r="J192" s="21">
        <f ca="1">IF(CALC2223!AY192&gt;1,INDIRECT(ADDRESS(MATCH(Agenda2526!C193,'CAL2'!A:A,0)+1,3,4,1,"CAL2")),0)</f>
        <v>0</v>
      </c>
      <c r="K192" s="20" t="str">
        <f ca="1">IF(CALC2223!AY192&gt;2,INDIRECT(ADDRESS(MATCH(Agenda2526!C193,'CAL2'!A:A,0)+2,2,4,1,"CAL2")),"")</f>
        <v/>
      </c>
      <c r="L192" s="21">
        <f ca="1">IF(CALC2223!AY192&gt;2,INDIRECT(ADDRESS(MATCH(Agenda2526!C193,'CAL2'!A:A,0)+2,3,4,1,"CAL2")),0)</f>
        <v>0</v>
      </c>
      <c r="M192" s="20" t="str">
        <f ca="1">IF(CALC2223!AZ192&gt;0,INDIRECT(ADDRESS(MATCH(Agenda2526!C193,'CAL3'!A:A,0),2,4,1,"CAL3")),"")</f>
        <v>oek Hoosh</v>
      </c>
      <c r="N192" s="21">
        <f ca="1">IF(CALC2223!AZ192&gt;0,INDIRECT(ADDRESS(MATCH(Agenda2526!C193,'CAL3'!A:A,0),3,4,1,"CAL3")),0)</f>
        <v>46066</v>
      </c>
      <c r="O192" s="20" t="str">
        <f ca="1">IF(CALC2223!AZ192&gt;1,INDIRECT(ADDRESS(MATCH(Agenda2526!C193,'CAL3'!A:A,0)+1,2,4,1,"CAL3")),"")</f>
        <v/>
      </c>
      <c r="P192" s="21">
        <f ca="1">IF(CALC2223!AZ192&gt;1,INDIRECT(ADDRESS(MATCH(Agenda2526!C193,'CAL3'!A:A,0)+1,3,4,1,"CAL3")),0)</f>
        <v>0</v>
      </c>
      <c r="Q192" s="20" t="str">
        <f ca="1">IF(CALC2223!AZ192&gt;2,INDIRECT(ADDRESS(MATCH(Agenda2526!C193,'CAL3'!A:A,0)+2,2,4,1,"CAL3")),"")</f>
        <v/>
      </c>
      <c r="R192" s="21">
        <f ca="1">IF(CALC2223!AZ192&gt;2,INDIRECT(ADDRESS(MATCH(Agenda2526!C193,'CAL3'!A:A,0)+2,3,4,1,"CAL3")),0)</f>
        <v>0</v>
      </c>
      <c r="S192" s="20" t="str">
        <f ca="1">IF(CALC2223!BA192&gt;0,INDIRECT(ADDRESS(MATCH(Agenda2526!C193,'CAL4'!A:A,0),2,4,1,"CAL4")),"")</f>
        <v/>
      </c>
      <c r="T192" s="21">
        <f ca="1">IF(CALC2223!BA192&gt;0,INDIRECT(ADDRESS(MATCH(Agenda2526!C193,'CAL4'!A:A,0),3,4,1,"CAL4")),0)</f>
        <v>0</v>
      </c>
      <c r="U192" s="20" t="str">
        <f ca="1">IF(CALC2223!BA192&gt;1,INDIRECT(ADDRESS(MATCH(Agenda2526!C193,'CAL4'!A:A,0)+1,2,4,1,"CAL4")),"")</f>
        <v/>
      </c>
      <c r="V192" s="21">
        <f ca="1">IF(CALC2223!BA192&gt;1,INDIRECT(ADDRESS(MATCH(Agenda2526!C193,'CAL4'!A:A,0)+1,3,4,1,"CAL4")),0)</f>
        <v>0</v>
      </c>
      <c r="W192" s="20" t="str">
        <f ca="1">IF(CALC2223!BA192&gt;2,INDIRECT(ADDRESS(MATCH(Agenda2526!C193,'CAL4'!A:A,0)+2,2,4,1,"CAL4")),"")</f>
        <v/>
      </c>
      <c r="X192" s="21">
        <f ca="1">IF(CALC2223!BA192&gt;2,INDIRECT(ADDRESS(MATCH(Agenda2526!C193,'CAL4'!A:A,0)+2,3,4,1,"CAL4")),0)</f>
        <v>0</v>
      </c>
      <c r="Y192" s="20" t="str">
        <f ca="1">IF(CALC2223!BB192&gt;0,INDIRECT(ADDRESS(MATCH(Agenda2526!C193,'CAL5'!A:A,0),2,4,1,"CAL5")),"")</f>
        <v/>
      </c>
      <c r="Z192" s="21">
        <f ca="1">IF(CALC2223!BB192&gt;0,INDIRECT(ADDRESS(MATCH(Agenda2526!C193,'CAL5'!A:A,0),3,4,1,"CAL5")),0)</f>
        <v>0</v>
      </c>
      <c r="AA192" s="20" t="str">
        <f ca="1">IF(CALC2223!BB192&gt;1,INDIRECT(ADDRESS(MATCH(Agenda2526!C193,'CAL5'!A:A,0)+1,2,4,1,"CAL5")),"")</f>
        <v/>
      </c>
      <c r="AB192" s="21">
        <f ca="1">IF(CALC2223!BB192&gt;1,INDIRECT(ADDRESS(MATCH(Agenda2526!C193,'CAL5'!A:A,0)+1,3,4,1,"CAL5")),0)</f>
        <v>0</v>
      </c>
      <c r="AC192" s="20" t="str">
        <f ca="1">IF(CALC2223!BB192&gt;2,INDIRECT(ADDRESS(MATCH(Agenda2526!C193,'CAL5'!A:A,0)+2,2,4,1,"CAL5")),"")</f>
        <v/>
      </c>
      <c r="AD192" s="21">
        <f ca="1">IF(CALC2223!BB192&gt;2,INDIRECT(ADDRESS(MATCH(Agenda2526!C193,'CAL5'!A:A,0)+2,3,4,1,"CAL5")),0)</f>
        <v>0</v>
      </c>
      <c r="AE192" s="20" t="str">
        <f ca="1">IF(CALC2223!BC192&gt;0,INDIRECT(ADDRESS(MATCH(Agenda2526!C193,'CAL6'!A:A,0),2,4,1,"CAL6")),"")</f>
        <v/>
      </c>
      <c r="AF192" s="21">
        <f ca="1">IF(CALC2223!BC192&gt;0,INDIRECT(ADDRESS(MATCH(Agenda2526!C193,'CAL6'!A:A,0),3,4,1,"CAL6")),0)</f>
        <v>0</v>
      </c>
      <c r="AG192" s="20" t="str">
        <f ca="1">IF(CALC2223!BC192&gt;1,INDIRECT(ADDRESS(MATCH(Agenda2526!C193,'CAL6'!A:A,0)+1,2,4,1,"CAL6")),"")</f>
        <v/>
      </c>
      <c r="AH192" s="21">
        <f ca="1">IF(CALC2223!BC192&gt;1,INDIRECT(ADDRESS(MATCH(Agenda2526!C193,'CAL6'!A:A,0)+1,3,4,1,"CAL6")),0)</f>
        <v>0</v>
      </c>
      <c r="AI192" s="20" t="str">
        <f ca="1">IF(CALC2223!BC192&gt;2,INDIRECT(ADDRESS(MATCH(Agenda2526!C193,'CAL6'!A:A,0)+2,2,4,1,"CAL6")),"")</f>
        <v/>
      </c>
      <c r="AJ192" s="21">
        <f ca="1">IF(CALC2223!BC192&gt;2,INDIRECT(ADDRESS(MATCH(Agenda2526!C193,'CAL6'!A:A,0)+2,3,4,1,"CAL6")),0)</f>
        <v>0</v>
      </c>
      <c r="AK192" s="20" t="str">
        <f ca="1">IF(CALC2223!BD192&gt;0,INDIRECT(ADDRESS(MATCH(Agenda2526!C193,'CAL7'!A:A,0),2,4,1,"CAL7")),"")</f>
        <v/>
      </c>
      <c r="AL192" s="21">
        <f ca="1">IF(CALC2223!BD192&gt;0,INDIRECT(ADDRESS(MATCH(Agenda2526!C193,'CAL7'!A:A,0),3,4,1,"CAL7")),0)</f>
        <v>0</v>
      </c>
      <c r="AM192" s="20" t="str">
        <f ca="1">IF(CALC2223!BD192&gt;1,INDIRECT(ADDRESS(MATCH(Agenda2526!C193,'CAL7'!A:A,0)+1,2,4,1,"CAL7")),"")</f>
        <v/>
      </c>
      <c r="AN192" s="21">
        <f ca="1">IF(CALC2223!BD192&gt;1,INDIRECT(ADDRESS(MATCH(Agenda2526!C193,'CAL7'!A:A,0)+1,3,4,1,"CAL7")),0)</f>
        <v>0</v>
      </c>
      <c r="AO192" s="20" t="str">
        <f ca="1">IF(CALC2223!BD192&gt;2,INDIRECT(ADDRESS(MATCH(Agenda2526!C193,'CAL7'!A:A,0)+2,2,4,1,"CAL7")),"")</f>
        <v/>
      </c>
      <c r="AP192" s="21">
        <f ca="1">IF(CALC2223!BD192&gt;2,INDIRECT(ADDRESS(MATCH(Agenda2526!C193,'CAL7'!A:A,0)+2,3,4,1,"CAL7")),0)</f>
        <v>0</v>
      </c>
      <c r="AQ192" s="20" t="str">
        <f ca="1">IF(CALC2223!BE192&gt;0,INDIRECT(ADDRESS(MATCH(Agenda2526!C193,'CAL8'!A:A,0),2,4,1,"CAL8")),"")</f>
        <v>30" rooste ;Open Lesmiddag 13:30-16:00 uur</v>
      </c>
      <c r="AR192" s="21">
        <f ca="1">IF(CALC2223!BE192&gt;0,INDIRECT(ADDRESS(MATCH(Agenda2526!C193,'CAL8'!A:A,0),3,4,1,"CAL8")),0)</f>
        <v>45896</v>
      </c>
      <c r="AS192" s="20" t="str">
        <f ca="1">IF(CALC2223!BE192&gt;1,INDIRECT(ADDRESS(MATCH(Agenda2526!C193,'CAL8'!A:A,0)+1,2,4,1,"CAL8")),"")</f>
        <v/>
      </c>
      <c r="AT192" s="21">
        <f ca="1">IF(CALC2223!BE192&gt;1,INDIRECT(ADDRESS(MATCH(Agenda2526!C193,'CAL8'!A:A,0)+1,3,4,1,"CAL8")),0)</f>
        <v>0</v>
      </c>
      <c r="AU192" s="20" t="str">
        <f ca="1">IF(CALC2223!BE192&gt;2,INDIRECT(ADDRESS(MATCH(Agenda2526!C193,'CAL8'!A:A,0)+2,2,4,1,"CAL8")),"")</f>
        <v/>
      </c>
      <c r="AV192" s="21">
        <f ca="1">IF(CALC2223!BE192&gt;2,INDIRECT(ADDRESS(MATCH(Agenda2526!C193,'CAL8'!A:A,0)+2,3,4,1,"CAL8")),0)</f>
        <v>0</v>
      </c>
      <c r="AW192" s="105"/>
      <c r="AX192" s="20">
        <f>COUNTIF('CAL1'!A:A,Agenda2526!C193)</f>
        <v>0</v>
      </c>
      <c r="AY192" s="20">
        <f>COUNTIF('CAL2'!A:A,Agenda2526!C193)</f>
        <v>0</v>
      </c>
      <c r="AZ192" s="20">
        <f>COUNTIF('CAL3'!A:A,Agenda2526!C193)</f>
        <v>1</v>
      </c>
      <c r="BA192" s="20">
        <f>COUNTIF('CAL4'!A:A,Agenda2526!C193)</f>
        <v>0</v>
      </c>
      <c r="BB192" s="20">
        <f>COUNTIF('CAL5'!A:A,Agenda2526!C193)</f>
        <v>0</v>
      </c>
      <c r="BC192" s="20">
        <f>COUNTIF('CAL6'!A:A,Agenda2526!C193)</f>
        <v>0</v>
      </c>
      <c r="BD192" s="20">
        <f>COUNTIF('CAL7'!A:A,Agenda2526!C193)</f>
        <v>0</v>
      </c>
      <c r="BE192" s="20">
        <f>COUNTIF('CAL8'!A:A,Agenda2526!C193)</f>
        <v>1</v>
      </c>
    </row>
    <row r="193" spans="1:57" ht="15.75" customHeight="1">
      <c r="A193" s="20" t="str">
        <f ca="1">IF(CALC2223!AX193&gt;0,INDIRECT(ADDRESS(MATCH(Agenda2526!C194,'CAL1'!A:A,0),2,4,1,"CAL1")),"")</f>
        <v>Rep AK</v>
      </c>
      <c r="B193" s="21">
        <f ca="1">IF(CALC2223!AX193&gt;0,INDIRECT(ADDRESS(MATCH(Agenda2526!C194,'CAL1'!A:A,0),3,4,1,"CAL1")),0)</f>
        <v>45901</v>
      </c>
      <c r="C193" s="20" t="str">
        <f ca="1">IF(CALC2223!AX193&gt;1,INDIRECT(ADDRESS(MATCH(Agenda2526!C194,'CAL1'!A:A,0)+1,2,4,1,"CAL1")),"")</f>
        <v/>
      </c>
      <c r="D193" s="21">
        <f ca="1">IF(CALC2223!AX193&gt;1,INDIRECT(ADDRESS(MATCH(Agenda2526!C194,'CAL1'!A:A,0)+1,3,4,1,"CAL1")),0)</f>
        <v>0</v>
      </c>
      <c r="E193" s="20" t="str">
        <f ca="1">IF(CALC2223!AX193&gt;2,INDIRECT(ADDRESS(MATCH(Agenda2526!C194,'CAL1'!A:A,0)+2,2,4,1,"CAL1")),"")</f>
        <v/>
      </c>
      <c r="F193" s="21">
        <f ca="1">IF(CALC2223!AX193&gt;2,INDIRECT(ADDRESS(MATCH(Agenda2526!C194,'CAL1'!A:A,0)+2,3,4,1,"CAL1")),0)</f>
        <v>0</v>
      </c>
      <c r="G193" s="20" t="str">
        <f ca="1">IF(CALC2223!AY193&gt;0,INDIRECT(ADDRESS(MATCH(Agenda2526!C194,'CAL2'!A:A,0),2,4,1,"CAL2")),"")</f>
        <v/>
      </c>
      <c r="H193" s="21">
        <f ca="1">IF(CALC2223!AY193&gt;0,INDIRECT(ADDRESS(MATCH(Agenda2526!C194,'CAL2'!A:A,0),3,4,1,"CAL2")),0)</f>
        <v>0</v>
      </c>
      <c r="I193" s="20" t="str">
        <f ca="1">IF(CALC2223!AY193&gt;1,INDIRECT(ADDRESS(MATCH(Agenda2526!C194,'CAL2'!A:A,0)+1,2,4,1,"CAL2")),"")</f>
        <v/>
      </c>
      <c r="J193" s="21">
        <f ca="1">IF(CALC2223!AY193&gt;1,INDIRECT(ADDRESS(MATCH(Agenda2526!C194,'CAL2'!A:A,0)+1,3,4,1,"CAL2")),0)</f>
        <v>0</v>
      </c>
      <c r="K193" s="20" t="str">
        <f ca="1">IF(CALC2223!AY193&gt;2,INDIRECT(ADDRESS(MATCH(Agenda2526!C194,'CAL2'!A:A,0)+2,2,4,1,"CAL2")),"")</f>
        <v/>
      </c>
      <c r="L193" s="21">
        <f ca="1">IF(CALC2223!AY193&gt;2,INDIRECT(ADDRESS(MATCH(Agenda2526!C194,'CAL2'!A:A,0)+2,3,4,1,"CAL2")),0)</f>
        <v>0</v>
      </c>
      <c r="M193" s="20" t="str">
        <f ca="1">IF(CALC2223!AZ193&gt;0,INDIRECT(ADDRESS(MATCH(Agenda2526!C194,'CAL3'!A:A,0),2,4,1,"CAL3")),"")</f>
        <v/>
      </c>
      <c r="N193" s="21">
        <f ca="1">IF(CALC2223!AZ193&gt;0,INDIRECT(ADDRESS(MATCH(Agenda2526!C194,'CAL3'!A:A,0),3,4,1,"CAL3")),0)</f>
        <v>0</v>
      </c>
      <c r="O193" s="20" t="str">
        <f ca="1">IF(CALC2223!AZ193&gt;1,INDIRECT(ADDRESS(MATCH(Agenda2526!C194,'CAL3'!A:A,0)+1,2,4,1,"CAL3")),"")</f>
        <v/>
      </c>
      <c r="P193" s="21">
        <f ca="1">IF(CALC2223!AZ193&gt;1,INDIRECT(ADDRESS(MATCH(Agenda2526!C194,'CAL3'!A:A,0)+1,3,4,1,"CAL3")),0)</f>
        <v>0</v>
      </c>
      <c r="Q193" s="20" t="str">
        <f ca="1">IF(CALC2223!AZ193&gt;2,INDIRECT(ADDRESS(MATCH(Agenda2526!C194,'CAL3'!A:A,0)+2,2,4,1,"CAL3")),"")</f>
        <v/>
      </c>
      <c r="R193" s="21">
        <f ca="1">IF(CALC2223!AZ193&gt;2,INDIRECT(ADDRESS(MATCH(Agenda2526!C194,'CAL3'!A:A,0)+2,3,4,1,"CAL3")),0)</f>
        <v>0</v>
      </c>
      <c r="S193" s="20" t="str">
        <f ca="1">IF(CALC2223!BA193&gt;0,INDIRECT(ADDRESS(MATCH(Agenda2526!C194,'CAL4'!A:A,0),2,4,1,"CAL4")),"")</f>
        <v/>
      </c>
      <c r="T193" s="21">
        <f ca="1">IF(CALC2223!BA193&gt;0,INDIRECT(ADDRESS(MATCH(Agenda2526!C194,'CAL4'!A:A,0),3,4,1,"CAL4")),0)</f>
        <v>0</v>
      </c>
      <c r="U193" s="20" t="str">
        <f ca="1">IF(CALC2223!BA193&gt;1,INDIRECT(ADDRESS(MATCH(Agenda2526!C194,'CAL4'!A:A,0)+1,2,4,1,"CAL4")),"")</f>
        <v/>
      </c>
      <c r="V193" s="21">
        <f ca="1">IF(CALC2223!BA193&gt;1,INDIRECT(ADDRESS(MATCH(Agenda2526!C194,'CAL4'!A:A,0)+1,3,4,1,"CAL4")),0)</f>
        <v>0</v>
      </c>
      <c r="W193" s="20" t="str">
        <f ca="1">IF(CALC2223!BA193&gt;2,INDIRECT(ADDRESS(MATCH(Agenda2526!C194,'CAL4'!A:A,0)+2,2,4,1,"CAL4")),"")</f>
        <v/>
      </c>
      <c r="X193" s="21">
        <f ca="1">IF(CALC2223!BA193&gt;2,INDIRECT(ADDRESS(MATCH(Agenda2526!C194,'CAL4'!A:A,0)+2,3,4,1,"CAL4")),0)</f>
        <v>0</v>
      </c>
      <c r="Y193" s="20" t="str">
        <f ca="1">IF(CALC2223!BB193&gt;0,INDIRECT(ADDRESS(MATCH(Agenda2526!C194,'CAL5'!A:A,0),2,4,1,"CAL5")),"")</f>
        <v>Rep FI</v>
      </c>
      <c r="Z193" s="21">
        <f ca="1">IF(CALC2223!BB193&gt;0,INDIRECT(ADDRESS(MATCH(Agenda2526!C194,'CAL5'!A:A,0),3,4,1,"CAL5")),0)</f>
        <v>45896</v>
      </c>
      <c r="AA193" s="20" t="str">
        <f ca="1">IF(CALC2223!BB193&gt;1,INDIRECT(ADDRESS(MATCH(Agenda2526!C194,'CAL5'!A:A,0)+1,2,4,1,"CAL5")),"")</f>
        <v/>
      </c>
      <c r="AB193" s="21">
        <f ca="1">IF(CALC2223!BB193&gt;1,INDIRECT(ADDRESS(MATCH(Agenda2526!C194,'CAL5'!A:A,0)+1,3,4,1,"CAL5")),0)</f>
        <v>0</v>
      </c>
      <c r="AC193" s="20" t="str">
        <f ca="1">IF(CALC2223!BB193&gt;2,INDIRECT(ADDRESS(MATCH(Agenda2526!C194,'CAL5'!A:A,0)+2,2,4,1,"CAL5")),"")</f>
        <v/>
      </c>
      <c r="AD193" s="21">
        <f ca="1">IF(CALC2223!BB193&gt;2,INDIRECT(ADDRESS(MATCH(Agenda2526!C194,'CAL5'!A:A,0)+2,3,4,1,"CAL5")),0)</f>
        <v>0</v>
      </c>
      <c r="AE193" s="20" t="str">
        <f ca="1">IF(CALC2223!BC193&gt;0,INDIRECT(ADDRESS(MATCH(Agenda2526!C194,'CAL6'!A:A,0),2,4,1,"CAL6")),"")</f>
        <v>DELF B2 examen</v>
      </c>
      <c r="AF193" s="21">
        <f ca="1">IF(CALC2223!BC193&gt;0,INDIRECT(ADDRESS(MATCH(Agenda2526!C194,'CAL6'!A:A,0),3,4,1,"CAL6")),0)</f>
        <v>45896</v>
      </c>
      <c r="AG193" s="20" t="str">
        <f ca="1">IF(CALC2223!BC193&gt;1,INDIRECT(ADDRESS(MATCH(Agenda2526!C194,'CAL6'!A:A,0)+1,2,4,1,"CAL6")),"")</f>
        <v/>
      </c>
      <c r="AH193" s="21">
        <f ca="1">IF(CALC2223!BC193&gt;1,INDIRECT(ADDRESS(MATCH(Agenda2526!C194,'CAL6'!A:A,0)+1,3,4,1,"CAL6")),0)</f>
        <v>0</v>
      </c>
      <c r="AI193" s="20" t="str">
        <f ca="1">IF(CALC2223!BC193&gt;2,INDIRECT(ADDRESS(MATCH(Agenda2526!C194,'CAL6'!A:A,0)+2,2,4,1,"CAL6")),"")</f>
        <v/>
      </c>
      <c r="AJ193" s="21">
        <f ca="1">IF(CALC2223!BC193&gt;2,INDIRECT(ADDRESS(MATCH(Agenda2526!C194,'CAL6'!A:A,0)+2,3,4,1,"CAL6")),0)</f>
        <v>0</v>
      </c>
      <c r="AK193" s="20" t="str">
        <f ca="1">IF(CALC2223!BD193&gt;0,INDIRECT(ADDRESS(MATCH(Agenda2526!C194,'CAL7'!A:A,0),2,4,1,"CAL7")),"")</f>
        <v>llbesprG1</v>
      </c>
      <c r="AL193" s="21">
        <f ca="1">IF(CALC2223!BD193&gt;0,INDIRECT(ADDRESS(MATCH(Agenda2526!C194,'CAL7'!A:A,0),3,4,1,"CAL7")),0)</f>
        <v>45896</v>
      </c>
      <c r="AM193" s="20" t="str">
        <f ca="1">IF(CALC2223!BD193&gt;1,INDIRECT(ADDRESS(MATCH(Agenda2526!C194,'CAL7'!A:A,0)+1,2,4,1,"CAL7")),"")</f>
        <v/>
      </c>
      <c r="AN193" s="21">
        <f ca="1">IF(CALC2223!BD193&gt;1,INDIRECT(ADDRESS(MATCH(Agenda2526!C194,'CAL7'!A:A,0)+1,3,4,1,"CAL7")),0)</f>
        <v>0</v>
      </c>
      <c r="AO193" s="20" t="str">
        <f ca="1">IF(CALC2223!BD193&gt;2,INDIRECT(ADDRESS(MATCH(Agenda2526!C194,'CAL7'!A:A,0)+2,2,4,1,"CAL7")),"")</f>
        <v/>
      </c>
      <c r="AP193" s="21">
        <f ca="1">IF(CALC2223!BD193&gt;2,INDIRECT(ADDRESS(MATCH(Agenda2526!C194,'CAL7'!A:A,0)+2,3,4,1,"CAL7")),0)</f>
        <v>0</v>
      </c>
      <c r="AQ193" s="20" t="str">
        <f ca="1">IF(CALC2223!BE193&gt;0,INDIRECT(ADDRESS(MATCH(Agenda2526!C194,'CAL8'!A:A,0),2,4,1,"CAL8")),"")</f>
        <v>30" rooster/Studium Gymnasiale</v>
      </c>
      <c r="AR193" s="21">
        <f ca="1">IF(CALC2223!BE193&gt;0,INDIRECT(ADDRESS(MATCH(Agenda2526!C194,'CAL8'!A:A,0),3,4,1,"CAL8")),0)</f>
        <v>45896</v>
      </c>
      <c r="AS193" s="20" t="str">
        <f ca="1">IF(CALC2223!BE193&gt;1,INDIRECT(ADDRESS(MATCH(Agenda2526!C194,'CAL8'!A:A,0)+1,2,4,1,"CAL8")),"")</f>
        <v/>
      </c>
      <c r="AT193" s="21">
        <f ca="1">IF(CALC2223!BE193&gt;1,INDIRECT(ADDRESS(MATCH(Agenda2526!C194,'CAL8'!A:A,0)+1,3,4,1,"CAL8")),0)</f>
        <v>0</v>
      </c>
      <c r="AU193" s="20" t="str">
        <f ca="1">IF(CALC2223!BE193&gt;2,INDIRECT(ADDRESS(MATCH(Agenda2526!C194,'CAL8'!A:A,0)+2,2,4,1,"CAL8")),"")</f>
        <v/>
      </c>
      <c r="AV193" s="21">
        <f ca="1">IF(CALC2223!BE193&gt;2,INDIRECT(ADDRESS(MATCH(Agenda2526!C194,'CAL8'!A:A,0)+2,3,4,1,"CAL8")),0)</f>
        <v>0</v>
      </c>
      <c r="AW193" s="105"/>
      <c r="AX193" s="20">
        <f>COUNTIF('CAL1'!A:A,Agenda2526!C194)</f>
        <v>1</v>
      </c>
      <c r="AY193" s="20">
        <f>COUNTIF('CAL2'!A:A,Agenda2526!C194)</f>
        <v>0</v>
      </c>
      <c r="AZ193" s="20">
        <f>COUNTIF('CAL3'!A:A,Agenda2526!C194)</f>
        <v>0</v>
      </c>
      <c r="BA193" s="20">
        <f>COUNTIF('CAL4'!A:A,Agenda2526!C194)</f>
        <v>0</v>
      </c>
      <c r="BB193" s="20">
        <f>COUNTIF('CAL5'!A:A,Agenda2526!C194)</f>
        <v>1</v>
      </c>
      <c r="BC193" s="20">
        <f>COUNTIF('CAL6'!A:A,Agenda2526!C194)</f>
        <v>1</v>
      </c>
      <c r="BD193" s="20">
        <f>COUNTIF('CAL7'!A:A,Agenda2526!C194)</f>
        <v>1</v>
      </c>
      <c r="BE193" s="20">
        <f>COUNTIF('CAL8'!A:A,Agenda2526!C194)</f>
        <v>1</v>
      </c>
    </row>
    <row r="194" spans="1:57" ht="15.75" customHeight="1">
      <c r="A194" s="20" t="str">
        <f ca="1">IF(CALC2223!AX194&gt;0,INDIRECT(ADDRESS(MATCH(Agenda2526!C195,'CAL1'!A:A,0),2,4,1,"CAL1")),"")</f>
        <v/>
      </c>
      <c r="B194" s="21">
        <f ca="1">IF(CALC2223!AX194&gt;0,INDIRECT(ADDRESS(MATCH(Agenda2526!C195,'CAL1'!A:A,0),3,4,1,"CAL1")),0)</f>
        <v>0</v>
      </c>
      <c r="C194" s="20" t="str">
        <f ca="1">IF(CALC2223!AX194&gt;1,INDIRECT(ADDRESS(MATCH(Agenda2526!C195,'CAL1'!A:A,0)+1,2,4,1,"CAL1")),"")</f>
        <v/>
      </c>
      <c r="D194" s="21">
        <f ca="1">IF(CALC2223!AX194&gt;1,INDIRECT(ADDRESS(MATCH(Agenda2526!C195,'CAL1'!A:A,0)+1,3,4,1,"CAL1")),0)</f>
        <v>0</v>
      </c>
      <c r="E194" s="20" t="str">
        <f ca="1">IF(CALC2223!AX194&gt;2,INDIRECT(ADDRESS(MATCH(Agenda2526!C195,'CAL1'!A:A,0)+2,2,4,1,"CAL1")),"")</f>
        <v/>
      </c>
      <c r="F194" s="21">
        <f ca="1">IF(CALC2223!AX194&gt;2,INDIRECT(ADDRESS(MATCH(Agenda2526!C195,'CAL1'!A:A,0)+2,3,4,1,"CAL1")),0)</f>
        <v>0</v>
      </c>
      <c r="G194" s="20" t="str">
        <f ca="1">IF(CALC2223!AY194&gt;0,INDIRECT(ADDRESS(MATCH(Agenda2526!C195,'CAL2'!A:A,0),2,4,1,"CAL2")),"")</f>
        <v/>
      </c>
      <c r="H194" s="21">
        <f ca="1">IF(CALC2223!AY194&gt;0,INDIRECT(ADDRESS(MATCH(Agenda2526!C195,'CAL2'!A:A,0),3,4,1,"CAL2")),0)</f>
        <v>0</v>
      </c>
      <c r="I194" s="20" t="str">
        <f ca="1">IF(CALC2223!AY194&gt;1,INDIRECT(ADDRESS(MATCH(Agenda2526!C195,'CAL2'!A:A,0)+1,2,4,1,"CAL2")),"")</f>
        <v/>
      </c>
      <c r="J194" s="21">
        <f ca="1">IF(CALC2223!AY194&gt;1,INDIRECT(ADDRESS(MATCH(Agenda2526!C195,'CAL2'!A:A,0)+1,3,4,1,"CAL2")),0)</f>
        <v>0</v>
      </c>
      <c r="K194" s="20" t="str">
        <f ca="1">IF(CALC2223!AY194&gt;2,INDIRECT(ADDRESS(MATCH(Agenda2526!C195,'CAL2'!A:A,0)+2,2,4,1,"CAL2")),"")</f>
        <v/>
      </c>
      <c r="L194" s="21">
        <f ca="1">IF(CALC2223!AY194&gt;2,INDIRECT(ADDRESS(MATCH(Agenda2526!C195,'CAL2'!A:A,0)+2,3,4,1,"CAL2")),0)</f>
        <v>0</v>
      </c>
      <c r="M194" s="20" t="str">
        <f ca="1">IF(CALC2223!AZ194&gt;0,INDIRECT(ADDRESS(MATCH(Agenda2526!C195,'CAL3'!A:A,0),2,4,1,"CAL3")),"")</f>
        <v>Rep GES</v>
      </c>
      <c r="N194" s="21">
        <f ca="1">IF(CALC2223!AZ194&gt;0,INDIRECT(ADDRESS(MATCH(Agenda2526!C195,'CAL3'!A:A,0),3,4,1,"CAL3")),0)</f>
        <v>45903</v>
      </c>
      <c r="O194" s="20" t="str">
        <f ca="1">IF(CALC2223!AZ194&gt;1,INDIRECT(ADDRESS(MATCH(Agenda2526!C195,'CAL3'!A:A,0)+1,2,4,1,"CAL3")),"")</f>
        <v/>
      </c>
      <c r="P194" s="21">
        <f ca="1">IF(CALC2223!AZ194&gt;1,INDIRECT(ADDRESS(MATCH(Agenda2526!C195,'CAL3'!A:A,0)+1,3,4,1,"CAL3")),0)</f>
        <v>0</v>
      </c>
      <c r="Q194" s="20" t="str">
        <f ca="1">IF(CALC2223!AZ194&gt;2,INDIRECT(ADDRESS(MATCH(Agenda2526!C195,'CAL3'!A:A,0)+2,2,4,1,"CAL3")),"")</f>
        <v/>
      </c>
      <c r="R194" s="21">
        <f ca="1">IF(CALC2223!AZ194&gt;2,INDIRECT(ADDRESS(MATCH(Agenda2526!C195,'CAL3'!A:A,0)+2,3,4,1,"CAL3")),0)</f>
        <v>0</v>
      </c>
      <c r="S194" s="20" t="str">
        <f ca="1">IF(CALC2223!BA194&gt;0,INDIRECT(ADDRESS(MATCH(Agenda2526!C195,'CAL4'!A:A,0),2,4,1,"CAL4")),"")</f>
        <v/>
      </c>
      <c r="T194" s="21">
        <f ca="1">IF(CALC2223!BA194&gt;0,INDIRECT(ADDRESS(MATCH(Agenda2526!C195,'CAL4'!A:A,0),3,4,1,"CAL4")),0)</f>
        <v>0</v>
      </c>
      <c r="U194" s="20" t="str">
        <f ca="1">IF(CALC2223!BA194&gt;1,INDIRECT(ADDRESS(MATCH(Agenda2526!C195,'CAL4'!A:A,0)+1,2,4,1,"CAL4")),"")</f>
        <v/>
      </c>
      <c r="V194" s="21">
        <f ca="1">IF(CALC2223!BA194&gt;1,INDIRECT(ADDRESS(MATCH(Agenda2526!C195,'CAL4'!A:A,0)+1,3,4,1,"CAL4")),0)</f>
        <v>0</v>
      </c>
      <c r="W194" s="20" t="str">
        <f ca="1">IF(CALC2223!BA194&gt;2,INDIRECT(ADDRESS(MATCH(Agenda2526!C195,'CAL4'!A:A,0)+2,2,4,1,"CAL4")),"")</f>
        <v/>
      </c>
      <c r="X194" s="21">
        <f ca="1">IF(CALC2223!BA194&gt;2,INDIRECT(ADDRESS(MATCH(Agenda2526!C195,'CAL4'!A:A,0)+2,3,4,1,"CAL4")),0)</f>
        <v>0</v>
      </c>
      <c r="Y194" s="20" t="str">
        <f ca="1">IF(CALC2223!BB194&gt;0,INDIRECT(ADDRESS(MATCH(Agenda2526!C195,'CAL5'!A:A,0),2,4,1,"CAL5")),"")</f>
        <v/>
      </c>
      <c r="Z194" s="21">
        <f ca="1">IF(CALC2223!BB194&gt;0,INDIRECT(ADDRESS(MATCH(Agenda2526!C195,'CAL5'!A:A,0),3,4,1,"CAL5")),0)</f>
        <v>0</v>
      </c>
      <c r="AA194" s="20" t="str">
        <f ca="1">IF(CALC2223!BB194&gt;1,INDIRECT(ADDRESS(MATCH(Agenda2526!C195,'CAL5'!A:A,0)+1,2,4,1,"CAL5")),"")</f>
        <v/>
      </c>
      <c r="AB194" s="21">
        <f ca="1">IF(CALC2223!BB194&gt;1,INDIRECT(ADDRESS(MATCH(Agenda2526!C195,'CAL5'!A:A,0)+1,3,4,1,"CAL5")),0)</f>
        <v>0</v>
      </c>
      <c r="AC194" s="20" t="str">
        <f ca="1">IF(CALC2223!BB194&gt;2,INDIRECT(ADDRESS(MATCH(Agenda2526!C195,'CAL5'!A:A,0)+2,2,4,1,"CAL5")),"")</f>
        <v/>
      </c>
      <c r="AD194" s="21">
        <f ca="1">IF(CALC2223!BB194&gt;2,INDIRECT(ADDRESS(MATCH(Agenda2526!C195,'CAL5'!A:A,0)+2,3,4,1,"CAL5")),0)</f>
        <v>0</v>
      </c>
      <c r="AE194" s="20" t="str">
        <f ca="1">IF(CALC2223!BC194&gt;0,INDIRECT(ADDRESS(MATCH(Agenda2526!C195,'CAL6'!A:A,0),2,4,1,"CAL6")),"")</f>
        <v/>
      </c>
      <c r="AF194" s="21">
        <f ca="1">IF(CALC2223!BC194&gt;0,INDIRECT(ADDRESS(MATCH(Agenda2526!C195,'CAL6'!A:A,0),3,4,1,"CAL6")),0)</f>
        <v>0</v>
      </c>
      <c r="AG194" s="20" t="str">
        <f ca="1">IF(CALC2223!BC194&gt;1,INDIRECT(ADDRESS(MATCH(Agenda2526!C195,'CAL6'!A:A,0)+1,2,4,1,"CAL6")),"")</f>
        <v/>
      </c>
      <c r="AH194" s="21">
        <f ca="1">IF(CALC2223!BC194&gt;1,INDIRECT(ADDRESS(MATCH(Agenda2526!C195,'CAL6'!A:A,0)+1,3,4,1,"CAL6")),0)</f>
        <v>0</v>
      </c>
      <c r="AI194" s="20" t="str">
        <f ca="1">IF(CALC2223!BC194&gt;2,INDIRECT(ADDRESS(MATCH(Agenda2526!C195,'CAL6'!A:A,0)+2,2,4,1,"CAL6")),"")</f>
        <v/>
      </c>
      <c r="AJ194" s="21">
        <f ca="1">IF(CALC2223!BC194&gt;2,INDIRECT(ADDRESS(MATCH(Agenda2526!C195,'CAL6'!A:A,0)+2,3,4,1,"CAL6")),0)</f>
        <v>0</v>
      </c>
      <c r="AK194" s="20" t="str">
        <f ca="1">IF(CALC2223!BD194&gt;0,INDIRECT(ADDRESS(MATCH(Agenda2526!C195,'CAL7'!A:A,0),2,4,1,"CAL7")),"")</f>
        <v>llbesprG4</v>
      </c>
      <c r="AL194" s="21">
        <f ca="1">IF(CALC2223!BD194&gt;0,INDIRECT(ADDRESS(MATCH(Agenda2526!C195,'CAL7'!A:A,0),3,4,1,"CAL7")),0)</f>
        <v>45896</v>
      </c>
      <c r="AM194" s="20" t="str">
        <f ca="1">IF(CALC2223!BD194&gt;1,INDIRECT(ADDRESS(MATCH(Agenda2526!C195,'CAL7'!A:A,0)+1,2,4,1,"CAL7")),"")</f>
        <v/>
      </c>
      <c r="AN194" s="21">
        <f ca="1">IF(CALC2223!BD194&gt;1,INDIRECT(ADDRESS(MATCH(Agenda2526!C195,'CAL7'!A:A,0)+1,3,4,1,"CAL7")),0)</f>
        <v>0</v>
      </c>
      <c r="AO194" s="20" t="str">
        <f ca="1">IF(CALC2223!BD194&gt;2,INDIRECT(ADDRESS(MATCH(Agenda2526!C195,'CAL7'!A:A,0)+2,2,4,1,"CAL7")),"")</f>
        <v/>
      </c>
      <c r="AP194" s="21">
        <f ca="1">IF(CALC2223!BD194&gt;2,INDIRECT(ADDRESS(MATCH(Agenda2526!C195,'CAL7'!A:A,0)+2,3,4,1,"CAL7")),0)</f>
        <v>0</v>
      </c>
      <c r="AQ194" s="20" t="str">
        <f ca="1">IF(CALC2223!BE194&gt;0,INDIRECT(ADDRESS(MATCH(Agenda2526!C195,'CAL8'!A:A,0),2,4,1,"CAL8")),"")</f>
        <v>30' rooster</v>
      </c>
      <c r="AR194" s="21">
        <f ca="1">IF(CALC2223!BE194&gt;0,INDIRECT(ADDRESS(MATCH(Agenda2526!C195,'CAL8'!A:A,0),3,4,1,"CAL8")),0)</f>
        <v>45896</v>
      </c>
      <c r="AS194" s="20" t="str">
        <f ca="1">IF(CALC2223!BE194&gt;1,INDIRECT(ADDRESS(MATCH(Agenda2526!C195,'CAL8'!A:A,0)+1,2,4,1,"CAL8")),"")</f>
        <v/>
      </c>
      <c r="AT194" s="21">
        <f ca="1">IF(CALC2223!BE194&gt;1,INDIRECT(ADDRESS(MATCH(Agenda2526!C195,'CAL8'!A:A,0)+1,3,4,1,"CAL8")),0)</f>
        <v>0</v>
      </c>
      <c r="AU194" s="20" t="str">
        <f ca="1">IF(CALC2223!BE194&gt;2,INDIRECT(ADDRESS(MATCH(Agenda2526!C195,'CAL8'!A:A,0)+2,2,4,1,"CAL8")),"")</f>
        <v/>
      </c>
      <c r="AV194" s="21">
        <f ca="1">IF(CALC2223!BE194&gt;2,INDIRECT(ADDRESS(MATCH(Agenda2526!C195,'CAL8'!A:A,0)+2,3,4,1,"CAL8")),0)</f>
        <v>0</v>
      </c>
      <c r="AW194" s="105"/>
      <c r="AX194" s="20">
        <f>COUNTIF('CAL1'!A:A,Agenda2526!C195)</f>
        <v>0</v>
      </c>
      <c r="AY194" s="20">
        <f>COUNTIF('CAL2'!A:A,Agenda2526!C195)</f>
        <v>0</v>
      </c>
      <c r="AZ194" s="20">
        <f>COUNTIF('CAL3'!A:A,Agenda2526!C195)</f>
        <v>1</v>
      </c>
      <c r="BA194" s="20">
        <f>COUNTIF('CAL4'!A:A,Agenda2526!C195)</f>
        <v>0</v>
      </c>
      <c r="BB194" s="20">
        <f>COUNTIF('CAL5'!A:A,Agenda2526!C195)</f>
        <v>0</v>
      </c>
      <c r="BC194" s="20">
        <f>COUNTIF('CAL6'!A:A,Agenda2526!C195)</f>
        <v>0</v>
      </c>
      <c r="BD194" s="20">
        <f>COUNTIF('CAL7'!A:A,Agenda2526!C195)</f>
        <v>1</v>
      </c>
      <c r="BE194" s="20">
        <f>COUNTIF('CAL8'!A:A,Agenda2526!C195)</f>
        <v>1</v>
      </c>
    </row>
    <row r="195" spans="1:57" ht="15.75" customHeight="1">
      <c r="A195" s="20" t="str">
        <f ca="1">IF(CALC2223!AX195&gt;0,INDIRECT(ADDRESS(MATCH(Agenda2526!C196,'CAL1'!A:A,0),2,4,1,"CAL1")),"")</f>
        <v/>
      </c>
      <c r="B195" s="21">
        <f ca="1">IF(CALC2223!AX195&gt;0,INDIRECT(ADDRESS(MATCH(Agenda2526!C196,'CAL1'!A:A,0),3,4,1,"CAL1")),0)</f>
        <v>0</v>
      </c>
      <c r="C195" s="20" t="str">
        <f ca="1">IF(CALC2223!AX195&gt;1,INDIRECT(ADDRESS(MATCH(Agenda2526!C196,'CAL1'!A:A,0)+1,2,4,1,"CAL1")),"")</f>
        <v/>
      </c>
      <c r="D195" s="21">
        <f ca="1">IF(CALC2223!AX195&gt;1,INDIRECT(ADDRESS(MATCH(Agenda2526!C196,'CAL1'!A:A,0)+1,3,4,1,"CAL1")),0)</f>
        <v>0</v>
      </c>
      <c r="E195" s="20" t="str">
        <f ca="1">IF(CALC2223!AX195&gt;2,INDIRECT(ADDRESS(MATCH(Agenda2526!C196,'CAL1'!A:A,0)+2,2,4,1,"CAL1")),"")</f>
        <v/>
      </c>
      <c r="F195" s="21">
        <f ca="1">IF(CALC2223!AX195&gt;2,INDIRECT(ADDRESS(MATCH(Agenda2526!C196,'CAL1'!A:A,0)+2,3,4,1,"CAL1")),0)</f>
        <v>0</v>
      </c>
      <c r="G195" s="20" t="str">
        <f ca="1">IF(CALC2223!AY195&gt;0,INDIRECT(ADDRESS(MATCH(Agenda2526!C196,'CAL2'!A:A,0),2,4,1,"CAL2")),"")</f>
        <v>Rep NA</v>
      </c>
      <c r="H195" s="21">
        <f ca="1">IF(CALC2223!AY195&gt;0,INDIRECT(ADDRESS(MATCH(Agenda2526!C196,'CAL2'!A:A,0),3,4,1,"CAL2")),0)</f>
        <v>45903</v>
      </c>
      <c r="I195" s="20" t="str">
        <f ca="1">IF(CALC2223!AY195&gt;1,INDIRECT(ADDRESS(MATCH(Agenda2526!C196,'CAL2'!A:A,0)+1,2,4,1,"CAL2")),"")</f>
        <v/>
      </c>
      <c r="J195" s="21">
        <f ca="1">IF(CALC2223!AY195&gt;1,INDIRECT(ADDRESS(MATCH(Agenda2526!C196,'CAL2'!A:A,0)+1,3,4,1,"CAL2")),0)</f>
        <v>0</v>
      </c>
      <c r="K195" s="20" t="str">
        <f ca="1">IF(CALC2223!AY195&gt;2,INDIRECT(ADDRESS(MATCH(Agenda2526!C196,'CAL2'!A:A,0)+2,2,4,1,"CAL2")),"")</f>
        <v/>
      </c>
      <c r="L195" s="21">
        <f ca="1">IF(CALC2223!AY195&gt;2,INDIRECT(ADDRESS(MATCH(Agenda2526!C196,'CAL2'!A:A,0)+2,3,4,1,"CAL2")),0)</f>
        <v>0</v>
      </c>
      <c r="M195" s="20" t="str">
        <f ca="1">IF(CALC2223!AZ195&gt;0,INDIRECT(ADDRESS(MATCH(Agenda2526!C196,'CAL3'!A:A,0),2,4,1,"CAL3")),"")</f>
        <v/>
      </c>
      <c r="N195" s="21">
        <f ca="1">IF(CALC2223!AZ195&gt;0,INDIRECT(ADDRESS(MATCH(Agenda2526!C196,'CAL3'!A:A,0),3,4,1,"CAL3")),0)</f>
        <v>0</v>
      </c>
      <c r="O195" s="20" t="str">
        <f ca="1">IF(CALC2223!AZ195&gt;1,INDIRECT(ADDRESS(MATCH(Agenda2526!C196,'CAL3'!A:A,0)+1,2,4,1,"CAL3")),"")</f>
        <v/>
      </c>
      <c r="P195" s="21">
        <f ca="1">IF(CALC2223!AZ195&gt;1,INDIRECT(ADDRESS(MATCH(Agenda2526!C196,'CAL3'!A:A,0)+1,3,4,1,"CAL3")),0)</f>
        <v>0</v>
      </c>
      <c r="Q195" s="20" t="str">
        <f ca="1">IF(CALC2223!AZ195&gt;2,INDIRECT(ADDRESS(MATCH(Agenda2526!C196,'CAL3'!A:A,0)+2,2,4,1,"CAL3")),"")</f>
        <v/>
      </c>
      <c r="R195" s="21">
        <f ca="1">IF(CALC2223!AZ195&gt;2,INDIRECT(ADDRESS(MATCH(Agenda2526!C196,'CAL3'!A:A,0)+2,3,4,1,"CAL3")),0)</f>
        <v>0</v>
      </c>
      <c r="S195" s="20" t="str">
        <f ca="1">IF(CALC2223!BA195&gt;0,INDIRECT(ADDRESS(MATCH(Agenda2526!C196,'CAL4'!A:A,0),2,4,1,"CAL4")),"")</f>
        <v>Rep SK</v>
      </c>
      <c r="T195" s="21">
        <f ca="1">IF(CALC2223!BA195&gt;0,INDIRECT(ADDRESS(MATCH(Agenda2526!C196,'CAL4'!A:A,0),3,4,1,"CAL4")),0)</f>
        <v>45896</v>
      </c>
      <c r="U195" s="20" t="str">
        <f ca="1">IF(CALC2223!BA195&gt;1,INDIRECT(ADDRESS(MATCH(Agenda2526!C196,'CAL4'!A:A,0)+1,2,4,1,"CAL4")),"")</f>
        <v/>
      </c>
      <c r="V195" s="21">
        <f ca="1">IF(CALC2223!BA195&gt;1,INDIRECT(ADDRESS(MATCH(Agenda2526!C196,'CAL4'!A:A,0)+1,3,4,1,"CAL4")),0)</f>
        <v>0</v>
      </c>
      <c r="W195" s="20" t="str">
        <f ca="1">IF(CALC2223!BA195&gt;2,INDIRECT(ADDRESS(MATCH(Agenda2526!C196,'CAL4'!A:A,0)+2,2,4,1,"CAL4")),"")</f>
        <v/>
      </c>
      <c r="X195" s="21">
        <f ca="1">IF(CALC2223!BA195&gt;2,INDIRECT(ADDRESS(MATCH(Agenda2526!C196,'CAL4'!A:A,0)+2,3,4,1,"CAL4")),0)</f>
        <v>0</v>
      </c>
      <c r="Y195" s="20" t="str">
        <f ca="1">IF(CALC2223!BB195&gt;0,INDIRECT(ADDRESS(MATCH(Agenda2526!C196,'CAL5'!A:A,0),2,4,1,"CAL5")),"")</f>
        <v/>
      </c>
      <c r="Z195" s="21">
        <f ca="1">IF(CALC2223!BB195&gt;0,INDIRECT(ADDRESS(MATCH(Agenda2526!C196,'CAL5'!A:A,0),3,4,1,"CAL5")),0)</f>
        <v>0</v>
      </c>
      <c r="AA195" s="20" t="str">
        <f ca="1">IF(CALC2223!BB195&gt;1,INDIRECT(ADDRESS(MATCH(Agenda2526!C196,'CAL5'!A:A,0)+1,2,4,1,"CAL5")),"")</f>
        <v/>
      </c>
      <c r="AB195" s="21">
        <f ca="1">IF(CALC2223!BB195&gt;1,INDIRECT(ADDRESS(MATCH(Agenda2526!C196,'CAL5'!A:A,0)+1,3,4,1,"CAL5")),0)</f>
        <v>0</v>
      </c>
      <c r="AC195" s="20" t="str">
        <f ca="1">IF(CALC2223!BB195&gt;2,INDIRECT(ADDRESS(MATCH(Agenda2526!C196,'CAL5'!A:A,0)+2,2,4,1,"CAL5")),"")</f>
        <v/>
      </c>
      <c r="AD195" s="21">
        <f ca="1">IF(CALC2223!BB195&gt;2,INDIRECT(ADDRESS(MATCH(Agenda2526!C196,'CAL5'!A:A,0)+2,3,4,1,"CAL5")),0)</f>
        <v>0</v>
      </c>
      <c r="AE195" s="20" t="str">
        <f ca="1">IF(CALC2223!BC195&gt;0,INDIRECT(ADDRESS(MATCH(Agenda2526!C196,'CAL6'!A:A,0),2,4,1,"CAL6")),"")</f>
        <v/>
      </c>
      <c r="AF195" s="21">
        <f ca="1">IF(CALC2223!BC195&gt;0,INDIRECT(ADDRESS(MATCH(Agenda2526!C196,'CAL6'!A:A,0),3,4,1,"CAL6")),0)</f>
        <v>0</v>
      </c>
      <c r="AG195" s="20" t="str">
        <f ca="1">IF(CALC2223!BC195&gt;1,INDIRECT(ADDRESS(MATCH(Agenda2526!C196,'CAL6'!A:A,0)+1,2,4,1,"CAL6")),"")</f>
        <v/>
      </c>
      <c r="AH195" s="21">
        <f ca="1">IF(CALC2223!BC195&gt;1,INDIRECT(ADDRESS(MATCH(Agenda2526!C196,'CAL6'!A:A,0)+1,3,4,1,"CAL6")),0)</f>
        <v>0</v>
      </c>
      <c r="AI195" s="20" t="str">
        <f ca="1">IF(CALC2223!BC195&gt;2,INDIRECT(ADDRESS(MATCH(Agenda2526!C196,'CAL6'!A:A,0)+2,2,4,1,"CAL6")),"")</f>
        <v/>
      </c>
      <c r="AJ195" s="21">
        <f ca="1">IF(CALC2223!BC195&gt;2,INDIRECT(ADDRESS(MATCH(Agenda2526!C196,'CAL6'!A:A,0)+2,3,4,1,"CAL6")),0)</f>
        <v>0</v>
      </c>
      <c r="AK195" s="20" t="str">
        <f ca="1">IF(CALC2223!BD195&gt;0,INDIRECT(ADDRESS(MATCH(Agenda2526!C196,'CAL7'!A:A,0),2,4,1,"CAL7")),"")</f>
        <v>personeelsweekend</v>
      </c>
      <c r="AL195" s="21">
        <f ca="1">IF(CALC2223!BD195&gt;0,INDIRECT(ADDRESS(MATCH(Agenda2526!C196,'CAL7'!A:A,0),3,4,1,"CAL7")),0)</f>
        <v>45896</v>
      </c>
      <c r="AM195" s="20" t="str">
        <f ca="1">IF(CALC2223!BD195&gt;1,INDIRECT(ADDRESS(MATCH(Agenda2526!C196,'CAL7'!A:A,0)+1,2,4,1,"CAL7")),"")</f>
        <v/>
      </c>
      <c r="AN195" s="21">
        <f ca="1">IF(CALC2223!BD195&gt;1,INDIRECT(ADDRESS(MATCH(Agenda2526!C196,'CAL7'!A:A,0)+1,3,4,1,"CAL7")),0)</f>
        <v>0</v>
      </c>
      <c r="AO195" s="20" t="str">
        <f ca="1">IF(CALC2223!BD195&gt;2,INDIRECT(ADDRESS(MATCH(Agenda2526!C196,'CAL7'!A:A,0)+2,2,4,1,"CAL7")),"")</f>
        <v/>
      </c>
      <c r="AP195" s="21">
        <f ca="1">IF(CALC2223!BD195&gt;2,INDIRECT(ADDRESS(MATCH(Agenda2526!C196,'CAL7'!A:A,0)+2,3,4,1,"CAL7")),0)</f>
        <v>0</v>
      </c>
      <c r="AQ195" s="20" t="str">
        <f ca="1">IF(CALC2223!BE195&gt;0,INDIRECT(ADDRESS(MATCH(Agenda2526!C196,'CAL8'!A:A,0),2,4,1,"CAL8")),"")</f>
        <v/>
      </c>
      <c r="AR195" s="21">
        <f ca="1">IF(CALC2223!BE195&gt;0,INDIRECT(ADDRESS(MATCH(Agenda2526!C196,'CAL8'!A:A,0),3,4,1,"CAL8")),0)</f>
        <v>0</v>
      </c>
      <c r="AS195" s="20" t="str">
        <f ca="1">IF(CALC2223!BE195&gt;1,INDIRECT(ADDRESS(MATCH(Agenda2526!C196,'CAL8'!A:A,0)+1,2,4,1,"CAL8")),"")</f>
        <v/>
      </c>
      <c r="AT195" s="21">
        <f ca="1">IF(CALC2223!BE195&gt;1,INDIRECT(ADDRESS(MATCH(Agenda2526!C196,'CAL8'!A:A,0)+1,3,4,1,"CAL8")),0)</f>
        <v>0</v>
      </c>
      <c r="AU195" s="20" t="str">
        <f ca="1">IF(CALC2223!BE195&gt;2,INDIRECT(ADDRESS(MATCH(Agenda2526!C196,'CAL8'!A:A,0)+2,2,4,1,"CAL8")),"")</f>
        <v/>
      </c>
      <c r="AV195" s="21">
        <f ca="1">IF(CALC2223!BE195&gt;2,INDIRECT(ADDRESS(MATCH(Agenda2526!C196,'CAL8'!A:A,0)+2,3,4,1,"CAL8")),0)</f>
        <v>0</v>
      </c>
      <c r="AW195" s="105"/>
      <c r="AX195" s="20">
        <f>COUNTIF('CAL1'!A:A,Agenda2526!C196)</f>
        <v>0</v>
      </c>
      <c r="AY195" s="20">
        <f>COUNTIF('CAL2'!A:A,Agenda2526!C196)</f>
        <v>1</v>
      </c>
      <c r="AZ195" s="20">
        <f>COUNTIF('CAL3'!A:A,Agenda2526!C196)</f>
        <v>0</v>
      </c>
      <c r="BA195" s="20">
        <f>COUNTIF('CAL4'!A:A,Agenda2526!C196)</f>
        <v>1</v>
      </c>
      <c r="BB195" s="20">
        <f>COUNTIF('CAL5'!A:A,Agenda2526!C196)</f>
        <v>0</v>
      </c>
      <c r="BC195" s="20">
        <f>COUNTIF('CAL6'!A:A,Agenda2526!C196)</f>
        <v>0</v>
      </c>
      <c r="BD195" s="20">
        <f>COUNTIF('CAL7'!A:A,Agenda2526!C196)</f>
        <v>1</v>
      </c>
      <c r="BE195" s="20">
        <f>COUNTIF('CAL8'!A:A,Agenda2526!C196)</f>
        <v>0</v>
      </c>
    </row>
    <row r="196" spans="1:57" ht="15.75" customHeight="1">
      <c r="A196" s="20" t="str">
        <f ca="1">IF(CALC2223!AX196&gt;0,INDIRECT(ADDRESS(MATCH(Agenda2526!C197,'CAL1'!A:A,0),2,4,1,"CAL1")),"")</f>
        <v/>
      </c>
      <c r="B196" s="21">
        <f ca="1">IF(CALC2223!AX196&gt;0,INDIRECT(ADDRESS(MATCH(Agenda2526!C197,'CAL1'!A:A,0),3,4,1,"CAL1")),0)</f>
        <v>0</v>
      </c>
      <c r="C196" s="20" t="str">
        <f ca="1">IF(CALC2223!AX196&gt;1,INDIRECT(ADDRESS(MATCH(Agenda2526!C197,'CAL1'!A:A,0)+1,2,4,1,"CAL1")),"")</f>
        <v/>
      </c>
      <c r="D196" s="21">
        <f ca="1">IF(CALC2223!AX196&gt;1,INDIRECT(ADDRESS(MATCH(Agenda2526!C197,'CAL1'!A:A,0)+1,3,4,1,"CAL1")),0)</f>
        <v>0</v>
      </c>
      <c r="E196" s="20" t="str">
        <f ca="1">IF(CALC2223!AX196&gt;2,INDIRECT(ADDRESS(MATCH(Agenda2526!C197,'CAL1'!A:A,0)+2,2,4,1,"CAL1")),"")</f>
        <v/>
      </c>
      <c r="F196" s="21">
        <f ca="1">IF(CALC2223!AX196&gt;2,INDIRECT(ADDRESS(MATCH(Agenda2526!C197,'CAL1'!A:A,0)+2,3,4,1,"CAL1")),0)</f>
        <v>0</v>
      </c>
      <c r="G196" s="20" t="str">
        <f ca="1">IF(CALC2223!AY196&gt;0,INDIRECT(ADDRESS(MATCH(Agenda2526!C197,'CAL2'!A:A,0),2,4,1,"CAL2")),"")</f>
        <v/>
      </c>
      <c r="H196" s="21">
        <f ca="1">IF(CALC2223!AY196&gt;0,INDIRECT(ADDRESS(MATCH(Agenda2526!C197,'CAL2'!A:A,0),3,4,1,"CAL2")),0)</f>
        <v>0</v>
      </c>
      <c r="I196" s="20" t="str">
        <f ca="1">IF(CALC2223!AY196&gt;1,INDIRECT(ADDRESS(MATCH(Agenda2526!C197,'CAL2'!A:A,0)+1,2,4,1,"CAL2")),"")</f>
        <v/>
      </c>
      <c r="J196" s="21">
        <f ca="1">IF(CALC2223!AY196&gt;1,INDIRECT(ADDRESS(MATCH(Agenda2526!C197,'CAL2'!A:A,0)+1,3,4,1,"CAL2")),0)</f>
        <v>0</v>
      </c>
      <c r="K196" s="20" t="str">
        <f ca="1">IF(CALC2223!AY196&gt;2,INDIRECT(ADDRESS(MATCH(Agenda2526!C197,'CAL2'!A:A,0)+2,2,4,1,"CAL2")),"")</f>
        <v/>
      </c>
      <c r="L196" s="21">
        <f ca="1">IF(CALC2223!AY196&gt;2,INDIRECT(ADDRESS(MATCH(Agenda2526!C197,'CAL2'!A:A,0)+2,3,4,1,"CAL2")),0)</f>
        <v>0</v>
      </c>
      <c r="M196" s="20" t="str">
        <f ca="1">IF(CALC2223!AZ196&gt;0,INDIRECT(ADDRESS(MATCH(Agenda2526!C197,'CAL3'!A:A,0),2,4,1,"CAL3")),"")</f>
        <v/>
      </c>
      <c r="N196" s="21">
        <f ca="1">IF(CALC2223!AZ196&gt;0,INDIRECT(ADDRESS(MATCH(Agenda2526!C197,'CAL3'!A:A,0),3,4,1,"CAL3")),0)</f>
        <v>0</v>
      </c>
      <c r="O196" s="20" t="str">
        <f ca="1">IF(CALC2223!AZ196&gt;1,INDIRECT(ADDRESS(MATCH(Agenda2526!C197,'CAL3'!A:A,0)+1,2,4,1,"CAL3")),"")</f>
        <v/>
      </c>
      <c r="P196" s="21">
        <f ca="1">IF(CALC2223!AZ196&gt;1,INDIRECT(ADDRESS(MATCH(Agenda2526!C197,'CAL3'!A:A,0)+1,3,4,1,"CAL3")),0)</f>
        <v>0</v>
      </c>
      <c r="Q196" s="20" t="str">
        <f ca="1">IF(CALC2223!AZ196&gt;2,INDIRECT(ADDRESS(MATCH(Agenda2526!C197,'CAL3'!A:A,0)+2,2,4,1,"CAL3")),"")</f>
        <v/>
      </c>
      <c r="R196" s="21">
        <f ca="1">IF(CALC2223!AZ196&gt;2,INDIRECT(ADDRESS(MATCH(Agenda2526!C197,'CAL3'!A:A,0)+2,3,4,1,"CAL3")),0)</f>
        <v>0</v>
      </c>
      <c r="S196" s="20" t="str">
        <f ca="1">IF(CALC2223!BA196&gt;0,INDIRECT(ADDRESS(MATCH(Agenda2526!C197,'CAL4'!A:A,0),2,4,1,"CAL4")),"")</f>
        <v/>
      </c>
      <c r="T196" s="21">
        <f ca="1">IF(CALC2223!BA196&gt;0,INDIRECT(ADDRESS(MATCH(Agenda2526!C197,'CAL4'!A:A,0),3,4,1,"CAL4")),0)</f>
        <v>0</v>
      </c>
      <c r="U196" s="20" t="str">
        <f ca="1">IF(CALC2223!BA196&gt;1,INDIRECT(ADDRESS(MATCH(Agenda2526!C197,'CAL4'!A:A,0)+1,2,4,1,"CAL4")),"")</f>
        <v/>
      </c>
      <c r="V196" s="21">
        <f ca="1">IF(CALC2223!BA196&gt;1,INDIRECT(ADDRESS(MATCH(Agenda2526!C197,'CAL4'!A:A,0)+1,3,4,1,"CAL4")),0)</f>
        <v>0</v>
      </c>
      <c r="W196" s="20" t="str">
        <f ca="1">IF(CALC2223!BA196&gt;2,INDIRECT(ADDRESS(MATCH(Agenda2526!C197,'CAL4'!A:A,0)+2,2,4,1,"CAL4")),"")</f>
        <v/>
      </c>
      <c r="X196" s="21">
        <f ca="1">IF(CALC2223!BA196&gt;2,INDIRECT(ADDRESS(MATCH(Agenda2526!C197,'CAL4'!A:A,0)+2,3,4,1,"CAL4")),0)</f>
        <v>0</v>
      </c>
      <c r="Y196" s="20" t="str">
        <f ca="1">IF(CALC2223!BB196&gt;0,INDIRECT(ADDRESS(MATCH(Agenda2526!C197,'CAL5'!A:A,0),2,4,1,"CAL5")),"")</f>
        <v/>
      </c>
      <c r="Z196" s="21">
        <f ca="1">IF(CALC2223!BB196&gt;0,INDIRECT(ADDRESS(MATCH(Agenda2526!C197,'CAL5'!A:A,0),3,4,1,"CAL5")),0)</f>
        <v>0</v>
      </c>
      <c r="AA196" s="20" t="str">
        <f ca="1">IF(CALC2223!BB196&gt;1,INDIRECT(ADDRESS(MATCH(Agenda2526!C197,'CAL5'!A:A,0)+1,2,4,1,"CAL5")),"")</f>
        <v/>
      </c>
      <c r="AB196" s="21">
        <f ca="1">IF(CALC2223!BB196&gt;1,INDIRECT(ADDRESS(MATCH(Agenda2526!C197,'CAL5'!A:A,0)+1,3,4,1,"CAL5")),0)</f>
        <v>0</v>
      </c>
      <c r="AC196" s="20" t="str">
        <f ca="1">IF(CALC2223!BB196&gt;2,INDIRECT(ADDRESS(MATCH(Agenda2526!C197,'CAL5'!A:A,0)+2,2,4,1,"CAL5")),"")</f>
        <v/>
      </c>
      <c r="AD196" s="21">
        <f ca="1">IF(CALC2223!BB196&gt;2,INDIRECT(ADDRESS(MATCH(Agenda2526!C197,'CAL5'!A:A,0)+2,3,4,1,"CAL5")),0)</f>
        <v>0</v>
      </c>
      <c r="AE196" s="20" t="str">
        <f ca="1">IF(CALC2223!BC196&gt;0,INDIRECT(ADDRESS(MATCH(Agenda2526!C197,'CAL6'!A:A,0),2,4,1,"CAL6")),"")</f>
        <v>DELF B2 mondeling</v>
      </c>
      <c r="AF196" s="21">
        <f ca="1">IF(CALC2223!BC196&gt;0,INDIRECT(ADDRESS(MATCH(Agenda2526!C197,'CAL6'!A:A,0),3,4,1,"CAL6")),0)</f>
        <v>45896</v>
      </c>
      <c r="AG196" s="20" t="str">
        <f ca="1">IF(CALC2223!BC196&gt;1,INDIRECT(ADDRESS(MATCH(Agenda2526!C197,'CAL6'!A:A,0)+1,2,4,1,"CAL6")),"")</f>
        <v/>
      </c>
      <c r="AH196" s="21">
        <f ca="1">IF(CALC2223!BC196&gt;1,INDIRECT(ADDRESS(MATCH(Agenda2526!C197,'CAL6'!A:A,0)+1,3,4,1,"CAL6")),0)</f>
        <v>0</v>
      </c>
      <c r="AI196" s="20" t="str">
        <f ca="1">IF(CALC2223!BC196&gt;2,INDIRECT(ADDRESS(MATCH(Agenda2526!C197,'CAL6'!A:A,0)+2,2,4,1,"CAL6")),"")</f>
        <v/>
      </c>
      <c r="AJ196" s="21">
        <f ca="1">IF(CALC2223!BC196&gt;2,INDIRECT(ADDRESS(MATCH(Agenda2526!C197,'CAL6'!A:A,0)+2,3,4,1,"CAL6")),0)</f>
        <v>0</v>
      </c>
      <c r="AK196" s="20" t="str">
        <f ca="1">IF(CALC2223!BD196&gt;0,INDIRECT(ADDRESS(MATCH(Agenda2526!C197,'CAL7'!A:A,0),2,4,1,"CAL7")),"")</f>
        <v>personeelsweekend</v>
      </c>
      <c r="AL196" s="21">
        <f ca="1">IF(CALC2223!BD196&gt;0,INDIRECT(ADDRESS(MATCH(Agenda2526!C197,'CAL7'!A:A,0),3,4,1,"CAL7")),0)</f>
        <v>45896</v>
      </c>
      <c r="AM196" s="20" t="str">
        <f ca="1">IF(CALC2223!BD196&gt;1,INDIRECT(ADDRESS(MATCH(Agenda2526!C197,'CAL7'!A:A,0)+1,2,4,1,"CAL7")),"")</f>
        <v/>
      </c>
      <c r="AN196" s="21">
        <f ca="1">IF(CALC2223!BD196&gt;1,INDIRECT(ADDRESS(MATCH(Agenda2526!C197,'CAL7'!A:A,0)+1,3,4,1,"CAL7")),0)</f>
        <v>0</v>
      </c>
      <c r="AO196" s="20" t="str">
        <f ca="1">IF(CALC2223!BD196&gt;2,INDIRECT(ADDRESS(MATCH(Agenda2526!C197,'CAL7'!A:A,0)+2,2,4,1,"CAL7")),"")</f>
        <v/>
      </c>
      <c r="AP196" s="21">
        <f ca="1">IF(CALC2223!BD196&gt;2,INDIRECT(ADDRESS(MATCH(Agenda2526!C197,'CAL7'!A:A,0)+2,3,4,1,"CAL7")),0)</f>
        <v>0</v>
      </c>
      <c r="AQ196" s="20" t="str">
        <f ca="1">IF(CALC2223!BE196&gt;0,INDIRECT(ADDRESS(MATCH(Agenda2526!C197,'CAL8'!A:A,0),2,4,1,"CAL8")),"")</f>
        <v/>
      </c>
      <c r="AR196" s="21">
        <f ca="1">IF(CALC2223!BE196&gt;0,INDIRECT(ADDRESS(MATCH(Agenda2526!C197,'CAL8'!A:A,0),3,4,1,"CAL8")),0)</f>
        <v>0</v>
      </c>
      <c r="AS196" s="20" t="str">
        <f ca="1">IF(CALC2223!BE196&gt;1,INDIRECT(ADDRESS(MATCH(Agenda2526!C197,'CAL8'!A:A,0)+1,2,4,1,"CAL8")),"")</f>
        <v/>
      </c>
      <c r="AT196" s="21">
        <f ca="1">IF(CALC2223!BE196&gt;1,INDIRECT(ADDRESS(MATCH(Agenda2526!C197,'CAL8'!A:A,0)+1,3,4,1,"CAL8")),0)</f>
        <v>0</v>
      </c>
      <c r="AU196" s="20" t="str">
        <f ca="1">IF(CALC2223!BE196&gt;2,INDIRECT(ADDRESS(MATCH(Agenda2526!C197,'CAL8'!A:A,0)+2,2,4,1,"CAL8")),"")</f>
        <v/>
      </c>
      <c r="AV196" s="21">
        <f ca="1">IF(CALC2223!BE196&gt;2,INDIRECT(ADDRESS(MATCH(Agenda2526!C197,'CAL8'!A:A,0)+2,3,4,1,"CAL8")),0)</f>
        <v>0</v>
      </c>
      <c r="AW196" s="106"/>
      <c r="AX196" s="20">
        <f>COUNTIF('CAL1'!A:A,Agenda2526!C197)</f>
        <v>0</v>
      </c>
      <c r="AY196" s="20">
        <f>COUNTIF('CAL2'!A:A,Agenda2526!C197)</f>
        <v>0</v>
      </c>
      <c r="AZ196" s="20">
        <f>COUNTIF('CAL3'!A:A,Agenda2526!C197)</f>
        <v>0</v>
      </c>
      <c r="BA196" s="20">
        <f>COUNTIF('CAL4'!A:A,Agenda2526!C197)</f>
        <v>0</v>
      </c>
      <c r="BB196" s="20">
        <f>COUNTIF('CAL5'!A:A,Agenda2526!C197)</f>
        <v>0</v>
      </c>
      <c r="BC196" s="20">
        <f>COUNTIF('CAL6'!A:A,Agenda2526!C197)</f>
        <v>1</v>
      </c>
      <c r="BD196" s="20">
        <f>COUNTIF('CAL7'!A:A,Agenda2526!C197)</f>
        <v>1</v>
      </c>
      <c r="BE196" s="20">
        <f>COUNTIF('CAL8'!A:A,Agenda2526!C197)</f>
        <v>0</v>
      </c>
    </row>
    <row r="197" spans="1:57" ht="15.75" customHeight="1">
      <c r="A197" s="20" t="str">
        <f ca="1">IF(CALC2223!AX197&gt;0,INDIRECT(ADDRESS(MATCH(Agenda2526!C198,'CAL1'!A:A,0),2,4,1,"CAL1")),"")</f>
        <v/>
      </c>
      <c r="B197" s="21">
        <f ca="1">IF(CALC2223!AX197&gt;0,INDIRECT(ADDRESS(MATCH(Agenda2526!C198,'CAL1'!A:A,0),3,4,1,"CAL1")),0)</f>
        <v>0</v>
      </c>
      <c r="C197" s="20" t="str">
        <f ca="1">IF(CALC2223!AX197&gt;1,INDIRECT(ADDRESS(MATCH(Agenda2526!C198,'CAL1'!A:A,0)+1,2,4,1,"CAL1")),"")</f>
        <v/>
      </c>
      <c r="D197" s="21">
        <f ca="1">IF(CALC2223!AX197&gt;1,INDIRECT(ADDRESS(MATCH(Agenda2526!C198,'CAL1'!A:A,0)+1,3,4,1,"CAL1")),0)</f>
        <v>0</v>
      </c>
      <c r="E197" s="20" t="str">
        <f ca="1">IF(CALC2223!AX197&gt;2,INDIRECT(ADDRESS(MATCH(Agenda2526!C198,'CAL1'!A:A,0)+2,2,4,1,"CAL1")),"")</f>
        <v/>
      </c>
      <c r="F197" s="21">
        <f ca="1">IF(CALC2223!AX197&gt;2,INDIRECT(ADDRESS(MATCH(Agenda2526!C198,'CAL1'!A:A,0)+2,3,4,1,"CAL1")),0)</f>
        <v>0</v>
      </c>
      <c r="G197" s="20" t="str">
        <f ca="1">IF(CALC2223!AY197&gt;0,INDIRECT(ADDRESS(MATCH(Agenda2526!C198,'CAL2'!A:A,0),2,4,1,"CAL2")),"")</f>
        <v/>
      </c>
      <c r="H197" s="21">
        <f ca="1">IF(CALC2223!AY197&gt;0,INDIRECT(ADDRESS(MATCH(Agenda2526!C198,'CAL2'!A:A,0),3,4,1,"CAL2")),0)</f>
        <v>0</v>
      </c>
      <c r="I197" s="20" t="str">
        <f ca="1">IF(CALC2223!AY197&gt;1,INDIRECT(ADDRESS(MATCH(Agenda2526!C198,'CAL2'!A:A,0)+1,2,4,1,"CAL2")),"")</f>
        <v/>
      </c>
      <c r="J197" s="21">
        <f ca="1">IF(CALC2223!AY197&gt;1,INDIRECT(ADDRESS(MATCH(Agenda2526!C198,'CAL2'!A:A,0)+1,3,4,1,"CAL2")),0)</f>
        <v>0</v>
      </c>
      <c r="K197" s="20" t="str">
        <f ca="1">IF(CALC2223!AY197&gt;2,INDIRECT(ADDRESS(MATCH(Agenda2526!C198,'CAL2'!A:A,0)+2,2,4,1,"CAL2")),"")</f>
        <v/>
      </c>
      <c r="L197" s="21">
        <f ca="1">IF(CALC2223!AY197&gt;2,INDIRECT(ADDRESS(MATCH(Agenda2526!C198,'CAL2'!A:A,0)+2,3,4,1,"CAL2")),0)</f>
        <v>0</v>
      </c>
      <c r="M197" s="20" t="str">
        <f ca="1">IF(CALC2223!AZ197&gt;0,INDIRECT(ADDRESS(MATCH(Agenda2526!C198,'CAL3'!A:A,0),2,4,1,"CAL3")),"")</f>
        <v/>
      </c>
      <c r="N197" s="21">
        <f ca="1">IF(CALC2223!AZ197&gt;0,INDIRECT(ADDRESS(MATCH(Agenda2526!C198,'CAL3'!A:A,0),3,4,1,"CAL3")),0)</f>
        <v>0</v>
      </c>
      <c r="O197" s="20" t="str">
        <f ca="1">IF(CALC2223!AZ197&gt;1,INDIRECT(ADDRESS(MATCH(Agenda2526!C198,'CAL3'!A:A,0)+1,2,4,1,"CAL3")),"")</f>
        <v/>
      </c>
      <c r="P197" s="21">
        <f ca="1">IF(CALC2223!AZ197&gt;1,INDIRECT(ADDRESS(MATCH(Agenda2526!C198,'CAL3'!A:A,0)+1,3,4,1,"CAL3")),0)</f>
        <v>0</v>
      </c>
      <c r="Q197" s="20" t="str">
        <f ca="1">IF(CALC2223!AZ197&gt;2,INDIRECT(ADDRESS(MATCH(Agenda2526!C198,'CAL3'!A:A,0)+2,2,4,1,"CAL3")),"")</f>
        <v/>
      </c>
      <c r="R197" s="21">
        <f ca="1">IF(CALC2223!AZ197&gt;2,INDIRECT(ADDRESS(MATCH(Agenda2526!C198,'CAL3'!A:A,0)+2,3,4,1,"CAL3")),0)</f>
        <v>0</v>
      </c>
      <c r="S197" s="20" t="str">
        <f ca="1">IF(CALC2223!BA197&gt;0,INDIRECT(ADDRESS(MATCH(Agenda2526!C198,'CAL4'!A:A,0),2,4,1,"CAL4")),"")</f>
        <v/>
      </c>
      <c r="T197" s="21">
        <f ca="1">IF(CALC2223!BA197&gt;0,INDIRECT(ADDRESS(MATCH(Agenda2526!C198,'CAL4'!A:A,0),3,4,1,"CAL4")),0)</f>
        <v>0</v>
      </c>
      <c r="U197" s="20" t="str">
        <f ca="1">IF(CALC2223!BA197&gt;1,INDIRECT(ADDRESS(MATCH(Agenda2526!C198,'CAL4'!A:A,0)+1,2,4,1,"CAL4")),"")</f>
        <v/>
      </c>
      <c r="V197" s="21">
        <f ca="1">IF(CALC2223!BA197&gt;1,INDIRECT(ADDRESS(MATCH(Agenda2526!C198,'CAL4'!A:A,0)+1,3,4,1,"CAL4")),0)</f>
        <v>0</v>
      </c>
      <c r="W197" s="20" t="str">
        <f ca="1">IF(CALC2223!BA197&gt;2,INDIRECT(ADDRESS(MATCH(Agenda2526!C198,'CAL4'!A:A,0)+2,2,4,1,"CAL4")),"")</f>
        <v/>
      </c>
      <c r="X197" s="21">
        <f ca="1">IF(CALC2223!BA197&gt;2,INDIRECT(ADDRESS(MATCH(Agenda2526!C198,'CAL4'!A:A,0)+2,3,4,1,"CAL4")),0)</f>
        <v>0</v>
      </c>
      <c r="Y197" s="20" t="str">
        <f ca="1">IF(CALC2223!BB197&gt;0,INDIRECT(ADDRESS(MATCH(Agenda2526!C198,'CAL5'!A:A,0),2,4,1,"CAL5")),"")</f>
        <v/>
      </c>
      <c r="Z197" s="21">
        <f ca="1">IF(CALC2223!BB197&gt;0,INDIRECT(ADDRESS(MATCH(Agenda2526!C198,'CAL5'!A:A,0),3,4,1,"CAL5")),0)</f>
        <v>0</v>
      </c>
      <c r="AA197" s="20" t="str">
        <f ca="1">IF(CALC2223!BB197&gt;1,INDIRECT(ADDRESS(MATCH(Agenda2526!C198,'CAL5'!A:A,0)+1,2,4,1,"CAL5")),"")</f>
        <v/>
      </c>
      <c r="AB197" s="21">
        <f ca="1">IF(CALC2223!BB197&gt;1,INDIRECT(ADDRESS(MATCH(Agenda2526!C198,'CAL5'!A:A,0)+1,3,4,1,"CAL5")),0)</f>
        <v>0</v>
      </c>
      <c r="AC197" s="20" t="str">
        <f ca="1">IF(CALC2223!BB197&gt;2,INDIRECT(ADDRESS(MATCH(Agenda2526!C198,'CAL5'!A:A,0)+2,2,4,1,"CAL5")),"")</f>
        <v/>
      </c>
      <c r="AD197" s="21">
        <f ca="1">IF(CALC2223!BB197&gt;2,INDIRECT(ADDRESS(MATCH(Agenda2526!C198,'CAL5'!A:A,0)+2,3,4,1,"CAL5")),0)</f>
        <v>0</v>
      </c>
      <c r="AE197" s="20" t="str">
        <f ca="1">IF(CALC2223!BC197&gt;0,INDIRECT(ADDRESS(MATCH(Agenda2526!C198,'CAL6'!A:A,0),2,4,1,"CAL6")),"")</f>
        <v/>
      </c>
      <c r="AF197" s="21">
        <f ca="1">IF(CALC2223!BC197&gt;0,INDIRECT(ADDRESS(MATCH(Agenda2526!C198,'CAL6'!A:A,0),3,4,1,"CAL6")),0)</f>
        <v>0</v>
      </c>
      <c r="AG197" s="20" t="str">
        <f ca="1">IF(CALC2223!BC197&gt;1,INDIRECT(ADDRESS(MATCH(Agenda2526!C198,'CAL6'!A:A,0)+1,2,4,1,"CAL6")),"")</f>
        <v/>
      </c>
      <c r="AH197" s="21">
        <f ca="1">IF(CALC2223!BC197&gt;1,INDIRECT(ADDRESS(MATCH(Agenda2526!C198,'CAL6'!A:A,0)+1,3,4,1,"CAL6")),0)</f>
        <v>0</v>
      </c>
      <c r="AI197" s="20" t="str">
        <f ca="1">IF(CALC2223!BC197&gt;2,INDIRECT(ADDRESS(MATCH(Agenda2526!C198,'CAL6'!A:A,0)+2,2,4,1,"CAL6")),"")</f>
        <v/>
      </c>
      <c r="AJ197" s="21">
        <f ca="1">IF(CALC2223!BC197&gt;2,INDIRECT(ADDRESS(MATCH(Agenda2526!C198,'CAL6'!A:A,0)+2,3,4,1,"CAL6")),0)</f>
        <v>0</v>
      </c>
      <c r="AK197" s="20" t="str">
        <f ca="1">IF(CALC2223!BD197&gt;0,INDIRECT(ADDRESS(MATCH(Agenda2526!C198,'CAL7'!A:A,0),2,4,1,"CAL7")),"")</f>
        <v>personeelsweekned</v>
      </c>
      <c r="AL197" s="21">
        <f ca="1">IF(CALC2223!BD197&gt;0,INDIRECT(ADDRESS(MATCH(Agenda2526!C198,'CAL7'!A:A,0),3,4,1,"CAL7")),0)</f>
        <v>45896</v>
      </c>
      <c r="AM197" s="20" t="str">
        <f ca="1">IF(CALC2223!BD197&gt;1,INDIRECT(ADDRESS(MATCH(Agenda2526!C198,'CAL7'!A:A,0)+1,2,4,1,"CAL7")),"")</f>
        <v/>
      </c>
      <c r="AN197" s="21">
        <f ca="1">IF(CALC2223!BD197&gt;1,INDIRECT(ADDRESS(MATCH(Agenda2526!C198,'CAL7'!A:A,0)+1,3,4,1,"CAL7")),0)</f>
        <v>0</v>
      </c>
      <c r="AO197" s="20" t="str">
        <f ca="1">IF(CALC2223!BD197&gt;2,INDIRECT(ADDRESS(MATCH(Agenda2526!C198,'CAL7'!A:A,0)+2,2,4,1,"CAL7")),"")</f>
        <v/>
      </c>
      <c r="AP197" s="21">
        <f ca="1">IF(CALC2223!BD197&gt;2,INDIRECT(ADDRESS(MATCH(Agenda2526!C198,'CAL7'!A:A,0)+2,3,4,1,"CAL7")),0)</f>
        <v>0</v>
      </c>
      <c r="AQ197" s="20" t="str">
        <f ca="1">IF(CALC2223!BE197&gt;0,INDIRECT(ADDRESS(MATCH(Agenda2526!C198,'CAL8'!A:A,0),2,4,1,"CAL8")),"")</f>
        <v/>
      </c>
      <c r="AR197" s="21">
        <f ca="1">IF(CALC2223!BE197&gt;0,INDIRECT(ADDRESS(MATCH(Agenda2526!C198,'CAL8'!A:A,0),3,4,1,"CAL8")),0)</f>
        <v>0</v>
      </c>
      <c r="AS197" s="20" t="str">
        <f ca="1">IF(CALC2223!BE197&gt;1,INDIRECT(ADDRESS(MATCH(Agenda2526!C198,'CAL8'!A:A,0)+1,2,4,1,"CAL8")),"")</f>
        <v/>
      </c>
      <c r="AT197" s="21">
        <f ca="1">IF(CALC2223!BE197&gt;1,INDIRECT(ADDRESS(MATCH(Agenda2526!C198,'CAL8'!A:A,0)+1,3,4,1,"CAL8")),0)</f>
        <v>0</v>
      </c>
      <c r="AU197" s="20" t="str">
        <f ca="1">IF(CALC2223!BE197&gt;2,INDIRECT(ADDRESS(MATCH(Agenda2526!C198,'CAL8'!A:A,0)+2,2,4,1,"CAL8")),"")</f>
        <v/>
      </c>
      <c r="AV197" s="21">
        <f ca="1">IF(CALC2223!BE197&gt;2,INDIRECT(ADDRESS(MATCH(Agenda2526!C198,'CAL8'!A:A,0)+2,3,4,1,"CAL8")),0)</f>
        <v>0</v>
      </c>
      <c r="AW197" s="106"/>
      <c r="AX197" s="20">
        <f>COUNTIF('CAL1'!A:A,Agenda2526!C198)</f>
        <v>0</v>
      </c>
      <c r="AY197" s="20">
        <f>COUNTIF('CAL2'!A:A,Agenda2526!C198)</f>
        <v>0</v>
      </c>
      <c r="AZ197" s="20">
        <f>COUNTIF('CAL3'!A:A,Agenda2526!C198)</f>
        <v>0</v>
      </c>
      <c r="BA197" s="20">
        <f>COUNTIF('CAL4'!A:A,Agenda2526!C198)</f>
        <v>0</v>
      </c>
      <c r="BB197" s="20">
        <f>COUNTIF('CAL5'!A:A,Agenda2526!C198)</f>
        <v>0</v>
      </c>
      <c r="BC197" s="20">
        <f>COUNTIF('CAL6'!A:A,Agenda2526!C198)</f>
        <v>0</v>
      </c>
      <c r="BD197" s="20">
        <f>COUNTIF('CAL7'!A:A,Agenda2526!C198)</f>
        <v>1</v>
      </c>
      <c r="BE197" s="20">
        <f>COUNTIF('CAL8'!A:A,Agenda2526!C198)</f>
        <v>0</v>
      </c>
    </row>
    <row r="198" spans="1:57" ht="15.75" customHeight="1">
      <c r="A198" s="20" t="str">
        <f ca="1">IF(CALC2223!AX198&gt;0,INDIRECT(ADDRESS(MATCH(Agenda2526!C199,'CAL1'!A:A,0),2,4,1,"CAL1")),"")</f>
        <v/>
      </c>
      <c r="B198" s="21">
        <f ca="1">IF(CALC2223!AX198&gt;0,INDIRECT(ADDRESS(MATCH(Agenda2526!C199,'CAL1'!A:A,0),3,4,1,"CAL1")),0)</f>
        <v>0</v>
      </c>
      <c r="C198" s="20" t="str">
        <f ca="1">IF(CALC2223!AX198&gt;1,INDIRECT(ADDRESS(MATCH(Agenda2526!C199,'CAL1'!A:A,0)+1,2,4,1,"CAL1")),"")</f>
        <v/>
      </c>
      <c r="D198" s="21">
        <f ca="1">IF(CALC2223!AX198&gt;1,INDIRECT(ADDRESS(MATCH(Agenda2526!C199,'CAL1'!A:A,0)+1,3,4,1,"CAL1")),0)</f>
        <v>0</v>
      </c>
      <c r="E198" s="20" t="str">
        <f ca="1">IF(CALC2223!AX198&gt;2,INDIRECT(ADDRESS(MATCH(Agenda2526!C199,'CAL1'!A:A,0)+2,2,4,1,"CAL1")),"")</f>
        <v/>
      </c>
      <c r="F198" s="21">
        <f ca="1">IF(CALC2223!AX198&gt;2,INDIRECT(ADDRESS(MATCH(Agenda2526!C199,'CAL1'!A:A,0)+2,3,4,1,"CAL1")),0)</f>
        <v>0</v>
      </c>
      <c r="G198" s="20" t="str">
        <f ca="1">IF(CALC2223!AY198&gt;0,INDIRECT(ADDRESS(MATCH(Agenda2526!C199,'CAL2'!A:A,0),2,4,1,"CAL2")),"")</f>
        <v/>
      </c>
      <c r="H198" s="21">
        <f ca="1">IF(CALC2223!AY198&gt;0,INDIRECT(ADDRESS(MATCH(Agenda2526!C199,'CAL2'!A:A,0),3,4,1,"CAL2")),0)</f>
        <v>0</v>
      </c>
      <c r="I198" s="20" t="str">
        <f ca="1">IF(CALC2223!AY198&gt;1,INDIRECT(ADDRESS(MATCH(Agenda2526!C199,'CAL2'!A:A,0)+1,2,4,1,"CAL2")),"")</f>
        <v/>
      </c>
      <c r="J198" s="21">
        <f ca="1">IF(CALC2223!AY198&gt;1,INDIRECT(ADDRESS(MATCH(Agenda2526!C199,'CAL2'!A:A,0)+1,3,4,1,"CAL2")),0)</f>
        <v>0</v>
      </c>
      <c r="K198" s="20" t="str">
        <f ca="1">IF(CALC2223!AY198&gt;2,INDIRECT(ADDRESS(MATCH(Agenda2526!C199,'CAL2'!A:A,0)+2,2,4,1,"CAL2")),"")</f>
        <v/>
      </c>
      <c r="L198" s="21">
        <f ca="1">IF(CALC2223!AY198&gt;2,INDIRECT(ADDRESS(MATCH(Agenda2526!C199,'CAL2'!A:A,0)+2,3,4,1,"CAL2")),0)</f>
        <v>0</v>
      </c>
      <c r="M198" s="20" t="str">
        <f ca="1">IF(CALC2223!AZ198&gt;0,INDIRECT(ADDRESS(MATCH(Agenda2526!C199,'CAL3'!A:A,0),2,4,1,"CAL3")),"")</f>
        <v/>
      </c>
      <c r="N198" s="21">
        <f ca="1">IF(CALC2223!AZ198&gt;0,INDIRECT(ADDRESS(MATCH(Agenda2526!C199,'CAL3'!A:A,0),3,4,1,"CAL3")),0)</f>
        <v>0</v>
      </c>
      <c r="O198" s="20" t="str">
        <f ca="1">IF(CALC2223!AZ198&gt;1,INDIRECT(ADDRESS(MATCH(Agenda2526!C199,'CAL3'!A:A,0)+1,2,4,1,"CAL3")),"")</f>
        <v/>
      </c>
      <c r="P198" s="21">
        <f ca="1">IF(CALC2223!AZ198&gt;1,INDIRECT(ADDRESS(MATCH(Agenda2526!C199,'CAL3'!A:A,0)+1,3,4,1,"CAL3")),0)</f>
        <v>0</v>
      </c>
      <c r="Q198" s="20" t="str">
        <f ca="1">IF(CALC2223!AZ198&gt;2,INDIRECT(ADDRESS(MATCH(Agenda2526!C199,'CAL3'!A:A,0)+2,2,4,1,"CAL3")),"")</f>
        <v/>
      </c>
      <c r="R198" s="21">
        <f ca="1">IF(CALC2223!AZ198&gt;2,INDIRECT(ADDRESS(MATCH(Agenda2526!C199,'CAL3'!A:A,0)+2,3,4,1,"CAL3")),0)</f>
        <v>0</v>
      </c>
      <c r="S198" s="20" t="str">
        <f ca="1">IF(CALC2223!BA198&gt;0,INDIRECT(ADDRESS(MATCH(Agenda2526!C199,'CAL4'!A:A,0),2,4,1,"CAL4")),"")</f>
        <v/>
      </c>
      <c r="T198" s="21">
        <f ca="1">IF(CALC2223!BA198&gt;0,INDIRECT(ADDRESS(MATCH(Agenda2526!C199,'CAL4'!A:A,0),3,4,1,"CAL4")),0)</f>
        <v>0</v>
      </c>
      <c r="U198" s="20" t="str">
        <f ca="1">IF(CALC2223!BA198&gt;1,INDIRECT(ADDRESS(MATCH(Agenda2526!C199,'CAL4'!A:A,0)+1,2,4,1,"CAL4")),"")</f>
        <v/>
      </c>
      <c r="V198" s="21">
        <f ca="1">IF(CALC2223!BA198&gt;1,INDIRECT(ADDRESS(MATCH(Agenda2526!C199,'CAL4'!A:A,0)+1,3,4,1,"CAL4")),0)</f>
        <v>0</v>
      </c>
      <c r="W198" s="20" t="str">
        <f ca="1">IF(CALC2223!BA198&gt;2,INDIRECT(ADDRESS(MATCH(Agenda2526!C199,'CAL4'!A:A,0)+2,2,4,1,"CAL4")),"")</f>
        <v/>
      </c>
      <c r="X198" s="21">
        <f ca="1">IF(CALC2223!BA198&gt;2,INDIRECT(ADDRESS(MATCH(Agenda2526!C199,'CAL4'!A:A,0)+2,3,4,1,"CAL4")),0)</f>
        <v>0</v>
      </c>
      <c r="Y198" s="20" t="str">
        <f ca="1">IF(CALC2223!BB198&gt;0,INDIRECT(ADDRESS(MATCH(Agenda2526!C199,'CAL5'!A:A,0),2,4,1,"CAL5")),"")</f>
        <v>Rep NA</v>
      </c>
      <c r="Z198" s="21">
        <f ca="1">IF(CALC2223!BB198&gt;0,INDIRECT(ADDRESS(MATCH(Agenda2526!C199,'CAL5'!A:A,0),3,4,1,"CAL5")),0)</f>
        <v>45896</v>
      </c>
      <c r="AA198" s="20" t="str">
        <f ca="1">IF(CALC2223!BB198&gt;1,INDIRECT(ADDRESS(MATCH(Agenda2526!C199,'CAL5'!A:A,0)+1,2,4,1,"CAL5")),"")</f>
        <v>inh rep WiB</v>
      </c>
      <c r="AB198" s="21">
        <f ca="1">IF(CALC2223!BB198&gt;1,INDIRECT(ADDRESS(MATCH(Agenda2526!C199,'CAL5'!A:A,0)+1,3,4,1,"CAL5")),0)</f>
        <v>45936</v>
      </c>
      <c r="AC198" s="20" t="str">
        <f ca="1">IF(CALC2223!BB198&gt;2,INDIRECT(ADDRESS(MATCH(Agenda2526!C199,'CAL5'!A:A,0)+2,2,4,1,"CAL5")),"")</f>
        <v/>
      </c>
      <c r="AD198" s="21">
        <f ca="1">IF(CALC2223!BB198&gt;2,INDIRECT(ADDRESS(MATCH(Agenda2526!C199,'CAL5'!A:A,0)+2,3,4,1,"CAL5")),0)</f>
        <v>0</v>
      </c>
      <c r="AE198" s="20" t="str">
        <f ca="1">IF(CALC2223!BC198&gt;0,INDIRECT(ADDRESS(MATCH(Agenda2526!C199,'CAL6'!A:A,0),2,4,1,"CAL6")),"")</f>
        <v/>
      </c>
      <c r="AF198" s="21">
        <f ca="1">IF(CALC2223!BC198&gt;0,INDIRECT(ADDRESS(MATCH(Agenda2526!C199,'CAL6'!A:A,0),3,4,1,"CAL6")),0)</f>
        <v>0</v>
      </c>
      <c r="AG198" s="20" t="str">
        <f ca="1">IF(CALC2223!BC198&gt;1,INDIRECT(ADDRESS(MATCH(Agenda2526!C199,'CAL6'!A:A,0)+1,2,4,1,"CAL6")),"")</f>
        <v/>
      </c>
      <c r="AH198" s="21">
        <f ca="1">IF(CALC2223!BC198&gt;1,INDIRECT(ADDRESS(MATCH(Agenda2526!C199,'CAL6'!A:A,0)+1,3,4,1,"CAL6")),0)</f>
        <v>0</v>
      </c>
      <c r="AI198" s="20" t="str">
        <f ca="1">IF(CALC2223!BC198&gt;2,INDIRECT(ADDRESS(MATCH(Agenda2526!C199,'CAL6'!A:A,0)+2,2,4,1,"CAL6")),"")</f>
        <v/>
      </c>
      <c r="AJ198" s="21">
        <f ca="1">IF(CALC2223!BC198&gt;2,INDIRECT(ADDRESS(MATCH(Agenda2526!C199,'CAL6'!A:A,0)+2,3,4,1,"CAL6")),0)</f>
        <v>0</v>
      </c>
      <c r="AK198" s="20" t="str">
        <f ca="1">IF(CALC2223!BD198&gt;0,INDIRECT(ADDRESS(MATCH(Agenda2526!C199,'CAL7'!A:A,0),2,4,1,"CAL7")),"")</f>
        <v/>
      </c>
      <c r="AL198" s="21">
        <f ca="1">IF(CALC2223!BD198&gt;0,INDIRECT(ADDRESS(MATCH(Agenda2526!C199,'CAL7'!A:A,0),3,4,1,"CAL7")),0)</f>
        <v>0</v>
      </c>
      <c r="AM198" s="20" t="str">
        <f ca="1">IF(CALC2223!BD198&gt;1,INDIRECT(ADDRESS(MATCH(Agenda2526!C199,'CAL7'!A:A,0)+1,2,4,1,"CAL7")),"")</f>
        <v/>
      </c>
      <c r="AN198" s="21">
        <f ca="1">IF(CALC2223!BD198&gt;1,INDIRECT(ADDRESS(MATCH(Agenda2526!C199,'CAL7'!A:A,0)+1,3,4,1,"CAL7")),0)</f>
        <v>0</v>
      </c>
      <c r="AO198" s="20" t="str">
        <f ca="1">IF(CALC2223!BD198&gt;2,INDIRECT(ADDRESS(MATCH(Agenda2526!C199,'CAL7'!A:A,0)+2,2,4,1,"CAL7")),"")</f>
        <v/>
      </c>
      <c r="AP198" s="21">
        <f ca="1">IF(CALC2223!BD198&gt;2,INDIRECT(ADDRESS(MATCH(Agenda2526!C199,'CAL7'!A:A,0)+2,3,4,1,"CAL7")),0)</f>
        <v>0</v>
      </c>
      <c r="AQ198" s="20" t="str">
        <f ca="1">IF(CALC2223!BE198&gt;0,INDIRECT(ADDRESS(MATCH(Agenda2526!C199,'CAL8'!A:A,0),2,4,1,"CAL8")),"")</f>
        <v/>
      </c>
      <c r="AR198" s="21">
        <f ca="1">IF(CALC2223!BE198&gt;0,INDIRECT(ADDRESS(MATCH(Agenda2526!C199,'CAL8'!A:A,0),3,4,1,"CAL8")),0)</f>
        <v>0</v>
      </c>
      <c r="AS198" s="20" t="str">
        <f ca="1">IF(CALC2223!BE198&gt;1,INDIRECT(ADDRESS(MATCH(Agenda2526!C199,'CAL8'!A:A,0)+1,2,4,1,"CAL8")),"")</f>
        <v/>
      </c>
      <c r="AT198" s="21">
        <f ca="1">IF(CALC2223!BE198&gt;1,INDIRECT(ADDRESS(MATCH(Agenda2526!C199,'CAL8'!A:A,0)+1,3,4,1,"CAL8")),0)</f>
        <v>0</v>
      </c>
      <c r="AU198" s="20" t="str">
        <f ca="1">IF(CALC2223!BE198&gt;2,INDIRECT(ADDRESS(MATCH(Agenda2526!C199,'CAL8'!A:A,0)+2,2,4,1,"CAL8")),"")</f>
        <v/>
      </c>
      <c r="AV198" s="21">
        <f ca="1">IF(CALC2223!BE198&gt;2,INDIRECT(ADDRESS(MATCH(Agenda2526!C199,'CAL8'!A:A,0)+2,3,4,1,"CAL8")),0)</f>
        <v>0</v>
      </c>
      <c r="AW198" s="105"/>
      <c r="AX198" s="20">
        <f>COUNTIF('CAL1'!A:A,Agenda2526!C199)</f>
        <v>0</v>
      </c>
      <c r="AY198" s="20">
        <f>COUNTIF('CAL2'!A:A,Agenda2526!C199)</f>
        <v>0</v>
      </c>
      <c r="AZ198" s="20">
        <f>COUNTIF('CAL3'!A:A,Agenda2526!C199)</f>
        <v>0</v>
      </c>
      <c r="BA198" s="20">
        <f>COUNTIF('CAL4'!A:A,Agenda2526!C199)</f>
        <v>0</v>
      </c>
      <c r="BB198" s="20">
        <f>COUNTIF('CAL5'!A:A,Agenda2526!C199)</f>
        <v>2</v>
      </c>
      <c r="BC198" s="20">
        <f>COUNTIF('CAL6'!A:A,Agenda2526!C199)</f>
        <v>0</v>
      </c>
      <c r="BD198" s="20">
        <f>COUNTIF('CAL7'!A:A,Agenda2526!C199)</f>
        <v>0</v>
      </c>
      <c r="BE198" s="20">
        <f>COUNTIF('CAL8'!A:A,Agenda2526!C199)</f>
        <v>0</v>
      </c>
    </row>
    <row r="199" spans="1:57" ht="15.75" customHeight="1">
      <c r="A199" s="20" t="str">
        <f ca="1">IF(CALC2223!AX199&gt;0,INDIRECT(ADDRESS(MATCH(Agenda2526!C200,'CAL1'!A:A,0),2,4,1,"CAL1")),"")</f>
        <v/>
      </c>
      <c r="B199" s="21">
        <f ca="1">IF(CALC2223!AX199&gt;0,INDIRECT(ADDRESS(MATCH(Agenda2526!C200,'CAL1'!A:A,0),3,4,1,"CAL1")),0)</f>
        <v>0</v>
      </c>
      <c r="C199" s="20" t="str">
        <f ca="1">IF(CALC2223!AX199&gt;1,INDIRECT(ADDRESS(MATCH(Agenda2526!C200,'CAL1'!A:A,0)+1,2,4,1,"CAL1")),"")</f>
        <v/>
      </c>
      <c r="D199" s="21">
        <f ca="1">IF(CALC2223!AX199&gt;1,INDIRECT(ADDRESS(MATCH(Agenda2526!C200,'CAL1'!A:A,0)+1,3,4,1,"CAL1")),0)</f>
        <v>0</v>
      </c>
      <c r="E199" s="20" t="str">
        <f ca="1">IF(CALC2223!AX199&gt;2,INDIRECT(ADDRESS(MATCH(Agenda2526!C200,'CAL1'!A:A,0)+2,2,4,1,"CAL1")),"")</f>
        <v/>
      </c>
      <c r="F199" s="21">
        <f ca="1">IF(CALC2223!AX199&gt;2,INDIRECT(ADDRESS(MATCH(Agenda2526!C200,'CAL1'!A:A,0)+2,3,4,1,"CAL1")),0)</f>
        <v>0</v>
      </c>
      <c r="G199" s="20" t="str">
        <f ca="1">IF(CALC2223!AY199&gt;0,INDIRECT(ADDRESS(MATCH(Agenda2526!C200,'CAL2'!A:A,0),2,4,1,"CAL2")),"")</f>
        <v/>
      </c>
      <c r="H199" s="21">
        <f ca="1">IF(CALC2223!AY199&gt;0,INDIRECT(ADDRESS(MATCH(Agenda2526!C200,'CAL2'!A:A,0),3,4,1,"CAL2")),0)</f>
        <v>0</v>
      </c>
      <c r="I199" s="20" t="str">
        <f ca="1">IF(CALC2223!AY199&gt;1,INDIRECT(ADDRESS(MATCH(Agenda2526!C200,'CAL2'!A:A,0)+1,2,4,1,"CAL2")),"")</f>
        <v/>
      </c>
      <c r="J199" s="21">
        <f ca="1">IF(CALC2223!AY199&gt;1,INDIRECT(ADDRESS(MATCH(Agenda2526!C200,'CAL2'!A:A,0)+1,3,4,1,"CAL2")),0)</f>
        <v>0</v>
      </c>
      <c r="K199" s="20" t="str">
        <f ca="1">IF(CALC2223!AY199&gt;2,INDIRECT(ADDRESS(MATCH(Agenda2526!C200,'CAL2'!A:A,0)+2,2,4,1,"CAL2")),"")</f>
        <v/>
      </c>
      <c r="L199" s="21">
        <f ca="1">IF(CALC2223!AY199&gt;2,INDIRECT(ADDRESS(MATCH(Agenda2526!C200,'CAL2'!A:A,0)+2,3,4,1,"CAL2")),0)</f>
        <v>0</v>
      </c>
      <c r="M199" s="20" t="str">
        <f ca="1">IF(CALC2223!AZ199&gt;0,INDIRECT(ADDRESS(MATCH(Agenda2526!C200,'CAL3'!A:A,0),2,4,1,"CAL3")),"")</f>
        <v>vakadviezen staan in Magister</v>
      </c>
      <c r="N199" s="21">
        <f ca="1">IF(CALC2223!AZ199&gt;0,INDIRECT(ADDRESS(MATCH(Agenda2526!C200,'CAL3'!A:A,0),3,4,1,"CAL3")),0)</f>
        <v>45896</v>
      </c>
      <c r="O199" s="20" t="str">
        <f ca="1">IF(CALC2223!AZ199&gt;1,INDIRECT(ADDRESS(MATCH(Agenda2526!C200,'CAL3'!A:A,0)+1,2,4,1,"CAL3")),"")</f>
        <v/>
      </c>
      <c r="P199" s="21">
        <f ca="1">IF(CALC2223!AZ199&gt;1,INDIRECT(ADDRESS(MATCH(Agenda2526!C200,'CAL3'!A:A,0)+1,3,4,1,"CAL3")),0)</f>
        <v>0</v>
      </c>
      <c r="Q199" s="20" t="str">
        <f ca="1">IF(CALC2223!AZ199&gt;2,INDIRECT(ADDRESS(MATCH(Agenda2526!C200,'CAL3'!A:A,0)+2,2,4,1,"CAL3")),"")</f>
        <v/>
      </c>
      <c r="R199" s="21">
        <f ca="1">IF(CALC2223!AZ199&gt;2,INDIRECT(ADDRESS(MATCH(Agenda2526!C200,'CAL3'!A:A,0)+2,3,4,1,"CAL3")),0)</f>
        <v>0</v>
      </c>
      <c r="S199" s="20" t="str">
        <f ca="1">IF(CALC2223!BA199&gt;0,INDIRECT(ADDRESS(MATCH(Agenda2526!C200,'CAL4'!A:A,0),2,4,1,"CAL4")),"")</f>
        <v>Rep WIABC</v>
      </c>
      <c r="T199" s="21">
        <f ca="1">IF(CALC2223!BA199&gt;0,INDIRECT(ADDRESS(MATCH(Agenda2526!C200,'CAL4'!A:A,0),3,4,1,"CAL4")),0)</f>
        <v>45905</v>
      </c>
      <c r="U199" s="20" t="str">
        <f ca="1">IF(CALC2223!BA199&gt;1,INDIRECT(ADDRESS(MATCH(Agenda2526!C200,'CAL4'!A:A,0)+1,2,4,1,"CAL4")),"")</f>
        <v/>
      </c>
      <c r="V199" s="21">
        <f ca="1">IF(CALC2223!BA199&gt;1,INDIRECT(ADDRESS(MATCH(Agenda2526!C200,'CAL4'!A:A,0)+1,3,4,1,"CAL4")),0)</f>
        <v>0</v>
      </c>
      <c r="W199" s="20" t="str">
        <f ca="1">IF(CALC2223!BA199&gt;2,INDIRECT(ADDRESS(MATCH(Agenda2526!C200,'CAL4'!A:A,0)+2,2,4,1,"CAL4")),"")</f>
        <v/>
      </c>
      <c r="X199" s="21">
        <f ca="1">IF(CALC2223!BA199&gt;2,INDIRECT(ADDRESS(MATCH(Agenda2526!C200,'CAL4'!A:A,0)+2,3,4,1,"CAL4")),0)</f>
        <v>0</v>
      </c>
      <c r="Y199" s="20" t="str">
        <f ca="1">IF(CALC2223!BB199&gt;0,INDIRECT(ADDRESS(MATCH(Agenda2526!C200,'CAL5'!A:A,0),2,4,1,"CAL5")),"")</f>
        <v/>
      </c>
      <c r="Z199" s="21">
        <f ca="1">IF(CALC2223!BB199&gt;0,INDIRECT(ADDRESS(MATCH(Agenda2526!C200,'CAL5'!A:A,0),3,4,1,"CAL5")),0)</f>
        <v>0</v>
      </c>
      <c r="AA199" s="20" t="str">
        <f ca="1">IF(CALC2223!BB199&gt;1,INDIRECT(ADDRESS(MATCH(Agenda2526!C200,'CAL5'!A:A,0)+1,2,4,1,"CAL5")),"")</f>
        <v/>
      </c>
      <c r="AB199" s="21">
        <f ca="1">IF(CALC2223!BB199&gt;1,INDIRECT(ADDRESS(MATCH(Agenda2526!C200,'CAL5'!A:A,0)+1,3,4,1,"CAL5")),0)</f>
        <v>0</v>
      </c>
      <c r="AC199" s="20" t="str">
        <f ca="1">IF(CALC2223!BB199&gt;2,INDIRECT(ADDRESS(MATCH(Agenda2526!C200,'CAL5'!A:A,0)+2,2,4,1,"CAL5")),"")</f>
        <v/>
      </c>
      <c r="AD199" s="21">
        <f ca="1">IF(CALC2223!BB199&gt;2,INDIRECT(ADDRESS(MATCH(Agenda2526!C200,'CAL5'!A:A,0)+2,3,4,1,"CAL5")),0)</f>
        <v>0</v>
      </c>
      <c r="AE199" s="20" t="str">
        <f ca="1">IF(CALC2223!BC199&gt;0,INDIRECT(ADDRESS(MATCH(Agenda2526!C200,'CAL6'!A:A,0),2,4,1,"CAL6")),"")</f>
        <v>WisD</v>
      </c>
      <c r="AF199" s="21">
        <f ca="1">IF(CALC2223!BC199&gt;0,INDIRECT(ADDRESS(MATCH(Agenda2526!C200,'CAL6'!A:A,0),3,4,1,"CAL6")),0)</f>
        <v>46083</v>
      </c>
      <c r="AG199" s="20" t="str">
        <f ca="1">IF(CALC2223!BC199&gt;1,INDIRECT(ADDRESS(MATCH(Agenda2526!C200,'CAL6'!A:A,0)+1,2,4,1,"CAL6")),"")</f>
        <v/>
      </c>
      <c r="AH199" s="21">
        <f ca="1">IF(CALC2223!BC199&gt;1,INDIRECT(ADDRESS(MATCH(Agenda2526!C200,'CAL6'!A:A,0)+1,3,4,1,"CAL6")),0)</f>
        <v>0</v>
      </c>
      <c r="AI199" s="20" t="str">
        <f ca="1">IF(CALC2223!BC199&gt;2,INDIRECT(ADDRESS(MATCH(Agenda2526!C200,'CAL6'!A:A,0)+2,2,4,1,"CAL6")),"")</f>
        <v/>
      </c>
      <c r="AJ199" s="21">
        <f ca="1">IF(CALC2223!BC199&gt;2,INDIRECT(ADDRESS(MATCH(Agenda2526!C200,'CAL6'!A:A,0)+2,3,4,1,"CAL6")),0)</f>
        <v>0</v>
      </c>
      <c r="AK199" s="20" t="str">
        <f ca="1">IF(CALC2223!BD199&gt;0,INDIRECT(ADDRESS(MATCH(Agenda2526!C200,'CAL7'!A:A,0),2,4,1,"CAL7")),"")</f>
        <v>vakadviezen in Magister lj 3</v>
      </c>
      <c r="AL199" s="21">
        <f ca="1">IF(CALC2223!BD199&gt;0,INDIRECT(ADDRESS(MATCH(Agenda2526!C200,'CAL7'!A:A,0),3,4,1,"CAL7")),0)</f>
        <v>45896</v>
      </c>
      <c r="AM199" s="20" t="str">
        <f ca="1">IF(CALC2223!BD199&gt;1,INDIRECT(ADDRESS(MATCH(Agenda2526!C200,'CAL7'!A:A,0)+1,2,4,1,"CAL7")),"")</f>
        <v>WisD</v>
      </c>
      <c r="AN199" s="21">
        <f ca="1">IF(CALC2223!BD199&gt;1,INDIRECT(ADDRESS(MATCH(Agenda2526!C200,'CAL7'!A:A,0)+1,3,4,1,"CAL7")),0)</f>
        <v>46083</v>
      </c>
      <c r="AO199" s="20" t="str">
        <f ca="1">IF(CALC2223!BD199&gt;2,INDIRECT(ADDRESS(MATCH(Agenda2526!C200,'CAL7'!A:A,0)+2,2,4,1,"CAL7")),"")</f>
        <v/>
      </c>
      <c r="AP199" s="21">
        <f ca="1">IF(CALC2223!BD199&gt;2,INDIRECT(ADDRESS(MATCH(Agenda2526!C200,'CAL7'!A:A,0)+2,3,4,1,"CAL7")),0)</f>
        <v>0</v>
      </c>
      <c r="AQ199" s="20" t="str">
        <f ca="1">IF(CALC2223!BE199&gt;0,INDIRECT(ADDRESS(MATCH(Agenda2526!C200,'CAL8'!A:A,0),2,4,1,"CAL8")),"")</f>
        <v>WisD</v>
      </c>
      <c r="AR199" s="21">
        <f ca="1">IF(CALC2223!BE199&gt;0,INDIRECT(ADDRESS(MATCH(Agenda2526!C200,'CAL8'!A:A,0),3,4,1,"CAL8")),0)</f>
        <v>46083</v>
      </c>
      <c r="AS199" s="20" t="str">
        <f ca="1">IF(CALC2223!BE199&gt;1,INDIRECT(ADDRESS(MATCH(Agenda2526!C200,'CAL8'!A:A,0)+1,2,4,1,"CAL8")),"")</f>
        <v/>
      </c>
      <c r="AT199" s="21">
        <f ca="1">IF(CALC2223!BE199&gt;1,INDIRECT(ADDRESS(MATCH(Agenda2526!C200,'CAL8'!A:A,0)+1,3,4,1,"CAL8")),0)</f>
        <v>0</v>
      </c>
      <c r="AU199" s="20" t="str">
        <f ca="1">IF(CALC2223!BE199&gt;2,INDIRECT(ADDRESS(MATCH(Agenda2526!C200,'CAL8'!A:A,0)+2,2,4,1,"CAL8")),"")</f>
        <v/>
      </c>
      <c r="AV199" s="21">
        <f ca="1">IF(CALC2223!BE199&gt;2,INDIRECT(ADDRESS(MATCH(Agenda2526!C200,'CAL8'!A:A,0)+2,3,4,1,"CAL8")),0)</f>
        <v>0</v>
      </c>
      <c r="AW199" s="105"/>
      <c r="AX199" s="20">
        <f>COUNTIF('CAL1'!A:A,Agenda2526!C200)</f>
        <v>0</v>
      </c>
      <c r="AY199" s="20">
        <f>COUNTIF('CAL2'!A:A,Agenda2526!C200)</f>
        <v>0</v>
      </c>
      <c r="AZ199" s="20">
        <f>COUNTIF('CAL3'!A:A,Agenda2526!C200)</f>
        <v>1</v>
      </c>
      <c r="BA199" s="20">
        <f>COUNTIF('CAL4'!A:A,Agenda2526!C200)</f>
        <v>1</v>
      </c>
      <c r="BB199" s="20">
        <f>COUNTIF('CAL5'!A:A,Agenda2526!C200)</f>
        <v>0</v>
      </c>
      <c r="BC199" s="20">
        <f>COUNTIF('CAL6'!A:A,Agenda2526!C200)</f>
        <v>1</v>
      </c>
      <c r="BD199" s="20">
        <f>COUNTIF('CAL7'!A:A,Agenda2526!C200)</f>
        <v>2</v>
      </c>
      <c r="BE199" s="20">
        <f>COUNTIF('CAL8'!A:A,Agenda2526!C200)</f>
        <v>1</v>
      </c>
    </row>
    <row r="200" spans="1:57" ht="15.75" customHeight="1">
      <c r="A200" s="20" t="str">
        <f ca="1">IF(CALC2223!AX200&gt;0,INDIRECT(ADDRESS(MATCH(Agenda2526!C201,'CAL1'!A:A,0),2,4,1,"CAL1")),"")</f>
        <v>Rep LA</v>
      </c>
      <c r="B200" s="21">
        <f ca="1">IF(CALC2223!AX200&gt;0,INDIRECT(ADDRESS(MATCH(Agenda2526!C201,'CAL1'!A:A,0),3,4,1,"CAL1")),0)</f>
        <v>45901</v>
      </c>
      <c r="C200" s="20" t="str">
        <f ca="1">IF(CALC2223!AX200&gt;1,INDIRECT(ADDRESS(MATCH(Agenda2526!C201,'CAL1'!A:A,0)+1,2,4,1,"CAL1")),"")</f>
        <v/>
      </c>
      <c r="D200" s="21">
        <f ca="1">IF(CALC2223!AX200&gt;1,INDIRECT(ADDRESS(MATCH(Agenda2526!C201,'CAL1'!A:A,0)+1,3,4,1,"CAL1")),0)</f>
        <v>0</v>
      </c>
      <c r="E200" s="20" t="str">
        <f ca="1">IF(CALC2223!AX200&gt;2,INDIRECT(ADDRESS(MATCH(Agenda2526!C201,'CAL1'!A:A,0)+2,2,4,1,"CAL1")),"")</f>
        <v/>
      </c>
      <c r="F200" s="21">
        <f ca="1">IF(CALC2223!AX200&gt;2,INDIRECT(ADDRESS(MATCH(Agenda2526!C201,'CAL1'!A:A,0)+2,3,4,1,"CAL1")),0)</f>
        <v>0</v>
      </c>
      <c r="G200" s="20" t="str">
        <f ca="1">IF(CALC2223!AY200&gt;0,INDIRECT(ADDRESS(MATCH(Agenda2526!C201,'CAL2'!A:A,0),2,4,1,"CAL2")),"")</f>
        <v>Rep LA</v>
      </c>
      <c r="H200" s="21">
        <f ca="1">IF(CALC2223!AY200&gt;0,INDIRECT(ADDRESS(MATCH(Agenda2526!C201,'CAL2'!A:A,0),3,4,1,"CAL2")),0)</f>
        <v>45915</v>
      </c>
      <c r="I200" s="20" t="str">
        <f ca="1">IF(CALC2223!AY200&gt;1,INDIRECT(ADDRESS(MATCH(Agenda2526!C201,'CAL2'!A:A,0)+1,2,4,1,"CAL2")),"")</f>
        <v/>
      </c>
      <c r="J200" s="21">
        <f ca="1">IF(CALC2223!AY200&gt;1,INDIRECT(ADDRESS(MATCH(Agenda2526!C201,'CAL2'!A:A,0)+1,3,4,1,"CAL2")),0)</f>
        <v>0</v>
      </c>
      <c r="K200" s="20" t="str">
        <f ca="1">IF(CALC2223!AY200&gt;2,INDIRECT(ADDRESS(MATCH(Agenda2526!C201,'CAL2'!A:A,0)+2,2,4,1,"CAL2")),"")</f>
        <v/>
      </c>
      <c r="L200" s="21">
        <f ca="1">IF(CALC2223!AY200&gt;2,INDIRECT(ADDRESS(MATCH(Agenda2526!C201,'CAL2'!A:A,0)+2,3,4,1,"CAL2")),0)</f>
        <v>0</v>
      </c>
      <c r="M200" s="20" t="str">
        <f ca="1">IF(CALC2223!AZ200&gt;0,INDIRECT(ADDRESS(MATCH(Agenda2526!C201,'CAL3'!A:A,0),2,4,1,"CAL3")),"")</f>
        <v/>
      </c>
      <c r="N200" s="21">
        <f ca="1">IF(CALC2223!AZ200&gt;0,INDIRECT(ADDRESS(MATCH(Agenda2526!C201,'CAL3'!A:A,0),3,4,1,"CAL3")),0)</f>
        <v>0</v>
      </c>
      <c r="O200" s="20" t="str">
        <f ca="1">IF(CALC2223!AZ200&gt;1,INDIRECT(ADDRESS(MATCH(Agenda2526!C201,'CAL3'!A:A,0)+1,2,4,1,"CAL3")),"")</f>
        <v/>
      </c>
      <c r="P200" s="21">
        <f ca="1">IF(CALC2223!AZ200&gt;1,INDIRECT(ADDRESS(MATCH(Agenda2526!C201,'CAL3'!A:A,0)+1,3,4,1,"CAL3")),0)</f>
        <v>0</v>
      </c>
      <c r="Q200" s="20" t="str">
        <f ca="1">IF(CALC2223!AZ200&gt;2,INDIRECT(ADDRESS(MATCH(Agenda2526!C201,'CAL3'!A:A,0)+2,2,4,1,"CAL3")),"")</f>
        <v/>
      </c>
      <c r="R200" s="21">
        <f ca="1">IF(CALC2223!AZ200&gt;2,INDIRECT(ADDRESS(MATCH(Agenda2526!C201,'CAL3'!A:A,0)+2,3,4,1,"CAL3")),0)</f>
        <v>0</v>
      </c>
      <c r="S200" s="20" t="str">
        <f ca="1">IF(CALC2223!BA200&gt;0,INDIRECT(ADDRESS(MATCH(Agenda2526!C201,'CAL4'!A:A,0),2,4,1,"CAL4")),"")</f>
        <v>Slotdag Inktaap voor deelnemers (hele dag)</v>
      </c>
      <c r="T200" s="21">
        <f ca="1">IF(CALC2223!BA200&gt;0,INDIRECT(ADDRESS(MATCH(Agenda2526!C201,'CAL4'!A:A,0),3,4,1,"CAL4")),0)</f>
        <v>46066</v>
      </c>
      <c r="U200" s="20" t="str">
        <f ca="1">IF(CALC2223!BA200&gt;1,INDIRECT(ADDRESS(MATCH(Agenda2526!C201,'CAL4'!A:A,0)+1,2,4,1,"CAL4")),"")</f>
        <v/>
      </c>
      <c r="V200" s="21">
        <f ca="1">IF(CALC2223!BA200&gt;1,INDIRECT(ADDRESS(MATCH(Agenda2526!C201,'CAL4'!A:A,0)+1,3,4,1,"CAL4")),0)</f>
        <v>0</v>
      </c>
      <c r="W200" s="20" t="str">
        <f ca="1">IF(CALC2223!BA200&gt;2,INDIRECT(ADDRESS(MATCH(Agenda2526!C201,'CAL4'!A:A,0)+2,2,4,1,"CAL4")),"")</f>
        <v/>
      </c>
      <c r="X200" s="21">
        <f ca="1">IF(CALC2223!BA200&gt;2,INDIRECT(ADDRESS(MATCH(Agenda2526!C201,'CAL4'!A:A,0)+2,3,4,1,"CAL4")),0)</f>
        <v>0</v>
      </c>
      <c r="Y200" s="20" t="str">
        <f ca="1">IF(CALC2223!BB200&gt;0,INDIRECT(ADDRESS(MATCH(Agenda2526!C201,'CAL5'!A:A,0),2,4,1,"CAL5")),"")</f>
        <v>Rep GR</v>
      </c>
      <c r="Z200" s="21">
        <f ca="1">IF(CALC2223!BB200&gt;0,INDIRECT(ADDRESS(MATCH(Agenda2526!C201,'CAL5'!A:A,0),3,4,1,"CAL5")),0)</f>
        <v>45896</v>
      </c>
      <c r="AA200" s="20" t="str">
        <f ca="1">IF(CALC2223!BB200&gt;1,INDIRECT(ADDRESS(MATCH(Agenda2526!C201,'CAL5'!A:A,0)+1,2,4,1,"CAL5")),"")</f>
        <v>Slotdag Inktaap voor deelnemers (hele dag)</v>
      </c>
      <c r="AB200" s="21">
        <f ca="1">IF(CALC2223!BB200&gt;1,INDIRECT(ADDRESS(MATCH(Agenda2526!C201,'CAL5'!A:A,0)+1,3,4,1,"CAL5")),0)</f>
        <v>46066</v>
      </c>
      <c r="AC200" s="20" t="str">
        <f ca="1">IF(CALC2223!BB200&gt;2,INDIRECT(ADDRESS(MATCH(Agenda2526!C201,'CAL5'!A:A,0)+2,2,4,1,"CAL5")),"")</f>
        <v/>
      </c>
      <c r="AD200" s="21">
        <f ca="1">IF(CALC2223!BB200&gt;2,INDIRECT(ADDRESS(MATCH(Agenda2526!C201,'CAL5'!A:A,0)+2,3,4,1,"CAL5")),0)</f>
        <v>0</v>
      </c>
      <c r="AE200" s="20" t="str">
        <f ca="1">IF(CALC2223!BC200&gt;0,INDIRECT(ADDRESS(MATCH(Agenda2526!C201,'CAL6'!A:A,0),2,4,1,"CAL6")),"")</f>
        <v>tsweek: GRTL, LATL</v>
      </c>
      <c r="AF200" s="21">
        <f ca="1">IF(CALC2223!BC200&gt;0,INDIRECT(ADDRESS(MATCH(Agenda2526!C201,'CAL6'!A:A,0),3,4,1,"CAL6")),0)</f>
        <v>45965</v>
      </c>
      <c r="AG200" s="20" t="str">
        <f ca="1">IF(CALC2223!BC200&gt;1,INDIRECT(ADDRESS(MATCH(Agenda2526!C201,'CAL6'!A:A,0)+1,2,4,1,"CAL6")),"")</f>
        <v/>
      </c>
      <c r="AH200" s="21">
        <f ca="1">IF(CALC2223!BC200&gt;1,INDIRECT(ADDRESS(MATCH(Agenda2526!C201,'CAL6'!A:A,0)+1,3,4,1,"CAL6")),0)</f>
        <v>0</v>
      </c>
      <c r="AI200" s="20" t="str">
        <f ca="1">IF(CALC2223!BC200&gt;2,INDIRECT(ADDRESS(MATCH(Agenda2526!C201,'CAL6'!A:A,0)+2,2,4,1,"CAL6")),"")</f>
        <v/>
      </c>
      <c r="AJ200" s="21">
        <f ca="1">IF(CALC2223!BC200&gt;2,INDIRECT(ADDRESS(MATCH(Agenda2526!C201,'CAL6'!A:A,0)+2,3,4,1,"CAL6")),0)</f>
        <v>0</v>
      </c>
      <c r="AK200" s="20" t="str">
        <f ca="1">IF(CALC2223!BD200&gt;0,INDIRECT(ADDRESS(MATCH(Agenda2526!C201,'CAL7'!A:A,0),2,4,1,"CAL7")),"")</f>
        <v/>
      </c>
      <c r="AL200" s="21">
        <f ca="1">IF(CALC2223!BD200&gt;0,INDIRECT(ADDRESS(MATCH(Agenda2526!C201,'CAL7'!A:A,0),3,4,1,"CAL7")),0)</f>
        <v>0</v>
      </c>
      <c r="AM200" s="20" t="str">
        <f ca="1">IF(CALC2223!BD200&gt;1,INDIRECT(ADDRESS(MATCH(Agenda2526!C201,'CAL7'!A:A,0)+1,2,4,1,"CAL7")),"")</f>
        <v/>
      </c>
      <c r="AN200" s="21">
        <f ca="1">IF(CALC2223!BD200&gt;1,INDIRECT(ADDRESS(MATCH(Agenda2526!C201,'CAL7'!A:A,0)+1,3,4,1,"CAL7")),0)</f>
        <v>0</v>
      </c>
      <c r="AO200" s="20" t="str">
        <f ca="1">IF(CALC2223!BD200&gt;2,INDIRECT(ADDRESS(MATCH(Agenda2526!C201,'CAL7'!A:A,0)+2,2,4,1,"CAL7")),"")</f>
        <v/>
      </c>
      <c r="AP200" s="21">
        <f ca="1">IF(CALC2223!BD200&gt;2,INDIRECT(ADDRESS(MATCH(Agenda2526!C201,'CAL7'!A:A,0)+2,3,4,1,"CAL7")),0)</f>
        <v>0</v>
      </c>
      <c r="AQ200" s="20" t="str">
        <f ca="1">IF(CALC2223!BE200&gt;0,INDIRECT(ADDRESS(MATCH(Agenda2526!C201,'CAL8'!A:A,0),2,4,1,"CAL8")),"")</f>
        <v/>
      </c>
      <c r="AR200" s="21">
        <f ca="1">IF(CALC2223!BE200&gt;0,INDIRECT(ADDRESS(MATCH(Agenda2526!C201,'CAL8'!A:A,0),3,4,1,"CAL8")),0)</f>
        <v>0</v>
      </c>
      <c r="AS200" s="20" t="str">
        <f ca="1">IF(CALC2223!BE200&gt;1,INDIRECT(ADDRESS(MATCH(Agenda2526!C201,'CAL8'!A:A,0)+1,2,4,1,"CAL8")),"")</f>
        <v/>
      </c>
      <c r="AT200" s="21">
        <f ca="1">IF(CALC2223!BE200&gt;1,INDIRECT(ADDRESS(MATCH(Agenda2526!C201,'CAL8'!A:A,0)+1,3,4,1,"CAL8")),0)</f>
        <v>0</v>
      </c>
      <c r="AU200" s="20" t="str">
        <f ca="1">IF(CALC2223!BE200&gt;2,INDIRECT(ADDRESS(MATCH(Agenda2526!C201,'CAL8'!A:A,0)+2,2,4,1,"CAL8")),"")</f>
        <v/>
      </c>
      <c r="AV200" s="21">
        <f ca="1">IF(CALC2223!BE200&gt;2,INDIRECT(ADDRESS(MATCH(Agenda2526!C201,'CAL8'!A:A,0)+2,3,4,1,"CAL8")),0)</f>
        <v>0</v>
      </c>
      <c r="AW200" s="105"/>
      <c r="AX200" s="20">
        <f>COUNTIF('CAL1'!A:A,Agenda2526!C201)</f>
        <v>1</v>
      </c>
      <c r="AY200" s="20">
        <f>COUNTIF('CAL2'!A:A,Agenda2526!C201)</f>
        <v>1</v>
      </c>
      <c r="AZ200" s="20">
        <f>COUNTIF('CAL3'!A:A,Agenda2526!C201)</f>
        <v>0</v>
      </c>
      <c r="BA200" s="20">
        <f>COUNTIF('CAL4'!A:A,Agenda2526!C201)</f>
        <v>1</v>
      </c>
      <c r="BB200" s="20">
        <f>COUNTIF('CAL5'!A:A,Agenda2526!C201)</f>
        <v>2</v>
      </c>
      <c r="BC200" s="20">
        <f>COUNTIF('CAL6'!A:A,Agenda2526!C201)</f>
        <v>1</v>
      </c>
      <c r="BD200" s="20">
        <f>COUNTIF('CAL7'!A:A,Agenda2526!C201)</f>
        <v>0</v>
      </c>
      <c r="BE200" s="20">
        <f>COUNTIF('CAL8'!A:A,Agenda2526!C201)</f>
        <v>0</v>
      </c>
    </row>
    <row r="201" spans="1:57" ht="15.75" customHeight="1">
      <c r="A201" s="20" t="str">
        <f ca="1">IF(CALC2223!AX201&gt;0,INDIRECT(ADDRESS(MATCH(Agenda2526!C202,'CAL1'!A:A,0),2,4,1,"CAL1")),"")</f>
        <v>geroewedstrijd Leerjaar 1</v>
      </c>
      <c r="B201" s="21">
        <f ca="1">IF(CALC2223!AX201&gt;0,INDIRECT(ADDRESS(MATCH(Agenda2526!C202,'CAL1'!A:A,0),3,4,1,"CAL1")),0)</f>
        <v>46042</v>
      </c>
      <c r="C201" s="20" t="str">
        <f ca="1">IF(CALC2223!AX201&gt;1,INDIRECT(ADDRESS(MATCH(Agenda2526!C202,'CAL1'!A:A,0)+1,2,4,1,"CAL1")),"")</f>
        <v/>
      </c>
      <c r="D201" s="21">
        <f ca="1">IF(CALC2223!AX201&gt;1,INDIRECT(ADDRESS(MATCH(Agenda2526!C202,'CAL1'!A:A,0)+1,3,4,1,"CAL1")),0)</f>
        <v>0</v>
      </c>
      <c r="E201" s="20" t="str">
        <f ca="1">IF(CALC2223!AX201&gt;2,INDIRECT(ADDRESS(MATCH(Agenda2526!C202,'CAL1'!A:A,0)+2,2,4,1,"CAL1")),"")</f>
        <v/>
      </c>
      <c r="F201" s="21">
        <f ca="1">IF(CALC2223!AX201&gt;2,INDIRECT(ADDRESS(MATCH(Agenda2526!C202,'CAL1'!A:A,0)+2,3,4,1,"CAL1")),0)</f>
        <v>0</v>
      </c>
      <c r="G201" s="20" t="str">
        <f ca="1">IF(CALC2223!AY201&gt;0,INDIRECT(ADDRESS(MATCH(Agenda2526!C202,'CAL2'!A:A,0),2,4,1,"CAL2")),"")</f>
        <v>geroewedstrijd Leerjaar 2</v>
      </c>
      <c r="H201" s="21">
        <f ca="1">IF(CALC2223!AY201&gt;0,INDIRECT(ADDRESS(MATCH(Agenda2526!C202,'CAL2'!A:A,0),3,4,1,"CAL2")),0)</f>
        <v>46042</v>
      </c>
      <c r="I201" s="20" t="str">
        <f ca="1">IF(CALC2223!AY201&gt;1,INDIRECT(ADDRESS(MATCH(Agenda2526!C202,'CAL2'!A:A,0)+1,2,4,1,"CAL2")),"")</f>
        <v/>
      </c>
      <c r="J201" s="21">
        <f ca="1">IF(CALC2223!AY201&gt;1,INDIRECT(ADDRESS(MATCH(Agenda2526!C202,'CAL2'!A:A,0)+1,3,4,1,"CAL2")),0)</f>
        <v>0</v>
      </c>
      <c r="K201" s="20" t="str">
        <f ca="1">IF(CALC2223!AY201&gt;2,INDIRECT(ADDRESS(MATCH(Agenda2526!C202,'CAL2'!A:A,0)+2,2,4,1,"CAL2")),"")</f>
        <v/>
      </c>
      <c r="L201" s="21">
        <f ca="1">IF(CALC2223!AY201&gt;2,INDIRECT(ADDRESS(MATCH(Agenda2526!C202,'CAL2'!A:A,0)+2,3,4,1,"CAL2")),0)</f>
        <v>0</v>
      </c>
      <c r="M201" s="20" t="str">
        <f ca="1">IF(CALC2223!AZ201&gt;0,INDIRECT(ADDRESS(MATCH(Agenda2526!C202,'CAL3'!A:A,0),2,4,1,"CAL3")),"")</f>
        <v>Rep EN</v>
      </c>
      <c r="N201" s="21">
        <f ca="1">IF(CALC2223!AZ201&gt;0,INDIRECT(ADDRESS(MATCH(Agenda2526!C202,'CAL3'!A:A,0),3,4,1,"CAL3")),0)</f>
        <v>45896</v>
      </c>
      <c r="O201" s="20" t="str">
        <f ca="1">IF(CALC2223!AZ201&gt;1,INDIRECT(ADDRESS(MATCH(Agenda2526!C202,'CAL3'!A:A,0)+1,2,4,1,"CAL3")),"")</f>
        <v/>
      </c>
      <c r="P201" s="21">
        <f ca="1">IF(CALC2223!AZ201&gt;1,INDIRECT(ADDRESS(MATCH(Agenda2526!C202,'CAL3'!A:A,0)+1,3,4,1,"CAL3")),0)</f>
        <v>0</v>
      </c>
      <c r="Q201" s="20" t="str">
        <f ca="1">IF(CALC2223!AZ201&gt;2,INDIRECT(ADDRESS(MATCH(Agenda2526!C202,'CAL3'!A:A,0)+2,2,4,1,"CAL3")),"")</f>
        <v/>
      </c>
      <c r="R201" s="21">
        <f ca="1">IF(CALC2223!AZ201&gt;2,INDIRECT(ADDRESS(MATCH(Agenda2526!C202,'CAL3'!A:A,0)+2,3,4,1,"CAL3")),0)</f>
        <v>0</v>
      </c>
      <c r="S201" s="20" t="str">
        <f ca="1">IF(CALC2223!BA201&gt;0,INDIRECT(ADDRESS(MATCH(Agenda2526!C202,'CAL4'!A:A,0),2,4,1,"CAL4")),"")</f>
        <v>veegmoment</v>
      </c>
      <c r="T201" s="21">
        <f ca="1">IF(CALC2223!BA201&gt;0,INDIRECT(ADDRESS(MATCH(Agenda2526!C202,'CAL4'!A:A,0),3,4,1,"CAL4")),0)</f>
        <v>45936</v>
      </c>
      <c r="U201" s="20" t="str">
        <f ca="1">IF(CALC2223!BA201&gt;1,INDIRECT(ADDRESS(MATCH(Agenda2526!C202,'CAL4'!A:A,0)+1,2,4,1,"CAL4")),"")</f>
        <v/>
      </c>
      <c r="V201" s="21">
        <f ca="1">IF(CALC2223!BA201&gt;1,INDIRECT(ADDRESS(MATCH(Agenda2526!C202,'CAL4'!A:A,0)+1,3,4,1,"CAL4")),0)</f>
        <v>0</v>
      </c>
      <c r="W201" s="20" t="str">
        <f ca="1">IF(CALC2223!BA201&gt;2,INDIRECT(ADDRESS(MATCH(Agenda2526!C202,'CAL4'!A:A,0)+2,2,4,1,"CAL4")),"")</f>
        <v/>
      </c>
      <c r="X201" s="21">
        <f ca="1">IF(CALC2223!BA201&gt;2,INDIRECT(ADDRESS(MATCH(Agenda2526!C202,'CAL4'!A:A,0)+2,3,4,1,"CAL4")),0)</f>
        <v>0</v>
      </c>
      <c r="Y201" s="20" t="str">
        <f ca="1">IF(CALC2223!BB201&gt;0,INDIRECT(ADDRESS(MATCH(Agenda2526!C202,'CAL5'!A:A,0),2,4,1,"CAL5")),"")</f>
        <v>veegmoment</v>
      </c>
      <c r="Z201" s="21">
        <f ca="1">IF(CALC2223!BB201&gt;0,INDIRECT(ADDRESS(MATCH(Agenda2526!C202,'CAL5'!A:A,0),3,4,1,"CAL5")),0)</f>
        <v>45936</v>
      </c>
      <c r="AA201" s="20" t="str">
        <f ca="1">IF(CALC2223!BB201&gt;1,INDIRECT(ADDRESS(MATCH(Agenda2526!C202,'CAL5'!A:A,0)+1,2,4,1,"CAL5")),"")</f>
        <v/>
      </c>
      <c r="AB201" s="21">
        <f ca="1">IF(CALC2223!BB201&gt;1,INDIRECT(ADDRESS(MATCH(Agenda2526!C202,'CAL5'!A:A,0)+1,3,4,1,"CAL5")),0)</f>
        <v>0</v>
      </c>
      <c r="AC201" s="20" t="str">
        <f ca="1">IF(CALC2223!BB201&gt;2,INDIRECT(ADDRESS(MATCH(Agenda2526!C202,'CAL5'!A:A,0)+2,2,4,1,"CAL5")),"")</f>
        <v/>
      </c>
      <c r="AD201" s="21">
        <f ca="1">IF(CALC2223!BB201&gt;2,INDIRECT(ADDRESS(MATCH(Agenda2526!C202,'CAL5'!A:A,0)+2,3,4,1,"CAL5")),0)</f>
        <v>0</v>
      </c>
      <c r="AE201" s="20" t="str">
        <f ca="1">IF(CALC2223!BC201&gt;0,INDIRECT(ADDRESS(MATCH(Agenda2526!C202,'CAL6'!A:A,0),2,4,1,"CAL6")),"")</f>
        <v>tsweek: NE</v>
      </c>
      <c r="AF201" s="21">
        <f ca="1">IF(CALC2223!BC201&gt;0,INDIRECT(ADDRESS(MATCH(Agenda2526!C202,'CAL6'!A:A,0),3,4,1,"CAL6")),0)</f>
        <v>46083</v>
      </c>
      <c r="AG201" s="20" t="str">
        <f ca="1">IF(CALC2223!BC201&gt;1,INDIRECT(ADDRESS(MATCH(Agenda2526!C202,'CAL6'!A:A,0)+1,2,4,1,"CAL6")),"")</f>
        <v/>
      </c>
      <c r="AH201" s="21">
        <f ca="1">IF(CALC2223!BC201&gt;1,INDIRECT(ADDRESS(MATCH(Agenda2526!C202,'CAL6'!A:A,0)+1,3,4,1,"CAL6")),0)</f>
        <v>0</v>
      </c>
      <c r="AI201" s="20" t="str">
        <f ca="1">IF(CALC2223!BC201&gt;2,INDIRECT(ADDRESS(MATCH(Agenda2526!C202,'CAL6'!A:A,0)+2,2,4,1,"CAL6")),"")</f>
        <v/>
      </c>
      <c r="AJ201" s="21">
        <f ca="1">IF(CALC2223!BC201&gt;2,INDIRECT(ADDRESS(MATCH(Agenda2526!C202,'CAL6'!A:A,0)+2,3,4,1,"CAL6")),0)</f>
        <v>0</v>
      </c>
      <c r="AK201" s="20" t="str">
        <f ca="1">IF(CALC2223!BD201&gt;0,INDIRECT(ADDRESS(MATCH(Agenda2526!C202,'CAL7'!A:A,0),2,4,1,"CAL7")),"")</f>
        <v>secties#6</v>
      </c>
      <c r="AL201" s="21">
        <f ca="1">IF(CALC2223!BD201&gt;0,INDIRECT(ADDRESS(MATCH(Agenda2526!C202,'CAL7'!A:A,0),3,4,1,"CAL7")),0)</f>
        <v>45896</v>
      </c>
      <c r="AM201" s="20" t="str">
        <f ca="1">IF(CALC2223!BD201&gt;1,INDIRECT(ADDRESS(MATCH(Agenda2526!C202,'CAL7'!A:A,0)+1,2,4,1,"CAL7")),"")</f>
        <v/>
      </c>
      <c r="AN201" s="21">
        <f ca="1">IF(CALC2223!BD201&gt;1,INDIRECT(ADDRESS(MATCH(Agenda2526!C202,'CAL7'!A:A,0)+1,3,4,1,"CAL7")),0)</f>
        <v>0</v>
      </c>
      <c r="AO201" s="20" t="str">
        <f ca="1">IF(CALC2223!BD201&gt;2,INDIRECT(ADDRESS(MATCH(Agenda2526!C202,'CAL7'!A:A,0)+2,2,4,1,"CAL7")),"")</f>
        <v/>
      </c>
      <c r="AP201" s="21">
        <f ca="1">IF(CALC2223!BD201&gt;2,INDIRECT(ADDRESS(MATCH(Agenda2526!C202,'CAL7'!A:A,0)+2,3,4,1,"CAL7")),0)</f>
        <v>0</v>
      </c>
      <c r="AQ201" s="20" t="str">
        <f ca="1">IF(CALC2223!BE201&gt;0,INDIRECT(ADDRESS(MATCH(Agenda2526!C202,'CAL8'!A:A,0),2,4,1,"CAL8")),"")</f>
        <v xml:space="preserve">Einde Ramadan   </v>
      </c>
      <c r="AR201" s="21">
        <f ca="1">IF(CALC2223!BE201&gt;0,INDIRECT(ADDRESS(MATCH(Agenda2526!C202,'CAL8'!A:A,0),3,4,1,"CAL8")),0)</f>
        <v>45896</v>
      </c>
      <c r="AS201" s="20" t="str">
        <f ca="1">IF(CALC2223!BE201&gt;1,INDIRECT(ADDRESS(MATCH(Agenda2526!C202,'CAL8'!A:A,0)+1,2,4,1,"CAL8")),"")</f>
        <v/>
      </c>
      <c r="AT201" s="21">
        <f ca="1">IF(CALC2223!BE201&gt;1,INDIRECT(ADDRESS(MATCH(Agenda2526!C202,'CAL8'!A:A,0)+1,3,4,1,"CAL8")),0)</f>
        <v>0</v>
      </c>
      <c r="AU201" s="20" t="str">
        <f ca="1">IF(CALC2223!BE201&gt;2,INDIRECT(ADDRESS(MATCH(Agenda2526!C202,'CAL8'!A:A,0)+2,2,4,1,"CAL8")),"")</f>
        <v/>
      </c>
      <c r="AV201" s="21">
        <f ca="1">IF(CALC2223!BE201&gt;2,INDIRECT(ADDRESS(MATCH(Agenda2526!C202,'CAL8'!A:A,0)+2,3,4,1,"CAL8")),0)</f>
        <v>0</v>
      </c>
      <c r="AW201" s="105"/>
      <c r="AX201" s="20">
        <f>COUNTIF('CAL1'!A:A,Agenda2526!C202)</f>
        <v>1</v>
      </c>
      <c r="AY201" s="20">
        <f>COUNTIF('CAL2'!A:A,Agenda2526!C202)</f>
        <v>1</v>
      </c>
      <c r="AZ201" s="20">
        <f>COUNTIF('CAL3'!A:A,Agenda2526!C202)</f>
        <v>1</v>
      </c>
      <c r="BA201" s="20">
        <f>COUNTIF('CAL4'!A:A,Agenda2526!C202)</f>
        <v>1</v>
      </c>
      <c r="BB201" s="20">
        <f>COUNTIF('CAL5'!A:A,Agenda2526!C202)</f>
        <v>1</v>
      </c>
      <c r="BC201" s="20">
        <f>COUNTIF('CAL6'!A:A,Agenda2526!C202)</f>
        <v>1</v>
      </c>
      <c r="BD201" s="20">
        <f>COUNTIF('CAL7'!A:A,Agenda2526!C202)</f>
        <v>1</v>
      </c>
      <c r="BE201" s="20">
        <f>COUNTIF('CAL8'!A:A,Agenda2526!C202)</f>
        <v>1</v>
      </c>
    </row>
    <row r="202" spans="1:57" ht="15.75" customHeight="1">
      <c r="A202" s="20" t="str">
        <f ca="1">IF(CALC2223!AX202&gt;0,INDIRECT(ADDRESS(MATCH(Agenda2526!C203,'CAL1'!A:A,0),2,4,1,"CAL1")),"")</f>
        <v/>
      </c>
      <c r="B202" s="21">
        <f ca="1">IF(CALC2223!AX202&gt;0,INDIRECT(ADDRESS(MATCH(Agenda2526!C203,'CAL1'!A:A,0),3,4,1,"CAL1")),0)</f>
        <v>0</v>
      </c>
      <c r="C202" s="20" t="str">
        <f ca="1">IF(CALC2223!AX202&gt;1,INDIRECT(ADDRESS(MATCH(Agenda2526!C203,'CAL1'!A:A,0)+1,2,4,1,"CAL1")),"")</f>
        <v/>
      </c>
      <c r="D202" s="21">
        <f ca="1">IF(CALC2223!AX202&gt;1,INDIRECT(ADDRESS(MATCH(Agenda2526!C203,'CAL1'!A:A,0)+1,3,4,1,"CAL1")),0)</f>
        <v>0</v>
      </c>
      <c r="E202" s="20" t="str">
        <f ca="1">IF(CALC2223!AX202&gt;2,INDIRECT(ADDRESS(MATCH(Agenda2526!C203,'CAL1'!A:A,0)+2,2,4,1,"CAL1")),"")</f>
        <v/>
      </c>
      <c r="F202" s="21">
        <f ca="1">IF(CALC2223!AX202&gt;2,INDIRECT(ADDRESS(MATCH(Agenda2526!C203,'CAL1'!A:A,0)+2,3,4,1,"CAL1")),0)</f>
        <v>0</v>
      </c>
      <c r="G202" s="20" t="str">
        <f ca="1">IF(CALC2223!AY202&gt;0,INDIRECT(ADDRESS(MATCH(Agenda2526!C203,'CAL2'!A:A,0),2,4,1,"CAL2")),"")</f>
        <v/>
      </c>
      <c r="H202" s="21">
        <f ca="1">IF(CALC2223!AY202&gt;0,INDIRECT(ADDRESS(MATCH(Agenda2526!C203,'CAL2'!A:A,0),3,4,1,"CAL2")),0)</f>
        <v>0</v>
      </c>
      <c r="I202" s="20" t="str">
        <f ca="1">IF(CALC2223!AY202&gt;1,INDIRECT(ADDRESS(MATCH(Agenda2526!C203,'CAL2'!A:A,0)+1,2,4,1,"CAL2")),"")</f>
        <v/>
      </c>
      <c r="J202" s="21">
        <f ca="1">IF(CALC2223!AY202&gt;1,INDIRECT(ADDRESS(MATCH(Agenda2526!C203,'CAL2'!A:A,0)+1,3,4,1,"CAL2")),0)</f>
        <v>0</v>
      </c>
      <c r="K202" s="20" t="str">
        <f ca="1">IF(CALC2223!AY202&gt;2,INDIRECT(ADDRESS(MATCH(Agenda2526!C203,'CAL2'!A:A,0)+2,2,4,1,"CAL2")),"")</f>
        <v/>
      </c>
      <c r="L202" s="21">
        <f ca="1">IF(CALC2223!AY202&gt;2,INDIRECT(ADDRESS(MATCH(Agenda2526!C203,'CAL2'!A:A,0)+2,3,4,1,"CAL2")),0)</f>
        <v>0</v>
      </c>
      <c r="M202" s="20" t="str">
        <f ca="1">IF(CALC2223!AZ202&gt;0,INDIRECT(ADDRESS(MATCH(Agenda2526!C203,'CAL3'!A:A,0),2,4,1,"CAL3")),"")</f>
        <v/>
      </c>
      <c r="N202" s="21">
        <f ca="1">IF(CALC2223!AZ202&gt;0,INDIRECT(ADDRESS(MATCH(Agenda2526!C203,'CAL3'!A:A,0),3,4,1,"CAL3")),0)</f>
        <v>0</v>
      </c>
      <c r="O202" s="20" t="str">
        <f ca="1">IF(CALC2223!AZ202&gt;1,INDIRECT(ADDRESS(MATCH(Agenda2526!C203,'CAL3'!A:A,0)+1,2,4,1,"CAL3")),"")</f>
        <v/>
      </c>
      <c r="P202" s="21">
        <f ca="1">IF(CALC2223!AZ202&gt;1,INDIRECT(ADDRESS(MATCH(Agenda2526!C203,'CAL3'!A:A,0)+1,3,4,1,"CAL3")),0)</f>
        <v>0</v>
      </c>
      <c r="Q202" s="20" t="str">
        <f ca="1">IF(CALC2223!AZ202&gt;2,INDIRECT(ADDRESS(MATCH(Agenda2526!C203,'CAL3'!A:A,0)+2,2,4,1,"CAL3")),"")</f>
        <v/>
      </c>
      <c r="R202" s="21">
        <f ca="1">IF(CALC2223!AZ202&gt;2,INDIRECT(ADDRESS(MATCH(Agenda2526!C203,'CAL3'!A:A,0)+2,3,4,1,"CAL3")),0)</f>
        <v>0</v>
      </c>
      <c r="S202" s="20" t="str">
        <f ca="1">IF(CALC2223!BA202&gt;0,INDIRECT(ADDRESS(MATCH(Agenda2526!C203,'CAL4'!A:A,0),2,4,1,"CAL4")),"")</f>
        <v/>
      </c>
      <c r="T202" s="21">
        <f ca="1">IF(CALC2223!BA202&gt;0,INDIRECT(ADDRESS(MATCH(Agenda2526!C203,'CAL4'!A:A,0),3,4,1,"CAL4")),0)</f>
        <v>0</v>
      </c>
      <c r="U202" s="20" t="str">
        <f ca="1">IF(CALC2223!BA202&gt;1,INDIRECT(ADDRESS(MATCH(Agenda2526!C203,'CAL4'!A:A,0)+1,2,4,1,"CAL4")),"")</f>
        <v/>
      </c>
      <c r="V202" s="21">
        <f ca="1">IF(CALC2223!BA202&gt;1,INDIRECT(ADDRESS(MATCH(Agenda2526!C203,'CAL4'!A:A,0)+1,3,4,1,"CAL4")),0)</f>
        <v>0</v>
      </c>
      <c r="W202" s="20" t="str">
        <f ca="1">IF(CALC2223!BA202&gt;2,INDIRECT(ADDRESS(MATCH(Agenda2526!C203,'CAL4'!A:A,0)+2,2,4,1,"CAL4")),"")</f>
        <v/>
      </c>
      <c r="X202" s="21">
        <f ca="1">IF(CALC2223!BA202&gt;2,INDIRECT(ADDRESS(MATCH(Agenda2526!C203,'CAL4'!A:A,0)+2,3,4,1,"CAL4")),0)</f>
        <v>0</v>
      </c>
      <c r="Y202" s="20" t="str">
        <f ca="1">IF(CALC2223!BB202&gt;0,INDIRECT(ADDRESS(MATCH(Agenda2526!C203,'CAL5'!A:A,0),2,4,1,"CAL5")),"")</f>
        <v/>
      </c>
      <c r="Z202" s="21">
        <f ca="1">IF(CALC2223!BB202&gt;0,INDIRECT(ADDRESS(MATCH(Agenda2526!C203,'CAL5'!A:A,0),3,4,1,"CAL5")),0)</f>
        <v>0</v>
      </c>
      <c r="AA202" s="20" t="str">
        <f ca="1">IF(CALC2223!BB202&gt;1,INDIRECT(ADDRESS(MATCH(Agenda2526!C203,'CAL5'!A:A,0)+1,2,4,1,"CAL5")),"")</f>
        <v/>
      </c>
      <c r="AB202" s="21">
        <f ca="1">IF(CALC2223!BB202&gt;1,INDIRECT(ADDRESS(MATCH(Agenda2526!C203,'CAL5'!A:A,0)+1,3,4,1,"CAL5")),0)</f>
        <v>0</v>
      </c>
      <c r="AC202" s="20" t="str">
        <f ca="1">IF(CALC2223!BB202&gt;2,INDIRECT(ADDRESS(MATCH(Agenda2526!C203,'CAL5'!A:A,0)+2,2,4,1,"CAL5")),"")</f>
        <v/>
      </c>
      <c r="AD202" s="21">
        <f ca="1">IF(CALC2223!BB202&gt;2,INDIRECT(ADDRESS(MATCH(Agenda2526!C203,'CAL5'!A:A,0)+2,3,4,1,"CAL5")),0)</f>
        <v>0</v>
      </c>
      <c r="AE202" s="20" t="str">
        <f ca="1">IF(CALC2223!BC202&gt;0,INDIRECT(ADDRESS(MATCH(Agenda2526!C203,'CAL6'!A:A,0),2,4,1,"CAL6")),"")</f>
        <v/>
      </c>
      <c r="AF202" s="21">
        <f ca="1">IF(CALC2223!BC202&gt;0,INDIRECT(ADDRESS(MATCH(Agenda2526!C203,'CAL6'!A:A,0),3,4,1,"CAL6")),0)</f>
        <v>0</v>
      </c>
      <c r="AG202" s="20" t="str">
        <f ca="1">IF(CALC2223!BC202&gt;1,INDIRECT(ADDRESS(MATCH(Agenda2526!C203,'CAL6'!A:A,0)+1,2,4,1,"CAL6")),"")</f>
        <v/>
      </c>
      <c r="AH202" s="21">
        <f ca="1">IF(CALC2223!BC202&gt;1,INDIRECT(ADDRESS(MATCH(Agenda2526!C203,'CAL6'!A:A,0)+1,3,4,1,"CAL6")),0)</f>
        <v>0</v>
      </c>
      <c r="AI202" s="20" t="str">
        <f ca="1">IF(CALC2223!BC202&gt;2,INDIRECT(ADDRESS(MATCH(Agenda2526!C203,'CAL6'!A:A,0)+2,2,4,1,"CAL6")),"")</f>
        <v/>
      </c>
      <c r="AJ202" s="21">
        <f ca="1">IF(CALC2223!BC202&gt;2,INDIRECT(ADDRESS(MATCH(Agenda2526!C203,'CAL6'!A:A,0)+2,3,4,1,"CAL6")),0)</f>
        <v>0</v>
      </c>
      <c r="AK202" s="20" t="str">
        <f ca="1">IF(CALC2223!BD202&gt;0,INDIRECT(ADDRESS(MATCH(Agenda2526!C203,'CAL7'!A:A,0),2,4,1,"CAL7")),"")</f>
        <v/>
      </c>
      <c r="AL202" s="21">
        <f ca="1">IF(CALC2223!BD202&gt;0,INDIRECT(ADDRESS(MATCH(Agenda2526!C203,'CAL7'!A:A,0),3,4,1,"CAL7")),0)</f>
        <v>0</v>
      </c>
      <c r="AM202" s="20" t="str">
        <f ca="1">IF(CALC2223!BD202&gt;1,INDIRECT(ADDRESS(MATCH(Agenda2526!C203,'CAL7'!A:A,0)+1,2,4,1,"CAL7")),"")</f>
        <v/>
      </c>
      <c r="AN202" s="21">
        <f ca="1">IF(CALC2223!BD202&gt;1,INDIRECT(ADDRESS(MATCH(Agenda2526!C203,'CAL7'!A:A,0)+1,3,4,1,"CAL7")),0)</f>
        <v>0</v>
      </c>
      <c r="AO202" s="20" t="str">
        <f ca="1">IF(CALC2223!BD202&gt;2,INDIRECT(ADDRESS(MATCH(Agenda2526!C203,'CAL7'!A:A,0)+2,2,4,1,"CAL7")),"")</f>
        <v/>
      </c>
      <c r="AP202" s="21">
        <f ca="1">IF(CALC2223!BD202&gt;2,INDIRECT(ADDRESS(MATCH(Agenda2526!C203,'CAL7'!A:A,0)+2,3,4,1,"CAL7")),0)</f>
        <v>0</v>
      </c>
      <c r="AQ202" s="20" t="str">
        <f ca="1">IF(CALC2223!BE202&gt;0,INDIRECT(ADDRESS(MATCH(Agenda2526!C203,'CAL8'!A:A,0),2,4,1,"CAL8")),"")</f>
        <v xml:space="preserve">suikerfeest </v>
      </c>
      <c r="AR202" s="21">
        <f ca="1">IF(CALC2223!BE202&gt;0,INDIRECT(ADDRESS(MATCH(Agenda2526!C203,'CAL8'!A:A,0),3,4,1,"CAL8")),0)</f>
        <v>45896</v>
      </c>
      <c r="AS202" s="20" t="str">
        <f ca="1">IF(CALC2223!BE202&gt;1,INDIRECT(ADDRESS(MATCH(Agenda2526!C203,'CAL8'!A:A,0)+1,2,4,1,"CAL8")),"")</f>
        <v/>
      </c>
      <c r="AT202" s="21">
        <f ca="1">IF(CALC2223!BE202&gt;1,INDIRECT(ADDRESS(MATCH(Agenda2526!C203,'CAL8'!A:A,0)+1,3,4,1,"CAL8")),0)</f>
        <v>0</v>
      </c>
      <c r="AU202" s="20" t="str">
        <f ca="1">IF(CALC2223!BE202&gt;2,INDIRECT(ADDRESS(MATCH(Agenda2526!C203,'CAL8'!A:A,0)+2,2,4,1,"CAL8")),"")</f>
        <v/>
      </c>
      <c r="AV202" s="21">
        <f ca="1">IF(CALC2223!BE202&gt;2,INDIRECT(ADDRESS(MATCH(Agenda2526!C203,'CAL8'!A:A,0)+2,3,4,1,"CAL8")),0)</f>
        <v>0</v>
      </c>
      <c r="AW202" s="107"/>
      <c r="AX202" s="20">
        <f>COUNTIF('CAL1'!A:A,Agenda2526!C203)</f>
        <v>0</v>
      </c>
      <c r="AY202" s="20">
        <f>COUNTIF('CAL2'!A:A,Agenda2526!C203)</f>
        <v>0</v>
      </c>
      <c r="AZ202" s="20">
        <f>COUNTIF('CAL3'!A:A,Agenda2526!C203)</f>
        <v>0</v>
      </c>
      <c r="BA202" s="20">
        <f>COUNTIF('CAL4'!A:A,Agenda2526!C203)</f>
        <v>0</v>
      </c>
      <c r="BB202" s="20">
        <f>COUNTIF('CAL5'!A:A,Agenda2526!C203)</f>
        <v>0</v>
      </c>
      <c r="BC202" s="20">
        <f>COUNTIF('CAL6'!A:A,Agenda2526!C203)</f>
        <v>0</v>
      </c>
      <c r="BD202" s="20">
        <f>COUNTIF('CAL7'!A:A,Agenda2526!C203)</f>
        <v>0</v>
      </c>
      <c r="BE202" s="20">
        <f>COUNTIF('CAL8'!A:A,Agenda2526!C203)</f>
        <v>1</v>
      </c>
    </row>
    <row r="203" spans="1:57" ht="15.75" customHeight="1">
      <c r="A203" s="20" t="str">
        <f ca="1">IF(CALC2223!AX203&gt;0,INDIRECT(ADDRESS(MATCH(Agenda2526!C204,'CAL1'!A:A,0),2,4,1,"CAL1")),"")</f>
        <v/>
      </c>
      <c r="B203" s="21">
        <f ca="1">IF(CALC2223!AX203&gt;0,INDIRECT(ADDRESS(MATCH(Agenda2526!C204,'CAL1'!A:A,0),3,4,1,"CAL1")),0)</f>
        <v>0</v>
      </c>
      <c r="C203" s="20" t="str">
        <f ca="1">IF(CALC2223!AX203&gt;1,INDIRECT(ADDRESS(MATCH(Agenda2526!C204,'CAL1'!A:A,0)+1,2,4,1,"CAL1")),"")</f>
        <v/>
      </c>
      <c r="D203" s="21">
        <f ca="1">IF(CALC2223!AX203&gt;1,INDIRECT(ADDRESS(MATCH(Agenda2526!C204,'CAL1'!A:A,0)+1,3,4,1,"CAL1")),0)</f>
        <v>0</v>
      </c>
      <c r="E203" s="20" t="str">
        <f ca="1">IF(CALC2223!AX203&gt;2,INDIRECT(ADDRESS(MATCH(Agenda2526!C204,'CAL1'!A:A,0)+2,2,4,1,"CAL1")),"")</f>
        <v/>
      </c>
      <c r="F203" s="21">
        <f ca="1">IF(CALC2223!AX203&gt;2,INDIRECT(ADDRESS(MATCH(Agenda2526!C204,'CAL1'!A:A,0)+2,3,4,1,"CAL1")),0)</f>
        <v>0</v>
      </c>
      <c r="G203" s="20" t="str">
        <f ca="1">IF(CALC2223!AY203&gt;0,INDIRECT(ADDRESS(MATCH(Agenda2526!C204,'CAL2'!A:A,0),2,4,1,"CAL2")),"")</f>
        <v/>
      </c>
      <c r="H203" s="21">
        <f ca="1">IF(CALC2223!AY203&gt;0,INDIRECT(ADDRESS(MATCH(Agenda2526!C204,'CAL2'!A:A,0),3,4,1,"CAL2")),0)</f>
        <v>0</v>
      </c>
      <c r="I203" s="20" t="str">
        <f ca="1">IF(CALC2223!AY203&gt;1,INDIRECT(ADDRESS(MATCH(Agenda2526!C204,'CAL2'!A:A,0)+1,2,4,1,"CAL2")),"")</f>
        <v/>
      </c>
      <c r="J203" s="21">
        <f ca="1">IF(CALC2223!AY203&gt;1,INDIRECT(ADDRESS(MATCH(Agenda2526!C204,'CAL2'!A:A,0)+1,3,4,1,"CAL2")),0)</f>
        <v>0</v>
      </c>
      <c r="K203" s="20" t="str">
        <f ca="1">IF(CALC2223!AY203&gt;2,INDIRECT(ADDRESS(MATCH(Agenda2526!C204,'CAL2'!A:A,0)+2,2,4,1,"CAL2")),"")</f>
        <v/>
      </c>
      <c r="L203" s="21">
        <f ca="1">IF(CALC2223!AY203&gt;2,INDIRECT(ADDRESS(MATCH(Agenda2526!C204,'CAL2'!A:A,0)+2,3,4,1,"CAL2")),0)</f>
        <v>0</v>
      </c>
      <c r="M203" s="20" t="str">
        <f ca="1">IF(CALC2223!AZ203&gt;0,INDIRECT(ADDRESS(MATCH(Agenda2526!C204,'CAL3'!A:A,0),2,4,1,"CAL3")),"")</f>
        <v/>
      </c>
      <c r="N203" s="21">
        <f ca="1">IF(CALC2223!AZ203&gt;0,INDIRECT(ADDRESS(MATCH(Agenda2526!C204,'CAL3'!A:A,0),3,4,1,"CAL3")),0)</f>
        <v>0</v>
      </c>
      <c r="O203" s="20" t="str">
        <f ca="1">IF(CALC2223!AZ203&gt;1,INDIRECT(ADDRESS(MATCH(Agenda2526!C204,'CAL3'!A:A,0)+1,2,4,1,"CAL3")),"")</f>
        <v/>
      </c>
      <c r="P203" s="21">
        <f ca="1">IF(CALC2223!AZ203&gt;1,INDIRECT(ADDRESS(MATCH(Agenda2526!C204,'CAL3'!A:A,0)+1,3,4,1,"CAL3")),0)</f>
        <v>0</v>
      </c>
      <c r="Q203" s="20" t="str">
        <f ca="1">IF(CALC2223!AZ203&gt;2,INDIRECT(ADDRESS(MATCH(Agenda2526!C204,'CAL3'!A:A,0)+2,2,4,1,"CAL3")),"")</f>
        <v/>
      </c>
      <c r="R203" s="21">
        <f ca="1">IF(CALC2223!AZ203&gt;2,INDIRECT(ADDRESS(MATCH(Agenda2526!C204,'CAL3'!A:A,0)+2,3,4,1,"CAL3")),0)</f>
        <v>0</v>
      </c>
      <c r="S203" s="20" t="str">
        <f ca="1">IF(CALC2223!BA203&gt;0,INDIRECT(ADDRESS(MATCH(Agenda2526!C204,'CAL4'!A:A,0),2,4,1,"CAL4")),"")</f>
        <v/>
      </c>
      <c r="T203" s="21">
        <f ca="1">IF(CALC2223!BA203&gt;0,INDIRECT(ADDRESS(MATCH(Agenda2526!C204,'CAL4'!A:A,0),3,4,1,"CAL4")),0)</f>
        <v>0</v>
      </c>
      <c r="U203" s="20" t="str">
        <f ca="1">IF(CALC2223!BA203&gt;1,INDIRECT(ADDRESS(MATCH(Agenda2526!C204,'CAL4'!A:A,0)+1,2,4,1,"CAL4")),"")</f>
        <v/>
      </c>
      <c r="V203" s="21">
        <f ca="1">IF(CALC2223!BA203&gt;1,INDIRECT(ADDRESS(MATCH(Agenda2526!C204,'CAL4'!A:A,0)+1,3,4,1,"CAL4")),0)</f>
        <v>0</v>
      </c>
      <c r="W203" s="20" t="str">
        <f ca="1">IF(CALC2223!BA203&gt;2,INDIRECT(ADDRESS(MATCH(Agenda2526!C204,'CAL4'!A:A,0)+2,2,4,1,"CAL4")),"")</f>
        <v/>
      </c>
      <c r="X203" s="21">
        <f ca="1">IF(CALC2223!BA203&gt;2,INDIRECT(ADDRESS(MATCH(Agenda2526!C204,'CAL4'!A:A,0)+2,3,4,1,"CAL4")),0)</f>
        <v>0</v>
      </c>
      <c r="Y203" s="20" t="str">
        <f ca="1">IF(CALC2223!BB203&gt;0,INDIRECT(ADDRESS(MATCH(Agenda2526!C204,'CAL5'!A:A,0),2,4,1,"CAL5")),"")</f>
        <v/>
      </c>
      <c r="Z203" s="21">
        <f ca="1">IF(CALC2223!BB203&gt;0,INDIRECT(ADDRESS(MATCH(Agenda2526!C204,'CAL5'!A:A,0),3,4,1,"CAL5")),0)</f>
        <v>0</v>
      </c>
      <c r="AA203" s="20" t="str">
        <f ca="1">IF(CALC2223!BB203&gt;1,INDIRECT(ADDRESS(MATCH(Agenda2526!C204,'CAL5'!A:A,0)+1,2,4,1,"CAL5")),"")</f>
        <v/>
      </c>
      <c r="AB203" s="21">
        <f ca="1">IF(CALC2223!BB203&gt;1,INDIRECT(ADDRESS(MATCH(Agenda2526!C204,'CAL5'!A:A,0)+1,3,4,1,"CAL5")),0)</f>
        <v>0</v>
      </c>
      <c r="AC203" s="20" t="str">
        <f ca="1">IF(CALC2223!BB203&gt;2,INDIRECT(ADDRESS(MATCH(Agenda2526!C204,'CAL5'!A:A,0)+2,2,4,1,"CAL5")),"")</f>
        <v/>
      </c>
      <c r="AD203" s="21">
        <f ca="1">IF(CALC2223!BB203&gt;2,INDIRECT(ADDRESS(MATCH(Agenda2526!C204,'CAL5'!A:A,0)+2,3,4,1,"CAL5")),0)</f>
        <v>0</v>
      </c>
      <c r="AE203" s="20" t="str">
        <f ca="1">IF(CALC2223!BC203&gt;0,INDIRECT(ADDRESS(MATCH(Agenda2526!C204,'CAL6'!A:A,0),2,4,1,"CAL6")),"")</f>
        <v/>
      </c>
      <c r="AF203" s="21">
        <f ca="1">IF(CALC2223!BC203&gt;0,INDIRECT(ADDRESS(MATCH(Agenda2526!C204,'CAL6'!A:A,0),3,4,1,"CAL6")),0)</f>
        <v>0</v>
      </c>
      <c r="AG203" s="20" t="str">
        <f ca="1">IF(CALC2223!BC203&gt;1,INDIRECT(ADDRESS(MATCH(Agenda2526!C204,'CAL6'!A:A,0)+1,2,4,1,"CAL6")),"")</f>
        <v/>
      </c>
      <c r="AH203" s="21">
        <f ca="1">IF(CALC2223!BC203&gt;1,INDIRECT(ADDRESS(MATCH(Agenda2526!C204,'CAL6'!A:A,0)+1,3,4,1,"CAL6")),0)</f>
        <v>0</v>
      </c>
      <c r="AI203" s="20" t="str">
        <f ca="1">IF(CALC2223!BC203&gt;2,INDIRECT(ADDRESS(MATCH(Agenda2526!C204,'CAL6'!A:A,0)+2,2,4,1,"CAL6")),"")</f>
        <v/>
      </c>
      <c r="AJ203" s="21">
        <f ca="1">IF(CALC2223!BC203&gt;2,INDIRECT(ADDRESS(MATCH(Agenda2526!C204,'CAL6'!A:A,0)+2,3,4,1,"CAL6")),0)</f>
        <v>0</v>
      </c>
      <c r="AK203" s="20" t="str">
        <f ca="1">IF(CALC2223!BD203&gt;0,INDIRECT(ADDRESS(MATCH(Agenda2526!C204,'CAL7'!A:A,0),2,4,1,"CAL7")),"")</f>
        <v/>
      </c>
      <c r="AL203" s="21">
        <f ca="1">IF(CALC2223!BD203&gt;0,INDIRECT(ADDRESS(MATCH(Agenda2526!C204,'CAL7'!A:A,0),3,4,1,"CAL7")),0)</f>
        <v>0</v>
      </c>
      <c r="AM203" s="20" t="str">
        <f ca="1">IF(CALC2223!BD203&gt;1,INDIRECT(ADDRESS(MATCH(Agenda2526!C204,'CAL7'!A:A,0)+1,2,4,1,"CAL7")),"")</f>
        <v/>
      </c>
      <c r="AN203" s="21">
        <f ca="1">IF(CALC2223!BD203&gt;1,INDIRECT(ADDRESS(MATCH(Agenda2526!C204,'CAL7'!A:A,0)+1,3,4,1,"CAL7")),0)</f>
        <v>0</v>
      </c>
      <c r="AO203" s="20" t="str">
        <f ca="1">IF(CALC2223!BD203&gt;2,INDIRECT(ADDRESS(MATCH(Agenda2526!C204,'CAL7'!A:A,0)+2,2,4,1,"CAL7")),"")</f>
        <v/>
      </c>
      <c r="AP203" s="21">
        <f ca="1">IF(CALC2223!BD203&gt;2,INDIRECT(ADDRESS(MATCH(Agenda2526!C204,'CAL7'!A:A,0)+2,3,4,1,"CAL7")),0)</f>
        <v>0</v>
      </c>
      <c r="AQ203" s="20" t="str">
        <f ca="1">IF(CALC2223!BE203&gt;0,INDIRECT(ADDRESS(MATCH(Agenda2526!C204,'CAL8'!A:A,0),2,4,1,"CAL8")),"")</f>
        <v/>
      </c>
      <c r="AR203" s="21">
        <f ca="1">IF(CALC2223!BE203&gt;0,INDIRECT(ADDRESS(MATCH(Agenda2526!C204,'CAL8'!A:A,0),3,4,1,"CAL8")),0)</f>
        <v>0</v>
      </c>
      <c r="AS203" s="20" t="str">
        <f ca="1">IF(CALC2223!BE203&gt;1,INDIRECT(ADDRESS(MATCH(Agenda2526!C204,'CAL8'!A:A,0)+1,2,4,1,"CAL8")),"")</f>
        <v/>
      </c>
      <c r="AT203" s="21">
        <f ca="1">IF(CALC2223!BE203&gt;1,INDIRECT(ADDRESS(MATCH(Agenda2526!C204,'CAL8'!A:A,0)+1,3,4,1,"CAL8")),0)</f>
        <v>0</v>
      </c>
      <c r="AU203" s="20" t="str">
        <f ca="1">IF(CALC2223!BE203&gt;2,INDIRECT(ADDRESS(MATCH(Agenda2526!C204,'CAL8'!A:A,0)+2,2,4,1,"CAL8")),"")</f>
        <v/>
      </c>
      <c r="AV203" s="21">
        <f ca="1">IF(CALC2223!BE203&gt;2,INDIRECT(ADDRESS(MATCH(Agenda2526!C204,'CAL8'!A:A,0)+2,3,4,1,"CAL8")),0)</f>
        <v>0</v>
      </c>
      <c r="AW203" s="106"/>
      <c r="AX203" s="20">
        <f>COUNTIF('CAL1'!A:A,Agenda2526!C204)</f>
        <v>0</v>
      </c>
      <c r="AY203" s="20">
        <f>COUNTIF('CAL2'!A:A,Agenda2526!C204)</f>
        <v>0</v>
      </c>
      <c r="AZ203" s="20">
        <f>COUNTIF('CAL3'!A:A,Agenda2526!C204)</f>
        <v>0</v>
      </c>
      <c r="BA203" s="20">
        <f>COUNTIF('CAL4'!A:A,Agenda2526!C204)</f>
        <v>0</v>
      </c>
      <c r="BB203" s="20">
        <f>COUNTIF('CAL5'!A:A,Agenda2526!C204)</f>
        <v>0</v>
      </c>
      <c r="BC203" s="20">
        <f>COUNTIF('CAL6'!A:A,Agenda2526!C204)</f>
        <v>0</v>
      </c>
      <c r="BD203" s="20">
        <f>COUNTIF('CAL7'!A:A,Agenda2526!C204)</f>
        <v>0</v>
      </c>
      <c r="BE203" s="20">
        <f>COUNTIF('CAL8'!A:A,Agenda2526!C204)</f>
        <v>0</v>
      </c>
    </row>
    <row r="204" spans="1:57" ht="15.75" customHeight="1">
      <c r="A204" s="20" t="str">
        <f ca="1">IF(CALC2223!AX204&gt;0,INDIRECT(ADDRESS(MATCH(Agenda2526!C205,'CAL1'!A:A,0),2,4,1,"CAL1")),"")</f>
        <v/>
      </c>
      <c r="B204" s="21">
        <f ca="1">IF(CALC2223!AX204&gt;0,INDIRECT(ADDRESS(MATCH(Agenda2526!C205,'CAL1'!A:A,0),3,4,1,"CAL1")),0)</f>
        <v>0</v>
      </c>
      <c r="C204" s="20" t="str">
        <f ca="1">IF(CALC2223!AX204&gt;1,INDIRECT(ADDRESS(MATCH(Agenda2526!C205,'CAL1'!A:A,0)+1,2,4,1,"CAL1")),"")</f>
        <v/>
      </c>
      <c r="D204" s="21">
        <f ca="1">IF(CALC2223!AX204&gt;1,INDIRECT(ADDRESS(MATCH(Agenda2526!C205,'CAL1'!A:A,0)+1,3,4,1,"CAL1")),0)</f>
        <v>0</v>
      </c>
      <c r="E204" s="20" t="str">
        <f ca="1">IF(CALC2223!AX204&gt;2,INDIRECT(ADDRESS(MATCH(Agenda2526!C205,'CAL1'!A:A,0)+2,2,4,1,"CAL1")),"")</f>
        <v/>
      </c>
      <c r="F204" s="21">
        <f ca="1">IF(CALC2223!AX204&gt;2,INDIRECT(ADDRESS(MATCH(Agenda2526!C205,'CAL1'!A:A,0)+2,3,4,1,"CAL1")),0)</f>
        <v>0</v>
      </c>
      <c r="G204" s="20" t="str">
        <f ca="1">IF(CALC2223!AY204&gt;0,INDIRECT(ADDRESS(MATCH(Agenda2526!C205,'CAL2'!A:A,0),2,4,1,"CAL2")),"")</f>
        <v/>
      </c>
      <c r="H204" s="21">
        <f ca="1">IF(CALC2223!AY204&gt;0,INDIRECT(ADDRESS(MATCH(Agenda2526!C205,'CAL2'!A:A,0),3,4,1,"CAL2")),0)</f>
        <v>0</v>
      </c>
      <c r="I204" s="20" t="str">
        <f ca="1">IF(CALC2223!AY204&gt;1,INDIRECT(ADDRESS(MATCH(Agenda2526!C205,'CAL2'!A:A,0)+1,2,4,1,"CAL2")),"")</f>
        <v/>
      </c>
      <c r="J204" s="21">
        <f ca="1">IF(CALC2223!AY204&gt;1,INDIRECT(ADDRESS(MATCH(Agenda2526!C205,'CAL2'!A:A,0)+1,3,4,1,"CAL2")),0)</f>
        <v>0</v>
      </c>
      <c r="K204" s="20" t="str">
        <f ca="1">IF(CALC2223!AY204&gt;2,INDIRECT(ADDRESS(MATCH(Agenda2526!C205,'CAL2'!A:A,0)+2,2,4,1,"CAL2")),"")</f>
        <v/>
      </c>
      <c r="L204" s="21">
        <f ca="1">IF(CALC2223!AY204&gt;2,INDIRECT(ADDRESS(MATCH(Agenda2526!C205,'CAL2'!A:A,0)+2,3,4,1,"CAL2")),0)</f>
        <v>0</v>
      </c>
      <c r="M204" s="20" t="str">
        <f ca="1">IF(CALC2223!AZ204&gt;0,INDIRECT(ADDRESS(MATCH(Agenda2526!C205,'CAL3'!A:A,0),2,4,1,"CAL3")),"")</f>
        <v/>
      </c>
      <c r="N204" s="21">
        <f ca="1">IF(CALC2223!AZ204&gt;0,INDIRECT(ADDRESS(MATCH(Agenda2526!C205,'CAL3'!A:A,0),3,4,1,"CAL3")),0)</f>
        <v>0</v>
      </c>
      <c r="O204" s="20" t="str">
        <f ca="1">IF(CALC2223!AZ204&gt;1,INDIRECT(ADDRESS(MATCH(Agenda2526!C205,'CAL3'!A:A,0)+1,2,4,1,"CAL3")),"")</f>
        <v/>
      </c>
      <c r="P204" s="21">
        <f ca="1">IF(CALC2223!AZ204&gt;1,INDIRECT(ADDRESS(MATCH(Agenda2526!C205,'CAL3'!A:A,0)+1,3,4,1,"CAL3")),0)</f>
        <v>0</v>
      </c>
      <c r="Q204" s="20" t="str">
        <f ca="1">IF(CALC2223!AZ204&gt;2,INDIRECT(ADDRESS(MATCH(Agenda2526!C205,'CAL3'!A:A,0)+2,2,4,1,"CAL3")),"")</f>
        <v/>
      </c>
      <c r="R204" s="21">
        <f ca="1">IF(CALC2223!AZ204&gt;2,INDIRECT(ADDRESS(MATCH(Agenda2526!C205,'CAL3'!A:A,0)+2,3,4,1,"CAL3")),0)</f>
        <v>0</v>
      </c>
      <c r="S204" s="20" t="str">
        <f ca="1">IF(CALC2223!BA204&gt;0,INDIRECT(ADDRESS(MATCH(Agenda2526!C205,'CAL4'!A:A,0),2,4,1,"CAL4")),"")</f>
        <v/>
      </c>
      <c r="T204" s="21">
        <f ca="1">IF(CALC2223!BA204&gt;0,INDIRECT(ADDRESS(MATCH(Agenda2526!C205,'CAL4'!A:A,0),3,4,1,"CAL4")),0)</f>
        <v>0</v>
      </c>
      <c r="U204" s="20" t="str">
        <f ca="1">IF(CALC2223!BA204&gt;1,INDIRECT(ADDRESS(MATCH(Agenda2526!C205,'CAL4'!A:A,0)+1,2,4,1,"CAL4")),"")</f>
        <v/>
      </c>
      <c r="V204" s="21">
        <f ca="1">IF(CALC2223!BA204&gt;1,INDIRECT(ADDRESS(MATCH(Agenda2526!C205,'CAL4'!A:A,0)+1,3,4,1,"CAL4")),0)</f>
        <v>0</v>
      </c>
      <c r="W204" s="20" t="str">
        <f ca="1">IF(CALC2223!BA204&gt;2,INDIRECT(ADDRESS(MATCH(Agenda2526!C205,'CAL4'!A:A,0)+2,2,4,1,"CAL4")),"")</f>
        <v/>
      </c>
      <c r="X204" s="21">
        <f ca="1">IF(CALC2223!BA204&gt;2,INDIRECT(ADDRESS(MATCH(Agenda2526!C205,'CAL4'!A:A,0)+2,3,4,1,"CAL4")),0)</f>
        <v>0</v>
      </c>
      <c r="Y204" s="20" t="str">
        <f ca="1">IF(CALC2223!BB204&gt;0,INDIRECT(ADDRESS(MATCH(Agenda2526!C205,'CAL5'!A:A,0),2,4,1,"CAL5")),"")</f>
        <v/>
      </c>
      <c r="Z204" s="21">
        <f ca="1">IF(CALC2223!BB204&gt;0,INDIRECT(ADDRESS(MATCH(Agenda2526!C205,'CAL5'!A:A,0),3,4,1,"CAL5")),0)</f>
        <v>0</v>
      </c>
      <c r="AA204" s="20" t="str">
        <f ca="1">IF(CALC2223!BB204&gt;1,INDIRECT(ADDRESS(MATCH(Agenda2526!C205,'CAL5'!A:A,0)+1,2,4,1,"CAL5")),"")</f>
        <v/>
      </c>
      <c r="AB204" s="21">
        <f ca="1">IF(CALC2223!BB204&gt;1,INDIRECT(ADDRESS(MATCH(Agenda2526!C205,'CAL5'!A:A,0)+1,3,4,1,"CAL5")),0)</f>
        <v>0</v>
      </c>
      <c r="AC204" s="20" t="str">
        <f ca="1">IF(CALC2223!BB204&gt;2,INDIRECT(ADDRESS(MATCH(Agenda2526!C205,'CAL5'!A:A,0)+2,2,4,1,"CAL5")),"")</f>
        <v/>
      </c>
      <c r="AD204" s="21">
        <f ca="1">IF(CALC2223!BB204&gt;2,INDIRECT(ADDRESS(MATCH(Agenda2526!C205,'CAL5'!A:A,0)+2,3,4,1,"CAL5")),0)</f>
        <v>0</v>
      </c>
      <c r="AE204" s="20" t="str">
        <f ca="1">IF(CALC2223!BC204&gt;0,INDIRECT(ADDRESS(MATCH(Agenda2526!C205,'CAL6'!A:A,0),2,4,1,"CAL6")),"")</f>
        <v/>
      </c>
      <c r="AF204" s="21">
        <f ca="1">IF(CALC2223!BC204&gt;0,INDIRECT(ADDRESS(MATCH(Agenda2526!C205,'CAL6'!A:A,0),3,4,1,"CAL6")),0)</f>
        <v>0</v>
      </c>
      <c r="AG204" s="20" t="str">
        <f ca="1">IF(CALC2223!BC204&gt;1,INDIRECT(ADDRESS(MATCH(Agenda2526!C205,'CAL6'!A:A,0)+1,2,4,1,"CAL6")),"")</f>
        <v/>
      </c>
      <c r="AH204" s="21">
        <f ca="1">IF(CALC2223!BC204&gt;1,INDIRECT(ADDRESS(MATCH(Agenda2526!C205,'CAL6'!A:A,0)+1,3,4,1,"CAL6")),0)</f>
        <v>0</v>
      </c>
      <c r="AI204" s="20" t="str">
        <f ca="1">IF(CALC2223!BC204&gt;2,INDIRECT(ADDRESS(MATCH(Agenda2526!C205,'CAL6'!A:A,0)+2,2,4,1,"CAL6")),"")</f>
        <v/>
      </c>
      <c r="AJ204" s="21">
        <f ca="1">IF(CALC2223!BC204&gt;2,INDIRECT(ADDRESS(MATCH(Agenda2526!C205,'CAL6'!A:A,0)+2,3,4,1,"CAL6")),0)</f>
        <v>0</v>
      </c>
      <c r="AK204" s="20" t="str">
        <f ca="1">IF(CALC2223!BD204&gt;0,INDIRECT(ADDRESS(MATCH(Agenda2526!C205,'CAL7'!A:A,0),2,4,1,"CAL7")),"")</f>
        <v/>
      </c>
      <c r="AL204" s="21">
        <f ca="1">IF(CALC2223!BD204&gt;0,INDIRECT(ADDRESS(MATCH(Agenda2526!C205,'CAL7'!A:A,0),3,4,1,"CAL7")),0)</f>
        <v>0</v>
      </c>
      <c r="AM204" s="20" t="str">
        <f ca="1">IF(CALC2223!BD204&gt;1,INDIRECT(ADDRESS(MATCH(Agenda2526!C205,'CAL7'!A:A,0)+1,2,4,1,"CAL7")),"")</f>
        <v/>
      </c>
      <c r="AN204" s="21">
        <f ca="1">IF(CALC2223!BD204&gt;1,INDIRECT(ADDRESS(MATCH(Agenda2526!C205,'CAL7'!A:A,0)+1,3,4,1,"CAL7")),0)</f>
        <v>0</v>
      </c>
      <c r="AO204" s="20" t="str">
        <f ca="1">IF(CALC2223!BD204&gt;2,INDIRECT(ADDRESS(MATCH(Agenda2526!C205,'CAL7'!A:A,0)+2,2,4,1,"CAL7")),"")</f>
        <v/>
      </c>
      <c r="AP204" s="21">
        <f ca="1">IF(CALC2223!BD204&gt;2,INDIRECT(ADDRESS(MATCH(Agenda2526!C205,'CAL7'!A:A,0)+2,3,4,1,"CAL7")),0)</f>
        <v>0</v>
      </c>
      <c r="AQ204" s="20" t="str">
        <f ca="1">IF(CALC2223!BE204&gt;0,INDIRECT(ADDRESS(MATCH(Agenda2526!C205,'CAL8'!A:A,0),2,4,1,"CAL8")),"")</f>
        <v/>
      </c>
      <c r="AR204" s="21">
        <f ca="1">IF(CALC2223!BE204&gt;0,INDIRECT(ADDRESS(MATCH(Agenda2526!C205,'CAL8'!A:A,0),3,4,1,"CAL8")),0)</f>
        <v>0</v>
      </c>
      <c r="AS204" s="20" t="str">
        <f ca="1">IF(CALC2223!BE204&gt;1,INDIRECT(ADDRESS(MATCH(Agenda2526!C205,'CAL8'!A:A,0)+1,2,4,1,"CAL8")),"")</f>
        <v/>
      </c>
      <c r="AT204" s="21">
        <f ca="1">IF(CALC2223!BE204&gt;1,INDIRECT(ADDRESS(MATCH(Agenda2526!C205,'CAL8'!A:A,0)+1,3,4,1,"CAL8")),0)</f>
        <v>0</v>
      </c>
      <c r="AU204" s="20" t="str">
        <f ca="1">IF(CALC2223!BE204&gt;2,INDIRECT(ADDRESS(MATCH(Agenda2526!C205,'CAL8'!A:A,0)+2,2,4,1,"CAL8")),"")</f>
        <v/>
      </c>
      <c r="AV204" s="21">
        <f ca="1">IF(CALC2223!BE204&gt;2,INDIRECT(ADDRESS(MATCH(Agenda2526!C205,'CAL8'!A:A,0)+2,3,4,1,"CAL8")),0)</f>
        <v>0</v>
      </c>
      <c r="AW204" s="106"/>
      <c r="AX204" s="20">
        <f>COUNTIF('CAL1'!A:A,Agenda2526!C205)</f>
        <v>0</v>
      </c>
      <c r="AY204" s="20">
        <f>COUNTIF('CAL2'!A:A,Agenda2526!C205)</f>
        <v>0</v>
      </c>
      <c r="AZ204" s="20">
        <f>COUNTIF('CAL3'!A:A,Agenda2526!C205)</f>
        <v>0</v>
      </c>
      <c r="BA204" s="20">
        <f>COUNTIF('CAL4'!A:A,Agenda2526!C205)</f>
        <v>0</v>
      </c>
      <c r="BB204" s="20">
        <f>COUNTIF('CAL5'!A:A,Agenda2526!C205)</f>
        <v>0</v>
      </c>
      <c r="BC204" s="20">
        <f>COUNTIF('CAL6'!A:A,Agenda2526!C205)</f>
        <v>0</v>
      </c>
      <c r="BD204" s="20">
        <f>COUNTIF('CAL7'!A:A,Agenda2526!C205)</f>
        <v>0</v>
      </c>
      <c r="BE204" s="20">
        <f>COUNTIF('CAL8'!A:A,Agenda2526!C205)</f>
        <v>0</v>
      </c>
    </row>
    <row r="205" spans="1:57" ht="15.75" customHeight="1">
      <c r="A205" s="20" t="str">
        <f ca="1">IF(CALC2223!AX205&gt;0,INDIRECT(ADDRESS(MATCH(Agenda2526!C206,'CAL1'!A:A,0),2,4,1,"CAL1")),"")</f>
        <v/>
      </c>
      <c r="B205" s="21">
        <f ca="1">IF(CALC2223!AX205&gt;0,INDIRECT(ADDRESS(MATCH(Agenda2526!C206,'CAL1'!A:A,0),3,4,1,"CAL1")),0)</f>
        <v>0</v>
      </c>
      <c r="C205" s="20" t="str">
        <f ca="1">IF(CALC2223!AX205&gt;1,INDIRECT(ADDRESS(MATCH(Agenda2526!C206,'CAL1'!A:A,0)+1,2,4,1,"CAL1")),"")</f>
        <v/>
      </c>
      <c r="D205" s="21">
        <f ca="1">IF(CALC2223!AX205&gt;1,INDIRECT(ADDRESS(MATCH(Agenda2526!C206,'CAL1'!A:A,0)+1,3,4,1,"CAL1")),0)</f>
        <v>0</v>
      </c>
      <c r="E205" s="20" t="str">
        <f ca="1">IF(CALC2223!AX205&gt;2,INDIRECT(ADDRESS(MATCH(Agenda2526!C206,'CAL1'!A:A,0)+2,2,4,1,"CAL1")),"")</f>
        <v/>
      </c>
      <c r="F205" s="21">
        <f ca="1">IF(CALC2223!AX205&gt;2,INDIRECT(ADDRESS(MATCH(Agenda2526!C206,'CAL1'!A:A,0)+2,3,4,1,"CAL1")),0)</f>
        <v>0</v>
      </c>
      <c r="G205" s="20" t="str">
        <f ca="1">IF(CALC2223!AY205&gt;0,INDIRECT(ADDRESS(MATCH(Agenda2526!C206,'CAL2'!A:A,0),2,4,1,"CAL2")),"")</f>
        <v/>
      </c>
      <c r="H205" s="21">
        <f ca="1">IF(CALC2223!AY205&gt;0,INDIRECT(ADDRESS(MATCH(Agenda2526!C206,'CAL2'!A:A,0),3,4,1,"CAL2")),0)</f>
        <v>0</v>
      </c>
      <c r="I205" s="20" t="str">
        <f ca="1">IF(CALC2223!AY205&gt;1,INDIRECT(ADDRESS(MATCH(Agenda2526!C206,'CAL2'!A:A,0)+1,2,4,1,"CAL2")),"")</f>
        <v/>
      </c>
      <c r="J205" s="21">
        <f ca="1">IF(CALC2223!AY205&gt;1,INDIRECT(ADDRESS(MATCH(Agenda2526!C206,'CAL2'!A:A,0)+1,3,4,1,"CAL2")),0)</f>
        <v>0</v>
      </c>
      <c r="K205" s="20" t="str">
        <f ca="1">IF(CALC2223!AY205&gt;2,INDIRECT(ADDRESS(MATCH(Agenda2526!C206,'CAL2'!A:A,0)+2,2,4,1,"CAL2")),"")</f>
        <v/>
      </c>
      <c r="L205" s="21">
        <f ca="1">IF(CALC2223!AY205&gt;2,INDIRECT(ADDRESS(MATCH(Agenda2526!C206,'CAL2'!A:A,0)+2,3,4,1,"CAL2")),0)</f>
        <v>0</v>
      </c>
      <c r="M205" s="20" t="str">
        <f ca="1">IF(CALC2223!AZ205&gt;0,INDIRECT(ADDRESS(MATCH(Agenda2526!C206,'CAL3'!A:A,0),2,4,1,"CAL3")),"")</f>
        <v>Start Definitieve Profielkeuze</v>
      </c>
      <c r="N205" s="21">
        <f ca="1">IF(CALC2223!AZ205&gt;0,INDIRECT(ADDRESS(MATCH(Agenda2526!C206,'CAL3'!A:A,0),3,4,1,"CAL3")),0)</f>
        <v>45915</v>
      </c>
      <c r="O205" s="20" t="str">
        <f ca="1">IF(CALC2223!AZ205&gt;1,INDIRECT(ADDRESS(MATCH(Agenda2526!C206,'CAL3'!A:A,0)+1,2,4,1,"CAL3")),"")</f>
        <v/>
      </c>
      <c r="P205" s="21">
        <f ca="1">IF(CALC2223!AZ205&gt;1,INDIRECT(ADDRESS(MATCH(Agenda2526!C206,'CAL3'!A:A,0)+1,3,4,1,"CAL3")),0)</f>
        <v>0</v>
      </c>
      <c r="Q205" s="20" t="str">
        <f ca="1">IF(CALC2223!AZ205&gt;2,INDIRECT(ADDRESS(MATCH(Agenda2526!C206,'CAL3'!A:A,0)+2,2,4,1,"CAL3")),"")</f>
        <v/>
      </c>
      <c r="R205" s="21">
        <f ca="1">IF(CALC2223!AZ205&gt;2,INDIRECT(ADDRESS(MATCH(Agenda2526!C206,'CAL3'!A:A,0)+2,3,4,1,"CAL3")),0)</f>
        <v>0</v>
      </c>
      <c r="S205" s="20" t="str">
        <f ca="1">IF(CALC2223!BA205&gt;0,INDIRECT(ADDRESS(MATCH(Agenda2526!C206,'CAL4'!A:A,0),2,4,1,"CAL4")),"")</f>
        <v>inh rep LA</v>
      </c>
      <c r="T205" s="21">
        <f ca="1">IF(CALC2223!BA205&gt;0,INDIRECT(ADDRESS(MATCH(Agenda2526!C206,'CAL4'!A:A,0),3,4,1,"CAL4")),0)</f>
        <v>45936</v>
      </c>
      <c r="U205" s="20" t="str">
        <f ca="1">IF(CALC2223!BA205&gt;1,INDIRECT(ADDRESS(MATCH(Agenda2526!C206,'CAL4'!A:A,0)+1,2,4,1,"CAL4")),"")</f>
        <v/>
      </c>
      <c r="V205" s="21">
        <f ca="1">IF(CALC2223!BA205&gt;1,INDIRECT(ADDRESS(MATCH(Agenda2526!C206,'CAL4'!A:A,0)+1,3,4,1,"CAL4")),0)</f>
        <v>0</v>
      </c>
      <c r="W205" s="20" t="str">
        <f ca="1">IF(CALC2223!BA205&gt;2,INDIRECT(ADDRESS(MATCH(Agenda2526!C206,'CAL4'!A:A,0)+2,2,4,1,"CAL4")),"")</f>
        <v/>
      </c>
      <c r="X205" s="21">
        <f ca="1">IF(CALC2223!BA205&gt;2,INDIRECT(ADDRESS(MATCH(Agenda2526!C206,'CAL4'!A:A,0)+2,3,4,1,"CAL4")),0)</f>
        <v>0</v>
      </c>
      <c r="Y205" s="20" t="str">
        <f ca="1">IF(CALC2223!BB205&gt;0,INDIRECT(ADDRESS(MATCH(Agenda2526!C206,'CAL5'!A:A,0),2,4,1,"CAL5")),"")</f>
        <v>Informatieavond klassieke reis 19.30 uur</v>
      </c>
      <c r="Z205" s="21">
        <f ca="1">IF(CALC2223!BB205&gt;0,INDIRECT(ADDRESS(MATCH(Agenda2526!C206,'CAL5'!A:A,0),3,4,1,"CAL5")),0)</f>
        <v>45896</v>
      </c>
      <c r="AA205" s="20" t="str">
        <f ca="1">IF(CALC2223!BB205&gt;1,INDIRECT(ADDRESS(MATCH(Agenda2526!C206,'CAL5'!A:A,0)+1,2,4,1,"CAL5")),"")</f>
        <v>inh rep LA</v>
      </c>
      <c r="AB205" s="21">
        <f ca="1">IF(CALC2223!BB205&gt;1,INDIRECT(ADDRESS(MATCH(Agenda2526!C206,'CAL5'!A:A,0)+1,3,4,1,"CAL5")),0)</f>
        <v>45936</v>
      </c>
      <c r="AC205" s="20" t="str">
        <f ca="1">IF(CALC2223!BB205&gt;2,INDIRECT(ADDRESS(MATCH(Agenda2526!C206,'CAL5'!A:A,0)+2,2,4,1,"CAL5")),"")</f>
        <v/>
      </c>
      <c r="AD205" s="21">
        <f ca="1">IF(CALC2223!BB205&gt;2,INDIRECT(ADDRESS(MATCH(Agenda2526!C206,'CAL5'!A:A,0)+2,3,4,1,"CAL5")),0)</f>
        <v>0</v>
      </c>
      <c r="AE205" s="20" t="str">
        <f ca="1">IF(CALC2223!BC205&gt;0,INDIRECT(ADDRESS(MATCH(Agenda2526!C206,'CAL6'!A:A,0),2,4,1,"CAL6")),"")</f>
        <v>tsweek: WisA, WisB, WisC</v>
      </c>
      <c r="AF205" s="21">
        <f ca="1">IF(CALC2223!BC205&gt;0,INDIRECT(ADDRESS(MATCH(Agenda2526!C206,'CAL6'!A:A,0),3,4,1,"CAL6")),0)</f>
        <v>46083</v>
      </c>
      <c r="AG205" s="20" t="str">
        <f ca="1">IF(CALC2223!BC205&gt;1,INDIRECT(ADDRESS(MATCH(Agenda2526!C206,'CAL6'!A:A,0)+1,2,4,1,"CAL6")),"")</f>
        <v/>
      </c>
      <c r="AH205" s="21">
        <f ca="1">IF(CALC2223!BC205&gt;1,INDIRECT(ADDRESS(MATCH(Agenda2526!C206,'CAL6'!A:A,0)+1,3,4,1,"CAL6")),0)</f>
        <v>0</v>
      </c>
      <c r="AI205" s="20" t="str">
        <f ca="1">IF(CALC2223!BC205&gt;2,INDIRECT(ADDRESS(MATCH(Agenda2526!C206,'CAL6'!A:A,0)+2,2,4,1,"CAL6")),"")</f>
        <v/>
      </c>
      <c r="AJ205" s="21">
        <f ca="1">IF(CALC2223!BC205&gt;2,INDIRECT(ADDRESS(MATCH(Agenda2526!C206,'CAL6'!A:A,0)+2,3,4,1,"CAL6")),0)</f>
        <v>0</v>
      </c>
      <c r="AK205" s="20" t="str">
        <f ca="1">IF(CALC2223!BD205&gt;0,INDIRECT(ADDRESS(MATCH(Agenda2526!C206,'CAL7'!A:A,0),2,4,1,"CAL7")),"")</f>
        <v/>
      </c>
      <c r="AL205" s="21">
        <f ca="1">IF(CALC2223!BD205&gt;0,INDIRECT(ADDRESS(MATCH(Agenda2526!C206,'CAL7'!A:A,0),3,4,1,"CAL7")),0)</f>
        <v>0</v>
      </c>
      <c r="AM205" s="20" t="str">
        <f ca="1">IF(CALC2223!BD205&gt;1,INDIRECT(ADDRESS(MATCH(Agenda2526!C206,'CAL7'!A:A,0)+1,2,4,1,"CAL7")),"")</f>
        <v/>
      </c>
      <c r="AN205" s="21">
        <f ca="1">IF(CALC2223!BD205&gt;1,INDIRECT(ADDRESS(MATCH(Agenda2526!C206,'CAL7'!A:A,0)+1,3,4,1,"CAL7")),0)</f>
        <v>0</v>
      </c>
      <c r="AO205" s="20" t="str">
        <f ca="1">IF(CALC2223!BD205&gt;2,INDIRECT(ADDRESS(MATCH(Agenda2526!C206,'CAL7'!A:A,0)+2,2,4,1,"CAL7")),"")</f>
        <v/>
      </c>
      <c r="AP205" s="21">
        <f ca="1">IF(CALC2223!BD205&gt;2,INDIRECT(ADDRESS(MATCH(Agenda2526!C206,'CAL7'!A:A,0)+2,3,4,1,"CAL7")),0)</f>
        <v>0</v>
      </c>
      <c r="AQ205" s="20" t="str">
        <f ca="1">IF(CALC2223!BE205&gt;0,INDIRECT(ADDRESS(MATCH(Agenda2526!C206,'CAL8'!A:A,0),2,4,1,"CAL8")),"")</f>
        <v>start cijferperiode 3</v>
      </c>
      <c r="AR205" s="21">
        <f ca="1">IF(CALC2223!BE205&gt;0,INDIRECT(ADDRESS(MATCH(Agenda2526!C206,'CAL8'!A:A,0),3,4,1,"CAL8")),0)</f>
        <v>45896</v>
      </c>
      <c r="AS205" s="20" t="str">
        <f ca="1">IF(CALC2223!BE205&gt;1,INDIRECT(ADDRESS(MATCH(Agenda2526!C206,'CAL8'!A:A,0)+1,2,4,1,"CAL8")),"")</f>
        <v/>
      </c>
      <c r="AT205" s="21">
        <f ca="1">IF(CALC2223!BE205&gt;1,INDIRECT(ADDRESS(MATCH(Agenda2526!C206,'CAL8'!A:A,0)+1,3,4,1,"CAL8")),0)</f>
        <v>0</v>
      </c>
      <c r="AU205" s="20" t="str">
        <f ca="1">IF(CALC2223!BE205&gt;2,INDIRECT(ADDRESS(MATCH(Agenda2526!C206,'CAL8'!A:A,0)+2,2,4,1,"CAL8")),"")</f>
        <v/>
      </c>
      <c r="AV205" s="21">
        <f ca="1">IF(CALC2223!BE205&gt;2,INDIRECT(ADDRESS(MATCH(Agenda2526!C206,'CAL8'!A:A,0)+2,3,4,1,"CAL8")),0)</f>
        <v>0</v>
      </c>
      <c r="AW205" s="105"/>
      <c r="AX205" s="20">
        <f>COUNTIF('CAL1'!A:A,Agenda2526!C206)</f>
        <v>0</v>
      </c>
      <c r="AY205" s="20">
        <f>COUNTIF('CAL2'!A:A,Agenda2526!C206)</f>
        <v>0</v>
      </c>
      <c r="AZ205" s="20">
        <f>COUNTIF('CAL3'!A:A,Agenda2526!C206)</f>
        <v>1</v>
      </c>
      <c r="BA205" s="20">
        <f>COUNTIF('CAL4'!A:A,Agenda2526!C206)</f>
        <v>1</v>
      </c>
      <c r="BB205" s="20">
        <f>COUNTIF('CAL5'!A:A,Agenda2526!C206)</f>
        <v>2</v>
      </c>
      <c r="BC205" s="20">
        <f>COUNTIF('CAL6'!A:A,Agenda2526!C206)</f>
        <v>1</v>
      </c>
      <c r="BD205" s="20">
        <f>COUNTIF('CAL7'!A:A,Agenda2526!C206)</f>
        <v>0</v>
      </c>
      <c r="BE205" s="20">
        <f>COUNTIF('CAL8'!A:A,Agenda2526!C206)</f>
        <v>1</v>
      </c>
    </row>
    <row r="206" spans="1:57" ht="15.75" customHeight="1">
      <c r="A206" s="20" t="str">
        <f ca="1">IF(CALC2223!AX206&gt;0,INDIRECT(ADDRESS(MATCH(Agenda2526!C207,'CAL1'!A:A,0),2,4,1,"CAL1")),"")</f>
        <v/>
      </c>
      <c r="B206" s="21">
        <f ca="1">IF(CALC2223!AX206&gt;0,INDIRECT(ADDRESS(MATCH(Agenda2526!C207,'CAL1'!A:A,0),3,4,1,"CAL1")),0)</f>
        <v>0</v>
      </c>
      <c r="C206" s="20" t="str">
        <f ca="1">IF(CALC2223!AX206&gt;1,INDIRECT(ADDRESS(MATCH(Agenda2526!C207,'CAL1'!A:A,0)+1,2,4,1,"CAL1")),"")</f>
        <v/>
      </c>
      <c r="D206" s="21">
        <f ca="1">IF(CALC2223!AX206&gt;1,INDIRECT(ADDRESS(MATCH(Agenda2526!C207,'CAL1'!A:A,0)+1,3,4,1,"CAL1")),0)</f>
        <v>0</v>
      </c>
      <c r="E206" s="20" t="str">
        <f ca="1">IF(CALC2223!AX206&gt;2,INDIRECT(ADDRESS(MATCH(Agenda2526!C207,'CAL1'!A:A,0)+2,2,4,1,"CAL1")),"")</f>
        <v/>
      </c>
      <c r="F206" s="21">
        <f ca="1">IF(CALC2223!AX206&gt;2,INDIRECT(ADDRESS(MATCH(Agenda2526!C207,'CAL1'!A:A,0)+2,3,4,1,"CAL1")),0)</f>
        <v>0</v>
      </c>
      <c r="G206" s="20" t="str">
        <f ca="1">IF(CALC2223!AY206&gt;0,INDIRECT(ADDRESS(MATCH(Agenda2526!C207,'CAL2'!A:A,0),2,4,1,"CAL2")),"")</f>
        <v/>
      </c>
      <c r="H206" s="21">
        <f ca="1">IF(CALC2223!AY206&gt;0,INDIRECT(ADDRESS(MATCH(Agenda2526!C207,'CAL2'!A:A,0),3,4,1,"CAL2")),0)</f>
        <v>0</v>
      </c>
      <c r="I206" s="20" t="str">
        <f ca="1">IF(CALC2223!AY206&gt;1,INDIRECT(ADDRESS(MATCH(Agenda2526!C207,'CAL2'!A:A,0)+1,2,4,1,"CAL2")),"")</f>
        <v/>
      </c>
      <c r="J206" s="21">
        <f ca="1">IF(CALC2223!AY206&gt;1,INDIRECT(ADDRESS(MATCH(Agenda2526!C207,'CAL2'!A:A,0)+1,3,4,1,"CAL2")),0)</f>
        <v>0</v>
      </c>
      <c r="K206" s="20" t="str">
        <f ca="1">IF(CALC2223!AY206&gt;2,INDIRECT(ADDRESS(MATCH(Agenda2526!C207,'CAL2'!A:A,0)+2,2,4,1,"CAL2")),"")</f>
        <v/>
      </c>
      <c r="L206" s="21">
        <f ca="1">IF(CALC2223!AY206&gt;2,INDIRECT(ADDRESS(MATCH(Agenda2526!C207,'CAL2'!A:A,0)+2,3,4,1,"CAL2")),0)</f>
        <v>0</v>
      </c>
      <c r="M206" s="20" t="str">
        <f ca="1">IF(CALC2223!AZ206&gt;0,INDIRECT(ADDRESS(MATCH(Agenda2526!C207,'CAL3'!A:A,0),2,4,1,"CAL3")),"")</f>
        <v/>
      </c>
      <c r="N206" s="21">
        <f ca="1">IF(CALC2223!AZ206&gt;0,INDIRECT(ADDRESS(MATCH(Agenda2526!C207,'CAL3'!A:A,0),3,4,1,"CAL3")),0)</f>
        <v>0</v>
      </c>
      <c r="O206" s="20" t="str">
        <f ca="1">IF(CALC2223!AZ206&gt;1,INDIRECT(ADDRESS(MATCH(Agenda2526!C207,'CAL3'!A:A,0)+1,2,4,1,"CAL3")),"")</f>
        <v/>
      </c>
      <c r="P206" s="21">
        <f ca="1">IF(CALC2223!AZ206&gt;1,INDIRECT(ADDRESS(MATCH(Agenda2526!C207,'CAL3'!A:A,0)+1,3,4,1,"CAL3")),0)</f>
        <v>0</v>
      </c>
      <c r="Q206" s="20" t="str">
        <f ca="1">IF(CALC2223!AZ206&gt;2,INDIRECT(ADDRESS(MATCH(Agenda2526!C207,'CAL3'!A:A,0)+2,2,4,1,"CAL3")),"")</f>
        <v/>
      </c>
      <c r="R206" s="21">
        <f ca="1">IF(CALC2223!AZ206&gt;2,INDIRECT(ADDRESS(MATCH(Agenda2526!C207,'CAL3'!A:A,0)+2,3,4,1,"CAL3")),0)</f>
        <v>0</v>
      </c>
      <c r="S206" s="20" t="str">
        <f ca="1">IF(CALC2223!BA206&gt;0,INDIRECT(ADDRESS(MATCH(Agenda2526!C207,'CAL4'!A:A,0),2,4,1,"CAL4")),"")</f>
        <v>definitieve profielkeuze</v>
      </c>
      <c r="T206" s="21">
        <f ca="1">IF(CALC2223!BA206&gt;0,INDIRECT(ADDRESS(MATCH(Agenda2526!C207,'CAL4'!A:A,0),3,4,1,"CAL4")),0)</f>
        <v>45896</v>
      </c>
      <c r="U206" s="20" t="str">
        <f ca="1">IF(CALC2223!BA206&gt;1,INDIRECT(ADDRESS(MATCH(Agenda2526!C207,'CAL4'!A:A,0)+1,2,4,1,"CAL4")),"")</f>
        <v/>
      </c>
      <c r="V206" s="21">
        <f ca="1">IF(CALC2223!BA206&gt;1,INDIRECT(ADDRESS(MATCH(Agenda2526!C207,'CAL4'!A:A,0)+1,3,4,1,"CAL4")),0)</f>
        <v>0</v>
      </c>
      <c r="W206" s="20" t="str">
        <f ca="1">IF(CALC2223!BA206&gt;2,INDIRECT(ADDRESS(MATCH(Agenda2526!C207,'CAL4'!A:A,0)+2,2,4,1,"CAL4")),"")</f>
        <v/>
      </c>
      <c r="X206" s="21">
        <f ca="1">IF(CALC2223!BA206&gt;2,INDIRECT(ADDRESS(MATCH(Agenda2526!C207,'CAL4'!A:A,0)+2,3,4,1,"CAL4")),0)</f>
        <v>0</v>
      </c>
      <c r="Y206" s="20" t="str">
        <f ca="1">IF(CALC2223!BB206&gt;0,INDIRECT(ADDRESS(MATCH(Agenda2526!C207,'CAL5'!A:A,0),2,4,1,"CAL5")),"")</f>
        <v/>
      </c>
      <c r="Z206" s="21">
        <f ca="1">IF(CALC2223!BB206&gt;0,INDIRECT(ADDRESS(MATCH(Agenda2526!C207,'CAL5'!A:A,0),3,4,1,"CAL5")),0)</f>
        <v>0</v>
      </c>
      <c r="AA206" s="20" t="str">
        <f ca="1">IF(CALC2223!BB206&gt;1,INDIRECT(ADDRESS(MATCH(Agenda2526!C207,'CAL5'!A:A,0)+1,2,4,1,"CAL5")),"")</f>
        <v/>
      </c>
      <c r="AB206" s="21">
        <f ca="1">IF(CALC2223!BB206&gt;1,INDIRECT(ADDRESS(MATCH(Agenda2526!C207,'CAL5'!A:A,0)+1,3,4,1,"CAL5")),0)</f>
        <v>0</v>
      </c>
      <c r="AC206" s="20" t="str">
        <f ca="1">IF(CALC2223!BB206&gt;2,INDIRECT(ADDRESS(MATCH(Agenda2526!C207,'CAL5'!A:A,0)+2,2,4,1,"CAL5")),"")</f>
        <v/>
      </c>
      <c r="AD206" s="21">
        <f ca="1">IF(CALC2223!BB206&gt;2,INDIRECT(ADDRESS(MATCH(Agenda2526!C207,'CAL5'!A:A,0)+2,3,4,1,"CAL5")),0)</f>
        <v>0</v>
      </c>
      <c r="AE206" s="20" t="str">
        <f ca="1">IF(CALC2223!BC206&gt;0,INDIRECT(ADDRESS(MATCH(Agenda2526!C207,'CAL6'!A:A,0),2,4,1,"CAL6")),"")</f>
        <v>tsweek: EC, FI</v>
      </c>
      <c r="AF206" s="21">
        <f ca="1">IF(CALC2223!BC206&gt;0,INDIRECT(ADDRESS(MATCH(Agenda2526!C207,'CAL6'!A:A,0),3,4,1,"CAL6")),0)</f>
        <v>46083</v>
      </c>
      <c r="AG206" s="20" t="str">
        <f ca="1">IF(CALC2223!BC206&gt;1,INDIRECT(ADDRESS(MATCH(Agenda2526!C207,'CAL6'!A:A,0)+1,2,4,1,"CAL6")),"")</f>
        <v/>
      </c>
      <c r="AH206" s="21">
        <f ca="1">IF(CALC2223!BC206&gt;1,INDIRECT(ADDRESS(MATCH(Agenda2526!C207,'CAL6'!A:A,0)+1,3,4,1,"CAL6")),0)</f>
        <v>0</v>
      </c>
      <c r="AI206" s="20" t="str">
        <f ca="1">IF(CALC2223!BC206&gt;2,INDIRECT(ADDRESS(MATCH(Agenda2526!C207,'CAL6'!A:A,0)+2,2,4,1,"CAL6")),"")</f>
        <v/>
      </c>
      <c r="AJ206" s="21">
        <f ca="1">IF(CALC2223!BC206&gt;2,INDIRECT(ADDRESS(MATCH(Agenda2526!C207,'CAL6'!A:A,0)+2,3,4,1,"CAL6")),0)</f>
        <v>0</v>
      </c>
      <c r="AK206" s="20" t="str">
        <f ca="1">IF(CALC2223!BD206&gt;0,INDIRECT(ADDRESS(MATCH(Agenda2526!C207,'CAL7'!A:A,0),2,4,1,"CAL7")),"")</f>
        <v/>
      </c>
      <c r="AL206" s="21">
        <f ca="1">IF(CALC2223!BD206&gt;0,INDIRECT(ADDRESS(MATCH(Agenda2526!C207,'CAL7'!A:A,0),3,4,1,"CAL7")),0)</f>
        <v>0</v>
      </c>
      <c r="AM206" s="20" t="str">
        <f ca="1">IF(CALC2223!BD206&gt;1,INDIRECT(ADDRESS(MATCH(Agenda2526!C207,'CAL7'!A:A,0)+1,2,4,1,"CAL7")),"")</f>
        <v/>
      </c>
      <c r="AN206" s="21">
        <f ca="1">IF(CALC2223!BD206&gt;1,INDIRECT(ADDRESS(MATCH(Agenda2526!C207,'CAL7'!A:A,0)+1,3,4,1,"CAL7")),0)</f>
        <v>0</v>
      </c>
      <c r="AO206" s="20" t="str">
        <f ca="1">IF(CALC2223!BD206&gt;2,INDIRECT(ADDRESS(MATCH(Agenda2526!C207,'CAL7'!A:A,0)+2,2,4,1,"CAL7")),"")</f>
        <v/>
      </c>
      <c r="AP206" s="21">
        <f ca="1">IF(CALC2223!BD206&gt;2,INDIRECT(ADDRESS(MATCH(Agenda2526!C207,'CAL7'!A:A,0)+2,3,4,1,"CAL7")),0)</f>
        <v>0</v>
      </c>
      <c r="AQ206" s="20" t="str">
        <f ca="1">IF(CALC2223!BE206&gt;0,INDIRECT(ADDRESS(MATCH(Agenda2526!C207,'CAL8'!A:A,0),2,4,1,"CAL8")),"")</f>
        <v/>
      </c>
      <c r="AR206" s="21">
        <f ca="1">IF(CALC2223!BE206&gt;0,INDIRECT(ADDRESS(MATCH(Agenda2526!C207,'CAL8'!A:A,0),3,4,1,"CAL8")),0)</f>
        <v>0</v>
      </c>
      <c r="AS206" s="20" t="str">
        <f ca="1">IF(CALC2223!BE206&gt;1,INDIRECT(ADDRESS(MATCH(Agenda2526!C207,'CAL8'!A:A,0)+1,2,4,1,"CAL8")),"")</f>
        <v/>
      </c>
      <c r="AT206" s="21">
        <f ca="1">IF(CALC2223!BE206&gt;1,INDIRECT(ADDRESS(MATCH(Agenda2526!C207,'CAL8'!A:A,0)+1,3,4,1,"CAL8")),0)</f>
        <v>0</v>
      </c>
      <c r="AU206" s="20" t="str">
        <f ca="1">IF(CALC2223!BE206&gt;2,INDIRECT(ADDRESS(MATCH(Agenda2526!C207,'CAL8'!A:A,0)+2,2,4,1,"CAL8")),"")</f>
        <v/>
      </c>
      <c r="AV206" s="21">
        <f ca="1">IF(CALC2223!BE206&gt;2,INDIRECT(ADDRESS(MATCH(Agenda2526!C207,'CAL8'!A:A,0)+2,3,4,1,"CAL8")),0)</f>
        <v>0</v>
      </c>
      <c r="AW206" s="105"/>
      <c r="AX206" s="20">
        <f>COUNTIF('CAL1'!A:A,Agenda2526!C207)</f>
        <v>0</v>
      </c>
      <c r="AY206" s="20">
        <f>COUNTIF('CAL2'!A:A,Agenda2526!C207)</f>
        <v>0</v>
      </c>
      <c r="AZ206" s="20">
        <f>COUNTIF('CAL3'!A:A,Agenda2526!C207)</f>
        <v>0</v>
      </c>
      <c r="BA206" s="20">
        <f>COUNTIF('CAL4'!A:A,Agenda2526!C207)</f>
        <v>1</v>
      </c>
      <c r="BB206" s="20">
        <f>COUNTIF('CAL5'!A:A,Agenda2526!C207)</f>
        <v>0</v>
      </c>
      <c r="BC206" s="20">
        <f>COUNTIF('CAL6'!A:A,Agenda2526!C207)</f>
        <v>1</v>
      </c>
      <c r="BD206" s="20">
        <f>COUNTIF('CAL7'!A:A,Agenda2526!C207)</f>
        <v>0</v>
      </c>
      <c r="BE206" s="20">
        <f>COUNTIF('CAL8'!A:A,Agenda2526!C207)</f>
        <v>0</v>
      </c>
    </row>
    <row r="207" spans="1:57" ht="15.75" customHeight="1">
      <c r="A207" s="20" t="str">
        <f ca="1">IF(CALC2223!AX207&gt;0,INDIRECT(ADDRESS(MATCH(Agenda2526!C208,'CAL1'!A:A,0),2,4,1,"CAL1")),"")</f>
        <v>Rep WIS</v>
      </c>
      <c r="B207" s="21">
        <f ca="1">IF(CALC2223!AX207&gt;0,INDIRECT(ADDRESS(MATCH(Agenda2526!C208,'CAL1'!A:A,0),3,4,1,"CAL1")),0)</f>
        <v>45901</v>
      </c>
      <c r="C207" s="20" t="str">
        <f ca="1">IF(CALC2223!AX207&gt;1,INDIRECT(ADDRESS(MATCH(Agenda2526!C208,'CAL1'!A:A,0)+1,2,4,1,"CAL1")),"")</f>
        <v/>
      </c>
      <c r="D207" s="21">
        <f ca="1">IF(CALC2223!AX207&gt;1,INDIRECT(ADDRESS(MATCH(Agenda2526!C208,'CAL1'!A:A,0)+1,3,4,1,"CAL1")),0)</f>
        <v>0</v>
      </c>
      <c r="E207" s="20" t="str">
        <f ca="1">IF(CALC2223!AX207&gt;2,INDIRECT(ADDRESS(MATCH(Agenda2526!C208,'CAL1'!A:A,0)+2,2,4,1,"CAL1")),"")</f>
        <v/>
      </c>
      <c r="F207" s="21">
        <f ca="1">IF(CALC2223!AX207&gt;2,INDIRECT(ADDRESS(MATCH(Agenda2526!C208,'CAL1'!A:A,0)+2,3,4,1,"CAL1")),0)</f>
        <v>0</v>
      </c>
      <c r="G207" s="20" t="str">
        <f ca="1">IF(CALC2223!AY207&gt;0,INDIRECT(ADDRESS(MATCH(Agenda2526!C208,'CAL2'!A:A,0),2,4,1,"CAL2")),"")</f>
        <v/>
      </c>
      <c r="H207" s="21">
        <f ca="1">IF(CALC2223!AY207&gt;0,INDIRECT(ADDRESS(MATCH(Agenda2526!C208,'CAL2'!A:A,0),3,4,1,"CAL2")),0)</f>
        <v>0</v>
      </c>
      <c r="I207" s="20" t="str">
        <f ca="1">IF(CALC2223!AY207&gt;1,INDIRECT(ADDRESS(MATCH(Agenda2526!C208,'CAL2'!A:A,0)+1,2,4,1,"CAL2")),"")</f>
        <v/>
      </c>
      <c r="J207" s="21">
        <f ca="1">IF(CALC2223!AY207&gt;1,INDIRECT(ADDRESS(MATCH(Agenda2526!C208,'CAL2'!A:A,0)+1,3,4,1,"CAL2")),0)</f>
        <v>0</v>
      </c>
      <c r="K207" s="20" t="str">
        <f ca="1">IF(CALC2223!AY207&gt;2,INDIRECT(ADDRESS(MATCH(Agenda2526!C208,'CAL2'!A:A,0)+2,2,4,1,"CAL2")),"")</f>
        <v/>
      </c>
      <c r="L207" s="21">
        <f ca="1">IF(CALC2223!AY207&gt;2,INDIRECT(ADDRESS(MATCH(Agenda2526!C208,'CAL2'!A:A,0)+2,3,4,1,"CAL2")),0)</f>
        <v>0</v>
      </c>
      <c r="M207" s="20" t="str">
        <f ca="1">IF(CALC2223!AZ207&gt;0,INDIRECT(ADDRESS(MATCH(Agenda2526!C208,'CAL3'!A:A,0),2,4,1,"CAL3")),"")</f>
        <v/>
      </c>
      <c r="N207" s="21">
        <f ca="1">IF(CALC2223!AZ207&gt;0,INDIRECT(ADDRESS(MATCH(Agenda2526!C208,'CAL3'!A:A,0),3,4,1,"CAL3")),0)</f>
        <v>0</v>
      </c>
      <c r="O207" s="20" t="str">
        <f ca="1">IF(CALC2223!AZ207&gt;1,INDIRECT(ADDRESS(MATCH(Agenda2526!C208,'CAL3'!A:A,0)+1,2,4,1,"CAL3")),"")</f>
        <v/>
      </c>
      <c r="P207" s="21">
        <f ca="1">IF(CALC2223!AZ207&gt;1,INDIRECT(ADDRESS(MATCH(Agenda2526!C208,'CAL3'!A:A,0)+1,3,4,1,"CAL3")),0)</f>
        <v>0</v>
      </c>
      <c r="Q207" s="20" t="str">
        <f ca="1">IF(CALC2223!AZ207&gt;2,INDIRECT(ADDRESS(MATCH(Agenda2526!C208,'CAL3'!A:A,0)+2,2,4,1,"CAL3")),"")</f>
        <v/>
      </c>
      <c r="R207" s="21">
        <f ca="1">IF(CALC2223!AZ207&gt;2,INDIRECT(ADDRESS(MATCH(Agenda2526!C208,'CAL3'!A:A,0)+2,3,4,1,"CAL3")),0)</f>
        <v>0</v>
      </c>
      <c r="S207" s="20" t="str">
        <f ca="1">IF(CALC2223!BA207&gt;0,INDIRECT(ADDRESS(MATCH(Agenda2526!C208,'CAL4'!A:A,0),2,4,1,"CAL4")),"")</f>
        <v>aankomst Rennes</v>
      </c>
      <c r="T207" s="21">
        <f ca="1">IF(CALC2223!BA207&gt;0,INDIRECT(ADDRESS(MATCH(Agenda2526!C208,'CAL4'!A:A,0),3,4,1,"CAL4")),0)</f>
        <v>45896</v>
      </c>
      <c r="U207" s="20" t="str">
        <f ca="1">IF(CALC2223!BA207&gt;1,INDIRECT(ADDRESS(MATCH(Agenda2526!C208,'CAL4'!A:A,0)+1,2,4,1,"CAL4")),"")</f>
        <v/>
      </c>
      <c r="V207" s="21">
        <f ca="1">IF(CALC2223!BA207&gt;1,INDIRECT(ADDRESS(MATCH(Agenda2526!C208,'CAL4'!A:A,0)+1,3,4,1,"CAL4")),0)</f>
        <v>0</v>
      </c>
      <c r="W207" s="20" t="str">
        <f ca="1">IF(CALC2223!BA207&gt;2,INDIRECT(ADDRESS(MATCH(Agenda2526!C208,'CAL4'!A:A,0)+2,2,4,1,"CAL4")),"")</f>
        <v/>
      </c>
      <c r="X207" s="21">
        <f ca="1">IF(CALC2223!BA207&gt;2,INDIRECT(ADDRESS(MATCH(Agenda2526!C208,'CAL4'!A:A,0)+2,3,4,1,"CAL4")),0)</f>
        <v>0</v>
      </c>
      <c r="Y207" s="20" t="str">
        <f ca="1">IF(CALC2223!BB207&gt;0,INDIRECT(ADDRESS(MATCH(Agenda2526!C208,'CAL5'!A:A,0),2,4,1,"CAL5")),"")</f>
        <v>Rep EC</v>
      </c>
      <c r="Z207" s="21">
        <f ca="1">IF(CALC2223!BB207&gt;0,INDIRECT(ADDRESS(MATCH(Agenda2526!C208,'CAL5'!A:A,0),3,4,1,"CAL5")),0)</f>
        <v>45896</v>
      </c>
      <c r="AA207" s="20" t="str">
        <f ca="1">IF(CALC2223!BB207&gt;1,INDIRECT(ADDRESS(MATCH(Agenda2526!C208,'CAL5'!A:A,0)+1,2,4,1,"CAL5")),"")</f>
        <v/>
      </c>
      <c r="AB207" s="21">
        <f ca="1">IF(CALC2223!BB207&gt;1,INDIRECT(ADDRESS(MATCH(Agenda2526!C208,'CAL5'!A:A,0)+1,3,4,1,"CAL5")),0)</f>
        <v>0</v>
      </c>
      <c r="AC207" s="20" t="str">
        <f ca="1">IF(CALC2223!BB207&gt;2,INDIRECT(ADDRESS(MATCH(Agenda2526!C208,'CAL5'!A:A,0)+2,2,4,1,"CAL5")),"")</f>
        <v/>
      </c>
      <c r="AD207" s="21">
        <f ca="1">IF(CALC2223!BB207&gt;2,INDIRECT(ADDRESS(MATCH(Agenda2526!C208,'CAL5'!A:A,0)+2,3,4,1,"CAL5")),0)</f>
        <v>0</v>
      </c>
      <c r="AE207" s="20" t="str">
        <f ca="1">IF(CALC2223!BC207&gt;0,INDIRECT(ADDRESS(MATCH(Agenda2526!C208,'CAL6'!A:A,0),2,4,1,"CAL6")),"")</f>
        <v>tsweek: GS, SK</v>
      </c>
      <c r="AF207" s="21">
        <f ca="1">IF(CALC2223!BC207&gt;0,INDIRECT(ADDRESS(MATCH(Agenda2526!C208,'CAL6'!A:A,0),3,4,1,"CAL6")),0)</f>
        <v>45965</v>
      </c>
      <c r="AG207" s="20" t="str">
        <f ca="1">IF(CALC2223!BC207&gt;1,INDIRECT(ADDRESS(MATCH(Agenda2526!C208,'CAL6'!A:A,0)+1,2,4,1,"CAL6")),"")</f>
        <v/>
      </c>
      <c r="AH207" s="21">
        <f ca="1">IF(CALC2223!BC207&gt;1,INDIRECT(ADDRESS(MATCH(Agenda2526!C208,'CAL6'!A:A,0)+1,3,4,1,"CAL6")),0)</f>
        <v>0</v>
      </c>
      <c r="AI207" s="20" t="str">
        <f ca="1">IF(CALC2223!BC207&gt;2,INDIRECT(ADDRESS(MATCH(Agenda2526!C208,'CAL6'!A:A,0)+2,2,4,1,"CAL6")),"")</f>
        <v/>
      </c>
      <c r="AJ207" s="21">
        <f ca="1">IF(CALC2223!BC207&gt;2,INDIRECT(ADDRESS(MATCH(Agenda2526!C208,'CAL6'!A:A,0)+2,3,4,1,"CAL6")),0)</f>
        <v>0</v>
      </c>
      <c r="AK207" s="20" t="str">
        <f ca="1">IF(CALC2223!BD207&gt;0,INDIRECT(ADDRESS(MATCH(Agenda2526!C208,'CAL7'!A:A,0),2,4,1,"CAL7")),"")</f>
        <v/>
      </c>
      <c r="AL207" s="21">
        <f ca="1">IF(CALC2223!BD207&gt;0,INDIRECT(ADDRESS(MATCH(Agenda2526!C208,'CAL7'!A:A,0),3,4,1,"CAL7")),0)</f>
        <v>0</v>
      </c>
      <c r="AM207" s="20" t="str">
        <f ca="1">IF(CALC2223!BD207&gt;1,INDIRECT(ADDRESS(MATCH(Agenda2526!C208,'CAL7'!A:A,0)+1,2,4,1,"CAL7")),"")</f>
        <v/>
      </c>
      <c r="AN207" s="21">
        <f ca="1">IF(CALC2223!BD207&gt;1,INDIRECT(ADDRESS(MATCH(Agenda2526!C208,'CAL7'!A:A,0)+1,3,4,1,"CAL7")),0)</f>
        <v>0</v>
      </c>
      <c r="AO207" s="20" t="str">
        <f ca="1">IF(CALC2223!BD207&gt;2,INDIRECT(ADDRESS(MATCH(Agenda2526!C208,'CAL7'!A:A,0)+2,2,4,1,"CAL7")),"")</f>
        <v/>
      </c>
      <c r="AP207" s="21">
        <f ca="1">IF(CALC2223!BD207&gt;2,INDIRECT(ADDRESS(MATCH(Agenda2526!C208,'CAL7'!A:A,0)+2,3,4,1,"CAL7")),0)</f>
        <v>0</v>
      </c>
      <c r="AQ207" s="20" t="str">
        <f ca="1">IF(CALC2223!BE207&gt;0,INDIRECT(ADDRESS(MATCH(Agenda2526!C208,'CAL8'!A:A,0),2,4,1,"CAL8")),"")</f>
        <v/>
      </c>
      <c r="AR207" s="21">
        <f ca="1">IF(CALC2223!BE207&gt;0,INDIRECT(ADDRESS(MATCH(Agenda2526!C208,'CAL8'!A:A,0),3,4,1,"CAL8")),0)</f>
        <v>0</v>
      </c>
      <c r="AS207" s="20" t="str">
        <f ca="1">IF(CALC2223!BE207&gt;1,INDIRECT(ADDRESS(MATCH(Agenda2526!C208,'CAL8'!A:A,0)+1,2,4,1,"CAL8")),"")</f>
        <v/>
      </c>
      <c r="AT207" s="21">
        <f ca="1">IF(CALC2223!BE207&gt;1,INDIRECT(ADDRESS(MATCH(Agenda2526!C208,'CAL8'!A:A,0)+1,3,4,1,"CAL8")),0)</f>
        <v>0</v>
      </c>
      <c r="AU207" s="20" t="str">
        <f ca="1">IF(CALC2223!BE207&gt;2,INDIRECT(ADDRESS(MATCH(Agenda2526!C208,'CAL8'!A:A,0)+2,2,4,1,"CAL8")),"")</f>
        <v/>
      </c>
      <c r="AV207" s="21">
        <f ca="1">IF(CALC2223!BE207&gt;2,INDIRECT(ADDRESS(MATCH(Agenda2526!C208,'CAL8'!A:A,0)+2,3,4,1,"CAL8")),0)</f>
        <v>0</v>
      </c>
      <c r="AW207" s="105"/>
      <c r="AX207" s="20">
        <f>COUNTIF('CAL1'!A:A,Agenda2526!C208)</f>
        <v>1</v>
      </c>
      <c r="AY207" s="20">
        <f>COUNTIF('CAL2'!A:A,Agenda2526!C208)</f>
        <v>0</v>
      </c>
      <c r="AZ207" s="20">
        <f>COUNTIF('CAL3'!A:A,Agenda2526!C208)</f>
        <v>0</v>
      </c>
      <c r="BA207" s="20">
        <f>COUNTIF('CAL4'!A:A,Agenda2526!C208)</f>
        <v>1</v>
      </c>
      <c r="BB207" s="20">
        <f>COUNTIF('CAL5'!A:A,Agenda2526!C208)</f>
        <v>1</v>
      </c>
      <c r="BC207" s="20">
        <f>COUNTIF('CAL6'!A:A,Agenda2526!C208)</f>
        <v>1</v>
      </c>
      <c r="BD207" s="20">
        <f>COUNTIF('CAL7'!A:A,Agenda2526!C208)</f>
        <v>0</v>
      </c>
      <c r="BE207" s="20">
        <f>COUNTIF('CAL8'!A:A,Agenda2526!C208)</f>
        <v>0</v>
      </c>
    </row>
    <row r="208" spans="1:57" ht="15.75" customHeight="1">
      <c r="A208" s="20" t="str">
        <f ca="1">IF(CALC2223!AX208&gt;0,INDIRECT(ADDRESS(MATCH(Agenda2526!C209,'CAL1'!A:A,0),2,4,1,"CAL1")),"")</f>
        <v/>
      </c>
      <c r="B208" s="21">
        <f ca="1">IF(CALC2223!AX208&gt;0,INDIRECT(ADDRESS(MATCH(Agenda2526!C209,'CAL1'!A:A,0),3,4,1,"CAL1")),0)</f>
        <v>0</v>
      </c>
      <c r="C208" s="20" t="str">
        <f ca="1">IF(CALC2223!AX208&gt;1,INDIRECT(ADDRESS(MATCH(Agenda2526!C209,'CAL1'!A:A,0)+1,2,4,1,"CAL1")),"")</f>
        <v/>
      </c>
      <c r="D208" s="21">
        <f ca="1">IF(CALC2223!AX208&gt;1,INDIRECT(ADDRESS(MATCH(Agenda2526!C209,'CAL1'!A:A,0)+1,3,4,1,"CAL1")),0)</f>
        <v>0</v>
      </c>
      <c r="E208" s="20" t="str">
        <f ca="1">IF(CALC2223!AX208&gt;2,INDIRECT(ADDRESS(MATCH(Agenda2526!C209,'CAL1'!A:A,0)+2,2,4,1,"CAL1")),"")</f>
        <v/>
      </c>
      <c r="F208" s="21">
        <f ca="1">IF(CALC2223!AX208&gt;2,INDIRECT(ADDRESS(MATCH(Agenda2526!C209,'CAL1'!A:A,0)+2,3,4,1,"CAL1")),0)</f>
        <v>0</v>
      </c>
      <c r="G208" s="20" t="str">
        <f ca="1">IF(CALC2223!AY208&gt;0,INDIRECT(ADDRESS(MATCH(Agenda2526!C209,'CAL2'!A:A,0),2,4,1,"CAL2")),"")</f>
        <v/>
      </c>
      <c r="H208" s="21">
        <f ca="1">IF(CALC2223!AY208&gt;0,INDIRECT(ADDRESS(MATCH(Agenda2526!C209,'CAL2'!A:A,0),3,4,1,"CAL2")),0)</f>
        <v>0</v>
      </c>
      <c r="I208" s="20" t="str">
        <f ca="1">IF(CALC2223!AY208&gt;1,INDIRECT(ADDRESS(MATCH(Agenda2526!C209,'CAL2'!A:A,0)+1,2,4,1,"CAL2")),"")</f>
        <v/>
      </c>
      <c r="J208" s="21">
        <f ca="1">IF(CALC2223!AY208&gt;1,INDIRECT(ADDRESS(MATCH(Agenda2526!C209,'CAL2'!A:A,0)+1,3,4,1,"CAL2")),0)</f>
        <v>0</v>
      </c>
      <c r="K208" s="20" t="str">
        <f ca="1">IF(CALC2223!AY208&gt;2,INDIRECT(ADDRESS(MATCH(Agenda2526!C209,'CAL2'!A:A,0)+2,2,4,1,"CAL2")),"")</f>
        <v/>
      </c>
      <c r="L208" s="21">
        <f ca="1">IF(CALC2223!AY208&gt;2,INDIRECT(ADDRESS(MATCH(Agenda2526!C209,'CAL2'!A:A,0)+2,3,4,1,"CAL2")),0)</f>
        <v>0</v>
      </c>
      <c r="M208" s="20" t="str">
        <f ca="1">IF(CALC2223!AZ208&gt;0,INDIRECT(ADDRESS(MATCH(Agenda2526!C209,'CAL3'!A:A,0),2,4,1,"CAL3")),"")</f>
        <v>Rep GR</v>
      </c>
      <c r="N208" s="21">
        <f ca="1">IF(CALC2223!AZ208&gt;0,INDIRECT(ADDRESS(MATCH(Agenda2526!C209,'CAL3'!A:A,0),3,4,1,"CAL3")),0)</f>
        <v>45903</v>
      </c>
      <c r="O208" s="20" t="str">
        <f ca="1">IF(CALC2223!AZ208&gt;1,INDIRECT(ADDRESS(MATCH(Agenda2526!C209,'CAL3'!A:A,0)+1,2,4,1,"CAL3")),"")</f>
        <v/>
      </c>
      <c r="P208" s="21">
        <f ca="1">IF(CALC2223!AZ208&gt;1,INDIRECT(ADDRESS(MATCH(Agenda2526!C209,'CAL3'!A:A,0)+1,3,4,1,"CAL3")),0)</f>
        <v>0</v>
      </c>
      <c r="Q208" s="20" t="str">
        <f ca="1">IF(CALC2223!AZ208&gt;2,INDIRECT(ADDRESS(MATCH(Agenda2526!C209,'CAL3'!A:A,0)+2,2,4,1,"CAL3")),"")</f>
        <v/>
      </c>
      <c r="R208" s="21">
        <f ca="1">IF(CALC2223!AZ208&gt;2,INDIRECT(ADDRESS(MATCH(Agenda2526!C209,'CAL3'!A:A,0)+2,3,4,1,"CAL3")),0)</f>
        <v>0</v>
      </c>
      <c r="S208" s="20" t="str">
        <f ca="1">IF(CALC2223!BA208&gt;0,INDIRECT(ADDRESS(MATCH(Agenda2526!C209,'CAL4'!A:A,0),2,4,1,"CAL4")),"")</f>
        <v>inh rep SK</v>
      </c>
      <c r="T208" s="21">
        <f ca="1">IF(CALC2223!BA208&gt;0,INDIRECT(ADDRESS(MATCH(Agenda2526!C209,'CAL4'!A:A,0),3,4,1,"CAL4")),0)</f>
        <v>45936</v>
      </c>
      <c r="U208" s="20" t="str">
        <f ca="1">IF(CALC2223!BA208&gt;1,INDIRECT(ADDRESS(MATCH(Agenda2526!C209,'CAL4'!A:A,0)+1,2,4,1,"CAL4")),"")</f>
        <v/>
      </c>
      <c r="V208" s="21">
        <f ca="1">IF(CALC2223!BA208&gt;1,INDIRECT(ADDRESS(MATCH(Agenda2526!C209,'CAL4'!A:A,0)+1,3,4,1,"CAL4")),0)</f>
        <v>0</v>
      </c>
      <c r="W208" s="20" t="str">
        <f ca="1">IF(CALC2223!BA208&gt;2,INDIRECT(ADDRESS(MATCH(Agenda2526!C209,'CAL4'!A:A,0)+2,2,4,1,"CAL4")),"")</f>
        <v/>
      </c>
      <c r="X208" s="21">
        <f ca="1">IF(CALC2223!BA208&gt;2,INDIRECT(ADDRESS(MATCH(Agenda2526!C209,'CAL4'!A:A,0)+2,3,4,1,"CAL4")),0)</f>
        <v>0</v>
      </c>
      <c r="Y208" s="20" t="str">
        <f ca="1">IF(CALC2223!BB208&gt;0,INDIRECT(ADDRESS(MATCH(Agenda2526!C209,'CAL5'!A:A,0),2,4,1,"CAL5")),"")</f>
        <v>inh rep FI</v>
      </c>
      <c r="Z208" s="21">
        <f ca="1">IF(CALC2223!BB208&gt;0,INDIRECT(ADDRESS(MATCH(Agenda2526!C209,'CAL5'!A:A,0),3,4,1,"CAL5")),0)</f>
        <v>45936</v>
      </c>
      <c r="AA208" s="20" t="str">
        <f ca="1">IF(CALC2223!BB208&gt;1,INDIRECT(ADDRESS(MATCH(Agenda2526!C209,'CAL5'!A:A,0)+1,2,4,1,"CAL5")),"")</f>
        <v/>
      </c>
      <c r="AB208" s="21">
        <f ca="1">IF(CALC2223!BB208&gt;1,INDIRECT(ADDRESS(MATCH(Agenda2526!C209,'CAL5'!A:A,0)+1,3,4,1,"CAL5")),0)</f>
        <v>0</v>
      </c>
      <c r="AC208" s="20" t="str">
        <f ca="1">IF(CALC2223!BB208&gt;2,INDIRECT(ADDRESS(MATCH(Agenda2526!C209,'CAL5'!A:A,0)+2,2,4,1,"CAL5")),"")</f>
        <v/>
      </c>
      <c r="AD208" s="21">
        <f ca="1">IF(CALC2223!BB208&gt;2,INDIRECT(ADDRESS(MATCH(Agenda2526!C209,'CAL5'!A:A,0)+2,3,4,1,"CAL5")),0)</f>
        <v>0</v>
      </c>
      <c r="AE208" s="20" t="str">
        <f ca="1">IF(CALC2223!BC208&gt;0,INDIRECT(ADDRESS(MATCH(Agenda2526!C209,'CAL6'!A:A,0),2,4,1,"CAL6")),"")</f>
        <v>tsweek: AK, NAT / HPGeindpresentaties</v>
      </c>
      <c r="AF208" s="21">
        <f ca="1">IF(CALC2223!BC208&gt;0,INDIRECT(ADDRESS(MATCH(Agenda2526!C209,'CAL6'!A:A,0),3,4,1,"CAL6")),0)</f>
        <v>46083</v>
      </c>
      <c r="AG208" s="20" t="str">
        <f ca="1">IF(CALC2223!BC208&gt;1,INDIRECT(ADDRESS(MATCH(Agenda2526!C209,'CAL6'!A:A,0)+1,2,4,1,"CAL6")),"")</f>
        <v/>
      </c>
      <c r="AH208" s="21">
        <f ca="1">IF(CALC2223!BC208&gt;1,INDIRECT(ADDRESS(MATCH(Agenda2526!C209,'CAL6'!A:A,0)+1,3,4,1,"CAL6")),0)</f>
        <v>0</v>
      </c>
      <c r="AI208" s="20" t="str">
        <f ca="1">IF(CALC2223!BC208&gt;2,INDIRECT(ADDRESS(MATCH(Agenda2526!C209,'CAL6'!A:A,0)+2,2,4,1,"CAL6")),"")</f>
        <v/>
      </c>
      <c r="AJ208" s="21">
        <f ca="1">IF(CALC2223!BC208&gt;2,INDIRECT(ADDRESS(MATCH(Agenda2526!C209,'CAL6'!A:A,0)+2,3,4,1,"CAL6")),0)</f>
        <v>0</v>
      </c>
      <c r="AK208" s="20" t="str">
        <f ca="1">IF(CALC2223!BD208&gt;0,INDIRECT(ADDRESS(MATCH(Agenda2526!C209,'CAL7'!A:A,0),2,4,1,"CAL7")),"")</f>
        <v>30'-rooster/docentenspreekmomenten 13.30-16.30</v>
      </c>
      <c r="AL208" s="21">
        <f ca="1">IF(CALC2223!BD208&gt;0,INDIRECT(ADDRESS(MATCH(Agenda2526!C209,'CAL7'!A:A,0),3,4,1,"CAL7")),0)</f>
        <v>45896</v>
      </c>
      <c r="AM208" s="20" t="str">
        <f ca="1">IF(CALC2223!BD208&gt;1,INDIRECT(ADDRESS(MATCH(Agenda2526!C209,'CAL7'!A:A,0)+1,2,4,1,"CAL7")),"")</f>
        <v/>
      </c>
      <c r="AN208" s="21">
        <f ca="1">IF(CALC2223!BD208&gt;1,INDIRECT(ADDRESS(MATCH(Agenda2526!C209,'CAL7'!A:A,0)+1,3,4,1,"CAL7")),0)</f>
        <v>0</v>
      </c>
      <c r="AO208" s="20" t="str">
        <f ca="1">IF(CALC2223!BD208&gt;2,INDIRECT(ADDRESS(MATCH(Agenda2526!C209,'CAL7'!A:A,0)+2,2,4,1,"CAL7")),"")</f>
        <v/>
      </c>
      <c r="AP208" s="21">
        <f ca="1">IF(CALC2223!BD208&gt;2,INDIRECT(ADDRESS(MATCH(Agenda2526!C209,'CAL7'!A:A,0)+2,3,4,1,"CAL7")),0)</f>
        <v>0</v>
      </c>
      <c r="AQ208" s="20" t="str">
        <f ca="1">IF(CALC2223!BE208&gt;0,INDIRECT(ADDRESS(MATCH(Agenda2526!C209,'CAL8'!A:A,0),2,4,1,"CAL8")),"")</f>
        <v>30'-rooster/docentenspreekmomenten 13.30-16.30</v>
      </c>
      <c r="AR208" s="21">
        <f ca="1">IF(CALC2223!BE208&gt;0,INDIRECT(ADDRESS(MATCH(Agenda2526!C209,'CAL8'!A:A,0),3,4,1,"CAL8")),0)</f>
        <v>45896</v>
      </c>
      <c r="AS208" s="20" t="str">
        <f ca="1">IF(CALC2223!BE208&gt;1,INDIRECT(ADDRESS(MATCH(Agenda2526!C209,'CAL8'!A:A,0)+1,2,4,1,"CAL8")),"")</f>
        <v/>
      </c>
      <c r="AT208" s="21">
        <f ca="1">IF(CALC2223!BE208&gt;1,INDIRECT(ADDRESS(MATCH(Agenda2526!C209,'CAL8'!A:A,0)+1,3,4,1,"CAL8")),0)</f>
        <v>0</v>
      </c>
      <c r="AU208" s="20" t="str">
        <f ca="1">IF(CALC2223!BE208&gt;2,INDIRECT(ADDRESS(MATCH(Agenda2526!C209,'CAL8'!A:A,0)+2,2,4,1,"CAL8")),"")</f>
        <v/>
      </c>
      <c r="AV208" s="21">
        <f ca="1">IF(CALC2223!BE208&gt;2,INDIRECT(ADDRESS(MATCH(Agenda2526!C209,'CAL8'!A:A,0)+2,3,4,1,"CAL8")),0)</f>
        <v>0</v>
      </c>
      <c r="AW208" s="105"/>
      <c r="AX208" s="20">
        <f>COUNTIF('CAL1'!A:A,Agenda2526!C209)</f>
        <v>0</v>
      </c>
      <c r="AY208" s="20">
        <f>COUNTIF('CAL2'!A:A,Agenda2526!C209)</f>
        <v>0</v>
      </c>
      <c r="AZ208" s="20">
        <f>COUNTIF('CAL3'!A:A,Agenda2526!C209)</f>
        <v>1</v>
      </c>
      <c r="BA208" s="20">
        <f>COUNTIF('CAL4'!A:A,Agenda2526!C209)</f>
        <v>1</v>
      </c>
      <c r="BB208" s="20">
        <f>COUNTIF('CAL5'!A:A,Agenda2526!C209)</f>
        <v>1</v>
      </c>
      <c r="BC208" s="20">
        <f>COUNTIF('CAL6'!A:A,Agenda2526!C209)</f>
        <v>1</v>
      </c>
      <c r="BD208" s="20">
        <f>COUNTIF('CAL7'!A:A,Agenda2526!C209)</f>
        <v>1</v>
      </c>
      <c r="BE208" s="20">
        <f>COUNTIF('CAL8'!A:A,Agenda2526!C209)</f>
        <v>1</v>
      </c>
    </row>
    <row r="209" spans="1:57" ht="15.75" customHeight="1">
      <c r="A209" s="20" t="str">
        <f ca="1">IF(CALC2223!AX209&gt;0,INDIRECT(ADDRESS(MATCH(Agenda2526!C210,'CAL1'!A:A,0),2,4,1,"CAL1")),"")</f>
        <v/>
      </c>
      <c r="B209" s="21">
        <f ca="1">IF(CALC2223!AX209&gt;0,INDIRECT(ADDRESS(MATCH(Agenda2526!C210,'CAL1'!A:A,0),3,4,1,"CAL1")),0)</f>
        <v>0</v>
      </c>
      <c r="C209" s="20" t="str">
        <f ca="1">IF(CALC2223!AX209&gt;1,INDIRECT(ADDRESS(MATCH(Agenda2526!C210,'CAL1'!A:A,0)+1,2,4,1,"CAL1")),"")</f>
        <v/>
      </c>
      <c r="D209" s="21">
        <f ca="1">IF(CALC2223!AX209&gt;1,INDIRECT(ADDRESS(MATCH(Agenda2526!C210,'CAL1'!A:A,0)+1,3,4,1,"CAL1")),0)</f>
        <v>0</v>
      </c>
      <c r="E209" s="20" t="str">
        <f ca="1">IF(CALC2223!AX209&gt;2,INDIRECT(ADDRESS(MATCH(Agenda2526!C210,'CAL1'!A:A,0)+2,2,4,1,"CAL1")),"")</f>
        <v/>
      </c>
      <c r="F209" s="21">
        <f ca="1">IF(CALC2223!AX209&gt;2,INDIRECT(ADDRESS(MATCH(Agenda2526!C210,'CAL1'!A:A,0)+2,3,4,1,"CAL1")),0)</f>
        <v>0</v>
      </c>
      <c r="G209" s="20" t="str">
        <f ca="1">IF(CALC2223!AY209&gt;0,INDIRECT(ADDRESS(MATCH(Agenda2526!C210,'CAL2'!A:A,0),2,4,1,"CAL2")),"")</f>
        <v>Rep GES</v>
      </c>
      <c r="H209" s="21">
        <f ca="1">IF(CALC2223!AY209&gt;0,INDIRECT(ADDRESS(MATCH(Agenda2526!C210,'CAL2'!A:A,0),3,4,1,"CAL2")),0)</f>
        <v>45903</v>
      </c>
      <c r="I209" s="20" t="str">
        <f ca="1">IF(CALC2223!AY209&gt;1,INDIRECT(ADDRESS(MATCH(Agenda2526!C210,'CAL2'!A:A,0)+1,2,4,1,"CAL2")),"")</f>
        <v/>
      </c>
      <c r="J209" s="21">
        <f ca="1">IF(CALC2223!AY209&gt;1,INDIRECT(ADDRESS(MATCH(Agenda2526!C210,'CAL2'!A:A,0)+1,3,4,1,"CAL2")),0)</f>
        <v>0</v>
      </c>
      <c r="K209" s="20" t="str">
        <f ca="1">IF(CALC2223!AY209&gt;2,INDIRECT(ADDRESS(MATCH(Agenda2526!C210,'CAL2'!A:A,0)+2,2,4,1,"CAL2")),"")</f>
        <v/>
      </c>
      <c r="L209" s="21">
        <f ca="1">IF(CALC2223!AY209&gt;2,INDIRECT(ADDRESS(MATCH(Agenda2526!C210,'CAL2'!A:A,0)+2,3,4,1,"CAL2")),0)</f>
        <v>0</v>
      </c>
      <c r="M209" s="20" t="str">
        <f ca="1">IF(CALC2223!AZ209&gt;0,INDIRECT(ADDRESS(MATCH(Agenda2526!C210,'CAL3'!A:A,0),2,4,1,"CAL3")),"")</f>
        <v/>
      </c>
      <c r="N209" s="21">
        <f ca="1">IF(CALC2223!AZ209&gt;0,INDIRECT(ADDRESS(MATCH(Agenda2526!C210,'CAL3'!A:A,0),3,4,1,"CAL3")),0)</f>
        <v>0</v>
      </c>
      <c r="O209" s="20" t="str">
        <f ca="1">IF(CALC2223!AZ209&gt;1,INDIRECT(ADDRESS(MATCH(Agenda2526!C210,'CAL3'!A:A,0)+1,2,4,1,"CAL3")),"")</f>
        <v/>
      </c>
      <c r="P209" s="21">
        <f ca="1">IF(CALC2223!AZ209&gt;1,INDIRECT(ADDRESS(MATCH(Agenda2526!C210,'CAL3'!A:A,0)+1,3,4,1,"CAL3")),0)</f>
        <v>0</v>
      </c>
      <c r="Q209" s="20" t="str">
        <f ca="1">IF(CALC2223!AZ209&gt;2,INDIRECT(ADDRESS(MATCH(Agenda2526!C210,'CAL3'!A:A,0)+2,2,4,1,"CAL3")),"")</f>
        <v/>
      </c>
      <c r="R209" s="21">
        <f ca="1">IF(CALC2223!AZ209&gt;2,INDIRECT(ADDRESS(MATCH(Agenda2526!C210,'CAL3'!A:A,0)+2,3,4,1,"CAL3")),0)</f>
        <v>0</v>
      </c>
      <c r="S209" s="20" t="str">
        <f ca="1">IF(CALC2223!BA209&gt;0,INDIRECT(ADDRESS(MATCH(Agenda2526!C210,'CAL4'!A:A,0),2,4,1,"CAL4")),"")</f>
        <v>Rep EC</v>
      </c>
      <c r="T209" s="21">
        <f ca="1">IF(CALC2223!BA209&gt;0,INDIRECT(ADDRESS(MATCH(Agenda2526!C210,'CAL4'!A:A,0),3,4,1,"CAL4")),0)</f>
        <v>45896</v>
      </c>
      <c r="U209" s="20" t="str">
        <f ca="1">IF(CALC2223!BA209&gt;1,INDIRECT(ADDRESS(MATCH(Agenda2526!C210,'CAL4'!A:A,0)+1,2,4,1,"CAL4")),"")</f>
        <v/>
      </c>
      <c r="V209" s="21">
        <f ca="1">IF(CALC2223!BA209&gt;1,INDIRECT(ADDRESS(MATCH(Agenda2526!C210,'CAL4'!A:A,0)+1,3,4,1,"CAL4")),0)</f>
        <v>0</v>
      </c>
      <c r="W209" s="20" t="str">
        <f ca="1">IF(CALC2223!BA209&gt;2,INDIRECT(ADDRESS(MATCH(Agenda2526!C210,'CAL4'!A:A,0)+2,2,4,1,"CAL4")),"")</f>
        <v/>
      </c>
      <c r="X209" s="21">
        <f ca="1">IF(CALC2223!BA209&gt;2,INDIRECT(ADDRESS(MATCH(Agenda2526!C210,'CAL4'!A:A,0)+2,3,4,1,"CAL4")),0)</f>
        <v>0</v>
      </c>
      <c r="Y209" s="20" t="str">
        <f ca="1">IF(CALC2223!BB209&gt;0,INDIRECT(ADDRESS(MATCH(Agenda2526!C210,'CAL5'!A:A,0),2,4,1,"CAL5")),"")</f>
        <v/>
      </c>
      <c r="Z209" s="21">
        <f ca="1">IF(CALC2223!BB209&gt;0,INDIRECT(ADDRESS(MATCH(Agenda2526!C210,'CAL5'!A:A,0),3,4,1,"CAL5")),0)</f>
        <v>0</v>
      </c>
      <c r="AA209" s="20" t="str">
        <f ca="1">IF(CALC2223!BB209&gt;1,INDIRECT(ADDRESS(MATCH(Agenda2526!C210,'CAL5'!A:A,0)+1,2,4,1,"CAL5")),"")</f>
        <v/>
      </c>
      <c r="AB209" s="21">
        <f ca="1">IF(CALC2223!BB209&gt;1,INDIRECT(ADDRESS(MATCH(Agenda2526!C210,'CAL5'!A:A,0)+1,3,4,1,"CAL5")),0)</f>
        <v>0</v>
      </c>
      <c r="AC209" s="20" t="str">
        <f ca="1">IF(CALC2223!BB209&gt;2,INDIRECT(ADDRESS(MATCH(Agenda2526!C210,'CAL5'!A:A,0)+2,2,4,1,"CAL5")),"")</f>
        <v/>
      </c>
      <c r="AD209" s="21">
        <f ca="1">IF(CALC2223!BB209&gt;2,INDIRECT(ADDRESS(MATCH(Agenda2526!C210,'CAL5'!A:A,0)+2,3,4,1,"CAL5")),0)</f>
        <v>0</v>
      </c>
      <c r="AE209" s="20" t="str">
        <f ca="1">IF(CALC2223!BC209&gt;0,INDIRECT(ADDRESS(MATCH(Agenda2526!C210,'CAL6'!A:A,0),2,4,1,"CAL6")),"")</f>
        <v>tsweek: BE, BIO</v>
      </c>
      <c r="AF209" s="21">
        <f ca="1">IF(CALC2223!BC209&gt;0,INDIRECT(ADDRESS(MATCH(Agenda2526!C210,'CAL6'!A:A,0),3,4,1,"CAL6")),0)</f>
        <v>46083</v>
      </c>
      <c r="AG209" s="20" t="str">
        <f ca="1">IF(CALC2223!BC209&gt;1,INDIRECT(ADDRESS(MATCH(Agenda2526!C210,'CAL6'!A:A,0)+1,2,4,1,"CAL6")),"")</f>
        <v/>
      </c>
      <c r="AH209" s="21">
        <f ca="1">IF(CALC2223!BC209&gt;1,INDIRECT(ADDRESS(MATCH(Agenda2526!C210,'CAL6'!A:A,0)+1,3,4,1,"CAL6")),0)</f>
        <v>0</v>
      </c>
      <c r="AI209" s="20" t="str">
        <f ca="1">IF(CALC2223!BC209&gt;2,INDIRECT(ADDRESS(MATCH(Agenda2526!C210,'CAL6'!A:A,0)+2,2,4,1,"CAL6")),"")</f>
        <v/>
      </c>
      <c r="AJ209" s="21">
        <f ca="1">IF(CALC2223!BC209&gt;2,INDIRECT(ADDRESS(MATCH(Agenda2526!C210,'CAL6'!A:A,0)+2,3,4,1,"CAL6")),0)</f>
        <v>0</v>
      </c>
      <c r="AK209" s="20" t="str">
        <f ca="1">IF(CALC2223!BD209&gt;0,INDIRECT(ADDRESS(MATCH(Agenda2526!C210,'CAL7'!A:A,0),2,4,1,"CAL7")),"")</f>
        <v/>
      </c>
      <c r="AL209" s="21">
        <f ca="1">IF(CALC2223!BD209&gt;0,INDIRECT(ADDRESS(MATCH(Agenda2526!C210,'CAL7'!A:A,0),3,4,1,"CAL7")),0)</f>
        <v>0</v>
      </c>
      <c r="AM209" s="20" t="str">
        <f ca="1">IF(CALC2223!BD209&gt;1,INDIRECT(ADDRESS(MATCH(Agenda2526!C210,'CAL7'!A:A,0)+1,2,4,1,"CAL7")),"")</f>
        <v/>
      </c>
      <c r="AN209" s="21">
        <f ca="1">IF(CALC2223!BD209&gt;1,INDIRECT(ADDRESS(MATCH(Agenda2526!C210,'CAL7'!A:A,0)+1,3,4,1,"CAL7")),0)</f>
        <v>0</v>
      </c>
      <c r="AO209" s="20" t="str">
        <f ca="1">IF(CALC2223!BD209&gt;2,INDIRECT(ADDRESS(MATCH(Agenda2526!C210,'CAL7'!A:A,0)+2,2,4,1,"CAL7")),"")</f>
        <v/>
      </c>
      <c r="AP209" s="21">
        <f ca="1">IF(CALC2223!BD209&gt;2,INDIRECT(ADDRESS(MATCH(Agenda2526!C210,'CAL7'!A:A,0)+2,3,4,1,"CAL7")),0)</f>
        <v>0</v>
      </c>
      <c r="AQ209" s="20" t="str">
        <f ca="1">IF(CALC2223!BE209&gt;0,INDIRECT(ADDRESS(MATCH(Agenda2526!C210,'CAL8'!A:A,0),2,4,1,"CAL8")),"")</f>
        <v/>
      </c>
      <c r="AR209" s="21">
        <f ca="1">IF(CALC2223!BE209&gt;0,INDIRECT(ADDRESS(MATCH(Agenda2526!C210,'CAL8'!A:A,0),3,4,1,"CAL8")),0)</f>
        <v>0</v>
      </c>
      <c r="AS209" s="20" t="str">
        <f ca="1">IF(CALC2223!BE209&gt;1,INDIRECT(ADDRESS(MATCH(Agenda2526!C210,'CAL8'!A:A,0)+1,2,4,1,"CAL8")),"")</f>
        <v/>
      </c>
      <c r="AT209" s="21">
        <f ca="1">IF(CALC2223!BE209&gt;1,INDIRECT(ADDRESS(MATCH(Agenda2526!C210,'CAL8'!A:A,0)+1,3,4,1,"CAL8")),0)</f>
        <v>0</v>
      </c>
      <c r="AU209" s="20" t="str">
        <f ca="1">IF(CALC2223!BE209&gt;2,INDIRECT(ADDRESS(MATCH(Agenda2526!C210,'CAL8'!A:A,0)+2,2,4,1,"CAL8")),"")</f>
        <v/>
      </c>
      <c r="AV209" s="21">
        <f ca="1">IF(CALC2223!BE209&gt;2,INDIRECT(ADDRESS(MATCH(Agenda2526!C210,'CAL8'!A:A,0)+2,3,4,1,"CAL8")),0)</f>
        <v>0</v>
      </c>
      <c r="AW209" s="105"/>
      <c r="AX209" s="20">
        <f>COUNTIF('CAL1'!A:A,Agenda2526!C210)</f>
        <v>0</v>
      </c>
      <c r="AY209" s="20">
        <f>COUNTIF('CAL2'!A:A,Agenda2526!C210)</f>
        <v>1</v>
      </c>
      <c r="AZ209" s="20">
        <f>COUNTIF('CAL3'!A:A,Agenda2526!C210)</f>
        <v>0</v>
      </c>
      <c r="BA209" s="20">
        <f>COUNTIF('CAL4'!A:A,Agenda2526!C210)</f>
        <v>1</v>
      </c>
      <c r="BB209" s="20">
        <f>COUNTIF('CAL5'!A:A,Agenda2526!C210)</f>
        <v>0</v>
      </c>
      <c r="BC209" s="20">
        <f>COUNTIF('CAL6'!A:A,Agenda2526!C210)</f>
        <v>1</v>
      </c>
      <c r="BD209" s="20">
        <f>COUNTIF('CAL7'!A:A,Agenda2526!C210)</f>
        <v>0</v>
      </c>
      <c r="BE209" s="20">
        <f>COUNTIF('CAL8'!A:A,Agenda2526!C210)</f>
        <v>0</v>
      </c>
    </row>
    <row r="210" spans="1:57" ht="15.75" customHeight="1">
      <c r="A210" s="20" t="str">
        <f ca="1">IF(CALC2223!AX210&gt;0,INDIRECT(ADDRESS(MATCH(Agenda2526!C211,'CAL1'!A:A,0),2,4,1,"CAL1")),"")</f>
        <v/>
      </c>
      <c r="B210" s="21">
        <f ca="1">IF(CALC2223!AX210&gt;0,INDIRECT(ADDRESS(MATCH(Agenda2526!C211,'CAL1'!A:A,0),3,4,1,"CAL1")),0)</f>
        <v>0</v>
      </c>
      <c r="C210" s="20" t="str">
        <f ca="1">IF(CALC2223!AX210&gt;1,INDIRECT(ADDRESS(MATCH(Agenda2526!C211,'CAL1'!A:A,0)+1,2,4,1,"CAL1")),"")</f>
        <v/>
      </c>
      <c r="D210" s="21">
        <f ca="1">IF(CALC2223!AX210&gt;1,INDIRECT(ADDRESS(MATCH(Agenda2526!C211,'CAL1'!A:A,0)+1,3,4,1,"CAL1")),0)</f>
        <v>0</v>
      </c>
      <c r="E210" s="20" t="str">
        <f ca="1">IF(CALC2223!AX210&gt;2,INDIRECT(ADDRESS(MATCH(Agenda2526!C211,'CAL1'!A:A,0)+2,2,4,1,"CAL1")),"")</f>
        <v/>
      </c>
      <c r="F210" s="21">
        <f ca="1">IF(CALC2223!AX210&gt;2,INDIRECT(ADDRESS(MATCH(Agenda2526!C211,'CAL1'!A:A,0)+2,3,4,1,"CAL1")),0)</f>
        <v>0</v>
      </c>
      <c r="G210" s="20" t="str">
        <f ca="1">IF(CALC2223!AY210&gt;0,INDIRECT(ADDRESS(MATCH(Agenda2526!C211,'CAL2'!A:A,0),2,4,1,"CAL2")),"")</f>
        <v/>
      </c>
      <c r="H210" s="21">
        <f ca="1">IF(CALC2223!AY210&gt;0,INDIRECT(ADDRESS(MATCH(Agenda2526!C211,'CAL2'!A:A,0),3,4,1,"CAL2")),0)</f>
        <v>0</v>
      </c>
      <c r="I210" s="20" t="str">
        <f ca="1">IF(CALC2223!AY210&gt;1,INDIRECT(ADDRESS(MATCH(Agenda2526!C211,'CAL2'!A:A,0)+1,2,4,1,"CAL2")),"")</f>
        <v/>
      </c>
      <c r="J210" s="21">
        <f ca="1">IF(CALC2223!AY210&gt;1,INDIRECT(ADDRESS(MATCH(Agenda2526!C211,'CAL2'!A:A,0)+1,3,4,1,"CAL2")),0)</f>
        <v>0</v>
      </c>
      <c r="K210" s="20" t="str">
        <f ca="1">IF(CALC2223!AY210&gt;2,INDIRECT(ADDRESS(MATCH(Agenda2526!C211,'CAL2'!A:A,0)+2,2,4,1,"CAL2")),"")</f>
        <v/>
      </c>
      <c r="L210" s="21">
        <f ca="1">IF(CALC2223!AY210&gt;2,INDIRECT(ADDRESS(MATCH(Agenda2526!C211,'CAL2'!A:A,0)+2,3,4,1,"CAL2")),0)</f>
        <v>0</v>
      </c>
      <c r="M210" s="20" t="str">
        <f ca="1">IF(CALC2223!AZ210&gt;0,INDIRECT(ADDRESS(MATCH(Agenda2526!C211,'CAL3'!A:A,0),2,4,1,"CAL3")),"")</f>
        <v/>
      </c>
      <c r="N210" s="21">
        <f ca="1">IF(CALC2223!AZ210&gt;0,INDIRECT(ADDRESS(MATCH(Agenda2526!C211,'CAL3'!A:A,0),3,4,1,"CAL3")),0)</f>
        <v>0</v>
      </c>
      <c r="O210" s="20" t="str">
        <f ca="1">IF(CALC2223!AZ210&gt;1,INDIRECT(ADDRESS(MATCH(Agenda2526!C211,'CAL3'!A:A,0)+1,2,4,1,"CAL3")),"")</f>
        <v/>
      </c>
      <c r="P210" s="21">
        <f ca="1">IF(CALC2223!AZ210&gt;1,INDIRECT(ADDRESS(MATCH(Agenda2526!C211,'CAL3'!A:A,0)+1,3,4,1,"CAL3")),0)</f>
        <v>0</v>
      </c>
      <c r="Q210" s="20" t="str">
        <f ca="1">IF(CALC2223!AZ210&gt;2,INDIRECT(ADDRESS(MATCH(Agenda2526!C211,'CAL3'!A:A,0)+2,2,4,1,"CAL3")),"")</f>
        <v/>
      </c>
      <c r="R210" s="21">
        <f ca="1">IF(CALC2223!AZ210&gt;2,INDIRECT(ADDRESS(MATCH(Agenda2526!C211,'CAL3'!A:A,0)+2,3,4,1,"CAL3")),0)</f>
        <v>0</v>
      </c>
      <c r="S210" s="20" t="str">
        <f ca="1">IF(CALC2223!BA210&gt;0,INDIRECT(ADDRESS(MATCH(Agenda2526!C211,'CAL4'!A:A,0),2,4,1,"CAL4")),"")</f>
        <v/>
      </c>
      <c r="T210" s="21">
        <f ca="1">IF(CALC2223!BA210&gt;0,INDIRECT(ADDRESS(MATCH(Agenda2526!C211,'CAL4'!A:A,0),3,4,1,"CAL4")),0)</f>
        <v>0</v>
      </c>
      <c r="U210" s="20" t="str">
        <f ca="1">IF(CALC2223!BA210&gt;1,INDIRECT(ADDRESS(MATCH(Agenda2526!C211,'CAL4'!A:A,0)+1,2,4,1,"CAL4")),"")</f>
        <v/>
      </c>
      <c r="V210" s="21">
        <f ca="1">IF(CALC2223!BA210&gt;1,INDIRECT(ADDRESS(MATCH(Agenda2526!C211,'CAL4'!A:A,0)+1,3,4,1,"CAL4")),0)</f>
        <v>0</v>
      </c>
      <c r="W210" s="20" t="str">
        <f ca="1">IF(CALC2223!BA210&gt;2,INDIRECT(ADDRESS(MATCH(Agenda2526!C211,'CAL4'!A:A,0)+2,2,4,1,"CAL4")),"")</f>
        <v/>
      </c>
      <c r="X210" s="21">
        <f ca="1">IF(CALC2223!BA210&gt;2,INDIRECT(ADDRESS(MATCH(Agenda2526!C211,'CAL4'!A:A,0)+2,3,4,1,"CAL4")),0)</f>
        <v>0</v>
      </c>
      <c r="Y210" s="20" t="str">
        <f ca="1">IF(CALC2223!BB210&gt;0,INDIRECT(ADDRESS(MATCH(Agenda2526!C211,'CAL5'!A:A,0),2,4,1,"CAL5")),"")</f>
        <v/>
      </c>
      <c r="Z210" s="21">
        <f ca="1">IF(CALC2223!BB210&gt;0,INDIRECT(ADDRESS(MATCH(Agenda2526!C211,'CAL5'!A:A,0),3,4,1,"CAL5")),0)</f>
        <v>0</v>
      </c>
      <c r="AA210" s="20" t="str">
        <f ca="1">IF(CALC2223!BB210&gt;1,INDIRECT(ADDRESS(MATCH(Agenda2526!C211,'CAL5'!A:A,0)+1,2,4,1,"CAL5")),"")</f>
        <v/>
      </c>
      <c r="AB210" s="21">
        <f ca="1">IF(CALC2223!BB210&gt;1,INDIRECT(ADDRESS(MATCH(Agenda2526!C211,'CAL5'!A:A,0)+1,3,4,1,"CAL5")),0)</f>
        <v>0</v>
      </c>
      <c r="AC210" s="20" t="str">
        <f ca="1">IF(CALC2223!BB210&gt;2,INDIRECT(ADDRESS(MATCH(Agenda2526!C211,'CAL5'!A:A,0)+2,2,4,1,"CAL5")),"")</f>
        <v/>
      </c>
      <c r="AD210" s="21">
        <f ca="1">IF(CALC2223!BB210&gt;2,INDIRECT(ADDRESS(MATCH(Agenda2526!C211,'CAL5'!A:A,0)+2,3,4,1,"CAL5")),0)</f>
        <v>0</v>
      </c>
      <c r="AE210" s="20" t="str">
        <f ca="1">IF(CALC2223!BC210&gt;0,INDIRECT(ADDRESS(MATCH(Agenda2526!C211,'CAL6'!A:A,0),2,4,1,"CAL6")),"")</f>
        <v/>
      </c>
      <c r="AF210" s="21">
        <f ca="1">IF(CALC2223!BC210&gt;0,INDIRECT(ADDRESS(MATCH(Agenda2526!C211,'CAL6'!A:A,0),3,4,1,"CAL6")),0)</f>
        <v>0</v>
      </c>
      <c r="AG210" s="20" t="str">
        <f ca="1">IF(CALC2223!BC210&gt;1,INDIRECT(ADDRESS(MATCH(Agenda2526!C211,'CAL6'!A:A,0)+1,2,4,1,"CAL6")),"")</f>
        <v/>
      </c>
      <c r="AH210" s="21">
        <f ca="1">IF(CALC2223!BC210&gt;1,INDIRECT(ADDRESS(MATCH(Agenda2526!C211,'CAL6'!A:A,0)+1,3,4,1,"CAL6")),0)</f>
        <v>0</v>
      </c>
      <c r="AI210" s="20" t="str">
        <f ca="1">IF(CALC2223!BC210&gt;2,INDIRECT(ADDRESS(MATCH(Agenda2526!C211,'CAL6'!A:A,0)+2,2,4,1,"CAL6")),"")</f>
        <v/>
      </c>
      <c r="AJ210" s="21">
        <f ca="1">IF(CALC2223!BC210&gt;2,INDIRECT(ADDRESS(MATCH(Agenda2526!C211,'CAL6'!A:A,0)+2,3,4,1,"CAL6")),0)</f>
        <v>0</v>
      </c>
      <c r="AK210" s="20" t="str">
        <f ca="1">IF(CALC2223!BD210&gt;0,INDIRECT(ADDRESS(MATCH(Agenda2526!C211,'CAL7'!A:A,0),2,4,1,"CAL7")),"")</f>
        <v/>
      </c>
      <c r="AL210" s="21">
        <f ca="1">IF(CALC2223!BD210&gt;0,INDIRECT(ADDRESS(MATCH(Agenda2526!C211,'CAL7'!A:A,0),3,4,1,"CAL7")),0)</f>
        <v>0</v>
      </c>
      <c r="AM210" s="20" t="str">
        <f ca="1">IF(CALC2223!BD210&gt;1,INDIRECT(ADDRESS(MATCH(Agenda2526!C211,'CAL7'!A:A,0)+1,2,4,1,"CAL7")),"")</f>
        <v/>
      </c>
      <c r="AN210" s="21">
        <f ca="1">IF(CALC2223!BD210&gt;1,INDIRECT(ADDRESS(MATCH(Agenda2526!C211,'CAL7'!A:A,0)+1,3,4,1,"CAL7")),0)</f>
        <v>0</v>
      </c>
      <c r="AO210" s="20" t="str">
        <f ca="1">IF(CALC2223!BD210&gt;2,INDIRECT(ADDRESS(MATCH(Agenda2526!C211,'CAL7'!A:A,0)+2,2,4,1,"CAL7")),"")</f>
        <v/>
      </c>
      <c r="AP210" s="21">
        <f ca="1">IF(CALC2223!BD210&gt;2,INDIRECT(ADDRESS(MATCH(Agenda2526!C211,'CAL7'!A:A,0)+2,3,4,1,"CAL7")),0)</f>
        <v>0</v>
      </c>
      <c r="AQ210" s="20" t="str">
        <f ca="1">IF(CALC2223!BE210&gt;0,INDIRECT(ADDRESS(MATCH(Agenda2526!C211,'CAL8'!A:A,0),2,4,1,"CAL8")),"")</f>
        <v/>
      </c>
      <c r="AR210" s="21">
        <f ca="1">IF(CALC2223!BE210&gt;0,INDIRECT(ADDRESS(MATCH(Agenda2526!C211,'CAL8'!A:A,0),3,4,1,"CAL8")),0)</f>
        <v>0</v>
      </c>
      <c r="AS210" s="20" t="str">
        <f ca="1">IF(CALC2223!BE210&gt;1,INDIRECT(ADDRESS(MATCH(Agenda2526!C211,'CAL8'!A:A,0)+1,2,4,1,"CAL8")),"")</f>
        <v/>
      </c>
      <c r="AT210" s="21">
        <f ca="1">IF(CALC2223!BE210&gt;1,INDIRECT(ADDRESS(MATCH(Agenda2526!C211,'CAL8'!A:A,0)+1,3,4,1,"CAL8")),0)</f>
        <v>0</v>
      </c>
      <c r="AU210" s="20" t="str">
        <f ca="1">IF(CALC2223!BE210&gt;2,INDIRECT(ADDRESS(MATCH(Agenda2526!C211,'CAL8'!A:A,0)+2,2,4,1,"CAL8")),"")</f>
        <v/>
      </c>
      <c r="AV210" s="21">
        <f ca="1">IF(CALC2223!BE210&gt;2,INDIRECT(ADDRESS(MATCH(Agenda2526!C211,'CAL8'!A:A,0)+2,3,4,1,"CAL8")),0)</f>
        <v>0</v>
      </c>
      <c r="AW210" s="106"/>
      <c r="AX210" s="20">
        <f>COUNTIF('CAL1'!A:A,Agenda2526!C211)</f>
        <v>0</v>
      </c>
      <c r="AY210" s="20">
        <f>COUNTIF('CAL2'!A:A,Agenda2526!C211)</f>
        <v>0</v>
      </c>
      <c r="AZ210" s="20">
        <f>COUNTIF('CAL3'!A:A,Agenda2526!C211)</f>
        <v>0</v>
      </c>
      <c r="BA210" s="20">
        <f>COUNTIF('CAL4'!A:A,Agenda2526!C211)</f>
        <v>0</v>
      </c>
      <c r="BB210" s="20">
        <f>COUNTIF('CAL5'!A:A,Agenda2526!C211)</f>
        <v>0</v>
      </c>
      <c r="BC210" s="20">
        <f>COUNTIF('CAL6'!A:A,Agenda2526!C211)</f>
        <v>0</v>
      </c>
      <c r="BD210" s="20">
        <f>COUNTIF('CAL7'!A:A,Agenda2526!C211)</f>
        <v>0</v>
      </c>
      <c r="BE210" s="20">
        <f>COUNTIF('CAL8'!A:A,Agenda2526!C211)</f>
        <v>0</v>
      </c>
    </row>
    <row r="211" spans="1:57" ht="15.75" customHeight="1">
      <c r="A211" s="20" t="str">
        <f ca="1">IF(CALC2223!AX211&gt;0,INDIRECT(ADDRESS(MATCH(Agenda2526!C212,'CAL1'!A:A,0),2,4,1,"CAL1")),"")</f>
        <v/>
      </c>
      <c r="B211" s="21">
        <f ca="1">IF(CALC2223!AX211&gt;0,INDIRECT(ADDRESS(MATCH(Agenda2526!C212,'CAL1'!A:A,0),3,4,1,"CAL1")),0)</f>
        <v>0</v>
      </c>
      <c r="C211" s="20" t="str">
        <f ca="1">IF(CALC2223!AX211&gt;1,INDIRECT(ADDRESS(MATCH(Agenda2526!C212,'CAL1'!A:A,0)+1,2,4,1,"CAL1")),"")</f>
        <v/>
      </c>
      <c r="D211" s="21">
        <f ca="1">IF(CALC2223!AX211&gt;1,INDIRECT(ADDRESS(MATCH(Agenda2526!C212,'CAL1'!A:A,0)+1,3,4,1,"CAL1")),0)</f>
        <v>0</v>
      </c>
      <c r="E211" s="20" t="str">
        <f ca="1">IF(CALC2223!AX211&gt;2,INDIRECT(ADDRESS(MATCH(Agenda2526!C212,'CAL1'!A:A,0)+2,2,4,1,"CAL1")),"")</f>
        <v/>
      </c>
      <c r="F211" s="21">
        <f ca="1">IF(CALC2223!AX211&gt;2,INDIRECT(ADDRESS(MATCH(Agenda2526!C212,'CAL1'!A:A,0)+2,3,4,1,"CAL1")),0)</f>
        <v>0</v>
      </c>
      <c r="G211" s="20" t="str">
        <f ca="1">IF(CALC2223!AY211&gt;0,INDIRECT(ADDRESS(MATCH(Agenda2526!C212,'CAL2'!A:A,0),2,4,1,"CAL2")),"")</f>
        <v/>
      </c>
      <c r="H211" s="21">
        <f ca="1">IF(CALC2223!AY211&gt;0,INDIRECT(ADDRESS(MATCH(Agenda2526!C212,'CAL2'!A:A,0),3,4,1,"CAL2")),0)</f>
        <v>0</v>
      </c>
      <c r="I211" s="20" t="str">
        <f ca="1">IF(CALC2223!AY211&gt;1,INDIRECT(ADDRESS(MATCH(Agenda2526!C212,'CAL2'!A:A,0)+1,2,4,1,"CAL2")),"")</f>
        <v/>
      </c>
      <c r="J211" s="21">
        <f ca="1">IF(CALC2223!AY211&gt;1,INDIRECT(ADDRESS(MATCH(Agenda2526!C212,'CAL2'!A:A,0)+1,3,4,1,"CAL2")),0)</f>
        <v>0</v>
      </c>
      <c r="K211" s="20" t="str">
        <f ca="1">IF(CALC2223!AY211&gt;2,INDIRECT(ADDRESS(MATCH(Agenda2526!C212,'CAL2'!A:A,0)+2,2,4,1,"CAL2")),"")</f>
        <v/>
      </c>
      <c r="L211" s="21">
        <f ca="1">IF(CALC2223!AY211&gt;2,INDIRECT(ADDRESS(MATCH(Agenda2526!C212,'CAL2'!A:A,0)+2,3,4,1,"CAL2")),0)</f>
        <v>0</v>
      </c>
      <c r="M211" s="20" t="str">
        <f ca="1">IF(CALC2223!AZ211&gt;0,INDIRECT(ADDRESS(MATCH(Agenda2526!C212,'CAL3'!A:A,0),2,4,1,"CAL3")),"")</f>
        <v/>
      </c>
      <c r="N211" s="21">
        <f ca="1">IF(CALC2223!AZ211&gt;0,INDIRECT(ADDRESS(MATCH(Agenda2526!C212,'CAL3'!A:A,0),3,4,1,"CAL3")),0)</f>
        <v>0</v>
      </c>
      <c r="O211" s="20" t="str">
        <f ca="1">IF(CALC2223!AZ211&gt;1,INDIRECT(ADDRESS(MATCH(Agenda2526!C212,'CAL3'!A:A,0)+1,2,4,1,"CAL3")),"")</f>
        <v/>
      </c>
      <c r="P211" s="21">
        <f ca="1">IF(CALC2223!AZ211&gt;1,INDIRECT(ADDRESS(MATCH(Agenda2526!C212,'CAL3'!A:A,0)+1,3,4,1,"CAL3")),0)</f>
        <v>0</v>
      </c>
      <c r="Q211" s="20" t="str">
        <f ca="1">IF(CALC2223!AZ211&gt;2,INDIRECT(ADDRESS(MATCH(Agenda2526!C212,'CAL3'!A:A,0)+2,2,4,1,"CAL3")),"")</f>
        <v/>
      </c>
      <c r="R211" s="21">
        <f ca="1">IF(CALC2223!AZ211&gt;2,INDIRECT(ADDRESS(MATCH(Agenda2526!C212,'CAL3'!A:A,0)+2,3,4,1,"CAL3")),0)</f>
        <v>0</v>
      </c>
      <c r="S211" s="20" t="str">
        <f ca="1">IF(CALC2223!BA211&gt;0,INDIRECT(ADDRESS(MATCH(Agenda2526!C212,'CAL4'!A:A,0),2,4,1,"CAL4")),"")</f>
        <v/>
      </c>
      <c r="T211" s="21">
        <f ca="1">IF(CALC2223!BA211&gt;0,INDIRECT(ADDRESS(MATCH(Agenda2526!C212,'CAL4'!A:A,0),3,4,1,"CAL4")),0)</f>
        <v>0</v>
      </c>
      <c r="U211" s="20" t="str">
        <f ca="1">IF(CALC2223!BA211&gt;1,INDIRECT(ADDRESS(MATCH(Agenda2526!C212,'CAL4'!A:A,0)+1,2,4,1,"CAL4")),"")</f>
        <v/>
      </c>
      <c r="V211" s="21">
        <f ca="1">IF(CALC2223!BA211&gt;1,INDIRECT(ADDRESS(MATCH(Agenda2526!C212,'CAL4'!A:A,0)+1,3,4,1,"CAL4")),0)</f>
        <v>0</v>
      </c>
      <c r="W211" s="20" t="str">
        <f ca="1">IF(CALC2223!BA211&gt;2,INDIRECT(ADDRESS(MATCH(Agenda2526!C212,'CAL4'!A:A,0)+2,2,4,1,"CAL4")),"")</f>
        <v/>
      </c>
      <c r="X211" s="21">
        <f ca="1">IF(CALC2223!BA211&gt;2,INDIRECT(ADDRESS(MATCH(Agenda2526!C212,'CAL4'!A:A,0)+2,3,4,1,"CAL4")),0)</f>
        <v>0</v>
      </c>
      <c r="Y211" s="20" t="str">
        <f ca="1">IF(CALC2223!BB211&gt;0,INDIRECT(ADDRESS(MATCH(Agenda2526!C212,'CAL5'!A:A,0),2,4,1,"CAL5")),"")</f>
        <v/>
      </c>
      <c r="Z211" s="21">
        <f ca="1">IF(CALC2223!BB211&gt;0,INDIRECT(ADDRESS(MATCH(Agenda2526!C212,'CAL5'!A:A,0),3,4,1,"CAL5")),0)</f>
        <v>0</v>
      </c>
      <c r="AA211" s="20" t="str">
        <f ca="1">IF(CALC2223!BB211&gt;1,INDIRECT(ADDRESS(MATCH(Agenda2526!C212,'CAL5'!A:A,0)+1,2,4,1,"CAL5")),"")</f>
        <v/>
      </c>
      <c r="AB211" s="21">
        <f ca="1">IF(CALC2223!BB211&gt;1,INDIRECT(ADDRESS(MATCH(Agenda2526!C212,'CAL5'!A:A,0)+1,3,4,1,"CAL5")),0)</f>
        <v>0</v>
      </c>
      <c r="AC211" s="20" t="str">
        <f ca="1">IF(CALC2223!BB211&gt;2,INDIRECT(ADDRESS(MATCH(Agenda2526!C212,'CAL5'!A:A,0)+2,2,4,1,"CAL5")),"")</f>
        <v/>
      </c>
      <c r="AD211" s="21">
        <f ca="1">IF(CALC2223!BB211&gt;2,INDIRECT(ADDRESS(MATCH(Agenda2526!C212,'CAL5'!A:A,0)+2,3,4,1,"CAL5")),0)</f>
        <v>0</v>
      </c>
      <c r="AE211" s="20" t="str">
        <f ca="1">IF(CALC2223!BC211&gt;0,INDIRECT(ADDRESS(MATCH(Agenda2526!C212,'CAL6'!A:A,0),2,4,1,"CAL6")),"")</f>
        <v/>
      </c>
      <c r="AF211" s="21">
        <f ca="1">IF(CALC2223!BC211&gt;0,INDIRECT(ADDRESS(MATCH(Agenda2526!C212,'CAL6'!A:A,0),3,4,1,"CAL6")),0)</f>
        <v>0</v>
      </c>
      <c r="AG211" s="20" t="str">
        <f ca="1">IF(CALC2223!BC211&gt;1,INDIRECT(ADDRESS(MATCH(Agenda2526!C212,'CAL6'!A:A,0)+1,2,4,1,"CAL6")),"")</f>
        <v/>
      </c>
      <c r="AH211" s="21">
        <f ca="1">IF(CALC2223!BC211&gt;1,INDIRECT(ADDRESS(MATCH(Agenda2526!C212,'CAL6'!A:A,0)+1,3,4,1,"CAL6")),0)</f>
        <v>0</v>
      </c>
      <c r="AI211" s="20" t="str">
        <f ca="1">IF(CALC2223!BC211&gt;2,INDIRECT(ADDRESS(MATCH(Agenda2526!C212,'CAL6'!A:A,0)+2,2,4,1,"CAL6")),"")</f>
        <v/>
      </c>
      <c r="AJ211" s="21">
        <f ca="1">IF(CALC2223!BC211&gt;2,INDIRECT(ADDRESS(MATCH(Agenda2526!C212,'CAL6'!A:A,0)+2,3,4,1,"CAL6")),0)</f>
        <v>0</v>
      </c>
      <c r="AK211" s="20" t="str">
        <f ca="1">IF(CALC2223!BD211&gt;0,INDIRECT(ADDRESS(MATCH(Agenda2526!C212,'CAL7'!A:A,0),2,4,1,"CAL7")),"")</f>
        <v/>
      </c>
      <c r="AL211" s="21">
        <f ca="1">IF(CALC2223!BD211&gt;0,INDIRECT(ADDRESS(MATCH(Agenda2526!C212,'CAL7'!A:A,0),3,4,1,"CAL7")),0)</f>
        <v>0</v>
      </c>
      <c r="AM211" s="20" t="str">
        <f ca="1">IF(CALC2223!BD211&gt;1,INDIRECT(ADDRESS(MATCH(Agenda2526!C212,'CAL7'!A:A,0)+1,2,4,1,"CAL7")),"")</f>
        <v/>
      </c>
      <c r="AN211" s="21">
        <f ca="1">IF(CALC2223!BD211&gt;1,INDIRECT(ADDRESS(MATCH(Agenda2526!C212,'CAL7'!A:A,0)+1,3,4,1,"CAL7")),0)</f>
        <v>0</v>
      </c>
      <c r="AO211" s="20" t="str">
        <f ca="1">IF(CALC2223!BD211&gt;2,INDIRECT(ADDRESS(MATCH(Agenda2526!C212,'CAL7'!A:A,0)+2,2,4,1,"CAL7")),"")</f>
        <v/>
      </c>
      <c r="AP211" s="21">
        <f ca="1">IF(CALC2223!BD211&gt;2,INDIRECT(ADDRESS(MATCH(Agenda2526!C212,'CAL7'!A:A,0)+2,3,4,1,"CAL7")),0)</f>
        <v>0</v>
      </c>
      <c r="AQ211" s="20" t="str">
        <f ca="1">IF(CALC2223!BE211&gt;0,INDIRECT(ADDRESS(MATCH(Agenda2526!C212,'CAL8'!A:A,0),2,4,1,"CAL8")),"")</f>
        <v/>
      </c>
      <c r="AR211" s="21">
        <f ca="1">IF(CALC2223!BE211&gt;0,INDIRECT(ADDRESS(MATCH(Agenda2526!C212,'CAL8'!A:A,0),3,4,1,"CAL8")),0)</f>
        <v>0</v>
      </c>
      <c r="AS211" s="20" t="str">
        <f ca="1">IF(CALC2223!BE211&gt;1,INDIRECT(ADDRESS(MATCH(Agenda2526!C212,'CAL8'!A:A,0)+1,2,4,1,"CAL8")),"")</f>
        <v/>
      </c>
      <c r="AT211" s="21">
        <f ca="1">IF(CALC2223!BE211&gt;1,INDIRECT(ADDRESS(MATCH(Agenda2526!C212,'CAL8'!A:A,0)+1,3,4,1,"CAL8")),0)</f>
        <v>0</v>
      </c>
      <c r="AU211" s="20" t="str">
        <f ca="1">IF(CALC2223!BE211&gt;2,INDIRECT(ADDRESS(MATCH(Agenda2526!C212,'CAL8'!A:A,0)+2,2,4,1,"CAL8")),"")</f>
        <v/>
      </c>
      <c r="AV211" s="21">
        <f ca="1">IF(CALC2223!BE211&gt;2,INDIRECT(ADDRESS(MATCH(Agenda2526!C212,'CAL8'!A:A,0)+2,3,4,1,"CAL8")),0)</f>
        <v>0</v>
      </c>
      <c r="AW211" s="106"/>
      <c r="AX211" s="20">
        <f>COUNTIF('CAL1'!A:A,Agenda2526!C212)</f>
        <v>0</v>
      </c>
      <c r="AY211" s="20">
        <f>COUNTIF('CAL2'!A:A,Agenda2526!C212)</f>
        <v>0</v>
      </c>
      <c r="AZ211" s="20">
        <f>COUNTIF('CAL3'!A:A,Agenda2526!C212)</f>
        <v>0</v>
      </c>
      <c r="BA211" s="20">
        <f>COUNTIF('CAL4'!A:A,Agenda2526!C212)</f>
        <v>0</v>
      </c>
      <c r="BB211" s="20">
        <f>COUNTIF('CAL5'!A:A,Agenda2526!C212)</f>
        <v>0</v>
      </c>
      <c r="BC211" s="20">
        <f>COUNTIF('CAL6'!A:A,Agenda2526!C212)</f>
        <v>0</v>
      </c>
      <c r="BD211" s="20">
        <f>COUNTIF('CAL7'!A:A,Agenda2526!C212)</f>
        <v>0</v>
      </c>
      <c r="BE211" s="20">
        <f>COUNTIF('CAL8'!A:A,Agenda2526!C212)</f>
        <v>0</v>
      </c>
    </row>
    <row r="212" spans="1:57" ht="15.75" customHeight="1">
      <c r="A212" s="20" t="str">
        <f ca="1">IF(CALC2223!AX212&gt;0,INDIRECT(ADDRESS(MATCH(Agenda2526!C213,'CAL1'!A:A,0),2,4,1,"CAL1")),"")</f>
        <v/>
      </c>
      <c r="B212" s="21">
        <f ca="1">IF(CALC2223!AX212&gt;0,INDIRECT(ADDRESS(MATCH(Agenda2526!C213,'CAL1'!A:A,0),3,4,1,"CAL1")),0)</f>
        <v>0</v>
      </c>
      <c r="C212" s="20" t="str">
        <f ca="1">IF(CALC2223!AX212&gt;1,INDIRECT(ADDRESS(MATCH(Agenda2526!C213,'CAL1'!A:A,0)+1,2,4,1,"CAL1")),"")</f>
        <v/>
      </c>
      <c r="D212" s="21">
        <f ca="1">IF(CALC2223!AX212&gt;1,INDIRECT(ADDRESS(MATCH(Agenda2526!C213,'CAL1'!A:A,0)+1,3,4,1,"CAL1")),0)</f>
        <v>0</v>
      </c>
      <c r="E212" s="20" t="str">
        <f ca="1">IF(CALC2223!AX212&gt;2,INDIRECT(ADDRESS(MATCH(Agenda2526!C213,'CAL1'!A:A,0)+2,2,4,1,"CAL1")),"")</f>
        <v/>
      </c>
      <c r="F212" s="21">
        <f ca="1">IF(CALC2223!AX212&gt;2,INDIRECT(ADDRESS(MATCH(Agenda2526!C213,'CAL1'!A:A,0)+2,3,4,1,"CAL1")),0)</f>
        <v>0</v>
      </c>
      <c r="G212" s="20" t="str">
        <f ca="1">IF(CALC2223!AY212&gt;0,INDIRECT(ADDRESS(MATCH(Agenda2526!C213,'CAL2'!A:A,0),2,4,1,"CAL2")),"")</f>
        <v/>
      </c>
      <c r="H212" s="21">
        <f ca="1">IF(CALC2223!AY212&gt;0,INDIRECT(ADDRESS(MATCH(Agenda2526!C213,'CAL2'!A:A,0),3,4,1,"CAL2")),0)</f>
        <v>0</v>
      </c>
      <c r="I212" s="20" t="str">
        <f ca="1">IF(CALC2223!AY212&gt;1,INDIRECT(ADDRESS(MATCH(Agenda2526!C213,'CAL2'!A:A,0)+1,2,4,1,"CAL2")),"")</f>
        <v/>
      </c>
      <c r="J212" s="21">
        <f ca="1">IF(CALC2223!AY212&gt;1,INDIRECT(ADDRESS(MATCH(Agenda2526!C213,'CAL2'!A:A,0)+1,3,4,1,"CAL2")),0)</f>
        <v>0</v>
      </c>
      <c r="K212" s="20" t="str">
        <f ca="1">IF(CALC2223!AY212&gt;2,INDIRECT(ADDRESS(MATCH(Agenda2526!C213,'CAL2'!A:A,0)+2,2,4,1,"CAL2")),"")</f>
        <v/>
      </c>
      <c r="L212" s="21">
        <f ca="1">IF(CALC2223!AY212&gt;2,INDIRECT(ADDRESS(MATCH(Agenda2526!C213,'CAL2'!A:A,0)+2,3,4,1,"CAL2")),0)</f>
        <v>0</v>
      </c>
      <c r="M212" s="20" t="str">
        <f ca="1">IF(CALC2223!AZ212&gt;0,INDIRECT(ADDRESS(MATCH(Agenda2526!C213,'CAL3'!A:A,0),2,4,1,"CAL3")),"")</f>
        <v/>
      </c>
      <c r="N212" s="21">
        <f ca="1">IF(CALC2223!AZ212&gt;0,INDIRECT(ADDRESS(MATCH(Agenda2526!C213,'CAL3'!A:A,0),3,4,1,"CAL3")),0)</f>
        <v>0</v>
      </c>
      <c r="O212" s="20" t="str">
        <f ca="1">IF(CALC2223!AZ212&gt;1,INDIRECT(ADDRESS(MATCH(Agenda2526!C213,'CAL3'!A:A,0)+1,2,4,1,"CAL3")),"")</f>
        <v/>
      </c>
      <c r="P212" s="21">
        <f ca="1">IF(CALC2223!AZ212&gt;1,INDIRECT(ADDRESS(MATCH(Agenda2526!C213,'CAL3'!A:A,0)+1,3,4,1,"CAL3")),0)</f>
        <v>0</v>
      </c>
      <c r="Q212" s="20" t="str">
        <f ca="1">IF(CALC2223!AZ212&gt;2,INDIRECT(ADDRESS(MATCH(Agenda2526!C213,'CAL3'!A:A,0)+2,2,4,1,"CAL3")),"")</f>
        <v/>
      </c>
      <c r="R212" s="21">
        <f ca="1">IF(CALC2223!AZ212&gt;2,INDIRECT(ADDRESS(MATCH(Agenda2526!C213,'CAL3'!A:A,0)+2,3,4,1,"CAL3")),0)</f>
        <v>0</v>
      </c>
      <c r="S212" s="20" t="str">
        <f ca="1">IF(CALC2223!BA212&gt;0,INDIRECT(ADDRESS(MATCH(Agenda2526!C213,'CAL4'!A:A,0),2,4,1,"CAL4")),"")</f>
        <v>inh rep WI</v>
      </c>
      <c r="T212" s="21">
        <f ca="1">IF(CALC2223!BA212&gt;0,INDIRECT(ADDRESS(MATCH(Agenda2526!C213,'CAL4'!A:A,0),3,4,1,"CAL4")),0)</f>
        <v>45936</v>
      </c>
      <c r="U212" s="20" t="str">
        <f ca="1">IF(CALC2223!BA212&gt;1,INDIRECT(ADDRESS(MATCH(Agenda2526!C213,'CAL4'!A:A,0)+1,2,4,1,"CAL4")),"")</f>
        <v/>
      </c>
      <c r="V212" s="21">
        <f ca="1">IF(CALC2223!BA212&gt;1,INDIRECT(ADDRESS(MATCH(Agenda2526!C213,'CAL4'!A:A,0)+1,3,4,1,"CAL4")),0)</f>
        <v>0</v>
      </c>
      <c r="W212" s="20" t="str">
        <f ca="1">IF(CALC2223!BA212&gt;2,INDIRECT(ADDRESS(MATCH(Agenda2526!C213,'CAL4'!A:A,0)+2,2,4,1,"CAL4")),"")</f>
        <v/>
      </c>
      <c r="X212" s="21">
        <f ca="1">IF(CALC2223!BA212&gt;2,INDIRECT(ADDRESS(MATCH(Agenda2526!C213,'CAL4'!A:A,0)+2,3,4,1,"CAL4")),0)</f>
        <v>0</v>
      </c>
      <c r="Y212" s="20" t="str">
        <f ca="1">IF(CALC2223!BB212&gt;0,INDIRECT(ADDRESS(MATCH(Agenda2526!C213,'CAL5'!A:A,0),2,4,1,"CAL5")),"")</f>
        <v>Rep BI</v>
      </c>
      <c r="Z212" s="21">
        <f ca="1">IF(CALC2223!BB212&gt;0,INDIRECT(ADDRESS(MATCH(Agenda2526!C213,'CAL5'!A:A,0),3,4,1,"CAL5")),0)</f>
        <v>45896</v>
      </c>
      <c r="AA212" s="20" t="str">
        <f ca="1">IF(CALC2223!BB212&gt;1,INDIRECT(ADDRESS(MATCH(Agenda2526!C213,'CAL5'!A:A,0)+1,2,4,1,"CAL5")),"")</f>
        <v>inh rep NA</v>
      </c>
      <c r="AB212" s="21">
        <f ca="1">IF(CALC2223!BB212&gt;1,INDIRECT(ADDRESS(MATCH(Agenda2526!C213,'CAL5'!A:A,0)+1,3,4,1,"CAL5")),0)</f>
        <v>45936</v>
      </c>
      <c r="AC212" s="20" t="str">
        <f ca="1">IF(CALC2223!BB212&gt;2,INDIRECT(ADDRESS(MATCH(Agenda2526!C213,'CAL5'!A:A,0)+2,2,4,1,"CAL5")),"")</f>
        <v/>
      </c>
      <c r="AD212" s="21">
        <f ca="1">IF(CALC2223!BB212&gt;2,INDIRECT(ADDRESS(MATCH(Agenda2526!C213,'CAL5'!A:A,0)+2,3,4,1,"CAL5")),0)</f>
        <v>0</v>
      </c>
      <c r="AE212" s="20" t="str">
        <f ca="1">IF(CALC2223!BC212&gt;0,INDIRECT(ADDRESS(MATCH(Agenda2526!C213,'CAL6'!A:A,0),2,4,1,"CAL6")),"")</f>
        <v>SE inhalen</v>
      </c>
      <c r="AF212" s="21">
        <f ca="1">IF(CALC2223!BC212&gt;0,INDIRECT(ADDRESS(MATCH(Agenda2526!C213,'CAL6'!A:A,0),3,4,1,"CAL6")),0)</f>
        <v>45896</v>
      </c>
      <c r="AG212" s="20" t="str">
        <f ca="1">IF(CALC2223!BC212&gt;1,INDIRECT(ADDRESS(MATCH(Agenda2526!C213,'CAL6'!A:A,0)+1,2,4,1,"CAL6")),"")</f>
        <v/>
      </c>
      <c r="AH212" s="21">
        <f ca="1">IF(CALC2223!BC212&gt;1,INDIRECT(ADDRESS(MATCH(Agenda2526!C213,'CAL6'!A:A,0)+1,3,4,1,"CAL6")),0)</f>
        <v>0</v>
      </c>
      <c r="AI212" s="20" t="str">
        <f ca="1">IF(CALC2223!BC212&gt;2,INDIRECT(ADDRESS(MATCH(Agenda2526!C213,'CAL6'!A:A,0)+2,2,4,1,"CAL6")),"")</f>
        <v/>
      </c>
      <c r="AJ212" s="21">
        <f ca="1">IF(CALC2223!BC212&gt;2,INDIRECT(ADDRESS(MATCH(Agenda2526!C213,'CAL6'!A:A,0)+2,3,4,1,"CAL6")),0)</f>
        <v>0</v>
      </c>
      <c r="AK212" s="20" t="str">
        <f ca="1">IF(CALC2223!BD212&gt;0,INDIRECT(ADDRESS(MATCH(Agenda2526!C213,'CAL7'!A:A,0),2,4,1,"CAL7")),"")</f>
        <v/>
      </c>
      <c r="AL212" s="21">
        <f ca="1">IF(CALC2223!BD212&gt;0,INDIRECT(ADDRESS(MATCH(Agenda2526!C213,'CAL7'!A:A,0),3,4,1,"CAL7")),0)</f>
        <v>0</v>
      </c>
      <c r="AM212" s="20" t="str">
        <f ca="1">IF(CALC2223!BD212&gt;1,INDIRECT(ADDRESS(MATCH(Agenda2526!C213,'CAL7'!A:A,0)+1,2,4,1,"CAL7")),"")</f>
        <v/>
      </c>
      <c r="AN212" s="21">
        <f ca="1">IF(CALC2223!BD212&gt;1,INDIRECT(ADDRESS(MATCH(Agenda2526!C213,'CAL7'!A:A,0)+1,3,4,1,"CAL7")),0)</f>
        <v>0</v>
      </c>
      <c r="AO212" s="20" t="str">
        <f ca="1">IF(CALC2223!BD212&gt;2,INDIRECT(ADDRESS(MATCH(Agenda2526!C213,'CAL7'!A:A,0)+2,2,4,1,"CAL7")),"")</f>
        <v/>
      </c>
      <c r="AP212" s="21">
        <f ca="1">IF(CALC2223!BD212&gt;2,INDIRECT(ADDRESS(MATCH(Agenda2526!C213,'CAL7'!A:A,0)+2,3,4,1,"CAL7")),0)</f>
        <v>0</v>
      </c>
      <c r="AQ212" s="20" t="str">
        <f ca="1">IF(CALC2223!BE212&gt;0,INDIRECT(ADDRESS(MATCH(Agenda2526!C213,'CAL8'!A:A,0),2,4,1,"CAL8")),"")</f>
        <v/>
      </c>
      <c r="AR212" s="21">
        <f ca="1">IF(CALC2223!BE212&gt;0,INDIRECT(ADDRESS(MATCH(Agenda2526!C213,'CAL8'!A:A,0),3,4,1,"CAL8")),0)</f>
        <v>0</v>
      </c>
      <c r="AS212" s="20" t="str">
        <f ca="1">IF(CALC2223!BE212&gt;1,INDIRECT(ADDRESS(MATCH(Agenda2526!C213,'CAL8'!A:A,0)+1,2,4,1,"CAL8")),"")</f>
        <v/>
      </c>
      <c r="AT212" s="21">
        <f ca="1">IF(CALC2223!BE212&gt;1,INDIRECT(ADDRESS(MATCH(Agenda2526!C213,'CAL8'!A:A,0)+1,3,4,1,"CAL8")),0)</f>
        <v>0</v>
      </c>
      <c r="AU212" s="20" t="str">
        <f ca="1">IF(CALC2223!BE212&gt;2,INDIRECT(ADDRESS(MATCH(Agenda2526!C213,'CAL8'!A:A,0)+2,2,4,1,"CAL8")),"")</f>
        <v/>
      </c>
      <c r="AV212" s="21">
        <f ca="1">IF(CALC2223!BE212&gt;2,INDIRECT(ADDRESS(MATCH(Agenda2526!C213,'CAL8'!A:A,0)+2,3,4,1,"CAL8")),0)</f>
        <v>0</v>
      </c>
      <c r="AW212" s="105"/>
      <c r="AX212" s="20">
        <f>COUNTIF('CAL1'!A:A,Agenda2526!C213)</f>
        <v>0</v>
      </c>
      <c r="AY212" s="20">
        <f>COUNTIF('CAL2'!A:A,Agenda2526!C213)</f>
        <v>0</v>
      </c>
      <c r="AZ212" s="20">
        <f>COUNTIF('CAL3'!A:A,Agenda2526!C213)</f>
        <v>0</v>
      </c>
      <c r="BA212" s="20">
        <f>COUNTIF('CAL4'!A:A,Agenda2526!C213)</f>
        <v>1</v>
      </c>
      <c r="BB212" s="20">
        <f>COUNTIF('CAL5'!A:A,Agenda2526!C213)</f>
        <v>2</v>
      </c>
      <c r="BC212" s="20">
        <f>COUNTIF('CAL6'!A:A,Agenda2526!C213)</f>
        <v>1</v>
      </c>
      <c r="BD212" s="20">
        <f>COUNTIF('CAL7'!A:A,Agenda2526!C213)</f>
        <v>0</v>
      </c>
      <c r="BE212" s="20">
        <f>COUNTIF('CAL8'!A:A,Agenda2526!C213)</f>
        <v>0</v>
      </c>
    </row>
    <row r="213" spans="1:57" ht="15.75" customHeight="1">
      <c r="A213" s="20" t="str">
        <f ca="1">IF(CALC2223!AX213&gt;0,INDIRECT(ADDRESS(MATCH(Agenda2526!C214,'CAL1'!A:A,0),2,4,1,"CAL1")),"")</f>
        <v/>
      </c>
      <c r="B213" s="21">
        <f ca="1">IF(CALC2223!AX213&gt;0,INDIRECT(ADDRESS(MATCH(Agenda2526!C214,'CAL1'!A:A,0),3,4,1,"CAL1")),0)</f>
        <v>0</v>
      </c>
      <c r="C213" s="20" t="str">
        <f ca="1">IF(CALC2223!AX213&gt;1,INDIRECT(ADDRESS(MATCH(Agenda2526!C214,'CAL1'!A:A,0)+1,2,4,1,"CAL1")),"")</f>
        <v/>
      </c>
      <c r="D213" s="21">
        <f ca="1">IF(CALC2223!AX213&gt;1,INDIRECT(ADDRESS(MATCH(Agenda2526!C214,'CAL1'!A:A,0)+1,3,4,1,"CAL1")),0)</f>
        <v>0</v>
      </c>
      <c r="E213" s="20" t="str">
        <f ca="1">IF(CALC2223!AX213&gt;2,INDIRECT(ADDRESS(MATCH(Agenda2526!C214,'CAL1'!A:A,0)+2,2,4,1,"CAL1")),"")</f>
        <v/>
      </c>
      <c r="F213" s="21">
        <f ca="1">IF(CALC2223!AX213&gt;2,INDIRECT(ADDRESS(MATCH(Agenda2526!C214,'CAL1'!A:A,0)+2,3,4,1,"CAL1")),0)</f>
        <v>0</v>
      </c>
      <c r="G213" s="20" t="str">
        <f ca="1">IF(CALC2223!AY213&gt;0,INDIRECT(ADDRESS(MATCH(Agenda2526!C214,'CAL2'!A:A,0),2,4,1,"CAL2")),"")</f>
        <v/>
      </c>
      <c r="H213" s="21">
        <f ca="1">IF(CALC2223!AY213&gt;0,INDIRECT(ADDRESS(MATCH(Agenda2526!C214,'CAL2'!A:A,0),3,4,1,"CAL2")),0)</f>
        <v>0</v>
      </c>
      <c r="I213" s="20" t="str">
        <f ca="1">IF(CALC2223!AY213&gt;1,INDIRECT(ADDRESS(MATCH(Agenda2526!C214,'CAL2'!A:A,0)+1,2,4,1,"CAL2")),"")</f>
        <v/>
      </c>
      <c r="J213" s="21">
        <f ca="1">IF(CALC2223!AY213&gt;1,INDIRECT(ADDRESS(MATCH(Agenda2526!C214,'CAL2'!A:A,0)+1,3,4,1,"CAL2")),0)</f>
        <v>0</v>
      </c>
      <c r="K213" s="20" t="str">
        <f ca="1">IF(CALC2223!AY213&gt;2,INDIRECT(ADDRESS(MATCH(Agenda2526!C214,'CAL2'!A:A,0)+2,2,4,1,"CAL2")),"")</f>
        <v/>
      </c>
      <c r="L213" s="21">
        <f ca="1">IF(CALC2223!AY213&gt;2,INDIRECT(ADDRESS(MATCH(Agenda2526!C214,'CAL2'!A:A,0)+2,3,4,1,"CAL2")),0)</f>
        <v>0</v>
      </c>
      <c r="M213" s="20" t="str">
        <f ca="1">IF(CALC2223!AZ213&gt;0,INDIRECT(ADDRESS(MATCH(Agenda2526!C214,'CAL3'!A:A,0),2,4,1,"CAL3")),"")</f>
        <v/>
      </c>
      <c r="N213" s="21">
        <f ca="1">IF(CALC2223!AZ213&gt;0,INDIRECT(ADDRESS(MATCH(Agenda2526!C214,'CAL3'!A:A,0),3,4,1,"CAL3")),0)</f>
        <v>0</v>
      </c>
      <c r="O213" s="20" t="str">
        <f ca="1">IF(CALC2223!AZ213&gt;1,INDIRECT(ADDRESS(MATCH(Agenda2526!C214,'CAL3'!A:A,0)+1,2,4,1,"CAL3")),"")</f>
        <v/>
      </c>
      <c r="P213" s="21">
        <f ca="1">IF(CALC2223!AZ213&gt;1,INDIRECT(ADDRESS(MATCH(Agenda2526!C214,'CAL3'!A:A,0)+1,3,4,1,"CAL3")),0)</f>
        <v>0</v>
      </c>
      <c r="Q213" s="20" t="str">
        <f ca="1">IF(CALC2223!AZ213&gt;2,INDIRECT(ADDRESS(MATCH(Agenda2526!C214,'CAL3'!A:A,0)+2,2,4,1,"CAL3")),"")</f>
        <v/>
      </c>
      <c r="R213" s="21">
        <f ca="1">IF(CALC2223!AZ213&gt;2,INDIRECT(ADDRESS(MATCH(Agenda2526!C214,'CAL3'!A:A,0)+2,3,4,1,"CAL3")),0)</f>
        <v>0</v>
      </c>
      <c r="S213" s="20" t="str">
        <f ca="1">IF(CALC2223!BA213&gt;0,INDIRECT(ADDRESS(MATCH(Agenda2526!C214,'CAL4'!A:A,0),2,4,1,"CAL4")),"")</f>
        <v>Rep GR</v>
      </c>
      <c r="T213" s="21">
        <f ca="1">IF(CALC2223!BA213&gt;0,INDIRECT(ADDRESS(MATCH(Agenda2526!C214,'CAL4'!A:A,0),3,4,1,"CAL4")),0)</f>
        <v>45896</v>
      </c>
      <c r="U213" s="20" t="str">
        <f ca="1">IF(CALC2223!BA213&gt;1,INDIRECT(ADDRESS(MATCH(Agenda2526!C214,'CAL4'!A:A,0)+1,2,4,1,"CAL4")),"")</f>
        <v/>
      </c>
      <c r="V213" s="21">
        <f ca="1">IF(CALC2223!BA213&gt;1,INDIRECT(ADDRESS(MATCH(Agenda2526!C214,'CAL4'!A:A,0)+1,3,4,1,"CAL4")),0)</f>
        <v>0</v>
      </c>
      <c r="W213" s="20" t="str">
        <f ca="1">IF(CALC2223!BA213&gt;2,INDIRECT(ADDRESS(MATCH(Agenda2526!C214,'CAL4'!A:A,0)+2,2,4,1,"CAL4")),"")</f>
        <v/>
      </c>
      <c r="X213" s="21">
        <f ca="1">IF(CALC2223!BA213&gt;2,INDIRECT(ADDRESS(MATCH(Agenda2526!C214,'CAL4'!A:A,0)+2,3,4,1,"CAL4")),0)</f>
        <v>0</v>
      </c>
      <c r="Y213" s="20" t="str">
        <f ca="1">IF(CALC2223!BB213&gt;0,INDIRECT(ADDRESS(MATCH(Agenda2526!C214,'CAL5'!A:A,0),2,4,1,"CAL5")),"")</f>
        <v/>
      </c>
      <c r="Z213" s="21">
        <f ca="1">IF(CALC2223!BB213&gt;0,INDIRECT(ADDRESS(MATCH(Agenda2526!C214,'CAL5'!A:A,0),3,4,1,"CAL5")),0)</f>
        <v>0</v>
      </c>
      <c r="AA213" s="20" t="str">
        <f ca="1">IF(CALC2223!BB213&gt;1,INDIRECT(ADDRESS(MATCH(Agenda2526!C214,'CAL5'!A:A,0)+1,2,4,1,"CAL5")),"")</f>
        <v/>
      </c>
      <c r="AB213" s="21">
        <f ca="1">IF(CALC2223!BB213&gt;1,INDIRECT(ADDRESS(MATCH(Agenda2526!C214,'CAL5'!A:A,0)+1,3,4,1,"CAL5")),0)</f>
        <v>0</v>
      </c>
      <c r="AC213" s="20" t="str">
        <f ca="1">IF(CALC2223!BB213&gt;2,INDIRECT(ADDRESS(MATCH(Agenda2526!C214,'CAL5'!A:A,0)+2,2,4,1,"CAL5")),"")</f>
        <v/>
      </c>
      <c r="AD213" s="21">
        <f ca="1">IF(CALC2223!BB213&gt;2,INDIRECT(ADDRESS(MATCH(Agenda2526!C214,'CAL5'!A:A,0)+2,3,4,1,"CAL5")),0)</f>
        <v>0</v>
      </c>
      <c r="AE213" s="20" t="str">
        <f ca="1">IF(CALC2223!BC213&gt;0,INDIRECT(ADDRESS(MATCH(Agenda2526!C214,'CAL6'!A:A,0),2,4,1,"CAL6")),"")</f>
        <v/>
      </c>
      <c r="AF213" s="21">
        <f ca="1">IF(CALC2223!BC213&gt;0,INDIRECT(ADDRESS(MATCH(Agenda2526!C214,'CAL6'!A:A,0),3,4,1,"CAL6")),0)</f>
        <v>0</v>
      </c>
      <c r="AG213" s="20" t="str">
        <f ca="1">IF(CALC2223!BC213&gt;1,INDIRECT(ADDRESS(MATCH(Agenda2526!C214,'CAL6'!A:A,0)+1,2,4,1,"CAL6")),"")</f>
        <v/>
      </c>
      <c r="AH213" s="21">
        <f ca="1">IF(CALC2223!BC213&gt;1,INDIRECT(ADDRESS(MATCH(Agenda2526!C214,'CAL6'!A:A,0)+1,3,4,1,"CAL6")),0)</f>
        <v>0</v>
      </c>
      <c r="AI213" s="20" t="str">
        <f ca="1">IF(CALC2223!BC213&gt;2,INDIRECT(ADDRESS(MATCH(Agenda2526!C214,'CAL6'!A:A,0)+2,2,4,1,"CAL6")),"")</f>
        <v/>
      </c>
      <c r="AJ213" s="21">
        <f ca="1">IF(CALC2223!BC213&gt;2,INDIRECT(ADDRESS(MATCH(Agenda2526!C214,'CAL6'!A:A,0)+2,3,4,1,"CAL6")),0)</f>
        <v>0</v>
      </c>
      <c r="AK213" s="20" t="str">
        <f ca="1">IF(CALC2223!BD213&gt;0,INDIRECT(ADDRESS(MATCH(Agenda2526!C214,'CAL7'!A:A,0),2,4,1,"CAL7")),"")</f>
        <v>30'-rooster/docentenspreekmomenten 14-17 uur</v>
      </c>
      <c r="AL213" s="21">
        <f ca="1">IF(CALC2223!BD213&gt;0,INDIRECT(ADDRESS(MATCH(Agenda2526!C214,'CAL7'!A:A,0),3,4,1,"CAL7")),0)</f>
        <v>45896</v>
      </c>
      <c r="AM213" s="20" t="str">
        <f ca="1">IF(CALC2223!BD213&gt;1,INDIRECT(ADDRESS(MATCH(Agenda2526!C214,'CAL7'!A:A,0)+1,2,4,1,"CAL7")),"")</f>
        <v/>
      </c>
      <c r="AN213" s="21">
        <f ca="1">IF(CALC2223!BD213&gt;1,INDIRECT(ADDRESS(MATCH(Agenda2526!C214,'CAL7'!A:A,0)+1,3,4,1,"CAL7")),0)</f>
        <v>0</v>
      </c>
      <c r="AO213" s="20" t="str">
        <f ca="1">IF(CALC2223!BD213&gt;2,INDIRECT(ADDRESS(MATCH(Agenda2526!C214,'CAL7'!A:A,0)+2,2,4,1,"CAL7")),"")</f>
        <v/>
      </c>
      <c r="AP213" s="21">
        <f ca="1">IF(CALC2223!BD213&gt;2,INDIRECT(ADDRESS(MATCH(Agenda2526!C214,'CAL7'!A:A,0)+2,3,4,1,"CAL7")),0)</f>
        <v>0</v>
      </c>
      <c r="AQ213" s="20" t="str">
        <f ca="1">IF(CALC2223!BE213&gt;0,INDIRECT(ADDRESS(MATCH(Agenda2526!C214,'CAL8'!A:A,0),2,4,1,"CAL8")),"")</f>
        <v>30'-rooster/docentenspreekmomenten 14-17 uur</v>
      </c>
      <c r="AR213" s="21">
        <f ca="1">IF(CALC2223!BE213&gt;0,INDIRECT(ADDRESS(MATCH(Agenda2526!C214,'CAL8'!A:A,0),3,4,1,"CAL8")),0)</f>
        <v>45896</v>
      </c>
      <c r="AS213" s="20" t="str">
        <f ca="1">IF(CALC2223!BE213&gt;1,INDIRECT(ADDRESS(MATCH(Agenda2526!C214,'CAL8'!A:A,0)+1,2,4,1,"CAL8")),"")</f>
        <v/>
      </c>
      <c r="AT213" s="21">
        <f ca="1">IF(CALC2223!BE213&gt;1,INDIRECT(ADDRESS(MATCH(Agenda2526!C214,'CAL8'!A:A,0)+1,3,4,1,"CAL8")),0)</f>
        <v>0</v>
      </c>
      <c r="AU213" s="20" t="str">
        <f ca="1">IF(CALC2223!BE213&gt;2,INDIRECT(ADDRESS(MATCH(Agenda2526!C214,'CAL8'!A:A,0)+2,2,4,1,"CAL8")),"")</f>
        <v/>
      </c>
      <c r="AV213" s="21">
        <f ca="1">IF(CALC2223!BE213&gt;2,INDIRECT(ADDRESS(MATCH(Agenda2526!C214,'CAL8'!A:A,0)+2,3,4,1,"CAL8")),0)</f>
        <v>0</v>
      </c>
      <c r="AW213" s="105"/>
      <c r="AX213" s="20">
        <f>COUNTIF('CAL1'!A:A,Agenda2526!C214)</f>
        <v>0</v>
      </c>
      <c r="AY213" s="20">
        <f>COUNTIF('CAL2'!A:A,Agenda2526!C214)</f>
        <v>0</v>
      </c>
      <c r="AZ213" s="20">
        <f>COUNTIF('CAL3'!A:A,Agenda2526!C214)</f>
        <v>0</v>
      </c>
      <c r="BA213" s="20">
        <f>COUNTIF('CAL4'!A:A,Agenda2526!C214)</f>
        <v>1</v>
      </c>
      <c r="BB213" s="20">
        <f>COUNTIF('CAL5'!A:A,Agenda2526!C214)</f>
        <v>0</v>
      </c>
      <c r="BC213" s="20">
        <f>COUNTIF('CAL6'!A:A,Agenda2526!C214)</f>
        <v>0</v>
      </c>
      <c r="BD213" s="20">
        <f>COUNTIF('CAL7'!A:A,Agenda2526!C214)</f>
        <v>1</v>
      </c>
      <c r="BE213" s="20">
        <f>COUNTIF('CAL8'!A:A,Agenda2526!C214)</f>
        <v>1</v>
      </c>
    </row>
    <row r="214" spans="1:57" ht="15.75" customHeight="1">
      <c r="A214" s="20" t="str">
        <f ca="1">IF(CALC2223!AX214&gt;0,INDIRECT(ADDRESS(MATCH(Agenda2526!C215,'CAL1'!A:A,0),2,4,1,"CAL1")),"")</f>
        <v>Rep FA</v>
      </c>
      <c r="B214" s="21">
        <f ca="1">IF(CALC2223!AX214&gt;0,INDIRECT(ADDRESS(MATCH(Agenda2526!C215,'CAL1'!A:A,0),3,4,1,"CAL1")),0)</f>
        <v>45901</v>
      </c>
      <c r="C214" s="20" t="str">
        <f ca="1">IF(CALC2223!AX214&gt;1,INDIRECT(ADDRESS(MATCH(Agenda2526!C215,'CAL1'!A:A,0)+1,2,4,1,"CAL1")),"")</f>
        <v/>
      </c>
      <c r="D214" s="21">
        <f ca="1">IF(CALC2223!AX214&gt;1,INDIRECT(ADDRESS(MATCH(Agenda2526!C215,'CAL1'!A:A,0)+1,3,4,1,"CAL1")),0)</f>
        <v>0</v>
      </c>
      <c r="E214" s="20" t="str">
        <f ca="1">IF(CALC2223!AX214&gt;2,INDIRECT(ADDRESS(MATCH(Agenda2526!C215,'CAL1'!A:A,0)+2,2,4,1,"CAL1")),"")</f>
        <v/>
      </c>
      <c r="F214" s="21">
        <f ca="1">IF(CALC2223!AX214&gt;2,INDIRECT(ADDRESS(MATCH(Agenda2526!C215,'CAL1'!A:A,0)+2,3,4,1,"CAL1")),0)</f>
        <v>0</v>
      </c>
      <c r="G214" s="20" t="str">
        <f ca="1">IF(CALC2223!AY214&gt;0,INDIRECT(ADDRESS(MATCH(Agenda2526!C215,'CAL2'!A:A,0),2,4,1,"CAL2")),"")</f>
        <v/>
      </c>
      <c r="H214" s="21">
        <f ca="1">IF(CALC2223!AY214&gt;0,INDIRECT(ADDRESS(MATCH(Agenda2526!C215,'CAL2'!A:A,0),3,4,1,"CAL2")),0)</f>
        <v>0</v>
      </c>
      <c r="I214" s="20" t="str">
        <f ca="1">IF(CALC2223!AY214&gt;1,INDIRECT(ADDRESS(MATCH(Agenda2526!C215,'CAL2'!A:A,0)+1,2,4,1,"CAL2")),"")</f>
        <v/>
      </c>
      <c r="J214" s="21">
        <f ca="1">IF(CALC2223!AY214&gt;1,INDIRECT(ADDRESS(MATCH(Agenda2526!C215,'CAL2'!A:A,0)+1,3,4,1,"CAL2")),0)</f>
        <v>0</v>
      </c>
      <c r="K214" s="20" t="str">
        <f ca="1">IF(CALC2223!AY214&gt;2,INDIRECT(ADDRESS(MATCH(Agenda2526!C215,'CAL2'!A:A,0)+2,2,4,1,"CAL2")),"")</f>
        <v/>
      </c>
      <c r="L214" s="21">
        <f ca="1">IF(CALC2223!AY214&gt;2,INDIRECT(ADDRESS(MATCH(Agenda2526!C215,'CAL2'!A:A,0)+2,3,4,1,"CAL2")),0)</f>
        <v>0</v>
      </c>
      <c r="M214" s="20" t="str">
        <f ca="1">IF(CALC2223!AZ214&gt;0,INDIRECT(ADDRESS(MATCH(Agenda2526!C215,'CAL3'!A:A,0),2,4,1,"CAL3")),"")</f>
        <v/>
      </c>
      <c r="N214" s="21">
        <f ca="1">IF(CALC2223!AZ214&gt;0,INDIRECT(ADDRESS(MATCH(Agenda2526!C215,'CAL3'!A:A,0),3,4,1,"CAL3")),0)</f>
        <v>0</v>
      </c>
      <c r="O214" s="20" t="str">
        <f ca="1">IF(CALC2223!AZ214&gt;1,INDIRECT(ADDRESS(MATCH(Agenda2526!C215,'CAL3'!A:A,0)+1,2,4,1,"CAL3")),"")</f>
        <v/>
      </c>
      <c r="P214" s="21">
        <f ca="1">IF(CALC2223!AZ214&gt;1,INDIRECT(ADDRESS(MATCH(Agenda2526!C215,'CAL3'!A:A,0)+1,3,4,1,"CAL3")),0)</f>
        <v>0</v>
      </c>
      <c r="Q214" s="20" t="str">
        <f ca="1">IF(CALC2223!AZ214&gt;2,INDIRECT(ADDRESS(MATCH(Agenda2526!C215,'CAL3'!A:A,0)+2,2,4,1,"CAL3")),"")</f>
        <v/>
      </c>
      <c r="R214" s="21">
        <f ca="1">IF(CALC2223!AZ214&gt;2,INDIRECT(ADDRESS(MATCH(Agenda2526!C215,'CAL3'!A:A,0)+2,3,4,1,"CAL3")),0)</f>
        <v>0</v>
      </c>
      <c r="S214" s="20" t="str">
        <f ca="1">IF(CALC2223!BA214&gt;0,INDIRECT(ADDRESS(MATCH(Agenda2526!C215,'CAL4'!A:A,0),2,4,1,"CAL4")),"")</f>
        <v/>
      </c>
      <c r="T214" s="21">
        <f ca="1">IF(CALC2223!BA214&gt;0,INDIRECT(ADDRESS(MATCH(Agenda2526!C215,'CAL4'!A:A,0),3,4,1,"CAL4")),0)</f>
        <v>0</v>
      </c>
      <c r="U214" s="20" t="str">
        <f ca="1">IF(CALC2223!BA214&gt;1,INDIRECT(ADDRESS(MATCH(Agenda2526!C215,'CAL4'!A:A,0)+1,2,4,1,"CAL4")),"")</f>
        <v/>
      </c>
      <c r="V214" s="21">
        <f ca="1">IF(CALC2223!BA214&gt;1,INDIRECT(ADDRESS(MATCH(Agenda2526!C215,'CAL4'!A:A,0)+1,3,4,1,"CAL4")),0)</f>
        <v>0</v>
      </c>
      <c r="W214" s="20" t="str">
        <f ca="1">IF(CALC2223!BA214&gt;2,INDIRECT(ADDRESS(MATCH(Agenda2526!C215,'CAL4'!A:A,0)+2,2,4,1,"CAL4")),"")</f>
        <v/>
      </c>
      <c r="X214" s="21">
        <f ca="1">IF(CALC2223!BA214&gt;2,INDIRECT(ADDRESS(MATCH(Agenda2526!C215,'CAL4'!A:A,0)+2,3,4,1,"CAL4")),0)</f>
        <v>0</v>
      </c>
      <c r="Y214" s="20" t="str">
        <f ca="1">IF(CALC2223!BB214&gt;0,INDIRECT(ADDRESS(MATCH(Agenda2526!C215,'CAL5'!A:A,0),2,4,1,"CAL5")),"")</f>
        <v>Rep SK</v>
      </c>
      <c r="Z214" s="21">
        <f ca="1">IF(CALC2223!BB214&gt;0,INDIRECT(ADDRESS(MATCH(Agenda2526!C215,'CAL5'!A:A,0),3,4,1,"CAL5")),0)</f>
        <v>45896</v>
      </c>
      <c r="AA214" s="20" t="str">
        <f ca="1">IF(CALC2223!BB214&gt;1,INDIRECT(ADDRESS(MATCH(Agenda2526!C215,'CAL5'!A:A,0)+1,2,4,1,"CAL5")),"")</f>
        <v/>
      </c>
      <c r="AB214" s="21">
        <f ca="1">IF(CALC2223!BB214&gt;1,INDIRECT(ADDRESS(MATCH(Agenda2526!C215,'CAL5'!A:A,0)+1,3,4,1,"CAL5")),0)</f>
        <v>0</v>
      </c>
      <c r="AC214" s="20" t="str">
        <f ca="1">IF(CALC2223!BB214&gt;2,INDIRECT(ADDRESS(MATCH(Agenda2526!C215,'CAL5'!A:A,0)+2,2,4,1,"CAL5")),"")</f>
        <v/>
      </c>
      <c r="AD214" s="21">
        <f ca="1">IF(CALC2223!BB214&gt;2,INDIRECT(ADDRESS(MATCH(Agenda2526!C215,'CAL5'!A:A,0)+2,3,4,1,"CAL5")),0)</f>
        <v>0</v>
      </c>
      <c r="AE214" s="20" t="str">
        <f ca="1">IF(CALC2223!BC214&gt;0,INDIRECT(ADDRESS(MATCH(Agenda2526!C215,'CAL6'!A:A,0),2,4,1,"CAL6")),"")</f>
        <v>KuDr regie</v>
      </c>
      <c r="AF214" s="21">
        <f ca="1">IF(CALC2223!BC214&gt;0,INDIRECT(ADDRESS(MATCH(Agenda2526!C215,'CAL6'!A:A,0),3,4,1,"CAL6")),0)</f>
        <v>45896</v>
      </c>
      <c r="AG214" s="20" t="str">
        <f ca="1">IF(CALC2223!BC214&gt;1,INDIRECT(ADDRESS(MATCH(Agenda2526!C215,'CAL6'!A:A,0)+1,2,4,1,"CAL6")),"")</f>
        <v/>
      </c>
      <c r="AH214" s="21">
        <f ca="1">IF(CALC2223!BC214&gt;1,INDIRECT(ADDRESS(MATCH(Agenda2526!C215,'CAL6'!A:A,0)+1,3,4,1,"CAL6")),0)</f>
        <v>0</v>
      </c>
      <c r="AI214" s="20" t="str">
        <f ca="1">IF(CALC2223!BC214&gt;2,INDIRECT(ADDRESS(MATCH(Agenda2526!C215,'CAL6'!A:A,0)+2,2,4,1,"CAL6")),"")</f>
        <v/>
      </c>
      <c r="AJ214" s="21">
        <f ca="1">IF(CALC2223!BC214&gt;2,INDIRECT(ADDRESS(MATCH(Agenda2526!C215,'CAL6'!A:A,0)+2,3,4,1,"CAL6")),0)</f>
        <v>0</v>
      </c>
      <c r="AK214" s="20" t="str">
        <f ca="1">IF(CALC2223!BD214&gt;0,INDIRECT(ADDRESS(MATCH(Agenda2526!C215,'CAL7'!A:A,0),2,4,1,"CAL7")),"")</f>
        <v/>
      </c>
      <c r="AL214" s="21">
        <f ca="1">IF(CALC2223!BD214&gt;0,INDIRECT(ADDRESS(MATCH(Agenda2526!C215,'CAL7'!A:A,0),3,4,1,"CAL7")),0)</f>
        <v>0</v>
      </c>
      <c r="AM214" s="20" t="str">
        <f ca="1">IF(CALC2223!BD214&gt;1,INDIRECT(ADDRESS(MATCH(Agenda2526!C215,'CAL7'!A:A,0)+1,2,4,1,"CAL7")),"")</f>
        <v/>
      </c>
      <c r="AN214" s="21">
        <f ca="1">IF(CALC2223!BD214&gt;1,INDIRECT(ADDRESS(MATCH(Agenda2526!C215,'CAL7'!A:A,0)+1,3,4,1,"CAL7")),0)</f>
        <v>0</v>
      </c>
      <c r="AO214" s="20" t="str">
        <f ca="1">IF(CALC2223!BD214&gt;2,INDIRECT(ADDRESS(MATCH(Agenda2526!C215,'CAL7'!A:A,0)+2,2,4,1,"CAL7")),"")</f>
        <v/>
      </c>
      <c r="AP214" s="21">
        <f ca="1">IF(CALC2223!BD214&gt;2,INDIRECT(ADDRESS(MATCH(Agenda2526!C215,'CAL7'!A:A,0)+2,3,4,1,"CAL7")),0)</f>
        <v>0</v>
      </c>
      <c r="AQ214" s="20" t="str">
        <f ca="1">IF(CALC2223!BE214&gt;0,INDIRECT(ADDRESS(MATCH(Agenda2526!C215,'CAL8'!A:A,0),2,4,1,"CAL8")),"")</f>
        <v/>
      </c>
      <c r="AR214" s="21">
        <f ca="1">IF(CALC2223!BE214&gt;0,INDIRECT(ADDRESS(MATCH(Agenda2526!C215,'CAL8'!A:A,0),3,4,1,"CAL8")),0)</f>
        <v>0</v>
      </c>
      <c r="AS214" s="20" t="str">
        <f ca="1">IF(CALC2223!BE214&gt;1,INDIRECT(ADDRESS(MATCH(Agenda2526!C215,'CAL8'!A:A,0)+1,2,4,1,"CAL8")),"")</f>
        <v/>
      </c>
      <c r="AT214" s="21">
        <f ca="1">IF(CALC2223!BE214&gt;1,INDIRECT(ADDRESS(MATCH(Agenda2526!C215,'CAL8'!A:A,0)+1,3,4,1,"CAL8")),0)</f>
        <v>0</v>
      </c>
      <c r="AU214" s="20" t="str">
        <f ca="1">IF(CALC2223!BE214&gt;2,INDIRECT(ADDRESS(MATCH(Agenda2526!C215,'CAL8'!A:A,0)+2,2,4,1,"CAL8")),"")</f>
        <v/>
      </c>
      <c r="AV214" s="21">
        <f ca="1">IF(CALC2223!BE214&gt;2,INDIRECT(ADDRESS(MATCH(Agenda2526!C215,'CAL8'!A:A,0)+2,3,4,1,"CAL8")),0)</f>
        <v>0</v>
      </c>
      <c r="AW214" s="105"/>
      <c r="AX214" s="20">
        <f>COUNTIF('CAL1'!A:A,Agenda2526!C215)</f>
        <v>1</v>
      </c>
      <c r="AY214" s="20">
        <f>COUNTIF('CAL2'!A:A,Agenda2526!C215)</f>
        <v>0</v>
      </c>
      <c r="AZ214" s="20">
        <f>COUNTIF('CAL3'!A:A,Agenda2526!C215)</f>
        <v>0</v>
      </c>
      <c r="BA214" s="20">
        <f>COUNTIF('CAL4'!A:A,Agenda2526!C215)</f>
        <v>0</v>
      </c>
      <c r="BB214" s="20">
        <f>COUNTIF('CAL5'!A:A,Agenda2526!C215)</f>
        <v>1</v>
      </c>
      <c r="BC214" s="20">
        <f>COUNTIF('CAL6'!A:A,Agenda2526!C215)</f>
        <v>1</v>
      </c>
      <c r="BD214" s="20">
        <f>COUNTIF('CAL7'!A:A,Agenda2526!C215)</f>
        <v>0</v>
      </c>
      <c r="BE214" s="20">
        <f>COUNTIF('CAL8'!A:A,Agenda2526!C215)</f>
        <v>0</v>
      </c>
    </row>
    <row r="215" spans="1:57" ht="15.75" customHeight="1">
      <c r="A215" s="20" t="str">
        <f ca="1">IF(CALC2223!AX215&gt;0,INDIRECT(ADDRESS(MATCH(Agenda2526!C216,'CAL1'!A:A,0),2,4,1,"CAL1")),"")</f>
        <v/>
      </c>
      <c r="B215" s="21">
        <f ca="1">IF(CALC2223!AX215&gt;0,INDIRECT(ADDRESS(MATCH(Agenda2526!C216,'CAL1'!A:A,0),3,4,1,"CAL1")),0)</f>
        <v>0</v>
      </c>
      <c r="C215" s="20" t="str">
        <f ca="1">IF(CALC2223!AX215&gt;1,INDIRECT(ADDRESS(MATCH(Agenda2526!C216,'CAL1'!A:A,0)+1,2,4,1,"CAL1")),"")</f>
        <v/>
      </c>
      <c r="D215" s="21">
        <f ca="1">IF(CALC2223!AX215&gt;1,INDIRECT(ADDRESS(MATCH(Agenda2526!C216,'CAL1'!A:A,0)+1,3,4,1,"CAL1")),0)</f>
        <v>0</v>
      </c>
      <c r="E215" s="20" t="str">
        <f ca="1">IF(CALC2223!AX215&gt;2,INDIRECT(ADDRESS(MATCH(Agenda2526!C216,'CAL1'!A:A,0)+2,2,4,1,"CAL1")),"")</f>
        <v/>
      </c>
      <c r="F215" s="21">
        <f ca="1">IF(CALC2223!AX215&gt;2,INDIRECT(ADDRESS(MATCH(Agenda2526!C216,'CAL1'!A:A,0)+2,3,4,1,"CAL1")),0)</f>
        <v>0</v>
      </c>
      <c r="G215" s="20" t="str">
        <f ca="1">IF(CALC2223!AY215&gt;0,INDIRECT(ADDRESS(MATCH(Agenda2526!C216,'CAL2'!A:A,0),2,4,1,"CAL2")),"")</f>
        <v>Rep AK</v>
      </c>
      <c r="H215" s="21">
        <f ca="1">IF(CALC2223!AY215&gt;0,INDIRECT(ADDRESS(MATCH(Agenda2526!C216,'CAL2'!A:A,0),3,4,1,"CAL2")),0)</f>
        <v>46050</v>
      </c>
      <c r="I215" s="20" t="str">
        <f ca="1">IF(CALC2223!AY215&gt;1,INDIRECT(ADDRESS(MATCH(Agenda2526!C216,'CAL2'!A:A,0)+1,2,4,1,"CAL2")),"")</f>
        <v/>
      </c>
      <c r="J215" s="21">
        <f ca="1">IF(CALC2223!AY215&gt;1,INDIRECT(ADDRESS(MATCH(Agenda2526!C216,'CAL2'!A:A,0)+1,3,4,1,"CAL2")),0)</f>
        <v>0</v>
      </c>
      <c r="K215" s="20" t="str">
        <f ca="1">IF(CALC2223!AY215&gt;2,INDIRECT(ADDRESS(MATCH(Agenda2526!C216,'CAL2'!A:A,0)+2,2,4,1,"CAL2")),"")</f>
        <v/>
      </c>
      <c r="L215" s="21">
        <f ca="1">IF(CALC2223!AY215&gt;2,INDIRECT(ADDRESS(MATCH(Agenda2526!C216,'CAL2'!A:A,0)+2,3,4,1,"CAL2")),0)</f>
        <v>0</v>
      </c>
      <c r="M215" s="20" t="str">
        <f ca="1">IF(CALC2223!AZ215&gt;0,INDIRECT(ADDRESS(MATCH(Agenda2526!C216,'CAL3'!A:A,0),2,4,1,"CAL3")),"")</f>
        <v>Rep LA</v>
      </c>
      <c r="N215" s="21">
        <f ca="1">IF(CALC2223!AZ215&gt;0,INDIRECT(ADDRESS(MATCH(Agenda2526!C216,'CAL3'!A:A,0),3,4,1,"CAL3")),0)</f>
        <v>45896</v>
      </c>
      <c r="O215" s="20" t="str">
        <f ca="1">IF(CALC2223!AZ215&gt;1,INDIRECT(ADDRESS(MATCH(Agenda2526!C216,'CAL3'!A:A,0)+1,2,4,1,"CAL3")),"")</f>
        <v/>
      </c>
      <c r="P215" s="21">
        <f ca="1">IF(CALC2223!AZ215&gt;1,INDIRECT(ADDRESS(MATCH(Agenda2526!C216,'CAL3'!A:A,0)+1,3,4,1,"CAL3")),0)</f>
        <v>0</v>
      </c>
      <c r="Q215" s="20" t="str">
        <f ca="1">IF(CALC2223!AZ215&gt;2,INDIRECT(ADDRESS(MATCH(Agenda2526!C216,'CAL3'!A:A,0)+2,2,4,1,"CAL3")),"")</f>
        <v/>
      </c>
      <c r="R215" s="21">
        <f ca="1">IF(CALC2223!AZ215&gt;2,INDIRECT(ADDRESS(MATCH(Agenda2526!C216,'CAL3'!A:A,0)+2,3,4,1,"CAL3")),0)</f>
        <v>0</v>
      </c>
      <c r="S215" s="20" t="str">
        <f ca="1">IF(CALC2223!BA215&gt;0,INDIRECT(ADDRESS(MATCH(Agenda2526!C216,'CAL4'!A:A,0),2,4,1,"CAL4")),"")</f>
        <v>SE ANW</v>
      </c>
      <c r="T215" s="21">
        <f ca="1">IF(CALC2223!BA215&gt;0,INDIRECT(ADDRESS(MATCH(Agenda2526!C216,'CAL4'!A:A,0),3,4,1,"CAL4")),0)</f>
        <v>45896</v>
      </c>
      <c r="U215" s="20" t="str">
        <f ca="1">IF(CALC2223!BA215&gt;1,INDIRECT(ADDRESS(MATCH(Agenda2526!C216,'CAL4'!A:A,0)+1,2,4,1,"CAL4")),"")</f>
        <v/>
      </c>
      <c r="V215" s="21">
        <f ca="1">IF(CALC2223!BA215&gt;1,INDIRECT(ADDRESS(MATCH(Agenda2526!C216,'CAL4'!A:A,0)+1,3,4,1,"CAL4")),0)</f>
        <v>0</v>
      </c>
      <c r="W215" s="20" t="str">
        <f ca="1">IF(CALC2223!BA215&gt;2,INDIRECT(ADDRESS(MATCH(Agenda2526!C216,'CAL4'!A:A,0)+2,2,4,1,"CAL4")),"")</f>
        <v/>
      </c>
      <c r="X215" s="21">
        <f ca="1">IF(CALC2223!BA215&gt;2,INDIRECT(ADDRESS(MATCH(Agenda2526!C216,'CAL4'!A:A,0)+2,3,4,1,"CAL4")),0)</f>
        <v>0</v>
      </c>
      <c r="Y215" s="20" t="str">
        <f ca="1">IF(CALC2223!BB215&gt;0,INDIRECT(ADDRESS(MATCH(Agenda2526!C216,'CAL5'!A:A,0),2,4,1,"CAL5")),"")</f>
        <v>inh rep GR</v>
      </c>
      <c r="Z215" s="21">
        <f ca="1">IF(CALC2223!BB215&gt;0,INDIRECT(ADDRESS(MATCH(Agenda2526!C216,'CAL5'!A:A,0),3,4,1,"CAL5")),0)</f>
        <v>45936</v>
      </c>
      <c r="AA215" s="20" t="str">
        <f ca="1">IF(CALC2223!BB215&gt;1,INDIRECT(ADDRESS(MATCH(Agenda2526!C216,'CAL5'!A:A,0)+1,2,4,1,"CAL5")),"")</f>
        <v/>
      </c>
      <c r="AB215" s="21">
        <f ca="1">IF(CALC2223!BB215&gt;1,INDIRECT(ADDRESS(MATCH(Agenda2526!C216,'CAL5'!A:A,0)+1,3,4,1,"CAL5")),0)</f>
        <v>0</v>
      </c>
      <c r="AC215" s="20" t="str">
        <f ca="1">IF(CALC2223!BB215&gt;2,INDIRECT(ADDRESS(MATCH(Agenda2526!C216,'CAL5'!A:A,0)+2,2,4,1,"CAL5")),"")</f>
        <v/>
      </c>
      <c r="AD215" s="21">
        <f ca="1">IF(CALC2223!BB215&gt;2,INDIRECT(ADDRESS(MATCH(Agenda2526!C216,'CAL5'!A:A,0)+2,3,4,1,"CAL5")),0)</f>
        <v>0</v>
      </c>
      <c r="AE215" s="20" t="str">
        <f ca="1">IF(CALC2223!BC215&gt;0,INDIRECT(ADDRESS(MATCH(Agenda2526!C216,'CAL6'!A:A,0),2,4,1,"CAL6")),"")</f>
        <v>SE herkansing opgave 09:00 uur</v>
      </c>
      <c r="AF215" s="21">
        <f ca="1">IF(CALC2223!BC215&gt;0,INDIRECT(ADDRESS(MATCH(Agenda2526!C216,'CAL6'!A:A,0),3,4,1,"CAL6")),0)</f>
        <v>45896</v>
      </c>
      <c r="AG215" s="20" t="str">
        <f ca="1">IF(CALC2223!BC215&gt;1,INDIRECT(ADDRESS(MATCH(Agenda2526!C216,'CAL6'!A:A,0)+1,2,4,1,"CAL6")),"")</f>
        <v/>
      </c>
      <c r="AH215" s="21">
        <f ca="1">IF(CALC2223!BC215&gt;1,INDIRECT(ADDRESS(MATCH(Agenda2526!C216,'CAL6'!A:A,0)+1,3,4,1,"CAL6")),0)</f>
        <v>0</v>
      </c>
      <c r="AI215" s="20" t="str">
        <f ca="1">IF(CALC2223!BC215&gt;2,INDIRECT(ADDRESS(MATCH(Agenda2526!C216,'CAL6'!A:A,0)+2,2,4,1,"CAL6")),"")</f>
        <v/>
      </c>
      <c r="AJ215" s="21">
        <f ca="1">IF(CALC2223!BC215&gt;2,INDIRECT(ADDRESS(MATCH(Agenda2526!C216,'CAL6'!A:A,0)+2,3,4,1,"CAL6")),0)</f>
        <v>0</v>
      </c>
      <c r="AK215" s="20" t="str">
        <f ca="1">IF(CALC2223!BD215&gt;0,INDIRECT(ADDRESS(MATCH(Agenda2526!C216,'CAL7'!A:A,0),2,4,1,"CAL7")),"")</f>
        <v>klasbespreking lj1#3</v>
      </c>
      <c r="AL215" s="21">
        <f ca="1">IF(CALC2223!BD215&gt;0,INDIRECT(ADDRESS(MATCH(Agenda2526!C216,'CAL7'!A:A,0),3,4,1,"CAL7")),0)</f>
        <v>46030</v>
      </c>
      <c r="AM215" s="20" t="str">
        <f ca="1">IF(CALC2223!BD215&gt;1,INDIRECT(ADDRESS(MATCH(Agenda2526!C216,'CAL7'!A:A,0)+1,2,4,1,"CAL7")),"")</f>
        <v/>
      </c>
      <c r="AN215" s="21">
        <f ca="1">IF(CALC2223!BD215&gt;1,INDIRECT(ADDRESS(MATCH(Agenda2526!C216,'CAL7'!A:A,0)+1,3,4,1,"CAL7")),0)</f>
        <v>0</v>
      </c>
      <c r="AO215" s="20" t="str">
        <f ca="1">IF(CALC2223!BD215&gt;2,INDIRECT(ADDRESS(MATCH(Agenda2526!C216,'CAL7'!A:A,0)+2,2,4,1,"CAL7")),"")</f>
        <v/>
      </c>
      <c r="AP215" s="21">
        <f ca="1">IF(CALC2223!BD215&gt;2,INDIRECT(ADDRESS(MATCH(Agenda2526!C216,'CAL7'!A:A,0)+2,3,4,1,"CAL7")),0)</f>
        <v>0</v>
      </c>
      <c r="AQ215" s="20" t="str">
        <f ca="1">IF(CALC2223!BE215&gt;0,INDIRECT(ADDRESS(MATCH(Agenda2526!C216,'CAL8'!A:A,0),2,4,1,"CAL8")),"")</f>
        <v/>
      </c>
      <c r="AR215" s="21">
        <f ca="1">IF(CALC2223!BE215&gt;0,INDIRECT(ADDRESS(MATCH(Agenda2526!C216,'CAL8'!A:A,0),3,4,1,"CAL8")),0)</f>
        <v>0</v>
      </c>
      <c r="AS215" s="20" t="str">
        <f ca="1">IF(CALC2223!BE215&gt;1,INDIRECT(ADDRESS(MATCH(Agenda2526!C216,'CAL8'!A:A,0)+1,2,4,1,"CAL8")),"")</f>
        <v/>
      </c>
      <c r="AT215" s="21">
        <f ca="1">IF(CALC2223!BE215&gt;1,INDIRECT(ADDRESS(MATCH(Agenda2526!C216,'CAL8'!A:A,0)+1,3,4,1,"CAL8")),0)</f>
        <v>0</v>
      </c>
      <c r="AU215" s="20" t="str">
        <f ca="1">IF(CALC2223!BE215&gt;2,INDIRECT(ADDRESS(MATCH(Agenda2526!C216,'CAL8'!A:A,0)+2,2,4,1,"CAL8")),"")</f>
        <v/>
      </c>
      <c r="AV215" s="21">
        <f ca="1">IF(CALC2223!BE215&gt;2,INDIRECT(ADDRESS(MATCH(Agenda2526!C216,'CAL8'!A:A,0)+2,3,4,1,"CAL8")),0)</f>
        <v>0</v>
      </c>
      <c r="AW215" s="105"/>
      <c r="AX215" s="20">
        <f>COUNTIF('CAL1'!A:A,Agenda2526!C216)</f>
        <v>0</v>
      </c>
      <c r="AY215" s="20">
        <f>COUNTIF('CAL2'!A:A,Agenda2526!C216)</f>
        <v>1</v>
      </c>
      <c r="AZ215" s="20">
        <f>COUNTIF('CAL3'!A:A,Agenda2526!C216)</f>
        <v>1</v>
      </c>
      <c r="BA215" s="20">
        <f>COUNTIF('CAL4'!A:A,Agenda2526!C216)</f>
        <v>1</v>
      </c>
      <c r="BB215" s="20">
        <f>COUNTIF('CAL5'!A:A,Agenda2526!C216)</f>
        <v>1</v>
      </c>
      <c r="BC215" s="20">
        <f>COUNTIF('CAL6'!A:A,Agenda2526!C216)</f>
        <v>1</v>
      </c>
      <c r="BD215" s="20">
        <f>COUNTIF('CAL7'!A:A,Agenda2526!C216)</f>
        <v>1</v>
      </c>
      <c r="BE215" s="20">
        <f>COUNTIF('CAL8'!A:A,Agenda2526!C216)</f>
        <v>0</v>
      </c>
    </row>
    <row r="216" spans="1:57" ht="15.75" customHeight="1">
      <c r="A216" s="20" t="str">
        <f ca="1">IF(CALC2223!AX216&gt;0,INDIRECT(ADDRESS(MATCH(Agenda2526!C217,'CAL1'!A:A,0),2,4,1,"CAL1")),"")</f>
        <v/>
      </c>
      <c r="B216" s="21">
        <f ca="1">IF(CALC2223!AX216&gt;0,INDIRECT(ADDRESS(MATCH(Agenda2526!C217,'CAL1'!A:A,0),3,4,1,"CAL1")),0)</f>
        <v>0</v>
      </c>
      <c r="C216" s="20" t="str">
        <f ca="1">IF(CALC2223!AX216&gt;1,INDIRECT(ADDRESS(MATCH(Agenda2526!C217,'CAL1'!A:A,0)+1,2,4,1,"CAL1")),"")</f>
        <v/>
      </c>
      <c r="D216" s="21">
        <f ca="1">IF(CALC2223!AX216&gt;1,INDIRECT(ADDRESS(MATCH(Agenda2526!C217,'CAL1'!A:A,0)+1,3,4,1,"CAL1")),0)</f>
        <v>0</v>
      </c>
      <c r="E216" s="20" t="str">
        <f ca="1">IF(CALC2223!AX216&gt;2,INDIRECT(ADDRESS(MATCH(Agenda2526!C217,'CAL1'!A:A,0)+2,2,4,1,"CAL1")),"")</f>
        <v/>
      </c>
      <c r="F216" s="21">
        <f ca="1">IF(CALC2223!AX216&gt;2,INDIRECT(ADDRESS(MATCH(Agenda2526!C217,'CAL1'!A:A,0)+2,3,4,1,"CAL1")),0)</f>
        <v>0</v>
      </c>
      <c r="G216" s="20" t="str">
        <f ca="1">IF(CALC2223!AY216&gt;0,INDIRECT(ADDRESS(MATCH(Agenda2526!C217,'CAL2'!A:A,0),2,4,1,"CAL2")),"")</f>
        <v/>
      </c>
      <c r="H216" s="21">
        <f ca="1">IF(CALC2223!AY216&gt;0,INDIRECT(ADDRESS(MATCH(Agenda2526!C217,'CAL2'!A:A,0),3,4,1,"CAL2")),0)</f>
        <v>0</v>
      </c>
      <c r="I216" s="20" t="str">
        <f ca="1">IF(CALC2223!AY216&gt;1,INDIRECT(ADDRESS(MATCH(Agenda2526!C217,'CAL2'!A:A,0)+1,2,4,1,"CAL2")),"")</f>
        <v/>
      </c>
      <c r="J216" s="21">
        <f ca="1">IF(CALC2223!AY216&gt;1,INDIRECT(ADDRESS(MATCH(Agenda2526!C217,'CAL2'!A:A,0)+1,3,4,1,"CAL2")),0)</f>
        <v>0</v>
      </c>
      <c r="K216" s="20" t="str">
        <f ca="1">IF(CALC2223!AY216&gt;2,INDIRECT(ADDRESS(MATCH(Agenda2526!C217,'CAL2'!A:A,0)+2,2,4,1,"CAL2")),"")</f>
        <v/>
      </c>
      <c r="L216" s="21">
        <f ca="1">IF(CALC2223!AY216&gt;2,INDIRECT(ADDRESS(MATCH(Agenda2526!C217,'CAL2'!A:A,0)+2,3,4,1,"CAL2")),0)</f>
        <v>0</v>
      </c>
      <c r="M216" s="20" t="str">
        <f ca="1">IF(CALC2223!AZ216&gt;0,INDIRECT(ADDRESS(MATCH(Agenda2526!C217,'CAL3'!A:A,0),2,4,1,"CAL3")),"")</f>
        <v/>
      </c>
      <c r="N216" s="21">
        <f ca="1">IF(CALC2223!AZ216&gt;0,INDIRECT(ADDRESS(MATCH(Agenda2526!C217,'CAL3'!A:A,0),3,4,1,"CAL3")),0)</f>
        <v>0</v>
      </c>
      <c r="O216" s="20" t="str">
        <f ca="1">IF(CALC2223!AZ216&gt;1,INDIRECT(ADDRESS(MATCH(Agenda2526!C217,'CAL3'!A:A,0)+1,2,4,1,"CAL3")),"")</f>
        <v/>
      </c>
      <c r="P216" s="21">
        <f ca="1">IF(CALC2223!AZ216&gt;1,INDIRECT(ADDRESS(MATCH(Agenda2526!C217,'CAL3'!A:A,0)+1,3,4,1,"CAL3")),0)</f>
        <v>0</v>
      </c>
      <c r="Q216" s="20" t="str">
        <f ca="1">IF(CALC2223!AZ216&gt;2,INDIRECT(ADDRESS(MATCH(Agenda2526!C217,'CAL3'!A:A,0)+2,2,4,1,"CAL3")),"")</f>
        <v/>
      </c>
      <c r="R216" s="21">
        <f ca="1">IF(CALC2223!AZ216&gt;2,INDIRECT(ADDRESS(MATCH(Agenda2526!C217,'CAL3'!A:A,0)+2,3,4,1,"CAL3")),0)</f>
        <v>0</v>
      </c>
      <c r="S216" s="20" t="str">
        <f ca="1">IF(CALC2223!BA216&gt;0,INDIRECT(ADDRESS(MATCH(Agenda2526!C217,'CAL4'!A:A,0),2,4,1,"CAL4")),"")</f>
        <v/>
      </c>
      <c r="T216" s="21">
        <f ca="1">IF(CALC2223!BA216&gt;0,INDIRECT(ADDRESS(MATCH(Agenda2526!C217,'CAL4'!A:A,0),3,4,1,"CAL4")),0)</f>
        <v>0</v>
      </c>
      <c r="U216" s="20" t="str">
        <f ca="1">IF(CALC2223!BA216&gt;1,INDIRECT(ADDRESS(MATCH(Agenda2526!C217,'CAL4'!A:A,0)+1,2,4,1,"CAL4")),"")</f>
        <v/>
      </c>
      <c r="V216" s="21">
        <f ca="1">IF(CALC2223!BA216&gt;1,INDIRECT(ADDRESS(MATCH(Agenda2526!C217,'CAL4'!A:A,0)+1,3,4,1,"CAL4")),0)</f>
        <v>0</v>
      </c>
      <c r="W216" s="20" t="str">
        <f ca="1">IF(CALC2223!BA216&gt;2,INDIRECT(ADDRESS(MATCH(Agenda2526!C217,'CAL4'!A:A,0)+2,2,4,1,"CAL4")),"")</f>
        <v/>
      </c>
      <c r="X216" s="21">
        <f ca="1">IF(CALC2223!BA216&gt;2,INDIRECT(ADDRESS(MATCH(Agenda2526!C217,'CAL4'!A:A,0)+2,3,4,1,"CAL4")),0)</f>
        <v>0</v>
      </c>
      <c r="Y216" s="20" t="str">
        <f ca="1">IF(CALC2223!BB216&gt;0,INDIRECT(ADDRESS(MATCH(Agenda2526!C217,'CAL5'!A:A,0),2,4,1,"CAL5")),"")</f>
        <v/>
      </c>
      <c r="Z216" s="21">
        <f ca="1">IF(CALC2223!BB216&gt;0,INDIRECT(ADDRESS(MATCH(Agenda2526!C217,'CAL5'!A:A,0),3,4,1,"CAL5")),0)</f>
        <v>0</v>
      </c>
      <c r="AA216" s="20" t="str">
        <f ca="1">IF(CALC2223!BB216&gt;1,INDIRECT(ADDRESS(MATCH(Agenda2526!C217,'CAL5'!A:A,0)+1,2,4,1,"CAL5")),"")</f>
        <v/>
      </c>
      <c r="AB216" s="21">
        <f ca="1">IF(CALC2223!BB216&gt;1,INDIRECT(ADDRESS(MATCH(Agenda2526!C217,'CAL5'!A:A,0)+1,3,4,1,"CAL5")),0)</f>
        <v>0</v>
      </c>
      <c r="AC216" s="20" t="str">
        <f ca="1">IF(CALC2223!BB216&gt;2,INDIRECT(ADDRESS(MATCH(Agenda2526!C217,'CAL5'!A:A,0)+2,2,4,1,"CAL5")),"")</f>
        <v/>
      </c>
      <c r="AD216" s="21">
        <f ca="1">IF(CALC2223!BB216&gt;2,INDIRECT(ADDRESS(MATCH(Agenda2526!C217,'CAL5'!A:A,0)+2,3,4,1,"CAL5")),0)</f>
        <v>0</v>
      </c>
      <c r="AE216" s="20" t="str">
        <f ca="1">IF(CALC2223!BC216&gt;0,INDIRECT(ADDRESS(MATCH(Agenda2526!C217,'CAL6'!A:A,0),2,4,1,"CAL6")),"")</f>
        <v/>
      </c>
      <c r="AF216" s="21">
        <f ca="1">IF(CALC2223!BC216&gt;0,INDIRECT(ADDRESS(MATCH(Agenda2526!C217,'CAL6'!A:A,0),3,4,1,"CAL6")),0)</f>
        <v>0</v>
      </c>
      <c r="AG216" s="20" t="str">
        <f ca="1">IF(CALC2223!BC216&gt;1,INDIRECT(ADDRESS(MATCH(Agenda2526!C217,'CAL6'!A:A,0)+1,2,4,1,"CAL6")),"")</f>
        <v/>
      </c>
      <c r="AH216" s="21">
        <f ca="1">IF(CALC2223!BC216&gt;1,INDIRECT(ADDRESS(MATCH(Agenda2526!C217,'CAL6'!A:A,0)+1,3,4,1,"CAL6")),0)</f>
        <v>0</v>
      </c>
      <c r="AI216" s="20" t="str">
        <f ca="1">IF(CALC2223!BC216&gt;2,INDIRECT(ADDRESS(MATCH(Agenda2526!C217,'CAL6'!A:A,0)+2,2,4,1,"CAL6")),"")</f>
        <v/>
      </c>
      <c r="AJ216" s="21">
        <f ca="1">IF(CALC2223!BC216&gt;2,INDIRECT(ADDRESS(MATCH(Agenda2526!C217,'CAL6'!A:A,0)+2,3,4,1,"CAL6")),0)</f>
        <v>0</v>
      </c>
      <c r="AK216" s="20" t="str">
        <f ca="1">IF(CALC2223!BD216&gt;0,INDIRECT(ADDRESS(MATCH(Agenda2526!C217,'CAL7'!A:A,0),2,4,1,"CAL7")),"")</f>
        <v/>
      </c>
      <c r="AL216" s="21">
        <f ca="1">IF(CALC2223!BD216&gt;0,INDIRECT(ADDRESS(MATCH(Agenda2526!C217,'CAL7'!A:A,0),3,4,1,"CAL7")),0)</f>
        <v>0</v>
      </c>
      <c r="AM216" s="20" t="str">
        <f ca="1">IF(CALC2223!BD216&gt;1,INDIRECT(ADDRESS(MATCH(Agenda2526!C217,'CAL7'!A:A,0)+1,2,4,1,"CAL7")),"")</f>
        <v/>
      </c>
      <c r="AN216" s="21">
        <f ca="1">IF(CALC2223!BD216&gt;1,INDIRECT(ADDRESS(MATCH(Agenda2526!C217,'CAL7'!A:A,0)+1,3,4,1,"CAL7")),0)</f>
        <v>0</v>
      </c>
      <c r="AO216" s="20" t="str">
        <f ca="1">IF(CALC2223!BD216&gt;2,INDIRECT(ADDRESS(MATCH(Agenda2526!C217,'CAL7'!A:A,0)+2,2,4,1,"CAL7")),"")</f>
        <v/>
      </c>
      <c r="AP216" s="21">
        <f ca="1">IF(CALC2223!BD216&gt;2,INDIRECT(ADDRESS(MATCH(Agenda2526!C217,'CAL7'!A:A,0)+2,3,4,1,"CAL7")),0)</f>
        <v>0</v>
      </c>
      <c r="AQ216" s="20" t="str">
        <f ca="1">IF(CALC2223!BE216&gt;0,INDIRECT(ADDRESS(MATCH(Agenda2526!C217,'CAL8'!A:A,0),2,4,1,"CAL8")),"")</f>
        <v xml:space="preserve">Goede Vrijdag </v>
      </c>
      <c r="AR216" s="21">
        <f ca="1">IF(CALC2223!BE216&gt;0,INDIRECT(ADDRESS(MATCH(Agenda2526!C217,'CAL8'!A:A,0),3,4,1,"CAL8")),0)</f>
        <v>45896</v>
      </c>
      <c r="AS216" s="20" t="str">
        <f ca="1">IF(CALC2223!BE216&gt;1,INDIRECT(ADDRESS(MATCH(Agenda2526!C217,'CAL8'!A:A,0)+1,2,4,1,"CAL8")),"")</f>
        <v/>
      </c>
      <c r="AT216" s="21">
        <f ca="1">IF(CALC2223!BE216&gt;1,INDIRECT(ADDRESS(MATCH(Agenda2526!C217,'CAL8'!A:A,0)+1,3,4,1,"CAL8")),0)</f>
        <v>0</v>
      </c>
      <c r="AU216" s="20" t="str">
        <f ca="1">IF(CALC2223!BE216&gt;2,INDIRECT(ADDRESS(MATCH(Agenda2526!C217,'CAL8'!A:A,0)+2,2,4,1,"CAL8")),"")</f>
        <v/>
      </c>
      <c r="AV216" s="21">
        <f ca="1">IF(CALC2223!BE216&gt;2,INDIRECT(ADDRESS(MATCH(Agenda2526!C217,'CAL8'!A:A,0)+2,3,4,1,"CAL8")),0)</f>
        <v>0</v>
      </c>
      <c r="AW216" s="107"/>
      <c r="AX216" s="20">
        <f>COUNTIF('CAL1'!A:A,Agenda2526!C217)</f>
        <v>0</v>
      </c>
      <c r="AY216" s="20">
        <f>COUNTIF('CAL2'!A:A,Agenda2526!C217)</f>
        <v>0</v>
      </c>
      <c r="AZ216" s="20">
        <f>COUNTIF('CAL3'!A:A,Agenda2526!C217)</f>
        <v>0</v>
      </c>
      <c r="BA216" s="20">
        <f>COUNTIF('CAL4'!A:A,Agenda2526!C217)</f>
        <v>0</v>
      </c>
      <c r="BB216" s="20">
        <f>COUNTIF('CAL5'!A:A,Agenda2526!C217)</f>
        <v>0</v>
      </c>
      <c r="BC216" s="20">
        <f>COUNTIF('CAL6'!A:A,Agenda2526!C217)</f>
        <v>0</v>
      </c>
      <c r="BD216" s="20">
        <f>COUNTIF('CAL7'!A:A,Agenda2526!C217)</f>
        <v>0</v>
      </c>
      <c r="BE216" s="20">
        <f>COUNTIF('CAL8'!A:A,Agenda2526!C217)</f>
        <v>1</v>
      </c>
    </row>
    <row r="217" spans="1:57" ht="15.75" customHeight="1">
      <c r="A217" s="20" t="str">
        <f ca="1">IF(CALC2223!AX217&gt;0,INDIRECT(ADDRESS(MATCH(Agenda2526!C218,'CAL1'!A:A,0),2,4,1,"CAL1")),"")</f>
        <v/>
      </c>
      <c r="B217" s="21">
        <f ca="1">IF(CALC2223!AX217&gt;0,INDIRECT(ADDRESS(MATCH(Agenda2526!C218,'CAL1'!A:A,0),3,4,1,"CAL1")),0)</f>
        <v>0</v>
      </c>
      <c r="C217" s="20" t="str">
        <f ca="1">IF(CALC2223!AX217&gt;1,INDIRECT(ADDRESS(MATCH(Agenda2526!C218,'CAL1'!A:A,0)+1,2,4,1,"CAL1")),"")</f>
        <v/>
      </c>
      <c r="D217" s="21">
        <f ca="1">IF(CALC2223!AX217&gt;1,INDIRECT(ADDRESS(MATCH(Agenda2526!C218,'CAL1'!A:A,0)+1,3,4,1,"CAL1")),0)</f>
        <v>0</v>
      </c>
      <c r="E217" s="20" t="str">
        <f ca="1">IF(CALC2223!AX217&gt;2,INDIRECT(ADDRESS(MATCH(Agenda2526!C218,'CAL1'!A:A,0)+2,2,4,1,"CAL1")),"")</f>
        <v/>
      </c>
      <c r="F217" s="21">
        <f ca="1">IF(CALC2223!AX217&gt;2,INDIRECT(ADDRESS(MATCH(Agenda2526!C218,'CAL1'!A:A,0)+2,3,4,1,"CAL1")),0)</f>
        <v>0</v>
      </c>
      <c r="G217" s="20" t="str">
        <f ca="1">IF(CALC2223!AY217&gt;0,INDIRECT(ADDRESS(MATCH(Agenda2526!C218,'CAL2'!A:A,0),2,4,1,"CAL2")),"")</f>
        <v/>
      </c>
      <c r="H217" s="21">
        <f ca="1">IF(CALC2223!AY217&gt;0,INDIRECT(ADDRESS(MATCH(Agenda2526!C218,'CAL2'!A:A,0),3,4,1,"CAL2")),0)</f>
        <v>0</v>
      </c>
      <c r="I217" s="20" t="str">
        <f ca="1">IF(CALC2223!AY217&gt;1,INDIRECT(ADDRESS(MATCH(Agenda2526!C218,'CAL2'!A:A,0)+1,2,4,1,"CAL2")),"")</f>
        <v/>
      </c>
      <c r="J217" s="21">
        <f ca="1">IF(CALC2223!AY217&gt;1,INDIRECT(ADDRESS(MATCH(Agenda2526!C218,'CAL2'!A:A,0)+1,3,4,1,"CAL2")),0)</f>
        <v>0</v>
      </c>
      <c r="K217" s="20" t="str">
        <f ca="1">IF(CALC2223!AY217&gt;2,INDIRECT(ADDRESS(MATCH(Agenda2526!C218,'CAL2'!A:A,0)+2,2,4,1,"CAL2")),"")</f>
        <v/>
      </c>
      <c r="L217" s="21">
        <f ca="1">IF(CALC2223!AY217&gt;2,INDIRECT(ADDRESS(MATCH(Agenda2526!C218,'CAL2'!A:A,0)+2,3,4,1,"CAL2")),0)</f>
        <v>0</v>
      </c>
      <c r="M217" s="20" t="str">
        <f ca="1">IF(CALC2223!AZ217&gt;0,INDIRECT(ADDRESS(MATCH(Agenda2526!C218,'CAL3'!A:A,0),2,4,1,"CAL3")),"")</f>
        <v/>
      </c>
      <c r="N217" s="21">
        <f ca="1">IF(CALC2223!AZ217&gt;0,INDIRECT(ADDRESS(MATCH(Agenda2526!C218,'CAL3'!A:A,0),3,4,1,"CAL3")),0)</f>
        <v>0</v>
      </c>
      <c r="O217" s="20" t="str">
        <f ca="1">IF(CALC2223!AZ217&gt;1,INDIRECT(ADDRESS(MATCH(Agenda2526!C218,'CAL3'!A:A,0)+1,2,4,1,"CAL3")),"")</f>
        <v/>
      </c>
      <c r="P217" s="21">
        <f ca="1">IF(CALC2223!AZ217&gt;1,INDIRECT(ADDRESS(MATCH(Agenda2526!C218,'CAL3'!A:A,0)+1,3,4,1,"CAL3")),0)</f>
        <v>0</v>
      </c>
      <c r="Q217" s="20" t="str">
        <f ca="1">IF(CALC2223!AZ217&gt;2,INDIRECT(ADDRESS(MATCH(Agenda2526!C218,'CAL3'!A:A,0)+2,2,4,1,"CAL3")),"")</f>
        <v/>
      </c>
      <c r="R217" s="21">
        <f ca="1">IF(CALC2223!AZ217&gt;2,INDIRECT(ADDRESS(MATCH(Agenda2526!C218,'CAL3'!A:A,0)+2,3,4,1,"CAL3")),0)</f>
        <v>0</v>
      </c>
      <c r="S217" s="20" t="str">
        <f ca="1">IF(CALC2223!BA217&gt;0,INDIRECT(ADDRESS(MATCH(Agenda2526!C218,'CAL4'!A:A,0),2,4,1,"CAL4")),"")</f>
        <v/>
      </c>
      <c r="T217" s="21">
        <f ca="1">IF(CALC2223!BA217&gt;0,INDIRECT(ADDRESS(MATCH(Agenda2526!C218,'CAL4'!A:A,0),3,4,1,"CAL4")),0)</f>
        <v>0</v>
      </c>
      <c r="U217" s="20" t="str">
        <f ca="1">IF(CALC2223!BA217&gt;1,INDIRECT(ADDRESS(MATCH(Agenda2526!C218,'CAL4'!A:A,0)+1,2,4,1,"CAL4")),"")</f>
        <v/>
      </c>
      <c r="V217" s="21">
        <f ca="1">IF(CALC2223!BA217&gt;1,INDIRECT(ADDRESS(MATCH(Agenda2526!C218,'CAL4'!A:A,0)+1,3,4,1,"CAL4")),0)</f>
        <v>0</v>
      </c>
      <c r="W217" s="20" t="str">
        <f ca="1">IF(CALC2223!BA217&gt;2,INDIRECT(ADDRESS(MATCH(Agenda2526!C218,'CAL4'!A:A,0)+2,2,4,1,"CAL4")),"")</f>
        <v/>
      </c>
      <c r="X217" s="21">
        <f ca="1">IF(CALC2223!BA217&gt;2,INDIRECT(ADDRESS(MATCH(Agenda2526!C218,'CAL4'!A:A,0)+2,3,4,1,"CAL4")),0)</f>
        <v>0</v>
      </c>
      <c r="Y217" s="20" t="str">
        <f ca="1">IF(CALC2223!BB217&gt;0,INDIRECT(ADDRESS(MATCH(Agenda2526!C218,'CAL5'!A:A,0),2,4,1,"CAL5")),"")</f>
        <v/>
      </c>
      <c r="Z217" s="21">
        <f ca="1">IF(CALC2223!BB217&gt;0,INDIRECT(ADDRESS(MATCH(Agenda2526!C218,'CAL5'!A:A,0),3,4,1,"CAL5")),0)</f>
        <v>0</v>
      </c>
      <c r="AA217" s="20" t="str">
        <f ca="1">IF(CALC2223!BB217&gt;1,INDIRECT(ADDRESS(MATCH(Agenda2526!C218,'CAL5'!A:A,0)+1,2,4,1,"CAL5")),"")</f>
        <v/>
      </c>
      <c r="AB217" s="21">
        <f ca="1">IF(CALC2223!BB217&gt;1,INDIRECT(ADDRESS(MATCH(Agenda2526!C218,'CAL5'!A:A,0)+1,3,4,1,"CAL5")),0)</f>
        <v>0</v>
      </c>
      <c r="AC217" s="20" t="str">
        <f ca="1">IF(CALC2223!BB217&gt;2,INDIRECT(ADDRESS(MATCH(Agenda2526!C218,'CAL5'!A:A,0)+2,2,4,1,"CAL5")),"")</f>
        <v/>
      </c>
      <c r="AD217" s="21">
        <f ca="1">IF(CALC2223!BB217&gt;2,INDIRECT(ADDRESS(MATCH(Agenda2526!C218,'CAL5'!A:A,0)+2,3,4,1,"CAL5")),0)</f>
        <v>0</v>
      </c>
      <c r="AE217" s="20" t="str">
        <f ca="1">IF(CALC2223!BC217&gt;0,INDIRECT(ADDRESS(MATCH(Agenda2526!C218,'CAL6'!A:A,0),2,4,1,"CAL6")),"")</f>
        <v/>
      </c>
      <c r="AF217" s="21">
        <f ca="1">IF(CALC2223!BC217&gt;0,INDIRECT(ADDRESS(MATCH(Agenda2526!C218,'CAL6'!A:A,0),3,4,1,"CAL6")),0)</f>
        <v>0</v>
      </c>
      <c r="AG217" s="20" t="str">
        <f ca="1">IF(CALC2223!BC217&gt;1,INDIRECT(ADDRESS(MATCH(Agenda2526!C218,'CAL6'!A:A,0)+1,2,4,1,"CAL6")),"")</f>
        <v/>
      </c>
      <c r="AH217" s="21">
        <f ca="1">IF(CALC2223!BC217&gt;1,INDIRECT(ADDRESS(MATCH(Agenda2526!C218,'CAL6'!A:A,0)+1,3,4,1,"CAL6")),0)</f>
        <v>0</v>
      </c>
      <c r="AI217" s="20" t="str">
        <f ca="1">IF(CALC2223!BC217&gt;2,INDIRECT(ADDRESS(MATCH(Agenda2526!C218,'CAL6'!A:A,0)+2,2,4,1,"CAL6")),"")</f>
        <v/>
      </c>
      <c r="AJ217" s="21">
        <f ca="1">IF(CALC2223!BC217&gt;2,INDIRECT(ADDRESS(MATCH(Agenda2526!C218,'CAL6'!A:A,0)+2,3,4,1,"CAL6")),0)</f>
        <v>0</v>
      </c>
      <c r="AK217" s="20" t="str">
        <f ca="1">IF(CALC2223!BD217&gt;0,INDIRECT(ADDRESS(MATCH(Agenda2526!C218,'CAL7'!A:A,0),2,4,1,"CAL7")),"")</f>
        <v/>
      </c>
      <c r="AL217" s="21">
        <f ca="1">IF(CALC2223!BD217&gt;0,INDIRECT(ADDRESS(MATCH(Agenda2526!C218,'CAL7'!A:A,0),3,4,1,"CAL7")),0)</f>
        <v>0</v>
      </c>
      <c r="AM217" s="20" t="str">
        <f ca="1">IF(CALC2223!BD217&gt;1,INDIRECT(ADDRESS(MATCH(Agenda2526!C218,'CAL7'!A:A,0)+1,2,4,1,"CAL7")),"")</f>
        <v/>
      </c>
      <c r="AN217" s="21">
        <f ca="1">IF(CALC2223!BD217&gt;1,INDIRECT(ADDRESS(MATCH(Agenda2526!C218,'CAL7'!A:A,0)+1,3,4,1,"CAL7")),0)</f>
        <v>0</v>
      </c>
      <c r="AO217" s="20" t="str">
        <f ca="1">IF(CALC2223!BD217&gt;2,INDIRECT(ADDRESS(MATCH(Agenda2526!C218,'CAL7'!A:A,0)+2,2,4,1,"CAL7")),"")</f>
        <v/>
      </c>
      <c r="AP217" s="21">
        <f ca="1">IF(CALC2223!BD217&gt;2,INDIRECT(ADDRESS(MATCH(Agenda2526!C218,'CAL7'!A:A,0)+2,3,4,1,"CAL7")),0)</f>
        <v>0</v>
      </c>
      <c r="AQ217" s="20" t="str">
        <f ca="1">IF(CALC2223!BE217&gt;0,INDIRECT(ADDRESS(MATCH(Agenda2526!C218,'CAL8'!A:A,0),2,4,1,"CAL8")),"")</f>
        <v/>
      </c>
      <c r="AR217" s="21">
        <f ca="1">IF(CALC2223!BE217&gt;0,INDIRECT(ADDRESS(MATCH(Agenda2526!C218,'CAL8'!A:A,0),3,4,1,"CAL8")),0)</f>
        <v>0</v>
      </c>
      <c r="AS217" s="20" t="str">
        <f ca="1">IF(CALC2223!BE217&gt;1,INDIRECT(ADDRESS(MATCH(Agenda2526!C218,'CAL8'!A:A,0)+1,2,4,1,"CAL8")),"")</f>
        <v/>
      </c>
      <c r="AT217" s="21">
        <f ca="1">IF(CALC2223!BE217&gt;1,INDIRECT(ADDRESS(MATCH(Agenda2526!C218,'CAL8'!A:A,0)+1,3,4,1,"CAL8")),0)</f>
        <v>0</v>
      </c>
      <c r="AU217" s="20" t="str">
        <f ca="1">IF(CALC2223!BE217&gt;2,INDIRECT(ADDRESS(MATCH(Agenda2526!C218,'CAL8'!A:A,0)+2,2,4,1,"CAL8")),"")</f>
        <v/>
      </c>
      <c r="AV217" s="21">
        <f ca="1">IF(CALC2223!BE217&gt;2,INDIRECT(ADDRESS(MATCH(Agenda2526!C218,'CAL8'!A:A,0)+2,3,4,1,"CAL8")),0)</f>
        <v>0</v>
      </c>
      <c r="AW217" s="106"/>
      <c r="AX217" s="20">
        <f>COUNTIF('CAL1'!A:A,Agenda2526!C218)</f>
        <v>0</v>
      </c>
      <c r="AY217" s="20">
        <f>COUNTIF('CAL2'!A:A,Agenda2526!C218)</f>
        <v>0</v>
      </c>
      <c r="AZ217" s="20">
        <f>COUNTIF('CAL3'!A:A,Agenda2526!C218)</f>
        <v>0</v>
      </c>
      <c r="BA217" s="20">
        <f>COUNTIF('CAL4'!A:A,Agenda2526!C218)</f>
        <v>0</v>
      </c>
      <c r="BB217" s="20">
        <f>COUNTIF('CAL5'!A:A,Agenda2526!C218)</f>
        <v>0</v>
      </c>
      <c r="BC217" s="20">
        <f>COUNTIF('CAL6'!A:A,Agenda2526!C218)</f>
        <v>0</v>
      </c>
      <c r="BD217" s="20">
        <f>COUNTIF('CAL7'!A:A,Agenda2526!C218)</f>
        <v>0</v>
      </c>
      <c r="BE217" s="20">
        <f>COUNTIF('CAL8'!A:A,Agenda2526!C218)</f>
        <v>0</v>
      </c>
    </row>
    <row r="218" spans="1:57" ht="15.75" customHeight="1">
      <c r="A218" s="20" t="str">
        <f ca="1">IF(CALC2223!AX218&gt;0,INDIRECT(ADDRESS(MATCH(Agenda2526!C219,'CAL1'!A:A,0),2,4,1,"CAL1")),"")</f>
        <v/>
      </c>
      <c r="B218" s="21">
        <f ca="1">IF(CALC2223!AX218&gt;0,INDIRECT(ADDRESS(MATCH(Agenda2526!C219,'CAL1'!A:A,0),3,4,1,"CAL1")),0)</f>
        <v>0</v>
      </c>
      <c r="C218" s="20" t="str">
        <f ca="1">IF(CALC2223!AX218&gt;1,INDIRECT(ADDRESS(MATCH(Agenda2526!C219,'CAL1'!A:A,0)+1,2,4,1,"CAL1")),"")</f>
        <v/>
      </c>
      <c r="D218" s="21">
        <f ca="1">IF(CALC2223!AX218&gt;1,INDIRECT(ADDRESS(MATCH(Agenda2526!C219,'CAL1'!A:A,0)+1,3,4,1,"CAL1")),0)</f>
        <v>0</v>
      </c>
      <c r="E218" s="20" t="str">
        <f ca="1">IF(CALC2223!AX218&gt;2,INDIRECT(ADDRESS(MATCH(Agenda2526!C219,'CAL1'!A:A,0)+2,2,4,1,"CAL1")),"")</f>
        <v/>
      </c>
      <c r="F218" s="21">
        <f ca="1">IF(CALC2223!AX218&gt;2,INDIRECT(ADDRESS(MATCH(Agenda2526!C219,'CAL1'!A:A,0)+2,3,4,1,"CAL1")),0)</f>
        <v>0</v>
      </c>
      <c r="G218" s="20" t="str">
        <f ca="1">IF(CALC2223!AY218&gt;0,INDIRECT(ADDRESS(MATCH(Agenda2526!C219,'CAL2'!A:A,0),2,4,1,"CAL2")),"")</f>
        <v/>
      </c>
      <c r="H218" s="21">
        <f ca="1">IF(CALC2223!AY218&gt;0,INDIRECT(ADDRESS(MATCH(Agenda2526!C219,'CAL2'!A:A,0),3,4,1,"CAL2")),0)</f>
        <v>0</v>
      </c>
      <c r="I218" s="20" t="str">
        <f ca="1">IF(CALC2223!AY218&gt;1,INDIRECT(ADDRESS(MATCH(Agenda2526!C219,'CAL2'!A:A,0)+1,2,4,1,"CAL2")),"")</f>
        <v/>
      </c>
      <c r="J218" s="21">
        <f ca="1">IF(CALC2223!AY218&gt;1,INDIRECT(ADDRESS(MATCH(Agenda2526!C219,'CAL2'!A:A,0)+1,3,4,1,"CAL2")),0)</f>
        <v>0</v>
      </c>
      <c r="K218" s="20" t="str">
        <f ca="1">IF(CALC2223!AY218&gt;2,INDIRECT(ADDRESS(MATCH(Agenda2526!C219,'CAL2'!A:A,0)+2,2,4,1,"CAL2")),"")</f>
        <v/>
      </c>
      <c r="L218" s="21">
        <f ca="1">IF(CALC2223!AY218&gt;2,INDIRECT(ADDRESS(MATCH(Agenda2526!C219,'CAL2'!A:A,0)+2,3,4,1,"CAL2")),0)</f>
        <v>0</v>
      </c>
      <c r="M218" s="20" t="str">
        <f ca="1">IF(CALC2223!AZ218&gt;0,INDIRECT(ADDRESS(MATCH(Agenda2526!C219,'CAL3'!A:A,0),2,4,1,"CAL3")),"")</f>
        <v/>
      </c>
      <c r="N218" s="21">
        <f ca="1">IF(CALC2223!AZ218&gt;0,INDIRECT(ADDRESS(MATCH(Agenda2526!C219,'CAL3'!A:A,0),3,4,1,"CAL3")),0)</f>
        <v>0</v>
      </c>
      <c r="O218" s="20" t="str">
        <f ca="1">IF(CALC2223!AZ218&gt;1,INDIRECT(ADDRESS(MATCH(Agenda2526!C219,'CAL3'!A:A,0)+1,2,4,1,"CAL3")),"")</f>
        <v/>
      </c>
      <c r="P218" s="21">
        <f ca="1">IF(CALC2223!AZ218&gt;1,INDIRECT(ADDRESS(MATCH(Agenda2526!C219,'CAL3'!A:A,0)+1,3,4,1,"CAL3")),0)</f>
        <v>0</v>
      </c>
      <c r="Q218" s="20" t="str">
        <f ca="1">IF(CALC2223!AZ218&gt;2,INDIRECT(ADDRESS(MATCH(Agenda2526!C219,'CAL3'!A:A,0)+2,2,4,1,"CAL3")),"")</f>
        <v/>
      </c>
      <c r="R218" s="21">
        <f ca="1">IF(CALC2223!AZ218&gt;2,INDIRECT(ADDRESS(MATCH(Agenda2526!C219,'CAL3'!A:A,0)+2,3,4,1,"CAL3")),0)</f>
        <v>0</v>
      </c>
      <c r="S218" s="20" t="str">
        <f ca="1">IF(CALC2223!BA218&gt;0,INDIRECT(ADDRESS(MATCH(Agenda2526!C219,'CAL4'!A:A,0),2,4,1,"CAL4")),"")</f>
        <v/>
      </c>
      <c r="T218" s="21">
        <f ca="1">IF(CALC2223!BA218&gt;0,INDIRECT(ADDRESS(MATCH(Agenda2526!C219,'CAL4'!A:A,0),3,4,1,"CAL4")),0)</f>
        <v>0</v>
      </c>
      <c r="U218" s="20" t="str">
        <f ca="1">IF(CALC2223!BA218&gt;1,INDIRECT(ADDRESS(MATCH(Agenda2526!C219,'CAL4'!A:A,0)+1,2,4,1,"CAL4")),"")</f>
        <v/>
      </c>
      <c r="V218" s="21">
        <f ca="1">IF(CALC2223!BA218&gt;1,INDIRECT(ADDRESS(MATCH(Agenda2526!C219,'CAL4'!A:A,0)+1,3,4,1,"CAL4")),0)</f>
        <v>0</v>
      </c>
      <c r="W218" s="20" t="str">
        <f ca="1">IF(CALC2223!BA218&gt;2,INDIRECT(ADDRESS(MATCH(Agenda2526!C219,'CAL4'!A:A,0)+2,2,4,1,"CAL4")),"")</f>
        <v/>
      </c>
      <c r="X218" s="21">
        <f ca="1">IF(CALC2223!BA218&gt;2,INDIRECT(ADDRESS(MATCH(Agenda2526!C219,'CAL4'!A:A,0)+2,3,4,1,"CAL4")),0)</f>
        <v>0</v>
      </c>
      <c r="Y218" s="20" t="str">
        <f ca="1">IF(CALC2223!BB218&gt;0,INDIRECT(ADDRESS(MATCH(Agenda2526!C219,'CAL5'!A:A,0),2,4,1,"CAL5")),"")</f>
        <v/>
      </c>
      <c r="Z218" s="21">
        <f ca="1">IF(CALC2223!BB218&gt;0,INDIRECT(ADDRESS(MATCH(Agenda2526!C219,'CAL5'!A:A,0),3,4,1,"CAL5")),0)</f>
        <v>0</v>
      </c>
      <c r="AA218" s="20" t="str">
        <f ca="1">IF(CALC2223!BB218&gt;1,INDIRECT(ADDRESS(MATCH(Agenda2526!C219,'CAL5'!A:A,0)+1,2,4,1,"CAL5")),"")</f>
        <v/>
      </c>
      <c r="AB218" s="21">
        <f ca="1">IF(CALC2223!BB218&gt;1,INDIRECT(ADDRESS(MATCH(Agenda2526!C219,'CAL5'!A:A,0)+1,3,4,1,"CAL5")),0)</f>
        <v>0</v>
      </c>
      <c r="AC218" s="20" t="str">
        <f ca="1">IF(CALC2223!BB218&gt;2,INDIRECT(ADDRESS(MATCH(Agenda2526!C219,'CAL5'!A:A,0)+2,2,4,1,"CAL5")),"")</f>
        <v/>
      </c>
      <c r="AD218" s="21">
        <f ca="1">IF(CALC2223!BB218&gt;2,INDIRECT(ADDRESS(MATCH(Agenda2526!C219,'CAL5'!A:A,0)+2,3,4,1,"CAL5")),0)</f>
        <v>0</v>
      </c>
      <c r="AE218" s="20" t="str">
        <f ca="1">IF(CALC2223!BC218&gt;0,INDIRECT(ADDRESS(MATCH(Agenda2526!C219,'CAL6'!A:A,0),2,4,1,"CAL6")),"")</f>
        <v/>
      </c>
      <c r="AF218" s="21">
        <f ca="1">IF(CALC2223!BC218&gt;0,INDIRECT(ADDRESS(MATCH(Agenda2526!C219,'CAL6'!A:A,0),3,4,1,"CAL6")),0)</f>
        <v>0</v>
      </c>
      <c r="AG218" s="20" t="str">
        <f ca="1">IF(CALC2223!BC218&gt;1,INDIRECT(ADDRESS(MATCH(Agenda2526!C219,'CAL6'!A:A,0)+1,2,4,1,"CAL6")),"")</f>
        <v/>
      </c>
      <c r="AH218" s="21">
        <f ca="1">IF(CALC2223!BC218&gt;1,INDIRECT(ADDRESS(MATCH(Agenda2526!C219,'CAL6'!A:A,0)+1,3,4,1,"CAL6")),0)</f>
        <v>0</v>
      </c>
      <c r="AI218" s="20" t="str">
        <f ca="1">IF(CALC2223!BC218&gt;2,INDIRECT(ADDRESS(MATCH(Agenda2526!C219,'CAL6'!A:A,0)+2,2,4,1,"CAL6")),"")</f>
        <v/>
      </c>
      <c r="AJ218" s="21">
        <f ca="1">IF(CALC2223!BC218&gt;2,INDIRECT(ADDRESS(MATCH(Agenda2526!C219,'CAL6'!A:A,0)+2,3,4,1,"CAL6")),0)</f>
        <v>0</v>
      </c>
      <c r="AK218" s="20" t="str">
        <f ca="1">IF(CALC2223!BD218&gt;0,INDIRECT(ADDRESS(MATCH(Agenda2526!C219,'CAL7'!A:A,0),2,4,1,"CAL7")),"")</f>
        <v/>
      </c>
      <c r="AL218" s="21">
        <f ca="1">IF(CALC2223!BD218&gt;0,INDIRECT(ADDRESS(MATCH(Agenda2526!C219,'CAL7'!A:A,0),3,4,1,"CAL7")),0)</f>
        <v>0</v>
      </c>
      <c r="AM218" s="20" t="str">
        <f ca="1">IF(CALC2223!BD218&gt;1,INDIRECT(ADDRESS(MATCH(Agenda2526!C219,'CAL7'!A:A,0)+1,2,4,1,"CAL7")),"")</f>
        <v/>
      </c>
      <c r="AN218" s="21">
        <f ca="1">IF(CALC2223!BD218&gt;1,INDIRECT(ADDRESS(MATCH(Agenda2526!C219,'CAL7'!A:A,0)+1,3,4,1,"CAL7")),0)</f>
        <v>0</v>
      </c>
      <c r="AO218" s="20" t="str">
        <f ca="1">IF(CALC2223!BD218&gt;2,INDIRECT(ADDRESS(MATCH(Agenda2526!C219,'CAL7'!A:A,0)+2,2,4,1,"CAL7")),"")</f>
        <v/>
      </c>
      <c r="AP218" s="21">
        <f ca="1">IF(CALC2223!BD218&gt;2,INDIRECT(ADDRESS(MATCH(Agenda2526!C219,'CAL7'!A:A,0)+2,3,4,1,"CAL7")),0)</f>
        <v>0</v>
      </c>
      <c r="AQ218" s="20" t="str">
        <f ca="1">IF(CALC2223!BE218&gt;0,INDIRECT(ADDRESS(MATCH(Agenda2526!C219,'CAL8'!A:A,0),2,4,1,"CAL8")),"")</f>
        <v>Eerste Paasdag</v>
      </c>
      <c r="AR218" s="21">
        <f ca="1">IF(CALC2223!BE218&gt;0,INDIRECT(ADDRESS(MATCH(Agenda2526!C219,'CAL8'!A:A,0),3,4,1,"CAL8")),0)</f>
        <v>45896</v>
      </c>
      <c r="AS218" s="20" t="str">
        <f ca="1">IF(CALC2223!BE218&gt;1,INDIRECT(ADDRESS(MATCH(Agenda2526!C219,'CAL8'!A:A,0)+1,2,4,1,"CAL8")),"")</f>
        <v/>
      </c>
      <c r="AT218" s="21">
        <f ca="1">IF(CALC2223!BE218&gt;1,INDIRECT(ADDRESS(MATCH(Agenda2526!C219,'CAL8'!A:A,0)+1,3,4,1,"CAL8")),0)</f>
        <v>0</v>
      </c>
      <c r="AU218" s="20" t="str">
        <f ca="1">IF(CALC2223!BE218&gt;2,INDIRECT(ADDRESS(MATCH(Agenda2526!C219,'CAL8'!A:A,0)+2,2,4,1,"CAL8")),"")</f>
        <v/>
      </c>
      <c r="AV218" s="21">
        <f ca="1">IF(CALC2223!BE218&gt;2,INDIRECT(ADDRESS(MATCH(Agenda2526!C219,'CAL8'!A:A,0)+2,3,4,1,"CAL8")),0)</f>
        <v>0</v>
      </c>
      <c r="AW218" s="110"/>
      <c r="AX218" s="20">
        <f>COUNTIF('CAL1'!A:A,Agenda2526!C219)</f>
        <v>0</v>
      </c>
      <c r="AY218" s="20">
        <f>COUNTIF('CAL2'!A:A,Agenda2526!C219)</f>
        <v>0</v>
      </c>
      <c r="AZ218" s="20">
        <f>COUNTIF('CAL3'!A:A,Agenda2526!C219)</f>
        <v>0</v>
      </c>
      <c r="BA218" s="20">
        <f>COUNTIF('CAL4'!A:A,Agenda2526!C219)</f>
        <v>0</v>
      </c>
      <c r="BB218" s="20">
        <f>COUNTIF('CAL5'!A:A,Agenda2526!C219)</f>
        <v>0</v>
      </c>
      <c r="BC218" s="20">
        <f>COUNTIF('CAL6'!A:A,Agenda2526!C219)</f>
        <v>0</v>
      </c>
      <c r="BD218" s="20">
        <f>COUNTIF('CAL7'!A:A,Agenda2526!C219)</f>
        <v>0</v>
      </c>
      <c r="BE218" s="20">
        <f>COUNTIF('CAL8'!A:A,Agenda2526!C219)</f>
        <v>1</v>
      </c>
    </row>
    <row r="219" spans="1:57" ht="15.75" customHeight="1">
      <c r="A219" s="20" t="str">
        <f ca="1">IF(CALC2223!AX219&gt;0,INDIRECT(ADDRESS(MATCH(Agenda2526!C220,'CAL1'!A:A,0),2,4,1,"CAL1")),"")</f>
        <v/>
      </c>
      <c r="B219" s="21">
        <f ca="1">IF(CALC2223!AX219&gt;0,INDIRECT(ADDRESS(MATCH(Agenda2526!C220,'CAL1'!A:A,0),3,4,1,"CAL1")),0)</f>
        <v>0</v>
      </c>
      <c r="C219" s="20" t="str">
        <f ca="1">IF(CALC2223!AX219&gt;1,INDIRECT(ADDRESS(MATCH(Agenda2526!C220,'CAL1'!A:A,0)+1,2,4,1,"CAL1")),"")</f>
        <v/>
      </c>
      <c r="D219" s="21">
        <f ca="1">IF(CALC2223!AX219&gt;1,INDIRECT(ADDRESS(MATCH(Agenda2526!C220,'CAL1'!A:A,0)+1,3,4,1,"CAL1")),0)</f>
        <v>0</v>
      </c>
      <c r="E219" s="20" t="str">
        <f ca="1">IF(CALC2223!AX219&gt;2,INDIRECT(ADDRESS(MATCH(Agenda2526!C220,'CAL1'!A:A,0)+2,2,4,1,"CAL1")),"")</f>
        <v/>
      </c>
      <c r="F219" s="21">
        <f ca="1">IF(CALC2223!AX219&gt;2,INDIRECT(ADDRESS(MATCH(Agenda2526!C220,'CAL1'!A:A,0)+2,3,4,1,"CAL1")),0)</f>
        <v>0</v>
      </c>
      <c r="G219" s="20" t="str">
        <f ca="1">IF(CALC2223!AY219&gt;0,INDIRECT(ADDRESS(MATCH(Agenda2526!C220,'CAL2'!A:A,0),2,4,1,"CAL2")),"")</f>
        <v/>
      </c>
      <c r="H219" s="21">
        <f ca="1">IF(CALC2223!AY219&gt;0,INDIRECT(ADDRESS(MATCH(Agenda2526!C220,'CAL2'!A:A,0),3,4,1,"CAL2")),0)</f>
        <v>0</v>
      </c>
      <c r="I219" s="20" t="str">
        <f ca="1">IF(CALC2223!AY219&gt;1,INDIRECT(ADDRESS(MATCH(Agenda2526!C220,'CAL2'!A:A,0)+1,2,4,1,"CAL2")),"")</f>
        <v/>
      </c>
      <c r="J219" s="21">
        <f ca="1">IF(CALC2223!AY219&gt;1,INDIRECT(ADDRESS(MATCH(Agenda2526!C220,'CAL2'!A:A,0)+1,3,4,1,"CAL2")),0)</f>
        <v>0</v>
      </c>
      <c r="K219" s="20" t="str">
        <f ca="1">IF(CALC2223!AY219&gt;2,INDIRECT(ADDRESS(MATCH(Agenda2526!C220,'CAL2'!A:A,0)+2,2,4,1,"CAL2")),"")</f>
        <v/>
      </c>
      <c r="L219" s="21">
        <f ca="1">IF(CALC2223!AY219&gt;2,INDIRECT(ADDRESS(MATCH(Agenda2526!C220,'CAL2'!A:A,0)+2,3,4,1,"CAL2")),0)</f>
        <v>0</v>
      </c>
      <c r="M219" s="20" t="str">
        <f ca="1">IF(CALC2223!AZ219&gt;0,INDIRECT(ADDRESS(MATCH(Agenda2526!C220,'CAL3'!A:A,0),2,4,1,"CAL3")),"")</f>
        <v/>
      </c>
      <c r="N219" s="21">
        <f ca="1">IF(CALC2223!AZ219&gt;0,INDIRECT(ADDRESS(MATCH(Agenda2526!C220,'CAL3'!A:A,0),3,4,1,"CAL3")),0)</f>
        <v>0</v>
      </c>
      <c r="O219" s="20" t="str">
        <f ca="1">IF(CALC2223!AZ219&gt;1,INDIRECT(ADDRESS(MATCH(Agenda2526!C220,'CAL3'!A:A,0)+1,2,4,1,"CAL3")),"")</f>
        <v/>
      </c>
      <c r="P219" s="21">
        <f ca="1">IF(CALC2223!AZ219&gt;1,INDIRECT(ADDRESS(MATCH(Agenda2526!C220,'CAL3'!A:A,0)+1,3,4,1,"CAL3")),0)</f>
        <v>0</v>
      </c>
      <c r="Q219" s="20" t="str">
        <f ca="1">IF(CALC2223!AZ219&gt;2,INDIRECT(ADDRESS(MATCH(Agenda2526!C220,'CAL3'!A:A,0)+2,2,4,1,"CAL3")),"")</f>
        <v/>
      </c>
      <c r="R219" s="21">
        <f ca="1">IF(CALC2223!AZ219&gt;2,INDIRECT(ADDRESS(MATCH(Agenda2526!C220,'CAL3'!A:A,0)+2,3,4,1,"CAL3")),0)</f>
        <v>0</v>
      </c>
      <c r="S219" s="20" t="str">
        <f ca="1">IF(CALC2223!BA219&gt;0,INDIRECT(ADDRESS(MATCH(Agenda2526!C220,'CAL4'!A:A,0),2,4,1,"CAL4")),"")</f>
        <v/>
      </c>
      <c r="T219" s="21">
        <f ca="1">IF(CALC2223!BA219&gt;0,INDIRECT(ADDRESS(MATCH(Agenda2526!C220,'CAL4'!A:A,0),3,4,1,"CAL4")),0)</f>
        <v>0</v>
      </c>
      <c r="U219" s="20" t="str">
        <f ca="1">IF(CALC2223!BA219&gt;1,INDIRECT(ADDRESS(MATCH(Agenda2526!C220,'CAL4'!A:A,0)+1,2,4,1,"CAL4")),"")</f>
        <v/>
      </c>
      <c r="V219" s="21">
        <f ca="1">IF(CALC2223!BA219&gt;1,INDIRECT(ADDRESS(MATCH(Agenda2526!C220,'CAL4'!A:A,0)+1,3,4,1,"CAL4")),0)</f>
        <v>0</v>
      </c>
      <c r="W219" s="20" t="str">
        <f ca="1">IF(CALC2223!BA219&gt;2,INDIRECT(ADDRESS(MATCH(Agenda2526!C220,'CAL4'!A:A,0)+2,2,4,1,"CAL4")),"")</f>
        <v/>
      </c>
      <c r="X219" s="21">
        <f ca="1">IF(CALC2223!BA219&gt;2,INDIRECT(ADDRESS(MATCH(Agenda2526!C220,'CAL4'!A:A,0)+2,3,4,1,"CAL4")),0)</f>
        <v>0</v>
      </c>
      <c r="Y219" s="20" t="str">
        <f ca="1">IF(CALC2223!BB219&gt;0,INDIRECT(ADDRESS(MATCH(Agenda2526!C220,'CAL5'!A:A,0),2,4,1,"CAL5")),"")</f>
        <v/>
      </c>
      <c r="Z219" s="21">
        <f ca="1">IF(CALC2223!BB219&gt;0,INDIRECT(ADDRESS(MATCH(Agenda2526!C220,'CAL5'!A:A,0),3,4,1,"CAL5")),0)</f>
        <v>0</v>
      </c>
      <c r="AA219" s="20" t="str">
        <f ca="1">IF(CALC2223!BB219&gt;1,INDIRECT(ADDRESS(MATCH(Agenda2526!C220,'CAL5'!A:A,0)+1,2,4,1,"CAL5")),"")</f>
        <v/>
      </c>
      <c r="AB219" s="21">
        <f ca="1">IF(CALC2223!BB219&gt;1,INDIRECT(ADDRESS(MATCH(Agenda2526!C220,'CAL5'!A:A,0)+1,3,4,1,"CAL5")),0)</f>
        <v>0</v>
      </c>
      <c r="AC219" s="20" t="str">
        <f ca="1">IF(CALC2223!BB219&gt;2,INDIRECT(ADDRESS(MATCH(Agenda2526!C220,'CAL5'!A:A,0)+2,2,4,1,"CAL5")),"")</f>
        <v/>
      </c>
      <c r="AD219" s="21">
        <f ca="1">IF(CALC2223!BB219&gt;2,INDIRECT(ADDRESS(MATCH(Agenda2526!C220,'CAL5'!A:A,0)+2,3,4,1,"CAL5")),0)</f>
        <v>0</v>
      </c>
      <c r="AE219" s="20" t="str">
        <f ca="1">IF(CALC2223!BC219&gt;0,INDIRECT(ADDRESS(MATCH(Agenda2526!C220,'CAL6'!A:A,0),2,4,1,"CAL6")),"")</f>
        <v/>
      </c>
      <c r="AF219" s="21">
        <f ca="1">IF(CALC2223!BC219&gt;0,INDIRECT(ADDRESS(MATCH(Agenda2526!C220,'CAL6'!A:A,0),3,4,1,"CAL6")),0)</f>
        <v>0</v>
      </c>
      <c r="AG219" s="20" t="str">
        <f ca="1">IF(CALC2223!BC219&gt;1,INDIRECT(ADDRESS(MATCH(Agenda2526!C220,'CAL6'!A:A,0)+1,2,4,1,"CAL6")),"")</f>
        <v/>
      </c>
      <c r="AH219" s="21">
        <f ca="1">IF(CALC2223!BC219&gt;1,INDIRECT(ADDRESS(MATCH(Agenda2526!C220,'CAL6'!A:A,0)+1,3,4,1,"CAL6")),0)</f>
        <v>0</v>
      </c>
      <c r="AI219" s="20" t="str">
        <f ca="1">IF(CALC2223!BC219&gt;2,INDIRECT(ADDRESS(MATCH(Agenda2526!C220,'CAL6'!A:A,0)+2,2,4,1,"CAL6")),"")</f>
        <v/>
      </c>
      <c r="AJ219" s="21">
        <f ca="1">IF(CALC2223!BC219&gt;2,INDIRECT(ADDRESS(MATCH(Agenda2526!C220,'CAL6'!A:A,0)+2,3,4,1,"CAL6")),0)</f>
        <v>0</v>
      </c>
      <c r="AK219" s="20" t="str">
        <f ca="1">IF(CALC2223!BD219&gt;0,INDIRECT(ADDRESS(MATCH(Agenda2526!C220,'CAL7'!A:A,0),2,4,1,"CAL7")),"")</f>
        <v/>
      </c>
      <c r="AL219" s="21">
        <f ca="1">IF(CALC2223!BD219&gt;0,INDIRECT(ADDRESS(MATCH(Agenda2526!C220,'CAL7'!A:A,0),3,4,1,"CAL7")),0)</f>
        <v>0</v>
      </c>
      <c r="AM219" s="20" t="str">
        <f ca="1">IF(CALC2223!BD219&gt;1,INDIRECT(ADDRESS(MATCH(Agenda2526!C220,'CAL7'!A:A,0)+1,2,4,1,"CAL7")),"")</f>
        <v/>
      </c>
      <c r="AN219" s="21">
        <f ca="1">IF(CALC2223!BD219&gt;1,INDIRECT(ADDRESS(MATCH(Agenda2526!C220,'CAL7'!A:A,0)+1,3,4,1,"CAL7")),0)</f>
        <v>0</v>
      </c>
      <c r="AO219" s="20" t="str">
        <f ca="1">IF(CALC2223!BD219&gt;2,INDIRECT(ADDRESS(MATCH(Agenda2526!C220,'CAL7'!A:A,0)+2,2,4,1,"CAL7")),"")</f>
        <v/>
      </c>
      <c r="AP219" s="21">
        <f ca="1">IF(CALC2223!BD219&gt;2,INDIRECT(ADDRESS(MATCH(Agenda2526!C220,'CAL7'!A:A,0)+2,3,4,1,"CAL7")),0)</f>
        <v>0</v>
      </c>
      <c r="AQ219" s="20" t="str">
        <f ca="1">IF(CALC2223!BE219&gt;0,INDIRECT(ADDRESS(MATCH(Agenda2526!C220,'CAL8'!A:A,0),2,4,1,"CAL8")),"")</f>
        <v>Tweede Paasdag</v>
      </c>
      <c r="AR219" s="21">
        <f ca="1">IF(CALC2223!BE219&gt;0,INDIRECT(ADDRESS(MATCH(Agenda2526!C220,'CAL8'!A:A,0),3,4,1,"CAL8")),0)</f>
        <v>45896</v>
      </c>
      <c r="AS219" s="20" t="str">
        <f ca="1">IF(CALC2223!BE219&gt;1,INDIRECT(ADDRESS(MATCH(Agenda2526!C220,'CAL8'!A:A,0)+1,2,4,1,"CAL8")),"")</f>
        <v/>
      </c>
      <c r="AT219" s="21">
        <f ca="1">IF(CALC2223!BE219&gt;1,INDIRECT(ADDRESS(MATCH(Agenda2526!C220,'CAL8'!A:A,0)+1,3,4,1,"CAL8")),0)</f>
        <v>0</v>
      </c>
      <c r="AU219" s="20" t="str">
        <f ca="1">IF(CALC2223!BE219&gt;2,INDIRECT(ADDRESS(MATCH(Agenda2526!C220,'CAL8'!A:A,0)+2,2,4,1,"CAL8")),"")</f>
        <v/>
      </c>
      <c r="AV219" s="21">
        <f ca="1">IF(CALC2223!BE219&gt;2,INDIRECT(ADDRESS(MATCH(Agenda2526!C220,'CAL8'!A:A,0)+2,3,4,1,"CAL8")),0)</f>
        <v>0</v>
      </c>
      <c r="AW219" s="110"/>
      <c r="AX219" s="20">
        <f>COUNTIF('CAL1'!A:A,Agenda2526!C220)</f>
        <v>0</v>
      </c>
      <c r="AY219" s="20">
        <f>COUNTIF('CAL2'!A:A,Agenda2526!C220)</f>
        <v>0</v>
      </c>
      <c r="AZ219" s="20">
        <f>COUNTIF('CAL3'!A:A,Agenda2526!C220)</f>
        <v>0</v>
      </c>
      <c r="BA219" s="20">
        <f>COUNTIF('CAL4'!A:A,Agenda2526!C220)</f>
        <v>0</v>
      </c>
      <c r="BB219" s="20">
        <f>COUNTIF('CAL5'!A:A,Agenda2526!C220)</f>
        <v>0</v>
      </c>
      <c r="BC219" s="20">
        <f>COUNTIF('CAL6'!A:A,Agenda2526!C220)</f>
        <v>0</v>
      </c>
      <c r="BD219" s="20">
        <f>COUNTIF('CAL7'!A:A,Agenda2526!C220)</f>
        <v>0</v>
      </c>
      <c r="BE219" s="20">
        <f>COUNTIF('CAL8'!A:A,Agenda2526!C220)</f>
        <v>1</v>
      </c>
    </row>
    <row r="220" spans="1:57" ht="15.75" customHeight="1">
      <c r="A220" s="20" t="str">
        <f ca="1">IF(CALC2223!AX220&gt;0,INDIRECT(ADDRESS(MATCH(Agenda2526!C221,'CAL1'!A:A,0),2,4,1,"CAL1")),"")</f>
        <v/>
      </c>
      <c r="B220" s="21">
        <f ca="1">IF(CALC2223!AX220&gt;0,INDIRECT(ADDRESS(MATCH(Agenda2526!C221,'CAL1'!A:A,0),3,4,1,"CAL1")),0)</f>
        <v>0</v>
      </c>
      <c r="C220" s="20" t="str">
        <f ca="1">IF(CALC2223!AX220&gt;1,INDIRECT(ADDRESS(MATCH(Agenda2526!C221,'CAL1'!A:A,0)+1,2,4,1,"CAL1")),"")</f>
        <v/>
      </c>
      <c r="D220" s="21">
        <f ca="1">IF(CALC2223!AX220&gt;1,INDIRECT(ADDRESS(MATCH(Agenda2526!C221,'CAL1'!A:A,0)+1,3,4,1,"CAL1")),0)</f>
        <v>0</v>
      </c>
      <c r="E220" s="20" t="str">
        <f ca="1">IF(CALC2223!AX220&gt;2,INDIRECT(ADDRESS(MATCH(Agenda2526!C221,'CAL1'!A:A,0)+2,2,4,1,"CAL1")),"")</f>
        <v/>
      </c>
      <c r="F220" s="21">
        <f ca="1">IF(CALC2223!AX220&gt;2,INDIRECT(ADDRESS(MATCH(Agenda2526!C221,'CAL1'!A:A,0)+2,3,4,1,"CAL1")),0)</f>
        <v>0</v>
      </c>
      <c r="G220" s="20" t="str">
        <f ca="1">IF(CALC2223!AY220&gt;0,INDIRECT(ADDRESS(MATCH(Agenda2526!C221,'CAL2'!A:A,0),2,4,1,"CAL2")),"")</f>
        <v/>
      </c>
      <c r="H220" s="21">
        <f ca="1">IF(CALC2223!AY220&gt;0,INDIRECT(ADDRESS(MATCH(Agenda2526!C221,'CAL2'!A:A,0),3,4,1,"CAL2")),0)</f>
        <v>0</v>
      </c>
      <c r="I220" s="20" t="str">
        <f ca="1">IF(CALC2223!AY220&gt;1,INDIRECT(ADDRESS(MATCH(Agenda2526!C221,'CAL2'!A:A,0)+1,2,4,1,"CAL2")),"")</f>
        <v/>
      </c>
      <c r="J220" s="21">
        <f ca="1">IF(CALC2223!AY220&gt;1,INDIRECT(ADDRESS(MATCH(Agenda2526!C221,'CAL2'!A:A,0)+1,3,4,1,"CAL2")),0)</f>
        <v>0</v>
      </c>
      <c r="K220" s="20" t="str">
        <f ca="1">IF(CALC2223!AY220&gt;2,INDIRECT(ADDRESS(MATCH(Agenda2526!C221,'CAL2'!A:A,0)+2,2,4,1,"CAL2")),"")</f>
        <v/>
      </c>
      <c r="L220" s="21">
        <f ca="1">IF(CALC2223!AY220&gt;2,INDIRECT(ADDRESS(MATCH(Agenda2526!C221,'CAL2'!A:A,0)+2,3,4,1,"CAL2")),0)</f>
        <v>0</v>
      </c>
      <c r="M220" s="20" t="str">
        <f ca="1">IF(CALC2223!AZ220&gt;0,INDIRECT(ADDRESS(MATCH(Agenda2526!C221,'CAL3'!A:A,0),2,4,1,"CAL3")),"")</f>
        <v>definitieve profielkeuze</v>
      </c>
      <c r="N220" s="21">
        <f ca="1">IF(CALC2223!AZ220&gt;0,INDIRECT(ADDRESS(MATCH(Agenda2526!C221,'CAL3'!A:A,0),3,4,1,"CAL3")),0)</f>
        <v>45896</v>
      </c>
      <c r="O220" s="20" t="str">
        <f ca="1">IF(CALC2223!AZ220&gt;1,INDIRECT(ADDRESS(MATCH(Agenda2526!C221,'CAL3'!A:A,0)+1,2,4,1,"CAL3")),"")</f>
        <v/>
      </c>
      <c r="P220" s="21">
        <f ca="1">IF(CALC2223!AZ220&gt;1,INDIRECT(ADDRESS(MATCH(Agenda2526!C221,'CAL3'!A:A,0)+1,3,4,1,"CAL3")),0)</f>
        <v>0</v>
      </c>
      <c r="Q220" s="20" t="str">
        <f ca="1">IF(CALC2223!AZ220&gt;2,INDIRECT(ADDRESS(MATCH(Agenda2526!C221,'CAL3'!A:A,0)+2,2,4,1,"CAL3")),"")</f>
        <v/>
      </c>
      <c r="R220" s="21">
        <f ca="1">IF(CALC2223!AZ220&gt;2,INDIRECT(ADDRESS(MATCH(Agenda2526!C221,'CAL3'!A:A,0)+2,3,4,1,"CAL3")),0)</f>
        <v>0</v>
      </c>
      <c r="S220" s="20" t="str">
        <f ca="1">IF(CALC2223!BA220&gt;0,INDIRECT(ADDRESS(MATCH(Agenda2526!C221,'CAL4'!A:A,0),2,4,1,"CAL4")),"")</f>
        <v>definitieve profielkeuze</v>
      </c>
      <c r="T220" s="21">
        <f ca="1">IF(CALC2223!BA220&gt;0,INDIRECT(ADDRESS(MATCH(Agenda2526!C221,'CAL4'!A:A,0),3,4,1,"CAL4")),0)</f>
        <v>45965</v>
      </c>
      <c r="U220" s="20" t="str">
        <f ca="1">IF(CALC2223!BA220&gt;1,INDIRECT(ADDRESS(MATCH(Agenda2526!C221,'CAL4'!A:A,0)+1,2,4,1,"CAL4")),"")</f>
        <v/>
      </c>
      <c r="V220" s="21">
        <f ca="1">IF(CALC2223!BA220&gt;1,INDIRECT(ADDRESS(MATCH(Agenda2526!C221,'CAL4'!A:A,0)+1,3,4,1,"CAL4")),0)</f>
        <v>0</v>
      </c>
      <c r="W220" s="20" t="str">
        <f ca="1">IF(CALC2223!BA220&gt;2,INDIRECT(ADDRESS(MATCH(Agenda2526!C221,'CAL4'!A:A,0)+2,2,4,1,"CAL4")),"")</f>
        <v/>
      </c>
      <c r="X220" s="21">
        <f ca="1">IF(CALC2223!BA220&gt;2,INDIRECT(ADDRESS(MATCH(Agenda2526!C221,'CAL4'!A:A,0)+2,3,4,1,"CAL4")),0)</f>
        <v>0</v>
      </c>
      <c r="Y220" s="20" t="str">
        <f ca="1">IF(CALC2223!BB220&gt;0,INDIRECT(ADDRESS(MATCH(Agenda2526!C221,'CAL5'!A:A,0),2,4,1,"CAL5")),"")</f>
        <v/>
      </c>
      <c r="Z220" s="21">
        <f ca="1">IF(CALC2223!BB220&gt;0,INDIRECT(ADDRESS(MATCH(Agenda2526!C221,'CAL5'!A:A,0),3,4,1,"CAL5")),0)</f>
        <v>0</v>
      </c>
      <c r="AA220" s="20" t="str">
        <f ca="1">IF(CALC2223!BB220&gt;1,INDIRECT(ADDRESS(MATCH(Agenda2526!C221,'CAL5'!A:A,0)+1,2,4,1,"CAL5")),"")</f>
        <v/>
      </c>
      <c r="AB220" s="21">
        <f ca="1">IF(CALC2223!BB220&gt;1,INDIRECT(ADDRESS(MATCH(Agenda2526!C221,'CAL5'!A:A,0)+1,3,4,1,"CAL5")),0)</f>
        <v>0</v>
      </c>
      <c r="AC220" s="20" t="str">
        <f ca="1">IF(CALC2223!BB220&gt;2,INDIRECT(ADDRESS(MATCH(Agenda2526!C221,'CAL5'!A:A,0)+2,2,4,1,"CAL5")),"")</f>
        <v/>
      </c>
      <c r="AD220" s="21">
        <f ca="1">IF(CALC2223!BB220&gt;2,INDIRECT(ADDRESS(MATCH(Agenda2526!C221,'CAL5'!A:A,0)+2,3,4,1,"CAL5")),0)</f>
        <v>0</v>
      </c>
      <c r="AE220" s="20" t="str">
        <f ca="1">IF(CALC2223!BC220&gt;0,INDIRECT(ADDRESS(MATCH(Agenda2526!C221,'CAL6'!A:A,0),2,4,1,"CAL6")),"")</f>
        <v/>
      </c>
      <c r="AF220" s="21">
        <f ca="1">IF(CALC2223!BC220&gt;0,INDIRECT(ADDRESS(MATCH(Agenda2526!C221,'CAL6'!A:A,0),3,4,1,"CAL6")),0)</f>
        <v>0</v>
      </c>
      <c r="AG220" s="20" t="str">
        <f ca="1">IF(CALC2223!BC220&gt;1,INDIRECT(ADDRESS(MATCH(Agenda2526!C221,'CAL6'!A:A,0)+1,2,4,1,"CAL6")),"")</f>
        <v/>
      </c>
      <c r="AH220" s="21">
        <f ca="1">IF(CALC2223!BC220&gt;1,INDIRECT(ADDRESS(MATCH(Agenda2526!C221,'CAL6'!A:A,0)+1,3,4,1,"CAL6")),0)</f>
        <v>0</v>
      </c>
      <c r="AI220" s="20" t="str">
        <f ca="1">IF(CALC2223!BC220&gt;2,INDIRECT(ADDRESS(MATCH(Agenda2526!C221,'CAL6'!A:A,0)+2,2,4,1,"CAL6")),"")</f>
        <v/>
      </c>
      <c r="AJ220" s="21">
        <f ca="1">IF(CALC2223!BC220&gt;2,INDIRECT(ADDRESS(MATCH(Agenda2526!C221,'CAL6'!A:A,0)+2,3,4,1,"CAL6")),0)</f>
        <v>0</v>
      </c>
      <c r="AK220" s="20" t="str">
        <f ca="1">IF(CALC2223!BD220&gt;0,INDIRECT(ADDRESS(MATCH(Agenda2526!C221,'CAL7'!A:A,0),2,4,1,"CAL7")),"")</f>
        <v/>
      </c>
      <c r="AL220" s="21">
        <f ca="1">IF(CALC2223!BD220&gt;0,INDIRECT(ADDRESS(MATCH(Agenda2526!C221,'CAL7'!A:A,0),3,4,1,"CAL7")),0)</f>
        <v>0</v>
      </c>
      <c r="AM220" s="20" t="str">
        <f ca="1">IF(CALC2223!BD220&gt;1,INDIRECT(ADDRESS(MATCH(Agenda2526!C221,'CAL7'!A:A,0)+1,2,4,1,"CAL7")),"")</f>
        <v/>
      </c>
      <c r="AN220" s="21">
        <f ca="1">IF(CALC2223!BD220&gt;1,INDIRECT(ADDRESS(MATCH(Agenda2526!C221,'CAL7'!A:A,0)+1,3,4,1,"CAL7")),0)</f>
        <v>0</v>
      </c>
      <c r="AO220" s="20" t="str">
        <f ca="1">IF(CALC2223!BD220&gt;2,INDIRECT(ADDRESS(MATCH(Agenda2526!C221,'CAL7'!A:A,0)+2,2,4,1,"CAL7")),"")</f>
        <v/>
      </c>
      <c r="AP220" s="21">
        <f ca="1">IF(CALC2223!BD220&gt;2,INDIRECT(ADDRESS(MATCH(Agenda2526!C221,'CAL7'!A:A,0)+2,3,4,1,"CAL7")),0)</f>
        <v>0</v>
      </c>
      <c r="AQ220" s="20" t="str">
        <f ca="1">IF(CALC2223!BE220&gt;0,INDIRECT(ADDRESS(MATCH(Agenda2526!C221,'CAL8'!A:A,0),2,4,1,"CAL8")),"")</f>
        <v/>
      </c>
      <c r="AR220" s="21">
        <f ca="1">IF(CALC2223!BE220&gt;0,INDIRECT(ADDRESS(MATCH(Agenda2526!C221,'CAL8'!A:A,0),3,4,1,"CAL8")),0)</f>
        <v>0</v>
      </c>
      <c r="AS220" s="20" t="str">
        <f ca="1">IF(CALC2223!BE220&gt;1,INDIRECT(ADDRESS(MATCH(Agenda2526!C221,'CAL8'!A:A,0)+1,2,4,1,"CAL8")),"")</f>
        <v/>
      </c>
      <c r="AT220" s="21">
        <f ca="1">IF(CALC2223!BE220&gt;1,INDIRECT(ADDRESS(MATCH(Agenda2526!C221,'CAL8'!A:A,0)+1,3,4,1,"CAL8")),0)</f>
        <v>0</v>
      </c>
      <c r="AU220" s="20" t="str">
        <f ca="1">IF(CALC2223!BE220&gt;2,INDIRECT(ADDRESS(MATCH(Agenda2526!C221,'CAL8'!A:A,0)+2,2,4,1,"CAL8")),"")</f>
        <v/>
      </c>
      <c r="AV220" s="21">
        <f ca="1">IF(CALC2223!BE220&gt;2,INDIRECT(ADDRESS(MATCH(Agenda2526!C221,'CAL8'!A:A,0)+2,3,4,1,"CAL8")),0)</f>
        <v>0</v>
      </c>
      <c r="AW220" s="105"/>
      <c r="AX220" s="20">
        <f>COUNTIF('CAL1'!A:A,Agenda2526!C221)</f>
        <v>0</v>
      </c>
      <c r="AY220" s="20">
        <f>COUNTIF('CAL2'!A:A,Agenda2526!C221)</f>
        <v>0</v>
      </c>
      <c r="AZ220" s="20">
        <f>COUNTIF('CAL3'!A:A,Agenda2526!C221)</f>
        <v>1</v>
      </c>
      <c r="BA220" s="20">
        <f>COUNTIF('CAL4'!A:A,Agenda2526!C221)</f>
        <v>1</v>
      </c>
      <c r="BB220" s="20">
        <f>COUNTIF('CAL5'!A:A,Agenda2526!C221)</f>
        <v>0</v>
      </c>
      <c r="BC220" s="20">
        <f>COUNTIF('CAL6'!A:A,Agenda2526!C221)</f>
        <v>0</v>
      </c>
      <c r="BD220" s="20">
        <f>COUNTIF('CAL7'!A:A,Agenda2526!C221)</f>
        <v>0</v>
      </c>
      <c r="BE220" s="20">
        <f>COUNTIF('CAL8'!A:A,Agenda2526!C221)</f>
        <v>0</v>
      </c>
    </row>
    <row r="221" spans="1:57" ht="15.75" customHeight="1">
      <c r="A221" s="20" t="str">
        <f ca="1">IF(CALC2223!AX221&gt;0,INDIRECT(ADDRESS(MATCH(Agenda2526!C222,'CAL1'!A:A,0),2,4,1,"CAL1")),"")</f>
        <v>Rep EN</v>
      </c>
      <c r="B221" s="21">
        <f ca="1">IF(CALC2223!AX221&gt;0,INDIRECT(ADDRESS(MATCH(Agenda2526!C222,'CAL1'!A:A,0),3,4,1,"CAL1")),0)</f>
        <v>45901</v>
      </c>
      <c r="C221" s="20" t="str">
        <f ca="1">IF(CALC2223!AX221&gt;1,INDIRECT(ADDRESS(MATCH(Agenda2526!C222,'CAL1'!A:A,0)+1,2,4,1,"CAL1")),"")</f>
        <v/>
      </c>
      <c r="D221" s="21">
        <f ca="1">IF(CALC2223!AX221&gt;1,INDIRECT(ADDRESS(MATCH(Agenda2526!C222,'CAL1'!A:A,0)+1,3,4,1,"CAL1")),0)</f>
        <v>0</v>
      </c>
      <c r="E221" s="20" t="str">
        <f ca="1">IF(CALC2223!AX221&gt;2,INDIRECT(ADDRESS(MATCH(Agenda2526!C222,'CAL1'!A:A,0)+2,2,4,1,"CAL1")),"")</f>
        <v/>
      </c>
      <c r="F221" s="21">
        <f ca="1">IF(CALC2223!AX221&gt;2,INDIRECT(ADDRESS(MATCH(Agenda2526!C222,'CAL1'!A:A,0)+2,3,4,1,"CAL1")),0)</f>
        <v>0</v>
      </c>
      <c r="G221" s="20" t="str">
        <f ca="1">IF(CALC2223!AY221&gt;0,INDIRECT(ADDRESS(MATCH(Agenda2526!C222,'CAL2'!A:A,0),2,4,1,"CAL2")),"")</f>
        <v/>
      </c>
      <c r="H221" s="21">
        <f ca="1">IF(CALC2223!AY221&gt;0,INDIRECT(ADDRESS(MATCH(Agenda2526!C222,'CAL2'!A:A,0),3,4,1,"CAL2")),0)</f>
        <v>0</v>
      </c>
      <c r="I221" s="20" t="str">
        <f ca="1">IF(CALC2223!AY221&gt;1,INDIRECT(ADDRESS(MATCH(Agenda2526!C222,'CAL2'!A:A,0)+1,2,4,1,"CAL2")),"")</f>
        <v/>
      </c>
      <c r="J221" s="21">
        <f ca="1">IF(CALC2223!AY221&gt;1,INDIRECT(ADDRESS(MATCH(Agenda2526!C222,'CAL2'!A:A,0)+1,3,4,1,"CAL2")),0)</f>
        <v>0</v>
      </c>
      <c r="K221" s="20" t="str">
        <f ca="1">IF(CALC2223!AY221&gt;2,INDIRECT(ADDRESS(MATCH(Agenda2526!C222,'CAL2'!A:A,0)+2,2,4,1,"CAL2")),"")</f>
        <v/>
      </c>
      <c r="L221" s="21">
        <f ca="1">IF(CALC2223!AY221&gt;2,INDIRECT(ADDRESS(MATCH(Agenda2526!C222,'CAL2'!A:A,0)+2,3,4,1,"CAL2")),0)</f>
        <v>0</v>
      </c>
      <c r="M221" s="20" t="str">
        <f ca="1">IF(CALC2223!AZ221&gt;0,INDIRECT(ADDRESS(MATCH(Agenda2526!C222,'CAL3'!A:A,0),2,4,1,"CAL3")),"")</f>
        <v/>
      </c>
      <c r="N221" s="21">
        <f ca="1">IF(CALC2223!AZ221&gt;0,INDIRECT(ADDRESS(MATCH(Agenda2526!C222,'CAL3'!A:A,0),3,4,1,"CAL3")),0)</f>
        <v>0</v>
      </c>
      <c r="O221" s="20" t="str">
        <f ca="1">IF(CALC2223!AZ221&gt;1,INDIRECT(ADDRESS(MATCH(Agenda2526!C222,'CAL3'!A:A,0)+1,2,4,1,"CAL3")),"")</f>
        <v/>
      </c>
      <c r="P221" s="21">
        <f ca="1">IF(CALC2223!AZ221&gt;1,INDIRECT(ADDRESS(MATCH(Agenda2526!C222,'CAL3'!A:A,0)+1,3,4,1,"CAL3")),0)</f>
        <v>0</v>
      </c>
      <c r="Q221" s="20" t="str">
        <f ca="1">IF(CALC2223!AZ221&gt;2,INDIRECT(ADDRESS(MATCH(Agenda2526!C222,'CAL3'!A:A,0)+2,2,4,1,"CAL3")),"")</f>
        <v/>
      </c>
      <c r="R221" s="21">
        <f ca="1">IF(CALC2223!AZ221&gt;2,INDIRECT(ADDRESS(MATCH(Agenda2526!C222,'CAL3'!A:A,0)+2,3,4,1,"CAL3")),0)</f>
        <v>0</v>
      </c>
      <c r="S221" s="20" t="str">
        <f ca="1">IF(CALC2223!BA221&gt;0,INDIRECT(ADDRESS(MATCH(Agenda2526!C222,'CAL4'!A:A,0),2,4,1,"CAL4")),"")</f>
        <v/>
      </c>
      <c r="T221" s="21">
        <f ca="1">IF(CALC2223!BA221&gt;0,INDIRECT(ADDRESS(MATCH(Agenda2526!C222,'CAL4'!A:A,0),3,4,1,"CAL4")),0)</f>
        <v>0</v>
      </c>
      <c r="U221" s="20" t="str">
        <f ca="1">IF(CALC2223!BA221&gt;1,INDIRECT(ADDRESS(MATCH(Agenda2526!C222,'CAL4'!A:A,0)+1,2,4,1,"CAL4")),"")</f>
        <v/>
      </c>
      <c r="V221" s="21">
        <f ca="1">IF(CALC2223!BA221&gt;1,INDIRECT(ADDRESS(MATCH(Agenda2526!C222,'CAL4'!A:A,0)+1,3,4,1,"CAL4")),0)</f>
        <v>0</v>
      </c>
      <c r="W221" s="20" t="str">
        <f ca="1">IF(CALC2223!BA221&gt;2,INDIRECT(ADDRESS(MATCH(Agenda2526!C222,'CAL4'!A:A,0)+2,2,4,1,"CAL4")),"")</f>
        <v/>
      </c>
      <c r="X221" s="21">
        <f ca="1">IF(CALC2223!BA221&gt;2,INDIRECT(ADDRESS(MATCH(Agenda2526!C222,'CAL4'!A:A,0)+2,3,4,1,"CAL4")),0)</f>
        <v>0</v>
      </c>
      <c r="Y221" s="20" t="str">
        <f ca="1">IF(CALC2223!BB221&gt;0,INDIRECT(ADDRESS(MATCH(Agenda2526!C222,'CAL5'!A:A,0),2,4,1,"CAL5")),"")</f>
        <v>SE GS</v>
      </c>
      <c r="Z221" s="21">
        <f ca="1">IF(CALC2223!BB221&gt;0,INDIRECT(ADDRESS(MATCH(Agenda2526!C222,'CAL5'!A:A,0),3,4,1,"CAL5")),0)</f>
        <v>45896</v>
      </c>
      <c r="AA221" s="20" t="str">
        <f ca="1">IF(CALC2223!BB221&gt;1,INDIRECT(ADDRESS(MATCH(Agenda2526!C222,'CAL5'!A:A,0)+1,2,4,1,"CAL5")),"")</f>
        <v>SE WiD (tijdens de les)</v>
      </c>
      <c r="AB221" s="21">
        <f ca="1">IF(CALC2223!BB221&gt;1,INDIRECT(ADDRESS(MATCH(Agenda2526!C222,'CAL5'!A:A,0)+1,3,4,1,"CAL5")),0)</f>
        <v>46066</v>
      </c>
      <c r="AC221" s="20" t="str">
        <f ca="1">IF(CALC2223!BB221&gt;2,INDIRECT(ADDRESS(MATCH(Agenda2526!C222,'CAL5'!A:A,0)+2,2,4,1,"CAL5")),"")</f>
        <v/>
      </c>
      <c r="AD221" s="21">
        <f ca="1">IF(CALC2223!BB221&gt;2,INDIRECT(ADDRESS(MATCH(Agenda2526!C222,'CAL5'!A:A,0)+2,3,4,1,"CAL5")),0)</f>
        <v>0</v>
      </c>
      <c r="AE221" s="20" t="str">
        <f ca="1">IF(CALC2223!BC221&gt;0,INDIRECT(ADDRESS(MATCH(Agenda2526!C222,'CAL6'!A:A,0),2,4,1,"CAL6")),"")</f>
        <v>SE herkansen</v>
      </c>
      <c r="AF221" s="21">
        <f ca="1">IF(CALC2223!BC221&gt;0,INDIRECT(ADDRESS(MATCH(Agenda2526!C222,'CAL6'!A:A,0),3,4,1,"CAL6")),0)</f>
        <v>45896</v>
      </c>
      <c r="AG221" s="20" t="str">
        <f ca="1">IF(CALC2223!BC221&gt;1,INDIRECT(ADDRESS(MATCH(Agenda2526!C222,'CAL6'!A:A,0)+1,2,4,1,"CAL6")),"")</f>
        <v/>
      </c>
      <c r="AH221" s="21">
        <f ca="1">IF(CALC2223!BC221&gt;1,INDIRECT(ADDRESS(MATCH(Agenda2526!C222,'CAL6'!A:A,0)+1,3,4,1,"CAL6")),0)</f>
        <v>0</v>
      </c>
      <c r="AI221" s="20" t="str">
        <f ca="1">IF(CALC2223!BC221&gt;2,INDIRECT(ADDRESS(MATCH(Agenda2526!C222,'CAL6'!A:A,0)+2,2,4,1,"CAL6")),"")</f>
        <v/>
      </c>
      <c r="AJ221" s="21">
        <f ca="1">IF(CALC2223!BC221&gt;2,INDIRECT(ADDRESS(MATCH(Agenda2526!C222,'CAL6'!A:A,0)+2,3,4,1,"CAL6")),0)</f>
        <v>0</v>
      </c>
      <c r="AK221" s="20" t="str">
        <f ca="1">IF(CALC2223!BD221&gt;0,INDIRECT(ADDRESS(MATCH(Agenda2526!C222,'CAL7'!A:A,0),2,4,1,"CAL7")),"")</f>
        <v/>
      </c>
      <c r="AL221" s="21">
        <f ca="1">IF(CALC2223!BD221&gt;0,INDIRECT(ADDRESS(MATCH(Agenda2526!C222,'CAL7'!A:A,0),3,4,1,"CAL7")),0)</f>
        <v>0</v>
      </c>
      <c r="AM221" s="20" t="str">
        <f ca="1">IF(CALC2223!BD221&gt;1,INDIRECT(ADDRESS(MATCH(Agenda2526!C222,'CAL7'!A:A,0)+1,2,4,1,"CAL7")),"")</f>
        <v/>
      </c>
      <c r="AN221" s="21">
        <f ca="1">IF(CALC2223!BD221&gt;1,INDIRECT(ADDRESS(MATCH(Agenda2526!C222,'CAL7'!A:A,0)+1,3,4,1,"CAL7")),0)</f>
        <v>0</v>
      </c>
      <c r="AO221" s="20" t="str">
        <f ca="1">IF(CALC2223!BD221&gt;2,INDIRECT(ADDRESS(MATCH(Agenda2526!C222,'CAL7'!A:A,0)+2,2,4,1,"CAL7")),"")</f>
        <v/>
      </c>
      <c r="AP221" s="21">
        <f ca="1">IF(CALC2223!BD221&gt;2,INDIRECT(ADDRESS(MATCH(Agenda2526!C222,'CAL7'!A:A,0)+2,3,4,1,"CAL7")),0)</f>
        <v>0</v>
      </c>
      <c r="AQ221" s="20" t="str">
        <f ca="1">IF(CALC2223!BE221&gt;0,INDIRECT(ADDRESS(MATCH(Agenda2526!C222,'CAL8'!A:A,0),2,4,1,"CAL8")),"")</f>
        <v/>
      </c>
      <c r="AR221" s="21">
        <f ca="1">IF(CALC2223!BE221&gt;0,INDIRECT(ADDRESS(MATCH(Agenda2526!C222,'CAL8'!A:A,0),3,4,1,"CAL8")),0)</f>
        <v>0</v>
      </c>
      <c r="AS221" s="20" t="str">
        <f ca="1">IF(CALC2223!BE221&gt;1,INDIRECT(ADDRESS(MATCH(Agenda2526!C222,'CAL8'!A:A,0)+1,2,4,1,"CAL8")),"")</f>
        <v/>
      </c>
      <c r="AT221" s="21">
        <f ca="1">IF(CALC2223!BE221&gt;1,INDIRECT(ADDRESS(MATCH(Agenda2526!C222,'CAL8'!A:A,0)+1,3,4,1,"CAL8")),0)</f>
        <v>0</v>
      </c>
      <c r="AU221" s="20" t="str">
        <f ca="1">IF(CALC2223!BE221&gt;2,INDIRECT(ADDRESS(MATCH(Agenda2526!C222,'CAL8'!A:A,0)+2,2,4,1,"CAL8")),"")</f>
        <v/>
      </c>
      <c r="AV221" s="21">
        <f ca="1">IF(CALC2223!BE221&gt;2,INDIRECT(ADDRESS(MATCH(Agenda2526!C222,'CAL8'!A:A,0)+2,3,4,1,"CAL8")),0)</f>
        <v>0</v>
      </c>
      <c r="AW221" s="105"/>
      <c r="AX221" s="20">
        <f>COUNTIF('CAL1'!A:A,Agenda2526!C222)</f>
        <v>1</v>
      </c>
      <c r="AY221" s="20">
        <f>COUNTIF('CAL2'!A:A,Agenda2526!C222)</f>
        <v>0</v>
      </c>
      <c r="AZ221" s="20">
        <f>COUNTIF('CAL3'!A:A,Agenda2526!C222)</f>
        <v>0</v>
      </c>
      <c r="BA221" s="20">
        <f>COUNTIF('CAL4'!A:A,Agenda2526!C222)</f>
        <v>0</v>
      </c>
      <c r="BB221" s="20">
        <f>COUNTIF('CAL5'!A:A,Agenda2526!C222)</f>
        <v>2</v>
      </c>
      <c r="BC221" s="20">
        <f>COUNTIF('CAL6'!A:A,Agenda2526!C222)</f>
        <v>1</v>
      </c>
      <c r="BD221" s="20">
        <f>COUNTIF('CAL7'!A:A,Agenda2526!C222)</f>
        <v>0</v>
      </c>
      <c r="BE221" s="20">
        <f>COUNTIF('CAL8'!A:A,Agenda2526!C222)</f>
        <v>0</v>
      </c>
    </row>
    <row r="222" spans="1:57" ht="15.75" customHeight="1">
      <c r="A222" s="20" t="str">
        <f ca="1">IF(CALC2223!AX222&gt;0,INDIRECT(ADDRESS(MATCH(Agenda2526!C223,'CAL1'!A:A,0),2,4,1,"CAL1")),"")</f>
        <v/>
      </c>
      <c r="B222" s="21">
        <f ca="1">IF(CALC2223!AX222&gt;0,INDIRECT(ADDRESS(MATCH(Agenda2526!C223,'CAL1'!A:A,0),3,4,1,"CAL1")),0)</f>
        <v>0</v>
      </c>
      <c r="C222" s="20" t="str">
        <f ca="1">IF(CALC2223!AX222&gt;1,INDIRECT(ADDRESS(MATCH(Agenda2526!C223,'CAL1'!A:A,0)+1,2,4,1,"CAL1")),"")</f>
        <v/>
      </c>
      <c r="D222" s="21">
        <f ca="1">IF(CALC2223!AX222&gt;1,INDIRECT(ADDRESS(MATCH(Agenda2526!C223,'CAL1'!A:A,0)+1,3,4,1,"CAL1")),0)</f>
        <v>0</v>
      </c>
      <c r="E222" s="20" t="str">
        <f ca="1">IF(CALC2223!AX222&gt;2,INDIRECT(ADDRESS(MATCH(Agenda2526!C223,'CAL1'!A:A,0)+2,2,4,1,"CAL1")),"")</f>
        <v/>
      </c>
      <c r="F222" s="21">
        <f ca="1">IF(CALC2223!AX222&gt;2,INDIRECT(ADDRESS(MATCH(Agenda2526!C223,'CAL1'!A:A,0)+2,3,4,1,"CAL1")),0)</f>
        <v>0</v>
      </c>
      <c r="G222" s="20" t="str">
        <f ca="1">IF(CALC2223!AY222&gt;0,INDIRECT(ADDRESS(MATCH(Agenda2526!C223,'CAL2'!A:A,0),2,4,1,"CAL2")),"")</f>
        <v/>
      </c>
      <c r="H222" s="21">
        <f ca="1">IF(CALC2223!AY222&gt;0,INDIRECT(ADDRESS(MATCH(Agenda2526!C223,'CAL2'!A:A,0),3,4,1,"CAL2")),0)</f>
        <v>0</v>
      </c>
      <c r="I222" s="20" t="str">
        <f ca="1">IF(CALC2223!AY222&gt;1,INDIRECT(ADDRESS(MATCH(Agenda2526!C223,'CAL2'!A:A,0)+1,2,4,1,"CAL2")),"")</f>
        <v/>
      </c>
      <c r="J222" s="21">
        <f ca="1">IF(CALC2223!AY222&gt;1,INDIRECT(ADDRESS(MATCH(Agenda2526!C223,'CAL2'!A:A,0)+1,3,4,1,"CAL2")),0)</f>
        <v>0</v>
      </c>
      <c r="K222" s="20" t="str">
        <f ca="1">IF(CALC2223!AY222&gt;2,INDIRECT(ADDRESS(MATCH(Agenda2526!C223,'CAL2'!A:A,0)+2,2,4,1,"CAL2")),"")</f>
        <v/>
      </c>
      <c r="L222" s="21">
        <f ca="1">IF(CALC2223!AY222&gt;2,INDIRECT(ADDRESS(MATCH(Agenda2526!C223,'CAL2'!A:A,0)+2,3,4,1,"CAL2")),0)</f>
        <v>0</v>
      </c>
      <c r="M222" s="20" t="str">
        <f ca="1">IF(CALC2223!AZ222&gt;0,INDIRECT(ADDRESS(MATCH(Agenda2526!C223,'CAL3'!A:A,0),2,4,1,"CAL3")),"")</f>
        <v>Rep FA</v>
      </c>
      <c r="N222" s="21">
        <f ca="1">IF(CALC2223!AZ222&gt;0,INDIRECT(ADDRESS(MATCH(Agenda2526!C223,'CAL3'!A:A,0),3,4,1,"CAL3")),0)</f>
        <v>45903</v>
      </c>
      <c r="O222" s="20" t="str">
        <f ca="1">IF(CALC2223!AZ222&gt;1,INDIRECT(ADDRESS(MATCH(Agenda2526!C223,'CAL3'!A:A,0)+1,2,4,1,"CAL3")),"")</f>
        <v/>
      </c>
      <c r="P222" s="21">
        <f ca="1">IF(CALC2223!AZ222&gt;1,INDIRECT(ADDRESS(MATCH(Agenda2526!C223,'CAL3'!A:A,0)+1,3,4,1,"CAL3")),0)</f>
        <v>0</v>
      </c>
      <c r="Q222" s="20" t="str">
        <f ca="1">IF(CALC2223!AZ222&gt;2,INDIRECT(ADDRESS(MATCH(Agenda2526!C223,'CAL3'!A:A,0)+2,2,4,1,"CAL3")),"")</f>
        <v/>
      </c>
      <c r="R222" s="21">
        <f ca="1">IF(CALC2223!AZ222&gt;2,INDIRECT(ADDRESS(MATCH(Agenda2526!C223,'CAL3'!A:A,0)+2,3,4,1,"CAL3")),0)</f>
        <v>0</v>
      </c>
      <c r="S222" s="20" t="str">
        <f ca="1">IF(CALC2223!BA222&gt;0,INDIRECT(ADDRESS(MATCH(Agenda2526!C223,'CAL4'!A:A,0),2,4,1,"CAL4")),"")</f>
        <v>inh rep EC</v>
      </c>
      <c r="T222" s="21">
        <f ca="1">IF(CALC2223!BA222&gt;0,INDIRECT(ADDRESS(MATCH(Agenda2526!C223,'CAL4'!A:A,0),3,4,1,"CAL4")),0)</f>
        <v>45936</v>
      </c>
      <c r="U222" s="20" t="str">
        <f ca="1">IF(CALC2223!BA222&gt;1,INDIRECT(ADDRESS(MATCH(Agenda2526!C223,'CAL4'!A:A,0)+1,2,4,1,"CAL4")),"")</f>
        <v/>
      </c>
      <c r="V222" s="21">
        <f ca="1">IF(CALC2223!BA222&gt;1,INDIRECT(ADDRESS(MATCH(Agenda2526!C223,'CAL4'!A:A,0)+1,3,4,1,"CAL4")),0)</f>
        <v>0</v>
      </c>
      <c r="W222" s="20" t="str">
        <f ca="1">IF(CALC2223!BA222&gt;2,INDIRECT(ADDRESS(MATCH(Agenda2526!C223,'CAL4'!A:A,0)+2,2,4,1,"CAL4")),"")</f>
        <v/>
      </c>
      <c r="X222" s="21">
        <f ca="1">IF(CALC2223!BA222&gt;2,INDIRECT(ADDRESS(MATCH(Agenda2526!C223,'CAL4'!A:A,0)+2,3,4,1,"CAL4")),0)</f>
        <v>0</v>
      </c>
      <c r="Y222" s="20" t="str">
        <f ca="1">IF(CALC2223!BB222&gt;0,INDIRECT(ADDRESS(MATCH(Agenda2526!C223,'CAL5'!A:A,0),2,4,1,"CAL5")),"")</f>
        <v>klreis</v>
      </c>
      <c r="Z222" s="21">
        <f ca="1">IF(CALC2223!BB222&gt;0,INDIRECT(ADDRESS(MATCH(Agenda2526!C223,'CAL5'!A:A,0),3,4,1,"CAL5")),0)</f>
        <v>45896</v>
      </c>
      <c r="AA222" s="20" t="str">
        <f ca="1">IF(CALC2223!BB222&gt;1,INDIRECT(ADDRESS(MATCH(Agenda2526!C223,'CAL5'!A:A,0)+1,2,4,1,"CAL5")),"")</f>
        <v>inh rep EC</v>
      </c>
      <c r="AB222" s="21">
        <f ca="1">IF(CALC2223!BB222&gt;1,INDIRECT(ADDRESS(MATCH(Agenda2526!C223,'CAL5'!A:A,0)+1,3,4,1,"CAL5")),0)</f>
        <v>45936</v>
      </c>
      <c r="AC222" s="20" t="str">
        <f ca="1">IF(CALC2223!BB222&gt;2,INDIRECT(ADDRESS(MATCH(Agenda2526!C223,'CAL5'!A:A,0)+2,2,4,1,"CAL5")),"")</f>
        <v/>
      </c>
      <c r="AD222" s="21">
        <f ca="1">IF(CALC2223!BB222&gt;2,INDIRECT(ADDRESS(MATCH(Agenda2526!C223,'CAL5'!A:A,0)+2,3,4,1,"CAL5")),0)</f>
        <v>0</v>
      </c>
      <c r="AE222" s="20" t="str">
        <f ca="1">IF(CALC2223!BC222&gt;0,INDIRECT(ADDRESS(MATCH(Agenda2526!C223,'CAL6'!A:A,0),2,4,1,"CAL6")),"")</f>
        <v/>
      </c>
      <c r="AF222" s="21">
        <f ca="1">IF(CALC2223!BC222&gt;0,INDIRECT(ADDRESS(MATCH(Agenda2526!C223,'CAL6'!A:A,0),3,4,1,"CAL6")),0)</f>
        <v>0</v>
      </c>
      <c r="AG222" s="20" t="str">
        <f ca="1">IF(CALC2223!BC222&gt;1,INDIRECT(ADDRESS(MATCH(Agenda2526!C223,'CAL6'!A:A,0)+1,2,4,1,"CAL6")),"")</f>
        <v/>
      </c>
      <c r="AH222" s="21">
        <f ca="1">IF(CALC2223!BC222&gt;1,INDIRECT(ADDRESS(MATCH(Agenda2526!C223,'CAL6'!A:A,0)+1,3,4,1,"CAL6")),0)</f>
        <v>0</v>
      </c>
      <c r="AI222" s="20" t="str">
        <f ca="1">IF(CALC2223!BC222&gt;2,INDIRECT(ADDRESS(MATCH(Agenda2526!C223,'CAL6'!A:A,0)+2,2,4,1,"CAL6")),"")</f>
        <v/>
      </c>
      <c r="AJ222" s="21">
        <f ca="1">IF(CALC2223!BC222&gt;2,INDIRECT(ADDRESS(MATCH(Agenda2526!C223,'CAL6'!A:A,0)+2,3,4,1,"CAL6")),0)</f>
        <v>0</v>
      </c>
      <c r="AK222" s="20" t="str">
        <f ca="1">IF(CALC2223!BD222&gt;0,INDIRECT(ADDRESS(MATCH(Agenda2526!C223,'CAL7'!A:A,0),2,4,1,"CAL7")),"")</f>
        <v>mentoren#6</v>
      </c>
      <c r="AL222" s="21">
        <f ca="1">IF(CALC2223!BD222&gt;0,INDIRECT(ADDRESS(MATCH(Agenda2526!C223,'CAL7'!A:A,0),3,4,1,"CAL7")),0)</f>
        <v>45896</v>
      </c>
      <c r="AM222" s="20" t="str">
        <f ca="1">IF(CALC2223!BD222&gt;1,INDIRECT(ADDRESS(MATCH(Agenda2526!C223,'CAL7'!A:A,0)+1,2,4,1,"CAL7")),"")</f>
        <v/>
      </c>
      <c r="AN222" s="21">
        <f ca="1">IF(CALC2223!BD222&gt;1,INDIRECT(ADDRESS(MATCH(Agenda2526!C223,'CAL7'!A:A,0)+1,3,4,1,"CAL7")),0)</f>
        <v>0</v>
      </c>
      <c r="AO222" s="20" t="str">
        <f ca="1">IF(CALC2223!BD222&gt;2,INDIRECT(ADDRESS(MATCH(Agenda2526!C223,'CAL7'!A:A,0)+2,2,4,1,"CAL7")),"")</f>
        <v/>
      </c>
      <c r="AP222" s="21">
        <f ca="1">IF(CALC2223!BD222&gt;2,INDIRECT(ADDRESS(MATCH(Agenda2526!C223,'CAL7'!A:A,0)+2,3,4,1,"CAL7")),0)</f>
        <v>0</v>
      </c>
      <c r="AQ222" s="20" t="str">
        <f ca="1">IF(CALC2223!BE222&gt;0,INDIRECT(ADDRESS(MATCH(Agenda2526!C223,'CAL8'!A:A,0),2,4,1,"CAL8")),"")</f>
        <v/>
      </c>
      <c r="AR222" s="21">
        <f ca="1">IF(CALC2223!BE222&gt;0,INDIRECT(ADDRESS(MATCH(Agenda2526!C223,'CAL8'!A:A,0),3,4,1,"CAL8")),0)</f>
        <v>0</v>
      </c>
      <c r="AS222" s="20" t="str">
        <f ca="1">IF(CALC2223!BE222&gt;1,INDIRECT(ADDRESS(MATCH(Agenda2526!C223,'CAL8'!A:A,0)+1,2,4,1,"CAL8")),"")</f>
        <v/>
      </c>
      <c r="AT222" s="21">
        <f ca="1">IF(CALC2223!BE222&gt;1,INDIRECT(ADDRESS(MATCH(Agenda2526!C223,'CAL8'!A:A,0)+1,3,4,1,"CAL8")),0)</f>
        <v>0</v>
      </c>
      <c r="AU222" s="20" t="str">
        <f ca="1">IF(CALC2223!BE222&gt;2,INDIRECT(ADDRESS(MATCH(Agenda2526!C223,'CAL8'!A:A,0)+2,2,4,1,"CAL8")),"")</f>
        <v/>
      </c>
      <c r="AV222" s="21">
        <f ca="1">IF(CALC2223!BE222&gt;2,INDIRECT(ADDRESS(MATCH(Agenda2526!C223,'CAL8'!A:A,0)+2,3,4,1,"CAL8")),0)</f>
        <v>0</v>
      </c>
      <c r="AW222" s="105"/>
      <c r="AX222" s="20">
        <f>COUNTIF('CAL1'!A:A,Agenda2526!C223)</f>
        <v>0</v>
      </c>
      <c r="AY222" s="20">
        <f>COUNTIF('CAL2'!A:A,Agenda2526!C223)</f>
        <v>0</v>
      </c>
      <c r="AZ222" s="20">
        <f>COUNTIF('CAL3'!A:A,Agenda2526!C223)</f>
        <v>1</v>
      </c>
      <c r="BA222" s="20">
        <f>COUNTIF('CAL4'!A:A,Agenda2526!C223)</f>
        <v>1</v>
      </c>
      <c r="BB222" s="20">
        <f>COUNTIF('CAL5'!A:A,Agenda2526!C223)</f>
        <v>2</v>
      </c>
      <c r="BC222" s="20">
        <f>COUNTIF('CAL6'!A:A,Agenda2526!C223)</f>
        <v>0</v>
      </c>
      <c r="BD222" s="20">
        <f>COUNTIF('CAL7'!A:A,Agenda2526!C223)</f>
        <v>1</v>
      </c>
      <c r="BE222" s="20">
        <f>COUNTIF('CAL8'!A:A,Agenda2526!C223)</f>
        <v>0</v>
      </c>
    </row>
    <row r="223" spans="1:57" ht="15.75" customHeight="1">
      <c r="A223" s="20" t="str">
        <f ca="1">IF(CALC2223!AX223&gt;0,INDIRECT(ADDRESS(MATCH(Agenda2526!C224,'CAL1'!A:A,0),2,4,1,"CAL1")),"")</f>
        <v/>
      </c>
      <c r="B223" s="21">
        <f ca="1">IF(CALC2223!AX223&gt;0,INDIRECT(ADDRESS(MATCH(Agenda2526!C224,'CAL1'!A:A,0),3,4,1,"CAL1")),0)</f>
        <v>0</v>
      </c>
      <c r="C223" s="20" t="str">
        <f ca="1">IF(CALC2223!AX223&gt;1,INDIRECT(ADDRESS(MATCH(Agenda2526!C224,'CAL1'!A:A,0)+1,2,4,1,"CAL1")),"")</f>
        <v/>
      </c>
      <c r="D223" s="21">
        <f ca="1">IF(CALC2223!AX223&gt;1,INDIRECT(ADDRESS(MATCH(Agenda2526!C224,'CAL1'!A:A,0)+1,3,4,1,"CAL1")),0)</f>
        <v>0</v>
      </c>
      <c r="E223" s="20" t="str">
        <f ca="1">IF(CALC2223!AX223&gt;2,INDIRECT(ADDRESS(MATCH(Agenda2526!C224,'CAL1'!A:A,0)+2,2,4,1,"CAL1")),"")</f>
        <v/>
      </c>
      <c r="F223" s="21">
        <f ca="1">IF(CALC2223!AX223&gt;2,INDIRECT(ADDRESS(MATCH(Agenda2526!C224,'CAL1'!A:A,0)+2,3,4,1,"CAL1")),0)</f>
        <v>0</v>
      </c>
      <c r="G223" s="20" t="str">
        <f ca="1">IF(CALC2223!AY223&gt;0,INDIRECT(ADDRESS(MATCH(Agenda2526!C224,'CAL2'!A:A,0),2,4,1,"CAL2")),"")</f>
        <v>Rep DUI</v>
      </c>
      <c r="H223" s="21">
        <f ca="1">IF(CALC2223!AY223&gt;0,INDIRECT(ADDRESS(MATCH(Agenda2526!C224,'CAL2'!A:A,0),3,4,1,"CAL2")),0)</f>
        <v>45903</v>
      </c>
      <c r="I223" s="20" t="str">
        <f ca="1">IF(CALC2223!AY223&gt;1,INDIRECT(ADDRESS(MATCH(Agenda2526!C224,'CAL2'!A:A,0)+1,2,4,1,"CAL2")),"")</f>
        <v/>
      </c>
      <c r="J223" s="21">
        <f ca="1">IF(CALC2223!AY223&gt;1,INDIRECT(ADDRESS(MATCH(Agenda2526!C224,'CAL2'!A:A,0)+1,3,4,1,"CAL2")),0)</f>
        <v>0</v>
      </c>
      <c r="K223" s="20" t="str">
        <f ca="1">IF(CALC2223!AY223&gt;2,INDIRECT(ADDRESS(MATCH(Agenda2526!C224,'CAL2'!A:A,0)+2,2,4,1,"CAL2")),"")</f>
        <v/>
      </c>
      <c r="L223" s="21">
        <f ca="1">IF(CALC2223!AY223&gt;2,INDIRECT(ADDRESS(MATCH(Agenda2526!C224,'CAL2'!A:A,0)+2,3,4,1,"CAL2")),0)</f>
        <v>0</v>
      </c>
      <c r="M223" s="20" t="str">
        <f ca="1">IF(CALC2223!AZ223&gt;0,INDIRECT(ADDRESS(MATCH(Agenda2526!C224,'CAL3'!A:A,0),2,4,1,"CAL3")),"")</f>
        <v/>
      </c>
      <c r="N223" s="21">
        <f ca="1">IF(CALC2223!AZ223&gt;0,INDIRECT(ADDRESS(MATCH(Agenda2526!C224,'CAL3'!A:A,0),3,4,1,"CAL3")),0)</f>
        <v>0</v>
      </c>
      <c r="O223" s="20" t="str">
        <f ca="1">IF(CALC2223!AZ223&gt;1,INDIRECT(ADDRESS(MATCH(Agenda2526!C224,'CAL3'!A:A,0)+1,2,4,1,"CAL3")),"")</f>
        <v/>
      </c>
      <c r="P223" s="21">
        <f ca="1">IF(CALC2223!AZ223&gt;1,INDIRECT(ADDRESS(MATCH(Agenda2526!C224,'CAL3'!A:A,0)+1,3,4,1,"CAL3")),0)</f>
        <v>0</v>
      </c>
      <c r="Q223" s="20" t="str">
        <f ca="1">IF(CALC2223!AZ223&gt;2,INDIRECT(ADDRESS(MATCH(Agenda2526!C224,'CAL3'!A:A,0)+2,2,4,1,"CAL3")),"")</f>
        <v/>
      </c>
      <c r="R223" s="21">
        <f ca="1">IF(CALC2223!AZ223&gt;2,INDIRECT(ADDRESS(MATCH(Agenda2526!C224,'CAL3'!A:A,0)+2,3,4,1,"CAL3")),0)</f>
        <v>0</v>
      </c>
      <c r="S223" s="20" t="str">
        <f ca="1">IF(CALC2223!BA223&gt;0,INDIRECT(ADDRESS(MATCH(Agenda2526!C224,'CAL4'!A:A,0),2,4,1,"CAL4")),"")</f>
        <v>Rep bi</v>
      </c>
      <c r="T223" s="21">
        <f ca="1">IF(CALC2223!BA223&gt;0,INDIRECT(ADDRESS(MATCH(Agenda2526!C224,'CAL4'!A:A,0),3,4,1,"CAL4")),0)</f>
        <v>45965</v>
      </c>
      <c r="U223" s="20" t="str">
        <f ca="1">IF(CALC2223!BA223&gt;1,INDIRECT(ADDRESS(MATCH(Agenda2526!C224,'CAL4'!A:A,0)+1,2,4,1,"CAL4")),"")</f>
        <v/>
      </c>
      <c r="V223" s="21">
        <f ca="1">IF(CALC2223!BA223&gt;1,INDIRECT(ADDRESS(MATCH(Agenda2526!C224,'CAL4'!A:A,0)+1,3,4,1,"CAL4")),0)</f>
        <v>0</v>
      </c>
      <c r="W223" s="20" t="str">
        <f ca="1">IF(CALC2223!BA223&gt;2,INDIRECT(ADDRESS(MATCH(Agenda2526!C224,'CAL4'!A:A,0)+2,2,4,1,"CAL4")),"")</f>
        <v/>
      </c>
      <c r="X223" s="21">
        <f ca="1">IF(CALC2223!BA223&gt;2,INDIRECT(ADDRESS(MATCH(Agenda2526!C224,'CAL4'!A:A,0)+2,3,4,1,"CAL4")),0)</f>
        <v>0</v>
      </c>
      <c r="Y223" s="20" t="str">
        <f ca="1">IF(CALC2223!BB223&gt;0,INDIRECT(ADDRESS(MATCH(Agenda2526!C224,'CAL5'!A:A,0),2,4,1,"CAL5")),"")</f>
        <v>klreis</v>
      </c>
      <c r="Z223" s="21">
        <f ca="1">IF(CALC2223!BB223&gt;0,INDIRECT(ADDRESS(MATCH(Agenda2526!C224,'CAL5'!A:A,0),3,4,1,"CAL5")),0)</f>
        <v>45896</v>
      </c>
      <c r="AA223" s="20" t="str">
        <f ca="1">IF(CALC2223!BB223&gt;1,INDIRECT(ADDRESS(MATCH(Agenda2526!C224,'CAL5'!A:A,0)+1,2,4,1,"CAL5")),"")</f>
        <v/>
      </c>
      <c r="AB223" s="21">
        <f ca="1">IF(CALC2223!BB223&gt;1,INDIRECT(ADDRESS(MATCH(Agenda2526!C224,'CAL5'!A:A,0)+1,3,4,1,"CAL5")),0)</f>
        <v>0</v>
      </c>
      <c r="AC223" s="20" t="str">
        <f ca="1">IF(CALC2223!BB223&gt;2,INDIRECT(ADDRESS(MATCH(Agenda2526!C224,'CAL5'!A:A,0)+2,2,4,1,"CAL5")),"")</f>
        <v/>
      </c>
      <c r="AD223" s="21">
        <f ca="1">IF(CALC2223!BB223&gt;2,INDIRECT(ADDRESS(MATCH(Agenda2526!C224,'CAL5'!A:A,0)+2,3,4,1,"CAL5")),0)</f>
        <v>0</v>
      </c>
      <c r="AE223" s="20" t="str">
        <f ca="1">IF(CALC2223!BC223&gt;0,INDIRECT(ADDRESS(MATCH(Agenda2526!C224,'CAL6'!A:A,0),2,4,1,"CAL6")),"")</f>
        <v/>
      </c>
      <c r="AF223" s="21">
        <f ca="1">IF(CALC2223!BC223&gt;0,INDIRECT(ADDRESS(MATCH(Agenda2526!C224,'CAL6'!A:A,0),3,4,1,"CAL6")),0)</f>
        <v>0</v>
      </c>
      <c r="AG223" s="20" t="str">
        <f ca="1">IF(CALC2223!BC223&gt;1,INDIRECT(ADDRESS(MATCH(Agenda2526!C224,'CAL6'!A:A,0)+1,2,4,1,"CAL6")),"")</f>
        <v/>
      </c>
      <c r="AH223" s="21">
        <f ca="1">IF(CALC2223!BC223&gt;1,INDIRECT(ADDRESS(MATCH(Agenda2526!C224,'CAL6'!A:A,0)+1,3,4,1,"CAL6")),0)</f>
        <v>0</v>
      </c>
      <c r="AI223" s="20" t="str">
        <f ca="1">IF(CALC2223!BC223&gt;2,INDIRECT(ADDRESS(MATCH(Agenda2526!C224,'CAL6'!A:A,0)+2,2,4,1,"CAL6")),"")</f>
        <v/>
      </c>
      <c r="AJ223" s="21">
        <f ca="1">IF(CALC2223!BC223&gt;2,INDIRECT(ADDRESS(MATCH(Agenda2526!C224,'CAL6'!A:A,0)+2,3,4,1,"CAL6")),0)</f>
        <v>0</v>
      </c>
      <c r="AK223" s="20" t="str">
        <f ca="1">IF(CALC2223!BD223&gt;0,INDIRECT(ADDRESS(MATCH(Agenda2526!C224,'CAL7'!A:A,0),2,4,1,"CAL7")),"")</f>
        <v/>
      </c>
      <c r="AL223" s="21">
        <f ca="1">IF(CALC2223!BD223&gt;0,INDIRECT(ADDRESS(MATCH(Agenda2526!C224,'CAL7'!A:A,0),3,4,1,"CAL7")),0)</f>
        <v>0</v>
      </c>
      <c r="AM223" s="20" t="str">
        <f ca="1">IF(CALC2223!BD223&gt;1,INDIRECT(ADDRESS(MATCH(Agenda2526!C224,'CAL7'!A:A,0)+1,2,4,1,"CAL7")),"")</f>
        <v/>
      </c>
      <c r="AN223" s="21">
        <f ca="1">IF(CALC2223!BD223&gt;1,INDIRECT(ADDRESS(MATCH(Agenda2526!C224,'CAL7'!A:A,0)+1,3,4,1,"CAL7")),0)</f>
        <v>0</v>
      </c>
      <c r="AO223" s="20" t="str">
        <f ca="1">IF(CALC2223!BD223&gt;2,INDIRECT(ADDRESS(MATCH(Agenda2526!C224,'CAL7'!A:A,0)+2,2,4,1,"CAL7")),"")</f>
        <v/>
      </c>
      <c r="AP223" s="21">
        <f ca="1">IF(CALC2223!BD223&gt;2,INDIRECT(ADDRESS(MATCH(Agenda2526!C224,'CAL7'!A:A,0)+2,3,4,1,"CAL7")),0)</f>
        <v>0</v>
      </c>
      <c r="AQ223" s="20" t="str">
        <f ca="1">IF(CALC2223!BE223&gt;0,INDIRECT(ADDRESS(MATCH(Agenda2526!C224,'CAL8'!A:A,0),2,4,1,"CAL8")),"")</f>
        <v/>
      </c>
      <c r="AR223" s="21">
        <f ca="1">IF(CALC2223!BE223&gt;0,INDIRECT(ADDRESS(MATCH(Agenda2526!C224,'CAL8'!A:A,0),3,4,1,"CAL8")),0)</f>
        <v>0</v>
      </c>
      <c r="AS223" s="20" t="str">
        <f ca="1">IF(CALC2223!BE223&gt;1,INDIRECT(ADDRESS(MATCH(Agenda2526!C224,'CAL8'!A:A,0)+1,2,4,1,"CAL8")),"")</f>
        <v/>
      </c>
      <c r="AT223" s="21">
        <f ca="1">IF(CALC2223!BE223&gt;1,INDIRECT(ADDRESS(MATCH(Agenda2526!C224,'CAL8'!A:A,0)+1,3,4,1,"CAL8")),0)</f>
        <v>0</v>
      </c>
      <c r="AU223" s="20" t="str">
        <f ca="1">IF(CALC2223!BE223&gt;2,INDIRECT(ADDRESS(MATCH(Agenda2526!C224,'CAL8'!A:A,0)+2,2,4,1,"CAL8")),"")</f>
        <v/>
      </c>
      <c r="AV223" s="21">
        <f ca="1">IF(CALC2223!BE223&gt;2,INDIRECT(ADDRESS(MATCH(Agenda2526!C224,'CAL8'!A:A,0)+2,3,4,1,"CAL8")),0)</f>
        <v>0</v>
      </c>
      <c r="AW223" s="105"/>
      <c r="AX223" s="20">
        <f>COUNTIF('CAL1'!A:A,Agenda2526!C224)</f>
        <v>0</v>
      </c>
      <c r="AY223" s="20">
        <f>COUNTIF('CAL2'!A:A,Agenda2526!C224)</f>
        <v>1</v>
      </c>
      <c r="AZ223" s="20">
        <f>COUNTIF('CAL3'!A:A,Agenda2526!C224)</f>
        <v>0</v>
      </c>
      <c r="BA223" s="20">
        <f>COUNTIF('CAL4'!A:A,Agenda2526!C224)</f>
        <v>1</v>
      </c>
      <c r="BB223" s="20">
        <f>COUNTIF('CAL5'!A:A,Agenda2526!C224)</f>
        <v>1</v>
      </c>
      <c r="BC223" s="20">
        <f>COUNTIF('CAL6'!A:A,Agenda2526!C224)</f>
        <v>0</v>
      </c>
      <c r="BD223" s="20">
        <f>COUNTIF('CAL7'!A:A,Agenda2526!C224)</f>
        <v>0</v>
      </c>
      <c r="BE223" s="20">
        <f>COUNTIF('CAL8'!A:A,Agenda2526!C224)</f>
        <v>0</v>
      </c>
    </row>
    <row r="224" spans="1:57" ht="15.75" customHeight="1">
      <c r="A224" s="20" t="str">
        <f ca="1">IF(CALC2223!AX224&gt;0,INDIRECT(ADDRESS(MATCH(Agenda2526!C225,'CAL1'!A:A,0),2,4,1,"CAL1")),"")</f>
        <v/>
      </c>
      <c r="B224" s="21">
        <f ca="1">IF(CALC2223!AX224&gt;0,INDIRECT(ADDRESS(MATCH(Agenda2526!C225,'CAL1'!A:A,0),3,4,1,"CAL1")),0)</f>
        <v>0</v>
      </c>
      <c r="C224" s="20" t="str">
        <f ca="1">IF(CALC2223!AX224&gt;1,INDIRECT(ADDRESS(MATCH(Agenda2526!C225,'CAL1'!A:A,0)+1,2,4,1,"CAL1")),"")</f>
        <v/>
      </c>
      <c r="D224" s="21">
        <f ca="1">IF(CALC2223!AX224&gt;1,INDIRECT(ADDRESS(MATCH(Agenda2526!C225,'CAL1'!A:A,0)+1,3,4,1,"CAL1")),0)</f>
        <v>0</v>
      </c>
      <c r="E224" s="20" t="str">
        <f ca="1">IF(CALC2223!AX224&gt;2,INDIRECT(ADDRESS(MATCH(Agenda2526!C225,'CAL1'!A:A,0)+2,2,4,1,"CAL1")),"")</f>
        <v/>
      </c>
      <c r="F224" s="21">
        <f ca="1">IF(CALC2223!AX224&gt;2,INDIRECT(ADDRESS(MATCH(Agenda2526!C225,'CAL1'!A:A,0)+2,3,4,1,"CAL1")),0)</f>
        <v>0</v>
      </c>
      <c r="G224" s="20" t="str">
        <f ca="1">IF(CALC2223!AY224&gt;0,INDIRECT(ADDRESS(MATCH(Agenda2526!C225,'CAL2'!A:A,0),2,4,1,"CAL2")),"")</f>
        <v/>
      </c>
      <c r="H224" s="21">
        <f ca="1">IF(CALC2223!AY224&gt;0,INDIRECT(ADDRESS(MATCH(Agenda2526!C225,'CAL2'!A:A,0),3,4,1,"CAL2")),0)</f>
        <v>0</v>
      </c>
      <c r="I224" s="20" t="str">
        <f ca="1">IF(CALC2223!AY224&gt;1,INDIRECT(ADDRESS(MATCH(Agenda2526!C225,'CAL2'!A:A,0)+1,2,4,1,"CAL2")),"")</f>
        <v/>
      </c>
      <c r="J224" s="21">
        <f ca="1">IF(CALC2223!AY224&gt;1,INDIRECT(ADDRESS(MATCH(Agenda2526!C225,'CAL2'!A:A,0)+1,3,4,1,"CAL2")),0)</f>
        <v>0</v>
      </c>
      <c r="K224" s="20" t="str">
        <f ca="1">IF(CALC2223!AY224&gt;2,INDIRECT(ADDRESS(MATCH(Agenda2526!C225,'CAL2'!A:A,0)+2,2,4,1,"CAL2")),"")</f>
        <v/>
      </c>
      <c r="L224" s="21">
        <f ca="1">IF(CALC2223!AY224&gt;2,INDIRECT(ADDRESS(MATCH(Agenda2526!C225,'CAL2'!A:A,0)+2,3,4,1,"CAL2")),0)</f>
        <v>0</v>
      </c>
      <c r="M224" s="20" t="str">
        <f ca="1">IF(CALC2223!AZ224&gt;0,INDIRECT(ADDRESS(MATCH(Agenda2526!C225,'CAL3'!A:A,0),2,4,1,"CAL3")),"")</f>
        <v/>
      </c>
      <c r="N224" s="21">
        <f ca="1">IF(CALC2223!AZ224&gt;0,INDIRECT(ADDRESS(MATCH(Agenda2526!C225,'CAL3'!A:A,0),3,4,1,"CAL3")),0)</f>
        <v>0</v>
      </c>
      <c r="O224" s="20" t="str">
        <f ca="1">IF(CALC2223!AZ224&gt;1,INDIRECT(ADDRESS(MATCH(Agenda2526!C225,'CAL3'!A:A,0)+1,2,4,1,"CAL3")),"")</f>
        <v/>
      </c>
      <c r="P224" s="21">
        <f ca="1">IF(CALC2223!AZ224&gt;1,INDIRECT(ADDRESS(MATCH(Agenda2526!C225,'CAL3'!A:A,0)+1,3,4,1,"CAL3")),0)</f>
        <v>0</v>
      </c>
      <c r="Q224" s="20" t="str">
        <f ca="1">IF(CALC2223!AZ224&gt;2,INDIRECT(ADDRESS(MATCH(Agenda2526!C225,'CAL3'!A:A,0)+2,2,4,1,"CAL3")),"")</f>
        <v/>
      </c>
      <c r="R224" s="21">
        <f ca="1">IF(CALC2223!AZ224&gt;2,INDIRECT(ADDRESS(MATCH(Agenda2526!C225,'CAL3'!A:A,0)+2,3,4,1,"CAL3")),0)</f>
        <v>0</v>
      </c>
      <c r="S224" s="20" t="str">
        <f ca="1">IF(CALC2223!BA224&gt;0,INDIRECT(ADDRESS(MATCH(Agenda2526!C225,'CAL4'!A:A,0),2,4,1,"CAL4")),"")</f>
        <v/>
      </c>
      <c r="T224" s="21">
        <f ca="1">IF(CALC2223!BA224&gt;0,INDIRECT(ADDRESS(MATCH(Agenda2526!C225,'CAL4'!A:A,0),3,4,1,"CAL4")),0)</f>
        <v>0</v>
      </c>
      <c r="U224" s="20" t="str">
        <f ca="1">IF(CALC2223!BA224&gt;1,INDIRECT(ADDRESS(MATCH(Agenda2526!C225,'CAL4'!A:A,0)+1,2,4,1,"CAL4")),"")</f>
        <v/>
      </c>
      <c r="V224" s="21">
        <f ca="1">IF(CALC2223!BA224&gt;1,INDIRECT(ADDRESS(MATCH(Agenda2526!C225,'CAL4'!A:A,0)+1,3,4,1,"CAL4")),0)</f>
        <v>0</v>
      </c>
      <c r="W224" s="20" t="str">
        <f ca="1">IF(CALC2223!BA224&gt;2,INDIRECT(ADDRESS(MATCH(Agenda2526!C225,'CAL4'!A:A,0)+2,2,4,1,"CAL4")),"")</f>
        <v/>
      </c>
      <c r="X224" s="21">
        <f ca="1">IF(CALC2223!BA224&gt;2,INDIRECT(ADDRESS(MATCH(Agenda2526!C225,'CAL4'!A:A,0)+2,3,4,1,"CAL4")),0)</f>
        <v>0</v>
      </c>
      <c r="Y224" s="20" t="str">
        <f ca="1">IF(CALC2223!BB224&gt;0,INDIRECT(ADDRESS(MATCH(Agenda2526!C225,'CAL5'!A:A,0),2,4,1,"CAL5")),"")</f>
        <v/>
      </c>
      <c r="Z224" s="21">
        <f ca="1">IF(CALC2223!BB224&gt;0,INDIRECT(ADDRESS(MATCH(Agenda2526!C225,'CAL5'!A:A,0),3,4,1,"CAL5")),0)</f>
        <v>0</v>
      </c>
      <c r="AA224" s="20" t="str">
        <f ca="1">IF(CALC2223!BB224&gt;1,INDIRECT(ADDRESS(MATCH(Agenda2526!C225,'CAL5'!A:A,0)+1,2,4,1,"CAL5")),"")</f>
        <v/>
      </c>
      <c r="AB224" s="21">
        <f ca="1">IF(CALC2223!BB224&gt;1,INDIRECT(ADDRESS(MATCH(Agenda2526!C225,'CAL5'!A:A,0)+1,3,4,1,"CAL5")),0)</f>
        <v>0</v>
      </c>
      <c r="AC224" s="20" t="str">
        <f ca="1">IF(CALC2223!BB224&gt;2,INDIRECT(ADDRESS(MATCH(Agenda2526!C225,'CAL5'!A:A,0)+2,2,4,1,"CAL5")),"")</f>
        <v/>
      </c>
      <c r="AD224" s="21">
        <f ca="1">IF(CALC2223!BB224&gt;2,INDIRECT(ADDRESS(MATCH(Agenda2526!C225,'CAL5'!A:A,0)+2,3,4,1,"CAL5")),0)</f>
        <v>0</v>
      </c>
      <c r="AE224" s="20" t="str">
        <f ca="1">IF(CALC2223!BC224&gt;0,INDIRECT(ADDRESS(MATCH(Agenda2526!C225,'CAL6'!A:A,0),2,4,1,"CAL6")),"")</f>
        <v/>
      </c>
      <c r="AF224" s="21">
        <f ca="1">IF(CALC2223!BC224&gt;0,INDIRECT(ADDRESS(MATCH(Agenda2526!C225,'CAL6'!A:A,0),3,4,1,"CAL6")),0)</f>
        <v>0</v>
      </c>
      <c r="AG224" s="20" t="str">
        <f ca="1">IF(CALC2223!BC224&gt;1,INDIRECT(ADDRESS(MATCH(Agenda2526!C225,'CAL6'!A:A,0)+1,2,4,1,"CAL6")),"")</f>
        <v/>
      </c>
      <c r="AH224" s="21">
        <f ca="1">IF(CALC2223!BC224&gt;1,INDIRECT(ADDRESS(MATCH(Agenda2526!C225,'CAL6'!A:A,0)+1,3,4,1,"CAL6")),0)</f>
        <v>0</v>
      </c>
      <c r="AI224" s="20" t="str">
        <f ca="1">IF(CALC2223!BC224&gt;2,INDIRECT(ADDRESS(MATCH(Agenda2526!C225,'CAL6'!A:A,0)+2,2,4,1,"CAL6")),"")</f>
        <v/>
      </c>
      <c r="AJ224" s="21">
        <f ca="1">IF(CALC2223!BC224&gt;2,INDIRECT(ADDRESS(MATCH(Agenda2526!C225,'CAL6'!A:A,0)+2,3,4,1,"CAL6")),0)</f>
        <v>0</v>
      </c>
      <c r="AK224" s="20" t="str">
        <f ca="1">IF(CALC2223!BD224&gt;0,INDIRECT(ADDRESS(MATCH(Agenda2526!C225,'CAL7'!A:A,0),2,4,1,"CAL7")),"")</f>
        <v/>
      </c>
      <c r="AL224" s="21">
        <f ca="1">IF(CALC2223!BD224&gt;0,INDIRECT(ADDRESS(MATCH(Agenda2526!C225,'CAL7'!A:A,0),3,4,1,"CAL7")),0)</f>
        <v>0</v>
      </c>
      <c r="AM224" s="20" t="str">
        <f ca="1">IF(CALC2223!BD224&gt;1,INDIRECT(ADDRESS(MATCH(Agenda2526!C225,'CAL7'!A:A,0)+1,2,4,1,"CAL7")),"")</f>
        <v/>
      </c>
      <c r="AN224" s="21">
        <f ca="1">IF(CALC2223!BD224&gt;1,INDIRECT(ADDRESS(MATCH(Agenda2526!C225,'CAL7'!A:A,0)+1,3,4,1,"CAL7")),0)</f>
        <v>0</v>
      </c>
      <c r="AO224" s="20" t="str">
        <f ca="1">IF(CALC2223!BD224&gt;2,INDIRECT(ADDRESS(MATCH(Agenda2526!C225,'CAL7'!A:A,0)+2,2,4,1,"CAL7")),"")</f>
        <v/>
      </c>
      <c r="AP224" s="21">
        <f ca="1">IF(CALC2223!BD224&gt;2,INDIRECT(ADDRESS(MATCH(Agenda2526!C225,'CAL7'!A:A,0)+2,3,4,1,"CAL7")),0)</f>
        <v>0</v>
      </c>
      <c r="AQ224" s="20" t="str">
        <f ca="1">IF(CALC2223!BE224&gt;0,INDIRECT(ADDRESS(MATCH(Agenda2526!C225,'CAL8'!A:A,0),2,4,1,"CAL8")),"")</f>
        <v/>
      </c>
      <c r="AR224" s="21">
        <f ca="1">IF(CALC2223!BE224&gt;0,INDIRECT(ADDRESS(MATCH(Agenda2526!C225,'CAL8'!A:A,0),3,4,1,"CAL8")),0)</f>
        <v>0</v>
      </c>
      <c r="AS224" s="20" t="str">
        <f ca="1">IF(CALC2223!BE224&gt;1,INDIRECT(ADDRESS(MATCH(Agenda2526!C225,'CAL8'!A:A,0)+1,2,4,1,"CAL8")),"")</f>
        <v/>
      </c>
      <c r="AT224" s="21">
        <f ca="1">IF(CALC2223!BE224&gt;1,INDIRECT(ADDRESS(MATCH(Agenda2526!C225,'CAL8'!A:A,0)+1,3,4,1,"CAL8")),0)</f>
        <v>0</v>
      </c>
      <c r="AU224" s="20" t="str">
        <f ca="1">IF(CALC2223!BE224&gt;2,INDIRECT(ADDRESS(MATCH(Agenda2526!C225,'CAL8'!A:A,0)+2,2,4,1,"CAL8")),"")</f>
        <v/>
      </c>
      <c r="AV224" s="21">
        <f ca="1">IF(CALC2223!BE224&gt;2,INDIRECT(ADDRESS(MATCH(Agenda2526!C225,'CAL8'!A:A,0)+2,3,4,1,"CAL8")),0)</f>
        <v>0</v>
      </c>
      <c r="AW224" s="106"/>
      <c r="AX224" s="20">
        <f>COUNTIF('CAL1'!A:A,Agenda2526!C225)</f>
        <v>0</v>
      </c>
      <c r="AY224" s="20">
        <f>COUNTIF('CAL2'!A:A,Agenda2526!C225)</f>
        <v>0</v>
      </c>
      <c r="AZ224" s="20">
        <f>COUNTIF('CAL3'!A:A,Agenda2526!C225)</f>
        <v>0</v>
      </c>
      <c r="BA224" s="20">
        <f>COUNTIF('CAL4'!A:A,Agenda2526!C225)</f>
        <v>0</v>
      </c>
      <c r="BB224" s="20">
        <f>COUNTIF('CAL5'!A:A,Agenda2526!C225)</f>
        <v>0</v>
      </c>
      <c r="BC224" s="20">
        <f>COUNTIF('CAL6'!A:A,Agenda2526!C225)</f>
        <v>0</v>
      </c>
      <c r="BD224" s="20">
        <f>COUNTIF('CAL7'!A:A,Agenda2526!C225)</f>
        <v>0</v>
      </c>
      <c r="BE224" s="20">
        <f>COUNTIF('CAL8'!A:A,Agenda2526!C225)</f>
        <v>0</v>
      </c>
    </row>
    <row r="225" spans="1:57" ht="15.75" customHeight="1">
      <c r="A225" s="20" t="str">
        <f ca="1">IF(CALC2223!AX225&gt;0,INDIRECT(ADDRESS(MATCH(Agenda2526!C226,'CAL1'!A:A,0),2,4,1,"CAL1")),"")</f>
        <v/>
      </c>
      <c r="B225" s="21">
        <f ca="1">IF(CALC2223!AX225&gt;0,INDIRECT(ADDRESS(MATCH(Agenda2526!C226,'CAL1'!A:A,0),3,4,1,"CAL1")),0)</f>
        <v>0</v>
      </c>
      <c r="C225" s="20" t="str">
        <f ca="1">IF(CALC2223!AX225&gt;1,INDIRECT(ADDRESS(MATCH(Agenda2526!C226,'CAL1'!A:A,0)+1,2,4,1,"CAL1")),"")</f>
        <v/>
      </c>
      <c r="D225" s="21">
        <f ca="1">IF(CALC2223!AX225&gt;1,INDIRECT(ADDRESS(MATCH(Agenda2526!C226,'CAL1'!A:A,0)+1,3,4,1,"CAL1")),0)</f>
        <v>0</v>
      </c>
      <c r="E225" s="20" t="str">
        <f ca="1">IF(CALC2223!AX225&gt;2,INDIRECT(ADDRESS(MATCH(Agenda2526!C226,'CAL1'!A:A,0)+2,2,4,1,"CAL1")),"")</f>
        <v/>
      </c>
      <c r="F225" s="21">
        <f ca="1">IF(CALC2223!AX225&gt;2,INDIRECT(ADDRESS(MATCH(Agenda2526!C226,'CAL1'!A:A,0)+2,3,4,1,"CAL1")),0)</f>
        <v>0</v>
      </c>
      <c r="G225" s="20" t="str">
        <f ca="1">IF(CALC2223!AY225&gt;0,INDIRECT(ADDRESS(MATCH(Agenda2526!C226,'CAL2'!A:A,0),2,4,1,"CAL2")),"")</f>
        <v/>
      </c>
      <c r="H225" s="21">
        <f ca="1">IF(CALC2223!AY225&gt;0,INDIRECT(ADDRESS(MATCH(Agenda2526!C226,'CAL2'!A:A,0),3,4,1,"CAL2")),0)</f>
        <v>0</v>
      </c>
      <c r="I225" s="20" t="str">
        <f ca="1">IF(CALC2223!AY225&gt;1,INDIRECT(ADDRESS(MATCH(Agenda2526!C226,'CAL2'!A:A,0)+1,2,4,1,"CAL2")),"")</f>
        <v/>
      </c>
      <c r="J225" s="21">
        <f ca="1">IF(CALC2223!AY225&gt;1,INDIRECT(ADDRESS(MATCH(Agenda2526!C226,'CAL2'!A:A,0)+1,3,4,1,"CAL2")),0)</f>
        <v>0</v>
      </c>
      <c r="K225" s="20" t="str">
        <f ca="1">IF(CALC2223!AY225&gt;2,INDIRECT(ADDRESS(MATCH(Agenda2526!C226,'CAL2'!A:A,0)+2,2,4,1,"CAL2")),"")</f>
        <v/>
      </c>
      <c r="L225" s="21">
        <f ca="1">IF(CALC2223!AY225&gt;2,INDIRECT(ADDRESS(MATCH(Agenda2526!C226,'CAL2'!A:A,0)+2,3,4,1,"CAL2")),0)</f>
        <v>0</v>
      </c>
      <c r="M225" s="20" t="str">
        <f ca="1">IF(CALC2223!AZ225&gt;0,INDIRECT(ADDRESS(MATCH(Agenda2526!C226,'CAL3'!A:A,0),2,4,1,"CAL3")),"")</f>
        <v/>
      </c>
      <c r="N225" s="21">
        <f ca="1">IF(CALC2223!AZ225&gt;0,INDIRECT(ADDRESS(MATCH(Agenda2526!C226,'CAL3'!A:A,0),3,4,1,"CAL3")),0)</f>
        <v>0</v>
      </c>
      <c r="O225" s="20" t="str">
        <f ca="1">IF(CALC2223!AZ225&gt;1,INDIRECT(ADDRESS(MATCH(Agenda2526!C226,'CAL3'!A:A,0)+1,2,4,1,"CAL3")),"")</f>
        <v/>
      </c>
      <c r="P225" s="21">
        <f ca="1">IF(CALC2223!AZ225&gt;1,INDIRECT(ADDRESS(MATCH(Agenda2526!C226,'CAL3'!A:A,0)+1,3,4,1,"CAL3")),0)</f>
        <v>0</v>
      </c>
      <c r="Q225" s="20" t="str">
        <f ca="1">IF(CALC2223!AZ225&gt;2,INDIRECT(ADDRESS(MATCH(Agenda2526!C226,'CAL3'!A:A,0)+2,2,4,1,"CAL3")),"")</f>
        <v/>
      </c>
      <c r="R225" s="21">
        <f ca="1">IF(CALC2223!AZ225&gt;2,INDIRECT(ADDRESS(MATCH(Agenda2526!C226,'CAL3'!A:A,0)+2,3,4,1,"CAL3")),0)</f>
        <v>0</v>
      </c>
      <c r="S225" s="20" t="str">
        <f ca="1">IF(CALC2223!BA225&gt;0,INDIRECT(ADDRESS(MATCH(Agenda2526!C226,'CAL4'!A:A,0),2,4,1,"CAL4")),"")</f>
        <v/>
      </c>
      <c r="T225" s="21">
        <f ca="1">IF(CALC2223!BA225&gt;0,INDIRECT(ADDRESS(MATCH(Agenda2526!C226,'CAL4'!A:A,0),3,4,1,"CAL4")),0)</f>
        <v>0</v>
      </c>
      <c r="U225" s="20" t="str">
        <f ca="1">IF(CALC2223!BA225&gt;1,INDIRECT(ADDRESS(MATCH(Agenda2526!C226,'CAL4'!A:A,0)+1,2,4,1,"CAL4")),"")</f>
        <v/>
      </c>
      <c r="V225" s="21">
        <f ca="1">IF(CALC2223!BA225&gt;1,INDIRECT(ADDRESS(MATCH(Agenda2526!C226,'CAL4'!A:A,0)+1,3,4,1,"CAL4")),0)</f>
        <v>0</v>
      </c>
      <c r="W225" s="20" t="str">
        <f ca="1">IF(CALC2223!BA225&gt;2,INDIRECT(ADDRESS(MATCH(Agenda2526!C226,'CAL4'!A:A,0)+2,2,4,1,"CAL4")),"")</f>
        <v/>
      </c>
      <c r="X225" s="21">
        <f ca="1">IF(CALC2223!BA225&gt;2,INDIRECT(ADDRESS(MATCH(Agenda2526!C226,'CAL4'!A:A,0)+2,3,4,1,"CAL4")),0)</f>
        <v>0</v>
      </c>
      <c r="Y225" s="20" t="str">
        <f ca="1">IF(CALC2223!BB225&gt;0,INDIRECT(ADDRESS(MATCH(Agenda2526!C226,'CAL5'!A:A,0),2,4,1,"CAL5")),"")</f>
        <v/>
      </c>
      <c r="Z225" s="21">
        <f ca="1">IF(CALC2223!BB225&gt;0,INDIRECT(ADDRESS(MATCH(Agenda2526!C226,'CAL5'!A:A,0),3,4,1,"CAL5")),0)</f>
        <v>0</v>
      </c>
      <c r="AA225" s="20" t="str">
        <f ca="1">IF(CALC2223!BB225&gt;1,INDIRECT(ADDRESS(MATCH(Agenda2526!C226,'CAL5'!A:A,0)+1,2,4,1,"CAL5")),"")</f>
        <v/>
      </c>
      <c r="AB225" s="21">
        <f ca="1">IF(CALC2223!BB225&gt;1,INDIRECT(ADDRESS(MATCH(Agenda2526!C226,'CAL5'!A:A,0)+1,3,4,1,"CAL5")),0)</f>
        <v>0</v>
      </c>
      <c r="AC225" s="20" t="str">
        <f ca="1">IF(CALC2223!BB225&gt;2,INDIRECT(ADDRESS(MATCH(Agenda2526!C226,'CAL5'!A:A,0)+2,2,4,1,"CAL5")),"")</f>
        <v/>
      </c>
      <c r="AD225" s="21">
        <f ca="1">IF(CALC2223!BB225&gt;2,INDIRECT(ADDRESS(MATCH(Agenda2526!C226,'CAL5'!A:A,0)+2,3,4,1,"CAL5")),0)</f>
        <v>0</v>
      </c>
      <c r="AE225" s="20" t="str">
        <f ca="1">IF(CALC2223!BC225&gt;0,INDIRECT(ADDRESS(MATCH(Agenda2526!C226,'CAL6'!A:A,0),2,4,1,"CAL6")),"")</f>
        <v/>
      </c>
      <c r="AF225" s="21">
        <f ca="1">IF(CALC2223!BC225&gt;0,INDIRECT(ADDRESS(MATCH(Agenda2526!C226,'CAL6'!A:A,0),3,4,1,"CAL6")),0)</f>
        <v>0</v>
      </c>
      <c r="AG225" s="20" t="str">
        <f ca="1">IF(CALC2223!BC225&gt;1,INDIRECT(ADDRESS(MATCH(Agenda2526!C226,'CAL6'!A:A,0)+1,2,4,1,"CAL6")),"")</f>
        <v/>
      </c>
      <c r="AH225" s="21">
        <f ca="1">IF(CALC2223!BC225&gt;1,INDIRECT(ADDRESS(MATCH(Agenda2526!C226,'CAL6'!A:A,0)+1,3,4,1,"CAL6")),0)</f>
        <v>0</v>
      </c>
      <c r="AI225" s="20" t="str">
        <f ca="1">IF(CALC2223!BC225&gt;2,INDIRECT(ADDRESS(MATCH(Agenda2526!C226,'CAL6'!A:A,0)+2,2,4,1,"CAL6")),"")</f>
        <v/>
      </c>
      <c r="AJ225" s="21">
        <f ca="1">IF(CALC2223!BC225&gt;2,INDIRECT(ADDRESS(MATCH(Agenda2526!C226,'CAL6'!A:A,0)+2,3,4,1,"CAL6")),0)</f>
        <v>0</v>
      </c>
      <c r="AK225" s="20" t="str">
        <f ca="1">IF(CALC2223!BD225&gt;0,INDIRECT(ADDRESS(MATCH(Agenda2526!C226,'CAL7'!A:A,0),2,4,1,"CAL7")),"")</f>
        <v/>
      </c>
      <c r="AL225" s="21">
        <f ca="1">IF(CALC2223!BD225&gt;0,INDIRECT(ADDRESS(MATCH(Agenda2526!C226,'CAL7'!A:A,0),3,4,1,"CAL7")),0)</f>
        <v>0</v>
      </c>
      <c r="AM225" s="20" t="str">
        <f ca="1">IF(CALC2223!BD225&gt;1,INDIRECT(ADDRESS(MATCH(Agenda2526!C226,'CAL7'!A:A,0)+1,2,4,1,"CAL7")),"")</f>
        <v/>
      </c>
      <c r="AN225" s="21">
        <f ca="1">IF(CALC2223!BD225&gt;1,INDIRECT(ADDRESS(MATCH(Agenda2526!C226,'CAL7'!A:A,0)+1,3,4,1,"CAL7")),0)</f>
        <v>0</v>
      </c>
      <c r="AO225" s="20" t="str">
        <f ca="1">IF(CALC2223!BD225&gt;2,INDIRECT(ADDRESS(MATCH(Agenda2526!C226,'CAL7'!A:A,0)+2,2,4,1,"CAL7")),"")</f>
        <v/>
      </c>
      <c r="AP225" s="21">
        <f ca="1">IF(CALC2223!BD225&gt;2,INDIRECT(ADDRESS(MATCH(Agenda2526!C226,'CAL7'!A:A,0)+2,3,4,1,"CAL7")),0)</f>
        <v>0</v>
      </c>
      <c r="AQ225" s="20" t="str">
        <f ca="1">IF(CALC2223!BE225&gt;0,INDIRECT(ADDRESS(MATCH(Agenda2526!C226,'CAL8'!A:A,0),2,4,1,"CAL8")),"")</f>
        <v/>
      </c>
      <c r="AR225" s="21">
        <f ca="1">IF(CALC2223!BE225&gt;0,INDIRECT(ADDRESS(MATCH(Agenda2526!C226,'CAL8'!A:A,0),3,4,1,"CAL8")),0)</f>
        <v>0</v>
      </c>
      <c r="AS225" s="20" t="str">
        <f ca="1">IF(CALC2223!BE225&gt;1,INDIRECT(ADDRESS(MATCH(Agenda2526!C226,'CAL8'!A:A,0)+1,2,4,1,"CAL8")),"")</f>
        <v/>
      </c>
      <c r="AT225" s="21">
        <f ca="1">IF(CALC2223!BE225&gt;1,INDIRECT(ADDRESS(MATCH(Agenda2526!C226,'CAL8'!A:A,0)+1,3,4,1,"CAL8")),0)</f>
        <v>0</v>
      </c>
      <c r="AU225" s="20" t="str">
        <f ca="1">IF(CALC2223!BE225&gt;2,INDIRECT(ADDRESS(MATCH(Agenda2526!C226,'CAL8'!A:A,0)+2,2,4,1,"CAL8")),"")</f>
        <v/>
      </c>
      <c r="AV225" s="21">
        <f ca="1">IF(CALC2223!BE225&gt;2,INDIRECT(ADDRESS(MATCH(Agenda2526!C226,'CAL8'!A:A,0)+2,3,4,1,"CAL8")),0)</f>
        <v>0</v>
      </c>
      <c r="AW225" s="106"/>
      <c r="AX225" s="20">
        <f>COUNTIF('CAL1'!A:A,Agenda2526!C226)</f>
        <v>0</v>
      </c>
      <c r="AY225" s="20">
        <f>COUNTIF('CAL2'!A:A,Agenda2526!C226)</f>
        <v>0</v>
      </c>
      <c r="AZ225" s="20">
        <f>COUNTIF('CAL3'!A:A,Agenda2526!C226)</f>
        <v>0</v>
      </c>
      <c r="BA225" s="20">
        <f>COUNTIF('CAL4'!A:A,Agenda2526!C226)</f>
        <v>0</v>
      </c>
      <c r="BB225" s="20">
        <f>COUNTIF('CAL5'!A:A,Agenda2526!C226)</f>
        <v>0</v>
      </c>
      <c r="BC225" s="20">
        <f>COUNTIF('CAL6'!A:A,Agenda2526!C226)</f>
        <v>0</v>
      </c>
      <c r="BD225" s="20">
        <f>COUNTIF('CAL7'!A:A,Agenda2526!C226)</f>
        <v>0</v>
      </c>
      <c r="BE225" s="20">
        <f>COUNTIF('CAL8'!A:A,Agenda2526!C226)</f>
        <v>0</v>
      </c>
    </row>
    <row r="226" spans="1:57" ht="15.75" customHeight="1">
      <c r="A226" s="20" t="str">
        <f ca="1">IF(CALC2223!AX226&gt;0,INDIRECT(ADDRESS(MATCH(Agenda2526!C227,'CAL1'!A:A,0),2,4,1,"CAL1")),"")</f>
        <v/>
      </c>
      <c r="B226" s="21">
        <f ca="1">IF(CALC2223!AX226&gt;0,INDIRECT(ADDRESS(MATCH(Agenda2526!C227,'CAL1'!A:A,0),3,4,1,"CAL1")),0)</f>
        <v>0</v>
      </c>
      <c r="C226" s="20" t="str">
        <f ca="1">IF(CALC2223!AX226&gt;1,INDIRECT(ADDRESS(MATCH(Agenda2526!C227,'CAL1'!A:A,0)+1,2,4,1,"CAL1")),"")</f>
        <v/>
      </c>
      <c r="D226" s="21">
        <f ca="1">IF(CALC2223!AX226&gt;1,INDIRECT(ADDRESS(MATCH(Agenda2526!C227,'CAL1'!A:A,0)+1,3,4,1,"CAL1")),0)</f>
        <v>0</v>
      </c>
      <c r="E226" s="20" t="str">
        <f ca="1">IF(CALC2223!AX226&gt;2,INDIRECT(ADDRESS(MATCH(Agenda2526!C227,'CAL1'!A:A,0)+2,2,4,1,"CAL1")),"")</f>
        <v/>
      </c>
      <c r="F226" s="21">
        <f ca="1">IF(CALC2223!AX226&gt;2,INDIRECT(ADDRESS(MATCH(Agenda2526!C227,'CAL1'!A:A,0)+2,3,4,1,"CAL1")),0)</f>
        <v>0</v>
      </c>
      <c r="G226" s="20" t="str">
        <f ca="1">IF(CALC2223!AY226&gt;0,INDIRECT(ADDRESS(MATCH(Agenda2526!C227,'CAL2'!A:A,0),2,4,1,"CAL2")),"")</f>
        <v/>
      </c>
      <c r="H226" s="21">
        <f ca="1">IF(CALC2223!AY226&gt;0,INDIRECT(ADDRESS(MATCH(Agenda2526!C227,'CAL2'!A:A,0),3,4,1,"CAL2")),0)</f>
        <v>0</v>
      </c>
      <c r="I226" s="20" t="str">
        <f ca="1">IF(CALC2223!AY226&gt;1,INDIRECT(ADDRESS(MATCH(Agenda2526!C227,'CAL2'!A:A,0)+1,2,4,1,"CAL2")),"")</f>
        <v/>
      </c>
      <c r="J226" s="21">
        <f ca="1">IF(CALC2223!AY226&gt;1,INDIRECT(ADDRESS(MATCH(Agenda2526!C227,'CAL2'!A:A,0)+1,3,4,1,"CAL2")),0)</f>
        <v>0</v>
      </c>
      <c r="K226" s="20" t="str">
        <f ca="1">IF(CALC2223!AY226&gt;2,INDIRECT(ADDRESS(MATCH(Agenda2526!C227,'CAL2'!A:A,0)+2,2,4,1,"CAL2")),"")</f>
        <v/>
      </c>
      <c r="L226" s="21">
        <f ca="1">IF(CALC2223!AY226&gt;2,INDIRECT(ADDRESS(MATCH(Agenda2526!C227,'CAL2'!A:A,0)+2,3,4,1,"CAL2")),0)</f>
        <v>0</v>
      </c>
      <c r="M226" s="20" t="str">
        <f ca="1">IF(CALC2223!AZ226&gt;0,INDIRECT(ADDRESS(MATCH(Agenda2526!C227,'CAL3'!A:A,0),2,4,1,"CAL3")),"")</f>
        <v>gedag</v>
      </c>
      <c r="N226" s="21">
        <f ca="1">IF(CALC2223!AZ226&gt;0,INDIRECT(ADDRESS(MATCH(Agenda2526!C227,'CAL3'!A:A,0),3,4,1,"CAL3")),0)</f>
        <v>46066</v>
      </c>
      <c r="O226" s="20" t="str">
        <f ca="1">IF(CALC2223!AZ226&gt;1,INDIRECT(ADDRESS(MATCH(Agenda2526!C227,'CAL3'!A:A,0)+1,2,4,1,"CAL3")),"")</f>
        <v/>
      </c>
      <c r="P226" s="21">
        <f ca="1">IF(CALC2223!AZ226&gt;1,INDIRECT(ADDRESS(MATCH(Agenda2526!C227,'CAL3'!A:A,0)+1,3,4,1,"CAL3")),0)</f>
        <v>0</v>
      </c>
      <c r="Q226" s="20" t="str">
        <f ca="1">IF(CALC2223!AZ226&gt;2,INDIRECT(ADDRESS(MATCH(Agenda2526!C227,'CAL3'!A:A,0)+2,2,4,1,"CAL3")),"")</f>
        <v/>
      </c>
      <c r="R226" s="21">
        <f ca="1">IF(CALC2223!AZ226&gt;2,INDIRECT(ADDRESS(MATCH(Agenda2526!C227,'CAL3'!A:A,0)+2,3,4,1,"CAL3")),0)</f>
        <v>0</v>
      </c>
      <c r="S226" s="20" t="str">
        <f ca="1">IF(CALC2223!BA226&gt;0,INDIRECT(ADDRESS(MATCH(Agenda2526!C227,'CAL4'!A:A,0),2,4,1,"CAL4")),"")</f>
        <v/>
      </c>
      <c r="T226" s="21">
        <f ca="1">IF(CALC2223!BA226&gt;0,INDIRECT(ADDRESS(MATCH(Agenda2526!C227,'CAL4'!A:A,0),3,4,1,"CAL4")),0)</f>
        <v>0</v>
      </c>
      <c r="U226" s="20" t="str">
        <f ca="1">IF(CALC2223!BA226&gt;1,INDIRECT(ADDRESS(MATCH(Agenda2526!C227,'CAL4'!A:A,0)+1,2,4,1,"CAL4")),"")</f>
        <v/>
      </c>
      <c r="V226" s="21">
        <f ca="1">IF(CALC2223!BA226&gt;1,INDIRECT(ADDRESS(MATCH(Agenda2526!C227,'CAL4'!A:A,0)+1,3,4,1,"CAL4")),0)</f>
        <v>0</v>
      </c>
      <c r="W226" s="20" t="str">
        <f ca="1">IF(CALC2223!BA226&gt;2,INDIRECT(ADDRESS(MATCH(Agenda2526!C227,'CAL4'!A:A,0)+2,2,4,1,"CAL4")),"")</f>
        <v/>
      </c>
      <c r="X226" s="21">
        <f ca="1">IF(CALC2223!BA226&gt;2,INDIRECT(ADDRESS(MATCH(Agenda2526!C227,'CAL4'!A:A,0)+2,3,4,1,"CAL4")),0)</f>
        <v>0</v>
      </c>
      <c r="Y226" s="20" t="str">
        <f ca="1">IF(CALC2223!BB226&gt;0,INDIRECT(ADDRESS(MATCH(Agenda2526!C227,'CAL5'!A:A,0),2,4,1,"CAL5")),"")</f>
        <v>klreis</v>
      </c>
      <c r="Z226" s="21">
        <f ca="1">IF(CALC2223!BB226&gt;0,INDIRECT(ADDRESS(MATCH(Agenda2526!C227,'CAL5'!A:A,0),3,4,1,"CAL5")),0)</f>
        <v>45896</v>
      </c>
      <c r="AA226" s="20" t="str">
        <f ca="1">IF(CALC2223!BB226&gt;1,INDIRECT(ADDRESS(MATCH(Agenda2526!C227,'CAL5'!A:A,0)+1,2,4,1,"CAL5")),"")</f>
        <v/>
      </c>
      <c r="AB226" s="21">
        <f ca="1">IF(CALC2223!BB226&gt;1,INDIRECT(ADDRESS(MATCH(Agenda2526!C227,'CAL5'!A:A,0)+1,3,4,1,"CAL5")),0)</f>
        <v>0</v>
      </c>
      <c r="AC226" s="20" t="str">
        <f ca="1">IF(CALC2223!BB226&gt;2,INDIRECT(ADDRESS(MATCH(Agenda2526!C227,'CAL5'!A:A,0)+2,2,4,1,"CAL5")),"")</f>
        <v/>
      </c>
      <c r="AD226" s="21">
        <f ca="1">IF(CALC2223!BB226&gt;2,INDIRECT(ADDRESS(MATCH(Agenda2526!C227,'CAL5'!A:A,0)+2,3,4,1,"CAL5")),0)</f>
        <v>0</v>
      </c>
      <c r="AE226" s="20" t="str">
        <f ca="1">IF(CALC2223!BC226&gt;0,INDIRECT(ADDRESS(MATCH(Agenda2526!C227,'CAL6'!A:A,0),2,4,1,"CAL6")),"")</f>
        <v/>
      </c>
      <c r="AF226" s="21">
        <f ca="1">IF(CALC2223!BC226&gt;0,INDIRECT(ADDRESS(MATCH(Agenda2526!C227,'CAL6'!A:A,0),3,4,1,"CAL6")),0)</f>
        <v>0</v>
      </c>
      <c r="AG226" s="20" t="str">
        <f ca="1">IF(CALC2223!BC226&gt;1,INDIRECT(ADDRESS(MATCH(Agenda2526!C227,'CAL6'!A:A,0)+1,2,4,1,"CAL6")),"")</f>
        <v/>
      </c>
      <c r="AH226" s="21">
        <f ca="1">IF(CALC2223!BC226&gt;1,INDIRECT(ADDRESS(MATCH(Agenda2526!C227,'CAL6'!A:A,0)+1,3,4,1,"CAL6")),0)</f>
        <v>0</v>
      </c>
      <c r="AI226" s="20" t="str">
        <f ca="1">IF(CALC2223!BC226&gt;2,INDIRECT(ADDRESS(MATCH(Agenda2526!C227,'CAL6'!A:A,0)+2,2,4,1,"CAL6")),"")</f>
        <v/>
      </c>
      <c r="AJ226" s="21">
        <f ca="1">IF(CALC2223!BC226&gt;2,INDIRECT(ADDRESS(MATCH(Agenda2526!C227,'CAL6'!A:A,0)+2,3,4,1,"CAL6")),0)</f>
        <v>0</v>
      </c>
      <c r="AK226" s="20" t="str">
        <f ca="1">IF(CALC2223!BD226&gt;0,INDIRECT(ADDRESS(MATCH(Agenda2526!C227,'CAL7'!A:A,0),2,4,1,"CAL7")),"")</f>
        <v/>
      </c>
      <c r="AL226" s="21">
        <f ca="1">IF(CALC2223!BD226&gt;0,INDIRECT(ADDRESS(MATCH(Agenda2526!C227,'CAL7'!A:A,0),3,4,1,"CAL7")),0)</f>
        <v>0</v>
      </c>
      <c r="AM226" s="20" t="str">
        <f ca="1">IF(CALC2223!BD226&gt;1,INDIRECT(ADDRESS(MATCH(Agenda2526!C227,'CAL7'!A:A,0)+1,2,4,1,"CAL7")),"")</f>
        <v/>
      </c>
      <c r="AN226" s="21">
        <f ca="1">IF(CALC2223!BD226&gt;1,INDIRECT(ADDRESS(MATCH(Agenda2526!C227,'CAL7'!A:A,0)+1,3,4,1,"CAL7")),0)</f>
        <v>0</v>
      </c>
      <c r="AO226" s="20" t="str">
        <f ca="1">IF(CALC2223!BD226&gt;2,INDIRECT(ADDRESS(MATCH(Agenda2526!C227,'CAL7'!A:A,0)+2,2,4,1,"CAL7")),"")</f>
        <v/>
      </c>
      <c r="AP226" s="21">
        <f ca="1">IF(CALC2223!BD226&gt;2,INDIRECT(ADDRESS(MATCH(Agenda2526!C227,'CAL7'!A:A,0)+2,3,4,1,"CAL7")),0)</f>
        <v>0</v>
      </c>
      <c r="AQ226" s="20" t="str">
        <f ca="1">IF(CALC2223!BE226&gt;0,INDIRECT(ADDRESS(MATCH(Agenda2526!C227,'CAL8'!A:A,0),2,4,1,"CAL8")),"")</f>
        <v>CGUweek3/periode 4</v>
      </c>
      <c r="AR226" s="21">
        <f ca="1">IF(CALC2223!BE226&gt;0,INDIRECT(ADDRESS(MATCH(Agenda2526!C227,'CAL8'!A:A,0),3,4,1,"CAL8")),0)</f>
        <v>45896</v>
      </c>
      <c r="AS226" s="20" t="str">
        <f ca="1">IF(CALC2223!BE226&gt;1,INDIRECT(ADDRESS(MATCH(Agenda2526!C227,'CAL8'!A:A,0)+1,2,4,1,"CAL8")),"")</f>
        <v/>
      </c>
      <c r="AT226" s="21">
        <f ca="1">IF(CALC2223!BE226&gt;1,INDIRECT(ADDRESS(MATCH(Agenda2526!C227,'CAL8'!A:A,0)+1,3,4,1,"CAL8")),0)</f>
        <v>0</v>
      </c>
      <c r="AU226" s="20" t="str">
        <f ca="1">IF(CALC2223!BE226&gt;2,INDIRECT(ADDRESS(MATCH(Agenda2526!C227,'CAL8'!A:A,0)+2,2,4,1,"CAL8")),"")</f>
        <v/>
      </c>
      <c r="AV226" s="21">
        <f ca="1">IF(CALC2223!BE226&gt;2,INDIRECT(ADDRESS(MATCH(Agenda2526!C227,'CAL8'!A:A,0)+2,3,4,1,"CAL8")),0)</f>
        <v>0</v>
      </c>
      <c r="AW226" s="104"/>
      <c r="AX226" s="20">
        <f>COUNTIF('CAL1'!A:A,Agenda2526!C227)</f>
        <v>0</v>
      </c>
      <c r="AY226" s="20">
        <f>COUNTIF('CAL2'!A:A,Agenda2526!C227)</f>
        <v>0</v>
      </c>
      <c r="AZ226" s="20">
        <f>COUNTIF('CAL3'!A:A,Agenda2526!C227)</f>
        <v>1</v>
      </c>
      <c r="BA226" s="20">
        <f>COUNTIF('CAL4'!A:A,Agenda2526!C227)</f>
        <v>0</v>
      </c>
      <c r="BB226" s="20">
        <f>COUNTIF('CAL5'!A:A,Agenda2526!C227)</f>
        <v>1</v>
      </c>
      <c r="BC226" s="20">
        <f>COUNTIF('CAL6'!A:A,Agenda2526!C227)</f>
        <v>0</v>
      </c>
      <c r="BD226" s="20">
        <f>COUNTIF('CAL7'!A:A,Agenda2526!C227)</f>
        <v>0</v>
      </c>
      <c r="BE226" s="20">
        <f>COUNTIF('CAL8'!A:A,Agenda2526!C227)</f>
        <v>1</v>
      </c>
    </row>
    <row r="227" spans="1:57" ht="15.75" customHeight="1">
      <c r="A227" s="20" t="str">
        <f ca="1">IF(CALC2223!AX227&gt;0,INDIRECT(ADDRESS(MATCH(Agenda2526!C228,'CAL1'!A:A,0),2,4,1,"CAL1")),"")</f>
        <v/>
      </c>
      <c r="B227" s="21">
        <f ca="1">IF(CALC2223!AX227&gt;0,INDIRECT(ADDRESS(MATCH(Agenda2526!C228,'CAL1'!A:A,0),3,4,1,"CAL1")),0)</f>
        <v>0</v>
      </c>
      <c r="C227" s="20" t="str">
        <f ca="1">IF(CALC2223!AX227&gt;1,INDIRECT(ADDRESS(MATCH(Agenda2526!C228,'CAL1'!A:A,0)+1,2,4,1,"CAL1")),"")</f>
        <v/>
      </c>
      <c r="D227" s="21">
        <f ca="1">IF(CALC2223!AX227&gt;1,INDIRECT(ADDRESS(MATCH(Agenda2526!C228,'CAL1'!A:A,0)+1,3,4,1,"CAL1")),0)</f>
        <v>0</v>
      </c>
      <c r="E227" s="20" t="str">
        <f ca="1">IF(CALC2223!AX227&gt;2,INDIRECT(ADDRESS(MATCH(Agenda2526!C228,'CAL1'!A:A,0)+2,2,4,1,"CAL1")),"")</f>
        <v/>
      </c>
      <c r="F227" s="21">
        <f ca="1">IF(CALC2223!AX227&gt;2,INDIRECT(ADDRESS(MATCH(Agenda2526!C228,'CAL1'!A:A,0)+2,3,4,1,"CAL1")),0)</f>
        <v>0</v>
      </c>
      <c r="G227" s="20" t="str">
        <f ca="1">IF(CALC2223!AY227&gt;0,INDIRECT(ADDRESS(MATCH(Agenda2526!C228,'CAL2'!A:A,0),2,4,1,"CAL2")),"")</f>
        <v/>
      </c>
      <c r="H227" s="21">
        <f ca="1">IF(CALC2223!AY227&gt;0,INDIRECT(ADDRESS(MATCH(Agenda2526!C228,'CAL2'!A:A,0),3,4,1,"CAL2")),0)</f>
        <v>0</v>
      </c>
      <c r="I227" s="20" t="str">
        <f ca="1">IF(CALC2223!AY227&gt;1,INDIRECT(ADDRESS(MATCH(Agenda2526!C228,'CAL2'!A:A,0)+1,2,4,1,"CAL2")),"")</f>
        <v/>
      </c>
      <c r="J227" s="21">
        <f ca="1">IF(CALC2223!AY227&gt;1,INDIRECT(ADDRESS(MATCH(Agenda2526!C228,'CAL2'!A:A,0)+1,3,4,1,"CAL2")),0)</f>
        <v>0</v>
      </c>
      <c r="K227" s="20" t="str">
        <f ca="1">IF(CALC2223!AY227&gt;2,INDIRECT(ADDRESS(MATCH(Agenda2526!C228,'CAL2'!A:A,0)+2,2,4,1,"CAL2")),"")</f>
        <v/>
      </c>
      <c r="L227" s="21">
        <f ca="1">IF(CALC2223!AY227&gt;2,INDIRECT(ADDRESS(MATCH(Agenda2526!C228,'CAL2'!A:A,0)+2,3,4,1,"CAL2")),0)</f>
        <v>0</v>
      </c>
      <c r="M227" s="20" t="str">
        <f ca="1">IF(CALC2223!AZ227&gt;0,INDIRECT(ADDRESS(MATCH(Agenda2526!C228,'CAL3'!A:A,0),2,4,1,"CAL3")),"")</f>
        <v/>
      </c>
      <c r="N227" s="21">
        <f ca="1">IF(CALC2223!AZ227&gt;0,INDIRECT(ADDRESS(MATCH(Agenda2526!C228,'CAL3'!A:A,0),3,4,1,"CAL3")),0)</f>
        <v>0</v>
      </c>
      <c r="O227" s="20" t="str">
        <f ca="1">IF(CALC2223!AZ227&gt;1,INDIRECT(ADDRESS(MATCH(Agenda2526!C228,'CAL3'!A:A,0)+1,2,4,1,"CAL3")),"")</f>
        <v/>
      </c>
      <c r="P227" s="21">
        <f ca="1">IF(CALC2223!AZ227&gt;1,INDIRECT(ADDRESS(MATCH(Agenda2526!C228,'CAL3'!A:A,0)+1,3,4,1,"CAL3")),0)</f>
        <v>0</v>
      </c>
      <c r="Q227" s="20" t="str">
        <f ca="1">IF(CALC2223!AZ227&gt;2,INDIRECT(ADDRESS(MATCH(Agenda2526!C228,'CAL3'!A:A,0)+2,2,4,1,"CAL3")),"")</f>
        <v/>
      </c>
      <c r="R227" s="21">
        <f ca="1">IF(CALC2223!AZ227&gt;2,INDIRECT(ADDRESS(MATCH(Agenda2526!C228,'CAL3'!A:A,0)+2,3,4,1,"CAL3")),0)</f>
        <v>0</v>
      </c>
      <c r="S227" s="20" t="str">
        <f ca="1">IF(CALC2223!BA227&gt;0,INDIRECT(ADDRESS(MATCH(Agenda2526!C228,'CAL4'!A:A,0),2,4,1,"CAL4")),"")</f>
        <v/>
      </c>
      <c r="T227" s="21">
        <f ca="1">IF(CALC2223!BA227&gt;0,INDIRECT(ADDRESS(MATCH(Agenda2526!C228,'CAL4'!A:A,0),3,4,1,"CAL4")),0)</f>
        <v>0</v>
      </c>
      <c r="U227" s="20" t="str">
        <f ca="1">IF(CALC2223!BA227&gt;1,INDIRECT(ADDRESS(MATCH(Agenda2526!C228,'CAL4'!A:A,0)+1,2,4,1,"CAL4")),"")</f>
        <v/>
      </c>
      <c r="V227" s="21">
        <f ca="1">IF(CALC2223!BA227&gt;1,INDIRECT(ADDRESS(MATCH(Agenda2526!C228,'CAL4'!A:A,0)+1,3,4,1,"CAL4")),0)</f>
        <v>0</v>
      </c>
      <c r="W227" s="20" t="str">
        <f ca="1">IF(CALC2223!BA227&gt;2,INDIRECT(ADDRESS(MATCH(Agenda2526!C228,'CAL4'!A:A,0)+2,2,4,1,"CAL4")),"")</f>
        <v/>
      </c>
      <c r="X227" s="21">
        <f ca="1">IF(CALC2223!BA227&gt;2,INDIRECT(ADDRESS(MATCH(Agenda2526!C228,'CAL4'!A:A,0)+2,3,4,1,"CAL4")),0)</f>
        <v>0</v>
      </c>
      <c r="Y227" s="20" t="str">
        <f ca="1">IF(CALC2223!BB227&gt;0,INDIRECT(ADDRESS(MATCH(Agenda2526!C228,'CAL5'!A:A,0),2,4,1,"CAL5")),"")</f>
        <v>klreis</v>
      </c>
      <c r="Z227" s="21">
        <f ca="1">IF(CALC2223!BB227&gt;0,INDIRECT(ADDRESS(MATCH(Agenda2526!C228,'CAL5'!A:A,0),3,4,1,"CAL5")),0)</f>
        <v>45896</v>
      </c>
      <c r="AA227" s="20" t="str">
        <f ca="1">IF(CALC2223!BB227&gt;1,INDIRECT(ADDRESS(MATCH(Agenda2526!C228,'CAL5'!A:A,0)+1,2,4,1,"CAL5")),"")</f>
        <v/>
      </c>
      <c r="AB227" s="21">
        <f ca="1">IF(CALC2223!BB227&gt;1,INDIRECT(ADDRESS(MATCH(Agenda2526!C228,'CAL5'!A:A,0)+1,3,4,1,"CAL5")),0)</f>
        <v>0</v>
      </c>
      <c r="AC227" s="20" t="str">
        <f ca="1">IF(CALC2223!BB227&gt;2,INDIRECT(ADDRESS(MATCH(Agenda2526!C228,'CAL5'!A:A,0)+2,2,4,1,"CAL5")),"")</f>
        <v/>
      </c>
      <c r="AD227" s="21">
        <f ca="1">IF(CALC2223!BB227&gt;2,INDIRECT(ADDRESS(MATCH(Agenda2526!C228,'CAL5'!A:A,0)+2,3,4,1,"CAL5")),0)</f>
        <v>0</v>
      </c>
      <c r="AE227" s="20" t="str">
        <f ca="1">IF(CALC2223!BC227&gt;0,INDIRECT(ADDRESS(MATCH(Agenda2526!C228,'CAL6'!A:A,0),2,4,1,"CAL6")),"")</f>
        <v/>
      </c>
      <c r="AF227" s="21">
        <f ca="1">IF(CALC2223!BC227&gt;0,INDIRECT(ADDRESS(MATCH(Agenda2526!C228,'CAL6'!A:A,0),3,4,1,"CAL6")),0)</f>
        <v>0</v>
      </c>
      <c r="AG227" s="20" t="str">
        <f ca="1">IF(CALC2223!BC227&gt;1,INDIRECT(ADDRESS(MATCH(Agenda2526!C228,'CAL6'!A:A,0)+1,2,4,1,"CAL6")),"")</f>
        <v/>
      </c>
      <c r="AH227" s="21">
        <f ca="1">IF(CALC2223!BC227&gt;1,INDIRECT(ADDRESS(MATCH(Agenda2526!C228,'CAL6'!A:A,0)+1,3,4,1,"CAL6")),0)</f>
        <v>0</v>
      </c>
      <c r="AI227" s="20" t="str">
        <f ca="1">IF(CALC2223!BC227&gt;2,INDIRECT(ADDRESS(MATCH(Agenda2526!C228,'CAL6'!A:A,0)+2,2,4,1,"CAL6")),"")</f>
        <v/>
      </c>
      <c r="AJ227" s="21">
        <f ca="1">IF(CALC2223!BC227&gt;2,INDIRECT(ADDRESS(MATCH(Agenda2526!C228,'CAL6'!A:A,0)+2,3,4,1,"CAL6")),0)</f>
        <v>0</v>
      </c>
      <c r="AK227" s="20" t="str">
        <f ca="1">IF(CALC2223!BD227&gt;0,INDIRECT(ADDRESS(MATCH(Agenda2526!C228,'CAL7'!A:A,0),2,4,1,"CAL7")),"")</f>
        <v/>
      </c>
      <c r="AL227" s="21">
        <f ca="1">IF(CALC2223!BD227&gt;0,INDIRECT(ADDRESS(MATCH(Agenda2526!C228,'CAL7'!A:A,0),3,4,1,"CAL7")),0)</f>
        <v>0</v>
      </c>
      <c r="AM227" s="20" t="str">
        <f ca="1">IF(CALC2223!BD227&gt;1,INDIRECT(ADDRESS(MATCH(Agenda2526!C228,'CAL7'!A:A,0)+1,2,4,1,"CAL7")),"")</f>
        <v/>
      </c>
      <c r="AN227" s="21">
        <f ca="1">IF(CALC2223!BD227&gt;1,INDIRECT(ADDRESS(MATCH(Agenda2526!C228,'CAL7'!A:A,0)+1,3,4,1,"CAL7")),0)</f>
        <v>0</v>
      </c>
      <c r="AO227" s="20" t="str">
        <f ca="1">IF(CALC2223!BD227&gt;2,INDIRECT(ADDRESS(MATCH(Agenda2526!C228,'CAL7'!A:A,0)+2,2,4,1,"CAL7")),"")</f>
        <v/>
      </c>
      <c r="AP227" s="21">
        <f ca="1">IF(CALC2223!BD227&gt;2,INDIRECT(ADDRESS(MATCH(Agenda2526!C228,'CAL7'!A:A,0)+2,3,4,1,"CAL7")),0)</f>
        <v>0</v>
      </c>
      <c r="AQ227" s="20" t="str">
        <f ca="1">IF(CALC2223!BE227&gt;0,INDIRECT(ADDRESS(MATCH(Agenda2526!C228,'CAL8'!A:A,0),2,4,1,"CAL8")),"")</f>
        <v>CGUweek3</v>
      </c>
      <c r="AR227" s="21">
        <f ca="1">IF(CALC2223!BE227&gt;0,INDIRECT(ADDRESS(MATCH(Agenda2526!C228,'CAL8'!A:A,0),3,4,1,"CAL8")),0)</f>
        <v>45896</v>
      </c>
      <c r="AS227" s="20" t="str">
        <f ca="1">IF(CALC2223!BE227&gt;1,INDIRECT(ADDRESS(MATCH(Agenda2526!C228,'CAL8'!A:A,0)+1,2,4,1,"CAL8")),"")</f>
        <v/>
      </c>
      <c r="AT227" s="21">
        <f ca="1">IF(CALC2223!BE227&gt;1,INDIRECT(ADDRESS(MATCH(Agenda2526!C228,'CAL8'!A:A,0)+1,3,4,1,"CAL8")),0)</f>
        <v>0</v>
      </c>
      <c r="AU227" s="20" t="str">
        <f ca="1">IF(CALC2223!BE227&gt;2,INDIRECT(ADDRESS(MATCH(Agenda2526!C228,'CAL8'!A:A,0)+2,2,4,1,"CAL8")),"")</f>
        <v/>
      </c>
      <c r="AV227" s="21">
        <f ca="1">IF(CALC2223!BE227&gt;2,INDIRECT(ADDRESS(MATCH(Agenda2526!C228,'CAL8'!A:A,0)+2,3,4,1,"CAL8")),0)</f>
        <v>0</v>
      </c>
      <c r="AW227" s="104"/>
      <c r="AX227" s="20">
        <f>COUNTIF('CAL1'!A:A,Agenda2526!C228)</f>
        <v>0</v>
      </c>
      <c r="AY227" s="20">
        <f>COUNTIF('CAL2'!A:A,Agenda2526!C228)</f>
        <v>0</v>
      </c>
      <c r="AZ227" s="20">
        <f>COUNTIF('CAL3'!A:A,Agenda2526!C228)</f>
        <v>0</v>
      </c>
      <c r="BA227" s="20">
        <f>COUNTIF('CAL4'!A:A,Agenda2526!C228)</f>
        <v>0</v>
      </c>
      <c r="BB227" s="20">
        <f>COUNTIF('CAL5'!A:A,Agenda2526!C228)</f>
        <v>1</v>
      </c>
      <c r="BC227" s="20">
        <f>COUNTIF('CAL6'!A:A,Agenda2526!C228)</f>
        <v>0</v>
      </c>
      <c r="BD227" s="20">
        <f>COUNTIF('CAL7'!A:A,Agenda2526!C228)</f>
        <v>0</v>
      </c>
      <c r="BE227" s="20">
        <f>COUNTIF('CAL8'!A:A,Agenda2526!C228)</f>
        <v>1</v>
      </c>
    </row>
    <row r="228" spans="1:57" ht="15.75" customHeight="1">
      <c r="A228" s="20" t="str">
        <f ca="1">IF(CALC2223!AX228&gt;0,INDIRECT(ADDRESS(MATCH(Agenda2526!C229,'CAL1'!A:A,0),2,4,1,"CAL1")),"")</f>
        <v/>
      </c>
      <c r="B228" s="21">
        <f ca="1">IF(CALC2223!AX228&gt;0,INDIRECT(ADDRESS(MATCH(Agenda2526!C229,'CAL1'!A:A,0),3,4,1,"CAL1")),0)</f>
        <v>0</v>
      </c>
      <c r="C228" s="20" t="str">
        <f ca="1">IF(CALC2223!AX228&gt;1,INDIRECT(ADDRESS(MATCH(Agenda2526!C229,'CAL1'!A:A,0)+1,2,4,1,"CAL1")),"")</f>
        <v/>
      </c>
      <c r="D228" s="21">
        <f ca="1">IF(CALC2223!AX228&gt;1,INDIRECT(ADDRESS(MATCH(Agenda2526!C229,'CAL1'!A:A,0)+1,3,4,1,"CAL1")),0)</f>
        <v>0</v>
      </c>
      <c r="E228" s="20" t="str">
        <f ca="1">IF(CALC2223!AX228&gt;2,INDIRECT(ADDRESS(MATCH(Agenda2526!C229,'CAL1'!A:A,0)+2,2,4,1,"CAL1")),"")</f>
        <v/>
      </c>
      <c r="F228" s="21">
        <f ca="1">IF(CALC2223!AX228&gt;2,INDIRECT(ADDRESS(MATCH(Agenda2526!C229,'CAL1'!A:A,0)+2,3,4,1,"CAL1")),0)</f>
        <v>0</v>
      </c>
      <c r="G228" s="20" t="str">
        <f ca="1">IF(CALC2223!AY228&gt;0,INDIRECT(ADDRESS(MATCH(Agenda2526!C229,'CAL2'!A:A,0),2,4,1,"CAL2")),"")</f>
        <v/>
      </c>
      <c r="H228" s="21">
        <f ca="1">IF(CALC2223!AY228&gt;0,INDIRECT(ADDRESS(MATCH(Agenda2526!C229,'CAL2'!A:A,0),3,4,1,"CAL2")),0)</f>
        <v>0</v>
      </c>
      <c r="I228" s="20" t="str">
        <f ca="1">IF(CALC2223!AY228&gt;1,INDIRECT(ADDRESS(MATCH(Agenda2526!C229,'CAL2'!A:A,0)+1,2,4,1,"CAL2")),"")</f>
        <v/>
      </c>
      <c r="J228" s="21">
        <f ca="1">IF(CALC2223!AY228&gt;1,INDIRECT(ADDRESS(MATCH(Agenda2526!C229,'CAL2'!A:A,0)+1,3,4,1,"CAL2")),0)</f>
        <v>0</v>
      </c>
      <c r="K228" s="20" t="str">
        <f ca="1">IF(CALC2223!AY228&gt;2,INDIRECT(ADDRESS(MATCH(Agenda2526!C229,'CAL2'!A:A,0)+2,2,4,1,"CAL2")),"")</f>
        <v/>
      </c>
      <c r="L228" s="21">
        <f ca="1">IF(CALC2223!AY228&gt;2,INDIRECT(ADDRESS(MATCH(Agenda2526!C229,'CAL2'!A:A,0)+2,3,4,1,"CAL2")),0)</f>
        <v>0</v>
      </c>
      <c r="M228" s="20" t="str">
        <f ca="1">IF(CALC2223!AZ228&gt;0,INDIRECT(ADDRESS(MATCH(Agenda2526!C229,'CAL3'!A:A,0),2,4,1,"CAL3")),"")</f>
        <v/>
      </c>
      <c r="N228" s="21">
        <f ca="1">IF(CALC2223!AZ228&gt;0,INDIRECT(ADDRESS(MATCH(Agenda2526!C229,'CAL3'!A:A,0),3,4,1,"CAL3")),0)</f>
        <v>0</v>
      </c>
      <c r="O228" s="20" t="str">
        <f ca="1">IF(CALC2223!AZ228&gt;1,INDIRECT(ADDRESS(MATCH(Agenda2526!C229,'CAL3'!A:A,0)+1,2,4,1,"CAL3")),"")</f>
        <v/>
      </c>
      <c r="P228" s="21">
        <f ca="1">IF(CALC2223!AZ228&gt;1,INDIRECT(ADDRESS(MATCH(Agenda2526!C229,'CAL3'!A:A,0)+1,3,4,1,"CAL3")),0)</f>
        <v>0</v>
      </c>
      <c r="Q228" s="20" t="str">
        <f ca="1">IF(CALC2223!AZ228&gt;2,INDIRECT(ADDRESS(MATCH(Agenda2526!C229,'CAL3'!A:A,0)+2,2,4,1,"CAL3")),"")</f>
        <v/>
      </c>
      <c r="R228" s="21">
        <f ca="1">IF(CALC2223!AZ228&gt;2,INDIRECT(ADDRESS(MATCH(Agenda2526!C229,'CAL3'!A:A,0)+2,3,4,1,"CAL3")),0)</f>
        <v>0</v>
      </c>
      <c r="S228" s="20" t="str">
        <f ca="1">IF(CALC2223!BA228&gt;0,INDIRECT(ADDRESS(MATCH(Agenda2526!C229,'CAL4'!A:A,0),2,4,1,"CAL4")),"")</f>
        <v>Uitreiking MDT</v>
      </c>
      <c r="T228" s="21">
        <f ca="1">IF(CALC2223!BA228&gt;0,INDIRECT(ADDRESS(MATCH(Agenda2526!C229,'CAL4'!A:A,0),3,4,1,"CAL4")),0)</f>
        <v>45896</v>
      </c>
      <c r="U228" s="20" t="str">
        <f ca="1">IF(CALC2223!BA228&gt;1,INDIRECT(ADDRESS(MATCH(Agenda2526!C229,'CAL4'!A:A,0)+1,2,4,1,"CAL4")),"")</f>
        <v/>
      </c>
      <c r="V228" s="21">
        <f ca="1">IF(CALC2223!BA228&gt;1,INDIRECT(ADDRESS(MATCH(Agenda2526!C229,'CAL4'!A:A,0)+1,3,4,1,"CAL4")),0)</f>
        <v>0</v>
      </c>
      <c r="W228" s="20" t="str">
        <f ca="1">IF(CALC2223!BA228&gt;2,INDIRECT(ADDRESS(MATCH(Agenda2526!C229,'CAL4'!A:A,0)+2,2,4,1,"CAL4")),"")</f>
        <v/>
      </c>
      <c r="X228" s="21">
        <f ca="1">IF(CALC2223!BA228&gt;2,INDIRECT(ADDRESS(MATCH(Agenda2526!C229,'CAL4'!A:A,0)+2,3,4,1,"CAL4")),0)</f>
        <v>0</v>
      </c>
      <c r="Y228" s="20" t="str">
        <f ca="1">IF(CALC2223!BB228&gt;0,INDIRECT(ADDRESS(MATCH(Agenda2526!C229,'CAL5'!A:A,0),2,4,1,"CAL5")),"")</f>
        <v>klreis</v>
      </c>
      <c r="Z228" s="21">
        <f ca="1">IF(CALC2223!BB228&gt;0,INDIRECT(ADDRESS(MATCH(Agenda2526!C229,'CAL5'!A:A,0),3,4,1,"CAL5")),0)</f>
        <v>45896</v>
      </c>
      <c r="AA228" s="20" t="str">
        <f ca="1">IF(CALC2223!BB228&gt;1,INDIRECT(ADDRESS(MATCH(Agenda2526!C229,'CAL5'!A:A,0)+1,2,4,1,"CAL5")),"")</f>
        <v/>
      </c>
      <c r="AB228" s="21">
        <f ca="1">IF(CALC2223!BB228&gt;1,INDIRECT(ADDRESS(MATCH(Agenda2526!C229,'CAL5'!A:A,0)+1,3,4,1,"CAL5")),0)</f>
        <v>0</v>
      </c>
      <c r="AC228" s="20" t="str">
        <f ca="1">IF(CALC2223!BB228&gt;2,INDIRECT(ADDRESS(MATCH(Agenda2526!C229,'CAL5'!A:A,0)+2,2,4,1,"CAL5")),"")</f>
        <v/>
      </c>
      <c r="AD228" s="21">
        <f ca="1">IF(CALC2223!BB228&gt;2,INDIRECT(ADDRESS(MATCH(Agenda2526!C229,'CAL5'!A:A,0)+2,3,4,1,"CAL5")),0)</f>
        <v>0</v>
      </c>
      <c r="AE228" s="20" t="str">
        <f ca="1">IF(CALC2223!BC228&gt;0,INDIRECT(ADDRESS(MATCH(Agenda2526!C229,'CAL6'!A:A,0),2,4,1,"CAL6")),"")</f>
        <v/>
      </c>
      <c r="AF228" s="21">
        <f ca="1">IF(CALC2223!BC228&gt;0,INDIRECT(ADDRESS(MATCH(Agenda2526!C229,'CAL6'!A:A,0),3,4,1,"CAL6")),0)</f>
        <v>0</v>
      </c>
      <c r="AG228" s="20" t="str">
        <f ca="1">IF(CALC2223!BC228&gt;1,INDIRECT(ADDRESS(MATCH(Agenda2526!C229,'CAL6'!A:A,0)+1,2,4,1,"CAL6")),"")</f>
        <v/>
      </c>
      <c r="AH228" s="21">
        <f ca="1">IF(CALC2223!BC228&gt;1,INDIRECT(ADDRESS(MATCH(Agenda2526!C229,'CAL6'!A:A,0)+1,3,4,1,"CAL6")),0)</f>
        <v>0</v>
      </c>
      <c r="AI228" s="20" t="str">
        <f ca="1">IF(CALC2223!BC228&gt;2,INDIRECT(ADDRESS(MATCH(Agenda2526!C229,'CAL6'!A:A,0)+2,2,4,1,"CAL6")),"")</f>
        <v/>
      </c>
      <c r="AJ228" s="21">
        <f ca="1">IF(CALC2223!BC228&gt;2,INDIRECT(ADDRESS(MATCH(Agenda2526!C229,'CAL6'!A:A,0)+2,3,4,1,"CAL6")),0)</f>
        <v>0</v>
      </c>
      <c r="AK228" s="20" t="str">
        <f ca="1">IF(CALC2223!BD228&gt;0,INDIRECT(ADDRESS(MATCH(Agenda2526!C229,'CAL7'!A:A,0),2,4,1,"CAL7")),"")</f>
        <v/>
      </c>
      <c r="AL228" s="21">
        <f ca="1">IF(CALC2223!BD228&gt;0,INDIRECT(ADDRESS(MATCH(Agenda2526!C229,'CAL7'!A:A,0),3,4,1,"CAL7")),0)</f>
        <v>0</v>
      </c>
      <c r="AM228" s="20" t="str">
        <f ca="1">IF(CALC2223!BD228&gt;1,INDIRECT(ADDRESS(MATCH(Agenda2526!C229,'CAL7'!A:A,0)+1,2,4,1,"CAL7")),"")</f>
        <v/>
      </c>
      <c r="AN228" s="21">
        <f ca="1">IF(CALC2223!BD228&gt;1,INDIRECT(ADDRESS(MATCH(Agenda2526!C229,'CAL7'!A:A,0)+1,3,4,1,"CAL7")),0)</f>
        <v>0</v>
      </c>
      <c r="AO228" s="20" t="str">
        <f ca="1">IF(CALC2223!BD228&gt;2,INDIRECT(ADDRESS(MATCH(Agenda2526!C229,'CAL7'!A:A,0)+2,2,4,1,"CAL7")),"")</f>
        <v/>
      </c>
      <c r="AP228" s="21">
        <f ca="1">IF(CALC2223!BD228&gt;2,INDIRECT(ADDRESS(MATCH(Agenda2526!C229,'CAL7'!A:A,0)+2,3,4,1,"CAL7")),0)</f>
        <v>0</v>
      </c>
      <c r="AQ228" s="20" t="str">
        <f ca="1">IF(CALC2223!BE228&gt;0,INDIRECT(ADDRESS(MATCH(Agenda2526!C229,'CAL8'!A:A,0),2,4,1,"CAL8")),"")</f>
        <v>CGUweek3</v>
      </c>
      <c r="AR228" s="21">
        <f ca="1">IF(CALC2223!BE228&gt;0,INDIRECT(ADDRESS(MATCH(Agenda2526!C229,'CAL8'!A:A,0),3,4,1,"CAL8")),0)</f>
        <v>45896</v>
      </c>
      <c r="AS228" s="20" t="str">
        <f ca="1">IF(CALC2223!BE228&gt;1,INDIRECT(ADDRESS(MATCH(Agenda2526!C229,'CAL8'!A:A,0)+1,2,4,1,"CAL8")),"")</f>
        <v/>
      </c>
      <c r="AT228" s="21">
        <f ca="1">IF(CALC2223!BE228&gt;1,INDIRECT(ADDRESS(MATCH(Agenda2526!C229,'CAL8'!A:A,0)+1,3,4,1,"CAL8")),0)</f>
        <v>0</v>
      </c>
      <c r="AU228" s="20" t="str">
        <f ca="1">IF(CALC2223!BE228&gt;2,INDIRECT(ADDRESS(MATCH(Agenda2526!C229,'CAL8'!A:A,0)+2,2,4,1,"CAL8")),"")</f>
        <v/>
      </c>
      <c r="AV228" s="21">
        <f ca="1">IF(CALC2223!BE228&gt;2,INDIRECT(ADDRESS(MATCH(Agenda2526!C229,'CAL8'!A:A,0)+2,3,4,1,"CAL8")),0)</f>
        <v>0</v>
      </c>
      <c r="AW228" s="104"/>
      <c r="AX228" s="20">
        <f>COUNTIF('CAL1'!A:A,Agenda2526!C229)</f>
        <v>0</v>
      </c>
      <c r="AY228" s="20">
        <f>COUNTIF('CAL2'!A:A,Agenda2526!C229)</f>
        <v>0</v>
      </c>
      <c r="AZ228" s="20">
        <f>COUNTIF('CAL3'!A:A,Agenda2526!C229)</f>
        <v>0</v>
      </c>
      <c r="BA228" s="20">
        <f>COUNTIF('CAL4'!A:A,Agenda2526!C229)</f>
        <v>1</v>
      </c>
      <c r="BB228" s="20">
        <f>COUNTIF('CAL5'!A:A,Agenda2526!C229)</f>
        <v>1</v>
      </c>
      <c r="BC228" s="20">
        <f>COUNTIF('CAL6'!A:A,Agenda2526!C229)</f>
        <v>0</v>
      </c>
      <c r="BD228" s="20">
        <f>COUNTIF('CAL7'!A:A,Agenda2526!C229)</f>
        <v>0</v>
      </c>
      <c r="BE228" s="20">
        <f>COUNTIF('CAL8'!A:A,Agenda2526!C229)</f>
        <v>1</v>
      </c>
    </row>
    <row r="229" spans="1:57" ht="15.75" customHeight="1">
      <c r="A229" s="20" t="str">
        <f ca="1">IF(CALC2223!AX229&gt;0,INDIRECT(ADDRESS(MATCH(Agenda2526!C230,'CAL1'!A:A,0),2,4,1,"CAL1")),"")</f>
        <v/>
      </c>
      <c r="B229" s="21">
        <f ca="1">IF(CALC2223!AX229&gt;0,INDIRECT(ADDRESS(MATCH(Agenda2526!C230,'CAL1'!A:A,0),3,4,1,"CAL1")),0)</f>
        <v>0</v>
      </c>
      <c r="C229" s="20" t="str">
        <f ca="1">IF(CALC2223!AX229&gt;1,INDIRECT(ADDRESS(MATCH(Agenda2526!C230,'CAL1'!A:A,0)+1,2,4,1,"CAL1")),"")</f>
        <v/>
      </c>
      <c r="D229" s="21">
        <f ca="1">IF(CALC2223!AX229&gt;1,INDIRECT(ADDRESS(MATCH(Agenda2526!C230,'CAL1'!A:A,0)+1,3,4,1,"CAL1")),0)</f>
        <v>0</v>
      </c>
      <c r="E229" s="20" t="str">
        <f ca="1">IF(CALC2223!AX229&gt;2,INDIRECT(ADDRESS(MATCH(Agenda2526!C230,'CAL1'!A:A,0)+2,2,4,1,"CAL1")),"")</f>
        <v/>
      </c>
      <c r="F229" s="21">
        <f ca="1">IF(CALC2223!AX229&gt;2,INDIRECT(ADDRESS(MATCH(Agenda2526!C230,'CAL1'!A:A,0)+2,3,4,1,"CAL1")),0)</f>
        <v>0</v>
      </c>
      <c r="G229" s="20" t="str">
        <f ca="1">IF(CALC2223!AY229&gt;0,INDIRECT(ADDRESS(MATCH(Agenda2526!C230,'CAL2'!A:A,0),2,4,1,"CAL2")),"")</f>
        <v/>
      </c>
      <c r="H229" s="21">
        <f ca="1">IF(CALC2223!AY229&gt;0,INDIRECT(ADDRESS(MATCH(Agenda2526!C230,'CAL2'!A:A,0),3,4,1,"CAL2")),0)</f>
        <v>0</v>
      </c>
      <c r="I229" s="20" t="str">
        <f ca="1">IF(CALC2223!AY229&gt;1,INDIRECT(ADDRESS(MATCH(Agenda2526!C230,'CAL2'!A:A,0)+1,2,4,1,"CAL2")),"")</f>
        <v/>
      </c>
      <c r="J229" s="21">
        <f ca="1">IF(CALC2223!AY229&gt;1,INDIRECT(ADDRESS(MATCH(Agenda2526!C230,'CAL2'!A:A,0)+1,3,4,1,"CAL2")),0)</f>
        <v>0</v>
      </c>
      <c r="K229" s="20" t="str">
        <f ca="1">IF(CALC2223!AY229&gt;2,INDIRECT(ADDRESS(MATCH(Agenda2526!C230,'CAL2'!A:A,0)+2,2,4,1,"CAL2")),"")</f>
        <v/>
      </c>
      <c r="L229" s="21">
        <f ca="1">IF(CALC2223!AY229&gt;2,INDIRECT(ADDRESS(MATCH(Agenda2526!C230,'CAL2'!A:A,0)+2,3,4,1,"CAL2")),0)</f>
        <v>0</v>
      </c>
      <c r="M229" s="20" t="str">
        <f ca="1">IF(CALC2223!AZ229&gt;0,INDIRECT(ADDRESS(MATCH(Agenda2526!C230,'CAL3'!A:A,0),2,4,1,"CAL3")),"")</f>
        <v>Rep DU</v>
      </c>
      <c r="N229" s="21">
        <f ca="1">IF(CALC2223!AZ229&gt;0,INDIRECT(ADDRESS(MATCH(Agenda2526!C230,'CAL3'!A:A,0),3,4,1,"CAL3")),0)</f>
        <v>45903</v>
      </c>
      <c r="O229" s="20" t="str">
        <f ca="1">IF(CALC2223!AZ229&gt;1,INDIRECT(ADDRESS(MATCH(Agenda2526!C230,'CAL3'!A:A,0)+1,2,4,1,"CAL3")),"")</f>
        <v/>
      </c>
      <c r="P229" s="21">
        <f ca="1">IF(CALC2223!AZ229&gt;1,INDIRECT(ADDRESS(MATCH(Agenda2526!C230,'CAL3'!A:A,0)+1,3,4,1,"CAL3")),0)</f>
        <v>0</v>
      </c>
      <c r="Q229" s="20" t="str">
        <f ca="1">IF(CALC2223!AZ229&gt;2,INDIRECT(ADDRESS(MATCH(Agenda2526!C230,'CAL3'!A:A,0)+2,2,4,1,"CAL3")),"")</f>
        <v/>
      </c>
      <c r="R229" s="21">
        <f ca="1">IF(CALC2223!AZ229&gt;2,INDIRECT(ADDRESS(MATCH(Agenda2526!C230,'CAL3'!A:A,0)+2,3,4,1,"CAL3")),0)</f>
        <v>0</v>
      </c>
      <c r="S229" s="20" t="str">
        <f ca="1">IF(CALC2223!BA229&gt;0,INDIRECT(ADDRESS(MATCH(Agenda2526!C230,'CAL4'!A:A,0),2,4,1,"CAL4")),"")</f>
        <v/>
      </c>
      <c r="T229" s="21">
        <f ca="1">IF(CALC2223!BA229&gt;0,INDIRECT(ADDRESS(MATCH(Agenda2526!C230,'CAL4'!A:A,0),3,4,1,"CAL4")),0)</f>
        <v>0</v>
      </c>
      <c r="U229" s="20" t="str">
        <f ca="1">IF(CALC2223!BA229&gt;1,INDIRECT(ADDRESS(MATCH(Agenda2526!C230,'CAL4'!A:A,0)+1,2,4,1,"CAL4")),"")</f>
        <v/>
      </c>
      <c r="V229" s="21">
        <f ca="1">IF(CALC2223!BA229&gt;1,INDIRECT(ADDRESS(MATCH(Agenda2526!C230,'CAL4'!A:A,0)+1,3,4,1,"CAL4")),0)</f>
        <v>0</v>
      </c>
      <c r="W229" s="20" t="str">
        <f ca="1">IF(CALC2223!BA229&gt;2,INDIRECT(ADDRESS(MATCH(Agenda2526!C230,'CAL4'!A:A,0)+2,2,4,1,"CAL4")),"")</f>
        <v/>
      </c>
      <c r="X229" s="21">
        <f ca="1">IF(CALC2223!BA229&gt;2,INDIRECT(ADDRESS(MATCH(Agenda2526!C230,'CAL4'!A:A,0)+2,3,4,1,"CAL4")),0)</f>
        <v>0</v>
      </c>
      <c r="Y229" s="20" t="str">
        <f ca="1">IF(CALC2223!BB229&gt;0,INDIRECT(ADDRESS(MATCH(Agenda2526!C230,'CAL5'!A:A,0),2,4,1,"CAL5")),"")</f>
        <v>klreis</v>
      </c>
      <c r="Z229" s="21">
        <f ca="1">IF(CALC2223!BB229&gt;0,INDIRECT(ADDRESS(MATCH(Agenda2526!C230,'CAL5'!A:A,0),3,4,1,"CAL5")),0)</f>
        <v>45896</v>
      </c>
      <c r="AA229" s="20" t="str">
        <f ca="1">IF(CALC2223!BB229&gt;1,INDIRECT(ADDRESS(MATCH(Agenda2526!C230,'CAL5'!A:A,0)+1,2,4,1,"CAL5")),"")</f>
        <v/>
      </c>
      <c r="AB229" s="21">
        <f ca="1">IF(CALC2223!BB229&gt;1,INDIRECT(ADDRESS(MATCH(Agenda2526!C230,'CAL5'!A:A,0)+1,3,4,1,"CAL5")),0)</f>
        <v>0</v>
      </c>
      <c r="AC229" s="20" t="str">
        <f ca="1">IF(CALC2223!BB229&gt;2,INDIRECT(ADDRESS(MATCH(Agenda2526!C230,'CAL5'!A:A,0)+2,2,4,1,"CAL5")),"")</f>
        <v/>
      </c>
      <c r="AD229" s="21">
        <f ca="1">IF(CALC2223!BB229&gt;2,INDIRECT(ADDRESS(MATCH(Agenda2526!C230,'CAL5'!A:A,0)+2,3,4,1,"CAL5")),0)</f>
        <v>0</v>
      </c>
      <c r="AE229" s="20" t="str">
        <f ca="1">IF(CALC2223!BC229&gt;0,INDIRECT(ADDRESS(MATCH(Agenda2526!C230,'CAL6'!A:A,0),2,4,1,"CAL6")),"")</f>
        <v/>
      </c>
      <c r="AF229" s="21">
        <f ca="1">IF(CALC2223!BC229&gt;0,INDIRECT(ADDRESS(MATCH(Agenda2526!C230,'CAL6'!A:A,0),3,4,1,"CAL6")),0)</f>
        <v>0</v>
      </c>
      <c r="AG229" s="20" t="str">
        <f ca="1">IF(CALC2223!BC229&gt;1,INDIRECT(ADDRESS(MATCH(Agenda2526!C230,'CAL6'!A:A,0)+1,2,4,1,"CAL6")),"")</f>
        <v/>
      </c>
      <c r="AH229" s="21">
        <f ca="1">IF(CALC2223!BC229&gt;1,INDIRECT(ADDRESS(MATCH(Agenda2526!C230,'CAL6'!A:A,0)+1,3,4,1,"CAL6")),0)</f>
        <v>0</v>
      </c>
      <c r="AI229" s="20" t="str">
        <f ca="1">IF(CALC2223!BC229&gt;2,INDIRECT(ADDRESS(MATCH(Agenda2526!C230,'CAL6'!A:A,0)+2,2,4,1,"CAL6")),"")</f>
        <v/>
      </c>
      <c r="AJ229" s="21">
        <f ca="1">IF(CALC2223!BC229&gt;2,INDIRECT(ADDRESS(MATCH(Agenda2526!C230,'CAL6'!A:A,0)+2,3,4,1,"CAL6")),0)</f>
        <v>0</v>
      </c>
      <c r="AK229" s="20" t="str">
        <f ca="1">IF(CALC2223!BD229&gt;0,INDIRECT(ADDRESS(MATCH(Agenda2526!C230,'CAL7'!A:A,0),2,4,1,"CAL7")),"")</f>
        <v>secties#7</v>
      </c>
      <c r="AL229" s="21">
        <f ca="1">IF(CALC2223!BD229&gt;0,INDIRECT(ADDRESS(MATCH(Agenda2526!C230,'CAL7'!A:A,0),3,4,1,"CAL7")),0)</f>
        <v>45896</v>
      </c>
      <c r="AM229" s="20" t="str">
        <f ca="1">IF(CALC2223!BD229&gt;1,INDIRECT(ADDRESS(MATCH(Agenda2526!C230,'CAL7'!A:A,0)+1,2,4,1,"CAL7")),"")</f>
        <v/>
      </c>
      <c r="AN229" s="21">
        <f ca="1">IF(CALC2223!BD229&gt;1,INDIRECT(ADDRESS(MATCH(Agenda2526!C230,'CAL7'!A:A,0)+1,3,4,1,"CAL7")),0)</f>
        <v>0</v>
      </c>
      <c r="AO229" s="20" t="str">
        <f ca="1">IF(CALC2223!BD229&gt;2,INDIRECT(ADDRESS(MATCH(Agenda2526!C230,'CAL7'!A:A,0)+2,2,4,1,"CAL7")),"")</f>
        <v/>
      </c>
      <c r="AP229" s="21">
        <f ca="1">IF(CALC2223!BD229&gt;2,INDIRECT(ADDRESS(MATCH(Agenda2526!C230,'CAL7'!A:A,0)+2,3,4,1,"CAL7")),0)</f>
        <v>0</v>
      </c>
      <c r="AQ229" s="20" t="str">
        <f ca="1">IF(CALC2223!BE229&gt;0,INDIRECT(ADDRESS(MATCH(Agenda2526!C230,'CAL8'!A:A,0),2,4,1,"CAL8")),"")</f>
        <v>CGUweek3</v>
      </c>
      <c r="AR229" s="21">
        <f ca="1">IF(CALC2223!BE229&gt;0,INDIRECT(ADDRESS(MATCH(Agenda2526!C230,'CAL8'!A:A,0),3,4,1,"CAL8")),0)</f>
        <v>45896</v>
      </c>
      <c r="AS229" s="20" t="str">
        <f ca="1">IF(CALC2223!BE229&gt;1,INDIRECT(ADDRESS(MATCH(Agenda2526!C230,'CAL8'!A:A,0)+1,2,4,1,"CAL8")),"")</f>
        <v/>
      </c>
      <c r="AT229" s="21">
        <f ca="1">IF(CALC2223!BE229&gt;1,INDIRECT(ADDRESS(MATCH(Agenda2526!C230,'CAL8'!A:A,0)+1,3,4,1,"CAL8")),0)</f>
        <v>0</v>
      </c>
      <c r="AU229" s="20" t="str">
        <f ca="1">IF(CALC2223!BE229&gt;2,INDIRECT(ADDRESS(MATCH(Agenda2526!C230,'CAL8'!A:A,0)+2,2,4,1,"CAL8")),"")</f>
        <v/>
      </c>
      <c r="AV229" s="21">
        <f ca="1">IF(CALC2223!BE229&gt;2,INDIRECT(ADDRESS(MATCH(Agenda2526!C230,'CAL8'!A:A,0)+2,3,4,1,"CAL8")),0)</f>
        <v>0</v>
      </c>
      <c r="AW229" s="104"/>
      <c r="AX229" s="20">
        <f>COUNTIF('CAL1'!A:A,Agenda2526!C230)</f>
        <v>0</v>
      </c>
      <c r="AY229" s="20">
        <f>COUNTIF('CAL2'!A:A,Agenda2526!C230)</f>
        <v>0</v>
      </c>
      <c r="AZ229" s="20">
        <f>COUNTIF('CAL3'!A:A,Agenda2526!C230)</f>
        <v>1</v>
      </c>
      <c r="BA229" s="20">
        <f>COUNTIF('CAL4'!A:A,Agenda2526!C230)</f>
        <v>0</v>
      </c>
      <c r="BB229" s="20">
        <f>COUNTIF('CAL5'!A:A,Agenda2526!C230)</f>
        <v>1</v>
      </c>
      <c r="BC229" s="20">
        <f>COUNTIF('CAL6'!A:A,Agenda2526!C230)</f>
        <v>0</v>
      </c>
      <c r="BD229" s="20">
        <f>COUNTIF('CAL7'!A:A,Agenda2526!C230)</f>
        <v>1</v>
      </c>
      <c r="BE229" s="20">
        <f>COUNTIF('CAL8'!A:A,Agenda2526!C230)</f>
        <v>1</v>
      </c>
    </row>
    <row r="230" spans="1:57" ht="15.75" customHeight="1">
      <c r="A230" s="20" t="str">
        <f ca="1">IF(CALC2223!AX230&gt;0,INDIRECT(ADDRESS(MATCH(Agenda2526!C231,'CAL1'!A:A,0),2,4,1,"CAL1")),"")</f>
        <v/>
      </c>
      <c r="B230" s="21">
        <f ca="1">IF(CALC2223!AX230&gt;0,INDIRECT(ADDRESS(MATCH(Agenda2526!C231,'CAL1'!A:A,0),3,4,1,"CAL1")),0)</f>
        <v>0</v>
      </c>
      <c r="C230" s="20" t="str">
        <f ca="1">IF(CALC2223!AX230&gt;1,INDIRECT(ADDRESS(MATCH(Agenda2526!C231,'CAL1'!A:A,0)+1,2,4,1,"CAL1")),"")</f>
        <v/>
      </c>
      <c r="D230" s="21">
        <f ca="1">IF(CALC2223!AX230&gt;1,INDIRECT(ADDRESS(MATCH(Agenda2526!C231,'CAL1'!A:A,0)+1,3,4,1,"CAL1")),0)</f>
        <v>0</v>
      </c>
      <c r="E230" s="20" t="str">
        <f ca="1">IF(CALC2223!AX230&gt;2,INDIRECT(ADDRESS(MATCH(Agenda2526!C231,'CAL1'!A:A,0)+2,2,4,1,"CAL1")),"")</f>
        <v/>
      </c>
      <c r="F230" s="21">
        <f ca="1">IF(CALC2223!AX230&gt;2,INDIRECT(ADDRESS(MATCH(Agenda2526!C231,'CAL1'!A:A,0)+2,3,4,1,"CAL1")),0)</f>
        <v>0</v>
      </c>
      <c r="G230" s="20" t="str">
        <f ca="1">IF(CALC2223!AY230&gt;0,INDIRECT(ADDRESS(MATCH(Agenda2526!C231,'CAL2'!A:A,0),2,4,1,"CAL2")),"")</f>
        <v>Rep GR</v>
      </c>
      <c r="H230" s="21">
        <f ca="1">IF(CALC2223!AY230&gt;0,INDIRECT(ADDRESS(MATCH(Agenda2526!C231,'CAL2'!A:A,0),3,4,1,"CAL2")),0)</f>
        <v>45903</v>
      </c>
      <c r="I230" s="20" t="str">
        <f ca="1">IF(CALC2223!AY230&gt;1,INDIRECT(ADDRESS(MATCH(Agenda2526!C231,'CAL2'!A:A,0)+1,2,4,1,"CAL2")),"")</f>
        <v/>
      </c>
      <c r="J230" s="21">
        <f ca="1">IF(CALC2223!AY230&gt;1,INDIRECT(ADDRESS(MATCH(Agenda2526!C231,'CAL2'!A:A,0)+1,3,4,1,"CAL2")),0)</f>
        <v>0</v>
      </c>
      <c r="K230" s="20" t="str">
        <f ca="1">IF(CALC2223!AY230&gt;2,INDIRECT(ADDRESS(MATCH(Agenda2526!C231,'CAL2'!A:A,0)+2,2,4,1,"CAL2")),"")</f>
        <v/>
      </c>
      <c r="L230" s="21">
        <f ca="1">IF(CALC2223!AY230&gt;2,INDIRECT(ADDRESS(MATCH(Agenda2526!C231,'CAL2'!A:A,0)+2,3,4,1,"CAL2")),0)</f>
        <v>0</v>
      </c>
      <c r="M230" s="20" t="str">
        <f ca="1">IF(CALC2223!AZ230&gt;0,INDIRECT(ADDRESS(MATCH(Agenda2526!C231,'CAL3'!A:A,0),2,4,1,"CAL3")),"")</f>
        <v/>
      </c>
      <c r="N230" s="21">
        <f ca="1">IF(CALC2223!AZ230&gt;0,INDIRECT(ADDRESS(MATCH(Agenda2526!C231,'CAL3'!A:A,0),3,4,1,"CAL3")),0)</f>
        <v>0</v>
      </c>
      <c r="O230" s="20" t="str">
        <f ca="1">IF(CALC2223!AZ230&gt;1,INDIRECT(ADDRESS(MATCH(Agenda2526!C231,'CAL3'!A:A,0)+1,2,4,1,"CAL3")),"")</f>
        <v/>
      </c>
      <c r="P230" s="21">
        <f ca="1">IF(CALC2223!AZ230&gt;1,INDIRECT(ADDRESS(MATCH(Agenda2526!C231,'CAL3'!A:A,0)+1,3,4,1,"CAL3")),0)</f>
        <v>0</v>
      </c>
      <c r="Q230" s="20" t="str">
        <f ca="1">IF(CALC2223!AZ230&gt;2,INDIRECT(ADDRESS(MATCH(Agenda2526!C231,'CAL3'!A:A,0)+2,2,4,1,"CAL3")),"")</f>
        <v/>
      </c>
      <c r="R230" s="21">
        <f ca="1">IF(CALC2223!AZ230&gt;2,INDIRECT(ADDRESS(MATCH(Agenda2526!C231,'CAL3'!A:A,0)+2,3,4,1,"CAL3")),0)</f>
        <v>0</v>
      </c>
      <c r="S230" s="20" t="str">
        <f ca="1">IF(CALC2223!BA230&gt;0,INDIRECT(ADDRESS(MATCH(Agenda2526!C231,'CAL4'!A:A,0),2,4,1,"CAL4")),"")</f>
        <v>rep ak</v>
      </c>
      <c r="T230" s="21">
        <f ca="1">IF(CALC2223!BA230&gt;0,INDIRECT(ADDRESS(MATCH(Agenda2526!C231,'CAL4'!A:A,0),3,4,1,"CAL4")),0)</f>
        <v>46066</v>
      </c>
      <c r="U230" s="20" t="str">
        <f ca="1">IF(CALC2223!BA230&gt;1,INDIRECT(ADDRESS(MATCH(Agenda2526!C231,'CAL4'!A:A,0)+1,2,4,1,"CAL4")),"")</f>
        <v/>
      </c>
      <c r="V230" s="21">
        <f ca="1">IF(CALC2223!BA230&gt;1,INDIRECT(ADDRESS(MATCH(Agenda2526!C231,'CAL4'!A:A,0)+1,3,4,1,"CAL4")),0)</f>
        <v>0</v>
      </c>
      <c r="W230" s="20" t="str">
        <f ca="1">IF(CALC2223!BA230&gt;2,INDIRECT(ADDRESS(MATCH(Agenda2526!C231,'CAL4'!A:A,0)+2,2,4,1,"CAL4")),"")</f>
        <v/>
      </c>
      <c r="X230" s="21">
        <f ca="1">IF(CALC2223!BA230&gt;2,INDIRECT(ADDRESS(MATCH(Agenda2526!C231,'CAL4'!A:A,0)+2,3,4,1,"CAL4")),0)</f>
        <v>0</v>
      </c>
      <c r="Y230" s="20" t="str">
        <f ca="1">IF(CALC2223!BB230&gt;0,INDIRECT(ADDRESS(MATCH(Agenda2526!C231,'CAL5'!A:A,0),2,4,1,"CAL5")),"")</f>
        <v>klreis</v>
      </c>
      <c r="Z230" s="21">
        <f ca="1">IF(CALC2223!BB230&gt;0,INDIRECT(ADDRESS(MATCH(Agenda2526!C231,'CAL5'!A:A,0),3,4,1,"CAL5")),0)</f>
        <v>45896</v>
      </c>
      <c r="AA230" s="20" t="str">
        <f ca="1">IF(CALC2223!BB230&gt;1,INDIRECT(ADDRESS(MATCH(Agenda2526!C231,'CAL5'!A:A,0)+1,2,4,1,"CAL5")),"")</f>
        <v/>
      </c>
      <c r="AB230" s="21">
        <f ca="1">IF(CALC2223!BB230&gt;1,INDIRECT(ADDRESS(MATCH(Agenda2526!C231,'CAL5'!A:A,0)+1,3,4,1,"CAL5")),0)</f>
        <v>0</v>
      </c>
      <c r="AC230" s="20" t="str">
        <f ca="1">IF(CALC2223!BB230&gt;2,INDIRECT(ADDRESS(MATCH(Agenda2526!C231,'CAL5'!A:A,0)+2,2,4,1,"CAL5")),"")</f>
        <v/>
      </c>
      <c r="AD230" s="21">
        <f ca="1">IF(CALC2223!BB230&gt;2,INDIRECT(ADDRESS(MATCH(Agenda2526!C231,'CAL5'!A:A,0)+2,3,4,1,"CAL5")),0)</f>
        <v>0</v>
      </c>
      <c r="AE230" s="20" t="str">
        <f ca="1">IF(CALC2223!BC230&gt;0,INDIRECT(ADDRESS(MATCH(Agenda2526!C231,'CAL6'!A:A,0),2,4,1,"CAL6")),"")</f>
        <v>SEcijfers inleveren</v>
      </c>
      <c r="AF230" s="21">
        <f ca="1">IF(CALC2223!BC230&gt;0,INDIRECT(ADDRESS(MATCH(Agenda2526!C231,'CAL6'!A:A,0),3,4,1,"CAL6")),0)</f>
        <v>45896</v>
      </c>
      <c r="AG230" s="20" t="str">
        <f ca="1">IF(CALC2223!BC230&gt;1,INDIRECT(ADDRESS(MATCH(Agenda2526!C231,'CAL6'!A:A,0)+1,2,4,1,"CAL6")),"")</f>
        <v/>
      </c>
      <c r="AH230" s="21">
        <f ca="1">IF(CALC2223!BC230&gt;1,INDIRECT(ADDRESS(MATCH(Agenda2526!C231,'CAL6'!A:A,0)+1,3,4,1,"CAL6")),0)</f>
        <v>0</v>
      </c>
      <c r="AI230" s="20" t="str">
        <f ca="1">IF(CALC2223!BC230&gt;2,INDIRECT(ADDRESS(MATCH(Agenda2526!C231,'CAL6'!A:A,0)+2,2,4,1,"CAL6")),"")</f>
        <v/>
      </c>
      <c r="AJ230" s="21">
        <f ca="1">IF(CALC2223!BC230&gt;2,INDIRECT(ADDRESS(MATCH(Agenda2526!C231,'CAL6'!A:A,0)+2,3,4,1,"CAL6")),0)</f>
        <v>0</v>
      </c>
      <c r="AK230" s="20" t="str">
        <f ca="1">IF(CALC2223!BD230&gt;0,INDIRECT(ADDRESS(MATCH(Agenda2526!C231,'CAL7'!A:A,0),2,4,1,"CAL7")),"")</f>
        <v/>
      </c>
      <c r="AL230" s="21">
        <f ca="1">IF(CALC2223!BD230&gt;0,INDIRECT(ADDRESS(MATCH(Agenda2526!C231,'CAL7'!A:A,0),3,4,1,"CAL7")),0)</f>
        <v>0</v>
      </c>
      <c r="AM230" s="20" t="str">
        <f ca="1">IF(CALC2223!BD230&gt;1,INDIRECT(ADDRESS(MATCH(Agenda2526!C231,'CAL7'!A:A,0)+1,2,4,1,"CAL7")),"")</f>
        <v/>
      </c>
      <c r="AN230" s="21">
        <f ca="1">IF(CALC2223!BD230&gt;1,INDIRECT(ADDRESS(MATCH(Agenda2526!C231,'CAL7'!A:A,0)+1,3,4,1,"CAL7")),0)</f>
        <v>0</v>
      </c>
      <c r="AO230" s="20" t="str">
        <f ca="1">IF(CALC2223!BD230&gt;2,INDIRECT(ADDRESS(MATCH(Agenda2526!C231,'CAL7'!A:A,0)+2,2,4,1,"CAL7")),"")</f>
        <v/>
      </c>
      <c r="AP230" s="21">
        <f ca="1">IF(CALC2223!BD230&gt;2,INDIRECT(ADDRESS(MATCH(Agenda2526!C231,'CAL7'!A:A,0)+2,3,4,1,"CAL7")),0)</f>
        <v>0</v>
      </c>
      <c r="AQ230" s="20" t="str">
        <f ca="1">IF(CALC2223!BE230&gt;0,INDIRECT(ADDRESS(MATCH(Agenda2526!C231,'CAL8'!A:A,0),2,4,1,"CAL8")),"")</f>
        <v/>
      </c>
      <c r="AR230" s="21">
        <f ca="1">IF(CALC2223!BE230&gt;0,INDIRECT(ADDRESS(MATCH(Agenda2526!C231,'CAL8'!A:A,0),3,4,1,"CAL8")),0)</f>
        <v>0</v>
      </c>
      <c r="AS230" s="20" t="str">
        <f ca="1">IF(CALC2223!BE230&gt;1,INDIRECT(ADDRESS(MATCH(Agenda2526!C231,'CAL8'!A:A,0)+1,2,4,1,"CAL8")),"")</f>
        <v/>
      </c>
      <c r="AT230" s="21">
        <f ca="1">IF(CALC2223!BE230&gt;1,INDIRECT(ADDRESS(MATCH(Agenda2526!C231,'CAL8'!A:A,0)+1,3,4,1,"CAL8")),0)</f>
        <v>0</v>
      </c>
      <c r="AU230" s="20" t="str">
        <f ca="1">IF(CALC2223!BE230&gt;2,INDIRECT(ADDRESS(MATCH(Agenda2526!C231,'CAL8'!A:A,0)+2,2,4,1,"CAL8")),"")</f>
        <v/>
      </c>
      <c r="AV230" s="21">
        <f ca="1">IF(CALC2223!BE230&gt;2,INDIRECT(ADDRESS(MATCH(Agenda2526!C231,'CAL8'!A:A,0)+2,3,4,1,"CAL8")),0)</f>
        <v>0</v>
      </c>
      <c r="AW230" s="105"/>
      <c r="AX230" s="20">
        <f>COUNTIF('CAL1'!A:A,Agenda2526!C231)</f>
        <v>0</v>
      </c>
      <c r="AY230" s="20">
        <f>COUNTIF('CAL2'!A:A,Agenda2526!C231)</f>
        <v>1</v>
      </c>
      <c r="AZ230" s="20">
        <f>COUNTIF('CAL3'!A:A,Agenda2526!C231)</f>
        <v>0</v>
      </c>
      <c r="BA230" s="20">
        <f>COUNTIF('CAL4'!A:A,Agenda2526!C231)</f>
        <v>1</v>
      </c>
      <c r="BB230" s="20">
        <f>COUNTIF('CAL5'!A:A,Agenda2526!C231)</f>
        <v>1</v>
      </c>
      <c r="BC230" s="20">
        <f>COUNTIF('CAL6'!A:A,Agenda2526!C231)</f>
        <v>1</v>
      </c>
      <c r="BD230" s="20">
        <f>COUNTIF('CAL7'!A:A,Agenda2526!C231)</f>
        <v>0</v>
      </c>
      <c r="BE230" s="20">
        <f>COUNTIF('CAL8'!A:A,Agenda2526!C231)</f>
        <v>0</v>
      </c>
    </row>
    <row r="231" spans="1:57" ht="15.75" customHeight="1">
      <c r="A231" s="20" t="str">
        <f ca="1">IF(CALC2223!AX231&gt;0,INDIRECT(ADDRESS(MATCH(Agenda2526!C232,'CAL1'!A:A,0),2,4,1,"CAL1")),"")</f>
        <v/>
      </c>
      <c r="B231" s="21">
        <f ca="1">IF(CALC2223!AX231&gt;0,INDIRECT(ADDRESS(MATCH(Agenda2526!C232,'CAL1'!A:A,0),3,4,1,"CAL1")),0)</f>
        <v>0</v>
      </c>
      <c r="C231" s="20" t="str">
        <f ca="1">IF(CALC2223!AX231&gt;1,INDIRECT(ADDRESS(MATCH(Agenda2526!C232,'CAL1'!A:A,0)+1,2,4,1,"CAL1")),"")</f>
        <v/>
      </c>
      <c r="D231" s="21">
        <f ca="1">IF(CALC2223!AX231&gt;1,INDIRECT(ADDRESS(MATCH(Agenda2526!C232,'CAL1'!A:A,0)+1,3,4,1,"CAL1")),0)</f>
        <v>0</v>
      </c>
      <c r="E231" s="20" t="str">
        <f ca="1">IF(CALC2223!AX231&gt;2,INDIRECT(ADDRESS(MATCH(Agenda2526!C232,'CAL1'!A:A,0)+2,2,4,1,"CAL1")),"")</f>
        <v/>
      </c>
      <c r="F231" s="21">
        <f ca="1">IF(CALC2223!AX231&gt;2,INDIRECT(ADDRESS(MATCH(Agenda2526!C232,'CAL1'!A:A,0)+2,3,4,1,"CAL1")),0)</f>
        <v>0</v>
      </c>
      <c r="G231" s="20" t="str">
        <f ca="1">IF(CALC2223!AY231&gt;0,INDIRECT(ADDRESS(MATCH(Agenda2526!C232,'CAL2'!A:A,0),2,4,1,"CAL2")),"")</f>
        <v/>
      </c>
      <c r="H231" s="21">
        <f ca="1">IF(CALC2223!AY231&gt;0,INDIRECT(ADDRESS(MATCH(Agenda2526!C232,'CAL2'!A:A,0),3,4,1,"CAL2")),0)</f>
        <v>0</v>
      </c>
      <c r="I231" s="20" t="str">
        <f ca="1">IF(CALC2223!AY231&gt;1,INDIRECT(ADDRESS(MATCH(Agenda2526!C232,'CAL2'!A:A,0)+1,2,4,1,"CAL2")),"")</f>
        <v/>
      </c>
      <c r="J231" s="21">
        <f ca="1">IF(CALC2223!AY231&gt;1,INDIRECT(ADDRESS(MATCH(Agenda2526!C232,'CAL2'!A:A,0)+1,3,4,1,"CAL2")),0)</f>
        <v>0</v>
      </c>
      <c r="K231" s="20" t="str">
        <f ca="1">IF(CALC2223!AY231&gt;2,INDIRECT(ADDRESS(MATCH(Agenda2526!C232,'CAL2'!A:A,0)+2,2,4,1,"CAL2")),"")</f>
        <v/>
      </c>
      <c r="L231" s="21">
        <f ca="1">IF(CALC2223!AY231&gt;2,INDIRECT(ADDRESS(MATCH(Agenda2526!C232,'CAL2'!A:A,0)+2,3,4,1,"CAL2")),0)</f>
        <v>0</v>
      </c>
      <c r="M231" s="20" t="str">
        <f ca="1">IF(CALC2223!AZ231&gt;0,INDIRECT(ADDRESS(MATCH(Agenda2526!C232,'CAL3'!A:A,0),2,4,1,"CAL3")),"")</f>
        <v/>
      </c>
      <c r="N231" s="21">
        <f ca="1">IF(CALC2223!AZ231&gt;0,INDIRECT(ADDRESS(MATCH(Agenda2526!C232,'CAL3'!A:A,0),3,4,1,"CAL3")),0)</f>
        <v>0</v>
      </c>
      <c r="O231" s="20" t="str">
        <f ca="1">IF(CALC2223!AZ231&gt;1,INDIRECT(ADDRESS(MATCH(Agenda2526!C232,'CAL3'!A:A,0)+1,2,4,1,"CAL3")),"")</f>
        <v/>
      </c>
      <c r="P231" s="21">
        <f ca="1">IF(CALC2223!AZ231&gt;1,INDIRECT(ADDRESS(MATCH(Agenda2526!C232,'CAL3'!A:A,0)+1,3,4,1,"CAL3")),0)</f>
        <v>0</v>
      </c>
      <c r="Q231" s="20" t="str">
        <f ca="1">IF(CALC2223!AZ231&gt;2,INDIRECT(ADDRESS(MATCH(Agenda2526!C232,'CAL3'!A:A,0)+2,2,4,1,"CAL3")),"")</f>
        <v/>
      </c>
      <c r="R231" s="21">
        <f ca="1">IF(CALC2223!AZ231&gt;2,INDIRECT(ADDRESS(MATCH(Agenda2526!C232,'CAL3'!A:A,0)+2,3,4,1,"CAL3")),0)</f>
        <v>0</v>
      </c>
      <c r="S231" s="20" t="str">
        <f ca="1">IF(CALC2223!BA231&gt;0,INDIRECT(ADDRESS(MATCH(Agenda2526!C232,'CAL4'!A:A,0),2,4,1,"CAL4")),"")</f>
        <v/>
      </c>
      <c r="T231" s="21">
        <f ca="1">IF(CALC2223!BA231&gt;0,INDIRECT(ADDRESS(MATCH(Agenda2526!C232,'CAL4'!A:A,0),3,4,1,"CAL4")),0)</f>
        <v>0</v>
      </c>
      <c r="U231" s="20" t="str">
        <f ca="1">IF(CALC2223!BA231&gt;1,INDIRECT(ADDRESS(MATCH(Agenda2526!C232,'CAL4'!A:A,0)+1,2,4,1,"CAL4")),"")</f>
        <v/>
      </c>
      <c r="V231" s="21">
        <f ca="1">IF(CALC2223!BA231&gt;1,INDIRECT(ADDRESS(MATCH(Agenda2526!C232,'CAL4'!A:A,0)+1,3,4,1,"CAL4")),0)</f>
        <v>0</v>
      </c>
      <c r="W231" s="20" t="str">
        <f ca="1">IF(CALC2223!BA231&gt;2,INDIRECT(ADDRESS(MATCH(Agenda2526!C232,'CAL4'!A:A,0)+2,2,4,1,"CAL4")),"")</f>
        <v/>
      </c>
      <c r="X231" s="21">
        <f ca="1">IF(CALC2223!BA231&gt;2,INDIRECT(ADDRESS(MATCH(Agenda2526!C232,'CAL4'!A:A,0)+2,3,4,1,"CAL4")),0)</f>
        <v>0</v>
      </c>
      <c r="Y231" s="20" t="str">
        <f ca="1">IF(CALC2223!BB231&gt;0,INDIRECT(ADDRESS(MATCH(Agenda2526!C232,'CAL5'!A:A,0),2,4,1,"CAL5")),"")</f>
        <v/>
      </c>
      <c r="Z231" s="21">
        <f ca="1">IF(CALC2223!BB231&gt;0,INDIRECT(ADDRESS(MATCH(Agenda2526!C232,'CAL5'!A:A,0),3,4,1,"CAL5")),0)</f>
        <v>0</v>
      </c>
      <c r="AA231" s="20" t="str">
        <f ca="1">IF(CALC2223!BB231&gt;1,INDIRECT(ADDRESS(MATCH(Agenda2526!C232,'CAL5'!A:A,0)+1,2,4,1,"CAL5")),"")</f>
        <v/>
      </c>
      <c r="AB231" s="21">
        <f ca="1">IF(CALC2223!BB231&gt;1,INDIRECT(ADDRESS(MATCH(Agenda2526!C232,'CAL5'!A:A,0)+1,3,4,1,"CAL5")),0)</f>
        <v>0</v>
      </c>
      <c r="AC231" s="20" t="str">
        <f ca="1">IF(CALC2223!BB231&gt;2,INDIRECT(ADDRESS(MATCH(Agenda2526!C232,'CAL5'!A:A,0)+2,2,4,1,"CAL5")),"")</f>
        <v/>
      </c>
      <c r="AD231" s="21">
        <f ca="1">IF(CALC2223!BB231&gt;2,INDIRECT(ADDRESS(MATCH(Agenda2526!C232,'CAL5'!A:A,0)+2,3,4,1,"CAL5")),0)</f>
        <v>0</v>
      </c>
      <c r="AE231" s="20" t="str">
        <f ca="1">IF(CALC2223!BC231&gt;0,INDIRECT(ADDRESS(MATCH(Agenda2526!C232,'CAL6'!A:A,0),2,4,1,"CAL6")),"")</f>
        <v/>
      </c>
      <c r="AF231" s="21">
        <f ca="1">IF(CALC2223!BC231&gt;0,INDIRECT(ADDRESS(MATCH(Agenda2526!C232,'CAL6'!A:A,0),3,4,1,"CAL6")),0)</f>
        <v>0</v>
      </c>
      <c r="AG231" s="20" t="str">
        <f ca="1">IF(CALC2223!BC231&gt;1,INDIRECT(ADDRESS(MATCH(Agenda2526!C232,'CAL6'!A:A,0)+1,2,4,1,"CAL6")),"")</f>
        <v/>
      </c>
      <c r="AH231" s="21">
        <f ca="1">IF(CALC2223!BC231&gt;1,INDIRECT(ADDRESS(MATCH(Agenda2526!C232,'CAL6'!A:A,0)+1,3,4,1,"CAL6")),0)</f>
        <v>0</v>
      </c>
      <c r="AI231" s="20" t="str">
        <f ca="1">IF(CALC2223!BC231&gt;2,INDIRECT(ADDRESS(MATCH(Agenda2526!C232,'CAL6'!A:A,0)+2,2,4,1,"CAL6")),"")</f>
        <v/>
      </c>
      <c r="AJ231" s="21">
        <f ca="1">IF(CALC2223!BC231&gt;2,INDIRECT(ADDRESS(MATCH(Agenda2526!C232,'CAL6'!A:A,0)+2,3,4,1,"CAL6")),0)</f>
        <v>0</v>
      </c>
      <c r="AK231" s="20" t="str">
        <f ca="1">IF(CALC2223!BD231&gt;0,INDIRECT(ADDRESS(MATCH(Agenda2526!C232,'CAL7'!A:A,0),2,4,1,"CAL7")),"")</f>
        <v/>
      </c>
      <c r="AL231" s="21">
        <f ca="1">IF(CALC2223!BD231&gt;0,INDIRECT(ADDRESS(MATCH(Agenda2526!C232,'CAL7'!A:A,0),3,4,1,"CAL7")),0)</f>
        <v>0</v>
      </c>
      <c r="AM231" s="20" t="str">
        <f ca="1">IF(CALC2223!BD231&gt;1,INDIRECT(ADDRESS(MATCH(Agenda2526!C232,'CAL7'!A:A,0)+1,2,4,1,"CAL7")),"")</f>
        <v/>
      </c>
      <c r="AN231" s="21">
        <f ca="1">IF(CALC2223!BD231&gt;1,INDIRECT(ADDRESS(MATCH(Agenda2526!C232,'CAL7'!A:A,0)+1,3,4,1,"CAL7")),0)</f>
        <v>0</v>
      </c>
      <c r="AO231" s="20" t="str">
        <f ca="1">IF(CALC2223!BD231&gt;2,INDIRECT(ADDRESS(MATCH(Agenda2526!C232,'CAL7'!A:A,0)+2,2,4,1,"CAL7")),"")</f>
        <v/>
      </c>
      <c r="AP231" s="21">
        <f ca="1">IF(CALC2223!BD231&gt;2,INDIRECT(ADDRESS(MATCH(Agenda2526!C232,'CAL7'!A:A,0)+2,3,4,1,"CAL7")),0)</f>
        <v>0</v>
      </c>
      <c r="AQ231" s="20" t="str">
        <f ca="1">IF(CALC2223!BE231&gt;0,INDIRECT(ADDRESS(MATCH(Agenda2526!C232,'CAL8'!A:A,0),2,4,1,"CAL8")),"")</f>
        <v/>
      </c>
      <c r="AR231" s="21">
        <f ca="1">IF(CALC2223!BE231&gt;0,INDIRECT(ADDRESS(MATCH(Agenda2526!C232,'CAL8'!A:A,0),3,4,1,"CAL8")),0)</f>
        <v>0</v>
      </c>
      <c r="AS231" s="20" t="str">
        <f ca="1">IF(CALC2223!BE231&gt;1,INDIRECT(ADDRESS(MATCH(Agenda2526!C232,'CAL8'!A:A,0)+1,2,4,1,"CAL8")),"")</f>
        <v/>
      </c>
      <c r="AT231" s="21">
        <f ca="1">IF(CALC2223!BE231&gt;1,INDIRECT(ADDRESS(MATCH(Agenda2526!C232,'CAL8'!A:A,0)+1,3,4,1,"CAL8")),0)</f>
        <v>0</v>
      </c>
      <c r="AU231" s="20" t="str">
        <f ca="1">IF(CALC2223!BE231&gt;2,INDIRECT(ADDRESS(MATCH(Agenda2526!C232,'CAL8'!A:A,0)+2,2,4,1,"CAL8")),"")</f>
        <v/>
      </c>
      <c r="AV231" s="21">
        <f ca="1">IF(CALC2223!BE231&gt;2,INDIRECT(ADDRESS(MATCH(Agenda2526!C232,'CAL8'!A:A,0)+2,3,4,1,"CAL8")),0)</f>
        <v>0</v>
      </c>
      <c r="AW231" s="106"/>
      <c r="AX231" s="20">
        <f>COUNTIF('CAL1'!A:A,Agenda2526!C232)</f>
        <v>0</v>
      </c>
      <c r="AY231" s="20">
        <f>COUNTIF('CAL2'!A:A,Agenda2526!C232)</f>
        <v>0</v>
      </c>
      <c r="AZ231" s="20">
        <f>COUNTIF('CAL3'!A:A,Agenda2526!C232)</f>
        <v>0</v>
      </c>
      <c r="BA231" s="20">
        <f>COUNTIF('CAL4'!A:A,Agenda2526!C232)</f>
        <v>0</v>
      </c>
      <c r="BB231" s="20">
        <f>COUNTIF('CAL5'!A:A,Agenda2526!C232)</f>
        <v>0</v>
      </c>
      <c r="BC231" s="20">
        <f>COUNTIF('CAL6'!A:A,Agenda2526!C232)</f>
        <v>0</v>
      </c>
      <c r="BD231" s="20">
        <f>COUNTIF('CAL7'!A:A,Agenda2526!C232)</f>
        <v>0</v>
      </c>
      <c r="BE231" s="20">
        <f>COUNTIF('CAL8'!A:A,Agenda2526!C232)</f>
        <v>0</v>
      </c>
    </row>
    <row r="232" spans="1:57" ht="15.75" customHeight="1">
      <c r="A232" s="20" t="str">
        <f ca="1">IF(CALC2223!AX232&gt;0,INDIRECT(ADDRESS(MATCH(Agenda2526!C233,'CAL1'!A:A,0),2,4,1,"CAL1")),"")</f>
        <v/>
      </c>
      <c r="B232" s="21">
        <f ca="1">IF(CALC2223!AX232&gt;0,INDIRECT(ADDRESS(MATCH(Agenda2526!C233,'CAL1'!A:A,0),3,4,1,"CAL1")),0)</f>
        <v>0</v>
      </c>
      <c r="C232" s="20" t="str">
        <f ca="1">IF(CALC2223!AX232&gt;1,INDIRECT(ADDRESS(MATCH(Agenda2526!C233,'CAL1'!A:A,0)+1,2,4,1,"CAL1")),"")</f>
        <v/>
      </c>
      <c r="D232" s="21">
        <f ca="1">IF(CALC2223!AX232&gt;1,INDIRECT(ADDRESS(MATCH(Agenda2526!C233,'CAL1'!A:A,0)+1,3,4,1,"CAL1")),0)</f>
        <v>0</v>
      </c>
      <c r="E232" s="20" t="str">
        <f ca="1">IF(CALC2223!AX232&gt;2,INDIRECT(ADDRESS(MATCH(Agenda2526!C233,'CAL1'!A:A,0)+2,2,4,1,"CAL1")),"")</f>
        <v/>
      </c>
      <c r="F232" s="21">
        <f ca="1">IF(CALC2223!AX232&gt;2,INDIRECT(ADDRESS(MATCH(Agenda2526!C233,'CAL1'!A:A,0)+2,3,4,1,"CAL1")),0)</f>
        <v>0</v>
      </c>
      <c r="G232" s="20" t="str">
        <f ca="1">IF(CALC2223!AY232&gt;0,INDIRECT(ADDRESS(MATCH(Agenda2526!C233,'CAL2'!A:A,0),2,4,1,"CAL2")),"")</f>
        <v/>
      </c>
      <c r="H232" s="21">
        <f ca="1">IF(CALC2223!AY232&gt;0,INDIRECT(ADDRESS(MATCH(Agenda2526!C233,'CAL2'!A:A,0),3,4,1,"CAL2")),0)</f>
        <v>0</v>
      </c>
      <c r="I232" s="20" t="str">
        <f ca="1">IF(CALC2223!AY232&gt;1,INDIRECT(ADDRESS(MATCH(Agenda2526!C233,'CAL2'!A:A,0)+1,2,4,1,"CAL2")),"")</f>
        <v/>
      </c>
      <c r="J232" s="21">
        <f ca="1">IF(CALC2223!AY232&gt;1,INDIRECT(ADDRESS(MATCH(Agenda2526!C233,'CAL2'!A:A,0)+1,3,4,1,"CAL2")),0)</f>
        <v>0</v>
      </c>
      <c r="K232" s="20" t="str">
        <f ca="1">IF(CALC2223!AY232&gt;2,INDIRECT(ADDRESS(MATCH(Agenda2526!C233,'CAL2'!A:A,0)+2,2,4,1,"CAL2")),"")</f>
        <v/>
      </c>
      <c r="L232" s="21">
        <f ca="1">IF(CALC2223!AY232&gt;2,INDIRECT(ADDRESS(MATCH(Agenda2526!C233,'CAL2'!A:A,0)+2,3,4,1,"CAL2")),0)</f>
        <v>0</v>
      </c>
      <c r="M232" s="20" t="str">
        <f ca="1">IF(CALC2223!AZ232&gt;0,INDIRECT(ADDRESS(MATCH(Agenda2526!C233,'CAL3'!A:A,0),2,4,1,"CAL3")),"")</f>
        <v/>
      </c>
      <c r="N232" s="21">
        <f ca="1">IF(CALC2223!AZ232&gt;0,INDIRECT(ADDRESS(MATCH(Agenda2526!C233,'CAL3'!A:A,0),3,4,1,"CAL3")),0)</f>
        <v>0</v>
      </c>
      <c r="O232" s="20" t="str">
        <f ca="1">IF(CALC2223!AZ232&gt;1,INDIRECT(ADDRESS(MATCH(Agenda2526!C233,'CAL3'!A:A,0)+1,2,4,1,"CAL3")),"")</f>
        <v/>
      </c>
      <c r="P232" s="21">
        <f ca="1">IF(CALC2223!AZ232&gt;1,INDIRECT(ADDRESS(MATCH(Agenda2526!C233,'CAL3'!A:A,0)+1,3,4,1,"CAL3")),0)</f>
        <v>0</v>
      </c>
      <c r="Q232" s="20" t="str">
        <f ca="1">IF(CALC2223!AZ232&gt;2,INDIRECT(ADDRESS(MATCH(Agenda2526!C233,'CAL3'!A:A,0)+2,2,4,1,"CAL3")),"")</f>
        <v/>
      </c>
      <c r="R232" s="21">
        <f ca="1">IF(CALC2223!AZ232&gt;2,INDIRECT(ADDRESS(MATCH(Agenda2526!C233,'CAL3'!A:A,0)+2,3,4,1,"CAL3")),0)</f>
        <v>0</v>
      </c>
      <c r="S232" s="20" t="str">
        <f ca="1">IF(CALC2223!BA232&gt;0,INDIRECT(ADDRESS(MATCH(Agenda2526!C233,'CAL4'!A:A,0),2,4,1,"CAL4")),"")</f>
        <v/>
      </c>
      <c r="T232" s="21">
        <f ca="1">IF(CALC2223!BA232&gt;0,INDIRECT(ADDRESS(MATCH(Agenda2526!C233,'CAL4'!A:A,0),3,4,1,"CAL4")),0)</f>
        <v>0</v>
      </c>
      <c r="U232" s="20" t="str">
        <f ca="1">IF(CALC2223!BA232&gt;1,INDIRECT(ADDRESS(MATCH(Agenda2526!C233,'CAL4'!A:A,0)+1,2,4,1,"CAL4")),"")</f>
        <v/>
      </c>
      <c r="V232" s="21">
        <f ca="1">IF(CALC2223!BA232&gt;1,INDIRECT(ADDRESS(MATCH(Agenda2526!C233,'CAL4'!A:A,0)+1,3,4,1,"CAL4")),0)</f>
        <v>0</v>
      </c>
      <c r="W232" s="20" t="str">
        <f ca="1">IF(CALC2223!BA232&gt;2,INDIRECT(ADDRESS(MATCH(Agenda2526!C233,'CAL4'!A:A,0)+2,2,4,1,"CAL4")),"")</f>
        <v/>
      </c>
      <c r="X232" s="21">
        <f ca="1">IF(CALC2223!BA232&gt;2,INDIRECT(ADDRESS(MATCH(Agenda2526!C233,'CAL4'!A:A,0)+2,3,4,1,"CAL4")),0)</f>
        <v>0</v>
      </c>
      <c r="Y232" s="20" t="str">
        <f ca="1">IF(CALC2223!BB232&gt;0,INDIRECT(ADDRESS(MATCH(Agenda2526!C233,'CAL5'!A:A,0),2,4,1,"CAL5")),"")</f>
        <v/>
      </c>
      <c r="Z232" s="21">
        <f ca="1">IF(CALC2223!BB232&gt;0,INDIRECT(ADDRESS(MATCH(Agenda2526!C233,'CAL5'!A:A,0),3,4,1,"CAL5")),0)</f>
        <v>0</v>
      </c>
      <c r="AA232" s="20" t="str">
        <f ca="1">IF(CALC2223!BB232&gt;1,INDIRECT(ADDRESS(MATCH(Agenda2526!C233,'CAL5'!A:A,0)+1,2,4,1,"CAL5")),"")</f>
        <v/>
      </c>
      <c r="AB232" s="21">
        <f ca="1">IF(CALC2223!BB232&gt;1,INDIRECT(ADDRESS(MATCH(Agenda2526!C233,'CAL5'!A:A,0)+1,3,4,1,"CAL5")),0)</f>
        <v>0</v>
      </c>
      <c r="AC232" s="20" t="str">
        <f ca="1">IF(CALC2223!BB232&gt;2,INDIRECT(ADDRESS(MATCH(Agenda2526!C233,'CAL5'!A:A,0)+2,2,4,1,"CAL5")),"")</f>
        <v/>
      </c>
      <c r="AD232" s="21">
        <f ca="1">IF(CALC2223!BB232&gt;2,INDIRECT(ADDRESS(MATCH(Agenda2526!C233,'CAL5'!A:A,0)+2,3,4,1,"CAL5")),0)</f>
        <v>0</v>
      </c>
      <c r="AE232" s="20" t="str">
        <f ca="1">IF(CALC2223!BC232&gt;0,INDIRECT(ADDRESS(MATCH(Agenda2526!C233,'CAL6'!A:A,0),2,4,1,"CAL6")),"")</f>
        <v/>
      </c>
      <c r="AF232" s="21">
        <f ca="1">IF(CALC2223!BC232&gt;0,INDIRECT(ADDRESS(MATCH(Agenda2526!C233,'CAL6'!A:A,0),3,4,1,"CAL6")),0)</f>
        <v>0</v>
      </c>
      <c r="AG232" s="20" t="str">
        <f ca="1">IF(CALC2223!BC232&gt;1,INDIRECT(ADDRESS(MATCH(Agenda2526!C233,'CAL6'!A:A,0)+1,2,4,1,"CAL6")),"")</f>
        <v/>
      </c>
      <c r="AH232" s="21">
        <f ca="1">IF(CALC2223!BC232&gt;1,INDIRECT(ADDRESS(MATCH(Agenda2526!C233,'CAL6'!A:A,0)+1,3,4,1,"CAL6")),0)</f>
        <v>0</v>
      </c>
      <c r="AI232" s="20" t="str">
        <f ca="1">IF(CALC2223!BC232&gt;2,INDIRECT(ADDRESS(MATCH(Agenda2526!C233,'CAL6'!A:A,0)+2,2,4,1,"CAL6")),"")</f>
        <v/>
      </c>
      <c r="AJ232" s="21">
        <f ca="1">IF(CALC2223!BC232&gt;2,INDIRECT(ADDRESS(MATCH(Agenda2526!C233,'CAL6'!A:A,0)+2,3,4,1,"CAL6")),0)</f>
        <v>0</v>
      </c>
      <c r="AK232" s="20" t="str">
        <f ca="1">IF(CALC2223!BD232&gt;0,INDIRECT(ADDRESS(MATCH(Agenda2526!C233,'CAL7'!A:A,0),2,4,1,"CAL7")),"")</f>
        <v/>
      </c>
      <c r="AL232" s="21">
        <f ca="1">IF(CALC2223!BD232&gt;0,INDIRECT(ADDRESS(MATCH(Agenda2526!C233,'CAL7'!A:A,0),3,4,1,"CAL7")),0)</f>
        <v>0</v>
      </c>
      <c r="AM232" s="20" t="str">
        <f ca="1">IF(CALC2223!BD232&gt;1,INDIRECT(ADDRESS(MATCH(Agenda2526!C233,'CAL7'!A:A,0)+1,2,4,1,"CAL7")),"")</f>
        <v/>
      </c>
      <c r="AN232" s="21">
        <f ca="1">IF(CALC2223!BD232&gt;1,INDIRECT(ADDRESS(MATCH(Agenda2526!C233,'CAL7'!A:A,0)+1,3,4,1,"CAL7")),0)</f>
        <v>0</v>
      </c>
      <c r="AO232" s="20" t="str">
        <f ca="1">IF(CALC2223!BD232&gt;2,INDIRECT(ADDRESS(MATCH(Agenda2526!C233,'CAL7'!A:A,0)+2,2,4,1,"CAL7")),"")</f>
        <v/>
      </c>
      <c r="AP232" s="21">
        <f ca="1">IF(CALC2223!BD232&gt;2,INDIRECT(ADDRESS(MATCH(Agenda2526!C233,'CAL7'!A:A,0)+2,3,4,1,"CAL7")),0)</f>
        <v>0</v>
      </c>
      <c r="AQ232" s="20" t="str">
        <f ca="1">IF(CALC2223!BE232&gt;0,INDIRECT(ADDRESS(MATCH(Agenda2526!C233,'CAL8'!A:A,0),2,4,1,"CAL8")),"")</f>
        <v/>
      </c>
      <c r="AR232" s="21">
        <f ca="1">IF(CALC2223!BE232&gt;0,INDIRECT(ADDRESS(MATCH(Agenda2526!C233,'CAL8'!A:A,0),3,4,1,"CAL8")),0)</f>
        <v>0</v>
      </c>
      <c r="AS232" s="20" t="str">
        <f ca="1">IF(CALC2223!BE232&gt;1,INDIRECT(ADDRESS(MATCH(Agenda2526!C233,'CAL8'!A:A,0)+1,2,4,1,"CAL8")),"")</f>
        <v/>
      </c>
      <c r="AT232" s="21">
        <f ca="1">IF(CALC2223!BE232&gt;1,INDIRECT(ADDRESS(MATCH(Agenda2526!C233,'CAL8'!A:A,0)+1,3,4,1,"CAL8")),0)</f>
        <v>0</v>
      </c>
      <c r="AU232" s="20" t="str">
        <f ca="1">IF(CALC2223!BE232&gt;2,INDIRECT(ADDRESS(MATCH(Agenda2526!C233,'CAL8'!A:A,0)+2,2,4,1,"CAL8")),"")</f>
        <v/>
      </c>
      <c r="AV232" s="21">
        <f ca="1">IF(CALC2223!BE232&gt;2,INDIRECT(ADDRESS(MATCH(Agenda2526!C233,'CAL8'!A:A,0)+2,3,4,1,"CAL8")),0)</f>
        <v>0</v>
      </c>
      <c r="AW232" s="106"/>
      <c r="AX232" s="20">
        <f>COUNTIF('CAL1'!A:A,Agenda2526!C233)</f>
        <v>0</v>
      </c>
      <c r="AY232" s="20">
        <f>COUNTIF('CAL2'!A:A,Agenda2526!C233)</f>
        <v>0</v>
      </c>
      <c r="AZ232" s="20">
        <f>COUNTIF('CAL3'!A:A,Agenda2526!C233)</f>
        <v>0</v>
      </c>
      <c r="BA232" s="20">
        <f>COUNTIF('CAL4'!A:A,Agenda2526!C233)</f>
        <v>0</v>
      </c>
      <c r="BB232" s="20">
        <f>COUNTIF('CAL5'!A:A,Agenda2526!C233)</f>
        <v>0</v>
      </c>
      <c r="BC232" s="20">
        <f>COUNTIF('CAL6'!A:A,Agenda2526!C233)</f>
        <v>0</v>
      </c>
      <c r="BD232" s="20">
        <f>COUNTIF('CAL7'!A:A,Agenda2526!C233)</f>
        <v>0</v>
      </c>
      <c r="BE232" s="20">
        <f>COUNTIF('CAL8'!A:A,Agenda2526!C233)</f>
        <v>0</v>
      </c>
    </row>
    <row r="233" spans="1:57" ht="15.75" customHeight="1">
      <c r="A233" s="20" t="str">
        <f ca="1">IF(CALC2223!AX233&gt;0,INDIRECT(ADDRESS(MATCH(Agenda2526!C234,'CAL1'!A:A,0),2,4,1,"CAL1")),"")</f>
        <v/>
      </c>
      <c r="B233" s="21">
        <f ca="1">IF(CALC2223!AX233&gt;0,INDIRECT(ADDRESS(MATCH(Agenda2526!C234,'CAL1'!A:A,0),3,4,1,"CAL1")),0)</f>
        <v>0</v>
      </c>
      <c r="C233" s="20" t="str">
        <f ca="1">IF(CALC2223!AX233&gt;1,INDIRECT(ADDRESS(MATCH(Agenda2526!C234,'CAL1'!A:A,0)+1,2,4,1,"CAL1")),"")</f>
        <v/>
      </c>
      <c r="D233" s="21">
        <f ca="1">IF(CALC2223!AX233&gt;1,INDIRECT(ADDRESS(MATCH(Agenda2526!C234,'CAL1'!A:A,0)+1,3,4,1,"CAL1")),0)</f>
        <v>0</v>
      </c>
      <c r="E233" s="20" t="str">
        <f ca="1">IF(CALC2223!AX233&gt;2,INDIRECT(ADDRESS(MATCH(Agenda2526!C234,'CAL1'!A:A,0)+2,2,4,1,"CAL1")),"")</f>
        <v/>
      </c>
      <c r="F233" s="21">
        <f ca="1">IF(CALC2223!AX233&gt;2,INDIRECT(ADDRESS(MATCH(Agenda2526!C234,'CAL1'!A:A,0)+2,3,4,1,"CAL1")),0)</f>
        <v>0</v>
      </c>
      <c r="G233" s="20" t="str">
        <f ca="1">IF(CALC2223!AY233&gt;0,INDIRECT(ADDRESS(MATCH(Agenda2526!C234,'CAL2'!A:A,0),2,4,1,"CAL2")),"")</f>
        <v/>
      </c>
      <c r="H233" s="21">
        <f ca="1">IF(CALC2223!AY233&gt;0,INDIRECT(ADDRESS(MATCH(Agenda2526!C234,'CAL2'!A:A,0),3,4,1,"CAL2")),0)</f>
        <v>0</v>
      </c>
      <c r="I233" s="20" t="str">
        <f ca="1">IF(CALC2223!AY233&gt;1,INDIRECT(ADDRESS(MATCH(Agenda2526!C234,'CAL2'!A:A,0)+1,2,4,1,"CAL2")),"")</f>
        <v/>
      </c>
      <c r="J233" s="21">
        <f ca="1">IF(CALC2223!AY233&gt;1,INDIRECT(ADDRESS(MATCH(Agenda2526!C234,'CAL2'!A:A,0)+1,3,4,1,"CAL2")),0)</f>
        <v>0</v>
      </c>
      <c r="K233" s="20" t="str">
        <f ca="1">IF(CALC2223!AY233&gt;2,INDIRECT(ADDRESS(MATCH(Agenda2526!C234,'CAL2'!A:A,0)+2,2,4,1,"CAL2")),"")</f>
        <v/>
      </c>
      <c r="L233" s="21">
        <f ca="1">IF(CALC2223!AY233&gt;2,INDIRECT(ADDRESS(MATCH(Agenda2526!C234,'CAL2'!A:A,0)+2,3,4,1,"CAL2")),0)</f>
        <v>0</v>
      </c>
      <c r="M233" s="20" t="str">
        <f ca="1">IF(CALC2223!AZ233&gt;0,INDIRECT(ADDRESS(MATCH(Agenda2526!C234,'CAL3'!A:A,0),2,4,1,"CAL3")),"")</f>
        <v/>
      </c>
      <c r="N233" s="21">
        <f ca="1">IF(CALC2223!AZ233&gt;0,INDIRECT(ADDRESS(MATCH(Agenda2526!C234,'CAL3'!A:A,0),3,4,1,"CAL3")),0)</f>
        <v>0</v>
      </c>
      <c r="O233" s="20" t="str">
        <f ca="1">IF(CALC2223!AZ233&gt;1,INDIRECT(ADDRESS(MATCH(Agenda2526!C234,'CAL3'!A:A,0)+1,2,4,1,"CAL3")),"")</f>
        <v/>
      </c>
      <c r="P233" s="21">
        <f ca="1">IF(CALC2223!AZ233&gt;1,INDIRECT(ADDRESS(MATCH(Agenda2526!C234,'CAL3'!A:A,0)+1,3,4,1,"CAL3")),0)</f>
        <v>0</v>
      </c>
      <c r="Q233" s="20" t="str">
        <f ca="1">IF(CALC2223!AZ233&gt;2,INDIRECT(ADDRESS(MATCH(Agenda2526!C234,'CAL3'!A:A,0)+2,2,4,1,"CAL3")),"")</f>
        <v/>
      </c>
      <c r="R233" s="21">
        <f ca="1">IF(CALC2223!AZ233&gt;2,INDIRECT(ADDRESS(MATCH(Agenda2526!C234,'CAL3'!A:A,0)+2,3,4,1,"CAL3")),0)</f>
        <v>0</v>
      </c>
      <c r="S233" s="20" t="str">
        <f ca="1">IF(CALC2223!BA233&gt;0,INDIRECT(ADDRESS(MATCH(Agenda2526!C234,'CAL4'!A:A,0),2,4,1,"CAL4")),"")</f>
        <v>inh rep GR</v>
      </c>
      <c r="T233" s="21">
        <f ca="1">IF(CALC2223!BA233&gt;0,INDIRECT(ADDRESS(MATCH(Agenda2526!C234,'CAL4'!A:A,0),3,4,1,"CAL4")),0)</f>
        <v>45936</v>
      </c>
      <c r="U233" s="20" t="str">
        <f ca="1">IF(CALC2223!BA233&gt;1,INDIRECT(ADDRESS(MATCH(Agenda2526!C234,'CAL4'!A:A,0)+1,2,4,1,"CAL4")),"")</f>
        <v/>
      </c>
      <c r="V233" s="21">
        <f ca="1">IF(CALC2223!BA233&gt;1,INDIRECT(ADDRESS(MATCH(Agenda2526!C234,'CAL4'!A:A,0)+1,3,4,1,"CAL4")),0)</f>
        <v>0</v>
      </c>
      <c r="W233" s="20" t="str">
        <f ca="1">IF(CALC2223!BA233&gt;2,INDIRECT(ADDRESS(MATCH(Agenda2526!C234,'CAL4'!A:A,0)+2,2,4,1,"CAL4")),"")</f>
        <v/>
      </c>
      <c r="X233" s="21">
        <f ca="1">IF(CALC2223!BA233&gt;2,INDIRECT(ADDRESS(MATCH(Agenda2526!C234,'CAL4'!A:A,0)+2,3,4,1,"CAL4")),0)</f>
        <v>0</v>
      </c>
      <c r="Y233" s="20" t="str">
        <f ca="1">IF(CALC2223!BB233&gt;0,INDIRECT(ADDRESS(MATCH(Agenda2526!C234,'CAL5'!A:A,0),2,4,1,"CAL5")),"")</f>
        <v>inh rep BI</v>
      </c>
      <c r="Z233" s="21">
        <f ca="1">IF(CALC2223!BB233&gt;0,INDIRECT(ADDRESS(MATCH(Agenda2526!C234,'CAL5'!A:A,0),3,4,1,"CAL5")),0)</f>
        <v>45936</v>
      </c>
      <c r="AA233" s="20" t="str">
        <f ca="1">IF(CALC2223!BB233&gt;1,INDIRECT(ADDRESS(MATCH(Agenda2526!C234,'CAL5'!A:A,0)+1,2,4,1,"CAL5")),"")</f>
        <v/>
      </c>
      <c r="AB233" s="21">
        <f ca="1">IF(CALC2223!BB233&gt;1,INDIRECT(ADDRESS(MATCH(Agenda2526!C234,'CAL5'!A:A,0)+1,3,4,1,"CAL5")),0)</f>
        <v>0</v>
      </c>
      <c r="AC233" s="20" t="str">
        <f ca="1">IF(CALC2223!BB233&gt;2,INDIRECT(ADDRESS(MATCH(Agenda2526!C234,'CAL5'!A:A,0)+2,2,4,1,"CAL5")),"")</f>
        <v/>
      </c>
      <c r="AD233" s="21">
        <f ca="1">IF(CALC2223!BB233&gt;2,INDIRECT(ADDRESS(MATCH(Agenda2526!C234,'CAL5'!A:A,0)+2,3,4,1,"CAL5")),0)</f>
        <v>0</v>
      </c>
      <c r="AE233" s="20" t="str">
        <f ca="1">IF(CALC2223!BC233&gt;0,INDIRECT(ADDRESS(MATCH(Agenda2526!C234,'CAL6'!A:A,0),2,4,1,"CAL6")),"")</f>
        <v>SEcijfers definitief</v>
      </c>
      <c r="AF233" s="21">
        <f ca="1">IF(CALC2223!BC233&gt;0,INDIRECT(ADDRESS(MATCH(Agenda2526!C234,'CAL6'!A:A,0),3,4,1,"CAL6")),0)</f>
        <v>45896</v>
      </c>
      <c r="AG233" s="20" t="str">
        <f ca="1">IF(CALC2223!BC233&gt;1,INDIRECT(ADDRESS(MATCH(Agenda2526!C234,'CAL6'!A:A,0)+1,2,4,1,"CAL6")),"")</f>
        <v/>
      </c>
      <c r="AH233" s="21">
        <f ca="1">IF(CALC2223!BC233&gt;1,INDIRECT(ADDRESS(MATCH(Agenda2526!C234,'CAL6'!A:A,0)+1,3,4,1,"CAL6")),0)</f>
        <v>0</v>
      </c>
      <c r="AI233" s="20" t="str">
        <f ca="1">IF(CALC2223!BC233&gt;2,INDIRECT(ADDRESS(MATCH(Agenda2526!C234,'CAL6'!A:A,0)+2,2,4,1,"CAL6")),"")</f>
        <v/>
      </c>
      <c r="AJ233" s="21">
        <f ca="1">IF(CALC2223!BC233&gt;2,INDIRECT(ADDRESS(MATCH(Agenda2526!C234,'CAL6'!A:A,0)+2,3,4,1,"CAL6")),0)</f>
        <v>0</v>
      </c>
      <c r="AK233" s="20" t="str">
        <f ca="1">IF(CALC2223!BD233&gt;0,INDIRECT(ADDRESS(MATCH(Agenda2526!C234,'CAL7'!A:A,0),2,4,1,"CAL7")),"")</f>
        <v/>
      </c>
      <c r="AL233" s="21">
        <f ca="1">IF(CALC2223!BD233&gt;0,INDIRECT(ADDRESS(MATCH(Agenda2526!C234,'CAL7'!A:A,0),3,4,1,"CAL7")),0)</f>
        <v>0</v>
      </c>
      <c r="AM233" s="20" t="str">
        <f ca="1">IF(CALC2223!BD233&gt;1,INDIRECT(ADDRESS(MATCH(Agenda2526!C234,'CAL7'!A:A,0)+1,2,4,1,"CAL7")),"")</f>
        <v/>
      </c>
      <c r="AN233" s="21">
        <f ca="1">IF(CALC2223!BD233&gt;1,INDIRECT(ADDRESS(MATCH(Agenda2526!C234,'CAL7'!A:A,0)+1,3,4,1,"CAL7")),0)</f>
        <v>0</v>
      </c>
      <c r="AO233" s="20" t="str">
        <f ca="1">IF(CALC2223!BD233&gt;2,INDIRECT(ADDRESS(MATCH(Agenda2526!C234,'CAL7'!A:A,0)+2,2,4,1,"CAL7")),"")</f>
        <v/>
      </c>
      <c r="AP233" s="21">
        <f ca="1">IF(CALC2223!BD233&gt;2,INDIRECT(ADDRESS(MATCH(Agenda2526!C234,'CAL7'!A:A,0)+2,3,4,1,"CAL7")),0)</f>
        <v>0</v>
      </c>
      <c r="AQ233" s="20" t="str">
        <f ca="1">IF(CALC2223!BE233&gt;0,INDIRECT(ADDRESS(MATCH(Agenda2526!C234,'CAL8'!A:A,0),2,4,1,"CAL8")),"")</f>
        <v/>
      </c>
      <c r="AR233" s="21">
        <f ca="1">IF(CALC2223!BE233&gt;0,INDIRECT(ADDRESS(MATCH(Agenda2526!C234,'CAL8'!A:A,0),3,4,1,"CAL8")),0)</f>
        <v>0</v>
      </c>
      <c r="AS233" s="20" t="str">
        <f ca="1">IF(CALC2223!BE233&gt;1,INDIRECT(ADDRESS(MATCH(Agenda2526!C234,'CAL8'!A:A,0)+1,2,4,1,"CAL8")),"")</f>
        <v/>
      </c>
      <c r="AT233" s="21">
        <f ca="1">IF(CALC2223!BE233&gt;1,INDIRECT(ADDRESS(MATCH(Agenda2526!C234,'CAL8'!A:A,0)+1,3,4,1,"CAL8")),0)</f>
        <v>0</v>
      </c>
      <c r="AU233" s="20" t="str">
        <f ca="1">IF(CALC2223!BE233&gt;2,INDIRECT(ADDRESS(MATCH(Agenda2526!C234,'CAL8'!A:A,0)+2,2,4,1,"CAL8")),"")</f>
        <v/>
      </c>
      <c r="AV233" s="21">
        <f ca="1">IF(CALC2223!BE233&gt;2,INDIRECT(ADDRESS(MATCH(Agenda2526!C234,'CAL8'!A:A,0)+2,3,4,1,"CAL8")),0)</f>
        <v>0</v>
      </c>
      <c r="AW233" s="105"/>
      <c r="AX233" s="20">
        <f>COUNTIF('CAL1'!A:A,Agenda2526!C234)</f>
        <v>0</v>
      </c>
      <c r="AY233" s="20">
        <f>COUNTIF('CAL2'!A:A,Agenda2526!C234)</f>
        <v>0</v>
      </c>
      <c r="AZ233" s="20">
        <f>COUNTIF('CAL3'!A:A,Agenda2526!C234)</f>
        <v>0</v>
      </c>
      <c r="BA233" s="20">
        <f>COUNTIF('CAL4'!A:A,Agenda2526!C234)</f>
        <v>1</v>
      </c>
      <c r="BB233" s="20">
        <f>COUNTIF('CAL5'!A:A,Agenda2526!C234)</f>
        <v>1</v>
      </c>
      <c r="BC233" s="20">
        <f>COUNTIF('CAL6'!A:A,Agenda2526!C234)</f>
        <v>1</v>
      </c>
      <c r="BD233" s="20">
        <f>COUNTIF('CAL7'!A:A,Agenda2526!C234)</f>
        <v>0</v>
      </c>
      <c r="BE233" s="20">
        <f>COUNTIF('CAL8'!A:A,Agenda2526!C234)</f>
        <v>0</v>
      </c>
    </row>
    <row r="234" spans="1:57" ht="15.75" customHeight="1">
      <c r="A234" s="20" t="str">
        <f ca="1">IF(CALC2223!AX234&gt;0,INDIRECT(ADDRESS(MATCH(Agenda2526!C235,'CAL1'!A:A,0),2,4,1,"CAL1")),"")</f>
        <v/>
      </c>
      <c r="B234" s="21">
        <f ca="1">IF(CALC2223!AX234&gt;0,INDIRECT(ADDRESS(MATCH(Agenda2526!C235,'CAL1'!A:A,0),3,4,1,"CAL1")),0)</f>
        <v>0</v>
      </c>
      <c r="C234" s="20" t="str">
        <f ca="1">IF(CALC2223!AX234&gt;1,INDIRECT(ADDRESS(MATCH(Agenda2526!C235,'CAL1'!A:A,0)+1,2,4,1,"CAL1")),"")</f>
        <v/>
      </c>
      <c r="D234" s="21">
        <f ca="1">IF(CALC2223!AX234&gt;1,INDIRECT(ADDRESS(MATCH(Agenda2526!C235,'CAL1'!A:A,0)+1,3,4,1,"CAL1")),0)</f>
        <v>0</v>
      </c>
      <c r="E234" s="20" t="str">
        <f ca="1">IF(CALC2223!AX234&gt;2,INDIRECT(ADDRESS(MATCH(Agenda2526!C235,'CAL1'!A:A,0)+2,2,4,1,"CAL1")),"")</f>
        <v/>
      </c>
      <c r="F234" s="21">
        <f ca="1">IF(CALC2223!AX234&gt;2,INDIRECT(ADDRESS(MATCH(Agenda2526!C235,'CAL1'!A:A,0)+2,3,4,1,"CAL1")),0)</f>
        <v>0</v>
      </c>
      <c r="G234" s="20" t="str">
        <f ca="1">IF(CALC2223!AY234&gt;0,INDIRECT(ADDRESS(MATCH(Agenda2526!C235,'CAL2'!A:A,0),2,4,1,"CAL2")),"")</f>
        <v/>
      </c>
      <c r="H234" s="21">
        <f ca="1">IF(CALC2223!AY234&gt;0,INDIRECT(ADDRESS(MATCH(Agenda2526!C235,'CAL2'!A:A,0),3,4,1,"CAL2")),0)</f>
        <v>0</v>
      </c>
      <c r="I234" s="20" t="str">
        <f ca="1">IF(CALC2223!AY234&gt;1,INDIRECT(ADDRESS(MATCH(Agenda2526!C235,'CAL2'!A:A,0)+1,2,4,1,"CAL2")),"")</f>
        <v/>
      </c>
      <c r="J234" s="21">
        <f ca="1">IF(CALC2223!AY234&gt;1,INDIRECT(ADDRESS(MATCH(Agenda2526!C235,'CAL2'!A:A,0)+1,3,4,1,"CAL2")),0)</f>
        <v>0</v>
      </c>
      <c r="K234" s="20" t="str">
        <f ca="1">IF(CALC2223!AY234&gt;2,INDIRECT(ADDRESS(MATCH(Agenda2526!C235,'CAL2'!A:A,0)+2,2,4,1,"CAL2")),"")</f>
        <v/>
      </c>
      <c r="L234" s="21">
        <f ca="1">IF(CALC2223!AY234&gt;2,INDIRECT(ADDRESS(MATCH(Agenda2526!C235,'CAL2'!A:A,0)+2,3,4,1,"CAL2")),0)</f>
        <v>0</v>
      </c>
      <c r="M234" s="20" t="str">
        <f ca="1">IF(CALC2223!AZ234&gt;0,INDIRECT(ADDRESS(MATCH(Agenda2526!C235,'CAL3'!A:A,0),2,4,1,"CAL3")),"")</f>
        <v/>
      </c>
      <c r="N234" s="21">
        <f ca="1">IF(CALC2223!AZ234&gt;0,INDIRECT(ADDRESS(MATCH(Agenda2526!C235,'CAL3'!A:A,0),3,4,1,"CAL3")),0)</f>
        <v>0</v>
      </c>
      <c r="O234" s="20" t="str">
        <f ca="1">IF(CALC2223!AZ234&gt;1,INDIRECT(ADDRESS(MATCH(Agenda2526!C235,'CAL3'!A:A,0)+1,2,4,1,"CAL3")),"")</f>
        <v/>
      </c>
      <c r="P234" s="21">
        <f ca="1">IF(CALC2223!AZ234&gt;1,INDIRECT(ADDRESS(MATCH(Agenda2526!C235,'CAL3'!A:A,0)+1,3,4,1,"CAL3")),0)</f>
        <v>0</v>
      </c>
      <c r="Q234" s="20" t="str">
        <f ca="1">IF(CALC2223!AZ234&gt;2,INDIRECT(ADDRESS(MATCH(Agenda2526!C235,'CAL3'!A:A,0)+2,2,4,1,"CAL3")),"")</f>
        <v/>
      </c>
      <c r="R234" s="21">
        <f ca="1">IF(CALC2223!AZ234&gt;2,INDIRECT(ADDRESS(MATCH(Agenda2526!C235,'CAL3'!A:A,0)+2,3,4,1,"CAL3")),0)</f>
        <v>0</v>
      </c>
      <c r="S234" s="20" t="str">
        <f ca="1">IF(CALC2223!BA234&gt;0,INDIRECT(ADDRESS(MATCH(Agenda2526!C235,'CAL4'!A:A,0),2,4,1,"CAL4")),"")</f>
        <v>Rep EN</v>
      </c>
      <c r="T234" s="21">
        <f ca="1">IF(CALC2223!BA234&gt;0,INDIRECT(ADDRESS(MATCH(Agenda2526!C235,'CAL4'!A:A,0),3,4,1,"CAL4")),0)</f>
        <v>45896</v>
      </c>
      <c r="U234" s="20" t="str">
        <f ca="1">IF(CALC2223!BA234&gt;1,INDIRECT(ADDRESS(MATCH(Agenda2526!C235,'CAL4'!A:A,0)+1,2,4,1,"CAL4")),"")</f>
        <v/>
      </c>
      <c r="V234" s="21">
        <f ca="1">IF(CALC2223!BA234&gt;1,INDIRECT(ADDRESS(MATCH(Agenda2526!C235,'CAL4'!A:A,0)+1,3,4,1,"CAL4")),0)</f>
        <v>0</v>
      </c>
      <c r="W234" s="20" t="str">
        <f ca="1">IF(CALC2223!BA234&gt;2,INDIRECT(ADDRESS(MATCH(Agenda2526!C235,'CAL4'!A:A,0)+2,2,4,1,"CAL4")),"")</f>
        <v/>
      </c>
      <c r="X234" s="21">
        <f ca="1">IF(CALC2223!BA234&gt;2,INDIRECT(ADDRESS(MATCH(Agenda2526!C235,'CAL4'!A:A,0)+2,3,4,1,"CAL4")),0)</f>
        <v>0</v>
      </c>
      <c r="Y234" s="20" t="str">
        <f ca="1">IF(CALC2223!BB234&gt;0,INDIRECT(ADDRESS(MATCH(Agenda2526!C235,'CAL5'!A:A,0),2,4,1,"CAL5")),"")</f>
        <v/>
      </c>
      <c r="Z234" s="21">
        <f ca="1">IF(CALC2223!BB234&gt;0,INDIRECT(ADDRESS(MATCH(Agenda2526!C235,'CAL5'!A:A,0),3,4,1,"CAL5")),0)</f>
        <v>0</v>
      </c>
      <c r="AA234" s="20" t="str">
        <f ca="1">IF(CALC2223!BB234&gt;1,INDIRECT(ADDRESS(MATCH(Agenda2526!C235,'CAL5'!A:A,0)+1,2,4,1,"CAL5")),"")</f>
        <v/>
      </c>
      <c r="AB234" s="21">
        <f ca="1">IF(CALC2223!BB234&gt;1,INDIRECT(ADDRESS(MATCH(Agenda2526!C235,'CAL5'!A:A,0)+1,3,4,1,"CAL5")),0)</f>
        <v>0</v>
      </c>
      <c r="AC234" s="20" t="str">
        <f ca="1">IF(CALC2223!BB234&gt;2,INDIRECT(ADDRESS(MATCH(Agenda2526!C235,'CAL5'!A:A,0)+2,2,4,1,"CAL5")),"")</f>
        <v/>
      </c>
      <c r="AD234" s="21">
        <f ca="1">IF(CALC2223!BB234&gt;2,INDIRECT(ADDRESS(MATCH(Agenda2526!C235,'CAL5'!A:A,0)+2,3,4,1,"CAL5")),0)</f>
        <v>0</v>
      </c>
      <c r="AE234" s="20" t="str">
        <f ca="1">IF(CALC2223!BC234&gt;0,INDIRECT(ADDRESS(MATCH(Agenda2526!C235,'CAL6'!A:A,0),2,4,1,"CAL6")),"")</f>
        <v>ontvangstverklaringen</v>
      </c>
      <c r="AF234" s="21">
        <f ca="1">IF(CALC2223!BC234&gt;0,INDIRECT(ADDRESS(MATCH(Agenda2526!C235,'CAL6'!A:A,0),3,4,1,"CAL6")),0)</f>
        <v>45922</v>
      </c>
      <c r="AG234" s="20" t="str">
        <f ca="1">IF(CALC2223!BC234&gt;1,INDIRECT(ADDRESS(MATCH(Agenda2526!C235,'CAL6'!A:A,0)+1,2,4,1,"CAL6")),"")</f>
        <v/>
      </c>
      <c r="AH234" s="21">
        <f ca="1">IF(CALC2223!BC234&gt;1,INDIRECT(ADDRESS(MATCH(Agenda2526!C235,'CAL6'!A:A,0)+1,3,4,1,"CAL6")),0)</f>
        <v>0</v>
      </c>
      <c r="AI234" s="20" t="str">
        <f ca="1">IF(CALC2223!BC234&gt;2,INDIRECT(ADDRESS(MATCH(Agenda2526!C235,'CAL6'!A:A,0)+2,2,4,1,"CAL6")),"")</f>
        <v/>
      </c>
      <c r="AJ234" s="21">
        <f ca="1">IF(CALC2223!BC234&gt;2,INDIRECT(ADDRESS(MATCH(Agenda2526!C235,'CAL6'!A:A,0)+2,3,4,1,"CAL6")),0)</f>
        <v>0</v>
      </c>
      <c r="AK234" s="20" t="str">
        <f ca="1">IF(CALC2223!BD234&gt;0,INDIRECT(ADDRESS(MATCH(Agenda2526!C235,'CAL7'!A:A,0),2,4,1,"CAL7")),"")</f>
        <v/>
      </c>
      <c r="AL234" s="21">
        <f ca="1">IF(CALC2223!BD234&gt;0,INDIRECT(ADDRESS(MATCH(Agenda2526!C235,'CAL7'!A:A,0),3,4,1,"CAL7")),0)</f>
        <v>0</v>
      </c>
      <c r="AM234" s="20" t="str">
        <f ca="1">IF(CALC2223!BD234&gt;1,INDIRECT(ADDRESS(MATCH(Agenda2526!C235,'CAL7'!A:A,0)+1,2,4,1,"CAL7")),"")</f>
        <v/>
      </c>
      <c r="AN234" s="21">
        <f ca="1">IF(CALC2223!BD234&gt;1,INDIRECT(ADDRESS(MATCH(Agenda2526!C235,'CAL7'!A:A,0)+1,3,4,1,"CAL7")),0)</f>
        <v>0</v>
      </c>
      <c r="AO234" s="20" t="str">
        <f ca="1">IF(CALC2223!BD234&gt;2,INDIRECT(ADDRESS(MATCH(Agenda2526!C235,'CAL7'!A:A,0)+2,2,4,1,"CAL7")),"")</f>
        <v/>
      </c>
      <c r="AP234" s="21">
        <f ca="1">IF(CALC2223!BD234&gt;2,INDIRECT(ADDRESS(MATCH(Agenda2526!C235,'CAL7'!A:A,0)+2,3,4,1,"CAL7")),0)</f>
        <v>0</v>
      </c>
      <c r="AQ234" s="20" t="str">
        <f ca="1">IF(CALC2223!BE234&gt;0,INDIRECT(ADDRESS(MATCH(Agenda2526!C235,'CAL8'!A:A,0),2,4,1,"CAL8")),"")</f>
        <v/>
      </c>
      <c r="AR234" s="21">
        <f ca="1">IF(CALC2223!BE234&gt;0,INDIRECT(ADDRESS(MATCH(Agenda2526!C235,'CAL8'!A:A,0),3,4,1,"CAL8")),0)</f>
        <v>0</v>
      </c>
      <c r="AS234" s="20" t="str">
        <f ca="1">IF(CALC2223!BE234&gt;1,INDIRECT(ADDRESS(MATCH(Agenda2526!C235,'CAL8'!A:A,0)+1,2,4,1,"CAL8")),"")</f>
        <v/>
      </c>
      <c r="AT234" s="21">
        <f ca="1">IF(CALC2223!BE234&gt;1,INDIRECT(ADDRESS(MATCH(Agenda2526!C235,'CAL8'!A:A,0)+1,3,4,1,"CAL8")),0)</f>
        <v>0</v>
      </c>
      <c r="AU234" s="20" t="str">
        <f ca="1">IF(CALC2223!BE234&gt;2,INDIRECT(ADDRESS(MATCH(Agenda2526!C235,'CAL8'!A:A,0)+2,2,4,1,"CAL8")),"")</f>
        <v/>
      </c>
      <c r="AV234" s="21">
        <f ca="1">IF(CALC2223!BE234&gt;2,INDIRECT(ADDRESS(MATCH(Agenda2526!C235,'CAL8'!A:A,0)+2,3,4,1,"CAL8")),0)</f>
        <v>0</v>
      </c>
      <c r="AW234" s="105"/>
      <c r="AX234" s="20">
        <f>COUNTIF('CAL1'!A:A,Agenda2526!C235)</f>
        <v>0</v>
      </c>
      <c r="AY234" s="20">
        <f>COUNTIF('CAL2'!A:A,Agenda2526!C235)</f>
        <v>0</v>
      </c>
      <c r="AZ234" s="20">
        <f>COUNTIF('CAL3'!A:A,Agenda2526!C235)</f>
        <v>0</v>
      </c>
      <c r="BA234" s="20">
        <f>COUNTIF('CAL4'!A:A,Agenda2526!C235)</f>
        <v>1</v>
      </c>
      <c r="BB234" s="20">
        <f>COUNTIF('CAL5'!A:A,Agenda2526!C235)</f>
        <v>0</v>
      </c>
      <c r="BC234" s="20">
        <f>COUNTIF('CAL6'!A:A,Agenda2526!C235)</f>
        <v>1</v>
      </c>
      <c r="BD234" s="20">
        <f>COUNTIF('CAL7'!A:A,Agenda2526!C235)</f>
        <v>0</v>
      </c>
      <c r="BE234" s="20">
        <f>COUNTIF('CAL8'!A:A,Agenda2526!C235)</f>
        <v>0</v>
      </c>
    </row>
    <row r="235" spans="1:57" ht="15.75" customHeight="1">
      <c r="A235" s="20" t="str">
        <f ca="1">IF(CALC2223!AX235&gt;0,INDIRECT(ADDRESS(MATCH(Agenda2526!C236,'CAL1'!A:A,0),2,4,1,"CAL1")),"")</f>
        <v>Rep BIO</v>
      </c>
      <c r="B235" s="21">
        <f ca="1">IF(CALC2223!AX235&gt;0,INDIRECT(ADDRESS(MATCH(Agenda2526!C236,'CAL1'!A:A,0),3,4,1,"CAL1")),0)</f>
        <v>45901</v>
      </c>
      <c r="C235" s="20" t="str">
        <f ca="1">IF(CALC2223!AX235&gt;1,INDIRECT(ADDRESS(MATCH(Agenda2526!C236,'CAL1'!A:A,0)+1,2,4,1,"CAL1")),"")</f>
        <v/>
      </c>
      <c r="D235" s="21">
        <f ca="1">IF(CALC2223!AX235&gt;1,INDIRECT(ADDRESS(MATCH(Agenda2526!C236,'CAL1'!A:A,0)+1,3,4,1,"CAL1")),0)</f>
        <v>0</v>
      </c>
      <c r="E235" s="20" t="str">
        <f ca="1">IF(CALC2223!AX235&gt;2,INDIRECT(ADDRESS(MATCH(Agenda2526!C236,'CAL1'!A:A,0)+2,2,4,1,"CAL1")),"")</f>
        <v/>
      </c>
      <c r="F235" s="21">
        <f ca="1">IF(CALC2223!AX235&gt;2,INDIRECT(ADDRESS(MATCH(Agenda2526!C236,'CAL1'!A:A,0)+2,3,4,1,"CAL1")),0)</f>
        <v>0</v>
      </c>
      <c r="G235" s="20" t="str">
        <f ca="1">IF(CALC2223!AY235&gt;0,INDIRECT(ADDRESS(MATCH(Agenda2526!C236,'CAL2'!A:A,0),2,4,1,"CAL2")),"")</f>
        <v>Rep FA</v>
      </c>
      <c r="H235" s="21">
        <f ca="1">IF(CALC2223!AY235&gt;0,INDIRECT(ADDRESS(MATCH(Agenda2526!C236,'CAL2'!A:A,0),3,4,1,"CAL2")),0)</f>
        <v>45915</v>
      </c>
      <c r="I235" s="20" t="str">
        <f ca="1">IF(CALC2223!AY235&gt;1,INDIRECT(ADDRESS(MATCH(Agenda2526!C236,'CAL2'!A:A,0)+1,2,4,1,"CAL2")),"")</f>
        <v/>
      </c>
      <c r="J235" s="21">
        <f ca="1">IF(CALC2223!AY235&gt;1,INDIRECT(ADDRESS(MATCH(Agenda2526!C236,'CAL2'!A:A,0)+1,3,4,1,"CAL2")),0)</f>
        <v>0</v>
      </c>
      <c r="K235" s="20" t="str">
        <f ca="1">IF(CALC2223!AY235&gt;2,INDIRECT(ADDRESS(MATCH(Agenda2526!C236,'CAL2'!A:A,0)+2,2,4,1,"CAL2")),"")</f>
        <v/>
      </c>
      <c r="L235" s="21">
        <f ca="1">IF(CALC2223!AY235&gt;2,INDIRECT(ADDRESS(MATCH(Agenda2526!C236,'CAL2'!A:A,0)+2,3,4,1,"CAL2")),0)</f>
        <v>0</v>
      </c>
      <c r="M235" s="20" t="str">
        <f ca="1">IF(CALC2223!AZ235&gt;0,INDIRECT(ADDRESS(MATCH(Agenda2526!C236,'CAL3'!A:A,0),2,4,1,"CAL3")),"")</f>
        <v/>
      </c>
      <c r="N235" s="21">
        <f ca="1">IF(CALC2223!AZ235&gt;0,INDIRECT(ADDRESS(MATCH(Agenda2526!C236,'CAL3'!A:A,0),3,4,1,"CAL3")),0)</f>
        <v>0</v>
      </c>
      <c r="O235" s="20" t="str">
        <f ca="1">IF(CALC2223!AZ235&gt;1,INDIRECT(ADDRESS(MATCH(Agenda2526!C236,'CAL3'!A:A,0)+1,2,4,1,"CAL3")),"")</f>
        <v/>
      </c>
      <c r="P235" s="21">
        <f ca="1">IF(CALC2223!AZ235&gt;1,INDIRECT(ADDRESS(MATCH(Agenda2526!C236,'CAL3'!A:A,0)+1,3,4,1,"CAL3")),0)</f>
        <v>0</v>
      </c>
      <c r="Q235" s="20" t="str">
        <f ca="1">IF(CALC2223!AZ235&gt;2,INDIRECT(ADDRESS(MATCH(Agenda2526!C236,'CAL3'!A:A,0)+2,2,4,1,"CAL3")),"")</f>
        <v/>
      </c>
      <c r="R235" s="21">
        <f ca="1">IF(CALC2223!AZ235&gt;2,INDIRECT(ADDRESS(MATCH(Agenda2526!C236,'CAL3'!A:A,0)+2,3,4,1,"CAL3")),0)</f>
        <v>0</v>
      </c>
      <c r="S235" s="20" t="str">
        <f ca="1">IF(CALC2223!BA235&gt;0,INDIRECT(ADDRESS(MATCH(Agenda2526!C236,'CAL4'!A:A,0),2,4,1,"CAL4")),"")</f>
        <v>inh rep SE ANW</v>
      </c>
      <c r="T235" s="21">
        <f ca="1">IF(CALC2223!BA235&gt;0,INDIRECT(ADDRESS(MATCH(Agenda2526!C236,'CAL4'!A:A,0),3,4,1,"CAL4")),0)</f>
        <v>45936</v>
      </c>
      <c r="U235" s="20" t="str">
        <f ca="1">IF(CALC2223!BA235&gt;1,INDIRECT(ADDRESS(MATCH(Agenda2526!C236,'CAL4'!A:A,0)+1,2,4,1,"CAL4")),"")</f>
        <v/>
      </c>
      <c r="V235" s="21">
        <f ca="1">IF(CALC2223!BA235&gt;1,INDIRECT(ADDRESS(MATCH(Agenda2526!C236,'CAL4'!A:A,0)+1,3,4,1,"CAL4")),0)</f>
        <v>0</v>
      </c>
      <c r="W235" s="20" t="str">
        <f ca="1">IF(CALC2223!BA235&gt;2,INDIRECT(ADDRESS(MATCH(Agenda2526!C236,'CAL4'!A:A,0)+2,2,4,1,"CAL4")),"")</f>
        <v/>
      </c>
      <c r="X235" s="21">
        <f ca="1">IF(CALC2223!BA235&gt;2,INDIRECT(ADDRESS(MATCH(Agenda2526!C236,'CAL4'!A:A,0)+2,3,4,1,"CAL4")),0)</f>
        <v>0</v>
      </c>
      <c r="Y235" s="20" t="str">
        <f ca="1">IF(CALC2223!BB235&gt;0,INDIRECT(ADDRESS(MATCH(Agenda2526!C236,'CAL5'!A:A,0),2,4,1,"CAL5")),"")</f>
        <v>inh rep SK</v>
      </c>
      <c r="Z235" s="21">
        <f ca="1">IF(CALC2223!BB235&gt;0,INDIRECT(ADDRESS(MATCH(Agenda2526!C236,'CAL5'!A:A,0),3,4,1,"CAL5")),0)</f>
        <v>45936</v>
      </c>
      <c r="AA235" s="20" t="str">
        <f ca="1">IF(CALC2223!BB235&gt;1,INDIRECT(ADDRESS(MATCH(Agenda2526!C236,'CAL5'!A:A,0)+1,2,4,1,"CAL5")),"")</f>
        <v/>
      </c>
      <c r="AB235" s="21">
        <f ca="1">IF(CALC2223!BB235&gt;1,INDIRECT(ADDRESS(MATCH(Agenda2526!C236,'CAL5'!A:A,0)+1,3,4,1,"CAL5")),0)</f>
        <v>0</v>
      </c>
      <c r="AC235" s="20" t="str">
        <f ca="1">IF(CALC2223!BB235&gt;2,INDIRECT(ADDRESS(MATCH(Agenda2526!C236,'CAL5'!A:A,0)+2,2,4,1,"CAL5")),"")</f>
        <v/>
      </c>
      <c r="AD235" s="21">
        <f ca="1">IF(CALC2223!BB235&gt;2,INDIRECT(ADDRESS(MATCH(Agenda2526!C236,'CAL5'!A:A,0)+2,3,4,1,"CAL5")),0)</f>
        <v>0</v>
      </c>
      <c r="AE235" s="20" t="str">
        <f ca="1">IF(CALC2223!BC235&gt;0,INDIRECT(ADDRESS(MATCH(Agenda2526!C236,'CAL6'!A:A,0),2,4,1,"CAL6")),"")</f>
        <v>SEcijfers naar DUO/stunt 12 u</v>
      </c>
      <c r="AF235" s="21">
        <f ca="1">IF(CALC2223!BC235&gt;0,INDIRECT(ADDRESS(MATCH(Agenda2526!C236,'CAL6'!A:A,0),3,4,1,"CAL6")),0)</f>
        <v>45896</v>
      </c>
      <c r="AG235" s="20" t="str">
        <f ca="1">IF(CALC2223!BC235&gt;1,INDIRECT(ADDRESS(MATCH(Agenda2526!C236,'CAL6'!A:A,0)+1,2,4,1,"CAL6")),"")</f>
        <v/>
      </c>
      <c r="AH235" s="21">
        <f ca="1">IF(CALC2223!BC235&gt;1,INDIRECT(ADDRESS(MATCH(Agenda2526!C236,'CAL6'!A:A,0)+1,3,4,1,"CAL6")),0)</f>
        <v>0</v>
      </c>
      <c r="AI235" s="20" t="str">
        <f ca="1">IF(CALC2223!BC235&gt;2,INDIRECT(ADDRESS(MATCH(Agenda2526!C236,'CAL6'!A:A,0)+2,2,4,1,"CAL6")),"")</f>
        <v/>
      </c>
      <c r="AJ235" s="21">
        <f ca="1">IF(CALC2223!BC235&gt;2,INDIRECT(ADDRESS(MATCH(Agenda2526!C236,'CAL6'!A:A,0)+2,3,4,1,"CAL6")),0)</f>
        <v>0</v>
      </c>
      <c r="AK235" s="20" t="str">
        <f ca="1">IF(CALC2223!BD235&gt;0,INDIRECT(ADDRESS(MATCH(Agenda2526!C236,'CAL7'!A:A,0),2,4,1,"CAL7")),"")</f>
        <v/>
      </c>
      <c r="AL235" s="21">
        <f ca="1">IF(CALC2223!BD235&gt;0,INDIRECT(ADDRESS(MATCH(Agenda2526!C236,'CAL7'!A:A,0),3,4,1,"CAL7")),0)</f>
        <v>0</v>
      </c>
      <c r="AM235" s="20" t="str">
        <f ca="1">IF(CALC2223!BD235&gt;1,INDIRECT(ADDRESS(MATCH(Agenda2526!C236,'CAL7'!A:A,0)+1,2,4,1,"CAL7")),"")</f>
        <v/>
      </c>
      <c r="AN235" s="21">
        <f ca="1">IF(CALC2223!BD235&gt;1,INDIRECT(ADDRESS(MATCH(Agenda2526!C236,'CAL7'!A:A,0)+1,3,4,1,"CAL7")),0)</f>
        <v>0</v>
      </c>
      <c r="AO235" s="20" t="str">
        <f ca="1">IF(CALC2223!BD235&gt;2,INDIRECT(ADDRESS(MATCH(Agenda2526!C236,'CAL7'!A:A,0)+2,2,4,1,"CAL7")),"")</f>
        <v/>
      </c>
      <c r="AP235" s="21">
        <f ca="1">IF(CALC2223!BD235&gt;2,INDIRECT(ADDRESS(MATCH(Agenda2526!C236,'CAL7'!A:A,0)+2,3,4,1,"CAL7")),0)</f>
        <v>0</v>
      </c>
      <c r="AQ235" s="20" t="str">
        <f ca="1">IF(CALC2223!BE235&gt;0,INDIRECT(ADDRESS(MATCH(Agenda2526!C236,'CAL8'!A:A,0),2,4,1,"CAL8")),"")</f>
        <v/>
      </c>
      <c r="AR235" s="21">
        <f ca="1">IF(CALC2223!BE235&gt;0,INDIRECT(ADDRESS(MATCH(Agenda2526!C236,'CAL8'!A:A,0),3,4,1,"CAL8")),0)</f>
        <v>0</v>
      </c>
      <c r="AS235" s="20" t="str">
        <f ca="1">IF(CALC2223!BE235&gt;1,INDIRECT(ADDRESS(MATCH(Agenda2526!C236,'CAL8'!A:A,0)+1,2,4,1,"CAL8")),"")</f>
        <v/>
      </c>
      <c r="AT235" s="21">
        <f ca="1">IF(CALC2223!BE235&gt;1,INDIRECT(ADDRESS(MATCH(Agenda2526!C236,'CAL8'!A:A,0)+1,3,4,1,"CAL8")),0)</f>
        <v>0</v>
      </c>
      <c r="AU235" s="20" t="str">
        <f ca="1">IF(CALC2223!BE235&gt;2,INDIRECT(ADDRESS(MATCH(Agenda2526!C236,'CAL8'!A:A,0)+2,2,4,1,"CAL8")),"")</f>
        <v/>
      </c>
      <c r="AV235" s="21">
        <f ca="1">IF(CALC2223!BE235&gt;2,INDIRECT(ADDRESS(MATCH(Agenda2526!C236,'CAL8'!A:A,0)+2,3,4,1,"CAL8")),0)</f>
        <v>0</v>
      </c>
      <c r="AW235" s="105"/>
      <c r="AX235" s="20">
        <f>COUNTIF('CAL1'!A:A,Agenda2526!C236)</f>
        <v>1</v>
      </c>
      <c r="AY235" s="20">
        <f>COUNTIF('CAL2'!A:A,Agenda2526!C236)</f>
        <v>1</v>
      </c>
      <c r="AZ235" s="20">
        <f>COUNTIF('CAL3'!A:A,Agenda2526!C236)</f>
        <v>0</v>
      </c>
      <c r="BA235" s="20">
        <f>COUNTIF('CAL4'!A:A,Agenda2526!C236)</f>
        <v>1</v>
      </c>
      <c r="BB235" s="20">
        <f>COUNTIF('CAL5'!A:A,Agenda2526!C236)</f>
        <v>1</v>
      </c>
      <c r="BC235" s="20">
        <f>COUNTIF('CAL6'!A:A,Agenda2526!C236)</f>
        <v>1</v>
      </c>
      <c r="BD235" s="20">
        <f>COUNTIF('CAL7'!A:A,Agenda2526!C236)</f>
        <v>0</v>
      </c>
      <c r="BE235" s="20">
        <f>COUNTIF('CAL8'!A:A,Agenda2526!C236)</f>
        <v>0</v>
      </c>
    </row>
    <row r="236" spans="1:57" ht="15.75" customHeight="1">
      <c r="A236" s="20" t="str">
        <f ca="1">IF(CALC2223!AX236&gt;0,INDIRECT(ADDRESS(MATCH(Agenda2526!C237,'CAL1'!A:A,0),2,4,1,"CAL1")),"")</f>
        <v/>
      </c>
      <c r="B236" s="21">
        <f ca="1">IF(CALC2223!AX236&gt;0,INDIRECT(ADDRESS(MATCH(Agenda2526!C237,'CAL1'!A:A,0),3,4,1,"CAL1")),0)</f>
        <v>0</v>
      </c>
      <c r="C236" s="20" t="str">
        <f ca="1">IF(CALC2223!AX236&gt;1,INDIRECT(ADDRESS(MATCH(Agenda2526!C237,'CAL1'!A:A,0)+1,2,4,1,"CAL1")),"")</f>
        <v/>
      </c>
      <c r="D236" s="21">
        <f ca="1">IF(CALC2223!AX236&gt;1,INDIRECT(ADDRESS(MATCH(Agenda2526!C237,'CAL1'!A:A,0)+1,3,4,1,"CAL1")),0)</f>
        <v>0</v>
      </c>
      <c r="E236" s="20" t="str">
        <f ca="1">IF(CALC2223!AX236&gt;2,INDIRECT(ADDRESS(MATCH(Agenda2526!C237,'CAL1'!A:A,0)+2,2,4,1,"CAL1")),"")</f>
        <v/>
      </c>
      <c r="F236" s="21">
        <f ca="1">IF(CALC2223!AX236&gt;2,INDIRECT(ADDRESS(MATCH(Agenda2526!C237,'CAL1'!A:A,0)+2,3,4,1,"CAL1")),0)</f>
        <v>0</v>
      </c>
      <c r="G236" s="20" t="str">
        <f ca="1">IF(CALC2223!AY236&gt;0,INDIRECT(ADDRESS(MATCH(Agenda2526!C237,'CAL2'!A:A,0),2,4,1,"CAL2")),"")</f>
        <v/>
      </c>
      <c r="H236" s="21">
        <f ca="1">IF(CALC2223!AY236&gt;0,INDIRECT(ADDRESS(MATCH(Agenda2526!C237,'CAL2'!A:A,0),3,4,1,"CAL2")),0)</f>
        <v>0</v>
      </c>
      <c r="I236" s="20" t="str">
        <f ca="1">IF(CALC2223!AY236&gt;1,INDIRECT(ADDRESS(MATCH(Agenda2526!C237,'CAL2'!A:A,0)+1,2,4,1,"CAL2")),"")</f>
        <v/>
      </c>
      <c r="J236" s="21">
        <f ca="1">IF(CALC2223!AY236&gt;1,INDIRECT(ADDRESS(MATCH(Agenda2526!C237,'CAL2'!A:A,0)+1,3,4,1,"CAL2")),0)</f>
        <v>0</v>
      </c>
      <c r="K236" s="20" t="str">
        <f ca="1">IF(CALC2223!AY236&gt;2,INDIRECT(ADDRESS(MATCH(Agenda2526!C237,'CAL2'!A:A,0)+2,2,4,1,"CAL2")),"")</f>
        <v/>
      </c>
      <c r="L236" s="21">
        <f ca="1">IF(CALC2223!AY236&gt;2,INDIRECT(ADDRESS(MATCH(Agenda2526!C237,'CAL2'!A:A,0)+2,3,4,1,"CAL2")),0)</f>
        <v>0</v>
      </c>
      <c r="M236" s="20" t="str">
        <f ca="1">IF(CALC2223!AZ236&gt;0,INDIRECT(ADDRESS(MATCH(Agenda2526!C237,'CAL3'!A:A,0),2,4,1,"CAL3")),"")</f>
        <v/>
      </c>
      <c r="N236" s="21">
        <f ca="1">IF(CALC2223!AZ236&gt;0,INDIRECT(ADDRESS(MATCH(Agenda2526!C237,'CAL3'!A:A,0),3,4,1,"CAL3")),0)</f>
        <v>0</v>
      </c>
      <c r="O236" s="20" t="str">
        <f ca="1">IF(CALC2223!AZ236&gt;1,INDIRECT(ADDRESS(MATCH(Agenda2526!C237,'CAL3'!A:A,0)+1,2,4,1,"CAL3")),"")</f>
        <v/>
      </c>
      <c r="P236" s="21">
        <f ca="1">IF(CALC2223!AZ236&gt;1,INDIRECT(ADDRESS(MATCH(Agenda2526!C237,'CAL3'!A:A,0)+1,3,4,1,"CAL3")),0)</f>
        <v>0</v>
      </c>
      <c r="Q236" s="20" t="str">
        <f ca="1">IF(CALC2223!AZ236&gt;2,INDIRECT(ADDRESS(MATCH(Agenda2526!C237,'CAL3'!A:A,0)+2,2,4,1,"CAL3")),"")</f>
        <v/>
      </c>
      <c r="R236" s="21">
        <f ca="1">IF(CALC2223!AZ236&gt;2,INDIRECT(ADDRESS(MATCH(Agenda2526!C237,'CAL3'!A:A,0)+2,3,4,1,"CAL3")),0)</f>
        <v>0</v>
      </c>
      <c r="S236" s="20" t="str">
        <f ca="1">IF(CALC2223!BA236&gt;0,INDIRECT(ADDRESS(MATCH(Agenda2526!C237,'CAL4'!A:A,0),2,4,1,"CAL4")),"")</f>
        <v/>
      </c>
      <c r="T236" s="21">
        <f ca="1">IF(CALC2223!BA236&gt;0,INDIRECT(ADDRESS(MATCH(Agenda2526!C237,'CAL4'!A:A,0),3,4,1,"CAL4")),0)</f>
        <v>0</v>
      </c>
      <c r="U236" s="20" t="str">
        <f ca="1">IF(CALC2223!BA236&gt;1,INDIRECT(ADDRESS(MATCH(Agenda2526!C237,'CAL4'!A:A,0)+1,2,4,1,"CAL4")),"")</f>
        <v/>
      </c>
      <c r="V236" s="21">
        <f ca="1">IF(CALC2223!BA236&gt;1,INDIRECT(ADDRESS(MATCH(Agenda2526!C237,'CAL4'!A:A,0)+1,3,4,1,"CAL4")),0)</f>
        <v>0</v>
      </c>
      <c r="W236" s="20" t="str">
        <f ca="1">IF(CALC2223!BA236&gt;2,INDIRECT(ADDRESS(MATCH(Agenda2526!C237,'CAL4'!A:A,0)+2,2,4,1,"CAL4")),"")</f>
        <v/>
      </c>
      <c r="X236" s="21">
        <f ca="1">IF(CALC2223!BA236&gt;2,INDIRECT(ADDRESS(MATCH(Agenda2526!C237,'CAL4'!A:A,0)+2,3,4,1,"CAL4")),0)</f>
        <v>0</v>
      </c>
      <c r="Y236" s="20" t="str">
        <f ca="1">IF(CALC2223!BB236&gt;0,INDIRECT(ADDRESS(MATCH(Agenda2526!C237,'CAL5'!A:A,0),2,4,1,"CAL5")),"")</f>
        <v/>
      </c>
      <c r="Z236" s="21">
        <f ca="1">IF(CALC2223!BB236&gt;0,INDIRECT(ADDRESS(MATCH(Agenda2526!C237,'CAL5'!A:A,0),3,4,1,"CAL5")),0)</f>
        <v>0</v>
      </c>
      <c r="AA236" s="20" t="str">
        <f ca="1">IF(CALC2223!BB236&gt;1,INDIRECT(ADDRESS(MATCH(Agenda2526!C237,'CAL5'!A:A,0)+1,2,4,1,"CAL5")),"")</f>
        <v/>
      </c>
      <c r="AB236" s="21">
        <f ca="1">IF(CALC2223!BB236&gt;1,INDIRECT(ADDRESS(MATCH(Agenda2526!C237,'CAL5'!A:A,0)+1,3,4,1,"CAL5")),0)</f>
        <v>0</v>
      </c>
      <c r="AC236" s="20" t="str">
        <f ca="1">IF(CALC2223!BB236&gt;2,INDIRECT(ADDRESS(MATCH(Agenda2526!C237,'CAL5'!A:A,0)+2,2,4,1,"CAL5")),"")</f>
        <v/>
      </c>
      <c r="AD236" s="21">
        <f ca="1">IF(CALC2223!BB236&gt;2,INDIRECT(ADDRESS(MATCH(Agenda2526!C237,'CAL5'!A:A,0)+2,3,4,1,"CAL5")),0)</f>
        <v>0</v>
      </c>
      <c r="AE236" s="20" t="str">
        <f ca="1">IF(CALC2223!BC236&gt;0,INDIRECT(ADDRESS(MATCH(Agenda2526!C237,'CAL6'!A:A,0),2,4,1,"CAL6")),"")</f>
        <v/>
      </c>
      <c r="AF236" s="21">
        <f ca="1">IF(CALC2223!BC236&gt;0,INDIRECT(ADDRESS(MATCH(Agenda2526!C237,'CAL6'!A:A,0),3,4,1,"CAL6")),0)</f>
        <v>0</v>
      </c>
      <c r="AG236" s="20" t="str">
        <f ca="1">IF(CALC2223!BC236&gt;1,INDIRECT(ADDRESS(MATCH(Agenda2526!C237,'CAL6'!A:A,0)+1,2,4,1,"CAL6")),"")</f>
        <v/>
      </c>
      <c r="AH236" s="21">
        <f ca="1">IF(CALC2223!BC236&gt;1,INDIRECT(ADDRESS(MATCH(Agenda2526!C237,'CAL6'!A:A,0)+1,3,4,1,"CAL6")),0)</f>
        <v>0</v>
      </c>
      <c r="AI236" s="20" t="str">
        <f ca="1">IF(CALC2223!BC236&gt;2,INDIRECT(ADDRESS(MATCH(Agenda2526!C237,'CAL6'!A:A,0)+2,2,4,1,"CAL6")),"")</f>
        <v/>
      </c>
      <c r="AJ236" s="21">
        <f ca="1">IF(CALC2223!BC236&gt;2,INDIRECT(ADDRESS(MATCH(Agenda2526!C237,'CAL6'!A:A,0)+2,3,4,1,"CAL6")),0)</f>
        <v>0</v>
      </c>
      <c r="AK236" s="20" t="str">
        <f ca="1">IF(CALC2223!BD236&gt;0,INDIRECT(ADDRESS(MATCH(Agenda2526!C237,'CAL7'!A:A,0),2,4,1,"CAL7")),"")</f>
        <v/>
      </c>
      <c r="AL236" s="21">
        <f ca="1">IF(CALC2223!BD236&gt;0,INDIRECT(ADDRESS(MATCH(Agenda2526!C237,'CAL7'!A:A,0),3,4,1,"CAL7")),0)</f>
        <v>0</v>
      </c>
      <c r="AM236" s="20" t="str">
        <f ca="1">IF(CALC2223!BD236&gt;1,INDIRECT(ADDRESS(MATCH(Agenda2526!C237,'CAL7'!A:A,0)+1,2,4,1,"CAL7")),"")</f>
        <v/>
      </c>
      <c r="AN236" s="21">
        <f ca="1">IF(CALC2223!BD236&gt;1,INDIRECT(ADDRESS(MATCH(Agenda2526!C237,'CAL7'!A:A,0)+1,3,4,1,"CAL7")),0)</f>
        <v>0</v>
      </c>
      <c r="AO236" s="20" t="str">
        <f ca="1">IF(CALC2223!BD236&gt;2,INDIRECT(ADDRESS(MATCH(Agenda2526!C237,'CAL7'!A:A,0)+2,2,4,1,"CAL7")),"")</f>
        <v/>
      </c>
      <c r="AP236" s="21">
        <f ca="1">IF(CALC2223!BD236&gt;2,INDIRECT(ADDRESS(MATCH(Agenda2526!C237,'CAL7'!A:A,0)+2,3,4,1,"CAL7")),0)</f>
        <v>0</v>
      </c>
      <c r="AQ236" s="20" t="str">
        <f ca="1">IF(CALC2223!BE236&gt;0,INDIRECT(ADDRESS(MATCH(Agenda2526!C237,'CAL8'!A:A,0),2,4,1,"CAL8")),"")</f>
        <v>meivakantie</v>
      </c>
      <c r="AR236" s="21">
        <f ca="1">IF(CALC2223!BE236&gt;0,INDIRECT(ADDRESS(MATCH(Agenda2526!C237,'CAL8'!A:A,0),3,4,1,"CAL8")),0)</f>
        <v>45898</v>
      </c>
      <c r="AS236" s="20" t="str">
        <f ca="1">IF(CALC2223!BE236&gt;1,INDIRECT(ADDRESS(MATCH(Agenda2526!C237,'CAL8'!A:A,0)+1,2,4,1,"CAL8")),"")</f>
        <v/>
      </c>
      <c r="AT236" s="21">
        <f ca="1">IF(CALC2223!BE236&gt;1,INDIRECT(ADDRESS(MATCH(Agenda2526!C237,'CAL8'!A:A,0)+1,3,4,1,"CAL8")),0)</f>
        <v>0</v>
      </c>
      <c r="AU236" s="20" t="str">
        <f ca="1">IF(CALC2223!BE236&gt;2,INDIRECT(ADDRESS(MATCH(Agenda2526!C237,'CAL8'!A:A,0)+2,2,4,1,"CAL8")),"")</f>
        <v/>
      </c>
      <c r="AV236" s="21">
        <f ca="1">IF(CALC2223!BE236&gt;2,INDIRECT(ADDRESS(MATCH(Agenda2526!C237,'CAL8'!A:A,0)+2,3,4,1,"CAL8")),0)</f>
        <v>0</v>
      </c>
      <c r="AW236" s="107"/>
      <c r="AX236" s="20">
        <f>COUNTIF('CAL1'!A:A,Agenda2526!C237)</f>
        <v>0</v>
      </c>
      <c r="AY236" s="20">
        <f>COUNTIF('CAL2'!A:A,Agenda2526!C237)</f>
        <v>0</v>
      </c>
      <c r="AZ236" s="20">
        <f>COUNTIF('CAL3'!A:A,Agenda2526!C237)</f>
        <v>0</v>
      </c>
      <c r="BA236" s="20">
        <f>COUNTIF('CAL4'!A:A,Agenda2526!C237)</f>
        <v>0</v>
      </c>
      <c r="BB236" s="20">
        <f>COUNTIF('CAL5'!A:A,Agenda2526!C237)</f>
        <v>0</v>
      </c>
      <c r="BC236" s="20">
        <f>COUNTIF('CAL6'!A:A,Agenda2526!C237)</f>
        <v>0</v>
      </c>
      <c r="BD236" s="20">
        <f>COUNTIF('CAL7'!A:A,Agenda2526!C237)</f>
        <v>0</v>
      </c>
      <c r="BE236" s="20">
        <f>COUNTIF('CAL8'!A:A,Agenda2526!C237)</f>
        <v>1</v>
      </c>
    </row>
    <row r="237" spans="1:57" ht="15.75" customHeight="1">
      <c r="A237" s="20" t="str">
        <f ca="1">IF(CALC2223!AX237&gt;0,INDIRECT(ADDRESS(MATCH(Agenda2526!C238,'CAL1'!A:A,0),2,4,1,"CAL1")),"")</f>
        <v/>
      </c>
      <c r="B237" s="21">
        <f ca="1">IF(CALC2223!AX237&gt;0,INDIRECT(ADDRESS(MATCH(Agenda2526!C238,'CAL1'!A:A,0),3,4,1,"CAL1")),0)</f>
        <v>0</v>
      </c>
      <c r="C237" s="20" t="str">
        <f ca="1">IF(CALC2223!AX237&gt;1,INDIRECT(ADDRESS(MATCH(Agenda2526!C238,'CAL1'!A:A,0)+1,2,4,1,"CAL1")),"")</f>
        <v/>
      </c>
      <c r="D237" s="21">
        <f ca="1">IF(CALC2223!AX237&gt;1,INDIRECT(ADDRESS(MATCH(Agenda2526!C238,'CAL1'!A:A,0)+1,3,4,1,"CAL1")),0)</f>
        <v>0</v>
      </c>
      <c r="E237" s="20" t="str">
        <f ca="1">IF(CALC2223!AX237&gt;2,INDIRECT(ADDRESS(MATCH(Agenda2526!C238,'CAL1'!A:A,0)+2,2,4,1,"CAL1")),"")</f>
        <v/>
      </c>
      <c r="F237" s="21">
        <f ca="1">IF(CALC2223!AX237&gt;2,INDIRECT(ADDRESS(MATCH(Agenda2526!C238,'CAL1'!A:A,0)+2,3,4,1,"CAL1")),0)</f>
        <v>0</v>
      </c>
      <c r="G237" s="20" t="str">
        <f ca="1">IF(CALC2223!AY237&gt;0,INDIRECT(ADDRESS(MATCH(Agenda2526!C238,'CAL2'!A:A,0),2,4,1,"CAL2")),"")</f>
        <v/>
      </c>
      <c r="H237" s="21">
        <f ca="1">IF(CALC2223!AY237&gt;0,INDIRECT(ADDRESS(MATCH(Agenda2526!C238,'CAL2'!A:A,0),3,4,1,"CAL2")),0)</f>
        <v>0</v>
      </c>
      <c r="I237" s="20" t="str">
        <f ca="1">IF(CALC2223!AY237&gt;1,INDIRECT(ADDRESS(MATCH(Agenda2526!C238,'CAL2'!A:A,0)+1,2,4,1,"CAL2")),"")</f>
        <v/>
      </c>
      <c r="J237" s="21">
        <f ca="1">IF(CALC2223!AY237&gt;1,INDIRECT(ADDRESS(MATCH(Agenda2526!C238,'CAL2'!A:A,0)+1,3,4,1,"CAL2")),0)</f>
        <v>0</v>
      </c>
      <c r="K237" s="20" t="str">
        <f ca="1">IF(CALC2223!AY237&gt;2,INDIRECT(ADDRESS(MATCH(Agenda2526!C238,'CAL2'!A:A,0)+2,2,4,1,"CAL2")),"")</f>
        <v/>
      </c>
      <c r="L237" s="21">
        <f ca="1">IF(CALC2223!AY237&gt;2,INDIRECT(ADDRESS(MATCH(Agenda2526!C238,'CAL2'!A:A,0)+2,3,4,1,"CAL2")),0)</f>
        <v>0</v>
      </c>
      <c r="M237" s="20" t="str">
        <f ca="1">IF(CALC2223!AZ237&gt;0,INDIRECT(ADDRESS(MATCH(Agenda2526!C238,'CAL3'!A:A,0),2,4,1,"CAL3")),"")</f>
        <v/>
      </c>
      <c r="N237" s="21">
        <f ca="1">IF(CALC2223!AZ237&gt;0,INDIRECT(ADDRESS(MATCH(Agenda2526!C238,'CAL3'!A:A,0),3,4,1,"CAL3")),0)</f>
        <v>0</v>
      </c>
      <c r="O237" s="20" t="str">
        <f ca="1">IF(CALC2223!AZ237&gt;1,INDIRECT(ADDRESS(MATCH(Agenda2526!C238,'CAL3'!A:A,0)+1,2,4,1,"CAL3")),"")</f>
        <v/>
      </c>
      <c r="P237" s="21">
        <f ca="1">IF(CALC2223!AZ237&gt;1,INDIRECT(ADDRESS(MATCH(Agenda2526!C238,'CAL3'!A:A,0)+1,3,4,1,"CAL3")),0)</f>
        <v>0</v>
      </c>
      <c r="Q237" s="20" t="str">
        <f ca="1">IF(CALC2223!AZ237&gt;2,INDIRECT(ADDRESS(MATCH(Agenda2526!C238,'CAL3'!A:A,0)+2,2,4,1,"CAL3")),"")</f>
        <v/>
      </c>
      <c r="R237" s="21">
        <f ca="1">IF(CALC2223!AZ237&gt;2,INDIRECT(ADDRESS(MATCH(Agenda2526!C238,'CAL3'!A:A,0)+2,3,4,1,"CAL3")),0)</f>
        <v>0</v>
      </c>
      <c r="S237" s="20" t="str">
        <f ca="1">IF(CALC2223!BA237&gt;0,INDIRECT(ADDRESS(MATCH(Agenda2526!C238,'CAL4'!A:A,0),2,4,1,"CAL4")),"")</f>
        <v/>
      </c>
      <c r="T237" s="21">
        <f ca="1">IF(CALC2223!BA237&gt;0,INDIRECT(ADDRESS(MATCH(Agenda2526!C238,'CAL4'!A:A,0),3,4,1,"CAL4")),0)</f>
        <v>0</v>
      </c>
      <c r="U237" s="20" t="str">
        <f ca="1">IF(CALC2223!BA237&gt;1,INDIRECT(ADDRESS(MATCH(Agenda2526!C238,'CAL4'!A:A,0)+1,2,4,1,"CAL4")),"")</f>
        <v/>
      </c>
      <c r="V237" s="21">
        <f ca="1">IF(CALC2223!BA237&gt;1,INDIRECT(ADDRESS(MATCH(Agenda2526!C238,'CAL4'!A:A,0)+1,3,4,1,"CAL4")),0)</f>
        <v>0</v>
      </c>
      <c r="W237" s="20" t="str">
        <f ca="1">IF(CALC2223!BA237&gt;2,INDIRECT(ADDRESS(MATCH(Agenda2526!C238,'CAL4'!A:A,0)+2,2,4,1,"CAL4")),"")</f>
        <v/>
      </c>
      <c r="X237" s="21">
        <f ca="1">IF(CALC2223!BA237&gt;2,INDIRECT(ADDRESS(MATCH(Agenda2526!C238,'CAL4'!A:A,0)+2,3,4,1,"CAL4")),0)</f>
        <v>0</v>
      </c>
      <c r="Y237" s="20" t="str">
        <f ca="1">IF(CALC2223!BB237&gt;0,INDIRECT(ADDRESS(MATCH(Agenda2526!C238,'CAL5'!A:A,0),2,4,1,"CAL5")),"")</f>
        <v/>
      </c>
      <c r="Z237" s="21">
        <f ca="1">IF(CALC2223!BB237&gt;0,INDIRECT(ADDRESS(MATCH(Agenda2526!C238,'CAL5'!A:A,0),3,4,1,"CAL5")),0)</f>
        <v>0</v>
      </c>
      <c r="AA237" s="20" t="str">
        <f ca="1">IF(CALC2223!BB237&gt;1,INDIRECT(ADDRESS(MATCH(Agenda2526!C238,'CAL5'!A:A,0)+1,2,4,1,"CAL5")),"")</f>
        <v/>
      </c>
      <c r="AB237" s="21">
        <f ca="1">IF(CALC2223!BB237&gt;1,INDIRECT(ADDRESS(MATCH(Agenda2526!C238,'CAL5'!A:A,0)+1,3,4,1,"CAL5")),0)</f>
        <v>0</v>
      </c>
      <c r="AC237" s="20" t="str">
        <f ca="1">IF(CALC2223!BB237&gt;2,INDIRECT(ADDRESS(MATCH(Agenda2526!C238,'CAL5'!A:A,0)+2,2,4,1,"CAL5")),"")</f>
        <v/>
      </c>
      <c r="AD237" s="21">
        <f ca="1">IF(CALC2223!BB237&gt;2,INDIRECT(ADDRESS(MATCH(Agenda2526!C238,'CAL5'!A:A,0)+2,3,4,1,"CAL5")),0)</f>
        <v>0</v>
      </c>
      <c r="AE237" s="20" t="str">
        <f ca="1">IF(CALC2223!BC237&gt;0,INDIRECT(ADDRESS(MATCH(Agenda2526!C238,'CAL6'!A:A,0),2,4,1,"CAL6")),"")</f>
        <v/>
      </c>
      <c r="AF237" s="21">
        <f ca="1">IF(CALC2223!BC237&gt;0,INDIRECT(ADDRESS(MATCH(Agenda2526!C238,'CAL6'!A:A,0),3,4,1,"CAL6")),0)</f>
        <v>0</v>
      </c>
      <c r="AG237" s="20" t="str">
        <f ca="1">IF(CALC2223!BC237&gt;1,INDIRECT(ADDRESS(MATCH(Agenda2526!C238,'CAL6'!A:A,0)+1,2,4,1,"CAL6")),"")</f>
        <v/>
      </c>
      <c r="AH237" s="21">
        <f ca="1">IF(CALC2223!BC237&gt;1,INDIRECT(ADDRESS(MATCH(Agenda2526!C238,'CAL6'!A:A,0)+1,3,4,1,"CAL6")),0)</f>
        <v>0</v>
      </c>
      <c r="AI237" s="20" t="str">
        <f ca="1">IF(CALC2223!BC237&gt;2,INDIRECT(ADDRESS(MATCH(Agenda2526!C238,'CAL6'!A:A,0)+2,2,4,1,"CAL6")),"")</f>
        <v/>
      </c>
      <c r="AJ237" s="21">
        <f ca="1">IF(CALC2223!BC237&gt;2,INDIRECT(ADDRESS(MATCH(Agenda2526!C238,'CAL6'!A:A,0)+2,3,4,1,"CAL6")),0)</f>
        <v>0</v>
      </c>
      <c r="AK237" s="20" t="str">
        <f ca="1">IF(CALC2223!BD237&gt;0,INDIRECT(ADDRESS(MATCH(Agenda2526!C238,'CAL7'!A:A,0),2,4,1,"CAL7")),"")</f>
        <v/>
      </c>
      <c r="AL237" s="21">
        <f ca="1">IF(CALC2223!BD237&gt;0,INDIRECT(ADDRESS(MATCH(Agenda2526!C238,'CAL7'!A:A,0),3,4,1,"CAL7")),0)</f>
        <v>0</v>
      </c>
      <c r="AM237" s="20" t="str">
        <f ca="1">IF(CALC2223!BD237&gt;1,INDIRECT(ADDRESS(MATCH(Agenda2526!C238,'CAL7'!A:A,0)+1,2,4,1,"CAL7")),"")</f>
        <v/>
      </c>
      <c r="AN237" s="21">
        <f ca="1">IF(CALC2223!BD237&gt;1,INDIRECT(ADDRESS(MATCH(Agenda2526!C238,'CAL7'!A:A,0)+1,3,4,1,"CAL7")),0)</f>
        <v>0</v>
      </c>
      <c r="AO237" s="20" t="str">
        <f ca="1">IF(CALC2223!BD237&gt;2,INDIRECT(ADDRESS(MATCH(Agenda2526!C238,'CAL7'!A:A,0)+2,2,4,1,"CAL7")),"")</f>
        <v/>
      </c>
      <c r="AP237" s="21">
        <f ca="1">IF(CALC2223!BD237&gt;2,INDIRECT(ADDRESS(MATCH(Agenda2526!C238,'CAL7'!A:A,0)+2,3,4,1,"CAL7")),0)</f>
        <v>0</v>
      </c>
      <c r="AQ237" s="20" t="str">
        <f ca="1">IF(CALC2223!BE237&gt;0,INDIRECT(ADDRESS(MATCH(Agenda2526!C238,'CAL8'!A:A,0),2,4,1,"CAL8")),"")</f>
        <v/>
      </c>
      <c r="AR237" s="21">
        <f ca="1">IF(CALC2223!BE237&gt;0,INDIRECT(ADDRESS(MATCH(Agenda2526!C238,'CAL8'!A:A,0),3,4,1,"CAL8")),0)</f>
        <v>0</v>
      </c>
      <c r="AS237" s="20" t="str">
        <f ca="1">IF(CALC2223!BE237&gt;1,INDIRECT(ADDRESS(MATCH(Agenda2526!C238,'CAL8'!A:A,0)+1,2,4,1,"CAL8")),"")</f>
        <v/>
      </c>
      <c r="AT237" s="21">
        <f ca="1">IF(CALC2223!BE237&gt;1,INDIRECT(ADDRESS(MATCH(Agenda2526!C238,'CAL8'!A:A,0)+1,3,4,1,"CAL8")),0)</f>
        <v>0</v>
      </c>
      <c r="AU237" s="20" t="str">
        <f ca="1">IF(CALC2223!BE237&gt;2,INDIRECT(ADDRESS(MATCH(Agenda2526!C238,'CAL8'!A:A,0)+2,2,4,1,"CAL8")),"")</f>
        <v/>
      </c>
      <c r="AV237" s="21">
        <f ca="1">IF(CALC2223!BE237&gt;2,INDIRECT(ADDRESS(MATCH(Agenda2526!C238,'CAL8'!A:A,0)+2,3,4,1,"CAL8")),0)</f>
        <v>0</v>
      </c>
      <c r="AW237" s="107"/>
      <c r="AX237" s="20">
        <f>COUNTIF('CAL1'!A:A,Agenda2526!C238)</f>
        <v>0</v>
      </c>
      <c r="AY237" s="20">
        <f>COUNTIF('CAL2'!A:A,Agenda2526!C238)</f>
        <v>0</v>
      </c>
      <c r="AZ237" s="20">
        <f>COUNTIF('CAL3'!A:A,Agenda2526!C238)</f>
        <v>0</v>
      </c>
      <c r="BA237" s="20">
        <f>COUNTIF('CAL4'!A:A,Agenda2526!C238)</f>
        <v>0</v>
      </c>
      <c r="BB237" s="20">
        <f>COUNTIF('CAL5'!A:A,Agenda2526!C238)</f>
        <v>0</v>
      </c>
      <c r="BC237" s="20">
        <f>COUNTIF('CAL6'!A:A,Agenda2526!C238)</f>
        <v>0</v>
      </c>
      <c r="BD237" s="20">
        <f>COUNTIF('CAL7'!A:A,Agenda2526!C238)</f>
        <v>0</v>
      </c>
      <c r="BE237" s="20">
        <f>COUNTIF('CAL8'!A:A,Agenda2526!C238)</f>
        <v>0</v>
      </c>
    </row>
    <row r="238" spans="1:57" ht="15.75" customHeight="1">
      <c r="A238" s="20" t="str">
        <f ca="1">IF(CALC2223!AX238&gt;0,INDIRECT(ADDRESS(MATCH(Agenda2526!C239,'CAL1'!A:A,0),2,4,1,"CAL1")),"")</f>
        <v/>
      </c>
      <c r="B238" s="21">
        <f ca="1">IF(CALC2223!AX238&gt;0,INDIRECT(ADDRESS(MATCH(Agenda2526!C239,'CAL1'!A:A,0),3,4,1,"CAL1")),0)</f>
        <v>0</v>
      </c>
      <c r="C238" s="20" t="str">
        <f ca="1">IF(CALC2223!AX238&gt;1,INDIRECT(ADDRESS(MATCH(Agenda2526!C239,'CAL1'!A:A,0)+1,2,4,1,"CAL1")),"")</f>
        <v/>
      </c>
      <c r="D238" s="21">
        <f ca="1">IF(CALC2223!AX238&gt;1,INDIRECT(ADDRESS(MATCH(Agenda2526!C239,'CAL1'!A:A,0)+1,3,4,1,"CAL1")),0)</f>
        <v>0</v>
      </c>
      <c r="E238" s="20" t="str">
        <f ca="1">IF(CALC2223!AX238&gt;2,INDIRECT(ADDRESS(MATCH(Agenda2526!C239,'CAL1'!A:A,0)+2,2,4,1,"CAL1")),"")</f>
        <v/>
      </c>
      <c r="F238" s="21">
        <f ca="1">IF(CALC2223!AX238&gt;2,INDIRECT(ADDRESS(MATCH(Agenda2526!C239,'CAL1'!A:A,0)+2,3,4,1,"CAL1")),0)</f>
        <v>0</v>
      </c>
      <c r="G238" s="20" t="str">
        <f ca="1">IF(CALC2223!AY238&gt;0,INDIRECT(ADDRESS(MATCH(Agenda2526!C239,'CAL2'!A:A,0),2,4,1,"CAL2")),"")</f>
        <v/>
      </c>
      <c r="H238" s="21">
        <f ca="1">IF(CALC2223!AY238&gt;0,INDIRECT(ADDRESS(MATCH(Agenda2526!C239,'CAL2'!A:A,0),3,4,1,"CAL2")),0)</f>
        <v>0</v>
      </c>
      <c r="I238" s="20" t="str">
        <f ca="1">IF(CALC2223!AY238&gt;1,INDIRECT(ADDRESS(MATCH(Agenda2526!C239,'CAL2'!A:A,0)+1,2,4,1,"CAL2")),"")</f>
        <v/>
      </c>
      <c r="J238" s="21">
        <f ca="1">IF(CALC2223!AY238&gt;1,INDIRECT(ADDRESS(MATCH(Agenda2526!C239,'CAL2'!A:A,0)+1,3,4,1,"CAL2")),0)</f>
        <v>0</v>
      </c>
      <c r="K238" s="20" t="str">
        <f ca="1">IF(CALC2223!AY238&gt;2,INDIRECT(ADDRESS(MATCH(Agenda2526!C239,'CAL2'!A:A,0)+2,2,4,1,"CAL2")),"")</f>
        <v/>
      </c>
      <c r="L238" s="21">
        <f ca="1">IF(CALC2223!AY238&gt;2,INDIRECT(ADDRESS(MATCH(Agenda2526!C239,'CAL2'!A:A,0)+2,3,4,1,"CAL2")),0)</f>
        <v>0</v>
      </c>
      <c r="M238" s="20" t="str">
        <f ca="1">IF(CALC2223!AZ238&gt;0,INDIRECT(ADDRESS(MATCH(Agenda2526!C239,'CAL3'!A:A,0),2,4,1,"CAL3")),"")</f>
        <v/>
      </c>
      <c r="N238" s="21">
        <f ca="1">IF(CALC2223!AZ238&gt;0,INDIRECT(ADDRESS(MATCH(Agenda2526!C239,'CAL3'!A:A,0),3,4,1,"CAL3")),0)</f>
        <v>0</v>
      </c>
      <c r="O238" s="20" t="str">
        <f ca="1">IF(CALC2223!AZ238&gt;1,INDIRECT(ADDRESS(MATCH(Agenda2526!C239,'CAL3'!A:A,0)+1,2,4,1,"CAL3")),"")</f>
        <v/>
      </c>
      <c r="P238" s="21">
        <f ca="1">IF(CALC2223!AZ238&gt;1,INDIRECT(ADDRESS(MATCH(Agenda2526!C239,'CAL3'!A:A,0)+1,3,4,1,"CAL3")),0)</f>
        <v>0</v>
      </c>
      <c r="Q238" s="20" t="str">
        <f ca="1">IF(CALC2223!AZ238&gt;2,INDIRECT(ADDRESS(MATCH(Agenda2526!C239,'CAL3'!A:A,0)+2,2,4,1,"CAL3")),"")</f>
        <v/>
      </c>
      <c r="R238" s="21">
        <f ca="1">IF(CALC2223!AZ238&gt;2,INDIRECT(ADDRESS(MATCH(Agenda2526!C239,'CAL3'!A:A,0)+2,3,4,1,"CAL3")),0)</f>
        <v>0</v>
      </c>
      <c r="S238" s="20" t="str">
        <f ca="1">IF(CALC2223!BA238&gt;0,INDIRECT(ADDRESS(MATCH(Agenda2526!C239,'CAL4'!A:A,0),2,4,1,"CAL4")),"")</f>
        <v/>
      </c>
      <c r="T238" s="21">
        <f ca="1">IF(CALC2223!BA238&gt;0,INDIRECT(ADDRESS(MATCH(Agenda2526!C239,'CAL4'!A:A,0),3,4,1,"CAL4")),0)</f>
        <v>0</v>
      </c>
      <c r="U238" s="20" t="str">
        <f ca="1">IF(CALC2223!BA238&gt;1,INDIRECT(ADDRESS(MATCH(Agenda2526!C239,'CAL4'!A:A,0)+1,2,4,1,"CAL4")),"")</f>
        <v/>
      </c>
      <c r="V238" s="21">
        <f ca="1">IF(CALC2223!BA238&gt;1,INDIRECT(ADDRESS(MATCH(Agenda2526!C239,'CAL4'!A:A,0)+1,3,4,1,"CAL4")),0)</f>
        <v>0</v>
      </c>
      <c r="W238" s="20" t="str">
        <f ca="1">IF(CALC2223!BA238&gt;2,INDIRECT(ADDRESS(MATCH(Agenda2526!C239,'CAL4'!A:A,0)+2,2,4,1,"CAL4")),"")</f>
        <v/>
      </c>
      <c r="X238" s="21">
        <f ca="1">IF(CALC2223!BA238&gt;2,INDIRECT(ADDRESS(MATCH(Agenda2526!C239,'CAL4'!A:A,0)+2,3,4,1,"CAL4")),0)</f>
        <v>0</v>
      </c>
      <c r="Y238" s="20" t="str">
        <f ca="1">IF(CALC2223!BB238&gt;0,INDIRECT(ADDRESS(MATCH(Agenda2526!C239,'CAL5'!A:A,0),2,4,1,"CAL5")),"")</f>
        <v/>
      </c>
      <c r="Z238" s="21">
        <f ca="1">IF(CALC2223!BB238&gt;0,INDIRECT(ADDRESS(MATCH(Agenda2526!C239,'CAL5'!A:A,0),3,4,1,"CAL5")),0)</f>
        <v>0</v>
      </c>
      <c r="AA238" s="20" t="str">
        <f ca="1">IF(CALC2223!BB238&gt;1,INDIRECT(ADDRESS(MATCH(Agenda2526!C239,'CAL5'!A:A,0)+1,2,4,1,"CAL5")),"")</f>
        <v/>
      </c>
      <c r="AB238" s="21">
        <f ca="1">IF(CALC2223!BB238&gt;1,INDIRECT(ADDRESS(MATCH(Agenda2526!C239,'CAL5'!A:A,0)+1,3,4,1,"CAL5")),0)</f>
        <v>0</v>
      </c>
      <c r="AC238" s="20" t="str">
        <f ca="1">IF(CALC2223!BB238&gt;2,INDIRECT(ADDRESS(MATCH(Agenda2526!C239,'CAL5'!A:A,0)+2,2,4,1,"CAL5")),"")</f>
        <v/>
      </c>
      <c r="AD238" s="21">
        <f ca="1">IF(CALC2223!BB238&gt;2,INDIRECT(ADDRESS(MATCH(Agenda2526!C239,'CAL5'!A:A,0)+2,3,4,1,"CAL5")),0)</f>
        <v>0</v>
      </c>
      <c r="AE238" s="20" t="str">
        <f ca="1">IF(CALC2223!BC238&gt;0,INDIRECT(ADDRESS(MATCH(Agenda2526!C239,'CAL6'!A:A,0),2,4,1,"CAL6")),"")</f>
        <v/>
      </c>
      <c r="AF238" s="21">
        <f ca="1">IF(CALC2223!BC238&gt;0,INDIRECT(ADDRESS(MATCH(Agenda2526!C239,'CAL6'!A:A,0),3,4,1,"CAL6")),0)</f>
        <v>0</v>
      </c>
      <c r="AG238" s="20" t="str">
        <f ca="1">IF(CALC2223!BC238&gt;1,INDIRECT(ADDRESS(MATCH(Agenda2526!C239,'CAL6'!A:A,0)+1,2,4,1,"CAL6")),"")</f>
        <v/>
      </c>
      <c r="AH238" s="21">
        <f ca="1">IF(CALC2223!BC238&gt;1,INDIRECT(ADDRESS(MATCH(Agenda2526!C239,'CAL6'!A:A,0)+1,3,4,1,"CAL6")),0)</f>
        <v>0</v>
      </c>
      <c r="AI238" s="20" t="str">
        <f ca="1">IF(CALC2223!BC238&gt;2,INDIRECT(ADDRESS(MATCH(Agenda2526!C239,'CAL6'!A:A,0)+2,2,4,1,"CAL6")),"")</f>
        <v/>
      </c>
      <c r="AJ238" s="21">
        <f ca="1">IF(CALC2223!BC238&gt;2,INDIRECT(ADDRESS(MATCH(Agenda2526!C239,'CAL6'!A:A,0)+2,3,4,1,"CAL6")),0)</f>
        <v>0</v>
      </c>
      <c r="AK238" s="20" t="str">
        <f ca="1">IF(CALC2223!BD238&gt;0,INDIRECT(ADDRESS(MATCH(Agenda2526!C239,'CAL7'!A:A,0),2,4,1,"CAL7")),"")</f>
        <v/>
      </c>
      <c r="AL238" s="21">
        <f ca="1">IF(CALC2223!BD238&gt;0,INDIRECT(ADDRESS(MATCH(Agenda2526!C239,'CAL7'!A:A,0),3,4,1,"CAL7")),0)</f>
        <v>0</v>
      </c>
      <c r="AM238" s="20" t="str">
        <f ca="1">IF(CALC2223!BD238&gt;1,INDIRECT(ADDRESS(MATCH(Agenda2526!C239,'CAL7'!A:A,0)+1,2,4,1,"CAL7")),"")</f>
        <v/>
      </c>
      <c r="AN238" s="21">
        <f ca="1">IF(CALC2223!BD238&gt;1,INDIRECT(ADDRESS(MATCH(Agenda2526!C239,'CAL7'!A:A,0)+1,3,4,1,"CAL7")),0)</f>
        <v>0</v>
      </c>
      <c r="AO238" s="20" t="str">
        <f ca="1">IF(CALC2223!BD238&gt;2,INDIRECT(ADDRESS(MATCH(Agenda2526!C239,'CAL7'!A:A,0)+2,2,4,1,"CAL7")),"")</f>
        <v/>
      </c>
      <c r="AP238" s="21">
        <f ca="1">IF(CALC2223!BD238&gt;2,INDIRECT(ADDRESS(MATCH(Agenda2526!C239,'CAL7'!A:A,0)+2,3,4,1,"CAL7")),0)</f>
        <v>0</v>
      </c>
      <c r="AQ238" s="20" t="str">
        <f ca="1">IF(CALC2223!BE238&gt;0,INDIRECT(ADDRESS(MATCH(Agenda2526!C239,'CAL8'!A:A,0),2,4,1,"CAL8")),"")</f>
        <v/>
      </c>
      <c r="AR238" s="21">
        <f ca="1">IF(CALC2223!BE238&gt;0,INDIRECT(ADDRESS(MATCH(Agenda2526!C239,'CAL8'!A:A,0),3,4,1,"CAL8")),0)</f>
        <v>0</v>
      </c>
      <c r="AS238" s="20" t="str">
        <f ca="1">IF(CALC2223!BE238&gt;1,INDIRECT(ADDRESS(MATCH(Agenda2526!C239,'CAL8'!A:A,0)+1,2,4,1,"CAL8")),"")</f>
        <v/>
      </c>
      <c r="AT238" s="21">
        <f ca="1">IF(CALC2223!BE238&gt;1,INDIRECT(ADDRESS(MATCH(Agenda2526!C239,'CAL8'!A:A,0)+1,3,4,1,"CAL8")),0)</f>
        <v>0</v>
      </c>
      <c r="AU238" s="20" t="str">
        <f ca="1">IF(CALC2223!BE238&gt;2,INDIRECT(ADDRESS(MATCH(Agenda2526!C239,'CAL8'!A:A,0)+2,2,4,1,"CAL8")),"")</f>
        <v/>
      </c>
      <c r="AV238" s="21">
        <f ca="1">IF(CALC2223!BE238&gt;2,INDIRECT(ADDRESS(MATCH(Agenda2526!C239,'CAL8'!A:A,0)+2,3,4,1,"CAL8")),0)</f>
        <v>0</v>
      </c>
      <c r="AW238" s="106"/>
      <c r="AX238" s="20">
        <f>COUNTIF('CAL1'!A:A,Agenda2526!C239)</f>
        <v>0</v>
      </c>
      <c r="AY238" s="20">
        <f>COUNTIF('CAL2'!A:A,Agenda2526!C239)</f>
        <v>0</v>
      </c>
      <c r="AZ238" s="20">
        <f>COUNTIF('CAL3'!A:A,Agenda2526!C239)</f>
        <v>0</v>
      </c>
      <c r="BA238" s="20">
        <f>COUNTIF('CAL4'!A:A,Agenda2526!C239)</f>
        <v>0</v>
      </c>
      <c r="BB238" s="20">
        <f>COUNTIF('CAL5'!A:A,Agenda2526!C239)</f>
        <v>0</v>
      </c>
      <c r="BC238" s="20">
        <f>COUNTIF('CAL6'!A:A,Agenda2526!C239)</f>
        <v>0</v>
      </c>
      <c r="BD238" s="20">
        <f>COUNTIF('CAL7'!A:A,Agenda2526!C239)</f>
        <v>0</v>
      </c>
      <c r="BE238" s="20">
        <f>COUNTIF('CAL8'!A:A,Agenda2526!C239)</f>
        <v>0</v>
      </c>
    </row>
    <row r="239" spans="1:57" ht="15.75" customHeight="1">
      <c r="A239" s="20" t="str">
        <f ca="1">IF(CALC2223!AX239&gt;0,INDIRECT(ADDRESS(MATCH(Agenda2526!C240,'CAL1'!A:A,0),2,4,1,"CAL1")),"")</f>
        <v/>
      </c>
      <c r="B239" s="21">
        <f ca="1">IF(CALC2223!AX239&gt;0,INDIRECT(ADDRESS(MATCH(Agenda2526!C240,'CAL1'!A:A,0),3,4,1,"CAL1")),0)</f>
        <v>0</v>
      </c>
      <c r="C239" s="20" t="str">
        <f ca="1">IF(CALC2223!AX239&gt;1,INDIRECT(ADDRESS(MATCH(Agenda2526!C240,'CAL1'!A:A,0)+1,2,4,1,"CAL1")),"")</f>
        <v/>
      </c>
      <c r="D239" s="21">
        <f ca="1">IF(CALC2223!AX239&gt;1,INDIRECT(ADDRESS(MATCH(Agenda2526!C240,'CAL1'!A:A,0)+1,3,4,1,"CAL1")),0)</f>
        <v>0</v>
      </c>
      <c r="E239" s="20" t="str">
        <f ca="1">IF(CALC2223!AX239&gt;2,INDIRECT(ADDRESS(MATCH(Agenda2526!C240,'CAL1'!A:A,0)+2,2,4,1,"CAL1")),"")</f>
        <v/>
      </c>
      <c r="F239" s="21">
        <f ca="1">IF(CALC2223!AX239&gt;2,INDIRECT(ADDRESS(MATCH(Agenda2526!C240,'CAL1'!A:A,0)+2,3,4,1,"CAL1")),0)</f>
        <v>0</v>
      </c>
      <c r="G239" s="20" t="str">
        <f ca="1">IF(CALC2223!AY239&gt;0,INDIRECT(ADDRESS(MATCH(Agenda2526!C240,'CAL2'!A:A,0),2,4,1,"CAL2")),"")</f>
        <v/>
      </c>
      <c r="H239" s="21">
        <f ca="1">IF(CALC2223!AY239&gt;0,INDIRECT(ADDRESS(MATCH(Agenda2526!C240,'CAL2'!A:A,0),3,4,1,"CAL2")),0)</f>
        <v>0</v>
      </c>
      <c r="I239" s="20" t="str">
        <f ca="1">IF(CALC2223!AY239&gt;1,INDIRECT(ADDRESS(MATCH(Agenda2526!C240,'CAL2'!A:A,0)+1,2,4,1,"CAL2")),"")</f>
        <v/>
      </c>
      <c r="J239" s="21">
        <f ca="1">IF(CALC2223!AY239&gt;1,INDIRECT(ADDRESS(MATCH(Agenda2526!C240,'CAL2'!A:A,0)+1,3,4,1,"CAL2")),0)</f>
        <v>0</v>
      </c>
      <c r="K239" s="20" t="str">
        <f ca="1">IF(CALC2223!AY239&gt;2,INDIRECT(ADDRESS(MATCH(Agenda2526!C240,'CAL2'!A:A,0)+2,2,4,1,"CAL2")),"")</f>
        <v/>
      </c>
      <c r="L239" s="21">
        <f ca="1">IF(CALC2223!AY239&gt;2,INDIRECT(ADDRESS(MATCH(Agenda2526!C240,'CAL2'!A:A,0)+2,3,4,1,"CAL2")),0)</f>
        <v>0</v>
      </c>
      <c r="M239" s="20" t="str">
        <f ca="1">IF(CALC2223!AZ239&gt;0,INDIRECT(ADDRESS(MATCH(Agenda2526!C240,'CAL3'!A:A,0),2,4,1,"CAL3")),"")</f>
        <v/>
      </c>
      <c r="N239" s="21">
        <f ca="1">IF(CALC2223!AZ239&gt;0,INDIRECT(ADDRESS(MATCH(Agenda2526!C240,'CAL3'!A:A,0),3,4,1,"CAL3")),0)</f>
        <v>0</v>
      </c>
      <c r="O239" s="20" t="str">
        <f ca="1">IF(CALC2223!AZ239&gt;1,INDIRECT(ADDRESS(MATCH(Agenda2526!C240,'CAL3'!A:A,0)+1,2,4,1,"CAL3")),"")</f>
        <v/>
      </c>
      <c r="P239" s="21">
        <f ca="1">IF(CALC2223!AZ239&gt;1,INDIRECT(ADDRESS(MATCH(Agenda2526!C240,'CAL3'!A:A,0)+1,3,4,1,"CAL3")),0)</f>
        <v>0</v>
      </c>
      <c r="Q239" s="20" t="str">
        <f ca="1">IF(CALC2223!AZ239&gt;2,INDIRECT(ADDRESS(MATCH(Agenda2526!C240,'CAL3'!A:A,0)+2,2,4,1,"CAL3")),"")</f>
        <v/>
      </c>
      <c r="R239" s="21">
        <f ca="1">IF(CALC2223!AZ239&gt;2,INDIRECT(ADDRESS(MATCH(Agenda2526!C240,'CAL3'!A:A,0)+2,3,4,1,"CAL3")),0)</f>
        <v>0</v>
      </c>
      <c r="S239" s="20" t="str">
        <f ca="1">IF(CALC2223!BA239&gt;0,INDIRECT(ADDRESS(MATCH(Agenda2526!C240,'CAL4'!A:A,0),2,4,1,"CAL4")),"")</f>
        <v/>
      </c>
      <c r="T239" s="21">
        <f ca="1">IF(CALC2223!BA239&gt;0,INDIRECT(ADDRESS(MATCH(Agenda2526!C240,'CAL4'!A:A,0),3,4,1,"CAL4")),0)</f>
        <v>0</v>
      </c>
      <c r="U239" s="20" t="str">
        <f ca="1">IF(CALC2223!BA239&gt;1,INDIRECT(ADDRESS(MATCH(Agenda2526!C240,'CAL4'!A:A,0)+1,2,4,1,"CAL4")),"")</f>
        <v/>
      </c>
      <c r="V239" s="21">
        <f ca="1">IF(CALC2223!BA239&gt;1,INDIRECT(ADDRESS(MATCH(Agenda2526!C240,'CAL4'!A:A,0)+1,3,4,1,"CAL4")),0)</f>
        <v>0</v>
      </c>
      <c r="W239" s="20" t="str">
        <f ca="1">IF(CALC2223!BA239&gt;2,INDIRECT(ADDRESS(MATCH(Agenda2526!C240,'CAL4'!A:A,0)+2,2,4,1,"CAL4")),"")</f>
        <v/>
      </c>
      <c r="X239" s="21">
        <f ca="1">IF(CALC2223!BA239&gt;2,INDIRECT(ADDRESS(MATCH(Agenda2526!C240,'CAL4'!A:A,0)+2,3,4,1,"CAL4")),0)</f>
        <v>0</v>
      </c>
      <c r="Y239" s="20" t="str">
        <f ca="1">IF(CALC2223!BB239&gt;0,INDIRECT(ADDRESS(MATCH(Agenda2526!C240,'CAL5'!A:A,0),2,4,1,"CAL5")),"")</f>
        <v/>
      </c>
      <c r="Z239" s="21">
        <f ca="1">IF(CALC2223!BB239&gt;0,INDIRECT(ADDRESS(MATCH(Agenda2526!C240,'CAL5'!A:A,0),3,4,1,"CAL5")),0)</f>
        <v>0</v>
      </c>
      <c r="AA239" s="20" t="str">
        <f ca="1">IF(CALC2223!BB239&gt;1,INDIRECT(ADDRESS(MATCH(Agenda2526!C240,'CAL5'!A:A,0)+1,2,4,1,"CAL5")),"")</f>
        <v/>
      </c>
      <c r="AB239" s="21">
        <f ca="1">IF(CALC2223!BB239&gt;1,INDIRECT(ADDRESS(MATCH(Agenda2526!C240,'CAL5'!A:A,0)+1,3,4,1,"CAL5")),0)</f>
        <v>0</v>
      </c>
      <c r="AC239" s="20" t="str">
        <f ca="1">IF(CALC2223!BB239&gt;2,INDIRECT(ADDRESS(MATCH(Agenda2526!C240,'CAL5'!A:A,0)+2,2,4,1,"CAL5")),"")</f>
        <v/>
      </c>
      <c r="AD239" s="21">
        <f ca="1">IF(CALC2223!BB239&gt;2,INDIRECT(ADDRESS(MATCH(Agenda2526!C240,'CAL5'!A:A,0)+2,3,4,1,"CAL5")),0)</f>
        <v>0</v>
      </c>
      <c r="AE239" s="20" t="str">
        <f ca="1">IF(CALC2223!BC239&gt;0,INDIRECT(ADDRESS(MATCH(Agenda2526!C240,'CAL6'!A:A,0),2,4,1,"CAL6")),"")</f>
        <v/>
      </c>
      <c r="AF239" s="21">
        <f ca="1">IF(CALC2223!BC239&gt;0,INDIRECT(ADDRESS(MATCH(Agenda2526!C240,'CAL6'!A:A,0),3,4,1,"CAL6")),0)</f>
        <v>0</v>
      </c>
      <c r="AG239" s="20" t="str">
        <f ca="1">IF(CALC2223!BC239&gt;1,INDIRECT(ADDRESS(MATCH(Agenda2526!C240,'CAL6'!A:A,0)+1,2,4,1,"CAL6")),"")</f>
        <v/>
      </c>
      <c r="AH239" s="21">
        <f ca="1">IF(CALC2223!BC239&gt;1,INDIRECT(ADDRESS(MATCH(Agenda2526!C240,'CAL6'!A:A,0)+1,3,4,1,"CAL6")),0)</f>
        <v>0</v>
      </c>
      <c r="AI239" s="20" t="str">
        <f ca="1">IF(CALC2223!BC239&gt;2,INDIRECT(ADDRESS(MATCH(Agenda2526!C240,'CAL6'!A:A,0)+2,2,4,1,"CAL6")),"")</f>
        <v/>
      </c>
      <c r="AJ239" s="21">
        <f ca="1">IF(CALC2223!BC239&gt;2,INDIRECT(ADDRESS(MATCH(Agenda2526!C240,'CAL6'!A:A,0)+2,3,4,1,"CAL6")),0)</f>
        <v>0</v>
      </c>
      <c r="AK239" s="20" t="str">
        <f ca="1">IF(CALC2223!BD239&gt;0,INDIRECT(ADDRESS(MATCH(Agenda2526!C240,'CAL7'!A:A,0),2,4,1,"CAL7")),"")</f>
        <v/>
      </c>
      <c r="AL239" s="21">
        <f ca="1">IF(CALC2223!BD239&gt;0,INDIRECT(ADDRESS(MATCH(Agenda2526!C240,'CAL7'!A:A,0),3,4,1,"CAL7")),0)</f>
        <v>0</v>
      </c>
      <c r="AM239" s="20" t="str">
        <f ca="1">IF(CALC2223!BD239&gt;1,INDIRECT(ADDRESS(MATCH(Agenda2526!C240,'CAL7'!A:A,0)+1,2,4,1,"CAL7")),"")</f>
        <v/>
      </c>
      <c r="AN239" s="21">
        <f ca="1">IF(CALC2223!BD239&gt;1,INDIRECT(ADDRESS(MATCH(Agenda2526!C240,'CAL7'!A:A,0)+1,3,4,1,"CAL7")),0)</f>
        <v>0</v>
      </c>
      <c r="AO239" s="20" t="str">
        <f ca="1">IF(CALC2223!BD239&gt;2,INDIRECT(ADDRESS(MATCH(Agenda2526!C240,'CAL7'!A:A,0)+2,2,4,1,"CAL7")),"")</f>
        <v/>
      </c>
      <c r="AP239" s="21">
        <f ca="1">IF(CALC2223!BD239&gt;2,INDIRECT(ADDRESS(MATCH(Agenda2526!C240,'CAL7'!A:A,0)+2,3,4,1,"CAL7")),0)</f>
        <v>0</v>
      </c>
      <c r="AQ239" s="20" t="str">
        <f ca="1">IF(CALC2223!BE239&gt;0,INDIRECT(ADDRESS(MATCH(Agenda2526!C240,'CAL8'!A:A,0),2,4,1,"CAL8")),"")</f>
        <v/>
      </c>
      <c r="AR239" s="21">
        <f ca="1">IF(CALC2223!BE239&gt;0,INDIRECT(ADDRESS(MATCH(Agenda2526!C240,'CAL8'!A:A,0),3,4,1,"CAL8")),0)</f>
        <v>0</v>
      </c>
      <c r="AS239" s="20" t="str">
        <f ca="1">IF(CALC2223!BE239&gt;1,INDIRECT(ADDRESS(MATCH(Agenda2526!C240,'CAL8'!A:A,0)+1,2,4,1,"CAL8")),"")</f>
        <v/>
      </c>
      <c r="AT239" s="21">
        <f ca="1">IF(CALC2223!BE239&gt;1,INDIRECT(ADDRESS(MATCH(Agenda2526!C240,'CAL8'!A:A,0)+1,3,4,1,"CAL8")),0)</f>
        <v>0</v>
      </c>
      <c r="AU239" s="20" t="str">
        <f ca="1">IF(CALC2223!BE239&gt;2,INDIRECT(ADDRESS(MATCH(Agenda2526!C240,'CAL8'!A:A,0)+2,2,4,1,"CAL8")),"")</f>
        <v/>
      </c>
      <c r="AV239" s="21">
        <f ca="1">IF(CALC2223!BE239&gt;2,INDIRECT(ADDRESS(MATCH(Agenda2526!C240,'CAL8'!A:A,0)+2,3,4,1,"CAL8")),0)</f>
        <v>0</v>
      </c>
      <c r="AW239" s="106"/>
      <c r="AX239" s="20">
        <f>COUNTIF('CAL1'!A:A,Agenda2526!C240)</f>
        <v>0</v>
      </c>
      <c r="AY239" s="20">
        <f>COUNTIF('CAL2'!A:A,Agenda2526!C240)</f>
        <v>0</v>
      </c>
      <c r="AZ239" s="20">
        <f>COUNTIF('CAL3'!A:A,Agenda2526!C240)</f>
        <v>0</v>
      </c>
      <c r="BA239" s="20">
        <f>COUNTIF('CAL4'!A:A,Agenda2526!C240)</f>
        <v>0</v>
      </c>
      <c r="BB239" s="20">
        <f>COUNTIF('CAL5'!A:A,Agenda2526!C240)</f>
        <v>0</v>
      </c>
      <c r="BC239" s="20">
        <f>COUNTIF('CAL6'!A:A,Agenda2526!C240)</f>
        <v>0</v>
      </c>
      <c r="BD239" s="20">
        <f>COUNTIF('CAL7'!A:A,Agenda2526!C240)</f>
        <v>0</v>
      </c>
      <c r="BE239" s="20">
        <f>COUNTIF('CAL8'!A:A,Agenda2526!C240)</f>
        <v>0</v>
      </c>
    </row>
    <row r="240" spans="1:57" ht="15.75" customHeight="1">
      <c r="A240" s="20" t="str">
        <f ca="1">IF(CALC2223!AX240&gt;0,INDIRECT(ADDRESS(MATCH(Agenda2526!C241,'CAL1'!A:A,0),2,4,1,"CAL1")),"")</f>
        <v/>
      </c>
      <c r="B240" s="21">
        <f ca="1">IF(CALC2223!AX240&gt;0,INDIRECT(ADDRESS(MATCH(Agenda2526!C241,'CAL1'!A:A,0),3,4,1,"CAL1")),0)</f>
        <v>0</v>
      </c>
      <c r="C240" s="20" t="str">
        <f ca="1">IF(CALC2223!AX240&gt;1,INDIRECT(ADDRESS(MATCH(Agenda2526!C241,'CAL1'!A:A,0)+1,2,4,1,"CAL1")),"")</f>
        <v/>
      </c>
      <c r="D240" s="21">
        <f ca="1">IF(CALC2223!AX240&gt;1,INDIRECT(ADDRESS(MATCH(Agenda2526!C241,'CAL1'!A:A,0)+1,3,4,1,"CAL1")),0)</f>
        <v>0</v>
      </c>
      <c r="E240" s="20" t="str">
        <f ca="1">IF(CALC2223!AX240&gt;2,INDIRECT(ADDRESS(MATCH(Agenda2526!C241,'CAL1'!A:A,0)+2,2,4,1,"CAL1")),"")</f>
        <v/>
      </c>
      <c r="F240" s="21">
        <f ca="1">IF(CALC2223!AX240&gt;2,INDIRECT(ADDRESS(MATCH(Agenda2526!C241,'CAL1'!A:A,0)+2,3,4,1,"CAL1")),0)</f>
        <v>0</v>
      </c>
      <c r="G240" s="20" t="str">
        <f ca="1">IF(CALC2223!AY240&gt;0,INDIRECT(ADDRESS(MATCH(Agenda2526!C241,'CAL2'!A:A,0),2,4,1,"CAL2")),"")</f>
        <v/>
      </c>
      <c r="H240" s="21">
        <f ca="1">IF(CALC2223!AY240&gt;0,INDIRECT(ADDRESS(MATCH(Agenda2526!C241,'CAL2'!A:A,0),3,4,1,"CAL2")),0)</f>
        <v>0</v>
      </c>
      <c r="I240" s="20" t="str">
        <f ca="1">IF(CALC2223!AY240&gt;1,INDIRECT(ADDRESS(MATCH(Agenda2526!C241,'CAL2'!A:A,0)+1,2,4,1,"CAL2")),"")</f>
        <v/>
      </c>
      <c r="J240" s="21">
        <f ca="1">IF(CALC2223!AY240&gt;1,INDIRECT(ADDRESS(MATCH(Agenda2526!C241,'CAL2'!A:A,0)+1,3,4,1,"CAL2")),0)</f>
        <v>0</v>
      </c>
      <c r="K240" s="20" t="str">
        <f ca="1">IF(CALC2223!AY240&gt;2,INDIRECT(ADDRESS(MATCH(Agenda2526!C241,'CAL2'!A:A,0)+2,2,4,1,"CAL2")),"")</f>
        <v/>
      </c>
      <c r="L240" s="21">
        <f ca="1">IF(CALC2223!AY240&gt;2,INDIRECT(ADDRESS(MATCH(Agenda2526!C241,'CAL2'!A:A,0)+2,3,4,1,"CAL2")),0)</f>
        <v>0</v>
      </c>
      <c r="M240" s="20" t="str">
        <f ca="1">IF(CALC2223!AZ240&gt;0,INDIRECT(ADDRESS(MATCH(Agenda2526!C241,'CAL3'!A:A,0),2,4,1,"CAL3")),"")</f>
        <v/>
      </c>
      <c r="N240" s="21">
        <f ca="1">IF(CALC2223!AZ240&gt;0,INDIRECT(ADDRESS(MATCH(Agenda2526!C241,'CAL3'!A:A,0),3,4,1,"CAL3")),0)</f>
        <v>0</v>
      </c>
      <c r="O240" s="20" t="str">
        <f ca="1">IF(CALC2223!AZ240&gt;1,INDIRECT(ADDRESS(MATCH(Agenda2526!C241,'CAL3'!A:A,0)+1,2,4,1,"CAL3")),"")</f>
        <v/>
      </c>
      <c r="P240" s="21">
        <f ca="1">IF(CALC2223!AZ240&gt;1,INDIRECT(ADDRESS(MATCH(Agenda2526!C241,'CAL3'!A:A,0)+1,3,4,1,"CAL3")),0)</f>
        <v>0</v>
      </c>
      <c r="Q240" s="20" t="str">
        <f ca="1">IF(CALC2223!AZ240&gt;2,INDIRECT(ADDRESS(MATCH(Agenda2526!C241,'CAL3'!A:A,0)+2,2,4,1,"CAL3")),"")</f>
        <v/>
      </c>
      <c r="R240" s="21">
        <f ca="1">IF(CALC2223!AZ240&gt;2,INDIRECT(ADDRESS(MATCH(Agenda2526!C241,'CAL3'!A:A,0)+2,3,4,1,"CAL3")),0)</f>
        <v>0</v>
      </c>
      <c r="S240" s="20" t="str">
        <f ca="1">IF(CALC2223!BA240&gt;0,INDIRECT(ADDRESS(MATCH(Agenda2526!C241,'CAL4'!A:A,0),2,4,1,"CAL4")),"")</f>
        <v/>
      </c>
      <c r="T240" s="21">
        <f ca="1">IF(CALC2223!BA240&gt;0,INDIRECT(ADDRESS(MATCH(Agenda2526!C241,'CAL4'!A:A,0),3,4,1,"CAL4")),0)</f>
        <v>0</v>
      </c>
      <c r="U240" s="20" t="str">
        <f ca="1">IF(CALC2223!BA240&gt;1,INDIRECT(ADDRESS(MATCH(Agenda2526!C241,'CAL4'!A:A,0)+1,2,4,1,"CAL4")),"")</f>
        <v/>
      </c>
      <c r="V240" s="21">
        <f ca="1">IF(CALC2223!BA240&gt;1,INDIRECT(ADDRESS(MATCH(Agenda2526!C241,'CAL4'!A:A,0)+1,3,4,1,"CAL4")),0)</f>
        <v>0</v>
      </c>
      <c r="W240" s="20" t="str">
        <f ca="1">IF(CALC2223!BA240&gt;2,INDIRECT(ADDRESS(MATCH(Agenda2526!C241,'CAL4'!A:A,0)+2,2,4,1,"CAL4")),"")</f>
        <v/>
      </c>
      <c r="X240" s="21">
        <f ca="1">IF(CALC2223!BA240&gt;2,INDIRECT(ADDRESS(MATCH(Agenda2526!C241,'CAL4'!A:A,0)+2,3,4,1,"CAL4")),0)</f>
        <v>0</v>
      </c>
      <c r="Y240" s="20" t="str">
        <f ca="1">IF(CALC2223!BB240&gt;0,INDIRECT(ADDRESS(MATCH(Agenda2526!C241,'CAL5'!A:A,0),2,4,1,"CAL5")),"")</f>
        <v/>
      </c>
      <c r="Z240" s="21">
        <f ca="1">IF(CALC2223!BB240&gt;0,INDIRECT(ADDRESS(MATCH(Agenda2526!C241,'CAL5'!A:A,0),3,4,1,"CAL5")),0)</f>
        <v>0</v>
      </c>
      <c r="AA240" s="20" t="str">
        <f ca="1">IF(CALC2223!BB240&gt;1,INDIRECT(ADDRESS(MATCH(Agenda2526!C241,'CAL5'!A:A,0)+1,2,4,1,"CAL5")),"")</f>
        <v/>
      </c>
      <c r="AB240" s="21">
        <f ca="1">IF(CALC2223!BB240&gt;1,INDIRECT(ADDRESS(MATCH(Agenda2526!C241,'CAL5'!A:A,0)+1,3,4,1,"CAL5")),0)</f>
        <v>0</v>
      </c>
      <c r="AC240" s="20" t="str">
        <f ca="1">IF(CALC2223!BB240&gt;2,INDIRECT(ADDRESS(MATCH(Agenda2526!C241,'CAL5'!A:A,0)+2,2,4,1,"CAL5")),"")</f>
        <v/>
      </c>
      <c r="AD240" s="21">
        <f ca="1">IF(CALC2223!BB240&gt;2,INDIRECT(ADDRESS(MATCH(Agenda2526!C241,'CAL5'!A:A,0)+2,3,4,1,"CAL5")),0)</f>
        <v>0</v>
      </c>
      <c r="AE240" s="20" t="str">
        <f ca="1">IF(CALC2223!BC240&gt;0,INDIRECT(ADDRESS(MATCH(Agenda2526!C241,'CAL6'!A:A,0),2,4,1,"CAL6")),"")</f>
        <v/>
      </c>
      <c r="AF240" s="21">
        <f ca="1">IF(CALC2223!BC240&gt;0,INDIRECT(ADDRESS(MATCH(Agenda2526!C241,'CAL6'!A:A,0),3,4,1,"CAL6")),0)</f>
        <v>0</v>
      </c>
      <c r="AG240" s="20" t="str">
        <f ca="1">IF(CALC2223!BC240&gt;1,INDIRECT(ADDRESS(MATCH(Agenda2526!C241,'CAL6'!A:A,0)+1,2,4,1,"CAL6")),"")</f>
        <v/>
      </c>
      <c r="AH240" s="21">
        <f ca="1">IF(CALC2223!BC240&gt;1,INDIRECT(ADDRESS(MATCH(Agenda2526!C241,'CAL6'!A:A,0)+1,3,4,1,"CAL6")),0)</f>
        <v>0</v>
      </c>
      <c r="AI240" s="20" t="str">
        <f ca="1">IF(CALC2223!BC240&gt;2,INDIRECT(ADDRESS(MATCH(Agenda2526!C241,'CAL6'!A:A,0)+2,2,4,1,"CAL6")),"")</f>
        <v/>
      </c>
      <c r="AJ240" s="21">
        <f ca="1">IF(CALC2223!BC240&gt;2,INDIRECT(ADDRESS(MATCH(Agenda2526!C241,'CAL6'!A:A,0)+2,3,4,1,"CAL6")),0)</f>
        <v>0</v>
      </c>
      <c r="AK240" s="20" t="str">
        <f ca="1">IF(CALC2223!BD240&gt;0,INDIRECT(ADDRESS(MATCH(Agenda2526!C241,'CAL7'!A:A,0),2,4,1,"CAL7")),"")</f>
        <v/>
      </c>
      <c r="AL240" s="21">
        <f ca="1">IF(CALC2223!BD240&gt;0,INDIRECT(ADDRESS(MATCH(Agenda2526!C241,'CAL7'!A:A,0),3,4,1,"CAL7")),0)</f>
        <v>0</v>
      </c>
      <c r="AM240" s="20" t="str">
        <f ca="1">IF(CALC2223!BD240&gt;1,INDIRECT(ADDRESS(MATCH(Agenda2526!C241,'CAL7'!A:A,0)+1,2,4,1,"CAL7")),"")</f>
        <v/>
      </c>
      <c r="AN240" s="21">
        <f ca="1">IF(CALC2223!BD240&gt;1,INDIRECT(ADDRESS(MATCH(Agenda2526!C241,'CAL7'!A:A,0)+1,3,4,1,"CAL7")),0)</f>
        <v>0</v>
      </c>
      <c r="AO240" s="20" t="str">
        <f ca="1">IF(CALC2223!BD240&gt;2,INDIRECT(ADDRESS(MATCH(Agenda2526!C241,'CAL7'!A:A,0)+2,2,4,1,"CAL7")),"")</f>
        <v/>
      </c>
      <c r="AP240" s="21">
        <f ca="1">IF(CALC2223!BD240&gt;2,INDIRECT(ADDRESS(MATCH(Agenda2526!C241,'CAL7'!A:A,0)+2,3,4,1,"CAL7")),0)</f>
        <v>0</v>
      </c>
      <c r="AQ240" s="20" t="str">
        <f ca="1">IF(CALC2223!BE240&gt;0,INDIRECT(ADDRESS(MATCH(Agenda2526!C241,'CAL8'!A:A,0),2,4,1,"CAL8")),"")</f>
        <v>koningsdag</v>
      </c>
      <c r="AR240" s="21">
        <f ca="1">IF(CALC2223!BE240&gt;0,INDIRECT(ADDRESS(MATCH(Agenda2526!C241,'CAL8'!A:A,0),3,4,1,"CAL8")),0)</f>
        <v>45896</v>
      </c>
      <c r="AS240" s="20" t="str">
        <f ca="1">IF(CALC2223!BE240&gt;1,INDIRECT(ADDRESS(MATCH(Agenda2526!C241,'CAL8'!A:A,0)+1,2,4,1,"CAL8")),"")</f>
        <v/>
      </c>
      <c r="AT240" s="21">
        <f ca="1">IF(CALC2223!BE240&gt;1,INDIRECT(ADDRESS(MATCH(Agenda2526!C241,'CAL8'!A:A,0)+1,3,4,1,"CAL8")),0)</f>
        <v>0</v>
      </c>
      <c r="AU240" s="20" t="str">
        <f ca="1">IF(CALC2223!BE240&gt;2,INDIRECT(ADDRESS(MATCH(Agenda2526!C241,'CAL8'!A:A,0)+2,2,4,1,"CAL8")),"")</f>
        <v/>
      </c>
      <c r="AV240" s="21">
        <f ca="1">IF(CALC2223!BE240&gt;2,INDIRECT(ADDRESS(MATCH(Agenda2526!C241,'CAL8'!A:A,0)+2,3,4,1,"CAL8")),0)</f>
        <v>0</v>
      </c>
      <c r="AW240" s="110"/>
      <c r="AX240" s="20">
        <f>COUNTIF('CAL1'!A:A,Agenda2526!C241)</f>
        <v>0</v>
      </c>
      <c r="AY240" s="20">
        <f>COUNTIF('CAL2'!A:A,Agenda2526!C241)</f>
        <v>0</v>
      </c>
      <c r="AZ240" s="20">
        <f>COUNTIF('CAL3'!A:A,Agenda2526!C241)</f>
        <v>0</v>
      </c>
      <c r="BA240" s="20">
        <f>COUNTIF('CAL4'!A:A,Agenda2526!C241)</f>
        <v>0</v>
      </c>
      <c r="BB240" s="20">
        <f>COUNTIF('CAL5'!A:A,Agenda2526!C241)</f>
        <v>0</v>
      </c>
      <c r="BC240" s="20">
        <f>COUNTIF('CAL6'!A:A,Agenda2526!C241)</f>
        <v>0</v>
      </c>
      <c r="BD240" s="20">
        <f>COUNTIF('CAL7'!A:A,Agenda2526!C241)</f>
        <v>0</v>
      </c>
      <c r="BE240" s="20">
        <f>COUNTIF('CAL8'!A:A,Agenda2526!C241)</f>
        <v>1</v>
      </c>
    </row>
    <row r="241" spans="1:57" ht="15.75" customHeight="1">
      <c r="A241" s="20" t="str">
        <f ca="1">IF(CALC2223!AX241&gt;0,INDIRECT(ADDRESS(MATCH(Agenda2526!C242,'CAL1'!A:A,0),2,4,1,"CAL1")),"")</f>
        <v/>
      </c>
      <c r="B241" s="21">
        <f ca="1">IF(CALC2223!AX241&gt;0,INDIRECT(ADDRESS(MATCH(Agenda2526!C242,'CAL1'!A:A,0),3,4,1,"CAL1")),0)</f>
        <v>0</v>
      </c>
      <c r="C241" s="20" t="str">
        <f ca="1">IF(CALC2223!AX241&gt;1,INDIRECT(ADDRESS(MATCH(Agenda2526!C242,'CAL1'!A:A,0)+1,2,4,1,"CAL1")),"")</f>
        <v/>
      </c>
      <c r="D241" s="21">
        <f ca="1">IF(CALC2223!AX241&gt;1,INDIRECT(ADDRESS(MATCH(Agenda2526!C242,'CAL1'!A:A,0)+1,3,4,1,"CAL1")),0)</f>
        <v>0</v>
      </c>
      <c r="E241" s="20" t="str">
        <f ca="1">IF(CALC2223!AX241&gt;2,INDIRECT(ADDRESS(MATCH(Agenda2526!C242,'CAL1'!A:A,0)+2,2,4,1,"CAL1")),"")</f>
        <v/>
      </c>
      <c r="F241" s="21">
        <f ca="1">IF(CALC2223!AX241&gt;2,INDIRECT(ADDRESS(MATCH(Agenda2526!C242,'CAL1'!A:A,0)+2,3,4,1,"CAL1")),0)</f>
        <v>0</v>
      </c>
      <c r="G241" s="20" t="str">
        <f ca="1">IF(CALC2223!AY241&gt;0,INDIRECT(ADDRESS(MATCH(Agenda2526!C242,'CAL2'!A:A,0),2,4,1,"CAL2")),"")</f>
        <v/>
      </c>
      <c r="H241" s="21">
        <f ca="1">IF(CALC2223!AY241&gt;0,INDIRECT(ADDRESS(MATCH(Agenda2526!C242,'CAL2'!A:A,0),3,4,1,"CAL2")),0)</f>
        <v>0</v>
      </c>
      <c r="I241" s="20" t="str">
        <f ca="1">IF(CALC2223!AY241&gt;1,INDIRECT(ADDRESS(MATCH(Agenda2526!C242,'CAL2'!A:A,0)+1,2,4,1,"CAL2")),"")</f>
        <v/>
      </c>
      <c r="J241" s="21">
        <f ca="1">IF(CALC2223!AY241&gt;1,INDIRECT(ADDRESS(MATCH(Agenda2526!C242,'CAL2'!A:A,0)+1,3,4,1,"CAL2")),0)</f>
        <v>0</v>
      </c>
      <c r="K241" s="20" t="str">
        <f ca="1">IF(CALC2223!AY241&gt;2,INDIRECT(ADDRESS(MATCH(Agenda2526!C242,'CAL2'!A:A,0)+2,2,4,1,"CAL2")),"")</f>
        <v/>
      </c>
      <c r="L241" s="21">
        <f ca="1">IF(CALC2223!AY241&gt;2,INDIRECT(ADDRESS(MATCH(Agenda2526!C242,'CAL2'!A:A,0)+2,3,4,1,"CAL2")),0)</f>
        <v>0</v>
      </c>
      <c r="M241" s="20" t="str">
        <f ca="1">IF(CALC2223!AZ241&gt;0,INDIRECT(ADDRESS(MATCH(Agenda2526!C242,'CAL3'!A:A,0),2,4,1,"CAL3")),"")</f>
        <v/>
      </c>
      <c r="N241" s="21">
        <f ca="1">IF(CALC2223!AZ241&gt;0,INDIRECT(ADDRESS(MATCH(Agenda2526!C242,'CAL3'!A:A,0),3,4,1,"CAL3")),0)</f>
        <v>0</v>
      </c>
      <c r="O241" s="20" t="str">
        <f ca="1">IF(CALC2223!AZ241&gt;1,INDIRECT(ADDRESS(MATCH(Agenda2526!C242,'CAL3'!A:A,0)+1,2,4,1,"CAL3")),"")</f>
        <v/>
      </c>
      <c r="P241" s="21">
        <f ca="1">IF(CALC2223!AZ241&gt;1,INDIRECT(ADDRESS(MATCH(Agenda2526!C242,'CAL3'!A:A,0)+1,3,4,1,"CAL3")),0)</f>
        <v>0</v>
      </c>
      <c r="Q241" s="20" t="str">
        <f ca="1">IF(CALC2223!AZ241&gt;2,INDIRECT(ADDRESS(MATCH(Agenda2526!C242,'CAL3'!A:A,0)+2,2,4,1,"CAL3")),"")</f>
        <v/>
      </c>
      <c r="R241" s="21">
        <f ca="1">IF(CALC2223!AZ241&gt;2,INDIRECT(ADDRESS(MATCH(Agenda2526!C242,'CAL3'!A:A,0)+2,3,4,1,"CAL3")),0)</f>
        <v>0</v>
      </c>
      <c r="S241" s="20" t="str">
        <f ca="1">IF(CALC2223!BA241&gt;0,INDIRECT(ADDRESS(MATCH(Agenda2526!C242,'CAL4'!A:A,0),2,4,1,"CAL4")),"")</f>
        <v/>
      </c>
      <c r="T241" s="21">
        <f ca="1">IF(CALC2223!BA241&gt;0,INDIRECT(ADDRESS(MATCH(Agenda2526!C242,'CAL4'!A:A,0),3,4,1,"CAL4")),0)</f>
        <v>0</v>
      </c>
      <c r="U241" s="20" t="str">
        <f ca="1">IF(CALC2223!BA241&gt;1,INDIRECT(ADDRESS(MATCH(Agenda2526!C242,'CAL4'!A:A,0)+1,2,4,1,"CAL4")),"")</f>
        <v/>
      </c>
      <c r="V241" s="21">
        <f ca="1">IF(CALC2223!BA241&gt;1,INDIRECT(ADDRESS(MATCH(Agenda2526!C242,'CAL4'!A:A,0)+1,3,4,1,"CAL4")),0)</f>
        <v>0</v>
      </c>
      <c r="W241" s="20" t="str">
        <f ca="1">IF(CALC2223!BA241&gt;2,INDIRECT(ADDRESS(MATCH(Agenda2526!C242,'CAL4'!A:A,0)+2,2,4,1,"CAL4")),"")</f>
        <v/>
      </c>
      <c r="X241" s="21">
        <f ca="1">IF(CALC2223!BA241&gt;2,INDIRECT(ADDRESS(MATCH(Agenda2526!C242,'CAL4'!A:A,0)+2,3,4,1,"CAL4")),0)</f>
        <v>0</v>
      </c>
      <c r="Y241" s="20" t="str">
        <f ca="1">IF(CALC2223!BB241&gt;0,INDIRECT(ADDRESS(MATCH(Agenda2526!C242,'CAL5'!A:A,0),2,4,1,"CAL5")),"")</f>
        <v/>
      </c>
      <c r="Z241" s="21">
        <f ca="1">IF(CALC2223!BB241&gt;0,INDIRECT(ADDRESS(MATCH(Agenda2526!C242,'CAL5'!A:A,0),3,4,1,"CAL5")),0)</f>
        <v>0</v>
      </c>
      <c r="AA241" s="20" t="str">
        <f ca="1">IF(CALC2223!BB241&gt;1,INDIRECT(ADDRESS(MATCH(Agenda2526!C242,'CAL5'!A:A,0)+1,2,4,1,"CAL5")),"")</f>
        <v/>
      </c>
      <c r="AB241" s="21">
        <f ca="1">IF(CALC2223!BB241&gt;1,INDIRECT(ADDRESS(MATCH(Agenda2526!C242,'CAL5'!A:A,0)+1,3,4,1,"CAL5")),0)</f>
        <v>0</v>
      </c>
      <c r="AC241" s="20" t="str">
        <f ca="1">IF(CALC2223!BB241&gt;2,INDIRECT(ADDRESS(MATCH(Agenda2526!C242,'CAL5'!A:A,0)+2,2,4,1,"CAL5")),"")</f>
        <v/>
      </c>
      <c r="AD241" s="21">
        <f ca="1">IF(CALC2223!BB241&gt;2,INDIRECT(ADDRESS(MATCH(Agenda2526!C242,'CAL5'!A:A,0)+2,3,4,1,"CAL5")),0)</f>
        <v>0</v>
      </c>
      <c r="AE241" s="20" t="str">
        <f ca="1">IF(CALC2223!BC241&gt;0,INDIRECT(ADDRESS(MATCH(Agenda2526!C242,'CAL6'!A:A,0),2,4,1,"CAL6")),"")</f>
        <v/>
      </c>
      <c r="AF241" s="21">
        <f ca="1">IF(CALC2223!BC241&gt;0,INDIRECT(ADDRESS(MATCH(Agenda2526!C242,'CAL6'!A:A,0),3,4,1,"CAL6")),0)</f>
        <v>0</v>
      </c>
      <c r="AG241" s="20" t="str">
        <f ca="1">IF(CALC2223!BC241&gt;1,INDIRECT(ADDRESS(MATCH(Agenda2526!C242,'CAL6'!A:A,0)+1,2,4,1,"CAL6")),"")</f>
        <v/>
      </c>
      <c r="AH241" s="21">
        <f ca="1">IF(CALC2223!BC241&gt;1,INDIRECT(ADDRESS(MATCH(Agenda2526!C242,'CAL6'!A:A,0)+1,3,4,1,"CAL6")),0)</f>
        <v>0</v>
      </c>
      <c r="AI241" s="20" t="str">
        <f ca="1">IF(CALC2223!BC241&gt;2,INDIRECT(ADDRESS(MATCH(Agenda2526!C242,'CAL6'!A:A,0)+2,2,4,1,"CAL6")),"")</f>
        <v/>
      </c>
      <c r="AJ241" s="21">
        <f ca="1">IF(CALC2223!BC241&gt;2,INDIRECT(ADDRESS(MATCH(Agenda2526!C242,'CAL6'!A:A,0)+2,3,4,1,"CAL6")),0)</f>
        <v>0</v>
      </c>
      <c r="AK241" s="20" t="str">
        <f ca="1">IF(CALC2223!BD241&gt;0,INDIRECT(ADDRESS(MATCH(Agenda2526!C242,'CAL7'!A:A,0),2,4,1,"CAL7")),"")</f>
        <v/>
      </c>
      <c r="AL241" s="21">
        <f ca="1">IF(CALC2223!BD241&gt;0,INDIRECT(ADDRESS(MATCH(Agenda2526!C242,'CAL7'!A:A,0),3,4,1,"CAL7")),0)</f>
        <v>0</v>
      </c>
      <c r="AM241" s="20" t="str">
        <f ca="1">IF(CALC2223!BD241&gt;1,INDIRECT(ADDRESS(MATCH(Agenda2526!C242,'CAL7'!A:A,0)+1,2,4,1,"CAL7")),"")</f>
        <v/>
      </c>
      <c r="AN241" s="21">
        <f ca="1">IF(CALC2223!BD241&gt;1,INDIRECT(ADDRESS(MATCH(Agenda2526!C242,'CAL7'!A:A,0)+1,3,4,1,"CAL7")),0)</f>
        <v>0</v>
      </c>
      <c r="AO241" s="20" t="str">
        <f ca="1">IF(CALC2223!BD241&gt;2,INDIRECT(ADDRESS(MATCH(Agenda2526!C242,'CAL7'!A:A,0)+2,2,4,1,"CAL7")),"")</f>
        <v/>
      </c>
      <c r="AP241" s="21">
        <f ca="1">IF(CALC2223!BD241&gt;2,INDIRECT(ADDRESS(MATCH(Agenda2526!C242,'CAL7'!A:A,0)+2,3,4,1,"CAL7")),0)</f>
        <v>0</v>
      </c>
      <c r="AQ241" s="20" t="str">
        <f ca="1">IF(CALC2223!BE241&gt;0,INDIRECT(ADDRESS(MATCH(Agenda2526!C242,'CAL8'!A:A,0),2,4,1,"CAL8")),"")</f>
        <v/>
      </c>
      <c r="AR241" s="21">
        <f ca="1">IF(CALC2223!BE241&gt;0,INDIRECT(ADDRESS(MATCH(Agenda2526!C242,'CAL8'!A:A,0),3,4,1,"CAL8")),0)</f>
        <v>0</v>
      </c>
      <c r="AS241" s="20" t="str">
        <f ca="1">IF(CALC2223!BE241&gt;1,INDIRECT(ADDRESS(MATCH(Agenda2526!C242,'CAL8'!A:A,0)+1,2,4,1,"CAL8")),"")</f>
        <v/>
      </c>
      <c r="AT241" s="21">
        <f ca="1">IF(CALC2223!BE241&gt;1,INDIRECT(ADDRESS(MATCH(Agenda2526!C242,'CAL8'!A:A,0)+1,3,4,1,"CAL8")),0)</f>
        <v>0</v>
      </c>
      <c r="AU241" s="20" t="str">
        <f ca="1">IF(CALC2223!BE241&gt;2,INDIRECT(ADDRESS(MATCH(Agenda2526!C242,'CAL8'!A:A,0)+2,2,4,1,"CAL8")),"")</f>
        <v/>
      </c>
      <c r="AV241" s="21">
        <f ca="1">IF(CALC2223!BE241&gt;2,INDIRECT(ADDRESS(MATCH(Agenda2526!C242,'CAL8'!A:A,0)+2,3,4,1,"CAL8")),0)</f>
        <v>0</v>
      </c>
      <c r="AW241" s="107" t="s">
        <v>122</v>
      </c>
      <c r="AX241" s="20">
        <f>COUNTIF('CAL1'!A:A,Agenda2526!C242)</f>
        <v>0</v>
      </c>
      <c r="AY241" s="20">
        <f>COUNTIF('CAL2'!A:A,Agenda2526!C242)</f>
        <v>0</v>
      </c>
      <c r="AZ241" s="20">
        <f>COUNTIF('CAL3'!A:A,Agenda2526!C242)</f>
        <v>0</v>
      </c>
      <c r="BA241" s="20">
        <f>COUNTIF('CAL4'!A:A,Agenda2526!C242)</f>
        <v>0</v>
      </c>
      <c r="BB241" s="20">
        <f>COUNTIF('CAL5'!A:A,Agenda2526!C242)</f>
        <v>0</v>
      </c>
      <c r="BC241" s="20">
        <f>COUNTIF('CAL6'!A:A,Agenda2526!C242)</f>
        <v>0</v>
      </c>
      <c r="BD241" s="20">
        <f>COUNTIF('CAL7'!A:A,Agenda2526!C242)</f>
        <v>0</v>
      </c>
      <c r="BE241" s="20">
        <f>COUNTIF('CAL8'!A:A,Agenda2526!C242)</f>
        <v>0</v>
      </c>
    </row>
    <row r="242" spans="1:57" ht="15.75" customHeight="1">
      <c r="A242" s="20" t="str">
        <f ca="1">IF(CALC2223!AX242&gt;0,INDIRECT(ADDRESS(MATCH(Agenda2526!C243,'CAL1'!A:A,0),2,4,1,"CAL1")),"")</f>
        <v/>
      </c>
      <c r="B242" s="21">
        <f ca="1">IF(CALC2223!AX242&gt;0,INDIRECT(ADDRESS(MATCH(Agenda2526!C243,'CAL1'!A:A,0),3,4,1,"CAL1")),0)</f>
        <v>0</v>
      </c>
      <c r="C242" s="20" t="str">
        <f ca="1">IF(CALC2223!AX242&gt;1,INDIRECT(ADDRESS(MATCH(Agenda2526!C243,'CAL1'!A:A,0)+1,2,4,1,"CAL1")),"")</f>
        <v/>
      </c>
      <c r="D242" s="21">
        <f ca="1">IF(CALC2223!AX242&gt;1,INDIRECT(ADDRESS(MATCH(Agenda2526!C243,'CAL1'!A:A,0)+1,3,4,1,"CAL1")),0)</f>
        <v>0</v>
      </c>
      <c r="E242" s="20" t="str">
        <f ca="1">IF(CALC2223!AX242&gt;2,INDIRECT(ADDRESS(MATCH(Agenda2526!C243,'CAL1'!A:A,0)+2,2,4,1,"CAL1")),"")</f>
        <v/>
      </c>
      <c r="F242" s="21">
        <f ca="1">IF(CALC2223!AX242&gt;2,INDIRECT(ADDRESS(MATCH(Agenda2526!C243,'CAL1'!A:A,0)+2,3,4,1,"CAL1")),0)</f>
        <v>0</v>
      </c>
      <c r="G242" s="20" t="str">
        <f ca="1">IF(CALC2223!AY242&gt;0,INDIRECT(ADDRESS(MATCH(Agenda2526!C243,'CAL2'!A:A,0),2,4,1,"CAL2")),"")</f>
        <v/>
      </c>
      <c r="H242" s="21">
        <f ca="1">IF(CALC2223!AY242&gt;0,INDIRECT(ADDRESS(MATCH(Agenda2526!C243,'CAL2'!A:A,0),3,4,1,"CAL2")),0)</f>
        <v>0</v>
      </c>
      <c r="I242" s="20" t="str">
        <f ca="1">IF(CALC2223!AY242&gt;1,INDIRECT(ADDRESS(MATCH(Agenda2526!C243,'CAL2'!A:A,0)+1,2,4,1,"CAL2")),"")</f>
        <v/>
      </c>
      <c r="J242" s="21">
        <f ca="1">IF(CALC2223!AY242&gt;1,INDIRECT(ADDRESS(MATCH(Agenda2526!C243,'CAL2'!A:A,0)+1,3,4,1,"CAL2")),0)</f>
        <v>0</v>
      </c>
      <c r="K242" s="20" t="str">
        <f ca="1">IF(CALC2223!AY242&gt;2,INDIRECT(ADDRESS(MATCH(Agenda2526!C243,'CAL2'!A:A,0)+2,2,4,1,"CAL2")),"")</f>
        <v/>
      </c>
      <c r="L242" s="21">
        <f ca="1">IF(CALC2223!AY242&gt;2,INDIRECT(ADDRESS(MATCH(Agenda2526!C243,'CAL2'!A:A,0)+2,3,4,1,"CAL2")),0)</f>
        <v>0</v>
      </c>
      <c r="M242" s="20" t="str">
        <f ca="1">IF(CALC2223!AZ242&gt;0,INDIRECT(ADDRESS(MATCH(Agenda2526!C243,'CAL3'!A:A,0),2,4,1,"CAL3")),"")</f>
        <v/>
      </c>
      <c r="N242" s="21">
        <f ca="1">IF(CALC2223!AZ242&gt;0,INDIRECT(ADDRESS(MATCH(Agenda2526!C243,'CAL3'!A:A,0),3,4,1,"CAL3")),0)</f>
        <v>0</v>
      </c>
      <c r="O242" s="20" t="str">
        <f ca="1">IF(CALC2223!AZ242&gt;1,INDIRECT(ADDRESS(MATCH(Agenda2526!C243,'CAL3'!A:A,0)+1,2,4,1,"CAL3")),"")</f>
        <v/>
      </c>
      <c r="P242" s="21">
        <f ca="1">IF(CALC2223!AZ242&gt;1,INDIRECT(ADDRESS(MATCH(Agenda2526!C243,'CAL3'!A:A,0)+1,3,4,1,"CAL3")),0)</f>
        <v>0</v>
      </c>
      <c r="Q242" s="20" t="str">
        <f ca="1">IF(CALC2223!AZ242&gt;2,INDIRECT(ADDRESS(MATCH(Agenda2526!C243,'CAL3'!A:A,0)+2,2,4,1,"CAL3")),"")</f>
        <v/>
      </c>
      <c r="R242" s="21">
        <f ca="1">IF(CALC2223!AZ242&gt;2,INDIRECT(ADDRESS(MATCH(Agenda2526!C243,'CAL3'!A:A,0)+2,3,4,1,"CAL3")),0)</f>
        <v>0</v>
      </c>
      <c r="S242" s="20" t="str">
        <f ca="1">IF(CALC2223!BA242&gt;0,INDIRECT(ADDRESS(MATCH(Agenda2526!C243,'CAL4'!A:A,0),2,4,1,"CAL4")),"")</f>
        <v/>
      </c>
      <c r="T242" s="21">
        <f ca="1">IF(CALC2223!BA242&gt;0,INDIRECT(ADDRESS(MATCH(Agenda2526!C243,'CAL4'!A:A,0),3,4,1,"CAL4")),0)</f>
        <v>0</v>
      </c>
      <c r="U242" s="20" t="str">
        <f ca="1">IF(CALC2223!BA242&gt;1,INDIRECT(ADDRESS(MATCH(Agenda2526!C243,'CAL4'!A:A,0)+1,2,4,1,"CAL4")),"")</f>
        <v/>
      </c>
      <c r="V242" s="21">
        <f ca="1">IF(CALC2223!BA242&gt;1,INDIRECT(ADDRESS(MATCH(Agenda2526!C243,'CAL4'!A:A,0)+1,3,4,1,"CAL4")),0)</f>
        <v>0</v>
      </c>
      <c r="W242" s="20" t="str">
        <f ca="1">IF(CALC2223!BA242&gt;2,INDIRECT(ADDRESS(MATCH(Agenda2526!C243,'CAL4'!A:A,0)+2,2,4,1,"CAL4")),"")</f>
        <v/>
      </c>
      <c r="X242" s="21">
        <f ca="1">IF(CALC2223!BA242&gt;2,INDIRECT(ADDRESS(MATCH(Agenda2526!C243,'CAL4'!A:A,0)+2,3,4,1,"CAL4")),0)</f>
        <v>0</v>
      </c>
      <c r="Y242" s="20" t="str">
        <f ca="1">IF(CALC2223!BB242&gt;0,INDIRECT(ADDRESS(MATCH(Agenda2526!C243,'CAL5'!A:A,0),2,4,1,"CAL5")),"")</f>
        <v/>
      </c>
      <c r="Z242" s="21">
        <f ca="1">IF(CALC2223!BB242&gt;0,INDIRECT(ADDRESS(MATCH(Agenda2526!C243,'CAL5'!A:A,0),3,4,1,"CAL5")),0)</f>
        <v>0</v>
      </c>
      <c r="AA242" s="20" t="str">
        <f ca="1">IF(CALC2223!BB242&gt;1,INDIRECT(ADDRESS(MATCH(Agenda2526!C243,'CAL5'!A:A,0)+1,2,4,1,"CAL5")),"")</f>
        <v/>
      </c>
      <c r="AB242" s="21">
        <f ca="1">IF(CALC2223!BB242&gt;1,INDIRECT(ADDRESS(MATCH(Agenda2526!C243,'CAL5'!A:A,0)+1,3,4,1,"CAL5")),0)</f>
        <v>0</v>
      </c>
      <c r="AC242" s="20" t="str">
        <f ca="1">IF(CALC2223!BB242&gt;2,INDIRECT(ADDRESS(MATCH(Agenda2526!C243,'CAL5'!A:A,0)+2,2,4,1,"CAL5")),"")</f>
        <v/>
      </c>
      <c r="AD242" s="21">
        <f ca="1">IF(CALC2223!BB242&gt;2,INDIRECT(ADDRESS(MATCH(Agenda2526!C243,'CAL5'!A:A,0)+2,3,4,1,"CAL5")),0)</f>
        <v>0</v>
      </c>
      <c r="AE242" s="20" t="str">
        <f ca="1">IF(CALC2223!BC242&gt;0,INDIRECT(ADDRESS(MATCH(Agenda2526!C243,'CAL6'!A:A,0),2,4,1,"CAL6")),"")</f>
        <v/>
      </c>
      <c r="AF242" s="21">
        <f ca="1">IF(CALC2223!BC242&gt;0,INDIRECT(ADDRESS(MATCH(Agenda2526!C243,'CAL6'!A:A,0),3,4,1,"CAL6")),0)</f>
        <v>0</v>
      </c>
      <c r="AG242" s="20" t="str">
        <f ca="1">IF(CALC2223!BC242&gt;1,INDIRECT(ADDRESS(MATCH(Agenda2526!C243,'CAL6'!A:A,0)+1,2,4,1,"CAL6")),"")</f>
        <v/>
      </c>
      <c r="AH242" s="21">
        <f ca="1">IF(CALC2223!BC242&gt;1,INDIRECT(ADDRESS(MATCH(Agenda2526!C243,'CAL6'!A:A,0)+1,3,4,1,"CAL6")),0)</f>
        <v>0</v>
      </c>
      <c r="AI242" s="20" t="str">
        <f ca="1">IF(CALC2223!BC242&gt;2,INDIRECT(ADDRESS(MATCH(Agenda2526!C243,'CAL6'!A:A,0)+2,2,4,1,"CAL6")),"")</f>
        <v/>
      </c>
      <c r="AJ242" s="21">
        <f ca="1">IF(CALC2223!BC242&gt;2,INDIRECT(ADDRESS(MATCH(Agenda2526!C243,'CAL6'!A:A,0)+2,3,4,1,"CAL6")),0)</f>
        <v>0</v>
      </c>
      <c r="AK242" s="20" t="str">
        <f ca="1">IF(CALC2223!BD242&gt;0,INDIRECT(ADDRESS(MATCH(Agenda2526!C243,'CAL7'!A:A,0),2,4,1,"CAL7")),"")</f>
        <v/>
      </c>
      <c r="AL242" s="21">
        <f ca="1">IF(CALC2223!BD242&gt;0,INDIRECT(ADDRESS(MATCH(Agenda2526!C243,'CAL7'!A:A,0),3,4,1,"CAL7")),0)</f>
        <v>0</v>
      </c>
      <c r="AM242" s="20" t="str">
        <f ca="1">IF(CALC2223!BD242&gt;1,INDIRECT(ADDRESS(MATCH(Agenda2526!C243,'CAL7'!A:A,0)+1,2,4,1,"CAL7")),"")</f>
        <v/>
      </c>
      <c r="AN242" s="21">
        <f ca="1">IF(CALC2223!BD242&gt;1,INDIRECT(ADDRESS(MATCH(Agenda2526!C243,'CAL7'!A:A,0)+1,3,4,1,"CAL7")),0)</f>
        <v>0</v>
      </c>
      <c r="AO242" s="20" t="str">
        <f ca="1">IF(CALC2223!BD242&gt;2,INDIRECT(ADDRESS(MATCH(Agenda2526!C243,'CAL7'!A:A,0)+2,2,4,1,"CAL7")),"")</f>
        <v/>
      </c>
      <c r="AP242" s="21">
        <f ca="1">IF(CALC2223!BD242&gt;2,INDIRECT(ADDRESS(MATCH(Agenda2526!C243,'CAL7'!A:A,0)+2,3,4,1,"CAL7")),0)</f>
        <v>0</v>
      </c>
      <c r="AQ242" s="20" t="str">
        <f ca="1">IF(CALC2223!BE242&gt;0,INDIRECT(ADDRESS(MATCH(Agenda2526!C243,'CAL8'!A:A,0),2,4,1,"CAL8")),"")</f>
        <v/>
      </c>
      <c r="AR242" s="21">
        <f ca="1">IF(CALC2223!BE242&gt;0,INDIRECT(ADDRESS(MATCH(Agenda2526!C243,'CAL8'!A:A,0),3,4,1,"CAL8")),0)</f>
        <v>0</v>
      </c>
      <c r="AS242" s="20" t="str">
        <f ca="1">IF(CALC2223!BE242&gt;1,INDIRECT(ADDRESS(MATCH(Agenda2526!C243,'CAL8'!A:A,0)+1,2,4,1,"CAL8")),"")</f>
        <v/>
      </c>
      <c r="AT242" s="21">
        <f ca="1">IF(CALC2223!BE242&gt;1,INDIRECT(ADDRESS(MATCH(Agenda2526!C243,'CAL8'!A:A,0)+1,3,4,1,"CAL8")),0)</f>
        <v>0</v>
      </c>
      <c r="AU242" s="20" t="str">
        <f ca="1">IF(CALC2223!BE242&gt;2,INDIRECT(ADDRESS(MATCH(Agenda2526!C243,'CAL8'!A:A,0)+2,2,4,1,"CAL8")),"")</f>
        <v/>
      </c>
      <c r="AV242" s="21">
        <f ca="1">IF(CALC2223!BE242&gt;2,INDIRECT(ADDRESS(MATCH(Agenda2526!C243,'CAL8'!A:A,0)+2,3,4,1,"CAL8")),0)</f>
        <v>0</v>
      </c>
      <c r="AW242" s="107"/>
      <c r="AX242" s="20">
        <f>COUNTIF('CAL1'!A:A,Agenda2526!C243)</f>
        <v>0</v>
      </c>
      <c r="AY242" s="20">
        <f>COUNTIF('CAL2'!A:A,Agenda2526!C243)</f>
        <v>0</v>
      </c>
      <c r="AZ242" s="20">
        <f>COUNTIF('CAL3'!A:A,Agenda2526!C243)</f>
        <v>0</v>
      </c>
      <c r="BA242" s="20">
        <f>COUNTIF('CAL4'!A:A,Agenda2526!C243)</f>
        <v>0</v>
      </c>
      <c r="BB242" s="20">
        <f>COUNTIF('CAL5'!A:A,Agenda2526!C243)</f>
        <v>0</v>
      </c>
      <c r="BC242" s="20">
        <f>COUNTIF('CAL6'!A:A,Agenda2526!C243)</f>
        <v>0</v>
      </c>
      <c r="BD242" s="20">
        <f>COUNTIF('CAL7'!A:A,Agenda2526!C243)</f>
        <v>0</v>
      </c>
      <c r="BE242" s="20">
        <f>COUNTIF('CAL8'!A:A,Agenda2526!C243)</f>
        <v>0</v>
      </c>
    </row>
    <row r="243" spans="1:57" ht="15.75" customHeight="1">
      <c r="A243" s="20" t="str">
        <f ca="1">IF(CALC2223!AX243&gt;0,INDIRECT(ADDRESS(MATCH(Agenda2526!C244,'CAL1'!A:A,0),2,4,1,"CAL1")),"")</f>
        <v/>
      </c>
      <c r="B243" s="21">
        <f ca="1">IF(CALC2223!AX243&gt;0,INDIRECT(ADDRESS(MATCH(Agenda2526!C244,'CAL1'!A:A,0),3,4,1,"CAL1")),0)</f>
        <v>0</v>
      </c>
      <c r="C243" s="20" t="str">
        <f ca="1">IF(CALC2223!AX243&gt;1,INDIRECT(ADDRESS(MATCH(Agenda2526!C244,'CAL1'!A:A,0)+1,2,4,1,"CAL1")),"")</f>
        <v/>
      </c>
      <c r="D243" s="21">
        <f ca="1">IF(CALC2223!AX243&gt;1,INDIRECT(ADDRESS(MATCH(Agenda2526!C244,'CAL1'!A:A,0)+1,3,4,1,"CAL1")),0)</f>
        <v>0</v>
      </c>
      <c r="E243" s="20" t="str">
        <f ca="1">IF(CALC2223!AX243&gt;2,INDIRECT(ADDRESS(MATCH(Agenda2526!C244,'CAL1'!A:A,0)+2,2,4,1,"CAL1")),"")</f>
        <v/>
      </c>
      <c r="F243" s="21">
        <f ca="1">IF(CALC2223!AX243&gt;2,INDIRECT(ADDRESS(MATCH(Agenda2526!C244,'CAL1'!A:A,0)+2,3,4,1,"CAL1")),0)</f>
        <v>0</v>
      </c>
      <c r="G243" s="20" t="str">
        <f ca="1">IF(CALC2223!AY243&gt;0,INDIRECT(ADDRESS(MATCH(Agenda2526!C244,'CAL2'!A:A,0),2,4,1,"CAL2")),"")</f>
        <v/>
      </c>
      <c r="H243" s="21">
        <f ca="1">IF(CALC2223!AY243&gt;0,INDIRECT(ADDRESS(MATCH(Agenda2526!C244,'CAL2'!A:A,0),3,4,1,"CAL2")),0)</f>
        <v>0</v>
      </c>
      <c r="I243" s="20" t="str">
        <f ca="1">IF(CALC2223!AY243&gt;1,INDIRECT(ADDRESS(MATCH(Agenda2526!C244,'CAL2'!A:A,0)+1,2,4,1,"CAL2")),"")</f>
        <v/>
      </c>
      <c r="J243" s="21">
        <f ca="1">IF(CALC2223!AY243&gt;1,INDIRECT(ADDRESS(MATCH(Agenda2526!C244,'CAL2'!A:A,0)+1,3,4,1,"CAL2")),0)</f>
        <v>0</v>
      </c>
      <c r="K243" s="20" t="str">
        <f ca="1">IF(CALC2223!AY243&gt;2,INDIRECT(ADDRESS(MATCH(Agenda2526!C244,'CAL2'!A:A,0)+2,2,4,1,"CAL2")),"")</f>
        <v/>
      </c>
      <c r="L243" s="21">
        <f ca="1">IF(CALC2223!AY243&gt;2,INDIRECT(ADDRESS(MATCH(Agenda2526!C244,'CAL2'!A:A,0)+2,3,4,1,"CAL2")),0)</f>
        <v>0</v>
      </c>
      <c r="M243" s="20" t="str">
        <f ca="1">IF(CALC2223!AZ243&gt;0,INDIRECT(ADDRESS(MATCH(Agenda2526!C244,'CAL3'!A:A,0),2,4,1,"CAL3")),"")</f>
        <v/>
      </c>
      <c r="N243" s="21">
        <f ca="1">IF(CALC2223!AZ243&gt;0,INDIRECT(ADDRESS(MATCH(Agenda2526!C244,'CAL3'!A:A,0),3,4,1,"CAL3")),0)</f>
        <v>0</v>
      </c>
      <c r="O243" s="20" t="str">
        <f ca="1">IF(CALC2223!AZ243&gt;1,INDIRECT(ADDRESS(MATCH(Agenda2526!C244,'CAL3'!A:A,0)+1,2,4,1,"CAL3")),"")</f>
        <v/>
      </c>
      <c r="P243" s="21">
        <f ca="1">IF(CALC2223!AZ243&gt;1,INDIRECT(ADDRESS(MATCH(Agenda2526!C244,'CAL3'!A:A,0)+1,3,4,1,"CAL3")),0)</f>
        <v>0</v>
      </c>
      <c r="Q243" s="20" t="str">
        <f ca="1">IF(CALC2223!AZ243&gt;2,INDIRECT(ADDRESS(MATCH(Agenda2526!C244,'CAL3'!A:A,0)+2,2,4,1,"CAL3")),"")</f>
        <v/>
      </c>
      <c r="R243" s="21">
        <f ca="1">IF(CALC2223!AZ243&gt;2,INDIRECT(ADDRESS(MATCH(Agenda2526!C244,'CAL3'!A:A,0)+2,3,4,1,"CAL3")),0)</f>
        <v>0</v>
      </c>
      <c r="S243" s="20" t="str">
        <f ca="1">IF(CALC2223!BA243&gt;0,INDIRECT(ADDRESS(MATCH(Agenda2526!C244,'CAL4'!A:A,0),2,4,1,"CAL4")),"")</f>
        <v/>
      </c>
      <c r="T243" s="21">
        <f ca="1">IF(CALC2223!BA243&gt;0,INDIRECT(ADDRESS(MATCH(Agenda2526!C244,'CAL4'!A:A,0),3,4,1,"CAL4")),0)</f>
        <v>0</v>
      </c>
      <c r="U243" s="20" t="str">
        <f ca="1">IF(CALC2223!BA243&gt;1,INDIRECT(ADDRESS(MATCH(Agenda2526!C244,'CAL4'!A:A,0)+1,2,4,1,"CAL4")),"")</f>
        <v/>
      </c>
      <c r="V243" s="21">
        <f ca="1">IF(CALC2223!BA243&gt;1,INDIRECT(ADDRESS(MATCH(Agenda2526!C244,'CAL4'!A:A,0)+1,3,4,1,"CAL4")),0)</f>
        <v>0</v>
      </c>
      <c r="W243" s="20" t="str">
        <f ca="1">IF(CALC2223!BA243&gt;2,INDIRECT(ADDRESS(MATCH(Agenda2526!C244,'CAL4'!A:A,0)+2,2,4,1,"CAL4")),"")</f>
        <v/>
      </c>
      <c r="X243" s="21">
        <f ca="1">IF(CALC2223!BA243&gt;2,INDIRECT(ADDRESS(MATCH(Agenda2526!C244,'CAL4'!A:A,0)+2,3,4,1,"CAL4")),0)</f>
        <v>0</v>
      </c>
      <c r="Y243" s="20" t="str">
        <f ca="1">IF(CALC2223!BB243&gt;0,INDIRECT(ADDRESS(MATCH(Agenda2526!C244,'CAL5'!A:A,0),2,4,1,"CAL5")),"")</f>
        <v/>
      </c>
      <c r="Z243" s="21">
        <f ca="1">IF(CALC2223!BB243&gt;0,INDIRECT(ADDRESS(MATCH(Agenda2526!C244,'CAL5'!A:A,0),3,4,1,"CAL5")),0)</f>
        <v>0</v>
      </c>
      <c r="AA243" s="20" t="str">
        <f ca="1">IF(CALC2223!BB243&gt;1,INDIRECT(ADDRESS(MATCH(Agenda2526!C244,'CAL5'!A:A,0)+1,2,4,1,"CAL5")),"")</f>
        <v/>
      </c>
      <c r="AB243" s="21">
        <f ca="1">IF(CALC2223!BB243&gt;1,INDIRECT(ADDRESS(MATCH(Agenda2526!C244,'CAL5'!A:A,0)+1,3,4,1,"CAL5")),0)</f>
        <v>0</v>
      </c>
      <c r="AC243" s="20" t="str">
        <f ca="1">IF(CALC2223!BB243&gt;2,INDIRECT(ADDRESS(MATCH(Agenda2526!C244,'CAL5'!A:A,0)+2,2,4,1,"CAL5")),"")</f>
        <v/>
      </c>
      <c r="AD243" s="21">
        <f ca="1">IF(CALC2223!BB243&gt;2,INDIRECT(ADDRESS(MATCH(Agenda2526!C244,'CAL5'!A:A,0)+2,3,4,1,"CAL5")),0)</f>
        <v>0</v>
      </c>
      <c r="AE243" s="20" t="str">
        <f ca="1">IF(CALC2223!BC243&gt;0,INDIRECT(ADDRESS(MATCH(Agenda2526!C244,'CAL6'!A:A,0),2,4,1,"CAL6")),"")</f>
        <v/>
      </c>
      <c r="AF243" s="21">
        <f ca="1">IF(CALC2223!BC243&gt;0,INDIRECT(ADDRESS(MATCH(Agenda2526!C244,'CAL6'!A:A,0),3,4,1,"CAL6")),0)</f>
        <v>0</v>
      </c>
      <c r="AG243" s="20" t="str">
        <f ca="1">IF(CALC2223!BC243&gt;1,INDIRECT(ADDRESS(MATCH(Agenda2526!C244,'CAL6'!A:A,0)+1,2,4,1,"CAL6")),"")</f>
        <v/>
      </c>
      <c r="AH243" s="21">
        <f ca="1">IF(CALC2223!BC243&gt;1,INDIRECT(ADDRESS(MATCH(Agenda2526!C244,'CAL6'!A:A,0)+1,3,4,1,"CAL6")),0)</f>
        <v>0</v>
      </c>
      <c r="AI243" s="20" t="str">
        <f ca="1">IF(CALC2223!BC243&gt;2,INDIRECT(ADDRESS(MATCH(Agenda2526!C244,'CAL6'!A:A,0)+2,2,4,1,"CAL6")),"")</f>
        <v/>
      </c>
      <c r="AJ243" s="21">
        <f ca="1">IF(CALC2223!BC243&gt;2,INDIRECT(ADDRESS(MATCH(Agenda2526!C244,'CAL6'!A:A,0)+2,3,4,1,"CAL6")),0)</f>
        <v>0</v>
      </c>
      <c r="AK243" s="20" t="str">
        <f ca="1">IF(CALC2223!BD243&gt;0,INDIRECT(ADDRESS(MATCH(Agenda2526!C244,'CAL7'!A:A,0),2,4,1,"CAL7")),"")</f>
        <v/>
      </c>
      <c r="AL243" s="21">
        <f ca="1">IF(CALC2223!BD243&gt;0,INDIRECT(ADDRESS(MATCH(Agenda2526!C244,'CAL7'!A:A,0),3,4,1,"CAL7")),0)</f>
        <v>0</v>
      </c>
      <c r="AM243" s="20" t="str">
        <f ca="1">IF(CALC2223!BD243&gt;1,INDIRECT(ADDRESS(MATCH(Agenda2526!C244,'CAL7'!A:A,0)+1,2,4,1,"CAL7")),"")</f>
        <v/>
      </c>
      <c r="AN243" s="21">
        <f ca="1">IF(CALC2223!BD243&gt;1,INDIRECT(ADDRESS(MATCH(Agenda2526!C244,'CAL7'!A:A,0)+1,3,4,1,"CAL7")),0)</f>
        <v>0</v>
      </c>
      <c r="AO243" s="20" t="str">
        <f ca="1">IF(CALC2223!BD243&gt;2,INDIRECT(ADDRESS(MATCH(Agenda2526!C244,'CAL7'!A:A,0)+2,2,4,1,"CAL7")),"")</f>
        <v/>
      </c>
      <c r="AP243" s="21">
        <f ca="1">IF(CALC2223!BD243&gt;2,INDIRECT(ADDRESS(MATCH(Agenda2526!C244,'CAL7'!A:A,0)+2,3,4,1,"CAL7")),0)</f>
        <v>0</v>
      </c>
      <c r="AQ243" s="20" t="str">
        <f ca="1">IF(CALC2223!BE243&gt;0,INDIRECT(ADDRESS(MATCH(Agenda2526!C244,'CAL8'!A:A,0),2,4,1,"CAL8")),"")</f>
        <v/>
      </c>
      <c r="AR243" s="21">
        <f ca="1">IF(CALC2223!BE243&gt;0,INDIRECT(ADDRESS(MATCH(Agenda2526!C244,'CAL8'!A:A,0),3,4,1,"CAL8")),0)</f>
        <v>0</v>
      </c>
      <c r="AS243" s="20" t="str">
        <f ca="1">IF(CALC2223!BE243&gt;1,INDIRECT(ADDRESS(MATCH(Agenda2526!C244,'CAL8'!A:A,0)+1,2,4,1,"CAL8")),"")</f>
        <v/>
      </c>
      <c r="AT243" s="21">
        <f ca="1">IF(CALC2223!BE243&gt;1,INDIRECT(ADDRESS(MATCH(Agenda2526!C244,'CAL8'!A:A,0)+1,3,4,1,"CAL8")),0)</f>
        <v>0</v>
      </c>
      <c r="AU243" s="20" t="str">
        <f ca="1">IF(CALC2223!BE243&gt;2,INDIRECT(ADDRESS(MATCH(Agenda2526!C244,'CAL8'!A:A,0)+2,2,4,1,"CAL8")),"")</f>
        <v/>
      </c>
      <c r="AV243" s="21">
        <f ca="1">IF(CALC2223!BE243&gt;2,INDIRECT(ADDRESS(MATCH(Agenda2526!C244,'CAL8'!A:A,0)+2,3,4,1,"CAL8")),0)</f>
        <v>0</v>
      </c>
      <c r="AW243" s="107"/>
      <c r="AX243" s="20">
        <f>COUNTIF('CAL1'!A:A,Agenda2526!C244)</f>
        <v>0</v>
      </c>
      <c r="AY243" s="20">
        <f>COUNTIF('CAL2'!A:A,Agenda2526!C244)</f>
        <v>0</v>
      </c>
      <c r="AZ243" s="20">
        <f>COUNTIF('CAL3'!A:A,Agenda2526!C244)</f>
        <v>0</v>
      </c>
      <c r="BA243" s="20">
        <f>COUNTIF('CAL4'!A:A,Agenda2526!C244)</f>
        <v>0</v>
      </c>
      <c r="BB243" s="20">
        <f>COUNTIF('CAL5'!A:A,Agenda2526!C244)</f>
        <v>0</v>
      </c>
      <c r="BC243" s="20">
        <f>COUNTIF('CAL6'!A:A,Agenda2526!C244)</f>
        <v>0</v>
      </c>
      <c r="BD243" s="20">
        <f>COUNTIF('CAL7'!A:A,Agenda2526!C244)</f>
        <v>0</v>
      </c>
      <c r="BE243" s="20">
        <f>COUNTIF('CAL8'!A:A,Agenda2526!C244)</f>
        <v>0</v>
      </c>
    </row>
    <row r="244" spans="1:57" ht="15.75" customHeight="1">
      <c r="A244" s="20" t="str">
        <f ca="1">IF(CALC2223!AX244&gt;0,INDIRECT(ADDRESS(MATCH(Agenda2526!C245,'CAL1'!A:A,0),2,4,1,"CAL1")),"")</f>
        <v/>
      </c>
      <c r="B244" s="21">
        <f ca="1">IF(CALC2223!AX244&gt;0,INDIRECT(ADDRESS(MATCH(Agenda2526!C245,'CAL1'!A:A,0),3,4,1,"CAL1")),0)</f>
        <v>0</v>
      </c>
      <c r="C244" s="20" t="str">
        <f ca="1">IF(CALC2223!AX244&gt;1,INDIRECT(ADDRESS(MATCH(Agenda2526!C245,'CAL1'!A:A,0)+1,2,4,1,"CAL1")),"")</f>
        <v/>
      </c>
      <c r="D244" s="21">
        <f ca="1">IF(CALC2223!AX244&gt;1,INDIRECT(ADDRESS(MATCH(Agenda2526!C245,'CAL1'!A:A,0)+1,3,4,1,"CAL1")),0)</f>
        <v>0</v>
      </c>
      <c r="E244" s="20" t="str">
        <f ca="1">IF(CALC2223!AX244&gt;2,INDIRECT(ADDRESS(MATCH(Agenda2526!C245,'CAL1'!A:A,0)+2,2,4,1,"CAL1")),"")</f>
        <v/>
      </c>
      <c r="F244" s="21">
        <f ca="1">IF(CALC2223!AX244&gt;2,INDIRECT(ADDRESS(MATCH(Agenda2526!C245,'CAL1'!A:A,0)+2,3,4,1,"CAL1")),0)</f>
        <v>0</v>
      </c>
      <c r="G244" s="20" t="str">
        <f ca="1">IF(CALC2223!AY244&gt;0,INDIRECT(ADDRESS(MATCH(Agenda2526!C245,'CAL2'!A:A,0),2,4,1,"CAL2")),"")</f>
        <v/>
      </c>
      <c r="H244" s="21">
        <f ca="1">IF(CALC2223!AY244&gt;0,INDIRECT(ADDRESS(MATCH(Agenda2526!C245,'CAL2'!A:A,0),3,4,1,"CAL2")),0)</f>
        <v>0</v>
      </c>
      <c r="I244" s="20" t="str">
        <f ca="1">IF(CALC2223!AY244&gt;1,INDIRECT(ADDRESS(MATCH(Agenda2526!C245,'CAL2'!A:A,0)+1,2,4,1,"CAL2")),"")</f>
        <v/>
      </c>
      <c r="J244" s="21">
        <f ca="1">IF(CALC2223!AY244&gt;1,INDIRECT(ADDRESS(MATCH(Agenda2526!C245,'CAL2'!A:A,0)+1,3,4,1,"CAL2")),0)</f>
        <v>0</v>
      </c>
      <c r="K244" s="20" t="str">
        <f ca="1">IF(CALC2223!AY244&gt;2,INDIRECT(ADDRESS(MATCH(Agenda2526!C245,'CAL2'!A:A,0)+2,2,4,1,"CAL2")),"")</f>
        <v/>
      </c>
      <c r="L244" s="21">
        <f ca="1">IF(CALC2223!AY244&gt;2,INDIRECT(ADDRESS(MATCH(Agenda2526!C245,'CAL2'!A:A,0)+2,3,4,1,"CAL2")),0)</f>
        <v>0</v>
      </c>
      <c r="M244" s="20" t="str">
        <f ca="1">IF(CALC2223!AZ244&gt;0,INDIRECT(ADDRESS(MATCH(Agenda2526!C245,'CAL3'!A:A,0),2,4,1,"CAL3")),"")</f>
        <v/>
      </c>
      <c r="N244" s="21">
        <f ca="1">IF(CALC2223!AZ244&gt;0,INDIRECT(ADDRESS(MATCH(Agenda2526!C245,'CAL3'!A:A,0),3,4,1,"CAL3")),0)</f>
        <v>0</v>
      </c>
      <c r="O244" s="20" t="str">
        <f ca="1">IF(CALC2223!AZ244&gt;1,INDIRECT(ADDRESS(MATCH(Agenda2526!C245,'CAL3'!A:A,0)+1,2,4,1,"CAL3")),"")</f>
        <v/>
      </c>
      <c r="P244" s="21">
        <f ca="1">IF(CALC2223!AZ244&gt;1,INDIRECT(ADDRESS(MATCH(Agenda2526!C245,'CAL3'!A:A,0)+1,3,4,1,"CAL3")),0)</f>
        <v>0</v>
      </c>
      <c r="Q244" s="20" t="str">
        <f ca="1">IF(CALC2223!AZ244&gt;2,INDIRECT(ADDRESS(MATCH(Agenda2526!C245,'CAL3'!A:A,0)+2,2,4,1,"CAL3")),"")</f>
        <v/>
      </c>
      <c r="R244" s="21">
        <f ca="1">IF(CALC2223!AZ244&gt;2,INDIRECT(ADDRESS(MATCH(Agenda2526!C245,'CAL3'!A:A,0)+2,3,4,1,"CAL3")),0)</f>
        <v>0</v>
      </c>
      <c r="S244" s="20" t="str">
        <f ca="1">IF(CALC2223!BA244&gt;0,INDIRECT(ADDRESS(MATCH(Agenda2526!C245,'CAL4'!A:A,0),2,4,1,"CAL4")),"")</f>
        <v/>
      </c>
      <c r="T244" s="21">
        <f ca="1">IF(CALC2223!BA244&gt;0,INDIRECT(ADDRESS(MATCH(Agenda2526!C245,'CAL4'!A:A,0),3,4,1,"CAL4")),0)</f>
        <v>0</v>
      </c>
      <c r="U244" s="20" t="str">
        <f ca="1">IF(CALC2223!BA244&gt;1,INDIRECT(ADDRESS(MATCH(Agenda2526!C245,'CAL4'!A:A,0)+1,2,4,1,"CAL4")),"")</f>
        <v/>
      </c>
      <c r="V244" s="21">
        <f ca="1">IF(CALC2223!BA244&gt;1,INDIRECT(ADDRESS(MATCH(Agenda2526!C245,'CAL4'!A:A,0)+1,3,4,1,"CAL4")),0)</f>
        <v>0</v>
      </c>
      <c r="W244" s="20" t="str">
        <f ca="1">IF(CALC2223!BA244&gt;2,INDIRECT(ADDRESS(MATCH(Agenda2526!C245,'CAL4'!A:A,0)+2,2,4,1,"CAL4")),"")</f>
        <v/>
      </c>
      <c r="X244" s="21">
        <f ca="1">IF(CALC2223!BA244&gt;2,INDIRECT(ADDRESS(MATCH(Agenda2526!C245,'CAL4'!A:A,0)+2,3,4,1,"CAL4")),0)</f>
        <v>0</v>
      </c>
      <c r="Y244" s="20" t="str">
        <f ca="1">IF(CALC2223!BB244&gt;0,INDIRECT(ADDRESS(MATCH(Agenda2526!C245,'CAL5'!A:A,0),2,4,1,"CAL5")),"")</f>
        <v/>
      </c>
      <c r="Z244" s="21">
        <f ca="1">IF(CALC2223!BB244&gt;0,INDIRECT(ADDRESS(MATCH(Agenda2526!C245,'CAL5'!A:A,0),3,4,1,"CAL5")),0)</f>
        <v>0</v>
      </c>
      <c r="AA244" s="20" t="str">
        <f ca="1">IF(CALC2223!BB244&gt;1,INDIRECT(ADDRESS(MATCH(Agenda2526!C245,'CAL5'!A:A,0)+1,2,4,1,"CAL5")),"")</f>
        <v/>
      </c>
      <c r="AB244" s="21">
        <f ca="1">IF(CALC2223!BB244&gt;1,INDIRECT(ADDRESS(MATCH(Agenda2526!C245,'CAL5'!A:A,0)+1,3,4,1,"CAL5")),0)</f>
        <v>0</v>
      </c>
      <c r="AC244" s="20" t="str">
        <f ca="1">IF(CALC2223!BB244&gt;2,INDIRECT(ADDRESS(MATCH(Agenda2526!C245,'CAL5'!A:A,0)+2,2,4,1,"CAL5")),"")</f>
        <v/>
      </c>
      <c r="AD244" s="21">
        <f ca="1">IF(CALC2223!BB244&gt;2,INDIRECT(ADDRESS(MATCH(Agenda2526!C245,'CAL5'!A:A,0)+2,3,4,1,"CAL5")),0)</f>
        <v>0</v>
      </c>
      <c r="AE244" s="20" t="str">
        <f ca="1">IF(CALC2223!BC244&gt;0,INDIRECT(ADDRESS(MATCH(Agenda2526!C245,'CAL6'!A:A,0),2,4,1,"CAL6")),"")</f>
        <v/>
      </c>
      <c r="AF244" s="21">
        <f ca="1">IF(CALC2223!BC244&gt;0,INDIRECT(ADDRESS(MATCH(Agenda2526!C245,'CAL6'!A:A,0),3,4,1,"CAL6")),0)</f>
        <v>0</v>
      </c>
      <c r="AG244" s="20" t="str">
        <f ca="1">IF(CALC2223!BC244&gt;1,INDIRECT(ADDRESS(MATCH(Agenda2526!C245,'CAL6'!A:A,0)+1,2,4,1,"CAL6")),"")</f>
        <v/>
      </c>
      <c r="AH244" s="21">
        <f ca="1">IF(CALC2223!BC244&gt;1,INDIRECT(ADDRESS(MATCH(Agenda2526!C245,'CAL6'!A:A,0)+1,3,4,1,"CAL6")),0)</f>
        <v>0</v>
      </c>
      <c r="AI244" s="20" t="str">
        <f ca="1">IF(CALC2223!BC244&gt;2,INDIRECT(ADDRESS(MATCH(Agenda2526!C245,'CAL6'!A:A,0)+2,2,4,1,"CAL6")),"")</f>
        <v/>
      </c>
      <c r="AJ244" s="21">
        <f ca="1">IF(CALC2223!BC244&gt;2,INDIRECT(ADDRESS(MATCH(Agenda2526!C245,'CAL6'!A:A,0)+2,3,4,1,"CAL6")),0)</f>
        <v>0</v>
      </c>
      <c r="AK244" s="20" t="str">
        <f ca="1">IF(CALC2223!BD244&gt;0,INDIRECT(ADDRESS(MATCH(Agenda2526!C245,'CAL7'!A:A,0),2,4,1,"CAL7")),"")</f>
        <v/>
      </c>
      <c r="AL244" s="21">
        <f ca="1">IF(CALC2223!BD244&gt;0,INDIRECT(ADDRESS(MATCH(Agenda2526!C245,'CAL7'!A:A,0),3,4,1,"CAL7")),0)</f>
        <v>0</v>
      </c>
      <c r="AM244" s="20" t="str">
        <f ca="1">IF(CALC2223!BD244&gt;1,INDIRECT(ADDRESS(MATCH(Agenda2526!C245,'CAL7'!A:A,0)+1,2,4,1,"CAL7")),"")</f>
        <v/>
      </c>
      <c r="AN244" s="21">
        <f ca="1">IF(CALC2223!BD244&gt;1,INDIRECT(ADDRESS(MATCH(Agenda2526!C245,'CAL7'!A:A,0)+1,3,4,1,"CAL7")),0)</f>
        <v>0</v>
      </c>
      <c r="AO244" s="20" t="str">
        <f ca="1">IF(CALC2223!BD244&gt;2,INDIRECT(ADDRESS(MATCH(Agenda2526!C245,'CAL7'!A:A,0)+2,2,4,1,"CAL7")),"")</f>
        <v/>
      </c>
      <c r="AP244" s="21">
        <f ca="1">IF(CALC2223!BD244&gt;2,INDIRECT(ADDRESS(MATCH(Agenda2526!C245,'CAL7'!A:A,0)+2,3,4,1,"CAL7")),0)</f>
        <v>0</v>
      </c>
      <c r="AQ244" s="20" t="str">
        <f ca="1">IF(CALC2223!BE244&gt;0,INDIRECT(ADDRESS(MATCH(Agenda2526!C245,'CAL8'!A:A,0),2,4,1,"CAL8")),"")</f>
        <v/>
      </c>
      <c r="AR244" s="21">
        <f ca="1">IF(CALC2223!BE244&gt;0,INDIRECT(ADDRESS(MATCH(Agenda2526!C245,'CAL8'!A:A,0),3,4,1,"CAL8")),0)</f>
        <v>0</v>
      </c>
      <c r="AS244" s="20" t="str">
        <f ca="1">IF(CALC2223!BE244&gt;1,INDIRECT(ADDRESS(MATCH(Agenda2526!C245,'CAL8'!A:A,0)+1,2,4,1,"CAL8")),"")</f>
        <v/>
      </c>
      <c r="AT244" s="21">
        <f ca="1">IF(CALC2223!BE244&gt;1,INDIRECT(ADDRESS(MATCH(Agenda2526!C245,'CAL8'!A:A,0)+1,3,4,1,"CAL8")),0)</f>
        <v>0</v>
      </c>
      <c r="AU244" s="20" t="str">
        <f ca="1">IF(CALC2223!BE244&gt;2,INDIRECT(ADDRESS(MATCH(Agenda2526!C245,'CAL8'!A:A,0)+2,2,4,1,"CAL8")),"")</f>
        <v/>
      </c>
      <c r="AV244" s="21">
        <f ca="1">IF(CALC2223!BE244&gt;2,INDIRECT(ADDRESS(MATCH(Agenda2526!C245,'CAL8'!A:A,0)+2,3,4,1,"CAL8")),0)</f>
        <v>0</v>
      </c>
      <c r="AW244" s="107"/>
      <c r="AX244" s="20">
        <f>COUNTIF('CAL1'!A:A,Agenda2526!C245)</f>
        <v>0</v>
      </c>
      <c r="AY244" s="20">
        <f>COUNTIF('CAL2'!A:A,Agenda2526!C245)</f>
        <v>0</v>
      </c>
      <c r="AZ244" s="20">
        <f>COUNTIF('CAL3'!A:A,Agenda2526!C245)</f>
        <v>0</v>
      </c>
      <c r="BA244" s="20">
        <f>COUNTIF('CAL4'!A:A,Agenda2526!C245)</f>
        <v>0</v>
      </c>
      <c r="BB244" s="20">
        <f>COUNTIF('CAL5'!A:A,Agenda2526!C245)</f>
        <v>0</v>
      </c>
      <c r="BC244" s="20">
        <f>COUNTIF('CAL6'!A:A,Agenda2526!C245)</f>
        <v>0</v>
      </c>
      <c r="BD244" s="20">
        <f>COUNTIF('CAL7'!A:A,Agenda2526!C245)</f>
        <v>0</v>
      </c>
      <c r="BE244" s="20">
        <f>COUNTIF('CAL8'!A:A,Agenda2526!C245)</f>
        <v>0</v>
      </c>
    </row>
    <row r="245" spans="1:57" ht="15.75" customHeight="1">
      <c r="A245" s="20" t="str">
        <f ca="1">IF(CALC2223!AX245&gt;0,INDIRECT(ADDRESS(MATCH(Agenda2526!C246,'CAL1'!A:A,0),2,4,1,"CAL1")),"")</f>
        <v/>
      </c>
      <c r="B245" s="21">
        <f ca="1">IF(CALC2223!AX245&gt;0,INDIRECT(ADDRESS(MATCH(Agenda2526!C246,'CAL1'!A:A,0),3,4,1,"CAL1")),0)</f>
        <v>0</v>
      </c>
      <c r="C245" s="20" t="str">
        <f ca="1">IF(CALC2223!AX245&gt;1,INDIRECT(ADDRESS(MATCH(Agenda2526!C246,'CAL1'!A:A,0)+1,2,4,1,"CAL1")),"")</f>
        <v/>
      </c>
      <c r="D245" s="21">
        <f ca="1">IF(CALC2223!AX245&gt;1,INDIRECT(ADDRESS(MATCH(Agenda2526!C246,'CAL1'!A:A,0)+1,3,4,1,"CAL1")),0)</f>
        <v>0</v>
      </c>
      <c r="E245" s="20" t="str">
        <f ca="1">IF(CALC2223!AX245&gt;2,INDIRECT(ADDRESS(MATCH(Agenda2526!C246,'CAL1'!A:A,0)+2,2,4,1,"CAL1")),"")</f>
        <v/>
      </c>
      <c r="F245" s="21">
        <f ca="1">IF(CALC2223!AX245&gt;2,INDIRECT(ADDRESS(MATCH(Agenda2526!C246,'CAL1'!A:A,0)+2,3,4,1,"CAL1")),0)</f>
        <v>0</v>
      </c>
      <c r="G245" s="20" t="str">
        <f ca="1">IF(CALC2223!AY245&gt;0,INDIRECT(ADDRESS(MATCH(Agenda2526!C246,'CAL2'!A:A,0),2,4,1,"CAL2")),"")</f>
        <v/>
      </c>
      <c r="H245" s="21">
        <f ca="1">IF(CALC2223!AY245&gt;0,INDIRECT(ADDRESS(MATCH(Agenda2526!C246,'CAL2'!A:A,0),3,4,1,"CAL2")),0)</f>
        <v>0</v>
      </c>
      <c r="I245" s="20" t="str">
        <f ca="1">IF(CALC2223!AY245&gt;1,INDIRECT(ADDRESS(MATCH(Agenda2526!C246,'CAL2'!A:A,0)+1,2,4,1,"CAL2")),"")</f>
        <v/>
      </c>
      <c r="J245" s="21">
        <f ca="1">IF(CALC2223!AY245&gt;1,INDIRECT(ADDRESS(MATCH(Agenda2526!C246,'CAL2'!A:A,0)+1,3,4,1,"CAL2")),0)</f>
        <v>0</v>
      </c>
      <c r="K245" s="20" t="str">
        <f ca="1">IF(CALC2223!AY245&gt;2,INDIRECT(ADDRESS(MATCH(Agenda2526!C246,'CAL2'!A:A,0)+2,2,4,1,"CAL2")),"")</f>
        <v/>
      </c>
      <c r="L245" s="21">
        <f ca="1">IF(CALC2223!AY245&gt;2,INDIRECT(ADDRESS(MATCH(Agenda2526!C246,'CAL2'!A:A,0)+2,3,4,1,"CAL2")),0)</f>
        <v>0</v>
      </c>
      <c r="M245" s="20" t="str">
        <f ca="1">IF(CALC2223!AZ245&gt;0,INDIRECT(ADDRESS(MATCH(Agenda2526!C246,'CAL3'!A:A,0),2,4,1,"CAL3")),"")</f>
        <v/>
      </c>
      <c r="N245" s="21">
        <f ca="1">IF(CALC2223!AZ245&gt;0,INDIRECT(ADDRESS(MATCH(Agenda2526!C246,'CAL3'!A:A,0),3,4,1,"CAL3")),0)</f>
        <v>0</v>
      </c>
      <c r="O245" s="20" t="str">
        <f ca="1">IF(CALC2223!AZ245&gt;1,INDIRECT(ADDRESS(MATCH(Agenda2526!C246,'CAL3'!A:A,0)+1,2,4,1,"CAL3")),"")</f>
        <v/>
      </c>
      <c r="P245" s="21">
        <f ca="1">IF(CALC2223!AZ245&gt;1,INDIRECT(ADDRESS(MATCH(Agenda2526!C246,'CAL3'!A:A,0)+1,3,4,1,"CAL3")),0)</f>
        <v>0</v>
      </c>
      <c r="Q245" s="20" t="str">
        <f ca="1">IF(CALC2223!AZ245&gt;2,INDIRECT(ADDRESS(MATCH(Agenda2526!C246,'CAL3'!A:A,0)+2,2,4,1,"CAL3")),"")</f>
        <v/>
      </c>
      <c r="R245" s="21">
        <f ca="1">IF(CALC2223!AZ245&gt;2,INDIRECT(ADDRESS(MATCH(Agenda2526!C246,'CAL3'!A:A,0)+2,3,4,1,"CAL3")),0)</f>
        <v>0</v>
      </c>
      <c r="S245" s="20" t="str">
        <f ca="1">IF(CALC2223!BA245&gt;0,INDIRECT(ADDRESS(MATCH(Agenda2526!C246,'CAL4'!A:A,0),2,4,1,"CAL4")),"")</f>
        <v/>
      </c>
      <c r="T245" s="21">
        <f ca="1">IF(CALC2223!BA245&gt;0,INDIRECT(ADDRESS(MATCH(Agenda2526!C246,'CAL4'!A:A,0),3,4,1,"CAL4")),0)</f>
        <v>0</v>
      </c>
      <c r="U245" s="20" t="str">
        <f ca="1">IF(CALC2223!BA245&gt;1,INDIRECT(ADDRESS(MATCH(Agenda2526!C246,'CAL4'!A:A,0)+1,2,4,1,"CAL4")),"")</f>
        <v/>
      </c>
      <c r="V245" s="21">
        <f ca="1">IF(CALC2223!BA245&gt;1,INDIRECT(ADDRESS(MATCH(Agenda2526!C246,'CAL4'!A:A,0)+1,3,4,1,"CAL4")),0)</f>
        <v>0</v>
      </c>
      <c r="W245" s="20" t="str">
        <f ca="1">IF(CALC2223!BA245&gt;2,INDIRECT(ADDRESS(MATCH(Agenda2526!C246,'CAL4'!A:A,0)+2,2,4,1,"CAL4")),"")</f>
        <v/>
      </c>
      <c r="X245" s="21">
        <f ca="1">IF(CALC2223!BA245&gt;2,INDIRECT(ADDRESS(MATCH(Agenda2526!C246,'CAL4'!A:A,0)+2,3,4,1,"CAL4")),0)</f>
        <v>0</v>
      </c>
      <c r="Y245" s="20" t="str">
        <f ca="1">IF(CALC2223!BB245&gt;0,INDIRECT(ADDRESS(MATCH(Agenda2526!C246,'CAL5'!A:A,0),2,4,1,"CAL5")),"")</f>
        <v/>
      </c>
      <c r="Z245" s="21">
        <f ca="1">IF(CALC2223!BB245&gt;0,INDIRECT(ADDRESS(MATCH(Agenda2526!C246,'CAL5'!A:A,0),3,4,1,"CAL5")),0)</f>
        <v>0</v>
      </c>
      <c r="AA245" s="20" t="str">
        <f ca="1">IF(CALC2223!BB245&gt;1,INDIRECT(ADDRESS(MATCH(Agenda2526!C246,'CAL5'!A:A,0)+1,2,4,1,"CAL5")),"")</f>
        <v/>
      </c>
      <c r="AB245" s="21">
        <f ca="1">IF(CALC2223!BB245&gt;1,INDIRECT(ADDRESS(MATCH(Agenda2526!C246,'CAL5'!A:A,0)+1,3,4,1,"CAL5")),0)</f>
        <v>0</v>
      </c>
      <c r="AC245" s="20" t="str">
        <f ca="1">IF(CALC2223!BB245&gt;2,INDIRECT(ADDRESS(MATCH(Agenda2526!C246,'CAL5'!A:A,0)+2,2,4,1,"CAL5")),"")</f>
        <v/>
      </c>
      <c r="AD245" s="21">
        <f ca="1">IF(CALC2223!BB245&gt;2,INDIRECT(ADDRESS(MATCH(Agenda2526!C246,'CAL5'!A:A,0)+2,3,4,1,"CAL5")),0)</f>
        <v>0</v>
      </c>
      <c r="AE245" s="20" t="str">
        <f ca="1">IF(CALC2223!BC245&gt;0,INDIRECT(ADDRESS(MATCH(Agenda2526!C246,'CAL6'!A:A,0),2,4,1,"CAL6")),"")</f>
        <v/>
      </c>
      <c r="AF245" s="21">
        <f ca="1">IF(CALC2223!BC245&gt;0,INDIRECT(ADDRESS(MATCH(Agenda2526!C246,'CAL6'!A:A,0),3,4,1,"CAL6")),0)</f>
        <v>0</v>
      </c>
      <c r="AG245" s="20" t="str">
        <f ca="1">IF(CALC2223!BC245&gt;1,INDIRECT(ADDRESS(MATCH(Agenda2526!C246,'CAL6'!A:A,0)+1,2,4,1,"CAL6")),"")</f>
        <v/>
      </c>
      <c r="AH245" s="21">
        <f ca="1">IF(CALC2223!BC245&gt;1,INDIRECT(ADDRESS(MATCH(Agenda2526!C246,'CAL6'!A:A,0)+1,3,4,1,"CAL6")),0)</f>
        <v>0</v>
      </c>
      <c r="AI245" s="20" t="str">
        <f ca="1">IF(CALC2223!BC245&gt;2,INDIRECT(ADDRESS(MATCH(Agenda2526!C246,'CAL6'!A:A,0)+2,2,4,1,"CAL6")),"")</f>
        <v/>
      </c>
      <c r="AJ245" s="21">
        <f ca="1">IF(CALC2223!BC245&gt;2,INDIRECT(ADDRESS(MATCH(Agenda2526!C246,'CAL6'!A:A,0)+2,3,4,1,"CAL6")),0)</f>
        <v>0</v>
      </c>
      <c r="AK245" s="20" t="str">
        <f ca="1">IF(CALC2223!BD245&gt;0,INDIRECT(ADDRESS(MATCH(Agenda2526!C246,'CAL7'!A:A,0),2,4,1,"CAL7")),"")</f>
        <v/>
      </c>
      <c r="AL245" s="21">
        <f ca="1">IF(CALC2223!BD245&gt;0,INDIRECT(ADDRESS(MATCH(Agenda2526!C246,'CAL7'!A:A,0),3,4,1,"CAL7")),0)</f>
        <v>0</v>
      </c>
      <c r="AM245" s="20" t="str">
        <f ca="1">IF(CALC2223!BD245&gt;1,INDIRECT(ADDRESS(MATCH(Agenda2526!C246,'CAL7'!A:A,0)+1,2,4,1,"CAL7")),"")</f>
        <v/>
      </c>
      <c r="AN245" s="21">
        <f ca="1">IF(CALC2223!BD245&gt;1,INDIRECT(ADDRESS(MATCH(Agenda2526!C246,'CAL7'!A:A,0)+1,3,4,1,"CAL7")),0)</f>
        <v>0</v>
      </c>
      <c r="AO245" s="20" t="str">
        <f ca="1">IF(CALC2223!BD245&gt;2,INDIRECT(ADDRESS(MATCH(Agenda2526!C246,'CAL7'!A:A,0)+2,2,4,1,"CAL7")),"")</f>
        <v/>
      </c>
      <c r="AP245" s="21">
        <f ca="1">IF(CALC2223!BD245&gt;2,INDIRECT(ADDRESS(MATCH(Agenda2526!C246,'CAL7'!A:A,0)+2,3,4,1,"CAL7")),0)</f>
        <v>0</v>
      </c>
      <c r="AQ245" s="20" t="str">
        <f ca="1">IF(CALC2223!BE245&gt;0,INDIRECT(ADDRESS(MATCH(Agenda2526!C246,'CAL8'!A:A,0),2,4,1,"CAL8")),"")</f>
        <v/>
      </c>
      <c r="AR245" s="21">
        <f ca="1">IF(CALC2223!BE245&gt;0,INDIRECT(ADDRESS(MATCH(Agenda2526!C246,'CAL8'!A:A,0),3,4,1,"CAL8")),0)</f>
        <v>0</v>
      </c>
      <c r="AS245" s="20" t="str">
        <f ca="1">IF(CALC2223!BE245&gt;1,INDIRECT(ADDRESS(MATCH(Agenda2526!C246,'CAL8'!A:A,0)+1,2,4,1,"CAL8")),"")</f>
        <v/>
      </c>
      <c r="AT245" s="21">
        <f ca="1">IF(CALC2223!BE245&gt;1,INDIRECT(ADDRESS(MATCH(Agenda2526!C246,'CAL8'!A:A,0)+1,3,4,1,"CAL8")),0)</f>
        <v>0</v>
      </c>
      <c r="AU245" s="20" t="str">
        <f ca="1">IF(CALC2223!BE245&gt;2,INDIRECT(ADDRESS(MATCH(Agenda2526!C246,'CAL8'!A:A,0)+2,2,4,1,"CAL8")),"")</f>
        <v/>
      </c>
      <c r="AV245" s="21">
        <f ca="1">IF(CALC2223!BE245&gt;2,INDIRECT(ADDRESS(MATCH(Agenda2526!C246,'CAL8'!A:A,0)+2,3,4,1,"CAL8")),0)</f>
        <v>0</v>
      </c>
      <c r="AW245" s="106"/>
      <c r="AX245" s="20">
        <f>COUNTIF('CAL1'!A:A,Agenda2526!C246)</f>
        <v>0</v>
      </c>
      <c r="AY245" s="20">
        <f>COUNTIF('CAL2'!A:A,Agenda2526!C246)</f>
        <v>0</v>
      </c>
      <c r="AZ245" s="20">
        <f>COUNTIF('CAL3'!A:A,Agenda2526!C246)</f>
        <v>0</v>
      </c>
      <c r="BA245" s="20">
        <f>COUNTIF('CAL4'!A:A,Agenda2526!C246)</f>
        <v>0</v>
      </c>
      <c r="BB245" s="20">
        <f>COUNTIF('CAL5'!A:A,Agenda2526!C246)</f>
        <v>0</v>
      </c>
      <c r="BC245" s="20">
        <f>COUNTIF('CAL6'!A:A,Agenda2526!C246)</f>
        <v>0</v>
      </c>
      <c r="BD245" s="20">
        <f>COUNTIF('CAL7'!A:A,Agenda2526!C246)</f>
        <v>0</v>
      </c>
      <c r="BE245" s="20">
        <f>COUNTIF('CAL8'!A:A,Agenda2526!C246)</f>
        <v>0</v>
      </c>
    </row>
    <row r="246" spans="1:57" ht="15.75" customHeight="1">
      <c r="A246" s="20" t="str">
        <f ca="1">IF(CALC2223!AX246&gt;0,INDIRECT(ADDRESS(MATCH(Agenda2526!C247,'CAL1'!A:A,0),2,4,1,"CAL1")),"")</f>
        <v/>
      </c>
      <c r="B246" s="21">
        <f ca="1">IF(CALC2223!AX246&gt;0,INDIRECT(ADDRESS(MATCH(Agenda2526!C247,'CAL1'!A:A,0),3,4,1,"CAL1")),0)</f>
        <v>0</v>
      </c>
      <c r="C246" s="20" t="str">
        <f ca="1">IF(CALC2223!AX246&gt;1,INDIRECT(ADDRESS(MATCH(Agenda2526!C247,'CAL1'!A:A,0)+1,2,4,1,"CAL1")),"")</f>
        <v/>
      </c>
      <c r="D246" s="21">
        <f ca="1">IF(CALC2223!AX246&gt;1,INDIRECT(ADDRESS(MATCH(Agenda2526!C247,'CAL1'!A:A,0)+1,3,4,1,"CAL1")),0)</f>
        <v>0</v>
      </c>
      <c r="E246" s="20" t="str">
        <f ca="1">IF(CALC2223!AX246&gt;2,INDIRECT(ADDRESS(MATCH(Agenda2526!C247,'CAL1'!A:A,0)+2,2,4,1,"CAL1")),"")</f>
        <v/>
      </c>
      <c r="F246" s="21">
        <f ca="1">IF(CALC2223!AX246&gt;2,INDIRECT(ADDRESS(MATCH(Agenda2526!C247,'CAL1'!A:A,0)+2,3,4,1,"CAL1")),0)</f>
        <v>0</v>
      </c>
      <c r="G246" s="20" t="str">
        <f ca="1">IF(CALC2223!AY246&gt;0,INDIRECT(ADDRESS(MATCH(Agenda2526!C247,'CAL2'!A:A,0),2,4,1,"CAL2")),"")</f>
        <v/>
      </c>
      <c r="H246" s="21">
        <f ca="1">IF(CALC2223!AY246&gt;0,INDIRECT(ADDRESS(MATCH(Agenda2526!C247,'CAL2'!A:A,0),3,4,1,"CAL2")),0)</f>
        <v>0</v>
      </c>
      <c r="I246" s="20" t="str">
        <f ca="1">IF(CALC2223!AY246&gt;1,INDIRECT(ADDRESS(MATCH(Agenda2526!C247,'CAL2'!A:A,0)+1,2,4,1,"CAL2")),"")</f>
        <v/>
      </c>
      <c r="J246" s="21">
        <f ca="1">IF(CALC2223!AY246&gt;1,INDIRECT(ADDRESS(MATCH(Agenda2526!C247,'CAL2'!A:A,0)+1,3,4,1,"CAL2")),0)</f>
        <v>0</v>
      </c>
      <c r="K246" s="20" t="str">
        <f ca="1">IF(CALC2223!AY246&gt;2,INDIRECT(ADDRESS(MATCH(Agenda2526!C247,'CAL2'!A:A,0)+2,2,4,1,"CAL2")),"")</f>
        <v/>
      </c>
      <c r="L246" s="21">
        <f ca="1">IF(CALC2223!AY246&gt;2,INDIRECT(ADDRESS(MATCH(Agenda2526!C247,'CAL2'!A:A,0)+2,3,4,1,"CAL2")),0)</f>
        <v>0</v>
      </c>
      <c r="M246" s="20" t="str">
        <f ca="1">IF(CALC2223!AZ246&gt;0,INDIRECT(ADDRESS(MATCH(Agenda2526!C247,'CAL3'!A:A,0),2,4,1,"CAL3")),"")</f>
        <v/>
      </c>
      <c r="N246" s="21">
        <f ca="1">IF(CALC2223!AZ246&gt;0,INDIRECT(ADDRESS(MATCH(Agenda2526!C247,'CAL3'!A:A,0),3,4,1,"CAL3")),0)</f>
        <v>0</v>
      </c>
      <c r="O246" s="20" t="str">
        <f ca="1">IF(CALC2223!AZ246&gt;1,INDIRECT(ADDRESS(MATCH(Agenda2526!C247,'CAL3'!A:A,0)+1,2,4,1,"CAL3")),"")</f>
        <v/>
      </c>
      <c r="P246" s="21">
        <f ca="1">IF(CALC2223!AZ246&gt;1,INDIRECT(ADDRESS(MATCH(Agenda2526!C247,'CAL3'!A:A,0)+1,3,4,1,"CAL3")),0)</f>
        <v>0</v>
      </c>
      <c r="Q246" s="20" t="str">
        <f ca="1">IF(CALC2223!AZ246&gt;2,INDIRECT(ADDRESS(MATCH(Agenda2526!C247,'CAL3'!A:A,0)+2,2,4,1,"CAL3")),"")</f>
        <v/>
      </c>
      <c r="R246" s="21">
        <f ca="1">IF(CALC2223!AZ246&gt;2,INDIRECT(ADDRESS(MATCH(Agenda2526!C247,'CAL3'!A:A,0)+2,3,4,1,"CAL3")),0)</f>
        <v>0</v>
      </c>
      <c r="S246" s="20" t="str">
        <f ca="1">IF(CALC2223!BA246&gt;0,INDIRECT(ADDRESS(MATCH(Agenda2526!C247,'CAL4'!A:A,0),2,4,1,"CAL4")),"")</f>
        <v/>
      </c>
      <c r="T246" s="21">
        <f ca="1">IF(CALC2223!BA246&gt;0,INDIRECT(ADDRESS(MATCH(Agenda2526!C247,'CAL4'!A:A,0),3,4,1,"CAL4")),0)</f>
        <v>0</v>
      </c>
      <c r="U246" s="20" t="str">
        <f ca="1">IF(CALC2223!BA246&gt;1,INDIRECT(ADDRESS(MATCH(Agenda2526!C247,'CAL4'!A:A,0)+1,2,4,1,"CAL4")),"")</f>
        <v/>
      </c>
      <c r="V246" s="21">
        <f ca="1">IF(CALC2223!BA246&gt;1,INDIRECT(ADDRESS(MATCH(Agenda2526!C247,'CAL4'!A:A,0)+1,3,4,1,"CAL4")),0)</f>
        <v>0</v>
      </c>
      <c r="W246" s="20" t="str">
        <f ca="1">IF(CALC2223!BA246&gt;2,INDIRECT(ADDRESS(MATCH(Agenda2526!C247,'CAL4'!A:A,0)+2,2,4,1,"CAL4")),"")</f>
        <v/>
      </c>
      <c r="X246" s="21">
        <f ca="1">IF(CALC2223!BA246&gt;2,INDIRECT(ADDRESS(MATCH(Agenda2526!C247,'CAL4'!A:A,0)+2,3,4,1,"CAL4")),0)</f>
        <v>0</v>
      </c>
      <c r="Y246" s="20" t="str">
        <f ca="1">IF(CALC2223!BB246&gt;0,INDIRECT(ADDRESS(MATCH(Agenda2526!C247,'CAL5'!A:A,0),2,4,1,"CAL5")),"")</f>
        <v/>
      </c>
      <c r="Z246" s="21">
        <f ca="1">IF(CALC2223!BB246&gt;0,INDIRECT(ADDRESS(MATCH(Agenda2526!C247,'CAL5'!A:A,0),3,4,1,"CAL5")),0)</f>
        <v>0</v>
      </c>
      <c r="AA246" s="20" t="str">
        <f ca="1">IF(CALC2223!BB246&gt;1,INDIRECT(ADDRESS(MATCH(Agenda2526!C247,'CAL5'!A:A,0)+1,2,4,1,"CAL5")),"")</f>
        <v/>
      </c>
      <c r="AB246" s="21">
        <f ca="1">IF(CALC2223!BB246&gt;1,INDIRECT(ADDRESS(MATCH(Agenda2526!C247,'CAL5'!A:A,0)+1,3,4,1,"CAL5")),0)</f>
        <v>0</v>
      </c>
      <c r="AC246" s="20" t="str">
        <f ca="1">IF(CALC2223!BB246&gt;2,INDIRECT(ADDRESS(MATCH(Agenda2526!C247,'CAL5'!A:A,0)+2,2,4,1,"CAL5")),"")</f>
        <v/>
      </c>
      <c r="AD246" s="21">
        <f ca="1">IF(CALC2223!BB246&gt;2,INDIRECT(ADDRESS(MATCH(Agenda2526!C247,'CAL5'!A:A,0)+2,3,4,1,"CAL5")),0)</f>
        <v>0</v>
      </c>
      <c r="AE246" s="20" t="str">
        <f ca="1">IF(CALC2223!BC246&gt;0,INDIRECT(ADDRESS(MATCH(Agenda2526!C247,'CAL6'!A:A,0),2,4,1,"CAL6")),"")</f>
        <v/>
      </c>
      <c r="AF246" s="21">
        <f ca="1">IF(CALC2223!BC246&gt;0,INDIRECT(ADDRESS(MATCH(Agenda2526!C247,'CAL6'!A:A,0),3,4,1,"CAL6")),0)</f>
        <v>0</v>
      </c>
      <c r="AG246" s="20" t="str">
        <f ca="1">IF(CALC2223!BC246&gt;1,INDIRECT(ADDRESS(MATCH(Agenda2526!C247,'CAL6'!A:A,0)+1,2,4,1,"CAL6")),"")</f>
        <v/>
      </c>
      <c r="AH246" s="21">
        <f ca="1">IF(CALC2223!BC246&gt;1,INDIRECT(ADDRESS(MATCH(Agenda2526!C247,'CAL6'!A:A,0)+1,3,4,1,"CAL6")),0)</f>
        <v>0</v>
      </c>
      <c r="AI246" s="20" t="str">
        <f ca="1">IF(CALC2223!BC246&gt;2,INDIRECT(ADDRESS(MATCH(Agenda2526!C247,'CAL6'!A:A,0)+2,2,4,1,"CAL6")),"")</f>
        <v/>
      </c>
      <c r="AJ246" s="21">
        <f ca="1">IF(CALC2223!BC246&gt;2,INDIRECT(ADDRESS(MATCH(Agenda2526!C247,'CAL6'!A:A,0)+2,3,4,1,"CAL6")),0)</f>
        <v>0</v>
      </c>
      <c r="AK246" s="20" t="str">
        <f ca="1">IF(CALC2223!BD246&gt;0,INDIRECT(ADDRESS(MATCH(Agenda2526!C247,'CAL7'!A:A,0),2,4,1,"CAL7")),"")</f>
        <v/>
      </c>
      <c r="AL246" s="21">
        <f ca="1">IF(CALC2223!BD246&gt;0,INDIRECT(ADDRESS(MATCH(Agenda2526!C247,'CAL7'!A:A,0),3,4,1,"CAL7")),0)</f>
        <v>0</v>
      </c>
      <c r="AM246" s="20" t="str">
        <f ca="1">IF(CALC2223!BD246&gt;1,INDIRECT(ADDRESS(MATCH(Agenda2526!C247,'CAL7'!A:A,0)+1,2,4,1,"CAL7")),"")</f>
        <v/>
      </c>
      <c r="AN246" s="21">
        <f ca="1">IF(CALC2223!BD246&gt;1,INDIRECT(ADDRESS(MATCH(Agenda2526!C247,'CAL7'!A:A,0)+1,3,4,1,"CAL7")),0)</f>
        <v>0</v>
      </c>
      <c r="AO246" s="20" t="str">
        <f ca="1">IF(CALC2223!BD246&gt;2,INDIRECT(ADDRESS(MATCH(Agenda2526!C247,'CAL7'!A:A,0)+2,2,4,1,"CAL7")),"")</f>
        <v/>
      </c>
      <c r="AP246" s="21">
        <f ca="1">IF(CALC2223!BD246&gt;2,INDIRECT(ADDRESS(MATCH(Agenda2526!C247,'CAL7'!A:A,0)+2,3,4,1,"CAL7")),0)</f>
        <v>0</v>
      </c>
      <c r="AQ246" s="20" t="str">
        <f ca="1">IF(CALC2223!BE246&gt;0,INDIRECT(ADDRESS(MATCH(Agenda2526!C247,'CAL8'!A:A,0),2,4,1,"CAL8")),"")</f>
        <v/>
      </c>
      <c r="AR246" s="21">
        <f ca="1">IF(CALC2223!BE246&gt;0,INDIRECT(ADDRESS(MATCH(Agenda2526!C247,'CAL8'!A:A,0),3,4,1,"CAL8")),0)</f>
        <v>0</v>
      </c>
      <c r="AS246" s="20" t="str">
        <f ca="1">IF(CALC2223!BE246&gt;1,INDIRECT(ADDRESS(MATCH(Agenda2526!C247,'CAL8'!A:A,0)+1,2,4,1,"CAL8")),"")</f>
        <v/>
      </c>
      <c r="AT246" s="21">
        <f ca="1">IF(CALC2223!BE246&gt;1,INDIRECT(ADDRESS(MATCH(Agenda2526!C247,'CAL8'!A:A,0)+1,3,4,1,"CAL8")),0)</f>
        <v>0</v>
      </c>
      <c r="AU246" s="20" t="str">
        <f ca="1">IF(CALC2223!BE246&gt;2,INDIRECT(ADDRESS(MATCH(Agenda2526!C247,'CAL8'!A:A,0)+2,2,4,1,"CAL8")),"")</f>
        <v/>
      </c>
      <c r="AV246" s="21">
        <f ca="1">IF(CALC2223!BE246&gt;2,INDIRECT(ADDRESS(MATCH(Agenda2526!C247,'CAL8'!A:A,0)+2,3,4,1,"CAL8")),0)</f>
        <v>0</v>
      </c>
      <c r="AW246" s="106"/>
      <c r="AX246" s="20">
        <f>COUNTIF('CAL1'!A:A,Agenda2526!C247)</f>
        <v>0</v>
      </c>
      <c r="AY246" s="20">
        <f>COUNTIF('CAL2'!A:A,Agenda2526!C247)</f>
        <v>0</v>
      </c>
      <c r="AZ246" s="20">
        <f>COUNTIF('CAL3'!A:A,Agenda2526!C247)</f>
        <v>0</v>
      </c>
      <c r="BA246" s="20">
        <f>COUNTIF('CAL4'!A:A,Agenda2526!C247)</f>
        <v>0</v>
      </c>
      <c r="BB246" s="20">
        <f>COUNTIF('CAL5'!A:A,Agenda2526!C247)</f>
        <v>0</v>
      </c>
      <c r="BC246" s="20">
        <f>COUNTIF('CAL6'!A:A,Agenda2526!C247)</f>
        <v>0</v>
      </c>
      <c r="BD246" s="20">
        <f>COUNTIF('CAL7'!A:A,Agenda2526!C247)</f>
        <v>0</v>
      </c>
      <c r="BE246" s="20">
        <f>COUNTIF('CAL8'!A:A,Agenda2526!C247)</f>
        <v>0</v>
      </c>
    </row>
    <row r="247" spans="1:57" ht="15.75" customHeight="1">
      <c r="A247" s="20" t="str">
        <f ca="1">IF(CALC2223!AX247&gt;0,INDIRECT(ADDRESS(MATCH(Agenda2526!C248,'CAL1'!A:A,0),2,4,1,"CAL1")),"")</f>
        <v/>
      </c>
      <c r="B247" s="21">
        <f ca="1">IF(CALC2223!AX247&gt;0,INDIRECT(ADDRESS(MATCH(Agenda2526!C248,'CAL1'!A:A,0),3,4,1,"CAL1")),0)</f>
        <v>0</v>
      </c>
      <c r="C247" s="20" t="str">
        <f ca="1">IF(CALC2223!AX247&gt;1,INDIRECT(ADDRESS(MATCH(Agenda2526!C248,'CAL1'!A:A,0)+1,2,4,1,"CAL1")),"")</f>
        <v/>
      </c>
      <c r="D247" s="21">
        <f ca="1">IF(CALC2223!AX247&gt;1,INDIRECT(ADDRESS(MATCH(Agenda2526!C248,'CAL1'!A:A,0)+1,3,4,1,"CAL1")),0)</f>
        <v>0</v>
      </c>
      <c r="E247" s="20" t="str">
        <f ca="1">IF(CALC2223!AX247&gt;2,INDIRECT(ADDRESS(MATCH(Agenda2526!C248,'CAL1'!A:A,0)+2,2,4,1,"CAL1")),"")</f>
        <v/>
      </c>
      <c r="F247" s="21">
        <f ca="1">IF(CALC2223!AX247&gt;2,INDIRECT(ADDRESS(MATCH(Agenda2526!C248,'CAL1'!A:A,0)+2,3,4,1,"CAL1")),0)</f>
        <v>0</v>
      </c>
      <c r="G247" s="20" t="str">
        <f ca="1">IF(CALC2223!AY247&gt;0,INDIRECT(ADDRESS(MATCH(Agenda2526!C248,'CAL2'!A:A,0),2,4,1,"CAL2")),"")</f>
        <v/>
      </c>
      <c r="H247" s="21">
        <f ca="1">IF(CALC2223!AY247&gt;0,INDIRECT(ADDRESS(MATCH(Agenda2526!C248,'CAL2'!A:A,0),3,4,1,"CAL2")),0)</f>
        <v>0</v>
      </c>
      <c r="I247" s="20" t="str">
        <f ca="1">IF(CALC2223!AY247&gt;1,INDIRECT(ADDRESS(MATCH(Agenda2526!C248,'CAL2'!A:A,0)+1,2,4,1,"CAL2")),"")</f>
        <v/>
      </c>
      <c r="J247" s="21">
        <f ca="1">IF(CALC2223!AY247&gt;1,INDIRECT(ADDRESS(MATCH(Agenda2526!C248,'CAL2'!A:A,0)+1,3,4,1,"CAL2")),0)</f>
        <v>0</v>
      </c>
      <c r="K247" s="20" t="str">
        <f ca="1">IF(CALC2223!AY247&gt;2,INDIRECT(ADDRESS(MATCH(Agenda2526!C248,'CAL2'!A:A,0)+2,2,4,1,"CAL2")),"")</f>
        <v/>
      </c>
      <c r="L247" s="21">
        <f ca="1">IF(CALC2223!AY247&gt;2,INDIRECT(ADDRESS(MATCH(Agenda2526!C248,'CAL2'!A:A,0)+2,3,4,1,"CAL2")),0)</f>
        <v>0</v>
      </c>
      <c r="M247" s="20" t="str">
        <f ca="1">IF(CALC2223!AZ247&gt;0,INDIRECT(ADDRESS(MATCH(Agenda2526!C248,'CAL3'!A:A,0),2,4,1,"CAL3")),"")</f>
        <v/>
      </c>
      <c r="N247" s="21">
        <f ca="1">IF(CALC2223!AZ247&gt;0,INDIRECT(ADDRESS(MATCH(Agenda2526!C248,'CAL3'!A:A,0),3,4,1,"CAL3")),0)</f>
        <v>0</v>
      </c>
      <c r="O247" s="20" t="str">
        <f ca="1">IF(CALC2223!AZ247&gt;1,INDIRECT(ADDRESS(MATCH(Agenda2526!C248,'CAL3'!A:A,0)+1,2,4,1,"CAL3")),"")</f>
        <v/>
      </c>
      <c r="P247" s="21">
        <f ca="1">IF(CALC2223!AZ247&gt;1,INDIRECT(ADDRESS(MATCH(Agenda2526!C248,'CAL3'!A:A,0)+1,3,4,1,"CAL3")),0)</f>
        <v>0</v>
      </c>
      <c r="Q247" s="20" t="str">
        <f ca="1">IF(CALC2223!AZ247&gt;2,INDIRECT(ADDRESS(MATCH(Agenda2526!C248,'CAL3'!A:A,0)+2,2,4,1,"CAL3")),"")</f>
        <v/>
      </c>
      <c r="R247" s="21">
        <f ca="1">IF(CALC2223!AZ247&gt;2,INDIRECT(ADDRESS(MATCH(Agenda2526!C248,'CAL3'!A:A,0)+2,3,4,1,"CAL3")),0)</f>
        <v>0</v>
      </c>
      <c r="S247" s="20" t="str">
        <f ca="1">IF(CALC2223!BA247&gt;0,INDIRECT(ADDRESS(MATCH(Agenda2526!C248,'CAL4'!A:A,0),2,4,1,"CAL4")),"")</f>
        <v/>
      </c>
      <c r="T247" s="21">
        <f ca="1">IF(CALC2223!BA247&gt;0,INDIRECT(ADDRESS(MATCH(Agenda2526!C248,'CAL4'!A:A,0),3,4,1,"CAL4")),0)</f>
        <v>0</v>
      </c>
      <c r="U247" s="20" t="str">
        <f ca="1">IF(CALC2223!BA247&gt;1,INDIRECT(ADDRESS(MATCH(Agenda2526!C248,'CAL4'!A:A,0)+1,2,4,1,"CAL4")),"")</f>
        <v/>
      </c>
      <c r="V247" s="21">
        <f ca="1">IF(CALC2223!BA247&gt;1,INDIRECT(ADDRESS(MATCH(Agenda2526!C248,'CAL4'!A:A,0)+1,3,4,1,"CAL4")),0)</f>
        <v>0</v>
      </c>
      <c r="W247" s="20" t="str">
        <f ca="1">IF(CALC2223!BA247&gt;2,INDIRECT(ADDRESS(MATCH(Agenda2526!C248,'CAL4'!A:A,0)+2,2,4,1,"CAL4")),"")</f>
        <v/>
      </c>
      <c r="X247" s="21">
        <f ca="1">IF(CALC2223!BA247&gt;2,INDIRECT(ADDRESS(MATCH(Agenda2526!C248,'CAL4'!A:A,0)+2,3,4,1,"CAL4")),0)</f>
        <v>0</v>
      </c>
      <c r="Y247" s="20" t="str">
        <f ca="1">IF(CALC2223!BB247&gt;0,INDIRECT(ADDRESS(MATCH(Agenda2526!C248,'CAL5'!A:A,0),2,4,1,"CAL5")),"")</f>
        <v/>
      </c>
      <c r="Z247" s="21">
        <f ca="1">IF(CALC2223!BB247&gt;0,INDIRECT(ADDRESS(MATCH(Agenda2526!C248,'CAL5'!A:A,0),3,4,1,"CAL5")),0)</f>
        <v>0</v>
      </c>
      <c r="AA247" s="20" t="str">
        <f ca="1">IF(CALC2223!BB247&gt;1,INDIRECT(ADDRESS(MATCH(Agenda2526!C248,'CAL5'!A:A,0)+1,2,4,1,"CAL5")),"")</f>
        <v/>
      </c>
      <c r="AB247" s="21">
        <f ca="1">IF(CALC2223!BB247&gt;1,INDIRECT(ADDRESS(MATCH(Agenda2526!C248,'CAL5'!A:A,0)+1,3,4,1,"CAL5")),0)</f>
        <v>0</v>
      </c>
      <c r="AC247" s="20" t="str">
        <f ca="1">IF(CALC2223!BB247&gt;2,INDIRECT(ADDRESS(MATCH(Agenda2526!C248,'CAL5'!A:A,0)+2,2,4,1,"CAL5")),"")</f>
        <v/>
      </c>
      <c r="AD247" s="21">
        <f ca="1">IF(CALC2223!BB247&gt;2,INDIRECT(ADDRESS(MATCH(Agenda2526!C248,'CAL5'!A:A,0)+2,3,4,1,"CAL5")),0)</f>
        <v>0</v>
      </c>
      <c r="AE247" s="20" t="str">
        <f ca="1">IF(CALC2223!BC247&gt;0,INDIRECT(ADDRESS(MATCH(Agenda2526!C248,'CAL6'!A:A,0),2,4,1,"CAL6")),"")</f>
        <v/>
      </c>
      <c r="AF247" s="21">
        <f ca="1">IF(CALC2223!BC247&gt;0,INDIRECT(ADDRESS(MATCH(Agenda2526!C248,'CAL6'!A:A,0),3,4,1,"CAL6")),0)</f>
        <v>0</v>
      </c>
      <c r="AG247" s="20" t="str">
        <f ca="1">IF(CALC2223!BC247&gt;1,INDIRECT(ADDRESS(MATCH(Agenda2526!C248,'CAL6'!A:A,0)+1,2,4,1,"CAL6")),"")</f>
        <v/>
      </c>
      <c r="AH247" s="21">
        <f ca="1">IF(CALC2223!BC247&gt;1,INDIRECT(ADDRESS(MATCH(Agenda2526!C248,'CAL6'!A:A,0)+1,3,4,1,"CAL6")),0)</f>
        <v>0</v>
      </c>
      <c r="AI247" s="20" t="str">
        <f ca="1">IF(CALC2223!BC247&gt;2,INDIRECT(ADDRESS(MATCH(Agenda2526!C248,'CAL6'!A:A,0)+2,2,4,1,"CAL6")),"")</f>
        <v/>
      </c>
      <c r="AJ247" s="21">
        <f ca="1">IF(CALC2223!BC247&gt;2,INDIRECT(ADDRESS(MATCH(Agenda2526!C248,'CAL6'!A:A,0)+2,3,4,1,"CAL6")),0)</f>
        <v>0</v>
      </c>
      <c r="AK247" s="20" t="str">
        <f ca="1">IF(CALC2223!BD247&gt;0,INDIRECT(ADDRESS(MATCH(Agenda2526!C248,'CAL7'!A:A,0),2,4,1,"CAL7")),"")</f>
        <v/>
      </c>
      <c r="AL247" s="21">
        <f ca="1">IF(CALC2223!BD247&gt;0,INDIRECT(ADDRESS(MATCH(Agenda2526!C248,'CAL7'!A:A,0),3,4,1,"CAL7")),0)</f>
        <v>0</v>
      </c>
      <c r="AM247" s="20" t="str">
        <f ca="1">IF(CALC2223!BD247&gt;1,INDIRECT(ADDRESS(MATCH(Agenda2526!C248,'CAL7'!A:A,0)+1,2,4,1,"CAL7")),"")</f>
        <v/>
      </c>
      <c r="AN247" s="21">
        <f ca="1">IF(CALC2223!BD247&gt;1,INDIRECT(ADDRESS(MATCH(Agenda2526!C248,'CAL7'!A:A,0)+1,3,4,1,"CAL7")),0)</f>
        <v>0</v>
      </c>
      <c r="AO247" s="20" t="str">
        <f ca="1">IF(CALC2223!BD247&gt;2,INDIRECT(ADDRESS(MATCH(Agenda2526!C248,'CAL7'!A:A,0)+2,2,4,1,"CAL7")),"")</f>
        <v/>
      </c>
      <c r="AP247" s="21">
        <f ca="1">IF(CALC2223!BD247&gt;2,INDIRECT(ADDRESS(MATCH(Agenda2526!C248,'CAL7'!A:A,0)+2,3,4,1,"CAL7")),0)</f>
        <v>0</v>
      </c>
      <c r="AQ247" s="20" t="str">
        <f ca="1">IF(CALC2223!BE247&gt;0,INDIRECT(ADDRESS(MATCH(Agenda2526!C248,'CAL8'!A:A,0),2,4,1,"CAL8")),"")</f>
        <v/>
      </c>
      <c r="AR247" s="21">
        <f ca="1">IF(CALC2223!BE247&gt;0,INDIRECT(ADDRESS(MATCH(Agenda2526!C248,'CAL8'!A:A,0),3,4,1,"CAL8")),0)</f>
        <v>0</v>
      </c>
      <c r="AS247" s="20" t="str">
        <f ca="1">IF(CALC2223!BE247&gt;1,INDIRECT(ADDRESS(MATCH(Agenda2526!C248,'CAL8'!A:A,0)+1,2,4,1,"CAL8")),"")</f>
        <v/>
      </c>
      <c r="AT247" s="21">
        <f ca="1">IF(CALC2223!BE247&gt;1,INDIRECT(ADDRESS(MATCH(Agenda2526!C248,'CAL8'!A:A,0)+1,3,4,1,"CAL8")),0)</f>
        <v>0</v>
      </c>
      <c r="AU247" s="20" t="str">
        <f ca="1">IF(CALC2223!BE247&gt;2,INDIRECT(ADDRESS(MATCH(Agenda2526!C248,'CAL8'!A:A,0)+2,2,4,1,"CAL8")),"")</f>
        <v/>
      </c>
      <c r="AV247" s="21">
        <f ca="1">IF(CALC2223!BE247&gt;2,INDIRECT(ADDRESS(MATCH(Agenda2526!C248,'CAL8'!A:A,0)+2,3,4,1,"CAL8")),0)</f>
        <v>0</v>
      </c>
      <c r="AW247" s="107" t="s">
        <v>122</v>
      </c>
      <c r="AX247" s="20">
        <f>COUNTIF('CAL1'!A:A,Agenda2526!C248)</f>
        <v>0</v>
      </c>
      <c r="AY247" s="20">
        <f>COUNTIF('CAL2'!A:A,Agenda2526!C248)</f>
        <v>0</v>
      </c>
      <c r="AZ247" s="20">
        <f>COUNTIF('CAL3'!A:A,Agenda2526!C248)</f>
        <v>0</v>
      </c>
      <c r="BA247" s="20">
        <f>COUNTIF('CAL4'!A:A,Agenda2526!C248)</f>
        <v>0</v>
      </c>
      <c r="BB247" s="20">
        <f>COUNTIF('CAL5'!A:A,Agenda2526!C248)</f>
        <v>0</v>
      </c>
      <c r="BC247" s="20">
        <f>COUNTIF('CAL6'!A:A,Agenda2526!C248)</f>
        <v>0</v>
      </c>
      <c r="BD247" s="20">
        <f>COUNTIF('CAL7'!A:A,Agenda2526!C248)</f>
        <v>0</v>
      </c>
      <c r="BE247" s="20">
        <f>COUNTIF('CAL8'!A:A,Agenda2526!C248)</f>
        <v>0</v>
      </c>
    </row>
    <row r="248" spans="1:57" ht="15.75" customHeight="1">
      <c r="A248" s="20" t="str">
        <f ca="1">IF(CALC2223!AX248&gt;0,INDIRECT(ADDRESS(MATCH(Agenda2526!C249,'CAL1'!A:A,0),2,4,1,"CAL1")),"")</f>
        <v/>
      </c>
      <c r="B248" s="21">
        <f ca="1">IF(CALC2223!AX248&gt;0,INDIRECT(ADDRESS(MATCH(Agenda2526!C249,'CAL1'!A:A,0),3,4,1,"CAL1")),0)</f>
        <v>0</v>
      </c>
      <c r="C248" s="20" t="str">
        <f ca="1">IF(CALC2223!AX248&gt;1,INDIRECT(ADDRESS(MATCH(Agenda2526!C249,'CAL1'!A:A,0)+1,2,4,1,"CAL1")),"")</f>
        <v/>
      </c>
      <c r="D248" s="21">
        <f ca="1">IF(CALC2223!AX248&gt;1,INDIRECT(ADDRESS(MATCH(Agenda2526!C249,'CAL1'!A:A,0)+1,3,4,1,"CAL1")),0)</f>
        <v>0</v>
      </c>
      <c r="E248" s="20" t="str">
        <f ca="1">IF(CALC2223!AX248&gt;2,INDIRECT(ADDRESS(MATCH(Agenda2526!C249,'CAL1'!A:A,0)+2,2,4,1,"CAL1")),"")</f>
        <v/>
      </c>
      <c r="F248" s="21">
        <f ca="1">IF(CALC2223!AX248&gt;2,INDIRECT(ADDRESS(MATCH(Agenda2526!C249,'CAL1'!A:A,0)+2,3,4,1,"CAL1")),0)</f>
        <v>0</v>
      </c>
      <c r="G248" s="20" t="str">
        <f ca="1">IF(CALC2223!AY248&gt;0,INDIRECT(ADDRESS(MATCH(Agenda2526!C249,'CAL2'!A:A,0),2,4,1,"CAL2")),"")</f>
        <v/>
      </c>
      <c r="H248" s="21">
        <f ca="1">IF(CALC2223!AY248&gt;0,INDIRECT(ADDRESS(MATCH(Agenda2526!C249,'CAL2'!A:A,0),3,4,1,"CAL2")),0)</f>
        <v>0</v>
      </c>
      <c r="I248" s="20" t="str">
        <f ca="1">IF(CALC2223!AY248&gt;1,INDIRECT(ADDRESS(MATCH(Agenda2526!C249,'CAL2'!A:A,0)+1,2,4,1,"CAL2")),"")</f>
        <v/>
      </c>
      <c r="J248" s="21">
        <f ca="1">IF(CALC2223!AY248&gt;1,INDIRECT(ADDRESS(MATCH(Agenda2526!C249,'CAL2'!A:A,0)+1,3,4,1,"CAL2")),0)</f>
        <v>0</v>
      </c>
      <c r="K248" s="20" t="str">
        <f ca="1">IF(CALC2223!AY248&gt;2,INDIRECT(ADDRESS(MATCH(Agenda2526!C249,'CAL2'!A:A,0)+2,2,4,1,"CAL2")),"")</f>
        <v/>
      </c>
      <c r="L248" s="21">
        <f ca="1">IF(CALC2223!AY248&gt;2,INDIRECT(ADDRESS(MATCH(Agenda2526!C249,'CAL2'!A:A,0)+2,3,4,1,"CAL2")),0)</f>
        <v>0</v>
      </c>
      <c r="M248" s="20" t="str">
        <f ca="1">IF(CALC2223!AZ248&gt;0,INDIRECT(ADDRESS(MATCH(Agenda2526!C249,'CAL3'!A:A,0),2,4,1,"CAL3")),"")</f>
        <v/>
      </c>
      <c r="N248" s="21">
        <f ca="1">IF(CALC2223!AZ248&gt;0,INDIRECT(ADDRESS(MATCH(Agenda2526!C249,'CAL3'!A:A,0),3,4,1,"CAL3")),0)</f>
        <v>0</v>
      </c>
      <c r="O248" s="20" t="str">
        <f ca="1">IF(CALC2223!AZ248&gt;1,INDIRECT(ADDRESS(MATCH(Agenda2526!C249,'CAL3'!A:A,0)+1,2,4,1,"CAL3")),"")</f>
        <v/>
      </c>
      <c r="P248" s="21">
        <f ca="1">IF(CALC2223!AZ248&gt;1,INDIRECT(ADDRESS(MATCH(Agenda2526!C249,'CAL3'!A:A,0)+1,3,4,1,"CAL3")),0)</f>
        <v>0</v>
      </c>
      <c r="Q248" s="20" t="str">
        <f ca="1">IF(CALC2223!AZ248&gt;2,INDIRECT(ADDRESS(MATCH(Agenda2526!C249,'CAL3'!A:A,0)+2,2,4,1,"CAL3")),"")</f>
        <v/>
      </c>
      <c r="R248" s="21">
        <f ca="1">IF(CALC2223!AZ248&gt;2,INDIRECT(ADDRESS(MATCH(Agenda2526!C249,'CAL3'!A:A,0)+2,3,4,1,"CAL3")),0)</f>
        <v>0</v>
      </c>
      <c r="S248" s="20" t="str">
        <f ca="1">IF(CALC2223!BA248&gt;0,INDIRECT(ADDRESS(MATCH(Agenda2526!C249,'CAL4'!A:A,0),2,4,1,"CAL4")),"")</f>
        <v/>
      </c>
      <c r="T248" s="21">
        <f ca="1">IF(CALC2223!BA248&gt;0,INDIRECT(ADDRESS(MATCH(Agenda2526!C249,'CAL4'!A:A,0),3,4,1,"CAL4")),0)</f>
        <v>0</v>
      </c>
      <c r="U248" s="20" t="str">
        <f ca="1">IF(CALC2223!BA248&gt;1,INDIRECT(ADDRESS(MATCH(Agenda2526!C249,'CAL4'!A:A,0)+1,2,4,1,"CAL4")),"")</f>
        <v/>
      </c>
      <c r="V248" s="21">
        <f ca="1">IF(CALC2223!BA248&gt;1,INDIRECT(ADDRESS(MATCH(Agenda2526!C249,'CAL4'!A:A,0)+1,3,4,1,"CAL4")),0)</f>
        <v>0</v>
      </c>
      <c r="W248" s="20" t="str">
        <f ca="1">IF(CALC2223!BA248&gt;2,INDIRECT(ADDRESS(MATCH(Agenda2526!C249,'CAL4'!A:A,0)+2,2,4,1,"CAL4")),"")</f>
        <v/>
      </c>
      <c r="X248" s="21">
        <f ca="1">IF(CALC2223!BA248&gt;2,INDIRECT(ADDRESS(MATCH(Agenda2526!C249,'CAL4'!A:A,0)+2,3,4,1,"CAL4")),0)</f>
        <v>0</v>
      </c>
      <c r="Y248" s="20" t="str">
        <f ca="1">IF(CALC2223!BB248&gt;0,INDIRECT(ADDRESS(MATCH(Agenda2526!C249,'CAL5'!A:A,0),2,4,1,"CAL5")),"")</f>
        <v/>
      </c>
      <c r="Z248" s="21">
        <f ca="1">IF(CALC2223!BB248&gt;0,INDIRECT(ADDRESS(MATCH(Agenda2526!C249,'CAL5'!A:A,0),3,4,1,"CAL5")),0)</f>
        <v>0</v>
      </c>
      <c r="AA248" s="20" t="str">
        <f ca="1">IF(CALC2223!BB248&gt;1,INDIRECT(ADDRESS(MATCH(Agenda2526!C249,'CAL5'!A:A,0)+1,2,4,1,"CAL5")),"")</f>
        <v/>
      </c>
      <c r="AB248" s="21">
        <f ca="1">IF(CALC2223!BB248&gt;1,INDIRECT(ADDRESS(MATCH(Agenda2526!C249,'CAL5'!A:A,0)+1,3,4,1,"CAL5")),0)</f>
        <v>0</v>
      </c>
      <c r="AC248" s="20" t="str">
        <f ca="1">IF(CALC2223!BB248&gt;2,INDIRECT(ADDRESS(MATCH(Agenda2526!C249,'CAL5'!A:A,0)+2,2,4,1,"CAL5")),"")</f>
        <v/>
      </c>
      <c r="AD248" s="21">
        <f ca="1">IF(CALC2223!BB248&gt;2,INDIRECT(ADDRESS(MATCH(Agenda2526!C249,'CAL5'!A:A,0)+2,3,4,1,"CAL5")),0)</f>
        <v>0</v>
      </c>
      <c r="AE248" s="20" t="str">
        <f ca="1">IF(CALC2223!BC248&gt;0,INDIRECT(ADDRESS(MATCH(Agenda2526!C249,'CAL6'!A:A,0),2,4,1,"CAL6")),"")</f>
        <v/>
      </c>
      <c r="AF248" s="21">
        <f ca="1">IF(CALC2223!BC248&gt;0,INDIRECT(ADDRESS(MATCH(Agenda2526!C249,'CAL6'!A:A,0),3,4,1,"CAL6")),0)</f>
        <v>0</v>
      </c>
      <c r="AG248" s="20" t="str">
        <f ca="1">IF(CALC2223!BC248&gt;1,INDIRECT(ADDRESS(MATCH(Agenda2526!C249,'CAL6'!A:A,0)+1,2,4,1,"CAL6")),"")</f>
        <v/>
      </c>
      <c r="AH248" s="21">
        <f ca="1">IF(CALC2223!BC248&gt;1,INDIRECT(ADDRESS(MATCH(Agenda2526!C249,'CAL6'!A:A,0)+1,3,4,1,"CAL6")),0)</f>
        <v>0</v>
      </c>
      <c r="AI248" s="20" t="str">
        <f ca="1">IF(CALC2223!BC248&gt;2,INDIRECT(ADDRESS(MATCH(Agenda2526!C249,'CAL6'!A:A,0)+2,2,4,1,"CAL6")),"")</f>
        <v/>
      </c>
      <c r="AJ248" s="21">
        <f ca="1">IF(CALC2223!BC248&gt;2,INDIRECT(ADDRESS(MATCH(Agenda2526!C249,'CAL6'!A:A,0)+2,3,4,1,"CAL6")),0)</f>
        <v>0</v>
      </c>
      <c r="AK248" s="20" t="str">
        <f ca="1">IF(CALC2223!BD248&gt;0,INDIRECT(ADDRESS(MATCH(Agenda2526!C249,'CAL7'!A:A,0),2,4,1,"CAL7")),"")</f>
        <v/>
      </c>
      <c r="AL248" s="21">
        <f ca="1">IF(CALC2223!BD248&gt;0,INDIRECT(ADDRESS(MATCH(Agenda2526!C249,'CAL7'!A:A,0),3,4,1,"CAL7")),0)</f>
        <v>0</v>
      </c>
      <c r="AM248" s="20" t="str">
        <f ca="1">IF(CALC2223!BD248&gt;1,INDIRECT(ADDRESS(MATCH(Agenda2526!C249,'CAL7'!A:A,0)+1,2,4,1,"CAL7")),"")</f>
        <v/>
      </c>
      <c r="AN248" s="21">
        <f ca="1">IF(CALC2223!BD248&gt;1,INDIRECT(ADDRESS(MATCH(Agenda2526!C249,'CAL7'!A:A,0)+1,3,4,1,"CAL7")),0)</f>
        <v>0</v>
      </c>
      <c r="AO248" s="20" t="str">
        <f ca="1">IF(CALC2223!BD248&gt;2,INDIRECT(ADDRESS(MATCH(Agenda2526!C249,'CAL7'!A:A,0)+2,2,4,1,"CAL7")),"")</f>
        <v/>
      </c>
      <c r="AP248" s="21">
        <f ca="1">IF(CALC2223!BD248&gt;2,INDIRECT(ADDRESS(MATCH(Agenda2526!C249,'CAL7'!A:A,0)+2,3,4,1,"CAL7")),0)</f>
        <v>0</v>
      </c>
      <c r="AQ248" s="20" t="str">
        <f ca="1">IF(CALC2223!BE248&gt;0,INDIRECT(ADDRESS(MATCH(Agenda2526!C249,'CAL8'!A:A,0),2,4,1,"CAL8")),"")</f>
        <v>bevrijdingsdag</v>
      </c>
      <c r="AR248" s="21">
        <f ca="1">IF(CALC2223!BE248&gt;0,INDIRECT(ADDRESS(MATCH(Agenda2526!C249,'CAL8'!A:A,0),3,4,1,"CAL8")),0)</f>
        <v>45896</v>
      </c>
      <c r="AS248" s="20" t="str">
        <f ca="1">IF(CALC2223!BE248&gt;1,INDIRECT(ADDRESS(MATCH(Agenda2526!C249,'CAL8'!A:A,0)+1,2,4,1,"CAL8")),"")</f>
        <v/>
      </c>
      <c r="AT248" s="21">
        <f ca="1">IF(CALC2223!BE248&gt;1,INDIRECT(ADDRESS(MATCH(Agenda2526!C249,'CAL8'!A:A,0)+1,3,4,1,"CAL8")),0)</f>
        <v>0</v>
      </c>
      <c r="AU248" s="20" t="str">
        <f ca="1">IF(CALC2223!BE248&gt;2,INDIRECT(ADDRESS(MATCH(Agenda2526!C249,'CAL8'!A:A,0)+2,2,4,1,"CAL8")),"")</f>
        <v/>
      </c>
      <c r="AV248" s="21">
        <f ca="1">IF(CALC2223!BE248&gt;2,INDIRECT(ADDRESS(MATCH(Agenda2526!C249,'CAL8'!A:A,0)+2,3,4,1,"CAL8")),0)</f>
        <v>0</v>
      </c>
      <c r="AW248" s="110"/>
      <c r="AX248" s="20">
        <f>COUNTIF('CAL1'!A:A,Agenda2526!C249)</f>
        <v>0</v>
      </c>
      <c r="AY248" s="20">
        <f>COUNTIF('CAL2'!A:A,Agenda2526!C249)</f>
        <v>0</v>
      </c>
      <c r="AZ248" s="20">
        <f>COUNTIF('CAL3'!A:A,Agenda2526!C249)</f>
        <v>0</v>
      </c>
      <c r="BA248" s="20">
        <f>COUNTIF('CAL4'!A:A,Agenda2526!C249)</f>
        <v>0</v>
      </c>
      <c r="BB248" s="20">
        <f>COUNTIF('CAL5'!A:A,Agenda2526!C249)</f>
        <v>0</v>
      </c>
      <c r="BC248" s="20">
        <f>COUNTIF('CAL6'!A:A,Agenda2526!C249)</f>
        <v>0</v>
      </c>
      <c r="BD248" s="20">
        <f>COUNTIF('CAL7'!A:A,Agenda2526!C249)</f>
        <v>0</v>
      </c>
      <c r="BE248" s="20">
        <f>COUNTIF('CAL8'!A:A,Agenda2526!C249)</f>
        <v>1</v>
      </c>
    </row>
    <row r="249" spans="1:57" ht="15.75" customHeight="1">
      <c r="A249" s="20" t="str">
        <f ca="1">IF(CALC2223!AX249&gt;0,INDIRECT(ADDRESS(MATCH(Agenda2526!C250,'CAL1'!A:A,0),2,4,1,"CAL1")),"")</f>
        <v/>
      </c>
      <c r="B249" s="21">
        <f ca="1">IF(CALC2223!AX249&gt;0,INDIRECT(ADDRESS(MATCH(Agenda2526!C250,'CAL1'!A:A,0),3,4,1,"CAL1")),0)</f>
        <v>0</v>
      </c>
      <c r="C249" s="20" t="str">
        <f ca="1">IF(CALC2223!AX249&gt;1,INDIRECT(ADDRESS(MATCH(Agenda2526!C250,'CAL1'!A:A,0)+1,2,4,1,"CAL1")),"")</f>
        <v/>
      </c>
      <c r="D249" s="21">
        <f ca="1">IF(CALC2223!AX249&gt;1,INDIRECT(ADDRESS(MATCH(Agenda2526!C250,'CAL1'!A:A,0)+1,3,4,1,"CAL1")),0)</f>
        <v>0</v>
      </c>
      <c r="E249" s="20" t="str">
        <f ca="1">IF(CALC2223!AX249&gt;2,INDIRECT(ADDRESS(MATCH(Agenda2526!C250,'CAL1'!A:A,0)+2,2,4,1,"CAL1")),"")</f>
        <v/>
      </c>
      <c r="F249" s="21">
        <f ca="1">IF(CALC2223!AX249&gt;2,INDIRECT(ADDRESS(MATCH(Agenda2526!C250,'CAL1'!A:A,0)+2,3,4,1,"CAL1")),0)</f>
        <v>0</v>
      </c>
      <c r="G249" s="20" t="str">
        <f ca="1">IF(CALC2223!AY249&gt;0,INDIRECT(ADDRESS(MATCH(Agenda2526!C250,'CAL2'!A:A,0),2,4,1,"CAL2")),"")</f>
        <v/>
      </c>
      <c r="H249" s="21">
        <f ca="1">IF(CALC2223!AY249&gt;0,INDIRECT(ADDRESS(MATCH(Agenda2526!C250,'CAL2'!A:A,0),3,4,1,"CAL2")),0)</f>
        <v>0</v>
      </c>
      <c r="I249" s="20" t="str">
        <f ca="1">IF(CALC2223!AY249&gt;1,INDIRECT(ADDRESS(MATCH(Agenda2526!C250,'CAL2'!A:A,0)+1,2,4,1,"CAL2")),"")</f>
        <v/>
      </c>
      <c r="J249" s="21">
        <f ca="1">IF(CALC2223!AY249&gt;1,INDIRECT(ADDRESS(MATCH(Agenda2526!C250,'CAL2'!A:A,0)+1,3,4,1,"CAL2")),0)</f>
        <v>0</v>
      </c>
      <c r="K249" s="20" t="str">
        <f ca="1">IF(CALC2223!AY249&gt;2,INDIRECT(ADDRESS(MATCH(Agenda2526!C250,'CAL2'!A:A,0)+2,2,4,1,"CAL2")),"")</f>
        <v/>
      </c>
      <c r="L249" s="21">
        <f ca="1">IF(CALC2223!AY249&gt;2,INDIRECT(ADDRESS(MATCH(Agenda2526!C250,'CAL2'!A:A,0)+2,3,4,1,"CAL2")),0)</f>
        <v>0</v>
      </c>
      <c r="M249" s="20" t="str">
        <f ca="1">IF(CALC2223!AZ249&gt;0,INDIRECT(ADDRESS(MATCH(Agenda2526!C250,'CAL3'!A:A,0),2,4,1,"CAL3")),"")</f>
        <v/>
      </c>
      <c r="N249" s="21">
        <f ca="1">IF(CALC2223!AZ249&gt;0,INDIRECT(ADDRESS(MATCH(Agenda2526!C250,'CAL3'!A:A,0),3,4,1,"CAL3")),0)</f>
        <v>0</v>
      </c>
      <c r="O249" s="20" t="str">
        <f ca="1">IF(CALC2223!AZ249&gt;1,INDIRECT(ADDRESS(MATCH(Agenda2526!C250,'CAL3'!A:A,0)+1,2,4,1,"CAL3")),"")</f>
        <v/>
      </c>
      <c r="P249" s="21">
        <f ca="1">IF(CALC2223!AZ249&gt;1,INDIRECT(ADDRESS(MATCH(Agenda2526!C250,'CAL3'!A:A,0)+1,3,4,1,"CAL3")),0)</f>
        <v>0</v>
      </c>
      <c r="Q249" s="20" t="str">
        <f ca="1">IF(CALC2223!AZ249&gt;2,INDIRECT(ADDRESS(MATCH(Agenda2526!C250,'CAL3'!A:A,0)+2,2,4,1,"CAL3")),"")</f>
        <v/>
      </c>
      <c r="R249" s="21">
        <f ca="1">IF(CALC2223!AZ249&gt;2,INDIRECT(ADDRESS(MATCH(Agenda2526!C250,'CAL3'!A:A,0)+2,3,4,1,"CAL3")),0)</f>
        <v>0</v>
      </c>
      <c r="S249" s="20" t="str">
        <f ca="1">IF(CALC2223!BA249&gt;0,INDIRECT(ADDRESS(MATCH(Agenda2526!C250,'CAL4'!A:A,0),2,4,1,"CAL4")),"")</f>
        <v/>
      </c>
      <c r="T249" s="21">
        <f ca="1">IF(CALC2223!BA249&gt;0,INDIRECT(ADDRESS(MATCH(Agenda2526!C250,'CAL4'!A:A,0),3,4,1,"CAL4")),0)</f>
        <v>0</v>
      </c>
      <c r="U249" s="20" t="str">
        <f ca="1">IF(CALC2223!BA249&gt;1,INDIRECT(ADDRESS(MATCH(Agenda2526!C250,'CAL4'!A:A,0)+1,2,4,1,"CAL4")),"")</f>
        <v/>
      </c>
      <c r="V249" s="21">
        <f ca="1">IF(CALC2223!BA249&gt;1,INDIRECT(ADDRESS(MATCH(Agenda2526!C250,'CAL4'!A:A,0)+1,3,4,1,"CAL4")),0)</f>
        <v>0</v>
      </c>
      <c r="W249" s="20" t="str">
        <f ca="1">IF(CALC2223!BA249&gt;2,INDIRECT(ADDRESS(MATCH(Agenda2526!C250,'CAL4'!A:A,0)+2,2,4,1,"CAL4")),"")</f>
        <v/>
      </c>
      <c r="X249" s="21">
        <f ca="1">IF(CALC2223!BA249&gt;2,INDIRECT(ADDRESS(MATCH(Agenda2526!C250,'CAL4'!A:A,0)+2,3,4,1,"CAL4")),0)</f>
        <v>0</v>
      </c>
      <c r="Y249" s="20" t="str">
        <f ca="1">IF(CALC2223!BB249&gt;0,INDIRECT(ADDRESS(MATCH(Agenda2526!C250,'CAL5'!A:A,0),2,4,1,"CAL5")),"")</f>
        <v/>
      </c>
      <c r="Z249" s="21">
        <f ca="1">IF(CALC2223!BB249&gt;0,INDIRECT(ADDRESS(MATCH(Agenda2526!C250,'CAL5'!A:A,0),3,4,1,"CAL5")),0)</f>
        <v>0</v>
      </c>
      <c r="AA249" s="20" t="str">
        <f ca="1">IF(CALC2223!BB249&gt;1,INDIRECT(ADDRESS(MATCH(Agenda2526!C250,'CAL5'!A:A,0)+1,2,4,1,"CAL5")),"")</f>
        <v/>
      </c>
      <c r="AB249" s="21">
        <f ca="1">IF(CALC2223!BB249&gt;1,INDIRECT(ADDRESS(MATCH(Agenda2526!C250,'CAL5'!A:A,0)+1,3,4,1,"CAL5")),0)</f>
        <v>0</v>
      </c>
      <c r="AC249" s="20" t="str">
        <f ca="1">IF(CALC2223!BB249&gt;2,INDIRECT(ADDRESS(MATCH(Agenda2526!C250,'CAL5'!A:A,0)+2,2,4,1,"CAL5")),"")</f>
        <v/>
      </c>
      <c r="AD249" s="21">
        <f ca="1">IF(CALC2223!BB249&gt;2,INDIRECT(ADDRESS(MATCH(Agenda2526!C250,'CAL5'!A:A,0)+2,3,4,1,"CAL5")),0)</f>
        <v>0</v>
      </c>
      <c r="AE249" s="20" t="str">
        <f ca="1">IF(CALC2223!BC249&gt;0,INDIRECT(ADDRESS(MATCH(Agenda2526!C250,'CAL6'!A:A,0),2,4,1,"CAL6")),"")</f>
        <v/>
      </c>
      <c r="AF249" s="21">
        <f ca="1">IF(CALC2223!BC249&gt;0,INDIRECT(ADDRESS(MATCH(Agenda2526!C250,'CAL6'!A:A,0),3,4,1,"CAL6")),0)</f>
        <v>0</v>
      </c>
      <c r="AG249" s="20" t="str">
        <f ca="1">IF(CALC2223!BC249&gt;1,INDIRECT(ADDRESS(MATCH(Agenda2526!C250,'CAL6'!A:A,0)+1,2,4,1,"CAL6")),"")</f>
        <v/>
      </c>
      <c r="AH249" s="21">
        <f ca="1">IF(CALC2223!BC249&gt;1,INDIRECT(ADDRESS(MATCH(Agenda2526!C250,'CAL6'!A:A,0)+1,3,4,1,"CAL6")),0)</f>
        <v>0</v>
      </c>
      <c r="AI249" s="20" t="str">
        <f ca="1">IF(CALC2223!BC249&gt;2,INDIRECT(ADDRESS(MATCH(Agenda2526!C250,'CAL6'!A:A,0)+2,2,4,1,"CAL6")),"")</f>
        <v/>
      </c>
      <c r="AJ249" s="21">
        <f ca="1">IF(CALC2223!BC249&gt;2,INDIRECT(ADDRESS(MATCH(Agenda2526!C250,'CAL6'!A:A,0)+2,3,4,1,"CAL6")),0)</f>
        <v>0</v>
      </c>
      <c r="AK249" s="20" t="str">
        <f ca="1">IF(CALC2223!BD249&gt;0,INDIRECT(ADDRESS(MATCH(Agenda2526!C250,'CAL7'!A:A,0),2,4,1,"CAL7")),"")</f>
        <v>30'rooster/leerlingbespreking lj1</v>
      </c>
      <c r="AL249" s="21">
        <f ca="1">IF(CALC2223!BD249&gt;0,INDIRECT(ADDRESS(MATCH(Agenda2526!C250,'CAL7'!A:A,0),3,4,1,"CAL7")),0)</f>
        <v>45896</v>
      </c>
      <c r="AM249" s="20" t="str">
        <f ca="1">IF(CALC2223!BD249&gt;1,INDIRECT(ADDRESS(MATCH(Agenda2526!C250,'CAL7'!A:A,0)+1,2,4,1,"CAL7")),"")</f>
        <v/>
      </c>
      <c r="AN249" s="21">
        <f ca="1">IF(CALC2223!BD249&gt;1,INDIRECT(ADDRESS(MATCH(Agenda2526!C250,'CAL7'!A:A,0)+1,3,4,1,"CAL7")),0)</f>
        <v>0</v>
      </c>
      <c r="AO249" s="20" t="str">
        <f ca="1">IF(CALC2223!BD249&gt;2,INDIRECT(ADDRESS(MATCH(Agenda2526!C250,'CAL7'!A:A,0)+2,2,4,1,"CAL7")),"")</f>
        <v/>
      </c>
      <c r="AP249" s="21">
        <f ca="1">IF(CALC2223!BD249&gt;2,INDIRECT(ADDRESS(MATCH(Agenda2526!C250,'CAL7'!A:A,0)+2,3,4,1,"CAL7")),0)</f>
        <v>0</v>
      </c>
      <c r="AQ249" s="20" t="str">
        <f ca="1">IF(CALC2223!BE249&gt;0,INDIRECT(ADDRESS(MATCH(Agenda2526!C250,'CAL8'!A:A,0),2,4,1,"CAL8")),"")</f>
        <v>start gymlessen buiten</v>
      </c>
      <c r="AR249" s="21">
        <f ca="1">IF(CALC2223!BE249&gt;0,INDIRECT(ADDRESS(MATCH(Agenda2526!C250,'CAL8'!A:A,0),3,4,1,"CAL8")),0)</f>
        <v>46066</v>
      </c>
      <c r="AS249" s="20" t="str">
        <f ca="1">IF(CALC2223!BE249&gt;1,INDIRECT(ADDRESS(MATCH(Agenda2526!C250,'CAL8'!A:A,0)+1,2,4,1,"CAL8")),"")</f>
        <v/>
      </c>
      <c r="AT249" s="21">
        <f ca="1">IF(CALC2223!BE249&gt;1,INDIRECT(ADDRESS(MATCH(Agenda2526!C250,'CAL8'!A:A,0)+1,3,4,1,"CAL8")),0)</f>
        <v>0</v>
      </c>
      <c r="AU249" s="20" t="str">
        <f ca="1">IF(CALC2223!BE249&gt;2,INDIRECT(ADDRESS(MATCH(Agenda2526!C250,'CAL8'!A:A,0)+2,2,4,1,"CAL8")),"")</f>
        <v/>
      </c>
      <c r="AV249" s="21">
        <f ca="1">IF(CALC2223!BE249&gt;2,INDIRECT(ADDRESS(MATCH(Agenda2526!C250,'CAL8'!A:A,0)+2,3,4,1,"CAL8")),0)</f>
        <v>0</v>
      </c>
      <c r="AW249" s="105"/>
      <c r="AX249" s="20">
        <f>COUNTIF('CAL1'!A:A,Agenda2526!C250)</f>
        <v>0</v>
      </c>
      <c r="AY249" s="20">
        <f>COUNTIF('CAL2'!A:A,Agenda2526!C250)</f>
        <v>0</v>
      </c>
      <c r="AZ249" s="20">
        <f>COUNTIF('CAL3'!A:A,Agenda2526!C250)</f>
        <v>0</v>
      </c>
      <c r="BA249" s="20">
        <f>COUNTIF('CAL4'!A:A,Agenda2526!C250)</f>
        <v>0</v>
      </c>
      <c r="BB249" s="20">
        <f>COUNTIF('CAL5'!A:A,Agenda2526!C250)</f>
        <v>0</v>
      </c>
      <c r="BC249" s="20">
        <f>COUNTIF('CAL6'!A:A,Agenda2526!C250)</f>
        <v>0</v>
      </c>
      <c r="BD249" s="20">
        <f>COUNTIF('CAL7'!A:A,Agenda2526!C250)</f>
        <v>1</v>
      </c>
      <c r="BE249" s="20">
        <f>COUNTIF('CAL8'!A:A,Agenda2526!C250)</f>
        <v>1</v>
      </c>
    </row>
    <row r="250" spans="1:57" ht="15.75" customHeight="1">
      <c r="A250" s="20" t="str">
        <f ca="1">IF(CALC2223!AX250&gt;0,INDIRECT(ADDRESS(MATCH(Agenda2526!C251,'CAL1'!A:A,0),2,4,1,"CAL1")),"")</f>
        <v/>
      </c>
      <c r="B250" s="21">
        <f ca="1">IF(CALC2223!AX250&gt;0,INDIRECT(ADDRESS(MATCH(Agenda2526!C251,'CAL1'!A:A,0),3,4,1,"CAL1")),0)</f>
        <v>0</v>
      </c>
      <c r="C250" s="20" t="str">
        <f ca="1">IF(CALC2223!AX250&gt;1,INDIRECT(ADDRESS(MATCH(Agenda2526!C251,'CAL1'!A:A,0)+1,2,4,1,"CAL1")),"")</f>
        <v/>
      </c>
      <c r="D250" s="21">
        <f ca="1">IF(CALC2223!AX250&gt;1,INDIRECT(ADDRESS(MATCH(Agenda2526!C251,'CAL1'!A:A,0)+1,3,4,1,"CAL1")),0)</f>
        <v>0</v>
      </c>
      <c r="E250" s="20" t="str">
        <f ca="1">IF(CALC2223!AX250&gt;2,INDIRECT(ADDRESS(MATCH(Agenda2526!C251,'CAL1'!A:A,0)+2,2,4,1,"CAL1")),"")</f>
        <v/>
      </c>
      <c r="F250" s="21">
        <f ca="1">IF(CALC2223!AX250&gt;2,INDIRECT(ADDRESS(MATCH(Agenda2526!C251,'CAL1'!A:A,0)+2,3,4,1,"CAL1")),0)</f>
        <v>0</v>
      </c>
      <c r="G250" s="20" t="str">
        <f ca="1">IF(CALC2223!AY250&gt;0,INDIRECT(ADDRESS(MATCH(Agenda2526!C251,'CAL2'!A:A,0),2,4,1,"CAL2")),"")</f>
        <v/>
      </c>
      <c r="H250" s="21">
        <f ca="1">IF(CALC2223!AY250&gt;0,INDIRECT(ADDRESS(MATCH(Agenda2526!C251,'CAL2'!A:A,0),3,4,1,"CAL2")),0)</f>
        <v>0</v>
      </c>
      <c r="I250" s="20" t="str">
        <f ca="1">IF(CALC2223!AY250&gt;1,INDIRECT(ADDRESS(MATCH(Agenda2526!C251,'CAL2'!A:A,0)+1,2,4,1,"CAL2")),"")</f>
        <v/>
      </c>
      <c r="J250" s="21">
        <f ca="1">IF(CALC2223!AY250&gt;1,INDIRECT(ADDRESS(MATCH(Agenda2526!C251,'CAL2'!A:A,0)+1,3,4,1,"CAL2")),0)</f>
        <v>0</v>
      </c>
      <c r="K250" s="20" t="str">
        <f ca="1">IF(CALC2223!AY250&gt;2,INDIRECT(ADDRESS(MATCH(Agenda2526!C251,'CAL2'!A:A,0)+2,2,4,1,"CAL2")),"")</f>
        <v/>
      </c>
      <c r="L250" s="21">
        <f ca="1">IF(CALC2223!AY250&gt;2,INDIRECT(ADDRESS(MATCH(Agenda2526!C251,'CAL2'!A:A,0)+2,3,4,1,"CAL2")),0)</f>
        <v>0</v>
      </c>
      <c r="M250" s="20" t="str">
        <f ca="1">IF(CALC2223!AZ250&gt;0,INDIRECT(ADDRESS(MATCH(Agenda2526!C251,'CAL3'!A:A,0),2,4,1,"CAL3")),"")</f>
        <v>Rep WIS</v>
      </c>
      <c r="N250" s="21">
        <f ca="1">IF(CALC2223!AZ250&gt;0,INDIRECT(ADDRESS(MATCH(Agenda2526!C251,'CAL3'!A:A,0),3,4,1,"CAL3")),0)</f>
        <v>45903</v>
      </c>
      <c r="O250" s="20" t="str">
        <f ca="1">IF(CALC2223!AZ250&gt;1,INDIRECT(ADDRESS(MATCH(Agenda2526!C251,'CAL3'!A:A,0)+1,2,4,1,"CAL3")),"")</f>
        <v/>
      </c>
      <c r="P250" s="21">
        <f ca="1">IF(CALC2223!AZ250&gt;1,INDIRECT(ADDRESS(MATCH(Agenda2526!C251,'CAL3'!A:A,0)+1,3,4,1,"CAL3")),0)</f>
        <v>0</v>
      </c>
      <c r="Q250" s="20" t="str">
        <f ca="1">IF(CALC2223!AZ250&gt;2,INDIRECT(ADDRESS(MATCH(Agenda2526!C251,'CAL3'!A:A,0)+2,2,4,1,"CAL3")),"")</f>
        <v/>
      </c>
      <c r="R250" s="21">
        <f ca="1">IF(CALC2223!AZ250&gt;2,INDIRECT(ADDRESS(MATCH(Agenda2526!C251,'CAL3'!A:A,0)+2,3,4,1,"CAL3")),0)</f>
        <v>0</v>
      </c>
      <c r="S250" s="20" t="str">
        <f ca="1">IF(CALC2223!BA250&gt;0,INDIRECT(ADDRESS(MATCH(Agenda2526!C251,'CAL4'!A:A,0),2,4,1,"CAL4")),"")</f>
        <v>inh rep EN</v>
      </c>
      <c r="T250" s="21">
        <f ca="1">IF(CALC2223!BA250&gt;0,INDIRECT(ADDRESS(MATCH(Agenda2526!C251,'CAL4'!A:A,0),3,4,1,"CAL4")),0)</f>
        <v>45936</v>
      </c>
      <c r="U250" s="20" t="str">
        <f ca="1">IF(CALC2223!BA250&gt;1,INDIRECT(ADDRESS(MATCH(Agenda2526!C251,'CAL4'!A:A,0)+1,2,4,1,"CAL4")),"")</f>
        <v/>
      </c>
      <c r="V250" s="21">
        <f ca="1">IF(CALC2223!BA250&gt;1,INDIRECT(ADDRESS(MATCH(Agenda2526!C251,'CAL4'!A:A,0)+1,3,4,1,"CAL4")),0)</f>
        <v>0</v>
      </c>
      <c r="W250" s="20" t="str">
        <f ca="1">IF(CALC2223!BA250&gt;2,INDIRECT(ADDRESS(MATCH(Agenda2526!C251,'CAL4'!A:A,0)+2,2,4,1,"CAL4")),"")</f>
        <v/>
      </c>
      <c r="X250" s="21">
        <f ca="1">IF(CALC2223!BA250&gt;2,INDIRECT(ADDRESS(MATCH(Agenda2526!C251,'CAL4'!A:A,0)+2,3,4,1,"CAL4")),0)</f>
        <v>0</v>
      </c>
      <c r="Y250" s="20" t="str">
        <f ca="1">IF(CALC2223!BB250&gt;0,INDIRECT(ADDRESS(MATCH(Agenda2526!C251,'CAL5'!A:A,0),2,4,1,"CAL5")),"")</f>
        <v>inh SE GS</v>
      </c>
      <c r="Z250" s="21">
        <f ca="1">IF(CALC2223!BB250&gt;0,INDIRECT(ADDRESS(MATCH(Agenda2526!C251,'CAL5'!A:A,0),3,4,1,"CAL5")),0)</f>
        <v>45936</v>
      </c>
      <c r="AA250" s="20" t="str">
        <f ca="1">IF(CALC2223!BB250&gt;1,INDIRECT(ADDRESS(MATCH(Agenda2526!C251,'CAL5'!A:A,0)+1,2,4,1,"CAL5")),"")</f>
        <v/>
      </c>
      <c r="AB250" s="21">
        <f ca="1">IF(CALC2223!BB250&gt;1,INDIRECT(ADDRESS(MATCH(Agenda2526!C251,'CAL5'!A:A,0)+1,3,4,1,"CAL5")),0)</f>
        <v>0</v>
      </c>
      <c r="AC250" s="20" t="str">
        <f ca="1">IF(CALC2223!BB250&gt;2,INDIRECT(ADDRESS(MATCH(Agenda2526!C251,'CAL5'!A:A,0)+2,2,4,1,"CAL5")),"")</f>
        <v/>
      </c>
      <c r="AD250" s="21">
        <f ca="1">IF(CALC2223!BB250&gt;2,INDIRECT(ADDRESS(MATCH(Agenda2526!C251,'CAL5'!A:A,0)+2,3,4,1,"CAL5")),0)</f>
        <v>0</v>
      </c>
      <c r="AE250" s="20" t="str">
        <f ca="1">IF(CALC2223!BC250&gt;0,INDIRECT(ADDRESS(MATCH(Agenda2526!C251,'CAL6'!A:A,0),2,4,1,"CAL6")),"")</f>
        <v/>
      </c>
      <c r="AF250" s="21">
        <f ca="1">IF(CALC2223!BC250&gt;0,INDIRECT(ADDRESS(MATCH(Agenda2526!C251,'CAL6'!A:A,0),3,4,1,"CAL6")),0)</f>
        <v>0</v>
      </c>
      <c r="AG250" s="20" t="str">
        <f ca="1">IF(CALC2223!BC250&gt;1,INDIRECT(ADDRESS(MATCH(Agenda2526!C251,'CAL6'!A:A,0)+1,2,4,1,"CAL6")),"")</f>
        <v/>
      </c>
      <c r="AH250" s="21">
        <f ca="1">IF(CALC2223!BC250&gt;1,INDIRECT(ADDRESS(MATCH(Agenda2526!C251,'CAL6'!A:A,0)+1,3,4,1,"CAL6")),0)</f>
        <v>0</v>
      </c>
      <c r="AI250" s="20" t="str">
        <f ca="1">IF(CALC2223!BC250&gt;2,INDIRECT(ADDRESS(MATCH(Agenda2526!C251,'CAL6'!A:A,0)+2,2,4,1,"CAL6")),"")</f>
        <v/>
      </c>
      <c r="AJ250" s="21">
        <f ca="1">IF(CALC2223!BC250&gt;2,INDIRECT(ADDRESS(MATCH(Agenda2526!C251,'CAL6'!A:A,0)+2,3,4,1,"CAL6")),0)</f>
        <v>0</v>
      </c>
      <c r="AK250" s="20" t="str">
        <f ca="1">IF(CALC2223!BD250&gt;0,INDIRECT(ADDRESS(MATCH(Agenda2526!C251,'CAL7'!A:A,0),2,4,1,"CAL7")),"")</f>
        <v>30'rooster/leerlingbespreking lj3/commissies#7/MR#4</v>
      </c>
      <c r="AL250" s="21">
        <f ca="1">IF(CALC2223!BD250&gt;0,INDIRECT(ADDRESS(MATCH(Agenda2526!C251,'CAL7'!A:A,0),3,4,1,"CAL7")),0)</f>
        <v>45896</v>
      </c>
      <c r="AM250" s="20" t="str">
        <f ca="1">IF(CALC2223!BD250&gt;1,INDIRECT(ADDRESS(MATCH(Agenda2526!C251,'CAL7'!A:A,0)+1,2,4,1,"CAL7")),"")</f>
        <v/>
      </c>
      <c r="AN250" s="21">
        <f ca="1">IF(CALC2223!BD250&gt;1,INDIRECT(ADDRESS(MATCH(Agenda2526!C251,'CAL7'!A:A,0)+1,3,4,1,"CAL7")),0)</f>
        <v>0</v>
      </c>
      <c r="AO250" s="20" t="str">
        <f ca="1">IF(CALC2223!BD250&gt;2,INDIRECT(ADDRESS(MATCH(Agenda2526!C251,'CAL7'!A:A,0)+2,2,4,1,"CAL7")),"")</f>
        <v/>
      </c>
      <c r="AP250" s="21">
        <f ca="1">IF(CALC2223!BD250&gt;2,INDIRECT(ADDRESS(MATCH(Agenda2526!C251,'CAL7'!A:A,0)+2,3,4,1,"CAL7")),0)</f>
        <v>0</v>
      </c>
      <c r="AQ250" s="20" t="str">
        <f ca="1">IF(CALC2223!BE250&gt;0,INDIRECT(ADDRESS(MATCH(Agenda2526!C251,'CAL8'!A:A,0),2,4,1,"CAL8")),"")</f>
        <v/>
      </c>
      <c r="AR250" s="21">
        <f ca="1">IF(CALC2223!BE250&gt;0,INDIRECT(ADDRESS(MATCH(Agenda2526!C251,'CAL8'!A:A,0),3,4,1,"CAL8")),0)</f>
        <v>0</v>
      </c>
      <c r="AS250" s="20" t="str">
        <f ca="1">IF(CALC2223!BE250&gt;1,INDIRECT(ADDRESS(MATCH(Agenda2526!C251,'CAL8'!A:A,0)+1,2,4,1,"CAL8")),"")</f>
        <v/>
      </c>
      <c r="AT250" s="21">
        <f ca="1">IF(CALC2223!BE250&gt;1,INDIRECT(ADDRESS(MATCH(Agenda2526!C251,'CAL8'!A:A,0)+1,3,4,1,"CAL8")),0)</f>
        <v>0</v>
      </c>
      <c r="AU250" s="20" t="str">
        <f ca="1">IF(CALC2223!BE250&gt;2,INDIRECT(ADDRESS(MATCH(Agenda2526!C251,'CAL8'!A:A,0)+2,2,4,1,"CAL8")),"")</f>
        <v/>
      </c>
      <c r="AV250" s="21">
        <f ca="1">IF(CALC2223!BE250&gt;2,INDIRECT(ADDRESS(MATCH(Agenda2526!C251,'CAL8'!A:A,0)+2,3,4,1,"CAL8")),0)</f>
        <v>0</v>
      </c>
      <c r="AW250" s="105"/>
      <c r="AX250" s="20">
        <f>COUNTIF('CAL1'!A:A,Agenda2526!C251)</f>
        <v>0</v>
      </c>
      <c r="AY250" s="20">
        <f>COUNTIF('CAL2'!A:A,Agenda2526!C251)</f>
        <v>0</v>
      </c>
      <c r="AZ250" s="20">
        <f>COUNTIF('CAL3'!A:A,Agenda2526!C251)</f>
        <v>1</v>
      </c>
      <c r="BA250" s="20">
        <f>COUNTIF('CAL4'!A:A,Agenda2526!C251)</f>
        <v>1</v>
      </c>
      <c r="BB250" s="20">
        <f>COUNTIF('CAL5'!A:A,Agenda2526!C251)</f>
        <v>1</v>
      </c>
      <c r="BC250" s="20">
        <f>COUNTIF('CAL6'!A:A,Agenda2526!C251)</f>
        <v>0</v>
      </c>
      <c r="BD250" s="20">
        <f>COUNTIF('CAL7'!A:A,Agenda2526!C251)</f>
        <v>1</v>
      </c>
      <c r="BE250" s="20">
        <f>COUNTIF('CAL8'!A:A,Agenda2526!C251)</f>
        <v>0</v>
      </c>
    </row>
    <row r="251" spans="1:57" ht="15.75" customHeight="1">
      <c r="A251" s="20" t="str">
        <f ca="1">IF(CALC2223!AX251&gt;0,INDIRECT(ADDRESS(MATCH(Agenda2526!C252,'CAL1'!A:A,0),2,4,1,"CAL1")),"")</f>
        <v/>
      </c>
      <c r="B251" s="21">
        <f ca="1">IF(CALC2223!AX251&gt;0,INDIRECT(ADDRESS(MATCH(Agenda2526!C252,'CAL1'!A:A,0),3,4,1,"CAL1")),0)</f>
        <v>0</v>
      </c>
      <c r="C251" s="20" t="str">
        <f ca="1">IF(CALC2223!AX251&gt;1,INDIRECT(ADDRESS(MATCH(Agenda2526!C252,'CAL1'!A:A,0)+1,2,4,1,"CAL1")),"")</f>
        <v/>
      </c>
      <c r="D251" s="21">
        <f ca="1">IF(CALC2223!AX251&gt;1,INDIRECT(ADDRESS(MATCH(Agenda2526!C252,'CAL1'!A:A,0)+1,3,4,1,"CAL1")),0)</f>
        <v>0</v>
      </c>
      <c r="E251" s="20" t="str">
        <f ca="1">IF(CALC2223!AX251&gt;2,INDIRECT(ADDRESS(MATCH(Agenda2526!C252,'CAL1'!A:A,0)+2,2,4,1,"CAL1")),"")</f>
        <v/>
      </c>
      <c r="F251" s="21">
        <f ca="1">IF(CALC2223!AX251&gt;2,INDIRECT(ADDRESS(MATCH(Agenda2526!C252,'CAL1'!A:A,0)+2,3,4,1,"CAL1")),0)</f>
        <v>0</v>
      </c>
      <c r="G251" s="20" t="str">
        <f ca="1">IF(CALC2223!AY251&gt;0,INDIRECT(ADDRESS(MATCH(Agenda2526!C252,'CAL2'!A:A,0),2,4,1,"CAL2")),"")</f>
        <v/>
      </c>
      <c r="H251" s="21">
        <f ca="1">IF(CALC2223!AY251&gt;0,INDIRECT(ADDRESS(MATCH(Agenda2526!C252,'CAL2'!A:A,0),3,4,1,"CAL2")),0)</f>
        <v>0</v>
      </c>
      <c r="I251" s="20" t="str">
        <f ca="1">IF(CALC2223!AY251&gt;1,INDIRECT(ADDRESS(MATCH(Agenda2526!C252,'CAL2'!A:A,0)+1,2,4,1,"CAL2")),"")</f>
        <v/>
      </c>
      <c r="J251" s="21">
        <f ca="1">IF(CALC2223!AY251&gt;1,INDIRECT(ADDRESS(MATCH(Agenda2526!C252,'CAL2'!A:A,0)+1,3,4,1,"CAL2")),0)</f>
        <v>0</v>
      </c>
      <c r="K251" s="20" t="str">
        <f ca="1">IF(CALC2223!AY251&gt;2,INDIRECT(ADDRESS(MATCH(Agenda2526!C252,'CAL2'!A:A,0)+2,2,4,1,"CAL2")),"")</f>
        <v/>
      </c>
      <c r="L251" s="21">
        <f ca="1">IF(CALC2223!AY251&gt;2,INDIRECT(ADDRESS(MATCH(Agenda2526!C252,'CAL2'!A:A,0)+2,3,4,1,"CAL2")),0)</f>
        <v>0</v>
      </c>
      <c r="M251" s="20" t="str">
        <f ca="1">IF(CALC2223!AZ251&gt;0,INDIRECT(ADDRESS(MATCH(Agenda2526!C252,'CAL3'!A:A,0),2,4,1,"CAL3")),"")</f>
        <v/>
      </c>
      <c r="N251" s="21">
        <f ca="1">IF(CALC2223!AZ251&gt;0,INDIRECT(ADDRESS(MATCH(Agenda2526!C252,'CAL3'!A:A,0),3,4,1,"CAL3")),0)</f>
        <v>0</v>
      </c>
      <c r="O251" s="20" t="str">
        <f ca="1">IF(CALC2223!AZ251&gt;1,INDIRECT(ADDRESS(MATCH(Agenda2526!C252,'CAL3'!A:A,0)+1,2,4,1,"CAL3")),"")</f>
        <v/>
      </c>
      <c r="P251" s="21">
        <f ca="1">IF(CALC2223!AZ251&gt;1,INDIRECT(ADDRESS(MATCH(Agenda2526!C252,'CAL3'!A:A,0)+1,3,4,1,"CAL3")),0)</f>
        <v>0</v>
      </c>
      <c r="Q251" s="20" t="str">
        <f ca="1">IF(CALC2223!AZ251&gt;2,INDIRECT(ADDRESS(MATCH(Agenda2526!C252,'CAL3'!A:A,0)+2,2,4,1,"CAL3")),"")</f>
        <v/>
      </c>
      <c r="R251" s="21">
        <f ca="1">IF(CALC2223!AZ251&gt;2,INDIRECT(ADDRESS(MATCH(Agenda2526!C252,'CAL3'!A:A,0)+2,3,4,1,"CAL3")),0)</f>
        <v>0</v>
      </c>
      <c r="S251" s="20" t="str">
        <f ca="1">IF(CALC2223!BA251&gt;0,INDIRECT(ADDRESS(MATCH(Agenda2526!C252,'CAL4'!A:A,0),2,4,1,"CAL4")),"")</f>
        <v>Rep WIABC</v>
      </c>
      <c r="T251" s="21">
        <f ca="1">IF(CALC2223!BA251&gt;0,INDIRECT(ADDRESS(MATCH(Agenda2526!C252,'CAL4'!A:A,0),3,4,1,"CAL4")),0)</f>
        <v>45905</v>
      </c>
      <c r="U251" s="20" t="str">
        <f ca="1">IF(CALC2223!BA251&gt;1,INDIRECT(ADDRESS(MATCH(Agenda2526!C252,'CAL4'!A:A,0)+1,2,4,1,"CAL4")),"")</f>
        <v/>
      </c>
      <c r="V251" s="21">
        <f ca="1">IF(CALC2223!BA251&gt;1,INDIRECT(ADDRESS(MATCH(Agenda2526!C252,'CAL4'!A:A,0)+1,3,4,1,"CAL4")),0)</f>
        <v>0</v>
      </c>
      <c r="W251" s="20" t="str">
        <f ca="1">IF(CALC2223!BA251&gt;2,INDIRECT(ADDRESS(MATCH(Agenda2526!C252,'CAL4'!A:A,0)+2,2,4,1,"CAL4")),"")</f>
        <v/>
      </c>
      <c r="X251" s="21">
        <f ca="1">IF(CALC2223!BA251&gt;2,INDIRECT(ADDRESS(MATCH(Agenda2526!C252,'CAL4'!A:A,0)+2,3,4,1,"CAL4")),0)</f>
        <v>0</v>
      </c>
      <c r="Y251" s="20" t="str">
        <f ca="1">IF(CALC2223!BB251&gt;0,INDIRECT(ADDRESS(MATCH(Agenda2526!C252,'CAL5'!A:A,0),2,4,1,"CAL5")),"")</f>
        <v/>
      </c>
      <c r="Z251" s="21">
        <f ca="1">IF(CALC2223!BB251&gt;0,INDIRECT(ADDRESS(MATCH(Agenda2526!C252,'CAL5'!A:A,0),3,4,1,"CAL5")),0)</f>
        <v>0</v>
      </c>
      <c r="AA251" s="20" t="str">
        <f ca="1">IF(CALC2223!BB251&gt;1,INDIRECT(ADDRESS(MATCH(Agenda2526!C252,'CAL5'!A:A,0)+1,2,4,1,"CAL5")),"")</f>
        <v/>
      </c>
      <c r="AB251" s="21">
        <f ca="1">IF(CALC2223!BB251&gt;1,INDIRECT(ADDRESS(MATCH(Agenda2526!C252,'CAL5'!A:A,0)+1,3,4,1,"CAL5")),0)</f>
        <v>0</v>
      </c>
      <c r="AC251" s="20" t="str">
        <f ca="1">IF(CALC2223!BB251&gt;2,INDIRECT(ADDRESS(MATCH(Agenda2526!C252,'CAL5'!A:A,0)+2,2,4,1,"CAL5")),"")</f>
        <v/>
      </c>
      <c r="AD251" s="21">
        <f ca="1">IF(CALC2223!BB251&gt;2,INDIRECT(ADDRESS(MATCH(Agenda2526!C252,'CAL5'!A:A,0)+2,3,4,1,"CAL5")),0)</f>
        <v>0</v>
      </c>
      <c r="AE251" s="20" t="str">
        <f ca="1">IF(CALC2223!BC251&gt;0,INDIRECT(ADDRESS(MATCH(Agenda2526!C252,'CAL6'!A:A,0),2,4,1,"CAL6")),"")</f>
        <v>KUA/BE</v>
      </c>
      <c r="AF251" s="21">
        <f ca="1">IF(CALC2223!BC251&gt;0,INDIRECT(ADDRESS(MATCH(Agenda2526!C252,'CAL6'!A:A,0),3,4,1,"CAL6")),0)</f>
        <v>45896</v>
      </c>
      <c r="AG251" s="20" t="str">
        <f ca="1">IF(CALC2223!BC251&gt;1,INDIRECT(ADDRESS(MATCH(Agenda2526!C252,'CAL6'!A:A,0)+1,2,4,1,"CAL6")),"")</f>
        <v/>
      </c>
      <c r="AH251" s="21">
        <f ca="1">IF(CALC2223!BC251&gt;1,INDIRECT(ADDRESS(MATCH(Agenda2526!C252,'CAL6'!A:A,0)+1,3,4,1,"CAL6")),0)</f>
        <v>0</v>
      </c>
      <c r="AI251" s="20" t="str">
        <f ca="1">IF(CALC2223!BC251&gt;2,INDIRECT(ADDRESS(MATCH(Agenda2526!C252,'CAL6'!A:A,0)+2,2,4,1,"CAL6")),"")</f>
        <v/>
      </c>
      <c r="AJ251" s="21">
        <f ca="1">IF(CALC2223!BC251&gt;2,INDIRECT(ADDRESS(MATCH(Agenda2526!C252,'CAL6'!A:A,0)+2,3,4,1,"CAL6")),0)</f>
        <v>0</v>
      </c>
      <c r="AK251" s="20" t="str">
        <f ca="1">IF(CALC2223!BD251&gt;0,INDIRECT(ADDRESS(MATCH(Agenda2526!C252,'CAL7'!A:A,0),2,4,1,"CAL7")),"")</f>
        <v>30'rooster/leerlingbespreking lj2</v>
      </c>
      <c r="AL251" s="21">
        <f ca="1">IF(CALC2223!BD251&gt;0,INDIRECT(ADDRESS(MATCH(Agenda2526!C252,'CAL7'!A:A,0),3,4,1,"CAL7")),0)</f>
        <v>45896</v>
      </c>
      <c r="AM251" s="20" t="str">
        <f ca="1">IF(CALC2223!BD251&gt;1,INDIRECT(ADDRESS(MATCH(Agenda2526!C252,'CAL7'!A:A,0)+1,2,4,1,"CAL7")),"")</f>
        <v/>
      </c>
      <c r="AN251" s="21">
        <f ca="1">IF(CALC2223!BD251&gt;1,INDIRECT(ADDRESS(MATCH(Agenda2526!C252,'CAL7'!A:A,0)+1,3,4,1,"CAL7")),0)</f>
        <v>0</v>
      </c>
      <c r="AO251" s="20" t="str">
        <f ca="1">IF(CALC2223!BD251&gt;2,INDIRECT(ADDRESS(MATCH(Agenda2526!C252,'CAL7'!A:A,0)+2,2,4,1,"CAL7")),"")</f>
        <v/>
      </c>
      <c r="AP251" s="21">
        <f ca="1">IF(CALC2223!BD251&gt;2,INDIRECT(ADDRESS(MATCH(Agenda2526!C252,'CAL7'!A:A,0)+2,3,4,1,"CAL7")),0)</f>
        <v>0</v>
      </c>
      <c r="AQ251" s="20" t="str">
        <f ca="1">IF(CALC2223!BE251&gt;0,INDIRECT(ADDRESS(MATCH(Agenda2526!C252,'CAL8'!A:A,0),2,4,1,"CAL8")),"")</f>
        <v>start Centraal examen</v>
      </c>
      <c r="AR251" s="21">
        <f ca="1">IF(CALC2223!BE251&gt;0,INDIRECT(ADDRESS(MATCH(Agenda2526!C252,'CAL8'!A:A,0),3,4,1,"CAL8")),0)</f>
        <v>45896</v>
      </c>
      <c r="AS251" s="20" t="str">
        <f ca="1">IF(CALC2223!BE251&gt;1,INDIRECT(ADDRESS(MATCH(Agenda2526!C252,'CAL8'!A:A,0)+1,2,4,1,"CAL8")),"")</f>
        <v/>
      </c>
      <c r="AT251" s="21">
        <f ca="1">IF(CALC2223!BE251&gt;1,INDIRECT(ADDRESS(MATCH(Agenda2526!C252,'CAL8'!A:A,0)+1,3,4,1,"CAL8")),0)</f>
        <v>0</v>
      </c>
      <c r="AU251" s="20" t="str">
        <f ca="1">IF(CALC2223!BE251&gt;2,INDIRECT(ADDRESS(MATCH(Agenda2526!C252,'CAL8'!A:A,0)+2,2,4,1,"CAL8")),"")</f>
        <v/>
      </c>
      <c r="AV251" s="21">
        <f ca="1">IF(CALC2223!BE251&gt;2,INDIRECT(ADDRESS(MATCH(Agenda2526!C252,'CAL8'!A:A,0)+2,3,4,1,"CAL8")),0)</f>
        <v>0</v>
      </c>
      <c r="AW251" s="105"/>
      <c r="AX251" s="20">
        <f>COUNTIF('CAL1'!A:A,Agenda2526!C252)</f>
        <v>0</v>
      </c>
      <c r="AY251" s="20">
        <f>COUNTIF('CAL2'!A:A,Agenda2526!C252)</f>
        <v>0</v>
      </c>
      <c r="AZ251" s="20">
        <f>COUNTIF('CAL3'!A:A,Agenda2526!C252)</f>
        <v>0</v>
      </c>
      <c r="BA251" s="20">
        <f>COUNTIF('CAL4'!A:A,Agenda2526!C252)</f>
        <v>1</v>
      </c>
      <c r="BB251" s="20">
        <f>COUNTIF('CAL5'!A:A,Agenda2526!C252)</f>
        <v>0</v>
      </c>
      <c r="BC251" s="20">
        <f>COUNTIF('CAL6'!A:A,Agenda2526!C252)</f>
        <v>1</v>
      </c>
      <c r="BD251" s="20">
        <f>COUNTIF('CAL7'!A:A,Agenda2526!C252)</f>
        <v>1</v>
      </c>
      <c r="BE251" s="20">
        <f>COUNTIF('CAL8'!A:A,Agenda2526!C252)</f>
        <v>1</v>
      </c>
    </row>
    <row r="252" spans="1:57" ht="15.75" customHeight="1">
      <c r="A252" s="20" t="str">
        <f ca="1">IF(CALC2223!AX252&gt;0,INDIRECT(ADDRESS(MATCH(Agenda2526!C253,'CAL1'!A:A,0),2,4,1,"CAL1")),"")</f>
        <v/>
      </c>
      <c r="B252" s="21">
        <f ca="1">IF(CALC2223!AX252&gt;0,INDIRECT(ADDRESS(MATCH(Agenda2526!C253,'CAL1'!A:A,0),3,4,1,"CAL1")),0)</f>
        <v>0</v>
      </c>
      <c r="C252" s="20" t="str">
        <f ca="1">IF(CALC2223!AX252&gt;1,INDIRECT(ADDRESS(MATCH(Agenda2526!C253,'CAL1'!A:A,0)+1,2,4,1,"CAL1")),"")</f>
        <v/>
      </c>
      <c r="D252" s="21">
        <f ca="1">IF(CALC2223!AX252&gt;1,INDIRECT(ADDRESS(MATCH(Agenda2526!C253,'CAL1'!A:A,0)+1,3,4,1,"CAL1")),0)</f>
        <v>0</v>
      </c>
      <c r="E252" s="20" t="str">
        <f ca="1">IF(CALC2223!AX252&gt;2,INDIRECT(ADDRESS(MATCH(Agenda2526!C253,'CAL1'!A:A,0)+2,2,4,1,"CAL1")),"")</f>
        <v/>
      </c>
      <c r="F252" s="21">
        <f ca="1">IF(CALC2223!AX252&gt;2,INDIRECT(ADDRESS(MATCH(Agenda2526!C253,'CAL1'!A:A,0)+2,3,4,1,"CAL1")),0)</f>
        <v>0</v>
      </c>
      <c r="G252" s="20" t="str">
        <f ca="1">IF(CALC2223!AY252&gt;0,INDIRECT(ADDRESS(MATCH(Agenda2526!C253,'CAL2'!A:A,0),2,4,1,"CAL2")),"")</f>
        <v/>
      </c>
      <c r="H252" s="21">
        <f ca="1">IF(CALC2223!AY252&gt;0,INDIRECT(ADDRESS(MATCH(Agenda2526!C253,'CAL2'!A:A,0),3,4,1,"CAL2")),0)</f>
        <v>0</v>
      </c>
      <c r="I252" s="20" t="str">
        <f ca="1">IF(CALC2223!AY252&gt;1,INDIRECT(ADDRESS(MATCH(Agenda2526!C253,'CAL2'!A:A,0)+1,2,4,1,"CAL2")),"")</f>
        <v/>
      </c>
      <c r="J252" s="21">
        <f ca="1">IF(CALC2223!AY252&gt;1,INDIRECT(ADDRESS(MATCH(Agenda2526!C253,'CAL2'!A:A,0)+1,3,4,1,"CAL2")),0)</f>
        <v>0</v>
      </c>
      <c r="K252" s="20" t="str">
        <f ca="1">IF(CALC2223!AY252&gt;2,INDIRECT(ADDRESS(MATCH(Agenda2526!C253,'CAL2'!A:A,0)+2,2,4,1,"CAL2")),"")</f>
        <v/>
      </c>
      <c r="L252" s="21">
        <f ca="1">IF(CALC2223!AY252&gt;2,INDIRECT(ADDRESS(MATCH(Agenda2526!C253,'CAL2'!A:A,0)+2,3,4,1,"CAL2")),0)</f>
        <v>0</v>
      </c>
      <c r="M252" s="20" t="str">
        <f ca="1">IF(CALC2223!AZ252&gt;0,INDIRECT(ADDRESS(MATCH(Agenda2526!C253,'CAL3'!A:A,0),2,4,1,"CAL3")),"")</f>
        <v/>
      </c>
      <c r="N252" s="21">
        <f ca="1">IF(CALC2223!AZ252&gt;0,INDIRECT(ADDRESS(MATCH(Agenda2526!C253,'CAL3'!A:A,0),3,4,1,"CAL3")),0)</f>
        <v>0</v>
      </c>
      <c r="O252" s="20" t="str">
        <f ca="1">IF(CALC2223!AZ252&gt;1,INDIRECT(ADDRESS(MATCH(Agenda2526!C253,'CAL3'!A:A,0)+1,2,4,1,"CAL3")),"")</f>
        <v/>
      </c>
      <c r="P252" s="21">
        <f ca="1">IF(CALC2223!AZ252&gt;1,INDIRECT(ADDRESS(MATCH(Agenda2526!C253,'CAL3'!A:A,0)+1,3,4,1,"CAL3")),0)</f>
        <v>0</v>
      </c>
      <c r="Q252" s="20" t="str">
        <f ca="1">IF(CALC2223!AZ252&gt;2,INDIRECT(ADDRESS(MATCH(Agenda2526!C253,'CAL3'!A:A,0)+2,2,4,1,"CAL3")),"")</f>
        <v/>
      </c>
      <c r="R252" s="21">
        <f ca="1">IF(CALC2223!AZ252&gt;2,INDIRECT(ADDRESS(MATCH(Agenda2526!C253,'CAL3'!A:A,0)+2,3,4,1,"CAL3")),0)</f>
        <v>0</v>
      </c>
      <c r="S252" s="20" t="str">
        <f ca="1">IF(CALC2223!BA252&gt;0,INDIRECT(ADDRESS(MATCH(Agenda2526!C253,'CAL4'!A:A,0),2,4,1,"CAL4")),"")</f>
        <v/>
      </c>
      <c r="T252" s="21">
        <f ca="1">IF(CALC2223!BA252&gt;0,INDIRECT(ADDRESS(MATCH(Agenda2526!C253,'CAL4'!A:A,0),3,4,1,"CAL4")),0)</f>
        <v>0</v>
      </c>
      <c r="U252" s="20" t="str">
        <f ca="1">IF(CALC2223!BA252&gt;1,INDIRECT(ADDRESS(MATCH(Agenda2526!C253,'CAL4'!A:A,0)+1,2,4,1,"CAL4")),"")</f>
        <v/>
      </c>
      <c r="V252" s="21">
        <f ca="1">IF(CALC2223!BA252&gt;1,INDIRECT(ADDRESS(MATCH(Agenda2526!C253,'CAL4'!A:A,0)+1,3,4,1,"CAL4")),0)</f>
        <v>0</v>
      </c>
      <c r="W252" s="20" t="str">
        <f ca="1">IF(CALC2223!BA252&gt;2,INDIRECT(ADDRESS(MATCH(Agenda2526!C253,'CAL4'!A:A,0)+2,2,4,1,"CAL4")),"")</f>
        <v/>
      </c>
      <c r="X252" s="21">
        <f ca="1">IF(CALC2223!BA252&gt;2,INDIRECT(ADDRESS(MATCH(Agenda2526!C253,'CAL4'!A:A,0)+2,3,4,1,"CAL4")),0)</f>
        <v>0</v>
      </c>
      <c r="Y252" s="20" t="str">
        <f ca="1">IF(CALC2223!BB252&gt;0,INDIRECT(ADDRESS(MATCH(Agenda2526!C253,'CAL5'!A:A,0),2,4,1,"CAL5")),"")</f>
        <v/>
      </c>
      <c r="Z252" s="21">
        <f ca="1">IF(CALC2223!BB252&gt;0,INDIRECT(ADDRESS(MATCH(Agenda2526!C253,'CAL5'!A:A,0),3,4,1,"CAL5")),0)</f>
        <v>0</v>
      </c>
      <c r="AA252" s="20" t="str">
        <f ca="1">IF(CALC2223!BB252&gt;1,INDIRECT(ADDRESS(MATCH(Agenda2526!C253,'CAL5'!A:A,0)+1,2,4,1,"CAL5")),"")</f>
        <v/>
      </c>
      <c r="AB252" s="21">
        <f ca="1">IF(CALC2223!BB252&gt;1,INDIRECT(ADDRESS(MATCH(Agenda2526!C253,'CAL5'!A:A,0)+1,3,4,1,"CAL5")),0)</f>
        <v>0</v>
      </c>
      <c r="AC252" s="20" t="str">
        <f ca="1">IF(CALC2223!BB252&gt;2,INDIRECT(ADDRESS(MATCH(Agenda2526!C253,'CAL5'!A:A,0)+2,2,4,1,"CAL5")),"")</f>
        <v/>
      </c>
      <c r="AD252" s="21">
        <f ca="1">IF(CALC2223!BB252&gt;2,INDIRECT(ADDRESS(MATCH(Agenda2526!C253,'CAL5'!A:A,0)+2,3,4,1,"CAL5")),0)</f>
        <v>0</v>
      </c>
      <c r="AE252" s="20" t="str">
        <f ca="1">IF(CALC2223!BC252&gt;0,INDIRECT(ADDRESS(MATCH(Agenda2526!C253,'CAL6'!A:A,0),2,4,1,"CAL6")),"")</f>
        <v/>
      </c>
      <c r="AF252" s="21">
        <f ca="1">IF(CALC2223!BC252&gt;0,INDIRECT(ADDRESS(MATCH(Agenda2526!C253,'CAL6'!A:A,0),3,4,1,"CAL6")),0)</f>
        <v>0</v>
      </c>
      <c r="AG252" s="20" t="str">
        <f ca="1">IF(CALC2223!BC252&gt;1,INDIRECT(ADDRESS(MATCH(Agenda2526!C253,'CAL6'!A:A,0)+1,2,4,1,"CAL6")),"")</f>
        <v/>
      </c>
      <c r="AH252" s="21">
        <f ca="1">IF(CALC2223!BC252&gt;1,INDIRECT(ADDRESS(MATCH(Agenda2526!C253,'CAL6'!A:A,0)+1,3,4,1,"CAL6")),0)</f>
        <v>0</v>
      </c>
      <c r="AI252" s="20" t="str">
        <f ca="1">IF(CALC2223!BC252&gt;2,INDIRECT(ADDRESS(MATCH(Agenda2526!C253,'CAL6'!A:A,0)+2,2,4,1,"CAL6")),"")</f>
        <v/>
      </c>
      <c r="AJ252" s="21">
        <f ca="1">IF(CALC2223!BC252&gt;2,INDIRECT(ADDRESS(MATCH(Agenda2526!C253,'CAL6'!A:A,0)+2,3,4,1,"CAL6")),0)</f>
        <v>0</v>
      </c>
      <c r="AK252" s="20" t="str">
        <f ca="1">IF(CALC2223!BD252&gt;0,INDIRECT(ADDRESS(MATCH(Agenda2526!C253,'CAL7'!A:A,0),2,4,1,"CAL7")),"")</f>
        <v/>
      </c>
      <c r="AL252" s="21">
        <f ca="1">IF(CALC2223!BD252&gt;0,INDIRECT(ADDRESS(MATCH(Agenda2526!C253,'CAL7'!A:A,0),3,4,1,"CAL7")),0)</f>
        <v>0</v>
      </c>
      <c r="AM252" s="20" t="str">
        <f ca="1">IF(CALC2223!BD252&gt;1,INDIRECT(ADDRESS(MATCH(Agenda2526!C253,'CAL7'!A:A,0)+1,2,4,1,"CAL7")),"")</f>
        <v/>
      </c>
      <c r="AN252" s="21">
        <f ca="1">IF(CALC2223!BD252&gt;1,INDIRECT(ADDRESS(MATCH(Agenda2526!C253,'CAL7'!A:A,0)+1,3,4,1,"CAL7")),0)</f>
        <v>0</v>
      </c>
      <c r="AO252" s="20" t="str">
        <f ca="1">IF(CALC2223!BD252&gt;2,INDIRECT(ADDRESS(MATCH(Agenda2526!C253,'CAL7'!A:A,0)+2,2,4,1,"CAL7")),"")</f>
        <v/>
      </c>
      <c r="AP252" s="21">
        <f ca="1">IF(CALC2223!BD252&gt;2,INDIRECT(ADDRESS(MATCH(Agenda2526!C253,'CAL7'!A:A,0)+2,3,4,1,"CAL7")),0)</f>
        <v>0</v>
      </c>
      <c r="AQ252" s="20" t="str">
        <f ca="1">IF(CALC2223!BE252&gt;0,INDIRECT(ADDRESS(MATCH(Agenda2526!C253,'CAL8'!A:A,0),2,4,1,"CAL8")),"")</f>
        <v/>
      </c>
      <c r="AR252" s="21">
        <f ca="1">IF(CALC2223!BE252&gt;0,INDIRECT(ADDRESS(MATCH(Agenda2526!C253,'CAL8'!A:A,0),3,4,1,"CAL8")),0)</f>
        <v>0</v>
      </c>
      <c r="AS252" s="20" t="str">
        <f ca="1">IF(CALC2223!BE252&gt;1,INDIRECT(ADDRESS(MATCH(Agenda2526!C253,'CAL8'!A:A,0)+1,2,4,1,"CAL8")),"")</f>
        <v/>
      </c>
      <c r="AT252" s="21">
        <f ca="1">IF(CALC2223!BE252&gt;1,INDIRECT(ADDRESS(MATCH(Agenda2526!C253,'CAL8'!A:A,0)+1,3,4,1,"CAL8")),0)</f>
        <v>0</v>
      </c>
      <c r="AU252" s="20" t="str">
        <f ca="1">IF(CALC2223!BE252&gt;2,INDIRECT(ADDRESS(MATCH(Agenda2526!C253,'CAL8'!A:A,0)+2,2,4,1,"CAL8")),"")</f>
        <v/>
      </c>
      <c r="AV252" s="21">
        <f ca="1">IF(CALC2223!BE252&gt;2,INDIRECT(ADDRESS(MATCH(Agenda2526!C253,'CAL8'!A:A,0)+2,3,4,1,"CAL8")),0)</f>
        <v>0</v>
      </c>
      <c r="AW252" s="106"/>
      <c r="AX252" s="20">
        <f>COUNTIF('CAL1'!A:A,Agenda2526!C253)</f>
        <v>0</v>
      </c>
      <c r="AY252" s="20">
        <f>COUNTIF('CAL2'!A:A,Agenda2526!C253)</f>
        <v>0</v>
      </c>
      <c r="AZ252" s="20">
        <f>COUNTIF('CAL3'!A:A,Agenda2526!C253)</f>
        <v>0</v>
      </c>
      <c r="BA252" s="20">
        <f>COUNTIF('CAL4'!A:A,Agenda2526!C253)</f>
        <v>0</v>
      </c>
      <c r="BB252" s="20">
        <f>COUNTIF('CAL5'!A:A,Agenda2526!C253)</f>
        <v>0</v>
      </c>
      <c r="BC252" s="20">
        <f>COUNTIF('CAL6'!A:A,Agenda2526!C253)</f>
        <v>0</v>
      </c>
      <c r="BD252" s="20">
        <f>COUNTIF('CAL7'!A:A,Agenda2526!C253)</f>
        <v>0</v>
      </c>
      <c r="BE252" s="20">
        <f>COUNTIF('CAL8'!A:A,Agenda2526!C253)</f>
        <v>0</v>
      </c>
    </row>
    <row r="253" spans="1:57" ht="15.75" customHeight="1">
      <c r="A253" s="20" t="str">
        <f ca="1">IF(CALC2223!AX253&gt;0,INDIRECT(ADDRESS(MATCH(Agenda2526!C254,'CAL1'!A:A,0),2,4,1,"CAL1")),"")</f>
        <v/>
      </c>
      <c r="B253" s="21">
        <f ca="1">IF(CALC2223!AX253&gt;0,INDIRECT(ADDRESS(MATCH(Agenda2526!C254,'CAL1'!A:A,0),3,4,1,"CAL1")),0)</f>
        <v>0</v>
      </c>
      <c r="C253" s="20" t="str">
        <f ca="1">IF(CALC2223!AX253&gt;1,INDIRECT(ADDRESS(MATCH(Agenda2526!C254,'CAL1'!A:A,0)+1,2,4,1,"CAL1")),"")</f>
        <v/>
      </c>
      <c r="D253" s="21">
        <f ca="1">IF(CALC2223!AX253&gt;1,INDIRECT(ADDRESS(MATCH(Agenda2526!C254,'CAL1'!A:A,0)+1,3,4,1,"CAL1")),0)</f>
        <v>0</v>
      </c>
      <c r="E253" s="20" t="str">
        <f ca="1">IF(CALC2223!AX253&gt;2,INDIRECT(ADDRESS(MATCH(Agenda2526!C254,'CAL1'!A:A,0)+2,2,4,1,"CAL1")),"")</f>
        <v/>
      </c>
      <c r="F253" s="21">
        <f ca="1">IF(CALC2223!AX253&gt;2,INDIRECT(ADDRESS(MATCH(Agenda2526!C254,'CAL1'!A:A,0)+2,3,4,1,"CAL1")),0)</f>
        <v>0</v>
      </c>
      <c r="G253" s="20" t="str">
        <f ca="1">IF(CALC2223!AY253&gt;0,INDIRECT(ADDRESS(MATCH(Agenda2526!C254,'CAL2'!A:A,0),2,4,1,"CAL2")),"")</f>
        <v/>
      </c>
      <c r="H253" s="21">
        <f ca="1">IF(CALC2223!AY253&gt;0,INDIRECT(ADDRESS(MATCH(Agenda2526!C254,'CAL2'!A:A,0),3,4,1,"CAL2")),0)</f>
        <v>0</v>
      </c>
      <c r="I253" s="20" t="str">
        <f ca="1">IF(CALC2223!AY253&gt;1,INDIRECT(ADDRESS(MATCH(Agenda2526!C254,'CAL2'!A:A,0)+1,2,4,1,"CAL2")),"")</f>
        <v/>
      </c>
      <c r="J253" s="21">
        <f ca="1">IF(CALC2223!AY253&gt;1,INDIRECT(ADDRESS(MATCH(Agenda2526!C254,'CAL2'!A:A,0)+1,3,4,1,"CAL2")),0)</f>
        <v>0</v>
      </c>
      <c r="K253" s="20" t="str">
        <f ca="1">IF(CALC2223!AY253&gt;2,INDIRECT(ADDRESS(MATCH(Agenda2526!C254,'CAL2'!A:A,0)+2,2,4,1,"CAL2")),"")</f>
        <v/>
      </c>
      <c r="L253" s="21">
        <f ca="1">IF(CALC2223!AY253&gt;2,INDIRECT(ADDRESS(MATCH(Agenda2526!C254,'CAL2'!A:A,0)+2,3,4,1,"CAL2")),0)</f>
        <v>0</v>
      </c>
      <c r="M253" s="20" t="str">
        <f ca="1">IF(CALC2223!AZ253&gt;0,INDIRECT(ADDRESS(MATCH(Agenda2526!C254,'CAL3'!A:A,0),2,4,1,"CAL3")),"")</f>
        <v/>
      </c>
      <c r="N253" s="21">
        <f ca="1">IF(CALC2223!AZ253&gt;0,INDIRECT(ADDRESS(MATCH(Agenda2526!C254,'CAL3'!A:A,0),3,4,1,"CAL3")),0)</f>
        <v>0</v>
      </c>
      <c r="O253" s="20" t="str">
        <f ca="1">IF(CALC2223!AZ253&gt;1,INDIRECT(ADDRESS(MATCH(Agenda2526!C254,'CAL3'!A:A,0)+1,2,4,1,"CAL3")),"")</f>
        <v/>
      </c>
      <c r="P253" s="21">
        <f ca="1">IF(CALC2223!AZ253&gt;1,INDIRECT(ADDRESS(MATCH(Agenda2526!C254,'CAL3'!A:A,0)+1,3,4,1,"CAL3")),0)</f>
        <v>0</v>
      </c>
      <c r="Q253" s="20" t="str">
        <f ca="1">IF(CALC2223!AZ253&gt;2,INDIRECT(ADDRESS(MATCH(Agenda2526!C254,'CAL3'!A:A,0)+2,2,4,1,"CAL3")),"")</f>
        <v/>
      </c>
      <c r="R253" s="21">
        <f ca="1">IF(CALC2223!AZ253&gt;2,INDIRECT(ADDRESS(MATCH(Agenda2526!C254,'CAL3'!A:A,0)+2,3,4,1,"CAL3")),0)</f>
        <v>0</v>
      </c>
      <c r="S253" s="20" t="str">
        <f ca="1">IF(CALC2223!BA253&gt;0,INDIRECT(ADDRESS(MATCH(Agenda2526!C254,'CAL4'!A:A,0),2,4,1,"CAL4")),"")</f>
        <v/>
      </c>
      <c r="T253" s="21">
        <f ca="1">IF(CALC2223!BA253&gt;0,INDIRECT(ADDRESS(MATCH(Agenda2526!C254,'CAL4'!A:A,0),3,4,1,"CAL4")),0)</f>
        <v>0</v>
      </c>
      <c r="U253" s="20" t="str">
        <f ca="1">IF(CALC2223!BA253&gt;1,INDIRECT(ADDRESS(MATCH(Agenda2526!C254,'CAL4'!A:A,0)+1,2,4,1,"CAL4")),"")</f>
        <v/>
      </c>
      <c r="V253" s="21">
        <f ca="1">IF(CALC2223!BA253&gt;1,INDIRECT(ADDRESS(MATCH(Agenda2526!C254,'CAL4'!A:A,0)+1,3,4,1,"CAL4")),0)</f>
        <v>0</v>
      </c>
      <c r="W253" s="20" t="str">
        <f ca="1">IF(CALC2223!BA253&gt;2,INDIRECT(ADDRESS(MATCH(Agenda2526!C254,'CAL4'!A:A,0)+2,2,4,1,"CAL4")),"")</f>
        <v/>
      </c>
      <c r="X253" s="21">
        <f ca="1">IF(CALC2223!BA253&gt;2,INDIRECT(ADDRESS(MATCH(Agenda2526!C254,'CAL4'!A:A,0)+2,3,4,1,"CAL4")),0)</f>
        <v>0</v>
      </c>
      <c r="Y253" s="20" t="str">
        <f ca="1">IF(CALC2223!BB253&gt;0,INDIRECT(ADDRESS(MATCH(Agenda2526!C254,'CAL5'!A:A,0),2,4,1,"CAL5")),"")</f>
        <v/>
      </c>
      <c r="Z253" s="21">
        <f ca="1">IF(CALC2223!BB253&gt;0,INDIRECT(ADDRESS(MATCH(Agenda2526!C254,'CAL5'!A:A,0),3,4,1,"CAL5")),0)</f>
        <v>0</v>
      </c>
      <c r="AA253" s="20" t="str">
        <f ca="1">IF(CALC2223!BB253&gt;1,INDIRECT(ADDRESS(MATCH(Agenda2526!C254,'CAL5'!A:A,0)+1,2,4,1,"CAL5")),"")</f>
        <v/>
      </c>
      <c r="AB253" s="21">
        <f ca="1">IF(CALC2223!BB253&gt;1,INDIRECT(ADDRESS(MATCH(Agenda2526!C254,'CAL5'!A:A,0)+1,3,4,1,"CAL5")),0)</f>
        <v>0</v>
      </c>
      <c r="AC253" s="20" t="str">
        <f ca="1">IF(CALC2223!BB253&gt;2,INDIRECT(ADDRESS(MATCH(Agenda2526!C254,'CAL5'!A:A,0)+2,2,4,1,"CAL5")),"")</f>
        <v/>
      </c>
      <c r="AD253" s="21">
        <f ca="1">IF(CALC2223!BB253&gt;2,INDIRECT(ADDRESS(MATCH(Agenda2526!C254,'CAL5'!A:A,0)+2,3,4,1,"CAL5")),0)</f>
        <v>0</v>
      </c>
      <c r="AE253" s="20" t="str">
        <f ca="1">IF(CALC2223!BC253&gt;0,INDIRECT(ADDRESS(MATCH(Agenda2526!C254,'CAL6'!A:A,0),2,4,1,"CAL6")),"")</f>
        <v/>
      </c>
      <c r="AF253" s="21">
        <f ca="1">IF(CALC2223!BC253&gt;0,INDIRECT(ADDRESS(MATCH(Agenda2526!C254,'CAL6'!A:A,0),3,4,1,"CAL6")),0)</f>
        <v>0</v>
      </c>
      <c r="AG253" s="20" t="str">
        <f ca="1">IF(CALC2223!BC253&gt;1,INDIRECT(ADDRESS(MATCH(Agenda2526!C254,'CAL6'!A:A,0)+1,2,4,1,"CAL6")),"")</f>
        <v/>
      </c>
      <c r="AH253" s="21">
        <f ca="1">IF(CALC2223!BC253&gt;1,INDIRECT(ADDRESS(MATCH(Agenda2526!C254,'CAL6'!A:A,0)+1,3,4,1,"CAL6")),0)</f>
        <v>0</v>
      </c>
      <c r="AI253" s="20" t="str">
        <f ca="1">IF(CALC2223!BC253&gt;2,INDIRECT(ADDRESS(MATCH(Agenda2526!C254,'CAL6'!A:A,0)+2,2,4,1,"CAL6")),"")</f>
        <v/>
      </c>
      <c r="AJ253" s="21">
        <f ca="1">IF(CALC2223!BC253&gt;2,INDIRECT(ADDRESS(MATCH(Agenda2526!C254,'CAL6'!A:A,0)+2,3,4,1,"CAL6")),0)</f>
        <v>0</v>
      </c>
      <c r="AK253" s="20" t="str">
        <f ca="1">IF(CALC2223!BD253&gt;0,INDIRECT(ADDRESS(MATCH(Agenda2526!C254,'CAL7'!A:A,0),2,4,1,"CAL7")),"")</f>
        <v/>
      </c>
      <c r="AL253" s="21">
        <f ca="1">IF(CALC2223!BD253&gt;0,INDIRECT(ADDRESS(MATCH(Agenda2526!C254,'CAL7'!A:A,0),3,4,1,"CAL7")),0)</f>
        <v>0</v>
      </c>
      <c r="AM253" s="20" t="str">
        <f ca="1">IF(CALC2223!BD253&gt;1,INDIRECT(ADDRESS(MATCH(Agenda2526!C254,'CAL7'!A:A,0)+1,2,4,1,"CAL7")),"")</f>
        <v/>
      </c>
      <c r="AN253" s="21">
        <f ca="1">IF(CALC2223!BD253&gt;1,INDIRECT(ADDRESS(MATCH(Agenda2526!C254,'CAL7'!A:A,0)+1,3,4,1,"CAL7")),0)</f>
        <v>0</v>
      </c>
      <c r="AO253" s="20" t="str">
        <f ca="1">IF(CALC2223!BD253&gt;2,INDIRECT(ADDRESS(MATCH(Agenda2526!C254,'CAL7'!A:A,0)+2,2,4,1,"CAL7")),"")</f>
        <v/>
      </c>
      <c r="AP253" s="21">
        <f ca="1">IF(CALC2223!BD253&gt;2,INDIRECT(ADDRESS(MATCH(Agenda2526!C254,'CAL7'!A:A,0)+2,3,4,1,"CAL7")),0)</f>
        <v>0</v>
      </c>
      <c r="AQ253" s="20" t="str">
        <f ca="1">IF(CALC2223!BE253&gt;0,INDIRECT(ADDRESS(MATCH(Agenda2526!C254,'CAL8'!A:A,0),2,4,1,"CAL8")),"")</f>
        <v/>
      </c>
      <c r="AR253" s="21">
        <f ca="1">IF(CALC2223!BE253&gt;0,INDIRECT(ADDRESS(MATCH(Agenda2526!C254,'CAL8'!A:A,0),3,4,1,"CAL8")),0)</f>
        <v>0</v>
      </c>
      <c r="AS253" s="20" t="str">
        <f ca="1">IF(CALC2223!BE253&gt;1,INDIRECT(ADDRESS(MATCH(Agenda2526!C254,'CAL8'!A:A,0)+1,2,4,1,"CAL8")),"")</f>
        <v/>
      </c>
      <c r="AT253" s="21">
        <f ca="1">IF(CALC2223!BE253&gt;1,INDIRECT(ADDRESS(MATCH(Agenda2526!C254,'CAL8'!A:A,0)+1,3,4,1,"CAL8")),0)</f>
        <v>0</v>
      </c>
      <c r="AU253" s="20" t="str">
        <f ca="1">IF(CALC2223!BE253&gt;2,INDIRECT(ADDRESS(MATCH(Agenda2526!C254,'CAL8'!A:A,0)+2,2,4,1,"CAL8")),"")</f>
        <v/>
      </c>
      <c r="AV253" s="21">
        <f ca="1">IF(CALC2223!BE253&gt;2,INDIRECT(ADDRESS(MATCH(Agenda2526!C254,'CAL8'!A:A,0)+2,3,4,1,"CAL8")),0)</f>
        <v>0</v>
      </c>
      <c r="AW253" s="106"/>
      <c r="AX253" s="20">
        <f>COUNTIF('CAL1'!A:A,Agenda2526!C254)</f>
        <v>0</v>
      </c>
      <c r="AY253" s="20">
        <f>COUNTIF('CAL2'!A:A,Agenda2526!C254)</f>
        <v>0</v>
      </c>
      <c r="AZ253" s="20">
        <f>COUNTIF('CAL3'!A:A,Agenda2526!C254)</f>
        <v>0</v>
      </c>
      <c r="BA253" s="20">
        <f>COUNTIF('CAL4'!A:A,Agenda2526!C254)</f>
        <v>0</v>
      </c>
      <c r="BB253" s="20">
        <f>COUNTIF('CAL5'!A:A,Agenda2526!C254)</f>
        <v>0</v>
      </c>
      <c r="BC253" s="20">
        <f>COUNTIF('CAL6'!A:A,Agenda2526!C254)</f>
        <v>0</v>
      </c>
      <c r="BD253" s="20">
        <f>COUNTIF('CAL7'!A:A,Agenda2526!C254)</f>
        <v>0</v>
      </c>
      <c r="BE253" s="20">
        <f>COUNTIF('CAL8'!A:A,Agenda2526!C254)</f>
        <v>0</v>
      </c>
    </row>
    <row r="254" spans="1:57" ht="15.75" customHeight="1">
      <c r="A254" s="20" t="str">
        <f ca="1">IF(CALC2223!AX254&gt;0,INDIRECT(ADDRESS(MATCH(Agenda2526!C255,'CAL1'!A:A,0),2,4,1,"CAL1")),"")</f>
        <v/>
      </c>
      <c r="B254" s="21">
        <f ca="1">IF(CALC2223!AX254&gt;0,INDIRECT(ADDRESS(MATCH(Agenda2526!C255,'CAL1'!A:A,0),3,4,1,"CAL1")),0)</f>
        <v>0</v>
      </c>
      <c r="C254" s="20" t="str">
        <f ca="1">IF(CALC2223!AX254&gt;1,INDIRECT(ADDRESS(MATCH(Agenda2526!C255,'CAL1'!A:A,0)+1,2,4,1,"CAL1")),"")</f>
        <v/>
      </c>
      <c r="D254" s="21">
        <f ca="1">IF(CALC2223!AX254&gt;1,INDIRECT(ADDRESS(MATCH(Agenda2526!C255,'CAL1'!A:A,0)+1,3,4,1,"CAL1")),0)</f>
        <v>0</v>
      </c>
      <c r="E254" s="20" t="str">
        <f ca="1">IF(CALC2223!AX254&gt;2,INDIRECT(ADDRESS(MATCH(Agenda2526!C255,'CAL1'!A:A,0)+2,2,4,1,"CAL1")),"")</f>
        <v/>
      </c>
      <c r="F254" s="21">
        <f ca="1">IF(CALC2223!AX254&gt;2,INDIRECT(ADDRESS(MATCH(Agenda2526!C255,'CAL1'!A:A,0)+2,3,4,1,"CAL1")),0)</f>
        <v>0</v>
      </c>
      <c r="G254" s="20" t="str">
        <f ca="1">IF(CALC2223!AY254&gt;0,INDIRECT(ADDRESS(MATCH(Agenda2526!C255,'CAL2'!A:A,0),2,4,1,"CAL2")),"")</f>
        <v/>
      </c>
      <c r="H254" s="21">
        <f ca="1">IF(CALC2223!AY254&gt;0,INDIRECT(ADDRESS(MATCH(Agenda2526!C255,'CAL2'!A:A,0),3,4,1,"CAL2")),0)</f>
        <v>0</v>
      </c>
      <c r="I254" s="20" t="str">
        <f ca="1">IF(CALC2223!AY254&gt;1,INDIRECT(ADDRESS(MATCH(Agenda2526!C255,'CAL2'!A:A,0)+1,2,4,1,"CAL2")),"")</f>
        <v/>
      </c>
      <c r="J254" s="21">
        <f ca="1">IF(CALC2223!AY254&gt;1,INDIRECT(ADDRESS(MATCH(Agenda2526!C255,'CAL2'!A:A,0)+1,3,4,1,"CAL2")),0)</f>
        <v>0</v>
      </c>
      <c r="K254" s="20" t="str">
        <f ca="1">IF(CALC2223!AY254&gt;2,INDIRECT(ADDRESS(MATCH(Agenda2526!C255,'CAL2'!A:A,0)+2,2,4,1,"CAL2")),"")</f>
        <v/>
      </c>
      <c r="L254" s="21">
        <f ca="1">IF(CALC2223!AY254&gt;2,INDIRECT(ADDRESS(MATCH(Agenda2526!C255,'CAL2'!A:A,0)+2,3,4,1,"CAL2")),0)</f>
        <v>0</v>
      </c>
      <c r="M254" s="20" t="str">
        <f ca="1">IF(CALC2223!AZ254&gt;0,INDIRECT(ADDRESS(MATCH(Agenda2526!C255,'CAL3'!A:A,0),2,4,1,"CAL3")),"")</f>
        <v/>
      </c>
      <c r="N254" s="21">
        <f ca="1">IF(CALC2223!AZ254&gt;0,INDIRECT(ADDRESS(MATCH(Agenda2526!C255,'CAL3'!A:A,0),3,4,1,"CAL3")),0)</f>
        <v>0</v>
      </c>
      <c r="O254" s="20" t="str">
        <f ca="1">IF(CALC2223!AZ254&gt;1,INDIRECT(ADDRESS(MATCH(Agenda2526!C255,'CAL3'!A:A,0)+1,2,4,1,"CAL3")),"")</f>
        <v/>
      </c>
      <c r="P254" s="21">
        <f ca="1">IF(CALC2223!AZ254&gt;1,INDIRECT(ADDRESS(MATCH(Agenda2526!C255,'CAL3'!A:A,0)+1,3,4,1,"CAL3")),0)</f>
        <v>0</v>
      </c>
      <c r="Q254" s="20" t="str">
        <f ca="1">IF(CALC2223!AZ254&gt;2,INDIRECT(ADDRESS(MATCH(Agenda2526!C255,'CAL3'!A:A,0)+2,2,4,1,"CAL3")),"")</f>
        <v/>
      </c>
      <c r="R254" s="21">
        <f ca="1">IF(CALC2223!AZ254&gt;2,INDIRECT(ADDRESS(MATCH(Agenda2526!C255,'CAL3'!A:A,0)+2,3,4,1,"CAL3")),0)</f>
        <v>0</v>
      </c>
      <c r="S254" s="20" t="str">
        <f ca="1">IF(CALC2223!BA254&gt;0,INDIRECT(ADDRESS(MATCH(Agenda2526!C255,'CAL4'!A:A,0),2,4,1,"CAL4")),"")</f>
        <v>inh rep AK</v>
      </c>
      <c r="T254" s="21">
        <f ca="1">IF(CALC2223!BA254&gt;0,INDIRECT(ADDRESS(MATCH(Agenda2526!C255,'CAL4'!A:A,0),3,4,1,"CAL4")),0)</f>
        <v>45968</v>
      </c>
      <c r="U254" s="20" t="str">
        <f ca="1">IF(CALC2223!BA254&gt;1,INDIRECT(ADDRESS(MATCH(Agenda2526!C255,'CAL4'!A:A,0)+1,2,4,1,"CAL4")),"")</f>
        <v/>
      </c>
      <c r="V254" s="21">
        <f ca="1">IF(CALC2223!BA254&gt;1,INDIRECT(ADDRESS(MATCH(Agenda2526!C255,'CAL4'!A:A,0)+1,3,4,1,"CAL4")),0)</f>
        <v>0</v>
      </c>
      <c r="W254" s="20" t="str">
        <f ca="1">IF(CALC2223!BA254&gt;2,INDIRECT(ADDRESS(MATCH(Agenda2526!C255,'CAL4'!A:A,0)+2,2,4,1,"CAL4")),"")</f>
        <v/>
      </c>
      <c r="X254" s="21">
        <f ca="1">IF(CALC2223!BA254&gt;2,INDIRECT(ADDRESS(MATCH(Agenda2526!C255,'CAL4'!A:A,0)+2,3,4,1,"CAL4")),0)</f>
        <v>0</v>
      </c>
      <c r="Y254" s="20" t="str">
        <f ca="1">IF(CALC2223!BB254&gt;0,INDIRECT(ADDRESS(MATCH(Agenda2526!C255,'CAL5'!A:A,0),2,4,1,"CAL5")),"")</f>
        <v>Rep WIB en WIA</v>
      </c>
      <c r="Z254" s="21">
        <f ca="1">IF(CALC2223!BB254&gt;0,INDIRECT(ADDRESS(MATCH(Agenda2526!C255,'CAL5'!A:A,0),3,4,1,"CAL5")),0)</f>
        <v>45944</v>
      </c>
      <c r="AA254" s="20" t="str">
        <f ca="1">IF(CALC2223!BB254&gt;1,INDIRECT(ADDRESS(MATCH(Agenda2526!C255,'CAL5'!A:A,0)+1,2,4,1,"CAL5")),"")</f>
        <v/>
      </c>
      <c r="AB254" s="21">
        <f ca="1">IF(CALC2223!BB254&gt;1,INDIRECT(ADDRESS(MATCH(Agenda2526!C255,'CAL5'!A:A,0)+1,3,4,1,"CAL5")),0)</f>
        <v>0</v>
      </c>
      <c r="AC254" s="20" t="str">
        <f ca="1">IF(CALC2223!BB254&gt;2,INDIRECT(ADDRESS(MATCH(Agenda2526!C255,'CAL5'!A:A,0)+2,2,4,1,"CAL5")),"")</f>
        <v/>
      </c>
      <c r="AD254" s="21">
        <f ca="1">IF(CALC2223!BB254&gt;2,INDIRECT(ADDRESS(MATCH(Agenda2526!C255,'CAL5'!A:A,0)+2,3,4,1,"CAL5")),0)</f>
        <v>0</v>
      </c>
      <c r="AE254" s="20" t="str">
        <f ca="1">IF(CALC2223!BC254&gt;0,INDIRECT(ADDRESS(MATCH(Agenda2526!C255,'CAL6'!A:A,0),2,4,1,"CAL6")),"")</f>
        <v>GS/NA</v>
      </c>
      <c r="AF254" s="21">
        <f ca="1">IF(CALC2223!BC254&gt;0,INDIRECT(ADDRESS(MATCH(Agenda2526!C255,'CAL6'!A:A,0),3,4,1,"CAL6")),0)</f>
        <v>45896</v>
      </c>
      <c r="AG254" s="20" t="str">
        <f ca="1">IF(CALC2223!BC254&gt;1,INDIRECT(ADDRESS(MATCH(Agenda2526!C255,'CAL6'!A:A,0)+1,2,4,1,"CAL6")),"")</f>
        <v/>
      </c>
      <c r="AH254" s="21">
        <f ca="1">IF(CALC2223!BC254&gt;1,INDIRECT(ADDRESS(MATCH(Agenda2526!C255,'CAL6'!A:A,0)+1,3,4,1,"CAL6")),0)</f>
        <v>0</v>
      </c>
      <c r="AI254" s="20" t="str">
        <f ca="1">IF(CALC2223!BC254&gt;2,INDIRECT(ADDRESS(MATCH(Agenda2526!C255,'CAL6'!A:A,0)+2,2,4,1,"CAL6")),"")</f>
        <v/>
      </c>
      <c r="AJ254" s="21">
        <f ca="1">IF(CALC2223!BC254&gt;2,INDIRECT(ADDRESS(MATCH(Agenda2526!C255,'CAL6'!A:A,0)+2,3,4,1,"CAL6")),0)</f>
        <v>0</v>
      </c>
      <c r="AK254" s="20" t="str">
        <f ca="1">IF(CALC2223!BD254&gt;0,INDIRECT(ADDRESS(MATCH(Agenda2526!C255,'CAL7'!A:A,0),2,4,1,"CAL7")),"")</f>
        <v>les t/m 7e uur/leerlingbespreking lj4 vanaf 14.30u</v>
      </c>
      <c r="AL254" s="21">
        <f ca="1">IF(CALC2223!BD254&gt;0,INDIRECT(ADDRESS(MATCH(Agenda2526!C255,'CAL7'!A:A,0),3,4,1,"CAL7")),0)</f>
        <v>45896</v>
      </c>
      <c r="AM254" s="20" t="str">
        <f ca="1">IF(CALC2223!BD254&gt;1,INDIRECT(ADDRESS(MATCH(Agenda2526!C255,'CAL7'!A:A,0)+1,2,4,1,"CAL7")),"")</f>
        <v/>
      </c>
      <c r="AN254" s="21">
        <f ca="1">IF(CALC2223!BD254&gt;1,INDIRECT(ADDRESS(MATCH(Agenda2526!C255,'CAL7'!A:A,0)+1,3,4,1,"CAL7")),0)</f>
        <v>0</v>
      </c>
      <c r="AO254" s="20" t="str">
        <f ca="1">IF(CALC2223!BD254&gt;2,INDIRECT(ADDRESS(MATCH(Agenda2526!C255,'CAL7'!A:A,0)+2,2,4,1,"CAL7")),"")</f>
        <v/>
      </c>
      <c r="AP254" s="21">
        <f ca="1">IF(CALC2223!BD254&gt;2,INDIRECT(ADDRESS(MATCH(Agenda2526!C255,'CAL7'!A:A,0)+2,3,4,1,"CAL7")),0)</f>
        <v>0</v>
      </c>
      <c r="AQ254" s="20" t="str">
        <f ca="1">IF(CALC2223!BE254&gt;0,INDIRECT(ADDRESS(MATCH(Agenda2526!C255,'CAL8'!A:A,0),2,4,1,"CAL8")),"")</f>
        <v/>
      </c>
      <c r="AR254" s="21">
        <f ca="1">IF(CALC2223!BE254&gt;0,INDIRECT(ADDRESS(MATCH(Agenda2526!C255,'CAL8'!A:A,0),3,4,1,"CAL8")),0)</f>
        <v>0</v>
      </c>
      <c r="AS254" s="20" t="str">
        <f ca="1">IF(CALC2223!BE254&gt;1,INDIRECT(ADDRESS(MATCH(Agenda2526!C255,'CAL8'!A:A,0)+1,2,4,1,"CAL8")),"")</f>
        <v/>
      </c>
      <c r="AT254" s="21">
        <f ca="1">IF(CALC2223!BE254&gt;1,INDIRECT(ADDRESS(MATCH(Agenda2526!C255,'CAL8'!A:A,0)+1,3,4,1,"CAL8")),0)</f>
        <v>0</v>
      </c>
      <c r="AU254" s="20" t="str">
        <f ca="1">IF(CALC2223!BE254&gt;2,INDIRECT(ADDRESS(MATCH(Agenda2526!C255,'CAL8'!A:A,0)+2,2,4,1,"CAL8")),"")</f>
        <v/>
      </c>
      <c r="AV254" s="21">
        <f ca="1">IF(CALC2223!BE254&gt;2,INDIRECT(ADDRESS(MATCH(Agenda2526!C255,'CAL8'!A:A,0)+2,3,4,1,"CAL8")),0)</f>
        <v>0</v>
      </c>
      <c r="AW254" s="105"/>
      <c r="AX254" s="20">
        <f>COUNTIF('CAL1'!A:A,Agenda2526!C255)</f>
        <v>0</v>
      </c>
      <c r="AY254" s="20">
        <f>COUNTIF('CAL2'!A:A,Agenda2526!C255)</f>
        <v>0</v>
      </c>
      <c r="AZ254" s="20">
        <f>COUNTIF('CAL3'!A:A,Agenda2526!C255)</f>
        <v>0</v>
      </c>
      <c r="BA254" s="20">
        <f>COUNTIF('CAL4'!A:A,Agenda2526!C255)</f>
        <v>1</v>
      </c>
      <c r="BB254" s="20">
        <f>COUNTIF('CAL5'!A:A,Agenda2526!C255)</f>
        <v>1</v>
      </c>
      <c r="BC254" s="20">
        <f>COUNTIF('CAL6'!A:A,Agenda2526!C255)</f>
        <v>1</v>
      </c>
      <c r="BD254" s="20">
        <f>COUNTIF('CAL7'!A:A,Agenda2526!C255)</f>
        <v>1</v>
      </c>
      <c r="BE254" s="20">
        <f>COUNTIF('CAL8'!A:A,Agenda2526!C255)</f>
        <v>0</v>
      </c>
    </row>
    <row r="255" spans="1:57" ht="15.75" customHeight="1">
      <c r="A255" s="20" t="str">
        <f ca="1">IF(CALC2223!AX255&gt;0,INDIRECT(ADDRESS(MATCH(Agenda2526!C256,'CAL1'!A:A,0),2,4,1,"CAL1")),"")</f>
        <v/>
      </c>
      <c r="B255" s="21">
        <f ca="1">IF(CALC2223!AX255&gt;0,INDIRECT(ADDRESS(MATCH(Agenda2526!C256,'CAL1'!A:A,0),3,4,1,"CAL1")),0)</f>
        <v>0</v>
      </c>
      <c r="C255" s="20" t="str">
        <f ca="1">IF(CALC2223!AX255&gt;1,INDIRECT(ADDRESS(MATCH(Agenda2526!C256,'CAL1'!A:A,0)+1,2,4,1,"CAL1")),"")</f>
        <v/>
      </c>
      <c r="D255" s="21">
        <f ca="1">IF(CALC2223!AX255&gt;1,INDIRECT(ADDRESS(MATCH(Agenda2526!C256,'CAL1'!A:A,0)+1,3,4,1,"CAL1")),0)</f>
        <v>0</v>
      </c>
      <c r="E255" s="20" t="str">
        <f ca="1">IF(CALC2223!AX255&gt;2,INDIRECT(ADDRESS(MATCH(Agenda2526!C256,'CAL1'!A:A,0)+2,2,4,1,"CAL1")),"")</f>
        <v/>
      </c>
      <c r="F255" s="21">
        <f ca="1">IF(CALC2223!AX255&gt;2,INDIRECT(ADDRESS(MATCH(Agenda2526!C256,'CAL1'!A:A,0)+2,3,4,1,"CAL1")),0)</f>
        <v>0</v>
      </c>
      <c r="G255" s="20" t="str">
        <f ca="1">IF(CALC2223!AY255&gt;0,INDIRECT(ADDRESS(MATCH(Agenda2526!C256,'CAL2'!A:A,0),2,4,1,"CAL2")),"")</f>
        <v>Rep WIS</v>
      </c>
      <c r="H255" s="21">
        <f ca="1">IF(CALC2223!AY255&gt;0,INDIRECT(ADDRESS(MATCH(Agenda2526!C256,'CAL2'!A:A,0),3,4,1,"CAL2")),0)</f>
        <v>45915</v>
      </c>
      <c r="I255" s="20" t="str">
        <f ca="1">IF(CALC2223!AY255&gt;1,INDIRECT(ADDRESS(MATCH(Agenda2526!C256,'CAL2'!A:A,0)+1,2,4,1,"CAL2")),"")</f>
        <v/>
      </c>
      <c r="J255" s="21">
        <f ca="1">IF(CALC2223!AY255&gt;1,INDIRECT(ADDRESS(MATCH(Agenda2526!C256,'CAL2'!A:A,0)+1,3,4,1,"CAL2")),0)</f>
        <v>0</v>
      </c>
      <c r="K255" s="20" t="str">
        <f ca="1">IF(CALC2223!AY255&gt;2,INDIRECT(ADDRESS(MATCH(Agenda2526!C256,'CAL2'!A:A,0)+2,2,4,1,"CAL2")),"")</f>
        <v/>
      </c>
      <c r="L255" s="21">
        <f ca="1">IF(CALC2223!AY255&gt;2,INDIRECT(ADDRESS(MATCH(Agenda2526!C256,'CAL2'!A:A,0)+2,3,4,1,"CAL2")),0)</f>
        <v>0</v>
      </c>
      <c r="M255" s="20" t="str">
        <f ca="1">IF(CALC2223!AZ255&gt;0,INDIRECT(ADDRESS(MATCH(Agenda2526!C256,'CAL3'!A:A,0),2,4,1,"CAL3")),"")</f>
        <v/>
      </c>
      <c r="N255" s="21">
        <f ca="1">IF(CALC2223!AZ255&gt;0,INDIRECT(ADDRESS(MATCH(Agenda2526!C256,'CAL3'!A:A,0),3,4,1,"CAL3")),0)</f>
        <v>0</v>
      </c>
      <c r="O255" s="20" t="str">
        <f ca="1">IF(CALC2223!AZ255&gt;1,INDIRECT(ADDRESS(MATCH(Agenda2526!C256,'CAL3'!A:A,0)+1,2,4,1,"CAL3")),"")</f>
        <v/>
      </c>
      <c r="P255" s="21">
        <f ca="1">IF(CALC2223!AZ255&gt;1,INDIRECT(ADDRESS(MATCH(Agenda2526!C256,'CAL3'!A:A,0)+1,3,4,1,"CAL3")),0)</f>
        <v>0</v>
      </c>
      <c r="Q255" s="20" t="str">
        <f ca="1">IF(CALC2223!AZ255&gt;2,INDIRECT(ADDRESS(MATCH(Agenda2526!C256,'CAL3'!A:A,0)+2,2,4,1,"CAL3")),"")</f>
        <v/>
      </c>
      <c r="R255" s="21">
        <f ca="1">IF(CALC2223!AZ255&gt;2,INDIRECT(ADDRESS(MATCH(Agenda2526!C256,'CAL3'!A:A,0)+2,3,4,1,"CAL3")),0)</f>
        <v>0</v>
      </c>
      <c r="S255" s="20" t="str">
        <f ca="1">IF(CALC2223!BA255&gt;0,INDIRECT(ADDRESS(MATCH(Agenda2526!C256,'CAL4'!A:A,0),2,4,1,"CAL4")),"")</f>
        <v>Rep BE</v>
      </c>
      <c r="T255" s="21">
        <f ca="1">IF(CALC2223!BA255&gt;0,INDIRECT(ADDRESS(MATCH(Agenda2526!C256,'CAL4'!A:A,0),3,4,1,"CAL4")),0)</f>
        <v>45896</v>
      </c>
      <c r="U255" s="20" t="str">
        <f ca="1">IF(CALC2223!BA255&gt;1,INDIRECT(ADDRESS(MATCH(Agenda2526!C256,'CAL4'!A:A,0)+1,2,4,1,"CAL4")),"")</f>
        <v/>
      </c>
      <c r="V255" s="21">
        <f ca="1">IF(CALC2223!BA255&gt;1,INDIRECT(ADDRESS(MATCH(Agenda2526!C256,'CAL4'!A:A,0)+1,3,4,1,"CAL4")),0)</f>
        <v>0</v>
      </c>
      <c r="W255" s="20" t="str">
        <f ca="1">IF(CALC2223!BA255&gt;2,INDIRECT(ADDRESS(MATCH(Agenda2526!C256,'CAL4'!A:A,0)+2,2,4,1,"CAL4")),"")</f>
        <v/>
      </c>
      <c r="X255" s="21">
        <f ca="1">IF(CALC2223!BA255&gt;2,INDIRECT(ADDRESS(MATCH(Agenda2526!C256,'CAL4'!A:A,0)+2,3,4,1,"CAL4")),0)</f>
        <v>0</v>
      </c>
      <c r="Y255" s="20" t="str">
        <f ca="1">IF(CALC2223!BB255&gt;0,INDIRECT(ADDRESS(MATCH(Agenda2526!C256,'CAL5'!A:A,0),2,4,1,"CAL5")),"")</f>
        <v/>
      </c>
      <c r="Z255" s="21">
        <f ca="1">IF(CALC2223!BB255&gt;0,INDIRECT(ADDRESS(MATCH(Agenda2526!C256,'CAL5'!A:A,0),3,4,1,"CAL5")),0)</f>
        <v>0</v>
      </c>
      <c r="AA255" s="20" t="str">
        <f ca="1">IF(CALC2223!BB255&gt;1,INDIRECT(ADDRESS(MATCH(Agenda2526!C256,'CAL5'!A:A,0)+1,2,4,1,"CAL5")),"")</f>
        <v/>
      </c>
      <c r="AB255" s="21">
        <f ca="1">IF(CALC2223!BB255&gt;1,INDIRECT(ADDRESS(MATCH(Agenda2526!C256,'CAL5'!A:A,0)+1,3,4,1,"CAL5")),0)</f>
        <v>0</v>
      </c>
      <c r="AC255" s="20" t="str">
        <f ca="1">IF(CALC2223!BB255&gt;2,INDIRECT(ADDRESS(MATCH(Agenda2526!C256,'CAL5'!A:A,0)+2,2,4,1,"CAL5")),"")</f>
        <v/>
      </c>
      <c r="AD255" s="21">
        <f ca="1">IF(CALC2223!BB255&gt;2,INDIRECT(ADDRESS(MATCH(Agenda2526!C256,'CAL5'!A:A,0)+2,3,4,1,"CAL5")),0)</f>
        <v>0</v>
      </c>
      <c r="AE255" s="20" t="str">
        <f ca="1">IF(CALC2223!BC255&gt;0,INDIRECT(ADDRESS(MATCH(Agenda2526!C256,'CAL6'!A:A,0),2,4,1,"CAL6")),"")</f>
        <v xml:space="preserve">   /NE</v>
      </c>
      <c r="AF255" s="21">
        <f ca="1">IF(CALC2223!BC255&gt;0,INDIRECT(ADDRESS(MATCH(Agenda2526!C256,'CAL6'!A:A,0),3,4,1,"CAL6")),0)</f>
        <v>45896</v>
      </c>
      <c r="AG255" s="20" t="str">
        <f ca="1">IF(CALC2223!BC255&gt;1,INDIRECT(ADDRESS(MATCH(Agenda2526!C256,'CAL6'!A:A,0)+1,2,4,1,"CAL6")),"")</f>
        <v/>
      </c>
      <c r="AH255" s="21">
        <f ca="1">IF(CALC2223!BC255&gt;1,INDIRECT(ADDRESS(MATCH(Agenda2526!C256,'CAL6'!A:A,0)+1,3,4,1,"CAL6")),0)</f>
        <v>0</v>
      </c>
      <c r="AI255" s="20" t="str">
        <f ca="1">IF(CALC2223!BC255&gt;2,INDIRECT(ADDRESS(MATCH(Agenda2526!C256,'CAL6'!A:A,0)+2,2,4,1,"CAL6")),"")</f>
        <v/>
      </c>
      <c r="AJ255" s="21">
        <f ca="1">IF(CALC2223!BC255&gt;2,INDIRECT(ADDRESS(MATCH(Agenda2526!C256,'CAL6'!A:A,0)+2,3,4,1,"CAL6")),0)</f>
        <v>0</v>
      </c>
      <c r="AK255" s="20" t="str">
        <f ca="1">IF(CALC2223!BD255&gt;0,INDIRECT(ADDRESS(MATCH(Agenda2526!C256,'CAL7'!A:A,0),2,4,1,"CAL7")),"")</f>
        <v/>
      </c>
      <c r="AL255" s="21">
        <f ca="1">IF(CALC2223!BD255&gt;0,INDIRECT(ADDRESS(MATCH(Agenda2526!C256,'CAL7'!A:A,0),3,4,1,"CAL7")),0)</f>
        <v>0</v>
      </c>
      <c r="AM255" s="20" t="str">
        <f ca="1">IF(CALC2223!BD255&gt;1,INDIRECT(ADDRESS(MATCH(Agenda2526!C256,'CAL7'!A:A,0)+1,2,4,1,"CAL7")),"")</f>
        <v/>
      </c>
      <c r="AN255" s="21">
        <f ca="1">IF(CALC2223!BD255&gt;1,INDIRECT(ADDRESS(MATCH(Agenda2526!C256,'CAL7'!A:A,0)+1,3,4,1,"CAL7")),0)</f>
        <v>0</v>
      </c>
      <c r="AO255" s="20" t="str">
        <f ca="1">IF(CALC2223!BD255&gt;2,INDIRECT(ADDRESS(MATCH(Agenda2526!C256,'CAL7'!A:A,0)+2,2,4,1,"CAL7")),"")</f>
        <v/>
      </c>
      <c r="AP255" s="21">
        <f ca="1">IF(CALC2223!BD255&gt;2,INDIRECT(ADDRESS(MATCH(Agenda2526!C256,'CAL7'!A:A,0)+2,3,4,1,"CAL7")),0)</f>
        <v>0</v>
      </c>
      <c r="AQ255" s="20" t="str">
        <f ca="1">IF(CALC2223!BE255&gt;0,INDIRECT(ADDRESS(MATCH(Agenda2526!C256,'CAL8'!A:A,0),2,4,1,"CAL8")),"")</f>
        <v/>
      </c>
      <c r="AR255" s="21">
        <f ca="1">IF(CALC2223!BE255&gt;0,INDIRECT(ADDRESS(MATCH(Agenda2526!C256,'CAL8'!A:A,0),3,4,1,"CAL8")),0)</f>
        <v>0</v>
      </c>
      <c r="AS255" s="20" t="str">
        <f ca="1">IF(CALC2223!BE255&gt;1,INDIRECT(ADDRESS(MATCH(Agenda2526!C256,'CAL8'!A:A,0)+1,2,4,1,"CAL8")),"")</f>
        <v/>
      </c>
      <c r="AT255" s="21">
        <f ca="1">IF(CALC2223!BE255&gt;1,INDIRECT(ADDRESS(MATCH(Agenda2526!C256,'CAL8'!A:A,0)+1,3,4,1,"CAL8")),0)</f>
        <v>0</v>
      </c>
      <c r="AU255" s="20" t="str">
        <f ca="1">IF(CALC2223!BE255&gt;2,INDIRECT(ADDRESS(MATCH(Agenda2526!C256,'CAL8'!A:A,0)+2,2,4,1,"CAL8")),"")</f>
        <v/>
      </c>
      <c r="AV255" s="21">
        <f ca="1">IF(CALC2223!BE255&gt;2,INDIRECT(ADDRESS(MATCH(Agenda2526!C256,'CAL8'!A:A,0)+2,3,4,1,"CAL8")),0)</f>
        <v>0</v>
      </c>
      <c r="AW255" s="105"/>
      <c r="AX255" s="20">
        <f>COUNTIF('CAL1'!A:A,Agenda2526!C256)</f>
        <v>0</v>
      </c>
      <c r="AY255" s="20">
        <f>COUNTIF('CAL2'!A:A,Agenda2526!C256)</f>
        <v>1</v>
      </c>
      <c r="AZ255" s="20">
        <f>COUNTIF('CAL3'!A:A,Agenda2526!C256)</f>
        <v>0</v>
      </c>
      <c r="BA255" s="20">
        <f>COUNTIF('CAL4'!A:A,Agenda2526!C256)</f>
        <v>1</v>
      </c>
      <c r="BB255" s="20">
        <f>COUNTIF('CAL5'!A:A,Agenda2526!C256)</f>
        <v>0</v>
      </c>
      <c r="BC255" s="20">
        <f>COUNTIF('CAL6'!A:A,Agenda2526!C256)</f>
        <v>1</v>
      </c>
      <c r="BD255" s="20">
        <f>COUNTIF('CAL7'!A:A,Agenda2526!C256)</f>
        <v>0</v>
      </c>
      <c r="BE255" s="20">
        <f>COUNTIF('CAL8'!A:A,Agenda2526!C256)</f>
        <v>0</v>
      </c>
    </row>
    <row r="256" spans="1:57" ht="15.75" customHeight="1">
      <c r="A256" s="20" t="str">
        <f ca="1">IF(CALC2223!AX256&gt;0,INDIRECT(ADDRESS(MATCH(Agenda2526!C257,'CAL1'!A:A,0),2,4,1,"CAL1")),"")</f>
        <v>Rep GES</v>
      </c>
      <c r="B256" s="21">
        <f ca="1">IF(CALC2223!AX256&gt;0,INDIRECT(ADDRESS(MATCH(Agenda2526!C257,'CAL1'!A:A,0),3,4,1,"CAL1")),0)</f>
        <v>45901</v>
      </c>
      <c r="C256" s="20" t="str">
        <f ca="1">IF(CALC2223!AX256&gt;1,INDIRECT(ADDRESS(MATCH(Agenda2526!C257,'CAL1'!A:A,0)+1,2,4,1,"CAL1")),"")</f>
        <v/>
      </c>
      <c r="D256" s="21">
        <f ca="1">IF(CALC2223!AX256&gt;1,INDIRECT(ADDRESS(MATCH(Agenda2526!C257,'CAL1'!A:A,0)+1,3,4,1,"CAL1")),0)</f>
        <v>0</v>
      </c>
      <c r="E256" s="20" t="str">
        <f ca="1">IF(CALC2223!AX256&gt;2,INDIRECT(ADDRESS(MATCH(Agenda2526!C257,'CAL1'!A:A,0)+2,2,4,1,"CAL1")),"")</f>
        <v/>
      </c>
      <c r="F256" s="21">
        <f ca="1">IF(CALC2223!AX256&gt;2,INDIRECT(ADDRESS(MATCH(Agenda2526!C257,'CAL1'!A:A,0)+2,3,4,1,"CAL1")),0)</f>
        <v>0</v>
      </c>
      <c r="G256" s="20" t="str">
        <f ca="1">IF(CALC2223!AY256&gt;0,INDIRECT(ADDRESS(MATCH(Agenda2526!C257,'CAL2'!A:A,0),2,4,1,"CAL2")),"")</f>
        <v/>
      </c>
      <c r="H256" s="21">
        <f ca="1">IF(CALC2223!AY256&gt;0,INDIRECT(ADDRESS(MATCH(Agenda2526!C257,'CAL2'!A:A,0),3,4,1,"CAL2")),0)</f>
        <v>0</v>
      </c>
      <c r="I256" s="20" t="str">
        <f ca="1">IF(CALC2223!AY256&gt;1,INDIRECT(ADDRESS(MATCH(Agenda2526!C257,'CAL2'!A:A,0)+1,2,4,1,"CAL2")),"")</f>
        <v/>
      </c>
      <c r="J256" s="21">
        <f ca="1">IF(CALC2223!AY256&gt;1,INDIRECT(ADDRESS(MATCH(Agenda2526!C257,'CAL2'!A:A,0)+1,3,4,1,"CAL2")),0)</f>
        <v>0</v>
      </c>
      <c r="K256" s="20" t="str">
        <f ca="1">IF(CALC2223!AY256&gt;2,INDIRECT(ADDRESS(MATCH(Agenda2526!C257,'CAL2'!A:A,0)+2,2,4,1,"CAL2")),"")</f>
        <v/>
      </c>
      <c r="L256" s="21">
        <f ca="1">IF(CALC2223!AY256&gt;2,INDIRECT(ADDRESS(MATCH(Agenda2526!C257,'CAL2'!A:A,0)+2,3,4,1,"CAL2")),0)</f>
        <v>0</v>
      </c>
      <c r="M256" s="20" t="str">
        <f ca="1">IF(CALC2223!AZ256&gt;0,INDIRECT(ADDRESS(MATCH(Agenda2526!C257,'CAL3'!A:A,0),2,4,1,"CAL3")),"")</f>
        <v/>
      </c>
      <c r="N256" s="21">
        <f ca="1">IF(CALC2223!AZ256&gt;0,INDIRECT(ADDRESS(MATCH(Agenda2526!C257,'CAL3'!A:A,0),3,4,1,"CAL3")),0)</f>
        <v>0</v>
      </c>
      <c r="O256" s="20" t="str">
        <f ca="1">IF(CALC2223!AZ256&gt;1,INDIRECT(ADDRESS(MATCH(Agenda2526!C257,'CAL3'!A:A,0)+1,2,4,1,"CAL3")),"")</f>
        <v/>
      </c>
      <c r="P256" s="21">
        <f ca="1">IF(CALC2223!AZ256&gt;1,INDIRECT(ADDRESS(MATCH(Agenda2526!C257,'CAL3'!A:A,0)+1,3,4,1,"CAL3")),0)</f>
        <v>0</v>
      </c>
      <c r="Q256" s="20" t="str">
        <f ca="1">IF(CALC2223!AZ256&gt;2,INDIRECT(ADDRESS(MATCH(Agenda2526!C257,'CAL3'!A:A,0)+2,2,4,1,"CAL3")),"")</f>
        <v/>
      </c>
      <c r="R256" s="21">
        <f ca="1">IF(CALC2223!AZ256&gt;2,INDIRECT(ADDRESS(MATCH(Agenda2526!C257,'CAL3'!A:A,0)+2,3,4,1,"CAL3")),0)</f>
        <v>0</v>
      </c>
      <c r="S256" s="20" t="str">
        <f ca="1">IF(CALC2223!BA256&gt;0,INDIRECT(ADDRESS(MATCH(Agenda2526!C257,'CAL4'!A:A,0),2,4,1,"CAL4")),"")</f>
        <v>inh Rep BIO</v>
      </c>
      <c r="T256" s="21">
        <f ca="1">IF(CALC2223!BA256&gt;0,INDIRECT(ADDRESS(MATCH(Agenda2526!C257,'CAL4'!A:A,0),3,4,1,"CAL4")),0)</f>
        <v>46066</v>
      </c>
      <c r="U256" s="20" t="str">
        <f ca="1">IF(CALC2223!BA256&gt;1,INDIRECT(ADDRESS(MATCH(Agenda2526!C257,'CAL4'!A:A,0)+1,2,4,1,"CAL4")),"")</f>
        <v/>
      </c>
      <c r="V256" s="21">
        <f ca="1">IF(CALC2223!BA256&gt;1,INDIRECT(ADDRESS(MATCH(Agenda2526!C257,'CAL4'!A:A,0)+1,3,4,1,"CAL4")),0)</f>
        <v>0</v>
      </c>
      <c r="W256" s="20" t="str">
        <f ca="1">IF(CALC2223!BA256&gt;2,INDIRECT(ADDRESS(MATCH(Agenda2526!C257,'CAL4'!A:A,0)+2,2,4,1,"CAL4")),"")</f>
        <v/>
      </c>
      <c r="X256" s="21">
        <f ca="1">IF(CALC2223!BA256&gt;2,INDIRECT(ADDRESS(MATCH(Agenda2526!C257,'CAL4'!A:A,0)+2,3,4,1,"CAL4")),0)</f>
        <v>0</v>
      </c>
      <c r="Y256" s="20" t="str">
        <f ca="1">IF(CALC2223!BB256&gt;0,INDIRECT(ADDRESS(MATCH(Agenda2526!C257,'CAL5'!A:A,0),2,4,1,"CAL5")),"")</f>
        <v>SE MAAT</v>
      </c>
      <c r="Z256" s="21">
        <f ca="1">IF(CALC2223!BB256&gt;0,INDIRECT(ADDRESS(MATCH(Agenda2526!C257,'CAL5'!A:A,0),3,4,1,"CAL5")),0)</f>
        <v>45896</v>
      </c>
      <c r="AA256" s="20" t="str">
        <f ca="1">IF(CALC2223!BB256&gt;1,INDIRECT(ADDRESS(MATCH(Agenda2526!C257,'CAL5'!A:A,0)+1,2,4,1,"CAL5")),"")</f>
        <v/>
      </c>
      <c r="AB256" s="21">
        <f ca="1">IF(CALC2223!BB256&gt;1,INDIRECT(ADDRESS(MATCH(Agenda2526!C257,'CAL5'!A:A,0)+1,3,4,1,"CAL5")),0)</f>
        <v>0</v>
      </c>
      <c r="AC256" s="20" t="str">
        <f ca="1">IF(CALC2223!BB256&gt;2,INDIRECT(ADDRESS(MATCH(Agenda2526!C257,'CAL5'!A:A,0)+2,2,4,1,"CAL5")),"")</f>
        <v/>
      </c>
      <c r="AD256" s="21">
        <f ca="1">IF(CALC2223!BB256&gt;2,INDIRECT(ADDRESS(MATCH(Agenda2526!C257,'CAL5'!A:A,0)+2,3,4,1,"CAL5")),0)</f>
        <v>0</v>
      </c>
      <c r="AE256" s="20" t="str">
        <f ca="1">IF(CALC2223!BC256&gt;0,INDIRECT(ADDRESS(MATCH(Agenda2526!C257,'CAL6'!A:A,0),2,4,1,"CAL6")),"")</f>
        <v>FI/WABC</v>
      </c>
      <c r="AF256" s="21">
        <f ca="1">IF(CALC2223!BC256&gt;0,INDIRECT(ADDRESS(MATCH(Agenda2526!C257,'CAL6'!A:A,0),3,4,1,"CAL6")),0)</f>
        <v>45896</v>
      </c>
      <c r="AG256" s="20" t="str">
        <f ca="1">IF(CALC2223!BC256&gt;1,INDIRECT(ADDRESS(MATCH(Agenda2526!C257,'CAL6'!A:A,0)+1,2,4,1,"CAL6")),"")</f>
        <v/>
      </c>
      <c r="AH256" s="21">
        <f ca="1">IF(CALC2223!BC256&gt;1,INDIRECT(ADDRESS(MATCH(Agenda2526!C257,'CAL6'!A:A,0)+1,3,4,1,"CAL6")),0)</f>
        <v>0</v>
      </c>
      <c r="AI256" s="20" t="str">
        <f ca="1">IF(CALC2223!BC256&gt;2,INDIRECT(ADDRESS(MATCH(Agenda2526!C257,'CAL6'!A:A,0)+2,2,4,1,"CAL6")),"")</f>
        <v/>
      </c>
      <c r="AJ256" s="21">
        <f ca="1">IF(CALC2223!BC256&gt;2,INDIRECT(ADDRESS(MATCH(Agenda2526!C257,'CAL6'!A:A,0)+2,3,4,1,"CAL6")),0)</f>
        <v>0</v>
      </c>
      <c r="AK256" s="20" t="str">
        <f ca="1">IF(CALC2223!BD256&gt;0,INDIRECT(ADDRESS(MATCH(Agenda2526!C257,'CAL7'!A:A,0),2,4,1,"CAL7")),"")</f>
        <v/>
      </c>
      <c r="AL256" s="21">
        <f ca="1">IF(CALC2223!BD256&gt;0,INDIRECT(ADDRESS(MATCH(Agenda2526!C257,'CAL7'!A:A,0),3,4,1,"CAL7")),0)</f>
        <v>0</v>
      </c>
      <c r="AM256" s="20" t="str">
        <f ca="1">IF(CALC2223!BD256&gt;1,INDIRECT(ADDRESS(MATCH(Agenda2526!C257,'CAL7'!A:A,0)+1,2,4,1,"CAL7")),"")</f>
        <v/>
      </c>
      <c r="AN256" s="21">
        <f ca="1">IF(CALC2223!BD256&gt;1,INDIRECT(ADDRESS(MATCH(Agenda2526!C257,'CAL7'!A:A,0)+1,3,4,1,"CAL7")),0)</f>
        <v>0</v>
      </c>
      <c r="AO256" s="20" t="str">
        <f ca="1">IF(CALC2223!BD256&gt;2,INDIRECT(ADDRESS(MATCH(Agenda2526!C257,'CAL7'!A:A,0)+2,2,4,1,"CAL7")),"")</f>
        <v/>
      </c>
      <c r="AP256" s="21">
        <f ca="1">IF(CALC2223!BD256&gt;2,INDIRECT(ADDRESS(MATCH(Agenda2526!C257,'CAL7'!A:A,0)+2,3,4,1,"CAL7")),0)</f>
        <v>0</v>
      </c>
      <c r="AQ256" s="20" t="str">
        <f ca="1">IF(CALC2223!BE256&gt;0,INDIRECT(ADDRESS(MATCH(Agenda2526!C257,'CAL8'!A:A,0),2,4,1,"CAL8")),"")</f>
        <v/>
      </c>
      <c r="AR256" s="21">
        <f ca="1">IF(CALC2223!BE256&gt;0,INDIRECT(ADDRESS(MATCH(Agenda2526!C257,'CAL8'!A:A,0),3,4,1,"CAL8")),0)</f>
        <v>0</v>
      </c>
      <c r="AS256" s="20" t="str">
        <f ca="1">IF(CALC2223!BE256&gt;1,INDIRECT(ADDRESS(MATCH(Agenda2526!C257,'CAL8'!A:A,0)+1,2,4,1,"CAL8")),"")</f>
        <v/>
      </c>
      <c r="AT256" s="21">
        <f ca="1">IF(CALC2223!BE256&gt;1,INDIRECT(ADDRESS(MATCH(Agenda2526!C257,'CAL8'!A:A,0)+1,3,4,1,"CAL8")),0)</f>
        <v>0</v>
      </c>
      <c r="AU256" s="20" t="str">
        <f ca="1">IF(CALC2223!BE256&gt;2,INDIRECT(ADDRESS(MATCH(Agenda2526!C257,'CAL8'!A:A,0)+2,2,4,1,"CAL8")),"")</f>
        <v/>
      </c>
      <c r="AV256" s="21">
        <f ca="1">IF(CALC2223!BE256&gt;2,INDIRECT(ADDRESS(MATCH(Agenda2526!C257,'CAL8'!A:A,0)+2,3,4,1,"CAL8")),0)</f>
        <v>0</v>
      </c>
      <c r="AW256" s="105"/>
      <c r="AX256" s="20">
        <f>COUNTIF('CAL1'!A:A,Agenda2526!C257)</f>
        <v>1</v>
      </c>
      <c r="AY256" s="20">
        <f>COUNTIF('CAL2'!A:A,Agenda2526!C257)</f>
        <v>0</v>
      </c>
      <c r="AZ256" s="20">
        <f>COUNTIF('CAL3'!A:A,Agenda2526!C257)</f>
        <v>0</v>
      </c>
      <c r="BA256" s="20">
        <f>COUNTIF('CAL4'!A:A,Agenda2526!C257)</f>
        <v>1</v>
      </c>
      <c r="BB256" s="20">
        <f>COUNTIF('CAL5'!A:A,Agenda2526!C257)</f>
        <v>1</v>
      </c>
      <c r="BC256" s="20">
        <f>COUNTIF('CAL6'!A:A,Agenda2526!C257)</f>
        <v>1</v>
      </c>
      <c r="BD256" s="20">
        <f>COUNTIF('CAL7'!A:A,Agenda2526!C257)</f>
        <v>0</v>
      </c>
      <c r="BE256" s="20">
        <f>COUNTIF('CAL8'!A:A,Agenda2526!C257)</f>
        <v>0</v>
      </c>
    </row>
    <row r="257" spans="1:57" ht="15.75" customHeight="1">
      <c r="A257" s="20" t="str">
        <f ca="1">IF(CALC2223!AX257&gt;0,INDIRECT(ADDRESS(MATCH(Agenda2526!C258,'CAL1'!A:A,0),2,4,1,"CAL1")),"")</f>
        <v/>
      </c>
      <c r="B257" s="21">
        <f ca="1">IF(CALC2223!AX257&gt;0,INDIRECT(ADDRESS(MATCH(Agenda2526!C258,'CAL1'!A:A,0),3,4,1,"CAL1")),0)</f>
        <v>0</v>
      </c>
      <c r="C257" s="20" t="str">
        <f ca="1">IF(CALC2223!AX257&gt;1,INDIRECT(ADDRESS(MATCH(Agenda2526!C258,'CAL1'!A:A,0)+1,2,4,1,"CAL1")),"")</f>
        <v/>
      </c>
      <c r="D257" s="21">
        <f ca="1">IF(CALC2223!AX257&gt;1,INDIRECT(ADDRESS(MATCH(Agenda2526!C258,'CAL1'!A:A,0)+1,3,4,1,"CAL1")),0)</f>
        <v>0</v>
      </c>
      <c r="E257" s="20" t="str">
        <f ca="1">IF(CALC2223!AX257&gt;2,INDIRECT(ADDRESS(MATCH(Agenda2526!C258,'CAL1'!A:A,0)+2,2,4,1,"CAL1")),"")</f>
        <v/>
      </c>
      <c r="F257" s="21">
        <f ca="1">IF(CALC2223!AX257&gt;2,INDIRECT(ADDRESS(MATCH(Agenda2526!C258,'CAL1'!A:A,0)+2,3,4,1,"CAL1")),0)</f>
        <v>0</v>
      </c>
      <c r="G257" s="20" t="str">
        <f ca="1">IF(CALC2223!AY257&gt;0,INDIRECT(ADDRESS(MATCH(Agenda2526!C258,'CAL2'!A:A,0),2,4,1,"CAL2")),"")</f>
        <v/>
      </c>
      <c r="H257" s="21">
        <f ca="1">IF(CALC2223!AY257&gt;0,INDIRECT(ADDRESS(MATCH(Agenda2526!C258,'CAL2'!A:A,0),3,4,1,"CAL2")),0)</f>
        <v>0</v>
      </c>
      <c r="I257" s="20" t="str">
        <f ca="1">IF(CALC2223!AY257&gt;1,INDIRECT(ADDRESS(MATCH(Agenda2526!C258,'CAL2'!A:A,0)+1,2,4,1,"CAL2")),"")</f>
        <v/>
      </c>
      <c r="J257" s="21">
        <f ca="1">IF(CALC2223!AY257&gt;1,INDIRECT(ADDRESS(MATCH(Agenda2526!C258,'CAL2'!A:A,0)+1,3,4,1,"CAL2")),0)</f>
        <v>0</v>
      </c>
      <c r="K257" s="20" t="str">
        <f ca="1">IF(CALC2223!AY257&gt;2,INDIRECT(ADDRESS(MATCH(Agenda2526!C258,'CAL2'!A:A,0)+2,2,4,1,"CAL2")),"")</f>
        <v/>
      </c>
      <c r="L257" s="21">
        <f ca="1">IF(CALC2223!AY257&gt;2,INDIRECT(ADDRESS(MATCH(Agenda2526!C258,'CAL2'!A:A,0)+2,3,4,1,"CAL2")),0)</f>
        <v>0</v>
      </c>
      <c r="M257" s="20" t="str">
        <f ca="1">IF(CALC2223!AZ257&gt;0,INDIRECT(ADDRESS(MATCH(Agenda2526!C258,'CAL3'!A:A,0),2,4,1,"CAL3")),"")</f>
        <v/>
      </c>
      <c r="N257" s="21">
        <f ca="1">IF(CALC2223!AZ257&gt;0,INDIRECT(ADDRESS(MATCH(Agenda2526!C258,'CAL3'!A:A,0),3,4,1,"CAL3")),0)</f>
        <v>0</v>
      </c>
      <c r="O257" s="20" t="str">
        <f ca="1">IF(CALC2223!AZ257&gt;1,INDIRECT(ADDRESS(MATCH(Agenda2526!C258,'CAL3'!A:A,0)+1,2,4,1,"CAL3")),"")</f>
        <v/>
      </c>
      <c r="P257" s="21">
        <f ca="1">IF(CALC2223!AZ257&gt;1,INDIRECT(ADDRESS(MATCH(Agenda2526!C258,'CAL3'!A:A,0)+1,3,4,1,"CAL3")),0)</f>
        <v>0</v>
      </c>
      <c r="Q257" s="20" t="str">
        <f ca="1">IF(CALC2223!AZ257&gt;2,INDIRECT(ADDRESS(MATCH(Agenda2526!C258,'CAL3'!A:A,0)+2,2,4,1,"CAL3")),"")</f>
        <v/>
      </c>
      <c r="R257" s="21">
        <f ca="1">IF(CALC2223!AZ257&gt;2,INDIRECT(ADDRESS(MATCH(Agenda2526!C258,'CAL3'!A:A,0)+2,3,4,1,"CAL3")),0)</f>
        <v>0</v>
      </c>
      <c r="S257" s="20" t="str">
        <f ca="1">IF(CALC2223!BA257&gt;0,INDIRECT(ADDRESS(MATCH(Agenda2526!C258,'CAL4'!A:A,0),2,4,1,"CAL4")),"")</f>
        <v/>
      </c>
      <c r="T257" s="21">
        <f ca="1">IF(CALC2223!BA257&gt;0,INDIRECT(ADDRESS(MATCH(Agenda2526!C258,'CAL4'!A:A,0),3,4,1,"CAL4")),0)</f>
        <v>0</v>
      </c>
      <c r="U257" s="20" t="str">
        <f ca="1">IF(CALC2223!BA257&gt;1,INDIRECT(ADDRESS(MATCH(Agenda2526!C258,'CAL4'!A:A,0)+1,2,4,1,"CAL4")),"")</f>
        <v/>
      </c>
      <c r="V257" s="21">
        <f ca="1">IF(CALC2223!BA257&gt;1,INDIRECT(ADDRESS(MATCH(Agenda2526!C258,'CAL4'!A:A,0)+1,3,4,1,"CAL4")),0)</f>
        <v>0</v>
      </c>
      <c r="W257" s="20" t="str">
        <f ca="1">IF(CALC2223!BA257&gt;2,INDIRECT(ADDRESS(MATCH(Agenda2526!C258,'CAL4'!A:A,0)+2,2,4,1,"CAL4")),"")</f>
        <v/>
      </c>
      <c r="X257" s="21">
        <f ca="1">IF(CALC2223!BA257&gt;2,INDIRECT(ADDRESS(MATCH(Agenda2526!C258,'CAL4'!A:A,0)+2,3,4,1,"CAL4")),0)</f>
        <v>0</v>
      </c>
      <c r="Y257" s="20" t="str">
        <f ca="1">IF(CALC2223!BB257&gt;0,INDIRECT(ADDRESS(MATCH(Agenda2526!C258,'CAL5'!A:A,0),2,4,1,"CAL5")),"")</f>
        <v/>
      </c>
      <c r="Z257" s="21">
        <f ca="1">IF(CALC2223!BB257&gt;0,INDIRECT(ADDRESS(MATCH(Agenda2526!C258,'CAL5'!A:A,0),3,4,1,"CAL5")),0)</f>
        <v>0</v>
      </c>
      <c r="AA257" s="20" t="str">
        <f ca="1">IF(CALC2223!BB257&gt;1,INDIRECT(ADDRESS(MATCH(Agenda2526!C258,'CAL5'!A:A,0)+1,2,4,1,"CAL5")),"")</f>
        <v/>
      </c>
      <c r="AB257" s="21">
        <f ca="1">IF(CALC2223!BB257&gt;1,INDIRECT(ADDRESS(MATCH(Agenda2526!C258,'CAL5'!A:A,0)+1,3,4,1,"CAL5")),0)</f>
        <v>0</v>
      </c>
      <c r="AC257" s="20" t="str">
        <f ca="1">IF(CALC2223!BB257&gt;2,INDIRECT(ADDRESS(MATCH(Agenda2526!C258,'CAL5'!A:A,0)+2,2,4,1,"CAL5")),"")</f>
        <v/>
      </c>
      <c r="AD257" s="21">
        <f ca="1">IF(CALC2223!BB257&gt;2,INDIRECT(ADDRESS(MATCH(Agenda2526!C258,'CAL5'!A:A,0)+2,3,4,1,"CAL5")),0)</f>
        <v>0</v>
      </c>
      <c r="AE257" s="20" t="str">
        <f ca="1">IF(CALC2223!BC257&gt;0,INDIRECT(ADDRESS(MATCH(Agenda2526!C258,'CAL6'!A:A,0),2,4,1,"CAL6")),"")</f>
        <v/>
      </c>
      <c r="AF257" s="21">
        <f ca="1">IF(CALC2223!BC257&gt;0,INDIRECT(ADDRESS(MATCH(Agenda2526!C258,'CAL6'!A:A,0),3,4,1,"CAL6")),0)</f>
        <v>0</v>
      </c>
      <c r="AG257" s="20" t="str">
        <f ca="1">IF(CALC2223!BC257&gt;1,INDIRECT(ADDRESS(MATCH(Agenda2526!C258,'CAL6'!A:A,0)+1,2,4,1,"CAL6")),"")</f>
        <v/>
      </c>
      <c r="AH257" s="21">
        <f ca="1">IF(CALC2223!BC257&gt;1,INDIRECT(ADDRESS(MATCH(Agenda2526!C258,'CAL6'!A:A,0)+1,3,4,1,"CAL6")),0)</f>
        <v>0</v>
      </c>
      <c r="AI257" s="20" t="str">
        <f ca="1">IF(CALC2223!BC257&gt;2,INDIRECT(ADDRESS(MATCH(Agenda2526!C258,'CAL6'!A:A,0)+2,2,4,1,"CAL6")),"")</f>
        <v/>
      </c>
      <c r="AJ257" s="21">
        <f ca="1">IF(CALC2223!BC257&gt;2,INDIRECT(ADDRESS(MATCH(Agenda2526!C258,'CAL6'!A:A,0)+2,3,4,1,"CAL6")),0)</f>
        <v>0</v>
      </c>
      <c r="AK257" s="20" t="str">
        <f ca="1">IF(CALC2223!BD257&gt;0,INDIRECT(ADDRESS(MATCH(Agenda2526!C258,'CAL7'!A:A,0),2,4,1,"CAL7")),"")</f>
        <v/>
      </c>
      <c r="AL257" s="21">
        <f ca="1">IF(CALC2223!BD257&gt;0,INDIRECT(ADDRESS(MATCH(Agenda2526!C258,'CAL7'!A:A,0),3,4,1,"CAL7")),0)</f>
        <v>0</v>
      </c>
      <c r="AM257" s="20" t="str">
        <f ca="1">IF(CALC2223!BD257&gt;1,INDIRECT(ADDRESS(MATCH(Agenda2526!C258,'CAL7'!A:A,0)+1,2,4,1,"CAL7")),"")</f>
        <v/>
      </c>
      <c r="AN257" s="21">
        <f ca="1">IF(CALC2223!BD257&gt;1,INDIRECT(ADDRESS(MATCH(Agenda2526!C258,'CAL7'!A:A,0)+1,3,4,1,"CAL7")),0)</f>
        <v>0</v>
      </c>
      <c r="AO257" s="20" t="str">
        <f ca="1">IF(CALC2223!BD257&gt;2,INDIRECT(ADDRESS(MATCH(Agenda2526!C258,'CAL7'!A:A,0)+2,2,4,1,"CAL7")),"")</f>
        <v/>
      </c>
      <c r="AP257" s="21">
        <f ca="1">IF(CALC2223!BD257&gt;2,INDIRECT(ADDRESS(MATCH(Agenda2526!C258,'CAL7'!A:A,0)+2,3,4,1,"CAL7")),0)</f>
        <v>0</v>
      </c>
      <c r="AQ257" s="20" t="str">
        <f ca="1">IF(CALC2223!BE257&gt;0,INDIRECT(ADDRESS(MATCH(Agenda2526!C258,'CAL8'!A:A,0),2,4,1,"CAL8")),"")</f>
        <v>Hemelvaartdag</v>
      </c>
      <c r="AR257" s="21">
        <f ca="1">IF(CALC2223!BE257&gt;0,INDIRECT(ADDRESS(MATCH(Agenda2526!C258,'CAL8'!A:A,0),3,4,1,"CAL8")),0)</f>
        <v>45896</v>
      </c>
      <c r="AS257" s="20" t="str">
        <f ca="1">IF(CALC2223!BE257&gt;1,INDIRECT(ADDRESS(MATCH(Agenda2526!C258,'CAL8'!A:A,0)+1,2,4,1,"CAL8")),"")</f>
        <v/>
      </c>
      <c r="AT257" s="21">
        <f ca="1">IF(CALC2223!BE257&gt;1,INDIRECT(ADDRESS(MATCH(Agenda2526!C258,'CAL8'!A:A,0)+1,3,4,1,"CAL8")),0)</f>
        <v>0</v>
      </c>
      <c r="AU257" s="20" t="str">
        <f ca="1">IF(CALC2223!BE257&gt;2,INDIRECT(ADDRESS(MATCH(Agenda2526!C258,'CAL8'!A:A,0)+2,2,4,1,"CAL8")),"")</f>
        <v/>
      </c>
      <c r="AV257" s="21">
        <f ca="1">IF(CALC2223!BE257&gt;2,INDIRECT(ADDRESS(MATCH(Agenda2526!C258,'CAL8'!A:A,0)+2,3,4,1,"CAL8")),0)</f>
        <v>0</v>
      </c>
      <c r="AW257" s="110"/>
      <c r="AX257" s="20">
        <f>COUNTIF('CAL1'!A:A,Agenda2526!C258)</f>
        <v>0</v>
      </c>
      <c r="AY257" s="20">
        <f>COUNTIF('CAL2'!A:A,Agenda2526!C258)</f>
        <v>0</v>
      </c>
      <c r="AZ257" s="20">
        <f>COUNTIF('CAL3'!A:A,Agenda2526!C258)</f>
        <v>0</v>
      </c>
      <c r="BA257" s="20">
        <f>COUNTIF('CAL4'!A:A,Agenda2526!C258)</f>
        <v>0</v>
      </c>
      <c r="BB257" s="20">
        <f>COUNTIF('CAL5'!A:A,Agenda2526!C258)</f>
        <v>0</v>
      </c>
      <c r="BC257" s="20">
        <f>COUNTIF('CAL6'!A:A,Agenda2526!C258)</f>
        <v>0</v>
      </c>
      <c r="BD257" s="20">
        <f>COUNTIF('CAL7'!A:A,Agenda2526!C258)</f>
        <v>0</v>
      </c>
      <c r="BE257" s="20">
        <f>COUNTIF('CAL8'!A:A,Agenda2526!C258)</f>
        <v>1</v>
      </c>
    </row>
    <row r="258" spans="1:57" ht="15.75" customHeight="1">
      <c r="A258" s="20" t="str">
        <f ca="1">IF(CALC2223!AX258&gt;0,INDIRECT(ADDRESS(MATCH(Agenda2526!C259,'CAL1'!A:A,0),2,4,1,"CAL1")),"")</f>
        <v/>
      </c>
      <c r="B258" s="21">
        <f ca="1">IF(CALC2223!AX258&gt;0,INDIRECT(ADDRESS(MATCH(Agenda2526!C259,'CAL1'!A:A,0),3,4,1,"CAL1")),0)</f>
        <v>0</v>
      </c>
      <c r="C258" s="20" t="str">
        <f ca="1">IF(CALC2223!AX258&gt;1,INDIRECT(ADDRESS(MATCH(Agenda2526!C259,'CAL1'!A:A,0)+1,2,4,1,"CAL1")),"")</f>
        <v/>
      </c>
      <c r="D258" s="21">
        <f ca="1">IF(CALC2223!AX258&gt;1,INDIRECT(ADDRESS(MATCH(Agenda2526!C259,'CAL1'!A:A,0)+1,3,4,1,"CAL1")),0)</f>
        <v>0</v>
      </c>
      <c r="E258" s="20" t="str">
        <f ca="1">IF(CALC2223!AX258&gt;2,INDIRECT(ADDRESS(MATCH(Agenda2526!C259,'CAL1'!A:A,0)+2,2,4,1,"CAL1")),"")</f>
        <v/>
      </c>
      <c r="F258" s="21">
        <f ca="1">IF(CALC2223!AX258&gt;2,INDIRECT(ADDRESS(MATCH(Agenda2526!C259,'CAL1'!A:A,0)+2,3,4,1,"CAL1")),0)</f>
        <v>0</v>
      </c>
      <c r="G258" s="20" t="str">
        <f ca="1">IF(CALC2223!AY258&gt;0,INDIRECT(ADDRESS(MATCH(Agenda2526!C259,'CAL2'!A:A,0),2,4,1,"CAL2")),"")</f>
        <v/>
      </c>
      <c r="H258" s="21">
        <f ca="1">IF(CALC2223!AY258&gt;0,INDIRECT(ADDRESS(MATCH(Agenda2526!C259,'CAL2'!A:A,0),3,4,1,"CAL2")),0)</f>
        <v>0</v>
      </c>
      <c r="I258" s="20" t="str">
        <f ca="1">IF(CALC2223!AY258&gt;1,INDIRECT(ADDRESS(MATCH(Agenda2526!C259,'CAL2'!A:A,0)+1,2,4,1,"CAL2")),"")</f>
        <v/>
      </c>
      <c r="J258" s="21">
        <f ca="1">IF(CALC2223!AY258&gt;1,INDIRECT(ADDRESS(MATCH(Agenda2526!C259,'CAL2'!A:A,0)+1,3,4,1,"CAL2")),0)</f>
        <v>0</v>
      </c>
      <c r="K258" s="20" t="str">
        <f ca="1">IF(CALC2223!AY258&gt;2,INDIRECT(ADDRESS(MATCH(Agenda2526!C259,'CAL2'!A:A,0)+2,2,4,1,"CAL2")),"")</f>
        <v/>
      </c>
      <c r="L258" s="21">
        <f ca="1">IF(CALC2223!AY258&gt;2,INDIRECT(ADDRESS(MATCH(Agenda2526!C259,'CAL2'!A:A,0)+2,3,4,1,"CAL2")),0)</f>
        <v>0</v>
      </c>
      <c r="M258" s="20" t="str">
        <f ca="1">IF(CALC2223!AZ258&gt;0,INDIRECT(ADDRESS(MATCH(Agenda2526!C259,'CAL3'!A:A,0),2,4,1,"CAL3")),"")</f>
        <v/>
      </c>
      <c r="N258" s="21">
        <f ca="1">IF(CALC2223!AZ258&gt;0,INDIRECT(ADDRESS(MATCH(Agenda2526!C259,'CAL3'!A:A,0),3,4,1,"CAL3")),0)</f>
        <v>0</v>
      </c>
      <c r="O258" s="20" t="str">
        <f ca="1">IF(CALC2223!AZ258&gt;1,INDIRECT(ADDRESS(MATCH(Agenda2526!C259,'CAL3'!A:A,0)+1,2,4,1,"CAL3")),"")</f>
        <v/>
      </c>
      <c r="P258" s="21">
        <f ca="1">IF(CALC2223!AZ258&gt;1,INDIRECT(ADDRESS(MATCH(Agenda2526!C259,'CAL3'!A:A,0)+1,3,4,1,"CAL3")),0)</f>
        <v>0</v>
      </c>
      <c r="Q258" s="20" t="str">
        <f ca="1">IF(CALC2223!AZ258&gt;2,INDIRECT(ADDRESS(MATCH(Agenda2526!C259,'CAL3'!A:A,0)+2,2,4,1,"CAL3")),"")</f>
        <v/>
      </c>
      <c r="R258" s="21">
        <f ca="1">IF(CALC2223!AZ258&gt;2,INDIRECT(ADDRESS(MATCH(Agenda2526!C259,'CAL3'!A:A,0)+2,3,4,1,"CAL3")),0)</f>
        <v>0</v>
      </c>
      <c r="S258" s="20" t="str">
        <f ca="1">IF(CALC2223!BA258&gt;0,INDIRECT(ADDRESS(MATCH(Agenda2526!C259,'CAL4'!A:A,0),2,4,1,"CAL4")),"")</f>
        <v/>
      </c>
      <c r="T258" s="21">
        <f ca="1">IF(CALC2223!BA258&gt;0,INDIRECT(ADDRESS(MATCH(Agenda2526!C259,'CAL4'!A:A,0),3,4,1,"CAL4")),0)</f>
        <v>0</v>
      </c>
      <c r="U258" s="20" t="str">
        <f ca="1">IF(CALC2223!BA258&gt;1,INDIRECT(ADDRESS(MATCH(Agenda2526!C259,'CAL4'!A:A,0)+1,2,4,1,"CAL4")),"")</f>
        <v/>
      </c>
      <c r="V258" s="21">
        <f ca="1">IF(CALC2223!BA258&gt;1,INDIRECT(ADDRESS(MATCH(Agenda2526!C259,'CAL4'!A:A,0)+1,3,4,1,"CAL4")),0)</f>
        <v>0</v>
      </c>
      <c r="W258" s="20" t="str">
        <f ca="1">IF(CALC2223!BA258&gt;2,INDIRECT(ADDRESS(MATCH(Agenda2526!C259,'CAL4'!A:A,0)+2,2,4,1,"CAL4")),"")</f>
        <v/>
      </c>
      <c r="X258" s="21">
        <f ca="1">IF(CALC2223!BA258&gt;2,INDIRECT(ADDRESS(MATCH(Agenda2526!C259,'CAL4'!A:A,0)+2,3,4,1,"CAL4")),0)</f>
        <v>0</v>
      </c>
      <c r="Y258" s="20" t="str">
        <f ca="1">IF(CALC2223!BB258&gt;0,INDIRECT(ADDRESS(MATCH(Agenda2526!C259,'CAL5'!A:A,0),2,4,1,"CAL5")),"")</f>
        <v/>
      </c>
      <c r="Z258" s="21">
        <f ca="1">IF(CALC2223!BB258&gt;0,INDIRECT(ADDRESS(MATCH(Agenda2526!C259,'CAL5'!A:A,0),3,4,1,"CAL5")),0)</f>
        <v>0</v>
      </c>
      <c r="AA258" s="20" t="str">
        <f ca="1">IF(CALC2223!BB258&gt;1,INDIRECT(ADDRESS(MATCH(Agenda2526!C259,'CAL5'!A:A,0)+1,2,4,1,"CAL5")),"")</f>
        <v/>
      </c>
      <c r="AB258" s="21">
        <f ca="1">IF(CALC2223!BB258&gt;1,INDIRECT(ADDRESS(MATCH(Agenda2526!C259,'CAL5'!A:A,0)+1,3,4,1,"CAL5")),0)</f>
        <v>0</v>
      </c>
      <c r="AC258" s="20" t="str">
        <f ca="1">IF(CALC2223!BB258&gt;2,INDIRECT(ADDRESS(MATCH(Agenda2526!C259,'CAL5'!A:A,0)+2,2,4,1,"CAL5")),"")</f>
        <v/>
      </c>
      <c r="AD258" s="21">
        <f ca="1">IF(CALC2223!BB258&gt;2,INDIRECT(ADDRESS(MATCH(Agenda2526!C259,'CAL5'!A:A,0)+2,3,4,1,"CAL5")),0)</f>
        <v>0</v>
      </c>
      <c r="AE258" s="20" t="str">
        <f ca="1">IF(CALC2223!BC258&gt;0,INDIRECT(ADDRESS(MATCH(Agenda2526!C259,'CAL6'!A:A,0),2,4,1,"CAL6")),"")</f>
        <v/>
      </c>
      <c r="AF258" s="21">
        <f ca="1">IF(CALC2223!BC258&gt;0,INDIRECT(ADDRESS(MATCH(Agenda2526!C259,'CAL6'!A:A,0),3,4,1,"CAL6")),0)</f>
        <v>0</v>
      </c>
      <c r="AG258" s="20" t="str">
        <f ca="1">IF(CALC2223!BC258&gt;1,INDIRECT(ADDRESS(MATCH(Agenda2526!C259,'CAL6'!A:A,0)+1,2,4,1,"CAL6")),"")</f>
        <v/>
      </c>
      <c r="AH258" s="21">
        <f ca="1">IF(CALC2223!BC258&gt;1,INDIRECT(ADDRESS(MATCH(Agenda2526!C259,'CAL6'!A:A,0)+1,3,4,1,"CAL6")),0)</f>
        <v>0</v>
      </c>
      <c r="AI258" s="20" t="str">
        <f ca="1">IF(CALC2223!BC258&gt;2,INDIRECT(ADDRESS(MATCH(Agenda2526!C259,'CAL6'!A:A,0)+2,2,4,1,"CAL6")),"")</f>
        <v/>
      </c>
      <c r="AJ258" s="21">
        <f ca="1">IF(CALC2223!BC258&gt;2,INDIRECT(ADDRESS(MATCH(Agenda2526!C259,'CAL6'!A:A,0)+2,3,4,1,"CAL6")),0)</f>
        <v>0</v>
      </c>
      <c r="AK258" s="20" t="str">
        <f ca="1">IF(CALC2223!BD258&gt;0,INDIRECT(ADDRESS(MATCH(Agenda2526!C259,'CAL7'!A:A,0),2,4,1,"CAL7")),"")</f>
        <v/>
      </c>
      <c r="AL258" s="21">
        <f ca="1">IF(CALC2223!BD258&gt;0,INDIRECT(ADDRESS(MATCH(Agenda2526!C259,'CAL7'!A:A,0),3,4,1,"CAL7")),0)</f>
        <v>0</v>
      </c>
      <c r="AM258" s="20" t="str">
        <f ca="1">IF(CALC2223!BD258&gt;1,INDIRECT(ADDRESS(MATCH(Agenda2526!C259,'CAL7'!A:A,0)+1,2,4,1,"CAL7")),"")</f>
        <v/>
      </c>
      <c r="AN258" s="21">
        <f ca="1">IF(CALC2223!BD258&gt;1,INDIRECT(ADDRESS(MATCH(Agenda2526!C259,'CAL7'!A:A,0)+1,3,4,1,"CAL7")),0)</f>
        <v>0</v>
      </c>
      <c r="AO258" s="20" t="str">
        <f ca="1">IF(CALC2223!BD258&gt;2,INDIRECT(ADDRESS(MATCH(Agenda2526!C259,'CAL7'!A:A,0)+2,2,4,1,"CAL7")),"")</f>
        <v/>
      </c>
      <c r="AP258" s="21">
        <f ca="1">IF(CALC2223!BD258&gt;2,INDIRECT(ADDRESS(MATCH(Agenda2526!C259,'CAL7'!A:A,0)+2,3,4,1,"CAL7")),0)</f>
        <v>0</v>
      </c>
      <c r="AQ258" s="20" t="str">
        <f ca="1">IF(CALC2223!BE258&gt;0,INDIRECT(ADDRESS(MATCH(Agenda2526!C259,'CAL8'!A:A,0),2,4,1,"CAL8")),"")</f>
        <v/>
      </c>
      <c r="AR258" s="21">
        <f ca="1">IF(CALC2223!BE258&gt;0,INDIRECT(ADDRESS(MATCH(Agenda2526!C259,'CAL8'!A:A,0),3,4,1,"CAL8")),0)</f>
        <v>0</v>
      </c>
      <c r="AS258" s="20" t="str">
        <f ca="1">IF(CALC2223!BE258&gt;1,INDIRECT(ADDRESS(MATCH(Agenda2526!C259,'CAL8'!A:A,0)+1,2,4,1,"CAL8")),"")</f>
        <v/>
      </c>
      <c r="AT258" s="21">
        <f ca="1">IF(CALC2223!BE258&gt;1,INDIRECT(ADDRESS(MATCH(Agenda2526!C259,'CAL8'!A:A,0)+1,3,4,1,"CAL8")),0)</f>
        <v>0</v>
      </c>
      <c r="AU258" s="20" t="str">
        <f ca="1">IF(CALC2223!BE258&gt;2,INDIRECT(ADDRESS(MATCH(Agenda2526!C259,'CAL8'!A:A,0)+2,2,4,1,"CAL8")),"")</f>
        <v/>
      </c>
      <c r="AV258" s="21">
        <f ca="1">IF(CALC2223!BE258&gt;2,INDIRECT(ADDRESS(MATCH(Agenda2526!C259,'CAL8'!A:A,0)+2,3,4,1,"CAL8")),0)</f>
        <v>0</v>
      </c>
      <c r="AW258" s="107"/>
      <c r="AX258" s="20">
        <f>COUNTIF('CAL1'!A:A,Agenda2526!C259)</f>
        <v>0</v>
      </c>
      <c r="AY258" s="20">
        <f>COUNTIF('CAL2'!A:A,Agenda2526!C259)</f>
        <v>0</v>
      </c>
      <c r="AZ258" s="20">
        <f>COUNTIF('CAL3'!A:A,Agenda2526!C259)</f>
        <v>0</v>
      </c>
      <c r="BA258" s="20">
        <f>COUNTIF('CAL4'!A:A,Agenda2526!C259)</f>
        <v>0</v>
      </c>
      <c r="BB258" s="20">
        <f>COUNTIF('CAL5'!A:A,Agenda2526!C259)</f>
        <v>0</v>
      </c>
      <c r="BC258" s="20">
        <f>COUNTIF('CAL6'!A:A,Agenda2526!C259)</f>
        <v>0</v>
      </c>
      <c r="BD258" s="20">
        <f>COUNTIF('CAL7'!A:A,Agenda2526!C259)</f>
        <v>0</v>
      </c>
      <c r="BE258" s="20">
        <f>COUNTIF('CAL8'!A:A,Agenda2526!C259)</f>
        <v>0</v>
      </c>
    </row>
    <row r="259" spans="1:57" ht="15.75" customHeight="1">
      <c r="A259" s="20" t="str">
        <f ca="1">IF(CALC2223!AX259&gt;0,INDIRECT(ADDRESS(MATCH(Agenda2526!C260,'CAL1'!A:A,0),2,4,1,"CAL1")),"")</f>
        <v/>
      </c>
      <c r="B259" s="21">
        <f ca="1">IF(CALC2223!AX259&gt;0,INDIRECT(ADDRESS(MATCH(Agenda2526!C260,'CAL1'!A:A,0),3,4,1,"CAL1")),0)</f>
        <v>0</v>
      </c>
      <c r="C259" s="20" t="str">
        <f ca="1">IF(CALC2223!AX259&gt;1,INDIRECT(ADDRESS(MATCH(Agenda2526!C260,'CAL1'!A:A,0)+1,2,4,1,"CAL1")),"")</f>
        <v/>
      </c>
      <c r="D259" s="21">
        <f ca="1">IF(CALC2223!AX259&gt;1,INDIRECT(ADDRESS(MATCH(Agenda2526!C260,'CAL1'!A:A,0)+1,3,4,1,"CAL1")),0)</f>
        <v>0</v>
      </c>
      <c r="E259" s="20" t="str">
        <f ca="1">IF(CALC2223!AX259&gt;2,INDIRECT(ADDRESS(MATCH(Agenda2526!C260,'CAL1'!A:A,0)+2,2,4,1,"CAL1")),"")</f>
        <v/>
      </c>
      <c r="F259" s="21">
        <f ca="1">IF(CALC2223!AX259&gt;2,INDIRECT(ADDRESS(MATCH(Agenda2526!C260,'CAL1'!A:A,0)+2,3,4,1,"CAL1")),0)</f>
        <v>0</v>
      </c>
      <c r="G259" s="20" t="str">
        <f ca="1">IF(CALC2223!AY259&gt;0,INDIRECT(ADDRESS(MATCH(Agenda2526!C260,'CAL2'!A:A,0),2,4,1,"CAL2")),"")</f>
        <v/>
      </c>
      <c r="H259" s="21">
        <f ca="1">IF(CALC2223!AY259&gt;0,INDIRECT(ADDRESS(MATCH(Agenda2526!C260,'CAL2'!A:A,0),3,4,1,"CAL2")),0)</f>
        <v>0</v>
      </c>
      <c r="I259" s="20" t="str">
        <f ca="1">IF(CALC2223!AY259&gt;1,INDIRECT(ADDRESS(MATCH(Agenda2526!C260,'CAL2'!A:A,0)+1,2,4,1,"CAL2")),"")</f>
        <v/>
      </c>
      <c r="J259" s="21">
        <f ca="1">IF(CALC2223!AY259&gt;1,INDIRECT(ADDRESS(MATCH(Agenda2526!C260,'CAL2'!A:A,0)+1,3,4,1,"CAL2")),0)</f>
        <v>0</v>
      </c>
      <c r="K259" s="20" t="str">
        <f ca="1">IF(CALC2223!AY259&gt;2,INDIRECT(ADDRESS(MATCH(Agenda2526!C260,'CAL2'!A:A,0)+2,2,4,1,"CAL2")),"")</f>
        <v/>
      </c>
      <c r="L259" s="21">
        <f ca="1">IF(CALC2223!AY259&gt;2,INDIRECT(ADDRESS(MATCH(Agenda2526!C260,'CAL2'!A:A,0)+2,3,4,1,"CAL2")),0)</f>
        <v>0</v>
      </c>
      <c r="M259" s="20" t="str">
        <f ca="1">IF(CALC2223!AZ259&gt;0,INDIRECT(ADDRESS(MATCH(Agenda2526!C260,'CAL3'!A:A,0),2,4,1,"CAL3")),"")</f>
        <v/>
      </c>
      <c r="N259" s="21">
        <f ca="1">IF(CALC2223!AZ259&gt;0,INDIRECT(ADDRESS(MATCH(Agenda2526!C260,'CAL3'!A:A,0),3,4,1,"CAL3")),0)</f>
        <v>0</v>
      </c>
      <c r="O259" s="20" t="str">
        <f ca="1">IF(CALC2223!AZ259&gt;1,INDIRECT(ADDRESS(MATCH(Agenda2526!C260,'CAL3'!A:A,0)+1,2,4,1,"CAL3")),"")</f>
        <v/>
      </c>
      <c r="P259" s="21">
        <f ca="1">IF(CALC2223!AZ259&gt;1,INDIRECT(ADDRESS(MATCH(Agenda2526!C260,'CAL3'!A:A,0)+1,3,4,1,"CAL3")),0)</f>
        <v>0</v>
      </c>
      <c r="Q259" s="20" t="str">
        <f ca="1">IF(CALC2223!AZ259&gt;2,INDIRECT(ADDRESS(MATCH(Agenda2526!C260,'CAL3'!A:A,0)+2,2,4,1,"CAL3")),"")</f>
        <v/>
      </c>
      <c r="R259" s="21">
        <f ca="1">IF(CALC2223!AZ259&gt;2,INDIRECT(ADDRESS(MATCH(Agenda2526!C260,'CAL3'!A:A,0)+2,3,4,1,"CAL3")),0)</f>
        <v>0</v>
      </c>
      <c r="S259" s="20" t="str">
        <f ca="1">IF(CALC2223!BA259&gt;0,INDIRECT(ADDRESS(MATCH(Agenda2526!C260,'CAL4'!A:A,0),2,4,1,"CAL4")),"")</f>
        <v/>
      </c>
      <c r="T259" s="21">
        <f ca="1">IF(CALC2223!BA259&gt;0,INDIRECT(ADDRESS(MATCH(Agenda2526!C260,'CAL4'!A:A,0),3,4,1,"CAL4")),0)</f>
        <v>0</v>
      </c>
      <c r="U259" s="20" t="str">
        <f ca="1">IF(CALC2223!BA259&gt;1,INDIRECT(ADDRESS(MATCH(Agenda2526!C260,'CAL4'!A:A,0)+1,2,4,1,"CAL4")),"")</f>
        <v/>
      </c>
      <c r="V259" s="21">
        <f ca="1">IF(CALC2223!BA259&gt;1,INDIRECT(ADDRESS(MATCH(Agenda2526!C260,'CAL4'!A:A,0)+1,3,4,1,"CAL4")),0)</f>
        <v>0</v>
      </c>
      <c r="W259" s="20" t="str">
        <f ca="1">IF(CALC2223!BA259&gt;2,INDIRECT(ADDRESS(MATCH(Agenda2526!C260,'CAL4'!A:A,0)+2,2,4,1,"CAL4")),"")</f>
        <v/>
      </c>
      <c r="X259" s="21">
        <f ca="1">IF(CALC2223!BA259&gt;2,INDIRECT(ADDRESS(MATCH(Agenda2526!C260,'CAL4'!A:A,0)+2,3,4,1,"CAL4")),0)</f>
        <v>0</v>
      </c>
      <c r="Y259" s="20" t="str">
        <f ca="1">IF(CALC2223!BB259&gt;0,INDIRECT(ADDRESS(MATCH(Agenda2526!C260,'CAL5'!A:A,0),2,4,1,"CAL5")),"")</f>
        <v/>
      </c>
      <c r="Z259" s="21">
        <f ca="1">IF(CALC2223!BB259&gt;0,INDIRECT(ADDRESS(MATCH(Agenda2526!C260,'CAL5'!A:A,0),3,4,1,"CAL5")),0)</f>
        <v>0</v>
      </c>
      <c r="AA259" s="20" t="str">
        <f ca="1">IF(CALC2223!BB259&gt;1,INDIRECT(ADDRESS(MATCH(Agenda2526!C260,'CAL5'!A:A,0)+1,2,4,1,"CAL5")),"")</f>
        <v/>
      </c>
      <c r="AB259" s="21">
        <f ca="1">IF(CALC2223!BB259&gt;1,INDIRECT(ADDRESS(MATCH(Agenda2526!C260,'CAL5'!A:A,0)+1,3,4,1,"CAL5")),0)</f>
        <v>0</v>
      </c>
      <c r="AC259" s="20" t="str">
        <f ca="1">IF(CALC2223!BB259&gt;2,INDIRECT(ADDRESS(MATCH(Agenda2526!C260,'CAL5'!A:A,0)+2,2,4,1,"CAL5")),"")</f>
        <v/>
      </c>
      <c r="AD259" s="21">
        <f ca="1">IF(CALC2223!BB259&gt;2,INDIRECT(ADDRESS(MATCH(Agenda2526!C260,'CAL5'!A:A,0)+2,3,4,1,"CAL5")),0)</f>
        <v>0</v>
      </c>
      <c r="AE259" s="20" t="str">
        <f ca="1">IF(CALC2223!BC259&gt;0,INDIRECT(ADDRESS(MATCH(Agenda2526!C260,'CAL6'!A:A,0),2,4,1,"CAL6")),"")</f>
        <v/>
      </c>
      <c r="AF259" s="21">
        <f ca="1">IF(CALC2223!BC259&gt;0,INDIRECT(ADDRESS(MATCH(Agenda2526!C260,'CAL6'!A:A,0),3,4,1,"CAL6")),0)</f>
        <v>0</v>
      </c>
      <c r="AG259" s="20" t="str">
        <f ca="1">IF(CALC2223!BC259&gt;1,INDIRECT(ADDRESS(MATCH(Agenda2526!C260,'CAL6'!A:A,0)+1,2,4,1,"CAL6")),"")</f>
        <v/>
      </c>
      <c r="AH259" s="21">
        <f ca="1">IF(CALC2223!BC259&gt;1,INDIRECT(ADDRESS(MATCH(Agenda2526!C260,'CAL6'!A:A,0)+1,3,4,1,"CAL6")),0)</f>
        <v>0</v>
      </c>
      <c r="AI259" s="20" t="str">
        <f ca="1">IF(CALC2223!BC259&gt;2,INDIRECT(ADDRESS(MATCH(Agenda2526!C260,'CAL6'!A:A,0)+2,2,4,1,"CAL6")),"")</f>
        <v/>
      </c>
      <c r="AJ259" s="21">
        <f ca="1">IF(CALC2223!BC259&gt;2,INDIRECT(ADDRESS(MATCH(Agenda2526!C260,'CAL6'!A:A,0)+2,3,4,1,"CAL6")),0)</f>
        <v>0</v>
      </c>
      <c r="AK259" s="20" t="str">
        <f ca="1">IF(CALC2223!BD259&gt;0,INDIRECT(ADDRESS(MATCH(Agenda2526!C260,'CAL7'!A:A,0),2,4,1,"CAL7")),"")</f>
        <v/>
      </c>
      <c r="AL259" s="21">
        <f ca="1">IF(CALC2223!BD259&gt;0,INDIRECT(ADDRESS(MATCH(Agenda2526!C260,'CAL7'!A:A,0),3,4,1,"CAL7")),0)</f>
        <v>0</v>
      </c>
      <c r="AM259" s="20" t="str">
        <f ca="1">IF(CALC2223!BD259&gt;1,INDIRECT(ADDRESS(MATCH(Agenda2526!C260,'CAL7'!A:A,0)+1,2,4,1,"CAL7")),"")</f>
        <v/>
      </c>
      <c r="AN259" s="21">
        <f ca="1">IF(CALC2223!BD259&gt;1,INDIRECT(ADDRESS(MATCH(Agenda2526!C260,'CAL7'!A:A,0)+1,3,4,1,"CAL7")),0)</f>
        <v>0</v>
      </c>
      <c r="AO259" s="20" t="str">
        <f ca="1">IF(CALC2223!BD259&gt;2,INDIRECT(ADDRESS(MATCH(Agenda2526!C260,'CAL7'!A:A,0)+2,2,4,1,"CAL7")),"")</f>
        <v/>
      </c>
      <c r="AP259" s="21">
        <f ca="1">IF(CALC2223!BD259&gt;2,INDIRECT(ADDRESS(MATCH(Agenda2526!C260,'CAL7'!A:A,0)+2,3,4,1,"CAL7")),0)</f>
        <v>0</v>
      </c>
      <c r="AQ259" s="20" t="str">
        <f ca="1">IF(CALC2223!BE259&gt;0,INDIRECT(ADDRESS(MATCH(Agenda2526!C260,'CAL8'!A:A,0),2,4,1,"CAL8")),"")</f>
        <v/>
      </c>
      <c r="AR259" s="21">
        <f ca="1">IF(CALC2223!BE259&gt;0,INDIRECT(ADDRESS(MATCH(Agenda2526!C260,'CAL8'!A:A,0),3,4,1,"CAL8")),0)</f>
        <v>0</v>
      </c>
      <c r="AS259" s="20" t="str">
        <f ca="1">IF(CALC2223!BE259&gt;1,INDIRECT(ADDRESS(MATCH(Agenda2526!C260,'CAL8'!A:A,0)+1,2,4,1,"CAL8")),"")</f>
        <v/>
      </c>
      <c r="AT259" s="21">
        <f ca="1">IF(CALC2223!BE259&gt;1,INDIRECT(ADDRESS(MATCH(Agenda2526!C260,'CAL8'!A:A,0)+1,3,4,1,"CAL8")),0)</f>
        <v>0</v>
      </c>
      <c r="AU259" s="20" t="str">
        <f ca="1">IF(CALC2223!BE259&gt;2,INDIRECT(ADDRESS(MATCH(Agenda2526!C260,'CAL8'!A:A,0)+2,2,4,1,"CAL8")),"")</f>
        <v/>
      </c>
      <c r="AV259" s="21">
        <f ca="1">IF(CALC2223!BE259&gt;2,INDIRECT(ADDRESS(MATCH(Agenda2526!C260,'CAL8'!A:A,0)+2,3,4,1,"CAL8")),0)</f>
        <v>0</v>
      </c>
      <c r="AW259" s="106"/>
      <c r="AX259" s="20">
        <f>COUNTIF('CAL1'!A:A,Agenda2526!C260)</f>
        <v>0</v>
      </c>
      <c r="AY259" s="20">
        <f>COUNTIF('CAL2'!A:A,Agenda2526!C260)</f>
        <v>0</v>
      </c>
      <c r="AZ259" s="20">
        <f>COUNTIF('CAL3'!A:A,Agenda2526!C260)</f>
        <v>0</v>
      </c>
      <c r="BA259" s="20">
        <f>COUNTIF('CAL4'!A:A,Agenda2526!C260)</f>
        <v>0</v>
      </c>
      <c r="BB259" s="20">
        <f>COUNTIF('CAL5'!A:A,Agenda2526!C260)</f>
        <v>0</v>
      </c>
      <c r="BC259" s="20">
        <f>COUNTIF('CAL6'!A:A,Agenda2526!C260)</f>
        <v>0</v>
      </c>
      <c r="BD259" s="20">
        <f>COUNTIF('CAL7'!A:A,Agenda2526!C260)</f>
        <v>0</v>
      </c>
      <c r="BE259" s="20">
        <f>COUNTIF('CAL8'!A:A,Agenda2526!C260)</f>
        <v>0</v>
      </c>
    </row>
    <row r="260" spans="1:57" ht="15.75" customHeight="1">
      <c r="A260" s="20" t="str">
        <f ca="1">IF(CALC2223!AX260&gt;0,INDIRECT(ADDRESS(MATCH(Agenda2526!C261,'CAL1'!A:A,0),2,4,1,"CAL1")),"")</f>
        <v/>
      </c>
      <c r="B260" s="21">
        <f ca="1">IF(CALC2223!AX260&gt;0,INDIRECT(ADDRESS(MATCH(Agenda2526!C261,'CAL1'!A:A,0),3,4,1,"CAL1")),0)</f>
        <v>0</v>
      </c>
      <c r="C260" s="20" t="str">
        <f ca="1">IF(CALC2223!AX260&gt;1,INDIRECT(ADDRESS(MATCH(Agenda2526!C261,'CAL1'!A:A,0)+1,2,4,1,"CAL1")),"")</f>
        <v/>
      </c>
      <c r="D260" s="21">
        <f ca="1">IF(CALC2223!AX260&gt;1,INDIRECT(ADDRESS(MATCH(Agenda2526!C261,'CAL1'!A:A,0)+1,3,4,1,"CAL1")),0)</f>
        <v>0</v>
      </c>
      <c r="E260" s="20" t="str">
        <f ca="1">IF(CALC2223!AX260&gt;2,INDIRECT(ADDRESS(MATCH(Agenda2526!C261,'CAL1'!A:A,0)+2,2,4,1,"CAL1")),"")</f>
        <v/>
      </c>
      <c r="F260" s="21">
        <f ca="1">IF(CALC2223!AX260&gt;2,INDIRECT(ADDRESS(MATCH(Agenda2526!C261,'CAL1'!A:A,0)+2,3,4,1,"CAL1")),0)</f>
        <v>0</v>
      </c>
      <c r="G260" s="20" t="str">
        <f ca="1">IF(CALC2223!AY260&gt;0,INDIRECT(ADDRESS(MATCH(Agenda2526!C261,'CAL2'!A:A,0),2,4,1,"CAL2")),"")</f>
        <v/>
      </c>
      <c r="H260" s="21">
        <f ca="1">IF(CALC2223!AY260&gt;0,INDIRECT(ADDRESS(MATCH(Agenda2526!C261,'CAL2'!A:A,0),3,4,1,"CAL2")),0)</f>
        <v>0</v>
      </c>
      <c r="I260" s="20" t="str">
        <f ca="1">IF(CALC2223!AY260&gt;1,INDIRECT(ADDRESS(MATCH(Agenda2526!C261,'CAL2'!A:A,0)+1,2,4,1,"CAL2")),"")</f>
        <v/>
      </c>
      <c r="J260" s="21">
        <f ca="1">IF(CALC2223!AY260&gt;1,INDIRECT(ADDRESS(MATCH(Agenda2526!C261,'CAL2'!A:A,0)+1,3,4,1,"CAL2")),0)</f>
        <v>0</v>
      </c>
      <c r="K260" s="20" t="str">
        <f ca="1">IF(CALC2223!AY260&gt;2,INDIRECT(ADDRESS(MATCH(Agenda2526!C261,'CAL2'!A:A,0)+2,2,4,1,"CAL2")),"")</f>
        <v/>
      </c>
      <c r="L260" s="21">
        <f ca="1">IF(CALC2223!AY260&gt;2,INDIRECT(ADDRESS(MATCH(Agenda2526!C261,'CAL2'!A:A,0)+2,3,4,1,"CAL2")),0)</f>
        <v>0</v>
      </c>
      <c r="M260" s="20" t="str">
        <f ca="1">IF(CALC2223!AZ260&gt;0,INDIRECT(ADDRESS(MATCH(Agenda2526!C261,'CAL3'!A:A,0),2,4,1,"CAL3")),"")</f>
        <v/>
      </c>
      <c r="N260" s="21">
        <f ca="1">IF(CALC2223!AZ260&gt;0,INDIRECT(ADDRESS(MATCH(Agenda2526!C261,'CAL3'!A:A,0),3,4,1,"CAL3")),0)</f>
        <v>0</v>
      </c>
      <c r="O260" s="20" t="str">
        <f ca="1">IF(CALC2223!AZ260&gt;1,INDIRECT(ADDRESS(MATCH(Agenda2526!C261,'CAL3'!A:A,0)+1,2,4,1,"CAL3")),"")</f>
        <v/>
      </c>
      <c r="P260" s="21">
        <f ca="1">IF(CALC2223!AZ260&gt;1,INDIRECT(ADDRESS(MATCH(Agenda2526!C261,'CAL3'!A:A,0)+1,3,4,1,"CAL3")),0)</f>
        <v>0</v>
      </c>
      <c r="Q260" s="20" t="str">
        <f ca="1">IF(CALC2223!AZ260&gt;2,INDIRECT(ADDRESS(MATCH(Agenda2526!C261,'CAL3'!A:A,0)+2,2,4,1,"CAL3")),"")</f>
        <v/>
      </c>
      <c r="R260" s="21">
        <f ca="1">IF(CALC2223!AZ260&gt;2,INDIRECT(ADDRESS(MATCH(Agenda2526!C261,'CAL3'!A:A,0)+2,3,4,1,"CAL3")),0)</f>
        <v>0</v>
      </c>
      <c r="S260" s="20" t="str">
        <f ca="1">IF(CALC2223!BA260&gt;0,INDIRECT(ADDRESS(MATCH(Agenda2526!C261,'CAL4'!A:A,0),2,4,1,"CAL4")),"")</f>
        <v/>
      </c>
      <c r="T260" s="21">
        <f ca="1">IF(CALC2223!BA260&gt;0,INDIRECT(ADDRESS(MATCH(Agenda2526!C261,'CAL4'!A:A,0),3,4,1,"CAL4")),0)</f>
        <v>0</v>
      </c>
      <c r="U260" s="20" t="str">
        <f ca="1">IF(CALC2223!BA260&gt;1,INDIRECT(ADDRESS(MATCH(Agenda2526!C261,'CAL4'!A:A,0)+1,2,4,1,"CAL4")),"")</f>
        <v/>
      </c>
      <c r="V260" s="21">
        <f ca="1">IF(CALC2223!BA260&gt;1,INDIRECT(ADDRESS(MATCH(Agenda2526!C261,'CAL4'!A:A,0)+1,3,4,1,"CAL4")),0)</f>
        <v>0</v>
      </c>
      <c r="W260" s="20" t="str">
        <f ca="1">IF(CALC2223!BA260&gt;2,INDIRECT(ADDRESS(MATCH(Agenda2526!C261,'CAL4'!A:A,0)+2,2,4,1,"CAL4")),"")</f>
        <v/>
      </c>
      <c r="X260" s="21">
        <f ca="1">IF(CALC2223!BA260&gt;2,INDIRECT(ADDRESS(MATCH(Agenda2526!C261,'CAL4'!A:A,0)+2,3,4,1,"CAL4")),0)</f>
        <v>0</v>
      </c>
      <c r="Y260" s="20" t="str">
        <f ca="1">IF(CALC2223!BB260&gt;0,INDIRECT(ADDRESS(MATCH(Agenda2526!C261,'CAL5'!A:A,0),2,4,1,"CAL5")),"")</f>
        <v/>
      </c>
      <c r="Z260" s="21">
        <f ca="1">IF(CALC2223!BB260&gt;0,INDIRECT(ADDRESS(MATCH(Agenda2526!C261,'CAL5'!A:A,0),3,4,1,"CAL5")),0)</f>
        <v>0</v>
      </c>
      <c r="AA260" s="20" t="str">
        <f ca="1">IF(CALC2223!BB260&gt;1,INDIRECT(ADDRESS(MATCH(Agenda2526!C261,'CAL5'!A:A,0)+1,2,4,1,"CAL5")),"")</f>
        <v/>
      </c>
      <c r="AB260" s="21">
        <f ca="1">IF(CALC2223!BB260&gt;1,INDIRECT(ADDRESS(MATCH(Agenda2526!C261,'CAL5'!A:A,0)+1,3,4,1,"CAL5")),0)</f>
        <v>0</v>
      </c>
      <c r="AC260" s="20" t="str">
        <f ca="1">IF(CALC2223!BB260&gt;2,INDIRECT(ADDRESS(MATCH(Agenda2526!C261,'CAL5'!A:A,0)+2,2,4,1,"CAL5")),"")</f>
        <v/>
      </c>
      <c r="AD260" s="21">
        <f ca="1">IF(CALC2223!BB260&gt;2,INDIRECT(ADDRESS(MATCH(Agenda2526!C261,'CAL5'!A:A,0)+2,3,4,1,"CAL5")),0)</f>
        <v>0</v>
      </c>
      <c r="AE260" s="20" t="str">
        <f ca="1">IF(CALC2223!BC260&gt;0,INDIRECT(ADDRESS(MATCH(Agenda2526!C261,'CAL6'!A:A,0),2,4,1,"CAL6")),"")</f>
        <v/>
      </c>
      <c r="AF260" s="21">
        <f ca="1">IF(CALC2223!BC260&gt;0,INDIRECT(ADDRESS(MATCH(Agenda2526!C261,'CAL6'!A:A,0),3,4,1,"CAL6")),0)</f>
        <v>0</v>
      </c>
      <c r="AG260" s="20" t="str">
        <f ca="1">IF(CALC2223!BC260&gt;1,INDIRECT(ADDRESS(MATCH(Agenda2526!C261,'CAL6'!A:A,0)+1,2,4,1,"CAL6")),"")</f>
        <v/>
      </c>
      <c r="AH260" s="21">
        <f ca="1">IF(CALC2223!BC260&gt;1,INDIRECT(ADDRESS(MATCH(Agenda2526!C261,'CAL6'!A:A,0)+1,3,4,1,"CAL6")),0)</f>
        <v>0</v>
      </c>
      <c r="AI260" s="20" t="str">
        <f ca="1">IF(CALC2223!BC260&gt;2,INDIRECT(ADDRESS(MATCH(Agenda2526!C261,'CAL6'!A:A,0)+2,2,4,1,"CAL6")),"")</f>
        <v/>
      </c>
      <c r="AJ260" s="21">
        <f ca="1">IF(CALC2223!BC260&gt;2,INDIRECT(ADDRESS(MATCH(Agenda2526!C261,'CAL6'!A:A,0)+2,3,4,1,"CAL6")),0)</f>
        <v>0</v>
      </c>
      <c r="AK260" s="20" t="str">
        <f ca="1">IF(CALC2223!BD260&gt;0,INDIRECT(ADDRESS(MATCH(Agenda2526!C261,'CAL7'!A:A,0),2,4,1,"CAL7")),"")</f>
        <v/>
      </c>
      <c r="AL260" s="21">
        <f ca="1">IF(CALC2223!BD260&gt;0,INDIRECT(ADDRESS(MATCH(Agenda2526!C261,'CAL7'!A:A,0),3,4,1,"CAL7")),0)</f>
        <v>0</v>
      </c>
      <c r="AM260" s="20" t="str">
        <f ca="1">IF(CALC2223!BD260&gt;1,INDIRECT(ADDRESS(MATCH(Agenda2526!C261,'CAL7'!A:A,0)+1,2,4,1,"CAL7")),"")</f>
        <v/>
      </c>
      <c r="AN260" s="21">
        <f ca="1">IF(CALC2223!BD260&gt;1,INDIRECT(ADDRESS(MATCH(Agenda2526!C261,'CAL7'!A:A,0)+1,3,4,1,"CAL7")),0)</f>
        <v>0</v>
      </c>
      <c r="AO260" s="20" t="str">
        <f ca="1">IF(CALC2223!BD260&gt;2,INDIRECT(ADDRESS(MATCH(Agenda2526!C261,'CAL7'!A:A,0)+2,2,4,1,"CAL7")),"")</f>
        <v/>
      </c>
      <c r="AP260" s="21">
        <f ca="1">IF(CALC2223!BD260&gt;2,INDIRECT(ADDRESS(MATCH(Agenda2526!C261,'CAL7'!A:A,0)+2,3,4,1,"CAL7")),0)</f>
        <v>0</v>
      </c>
      <c r="AQ260" s="20" t="str">
        <f ca="1">IF(CALC2223!BE260&gt;0,INDIRECT(ADDRESS(MATCH(Agenda2526!C261,'CAL8'!A:A,0),2,4,1,"CAL8")),"")</f>
        <v/>
      </c>
      <c r="AR260" s="21">
        <f ca="1">IF(CALC2223!BE260&gt;0,INDIRECT(ADDRESS(MATCH(Agenda2526!C261,'CAL8'!A:A,0),3,4,1,"CAL8")),0)</f>
        <v>0</v>
      </c>
      <c r="AS260" s="20" t="str">
        <f ca="1">IF(CALC2223!BE260&gt;1,INDIRECT(ADDRESS(MATCH(Agenda2526!C261,'CAL8'!A:A,0)+1,2,4,1,"CAL8")),"")</f>
        <v/>
      </c>
      <c r="AT260" s="21">
        <f ca="1">IF(CALC2223!BE260&gt;1,INDIRECT(ADDRESS(MATCH(Agenda2526!C261,'CAL8'!A:A,0)+1,3,4,1,"CAL8")),0)</f>
        <v>0</v>
      </c>
      <c r="AU260" s="20" t="str">
        <f ca="1">IF(CALC2223!BE260&gt;2,INDIRECT(ADDRESS(MATCH(Agenda2526!C261,'CAL8'!A:A,0)+2,2,4,1,"CAL8")),"")</f>
        <v/>
      </c>
      <c r="AV260" s="21">
        <f ca="1">IF(CALC2223!BE260&gt;2,INDIRECT(ADDRESS(MATCH(Agenda2526!C261,'CAL8'!A:A,0)+2,3,4,1,"CAL8")),0)</f>
        <v>0</v>
      </c>
      <c r="AW260" s="106"/>
      <c r="AX260" s="20">
        <f>COUNTIF('CAL1'!A:A,Agenda2526!C261)</f>
        <v>0</v>
      </c>
      <c r="AY260" s="20">
        <f>COUNTIF('CAL2'!A:A,Agenda2526!C261)</f>
        <v>0</v>
      </c>
      <c r="AZ260" s="20">
        <f>COUNTIF('CAL3'!A:A,Agenda2526!C261)</f>
        <v>0</v>
      </c>
      <c r="BA260" s="20">
        <f>COUNTIF('CAL4'!A:A,Agenda2526!C261)</f>
        <v>0</v>
      </c>
      <c r="BB260" s="20">
        <f>COUNTIF('CAL5'!A:A,Agenda2526!C261)</f>
        <v>0</v>
      </c>
      <c r="BC260" s="20">
        <f>COUNTIF('CAL6'!A:A,Agenda2526!C261)</f>
        <v>0</v>
      </c>
      <c r="BD260" s="20">
        <f>COUNTIF('CAL7'!A:A,Agenda2526!C261)</f>
        <v>0</v>
      </c>
      <c r="BE260" s="20">
        <f>COUNTIF('CAL8'!A:A,Agenda2526!C261)</f>
        <v>0</v>
      </c>
    </row>
    <row r="261" spans="1:57" ht="15.75" customHeight="1">
      <c r="A261" s="20" t="str">
        <f ca="1">IF(CALC2223!AX261&gt;0,INDIRECT(ADDRESS(MATCH(Agenda2526!C262,'CAL1'!A:A,0),2,4,1,"CAL1")),"")</f>
        <v/>
      </c>
      <c r="B261" s="21">
        <f ca="1">IF(CALC2223!AX261&gt;0,INDIRECT(ADDRESS(MATCH(Agenda2526!C262,'CAL1'!A:A,0),3,4,1,"CAL1")),0)</f>
        <v>0</v>
      </c>
      <c r="C261" s="20" t="str">
        <f ca="1">IF(CALC2223!AX261&gt;1,INDIRECT(ADDRESS(MATCH(Agenda2526!C262,'CAL1'!A:A,0)+1,2,4,1,"CAL1")),"")</f>
        <v/>
      </c>
      <c r="D261" s="21">
        <f ca="1">IF(CALC2223!AX261&gt;1,INDIRECT(ADDRESS(MATCH(Agenda2526!C262,'CAL1'!A:A,0)+1,3,4,1,"CAL1")),0)</f>
        <v>0</v>
      </c>
      <c r="E261" s="20" t="str">
        <f ca="1">IF(CALC2223!AX261&gt;2,INDIRECT(ADDRESS(MATCH(Agenda2526!C262,'CAL1'!A:A,0)+2,2,4,1,"CAL1")),"")</f>
        <v/>
      </c>
      <c r="F261" s="21">
        <f ca="1">IF(CALC2223!AX261&gt;2,INDIRECT(ADDRESS(MATCH(Agenda2526!C262,'CAL1'!A:A,0)+2,3,4,1,"CAL1")),0)</f>
        <v>0</v>
      </c>
      <c r="G261" s="20" t="str">
        <f ca="1">IF(CALC2223!AY261&gt;0,INDIRECT(ADDRESS(MATCH(Agenda2526!C262,'CAL2'!A:A,0),2,4,1,"CAL2")),"")</f>
        <v/>
      </c>
      <c r="H261" s="21">
        <f ca="1">IF(CALC2223!AY261&gt;0,INDIRECT(ADDRESS(MATCH(Agenda2526!C262,'CAL2'!A:A,0),3,4,1,"CAL2")),0)</f>
        <v>0</v>
      </c>
      <c r="I261" s="20" t="str">
        <f ca="1">IF(CALC2223!AY261&gt;1,INDIRECT(ADDRESS(MATCH(Agenda2526!C262,'CAL2'!A:A,0)+1,2,4,1,"CAL2")),"")</f>
        <v/>
      </c>
      <c r="J261" s="21">
        <f ca="1">IF(CALC2223!AY261&gt;1,INDIRECT(ADDRESS(MATCH(Agenda2526!C262,'CAL2'!A:A,0)+1,3,4,1,"CAL2")),0)</f>
        <v>0</v>
      </c>
      <c r="K261" s="20" t="str">
        <f ca="1">IF(CALC2223!AY261&gt;2,INDIRECT(ADDRESS(MATCH(Agenda2526!C262,'CAL2'!A:A,0)+2,2,4,1,"CAL2")),"")</f>
        <v/>
      </c>
      <c r="L261" s="21">
        <f ca="1">IF(CALC2223!AY261&gt;2,INDIRECT(ADDRESS(MATCH(Agenda2526!C262,'CAL2'!A:A,0)+2,3,4,1,"CAL2")),0)</f>
        <v>0</v>
      </c>
      <c r="M261" s="20" t="str">
        <f ca="1">IF(CALC2223!AZ261&gt;0,INDIRECT(ADDRESS(MATCH(Agenda2526!C262,'CAL3'!A:A,0),2,4,1,"CAL3")),"")</f>
        <v>excursie Vught</v>
      </c>
      <c r="N261" s="21">
        <f ca="1">IF(CALC2223!AZ261&gt;0,INDIRECT(ADDRESS(MATCH(Agenda2526!C262,'CAL3'!A:A,0),3,4,1,"CAL3")),0)</f>
        <v>45915</v>
      </c>
      <c r="O261" s="20" t="str">
        <f ca="1">IF(CALC2223!AZ261&gt;1,INDIRECT(ADDRESS(MATCH(Agenda2526!C262,'CAL3'!A:A,0)+1,2,4,1,"CAL3")),"")</f>
        <v/>
      </c>
      <c r="P261" s="21">
        <f ca="1">IF(CALC2223!AZ261&gt;1,INDIRECT(ADDRESS(MATCH(Agenda2526!C262,'CAL3'!A:A,0)+1,3,4,1,"CAL3")),0)</f>
        <v>0</v>
      </c>
      <c r="Q261" s="20" t="str">
        <f ca="1">IF(CALC2223!AZ261&gt;2,INDIRECT(ADDRESS(MATCH(Agenda2526!C262,'CAL3'!A:A,0)+2,2,4,1,"CAL3")),"")</f>
        <v/>
      </c>
      <c r="R261" s="21">
        <f ca="1">IF(CALC2223!AZ261&gt;2,INDIRECT(ADDRESS(MATCH(Agenda2526!C262,'CAL3'!A:A,0)+2,3,4,1,"CAL3")),0)</f>
        <v>0</v>
      </c>
      <c r="S261" s="20" t="str">
        <f ca="1">IF(CALC2223!BA261&gt;0,INDIRECT(ADDRESS(MATCH(Agenda2526!C262,'CAL4'!A:A,0),2,4,1,"CAL4")),"")</f>
        <v>inh rep WI</v>
      </c>
      <c r="T261" s="21">
        <f ca="1">IF(CALC2223!BA261&gt;0,INDIRECT(ADDRESS(MATCH(Agenda2526!C262,'CAL4'!A:A,0),3,4,1,"CAL4")),0)</f>
        <v>45936</v>
      </c>
      <c r="U261" s="20" t="str">
        <f ca="1">IF(CALC2223!BA261&gt;1,INDIRECT(ADDRESS(MATCH(Agenda2526!C262,'CAL4'!A:A,0)+1,2,4,1,"CAL4")),"")</f>
        <v/>
      </c>
      <c r="V261" s="21">
        <f ca="1">IF(CALC2223!BA261&gt;1,INDIRECT(ADDRESS(MATCH(Agenda2526!C262,'CAL4'!A:A,0)+1,3,4,1,"CAL4")),0)</f>
        <v>0</v>
      </c>
      <c r="W261" s="20" t="str">
        <f ca="1">IF(CALC2223!BA261&gt;2,INDIRECT(ADDRESS(MATCH(Agenda2526!C262,'CAL4'!A:A,0)+2,2,4,1,"CAL4")),"")</f>
        <v/>
      </c>
      <c r="X261" s="21">
        <f ca="1">IF(CALC2223!BA261&gt;2,INDIRECT(ADDRESS(MATCH(Agenda2526!C262,'CAL4'!A:A,0)+2,3,4,1,"CAL4")),0)</f>
        <v>0</v>
      </c>
      <c r="Y261" s="20" t="str">
        <f ca="1">IF(CALC2223!BB261&gt;0,INDIRECT(ADDRESS(MATCH(Agenda2526!C262,'CAL5'!A:A,0),2,4,1,"CAL5")),"")</f>
        <v>inh SE WiD</v>
      </c>
      <c r="Z261" s="21">
        <f ca="1">IF(CALC2223!BB261&gt;0,INDIRECT(ADDRESS(MATCH(Agenda2526!C262,'CAL5'!A:A,0),3,4,1,"CAL5")),0)</f>
        <v>45946</v>
      </c>
      <c r="AA261" s="20" t="str">
        <f ca="1">IF(CALC2223!BB261&gt;1,INDIRECT(ADDRESS(MATCH(Agenda2526!C262,'CAL5'!A:A,0)+1,2,4,1,"CAL5")),"")</f>
        <v/>
      </c>
      <c r="AB261" s="21">
        <f ca="1">IF(CALC2223!BB261&gt;1,INDIRECT(ADDRESS(MATCH(Agenda2526!C262,'CAL5'!A:A,0)+1,3,4,1,"CAL5")),0)</f>
        <v>0</v>
      </c>
      <c r="AC261" s="20" t="str">
        <f ca="1">IF(CALC2223!BB261&gt;2,INDIRECT(ADDRESS(MATCH(Agenda2526!C262,'CAL5'!A:A,0)+2,2,4,1,"CAL5")),"")</f>
        <v/>
      </c>
      <c r="AD261" s="21">
        <f ca="1">IF(CALC2223!BB261&gt;2,INDIRECT(ADDRESS(MATCH(Agenda2526!C262,'CAL5'!A:A,0)+2,3,4,1,"CAL5")),0)</f>
        <v>0</v>
      </c>
      <c r="AE261" s="20" t="str">
        <f ca="1">IF(CALC2223!BC261&gt;0,INDIRECT(ADDRESS(MATCH(Agenda2526!C262,'CAL6'!A:A,0),2,4,1,"CAL6")),"")</f>
        <v>DU/AK</v>
      </c>
      <c r="AF261" s="21">
        <f ca="1">IF(CALC2223!BC261&gt;0,INDIRECT(ADDRESS(MATCH(Agenda2526!C262,'CAL6'!A:A,0),3,4,1,"CAL6")),0)</f>
        <v>45896</v>
      </c>
      <c r="AG261" s="20" t="str">
        <f ca="1">IF(CALC2223!BC261&gt;1,INDIRECT(ADDRESS(MATCH(Agenda2526!C262,'CAL6'!A:A,0)+1,2,4,1,"CAL6")),"")</f>
        <v/>
      </c>
      <c r="AH261" s="21">
        <f ca="1">IF(CALC2223!BC261&gt;1,INDIRECT(ADDRESS(MATCH(Agenda2526!C262,'CAL6'!A:A,0)+1,3,4,1,"CAL6")),0)</f>
        <v>0</v>
      </c>
      <c r="AI261" s="20" t="str">
        <f ca="1">IF(CALC2223!BC261&gt;2,INDIRECT(ADDRESS(MATCH(Agenda2526!C262,'CAL6'!A:A,0)+2,2,4,1,"CAL6")),"")</f>
        <v/>
      </c>
      <c r="AJ261" s="21">
        <f ca="1">IF(CALC2223!BC261&gt;2,INDIRECT(ADDRESS(MATCH(Agenda2526!C262,'CAL6'!A:A,0)+2,3,4,1,"CAL6")),0)</f>
        <v>0</v>
      </c>
      <c r="AK261" s="20" t="str">
        <f ca="1">IF(CALC2223!BD261&gt;0,INDIRECT(ADDRESS(MATCH(Agenda2526!C262,'CAL7'!A:A,0),2,4,1,"CAL7")),"")</f>
        <v/>
      </c>
      <c r="AL261" s="21">
        <f ca="1">IF(CALC2223!BD261&gt;0,INDIRECT(ADDRESS(MATCH(Agenda2526!C262,'CAL7'!A:A,0),3,4,1,"CAL7")),0)</f>
        <v>0</v>
      </c>
      <c r="AM261" s="20" t="str">
        <f ca="1">IF(CALC2223!BD261&gt;1,INDIRECT(ADDRESS(MATCH(Agenda2526!C262,'CAL7'!A:A,0)+1,2,4,1,"CAL7")),"")</f>
        <v/>
      </c>
      <c r="AN261" s="21">
        <f ca="1">IF(CALC2223!BD261&gt;1,INDIRECT(ADDRESS(MATCH(Agenda2526!C262,'CAL7'!A:A,0)+1,3,4,1,"CAL7")),0)</f>
        <v>0</v>
      </c>
      <c r="AO261" s="20" t="str">
        <f ca="1">IF(CALC2223!BD261&gt;2,INDIRECT(ADDRESS(MATCH(Agenda2526!C262,'CAL7'!A:A,0)+2,2,4,1,"CAL7")),"")</f>
        <v/>
      </c>
      <c r="AP261" s="21">
        <f ca="1">IF(CALC2223!BD261&gt;2,INDIRECT(ADDRESS(MATCH(Agenda2526!C262,'CAL7'!A:A,0)+2,3,4,1,"CAL7")),0)</f>
        <v>0</v>
      </c>
      <c r="AQ261" s="20" t="str">
        <f ca="1">IF(CALC2223!BE261&gt;0,INDIRECT(ADDRESS(MATCH(Agenda2526!C262,'CAL8'!A:A,0),2,4,1,"CAL8")),"")</f>
        <v/>
      </c>
      <c r="AR261" s="21">
        <f ca="1">IF(CALC2223!BE261&gt;0,INDIRECT(ADDRESS(MATCH(Agenda2526!C262,'CAL8'!A:A,0),3,4,1,"CAL8")),0)</f>
        <v>0</v>
      </c>
      <c r="AS261" s="20" t="str">
        <f ca="1">IF(CALC2223!BE261&gt;1,INDIRECT(ADDRESS(MATCH(Agenda2526!C262,'CAL8'!A:A,0)+1,2,4,1,"CAL8")),"")</f>
        <v/>
      </c>
      <c r="AT261" s="21">
        <f ca="1">IF(CALC2223!BE261&gt;1,INDIRECT(ADDRESS(MATCH(Agenda2526!C262,'CAL8'!A:A,0)+1,3,4,1,"CAL8")),0)</f>
        <v>0</v>
      </c>
      <c r="AU261" s="20" t="str">
        <f ca="1">IF(CALC2223!BE261&gt;2,INDIRECT(ADDRESS(MATCH(Agenda2526!C262,'CAL8'!A:A,0)+2,2,4,1,"CAL8")),"")</f>
        <v/>
      </c>
      <c r="AV261" s="21">
        <f ca="1">IF(CALC2223!BE261&gt;2,INDIRECT(ADDRESS(MATCH(Agenda2526!C262,'CAL8'!A:A,0)+2,3,4,1,"CAL8")),0)</f>
        <v>0</v>
      </c>
      <c r="AW261" s="105"/>
      <c r="AX261" s="20">
        <f>COUNTIF('CAL1'!A:A,Agenda2526!C262)</f>
        <v>0</v>
      </c>
      <c r="AY261" s="20">
        <f>COUNTIF('CAL2'!A:A,Agenda2526!C262)</f>
        <v>0</v>
      </c>
      <c r="AZ261" s="20">
        <f>COUNTIF('CAL3'!A:A,Agenda2526!C262)</f>
        <v>1</v>
      </c>
      <c r="BA261" s="20">
        <f>COUNTIF('CAL4'!A:A,Agenda2526!C262)</f>
        <v>1</v>
      </c>
      <c r="BB261" s="20">
        <f>COUNTIF('CAL5'!A:A,Agenda2526!C262)</f>
        <v>1</v>
      </c>
      <c r="BC261" s="20">
        <f>COUNTIF('CAL6'!A:A,Agenda2526!C262)</f>
        <v>1</v>
      </c>
      <c r="BD261" s="20">
        <f>COUNTIF('CAL7'!A:A,Agenda2526!C262)</f>
        <v>0</v>
      </c>
      <c r="BE261" s="20">
        <f>COUNTIF('CAL8'!A:A,Agenda2526!C262)</f>
        <v>0</v>
      </c>
    </row>
    <row r="262" spans="1:57" ht="15.75" customHeight="1">
      <c r="A262" s="20" t="str">
        <f ca="1">IF(CALC2223!AX262&gt;0,INDIRECT(ADDRESS(MATCH(Agenda2526!C263,'CAL1'!A:A,0),2,4,1,"CAL1")),"")</f>
        <v/>
      </c>
      <c r="B262" s="21">
        <f ca="1">IF(CALC2223!AX262&gt;0,INDIRECT(ADDRESS(MATCH(Agenda2526!C263,'CAL1'!A:A,0),3,4,1,"CAL1")),0)</f>
        <v>0</v>
      </c>
      <c r="C262" s="20" t="str">
        <f ca="1">IF(CALC2223!AX262&gt;1,INDIRECT(ADDRESS(MATCH(Agenda2526!C263,'CAL1'!A:A,0)+1,2,4,1,"CAL1")),"")</f>
        <v/>
      </c>
      <c r="D262" s="21">
        <f ca="1">IF(CALC2223!AX262&gt;1,INDIRECT(ADDRESS(MATCH(Agenda2526!C263,'CAL1'!A:A,0)+1,3,4,1,"CAL1")),0)</f>
        <v>0</v>
      </c>
      <c r="E262" s="20" t="str">
        <f ca="1">IF(CALC2223!AX262&gt;2,INDIRECT(ADDRESS(MATCH(Agenda2526!C263,'CAL1'!A:A,0)+2,2,4,1,"CAL1")),"")</f>
        <v/>
      </c>
      <c r="F262" s="21">
        <f ca="1">IF(CALC2223!AX262&gt;2,INDIRECT(ADDRESS(MATCH(Agenda2526!C263,'CAL1'!A:A,0)+2,3,4,1,"CAL1")),0)</f>
        <v>0</v>
      </c>
      <c r="G262" s="20" t="str">
        <f ca="1">IF(CALC2223!AY262&gt;0,INDIRECT(ADDRESS(MATCH(Agenda2526!C263,'CAL2'!A:A,0),2,4,1,"CAL2")),"")</f>
        <v/>
      </c>
      <c r="H262" s="21">
        <f ca="1">IF(CALC2223!AY262&gt;0,INDIRECT(ADDRESS(MATCH(Agenda2526!C263,'CAL2'!A:A,0),3,4,1,"CAL2")),0)</f>
        <v>0</v>
      </c>
      <c r="I262" s="20" t="str">
        <f ca="1">IF(CALC2223!AY262&gt;1,INDIRECT(ADDRESS(MATCH(Agenda2526!C263,'CAL2'!A:A,0)+1,2,4,1,"CAL2")),"")</f>
        <v/>
      </c>
      <c r="J262" s="21">
        <f ca="1">IF(CALC2223!AY262&gt;1,INDIRECT(ADDRESS(MATCH(Agenda2526!C263,'CAL2'!A:A,0)+1,3,4,1,"CAL2")),0)</f>
        <v>0</v>
      </c>
      <c r="K262" s="20" t="str">
        <f ca="1">IF(CALC2223!AY262&gt;2,INDIRECT(ADDRESS(MATCH(Agenda2526!C263,'CAL2'!A:A,0)+2,2,4,1,"CAL2")),"")</f>
        <v/>
      </c>
      <c r="L262" s="21">
        <f ca="1">IF(CALC2223!AY262&gt;2,INDIRECT(ADDRESS(MATCH(Agenda2526!C263,'CAL2'!A:A,0)+2,3,4,1,"CAL2")),0)</f>
        <v>0</v>
      </c>
      <c r="M262" s="20" t="str">
        <f ca="1">IF(CALC2223!AZ262&gt;0,INDIRECT(ADDRESS(MATCH(Agenda2526!C263,'CAL3'!A:A,0),2,4,1,"CAL3")),"")</f>
        <v/>
      </c>
      <c r="N262" s="21">
        <f ca="1">IF(CALC2223!AZ262&gt;0,INDIRECT(ADDRESS(MATCH(Agenda2526!C263,'CAL3'!A:A,0),3,4,1,"CAL3")),0)</f>
        <v>0</v>
      </c>
      <c r="O262" s="20" t="str">
        <f ca="1">IF(CALC2223!AZ262&gt;1,INDIRECT(ADDRESS(MATCH(Agenda2526!C263,'CAL3'!A:A,0)+1,2,4,1,"CAL3")),"")</f>
        <v/>
      </c>
      <c r="P262" s="21">
        <f ca="1">IF(CALC2223!AZ262&gt;1,INDIRECT(ADDRESS(MATCH(Agenda2526!C263,'CAL3'!A:A,0)+1,3,4,1,"CAL3")),0)</f>
        <v>0</v>
      </c>
      <c r="Q262" s="20" t="str">
        <f ca="1">IF(CALC2223!AZ262&gt;2,INDIRECT(ADDRESS(MATCH(Agenda2526!C263,'CAL3'!A:A,0)+2,2,4,1,"CAL3")),"")</f>
        <v/>
      </c>
      <c r="R262" s="21">
        <f ca="1">IF(CALC2223!AZ262&gt;2,INDIRECT(ADDRESS(MATCH(Agenda2526!C263,'CAL3'!A:A,0)+2,3,4,1,"CAL3")),0)</f>
        <v>0</v>
      </c>
      <c r="S262" s="20" t="str">
        <f ca="1">IF(CALC2223!BA262&gt;0,INDIRECT(ADDRESS(MATCH(Agenda2526!C263,'CAL4'!A:A,0),2,4,1,"CAL4")),"")</f>
        <v/>
      </c>
      <c r="T262" s="21">
        <f ca="1">IF(CALC2223!BA262&gt;0,INDIRECT(ADDRESS(MATCH(Agenda2526!C263,'CAL4'!A:A,0),3,4,1,"CAL4")),0)</f>
        <v>0</v>
      </c>
      <c r="U262" s="20" t="str">
        <f ca="1">IF(CALC2223!BA262&gt;1,INDIRECT(ADDRESS(MATCH(Agenda2526!C263,'CAL4'!A:A,0)+1,2,4,1,"CAL4")),"")</f>
        <v/>
      </c>
      <c r="V262" s="21">
        <f ca="1">IF(CALC2223!BA262&gt;1,INDIRECT(ADDRESS(MATCH(Agenda2526!C263,'CAL4'!A:A,0)+1,3,4,1,"CAL4")),0)</f>
        <v>0</v>
      </c>
      <c r="W262" s="20" t="str">
        <f ca="1">IF(CALC2223!BA262&gt;2,INDIRECT(ADDRESS(MATCH(Agenda2526!C263,'CAL4'!A:A,0)+2,2,4,1,"CAL4")),"")</f>
        <v/>
      </c>
      <c r="X262" s="21">
        <f ca="1">IF(CALC2223!BA262&gt;2,INDIRECT(ADDRESS(MATCH(Agenda2526!C263,'CAL4'!A:A,0)+2,3,4,1,"CAL4")),0)</f>
        <v>0</v>
      </c>
      <c r="Y262" s="20" t="str">
        <f ca="1">IF(CALC2223!BB262&gt;0,INDIRECT(ADDRESS(MATCH(Agenda2526!C263,'CAL5'!A:A,0),2,4,1,"CAL5")),"")</f>
        <v/>
      </c>
      <c r="Z262" s="21">
        <f ca="1">IF(CALC2223!BB262&gt;0,INDIRECT(ADDRESS(MATCH(Agenda2526!C263,'CAL5'!A:A,0),3,4,1,"CAL5")),0)</f>
        <v>0</v>
      </c>
      <c r="AA262" s="20" t="str">
        <f ca="1">IF(CALC2223!BB262&gt;1,INDIRECT(ADDRESS(MATCH(Agenda2526!C263,'CAL5'!A:A,0)+1,2,4,1,"CAL5")),"")</f>
        <v/>
      </c>
      <c r="AB262" s="21">
        <f ca="1">IF(CALC2223!BB262&gt;1,INDIRECT(ADDRESS(MATCH(Agenda2526!C263,'CAL5'!A:A,0)+1,3,4,1,"CAL5")),0)</f>
        <v>0</v>
      </c>
      <c r="AC262" s="20" t="str">
        <f ca="1">IF(CALC2223!BB262&gt;2,INDIRECT(ADDRESS(MATCH(Agenda2526!C263,'CAL5'!A:A,0)+2,2,4,1,"CAL5")),"")</f>
        <v/>
      </c>
      <c r="AD262" s="21">
        <f ca="1">IF(CALC2223!BB262&gt;2,INDIRECT(ADDRESS(MATCH(Agenda2526!C263,'CAL5'!A:A,0)+2,3,4,1,"CAL5")),0)</f>
        <v>0</v>
      </c>
      <c r="AE262" s="20" t="str">
        <f ca="1">IF(CALC2223!BC262&gt;0,INDIRECT(ADDRESS(MATCH(Agenda2526!C263,'CAL6'!A:A,0),2,4,1,"CAL6")),"")</f>
        <v>LA/SK</v>
      </c>
      <c r="AF262" s="21">
        <f ca="1">IF(CALC2223!BC262&gt;0,INDIRECT(ADDRESS(MATCH(Agenda2526!C263,'CAL6'!A:A,0),3,4,1,"CAL6")),0)</f>
        <v>45896</v>
      </c>
      <c r="AG262" s="20" t="str">
        <f ca="1">IF(CALC2223!BC262&gt;1,INDIRECT(ADDRESS(MATCH(Agenda2526!C263,'CAL6'!A:A,0)+1,2,4,1,"CAL6")),"")</f>
        <v/>
      </c>
      <c r="AH262" s="21">
        <f ca="1">IF(CALC2223!BC262&gt;1,INDIRECT(ADDRESS(MATCH(Agenda2526!C263,'CAL6'!A:A,0)+1,3,4,1,"CAL6")),0)</f>
        <v>0</v>
      </c>
      <c r="AI262" s="20" t="str">
        <f ca="1">IF(CALC2223!BC262&gt;2,INDIRECT(ADDRESS(MATCH(Agenda2526!C263,'CAL6'!A:A,0)+2,2,4,1,"CAL6")),"")</f>
        <v/>
      </c>
      <c r="AJ262" s="21">
        <f ca="1">IF(CALC2223!BC262&gt;2,INDIRECT(ADDRESS(MATCH(Agenda2526!C263,'CAL6'!A:A,0)+2,3,4,1,"CAL6")),0)</f>
        <v>0</v>
      </c>
      <c r="AK262" s="20" t="str">
        <f ca="1">IF(CALC2223!BD262&gt;0,INDIRECT(ADDRESS(MATCH(Agenda2526!C263,'CAL7'!A:A,0),2,4,1,"CAL7")),"")</f>
        <v/>
      </c>
      <c r="AL262" s="21">
        <f ca="1">IF(CALC2223!BD262&gt;0,INDIRECT(ADDRESS(MATCH(Agenda2526!C263,'CAL7'!A:A,0),3,4,1,"CAL7")),0)</f>
        <v>0</v>
      </c>
      <c r="AM262" s="20" t="str">
        <f ca="1">IF(CALC2223!BD262&gt;1,INDIRECT(ADDRESS(MATCH(Agenda2526!C263,'CAL7'!A:A,0)+1,2,4,1,"CAL7")),"")</f>
        <v/>
      </c>
      <c r="AN262" s="21">
        <f ca="1">IF(CALC2223!BD262&gt;1,INDIRECT(ADDRESS(MATCH(Agenda2526!C263,'CAL7'!A:A,0)+1,3,4,1,"CAL7")),0)</f>
        <v>0</v>
      </c>
      <c r="AO262" s="20" t="str">
        <f ca="1">IF(CALC2223!BD262&gt;2,INDIRECT(ADDRESS(MATCH(Agenda2526!C263,'CAL7'!A:A,0)+2,2,4,1,"CAL7")),"")</f>
        <v/>
      </c>
      <c r="AP262" s="21">
        <f ca="1">IF(CALC2223!BD262&gt;2,INDIRECT(ADDRESS(MATCH(Agenda2526!C263,'CAL7'!A:A,0)+2,3,4,1,"CAL7")),0)</f>
        <v>0</v>
      </c>
      <c r="AQ262" s="20" t="str">
        <f ca="1">IF(CALC2223!BE262&gt;0,INDIRECT(ADDRESS(MATCH(Agenda2526!C263,'CAL8'!A:A,0),2,4,1,"CAL8")),"")</f>
        <v/>
      </c>
      <c r="AR262" s="21">
        <f ca="1">IF(CALC2223!BE262&gt;0,INDIRECT(ADDRESS(MATCH(Agenda2526!C263,'CAL8'!A:A,0),3,4,1,"CAL8")),0)</f>
        <v>0</v>
      </c>
      <c r="AS262" s="20" t="str">
        <f ca="1">IF(CALC2223!BE262&gt;1,INDIRECT(ADDRESS(MATCH(Agenda2526!C263,'CAL8'!A:A,0)+1,2,4,1,"CAL8")),"")</f>
        <v/>
      </c>
      <c r="AT262" s="21">
        <f ca="1">IF(CALC2223!BE262&gt;1,INDIRECT(ADDRESS(MATCH(Agenda2526!C263,'CAL8'!A:A,0)+1,3,4,1,"CAL8")),0)</f>
        <v>0</v>
      </c>
      <c r="AU262" s="20" t="str">
        <f ca="1">IF(CALC2223!BE262&gt;2,INDIRECT(ADDRESS(MATCH(Agenda2526!C263,'CAL8'!A:A,0)+2,2,4,1,"CAL8")),"")</f>
        <v/>
      </c>
      <c r="AV262" s="21">
        <f ca="1">IF(CALC2223!BE262&gt;2,INDIRECT(ADDRESS(MATCH(Agenda2526!C263,'CAL8'!A:A,0)+2,3,4,1,"CAL8")),0)</f>
        <v>0</v>
      </c>
      <c r="AW262" s="105"/>
      <c r="AX262" s="20">
        <f>COUNTIF('CAL1'!A:A,Agenda2526!C263)</f>
        <v>0</v>
      </c>
      <c r="AY262" s="20">
        <f>COUNTIF('CAL2'!A:A,Agenda2526!C263)</f>
        <v>0</v>
      </c>
      <c r="AZ262" s="20">
        <f>COUNTIF('CAL3'!A:A,Agenda2526!C263)</f>
        <v>0</v>
      </c>
      <c r="BA262" s="20">
        <f>COUNTIF('CAL4'!A:A,Agenda2526!C263)</f>
        <v>0</v>
      </c>
      <c r="BB262" s="20">
        <f>COUNTIF('CAL5'!A:A,Agenda2526!C263)</f>
        <v>0</v>
      </c>
      <c r="BC262" s="20">
        <f>COUNTIF('CAL6'!A:A,Agenda2526!C263)</f>
        <v>1</v>
      </c>
      <c r="BD262" s="20">
        <f>COUNTIF('CAL7'!A:A,Agenda2526!C263)</f>
        <v>0</v>
      </c>
      <c r="BE262" s="20">
        <f>COUNTIF('CAL8'!A:A,Agenda2526!C263)</f>
        <v>0</v>
      </c>
    </row>
    <row r="263" spans="1:57" ht="15.75" customHeight="1">
      <c r="A263" s="20" t="str">
        <f ca="1">IF(CALC2223!AX263&gt;0,INDIRECT(ADDRESS(MATCH(Agenda2526!C264,'CAL1'!A:A,0),2,4,1,"CAL1")),"")</f>
        <v/>
      </c>
      <c r="B263" s="21">
        <f ca="1">IF(CALC2223!AX263&gt;0,INDIRECT(ADDRESS(MATCH(Agenda2526!C264,'CAL1'!A:A,0),3,4,1,"CAL1")),0)</f>
        <v>0</v>
      </c>
      <c r="C263" s="20" t="str">
        <f ca="1">IF(CALC2223!AX263&gt;1,INDIRECT(ADDRESS(MATCH(Agenda2526!C264,'CAL1'!A:A,0)+1,2,4,1,"CAL1")),"")</f>
        <v/>
      </c>
      <c r="D263" s="21">
        <f ca="1">IF(CALC2223!AX263&gt;1,INDIRECT(ADDRESS(MATCH(Agenda2526!C264,'CAL1'!A:A,0)+1,3,4,1,"CAL1")),0)</f>
        <v>0</v>
      </c>
      <c r="E263" s="20" t="str">
        <f ca="1">IF(CALC2223!AX263&gt;2,INDIRECT(ADDRESS(MATCH(Agenda2526!C264,'CAL1'!A:A,0)+2,2,4,1,"CAL1")),"")</f>
        <v/>
      </c>
      <c r="F263" s="21">
        <f ca="1">IF(CALC2223!AX263&gt;2,INDIRECT(ADDRESS(MATCH(Agenda2526!C264,'CAL1'!A:A,0)+2,3,4,1,"CAL1")),0)</f>
        <v>0</v>
      </c>
      <c r="G263" s="20" t="str">
        <f ca="1">IF(CALC2223!AY263&gt;0,INDIRECT(ADDRESS(MATCH(Agenda2526!C264,'CAL2'!A:A,0),2,4,1,"CAL2")),"")</f>
        <v/>
      </c>
      <c r="H263" s="21">
        <f ca="1">IF(CALC2223!AY263&gt;0,INDIRECT(ADDRESS(MATCH(Agenda2526!C264,'CAL2'!A:A,0),3,4,1,"CAL2")),0)</f>
        <v>0</v>
      </c>
      <c r="I263" s="20" t="str">
        <f ca="1">IF(CALC2223!AY263&gt;1,INDIRECT(ADDRESS(MATCH(Agenda2526!C264,'CAL2'!A:A,0)+1,2,4,1,"CAL2")),"")</f>
        <v/>
      </c>
      <c r="J263" s="21">
        <f ca="1">IF(CALC2223!AY263&gt;1,INDIRECT(ADDRESS(MATCH(Agenda2526!C264,'CAL2'!A:A,0)+1,3,4,1,"CAL2")),0)</f>
        <v>0</v>
      </c>
      <c r="K263" s="20" t="str">
        <f ca="1">IF(CALC2223!AY263&gt;2,INDIRECT(ADDRESS(MATCH(Agenda2526!C264,'CAL2'!A:A,0)+2,2,4,1,"CAL2")),"")</f>
        <v/>
      </c>
      <c r="L263" s="21">
        <f ca="1">IF(CALC2223!AY263&gt;2,INDIRECT(ADDRESS(MATCH(Agenda2526!C264,'CAL2'!A:A,0)+2,3,4,1,"CAL2")),0)</f>
        <v>0</v>
      </c>
      <c r="M263" s="20" t="str">
        <f ca="1">IF(CALC2223!AZ263&gt;0,INDIRECT(ADDRESS(MATCH(Agenda2526!C264,'CAL3'!A:A,0),2,4,1,"CAL3")),"")</f>
        <v/>
      </c>
      <c r="N263" s="21">
        <f ca="1">IF(CALC2223!AZ263&gt;0,INDIRECT(ADDRESS(MATCH(Agenda2526!C264,'CAL3'!A:A,0),3,4,1,"CAL3")),0)</f>
        <v>0</v>
      </c>
      <c r="O263" s="20" t="str">
        <f ca="1">IF(CALC2223!AZ263&gt;1,INDIRECT(ADDRESS(MATCH(Agenda2526!C264,'CAL3'!A:A,0)+1,2,4,1,"CAL3")),"")</f>
        <v/>
      </c>
      <c r="P263" s="21">
        <f ca="1">IF(CALC2223!AZ263&gt;1,INDIRECT(ADDRESS(MATCH(Agenda2526!C264,'CAL3'!A:A,0)+1,3,4,1,"CAL3")),0)</f>
        <v>0</v>
      </c>
      <c r="Q263" s="20" t="str">
        <f ca="1">IF(CALC2223!AZ263&gt;2,INDIRECT(ADDRESS(MATCH(Agenda2526!C264,'CAL3'!A:A,0)+2,2,4,1,"CAL3")),"")</f>
        <v/>
      </c>
      <c r="R263" s="21">
        <f ca="1">IF(CALC2223!AZ263&gt;2,INDIRECT(ADDRESS(MATCH(Agenda2526!C264,'CAL3'!A:A,0)+2,3,4,1,"CAL3")),0)</f>
        <v>0</v>
      </c>
      <c r="S263" s="20" t="str">
        <f ca="1">IF(CALC2223!BA263&gt;0,INDIRECT(ADDRESS(MATCH(Agenda2526!C264,'CAL4'!A:A,0),2,4,1,"CAL4")),"")</f>
        <v>inh rep BE</v>
      </c>
      <c r="T263" s="21">
        <f ca="1">IF(CALC2223!BA263&gt;0,INDIRECT(ADDRESS(MATCH(Agenda2526!C264,'CAL4'!A:A,0),3,4,1,"CAL4")),0)</f>
        <v>45936</v>
      </c>
      <c r="U263" s="20" t="str">
        <f ca="1">IF(CALC2223!BA263&gt;1,INDIRECT(ADDRESS(MATCH(Agenda2526!C264,'CAL4'!A:A,0)+1,2,4,1,"CAL4")),"")</f>
        <v/>
      </c>
      <c r="V263" s="21">
        <f ca="1">IF(CALC2223!BA263&gt;1,INDIRECT(ADDRESS(MATCH(Agenda2526!C264,'CAL4'!A:A,0)+1,3,4,1,"CAL4")),0)</f>
        <v>0</v>
      </c>
      <c r="W263" s="20" t="str">
        <f ca="1">IF(CALC2223!BA263&gt;2,INDIRECT(ADDRESS(MATCH(Agenda2526!C264,'CAL4'!A:A,0)+2,2,4,1,"CAL4")),"")</f>
        <v/>
      </c>
      <c r="X263" s="21">
        <f ca="1">IF(CALC2223!BA263&gt;2,INDIRECT(ADDRESS(MATCH(Agenda2526!C264,'CAL4'!A:A,0)+2,3,4,1,"CAL4")),0)</f>
        <v>0</v>
      </c>
      <c r="Y263" s="20" t="str">
        <f ca="1">IF(CALC2223!BB263&gt;0,INDIRECT(ADDRESS(MATCH(Agenda2526!C264,'CAL5'!A:A,0),2,4,1,"CAL5")),"")</f>
        <v/>
      </c>
      <c r="Z263" s="21">
        <f ca="1">IF(CALC2223!BB263&gt;0,INDIRECT(ADDRESS(MATCH(Agenda2526!C264,'CAL5'!A:A,0),3,4,1,"CAL5")),0)</f>
        <v>0</v>
      </c>
      <c r="AA263" s="20" t="str">
        <f ca="1">IF(CALC2223!BB263&gt;1,INDIRECT(ADDRESS(MATCH(Agenda2526!C264,'CAL5'!A:A,0)+1,2,4,1,"CAL5")),"")</f>
        <v/>
      </c>
      <c r="AB263" s="21">
        <f ca="1">IF(CALC2223!BB263&gt;1,INDIRECT(ADDRESS(MATCH(Agenda2526!C264,'CAL5'!A:A,0)+1,3,4,1,"CAL5")),0)</f>
        <v>0</v>
      </c>
      <c r="AC263" s="20" t="str">
        <f ca="1">IF(CALC2223!BB263&gt;2,INDIRECT(ADDRESS(MATCH(Agenda2526!C264,'CAL5'!A:A,0)+2,2,4,1,"CAL5")),"")</f>
        <v/>
      </c>
      <c r="AD263" s="21">
        <f ca="1">IF(CALC2223!BB263&gt;2,INDIRECT(ADDRESS(MATCH(Agenda2526!C264,'CAL5'!A:A,0)+2,3,4,1,"CAL5")),0)</f>
        <v>0</v>
      </c>
      <c r="AE263" s="20" t="str">
        <f ca="1">IF(CALC2223!BC263&gt;0,INDIRECT(ADDRESS(MATCH(Agenda2526!C264,'CAL6'!A:A,0),2,4,1,"CAL6")),"")</f>
        <v xml:space="preserve">   /EN</v>
      </c>
      <c r="AF263" s="21">
        <f ca="1">IF(CALC2223!BC263&gt;0,INDIRECT(ADDRESS(MATCH(Agenda2526!C264,'CAL6'!A:A,0),3,4,1,"CAL6")),0)</f>
        <v>45896</v>
      </c>
      <c r="AG263" s="20" t="str">
        <f ca="1">IF(CALC2223!BC263&gt;1,INDIRECT(ADDRESS(MATCH(Agenda2526!C264,'CAL6'!A:A,0)+1,2,4,1,"CAL6")),"")</f>
        <v/>
      </c>
      <c r="AH263" s="21">
        <f ca="1">IF(CALC2223!BC263&gt;1,INDIRECT(ADDRESS(MATCH(Agenda2526!C264,'CAL6'!A:A,0)+1,3,4,1,"CAL6")),0)</f>
        <v>0</v>
      </c>
      <c r="AI263" s="20" t="str">
        <f ca="1">IF(CALC2223!BC263&gt;2,INDIRECT(ADDRESS(MATCH(Agenda2526!C264,'CAL6'!A:A,0)+2,2,4,1,"CAL6")),"")</f>
        <v/>
      </c>
      <c r="AJ263" s="21">
        <f ca="1">IF(CALC2223!BC263&gt;2,INDIRECT(ADDRESS(MATCH(Agenda2526!C264,'CAL6'!A:A,0)+2,3,4,1,"CAL6")),0)</f>
        <v>0</v>
      </c>
      <c r="AK263" s="20" t="str">
        <f ca="1">IF(CALC2223!BD263&gt;0,INDIRECT(ADDRESS(MATCH(Agenda2526!C264,'CAL7'!A:A,0),2,4,1,"CAL7")),"")</f>
        <v/>
      </c>
      <c r="AL263" s="21">
        <f ca="1">IF(CALC2223!BD263&gt;0,INDIRECT(ADDRESS(MATCH(Agenda2526!C264,'CAL7'!A:A,0),3,4,1,"CAL7")),0)</f>
        <v>0</v>
      </c>
      <c r="AM263" s="20" t="str">
        <f ca="1">IF(CALC2223!BD263&gt;1,INDIRECT(ADDRESS(MATCH(Agenda2526!C264,'CAL7'!A:A,0)+1,2,4,1,"CAL7")),"")</f>
        <v/>
      </c>
      <c r="AN263" s="21">
        <f ca="1">IF(CALC2223!BD263&gt;1,INDIRECT(ADDRESS(MATCH(Agenda2526!C264,'CAL7'!A:A,0)+1,3,4,1,"CAL7")),0)</f>
        <v>0</v>
      </c>
      <c r="AO263" s="20" t="str">
        <f ca="1">IF(CALC2223!BD263&gt;2,INDIRECT(ADDRESS(MATCH(Agenda2526!C264,'CAL7'!A:A,0)+2,2,4,1,"CAL7")),"")</f>
        <v/>
      </c>
      <c r="AP263" s="21">
        <f ca="1">IF(CALC2223!BD263&gt;2,INDIRECT(ADDRESS(MATCH(Agenda2526!C264,'CAL7'!A:A,0)+2,3,4,1,"CAL7")),0)</f>
        <v>0</v>
      </c>
      <c r="AQ263" s="20" t="str">
        <f ca="1">IF(CALC2223!BE263&gt;0,INDIRECT(ADDRESS(MATCH(Agenda2526!C264,'CAL8'!A:A,0),2,4,1,"CAL8")),"")</f>
        <v/>
      </c>
      <c r="AR263" s="21">
        <f ca="1">IF(CALC2223!BE263&gt;0,INDIRECT(ADDRESS(MATCH(Agenda2526!C264,'CAL8'!A:A,0),3,4,1,"CAL8")),0)</f>
        <v>0</v>
      </c>
      <c r="AS263" s="20" t="str">
        <f ca="1">IF(CALC2223!BE263&gt;1,INDIRECT(ADDRESS(MATCH(Agenda2526!C264,'CAL8'!A:A,0)+1,2,4,1,"CAL8")),"")</f>
        <v/>
      </c>
      <c r="AT263" s="21">
        <f ca="1">IF(CALC2223!BE263&gt;1,INDIRECT(ADDRESS(MATCH(Agenda2526!C264,'CAL8'!A:A,0)+1,3,4,1,"CAL8")),0)</f>
        <v>0</v>
      </c>
      <c r="AU263" s="20" t="str">
        <f ca="1">IF(CALC2223!BE263&gt;2,INDIRECT(ADDRESS(MATCH(Agenda2526!C264,'CAL8'!A:A,0)+2,2,4,1,"CAL8")),"")</f>
        <v/>
      </c>
      <c r="AV263" s="21">
        <f ca="1">IF(CALC2223!BE263&gt;2,INDIRECT(ADDRESS(MATCH(Agenda2526!C264,'CAL8'!A:A,0)+2,3,4,1,"CAL8")),0)</f>
        <v>0</v>
      </c>
      <c r="AW263" s="105"/>
      <c r="AX263" s="20">
        <f>COUNTIF('CAL1'!A:A,Agenda2526!C264)</f>
        <v>0</v>
      </c>
      <c r="AY263" s="20">
        <f>COUNTIF('CAL2'!A:A,Agenda2526!C264)</f>
        <v>0</v>
      </c>
      <c r="AZ263" s="20">
        <f>COUNTIF('CAL3'!A:A,Agenda2526!C264)</f>
        <v>0</v>
      </c>
      <c r="BA263" s="20">
        <f>COUNTIF('CAL4'!A:A,Agenda2526!C264)</f>
        <v>1</v>
      </c>
      <c r="BB263" s="20">
        <f>COUNTIF('CAL5'!A:A,Agenda2526!C264)</f>
        <v>0</v>
      </c>
      <c r="BC263" s="20">
        <f>COUNTIF('CAL6'!A:A,Agenda2526!C264)</f>
        <v>1</v>
      </c>
      <c r="BD263" s="20">
        <f>COUNTIF('CAL7'!A:A,Agenda2526!C264)</f>
        <v>0</v>
      </c>
      <c r="BE263" s="20">
        <f>COUNTIF('CAL8'!A:A,Agenda2526!C264)</f>
        <v>0</v>
      </c>
    </row>
    <row r="264" spans="1:57" ht="15.75" customHeight="1">
      <c r="A264" s="20" t="str">
        <f ca="1">IF(CALC2223!AX264&gt;0,INDIRECT(ADDRESS(MATCH(Agenda2526!C265,'CAL1'!A:A,0),2,4,1,"CAL1")),"")</f>
        <v/>
      </c>
      <c r="B264" s="21">
        <f ca="1">IF(CALC2223!AX264&gt;0,INDIRECT(ADDRESS(MATCH(Agenda2526!C265,'CAL1'!A:A,0),3,4,1,"CAL1")),0)</f>
        <v>0</v>
      </c>
      <c r="C264" s="20" t="str">
        <f ca="1">IF(CALC2223!AX264&gt;1,INDIRECT(ADDRESS(MATCH(Agenda2526!C265,'CAL1'!A:A,0)+1,2,4,1,"CAL1")),"")</f>
        <v/>
      </c>
      <c r="D264" s="21">
        <f ca="1">IF(CALC2223!AX264&gt;1,INDIRECT(ADDRESS(MATCH(Agenda2526!C265,'CAL1'!A:A,0)+1,3,4,1,"CAL1")),0)</f>
        <v>0</v>
      </c>
      <c r="E264" s="20" t="str">
        <f ca="1">IF(CALC2223!AX264&gt;2,INDIRECT(ADDRESS(MATCH(Agenda2526!C265,'CAL1'!A:A,0)+2,2,4,1,"CAL1")),"")</f>
        <v/>
      </c>
      <c r="F264" s="21">
        <f ca="1">IF(CALC2223!AX264&gt;2,INDIRECT(ADDRESS(MATCH(Agenda2526!C265,'CAL1'!A:A,0)+2,3,4,1,"CAL1")),0)</f>
        <v>0</v>
      </c>
      <c r="G264" s="20" t="str">
        <f ca="1">IF(CALC2223!AY264&gt;0,INDIRECT(ADDRESS(MATCH(Agenda2526!C265,'CAL2'!A:A,0),2,4,1,"CAL2")),"")</f>
        <v/>
      </c>
      <c r="H264" s="21">
        <f ca="1">IF(CALC2223!AY264&gt;0,INDIRECT(ADDRESS(MATCH(Agenda2526!C265,'CAL2'!A:A,0),3,4,1,"CAL2")),0)</f>
        <v>0</v>
      </c>
      <c r="I264" s="20" t="str">
        <f ca="1">IF(CALC2223!AY264&gt;1,INDIRECT(ADDRESS(MATCH(Agenda2526!C265,'CAL2'!A:A,0)+1,2,4,1,"CAL2")),"")</f>
        <v/>
      </c>
      <c r="J264" s="21">
        <f ca="1">IF(CALC2223!AY264&gt;1,INDIRECT(ADDRESS(MATCH(Agenda2526!C265,'CAL2'!A:A,0)+1,3,4,1,"CAL2")),0)</f>
        <v>0</v>
      </c>
      <c r="K264" s="20" t="str">
        <f ca="1">IF(CALC2223!AY264&gt;2,INDIRECT(ADDRESS(MATCH(Agenda2526!C265,'CAL2'!A:A,0)+2,2,4,1,"CAL2")),"")</f>
        <v/>
      </c>
      <c r="L264" s="21">
        <f ca="1">IF(CALC2223!AY264&gt;2,INDIRECT(ADDRESS(MATCH(Agenda2526!C265,'CAL2'!A:A,0)+2,3,4,1,"CAL2")),0)</f>
        <v>0</v>
      </c>
      <c r="M264" s="20" t="str">
        <f ca="1">IF(CALC2223!AZ264&gt;0,INDIRECT(ADDRESS(MATCH(Agenda2526!C265,'CAL3'!A:A,0),2,4,1,"CAL3")),"")</f>
        <v>Rep SK</v>
      </c>
      <c r="N264" s="21">
        <f ca="1">IF(CALC2223!AZ264&gt;0,INDIRECT(ADDRESS(MATCH(Agenda2526!C265,'CAL3'!A:A,0),3,4,1,"CAL3")),0)</f>
        <v>45903</v>
      </c>
      <c r="O264" s="20" t="str">
        <f ca="1">IF(CALC2223!AZ264&gt;1,INDIRECT(ADDRESS(MATCH(Agenda2526!C265,'CAL3'!A:A,0)+1,2,4,1,"CAL3")),"")</f>
        <v/>
      </c>
      <c r="P264" s="21">
        <f ca="1">IF(CALC2223!AZ264&gt;1,INDIRECT(ADDRESS(MATCH(Agenda2526!C265,'CAL3'!A:A,0)+1,3,4,1,"CAL3")),0)</f>
        <v>0</v>
      </c>
      <c r="Q264" s="20" t="str">
        <f ca="1">IF(CALC2223!AZ264&gt;2,INDIRECT(ADDRESS(MATCH(Agenda2526!C265,'CAL3'!A:A,0)+2,2,4,1,"CAL3")),"")</f>
        <v/>
      </c>
      <c r="R264" s="21">
        <f ca="1">IF(CALC2223!AZ264&gt;2,INDIRECT(ADDRESS(MATCH(Agenda2526!C265,'CAL3'!A:A,0)+2,3,4,1,"CAL3")),0)</f>
        <v>0</v>
      </c>
      <c r="S264" s="20" t="str">
        <f ca="1">IF(CALC2223!BA264&gt;0,INDIRECT(ADDRESS(MATCH(Agenda2526!C265,'CAL4'!A:A,0),2,4,1,"CAL4")),"")</f>
        <v>HPGpresentaties</v>
      </c>
      <c r="T264" s="21">
        <f ca="1">IF(CALC2223!BA264&gt;0,INDIRECT(ADDRESS(MATCH(Agenda2526!C265,'CAL4'!A:A,0),3,4,1,"CAL4")),0)</f>
        <v>45896</v>
      </c>
      <c r="U264" s="20" t="str">
        <f ca="1">IF(CALC2223!BA264&gt;1,INDIRECT(ADDRESS(MATCH(Agenda2526!C265,'CAL4'!A:A,0)+1,2,4,1,"CAL4")),"")</f>
        <v/>
      </c>
      <c r="V264" s="21">
        <f ca="1">IF(CALC2223!BA264&gt;1,INDIRECT(ADDRESS(MATCH(Agenda2526!C265,'CAL4'!A:A,0)+1,3,4,1,"CAL4")),0)</f>
        <v>0</v>
      </c>
      <c r="W264" s="20" t="str">
        <f ca="1">IF(CALC2223!BA264&gt;2,INDIRECT(ADDRESS(MATCH(Agenda2526!C265,'CAL4'!A:A,0)+2,2,4,1,"CAL4")),"")</f>
        <v/>
      </c>
      <c r="X264" s="21">
        <f ca="1">IF(CALC2223!BA264&gt;2,INDIRECT(ADDRESS(MATCH(Agenda2526!C265,'CAL4'!A:A,0)+2,3,4,1,"CAL4")),0)</f>
        <v>0</v>
      </c>
      <c r="Y264" s="20" t="str">
        <f ca="1">IF(CALC2223!BB264&gt;0,INDIRECT(ADDRESS(MATCH(Agenda2526!C265,'CAL5'!A:A,0),2,4,1,"CAL5")),"")</f>
        <v>HPGpresentaties</v>
      </c>
      <c r="Z264" s="21">
        <f ca="1">IF(CALC2223!BB264&gt;0,INDIRECT(ADDRESS(MATCH(Agenda2526!C265,'CAL5'!A:A,0),3,4,1,"CAL5")),0)</f>
        <v>45896</v>
      </c>
      <c r="AA264" s="20" t="str">
        <f ca="1">IF(CALC2223!BB264&gt;1,INDIRECT(ADDRESS(MATCH(Agenda2526!C265,'CAL5'!A:A,0)+1,2,4,1,"CAL5")),"")</f>
        <v/>
      </c>
      <c r="AB264" s="21">
        <f ca="1">IF(CALC2223!BB264&gt;1,INDIRECT(ADDRESS(MATCH(Agenda2526!C265,'CAL5'!A:A,0)+1,3,4,1,"CAL5")),0)</f>
        <v>0</v>
      </c>
      <c r="AC264" s="20" t="str">
        <f ca="1">IF(CALC2223!BB264&gt;2,INDIRECT(ADDRESS(MATCH(Agenda2526!C265,'CAL5'!A:A,0)+2,2,4,1,"CAL5")),"")</f>
        <v/>
      </c>
      <c r="AD264" s="21">
        <f ca="1">IF(CALC2223!BB264&gt;2,INDIRECT(ADDRESS(MATCH(Agenda2526!C265,'CAL5'!A:A,0)+2,3,4,1,"CAL5")),0)</f>
        <v>0</v>
      </c>
      <c r="AE264" s="20" t="str">
        <f ca="1">IF(CALC2223!BC264&gt;0,INDIRECT(ADDRESS(MATCH(Agenda2526!C265,'CAL6'!A:A,0),2,4,1,"CAL6")),"")</f>
        <v xml:space="preserve">   /EC</v>
      </c>
      <c r="AF264" s="21">
        <f ca="1">IF(CALC2223!BC264&gt;0,INDIRECT(ADDRESS(MATCH(Agenda2526!C265,'CAL6'!A:A,0),3,4,1,"CAL6")),0)</f>
        <v>45896</v>
      </c>
      <c r="AG264" s="20" t="str">
        <f ca="1">IF(CALC2223!BC264&gt;1,INDIRECT(ADDRESS(MATCH(Agenda2526!C265,'CAL6'!A:A,0)+1,2,4,1,"CAL6")),"")</f>
        <v/>
      </c>
      <c r="AH264" s="21">
        <f ca="1">IF(CALC2223!BC264&gt;1,INDIRECT(ADDRESS(MATCH(Agenda2526!C265,'CAL6'!A:A,0)+1,3,4,1,"CAL6")),0)</f>
        <v>0</v>
      </c>
      <c r="AI264" s="20" t="str">
        <f ca="1">IF(CALC2223!BC264&gt;2,INDIRECT(ADDRESS(MATCH(Agenda2526!C265,'CAL6'!A:A,0)+2,2,4,1,"CAL6")),"")</f>
        <v/>
      </c>
      <c r="AJ264" s="21">
        <f ca="1">IF(CALC2223!BC264&gt;2,INDIRECT(ADDRESS(MATCH(Agenda2526!C265,'CAL6'!A:A,0)+2,3,4,1,"CAL6")),0)</f>
        <v>0</v>
      </c>
      <c r="AK264" s="20" t="str">
        <f ca="1">IF(CALC2223!BD264&gt;0,INDIRECT(ADDRESS(MATCH(Agenda2526!C265,'CAL7'!A:A,0),2,4,1,"CAL7")),"")</f>
        <v>studiemiddag#3</v>
      </c>
      <c r="AL264" s="21">
        <f ca="1">IF(CALC2223!BD264&gt;0,INDIRECT(ADDRESS(MATCH(Agenda2526!C265,'CAL7'!A:A,0),3,4,1,"CAL7")),0)</f>
        <v>45896</v>
      </c>
      <c r="AM264" s="20" t="str">
        <f ca="1">IF(CALC2223!BD264&gt;1,INDIRECT(ADDRESS(MATCH(Agenda2526!C265,'CAL7'!A:A,0)+1,2,4,1,"CAL7")),"")</f>
        <v/>
      </c>
      <c r="AN264" s="21">
        <f ca="1">IF(CALC2223!BD264&gt;1,INDIRECT(ADDRESS(MATCH(Agenda2526!C265,'CAL7'!A:A,0)+1,3,4,1,"CAL7")),0)</f>
        <v>0</v>
      </c>
      <c r="AO264" s="20" t="str">
        <f ca="1">IF(CALC2223!BD264&gt;2,INDIRECT(ADDRESS(MATCH(Agenda2526!C265,'CAL7'!A:A,0)+2,2,4,1,"CAL7")),"")</f>
        <v/>
      </c>
      <c r="AP264" s="21">
        <f ca="1">IF(CALC2223!BD264&gt;2,INDIRECT(ADDRESS(MATCH(Agenda2526!C265,'CAL7'!A:A,0)+2,3,4,1,"CAL7")),0)</f>
        <v>0</v>
      </c>
      <c r="AQ264" s="20" t="str">
        <f ca="1">IF(CALC2223!BE264&gt;0,INDIRECT(ADDRESS(MATCH(Agenda2526!C265,'CAL8'!A:A,0),2,4,1,"CAL8")),"")</f>
        <v/>
      </c>
      <c r="AR264" s="21">
        <f ca="1">IF(CALC2223!BE264&gt;0,INDIRECT(ADDRESS(MATCH(Agenda2526!C265,'CAL8'!A:A,0),3,4,1,"CAL8")),0)</f>
        <v>0</v>
      </c>
      <c r="AS264" s="20" t="str">
        <f ca="1">IF(CALC2223!BE264&gt;1,INDIRECT(ADDRESS(MATCH(Agenda2526!C265,'CAL8'!A:A,0)+1,2,4,1,"CAL8")),"")</f>
        <v/>
      </c>
      <c r="AT264" s="21">
        <f ca="1">IF(CALC2223!BE264&gt;1,INDIRECT(ADDRESS(MATCH(Agenda2526!C265,'CAL8'!A:A,0)+1,3,4,1,"CAL8")),0)</f>
        <v>0</v>
      </c>
      <c r="AU264" s="20" t="str">
        <f ca="1">IF(CALC2223!BE264&gt;2,INDIRECT(ADDRESS(MATCH(Agenda2526!C265,'CAL8'!A:A,0)+2,2,4,1,"CAL8")),"")</f>
        <v/>
      </c>
      <c r="AV264" s="21">
        <f ca="1">IF(CALC2223!BE264&gt;2,INDIRECT(ADDRESS(MATCH(Agenda2526!C265,'CAL8'!A:A,0)+2,3,4,1,"CAL8")),0)</f>
        <v>0</v>
      </c>
      <c r="AW264" s="105"/>
      <c r="AX264" s="20">
        <f>COUNTIF('CAL1'!A:A,Agenda2526!C265)</f>
        <v>0</v>
      </c>
      <c r="AY264" s="20">
        <f>COUNTIF('CAL2'!A:A,Agenda2526!C265)</f>
        <v>0</v>
      </c>
      <c r="AZ264" s="20">
        <f>COUNTIF('CAL3'!A:A,Agenda2526!C265)</f>
        <v>1</v>
      </c>
      <c r="BA264" s="20">
        <f>COUNTIF('CAL4'!A:A,Agenda2526!C265)</f>
        <v>1</v>
      </c>
      <c r="BB264" s="20">
        <f>COUNTIF('CAL5'!A:A,Agenda2526!C265)</f>
        <v>1</v>
      </c>
      <c r="BC264" s="20">
        <f>COUNTIF('CAL6'!A:A,Agenda2526!C265)</f>
        <v>1</v>
      </c>
      <c r="BD264" s="20">
        <f>COUNTIF('CAL7'!A:A,Agenda2526!C265)</f>
        <v>1</v>
      </c>
      <c r="BE264" s="20">
        <f>COUNTIF('CAL8'!A:A,Agenda2526!C265)</f>
        <v>0</v>
      </c>
    </row>
    <row r="265" spans="1:57" ht="15.75" customHeight="1">
      <c r="A265" s="20" t="str">
        <f ca="1">IF(CALC2223!AX265&gt;0,INDIRECT(ADDRESS(MATCH(Agenda2526!C266,'CAL1'!A:A,0),2,4,1,"CAL1")),"")</f>
        <v/>
      </c>
      <c r="B265" s="21">
        <f ca="1">IF(CALC2223!AX265&gt;0,INDIRECT(ADDRESS(MATCH(Agenda2526!C266,'CAL1'!A:A,0),3,4,1,"CAL1")),0)</f>
        <v>0</v>
      </c>
      <c r="C265" s="20" t="str">
        <f ca="1">IF(CALC2223!AX265&gt;1,INDIRECT(ADDRESS(MATCH(Agenda2526!C266,'CAL1'!A:A,0)+1,2,4,1,"CAL1")),"")</f>
        <v/>
      </c>
      <c r="D265" s="21">
        <f ca="1">IF(CALC2223!AX265&gt;1,INDIRECT(ADDRESS(MATCH(Agenda2526!C266,'CAL1'!A:A,0)+1,3,4,1,"CAL1")),0)</f>
        <v>0</v>
      </c>
      <c r="E265" s="20" t="str">
        <f ca="1">IF(CALC2223!AX265&gt;2,INDIRECT(ADDRESS(MATCH(Agenda2526!C266,'CAL1'!A:A,0)+2,2,4,1,"CAL1")),"")</f>
        <v/>
      </c>
      <c r="F265" s="21">
        <f ca="1">IF(CALC2223!AX265&gt;2,INDIRECT(ADDRESS(MATCH(Agenda2526!C266,'CAL1'!A:A,0)+2,3,4,1,"CAL1")),0)</f>
        <v>0</v>
      </c>
      <c r="G265" s="20" t="str">
        <f ca="1">IF(CALC2223!AY265&gt;0,INDIRECT(ADDRESS(MATCH(Agenda2526!C266,'CAL2'!A:A,0),2,4,1,"CAL2")),"")</f>
        <v>Rep EN</v>
      </c>
      <c r="H265" s="21">
        <f ca="1">IF(CALC2223!AY265&gt;0,INDIRECT(ADDRESS(MATCH(Agenda2526!C266,'CAL2'!A:A,0),3,4,1,"CAL2")),0)</f>
        <v>45903</v>
      </c>
      <c r="I265" s="20" t="str">
        <f ca="1">IF(CALC2223!AY265&gt;1,INDIRECT(ADDRESS(MATCH(Agenda2526!C266,'CAL2'!A:A,0)+1,2,4,1,"CAL2")),"")</f>
        <v/>
      </c>
      <c r="J265" s="21">
        <f ca="1">IF(CALC2223!AY265&gt;1,INDIRECT(ADDRESS(MATCH(Agenda2526!C266,'CAL2'!A:A,0)+1,3,4,1,"CAL2")),0)</f>
        <v>0</v>
      </c>
      <c r="K265" s="20" t="str">
        <f ca="1">IF(CALC2223!AY265&gt;2,INDIRECT(ADDRESS(MATCH(Agenda2526!C266,'CAL2'!A:A,0)+2,2,4,1,"CAL2")),"")</f>
        <v/>
      </c>
      <c r="L265" s="21">
        <f ca="1">IF(CALC2223!AY265&gt;2,INDIRECT(ADDRESS(MATCH(Agenda2526!C266,'CAL2'!A:A,0)+2,3,4,1,"CAL2")),0)</f>
        <v>0</v>
      </c>
      <c r="M265" s="20" t="str">
        <f ca="1">IF(CALC2223!AZ265&gt;0,INDIRECT(ADDRESS(MATCH(Agenda2526!C266,'CAL3'!A:A,0),2,4,1,"CAL3")),"")</f>
        <v/>
      </c>
      <c r="N265" s="21">
        <f ca="1">IF(CALC2223!AZ265&gt;0,INDIRECT(ADDRESS(MATCH(Agenda2526!C266,'CAL3'!A:A,0),3,4,1,"CAL3")),0)</f>
        <v>0</v>
      </c>
      <c r="O265" s="20" t="str">
        <f ca="1">IF(CALC2223!AZ265&gt;1,INDIRECT(ADDRESS(MATCH(Agenda2526!C266,'CAL3'!A:A,0)+1,2,4,1,"CAL3")),"")</f>
        <v/>
      </c>
      <c r="P265" s="21">
        <f ca="1">IF(CALC2223!AZ265&gt;1,INDIRECT(ADDRESS(MATCH(Agenda2526!C266,'CAL3'!A:A,0)+1,3,4,1,"CAL3")),0)</f>
        <v>0</v>
      </c>
      <c r="Q265" s="20" t="str">
        <f ca="1">IF(CALC2223!AZ265&gt;2,INDIRECT(ADDRESS(MATCH(Agenda2526!C266,'CAL3'!A:A,0)+2,2,4,1,"CAL3")),"")</f>
        <v/>
      </c>
      <c r="R265" s="21">
        <f ca="1">IF(CALC2223!AZ265&gt;2,INDIRECT(ADDRESS(MATCH(Agenda2526!C266,'CAL3'!A:A,0)+2,3,4,1,"CAL3")),0)</f>
        <v>0</v>
      </c>
      <c r="S265" s="20" t="str">
        <f ca="1">IF(CALC2223!BA265&gt;0,INDIRECT(ADDRESS(MATCH(Agenda2526!C266,'CAL4'!A:A,0),2,4,1,"CAL4")),"")</f>
        <v>Rep SK</v>
      </c>
      <c r="T265" s="21">
        <f ca="1">IF(CALC2223!BA265&gt;0,INDIRECT(ADDRESS(MATCH(Agenda2526!C266,'CAL4'!A:A,0),3,4,1,"CAL4")),0)</f>
        <v>45965</v>
      </c>
      <c r="U265" s="20" t="str">
        <f ca="1">IF(CALC2223!BA265&gt;1,INDIRECT(ADDRESS(MATCH(Agenda2526!C266,'CAL4'!A:A,0)+1,2,4,1,"CAL4")),"")</f>
        <v/>
      </c>
      <c r="V265" s="21">
        <f ca="1">IF(CALC2223!BA265&gt;1,INDIRECT(ADDRESS(MATCH(Agenda2526!C266,'CAL4'!A:A,0)+1,3,4,1,"CAL4")),0)</f>
        <v>0</v>
      </c>
      <c r="W265" s="20" t="str">
        <f ca="1">IF(CALC2223!BA265&gt;2,INDIRECT(ADDRESS(MATCH(Agenda2526!C266,'CAL4'!A:A,0)+2,2,4,1,"CAL4")),"")</f>
        <v/>
      </c>
      <c r="X265" s="21">
        <f ca="1">IF(CALC2223!BA265&gt;2,INDIRECT(ADDRESS(MATCH(Agenda2526!C266,'CAL4'!A:A,0)+2,3,4,1,"CAL4")),0)</f>
        <v>0</v>
      </c>
      <c r="Y265" s="20" t="str">
        <f ca="1">IF(CALC2223!BB265&gt;0,INDIRECT(ADDRESS(MATCH(Agenda2526!C266,'CAL5'!A:A,0),2,4,1,"CAL5")),"")</f>
        <v/>
      </c>
      <c r="Z265" s="21">
        <f ca="1">IF(CALC2223!BB265&gt;0,INDIRECT(ADDRESS(MATCH(Agenda2526!C266,'CAL5'!A:A,0),3,4,1,"CAL5")),0)</f>
        <v>0</v>
      </c>
      <c r="AA265" s="20" t="str">
        <f ca="1">IF(CALC2223!BB265&gt;1,INDIRECT(ADDRESS(MATCH(Agenda2526!C266,'CAL5'!A:A,0)+1,2,4,1,"CAL5")),"")</f>
        <v/>
      </c>
      <c r="AB265" s="21">
        <f ca="1">IF(CALC2223!BB265&gt;1,INDIRECT(ADDRESS(MATCH(Agenda2526!C266,'CAL5'!A:A,0)+1,3,4,1,"CAL5")),0)</f>
        <v>0</v>
      </c>
      <c r="AC265" s="20" t="str">
        <f ca="1">IF(CALC2223!BB265&gt;2,INDIRECT(ADDRESS(MATCH(Agenda2526!C266,'CAL5'!A:A,0)+2,2,4,1,"CAL5")),"")</f>
        <v/>
      </c>
      <c r="AD265" s="21">
        <f ca="1">IF(CALC2223!BB265&gt;2,INDIRECT(ADDRESS(MATCH(Agenda2526!C266,'CAL5'!A:A,0)+2,3,4,1,"CAL5")),0)</f>
        <v>0</v>
      </c>
      <c r="AE265" s="20" t="str">
        <f ca="1">IF(CALC2223!BC265&gt;0,INDIRECT(ADDRESS(MATCH(Agenda2526!C266,'CAL6'!A:A,0),2,4,1,"CAL6")),"")</f>
        <v>GR/BI</v>
      </c>
      <c r="AF265" s="21">
        <f ca="1">IF(CALC2223!BC265&gt;0,INDIRECT(ADDRESS(MATCH(Agenda2526!C266,'CAL6'!A:A,0),3,4,1,"CAL6")),0)</f>
        <v>45896</v>
      </c>
      <c r="AG265" s="20" t="str">
        <f ca="1">IF(CALC2223!BC265&gt;1,INDIRECT(ADDRESS(MATCH(Agenda2526!C266,'CAL6'!A:A,0)+1,2,4,1,"CAL6")),"")</f>
        <v/>
      </c>
      <c r="AH265" s="21">
        <f ca="1">IF(CALC2223!BC265&gt;1,INDIRECT(ADDRESS(MATCH(Agenda2526!C266,'CAL6'!A:A,0)+1,3,4,1,"CAL6")),0)</f>
        <v>0</v>
      </c>
      <c r="AI265" s="20" t="str">
        <f ca="1">IF(CALC2223!BC265&gt;2,INDIRECT(ADDRESS(MATCH(Agenda2526!C266,'CAL6'!A:A,0)+2,2,4,1,"CAL6")),"")</f>
        <v/>
      </c>
      <c r="AJ265" s="21">
        <f ca="1">IF(CALC2223!BC265&gt;2,INDIRECT(ADDRESS(MATCH(Agenda2526!C266,'CAL6'!A:A,0)+2,3,4,1,"CAL6")),0)</f>
        <v>0</v>
      </c>
      <c r="AK265" s="20" t="str">
        <f ca="1">IF(CALC2223!BD265&gt;0,INDIRECT(ADDRESS(MATCH(Agenda2526!C266,'CAL7'!A:A,0),2,4,1,"CAL7")),"")</f>
        <v/>
      </c>
      <c r="AL265" s="21">
        <f ca="1">IF(CALC2223!BD265&gt;0,INDIRECT(ADDRESS(MATCH(Agenda2526!C266,'CAL7'!A:A,0),3,4,1,"CAL7")),0)</f>
        <v>0</v>
      </c>
      <c r="AM265" s="20" t="str">
        <f ca="1">IF(CALC2223!BD265&gt;1,INDIRECT(ADDRESS(MATCH(Agenda2526!C266,'CAL7'!A:A,0)+1,2,4,1,"CAL7")),"")</f>
        <v/>
      </c>
      <c r="AN265" s="21">
        <f ca="1">IF(CALC2223!BD265&gt;1,INDIRECT(ADDRESS(MATCH(Agenda2526!C266,'CAL7'!A:A,0)+1,3,4,1,"CAL7")),0)</f>
        <v>0</v>
      </c>
      <c r="AO265" s="20" t="str">
        <f ca="1">IF(CALC2223!BD265&gt;2,INDIRECT(ADDRESS(MATCH(Agenda2526!C266,'CAL7'!A:A,0)+2,2,4,1,"CAL7")),"")</f>
        <v/>
      </c>
      <c r="AP265" s="21">
        <f ca="1">IF(CALC2223!BD265&gt;2,INDIRECT(ADDRESS(MATCH(Agenda2526!C266,'CAL7'!A:A,0)+2,3,4,1,"CAL7")),0)</f>
        <v>0</v>
      </c>
      <c r="AQ265" s="20" t="str">
        <f ca="1">IF(CALC2223!BE265&gt;0,INDIRECT(ADDRESS(MATCH(Agenda2526!C266,'CAL8'!A:A,0),2,4,1,"CAL8")),"")</f>
        <v/>
      </c>
      <c r="AR265" s="21">
        <f ca="1">IF(CALC2223!BE265&gt;0,INDIRECT(ADDRESS(MATCH(Agenda2526!C266,'CAL8'!A:A,0),3,4,1,"CAL8")),0)</f>
        <v>0</v>
      </c>
      <c r="AS265" s="20" t="str">
        <f ca="1">IF(CALC2223!BE265&gt;1,INDIRECT(ADDRESS(MATCH(Agenda2526!C266,'CAL8'!A:A,0)+1,2,4,1,"CAL8")),"")</f>
        <v/>
      </c>
      <c r="AT265" s="21">
        <f ca="1">IF(CALC2223!BE265&gt;1,INDIRECT(ADDRESS(MATCH(Agenda2526!C266,'CAL8'!A:A,0)+1,3,4,1,"CAL8")),0)</f>
        <v>0</v>
      </c>
      <c r="AU265" s="20" t="str">
        <f ca="1">IF(CALC2223!BE265&gt;2,INDIRECT(ADDRESS(MATCH(Agenda2526!C266,'CAL8'!A:A,0)+2,2,4,1,"CAL8")),"")</f>
        <v/>
      </c>
      <c r="AV265" s="21">
        <f ca="1">IF(CALC2223!BE265&gt;2,INDIRECT(ADDRESS(MATCH(Agenda2526!C266,'CAL8'!A:A,0)+2,3,4,1,"CAL8")),0)</f>
        <v>0</v>
      </c>
      <c r="AW265" s="105"/>
      <c r="AX265" s="20">
        <f>COUNTIF('CAL1'!A:A,Agenda2526!C266)</f>
        <v>0</v>
      </c>
      <c r="AY265" s="20">
        <f>COUNTIF('CAL2'!A:A,Agenda2526!C266)</f>
        <v>1</v>
      </c>
      <c r="AZ265" s="20">
        <f>COUNTIF('CAL3'!A:A,Agenda2526!C266)</f>
        <v>0</v>
      </c>
      <c r="BA265" s="20">
        <f>COUNTIF('CAL4'!A:A,Agenda2526!C266)</f>
        <v>1</v>
      </c>
      <c r="BB265" s="20">
        <f>COUNTIF('CAL5'!A:A,Agenda2526!C266)</f>
        <v>0</v>
      </c>
      <c r="BC265" s="20">
        <f>COUNTIF('CAL6'!A:A,Agenda2526!C266)</f>
        <v>1</v>
      </c>
      <c r="BD265" s="20">
        <f>COUNTIF('CAL7'!A:A,Agenda2526!C266)</f>
        <v>0</v>
      </c>
      <c r="BE265" s="20">
        <f>COUNTIF('CAL8'!A:A,Agenda2526!C266)</f>
        <v>0</v>
      </c>
    </row>
    <row r="266" spans="1:57" ht="15.75" customHeight="1">
      <c r="A266" s="20" t="str">
        <f ca="1">IF(CALC2223!AX266&gt;0,INDIRECT(ADDRESS(MATCH(Agenda2526!C267,'CAL1'!A:A,0),2,4,1,"CAL1")),"")</f>
        <v/>
      </c>
      <c r="B266" s="21">
        <f ca="1">IF(CALC2223!AX266&gt;0,INDIRECT(ADDRESS(MATCH(Agenda2526!C267,'CAL1'!A:A,0),3,4,1,"CAL1")),0)</f>
        <v>0</v>
      </c>
      <c r="C266" s="20" t="str">
        <f ca="1">IF(CALC2223!AX266&gt;1,INDIRECT(ADDRESS(MATCH(Agenda2526!C267,'CAL1'!A:A,0)+1,2,4,1,"CAL1")),"")</f>
        <v/>
      </c>
      <c r="D266" s="21">
        <f ca="1">IF(CALC2223!AX266&gt;1,INDIRECT(ADDRESS(MATCH(Agenda2526!C267,'CAL1'!A:A,0)+1,3,4,1,"CAL1")),0)</f>
        <v>0</v>
      </c>
      <c r="E266" s="20" t="str">
        <f ca="1">IF(CALC2223!AX266&gt;2,INDIRECT(ADDRESS(MATCH(Agenda2526!C267,'CAL1'!A:A,0)+2,2,4,1,"CAL1")),"")</f>
        <v/>
      </c>
      <c r="F266" s="21">
        <f ca="1">IF(CALC2223!AX266&gt;2,INDIRECT(ADDRESS(MATCH(Agenda2526!C267,'CAL1'!A:A,0)+2,3,4,1,"CAL1")),0)</f>
        <v>0</v>
      </c>
      <c r="G266" s="20" t="str">
        <f ca="1">IF(CALC2223!AY266&gt;0,INDIRECT(ADDRESS(MATCH(Agenda2526!C267,'CAL2'!A:A,0),2,4,1,"CAL2")),"")</f>
        <v/>
      </c>
      <c r="H266" s="21">
        <f ca="1">IF(CALC2223!AY266&gt;0,INDIRECT(ADDRESS(MATCH(Agenda2526!C267,'CAL2'!A:A,0),3,4,1,"CAL2")),0)</f>
        <v>0</v>
      </c>
      <c r="I266" s="20" t="str">
        <f ca="1">IF(CALC2223!AY266&gt;1,INDIRECT(ADDRESS(MATCH(Agenda2526!C267,'CAL2'!A:A,0)+1,2,4,1,"CAL2")),"")</f>
        <v/>
      </c>
      <c r="J266" s="21">
        <f ca="1">IF(CALC2223!AY266&gt;1,INDIRECT(ADDRESS(MATCH(Agenda2526!C267,'CAL2'!A:A,0)+1,3,4,1,"CAL2")),0)</f>
        <v>0</v>
      </c>
      <c r="K266" s="20" t="str">
        <f ca="1">IF(CALC2223!AY266&gt;2,INDIRECT(ADDRESS(MATCH(Agenda2526!C267,'CAL2'!A:A,0)+2,2,4,1,"CAL2")),"")</f>
        <v/>
      </c>
      <c r="L266" s="21">
        <f ca="1">IF(CALC2223!AY266&gt;2,INDIRECT(ADDRESS(MATCH(Agenda2526!C267,'CAL2'!A:A,0)+2,3,4,1,"CAL2")),0)</f>
        <v>0</v>
      </c>
      <c r="M266" s="20" t="str">
        <f ca="1">IF(CALC2223!AZ266&gt;0,INDIRECT(ADDRESS(MATCH(Agenda2526!C267,'CAL3'!A:A,0),2,4,1,"CAL3")),"")</f>
        <v/>
      </c>
      <c r="N266" s="21">
        <f ca="1">IF(CALC2223!AZ266&gt;0,INDIRECT(ADDRESS(MATCH(Agenda2526!C267,'CAL3'!A:A,0),3,4,1,"CAL3")),0)</f>
        <v>0</v>
      </c>
      <c r="O266" s="20" t="str">
        <f ca="1">IF(CALC2223!AZ266&gt;1,INDIRECT(ADDRESS(MATCH(Agenda2526!C267,'CAL3'!A:A,0)+1,2,4,1,"CAL3")),"")</f>
        <v/>
      </c>
      <c r="P266" s="21">
        <f ca="1">IF(CALC2223!AZ266&gt;1,INDIRECT(ADDRESS(MATCH(Agenda2526!C267,'CAL3'!A:A,0)+1,3,4,1,"CAL3")),0)</f>
        <v>0</v>
      </c>
      <c r="Q266" s="20" t="str">
        <f ca="1">IF(CALC2223!AZ266&gt;2,INDIRECT(ADDRESS(MATCH(Agenda2526!C267,'CAL3'!A:A,0)+2,2,4,1,"CAL3")),"")</f>
        <v/>
      </c>
      <c r="R266" s="21">
        <f ca="1">IF(CALC2223!AZ266&gt;2,INDIRECT(ADDRESS(MATCH(Agenda2526!C267,'CAL3'!A:A,0)+2,3,4,1,"CAL3")),0)</f>
        <v>0</v>
      </c>
      <c r="S266" s="20" t="str">
        <f ca="1">IF(CALC2223!BA266&gt;0,INDIRECT(ADDRESS(MATCH(Agenda2526!C267,'CAL4'!A:A,0),2,4,1,"CAL4")),"")</f>
        <v/>
      </c>
      <c r="T266" s="21">
        <f ca="1">IF(CALC2223!BA266&gt;0,INDIRECT(ADDRESS(MATCH(Agenda2526!C267,'CAL4'!A:A,0),3,4,1,"CAL4")),0)</f>
        <v>0</v>
      </c>
      <c r="U266" s="20" t="str">
        <f ca="1">IF(CALC2223!BA266&gt;1,INDIRECT(ADDRESS(MATCH(Agenda2526!C267,'CAL4'!A:A,0)+1,2,4,1,"CAL4")),"")</f>
        <v/>
      </c>
      <c r="V266" s="21">
        <f ca="1">IF(CALC2223!BA266&gt;1,INDIRECT(ADDRESS(MATCH(Agenda2526!C267,'CAL4'!A:A,0)+1,3,4,1,"CAL4")),0)</f>
        <v>0</v>
      </c>
      <c r="W266" s="20" t="str">
        <f ca="1">IF(CALC2223!BA266&gt;2,INDIRECT(ADDRESS(MATCH(Agenda2526!C267,'CAL4'!A:A,0)+2,2,4,1,"CAL4")),"")</f>
        <v/>
      </c>
      <c r="X266" s="21">
        <f ca="1">IF(CALC2223!BA266&gt;2,INDIRECT(ADDRESS(MATCH(Agenda2526!C267,'CAL4'!A:A,0)+2,3,4,1,"CAL4")),0)</f>
        <v>0</v>
      </c>
      <c r="Y266" s="20" t="str">
        <f ca="1">IF(CALC2223!BB266&gt;0,INDIRECT(ADDRESS(MATCH(Agenda2526!C267,'CAL5'!A:A,0),2,4,1,"CAL5")),"")</f>
        <v/>
      </c>
      <c r="Z266" s="21">
        <f ca="1">IF(CALC2223!BB266&gt;0,INDIRECT(ADDRESS(MATCH(Agenda2526!C267,'CAL5'!A:A,0),3,4,1,"CAL5")),0)</f>
        <v>0</v>
      </c>
      <c r="AA266" s="20" t="str">
        <f ca="1">IF(CALC2223!BB266&gt;1,INDIRECT(ADDRESS(MATCH(Agenda2526!C267,'CAL5'!A:A,0)+1,2,4,1,"CAL5")),"")</f>
        <v/>
      </c>
      <c r="AB266" s="21">
        <f ca="1">IF(CALC2223!BB266&gt;1,INDIRECT(ADDRESS(MATCH(Agenda2526!C267,'CAL5'!A:A,0)+1,3,4,1,"CAL5")),0)</f>
        <v>0</v>
      </c>
      <c r="AC266" s="20" t="str">
        <f ca="1">IF(CALC2223!BB266&gt;2,INDIRECT(ADDRESS(MATCH(Agenda2526!C267,'CAL5'!A:A,0)+2,2,4,1,"CAL5")),"")</f>
        <v/>
      </c>
      <c r="AD266" s="21">
        <f ca="1">IF(CALC2223!BB266&gt;2,INDIRECT(ADDRESS(MATCH(Agenda2526!C267,'CAL5'!A:A,0)+2,3,4,1,"CAL5")),0)</f>
        <v>0</v>
      </c>
      <c r="AE266" s="20" t="str">
        <f ca="1">IF(CALC2223!BC266&gt;0,INDIRECT(ADDRESS(MATCH(Agenda2526!C267,'CAL6'!A:A,0),2,4,1,"CAL6")),"")</f>
        <v/>
      </c>
      <c r="AF266" s="21">
        <f ca="1">IF(CALC2223!BC266&gt;0,INDIRECT(ADDRESS(MATCH(Agenda2526!C267,'CAL6'!A:A,0),3,4,1,"CAL6")),0)</f>
        <v>0</v>
      </c>
      <c r="AG266" s="20" t="str">
        <f ca="1">IF(CALC2223!BC266&gt;1,INDIRECT(ADDRESS(MATCH(Agenda2526!C267,'CAL6'!A:A,0)+1,2,4,1,"CAL6")),"")</f>
        <v/>
      </c>
      <c r="AH266" s="21">
        <f ca="1">IF(CALC2223!BC266&gt;1,INDIRECT(ADDRESS(MATCH(Agenda2526!C267,'CAL6'!A:A,0)+1,3,4,1,"CAL6")),0)</f>
        <v>0</v>
      </c>
      <c r="AI266" s="20" t="str">
        <f ca="1">IF(CALC2223!BC266&gt;2,INDIRECT(ADDRESS(MATCH(Agenda2526!C267,'CAL6'!A:A,0)+2,2,4,1,"CAL6")),"")</f>
        <v/>
      </c>
      <c r="AJ266" s="21">
        <f ca="1">IF(CALC2223!BC266&gt;2,INDIRECT(ADDRESS(MATCH(Agenda2526!C267,'CAL6'!A:A,0)+2,3,4,1,"CAL6")),0)</f>
        <v>0</v>
      </c>
      <c r="AK266" s="20" t="str">
        <f ca="1">IF(CALC2223!BD266&gt;0,INDIRECT(ADDRESS(MATCH(Agenda2526!C267,'CAL7'!A:A,0),2,4,1,"CAL7")),"")</f>
        <v/>
      </c>
      <c r="AL266" s="21">
        <f ca="1">IF(CALC2223!BD266&gt;0,INDIRECT(ADDRESS(MATCH(Agenda2526!C267,'CAL7'!A:A,0),3,4,1,"CAL7")),0)</f>
        <v>0</v>
      </c>
      <c r="AM266" s="20" t="str">
        <f ca="1">IF(CALC2223!BD266&gt;1,INDIRECT(ADDRESS(MATCH(Agenda2526!C267,'CAL7'!A:A,0)+1,2,4,1,"CAL7")),"")</f>
        <v/>
      </c>
      <c r="AN266" s="21">
        <f ca="1">IF(CALC2223!BD266&gt;1,INDIRECT(ADDRESS(MATCH(Agenda2526!C267,'CAL7'!A:A,0)+1,3,4,1,"CAL7")),0)</f>
        <v>0</v>
      </c>
      <c r="AO266" s="20" t="str">
        <f ca="1">IF(CALC2223!BD266&gt;2,INDIRECT(ADDRESS(MATCH(Agenda2526!C267,'CAL7'!A:A,0)+2,2,4,1,"CAL7")),"")</f>
        <v/>
      </c>
      <c r="AP266" s="21">
        <f ca="1">IF(CALC2223!BD266&gt;2,INDIRECT(ADDRESS(MATCH(Agenda2526!C267,'CAL7'!A:A,0)+2,3,4,1,"CAL7")),0)</f>
        <v>0</v>
      </c>
      <c r="AQ266" s="20" t="str">
        <f ca="1">IF(CALC2223!BE266&gt;0,INDIRECT(ADDRESS(MATCH(Agenda2526!C267,'CAL8'!A:A,0),2,4,1,"CAL8")),"")</f>
        <v/>
      </c>
      <c r="AR266" s="21">
        <f ca="1">IF(CALC2223!BE266&gt;0,INDIRECT(ADDRESS(MATCH(Agenda2526!C267,'CAL8'!A:A,0),3,4,1,"CAL8")),0)</f>
        <v>0</v>
      </c>
      <c r="AS266" s="20" t="str">
        <f ca="1">IF(CALC2223!BE266&gt;1,INDIRECT(ADDRESS(MATCH(Agenda2526!C267,'CAL8'!A:A,0)+1,2,4,1,"CAL8")),"")</f>
        <v/>
      </c>
      <c r="AT266" s="21">
        <f ca="1">IF(CALC2223!BE266&gt;1,INDIRECT(ADDRESS(MATCH(Agenda2526!C267,'CAL8'!A:A,0)+1,3,4,1,"CAL8")),0)</f>
        <v>0</v>
      </c>
      <c r="AU266" s="20" t="str">
        <f ca="1">IF(CALC2223!BE266&gt;2,INDIRECT(ADDRESS(MATCH(Agenda2526!C267,'CAL8'!A:A,0)+2,2,4,1,"CAL8")),"")</f>
        <v/>
      </c>
      <c r="AV266" s="21">
        <f ca="1">IF(CALC2223!BE266&gt;2,INDIRECT(ADDRESS(MATCH(Agenda2526!C267,'CAL8'!A:A,0)+2,3,4,1,"CAL8")),0)</f>
        <v>0</v>
      </c>
      <c r="AW266" s="106"/>
      <c r="AX266" s="20">
        <f>COUNTIF('CAL1'!A:A,Agenda2526!C267)</f>
        <v>0</v>
      </c>
      <c r="AY266" s="20">
        <f>COUNTIF('CAL2'!A:A,Agenda2526!C267)</f>
        <v>0</v>
      </c>
      <c r="AZ266" s="20">
        <f>COUNTIF('CAL3'!A:A,Agenda2526!C267)</f>
        <v>0</v>
      </c>
      <c r="BA266" s="20">
        <f>COUNTIF('CAL4'!A:A,Agenda2526!C267)</f>
        <v>0</v>
      </c>
      <c r="BB266" s="20">
        <f>COUNTIF('CAL5'!A:A,Agenda2526!C267)</f>
        <v>0</v>
      </c>
      <c r="BC266" s="20">
        <f>COUNTIF('CAL6'!A:A,Agenda2526!C267)</f>
        <v>0</v>
      </c>
      <c r="BD266" s="20">
        <f>COUNTIF('CAL7'!A:A,Agenda2526!C267)</f>
        <v>0</v>
      </c>
      <c r="BE266" s="20">
        <f>COUNTIF('CAL8'!A:A,Agenda2526!C267)</f>
        <v>0</v>
      </c>
    </row>
    <row r="267" spans="1:57" ht="15.75" customHeight="1">
      <c r="A267" s="20" t="str">
        <f ca="1">IF(CALC2223!AX267&gt;0,INDIRECT(ADDRESS(MATCH(Agenda2526!C268,'CAL1'!A:A,0),2,4,1,"CAL1")),"")</f>
        <v/>
      </c>
      <c r="B267" s="21">
        <f ca="1">IF(CALC2223!AX267&gt;0,INDIRECT(ADDRESS(MATCH(Agenda2526!C268,'CAL1'!A:A,0),3,4,1,"CAL1")),0)</f>
        <v>0</v>
      </c>
      <c r="C267" s="20" t="str">
        <f ca="1">IF(CALC2223!AX267&gt;1,INDIRECT(ADDRESS(MATCH(Agenda2526!C268,'CAL1'!A:A,0)+1,2,4,1,"CAL1")),"")</f>
        <v/>
      </c>
      <c r="D267" s="21">
        <f ca="1">IF(CALC2223!AX267&gt;1,INDIRECT(ADDRESS(MATCH(Agenda2526!C268,'CAL1'!A:A,0)+1,3,4,1,"CAL1")),0)</f>
        <v>0</v>
      </c>
      <c r="E267" s="20" t="str">
        <f ca="1">IF(CALC2223!AX267&gt;2,INDIRECT(ADDRESS(MATCH(Agenda2526!C268,'CAL1'!A:A,0)+2,2,4,1,"CAL1")),"")</f>
        <v/>
      </c>
      <c r="F267" s="21">
        <f ca="1">IF(CALC2223!AX267&gt;2,INDIRECT(ADDRESS(MATCH(Agenda2526!C268,'CAL1'!A:A,0)+2,3,4,1,"CAL1")),0)</f>
        <v>0</v>
      </c>
      <c r="G267" s="20" t="str">
        <f ca="1">IF(CALC2223!AY267&gt;0,INDIRECT(ADDRESS(MATCH(Agenda2526!C268,'CAL2'!A:A,0),2,4,1,"CAL2")),"")</f>
        <v/>
      </c>
      <c r="H267" s="21">
        <f ca="1">IF(CALC2223!AY267&gt;0,INDIRECT(ADDRESS(MATCH(Agenda2526!C268,'CAL2'!A:A,0),3,4,1,"CAL2")),0)</f>
        <v>0</v>
      </c>
      <c r="I267" s="20" t="str">
        <f ca="1">IF(CALC2223!AY267&gt;1,INDIRECT(ADDRESS(MATCH(Agenda2526!C268,'CAL2'!A:A,0)+1,2,4,1,"CAL2")),"")</f>
        <v/>
      </c>
      <c r="J267" s="21">
        <f ca="1">IF(CALC2223!AY267&gt;1,INDIRECT(ADDRESS(MATCH(Agenda2526!C268,'CAL2'!A:A,0)+1,3,4,1,"CAL2")),0)</f>
        <v>0</v>
      </c>
      <c r="K267" s="20" t="str">
        <f ca="1">IF(CALC2223!AY267&gt;2,INDIRECT(ADDRESS(MATCH(Agenda2526!C268,'CAL2'!A:A,0)+2,2,4,1,"CAL2")),"")</f>
        <v/>
      </c>
      <c r="L267" s="21">
        <f ca="1">IF(CALC2223!AY267&gt;2,INDIRECT(ADDRESS(MATCH(Agenda2526!C268,'CAL2'!A:A,0)+2,3,4,1,"CAL2")),0)</f>
        <v>0</v>
      </c>
      <c r="M267" s="20" t="str">
        <f ca="1">IF(CALC2223!AZ267&gt;0,INDIRECT(ADDRESS(MATCH(Agenda2526!C268,'CAL3'!A:A,0),2,4,1,"CAL3")),"")</f>
        <v/>
      </c>
      <c r="N267" s="21">
        <f ca="1">IF(CALC2223!AZ267&gt;0,INDIRECT(ADDRESS(MATCH(Agenda2526!C268,'CAL3'!A:A,0),3,4,1,"CAL3")),0)</f>
        <v>0</v>
      </c>
      <c r="O267" s="20" t="str">
        <f ca="1">IF(CALC2223!AZ267&gt;1,INDIRECT(ADDRESS(MATCH(Agenda2526!C268,'CAL3'!A:A,0)+1,2,4,1,"CAL3")),"")</f>
        <v/>
      </c>
      <c r="P267" s="21">
        <f ca="1">IF(CALC2223!AZ267&gt;1,INDIRECT(ADDRESS(MATCH(Agenda2526!C268,'CAL3'!A:A,0)+1,3,4,1,"CAL3")),0)</f>
        <v>0</v>
      </c>
      <c r="Q267" s="20" t="str">
        <f ca="1">IF(CALC2223!AZ267&gt;2,INDIRECT(ADDRESS(MATCH(Agenda2526!C268,'CAL3'!A:A,0)+2,2,4,1,"CAL3")),"")</f>
        <v/>
      </c>
      <c r="R267" s="21">
        <f ca="1">IF(CALC2223!AZ267&gt;2,INDIRECT(ADDRESS(MATCH(Agenda2526!C268,'CAL3'!A:A,0)+2,3,4,1,"CAL3")),0)</f>
        <v>0</v>
      </c>
      <c r="S267" s="20" t="str">
        <f ca="1">IF(CALC2223!BA267&gt;0,INDIRECT(ADDRESS(MATCH(Agenda2526!C268,'CAL4'!A:A,0),2,4,1,"CAL4")),"")</f>
        <v/>
      </c>
      <c r="T267" s="21">
        <f ca="1">IF(CALC2223!BA267&gt;0,INDIRECT(ADDRESS(MATCH(Agenda2526!C268,'CAL4'!A:A,0),3,4,1,"CAL4")),0)</f>
        <v>0</v>
      </c>
      <c r="U267" s="20" t="str">
        <f ca="1">IF(CALC2223!BA267&gt;1,INDIRECT(ADDRESS(MATCH(Agenda2526!C268,'CAL4'!A:A,0)+1,2,4,1,"CAL4")),"")</f>
        <v/>
      </c>
      <c r="V267" s="21">
        <f ca="1">IF(CALC2223!BA267&gt;1,INDIRECT(ADDRESS(MATCH(Agenda2526!C268,'CAL4'!A:A,0)+1,3,4,1,"CAL4")),0)</f>
        <v>0</v>
      </c>
      <c r="W267" s="20" t="str">
        <f ca="1">IF(CALC2223!BA267&gt;2,INDIRECT(ADDRESS(MATCH(Agenda2526!C268,'CAL4'!A:A,0)+2,2,4,1,"CAL4")),"")</f>
        <v/>
      </c>
      <c r="X267" s="21">
        <f ca="1">IF(CALC2223!BA267&gt;2,INDIRECT(ADDRESS(MATCH(Agenda2526!C268,'CAL4'!A:A,0)+2,3,4,1,"CAL4")),0)</f>
        <v>0</v>
      </c>
      <c r="Y267" s="20" t="str">
        <f ca="1">IF(CALC2223!BB267&gt;0,INDIRECT(ADDRESS(MATCH(Agenda2526!C268,'CAL5'!A:A,0),2,4,1,"CAL5")),"")</f>
        <v/>
      </c>
      <c r="Z267" s="21">
        <f ca="1">IF(CALC2223!BB267&gt;0,INDIRECT(ADDRESS(MATCH(Agenda2526!C268,'CAL5'!A:A,0),3,4,1,"CAL5")),0)</f>
        <v>0</v>
      </c>
      <c r="AA267" s="20" t="str">
        <f ca="1">IF(CALC2223!BB267&gt;1,INDIRECT(ADDRESS(MATCH(Agenda2526!C268,'CAL5'!A:A,0)+1,2,4,1,"CAL5")),"")</f>
        <v/>
      </c>
      <c r="AB267" s="21">
        <f ca="1">IF(CALC2223!BB267&gt;1,INDIRECT(ADDRESS(MATCH(Agenda2526!C268,'CAL5'!A:A,0)+1,3,4,1,"CAL5")),0)</f>
        <v>0</v>
      </c>
      <c r="AC267" s="20" t="str">
        <f ca="1">IF(CALC2223!BB267&gt;2,INDIRECT(ADDRESS(MATCH(Agenda2526!C268,'CAL5'!A:A,0)+2,2,4,1,"CAL5")),"")</f>
        <v/>
      </c>
      <c r="AD267" s="21">
        <f ca="1">IF(CALC2223!BB267&gt;2,INDIRECT(ADDRESS(MATCH(Agenda2526!C268,'CAL5'!A:A,0)+2,3,4,1,"CAL5")),0)</f>
        <v>0</v>
      </c>
      <c r="AE267" s="20" t="str">
        <f ca="1">IF(CALC2223!BC267&gt;0,INDIRECT(ADDRESS(MATCH(Agenda2526!C268,'CAL6'!A:A,0),2,4,1,"CAL6")),"")</f>
        <v/>
      </c>
      <c r="AF267" s="21">
        <f ca="1">IF(CALC2223!BC267&gt;0,INDIRECT(ADDRESS(MATCH(Agenda2526!C268,'CAL6'!A:A,0),3,4,1,"CAL6")),0)</f>
        <v>0</v>
      </c>
      <c r="AG267" s="20" t="str">
        <f ca="1">IF(CALC2223!BC267&gt;1,INDIRECT(ADDRESS(MATCH(Agenda2526!C268,'CAL6'!A:A,0)+1,2,4,1,"CAL6")),"")</f>
        <v/>
      </c>
      <c r="AH267" s="21">
        <f ca="1">IF(CALC2223!BC267&gt;1,INDIRECT(ADDRESS(MATCH(Agenda2526!C268,'CAL6'!A:A,0)+1,3,4,1,"CAL6")),0)</f>
        <v>0</v>
      </c>
      <c r="AI267" s="20" t="str">
        <f ca="1">IF(CALC2223!BC267&gt;2,INDIRECT(ADDRESS(MATCH(Agenda2526!C268,'CAL6'!A:A,0)+2,2,4,1,"CAL6")),"")</f>
        <v/>
      </c>
      <c r="AJ267" s="21">
        <f ca="1">IF(CALC2223!BC267&gt;2,INDIRECT(ADDRESS(MATCH(Agenda2526!C268,'CAL6'!A:A,0)+2,3,4,1,"CAL6")),0)</f>
        <v>0</v>
      </c>
      <c r="AK267" s="20" t="str">
        <f ca="1">IF(CALC2223!BD267&gt;0,INDIRECT(ADDRESS(MATCH(Agenda2526!C268,'CAL7'!A:A,0),2,4,1,"CAL7")),"")</f>
        <v/>
      </c>
      <c r="AL267" s="21">
        <f ca="1">IF(CALC2223!BD267&gt;0,INDIRECT(ADDRESS(MATCH(Agenda2526!C268,'CAL7'!A:A,0),3,4,1,"CAL7")),0)</f>
        <v>0</v>
      </c>
      <c r="AM267" s="20" t="str">
        <f ca="1">IF(CALC2223!BD267&gt;1,INDIRECT(ADDRESS(MATCH(Agenda2526!C268,'CAL7'!A:A,0)+1,2,4,1,"CAL7")),"")</f>
        <v/>
      </c>
      <c r="AN267" s="21">
        <f ca="1">IF(CALC2223!BD267&gt;1,INDIRECT(ADDRESS(MATCH(Agenda2526!C268,'CAL7'!A:A,0)+1,3,4,1,"CAL7")),0)</f>
        <v>0</v>
      </c>
      <c r="AO267" s="20" t="str">
        <f ca="1">IF(CALC2223!BD267&gt;2,INDIRECT(ADDRESS(MATCH(Agenda2526!C268,'CAL7'!A:A,0)+2,2,4,1,"CAL7")),"")</f>
        <v/>
      </c>
      <c r="AP267" s="21">
        <f ca="1">IF(CALC2223!BD267&gt;2,INDIRECT(ADDRESS(MATCH(Agenda2526!C268,'CAL7'!A:A,0)+2,3,4,1,"CAL7")),0)</f>
        <v>0</v>
      </c>
      <c r="AQ267" s="20" t="str">
        <f ca="1">IF(CALC2223!BE267&gt;0,INDIRECT(ADDRESS(MATCH(Agenda2526!C268,'CAL8'!A:A,0),2,4,1,"CAL8")),"")</f>
        <v>Eerste Pinksterdag</v>
      </c>
      <c r="AR267" s="21">
        <f ca="1">IF(CALC2223!BE267&gt;0,INDIRECT(ADDRESS(MATCH(Agenda2526!C268,'CAL8'!A:A,0),3,4,1,"CAL8")),0)</f>
        <v>45896</v>
      </c>
      <c r="AS267" s="20" t="str">
        <f ca="1">IF(CALC2223!BE267&gt;1,INDIRECT(ADDRESS(MATCH(Agenda2526!C268,'CAL8'!A:A,0)+1,2,4,1,"CAL8")),"")</f>
        <v/>
      </c>
      <c r="AT267" s="21">
        <f ca="1">IF(CALC2223!BE267&gt;1,INDIRECT(ADDRESS(MATCH(Agenda2526!C268,'CAL8'!A:A,0)+1,3,4,1,"CAL8")),0)</f>
        <v>0</v>
      </c>
      <c r="AU267" s="20" t="str">
        <f ca="1">IF(CALC2223!BE267&gt;2,INDIRECT(ADDRESS(MATCH(Agenda2526!C268,'CAL8'!A:A,0)+2,2,4,1,"CAL8")),"")</f>
        <v/>
      </c>
      <c r="AV267" s="21">
        <f ca="1">IF(CALC2223!BE267&gt;2,INDIRECT(ADDRESS(MATCH(Agenda2526!C268,'CAL8'!A:A,0)+2,3,4,1,"CAL8")),0)</f>
        <v>0</v>
      </c>
      <c r="AW267" s="110"/>
      <c r="AX267" s="20">
        <f>COUNTIF('CAL1'!A:A,Agenda2526!C268)</f>
        <v>0</v>
      </c>
      <c r="AY267" s="20">
        <f>COUNTIF('CAL2'!A:A,Agenda2526!C268)</f>
        <v>0</v>
      </c>
      <c r="AZ267" s="20">
        <f>COUNTIF('CAL3'!A:A,Agenda2526!C268)</f>
        <v>0</v>
      </c>
      <c r="BA267" s="20">
        <f>COUNTIF('CAL4'!A:A,Agenda2526!C268)</f>
        <v>0</v>
      </c>
      <c r="BB267" s="20">
        <f>COUNTIF('CAL5'!A:A,Agenda2526!C268)</f>
        <v>0</v>
      </c>
      <c r="BC267" s="20">
        <f>COUNTIF('CAL6'!A:A,Agenda2526!C268)</f>
        <v>0</v>
      </c>
      <c r="BD267" s="20">
        <f>COUNTIF('CAL7'!A:A,Agenda2526!C268)</f>
        <v>0</v>
      </c>
      <c r="BE267" s="20">
        <f>COUNTIF('CAL8'!A:A,Agenda2526!C268)</f>
        <v>1</v>
      </c>
    </row>
    <row r="268" spans="1:57" ht="15.75" customHeight="1">
      <c r="A268" s="20" t="str">
        <f ca="1">IF(CALC2223!AX268&gt;0,INDIRECT(ADDRESS(MATCH(Agenda2526!C269,'CAL1'!A:A,0),2,4,1,"CAL1")),"")</f>
        <v/>
      </c>
      <c r="B268" s="21">
        <f ca="1">IF(CALC2223!AX268&gt;0,INDIRECT(ADDRESS(MATCH(Agenda2526!C269,'CAL1'!A:A,0),3,4,1,"CAL1")),0)</f>
        <v>0</v>
      </c>
      <c r="C268" s="20" t="str">
        <f ca="1">IF(CALC2223!AX268&gt;1,INDIRECT(ADDRESS(MATCH(Agenda2526!C269,'CAL1'!A:A,0)+1,2,4,1,"CAL1")),"")</f>
        <v/>
      </c>
      <c r="D268" s="21">
        <f ca="1">IF(CALC2223!AX268&gt;1,INDIRECT(ADDRESS(MATCH(Agenda2526!C269,'CAL1'!A:A,0)+1,3,4,1,"CAL1")),0)</f>
        <v>0</v>
      </c>
      <c r="E268" s="20" t="str">
        <f ca="1">IF(CALC2223!AX268&gt;2,INDIRECT(ADDRESS(MATCH(Agenda2526!C269,'CAL1'!A:A,0)+2,2,4,1,"CAL1")),"")</f>
        <v/>
      </c>
      <c r="F268" s="21">
        <f ca="1">IF(CALC2223!AX268&gt;2,INDIRECT(ADDRESS(MATCH(Agenda2526!C269,'CAL1'!A:A,0)+2,3,4,1,"CAL1")),0)</f>
        <v>0</v>
      </c>
      <c r="G268" s="20" t="str">
        <f ca="1">IF(CALC2223!AY268&gt;0,INDIRECT(ADDRESS(MATCH(Agenda2526!C269,'CAL2'!A:A,0),2,4,1,"CAL2")),"")</f>
        <v/>
      </c>
      <c r="H268" s="21">
        <f ca="1">IF(CALC2223!AY268&gt;0,INDIRECT(ADDRESS(MATCH(Agenda2526!C269,'CAL2'!A:A,0),3,4,1,"CAL2")),0)</f>
        <v>0</v>
      </c>
      <c r="I268" s="20" t="str">
        <f ca="1">IF(CALC2223!AY268&gt;1,INDIRECT(ADDRESS(MATCH(Agenda2526!C269,'CAL2'!A:A,0)+1,2,4,1,"CAL2")),"")</f>
        <v/>
      </c>
      <c r="J268" s="21">
        <f ca="1">IF(CALC2223!AY268&gt;1,INDIRECT(ADDRESS(MATCH(Agenda2526!C269,'CAL2'!A:A,0)+1,3,4,1,"CAL2")),0)</f>
        <v>0</v>
      </c>
      <c r="K268" s="20" t="str">
        <f ca="1">IF(CALC2223!AY268&gt;2,INDIRECT(ADDRESS(MATCH(Agenda2526!C269,'CAL2'!A:A,0)+2,2,4,1,"CAL2")),"")</f>
        <v/>
      </c>
      <c r="L268" s="21">
        <f ca="1">IF(CALC2223!AY268&gt;2,INDIRECT(ADDRESS(MATCH(Agenda2526!C269,'CAL2'!A:A,0)+2,3,4,1,"CAL2")),0)</f>
        <v>0</v>
      </c>
      <c r="M268" s="20" t="str">
        <f ca="1">IF(CALC2223!AZ268&gt;0,INDIRECT(ADDRESS(MATCH(Agenda2526!C269,'CAL3'!A:A,0),2,4,1,"CAL3")),"")</f>
        <v/>
      </c>
      <c r="N268" s="21">
        <f ca="1">IF(CALC2223!AZ268&gt;0,INDIRECT(ADDRESS(MATCH(Agenda2526!C269,'CAL3'!A:A,0),3,4,1,"CAL3")),0)</f>
        <v>0</v>
      </c>
      <c r="O268" s="20" t="str">
        <f ca="1">IF(CALC2223!AZ268&gt;1,INDIRECT(ADDRESS(MATCH(Agenda2526!C269,'CAL3'!A:A,0)+1,2,4,1,"CAL3")),"")</f>
        <v/>
      </c>
      <c r="P268" s="21">
        <f ca="1">IF(CALC2223!AZ268&gt;1,INDIRECT(ADDRESS(MATCH(Agenda2526!C269,'CAL3'!A:A,0)+1,3,4,1,"CAL3")),0)</f>
        <v>0</v>
      </c>
      <c r="Q268" s="20" t="str">
        <f ca="1">IF(CALC2223!AZ268&gt;2,INDIRECT(ADDRESS(MATCH(Agenda2526!C269,'CAL3'!A:A,0)+2,2,4,1,"CAL3")),"")</f>
        <v/>
      </c>
      <c r="R268" s="21">
        <f ca="1">IF(CALC2223!AZ268&gt;2,INDIRECT(ADDRESS(MATCH(Agenda2526!C269,'CAL3'!A:A,0)+2,3,4,1,"CAL3")),0)</f>
        <v>0</v>
      </c>
      <c r="S268" s="20" t="str">
        <f ca="1">IF(CALC2223!BA268&gt;0,INDIRECT(ADDRESS(MATCH(Agenda2526!C269,'CAL4'!A:A,0),2,4,1,"CAL4")),"")</f>
        <v/>
      </c>
      <c r="T268" s="21">
        <f ca="1">IF(CALC2223!BA268&gt;0,INDIRECT(ADDRESS(MATCH(Agenda2526!C269,'CAL4'!A:A,0),3,4,1,"CAL4")),0)</f>
        <v>0</v>
      </c>
      <c r="U268" s="20" t="str">
        <f ca="1">IF(CALC2223!BA268&gt;1,INDIRECT(ADDRESS(MATCH(Agenda2526!C269,'CAL4'!A:A,0)+1,2,4,1,"CAL4")),"")</f>
        <v/>
      </c>
      <c r="V268" s="21">
        <f ca="1">IF(CALC2223!BA268&gt;1,INDIRECT(ADDRESS(MATCH(Agenda2526!C269,'CAL4'!A:A,0)+1,3,4,1,"CAL4")),0)</f>
        <v>0</v>
      </c>
      <c r="W268" s="20" t="str">
        <f ca="1">IF(CALC2223!BA268&gt;2,INDIRECT(ADDRESS(MATCH(Agenda2526!C269,'CAL4'!A:A,0)+2,2,4,1,"CAL4")),"")</f>
        <v/>
      </c>
      <c r="X268" s="21">
        <f ca="1">IF(CALC2223!BA268&gt;2,INDIRECT(ADDRESS(MATCH(Agenda2526!C269,'CAL4'!A:A,0)+2,3,4,1,"CAL4")),0)</f>
        <v>0</v>
      </c>
      <c r="Y268" s="20" t="str">
        <f ca="1">IF(CALC2223!BB268&gt;0,INDIRECT(ADDRESS(MATCH(Agenda2526!C269,'CAL5'!A:A,0),2,4,1,"CAL5")),"")</f>
        <v/>
      </c>
      <c r="Z268" s="21">
        <f ca="1">IF(CALC2223!BB268&gt;0,INDIRECT(ADDRESS(MATCH(Agenda2526!C269,'CAL5'!A:A,0),3,4,1,"CAL5")),0)</f>
        <v>0</v>
      </c>
      <c r="AA268" s="20" t="str">
        <f ca="1">IF(CALC2223!BB268&gt;1,INDIRECT(ADDRESS(MATCH(Agenda2526!C269,'CAL5'!A:A,0)+1,2,4,1,"CAL5")),"")</f>
        <v/>
      </c>
      <c r="AB268" s="21">
        <f ca="1">IF(CALC2223!BB268&gt;1,INDIRECT(ADDRESS(MATCH(Agenda2526!C269,'CAL5'!A:A,0)+1,3,4,1,"CAL5")),0)</f>
        <v>0</v>
      </c>
      <c r="AC268" s="20" t="str">
        <f ca="1">IF(CALC2223!BB268&gt;2,INDIRECT(ADDRESS(MATCH(Agenda2526!C269,'CAL5'!A:A,0)+2,2,4,1,"CAL5")),"")</f>
        <v/>
      </c>
      <c r="AD268" s="21">
        <f ca="1">IF(CALC2223!BB268&gt;2,INDIRECT(ADDRESS(MATCH(Agenda2526!C269,'CAL5'!A:A,0)+2,3,4,1,"CAL5")),0)</f>
        <v>0</v>
      </c>
      <c r="AE268" s="20" t="str">
        <f ca="1">IF(CALC2223!BC268&gt;0,INDIRECT(ADDRESS(MATCH(Agenda2526!C269,'CAL6'!A:A,0),2,4,1,"CAL6")),"")</f>
        <v/>
      </c>
      <c r="AF268" s="21">
        <f ca="1">IF(CALC2223!BC268&gt;0,INDIRECT(ADDRESS(MATCH(Agenda2526!C269,'CAL6'!A:A,0),3,4,1,"CAL6")),0)</f>
        <v>0</v>
      </c>
      <c r="AG268" s="20" t="str">
        <f ca="1">IF(CALC2223!BC268&gt;1,INDIRECT(ADDRESS(MATCH(Agenda2526!C269,'CAL6'!A:A,0)+1,2,4,1,"CAL6")),"")</f>
        <v/>
      </c>
      <c r="AH268" s="21">
        <f ca="1">IF(CALC2223!BC268&gt;1,INDIRECT(ADDRESS(MATCH(Agenda2526!C269,'CAL6'!A:A,0)+1,3,4,1,"CAL6")),0)</f>
        <v>0</v>
      </c>
      <c r="AI268" s="20" t="str">
        <f ca="1">IF(CALC2223!BC268&gt;2,INDIRECT(ADDRESS(MATCH(Agenda2526!C269,'CAL6'!A:A,0)+2,2,4,1,"CAL6")),"")</f>
        <v/>
      </c>
      <c r="AJ268" s="21">
        <f ca="1">IF(CALC2223!BC268&gt;2,INDIRECT(ADDRESS(MATCH(Agenda2526!C269,'CAL6'!A:A,0)+2,3,4,1,"CAL6")),0)</f>
        <v>0</v>
      </c>
      <c r="AK268" s="20" t="str">
        <f ca="1">IF(CALC2223!BD268&gt;0,INDIRECT(ADDRESS(MATCH(Agenda2526!C269,'CAL7'!A:A,0),2,4,1,"CAL7")),"")</f>
        <v/>
      </c>
      <c r="AL268" s="21">
        <f ca="1">IF(CALC2223!BD268&gt;0,INDIRECT(ADDRESS(MATCH(Agenda2526!C269,'CAL7'!A:A,0),3,4,1,"CAL7")),0)</f>
        <v>0</v>
      </c>
      <c r="AM268" s="20" t="str">
        <f ca="1">IF(CALC2223!BD268&gt;1,INDIRECT(ADDRESS(MATCH(Agenda2526!C269,'CAL7'!A:A,0)+1,2,4,1,"CAL7")),"")</f>
        <v/>
      </c>
      <c r="AN268" s="21">
        <f ca="1">IF(CALC2223!BD268&gt;1,INDIRECT(ADDRESS(MATCH(Agenda2526!C269,'CAL7'!A:A,0)+1,3,4,1,"CAL7")),0)</f>
        <v>0</v>
      </c>
      <c r="AO268" s="20" t="str">
        <f ca="1">IF(CALC2223!BD268&gt;2,INDIRECT(ADDRESS(MATCH(Agenda2526!C269,'CAL7'!A:A,0)+2,2,4,1,"CAL7")),"")</f>
        <v/>
      </c>
      <c r="AP268" s="21">
        <f ca="1">IF(CALC2223!BD268&gt;2,INDIRECT(ADDRESS(MATCH(Agenda2526!C269,'CAL7'!A:A,0)+2,3,4,1,"CAL7")),0)</f>
        <v>0</v>
      </c>
      <c r="AQ268" s="20" t="str">
        <f ca="1">IF(CALC2223!BE268&gt;0,INDIRECT(ADDRESS(MATCH(Agenda2526!C269,'CAL8'!A:A,0),2,4,1,"CAL8")),"")</f>
        <v>Tweede Pinksterdag</v>
      </c>
      <c r="AR268" s="21">
        <f ca="1">IF(CALC2223!BE268&gt;0,INDIRECT(ADDRESS(MATCH(Agenda2526!C269,'CAL8'!A:A,0),3,4,1,"CAL8")),0)</f>
        <v>45896</v>
      </c>
      <c r="AS268" s="20" t="str">
        <f ca="1">IF(CALC2223!BE268&gt;1,INDIRECT(ADDRESS(MATCH(Agenda2526!C269,'CAL8'!A:A,0)+1,2,4,1,"CAL8")),"")</f>
        <v/>
      </c>
      <c r="AT268" s="21">
        <f ca="1">IF(CALC2223!BE268&gt;1,INDIRECT(ADDRESS(MATCH(Agenda2526!C269,'CAL8'!A:A,0)+1,3,4,1,"CAL8")),0)</f>
        <v>0</v>
      </c>
      <c r="AU268" s="20" t="str">
        <f ca="1">IF(CALC2223!BE268&gt;2,INDIRECT(ADDRESS(MATCH(Agenda2526!C269,'CAL8'!A:A,0)+2,2,4,1,"CAL8")),"")</f>
        <v/>
      </c>
      <c r="AV268" s="21">
        <f ca="1">IF(CALC2223!BE268&gt;2,INDIRECT(ADDRESS(MATCH(Agenda2526!C269,'CAL8'!A:A,0)+2,3,4,1,"CAL8")),0)</f>
        <v>0</v>
      </c>
      <c r="AW268" s="110"/>
      <c r="AX268" s="20">
        <f>COUNTIF('CAL1'!A:A,Agenda2526!C269)</f>
        <v>0</v>
      </c>
      <c r="AY268" s="20">
        <f>COUNTIF('CAL2'!A:A,Agenda2526!C269)</f>
        <v>0</v>
      </c>
      <c r="AZ268" s="20">
        <f>COUNTIF('CAL3'!A:A,Agenda2526!C269)</f>
        <v>0</v>
      </c>
      <c r="BA268" s="20">
        <f>COUNTIF('CAL4'!A:A,Agenda2526!C269)</f>
        <v>0</v>
      </c>
      <c r="BB268" s="20">
        <f>COUNTIF('CAL5'!A:A,Agenda2526!C269)</f>
        <v>0</v>
      </c>
      <c r="BC268" s="20">
        <f>COUNTIF('CAL6'!A:A,Agenda2526!C269)</f>
        <v>0</v>
      </c>
      <c r="BD268" s="20">
        <f>COUNTIF('CAL7'!A:A,Agenda2526!C269)</f>
        <v>0</v>
      </c>
      <c r="BE268" s="20">
        <f>COUNTIF('CAL8'!A:A,Agenda2526!C269)</f>
        <v>1</v>
      </c>
    </row>
    <row r="269" spans="1:57" ht="15.75" customHeight="1">
      <c r="A269" s="20" t="str">
        <f ca="1">IF(CALC2223!AX269&gt;0,INDIRECT(ADDRESS(MATCH(Agenda2526!C270,'CAL1'!A:A,0),2,4,1,"CAL1")),"")</f>
        <v/>
      </c>
      <c r="B269" s="21">
        <f ca="1">IF(CALC2223!AX269&gt;0,INDIRECT(ADDRESS(MATCH(Agenda2526!C270,'CAL1'!A:A,0),3,4,1,"CAL1")),0)</f>
        <v>0</v>
      </c>
      <c r="C269" s="20" t="str">
        <f ca="1">IF(CALC2223!AX269&gt;1,INDIRECT(ADDRESS(MATCH(Agenda2526!C270,'CAL1'!A:A,0)+1,2,4,1,"CAL1")),"")</f>
        <v/>
      </c>
      <c r="D269" s="21">
        <f ca="1">IF(CALC2223!AX269&gt;1,INDIRECT(ADDRESS(MATCH(Agenda2526!C270,'CAL1'!A:A,0)+1,3,4,1,"CAL1")),0)</f>
        <v>0</v>
      </c>
      <c r="E269" s="20" t="str">
        <f ca="1">IF(CALC2223!AX269&gt;2,INDIRECT(ADDRESS(MATCH(Agenda2526!C270,'CAL1'!A:A,0)+2,2,4,1,"CAL1")),"")</f>
        <v/>
      </c>
      <c r="F269" s="21">
        <f ca="1">IF(CALC2223!AX269&gt;2,INDIRECT(ADDRESS(MATCH(Agenda2526!C270,'CAL1'!A:A,0)+2,3,4,1,"CAL1")),0)</f>
        <v>0</v>
      </c>
      <c r="G269" s="20" t="str">
        <f ca="1">IF(CALC2223!AY269&gt;0,INDIRECT(ADDRESS(MATCH(Agenda2526!C270,'CAL2'!A:A,0),2,4,1,"CAL2")),"")</f>
        <v/>
      </c>
      <c r="H269" s="21">
        <f ca="1">IF(CALC2223!AY269&gt;0,INDIRECT(ADDRESS(MATCH(Agenda2526!C270,'CAL2'!A:A,0),3,4,1,"CAL2")),0)</f>
        <v>0</v>
      </c>
      <c r="I269" s="20" t="str">
        <f ca="1">IF(CALC2223!AY269&gt;1,INDIRECT(ADDRESS(MATCH(Agenda2526!C270,'CAL2'!A:A,0)+1,2,4,1,"CAL2")),"")</f>
        <v/>
      </c>
      <c r="J269" s="21">
        <f ca="1">IF(CALC2223!AY269&gt;1,INDIRECT(ADDRESS(MATCH(Agenda2526!C270,'CAL2'!A:A,0)+1,3,4,1,"CAL2")),0)</f>
        <v>0</v>
      </c>
      <c r="K269" s="20" t="str">
        <f ca="1">IF(CALC2223!AY269&gt;2,INDIRECT(ADDRESS(MATCH(Agenda2526!C270,'CAL2'!A:A,0)+2,2,4,1,"CAL2")),"")</f>
        <v/>
      </c>
      <c r="L269" s="21">
        <f ca="1">IF(CALC2223!AY269&gt;2,INDIRECT(ADDRESS(MATCH(Agenda2526!C270,'CAL2'!A:A,0)+2,3,4,1,"CAL2")),0)</f>
        <v>0</v>
      </c>
      <c r="M269" s="20" t="str">
        <f ca="1">IF(CALC2223!AZ269&gt;0,INDIRECT(ADDRESS(MATCH(Agenda2526!C270,'CAL3'!A:A,0),2,4,1,"CAL3")),"")</f>
        <v/>
      </c>
      <c r="N269" s="21">
        <f ca="1">IF(CALC2223!AZ269&gt;0,INDIRECT(ADDRESS(MATCH(Agenda2526!C270,'CAL3'!A:A,0),3,4,1,"CAL3")),0)</f>
        <v>0</v>
      </c>
      <c r="O269" s="20" t="str">
        <f ca="1">IF(CALC2223!AZ269&gt;1,INDIRECT(ADDRESS(MATCH(Agenda2526!C270,'CAL3'!A:A,0)+1,2,4,1,"CAL3")),"")</f>
        <v/>
      </c>
      <c r="P269" s="21">
        <f ca="1">IF(CALC2223!AZ269&gt;1,INDIRECT(ADDRESS(MATCH(Agenda2526!C270,'CAL3'!A:A,0)+1,3,4,1,"CAL3")),0)</f>
        <v>0</v>
      </c>
      <c r="Q269" s="20" t="str">
        <f ca="1">IF(CALC2223!AZ269&gt;2,INDIRECT(ADDRESS(MATCH(Agenda2526!C270,'CAL3'!A:A,0)+2,2,4,1,"CAL3")),"")</f>
        <v/>
      </c>
      <c r="R269" s="21">
        <f ca="1">IF(CALC2223!AZ269&gt;2,INDIRECT(ADDRESS(MATCH(Agenda2526!C270,'CAL3'!A:A,0)+2,3,4,1,"CAL3")),0)</f>
        <v>0</v>
      </c>
      <c r="S269" s="20" t="str">
        <f ca="1">IF(CALC2223!BA269&gt;0,INDIRECT(ADDRESS(MATCH(Agenda2526!C270,'CAL4'!A:A,0),2,4,1,"CAL4")),"")</f>
        <v/>
      </c>
      <c r="T269" s="21">
        <f ca="1">IF(CALC2223!BA269&gt;0,INDIRECT(ADDRESS(MATCH(Agenda2526!C270,'CAL4'!A:A,0),3,4,1,"CAL4")),0)</f>
        <v>0</v>
      </c>
      <c r="U269" s="20" t="str">
        <f ca="1">IF(CALC2223!BA269&gt;1,INDIRECT(ADDRESS(MATCH(Agenda2526!C270,'CAL4'!A:A,0)+1,2,4,1,"CAL4")),"")</f>
        <v/>
      </c>
      <c r="V269" s="21">
        <f ca="1">IF(CALC2223!BA269&gt;1,INDIRECT(ADDRESS(MATCH(Agenda2526!C270,'CAL4'!A:A,0)+1,3,4,1,"CAL4")),0)</f>
        <v>0</v>
      </c>
      <c r="W269" s="20" t="str">
        <f ca="1">IF(CALC2223!BA269&gt;2,INDIRECT(ADDRESS(MATCH(Agenda2526!C270,'CAL4'!A:A,0)+2,2,4,1,"CAL4")),"")</f>
        <v/>
      </c>
      <c r="X269" s="21">
        <f ca="1">IF(CALC2223!BA269&gt;2,INDIRECT(ADDRESS(MATCH(Agenda2526!C270,'CAL4'!A:A,0)+2,3,4,1,"CAL4")),0)</f>
        <v>0</v>
      </c>
      <c r="Y269" s="20" t="str">
        <f ca="1">IF(CALC2223!BB269&gt;0,INDIRECT(ADDRESS(MATCH(Agenda2526!C270,'CAL5'!A:A,0),2,4,1,"CAL5")),"")</f>
        <v/>
      </c>
      <c r="Z269" s="21">
        <f ca="1">IF(CALC2223!BB269&gt;0,INDIRECT(ADDRESS(MATCH(Agenda2526!C270,'CAL5'!A:A,0),3,4,1,"CAL5")),0)</f>
        <v>0</v>
      </c>
      <c r="AA269" s="20" t="str">
        <f ca="1">IF(CALC2223!BB269&gt;1,INDIRECT(ADDRESS(MATCH(Agenda2526!C270,'CAL5'!A:A,0)+1,2,4,1,"CAL5")),"")</f>
        <v/>
      </c>
      <c r="AB269" s="21">
        <f ca="1">IF(CALC2223!BB269&gt;1,INDIRECT(ADDRESS(MATCH(Agenda2526!C270,'CAL5'!A:A,0)+1,3,4,1,"CAL5")),0)</f>
        <v>0</v>
      </c>
      <c r="AC269" s="20" t="str">
        <f ca="1">IF(CALC2223!BB269&gt;2,INDIRECT(ADDRESS(MATCH(Agenda2526!C270,'CAL5'!A:A,0)+2,2,4,1,"CAL5")),"")</f>
        <v/>
      </c>
      <c r="AD269" s="21">
        <f ca="1">IF(CALC2223!BB269&gt;2,INDIRECT(ADDRESS(MATCH(Agenda2526!C270,'CAL5'!A:A,0)+2,3,4,1,"CAL5")),0)</f>
        <v>0</v>
      </c>
      <c r="AE269" s="20" t="str">
        <f ca="1">IF(CALC2223!BC269&gt;0,INDIRECT(ADDRESS(MATCH(Agenda2526!C270,'CAL6'!A:A,0),2,4,1,"CAL6")),"")</f>
        <v xml:space="preserve">   /FA</v>
      </c>
      <c r="AF269" s="21">
        <f ca="1">IF(CALC2223!BC269&gt;0,INDIRECT(ADDRESS(MATCH(Agenda2526!C270,'CAL6'!A:A,0),3,4,1,"CAL6")),0)</f>
        <v>45896</v>
      </c>
      <c r="AG269" s="20" t="str">
        <f ca="1">IF(CALC2223!BC269&gt;1,INDIRECT(ADDRESS(MATCH(Agenda2526!C270,'CAL6'!A:A,0)+1,2,4,1,"CAL6")),"")</f>
        <v/>
      </c>
      <c r="AH269" s="21">
        <f ca="1">IF(CALC2223!BC269&gt;1,INDIRECT(ADDRESS(MATCH(Agenda2526!C270,'CAL6'!A:A,0)+1,3,4,1,"CAL6")),0)</f>
        <v>0</v>
      </c>
      <c r="AI269" s="20" t="str">
        <f ca="1">IF(CALC2223!BC269&gt;2,INDIRECT(ADDRESS(MATCH(Agenda2526!C270,'CAL6'!A:A,0)+2,2,4,1,"CAL6")),"")</f>
        <v/>
      </c>
      <c r="AJ269" s="21">
        <f ca="1">IF(CALC2223!BC269&gt;2,INDIRECT(ADDRESS(MATCH(Agenda2526!C270,'CAL6'!A:A,0)+2,3,4,1,"CAL6")),0)</f>
        <v>0</v>
      </c>
      <c r="AK269" s="20" t="str">
        <f ca="1">IF(CALC2223!BD269&gt;0,INDIRECT(ADDRESS(MATCH(Agenda2526!C270,'CAL7'!A:A,0),2,4,1,"CAL7")),"")</f>
        <v/>
      </c>
      <c r="AL269" s="21">
        <f ca="1">IF(CALC2223!BD269&gt;0,INDIRECT(ADDRESS(MATCH(Agenda2526!C270,'CAL7'!A:A,0),3,4,1,"CAL7")),0)</f>
        <v>0</v>
      </c>
      <c r="AM269" s="20" t="str">
        <f ca="1">IF(CALC2223!BD269&gt;1,INDIRECT(ADDRESS(MATCH(Agenda2526!C270,'CAL7'!A:A,0)+1,2,4,1,"CAL7")),"")</f>
        <v/>
      </c>
      <c r="AN269" s="21">
        <f ca="1">IF(CALC2223!BD269&gt;1,INDIRECT(ADDRESS(MATCH(Agenda2526!C270,'CAL7'!A:A,0)+1,3,4,1,"CAL7")),0)</f>
        <v>0</v>
      </c>
      <c r="AO269" s="20" t="str">
        <f ca="1">IF(CALC2223!BD269&gt;2,INDIRECT(ADDRESS(MATCH(Agenda2526!C270,'CAL7'!A:A,0)+2,2,4,1,"CAL7")),"")</f>
        <v/>
      </c>
      <c r="AP269" s="21">
        <f ca="1">IF(CALC2223!BD269&gt;2,INDIRECT(ADDRESS(MATCH(Agenda2526!C270,'CAL7'!A:A,0)+2,3,4,1,"CAL7")),0)</f>
        <v>0</v>
      </c>
      <c r="AQ269" s="20" t="str">
        <f ca="1">IF(CALC2223!BE269&gt;0,INDIRECT(ADDRESS(MATCH(Agenda2526!C270,'CAL8'!A:A,0),2,4,1,"CAL8")),"")</f>
        <v>offerfeest?</v>
      </c>
      <c r="AR269" s="21">
        <f ca="1">IF(CALC2223!BE269&gt;0,INDIRECT(ADDRESS(MATCH(Agenda2526!C270,'CAL8'!A:A,0),3,4,1,"CAL8")),0)</f>
        <v>45896</v>
      </c>
      <c r="AS269" s="20" t="str">
        <f ca="1">IF(CALC2223!BE269&gt;1,INDIRECT(ADDRESS(MATCH(Agenda2526!C270,'CAL8'!A:A,0)+1,2,4,1,"CAL8")),"")</f>
        <v/>
      </c>
      <c r="AT269" s="21">
        <f ca="1">IF(CALC2223!BE269&gt;1,INDIRECT(ADDRESS(MATCH(Agenda2526!C270,'CAL8'!A:A,0)+1,3,4,1,"CAL8")),0)</f>
        <v>0</v>
      </c>
      <c r="AU269" s="20" t="str">
        <f ca="1">IF(CALC2223!BE269&gt;2,INDIRECT(ADDRESS(MATCH(Agenda2526!C270,'CAL8'!A:A,0)+2,2,4,1,"CAL8")),"")</f>
        <v/>
      </c>
      <c r="AV269" s="21">
        <f ca="1">IF(CALC2223!BE269&gt;2,INDIRECT(ADDRESS(MATCH(Agenda2526!C270,'CAL8'!A:A,0)+2,3,4,1,"CAL8")),0)</f>
        <v>0</v>
      </c>
      <c r="AW269" s="105"/>
      <c r="AX269" s="20">
        <f>COUNTIF('CAL1'!A:A,Agenda2526!C270)</f>
        <v>0</v>
      </c>
      <c r="AY269" s="20">
        <f>COUNTIF('CAL2'!A:A,Agenda2526!C270)</f>
        <v>0</v>
      </c>
      <c r="AZ269" s="20">
        <f>COUNTIF('CAL3'!A:A,Agenda2526!C270)</f>
        <v>0</v>
      </c>
      <c r="BA269" s="20">
        <f>COUNTIF('CAL4'!A:A,Agenda2526!C270)</f>
        <v>0</v>
      </c>
      <c r="BB269" s="20">
        <f>COUNTIF('CAL5'!A:A,Agenda2526!C270)</f>
        <v>0</v>
      </c>
      <c r="BC269" s="20">
        <f>COUNTIF('CAL6'!A:A,Agenda2526!C270)</f>
        <v>1</v>
      </c>
      <c r="BD269" s="20">
        <f>COUNTIF('CAL7'!A:A,Agenda2526!C270)</f>
        <v>0</v>
      </c>
      <c r="BE269" s="20">
        <f>COUNTIF('CAL8'!A:A,Agenda2526!C270)</f>
        <v>1</v>
      </c>
    </row>
    <row r="270" spans="1:57" ht="15.75" customHeight="1">
      <c r="A270" s="20" t="str">
        <f ca="1">IF(CALC2223!AX270&gt;0,INDIRECT(ADDRESS(MATCH(Agenda2526!C271,'CAL1'!A:A,0),2,4,1,"CAL1")),"")</f>
        <v>Rep AK</v>
      </c>
      <c r="B270" s="21">
        <f ca="1">IF(CALC2223!AX270&gt;0,INDIRECT(ADDRESS(MATCH(Agenda2526!C271,'CAL1'!A:A,0),3,4,1,"CAL1")),0)</f>
        <v>45901</v>
      </c>
      <c r="C270" s="20" t="str">
        <f ca="1">IF(CALC2223!AX270&gt;1,INDIRECT(ADDRESS(MATCH(Agenda2526!C271,'CAL1'!A:A,0)+1,2,4,1,"CAL1")),"")</f>
        <v/>
      </c>
      <c r="D270" s="21">
        <f ca="1">IF(CALC2223!AX270&gt;1,INDIRECT(ADDRESS(MATCH(Agenda2526!C271,'CAL1'!A:A,0)+1,3,4,1,"CAL1")),0)</f>
        <v>0</v>
      </c>
      <c r="E270" s="20" t="str">
        <f ca="1">IF(CALC2223!AX270&gt;2,INDIRECT(ADDRESS(MATCH(Agenda2526!C271,'CAL1'!A:A,0)+2,2,4,1,"CAL1")),"")</f>
        <v/>
      </c>
      <c r="F270" s="21">
        <f ca="1">IF(CALC2223!AX270&gt;2,INDIRECT(ADDRESS(MATCH(Agenda2526!C271,'CAL1'!A:A,0)+2,3,4,1,"CAL1")),0)</f>
        <v>0</v>
      </c>
      <c r="G270" s="20" t="str">
        <f ca="1">IF(CALC2223!AY270&gt;0,INDIRECT(ADDRESS(MATCH(Agenda2526!C271,'CAL2'!A:A,0),2,4,1,"CAL2")),"")</f>
        <v/>
      </c>
      <c r="H270" s="21">
        <f ca="1">IF(CALC2223!AY270&gt;0,INDIRECT(ADDRESS(MATCH(Agenda2526!C271,'CAL2'!A:A,0),3,4,1,"CAL2")),0)</f>
        <v>0</v>
      </c>
      <c r="I270" s="20" t="str">
        <f ca="1">IF(CALC2223!AY270&gt;1,INDIRECT(ADDRESS(MATCH(Agenda2526!C271,'CAL2'!A:A,0)+1,2,4,1,"CAL2")),"")</f>
        <v/>
      </c>
      <c r="J270" s="21">
        <f ca="1">IF(CALC2223!AY270&gt;1,INDIRECT(ADDRESS(MATCH(Agenda2526!C271,'CAL2'!A:A,0)+1,3,4,1,"CAL2")),0)</f>
        <v>0</v>
      </c>
      <c r="K270" s="20" t="str">
        <f ca="1">IF(CALC2223!AY270&gt;2,INDIRECT(ADDRESS(MATCH(Agenda2526!C271,'CAL2'!A:A,0)+2,2,4,1,"CAL2")),"")</f>
        <v/>
      </c>
      <c r="L270" s="21">
        <f ca="1">IF(CALC2223!AY270&gt;2,INDIRECT(ADDRESS(MATCH(Agenda2526!C271,'CAL2'!A:A,0)+2,3,4,1,"CAL2")),0)</f>
        <v>0</v>
      </c>
      <c r="M270" s="20" t="str">
        <f ca="1">IF(CALC2223!AZ270&gt;0,INDIRECT(ADDRESS(MATCH(Agenda2526!C271,'CAL3'!A:A,0),2,4,1,"CAL3")),"")</f>
        <v/>
      </c>
      <c r="N270" s="21">
        <f ca="1">IF(CALC2223!AZ270&gt;0,INDIRECT(ADDRESS(MATCH(Agenda2526!C271,'CAL3'!A:A,0),3,4,1,"CAL3")),0)</f>
        <v>0</v>
      </c>
      <c r="O270" s="20" t="str">
        <f ca="1">IF(CALC2223!AZ270&gt;1,INDIRECT(ADDRESS(MATCH(Agenda2526!C271,'CAL3'!A:A,0)+1,2,4,1,"CAL3")),"")</f>
        <v/>
      </c>
      <c r="P270" s="21">
        <f ca="1">IF(CALC2223!AZ270&gt;1,INDIRECT(ADDRESS(MATCH(Agenda2526!C271,'CAL3'!A:A,0)+1,3,4,1,"CAL3")),0)</f>
        <v>0</v>
      </c>
      <c r="Q270" s="20" t="str">
        <f ca="1">IF(CALC2223!AZ270&gt;2,INDIRECT(ADDRESS(MATCH(Agenda2526!C271,'CAL3'!A:A,0)+2,2,4,1,"CAL3")),"")</f>
        <v/>
      </c>
      <c r="R270" s="21">
        <f ca="1">IF(CALC2223!AZ270&gt;2,INDIRECT(ADDRESS(MATCH(Agenda2526!C271,'CAL3'!A:A,0)+2,3,4,1,"CAL3")),0)</f>
        <v>0</v>
      </c>
      <c r="S270" s="20" t="str">
        <f ca="1">IF(CALC2223!BA270&gt;0,INDIRECT(ADDRESS(MATCH(Agenda2526!C271,'CAL4'!A:A,0),2,4,1,"CAL4")),"")</f>
        <v/>
      </c>
      <c r="T270" s="21">
        <f ca="1">IF(CALC2223!BA270&gt;0,INDIRECT(ADDRESS(MATCH(Agenda2526!C271,'CAL4'!A:A,0),3,4,1,"CAL4")),0)</f>
        <v>0</v>
      </c>
      <c r="U270" s="20" t="str">
        <f ca="1">IF(CALC2223!BA270&gt;1,INDIRECT(ADDRESS(MATCH(Agenda2526!C271,'CAL4'!A:A,0)+1,2,4,1,"CAL4")),"")</f>
        <v/>
      </c>
      <c r="V270" s="21">
        <f ca="1">IF(CALC2223!BA270&gt;1,INDIRECT(ADDRESS(MATCH(Agenda2526!C271,'CAL4'!A:A,0)+1,3,4,1,"CAL4")),0)</f>
        <v>0</v>
      </c>
      <c r="W270" s="20" t="str">
        <f ca="1">IF(CALC2223!BA270&gt;2,INDIRECT(ADDRESS(MATCH(Agenda2526!C271,'CAL4'!A:A,0)+2,2,4,1,"CAL4")),"")</f>
        <v/>
      </c>
      <c r="X270" s="21">
        <f ca="1">IF(CALC2223!BA270&gt;2,INDIRECT(ADDRESS(MATCH(Agenda2526!C271,'CAL4'!A:A,0)+2,3,4,1,"CAL4")),0)</f>
        <v>0</v>
      </c>
      <c r="Y270" s="20" t="str">
        <f ca="1">IF(CALC2223!BB270&gt;0,INDIRECT(ADDRESS(MATCH(Agenda2526!C271,'CAL5'!A:A,0),2,4,1,"CAL5")),"")</f>
        <v>Rep EC</v>
      </c>
      <c r="Z270" s="21">
        <f ca="1">IF(CALC2223!BB270&gt;0,INDIRECT(ADDRESS(MATCH(Agenda2526!C271,'CAL5'!A:A,0),3,4,1,"CAL5")),0)</f>
        <v>45896</v>
      </c>
      <c r="AA270" s="20" t="str">
        <f ca="1">IF(CALC2223!BB270&gt;1,INDIRECT(ADDRESS(MATCH(Agenda2526!C271,'CAL5'!A:A,0)+1,2,4,1,"CAL5")),"")</f>
        <v/>
      </c>
      <c r="AB270" s="21">
        <f ca="1">IF(CALC2223!BB270&gt;1,INDIRECT(ADDRESS(MATCH(Agenda2526!C271,'CAL5'!A:A,0)+1,3,4,1,"CAL5")),0)</f>
        <v>0</v>
      </c>
      <c r="AC270" s="20" t="str">
        <f ca="1">IF(CALC2223!BB270&gt;2,INDIRECT(ADDRESS(MATCH(Agenda2526!C271,'CAL5'!A:A,0)+2,2,4,1,"CAL5")),"")</f>
        <v/>
      </c>
      <c r="AD270" s="21">
        <f ca="1">IF(CALC2223!BB270&gt;2,INDIRECT(ADDRESS(MATCH(Agenda2526!C271,'CAL5'!A:A,0)+2,3,4,1,"CAL5")),0)</f>
        <v>0</v>
      </c>
      <c r="AE270" s="20" t="str">
        <f ca="1">IF(CALC2223!BC270&gt;0,INDIRECT(ADDRESS(MATCH(Agenda2526!C271,'CAL6'!A:A,0),2,4,1,"CAL6")),"")</f>
        <v xml:space="preserve">  /SP</v>
      </c>
      <c r="AF270" s="21">
        <f ca="1">IF(CALC2223!BC270&gt;0,INDIRECT(ADDRESS(MATCH(Agenda2526!C271,'CAL6'!A:A,0),3,4,1,"CAL6")),0)</f>
        <v>45896</v>
      </c>
      <c r="AG270" s="20" t="str">
        <f ca="1">IF(CALC2223!BC270&gt;1,INDIRECT(ADDRESS(MATCH(Agenda2526!C271,'CAL6'!A:A,0)+1,2,4,1,"CAL6")),"")</f>
        <v/>
      </c>
      <c r="AH270" s="21">
        <f ca="1">IF(CALC2223!BC270&gt;1,INDIRECT(ADDRESS(MATCH(Agenda2526!C271,'CAL6'!A:A,0)+1,3,4,1,"CAL6")),0)</f>
        <v>0</v>
      </c>
      <c r="AI270" s="20" t="str">
        <f ca="1">IF(CALC2223!BC270&gt;2,INDIRECT(ADDRESS(MATCH(Agenda2526!C271,'CAL6'!A:A,0)+2,2,4,1,"CAL6")),"")</f>
        <v/>
      </c>
      <c r="AJ270" s="21">
        <f ca="1">IF(CALC2223!BC270&gt;2,INDIRECT(ADDRESS(MATCH(Agenda2526!C271,'CAL6'!A:A,0)+2,3,4,1,"CAL6")),0)</f>
        <v>0</v>
      </c>
      <c r="AK270" s="20" t="str">
        <f ca="1">IF(CALC2223!BD270&gt;0,INDIRECT(ADDRESS(MATCH(Agenda2526!C271,'CAL7'!A:A,0),2,4,1,"CAL7")),"")</f>
        <v/>
      </c>
      <c r="AL270" s="21">
        <f ca="1">IF(CALC2223!BD270&gt;0,INDIRECT(ADDRESS(MATCH(Agenda2526!C271,'CAL7'!A:A,0),3,4,1,"CAL7")),0)</f>
        <v>0</v>
      </c>
      <c r="AM270" s="20" t="str">
        <f ca="1">IF(CALC2223!BD270&gt;1,INDIRECT(ADDRESS(MATCH(Agenda2526!C271,'CAL7'!A:A,0)+1,2,4,1,"CAL7")),"")</f>
        <v/>
      </c>
      <c r="AN270" s="21">
        <f ca="1">IF(CALC2223!BD270&gt;1,INDIRECT(ADDRESS(MATCH(Agenda2526!C271,'CAL7'!A:A,0)+1,3,4,1,"CAL7")),0)</f>
        <v>0</v>
      </c>
      <c r="AO270" s="20" t="str">
        <f ca="1">IF(CALC2223!BD270&gt;2,INDIRECT(ADDRESS(MATCH(Agenda2526!C271,'CAL7'!A:A,0)+2,2,4,1,"CAL7")),"")</f>
        <v/>
      </c>
      <c r="AP270" s="21">
        <f ca="1">IF(CALC2223!BD270&gt;2,INDIRECT(ADDRESS(MATCH(Agenda2526!C271,'CAL7'!A:A,0)+2,3,4,1,"CAL7")),0)</f>
        <v>0</v>
      </c>
      <c r="AQ270" s="20" t="str">
        <f ca="1">IF(CALC2223!BE270&gt;0,INDIRECT(ADDRESS(MATCH(Agenda2526!C271,'CAL8'!A:A,0),2,4,1,"CAL8")),"")</f>
        <v/>
      </c>
      <c r="AR270" s="21">
        <f ca="1">IF(CALC2223!BE270&gt;0,INDIRECT(ADDRESS(MATCH(Agenda2526!C271,'CAL8'!A:A,0),3,4,1,"CAL8")),0)</f>
        <v>0</v>
      </c>
      <c r="AS270" s="20" t="str">
        <f ca="1">IF(CALC2223!BE270&gt;1,INDIRECT(ADDRESS(MATCH(Agenda2526!C271,'CAL8'!A:A,0)+1,2,4,1,"CAL8")),"")</f>
        <v/>
      </c>
      <c r="AT270" s="21">
        <f ca="1">IF(CALC2223!BE270&gt;1,INDIRECT(ADDRESS(MATCH(Agenda2526!C271,'CAL8'!A:A,0)+1,3,4,1,"CAL8")),0)</f>
        <v>0</v>
      </c>
      <c r="AU270" s="20" t="str">
        <f ca="1">IF(CALC2223!BE270&gt;2,INDIRECT(ADDRESS(MATCH(Agenda2526!C271,'CAL8'!A:A,0)+2,2,4,1,"CAL8")),"")</f>
        <v/>
      </c>
      <c r="AV270" s="21">
        <f ca="1">IF(CALC2223!BE270&gt;2,INDIRECT(ADDRESS(MATCH(Agenda2526!C271,'CAL8'!A:A,0)+2,3,4,1,"CAL8")),0)</f>
        <v>0</v>
      </c>
      <c r="AW270" s="105"/>
      <c r="AX270" s="20">
        <f>COUNTIF('CAL1'!A:A,Agenda2526!C271)</f>
        <v>1</v>
      </c>
      <c r="AY270" s="20">
        <f>COUNTIF('CAL2'!A:A,Agenda2526!C271)</f>
        <v>0</v>
      </c>
      <c r="AZ270" s="20">
        <f>COUNTIF('CAL3'!A:A,Agenda2526!C271)</f>
        <v>0</v>
      </c>
      <c r="BA270" s="20">
        <f>COUNTIF('CAL4'!A:A,Agenda2526!C271)</f>
        <v>0</v>
      </c>
      <c r="BB270" s="20">
        <f>COUNTIF('CAL5'!A:A,Agenda2526!C271)</f>
        <v>1</v>
      </c>
      <c r="BC270" s="20">
        <f>COUNTIF('CAL6'!A:A,Agenda2526!C271)</f>
        <v>1</v>
      </c>
      <c r="BD270" s="20">
        <f>COUNTIF('CAL7'!A:A,Agenda2526!C271)</f>
        <v>0</v>
      </c>
      <c r="BE270" s="20">
        <f>COUNTIF('CAL8'!A:A,Agenda2526!C271)</f>
        <v>0</v>
      </c>
    </row>
    <row r="271" spans="1:57" ht="15.75" customHeight="1">
      <c r="A271" s="20" t="str">
        <f ca="1">IF(CALC2223!AX271&gt;0,INDIRECT(ADDRESS(MATCH(Agenda2526!C272,'CAL1'!A:A,0),2,4,1,"CAL1")),"")</f>
        <v/>
      </c>
      <c r="B271" s="21">
        <f ca="1">IF(CALC2223!AX271&gt;0,INDIRECT(ADDRESS(MATCH(Agenda2526!C272,'CAL1'!A:A,0),3,4,1,"CAL1")),0)</f>
        <v>0</v>
      </c>
      <c r="C271" s="20" t="str">
        <f ca="1">IF(CALC2223!AX271&gt;1,INDIRECT(ADDRESS(MATCH(Agenda2526!C272,'CAL1'!A:A,0)+1,2,4,1,"CAL1")),"")</f>
        <v/>
      </c>
      <c r="D271" s="21">
        <f ca="1">IF(CALC2223!AX271&gt;1,INDIRECT(ADDRESS(MATCH(Agenda2526!C272,'CAL1'!A:A,0)+1,3,4,1,"CAL1")),0)</f>
        <v>0</v>
      </c>
      <c r="E271" s="20" t="str">
        <f ca="1">IF(CALC2223!AX271&gt;2,INDIRECT(ADDRESS(MATCH(Agenda2526!C272,'CAL1'!A:A,0)+2,2,4,1,"CAL1")),"")</f>
        <v/>
      </c>
      <c r="F271" s="21">
        <f ca="1">IF(CALC2223!AX271&gt;2,INDIRECT(ADDRESS(MATCH(Agenda2526!C272,'CAL1'!A:A,0)+2,3,4,1,"CAL1")),0)</f>
        <v>0</v>
      </c>
      <c r="G271" s="20" t="str">
        <f ca="1">IF(CALC2223!AY271&gt;0,INDIRECT(ADDRESS(MATCH(Agenda2526!C272,'CAL2'!A:A,0),2,4,1,"CAL2")),"")</f>
        <v/>
      </c>
      <c r="H271" s="21">
        <f ca="1">IF(CALC2223!AY271&gt;0,INDIRECT(ADDRESS(MATCH(Agenda2526!C272,'CAL2'!A:A,0),3,4,1,"CAL2")),0)</f>
        <v>0</v>
      </c>
      <c r="I271" s="20" t="str">
        <f ca="1">IF(CALC2223!AY271&gt;1,INDIRECT(ADDRESS(MATCH(Agenda2526!C272,'CAL2'!A:A,0)+1,2,4,1,"CAL2")),"")</f>
        <v/>
      </c>
      <c r="J271" s="21">
        <f ca="1">IF(CALC2223!AY271&gt;1,INDIRECT(ADDRESS(MATCH(Agenda2526!C272,'CAL2'!A:A,0)+1,3,4,1,"CAL2")),0)</f>
        <v>0</v>
      </c>
      <c r="K271" s="20" t="str">
        <f ca="1">IF(CALC2223!AY271&gt;2,INDIRECT(ADDRESS(MATCH(Agenda2526!C272,'CAL2'!A:A,0)+2,2,4,1,"CAL2")),"")</f>
        <v/>
      </c>
      <c r="L271" s="21">
        <f ca="1">IF(CALC2223!AY271&gt;2,INDIRECT(ADDRESS(MATCH(Agenda2526!C272,'CAL2'!A:A,0)+2,3,4,1,"CAL2")),0)</f>
        <v>0</v>
      </c>
      <c r="M271" s="20" t="str">
        <f ca="1">IF(CALC2223!AZ271&gt;0,INDIRECT(ADDRESS(MATCH(Agenda2526!C272,'CAL3'!A:A,0),2,4,1,"CAL3")),"")</f>
        <v>Rep AK</v>
      </c>
      <c r="N271" s="21">
        <f ca="1">IF(CALC2223!AZ271&gt;0,INDIRECT(ADDRESS(MATCH(Agenda2526!C272,'CAL3'!A:A,0),3,4,1,"CAL3")),0)</f>
        <v>45903</v>
      </c>
      <c r="O271" s="20" t="str">
        <f ca="1">IF(CALC2223!AZ271&gt;1,INDIRECT(ADDRESS(MATCH(Agenda2526!C272,'CAL3'!A:A,0)+1,2,4,1,"CAL3")),"")</f>
        <v/>
      </c>
      <c r="P271" s="21">
        <f ca="1">IF(CALC2223!AZ271&gt;1,INDIRECT(ADDRESS(MATCH(Agenda2526!C272,'CAL3'!A:A,0)+1,3,4,1,"CAL3")),0)</f>
        <v>0</v>
      </c>
      <c r="Q271" s="20" t="str">
        <f ca="1">IF(CALC2223!AZ271&gt;2,INDIRECT(ADDRESS(MATCH(Agenda2526!C272,'CAL3'!A:A,0)+2,2,4,1,"CAL3")),"")</f>
        <v/>
      </c>
      <c r="R271" s="21">
        <f ca="1">IF(CALC2223!AZ271&gt;2,INDIRECT(ADDRESS(MATCH(Agenda2526!C272,'CAL3'!A:A,0)+2,3,4,1,"CAL3")),0)</f>
        <v>0</v>
      </c>
      <c r="S271" s="20" t="str">
        <f ca="1">IF(CALC2223!BA271&gt;0,INDIRECT(ADDRESS(MATCH(Agenda2526!C272,'CAL4'!A:A,0),2,4,1,"CAL4")),"")</f>
        <v/>
      </c>
      <c r="T271" s="21">
        <f ca="1">IF(CALC2223!BA271&gt;0,INDIRECT(ADDRESS(MATCH(Agenda2526!C272,'CAL4'!A:A,0),3,4,1,"CAL4")),0)</f>
        <v>0</v>
      </c>
      <c r="U271" s="20" t="str">
        <f ca="1">IF(CALC2223!BA271&gt;1,INDIRECT(ADDRESS(MATCH(Agenda2526!C272,'CAL4'!A:A,0)+1,2,4,1,"CAL4")),"")</f>
        <v/>
      </c>
      <c r="V271" s="21">
        <f ca="1">IF(CALC2223!BA271&gt;1,INDIRECT(ADDRESS(MATCH(Agenda2526!C272,'CAL4'!A:A,0)+1,3,4,1,"CAL4")),0)</f>
        <v>0</v>
      </c>
      <c r="W271" s="20" t="str">
        <f ca="1">IF(CALC2223!BA271&gt;2,INDIRECT(ADDRESS(MATCH(Agenda2526!C272,'CAL4'!A:A,0)+2,2,4,1,"CAL4")),"")</f>
        <v/>
      </c>
      <c r="X271" s="21">
        <f ca="1">IF(CALC2223!BA271&gt;2,INDIRECT(ADDRESS(MATCH(Agenda2526!C272,'CAL4'!A:A,0)+2,3,4,1,"CAL4")),0)</f>
        <v>0</v>
      </c>
      <c r="Y271" s="20" t="str">
        <f ca="1">IF(CALC2223!BB271&gt;0,INDIRECT(ADDRESS(MATCH(Agenda2526!C272,'CAL5'!A:A,0),2,4,1,"CAL5")),"")</f>
        <v>inh rep WiB en WiA</v>
      </c>
      <c r="Z271" s="21">
        <f ca="1">IF(CALC2223!BB271&gt;0,INDIRECT(ADDRESS(MATCH(Agenda2526!C272,'CAL5'!A:A,0),3,4,1,"CAL5")),0)</f>
        <v>46066</v>
      </c>
      <c r="AA271" s="20" t="str">
        <f ca="1">IF(CALC2223!BB271&gt;1,INDIRECT(ADDRESS(MATCH(Agenda2526!C272,'CAL5'!A:A,0)+1,2,4,1,"CAL5")),"")</f>
        <v/>
      </c>
      <c r="AB271" s="21">
        <f ca="1">IF(CALC2223!BB271&gt;1,INDIRECT(ADDRESS(MATCH(Agenda2526!C272,'CAL5'!A:A,0)+1,3,4,1,"CAL5")),0)</f>
        <v>0</v>
      </c>
      <c r="AC271" s="20" t="str">
        <f ca="1">IF(CALC2223!BB271&gt;2,INDIRECT(ADDRESS(MATCH(Agenda2526!C272,'CAL5'!A:A,0)+2,2,4,1,"CAL5")),"")</f>
        <v/>
      </c>
      <c r="AD271" s="21">
        <f ca="1">IF(CALC2223!BB271&gt;2,INDIRECT(ADDRESS(MATCH(Agenda2526!C272,'CAL5'!A:A,0)+2,3,4,1,"CAL5")),0)</f>
        <v>0</v>
      </c>
      <c r="AE271" s="20" t="str">
        <f ca="1">IF(CALC2223!BC271&gt;0,INDIRECT(ADDRESS(MATCH(Agenda2526!C272,'CAL6'!A:A,0),2,4,1,"CAL6")),"")</f>
        <v/>
      </c>
      <c r="AF271" s="21">
        <f ca="1">IF(CALC2223!BC271&gt;0,INDIRECT(ADDRESS(MATCH(Agenda2526!C272,'CAL6'!A:A,0),3,4,1,"CAL6")),0)</f>
        <v>0</v>
      </c>
      <c r="AG271" s="20" t="str">
        <f ca="1">IF(CALC2223!BC271&gt;1,INDIRECT(ADDRESS(MATCH(Agenda2526!C272,'CAL6'!A:A,0)+1,2,4,1,"CAL6")),"")</f>
        <v/>
      </c>
      <c r="AH271" s="21">
        <f ca="1">IF(CALC2223!BC271&gt;1,INDIRECT(ADDRESS(MATCH(Agenda2526!C272,'CAL6'!A:A,0)+1,3,4,1,"CAL6")),0)</f>
        <v>0</v>
      </c>
      <c r="AI271" s="20" t="str">
        <f ca="1">IF(CALC2223!BC271&gt;2,INDIRECT(ADDRESS(MATCH(Agenda2526!C272,'CAL6'!A:A,0)+2,2,4,1,"CAL6")),"")</f>
        <v/>
      </c>
      <c r="AJ271" s="21">
        <f ca="1">IF(CALC2223!BC271&gt;2,INDIRECT(ADDRESS(MATCH(Agenda2526!C272,'CAL6'!A:A,0)+2,3,4,1,"CAL6")),0)</f>
        <v>0</v>
      </c>
      <c r="AK271" s="20" t="str">
        <f ca="1">IF(CALC2223!BD271&gt;0,INDIRECT(ADDRESS(MATCH(Agenda2526!C272,'CAL7'!A:A,0),2,4,1,"CAL7")),"")</f>
        <v>mentoren#7</v>
      </c>
      <c r="AL271" s="21">
        <f ca="1">IF(CALC2223!BD271&gt;0,INDIRECT(ADDRESS(MATCH(Agenda2526!C272,'CAL7'!A:A,0),3,4,1,"CAL7")),0)</f>
        <v>45896</v>
      </c>
      <c r="AM271" s="20" t="str">
        <f ca="1">IF(CALC2223!BD271&gt;1,INDIRECT(ADDRESS(MATCH(Agenda2526!C272,'CAL7'!A:A,0)+1,2,4,1,"CAL7")),"")</f>
        <v/>
      </c>
      <c r="AN271" s="21">
        <f ca="1">IF(CALC2223!BD271&gt;1,INDIRECT(ADDRESS(MATCH(Agenda2526!C272,'CAL7'!A:A,0)+1,3,4,1,"CAL7")),0)</f>
        <v>0</v>
      </c>
      <c r="AO271" s="20" t="str">
        <f ca="1">IF(CALC2223!BD271&gt;2,INDIRECT(ADDRESS(MATCH(Agenda2526!C272,'CAL7'!A:A,0)+2,2,4,1,"CAL7")),"")</f>
        <v/>
      </c>
      <c r="AP271" s="21">
        <f ca="1">IF(CALC2223!BD271&gt;2,INDIRECT(ADDRESS(MATCH(Agenda2526!C272,'CAL7'!A:A,0)+2,3,4,1,"CAL7")),0)</f>
        <v>0</v>
      </c>
      <c r="AQ271" s="20" t="str">
        <f ca="1">IF(CALC2223!BE271&gt;0,INDIRECT(ADDRESS(MATCH(Agenda2526!C272,'CAL8'!A:A,0),2,4,1,"CAL8")),"")</f>
        <v/>
      </c>
      <c r="AR271" s="21">
        <f ca="1">IF(CALC2223!BE271&gt;0,INDIRECT(ADDRESS(MATCH(Agenda2526!C272,'CAL8'!A:A,0),3,4,1,"CAL8")),0)</f>
        <v>0</v>
      </c>
      <c r="AS271" s="20" t="str">
        <f ca="1">IF(CALC2223!BE271&gt;1,INDIRECT(ADDRESS(MATCH(Agenda2526!C272,'CAL8'!A:A,0)+1,2,4,1,"CAL8")),"")</f>
        <v/>
      </c>
      <c r="AT271" s="21">
        <f ca="1">IF(CALC2223!BE271&gt;1,INDIRECT(ADDRESS(MATCH(Agenda2526!C272,'CAL8'!A:A,0)+1,3,4,1,"CAL8")),0)</f>
        <v>0</v>
      </c>
      <c r="AU271" s="20" t="str">
        <f ca="1">IF(CALC2223!BE271&gt;2,INDIRECT(ADDRESS(MATCH(Agenda2526!C272,'CAL8'!A:A,0)+2,2,4,1,"CAL8")),"")</f>
        <v/>
      </c>
      <c r="AV271" s="21">
        <f ca="1">IF(CALC2223!BE271&gt;2,INDIRECT(ADDRESS(MATCH(Agenda2526!C272,'CAL8'!A:A,0)+2,3,4,1,"CAL8")),0)</f>
        <v>0</v>
      </c>
      <c r="AW271" s="105"/>
      <c r="AX271" s="20">
        <f>COUNTIF('CAL1'!A:A,Agenda2526!C272)</f>
        <v>0</v>
      </c>
      <c r="AY271" s="20">
        <f>COUNTIF('CAL2'!A:A,Agenda2526!C272)</f>
        <v>0</v>
      </c>
      <c r="AZ271" s="20">
        <f>COUNTIF('CAL3'!A:A,Agenda2526!C272)</f>
        <v>1</v>
      </c>
      <c r="BA271" s="20">
        <f>COUNTIF('CAL4'!A:A,Agenda2526!C272)</f>
        <v>0</v>
      </c>
      <c r="BB271" s="20">
        <f>COUNTIF('CAL5'!A:A,Agenda2526!C272)</f>
        <v>1</v>
      </c>
      <c r="BC271" s="20">
        <f>COUNTIF('CAL6'!A:A,Agenda2526!C272)</f>
        <v>0</v>
      </c>
      <c r="BD271" s="20">
        <f>COUNTIF('CAL7'!A:A,Agenda2526!C272)</f>
        <v>1</v>
      </c>
      <c r="BE271" s="20">
        <f>COUNTIF('CAL8'!A:A,Agenda2526!C272)</f>
        <v>0</v>
      </c>
    </row>
    <row r="272" spans="1:57" ht="15.75" customHeight="1">
      <c r="A272" s="20" t="str">
        <f ca="1">IF(CALC2223!AX272&gt;0,INDIRECT(ADDRESS(MATCH(Agenda2526!C273,'CAL1'!A:A,0),2,4,1,"CAL1")),"")</f>
        <v/>
      </c>
      <c r="B272" s="21">
        <f ca="1">IF(CALC2223!AX272&gt;0,INDIRECT(ADDRESS(MATCH(Agenda2526!C273,'CAL1'!A:A,0),3,4,1,"CAL1")),0)</f>
        <v>0</v>
      </c>
      <c r="C272" s="20" t="str">
        <f ca="1">IF(CALC2223!AX272&gt;1,INDIRECT(ADDRESS(MATCH(Agenda2526!C273,'CAL1'!A:A,0)+1,2,4,1,"CAL1")),"")</f>
        <v/>
      </c>
      <c r="D272" s="21">
        <f ca="1">IF(CALC2223!AX272&gt;1,INDIRECT(ADDRESS(MATCH(Agenda2526!C273,'CAL1'!A:A,0)+1,3,4,1,"CAL1")),0)</f>
        <v>0</v>
      </c>
      <c r="E272" s="20" t="str">
        <f ca="1">IF(CALC2223!AX272&gt;2,INDIRECT(ADDRESS(MATCH(Agenda2526!C273,'CAL1'!A:A,0)+2,2,4,1,"CAL1")),"")</f>
        <v/>
      </c>
      <c r="F272" s="21">
        <f ca="1">IF(CALC2223!AX272&gt;2,INDIRECT(ADDRESS(MATCH(Agenda2526!C273,'CAL1'!A:A,0)+2,3,4,1,"CAL1")),0)</f>
        <v>0</v>
      </c>
      <c r="G272" s="20" t="str">
        <f ca="1">IF(CALC2223!AY272&gt;0,INDIRECT(ADDRESS(MATCH(Agenda2526!C273,'CAL2'!A:A,0),2,4,1,"CAL2")),"")</f>
        <v>Rep BIO</v>
      </c>
      <c r="H272" s="21">
        <f ca="1">IF(CALC2223!AY272&gt;0,INDIRECT(ADDRESS(MATCH(Agenda2526!C273,'CAL2'!A:A,0),3,4,1,"CAL2")),0)</f>
        <v>45903</v>
      </c>
      <c r="I272" s="20" t="str">
        <f ca="1">IF(CALC2223!AY272&gt;1,INDIRECT(ADDRESS(MATCH(Agenda2526!C273,'CAL2'!A:A,0)+1,2,4,1,"CAL2")),"")</f>
        <v/>
      </c>
      <c r="J272" s="21">
        <f ca="1">IF(CALC2223!AY272&gt;1,INDIRECT(ADDRESS(MATCH(Agenda2526!C273,'CAL2'!A:A,0)+1,3,4,1,"CAL2")),0)</f>
        <v>0</v>
      </c>
      <c r="K272" s="20" t="str">
        <f ca="1">IF(CALC2223!AY272&gt;2,INDIRECT(ADDRESS(MATCH(Agenda2526!C273,'CAL2'!A:A,0)+2,2,4,1,"CAL2")),"")</f>
        <v/>
      </c>
      <c r="L272" s="21">
        <f ca="1">IF(CALC2223!AY272&gt;2,INDIRECT(ADDRESS(MATCH(Agenda2526!C273,'CAL2'!A:A,0)+2,3,4,1,"CAL2")),0)</f>
        <v>0</v>
      </c>
      <c r="M272" s="20" t="str">
        <f ca="1">IF(CALC2223!AZ272&gt;0,INDIRECT(ADDRESS(MATCH(Agenda2526!C273,'CAL3'!A:A,0),2,4,1,"CAL3")),"")</f>
        <v/>
      </c>
      <c r="N272" s="21">
        <f ca="1">IF(CALC2223!AZ272&gt;0,INDIRECT(ADDRESS(MATCH(Agenda2526!C273,'CAL3'!A:A,0),3,4,1,"CAL3")),0)</f>
        <v>0</v>
      </c>
      <c r="O272" s="20" t="str">
        <f ca="1">IF(CALC2223!AZ272&gt;1,INDIRECT(ADDRESS(MATCH(Agenda2526!C273,'CAL3'!A:A,0)+1,2,4,1,"CAL3")),"")</f>
        <v/>
      </c>
      <c r="P272" s="21">
        <f ca="1">IF(CALC2223!AZ272&gt;1,INDIRECT(ADDRESS(MATCH(Agenda2526!C273,'CAL3'!A:A,0)+1,3,4,1,"CAL3")),0)</f>
        <v>0</v>
      </c>
      <c r="Q272" s="20" t="str">
        <f ca="1">IF(CALC2223!AZ272&gt;2,INDIRECT(ADDRESS(MATCH(Agenda2526!C273,'CAL3'!A:A,0)+2,2,4,1,"CAL3")),"")</f>
        <v/>
      </c>
      <c r="R272" s="21">
        <f ca="1">IF(CALC2223!AZ272&gt;2,INDIRECT(ADDRESS(MATCH(Agenda2526!C273,'CAL3'!A:A,0)+2,3,4,1,"CAL3")),0)</f>
        <v>0</v>
      </c>
      <c r="S272" s="20" t="str">
        <f ca="1">IF(CALC2223!BA272&gt;0,INDIRECT(ADDRESS(MATCH(Agenda2526!C273,'CAL4'!A:A,0),2,4,1,"CAL4")),"")</f>
        <v>Rep NA</v>
      </c>
      <c r="T272" s="21">
        <f ca="1">IF(CALC2223!BA272&gt;0,INDIRECT(ADDRESS(MATCH(Agenda2526!C273,'CAL4'!A:A,0),3,4,1,"CAL4")),0)</f>
        <v>45896</v>
      </c>
      <c r="U272" s="20" t="str">
        <f ca="1">IF(CALC2223!BA272&gt;1,INDIRECT(ADDRESS(MATCH(Agenda2526!C273,'CAL4'!A:A,0)+1,2,4,1,"CAL4")),"")</f>
        <v/>
      </c>
      <c r="V272" s="21">
        <f ca="1">IF(CALC2223!BA272&gt;1,INDIRECT(ADDRESS(MATCH(Agenda2526!C273,'CAL4'!A:A,0)+1,3,4,1,"CAL4")),0)</f>
        <v>0</v>
      </c>
      <c r="W272" s="20" t="str">
        <f ca="1">IF(CALC2223!BA272&gt;2,INDIRECT(ADDRESS(MATCH(Agenda2526!C273,'CAL4'!A:A,0)+2,2,4,1,"CAL4")),"")</f>
        <v/>
      </c>
      <c r="X272" s="21">
        <f ca="1">IF(CALC2223!BA272&gt;2,INDIRECT(ADDRESS(MATCH(Agenda2526!C273,'CAL4'!A:A,0)+2,3,4,1,"CAL4")),0)</f>
        <v>0</v>
      </c>
      <c r="Y272" s="20" t="str">
        <f ca="1">IF(CALC2223!BB272&gt;0,INDIRECT(ADDRESS(MATCH(Agenda2526!C273,'CAL5'!A:A,0),2,4,1,"CAL5")),"")</f>
        <v/>
      </c>
      <c r="Z272" s="21">
        <f ca="1">IF(CALC2223!BB272&gt;0,INDIRECT(ADDRESS(MATCH(Agenda2526!C273,'CAL5'!A:A,0),3,4,1,"CAL5")),0)</f>
        <v>0</v>
      </c>
      <c r="AA272" s="20" t="str">
        <f ca="1">IF(CALC2223!BB272&gt;1,INDIRECT(ADDRESS(MATCH(Agenda2526!C273,'CAL5'!A:A,0)+1,2,4,1,"CAL5")),"")</f>
        <v/>
      </c>
      <c r="AB272" s="21">
        <f ca="1">IF(CALC2223!BB272&gt;1,INDIRECT(ADDRESS(MATCH(Agenda2526!C273,'CAL5'!A:A,0)+1,3,4,1,"CAL5")),0)</f>
        <v>0</v>
      </c>
      <c r="AC272" s="20" t="str">
        <f ca="1">IF(CALC2223!BB272&gt;2,INDIRECT(ADDRESS(MATCH(Agenda2526!C273,'CAL5'!A:A,0)+2,2,4,1,"CAL5")),"")</f>
        <v/>
      </c>
      <c r="AD272" s="21">
        <f ca="1">IF(CALC2223!BB272&gt;2,INDIRECT(ADDRESS(MATCH(Agenda2526!C273,'CAL5'!A:A,0)+2,3,4,1,"CAL5")),0)</f>
        <v>0</v>
      </c>
      <c r="AE272" s="20" t="str">
        <f ca="1">IF(CALC2223!BC272&gt;0,INDIRECT(ADDRESS(MATCH(Agenda2526!C273,'CAL6'!A:A,0),2,4,1,"CAL6")),"")</f>
        <v/>
      </c>
      <c r="AF272" s="21">
        <f ca="1">IF(CALC2223!BC272&gt;0,INDIRECT(ADDRESS(MATCH(Agenda2526!C273,'CAL6'!A:A,0),3,4,1,"CAL6")),0)</f>
        <v>0</v>
      </c>
      <c r="AG272" s="20" t="str">
        <f ca="1">IF(CALC2223!BC272&gt;1,INDIRECT(ADDRESS(MATCH(Agenda2526!C273,'CAL6'!A:A,0)+1,2,4,1,"CAL6")),"")</f>
        <v/>
      </c>
      <c r="AH272" s="21">
        <f ca="1">IF(CALC2223!BC272&gt;1,INDIRECT(ADDRESS(MATCH(Agenda2526!C273,'CAL6'!A:A,0)+1,3,4,1,"CAL6")),0)</f>
        <v>0</v>
      </c>
      <c r="AI272" s="20" t="str">
        <f ca="1">IF(CALC2223!BC272&gt;2,INDIRECT(ADDRESS(MATCH(Agenda2526!C273,'CAL6'!A:A,0)+2,2,4,1,"CAL6")),"")</f>
        <v/>
      </c>
      <c r="AJ272" s="21">
        <f ca="1">IF(CALC2223!BC272&gt;2,INDIRECT(ADDRESS(MATCH(Agenda2526!C273,'CAL6'!A:A,0)+2,3,4,1,"CAL6")),0)</f>
        <v>0</v>
      </c>
      <c r="AK272" s="20" t="str">
        <f ca="1">IF(CALC2223!BD272&gt;0,INDIRECT(ADDRESS(MATCH(Agenda2526!C273,'CAL7'!A:A,0),2,4,1,"CAL7")),"")</f>
        <v/>
      </c>
      <c r="AL272" s="21">
        <f ca="1">IF(CALC2223!BD272&gt;0,INDIRECT(ADDRESS(MATCH(Agenda2526!C273,'CAL7'!A:A,0),3,4,1,"CAL7")),0)</f>
        <v>0</v>
      </c>
      <c r="AM272" s="20" t="str">
        <f ca="1">IF(CALC2223!BD272&gt;1,INDIRECT(ADDRESS(MATCH(Agenda2526!C273,'CAL7'!A:A,0)+1,2,4,1,"CAL7")),"")</f>
        <v/>
      </c>
      <c r="AN272" s="21">
        <f ca="1">IF(CALC2223!BD272&gt;1,INDIRECT(ADDRESS(MATCH(Agenda2526!C273,'CAL7'!A:A,0)+1,3,4,1,"CAL7")),0)</f>
        <v>0</v>
      </c>
      <c r="AO272" s="20" t="str">
        <f ca="1">IF(CALC2223!BD272&gt;2,INDIRECT(ADDRESS(MATCH(Agenda2526!C273,'CAL7'!A:A,0)+2,2,4,1,"CAL7")),"")</f>
        <v/>
      </c>
      <c r="AP272" s="21">
        <f ca="1">IF(CALC2223!BD272&gt;2,INDIRECT(ADDRESS(MATCH(Agenda2526!C273,'CAL7'!A:A,0)+2,3,4,1,"CAL7")),0)</f>
        <v>0</v>
      </c>
      <c r="AQ272" s="20" t="str">
        <f ca="1">IF(CALC2223!BE272&gt;0,INDIRECT(ADDRESS(MATCH(Agenda2526!C273,'CAL8'!A:A,0),2,4,1,"CAL8")),"")</f>
        <v/>
      </c>
      <c r="AR272" s="21">
        <f ca="1">IF(CALC2223!BE272&gt;0,INDIRECT(ADDRESS(MATCH(Agenda2526!C273,'CAL8'!A:A,0),3,4,1,"CAL8")),0)</f>
        <v>0</v>
      </c>
      <c r="AS272" s="20" t="str">
        <f ca="1">IF(CALC2223!BE272&gt;1,INDIRECT(ADDRESS(MATCH(Agenda2526!C273,'CAL8'!A:A,0)+1,2,4,1,"CAL8")),"")</f>
        <v/>
      </c>
      <c r="AT272" s="21">
        <f ca="1">IF(CALC2223!BE272&gt;1,INDIRECT(ADDRESS(MATCH(Agenda2526!C273,'CAL8'!A:A,0)+1,3,4,1,"CAL8")),0)</f>
        <v>0</v>
      </c>
      <c r="AU272" s="20" t="str">
        <f ca="1">IF(CALC2223!BE272&gt;2,INDIRECT(ADDRESS(MATCH(Agenda2526!C273,'CAL8'!A:A,0)+2,2,4,1,"CAL8")),"")</f>
        <v/>
      </c>
      <c r="AV272" s="21">
        <f ca="1">IF(CALC2223!BE272&gt;2,INDIRECT(ADDRESS(MATCH(Agenda2526!C273,'CAL8'!A:A,0)+2,3,4,1,"CAL8")),0)</f>
        <v>0</v>
      </c>
      <c r="AW272" s="105"/>
      <c r="AX272" s="20">
        <f>COUNTIF('CAL1'!A:A,Agenda2526!C273)</f>
        <v>0</v>
      </c>
      <c r="AY272" s="20">
        <f>COUNTIF('CAL2'!A:A,Agenda2526!C273)</f>
        <v>1</v>
      </c>
      <c r="AZ272" s="20">
        <f>COUNTIF('CAL3'!A:A,Agenda2526!C273)</f>
        <v>0</v>
      </c>
      <c r="BA272" s="20">
        <f>COUNTIF('CAL4'!A:A,Agenda2526!C273)</f>
        <v>1</v>
      </c>
      <c r="BB272" s="20">
        <f>COUNTIF('CAL5'!A:A,Agenda2526!C273)</f>
        <v>0</v>
      </c>
      <c r="BC272" s="20">
        <f>COUNTIF('CAL6'!A:A,Agenda2526!C273)</f>
        <v>0</v>
      </c>
      <c r="BD272" s="20">
        <f>COUNTIF('CAL7'!A:A,Agenda2526!C273)</f>
        <v>0</v>
      </c>
      <c r="BE272" s="20">
        <f>COUNTIF('CAL8'!A:A,Agenda2526!C273)</f>
        <v>0</v>
      </c>
    </row>
    <row r="273" spans="1:57" ht="15.75" customHeight="1">
      <c r="A273" s="20" t="str">
        <f ca="1">IF(CALC2223!AX273&gt;0,INDIRECT(ADDRESS(MATCH(Agenda2526!C274,'CAL1'!A:A,0),2,4,1,"CAL1")),"")</f>
        <v/>
      </c>
      <c r="B273" s="21">
        <f ca="1">IF(CALC2223!AX273&gt;0,INDIRECT(ADDRESS(MATCH(Agenda2526!C274,'CAL1'!A:A,0),3,4,1,"CAL1")),0)</f>
        <v>0</v>
      </c>
      <c r="C273" s="20" t="str">
        <f ca="1">IF(CALC2223!AX273&gt;1,INDIRECT(ADDRESS(MATCH(Agenda2526!C274,'CAL1'!A:A,0)+1,2,4,1,"CAL1")),"")</f>
        <v/>
      </c>
      <c r="D273" s="21">
        <f ca="1">IF(CALC2223!AX273&gt;1,INDIRECT(ADDRESS(MATCH(Agenda2526!C274,'CAL1'!A:A,0)+1,3,4,1,"CAL1")),0)</f>
        <v>0</v>
      </c>
      <c r="E273" s="20" t="str">
        <f ca="1">IF(CALC2223!AX273&gt;2,INDIRECT(ADDRESS(MATCH(Agenda2526!C274,'CAL1'!A:A,0)+2,2,4,1,"CAL1")),"")</f>
        <v/>
      </c>
      <c r="F273" s="21">
        <f ca="1">IF(CALC2223!AX273&gt;2,INDIRECT(ADDRESS(MATCH(Agenda2526!C274,'CAL1'!A:A,0)+2,3,4,1,"CAL1")),0)</f>
        <v>0</v>
      </c>
      <c r="G273" s="20" t="str">
        <f ca="1">IF(CALC2223!AY273&gt;0,INDIRECT(ADDRESS(MATCH(Agenda2526!C274,'CAL2'!A:A,0),2,4,1,"CAL2")),"")</f>
        <v/>
      </c>
      <c r="H273" s="21">
        <f ca="1">IF(CALC2223!AY273&gt;0,INDIRECT(ADDRESS(MATCH(Agenda2526!C274,'CAL2'!A:A,0),3,4,1,"CAL2")),0)</f>
        <v>0</v>
      </c>
      <c r="I273" s="20" t="str">
        <f ca="1">IF(CALC2223!AY273&gt;1,INDIRECT(ADDRESS(MATCH(Agenda2526!C274,'CAL2'!A:A,0)+1,2,4,1,"CAL2")),"")</f>
        <v/>
      </c>
      <c r="J273" s="21">
        <f ca="1">IF(CALC2223!AY273&gt;1,INDIRECT(ADDRESS(MATCH(Agenda2526!C274,'CAL2'!A:A,0)+1,3,4,1,"CAL2")),0)</f>
        <v>0</v>
      </c>
      <c r="K273" s="20" t="str">
        <f ca="1">IF(CALC2223!AY273&gt;2,INDIRECT(ADDRESS(MATCH(Agenda2526!C274,'CAL2'!A:A,0)+2,2,4,1,"CAL2")),"")</f>
        <v/>
      </c>
      <c r="L273" s="21">
        <f ca="1">IF(CALC2223!AY273&gt;2,INDIRECT(ADDRESS(MATCH(Agenda2526!C274,'CAL2'!A:A,0)+2,3,4,1,"CAL2")),0)</f>
        <v>0</v>
      </c>
      <c r="M273" s="20" t="str">
        <f ca="1">IF(CALC2223!AZ273&gt;0,INDIRECT(ADDRESS(MATCH(Agenda2526!C274,'CAL3'!A:A,0),2,4,1,"CAL3")),"")</f>
        <v/>
      </c>
      <c r="N273" s="21">
        <f ca="1">IF(CALC2223!AZ273&gt;0,INDIRECT(ADDRESS(MATCH(Agenda2526!C274,'CAL3'!A:A,0),3,4,1,"CAL3")),0)</f>
        <v>0</v>
      </c>
      <c r="O273" s="20" t="str">
        <f ca="1">IF(CALC2223!AZ273&gt;1,INDIRECT(ADDRESS(MATCH(Agenda2526!C274,'CAL3'!A:A,0)+1,2,4,1,"CAL3")),"")</f>
        <v/>
      </c>
      <c r="P273" s="21">
        <f ca="1">IF(CALC2223!AZ273&gt;1,INDIRECT(ADDRESS(MATCH(Agenda2526!C274,'CAL3'!A:A,0)+1,3,4,1,"CAL3")),0)</f>
        <v>0</v>
      </c>
      <c r="Q273" s="20" t="str">
        <f ca="1">IF(CALC2223!AZ273&gt;2,INDIRECT(ADDRESS(MATCH(Agenda2526!C274,'CAL3'!A:A,0)+2,2,4,1,"CAL3")),"")</f>
        <v/>
      </c>
      <c r="R273" s="21">
        <f ca="1">IF(CALC2223!AZ273&gt;2,INDIRECT(ADDRESS(MATCH(Agenda2526!C274,'CAL3'!A:A,0)+2,3,4,1,"CAL3")),0)</f>
        <v>0</v>
      </c>
      <c r="S273" s="20" t="str">
        <f ca="1">IF(CALC2223!BA273&gt;0,INDIRECT(ADDRESS(MATCH(Agenda2526!C274,'CAL4'!A:A,0),2,4,1,"CAL4")),"")</f>
        <v/>
      </c>
      <c r="T273" s="21">
        <f ca="1">IF(CALC2223!BA273&gt;0,INDIRECT(ADDRESS(MATCH(Agenda2526!C274,'CAL4'!A:A,0),3,4,1,"CAL4")),0)</f>
        <v>0</v>
      </c>
      <c r="U273" s="20" t="str">
        <f ca="1">IF(CALC2223!BA273&gt;1,INDIRECT(ADDRESS(MATCH(Agenda2526!C274,'CAL4'!A:A,0)+1,2,4,1,"CAL4")),"")</f>
        <v/>
      </c>
      <c r="V273" s="21">
        <f ca="1">IF(CALC2223!BA273&gt;1,INDIRECT(ADDRESS(MATCH(Agenda2526!C274,'CAL4'!A:A,0)+1,3,4,1,"CAL4")),0)</f>
        <v>0</v>
      </c>
      <c r="W273" s="20" t="str">
        <f ca="1">IF(CALC2223!BA273&gt;2,INDIRECT(ADDRESS(MATCH(Agenda2526!C274,'CAL4'!A:A,0)+2,2,4,1,"CAL4")),"")</f>
        <v/>
      </c>
      <c r="X273" s="21">
        <f ca="1">IF(CALC2223!BA273&gt;2,INDIRECT(ADDRESS(MATCH(Agenda2526!C274,'CAL4'!A:A,0)+2,3,4,1,"CAL4")),0)</f>
        <v>0</v>
      </c>
      <c r="Y273" s="20" t="str">
        <f ca="1">IF(CALC2223!BB273&gt;0,INDIRECT(ADDRESS(MATCH(Agenda2526!C274,'CAL5'!A:A,0),2,4,1,"CAL5")),"")</f>
        <v/>
      </c>
      <c r="Z273" s="21">
        <f ca="1">IF(CALC2223!BB273&gt;0,INDIRECT(ADDRESS(MATCH(Agenda2526!C274,'CAL5'!A:A,0),3,4,1,"CAL5")),0)</f>
        <v>0</v>
      </c>
      <c r="AA273" s="20" t="str">
        <f ca="1">IF(CALC2223!BB273&gt;1,INDIRECT(ADDRESS(MATCH(Agenda2526!C274,'CAL5'!A:A,0)+1,2,4,1,"CAL5")),"")</f>
        <v/>
      </c>
      <c r="AB273" s="21">
        <f ca="1">IF(CALC2223!BB273&gt;1,INDIRECT(ADDRESS(MATCH(Agenda2526!C274,'CAL5'!A:A,0)+1,3,4,1,"CAL5")),0)</f>
        <v>0</v>
      </c>
      <c r="AC273" s="20" t="str">
        <f ca="1">IF(CALC2223!BB273&gt;2,INDIRECT(ADDRESS(MATCH(Agenda2526!C274,'CAL5'!A:A,0)+2,2,4,1,"CAL5")),"")</f>
        <v/>
      </c>
      <c r="AD273" s="21">
        <f ca="1">IF(CALC2223!BB273&gt;2,INDIRECT(ADDRESS(MATCH(Agenda2526!C274,'CAL5'!A:A,0)+2,3,4,1,"CAL5")),0)</f>
        <v>0</v>
      </c>
      <c r="AE273" s="20" t="str">
        <f ca="1">IF(CALC2223!BC273&gt;0,INDIRECT(ADDRESS(MATCH(Agenda2526!C274,'CAL6'!A:A,0),2,4,1,"CAL6")),"")</f>
        <v/>
      </c>
      <c r="AF273" s="21">
        <f ca="1">IF(CALC2223!BC273&gt;0,INDIRECT(ADDRESS(MATCH(Agenda2526!C274,'CAL6'!A:A,0),3,4,1,"CAL6")),0)</f>
        <v>0</v>
      </c>
      <c r="AG273" s="20" t="str">
        <f ca="1">IF(CALC2223!BC273&gt;1,INDIRECT(ADDRESS(MATCH(Agenda2526!C274,'CAL6'!A:A,0)+1,2,4,1,"CAL6")),"")</f>
        <v/>
      </c>
      <c r="AH273" s="21">
        <f ca="1">IF(CALC2223!BC273&gt;1,INDIRECT(ADDRESS(MATCH(Agenda2526!C274,'CAL6'!A:A,0)+1,3,4,1,"CAL6")),0)</f>
        <v>0</v>
      </c>
      <c r="AI273" s="20" t="str">
        <f ca="1">IF(CALC2223!BC273&gt;2,INDIRECT(ADDRESS(MATCH(Agenda2526!C274,'CAL6'!A:A,0)+2,2,4,1,"CAL6")),"")</f>
        <v/>
      </c>
      <c r="AJ273" s="21">
        <f ca="1">IF(CALC2223!BC273&gt;2,INDIRECT(ADDRESS(MATCH(Agenda2526!C274,'CAL6'!A:A,0)+2,3,4,1,"CAL6")),0)</f>
        <v>0</v>
      </c>
      <c r="AK273" s="20" t="str">
        <f ca="1">IF(CALC2223!BD273&gt;0,INDIRECT(ADDRESS(MATCH(Agenda2526!C274,'CAL7'!A:A,0),2,4,1,"CAL7")),"")</f>
        <v/>
      </c>
      <c r="AL273" s="21">
        <f ca="1">IF(CALC2223!BD273&gt;0,INDIRECT(ADDRESS(MATCH(Agenda2526!C274,'CAL7'!A:A,0),3,4,1,"CAL7")),0)</f>
        <v>0</v>
      </c>
      <c r="AM273" s="20" t="str">
        <f ca="1">IF(CALC2223!BD273&gt;1,INDIRECT(ADDRESS(MATCH(Agenda2526!C274,'CAL7'!A:A,0)+1,2,4,1,"CAL7")),"")</f>
        <v/>
      </c>
      <c r="AN273" s="21">
        <f ca="1">IF(CALC2223!BD273&gt;1,INDIRECT(ADDRESS(MATCH(Agenda2526!C274,'CAL7'!A:A,0)+1,3,4,1,"CAL7")),0)</f>
        <v>0</v>
      </c>
      <c r="AO273" s="20" t="str">
        <f ca="1">IF(CALC2223!BD273&gt;2,INDIRECT(ADDRESS(MATCH(Agenda2526!C274,'CAL7'!A:A,0)+2,2,4,1,"CAL7")),"")</f>
        <v/>
      </c>
      <c r="AP273" s="21">
        <f ca="1">IF(CALC2223!BD273&gt;2,INDIRECT(ADDRESS(MATCH(Agenda2526!C274,'CAL7'!A:A,0)+2,3,4,1,"CAL7")),0)</f>
        <v>0</v>
      </c>
      <c r="AQ273" s="20" t="str">
        <f ca="1">IF(CALC2223!BE273&gt;0,INDIRECT(ADDRESS(MATCH(Agenda2526!C274,'CAL8'!A:A,0),2,4,1,"CAL8")),"")</f>
        <v/>
      </c>
      <c r="AR273" s="21">
        <f ca="1">IF(CALC2223!BE273&gt;0,INDIRECT(ADDRESS(MATCH(Agenda2526!C274,'CAL8'!A:A,0),3,4,1,"CAL8")),0)</f>
        <v>0</v>
      </c>
      <c r="AS273" s="20" t="str">
        <f ca="1">IF(CALC2223!BE273&gt;1,INDIRECT(ADDRESS(MATCH(Agenda2526!C274,'CAL8'!A:A,0)+1,2,4,1,"CAL8")),"")</f>
        <v/>
      </c>
      <c r="AT273" s="21">
        <f ca="1">IF(CALC2223!BE273&gt;1,INDIRECT(ADDRESS(MATCH(Agenda2526!C274,'CAL8'!A:A,0)+1,3,4,1,"CAL8")),0)</f>
        <v>0</v>
      </c>
      <c r="AU273" s="20" t="str">
        <f ca="1">IF(CALC2223!BE273&gt;2,INDIRECT(ADDRESS(MATCH(Agenda2526!C274,'CAL8'!A:A,0)+2,2,4,1,"CAL8")),"")</f>
        <v/>
      </c>
      <c r="AV273" s="21">
        <f ca="1">IF(CALC2223!BE273&gt;2,INDIRECT(ADDRESS(MATCH(Agenda2526!C274,'CAL8'!A:A,0)+2,3,4,1,"CAL8")),0)</f>
        <v>0</v>
      </c>
      <c r="AW273" s="106"/>
      <c r="AX273" s="20">
        <f>COUNTIF('CAL1'!A:A,Agenda2526!C274)</f>
        <v>0</v>
      </c>
      <c r="AY273" s="20">
        <f>COUNTIF('CAL2'!A:A,Agenda2526!C274)</f>
        <v>0</v>
      </c>
      <c r="AZ273" s="20">
        <f>COUNTIF('CAL3'!A:A,Agenda2526!C274)</f>
        <v>0</v>
      </c>
      <c r="BA273" s="20">
        <f>COUNTIF('CAL4'!A:A,Agenda2526!C274)</f>
        <v>0</v>
      </c>
      <c r="BB273" s="20">
        <f>COUNTIF('CAL5'!A:A,Agenda2526!C274)</f>
        <v>0</v>
      </c>
      <c r="BC273" s="20">
        <f>COUNTIF('CAL6'!A:A,Agenda2526!C274)</f>
        <v>0</v>
      </c>
      <c r="BD273" s="20">
        <f>COUNTIF('CAL7'!A:A,Agenda2526!C274)</f>
        <v>0</v>
      </c>
      <c r="BE273" s="20">
        <f>COUNTIF('CAL8'!A:A,Agenda2526!C274)</f>
        <v>0</v>
      </c>
    </row>
    <row r="274" spans="1:57" ht="15.75" customHeight="1">
      <c r="A274" s="20" t="str">
        <f ca="1">IF(CALC2223!AX274&gt;0,INDIRECT(ADDRESS(MATCH(Agenda2526!C275,'CAL1'!A:A,0),2,4,1,"CAL1")),"")</f>
        <v/>
      </c>
      <c r="B274" s="21">
        <f ca="1">IF(CALC2223!AX274&gt;0,INDIRECT(ADDRESS(MATCH(Agenda2526!C275,'CAL1'!A:A,0),3,4,1,"CAL1")),0)</f>
        <v>0</v>
      </c>
      <c r="C274" s="20" t="str">
        <f ca="1">IF(CALC2223!AX274&gt;1,INDIRECT(ADDRESS(MATCH(Agenda2526!C275,'CAL1'!A:A,0)+1,2,4,1,"CAL1")),"")</f>
        <v/>
      </c>
      <c r="D274" s="21">
        <f ca="1">IF(CALC2223!AX274&gt;1,INDIRECT(ADDRESS(MATCH(Agenda2526!C275,'CAL1'!A:A,0)+1,3,4,1,"CAL1")),0)</f>
        <v>0</v>
      </c>
      <c r="E274" s="20" t="str">
        <f ca="1">IF(CALC2223!AX274&gt;2,INDIRECT(ADDRESS(MATCH(Agenda2526!C275,'CAL1'!A:A,0)+2,2,4,1,"CAL1")),"")</f>
        <v/>
      </c>
      <c r="F274" s="21">
        <f ca="1">IF(CALC2223!AX274&gt;2,INDIRECT(ADDRESS(MATCH(Agenda2526!C275,'CAL1'!A:A,0)+2,3,4,1,"CAL1")),0)</f>
        <v>0</v>
      </c>
      <c r="G274" s="20" t="str">
        <f ca="1">IF(CALC2223!AY274&gt;0,INDIRECT(ADDRESS(MATCH(Agenda2526!C275,'CAL2'!A:A,0),2,4,1,"CAL2")),"")</f>
        <v/>
      </c>
      <c r="H274" s="21">
        <f ca="1">IF(CALC2223!AY274&gt;0,INDIRECT(ADDRESS(MATCH(Agenda2526!C275,'CAL2'!A:A,0),3,4,1,"CAL2")),0)</f>
        <v>0</v>
      </c>
      <c r="I274" s="20" t="str">
        <f ca="1">IF(CALC2223!AY274&gt;1,INDIRECT(ADDRESS(MATCH(Agenda2526!C275,'CAL2'!A:A,0)+1,2,4,1,"CAL2")),"")</f>
        <v/>
      </c>
      <c r="J274" s="21">
        <f ca="1">IF(CALC2223!AY274&gt;1,INDIRECT(ADDRESS(MATCH(Agenda2526!C275,'CAL2'!A:A,0)+1,3,4,1,"CAL2")),0)</f>
        <v>0</v>
      </c>
      <c r="K274" s="20" t="str">
        <f ca="1">IF(CALC2223!AY274&gt;2,INDIRECT(ADDRESS(MATCH(Agenda2526!C275,'CAL2'!A:A,0)+2,2,4,1,"CAL2")),"")</f>
        <v/>
      </c>
      <c r="L274" s="21">
        <f ca="1">IF(CALC2223!AY274&gt;2,INDIRECT(ADDRESS(MATCH(Agenda2526!C275,'CAL2'!A:A,0)+2,3,4,1,"CAL2")),0)</f>
        <v>0</v>
      </c>
      <c r="M274" s="20" t="str">
        <f ca="1">IF(CALC2223!AZ274&gt;0,INDIRECT(ADDRESS(MATCH(Agenda2526!C275,'CAL3'!A:A,0),2,4,1,"CAL3")),"")</f>
        <v/>
      </c>
      <c r="N274" s="21">
        <f ca="1">IF(CALC2223!AZ274&gt;0,INDIRECT(ADDRESS(MATCH(Agenda2526!C275,'CAL3'!A:A,0),3,4,1,"CAL3")),0)</f>
        <v>0</v>
      </c>
      <c r="O274" s="20" t="str">
        <f ca="1">IF(CALC2223!AZ274&gt;1,INDIRECT(ADDRESS(MATCH(Agenda2526!C275,'CAL3'!A:A,0)+1,2,4,1,"CAL3")),"")</f>
        <v/>
      </c>
      <c r="P274" s="21">
        <f ca="1">IF(CALC2223!AZ274&gt;1,INDIRECT(ADDRESS(MATCH(Agenda2526!C275,'CAL3'!A:A,0)+1,3,4,1,"CAL3")),0)</f>
        <v>0</v>
      </c>
      <c r="Q274" s="20" t="str">
        <f ca="1">IF(CALC2223!AZ274&gt;2,INDIRECT(ADDRESS(MATCH(Agenda2526!C275,'CAL3'!A:A,0)+2,2,4,1,"CAL3")),"")</f>
        <v/>
      </c>
      <c r="R274" s="21">
        <f ca="1">IF(CALC2223!AZ274&gt;2,INDIRECT(ADDRESS(MATCH(Agenda2526!C275,'CAL3'!A:A,0)+2,3,4,1,"CAL3")),0)</f>
        <v>0</v>
      </c>
      <c r="S274" s="20" t="str">
        <f ca="1">IF(CALC2223!BA274&gt;0,INDIRECT(ADDRESS(MATCH(Agenda2526!C275,'CAL4'!A:A,0),2,4,1,"CAL4")),"")</f>
        <v/>
      </c>
      <c r="T274" s="21">
        <f ca="1">IF(CALC2223!BA274&gt;0,INDIRECT(ADDRESS(MATCH(Agenda2526!C275,'CAL4'!A:A,0),3,4,1,"CAL4")),0)</f>
        <v>0</v>
      </c>
      <c r="U274" s="20" t="str">
        <f ca="1">IF(CALC2223!BA274&gt;1,INDIRECT(ADDRESS(MATCH(Agenda2526!C275,'CAL4'!A:A,0)+1,2,4,1,"CAL4")),"")</f>
        <v/>
      </c>
      <c r="V274" s="21">
        <f ca="1">IF(CALC2223!BA274&gt;1,INDIRECT(ADDRESS(MATCH(Agenda2526!C275,'CAL4'!A:A,0)+1,3,4,1,"CAL4")),0)</f>
        <v>0</v>
      </c>
      <c r="W274" s="20" t="str">
        <f ca="1">IF(CALC2223!BA274&gt;2,INDIRECT(ADDRESS(MATCH(Agenda2526!C275,'CAL4'!A:A,0)+2,2,4,1,"CAL4")),"")</f>
        <v/>
      </c>
      <c r="X274" s="21">
        <f ca="1">IF(CALC2223!BA274&gt;2,INDIRECT(ADDRESS(MATCH(Agenda2526!C275,'CAL4'!A:A,0)+2,3,4,1,"CAL4")),0)</f>
        <v>0</v>
      </c>
      <c r="Y274" s="20" t="str">
        <f ca="1">IF(CALC2223!BB274&gt;0,INDIRECT(ADDRESS(MATCH(Agenda2526!C275,'CAL5'!A:A,0),2,4,1,"CAL5")),"")</f>
        <v/>
      </c>
      <c r="Z274" s="21">
        <f ca="1">IF(CALC2223!BB274&gt;0,INDIRECT(ADDRESS(MATCH(Agenda2526!C275,'CAL5'!A:A,0),3,4,1,"CAL5")),0)</f>
        <v>0</v>
      </c>
      <c r="AA274" s="20" t="str">
        <f ca="1">IF(CALC2223!BB274&gt;1,INDIRECT(ADDRESS(MATCH(Agenda2526!C275,'CAL5'!A:A,0)+1,2,4,1,"CAL5")),"")</f>
        <v/>
      </c>
      <c r="AB274" s="21">
        <f ca="1">IF(CALC2223!BB274&gt;1,INDIRECT(ADDRESS(MATCH(Agenda2526!C275,'CAL5'!A:A,0)+1,3,4,1,"CAL5")),0)</f>
        <v>0</v>
      </c>
      <c r="AC274" s="20" t="str">
        <f ca="1">IF(CALC2223!BB274&gt;2,INDIRECT(ADDRESS(MATCH(Agenda2526!C275,'CAL5'!A:A,0)+2,2,4,1,"CAL5")),"")</f>
        <v/>
      </c>
      <c r="AD274" s="21">
        <f ca="1">IF(CALC2223!BB274&gt;2,INDIRECT(ADDRESS(MATCH(Agenda2526!C275,'CAL5'!A:A,0)+2,3,4,1,"CAL5")),0)</f>
        <v>0</v>
      </c>
      <c r="AE274" s="20" t="str">
        <f ca="1">IF(CALC2223!BC274&gt;0,INDIRECT(ADDRESS(MATCH(Agenda2526!C275,'CAL6'!A:A,0),2,4,1,"CAL6")),"")</f>
        <v/>
      </c>
      <c r="AF274" s="21">
        <f ca="1">IF(CALC2223!BC274&gt;0,INDIRECT(ADDRESS(MATCH(Agenda2526!C275,'CAL6'!A:A,0),3,4,1,"CAL6")),0)</f>
        <v>0</v>
      </c>
      <c r="AG274" s="20" t="str">
        <f ca="1">IF(CALC2223!BC274&gt;1,INDIRECT(ADDRESS(MATCH(Agenda2526!C275,'CAL6'!A:A,0)+1,2,4,1,"CAL6")),"")</f>
        <v/>
      </c>
      <c r="AH274" s="21">
        <f ca="1">IF(CALC2223!BC274&gt;1,INDIRECT(ADDRESS(MATCH(Agenda2526!C275,'CAL6'!A:A,0)+1,3,4,1,"CAL6")),0)</f>
        <v>0</v>
      </c>
      <c r="AI274" s="20" t="str">
        <f ca="1">IF(CALC2223!BC274&gt;2,INDIRECT(ADDRESS(MATCH(Agenda2526!C275,'CAL6'!A:A,0)+2,2,4,1,"CAL6")),"")</f>
        <v/>
      </c>
      <c r="AJ274" s="21">
        <f ca="1">IF(CALC2223!BC274&gt;2,INDIRECT(ADDRESS(MATCH(Agenda2526!C275,'CAL6'!A:A,0)+2,3,4,1,"CAL6")),0)</f>
        <v>0</v>
      </c>
      <c r="AK274" s="20" t="str">
        <f ca="1">IF(CALC2223!BD274&gt;0,INDIRECT(ADDRESS(MATCH(Agenda2526!C275,'CAL7'!A:A,0),2,4,1,"CAL7")),"")</f>
        <v/>
      </c>
      <c r="AL274" s="21">
        <f ca="1">IF(CALC2223!BD274&gt;0,INDIRECT(ADDRESS(MATCH(Agenda2526!C275,'CAL7'!A:A,0),3,4,1,"CAL7")),0)</f>
        <v>0</v>
      </c>
      <c r="AM274" s="20" t="str">
        <f ca="1">IF(CALC2223!BD274&gt;1,INDIRECT(ADDRESS(MATCH(Agenda2526!C275,'CAL7'!A:A,0)+1,2,4,1,"CAL7")),"")</f>
        <v/>
      </c>
      <c r="AN274" s="21">
        <f ca="1">IF(CALC2223!BD274&gt;1,INDIRECT(ADDRESS(MATCH(Agenda2526!C275,'CAL7'!A:A,0)+1,3,4,1,"CAL7")),0)</f>
        <v>0</v>
      </c>
      <c r="AO274" s="20" t="str">
        <f ca="1">IF(CALC2223!BD274&gt;2,INDIRECT(ADDRESS(MATCH(Agenda2526!C275,'CAL7'!A:A,0)+2,2,4,1,"CAL7")),"")</f>
        <v/>
      </c>
      <c r="AP274" s="21">
        <f ca="1">IF(CALC2223!BD274&gt;2,INDIRECT(ADDRESS(MATCH(Agenda2526!C275,'CAL7'!A:A,0)+2,3,4,1,"CAL7")),0)</f>
        <v>0</v>
      </c>
      <c r="AQ274" s="20" t="str">
        <f ca="1">IF(CALC2223!BE274&gt;0,INDIRECT(ADDRESS(MATCH(Agenda2526!C275,'CAL8'!A:A,0),2,4,1,"CAL8")),"")</f>
        <v/>
      </c>
      <c r="AR274" s="21">
        <f ca="1">IF(CALC2223!BE274&gt;0,INDIRECT(ADDRESS(MATCH(Agenda2526!C275,'CAL8'!A:A,0),3,4,1,"CAL8")),0)</f>
        <v>0</v>
      </c>
      <c r="AS274" s="20" t="str">
        <f ca="1">IF(CALC2223!BE274&gt;1,INDIRECT(ADDRESS(MATCH(Agenda2526!C275,'CAL8'!A:A,0)+1,2,4,1,"CAL8")),"")</f>
        <v/>
      </c>
      <c r="AT274" s="21">
        <f ca="1">IF(CALC2223!BE274&gt;1,INDIRECT(ADDRESS(MATCH(Agenda2526!C275,'CAL8'!A:A,0)+1,3,4,1,"CAL8")),0)</f>
        <v>0</v>
      </c>
      <c r="AU274" s="20" t="str">
        <f ca="1">IF(CALC2223!BE274&gt;2,INDIRECT(ADDRESS(MATCH(Agenda2526!C275,'CAL8'!A:A,0)+2,2,4,1,"CAL8")),"")</f>
        <v/>
      </c>
      <c r="AV274" s="21">
        <f ca="1">IF(CALC2223!BE274&gt;2,INDIRECT(ADDRESS(MATCH(Agenda2526!C275,'CAL8'!A:A,0)+2,3,4,1,"CAL8")),0)</f>
        <v>0</v>
      </c>
      <c r="AW274" s="106"/>
      <c r="AX274" s="20">
        <f>COUNTIF('CAL1'!A:A,Agenda2526!C275)</f>
        <v>0</v>
      </c>
      <c r="AY274" s="20">
        <f>COUNTIF('CAL2'!A:A,Agenda2526!C275)</f>
        <v>0</v>
      </c>
      <c r="AZ274" s="20">
        <f>COUNTIF('CAL3'!A:A,Agenda2526!C275)</f>
        <v>0</v>
      </c>
      <c r="BA274" s="20">
        <f>COUNTIF('CAL4'!A:A,Agenda2526!C275)</f>
        <v>0</v>
      </c>
      <c r="BB274" s="20">
        <f>COUNTIF('CAL5'!A:A,Agenda2526!C275)</f>
        <v>0</v>
      </c>
      <c r="BC274" s="20">
        <f>COUNTIF('CAL6'!A:A,Agenda2526!C275)</f>
        <v>0</v>
      </c>
      <c r="BD274" s="20">
        <f>COUNTIF('CAL7'!A:A,Agenda2526!C275)</f>
        <v>0</v>
      </c>
      <c r="BE274" s="20">
        <f>COUNTIF('CAL8'!A:A,Agenda2526!C275)</f>
        <v>0</v>
      </c>
    </row>
    <row r="275" spans="1:57" ht="15.75" customHeight="1">
      <c r="A275" s="20" t="str">
        <f ca="1">IF(CALC2223!AX275&gt;0,INDIRECT(ADDRESS(MATCH(Agenda2526!C276,'CAL1'!A:A,0),2,4,1,"CAL1")),"")</f>
        <v/>
      </c>
      <c r="B275" s="21">
        <f ca="1">IF(CALC2223!AX275&gt;0,INDIRECT(ADDRESS(MATCH(Agenda2526!C276,'CAL1'!A:A,0),3,4,1,"CAL1")),0)</f>
        <v>0</v>
      </c>
      <c r="C275" s="20" t="str">
        <f ca="1">IF(CALC2223!AX275&gt;1,INDIRECT(ADDRESS(MATCH(Agenda2526!C276,'CAL1'!A:A,0)+1,2,4,1,"CAL1")),"")</f>
        <v/>
      </c>
      <c r="D275" s="21">
        <f ca="1">IF(CALC2223!AX275&gt;1,INDIRECT(ADDRESS(MATCH(Agenda2526!C276,'CAL1'!A:A,0)+1,3,4,1,"CAL1")),0)</f>
        <v>0</v>
      </c>
      <c r="E275" s="20" t="str">
        <f ca="1">IF(CALC2223!AX275&gt;2,INDIRECT(ADDRESS(MATCH(Agenda2526!C276,'CAL1'!A:A,0)+2,2,4,1,"CAL1")),"")</f>
        <v/>
      </c>
      <c r="F275" s="21">
        <f ca="1">IF(CALC2223!AX275&gt;2,INDIRECT(ADDRESS(MATCH(Agenda2526!C276,'CAL1'!A:A,0)+2,3,4,1,"CAL1")),0)</f>
        <v>0</v>
      </c>
      <c r="G275" s="20" t="str">
        <f ca="1">IF(CALC2223!AY275&gt;0,INDIRECT(ADDRESS(MATCH(Agenda2526!C276,'CAL2'!A:A,0),2,4,1,"CAL2")),"")</f>
        <v/>
      </c>
      <c r="H275" s="21">
        <f ca="1">IF(CALC2223!AY275&gt;0,INDIRECT(ADDRESS(MATCH(Agenda2526!C276,'CAL2'!A:A,0),3,4,1,"CAL2")),0)</f>
        <v>0</v>
      </c>
      <c r="I275" s="20" t="str">
        <f ca="1">IF(CALC2223!AY275&gt;1,INDIRECT(ADDRESS(MATCH(Agenda2526!C276,'CAL2'!A:A,0)+1,2,4,1,"CAL2")),"")</f>
        <v/>
      </c>
      <c r="J275" s="21">
        <f ca="1">IF(CALC2223!AY275&gt;1,INDIRECT(ADDRESS(MATCH(Agenda2526!C276,'CAL2'!A:A,0)+1,3,4,1,"CAL2")),0)</f>
        <v>0</v>
      </c>
      <c r="K275" s="20" t="str">
        <f ca="1">IF(CALC2223!AY275&gt;2,INDIRECT(ADDRESS(MATCH(Agenda2526!C276,'CAL2'!A:A,0)+2,2,4,1,"CAL2")),"")</f>
        <v/>
      </c>
      <c r="L275" s="21">
        <f ca="1">IF(CALC2223!AY275&gt;2,INDIRECT(ADDRESS(MATCH(Agenda2526!C276,'CAL2'!A:A,0)+2,3,4,1,"CAL2")),0)</f>
        <v>0</v>
      </c>
      <c r="M275" s="20" t="str">
        <f ca="1">IF(CALC2223!AZ275&gt;0,INDIRECT(ADDRESS(MATCH(Agenda2526!C276,'CAL3'!A:A,0),2,4,1,"CAL3")),"")</f>
        <v>bezoek leerlingen uit Munster</v>
      </c>
      <c r="N275" s="21">
        <f ca="1">IF(CALC2223!AZ275&gt;0,INDIRECT(ADDRESS(MATCH(Agenda2526!C276,'CAL3'!A:A,0),3,4,1,"CAL3")),0)</f>
        <v>45986</v>
      </c>
      <c r="O275" s="20" t="str">
        <f ca="1">IF(CALC2223!AZ275&gt;1,INDIRECT(ADDRESS(MATCH(Agenda2526!C276,'CAL3'!A:A,0)+1,2,4,1,"CAL3")),"")</f>
        <v/>
      </c>
      <c r="P275" s="21">
        <f ca="1">IF(CALC2223!AZ275&gt;1,INDIRECT(ADDRESS(MATCH(Agenda2526!C276,'CAL3'!A:A,0)+1,3,4,1,"CAL3")),0)</f>
        <v>0</v>
      </c>
      <c r="Q275" s="20" t="str">
        <f ca="1">IF(CALC2223!AZ275&gt;2,INDIRECT(ADDRESS(MATCH(Agenda2526!C276,'CAL3'!A:A,0)+2,2,4,1,"CAL3")),"")</f>
        <v/>
      </c>
      <c r="R275" s="21">
        <f ca="1">IF(CALC2223!AZ275&gt;2,INDIRECT(ADDRESS(MATCH(Agenda2526!C276,'CAL3'!A:A,0)+2,3,4,1,"CAL3")),0)</f>
        <v>0</v>
      </c>
      <c r="S275" s="20" t="str">
        <f ca="1">IF(CALC2223!BA275&gt;0,INDIRECT(ADDRESS(MATCH(Agenda2526!C276,'CAL4'!A:A,0),2,4,1,"CAL4")),"")</f>
        <v>inh rep SK</v>
      </c>
      <c r="T275" s="21">
        <f ca="1">IF(CALC2223!BA275&gt;0,INDIRECT(ADDRESS(MATCH(Agenda2526!C276,'CAL4'!A:A,0),3,4,1,"CAL4")),0)</f>
        <v>45936</v>
      </c>
      <c r="U275" s="20" t="str">
        <f ca="1">IF(CALC2223!BA275&gt;1,INDIRECT(ADDRESS(MATCH(Agenda2526!C276,'CAL4'!A:A,0)+1,2,4,1,"CAL4")),"")</f>
        <v>bezoek leerlingen uit Munster</v>
      </c>
      <c r="V275" s="21">
        <f ca="1">IF(CALC2223!BA275&gt;1,INDIRECT(ADDRESS(MATCH(Agenda2526!C276,'CAL4'!A:A,0)+1,3,4,1,"CAL4")),0)</f>
        <v>45986</v>
      </c>
      <c r="W275" s="20" t="str">
        <f ca="1">IF(CALC2223!BA275&gt;2,INDIRECT(ADDRESS(MATCH(Agenda2526!C276,'CAL4'!A:A,0)+2,2,4,1,"CAL4")),"")</f>
        <v/>
      </c>
      <c r="X275" s="21">
        <f ca="1">IF(CALC2223!BA275&gt;2,INDIRECT(ADDRESS(MATCH(Agenda2526!C276,'CAL4'!A:A,0)+2,3,4,1,"CAL4")),0)</f>
        <v>0</v>
      </c>
      <c r="Y275" s="20" t="str">
        <f ca="1">IF(CALC2223!BB275&gt;0,INDIRECT(ADDRESS(MATCH(Agenda2526!C276,'CAL5'!A:A,0),2,4,1,"CAL5")),"")</f>
        <v>inh SE MAAT</v>
      </c>
      <c r="Z275" s="21">
        <f ca="1">IF(CALC2223!BB275&gt;0,INDIRECT(ADDRESS(MATCH(Agenda2526!C276,'CAL5'!A:A,0),3,4,1,"CAL5")),0)</f>
        <v>45936</v>
      </c>
      <c r="AA275" s="20" t="str">
        <f ca="1">IF(CALC2223!BB275&gt;1,INDIRECT(ADDRESS(MATCH(Agenda2526!C276,'CAL5'!A:A,0)+1,2,4,1,"CAL5")),"")</f>
        <v/>
      </c>
      <c r="AB275" s="21">
        <f ca="1">IF(CALC2223!BB275&gt;1,INDIRECT(ADDRESS(MATCH(Agenda2526!C276,'CAL5'!A:A,0)+1,3,4,1,"CAL5")),0)</f>
        <v>0</v>
      </c>
      <c r="AC275" s="20" t="str">
        <f ca="1">IF(CALC2223!BB275&gt;2,INDIRECT(ADDRESS(MATCH(Agenda2526!C276,'CAL5'!A:A,0)+2,2,4,1,"CAL5")),"")</f>
        <v/>
      </c>
      <c r="AD275" s="21">
        <f ca="1">IF(CALC2223!BB275&gt;2,INDIRECT(ADDRESS(MATCH(Agenda2526!C276,'CAL5'!A:A,0)+2,3,4,1,"CAL5")),0)</f>
        <v>0</v>
      </c>
      <c r="AE275" s="20" t="str">
        <f ca="1">IF(CALC2223!BC275&gt;0,INDIRECT(ADDRESS(MATCH(Agenda2526!C276,'CAL6'!A:A,0),2,4,1,"CAL6")),"")</f>
        <v/>
      </c>
      <c r="AF275" s="21">
        <f ca="1">IF(CALC2223!BC275&gt;0,INDIRECT(ADDRESS(MATCH(Agenda2526!C276,'CAL6'!A:A,0),3,4,1,"CAL6")),0)</f>
        <v>0</v>
      </c>
      <c r="AG275" s="20" t="str">
        <f ca="1">IF(CALC2223!BC275&gt;1,INDIRECT(ADDRESS(MATCH(Agenda2526!C276,'CAL6'!A:A,0)+1,2,4,1,"CAL6")),"")</f>
        <v/>
      </c>
      <c r="AH275" s="21">
        <f ca="1">IF(CALC2223!BC275&gt;1,INDIRECT(ADDRESS(MATCH(Agenda2526!C276,'CAL6'!A:A,0)+1,3,4,1,"CAL6")),0)</f>
        <v>0</v>
      </c>
      <c r="AI275" s="20" t="str">
        <f ca="1">IF(CALC2223!BC275&gt;2,INDIRECT(ADDRESS(MATCH(Agenda2526!C276,'CAL6'!A:A,0)+2,2,4,1,"CAL6")),"")</f>
        <v/>
      </c>
      <c r="AJ275" s="21">
        <f ca="1">IF(CALC2223!BC275&gt;2,INDIRECT(ADDRESS(MATCH(Agenda2526!C276,'CAL6'!A:A,0)+2,3,4,1,"CAL6")),0)</f>
        <v>0</v>
      </c>
      <c r="AK275" s="20" t="str">
        <f ca="1">IF(CALC2223!BD275&gt;0,INDIRECT(ADDRESS(MATCH(Agenda2526!C276,'CAL7'!A:A,0),2,4,1,"CAL7")),"")</f>
        <v/>
      </c>
      <c r="AL275" s="21">
        <f ca="1">IF(CALC2223!BD275&gt;0,INDIRECT(ADDRESS(MATCH(Agenda2526!C276,'CAL7'!A:A,0),3,4,1,"CAL7")),0)</f>
        <v>0</v>
      </c>
      <c r="AM275" s="20" t="str">
        <f ca="1">IF(CALC2223!BD275&gt;1,INDIRECT(ADDRESS(MATCH(Agenda2526!C276,'CAL7'!A:A,0)+1,2,4,1,"CAL7")),"")</f>
        <v/>
      </c>
      <c r="AN275" s="21">
        <f ca="1">IF(CALC2223!BD275&gt;1,INDIRECT(ADDRESS(MATCH(Agenda2526!C276,'CAL7'!A:A,0)+1,3,4,1,"CAL7")),0)</f>
        <v>0</v>
      </c>
      <c r="AO275" s="20" t="str">
        <f ca="1">IF(CALC2223!BD275&gt;2,INDIRECT(ADDRESS(MATCH(Agenda2526!C276,'CAL7'!A:A,0)+2,2,4,1,"CAL7")),"")</f>
        <v/>
      </c>
      <c r="AP275" s="21">
        <f ca="1">IF(CALC2223!BD275&gt;2,INDIRECT(ADDRESS(MATCH(Agenda2526!C276,'CAL7'!A:A,0)+2,3,4,1,"CAL7")),0)</f>
        <v>0</v>
      </c>
      <c r="AQ275" s="20" t="str">
        <f ca="1">IF(CALC2223!BE275&gt;0,INDIRECT(ADDRESS(MATCH(Agenda2526!C276,'CAL8'!A:A,0),2,4,1,"CAL8")),"")</f>
        <v/>
      </c>
      <c r="AR275" s="21">
        <f ca="1">IF(CALC2223!BE275&gt;0,INDIRECT(ADDRESS(MATCH(Agenda2526!C276,'CAL8'!A:A,0),3,4,1,"CAL8")),0)</f>
        <v>0</v>
      </c>
      <c r="AS275" s="20" t="str">
        <f ca="1">IF(CALC2223!BE275&gt;1,INDIRECT(ADDRESS(MATCH(Agenda2526!C276,'CAL8'!A:A,0)+1,2,4,1,"CAL8")),"")</f>
        <v/>
      </c>
      <c r="AT275" s="21">
        <f ca="1">IF(CALC2223!BE275&gt;1,INDIRECT(ADDRESS(MATCH(Agenda2526!C276,'CAL8'!A:A,0)+1,3,4,1,"CAL8")),0)</f>
        <v>0</v>
      </c>
      <c r="AU275" s="20" t="str">
        <f ca="1">IF(CALC2223!BE275&gt;2,INDIRECT(ADDRESS(MATCH(Agenda2526!C276,'CAL8'!A:A,0)+2,2,4,1,"CAL8")),"")</f>
        <v/>
      </c>
      <c r="AV275" s="21">
        <f ca="1">IF(CALC2223!BE275&gt;2,INDIRECT(ADDRESS(MATCH(Agenda2526!C276,'CAL8'!A:A,0)+2,3,4,1,"CAL8")),0)</f>
        <v>0</v>
      </c>
      <c r="AW275" s="105"/>
      <c r="AX275" s="20">
        <f>COUNTIF('CAL1'!A:A,Agenda2526!C276)</f>
        <v>0</v>
      </c>
      <c r="AY275" s="20">
        <f>COUNTIF('CAL2'!A:A,Agenda2526!C276)</f>
        <v>0</v>
      </c>
      <c r="AZ275" s="20">
        <f>COUNTIF('CAL3'!A:A,Agenda2526!C276)</f>
        <v>1</v>
      </c>
      <c r="BA275" s="20">
        <f>COUNTIF('CAL4'!A:A,Agenda2526!C276)</f>
        <v>2</v>
      </c>
      <c r="BB275" s="20">
        <f>COUNTIF('CAL5'!A:A,Agenda2526!C276)</f>
        <v>1</v>
      </c>
      <c r="BC275" s="20">
        <f>COUNTIF('CAL6'!A:A,Agenda2526!C276)</f>
        <v>0</v>
      </c>
      <c r="BD275" s="20">
        <f>COUNTIF('CAL7'!A:A,Agenda2526!C276)</f>
        <v>0</v>
      </c>
      <c r="BE275" s="20">
        <f>COUNTIF('CAL8'!A:A,Agenda2526!C276)</f>
        <v>0</v>
      </c>
    </row>
    <row r="276" spans="1:57" ht="15.75" customHeight="1">
      <c r="A276" s="20" t="str">
        <f ca="1">IF(CALC2223!AX276&gt;0,INDIRECT(ADDRESS(MATCH(Agenda2526!C277,'CAL1'!A:A,0),2,4,1,"CAL1")),"")</f>
        <v/>
      </c>
      <c r="B276" s="21">
        <f ca="1">IF(CALC2223!AX276&gt;0,INDIRECT(ADDRESS(MATCH(Agenda2526!C277,'CAL1'!A:A,0),3,4,1,"CAL1")),0)</f>
        <v>0</v>
      </c>
      <c r="C276" s="20" t="str">
        <f ca="1">IF(CALC2223!AX276&gt;1,INDIRECT(ADDRESS(MATCH(Agenda2526!C277,'CAL1'!A:A,0)+1,2,4,1,"CAL1")),"")</f>
        <v/>
      </c>
      <c r="D276" s="21">
        <f ca="1">IF(CALC2223!AX276&gt;1,INDIRECT(ADDRESS(MATCH(Agenda2526!C277,'CAL1'!A:A,0)+1,3,4,1,"CAL1")),0)</f>
        <v>0</v>
      </c>
      <c r="E276" s="20" t="str">
        <f ca="1">IF(CALC2223!AX276&gt;2,INDIRECT(ADDRESS(MATCH(Agenda2526!C277,'CAL1'!A:A,0)+2,2,4,1,"CAL1")),"")</f>
        <v/>
      </c>
      <c r="F276" s="21">
        <f ca="1">IF(CALC2223!AX276&gt;2,INDIRECT(ADDRESS(MATCH(Agenda2526!C277,'CAL1'!A:A,0)+2,3,4,1,"CAL1")),0)</f>
        <v>0</v>
      </c>
      <c r="G276" s="20" t="str">
        <f ca="1">IF(CALC2223!AY276&gt;0,INDIRECT(ADDRESS(MATCH(Agenda2526!C277,'CAL2'!A:A,0),2,4,1,"CAL2")),"")</f>
        <v/>
      </c>
      <c r="H276" s="21">
        <f ca="1">IF(CALC2223!AY276&gt;0,INDIRECT(ADDRESS(MATCH(Agenda2526!C277,'CAL2'!A:A,0),3,4,1,"CAL2")),0)</f>
        <v>0</v>
      </c>
      <c r="I276" s="20" t="str">
        <f ca="1">IF(CALC2223!AY276&gt;1,INDIRECT(ADDRESS(MATCH(Agenda2526!C277,'CAL2'!A:A,0)+1,2,4,1,"CAL2")),"")</f>
        <v/>
      </c>
      <c r="J276" s="21">
        <f ca="1">IF(CALC2223!AY276&gt;1,INDIRECT(ADDRESS(MATCH(Agenda2526!C277,'CAL2'!A:A,0)+1,3,4,1,"CAL2")),0)</f>
        <v>0</v>
      </c>
      <c r="K276" s="20" t="str">
        <f ca="1">IF(CALC2223!AY276&gt;2,INDIRECT(ADDRESS(MATCH(Agenda2526!C277,'CAL2'!A:A,0)+2,2,4,1,"CAL2")),"")</f>
        <v/>
      </c>
      <c r="L276" s="21">
        <f ca="1">IF(CALC2223!AY276&gt;2,INDIRECT(ADDRESS(MATCH(Agenda2526!C277,'CAL2'!A:A,0)+2,3,4,1,"CAL2")),0)</f>
        <v>0</v>
      </c>
      <c r="M276" s="20" t="str">
        <f ca="1">IF(CALC2223!AZ276&gt;0,INDIRECT(ADDRESS(MATCH(Agenda2526!C277,'CAL3'!A:A,0),2,4,1,"CAL3")),"")</f>
        <v>bezoek leerlingen uit Munster</v>
      </c>
      <c r="N276" s="21">
        <f ca="1">IF(CALC2223!AZ276&gt;0,INDIRECT(ADDRESS(MATCH(Agenda2526!C277,'CAL3'!A:A,0),3,4,1,"CAL3")),0)</f>
        <v>45986</v>
      </c>
      <c r="O276" s="20" t="str">
        <f ca="1">IF(CALC2223!AZ276&gt;1,INDIRECT(ADDRESS(MATCH(Agenda2526!C277,'CAL3'!A:A,0)+1,2,4,1,"CAL3")),"")</f>
        <v/>
      </c>
      <c r="P276" s="21">
        <f ca="1">IF(CALC2223!AZ276&gt;1,INDIRECT(ADDRESS(MATCH(Agenda2526!C277,'CAL3'!A:A,0)+1,3,4,1,"CAL3")),0)</f>
        <v>0</v>
      </c>
      <c r="Q276" s="20" t="str">
        <f ca="1">IF(CALC2223!AZ276&gt;2,INDIRECT(ADDRESS(MATCH(Agenda2526!C277,'CAL3'!A:A,0)+2,2,4,1,"CAL3")),"")</f>
        <v/>
      </c>
      <c r="R276" s="21">
        <f ca="1">IF(CALC2223!AZ276&gt;2,INDIRECT(ADDRESS(MATCH(Agenda2526!C277,'CAL3'!A:A,0)+2,3,4,1,"CAL3")),0)</f>
        <v>0</v>
      </c>
      <c r="S276" s="20" t="str">
        <f ca="1">IF(CALC2223!BA276&gt;0,INDIRECT(ADDRESS(MATCH(Agenda2526!C277,'CAL4'!A:A,0),2,4,1,"CAL4")),"")</f>
        <v>bezoek leerlingen uit Munster</v>
      </c>
      <c r="T276" s="21">
        <f ca="1">IF(CALC2223!BA276&gt;0,INDIRECT(ADDRESS(MATCH(Agenda2526!C277,'CAL4'!A:A,0),3,4,1,"CAL4")),0)</f>
        <v>45986</v>
      </c>
      <c r="U276" s="20" t="str">
        <f ca="1">IF(CALC2223!BA276&gt;1,INDIRECT(ADDRESS(MATCH(Agenda2526!C277,'CAL4'!A:A,0)+1,2,4,1,"CAL4")),"")</f>
        <v/>
      </c>
      <c r="V276" s="21">
        <f ca="1">IF(CALC2223!BA276&gt;1,INDIRECT(ADDRESS(MATCH(Agenda2526!C277,'CAL4'!A:A,0)+1,3,4,1,"CAL4")),0)</f>
        <v>0</v>
      </c>
      <c r="W276" s="20" t="str">
        <f ca="1">IF(CALC2223!BA276&gt;2,INDIRECT(ADDRESS(MATCH(Agenda2526!C277,'CAL4'!A:A,0)+2,2,4,1,"CAL4")),"")</f>
        <v/>
      </c>
      <c r="X276" s="21">
        <f ca="1">IF(CALC2223!BA276&gt;2,INDIRECT(ADDRESS(MATCH(Agenda2526!C277,'CAL4'!A:A,0)+2,3,4,1,"CAL4")),0)</f>
        <v>0</v>
      </c>
      <c r="Y276" s="20" t="str">
        <f ca="1">IF(CALC2223!BB276&gt;0,INDIRECT(ADDRESS(MATCH(Agenda2526!C277,'CAL5'!A:A,0),2,4,1,"CAL5")),"")</f>
        <v/>
      </c>
      <c r="Z276" s="21">
        <f ca="1">IF(CALC2223!BB276&gt;0,INDIRECT(ADDRESS(MATCH(Agenda2526!C277,'CAL5'!A:A,0),3,4,1,"CAL5")),0)</f>
        <v>0</v>
      </c>
      <c r="AA276" s="20" t="str">
        <f ca="1">IF(CALC2223!BB276&gt;1,INDIRECT(ADDRESS(MATCH(Agenda2526!C277,'CAL5'!A:A,0)+1,2,4,1,"CAL5")),"")</f>
        <v/>
      </c>
      <c r="AB276" s="21">
        <f ca="1">IF(CALC2223!BB276&gt;1,INDIRECT(ADDRESS(MATCH(Agenda2526!C277,'CAL5'!A:A,0)+1,3,4,1,"CAL5")),0)</f>
        <v>0</v>
      </c>
      <c r="AC276" s="20" t="str">
        <f ca="1">IF(CALC2223!BB276&gt;2,INDIRECT(ADDRESS(MATCH(Agenda2526!C277,'CAL5'!A:A,0)+2,2,4,1,"CAL5")),"")</f>
        <v/>
      </c>
      <c r="AD276" s="21">
        <f ca="1">IF(CALC2223!BB276&gt;2,INDIRECT(ADDRESS(MATCH(Agenda2526!C277,'CAL5'!A:A,0)+2,3,4,1,"CAL5")),0)</f>
        <v>0</v>
      </c>
      <c r="AE276" s="20" t="str">
        <f ca="1">IF(CALC2223!BC276&gt;0,INDIRECT(ADDRESS(MATCH(Agenda2526!C277,'CAL6'!A:A,0),2,4,1,"CAL6")),"")</f>
        <v/>
      </c>
      <c r="AF276" s="21">
        <f ca="1">IF(CALC2223!BC276&gt;0,INDIRECT(ADDRESS(MATCH(Agenda2526!C277,'CAL6'!A:A,0),3,4,1,"CAL6")),0)</f>
        <v>0</v>
      </c>
      <c r="AG276" s="20" t="str">
        <f ca="1">IF(CALC2223!BC276&gt;1,INDIRECT(ADDRESS(MATCH(Agenda2526!C277,'CAL6'!A:A,0)+1,2,4,1,"CAL6")),"")</f>
        <v/>
      </c>
      <c r="AH276" s="21">
        <f ca="1">IF(CALC2223!BC276&gt;1,INDIRECT(ADDRESS(MATCH(Agenda2526!C277,'CAL6'!A:A,0)+1,3,4,1,"CAL6")),0)</f>
        <v>0</v>
      </c>
      <c r="AI276" s="20" t="str">
        <f ca="1">IF(CALC2223!BC276&gt;2,INDIRECT(ADDRESS(MATCH(Agenda2526!C277,'CAL6'!A:A,0)+2,2,4,1,"CAL6")),"")</f>
        <v/>
      </c>
      <c r="AJ276" s="21">
        <f ca="1">IF(CALC2223!BC276&gt;2,INDIRECT(ADDRESS(MATCH(Agenda2526!C277,'CAL6'!A:A,0)+2,3,4,1,"CAL6")),0)</f>
        <v>0</v>
      </c>
      <c r="AK276" s="20" t="str">
        <f ca="1">IF(CALC2223!BD276&gt;0,INDIRECT(ADDRESS(MATCH(Agenda2526!C277,'CAL7'!A:A,0),2,4,1,"CAL7")),"")</f>
        <v/>
      </c>
      <c r="AL276" s="21">
        <f ca="1">IF(CALC2223!BD276&gt;0,INDIRECT(ADDRESS(MATCH(Agenda2526!C277,'CAL7'!A:A,0),3,4,1,"CAL7")),0)</f>
        <v>0</v>
      </c>
      <c r="AM276" s="20" t="str">
        <f ca="1">IF(CALC2223!BD276&gt;1,INDIRECT(ADDRESS(MATCH(Agenda2526!C277,'CAL7'!A:A,0)+1,2,4,1,"CAL7")),"")</f>
        <v/>
      </c>
      <c r="AN276" s="21">
        <f ca="1">IF(CALC2223!BD276&gt;1,INDIRECT(ADDRESS(MATCH(Agenda2526!C277,'CAL7'!A:A,0)+1,3,4,1,"CAL7")),0)</f>
        <v>0</v>
      </c>
      <c r="AO276" s="20" t="str">
        <f ca="1">IF(CALC2223!BD276&gt;2,INDIRECT(ADDRESS(MATCH(Agenda2526!C277,'CAL7'!A:A,0)+2,2,4,1,"CAL7")),"")</f>
        <v/>
      </c>
      <c r="AP276" s="21">
        <f ca="1">IF(CALC2223!BD276&gt;2,INDIRECT(ADDRESS(MATCH(Agenda2526!C277,'CAL7'!A:A,0)+2,3,4,1,"CAL7")),0)</f>
        <v>0</v>
      </c>
      <c r="AQ276" s="20" t="str">
        <f ca="1">IF(CALC2223!BE276&gt;0,INDIRECT(ADDRESS(MATCH(Agenda2526!C277,'CAL8'!A:A,0),2,4,1,"CAL8")),"")</f>
        <v/>
      </c>
      <c r="AR276" s="21">
        <f ca="1">IF(CALC2223!BE276&gt;0,INDIRECT(ADDRESS(MATCH(Agenda2526!C277,'CAL8'!A:A,0),3,4,1,"CAL8")),0)</f>
        <v>0</v>
      </c>
      <c r="AS276" s="20" t="str">
        <f ca="1">IF(CALC2223!BE276&gt;1,INDIRECT(ADDRESS(MATCH(Agenda2526!C277,'CAL8'!A:A,0)+1,2,4,1,"CAL8")),"")</f>
        <v/>
      </c>
      <c r="AT276" s="21">
        <f ca="1">IF(CALC2223!BE276&gt;1,INDIRECT(ADDRESS(MATCH(Agenda2526!C277,'CAL8'!A:A,0)+1,3,4,1,"CAL8")),0)</f>
        <v>0</v>
      </c>
      <c r="AU276" s="20" t="str">
        <f ca="1">IF(CALC2223!BE276&gt;2,INDIRECT(ADDRESS(MATCH(Agenda2526!C277,'CAL8'!A:A,0)+2,2,4,1,"CAL8")),"")</f>
        <v/>
      </c>
      <c r="AV276" s="21">
        <f ca="1">IF(CALC2223!BE276&gt;2,INDIRECT(ADDRESS(MATCH(Agenda2526!C277,'CAL8'!A:A,0)+2,3,4,1,"CAL8")),0)</f>
        <v>0</v>
      </c>
      <c r="AW276" s="105"/>
      <c r="AX276" s="20">
        <f>COUNTIF('CAL1'!A:A,Agenda2526!C277)</f>
        <v>0</v>
      </c>
      <c r="AY276" s="20">
        <f>COUNTIF('CAL2'!A:A,Agenda2526!C277)</f>
        <v>0</v>
      </c>
      <c r="AZ276" s="20">
        <f>COUNTIF('CAL3'!A:A,Agenda2526!C277)</f>
        <v>1</v>
      </c>
      <c r="BA276" s="20">
        <f>COUNTIF('CAL4'!A:A,Agenda2526!C277)</f>
        <v>1</v>
      </c>
      <c r="BB276" s="20">
        <f>COUNTIF('CAL5'!A:A,Agenda2526!C277)</f>
        <v>0</v>
      </c>
      <c r="BC276" s="20">
        <f>COUNTIF('CAL6'!A:A,Agenda2526!C277)</f>
        <v>0</v>
      </c>
      <c r="BD276" s="20">
        <f>COUNTIF('CAL7'!A:A,Agenda2526!C277)</f>
        <v>0</v>
      </c>
      <c r="BE276" s="20">
        <f>COUNTIF('CAL8'!A:A,Agenda2526!C277)</f>
        <v>0</v>
      </c>
    </row>
    <row r="277" spans="1:57" ht="15.75" customHeight="1">
      <c r="A277" s="20" t="str">
        <f ca="1">IF(CALC2223!AX277&gt;0,INDIRECT(ADDRESS(MATCH(Agenda2526!C278,'CAL1'!A:A,0),2,4,1,"CAL1")),"")</f>
        <v/>
      </c>
      <c r="B277" s="21">
        <f ca="1">IF(CALC2223!AX277&gt;0,INDIRECT(ADDRESS(MATCH(Agenda2526!C278,'CAL1'!A:A,0),3,4,1,"CAL1")),0)</f>
        <v>0</v>
      </c>
      <c r="C277" s="20" t="str">
        <f ca="1">IF(CALC2223!AX277&gt;1,INDIRECT(ADDRESS(MATCH(Agenda2526!C278,'CAL1'!A:A,0)+1,2,4,1,"CAL1")),"")</f>
        <v/>
      </c>
      <c r="D277" s="21">
        <f ca="1">IF(CALC2223!AX277&gt;1,INDIRECT(ADDRESS(MATCH(Agenda2526!C278,'CAL1'!A:A,0)+1,3,4,1,"CAL1")),0)</f>
        <v>0</v>
      </c>
      <c r="E277" s="20" t="str">
        <f ca="1">IF(CALC2223!AX277&gt;2,INDIRECT(ADDRESS(MATCH(Agenda2526!C278,'CAL1'!A:A,0)+2,2,4,1,"CAL1")),"")</f>
        <v/>
      </c>
      <c r="F277" s="21">
        <f ca="1">IF(CALC2223!AX277&gt;2,INDIRECT(ADDRESS(MATCH(Agenda2526!C278,'CAL1'!A:A,0)+2,3,4,1,"CAL1")),0)</f>
        <v>0</v>
      </c>
      <c r="G277" s="20" t="str">
        <f ca="1">IF(CALC2223!AY277&gt;0,INDIRECT(ADDRESS(MATCH(Agenda2526!C278,'CAL2'!A:A,0),2,4,1,"CAL2")),"")</f>
        <v/>
      </c>
      <c r="H277" s="21">
        <f ca="1">IF(CALC2223!AY277&gt;0,INDIRECT(ADDRESS(MATCH(Agenda2526!C278,'CAL2'!A:A,0),3,4,1,"CAL2")),0)</f>
        <v>0</v>
      </c>
      <c r="I277" s="20" t="str">
        <f ca="1">IF(CALC2223!AY277&gt;1,INDIRECT(ADDRESS(MATCH(Agenda2526!C278,'CAL2'!A:A,0)+1,2,4,1,"CAL2")),"")</f>
        <v/>
      </c>
      <c r="J277" s="21">
        <f ca="1">IF(CALC2223!AY277&gt;1,INDIRECT(ADDRESS(MATCH(Agenda2526!C278,'CAL2'!A:A,0)+1,3,4,1,"CAL2")),0)</f>
        <v>0</v>
      </c>
      <c r="K277" s="20" t="str">
        <f ca="1">IF(CALC2223!AY277&gt;2,INDIRECT(ADDRESS(MATCH(Agenda2526!C278,'CAL2'!A:A,0)+2,2,4,1,"CAL2")),"")</f>
        <v/>
      </c>
      <c r="L277" s="21">
        <f ca="1">IF(CALC2223!AY277&gt;2,INDIRECT(ADDRESS(MATCH(Agenda2526!C278,'CAL2'!A:A,0)+2,3,4,1,"CAL2")),0)</f>
        <v>0</v>
      </c>
      <c r="M277" s="20" t="str">
        <f ca="1">IF(CALC2223!AZ277&gt;0,INDIRECT(ADDRESS(MATCH(Agenda2526!C278,'CAL3'!A:A,0),2,4,1,"CAL3")),"")</f>
        <v>bezoek leerlingen uit Munster</v>
      </c>
      <c r="N277" s="21">
        <f ca="1">IF(CALC2223!AZ277&gt;0,INDIRECT(ADDRESS(MATCH(Agenda2526!C278,'CAL3'!A:A,0),3,4,1,"CAL3")),0)</f>
        <v>45986</v>
      </c>
      <c r="O277" s="20" t="str">
        <f ca="1">IF(CALC2223!AZ277&gt;1,INDIRECT(ADDRESS(MATCH(Agenda2526!C278,'CAL3'!A:A,0)+1,2,4,1,"CAL3")),"")</f>
        <v/>
      </c>
      <c r="P277" s="21">
        <f ca="1">IF(CALC2223!AZ277&gt;1,INDIRECT(ADDRESS(MATCH(Agenda2526!C278,'CAL3'!A:A,0)+1,3,4,1,"CAL3")),0)</f>
        <v>0</v>
      </c>
      <c r="Q277" s="20" t="str">
        <f ca="1">IF(CALC2223!AZ277&gt;2,INDIRECT(ADDRESS(MATCH(Agenda2526!C278,'CAL3'!A:A,0)+2,2,4,1,"CAL3")),"")</f>
        <v/>
      </c>
      <c r="R277" s="21">
        <f ca="1">IF(CALC2223!AZ277&gt;2,INDIRECT(ADDRESS(MATCH(Agenda2526!C278,'CAL3'!A:A,0)+2,3,4,1,"CAL3")),0)</f>
        <v>0</v>
      </c>
      <c r="S277" s="20" t="str">
        <f ca="1">IF(CALC2223!BA277&gt;0,INDIRECT(ADDRESS(MATCH(Agenda2526!C278,'CAL4'!A:A,0),2,4,1,"CAL4")),"")</f>
        <v>bezoek leerlingen uit Munster</v>
      </c>
      <c r="T277" s="21">
        <f ca="1">IF(CALC2223!BA277&gt;0,INDIRECT(ADDRESS(MATCH(Agenda2526!C278,'CAL4'!A:A,0),3,4,1,"CAL4")),0)</f>
        <v>45986</v>
      </c>
      <c r="U277" s="20" t="str">
        <f ca="1">IF(CALC2223!BA277&gt;1,INDIRECT(ADDRESS(MATCH(Agenda2526!C278,'CAL4'!A:A,0)+1,2,4,1,"CAL4")),"")</f>
        <v/>
      </c>
      <c r="V277" s="21">
        <f ca="1">IF(CALC2223!BA277&gt;1,INDIRECT(ADDRESS(MATCH(Agenda2526!C278,'CAL4'!A:A,0)+1,3,4,1,"CAL4")),0)</f>
        <v>0</v>
      </c>
      <c r="W277" s="20" t="str">
        <f ca="1">IF(CALC2223!BA277&gt;2,INDIRECT(ADDRESS(MATCH(Agenda2526!C278,'CAL4'!A:A,0)+2,2,4,1,"CAL4")),"")</f>
        <v/>
      </c>
      <c r="X277" s="21">
        <f ca="1">IF(CALC2223!BA277&gt;2,INDIRECT(ADDRESS(MATCH(Agenda2526!C278,'CAL4'!A:A,0)+2,3,4,1,"CAL4")),0)</f>
        <v>0</v>
      </c>
      <c r="Y277" s="20" t="str">
        <f ca="1">IF(CALC2223!BB277&gt;0,INDIRECT(ADDRESS(MATCH(Agenda2526!C278,'CAL5'!A:A,0),2,4,1,"CAL5")),"")</f>
        <v>DELF B1 examen</v>
      </c>
      <c r="Z277" s="21">
        <f ca="1">IF(CALC2223!BB277&gt;0,INDIRECT(ADDRESS(MATCH(Agenda2526!C278,'CAL5'!A:A,0),3,4,1,"CAL5")),0)</f>
        <v>45896</v>
      </c>
      <c r="AA277" s="20" t="str">
        <f ca="1">IF(CALC2223!BB277&gt;1,INDIRECT(ADDRESS(MATCH(Agenda2526!C278,'CAL5'!A:A,0)+1,2,4,1,"CAL5")),"")</f>
        <v/>
      </c>
      <c r="AB277" s="21">
        <f ca="1">IF(CALC2223!BB277&gt;1,INDIRECT(ADDRESS(MATCH(Agenda2526!C278,'CAL5'!A:A,0)+1,3,4,1,"CAL5")),0)</f>
        <v>0</v>
      </c>
      <c r="AC277" s="20" t="str">
        <f ca="1">IF(CALC2223!BB277&gt;2,INDIRECT(ADDRESS(MATCH(Agenda2526!C278,'CAL5'!A:A,0)+2,2,4,1,"CAL5")),"")</f>
        <v/>
      </c>
      <c r="AD277" s="21">
        <f ca="1">IF(CALC2223!BB277&gt;2,INDIRECT(ADDRESS(MATCH(Agenda2526!C278,'CAL5'!A:A,0)+2,3,4,1,"CAL5")),0)</f>
        <v>0</v>
      </c>
      <c r="AE277" s="20" t="str">
        <f ca="1">IF(CALC2223!BC277&gt;0,INDIRECT(ADDRESS(MATCH(Agenda2526!C278,'CAL6'!A:A,0),2,4,1,"CAL6")),"")</f>
        <v/>
      </c>
      <c r="AF277" s="21">
        <f ca="1">IF(CALC2223!BC277&gt;0,INDIRECT(ADDRESS(MATCH(Agenda2526!C278,'CAL6'!A:A,0),3,4,1,"CAL6")),0)</f>
        <v>0</v>
      </c>
      <c r="AG277" s="20" t="str">
        <f ca="1">IF(CALC2223!BC277&gt;1,INDIRECT(ADDRESS(MATCH(Agenda2526!C278,'CAL6'!A:A,0)+1,2,4,1,"CAL6")),"")</f>
        <v/>
      </c>
      <c r="AH277" s="21">
        <f ca="1">IF(CALC2223!BC277&gt;1,INDIRECT(ADDRESS(MATCH(Agenda2526!C278,'CAL6'!A:A,0)+1,3,4,1,"CAL6")),0)</f>
        <v>0</v>
      </c>
      <c r="AI277" s="20" t="str">
        <f ca="1">IF(CALC2223!BC277&gt;2,INDIRECT(ADDRESS(MATCH(Agenda2526!C278,'CAL6'!A:A,0)+2,2,4,1,"CAL6")),"")</f>
        <v/>
      </c>
      <c r="AJ277" s="21">
        <f ca="1">IF(CALC2223!BC277&gt;2,INDIRECT(ADDRESS(MATCH(Agenda2526!C278,'CAL6'!A:A,0)+2,3,4,1,"CAL6")),0)</f>
        <v>0</v>
      </c>
      <c r="AK277" s="20" t="str">
        <f ca="1">IF(CALC2223!BD277&gt;0,INDIRECT(ADDRESS(MATCH(Agenda2526!C278,'CAL7'!A:A,0),2,4,1,"CAL7")),"")</f>
        <v/>
      </c>
      <c r="AL277" s="21">
        <f ca="1">IF(CALC2223!BD277&gt;0,INDIRECT(ADDRESS(MATCH(Agenda2526!C278,'CAL7'!A:A,0),3,4,1,"CAL7")),0)</f>
        <v>0</v>
      </c>
      <c r="AM277" s="20" t="str">
        <f ca="1">IF(CALC2223!BD277&gt;1,INDIRECT(ADDRESS(MATCH(Agenda2526!C278,'CAL7'!A:A,0)+1,2,4,1,"CAL7")),"")</f>
        <v/>
      </c>
      <c r="AN277" s="21">
        <f ca="1">IF(CALC2223!BD277&gt;1,INDIRECT(ADDRESS(MATCH(Agenda2526!C278,'CAL7'!A:A,0)+1,3,4,1,"CAL7")),0)</f>
        <v>0</v>
      </c>
      <c r="AO277" s="20" t="str">
        <f ca="1">IF(CALC2223!BD277&gt;2,INDIRECT(ADDRESS(MATCH(Agenda2526!C278,'CAL7'!A:A,0)+2,2,4,1,"CAL7")),"")</f>
        <v/>
      </c>
      <c r="AP277" s="21">
        <f ca="1">IF(CALC2223!BD277&gt;2,INDIRECT(ADDRESS(MATCH(Agenda2526!C278,'CAL7'!A:A,0)+2,3,4,1,"CAL7")),0)</f>
        <v>0</v>
      </c>
      <c r="AQ277" s="20" t="str">
        <f ca="1">IF(CALC2223!BE277&gt;0,INDIRECT(ADDRESS(MATCH(Agenda2526!C278,'CAL8'!A:A,0),2,4,1,"CAL8")),"")</f>
        <v/>
      </c>
      <c r="AR277" s="21">
        <f ca="1">IF(CALC2223!BE277&gt;0,INDIRECT(ADDRESS(MATCH(Agenda2526!C278,'CAL8'!A:A,0),3,4,1,"CAL8")),0)</f>
        <v>0</v>
      </c>
      <c r="AS277" s="20" t="str">
        <f ca="1">IF(CALC2223!BE277&gt;1,INDIRECT(ADDRESS(MATCH(Agenda2526!C278,'CAL8'!A:A,0)+1,2,4,1,"CAL8")),"")</f>
        <v/>
      </c>
      <c r="AT277" s="21">
        <f ca="1">IF(CALC2223!BE277&gt;1,INDIRECT(ADDRESS(MATCH(Agenda2526!C278,'CAL8'!A:A,0)+1,3,4,1,"CAL8")),0)</f>
        <v>0</v>
      </c>
      <c r="AU277" s="20" t="str">
        <f ca="1">IF(CALC2223!BE277&gt;2,INDIRECT(ADDRESS(MATCH(Agenda2526!C278,'CAL8'!A:A,0)+2,2,4,1,"CAL8")),"")</f>
        <v/>
      </c>
      <c r="AV277" s="21">
        <f ca="1">IF(CALC2223!BE277&gt;2,INDIRECT(ADDRESS(MATCH(Agenda2526!C278,'CAL8'!A:A,0)+2,3,4,1,"CAL8")),0)</f>
        <v>0</v>
      </c>
      <c r="AW277" s="105"/>
      <c r="AX277" s="20">
        <f>COUNTIF('CAL1'!A:A,Agenda2526!C278)</f>
        <v>0</v>
      </c>
      <c r="AY277" s="20">
        <f>COUNTIF('CAL2'!A:A,Agenda2526!C278)</f>
        <v>0</v>
      </c>
      <c r="AZ277" s="20">
        <f>COUNTIF('CAL3'!A:A,Agenda2526!C278)</f>
        <v>1</v>
      </c>
      <c r="BA277" s="20">
        <f>COUNTIF('CAL4'!A:A,Agenda2526!C278)</f>
        <v>1</v>
      </c>
      <c r="BB277" s="20">
        <f>COUNTIF('CAL5'!A:A,Agenda2526!C278)</f>
        <v>1</v>
      </c>
      <c r="BC277" s="20">
        <f>COUNTIF('CAL6'!A:A,Agenda2526!C278)</f>
        <v>0</v>
      </c>
      <c r="BD277" s="20">
        <f>COUNTIF('CAL7'!A:A,Agenda2526!C278)</f>
        <v>0</v>
      </c>
      <c r="BE277" s="20">
        <f>COUNTIF('CAL8'!A:A,Agenda2526!C278)</f>
        <v>0</v>
      </c>
    </row>
    <row r="278" spans="1:57" ht="15.75" customHeight="1">
      <c r="A278" s="20" t="str">
        <f ca="1">IF(CALC2223!AX278&gt;0,INDIRECT(ADDRESS(MATCH(Agenda2526!C279,'CAL1'!A:A,0),2,4,1,"CAL1")),"")</f>
        <v/>
      </c>
      <c r="B278" s="21">
        <f ca="1">IF(CALC2223!AX278&gt;0,INDIRECT(ADDRESS(MATCH(Agenda2526!C279,'CAL1'!A:A,0),3,4,1,"CAL1")),0)</f>
        <v>0</v>
      </c>
      <c r="C278" s="20" t="str">
        <f ca="1">IF(CALC2223!AX278&gt;1,INDIRECT(ADDRESS(MATCH(Agenda2526!C279,'CAL1'!A:A,0)+1,2,4,1,"CAL1")),"")</f>
        <v/>
      </c>
      <c r="D278" s="21">
        <f ca="1">IF(CALC2223!AX278&gt;1,INDIRECT(ADDRESS(MATCH(Agenda2526!C279,'CAL1'!A:A,0)+1,3,4,1,"CAL1")),0)</f>
        <v>0</v>
      </c>
      <c r="E278" s="20" t="str">
        <f ca="1">IF(CALC2223!AX278&gt;2,INDIRECT(ADDRESS(MATCH(Agenda2526!C279,'CAL1'!A:A,0)+2,2,4,1,"CAL1")),"")</f>
        <v/>
      </c>
      <c r="F278" s="21">
        <f ca="1">IF(CALC2223!AX278&gt;2,INDIRECT(ADDRESS(MATCH(Agenda2526!C279,'CAL1'!A:A,0)+2,3,4,1,"CAL1")),0)</f>
        <v>0</v>
      </c>
      <c r="G278" s="20" t="str">
        <f ca="1">IF(CALC2223!AY278&gt;0,INDIRECT(ADDRESS(MATCH(Agenda2526!C279,'CAL2'!A:A,0),2,4,1,"CAL2")),"")</f>
        <v/>
      </c>
      <c r="H278" s="21">
        <f ca="1">IF(CALC2223!AY278&gt;0,INDIRECT(ADDRESS(MATCH(Agenda2526!C279,'CAL2'!A:A,0),3,4,1,"CAL2")),0)</f>
        <v>0</v>
      </c>
      <c r="I278" s="20" t="str">
        <f ca="1">IF(CALC2223!AY278&gt;1,INDIRECT(ADDRESS(MATCH(Agenda2526!C279,'CAL2'!A:A,0)+1,2,4,1,"CAL2")),"")</f>
        <v/>
      </c>
      <c r="J278" s="21">
        <f ca="1">IF(CALC2223!AY278&gt;1,INDIRECT(ADDRESS(MATCH(Agenda2526!C279,'CAL2'!A:A,0)+1,3,4,1,"CAL2")),0)</f>
        <v>0</v>
      </c>
      <c r="K278" s="20" t="str">
        <f ca="1">IF(CALC2223!AY278&gt;2,INDIRECT(ADDRESS(MATCH(Agenda2526!C279,'CAL2'!A:A,0)+2,2,4,1,"CAL2")),"")</f>
        <v/>
      </c>
      <c r="L278" s="21">
        <f ca="1">IF(CALC2223!AY278&gt;2,INDIRECT(ADDRESS(MATCH(Agenda2526!C279,'CAL2'!A:A,0)+2,3,4,1,"CAL2")),0)</f>
        <v>0</v>
      </c>
      <c r="M278" s="20" t="str">
        <f ca="1">IF(CALC2223!AZ278&gt;0,INDIRECT(ADDRESS(MATCH(Agenda2526!C279,'CAL3'!A:A,0),2,4,1,"CAL3")),"")</f>
        <v>Rep GS</v>
      </c>
      <c r="N278" s="21">
        <f ca="1">IF(CALC2223!AZ278&gt;0,INDIRECT(ADDRESS(MATCH(Agenda2526!C279,'CAL3'!A:A,0),3,4,1,"CAL3")),0)</f>
        <v>45903</v>
      </c>
      <c r="O278" s="20" t="str">
        <f ca="1">IF(CALC2223!AZ278&gt;1,INDIRECT(ADDRESS(MATCH(Agenda2526!C279,'CAL3'!A:A,0)+1,2,4,1,"CAL3")),"")</f>
        <v/>
      </c>
      <c r="P278" s="21">
        <f ca="1">IF(CALC2223!AZ278&gt;1,INDIRECT(ADDRESS(MATCH(Agenda2526!C279,'CAL3'!A:A,0)+1,3,4,1,"CAL3")),0)</f>
        <v>0</v>
      </c>
      <c r="Q278" s="20" t="str">
        <f ca="1">IF(CALC2223!AZ278&gt;2,INDIRECT(ADDRESS(MATCH(Agenda2526!C279,'CAL3'!A:A,0)+2,2,4,1,"CAL3")),"")</f>
        <v/>
      </c>
      <c r="R278" s="21">
        <f ca="1">IF(CALC2223!AZ278&gt;2,INDIRECT(ADDRESS(MATCH(Agenda2526!C279,'CAL3'!A:A,0)+2,3,4,1,"CAL3")),0)</f>
        <v>0</v>
      </c>
      <c r="S278" s="20" t="str">
        <f ca="1">IF(CALC2223!BA278&gt;0,INDIRECT(ADDRESS(MATCH(Agenda2526!C279,'CAL4'!A:A,0),2,4,1,"CAL4")),"")</f>
        <v xml:space="preserve">fietsexcursie ak </v>
      </c>
      <c r="T278" s="21">
        <f ca="1">IF(CALC2223!BA278&gt;0,INDIRECT(ADDRESS(MATCH(Agenda2526!C279,'CAL4'!A:A,0),3,4,1,"CAL4")),0)</f>
        <v>45896</v>
      </c>
      <c r="U278" s="20" t="str">
        <f ca="1">IF(CALC2223!BA278&gt;1,INDIRECT(ADDRESS(MATCH(Agenda2526!C279,'CAL4'!A:A,0)+1,2,4,1,"CAL4")),"")</f>
        <v/>
      </c>
      <c r="V278" s="21">
        <f ca="1">IF(CALC2223!BA278&gt;1,INDIRECT(ADDRESS(MATCH(Agenda2526!C279,'CAL4'!A:A,0)+1,3,4,1,"CAL4")),0)</f>
        <v>0</v>
      </c>
      <c r="W278" s="20" t="str">
        <f ca="1">IF(CALC2223!BA278&gt;2,INDIRECT(ADDRESS(MATCH(Agenda2526!C279,'CAL4'!A:A,0)+2,2,4,1,"CAL4")),"")</f>
        <v/>
      </c>
      <c r="X278" s="21">
        <f ca="1">IF(CALC2223!BA278&gt;2,INDIRECT(ADDRESS(MATCH(Agenda2526!C279,'CAL4'!A:A,0)+2,3,4,1,"CAL4")),0)</f>
        <v>0</v>
      </c>
      <c r="Y278" s="20" t="str">
        <f ca="1">IF(CALC2223!BB278&gt;0,INDIRECT(ADDRESS(MATCH(Agenda2526!C279,'CAL5'!A:A,0),2,4,1,"CAL5")),"")</f>
        <v/>
      </c>
      <c r="Z278" s="21">
        <f ca="1">IF(CALC2223!BB278&gt;0,INDIRECT(ADDRESS(MATCH(Agenda2526!C279,'CAL5'!A:A,0),3,4,1,"CAL5")),0)</f>
        <v>0</v>
      </c>
      <c r="AA278" s="20" t="str">
        <f ca="1">IF(CALC2223!BB278&gt;1,INDIRECT(ADDRESS(MATCH(Agenda2526!C279,'CAL5'!A:A,0)+1,2,4,1,"CAL5")),"")</f>
        <v/>
      </c>
      <c r="AB278" s="21">
        <f ca="1">IF(CALC2223!BB278&gt;1,INDIRECT(ADDRESS(MATCH(Agenda2526!C279,'CAL5'!A:A,0)+1,3,4,1,"CAL5")),0)</f>
        <v>0</v>
      </c>
      <c r="AC278" s="20" t="str">
        <f ca="1">IF(CALC2223!BB278&gt;2,INDIRECT(ADDRESS(MATCH(Agenda2526!C279,'CAL5'!A:A,0)+2,2,4,1,"CAL5")),"")</f>
        <v/>
      </c>
      <c r="AD278" s="21">
        <f ca="1">IF(CALC2223!BB278&gt;2,INDIRECT(ADDRESS(MATCH(Agenda2526!C279,'CAL5'!A:A,0)+2,3,4,1,"CAL5")),0)</f>
        <v>0</v>
      </c>
      <c r="AE278" s="20" t="str">
        <f ca="1">IF(CALC2223!BC278&gt;0,INDIRECT(ADDRESS(MATCH(Agenda2526!C279,'CAL6'!A:A,0),2,4,1,"CAL6")),"")</f>
        <v/>
      </c>
      <c r="AF278" s="21">
        <f ca="1">IF(CALC2223!BC278&gt;0,INDIRECT(ADDRESS(MATCH(Agenda2526!C279,'CAL6'!A:A,0),3,4,1,"CAL6")),0)</f>
        <v>0</v>
      </c>
      <c r="AG278" s="20" t="str">
        <f ca="1">IF(CALC2223!BC278&gt;1,INDIRECT(ADDRESS(MATCH(Agenda2526!C279,'CAL6'!A:A,0)+1,2,4,1,"CAL6")),"")</f>
        <v/>
      </c>
      <c r="AH278" s="21">
        <f ca="1">IF(CALC2223!BC278&gt;1,INDIRECT(ADDRESS(MATCH(Agenda2526!C279,'CAL6'!A:A,0)+1,3,4,1,"CAL6")),0)</f>
        <v>0</v>
      </c>
      <c r="AI278" s="20" t="str">
        <f ca="1">IF(CALC2223!BC278&gt;2,INDIRECT(ADDRESS(MATCH(Agenda2526!C279,'CAL6'!A:A,0)+2,2,4,1,"CAL6")),"")</f>
        <v/>
      </c>
      <c r="AJ278" s="21">
        <f ca="1">IF(CALC2223!BC278&gt;2,INDIRECT(ADDRESS(MATCH(Agenda2526!C279,'CAL6'!A:A,0)+2,3,4,1,"CAL6")),0)</f>
        <v>0</v>
      </c>
      <c r="AK278" s="20" t="str">
        <f ca="1">IF(CALC2223!BD278&gt;0,INDIRECT(ADDRESS(MATCH(Agenda2526!C279,'CAL7'!A:A,0),2,4,1,"CAL7")),"")</f>
        <v>secties#8</v>
      </c>
      <c r="AL278" s="21">
        <f ca="1">IF(CALC2223!BD278&gt;0,INDIRECT(ADDRESS(MATCH(Agenda2526!C279,'CAL7'!A:A,0),3,4,1,"CAL7")),0)</f>
        <v>45896</v>
      </c>
      <c r="AM278" s="20" t="str">
        <f ca="1">IF(CALC2223!BD278&gt;1,INDIRECT(ADDRESS(MATCH(Agenda2526!C279,'CAL7'!A:A,0)+1,2,4,1,"CAL7")),"")</f>
        <v/>
      </c>
      <c r="AN278" s="21">
        <f ca="1">IF(CALC2223!BD278&gt;1,INDIRECT(ADDRESS(MATCH(Agenda2526!C279,'CAL7'!A:A,0)+1,3,4,1,"CAL7")),0)</f>
        <v>0</v>
      </c>
      <c r="AO278" s="20" t="str">
        <f ca="1">IF(CALC2223!BD278&gt;2,INDIRECT(ADDRESS(MATCH(Agenda2526!C279,'CAL7'!A:A,0)+2,2,4,1,"CAL7")),"")</f>
        <v/>
      </c>
      <c r="AP278" s="21">
        <f ca="1">IF(CALC2223!BD278&gt;2,INDIRECT(ADDRESS(MATCH(Agenda2526!C279,'CAL7'!A:A,0)+2,3,4,1,"CAL7")),0)</f>
        <v>0</v>
      </c>
      <c r="AQ278" s="20" t="str">
        <f ca="1">IF(CALC2223!BE278&gt;0,INDIRECT(ADDRESS(MATCH(Agenda2526!C279,'CAL8'!A:A,0),2,4,1,"CAL8")),"")</f>
        <v/>
      </c>
      <c r="AR278" s="21">
        <f ca="1">IF(CALC2223!BE278&gt;0,INDIRECT(ADDRESS(MATCH(Agenda2526!C279,'CAL8'!A:A,0),3,4,1,"CAL8")),0)</f>
        <v>0</v>
      </c>
      <c r="AS278" s="20" t="str">
        <f ca="1">IF(CALC2223!BE278&gt;1,INDIRECT(ADDRESS(MATCH(Agenda2526!C279,'CAL8'!A:A,0)+1,2,4,1,"CAL8")),"")</f>
        <v/>
      </c>
      <c r="AT278" s="21">
        <f ca="1">IF(CALC2223!BE278&gt;1,INDIRECT(ADDRESS(MATCH(Agenda2526!C279,'CAL8'!A:A,0)+1,3,4,1,"CAL8")),0)</f>
        <v>0</v>
      </c>
      <c r="AU278" s="20" t="str">
        <f ca="1">IF(CALC2223!BE278&gt;2,INDIRECT(ADDRESS(MATCH(Agenda2526!C279,'CAL8'!A:A,0)+2,2,4,1,"CAL8")),"")</f>
        <v/>
      </c>
      <c r="AV278" s="21">
        <f ca="1">IF(CALC2223!BE278&gt;2,INDIRECT(ADDRESS(MATCH(Agenda2526!C279,'CAL8'!A:A,0)+2,3,4,1,"CAL8")),0)</f>
        <v>0</v>
      </c>
      <c r="AW278" s="105"/>
      <c r="AX278" s="20">
        <f>COUNTIF('CAL1'!A:A,Agenda2526!C279)</f>
        <v>0</v>
      </c>
      <c r="AY278" s="20">
        <f>COUNTIF('CAL2'!A:A,Agenda2526!C279)</f>
        <v>0</v>
      </c>
      <c r="AZ278" s="20">
        <f>COUNTIF('CAL3'!A:A,Agenda2526!C279)</f>
        <v>1</v>
      </c>
      <c r="BA278" s="20">
        <f>COUNTIF('CAL4'!A:A,Agenda2526!C279)</f>
        <v>1</v>
      </c>
      <c r="BB278" s="20">
        <f>COUNTIF('CAL5'!A:A,Agenda2526!C279)</f>
        <v>0</v>
      </c>
      <c r="BC278" s="20">
        <f>COUNTIF('CAL6'!A:A,Agenda2526!C279)</f>
        <v>0</v>
      </c>
      <c r="BD278" s="20">
        <f>COUNTIF('CAL7'!A:A,Agenda2526!C279)</f>
        <v>1</v>
      </c>
      <c r="BE278" s="20">
        <f>COUNTIF('CAL8'!A:A,Agenda2526!C279)</f>
        <v>0</v>
      </c>
    </row>
    <row r="279" spans="1:57" ht="15.75" customHeight="1">
      <c r="A279" s="20" t="str">
        <f ca="1">IF(CALC2223!AX279&gt;0,INDIRECT(ADDRESS(MATCH(Agenda2526!C280,'CAL1'!A:A,0),2,4,1,"CAL1")),"")</f>
        <v/>
      </c>
      <c r="B279" s="21">
        <f ca="1">IF(CALC2223!AX279&gt;0,INDIRECT(ADDRESS(MATCH(Agenda2526!C280,'CAL1'!A:A,0),3,4,1,"CAL1")),0)</f>
        <v>0</v>
      </c>
      <c r="C279" s="20" t="str">
        <f ca="1">IF(CALC2223!AX279&gt;1,INDIRECT(ADDRESS(MATCH(Agenda2526!C280,'CAL1'!A:A,0)+1,2,4,1,"CAL1")),"")</f>
        <v/>
      </c>
      <c r="D279" s="21">
        <f ca="1">IF(CALC2223!AX279&gt;1,INDIRECT(ADDRESS(MATCH(Agenda2526!C280,'CAL1'!A:A,0)+1,3,4,1,"CAL1")),0)</f>
        <v>0</v>
      </c>
      <c r="E279" s="20" t="str">
        <f ca="1">IF(CALC2223!AX279&gt;2,INDIRECT(ADDRESS(MATCH(Agenda2526!C280,'CAL1'!A:A,0)+2,2,4,1,"CAL1")),"")</f>
        <v/>
      </c>
      <c r="F279" s="21">
        <f ca="1">IF(CALC2223!AX279&gt;2,INDIRECT(ADDRESS(MATCH(Agenda2526!C280,'CAL1'!A:A,0)+2,3,4,1,"CAL1")),0)</f>
        <v>0</v>
      </c>
      <c r="G279" s="20" t="str">
        <f ca="1">IF(CALC2223!AY279&gt;0,INDIRECT(ADDRESS(MATCH(Agenda2526!C280,'CAL2'!A:A,0),2,4,1,"CAL2")),"")</f>
        <v/>
      </c>
      <c r="H279" s="21">
        <f ca="1">IF(CALC2223!AY279&gt;0,INDIRECT(ADDRESS(MATCH(Agenda2526!C280,'CAL2'!A:A,0),3,4,1,"CAL2")),0)</f>
        <v>0</v>
      </c>
      <c r="I279" s="20" t="str">
        <f ca="1">IF(CALC2223!AY279&gt;1,INDIRECT(ADDRESS(MATCH(Agenda2526!C280,'CAL2'!A:A,0)+1,2,4,1,"CAL2")),"")</f>
        <v/>
      </c>
      <c r="J279" s="21">
        <f ca="1">IF(CALC2223!AY279&gt;1,INDIRECT(ADDRESS(MATCH(Agenda2526!C280,'CAL2'!A:A,0)+1,3,4,1,"CAL2")),0)</f>
        <v>0</v>
      </c>
      <c r="K279" s="20" t="str">
        <f ca="1">IF(CALC2223!AY279&gt;2,INDIRECT(ADDRESS(MATCH(Agenda2526!C280,'CAL2'!A:A,0)+2,2,4,1,"CAL2")),"")</f>
        <v/>
      </c>
      <c r="L279" s="21">
        <f ca="1">IF(CALC2223!AY279&gt;2,INDIRECT(ADDRESS(MATCH(Agenda2526!C280,'CAL2'!A:A,0)+2,3,4,1,"CAL2")),0)</f>
        <v>0</v>
      </c>
      <c r="M279" s="20" t="str">
        <f ca="1">IF(CALC2223!AZ279&gt;0,INDIRECT(ADDRESS(MATCH(Agenda2526!C280,'CAL3'!A:A,0),2,4,1,"CAL3")),"")</f>
        <v/>
      </c>
      <c r="N279" s="21">
        <f ca="1">IF(CALC2223!AZ279&gt;0,INDIRECT(ADDRESS(MATCH(Agenda2526!C280,'CAL3'!A:A,0),3,4,1,"CAL3")),0)</f>
        <v>0</v>
      </c>
      <c r="O279" s="20" t="str">
        <f ca="1">IF(CALC2223!AZ279&gt;1,INDIRECT(ADDRESS(MATCH(Agenda2526!C280,'CAL3'!A:A,0)+1,2,4,1,"CAL3")),"")</f>
        <v/>
      </c>
      <c r="P279" s="21">
        <f ca="1">IF(CALC2223!AZ279&gt;1,INDIRECT(ADDRESS(MATCH(Agenda2526!C280,'CAL3'!A:A,0)+1,3,4,1,"CAL3")),0)</f>
        <v>0</v>
      </c>
      <c r="Q279" s="20" t="str">
        <f ca="1">IF(CALC2223!AZ279&gt;2,INDIRECT(ADDRESS(MATCH(Agenda2526!C280,'CAL3'!A:A,0)+2,2,4,1,"CAL3")),"")</f>
        <v/>
      </c>
      <c r="R279" s="21">
        <f ca="1">IF(CALC2223!AZ279&gt;2,INDIRECT(ADDRESS(MATCH(Agenda2526!C280,'CAL3'!A:A,0)+2,3,4,1,"CAL3")),0)</f>
        <v>0</v>
      </c>
      <c r="S279" s="20" t="str">
        <f ca="1">IF(CALC2223!BA279&gt;0,INDIRECT(ADDRESS(MATCH(Agenda2526!C280,'CAL4'!A:A,0),2,4,1,"CAL4")),"")</f>
        <v>Rep GS</v>
      </c>
      <c r="T279" s="21">
        <f ca="1">IF(CALC2223!BA279&gt;0,INDIRECT(ADDRESS(MATCH(Agenda2526!C280,'CAL4'!A:A,0),3,4,1,"CAL4")),0)</f>
        <v>45896</v>
      </c>
      <c r="U279" s="20" t="str">
        <f ca="1">IF(CALC2223!BA279&gt;1,INDIRECT(ADDRESS(MATCH(Agenda2526!C280,'CAL4'!A:A,0)+1,2,4,1,"CAL4")),"")</f>
        <v/>
      </c>
      <c r="V279" s="21">
        <f ca="1">IF(CALC2223!BA279&gt;1,INDIRECT(ADDRESS(MATCH(Agenda2526!C280,'CAL4'!A:A,0)+1,3,4,1,"CAL4")),0)</f>
        <v>0</v>
      </c>
      <c r="W279" s="20" t="str">
        <f ca="1">IF(CALC2223!BA279&gt;2,INDIRECT(ADDRESS(MATCH(Agenda2526!C280,'CAL4'!A:A,0)+2,2,4,1,"CAL4")),"")</f>
        <v/>
      </c>
      <c r="X279" s="21">
        <f ca="1">IF(CALC2223!BA279&gt;2,INDIRECT(ADDRESS(MATCH(Agenda2526!C280,'CAL4'!A:A,0)+2,3,4,1,"CAL4")),0)</f>
        <v>0</v>
      </c>
      <c r="Y279" s="20" t="str">
        <f ca="1">IF(CALC2223!BB279&gt;0,INDIRECT(ADDRESS(MATCH(Agenda2526!C280,'CAL5'!A:A,0),2,4,1,"CAL5")),"")</f>
        <v/>
      </c>
      <c r="Z279" s="21">
        <f ca="1">IF(CALC2223!BB279&gt;0,INDIRECT(ADDRESS(MATCH(Agenda2526!C280,'CAL5'!A:A,0),3,4,1,"CAL5")),0)</f>
        <v>0</v>
      </c>
      <c r="AA279" s="20" t="str">
        <f ca="1">IF(CALC2223!BB279&gt;1,INDIRECT(ADDRESS(MATCH(Agenda2526!C280,'CAL5'!A:A,0)+1,2,4,1,"CAL5")),"")</f>
        <v/>
      </c>
      <c r="AB279" s="21">
        <f ca="1">IF(CALC2223!BB279&gt;1,INDIRECT(ADDRESS(MATCH(Agenda2526!C280,'CAL5'!A:A,0)+1,3,4,1,"CAL5")),0)</f>
        <v>0</v>
      </c>
      <c r="AC279" s="20" t="str">
        <f ca="1">IF(CALC2223!BB279&gt;2,INDIRECT(ADDRESS(MATCH(Agenda2526!C280,'CAL5'!A:A,0)+2,2,4,1,"CAL5")),"")</f>
        <v/>
      </c>
      <c r="AD279" s="21">
        <f ca="1">IF(CALC2223!BB279&gt;2,INDIRECT(ADDRESS(MATCH(Agenda2526!C280,'CAL5'!A:A,0)+2,3,4,1,"CAL5")),0)</f>
        <v>0</v>
      </c>
      <c r="AE279" s="20" t="str">
        <f ca="1">IF(CALC2223!BC279&gt;0,INDIRECT(ADDRESS(MATCH(Agenda2526!C280,'CAL6'!A:A,0),2,4,1,"CAL6")),"")</f>
        <v/>
      </c>
      <c r="AF279" s="21">
        <f ca="1">IF(CALC2223!BC279&gt;0,INDIRECT(ADDRESS(MATCH(Agenda2526!C280,'CAL6'!A:A,0),3,4,1,"CAL6")),0)</f>
        <v>0</v>
      </c>
      <c r="AG279" s="20" t="str">
        <f ca="1">IF(CALC2223!BC279&gt;1,INDIRECT(ADDRESS(MATCH(Agenda2526!C280,'CAL6'!A:A,0)+1,2,4,1,"CAL6")),"")</f>
        <v/>
      </c>
      <c r="AH279" s="21">
        <f ca="1">IF(CALC2223!BC279&gt;1,INDIRECT(ADDRESS(MATCH(Agenda2526!C280,'CAL6'!A:A,0)+1,3,4,1,"CAL6")),0)</f>
        <v>0</v>
      </c>
      <c r="AI279" s="20" t="str">
        <f ca="1">IF(CALC2223!BC279&gt;2,INDIRECT(ADDRESS(MATCH(Agenda2526!C280,'CAL6'!A:A,0)+2,2,4,1,"CAL6")),"")</f>
        <v/>
      </c>
      <c r="AJ279" s="21">
        <f ca="1">IF(CALC2223!BC279&gt;2,INDIRECT(ADDRESS(MATCH(Agenda2526!C280,'CAL6'!A:A,0)+2,3,4,1,"CAL6")),0)</f>
        <v>0</v>
      </c>
      <c r="AK279" s="20" t="str">
        <f ca="1">IF(CALC2223!BD279&gt;0,INDIRECT(ADDRESS(MATCH(Agenda2526!C280,'CAL7'!A:A,0),2,4,1,"CAL7")),"")</f>
        <v/>
      </c>
      <c r="AL279" s="21">
        <f ca="1">IF(CALC2223!BD279&gt;0,INDIRECT(ADDRESS(MATCH(Agenda2526!C280,'CAL7'!A:A,0),3,4,1,"CAL7")),0)</f>
        <v>0</v>
      </c>
      <c r="AM279" s="20" t="str">
        <f ca="1">IF(CALC2223!BD279&gt;1,INDIRECT(ADDRESS(MATCH(Agenda2526!C280,'CAL7'!A:A,0)+1,2,4,1,"CAL7")),"")</f>
        <v/>
      </c>
      <c r="AN279" s="21">
        <f ca="1">IF(CALC2223!BD279&gt;1,INDIRECT(ADDRESS(MATCH(Agenda2526!C280,'CAL7'!A:A,0)+1,3,4,1,"CAL7")),0)</f>
        <v>0</v>
      </c>
      <c r="AO279" s="20" t="str">
        <f ca="1">IF(CALC2223!BD279&gt;2,INDIRECT(ADDRESS(MATCH(Agenda2526!C280,'CAL7'!A:A,0)+2,2,4,1,"CAL7")),"")</f>
        <v/>
      </c>
      <c r="AP279" s="21">
        <f ca="1">IF(CALC2223!BD279&gt;2,INDIRECT(ADDRESS(MATCH(Agenda2526!C280,'CAL7'!A:A,0)+2,3,4,1,"CAL7")),0)</f>
        <v>0</v>
      </c>
      <c r="AQ279" s="20" t="str">
        <f ca="1">IF(CALC2223!BE279&gt;0,INDIRECT(ADDRESS(MATCH(Agenda2526!C280,'CAL8'!A:A,0),2,4,1,"CAL8")),"")</f>
        <v>zomer(school)feest</v>
      </c>
      <c r="AR279" s="21">
        <f ca="1">IF(CALC2223!BE279&gt;0,INDIRECT(ADDRESS(MATCH(Agenda2526!C280,'CAL8'!A:A,0),3,4,1,"CAL8")),0)</f>
        <v>45915</v>
      </c>
      <c r="AS279" s="20" t="str">
        <f ca="1">IF(CALC2223!BE279&gt;1,INDIRECT(ADDRESS(MATCH(Agenda2526!C280,'CAL8'!A:A,0)+1,2,4,1,"CAL8")),"")</f>
        <v/>
      </c>
      <c r="AT279" s="21">
        <f ca="1">IF(CALC2223!BE279&gt;1,INDIRECT(ADDRESS(MATCH(Agenda2526!C280,'CAL8'!A:A,0)+1,3,4,1,"CAL8")),0)</f>
        <v>0</v>
      </c>
      <c r="AU279" s="20" t="str">
        <f ca="1">IF(CALC2223!BE279&gt;2,INDIRECT(ADDRESS(MATCH(Agenda2526!C280,'CAL8'!A:A,0)+2,2,4,1,"CAL8")),"")</f>
        <v/>
      </c>
      <c r="AV279" s="21">
        <f ca="1">IF(CALC2223!BE279&gt;2,INDIRECT(ADDRESS(MATCH(Agenda2526!C280,'CAL8'!A:A,0)+2,3,4,1,"CAL8")),0)</f>
        <v>0</v>
      </c>
      <c r="AW279" s="105"/>
      <c r="AX279" s="20">
        <f>COUNTIF('CAL1'!A:A,Agenda2526!C280)</f>
        <v>0</v>
      </c>
      <c r="AY279" s="20">
        <f>COUNTIF('CAL2'!A:A,Agenda2526!C280)</f>
        <v>0</v>
      </c>
      <c r="AZ279" s="20">
        <f>COUNTIF('CAL3'!A:A,Agenda2526!C280)</f>
        <v>0</v>
      </c>
      <c r="BA279" s="20">
        <f>COUNTIF('CAL4'!A:A,Agenda2526!C280)</f>
        <v>1</v>
      </c>
      <c r="BB279" s="20">
        <f>COUNTIF('CAL5'!A:A,Agenda2526!C280)</f>
        <v>0</v>
      </c>
      <c r="BC279" s="20">
        <f>COUNTIF('CAL6'!A:A,Agenda2526!C280)</f>
        <v>0</v>
      </c>
      <c r="BD279" s="20">
        <f>COUNTIF('CAL7'!A:A,Agenda2526!C280)</f>
        <v>0</v>
      </c>
      <c r="BE279" s="20">
        <f>COUNTIF('CAL8'!A:A,Agenda2526!C280)</f>
        <v>1</v>
      </c>
    </row>
    <row r="280" spans="1:57" ht="15.75" customHeight="1">
      <c r="A280" s="20" t="str">
        <f ca="1">IF(CALC2223!AX280&gt;0,INDIRECT(ADDRESS(MATCH(Agenda2526!C281,'CAL1'!A:A,0),2,4,1,"CAL1")),"")</f>
        <v/>
      </c>
      <c r="B280" s="21">
        <f ca="1">IF(CALC2223!AX280&gt;0,INDIRECT(ADDRESS(MATCH(Agenda2526!C281,'CAL1'!A:A,0),3,4,1,"CAL1")),0)</f>
        <v>0</v>
      </c>
      <c r="C280" s="20" t="str">
        <f ca="1">IF(CALC2223!AX280&gt;1,INDIRECT(ADDRESS(MATCH(Agenda2526!C281,'CAL1'!A:A,0)+1,2,4,1,"CAL1")),"")</f>
        <v/>
      </c>
      <c r="D280" s="21">
        <f ca="1">IF(CALC2223!AX280&gt;1,INDIRECT(ADDRESS(MATCH(Agenda2526!C281,'CAL1'!A:A,0)+1,3,4,1,"CAL1")),0)</f>
        <v>0</v>
      </c>
      <c r="E280" s="20" t="str">
        <f ca="1">IF(CALC2223!AX280&gt;2,INDIRECT(ADDRESS(MATCH(Agenda2526!C281,'CAL1'!A:A,0)+2,2,4,1,"CAL1")),"")</f>
        <v/>
      </c>
      <c r="F280" s="21">
        <f ca="1">IF(CALC2223!AX280&gt;2,INDIRECT(ADDRESS(MATCH(Agenda2526!C281,'CAL1'!A:A,0)+2,3,4,1,"CAL1")),0)</f>
        <v>0</v>
      </c>
      <c r="G280" s="20" t="str">
        <f ca="1">IF(CALC2223!AY280&gt;0,INDIRECT(ADDRESS(MATCH(Agenda2526!C281,'CAL2'!A:A,0),2,4,1,"CAL2")),"")</f>
        <v/>
      </c>
      <c r="H280" s="21">
        <f ca="1">IF(CALC2223!AY280&gt;0,INDIRECT(ADDRESS(MATCH(Agenda2526!C281,'CAL2'!A:A,0),3,4,1,"CAL2")),0)</f>
        <v>0</v>
      </c>
      <c r="I280" s="20" t="str">
        <f ca="1">IF(CALC2223!AY280&gt;1,INDIRECT(ADDRESS(MATCH(Agenda2526!C281,'CAL2'!A:A,0)+1,2,4,1,"CAL2")),"")</f>
        <v/>
      </c>
      <c r="J280" s="21">
        <f ca="1">IF(CALC2223!AY280&gt;1,INDIRECT(ADDRESS(MATCH(Agenda2526!C281,'CAL2'!A:A,0)+1,3,4,1,"CAL2")),0)</f>
        <v>0</v>
      </c>
      <c r="K280" s="20" t="str">
        <f ca="1">IF(CALC2223!AY280&gt;2,INDIRECT(ADDRESS(MATCH(Agenda2526!C281,'CAL2'!A:A,0)+2,2,4,1,"CAL2")),"")</f>
        <v/>
      </c>
      <c r="L280" s="21">
        <f ca="1">IF(CALC2223!AY280&gt;2,INDIRECT(ADDRESS(MATCH(Agenda2526!C281,'CAL2'!A:A,0)+2,3,4,1,"CAL2")),0)</f>
        <v>0</v>
      </c>
      <c r="M280" s="20" t="str">
        <f ca="1">IF(CALC2223!AZ280&gt;0,INDIRECT(ADDRESS(MATCH(Agenda2526!C281,'CAL3'!A:A,0),2,4,1,"CAL3")),"")</f>
        <v/>
      </c>
      <c r="N280" s="21">
        <f ca="1">IF(CALC2223!AZ280&gt;0,INDIRECT(ADDRESS(MATCH(Agenda2526!C281,'CAL3'!A:A,0),3,4,1,"CAL3")),0)</f>
        <v>0</v>
      </c>
      <c r="O280" s="20" t="str">
        <f ca="1">IF(CALC2223!AZ280&gt;1,INDIRECT(ADDRESS(MATCH(Agenda2526!C281,'CAL3'!A:A,0)+1,2,4,1,"CAL3")),"")</f>
        <v/>
      </c>
      <c r="P280" s="21">
        <f ca="1">IF(CALC2223!AZ280&gt;1,INDIRECT(ADDRESS(MATCH(Agenda2526!C281,'CAL3'!A:A,0)+1,3,4,1,"CAL3")),0)</f>
        <v>0</v>
      </c>
      <c r="Q280" s="20" t="str">
        <f ca="1">IF(CALC2223!AZ280&gt;2,INDIRECT(ADDRESS(MATCH(Agenda2526!C281,'CAL3'!A:A,0)+2,2,4,1,"CAL3")),"")</f>
        <v/>
      </c>
      <c r="R280" s="21">
        <f ca="1">IF(CALC2223!AZ280&gt;2,INDIRECT(ADDRESS(MATCH(Agenda2526!C281,'CAL3'!A:A,0)+2,3,4,1,"CAL3")),0)</f>
        <v>0</v>
      </c>
      <c r="S280" s="20" t="str">
        <f ca="1">IF(CALC2223!BA280&gt;0,INDIRECT(ADDRESS(MATCH(Agenda2526!C281,'CAL4'!A:A,0),2,4,1,"CAL4")),"")</f>
        <v/>
      </c>
      <c r="T280" s="21">
        <f ca="1">IF(CALC2223!BA280&gt;0,INDIRECT(ADDRESS(MATCH(Agenda2526!C281,'CAL4'!A:A,0),3,4,1,"CAL4")),0)</f>
        <v>0</v>
      </c>
      <c r="U280" s="20" t="str">
        <f ca="1">IF(CALC2223!BA280&gt;1,INDIRECT(ADDRESS(MATCH(Agenda2526!C281,'CAL4'!A:A,0)+1,2,4,1,"CAL4")),"")</f>
        <v/>
      </c>
      <c r="V280" s="21">
        <f ca="1">IF(CALC2223!BA280&gt;1,INDIRECT(ADDRESS(MATCH(Agenda2526!C281,'CAL4'!A:A,0)+1,3,4,1,"CAL4")),0)</f>
        <v>0</v>
      </c>
      <c r="W280" s="20" t="str">
        <f ca="1">IF(CALC2223!BA280&gt;2,INDIRECT(ADDRESS(MATCH(Agenda2526!C281,'CAL4'!A:A,0)+2,2,4,1,"CAL4")),"")</f>
        <v/>
      </c>
      <c r="X280" s="21">
        <f ca="1">IF(CALC2223!BA280&gt;2,INDIRECT(ADDRESS(MATCH(Agenda2526!C281,'CAL4'!A:A,0)+2,3,4,1,"CAL4")),0)</f>
        <v>0</v>
      </c>
      <c r="Y280" s="20" t="str">
        <f ca="1">IF(CALC2223!BB280&gt;0,INDIRECT(ADDRESS(MATCH(Agenda2526!C281,'CAL5'!A:A,0),2,4,1,"CAL5")),"")</f>
        <v>DELF B1 mondeling</v>
      </c>
      <c r="Z280" s="21">
        <f ca="1">IF(CALC2223!BB280&gt;0,INDIRECT(ADDRESS(MATCH(Agenda2526!C281,'CAL5'!A:A,0),3,4,1,"CAL5")),0)</f>
        <v>45896</v>
      </c>
      <c r="AA280" s="20" t="str">
        <f ca="1">IF(CALC2223!BB280&gt;1,INDIRECT(ADDRESS(MATCH(Agenda2526!C281,'CAL5'!A:A,0)+1,2,4,1,"CAL5")),"")</f>
        <v/>
      </c>
      <c r="AB280" s="21">
        <f ca="1">IF(CALC2223!BB280&gt;1,INDIRECT(ADDRESS(MATCH(Agenda2526!C281,'CAL5'!A:A,0)+1,3,4,1,"CAL5")),0)</f>
        <v>0</v>
      </c>
      <c r="AC280" s="20" t="str">
        <f ca="1">IF(CALC2223!BB280&gt;2,INDIRECT(ADDRESS(MATCH(Agenda2526!C281,'CAL5'!A:A,0)+2,2,4,1,"CAL5")),"")</f>
        <v/>
      </c>
      <c r="AD280" s="21">
        <f ca="1">IF(CALC2223!BB280&gt;2,INDIRECT(ADDRESS(MATCH(Agenda2526!C281,'CAL5'!A:A,0)+2,3,4,1,"CAL5")),0)</f>
        <v>0</v>
      </c>
      <c r="AE280" s="20" t="str">
        <f ca="1">IF(CALC2223!BC280&gt;0,INDIRECT(ADDRESS(MATCH(Agenda2526!C281,'CAL6'!A:A,0),2,4,1,"CAL6")),"")</f>
        <v/>
      </c>
      <c r="AF280" s="21">
        <f ca="1">IF(CALC2223!BC280&gt;0,INDIRECT(ADDRESS(MATCH(Agenda2526!C281,'CAL6'!A:A,0),3,4,1,"CAL6")),0)</f>
        <v>0</v>
      </c>
      <c r="AG280" s="20" t="str">
        <f ca="1">IF(CALC2223!BC280&gt;1,INDIRECT(ADDRESS(MATCH(Agenda2526!C281,'CAL6'!A:A,0)+1,2,4,1,"CAL6")),"")</f>
        <v/>
      </c>
      <c r="AH280" s="21">
        <f ca="1">IF(CALC2223!BC280&gt;1,INDIRECT(ADDRESS(MATCH(Agenda2526!C281,'CAL6'!A:A,0)+1,3,4,1,"CAL6")),0)</f>
        <v>0</v>
      </c>
      <c r="AI280" s="20" t="str">
        <f ca="1">IF(CALC2223!BC280&gt;2,INDIRECT(ADDRESS(MATCH(Agenda2526!C281,'CAL6'!A:A,0)+2,2,4,1,"CAL6")),"")</f>
        <v/>
      </c>
      <c r="AJ280" s="21">
        <f ca="1">IF(CALC2223!BC280&gt;2,INDIRECT(ADDRESS(MATCH(Agenda2526!C281,'CAL6'!A:A,0)+2,3,4,1,"CAL6")),0)</f>
        <v>0</v>
      </c>
      <c r="AK280" s="20" t="str">
        <f ca="1">IF(CALC2223!BD280&gt;0,INDIRECT(ADDRESS(MATCH(Agenda2526!C281,'CAL7'!A:A,0),2,4,1,"CAL7")),"")</f>
        <v/>
      </c>
      <c r="AL280" s="21">
        <f ca="1">IF(CALC2223!BD280&gt;0,INDIRECT(ADDRESS(MATCH(Agenda2526!C281,'CAL7'!A:A,0),3,4,1,"CAL7")),0)</f>
        <v>0</v>
      </c>
      <c r="AM280" s="20" t="str">
        <f ca="1">IF(CALC2223!BD280&gt;1,INDIRECT(ADDRESS(MATCH(Agenda2526!C281,'CAL7'!A:A,0)+1,2,4,1,"CAL7")),"")</f>
        <v/>
      </c>
      <c r="AN280" s="21">
        <f ca="1">IF(CALC2223!BD280&gt;1,INDIRECT(ADDRESS(MATCH(Agenda2526!C281,'CAL7'!A:A,0)+1,3,4,1,"CAL7")),0)</f>
        <v>0</v>
      </c>
      <c r="AO280" s="20" t="str">
        <f ca="1">IF(CALC2223!BD280&gt;2,INDIRECT(ADDRESS(MATCH(Agenda2526!C281,'CAL7'!A:A,0)+2,2,4,1,"CAL7")),"")</f>
        <v/>
      </c>
      <c r="AP280" s="21">
        <f ca="1">IF(CALC2223!BD280&gt;2,INDIRECT(ADDRESS(MATCH(Agenda2526!C281,'CAL7'!A:A,0)+2,3,4,1,"CAL7")),0)</f>
        <v>0</v>
      </c>
      <c r="AQ280" s="20" t="str">
        <f ca="1">IF(CALC2223!BE280&gt;0,INDIRECT(ADDRESS(MATCH(Agenda2526!C281,'CAL8'!A:A,0),2,4,1,"CAL8")),"")</f>
        <v/>
      </c>
      <c r="AR280" s="21">
        <f ca="1">IF(CALC2223!BE280&gt;0,INDIRECT(ADDRESS(MATCH(Agenda2526!C281,'CAL8'!A:A,0),3,4,1,"CAL8")),0)</f>
        <v>0</v>
      </c>
      <c r="AS280" s="20" t="str">
        <f ca="1">IF(CALC2223!BE280&gt;1,INDIRECT(ADDRESS(MATCH(Agenda2526!C281,'CAL8'!A:A,0)+1,2,4,1,"CAL8")),"")</f>
        <v/>
      </c>
      <c r="AT280" s="21">
        <f ca="1">IF(CALC2223!BE280&gt;1,INDIRECT(ADDRESS(MATCH(Agenda2526!C281,'CAL8'!A:A,0)+1,3,4,1,"CAL8")),0)</f>
        <v>0</v>
      </c>
      <c r="AU280" s="20" t="str">
        <f ca="1">IF(CALC2223!BE280&gt;2,INDIRECT(ADDRESS(MATCH(Agenda2526!C281,'CAL8'!A:A,0)+2,2,4,1,"CAL8")),"")</f>
        <v/>
      </c>
      <c r="AV280" s="21">
        <f ca="1">IF(CALC2223!BE280&gt;2,INDIRECT(ADDRESS(MATCH(Agenda2526!C281,'CAL8'!A:A,0)+2,3,4,1,"CAL8")),0)</f>
        <v>0</v>
      </c>
      <c r="AW280" s="106"/>
      <c r="AX280" s="20">
        <f>COUNTIF('CAL1'!A:A,Agenda2526!C281)</f>
        <v>0</v>
      </c>
      <c r="AY280" s="20">
        <f>COUNTIF('CAL2'!A:A,Agenda2526!C281)</f>
        <v>0</v>
      </c>
      <c r="AZ280" s="20">
        <f>COUNTIF('CAL3'!A:A,Agenda2526!C281)</f>
        <v>0</v>
      </c>
      <c r="BA280" s="20">
        <f>COUNTIF('CAL4'!A:A,Agenda2526!C281)</f>
        <v>0</v>
      </c>
      <c r="BB280" s="20">
        <f>COUNTIF('CAL5'!A:A,Agenda2526!C281)</f>
        <v>1</v>
      </c>
      <c r="BC280" s="20">
        <f>COUNTIF('CAL6'!A:A,Agenda2526!C281)</f>
        <v>0</v>
      </c>
      <c r="BD280" s="20">
        <f>COUNTIF('CAL7'!A:A,Agenda2526!C281)</f>
        <v>0</v>
      </c>
      <c r="BE280" s="20">
        <f>COUNTIF('CAL8'!A:A,Agenda2526!C281)</f>
        <v>0</v>
      </c>
    </row>
    <row r="281" spans="1:57" ht="15.75" customHeight="1">
      <c r="A281" s="20" t="str">
        <f ca="1">IF(CALC2223!AX281&gt;0,INDIRECT(ADDRESS(MATCH(Agenda2526!C282,'CAL1'!A:A,0),2,4,1,"CAL1")),"")</f>
        <v/>
      </c>
      <c r="B281" s="21">
        <f ca="1">IF(CALC2223!AX281&gt;0,INDIRECT(ADDRESS(MATCH(Agenda2526!C282,'CAL1'!A:A,0),3,4,1,"CAL1")),0)</f>
        <v>0</v>
      </c>
      <c r="C281" s="20" t="str">
        <f ca="1">IF(CALC2223!AX281&gt;1,INDIRECT(ADDRESS(MATCH(Agenda2526!C282,'CAL1'!A:A,0)+1,2,4,1,"CAL1")),"")</f>
        <v/>
      </c>
      <c r="D281" s="21">
        <f ca="1">IF(CALC2223!AX281&gt;1,INDIRECT(ADDRESS(MATCH(Agenda2526!C282,'CAL1'!A:A,0)+1,3,4,1,"CAL1")),0)</f>
        <v>0</v>
      </c>
      <c r="E281" s="20" t="str">
        <f ca="1">IF(CALC2223!AX281&gt;2,INDIRECT(ADDRESS(MATCH(Agenda2526!C282,'CAL1'!A:A,0)+2,2,4,1,"CAL1")),"")</f>
        <v/>
      </c>
      <c r="F281" s="21">
        <f ca="1">IF(CALC2223!AX281&gt;2,INDIRECT(ADDRESS(MATCH(Agenda2526!C282,'CAL1'!A:A,0)+2,3,4,1,"CAL1")),0)</f>
        <v>0</v>
      </c>
      <c r="G281" s="20" t="str">
        <f ca="1">IF(CALC2223!AY281&gt;0,INDIRECT(ADDRESS(MATCH(Agenda2526!C282,'CAL2'!A:A,0),2,4,1,"CAL2")),"")</f>
        <v/>
      </c>
      <c r="H281" s="21">
        <f ca="1">IF(CALC2223!AY281&gt;0,INDIRECT(ADDRESS(MATCH(Agenda2526!C282,'CAL2'!A:A,0),3,4,1,"CAL2")),0)</f>
        <v>0</v>
      </c>
      <c r="I281" s="20" t="str">
        <f ca="1">IF(CALC2223!AY281&gt;1,INDIRECT(ADDRESS(MATCH(Agenda2526!C282,'CAL2'!A:A,0)+1,2,4,1,"CAL2")),"")</f>
        <v/>
      </c>
      <c r="J281" s="21">
        <f ca="1">IF(CALC2223!AY281&gt;1,INDIRECT(ADDRESS(MATCH(Agenda2526!C282,'CAL2'!A:A,0)+1,3,4,1,"CAL2")),0)</f>
        <v>0</v>
      </c>
      <c r="K281" s="20" t="str">
        <f ca="1">IF(CALC2223!AY281&gt;2,INDIRECT(ADDRESS(MATCH(Agenda2526!C282,'CAL2'!A:A,0)+2,2,4,1,"CAL2")),"")</f>
        <v/>
      </c>
      <c r="L281" s="21">
        <f ca="1">IF(CALC2223!AY281&gt;2,INDIRECT(ADDRESS(MATCH(Agenda2526!C282,'CAL2'!A:A,0)+2,3,4,1,"CAL2")),0)</f>
        <v>0</v>
      </c>
      <c r="M281" s="20" t="str">
        <f ca="1">IF(CALC2223!AZ281&gt;0,INDIRECT(ADDRESS(MATCH(Agenda2526!C282,'CAL3'!A:A,0),2,4,1,"CAL3")),"")</f>
        <v/>
      </c>
      <c r="N281" s="21">
        <f ca="1">IF(CALC2223!AZ281&gt;0,INDIRECT(ADDRESS(MATCH(Agenda2526!C282,'CAL3'!A:A,0),3,4,1,"CAL3")),0)</f>
        <v>0</v>
      </c>
      <c r="O281" s="20" t="str">
        <f ca="1">IF(CALC2223!AZ281&gt;1,INDIRECT(ADDRESS(MATCH(Agenda2526!C282,'CAL3'!A:A,0)+1,2,4,1,"CAL3")),"")</f>
        <v/>
      </c>
      <c r="P281" s="21">
        <f ca="1">IF(CALC2223!AZ281&gt;1,INDIRECT(ADDRESS(MATCH(Agenda2526!C282,'CAL3'!A:A,0)+1,3,4,1,"CAL3")),0)</f>
        <v>0</v>
      </c>
      <c r="Q281" s="20" t="str">
        <f ca="1">IF(CALC2223!AZ281&gt;2,INDIRECT(ADDRESS(MATCH(Agenda2526!C282,'CAL3'!A:A,0)+2,2,4,1,"CAL3")),"")</f>
        <v/>
      </c>
      <c r="R281" s="21">
        <f ca="1">IF(CALC2223!AZ281&gt;2,INDIRECT(ADDRESS(MATCH(Agenda2526!C282,'CAL3'!A:A,0)+2,3,4,1,"CAL3")),0)</f>
        <v>0</v>
      </c>
      <c r="S281" s="20" t="str">
        <f ca="1">IF(CALC2223!BA281&gt;0,INDIRECT(ADDRESS(MATCH(Agenda2526!C282,'CAL4'!A:A,0),2,4,1,"CAL4")),"")</f>
        <v/>
      </c>
      <c r="T281" s="21">
        <f ca="1">IF(CALC2223!BA281&gt;0,INDIRECT(ADDRESS(MATCH(Agenda2526!C282,'CAL4'!A:A,0),3,4,1,"CAL4")),0)</f>
        <v>0</v>
      </c>
      <c r="U281" s="20" t="str">
        <f ca="1">IF(CALC2223!BA281&gt;1,INDIRECT(ADDRESS(MATCH(Agenda2526!C282,'CAL4'!A:A,0)+1,2,4,1,"CAL4")),"")</f>
        <v/>
      </c>
      <c r="V281" s="21">
        <f ca="1">IF(CALC2223!BA281&gt;1,INDIRECT(ADDRESS(MATCH(Agenda2526!C282,'CAL4'!A:A,0)+1,3,4,1,"CAL4")),0)</f>
        <v>0</v>
      </c>
      <c r="W281" s="20" t="str">
        <f ca="1">IF(CALC2223!BA281&gt;2,INDIRECT(ADDRESS(MATCH(Agenda2526!C282,'CAL4'!A:A,0)+2,2,4,1,"CAL4")),"")</f>
        <v/>
      </c>
      <c r="X281" s="21">
        <f ca="1">IF(CALC2223!BA281&gt;2,INDIRECT(ADDRESS(MATCH(Agenda2526!C282,'CAL4'!A:A,0)+2,3,4,1,"CAL4")),0)</f>
        <v>0</v>
      </c>
      <c r="Y281" s="20" t="str">
        <f ca="1">IF(CALC2223!BB281&gt;0,INDIRECT(ADDRESS(MATCH(Agenda2526!C282,'CAL5'!A:A,0),2,4,1,"CAL5")),"")</f>
        <v/>
      </c>
      <c r="Z281" s="21">
        <f ca="1">IF(CALC2223!BB281&gt;0,INDIRECT(ADDRESS(MATCH(Agenda2526!C282,'CAL5'!A:A,0),3,4,1,"CAL5")),0)</f>
        <v>0</v>
      </c>
      <c r="AA281" s="20" t="str">
        <f ca="1">IF(CALC2223!BB281&gt;1,INDIRECT(ADDRESS(MATCH(Agenda2526!C282,'CAL5'!A:A,0)+1,2,4,1,"CAL5")),"")</f>
        <v/>
      </c>
      <c r="AB281" s="21">
        <f ca="1">IF(CALC2223!BB281&gt;1,INDIRECT(ADDRESS(MATCH(Agenda2526!C282,'CAL5'!A:A,0)+1,3,4,1,"CAL5")),0)</f>
        <v>0</v>
      </c>
      <c r="AC281" s="20" t="str">
        <f ca="1">IF(CALC2223!BB281&gt;2,INDIRECT(ADDRESS(MATCH(Agenda2526!C282,'CAL5'!A:A,0)+2,2,4,1,"CAL5")),"")</f>
        <v/>
      </c>
      <c r="AD281" s="21">
        <f ca="1">IF(CALC2223!BB281&gt;2,INDIRECT(ADDRESS(MATCH(Agenda2526!C282,'CAL5'!A:A,0)+2,3,4,1,"CAL5")),0)</f>
        <v>0</v>
      </c>
      <c r="AE281" s="20" t="str">
        <f ca="1">IF(CALC2223!BC281&gt;0,INDIRECT(ADDRESS(MATCH(Agenda2526!C282,'CAL6'!A:A,0),2,4,1,"CAL6")),"")</f>
        <v/>
      </c>
      <c r="AF281" s="21">
        <f ca="1">IF(CALC2223!BC281&gt;0,INDIRECT(ADDRESS(MATCH(Agenda2526!C282,'CAL6'!A:A,0),3,4,1,"CAL6")),0)</f>
        <v>0</v>
      </c>
      <c r="AG281" s="20" t="str">
        <f ca="1">IF(CALC2223!BC281&gt;1,INDIRECT(ADDRESS(MATCH(Agenda2526!C282,'CAL6'!A:A,0)+1,2,4,1,"CAL6")),"")</f>
        <v/>
      </c>
      <c r="AH281" s="21">
        <f ca="1">IF(CALC2223!BC281&gt;1,INDIRECT(ADDRESS(MATCH(Agenda2526!C282,'CAL6'!A:A,0)+1,3,4,1,"CAL6")),0)</f>
        <v>0</v>
      </c>
      <c r="AI281" s="20" t="str">
        <f ca="1">IF(CALC2223!BC281&gt;2,INDIRECT(ADDRESS(MATCH(Agenda2526!C282,'CAL6'!A:A,0)+2,2,4,1,"CAL6")),"")</f>
        <v/>
      </c>
      <c r="AJ281" s="21">
        <f ca="1">IF(CALC2223!BC281&gt;2,INDIRECT(ADDRESS(MATCH(Agenda2526!C282,'CAL6'!A:A,0)+2,3,4,1,"CAL6")),0)</f>
        <v>0</v>
      </c>
      <c r="AK281" s="20" t="str">
        <f ca="1">IF(CALC2223!BD281&gt;0,INDIRECT(ADDRESS(MATCH(Agenda2526!C282,'CAL7'!A:A,0),2,4,1,"CAL7")),"")</f>
        <v/>
      </c>
      <c r="AL281" s="21">
        <f ca="1">IF(CALC2223!BD281&gt;0,INDIRECT(ADDRESS(MATCH(Agenda2526!C282,'CAL7'!A:A,0),3,4,1,"CAL7")),0)</f>
        <v>0</v>
      </c>
      <c r="AM281" s="20" t="str">
        <f ca="1">IF(CALC2223!BD281&gt;1,INDIRECT(ADDRESS(MATCH(Agenda2526!C282,'CAL7'!A:A,0)+1,2,4,1,"CAL7")),"")</f>
        <v/>
      </c>
      <c r="AN281" s="21">
        <f ca="1">IF(CALC2223!BD281&gt;1,INDIRECT(ADDRESS(MATCH(Agenda2526!C282,'CAL7'!A:A,0)+1,3,4,1,"CAL7")),0)</f>
        <v>0</v>
      </c>
      <c r="AO281" s="20" t="str">
        <f ca="1">IF(CALC2223!BD281&gt;2,INDIRECT(ADDRESS(MATCH(Agenda2526!C282,'CAL7'!A:A,0)+2,2,4,1,"CAL7")),"")</f>
        <v/>
      </c>
      <c r="AP281" s="21">
        <f ca="1">IF(CALC2223!BD281&gt;2,INDIRECT(ADDRESS(MATCH(Agenda2526!C282,'CAL7'!A:A,0)+2,3,4,1,"CAL7")),0)</f>
        <v>0</v>
      </c>
      <c r="AQ281" s="20" t="str">
        <f ca="1">IF(CALC2223!BE281&gt;0,INDIRECT(ADDRESS(MATCH(Agenda2526!C282,'CAL8'!A:A,0),2,4,1,"CAL8")),"")</f>
        <v/>
      </c>
      <c r="AR281" s="21">
        <f ca="1">IF(CALC2223!BE281&gt;0,INDIRECT(ADDRESS(MATCH(Agenda2526!C282,'CAL8'!A:A,0),3,4,1,"CAL8")),0)</f>
        <v>0</v>
      </c>
      <c r="AS281" s="20" t="str">
        <f ca="1">IF(CALC2223!BE281&gt;1,INDIRECT(ADDRESS(MATCH(Agenda2526!C282,'CAL8'!A:A,0)+1,2,4,1,"CAL8")),"")</f>
        <v/>
      </c>
      <c r="AT281" s="21">
        <f ca="1">IF(CALC2223!BE281&gt;1,INDIRECT(ADDRESS(MATCH(Agenda2526!C282,'CAL8'!A:A,0)+1,3,4,1,"CAL8")),0)</f>
        <v>0</v>
      </c>
      <c r="AU281" s="20" t="str">
        <f ca="1">IF(CALC2223!BE281&gt;2,INDIRECT(ADDRESS(MATCH(Agenda2526!C282,'CAL8'!A:A,0)+2,2,4,1,"CAL8")),"")</f>
        <v/>
      </c>
      <c r="AV281" s="21">
        <f ca="1">IF(CALC2223!BE281&gt;2,INDIRECT(ADDRESS(MATCH(Agenda2526!C282,'CAL8'!A:A,0)+2,3,4,1,"CAL8")),0)</f>
        <v>0</v>
      </c>
      <c r="AW281" s="106"/>
      <c r="AX281" s="20">
        <f>COUNTIF('CAL1'!A:A,Agenda2526!C282)</f>
        <v>0</v>
      </c>
      <c r="AY281" s="20">
        <f>COUNTIF('CAL2'!A:A,Agenda2526!C282)</f>
        <v>0</v>
      </c>
      <c r="AZ281" s="20">
        <f>COUNTIF('CAL3'!A:A,Agenda2526!C282)</f>
        <v>0</v>
      </c>
      <c r="BA281" s="20">
        <f>COUNTIF('CAL4'!A:A,Agenda2526!C282)</f>
        <v>0</v>
      </c>
      <c r="BB281" s="20">
        <f>COUNTIF('CAL5'!A:A,Agenda2526!C282)</f>
        <v>0</v>
      </c>
      <c r="BC281" s="20">
        <f>COUNTIF('CAL6'!A:A,Agenda2526!C282)</f>
        <v>0</v>
      </c>
      <c r="BD281" s="20">
        <f>COUNTIF('CAL7'!A:A,Agenda2526!C282)</f>
        <v>0</v>
      </c>
      <c r="BE281" s="20">
        <f>COUNTIF('CAL8'!A:A,Agenda2526!C282)</f>
        <v>0</v>
      </c>
    </row>
    <row r="282" spans="1:57" ht="15.75" customHeight="1">
      <c r="A282" s="20" t="str">
        <f ca="1">IF(CALC2223!AX282&gt;0,INDIRECT(ADDRESS(MATCH(Agenda2526!C283,'CAL1'!A:A,0),2,4,1,"CAL1")),"")</f>
        <v/>
      </c>
      <c r="B282" s="21">
        <f ca="1">IF(CALC2223!AX282&gt;0,INDIRECT(ADDRESS(MATCH(Agenda2526!C283,'CAL1'!A:A,0),3,4,1,"CAL1")),0)</f>
        <v>0</v>
      </c>
      <c r="C282" s="20" t="str">
        <f ca="1">IF(CALC2223!AX282&gt;1,INDIRECT(ADDRESS(MATCH(Agenda2526!C283,'CAL1'!A:A,0)+1,2,4,1,"CAL1")),"")</f>
        <v/>
      </c>
      <c r="D282" s="21">
        <f ca="1">IF(CALC2223!AX282&gt;1,INDIRECT(ADDRESS(MATCH(Agenda2526!C283,'CAL1'!A:A,0)+1,3,4,1,"CAL1")),0)</f>
        <v>0</v>
      </c>
      <c r="E282" s="20" t="str">
        <f ca="1">IF(CALC2223!AX282&gt;2,INDIRECT(ADDRESS(MATCH(Agenda2526!C283,'CAL1'!A:A,0)+2,2,4,1,"CAL1")),"")</f>
        <v/>
      </c>
      <c r="F282" s="21">
        <f ca="1">IF(CALC2223!AX282&gt;2,INDIRECT(ADDRESS(MATCH(Agenda2526!C283,'CAL1'!A:A,0)+2,3,4,1,"CAL1")),0)</f>
        <v>0</v>
      </c>
      <c r="G282" s="20" t="str">
        <f ca="1">IF(CALC2223!AY282&gt;0,INDIRECT(ADDRESS(MATCH(Agenda2526!C283,'CAL2'!A:A,0),2,4,1,"CAL2")),"")</f>
        <v/>
      </c>
      <c r="H282" s="21">
        <f ca="1">IF(CALC2223!AY282&gt;0,INDIRECT(ADDRESS(MATCH(Agenda2526!C283,'CAL2'!A:A,0),3,4,1,"CAL2")),0)</f>
        <v>0</v>
      </c>
      <c r="I282" s="20" t="str">
        <f ca="1">IF(CALC2223!AY282&gt;1,INDIRECT(ADDRESS(MATCH(Agenda2526!C283,'CAL2'!A:A,0)+1,2,4,1,"CAL2")),"")</f>
        <v/>
      </c>
      <c r="J282" s="21">
        <f ca="1">IF(CALC2223!AY282&gt;1,INDIRECT(ADDRESS(MATCH(Agenda2526!C283,'CAL2'!A:A,0)+1,3,4,1,"CAL2")),0)</f>
        <v>0</v>
      </c>
      <c r="K282" s="20" t="str">
        <f ca="1">IF(CALC2223!AY282&gt;2,INDIRECT(ADDRESS(MATCH(Agenda2526!C283,'CAL2'!A:A,0)+2,2,4,1,"CAL2")),"")</f>
        <v/>
      </c>
      <c r="L282" s="21">
        <f ca="1">IF(CALC2223!AY282&gt;2,INDIRECT(ADDRESS(MATCH(Agenda2526!C283,'CAL2'!A:A,0)+2,3,4,1,"CAL2")),0)</f>
        <v>0</v>
      </c>
      <c r="M282" s="20" t="str">
        <f ca="1">IF(CALC2223!AZ282&gt;0,INDIRECT(ADDRESS(MATCH(Agenda2526!C283,'CAL3'!A:A,0),2,4,1,"CAL3")),"")</f>
        <v/>
      </c>
      <c r="N282" s="21">
        <f ca="1">IF(CALC2223!AZ282&gt;0,INDIRECT(ADDRESS(MATCH(Agenda2526!C283,'CAL3'!A:A,0),3,4,1,"CAL3")),0)</f>
        <v>0</v>
      </c>
      <c r="O282" s="20" t="str">
        <f ca="1">IF(CALC2223!AZ282&gt;1,INDIRECT(ADDRESS(MATCH(Agenda2526!C283,'CAL3'!A:A,0)+1,2,4,1,"CAL3")),"")</f>
        <v/>
      </c>
      <c r="P282" s="21">
        <f ca="1">IF(CALC2223!AZ282&gt;1,INDIRECT(ADDRESS(MATCH(Agenda2526!C283,'CAL3'!A:A,0)+1,3,4,1,"CAL3")),0)</f>
        <v>0</v>
      </c>
      <c r="Q282" s="20" t="str">
        <f ca="1">IF(CALC2223!AZ282&gt;2,INDIRECT(ADDRESS(MATCH(Agenda2526!C283,'CAL3'!A:A,0)+2,2,4,1,"CAL3")),"")</f>
        <v/>
      </c>
      <c r="R282" s="21">
        <f ca="1">IF(CALC2223!AZ282&gt;2,INDIRECT(ADDRESS(MATCH(Agenda2526!C283,'CAL3'!A:A,0)+2,3,4,1,"CAL3")),0)</f>
        <v>0</v>
      </c>
      <c r="S282" s="20" t="str">
        <f ca="1">IF(CALC2223!BA282&gt;0,INDIRECT(ADDRESS(MATCH(Agenda2526!C283,'CAL4'!A:A,0),2,4,1,"CAL4")),"")</f>
        <v>inh rep NA</v>
      </c>
      <c r="T282" s="21">
        <f ca="1">IF(CALC2223!BA282&gt;0,INDIRECT(ADDRESS(MATCH(Agenda2526!C283,'CAL4'!A:A,0),3,4,1,"CAL4")),0)</f>
        <v>45936</v>
      </c>
      <c r="U282" s="20" t="str">
        <f ca="1">IF(CALC2223!BA282&gt;1,INDIRECT(ADDRESS(MATCH(Agenda2526!C283,'CAL4'!A:A,0)+1,2,4,1,"CAL4")),"")</f>
        <v/>
      </c>
      <c r="V282" s="21">
        <f ca="1">IF(CALC2223!BA282&gt;1,INDIRECT(ADDRESS(MATCH(Agenda2526!C283,'CAL4'!A:A,0)+1,3,4,1,"CAL4")),0)</f>
        <v>0</v>
      </c>
      <c r="W282" s="20" t="str">
        <f ca="1">IF(CALC2223!BA282&gt;2,INDIRECT(ADDRESS(MATCH(Agenda2526!C283,'CAL4'!A:A,0)+2,2,4,1,"CAL4")),"")</f>
        <v/>
      </c>
      <c r="X282" s="21">
        <f ca="1">IF(CALC2223!BA282&gt;2,INDIRECT(ADDRESS(MATCH(Agenda2526!C283,'CAL4'!A:A,0)+2,3,4,1,"CAL4")),0)</f>
        <v>0</v>
      </c>
      <c r="Y282" s="20" t="str">
        <f ca="1">IF(CALC2223!BB282&gt;0,INDIRECT(ADDRESS(MATCH(Agenda2526!C283,'CAL5'!A:A,0),2,4,1,"CAL5")),"")</f>
        <v>inh rep EC</v>
      </c>
      <c r="Z282" s="21">
        <f ca="1">IF(CALC2223!BB282&gt;0,INDIRECT(ADDRESS(MATCH(Agenda2526!C283,'CAL5'!A:A,0),3,4,1,"CAL5")),0)</f>
        <v>45936</v>
      </c>
      <c r="AA282" s="20" t="str">
        <f ca="1">IF(CALC2223!BB282&gt;1,INDIRECT(ADDRESS(MATCH(Agenda2526!C283,'CAL5'!A:A,0)+1,2,4,1,"CAL5")),"")</f>
        <v/>
      </c>
      <c r="AB282" s="21">
        <f ca="1">IF(CALC2223!BB282&gt;1,INDIRECT(ADDRESS(MATCH(Agenda2526!C283,'CAL5'!A:A,0)+1,3,4,1,"CAL5")),0)</f>
        <v>0</v>
      </c>
      <c r="AC282" s="20" t="str">
        <f ca="1">IF(CALC2223!BB282&gt;2,INDIRECT(ADDRESS(MATCH(Agenda2526!C283,'CAL5'!A:A,0)+2,2,4,1,"CAL5")),"")</f>
        <v/>
      </c>
      <c r="AD282" s="21">
        <f ca="1">IF(CALC2223!BB282&gt;2,INDIRECT(ADDRESS(MATCH(Agenda2526!C283,'CAL5'!A:A,0)+2,3,4,1,"CAL5")),0)</f>
        <v>0</v>
      </c>
      <c r="AE282" s="20" t="str">
        <f ca="1">IF(CALC2223!BC282&gt;0,INDIRECT(ADDRESS(MATCH(Agenda2526!C283,'CAL6'!A:A,0),2,4,1,"CAL6")),"")</f>
        <v/>
      </c>
      <c r="AF282" s="21">
        <f ca="1">IF(CALC2223!BC282&gt;0,INDIRECT(ADDRESS(MATCH(Agenda2526!C283,'CAL6'!A:A,0),3,4,1,"CAL6")),0)</f>
        <v>0</v>
      </c>
      <c r="AG282" s="20" t="str">
        <f ca="1">IF(CALC2223!BC282&gt;1,INDIRECT(ADDRESS(MATCH(Agenda2526!C283,'CAL6'!A:A,0)+1,2,4,1,"CAL6")),"")</f>
        <v/>
      </c>
      <c r="AH282" s="21">
        <f ca="1">IF(CALC2223!BC282&gt;1,INDIRECT(ADDRESS(MATCH(Agenda2526!C283,'CAL6'!A:A,0)+1,3,4,1,"CAL6")),0)</f>
        <v>0</v>
      </c>
      <c r="AI282" s="20" t="str">
        <f ca="1">IF(CALC2223!BC282&gt;2,INDIRECT(ADDRESS(MATCH(Agenda2526!C283,'CAL6'!A:A,0)+2,2,4,1,"CAL6")),"")</f>
        <v/>
      </c>
      <c r="AJ282" s="21">
        <f ca="1">IF(CALC2223!BC282&gt;2,INDIRECT(ADDRESS(MATCH(Agenda2526!C283,'CAL6'!A:A,0)+2,3,4,1,"CAL6")),0)</f>
        <v>0</v>
      </c>
      <c r="AK282" s="20" t="str">
        <f ca="1">IF(CALC2223!BD282&gt;0,INDIRECT(ADDRESS(MATCH(Agenda2526!C283,'CAL7'!A:A,0),2,4,1,"CAL7")),"")</f>
        <v/>
      </c>
      <c r="AL282" s="21">
        <f ca="1">IF(CALC2223!BD282&gt;0,INDIRECT(ADDRESS(MATCH(Agenda2526!C283,'CAL7'!A:A,0),3,4,1,"CAL7")),0)</f>
        <v>0</v>
      </c>
      <c r="AM282" s="20" t="str">
        <f ca="1">IF(CALC2223!BD282&gt;1,INDIRECT(ADDRESS(MATCH(Agenda2526!C283,'CAL7'!A:A,0)+1,2,4,1,"CAL7")),"")</f>
        <v/>
      </c>
      <c r="AN282" s="21">
        <f ca="1">IF(CALC2223!BD282&gt;1,INDIRECT(ADDRESS(MATCH(Agenda2526!C283,'CAL7'!A:A,0)+1,3,4,1,"CAL7")),0)</f>
        <v>0</v>
      </c>
      <c r="AO282" s="20" t="str">
        <f ca="1">IF(CALC2223!BD282&gt;2,INDIRECT(ADDRESS(MATCH(Agenda2526!C283,'CAL7'!A:A,0)+2,2,4,1,"CAL7")),"")</f>
        <v/>
      </c>
      <c r="AP282" s="21">
        <f ca="1">IF(CALC2223!BD282&gt;2,INDIRECT(ADDRESS(MATCH(Agenda2526!C283,'CAL7'!A:A,0)+2,3,4,1,"CAL7")),0)</f>
        <v>0</v>
      </c>
      <c r="AQ282" s="20" t="str">
        <f ca="1">IF(CALC2223!BE282&gt;0,INDIRECT(ADDRESS(MATCH(Agenda2526!C283,'CAL8'!A:A,0),2,4,1,"CAL8")),"")</f>
        <v/>
      </c>
      <c r="AR282" s="21">
        <f ca="1">IF(CALC2223!BE282&gt;0,INDIRECT(ADDRESS(MATCH(Agenda2526!C283,'CAL8'!A:A,0),3,4,1,"CAL8")),0)</f>
        <v>0</v>
      </c>
      <c r="AS282" s="20" t="str">
        <f ca="1">IF(CALC2223!BE282&gt;1,INDIRECT(ADDRESS(MATCH(Agenda2526!C283,'CAL8'!A:A,0)+1,2,4,1,"CAL8")),"")</f>
        <v/>
      </c>
      <c r="AT282" s="21">
        <f ca="1">IF(CALC2223!BE282&gt;1,INDIRECT(ADDRESS(MATCH(Agenda2526!C283,'CAL8'!A:A,0)+1,3,4,1,"CAL8")),0)</f>
        <v>0</v>
      </c>
      <c r="AU282" s="20" t="str">
        <f ca="1">IF(CALC2223!BE282&gt;2,INDIRECT(ADDRESS(MATCH(Agenda2526!C283,'CAL8'!A:A,0)+2,2,4,1,"CAL8")),"")</f>
        <v/>
      </c>
      <c r="AV282" s="21">
        <f ca="1">IF(CALC2223!BE282&gt;2,INDIRECT(ADDRESS(MATCH(Agenda2526!C283,'CAL8'!A:A,0)+2,3,4,1,"CAL8")),0)</f>
        <v>0</v>
      </c>
      <c r="AW282" s="105"/>
      <c r="AX282" s="20">
        <f>COUNTIF('CAL1'!A:A,Agenda2526!C283)</f>
        <v>0</v>
      </c>
      <c r="AY282" s="20">
        <f>COUNTIF('CAL2'!A:A,Agenda2526!C283)</f>
        <v>0</v>
      </c>
      <c r="AZ282" s="20">
        <f>COUNTIF('CAL3'!A:A,Agenda2526!C283)</f>
        <v>0</v>
      </c>
      <c r="BA282" s="20">
        <f>COUNTIF('CAL4'!A:A,Agenda2526!C283)</f>
        <v>1</v>
      </c>
      <c r="BB282" s="20">
        <f>COUNTIF('CAL5'!A:A,Agenda2526!C283)</f>
        <v>1</v>
      </c>
      <c r="BC282" s="20">
        <f>COUNTIF('CAL6'!A:A,Agenda2526!C283)</f>
        <v>0</v>
      </c>
      <c r="BD282" s="20">
        <f>COUNTIF('CAL7'!A:A,Agenda2526!C283)</f>
        <v>0</v>
      </c>
      <c r="BE282" s="20">
        <f>COUNTIF('CAL8'!A:A,Agenda2526!C283)</f>
        <v>0</v>
      </c>
    </row>
    <row r="283" spans="1:57" ht="15.75" customHeight="1">
      <c r="A283" s="20" t="str">
        <f ca="1">IF(CALC2223!AX283&gt;0,INDIRECT(ADDRESS(MATCH(Agenda2526!C284,'CAL1'!A:A,0),2,4,1,"CAL1")),"")</f>
        <v/>
      </c>
      <c r="B283" s="21">
        <f ca="1">IF(CALC2223!AX283&gt;0,INDIRECT(ADDRESS(MATCH(Agenda2526!C284,'CAL1'!A:A,0),3,4,1,"CAL1")),0)</f>
        <v>0</v>
      </c>
      <c r="C283" s="20" t="str">
        <f ca="1">IF(CALC2223!AX283&gt;1,INDIRECT(ADDRESS(MATCH(Agenda2526!C284,'CAL1'!A:A,0)+1,2,4,1,"CAL1")),"")</f>
        <v/>
      </c>
      <c r="D283" s="21">
        <f ca="1">IF(CALC2223!AX283&gt;1,INDIRECT(ADDRESS(MATCH(Agenda2526!C284,'CAL1'!A:A,0)+1,3,4,1,"CAL1")),0)</f>
        <v>0</v>
      </c>
      <c r="E283" s="20" t="str">
        <f ca="1">IF(CALC2223!AX283&gt;2,INDIRECT(ADDRESS(MATCH(Agenda2526!C284,'CAL1'!A:A,0)+2,2,4,1,"CAL1")),"")</f>
        <v/>
      </c>
      <c r="F283" s="21">
        <f ca="1">IF(CALC2223!AX283&gt;2,INDIRECT(ADDRESS(MATCH(Agenda2526!C284,'CAL1'!A:A,0)+2,3,4,1,"CAL1")),0)</f>
        <v>0</v>
      </c>
      <c r="G283" s="20" t="str">
        <f ca="1">IF(CALC2223!AY283&gt;0,INDIRECT(ADDRESS(MATCH(Agenda2526!C284,'CAL2'!A:A,0),2,4,1,"CAL2")),"")</f>
        <v/>
      </c>
      <c r="H283" s="21">
        <f ca="1">IF(CALC2223!AY283&gt;0,INDIRECT(ADDRESS(MATCH(Agenda2526!C284,'CAL2'!A:A,0),3,4,1,"CAL2")),0)</f>
        <v>0</v>
      </c>
      <c r="I283" s="20" t="str">
        <f ca="1">IF(CALC2223!AY283&gt;1,INDIRECT(ADDRESS(MATCH(Agenda2526!C284,'CAL2'!A:A,0)+1,2,4,1,"CAL2")),"")</f>
        <v/>
      </c>
      <c r="J283" s="21">
        <f ca="1">IF(CALC2223!AY283&gt;1,INDIRECT(ADDRESS(MATCH(Agenda2526!C284,'CAL2'!A:A,0)+1,3,4,1,"CAL2")),0)</f>
        <v>0</v>
      </c>
      <c r="K283" s="20" t="str">
        <f ca="1">IF(CALC2223!AY283&gt;2,INDIRECT(ADDRESS(MATCH(Agenda2526!C284,'CAL2'!A:A,0)+2,2,4,1,"CAL2")),"")</f>
        <v/>
      </c>
      <c r="L283" s="21">
        <f ca="1">IF(CALC2223!AY283&gt;2,INDIRECT(ADDRESS(MATCH(Agenda2526!C284,'CAL2'!A:A,0)+2,3,4,1,"CAL2")),0)</f>
        <v>0</v>
      </c>
      <c r="M283" s="20" t="str">
        <f ca="1">IF(CALC2223!AZ283&gt;0,INDIRECT(ADDRESS(MATCH(Agenda2526!C284,'CAL3'!A:A,0),2,4,1,"CAL3")),"")</f>
        <v/>
      </c>
      <c r="N283" s="21">
        <f ca="1">IF(CALC2223!AZ283&gt;0,INDIRECT(ADDRESS(MATCH(Agenda2526!C284,'CAL3'!A:A,0),3,4,1,"CAL3")),0)</f>
        <v>0</v>
      </c>
      <c r="O283" s="20" t="str">
        <f ca="1">IF(CALC2223!AZ283&gt;1,INDIRECT(ADDRESS(MATCH(Agenda2526!C284,'CAL3'!A:A,0)+1,2,4,1,"CAL3")),"")</f>
        <v/>
      </c>
      <c r="P283" s="21">
        <f ca="1">IF(CALC2223!AZ283&gt;1,INDIRECT(ADDRESS(MATCH(Agenda2526!C284,'CAL3'!A:A,0)+1,3,4,1,"CAL3")),0)</f>
        <v>0</v>
      </c>
      <c r="Q283" s="20" t="str">
        <f ca="1">IF(CALC2223!AZ283&gt;2,INDIRECT(ADDRESS(MATCH(Agenda2526!C284,'CAL3'!A:A,0)+2,2,4,1,"CAL3")),"")</f>
        <v/>
      </c>
      <c r="R283" s="21">
        <f ca="1">IF(CALC2223!AZ283&gt;2,INDIRECT(ADDRESS(MATCH(Agenda2526!C284,'CAL3'!A:A,0)+2,3,4,1,"CAL3")),0)</f>
        <v>0</v>
      </c>
      <c r="S283" s="20" t="str">
        <f ca="1">IF(CALC2223!BA283&gt;0,INDIRECT(ADDRESS(MATCH(Agenda2526!C284,'CAL4'!A:A,0),2,4,1,"CAL4")),"")</f>
        <v>Rep NE</v>
      </c>
      <c r="T283" s="21">
        <f ca="1">IF(CALC2223!BA283&gt;0,INDIRECT(ADDRESS(MATCH(Agenda2526!C284,'CAL4'!A:A,0),3,4,1,"CAL4")),0)</f>
        <v>45896</v>
      </c>
      <c r="U283" s="20" t="str">
        <f ca="1">IF(CALC2223!BA283&gt;1,INDIRECT(ADDRESS(MATCH(Agenda2526!C284,'CAL4'!A:A,0)+1,2,4,1,"CAL4")),"")</f>
        <v/>
      </c>
      <c r="V283" s="21">
        <f ca="1">IF(CALC2223!BA283&gt;1,INDIRECT(ADDRESS(MATCH(Agenda2526!C284,'CAL4'!A:A,0)+1,3,4,1,"CAL4")),0)</f>
        <v>0</v>
      </c>
      <c r="W283" s="20" t="str">
        <f ca="1">IF(CALC2223!BA283&gt;2,INDIRECT(ADDRESS(MATCH(Agenda2526!C284,'CAL4'!A:A,0)+2,2,4,1,"CAL4")),"")</f>
        <v/>
      </c>
      <c r="X283" s="21">
        <f ca="1">IF(CALC2223!BA283&gt;2,INDIRECT(ADDRESS(MATCH(Agenda2526!C284,'CAL4'!A:A,0)+2,3,4,1,"CAL4")),0)</f>
        <v>0</v>
      </c>
      <c r="Y283" s="20" t="str">
        <f ca="1">IF(CALC2223!BB283&gt;0,INDIRECT(ADDRESS(MATCH(Agenda2526!C284,'CAL5'!A:A,0),2,4,1,"CAL5")),"")</f>
        <v/>
      </c>
      <c r="Z283" s="21">
        <f ca="1">IF(CALC2223!BB283&gt;0,INDIRECT(ADDRESS(MATCH(Agenda2526!C284,'CAL5'!A:A,0),3,4,1,"CAL5")),0)</f>
        <v>0</v>
      </c>
      <c r="AA283" s="20" t="str">
        <f ca="1">IF(CALC2223!BB283&gt;1,INDIRECT(ADDRESS(MATCH(Agenda2526!C284,'CAL5'!A:A,0)+1,2,4,1,"CAL5")),"")</f>
        <v/>
      </c>
      <c r="AB283" s="21">
        <f ca="1">IF(CALC2223!BB283&gt;1,INDIRECT(ADDRESS(MATCH(Agenda2526!C284,'CAL5'!A:A,0)+1,3,4,1,"CAL5")),0)</f>
        <v>0</v>
      </c>
      <c r="AC283" s="20" t="str">
        <f ca="1">IF(CALC2223!BB283&gt;2,INDIRECT(ADDRESS(MATCH(Agenda2526!C284,'CAL5'!A:A,0)+2,2,4,1,"CAL5")),"")</f>
        <v/>
      </c>
      <c r="AD283" s="21">
        <f ca="1">IF(CALC2223!BB283&gt;2,INDIRECT(ADDRESS(MATCH(Agenda2526!C284,'CAL5'!A:A,0)+2,3,4,1,"CAL5")),0)</f>
        <v>0</v>
      </c>
      <c r="AE283" s="20" t="str">
        <f ca="1">IF(CALC2223!BC283&gt;0,INDIRECT(ADDRESS(MATCH(Agenda2526!C284,'CAL6'!A:A,0),2,4,1,"CAL6")),"")</f>
        <v/>
      </c>
      <c r="AF283" s="21">
        <f ca="1">IF(CALC2223!BC283&gt;0,INDIRECT(ADDRESS(MATCH(Agenda2526!C284,'CAL6'!A:A,0),3,4,1,"CAL6")),0)</f>
        <v>0</v>
      </c>
      <c r="AG283" s="20" t="str">
        <f ca="1">IF(CALC2223!BC283&gt;1,INDIRECT(ADDRESS(MATCH(Agenda2526!C284,'CAL6'!A:A,0)+1,2,4,1,"CAL6")),"")</f>
        <v/>
      </c>
      <c r="AH283" s="21">
        <f ca="1">IF(CALC2223!BC283&gt;1,INDIRECT(ADDRESS(MATCH(Agenda2526!C284,'CAL6'!A:A,0)+1,3,4,1,"CAL6")),0)</f>
        <v>0</v>
      </c>
      <c r="AI283" s="20" t="str">
        <f ca="1">IF(CALC2223!BC283&gt;2,INDIRECT(ADDRESS(MATCH(Agenda2526!C284,'CAL6'!A:A,0)+2,2,4,1,"CAL6")),"")</f>
        <v/>
      </c>
      <c r="AJ283" s="21">
        <f ca="1">IF(CALC2223!BC283&gt;2,INDIRECT(ADDRESS(MATCH(Agenda2526!C284,'CAL6'!A:A,0)+2,3,4,1,"CAL6")),0)</f>
        <v>0</v>
      </c>
      <c r="AK283" s="20" t="str">
        <f ca="1">IF(CALC2223!BD283&gt;0,INDIRECT(ADDRESS(MATCH(Agenda2526!C284,'CAL7'!A:A,0),2,4,1,"CAL7")),"")</f>
        <v/>
      </c>
      <c r="AL283" s="21">
        <f ca="1">IF(CALC2223!BD283&gt;0,INDIRECT(ADDRESS(MATCH(Agenda2526!C284,'CAL7'!A:A,0),3,4,1,"CAL7")),0)</f>
        <v>0</v>
      </c>
      <c r="AM283" s="20" t="str">
        <f ca="1">IF(CALC2223!BD283&gt;1,INDIRECT(ADDRESS(MATCH(Agenda2526!C284,'CAL7'!A:A,0)+1,2,4,1,"CAL7")),"")</f>
        <v/>
      </c>
      <c r="AN283" s="21">
        <f ca="1">IF(CALC2223!BD283&gt;1,INDIRECT(ADDRESS(MATCH(Agenda2526!C284,'CAL7'!A:A,0)+1,3,4,1,"CAL7")),0)</f>
        <v>0</v>
      </c>
      <c r="AO283" s="20" t="str">
        <f ca="1">IF(CALC2223!BD283&gt;2,INDIRECT(ADDRESS(MATCH(Agenda2526!C284,'CAL7'!A:A,0)+2,2,4,1,"CAL7")),"")</f>
        <v/>
      </c>
      <c r="AP283" s="21">
        <f ca="1">IF(CALC2223!BD283&gt;2,INDIRECT(ADDRESS(MATCH(Agenda2526!C284,'CAL7'!A:A,0)+2,3,4,1,"CAL7")),0)</f>
        <v>0</v>
      </c>
      <c r="AQ283" s="20" t="str">
        <f ca="1">IF(CALC2223!BE283&gt;0,INDIRECT(ADDRESS(MATCH(Agenda2526!C284,'CAL8'!A:A,0),2,4,1,"CAL8")),"")</f>
        <v>ouderavond Ardennenkamp</v>
      </c>
      <c r="AR283" s="21">
        <f ca="1">IF(CALC2223!BE283&gt;0,INDIRECT(ADDRESS(MATCH(Agenda2526!C284,'CAL8'!A:A,0),3,4,1,"CAL8")),0)</f>
        <v>45966</v>
      </c>
      <c r="AS283" s="20" t="str">
        <f ca="1">IF(CALC2223!BE283&gt;1,INDIRECT(ADDRESS(MATCH(Agenda2526!C284,'CAL8'!A:A,0)+1,2,4,1,"CAL8")),"")</f>
        <v/>
      </c>
      <c r="AT283" s="21">
        <f ca="1">IF(CALC2223!BE283&gt;1,INDIRECT(ADDRESS(MATCH(Agenda2526!C284,'CAL8'!A:A,0)+1,3,4,1,"CAL8")),0)</f>
        <v>0</v>
      </c>
      <c r="AU283" s="20" t="str">
        <f ca="1">IF(CALC2223!BE283&gt;2,INDIRECT(ADDRESS(MATCH(Agenda2526!C284,'CAL8'!A:A,0)+2,2,4,1,"CAL8")),"")</f>
        <v/>
      </c>
      <c r="AV283" s="21">
        <f ca="1">IF(CALC2223!BE283&gt;2,INDIRECT(ADDRESS(MATCH(Agenda2526!C284,'CAL8'!A:A,0)+2,3,4,1,"CAL8")),0)</f>
        <v>0</v>
      </c>
      <c r="AW283" s="105"/>
      <c r="AX283" s="20">
        <f>COUNTIF('CAL1'!A:A,Agenda2526!C284)</f>
        <v>0</v>
      </c>
      <c r="AY283" s="20">
        <f>COUNTIF('CAL2'!A:A,Agenda2526!C284)</f>
        <v>0</v>
      </c>
      <c r="AZ283" s="20">
        <f>COUNTIF('CAL3'!A:A,Agenda2526!C284)</f>
        <v>0</v>
      </c>
      <c r="BA283" s="20">
        <f>COUNTIF('CAL4'!A:A,Agenda2526!C284)</f>
        <v>1</v>
      </c>
      <c r="BB283" s="20">
        <f>COUNTIF('CAL5'!A:A,Agenda2526!C284)</f>
        <v>0</v>
      </c>
      <c r="BC283" s="20">
        <f>COUNTIF('CAL6'!A:A,Agenda2526!C284)</f>
        <v>0</v>
      </c>
      <c r="BD283" s="20">
        <f>COUNTIF('CAL7'!A:A,Agenda2526!C284)</f>
        <v>0</v>
      </c>
      <c r="BE283" s="20">
        <f>COUNTIF('CAL8'!A:A,Agenda2526!C284)</f>
        <v>1</v>
      </c>
    </row>
    <row r="284" spans="1:57" ht="15.75" customHeight="1">
      <c r="A284" s="20" t="str">
        <f ca="1">IF(CALC2223!AX284&gt;0,INDIRECT(ADDRESS(MATCH(Agenda2526!C285,'CAL1'!A:A,0),2,4,1,"CAL1")),"")</f>
        <v/>
      </c>
      <c r="B284" s="21">
        <f ca="1">IF(CALC2223!AX284&gt;0,INDIRECT(ADDRESS(MATCH(Agenda2526!C285,'CAL1'!A:A,0),3,4,1,"CAL1")),0)</f>
        <v>0</v>
      </c>
      <c r="C284" s="20" t="str">
        <f ca="1">IF(CALC2223!AX284&gt;1,INDIRECT(ADDRESS(MATCH(Agenda2526!C285,'CAL1'!A:A,0)+1,2,4,1,"CAL1")),"")</f>
        <v/>
      </c>
      <c r="D284" s="21">
        <f ca="1">IF(CALC2223!AX284&gt;1,INDIRECT(ADDRESS(MATCH(Agenda2526!C285,'CAL1'!A:A,0)+1,3,4,1,"CAL1")),0)</f>
        <v>0</v>
      </c>
      <c r="E284" s="20" t="str">
        <f ca="1">IF(CALC2223!AX284&gt;2,INDIRECT(ADDRESS(MATCH(Agenda2526!C285,'CAL1'!A:A,0)+2,2,4,1,"CAL1")),"")</f>
        <v/>
      </c>
      <c r="F284" s="21">
        <f ca="1">IF(CALC2223!AX284&gt;2,INDIRECT(ADDRESS(MATCH(Agenda2526!C285,'CAL1'!A:A,0)+2,3,4,1,"CAL1")),0)</f>
        <v>0</v>
      </c>
      <c r="G284" s="20" t="str">
        <f ca="1">IF(CALC2223!AY284&gt;0,INDIRECT(ADDRESS(MATCH(Agenda2526!C285,'CAL2'!A:A,0),2,4,1,"CAL2")),"")</f>
        <v/>
      </c>
      <c r="H284" s="21">
        <f ca="1">IF(CALC2223!AY284&gt;0,INDIRECT(ADDRESS(MATCH(Agenda2526!C285,'CAL2'!A:A,0),3,4,1,"CAL2")),0)</f>
        <v>0</v>
      </c>
      <c r="I284" s="20" t="str">
        <f ca="1">IF(CALC2223!AY284&gt;1,INDIRECT(ADDRESS(MATCH(Agenda2526!C285,'CAL2'!A:A,0)+1,2,4,1,"CAL2")),"")</f>
        <v/>
      </c>
      <c r="J284" s="21">
        <f ca="1">IF(CALC2223!AY284&gt;1,INDIRECT(ADDRESS(MATCH(Agenda2526!C285,'CAL2'!A:A,0)+1,3,4,1,"CAL2")),0)</f>
        <v>0</v>
      </c>
      <c r="K284" s="20" t="str">
        <f ca="1">IF(CALC2223!AY284&gt;2,INDIRECT(ADDRESS(MATCH(Agenda2526!C285,'CAL2'!A:A,0)+2,2,4,1,"CAL2")),"")</f>
        <v/>
      </c>
      <c r="L284" s="21">
        <f ca="1">IF(CALC2223!AY284&gt;2,INDIRECT(ADDRESS(MATCH(Agenda2526!C285,'CAL2'!A:A,0)+2,3,4,1,"CAL2")),0)</f>
        <v>0</v>
      </c>
      <c r="M284" s="20" t="str">
        <f ca="1">IF(CALC2223!AZ284&gt;0,INDIRECT(ADDRESS(MATCH(Agenda2526!C285,'CAL3'!A:A,0),2,4,1,"CAL3")),"")</f>
        <v/>
      </c>
      <c r="N284" s="21">
        <f ca="1">IF(CALC2223!AZ284&gt;0,INDIRECT(ADDRESS(MATCH(Agenda2526!C285,'CAL3'!A:A,0),3,4,1,"CAL3")),0)</f>
        <v>0</v>
      </c>
      <c r="O284" s="20" t="str">
        <f ca="1">IF(CALC2223!AZ284&gt;1,INDIRECT(ADDRESS(MATCH(Agenda2526!C285,'CAL3'!A:A,0)+1,2,4,1,"CAL3")),"")</f>
        <v/>
      </c>
      <c r="P284" s="21">
        <f ca="1">IF(CALC2223!AZ284&gt;1,INDIRECT(ADDRESS(MATCH(Agenda2526!C285,'CAL3'!A:A,0)+1,3,4,1,"CAL3")),0)</f>
        <v>0</v>
      </c>
      <c r="Q284" s="20" t="str">
        <f ca="1">IF(CALC2223!AZ284&gt;2,INDIRECT(ADDRESS(MATCH(Agenda2526!C285,'CAL3'!A:A,0)+2,2,4,1,"CAL3")),"")</f>
        <v/>
      </c>
      <c r="R284" s="21">
        <f ca="1">IF(CALC2223!AZ284&gt;2,INDIRECT(ADDRESS(MATCH(Agenda2526!C285,'CAL3'!A:A,0)+2,3,4,1,"CAL3")),0)</f>
        <v>0</v>
      </c>
      <c r="S284" s="20" t="str">
        <f ca="1">IF(CALC2223!BA284&gt;0,INDIRECT(ADDRESS(MATCH(Agenda2526!C285,'CAL4'!A:A,0),2,4,1,"CAL4")),"")</f>
        <v/>
      </c>
      <c r="T284" s="21">
        <f ca="1">IF(CALC2223!BA284&gt;0,INDIRECT(ADDRESS(MATCH(Agenda2526!C285,'CAL4'!A:A,0),3,4,1,"CAL4")),0)</f>
        <v>0</v>
      </c>
      <c r="U284" s="20" t="str">
        <f ca="1">IF(CALC2223!BA284&gt;1,INDIRECT(ADDRESS(MATCH(Agenda2526!C285,'CAL4'!A:A,0)+1,2,4,1,"CAL4")),"")</f>
        <v/>
      </c>
      <c r="V284" s="21">
        <f ca="1">IF(CALC2223!BA284&gt;1,INDIRECT(ADDRESS(MATCH(Agenda2526!C285,'CAL4'!A:A,0)+1,3,4,1,"CAL4")),0)</f>
        <v>0</v>
      </c>
      <c r="W284" s="20" t="str">
        <f ca="1">IF(CALC2223!BA284&gt;2,INDIRECT(ADDRESS(MATCH(Agenda2526!C285,'CAL4'!A:A,0)+2,2,4,1,"CAL4")),"")</f>
        <v/>
      </c>
      <c r="X284" s="21">
        <f ca="1">IF(CALC2223!BA284&gt;2,INDIRECT(ADDRESS(MATCH(Agenda2526!C285,'CAL4'!A:A,0)+2,3,4,1,"CAL4")),0)</f>
        <v>0</v>
      </c>
      <c r="Y284" s="20" t="str">
        <f ca="1">IF(CALC2223!BB284&gt;0,INDIRECT(ADDRESS(MATCH(Agenda2526!C285,'CAL5'!A:A,0),2,4,1,"CAL5")),"")</f>
        <v>Rep NE</v>
      </c>
      <c r="Z284" s="21">
        <f ca="1">IF(CALC2223!BB284&gt;0,INDIRECT(ADDRESS(MATCH(Agenda2526!C285,'CAL5'!A:A,0),3,4,1,"CAL5")),0)</f>
        <v>45896</v>
      </c>
      <c r="AA284" s="20" t="str">
        <f ca="1">IF(CALC2223!BB284&gt;1,INDIRECT(ADDRESS(MATCH(Agenda2526!C285,'CAL5'!A:A,0)+1,2,4,1,"CAL5")),"")</f>
        <v/>
      </c>
      <c r="AB284" s="21">
        <f ca="1">IF(CALC2223!BB284&gt;1,INDIRECT(ADDRESS(MATCH(Agenda2526!C285,'CAL5'!A:A,0)+1,3,4,1,"CAL5")),0)</f>
        <v>0</v>
      </c>
      <c r="AC284" s="20" t="str">
        <f ca="1">IF(CALC2223!BB284&gt;2,INDIRECT(ADDRESS(MATCH(Agenda2526!C285,'CAL5'!A:A,0)+2,2,4,1,"CAL5")),"")</f>
        <v/>
      </c>
      <c r="AD284" s="21">
        <f ca="1">IF(CALC2223!BB284&gt;2,INDIRECT(ADDRESS(MATCH(Agenda2526!C285,'CAL5'!A:A,0)+2,3,4,1,"CAL5")),0)</f>
        <v>0</v>
      </c>
      <c r="AE284" s="20" t="str">
        <f ca="1">IF(CALC2223!BC284&gt;0,INDIRECT(ADDRESS(MATCH(Agenda2526!C285,'CAL6'!A:A,0),2,4,1,"CAL6")),"")</f>
        <v/>
      </c>
      <c r="AF284" s="21">
        <f ca="1">IF(CALC2223!BC284&gt;0,INDIRECT(ADDRESS(MATCH(Agenda2526!C285,'CAL6'!A:A,0),3,4,1,"CAL6")),0)</f>
        <v>0</v>
      </c>
      <c r="AG284" s="20" t="str">
        <f ca="1">IF(CALC2223!BC284&gt;1,INDIRECT(ADDRESS(MATCH(Agenda2526!C285,'CAL6'!A:A,0)+1,2,4,1,"CAL6")),"")</f>
        <v/>
      </c>
      <c r="AH284" s="21">
        <f ca="1">IF(CALC2223!BC284&gt;1,INDIRECT(ADDRESS(MATCH(Agenda2526!C285,'CAL6'!A:A,0)+1,3,4,1,"CAL6")),0)</f>
        <v>0</v>
      </c>
      <c r="AI284" s="20" t="str">
        <f ca="1">IF(CALC2223!BC284&gt;2,INDIRECT(ADDRESS(MATCH(Agenda2526!C285,'CAL6'!A:A,0)+2,2,4,1,"CAL6")),"")</f>
        <v/>
      </c>
      <c r="AJ284" s="21">
        <f ca="1">IF(CALC2223!BC284&gt;2,INDIRECT(ADDRESS(MATCH(Agenda2526!C285,'CAL6'!A:A,0)+2,3,4,1,"CAL6")),0)</f>
        <v>0</v>
      </c>
      <c r="AK284" s="20" t="str">
        <f ca="1">IF(CALC2223!BD284&gt;0,INDIRECT(ADDRESS(MATCH(Agenda2526!C285,'CAL7'!A:A,0),2,4,1,"CAL7")),"")</f>
        <v/>
      </c>
      <c r="AL284" s="21">
        <f ca="1">IF(CALC2223!BD284&gt;0,INDIRECT(ADDRESS(MATCH(Agenda2526!C285,'CAL7'!A:A,0),3,4,1,"CAL7")),0)</f>
        <v>0</v>
      </c>
      <c r="AM284" s="20" t="str">
        <f ca="1">IF(CALC2223!BD284&gt;1,INDIRECT(ADDRESS(MATCH(Agenda2526!C285,'CAL7'!A:A,0)+1,2,4,1,"CAL7")),"")</f>
        <v/>
      </c>
      <c r="AN284" s="21">
        <f ca="1">IF(CALC2223!BD284&gt;1,INDIRECT(ADDRESS(MATCH(Agenda2526!C285,'CAL7'!A:A,0)+1,3,4,1,"CAL7")),0)</f>
        <v>0</v>
      </c>
      <c r="AO284" s="20" t="str">
        <f ca="1">IF(CALC2223!BD284&gt;2,INDIRECT(ADDRESS(MATCH(Agenda2526!C285,'CAL7'!A:A,0)+2,2,4,1,"CAL7")),"")</f>
        <v/>
      </c>
      <c r="AP284" s="21">
        <f ca="1">IF(CALC2223!BD284&gt;2,INDIRECT(ADDRESS(MATCH(Agenda2526!C285,'CAL7'!A:A,0)+2,3,4,1,"CAL7")),0)</f>
        <v>0</v>
      </c>
      <c r="AQ284" s="20" t="str">
        <f ca="1">IF(CALC2223!BE284&gt;0,INDIRECT(ADDRESS(MATCH(Agenda2526!C285,'CAL8'!A:A,0),2,4,1,"CAL8")),"")</f>
        <v/>
      </c>
      <c r="AR284" s="21">
        <f ca="1">IF(CALC2223!BE284&gt;0,INDIRECT(ADDRESS(MATCH(Agenda2526!C285,'CAL8'!A:A,0),3,4,1,"CAL8")),0)</f>
        <v>0</v>
      </c>
      <c r="AS284" s="20" t="str">
        <f ca="1">IF(CALC2223!BE284&gt;1,INDIRECT(ADDRESS(MATCH(Agenda2526!C285,'CAL8'!A:A,0)+1,2,4,1,"CAL8")),"")</f>
        <v/>
      </c>
      <c r="AT284" s="21">
        <f ca="1">IF(CALC2223!BE284&gt;1,INDIRECT(ADDRESS(MATCH(Agenda2526!C285,'CAL8'!A:A,0)+1,3,4,1,"CAL8")),0)</f>
        <v>0</v>
      </c>
      <c r="AU284" s="20" t="str">
        <f ca="1">IF(CALC2223!BE284&gt;2,INDIRECT(ADDRESS(MATCH(Agenda2526!C285,'CAL8'!A:A,0)+2,2,4,1,"CAL8")),"")</f>
        <v/>
      </c>
      <c r="AV284" s="21">
        <f ca="1">IF(CALC2223!BE284&gt;2,INDIRECT(ADDRESS(MATCH(Agenda2526!C285,'CAL8'!A:A,0)+2,3,4,1,"CAL8")),0)</f>
        <v>0</v>
      </c>
      <c r="AW284" s="105"/>
      <c r="AX284" s="20">
        <f>COUNTIF('CAL1'!A:A,Agenda2526!C285)</f>
        <v>0</v>
      </c>
      <c r="AY284" s="20">
        <f>COUNTIF('CAL2'!A:A,Agenda2526!C285)</f>
        <v>0</v>
      </c>
      <c r="AZ284" s="20">
        <f>COUNTIF('CAL3'!A:A,Agenda2526!C285)</f>
        <v>0</v>
      </c>
      <c r="BA284" s="20">
        <f>COUNTIF('CAL4'!A:A,Agenda2526!C285)</f>
        <v>0</v>
      </c>
      <c r="BB284" s="20">
        <f>COUNTIF('CAL5'!A:A,Agenda2526!C285)</f>
        <v>1</v>
      </c>
      <c r="BC284" s="20">
        <f>COUNTIF('CAL6'!A:A,Agenda2526!C285)</f>
        <v>0</v>
      </c>
      <c r="BD284" s="20">
        <f>COUNTIF('CAL7'!A:A,Agenda2526!C285)</f>
        <v>0</v>
      </c>
      <c r="BE284" s="20">
        <f>COUNTIF('CAL8'!A:A,Agenda2526!C285)</f>
        <v>0</v>
      </c>
    </row>
    <row r="285" spans="1:57" ht="15.75" customHeight="1">
      <c r="A285" s="20" t="str">
        <f ca="1">IF(CALC2223!AX285&gt;0,INDIRECT(ADDRESS(MATCH(Agenda2526!C286,'CAL1'!A:A,0),2,4,1,"CAL1")),"")</f>
        <v/>
      </c>
      <c r="B285" s="21">
        <f ca="1">IF(CALC2223!AX285&gt;0,INDIRECT(ADDRESS(MATCH(Agenda2526!C286,'CAL1'!A:A,0),3,4,1,"CAL1")),0)</f>
        <v>0</v>
      </c>
      <c r="C285" s="20" t="str">
        <f ca="1">IF(CALC2223!AX285&gt;1,INDIRECT(ADDRESS(MATCH(Agenda2526!C286,'CAL1'!A:A,0)+1,2,4,1,"CAL1")),"")</f>
        <v/>
      </c>
      <c r="D285" s="21">
        <f ca="1">IF(CALC2223!AX285&gt;1,INDIRECT(ADDRESS(MATCH(Agenda2526!C286,'CAL1'!A:A,0)+1,3,4,1,"CAL1")),0)</f>
        <v>0</v>
      </c>
      <c r="E285" s="20" t="str">
        <f ca="1">IF(CALC2223!AX285&gt;2,INDIRECT(ADDRESS(MATCH(Agenda2526!C286,'CAL1'!A:A,0)+2,2,4,1,"CAL1")),"")</f>
        <v/>
      </c>
      <c r="F285" s="21">
        <f ca="1">IF(CALC2223!AX285&gt;2,INDIRECT(ADDRESS(MATCH(Agenda2526!C286,'CAL1'!A:A,0)+2,3,4,1,"CAL1")),0)</f>
        <v>0</v>
      </c>
      <c r="G285" s="20" t="str">
        <f ca="1">IF(CALC2223!AY285&gt;0,INDIRECT(ADDRESS(MATCH(Agenda2526!C286,'CAL2'!A:A,0),2,4,1,"CAL2")),"")</f>
        <v>ldorp Frans</v>
      </c>
      <c r="H285" s="21">
        <f ca="1">IF(CALC2223!AY285&gt;0,INDIRECT(ADDRESS(MATCH(Agenda2526!C286,'CAL2'!A:A,0),3,4,1,"CAL2")),0)</f>
        <v>46066</v>
      </c>
      <c r="I285" s="20" t="str">
        <f ca="1">IF(CALC2223!AY285&gt;1,INDIRECT(ADDRESS(MATCH(Agenda2526!C286,'CAL2'!A:A,0)+1,2,4,1,"CAL2")),"")</f>
        <v/>
      </c>
      <c r="J285" s="21">
        <f ca="1">IF(CALC2223!AY285&gt;1,INDIRECT(ADDRESS(MATCH(Agenda2526!C286,'CAL2'!A:A,0)+1,3,4,1,"CAL2")),0)</f>
        <v>0</v>
      </c>
      <c r="K285" s="20" t="str">
        <f ca="1">IF(CALC2223!AY285&gt;2,INDIRECT(ADDRESS(MATCH(Agenda2526!C286,'CAL2'!A:A,0)+2,2,4,1,"CAL2")),"")</f>
        <v/>
      </c>
      <c r="L285" s="21">
        <f ca="1">IF(CALC2223!AY285&gt;2,INDIRECT(ADDRESS(MATCH(Agenda2526!C286,'CAL2'!A:A,0)+2,3,4,1,"CAL2")),0)</f>
        <v>0</v>
      </c>
      <c r="M285" s="20" t="str">
        <f ca="1">IF(CALC2223!AZ285&gt;0,INDIRECT(ADDRESS(MATCH(Agenda2526!C286,'CAL3'!A:A,0),2,4,1,"CAL3")),"")</f>
        <v/>
      </c>
      <c r="N285" s="21">
        <f ca="1">IF(CALC2223!AZ285&gt;0,INDIRECT(ADDRESS(MATCH(Agenda2526!C286,'CAL3'!A:A,0),3,4,1,"CAL3")),0)</f>
        <v>0</v>
      </c>
      <c r="O285" s="20" t="str">
        <f ca="1">IF(CALC2223!AZ285&gt;1,INDIRECT(ADDRESS(MATCH(Agenda2526!C286,'CAL3'!A:A,0)+1,2,4,1,"CAL3")),"")</f>
        <v/>
      </c>
      <c r="P285" s="21">
        <f ca="1">IF(CALC2223!AZ285&gt;1,INDIRECT(ADDRESS(MATCH(Agenda2526!C286,'CAL3'!A:A,0)+1,3,4,1,"CAL3")),0)</f>
        <v>0</v>
      </c>
      <c r="Q285" s="20" t="str">
        <f ca="1">IF(CALC2223!AZ285&gt;2,INDIRECT(ADDRESS(MATCH(Agenda2526!C286,'CAL3'!A:A,0)+2,2,4,1,"CAL3")),"")</f>
        <v/>
      </c>
      <c r="R285" s="21">
        <f ca="1">IF(CALC2223!AZ285&gt;2,INDIRECT(ADDRESS(MATCH(Agenda2526!C286,'CAL3'!A:A,0)+2,3,4,1,"CAL3")),0)</f>
        <v>0</v>
      </c>
      <c r="S285" s="20" t="str">
        <f ca="1">IF(CALC2223!BA285&gt;0,INDIRECT(ADDRESS(MATCH(Agenda2526!C286,'CAL4'!A:A,0),2,4,1,"CAL4")),"")</f>
        <v>SE ANW</v>
      </c>
      <c r="T285" s="21">
        <f ca="1">IF(CALC2223!BA285&gt;0,INDIRECT(ADDRESS(MATCH(Agenda2526!C286,'CAL4'!A:A,0),3,4,1,"CAL4")),0)</f>
        <v>45896</v>
      </c>
      <c r="U285" s="20" t="str">
        <f ca="1">IF(CALC2223!BA285&gt;1,INDIRECT(ADDRESS(MATCH(Agenda2526!C286,'CAL4'!A:A,0)+1,2,4,1,"CAL4")),"")</f>
        <v/>
      </c>
      <c r="V285" s="21">
        <f ca="1">IF(CALC2223!BA285&gt;1,INDIRECT(ADDRESS(MATCH(Agenda2526!C286,'CAL4'!A:A,0)+1,3,4,1,"CAL4")),0)</f>
        <v>0</v>
      </c>
      <c r="W285" s="20" t="str">
        <f ca="1">IF(CALC2223!BA285&gt;2,INDIRECT(ADDRESS(MATCH(Agenda2526!C286,'CAL4'!A:A,0)+2,2,4,1,"CAL4")),"")</f>
        <v/>
      </c>
      <c r="X285" s="21">
        <f ca="1">IF(CALC2223!BA285&gt;2,INDIRECT(ADDRESS(MATCH(Agenda2526!C286,'CAL4'!A:A,0)+2,3,4,1,"CAL4")),0)</f>
        <v>0</v>
      </c>
      <c r="Y285" s="20" t="str">
        <f ca="1">IF(CALC2223!BB285&gt;0,INDIRECT(ADDRESS(MATCH(Agenda2526!C286,'CAL5'!A:A,0),2,4,1,"CAL5")),"")</f>
        <v/>
      </c>
      <c r="Z285" s="21">
        <f ca="1">IF(CALC2223!BB285&gt;0,INDIRECT(ADDRESS(MATCH(Agenda2526!C286,'CAL5'!A:A,0),3,4,1,"CAL5")),0)</f>
        <v>0</v>
      </c>
      <c r="AA285" s="20" t="str">
        <f ca="1">IF(CALC2223!BB285&gt;1,INDIRECT(ADDRESS(MATCH(Agenda2526!C286,'CAL5'!A:A,0)+1,2,4,1,"CAL5")),"")</f>
        <v/>
      </c>
      <c r="AB285" s="21">
        <f ca="1">IF(CALC2223!BB285&gt;1,INDIRECT(ADDRESS(MATCH(Agenda2526!C286,'CAL5'!A:A,0)+1,3,4,1,"CAL5")),0)</f>
        <v>0</v>
      </c>
      <c r="AC285" s="20" t="str">
        <f ca="1">IF(CALC2223!BB285&gt;2,INDIRECT(ADDRESS(MATCH(Agenda2526!C286,'CAL5'!A:A,0)+2,2,4,1,"CAL5")),"")</f>
        <v/>
      </c>
      <c r="AD285" s="21">
        <f ca="1">IF(CALC2223!BB285&gt;2,INDIRECT(ADDRESS(MATCH(Agenda2526!C286,'CAL5'!A:A,0)+2,3,4,1,"CAL5")),0)</f>
        <v>0</v>
      </c>
      <c r="AE285" s="20" t="str">
        <f ca="1">IF(CALC2223!BC285&gt;0,INDIRECT(ADDRESS(MATCH(Agenda2526!C286,'CAL6'!A:A,0),2,4,1,"CAL6")),"")</f>
        <v>uitslag CE-I</v>
      </c>
      <c r="AF285" s="21">
        <f ca="1">IF(CALC2223!BC285&gt;0,INDIRECT(ADDRESS(MATCH(Agenda2526!C286,'CAL6'!A:A,0),3,4,1,"CAL6")),0)</f>
        <v>45896</v>
      </c>
      <c r="AG285" s="20" t="str">
        <f ca="1">IF(CALC2223!BC285&gt;1,INDIRECT(ADDRESS(MATCH(Agenda2526!C286,'CAL6'!A:A,0)+1,2,4,1,"CAL6")),"")</f>
        <v/>
      </c>
      <c r="AH285" s="21">
        <f ca="1">IF(CALC2223!BC285&gt;1,INDIRECT(ADDRESS(MATCH(Agenda2526!C286,'CAL6'!A:A,0)+1,3,4,1,"CAL6")),0)</f>
        <v>0</v>
      </c>
      <c r="AI285" s="20" t="str">
        <f ca="1">IF(CALC2223!BC285&gt;2,INDIRECT(ADDRESS(MATCH(Agenda2526!C286,'CAL6'!A:A,0)+2,2,4,1,"CAL6")),"")</f>
        <v/>
      </c>
      <c r="AJ285" s="21">
        <f ca="1">IF(CALC2223!BC285&gt;2,INDIRECT(ADDRESS(MATCH(Agenda2526!C286,'CAL6'!A:A,0)+2,3,4,1,"CAL6")),0)</f>
        <v>0</v>
      </c>
      <c r="AK285" s="20" t="str">
        <f ca="1">IF(CALC2223!BD285&gt;0,INDIRECT(ADDRESS(MATCH(Agenda2526!C286,'CAL7'!A:A,0),2,4,1,"CAL7")),"")</f>
        <v>mentoren#8</v>
      </c>
      <c r="AL285" s="21">
        <f ca="1">IF(CALC2223!BD285&gt;0,INDIRECT(ADDRESS(MATCH(Agenda2526!C286,'CAL7'!A:A,0),3,4,1,"CAL7")),0)</f>
        <v>45896</v>
      </c>
      <c r="AM285" s="20" t="str">
        <f ca="1">IF(CALC2223!BD285&gt;1,INDIRECT(ADDRESS(MATCH(Agenda2526!C286,'CAL7'!A:A,0)+1,2,4,1,"CAL7")),"")</f>
        <v/>
      </c>
      <c r="AN285" s="21">
        <f ca="1">IF(CALC2223!BD285&gt;1,INDIRECT(ADDRESS(MATCH(Agenda2526!C286,'CAL7'!A:A,0)+1,3,4,1,"CAL7")),0)</f>
        <v>0</v>
      </c>
      <c r="AO285" s="20" t="str">
        <f ca="1">IF(CALC2223!BD285&gt;2,INDIRECT(ADDRESS(MATCH(Agenda2526!C286,'CAL7'!A:A,0)+2,2,4,1,"CAL7")),"")</f>
        <v/>
      </c>
      <c r="AP285" s="21">
        <f ca="1">IF(CALC2223!BD285&gt;2,INDIRECT(ADDRESS(MATCH(Agenda2526!C286,'CAL7'!A:A,0)+2,3,4,1,"CAL7")),0)</f>
        <v>0</v>
      </c>
      <c r="AQ285" s="20" t="str">
        <f ca="1">IF(CALC2223!BE285&gt;0,INDIRECT(ADDRESS(MATCH(Agenda2526!C286,'CAL8'!A:A,0),2,4,1,"CAL8")),"")</f>
        <v/>
      </c>
      <c r="AR285" s="21">
        <f ca="1">IF(CALC2223!BE285&gt;0,INDIRECT(ADDRESS(MATCH(Agenda2526!C286,'CAL8'!A:A,0),3,4,1,"CAL8")),0)</f>
        <v>0</v>
      </c>
      <c r="AS285" s="20" t="str">
        <f ca="1">IF(CALC2223!BE285&gt;1,INDIRECT(ADDRESS(MATCH(Agenda2526!C286,'CAL8'!A:A,0)+1,2,4,1,"CAL8")),"")</f>
        <v/>
      </c>
      <c r="AT285" s="21">
        <f ca="1">IF(CALC2223!BE285&gt;1,INDIRECT(ADDRESS(MATCH(Agenda2526!C286,'CAL8'!A:A,0)+1,3,4,1,"CAL8")),0)</f>
        <v>0</v>
      </c>
      <c r="AU285" s="20" t="str">
        <f ca="1">IF(CALC2223!BE285&gt;2,INDIRECT(ADDRESS(MATCH(Agenda2526!C286,'CAL8'!A:A,0)+2,2,4,1,"CAL8")),"")</f>
        <v/>
      </c>
      <c r="AV285" s="21">
        <f ca="1">IF(CALC2223!BE285&gt;2,INDIRECT(ADDRESS(MATCH(Agenda2526!C286,'CAL8'!A:A,0)+2,3,4,1,"CAL8")),0)</f>
        <v>0</v>
      </c>
      <c r="AW285" s="105"/>
      <c r="AX285" s="20">
        <f>COUNTIF('CAL1'!A:A,Agenda2526!C286)</f>
        <v>0</v>
      </c>
      <c r="AY285" s="20">
        <f>COUNTIF('CAL2'!A:A,Agenda2526!C286)</f>
        <v>1</v>
      </c>
      <c r="AZ285" s="20">
        <f>COUNTIF('CAL3'!A:A,Agenda2526!C286)</f>
        <v>0</v>
      </c>
      <c r="BA285" s="20">
        <f>COUNTIF('CAL4'!A:A,Agenda2526!C286)</f>
        <v>1</v>
      </c>
      <c r="BB285" s="20">
        <f>COUNTIF('CAL5'!A:A,Agenda2526!C286)</f>
        <v>0</v>
      </c>
      <c r="BC285" s="20">
        <f>COUNTIF('CAL6'!A:A,Agenda2526!C286)</f>
        <v>1</v>
      </c>
      <c r="BD285" s="20">
        <f>COUNTIF('CAL7'!A:A,Agenda2526!C286)</f>
        <v>1</v>
      </c>
      <c r="BE285" s="20">
        <f>COUNTIF('CAL8'!A:A,Agenda2526!C286)</f>
        <v>0</v>
      </c>
    </row>
    <row r="286" spans="1:57" ht="15.75" customHeight="1">
      <c r="A286" s="20" t="str">
        <f ca="1">IF(CALC2223!AX286&gt;0,INDIRECT(ADDRESS(MATCH(Agenda2526!C287,'CAL1'!A:A,0),2,4,1,"CAL1")),"")</f>
        <v/>
      </c>
      <c r="B286" s="21">
        <f ca="1">IF(CALC2223!AX286&gt;0,INDIRECT(ADDRESS(MATCH(Agenda2526!C287,'CAL1'!A:A,0),3,4,1,"CAL1")),0)</f>
        <v>0</v>
      </c>
      <c r="C286" s="20" t="str">
        <f ca="1">IF(CALC2223!AX286&gt;1,INDIRECT(ADDRESS(MATCH(Agenda2526!C287,'CAL1'!A:A,0)+1,2,4,1,"CAL1")),"")</f>
        <v/>
      </c>
      <c r="D286" s="21">
        <f ca="1">IF(CALC2223!AX286&gt;1,INDIRECT(ADDRESS(MATCH(Agenda2526!C287,'CAL1'!A:A,0)+1,3,4,1,"CAL1")),0)</f>
        <v>0</v>
      </c>
      <c r="E286" s="20" t="str">
        <f ca="1">IF(CALC2223!AX286&gt;2,INDIRECT(ADDRESS(MATCH(Agenda2526!C287,'CAL1'!A:A,0)+2,2,4,1,"CAL1")),"")</f>
        <v/>
      </c>
      <c r="F286" s="21">
        <f ca="1">IF(CALC2223!AX286&gt;2,INDIRECT(ADDRESS(MATCH(Agenda2526!C287,'CAL1'!A:A,0)+2,3,4,1,"CAL1")),0)</f>
        <v>0</v>
      </c>
      <c r="G286" s="20" t="str">
        <f ca="1">IF(CALC2223!AY286&gt;0,INDIRECT(ADDRESS(MATCH(Agenda2526!C287,'CAL2'!A:A,0),2,4,1,"CAL2")),"")</f>
        <v>Rep GO</v>
      </c>
      <c r="H286" s="21">
        <f ca="1">IF(CALC2223!AY286&gt;0,INDIRECT(ADDRESS(MATCH(Agenda2526!C287,'CAL2'!A:A,0),3,4,1,"CAL2")),0)</f>
        <v>45903</v>
      </c>
      <c r="I286" s="20" t="str">
        <f ca="1">IF(CALC2223!AY286&gt;1,INDIRECT(ADDRESS(MATCH(Agenda2526!C287,'CAL2'!A:A,0)+1,2,4,1,"CAL2")),"")</f>
        <v/>
      </c>
      <c r="J286" s="21">
        <f ca="1">IF(CALC2223!AY286&gt;1,INDIRECT(ADDRESS(MATCH(Agenda2526!C287,'CAL2'!A:A,0)+1,3,4,1,"CAL2")),0)</f>
        <v>0</v>
      </c>
      <c r="K286" s="20" t="str">
        <f ca="1">IF(CALC2223!AY286&gt;2,INDIRECT(ADDRESS(MATCH(Agenda2526!C287,'CAL2'!A:A,0)+2,2,4,1,"CAL2")),"")</f>
        <v/>
      </c>
      <c r="L286" s="21">
        <f ca="1">IF(CALC2223!AY286&gt;2,INDIRECT(ADDRESS(MATCH(Agenda2526!C287,'CAL2'!A:A,0)+2,3,4,1,"CAL2")),0)</f>
        <v>0</v>
      </c>
      <c r="M286" s="20" t="str">
        <f ca="1">IF(CALC2223!AZ286&gt;0,INDIRECT(ADDRESS(MATCH(Agenda2526!C287,'CAL3'!A:A,0),2,4,1,"CAL3")),"")</f>
        <v/>
      </c>
      <c r="N286" s="21">
        <f ca="1">IF(CALC2223!AZ286&gt;0,INDIRECT(ADDRESS(MATCH(Agenda2526!C287,'CAL3'!A:A,0),3,4,1,"CAL3")),0)</f>
        <v>0</v>
      </c>
      <c r="O286" s="20" t="str">
        <f ca="1">IF(CALC2223!AZ286&gt;1,INDIRECT(ADDRESS(MATCH(Agenda2526!C287,'CAL3'!A:A,0)+1,2,4,1,"CAL3")),"")</f>
        <v/>
      </c>
      <c r="P286" s="21">
        <f ca="1">IF(CALC2223!AZ286&gt;1,INDIRECT(ADDRESS(MATCH(Agenda2526!C287,'CAL3'!A:A,0)+1,3,4,1,"CAL3")),0)</f>
        <v>0</v>
      </c>
      <c r="Q286" s="20" t="str">
        <f ca="1">IF(CALC2223!AZ286&gt;2,INDIRECT(ADDRESS(MATCH(Agenda2526!C287,'CAL3'!A:A,0)+2,2,4,1,"CAL3")),"")</f>
        <v/>
      </c>
      <c r="R286" s="21">
        <f ca="1">IF(CALC2223!AZ286&gt;2,INDIRECT(ADDRESS(MATCH(Agenda2526!C287,'CAL3'!A:A,0)+2,3,4,1,"CAL3")),0)</f>
        <v>0</v>
      </c>
      <c r="S286" s="20" t="str">
        <f ca="1">IF(CALC2223!BA286&gt;0,INDIRECT(ADDRESS(MATCH(Agenda2526!C287,'CAL4'!A:A,0),2,4,1,"CAL4")),"")</f>
        <v/>
      </c>
      <c r="T286" s="21">
        <f ca="1">IF(CALC2223!BA286&gt;0,INDIRECT(ADDRESS(MATCH(Agenda2526!C287,'CAL4'!A:A,0),3,4,1,"CAL4")),0)</f>
        <v>0</v>
      </c>
      <c r="U286" s="20" t="str">
        <f ca="1">IF(CALC2223!BA286&gt;1,INDIRECT(ADDRESS(MATCH(Agenda2526!C287,'CAL4'!A:A,0)+1,2,4,1,"CAL4")),"")</f>
        <v/>
      </c>
      <c r="V286" s="21">
        <f ca="1">IF(CALC2223!BA286&gt;1,INDIRECT(ADDRESS(MATCH(Agenda2526!C287,'CAL4'!A:A,0)+1,3,4,1,"CAL4")),0)</f>
        <v>0</v>
      </c>
      <c r="W286" s="20" t="str">
        <f ca="1">IF(CALC2223!BA286&gt;2,INDIRECT(ADDRESS(MATCH(Agenda2526!C287,'CAL4'!A:A,0)+2,2,4,1,"CAL4")),"")</f>
        <v/>
      </c>
      <c r="X286" s="21">
        <f ca="1">IF(CALC2223!BA286&gt;2,INDIRECT(ADDRESS(MATCH(Agenda2526!C287,'CAL4'!A:A,0)+2,3,4,1,"CAL4")),0)</f>
        <v>0</v>
      </c>
      <c r="Y286" s="20" t="str">
        <f ca="1">IF(CALC2223!BB286&gt;0,INDIRECT(ADDRESS(MATCH(Agenda2526!C287,'CAL5'!A:A,0),2,4,1,"CAL5")),"")</f>
        <v/>
      </c>
      <c r="Z286" s="21">
        <f ca="1">IF(CALC2223!BB286&gt;0,INDIRECT(ADDRESS(MATCH(Agenda2526!C287,'CAL5'!A:A,0),3,4,1,"CAL5")),0)</f>
        <v>0</v>
      </c>
      <c r="AA286" s="20" t="str">
        <f ca="1">IF(CALC2223!BB286&gt;1,INDIRECT(ADDRESS(MATCH(Agenda2526!C287,'CAL5'!A:A,0)+1,2,4,1,"CAL5")),"")</f>
        <v/>
      </c>
      <c r="AB286" s="21">
        <f ca="1">IF(CALC2223!BB286&gt;1,INDIRECT(ADDRESS(MATCH(Agenda2526!C287,'CAL5'!A:A,0)+1,3,4,1,"CAL5")),0)</f>
        <v>0</v>
      </c>
      <c r="AC286" s="20" t="str">
        <f ca="1">IF(CALC2223!BB286&gt;2,INDIRECT(ADDRESS(MATCH(Agenda2526!C287,'CAL5'!A:A,0)+2,2,4,1,"CAL5")),"")</f>
        <v/>
      </c>
      <c r="AD286" s="21">
        <f ca="1">IF(CALC2223!BB286&gt;2,INDIRECT(ADDRESS(MATCH(Agenda2526!C287,'CAL5'!A:A,0)+2,3,4,1,"CAL5")),0)</f>
        <v>0</v>
      </c>
      <c r="AE286" s="20" t="str">
        <f ca="1">IF(CALC2223!BC286&gt;0,INDIRECT(ADDRESS(MATCH(Agenda2526!C287,'CAL6'!A:A,0),2,4,1,"CAL6")),"")</f>
        <v/>
      </c>
      <c r="AF286" s="21">
        <f ca="1">IF(CALC2223!BC286&gt;0,INDIRECT(ADDRESS(MATCH(Agenda2526!C287,'CAL6'!A:A,0),3,4,1,"CAL6")),0)</f>
        <v>0</v>
      </c>
      <c r="AG286" s="20" t="str">
        <f ca="1">IF(CALC2223!BC286&gt;1,INDIRECT(ADDRESS(MATCH(Agenda2526!C287,'CAL6'!A:A,0)+1,2,4,1,"CAL6")),"")</f>
        <v/>
      </c>
      <c r="AH286" s="21">
        <f ca="1">IF(CALC2223!BC286&gt;1,INDIRECT(ADDRESS(MATCH(Agenda2526!C287,'CAL6'!A:A,0)+1,3,4,1,"CAL6")),0)</f>
        <v>0</v>
      </c>
      <c r="AI286" s="20" t="str">
        <f ca="1">IF(CALC2223!BC286&gt;2,INDIRECT(ADDRESS(MATCH(Agenda2526!C287,'CAL6'!A:A,0)+2,2,4,1,"CAL6")),"")</f>
        <v/>
      </c>
      <c r="AJ286" s="21">
        <f ca="1">IF(CALC2223!BC286&gt;2,INDIRECT(ADDRESS(MATCH(Agenda2526!C287,'CAL6'!A:A,0)+2,3,4,1,"CAL6")),0)</f>
        <v>0</v>
      </c>
      <c r="AK286" s="20" t="str">
        <f ca="1">IF(CALC2223!BD286&gt;0,INDIRECT(ADDRESS(MATCH(Agenda2526!C287,'CAL7'!A:A,0),2,4,1,"CAL7")),"")</f>
        <v/>
      </c>
      <c r="AL286" s="21">
        <f ca="1">IF(CALC2223!BD286&gt;0,INDIRECT(ADDRESS(MATCH(Agenda2526!C287,'CAL7'!A:A,0),3,4,1,"CAL7")),0)</f>
        <v>0</v>
      </c>
      <c r="AM286" s="20" t="str">
        <f ca="1">IF(CALC2223!BD286&gt;1,INDIRECT(ADDRESS(MATCH(Agenda2526!C287,'CAL7'!A:A,0)+1,2,4,1,"CAL7")),"")</f>
        <v/>
      </c>
      <c r="AN286" s="21">
        <f ca="1">IF(CALC2223!BD286&gt;1,INDIRECT(ADDRESS(MATCH(Agenda2526!C287,'CAL7'!A:A,0)+1,3,4,1,"CAL7")),0)</f>
        <v>0</v>
      </c>
      <c r="AO286" s="20" t="str">
        <f ca="1">IF(CALC2223!BD286&gt;2,INDIRECT(ADDRESS(MATCH(Agenda2526!C287,'CAL7'!A:A,0)+2,2,4,1,"CAL7")),"")</f>
        <v/>
      </c>
      <c r="AP286" s="21">
        <f ca="1">IF(CALC2223!BD286&gt;2,INDIRECT(ADDRESS(MATCH(Agenda2526!C287,'CAL7'!A:A,0)+2,3,4,1,"CAL7")),0)</f>
        <v>0</v>
      </c>
      <c r="AQ286" s="20" t="str">
        <f ca="1">IF(CALC2223!BE286&gt;0,INDIRECT(ADDRESS(MATCH(Agenda2526!C287,'CAL8'!A:A,0),2,4,1,"CAL8")),"")</f>
        <v/>
      </c>
      <c r="AR286" s="21">
        <f ca="1">IF(CALC2223!BE286&gt;0,INDIRECT(ADDRESS(MATCH(Agenda2526!C287,'CAL8'!A:A,0),3,4,1,"CAL8")),0)</f>
        <v>0</v>
      </c>
      <c r="AS286" s="20" t="str">
        <f ca="1">IF(CALC2223!BE286&gt;1,INDIRECT(ADDRESS(MATCH(Agenda2526!C287,'CAL8'!A:A,0)+1,2,4,1,"CAL8")),"")</f>
        <v/>
      </c>
      <c r="AT286" s="21">
        <f ca="1">IF(CALC2223!BE286&gt;1,INDIRECT(ADDRESS(MATCH(Agenda2526!C287,'CAL8'!A:A,0)+1,3,4,1,"CAL8")),0)</f>
        <v>0</v>
      </c>
      <c r="AU286" s="20" t="str">
        <f ca="1">IF(CALC2223!BE286&gt;2,INDIRECT(ADDRESS(MATCH(Agenda2526!C287,'CAL8'!A:A,0)+2,2,4,1,"CAL8")),"")</f>
        <v/>
      </c>
      <c r="AV286" s="21">
        <f ca="1">IF(CALC2223!BE286&gt;2,INDIRECT(ADDRESS(MATCH(Agenda2526!C287,'CAL8'!A:A,0)+2,3,4,1,"CAL8")),0)</f>
        <v>0</v>
      </c>
      <c r="AW286" s="105"/>
      <c r="AX286" s="20">
        <f>COUNTIF('CAL1'!A:A,Agenda2526!C287)</f>
        <v>0</v>
      </c>
      <c r="AY286" s="20">
        <f>COUNTIF('CAL2'!A:A,Agenda2526!C287)</f>
        <v>1</v>
      </c>
      <c r="AZ286" s="20">
        <f>COUNTIF('CAL3'!A:A,Agenda2526!C287)</f>
        <v>0</v>
      </c>
      <c r="BA286" s="20">
        <f>COUNTIF('CAL4'!A:A,Agenda2526!C287)</f>
        <v>0</v>
      </c>
      <c r="BB286" s="20">
        <f>COUNTIF('CAL5'!A:A,Agenda2526!C287)</f>
        <v>0</v>
      </c>
      <c r="BC286" s="20">
        <f>COUNTIF('CAL6'!A:A,Agenda2526!C287)</f>
        <v>0</v>
      </c>
      <c r="BD286" s="20">
        <f>COUNTIF('CAL7'!A:A,Agenda2526!C287)</f>
        <v>0</v>
      </c>
      <c r="BE286" s="20">
        <f>COUNTIF('CAL8'!A:A,Agenda2526!C287)</f>
        <v>0</v>
      </c>
    </row>
    <row r="287" spans="1:57" ht="15.75" customHeight="1">
      <c r="A287" s="20" t="str">
        <f ca="1">IF(CALC2223!AX287&gt;0,INDIRECT(ADDRESS(MATCH(Agenda2526!C288,'CAL1'!A:A,0),2,4,1,"CAL1")),"")</f>
        <v/>
      </c>
      <c r="B287" s="21">
        <f ca="1">IF(CALC2223!AX287&gt;0,INDIRECT(ADDRESS(MATCH(Agenda2526!C288,'CAL1'!A:A,0),3,4,1,"CAL1")),0)</f>
        <v>0</v>
      </c>
      <c r="C287" s="20" t="str">
        <f ca="1">IF(CALC2223!AX287&gt;1,INDIRECT(ADDRESS(MATCH(Agenda2526!C288,'CAL1'!A:A,0)+1,2,4,1,"CAL1")),"")</f>
        <v/>
      </c>
      <c r="D287" s="21">
        <f ca="1">IF(CALC2223!AX287&gt;1,INDIRECT(ADDRESS(MATCH(Agenda2526!C288,'CAL1'!A:A,0)+1,3,4,1,"CAL1")),0)</f>
        <v>0</v>
      </c>
      <c r="E287" s="20" t="str">
        <f ca="1">IF(CALC2223!AX287&gt;2,INDIRECT(ADDRESS(MATCH(Agenda2526!C288,'CAL1'!A:A,0)+2,2,4,1,"CAL1")),"")</f>
        <v/>
      </c>
      <c r="F287" s="21">
        <f ca="1">IF(CALC2223!AX287&gt;2,INDIRECT(ADDRESS(MATCH(Agenda2526!C288,'CAL1'!A:A,0)+2,3,4,1,"CAL1")),0)</f>
        <v>0</v>
      </c>
      <c r="G287" s="20" t="str">
        <f ca="1">IF(CALC2223!AY287&gt;0,INDIRECT(ADDRESS(MATCH(Agenda2526!C288,'CAL2'!A:A,0),2,4,1,"CAL2")),"")</f>
        <v/>
      </c>
      <c r="H287" s="21">
        <f ca="1">IF(CALC2223!AY287&gt;0,INDIRECT(ADDRESS(MATCH(Agenda2526!C288,'CAL2'!A:A,0),3,4,1,"CAL2")),0)</f>
        <v>0</v>
      </c>
      <c r="I287" s="20" t="str">
        <f ca="1">IF(CALC2223!AY287&gt;1,INDIRECT(ADDRESS(MATCH(Agenda2526!C288,'CAL2'!A:A,0)+1,2,4,1,"CAL2")),"")</f>
        <v/>
      </c>
      <c r="J287" s="21">
        <f ca="1">IF(CALC2223!AY287&gt;1,INDIRECT(ADDRESS(MATCH(Agenda2526!C288,'CAL2'!A:A,0)+1,3,4,1,"CAL2")),0)</f>
        <v>0</v>
      </c>
      <c r="K287" s="20" t="str">
        <f ca="1">IF(CALC2223!AY287&gt;2,INDIRECT(ADDRESS(MATCH(Agenda2526!C288,'CAL2'!A:A,0)+2,2,4,1,"CAL2")),"")</f>
        <v/>
      </c>
      <c r="L287" s="21">
        <f ca="1">IF(CALC2223!AY287&gt;2,INDIRECT(ADDRESS(MATCH(Agenda2526!C288,'CAL2'!A:A,0)+2,3,4,1,"CAL2")),0)</f>
        <v>0</v>
      </c>
      <c r="M287" s="20" t="str">
        <f ca="1">IF(CALC2223!AZ287&gt;0,INDIRECT(ADDRESS(MATCH(Agenda2526!C288,'CAL3'!A:A,0),2,4,1,"CAL3")),"")</f>
        <v/>
      </c>
      <c r="N287" s="21">
        <f ca="1">IF(CALC2223!AZ287&gt;0,INDIRECT(ADDRESS(MATCH(Agenda2526!C288,'CAL3'!A:A,0),3,4,1,"CAL3")),0)</f>
        <v>0</v>
      </c>
      <c r="O287" s="20" t="str">
        <f ca="1">IF(CALC2223!AZ287&gt;1,INDIRECT(ADDRESS(MATCH(Agenda2526!C288,'CAL3'!A:A,0)+1,2,4,1,"CAL3")),"")</f>
        <v/>
      </c>
      <c r="P287" s="21">
        <f ca="1">IF(CALC2223!AZ287&gt;1,INDIRECT(ADDRESS(MATCH(Agenda2526!C288,'CAL3'!A:A,0)+1,3,4,1,"CAL3")),0)</f>
        <v>0</v>
      </c>
      <c r="Q287" s="20" t="str">
        <f ca="1">IF(CALC2223!AZ287&gt;2,INDIRECT(ADDRESS(MATCH(Agenda2526!C288,'CAL3'!A:A,0)+2,2,4,1,"CAL3")),"")</f>
        <v/>
      </c>
      <c r="R287" s="21">
        <f ca="1">IF(CALC2223!AZ287&gt;2,INDIRECT(ADDRESS(MATCH(Agenda2526!C288,'CAL3'!A:A,0)+2,3,4,1,"CAL3")),0)</f>
        <v>0</v>
      </c>
      <c r="S287" s="20" t="str">
        <f ca="1">IF(CALC2223!BA287&gt;0,INDIRECT(ADDRESS(MATCH(Agenda2526!C288,'CAL4'!A:A,0),2,4,1,"CAL4")),"")</f>
        <v/>
      </c>
      <c r="T287" s="21">
        <f ca="1">IF(CALC2223!BA287&gt;0,INDIRECT(ADDRESS(MATCH(Agenda2526!C288,'CAL4'!A:A,0),3,4,1,"CAL4")),0)</f>
        <v>0</v>
      </c>
      <c r="U287" s="20" t="str">
        <f ca="1">IF(CALC2223!BA287&gt;1,INDIRECT(ADDRESS(MATCH(Agenda2526!C288,'CAL4'!A:A,0)+1,2,4,1,"CAL4")),"")</f>
        <v/>
      </c>
      <c r="V287" s="21">
        <f ca="1">IF(CALC2223!BA287&gt;1,INDIRECT(ADDRESS(MATCH(Agenda2526!C288,'CAL4'!A:A,0)+1,3,4,1,"CAL4")),0)</f>
        <v>0</v>
      </c>
      <c r="W287" s="20" t="str">
        <f ca="1">IF(CALC2223!BA287&gt;2,INDIRECT(ADDRESS(MATCH(Agenda2526!C288,'CAL4'!A:A,0)+2,2,4,1,"CAL4")),"")</f>
        <v/>
      </c>
      <c r="X287" s="21">
        <f ca="1">IF(CALC2223!BA287&gt;2,INDIRECT(ADDRESS(MATCH(Agenda2526!C288,'CAL4'!A:A,0)+2,3,4,1,"CAL4")),0)</f>
        <v>0</v>
      </c>
      <c r="Y287" s="20" t="str">
        <f ca="1">IF(CALC2223!BB287&gt;0,INDIRECT(ADDRESS(MATCH(Agenda2526!C288,'CAL5'!A:A,0),2,4,1,"CAL5")),"")</f>
        <v/>
      </c>
      <c r="Z287" s="21">
        <f ca="1">IF(CALC2223!BB287&gt;0,INDIRECT(ADDRESS(MATCH(Agenda2526!C288,'CAL5'!A:A,0),3,4,1,"CAL5")),0)</f>
        <v>0</v>
      </c>
      <c r="AA287" s="20" t="str">
        <f ca="1">IF(CALC2223!BB287&gt;1,INDIRECT(ADDRESS(MATCH(Agenda2526!C288,'CAL5'!A:A,0)+1,2,4,1,"CAL5")),"")</f>
        <v/>
      </c>
      <c r="AB287" s="21">
        <f ca="1">IF(CALC2223!BB287&gt;1,INDIRECT(ADDRESS(MATCH(Agenda2526!C288,'CAL5'!A:A,0)+1,3,4,1,"CAL5")),0)</f>
        <v>0</v>
      </c>
      <c r="AC287" s="20" t="str">
        <f ca="1">IF(CALC2223!BB287&gt;2,INDIRECT(ADDRESS(MATCH(Agenda2526!C288,'CAL5'!A:A,0)+2,2,4,1,"CAL5")),"")</f>
        <v/>
      </c>
      <c r="AD287" s="21">
        <f ca="1">IF(CALC2223!BB287&gt;2,INDIRECT(ADDRESS(MATCH(Agenda2526!C288,'CAL5'!A:A,0)+2,3,4,1,"CAL5")),0)</f>
        <v>0</v>
      </c>
      <c r="AE287" s="20" t="str">
        <f ca="1">IF(CALC2223!BC287&gt;0,INDIRECT(ADDRESS(MATCH(Agenda2526!C288,'CAL6'!A:A,0),2,4,1,"CAL6")),"")</f>
        <v/>
      </c>
      <c r="AF287" s="21">
        <f ca="1">IF(CALC2223!BC287&gt;0,INDIRECT(ADDRESS(MATCH(Agenda2526!C288,'CAL6'!A:A,0),3,4,1,"CAL6")),0)</f>
        <v>0</v>
      </c>
      <c r="AG287" s="20" t="str">
        <f ca="1">IF(CALC2223!BC287&gt;1,INDIRECT(ADDRESS(MATCH(Agenda2526!C288,'CAL6'!A:A,0)+1,2,4,1,"CAL6")),"")</f>
        <v/>
      </c>
      <c r="AH287" s="21">
        <f ca="1">IF(CALC2223!BC287&gt;1,INDIRECT(ADDRESS(MATCH(Agenda2526!C288,'CAL6'!A:A,0)+1,3,4,1,"CAL6")),0)</f>
        <v>0</v>
      </c>
      <c r="AI287" s="20" t="str">
        <f ca="1">IF(CALC2223!BC287&gt;2,INDIRECT(ADDRESS(MATCH(Agenda2526!C288,'CAL6'!A:A,0)+2,2,4,1,"CAL6")),"")</f>
        <v/>
      </c>
      <c r="AJ287" s="21">
        <f ca="1">IF(CALC2223!BC287&gt;2,INDIRECT(ADDRESS(MATCH(Agenda2526!C288,'CAL6'!A:A,0)+2,3,4,1,"CAL6")),0)</f>
        <v>0</v>
      </c>
      <c r="AK287" s="20" t="str">
        <f ca="1">IF(CALC2223!BD287&gt;0,INDIRECT(ADDRESS(MATCH(Agenda2526!C288,'CAL7'!A:A,0),2,4,1,"CAL7")),"")</f>
        <v/>
      </c>
      <c r="AL287" s="21">
        <f ca="1">IF(CALC2223!BD287&gt;0,INDIRECT(ADDRESS(MATCH(Agenda2526!C288,'CAL7'!A:A,0),3,4,1,"CAL7")),0)</f>
        <v>0</v>
      </c>
      <c r="AM287" s="20" t="str">
        <f ca="1">IF(CALC2223!BD287&gt;1,INDIRECT(ADDRESS(MATCH(Agenda2526!C288,'CAL7'!A:A,0)+1,2,4,1,"CAL7")),"")</f>
        <v/>
      </c>
      <c r="AN287" s="21">
        <f ca="1">IF(CALC2223!BD287&gt;1,INDIRECT(ADDRESS(MATCH(Agenda2526!C288,'CAL7'!A:A,0)+1,3,4,1,"CAL7")),0)</f>
        <v>0</v>
      </c>
      <c r="AO287" s="20" t="str">
        <f ca="1">IF(CALC2223!BD287&gt;2,INDIRECT(ADDRESS(MATCH(Agenda2526!C288,'CAL7'!A:A,0)+2,2,4,1,"CAL7")),"")</f>
        <v/>
      </c>
      <c r="AP287" s="21">
        <f ca="1">IF(CALC2223!BD287&gt;2,INDIRECT(ADDRESS(MATCH(Agenda2526!C288,'CAL7'!A:A,0)+2,3,4,1,"CAL7")),0)</f>
        <v>0</v>
      </c>
      <c r="AQ287" s="20" t="str">
        <f ca="1">IF(CALC2223!BE287&gt;0,INDIRECT(ADDRESS(MATCH(Agenda2526!C288,'CAL8'!A:A,0),2,4,1,"CAL8")),"")</f>
        <v/>
      </c>
      <c r="AR287" s="21">
        <f ca="1">IF(CALC2223!BE287&gt;0,INDIRECT(ADDRESS(MATCH(Agenda2526!C288,'CAL8'!A:A,0),3,4,1,"CAL8")),0)</f>
        <v>0</v>
      </c>
      <c r="AS287" s="20" t="str">
        <f ca="1">IF(CALC2223!BE287&gt;1,INDIRECT(ADDRESS(MATCH(Agenda2526!C288,'CAL8'!A:A,0)+1,2,4,1,"CAL8")),"")</f>
        <v/>
      </c>
      <c r="AT287" s="21">
        <f ca="1">IF(CALC2223!BE287&gt;1,INDIRECT(ADDRESS(MATCH(Agenda2526!C288,'CAL8'!A:A,0)+1,3,4,1,"CAL8")),0)</f>
        <v>0</v>
      </c>
      <c r="AU287" s="20" t="str">
        <f ca="1">IF(CALC2223!BE287&gt;2,INDIRECT(ADDRESS(MATCH(Agenda2526!C288,'CAL8'!A:A,0)+2,2,4,1,"CAL8")),"")</f>
        <v/>
      </c>
      <c r="AV287" s="21">
        <f ca="1">IF(CALC2223!BE287&gt;2,INDIRECT(ADDRESS(MATCH(Agenda2526!C288,'CAL8'!A:A,0)+2,3,4,1,"CAL8")),0)</f>
        <v>0</v>
      </c>
      <c r="AW287" s="106"/>
      <c r="AX287" s="20">
        <f>COUNTIF('CAL1'!A:A,Agenda2526!C288)</f>
        <v>0</v>
      </c>
      <c r="AY287" s="20">
        <f>COUNTIF('CAL2'!A:A,Agenda2526!C288)</f>
        <v>0</v>
      </c>
      <c r="AZ287" s="20">
        <f>COUNTIF('CAL3'!A:A,Agenda2526!C288)</f>
        <v>0</v>
      </c>
      <c r="BA287" s="20">
        <f>COUNTIF('CAL4'!A:A,Agenda2526!C288)</f>
        <v>0</v>
      </c>
      <c r="BB287" s="20">
        <f>COUNTIF('CAL5'!A:A,Agenda2526!C288)</f>
        <v>0</v>
      </c>
      <c r="BC287" s="20">
        <f>COUNTIF('CAL6'!A:A,Agenda2526!C288)</f>
        <v>0</v>
      </c>
      <c r="BD287" s="20">
        <f>COUNTIF('CAL7'!A:A,Agenda2526!C288)</f>
        <v>0</v>
      </c>
      <c r="BE287" s="20">
        <f>COUNTIF('CAL8'!A:A,Agenda2526!C288)</f>
        <v>0</v>
      </c>
    </row>
    <row r="288" spans="1:57" ht="15.75" customHeight="1">
      <c r="A288" s="20" t="str">
        <f ca="1">IF(CALC2223!AX288&gt;0,INDIRECT(ADDRESS(MATCH(Agenda2526!C289,'CAL1'!A:A,0),2,4,1,"CAL1")),"")</f>
        <v/>
      </c>
      <c r="B288" s="21">
        <f ca="1">IF(CALC2223!AX288&gt;0,INDIRECT(ADDRESS(MATCH(Agenda2526!C289,'CAL1'!A:A,0),3,4,1,"CAL1")),0)</f>
        <v>0</v>
      </c>
      <c r="C288" s="20" t="str">
        <f ca="1">IF(CALC2223!AX288&gt;1,INDIRECT(ADDRESS(MATCH(Agenda2526!C289,'CAL1'!A:A,0)+1,2,4,1,"CAL1")),"")</f>
        <v/>
      </c>
      <c r="D288" s="21">
        <f ca="1">IF(CALC2223!AX288&gt;1,INDIRECT(ADDRESS(MATCH(Agenda2526!C289,'CAL1'!A:A,0)+1,3,4,1,"CAL1")),0)</f>
        <v>0</v>
      </c>
      <c r="E288" s="20" t="str">
        <f ca="1">IF(CALC2223!AX288&gt;2,INDIRECT(ADDRESS(MATCH(Agenda2526!C289,'CAL1'!A:A,0)+2,2,4,1,"CAL1")),"")</f>
        <v/>
      </c>
      <c r="F288" s="21">
        <f ca="1">IF(CALC2223!AX288&gt;2,INDIRECT(ADDRESS(MATCH(Agenda2526!C289,'CAL1'!A:A,0)+2,3,4,1,"CAL1")),0)</f>
        <v>0</v>
      </c>
      <c r="G288" s="20" t="str">
        <f ca="1">IF(CALC2223!AY288&gt;0,INDIRECT(ADDRESS(MATCH(Agenda2526!C289,'CAL2'!A:A,0),2,4,1,"CAL2")),"")</f>
        <v/>
      </c>
      <c r="H288" s="21">
        <f ca="1">IF(CALC2223!AY288&gt;0,INDIRECT(ADDRESS(MATCH(Agenda2526!C289,'CAL2'!A:A,0),3,4,1,"CAL2")),0)</f>
        <v>0</v>
      </c>
      <c r="I288" s="20" t="str">
        <f ca="1">IF(CALC2223!AY288&gt;1,INDIRECT(ADDRESS(MATCH(Agenda2526!C289,'CAL2'!A:A,0)+1,2,4,1,"CAL2")),"")</f>
        <v/>
      </c>
      <c r="J288" s="21">
        <f ca="1">IF(CALC2223!AY288&gt;1,INDIRECT(ADDRESS(MATCH(Agenda2526!C289,'CAL2'!A:A,0)+1,3,4,1,"CAL2")),0)</f>
        <v>0</v>
      </c>
      <c r="K288" s="20" t="str">
        <f ca="1">IF(CALC2223!AY288&gt;2,INDIRECT(ADDRESS(MATCH(Agenda2526!C289,'CAL2'!A:A,0)+2,2,4,1,"CAL2")),"")</f>
        <v/>
      </c>
      <c r="L288" s="21">
        <f ca="1">IF(CALC2223!AY288&gt;2,INDIRECT(ADDRESS(MATCH(Agenda2526!C289,'CAL2'!A:A,0)+2,3,4,1,"CAL2")),0)</f>
        <v>0</v>
      </c>
      <c r="M288" s="20" t="str">
        <f ca="1">IF(CALC2223!AZ288&gt;0,INDIRECT(ADDRESS(MATCH(Agenda2526!C289,'CAL3'!A:A,0),2,4,1,"CAL3")),"")</f>
        <v/>
      </c>
      <c r="N288" s="21">
        <f ca="1">IF(CALC2223!AZ288&gt;0,INDIRECT(ADDRESS(MATCH(Agenda2526!C289,'CAL3'!A:A,0),3,4,1,"CAL3")),0)</f>
        <v>0</v>
      </c>
      <c r="O288" s="20" t="str">
        <f ca="1">IF(CALC2223!AZ288&gt;1,INDIRECT(ADDRESS(MATCH(Agenda2526!C289,'CAL3'!A:A,0)+1,2,4,1,"CAL3")),"")</f>
        <v/>
      </c>
      <c r="P288" s="21">
        <f ca="1">IF(CALC2223!AZ288&gt;1,INDIRECT(ADDRESS(MATCH(Agenda2526!C289,'CAL3'!A:A,0)+1,3,4,1,"CAL3")),0)</f>
        <v>0</v>
      </c>
      <c r="Q288" s="20" t="str">
        <f ca="1">IF(CALC2223!AZ288&gt;2,INDIRECT(ADDRESS(MATCH(Agenda2526!C289,'CAL3'!A:A,0)+2,2,4,1,"CAL3")),"")</f>
        <v/>
      </c>
      <c r="R288" s="21">
        <f ca="1">IF(CALC2223!AZ288&gt;2,INDIRECT(ADDRESS(MATCH(Agenda2526!C289,'CAL3'!A:A,0)+2,3,4,1,"CAL3")),0)</f>
        <v>0</v>
      </c>
      <c r="S288" s="20" t="str">
        <f ca="1">IF(CALC2223!BA288&gt;0,INDIRECT(ADDRESS(MATCH(Agenda2526!C289,'CAL4'!A:A,0),2,4,1,"CAL4")),"")</f>
        <v/>
      </c>
      <c r="T288" s="21">
        <f ca="1">IF(CALC2223!BA288&gt;0,INDIRECT(ADDRESS(MATCH(Agenda2526!C289,'CAL4'!A:A,0),3,4,1,"CAL4")),0)</f>
        <v>0</v>
      </c>
      <c r="U288" s="20" t="str">
        <f ca="1">IF(CALC2223!BA288&gt;1,INDIRECT(ADDRESS(MATCH(Agenda2526!C289,'CAL4'!A:A,0)+1,2,4,1,"CAL4")),"")</f>
        <v/>
      </c>
      <c r="V288" s="21">
        <f ca="1">IF(CALC2223!BA288&gt;1,INDIRECT(ADDRESS(MATCH(Agenda2526!C289,'CAL4'!A:A,0)+1,3,4,1,"CAL4")),0)</f>
        <v>0</v>
      </c>
      <c r="W288" s="20" t="str">
        <f ca="1">IF(CALC2223!BA288&gt;2,INDIRECT(ADDRESS(MATCH(Agenda2526!C289,'CAL4'!A:A,0)+2,2,4,1,"CAL4")),"")</f>
        <v/>
      </c>
      <c r="X288" s="21">
        <f ca="1">IF(CALC2223!BA288&gt;2,INDIRECT(ADDRESS(MATCH(Agenda2526!C289,'CAL4'!A:A,0)+2,3,4,1,"CAL4")),0)</f>
        <v>0</v>
      </c>
      <c r="Y288" s="20" t="str">
        <f ca="1">IF(CALC2223!BB288&gt;0,INDIRECT(ADDRESS(MATCH(Agenda2526!C289,'CAL5'!A:A,0),2,4,1,"CAL5")),"")</f>
        <v/>
      </c>
      <c r="Z288" s="21">
        <f ca="1">IF(CALC2223!BB288&gt;0,INDIRECT(ADDRESS(MATCH(Agenda2526!C289,'CAL5'!A:A,0),3,4,1,"CAL5")),0)</f>
        <v>0</v>
      </c>
      <c r="AA288" s="20" t="str">
        <f ca="1">IF(CALC2223!BB288&gt;1,INDIRECT(ADDRESS(MATCH(Agenda2526!C289,'CAL5'!A:A,0)+1,2,4,1,"CAL5")),"")</f>
        <v/>
      </c>
      <c r="AB288" s="21">
        <f ca="1">IF(CALC2223!BB288&gt;1,INDIRECT(ADDRESS(MATCH(Agenda2526!C289,'CAL5'!A:A,0)+1,3,4,1,"CAL5")),0)</f>
        <v>0</v>
      </c>
      <c r="AC288" s="20" t="str">
        <f ca="1">IF(CALC2223!BB288&gt;2,INDIRECT(ADDRESS(MATCH(Agenda2526!C289,'CAL5'!A:A,0)+2,2,4,1,"CAL5")),"")</f>
        <v/>
      </c>
      <c r="AD288" s="21">
        <f ca="1">IF(CALC2223!BB288&gt;2,INDIRECT(ADDRESS(MATCH(Agenda2526!C289,'CAL5'!A:A,0)+2,3,4,1,"CAL5")),0)</f>
        <v>0</v>
      </c>
      <c r="AE288" s="20" t="str">
        <f ca="1">IF(CALC2223!BC288&gt;0,INDIRECT(ADDRESS(MATCH(Agenda2526!C289,'CAL6'!A:A,0),2,4,1,"CAL6")),"")</f>
        <v/>
      </c>
      <c r="AF288" s="21">
        <f ca="1">IF(CALC2223!BC288&gt;0,INDIRECT(ADDRESS(MATCH(Agenda2526!C289,'CAL6'!A:A,0),3,4,1,"CAL6")),0)</f>
        <v>0</v>
      </c>
      <c r="AG288" s="20" t="str">
        <f ca="1">IF(CALC2223!BC288&gt;1,INDIRECT(ADDRESS(MATCH(Agenda2526!C289,'CAL6'!A:A,0)+1,2,4,1,"CAL6")),"")</f>
        <v/>
      </c>
      <c r="AH288" s="21">
        <f ca="1">IF(CALC2223!BC288&gt;1,INDIRECT(ADDRESS(MATCH(Agenda2526!C289,'CAL6'!A:A,0)+1,3,4,1,"CAL6")),0)</f>
        <v>0</v>
      </c>
      <c r="AI288" s="20" t="str">
        <f ca="1">IF(CALC2223!BC288&gt;2,INDIRECT(ADDRESS(MATCH(Agenda2526!C289,'CAL6'!A:A,0)+2,2,4,1,"CAL6")),"")</f>
        <v/>
      </c>
      <c r="AJ288" s="21">
        <f ca="1">IF(CALC2223!BC288&gt;2,INDIRECT(ADDRESS(MATCH(Agenda2526!C289,'CAL6'!A:A,0)+2,3,4,1,"CAL6")),0)</f>
        <v>0</v>
      </c>
      <c r="AK288" s="20" t="str">
        <f ca="1">IF(CALC2223!BD288&gt;0,INDIRECT(ADDRESS(MATCH(Agenda2526!C289,'CAL7'!A:A,0),2,4,1,"CAL7")),"")</f>
        <v/>
      </c>
      <c r="AL288" s="21">
        <f ca="1">IF(CALC2223!BD288&gt;0,INDIRECT(ADDRESS(MATCH(Agenda2526!C289,'CAL7'!A:A,0),3,4,1,"CAL7")),0)</f>
        <v>0</v>
      </c>
      <c r="AM288" s="20" t="str">
        <f ca="1">IF(CALC2223!BD288&gt;1,INDIRECT(ADDRESS(MATCH(Agenda2526!C289,'CAL7'!A:A,0)+1,2,4,1,"CAL7")),"")</f>
        <v/>
      </c>
      <c r="AN288" s="21">
        <f ca="1">IF(CALC2223!BD288&gt;1,INDIRECT(ADDRESS(MATCH(Agenda2526!C289,'CAL7'!A:A,0)+1,3,4,1,"CAL7")),0)</f>
        <v>0</v>
      </c>
      <c r="AO288" s="20" t="str">
        <f ca="1">IF(CALC2223!BD288&gt;2,INDIRECT(ADDRESS(MATCH(Agenda2526!C289,'CAL7'!A:A,0)+2,2,4,1,"CAL7")),"")</f>
        <v/>
      </c>
      <c r="AP288" s="21">
        <f ca="1">IF(CALC2223!BD288&gt;2,INDIRECT(ADDRESS(MATCH(Agenda2526!C289,'CAL7'!A:A,0)+2,3,4,1,"CAL7")),0)</f>
        <v>0</v>
      </c>
      <c r="AQ288" s="20" t="str">
        <f ca="1">IF(CALC2223!BE288&gt;0,INDIRECT(ADDRESS(MATCH(Agenda2526!C289,'CAL8'!A:A,0),2,4,1,"CAL8")),"")</f>
        <v/>
      </c>
      <c r="AR288" s="21">
        <f ca="1">IF(CALC2223!BE288&gt;0,INDIRECT(ADDRESS(MATCH(Agenda2526!C289,'CAL8'!A:A,0),3,4,1,"CAL8")),0)</f>
        <v>0</v>
      </c>
      <c r="AS288" s="20" t="str">
        <f ca="1">IF(CALC2223!BE288&gt;1,INDIRECT(ADDRESS(MATCH(Agenda2526!C289,'CAL8'!A:A,0)+1,2,4,1,"CAL8")),"")</f>
        <v/>
      </c>
      <c r="AT288" s="21">
        <f ca="1">IF(CALC2223!BE288&gt;1,INDIRECT(ADDRESS(MATCH(Agenda2526!C289,'CAL8'!A:A,0)+1,3,4,1,"CAL8")),0)</f>
        <v>0</v>
      </c>
      <c r="AU288" s="20" t="str">
        <f ca="1">IF(CALC2223!BE288&gt;2,INDIRECT(ADDRESS(MATCH(Agenda2526!C289,'CAL8'!A:A,0)+2,2,4,1,"CAL8")),"")</f>
        <v/>
      </c>
      <c r="AV288" s="21">
        <f ca="1">IF(CALC2223!BE288&gt;2,INDIRECT(ADDRESS(MATCH(Agenda2526!C289,'CAL8'!A:A,0)+2,3,4,1,"CAL8")),0)</f>
        <v>0</v>
      </c>
      <c r="AW288" s="106"/>
      <c r="AX288" s="20">
        <f>COUNTIF('CAL1'!A:A,Agenda2526!C289)</f>
        <v>0</v>
      </c>
      <c r="AY288" s="20">
        <f>COUNTIF('CAL2'!A:A,Agenda2526!C289)</f>
        <v>0</v>
      </c>
      <c r="AZ288" s="20">
        <f>COUNTIF('CAL3'!A:A,Agenda2526!C289)</f>
        <v>0</v>
      </c>
      <c r="BA288" s="20">
        <f>COUNTIF('CAL4'!A:A,Agenda2526!C289)</f>
        <v>0</v>
      </c>
      <c r="BB288" s="20">
        <f>COUNTIF('CAL5'!A:A,Agenda2526!C289)</f>
        <v>0</v>
      </c>
      <c r="BC288" s="20">
        <f>COUNTIF('CAL6'!A:A,Agenda2526!C289)</f>
        <v>0</v>
      </c>
      <c r="BD288" s="20">
        <f>COUNTIF('CAL7'!A:A,Agenda2526!C289)</f>
        <v>0</v>
      </c>
      <c r="BE288" s="20">
        <f>COUNTIF('CAL8'!A:A,Agenda2526!C289)</f>
        <v>0</v>
      </c>
    </row>
    <row r="289" spans="1:57" ht="15.75" customHeight="1">
      <c r="A289" s="20" t="str">
        <f ca="1">IF(CALC2223!AX289&gt;0,INDIRECT(ADDRESS(MATCH(Agenda2526!C290,'CAL1'!A:A,0),2,4,1,"CAL1")),"")</f>
        <v/>
      </c>
      <c r="B289" s="21">
        <f ca="1">IF(CALC2223!AX289&gt;0,INDIRECT(ADDRESS(MATCH(Agenda2526!C290,'CAL1'!A:A,0),3,4,1,"CAL1")),0)</f>
        <v>0</v>
      </c>
      <c r="C289" s="20" t="str">
        <f ca="1">IF(CALC2223!AX289&gt;1,INDIRECT(ADDRESS(MATCH(Agenda2526!C290,'CAL1'!A:A,0)+1,2,4,1,"CAL1")),"")</f>
        <v/>
      </c>
      <c r="D289" s="21">
        <f ca="1">IF(CALC2223!AX289&gt;1,INDIRECT(ADDRESS(MATCH(Agenda2526!C290,'CAL1'!A:A,0)+1,3,4,1,"CAL1")),0)</f>
        <v>0</v>
      </c>
      <c r="E289" s="20" t="str">
        <f ca="1">IF(CALC2223!AX289&gt;2,INDIRECT(ADDRESS(MATCH(Agenda2526!C290,'CAL1'!A:A,0)+2,2,4,1,"CAL1")),"")</f>
        <v/>
      </c>
      <c r="F289" s="21">
        <f ca="1">IF(CALC2223!AX289&gt;2,INDIRECT(ADDRESS(MATCH(Agenda2526!C290,'CAL1'!A:A,0)+2,3,4,1,"CAL1")),0)</f>
        <v>0</v>
      </c>
      <c r="G289" s="20" t="str">
        <f ca="1">IF(CALC2223!AY289&gt;0,INDIRECT(ADDRESS(MATCH(Agenda2526!C290,'CAL2'!A:A,0),2,4,1,"CAL2")),"")</f>
        <v/>
      </c>
      <c r="H289" s="21">
        <f ca="1">IF(CALC2223!AY289&gt;0,INDIRECT(ADDRESS(MATCH(Agenda2526!C290,'CAL2'!A:A,0),3,4,1,"CAL2")),0)</f>
        <v>0</v>
      </c>
      <c r="I289" s="20" t="str">
        <f ca="1">IF(CALC2223!AY289&gt;1,INDIRECT(ADDRESS(MATCH(Agenda2526!C290,'CAL2'!A:A,0)+1,2,4,1,"CAL2")),"")</f>
        <v/>
      </c>
      <c r="J289" s="21">
        <f ca="1">IF(CALC2223!AY289&gt;1,INDIRECT(ADDRESS(MATCH(Agenda2526!C290,'CAL2'!A:A,0)+1,3,4,1,"CAL2")),0)</f>
        <v>0</v>
      </c>
      <c r="K289" s="20" t="str">
        <f ca="1">IF(CALC2223!AY289&gt;2,INDIRECT(ADDRESS(MATCH(Agenda2526!C290,'CAL2'!A:A,0)+2,2,4,1,"CAL2")),"")</f>
        <v/>
      </c>
      <c r="L289" s="21">
        <f ca="1">IF(CALC2223!AY289&gt;2,INDIRECT(ADDRESS(MATCH(Agenda2526!C290,'CAL2'!A:A,0)+2,3,4,1,"CAL2")),0)</f>
        <v>0</v>
      </c>
      <c r="M289" s="20" t="str">
        <f ca="1">IF(CALC2223!AZ289&gt;0,INDIRECT(ADDRESS(MATCH(Agenda2526!C290,'CAL3'!A:A,0),2,4,1,"CAL3")),"")</f>
        <v/>
      </c>
      <c r="N289" s="21">
        <f ca="1">IF(CALC2223!AZ289&gt;0,INDIRECT(ADDRESS(MATCH(Agenda2526!C290,'CAL3'!A:A,0),3,4,1,"CAL3")),0)</f>
        <v>0</v>
      </c>
      <c r="O289" s="20" t="str">
        <f ca="1">IF(CALC2223!AZ289&gt;1,INDIRECT(ADDRESS(MATCH(Agenda2526!C290,'CAL3'!A:A,0)+1,2,4,1,"CAL3")),"")</f>
        <v/>
      </c>
      <c r="P289" s="21">
        <f ca="1">IF(CALC2223!AZ289&gt;1,INDIRECT(ADDRESS(MATCH(Agenda2526!C290,'CAL3'!A:A,0)+1,3,4,1,"CAL3")),0)</f>
        <v>0</v>
      </c>
      <c r="Q289" s="20" t="str">
        <f ca="1">IF(CALC2223!AZ289&gt;2,INDIRECT(ADDRESS(MATCH(Agenda2526!C290,'CAL3'!A:A,0)+2,2,4,1,"CAL3")),"")</f>
        <v/>
      </c>
      <c r="R289" s="21">
        <f ca="1">IF(CALC2223!AZ289&gt;2,INDIRECT(ADDRESS(MATCH(Agenda2526!C290,'CAL3'!A:A,0)+2,3,4,1,"CAL3")),0)</f>
        <v>0</v>
      </c>
      <c r="S289" s="20" t="str">
        <f ca="1">IF(CALC2223!BA289&gt;0,INDIRECT(ADDRESS(MATCH(Agenda2526!C290,'CAL4'!A:A,0),2,4,1,"CAL4")),"")</f>
        <v>inh rep GS</v>
      </c>
      <c r="T289" s="21">
        <f ca="1">IF(CALC2223!BA289&gt;0,INDIRECT(ADDRESS(MATCH(Agenda2526!C290,'CAL4'!A:A,0),3,4,1,"CAL4")),0)</f>
        <v>45936</v>
      </c>
      <c r="U289" s="20" t="str">
        <f ca="1">IF(CALC2223!BA289&gt;1,INDIRECT(ADDRESS(MATCH(Agenda2526!C290,'CAL4'!A:A,0)+1,2,4,1,"CAL4")),"")</f>
        <v/>
      </c>
      <c r="V289" s="21">
        <f ca="1">IF(CALC2223!BA289&gt;1,INDIRECT(ADDRESS(MATCH(Agenda2526!C290,'CAL4'!A:A,0)+1,3,4,1,"CAL4")),0)</f>
        <v>0</v>
      </c>
      <c r="W289" s="20" t="str">
        <f ca="1">IF(CALC2223!BA289&gt;2,INDIRECT(ADDRESS(MATCH(Agenda2526!C290,'CAL4'!A:A,0)+2,2,4,1,"CAL4")),"")</f>
        <v/>
      </c>
      <c r="X289" s="21">
        <f ca="1">IF(CALC2223!BA289&gt;2,INDIRECT(ADDRESS(MATCH(Agenda2526!C290,'CAL4'!A:A,0)+2,3,4,1,"CAL4")),0)</f>
        <v>0</v>
      </c>
      <c r="Y289" s="20" t="str">
        <f ca="1">IF(CALC2223!BB289&gt;0,INDIRECT(ADDRESS(MATCH(Agenda2526!C290,'CAL5'!A:A,0),2,4,1,"CAL5")),"")</f>
        <v/>
      </c>
      <c r="Z289" s="21">
        <f ca="1">IF(CALC2223!BB289&gt;0,INDIRECT(ADDRESS(MATCH(Agenda2526!C290,'CAL5'!A:A,0),3,4,1,"CAL5")),0)</f>
        <v>0</v>
      </c>
      <c r="AA289" s="20" t="str">
        <f ca="1">IF(CALC2223!BB289&gt;1,INDIRECT(ADDRESS(MATCH(Agenda2526!C290,'CAL5'!A:A,0)+1,2,4,1,"CAL5")),"")</f>
        <v/>
      </c>
      <c r="AB289" s="21">
        <f ca="1">IF(CALC2223!BB289&gt;1,INDIRECT(ADDRESS(MATCH(Agenda2526!C290,'CAL5'!A:A,0)+1,3,4,1,"CAL5")),0)</f>
        <v>0</v>
      </c>
      <c r="AC289" s="20" t="str">
        <f ca="1">IF(CALC2223!BB289&gt;2,INDIRECT(ADDRESS(MATCH(Agenda2526!C290,'CAL5'!A:A,0)+2,2,4,1,"CAL5")),"")</f>
        <v/>
      </c>
      <c r="AD289" s="21">
        <f ca="1">IF(CALC2223!BB289&gt;2,INDIRECT(ADDRESS(MATCH(Agenda2526!C290,'CAL5'!A:A,0)+2,3,4,1,"CAL5")),0)</f>
        <v>0</v>
      </c>
      <c r="AE289" s="20" t="str">
        <f ca="1">IF(CALC2223!BC289&gt;0,INDIRECT(ADDRESS(MATCH(Agenda2526!C290,'CAL6'!A:A,0),2,4,1,"CAL6")),"")</f>
        <v/>
      </c>
      <c r="AF289" s="21">
        <f ca="1">IF(CALC2223!BC289&gt;0,INDIRECT(ADDRESS(MATCH(Agenda2526!C290,'CAL6'!A:A,0),3,4,1,"CAL6")),0)</f>
        <v>0</v>
      </c>
      <c r="AG289" s="20" t="str">
        <f ca="1">IF(CALC2223!BC289&gt;1,INDIRECT(ADDRESS(MATCH(Agenda2526!C290,'CAL6'!A:A,0)+1,2,4,1,"CAL6")),"")</f>
        <v/>
      </c>
      <c r="AH289" s="21">
        <f ca="1">IF(CALC2223!BC289&gt;1,INDIRECT(ADDRESS(MATCH(Agenda2526!C290,'CAL6'!A:A,0)+1,3,4,1,"CAL6")),0)</f>
        <v>0</v>
      </c>
      <c r="AI289" s="20" t="str">
        <f ca="1">IF(CALC2223!BC289&gt;2,INDIRECT(ADDRESS(MATCH(Agenda2526!C290,'CAL6'!A:A,0)+2,2,4,1,"CAL6")),"")</f>
        <v/>
      </c>
      <c r="AJ289" s="21">
        <f ca="1">IF(CALC2223!BC289&gt;2,INDIRECT(ADDRESS(MATCH(Agenda2526!C290,'CAL6'!A:A,0)+2,3,4,1,"CAL6")),0)</f>
        <v>0</v>
      </c>
      <c r="AK289" s="20" t="str">
        <f ca="1">IF(CALC2223!BD289&gt;0,INDIRECT(ADDRESS(MATCH(Agenda2526!C290,'CAL7'!A:A,0),2,4,1,"CAL7")),"")</f>
        <v/>
      </c>
      <c r="AL289" s="21">
        <f ca="1">IF(CALC2223!BD289&gt;0,INDIRECT(ADDRESS(MATCH(Agenda2526!C290,'CAL7'!A:A,0),3,4,1,"CAL7")),0)</f>
        <v>0</v>
      </c>
      <c r="AM289" s="20" t="str">
        <f ca="1">IF(CALC2223!BD289&gt;1,INDIRECT(ADDRESS(MATCH(Agenda2526!C290,'CAL7'!A:A,0)+1,2,4,1,"CAL7")),"")</f>
        <v/>
      </c>
      <c r="AN289" s="21">
        <f ca="1">IF(CALC2223!BD289&gt;1,INDIRECT(ADDRESS(MATCH(Agenda2526!C290,'CAL7'!A:A,0)+1,3,4,1,"CAL7")),0)</f>
        <v>0</v>
      </c>
      <c r="AO289" s="20" t="str">
        <f ca="1">IF(CALC2223!BD289&gt;2,INDIRECT(ADDRESS(MATCH(Agenda2526!C290,'CAL7'!A:A,0)+2,2,4,1,"CAL7")),"")</f>
        <v/>
      </c>
      <c r="AP289" s="21">
        <f ca="1">IF(CALC2223!BD289&gt;2,INDIRECT(ADDRESS(MATCH(Agenda2526!C290,'CAL7'!A:A,0)+2,3,4,1,"CAL7")),0)</f>
        <v>0</v>
      </c>
      <c r="AQ289" s="20" t="str">
        <f ca="1">IF(CALC2223!BE289&gt;0,INDIRECT(ADDRESS(MATCH(Agenda2526!C290,'CAL8'!A:A,0),2,4,1,"CAL8")),"")</f>
        <v/>
      </c>
      <c r="AR289" s="21">
        <f ca="1">IF(CALC2223!BE289&gt;0,INDIRECT(ADDRESS(MATCH(Agenda2526!C290,'CAL8'!A:A,0),3,4,1,"CAL8")),0)</f>
        <v>0</v>
      </c>
      <c r="AS289" s="20" t="str">
        <f ca="1">IF(CALC2223!BE289&gt;1,INDIRECT(ADDRESS(MATCH(Agenda2526!C290,'CAL8'!A:A,0)+1,2,4,1,"CAL8")),"")</f>
        <v/>
      </c>
      <c r="AT289" s="21">
        <f ca="1">IF(CALC2223!BE289&gt;1,INDIRECT(ADDRESS(MATCH(Agenda2526!C290,'CAL8'!A:A,0)+1,3,4,1,"CAL8")),0)</f>
        <v>0</v>
      </c>
      <c r="AU289" s="20" t="str">
        <f ca="1">IF(CALC2223!BE289&gt;2,INDIRECT(ADDRESS(MATCH(Agenda2526!C290,'CAL8'!A:A,0)+2,2,4,1,"CAL8")),"")</f>
        <v/>
      </c>
      <c r="AV289" s="21">
        <f ca="1">IF(CALC2223!BE289&gt;2,INDIRECT(ADDRESS(MATCH(Agenda2526!C290,'CAL8'!A:A,0)+2,3,4,1,"CAL8")),0)</f>
        <v>0</v>
      </c>
      <c r="AW289" s="105"/>
      <c r="AX289" s="20">
        <f>COUNTIF('CAL1'!A:A,Agenda2526!C290)</f>
        <v>0</v>
      </c>
      <c r="AY289" s="20">
        <f>COUNTIF('CAL2'!A:A,Agenda2526!C290)</f>
        <v>0</v>
      </c>
      <c r="AZ289" s="20">
        <f>COUNTIF('CAL3'!A:A,Agenda2526!C290)</f>
        <v>0</v>
      </c>
      <c r="BA289" s="20">
        <f>COUNTIF('CAL4'!A:A,Agenda2526!C290)</f>
        <v>1</v>
      </c>
      <c r="BB289" s="20">
        <f>COUNTIF('CAL5'!A:A,Agenda2526!C290)</f>
        <v>0</v>
      </c>
      <c r="BC289" s="20">
        <f>COUNTIF('CAL6'!A:A,Agenda2526!C290)</f>
        <v>0</v>
      </c>
      <c r="BD289" s="20">
        <f>COUNTIF('CAL7'!A:A,Agenda2526!C290)</f>
        <v>0</v>
      </c>
      <c r="BE289" s="20">
        <f>COUNTIF('CAL8'!A:A,Agenda2526!C290)</f>
        <v>0</v>
      </c>
    </row>
    <row r="290" spans="1:57" ht="15.75" customHeight="1">
      <c r="A290" s="20" t="str">
        <f ca="1">IF(CALC2223!AX290&gt;0,INDIRECT(ADDRESS(MATCH(Agenda2526!C291,'CAL1'!A:A,0),2,4,1,"CAL1")),"")</f>
        <v/>
      </c>
      <c r="B290" s="21">
        <f ca="1">IF(CALC2223!AX290&gt;0,INDIRECT(ADDRESS(MATCH(Agenda2526!C291,'CAL1'!A:A,0),3,4,1,"CAL1")),0)</f>
        <v>0</v>
      </c>
      <c r="C290" s="20" t="str">
        <f ca="1">IF(CALC2223!AX290&gt;1,INDIRECT(ADDRESS(MATCH(Agenda2526!C291,'CAL1'!A:A,0)+1,2,4,1,"CAL1")),"")</f>
        <v/>
      </c>
      <c r="D290" s="21">
        <f ca="1">IF(CALC2223!AX290&gt;1,INDIRECT(ADDRESS(MATCH(Agenda2526!C291,'CAL1'!A:A,0)+1,3,4,1,"CAL1")),0)</f>
        <v>0</v>
      </c>
      <c r="E290" s="20" t="str">
        <f ca="1">IF(CALC2223!AX290&gt;2,INDIRECT(ADDRESS(MATCH(Agenda2526!C291,'CAL1'!A:A,0)+2,2,4,1,"CAL1")),"")</f>
        <v/>
      </c>
      <c r="F290" s="21">
        <f ca="1">IF(CALC2223!AX290&gt;2,INDIRECT(ADDRESS(MATCH(Agenda2526!C291,'CAL1'!A:A,0)+2,3,4,1,"CAL1")),0)</f>
        <v>0</v>
      </c>
      <c r="G290" s="20" t="str">
        <f ca="1">IF(CALC2223!AY290&gt;0,INDIRECT(ADDRESS(MATCH(Agenda2526!C291,'CAL2'!A:A,0),2,4,1,"CAL2")),"")</f>
        <v/>
      </c>
      <c r="H290" s="21">
        <f ca="1">IF(CALC2223!AY290&gt;0,INDIRECT(ADDRESS(MATCH(Agenda2526!C291,'CAL2'!A:A,0),3,4,1,"CAL2")),0)</f>
        <v>0</v>
      </c>
      <c r="I290" s="20" t="str">
        <f ca="1">IF(CALC2223!AY290&gt;1,INDIRECT(ADDRESS(MATCH(Agenda2526!C291,'CAL2'!A:A,0)+1,2,4,1,"CAL2")),"")</f>
        <v/>
      </c>
      <c r="J290" s="21">
        <f ca="1">IF(CALC2223!AY290&gt;1,INDIRECT(ADDRESS(MATCH(Agenda2526!C291,'CAL2'!A:A,0)+1,3,4,1,"CAL2")),0)</f>
        <v>0</v>
      </c>
      <c r="K290" s="20" t="str">
        <f ca="1">IF(CALC2223!AY290&gt;2,INDIRECT(ADDRESS(MATCH(Agenda2526!C291,'CAL2'!A:A,0)+2,2,4,1,"CAL2")),"")</f>
        <v/>
      </c>
      <c r="L290" s="21">
        <f ca="1">IF(CALC2223!AY290&gt;2,INDIRECT(ADDRESS(MATCH(Agenda2526!C291,'CAL2'!A:A,0)+2,3,4,1,"CAL2")),0)</f>
        <v>0</v>
      </c>
      <c r="M290" s="20" t="str">
        <f ca="1">IF(CALC2223!AZ290&gt;0,INDIRECT(ADDRESS(MATCH(Agenda2526!C291,'CAL3'!A:A,0),2,4,1,"CAL3")),"")</f>
        <v/>
      </c>
      <c r="N290" s="21">
        <f ca="1">IF(CALC2223!AZ290&gt;0,INDIRECT(ADDRESS(MATCH(Agenda2526!C291,'CAL3'!A:A,0),3,4,1,"CAL3")),0)</f>
        <v>0</v>
      </c>
      <c r="O290" s="20" t="str">
        <f ca="1">IF(CALC2223!AZ290&gt;1,INDIRECT(ADDRESS(MATCH(Agenda2526!C291,'CAL3'!A:A,0)+1,2,4,1,"CAL3")),"")</f>
        <v/>
      </c>
      <c r="P290" s="21">
        <f ca="1">IF(CALC2223!AZ290&gt;1,INDIRECT(ADDRESS(MATCH(Agenda2526!C291,'CAL3'!A:A,0)+1,3,4,1,"CAL3")),0)</f>
        <v>0</v>
      </c>
      <c r="Q290" s="20" t="str">
        <f ca="1">IF(CALC2223!AZ290&gt;2,INDIRECT(ADDRESS(MATCH(Agenda2526!C291,'CAL3'!A:A,0)+2,2,4,1,"CAL3")),"")</f>
        <v/>
      </c>
      <c r="R290" s="21">
        <f ca="1">IF(CALC2223!AZ290&gt;2,INDIRECT(ADDRESS(MATCH(Agenda2526!C291,'CAL3'!A:A,0)+2,3,4,1,"CAL3")),0)</f>
        <v>0</v>
      </c>
      <c r="S290" s="20" t="str">
        <f ca="1">IF(CALC2223!BA290&gt;0,INDIRECT(ADDRESS(MATCH(Agenda2526!C291,'CAL4'!A:A,0),2,4,1,"CAL4")),"")</f>
        <v>Rep AK</v>
      </c>
      <c r="T290" s="21">
        <f ca="1">IF(CALC2223!BA290&gt;0,INDIRECT(ADDRESS(MATCH(Agenda2526!C291,'CAL4'!A:A,0),3,4,1,"CAL4")),0)</f>
        <v>45896</v>
      </c>
      <c r="U290" s="20" t="str">
        <f ca="1">IF(CALC2223!BA290&gt;1,INDIRECT(ADDRESS(MATCH(Agenda2526!C291,'CAL4'!A:A,0)+1,2,4,1,"CAL4")),"")</f>
        <v/>
      </c>
      <c r="V290" s="21">
        <f ca="1">IF(CALC2223!BA290&gt;1,INDIRECT(ADDRESS(MATCH(Agenda2526!C291,'CAL4'!A:A,0)+1,3,4,1,"CAL4")),0)</f>
        <v>0</v>
      </c>
      <c r="W290" s="20" t="str">
        <f ca="1">IF(CALC2223!BA290&gt;2,INDIRECT(ADDRESS(MATCH(Agenda2526!C291,'CAL4'!A:A,0)+2,2,4,1,"CAL4")),"")</f>
        <v/>
      </c>
      <c r="X290" s="21">
        <f ca="1">IF(CALC2223!BA290&gt;2,INDIRECT(ADDRESS(MATCH(Agenda2526!C291,'CAL4'!A:A,0)+2,3,4,1,"CAL4")),0)</f>
        <v>0</v>
      </c>
      <c r="Y290" s="20" t="str">
        <f ca="1">IF(CALC2223!BB290&gt;0,INDIRECT(ADDRESS(MATCH(Agenda2526!C291,'CAL5'!A:A,0),2,4,1,"CAL5")),"")</f>
        <v/>
      </c>
      <c r="Z290" s="21">
        <f ca="1">IF(CALC2223!BB290&gt;0,INDIRECT(ADDRESS(MATCH(Agenda2526!C291,'CAL5'!A:A,0),3,4,1,"CAL5")),0)</f>
        <v>0</v>
      </c>
      <c r="AA290" s="20" t="str">
        <f ca="1">IF(CALC2223!BB290&gt;1,INDIRECT(ADDRESS(MATCH(Agenda2526!C291,'CAL5'!A:A,0)+1,2,4,1,"CAL5")),"")</f>
        <v/>
      </c>
      <c r="AB290" s="21">
        <f ca="1">IF(CALC2223!BB290&gt;1,INDIRECT(ADDRESS(MATCH(Agenda2526!C291,'CAL5'!A:A,0)+1,3,4,1,"CAL5")),0)</f>
        <v>0</v>
      </c>
      <c r="AC290" s="20" t="str">
        <f ca="1">IF(CALC2223!BB290&gt;2,INDIRECT(ADDRESS(MATCH(Agenda2526!C291,'CAL5'!A:A,0)+2,2,4,1,"CAL5")),"")</f>
        <v/>
      </c>
      <c r="AD290" s="21">
        <f ca="1">IF(CALC2223!BB290&gt;2,INDIRECT(ADDRESS(MATCH(Agenda2526!C291,'CAL5'!A:A,0)+2,3,4,1,"CAL5")),0)</f>
        <v>0</v>
      </c>
      <c r="AE290" s="20" t="str">
        <f ca="1">IF(CALC2223!BC290&gt;0,INDIRECT(ADDRESS(MATCH(Agenda2526!C291,'CAL6'!A:A,0),2,4,1,"CAL6")),"")</f>
        <v>CE-2</v>
      </c>
      <c r="AF290" s="21">
        <f ca="1">IF(CALC2223!BC290&gt;0,INDIRECT(ADDRESS(MATCH(Agenda2526!C291,'CAL6'!A:A,0),3,4,1,"CAL6")),0)</f>
        <v>45896</v>
      </c>
      <c r="AG290" s="20" t="str">
        <f ca="1">IF(CALC2223!BC290&gt;1,INDIRECT(ADDRESS(MATCH(Agenda2526!C291,'CAL6'!A:A,0)+1,2,4,1,"CAL6")),"")</f>
        <v/>
      </c>
      <c r="AH290" s="21">
        <f ca="1">IF(CALC2223!BC290&gt;1,INDIRECT(ADDRESS(MATCH(Agenda2526!C291,'CAL6'!A:A,0)+1,3,4,1,"CAL6")),0)</f>
        <v>0</v>
      </c>
      <c r="AI290" s="20" t="str">
        <f ca="1">IF(CALC2223!BC290&gt;2,INDIRECT(ADDRESS(MATCH(Agenda2526!C291,'CAL6'!A:A,0)+2,2,4,1,"CAL6")),"")</f>
        <v/>
      </c>
      <c r="AJ290" s="21">
        <f ca="1">IF(CALC2223!BC290&gt;2,INDIRECT(ADDRESS(MATCH(Agenda2526!C291,'CAL6'!A:A,0)+2,3,4,1,"CAL6")),0)</f>
        <v>0</v>
      </c>
      <c r="AK290" s="20" t="str">
        <f ca="1">IF(CALC2223!BD290&gt;0,INDIRECT(ADDRESS(MATCH(Agenda2526!C291,'CAL7'!A:A,0),2,4,1,"CAL7")),"")</f>
        <v>nismakingsdag Nieuwe Brugklassers</v>
      </c>
      <c r="AL290" s="21">
        <f ca="1">IF(CALC2223!BD290&gt;0,INDIRECT(ADDRESS(MATCH(Agenda2526!C291,'CAL7'!A:A,0),3,4,1,"CAL7")),0)</f>
        <v>46066</v>
      </c>
      <c r="AM290" s="20" t="str">
        <f ca="1">IF(CALC2223!BD290&gt;1,INDIRECT(ADDRESS(MATCH(Agenda2526!C291,'CAL7'!A:A,0)+1,2,4,1,"CAL7")),"")</f>
        <v/>
      </c>
      <c r="AN290" s="21">
        <f ca="1">IF(CALC2223!BD290&gt;1,INDIRECT(ADDRESS(MATCH(Agenda2526!C291,'CAL7'!A:A,0)+1,3,4,1,"CAL7")),0)</f>
        <v>0</v>
      </c>
      <c r="AO290" s="20" t="str">
        <f ca="1">IF(CALC2223!BD290&gt;2,INDIRECT(ADDRESS(MATCH(Agenda2526!C291,'CAL7'!A:A,0)+2,2,4,1,"CAL7")),"")</f>
        <v/>
      </c>
      <c r="AP290" s="21">
        <f ca="1">IF(CALC2223!BD290&gt;2,INDIRECT(ADDRESS(MATCH(Agenda2526!C291,'CAL7'!A:A,0)+2,3,4,1,"CAL7")),0)</f>
        <v>0</v>
      </c>
      <c r="AQ290" s="20" t="str">
        <f ca="1">IF(CALC2223!BE290&gt;0,INDIRECT(ADDRESS(MATCH(Agenda2526!C291,'CAL8'!A:A,0),2,4,1,"CAL8")),"")</f>
        <v/>
      </c>
      <c r="AR290" s="21">
        <f ca="1">IF(CALC2223!BE290&gt;0,INDIRECT(ADDRESS(MATCH(Agenda2526!C291,'CAL8'!A:A,0),3,4,1,"CAL8")),0)</f>
        <v>0</v>
      </c>
      <c r="AS290" s="20" t="str">
        <f ca="1">IF(CALC2223!BE290&gt;1,INDIRECT(ADDRESS(MATCH(Agenda2526!C291,'CAL8'!A:A,0)+1,2,4,1,"CAL8")),"")</f>
        <v/>
      </c>
      <c r="AT290" s="21">
        <f ca="1">IF(CALC2223!BE290&gt;1,INDIRECT(ADDRESS(MATCH(Agenda2526!C291,'CAL8'!A:A,0)+1,3,4,1,"CAL8")),0)</f>
        <v>0</v>
      </c>
      <c r="AU290" s="20" t="str">
        <f ca="1">IF(CALC2223!BE290&gt;2,INDIRECT(ADDRESS(MATCH(Agenda2526!C291,'CAL8'!A:A,0)+2,2,4,1,"CAL8")),"")</f>
        <v/>
      </c>
      <c r="AV290" s="21">
        <f ca="1">IF(CALC2223!BE290&gt;2,INDIRECT(ADDRESS(MATCH(Agenda2526!C291,'CAL8'!A:A,0)+2,3,4,1,"CAL8")),0)</f>
        <v>0</v>
      </c>
      <c r="AW290" s="105"/>
      <c r="AX290" s="20">
        <f>COUNTIF('CAL1'!A:A,Agenda2526!C291)</f>
        <v>0</v>
      </c>
      <c r="AY290" s="20">
        <f>COUNTIF('CAL2'!A:A,Agenda2526!C291)</f>
        <v>0</v>
      </c>
      <c r="AZ290" s="20">
        <f>COUNTIF('CAL3'!A:A,Agenda2526!C291)</f>
        <v>0</v>
      </c>
      <c r="BA290" s="20">
        <f>COUNTIF('CAL4'!A:A,Agenda2526!C291)</f>
        <v>1</v>
      </c>
      <c r="BB290" s="20">
        <f>COUNTIF('CAL5'!A:A,Agenda2526!C291)</f>
        <v>0</v>
      </c>
      <c r="BC290" s="20">
        <f>COUNTIF('CAL6'!A:A,Agenda2526!C291)</f>
        <v>1</v>
      </c>
      <c r="BD290" s="20">
        <f>COUNTIF('CAL7'!A:A,Agenda2526!C291)</f>
        <v>1</v>
      </c>
      <c r="BE290" s="20">
        <f>COUNTIF('CAL8'!A:A,Agenda2526!C291)</f>
        <v>0</v>
      </c>
    </row>
    <row r="291" spans="1:57" ht="15.75" customHeight="1">
      <c r="A291" s="20" t="str">
        <f ca="1">IF(CALC2223!AX291&gt;0,INDIRECT(ADDRESS(MATCH(Agenda2526!C292,'CAL1'!A:A,0),2,4,1,"CAL1")),"")</f>
        <v/>
      </c>
      <c r="B291" s="21">
        <f ca="1">IF(CALC2223!AX291&gt;0,INDIRECT(ADDRESS(MATCH(Agenda2526!C292,'CAL1'!A:A,0),3,4,1,"CAL1")),0)</f>
        <v>0</v>
      </c>
      <c r="C291" s="20" t="str">
        <f ca="1">IF(CALC2223!AX291&gt;1,INDIRECT(ADDRESS(MATCH(Agenda2526!C292,'CAL1'!A:A,0)+1,2,4,1,"CAL1")),"")</f>
        <v/>
      </c>
      <c r="D291" s="21">
        <f ca="1">IF(CALC2223!AX291&gt;1,INDIRECT(ADDRESS(MATCH(Agenda2526!C292,'CAL1'!A:A,0)+1,3,4,1,"CAL1")),0)</f>
        <v>0</v>
      </c>
      <c r="E291" s="20" t="str">
        <f ca="1">IF(CALC2223!AX291&gt;2,INDIRECT(ADDRESS(MATCH(Agenda2526!C292,'CAL1'!A:A,0)+2,2,4,1,"CAL1")),"")</f>
        <v/>
      </c>
      <c r="F291" s="21">
        <f ca="1">IF(CALC2223!AX291&gt;2,INDIRECT(ADDRESS(MATCH(Agenda2526!C292,'CAL1'!A:A,0)+2,3,4,1,"CAL1")),0)</f>
        <v>0</v>
      </c>
      <c r="G291" s="20" t="str">
        <f ca="1">IF(CALC2223!AY291&gt;0,INDIRECT(ADDRESS(MATCH(Agenda2526!C292,'CAL2'!A:A,0),2,4,1,"CAL2")),"")</f>
        <v/>
      </c>
      <c r="H291" s="21">
        <f ca="1">IF(CALC2223!AY291&gt;0,INDIRECT(ADDRESS(MATCH(Agenda2526!C292,'CAL2'!A:A,0),3,4,1,"CAL2")),0)</f>
        <v>0</v>
      </c>
      <c r="I291" s="20" t="str">
        <f ca="1">IF(CALC2223!AY291&gt;1,INDIRECT(ADDRESS(MATCH(Agenda2526!C292,'CAL2'!A:A,0)+1,2,4,1,"CAL2")),"")</f>
        <v/>
      </c>
      <c r="J291" s="21">
        <f ca="1">IF(CALC2223!AY291&gt;1,INDIRECT(ADDRESS(MATCH(Agenda2526!C292,'CAL2'!A:A,0)+1,3,4,1,"CAL2")),0)</f>
        <v>0</v>
      </c>
      <c r="K291" s="20" t="str">
        <f ca="1">IF(CALC2223!AY291&gt;2,INDIRECT(ADDRESS(MATCH(Agenda2526!C292,'CAL2'!A:A,0)+2,2,4,1,"CAL2")),"")</f>
        <v/>
      </c>
      <c r="L291" s="21">
        <f ca="1">IF(CALC2223!AY291&gt;2,INDIRECT(ADDRESS(MATCH(Agenda2526!C292,'CAL2'!A:A,0)+2,3,4,1,"CAL2")),0)</f>
        <v>0</v>
      </c>
      <c r="M291" s="20" t="str">
        <f ca="1">IF(CALC2223!AZ291&gt;0,INDIRECT(ADDRESS(MATCH(Agenda2526!C292,'CAL3'!A:A,0),2,4,1,"CAL3")),"")</f>
        <v/>
      </c>
      <c r="N291" s="21">
        <f ca="1">IF(CALC2223!AZ291&gt;0,INDIRECT(ADDRESS(MATCH(Agenda2526!C292,'CAL3'!A:A,0),3,4,1,"CAL3")),0)</f>
        <v>0</v>
      </c>
      <c r="O291" s="20" t="str">
        <f ca="1">IF(CALC2223!AZ291&gt;1,INDIRECT(ADDRESS(MATCH(Agenda2526!C292,'CAL3'!A:A,0)+1,2,4,1,"CAL3")),"")</f>
        <v/>
      </c>
      <c r="P291" s="21">
        <f ca="1">IF(CALC2223!AZ291&gt;1,INDIRECT(ADDRESS(MATCH(Agenda2526!C292,'CAL3'!A:A,0)+1,3,4,1,"CAL3")),0)</f>
        <v>0</v>
      </c>
      <c r="Q291" s="20" t="str">
        <f ca="1">IF(CALC2223!AZ291&gt;2,INDIRECT(ADDRESS(MATCH(Agenda2526!C292,'CAL3'!A:A,0)+2,2,4,1,"CAL3")),"")</f>
        <v/>
      </c>
      <c r="R291" s="21">
        <f ca="1">IF(CALC2223!AZ291&gt;2,INDIRECT(ADDRESS(MATCH(Agenda2526!C292,'CAL3'!A:A,0)+2,3,4,1,"CAL3")),0)</f>
        <v>0</v>
      </c>
      <c r="S291" s="20" t="str">
        <f ca="1">IF(CALC2223!BA291&gt;0,INDIRECT(ADDRESS(MATCH(Agenda2526!C292,'CAL4'!A:A,0),2,4,1,"CAL4")),"")</f>
        <v/>
      </c>
      <c r="T291" s="21">
        <f ca="1">IF(CALC2223!BA291&gt;0,INDIRECT(ADDRESS(MATCH(Agenda2526!C292,'CAL4'!A:A,0),3,4,1,"CAL4")),0)</f>
        <v>0</v>
      </c>
      <c r="U291" s="20" t="str">
        <f ca="1">IF(CALC2223!BA291&gt;1,INDIRECT(ADDRESS(MATCH(Agenda2526!C292,'CAL4'!A:A,0)+1,2,4,1,"CAL4")),"")</f>
        <v/>
      </c>
      <c r="V291" s="21">
        <f ca="1">IF(CALC2223!BA291&gt;1,INDIRECT(ADDRESS(MATCH(Agenda2526!C292,'CAL4'!A:A,0)+1,3,4,1,"CAL4")),0)</f>
        <v>0</v>
      </c>
      <c r="W291" s="20" t="str">
        <f ca="1">IF(CALC2223!BA291&gt;2,INDIRECT(ADDRESS(MATCH(Agenda2526!C292,'CAL4'!A:A,0)+2,2,4,1,"CAL4")),"")</f>
        <v/>
      </c>
      <c r="X291" s="21">
        <f ca="1">IF(CALC2223!BA291&gt;2,INDIRECT(ADDRESS(MATCH(Agenda2526!C292,'CAL4'!A:A,0)+2,3,4,1,"CAL4")),0)</f>
        <v>0</v>
      </c>
      <c r="Y291" s="20" t="str">
        <f ca="1">IF(CALC2223!BB291&gt;0,INDIRECT(ADDRESS(MATCH(Agenda2526!C292,'CAL5'!A:A,0),2,4,1,"CAL5")),"")</f>
        <v/>
      </c>
      <c r="Z291" s="21">
        <f ca="1">IF(CALC2223!BB291&gt;0,INDIRECT(ADDRESS(MATCH(Agenda2526!C292,'CAL5'!A:A,0),3,4,1,"CAL5")),0)</f>
        <v>0</v>
      </c>
      <c r="AA291" s="20" t="str">
        <f ca="1">IF(CALC2223!BB291&gt;1,INDIRECT(ADDRESS(MATCH(Agenda2526!C292,'CAL5'!A:A,0)+1,2,4,1,"CAL5")),"")</f>
        <v/>
      </c>
      <c r="AB291" s="21">
        <f ca="1">IF(CALC2223!BB291&gt;1,INDIRECT(ADDRESS(MATCH(Agenda2526!C292,'CAL5'!A:A,0)+1,3,4,1,"CAL5")),0)</f>
        <v>0</v>
      </c>
      <c r="AC291" s="20" t="str">
        <f ca="1">IF(CALC2223!BB291&gt;2,INDIRECT(ADDRESS(MATCH(Agenda2526!C292,'CAL5'!A:A,0)+2,2,4,1,"CAL5")),"")</f>
        <v/>
      </c>
      <c r="AD291" s="21">
        <f ca="1">IF(CALC2223!BB291&gt;2,INDIRECT(ADDRESS(MATCH(Agenda2526!C292,'CAL5'!A:A,0)+2,3,4,1,"CAL5")),0)</f>
        <v>0</v>
      </c>
      <c r="AE291" s="20" t="str">
        <f ca="1">IF(CALC2223!BC291&gt;0,INDIRECT(ADDRESS(MATCH(Agenda2526!C292,'CAL6'!A:A,0),2,4,1,"CAL6")),"")</f>
        <v>CE-2</v>
      </c>
      <c r="AF291" s="21">
        <f ca="1">IF(CALC2223!BC291&gt;0,INDIRECT(ADDRESS(MATCH(Agenda2526!C292,'CAL6'!A:A,0),3,4,1,"CAL6")),0)</f>
        <v>45896</v>
      </c>
      <c r="AG291" s="20" t="str">
        <f ca="1">IF(CALC2223!BC291&gt;1,INDIRECT(ADDRESS(MATCH(Agenda2526!C292,'CAL6'!A:A,0)+1,2,4,1,"CAL6")),"")</f>
        <v/>
      </c>
      <c r="AH291" s="21">
        <f ca="1">IF(CALC2223!BC291&gt;1,INDIRECT(ADDRESS(MATCH(Agenda2526!C292,'CAL6'!A:A,0)+1,3,4,1,"CAL6")),0)</f>
        <v>0</v>
      </c>
      <c r="AI291" s="20" t="str">
        <f ca="1">IF(CALC2223!BC291&gt;2,INDIRECT(ADDRESS(MATCH(Agenda2526!C292,'CAL6'!A:A,0)+2,2,4,1,"CAL6")),"")</f>
        <v/>
      </c>
      <c r="AJ291" s="21">
        <f ca="1">IF(CALC2223!BC291&gt;2,INDIRECT(ADDRESS(MATCH(Agenda2526!C292,'CAL6'!A:A,0)+2,3,4,1,"CAL6")),0)</f>
        <v>0</v>
      </c>
      <c r="AK291" s="20" t="str">
        <f ca="1">IF(CALC2223!BD291&gt;0,INDIRECT(ADDRESS(MATCH(Agenda2526!C292,'CAL7'!A:A,0),2,4,1,"CAL7")),"")</f>
        <v/>
      </c>
      <c r="AL291" s="21">
        <f ca="1">IF(CALC2223!BD291&gt;0,INDIRECT(ADDRESS(MATCH(Agenda2526!C292,'CAL7'!A:A,0),3,4,1,"CAL7")),0)</f>
        <v>0</v>
      </c>
      <c r="AM291" s="20" t="str">
        <f ca="1">IF(CALC2223!BD291&gt;1,INDIRECT(ADDRESS(MATCH(Agenda2526!C292,'CAL7'!A:A,0)+1,2,4,1,"CAL7")),"")</f>
        <v/>
      </c>
      <c r="AN291" s="21">
        <f ca="1">IF(CALC2223!BD291&gt;1,INDIRECT(ADDRESS(MATCH(Agenda2526!C292,'CAL7'!A:A,0)+1,3,4,1,"CAL7")),0)</f>
        <v>0</v>
      </c>
      <c r="AO291" s="20" t="str">
        <f ca="1">IF(CALC2223!BD291&gt;2,INDIRECT(ADDRESS(MATCH(Agenda2526!C292,'CAL7'!A:A,0)+2,2,4,1,"CAL7")),"")</f>
        <v/>
      </c>
      <c r="AP291" s="21">
        <f ca="1">IF(CALC2223!BD291&gt;2,INDIRECT(ADDRESS(MATCH(Agenda2526!C292,'CAL7'!A:A,0)+2,3,4,1,"CAL7")),0)</f>
        <v>0</v>
      </c>
      <c r="AQ291" s="20" t="str">
        <f ca="1">IF(CALC2223!BE291&gt;0,INDIRECT(ADDRESS(MATCH(Agenda2526!C292,'CAL8'!A:A,0),2,4,1,"CAL8")),"")</f>
        <v/>
      </c>
      <c r="AR291" s="21">
        <f ca="1">IF(CALC2223!BE291&gt;0,INDIRECT(ADDRESS(MATCH(Agenda2526!C292,'CAL8'!A:A,0),3,4,1,"CAL8")),0)</f>
        <v>0</v>
      </c>
      <c r="AS291" s="20" t="str">
        <f ca="1">IF(CALC2223!BE291&gt;1,INDIRECT(ADDRESS(MATCH(Agenda2526!C292,'CAL8'!A:A,0)+1,2,4,1,"CAL8")),"")</f>
        <v/>
      </c>
      <c r="AT291" s="21">
        <f ca="1">IF(CALC2223!BE291&gt;1,INDIRECT(ADDRESS(MATCH(Agenda2526!C292,'CAL8'!A:A,0)+1,3,4,1,"CAL8")),0)</f>
        <v>0</v>
      </c>
      <c r="AU291" s="20" t="str">
        <f ca="1">IF(CALC2223!BE291&gt;2,INDIRECT(ADDRESS(MATCH(Agenda2526!C292,'CAL8'!A:A,0)+2,2,4,1,"CAL8")),"")</f>
        <v/>
      </c>
      <c r="AV291" s="21">
        <f ca="1">IF(CALC2223!BE291&gt;2,INDIRECT(ADDRESS(MATCH(Agenda2526!C292,'CAL8'!A:A,0)+2,3,4,1,"CAL8")),0)</f>
        <v>0</v>
      </c>
      <c r="AW291" s="105"/>
      <c r="AX291" s="20">
        <f>COUNTIF('CAL1'!A:A,Agenda2526!C292)</f>
        <v>0</v>
      </c>
      <c r="AY291" s="20">
        <f>COUNTIF('CAL2'!A:A,Agenda2526!C292)</f>
        <v>0</v>
      </c>
      <c r="AZ291" s="20">
        <f>COUNTIF('CAL3'!A:A,Agenda2526!C292)</f>
        <v>0</v>
      </c>
      <c r="BA291" s="20">
        <f>COUNTIF('CAL4'!A:A,Agenda2526!C292)</f>
        <v>0</v>
      </c>
      <c r="BB291" s="20">
        <f>COUNTIF('CAL5'!A:A,Agenda2526!C292)</f>
        <v>0</v>
      </c>
      <c r="BC291" s="20">
        <f>COUNTIF('CAL6'!A:A,Agenda2526!C292)</f>
        <v>1</v>
      </c>
      <c r="BD291" s="20">
        <f>COUNTIF('CAL7'!A:A,Agenda2526!C292)</f>
        <v>0</v>
      </c>
      <c r="BE291" s="20">
        <f>COUNTIF('CAL8'!A:A,Agenda2526!C292)</f>
        <v>0</v>
      </c>
    </row>
    <row r="292" spans="1:57" ht="15.75" customHeight="1">
      <c r="A292" s="20" t="str">
        <f ca="1">IF(CALC2223!AX292&gt;0,INDIRECT(ADDRESS(MATCH(Agenda2526!C293,'CAL1'!A:A,0),2,4,1,"CAL1")),"")</f>
        <v/>
      </c>
      <c r="B292" s="21">
        <f ca="1">IF(CALC2223!AX292&gt;0,INDIRECT(ADDRESS(MATCH(Agenda2526!C293,'CAL1'!A:A,0),3,4,1,"CAL1")),0)</f>
        <v>0</v>
      </c>
      <c r="C292" s="20" t="str">
        <f ca="1">IF(CALC2223!AX292&gt;1,INDIRECT(ADDRESS(MATCH(Agenda2526!C293,'CAL1'!A:A,0)+1,2,4,1,"CAL1")),"")</f>
        <v/>
      </c>
      <c r="D292" s="21">
        <f ca="1">IF(CALC2223!AX292&gt;1,INDIRECT(ADDRESS(MATCH(Agenda2526!C293,'CAL1'!A:A,0)+1,3,4,1,"CAL1")),0)</f>
        <v>0</v>
      </c>
      <c r="E292" s="20" t="str">
        <f ca="1">IF(CALC2223!AX292&gt;2,INDIRECT(ADDRESS(MATCH(Agenda2526!C293,'CAL1'!A:A,0)+2,2,4,1,"CAL1")),"")</f>
        <v/>
      </c>
      <c r="F292" s="21">
        <f ca="1">IF(CALC2223!AX292&gt;2,INDIRECT(ADDRESS(MATCH(Agenda2526!C293,'CAL1'!A:A,0)+2,3,4,1,"CAL1")),0)</f>
        <v>0</v>
      </c>
      <c r="G292" s="20" t="str">
        <f ca="1">IF(CALC2223!AY292&gt;0,INDIRECT(ADDRESS(MATCH(Agenda2526!C293,'CAL2'!A:A,0),2,4,1,"CAL2")),"")</f>
        <v/>
      </c>
      <c r="H292" s="21">
        <f ca="1">IF(CALC2223!AY292&gt;0,INDIRECT(ADDRESS(MATCH(Agenda2526!C293,'CAL2'!A:A,0),3,4,1,"CAL2")),0)</f>
        <v>0</v>
      </c>
      <c r="I292" s="20" t="str">
        <f ca="1">IF(CALC2223!AY292&gt;1,INDIRECT(ADDRESS(MATCH(Agenda2526!C293,'CAL2'!A:A,0)+1,2,4,1,"CAL2")),"")</f>
        <v/>
      </c>
      <c r="J292" s="21">
        <f ca="1">IF(CALC2223!AY292&gt;1,INDIRECT(ADDRESS(MATCH(Agenda2526!C293,'CAL2'!A:A,0)+1,3,4,1,"CAL2")),0)</f>
        <v>0</v>
      </c>
      <c r="K292" s="20" t="str">
        <f ca="1">IF(CALC2223!AY292&gt;2,INDIRECT(ADDRESS(MATCH(Agenda2526!C293,'CAL2'!A:A,0)+2,2,4,1,"CAL2")),"")</f>
        <v/>
      </c>
      <c r="L292" s="21">
        <f ca="1">IF(CALC2223!AY292&gt;2,INDIRECT(ADDRESS(MATCH(Agenda2526!C293,'CAL2'!A:A,0)+2,3,4,1,"CAL2")),0)</f>
        <v>0</v>
      </c>
      <c r="M292" s="20" t="str">
        <f ca="1">IF(CALC2223!AZ292&gt;0,INDIRECT(ADDRESS(MATCH(Agenda2526!C293,'CAL3'!A:A,0),2,4,1,"CAL3")),"")</f>
        <v/>
      </c>
      <c r="N292" s="21">
        <f ca="1">IF(CALC2223!AZ292&gt;0,INDIRECT(ADDRESS(MATCH(Agenda2526!C293,'CAL3'!A:A,0),3,4,1,"CAL3")),0)</f>
        <v>0</v>
      </c>
      <c r="O292" s="20" t="str">
        <f ca="1">IF(CALC2223!AZ292&gt;1,INDIRECT(ADDRESS(MATCH(Agenda2526!C293,'CAL3'!A:A,0)+1,2,4,1,"CAL3")),"")</f>
        <v/>
      </c>
      <c r="P292" s="21">
        <f ca="1">IF(CALC2223!AZ292&gt;1,INDIRECT(ADDRESS(MATCH(Agenda2526!C293,'CAL3'!A:A,0)+1,3,4,1,"CAL3")),0)</f>
        <v>0</v>
      </c>
      <c r="Q292" s="20" t="str">
        <f ca="1">IF(CALC2223!AZ292&gt;2,INDIRECT(ADDRESS(MATCH(Agenda2526!C293,'CAL3'!A:A,0)+2,2,4,1,"CAL3")),"")</f>
        <v/>
      </c>
      <c r="R292" s="21">
        <f ca="1">IF(CALC2223!AZ292&gt;2,INDIRECT(ADDRESS(MATCH(Agenda2526!C293,'CAL3'!A:A,0)+2,3,4,1,"CAL3")),0)</f>
        <v>0</v>
      </c>
      <c r="S292" s="20" t="str">
        <f ca="1">IF(CALC2223!BA292&gt;0,INDIRECT(ADDRESS(MATCH(Agenda2526!C293,'CAL4'!A:A,0),2,4,1,"CAL4")),"")</f>
        <v>veegmoment</v>
      </c>
      <c r="T292" s="21">
        <f ca="1">IF(CALC2223!BA292&gt;0,INDIRECT(ADDRESS(MATCH(Agenda2526!C293,'CAL4'!A:A,0),3,4,1,"CAL4")),0)</f>
        <v>45936</v>
      </c>
      <c r="U292" s="20" t="str">
        <f ca="1">IF(CALC2223!BA292&gt;1,INDIRECT(ADDRESS(MATCH(Agenda2526!C293,'CAL4'!A:A,0)+1,2,4,1,"CAL4")),"")</f>
        <v/>
      </c>
      <c r="V292" s="21">
        <f ca="1">IF(CALC2223!BA292&gt;1,INDIRECT(ADDRESS(MATCH(Agenda2526!C293,'CAL4'!A:A,0)+1,3,4,1,"CAL4")),0)</f>
        <v>0</v>
      </c>
      <c r="W292" s="20" t="str">
        <f ca="1">IF(CALC2223!BA292&gt;2,INDIRECT(ADDRESS(MATCH(Agenda2526!C293,'CAL4'!A:A,0)+2,2,4,1,"CAL4")),"")</f>
        <v/>
      </c>
      <c r="X292" s="21">
        <f ca="1">IF(CALC2223!BA292&gt;2,INDIRECT(ADDRESS(MATCH(Agenda2526!C293,'CAL4'!A:A,0)+2,3,4,1,"CAL4")),0)</f>
        <v>0</v>
      </c>
      <c r="Y292" s="20" t="str">
        <f ca="1">IF(CALC2223!BB292&gt;0,INDIRECT(ADDRESS(MATCH(Agenda2526!C293,'CAL5'!A:A,0),2,4,1,"CAL5")),"")</f>
        <v>veegmoment</v>
      </c>
      <c r="Z292" s="21">
        <f ca="1">IF(CALC2223!BB292&gt;0,INDIRECT(ADDRESS(MATCH(Agenda2526!C293,'CAL5'!A:A,0),3,4,1,"CAL5")),0)</f>
        <v>45936</v>
      </c>
      <c r="AA292" s="20" t="str">
        <f ca="1">IF(CALC2223!BB292&gt;1,INDIRECT(ADDRESS(MATCH(Agenda2526!C293,'CAL5'!A:A,0)+1,2,4,1,"CAL5")),"")</f>
        <v/>
      </c>
      <c r="AB292" s="21">
        <f ca="1">IF(CALC2223!BB292&gt;1,INDIRECT(ADDRESS(MATCH(Agenda2526!C293,'CAL5'!A:A,0)+1,3,4,1,"CAL5")),0)</f>
        <v>0</v>
      </c>
      <c r="AC292" s="20" t="str">
        <f ca="1">IF(CALC2223!BB292&gt;2,INDIRECT(ADDRESS(MATCH(Agenda2526!C293,'CAL5'!A:A,0)+2,2,4,1,"CAL5")),"")</f>
        <v/>
      </c>
      <c r="AD292" s="21">
        <f ca="1">IF(CALC2223!BB292&gt;2,INDIRECT(ADDRESS(MATCH(Agenda2526!C293,'CAL5'!A:A,0)+2,3,4,1,"CAL5")),0)</f>
        <v>0</v>
      </c>
      <c r="AE292" s="20" t="str">
        <f ca="1">IF(CALC2223!BC292&gt;0,INDIRECT(ADDRESS(MATCH(Agenda2526!C293,'CAL6'!A:A,0),2,4,1,"CAL6")),"")</f>
        <v>CE-2</v>
      </c>
      <c r="AF292" s="21">
        <f ca="1">IF(CALC2223!BC292&gt;0,INDIRECT(ADDRESS(MATCH(Agenda2526!C293,'CAL6'!A:A,0),3,4,1,"CAL6")),0)</f>
        <v>45896</v>
      </c>
      <c r="AG292" s="20" t="str">
        <f ca="1">IF(CALC2223!BC292&gt;1,INDIRECT(ADDRESS(MATCH(Agenda2526!C293,'CAL6'!A:A,0)+1,2,4,1,"CAL6")),"")</f>
        <v/>
      </c>
      <c r="AH292" s="21">
        <f ca="1">IF(CALC2223!BC292&gt;1,INDIRECT(ADDRESS(MATCH(Agenda2526!C293,'CAL6'!A:A,0)+1,3,4,1,"CAL6")),0)</f>
        <v>0</v>
      </c>
      <c r="AI292" s="20" t="str">
        <f ca="1">IF(CALC2223!BC292&gt;2,INDIRECT(ADDRESS(MATCH(Agenda2526!C293,'CAL6'!A:A,0)+2,2,4,1,"CAL6")),"")</f>
        <v/>
      </c>
      <c r="AJ292" s="21">
        <f ca="1">IF(CALC2223!BC292&gt;2,INDIRECT(ADDRESS(MATCH(Agenda2526!C293,'CAL6'!A:A,0)+2,3,4,1,"CAL6")),0)</f>
        <v>0</v>
      </c>
      <c r="AK292" s="20" t="str">
        <f ca="1">IF(CALC2223!BD292&gt;0,INDIRECT(ADDRESS(MATCH(Agenda2526!C293,'CAL7'!A:A,0),2,4,1,"CAL7")),"")</f>
        <v>commissies#8/MR#5</v>
      </c>
      <c r="AL292" s="21">
        <f ca="1">IF(CALC2223!BD292&gt;0,INDIRECT(ADDRESS(MATCH(Agenda2526!C293,'CAL7'!A:A,0),3,4,1,"CAL7")),0)</f>
        <v>45896</v>
      </c>
      <c r="AM292" s="20" t="str">
        <f ca="1">IF(CALC2223!BD292&gt;1,INDIRECT(ADDRESS(MATCH(Agenda2526!C293,'CAL7'!A:A,0)+1,2,4,1,"CAL7")),"")</f>
        <v/>
      </c>
      <c r="AN292" s="21">
        <f ca="1">IF(CALC2223!BD292&gt;1,INDIRECT(ADDRESS(MATCH(Agenda2526!C293,'CAL7'!A:A,0)+1,3,4,1,"CAL7")),0)</f>
        <v>0</v>
      </c>
      <c r="AO292" s="20" t="str">
        <f ca="1">IF(CALC2223!BD292&gt;2,INDIRECT(ADDRESS(MATCH(Agenda2526!C293,'CAL7'!A:A,0)+2,2,4,1,"CAL7")),"")</f>
        <v/>
      </c>
      <c r="AP292" s="21">
        <f ca="1">IF(CALC2223!BD292&gt;2,INDIRECT(ADDRESS(MATCH(Agenda2526!C293,'CAL7'!A:A,0)+2,3,4,1,"CAL7")),0)</f>
        <v>0</v>
      </c>
      <c r="AQ292" s="20" t="str">
        <f ca="1">IF(CALC2223!BE292&gt;0,INDIRECT(ADDRESS(MATCH(Agenda2526!C293,'CAL8'!A:A,0),2,4,1,"CAL8")),"")</f>
        <v/>
      </c>
      <c r="AR292" s="21">
        <f ca="1">IF(CALC2223!BE292&gt;0,INDIRECT(ADDRESS(MATCH(Agenda2526!C293,'CAL8'!A:A,0),3,4,1,"CAL8")),0)</f>
        <v>0</v>
      </c>
      <c r="AS292" s="20" t="str">
        <f ca="1">IF(CALC2223!BE292&gt;1,INDIRECT(ADDRESS(MATCH(Agenda2526!C293,'CAL8'!A:A,0)+1,2,4,1,"CAL8")),"")</f>
        <v/>
      </c>
      <c r="AT292" s="21">
        <f ca="1">IF(CALC2223!BE292&gt;1,INDIRECT(ADDRESS(MATCH(Agenda2526!C293,'CAL8'!A:A,0)+1,3,4,1,"CAL8")),0)</f>
        <v>0</v>
      </c>
      <c r="AU292" s="20" t="str">
        <f ca="1">IF(CALC2223!BE292&gt;2,INDIRECT(ADDRESS(MATCH(Agenda2526!C293,'CAL8'!A:A,0)+2,2,4,1,"CAL8")),"")</f>
        <v/>
      </c>
      <c r="AV292" s="21">
        <f ca="1">IF(CALC2223!BE292&gt;2,INDIRECT(ADDRESS(MATCH(Agenda2526!C293,'CAL8'!A:A,0)+2,3,4,1,"CAL8")),0)</f>
        <v>0</v>
      </c>
      <c r="AW292" s="105"/>
      <c r="AX292" s="20">
        <f>COUNTIF('CAL1'!A:A,Agenda2526!C293)</f>
        <v>0</v>
      </c>
      <c r="AY292" s="20">
        <f>COUNTIF('CAL2'!A:A,Agenda2526!C293)</f>
        <v>0</v>
      </c>
      <c r="AZ292" s="20">
        <f>COUNTIF('CAL3'!A:A,Agenda2526!C293)</f>
        <v>0</v>
      </c>
      <c r="BA292" s="20">
        <f>COUNTIF('CAL4'!A:A,Agenda2526!C293)</f>
        <v>1</v>
      </c>
      <c r="BB292" s="20">
        <f>COUNTIF('CAL5'!A:A,Agenda2526!C293)</f>
        <v>1</v>
      </c>
      <c r="BC292" s="20">
        <f>COUNTIF('CAL6'!A:A,Agenda2526!C293)</f>
        <v>1</v>
      </c>
      <c r="BD292" s="20">
        <f>COUNTIF('CAL7'!A:A,Agenda2526!C293)</f>
        <v>1</v>
      </c>
      <c r="BE292" s="20">
        <f>COUNTIF('CAL8'!A:A,Agenda2526!C293)</f>
        <v>0</v>
      </c>
    </row>
    <row r="293" spans="1:57" ht="15.75" customHeight="1">
      <c r="A293" s="20" t="str">
        <f ca="1">IF(CALC2223!AX293&gt;0,INDIRECT(ADDRESS(MATCH(Agenda2526!C294,'CAL1'!A:A,0),2,4,1,"CAL1")),"")</f>
        <v/>
      </c>
      <c r="B293" s="21">
        <f ca="1">IF(CALC2223!AX293&gt;0,INDIRECT(ADDRESS(MATCH(Agenda2526!C294,'CAL1'!A:A,0),3,4,1,"CAL1")),0)</f>
        <v>0</v>
      </c>
      <c r="C293" s="20" t="str">
        <f ca="1">IF(CALC2223!AX293&gt;1,INDIRECT(ADDRESS(MATCH(Agenda2526!C294,'CAL1'!A:A,0)+1,2,4,1,"CAL1")),"")</f>
        <v/>
      </c>
      <c r="D293" s="21">
        <f ca="1">IF(CALC2223!AX293&gt;1,INDIRECT(ADDRESS(MATCH(Agenda2526!C294,'CAL1'!A:A,0)+1,3,4,1,"CAL1")),0)</f>
        <v>0</v>
      </c>
      <c r="E293" s="20" t="str">
        <f ca="1">IF(CALC2223!AX293&gt;2,INDIRECT(ADDRESS(MATCH(Agenda2526!C294,'CAL1'!A:A,0)+2,2,4,1,"CAL1")),"")</f>
        <v/>
      </c>
      <c r="F293" s="21">
        <f ca="1">IF(CALC2223!AX293&gt;2,INDIRECT(ADDRESS(MATCH(Agenda2526!C294,'CAL1'!A:A,0)+2,3,4,1,"CAL1")),0)</f>
        <v>0</v>
      </c>
      <c r="G293" s="20" t="str">
        <f ca="1">IF(CALC2223!AY293&gt;0,INDIRECT(ADDRESS(MATCH(Agenda2526!C294,'CAL2'!A:A,0),2,4,1,"CAL2")),"")</f>
        <v>Rep AK</v>
      </c>
      <c r="H293" s="21">
        <f ca="1">IF(CALC2223!AY293&gt;0,INDIRECT(ADDRESS(MATCH(Agenda2526!C294,'CAL2'!A:A,0),3,4,1,"CAL2")),0)</f>
        <v>45912</v>
      </c>
      <c r="I293" s="20" t="str">
        <f ca="1">IF(CALC2223!AY293&gt;1,INDIRECT(ADDRESS(MATCH(Agenda2526!C294,'CAL2'!A:A,0)+1,2,4,1,"CAL2")),"")</f>
        <v/>
      </c>
      <c r="J293" s="21">
        <f ca="1">IF(CALC2223!AY293&gt;1,INDIRECT(ADDRESS(MATCH(Agenda2526!C294,'CAL2'!A:A,0)+1,3,4,1,"CAL2")),0)</f>
        <v>0</v>
      </c>
      <c r="K293" s="20" t="str">
        <f ca="1">IF(CALC2223!AY293&gt;2,INDIRECT(ADDRESS(MATCH(Agenda2526!C294,'CAL2'!A:A,0)+2,2,4,1,"CAL2")),"")</f>
        <v/>
      </c>
      <c r="L293" s="21">
        <f ca="1">IF(CALC2223!AY293&gt;2,INDIRECT(ADDRESS(MATCH(Agenda2526!C294,'CAL2'!A:A,0)+2,3,4,1,"CAL2")),0)</f>
        <v>0</v>
      </c>
      <c r="M293" s="20" t="str">
        <f ca="1">IF(CALC2223!AZ293&gt;0,INDIRECT(ADDRESS(MATCH(Agenda2526!C294,'CAL3'!A:A,0),2,4,1,"CAL3")),"")</f>
        <v/>
      </c>
      <c r="N293" s="21">
        <f ca="1">IF(CALC2223!AZ293&gt;0,INDIRECT(ADDRESS(MATCH(Agenda2526!C294,'CAL3'!A:A,0),3,4,1,"CAL3")),0)</f>
        <v>0</v>
      </c>
      <c r="O293" s="20" t="str">
        <f ca="1">IF(CALC2223!AZ293&gt;1,INDIRECT(ADDRESS(MATCH(Agenda2526!C294,'CAL3'!A:A,0)+1,2,4,1,"CAL3")),"")</f>
        <v/>
      </c>
      <c r="P293" s="21">
        <f ca="1">IF(CALC2223!AZ293&gt;1,INDIRECT(ADDRESS(MATCH(Agenda2526!C294,'CAL3'!A:A,0)+1,3,4,1,"CAL3")),0)</f>
        <v>0</v>
      </c>
      <c r="Q293" s="20" t="str">
        <f ca="1">IF(CALC2223!AZ293&gt;2,INDIRECT(ADDRESS(MATCH(Agenda2526!C294,'CAL3'!A:A,0)+2,2,4,1,"CAL3")),"")</f>
        <v/>
      </c>
      <c r="R293" s="21">
        <f ca="1">IF(CALC2223!AZ293&gt;2,INDIRECT(ADDRESS(MATCH(Agenda2526!C294,'CAL3'!A:A,0)+2,3,4,1,"CAL3")),0)</f>
        <v>0</v>
      </c>
      <c r="S293" s="20" t="str">
        <f ca="1">IF(CALC2223!BA293&gt;0,INDIRECT(ADDRESS(MATCH(Agenda2526!C294,'CAL4'!A:A,0),2,4,1,"CAL4")),"")</f>
        <v>Rep FI</v>
      </c>
      <c r="T293" s="21">
        <f ca="1">IF(CALC2223!BA293&gt;0,INDIRECT(ADDRESS(MATCH(Agenda2526!C294,'CAL4'!A:A,0),3,4,1,"CAL4")),0)</f>
        <v>45896</v>
      </c>
      <c r="U293" s="20" t="str">
        <f ca="1">IF(CALC2223!BA293&gt;1,INDIRECT(ADDRESS(MATCH(Agenda2526!C294,'CAL4'!A:A,0)+1,2,4,1,"CAL4")),"")</f>
        <v/>
      </c>
      <c r="V293" s="21">
        <f ca="1">IF(CALC2223!BA293&gt;1,INDIRECT(ADDRESS(MATCH(Agenda2526!C294,'CAL4'!A:A,0)+1,3,4,1,"CAL4")),0)</f>
        <v>0</v>
      </c>
      <c r="W293" s="20" t="str">
        <f ca="1">IF(CALC2223!BA293&gt;2,INDIRECT(ADDRESS(MATCH(Agenda2526!C294,'CAL4'!A:A,0)+2,2,4,1,"CAL4")),"")</f>
        <v/>
      </c>
      <c r="X293" s="21">
        <f ca="1">IF(CALC2223!BA293&gt;2,INDIRECT(ADDRESS(MATCH(Agenda2526!C294,'CAL4'!A:A,0)+2,3,4,1,"CAL4")),0)</f>
        <v>0</v>
      </c>
      <c r="Y293" s="20" t="str">
        <f ca="1">IF(CALC2223!BB293&gt;0,INDIRECT(ADDRESS(MATCH(Agenda2526!C294,'CAL5'!A:A,0),2,4,1,"CAL5")),"")</f>
        <v/>
      </c>
      <c r="Z293" s="21">
        <f ca="1">IF(CALC2223!BB293&gt;0,INDIRECT(ADDRESS(MATCH(Agenda2526!C294,'CAL5'!A:A,0),3,4,1,"CAL5")),0)</f>
        <v>0</v>
      </c>
      <c r="AA293" s="20" t="str">
        <f ca="1">IF(CALC2223!BB293&gt;1,INDIRECT(ADDRESS(MATCH(Agenda2526!C294,'CAL5'!A:A,0)+1,2,4,1,"CAL5")),"")</f>
        <v/>
      </c>
      <c r="AB293" s="21">
        <f ca="1">IF(CALC2223!BB293&gt;1,INDIRECT(ADDRESS(MATCH(Agenda2526!C294,'CAL5'!A:A,0)+1,3,4,1,"CAL5")),0)</f>
        <v>0</v>
      </c>
      <c r="AC293" s="20" t="str">
        <f ca="1">IF(CALC2223!BB293&gt;2,INDIRECT(ADDRESS(MATCH(Agenda2526!C294,'CAL5'!A:A,0)+2,2,4,1,"CAL5")),"")</f>
        <v/>
      </c>
      <c r="AD293" s="21">
        <f ca="1">IF(CALC2223!BB293&gt;2,INDIRECT(ADDRESS(MATCH(Agenda2526!C294,'CAL5'!A:A,0)+2,3,4,1,"CAL5")),0)</f>
        <v>0</v>
      </c>
      <c r="AE293" s="20" t="str">
        <f ca="1">IF(CALC2223!BC293&gt;0,INDIRECT(ADDRESS(MATCH(Agenda2526!C294,'CAL6'!A:A,0),2,4,1,"CAL6")),"")</f>
        <v>CE-2</v>
      </c>
      <c r="AF293" s="21">
        <f ca="1">IF(CALC2223!BC293&gt;0,INDIRECT(ADDRESS(MATCH(Agenda2526!C294,'CAL6'!A:A,0),3,4,1,"CAL6")),0)</f>
        <v>45896</v>
      </c>
      <c r="AG293" s="20" t="str">
        <f ca="1">IF(CALC2223!BC293&gt;1,INDIRECT(ADDRESS(MATCH(Agenda2526!C294,'CAL6'!A:A,0)+1,2,4,1,"CAL6")),"")</f>
        <v/>
      </c>
      <c r="AH293" s="21">
        <f ca="1">IF(CALC2223!BC293&gt;1,INDIRECT(ADDRESS(MATCH(Agenda2526!C294,'CAL6'!A:A,0)+1,3,4,1,"CAL6")),0)</f>
        <v>0</v>
      </c>
      <c r="AI293" s="20" t="str">
        <f ca="1">IF(CALC2223!BC293&gt;2,INDIRECT(ADDRESS(MATCH(Agenda2526!C294,'CAL6'!A:A,0)+2,2,4,1,"CAL6")),"")</f>
        <v/>
      </c>
      <c r="AJ293" s="21">
        <f ca="1">IF(CALC2223!BC293&gt;2,INDIRECT(ADDRESS(MATCH(Agenda2526!C294,'CAL6'!A:A,0)+2,3,4,1,"CAL6")),0)</f>
        <v>0</v>
      </c>
      <c r="AK293" s="20" t="str">
        <f ca="1">IF(CALC2223!BD293&gt;0,INDIRECT(ADDRESS(MATCH(Agenda2526!C294,'CAL7'!A:A,0),2,4,1,"CAL7")),"")</f>
        <v/>
      </c>
      <c r="AL293" s="21">
        <f ca="1">IF(CALC2223!BD293&gt;0,INDIRECT(ADDRESS(MATCH(Agenda2526!C294,'CAL7'!A:A,0),3,4,1,"CAL7")),0)</f>
        <v>0</v>
      </c>
      <c r="AM293" s="20" t="str">
        <f ca="1">IF(CALC2223!BD293&gt;1,INDIRECT(ADDRESS(MATCH(Agenda2526!C294,'CAL7'!A:A,0)+1,2,4,1,"CAL7")),"")</f>
        <v/>
      </c>
      <c r="AN293" s="21">
        <f ca="1">IF(CALC2223!BD293&gt;1,INDIRECT(ADDRESS(MATCH(Agenda2526!C294,'CAL7'!A:A,0)+1,3,4,1,"CAL7")),0)</f>
        <v>0</v>
      </c>
      <c r="AO293" s="20" t="str">
        <f ca="1">IF(CALC2223!BD293&gt;2,INDIRECT(ADDRESS(MATCH(Agenda2526!C294,'CAL7'!A:A,0)+2,2,4,1,"CAL7")),"")</f>
        <v/>
      </c>
      <c r="AP293" s="21">
        <f ca="1">IF(CALC2223!BD293&gt;2,INDIRECT(ADDRESS(MATCH(Agenda2526!C294,'CAL7'!A:A,0)+2,3,4,1,"CAL7")),0)</f>
        <v>0</v>
      </c>
      <c r="AQ293" s="20" t="str">
        <f ca="1">IF(CALC2223!BE293&gt;0,INDIRECT(ADDRESS(MATCH(Agenda2526!C294,'CAL8'!A:A,0),2,4,1,"CAL8")),"")</f>
        <v/>
      </c>
      <c r="AR293" s="21">
        <f ca="1">IF(CALC2223!BE293&gt;0,INDIRECT(ADDRESS(MATCH(Agenda2526!C294,'CAL8'!A:A,0),3,4,1,"CAL8")),0)</f>
        <v>0</v>
      </c>
      <c r="AS293" s="20" t="str">
        <f ca="1">IF(CALC2223!BE293&gt;1,INDIRECT(ADDRESS(MATCH(Agenda2526!C294,'CAL8'!A:A,0)+1,2,4,1,"CAL8")),"")</f>
        <v/>
      </c>
      <c r="AT293" s="21">
        <f ca="1">IF(CALC2223!BE293&gt;1,INDIRECT(ADDRESS(MATCH(Agenda2526!C294,'CAL8'!A:A,0)+1,3,4,1,"CAL8")),0)</f>
        <v>0</v>
      </c>
      <c r="AU293" s="20" t="str">
        <f ca="1">IF(CALC2223!BE293&gt;2,INDIRECT(ADDRESS(MATCH(Agenda2526!C294,'CAL8'!A:A,0)+2,2,4,1,"CAL8")),"")</f>
        <v/>
      </c>
      <c r="AV293" s="21">
        <f ca="1">IF(CALC2223!BE293&gt;2,INDIRECT(ADDRESS(MATCH(Agenda2526!C294,'CAL8'!A:A,0)+2,3,4,1,"CAL8")),0)</f>
        <v>0</v>
      </c>
      <c r="AW293" s="105"/>
      <c r="AX293" s="20">
        <f>COUNTIF('CAL1'!A:A,Agenda2526!C294)</f>
        <v>0</v>
      </c>
      <c r="AY293" s="20">
        <f>COUNTIF('CAL2'!A:A,Agenda2526!C294)</f>
        <v>1</v>
      </c>
      <c r="AZ293" s="20">
        <f>COUNTIF('CAL3'!A:A,Agenda2526!C294)</f>
        <v>0</v>
      </c>
      <c r="BA293" s="20">
        <f>COUNTIF('CAL4'!A:A,Agenda2526!C294)</f>
        <v>1</v>
      </c>
      <c r="BB293" s="20">
        <f>COUNTIF('CAL5'!A:A,Agenda2526!C294)</f>
        <v>0</v>
      </c>
      <c r="BC293" s="20">
        <f>COUNTIF('CAL6'!A:A,Agenda2526!C294)</f>
        <v>1</v>
      </c>
      <c r="BD293" s="20">
        <f>COUNTIF('CAL7'!A:A,Agenda2526!C294)</f>
        <v>0</v>
      </c>
      <c r="BE293" s="20">
        <f>COUNTIF('CAL8'!A:A,Agenda2526!C294)</f>
        <v>0</v>
      </c>
    </row>
    <row r="294" spans="1:57" ht="15.75" customHeight="1">
      <c r="A294" s="20" t="str">
        <f ca="1">IF(CALC2223!AX294&gt;0,INDIRECT(ADDRESS(MATCH(Agenda2526!C295,'CAL1'!A:A,0),2,4,1,"CAL1")),"")</f>
        <v/>
      </c>
      <c r="B294" s="21">
        <f ca="1">IF(CALC2223!AX294&gt;0,INDIRECT(ADDRESS(MATCH(Agenda2526!C295,'CAL1'!A:A,0),3,4,1,"CAL1")),0)</f>
        <v>0</v>
      </c>
      <c r="C294" s="20" t="str">
        <f ca="1">IF(CALC2223!AX294&gt;1,INDIRECT(ADDRESS(MATCH(Agenda2526!C295,'CAL1'!A:A,0)+1,2,4,1,"CAL1")),"")</f>
        <v/>
      </c>
      <c r="D294" s="21">
        <f ca="1">IF(CALC2223!AX294&gt;1,INDIRECT(ADDRESS(MATCH(Agenda2526!C295,'CAL1'!A:A,0)+1,3,4,1,"CAL1")),0)</f>
        <v>0</v>
      </c>
      <c r="E294" s="20" t="str">
        <f ca="1">IF(CALC2223!AX294&gt;2,INDIRECT(ADDRESS(MATCH(Agenda2526!C295,'CAL1'!A:A,0)+2,2,4,1,"CAL1")),"")</f>
        <v/>
      </c>
      <c r="F294" s="21">
        <f ca="1">IF(CALC2223!AX294&gt;2,INDIRECT(ADDRESS(MATCH(Agenda2526!C295,'CAL1'!A:A,0)+2,3,4,1,"CAL1")),0)</f>
        <v>0</v>
      </c>
      <c r="G294" s="20" t="str">
        <f ca="1">IF(CALC2223!AY294&gt;0,INDIRECT(ADDRESS(MATCH(Agenda2526!C295,'CAL2'!A:A,0),2,4,1,"CAL2")),"")</f>
        <v/>
      </c>
      <c r="H294" s="21">
        <f ca="1">IF(CALC2223!AY294&gt;0,INDIRECT(ADDRESS(MATCH(Agenda2526!C295,'CAL2'!A:A,0),3,4,1,"CAL2")),0)</f>
        <v>0</v>
      </c>
      <c r="I294" s="20" t="str">
        <f ca="1">IF(CALC2223!AY294&gt;1,INDIRECT(ADDRESS(MATCH(Agenda2526!C295,'CAL2'!A:A,0)+1,2,4,1,"CAL2")),"")</f>
        <v/>
      </c>
      <c r="J294" s="21">
        <f ca="1">IF(CALC2223!AY294&gt;1,INDIRECT(ADDRESS(MATCH(Agenda2526!C295,'CAL2'!A:A,0)+1,3,4,1,"CAL2")),0)</f>
        <v>0</v>
      </c>
      <c r="K294" s="20" t="str">
        <f ca="1">IF(CALC2223!AY294&gt;2,INDIRECT(ADDRESS(MATCH(Agenda2526!C295,'CAL2'!A:A,0)+2,2,4,1,"CAL2")),"")</f>
        <v/>
      </c>
      <c r="L294" s="21">
        <f ca="1">IF(CALC2223!AY294&gt;2,INDIRECT(ADDRESS(MATCH(Agenda2526!C295,'CAL2'!A:A,0)+2,3,4,1,"CAL2")),0)</f>
        <v>0</v>
      </c>
      <c r="M294" s="20" t="str">
        <f ca="1">IF(CALC2223!AZ294&gt;0,INDIRECT(ADDRESS(MATCH(Agenda2526!C295,'CAL3'!A:A,0),2,4,1,"CAL3")),"")</f>
        <v/>
      </c>
      <c r="N294" s="21">
        <f ca="1">IF(CALC2223!AZ294&gt;0,INDIRECT(ADDRESS(MATCH(Agenda2526!C295,'CAL3'!A:A,0),3,4,1,"CAL3")),0)</f>
        <v>0</v>
      </c>
      <c r="O294" s="20" t="str">
        <f ca="1">IF(CALC2223!AZ294&gt;1,INDIRECT(ADDRESS(MATCH(Agenda2526!C295,'CAL3'!A:A,0)+1,2,4,1,"CAL3")),"")</f>
        <v/>
      </c>
      <c r="P294" s="21">
        <f ca="1">IF(CALC2223!AZ294&gt;1,INDIRECT(ADDRESS(MATCH(Agenda2526!C295,'CAL3'!A:A,0)+1,3,4,1,"CAL3")),0)</f>
        <v>0</v>
      </c>
      <c r="Q294" s="20" t="str">
        <f ca="1">IF(CALC2223!AZ294&gt;2,INDIRECT(ADDRESS(MATCH(Agenda2526!C295,'CAL3'!A:A,0)+2,2,4,1,"CAL3")),"")</f>
        <v/>
      </c>
      <c r="R294" s="21">
        <f ca="1">IF(CALC2223!AZ294&gt;2,INDIRECT(ADDRESS(MATCH(Agenda2526!C295,'CAL3'!A:A,0)+2,3,4,1,"CAL3")),0)</f>
        <v>0</v>
      </c>
      <c r="S294" s="20" t="str">
        <f ca="1">IF(CALC2223!BA294&gt;0,INDIRECT(ADDRESS(MATCH(Agenda2526!C295,'CAL4'!A:A,0),2,4,1,"CAL4")),"")</f>
        <v/>
      </c>
      <c r="T294" s="21">
        <f ca="1">IF(CALC2223!BA294&gt;0,INDIRECT(ADDRESS(MATCH(Agenda2526!C295,'CAL4'!A:A,0),3,4,1,"CAL4")),0)</f>
        <v>0</v>
      </c>
      <c r="U294" s="20" t="str">
        <f ca="1">IF(CALC2223!BA294&gt;1,INDIRECT(ADDRESS(MATCH(Agenda2526!C295,'CAL4'!A:A,0)+1,2,4,1,"CAL4")),"")</f>
        <v/>
      </c>
      <c r="V294" s="21">
        <f ca="1">IF(CALC2223!BA294&gt;1,INDIRECT(ADDRESS(MATCH(Agenda2526!C295,'CAL4'!A:A,0)+1,3,4,1,"CAL4")),0)</f>
        <v>0</v>
      </c>
      <c r="W294" s="20" t="str">
        <f ca="1">IF(CALC2223!BA294&gt;2,INDIRECT(ADDRESS(MATCH(Agenda2526!C295,'CAL4'!A:A,0)+2,2,4,1,"CAL4")),"")</f>
        <v/>
      </c>
      <c r="X294" s="21">
        <f ca="1">IF(CALC2223!BA294&gt;2,INDIRECT(ADDRESS(MATCH(Agenda2526!C295,'CAL4'!A:A,0)+2,3,4,1,"CAL4")),0)</f>
        <v>0</v>
      </c>
      <c r="Y294" s="20" t="str">
        <f ca="1">IF(CALC2223!BB294&gt;0,INDIRECT(ADDRESS(MATCH(Agenda2526!C295,'CAL5'!A:A,0),2,4,1,"CAL5")),"")</f>
        <v/>
      </c>
      <c r="Z294" s="21">
        <f ca="1">IF(CALC2223!BB294&gt;0,INDIRECT(ADDRESS(MATCH(Agenda2526!C295,'CAL5'!A:A,0),3,4,1,"CAL5")),0)</f>
        <v>0</v>
      </c>
      <c r="AA294" s="20" t="str">
        <f ca="1">IF(CALC2223!BB294&gt;1,INDIRECT(ADDRESS(MATCH(Agenda2526!C295,'CAL5'!A:A,0)+1,2,4,1,"CAL5")),"")</f>
        <v/>
      </c>
      <c r="AB294" s="21">
        <f ca="1">IF(CALC2223!BB294&gt;1,INDIRECT(ADDRESS(MATCH(Agenda2526!C295,'CAL5'!A:A,0)+1,3,4,1,"CAL5")),0)</f>
        <v>0</v>
      </c>
      <c r="AC294" s="20" t="str">
        <f ca="1">IF(CALC2223!BB294&gt;2,INDIRECT(ADDRESS(MATCH(Agenda2526!C295,'CAL5'!A:A,0)+2,2,4,1,"CAL5")),"")</f>
        <v/>
      </c>
      <c r="AD294" s="21">
        <f ca="1">IF(CALC2223!BB294&gt;2,INDIRECT(ADDRESS(MATCH(Agenda2526!C295,'CAL5'!A:A,0)+2,3,4,1,"CAL5")),0)</f>
        <v>0</v>
      </c>
      <c r="AE294" s="20" t="str">
        <f ca="1">IF(CALC2223!BC294&gt;0,INDIRECT(ADDRESS(MATCH(Agenda2526!C295,'CAL6'!A:A,0),2,4,1,"CAL6")),"")</f>
        <v/>
      </c>
      <c r="AF294" s="21">
        <f ca="1">IF(CALC2223!BC294&gt;0,INDIRECT(ADDRESS(MATCH(Agenda2526!C295,'CAL6'!A:A,0),3,4,1,"CAL6")),0)</f>
        <v>0</v>
      </c>
      <c r="AG294" s="20" t="str">
        <f ca="1">IF(CALC2223!BC294&gt;1,INDIRECT(ADDRESS(MATCH(Agenda2526!C295,'CAL6'!A:A,0)+1,2,4,1,"CAL6")),"")</f>
        <v/>
      </c>
      <c r="AH294" s="21">
        <f ca="1">IF(CALC2223!BC294&gt;1,INDIRECT(ADDRESS(MATCH(Agenda2526!C295,'CAL6'!A:A,0)+1,3,4,1,"CAL6")),0)</f>
        <v>0</v>
      </c>
      <c r="AI294" s="20" t="str">
        <f ca="1">IF(CALC2223!BC294&gt;2,INDIRECT(ADDRESS(MATCH(Agenda2526!C295,'CAL6'!A:A,0)+2,2,4,1,"CAL6")),"")</f>
        <v/>
      </c>
      <c r="AJ294" s="21">
        <f ca="1">IF(CALC2223!BC294&gt;2,INDIRECT(ADDRESS(MATCH(Agenda2526!C295,'CAL6'!A:A,0)+2,3,4,1,"CAL6")),0)</f>
        <v>0</v>
      </c>
      <c r="AK294" s="20" t="str">
        <f ca="1">IF(CALC2223!BD294&gt;0,INDIRECT(ADDRESS(MATCH(Agenda2526!C295,'CAL7'!A:A,0),2,4,1,"CAL7")),"")</f>
        <v/>
      </c>
      <c r="AL294" s="21">
        <f ca="1">IF(CALC2223!BD294&gt;0,INDIRECT(ADDRESS(MATCH(Agenda2526!C295,'CAL7'!A:A,0),3,4,1,"CAL7")),0)</f>
        <v>0</v>
      </c>
      <c r="AM294" s="20" t="str">
        <f ca="1">IF(CALC2223!BD294&gt;1,INDIRECT(ADDRESS(MATCH(Agenda2526!C295,'CAL7'!A:A,0)+1,2,4,1,"CAL7")),"")</f>
        <v/>
      </c>
      <c r="AN294" s="21">
        <f ca="1">IF(CALC2223!BD294&gt;1,INDIRECT(ADDRESS(MATCH(Agenda2526!C295,'CAL7'!A:A,0)+1,3,4,1,"CAL7")),0)</f>
        <v>0</v>
      </c>
      <c r="AO294" s="20" t="str">
        <f ca="1">IF(CALC2223!BD294&gt;2,INDIRECT(ADDRESS(MATCH(Agenda2526!C295,'CAL7'!A:A,0)+2,2,4,1,"CAL7")),"")</f>
        <v/>
      </c>
      <c r="AP294" s="21">
        <f ca="1">IF(CALC2223!BD294&gt;2,INDIRECT(ADDRESS(MATCH(Agenda2526!C295,'CAL7'!A:A,0)+2,3,4,1,"CAL7")),0)</f>
        <v>0</v>
      </c>
      <c r="AQ294" s="20" t="str">
        <f ca="1">IF(CALC2223!BE294&gt;0,INDIRECT(ADDRESS(MATCH(Agenda2526!C295,'CAL8'!A:A,0),2,4,1,"CAL8")),"")</f>
        <v/>
      </c>
      <c r="AR294" s="21">
        <f ca="1">IF(CALC2223!BE294&gt;0,INDIRECT(ADDRESS(MATCH(Agenda2526!C295,'CAL8'!A:A,0),3,4,1,"CAL8")),0)</f>
        <v>0</v>
      </c>
      <c r="AS294" s="20" t="str">
        <f ca="1">IF(CALC2223!BE294&gt;1,INDIRECT(ADDRESS(MATCH(Agenda2526!C295,'CAL8'!A:A,0)+1,2,4,1,"CAL8")),"")</f>
        <v/>
      </c>
      <c r="AT294" s="21">
        <f ca="1">IF(CALC2223!BE294&gt;1,INDIRECT(ADDRESS(MATCH(Agenda2526!C295,'CAL8'!A:A,0)+1,3,4,1,"CAL8")),0)</f>
        <v>0</v>
      </c>
      <c r="AU294" s="20" t="str">
        <f ca="1">IF(CALC2223!BE294&gt;2,INDIRECT(ADDRESS(MATCH(Agenda2526!C295,'CAL8'!A:A,0)+2,2,4,1,"CAL8")),"")</f>
        <v/>
      </c>
      <c r="AV294" s="21">
        <f ca="1">IF(CALC2223!BE294&gt;2,INDIRECT(ADDRESS(MATCH(Agenda2526!C295,'CAL8'!A:A,0)+2,3,4,1,"CAL8")),0)</f>
        <v>0</v>
      </c>
      <c r="AW294" s="106"/>
      <c r="AX294" s="20">
        <f>COUNTIF('CAL1'!A:A,Agenda2526!C295)</f>
        <v>0</v>
      </c>
      <c r="AY294" s="20">
        <f>COUNTIF('CAL2'!A:A,Agenda2526!C295)</f>
        <v>0</v>
      </c>
      <c r="AZ294" s="20">
        <f>COUNTIF('CAL3'!A:A,Agenda2526!C295)</f>
        <v>0</v>
      </c>
      <c r="BA294" s="20">
        <f>COUNTIF('CAL4'!A:A,Agenda2526!C295)</f>
        <v>0</v>
      </c>
      <c r="BB294" s="20">
        <f>COUNTIF('CAL5'!A:A,Agenda2526!C295)</f>
        <v>0</v>
      </c>
      <c r="BC294" s="20">
        <f>COUNTIF('CAL6'!A:A,Agenda2526!C295)</f>
        <v>0</v>
      </c>
      <c r="BD294" s="20">
        <f>COUNTIF('CAL7'!A:A,Agenda2526!C295)</f>
        <v>0</v>
      </c>
      <c r="BE294" s="20">
        <f>COUNTIF('CAL8'!A:A,Agenda2526!C295)</f>
        <v>0</v>
      </c>
    </row>
    <row r="295" spans="1:57" ht="15.75" customHeight="1">
      <c r="A295" s="20" t="str">
        <f ca="1">IF(CALC2223!AX295&gt;0,INDIRECT(ADDRESS(MATCH(Agenda2526!C296,'CAL1'!A:A,0),2,4,1,"CAL1")),"")</f>
        <v/>
      </c>
      <c r="B295" s="21">
        <f ca="1">IF(CALC2223!AX295&gt;0,INDIRECT(ADDRESS(MATCH(Agenda2526!C296,'CAL1'!A:A,0),3,4,1,"CAL1")),0)</f>
        <v>0</v>
      </c>
      <c r="C295" s="20" t="str">
        <f ca="1">IF(CALC2223!AX295&gt;1,INDIRECT(ADDRESS(MATCH(Agenda2526!C296,'CAL1'!A:A,0)+1,2,4,1,"CAL1")),"")</f>
        <v/>
      </c>
      <c r="D295" s="21">
        <f ca="1">IF(CALC2223!AX295&gt;1,INDIRECT(ADDRESS(MATCH(Agenda2526!C296,'CAL1'!A:A,0)+1,3,4,1,"CAL1")),0)</f>
        <v>0</v>
      </c>
      <c r="E295" s="20" t="str">
        <f ca="1">IF(CALC2223!AX295&gt;2,INDIRECT(ADDRESS(MATCH(Agenda2526!C296,'CAL1'!A:A,0)+2,2,4,1,"CAL1")),"")</f>
        <v/>
      </c>
      <c r="F295" s="21">
        <f ca="1">IF(CALC2223!AX295&gt;2,INDIRECT(ADDRESS(MATCH(Agenda2526!C296,'CAL1'!A:A,0)+2,3,4,1,"CAL1")),0)</f>
        <v>0</v>
      </c>
      <c r="G295" s="20" t="str">
        <f ca="1">IF(CALC2223!AY295&gt;0,INDIRECT(ADDRESS(MATCH(Agenda2526!C296,'CAL2'!A:A,0),2,4,1,"CAL2")),"")</f>
        <v/>
      </c>
      <c r="H295" s="21">
        <f ca="1">IF(CALC2223!AY295&gt;0,INDIRECT(ADDRESS(MATCH(Agenda2526!C296,'CAL2'!A:A,0),3,4,1,"CAL2")),0)</f>
        <v>0</v>
      </c>
      <c r="I295" s="20" t="str">
        <f ca="1">IF(CALC2223!AY295&gt;1,INDIRECT(ADDRESS(MATCH(Agenda2526!C296,'CAL2'!A:A,0)+1,2,4,1,"CAL2")),"")</f>
        <v/>
      </c>
      <c r="J295" s="21">
        <f ca="1">IF(CALC2223!AY295&gt;1,INDIRECT(ADDRESS(MATCH(Agenda2526!C296,'CAL2'!A:A,0)+1,3,4,1,"CAL2")),0)</f>
        <v>0</v>
      </c>
      <c r="K295" s="20" t="str">
        <f ca="1">IF(CALC2223!AY295&gt;2,INDIRECT(ADDRESS(MATCH(Agenda2526!C296,'CAL2'!A:A,0)+2,2,4,1,"CAL2")),"")</f>
        <v/>
      </c>
      <c r="L295" s="21">
        <f ca="1">IF(CALC2223!AY295&gt;2,INDIRECT(ADDRESS(MATCH(Agenda2526!C296,'CAL2'!A:A,0)+2,3,4,1,"CAL2")),0)</f>
        <v>0</v>
      </c>
      <c r="M295" s="20" t="str">
        <f ca="1">IF(CALC2223!AZ295&gt;0,INDIRECT(ADDRESS(MATCH(Agenda2526!C296,'CAL3'!A:A,0),2,4,1,"CAL3")),"")</f>
        <v/>
      </c>
      <c r="N295" s="21">
        <f ca="1">IF(CALC2223!AZ295&gt;0,INDIRECT(ADDRESS(MATCH(Agenda2526!C296,'CAL3'!A:A,0),3,4,1,"CAL3")),0)</f>
        <v>0</v>
      </c>
      <c r="O295" s="20" t="str">
        <f ca="1">IF(CALC2223!AZ295&gt;1,INDIRECT(ADDRESS(MATCH(Agenda2526!C296,'CAL3'!A:A,0)+1,2,4,1,"CAL3")),"")</f>
        <v/>
      </c>
      <c r="P295" s="21">
        <f ca="1">IF(CALC2223!AZ295&gt;1,INDIRECT(ADDRESS(MATCH(Agenda2526!C296,'CAL3'!A:A,0)+1,3,4,1,"CAL3")),0)</f>
        <v>0</v>
      </c>
      <c r="Q295" s="20" t="str">
        <f ca="1">IF(CALC2223!AZ295&gt;2,INDIRECT(ADDRESS(MATCH(Agenda2526!C296,'CAL3'!A:A,0)+2,2,4,1,"CAL3")),"")</f>
        <v/>
      </c>
      <c r="R295" s="21">
        <f ca="1">IF(CALC2223!AZ295&gt;2,INDIRECT(ADDRESS(MATCH(Agenda2526!C296,'CAL3'!A:A,0)+2,3,4,1,"CAL3")),0)</f>
        <v>0</v>
      </c>
      <c r="S295" s="20" t="str">
        <f ca="1">IF(CALC2223!BA295&gt;0,INDIRECT(ADDRESS(MATCH(Agenda2526!C296,'CAL4'!A:A,0),2,4,1,"CAL4")),"")</f>
        <v/>
      </c>
      <c r="T295" s="21">
        <f ca="1">IF(CALC2223!BA295&gt;0,INDIRECT(ADDRESS(MATCH(Agenda2526!C296,'CAL4'!A:A,0),3,4,1,"CAL4")),0)</f>
        <v>0</v>
      </c>
      <c r="U295" s="20" t="str">
        <f ca="1">IF(CALC2223!BA295&gt;1,INDIRECT(ADDRESS(MATCH(Agenda2526!C296,'CAL4'!A:A,0)+1,2,4,1,"CAL4")),"")</f>
        <v/>
      </c>
      <c r="V295" s="21">
        <f ca="1">IF(CALC2223!BA295&gt;1,INDIRECT(ADDRESS(MATCH(Agenda2526!C296,'CAL4'!A:A,0)+1,3,4,1,"CAL4")),0)</f>
        <v>0</v>
      </c>
      <c r="W295" s="20" t="str">
        <f ca="1">IF(CALC2223!BA295&gt;2,INDIRECT(ADDRESS(MATCH(Agenda2526!C296,'CAL4'!A:A,0)+2,2,4,1,"CAL4")),"")</f>
        <v/>
      </c>
      <c r="X295" s="21">
        <f ca="1">IF(CALC2223!BA295&gt;2,INDIRECT(ADDRESS(MATCH(Agenda2526!C296,'CAL4'!A:A,0)+2,3,4,1,"CAL4")),0)</f>
        <v>0</v>
      </c>
      <c r="Y295" s="20" t="str">
        <f ca="1">IF(CALC2223!BB295&gt;0,INDIRECT(ADDRESS(MATCH(Agenda2526!C296,'CAL5'!A:A,0),2,4,1,"CAL5")),"")</f>
        <v/>
      </c>
      <c r="Z295" s="21">
        <f ca="1">IF(CALC2223!BB295&gt;0,INDIRECT(ADDRESS(MATCH(Agenda2526!C296,'CAL5'!A:A,0),3,4,1,"CAL5")),0)</f>
        <v>0</v>
      </c>
      <c r="AA295" s="20" t="str">
        <f ca="1">IF(CALC2223!BB295&gt;1,INDIRECT(ADDRESS(MATCH(Agenda2526!C296,'CAL5'!A:A,0)+1,2,4,1,"CAL5")),"")</f>
        <v/>
      </c>
      <c r="AB295" s="21">
        <f ca="1">IF(CALC2223!BB295&gt;1,INDIRECT(ADDRESS(MATCH(Agenda2526!C296,'CAL5'!A:A,0)+1,3,4,1,"CAL5")),0)</f>
        <v>0</v>
      </c>
      <c r="AC295" s="20" t="str">
        <f ca="1">IF(CALC2223!BB295&gt;2,INDIRECT(ADDRESS(MATCH(Agenda2526!C296,'CAL5'!A:A,0)+2,2,4,1,"CAL5")),"")</f>
        <v/>
      </c>
      <c r="AD295" s="21">
        <f ca="1">IF(CALC2223!BB295&gt;2,INDIRECT(ADDRESS(MATCH(Agenda2526!C296,'CAL5'!A:A,0)+2,3,4,1,"CAL5")),0)</f>
        <v>0</v>
      </c>
      <c r="AE295" s="20" t="str">
        <f ca="1">IF(CALC2223!BC295&gt;0,INDIRECT(ADDRESS(MATCH(Agenda2526!C296,'CAL6'!A:A,0),2,4,1,"CAL6")),"")</f>
        <v/>
      </c>
      <c r="AF295" s="21">
        <f ca="1">IF(CALC2223!BC295&gt;0,INDIRECT(ADDRESS(MATCH(Agenda2526!C296,'CAL6'!A:A,0),3,4,1,"CAL6")),0)</f>
        <v>0</v>
      </c>
      <c r="AG295" s="20" t="str">
        <f ca="1">IF(CALC2223!BC295&gt;1,INDIRECT(ADDRESS(MATCH(Agenda2526!C296,'CAL6'!A:A,0)+1,2,4,1,"CAL6")),"")</f>
        <v/>
      </c>
      <c r="AH295" s="21">
        <f ca="1">IF(CALC2223!BC295&gt;1,INDIRECT(ADDRESS(MATCH(Agenda2526!C296,'CAL6'!A:A,0)+1,3,4,1,"CAL6")),0)</f>
        <v>0</v>
      </c>
      <c r="AI295" s="20" t="str">
        <f ca="1">IF(CALC2223!BC295&gt;2,INDIRECT(ADDRESS(MATCH(Agenda2526!C296,'CAL6'!A:A,0)+2,2,4,1,"CAL6")),"")</f>
        <v/>
      </c>
      <c r="AJ295" s="21">
        <f ca="1">IF(CALC2223!BC295&gt;2,INDIRECT(ADDRESS(MATCH(Agenda2526!C296,'CAL6'!A:A,0)+2,3,4,1,"CAL6")),0)</f>
        <v>0</v>
      </c>
      <c r="AK295" s="20" t="str">
        <f ca="1">IF(CALC2223!BD295&gt;0,INDIRECT(ADDRESS(MATCH(Agenda2526!C296,'CAL7'!A:A,0),2,4,1,"CAL7")),"")</f>
        <v/>
      </c>
      <c r="AL295" s="21">
        <f ca="1">IF(CALC2223!BD295&gt;0,INDIRECT(ADDRESS(MATCH(Agenda2526!C296,'CAL7'!A:A,0),3,4,1,"CAL7")),0)</f>
        <v>0</v>
      </c>
      <c r="AM295" s="20" t="str">
        <f ca="1">IF(CALC2223!BD295&gt;1,INDIRECT(ADDRESS(MATCH(Agenda2526!C296,'CAL7'!A:A,0)+1,2,4,1,"CAL7")),"")</f>
        <v/>
      </c>
      <c r="AN295" s="21">
        <f ca="1">IF(CALC2223!BD295&gt;1,INDIRECT(ADDRESS(MATCH(Agenda2526!C296,'CAL7'!A:A,0)+1,3,4,1,"CAL7")),0)</f>
        <v>0</v>
      </c>
      <c r="AO295" s="20" t="str">
        <f ca="1">IF(CALC2223!BD295&gt;2,INDIRECT(ADDRESS(MATCH(Agenda2526!C296,'CAL7'!A:A,0)+2,2,4,1,"CAL7")),"")</f>
        <v/>
      </c>
      <c r="AP295" s="21">
        <f ca="1">IF(CALC2223!BD295&gt;2,INDIRECT(ADDRESS(MATCH(Agenda2526!C296,'CAL7'!A:A,0)+2,3,4,1,"CAL7")),0)</f>
        <v>0</v>
      </c>
      <c r="AQ295" s="20" t="str">
        <f ca="1">IF(CALC2223!BE295&gt;0,INDIRECT(ADDRESS(MATCH(Agenda2526!C296,'CAL8'!A:A,0),2,4,1,"CAL8")),"")</f>
        <v/>
      </c>
      <c r="AR295" s="21">
        <f ca="1">IF(CALC2223!BE295&gt;0,INDIRECT(ADDRESS(MATCH(Agenda2526!C296,'CAL8'!A:A,0),3,4,1,"CAL8")),0)</f>
        <v>0</v>
      </c>
      <c r="AS295" s="20" t="str">
        <f ca="1">IF(CALC2223!BE295&gt;1,INDIRECT(ADDRESS(MATCH(Agenda2526!C296,'CAL8'!A:A,0)+1,2,4,1,"CAL8")),"")</f>
        <v/>
      </c>
      <c r="AT295" s="21">
        <f ca="1">IF(CALC2223!BE295&gt;1,INDIRECT(ADDRESS(MATCH(Agenda2526!C296,'CAL8'!A:A,0)+1,3,4,1,"CAL8")),0)</f>
        <v>0</v>
      </c>
      <c r="AU295" s="20" t="str">
        <f ca="1">IF(CALC2223!BE295&gt;2,INDIRECT(ADDRESS(MATCH(Agenda2526!C296,'CAL8'!A:A,0)+2,2,4,1,"CAL8")),"")</f>
        <v/>
      </c>
      <c r="AV295" s="21">
        <f ca="1">IF(CALC2223!BE295&gt;2,INDIRECT(ADDRESS(MATCH(Agenda2526!C296,'CAL8'!A:A,0)+2,3,4,1,"CAL8")),0)</f>
        <v>0</v>
      </c>
      <c r="AW295" s="106"/>
      <c r="AX295" s="20">
        <f>COUNTIF('CAL1'!A:A,Agenda2526!C296)</f>
        <v>0</v>
      </c>
      <c r="AY295" s="20">
        <f>COUNTIF('CAL2'!A:A,Agenda2526!C296)</f>
        <v>0</v>
      </c>
      <c r="AZ295" s="20">
        <f>COUNTIF('CAL3'!A:A,Agenda2526!C296)</f>
        <v>0</v>
      </c>
      <c r="BA295" s="20">
        <f>COUNTIF('CAL4'!A:A,Agenda2526!C296)</f>
        <v>0</v>
      </c>
      <c r="BB295" s="20">
        <f>COUNTIF('CAL5'!A:A,Agenda2526!C296)</f>
        <v>0</v>
      </c>
      <c r="BC295" s="20">
        <f>COUNTIF('CAL6'!A:A,Agenda2526!C296)</f>
        <v>0</v>
      </c>
      <c r="BD295" s="20">
        <f>COUNTIF('CAL7'!A:A,Agenda2526!C296)</f>
        <v>0</v>
      </c>
      <c r="BE295" s="20">
        <f>COUNTIF('CAL8'!A:A,Agenda2526!C296)</f>
        <v>0</v>
      </c>
    </row>
    <row r="296" spans="1:57" ht="15.75" customHeight="1">
      <c r="A296" s="20" t="str">
        <f ca="1">IF(CALC2223!AX296&gt;0,INDIRECT(ADDRESS(MATCH(Agenda2526!C297,'CAL1'!A:A,0),2,4,1,"CAL1")),"")</f>
        <v/>
      </c>
      <c r="B296" s="21">
        <f ca="1">IF(CALC2223!AX296&gt;0,INDIRECT(ADDRESS(MATCH(Agenda2526!C297,'CAL1'!A:A,0),3,4,1,"CAL1")),0)</f>
        <v>0</v>
      </c>
      <c r="C296" s="20" t="str">
        <f ca="1">IF(CALC2223!AX296&gt;1,INDIRECT(ADDRESS(MATCH(Agenda2526!C297,'CAL1'!A:A,0)+1,2,4,1,"CAL1")),"")</f>
        <v/>
      </c>
      <c r="D296" s="21">
        <f ca="1">IF(CALC2223!AX296&gt;1,INDIRECT(ADDRESS(MATCH(Agenda2526!C297,'CAL1'!A:A,0)+1,3,4,1,"CAL1")),0)</f>
        <v>0</v>
      </c>
      <c r="E296" s="20" t="str">
        <f ca="1">IF(CALC2223!AX296&gt;2,INDIRECT(ADDRESS(MATCH(Agenda2526!C297,'CAL1'!A:A,0)+2,2,4,1,"CAL1")),"")</f>
        <v/>
      </c>
      <c r="F296" s="21">
        <f ca="1">IF(CALC2223!AX296&gt;2,INDIRECT(ADDRESS(MATCH(Agenda2526!C297,'CAL1'!A:A,0)+2,3,4,1,"CAL1")),0)</f>
        <v>0</v>
      </c>
      <c r="G296" s="20" t="str">
        <f ca="1">IF(CALC2223!AY296&gt;0,INDIRECT(ADDRESS(MATCH(Agenda2526!C297,'CAL2'!A:A,0),2,4,1,"CAL2")),"")</f>
        <v/>
      </c>
      <c r="H296" s="21">
        <f ca="1">IF(CALC2223!AY296&gt;0,INDIRECT(ADDRESS(MATCH(Agenda2526!C297,'CAL2'!A:A,0),3,4,1,"CAL2")),0)</f>
        <v>0</v>
      </c>
      <c r="I296" s="20" t="str">
        <f ca="1">IF(CALC2223!AY296&gt;1,INDIRECT(ADDRESS(MATCH(Agenda2526!C297,'CAL2'!A:A,0)+1,2,4,1,"CAL2")),"")</f>
        <v/>
      </c>
      <c r="J296" s="21">
        <f ca="1">IF(CALC2223!AY296&gt;1,INDIRECT(ADDRESS(MATCH(Agenda2526!C297,'CAL2'!A:A,0)+1,3,4,1,"CAL2")),0)</f>
        <v>0</v>
      </c>
      <c r="K296" s="20" t="str">
        <f ca="1">IF(CALC2223!AY296&gt;2,INDIRECT(ADDRESS(MATCH(Agenda2526!C297,'CAL2'!A:A,0)+2,2,4,1,"CAL2")),"")</f>
        <v/>
      </c>
      <c r="L296" s="21">
        <f ca="1">IF(CALC2223!AY296&gt;2,INDIRECT(ADDRESS(MATCH(Agenda2526!C297,'CAL2'!A:A,0)+2,3,4,1,"CAL2")),0)</f>
        <v>0</v>
      </c>
      <c r="M296" s="20" t="str">
        <f ca="1">IF(CALC2223!AZ296&gt;0,INDIRECT(ADDRESS(MATCH(Agenda2526!C297,'CAL3'!A:A,0),2,4,1,"CAL3")),"")</f>
        <v/>
      </c>
      <c r="N296" s="21">
        <f ca="1">IF(CALC2223!AZ296&gt;0,INDIRECT(ADDRESS(MATCH(Agenda2526!C297,'CAL3'!A:A,0),3,4,1,"CAL3")),0)</f>
        <v>0</v>
      </c>
      <c r="O296" s="20" t="str">
        <f ca="1">IF(CALC2223!AZ296&gt;1,INDIRECT(ADDRESS(MATCH(Agenda2526!C297,'CAL3'!A:A,0)+1,2,4,1,"CAL3")),"")</f>
        <v/>
      </c>
      <c r="P296" s="21">
        <f ca="1">IF(CALC2223!AZ296&gt;1,INDIRECT(ADDRESS(MATCH(Agenda2526!C297,'CAL3'!A:A,0)+1,3,4,1,"CAL3")),0)</f>
        <v>0</v>
      </c>
      <c r="Q296" s="20" t="str">
        <f ca="1">IF(CALC2223!AZ296&gt;2,INDIRECT(ADDRESS(MATCH(Agenda2526!C297,'CAL3'!A:A,0)+2,2,4,1,"CAL3")),"")</f>
        <v/>
      </c>
      <c r="R296" s="21">
        <f ca="1">IF(CALC2223!AZ296&gt;2,INDIRECT(ADDRESS(MATCH(Agenda2526!C297,'CAL3'!A:A,0)+2,3,4,1,"CAL3")),0)</f>
        <v>0</v>
      </c>
      <c r="S296" s="20" t="str">
        <f ca="1">IF(CALC2223!BA296&gt;0,INDIRECT(ADDRESS(MATCH(Agenda2526!C297,'CAL4'!A:A,0),2,4,1,"CAL4")),"")</f>
        <v>inh rep NE</v>
      </c>
      <c r="T296" s="21">
        <f ca="1">IF(CALC2223!BA296&gt;0,INDIRECT(ADDRESS(MATCH(Agenda2526!C297,'CAL4'!A:A,0),3,4,1,"CAL4")),0)</f>
        <v>45936</v>
      </c>
      <c r="U296" s="20" t="str">
        <f ca="1">IF(CALC2223!BA296&gt;1,INDIRECT(ADDRESS(MATCH(Agenda2526!C297,'CAL4'!A:A,0)+1,2,4,1,"CAL4")),"")</f>
        <v/>
      </c>
      <c r="V296" s="21">
        <f ca="1">IF(CALC2223!BA296&gt;1,INDIRECT(ADDRESS(MATCH(Agenda2526!C297,'CAL4'!A:A,0)+1,3,4,1,"CAL4")),0)</f>
        <v>0</v>
      </c>
      <c r="W296" s="20" t="str">
        <f ca="1">IF(CALC2223!BA296&gt;2,INDIRECT(ADDRESS(MATCH(Agenda2526!C297,'CAL4'!A:A,0)+2,2,4,1,"CAL4")),"")</f>
        <v/>
      </c>
      <c r="X296" s="21">
        <f ca="1">IF(CALC2223!BA296&gt;2,INDIRECT(ADDRESS(MATCH(Agenda2526!C297,'CAL4'!A:A,0)+2,3,4,1,"CAL4")),0)</f>
        <v>0</v>
      </c>
      <c r="Y296" s="20" t="str">
        <f ca="1">IF(CALC2223!BB296&gt;0,INDIRECT(ADDRESS(MATCH(Agenda2526!C297,'CAL5'!A:A,0),2,4,1,"CAL5")),"")</f>
        <v>inh rep NE</v>
      </c>
      <c r="Z296" s="21">
        <f ca="1">IF(CALC2223!BB296&gt;0,INDIRECT(ADDRESS(MATCH(Agenda2526!C297,'CAL5'!A:A,0),3,4,1,"CAL5")),0)</f>
        <v>45936</v>
      </c>
      <c r="AA296" s="20" t="str">
        <f ca="1">IF(CALC2223!BB296&gt;1,INDIRECT(ADDRESS(MATCH(Agenda2526!C297,'CAL5'!A:A,0)+1,2,4,1,"CAL5")),"")</f>
        <v/>
      </c>
      <c r="AB296" s="21">
        <f ca="1">IF(CALC2223!BB296&gt;1,INDIRECT(ADDRESS(MATCH(Agenda2526!C297,'CAL5'!A:A,0)+1,3,4,1,"CAL5")),0)</f>
        <v>0</v>
      </c>
      <c r="AC296" s="20" t="str">
        <f ca="1">IF(CALC2223!BB296&gt;2,INDIRECT(ADDRESS(MATCH(Agenda2526!C297,'CAL5'!A:A,0)+2,2,4,1,"CAL5")),"")</f>
        <v/>
      </c>
      <c r="AD296" s="21">
        <f ca="1">IF(CALC2223!BB296&gt;2,INDIRECT(ADDRESS(MATCH(Agenda2526!C297,'CAL5'!A:A,0)+2,3,4,1,"CAL5")),0)</f>
        <v>0</v>
      </c>
      <c r="AE296" s="20" t="str">
        <f ca="1">IF(CALC2223!BC296&gt;0,INDIRECT(ADDRESS(MATCH(Agenda2526!C297,'CAL6'!A:A,0),2,4,1,"CAL6")),"")</f>
        <v>CE-2</v>
      </c>
      <c r="AF296" s="21">
        <f ca="1">IF(CALC2223!BC296&gt;0,INDIRECT(ADDRESS(MATCH(Agenda2526!C297,'CAL6'!A:A,0),3,4,1,"CAL6")),0)</f>
        <v>45896</v>
      </c>
      <c r="AG296" s="20" t="str">
        <f ca="1">IF(CALC2223!BC296&gt;1,INDIRECT(ADDRESS(MATCH(Agenda2526!C297,'CAL6'!A:A,0)+1,2,4,1,"CAL6")),"")</f>
        <v/>
      </c>
      <c r="AH296" s="21">
        <f ca="1">IF(CALC2223!BC296&gt;1,INDIRECT(ADDRESS(MATCH(Agenda2526!C297,'CAL6'!A:A,0)+1,3,4,1,"CAL6")),0)</f>
        <v>0</v>
      </c>
      <c r="AI296" s="20" t="str">
        <f ca="1">IF(CALC2223!BC296&gt;2,INDIRECT(ADDRESS(MATCH(Agenda2526!C297,'CAL6'!A:A,0)+2,2,4,1,"CAL6")),"")</f>
        <v/>
      </c>
      <c r="AJ296" s="21">
        <f ca="1">IF(CALC2223!BC296&gt;2,INDIRECT(ADDRESS(MATCH(Agenda2526!C297,'CAL6'!A:A,0)+2,3,4,1,"CAL6")),0)</f>
        <v>0</v>
      </c>
      <c r="AK296" s="20" t="str">
        <f ca="1">IF(CALC2223!BD296&gt;0,INDIRECT(ADDRESS(MATCH(Agenda2526!C297,'CAL7'!A:A,0),2,4,1,"CAL7")),"")</f>
        <v/>
      </c>
      <c r="AL296" s="21">
        <f ca="1">IF(CALC2223!BD296&gt;0,INDIRECT(ADDRESS(MATCH(Agenda2526!C297,'CAL7'!A:A,0),3,4,1,"CAL7")),0)</f>
        <v>0</v>
      </c>
      <c r="AM296" s="20" t="str">
        <f ca="1">IF(CALC2223!BD296&gt;1,INDIRECT(ADDRESS(MATCH(Agenda2526!C297,'CAL7'!A:A,0)+1,2,4,1,"CAL7")),"")</f>
        <v/>
      </c>
      <c r="AN296" s="21">
        <f ca="1">IF(CALC2223!BD296&gt;1,INDIRECT(ADDRESS(MATCH(Agenda2526!C297,'CAL7'!A:A,0)+1,3,4,1,"CAL7")),0)</f>
        <v>0</v>
      </c>
      <c r="AO296" s="20" t="str">
        <f ca="1">IF(CALC2223!BD296&gt;2,INDIRECT(ADDRESS(MATCH(Agenda2526!C297,'CAL7'!A:A,0)+2,2,4,1,"CAL7")),"")</f>
        <v/>
      </c>
      <c r="AP296" s="21">
        <f ca="1">IF(CALC2223!BD296&gt;2,INDIRECT(ADDRESS(MATCH(Agenda2526!C297,'CAL7'!A:A,0)+2,3,4,1,"CAL7")),0)</f>
        <v>0</v>
      </c>
      <c r="AQ296" s="20" t="str">
        <f ca="1">IF(CALC2223!BE296&gt;0,INDIRECT(ADDRESS(MATCH(Agenda2526!C297,'CAL8'!A:A,0),2,4,1,"CAL8")),"")</f>
        <v/>
      </c>
      <c r="AR296" s="21">
        <f ca="1">IF(CALC2223!BE296&gt;0,INDIRECT(ADDRESS(MATCH(Agenda2526!C297,'CAL8'!A:A,0),3,4,1,"CAL8")),0)</f>
        <v>0</v>
      </c>
      <c r="AS296" s="20" t="str">
        <f ca="1">IF(CALC2223!BE296&gt;1,INDIRECT(ADDRESS(MATCH(Agenda2526!C297,'CAL8'!A:A,0)+1,2,4,1,"CAL8")),"")</f>
        <v/>
      </c>
      <c r="AT296" s="21">
        <f ca="1">IF(CALC2223!BE296&gt;1,INDIRECT(ADDRESS(MATCH(Agenda2526!C297,'CAL8'!A:A,0)+1,3,4,1,"CAL8")),0)</f>
        <v>0</v>
      </c>
      <c r="AU296" s="20" t="str">
        <f ca="1">IF(CALC2223!BE296&gt;2,INDIRECT(ADDRESS(MATCH(Agenda2526!C297,'CAL8'!A:A,0)+2,2,4,1,"CAL8")),"")</f>
        <v/>
      </c>
      <c r="AV296" s="21">
        <f ca="1">IF(CALC2223!BE296&gt;2,INDIRECT(ADDRESS(MATCH(Agenda2526!C297,'CAL8'!A:A,0)+2,3,4,1,"CAL8")),0)</f>
        <v>0</v>
      </c>
      <c r="AW296" s="105"/>
      <c r="AX296" s="20">
        <f>COUNTIF('CAL1'!A:A,Agenda2526!C297)</f>
        <v>0</v>
      </c>
      <c r="AY296" s="20">
        <f>COUNTIF('CAL2'!A:A,Agenda2526!C297)</f>
        <v>0</v>
      </c>
      <c r="AZ296" s="20">
        <f>COUNTIF('CAL3'!A:A,Agenda2526!C297)</f>
        <v>0</v>
      </c>
      <c r="BA296" s="20">
        <f>COUNTIF('CAL4'!A:A,Agenda2526!C297)</f>
        <v>1</v>
      </c>
      <c r="BB296" s="20">
        <f>COUNTIF('CAL5'!A:A,Agenda2526!C297)</f>
        <v>1</v>
      </c>
      <c r="BC296" s="20">
        <f>COUNTIF('CAL6'!A:A,Agenda2526!C297)</f>
        <v>1</v>
      </c>
      <c r="BD296" s="20">
        <f>COUNTIF('CAL7'!A:A,Agenda2526!C297)</f>
        <v>0</v>
      </c>
      <c r="BE296" s="20">
        <f>COUNTIF('CAL8'!A:A,Agenda2526!C297)</f>
        <v>0</v>
      </c>
    </row>
    <row r="297" spans="1:57" ht="15.75" customHeight="1">
      <c r="A297" s="20" t="str">
        <f ca="1">IF(CALC2223!AX297&gt;0,INDIRECT(ADDRESS(MATCH(Agenda2526!C298,'CAL1'!A:A,0),2,4,1,"CAL1")),"")</f>
        <v/>
      </c>
      <c r="B297" s="21">
        <f ca="1">IF(CALC2223!AX297&gt;0,INDIRECT(ADDRESS(MATCH(Agenda2526!C298,'CAL1'!A:A,0),3,4,1,"CAL1")),0)</f>
        <v>0</v>
      </c>
      <c r="C297" s="20" t="str">
        <f ca="1">IF(CALC2223!AX297&gt;1,INDIRECT(ADDRESS(MATCH(Agenda2526!C298,'CAL1'!A:A,0)+1,2,4,1,"CAL1")),"")</f>
        <v/>
      </c>
      <c r="D297" s="21">
        <f ca="1">IF(CALC2223!AX297&gt;1,INDIRECT(ADDRESS(MATCH(Agenda2526!C298,'CAL1'!A:A,0)+1,3,4,1,"CAL1")),0)</f>
        <v>0</v>
      </c>
      <c r="E297" s="20" t="str">
        <f ca="1">IF(CALC2223!AX297&gt;2,INDIRECT(ADDRESS(MATCH(Agenda2526!C298,'CAL1'!A:A,0)+2,2,4,1,"CAL1")),"")</f>
        <v/>
      </c>
      <c r="F297" s="21">
        <f ca="1">IF(CALC2223!AX297&gt;2,INDIRECT(ADDRESS(MATCH(Agenda2526!C298,'CAL1'!A:A,0)+2,3,4,1,"CAL1")),0)</f>
        <v>0</v>
      </c>
      <c r="G297" s="20" t="str">
        <f ca="1">IF(CALC2223!AY297&gt;0,INDIRECT(ADDRESS(MATCH(Agenda2526!C298,'CAL2'!A:A,0),2,4,1,"CAL2")),"")</f>
        <v/>
      </c>
      <c r="H297" s="21">
        <f ca="1">IF(CALC2223!AY297&gt;0,INDIRECT(ADDRESS(MATCH(Agenda2526!C298,'CAL2'!A:A,0),3,4,1,"CAL2")),0)</f>
        <v>0</v>
      </c>
      <c r="I297" s="20" t="str">
        <f ca="1">IF(CALC2223!AY297&gt;1,INDIRECT(ADDRESS(MATCH(Agenda2526!C298,'CAL2'!A:A,0)+1,2,4,1,"CAL2")),"")</f>
        <v/>
      </c>
      <c r="J297" s="21">
        <f ca="1">IF(CALC2223!AY297&gt;1,INDIRECT(ADDRESS(MATCH(Agenda2526!C298,'CAL2'!A:A,0)+1,3,4,1,"CAL2")),0)</f>
        <v>0</v>
      </c>
      <c r="K297" s="20" t="str">
        <f ca="1">IF(CALC2223!AY297&gt;2,INDIRECT(ADDRESS(MATCH(Agenda2526!C298,'CAL2'!A:A,0)+2,2,4,1,"CAL2")),"")</f>
        <v/>
      </c>
      <c r="L297" s="21">
        <f ca="1">IF(CALC2223!AY297&gt;2,INDIRECT(ADDRESS(MATCH(Agenda2526!C298,'CAL2'!A:A,0)+2,3,4,1,"CAL2")),0)</f>
        <v>0</v>
      </c>
      <c r="M297" s="20" t="str">
        <f ca="1">IF(CALC2223!AZ297&gt;0,INDIRECT(ADDRESS(MATCH(Agenda2526!C298,'CAL3'!A:A,0),2,4,1,"CAL3")),"")</f>
        <v/>
      </c>
      <c r="N297" s="21">
        <f ca="1">IF(CALC2223!AZ297&gt;0,INDIRECT(ADDRESS(MATCH(Agenda2526!C298,'CAL3'!A:A,0),3,4,1,"CAL3")),0)</f>
        <v>0</v>
      </c>
      <c r="O297" s="20" t="str">
        <f ca="1">IF(CALC2223!AZ297&gt;1,INDIRECT(ADDRESS(MATCH(Agenda2526!C298,'CAL3'!A:A,0)+1,2,4,1,"CAL3")),"")</f>
        <v/>
      </c>
      <c r="P297" s="21">
        <f ca="1">IF(CALC2223!AZ297&gt;1,INDIRECT(ADDRESS(MATCH(Agenda2526!C298,'CAL3'!A:A,0)+1,3,4,1,"CAL3")),0)</f>
        <v>0</v>
      </c>
      <c r="Q297" s="20" t="str">
        <f ca="1">IF(CALC2223!AZ297&gt;2,INDIRECT(ADDRESS(MATCH(Agenda2526!C298,'CAL3'!A:A,0)+2,2,4,1,"CAL3")),"")</f>
        <v/>
      </c>
      <c r="R297" s="21">
        <f ca="1">IF(CALC2223!AZ297&gt;2,INDIRECT(ADDRESS(MATCH(Agenda2526!C298,'CAL3'!A:A,0)+2,3,4,1,"CAL3")),0)</f>
        <v>0</v>
      </c>
      <c r="S297" s="20" t="str">
        <f ca="1">IF(CALC2223!BA297&gt;0,INDIRECT(ADDRESS(MATCH(Agenda2526!C298,'CAL4'!A:A,0),2,4,1,"CAL4")),"")</f>
        <v>inh rep AK</v>
      </c>
      <c r="T297" s="21">
        <f ca="1">IF(CALC2223!BA297&gt;0,INDIRECT(ADDRESS(MATCH(Agenda2526!C298,'CAL4'!A:A,0),3,4,1,"CAL4")),0)</f>
        <v>45936</v>
      </c>
      <c r="U297" s="20" t="str">
        <f ca="1">IF(CALC2223!BA297&gt;1,INDIRECT(ADDRESS(MATCH(Agenda2526!C298,'CAL4'!A:A,0)+1,2,4,1,"CAL4")),"")</f>
        <v/>
      </c>
      <c r="V297" s="21">
        <f ca="1">IF(CALC2223!BA297&gt;1,INDIRECT(ADDRESS(MATCH(Agenda2526!C298,'CAL4'!A:A,0)+1,3,4,1,"CAL4")),0)</f>
        <v>0</v>
      </c>
      <c r="W297" s="20" t="str">
        <f ca="1">IF(CALC2223!BA297&gt;2,INDIRECT(ADDRESS(MATCH(Agenda2526!C298,'CAL4'!A:A,0)+2,2,4,1,"CAL4")),"")</f>
        <v/>
      </c>
      <c r="X297" s="21">
        <f ca="1">IF(CALC2223!BA297&gt;2,INDIRECT(ADDRESS(MATCH(Agenda2526!C298,'CAL4'!A:A,0)+2,3,4,1,"CAL4")),0)</f>
        <v>0</v>
      </c>
      <c r="Y297" s="20" t="str">
        <f ca="1">IF(CALC2223!BB297&gt;0,INDIRECT(ADDRESS(MATCH(Agenda2526!C298,'CAL5'!A:A,0),2,4,1,"CAL5")),"")</f>
        <v/>
      </c>
      <c r="Z297" s="21">
        <f ca="1">IF(CALC2223!BB297&gt;0,INDIRECT(ADDRESS(MATCH(Agenda2526!C298,'CAL5'!A:A,0),3,4,1,"CAL5")),0)</f>
        <v>0</v>
      </c>
      <c r="AA297" s="20" t="str">
        <f ca="1">IF(CALC2223!BB297&gt;1,INDIRECT(ADDRESS(MATCH(Agenda2526!C298,'CAL5'!A:A,0)+1,2,4,1,"CAL5")),"")</f>
        <v/>
      </c>
      <c r="AB297" s="21">
        <f ca="1">IF(CALC2223!BB297&gt;1,INDIRECT(ADDRESS(MATCH(Agenda2526!C298,'CAL5'!A:A,0)+1,3,4,1,"CAL5")),0)</f>
        <v>0</v>
      </c>
      <c r="AC297" s="20" t="str">
        <f ca="1">IF(CALC2223!BB297&gt;2,INDIRECT(ADDRESS(MATCH(Agenda2526!C298,'CAL5'!A:A,0)+2,2,4,1,"CAL5")),"")</f>
        <v/>
      </c>
      <c r="AD297" s="21">
        <f ca="1">IF(CALC2223!BB297&gt;2,INDIRECT(ADDRESS(MATCH(Agenda2526!C298,'CAL5'!A:A,0)+2,3,4,1,"CAL5")),0)</f>
        <v>0</v>
      </c>
      <c r="AE297" s="20" t="str">
        <f ca="1">IF(CALC2223!BC297&gt;0,INDIRECT(ADDRESS(MATCH(Agenda2526!C298,'CAL6'!A:A,0),2,4,1,"CAL6")),"")</f>
        <v>CE-2</v>
      </c>
      <c r="AF297" s="21">
        <f ca="1">IF(CALC2223!BC297&gt;0,INDIRECT(ADDRESS(MATCH(Agenda2526!C298,'CAL6'!A:A,0),3,4,1,"CAL6")),0)</f>
        <v>45896</v>
      </c>
      <c r="AG297" s="20" t="str">
        <f ca="1">IF(CALC2223!BC297&gt;1,INDIRECT(ADDRESS(MATCH(Agenda2526!C298,'CAL6'!A:A,0)+1,2,4,1,"CAL6")),"")</f>
        <v/>
      </c>
      <c r="AH297" s="21">
        <f ca="1">IF(CALC2223!BC297&gt;1,INDIRECT(ADDRESS(MATCH(Agenda2526!C298,'CAL6'!A:A,0)+1,3,4,1,"CAL6")),0)</f>
        <v>0</v>
      </c>
      <c r="AI297" s="20" t="str">
        <f ca="1">IF(CALC2223!BC297&gt;2,INDIRECT(ADDRESS(MATCH(Agenda2526!C298,'CAL6'!A:A,0)+2,2,4,1,"CAL6")),"")</f>
        <v/>
      </c>
      <c r="AJ297" s="21">
        <f ca="1">IF(CALC2223!BC297&gt;2,INDIRECT(ADDRESS(MATCH(Agenda2526!C298,'CAL6'!A:A,0)+2,3,4,1,"CAL6")),0)</f>
        <v>0</v>
      </c>
      <c r="AK297" s="20" t="str">
        <f ca="1">IF(CALC2223!BD297&gt;0,INDIRECT(ADDRESS(MATCH(Agenda2526!C298,'CAL7'!A:A,0),2,4,1,"CAL7")),"")</f>
        <v/>
      </c>
      <c r="AL297" s="21">
        <f ca="1">IF(CALC2223!BD297&gt;0,INDIRECT(ADDRESS(MATCH(Agenda2526!C298,'CAL7'!A:A,0),3,4,1,"CAL7")),0)</f>
        <v>0</v>
      </c>
      <c r="AM297" s="20" t="str">
        <f ca="1">IF(CALC2223!BD297&gt;1,INDIRECT(ADDRESS(MATCH(Agenda2526!C298,'CAL7'!A:A,0)+1,2,4,1,"CAL7")),"")</f>
        <v/>
      </c>
      <c r="AN297" s="21">
        <f ca="1">IF(CALC2223!BD297&gt;1,INDIRECT(ADDRESS(MATCH(Agenda2526!C298,'CAL7'!A:A,0)+1,3,4,1,"CAL7")),0)</f>
        <v>0</v>
      </c>
      <c r="AO297" s="20" t="str">
        <f ca="1">IF(CALC2223!BD297&gt;2,INDIRECT(ADDRESS(MATCH(Agenda2526!C298,'CAL7'!A:A,0)+2,2,4,1,"CAL7")),"")</f>
        <v/>
      </c>
      <c r="AP297" s="21">
        <f ca="1">IF(CALC2223!BD297&gt;2,INDIRECT(ADDRESS(MATCH(Agenda2526!C298,'CAL7'!A:A,0)+2,3,4,1,"CAL7")),0)</f>
        <v>0</v>
      </c>
      <c r="AQ297" s="20" t="str">
        <f ca="1">IF(CALC2223!BE297&gt;0,INDIRECT(ADDRESS(MATCH(Agenda2526!C298,'CAL8'!A:A,0),2,4,1,"CAL8")),"")</f>
        <v/>
      </c>
      <c r="AR297" s="21">
        <f ca="1">IF(CALC2223!BE297&gt;0,INDIRECT(ADDRESS(MATCH(Agenda2526!C298,'CAL8'!A:A,0),3,4,1,"CAL8")),0)</f>
        <v>0</v>
      </c>
      <c r="AS297" s="20" t="str">
        <f ca="1">IF(CALC2223!BE297&gt;1,INDIRECT(ADDRESS(MATCH(Agenda2526!C298,'CAL8'!A:A,0)+1,2,4,1,"CAL8")),"")</f>
        <v/>
      </c>
      <c r="AT297" s="21">
        <f ca="1">IF(CALC2223!BE297&gt;1,INDIRECT(ADDRESS(MATCH(Agenda2526!C298,'CAL8'!A:A,0)+1,3,4,1,"CAL8")),0)</f>
        <v>0</v>
      </c>
      <c r="AU297" s="20" t="str">
        <f ca="1">IF(CALC2223!BE297&gt;2,INDIRECT(ADDRESS(MATCH(Agenda2526!C298,'CAL8'!A:A,0)+2,2,4,1,"CAL8")),"")</f>
        <v/>
      </c>
      <c r="AV297" s="21">
        <f ca="1">IF(CALC2223!BE297&gt;2,INDIRECT(ADDRESS(MATCH(Agenda2526!C298,'CAL8'!A:A,0)+2,3,4,1,"CAL8")),0)</f>
        <v>0</v>
      </c>
      <c r="AW297" s="105"/>
      <c r="AX297" s="20">
        <f>COUNTIF('CAL1'!A:A,Agenda2526!C298)</f>
        <v>0</v>
      </c>
      <c r="AY297" s="20">
        <f>COUNTIF('CAL2'!A:A,Agenda2526!C298)</f>
        <v>0</v>
      </c>
      <c r="AZ297" s="20">
        <f>COUNTIF('CAL3'!A:A,Agenda2526!C298)</f>
        <v>0</v>
      </c>
      <c r="BA297" s="20">
        <f>COUNTIF('CAL4'!A:A,Agenda2526!C298)</f>
        <v>1</v>
      </c>
      <c r="BB297" s="20">
        <f>COUNTIF('CAL5'!A:A,Agenda2526!C298)</f>
        <v>0</v>
      </c>
      <c r="BC297" s="20">
        <f>COUNTIF('CAL6'!A:A,Agenda2526!C298)</f>
        <v>1</v>
      </c>
      <c r="BD297" s="20">
        <f>COUNTIF('CAL7'!A:A,Agenda2526!C298)</f>
        <v>0</v>
      </c>
      <c r="BE297" s="20">
        <f>COUNTIF('CAL8'!A:A,Agenda2526!C298)</f>
        <v>0</v>
      </c>
    </row>
    <row r="298" spans="1:57" ht="15.75" customHeight="1">
      <c r="A298" s="20" t="str">
        <f ca="1">IF(CALC2223!AX298&gt;0,INDIRECT(ADDRESS(MATCH(Agenda2526!C299,'CAL1'!A:A,0),2,4,1,"CAL1")),"")</f>
        <v/>
      </c>
      <c r="B298" s="21">
        <f ca="1">IF(CALC2223!AX298&gt;0,INDIRECT(ADDRESS(MATCH(Agenda2526!C299,'CAL1'!A:A,0),3,4,1,"CAL1")),0)</f>
        <v>0</v>
      </c>
      <c r="C298" s="20" t="str">
        <f ca="1">IF(CALC2223!AX298&gt;1,INDIRECT(ADDRESS(MATCH(Agenda2526!C299,'CAL1'!A:A,0)+1,2,4,1,"CAL1")),"")</f>
        <v/>
      </c>
      <c r="D298" s="21">
        <f ca="1">IF(CALC2223!AX298&gt;1,INDIRECT(ADDRESS(MATCH(Agenda2526!C299,'CAL1'!A:A,0)+1,3,4,1,"CAL1")),0)</f>
        <v>0</v>
      </c>
      <c r="E298" s="20" t="str">
        <f ca="1">IF(CALC2223!AX298&gt;2,INDIRECT(ADDRESS(MATCH(Agenda2526!C299,'CAL1'!A:A,0)+2,2,4,1,"CAL1")),"")</f>
        <v/>
      </c>
      <c r="F298" s="21">
        <f ca="1">IF(CALC2223!AX298&gt;2,INDIRECT(ADDRESS(MATCH(Agenda2526!C299,'CAL1'!A:A,0)+2,3,4,1,"CAL1")),0)</f>
        <v>0</v>
      </c>
      <c r="G298" s="20" t="str">
        <f ca="1">IF(CALC2223!AY298&gt;0,INDIRECT(ADDRESS(MATCH(Agenda2526!C299,'CAL2'!A:A,0),2,4,1,"CAL2")),"")</f>
        <v/>
      </c>
      <c r="H298" s="21">
        <f ca="1">IF(CALC2223!AY298&gt;0,INDIRECT(ADDRESS(MATCH(Agenda2526!C299,'CAL2'!A:A,0),3,4,1,"CAL2")),0)</f>
        <v>0</v>
      </c>
      <c r="I298" s="20" t="str">
        <f ca="1">IF(CALC2223!AY298&gt;1,INDIRECT(ADDRESS(MATCH(Agenda2526!C299,'CAL2'!A:A,0)+1,2,4,1,"CAL2")),"")</f>
        <v/>
      </c>
      <c r="J298" s="21">
        <f ca="1">IF(CALC2223!AY298&gt;1,INDIRECT(ADDRESS(MATCH(Agenda2526!C299,'CAL2'!A:A,0)+1,3,4,1,"CAL2")),0)</f>
        <v>0</v>
      </c>
      <c r="K298" s="20" t="str">
        <f ca="1">IF(CALC2223!AY298&gt;2,INDIRECT(ADDRESS(MATCH(Agenda2526!C299,'CAL2'!A:A,0)+2,2,4,1,"CAL2")),"")</f>
        <v/>
      </c>
      <c r="L298" s="21">
        <f ca="1">IF(CALC2223!AY298&gt;2,INDIRECT(ADDRESS(MATCH(Agenda2526!C299,'CAL2'!A:A,0)+2,3,4,1,"CAL2")),0)</f>
        <v>0</v>
      </c>
      <c r="M298" s="20" t="str">
        <f ca="1">IF(CALC2223!AZ298&gt;0,INDIRECT(ADDRESS(MATCH(Agenda2526!C299,'CAL3'!A:A,0),2,4,1,"CAL3")),"")</f>
        <v/>
      </c>
      <c r="N298" s="21">
        <f ca="1">IF(CALC2223!AZ298&gt;0,INDIRECT(ADDRESS(MATCH(Agenda2526!C299,'CAL3'!A:A,0),3,4,1,"CAL3")),0)</f>
        <v>0</v>
      </c>
      <c r="O298" s="20" t="str">
        <f ca="1">IF(CALC2223!AZ298&gt;1,INDIRECT(ADDRESS(MATCH(Agenda2526!C299,'CAL3'!A:A,0)+1,2,4,1,"CAL3")),"")</f>
        <v/>
      </c>
      <c r="P298" s="21">
        <f ca="1">IF(CALC2223!AZ298&gt;1,INDIRECT(ADDRESS(MATCH(Agenda2526!C299,'CAL3'!A:A,0)+1,3,4,1,"CAL3")),0)</f>
        <v>0</v>
      </c>
      <c r="Q298" s="20" t="str">
        <f ca="1">IF(CALC2223!AZ298&gt;2,INDIRECT(ADDRESS(MATCH(Agenda2526!C299,'CAL3'!A:A,0)+2,2,4,1,"CAL3")),"")</f>
        <v/>
      </c>
      <c r="R298" s="21">
        <f ca="1">IF(CALC2223!AZ298&gt;2,INDIRECT(ADDRESS(MATCH(Agenda2526!C299,'CAL3'!A:A,0)+2,3,4,1,"CAL3")),0)</f>
        <v>0</v>
      </c>
      <c r="S298" s="20" t="str">
        <f ca="1">IF(CALC2223!BA298&gt;0,INDIRECT(ADDRESS(MATCH(Agenda2526!C299,'CAL4'!A:A,0),2,4,1,"CAL4")),"")</f>
        <v>inh rep FI</v>
      </c>
      <c r="T298" s="21">
        <f ca="1">IF(CALC2223!BA298&gt;0,INDIRECT(ADDRESS(MATCH(Agenda2526!C299,'CAL4'!A:A,0),3,4,1,"CAL4")),0)</f>
        <v>45936</v>
      </c>
      <c r="U298" s="20" t="str">
        <f ca="1">IF(CALC2223!BA298&gt;1,INDIRECT(ADDRESS(MATCH(Agenda2526!C299,'CAL4'!A:A,0)+1,2,4,1,"CAL4")),"")</f>
        <v/>
      </c>
      <c r="V298" s="21">
        <f ca="1">IF(CALC2223!BA298&gt;1,INDIRECT(ADDRESS(MATCH(Agenda2526!C299,'CAL4'!A:A,0)+1,3,4,1,"CAL4")),0)</f>
        <v>0</v>
      </c>
      <c r="W298" s="20" t="str">
        <f ca="1">IF(CALC2223!BA298&gt;2,INDIRECT(ADDRESS(MATCH(Agenda2526!C299,'CAL4'!A:A,0)+2,2,4,1,"CAL4")),"")</f>
        <v/>
      </c>
      <c r="X298" s="21">
        <f ca="1">IF(CALC2223!BA298&gt;2,INDIRECT(ADDRESS(MATCH(Agenda2526!C299,'CAL4'!A:A,0)+2,3,4,1,"CAL4")),0)</f>
        <v>0</v>
      </c>
      <c r="Y298" s="20" t="str">
        <f ca="1">IF(CALC2223!BB298&gt;0,INDIRECT(ADDRESS(MATCH(Agenda2526!C299,'CAL5'!A:A,0),2,4,1,"CAL5")),"")</f>
        <v/>
      </c>
      <c r="Z298" s="21">
        <f ca="1">IF(CALC2223!BB298&gt;0,INDIRECT(ADDRESS(MATCH(Agenda2526!C299,'CAL5'!A:A,0),3,4,1,"CAL5")),0)</f>
        <v>0</v>
      </c>
      <c r="AA298" s="20" t="str">
        <f ca="1">IF(CALC2223!BB298&gt;1,INDIRECT(ADDRESS(MATCH(Agenda2526!C299,'CAL5'!A:A,0)+1,2,4,1,"CAL5")),"")</f>
        <v/>
      </c>
      <c r="AB298" s="21">
        <f ca="1">IF(CALC2223!BB298&gt;1,INDIRECT(ADDRESS(MATCH(Agenda2526!C299,'CAL5'!A:A,0)+1,3,4,1,"CAL5")),0)</f>
        <v>0</v>
      </c>
      <c r="AC298" s="20" t="str">
        <f ca="1">IF(CALC2223!BB298&gt;2,INDIRECT(ADDRESS(MATCH(Agenda2526!C299,'CAL5'!A:A,0)+2,2,4,1,"CAL5")),"")</f>
        <v/>
      </c>
      <c r="AD298" s="21">
        <f ca="1">IF(CALC2223!BB298&gt;2,INDIRECT(ADDRESS(MATCH(Agenda2526!C299,'CAL5'!A:A,0)+2,3,4,1,"CAL5")),0)</f>
        <v>0</v>
      </c>
      <c r="AE298" s="20" t="str">
        <f ca="1">IF(CALC2223!BC298&gt;0,INDIRECT(ADDRESS(MATCH(Agenda2526!C299,'CAL6'!A:A,0),2,4,1,"CAL6")),"")</f>
        <v/>
      </c>
      <c r="AF298" s="21">
        <f ca="1">IF(CALC2223!BC298&gt;0,INDIRECT(ADDRESS(MATCH(Agenda2526!C299,'CAL6'!A:A,0),3,4,1,"CAL6")),0)</f>
        <v>0</v>
      </c>
      <c r="AG298" s="20" t="str">
        <f ca="1">IF(CALC2223!BC298&gt;1,INDIRECT(ADDRESS(MATCH(Agenda2526!C299,'CAL6'!A:A,0)+1,2,4,1,"CAL6")),"")</f>
        <v/>
      </c>
      <c r="AH298" s="21">
        <f ca="1">IF(CALC2223!BC298&gt;1,INDIRECT(ADDRESS(MATCH(Agenda2526!C299,'CAL6'!A:A,0)+1,3,4,1,"CAL6")),0)</f>
        <v>0</v>
      </c>
      <c r="AI298" s="20" t="str">
        <f ca="1">IF(CALC2223!BC298&gt;2,INDIRECT(ADDRESS(MATCH(Agenda2526!C299,'CAL6'!A:A,0)+2,2,4,1,"CAL6")),"")</f>
        <v/>
      </c>
      <c r="AJ298" s="21">
        <f ca="1">IF(CALC2223!BC298&gt;2,INDIRECT(ADDRESS(MATCH(Agenda2526!C299,'CAL6'!A:A,0)+2,3,4,1,"CAL6")),0)</f>
        <v>0</v>
      </c>
      <c r="AK298" s="20" t="str">
        <f ca="1">IF(CALC2223!BD298&gt;0,INDIRECT(ADDRESS(MATCH(Agenda2526!C299,'CAL7'!A:A,0),2,4,1,"CAL7")),"")</f>
        <v/>
      </c>
      <c r="AL298" s="21">
        <f ca="1">IF(CALC2223!BD298&gt;0,INDIRECT(ADDRESS(MATCH(Agenda2526!C299,'CAL7'!A:A,0),3,4,1,"CAL7")),0)</f>
        <v>0</v>
      </c>
      <c r="AM298" s="20" t="str">
        <f ca="1">IF(CALC2223!BD298&gt;1,INDIRECT(ADDRESS(MATCH(Agenda2526!C299,'CAL7'!A:A,0)+1,2,4,1,"CAL7")),"")</f>
        <v/>
      </c>
      <c r="AN298" s="21">
        <f ca="1">IF(CALC2223!BD298&gt;1,INDIRECT(ADDRESS(MATCH(Agenda2526!C299,'CAL7'!A:A,0)+1,3,4,1,"CAL7")),0)</f>
        <v>0</v>
      </c>
      <c r="AO298" s="20" t="str">
        <f ca="1">IF(CALC2223!BD298&gt;2,INDIRECT(ADDRESS(MATCH(Agenda2526!C299,'CAL7'!A:A,0)+2,2,4,1,"CAL7")),"")</f>
        <v/>
      </c>
      <c r="AP298" s="21">
        <f ca="1">IF(CALC2223!BD298&gt;2,INDIRECT(ADDRESS(MATCH(Agenda2526!C299,'CAL7'!A:A,0)+2,3,4,1,"CAL7")),0)</f>
        <v>0</v>
      </c>
      <c r="AQ298" s="20" t="str">
        <f ca="1">IF(CALC2223!BE298&gt;0,INDIRECT(ADDRESS(MATCH(Agenda2526!C299,'CAL8'!A:A,0),2,4,1,"CAL8")),"")</f>
        <v/>
      </c>
      <c r="AR298" s="21">
        <f ca="1">IF(CALC2223!BE298&gt;0,INDIRECT(ADDRESS(MATCH(Agenda2526!C299,'CAL8'!A:A,0),3,4,1,"CAL8")),0)</f>
        <v>0</v>
      </c>
      <c r="AS298" s="20" t="str">
        <f ca="1">IF(CALC2223!BE298&gt;1,INDIRECT(ADDRESS(MATCH(Agenda2526!C299,'CAL8'!A:A,0)+1,2,4,1,"CAL8")),"")</f>
        <v/>
      </c>
      <c r="AT298" s="21">
        <f ca="1">IF(CALC2223!BE298&gt;1,INDIRECT(ADDRESS(MATCH(Agenda2526!C299,'CAL8'!A:A,0)+1,3,4,1,"CAL8")),0)</f>
        <v>0</v>
      </c>
      <c r="AU298" s="20" t="str">
        <f ca="1">IF(CALC2223!BE298&gt;2,INDIRECT(ADDRESS(MATCH(Agenda2526!C299,'CAL8'!A:A,0)+2,2,4,1,"CAL8")),"")</f>
        <v/>
      </c>
      <c r="AV298" s="21">
        <f ca="1">IF(CALC2223!BE298&gt;2,INDIRECT(ADDRESS(MATCH(Agenda2526!C299,'CAL8'!A:A,0)+2,3,4,1,"CAL8")),0)</f>
        <v>0</v>
      </c>
      <c r="AW298" s="105"/>
      <c r="AX298" s="20">
        <f>COUNTIF('CAL1'!A:A,Agenda2526!C299)</f>
        <v>0</v>
      </c>
      <c r="AY298" s="20">
        <f>COUNTIF('CAL2'!A:A,Agenda2526!C299)</f>
        <v>0</v>
      </c>
      <c r="AZ298" s="20">
        <f>COUNTIF('CAL3'!A:A,Agenda2526!C299)</f>
        <v>0</v>
      </c>
      <c r="BA298" s="20">
        <f>COUNTIF('CAL4'!A:A,Agenda2526!C299)</f>
        <v>1</v>
      </c>
      <c r="BB298" s="20">
        <f>COUNTIF('CAL5'!A:A,Agenda2526!C299)</f>
        <v>0</v>
      </c>
      <c r="BC298" s="20">
        <f>COUNTIF('CAL6'!A:A,Agenda2526!C299)</f>
        <v>0</v>
      </c>
      <c r="BD298" s="20">
        <f>COUNTIF('CAL7'!A:A,Agenda2526!C299)</f>
        <v>0</v>
      </c>
      <c r="BE298" s="20">
        <f>COUNTIF('CAL8'!A:A,Agenda2526!C299)</f>
        <v>0</v>
      </c>
    </row>
    <row r="299" spans="1:57" ht="15.75" customHeight="1">
      <c r="A299" s="20" t="str">
        <f ca="1">IF(CALC2223!AX299&gt;0,INDIRECT(ADDRESS(MATCH(Agenda2526!C300,'CAL1'!A:A,0),2,4,1,"CAL1")),"")</f>
        <v/>
      </c>
      <c r="B299" s="21">
        <f ca="1">IF(CALC2223!AX299&gt;0,INDIRECT(ADDRESS(MATCH(Agenda2526!C300,'CAL1'!A:A,0),3,4,1,"CAL1")),0)</f>
        <v>0</v>
      </c>
      <c r="C299" s="20" t="str">
        <f ca="1">IF(CALC2223!AX299&gt;1,INDIRECT(ADDRESS(MATCH(Agenda2526!C300,'CAL1'!A:A,0)+1,2,4,1,"CAL1")),"")</f>
        <v/>
      </c>
      <c r="D299" s="21">
        <f ca="1">IF(CALC2223!AX299&gt;1,INDIRECT(ADDRESS(MATCH(Agenda2526!C300,'CAL1'!A:A,0)+1,3,4,1,"CAL1")),0)</f>
        <v>0</v>
      </c>
      <c r="E299" s="20" t="str">
        <f ca="1">IF(CALC2223!AX299&gt;2,INDIRECT(ADDRESS(MATCH(Agenda2526!C300,'CAL1'!A:A,0)+2,2,4,1,"CAL1")),"")</f>
        <v/>
      </c>
      <c r="F299" s="21">
        <f ca="1">IF(CALC2223!AX299&gt;2,INDIRECT(ADDRESS(MATCH(Agenda2526!C300,'CAL1'!A:A,0)+2,3,4,1,"CAL1")),0)</f>
        <v>0</v>
      </c>
      <c r="G299" s="20" t="str">
        <f ca="1">IF(CALC2223!AY299&gt;0,INDIRECT(ADDRESS(MATCH(Agenda2526!C300,'CAL2'!A:A,0),2,4,1,"CAL2")),"")</f>
        <v/>
      </c>
      <c r="H299" s="21">
        <f ca="1">IF(CALC2223!AY299&gt;0,INDIRECT(ADDRESS(MATCH(Agenda2526!C300,'CAL2'!A:A,0),3,4,1,"CAL2")),0)</f>
        <v>0</v>
      </c>
      <c r="I299" s="20" t="str">
        <f ca="1">IF(CALC2223!AY299&gt;1,INDIRECT(ADDRESS(MATCH(Agenda2526!C300,'CAL2'!A:A,0)+1,2,4,1,"CAL2")),"")</f>
        <v/>
      </c>
      <c r="J299" s="21">
        <f ca="1">IF(CALC2223!AY299&gt;1,INDIRECT(ADDRESS(MATCH(Agenda2526!C300,'CAL2'!A:A,0)+1,3,4,1,"CAL2")),0)</f>
        <v>0</v>
      </c>
      <c r="K299" s="20" t="str">
        <f ca="1">IF(CALC2223!AY299&gt;2,INDIRECT(ADDRESS(MATCH(Agenda2526!C300,'CAL2'!A:A,0)+2,2,4,1,"CAL2")),"")</f>
        <v/>
      </c>
      <c r="L299" s="21">
        <f ca="1">IF(CALC2223!AY299&gt;2,INDIRECT(ADDRESS(MATCH(Agenda2526!C300,'CAL2'!A:A,0)+2,3,4,1,"CAL2")),0)</f>
        <v>0</v>
      </c>
      <c r="M299" s="20" t="str">
        <f ca="1">IF(CALC2223!AZ299&gt;0,INDIRECT(ADDRESS(MATCH(Agenda2526!C300,'CAL3'!A:A,0),2,4,1,"CAL3")),"")</f>
        <v>Rep SK</v>
      </c>
      <c r="N299" s="21">
        <f ca="1">IF(CALC2223!AZ299&gt;0,INDIRECT(ADDRESS(MATCH(Agenda2526!C300,'CAL3'!A:A,0),3,4,1,"CAL3")),0)</f>
        <v>45903</v>
      </c>
      <c r="O299" s="20" t="str">
        <f ca="1">IF(CALC2223!AZ299&gt;1,INDIRECT(ADDRESS(MATCH(Agenda2526!C300,'CAL3'!A:A,0)+1,2,4,1,"CAL3")),"")</f>
        <v/>
      </c>
      <c r="P299" s="21">
        <f ca="1">IF(CALC2223!AZ299&gt;1,INDIRECT(ADDRESS(MATCH(Agenda2526!C300,'CAL3'!A:A,0)+1,3,4,1,"CAL3")),0)</f>
        <v>0</v>
      </c>
      <c r="Q299" s="20" t="str">
        <f ca="1">IF(CALC2223!AZ299&gt;2,INDIRECT(ADDRESS(MATCH(Agenda2526!C300,'CAL3'!A:A,0)+2,2,4,1,"CAL3")),"")</f>
        <v/>
      </c>
      <c r="R299" s="21">
        <f ca="1">IF(CALC2223!AZ299&gt;2,INDIRECT(ADDRESS(MATCH(Agenda2526!C300,'CAL3'!A:A,0)+2,3,4,1,"CAL3")),0)</f>
        <v>0</v>
      </c>
      <c r="S299" s="20" t="str">
        <f ca="1">IF(CALC2223!BA299&gt;0,INDIRECT(ADDRESS(MATCH(Agenda2526!C300,'CAL4'!A:A,0),2,4,1,"CAL4")),"")</f>
        <v>tsweek: rep latl / rep grtl / rep wic / inh SE ANW</v>
      </c>
      <c r="T299" s="21">
        <f ca="1">IF(CALC2223!BA299&gt;0,INDIRECT(ADDRESS(MATCH(Agenda2526!C300,'CAL4'!A:A,0),3,4,1,"CAL4")),0)</f>
        <v>45965</v>
      </c>
      <c r="U299" s="20" t="str">
        <f ca="1">IF(CALC2223!BA299&gt;1,INDIRECT(ADDRESS(MATCH(Agenda2526!C300,'CAL4'!A:A,0)+1,2,4,1,"CAL4")),"")</f>
        <v/>
      </c>
      <c r="V299" s="21">
        <f ca="1">IF(CALC2223!BA299&gt;1,INDIRECT(ADDRESS(MATCH(Agenda2526!C300,'CAL4'!A:A,0)+1,3,4,1,"CAL4")),0)</f>
        <v>0</v>
      </c>
      <c r="W299" s="20" t="str">
        <f ca="1">IF(CALC2223!BA299&gt;2,INDIRECT(ADDRESS(MATCH(Agenda2526!C300,'CAL4'!A:A,0)+2,2,4,1,"CAL4")),"")</f>
        <v/>
      </c>
      <c r="X299" s="21">
        <f ca="1">IF(CALC2223!BA299&gt;2,INDIRECT(ADDRESS(MATCH(Agenda2526!C300,'CAL4'!A:A,0)+2,3,4,1,"CAL4")),0)</f>
        <v>0</v>
      </c>
      <c r="Y299" s="20" t="str">
        <f ca="1">IF(CALC2223!BB299&gt;0,INDIRECT(ADDRESS(MATCH(Agenda2526!C300,'CAL5'!A:A,0),2,4,1,"CAL5")),"")</f>
        <v>tsweek: se econ / se nat</v>
      </c>
      <c r="Z299" s="21">
        <f ca="1">IF(CALC2223!BB299&gt;0,INDIRECT(ADDRESS(MATCH(Agenda2526!C300,'CAL5'!A:A,0),3,4,1,"CAL5")),0)</f>
        <v>45965</v>
      </c>
      <c r="AA299" s="20" t="str">
        <f ca="1">IF(CALC2223!BB299&gt;1,INDIRECT(ADDRESS(MATCH(Agenda2526!C300,'CAL5'!A:A,0)+1,2,4,1,"CAL5")),"")</f>
        <v/>
      </c>
      <c r="AB299" s="21">
        <f ca="1">IF(CALC2223!BB299&gt;1,INDIRECT(ADDRESS(MATCH(Agenda2526!C300,'CAL5'!A:A,0)+1,3,4,1,"CAL5")),0)</f>
        <v>0</v>
      </c>
      <c r="AC299" s="20" t="str">
        <f ca="1">IF(CALC2223!BB299&gt;2,INDIRECT(ADDRESS(MATCH(Agenda2526!C300,'CAL5'!A:A,0)+2,2,4,1,"CAL5")),"")</f>
        <v/>
      </c>
      <c r="AD299" s="21">
        <f ca="1">IF(CALC2223!BB299&gt;2,INDIRECT(ADDRESS(MATCH(Agenda2526!C300,'CAL5'!A:A,0)+2,3,4,1,"CAL5")),0)</f>
        <v>0</v>
      </c>
      <c r="AE299" s="20" t="str">
        <f ca="1">IF(CALC2223!BC299&gt;0,INDIRECT(ADDRESS(MATCH(Agenda2526!C300,'CAL6'!A:A,0),2,4,1,"CAL6")),"")</f>
        <v/>
      </c>
      <c r="AF299" s="21">
        <f ca="1">IF(CALC2223!BC299&gt;0,INDIRECT(ADDRESS(MATCH(Agenda2526!C300,'CAL6'!A:A,0),3,4,1,"CAL6")),0)</f>
        <v>0</v>
      </c>
      <c r="AG299" s="20" t="str">
        <f ca="1">IF(CALC2223!BC299&gt;1,INDIRECT(ADDRESS(MATCH(Agenda2526!C300,'CAL6'!A:A,0)+1,2,4,1,"CAL6")),"")</f>
        <v/>
      </c>
      <c r="AH299" s="21">
        <f ca="1">IF(CALC2223!BC299&gt;1,INDIRECT(ADDRESS(MATCH(Agenda2526!C300,'CAL6'!A:A,0)+1,3,4,1,"CAL6")),0)</f>
        <v>0</v>
      </c>
      <c r="AI299" s="20" t="str">
        <f ca="1">IF(CALC2223!BC299&gt;2,INDIRECT(ADDRESS(MATCH(Agenda2526!C300,'CAL6'!A:A,0)+2,2,4,1,"CAL6")),"")</f>
        <v/>
      </c>
      <c r="AJ299" s="21">
        <f ca="1">IF(CALC2223!BC299&gt;2,INDIRECT(ADDRESS(MATCH(Agenda2526!C300,'CAL6'!A:A,0)+2,3,4,1,"CAL6")),0)</f>
        <v>0</v>
      </c>
      <c r="AK299" s="20" t="str">
        <f ca="1">IF(CALC2223!BD299&gt;0,INDIRECT(ADDRESS(MATCH(Agenda2526!C300,'CAL7'!A:A,0),2,4,1,"CAL7")),"")</f>
        <v>mentorenactiviteit/borrel</v>
      </c>
      <c r="AL299" s="21">
        <f ca="1">IF(CALC2223!BD299&gt;0,INDIRECT(ADDRESS(MATCH(Agenda2526!C300,'CAL7'!A:A,0),3,4,1,"CAL7")),0)</f>
        <v>45896</v>
      </c>
      <c r="AM299" s="20" t="str">
        <f ca="1">IF(CALC2223!BD299&gt;1,INDIRECT(ADDRESS(MATCH(Agenda2526!C300,'CAL7'!A:A,0)+1,2,4,1,"CAL7")),"")</f>
        <v/>
      </c>
      <c r="AN299" s="21">
        <f ca="1">IF(CALC2223!BD299&gt;1,INDIRECT(ADDRESS(MATCH(Agenda2526!C300,'CAL7'!A:A,0)+1,3,4,1,"CAL7")),0)</f>
        <v>0</v>
      </c>
      <c r="AO299" s="20" t="str">
        <f ca="1">IF(CALC2223!BD299&gt;2,INDIRECT(ADDRESS(MATCH(Agenda2526!C300,'CAL7'!A:A,0)+2,2,4,1,"CAL7")),"")</f>
        <v/>
      </c>
      <c r="AP299" s="21">
        <f ca="1">IF(CALC2223!BD299&gt;2,INDIRECT(ADDRESS(MATCH(Agenda2526!C300,'CAL7'!A:A,0)+2,3,4,1,"CAL7")),0)</f>
        <v>0</v>
      </c>
      <c r="AQ299" s="20" t="str">
        <f ca="1">IF(CALC2223!BE299&gt;0,INDIRECT(ADDRESS(MATCH(Agenda2526!C300,'CAL8'!A:A,0),2,4,1,"CAL8")),"")</f>
        <v/>
      </c>
      <c r="AR299" s="21">
        <f ca="1">IF(CALC2223!BE299&gt;0,INDIRECT(ADDRESS(MATCH(Agenda2526!C300,'CAL8'!A:A,0),3,4,1,"CAL8")),0)</f>
        <v>0</v>
      </c>
      <c r="AS299" s="20" t="str">
        <f ca="1">IF(CALC2223!BE299&gt;1,INDIRECT(ADDRESS(MATCH(Agenda2526!C300,'CAL8'!A:A,0)+1,2,4,1,"CAL8")),"")</f>
        <v/>
      </c>
      <c r="AT299" s="21">
        <f ca="1">IF(CALC2223!BE299&gt;1,INDIRECT(ADDRESS(MATCH(Agenda2526!C300,'CAL8'!A:A,0)+1,3,4,1,"CAL8")),0)</f>
        <v>0</v>
      </c>
      <c r="AU299" s="20" t="str">
        <f ca="1">IF(CALC2223!BE299&gt;2,INDIRECT(ADDRESS(MATCH(Agenda2526!C300,'CAL8'!A:A,0)+2,2,4,1,"CAL8")),"")</f>
        <v/>
      </c>
      <c r="AV299" s="21">
        <f ca="1">IF(CALC2223!BE299&gt;2,INDIRECT(ADDRESS(MATCH(Agenda2526!C300,'CAL8'!A:A,0)+2,3,4,1,"CAL8")),0)</f>
        <v>0</v>
      </c>
      <c r="AW299" s="105"/>
      <c r="AX299" s="20">
        <f>COUNTIF('CAL1'!A:A,Agenda2526!C300)</f>
        <v>0</v>
      </c>
      <c r="AY299" s="20">
        <f>COUNTIF('CAL2'!A:A,Agenda2526!C300)</f>
        <v>0</v>
      </c>
      <c r="AZ299" s="20">
        <f>COUNTIF('CAL3'!A:A,Agenda2526!C300)</f>
        <v>1</v>
      </c>
      <c r="BA299" s="20">
        <f>COUNTIF('CAL4'!A:A,Agenda2526!C300)</f>
        <v>1</v>
      </c>
      <c r="BB299" s="20">
        <f>COUNTIF('CAL5'!A:A,Agenda2526!C300)</f>
        <v>1</v>
      </c>
      <c r="BC299" s="20">
        <f>COUNTIF('CAL6'!A:A,Agenda2526!C300)</f>
        <v>0</v>
      </c>
      <c r="BD299" s="20">
        <f>COUNTIF('CAL7'!A:A,Agenda2526!C300)</f>
        <v>1</v>
      </c>
      <c r="BE299" s="20">
        <f>COUNTIF('CAL8'!A:A,Agenda2526!C300)</f>
        <v>0</v>
      </c>
    </row>
    <row r="300" spans="1:57" ht="15.75" customHeight="1">
      <c r="A300" s="20" t="str">
        <f ca="1">IF(CALC2223!AX300&gt;0,INDIRECT(ADDRESS(MATCH(Agenda2526!C301,'CAL1'!A:A,0),2,4,1,"CAL1")),"")</f>
        <v/>
      </c>
      <c r="B300" s="21">
        <f ca="1">IF(CALC2223!AX300&gt;0,INDIRECT(ADDRESS(MATCH(Agenda2526!C301,'CAL1'!A:A,0),3,4,1,"CAL1")),0)</f>
        <v>0</v>
      </c>
      <c r="C300" s="20" t="str">
        <f ca="1">IF(CALC2223!AX300&gt;1,INDIRECT(ADDRESS(MATCH(Agenda2526!C301,'CAL1'!A:A,0)+1,2,4,1,"CAL1")),"")</f>
        <v/>
      </c>
      <c r="D300" s="21">
        <f ca="1">IF(CALC2223!AX300&gt;1,INDIRECT(ADDRESS(MATCH(Agenda2526!C301,'CAL1'!A:A,0)+1,3,4,1,"CAL1")),0)</f>
        <v>0</v>
      </c>
      <c r="E300" s="20" t="str">
        <f ca="1">IF(CALC2223!AX300&gt;2,INDIRECT(ADDRESS(MATCH(Agenda2526!C301,'CAL1'!A:A,0)+2,2,4,1,"CAL1")),"")</f>
        <v/>
      </c>
      <c r="F300" s="21">
        <f ca="1">IF(CALC2223!AX300&gt;2,INDIRECT(ADDRESS(MATCH(Agenda2526!C301,'CAL1'!A:A,0)+2,3,4,1,"CAL1")),0)</f>
        <v>0</v>
      </c>
      <c r="G300" s="20" t="str">
        <f ca="1">IF(CALC2223!AY300&gt;0,INDIRECT(ADDRESS(MATCH(Agenda2526!C301,'CAL2'!A:A,0),2,4,1,"CAL2")),"")</f>
        <v/>
      </c>
      <c r="H300" s="21">
        <f ca="1">IF(CALC2223!AY300&gt;0,INDIRECT(ADDRESS(MATCH(Agenda2526!C301,'CAL2'!A:A,0),3,4,1,"CAL2")),0)</f>
        <v>0</v>
      </c>
      <c r="I300" s="20" t="str">
        <f ca="1">IF(CALC2223!AY300&gt;1,INDIRECT(ADDRESS(MATCH(Agenda2526!C301,'CAL2'!A:A,0)+1,2,4,1,"CAL2")),"")</f>
        <v/>
      </c>
      <c r="J300" s="21">
        <f ca="1">IF(CALC2223!AY300&gt;1,INDIRECT(ADDRESS(MATCH(Agenda2526!C301,'CAL2'!A:A,0)+1,3,4,1,"CAL2")),0)</f>
        <v>0</v>
      </c>
      <c r="K300" s="20" t="str">
        <f ca="1">IF(CALC2223!AY300&gt;2,INDIRECT(ADDRESS(MATCH(Agenda2526!C301,'CAL2'!A:A,0)+2,2,4,1,"CAL2")),"")</f>
        <v/>
      </c>
      <c r="L300" s="21">
        <f ca="1">IF(CALC2223!AY300&gt;2,INDIRECT(ADDRESS(MATCH(Agenda2526!C301,'CAL2'!A:A,0)+2,3,4,1,"CAL2")),0)</f>
        <v>0</v>
      </c>
      <c r="M300" s="20" t="str">
        <f ca="1">IF(CALC2223!AZ300&gt;0,INDIRECT(ADDRESS(MATCH(Agenda2526!C301,'CAL3'!A:A,0),2,4,1,"CAL3")),"")</f>
        <v/>
      </c>
      <c r="N300" s="21">
        <f ca="1">IF(CALC2223!AZ300&gt;0,INDIRECT(ADDRESS(MATCH(Agenda2526!C301,'CAL3'!A:A,0),3,4,1,"CAL3")),0)</f>
        <v>0</v>
      </c>
      <c r="O300" s="20" t="str">
        <f ca="1">IF(CALC2223!AZ300&gt;1,INDIRECT(ADDRESS(MATCH(Agenda2526!C301,'CAL3'!A:A,0)+1,2,4,1,"CAL3")),"")</f>
        <v/>
      </c>
      <c r="P300" s="21">
        <f ca="1">IF(CALC2223!AZ300&gt;1,INDIRECT(ADDRESS(MATCH(Agenda2526!C301,'CAL3'!A:A,0)+1,3,4,1,"CAL3")),0)</f>
        <v>0</v>
      </c>
      <c r="Q300" s="20" t="str">
        <f ca="1">IF(CALC2223!AZ300&gt;2,INDIRECT(ADDRESS(MATCH(Agenda2526!C301,'CAL3'!A:A,0)+2,2,4,1,"CAL3")),"")</f>
        <v/>
      </c>
      <c r="R300" s="21">
        <f ca="1">IF(CALC2223!AZ300&gt;2,INDIRECT(ADDRESS(MATCH(Agenda2526!C301,'CAL3'!A:A,0)+2,3,4,1,"CAL3")),0)</f>
        <v>0</v>
      </c>
      <c r="S300" s="20" t="str">
        <f ca="1">IF(CALC2223!BA300&gt;0,INDIRECT(ADDRESS(MATCH(Agenda2526!C301,'CAL4'!A:A,0),2,4,1,"CAL4")),"")</f>
        <v>tsweek: rep nat / rep sptl</v>
      </c>
      <c r="T300" s="21">
        <f ca="1">IF(CALC2223!BA300&gt;0,INDIRECT(ADDRESS(MATCH(Agenda2526!C301,'CAL4'!A:A,0),3,4,1,"CAL4")),0)</f>
        <v>45965</v>
      </c>
      <c r="U300" s="20" t="str">
        <f ca="1">IF(CALC2223!BA300&gt;1,INDIRECT(ADDRESS(MATCH(Agenda2526!C301,'CAL4'!A:A,0)+1,2,4,1,"CAL4")),"")</f>
        <v/>
      </c>
      <c r="V300" s="21">
        <f ca="1">IF(CALC2223!BA300&gt;1,INDIRECT(ADDRESS(MATCH(Agenda2526!C301,'CAL4'!A:A,0)+1,3,4,1,"CAL4")),0)</f>
        <v>0</v>
      </c>
      <c r="W300" s="20" t="str">
        <f ca="1">IF(CALC2223!BA300&gt;2,INDIRECT(ADDRESS(MATCH(Agenda2526!C301,'CAL4'!A:A,0)+2,2,4,1,"CAL4")),"")</f>
        <v/>
      </c>
      <c r="X300" s="21">
        <f ca="1">IF(CALC2223!BA300&gt;2,INDIRECT(ADDRESS(MATCH(Agenda2526!C301,'CAL4'!A:A,0)+2,3,4,1,"CAL4")),0)</f>
        <v>0</v>
      </c>
      <c r="Y300" s="20" t="str">
        <f ca="1">IF(CALC2223!BB300&gt;0,INDIRECT(ADDRESS(MATCH(Agenda2526!C301,'CAL5'!A:A,0),2,4,1,"CAL5")),"")</f>
        <v>tsweek: se latl / se grtl</v>
      </c>
      <c r="Z300" s="21">
        <f ca="1">IF(CALC2223!BB300&gt;0,INDIRECT(ADDRESS(MATCH(Agenda2526!C301,'CAL5'!A:A,0),3,4,1,"CAL5")),0)</f>
        <v>45965</v>
      </c>
      <c r="AA300" s="20" t="str">
        <f ca="1">IF(CALC2223!BB300&gt;1,INDIRECT(ADDRESS(MATCH(Agenda2526!C301,'CAL5'!A:A,0)+1,2,4,1,"CAL5")),"")</f>
        <v/>
      </c>
      <c r="AB300" s="21">
        <f ca="1">IF(CALC2223!BB300&gt;1,INDIRECT(ADDRESS(MATCH(Agenda2526!C301,'CAL5'!A:A,0)+1,3,4,1,"CAL5")),0)</f>
        <v>0</v>
      </c>
      <c r="AC300" s="20" t="str">
        <f ca="1">IF(CALC2223!BB300&gt;2,INDIRECT(ADDRESS(MATCH(Agenda2526!C301,'CAL5'!A:A,0)+2,2,4,1,"CAL5")),"")</f>
        <v/>
      </c>
      <c r="AD300" s="21">
        <f ca="1">IF(CALC2223!BB300&gt;2,INDIRECT(ADDRESS(MATCH(Agenda2526!C301,'CAL5'!A:A,0)+2,3,4,1,"CAL5")),0)</f>
        <v>0</v>
      </c>
      <c r="AE300" s="20" t="str">
        <f ca="1">IF(CALC2223!BC300&gt;0,INDIRECT(ADDRESS(MATCH(Agenda2526!C301,'CAL6'!A:A,0),2,4,1,"CAL6")),"")</f>
        <v/>
      </c>
      <c r="AF300" s="21">
        <f ca="1">IF(CALC2223!BC300&gt;0,INDIRECT(ADDRESS(MATCH(Agenda2526!C301,'CAL6'!A:A,0),3,4,1,"CAL6")),0)</f>
        <v>0</v>
      </c>
      <c r="AG300" s="20" t="str">
        <f ca="1">IF(CALC2223!BC300&gt;1,INDIRECT(ADDRESS(MATCH(Agenda2526!C301,'CAL6'!A:A,0)+1,2,4,1,"CAL6")),"")</f>
        <v/>
      </c>
      <c r="AH300" s="21">
        <f ca="1">IF(CALC2223!BC300&gt;1,INDIRECT(ADDRESS(MATCH(Agenda2526!C301,'CAL6'!A:A,0)+1,3,4,1,"CAL6")),0)</f>
        <v>0</v>
      </c>
      <c r="AI300" s="20" t="str">
        <f ca="1">IF(CALC2223!BC300&gt;2,INDIRECT(ADDRESS(MATCH(Agenda2526!C301,'CAL6'!A:A,0)+2,2,4,1,"CAL6")),"")</f>
        <v/>
      </c>
      <c r="AJ300" s="21">
        <f ca="1">IF(CALC2223!BC300&gt;2,INDIRECT(ADDRESS(MATCH(Agenda2526!C301,'CAL6'!A:A,0)+2,3,4,1,"CAL6")),0)</f>
        <v>0</v>
      </c>
      <c r="AK300" s="20" t="str">
        <f ca="1">IF(CALC2223!BD300&gt;0,INDIRECT(ADDRESS(MATCH(Agenda2526!C301,'CAL7'!A:A,0),2,4,1,"CAL7")),"")</f>
        <v/>
      </c>
      <c r="AL300" s="21">
        <f ca="1">IF(CALC2223!BD300&gt;0,INDIRECT(ADDRESS(MATCH(Agenda2526!C301,'CAL7'!A:A,0),3,4,1,"CAL7")),0)</f>
        <v>0</v>
      </c>
      <c r="AM300" s="20" t="str">
        <f ca="1">IF(CALC2223!BD300&gt;1,INDIRECT(ADDRESS(MATCH(Agenda2526!C301,'CAL7'!A:A,0)+1,2,4,1,"CAL7")),"")</f>
        <v/>
      </c>
      <c r="AN300" s="21">
        <f ca="1">IF(CALC2223!BD300&gt;1,INDIRECT(ADDRESS(MATCH(Agenda2526!C301,'CAL7'!A:A,0)+1,3,4,1,"CAL7")),0)</f>
        <v>0</v>
      </c>
      <c r="AO300" s="20" t="str">
        <f ca="1">IF(CALC2223!BD300&gt;2,INDIRECT(ADDRESS(MATCH(Agenda2526!C301,'CAL7'!A:A,0)+2,2,4,1,"CAL7")),"")</f>
        <v/>
      </c>
      <c r="AP300" s="21">
        <f ca="1">IF(CALC2223!BD300&gt;2,INDIRECT(ADDRESS(MATCH(Agenda2526!C301,'CAL7'!A:A,0)+2,3,4,1,"CAL7")),0)</f>
        <v>0</v>
      </c>
      <c r="AQ300" s="20" t="str">
        <f ca="1">IF(CALC2223!BE300&gt;0,INDIRECT(ADDRESS(MATCH(Agenda2526!C301,'CAL8'!A:A,0),2,4,1,"CAL8")),"")</f>
        <v/>
      </c>
      <c r="AR300" s="21">
        <f ca="1">IF(CALC2223!BE300&gt;0,INDIRECT(ADDRESS(MATCH(Agenda2526!C301,'CAL8'!A:A,0),3,4,1,"CAL8")),0)</f>
        <v>0</v>
      </c>
      <c r="AS300" s="20" t="str">
        <f ca="1">IF(CALC2223!BE300&gt;1,INDIRECT(ADDRESS(MATCH(Agenda2526!C301,'CAL8'!A:A,0)+1,2,4,1,"CAL8")),"")</f>
        <v/>
      </c>
      <c r="AT300" s="21">
        <f ca="1">IF(CALC2223!BE300&gt;1,INDIRECT(ADDRESS(MATCH(Agenda2526!C301,'CAL8'!A:A,0)+1,3,4,1,"CAL8")),0)</f>
        <v>0</v>
      </c>
      <c r="AU300" s="20" t="str">
        <f ca="1">IF(CALC2223!BE300&gt;2,INDIRECT(ADDRESS(MATCH(Agenda2526!C301,'CAL8'!A:A,0)+2,2,4,1,"CAL8")),"")</f>
        <v/>
      </c>
      <c r="AV300" s="21">
        <f ca="1">IF(CALC2223!BE300&gt;2,INDIRECT(ADDRESS(MATCH(Agenda2526!C301,'CAL8'!A:A,0)+2,3,4,1,"CAL8")),0)</f>
        <v>0</v>
      </c>
      <c r="AW300" s="105"/>
      <c r="AX300" s="20">
        <f>COUNTIF('CAL1'!A:A,Agenda2526!C301)</f>
        <v>0</v>
      </c>
      <c r="AY300" s="20">
        <f>COUNTIF('CAL2'!A:A,Agenda2526!C301)</f>
        <v>0</v>
      </c>
      <c r="AZ300" s="20">
        <f>COUNTIF('CAL3'!A:A,Agenda2526!C301)</f>
        <v>0</v>
      </c>
      <c r="BA300" s="20">
        <f>COUNTIF('CAL4'!A:A,Agenda2526!C301)</f>
        <v>1</v>
      </c>
      <c r="BB300" s="20">
        <f>COUNTIF('CAL5'!A:A,Agenda2526!C301)</f>
        <v>1</v>
      </c>
      <c r="BC300" s="20">
        <f>COUNTIF('CAL6'!A:A,Agenda2526!C301)</f>
        <v>0</v>
      </c>
      <c r="BD300" s="20">
        <f>COUNTIF('CAL7'!A:A,Agenda2526!C301)</f>
        <v>0</v>
      </c>
      <c r="BE300" s="20">
        <f>COUNTIF('CAL8'!A:A,Agenda2526!C301)</f>
        <v>0</v>
      </c>
    </row>
    <row r="301" spans="1:57" ht="15.75" customHeight="1">
      <c r="A301" s="20" t="str">
        <f ca="1">IF(CALC2223!AX301&gt;0,INDIRECT(ADDRESS(MATCH(Agenda2526!C302,'CAL1'!A:A,0),2,4,1,"CAL1")),"")</f>
        <v/>
      </c>
      <c r="B301" s="21">
        <f ca="1">IF(CALC2223!AX301&gt;0,INDIRECT(ADDRESS(MATCH(Agenda2526!C302,'CAL1'!A:A,0),3,4,1,"CAL1")),0)</f>
        <v>0</v>
      </c>
      <c r="C301" s="20" t="str">
        <f ca="1">IF(CALC2223!AX301&gt;1,INDIRECT(ADDRESS(MATCH(Agenda2526!C302,'CAL1'!A:A,0)+1,2,4,1,"CAL1")),"")</f>
        <v/>
      </c>
      <c r="D301" s="21">
        <f ca="1">IF(CALC2223!AX301&gt;1,INDIRECT(ADDRESS(MATCH(Agenda2526!C302,'CAL1'!A:A,0)+1,3,4,1,"CAL1")),0)</f>
        <v>0</v>
      </c>
      <c r="E301" s="20" t="str">
        <f ca="1">IF(CALC2223!AX301&gt;2,INDIRECT(ADDRESS(MATCH(Agenda2526!C302,'CAL1'!A:A,0)+2,2,4,1,"CAL1")),"")</f>
        <v/>
      </c>
      <c r="F301" s="21">
        <f ca="1">IF(CALC2223!AX301&gt;2,INDIRECT(ADDRESS(MATCH(Agenda2526!C302,'CAL1'!A:A,0)+2,3,4,1,"CAL1")),0)</f>
        <v>0</v>
      </c>
      <c r="G301" s="20" t="str">
        <f ca="1">IF(CALC2223!AY301&gt;0,INDIRECT(ADDRESS(MATCH(Agenda2526!C302,'CAL2'!A:A,0),2,4,1,"CAL2")),"")</f>
        <v/>
      </c>
      <c r="H301" s="21">
        <f ca="1">IF(CALC2223!AY301&gt;0,INDIRECT(ADDRESS(MATCH(Agenda2526!C302,'CAL2'!A:A,0),3,4,1,"CAL2")),0)</f>
        <v>0</v>
      </c>
      <c r="I301" s="20" t="str">
        <f ca="1">IF(CALC2223!AY301&gt;1,INDIRECT(ADDRESS(MATCH(Agenda2526!C302,'CAL2'!A:A,0)+1,2,4,1,"CAL2")),"")</f>
        <v/>
      </c>
      <c r="J301" s="21">
        <f ca="1">IF(CALC2223!AY301&gt;1,INDIRECT(ADDRESS(MATCH(Agenda2526!C302,'CAL2'!A:A,0)+1,3,4,1,"CAL2")),0)</f>
        <v>0</v>
      </c>
      <c r="K301" s="20" t="str">
        <f ca="1">IF(CALC2223!AY301&gt;2,INDIRECT(ADDRESS(MATCH(Agenda2526!C302,'CAL2'!A:A,0)+2,2,4,1,"CAL2")),"")</f>
        <v/>
      </c>
      <c r="L301" s="21">
        <f ca="1">IF(CALC2223!AY301&gt;2,INDIRECT(ADDRESS(MATCH(Agenda2526!C302,'CAL2'!A:A,0)+2,3,4,1,"CAL2")),0)</f>
        <v>0</v>
      </c>
      <c r="M301" s="20" t="str">
        <f ca="1">IF(CALC2223!AZ301&gt;0,INDIRECT(ADDRESS(MATCH(Agenda2526!C302,'CAL3'!A:A,0),2,4,1,"CAL3")),"")</f>
        <v/>
      </c>
      <c r="N301" s="21">
        <f ca="1">IF(CALC2223!AZ301&gt;0,INDIRECT(ADDRESS(MATCH(Agenda2526!C302,'CAL3'!A:A,0),3,4,1,"CAL3")),0)</f>
        <v>0</v>
      </c>
      <c r="O301" s="20" t="str">
        <f ca="1">IF(CALC2223!AZ301&gt;1,INDIRECT(ADDRESS(MATCH(Agenda2526!C302,'CAL3'!A:A,0)+1,2,4,1,"CAL3")),"")</f>
        <v/>
      </c>
      <c r="P301" s="21">
        <f ca="1">IF(CALC2223!AZ301&gt;1,INDIRECT(ADDRESS(MATCH(Agenda2526!C302,'CAL3'!A:A,0)+1,3,4,1,"CAL3")),0)</f>
        <v>0</v>
      </c>
      <c r="Q301" s="20" t="str">
        <f ca="1">IF(CALC2223!AZ301&gt;2,INDIRECT(ADDRESS(MATCH(Agenda2526!C302,'CAL3'!A:A,0)+2,2,4,1,"CAL3")),"")</f>
        <v/>
      </c>
      <c r="R301" s="21">
        <f ca="1">IF(CALC2223!AZ301&gt;2,INDIRECT(ADDRESS(MATCH(Agenda2526!C302,'CAL3'!A:A,0)+2,3,4,1,"CAL3")),0)</f>
        <v>0</v>
      </c>
      <c r="S301" s="20" t="str">
        <f ca="1">IF(CALC2223!BA301&gt;0,INDIRECT(ADDRESS(MATCH(Agenda2526!C302,'CAL4'!A:A,0),2,4,1,"CAL4")),"")</f>
        <v/>
      </c>
      <c r="T301" s="21">
        <f ca="1">IF(CALC2223!BA301&gt;0,INDIRECT(ADDRESS(MATCH(Agenda2526!C302,'CAL4'!A:A,0),3,4,1,"CAL4")),0)</f>
        <v>0</v>
      </c>
      <c r="U301" s="20" t="str">
        <f ca="1">IF(CALC2223!BA301&gt;1,INDIRECT(ADDRESS(MATCH(Agenda2526!C302,'CAL4'!A:A,0)+1,2,4,1,"CAL4")),"")</f>
        <v/>
      </c>
      <c r="V301" s="21">
        <f ca="1">IF(CALC2223!BA301&gt;1,INDIRECT(ADDRESS(MATCH(Agenda2526!C302,'CAL4'!A:A,0)+1,3,4,1,"CAL4")),0)</f>
        <v>0</v>
      </c>
      <c r="W301" s="20" t="str">
        <f ca="1">IF(CALC2223!BA301&gt;2,INDIRECT(ADDRESS(MATCH(Agenda2526!C302,'CAL4'!A:A,0)+2,2,4,1,"CAL4")),"")</f>
        <v/>
      </c>
      <c r="X301" s="21">
        <f ca="1">IF(CALC2223!BA301&gt;2,INDIRECT(ADDRESS(MATCH(Agenda2526!C302,'CAL4'!A:A,0)+2,3,4,1,"CAL4")),0)</f>
        <v>0</v>
      </c>
      <c r="Y301" s="20" t="str">
        <f ca="1">IF(CALC2223!BB301&gt;0,INDIRECT(ADDRESS(MATCH(Agenda2526!C302,'CAL5'!A:A,0),2,4,1,"CAL5")),"")</f>
        <v/>
      </c>
      <c r="Z301" s="21">
        <f ca="1">IF(CALC2223!BB301&gt;0,INDIRECT(ADDRESS(MATCH(Agenda2526!C302,'CAL5'!A:A,0),3,4,1,"CAL5")),0)</f>
        <v>0</v>
      </c>
      <c r="AA301" s="20" t="str">
        <f ca="1">IF(CALC2223!BB301&gt;1,INDIRECT(ADDRESS(MATCH(Agenda2526!C302,'CAL5'!A:A,0)+1,2,4,1,"CAL5")),"")</f>
        <v/>
      </c>
      <c r="AB301" s="21">
        <f ca="1">IF(CALC2223!BB301&gt;1,INDIRECT(ADDRESS(MATCH(Agenda2526!C302,'CAL5'!A:A,0)+1,3,4,1,"CAL5")),0)</f>
        <v>0</v>
      </c>
      <c r="AC301" s="20" t="str">
        <f ca="1">IF(CALC2223!BB301&gt;2,INDIRECT(ADDRESS(MATCH(Agenda2526!C302,'CAL5'!A:A,0)+2,2,4,1,"CAL5")),"")</f>
        <v/>
      </c>
      <c r="AD301" s="21">
        <f ca="1">IF(CALC2223!BB301&gt;2,INDIRECT(ADDRESS(MATCH(Agenda2526!C302,'CAL5'!A:A,0)+2,3,4,1,"CAL5")),0)</f>
        <v>0</v>
      </c>
      <c r="AE301" s="20" t="str">
        <f ca="1">IF(CALC2223!BC301&gt;0,INDIRECT(ADDRESS(MATCH(Agenda2526!C302,'CAL6'!A:A,0),2,4,1,"CAL6")),"")</f>
        <v/>
      </c>
      <c r="AF301" s="21">
        <f ca="1">IF(CALC2223!BC301&gt;0,INDIRECT(ADDRESS(MATCH(Agenda2526!C302,'CAL6'!A:A,0),3,4,1,"CAL6")),0)</f>
        <v>0</v>
      </c>
      <c r="AG301" s="20" t="str">
        <f ca="1">IF(CALC2223!BC301&gt;1,INDIRECT(ADDRESS(MATCH(Agenda2526!C302,'CAL6'!A:A,0)+1,2,4,1,"CAL6")),"")</f>
        <v/>
      </c>
      <c r="AH301" s="21">
        <f ca="1">IF(CALC2223!BC301&gt;1,INDIRECT(ADDRESS(MATCH(Agenda2526!C302,'CAL6'!A:A,0)+1,3,4,1,"CAL6")),0)</f>
        <v>0</v>
      </c>
      <c r="AI301" s="20" t="str">
        <f ca="1">IF(CALC2223!BC301&gt;2,INDIRECT(ADDRESS(MATCH(Agenda2526!C302,'CAL6'!A:A,0)+2,2,4,1,"CAL6")),"")</f>
        <v/>
      </c>
      <c r="AJ301" s="21">
        <f ca="1">IF(CALC2223!BC301&gt;2,INDIRECT(ADDRESS(MATCH(Agenda2526!C302,'CAL6'!A:A,0)+2,3,4,1,"CAL6")),0)</f>
        <v>0</v>
      </c>
      <c r="AK301" s="20" t="str">
        <f ca="1">IF(CALC2223!BD301&gt;0,INDIRECT(ADDRESS(MATCH(Agenda2526!C302,'CAL7'!A:A,0),2,4,1,"CAL7")),"")</f>
        <v/>
      </c>
      <c r="AL301" s="21">
        <f ca="1">IF(CALC2223!BD301&gt;0,INDIRECT(ADDRESS(MATCH(Agenda2526!C302,'CAL7'!A:A,0),3,4,1,"CAL7")),0)</f>
        <v>0</v>
      </c>
      <c r="AM301" s="20" t="str">
        <f ca="1">IF(CALC2223!BD301&gt;1,INDIRECT(ADDRESS(MATCH(Agenda2526!C302,'CAL7'!A:A,0)+1,2,4,1,"CAL7")),"")</f>
        <v/>
      </c>
      <c r="AN301" s="21">
        <f ca="1">IF(CALC2223!BD301&gt;1,INDIRECT(ADDRESS(MATCH(Agenda2526!C302,'CAL7'!A:A,0)+1,3,4,1,"CAL7")),0)</f>
        <v>0</v>
      </c>
      <c r="AO301" s="20" t="str">
        <f ca="1">IF(CALC2223!BD301&gt;2,INDIRECT(ADDRESS(MATCH(Agenda2526!C302,'CAL7'!A:A,0)+2,2,4,1,"CAL7")),"")</f>
        <v/>
      </c>
      <c r="AP301" s="21">
        <f ca="1">IF(CALC2223!BD301&gt;2,INDIRECT(ADDRESS(MATCH(Agenda2526!C302,'CAL7'!A:A,0)+2,3,4,1,"CAL7")),0)</f>
        <v>0</v>
      </c>
      <c r="AQ301" s="20" t="str">
        <f ca="1">IF(CALC2223!BE301&gt;0,INDIRECT(ADDRESS(MATCH(Agenda2526!C302,'CAL8'!A:A,0),2,4,1,"CAL8")),"")</f>
        <v/>
      </c>
      <c r="AR301" s="21">
        <f ca="1">IF(CALC2223!BE301&gt;0,INDIRECT(ADDRESS(MATCH(Agenda2526!C302,'CAL8'!A:A,0),3,4,1,"CAL8")),0)</f>
        <v>0</v>
      </c>
      <c r="AS301" s="20" t="str">
        <f ca="1">IF(CALC2223!BE301&gt;1,INDIRECT(ADDRESS(MATCH(Agenda2526!C302,'CAL8'!A:A,0)+1,2,4,1,"CAL8")),"")</f>
        <v/>
      </c>
      <c r="AT301" s="21">
        <f ca="1">IF(CALC2223!BE301&gt;1,INDIRECT(ADDRESS(MATCH(Agenda2526!C302,'CAL8'!A:A,0)+1,3,4,1,"CAL8")),0)</f>
        <v>0</v>
      </c>
      <c r="AU301" s="20" t="str">
        <f ca="1">IF(CALC2223!BE301&gt;2,INDIRECT(ADDRESS(MATCH(Agenda2526!C302,'CAL8'!A:A,0)+2,2,4,1,"CAL8")),"")</f>
        <v/>
      </c>
      <c r="AV301" s="21">
        <f ca="1">IF(CALC2223!BE301&gt;2,INDIRECT(ADDRESS(MATCH(Agenda2526!C302,'CAL8'!A:A,0)+2,3,4,1,"CAL8")),0)</f>
        <v>0</v>
      </c>
      <c r="AW301" s="106"/>
      <c r="AX301" s="20">
        <f>COUNTIF('CAL1'!A:A,Agenda2526!C302)</f>
        <v>0</v>
      </c>
      <c r="AY301" s="20">
        <f>COUNTIF('CAL2'!A:A,Agenda2526!C302)</f>
        <v>0</v>
      </c>
      <c r="AZ301" s="20">
        <f>COUNTIF('CAL3'!A:A,Agenda2526!C302)</f>
        <v>0</v>
      </c>
      <c r="BA301" s="20">
        <f>COUNTIF('CAL4'!A:A,Agenda2526!C302)</f>
        <v>0</v>
      </c>
      <c r="BB301" s="20">
        <f>COUNTIF('CAL5'!A:A,Agenda2526!C302)</f>
        <v>0</v>
      </c>
      <c r="BC301" s="20">
        <f>COUNTIF('CAL6'!A:A,Agenda2526!C302)</f>
        <v>0</v>
      </c>
      <c r="BD301" s="20">
        <f>COUNTIF('CAL7'!A:A,Agenda2526!C302)</f>
        <v>0</v>
      </c>
      <c r="BE301" s="20">
        <f>COUNTIF('CAL8'!A:A,Agenda2526!C302)</f>
        <v>0</v>
      </c>
    </row>
    <row r="302" spans="1:57" ht="15.75" customHeight="1">
      <c r="A302" s="20" t="str">
        <f ca="1">IF(CALC2223!AX302&gt;0,INDIRECT(ADDRESS(MATCH(Agenda2526!C303,'CAL1'!A:A,0),2,4,1,"CAL1")),"")</f>
        <v/>
      </c>
      <c r="B302" s="21">
        <f ca="1">IF(CALC2223!AX302&gt;0,INDIRECT(ADDRESS(MATCH(Agenda2526!C303,'CAL1'!A:A,0),3,4,1,"CAL1")),0)</f>
        <v>0</v>
      </c>
      <c r="C302" s="20" t="str">
        <f ca="1">IF(CALC2223!AX302&gt;1,INDIRECT(ADDRESS(MATCH(Agenda2526!C303,'CAL1'!A:A,0)+1,2,4,1,"CAL1")),"")</f>
        <v/>
      </c>
      <c r="D302" s="21">
        <f ca="1">IF(CALC2223!AX302&gt;1,INDIRECT(ADDRESS(MATCH(Agenda2526!C303,'CAL1'!A:A,0)+1,3,4,1,"CAL1")),0)</f>
        <v>0</v>
      </c>
      <c r="E302" s="20" t="str">
        <f ca="1">IF(CALC2223!AX302&gt;2,INDIRECT(ADDRESS(MATCH(Agenda2526!C303,'CAL1'!A:A,0)+2,2,4,1,"CAL1")),"")</f>
        <v/>
      </c>
      <c r="F302" s="21">
        <f ca="1">IF(CALC2223!AX302&gt;2,INDIRECT(ADDRESS(MATCH(Agenda2526!C303,'CAL1'!A:A,0)+2,3,4,1,"CAL1")),0)</f>
        <v>0</v>
      </c>
      <c r="G302" s="20" t="str">
        <f ca="1">IF(CALC2223!AY302&gt;0,INDIRECT(ADDRESS(MATCH(Agenda2526!C303,'CAL2'!A:A,0),2,4,1,"CAL2")),"")</f>
        <v/>
      </c>
      <c r="H302" s="21">
        <f ca="1">IF(CALC2223!AY302&gt;0,INDIRECT(ADDRESS(MATCH(Agenda2526!C303,'CAL2'!A:A,0),3,4,1,"CAL2")),0)</f>
        <v>0</v>
      </c>
      <c r="I302" s="20" t="str">
        <f ca="1">IF(CALC2223!AY302&gt;1,INDIRECT(ADDRESS(MATCH(Agenda2526!C303,'CAL2'!A:A,0)+1,2,4,1,"CAL2")),"")</f>
        <v/>
      </c>
      <c r="J302" s="21">
        <f ca="1">IF(CALC2223!AY302&gt;1,INDIRECT(ADDRESS(MATCH(Agenda2526!C303,'CAL2'!A:A,0)+1,3,4,1,"CAL2")),0)</f>
        <v>0</v>
      </c>
      <c r="K302" s="20" t="str">
        <f ca="1">IF(CALC2223!AY302&gt;2,INDIRECT(ADDRESS(MATCH(Agenda2526!C303,'CAL2'!A:A,0)+2,2,4,1,"CAL2")),"")</f>
        <v/>
      </c>
      <c r="L302" s="21">
        <f ca="1">IF(CALC2223!AY302&gt;2,INDIRECT(ADDRESS(MATCH(Agenda2526!C303,'CAL2'!A:A,0)+2,3,4,1,"CAL2")),0)</f>
        <v>0</v>
      </c>
      <c r="M302" s="20" t="str">
        <f ca="1">IF(CALC2223!AZ302&gt;0,INDIRECT(ADDRESS(MATCH(Agenda2526!C303,'CAL3'!A:A,0),2,4,1,"CAL3")),"")</f>
        <v/>
      </c>
      <c r="N302" s="21">
        <f ca="1">IF(CALC2223!AZ302&gt;0,INDIRECT(ADDRESS(MATCH(Agenda2526!C303,'CAL3'!A:A,0),3,4,1,"CAL3")),0)</f>
        <v>0</v>
      </c>
      <c r="O302" s="20" t="str">
        <f ca="1">IF(CALC2223!AZ302&gt;1,INDIRECT(ADDRESS(MATCH(Agenda2526!C303,'CAL3'!A:A,0)+1,2,4,1,"CAL3")),"")</f>
        <v/>
      </c>
      <c r="P302" s="21">
        <f ca="1">IF(CALC2223!AZ302&gt;1,INDIRECT(ADDRESS(MATCH(Agenda2526!C303,'CAL3'!A:A,0)+1,3,4,1,"CAL3")),0)</f>
        <v>0</v>
      </c>
      <c r="Q302" s="20" t="str">
        <f ca="1">IF(CALC2223!AZ302&gt;2,INDIRECT(ADDRESS(MATCH(Agenda2526!C303,'CAL3'!A:A,0)+2,2,4,1,"CAL3")),"")</f>
        <v/>
      </c>
      <c r="R302" s="21">
        <f ca="1">IF(CALC2223!AZ302&gt;2,INDIRECT(ADDRESS(MATCH(Agenda2526!C303,'CAL3'!A:A,0)+2,3,4,1,"CAL3")),0)</f>
        <v>0</v>
      </c>
      <c r="S302" s="20" t="str">
        <f ca="1">IF(CALC2223!BA302&gt;0,INDIRECT(ADDRESS(MATCH(Agenda2526!C303,'CAL4'!A:A,0),2,4,1,"CAL4")),"")</f>
        <v/>
      </c>
      <c r="T302" s="21">
        <f ca="1">IF(CALC2223!BA302&gt;0,INDIRECT(ADDRESS(MATCH(Agenda2526!C303,'CAL4'!A:A,0),3,4,1,"CAL4")),0)</f>
        <v>0</v>
      </c>
      <c r="U302" s="20" t="str">
        <f ca="1">IF(CALC2223!BA302&gt;1,INDIRECT(ADDRESS(MATCH(Agenda2526!C303,'CAL4'!A:A,0)+1,2,4,1,"CAL4")),"")</f>
        <v/>
      </c>
      <c r="V302" s="21">
        <f ca="1">IF(CALC2223!BA302&gt;1,INDIRECT(ADDRESS(MATCH(Agenda2526!C303,'CAL4'!A:A,0)+1,3,4,1,"CAL4")),0)</f>
        <v>0</v>
      </c>
      <c r="W302" s="20" t="str">
        <f ca="1">IF(CALC2223!BA302&gt;2,INDIRECT(ADDRESS(MATCH(Agenda2526!C303,'CAL4'!A:A,0)+2,2,4,1,"CAL4")),"")</f>
        <v/>
      </c>
      <c r="X302" s="21">
        <f ca="1">IF(CALC2223!BA302&gt;2,INDIRECT(ADDRESS(MATCH(Agenda2526!C303,'CAL4'!A:A,0)+2,3,4,1,"CAL4")),0)</f>
        <v>0</v>
      </c>
      <c r="Y302" s="20" t="str">
        <f ca="1">IF(CALC2223!BB302&gt;0,INDIRECT(ADDRESS(MATCH(Agenda2526!C303,'CAL5'!A:A,0),2,4,1,"CAL5")),"")</f>
        <v/>
      </c>
      <c r="Z302" s="21">
        <f ca="1">IF(CALC2223!BB302&gt;0,INDIRECT(ADDRESS(MATCH(Agenda2526!C303,'CAL5'!A:A,0),3,4,1,"CAL5")),0)</f>
        <v>0</v>
      </c>
      <c r="AA302" s="20" t="str">
        <f ca="1">IF(CALC2223!BB302&gt;1,INDIRECT(ADDRESS(MATCH(Agenda2526!C303,'CAL5'!A:A,0)+1,2,4,1,"CAL5")),"")</f>
        <v/>
      </c>
      <c r="AB302" s="21">
        <f ca="1">IF(CALC2223!BB302&gt;1,INDIRECT(ADDRESS(MATCH(Agenda2526!C303,'CAL5'!A:A,0)+1,3,4,1,"CAL5")),0)</f>
        <v>0</v>
      </c>
      <c r="AC302" s="20" t="str">
        <f ca="1">IF(CALC2223!BB302&gt;2,INDIRECT(ADDRESS(MATCH(Agenda2526!C303,'CAL5'!A:A,0)+2,2,4,1,"CAL5")),"")</f>
        <v/>
      </c>
      <c r="AD302" s="21">
        <f ca="1">IF(CALC2223!BB302&gt;2,INDIRECT(ADDRESS(MATCH(Agenda2526!C303,'CAL5'!A:A,0)+2,3,4,1,"CAL5")),0)</f>
        <v>0</v>
      </c>
      <c r="AE302" s="20" t="str">
        <f ca="1">IF(CALC2223!BC302&gt;0,INDIRECT(ADDRESS(MATCH(Agenda2526!C303,'CAL6'!A:A,0),2,4,1,"CAL6")),"")</f>
        <v/>
      </c>
      <c r="AF302" s="21">
        <f ca="1">IF(CALC2223!BC302&gt;0,INDIRECT(ADDRESS(MATCH(Agenda2526!C303,'CAL6'!A:A,0),3,4,1,"CAL6")),0)</f>
        <v>0</v>
      </c>
      <c r="AG302" s="20" t="str">
        <f ca="1">IF(CALC2223!BC302&gt;1,INDIRECT(ADDRESS(MATCH(Agenda2526!C303,'CAL6'!A:A,0)+1,2,4,1,"CAL6")),"")</f>
        <v/>
      </c>
      <c r="AH302" s="21">
        <f ca="1">IF(CALC2223!BC302&gt;1,INDIRECT(ADDRESS(MATCH(Agenda2526!C303,'CAL6'!A:A,0)+1,3,4,1,"CAL6")),0)</f>
        <v>0</v>
      </c>
      <c r="AI302" s="20" t="str">
        <f ca="1">IF(CALC2223!BC302&gt;2,INDIRECT(ADDRESS(MATCH(Agenda2526!C303,'CAL6'!A:A,0)+2,2,4,1,"CAL6")),"")</f>
        <v/>
      </c>
      <c r="AJ302" s="21">
        <f ca="1">IF(CALC2223!BC302&gt;2,INDIRECT(ADDRESS(MATCH(Agenda2526!C303,'CAL6'!A:A,0)+2,3,4,1,"CAL6")),0)</f>
        <v>0</v>
      </c>
      <c r="AK302" s="20" t="str">
        <f ca="1">IF(CALC2223!BD302&gt;0,INDIRECT(ADDRESS(MATCH(Agenda2526!C303,'CAL7'!A:A,0),2,4,1,"CAL7")),"")</f>
        <v/>
      </c>
      <c r="AL302" s="21">
        <f ca="1">IF(CALC2223!BD302&gt;0,INDIRECT(ADDRESS(MATCH(Agenda2526!C303,'CAL7'!A:A,0),3,4,1,"CAL7")),0)</f>
        <v>0</v>
      </c>
      <c r="AM302" s="20" t="str">
        <f ca="1">IF(CALC2223!BD302&gt;1,INDIRECT(ADDRESS(MATCH(Agenda2526!C303,'CAL7'!A:A,0)+1,2,4,1,"CAL7")),"")</f>
        <v/>
      </c>
      <c r="AN302" s="21">
        <f ca="1">IF(CALC2223!BD302&gt;1,INDIRECT(ADDRESS(MATCH(Agenda2526!C303,'CAL7'!A:A,0)+1,3,4,1,"CAL7")),0)</f>
        <v>0</v>
      </c>
      <c r="AO302" s="20" t="str">
        <f ca="1">IF(CALC2223!BD302&gt;2,INDIRECT(ADDRESS(MATCH(Agenda2526!C303,'CAL7'!A:A,0)+2,2,4,1,"CAL7")),"")</f>
        <v/>
      </c>
      <c r="AP302" s="21">
        <f ca="1">IF(CALC2223!BD302&gt;2,INDIRECT(ADDRESS(MATCH(Agenda2526!C303,'CAL7'!A:A,0)+2,3,4,1,"CAL7")),0)</f>
        <v>0</v>
      </c>
      <c r="AQ302" s="20" t="str">
        <f ca="1">IF(CALC2223!BE302&gt;0,INDIRECT(ADDRESS(MATCH(Agenda2526!C303,'CAL8'!A:A,0),2,4,1,"CAL8")),"")</f>
        <v/>
      </c>
      <c r="AR302" s="21">
        <f ca="1">IF(CALC2223!BE302&gt;0,INDIRECT(ADDRESS(MATCH(Agenda2526!C303,'CAL8'!A:A,0),3,4,1,"CAL8")),0)</f>
        <v>0</v>
      </c>
      <c r="AS302" s="20" t="str">
        <f ca="1">IF(CALC2223!BE302&gt;1,INDIRECT(ADDRESS(MATCH(Agenda2526!C303,'CAL8'!A:A,0)+1,2,4,1,"CAL8")),"")</f>
        <v/>
      </c>
      <c r="AT302" s="21">
        <f ca="1">IF(CALC2223!BE302&gt;1,INDIRECT(ADDRESS(MATCH(Agenda2526!C303,'CAL8'!A:A,0)+1,3,4,1,"CAL8")),0)</f>
        <v>0</v>
      </c>
      <c r="AU302" s="20" t="str">
        <f ca="1">IF(CALC2223!BE302&gt;2,INDIRECT(ADDRESS(MATCH(Agenda2526!C303,'CAL8'!A:A,0)+2,2,4,1,"CAL8")),"")</f>
        <v/>
      </c>
      <c r="AV302" s="21">
        <f ca="1">IF(CALC2223!BE302&gt;2,INDIRECT(ADDRESS(MATCH(Agenda2526!C303,'CAL8'!A:A,0)+2,3,4,1,"CAL8")),0)</f>
        <v>0</v>
      </c>
      <c r="AW302" s="106"/>
      <c r="AX302" s="20">
        <f>COUNTIF('CAL1'!A:A,Agenda2526!C303)</f>
        <v>0</v>
      </c>
      <c r="AY302" s="20">
        <f>COUNTIF('CAL2'!A:A,Agenda2526!C303)</f>
        <v>0</v>
      </c>
      <c r="AZ302" s="20">
        <f>COUNTIF('CAL3'!A:A,Agenda2526!C303)</f>
        <v>0</v>
      </c>
      <c r="BA302" s="20">
        <f>COUNTIF('CAL4'!A:A,Agenda2526!C303)</f>
        <v>0</v>
      </c>
      <c r="BB302" s="20">
        <f>COUNTIF('CAL5'!A:A,Agenda2526!C303)</f>
        <v>0</v>
      </c>
      <c r="BC302" s="20">
        <f>COUNTIF('CAL6'!A:A,Agenda2526!C303)</f>
        <v>0</v>
      </c>
      <c r="BD302" s="20">
        <f>COUNTIF('CAL7'!A:A,Agenda2526!C303)</f>
        <v>0</v>
      </c>
      <c r="BE302" s="20">
        <f>COUNTIF('CAL8'!A:A,Agenda2526!C303)</f>
        <v>0</v>
      </c>
    </row>
    <row r="303" spans="1:57" ht="15.75" customHeight="1">
      <c r="A303" s="20" t="str">
        <f ca="1">IF(CALC2223!AX303&gt;0,INDIRECT(ADDRESS(MATCH(Agenda2526!C304,'CAL1'!A:A,0),2,4,1,"CAL1")),"")</f>
        <v>Rep LA</v>
      </c>
      <c r="B303" s="21">
        <f ca="1">IF(CALC2223!AX303&gt;0,INDIRECT(ADDRESS(MATCH(Agenda2526!C304,'CAL1'!A:A,0),3,4,1,"CAL1")),0)</f>
        <v>45896</v>
      </c>
      <c r="C303" s="20" t="str">
        <f ca="1">IF(CALC2223!AX303&gt;1,INDIRECT(ADDRESS(MATCH(Agenda2526!C304,'CAL1'!A:A,0)+1,2,4,1,"CAL1")),"")</f>
        <v/>
      </c>
      <c r="D303" s="21">
        <f ca="1">IF(CALC2223!AX303&gt;1,INDIRECT(ADDRESS(MATCH(Agenda2526!C304,'CAL1'!A:A,0)+1,3,4,1,"CAL1")),0)</f>
        <v>0</v>
      </c>
      <c r="E303" s="20" t="str">
        <f ca="1">IF(CALC2223!AX303&gt;2,INDIRECT(ADDRESS(MATCH(Agenda2526!C304,'CAL1'!A:A,0)+2,2,4,1,"CAL1")),"")</f>
        <v/>
      </c>
      <c r="F303" s="21">
        <f ca="1">IF(CALC2223!AX303&gt;2,INDIRECT(ADDRESS(MATCH(Agenda2526!C304,'CAL1'!A:A,0)+2,3,4,1,"CAL1")),0)</f>
        <v>0</v>
      </c>
      <c r="G303" s="20" t="str">
        <f ca="1">IF(CALC2223!AY303&gt;0,INDIRECT(ADDRESS(MATCH(Agenda2526!C304,'CAL2'!A:A,0),2,4,1,"CAL2")),"")</f>
        <v>Rep FA/WIS</v>
      </c>
      <c r="H303" s="21">
        <f ca="1">IF(CALC2223!AY303&gt;0,INDIRECT(ADDRESS(MATCH(Agenda2526!C304,'CAL2'!A:A,0),3,4,1,"CAL2")),0)</f>
        <v>45896</v>
      </c>
      <c r="I303" s="20" t="str">
        <f ca="1">IF(CALC2223!AY303&gt;1,INDIRECT(ADDRESS(MATCH(Agenda2526!C304,'CAL2'!A:A,0)+1,2,4,1,"CAL2")),"")</f>
        <v/>
      </c>
      <c r="J303" s="21">
        <f ca="1">IF(CALC2223!AY303&gt;1,INDIRECT(ADDRESS(MATCH(Agenda2526!C304,'CAL2'!A:A,0)+1,3,4,1,"CAL2")),0)</f>
        <v>0</v>
      </c>
      <c r="K303" s="20" t="str">
        <f ca="1">IF(CALC2223!AY303&gt;2,INDIRECT(ADDRESS(MATCH(Agenda2526!C304,'CAL2'!A:A,0)+2,2,4,1,"CAL2")),"")</f>
        <v/>
      </c>
      <c r="L303" s="21">
        <f ca="1">IF(CALC2223!AY303&gt;2,INDIRECT(ADDRESS(MATCH(Agenda2526!C304,'CAL2'!A:A,0)+2,3,4,1,"CAL2")),0)</f>
        <v>0</v>
      </c>
      <c r="M303" s="20" t="str">
        <f ca="1">IF(CALC2223!AZ303&gt;0,INDIRECT(ADDRESS(MATCH(Agenda2526!C304,'CAL3'!A:A,0),2,4,1,"CAL3")),"")</f>
        <v>Rep LA</v>
      </c>
      <c r="N303" s="21">
        <f ca="1">IF(CALC2223!AZ303&gt;0,INDIRECT(ADDRESS(MATCH(Agenda2526!C304,'CAL3'!A:A,0),3,4,1,"CAL3")),0)</f>
        <v>45896</v>
      </c>
      <c r="O303" s="20" t="str">
        <f ca="1">IF(CALC2223!AZ303&gt;1,INDIRECT(ADDRESS(MATCH(Agenda2526!C304,'CAL3'!A:A,0)+1,2,4,1,"CAL3")),"")</f>
        <v/>
      </c>
      <c r="P303" s="21">
        <f ca="1">IF(CALC2223!AZ303&gt;1,INDIRECT(ADDRESS(MATCH(Agenda2526!C304,'CAL3'!A:A,0)+1,3,4,1,"CAL3")),0)</f>
        <v>0</v>
      </c>
      <c r="Q303" s="20" t="str">
        <f ca="1">IF(CALC2223!AZ303&gt;2,INDIRECT(ADDRESS(MATCH(Agenda2526!C304,'CAL3'!A:A,0)+2,2,4,1,"CAL3")),"")</f>
        <v/>
      </c>
      <c r="R303" s="21">
        <f ca="1">IF(CALC2223!AZ303&gt;2,INDIRECT(ADDRESS(MATCH(Agenda2526!C304,'CAL3'!A:A,0)+2,3,4,1,"CAL3")),0)</f>
        <v>0</v>
      </c>
      <c r="S303" s="20" t="str">
        <f ca="1">IF(CALC2223!BA303&gt;0,INDIRECT(ADDRESS(MATCH(Agenda2526!C304,'CAL4'!A:A,0),2,4,1,"CAL4")),"")</f>
        <v>tsweek: rep ec / rep sk</v>
      </c>
      <c r="T303" s="21">
        <f ca="1">IF(CALC2223!BA303&gt;0,INDIRECT(ADDRESS(MATCH(Agenda2526!C304,'CAL4'!A:A,0),3,4,1,"CAL4")),0)</f>
        <v>45965</v>
      </c>
      <c r="U303" s="20" t="str">
        <f ca="1">IF(CALC2223!BA303&gt;1,INDIRECT(ADDRESS(MATCH(Agenda2526!C304,'CAL4'!A:A,0)+1,2,4,1,"CAL4")),"")</f>
        <v/>
      </c>
      <c r="V303" s="21">
        <f ca="1">IF(CALC2223!BA303&gt;1,INDIRECT(ADDRESS(MATCH(Agenda2526!C304,'CAL4'!A:A,0)+1,3,4,1,"CAL4")),0)</f>
        <v>0</v>
      </c>
      <c r="W303" s="20" t="str">
        <f ca="1">IF(CALC2223!BA303&gt;2,INDIRECT(ADDRESS(MATCH(Agenda2526!C304,'CAL4'!A:A,0)+2,2,4,1,"CAL4")),"")</f>
        <v/>
      </c>
      <c r="X303" s="21">
        <f ca="1">IF(CALC2223!BA303&gt;2,INDIRECT(ADDRESS(MATCH(Agenda2526!C304,'CAL4'!A:A,0)+2,3,4,1,"CAL4")),0)</f>
        <v>0</v>
      </c>
      <c r="Y303" s="20" t="str">
        <f ca="1">IF(CALC2223!BB303&gt;0,INDIRECT(ADDRESS(MATCH(Agenda2526!C304,'CAL5'!A:A,0),2,4,1,"CAL5")),"")</f>
        <v>tsweek: rep fatl / rep sptl</v>
      </c>
      <c r="Z303" s="21">
        <f ca="1">IF(CALC2223!BB303&gt;0,INDIRECT(ADDRESS(MATCH(Agenda2526!C304,'CAL5'!A:A,0),3,4,1,"CAL5")),0)</f>
        <v>45965</v>
      </c>
      <c r="AA303" s="20" t="str">
        <f ca="1">IF(CALC2223!BB303&gt;1,INDIRECT(ADDRESS(MATCH(Agenda2526!C304,'CAL5'!A:A,0)+1,2,4,1,"CAL5")),"")</f>
        <v/>
      </c>
      <c r="AB303" s="21">
        <f ca="1">IF(CALC2223!BB303&gt;1,INDIRECT(ADDRESS(MATCH(Agenda2526!C304,'CAL5'!A:A,0)+1,3,4,1,"CAL5")),0)</f>
        <v>0</v>
      </c>
      <c r="AC303" s="20" t="str">
        <f ca="1">IF(CALC2223!BB303&gt;2,INDIRECT(ADDRESS(MATCH(Agenda2526!C304,'CAL5'!A:A,0)+2,2,4,1,"CAL5")),"")</f>
        <v/>
      </c>
      <c r="AD303" s="21">
        <f ca="1">IF(CALC2223!BB303&gt;2,INDIRECT(ADDRESS(MATCH(Agenda2526!C304,'CAL5'!A:A,0)+2,3,4,1,"CAL5")),0)</f>
        <v>0</v>
      </c>
      <c r="AE303" s="20" t="str">
        <f ca="1">IF(CALC2223!BC303&gt;0,INDIRECT(ADDRESS(MATCH(Agenda2526!C304,'CAL6'!A:A,0),2,4,1,"CAL6")),"")</f>
        <v/>
      </c>
      <c r="AF303" s="21">
        <f ca="1">IF(CALC2223!BC303&gt;0,INDIRECT(ADDRESS(MATCH(Agenda2526!C304,'CAL6'!A:A,0),3,4,1,"CAL6")),0)</f>
        <v>0</v>
      </c>
      <c r="AG303" s="20" t="str">
        <f ca="1">IF(CALC2223!BC303&gt;1,INDIRECT(ADDRESS(MATCH(Agenda2526!C304,'CAL6'!A:A,0)+1,2,4,1,"CAL6")),"")</f>
        <v/>
      </c>
      <c r="AH303" s="21">
        <f ca="1">IF(CALC2223!BC303&gt;1,INDIRECT(ADDRESS(MATCH(Agenda2526!C304,'CAL6'!A:A,0)+1,3,4,1,"CAL6")),0)</f>
        <v>0</v>
      </c>
      <c r="AI303" s="20" t="str">
        <f ca="1">IF(CALC2223!BC303&gt;2,INDIRECT(ADDRESS(MATCH(Agenda2526!C304,'CAL6'!A:A,0)+2,2,4,1,"CAL6")),"")</f>
        <v/>
      </c>
      <c r="AJ303" s="21">
        <f ca="1">IF(CALC2223!BC303&gt;2,INDIRECT(ADDRESS(MATCH(Agenda2526!C304,'CAL6'!A:A,0)+2,3,4,1,"CAL6")),0)</f>
        <v>0</v>
      </c>
      <c r="AK303" s="20" t="str">
        <f ca="1">IF(CALC2223!BD303&gt;0,INDIRECT(ADDRESS(MATCH(Agenda2526!C304,'CAL7'!A:A,0),2,4,1,"CAL7")),"")</f>
        <v/>
      </c>
      <c r="AL303" s="21">
        <f ca="1">IF(CALC2223!BD303&gt;0,INDIRECT(ADDRESS(MATCH(Agenda2526!C304,'CAL7'!A:A,0),3,4,1,"CAL7")),0)</f>
        <v>0</v>
      </c>
      <c r="AM303" s="20" t="str">
        <f ca="1">IF(CALC2223!BD303&gt;1,INDIRECT(ADDRESS(MATCH(Agenda2526!C304,'CAL7'!A:A,0)+1,2,4,1,"CAL7")),"")</f>
        <v/>
      </c>
      <c r="AN303" s="21">
        <f ca="1">IF(CALC2223!BD303&gt;1,INDIRECT(ADDRESS(MATCH(Agenda2526!C304,'CAL7'!A:A,0)+1,3,4,1,"CAL7")),0)</f>
        <v>0</v>
      </c>
      <c r="AO303" s="20" t="str">
        <f ca="1">IF(CALC2223!BD303&gt;2,INDIRECT(ADDRESS(MATCH(Agenda2526!C304,'CAL7'!A:A,0)+2,2,4,1,"CAL7")),"")</f>
        <v/>
      </c>
      <c r="AP303" s="21">
        <f ca="1">IF(CALC2223!BD303&gt;2,INDIRECT(ADDRESS(MATCH(Agenda2526!C304,'CAL7'!A:A,0)+2,3,4,1,"CAL7")),0)</f>
        <v>0</v>
      </c>
      <c r="AQ303" s="20" t="str">
        <f ca="1">IF(CALC2223!BE303&gt;0,INDIRECT(ADDRESS(MATCH(Agenda2526!C304,'CAL8'!A:A,0),2,4,1,"CAL8")),"")</f>
        <v>toetsweek</v>
      </c>
      <c r="AR303" s="21">
        <f ca="1">IF(CALC2223!BE303&gt;0,INDIRECT(ADDRESS(MATCH(Agenda2526!C304,'CAL8'!A:A,0),3,4,1,"CAL8")),0)</f>
        <v>45896</v>
      </c>
      <c r="AS303" s="20" t="str">
        <f ca="1">IF(CALC2223!BE303&gt;1,INDIRECT(ADDRESS(MATCH(Agenda2526!C304,'CAL8'!A:A,0)+1,2,4,1,"CAL8")),"")</f>
        <v/>
      </c>
      <c r="AT303" s="21">
        <f ca="1">IF(CALC2223!BE303&gt;1,INDIRECT(ADDRESS(MATCH(Agenda2526!C304,'CAL8'!A:A,0)+1,3,4,1,"CAL8")),0)</f>
        <v>0</v>
      </c>
      <c r="AU303" s="20" t="str">
        <f ca="1">IF(CALC2223!BE303&gt;2,INDIRECT(ADDRESS(MATCH(Agenda2526!C304,'CAL8'!A:A,0)+2,2,4,1,"CAL8")),"")</f>
        <v/>
      </c>
      <c r="AV303" s="21">
        <f ca="1">IF(CALC2223!BE303&gt;2,INDIRECT(ADDRESS(MATCH(Agenda2526!C304,'CAL8'!A:A,0)+2,3,4,1,"CAL8")),0)</f>
        <v>0</v>
      </c>
      <c r="AW303" s="105"/>
      <c r="AX303" s="20">
        <f>COUNTIF('CAL1'!A:A,Agenda2526!C304)</f>
        <v>1</v>
      </c>
      <c r="AY303" s="20">
        <f>COUNTIF('CAL2'!A:A,Agenda2526!C304)</f>
        <v>1</v>
      </c>
      <c r="AZ303" s="20">
        <f>COUNTIF('CAL3'!A:A,Agenda2526!C304)</f>
        <v>1</v>
      </c>
      <c r="BA303" s="20">
        <f>COUNTIF('CAL4'!A:A,Agenda2526!C304)</f>
        <v>1</v>
      </c>
      <c r="BB303" s="20">
        <f>COUNTIF('CAL5'!A:A,Agenda2526!C304)</f>
        <v>1</v>
      </c>
      <c r="BC303" s="20">
        <f>COUNTIF('CAL6'!A:A,Agenda2526!C304)</f>
        <v>0</v>
      </c>
      <c r="BD303" s="20">
        <f>COUNTIF('CAL7'!A:A,Agenda2526!C304)</f>
        <v>0</v>
      </c>
      <c r="BE303" s="20">
        <f>COUNTIF('CAL8'!A:A,Agenda2526!C304)</f>
        <v>1</v>
      </c>
    </row>
    <row r="304" spans="1:57" ht="15.75" customHeight="1">
      <c r="A304" s="20" t="str">
        <f ca="1">IF(CALC2223!AX304&gt;0,INDIRECT(ADDRESS(MATCH(Agenda2526!C305,'CAL1'!A:A,0),2,4,1,"CAL1")),"")</f>
        <v>Rep WIS</v>
      </c>
      <c r="B304" s="21">
        <f ca="1">IF(CALC2223!AX304&gt;0,INDIRECT(ADDRESS(MATCH(Agenda2526!C305,'CAL1'!A:A,0),3,4,1,"CAL1")),0)</f>
        <v>45896</v>
      </c>
      <c r="C304" s="20" t="str">
        <f ca="1">IF(CALC2223!AX304&gt;1,INDIRECT(ADDRESS(MATCH(Agenda2526!C305,'CAL1'!A:A,0)+1,2,4,1,"CAL1")),"")</f>
        <v/>
      </c>
      <c r="D304" s="21">
        <f ca="1">IF(CALC2223!AX304&gt;1,INDIRECT(ADDRESS(MATCH(Agenda2526!C305,'CAL1'!A:A,0)+1,3,4,1,"CAL1")),0)</f>
        <v>0</v>
      </c>
      <c r="E304" s="20" t="str">
        <f ca="1">IF(CALC2223!AX304&gt;2,INDIRECT(ADDRESS(MATCH(Agenda2526!C305,'CAL1'!A:A,0)+2,2,4,1,"CAL1")),"")</f>
        <v/>
      </c>
      <c r="F304" s="21">
        <f ca="1">IF(CALC2223!AX304&gt;2,INDIRECT(ADDRESS(MATCH(Agenda2526!C305,'CAL1'!A:A,0)+2,3,4,1,"CAL1")),0)</f>
        <v>0</v>
      </c>
      <c r="G304" s="20" t="str">
        <f ca="1">IF(CALC2223!AY304&gt;0,INDIRECT(ADDRESS(MATCH(Agenda2526!C305,'CAL2'!A:A,0),2,4,1,"CAL2")),"")</f>
        <v>Rep GR</v>
      </c>
      <c r="H304" s="21">
        <f ca="1">IF(CALC2223!AY304&gt;0,INDIRECT(ADDRESS(MATCH(Agenda2526!C305,'CAL2'!A:A,0),3,4,1,"CAL2")),0)</f>
        <v>45896</v>
      </c>
      <c r="I304" s="20" t="str">
        <f ca="1">IF(CALC2223!AY304&gt;1,INDIRECT(ADDRESS(MATCH(Agenda2526!C305,'CAL2'!A:A,0)+1,2,4,1,"CAL2")),"")</f>
        <v/>
      </c>
      <c r="J304" s="21">
        <f ca="1">IF(CALC2223!AY304&gt;1,INDIRECT(ADDRESS(MATCH(Agenda2526!C305,'CAL2'!A:A,0)+1,3,4,1,"CAL2")),0)</f>
        <v>0</v>
      </c>
      <c r="K304" s="20" t="str">
        <f ca="1">IF(CALC2223!AY304&gt;2,INDIRECT(ADDRESS(MATCH(Agenda2526!C305,'CAL2'!A:A,0)+2,2,4,1,"CAL2")),"")</f>
        <v/>
      </c>
      <c r="L304" s="21">
        <f ca="1">IF(CALC2223!AY304&gt;2,INDIRECT(ADDRESS(MATCH(Agenda2526!C305,'CAL2'!A:A,0)+2,3,4,1,"CAL2")),0)</f>
        <v>0</v>
      </c>
      <c r="M304" s="20" t="str">
        <f ca="1">IF(CALC2223!AZ304&gt;0,INDIRECT(ADDRESS(MATCH(Agenda2526!C305,'CAL3'!A:A,0),2,4,1,"CAL3")),"")</f>
        <v>Rep WIS/EN</v>
      </c>
      <c r="N304" s="21">
        <f ca="1">IF(CALC2223!AZ304&gt;0,INDIRECT(ADDRESS(MATCH(Agenda2526!C305,'CAL3'!A:A,0),3,4,1,"CAL3")),0)</f>
        <v>45896</v>
      </c>
      <c r="O304" s="20" t="str">
        <f ca="1">IF(CALC2223!AZ304&gt;1,INDIRECT(ADDRESS(MATCH(Agenda2526!C305,'CAL3'!A:A,0)+1,2,4,1,"CAL3")),"")</f>
        <v/>
      </c>
      <c r="P304" s="21">
        <f ca="1">IF(CALC2223!AZ304&gt;1,INDIRECT(ADDRESS(MATCH(Agenda2526!C305,'CAL3'!A:A,0)+1,3,4,1,"CAL3")),0)</f>
        <v>0</v>
      </c>
      <c r="Q304" s="20" t="str">
        <f ca="1">IF(CALC2223!AZ304&gt;2,INDIRECT(ADDRESS(MATCH(Agenda2526!C305,'CAL3'!A:A,0)+2,2,4,1,"CAL3")),"")</f>
        <v/>
      </c>
      <c r="R304" s="21">
        <f ca="1">IF(CALC2223!AZ304&gt;2,INDIRECT(ADDRESS(MATCH(Agenda2526!C305,'CAL3'!A:A,0)+2,3,4,1,"CAL3")),0)</f>
        <v>0</v>
      </c>
      <c r="S304" s="20" t="str">
        <f ca="1">IF(CALC2223!BA304&gt;0,INDIRECT(ADDRESS(MATCH(Agenda2526!C305,'CAL4'!A:A,0),2,4,1,"CAL4")),"")</f>
        <v>tsweek: rep entl</v>
      </c>
      <c r="T304" s="21">
        <f ca="1">IF(CALC2223!BA304&gt;0,INDIRECT(ADDRESS(MATCH(Agenda2526!C305,'CAL4'!A:A,0),3,4,1,"CAL4")),0)</f>
        <v>45965</v>
      </c>
      <c r="U304" s="20" t="str">
        <f ca="1">IF(CALC2223!BA304&gt;1,INDIRECT(ADDRESS(MATCH(Agenda2526!C305,'CAL4'!A:A,0)+1,2,4,1,"CAL4")),"")</f>
        <v/>
      </c>
      <c r="V304" s="21">
        <f ca="1">IF(CALC2223!BA304&gt;1,INDIRECT(ADDRESS(MATCH(Agenda2526!C305,'CAL4'!A:A,0)+1,3,4,1,"CAL4")),0)</f>
        <v>0</v>
      </c>
      <c r="W304" s="20" t="str">
        <f ca="1">IF(CALC2223!BA304&gt;2,INDIRECT(ADDRESS(MATCH(Agenda2526!C305,'CAL4'!A:A,0)+2,2,4,1,"CAL4")),"")</f>
        <v/>
      </c>
      <c r="X304" s="21">
        <f ca="1">IF(CALC2223!BA304&gt;2,INDIRECT(ADDRESS(MATCH(Agenda2526!C305,'CAL4'!A:A,0)+2,3,4,1,"CAL4")),0)</f>
        <v>0</v>
      </c>
      <c r="Y304" s="20" t="str">
        <f ca="1">IF(CALC2223!BB304&gt;0,INDIRECT(ADDRESS(MATCH(Agenda2526!C305,'CAL5'!A:A,0),2,4,1,"CAL5")),"")</f>
        <v xml:space="preserve">tsweek: rep dutl / se wisabc </v>
      </c>
      <c r="Z304" s="21">
        <f ca="1">IF(CALC2223!BB304&gt;0,INDIRECT(ADDRESS(MATCH(Agenda2526!C305,'CAL5'!A:A,0),3,4,1,"CAL5")),0)</f>
        <v>45965</v>
      </c>
      <c r="AA304" s="20" t="str">
        <f ca="1">IF(CALC2223!BB304&gt;1,INDIRECT(ADDRESS(MATCH(Agenda2526!C305,'CAL5'!A:A,0)+1,2,4,1,"CAL5")),"")</f>
        <v/>
      </c>
      <c r="AB304" s="21">
        <f ca="1">IF(CALC2223!BB304&gt;1,INDIRECT(ADDRESS(MATCH(Agenda2526!C305,'CAL5'!A:A,0)+1,3,4,1,"CAL5")),0)</f>
        <v>0</v>
      </c>
      <c r="AC304" s="20" t="str">
        <f ca="1">IF(CALC2223!BB304&gt;2,INDIRECT(ADDRESS(MATCH(Agenda2526!C305,'CAL5'!A:A,0)+2,2,4,1,"CAL5")),"")</f>
        <v/>
      </c>
      <c r="AD304" s="21">
        <f ca="1">IF(CALC2223!BB304&gt;2,INDIRECT(ADDRESS(MATCH(Agenda2526!C305,'CAL5'!A:A,0)+2,3,4,1,"CAL5")),0)</f>
        <v>0</v>
      </c>
      <c r="AE304" s="20" t="str">
        <f ca="1">IF(CALC2223!BC304&gt;0,INDIRECT(ADDRESS(MATCH(Agenda2526!C305,'CAL6'!A:A,0),2,4,1,"CAL6")),"")</f>
        <v>uitslag CE2</v>
      </c>
      <c r="AF304" s="21">
        <f ca="1">IF(CALC2223!BC304&gt;0,INDIRECT(ADDRESS(MATCH(Agenda2526!C305,'CAL6'!A:A,0),3,4,1,"CAL6")),0)</f>
        <v>45896</v>
      </c>
      <c r="AG304" s="20" t="str">
        <f ca="1">IF(CALC2223!BC304&gt;1,INDIRECT(ADDRESS(MATCH(Agenda2526!C305,'CAL6'!A:A,0)+1,2,4,1,"CAL6")),"")</f>
        <v/>
      </c>
      <c r="AH304" s="21">
        <f ca="1">IF(CALC2223!BC304&gt;1,INDIRECT(ADDRESS(MATCH(Agenda2526!C305,'CAL6'!A:A,0)+1,3,4,1,"CAL6")),0)</f>
        <v>0</v>
      </c>
      <c r="AI304" s="20" t="str">
        <f ca="1">IF(CALC2223!BC304&gt;2,INDIRECT(ADDRESS(MATCH(Agenda2526!C305,'CAL6'!A:A,0)+2,2,4,1,"CAL6")),"")</f>
        <v/>
      </c>
      <c r="AJ304" s="21">
        <f ca="1">IF(CALC2223!BC304&gt;2,INDIRECT(ADDRESS(MATCH(Agenda2526!C305,'CAL6'!A:A,0)+2,3,4,1,"CAL6")),0)</f>
        <v>0</v>
      </c>
      <c r="AK304" s="20" t="str">
        <f ca="1">IF(CALC2223!BD304&gt;0,INDIRECT(ADDRESS(MATCH(Agenda2526!C305,'CAL7'!A:A,0),2,4,1,"CAL7")),"")</f>
        <v/>
      </c>
      <c r="AL304" s="21">
        <f ca="1">IF(CALC2223!BD304&gt;0,INDIRECT(ADDRESS(MATCH(Agenda2526!C305,'CAL7'!A:A,0),3,4,1,"CAL7")),0)</f>
        <v>0</v>
      </c>
      <c r="AM304" s="20" t="str">
        <f ca="1">IF(CALC2223!BD304&gt;1,INDIRECT(ADDRESS(MATCH(Agenda2526!C305,'CAL7'!A:A,0)+1,2,4,1,"CAL7")),"")</f>
        <v/>
      </c>
      <c r="AN304" s="21">
        <f ca="1">IF(CALC2223!BD304&gt;1,INDIRECT(ADDRESS(MATCH(Agenda2526!C305,'CAL7'!A:A,0)+1,3,4,1,"CAL7")),0)</f>
        <v>0</v>
      </c>
      <c r="AO304" s="20" t="str">
        <f ca="1">IF(CALC2223!BD304&gt;2,INDIRECT(ADDRESS(MATCH(Agenda2526!C305,'CAL7'!A:A,0)+2,2,4,1,"CAL7")),"")</f>
        <v/>
      </c>
      <c r="AP304" s="21">
        <f ca="1">IF(CALC2223!BD304&gt;2,INDIRECT(ADDRESS(MATCH(Agenda2526!C305,'CAL7'!A:A,0)+2,3,4,1,"CAL7")),0)</f>
        <v>0</v>
      </c>
      <c r="AQ304" s="20" t="str">
        <f ca="1">IF(CALC2223!BE304&gt;0,INDIRECT(ADDRESS(MATCH(Agenda2526!C305,'CAL8'!A:A,0),2,4,1,"CAL8")),"")</f>
        <v/>
      </c>
      <c r="AR304" s="21">
        <f ca="1">IF(CALC2223!BE304&gt;0,INDIRECT(ADDRESS(MATCH(Agenda2526!C305,'CAL8'!A:A,0),3,4,1,"CAL8")),0)</f>
        <v>0</v>
      </c>
      <c r="AS304" s="20" t="str">
        <f ca="1">IF(CALC2223!BE304&gt;1,INDIRECT(ADDRESS(MATCH(Agenda2526!C305,'CAL8'!A:A,0)+1,2,4,1,"CAL8")),"")</f>
        <v/>
      </c>
      <c r="AT304" s="21">
        <f ca="1">IF(CALC2223!BE304&gt;1,INDIRECT(ADDRESS(MATCH(Agenda2526!C305,'CAL8'!A:A,0)+1,3,4,1,"CAL8")),0)</f>
        <v>0</v>
      </c>
      <c r="AU304" s="20" t="str">
        <f ca="1">IF(CALC2223!BE304&gt;2,INDIRECT(ADDRESS(MATCH(Agenda2526!C305,'CAL8'!A:A,0)+2,2,4,1,"CAL8")),"")</f>
        <v/>
      </c>
      <c r="AV304" s="21">
        <f ca="1">IF(CALC2223!BE304&gt;2,INDIRECT(ADDRESS(MATCH(Agenda2526!C305,'CAL8'!A:A,0)+2,3,4,1,"CAL8")),0)</f>
        <v>0</v>
      </c>
      <c r="AW304" s="105"/>
      <c r="AX304" s="20">
        <f>COUNTIF('CAL1'!A:A,Agenda2526!C305)</f>
        <v>1</v>
      </c>
      <c r="AY304" s="20">
        <f>COUNTIF('CAL2'!A:A,Agenda2526!C305)</f>
        <v>1</v>
      </c>
      <c r="AZ304" s="20">
        <f>COUNTIF('CAL3'!A:A,Agenda2526!C305)</f>
        <v>1</v>
      </c>
      <c r="BA304" s="20">
        <f>COUNTIF('CAL4'!A:A,Agenda2526!C305)</f>
        <v>1</v>
      </c>
      <c r="BB304" s="20">
        <f>COUNTIF('CAL5'!A:A,Agenda2526!C305)</f>
        <v>1</v>
      </c>
      <c r="BC304" s="20">
        <f>COUNTIF('CAL6'!A:A,Agenda2526!C305)</f>
        <v>1</v>
      </c>
      <c r="BD304" s="20">
        <f>COUNTIF('CAL7'!A:A,Agenda2526!C305)</f>
        <v>0</v>
      </c>
      <c r="BE304" s="20">
        <f>COUNTIF('CAL8'!A:A,Agenda2526!C305)</f>
        <v>0</v>
      </c>
    </row>
    <row r="305" spans="1:57" ht="15.75" customHeight="1">
      <c r="A305" s="20" t="str">
        <f ca="1">IF(CALC2223!AX305&gt;0,INDIRECT(ADDRESS(MATCH(Agenda2526!C306,'CAL1'!A:A,0),2,4,1,"CAL1")),"")</f>
        <v>Rep FA</v>
      </c>
      <c r="B305" s="21">
        <f ca="1">IF(CALC2223!AX305&gt;0,INDIRECT(ADDRESS(MATCH(Agenda2526!C306,'CAL1'!A:A,0),3,4,1,"CAL1")),0)</f>
        <v>45896</v>
      </c>
      <c r="C305" s="20" t="str">
        <f ca="1">IF(CALC2223!AX305&gt;1,INDIRECT(ADDRESS(MATCH(Agenda2526!C306,'CAL1'!A:A,0)+1,2,4,1,"CAL1")),"")</f>
        <v/>
      </c>
      <c r="D305" s="21">
        <f ca="1">IF(CALC2223!AX305&gt;1,INDIRECT(ADDRESS(MATCH(Agenda2526!C306,'CAL1'!A:A,0)+1,3,4,1,"CAL1")),0)</f>
        <v>0</v>
      </c>
      <c r="E305" s="20" t="str">
        <f ca="1">IF(CALC2223!AX305&gt;2,INDIRECT(ADDRESS(MATCH(Agenda2526!C306,'CAL1'!A:A,0)+2,2,4,1,"CAL1")),"")</f>
        <v/>
      </c>
      <c r="F305" s="21">
        <f ca="1">IF(CALC2223!AX305&gt;2,INDIRECT(ADDRESS(MATCH(Agenda2526!C306,'CAL1'!A:A,0)+2,3,4,1,"CAL1")),0)</f>
        <v>0</v>
      </c>
      <c r="G305" s="20" t="str">
        <f ca="1">IF(CALC2223!AY305&gt;0,INDIRECT(ADDRESS(MATCH(Agenda2526!C306,'CAL2'!A:A,0),2,4,1,"CAL2")),"")</f>
        <v>Rep NA/DUI</v>
      </c>
      <c r="H305" s="21">
        <f ca="1">IF(CALC2223!AY305&gt;0,INDIRECT(ADDRESS(MATCH(Agenda2526!C306,'CAL2'!A:A,0),3,4,1,"CAL2")),0)</f>
        <v>45896</v>
      </c>
      <c r="I305" s="20" t="str">
        <f ca="1">IF(CALC2223!AY305&gt;1,INDIRECT(ADDRESS(MATCH(Agenda2526!C306,'CAL2'!A:A,0)+1,2,4,1,"CAL2")),"")</f>
        <v/>
      </c>
      <c r="J305" s="21">
        <f ca="1">IF(CALC2223!AY305&gt;1,INDIRECT(ADDRESS(MATCH(Agenda2526!C306,'CAL2'!A:A,0)+1,3,4,1,"CAL2")),0)</f>
        <v>0</v>
      </c>
      <c r="K305" s="20" t="str">
        <f ca="1">IF(CALC2223!AY305&gt;2,INDIRECT(ADDRESS(MATCH(Agenda2526!C306,'CAL2'!A:A,0)+2,2,4,1,"CAL2")),"")</f>
        <v/>
      </c>
      <c r="L305" s="21">
        <f ca="1">IF(CALC2223!AY305&gt;2,INDIRECT(ADDRESS(MATCH(Agenda2526!C306,'CAL2'!A:A,0)+2,3,4,1,"CAL2")),0)</f>
        <v>0</v>
      </c>
      <c r="M305" s="20" t="str">
        <f ca="1">IF(CALC2223!AZ305&gt;0,INDIRECT(ADDRESS(MATCH(Agenda2526!C306,'CAL3'!A:A,0),2,4,1,"CAL3")),"")</f>
        <v>Rep NA/FA</v>
      </c>
      <c r="N305" s="21">
        <f ca="1">IF(CALC2223!AZ305&gt;0,INDIRECT(ADDRESS(MATCH(Agenda2526!C306,'CAL3'!A:A,0),3,4,1,"CAL3")),0)</f>
        <v>45896</v>
      </c>
      <c r="O305" s="20" t="str">
        <f ca="1">IF(CALC2223!AZ305&gt;1,INDIRECT(ADDRESS(MATCH(Agenda2526!C306,'CAL3'!A:A,0)+1,2,4,1,"CAL3")),"")</f>
        <v/>
      </c>
      <c r="P305" s="21">
        <f ca="1">IF(CALC2223!AZ305&gt;1,INDIRECT(ADDRESS(MATCH(Agenda2526!C306,'CAL3'!A:A,0)+1,3,4,1,"CAL3")),0)</f>
        <v>0</v>
      </c>
      <c r="Q305" s="20" t="str">
        <f ca="1">IF(CALC2223!AZ305&gt;2,INDIRECT(ADDRESS(MATCH(Agenda2526!C306,'CAL3'!A:A,0)+2,2,4,1,"CAL3")),"")</f>
        <v/>
      </c>
      <c r="R305" s="21">
        <f ca="1">IF(CALC2223!AZ305&gt;2,INDIRECT(ADDRESS(MATCH(Agenda2526!C306,'CAL3'!A:A,0)+2,3,4,1,"CAL3")),0)</f>
        <v>0</v>
      </c>
      <c r="S305" s="20" t="str">
        <f ca="1">IF(CALC2223!BA305&gt;0,INDIRECT(ADDRESS(MATCH(Agenda2526!C306,'CAL4'!A:A,0),2,4,1,"CAL4")),"")</f>
        <v>tsweek: rep beco / rep dutl / rep fatl</v>
      </c>
      <c r="T305" s="21">
        <f ca="1">IF(CALC2223!BA305&gt;0,INDIRECT(ADDRESS(MATCH(Agenda2526!C306,'CAL4'!A:A,0),3,4,1,"CAL4")),0)</f>
        <v>45965</v>
      </c>
      <c r="U305" s="20" t="str">
        <f ca="1">IF(CALC2223!BA305&gt;1,INDIRECT(ADDRESS(MATCH(Agenda2526!C306,'CAL4'!A:A,0)+1,2,4,1,"CAL4")),"")</f>
        <v/>
      </c>
      <c r="V305" s="21">
        <f ca="1">IF(CALC2223!BA305&gt;1,INDIRECT(ADDRESS(MATCH(Agenda2526!C306,'CAL4'!A:A,0)+1,3,4,1,"CAL4")),0)</f>
        <v>0</v>
      </c>
      <c r="W305" s="20" t="str">
        <f ca="1">IF(CALC2223!BA305&gt;2,INDIRECT(ADDRESS(MATCH(Agenda2526!C306,'CAL4'!A:A,0)+2,2,4,1,"CAL4")),"")</f>
        <v/>
      </c>
      <c r="X305" s="21">
        <f ca="1">IF(CALC2223!BA305&gt;2,INDIRECT(ADDRESS(MATCH(Agenda2526!C306,'CAL4'!A:A,0)+2,3,4,1,"CAL4")),0)</f>
        <v>0</v>
      </c>
      <c r="Y305" s="20" t="str">
        <f ca="1">IF(CALC2223!BB305&gt;0,INDIRECT(ADDRESS(MATCH(Agenda2526!C306,'CAL5'!A:A,0),2,4,1,"CAL5")),"")</f>
        <v>tsweek: se ak / se beco / se fi / se wid</v>
      </c>
      <c r="Z305" s="21">
        <f ca="1">IF(CALC2223!BB305&gt;0,INDIRECT(ADDRESS(MATCH(Agenda2526!C306,'CAL5'!A:A,0),3,4,1,"CAL5")),0)</f>
        <v>45965</v>
      </c>
      <c r="AA305" s="20" t="str">
        <f ca="1">IF(CALC2223!BB305&gt;1,INDIRECT(ADDRESS(MATCH(Agenda2526!C306,'CAL5'!A:A,0)+1,2,4,1,"CAL5")),"")</f>
        <v/>
      </c>
      <c r="AB305" s="21">
        <f ca="1">IF(CALC2223!BB305&gt;1,INDIRECT(ADDRESS(MATCH(Agenda2526!C306,'CAL5'!A:A,0)+1,3,4,1,"CAL5")),0)</f>
        <v>0</v>
      </c>
      <c r="AC305" s="20" t="str">
        <f ca="1">IF(CALC2223!BB305&gt;2,INDIRECT(ADDRESS(MATCH(Agenda2526!C306,'CAL5'!A:A,0)+2,2,4,1,"CAL5")),"")</f>
        <v/>
      </c>
      <c r="AD305" s="21">
        <f ca="1">IF(CALC2223!BB305&gt;2,INDIRECT(ADDRESS(MATCH(Agenda2526!C306,'CAL5'!A:A,0)+2,3,4,1,"CAL5")),0)</f>
        <v>0</v>
      </c>
      <c r="AE305" s="20" t="str">
        <f ca="1">IF(CALC2223!BC305&gt;0,INDIRECT(ADDRESS(MATCH(Agenda2526!C306,'CAL6'!A:A,0),2,4,1,"CAL6")),"")</f>
        <v/>
      </c>
      <c r="AF305" s="21">
        <f ca="1">IF(CALC2223!BC305&gt;0,INDIRECT(ADDRESS(MATCH(Agenda2526!C306,'CAL6'!A:A,0),3,4,1,"CAL6")),0)</f>
        <v>0</v>
      </c>
      <c r="AG305" s="20" t="str">
        <f ca="1">IF(CALC2223!BC305&gt;1,INDIRECT(ADDRESS(MATCH(Agenda2526!C306,'CAL6'!A:A,0)+1,2,4,1,"CAL6")),"")</f>
        <v/>
      </c>
      <c r="AH305" s="21">
        <f ca="1">IF(CALC2223!BC305&gt;1,INDIRECT(ADDRESS(MATCH(Agenda2526!C306,'CAL6'!A:A,0)+1,3,4,1,"CAL6")),0)</f>
        <v>0</v>
      </c>
      <c r="AI305" s="20" t="str">
        <f ca="1">IF(CALC2223!BC305&gt;2,INDIRECT(ADDRESS(MATCH(Agenda2526!C306,'CAL6'!A:A,0)+2,2,4,1,"CAL6")),"")</f>
        <v/>
      </c>
      <c r="AJ305" s="21">
        <f ca="1">IF(CALC2223!BC305&gt;2,INDIRECT(ADDRESS(MATCH(Agenda2526!C306,'CAL6'!A:A,0)+2,3,4,1,"CAL6")),0)</f>
        <v>0</v>
      </c>
      <c r="AK305" s="20" t="str">
        <f ca="1">IF(CALC2223!BD305&gt;0,INDIRECT(ADDRESS(MATCH(Agenda2526!C306,'CAL7'!A:A,0),2,4,1,"CAL7")),"")</f>
        <v/>
      </c>
      <c r="AL305" s="21">
        <f ca="1">IF(CALC2223!BD305&gt;0,INDIRECT(ADDRESS(MATCH(Agenda2526!C306,'CAL7'!A:A,0),3,4,1,"CAL7")),0)</f>
        <v>0</v>
      </c>
      <c r="AM305" s="20" t="str">
        <f ca="1">IF(CALC2223!BD305&gt;1,INDIRECT(ADDRESS(MATCH(Agenda2526!C306,'CAL7'!A:A,0)+1,2,4,1,"CAL7")),"")</f>
        <v/>
      </c>
      <c r="AN305" s="21">
        <f ca="1">IF(CALC2223!BD305&gt;1,INDIRECT(ADDRESS(MATCH(Agenda2526!C306,'CAL7'!A:A,0)+1,3,4,1,"CAL7")),0)</f>
        <v>0</v>
      </c>
      <c r="AO305" s="20" t="str">
        <f ca="1">IF(CALC2223!BD305&gt;2,INDIRECT(ADDRESS(MATCH(Agenda2526!C306,'CAL7'!A:A,0)+2,2,4,1,"CAL7")),"")</f>
        <v/>
      </c>
      <c r="AP305" s="21">
        <f ca="1">IF(CALC2223!BD305&gt;2,INDIRECT(ADDRESS(MATCH(Agenda2526!C306,'CAL7'!A:A,0)+2,3,4,1,"CAL7")),0)</f>
        <v>0</v>
      </c>
      <c r="AQ305" s="20" t="str">
        <f ca="1">IF(CALC2223!BE305&gt;0,INDIRECT(ADDRESS(MATCH(Agenda2526!C306,'CAL8'!A:A,0),2,4,1,"CAL8")),"")</f>
        <v/>
      </c>
      <c r="AR305" s="21">
        <f ca="1">IF(CALC2223!BE305&gt;0,INDIRECT(ADDRESS(MATCH(Agenda2526!C306,'CAL8'!A:A,0),3,4,1,"CAL8")),0)</f>
        <v>0</v>
      </c>
      <c r="AS305" s="20" t="str">
        <f ca="1">IF(CALC2223!BE305&gt;1,INDIRECT(ADDRESS(MATCH(Agenda2526!C306,'CAL8'!A:A,0)+1,2,4,1,"CAL8")),"")</f>
        <v/>
      </c>
      <c r="AT305" s="21">
        <f ca="1">IF(CALC2223!BE305&gt;1,INDIRECT(ADDRESS(MATCH(Agenda2526!C306,'CAL8'!A:A,0)+1,3,4,1,"CAL8")),0)</f>
        <v>0</v>
      </c>
      <c r="AU305" s="20" t="str">
        <f ca="1">IF(CALC2223!BE305&gt;2,INDIRECT(ADDRESS(MATCH(Agenda2526!C306,'CAL8'!A:A,0)+2,2,4,1,"CAL8")),"")</f>
        <v/>
      </c>
      <c r="AV305" s="21">
        <f ca="1">IF(CALC2223!BE305&gt;2,INDIRECT(ADDRESS(MATCH(Agenda2526!C306,'CAL8'!A:A,0)+2,3,4,1,"CAL8")),0)</f>
        <v>0</v>
      </c>
      <c r="AW305" s="105"/>
      <c r="AX305" s="20">
        <f>COUNTIF('CAL1'!A:A,Agenda2526!C306)</f>
        <v>1</v>
      </c>
      <c r="AY305" s="20">
        <f>COUNTIF('CAL2'!A:A,Agenda2526!C306)</f>
        <v>1</v>
      </c>
      <c r="AZ305" s="20">
        <f>COUNTIF('CAL3'!A:A,Agenda2526!C306)</f>
        <v>1</v>
      </c>
      <c r="BA305" s="20">
        <f>COUNTIF('CAL4'!A:A,Agenda2526!C306)</f>
        <v>1</v>
      </c>
      <c r="BB305" s="20">
        <f>COUNTIF('CAL5'!A:A,Agenda2526!C306)</f>
        <v>1</v>
      </c>
      <c r="BC305" s="20">
        <f>COUNTIF('CAL6'!A:A,Agenda2526!C306)</f>
        <v>0</v>
      </c>
      <c r="BD305" s="20">
        <f>COUNTIF('CAL7'!A:A,Agenda2526!C306)</f>
        <v>0</v>
      </c>
      <c r="BE305" s="20">
        <f>COUNTIF('CAL8'!A:A,Agenda2526!C306)</f>
        <v>0</v>
      </c>
    </row>
    <row r="306" spans="1:57" ht="15.75" customHeight="1">
      <c r="A306" s="20" t="str">
        <f ca="1">IF(CALC2223!AX306&gt;0,INDIRECT(ADDRESS(MATCH(Agenda2526!C307,'CAL1'!A:A,0),2,4,1,"CAL1")),"")</f>
        <v>Rep EN</v>
      </c>
      <c r="B306" s="21">
        <f ca="1">IF(CALC2223!AX306&gt;0,INDIRECT(ADDRESS(MATCH(Agenda2526!C307,'CAL1'!A:A,0),3,4,1,"CAL1")),0)</f>
        <v>45896</v>
      </c>
      <c r="C306" s="20" t="str">
        <f ca="1">IF(CALC2223!AX306&gt;1,INDIRECT(ADDRESS(MATCH(Agenda2526!C307,'CAL1'!A:A,0)+1,2,4,1,"CAL1")),"")</f>
        <v/>
      </c>
      <c r="D306" s="21">
        <f ca="1">IF(CALC2223!AX306&gt;1,INDIRECT(ADDRESS(MATCH(Agenda2526!C307,'CAL1'!A:A,0)+1,3,4,1,"CAL1")),0)</f>
        <v>0</v>
      </c>
      <c r="E306" s="20" t="str">
        <f ca="1">IF(CALC2223!AX306&gt;2,INDIRECT(ADDRESS(MATCH(Agenda2526!C307,'CAL1'!A:A,0)+2,2,4,1,"CAL1")),"")</f>
        <v/>
      </c>
      <c r="F306" s="21">
        <f ca="1">IF(CALC2223!AX306&gt;2,INDIRECT(ADDRESS(MATCH(Agenda2526!C307,'CAL1'!A:A,0)+2,3,4,1,"CAL1")),0)</f>
        <v>0</v>
      </c>
      <c r="G306" s="20" t="str">
        <f ca="1">IF(CALC2223!AY306&gt;0,INDIRECT(ADDRESS(MATCH(Agenda2526!C307,'CAL2'!A:A,0),2,4,1,"CAL2")),"")</f>
        <v>Rep EN</v>
      </c>
      <c r="H306" s="21">
        <f ca="1">IF(CALC2223!AY306&gt;0,INDIRECT(ADDRESS(MATCH(Agenda2526!C307,'CAL2'!A:A,0),3,4,1,"CAL2")),0)</f>
        <v>45896</v>
      </c>
      <c r="I306" s="20" t="str">
        <f ca="1">IF(CALC2223!AY306&gt;1,INDIRECT(ADDRESS(MATCH(Agenda2526!C307,'CAL2'!A:A,0)+1,2,4,1,"CAL2")),"")</f>
        <v/>
      </c>
      <c r="J306" s="21">
        <f ca="1">IF(CALC2223!AY306&gt;1,INDIRECT(ADDRESS(MATCH(Agenda2526!C307,'CAL2'!A:A,0)+1,3,4,1,"CAL2")),0)</f>
        <v>0</v>
      </c>
      <c r="K306" s="20" t="str">
        <f ca="1">IF(CALC2223!AY306&gt;2,INDIRECT(ADDRESS(MATCH(Agenda2526!C307,'CAL2'!A:A,0)+2,2,4,1,"CAL2")),"")</f>
        <v/>
      </c>
      <c r="L306" s="21">
        <f ca="1">IF(CALC2223!AY306&gt;2,INDIRECT(ADDRESS(MATCH(Agenda2526!C307,'CAL2'!A:A,0)+2,3,4,1,"CAL2")),0)</f>
        <v>0</v>
      </c>
      <c r="M306" s="20" t="str">
        <f ca="1">IF(CALC2223!AZ306&gt;0,INDIRECT(ADDRESS(MATCH(Agenda2526!C307,'CAL3'!A:A,0),2,4,1,"CAL3")),"")</f>
        <v>Rep GR</v>
      </c>
      <c r="N306" s="21">
        <f ca="1">IF(CALC2223!AZ306&gt;0,INDIRECT(ADDRESS(MATCH(Agenda2526!C307,'CAL3'!A:A,0),3,4,1,"CAL3")),0)</f>
        <v>45896</v>
      </c>
      <c r="O306" s="20" t="str">
        <f ca="1">IF(CALC2223!AZ306&gt;1,INDIRECT(ADDRESS(MATCH(Agenda2526!C307,'CAL3'!A:A,0)+1,2,4,1,"CAL3")),"")</f>
        <v/>
      </c>
      <c r="P306" s="21">
        <f ca="1">IF(CALC2223!AZ306&gt;1,INDIRECT(ADDRESS(MATCH(Agenda2526!C307,'CAL3'!A:A,0)+1,3,4,1,"CAL3")),0)</f>
        <v>0</v>
      </c>
      <c r="Q306" s="20" t="str">
        <f ca="1">IF(CALC2223!AZ306&gt;2,INDIRECT(ADDRESS(MATCH(Agenda2526!C307,'CAL3'!A:A,0)+2,2,4,1,"CAL3")),"")</f>
        <v/>
      </c>
      <c r="R306" s="21">
        <f ca="1">IF(CALC2223!AZ306&gt;2,INDIRECT(ADDRESS(MATCH(Agenda2526!C307,'CAL3'!A:A,0)+2,3,4,1,"CAL3")),0)</f>
        <v>0</v>
      </c>
      <c r="S306" s="20" t="str">
        <f ca="1">IF(CALC2223!BA306&gt;0,INDIRECT(ADDRESS(MATCH(Agenda2526!C307,'CAL4'!A:A,0),2,4,1,"CAL4")),"")</f>
        <v>tsweek: rep biol</v>
      </c>
      <c r="T306" s="21">
        <f ca="1">IF(CALC2223!BA306&gt;0,INDIRECT(ADDRESS(MATCH(Agenda2526!C307,'CAL4'!A:A,0),3,4,1,"CAL4")),0)</f>
        <v>45965</v>
      </c>
      <c r="U306" s="20" t="str">
        <f ca="1">IF(CALC2223!BA306&gt;1,INDIRECT(ADDRESS(MATCH(Agenda2526!C307,'CAL4'!A:A,0)+1,2,4,1,"CAL4")),"")</f>
        <v/>
      </c>
      <c r="V306" s="21">
        <f ca="1">IF(CALC2223!BA306&gt;1,INDIRECT(ADDRESS(MATCH(Agenda2526!C307,'CAL4'!A:A,0)+1,3,4,1,"CAL4")),0)</f>
        <v>0</v>
      </c>
      <c r="W306" s="20" t="str">
        <f ca="1">IF(CALC2223!BA306&gt;2,INDIRECT(ADDRESS(MATCH(Agenda2526!C307,'CAL4'!A:A,0)+2,2,4,1,"CAL4")),"")</f>
        <v/>
      </c>
      <c r="X306" s="21">
        <f ca="1">IF(CALC2223!BA306&gt;2,INDIRECT(ADDRESS(MATCH(Agenda2526!C307,'CAL4'!A:A,0)+2,3,4,1,"CAL4")),0)</f>
        <v>0</v>
      </c>
      <c r="Y306" s="20" t="str">
        <f ca="1">IF(CALC2223!BB306&gt;0,INDIRECT(ADDRESS(MATCH(Agenda2526!C307,'CAL5'!A:A,0),2,4,1,"CAL5")),"")</f>
        <v>tsweek: se gs / rep sk</v>
      </c>
      <c r="Z306" s="21">
        <f ca="1">IF(CALC2223!BB306&gt;0,INDIRECT(ADDRESS(MATCH(Agenda2526!C307,'CAL5'!A:A,0),3,4,1,"CAL5")),0)</f>
        <v>45965</v>
      </c>
      <c r="AA306" s="20" t="str">
        <f ca="1">IF(CALC2223!BB306&gt;1,INDIRECT(ADDRESS(MATCH(Agenda2526!C307,'CAL5'!A:A,0)+1,2,4,1,"CAL5")),"")</f>
        <v/>
      </c>
      <c r="AB306" s="21">
        <f ca="1">IF(CALC2223!BB306&gt;1,INDIRECT(ADDRESS(MATCH(Agenda2526!C307,'CAL5'!A:A,0)+1,3,4,1,"CAL5")),0)</f>
        <v>0</v>
      </c>
      <c r="AC306" s="20" t="str">
        <f ca="1">IF(CALC2223!BB306&gt;2,INDIRECT(ADDRESS(MATCH(Agenda2526!C307,'CAL5'!A:A,0)+2,2,4,1,"CAL5")),"")</f>
        <v/>
      </c>
      <c r="AD306" s="21">
        <f ca="1">IF(CALC2223!BB306&gt;2,INDIRECT(ADDRESS(MATCH(Agenda2526!C307,'CAL5'!A:A,0)+2,3,4,1,"CAL5")),0)</f>
        <v>0</v>
      </c>
      <c r="AE306" s="20" t="str">
        <f ca="1">IF(CALC2223!BC306&gt;0,INDIRECT(ADDRESS(MATCH(Agenda2526!C307,'CAL6'!A:A,0),2,4,1,"CAL6")),"")</f>
        <v/>
      </c>
      <c r="AF306" s="21">
        <f ca="1">IF(CALC2223!BC306&gt;0,INDIRECT(ADDRESS(MATCH(Agenda2526!C307,'CAL6'!A:A,0),3,4,1,"CAL6")),0)</f>
        <v>0</v>
      </c>
      <c r="AG306" s="20" t="str">
        <f ca="1">IF(CALC2223!BC306&gt;1,INDIRECT(ADDRESS(MATCH(Agenda2526!C307,'CAL6'!A:A,0)+1,2,4,1,"CAL6")),"")</f>
        <v/>
      </c>
      <c r="AH306" s="21">
        <f ca="1">IF(CALC2223!BC306&gt;1,INDIRECT(ADDRESS(MATCH(Agenda2526!C307,'CAL6'!A:A,0)+1,3,4,1,"CAL6")),0)</f>
        <v>0</v>
      </c>
      <c r="AI306" s="20" t="str">
        <f ca="1">IF(CALC2223!BC306&gt;2,INDIRECT(ADDRESS(MATCH(Agenda2526!C307,'CAL6'!A:A,0)+2,2,4,1,"CAL6")),"")</f>
        <v/>
      </c>
      <c r="AJ306" s="21">
        <f ca="1">IF(CALC2223!BC306&gt;2,INDIRECT(ADDRESS(MATCH(Agenda2526!C307,'CAL6'!A:A,0)+2,3,4,1,"CAL6")),0)</f>
        <v>0</v>
      </c>
      <c r="AK306" s="20" t="str">
        <f ca="1">IF(CALC2223!BD306&gt;0,INDIRECT(ADDRESS(MATCH(Agenda2526!C307,'CAL7'!A:A,0),2,4,1,"CAL7")),"")</f>
        <v/>
      </c>
      <c r="AL306" s="21">
        <f ca="1">IF(CALC2223!BD306&gt;0,INDIRECT(ADDRESS(MATCH(Agenda2526!C307,'CAL7'!A:A,0),3,4,1,"CAL7")),0)</f>
        <v>0</v>
      </c>
      <c r="AM306" s="20" t="str">
        <f ca="1">IF(CALC2223!BD306&gt;1,INDIRECT(ADDRESS(MATCH(Agenda2526!C307,'CAL7'!A:A,0)+1,2,4,1,"CAL7")),"")</f>
        <v/>
      </c>
      <c r="AN306" s="21">
        <f ca="1">IF(CALC2223!BD306&gt;1,INDIRECT(ADDRESS(MATCH(Agenda2526!C307,'CAL7'!A:A,0)+1,3,4,1,"CAL7")),0)</f>
        <v>0</v>
      </c>
      <c r="AO306" s="20" t="str">
        <f ca="1">IF(CALC2223!BD306&gt;2,INDIRECT(ADDRESS(MATCH(Agenda2526!C307,'CAL7'!A:A,0)+2,2,4,1,"CAL7")),"")</f>
        <v/>
      </c>
      <c r="AP306" s="21">
        <f ca="1">IF(CALC2223!BD306&gt;2,INDIRECT(ADDRESS(MATCH(Agenda2526!C307,'CAL7'!A:A,0)+2,3,4,1,"CAL7")),0)</f>
        <v>0</v>
      </c>
      <c r="AQ306" s="20" t="str">
        <f ca="1">IF(CALC2223!BE306&gt;0,INDIRECT(ADDRESS(MATCH(Agenda2526!C307,'CAL8'!A:A,0),2,4,1,"CAL8")),"")</f>
        <v/>
      </c>
      <c r="AR306" s="21">
        <f ca="1">IF(CALC2223!BE306&gt;0,INDIRECT(ADDRESS(MATCH(Agenda2526!C307,'CAL8'!A:A,0),3,4,1,"CAL8")),0)</f>
        <v>0</v>
      </c>
      <c r="AS306" s="20" t="str">
        <f ca="1">IF(CALC2223!BE306&gt;1,INDIRECT(ADDRESS(MATCH(Agenda2526!C307,'CAL8'!A:A,0)+1,2,4,1,"CAL8")),"")</f>
        <v/>
      </c>
      <c r="AT306" s="21">
        <f ca="1">IF(CALC2223!BE306&gt;1,INDIRECT(ADDRESS(MATCH(Agenda2526!C307,'CAL8'!A:A,0)+1,3,4,1,"CAL8")),0)</f>
        <v>0</v>
      </c>
      <c r="AU306" s="20" t="str">
        <f ca="1">IF(CALC2223!BE306&gt;2,INDIRECT(ADDRESS(MATCH(Agenda2526!C307,'CAL8'!A:A,0)+2,2,4,1,"CAL8")),"")</f>
        <v/>
      </c>
      <c r="AV306" s="21">
        <f ca="1">IF(CALC2223!BE306&gt;2,INDIRECT(ADDRESS(MATCH(Agenda2526!C307,'CAL8'!A:A,0)+2,3,4,1,"CAL8")),0)</f>
        <v>0</v>
      </c>
      <c r="AW306" s="105"/>
      <c r="AX306" s="20">
        <f>COUNTIF('CAL1'!A:A,Agenda2526!C307)</f>
        <v>1</v>
      </c>
      <c r="AY306" s="20">
        <f>COUNTIF('CAL2'!A:A,Agenda2526!C307)</f>
        <v>1</v>
      </c>
      <c r="AZ306" s="20">
        <f>COUNTIF('CAL3'!A:A,Agenda2526!C307)</f>
        <v>1</v>
      </c>
      <c r="BA306" s="20">
        <f>COUNTIF('CAL4'!A:A,Agenda2526!C307)</f>
        <v>1</v>
      </c>
      <c r="BB306" s="20">
        <f>COUNTIF('CAL5'!A:A,Agenda2526!C307)</f>
        <v>1</v>
      </c>
      <c r="BC306" s="20">
        <f>COUNTIF('CAL6'!A:A,Agenda2526!C307)</f>
        <v>0</v>
      </c>
      <c r="BD306" s="20">
        <f>COUNTIF('CAL7'!A:A,Agenda2526!C307)</f>
        <v>0</v>
      </c>
      <c r="BE306" s="20">
        <f>COUNTIF('CAL8'!A:A,Agenda2526!C307)</f>
        <v>0</v>
      </c>
    </row>
    <row r="307" spans="1:57" ht="15.75" customHeight="1">
      <c r="A307" s="20" t="str">
        <f ca="1">IF(CALC2223!AX307&gt;0,INDIRECT(ADDRESS(MATCH(Agenda2526!C308,'CAL1'!A:A,0),2,4,1,"CAL1")),"")</f>
        <v/>
      </c>
      <c r="B307" s="21">
        <f ca="1">IF(CALC2223!AX307&gt;0,INDIRECT(ADDRESS(MATCH(Agenda2526!C308,'CAL1'!A:A,0),3,4,1,"CAL1")),0)</f>
        <v>0</v>
      </c>
      <c r="C307" s="20" t="str">
        <f ca="1">IF(CALC2223!AX307&gt;1,INDIRECT(ADDRESS(MATCH(Agenda2526!C308,'CAL1'!A:A,0)+1,2,4,1,"CAL1")),"")</f>
        <v/>
      </c>
      <c r="D307" s="21">
        <f ca="1">IF(CALC2223!AX307&gt;1,INDIRECT(ADDRESS(MATCH(Agenda2526!C308,'CAL1'!A:A,0)+1,3,4,1,"CAL1")),0)</f>
        <v>0</v>
      </c>
      <c r="E307" s="20" t="str">
        <f ca="1">IF(CALC2223!AX307&gt;2,INDIRECT(ADDRESS(MATCH(Agenda2526!C308,'CAL1'!A:A,0)+2,2,4,1,"CAL1")),"")</f>
        <v/>
      </c>
      <c r="F307" s="21">
        <f ca="1">IF(CALC2223!AX307&gt;2,INDIRECT(ADDRESS(MATCH(Agenda2526!C308,'CAL1'!A:A,0)+2,3,4,1,"CAL1")),0)</f>
        <v>0</v>
      </c>
      <c r="G307" s="20" t="str">
        <f ca="1">IF(CALC2223!AY307&gt;0,INDIRECT(ADDRESS(MATCH(Agenda2526!C308,'CAL2'!A:A,0),2,4,1,"CAL2")),"")</f>
        <v>Rep LA</v>
      </c>
      <c r="H307" s="21">
        <f ca="1">IF(CALC2223!AY307&gt;0,INDIRECT(ADDRESS(MATCH(Agenda2526!C308,'CAL2'!A:A,0),3,4,1,"CAL2")),0)</f>
        <v>45896</v>
      </c>
      <c r="I307" s="20" t="str">
        <f ca="1">IF(CALC2223!AY307&gt;1,INDIRECT(ADDRESS(MATCH(Agenda2526!C308,'CAL2'!A:A,0)+1,2,4,1,"CAL2")),"")</f>
        <v/>
      </c>
      <c r="J307" s="21">
        <f ca="1">IF(CALC2223!AY307&gt;1,INDIRECT(ADDRESS(MATCH(Agenda2526!C308,'CAL2'!A:A,0)+1,3,4,1,"CAL2")),0)</f>
        <v>0</v>
      </c>
      <c r="K307" s="20" t="str">
        <f ca="1">IF(CALC2223!AY307&gt;2,INDIRECT(ADDRESS(MATCH(Agenda2526!C308,'CAL2'!A:A,0)+2,2,4,1,"CAL2")),"")</f>
        <v/>
      </c>
      <c r="L307" s="21">
        <f ca="1">IF(CALC2223!AY307&gt;2,INDIRECT(ADDRESS(MATCH(Agenda2526!C308,'CAL2'!A:A,0)+2,3,4,1,"CAL2")),0)</f>
        <v>0</v>
      </c>
      <c r="M307" s="20" t="str">
        <f ca="1">IF(CALC2223!AZ307&gt;0,INDIRECT(ADDRESS(MATCH(Agenda2526!C308,'CAL3'!A:A,0),2,4,1,"CAL3")),"")</f>
        <v>Rep DU</v>
      </c>
      <c r="N307" s="21">
        <f ca="1">IF(CALC2223!AZ307&gt;0,INDIRECT(ADDRESS(MATCH(Agenda2526!C308,'CAL3'!A:A,0),3,4,1,"CAL3")),0)</f>
        <v>45896</v>
      </c>
      <c r="O307" s="20" t="str">
        <f ca="1">IF(CALC2223!AZ307&gt;1,INDIRECT(ADDRESS(MATCH(Agenda2526!C308,'CAL3'!A:A,0)+1,2,4,1,"CAL3")),"")</f>
        <v/>
      </c>
      <c r="P307" s="21">
        <f ca="1">IF(CALC2223!AZ307&gt;1,INDIRECT(ADDRESS(MATCH(Agenda2526!C308,'CAL3'!A:A,0)+1,3,4,1,"CAL3")),0)</f>
        <v>0</v>
      </c>
      <c r="Q307" s="20" t="str">
        <f ca="1">IF(CALC2223!AZ307&gt;2,INDIRECT(ADDRESS(MATCH(Agenda2526!C308,'CAL3'!A:A,0)+2,2,4,1,"CAL3")),"")</f>
        <v/>
      </c>
      <c r="R307" s="21">
        <f ca="1">IF(CALC2223!AZ307&gt;2,INDIRECT(ADDRESS(MATCH(Agenda2526!C308,'CAL3'!A:A,0)+2,3,4,1,"CAL3")),0)</f>
        <v>0</v>
      </c>
      <c r="S307" s="20" t="str">
        <f ca="1">IF(CALC2223!BA307&gt;0,INDIRECT(ADDRESS(MATCH(Agenda2526!C308,'CAL4'!A:A,0),2,4,1,"CAL4")),"")</f>
        <v>tsweek: rep wia / rep wib</v>
      </c>
      <c r="T307" s="21">
        <f ca="1">IF(CALC2223!BA307&gt;0,INDIRECT(ADDRESS(MATCH(Agenda2526!C308,'CAL4'!A:A,0),3,4,1,"CAL4")),0)</f>
        <v>45965</v>
      </c>
      <c r="U307" s="20" t="str">
        <f ca="1">IF(CALC2223!BA307&gt;1,INDIRECT(ADDRESS(MATCH(Agenda2526!C308,'CAL4'!A:A,0)+1,2,4,1,"CAL4")),"")</f>
        <v/>
      </c>
      <c r="V307" s="21">
        <f ca="1">IF(CALC2223!BA307&gt;1,INDIRECT(ADDRESS(MATCH(Agenda2526!C308,'CAL4'!A:A,0)+1,3,4,1,"CAL4")),0)</f>
        <v>0</v>
      </c>
      <c r="W307" s="20" t="str">
        <f ca="1">IF(CALC2223!BA307&gt;2,INDIRECT(ADDRESS(MATCH(Agenda2526!C308,'CAL4'!A:A,0)+2,2,4,1,"CAL4")),"")</f>
        <v/>
      </c>
      <c r="X307" s="21">
        <f ca="1">IF(CALC2223!BA307&gt;2,INDIRECT(ADDRESS(MATCH(Agenda2526!C308,'CAL4'!A:A,0)+2,3,4,1,"CAL4")),0)</f>
        <v>0</v>
      </c>
      <c r="Y307" s="20" t="str">
        <f ca="1">IF(CALC2223!BB307&gt;0,INDIRECT(ADDRESS(MATCH(Agenda2526!C308,'CAL5'!A:A,0),2,4,1,"CAL5")),"")</f>
        <v>tsweek: rep entl</v>
      </c>
      <c r="Z307" s="21">
        <f ca="1">IF(CALC2223!BB307&gt;0,INDIRECT(ADDRESS(MATCH(Agenda2526!C308,'CAL5'!A:A,0),3,4,1,"CAL5")),0)</f>
        <v>45965</v>
      </c>
      <c r="AA307" s="20" t="str">
        <f ca="1">IF(CALC2223!BB307&gt;1,INDIRECT(ADDRESS(MATCH(Agenda2526!C308,'CAL5'!A:A,0)+1,2,4,1,"CAL5")),"")</f>
        <v/>
      </c>
      <c r="AB307" s="21">
        <f ca="1">IF(CALC2223!BB307&gt;1,INDIRECT(ADDRESS(MATCH(Agenda2526!C308,'CAL5'!A:A,0)+1,3,4,1,"CAL5")),0)</f>
        <v>0</v>
      </c>
      <c r="AC307" s="20" t="str">
        <f ca="1">IF(CALC2223!BB307&gt;2,INDIRECT(ADDRESS(MATCH(Agenda2526!C308,'CAL5'!A:A,0)+2,2,4,1,"CAL5")),"")</f>
        <v/>
      </c>
      <c r="AD307" s="21">
        <f ca="1">IF(CALC2223!BB307&gt;2,INDIRECT(ADDRESS(MATCH(Agenda2526!C308,'CAL5'!A:A,0)+2,3,4,1,"CAL5")),0)</f>
        <v>0</v>
      </c>
      <c r="AE307" s="20" t="str">
        <f ca="1">IF(CALC2223!BC307&gt;0,INDIRECT(ADDRESS(MATCH(Agenda2526!C308,'CAL6'!A:A,0),2,4,1,"CAL6")),"")</f>
        <v/>
      </c>
      <c r="AF307" s="21">
        <f ca="1">IF(CALC2223!BC307&gt;0,INDIRECT(ADDRESS(MATCH(Agenda2526!C308,'CAL6'!A:A,0),3,4,1,"CAL6")),0)</f>
        <v>0</v>
      </c>
      <c r="AG307" s="20" t="str">
        <f ca="1">IF(CALC2223!BC307&gt;1,INDIRECT(ADDRESS(MATCH(Agenda2526!C308,'CAL6'!A:A,0)+1,2,4,1,"CAL6")),"")</f>
        <v/>
      </c>
      <c r="AH307" s="21">
        <f ca="1">IF(CALC2223!BC307&gt;1,INDIRECT(ADDRESS(MATCH(Agenda2526!C308,'CAL6'!A:A,0)+1,3,4,1,"CAL6")),0)</f>
        <v>0</v>
      </c>
      <c r="AI307" s="20" t="str">
        <f ca="1">IF(CALC2223!BC307&gt;2,INDIRECT(ADDRESS(MATCH(Agenda2526!C308,'CAL6'!A:A,0)+2,2,4,1,"CAL6")),"")</f>
        <v/>
      </c>
      <c r="AJ307" s="21">
        <f ca="1">IF(CALC2223!BC307&gt;2,INDIRECT(ADDRESS(MATCH(Agenda2526!C308,'CAL6'!A:A,0)+2,3,4,1,"CAL6")),0)</f>
        <v>0</v>
      </c>
      <c r="AK307" s="20" t="str">
        <f ca="1">IF(CALC2223!BD307&gt;0,INDIRECT(ADDRESS(MATCH(Agenda2526!C308,'CAL7'!A:A,0),2,4,1,"CAL7")),"")</f>
        <v/>
      </c>
      <c r="AL307" s="21">
        <f ca="1">IF(CALC2223!BD307&gt;0,INDIRECT(ADDRESS(MATCH(Agenda2526!C308,'CAL7'!A:A,0),3,4,1,"CAL7")),0)</f>
        <v>0</v>
      </c>
      <c r="AM307" s="20" t="str">
        <f ca="1">IF(CALC2223!BD307&gt;1,INDIRECT(ADDRESS(MATCH(Agenda2526!C308,'CAL7'!A:A,0)+1,2,4,1,"CAL7")),"")</f>
        <v/>
      </c>
      <c r="AN307" s="21">
        <f ca="1">IF(CALC2223!BD307&gt;1,INDIRECT(ADDRESS(MATCH(Agenda2526!C308,'CAL7'!A:A,0)+1,3,4,1,"CAL7")),0)</f>
        <v>0</v>
      </c>
      <c r="AO307" s="20" t="str">
        <f ca="1">IF(CALC2223!BD307&gt;2,INDIRECT(ADDRESS(MATCH(Agenda2526!C308,'CAL7'!A:A,0)+2,2,4,1,"CAL7")),"")</f>
        <v/>
      </c>
      <c r="AP307" s="21">
        <f ca="1">IF(CALC2223!BD307&gt;2,INDIRECT(ADDRESS(MATCH(Agenda2526!C308,'CAL7'!A:A,0)+2,3,4,1,"CAL7")),0)</f>
        <v>0</v>
      </c>
      <c r="AQ307" s="20" t="str">
        <f ca="1">IF(CALC2223!BE307&gt;0,INDIRECT(ADDRESS(MATCH(Agenda2526!C308,'CAL8'!A:A,0),2,4,1,"CAL8")),"")</f>
        <v/>
      </c>
      <c r="AR307" s="21">
        <f ca="1">IF(CALC2223!BE307&gt;0,INDIRECT(ADDRESS(MATCH(Agenda2526!C308,'CAL8'!A:A,0),3,4,1,"CAL8")),0)</f>
        <v>0</v>
      </c>
      <c r="AS307" s="20" t="str">
        <f ca="1">IF(CALC2223!BE307&gt;1,INDIRECT(ADDRESS(MATCH(Agenda2526!C308,'CAL8'!A:A,0)+1,2,4,1,"CAL8")),"")</f>
        <v/>
      </c>
      <c r="AT307" s="21">
        <f ca="1">IF(CALC2223!BE307&gt;1,INDIRECT(ADDRESS(MATCH(Agenda2526!C308,'CAL8'!A:A,0)+1,3,4,1,"CAL8")),0)</f>
        <v>0</v>
      </c>
      <c r="AU307" s="20" t="str">
        <f ca="1">IF(CALC2223!BE307&gt;2,INDIRECT(ADDRESS(MATCH(Agenda2526!C308,'CAL8'!A:A,0)+2,2,4,1,"CAL8")),"")</f>
        <v/>
      </c>
      <c r="AV307" s="21">
        <f ca="1">IF(CALC2223!BE307&gt;2,INDIRECT(ADDRESS(MATCH(Agenda2526!C308,'CAL8'!A:A,0)+2,3,4,1,"CAL8")),0)</f>
        <v>0</v>
      </c>
      <c r="AW307" s="105"/>
      <c r="AX307" s="20">
        <f>COUNTIF('CAL1'!A:A,Agenda2526!C308)</f>
        <v>0</v>
      </c>
      <c r="AY307" s="20">
        <f>COUNTIF('CAL2'!A:A,Agenda2526!C308)</f>
        <v>1</v>
      </c>
      <c r="AZ307" s="20">
        <f>COUNTIF('CAL3'!A:A,Agenda2526!C308)</f>
        <v>1</v>
      </c>
      <c r="BA307" s="20">
        <f>COUNTIF('CAL4'!A:A,Agenda2526!C308)</f>
        <v>1</v>
      </c>
      <c r="BB307" s="20">
        <f>COUNTIF('CAL5'!A:A,Agenda2526!C308)</f>
        <v>1</v>
      </c>
      <c r="BC307" s="20">
        <f>COUNTIF('CAL6'!A:A,Agenda2526!C308)</f>
        <v>0</v>
      </c>
      <c r="BD307" s="20">
        <f>COUNTIF('CAL7'!A:A,Agenda2526!C308)</f>
        <v>0</v>
      </c>
      <c r="BE307" s="20">
        <f>COUNTIF('CAL8'!A:A,Agenda2526!C308)</f>
        <v>0</v>
      </c>
    </row>
    <row r="308" spans="1:57" ht="15.75" customHeight="1">
      <c r="A308" s="20" t="str">
        <f ca="1">IF(CALC2223!AX308&gt;0,INDIRECT(ADDRESS(MATCH(Agenda2526!C309,'CAL1'!A:A,0),2,4,1,"CAL1")),"")</f>
        <v/>
      </c>
      <c r="B308" s="21">
        <f ca="1">IF(CALC2223!AX308&gt;0,INDIRECT(ADDRESS(MATCH(Agenda2526!C309,'CAL1'!A:A,0),3,4,1,"CAL1")),0)</f>
        <v>0</v>
      </c>
      <c r="C308" s="20" t="str">
        <f ca="1">IF(CALC2223!AX308&gt;1,INDIRECT(ADDRESS(MATCH(Agenda2526!C309,'CAL1'!A:A,0)+1,2,4,1,"CAL1")),"")</f>
        <v/>
      </c>
      <c r="D308" s="21">
        <f ca="1">IF(CALC2223!AX308&gt;1,INDIRECT(ADDRESS(MATCH(Agenda2526!C309,'CAL1'!A:A,0)+1,3,4,1,"CAL1")),0)</f>
        <v>0</v>
      </c>
      <c r="E308" s="20" t="str">
        <f ca="1">IF(CALC2223!AX308&gt;2,INDIRECT(ADDRESS(MATCH(Agenda2526!C309,'CAL1'!A:A,0)+2,2,4,1,"CAL1")),"")</f>
        <v/>
      </c>
      <c r="F308" s="21">
        <f ca="1">IF(CALC2223!AX308&gt;2,INDIRECT(ADDRESS(MATCH(Agenda2526!C309,'CAL1'!A:A,0)+2,3,4,1,"CAL1")),0)</f>
        <v>0</v>
      </c>
      <c r="G308" s="20" t="str">
        <f ca="1">IF(CALC2223!AY308&gt;0,INDIRECT(ADDRESS(MATCH(Agenda2526!C309,'CAL2'!A:A,0),2,4,1,"CAL2")),"")</f>
        <v/>
      </c>
      <c r="H308" s="21">
        <f ca="1">IF(CALC2223!AY308&gt;0,INDIRECT(ADDRESS(MATCH(Agenda2526!C309,'CAL2'!A:A,0),3,4,1,"CAL2")),0)</f>
        <v>0</v>
      </c>
      <c r="I308" s="20" t="str">
        <f ca="1">IF(CALC2223!AY308&gt;1,INDIRECT(ADDRESS(MATCH(Agenda2526!C309,'CAL2'!A:A,0)+1,2,4,1,"CAL2")),"")</f>
        <v/>
      </c>
      <c r="J308" s="21">
        <f ca="1">IF(CALC2223!AY308&gt;1,INDIRECT(ADDRESS(MATCH(Agenda2526!C309,'CAL2'!A:A,0)+1,3,4,1,"CAL2")),0)</f>
        <v>0</v>
      </c>
      <c r="K308" s="20" t="str">
        <f ca="1">IF(CALC2223!AY308&gt;2,INDIRECT(ADDRESS(MATCH(Agenda2526!C309,'CAL2'!A:A,0)+2,2,4,1,"CAL2")),"")</f>
        <v/>
      </c>
      <c r="L308" s="21">
        <f ca="1">IF(CALC2223!AY308&gt;2,INDIRECT(ADDRESS(MATCH(Agenda2526!C309,'CAL2'!A:A,0)+2,3,4,1,"CAL2")),0)</f>
        <v>0</v>
      </c>
      <c r="M308" s="20" t="str">
        <f ca="1">IF(CALC2223!AZ308&gt;0,INDIRECT(ADDRESS(MATCH(Agenda2526!C309,'CAL3'!A:A,0),2,4,1,"CAL3")),"")</f>
        <v/>
      </c>
      <c r="N308" s="21">
        <f ca="1">IF(CALC2223!AZ308&gt;0,INDIRECT(ADDRESS(MATCH(Agenda2526!C309,'CAL3'!A:A,0),3,4,1,"CAL3")),0)</f>
        <v>0</v>
      </c>
      <c r="O308" s="20" t="str">
        <f ca="1">IF(CALC2223!AZ308&gt;1,INDIRECT(ADDRESS(MATCH(Agenda2526!C309,'CAL3'!A:A,0)+1,2,4,1,"CAL3")),"")</f>
        <v/>
      </c>
      <c r="P308" s="21">
        <f ca="1">IF(CALC2223!AZ308&gt;1,INDIRECT(ADDRESS(MATCH(Agenda2526!C309,'CAL3'!A:A,0)+1,3,4,1,"CAL3")),0)</f>
        <v>0</v>
      </c>
      <c r="Q308" s="20" t="str">
        <f ca="1">IF(CALC2223!AZ308&gt;2,INDIRECT(ADDRESS(MATCH(Agenda2526!C309,'CAL3'!A:A,0)+2,2,4,1,"CAL3")),"")</f>
        <v/>
      </c>
      <c r="R308" s="21">
        <f ca="1">IF(CALC2223!AZ308&gt;2,INDIRECT(ADDRESS(MATCH(Agenda2526!C309,'CAL3'!A:A,0)+2,3,4,1,"CAL3")),0)</f>
        <v>0</v>
      </c>
      <c r="S308" s="20" t="str">
        <f ca="1">IF(CALC2223!BA308&gt;0,INDIRECT(ADDRESS(MATCH(Agenda2526!C309,'CAL4'!A:A,0),2,4,1,"CAL4")),"")</f>
        <v/>
      </c>
      <c r="T308" s="21">
        <f ca="1">IF(CALC2223!BA308&gt;0,INDIRECT(ADDRESS(MATCH(Agenda2526!C309,'CAL4'!A:A,0),3,4,1,"CAL4")),0)</f>
        <v>0</v>
      </c>
      <c r="U308" s="20" t="str">
        <f ca="1">IF(CALC2223!BA308&gt;1,INDIRECT(ADDRESS(MATCH(Agenda2526!C309,'CAL4'!A:A,0)+1,2,4,1,"CAL4")),"")</f>
        <v/>
      </c>
      <c r="V308" s="21">
        <f ca="1">IF(CALC2223!BA308&gt;1,INDIRECT(ADDRESS(MATCH(Agenda2526!C309,'CAL4'!A:A,0)+1,3,4,1,"CAL4")),0)</f>
        <v>0</v>
      </c>
      <c r="W308" s="20" t="str">
        <f ca="1">IF(CALC2223!BA308&gt;2,INDIRECT(ADDRESS(MATCH(Agenda2526!C309,'CAL4'!A:A,0)+2,2,4,1,"CAL4")),"")</f>
        <v/>
      </c>
      <c r="X308" s="21">
        <f ca="1">IF(CALC2223!BA308&gt;2,INDIRECT(ADDRESS(MATCH(Agenda2526!C309,'CAL4'!A:A,0)+2,3,4,1,"CAL4")),0)</f>
        <v>0</v>
      </c>
      <c r="Y308" s="20" t="str">
        <f ca="1">IF(CALC2223!BB308&gt;0,INDIRECT(ADDRESS(MATCH(Agenda2526!C309,'CAL5'!A:A,0),2,4,1,"CAL5")),"")</f>
        <v/>
      </c>
      <c r="Z308" s="21">
        <f ca="1">IF(CALC2223!BB308&gt;0,INDIRECT(ADDRESS(MATCH(Agenda2526!C309,'CAL5'!A:A,0),3,4,1,"CAL5")),0)</f>
        <v>0</v>
      </c>
      <c r="AA308" s="20" t="str">
        <f ca="1">IF(CALC2223!BB308&gt;1,INDIRECT(ADDRESS(MATCH(Agenda2526!C309,'CAL5'!A:A,0)+1,2,4,1,"CAL5")),"")</f>
        <v/>
      </c>
      <c r="AB308" s="21">
        <f ca="1">IF(CALC2223!BB308&gt;1,INDIRECT(ADDRESS(MATCH(Agenda2526!C309,'CAL5'!A:A,0)+1,3,4,1,"CAL5")),0)</f>
        <v>0</v>
      </c>
      <c r="AC308" s="20" t="str">
        <f ca="1">IF(CALC2223!BB308&gt;2,INDIRECT(ADDRESS(MATCH(Agenda2526!C309,'CAL5'!A:A,0)+2,2,4,1,"CAL5")),"")</f>
        <v/>
      </c>
      <c r="AD308" s="21">
        <f ca="1">IF(CALC2223!BB308&gt;2,INDIRECT(ADDRESS(MATCH(Agenda2526!C309,'CAL5'!A:A,0)+2,3,4,1,"CAL5")),0)</f>
        <v>0</v>
      </c>
      <c r="AE308" s="20" t="str">
        <f ca="1">IF(CALC2223!BC308&gt;0,INDIRECT(ADDRESS(MATCH(Agenda2526!C309,'CAL6'!A:A,0),2,4,1,"CAL6")),"")</f>
        <v/>
      </c>
      <c r="AF308" s="21">
        <f ca="1">IF(CALC2223!BC308&gt;0,INDIRECT(ADDRESS(MATCH(Agenda2526!C309,'CAL6'!A:A,0),3,4,1,"CAL6")),0)</f>
        <v>0</v>
      </c>
      <c r="AG308" s="20" t="str">
        <f ca="1">IF(CALC2223!BC308&gt;1,INDIRECT(ADDRESS(MATCH(Agenda2526!C309,'CAL6'!A:A,0)+1,2,4,1,"CAL6")),"")</f>
        <v/>
      </c>
      <c r="AH308" s="21">
        <f ca="1">IF(CALC2223!BC308&gt;1,INDIRECT(ADDRESS(MATCH(Agenda2526!C309,'CAL6'!A:A,0)+1,3,4,1,"CAL6")),0)</f>
        <v>0</v>
      </c>
      <c r="AI308" s="20" t="str">
        <f ca="1">IF(CALC2223!BC308&gt;2,INDIRECT(ADDRESS(MATCH(Agenda2526!C309,'CAL6'!A:A,0)+2,2,4,1,"CAL6")),"")</f>
        <v/>
      </c>
      <c r="AJ308" s="21">
        <f ca="1">IF(CALC2223!BC308&gt;2,INDIRECT(ADDRESS(MATCH(Agenda2526!C309,'CAL6'!A:A,0)+2,3,4,1,"CAL6")),0)</f>
        <v>0</v>
      </c>
      <c r="AK308" s="20" t="str">
        <f ca="1">IF(CALC2223!BD308&gt;0,INDIRECT(ADDRESS(MATCH(Agenda2526!C309,'CAL7'!A:A,0),2,4,1,"CAL7")),"")</f>
        <v/>
      </c>
      <c r="AL308" s="21">
        <f ca="1">IF(CALC2223!BD308&gt;0,INDIRECT(ADDRESS(MATCH(Agenda2526!C309,'CAL7'!A:A,0),3,4,1,"CAL7")),0)</f>
        <v>0</v>
      </c>
      <c r="AM308" s="20" t="str">
        <f ca="1">IF(CALC2223!BD308&gt;1,INDIRECT(ADDRESS(MATCH(Agenda2526!C309,'CAL7'!A:A,0)+1,2,4,1,"CAL7")),"")</f>
        <v/>
      </c>
      <c r="AN308" s="21">
        <f ca="1">IF(CALC2223!BD308&gt;1,INDIRECT(ADDRESS(MATCH(Agenda2526!C309,'CAL7'!A:A,0)+1,3,4,1,"CAL7")),0)</f>
        <v>0</v>
      </c>
      <c r="AO308" s="20" t="str">
        <f ca="1">IF(CALC2223!BD308&gt;2,INDIRECT(ADDRESS(MATCH(Agenda2526!C309,'CAL7'!A:A,0)+2,2,4,1,"CAL7")),"")</f>
        <v/>
      </c>
      <c r="AP308" s="21">
        <f ca="1">IF(CALC2223!BD308&gt;2,INDIRECT(ADDRESS(MATCH(Agenda2526!C309,'CAL7'!A:A,0)+2,3,4,1,"CAL7")),0)</f>
        <v>0</v>
      </c>
      <c r="AQ308" s="20" t="str">
        <f ca="1">IF(CALC2223!BE308&gt;0,INDIRECT(ADDRESS(MATCH(Agenda2526!C309,'CAL8'!A:A,0),2,4,1,"CAL8")),"")</f>
        <v/>
      </c>
      <c r="AR308" s="21">
        <f ca="1">IF(CALC2223!BE308&gt;0,INDIRECT(ADDRESS(MATCH(Agenda2526!C309,'CAL8'!A:A,0),3,4,1,"CAL8")),0)</f>
        <v>0</v>
      </c>
      <c r="AS308" s="20" t="str">
        <f ca="1">IF(CALC2223!BE308&gt;1,INDIRECT(ADDRESS(MATCH(Agenda2526!C309,'CAL8'!A:A,0)+1,2,4,1,"CAL8")),"")</f>
        <v/>
      </c>
      <c r="AT308" s="21">
        <f ca="1">IF(CALC2223!BE308&gt;1,INDIRECT(ADDRESS(MATCH(Agenda2526!C309,'CAL8'!A:A,0)+1,3,4,1,"CAL8")),0)</f>
        <v>0</v>
      </c>
      <c r="AU308" s="20" t="str">
        <f ca="1">IF(CALC2223!BE308&gt;2,INDIRECT(ADDRESS(MATCH(Agenda2526!C309,'CAL8'!A:A,0)+2,2,4,1,"CAL8")),"")</f>
        <v/>
      </c>
      <c r="AV308" s="21">
        <f ca="1">IF(CALC2223!BE308&gt;2,INDIRECT(ADDRESS(MATCH(Agenda2526!C309,'CAL8'!A:A,0)+2,3,4,1,"CAL8")),0)</f>
        <v>0</v>
      </c>
      <c r="AW308" s="106"/>
      <c r="AX308" s="20">
        <f>COUNTIF('CAL1'!A:A,Agenda2526!C309)</f>
        <v>0</v>
      </c>
      <c r="AY308" s="20">
        <f>COUNTIF('CAL2'!A:A,Agenda2526!C309)</f>
        <v>0</v>
      </c>
      <c r="AZ308" s="20">
        <f>COUNTIF('CAL3'!A:A,Agenda2526!C309)</f>
        <v>0</v>
      </c>
      <c r="BA308" s="20">
        <f>COUNTIF('CAL4'!A:A,Agenda2526!C309)</f>
        <v>0</v>
      </c>
      <c r="BB308" s="20">
        <f>COUNTIF('CAL5'!A:A,Agenda2526!C309)</f>
        <v>0</v>
      </c>
      <c r="BC308" s="20">
        <f>COUNTIF('CAL6'!A:A,Agenda2526!C309)</f>
        <v>0</v>
      </c>
      <c r="BD308" s="20">
        <f>COUNTIF('CAL7'!A:A,Agenda2526!C309)</f>
        <v>0</v>
      </c>
      <c r="BE308" s="20">
        <f>COUNTIF('CAL8'!A:A,Agenda2526!C309)</f>
        <v>0</v>
      </c>
    </row>
    <row r="309" spans="1:57" ht="15.75" customHeight="1">
      <c r="A309" s="20" t="str">
        <f ca="1">IF(CALC2223!AX309&gt;0,INDIRECT(ADDRESS(MATCH(Agenda2526!C310,'CAL1'!A:A,0),2,4,1,"CAL1")),"")</f>
        <v/>
      </c>
      <c r="B309" s="21">
        <f ca="1">IF(CALC2223!AX309&gt;0,INDIRECT(ADDRESS(MATCH(Agenda2526!C310,'CAL1'!A:A,0),3,4,1,"CAL1")),0)</f>
        <v>0</v>
      </c>
      <c r="C309" s="20" t="str">
        <f ca="1">IF(CALC2223!AX309&gt;1,INDIRECT(ADDRESS(MATCH(Agenda2526!C310,'CAL1'!A:A,0)+1,2,4,1,"CAL1")),"")</f>
        <v/>
      </c>
      <c r="D309" s="21">
        <f ca="1">IF(CALC2223!AX309&gt;1,INDIRECT(ADDRESS(MATCH(Agenda2526!C310,'CAL1'!A:A,0)+1,3,4,1,"CAL1")),0)</f>
        <v>0</v>
      </c>
      <c r="E309" s="20" t="str">
        <f ca="1">IF(CALC2223!AX309&gt;2,INDIRECT(ADDRESS(MATCH(Agenda2526!C310,'CAL1'!A:A,0)+2,2,4,1,"CAL1")),"")</f>
        <v/>
      </c>
      <c r="F309" s="21">
        <f ca="1">IF(CALC2223!AX309&gt;2,INDIRECT(ADDRESS(MATCH(Agenda2526!C310,'CAL1'!A:A,0)+2,3,4,1,"CAL1")),0)</f>
        <v>0</v>
      </c>
      <c r="G309" s="20" t="str">
        <f ca="1">IF(CALC2223!AY309&gt;0,INDIRECT(ADDRESS(MATCH(Agenda2526!C310,'CAL2'!A:A,0),2,4,1,"CAL2")),"")</f>
        <v/>
      </c>
      <c r="H309" s="21">
        <f ca="1">IF(CALC2223!AY309&gt;0,INDIRECT(ADDRESS(MATCH(Agenda2526!C310,'CAL2'!A:A,0),3,4,1,"CAL2")),0)</f>
        <v>0</v>
      </c>
      <c r="I309" s="20" t="str">
        <f ca="1">IF(CALC2223!AY309&gt;1,INDIRECT(ADDRESS(MATCH(Agenda2526!C310,'CAL2'!A:A,0)+1,2,4,1,"CAL2")),"")</f>
        <v/>
      </c>
      <c r="J309" s="21">
        <f ca="1">IF(CALC2223!AY309&gt;1,INDIRECT(ADDRESS(MATCH(Agenda2526!C310,'CAL2'!A:A,0)+1,3,4,1,"CAL2")),0)</f>
        <v>0</v>
      </c>
      <c r="K309" s="20" t="str">
        <f ca="1">IF(CALC2223!AY309&gt;2,INDIRECT(ADDRESS(MATCH(Agenda2526!C310,'CAL2'!A:A,0)+2,2,4,1,"CAL2")),"")</f>
        <v/>
      </c>
      <c r="L309" s="21">
        <f ca="1">IF(CALC2223!AY309&gt;2,INDIRECT(ADDRESS(MATCH(Agenda2526!C310,'CAL2'!A:A,0)+2,3,4,1,"CAL2")),0)</f>
        <v>0</v>
      </c>
      <c r="M309" s="20" t="str">
        <f ca="1">IF(CALC2223!AZ309&gt;0,INDIRECT(ADDRESS(MATCH(Agenda2526!C310,'CAL3'!A:A,0),2,4,1,"CAL3")),"")</f>
        <v/>
      </c>
      <c r="N309" s="21">
        <f ca="1">IF(CALC2223!AZ309&gt;0,INDIRECT(ADDRESS(MATCH(Agenda2526!C310,'CAL3'!A:A,0),3,4,1,"CAL3")),0)</f>
        <v>0</v>
      </c>
      <c r="O309" s="20" t="str">
        <f ca="1">IF(CALC2223!AZ309&gt;1,INDIRECT(ADDRESS(MATCH(Agenda2526!C310,'CAL3'!A:A,0)+1,2,4,1,"CAL3")),"")</f>
        <v/>
      </c>
      <c r="P309" s="21">
        <f ca="1">IF(CALC2223!AZ309&gt;1,INDIRECT(ADDRESS(MATCH(Agenda2526!C310,'CAL3'!A:A,0)+1,3,4,1,"CAL3")),0)</f>
        <v>0</v>
      </c>
      <c r="Q309" s="20" t="str">
        <f ca="1">IF(CALC2223!AZ309&gt;2,INDIRECT(ADDRESS(MATCH(Agenda2526!C310,'CAL3'!A:A,0)+2,2,4,1,"CAL3")),"")</f>
        <v/>
      </c>
      <c r="R309" s="21">
        <f ca="1">IF(CALC2223!AZ309&gt;2,INDIRECT(ADDRESS(MATCH(Agenda2526!C310,'CAL3'!A:A,0)+2,3,4,1,"CAL3")),0)</f>
        <v>0</v>
      </c>
      <c r="S309" s="20" t="str">
        <f ca="1">IF(CALC2223!BA309&gt;0,INDIRECT(ADDRESS(MATCH(Agenda2526!C310,'CAL4'!A:A,0),2,4,1,"CAL4")),"")</f>
        <v/>
      </c>
      <c r="T309" s="21">
        <f ca="1">IF(CALC2223!BA309&gt;0,INDIRECT(ADDRESS(MATCH(Agenda2526!C310,'CAL4'!A:A,0),3,4,1,"CAL4")),0)</f>
        <v>0</v>
      </c>
      <c r="U309" s="20" t="str">
        <f ca="1">IF(CALC2223!BA309&gt;1,INDIRECT(ADDRESS(MATCH(Agenda2526!C310,'CAL4'!A:A,0)+1,2,4,1,"CAL4")),"")</f>
        <v/>
      </c>
      <c r="V309" s="21">
        <f ca="1">IF(CALC2223!BA309&gt;1,INDIRECT(ADDRESS(MATCH(Agenda2526!C310,'CAL4'!A:A,0)+1,3,4,1,"CAL4")),0)</f>
        <v>0</v>
      </c>
      <c r="W309" s="20" t="str">
        <f ca="1">IF(CALC2223!BA309&gt;2,INDIRECT(ADDRESS(MATCH(Agenda2526!C310,'CAL4'!A:A,0)+2,2,4,1,"CAL4")),"")</f>
        <v/>
      </c>
      <c r="X309" s="21">
        <f ca="1">IF(CALC2223!BA309&gt;2,INDIRECT(ADDRESS(MATCH(Agenda2526!C310,'CAL4'!A:A,0)+2,3,4,1,"CAL4")),0)</f>
        <v>0</v>
      </c>
      <c r="Y309" s="20" t="str">
        <f ca="1">IF(CALC2223!BB309&gt;0,INDIRECT(ADDRESS(MATCH(Agenda2526!C310,'CAL5'!A:A,0),2,4,1,"CAL5")),"")</f>
        <v/>
      </c>
      <c r="Z309" s="21">
        <f ca="1">IF(CALC2223!BB309&gt;0,INDIRECT(ADDRESS(MATCH(Agenda2526!C310,'CAL5'!A:A,0),3,4,1,"CAL5")),0)</f>
        <v>0</v>
      </c>
      <c r="AA309" s="20" t="str">
        <f ca="1">IF(CALC2223!BB309&gt;1,INDIRECT(ADDRESS(MATCH(Agenda2526!C310,'CAL5'!A:A,0)+1,2,4,1,"CAL5")),"")</f>
        <v/>
      </c>
      <c r="AB309" s="21">
        <f ca="1">IF(CALC2223!BB309&gt;1,INDIRECT(ADDRESS(MATCH(Agenda2526!C310,'CAL5'!A:A,0)+1,3,4,1,"CAL5")),0)</f>
        <v>0</v>
      </c>
      <c r="AC309" s="20" t="str">
        <f ca="1">IF(CALC2223!BB309&gt;2,INDIRECT(ADDRESS(MATCH(Agenda2526!C310,'CAL5'!A:A,0)+2,2,4,1,"CAL5")),"")</f>
        <v/>
      </c>
      <c r="AD309" s="21">
        <f ca="1">IF(CALC2223!BB309&gt;2,INDIRECT(ADDRESS(MATCH(Agenda2526!C310,'CAL5'!A:A,0)+2,3,4,1,"CAL5")),0)</f>
        <v>0</v>
      </c>
      <c r="AE309" s="20" t="str">
        <f ca="1">IF(CALC2223!BC309&gt;0,INDIRECT(ADDRESS(MATCH(Agenda2526!C310,'CAL6'!A:A,0),2,4,1,"CAL6")),"")</f>
        <v/>
      </c>
      <c r="AF309" s="21">
        <f ca="1">IF(CALC2223!BC309&gt;0,INDIRECT(ADDRESS(MATCH(Agenda2526!C310,'CAL6'!A:A,0),3,4,1,"CAL6")),0)</f>
        <v>0</v>
      </c>
      <c r="AG309" s="20" t="str">
        <f ca="1">IF(CALC2223!BC309&gt;1,INDIRECT(ADDRESS(MATCH(Agenda2526!C310,'CAL6'!A:A,0)+1,2,4,1,"CAL6")),"")</f>
        <v/>
      </c>
      <c r="AH309" s="21">
        <f ca="1">IF(CALC2223!BC309&gt;1,INDIRECT(ADDRESS(MATCH(Agenda2526!C310,'CAL6'!A:A,0)+1,3,4,1,"CAL6")),0)</f>
        <v>0</v>
      </c>
      <c r="AI309" s="20" t="str">
        <f ca="1">IF(CALC2223!BC309&gt;2,INDIRECT(ADDRESS(MATCH(Agenda2526!C310,'CAL6'!A:A,0)+2,2,4,1,"CAL6")),"")</f>
        <v/>
      </c>
      <c r="AJ309" s="21">
        <f ca="1">IF(CALC2223!BC309&gt;2,INDIRECT(ADDRESS(MATCH(Agenda2526!C310,'CAL6'!A:A,0)+2,3,4,1,"CAL6")),0)</f>
        <v>0</v>
      </c>
      <c r="AK309" s="20" t="str">
        <f ca="1">IF(CALC2223!BD309&gt;0,INDIRECT(ADDRESS(MATCH(Agenda2526!C310,'CAL7'!A:A,0),2,4,1,"CAL7")),"")</f>
        <v/>
      </c>
      <c r="AL309" s="21">
        <f ca="1">IF(CALC2223!BD309&gt;0,INDIRECT(ADDRESS(MATCH(Agenda2526!C310,'CAL7'!A:A,0),3,4,1,"CAL7")),0)</f>
        <v>0</v>
      </c>
      <c r="AM309" s="20" t="str">
        <f ca="1">IF(CALC2223!BD309&gt;1,INDIRECT(ADDRESS(MATCH(Agenda2526!C310,'CAL7'!A:A,0)+1,2,4,1,"CAL7")),"")</f>
        <v/>
      </c>
      <c r="AN309" s="21">
        <f ca="1">IF(CALC2223!BD309&gt;1,INDIRECT(ADDRESS(MATCH(Agenda2526!C310,'CAL7'!A:A,0)+1,3,4,1,"CAL7")),0)</f>
        <v>0</v>
      </c>
      <c r="AO309" s="20" t="str">
        <f ca="1">IF(CALC2223!BD309&gt;2,INDIRECT(ADDRESS(MATCH(Agenda2526!C310,'CAL7'!A:A,0)+2,2,4,1,"CAL7")),"")</f>
        <v/>
      </c>
      <c r="AP309" s="21">
        <f ca="1">IF(CALC2223!BD309&gt;2,INDIRECT(ADDRESS(MATCH(Agenda2526!C310,'CAL7'!A:A,0)+2,3,4,1,"CAL7")),0)</f>
        <v>0</v>
      </c>
      <c r="AQ309" s="20" t="str">
        <f ca="1">IF(CALC2223!BE309&gt;0,INDIRECT(ADDRESS(MATCH(Agenda2526!C310,'CAL8'!A:A,0),2,4,1,"CAL8")),"")</f>
        <v/>
      </c>
      <c r="AR309" s="21">
        <f ca="1">IF(CALC2223!BE309&gt;0,INDIRECT(ADDRESS(MATCH(Agenda2526!C310,'CAL8'!A:A,0),3,4,1,"CAL8")),0)</f>
        <v>0</v>
      </c>
      <c r="AS309" s="20" t="str">
        <f ca="1">IF(CALC2223!BE309&gt;1,INDIRECT(ADDRESS(MATCH(Agenda2526!C310,'CAL8'!A:A,0)+1,2,4,1,"CAL8")),"")</f>
        <v/>
      </c>
      <c r="AT309" s="21">
        <f ca="1">IF(CALC2223!BE309&gt;1,INDIRECT(ADDRESS(MATCH(Agenda2526!C310,'CAL8'!A:A,0)+1,3,4,1,"CAL8")),0)</f>
        <v>0</v>
      </c>
      <c r="AU309" s="20" t="str">
        <f ca="1">IF(CALC2223!BE309&gt;2,INDIRECT(ADDRESS(MATCH(Agenda2526!C310,'CAL8'!A:A,0)+2,2,4,1,"CAL8")),"")</f>
        <v/>
      </c>
      <c r="AV309" s="21">
        <f ca="1">IF(CALC2223!BE309&gt;2,INDIRECT(ADDRESS(MATCH(Agenda2526!C310,'CAL8'!A:A,0)+2,3,4,1,"CAL8")),0)</f>
        <v>0</v>
      </c>
      <c r="AW309" s="106"/>
      <c r="AX309" s="20">
        <f>COUNTIF('CAL1'!A:A,Agenda2526!C310)</f>
        <v>0</v>
      </c>
      <c r="AY309" s="20">
        <f>COUNTIF('CAL2'!A:A,Agenda2526!C310)</f>
        <v>0</v>
      </c>
      <c r="AZ309" s="20">
        <f>COUNTIF('CAL3'!A:A,Agenda2526!C310)</f>
        <v>0</v>
      </c>
      <c r="BA309" s="20">
        <f>COUNTIF('CAL4'!A:A,Agenda2526!C310)</f>
        <v>0</v>
      </c>
      <c r="BB309" s="20">
        <f>COUNTIF('CAL5'!A:A,Agenda2526!C310)</f>
        <v>0</v>
      </c>
      <c r="BC309" s="20">
        <f>COUNTIF('CAL6'!A:A,Agenda2526!C310)</f>
        <v>0</v>
      </c>
      <c r="BD309" s="20">
        <f>COUNTIF('CAL7'!A:A,Agenda2526!C310)</f>
        <v>0</v>
      </c>
      <c r="BE309" s="20">
        <f>COUNTIF('CAL8'!A:A,Agenda2526!C310)</f>
        <v>0</v>
      </c>
    </row>
    <row r="310" spans="1:57" ht="15.75" customHeight="1">
      <c r="A310" s="20" t="str">
        <f ca="1">IF(CALC2223!AX310&gt;0,INDIRECT(ADDRESS(MATCH(Agenda2526!C311,'CAL1'!A:A,0),2,4,1,"CAL1")),"")</f>
        <v>inhalen</v>
      </c>
      <c r="B310" s="21">
        <f ca="1">IF(CALC2223!AX310&gt;0,INDIRECT(ADDRESS(MATCH(Agenda2526!C311,'CAL1'!A:A,0),3,4,1,"CAL1")),0)</f>
        <v>45896</v>
      </c>
      <c r="C310" s="20" t="str">
        <f ca="1">IF(CALC2223!AX310&gt;1,INDIRECT(ADDRESS(MATCH(Agenda2526!C311,'CAL1'!A:A,0)+1,2,4,1,"CAL1")),"")</f>
        <v/>
      </c>
      <c r="D310" s="21">
        <f ca="1">IF(CALC2223!AX310&gt;1,INDIRECT(ADDRESS(MATCH(Agenda2526!C311,'CAL1'!A:A,0)+1,3,4,1,"CAL1")),0)</f>
        <v>0</v>
      </c>
      <c r="E310" s="20" t="str">
        <f ca="1">IF(CALC2223!AX310&gt;2,INDIRECT(ADDRESS(MATCH(Agenda2526!C311,'CAL1'!A:A,0)+2,2,4,1,"CAL1")),"")</f>
        <v/>
      </c>
      <c r="F310" s="21">
        <f ca="1">IF(CALC2223!AX310&gt;2,INDIRECT(ADDRESS(MATCH(Agenda2526!C311,'CAL1'!A:A,0)+2,3,4,1,"CAL1")),0)</f>
        <v>0</v>
      </c>
      <c r="G310" s="20" t="str">
        <f ca="1">IF(CALC2223!AY310&gt;0,INDIRECT(ADDRESS(MATCH(Agenda2526!C311,'CAL2'!A:A,0),2,4,1,"CAL2")),"")</f>
        <v>inhalen</v>
      </c>
      <c r="H310" s="21">
        <f ca="1">IF(CALC2223!AY310&gt;0,INDIRECT(ADDRESS(MATCH(Agenda2526!C311,'CAL2'!A:A,0),3,4,1,"CAL2")),0)</f>
        <v>45896</v>
      </c>
      <c r="I310" s="20" t="str">
        <f ca="1">IF(CALC2223!AY310&gt;1,INDIRECT(ADDRESS(MATCH(Agenda2526!C311,'CAL2'!A:A,0)+1,2,4,1,"CAL2")),"")</f>
        <v/>
      </c>
      <c r="J310" s="21">
        <f ca="1">IF(CALC2223!AY310&gt;1,INDIRECT(ADDRESS(MATCH(Agenda2526!C311,'CAL2'!A:A,0)+1,3,4,1,"CAL2")),0)</f>
        <v>0</v>
      </c>
      <c r="K310" s="20" t="str">
        <f ca="1">IF(CALC2223!AY310&gt;2,INDIRECT(ADDRESS(MATCH(Agenda2526!C311,'CAL2'!A:A,0)+2,2,4,1,"CAL2")),"")</f>
        <v/>
      </c>
      <c r="L310" s="21">
        <f ca="1">IF(CALC2223!AY310&gt;2,INDIRECT(ADDRESS(MATCH(Agenda2526!C311,'CAL2'!A:A,0)+2,3,4,1,"CAL2")),0)</f>
        <v>0</v>
      </c>
      <c r="M310" s="20" t="str">
        <f ca="1">IF(CALC2223!AZ310&gt;0,INDIRECT(ADDRESS(MATCH(Agenda2526!C311,'CAL3'!A:A,0),2,4,1,"CAL3")),"")</f>
        <v>Ardennenkamp</v>
      </c>
      <c r="N310" s="21">
        <f ca="1">IF(CALC2223!AZ310&gt;0,INDIRECT(ADDRESS(MATCH(Agenda2526!C311,'CAL3'!A:A,0),3,4,1,"CAL3")),0)</f>
        <v>46066</v>
      </c>
      <c r="O310" s="20" t="str">
        <f ca="1">IF(CALC2223!AZ310&gt;1,INDIRECT(ADDRESS(MATCH(Agenda2526!C311,'CAL3'!A:A,0)+1,2,4,1,"CAL3")),"")</f>
        <v/>
      </c>
      <c r="P310" s="21">
        <f ca="1">IF(CALC2223!AZ310&gt;1,INDIRECT(ADDRESS(MATCH(Agenda2526!C311,'CAL3'!A:A,0)+1,3,4,1,"CAL3")),0)</f>
        <v>0</v>
      </c>
      <c r="Q310" s="20" t="str">
        <f ca="1">IF(CALC2223!AZ310&gt;2,INDIRECT(ADDRESS(MATCH(Agenda2526!C311,'CAL3'!A:A,0)+2,2,4,1,"CAL3")),"")</f>
        <v/>
      </c>
      <c r="R310" s="21">
        <f ca="1">IF(CALC2223!AZ310&gt;2,INDIRECT(ADDRESS(MATCH(Agenda2526!C311,'CAL3'!A:A,0)+2,3,4,1,"CAL3")),0)</f>
        <v>0</v>
      </c>
      <c r="S310" s="20" t="str">
        <f ca="1">IF(CALC2223!BA310&gt;0,INDIRECT(ADDRESS(MATCH(Agenda2526!C311,'CAL4'!A:A,0),2,4,1,"CAL4")),"")</f>
        <v>inhalen</v>
      </c>
      <c r="T310" s="21">
        <f ca="1">IF(CALC2223!BA310&gt;0,INDIRECT(ADDRESS(MATCH(Agenda2526!C311,'CAL4'!A:A,0),3,4,1,"CAL4")),0)</f>
        <v>45896</v>
      </c>
      <c r="U310" s="20" t="str">
        <f ca="1">IF(CALC2223!BA310&gt;1,INDIRECT(ADDRESS(MATCH(Agenda2526!C311,'CAL4'!A:A,0)+1,2,4,1,"CAL4")),"")</f>
        <v/>
      </c>
      <c r="V310" s="21">
        <f ca="1">IF(CALC2223!BA310&gt;1,INDIRECT(ADDRESS(MATCH(Agenda2526!C311,'CAL4'!A:A,0)+1,3,4,1,"CAL4")),0)</f>
        <v>0</v>
      </c>
      <c r="W310" s="20" t="str">
        <f ca="1">IF(CALC2223!BA310&gt;2,INDIRECT(ADDRESS(MATCH(Agenda2526!C311,'CAL4'!A:A,0)+2,2,4,1,"CAL4")),"")</f>
        <v/>
      </c>
      <c r="X310" s="21">
        <f ca="1">IF(CALC2223!BA310&gt;2,INDIRECT(ADDRESS(MATCH(Agenda2526!C311,'CAL4'!A:A,0)+2,3,4,1,"CAL4")),0)</f>
        <v>0</v>
      </c>
      <c r="Y310" s="20" t="str">
        <f ca="1">IF(CALC2223!BB310&gt;0,INDIRECT(ADDRESS(MATCH(Agenda2526!C311,'CAL5'!A:A,0),2,4,1,"CAL5")),"")</f>
        <v>inhalen</v>
      </c>
      <c r="Z310" s="21">
        <f ca="1">IF(CALC2223!BB310&gt;0,INDIRECT(ADDRESS(MATCH(Agenda2526!C311,'CAL5'!A:A,0),3,4,1,"CAL5")),0)</f>
        <v>45896</v>
      </c>
      <c r="AA310" s="20" t="str">
        <f ca="1">IF(CALC2223!BB310&gt;1,INDIRECT(ADDRESS(MATCH(Agenda2526!C311,'CAL5'!A:A,0)+1,2,4,1,"CAL5")),"")</f>
        <v/>
      </c>
      <c r="AB310" s="21">
        <f ca="1">IF(CALC2223!BB310&gt;1,INDIRECT(ADDRESS(MATCH(Agenda2526!C311,'CAL5'!A:A,0)+1,3,4,1,"CAL5")),0)</f>
        <v>0</v>
      </c>
      <c r="AC310" s="20" t="str">
        <f ca="1">IF(CALC2223!BB310&gt;2,INDIRECT(ADDRESS(MATCH(Agenda2526!C311,'CAL5'!A:A,0)+2,2,4,1,"CAL5")),"")</f>
        <v/>
      </c>
      <c r="AD310" s="21">
        <f ca="1">IF(CALC2223!BB310&gt;2,INDIRECT(ADDRESS(MATCH(Agenda2526!C311,'CAL5'!A:A,0)+2,3,4,1,"CAL5")),0)</f>
        <v>0</v>
      </c>
      <c r="AE310" s="20" t="str">
        <f ca="1">IF(CALC2223!BC310&gt;0,INDIRECT(ADDRESS(MATCH(Agenda2526!C311,'CAL6'!A:A,0),2,4,1,"CAL6")),"")</f>
        <v/>
      </c>
      <c r="AF310" s="21">
        <f ca="1">IF(CALC2223!BC310&gt;0,INDIRECT(ADDRESS(MATCH(Agenda2526!C311,'CAL6'!A:A,0),3,4,1,"CAL6")),0)</f>
        <v>0</v>
      </c>
      <c r="AG310" s="20" t="str">
        <f ca="1">IF(CALC2223!BC310&gt;1,INDIRECT(ADDRESS(MATCH(Agenda2526!C311,'CAL6'!A:A,0)+1,2,4,1,"CAL6")),"")</f>
        <v/>
      </c>
      <c r="AH310" s="21">
        <f ca="1">IF(CALC2223!BC310&gt;1,INDIRECT(ADDRESS(MATCH(Agenda2526!C311,'CAL6'!A:A,0)+1,3,4,1,"CAL6")),0)</f>
        <v>0</v>
      </c>
      <c r="AI310" s="20" t="str">
        <f ca="1">IF(CALC2223!BC310&gt;2,INDIRECT(ADDRESS(MATCH(Agenda2526!C311,'CAL6'!A:A,0)+2,2,4,1,"CAL6")),"")</f>
        <v/>
      </c>
      <c r="AJ310" s="21">
        <f ca="1">IF(CALC2223!BC310&gt;2,INDIRECT(ADDRESS(MATCH(Agenda2526!C311,'CAL6'!A:A,0)+2,3,4,1,"CAL6")),0)</f>
        <v>0</v>
      </c>
      <c r="AK310" s="20" t="str">
        <f ca="1">IF(CALC2223!BD310&gt;0,INDIRECT(ADDRESS(MATCH(Agenda2526!C311,'CAL7'!A:A,0),2,4,1,"CAL7")),"")</f>
        <v/>
      </c>
      <c r="AL310" s="21">
        <f ca="1">IF(CALC2223!BD310&gt;0,INDIRECT(ADDRESS(MATCH(Agenda2526!C311,'CAL7'!A:A,0),3,4,1,"CAL7")),0)</f>
        <v>0</v>
      </c>
      <c r="AM310" s="20" t="str">
        <f ca="1">IF(CALC2223!BD310&gt;1,INDIRECT(ADDRESS(MATCH(Agenda2526!C311,'CAL7'!A:A,0)+1,2,4,1,"CAL7")),"")</f>
        <v/>
      </c>
      <c r="AN310" s="21">
        <f ca="1">IF(CALC2223!BD310&gt;1,INDIRECT(ADDRESS(MATCH(Agenda2526!C311,'CAL7'!A:A,0)+1,3,4,1,"CAL7")),0)</f>
        <v>0</v>
      </c>
      <c r="AO310" s="20" t="str">
        <f ca="1">IF(CALC2223!BD310&gt;2,INDIRECT(ADDRESS(MATCH(Agenda2526!C311,'CAL7'!A:A,0)+2,2,4,1,"CAL7")),"")</f>
        <v/>
      </c>
      <c r="AP310" s="21">
        <f ca="1">IF(CALC2223!BD310&gt;2,INDIRECT(ADDRESS(MATCH(Agenda2526!C311,'CAL7'!A:A,0)+2,3,4,1,"CAL7")),0)</f>
        <v>0</v>
      </c>
      <c r="AQ310" s="20" t="str">
        <f ca="1">IF(CALC2223!BE310&gt;0,INDIRECT(ADDRESS(MATCH(Agenda2526!C311,'CAL8'!A:A,0),2,4,1,"CAL8")),"")</f>
        <v>CGUweek4</v>
      </c>
      <c r="AR310" s="21">
        <f ca="1">IF(CALC2223!BE310&gt;0,INDIRECT(ADDRESS(MATCH(Agenda2526!C311,'CAL8'!A:A,0),3,4,1,"CAL8")),0)</f>
        <v>45896</v>
      </c>
      <c r="AS310" s="20" t="str">
        <f ca="1">IF(CALC2223!BE310&gt;1,INDIRECT(ADDRESS(MATCH(Agenda2526!C311,'CAL8'!A:A,0)+1,2,4,1,"CAL8")),"")</f>
        <v/>
      </c>
      <c r="AT310" s="21">
        <f ca="1">IF(CALC2223!BE310&gt;1,INDIRECT(ADDRESS(MATCH(Agenda2526!C311,'CAL8'!A:A,0)+1,3,4,1,"CAL8")),0)</f>
        <v>0</v>
      </c>
      <c r="AU310" s="20" t="str">
        <f ca="1">IF(CALC2223!BE310&gt;2,INDIRECT(ADDRESS(MATCH(Agenda2526!C311,'CAL8'!A:A,0)+2,2,4,1,"CAL8")),"")</f>
        <v/>
      </c>
      <c r="AV310" s="21">
        <f ca="1">IF(CALC2223!BE310&gt;2,INDIRECT(ADDRESS(MATCH(Agenda2526!C311,'CAL8'!A:A,0)+2,3,4,1,"CAL8")),0)</f>
        <v>0</v>
      </c>
      <c r="AW310" s="104"/>
      <c r="AX310" s="20">
        <f>COUNTIF('CAL1'!A:A,Agenda2526!C311)</f>
        <v>1</v>
      </c>
      <c r="AY310" s="20">
        <f>COUNTIF('CAL2'!A:A,Agenda2526!C311)</f>
        <v>1</v>
      </c>
      <c r="AZ310" s="20">
        <f>COUNTIF('CAL3'!A:A,Agenda2526!C311)</f>
        <v>1</v>
      </c>
      <c r="BA310" s="20">
        <f>COUNTIF('CAL4'!A:A,Agenda2526!C311)</f>
        <v>1</v>
      </c>
      <c r="BB310" s="20">
        <f>COUNTIF('CAL5'!A:A,Agenda2526!C311)</f>
        <v>1</v>
      </c>
      <c r="BC310" s="20">
        <f>COUNTIF('CAL6'!A:A,Agenda2526!C311)</f>
        <v>0</v>
      </c>
      <c r="BD310" s="20">
        <f>COUNTIF('CAL7'!A:A,Agenda2526!C311)</f>
        <v>0</v>
      </c>
      <c r="BE310" s="20">
        <f>COUNTIF('CAL8'!A:A,Agenda2526!C311)</f>
        <v>1</v>
      </c>
    </row>
    <row r="311" spans="1:57" ht="15.75" customHeight="1">
      <c r="A311" s="20" t="str">
        <f ca="1">IF(CALC2223!AX311&gt;0,INDIRECT(ADDRESS(MATCH(Agenda2526!C312,'CAL1'!A:A,0),2,4,1,"CAL1")),"")</f>
        <v/>
      </c>
      <c r="B311" s="21">
        <f ca="1">IF(CALC2223!AX311&gt;0,INDIRECT(ADDRESS(MATCH(Agenda2526!C312,'CAL1'!A:A,0),3,4,1,"CAL1")),0)</f>
        <v>0</v>
      </c>
      <c r="C311" s="20" t="str">
        <f ca="1">IF(CALC2223!AX311&gt;1,INDIRECT(ADDRESS(MATCH(Agenda2526!C312,'CAL1'!A:A,0)+1,2,4,1,"CAL1")),"")</f>
        <v/>
      </c>
      <c r="D311" s="21">
        <f ca="1">IF(CALC2223!AX311&gt;1,INDIRECT(ADDRESS(MATCH(Agenda2526!C312,'CAL1'!A:A,0)+1,3,4,1,"CAL1")),0)</f>
        <v>0</v>
      </c>
      <c r="E311" s="20" t="str">
        <f ca="1">IF(CALC2223!AX311&gt;2,INDIRECT(ADDRESS(MATCH(Agenda2526!C312,'CAL1'!A:A,0)+2,2,4,1,"CAL1")),"")</f>
        <v/>
      </c>
      <c r="F311" s="21">
        <f ca="1">IF(CALC2223!AX311&gt;2,INDIRECT(ADDRESS(MATCH(Agenda2526!C312,'CAL1'!A:A,0)+2,3,4,1,"CAL1")),0)</f>
        <v>0</v>
      </c>
      <c r="G311" s="20" t="str">
        <f ca="1">IF(CALC2223!AY311&gt;0,INDIRECT(ADDRESS(MATCH(Agenda2526!C312,'CAL2'!A:A,0),2,4,1,"CAL2")),"")</f>
        <v/>
      </c>
      <c r="H311" s="21">
        <f ca="1">IF(CALC2223!AY311&gt;0,INDIRECT(ADDRESS(MATCH(Agenda2526!C312,'CAL2'!A:A,0),3,4,1,"CAL2")),0)</f>
        <v>0</v>
      </c>
      <c r="I311" s="20" t="str">
        <f ca="1">IF(CALC2223!AY311&gt;1,INDIRECT(ADDRESS(MATCH(Agenda2526!C312,'CAL2'!A:A,0)+1,2,4,1,"CAL2")),"")</f>
        <v/>
      </c>
      <c r="J311" s="21">
        <f ca="1">IF(CALC2223!AY311&gt;1,INDIRECT(ADDRESS(MATCH(Agenda2526!C312,'CAL2'!A:A,0)+1,3,4,1,"CAL2")),0)</f>
        <v>0</v>
      </c>
      <c r="K311" s="20" t="str">
        <f ca="1">IF(CALC2223!AY311&gt;2,INDIRECT(ADDRESS(MATCH(Agenda2526!C312,'CAL2'!A:A,0)+2,2,4,1,"CAL2")),"")</f>
        <v/>
      </c>
      <c r="L311" s="21">
        <f ca="1">IF(CALC2223!AY311&gt;2,INDIRECT(ADDRESS(MATCH(Agenda2526!C312,'CAL2'!A:A,0)+2,3,4,1,"CAL2")),0)</f>
        <v>0</v>
      </c>
      <c r="M311" s="20" t="str">
        <f ca="1">IF(CALC2223!AZ311&gt;0,INDIRECT(ADDRESS(MATCH(Agenda2526!C312,'CAL3'!A:A,0),2,4,1,"CAL3")),"")</f>
        <v>Ardennenkamp</v>
      </c>
      <c r="N311" s="21">
        <f ca="1">IF(CALC2223!AZ311&gt;0,INDIRECT(ADDRESS(MATCH(Agenda2526!C312,'CAL3'!A:A,0),3,4,1,"CAL3")),0)</f>
        <v>46066</v>
      </c>
      <c r="O311" s="20" t="str">
        <f ca="1">IF(CALC2223!AZ311&gt;1,INDIRECT(ADDRESS(MATCH(Agenda2526!C312,'CAL3'!A:A,0)+1,2,4,1,"CAL3")),"")</f>
        <v/>
      </c>
      <c r="P311" s="21">
        <f ca="1">IF(CALC2223!AZ311&gt;1,INDIRECT(ADDRESS(MATCH(Agenda2526!C312,'CAL3'!A:A,0)+1,3,4,1,"CAL3")),0)</f>
        <v>0</v>
      </c>
      <c r="Q311" s="20" t="str">
        <f ca="1">IF(CALC2223!AZ311&gt;2,INDIRECT(ADDRESS(MATCH(Agenda2526!C312,'CAL3'!A:A,0)+2,2,4,1,"CAL3")),"")</f>
        <v/>
      </c>
      <c r="R311" s="21">
        <f ca="1">IF(CALC2223!AZ311&gt;2,INDIRECT(ADDRESS(MATCH(Agenda2526!C312,'CAL3'!A:A,0)+2,3,4,1,"CAL3")),0)</f>
        <v>0</v>
      </c>
      <c r="S311" s="20" t="str">
        <f ca="1">IF(CALC2223!BA311&gt;0,INDIRECT(ADDRESS(MATCH(Agenda2526!C312,'CAL4'!A:A,0),2,4,1,"CAL4")),"")</f>
        <v/>
      </c>
      <c r="T311" s="21">
        <f ca="1">IF(CALC2223!BA311&gt;0,INDIRECT(ADDRESS(MATCH(Agenda2526!C312,'CAL4'!A:A,0),3,4,1,"CAL4")),0)</f>
        <v>0</v>
      </c>
      <c r="U311" s="20" t="str">
        <f ca="1">IF(CALC2223!BA311&gt;1,INDIRECT(ADDRESS(MATCH(Agenda2526!C312,'CAL4'!A:A,0)+1,2,4,1,"CAL4")),"")</f>
        <v/>
      </c>
      <c r="V311" s="21">
        <f ca="1">IF(CALC2223!BA311&gt;1,INDIRECT(ADDRESS(MATCH(Agenda2526!C312,'CAL4'!A:A,0)+1,3,4,1,"CAL4")),0)</f>
        <v>0</v>
      </c>
      <c r="W311" s="20" t="str">
        <f ca="1">IF(CALC2223!BA311&gt;2,INDIRECT(ADDRESS(MATCH(Agenda2526!C312,'CAL4'!A:A,0)+2,2,4,1,"CAL4")),"")</f>
        <v/>
      </c>
      <c r="X311" s="21">
        <f ca="1">IF(CALC2223!BA311&gt;2,INDIRECT(ADDRESS(MATCH(Agenda2526!C312,'CAL4'!A:A,0)+2,3,4,1,"CAL4")),0)</f>
        <v>0</v>
      </c>
      <c r="Y311" s="20" t="str">
        <f ca="1">IF(CALC2223!BB311&gt;0,INDIRECT(ADDRESS(MATCH(Agenda2526!C312,'CAL5'!A:A,0),2,4,1,"CAL5")),"")</f>
        <v/>
      </c>
      <c r="Z311" s="21">
        <f ca="1">IF(CALC2223!BB311&gt;0,INDIRECT(ADDRESS(MATCH(Agenda2526!C312,'CAL5'!A:A,0),3,4,1,"CAL5")),0)</f>
        <v>0</v>
      </c>
      <c r="AA311" s="20" t="str">
        <f ca="1">IF(CALC2223!BB311&gt;1,INDIRECT(ADDRESS(MATCH(Agenda2526!C312,'CAL5'!A:A,0)+1,2,4,1,"CAL5")),"")</f>
        <v/>
      </c>
      <c r="AB311" s="21">
        <f ca="1">IF(CALC2223!BB311&gt;1,INDIRECT(ADDRESS(MATCH(Agenda2526!C312,'CAL5'!A:A,0)+1,3,4,1,"CAL5")),0)</f>
        <v>0</v>
      </c>
      <c r="AC311" s="20" t="str">
        <f ca="1">IF(CALC2223!BB311&gt;2,INDIRECT(ADDRESS(MATCH(Agenda2526!C312,'CAL5'!A:A,0)+2,2,4,1,"CAL5")),"")</f>
        <v/>
      </c>
      <c r="AD311" s="21">
        <f ca="1">IF(CALC2223!BB311&gt;2,INDIRECT(ADDRESS(MATCH(Agenda2526!C312,'CAL5'!A:A,0)+2,3,4,1,"CAL5")),0)</f>
        <v>0</v>
      </c>
      <c r="AE311" s="20" t="str">
        <f ca="1">IF(CALC2223!BC311&gt;0,INDIRECT(ADDRESS(MATCH(Agenda2526!C312,'CAL6'!A:A,0),2,4,1,"CAL6")),"")</f>
        <v/>
      </c>
      <c r="AF311" s="21">
        <f ca="1">IF(CALC2223!BC311&gt;0,INDIRECT(ADDRESS(MATCH(Agenda2526!C312,'CAL6'!A:A,0),3,4,1,"CAL6")),0)</f>
        <v>0</v>
      </c>
      <c r="AG311" s="20" t="str">
        <f ca="1">IF(CALC2223!BC311&gt;1,INDIRECT(ADDRESS(MATCH(Agenda2526!C312,'CAL6'!A:A,0)+1,2,4,1,"CAL6")),"")</f>
        <v/>
      </c>
      <c r="AH311" s="21">
        <f ca="1">IF(CALC2223!BC311&gt;1,INDIRECT(ADDRESS(MATCH(Agenda2526!C312,'CAL6'!A:A,0)+1,3,4,1,"CAL6")),0)</f>
        <v>0</v>
      </c>
      <c r="AI311" s="20" t="str">
        <f ca="1">IF(CALC2223!BC311&gt;2,INDIRECT(ADDRESS(MATCH(Agenda2526!C312,'CAL6'!A:A,0)+2,2,4,1,"CAL6")),"")</f>
        <v/>
      </c>
      <c r="AJ311" s="21">
        <f ca="1">IF(CALC2223!BC311&gt;2,INDIRECT(ADDRESS(MATCH(Agenda2526!C312,'CAL6'!A:A,0)+2,3,4,1,"CAL6")),0)</f>
        <v>0</v>
      </c>
      <c r="AK311" s="20" t="str">
        <f ca="1">IF(CALC2223!BD311&gt;0,INDIRECT(ADDRESS(MATCH(Agenda2526!C312,'CAL7'!A:A,0),2,4,1,"CAL7")),"")</f>
        <v/>
      </c>
      <c r="AL311" s="21">
        <f ca="1">IF(CALC2223!BD311&gt;0,INDIRECT(ADDRESS(MATCH(Agenda2526!C312,'CAL7'!A:A,0),3,4,1,"CAL7")),0)</f>
        <v>0</v>
      </c>
      <c r="AM311" s="20" t="str">
        <f ca="1">IF(CALC2223!BD311&gt;1,INDIRECT(ADDRESS(MATCH(Agenda2526!C312,'CAL7'!A:A,0)+1,2,4,1,"CAL7")),"")</f>
        <v/>
      </c>
      <c r="AN311" s="21">
        <f ca="1">IF(CALC2223!BD311&gt;1,INDIRECT(ADDRESS(MATCH(Agenda2526!C312,'CAL7'!A:A,0)+1,3,4,1,"CAL7")),0)</f>
        <v>0</v>
      </c>
      <c r="AO311" s="20" t="str">
        <f ca="1">IF(CALC2223!BD311&gt;2,INDIRECT(ADDRESS(MATCH(Agenda2526!C312,'CAL7'!A:A,0)+2,2,4,1,"CAL7")),"")</f>
        <v/>
      </c>
      <c r="AP311" s="21">
        <f ca="1">IF(CALC2223!BD311&gt;2,INDIRECT(ADDRESS(MATCH(Agenda2526!C312,'CAL7'!A:A,0)+2,3,4,1,"CAL7")),0)</f>
        <v>0</v>
      </c>
      <c r="AQ311" s="20" t="str">
        <f ca="1">IF(CALC2223!BE311&gt;0,INDIRECT(ADDRESS(MATCH(Agenda2526!C312,'CAL8'!A:A,0),2,4,1,"CAL8")),"")</f>
        <v/>
      </c>
      <c r="AR311" s="21">
        <f ca="1">IF(CALC2223!BE311&gt;0,INDIRECT(ADDRESS(MATCH(Agenda2526!C312,'CAL8'!A:A,0),3,4,1,"CAL8")),0)</f>
        <v>0</v>
      </c>
      <c r="AS311" s="20" t="str">
        <f ca="1">IF(CALC2223!BE311&gt;1,INDIRECT(ADDRESS(MATCH(Agenda2526!C312,'CAL8'!A:A,0)+1,2,4,1,"CAL8")),"")</f>
        <v/>
      </c>
      <c r="AT311" s="21">
        <f ca="1">IF(CALC2223!BE311&gt;1,INDIRECT(ADDRESS(MATCH(Agenda2526!C312,'CAL8'!A:A,0)+1,3,4,1,"CAL8")),0)</f>
        <v>0</v>
      </c>
      <c r="AU311" s="20" t="str">
        <f ca="1">IF(CALC2223!BE311&gt;2,INDIRECT(ADDRESS(MATCH(Agenda2526!C312,'CAL8'!A:A,0)+2,2,4,1,"CAL8")),"")</f>
        <v/>
      </c>
      <c r="AV311" s="21">
        <f ca="1">IF(CALC2223!BE311&gt;2,INDIRECT(ADDRESS(MATCH(Agenda2526!C312,'CAL8'!A:A,0)+2,3,4,1,"CAL8")),0)</f>
        <v>0</v>
      </c>
      <c r="AW311" s="104"/>
      <c r="AX311" s="20">
        <f>COUNTIF('CAL1'!A:A,Agenda2526!C312)</f>
        <v>0</v>
      </c>
      <c r="AY311" s="20">
        <f>COUNTIF('CAL2'!A:A,Agenda2526!C312)</f>
        <v>0</v>
      </c>
      <c r="AZ311" s="20">
        <f>COUNTIF('CAL3'!A:A,Agenda2526!C312)</f>
        <v>1</v>
      </c>
      <c r="BA311" s="20">
        <f>COUNTIF('CAL4'!A:A,Agenda2526!C312)</f>
        <v>0</v>
      </c>
      <c r="BB311" s="20">
        <f>COUNTIF('CAL5'!A:A,Agenda2526!C312)</f>
        <v>0</v>
      </c>
      <c r="BC311" s="20">
        <f>COUNTIF('CAL6'!A:A,Agenda2526!C312)</f>
        <v>0</v>
      </c>
      <c r="BD311" s="20">
        <f>COUNTIF('CAL7'!A:A,Agenda2526!C312)</f>
        <v>0</v>
      </c>
      <c r="BE311" s="20">
        <f>COUNTIF('CAL8'!A:A,Agenda2526!C312)</f>
        <v>0</v>
      </c>
    </row>
    <row r="312" spans="1:57" ht="15.75" customHeight="1">
      <c r="A312" s="20" t="str">
        <f ca="1">IF(CALC2223!AX312&gt;0,INDIRECT(ADDRESS(MATCH(Agenda2526!C313,'CAL1'!A:A,0),2,4,1,"CAL1")),"")</f>
        <v/>
      </c>
      <c r="B312" s="21">
        <f ca="1">IF(CALC2223!AX312&gt;0,INDIRECT(ADDRESS(MATCH(Agenda2526!C313,'CAL1'!A:A,0),3,4,1,"CAL1")),0)</f>
        <v>0</v>
      </c>
      <c r="C312" s="20" t="str">
        <f ca="1">IF(CALC2223!AX312&gt;1,INDIRECT(ADDRESS(MATCH(Agenda2526!C313,'CAL1'!A:A,0)+1,2,4,1,"CAL1")),"")</f>
        <v/>
      </c>
      <c r="D312" s="21">
        <f ca="1">IF(CALC2223!AX312&gt;1,INDIRECT(ADDRESS(MATCH(Agenda2526!C313,'CAL1'!A:A,0)+1,3,4,1,"CAL1")),0)</f>
        <v>0</v>
      </c>
      <c r="E312" s="20" t="str">
        <f ca="1">IF(CALC2223!AX312&gt;2,INDIRECT(ADDRESS(MATCH(Agenda2526!C313,'CAL1'!A:A,0)+2,2,4,1,"CAL1")),"")</f>
        <v/>
      </c>
      <c r="F312" s="21">
        <f ca="1">IF(CALC2223!AX312&gt;2,INDIRECT(ADDRESS(MATCH(Agenda2526!C313,'CAL1'!A:A,0)+2,3,4,1,"CAL1")),0)</f>
        <v>0</v>
      </c>
      <c r="G312" s="20" t="str">
        <f ca="1">IF(CALC2223!AY312&gt;0,INDIRECT(ADDRESS(MATCH(Agenda2526!C313,'CAL2'!A:A,0),2,4,1,"CAL2")),"")</f>
        <v/>
      </c>
      <c r="H312" s="21">
        <f ca="1">IF(CALC2223!AY312&gt;0,INDIRECT(ADDRESS(MATCH(Agenda2526!C313,'CAL2'!A:A,0),3,4,1,"CAL2")),0)</f>
        <v>0</v>
      </c>
      <c r="I312" s="20" t="str">
        <f ca="1">IF(CALC2223!AY312&gt;1,INDIRECT(ADDRESS(MATCH(Agenda2526!C313,'CAL2'!A:A,0)+1,2,4,1,"CAL2")),"")</f>
        <v/>
      </c>
      <c r="J312" s="21">
        <f ca="1">IF(CALC2223!AY312&gt;1,INDIRECT(ADDRESS(MATCH(Agenda2526!C313,'CAL2'!A:A,0)+1,3,4,1,"CAL2")),0)</f>
        <v>0</v>
      </c>
      <c r="K312" s="20" t="str">
        <f ca="1">IF(CALC2223!AY312&gt;2,INDIRECT(ADDRESS(MATCH(Agenda2526!C313,'CAL2'!A:A,0)+2,2,4,1,"CAL2")),"")</f>
        <v/>
      </c>
      <c r="L312" s="21">
        <f ca="1">IF(CALC2223!AY312&gt;2,INDIRECT(ADDRESS(MATCH(Agenda2526!C313,'CAL2'!A:A,0)+2,3,4,1,"CAL2")),0)</f>
        <v>0</v>
      </c>
      <c r="M312" s="20" t="str">
        <f ca="1">IF(CALC2223!AZ312&gt;0,INDIRECT(ADDRESS(MATCH(Agenda2526!C313,'CAL3'!A:A,0),2,4,1,"CAL3")),"")</f>
        <v>Ardennenkamp</v>
      </c>
      <c r="N312" s="21">
        <f ca="1">IF(CALC2223!AZ312&gt;0,INDIRECT(ADDRESS(MATCH(Agenda2526!C313,'CAL3'!A:A,0),3,4,1,"CAL3")),0)</f>
        <v>46066</v>
      </c>
      <c r="O312" s="20" t="str">
        <f ca="1">IF(CALC2223!AZ312&gt;1,INDIRECT(ADDRESS(MATCH(Agenda2526!C313,'CAL3'!A:A,0)+1,2,4,1,"CAL3")),"")</f>
        <v/>
      </c>
      <c r="P312" s="21">
        <f ca="1">IF(CALC2223!AZ312&gt;1,INDIRECT(ADDRESS(MATCH(Agenda2526!C313,'CAL3'!A:A,0)+1,3,4,1,"CAL3")),0)</f>
        <v>0</v>
      </c>
      <c r="Q312" s="20" t="str">
        <f ca="1">IF(CALC2223!AZ312&gt;2,INDIRECT(ADDRESS(MATCH(Agenda2526!C313,'CAL3'!A:A,0)+2,2,4,1,"CAL3")),"")</f>
        <v/>
      </c>
      <c r="R312" s="21">
        <f ca="1">IF(CALC2223!AZ312&gt;2,INDIRECT(ADDRESS(MATCH(Agenda2526!C313,'CAL3'!A:A,0)+2,3,4,1,"CAL3")),0)</f>
        <v>0</v>
      </c>
      <c r="S312" s="20" t="str">
        <f ca="1">IF(CALC2223!BA312&gt;0,INDIRECT(ADDRESS(MATCH(Agenda2526!C313,'CAL4'!A:A,0),2,4,1,"CAL4")),"")</f>
        <v/>
      </c>
      <c r="T312" s="21">
        <f ca="1">IF(CALC2223!BA312&gt;0,INDIRECT(ADDRESS(MATCH(Agenda2526!C313,'CAL4'!A:A,0),3,4,1,"CAL4")),0)</f>
        <v>0</v>
      </c>
      <c r="U312" s="20" t="str">
        <f ca="1">IF(CALC2223!BA312&gt;1,INDIRECT(ADDRESS(MATCH(Agenda2526!C313,'CAL4'!A:A,0)+1,2,4,1,"CAL4")),"")</f>
        <v/>
      </c>
      <c r="V312" s="21">
        <f ca="1">IF(CALC2223!BA312&gt;1,INDIRECT(ADDRESS(MATCH(Agenda2526!C313,'CAL4'!A:A,0)+1,3,4,1,"CAL4")),0)</f>
        <v>0</v>
      </c>
      <c r="W312" s="20" t="str">
        <f ca="1">IF(CALC2223!BA312&gt;2,INDIRECT(ADDRESS(MATCH(Agenda2526!C313,'CAL4'!A:A,0)+2,2,4,1,"CAL4")),"")</f>
        <v/>
      </c>
      <c r="X312" s="21">
        <f ca="1">IF(CALC2223!BA312&gt;2,INDIRECT(ADDRESS(MATCH(Agenda2526!C313,'CAL4'!A:A,0)+2,3,4,1,"CAL4")),0)</f>
        <v>0</v>
      </c>
      <c r="Y312" s="20" t="str">
        <f ca="1">IF(CALC2223!BB312&gt;0,INDIRECT(ADDRESS(MATCH(Agenda2526!C313,'CAL5'!A:A,0),2,4,1,"CAL5")),"")</f>
        <v/>
      </c>
      <c r="Z312" s="21">
        <f ca="1">IF(CALC2223!BB312&gt;0,INDIRECT(ADDRESS(MATCH(Agenda2526!C313,'CAL5'!A:A,0),3,4,1,"CAL5")),0)</f>
        <v>0</v>
      </c>
      <c r="AA312" s="20" t="str">
        <f ca="1">IF(CALC2223!BB312&gt;1,INDIRECT(ADDRESS(MATCH(Agenda2526!C313,'CAL5'!A:A,0)+1,2,4,1,"CAL5")),"")</f>
        <v/>
      </c>
      <c r="AB312" s="21">
        <f ca="1">IF(CALC2223!BB312&gt;1,INDIRECT(ADDRESS(MATCH(Agenda2526!C313,'CAL5'!A:A,0)+1,3,4,1,"CAL5")),0)</f>
        <v>0</v>
      </c>
      <c r="AC312" s="20" t="str">
        <f ca="1">IF(CALC2223!BB312&gt;2,INDIRECT(ADDRESS(MATCH(Agenda2526!C313,'CAL5'!A:A,0)+2,2,4,1,"CAL5")),"")</f>
        <v/>
      </c>
      <c r="AD312" s="21">
        <f ca="1">IF(CALC2223!BB312&gt;2,INDIRECT(ADDRESS(MATCH(Agenda2526!C313,'CAL5'!A:A,0)+2,3,4,1,"CAL5")),0)</f>
        <v>0</v>
      </c>
      <c r="AE312" s="20" t="str">
        <f ca="1">IF(CALC2223!BC312&gt;0,INDIRECT(ADDRESS(MATCH(Agenda2526!C313,'CAL6'!A:A,0),2,4,1,"CAL6")),"")</f>
        <v/>
      </c>
      <c r="AF312" s="21">
        <f ca="1">IF(CALC2223!BC312&gt;0,INDIRECT(ADDRESS(MATCH(Agenda2526!C313,'CAL6'!A:A,0),3,4,1,"CAL6")),0)</f>
        <v>0</v>
      </c>
      <c r="AG312" s="20" t="str">
        <f ca="1">IF(CALC2223!BC312&gt;1,INDIRECT(ADDRESS(MATCH(Agenda2526!C313,'CAL6'!A:A,0)+1,2,4,1,"CAL6")),"")</f>
        <v/>
      </c>
      <c r="AH312" s="21">
        <f ca="1">IF(CALC2223!BC312&gt;1,INDIRECT(ADDRESS(MATCH(Agenda2526!C313,'CAL6'!A:A,0)+1,3,4,1,"CAL6")),0)</f>
        <v>0</v>
      </c>
      <c r="AI312" s="20" t="str">
        <f ca="1">IF(CALC2223!BC312&gt;2,INDIRECT(ADDRESS(MATCH(Agenda2526!C313,'CAL6'!A:A,0)+2,2,4,1,"CAL6")),"")</f>
        <v/>
      </c>
      <c r="AJ312" s="21">
        <f ca="1">IF(CALC2223!BC312&gt;2,INDIRECT(ADDRESS(MATCH(Agenda2526!C313,'CAL6'!A:A,0)+2,3,4,1,"CAL6")),0)</f>
        <v>0</v>
      </c>
      <c r="AK312" s="20" t="str">
        <f ca="1">IF(CALC2223!BD312&gt;0,INDIRECT(ADDRESS(MATCH(Agenda2526!C313,'CAL7'!A:A,0),2,4,1,"CAL7")),"")</f>
        <v/>
      </c>
      <c r="AL312" s="21">
        <f ca="1">IF(CALC2223!BD312&gt;0,INDIRECT(ADDRESS(MATCH(Agenda2526!C313,'CAL7'!A:A,0),3,4,1,"CAL7")),0)</f>
        <v>0</v>
      </c>
      <c r="AM312" s="20" t="str">
        <f ca="1">IF(CALC2223!BD312&gt;1,INDIRECT(ADDRESS(MATCH(Agenda2526!C313,'CAL7'!A:A,0)+1,2,4,1,"CAL7")),"")</f>
        <v/>
      </c>
      <c r="AN312" s="21">
        <f ca="1">IF(CALC2223!BD312&gt;1,INDIRECT(ADDRESS(MATCH(Agenda2526!C313,'CAL7'!A:A,0)+1,3,4,1,"CAL7")),0)</f>
        <v>0</v>
      </c>
      <c r="AO312" s="20" t="str">
        <f ca="1">IF(CALC2223!BD312&gt;2,INDIRECT(ADDRESS(MATCH(Agenda2526!C313,'CAL7'!A:A,0)+2,2,4,1,"CAL7")),"")</f>
        <v/>
      </c>
      <c r="AP312" s="21">
        <f ca="1">IF(CALC2223!BD312&gt;2,INDIRECT(ADDRESS(MATCH(Agenda2526!C313,'CAL7'!A:A,0)+2,3,4,1,"CAL7")),0)</f>
        <v>0</v>
      </c>
      <c r="AQ312" s="20" t="str">
        <f ca="1">IF(CALC2223!BE312&gt;0,INDIRECT(ADDRESS(MATCH(Agenda2526!C313,'CAL8'!A:A,0),2,4,1,"CAL8")),"")</f>
        <v/>
      </c>
      <c r="AR312" s="21">
        <f ca="1">IF(CALC2223!BE312&gt;0,INDIRECT(ADDRESS(MATCH(Agenda2526!C313,'CAL8'!A:A,0),3,4,1,"CAL8")),0)</f>
        <v>0</v>
      </c>
      <c r="AS312" s="20" t="str">
        <f ca="1">IF(CALC2223!BE312&gt;1,INDIRECT(ADDRESS(MATCH(Agenda2526!C313,'CAL8'!A:A,0)+1,2,4,1,"CAL8")),"")</f>
        <v/>
      </c>
      <c r="AT312" s="21">
        <f ca="1">IF(CALC2223!BE312&gt;1,INDIRECT(ADDRESS(MATCH(Agenda2526!C313,'CAL8'!A:A,0)+1,3,4,1,"CAL8")),0)</f>
        <v>0</v>
      </c>
      <c r="AU312" s="20" t="str">
        <f ca="1">IF(CALC2223!BE312&gt;2,INDIRECT(ADDRESS(MATCH(Agenda2526!C313,'CAL8'!A:A,0)+2,2,4,1,"CAL8")),"")</f>
        <v/>
      </c>
      <c r="AV312" s="21">
        <f ca="1">IF(CALC2223!BE312&gt;2,INDIRECT(ADDRESS(MATCH(Agenda2526!C313,'CAL8'!A:A,0)+2,3,4,1,"CAL8")),0)</f>
        <v>0</v>
      </c>
      <c r="AW312" s="104"/>
      <c r="AX312" s="20">
        <f>COUNTIF('CAL1'!A:A,Agenda2526!C313)</f>
        <v>0</v>
      </c>
      <c r="AY312" s="20">
        <f>COUNTIF('CAL2'!A:A,Agenda2526!C313)</f>
        <v>0</v>
      </c>
      <c r="AZ312" s="20">
        <f>COUNTIF('CAL3'!A:A,Agenda2526!C313)</f>
        <v>1</v>
      </c>
      <c r="BA312" s="20">
        <f>COUNTIF('CAL4'!A:A,Agenda2526!C313)</f>
        <v>0</v>
      </c>
      <c r="BB312" s="20">
        <f>COUNTIF('CAL5'!A:A,Agenda2526!C313)</f>
        <v>0</v>
      </c>
      <c r="BC312" s="20">
        <f>COUNTIF('CAL6'!A:A,Agenda2526!C313)</f>
        <v>0</v>
      </c>
      <c r="BD312" s="20">
        <f>COUNTIF('CAL7'!A:A,Agenda2526!C313)</f>
        <v>0</v>
      </c>
      <c r="BE312" s="20">
        <f>COUNTIF('CAL8'!A:A,Agenda2526!C313)</f>
        <v>0</v>
      </c>
    </row>
    <row r="313" spans="1:57" ht="15.75" customHeight="1">
      <c r="A313" s="20" t="str">
        <f ca="1">IF(CALC2223!AX313&gt;0,INDIRECT(ADDRESS(MATCH(Agenda2526!C314,'CAL1'!A:A,0),2,4,1,"CAL1")),"")</f>
        <v>cijfers inleveren</v>
      </c>
      <c r="B313" s="21">
        <f ca="1">IF(CALC2223!AX313&gt;0,INDIRECT(ADDRESS(MATCH(Agenda2526!C314,'CAL1'!A:A,0),3,4,1,"CAL1")),0)</f>
        <v>45896</v>
      </c>
      <c r="C313" s="20" t="str">
        <f ca="1">IF(CALC2223!AX313&gt;1,INDIRECT(ADDRESS(MATCH(Agenda2526!C314,'CAL1'!A:A,0)+1,2,4,1,"CAL1")),"")</f>
        <v/>
      </c>
      <c r="D313" s="21">
        <f ca="1">IF(CALC2223!AX313&gt;1,INDIRECT(ADDRESS(MATCH(Agenda2526!C314,'CAL1'!A:A,0)+1,3,4,1,"CAL1")),0)</f>
        <v>0</v>
      </c>
      <c r="E313" s="20" t="str">
        <f ca="1">IF(CALC2223!AX313&gt;2,INDIRECT(ADDRESS(MATCH(Agenda2526!C314,'CAL1'!A:A,0)+2,2,4,1,"CAL1")),"")</f>
        <v/>
      </c>
      <c r="F313" s="21">
        <f ca="1">IF(CALC2223!AX313&gt;2,INDIRECT(ADDRESS(MATCH(Agenda2526!C314,'CAL1'!A:A,0)+2,3,4,1,"CAL1")),0)</f>
        <v>0</v>
      </c>
      <c r="G313" s="20" t="str">
        <f ca="1">IF(CALC2223!AY313&gt;0,INDIRECT(ADDRESS(MATCH(Agenda2526!C314,'CAL2'!A:A,0),2,4,1,"CAL2")),"")</f>
        <v>cijfers inleveren</v>
      </c>
      <c r="H313" s="21">
        <f ca="1">IF(CALC2223!AY313&gt;0,INDIRECT(ADDRESS(MATCH(Agenda2526!C314,'CAL2'!A:A,0),3,4,1,"CAL2")),0)</f>
        <v>45896</v>
      </c>
      <c r="I313" s="20" t="str">
        <f ca="1">IF(CALC2223!AY313&gt;1,INDIRECT(ADDRESS(MATCH(Agenda2526!C314,'CAL2'!A:A,0)+1,2,4,1,"CAL2")),"")</f>
        <v/>
      </c>
      <c r="J313" s="21">
        <f ca="1">IF(CALC2223!AY313&gt;1,INDIRECT(ADDRESS(MATCH(Agenda2526!C314,'CAL2'!A:A,0)+1,3,4,1,"CAL2")),0)</f>
        <v>0</v>
      </c>
      <c r="K313" s="20" t="str">
        <f ca="1">IF(CALC2223!AY313&gt;2,INDIRECT(ADDRESS(MATCH(Agenda2526!C314,'CAL2'!A:A,0)+2,2,4,1,"CAL2")),"")</f>
        <v/>
      </c>
      <c r="L313" s="21">
        <f ca="1">IF(CALC2223!AY313&gt;2,INDIRECT(ADDRESS(MATCH(Agenda2526!C314,'CAL2'!A:A,0)+2,3,4,1,"CAL2")),0)</f>
        <v>0</v>
      </c>
      <c r="M313" s="20" t="str">
        <f ca="1">IF(CALC2223!AZ313&gt;0,INDIRECT(ADDRESS(MATCH(Agenda2526!C314,'CAL3'!A:A,0),2,4,1,"CAL3")),"")</f>
        <v>cijfers inleveren</v>
      </c>
      <c r="N313" s="21">
        <f ca="1">IF(CALC2223!AZ313&gt;0,INDIRECT(ADDRESS(MATCH(Agenda2526!C314,'CAL3'!A:A,0),3,4,1,"CAL3")),0)</f>
        <v>45896</v>
      </c>
      <c r="O313" s="20" t="str">
        <f ca="1">IF(CALC2223!AZ313&gt;1,INDIRECT(ADDRESS(MATCH(Agenda2526!C314,'CAL3'!A:A,0)+1,2,4,1,"CAL3")),"")</f>
        <v>Ardennenkamp</v>
      </c>
      <c r="P313" s="21">
        <f ca="1">IF(CALC2223!AZ313&gt;1,INDIRECT(ADDRESS(MATCH(Agenda2526!C314,'CAL3'!A:A,0)+1,3,4,1,"CAL3")),0)</f>
        <v>46066</v>
      </c>
      <c r="Q313" s="20" t="str">
        <f ca="1">IF(CALC2223!AZ313&gt;2,INDIRECT(ADDRESS(MATCH(Agenda2526!C314,'CAL3'!A:A,0)+2,2,4,1,"CAL3")),"")</f>
        <v/>
      </c>
      <c r="R313" s="21">
        <f ca="1">IF(CALC2223!AZ313&gt;2,INDIRECT(ADDRESS(MATCH(Agenda2526!C314,'CAL3'!A:A,0)+2,3,4,1,"CAL3")),0)</f>
        <v>0</v>
      </c>
      <c r="S313" s="20" t="str">
        <f ca="1">IF(CALC2223!BA313&gt;0,INDIRECT(ADDRESS(MATCH(Agenda2526!C314,'CAL4'!A:A,0),2,4,1,"CAL4")),"")</f>
        <v>cijfers inleveren</v>
      </c>
      <c r="T313" s="21">
        <f ca="1">IF(CALC2223!BA313&gt;0,INDIRECT(ADDRESS(MATCH(Agenda2526!C314,'CAL4'!A:A,0),3,4,1,"CAL4")),0)</f>
        <v>45896</v>
      </c>
      <c r="U313" s="20" t="str">
        <f ca="1">IF(CALC2223!BA313&gt;1,INDIRECT(ADDRESS(MATCH(Agenda2526!C314,'CAL4'!A:A,0)+1,2,4,1,"CAL4")),"")</f>
        <v/>
      </c>
      <c r="V313" s="21">
        <f ca="1">IF(CALC2223!BA313&gt;1,INDIRECT(ADDRESS(MATCH(Agenda2526!C314,'CAL4'!A:A,0)+1,3,4,1,"CAL4")),0)</f>
        <v>0</v>
      </c>
      <c r="W313" s="20" t="str">
        <f ca="1">IF(CALC2223!BA313&gt;2,INDIRECT(ADDRESS(MATCH(Agenda2526!C314,'CAL4'!A:A,0)+2,2,4,1,"CAL4")),"")</f>
        <v/>
      </c>
      <c r="X313" s="21">
        <f ca="1">IF(CALC2223!BA313&gt;2,INDIRECT(ADDRESS(MATCH(Agenda2526!C314,'CAL4'!A:A,0)+2,3,4,1,"CAL4")),0)</f>
        <v>0</v>
      </c>
      <c r="Y313" s="20" t="str">
        <f ca="1">IF(CALC2223!BB313&gt;0,INDIRECT(ADDRESS(MATCH(Agenda2526!C314,'CAL5'!A:A,0),2,4,1,"CAL5")),"")</f>
        <v>cijfers inleveren</v>
      </c>
      <c r="Z313" s="21">
        <f ca="1">IF(CALC2223!BB313&gt;0,INDIRECT(ADDRESS(MATCH(Agenda2526!C314,'CAL5'!A:A,0),3,4,1,"CAL5")),0)</f>
        <v>45896</v>
      </c>
      <c r="AA313" s="20" t="str">
        <f ca="1">IF(CALC2223!BB313&gt;1,INDIRECT(ADDRESS(MATCH(Agenda2526!C314,'CAL5'!A:A,0)+1,2,4,1,"CAL5")),"")</f>
        <v/>
      </c>
      <c r="AB313" s="21">
        <f ca="1">IF(CALC2223!BB313&gt;1,INDIRECT(ADDRESS(MATCH(Agenda2526!C314,'CAL5'!A:A,0)+1,3,4,1,"CAL5")),0)</f>
        <v>0</v>
      </c>
      <c r="AC313" s="20" t="str">
        <f ca="1">IF(CALC2223!BB313&gt;2,INDIRECT(ADDRESS(MATCH(Agenda2526!C314,'CAL5'!A:A,0)+2,2,4,1,"CAL5")),"")</f>
        <v/>
      </c>
      <c r="AD313" s="21">
        <f ca="1">IF(CALC2223!BB313&gt;2,INDIRECT(ADDRESS(MATCH(Agenda2526!C314,'CAL5'!A:A,0)+2,3,4,1,"CAL5")),0)</f>
        <v>0</v>
      </c>
      <c r="AE313" s="20" t="str">
        <f ca="1">IF(CALC2223!BC313&gt;0,INDIRECT(ADDRESS(MATCH(Agenda2526!C314,'CAL6'!A:A,0),2,4,1,"CAL6")),"")</f>
        <v/>
      </c>
      <c r="AF313" s="21">
        <f ca="1">IF(CALC2223!BC313&gt;0,INDIRECT(ADDRESS(MATCH(Agenda2526!C314,'CAL6'!A:A,0),3,4,1,"CAL6")),0)</f>
        <v>0</v>
      </c>
      <c r="AG313" s="20" t="str">
        <f ca="1">IF(CALC2223!BC313&gt;1,INDIRECT(ADDRESS(MATCH(Agenda2526!C314,'CAL6'!A:A,0)+1,2,4,1,"CAL6")),"")</f>
        <v/>
      </c>
      <c r="AH313" s="21">
        <f ca="1">IF(CALC2223!BC313&gt;1,INDIRECT(ADDRESS(MATCH(Agenda2526!C314,'CAL6'!A:A,0)+1,3,4,1,"CAL6")),0)</f>
        <v>0</v>
      </c>
      <c r="AI313" s="20" t="str">
        <f ca="1">IF(CALC2223!BC313&gt;2,INDIRECT(ADDRESS(MATCH(Agenda2526!C314,'CAL6'!A:A,0)+2,2,4,1,"CAL6")),"")</f>
        <v/>
      </c>
      <c r="AJ313" s="21">
        <f ca="1">IF(CALC2223!BC313&gt;2,INDIRECT(ADDRESS(MATCH(Agenda2526!C314,'CAL6'!A:A,0)+2,3,4,1,"CAL6")),0)</f>
        <v>0</v>
      </c>
      <c r="AK313" s="20" t="str">
        <f ca="1">IF(CALC2223!BD313&gt;0,INDIRECT(ADDRESS(MATCH(Agenda2526!C314,'CAL7'!A:A,0),2,4,1,"CAL7")),"")</f>
        <v/>
      </c>
      <c r="AL313" s="21">
        <f ca="1">IF(CALC2223!BD313&gt;0,INDIRECT(ADDRESS(MATCH(Agenda2526!C314,'CAL7'!A:A,0),3,4,1,"CAL7")),0)</f>
        <v>0</v>
      </c>
      <c r="AM313" s="20" t="str">
        <f ca="1">IF(CALC2223!BD313&gt;1,INDIRECT(ADDRESS(MATCH(Agenda2526!C314,'CAL7'!A:A,0)+1,2,4,1,"CAL7")),"")</f>
        <v/>
      </c>
      <c r="AN313" s="21">
        <f ca="1">IF(CALC2223!BD313&gt;1,INDIRECT(ADDRESS(MATCH(Agenda2526!C314,'CAL7'!A:A,0)+1,3,4,1,"CAL7")),0)</f>
        <v>0</v>
      </c>
      <c r="AO313" s="20" t="str">
        <f ca="1">IF(CALC2223!BD313&gt;2,INDIRECT(ADDRESS(MATCH(Agenda2526!C314,'CAL7'!A:A,0)+2,2,4,1,"CAL7")),"")</f>
        <v/>
      </c>
      <c r="AP313" s="21">
        <f ca="1">IF(CALC2223!BD313&gt;2,INDIRECT(ADDRESS(MATCH(Agenda2526!C314,'CAL7'!A:A,0)+2,3,4,1,"CAL7")),0)</f>
        <v>0</v>
      </c>
      <c r="AQ313" s="20" t="str">
        <f ca="1">IF(CALC2223!BE313&gt;0,INDIRECT(ADDRESS(MATCH(Agenda2526!C314,'CAL8'!A:A,0),2,4,1,"CAL8")),"")</f>
        <v/>
      </c>
      <c r="AR313" s="21">
        <f ca="1">IF(CALC2223!BE313&gt;0,INDIRECT(ADDRESS(MATCH(Agenda2526!C314,'CAL8'!A:A,0),3,4,1,"CAL8")),0)</f>
        <v>0</v>
      </c>
      <c r="AS313" s="20" t="str">
        <f ca="1">IF(CALC2223!BE313&gt;1,INDIRECT(ADDRESS(MATCH(Agenda2526!C314,'CAL8'!A:A,0)+1,2,4,1,"CAL8")),"")</f>
        <v/>
      </c>
      <c r="AT313" s="21">
        <f ca="1">IF(CALC2223!BE313&gt;1,INDIRECT(ADDRESS(MATCH(Agenda2526!C314,'CAL8'!A:A,0)+1,3,4,1,"CAL8")),0)</f>
        <v>0</v>
      </c>
      <c r="AU313" s="20" t="str">
        <f ca="1">IF(CALC2223!BE313&gt;2,INDIRECT(ADDRESS(MATCH(Agenda2526!C314,'CAL8'!A:A,0)+2,2,4,1,"CAL8")),"")</f>
        <v/>
      </c>
      <c r="AV313" s="21">
        <f ca="1">IF(CALC2223!BE313&gt;2,INDIRECT(ADDRESS(MATCH(Agenda2526!C314,'CAL8'!A:A,0)+2,3,4,1,"CAL8")),0)</f>
        <v>0</v>
      </c>
      <c r="AW313" s="104"/>
      <c r="AX313" s="20">
        <f>COUNTIF('CAL1'!A:A,Agenda2526!C314)</f>
        <v>1</v>
      </c>
      <c r="AY313" s="20">
        <f>COUNTIF('CAL2'!A:A,Agenda2526!C314)</f>
        <v>1</v>
      </c>
      <c r="AZ313" s="20">
        <f>COUNTIF('CAL3'!A:A,Agenda2526!C314)</f>
        <v>2</v>
      </c>
      <c r="BA313" s="20">
        <f>COUNTIF('CAL4'!A:A,Agenda2526!C314)</f>
        <v>1</v>
      </c>
      <c r="BB313" s="20">
        <f>COUNTIF('CAL5'!A:A,Agenda2526!C314)</f>
        <v>1</v>
      </c>
      <c r="BC313" s="20">
        <f>COUNTIF('CAL6'!A:A,Agenda2526!C314)</f>
        <v>0</v>
      </c>
      <c r="BD313" s="20">
        <f>COUNTIF('CAL7'!A:A,Agenda2526!C314)</f>
        <v>0</v>
      </c>
      <c r="BE313" s="20">
        <f>COUNTIF('CAL8'!A:A,Agenda2526!C314)</f>
        <v>0</v>
      </c>
    </row>
    <row r="314" spans="1:57" ht="15.75" customHeight="1">
      <c r="A314" s="20" t="str">
        <f ca="1">IF(CALC2223!AX314&gt;0,INDIRECT(ADDRESS(MATCH(Agenda2526!C315,'CAL1'!A:A,0),2,4,1,"CAL1")),"")</f>
        <v/>
      </c>
      <c r="B314" s="21">
        <f ca="1">IF(CALC2223!AX314&gt;0,INDIRECT(ADDRESS(MATCH(Agenda2526!C315,'CAL1'!A:A,0),3,4,1,"CAL1")),0)</f>
        <v>0</v>
      </c>
      <c r="C314" s="20" t="str">
        <f ca="1">IF(CALC2223!AX314&gt;1,INDIRECT(ADDRESS(MATCH(Agenda2526!C315,'CAL1'!A:A,0)+1,2,4,1,"CAL1")),"")</f>
        <v/>
      </c>
      <c r="D314" s="21">
        <f ca="1">IF(CALC2223!AX314&gt;1,INDIRECT(ADDRESS(MATCH(Agenda2526!C315,'CAL1'!A:A,0)+1,3,4,1,"CAL1")),0)</f>
        <v>0</v>
      </c>
      <c r="E314" s="20" t="str">
        <f ca="1">IF(CALC2223!AX314&gt;2,INDIRECT(ADDRESS(MATCH(Agenda2526!C315,'CAL1'!A:A,0)+2,2,4,1,"CAL1")),"")</f>
        <v/>
      </c>
      <c r="F314" s="21">
        <f ca="1">IF(CALC2223!AX314&gt;2,INDIRECT(ADDRESS(MATCH(Agenda2526!C315,'CAL1'!A:A,0)+2,3,4,1,"CAL1")),0)</f>
        <v>0</v>
      </c>
      <c r="G314" s="20" t="str">
        <f ca="1">IF(CALC2223!AY314&gt;0,INDIRECT(ADDRESS(MATCH(Agenda2526!C315,'CAL2'!A:A,0),2,4,1,"CAL2")),"")</f>
        <v/>
      </c>
      <c r="H314" s="21">
        <f ca="1">IF(CALC2223!AY314&gt;0,INDIRECT(ADDRESS(MATCH(Agenda2526!C315,'CAL2'!A:A,0),3,4,1,"CAL2")),0)</f>
        <v>0</v>
      </c>
      <c r="I314" s="20" t="str">
        <f ca="1">IF(CALC2223!AY314&gt;1,INDIRECT(ADDRESS(MATCH(Agenda2526!C315,'CAL2'!A:A,0)+1,2,4,1,"CAL2")),"")</f>
        <v/>
      </c>
      <c r="J314" s="21">
        <f ca="1">IF(CALC2223!AY314&gt;1,INDIRECT(ADDRESS(MATCH(Agenda2526!C315,'CAL2'!A:A,0)+1,3,4,1,"CAL2")),0)</f>
        <v>0</v>
      </c>
      <c r="K314" s="20" t="str">
        <f ca="1">IF(CALC2223!AY314&gt;2,INDIRECT(ADDRESS(MATCH(Agenda2526!C315,'CAL2'!A:A,0)+2,2,4,1,"CAL2")),"")</f>
        <v/>
      </c>
      <c r="L314" s="21">
        <f ca="1">IF(CALC2223!AY314&gt;2,INDIRECT(ADDRESS(MATCH(Agenda2526!C315,'CAL2'!A:A,0)+2,3,4,1,"CAL2")),0)</f>
        <v>0</v>
      </c>
      <c r="M314" s="20" t="str">
        <f ca="1">IF(CALC2223!AZ314&gt;0,INDIRECT(ADDRESS(MATCH(Agenda2526!C315,'CAL3'!A:A,0),2,4,1,"CAL3")),"")</f>
        <v>Ardennenkamp</v>
      </c>
      <c r="N314" s="21">
        <f ca="1">IF(CALC2223!AZ314&gt;0,INDIRECT(ADDRESS(MATCH(Agenda2526!C315,'CAL3'!A:A,0),3,4,1,"CAL3")),0)</f>
        <v>46066</v>
      </c>
      <c r="O314" s="20" t="str">
        <f ca="1">IF(CALC2223!AZ314&gt;1,INDIRECT(ADDRESS(MATCH(Agenda2526!C315,'CAL3'!A:A,0)+1,2,4,1,"CAL3")),"")</f>
        <v/>
      </c>
      <c r="P314" s="21">
        <f ca="1">IF(CALC2223!AZ314&gt;1,INDIRECT(ADDRESS(MATCH(Agenda2526!C315,'CAL3'!A:A,0)+1,3,4,1,"CAL3")),0)</f>
        <v>0</v>
      </c>
      <c r="Q314" s="20" t="str">
        <f ca="1">IF(CALC2223!AZ314&gt;2,INDIRECT(ADDRESS(MATCH(Agenda2526!C315,'CAL3'!A:A,0)+2,2,4,1,"CAL3")),"")</f>
        <v/>
      </c>
      <c r="R314" s="21">
        <f ca="1">IF(CALC2223!AZ314&gt;2,INDIRECT(ADDRESS(MATCH(Agenda2526!C315,'CAL3'!A:A,0)+2,3,4,1,"CAL3")),0)</f>
        <v>0</v>
      </c>
      <c r="S314" s="20" t="str">
        <f ca="1">IF(CALC2223!BA314&gt;0,INDIRECT(ADDRESS(MATCH(Agenda2526!C315,'CAL4'!A:A,0),2,4,1,"CAL4")),"")</f>
        <v/>
      </c>
      <c r="T314" s="21">
        <f ca="1">IF(CALC2223!BA314&gt;0,INDIRECT(ADDRESS(MATCH(Agenda2526!C315,'CAL4'!A:A,0),3,4,1,"CAL4")),0)</f>
        <v>0</v>
      </c>
      <c r="U314" s="20" t="str">
        <f ca="1">IF(CALC2223!BA314&gt;1,INDIRECT(ADDRESS(MATCH(Agenda2526!C315,'CAL4'!A:A,0)+1,2,4,1,"CAL4")),"")</f>
        <v/>
      </c>
      <c r="V314" s="21">
        <f ca="1">IF(CALC2223!BA314&gt;1,INDIRECT(ADDRESS(MATCH(Agenda2526!C315,'CAL4'!A:A,0)+1,3,4,1,"CAL4")),0)</f>
        <v>0</v>
      </c>
      <c r="W314" s="20" t="str">
        <f ca="1">IF(CALC2223!BA314&gt;2,INDIRECT(ADDRESS(MATCH(Agenda2526!C315,'CAL4'!A:A,0)+2,2,4,1,"CAL4")),"")</f>
        <v/>
      </c>
      <c r="X314" s="21">
        <f ca="1">IF(CALC2223!BA314&gt;2,INDIRECT(ADDRESS(MATCH(Agenda2526!C315,'CAL4'!A:A,0)+2,3,4,1,"CAL4")),0)</f>
        <v>0</v>
      </c>
      <c r="Y314" s="20" t="str">
        <f ca="1">IF(CALC2223!BB314&gt;0,INDIRECT(ADDRESS(MATCH(Agenda2526!C315,'CAL5'!A:A,0),2,4,1,"CAL5")),"")</f>
        <v/>
      </c>
      <c r="Z314" s="21">
        <f ca="1">IF(CALC2223!BB314&gt;0,INDIRECT(ADDRESS(MATCH(Agenda2526!C315,'CAL5'!A:A,0),3,4,1,"CAL5")),0)</f>
        <v>0</v>
      </c>
      <c r="AA314" s="20" t="str">
        <f ca="1">IF(CALC2223!BB314&gt;1,INDIRECT(ADDRESS(MATCH(Agenda2526!C315,'CAL5'!A:A,0)+1,2,4,1,"CAL5")),"")</f>
        <v/>
      </c>
      <c r="AB314" s="21">
        <f ca="1">IF(CALC2223!BB314&gt;1,INDIRECT(ADDRESS(MATCH(Agenda2526!C315,'CAL5'!A:A,0)+1,3,4,1,"CAL5")),0)</f>
        <v>0</v>
      </c>
      <c r="AC314" s="20" t="str">
        <f ca="1">IF(CALC2223!BB314&gt;2,INDIRECT(ADDRESS(MATCH(Agenda2526!C315,'CAL5'!A:A,0)+2,2,4,1,"CAL5")),"")</f>
        <v/>
      </c>
      <c r="AD314" s="21">
        <f ca="1">IF(CALC2223!BB314&gt;2,INDIRECT(ADDRESS(MATCH(Agenda2526!C315,'CAL5'!A:A,0)+2,3,4,1,"CAL5")),0)</f>
        <v>0</v>
      </c>
      <c r="AE314" s="20" t="str">
        <f ca="1">IF(CALC2223!BC314&gt;0,INDIRECT(ADDRESS(MATCH(Agenda2526!C315,'CAL6'!A:A,0),2,4,1,"CAL6")),"")</f>
        <v/>
      </c>
      <c r="AF314" s="21">
        <f ca="1">IF(CALC2223!BC314&gt;0,INDIRECT(ADDRESS(MATCH(Agenda2526!C315,'CAL6'!A:A,0),3,4,1,"CAL6")),0)</f>
        <v>0</v>
      </c>
      <c r="AG314" s="20" t="str">
        <f ca="1">IF(CALC2223!BC314&gt;1,INDIRECT(ADDRESS(MATCH(Agenda2526!C315,'CAL6'!A:A,0)+1,2,4,1,"CAL6")),"")</f>
        <v/>
      </c>
      <c r="AH314" s="21">
        <f ca="1">IF(CALC2223!BC314&gt;1,INDIRECT(ADDRESS(MATCH(Agenda2526!C315,'CAL6'!A:A,0)+1,3,4,1,"CAL6")),0)</f>
        <v>0</v>
      </c>
      <c r="AI314" s="20" t="str">
        <f ca="1">IF(CALC2223!BC314&gt;2,INDIRECT(ADDRESS(MATCH(Agenda2526!C315,'CAL6'!A:A,0)+2,2,4,1,"CAL6")),"")</f>
        <v/>
      </c>
      <c r="AJ314" s="21">
        <f ca="1">IF(CALC2223!BC314&gt;2,INDIRECT(ADDRESS(MATCH(Agenda2526!C315,'CAL6'!A:A,0)+2,3,4,1,"CAL6")),0)</f>
        <v>0</v>
      </c>
      <c r="AK314" s="20" t="str">
        <f ca="1">IF(CALC2223!BD314&gt;0,INDIRECT(ADDRESS(MATCH(Agenda2526!C315,'CAL7'!A:A,0),2,4,1,"CAL7")),"")</f>
        <v/>
      </c>
      <c r="AL314" s="21">
        <f ca="1">IF(CALC2223!BD314&gt;0,INDIRECT(ADDRESS(MATCH(Agenda2526!C315,'CAL7'!A:A,0),3,4,1,"CAL7")),0)</f>
        <v>0</v>
      </c>
      <c r="AM314" s="20" t="str">
        <f ca="1">IF(CALC2223!BD314&gt;1,INDIRECT(ADDRESS(MATCH(Agenda2526!C315,'CAL7'!A:A,0)+1,2,4,1,"CAL7")),"")</f>
        <v/>
      </c>
      <c r="AN314" s="21">
        <f ca="1">IF(CALC2223!BD314&gt;1,INDIRECT(ADDRESS(MATCH(Agenda2526!C315,'CAL7'!A:A,0)+1,3,4,1,"CAL7")),0)</f>
        <v>0</v>
      </c>
      <c r="AO314" s="20" t="str">
        <f ca="1">IF(CALC2223!BD314&gt;2,INDIRECT(ADDRESS(MATCH(Agenda2526!C315,'CAL7'!A:A,0)+2,2,4,1,"CAL7")),"")</f>
        <v/>
      </c>
      <c r="AP314" s="21">
        <f ca="1">IF(CALC2223!BD314&gt;2,INDIRECT(ADDRESS(MATCH(Agenda2526!C315,'CAL7'!A:A,0)+2,3,4,1,"CAL7")),0)</f>
        <v>0</v>
      </c>
      <c r="AQ314" s="20" t="str">
        <f ca="1">IF(CALC2223!BE314&gt;0,INDIRECT(ADDRESS(MATCH(Agenda2526!C315,'CAL8'!A:A,0),2,4,1,"CAL8")),"")</f>
        <v/>
      </c>
      <c r="AR314" s="21">
        <f ca="1">IF(CALC2223!BE314&gt;0,INDIRECT(ADDRESS(MATCH(Agenda2526!C315,'CAL8'!A:A,0),3,4,1,"CAL8")),0)</f>
        <v>0</v>
      </c>
      <c r="AS314" s="20" t="str">
        <f ca="1">IF(CALC2223!BE314&gt;1,INDIRECT(ADDRESS(MATCH(Agenda2526!C315,'CAL8'!A:A,0)+1,2,4,1,"CAL8")),"")</f>
        <v/>
      </c>
      <c r="AT314" s="21">
        <f ca="1">IF(CALC2223!BE314&gt;1,INDIRECT(ADDRESS(MATCH(Agenda2526!C315,'CAL8'!A:A,0)+1,3,4,1,"CAL8")),0)</f>
        <v>0</v>
      </c>
      <c r="AU314" s="20" t="str">
        <f ca="1">IF(CALC2223!BE314&gt;2,INDIRECT(ADDRESS(MATCH(Agenda2526!C315,'CAL8'!A:A,0)+2,2,4,1,"CAL8")),"")</f>
        <v/>
      </c>
      <c r="AV314" s="21">
        <f ca="1">IF(CALC2223!BE314&gt;2,INDIRECT(ADDRESS(MATCH(Agenda2526!C315,'CAL8'!A:A,0)+2,3,4,1,"CAL8")),0)</f>
        <v>0</v>
      </c>
      <c r="AW314" s="104"/>
      <c r="AX314" s="20">
        <f>COUNTIF('CAL1'!A:A,Agenda2526!C315)</f>
        <v>0</v>
      </c>
      <c r="AY314" s="20">
        <f>COUNTIF('CAL2'!A:A,Agenda2526!C315)</f>
        <v>0</v>
      </c>
      <c r="AZ314" s="20">
        <f>COUNTIF('CAL3'!A:A,Agenda2526!C315)</f>
        <v>1</v>
      </c>
      <c r="BA314" s="20">
        <f>COUNTIF('CAL4'!A:A,Agenda2526!C315)</f>
        <v>0</v>
      </c>
      <c r="BB314" s="20">
        <f>COUNTIF('CAL5'!A:A,Agenda2526!C315)</f>
        <v>0</v>
      </c>
      <c r="BC314" s="20">
        <f>COUNTIF('CAL6'!A:A,Agenda2526!C315)</f>
        <v>0</v>
      </c>
      <c r="BD314" s="20">
        <f>COUNTIF('CAL7'!A:A,Agenda2526!C315)</f>
        <v>0</v>
      </c>
      <c r="BE314" s="20">
        <f>COUNTIF('CAL8'!A:A,Agenda2526!C315)</f>
        <v>0</v>
      </c>
    </row>
    <row r="315" spans="1:57" ht="15.75" customHeight="1">
      <c r="A315" s="20" t="str">
        <f ca="1">IF(CALC2223!AX315&gt;0,INDIRECT(ADDRESS(MATCH(Agenda2526!C316,'CAL1'!A:A,0),2,4,1,"CAL1")),"")</f>
        <v/>
      </c>
      <c r="B315" s="21">
        <f ca="1">IF(CALC2223!AX315&gt;0,INDIRECT(ADDRESS(MATCH(Agenda2526!C316,'CAL1'!A:A,0),3,4,1,"CAL1")),0)</f>
        <v>0</v>
      </c>
      <c r="C315" s="20" t="str">
        <f ca="1">IF(CALC2223!AX315&gt;1,INDIRECT(ADDRESS(MATCH(Agenda2526!C316,'CAL1'!A:A,0)+1,2,4,1,"CAL1")),"")</f>
        <v/>
      </c>
      <c r="D315" s="21">
        <f ca="1">IF(CALC2223!AX315&gt;1,INDIRECT(ADDRESS(MATCH(Agenda2526!C316,'CAL1'!A:A,0)+1,3,4,1,"CAL1")),0)</f>
        <v>0</v>
      </c>
      <c r="E315" s="20" t="str">
        <f ca="1">IF(CALC2223!AX315&gt;2,INDIRECT(ADDRESS(MATCH(Agenda2526!C316,'CAL1'!A:A,0)+2,2,4,1,"CAL1")),"")</f>
        <v/>
      </c>
      <c r="F315" s="21">
        <f ca="1">IF(CALC2223!AX315&gt;2,INDIRECT(ADDRESS(MATCH(Agenda2526!C316,'CAL1'!A:A,0)+2,3,4,1,"CAL1")),0)</f>
        <v>0</v>
      </c>
      <c r="G315" s="20" t="str">
        <f ca="1">IF(CALC2223!AY315&gt;0,INDIRECT(ADDRESS(MATCH(Agenda2526!C316,'CAL2'!A:A,0),2,4,1,"CAL2")),"")</f>
        <v/>
      </c>
      <c r="H315" s="21">
        <f ca="1">IF(CALC2223!AY315&gt;0,INDIRECT(ADDRESS(MATCH(Agenda2526!C316,'CAL2'!A:A,0),3,4,1,"CAL2")),0)</f>
        <v>0</v>
      </c>
      <c r="I315" s="20" t="str">
        <f ca="1">IF(CALC2223!AY315&gt;1,INDIRECT(ADDRESS(MATCH(Agenda2526!C316,'CAL2'!A:A,0)+1,2,4,1,"CAL2")),"")</f>
        <v/>
      </c>
      <c r="J315" s="21">
        <f ca="1">IF(CALC2223!AY315&gt;1,INDIRECT(ADDRESS(MATCH(Agenda2526!C316,'CAL2'!A:A,0)+1,3,4,1,"CAL2")),0)</f>
        <v>0</v>
      </c>
      <c r="K315" s="20" t="str">
        <f ca="1">IF(CALC2223!AY315&gt;2,INDIRECT(ADDRESS(MATCH(Agenda2526!C316,'CAL2'!A:A,0)+2,2,4,1,"CAL2")),"")</f>
        <v/>
      </c>
      <c r="L315" s="21">
        <f ca="1">IF(CALC2223!AY315&gt;2,INDIRECT(ADDRESS(MATCH(Agenda2526!C316,'CAL2'!A:A,0)+2,3,4,1,"CAL2")),0)</f>
        <v>0</v>
      </c>
      <c r="M315" s="20" t="str">
        <f ca="1">IF(CALC2223!AZ315&gt;0,INDIRECT(ADDRESS(MATCH(Agenda2526!C316,'CAL3'!A:A,0),2,4,1,"CAL3")),"")</f>
        <v/>
      </c>
      <c r="N315" s="21">
        <f ca="1">IF(CALC2223!AZ315&gt;0,INDIRECT(ADDRESS(MATCH(Agenda2526!C316,'CAL3'!A:A,0),3,4,1,"CAL3")),0)</f>
        <v>0</v>
      </c>
      <c r="O315" s="20" t="str">
        <f ca="1">IF(CALC2223!AZ315&gt;1,INDIRECT(ADDRESS(MATCH(Agenda2526!C316,'CAL3'!A:A,0)+1,2,4,1,"CAL3")),"")</f>
        <v/>
      </c>
      <c r="P315" s="21">
        <f ca="1">IF(CALC2223!AZ315&gt;1,INDIRECT(ADDRESS(MATCH(Agenda2526!C316,'CAL3'!A:A,0)+1,3,4,1,"CAL3")),0)</f>
        <v>0</v>
      </c>
      <c r="Q315" s="20" t="str">
        <f ca="1">IF(CALC2223!AZ315&gt;2,INDIRECT(ADDRESS(MATCH(Agenda2526!C316,'CAL3'!A:A,0)+2,2,4,1,"CAL3")),"")</f>
        <v/>
      </c>
      <c r="R315" s="21">
        <f ca="1">IF(CALC2223!AZ315&gt;2,INDIRECT(ADDRESS(MATCH(Agenda2526!C316,'CAL3'!A:A,0)+2,3,4,1,"CAL3")),0)</f>
        <v>0</v>
      </c>
      <c r="S315" s="20" t="str">
        <f ca="1">IF(CALC2223!BA315&gt;0,INDIRECT(ADDRESS(MATCH(Agenda2526!C316,'CAL4'!A:A,0),2,4,1,"CAL4")),"")</f>
        <v/>
      </c>
      <c r="T315" s="21">
        <f ca="1">IF(CALC2223!BA315&gt;0,INDIRECT(ADDRESS(MATCH(Agenda2526!C316,'CAL4'!A:A,0),3,4,1,"CAL4")),0)</f>
        <v>0</v>
      </c>
      <c r="U315" s="20" t="str">
        <f ca="1">IF(CALC2223!BA315&gt;1,INDIRECT(ADDRESS(MATCH(Agenda2526!C316,'CAL4'!A:A,0)+1,2,4,1,"CAL4")),"")</f>
        <v/>
      </c>
      <c r="V315" s="21">
        <f ca="1">IF(CALC2223!BA315&gt;1,INDIRECT(ADDRESS(MATCH(Agenda2526!C316,'CAL4'!A:A,0)+1,3,4,1,"CAL4")),0)</f>
        <v>0</v>
      </c>
      <c r="W315" s="20" t="str">
        <f ca="1">IF(CALC2223!BA315&gt;2,INDIRECT(ADDRESS(MATCH(Agenda2526!C316,'CAL4'!A:A,0)+2,2,4,1,"CAL4")),"")</f>
        <v/>
      </c>
      <c r="X315" s="21">
        <f ca="1">IF(CALC2223!BA315&gt;2,INDIRECT(ADDRESS(MATCH(Agenda2526!C316,'CAL4'!A:A,0)+2,3,4,1,"CAL4")),0)</f>
        <v>0</v>
      </c>
      <c r="Y315" s="20" t="str">
        <f ca="1">IF(CALC2223!BB315&gt;0,INDIRECT(ADDRESS(MATCH(Agenda2526!C316,'CAL5'!A:A,0),2,4,1,"CAL5")),"")</f>
        <v/>
      </c>
      <c r="Z315" s="21">
        <f ca="1">IF(CALC2223!BB315&gt;0,INDIRECT(ADDRESS(MATCH(Agenda2526!C316,'CAL5'!A:A,0),3,4,1,"CAL5")),0)</f>
        <v>0</v>
      </c>
      <c r="AA315" s="20" t="str">
        <f ca="1">IF(CALC2223!BB315&gt;1,INDIRECT(ADDRESS(MATCH(Agenda2526!C316,'CAL5'!A:A,0)+1,2,4,1,"CAL5")),"")</f>
        <v/>
      </c>
      <c r="AB315" s="21">
        <f ca="1">IF(CALC2223!BB315&gt;1,INDIRECT(ADDRESS(MATCH(Agenda2526!C316,'CAL5'!A:A,0)+1,3,4,1,"CAL5")),0)</f>
        <v>0</v>
      </c>
      <c r="AC315" s="20" t="str">
        <f ca="1">IF(CALC2223!BB315&gt;2,INDIRECT(ADDRESS(MATCH(Agenda2526!C316,'CAL5'!A:A,0)+2,2,4,1,"CAL5")),"")</f>
        <v/>
      </c>
      <c r="AD315" s="21">
        <f ca="1">IF(CALC2223!BB315&gt;2,INDIRECT(ADDRESS(MATCH(Agenda2526!C316,'CAL5'!A:A,0)+2,3,4,1,"CAL5")),0)</f>
        <v>0</v>
      </c>
      <c r="AE315" s="20" t="str">
        <f ca="1">IF(CALC2223!BC315&gt;0,INDIRECT(ADDRESS(MATCH(Agenda2526!C316,'CAL6'!A:A,0),2,4,1,"CAL6")),"")</f>
        <v/>
      </c>
      <c r="AF315" s="21">
        <f ca="1">IF(CALC2223!BC315&gt;0,INDIRECT(ADDRESS(MATCH(Agenda2526!C316,'CAL6'!A:A,0),3,4,1,"CAL6")),0)</f>
        <v>0</v>
      </c>
      <c r="AG315" s="20" t="str">
        <f ca="1">IF(CALC2223!BC315&gt;1,INDIRECT(ADDRESS(MATCH(Agenda2526!C316,'CAL6'!A:A,0)+1,2,4,1,"CAL6")),"")</f>
        <v/>
      </c>
      <c r="AH315" s="21">
        <f ca="1">IF(CALC2223!BC315&gt;1,INDIRECT(ADDRESS(MATCH(Agenda2526!C316,'CAL6'!A:A,0)+1,3,4,1,"CAL6")),0)</f>
        <v>0</v>
      </c>
      <c r="AI315" s="20" t="str">
        <f ca="1">IF(CALC2223!BC315&gt;2,INDIRECT(ADDRESS(MATCH(Agenda2526!C316,'CAL6'!A:A,0)+2,2,4,1,"CAL6")),"")</f>
        <v/>
      </c>
      <c r="AJ315" s="21">
        <f ca="1">IF(CALC2223!BC315&gt;2,INDIRECT(ADDRESS(MATCH(Agenda2526!C316,'CAL6'!A:A,0)+2,3,4,1,"CAL6")),0)</f>
        <v>0</v>
      </c>
      <c r="AK315" s="20" t="str">
        <f ca="1">IF(CALC2223!BD315&gt;0,INDIRECT(ADDRESS(MATCH(Agenda2526!C316,'CAL7'!A:A,0),2,4,1,"CAL7")),"")</f>
        <v/>
      </c>
      <c r="AL315" s="21">
        <f ca="1">IF(CALC2223!BD315&gt;0,INDIRECT(ADDRESS(MATCH(Agenda2526!C316,'CAL7'!A:A,0),3,4,1,"CAL7")),0)</f>
        <v>0</v>
      </c>
      <c r="AM315" s="20" t="str">
        <f ca="1">IF(CALC2223!BD315&gt;1,INDIRECT(ADDRESS(MATCH(Agenda2526!C316,'CAL7'!A:A,0)+1,2,4,1,"CAL7")),"")</f>
        <v/>
      </c>
      <c r="AN315" s="21">
        <f ca="1">IF(CALC2223!BD315&gt;1,INDIRECT(ADDRESS(MATCH(Agenda2526!C316,'CAL7'!A:A,0)+1,3,4,1,"CAL7")),0)</f>
        <v>0</v>
      </c>
      <c r="AO315" s="20" t="str">
        <f ca="1">IF(CALC2223!BD315&gt;2,INDIRECT(ADDRESS(MATCH(Agenda2526!C316,'CAL7'!A:A,0)+2,2,4,1,"CAL7")),"")</f>
        <v/>
      </c>
      <c r="AP315" s="21">
        <f ca="1">IF(CALC2223!BD315&gt;2,INDIRECT(ADDRESS(MATCH(Agenda2526!C316,'CAL7'!A:A,0)+2,3,4,1,"CAL7")),0)</f>
        <v>0</v>
      </c>
      <c r="AQ315" s="20" t="str">
        <f ca="1">IF(CALC2223!BE315&gt;0,INDIRECT(ADDRESS(MATCH(Agenda2526!C316,'CAL8'!A:A,0),2,4,1,"CAL8")),"")</f>
        <v/>
      </c>
      <c r="AR315" s="21">
        <f ca="1">IF(CALC2223!BE315&gt;0,INDIRECT(ADDRESS(MATCH(Agenda2526!C316,'CAL8'!A:A,0),3,4,1,"CAL8")),0)</f>
        <v>0</v>
      </c>
      <c r="AS315" s="20" t="str">
        <f ca="1">IF(CALC2223!BE315&gt;1,INDIRECT(ADDRESS(MATCH(Agenda2526!C316,'CAL8'!A:A,0)+1,2,4,1,"CAL8")),"")</f>
        <v/>
      </c>
      <c r="AT315" s="21">
        <f ca="1">IF(CALC2223!BE315&gt;1,INDIRECT(ADDRESS(MATCH(Agenda2526!C316,'CAL8'!A:A,0)+1,3,4,1,"CAL8")),0)</f>
        <v>0</v>
      </c>
      <c r="AU315" s="20" t="str">
        <f ca="1">IF(CALC2223!BE315&gt;2,INDIRECT(ADDRESS(MATCH(Agenda2526!C316,'CAL8'!A:A,0)+2,2,4,1,"CAL8")),"")</f>
        <v/>
      </c>
      <c r="AV315" s="21">
        <f ca="1">IF(CALC2223!BE315&gt;2,INDIRECT(ADDRESS(MATCH(Agenda2526!C316,'CAL8'!A:A,0)+2,3,4,1,"CAL8")),0)</f>
        <v>0</v>
      </c>
      <c r="AW315" s="106"/>
      <c r="AX315" s="20">
        <f>COUNTIF('CAL1'!A:A,Agenda2526!C316)</f>
        <v>0</v>
      </c>
      <c r="AY315" s="20">
        <f>COUNTIF('CAL2'!A:A,Agenda2526!C316)</f>
        <v>0</v>
      </c>
      <c r="AZ315" s="20">
        <f>COUNTIF('CAL3'!A:A,Agenda2526!C316)</f>
        <v>0</v>
      </c>
      <c r="BA315" s="20">
        <f>COUNTIF('CAL4'!A:A,Agenda2526!C316)</f>
        <v>0</v>
      </c>
      <c r="BB315" s="20">
        <f>COUNTIF('CAL5'!A:A,Agenda2526!C316)</f>
        <v>0</v>
      </c>
      <c r="BC315" s="20">
        <f>COUNTIF('CAL6'!A:A,Agenda2526!C316)</f>
        <v>0</v>
      </c>
      <c r="BD315" s="20">
        <f>COUNTIF('CAL7'!A:A,Agenda2526!C316)</f>
        <v>0</v>
      </c>
      <c r="BE315" s="20">
        <f>COUNTIF('CAL8'!A:A,Agenda2526!C316)</f>
        <v>0</v>
      </c>
    </row>
    <row r="316" spans="1:57" ht="15.75" customHeight="1">
      <c r="A316" s="20" t="str">
        <f ca="1">IF(CALC2223!AX316&gt;0,INDIRECT(ADDRESS(MATCH(Agenda2526!C317,'CAL1'!A:A,0),2,4,1,"CAL1")),"")</f>
        <v/>
      </c>
      <c r="B316" s="21">
        <f ca="1">IF(CALC2223!AX316&gt;0,INDIRECT(ADDRESS(MATCH(Agenda2526!C317,'CAL1'!A:A,0),3,4,1,"CAL1")),0)</f>
        <v>0</v>
      </c>
      <c r="C316" s="20" t="str">
        <f ca="1">IF(CALC2223!AX316&gt;1,INDIRECT(ADDRESS(MATCH(Agenda2526!C317,'CAL1'!A:A,0)+1,2,4,1,"CAL1")),"")</f>
        <v/>
      </c>
      <c r="D316" s="21">
        <f ca="1">IF(CALC2223!AX316&gt;1,INDIRECT(ADDRESS(MATCH(Agenda2526!C317,'CAL1'!A:A,0)+1,3,4,1,"CAL1")),0)</f>
        <v>0</v>
      </c>
      <c r="E316" s="20" t="str">
        <f ca="1">IF(CALC2223!AX316&gt;2,INDIRECT(ADDRESS(MATCH(Agenda2526!C317,'CAL1'!A:A,0)+2,2,4,1,"CAL1")),"")</f>
        <v/>
      </c>
      <c r="F316" s="21">
        <f ca="1">IF(CALC2223!AX316&gt;2,INDIRECT(ADDRESS(MATCH(Agenda2526!C317,'CAL1'!A:A,0)+2,3,4,1,"CAL1")),0)</f>
        <v>0</v>
      </c>
      <c r="G316" s="20" t="str">
        <f ca="1">IF(CALC2223!AY316&gt;0,INDIRECT(ADDRESS(MATCH(Agenda2526!C317,'CAL2'!A:A,0),2,4,1,"CAL2")),"")</f>
        <v/>
      </c>
      <c r="H316" s="21">
        <f ca="1">IF(CALC2223!AY316&gt;0,INDIRECT(ADDRESS(MATCH(Agenda2526!C317,'CAL2'!A:A,0),3,4,1,"CAL2")),0)</f>
        <v>0</v>
      </c>
      <c r="I316" s="20" t="str">
        <f ca="1">IF(CALC2223!AY316&gt;1,INDIRECT(ADDRESS(MATCH(Agenda2526!C317,'CAL2'!A:A,0)+1,2,4,1,"CAL2")),"")</f>
        <v/>
      </c>
      <c r="J316" s="21">
        <f ca="1">IF(CALC2223!AY316&gt;1,INDIRECT(ADDRESS(MATCH(Agenda2526!C317,'CAL2'!A:A,0)+1,3,4,1,"CAL2")),0)</f>
        <v>0</v>
      </c>
      <c r="K316" s="20" t="str">
        <f ca="1">IF(CALC2223!AY316&gt;2,INDIRECT(ADDRESS(MATCH(Agenda2526!C317,'CAL2'!A:A,0)+2,2,4,1,"CAL2")),"")</f>
        <v/>
      </c>
      <c r="L316" s="21">
        <f ca="1">IF(CALC2223!AY316&gt;2,INDIRECT(ADDRESS(MATCH(Agenda2526!C317,'CAL2'!A:A,0)+2,3,4,1,"CAL2")),0)</f>
        <v>0</v>
      </c>
      <c r="M316" s="20" t="str">
        <f ca="1">IF(CALC2223!AZ316&gt;0,INDIRECT(ADDRESS(MATCH(Agenda2526!C317,'CAL3'!A:A,0),2,4,1,"CAL3")),"")</f>
        <v/>
      </c>
      <c r="N316" s="21">
        <f ca="1">IF(CALC2223!AZ316&gt;0,INDIRECT(ADDRESS(MATCH(Agenda2526!C317,'CAL3'!A:A,0),3,4,1,"CAL3")),0)</f>
        <v>0</v>
      </c>
      <c r="O316" s="20" t="str">
        <f ca="1">IF(CALC2223!AZ316&gt;1,INDIRECT(ADDRESS(MATCH(Agenda2526!C317,'CAL3'!A:A,0)+1,2,4,1,"CAL3")),"")</f>
        <v/>
      </c>
      <c r="P316" s="21">
        <f ca="1">IF(CALC2223!AZ316&gt;1,INDIRECT(ADDRESS(MATCH(Agenda2526!C317,'CAL3'!A:A,0)+1,3,4,1,"CAL3")),0)</f>
        <v>0</v>
      </c>
      <c r="Q316" s="20" t="str">
        <f ca="1">IF(CALC2223!AZ316&gt;2,INDIRECT(ADDRESS(MATCH(Agenda2526!C317,'CAL3'!A:A,0)+2,2,4,1,"CAL3")),"")</f>
        <v/>
      </c>
      <c r="R316" s="21">
        <f ca="1">IF(CALC2223!AZ316&gt;2,INDIRECT(ADDRESS(MATCH(Agenda2526!C317,'CAL3'!A:A,0)+2,3,4,1,"CAL3")),0)</f>
        <v>0</v>
      </c>
      <c r="S316" s="20" t="str">
        <f ca="1">IF(CALC2223!BA316&gt;0,INDIRECT(ADDRESS(MATCH(Agenda2526!C317,'CAL4'!A:A,0),2,4,1,"CAL4")),"")</f>
        <v/>
      </c>
      <c r="T316" s="21">
        <f ca="1">IF(CALC2223!BA316&gt;0,INDIRECT(ADDRESS(MATCH(Agenda2526!C317,'CAL4'!A:A,0),3,4,1,"CAL4")),0)</f>
        <v>0</v>
      </c>
      <c r="U316" s="20" t="str">
        <f ca="1">IF(CALC2223!BA316&gt;1,INDIRECT(ADDRESS(MATCH(Agenda2526!C317,'CAL4'!A:A,0)+1,2,4,1,"CAL4")),"")</f>
        <v/>
      </c>
      <c r="V316" s="21">
        <f ca="1">IF(CALC2223!BA316&gt;1,INDIRECT(ADDRESS(MATCH(Agenda2526!C317,'CAL4'!A:A,0)+1,3,4,1,"CAL4")),0)</f>
        <v>0</v>
      </c>
      <c r="W316" s="20" t="str">
        <f ca="1">IF(CALC2223!BA316&gt;2,INDIRECT(ADDRESS(MATCH(Agenda2526!C317,'CAL4'!A:A,0)+2,2,4,1,"CAL4")),"")</f>
        <v/>
      </c>
      <c r="X316" s="21">
        <f ca="1">IF(CALC2223!BA316&gt;2,INDIRECT(ADDRESS(MATCH(Agenda2526!C317,'CAL4'!A:A,0)+2,3,4,1,"CAL4")),0)</f>
        <v>0</v>
      </c>
      <c r="Y316" s="20" t="str">
        <f ca="1">IF(CALC2223!BB316&gt;0,INDIRECT(ADDRESS(MATCH(Agenda2526!C317,'CAL5'!A:A,0),2,4,1,"CAL5")),"")</f>
        <v/>
      </c>
      <c r="Z316" s="21">
        <f ca="1">IF(CALC2223!BB316&gt;0,INDIRECT(ADDRESS(MATCH(Agenda2526!C317,'CAL5'!A:A,0),3,4,1,"CAL5")),0)</f>
        <v>0</v>
      </c>
      <c r="AA316" s="20" t="str">
        <f ca="1">IF(CALC2223!BB316&gt;1,INDIRECT(ADDRESS(MATCH(Agenda2526!C317,'CAL5'!A:A,0)+1,2,4,1,"CAL5")),"")</f>
        <v/>
      </c>
      <c r="AB316" s="21">
        <f ca="1">IF(CALC2223!BB316&gt;1,INDIRECT(ADDRESS(MATCH(Agenda2526!C317,'CAL5'!A:A,0)+1,3,4,1,"CAL5")),0)</f>
        <v>0</v>
      </c>
      <c r="AC316" s="20" t="str">
        <f ca="1">IF(CALC2223!BB316&gt;2,INDIRECT(ADDRESS(MATCH(Agenda2526!C317,'CAL5'!A:A,0)+2,2,4,1,"CAL5")),"")</f>
        <v/>
      </c>
      <c r="AD316" s="21">
        <f ca="1">IF(CALC2223!BB316&gt;2,INDIRECT(ADDRESS(MATCH(Agenda2526!C317,'CAL5'!A:A,0)+2,3,4,1,"CAL5")),0)</f>
        <v>0</v>
      </c>
      <c r="AE316" s="20" t="str">
        <f ca="1">IF(CALC2223!BC316&gt;0,INDIRECT(ADDRESS(MATCH(Agenda2526!C317,'CAL6'!A:A,0),2,4,1,"CAL6")),"")</f>
        <v/>
      </c>
      <c r="AF316" s="21">
        <f ca="1">IF(CALC2223!BC316&gt;0,INDIRECT(ADDRESS(MATCH(Agenda2526!C317,'CAL6'!A:A,0),3,4,1,"CAL6")),0)</f>
        <v>0</v>
      </c>
      <c r="AG316" s="20" t="str">
        <f ca="1">IF(CALC2223!BC316&gt;1,INDIRECT(ADDRESS(MATCH(Agenda2526!C317,'CAL6'!A:A,0)+1,2,4,1,"CAL6")),"")</f>
        <v/>
      </c>
      <c r="AH316" s="21">
        <f ca="1">IF(CALC2223!BC316&gt;1,INDIRECT(ADDRESS(MATCH(Agenda2526!C317,'CAL6'!A:A,0)+1,3,4,1,"CAL6")),0)</f>
        <v>0</v>
      </c>
      <c r="AI316" s="20" t="str">
        <f ca="1">IF(CALC2223!BC316&gt;2,INDIRECT(ADDRESS(MATCH(Agenda2526!C317,'CAL6'!A:A,0)+2,2,4,1,"CAL6")),"")</f>
        <v/>
      </c>
      <c r="AJ316" s="21">
        <f ca="1">IF(CALC2223!BC316&gt;2,INDIRECT(ADDRESS(MATCH(Agenda2526!C317,'CAL6'!A:A,0)+2,3,4,1,"CAL6")),0)</f>
        <v>0</v>
      </c>
      <c r="AK316" s="20" t="str">
        <f ca="1">IF(CALC2223!BD316&gt;0,INDIRECT(ADDRESS(MATCH(Agenda2526!C317,'CAL7'!A:A,0),2,4,1,"CAL7")),"")</f>
        <v/>
      </c>
      <c r="AL316" s="21">
        <f ca="1">IF(CALC2223!BD316&gt;0,INDIRECT(ADDRESS(MATCH(Agenda2526!C317,'CAL7'!A:A,0),3,4,1,"CAL7")),0)</f>
        <v>0</v>
      </c>
      <c r="AM316" s="20" t="str">
        <f ca="1">IF(CALC2223!BD316&gt;1,INDIRECT(ADDRESS(MATCH(Agenda2526!C317,'CAL7'!A:A,0)+1,2,4,1,"CAL7")),"")</f>
        <v/>
      </c>
      <c r="AN316" s="21">
        <f ca="1">IF(CALC2223!BD316&gt;1,INDIRECT(ADDRESS(MATCH(Agenda2526!C317,'CAL7'!A:A,0)+1,3,4,1,"CAL7")),0)</f>
        <v>0</v>
      </c>
      <c r="AO316" s="20" t="str">
        <f ca="1">IF(CALC2223!BD316&gt;2,INDIRECT(ADDRESS(MATCH(Agenda2526!C317,'CAL7'!A:A,0)+2,2,4,1,"CAL7")),"")</f>
        <v/>
      </c>
      <c r="AP316" s="21">
        <f ca="1">IF(CALC2223!BD316&gt;2,INDIRECT(ADDRESS(MATCH(Agenda2526!C317,'CAL7'!A:A,0)+2,3,4,1,"CAL7")),0)</f>
        <v>0</v>
      </c>
      <c r="AQ316" s="20" t="str">
        <f ca="1">IF(CALC2223!BE316&gt;0,INDIRECT(ADDRESS(MATCH(Agenda2526!C317,'CAL8'!A:A,0),2,4,1,"CAL8")),"")</f>
        <v/>
      </c>
      <c r="AR316" s="21">
        <f ca="1">IF(CALC2223!BE316&gt;0,INDIRECT(ADDRESS(MATCH(Agenda2526!C317,'CAL8'!A:A,0),3,4,1,"CAL8")),0)</f>
        <v>0</v>
      </c>
      <c r="AS316" s="20" t="str">
        <f ca="1">IF(CALC2223!BE316&gt;1,INDIRECT(ADDRESS(MATCH(Agenda2526!C317,'CAL8'!A:A,0)+1,2,4,1,"CAL8")),"")</f>
        <v/>
      </c>
      <c r="AT316" s="21">
        <f ca="1">IF(CALC2223!BE316&gt;1,INDIRECT(ADDRESS(MATCH(Agenda2526!C317,'CAL8'!A:A,0)+1,3,4,1,"CAL8")),0)</f>
        <v>0</v>
      </c>
      <c r="AU316" s="20" t="str">
        <f ca="1">IF(CALC2223!BE316&gt;2,INDIRECT(ADDRESS(MATCH(Agenda2526!C317,'CAL8'!A:A,0)+2,2,4,1,"CAL8")),"")</f>
        <v/>
      </c>
      <c r="AV316" s="21">
        <f ca="1">IF(CALC2223!BE316&gt;2,INDIRECT(ADDRESS(MATCH(Agenda2526!C317,'CAL8'!A:A,0)+2,3,4,1,"CAL8")),0)</f>
        <v>0</v>
      </c>
      <c r="AW316" s="106"/>
      <c r="AX316" s="20">
        <f>COUNTIF('CAL1'!A:A,Agenda2526!C317)</f>
        <v>0</v>
      </c>
      <c r="AY316" s="20">
        <f>COUNTIF('CAL2'!A:A,Agenda2526!C317)</f>
        <v>0</v>
      </c>
      <c r="AZ316" s="20">
        <f>COUNTIF('CAL3'!A:A,Agenda2526!C317)</f>
        <v>0</v>
      </c>
      <c r="BA316" s="20">
        <f>COUNTIF('CAL4'!A:A,Agenda2526!C317)</f>
        <v>0</v>
      </c>
      <c r="BB316" s="20">
        <f>COUNTIF('CAL5'!A:A,Agenda2526!C317)</f>
        <v>0</v>
      </c>
      <c r="BC316" s="20">
        <f>COUNTIF('CAL6'!A:A,Agenda2526!C317)</f>
        <v>0</v>
      </c>
      <c r="BD316" s="20">
        <f>COUNTIF('CAL7'!A:A,Agenda2526!C317)</f>
        <v>0</v>
      </c>
      <c r="BE316" s="20">
        <f>COUNTIF('CAL8'!A:A,Agenda2526!C317)</f>
        <v>0</v>
      </c>
    </row>
    <row r="317" spans="1:57" ht="15.75" customHeight="1">
      <c r="A317" s="20" t="str">
        <f ca="1">IF(CALC2223!AX317&gt;0,INDIRECT(ADDRESS(MATCH(Agenda2526!C318,'CAL1'!A:A,0),2,4,1,"CAL1")),"")</f>
        <v>overgangsverg 8.15</v>
      </c>
      <c r="B317" s="21">
        <f ca="1">IF(CALC2223!AX317&gt;0,INDIRECT(ADDRESS(MATCH(Agenda2526!C318,'CAL1'!A:A,0),3,4,1,"CAL1")),0)</f>
        <v>45896</v>
      </c>
      <c r="C317" s="20" t="str">
        <f ca="1">IF(CALC2223!AX317&gt;1,INDIRECT(ADDRESS(MATCH(Agenda2526!C318,'CAL1'!A:A,0)+1,2,4,1,"CAL1")),"")</f>
        <v/>
      </c>
      <c r="D317" s="21">
        <f ca="1">IF(CALC2223!AX317&gt;1,INDIRECT(ADDRESS(MATCH(Agenda2526!C318,'CAL1'!A:A,0)+1,3,4,1,"CAL1")),0)</f>
        <v>0</v>
      </c>
      <c r="E317" s="20" t="str">
        <f ca="1">IF(CALC2223!AX317&gt;2,INDIRECT(ADDRESS(MATCH(Agenda2526!C318,'CAL1'!A:A,0)+2,2,4,1,"CAL1")),"")</f>
        <v/>
      </c>
      <c r="F317" s="21">
        <f ca="1">IF(CALC2223!AX317&gt;2,INDIRECT(ADDRESS(MATCH(Agenda2526!C318,'CAL1'!A:A,0)+2,3,4,1,"CAL1")),0)</f>
        <v>0</v>
      </c>
      <c r="G317" s="20" t="str">
        <f ca="1">IF(CALC2223!AY317&gt;0,INDIRECT(ADDRESS(MATCH(Agenda2526!C318,'CAL2'!A:A,0),2,4,1,"CAL2")),"")</f>
        <v>overgangsverg 12.30</v>
      </c>
      <c r="H317" s="21">
        <f ca="1">IF(CALC2223!AY317&gt;0,INDIRECT(ADDRESS(MATCH(Agenda2526!C318,'CAL2'!A:A,0),3,4,1,"CAL2")),0)</f>
        <v>45896</v>
      </c>
      <c r="I317" s="20" t="str">
        <f ca="1">IF(CALC2223!AY317&gt;1,INDIRECT(ADDRESS(MATCH(Agenda2526!C318,'CAL2'!A:A,0)+1,2,4,1,"CAL2")),"")</f>
        <v/>
      </c>
      <c r="J317" s="21">
        <f ca="1">IF(CALC2223!AY317&gt;1,INDIRECT(ADDRESS(MATCH(Agenda2526!C318,'CAL2'!A:A,0)+1,3,4,1,"CAL2")),0)</f>
        <v>0</v>
      </c>
      <c r="K317" s="20" t="str">
        <f ca="1">IF(CALC2223!AY317&gt;2,INDIRECT(ADDRESS(MATCH(Agenda2526!C318,'CAL2'!A:A,0)+2,2,4,1,"CAL2")),"")</f>
        <v/>
      </c>
      <c r="L317" s="21">
        <f ca="1">IF(CALC2223!AY317&gt;2,INDIRECT(ADDRESS(MATCH(Agenda2526!C318,'CAL2'!A:A,0)+2,3,4,1,"CAL2")),0)</f>
        <v>0</v>
      </c>
      <c r="M317" s="20" t="str">
        <f ca="1">IF(CALC2223!AZ317&gt;0,INDIRECT(ADDRESS(MATCH(Agenda2526!C318,'CAL3'!A:A,0),2,4,1,"CAL3")),"")</f>
        <v/>
      </c>
      <c r="N317" s="21">
        <f ca="1">IF(CALC2223!AZ317&gt;0,INDIRECT(ADDRESS(MATCH(Agenda2526!C318,'CAL3'!A:A,0),3,4,1,"CAL3")),0)</f>
        <v>0</v>
      </c>
      <c r="O317" s="20" t="str">
        <f ca="1">IF(CALC2223!AZ317&gt;1,INDIRECT(ADDRESS(MATCH(Agenda2526!C318,'CAL3'!A:A,0)+1,2,4,1,"CAL3")),"")</f>
        <v/>
      </c>
      <c r="P317" s="21">
        <f ca="1">IF(CALC2223!AZ317&gt;1,INDIRECT(ADDRESS(MATCH(Agenda2526!C318,'CAL3'!A:A,0)+1,3,4,1,"CAL3")),0)</f>
        <v>0</v>
      </c>
      <c r="Q317" s="20" t="str">
        <f ca="1">IF(CALC2223!AZ317&gt;2,INDIRECT(ADDRESS(MATCH(Agenda2526!C318,'CAL3'!A:A,0)+2,2,4,1,"CAL3")),"")</f>
        <v/>
      </c>
      <c r="R317" s="21">
        <f ca="1">IF(CALC2223!AZ317&gt;2,INDIRECT(ADDRESS(MATCH(Agenda2526!C318,'CAL3'!A:A,0)+2,3,4,1,"CAL3")),0)</f>
        <v>0</v>
      </c>
      <c r="S317" s="20" t="str">
        <f ca="1">IF(CALC2223!BA317&gt;0,INDIRECT(ADDRESS(MATCH(Agenda2526!C318,'CAL4'!A:A,0),2,4,1,"CAL4")),"")</f>
        <v>overgangsverg 15.00</v>
      </c>
      <c r="T317" s="21">
        <f ca="1">IF(CALC2223!BA317&gt;0,INDIRECT(ADDRESS(MATCH(Agenda2526!C318,'CAL4'!A:A,0),3,4,1,"CAL4")),0)</f>
        <v>45896</v>
      </c>
      <c r="U317" s="20" t="str">
        <f ca="1">IF(CALC2223!BA317&gt;1,INDIRECT(ADDRESS(MATCH(Agenda2526!C318,'CAL4'!A:A,0)+1,2,4,1,"CAL4")),"")</f>
        <v/>
      </c>
      <c r="V317" s="21">
        <f ca="1">IF(CALC2223!BA317&gt;1,INDIRECT(ADDRESS(MATCH(Agenda2526!C318,'CAL4'!A:A,0)+1,3,4,1,"CAL4")),0)</f>
        <v>0</v>
      </c>
      <c r="W317" s="20" t="str">
        <f ca="1">IF(CALC2223!BA317&gt;2,INDIRECT(ADDRESS(MATCH(Agenda2526!C318,'CAL4'!A:A,0)+2,2,4,1,"CAL4")),"")</f>
        <v/>
      </c>
      <c r="X317" s="21">
        <f ca="1">IF(CALC2223!BA317&gt;2,INDIRECT(ADDRESS(MATCH(Agenda2526!C318,'CAL4'!A:A,0)+2,3,4,1,"CAL4")),0)</f>
        <v>0</v>
      </c>
      <c r="Y317" s="20" t="str">
        <f ca="1">IF(CALC2223!BB317&gt;0,INDIRECT(ADDRESS(MATCH(Agenda2526!C318,'CAL5'!A:A,0),2,4,1,"CAL5")),"")</f>
        <v>overgangsverg 10.00</v>
      </c>
      <c r="Z317" s="21">
        <f ca="1">IF(CALC2223!BB317&gt;0,INDIRECT(ADDRESS(MATCH(Agenda2526!C318,'CAL5'!A:A,0),3,4,1,"CAL5")),0)</f>
        <v>45896</v>
      </c>
      <c r="AA317" s="20" t="str">
        <f ca="1">IF(CALC2223!BB317&gt;1,INDIRECT(ADDRESS(MATCH(Agenda2526!C318,'CAL5'!A:A,0)+1,2,4,1,"CAL5")),"")</f>
        <v/>
      </c>
      <c r="AB317" s="21">
        <f ca="1">IF(CALC2223!BB317&gt;1,INDIRECT(ADDRESS(MATCH(Agenda2526!C318,'CAL5'!A:A,0)+1,3,4,1,"CAL5")),0)</f>
        <v>0</v>
      </c>
      <c r="AC317" s="20" t="str">
        <f ca="1">IF(CALC2223!BB317&gt;2,INDIRECT(ADDRESS(MATCH(Agenda2526!C318,'CAL5'!A:A,0)+2,2,4,1,"CAL5")),"")</f>
        <v/>
      </c>
      <c r="AD317" s="21">
        <f ca="1">IF(CALC2223!BB317&gt;2,INDIRECT(ADDRESS(MATCH(Agenda2526!C318,'CAL5'!A:A,0)+2,3,4,1,"CAL5")),0)</f>
        <v>0</v>
      </c>
      <c r="AE317" s="20" t="str">
        <f ca="1">IF(CALC2223!BC317&gt;0,INDIRECT(ADDRESS(MATCH(Agenda2526!C318,'CAL6'!A:A,0),2,4,1,"CAL6")),"")</f>
        <v/>
      </c>
      <c r="AF317" s="21">
        <f ca="1">IF(CALC2223!BC317&gt;0,INDIRECT(ADDRESS(MATCH(Agenda2526!C318,'CAL6'!A:A,0),3,4,1,"CAL6")),0)</f>
        <v>0</v>
      </c>
      <c r="AG317" s="20" t="str">
        <f ca="1">IF(CALC2223!BC317&gt;1,INDIRECT(ADDRESS(MATCH(Agenda2526!C318,'CAL6'!A:A,0)+1,2,4,1,"CAL6")),"")</f>
        <v/>
      </c>
      <c r="AH317" s="21">
        <f ca="1">IF(CALC2223!BC317&gt;1,INDIRECT(ADDRESS(MATCH(Agenda2526!C318,'CAL6'!A:A,0)+1,3,4,1,"CAL6")),0)</f>
        <v>0</v>
      </c>
      <c r="AI317" s="20" t="str">
        <f ca="1">IF(CALC2223!BC317&gt;2,INDIRECT(ADDRESS(MATCH(Agenda2526!C318,'CAL6'!A:A,0)+2,2,4,1,"CAL6")),"")</f>
        <v/>
      </c>
      <c r="AJ317" s="21">
        <f ca="1">IF(CALC2223!BC317&gt;2,INDIRECT(ADDRESS(MATCH(Agenda2526!C318,'CAL6'!A:A,0)+2,3,4,1,"CAL6")),0)</f>
        <v>0</v>
      </c>
      <c r="AK317" s="20" t="str">
        <f ca="1">IF(CALC2223!BD317&gt;0,INDIRECT(ADDRESS(MATCH(Agenda2526!C318,'CAL7'!A:A,0),2,4,1,"CAL7")),"")</f>
        <v/>
      </c>
      <c r="AL317" s="21">
        <f ca="1">IF(CALC2223!BD317&gt;0,INDIRECT(ADDRESS(MATCH(Agenda2526!C318,'CAL7'!A:A,0),3,4,1,"CAL7")),0)</f>
        <v>0</v>
      </c>
      <c r="AM317" s="20" t="str">
        <f ca="1">IF(CALC2223!BD317&gt;1,INDIRECT(ADDRESS(MATCH(Agenda2526!C318,'CAL7'!A:A,0)+1,2,4,1,"CAL7")),"")</f>
        <v/>
      </c>
      <c r="AN317" s="21">
        <f ca="1">IF(CALC2223!BD317&gt;1,INDIRECT(ADDRESS(MATCH(Agenda2526!C318,'CAL7'!A:A,0)+1,3,4,1,"CAL7")),0)</f>
        <v>0</v>
      </c>
      <c r="AO317" s="20" t="str">
        <f ca="1">IF(CALC2223!BD317&gt;2,INDIRECT(ADDRESS(MATCH(Agenda2526!C318,'CAL7'!A:A,0)+2,2,4,1,"CAL7")),"")</f>
        <v/>
      </c>
      <c r="AP317" s="21">
        <f ca="1">IF(CALC2223!BD317&gt;2,INDIRECT(ADDRESS(MATCH(Agenda2526!C318,'CAL7'!A:A,0)+2,3,4,1,"CAL7")),0)</f>
        <v>0</v>
      </c>
      <c r="AQ317" s="20" t="str">
        <f ca="1">IF(CALC2223!BE317&gt;0,INDIRECT(ADDRESS(MATCH(Agenda2526!C318,'CAL8'!A:A,0),2,4,1,"CAL8")),"")</f>
        <v xml:space="preserve">afrondende week   </v>
      </c>
      <c r="AR317" s="21">
        <f ca="1">IF(CALC2223!BE317&gt;0,INDIRECT(ADDRESS(MATCH(Agenda2526!C318,'CAL8'!A:A,0),3,4,1,"CAL8")),0)</f>
        <v>45896</v>
      </c>
      <c r="AS317" s="20" t="str">
        <f ca="1">IF(CALC2223!BE317&gt;1,INDIRECT(ADDRESS(MATCH(Agenda2526!C318,'CAL8'!A:A,0)+1,2,4,1,"CAL8")),"")</f>
        <v>boeken inleveren</v>
      </c>
      <c r="AT317" s="21">
        <f ca="1">IF(CALC2223!BE317&gt;1,INDIRECT(ADDRESS(MATCH(Agenda2526!C318,'CAL8'!A:A,0)+1,3,4,1,"CAL8")),0)</f>
        <v>45979</v>
      </c>
      <c r="AU317" s="20" t="str">
        <f ca="1">IF(CALC2223!BE317&gt;2,INDIRECT(ADDRESS(MATCH(Agenda2526!C318,'CAL8'!A:A,0)+2,2,4,1,"CAL8")),"")</f>
        <v/>
      </c>
      <c r="AV317" s="21">
        <f ca="1">IF(CALC2223!BE317&gt;2,INDIRECT(ADDRESS(MATCH(Agenda2526!C318,'CAL8'!A:A,0)+2,3,4,1,"CAL8")),0)</f>
        <v>0</v>
      </c>
      <c r="AW317" s="113"/>
      <c r="AX317" s="20">
        <f>COUNTIF('CAL1'!A:A,Agenda2526!C318)</f>
        <v>1</v>
      </c>
      <c r="AY317" s="20">
        <f>COUNTIF('CAL2'!A:A,Agenda2526!C318)</f>
        <v>1</v>
      </c>
      <c r="AZ317" s="20">
        <f>COUNTIF('CAL3'!A:A,Agenda2526!C318)</f>
        <v>0</v>
      </c>
      <c r="BA317" s="20">
        <f>COUNTIF('CAL4'!A:A,Agenda2526!C318)</f>
        <v>1</v>
      </c>
      <c r="BB317" s="20">
        <f>COUNTIF('CAL5'!A:A,Agenda2526!C318)</f>
        <v>1</v>
      </c>
      <c r="BC317" s="20">
        <f>COUNTIF('CAL6'!A:A,Agenda2526!C318)</f>
        <v>0</v>
      </c>
      <c r="BD317" s="20">
        <f>COUNTIF('CAL7'!A:A,Agenda2526!C318)</f>
        <v>0</v>
      </c>
      <c r="BE317" s="20">
        <f>COUNTIF('CAL8'!A:A,Agenda2526!C318)</f>
        <v>2</v>
      </c>
    </row>
    <row r="318" spans="1:57" ht="15.75" customHeight="1">
      <c r="A318" s="20" t="str">
        <f ca="1">IF(CALC2223!AX318&gt;0,INDIRECT(ADDRESS(MATCH(Agenda2526!C319,'CAL1'!A:A,0),2,4,1,"CAL1")),"")</f>
        <v/>
      </c>
      <c r="B318" s="21">
        <f ca="1">IF(CALC2223!AX318&gt;0,INDIRECT(ADDRESS(MATCH(Agenda2526!C319,'CAL1'!A:A,0),3,4,1,"CAL1")),0)</f>
        <v>0</v>
      </c>
      <c r="C318" s="20" t="str">
        <f ca="1">IF(CALC2223!AX318&gt;1,INDIRECT(ADDRESS(MATCH(Agenda2526!C319,'CAL1'!A:A,0)+1,2,4,1,"CAL1")),"")</f>
        <v/>
      </c>
      <c r="D318" s="21">
        <f ca="1">IF(CALC2223!AX318&gt;1,INDIRECT(ADDRESS(MATCH(Agenda2526!C319,'CAL1'!A:A,0)+1,3,4,1,"CAL1")),0)</f>
        <v>0</v>
      </c>
      <c r="E318" s="20" t="str">
        <f ca="1">IF(CALC2223!AX318&gt;2,INDIRECT(ADDRESS(MATCH(Agenda2526!C319,'CAL1'!A:A,0)+2,2,4,1,"CAL1")),"")</f>
        <v/>
      </c>
      <c r="F318" s="21">
        <f ca="1">IF(CALC2223!AX318&gt;2,INDIRECT(ADDRESS(MATCH(Agenda2526!C319,'CAL1'!A:A,0)+2,3,4,1,"CAL1")),0)</f>
        <v>0</v>
      </c>
      <c r="G318" s="20" t="str">
        <f ca="1">IF(CALC2223!AY318&gt;0,INDIRECT(ADDRESS(MATCH(Agenda2526!C319,'CAL2'!A:A,0),2,4,1,"CAL2")),"")</f>
        <v/>
      </c>
      <c r="H318" s="21">
        <f ca="1">IF(CALC2223!AY318&gt;0,INDIRECT(ADDRESS(MATCH(Agenda2526!C319,'CAL2'!A:A,0),3,4,1,"CAL2")),0)</f>
        <v>0</v>
      </c>
      <c r="I318" s="20" t="str">
        <f ca="1">IF(CALC2223!AY318&gt;1,INDIRECT(ADDRESS(MATCH(Agenda2526!C319,'CAL2'!A:A,0)+1,2,4,1,"CAL2")),"")</f>
        <v/>
      </c>
      <c r="J318" s="21">
        <f ca="1">IF(CALC2223!AY318&gt;1,INDIRECT(ADDRESS(MATCH(Agenda2526!C319,'CAL2'!A:A,0)+1,3,4,1,"CAL2")),0)</f>
        <v>0</v>
      </c>
      <c r="K318" s="20" t="str">
        <f ca="1">IF(CALC2223!AY318&gt;2,INDIRECT(ADDRESS(MATCH(Agenda2526!C319,'CAL2'!A:A,0)+2,2,4,1,"CAL2")),"")</f>
        <v/>
      </c>
      <c r="L318" s="21">
        <f ca="1">IF(CALC2223!AY318&gt;2,INDIRECT(ADDRESS(MATCH(Agenda2526!C319,'CAL2'!A:A,0)+2,3,4,1,"CAL2")),0)</f>
        <v>0</v>
      </c>
      <c r="M318" s="20" t="str">
        <f ca="1">IF(CALC2223!AZ318&gt;0,INDIRECT(ADDRESS(MATCH(Agenda2526!C319,'CAL3'!A:A,0),2,4,1,"CAL3")),"")</f>
        <v>overgangsverg 10.00</v>
      </c>
      <c r="N318" s="21">
        <f ca="1">IF(CALC2223!AZ318&gt;0,INDIRECT(ADDRESS(MATCH(Agenda2526!C319,'CAL3'!A:A,0),3,4,1,"CAL3")),0)</f>
        <v>45896</v>
      </c>
      <c r="O318" s="20" t="str">
        <f ca="1">IF(CALC2223!AZ318&gt;1,INDIRECT(ADDRESS(MATCH(Agenda2526!C319,'CAL3'!A:A,0)+1,2,4,1,"CAL3")),"")</f>
        <v/>
      </c>
      <c r="P318" s="21">
        <f ca="1">IF(CALC2223!AZ318&gt;1,INDIRECT(ADDRESS(MATCH(Agenda2526!C319,'CAL3'!A:A,0)+1,3,4,1,"CAL3")),0)</f>
        <v>0</v>
      </c>
      <c r="Q318" s="20" t="str">
        <f ca="1">IF(CALC2223!AZ318&gt;2,INDIRECT(ADDRESS(MATCH(Agenda2526!C319,'CAL3'!A:A,0)+2,2,4,1,"CAL3")),"")</f>
        <v/>
      </c>
      <c r="R318" s="21">
        <f ca="1">IF(CALC2223!AZ318&gt;2,INDIRECT(ADDRESS(MATCH(Agenda2526!C319,'CAL3'!A:A,0)+2,3,4,1,"CAL3")),0)</f>
        <v>0</v>
      </c>
      <c r="S318" s="20" t="str">
        <f ca="1">IF(CALC2223!BA318&gt;0,INDIRECT(ADDRESS(MATCH(Agenda2526!C319,'CAL4'!A:A,0),2,4,1,"CAL4")),"")</f>
        <v/>
      </c>
      <c r="T318" s="21">
        <f ca="1">IF(CALC2223!BA318&gt;0,INDIRECT(ADDRESS(MATCH(Agenda2526!C319,'CAL4'!A:A,0),3,4,1,"CAL4")),0)</f>
        <v>0</v>
      </c>
      <c r="U318" s="20" t="str">
        <f ca="1">IF(CALC2223!BA318&gt;1,INDIRECT(ADDRESS(MATCH(Agenda2526!C319,'CAL4'!A:A,0)+1,2,4,1,"CAL4")),"")</f>
        <v/>
      </c>
      <c r="V318" s="21">
        <f ca="1">IF(CALC2223!BA318&gt;1,INDIRECT(ADDRESS(MATCH(Agenda2526!C319,'CAL4'!A:A,0)+1,3,4,1,"CAL4")),0)</f>
        <v>0</v>
      </c>
      <c r="W318" s="20" t="str">
        <f ca="1">IF(CALC2223!BA318&gt;2,INDIRECT(ADDRESS(MATCH(Agenda2526!C319,'CAL4'!A:A,0)+2,2,4,1,"CAL4")),"")</f>
        <v/>
      </c>
      <c r="X318" s="21">
        <f ca="1">IF(CALC2223!BA318&gt;2,INDIRECT(ADDRESS(MATCH(Agenda2526!C319,'CAL4'!A:A,0)+2,3,4,1,"CAL4")),0)</f>
        <v>0</v>
      </c>
      <c r="Y318" s="20" t="str">
        <f ca="1">IF(CALC2223!BB318&gt;0,INDIRECT(ADDRESS(MATCH(Agenda2526!C319,'CAL5'!A:A,0),2,4,1,"CAL5")),"")</f>
        <v/>
      </c>
      <c r="Z318" s="21">
        <f ca="1">IF(CALC2223!BB318&gt;0,INDIRECT(ADDRESS(MATCH(Agenda2526!C319,'CAL5'!A:A,0),3,4,1,"CAL5")),0)</f>
        <v>0</v>
      </c>
      <c r="AA318" s="20" t="str">
        <f ca="1">IF(CALC2223!BB318&gt;1,INDIRECT(ADDRESS(MATCH(Agenda2526!C319,'CAL5'!A:A,0)+1,2,4,1,"CAL5")),"")</f>
        <v/>
      </c>
      <c r="AB318" s="21">
        <f ca="1">IF(CALC2223!BB318&gt;1,INDIRECT(ADDRESS(MATCH(Agenda2526!C319,'CAL5'!A:A,0)+1,3,4,1,"CAL5")),0)</f>
        <v>0</v>
      </c>
      <c r="AC318" s="20" t="str">
        <f ca="1">IF(CALC2223!BB318&gt;2,INDIRECT(ADDRESS(MATCH(Agenda2526!C319,'CAL5'!A:A,0)+2,2,4,1,"CAL5")),"")</f>
        <v/>
      </c>
      <c r="AD318" s="21">
        <f ca="1">IF(CALC2223!BB318&gt;2,INDIRECT(ADDRESS(MATCH(Agenda2526!C319,'CAL5'!A:A,0)+2,3,4,1,"CAL5")),0)</f>
        <v>0</v>
      </c>
      <c r="AE318" s="20" t="str">
        <f ca="1">IF(CALC2223!BC318&gt;0,INDIRECT(ADDRESS(MATCH(Agenda2526!C319,'CAL6'!A:A,0),2,4,1,"CAL6")),"")</f>
        <v>diplomauitreiking 13.00  16.00  19.30</v>
      </c>
      <c r="AF318" s="21">
        <f ca="1">IF(CALC2223!BC318&gt;0,INDIRECT(ADDRESS(MATCH(Agenda2526!C319,'CAL6'!A:A,0),3,4,1,"CAL6")),0)</f>
        <v>45896</v>
      </c>
      <c r="AG318" s="20" t="str">
        <f ca="1">IF(CALC2223!BC318&gt;1,INDIRECT(ADDRESS(MATCH(Agenda2526!C319,'CAL6'!A:A,0)+1,2,4,1,"CAL6")),"")</f>
        <v/>
      </c>
      <c r="AH318" s="21">
        <f ca="1">IF(CALC2223!BC318&gt;1,INDIRECT(ADDRESS(MATCH(Agenda2526!C319,'CAL6'!A:A,0)+1,3,4,1,"CAL6")),0)</f>
        <v>0</v>
      </c>
      <c r="AI318" s="20" t="str">
        <f ca="1">IF(CALC2223!BC318&gt;2,INDIRECT(ADDRESS(MATCH(Agenda2526!C319,'CAL6'!A:A,0)+2,2,4,1,"CAL6")),"")</f>
        <v/>
      </c>
      <c r="AJ318" s="21">
        <f ca="1">IF(CALC2223!BC318&gt;2,INDIRECT(ADDRESS(MATCH(Agenda2526!C319,'CAL6'!A:A,0)+2,3,4,1,"CAL6")),0)</f>
        <v>0</v>
      </c>
      <c r="AK318" s="20" t="str">
        <f ca="1">IF(CALC2223!BD318&gt;0,INDIRECT(ADDRESS(MATCH(Agenda2526!C319,'CAL7'!A:A,0),2,4,1,"CAL7")),"")</f>
        <v/>
      </c>
      <c r="AL318" s="21">
        <f ca="1">IF(CALC2223!BD318&gt;0,INDIRECT(ADDRESS(MATCH(Agenda2526!C319,'CAL7'!A:A,0),3,4,1,"CAL7")),0)</f>
        <v>0</v>
      </c>
      <c r="AM318" s="20" t="str">
        <f ca="1">IF(CALC2223!BD318&gt;1,INDIRECT(ADDRESS(MATCH(Agenda2526!C319,'CAL7'!A:A,0)+1,2,4,1,"CAL7")),"")</f>
        <v/>
      </c>
      <c r="AN318" s="21">
        <f ca="1">IF(CALC2223!BD318&gt;1,INDIRECT(ADDRESS(MATCH(Agenda2526!C319,'CAL7'!A:A,0)+1,3,4,1,"CAL7")),0)</f>
        <v>0</v>
      </c>
      <c r="AO318" s="20" t="str">
        <f ca="1">IF(CALC2223!BD318&gt;2,INDIRECT(ADDRESS(MATCH(Agenda2526!C319,'CAL7'!A:A,0)+2,2,4,1,"CAL7")),"")</f>
        <v/>
      </c>
      <c r="AP318" s="21">
        <f ca="1">IF(CALC2223!BD318&gt;2,INDIRECT(ADDRESS(MATCH(Agenda2526!C319,'CAL7'!A:A,0)+2,3,4,1,"CAL7")),0)</f>
        <v>0</v>
      </c>
      <c r="AQ318" s="20" t="str">
        <f ca="1">IF(CALC2223!BE318&gt;0,INDIRECT(ADDRESS(MATCH(Agenda2526!C319,'CAL8'!A:A,0),2,4,1,"CAL8")),"")</f>
        <v/>
      </c>
      <c r="AR318" s="21">
        <f ca="1">IF(CALC2223!BE318&gt;0,INDIRECT(ADDRESS(MATCH(Agenda2526!C319,'CAL8'!A:A,0),3,4,1,"CAL8")),0)</f>
        <v>0</v>
      </c>
      <c r="AS318" s="20" t="str">
        <f ca="1">IF(CALC2223!BE318&gt;1,INDIRECT(ADDRESS(MATCH(Agenda2526!C319,'CAL8'!A:A,0)+1,2,4,1,"CAL8")),"")</f>
        <v/>
      </c>
      <c r="AT318" s="21">
        <f ca="1">IF(CALC2223!BE318&gt;1,INDIRECT(ADDRESS(MATCH(Agenda2526!C319,'CAL8'!A:A,0)+1,3,4,1,"CAL8")),0)</f>
        <v>0</v>
      </c>
      <c r="AU318" s="20" t="str">
        <f ca="1">IF(CALC2223!BE318&gt;2,INDIRECT(ADDRESS(MATCH(Agenda2526!C319,'CAL8'!A:A,0)+2,2,4,1,"CAL8")),"")</f>
        <v/>
      </c>
      <c r="AV318" s="21">
        <f ca="1">IF(CALC2223!BE318&gt;2,INDIRECT(ADDRESS(MATCH(Agenda2526!C319,'CAL8'!A:A,0)+2,3,4,1,"CAL8")),0)</f>
        <v>0</v>
      </c>
      <c r="AW318" s="113"/>
      <c r="AX318" s="20">
        <f>COUNTIF('CAL1'!A:A,Agenda2526!C319)</f>
        <v>0</v>
      </c>
      <c r="AY318" s="20">
        <f>COUNTIF('CAL2'!A:A,Agenda2526!C319)</f>
        <v>0</v>
      </c>
      <c r="AZ318" s="20">
        <f>COUNTIF('CAL3'!A:A,Agenda2526!C319)</f>
        <v>1</v>
      </c>
      <c r="BA318" s="20">
        <f>COUNTIF('CAL4'!A:A,Agenda2526!C319)</f>
        <v>0</v>
      </c>
      <c r="BB318" s="20">
        <f>COUNTIF('CAL5'!A:A,Agenda2526!C319)</f>
        <v>0</v>
      </c>
      <c r="BC318" s="20">
        <f>COUNTIF('CAL6'!A:A,Agenda2526!C319)</f>
        <v>1</v>
      </c>
      <c r="BD318" s="20">
        <f>COUNTIF('CAL7'!A:A,Agenda2526!C319)</f>
        <v>0</v>
      </c>
      <c r="BE318" s="20">
        <f>COUNTIF('CAL8'!A:A,Agenda2526!C319)</f>
        <v>0</v>
      </c>
    </row>
    <row r="319" spans="1:57" ht="15.75" customHeight="1">
      <c r="A319" s="20" t="str">
        <f ca="1">IF(CALC2223!AX319&gt;0,INDIRECT(ADDRESS(MATCH(Agenda2526!C320,'CAL1'!A:A,0),2,4,1,"CAL1")),"")</f>
        <v/>
      </c>
      <c r="B319" s="21">
        <f ca="1">IF(CALC2223!AX319&gt;0,INDIRECT(ADDRESS(MATCH(Agenda2526!C320,'CAL1'!A:A,0),3,4,1,"CAL1")),0)</f>
        <v>0</v>
      </c>
      <c r="C319" s="20" t="str">
        <f ca="1">IF(CALC2223!AX319&gt;1,INDIRECT(ADDRESS(MATCH(Agenda2526!C320,'CAL1'!A:A,0)+1,2,4,1,"CAL1")),"")</f>
        <v/>
      </c>
      <c r="D319" s="21">
        <f ca="1">IF(CALC2223!AX319&gt;1,INDIRECT(ADDRESS(MATCH(Agenda2526!C320,'CAL1'!A:A,0)+1,3,4,1,"CAL1")),0)</f>
        <v>0</v>
      </c>
      <c r="E319" s="20" t="str">
        <f ca="1">IF(CALC2223!AX319&gt;2,INDIRECT(ADDRESS(MATCH(Agenda2526!C320,'CAL1'!A:A,0)+2,2,4,1,"CAL1")),"")</f>
        <v/>
      </c>
      <c r="F319" s="21">
        <f ca="1">IF(CALC2223!AX319&gt;2,INDIRECT(ADDRESS(MATCH(Agenda2526!C320,'CAL1'!A:A,0)+2,3,4,1,"CAL1")),0)</f>
        <v>0</v>
      </c>
      <c r="G319" s="20" t="str">
        <f ca="1">IF(CALC2223!AY319&gt;0,INDIRECT(ADDRESS(MATCH(Agenda2526!C320,'CAL2'!A:A,0),2,4,1,"CAL2")),"")</f>
        <v/>
      </c>
      <c r="H319" s="21">
        <f ca="1">IF(CALC2223!AY319&gt;0,INDIRECT(ADDRESS(MATCH(Agenda2526!C320,'CAL2'!A:A,0),3,4,1,"CAL2")),0)</f>
        <v>0</v>
      </c>
      <c r="I319" s="20" t="str">
        <f ca="1">IF(CALC2223!AY319&gt;1,INDIRECT(ADDRESS(MATCH(Agenda2526!C320,'CAL2'!A:A,0)+1,2,4,1,"CAL2")),"")</f>
        <v/>
      </c>
      <c r="J319" s="21">
        <f ca="1">IF(CALC2223!AY319&gt;1,INDIRECT(ADDRESS(MATCH(Agenda2526!C320,'CAL2'!A:A,0)+1,3,4,1,"CAL2")),0)</f>
        <v>0</v>
      </c>
      <c r="K319" s="20" t="str">
        <f ca="1">IF(CALC2223!AY319&gt;2,INDIRECT(ADDRESS(MATCH(Agenda2526!C320,'CAL2'!A:A,0)+2,2,4,1,"CAL2")),"")</f>
        <v/>
      </c>
      <c r="L319" s="21">
        <f ca="1">IF(CALC2223!AY319&gt;2,INDIRECT(ADDRESS(MATCH(Agenda2526!C320,'CAL2'!A:A,0)+2,3,4,1,"CAL2")),0)</f>
        <v>0</v>
      </c>
      <c r="M319" s="20" t="str">
        <f ca="1">IF(CALC2223!AZ319&gt;0,INDIRECT(ADDRESS(MATCH(Agenda2526!C320,'CAL3'!A:A,0),2,4,1,"CAL3")),"")</f>
        <v/>
      </c>
      <c r="N319" s="21">
        <f ca="1">IF(CALC2223!AZ319&gt;0,INDIRECT(ADDRESS(MATCH(Agenda2526!C320,'CAL3'!A:A,0),3,4,1,"CAL3")),0)</f>
        <v>0</v>
      </c>
      <c r="O319" s="20" t="str">
        <f ca="1">IF(CALC2223!AZ319&gt;1,INDIRECT(ADDRESS(MATCH(Agenda2526!C320,'CAL3'!A:A,0)+1,2,4,1,"CAL3")),"")</f>
        <v/>
      </c>
      <c r="P319" s="21">
        <f ca="1">IF(CALC2223!AZ319&gt;1,INDIRECT(ADDRESS(MATCH(Agenda2526!C320,'CAL3'!A:A,0)+1,3,4,1,"CAL3")),0)</f>
        <v>0</v>
      </c>
      <c r="Q319" s="20" t="str">
        <f ca="1">IF(CALC2223!AZ319&gt;2,INDIRECT(ADDRESS(MATCH(Agenda2526!C320,'CAL3'!A:A,0)+2,2,4,1,"CAL3")),"")</f>
        <v/>
      </c>
      <c r="R319" s="21">
        <f ca="1">IF(CALC2223!AZ319&gt;2,INDIRECT(ADDRESS(MATCH(Agenda2526!C320,'CAL3'!A:A,0)+2,3,4,1,"CAL3")),0)</f>
        <v>0</v>
      </c>
      <c r="S319" s="20" t="str">
        <f ca="1">IF(CALC2223!BA319&gt;0,INDIRECT(ADDRESS(MATCH(Agenda2526!C320,'CAL4'!A:A,0),2,4,1,"CAL4")),"")</f>
        <v/>
      </c>
      <c r="T319" s="21">
        <f ca="1">IF(CALC2223!BA319&gt;0,INDIRECT(ADDRESS(MATCH(Agenda2526!C320,'CAL4'!A:A,0),3,4,1,"CAL4")),0)</f>
        <v>0</v>
      </c>
      <c r="U319" s="20" t="str">
        <f ca="1">IF(CALC2223!BA319&gt;1,INDIRECT(ADDRESS(MATCH(Agenda2526!C320,'CAL4'!A:A,0)+1,2,4,1,"CAL4")),"")</f>
        <v/>
      </c>
      <c r="V319" s="21">
        <f ca="1">IF(CALC2223!BA319&gt;1,INDIRECT(ADDRESS(MATCH(Agenda2526!C320,'CAL4'!A:A,0)+1,3,4,1,"CAL4")),0)</f>
        <v>0</v>
      </c>
      <c r="W319" s="20" t="str">
        <f ca="1">IF(CALC2223!BA319&gt;2,INDIRECT(ADDRESS(MATCH(Agenda2526!C320,'CAL4'!A:A,0)+2,2,4,1,"CAL4")),"")</f>
        <v/>
      </c>
      <c r="X319" s="21">
        <f ca="1">IF(CALC2223!BA319&gt;2,INDIRECT(ADDRESS(MATCH(Agenda2526!C320,'CAL4'!A:A,0)+2,3,4,1,"CAL4")),0)</f>
        <v>0</v>
      </c>
      <c r="Y319" s="20" t="str">
        <f ca="1">IF(CALC2223!BB319&gt;0,INDIRECT(ADDRESS(MATCH(Agenda2526!C320,'CAL5'!A:A,0),2,4,1,"CAL5")),"")</f>
        <v/>
      </c>
      <c r="Z319" s="21">
        <f ca="1">IF(CALC2223!BB319&gt;0,INDIRECT(ADDRESS(MATCH(Agenda2526!C320,'CAL5'!A:A,0),3,4,1,"CAL5")),0)</f>
        <v>0</v>
      </c>
      <c r="AA319" s="20" t="str">
        <f ca="1">IF(CALC2223!BB319&gt;1,INDIRECT(ADDRESS(MATCH(Agenda2526!C320,'CAL5'!A:A,0)+1,2,4,1,"CAL5")),"")</f>
        <v/>
      </c>
      <c r="AB319" s="21">
        <f ca="1">IF(CALC2223!BB319&gt;1,INDIRECT(ADDRESS(MATCH(Agenda2526!C320,'CAL5'!A:A,0)+1,3,4,1,"CAL5")),0)</f>
        <v>0</v>
      </c>
      <c r="AC319" s="20" t="str">
        <f ca="1">IF(CALC2223!BB319&gt;2,INDIRECT(ADDRESS(MATCH(Agenda2526!C320,'CAL5'!A:A,0)+2,2,4,1,"CAL5")),"")</f>
        <v/>
      </c>
      <c r="AD319" s="21">
        <f ca="1">IF(CALC2223!BB319&gt;2,INDIRECT(ADDRESS(MATCH(Agenda2526!C320,'CAL5'!A:A,0)+2,3,4,1,"CAL5")),0)</f>
        <v>0</v>
      </c>
      <c r="AE319" s="20" t="str">
        <f ca="1">IF(CALC2223!BC319&gt;0,INDIRECT(ADDRESS(MATCH(Agenda2526!C320,'CAL6'!A:A,0),2,4,1,"CAL6")),"")</f>
        <v>diplomauitreiking 10.30  13.30  16.30</v>
      </c>
      <c r="AF319" s="21">
        <f ca="1">IF(CALC2223!BC319&gt;0,INDIRECT(ADDRESS(MATCH(Agenda2526!C320,'CAL6'!A:A,0),3,4,1,"CAL6")),0)</f>
        <v>45993</v>
      </c>
      <c r="AG319" s="20" t="str">
        <f ca="1">IF(CALC2223!BC319&gt;1,INDIRECT(ADDRESS(MATCH(Agenda2526!C320,'CAL6'!A:A,0)+1,2,4,1,"CAL6")),"")</f>
        <v/>
      </c>
      <c r="AH319" s="21">
        <f ca="1">IF(CALC2223!BC319&gt;1,INDIRECT(ADDRESS(MATCH(Agenda2526!C320,'CAL6'!A:A,0)+1,3,4,1,"CAL6")),0)</f>
        <v>0</v>
      </c>
      <c r="AI319" s="20" t="str">
        <f ca="1">IF(CALC2223!BC319&gt;2,INDIRECT(ADDRESS(MATCH(Agenda2526!C320,'CAL6'!A:A,0)+2,2,4,1,"CAL6")),"")</f>
        <v/>
      </c>
      <c r="AJ319" s="21">
        <f ca="1">IF(CALC2223!BC319&gt;2,INDIRECT(ADDRESS(MATCH(Agenda2526!C320,'CAL6'!A:A,0)+2,3,4,1,"CAL6")),0)</f>
        <v>0</v>
      </c>
      <c r="AK319" s="20" t="str">
        <f ca="1">IF(CALC2223!BD319&gt;0,INDIRECT(ADDRESS(MATCH(Agenda2526!C320,'CAL7'!A:A,0),2,4,1,"CAL7")),"")</f>
        <v/>
      </c>
      <c r="AL319" s="21">
        <f ca="1">IF(CALC2223!BD319&gt;0,INDIRECT(ADDRESS(MATCH(Agenda2526!C320,'CAL7'!A:A,0),3,4,1,"CAL7")),0)</f>
        <v>0</v>
      </c>
      <c r="AM319" s="20" t="str">
        <f ca="1">IF(CALC2223!BD319&gt;1,INDIRECT(ADDRESS(MATCH(Agenda2526!C320,'CAL7'!A:A,0)+1,2,4,1,"CAL7")),"")</f>
        <v/>
      </c>
      <c r="AN319" s="21">
        <f ca="1">IF(CALC2223!BD319&gt;1,INDIRECT(ADDRESS(MATCH(Agenda2526!C320,'CAL7'!A:A,0)+1,3,4,1,"CAL7")),0)</f>
        <v>0</v>
      </c>
      <c r="AO319" s="20" t="str">
        <f ca="1">IF(CALC2223!BD319&gt;2,INDIRECT(ADDRESS(MATCH(Agenda2526!C320,'CAL7'!A:A,0)+2,2,4,1,"CAL7")),"")</f>
        <v/>
      </c>
      <c r="AP319" s="21">
        <f ca="1">IF(CALC2223!BD319&gt;2,INDIRECT(ADDRESS(MATCH(Agenda2526!C320,'CAL7'!A:A,0)+2,3,4,1,"CAL7")),0)</f>
        <v>0</v>
      </c>
      <c r="AQ319" s="20" t="str">
        <f ca="1">IF(CALC2223!BE319&gt;0,INDIRECT(ADDRESS(MATCH(Agenda2526!C320,'CAL8'!A:A,0),2,4,1,"CAL8")),"")</f>
        <v/>
      </c>
      <c r="AR319" s="21">
        <f ca="1">IF(CALC2223!BE319&gt;0,INDIRECT(ADDRESS(MATCH(Agenda2526!C320,'CAL8'!A:A,0),3,4,1,"CAL8")),0)</f>
        <v>0</v>
      </c>
      <c r="AS319" s="20" t="str">
        <f ca="1">IF(CALC2223!BE319&gt;1,INDIRECT(ADDRESS(MATCH(Agenda2526!C320,'CAL8'!A:A,0)+1,2,4,1,"CAL8")),"")</f>
        <v/>
      </c>
      <c r="AT319" s="21">
        <f ca="1">IF(CALC2223!BE319&gt;1,INDIRECT(ADDRESS(MATCH(Agenda2526!C320,'CAL8'!A:A,0)+1,3,4,1,"CAL8")),0)</f>
        <v>0</v>
      </c>
      <c r="AU319" s="20" t="str">
        <f ca="1">IF(CALC2223!BE319&gt;2,INDIRECT(ADDRESS(MATCH(Agenda2526!C320,'CAL8'!A:A,0)+2,2,4,1,"CAL8")),"")</f>
        <v/>
      </c>
      <c r="AV319" s="21">
        <f ca="1">IF(CALC2223!BE319&gt;2,INDIRECT(ADDRESS(MATCH(Agenda2526!C320,'CAL8'!A:A,0)+2,3,4,1,"CAL8")),0)</f>
        <v>0</v>
      </c>
      <c r="AW319" s="113"/>
      <c r="AX319" s="20">
        <f>COUNTIF('CAL1'!A:A,Agenda2526!C320)</f>
        <v>0</v>
      </c>
      <c r="AY319" s="20">
        <f>COUNTIF('CAL2'!A:A,Agenda2526!C320)</f>
        <v>0</v>
      </c>
      <c r="AZ319" s="20">
        <f>COUNTIF('CAL3'!A:A,Agenda2526!C320)</f>
        <v>0</v>
      </c>
      <c r="BA319" s="20">
        <f>COUNTIF('CAL4'!A:A,Agenda2526!C320)</f>
        <v>0</v>
      </c>
      <c r="BB319" s="20">
        <f>COUNTIF('CAL5'!A:A,Agenda2526!C320)</f>
        <v>0</v>
      </c>
      <c r="BC319" s="20">
        <f>COUNTIF('CAL6'!A:A,Agenda2526!C320)</f>
        <v>1</v>
      </c>
      <c r="BD319" s="20">
        <f>COUNTIF('CAL7'!A:A,Agenda2526!C320)</f>
        <v>0</v>
      </c>
      <c r="BE319" s="20">
        <f>COUNTIF('CAL8'!A:A,Agenda2526!C320)</f>
        <v>0</v>
      </c>
    </row>
    <row r="320" spans="1:57" ht="15.75" customHeight="1">
      <c r="A320" s="20" t="str">
        <f ca="1">IF(CALC2223!AX320&gt;0,INDIRECT(ADDRESS(MATCH(Agenda2526!C321,'CAL1'!A:A,0),2,4,1,"CAL1")),"")</f>
        <v/>
      </c>
      <c r="B320" s="21">
        <f ca="1">IF(CALC2223!AX320&gt;0,INDIRECT(ADDRESS(MATCH(Agenda2526!C321,'CAL1'!A:A,0),3,4,1,"CAL1")),0)</f>
        <v>0</v>
      </c>
      <c r="C320" s="20" t="str">
        <f ca="1">IF(CALC2223!AX320&gt;1,INDIRECT(ADDRESS(MATCH(Agenda2526!C321,'CAL1'!A:A,0)+1,2,4,1,"CAL1")),"")</f>
        <v/>
      </c>
      <c r="D320" s="21">
        <f ca="1">IF(CALC2223!AX320&gt;1,INDIRECT(ADDRESS(MATCH(Agenda2526!C321,'CAL1'!A:A,0)+1,3,4,1,"CAL1")),0)</f>
        <v>0</v>
      </c>
      <c r="E320" s="20" t="str">
        <f ca="1">IF(CALC2223!AX320&gt;2,INDIRECT(ADDRESS(MATCH(Agenda2526!C321,'CAL1'!A:A,0)+2,2,4,1,"CAL1")),"")</f>
        <v/>
      </c>
      <c r="F320" s="21">
        <f ca="1">IF(CALC2223!AX320&gt;2,INDIRECT(ADDRESS(MATCH(Agenda2526!C321,'CAL1'!A:A,0)+2,3,4,1,"CAL1")),0)</f>
        <v>0</v>
      </c>
      <c r="G320" s="20" t="str">
        <f ca="1">IF(CALC2223!AY320&gt;0,INDIRECT(ADDRESS(MATCH(Agenda2526!C321,'CAL2'!A:A,0),2,4,1,"CAL2")),"")</f>
        <v/>
      </c>
      <c r="H320" s="21">
        <f ca="1">IF(CALC2223!AY320&gt;0,INDIRECT(ADDRESS(MATCH(Agenda2526!C321,'CAL2'!A:A,0),3,4,1,"CAL2")),0)</f>
        <v>0</v>
      </c>
      <c r="I320" s="20" t="str">
        <f ca="1">IF(CALC2223!AY320&gt;1,INDIRECT(ADDRESS(MATCH(Agenda2526!C321,'CAL2'!A:A,0)+1,2,4,1,"CAL2")),"")</f>
        <v/>
      </c>
      <c r="J320" s="21">
        <f ca="1">IF(CALC2223!AY320&gt;1,INDIRECT(ADDRESS(MATCH(Agenda2526!C321,'CAL2'!A:A,0)+1,3,4,1,"CAL2")),0)</f>
        <v>0</v>
      </c>
      <c r="K320" s="20" t="str">
        <f ca="1">IF(CALC2223!AY320&gt;2,INDIRECT(ADDRESS(MATCH(Agenda2526!C321,'CAL2'!A:A,0)+2,2,4,1,"CAL2")),"")</f>
        <v/>
      </c>
      <c r="L320" s="21">
        <f ca="1">IF(CALC2223!AY320&gt;2,INDIRECT(ADDRESS(MATCH(Agenda2526!C321,'CAL2'!A:A,0)+2,3,4,1,"CAL2")),0)</f>
        <v>0</v>
      </c>
      <c r="M320" s="20" t="str">
        <f ca="1">IF(CALC2223!AZ320&gt;0,INDIRECT(ADDRESS(MATCH(Agenda2526!C321,'CAL3'!A:A,0),2,4,1,"CAL3")),"")</f>
        <v/>
      </c>
      <c r="N320" s="21">
        <f ca="1">IF(CALC2223!AZ320&gt;0,INDIRECT(ADDRESS(MATCH(Agenda2526!C321,'CAL3'!A:A,0),3,4,1,"CAL3")),0)</f>
        <v>0</v>
      </c>
      <c r="O320" s="20" t="str">
        <f ca="1">IF(CALC2223!AZ320&gt;1,INDIRECT(ADDRESS(MATCH(Agenda2526!C321,'CAL3'!A:A,0)+1,2,4,1,"CAL3")),"")</f>
        <v/>
      </c>
      <c r="P320" s="21">
        <f ca="1">IF(CALC2223!AZ320&gt;1,INDIRECT(ADDRESS(MATCH(Agenda2526!C321,'CAL3'!A:A,0)+1,3,4,1,"CAL3")),0)</f>
        <v>0</v>
      </c>
      <c r="Q320" s="20" t="str">
        <f ca="1">IF(CALC2223!AZ320&gt;2,INDIRECT(ADDRESS(MATCH(Agenda2526!C321,'CAL3'!A:A,0)+2,2,4,1,"CAL3")),"")</f>
        <v/>
      </c>
      <c r="R320" s="21">
        <f ca="1">IF(CALC2223!AZ320&gt;2,INDIRECT(ADDRESS(MATCH(Agenda2526!C321,'CAL3'!A:A,0)+2,3,4,1,"CAL3")),0)</f>
        <v>0</v>
      </c>
      <c r="S320" s="20" t="str">
        <f ca="1">IF(CALC2223!BA320&gt;0,INDIRECT(ADDRESS(MATCH(Agenda2526!C321,'CAL4'!A:A,0),2,4,1,"CAL4")),"")</f>
        <v/>
      </c>
      <c r="T320" s="21">
        <f ca="1">IF(CALC2223!BA320&gt;0,INDIRECT(ADDRESS(MATCH(Agenda2526!C321,'CAL4'!A:A,0),3,4,1,"CAL4")),0)</f>
        <v>0</v>
      </c>
      <c r="U320" s="20" t="str">
        <f ca="1">IF(CALC2223!BA320&gt;1,INDIRECT(ADDRESS(MATCH(Agenda2526!C321,'CAL4'!A:A,0)+1,2,4,1,"CAL4")),"")</f>
        <v/>
      </c>
      <c r="V320" s="21">
        <f ca="1">IF(CALC2223!BA320&gt;1,INDIRECT(ADDRESS(MATCH(Agenda2526!C321,'CAL4'!A:A,0)+1,3,4,1,"CAL4")),0)</f>
        <v>0</v>
      </c>
      <c r="W320" s="20" t="str">
        <f ca="1">IF(CALC2223!BA320&gt;2,INDIRECT(ADDRESS(MATCH(Agenda2526!C321,'CAL4'!A:A,0)+2,2,4,1,"CAL4")),"")</f>
        <v/>
      </c>
      <c r="X320" s="21">
        <f ca="1">IF(CALC2223!BA320&gt;2,INDIRECT(ADDRESS(MATCH(Agenda2526!C321,'CAL4'!A:A,0)+2,3,4,1,"CAL4")),0)</f>
        <v>0</v>
      </c>
      <c r="Y320" s="20" t="str">
        <f ca="1">IF(CALC2223!BB320&gt;0,INDIRECT(ADDRESS(MATCH(Agenda2526!C321,'CAL5'!A:A,0),2,4,1,"CAL5")),"")</f>
        <v/>
      </c>
      <c r="Z320" s="21">
        <f ca="1">IF(CALC2223!BB320&gt;0,INDIRECT(ADDRESS(MATCH(Agenda2526!C321,'CAL5'!A:A,0),3,4,1,"CAL5")),0)</f>
        <v>0</v>
      </c>
      <c r="AA320" s="20" t="str">
        <f ca="1">IF(CALC2223!BB320&gt;1,INDIRECT(ADDRESS(MATCH(Agenda2526!C321,'CAL5'!A:A,0)+1,2,4,1,"CAL5")),"")</f>
        <v/>
      </c>
      <c r="AB320" s="21">
        <f ca="1">IF(CALC2223!BB320&gt;1,INDIRECT(ADDRESS(MATCH(Agenda2526!C321,'CAL5'!A:A,0)+1,3,4,1,"CAL5")),0)</f>
        <v>0</v>
      </c>
      <c r="AC320" s="20" t="str">
        <f ca="1">IF(CALC2223!BB320&gt;2,INDIRECT(ADDRESS(MATCH(Agenda2526!C321,'CAL5'!A:A,0)+2,2,4,1,"CAL5")),"")</f>
        <v/>
      </c>
      <c r="AD320" s="21">
        <f ca="1">IF(CALC2223!BB320&gt;2,INDIRECT(ADDRESS(MATCH(Agenda2526!C321,'CAL5'!A:A,0)+2,3,4,1,"CAL5")),0)</f>
        <v>0</v>
      </c>
      <c r="AE320" s="20" t="str">
        <f ca="1">IF(CALC2223!BC320&gt;0,INDIRECT(ADDRESS(MATCH(Agenda2526!C321,'CAL6'!A:A,0),2,4,1,"CAL6")),"")</f>
        <v/>
      </c>
      <c r="AF320" s="21">
        <f ca="1">IF(CALC2223!BC320&gt;0,INDIRECT(ADDRESS(MATCH(Agenda2526!C321,'CAL6'!A:A,0),3,4,1,"CAL6")),0)</f>
        <v>0</v>
      </c>
      <c r="AG320" s="20" t="str">
        <f ca="1">IF(CALC2223!BC320&gt;1,INDIRECT(ADDRESS(MATCH(Agenda2526!C321,'CAL6'!A:A,0)+1,2,4,1,"CAL6")),"")</f>
        <v/>
      </c>
      <c r="AH320" s="21">
        <f ca="1">IF(CALC2223!BC320&gt;1,INDIRECT(ADDRESS(MATCH(Agenda2526!C321,'CAL6'!A:A,0)+1,3,4,1,"CAL6")),0)</f>
        <v>0</v>
      </c>
      <c r="AI320" s="20" t="str">
        <f ca="1">IF(CALC2223!BC320&gt;2,INDIRECT(ADDRESS(MATCH(Agenda2526!C321,'CAL6'!A:A,0)+2,2,4,1,"CAL6")),"")</f>
        <v/>
      </c>
      <c r="AJ320" s="21">
        <f ca="1">IF(CALC2223!BC320&gt;2,INDIRECT(ADDRESS(MATCH(Agenda2526!C321,'CAL6'!A:A,0)+2,3,4,1,"CAL6")),0)</f>
        <v>0</v>
      </c>
      <c r="AK320" s="20" t="str">
        <f ca="1">IF(CALC2223!BD320&gt;0,INDIRECT(ADDRESS(MATCH(Agenda2526!C321,'CAL7'!A:A,0),2,4,1,"CAL7")),"")</f>
        <v>slot APV; afscheid collega's</v>
      </c>
      <c r="AL320" s="21">
        <f ca="1">IF(CALC2223!BD320&gt;0,INDIRECT(ADDRESS(MATCH(Agenda2526!C321,'CAL7'!A:A,0),3,4,1,"CAL7")),0)</f>
        <v>45896</v>
      </c>
      <c r="AM320" s="20" t="str">
        <f ca="1">IF(CALC2223!BD320&gt;1,INDIRECT(ADDRESS(MATCH(Agenda2526!C321,'CAL7'!A:A,0)+1,2,4,1,"CAL7")),"")</f>
        <v/>
      </c>
      <c r="AN320" s="21">
        <f ca="1">IF(CALC2223!BD320&gt;1,INDIRECT(ADDRESS(MATCH(Agenda2526!C321,'CAL7'!A:A,0)+1,3,4,1,"CAL7")),0)</f>
        <v>0</v>
      </c>
      <c r="AO320" s="20" t="str">
        <f ca="1">IF(CALC2223!BD320&gt;2,INDIRECT(ADDRESS(MATCH(Agenda2526!C321,'CAL7'!A:A,0)+2,2,4,1,"CAL7")),"")</f>
        <v/>
      </c>
      <c r="AP320" s="21">
        <f ca="1">IF(CALC2223!BD320&gt;2,INDIRECT(ADDRESS(MATCH(Agenda2526!C321,'CAL7'!A:A,0)+2,3,4,1,"CAL7")),0)</f>
        <v>0</v>
      </c>
      <c r="AQ320" s="20" t="str">
        <f ca="1">IF(CALC2223!BE320&gt;0,INDIRECT(ADDRESS(MATCH(Agenda2526!C321,'CAL8'!A:A,0),2,4,1,"CAL8")),"")</f>
        <v>promoties/rapporten</v>
      </c>
      <c r="AR320" s="21">
        <f ca="1">IF(CALC2223!BE320&gt;0,INDIRECT(ADDRESS(MATCH(Agenda2526!C321,'CAL8'!A:A,0),3,4,1,"CAL8")),0)</f>
        <v>45896</v>
      </c>
      <c r="AS320" s="20" t="str">
        <f ca="1">IF(CALC2223!BE320&gt;1,INDIRECT(ADDRESS(MATCH(Agenda2526!C321,'CAL8'!A:A,0)+1,2,4,1,"CAL8")),"")</f>
        <v/>
      </c>
      <c r="AT320" s="21">
        <f ca="1">IF(CALC2223!BE320&gt;1,INDIRECT(ADDRESS(MATCH(Agenda2526!C321,'CAL8'!A:A,0)+1,3,4,1,"CAL8")),0)</f>
        <v>0</v>
      </c>
      <c r="AU320" s="20" t="str">
        <f ca="1">IF(CALC2223!BE320&gt;2,INDIRECT(ADDRESS(MATCH(Agenda2526!C321,'CAL8'!A:A,0)+2,2,4,1,"CAL8")),"")</f>
        <v/>
      </c>
      <c r="AV320" s="21">
        <f ca="1">IF(CALC2223!BE320&gt;2,INDIRECT(ADDRESS(MATCH(Agenda2526!C321,'CAL8'!A:A,0)+2,3,4,1,"CAL8")),0)</f>
        <v>0</v>
      </c>
      <c r="AW320" s="104"/>
      <c r="AX320" s="20">
        <f>COUNTIF('CAL1'!A:A,Agenda2526!C321)</f>
        <v>0</v>
      </c>
      <c r="AY320" s="20">
        <f>COUNTIF('CAL2'!A:A,Agenda2526!C321)</f>
        <v>0</v>
      </c>
      <c r="AZ320" s="20">
        <f>COUNTIF('CAL3'!A:A,Agenda2526!C321)</f>
        <v>0</v>
      </c>
      <c r="BA320" s="20">
        <f>COUNTIF('CAL4'!A:A,Agenda2526!C321)</f>
        <v>0</v>
      </c>
      <c r="BB320" s="20">
        <f>COUNTIF('CAL5'!A:A,Agenda2526!C321)</f>
        <v>0</v>
      </c>
      <c r="BC320" s="20">
        <f>COUNTIF('CAL6'!A:A,Agenda2526!C321)</f>
        <v>0</v>
      </c>
      <c r="BD320" s="20">
        <f>COUNTIF('CAL7'!A:A,Agenda2526!C321)</f>
        <v>1</v>
      </c>
      <c r="BE320" s="20">
        <f>COUNTIF('CAL8'!A:A,Agenda2526!C321)</f>
        <v>1</v>
      </c>
    </row>
    <row r="321" spans="1:57" ht="15.75" customHeight="1">
      <c r="A321" s="20" t="str">
        <f ca="1">IF(CALC2223!AX321&gt;0,INDIRECT(ADDRESS(MATCH(Agenda2526!C322,'CAL1'!A:A,0),2,4,1,"CAL1")),"")</f>
        <v/>
      </c>
      <c r="B321" s="21">
        <f ca="1">IF(CALC2223!AX321&gt;0,INDIRECT(ADDRESS(MATCH(Agenda2526!C322,'CAL1'!A:A,0),3,4,1,"CAL1")),0)</f>
        <v>0</v>
      </c>
      <c r="C321" s="20" t="str">
        <f ca="1">IF(CALC2223!AX321&gt;1,INDIRECT(ADDRESS(MATCH(Agenda2526!C322,'CAL1'!A:A,0)+1,2,4,1,"CAL1")),"")</f>
        <v/>
      </c>
      <c r="D321" s="21">
        <f ca="1">IF(CALC2223!AX321&gt;1,INDIRECT(ADDRESS(MATCH(Agenda2526!C322,'CAL1'!A:A,0)+1,3,4,1,"CAL1")),0)</f>
        <v>0</v>
      </c>
      <c r="E321" s="20" t="str">
        <f ca="1">IF(CALC2223!AX321&gt;2,INDIRECT(ADDRESS(MATCH(Agenda2526!C322,'CAL1'!A:A,0)+2,2,4,1,"CAL1")),"")</f>
        <v/>
      </c>
      <c r="F321" s="21">
        <f ca="1">IF(CALC2223!AX321&gt;2,INDIRECT(ADDRESS(MATCH(Agenda2526!C322,'CAL1'!A:A,0)+2,3,4,1,"CAL1")),0)</f>
        <v>0</v>
      </c>
      <c r="G321" s="20" t="str">
        <f ca="1">IF(CALC2223!AY321&gt;0,INDIRECT(ADDRESS(MATCH(Agenda2526!C322,'CAL2'!A:A,0),2,4,1,"CAL2")),"")</f>
        <v/>
      </c>
      <c r="H321" s="21">
        <f ca="1">IF(CALC2223!AY321&gt;0,INDIRECT(ADDRESS(MATCH(Agenda2526!C322,'CAL2'!A:A,0),3,4,1,"CAL2")),0)</f>
        <v>0</v>
      </c>
      <c r="I321" s="20" t="str">
        <f ca="1">IF(CALC2223!AY321&gt;1,INDIRECT(ADDRESS(MATCH(Agenda2526!C322,'CAL2'!A:A,0)+1,2,4,1,"CAL2")),"")</f>
        <v/>
      </c>
      <c r="J321" s="21">
        <f ca="1">IF(CALC2223!AY321&gt;1,INDIRECT(ADDRESS(MATCH(Agenda2526!C322,'CAL2'!A:A,0)+1,3,4,1,"CAL2")),0)</f>
        <v>0</v>
      </c>
      <c r="K321" s="20" t="str">
        <f ca="1">IF(CALC2223!AY321&gt;2,INDIRECT(ADDRESS(MATCH(Agenda2526!C322,'CAL2'!A:A,0)+2,2,4,1,"CAL2")),"")</f>
        <v/>
      </c>
      <c r="L321" s="21">
        <f ca="1">IF(CALC2223!AY321&gt;2,INDIRECT(ADDRESS(MATCH(Agenda2526!C322,'CAL2'!A:A,0)+2,3,4,1,"CAL2")),0)</f>
        <v>0</v>
      </c>
      <c r="M321" s="20" t="str">
        <f ca="1">IF(CALC2223!AZ321&gt;0,INDIRECT(ADDRESS(MATCH(Agenda2526!C322,'CAL3'!A:A,0),2,4,1,"CAL3")),"")</f>
        <v/>
      </c>
      <c r="N321" s="21">
        <f ca="1">IF(CALC2223!AZ321&gt;0,INDIRECT(ADDRESS(MATCH(Agenda2526!C322,'CAL3'!A:A,0),3,4,1,"CAL3")),0)</f>
        <v>0</v>
      </c>
      <c r="O321" s="20" t="str">
        <f ca="1">IF(CALC2223!AZ321&gt;1,INDIRECT(ADDRESS(MATCH(Agenda2526!C322,'CAL3'!A:A,0)+1,2,4,1,"CAL3")),"")</f>
        <v/>
      </c>
      <c r="P321" s="21">
        <f ca="1">IF(CALC2223!AZ321&gt;1,INDIRECT(ADDRESS(MATCH(Agenda2526!C322,'CAL3'!A:A,0)+1,3,4,1,"CAL3")),0)</f>
        <v>0</v>
      </c>
      <c r="Q321" s="20" t="str">
        <f ca="1">IF(CALC2223!AZ321&gt;2,INDIRECT(ADDRESS(MATCH(Agenda2526!C322,'CAL3'!A:A,0)+2,2,4,1,"CAL3")),"")</f>
        <v/>
      </c>
      <c r="R321" s="21">
        <f ca="1">IF(CALC2223!AZ321&gt;2,INDIRECT(ADDRESS(MATCH(Agenda2526!C322,'CAL3'!A:A,0)+2,3,4,1,"CAL3")),0)</f>
        <v>0</v>
      </c>
      <c r="S321" s="20" t="str">
        <f ca="1">IF(CALC2223!BA321&gt;0,INDIRECT(ADDRESS(MATCH(Agenda2526!C322,'CAL4'!A:A,0),2,4,1,"CAL4")),"")</f>
        <v/>
      </c>
      <c r="T321" s="21">
        <f ca="1">IF(CALC2223!BA321&gt;0,INDIRECT(ADDRESS(MATCH(Agenda2526!C322,'CAL4'!A:A,0),3,4,1,"CAL4")),0)</f>
        <v>0</v>
      </c>
      <c r="U321" s="20" t="str">
        <f ca="1">IF(CALC2223!BA321&gt;1,INDIRECT(ADDRESS(MATCH(Agenda2526!C322,'CAL4'!A:A,0)+1,2,4,1,"CAL4")),"")</f>
        <v/>
      </c>
      <c r="V321" s="21">
        <f ca="1">IF(CALC2223!BA321&gt;1,INDIRECT(ADDRESS(MATCH(Agenda2526!C322,'CAL4'!A:A,0)+1,3,4,1,"CAL4")),0)</f>
        <v>0</v>
      </c>
      <c r="W321" s="20" t="str">
        <f ca="1">IF(CALC2223!BA321&gt;2,INDIRECT(ADDRESS(MATCH(Agenda2526!C322,'CAL4'!A:A,0)+2,2,4,1,"CAL4")),"")</f>
        <v/>
      </c>
      <c r="X321" s="21">
        <f ca="1">IF(CALC2223!BA321&gt;2,INDIRECT(ADDRESS(MATCH(Agenda2526!C322,'CAL4'!A:A,0)+2,3,4,1,"CAL4")),0)</f>
        <v>0</v>
      </c>
      <c r="Y321" s="20" t="str">
        <f ca="1">IF(CALC2223!BB321&gt;0,INDIRECT(ADDRESS(MATCH(Agenda2526!C322,'CAL5'!A:A,0),2,4,1,"CAL5")),"")</f>
        <v/>
      </c>
      <c r="Z321" s="21">
        <f ca="1">IF(CALC2223!BB321&gt;0,INDIRECT(ADDRESS(MATCH(Agenda2526!C322,'CAL5'!A:A,0),3,4,1,"CAL5")),0)</f>
        <v>0</v>
      </c>
      <c r="AA321" s="20" t="str">
        <f ca="1">IF(CALC2223!BB321&gt;1,INDIRECT(ADDRESS(MATCH(Agenda2526!C322,'CAL5'!A:A,0)+1,2,4,1,"CAL5")),"")</f>
        <v/>
      </c>
      <c r="AB321" s="21">
        <f ca="1">IF(CALC2223!BB321&gt;1,INDIRECT(ADDRESS(MATCH(Agenda2526!C322,'CAL5'!A:A,0)+1,3,4,1,"CAL5")),0)</f>
        <v>0</v>
      </c>
      <c r="AC321" s="20" t="str">
        <f ca="1">IF(CALC2223!BB321&gt;2,INDIRECT(ADDRESS(MATCH(Agenda2526!C322,'CAL5'!A:A,0)+2,2,4,1,"CAL5")),"")</f>
        <v/>
      </c>
      <c r="AD321" s="21">
        <f ca="1">IF(CALC2223!BB321&gt;2,INDIRECT(ADDRESS(MATCH(Agenda2526!C322,'CAL5'!A:A,0)+2,3,4,1,"CAL5")),0)</f>
        <v>0</v>
      </c>
      <c r="AE321" s="20" t="str">
        <f ca="1">IF(CALC2223!BC321&gt;0,INDIRECT(ADDRESS(MATCH(Agenda2526!C322,'CAL6'!A:A,0),2,4,1,"CAL6")),"")</f>
        <v/>
      </c>
      <c r="AF321" s="21">
        <f ca="1">IF(CALC2223!BC321&gt;0,INDIRECT(ADDRESS(MATCH(Agenda2526!C322,'CAL6'!A:A,0),3,4,1,"CAL6")),0)</f>
        <v>0</v>
      </c>
      <c r="AG321" s="20" t="str">
        <f ca="1">IF(CALC2223!BC321&gt;1,INDIRECT(ADDRESS(MATCH(Agenda2526!C322,'CAL6'!A:A,0)+1,2,4,1,"CAL6")),"")</f>
        <v/>
      </c>
      <c r="AH321" s="21">
        <f ca="1">IF(CALC2223!BC321&gt;1,INDIRECT(ADDRESS(MATCH(Agenda2526!C322,'CAL6'!A:A,0)+1,3,4,1,"CAL6")),0)</f>
        <v>0</v>
      </c>
      <c r="AI321" s="20" t="str">
        <f ca="1">IF(CALC2223!BC321&gt;2,INDIRECT(ADDRESS(MATCH(Agenda2526!C322,'CAL6'!A:A,0)+2,2,4,1,"CAL6")),"")</f>
        <v/>
      </c>
      <c r="AJ321" s="21">
        <f ca="1">IF(CALC2223!BC321&gt;2,INDIRECT(ADDRESS(MATCH(Agenda2526!C322,'CAL6'!A:A,0)+2,3,4,1,"CAL6")),0)</f>
        <v>0</v>
      </c>
      <c r="AK321" s="20" t="str">
        <f ca="1">IF(CALC2223!BD321&gt;0,INDIRECT(ADDRESS(MATCH(Agenda2526!C322,'CAL7'!A:A,0),2,4,1,"CAL7")),"")</f>
        <v>reservedag</v>
      </c>
      <c r="AL321" s="21">
        <f ca="1">IF(CALC2223!BD321&gt;0,INDIRECT(ADDRESS(MATCH(Agenda2526!C322,'CAL7'!A:A,0),3,4,1,"CAL7")),0)</f>
        <v>45896</v>
      </c>
      <c r="AM321" s="20" t="str">
        <f ca="1">IF(CALC2223!BD321&gt;1,INDIRECT(ADDRESS(MATCH(Agenda2526!C322,'CAL7'!A:A,0)+1,2,4,1,"CAL7")),"")</f>
        <v/>
      </c>
      <c r="AN321" s="21">
        <f ca="1">IF(CALC2223!BD321&gt;1,INDIRECT(ADDRESS(MATCH(Agenda2526!C322,'CAL7'!A:A,0)+1,3,4,1,"CAL7")),0)</f>
        <v>0</v>
      </c>
      <c r="AO321" s="20" t="str">
        <f ca="1">IF(CALC2223!BD321&gt;2,INDIRECT(ADDRESS(MATCH(Agenda2526!C322,'CAL7'!A:A,0)+2,2,4,1,"CAL7")),"")</f>
        <v/>
      </c>
      <c r="AP321" s="21">
        <f ca="1">IF(CALC2223!BD321&gt;2,INDIRECT(ADDRESS(MATCH(Agenda2526!C322,'CAL7'!A:A,0)+2,3,4,1,"CAL7")),0)</f>
        <v>0</v>
      </c>
      <c r="AQ321" s="20" t="str">
        <f ca="1">IF(CALC2223!BE321&gt;0,INDIRECT(ADDRESS(MATCH(Agenda2526!C322,'CAL8'!A:A,0),2,4,1,"CAL8")),"")</f>
        <v/>
      </c>
      <c r="AR321" s="21">
        <f ca="1">IF(CALC2223!BE321&gt;0,INDIRECT(ADDRESS(MATCH(Agenda2526!C322,'CAL8'!A:A,0),3,4,1,"CAL8")),0)</f>
        <v>0</v>
      </c>
      <c r="AS321" s="20" t="str">
        <f ca="1">IF(CALC2223!BE321&gt;1,INDIRECT(ADDRESS(MATCH(Agenda2526!C322,'CAL8'!A:A,0)+1,2,4,1,"CAL8")),"")</f>
        <v/>
      </c>
      <c r="AT321" s="21">
        <f ca="1">IF(CALC2223!BE321&gt;1,INDIRECT(ADDRESS(MATCH(Agenda2526!C322,'CAL8'!A:A,0)+1,3,4,1,"CAL8")),0)</f>
        <v>0</v>
      </c>
      <c r="AU321" s="20" t="str">
        <f ca="1">IF(CALC2223!BE321&gt;2,INDIRECT(ADDRESS(MATCH(Agenda2526!C322,'CAL8'!A:A,0)+2,2,4,1,"CAL8")),"")</f>
        <v/>
      </c>
      <c r="AV321" s="21">
        <f ca="1">IF(CALC2223!BE321&gt;2,INDIRECT(ADDRESS(MATCH(Agenda2526!C322,'CAL8'!A:A,0)+2,3,4,1,"CAL8")),0)</f>
        <v>0</v>
      </c>
      <c r="AW321" s="113"/>
      <c r="AX321" s="20">
        <f>COUNTIF('CAL1'!A:A,Agenda2526!C322)</f>
        <v>0</v>
      </c>
      <c r="AY321" s="20">
        <f>COUNTIF('CAL2'!A:A,Agenda2526!C322)</f>
        <v>0</v>
      </c>
      <c r="AZ321" s="20">
        <f>COUNTIF('CAL3'!A:A,Agenda2526!C322)</f>
        <v>0</v>
      </c>
      <c r="BA321" s="20">
        <f>COUNTIF('CAL4'!A:A,Agenda2526!C322)</f>
        <v>0</v>
      </c>
      <c r="BB321" s="20">
        <f>COUNTIF('CAL5'!A:A,Agenda2526!C322)</f>
        <v>0</v>
      </c>
      <c r="BC321" s="20">
        <f>COUNTIF('CAL6'!A:A,Agenda2526!C322)</f>
        <v>0</v>
      </c>
      <c r="BD321" s="20">
        <f>COUNTIF('CAL7'!A:A,Agenda2526!C322)</f>
        <v>1</v>
      </c>
      <c r="BE321" s="20">
        <f>COUNTIF('CAL8'!A:A,Agenda2526!C322)</f>
        <v>0</v>
      </c>
    </row>
    <row r="322" spans="1:57" ht="15.75" customHeight="1">
      <c r="A322" s="20" t="str">
        <f ca="1">IF(CALC2223!AX322&gt;0,INDIRECT(ADDRESS(MATCH(Agenda2526!C323,'CAL1'!A:A,0),2,4,1,"CAL1")),"")</f>
        <v/>
      </c>
      <c r="B322" s="21">
        <f ca="1">IF(CALC2223!AX322&gt;0,INDIRECT(ADDRESS(MATCH(Agenda2526!C323,'CAL1'!A:A,0),3,4,1,"CAL1")),0)</f>
        <v>0</v>
      </c>
      <c r="C322" s="20" t="str">
        <f ca="1">IF(CALC2223!AX322&gt;1,INDIRECT(ADDRESS(MATCH(Agenda2526!C323,'CAL1'!A:A,0)+1,2,4,1,"CAL1")),"")</f>
        <v/>
      </c>
      <c r="D322" s="21">
        <f ca="1">IF(CALC2223!AX322&gt;1,INDIRECT(ADDRESS(MATCH(Agenda2526!C323,'CAL1'!A:A,0)+1,3,4,1,"CAL1")),0)</f>
        <v>0</v>
      </c>
      <c r="E322" s="20" t="str">
        <f ca="1">IF(CALC2223!AX322&gt;2,INDIRECT(ADDRESS(MATCH(Agenda2526!C323,'CAL1'!A:A,0)+2,2,4,1,"CAL1")),"")</f>
        <v/>
      </c>
      <c r="F322" s="21">
        <f ca="1">IF(CALC2223!AX322&gt;2,INDIRECT(ADDRESS(MATCH(Agenda2526!C323,'CAL1'!A:A,0)+2,3,4,1,"CAL1")),0)</f>
        <v>0</v>
      </c>
      <c r="G322" s="20" t="str">
        <f ca="1">IF(CALC2223!AY322&gt;0,INDIRECT(ADDRESS(MATCH(Agenda2526!C323,'CAL2'!A:A,0),2,4,1,"CAL2")),"")</f>
        <v/>
      </c>
      <c r="H322" s="21">
        <f ca="1">IF(CALC2223!AY322&gt;0,INDIRECT(ADDRESS(MATCH(Agenda2526!C323,'CAL2'!A:A,0),3,4,1,"CAL2")),0)</f>
        <v>0</v>
      </c>
      <c r="I322" s="20" t="str">
        <f ca="1">IF(CALC2223!AY322&gt;1,INDIRECT(ADDRESS(MATCH(Agenda2526!C323,'CAL2'!A:A,0)+1,2,4,1,"CAL2")),"")</f>
        <v/>
      </c>
      <c r="J322" s="21">
        <f ca="1">IF(CALC2223!AY322&gt;1,INDIRECT(ADDRESS(MATCH(Agenda2526!C323,'CAL2'!A:A,0)+1,3,4,1,"CAL2")),0)</f>
        <v>0</v>
      </c>
      <c r="K322" s="20" t="str">
        <f ca="1">IF(CALC2223!AY322&gt;2,INDIRECT(ADDRESS(MATCH(Agenda2526!C323,'CAL2'!A:A,0)+2,2,4,1,"CAL2")),"")</f>
        <v/>
      </c>
      <c r="L322" s="21">
        <f ca="1">IF(CALC2223!AY322&gt;2,INDIRECT(ADDRESS(MATCH(Agenda2526!C323,'CAL2'!A:A,0)+2,3,4,1,"CAL2")),0)</f>
        <v>0</v>
      </c>
      <c r="M322" s="20" t="str">
        <f ca="1">IF(CALC2223!AZ322&gt;0,INDIRECT(ADDRESS(MATCH(Agenda2526!C323,'CAL3'!A:A,0),2,4,1,"CAL3")),"")</f>
        <v/>
      </c>
      <c r="N322" s="21">
        <f ca="1">IF(CALC2223!AZ322&gt;0,INDIRECT(ADDRESS(MATCH(Agenda2526!C323,'CAL3'!A:A,0),3,4,1,"CAL3")),0)</f>
        <v>0</v>
      </c>
      <c r="O322" s="20" t="str">
        <f ca="1">IF(CALC2223!AZ322&gt;1,INDIRECT(ADDRESS(MATCH(Agenda2526!C323,'CAL3'!A:A,0)+1,2,4,1,"CAL3")),"")</f>
        <v/>
      </c>
      <c r="P322" s="21">
        <f ca="1">IF(CALC2223!AZ322&gt;1,INDIRECT(ADDRESS(MATCH(Agenda2526!C323,'CAL3'!A:A,0)+1,3,4,1,"CAL3")),0)</f>
        <v>0</v>
      </c>
      <c r="Q322" s="20" t="str">
        <f ca="1">IF(CALC2223!AZ322&gt;2,INDIRECT(ADDRESS(MATCH(Agenda2526!C323,'CAL3'!A:A,0)+2,2,4,1,"CAL3")),"")</f>
        <v/>
      </c>
      <c r="R322" s="21">
        <f ca="1">IF(CALC2223!AZ322&gt;2,INDIRECT(ADDRESS(MATCH(Agenda2526!C323,'CAL3'!A:A,0)+2,3,4,1,"CAL3")),0)</f>
        <v>0</v>
      </c>
      <c r="S322" s="20" t="str">
        <f ca="1">IF(CALC2223!BA322&gt;0,INDIRECT(ADDRESS(MATCH(Agenda2526!C323,'CAL4'!A:A,0),2,4,1,"CAL4")),"")</f>
        <v/>
      </c>
      <c r="T322" s="21">
        <f ca="1">IF(CALC2223!BA322&gt;0,INDIRECT(ADDRESS(MATCH(Agenda2526!C323,'CAL4'!A:A,0),3,4,1,"CAL4")),0)</f>
        <v>0</v>
      </c>
      <c r="U322" s="20" t="str">
        <f ca="1">IF(CALC2223!BA322&gt;1,INDIRECT(ADDRESS(MATCH(Agenda2526!C323,'CAL4'!A:A,0)+1,2,4,1,"CAL4")),"")</f>
        <v/>
      </c>
      <c r="V322" s="21">
        <f ca="1">IF(CALC2223!BA322&gt;1,INDIRECT(ADDRESS(MATCH(Agenda2526!C323,'CAL4'!A:A,0)+1,3,4,1,"CAL4")),0)</f>
        <v>0</v>
      </c>
      <c r="W322" s="20" t="str">
        <f ca="1">IF(CALC2223!BA322&gt;2,INDIRECT(ADDRESS(MATCH(Agenda2526!C323,'CAL4'!A:A,0)+2,2,4,1,"CAL4")),"")</f>
        <v/>
      </c>
      <c r="X322" s="21">
        <f ca="1">IF(CALC2223!BA322&gt;2,INDIRECT(ADDRESS(MATCH(Agenda2526!C323,'CAL4'!A:A,0)+2,3,4,1,"CAL4")),0)</f>
        <v>0</v>
      </c>
      <c r="Y322" s="20" t="str">
        <f ca="1">IF(CALC2223!BB322&gt;0,INDIRECT(ADDRESS(MATCH(Agenda2526!C323,'CAL5'!A:A,0),2,4,1,"CAL5")),"")</f>
        <v/>
      </c>
      <c r="Z322" s="21">
        <f ca="1">IF(CALC2223!BB322&gt;0,INDIRECT(ADDRESS(MATCH(Agenda2526!C323,'CAL5'!A:A,0),3,4,1,"CAL5")),0)</f>
        <v>0</v>
      </c>
      <c r="AA322" s="20" t="str">
        <f ca="1">IF(CALC2223!BB322&gt;1,INDIRECT(ADDRESS(MATCH(Agenda2526!C323,'CAL5'!A:A,0)+1,2,4,1,"CAL5")),"")</f>
        <v/>
      </c>
      <c r="AB322" s="21">
        <f ca="1">IF(CALC2223!BB322&gt;1,INDIRECT(ADDRESS(MATCH(Agenda2526!C323,'CAL5'!A:A,0)+1,3,4,1,"CAL5")),0)</f>
        <v>0</v>
      </c>
      <c r="AC322" s="20" t="str">
        <f ca="1">IF(CALC2223!BB322&gt;2,INDIRECT(ADDRESS(MATCH(Agenda2526!C323,'CAL5'!A:A,0)+2,2,4,1,"CAL5")),"")</f>
        <v/>
      </c>
      <c r="AD322" s="21">
        <f ca="1">IF(CALC2223!BB322&gt;2,INDIRECT(ADDRESS(MATCH(Agenda2526!C323,'CAL5'!A:A,0)+2,3,4,1,"CAL5")),0)</f>
        <v>0</v>
      </c>
      <c r="AE322" s="20" t="str">
        <f ca="1">IF(CALC2223!BC322&gt;0,INDIRECT(ADDRESS(MATCH(Agenda2526!C323,'CAL6'!A:A,0),2,4,1,"CAL6")),"")</f>
        <v/>
      </c>
      <c r="AF322" s="21">
        <f ca="1">IF(CALC2223!BC322&gt;0,INDIRECT(ADDRESS(MATCH(Agenda2526!C323,'CAL6'!A:A,0),3,4,1,"CAL6")),0)</f>
        <v>0</v>
      </c>
      <c r="AG322" s="20" t="str">
        <f ca="1">IF(CALC2223!BC322&gt;1,INDIRECT(ADDRESS(MATCH(Agenda2526!C323,'CAL6'!A:A,0)+1,2,4,1,"CAL6")),"")</f>
        <v/>
      </c>
      <c r="AH322" s="21">
        <f ca="1">IF(CALC2223!BC322&gt;1,INDIRECT(ADDRESS(MATCH(Agenda2526!C323,'CAL6'!A:A,0)+1,3,4,1,"CAL6")),0)</f>
        <v>0</v>
      </c>
      <c r="AI322" s="20" t="str">
        <f ca="1">IF(CALC2223!BC322&gt;2,INDIRECT(ADDRESS(MATCH(Agenda2526!C323,'CAL6'!A:A,0)+2,2,4,1,"CAL6")),"")</f>
        <v/>
      </c>
      <c r="AJ322" s="21">
        <f ca="1">IF(CALC2223!BC322&gt;2,INDIRECT(ADDRESS(MATCH(Agenda2526!C323,'CAL6'!A:A,0)+2,3,4,1,"CAL6")),0)</f>
        <v>0</v>
      </c>
      <c r="AK322" s="20" t="str">
        <f ca="1">IF(CALC2223!BD322&gt;0,INDIRECT(ADDRESS(MATCH(Agenda2526!C323,'CAL7'!A:A,0),2,4,1,"CAL7")),"")</f>
        <v/>
      </c>
      <c r="AL322" s="21">
        <f ca="1">IF(CALC2223!BD322&gt;0,INDIRECT(ADDRESS(MATCH(Agenda2526!C323,'CAL7'!A:A,0),3,4,1,"CAL7")),0)</f>
        <v>0</v>
      </c>
      <c r="AM322" s="20" t="str">
        <f ca="1">IF(CALC2223!BD322&gt;1,INDIRECT(ADDRESS(MATCH(Agenda2526!C323,'CAL7'!A:A,0)+1,2,4,1,"CAL7")),"")</f>
        <v/>
      </c>
      <c r="AN322" s="21">
        <f ca="1">IF(CALC2223!BD322&gt;1,INDIRECT(ADDRESS(MATCH(Agenda2526!C323,'CAL7'!A:A,0)+1,3,4,1,"CAL7")),0)</f>
        <v>0</v>
      </c>
      <c r="AO322" s="20" t="str">
        <f ca="1">IF(CALC2223!BD322&gt;2,INDIRECT(ADDRESS(MATCH(Agenda2526!C323,'CAL7'!A:A,0)+2,2,4,1,"CAL7")),"")</f>
        <v/>
      </c>
      <c r="AP322" s="21">
        <f ca="1">IF(CALC2223!BD322&gt;2,INDIRECT(ADDRESS(MATCH(Agenda2526!C323,'CAL7'!A:A,0)+2,3,4,1,"CAL7")),0)</f>
        <v>0</v>
      </c>
      <c r="AQ322" s="20" t="str">
        <f ca="1">IF(CALC2223!BE322&gt;0,INDIRECT(ADDRESS(MATCH(Agenda2526!C323,'CAL8'!A:A,0),2,4,1,"CAL8")),"")</f>
        <v>zomervakantie</v>
      </c>
      <c r="AR322" s="21">
        <f ca="1">IF(CALC2223!BE322&gt;0,INDIRECT(ADDRESS(MATCH(Agenda2526!C323,'CAL8'!A:A,0),3,4,1,"CAL8")),0)</f>
        <v>45617</v>
      </c>
      <c r="AS322" s="20" t="str">
        <f ca="1">IF(CALC2223!BE322&gt;1,INDIRECT(ADDRESS(MATCH(Agenda2526!C323,'CAL8'!A:A,0)+1,2,4,1,"CAL8")),"")</f>
        <v/>
      </c>
      <c r="AT322" s="21">
        <f ca="1">IF(CALC2223!BE322&gt;1,INDIRECT(ADDRESS(MATCH(Agenda2526!C323,'CAL8'!A:A,0)+1,3,4,1,"CAL8")),0)</f>
        <v>0</v>
      </c>
      <c r="AU322" s="20" t="str">
        <f ca="1">IF(CALC2223!BE322&gt;2,INDIRECT(ADDRESS(MATCH(Agenda2526!C323,'CAL8'!A:A,0)+2,2,4,1,"CAL8")),"")</f>
        <v/>
      </c>
      <c r="AV322" s="21">
        <f ca="1">IF(CALC2223!BE322&gt;2,INDIRECT(ADDRESS(MATCH(Agenda2526!C323,'CAL8'!A:A,0)+2,3,4,1,"CAL8")),0)</f>
        <v>0</v>
      </c>
      <c r="AW322" s="106"/>
      <c r="AX322" s="20">
        <f>COUNTIF('CAL1'!A:A,Agenda2526!C323)</f>
        <v>0</v>
      </c>
      <c r="AY322" s="20">
        <f>COUNTIF('CAL2'!A:A,Agenda2526!C323)</f>
        <v>0</v>
      </c>
      <c r="AZ322" s="20">
        <f>COUNTIF('CAL3'!A:A,Agenda2526!C323)</f>
        <v>0</v>
      </c>
      <c r="BA322" s="20">
        <f>COUNTIF('CAL4'!A:A,Agenda2526!C323)</f>
        <v>0</v>
      </c>
      <c r="BB322" s="20">
        <f>COUNTIF('CAL5'!A:A,Agenda2526!C323)</f>
        <v>0</v>
      </c>
      <c r="BC322" s="20">
        <f>COUNTIF('CAL6'!A:A,Agenda2526!C323)</f>
        <v>0</v>
      </c>
      <c r="BD322" s="20">
        <f>COUNTIF('CAL7'!A:A,Agenda2526!C323)</f>
        <v>0</v>
      </c>
      <c r="BE322" s="20">
        <f>COUNTIF('CAL8'!A:A,Agenda2526!C323)</f>
        <v>1</v>
      </c>
    </row>
    <row r="323" spans="1:57" ht="15.75" customHeight="1">
      <c r="A323" s="20" t="str">
        <f ca="1">IF(CALC2223!AX323&gt;0,INDIRECT(ADDRESS(MATCH(Agenda2526!C324,'CAL1'!A:A,0),2,4,1,"CAL1")),"")</f>
        <v/>
      </c>
      <c r="B323" s="21">
        <f ca="1">IF(CALC2223!AX323&gt;0,INDIRECT(ADDRESS(MATCH(Agenda2526!C324,'CAL1'!A:A,0),3,4,1,"CAL1")),0)</f>
        <v>0</v>
      </c>
      <c r="C323" s="20" t="str">
        <f ca="1">IF(CALC2223!AX323&gt;1,INDIRECT(ADDRESS(MATCH(Agenda2526!C324,'CAL1'!A:A,0)+1,2,4,1,"CAL1")),"")</f>
        <v/>
      </c>
      <c r="D323" s="21">
        <f ca="1">IF(CALC2223!AX323&gt;1,INDIRECT(ADDRESS(MATCH(Agenda2526!C324,'CAL1'!A:A,0)+1,3,4,1,"CAL1")),0)</f>
        <v>0</v>
      </c>
      <c r="E323" s="20" t="str">
        <f ca="1">IF(CALC2223!AX323&gt;2,INDIRECT(ADDRESS(MATCH(Agenda2526!C324,'CAL1'!A:A,0)+2,2,4,1,"CAL1")),"")</f>
        <v/>
      </c>
      <c r="F323" s="21">
        <f ca="1">IF(CALC2223!AX323&gt;2,INDIRECT(ADDRESS(MATCH(Agenda2526!C324,'CAL1'!A:A,0)+2,3,4,1,"CAL1")),0)</f>
        <v>0</v>
      </c>
      <c r="G323" s="20" t="str">
        <f ca="1">IF(CALC2223!AY323&gt;0,INDIRECT(ADDRESS(MATCH(Agenda2526!C324,'CAL2'!A:A,0),2,4,1,"CAL2")),"")</f>
        <v/>
      </c>
      <c r="H323" s="21">
        <f ca="1">IF(CALC2223!AY323&gt;0,INDIRECT(ADDRESS(MATCH(Agenda2526!C324,'CAL2'!A:A,0),3,4,1,"CAL2")),0)</f>
        <v>0</v>
      </c>
      <c r="I323" s="20" t="str">
        <f ca="1">IF(CALC2223!AY323&gt;1,INDIRECT(ADDRESS(MATCH(Agenda2526!C324,'CAL2'!A:A,0)+1,2,4,1,"CAL2")),"")</f>
        <v/>
      </c>
      <c r="J323" s="21">
        <f ca="1">IF(CALC2223!AY323&gt;1,INDIRECT(ADDRESS(MATCH(Agenda2526!C324,'CAL2'!A:A,0)+1,3,4,1,"CAL2")),0)</f>
        <v>0</v>
      </c>
      <c r="K323" s="20" t="str">
        <f ca="1">IF(CALC2223!AY323&gt;2,INDIRECT(ADDRESS(MATCH(Agenda2526!C324,'CAL2'!A:A,0)+2,2,4,1,"CAL2")),"")</f>
        <v/>
      </c>
      <c r="L323" s="21">
        <f ca="1">IF(CALC2223!AY323&gt;2,INDIRECT(ADDRESS(MATCH(Agenda2526!C324,'CAL2'!A:A,0)+2,3,4,1,"CAL2")),0)</f>
        <v>0</v>
      </c>
      <c r="M323" s="20" t="str">
        <f ca="1">IF(CALC2223!AZ323&gt;0,INDIRECT(ADDRESS(MATCH(Agenda2526!C324,'CAL3'!A:A,0),2,4,1,"CAL3")),"")</f>
        <v/>
      </c>
      <c r="N323" s="21">
        <f ca="1">IF(CALC2223!AZ323&gt;0,INDIRECT(ADDRESS(MATCH(Agenda2526!C324,'CAL3'!A:A,0),3,4,1,"CAL3")),0)</f>
        <v>0</v>
      </c>
      <c r="O323" s="20" t="str">
        <f ca="1">IF(CALC2223!AZ323&gt;1,INDIRECT(ADDRESS(MATCH(Agenda2526!C324,'CAL3'!A:A,0)+1,2,4,1,"CAL3")),"")</f>
        <v/>
      </c>
      <c r="P323" s="21">
        <f ca="1">IF(CALC2223!AZ323&gt;1,INDIRECT(ADDRESS(MATCH(Agenda2526!C324,'CAL3'!A:A,0)+1,3,4,1,"CAL3")),0)</f>
        <v>0</v>
      </c>
      <c r="Q323" s="20" t="str">
        <f ca="1">IF(CALC2223!AZ323&gt;2,INDIRECT(ADDRESS(MATCH(Agenda2526!C324,'CAL3'!A:A,0)+2,2,4,1,"CAL3")),"")</f>
        <v/>
      </c>
      <c r="R323" s="21">
        <f ca="1">IF(CALC2223!AZ323&gt;2,INDIRECT(ADDRESS(MATCH(Agenda2526!C324,'CAL3'!A:A,0)+2,3,4,1,"CAL3")),0)</f>
        <v>0</v>
      </c>
      <c r="S323" s="20" t="str">
        <f ca="1">IF(CALC2223!BA323&gt;0,INDIRECT(ADDRESS(MATCH(Agenda2526!C324,'CAL4'!A:A,0),2,4,1,"CAL4")),"")</f>
        <v/>
      </c>
      <c r="T323" s="21">
        <f ca="1">IF(CALC2223!BA323&gt;0,INDIRECT(ADDRESS(MATCH(Agenda2526!C324,'CAL4'!A:A,0),3,4,1,"CAL4")),0)</f>
        <v>0</v>
      </c>
      <c r="U323" s="20" t="str">
        <f ca="1">IF(CALC2223!BA323&gt;1,INDIRECT(ADDRESS(MATCH(Agenda2526!C324,'CAL4'!A:A,0)+1,2,4,1,"CAL4")),"")</f>
        <v/>
      </c>
      <c r="V323" s="21">
        <f ca="1">IF(CALC2223!BA323&gt;1,INDIRECT(ADDRESS(MATCH(Agenda2526!C324,'CAL4'!A:A,0)+1,3,4,1,"CAL4")),0)</f>
        <v>0</v>
      </c>
      <c r="W323" s="20" t="str">
        <f ca="1">IF(CALC2223!BA323&gt;2,INDIRECT(ADDRESS(MATCH(Agenda2526!C324,'CAL4'!A:A,0)+2,2,4,1,"CAL4")),"")</f>
        <v/>
      </c>
      <c r="X323" s="21">
        <f ca="1">IF(CALC2223!BA323&gt;2,INDIRECT(ADDRESS(MATCH(Agenda2526!C324,'CAL4'!A:A,0)+2,3,4,1,"CAL4")),0)</f>
        <v>0</v>
      </c>
      <c r="Y323" s="20" t="str">
        <f ca="1">IF(CALC2223!BB323&gt;0,INDIRECT(ADDRESS(MATCH(Agenda2526!C324,'CAL5'!A:A,0),2,4,1,"CAL5")),"")</f>
        <v/>
      </c>
      <c r="Z323" s="21">
        <f ca="1">IF(CALC2223!BB323&gt;0,INDIRECT(ADDRESS(MATCH(Agenda2526!C324,'CAL5'!A:A,0),3,4,1,"CAL5")),0)</f>
        <v>0</v>
      </c>
      <c r="AA323" s="20" t="str">
        <f ca="1">IF(CALC2223!BB323&gt;1,INDIRECT(ADDRESS(MATCH(Agenda2526!C324,'CAL5'!A:A,0)+1,2,4,1,"CAL5")),"")</f>
        <v/>
      </c>
      <c r="AB323" s="21">
        <f ca="1">IF(CALC2223!BB323&gt;1,INDIRECT(ADDRESS(MATCH(Agenda2526!C324,'CAL5'!A:A,0)+1,3,4,1,"CAL5")),0)</f>
        <v>0</v>
      </c>
      <c r="AC323" s="20" t="str">
        <f ca="1">IF(CALC2223!BB323&gt;2,INDIRECT(ADDRESS(MATCH(Agenda2526!C324,'CAL5'!A:A,0)+2,2,4,1,"CAL5")),"")</f>
        <v/>
      </c>
      <c r="AD323" s="21">
        <f ca="1">IF(CALC2223!BB323&gt;2,INDIRECT(ADDRESS(MATCH(Agenda2526!C324,'CAL5'!A:A,0)+2,3,4,1,"CAL5")),0)</f>
        <v>0</v>
      </c>
      <c r="AE323" s="20" t="str">
        <f ca="1">IF(CALC2223!BC323&gt;0,INDIRECT(ADDRESS(MATCH(Agenda2526!C324,'CAL6'!A:A,0),2,4,1,"CAL6")),"")</f>
        <v/>
      </c>
      <c r="AF323" s="21">
        <f ca="1">IF(CALC2223!BC323&gt;0,INDIRECT(ADDRESS(MATCH(Agenda2526!C324,'CAL6'!A:A,0),3,4,1,"CAL6")),0)</f>
        <v>0</v>
      </c>
      <c r="AG323" s="20" t="str">
        <f ca="1">IF(CALC2223!BC323&gt;1,INDIRECT(ADDRESS(MATCH(Agenda2526!C324,'CAL6'!A:A,0)+1,2,4,1,"CAL6")),"")</f>
        <v/>
      </c>
      <c r="AH323" s="21">
        <f ca="1">IF(CALC2223!BC323&gt;1,INDIRECT(ADDRESS(MATCH(Agenda2526!C324,'CAL6'!A:A,0)+1,3,4,1,"CAL6")),0)</f>
        <v>0</v>
      </c>
      <c r="AI323" s="20" t="str">
        <f ca="1">IF(CALC2223!BC323&gt;2,INDIRECT(ADDRESS(MATCH(Agenda2526!C324,'CAL6'!A:A,0)+2,2,4,1,"CAL6")),"")</f>
        <v/>
      </c>
      <c r="AJ323" s="21">
        <f ca="1">IF(CALC2223!BC323&gt;2,INDIRECT(ADDRESS(MATCH(Agenda2526!C324,'CAL6'!A:A,0)+2,3,4,1,"CAL6")),0)</f>
        <v>0</v>
      </c>
      <c r="AK323" s="20" t="str">
        <f ca="1">IF(CALC2223!BD323&gt;0,INDIRECT(ADDRESS(MATCH(Agenda2526!C324,'CAL7'!A:A,0),2,4,1,"CAL7")),"")</f>
        <v/>
      </c>
      <c r="AL323" s="21">
        <f ca="1">IF(CALC2223!BD323&gt;0,INDIRECT(ADDRESS(MATCH(Agenda2526!C324,'CAL7'!A:A,0),3,4,1,"CAL7")),0)</f>
        <v>0</v>
      </c>
      <c r="AM323" s="20" t="str">
        <f ca="1">IF(CALC2223!BD323&gt;1,INDIRECT(ADDRESS(MATCH(Agenda2526!C324,'CAL7'!A:A,0)+1,2,4,1,"CAL7")),"")</f>
        <v/>
      </c>
      <c r="AN323" s="21">
        <f ca="1">IF(CALC2223!BD323&gt;1,INDIRECT(ADDRESS(MATCH(Agenda2526!C324,'CAL7'!A:A,0)+1,3,4,1,"CAL7")),0)</f>
        <v>0</v>
      </c>
      <c r="AO323" s="20" t="str">
        <f ca="1">IF(CALC2223!BD323&gt;2,INDIRECT(ADDRESS(MATCH(Agenda2526!C324,'CAL7'!A:A,0)+2,2,4,1,"CAL7")),"")</f>
        <v/>
      </c>
      <c r="AP323" s="21">
        <f ca="1">IF(CALC2223!BD323&gt;2,INDIRECT(ADDRESS(MATCH(Agenda2526!C324,'CAL7'!A:A,0)+2,3,4,1,"CAL7")),0)</f>
        <v>0</v>
      </c>
      <c r="AQ323" s="20" t="str">
        <f ca="1">IF(CALC2223!BE323&gt;0,INDIRECT(ADDRESS(MATCH(Agenda2526!C324,'CAL8'!A:A,0),2,4,1,"CAL8")),"")</f>
        <v/>
      </c>
      <c r="AR323" s="21">
        <f ca="1">IF(CALC2223!BE323&gt;0,INDIRECT(ADDRESS(MATCH(Agenda2526!C324,'CAL8'!A:A,0),3,4,1,"CAL8")),0)</f>
        <v>0</v>
      </c>
      <c r="AS323" s="20" t="str">
        <f ca="1">IF(CALC2223!BE323&gt;1,INDIRECT(ADDRESS(MATCH(Agenda2526!C324,'CAL8'!A:A,0)+1,2,4,1,"CAL8")),"")</f>
        <v/>
      </c>
      <c r="AT323" s="21">
        <f ca="1">IF(CALC2223!BE323&gt;1,INDIRECT(ADDRESS(MATCH(Agenda2526!C324,'CAL8'!A:A,0)+1,3,4,1,"CAL8")),0)</f>
        <v>0</v>
      </c>
      <c r="AU323" s="20" t="str">
        <f ca="1">IF(CALC2223!BE323&gt;2,INDIRECT(ADDRESS(MATCH(Agenda2526!C324,'CAL8'!A:A,0)+2,2,4,1,"CAL8")),"")</f>
        <v/>
      </c>
      <c r="AV323" s="21">
        <f ca="1">IF(CALC2223!BE323&gt;2,INDIRECT(ADDRESS(MATCH(Agenda2526!C324,'CAL8'!A:A,0)+2,3,4,1,"CAL8")),0)</f>
        <v>0</v>
      </c>
      <c r="AW323" s="106"/>
      <c r="AX323" s="20">
        <f>COUNTIF('CAL1'!A:A,Agenda2526!C324)</f>
        <v>0</v>
      </c>
      <c r="AY323" s="20">
        <f>COUNTIF('CAL2'!A:A,Agenda2526!C324)</f>
        <v>0</v>
      </c>
      <c r="AZ323" s="20">
        <f>COUNTIF('CAL3'!A:A,Agenda2526!C324)</f>
        <v>0</v>
      </c>
      <c r="BA323" s="20">
        <f>COUNTIF('CAL4'!A:A,Agenda2526!C324)</f>
        <v>0</v>
      </c>
      <c r="BB323" s="20">
        <f>COUNTIF('CAL5'!A:A,Agenda2526!C324)</f>
        <v>0</v>
      </c>
      <c r="BC323" s="20">
        <f>COUNTIF('CAL6'!A:A,Agenda2526!C324)</f>
        <v>0</v>
      </c>
      <c r="BD323" s="20">
        <f>COUNTIF('CAL7'!A:A,Agenda2526!C324)</f>
        <v>0</v>
      </c>
      <c r="BE323" s="20">
        <f>COUNTIF('CAL8'!A:A,Agenda2526!C324)</f>
        <v>0</v>
      </c>
    </row>
    <row r="324" spans="1:57" ht="15.75" customHeight="1">
      <c r="A324" s="20" t="str">
        <f ca="1">IF(CALC2223!AX324&gt;0,INDIRECT(ADDRESS(MATCH(Agenda2526!C325,'CAL1'!A:A,0),2,4,1,"CAL1")),"")</f>
        <v/>
      </c>
      <c r="B324" s="21">
        <f ca="1">IF(CALC2223!AX324&gt;0,INDIRECT(ADDRESS(MATCH(Agenda2526!C325,'CAL1'!A:A,0),3,4,1,"CAL1")),0)</f>
        <v>0</v>
      </c>
      <c r="C324" s="20" t="str">
        <f ca="1">IF(CALC2223!AX324&gt;1,INDIRECT(ADDRESS(MATCH(Agenda2526!C325,'CAL1'!A:A,0)+1,2,4,1,"CAL1")),"")</f>
        <v/>
      </c>
      <c r="D324" s="21">
        <f ca="1">IF(CALC2223!AX324&gt;1,INDIRECT(ADDRESS(MATCH(Agenda2526!C325,'CAL1'!A:A,0)+1,3,4,1,"CAL1")),0)</f>
        <v>0</v>
      </c>
      <c r="E324" s="20" t="str">
        <f ca="1">IF(CALC2223!AX324&gt;2,INDIRECT(ADDRESS(MATCH(Agenda2526!C325,'CAL1'!A:A,0)+2,2,4,1,"CAL1")),"")</f>
        <v/>
      </c>
      <c r="F324" s="21">
        <f ca="1">IF(CALC2223!AX324&gt;2,INDIRECT(ADDRESS(MATCH(Agenda2526!C325,'CAL1'!A:A,0)+2,3,4,1,"CAL1")),0)</f>
        <v>0</v>
      </c>
      <c r="G324" s="20" t="str">
        <f ca="1">IF(CALC2223!AY324&gt;0,INDIRECT(ADDRESS(MATCH(Agenda2526!C325,'CAL2'!A:A,0),2,4,1,"CAL2")),"")</f>
        <v/>
      </c>
      <c r="H324" s="21">
        <f ca="1">IF(CALC2223!AY324&gt;0,INDIRECT(ADDRESS(MATCH(Agenda2526!C325,'CAL2'!A:A,0),3,4,1,"CAL2")),0)</f>
        <v>0</v>
      </c>
      <c r="I324" s="20" t="str">
        <f ca="1">IF(CALC2223!AY324&gt;1,INDIRECT(ADDRESS(MATCH(Agenda2526!C325,'CAL2'!A:A,0)+1,2,4,1,"CAL2")),"")</f>
        <v/>
      </c>
      <c r="J324" s="21">
        <f ca="1">IF(CALC2223!AY324&gt;1,INDIRECT(ADDRESS(MATCH(Agenda2526!C325,'CAL2'!A:A,0)+1,3,4,1,"CAL2")),0)</f>
        <v>0</v>
      </c>
      <c r="K324" s="20" t="str">
        <f ca="1">IF(CALC2223!AY324&gt;2,INDIRECT(ADDRESS(MATCH(Agenda2526!C325,'CAL2'!A:A,0)+2,2,4,1,"CAL2")),"")</f>
        <v/>
      </c>
      <c r="L324" s="21">
        <f ca="1">IF(CALC2223!AY324&gt;2,INDIRECT(ADDRESS(MATCH(Agenda2526!C325,'CAL2'!A:A,0)+2,3,4,1,"CAL2")),0)</f>
        <v>0</v>
      </c>
      <c r="M324" s="20" t="str">
        <f ca="1">IF(CALC2223!AZ324&gt;0,INDIRECT(ADDRESS(MATCH(Agenda2526!C325,'CAL3'!A:A,0),2,4,1,"CAL3")),"")</f>
        <v/>
      </c>
      <c r="N324" s="21">
        <f ca="1">IF(CALC2223!AZ324&gt;0,INDIRECT(ADDRESS(MATCH(Agenda2526!C325,'CAL3'!A:A,0),3,4,1,"CAL3")),0)</f>
        <v>0</v>
      </c>
      <c r="O324" s="20" t="str">
        <f ca="1">IF(CALC2223!AZ324&gt;1,INDIRECT(ADDRESS(MATCH(Agenda2526!C325,'CAL3'!A:A,0)+1,2,4,1,"CAL3")),"")</f>
        <v/>
      </c>
      <c r="P324" s="21">
        <f ca="1">IF(CALC2223!AZ324&gt;1,INDIRECT(ADDRESS(MATCH(Agenda2526!C325,'CAL3'!A:A,0)+1,3,4,1,"CAL3")),0)</f>
        <v>0</v>
      </c>
      <c r="Q324" s="20" t="str">
        <f ca="1">IF(CALC2223!AZ324&gt;2,INDIRECT(ADDRESS(MATCH(Agenda2526!C325,'CAL3'!A:A,0)+2,2,4,1,"CAL3")),"")</f>
        <v/>
      </c>
      <c r="R324" s="21">
        <f ca="1">IF(CALC2223!AZ324&gt;2,INDIRECT(ADDRESS(MATCH(Agenda2526!C325,'CAL3'!A:A,0)+2,3,4,1,"CAL3")),0)</f>
        <v>0</v>
      </c>
      <c r="S324" s="20" t="str">
        <f ca="1">IF(CALC2223!BA324&gt;0,INDIRECT(ADDRESS(MATCH(Agenda2526!C325,'CAL4'!A:A,0),2,4,1,"CAL4")),"")</f>
        <v/>
      </c>
      <c r="T324" s="21">
        <f ca="1">IF(CALC2223!BA324&gt;0,INDIRECT(ADDRESS(MATCH(Agenda2526!C325,'CAL4'!A:A,0),3,4,1,"CAL4")),0)</f>
        <v>0</v>
      </c>
      <c r="U324" s="20" t="str">
        <f ca="1">IF(CALC2223!BA324&gt;1,INDIRECT(ADDRESS(MATCH(Agenda2526!C325,'CAL4'!A:A,0)+1,2,4,1,"CAL4")),"")</f>
        <v/>
      </c>
      <c r="V324" s="21">
        <f ca="1">IF(CALC2223!BA324&gt;1,INDIRECT(ADDRESS(MATCH(Agenda2526!C325,'CAL4'!A:A,0)+1,3,4,1,"CAL4")),0)</f>
        <v>0</v>
      </c>
      <c r="W324" s="20" t="str">
        <f ca="1">IF(CALC2223!BA324&gt;2,INDIRECT(ADDRESS(MATCH(Agenda2526!C325,'CAL4'!A:A,0)+2,2,4,1,"CAL4")),"")</f>
        <v/>
      </c>
      <c r="X324" s="21">
        <f ca="1">IF(CALC2223!BA324&gt;2,INDIRECT(ADDRESS(MATCH(Agenda2526!C325,'CAL4'!A:A,0)+2,3,4,1,"CAL4")),0)</f>
        <v>0</v>
      </c>
      <c r="Y324" s="20" t="str">
        <f ca="1">IF(CALC2223!BB324&gt;0,INDIRECT(ADDRESS(MATCH(Agenda2526!C325,'CAL5'!A:A,0),2,4,1,"CAL5")),"")</f>
        <v/>
      </c>
      <c r="Z324" s="21">
        <f ca="1">IF(CALC2223!BB324&gt;0,INDIRECT(ADDRESS(MATCH(Agenda2526!C325,'CAL5'!A:A,0),3,4,1,"CAL5")),0)</f>
        <v>0</v>
      </c>
      <c r="AA324" s="20" t="str">
        <f ca="1">IF(CALC2223!BB324&gt;1,INDIRECT(ADDRESS(MATCH(Agenda2526!C325,'CAL5'!A:A,0)+1,2,4,1,"CAL5")),"")</f>
        <v/>
      </c>
      <c r="AB324" s="21">
        <f ca="1">IF(CALC2223!BB324&gt;1,INDIRECT(ADDRESS(MATCH(Agenda2526!C325,'CAL5'!A:A,0)+1,3,4,1,"CAL5")),0)</f>
        <v>0</v>
      </c>
      <c r="AC324" s="20" t="str">
        <f ca="1">IF(CALC2223!BB324&gt;2,INDIRECT(ADDRESS(MATCH(Agenda2526!C325,'CAL5'!A:A,0)+2,2,4,1,"CAL5")),"")</f>
        <v/>
      </c>
      <c r="AD324" s="21">
        <f ca="1">IF(CALC2223!BB324&gt;2,INDIRECT(ADDRESS(MATCH(Agenda2526!C325,'CAL5'!A:A,0)+2,3,4,1,"CAL5")),0)</f>
        <v>0</v>
      </c>
      <c r="AE324" s="20" t="str">
        <f ca="1">IF(CALC2223!BC324&gt;0,INDIRECT(ADDRESS(MATCH(Agenda2526!C325,'CAL6'!A:A,0),2,4,1,"CAL6")),"")</f>
        <v/>
      </c>
      <c r="AF324" s="21">
        <f ca="1">IF(CALC2223!BC324&gt;0,INDIRECT(ADDRESS(MATCH(Agenda2526!C325,'CAL6'!A:A,0),3,4,1,"CAL6")),0)</f>
        <v>0</v>
      </c>
      <c r="AG324" s="20" t="str">
        <f ca="1">IF(CALC2223!BC324&gt;1,INDIRECT(ADDRESS(MATCH(Agenda2526!C325,'CAL6'!A:A,0)+1,2,4,1,"CAL6")),"")</f>
        <v/>
      </c>
      <c r="AH324" s="21">
        <f ca="1">IF(CALC2223!BC324&gt;1,INDIRECT(ADDRESS(MATCH(Agenda2526!C325,'CAL6'!A:A,0)+1,3,4,1,"CAL6")),0)</f>
        <v>0</v>
      </c>
      <c r="AI324" s="20" t="str">
        <f ca="1">IF(CALC2223!BC324&gt;2,INDIRECT(ADDRESS(MATCH(Agenda2526!C325,'CAL6'!A:A,0)+2,2,4,1,"CAL6")),"")</f>
        <v/>
      </c>
      <c r="AJ324" s="21">
        <f ca="1">IF(CALC2223!BC324&gt;2,INDIRECT(ADDRESS(MATCH(Agenda2526!C325,'CAL6'!A:A,0)+2,3,4,1,"CAL6")),0)</f>
        <v>0</v>
      </c>
      <c r="AK324" s="20" t="str">
        <f ca="1">IF(CALC2223!BD324&gt;0,INDIRECT(ADDRESS(MATCH(Agenda2526!C325,'CAL7'!A:A,0),2,4,1,"CAL7")),"")</f>
        <v/>
      </c>
      <c r="AL324" s="21">
        <f ca="1">IF(CALC2223!BD324&gt;0,INDIRECT(ADDRESS(MATCH(Agenda2526!C325,'CAL7'!A:A,0),3,4,1,"CAL7")),0)</f>
        <v>0</v>
      </c>
      <c r="AM324" s="20" t="str">
        <f ca="1">IF(CALC2223!BD324&gt;1,INDIRECT(ADDRESS(MATCH(Agenda2526!C325,'CAL7'!A:A,0)+1,2,4,1,"CAL7")),"")</f>
        <v/>
      </c>
      <c r="AN324" s="21">
        <f ca="1">IF(CALC2223!BD324&gt;1,INDIRECT(ADDRESS(MATCH(Agenda2526!C325,'CAL7'!A:A,0)+1,3,4,1,"CAL7")),0)</f>
        <v>0</v>
      </c>
      <c r="AO324" s="20" t="str">
        <f ca="1">IF(CALC2223!BD324&gt;2,INDIRECT(ADDRESS(MATCH(Agenda2526!C325,'CAL7'!A:A,0)+2,2,4,1,"CAL7")),"")</f>
        <v/>
      </c>
      <c r="AP324" s="21">
        <f ca="1">IF(CALC2223!BD324&gt;2,INDIRECT(ADDRESS(MATCH(Agenda2526!C325,'CAL7'!A:A,0)+2,3,4,1,"CAL7")),0)</f>
        <v>0</v>
      </c>
      <c r="AQ324" s="20" t="str">
        <f ca="1">IF(CALC2223!BE324&gt;0,INDIRECT(ADDRESS(MATCH(Agenda2526!C325,'CAL8'!A:A,0),2,4,1,"CAL8")),"")</f>
        <v/>
      </c>
      <c r="AR324" s="21">
        <f ca="1">IF(CALC2223!BE324&gt;0,INDIRECT(ADDRESS(MATCH(Agenda2526!C325,'CAL8'!A:A,0),3,4,1,"CAL8")),0)</f>
        <v>0</v>
      </c>
      <c r="AS324" s="20" t="str">
        <f ca="1">IF(CALC2223!BE324&gt;1,INDIRECT(ADDRESS(MATCH(Agenda2526!C325,'CAL8'!A:A,0)+1,2,4,1,"CAL8")),"")</f>
        <v/>
      </c>
      <c r="AT324" s="21">
        <f ca="1">IF(CALC2223!BE324&gt;1,INDIRECT(ADDRESS(MATCH(Agenda2526!C325,'CAL8'!A:A,0)+1,3,4,1,"CAL8")),0)</f>
        <v>0</v>
      </c>
      <c r="AU324" s="20" t="str">
        <f ca="1">IF(CALC2223!BE324&gt;2,INDIRECT(ADDRESS(MATCH(Agenda2526!C325,'CAL8'!A:A,0)+2,2,4,1,"CAL8")),"")</f>
        <v/>
      </c>
      <c r="AV324" s="21">
        <f ca="1">IF(CALC2223!BE324&gt;2,INDIRECT(ADDRESS(MATCH(Agenda2526!C325,'CAL8'!A:A,0)+2,3,4,1,"CAL8")),0)</f>
        <v>0</v>
      </c>
      <c r="AW324" s="107" t="s">
        <v>123</v>
      </c>
      <c r="AX324" s="20">
        <f>COUNTIF('CAL1'!A:A,Agenda2526!C325)</f>
        <v>0</v>
      </c>
      <c r="AY324" s="20">
        <f>COUNTIF('CAL2'!A:A,Agenda2526!C325)</f>
        <v>0</v>
      </c>
      <c r="AZ324" s="20">
        <f>COUNTIF('CAL3'!A:A,Agenda2526!C325)</f>
        <v>0</v>
      </c>
      <c r="BA324" s="20">
        <f>COUNTIF('CAL4'!A:A,Agenda2526!C325)</f>
        <v>0</v>
      </c>
      <c r="BB324" s="20">
        <f>COUNTIF('CAL5'!A:A,Agenda2526!C325)</f>
        <v>0</v>
      </c>
      <c r="BC324" s="20">
        <f>COUNTIF('CAL6'!A:A,Agenda2526!C325)</f>
        <v>0</v>
      </c>
      <c r="BD324" s="20">
        <f>COUNTIF('CAL7'!A:A,Agenda2526!C325)</f>
        <v>0</v>
      </c>
      <c r="BE324" s="20">
        <f>COUNTIF('CAL8'!A:A,Agenda2526!C325)</f>
        <v>0</v>
      </c>
    </row>
    <row r="325" spans="1:57" ht="15.75" customHeight="1">
      <c r="A325" s="20" t="str">
        <f ca="1">IF(CALC2223!AX325&gt;0,INDIRECT(ADDRESS(MATCH(Agenda2526!C326,'CAL1'!A:A,0),2,4,1,"CAL1")),"")</f>
        <v/>
      </c>
      <c r="B325" s="21">
        <f ca="1">IF(CALC2223!AX325&gt;0,INDIRECT(ADDRESS(MATCH(Agenda2526!C326,'CAL1'!A:A,0),3,4,1,"CAL1")),0)</f>
        <v>0</v>
      </c>
      <c r="C325" s="20" t="str">
        <f ca="1">IF(CALC2223!AX325&gt;1,INDIRECT(ADDRESS(MATCH(Agenda2526!C326,'CAL1'!A:A,0)+1,2,4,1,"CAL1")),"")</f>
        <v/>
      </c>
      <c r="D325" s="21">
        <f ca="1">IF(CALC2223!AX325&gt;1,INDIRECT(ADDRESS(MATCH(Agenda2526!C326,'CAL1'!A:A,0)+1,3,4,1,"CAL1")),0)</f>
        <v>0</v>
      </c>
      <c r="E325" s="20" t="str">
        <f ca="1">IF(CALC2223!AX325&gt;2,INDIRECT(ADDRESS(MATCH(Agenda2526!C326,'CAL1'!A:A,0)+2,2,4,1,"CAL1")),"")</f>
        <v/>
      </c>
      <c r="F325" s="21">
        <f ca="1">IF(CALC2223!AX325&gt;2,INDIRECT(ADDRESS(MATCH(Agenda2526!C326,'CAL1'!A:A,0)+2,3,4,1,"CAL1")),0)</f>
        <v>0</v>
      </c>
      <c r="G325" s="20" t="str">
        <f ca="1">IF(CALC2223!AY325&gt;0,INDIRECT(ADDRESS(MATCH(Agenda2526!C326,'CAL2'!A:A,0),2,4,1,"CAL2")),"")</f>
        <v/>
      </c>
      <c r="H325" s="21">
        <f ca="1">IF(CALC2223!AY325&gt;0,INDIRECT(ADDRESS(MATCH(Agenda2526!C326,'CAL2'!A:A,0),3,4,1,"CAL2")),0)</f>
        <v>0</v>
      </c>
      <c r="I325" s="20" t="str">
        <f ca="1">IF(CALC2223!AY325&gt;1,INDIRECT(ADDRESS(MATCH(Agenda2526!C326,'CAL2'!A:A,0)+1,2,4,1,"CAL2")),"")</f>
        <v/>
      </c>
      <c r="J325" s="21">
        <f ca="1">IF(CALC2223!AY325&gt;1,INDIRECT(ADDRESS(MATCH(Agenda2526!C326,'CAL2'!A:A,0)+1,3,4,1,"CAL2")),0)</f>
        <v>0</v>
      </c>
      <c r="K325" s="20" t="str">
        <f ca="1">IF(CALC2223!AY325&gt;2,INDIRECT(ADDRESS(MATCH(Agenda2526!C326,'CAL2'!A:A,0)+2,2,4,1,"CAL2")),"")</f>
        <v/>
      </c>
      <c r="L325" s="21">
        <f ca="1">IF(CALC2223!AY325&gt;2,INDIRECT(ADDRESS(MATCH(Agenda2526!C326,'CAL2'!A:A,0)+2,3,4,1,"CAL2")),0)</f>
        <v>0</v>
      </c>
      <c r="M325" s="20" t="str">
        <f ca="1">IF(CALC2223!AZ325&gt;0,INDIRECT(ADDRESS(MATCH(Agenda2526!C326,'CAL3'!A:A,0),2,4,1,"CAL3")),"")</f>
        <v/>
      </c>
      <c r="N325" s="21">
        <f ca="1">IF(CALC2223!AZ325&gt;0,INDIRECT(ADDRESS(MATCH(Agenda2526!C326,'CAL3'!A:A,0),3,4,1,"CAL3")),0)</f>
        <v>0</v>
      </c>
      <c r="O325" s="20" t="str">
        <f ca="1">IF(CALC2223!AZ325&gt;1,INDIRECT(ADDRESS(MATCH(Agenda2526!C326,'CAL3'!A:A,0)+1,2,4,1,"CAL3")),"")</f>
        <v/>
      </c>
      <c r="P325" s="21">
        <f ca="1">IF(CALC2223!AZ325&gt;1,INDIRECT(ADDRESS(MATCH(Agenda2526!C326,'CAL3'!A:A,0)+1,3,4,1,"CAL3")),0)</f>
        <v>0</v>
      </c>
      <c r="Q325" s="20" t="str">
        <f ca="1">IF(CALC2223!AZ325&gt;2,INDIRECT(ADDRESS(MATCH(Agenda2526!C326,'CAL3'!A:A,0)+2,2,4,1,"CAL3")),"")</f>
        <v/>
      </c>
      <c r="R325" s="21">
        <f ca="1">IF(CALC2223!AZ325&gt;2,INDIRECT(ADDRESS(MATCH(Agenda2526!C326,'CAL3'!A:A,0)+2,3,4,1,"CAL3")),0)</f>
        <v>0</v>
      </c>
      <c r="S325" s="20" t="str">
        <f ca="1">IF(CALC2223!BA325&gt;0,INDIRECT(ADDRESS(MATCH(Agenda2526!C326,'CAL4'!A:A,0),2,4,1,"CAL4")),"")</f>
        <v/>
      </c>
      <c r="T325" s="21">
        <f ca="1">IF(CALC2223!BA325&gt;0,INDIRECT(ADDRESS(MATCH(Agenda2526!C326,'CAL4'!A:A,0),3,4,1,"CAL4")),0)</f>
        <v>0</v>
      </c>
      <c r="U325" s="20" t="str">
        <f ca="1">IF(CALC2223!BA325&gt;1,INDIRECT(ADDRESS(MATCH(Agenda2526!C326,'CAL4'!A:A,0)+1,2,4,1,"CAL4")),"")</f>
        <v/>
      </c>
      <c r="V325" s="21">
        <f ca="1">IF(CALC2223!BA325&gt;1,INDIRECT(ADDRESS(MATCH(Agenda2526!C326,'CAL4'!A:A,0)+1,3,4,1,"CAL4")),0)</f>
        <v>0</v>
      </c>
      <c r="W325" s="20" t="str">
        <f ca="1">IF(CALC2223!BA325&gt;2,INDIRECT(ADDRESS(MATCH(Agenda2526!C326,'CAL4'!A:A,0)+2,2,4,1,"CAL4")),"")</f>
        <v/>
      </c>
      <c r="X325" s="21">
        <f ca="1">IF(CALC2223!BA325&gt;2,INDIRECT(ADDRESS(MATCH(Agenda2526!C326,'CAL4'!A:A,0)+2,3,4,1,"CAL4")),0)</f>
        <v>0</v>
      </c>
      <c r="Y325" s="20" t="str">
        <f ca="1">IF(CALC2223!BB325&gt;0,INDIRECT(ADDRESS(MATCH(Agenda2526!C326,'CAL5'!A:A,0),2,4,1,"CAL5")),"")</f>
        <v/>
      </c>
      <c r="Z325" s="21">
        <f ca="1">IF(CALC2223!BB325&gt;0,INDIRECT(ADDRESS(MATCH(Agenda2526!C326,'CAL5'!A:A,0),3,4,1,"CAL5")),0)</f>
        <v>0</v>
      </c>
      <c r="AA325" s="20" t="str">
        <f ca="1">IF(CALC2223!BB325&gt;1,INDIRECT(ADDRESS(MATCH(Agenda2526!C326,'CAL5'!A:A,0)+1,2,4,1,"CAL5")),"")</f>
        <v/>
      </c>
      <c r="AB325" s="21">
        <f ca="1">IF(CALC2223!BB325&gt;1,INDIRECT(ADDRESS(MATCH(Agenda2526!C326,'CAL5'!A:A,0)+1,3,4,1,"CAL5")),0)</f>
        <v>0</v>
      </c>
      <c r="AC325" s="20" t="str">
        <f ca="1">IF(CALC2223!BB325&gt;2,INDIRECT(ADDRESS(MATCH(Agenda2526!C326,'CAL5'!A:A,0)+2,2,4,1,"CAL5")),"")</f>
        <v/>
      </c>
      <c r="AD325" s="21">
        <f ca="1">IF(CALC2223!BB325&gt;2,INDIRECT(ADDRESS(MATCH(Agenda2526!C326,'CAL5'!A:A,0)+2,3,4,1,"CAL5")),0)</f>
        <v>0</v>
      </c>
      <c r="AE325" s="20" t="str">
        <f ca="1">IF(CALC2223!BC325&gt;0,INDIRECT(ADDRESS(MATCH(Agenda2526!C326,'CAL6'!A:A,0),2,4,1,"CAL6")),"")</f>
        <v/>
      </c>
      <c r="AF325" s="21">
        <f ca="1">IF(CALC2223!BC325&gt;0,INDIRECT(ADDRESS(MATCH(Agenda2526!C326,'CAL6'!A:A,0),3,4,1,"CAL6")),0)</f>
        <v>0</v>
      </c>
      <c r="AG325" s="20" t="str">
        <f ca="1">IF(CALC2223!BC325&gt;1,INDIRECT(ADDRESS(MATCH(Agenda2526!C326,'CAL6'!A:A,0)+1,2,4,1,"CAL6")),"")</f>
        <v/>
      </c>
      <c r="AH325" s="21">
        <f ca="1">IF(CALC2223!BC325&gt;1,INDIRECT(ADDRESS(MATCH(Agenda2526!C326,'CAL6'!A:A,0)+1,3,4,1,"CAL6")),0)</f>
        <v>0</v>
      </c>
      <c r="AI325" s="20" t="str">
        <f ca="1">IF(CALC2223!BC325&gt;2,INDIRECT(ADDRESS(MATCH(Agenda2526!C326,'CAL6'!A:A,0)+2,2,4,1,"CAL6")),"")</f>
        <v/>
      </c>
      <c r="AJ325" s="21">
        <f ca="1">IF(CALC2223!BC325&gt;2,INDIRECT(ADDRESS(MATCH(Agenda2526!C326,'CAL6'!A:A,0)+2,3,4,1,"CAL6")),0)</f>
        <v>0</v>
      </c>
      <c r="AK325" s="20" t="str">
        <f ca="1">IF(CALC2223!BD325&gt;0,INDIRECT(ADDRESS(MATCH(Agenda2526!C326,'CAL7'!A:A,0),2,4,1,"CAL7")),"")</f>
        <v/>
      </c>
      <c r="AL325" s="21">
        <f ca="1">IF(CALC2223!BD325&gt;0,INDIRECT(ADDRESS(MATCH(Agenda2526!C326,'CAL7'!A:A,0),3,4,1,"CAL7")),0)</f>
        <v>0</v>
      </c>
      <c r="AM325" s="20" t="str">
        <f ca="1">IF(CALC2223!BD325&gt;1,INDIRECT(ADDRESS(MATCH(Agenda2526!C326,'CAL7'!A:A,0)+1,2,4,1,"CAL7")),"")</f>
        <v/>
      </c>
      <c r="AN325" s="21">
        <f ca="1">IF(CALC2223!BD325&gt;1,INDIRECT(ADDRESS(MATCH(Agenda2526!C326,'CAL7'!A:A,0)+1,3,4,1,"CAL7")),0)</f>
        <v>0</v>
      </c>
      <c r="AO325" s="20" t="str">
        <f ca="1">IF(CALC2223!BD325&gt;2,INDIRECT(ADDRESS(MATCH(Agenda2526!C326,'CAL7'!A:A,0)+2,2,4,1,"CAL7")),"")</f>
        <v/>
      </c>
      <c r="AP325" s="21">
        <f ca="1">IF(CALC2223!BD325&gt;2,INDIRECT(ADDRESS(MATCH(Agenda2526!C326,'CAL7'!A:A,0)+2,3,4,1,"CAL7")),0)</f>
        <v>0</v>
      </c>
      <c r="AQ325" s="20" t="str">
        <f ca="1">IF(CALC2223!BE325&gt;0,INDIRECT(ADDRESS(MATCH(Agenda2526!C326,'CAL8'!A:A,0),2,4,1,"CAL8")),"")</f>
        <v/>
      </c>
      <c r="AR325" s="21">
        <f ca="1">IF(CALC2223!BE325&gt;0,INDIRECT(ADDRESS(MATCH(Agenda2526!C326,'CAL8'!A:A,0),3,4,1,"CAL8")),0)</f>
        <v>0</v>
      </c>
      <c r="AS325" s="20" t="str">
        <f ca="1">IF(CALC2223!BE325&gt;1,INDIRECT(ADDRESS(MATCH(Agenda2526!C326,'CAL8'!A:A,0)+1,2,4,1,"CAL8")),"")</f>
        <v/>
      </c>
      <c r="AT325" s="21">
        <f ca="1">IF(CALC2223!BE325&gt;1,INDIRECT(ADDRESS(MATCH(Agenda2526!C326,'CAL8'!A:A,0)+1,3,4,1,"CAL8")),0)</f>
        <v>0</v>
      </c>
      <c r="AU325" s="20" t="str">
        <f ca="1">IF(CALC2223!BE325&gt;2,INDIRECT(ADDRESS(MATCH(Agenda2526!C326,'CAL8'!A:A,0)+2,2,4,1,"CAL8")),"")</f>
        <v/>
      </c>
      <c r="AV325" s="21">
        <f ca="1">IF(CALC2223!BE325&gt;2,INDIRECT(ADDRESS(MATCH(Agenda2526!C326,'CAL8'!A:A,0)+2,3,4,1,"CAL8")),0)</f>
        <v>0</v>
      </c>
      <c r="AW325" s="107"/>
      <c r="AX325" s="20">
        <f>COUNTIF('CAL1'!A:A,Agenda2526!C326)</f>
        <v>0</v>
      </c>
      <c r="AY325" s="20">
        <f>COUNTIF('CAL2'!A:A,Agenda2526!C326)</f>
        <v>0</v>
      </c>
      <c r="AZ325" s="20">
        <f>COUNTIF('CAL3'!A:A,Agenda2526!C326)</f>
        <v>0</v>
      </c>
      <c r="BA325" s="20">
        <f>COUNTIF('CAL4'!A:A,Agenda2526!C326)</f>
        <v>0</v>
      </c>
      <c r="BB325" s="20">
        <f>COUNTIF('CAL5'!A:A,Agenda2526!C326)</f>
        <v>0</v>
      </c>
      <c r="BC325" s="20">
        <f>COUNTIF('CAL6'!A:A,Agenda2526!C326)</f>
        <v>0</v>
      </c>
      <c r="BD325" s="20">
        <f>COUNTIF('CAL7'!A:A,Agenda2526!C326)</f>
        <v>0</v>
      </c>
      <c r="BE325" s="20">
        <f>COUNTIF('CAL8'!A:A,Agenda2526!C326)</f>
        <v>0</v>
      </c>
    </row>
    <row r="326" spans="1:57" ht="15.75" customHeight="1">
      <c r="A326" s="20" t="str">
        <f ca="1">IF(CALC2223!AX326&gt;0,INDIRECT(ADDRESS(MATCH(Agenda2526!C327,'CAL1'!A:A,0),2,4,1,"CAL1")),"")</f>
        <v/>
      </c>
      <c r="B326" s="21">
        <f ca="1">IF(CALC2223!AX326&gt;0,INDIRECT(ADDRESS(MATCH(Agenda2526!C327,'CAL1'!A:A,0),3,4,1,"CAL1")),0)</f>
        <v>0</v>
      </c>
      <c r="C326" s="20" t="str">
        <f ca="1">IF(CALC2223!AX326&gt;1,INDIRECT(ADDRESS(MATCH(Agenda2526!C327,'CAL1'!A:A,0)+1,2,4,1,"CAL1")),"")</f>
        <v/>
      </c>
      <c r="D326" s="21">
        <f ca="1">IF(CALC2223!AX326&gt;1,INDIRECT(ADDRESS(MATCH(Agenda2526!C327,'CAL1'!A:A,0)+1,3,4,1,"CAL1")),0)</f>
        <v>0</v>
      </c>
      <c r="E326" s="20" t="str">
        <f ca="1">IF(CALC2223!AX326&gt;2,INDIRECT(ADDRESS(MATCH(Agenda2526!C327,'CAL1'!A:A,0)+2,2,4,1,"CAL1")),"")</f>
        <v/>
      </c>
      <c r="F326" s="21">
        <f ca="1">IF(CALC2223!AX326&gt;2,INDIRECT(ADDRESS(MATCH(Agenda2526!C327,'CAL1'!A:A,0)+2,3,4,1,"CAL1")),0)</f>
        <v>0</v>
      </c>
      <c r="G326" s="20" t="str">
        <f ca="1">IF(CALC2223!AY326&gt;0,INDIRECT(ADDRESS(MATCH(Agenda2526!C327,'CAL2'!A:A,0),2,4,1,"CAL2")),"")</f>
        <v/>
      </c>
      <c r="H326" s="21">
        <f ca="1">IF(CALC2223!AY326&gt;0,INDIRECT(ADDRESS(MATCH(Agenda2526!C327,'CAL2'!A:A,0),3,4,1,"CAL2")),0)</f>
        <v>0</v>
      </c>
      <c r="I326" s="20" t="str">
        <f ca="1">IF(CALC2223!AY326&gt;1,INDIRECT(ADDRESS(MATCH(Agenda2526!C327,'CAL2'!A:A,0)+1,2,4,1,"CAL2")),"")</f>
        <v/>
      </c>
      <c r="J326" s="21">
        <f ca="1">IF(CALC2223!AY326&gt;1,INDIRECT(ADDRESS(MATCH(Agenda2526!C327,'CAL2'!A:A,0)+1,3,4,1,"CAL2")),0)</f>
        <v>0</v>
      </c>
      <c r="K326" s="20" t="str">
        <f ca="1">IF(CALC2223!AY326&gt;2,INDIRECT(ADDRESS(MATCH(Agenda2526!C327,'CAL2'!A:A,0)+2,2,4,1,"CAL2")),"")</f>
        <v/>
      </c>
      <c r="L326" s="21">
        <f ca="1">IF(CALC2223!AY326&gt;2,INDIRECT(ADDRESS(MATCH(Agenda2526!C327,'CAL2'!A:A,0)+2,3,4,1,"CAL2")),0)</f>
        <v>0</v>
      </c>
      <c r="M326" s="20" t="str">
        <f ca="1">IF(CALC2223!AZ326&gt;0,INDIRECT(ADDRESS(MATCH(Agenda2526!C327,'CAL3'!A:A,0),2,4,1,"CAL3")),"")</f>
        <v/>
      </c>
      <c r="N326" s="21">
        <f ca="1">IF(CALC2223!AZ326&gt;0,INDIRECT(ADDRESS(MATCH(Agenda2526!C327,'CAL3'!A:A,0),3,4,1,"CAL3")),0)</f>
        <v>0</v>
      </c>
      <c r="O326" s="20" t="str">
        <f ca="1">IF(CALC2223!AZ326&gt;1,INDIRECT(ADDRESS(MATCH(Agenda2526!C327,'CAL3'!A:A,0)+1,2,4,1,"CAL3")),"")</f>
        <v/>
      </c>
      <c r="P326" s="21">
        <f ca="1">IF(CALC2223!AZ326&gt;1,INDIRECT(ADDRESS(MATCH(Agenda2526!C327,'CAL3'!A:A,0)+1,3,4,1,"CAL3")),0)</f>
        <v>0</v>
      </c>
      <c r="Q326" s="20" t="str">
        <f ca="1">IF(CALC2223!AZ326&gt;2,INDIRECT(ADDRESS(MATCH(Agenda2526!C327,'CAL3'!A:A,0)+2,2,4,1,"CAL3")),"")</f>
        <v/>
      </c>
      <c r="R326" s="21">
        <f ca="1">IF(CALC2223!AZ326&gt;2,INDIRECT(ADDRESS(MATCH(Agenda2526!C327,'CAL3'!A:A,0)+2,3,4,1,"CAL3")),0)</f>
        <v>0</v>
      </c>
      <c r="S326" s="20" t="str">
        <f ca="1">IF(CALC2223!BA326&gt;0,INDIRECT(ADDRESS(MATCH(Agenda2526!C327,'CAL4'!A:A,0),2,4,1,"CAL4")),"")</f>
        <v/>
      </c>
      <c r="T326" s="21">
        <f ca="1">IF(CALC2223!BA326&gt;0,INDIRECT(ADDRESS(MATCH(Agenda2526!C327,'CAL4'!A:A,0),3,4,1,"CAL4")),0)</f>
        <v>0</v>
      </c>
      <c r="U326" s="20" t="str">
        <f ca="1">IF(CALC2223!BA326&gt;1,INDIRECT(ADDRESS(MATCH(Agenda2526!C327,'CAL4'!A:A,0)+1,2,4,1,"CAL4")),"")</f>
        <v/>
      </c>
      <c r="V326" s="21">
        <f ca="1">IF(CALC2223!BA326&gt;1,INDIRECT(ADDRESS(MATCH(Agenda2526!C327,'CAL4'!A:A,0)+1,3,4,1,"CAL4")),0)</f>
        <v>0</v>
      </c>
      <c r="W326" s="20" t="str">
        <f ca="1">IF(CALC2223!BA326&gt;2,INDIRECT(ADDRESS(MATCH(Agenda2526!C327,'CAL4'!A:A,0)+2,2,4,1,"CAL4")),"")</f>
        <v/>
      </c>
      <c r="X326" s="21">
        <f ca="1">IF(CALC2223!BA326&gt;2,INDIRECT(ADDRESS(MATCH(Agenda2526!C327,'CAL4'!A:A,0)+2,3,4,1,"CAL4")),0)</f>
        <v>0</v>
      </c>
      <c r="Y326" s="20" t="str">
        <f ca="1">IF(CALC2223!BB326&gt;0,INDIRECT(ADDRESS(MATCH(Agenda2526!C327,'CAL5'!A:A,0),2,4,1,"CAL5")),"")</f>
        <v/>
      </c>
      <c r="Z326" s="21">
        <f ca="1">IF(CALC2223!BB326&gt;0,INDIRECT(ADDRESS(MATCH(Agenda2526!C327,'CAL5'!A:A,0),3,4,1,"CAL5")),0)</f>
        <v>0</v>
      </c>
      <c r="AA326" s="20" t="str">
        <f ca="1">IF(CALC2223!BB326&gt;1,INDIRECT(ADDRESS(MATCH(Agenda2526!C327,'CAL5'!A:A,0)+1,2,4,1,"CAL5")),"")</f>
        <v/>
      </c>
      <c r="AB326" s="21">
        <f ca="1">IF(CALC2223!BB326&gt;1,INDIRECT(ADDRESS(MATCH(Agenda2526!C327,'CAL5'!A:A,0)+1,3,4,1,"CAL5")),0)</f>
        <v>0</v>
      </c>
      <c r="AC326" s="20" t="str">
        <f ca="1">IF(CALC2223!BB326&gt;2,INDIRECT(ADDRESS(MATCH(Agenda2526!C327,'CAL5'!A:A,0)+2,2,4,1,"CAL5")),"")</f>
        <v/>
      </c>
      <c r="AD326" s="21">
        <f ca="1">IF(CALC2223!BB326&gt;2,INDIRECT(ADDRESS(MATCH(Agenda2526!C327,'CAL5'!A:A,0)+2,3,4,1,"CAL5")),0)</f>
        <v>0</v>
      </c>
      <c r="AE326" s="20" t="str">
        <f ca="1">IF(CALC2223!BC326&gt;0,INDIRECT(ADDRESS(MATCH(Agenda2526!C327,'CAL6'!A:A,0),2,4,1,"CAL6")),"")</f>
        <v/>
      </c>
      <c r="AF326" s="21">
        <f ca="1">IF(CALC2223!BC326&gt;0,INDIRECT(ADDRESS(MATCH(Agenda2526!C327,'CAL6'!A:A,0),3,4,1,"CAL6")),0)</f>
        <v>0</v>
      </c>
      <c r="AG326" s="20" t="str">
        <f ca="1">IF(CALC2223!BC326&gt;1,INDIRECT(ADDRESS(MATCH(Agenda2526!C327,'CAL6'!A:A,0)+1,2,4,1,"CAL6")),"")</f>
        <v/>
      </c>
      <c r="AH326" s="21">
        <f ca="1">IF(CALC2223!BC326&gt;1,INDIRECT(ADDRESS(MATCH(Agenda2526!C327,'CAL6'!A:A,0)+1,3,4,1,"CAL6")),0)</f>
        <v>0</v>
      </c>
      <c r="AI326" s="20" t="str">
        <f ca="1">IF(CALC2223!BC326&gt;2,INDIRECT(ADDRESS(MATCH(Agenda2526!C327,'CAL6'!A:A,0)+2,2,4,1,"CAL6")),"")</f>
        <v/>
      </c>
      <c r="AJ326" s="21">
        <f ca="1">IF(CALC2223!BC326&gt;2,INDIRECT(ADDRESS(MATCH(Agenda2526!C327,'CAL6'!A:A,0)+2,3,4,1,"CAL6")),0)</f>
        <v>0</v>
      </c>
      <c r="AK326" s="20" t="str">
        <f ca="1">IF(CALC2223!BD326&gt;0,INDIRECT(ADDRESS(MATCH(Agenda2526!C327,'CAL7'!A:A,0),2,4,1,"CAL7")),"")</f>
        <v/>
      </c>
      <c r="AL326" s="21">
        <f ca="1">IF(CALC2223!BD326&gt;0,INDIRECT(ADDRESS(MATCH(Agenda2526!C327,'CAL7'!A:A,0),3,4,1,"CAL7")),0)</f>
        <v>0</v>
      </c>
      <c r="AM326" s="20" t="str">
        <f ca="1">IF(CALC2223!BD326&gt;1,INDIRECT(ADDRESS(MATCH(Agenda2526!C327,'CAL7'!A:A,0)+1,2,4,1,"CAL7")),"")</f>
        <v/>
      </c>
      <c r="AN326" s="21">
        <f ca="1">IF(CALC2223!BD326&gt;1,INDIRECT(ADDRESS(MATCH(Agenda2526!C327,'CAL7'!A:A,0)+1,3,4,1,"CAL7")),0)</f>
        <v>0</v>
      </c>
      <c r="AO326" s="20" t="str">
        <f ca="1">IF(CALC2223!BD326&gt;2,INDIRECT(ADDRESS(MATCH(Agenda2526!C327,'CAL7'!A:A,0)+2,2,4,1,"CAL7")),"")</f>
        <v/>
      </c>
      <c r="AP326" s="21">
        <f ca="1">IF(CALC2223!BD326&gt;2,INDIRECT(ADDRESS(MATCH(Agenda2526!C327,'CAL7'!A:A,0)+2,3,4,1,"CAL7")),0)</f>
        <v>0</v>
      </c>
      <c r="AQ326" s="20" t="str">
        <f ca="1">IF(CALC2223!BE326&gt;0,INDIRECT(ADDRESS(MATCH(Agenda2526!C327,'CAL8'!A:A,0),2,4,1,"CAL8")),"")</f>
        <v/>
      </c>
      <c r="AR326" s="21">
        <f ca="1">IF(CALC2223!BE326&gt;0,INDIRECT(ADDRESS(MATCH(Agenda2526!C327,'CAL8'!A:A,0),3,4,1,"CAL8")),0)</f>
        <v>0</v>
      </c>
      <c r="AS326" s="20" t="str">
        <f ca="1">IF(CALC2223!BE326&gt;1,INDIRECT(ADDRESS(MATCH(Agenda2526!C327,'CAL8'!A:A,0)+1,2,4,1,"CAL8")),"")</f>
        <v/>
      </c>
      <c r="AT326" s="21">
        <f ca="1">IF(CALC2223!BE326&gt;1,INDIRECT(ADDRESS(MATCH(Agenda2526!C327,'CAL8'!A:A,0)+1,3,4,1,"CAL8")),0)</f>
        <v>0</v>
      </c>
      <c r="AU326" s="20" t="str">
        <f ca="1">IF(CALC2223!BE326&gt;2,INDIRECT(ADDRESS(MATCH(Agenda2526!C327,'CAL8'!A:A,0)+2,2,4,1,"CAL8")),"")</f>
        <v/>
      </c>
      <c r="AV326" s="21">
        <f ca="1">IF(CALC2223!BE326&gt;2,INDIRECT(ADDRESS(MATCH(Agenda2526!C327,'CAL8'!A:A,0)+2,3,4,1,"CAL8")),0)</f>
        <v>0</v>
      </c>
      <c r="AW326" s="107"/>
      <c r="AX326" s="20">
        <f>COUNTIF('CAL1'!A:A,Agenda2526!C327)</f>
        <v>0</v>
      </c>
      <c r="AY326" s="20">
        <f>COUNTIF('CAL2'!A:A,Agenda2526!C327)</f>
        <v>0</v>
      </c>
      <c r="AZ326" s="20">
        <f>COUNTIF('CAL3'!A:A,Agenda2526!C327)</f>
        <v>0</v>
      </c>
      <c r="BA326" s="20">
        <f>COUNTIF('CAL4'!A:A,Agenda2526!C327)</f>
        <v>0</v>
      </c>
      <c r="BB326" s="20">
        <f>COUNTIF('CAL5'!A:A,Agenda2526!C327)</f>
        <v>0</v>
      </c>
      <c r="BC326" s="20">
        <f>COUNTIF('CAL6'!A:A,Agenda2526!C327)</f>
        <v>0</v>
      </c>
      <c r="BD326" s="20">
        <f>COUNTIF('CAL7'!A:A,Agenda2526!C327)</f>
        <v>0</v>
      </c>
      <c r="BE326" s="20">
        <f>COUNTIF('CAL8'!A:A,Agenda2526!C327)</f>
        <v>0</v>
      </c>
    </row>
    <row r="327" spans="1:57" ht="15.75" customHeight="1">
      <c r="A327" s="20" t="str">
        <f ca="1">IF(CALC2223!AX327&gt;0,INDIRECT(ADDRESS(MATCH(Agenda2526!C328,'CAL1'!A:A,0),2,4,1,"CAL1")),"")</f>
        <v/>
      </c>
      <c r="B327" s="21">
        <f ca="1">IF(CALC2223!AX327&gt;0,INDIRECT(ADDRESS(MATCH(Agenda2526!C328,'CAL1'!A:A,0),3,4,1,"CAL1")),0)</f>
        <v>0</v>
      </c>
      <c r="C327" s="20" t="str">
        <f ca="1">IF(CALC2223!AX327&gt;1,INDIRECT(ADDRESS(MATCH(Agenda2526!C328,'CAL1'!A:A,0)+1,2,4,1,"CAL1")),"")</f>
        <v/>
      </c>
      <c r="D327" s="21">
        <f ca="1">IF(CALC2223!AX327&gt;1,INDIRECT(ADDRESS(MATCH(Agenda2526!C328,'CAL1'!A:A,0)+1,3,4,1,"CAL1")),0)</f>
        <v>0</v>
      </c>
      <c r="E327" s="20" t="str">
        <f ca="1">IF(CALC2223!AX327&gt;2,INDIRECT(ADDRESS(MATCH(Agenda2526!C328,'CAL1'!A:A,0)+2,2,4,1,"CAL1")),"")</f>
        <v/>
      </c>
      <c r="F327" s="21">
        <f ca="1">IF(CALC2223!AX327&gt;2,INDIRECT(ADDRESS(MATCH(Agenda2526!C328,'CAL1'!A:A,0)+2,3,4,1,"CAL1")),0)</f>
        <v>0</v>
      </c>
      <c r="G327" s="20" t="str">
        <f ca="1">IF(CALC2223!AY327&gt;0,INDIRECT(ADDRESS(MATCH(Agenda2526!C328,'CAL2'!A:A,0),2,4,1,"CAL2")),"")</f>
        <v/>
      </c>
      <c r="H327" s="21">
        <f ca="1">IF(CALC2223!AY327&gt;0,INDIRECT(ADDRESS(MATCH(Agenda2526!C328,'CAL2'!A:A,0),3,4,1,"CAL2")),0)</f>
        <v>0</v>
      </c>
      <c r="I327" s="20" t="str">
        <f ca="1">IF(CALC2223!AY327&gt;1,INDIRECT(ADDRESS(MATCH(Agenda2526!C328,'CAL2'!A:A,0)+1,2,4,1,"CAL2")),"")</f>
        <v/>
      </c>
      <c r="J327" s="21">
        <f ca="1">IF(CALC2223!AY327&gt;1,INDIRECT(ADDRESS(MATCH(Agenda2526!C328,'CAL2'!A:A,0)+1,3,4,1,"CAL2")),0)</f>
        <v>0</v>
      </c>
      <c r="K327" s="20" t="str">
        <f ca="1">IF(CALC2223!AY327&gt;2,INDIRECT(ADDRESS(MATCH(Agenda2526!C328,'CAL2'!A:A,0)+2,2,4,1,"CAL2")),"")</f>
        <v/>
      </c>
      <c r="L327" s="21">
        <f ca="1">IF(CALC2223!AY327&gt;2,INDIRECT(ADDRESS(MATCH(Agenda2526!C328,'CAL2'!A:A,0)+2,3,4,1,"CAL2")),0)</f>
        <v>0</v>
      </c>
      <c r="M327" s="20" t="str">
        <f ca="1">IF(CALC2223!AZ327&gt;0,INDIRECT(ADDRESS(MATCH(Agenda2526!C328,'CAL3'!A:A,0),2,4,1,"CAL3")),"")</f>
        <v/>
      </c>
      <c r="N327" s="21">
        <f ca="1">IF(CALC2223!AZ327&gt;0,INDIRECT(ADDRESS(MATCH(Agenda2526!C328,'CAL3'!A:A,0),3,4,1,"CAL3")),0)</f>
        <v>0</v>
      </c>
      <c r="O327" s="20" t="str">
        <f ca="1">IF(CALC2223!AZ327&gt;1,INDIRECT(ADDRESS(MATCH(Agenda2526!C328,'CAL3'!A:A,0)+1,2,4,1,"CAL3")),"")</f>
        <v/>
      </c>
      <c r="P327" s="21">
        <f ca="1">IF(CALC2223!AZ327&gt;1,INDIRECT(ADDRESS(MATCH(Agenda2526!C328,'CAL3'!A:A,0)+1,3,4,1,"CAL3")),0)</f>
        <v>0</v>
      </c>
      <c r="Q327" s="20" t="str">
        <f ca="1">IF(CALC2223!AZ327&gt;2,INDIRECT(ADDRESS(MATCH(Agenda2526!C328,'CAL3'!A:A,0)+2,2,4,1,"CAL3")),"")</f>
        <v/>
      </c>
      <c r="R327" s="21">
        <f ca="1">IF(CALC2223!AZ327&gt;2,INDIRECT(ADDRESS(MATCH(Agenda2526!C328,'CAL3'!A:A,0)+2,3,4,1,"CAL3")),0)</f>
        <v>0</v>
      </c>
      <c r="S327" s="20" t="str">
        <f ca="1">IF(CALC2223!BA327&gt;0,INDIRECT(ADDRESS(MATCH(Agenda2526!C328,'CAL4'!A:A,0),2,4,1,"CAL4")),"")</f>
        <v/>
      </c>
      <c r="T327" s="21">
        <f ca="1">IF(CALC2223!BA327&gt;0,INDIRECT(ADDRESS(MATCH(Agenda2526!C328,'CAL4'!A:A,0),3,4,1,"CAL4")),0)</f>
        <v>0</v>
      </c>
      <c r="U327" s="20" t="str">
        <f ca="1">IF(CALC2223!BA327&gt;1,INDIRECT(ADDRESS(MATCH(Agenda2526!C328,'CAL4'!A:A,0)+1,2,4,1,"CAL4")),"")</f>
        <v/>
      </c>
      <c r="V327" s="21">
        <f ca="1">IF(CALC2223!BA327&gt;1,INDIRECT(ADDRESS(MATCH(Agenda2526!C328,'CAL4'!A:A,0)+1,3,4,1,"CAL4")),0)</f>
        <v>0</v>
      </c>
      <c r="W327" s="20" t="str">
        <f ca="1">IF(CALC2223!BA327&gt;2,INDIRECT(ADDRESS(MATCH(Agenda2526!C328,'CAL4'!A:A,0)+2,2,4,1,"CAL4")),"")</f>
        <v/>
      </c>
      <c r="X327" s="21">
        <f ca="1">IF(CALC2223!BA327&gt;2,INDIRECT(ADDRESS(MATCH(Agenda2526!C328,'CAL4'!A:A,0)+2,3,4,1,"CAL4")),0)</f>
        <v>0</v>
      </c>
      <c r="Y327" s="20" t="str">
        <f ca="1">IF(CALC2223!BB327&gt;0,INDIRECT(ADDRESS(MATCH(Agenda2526!C328,'CAL5'!A:A,0),2,4,1,"CAL5")),"")</f>
        <v/>
      </c>
      <c r="Z327" s="21">
        <f ca="1">IF(CALC2223!BB327&gt;0,INDIRECT(ADDRESS(MATCH(Agenda2526!C328,'CAL5'!A:A,0),3,4,1,"CAL5")),0)</f>
        <v>0</v>
      </c>
      <c r="AA327" s="20" t="str">
        <f ca="1">IF(CALC2223!BB327&gt;1,INDIRECT(ADDRESS(MATCH(Agenda2526!C328,'CAL5'!A:A,0)+1,2,4,1,"CAL5")),"")</f>
        <v/>
      </c>
      <c r="AB327" s="21">
        <f ca="1">IF(CALC2223!BB327&gt;1,INDIRECT(ADDRESS(MATCH(Agenda2526!C328,'CAL5'!A:A,0)+1,3,4,1,"CAL5")),0)</f>
        <v>0</v>
      </c>
      <c r="AC327" s="20" t="str">
        <f ca="1">IF(CALC2223!BB327&gt;2,INDIRECT(ADDRESS(MATCH(Agenda2526!C328,'CAL5'!A:A,0)+2,2,4,1,"CAL5")),"")</f>
        <v/>
      </c>
      <c r="AD327" s="21">
        <f ca="1">IF(CALC2223!BB327&gt;2,INDIRECT(ADDRESS(MATCH(Agenda2526!C328,'CAL5'!A:A,0)+2,3,4,1,"CAL5")),0)</f>
        <v>0</v>
      </c>
      <c r="AE327" s="20" t="str">
        <f ca="1">IF(CALC2223!BC327&gt;0,INDIRECT(ADDRESS(MATCH(Agenda2526!C328,'CAL6'!A:A,0),2,4,1,"CAL6")),"")</f>
        <v/>
      </c>
      <c r="AF327" s="21">
        <f ca="1">IF(CALC2223!BC327&gt;0,INDIRECT(ADDRESS(MATCH(Agenda2526!C328,'CAL6'!A:A,0),3,4,1,"CAL6")),0)</f>
        <v>0</v>
      </c>
      <c r="AG327" s="20" t="str">
        <f ca="1">IF(CALC2223!BC327&gt;1,INDIRECT(ADDRESS(MATCH(Agenda2526!C328,'CAL6'!A:A,0)+1,2,4,1,"CAL6")),"")</f>
        <v/>
      </c>
      <c r="AH327" s="21">
        <f ca="1">IF(CALC2223!BC327&gt;1,INDIRECT(ADDRESS(MATCH(Agenda2526!C328,'CAL6'!A:A,0)+1,3,4,1,"CAL6")),0)</f>
        <v>0</v>
      </c>
      <c r="AI327" s="20" t="str">
        <f ca="1">IF(CALC2223!BC327&gt;2,INDIRECT(ADDRESS(MATCH(Agenda2526!C328,'CAL6'!A:A,0)+2,2,4,1,"CAL6")),"")</f>
        <v/>
      </c>
      <c r="AJ327" s="21">
        <f ca="1">IF(CALC2223!BC327&gt;2,INDIRECT(ADDRESS(MATCH(Agenda2526!C328,'CAL6'!A:A,0)+2,3,4,1,"CAL6")),0)</f>
        <v>0</v>
      </c>
      <c r="AK327" s="20" t="str">
        <f ca="1">IF(CALC2223!BD327&gt;0,INDIRECT(ADDRESS(MATCH(Agenda2526!C328,'CAL7'!A:A,0),2,4,1,"CAL7")),"")</f>
        <v/>
      </c>
      <c r="AL327" s="21">
        <f ca="1">IF(CALC2223!BD327&gt;0,INDIRECT(ADDRESS(MATCH(Agenda2526!C328,'CAL7'!A:A,0),3,4,1,"CAL7")),0)</f>
        <v>0</v>
      </c>
      <c r="AM327" s="20" t="str">
        <f ca="1">IF(CALC2223!BD327&gt;1,INDIRECT(ADDRESS(MATCH(Agenda2526!C328,'CAL7'!A:A,0)+1,2,4,1,"CAL7")),"")</f>
        <v/>
      </c>
      <c r="AN327" s="21">
        <f ca="1">IF(CALC2223!BD327&gt;1,INDIRECT(ADDRESS(MATCH(Agenda2526!C328,'CAL7'!A:A,0)+1,3,4,1,"CAL7")),0)</f>
        <v>0</v>
      </c>
      <c r="AO327" s="20" t="str">
        <f ca="1">IF(CALC2223!BD327&gt;2,INDIRECT(ADDRESS(MATCH(Agenda2526!C328,'CAL7'!A:A,0)+2,2,4,1,"CAL7")),"")</f>
        <v/>
      </c>
      <c r="AP327" s="21">
        <f ca="1">IF(CALC2223!BD327&gt;2,INDIRECT(ADDRESS(MATCH(Agenda2526!C328,'CAL7'!A:A,0)+2,3,4,1,"CAL7")),0)</f>
        <v>0</v>
      </c>
      <c r="AQ327" s="20" t="str">
        <f ca="1">IF(CALC2223!BE327&gt;0,INDIRECT(ADDRESS(MATCH(Agenda2526!C328,'CAL8'!A:A,0),2,4,1,"CAL8")),"")</f>
        <v/>
      </c>
      <c r="AR327" s="21">
        <f ca="1">IF(CALC2223!BE327&gt;0,INDIRECT(ADDRESS(MATCH(Agenda2526!C328,'CAL8'!A:A,0),3,4,1,"CAL8")),0)</f>
        <v>0</v>
      </c>
      <c r="AS327" s="20" t="str">
        <f ca="1">IF(CALC2223!BE327&gt;1,INDIRECT(ADDRESS(MATCH(Agenda2526!C328,'CAL8'!A:A,0)+1,2,4,1,"CAL8")),"")</f>
        <v/>
      </c>
      <c r="AT327" s="21">
        <f ca="1">IF(CALC2223!BE327&gt;1,INDIRECT(ADDRESS(MATCH(Agenda2526!C328,'CAL8'!A:A,0)+1,3,4,1,"CAL8")),0)</f>
        <v>0</v>
      </c>
      <c r="AU327" s="20" t="str">
        <f ca="1">IF(CALC2223!BE327&gt;2,INDIRECT(ADDRESS(MATCH(Agenda2526!C328,'CAL8'!A:A,0)+2,2,4,1,"CAL8")),"")</f>
        <v/>
      </c>
      <c r="AV327" s="21">
        <f ca="1">IF(CALC2223!BE327&gt;2,INDIRECT(ADDRESS(MATCH(Agenda2526!C328,'CAL8'!A:A,0)+2,3,4,1,"CAL8")),0)</f>
        <v>0</v>
      </c>
      <c r="AW327" s="107"/>
      <c r="AX327" s="20">
        <f>COUNTIF('CAL1'!A:A,Agenda2526!C328)</f>
        <v>0</v>
      </c>
      <c r="AY327" s="20">
        <f>COUNTIF('CAL2'!A:A,Agenda2526!C328)</f>
        <v>0</v>
      </c>
      <c r="AZ327" s="20">
        <f>COUNTIF('CAL3'!A:A,Agenda2526!C328)</f>
        <v>0</v>
      </c>
      <c r="BA327" s="20">
        <f>COUNTIF('CAL4'!A:A,Agenda2526!C328)</f>
        <v>0</v>
      </c>
      <c r="BB327" s="20">
        <f>COUNTIF('CAL5'!A:A,Agenda2526!C328)</f>
        <v>0</v>
      </c>
      <c r="BC327" s="20">
        <f>COUNTIF('CAL6'!A:A,Agenda2526!C328)</f>
        <v>0</v>
      </c>
      <c r="BD327" s="20">
        <f>COUNTIF('CAL7'!A:A,Agenda2526!C328)</f>
        <v>0</v>
      </c>
      <c r="BE327" s="20">
        <f>COUNTIF('CAL8'!A:A,Agenda2526!C328)</f>
        <v>0</v>
      </c>
    </row>
    <row r="328" spans="1:57" ht="15.75" customHeight="1">
      <c r="A328" s="20" t="str">
        <f ca="1">IF(CALC2223!AX328&gt;0,INDIRECT(ADDRESS(MATCH(Agenda2526!C329,'CAL1'!A:A,0),2,4,1,"CAL1")),"")</f>
        <v/>
      </c>
      <c r="B328" s="21">
        <f ca="1">IF(CALC2223!AX328&gt;0,INDIRECT(ADDRESS(MATCH(Agenda2526!C329,'CAL1'!A:A,0),3,4,1,"CAL1")),0)</f>
        <v>0</v>
      </c>
      <c r="C328" s="20" t="str">
        <f ca="1">IF(CALC2223!AX328&gt;1,INDIRECT(ADDRESS(MATCH(Agenda2526!C329,'CAL1'!A:A,0)+1,2,4,1,"CAL1")),"")</f>
        <v/>
      </c>
      <c r="D328" s="21">
        <f ca="1">IF(CALC2223!AX328&gt;1,INDIRECT(ADDRESS(MATCH(Agenda2526!C329,'CAL1'!A:A,0)+1,3,4,1,"CAL1")),0)</f>
        <v>0</v>
      </c>
      <c r="E328" s="20" t="str">
        <f ca="1">IF(CALC2223!AX328&gt;2,INDIRECT(ADDRESS(MATCH(Agenda2526!C329,'CAL1'!A:A,0)+2,2,4,1,"CAL1")),"")</f>
        <v/>
      </c>
      <c r="F328" s="21">
        <f ca="1">IF(CALC2223!AX328&gt;2,INDIRECT(ADDRESS(MATCH(Agenda2526!C329,'CAL1'!A:A,0)+2,3,4,1,"CAL1")),0)</f>
        <v>0</v>
      </c>
      <c r="G328" s="20" t="str">
        <f ca="1">IF(CALC2223!AY328&gt;0,INDIRECT(ADDRESS(MATCH(Agenda2526!C329,'CAL2'!A:A,0),2,4,1,"CAL2")),"")</f>
        <v/>
      </c>
      <c r="H328" s="21">
        <f ca="1">IF(CALC2223!AY328&gt;0,INDIRECT(ADDRESS(MATCH(Agenda2526!C329,'CAL2'!A:A,0),3,4,1,"CAL2")),0)</f>
        <v>0</v>
      </c>
      <c r="I328" s="20" t="str">
        <f ca="1">IF(CALC2223!AY328&gt;1,INDIRECT(ADDRESS(MATCH(Agenda2526!C329,'CAL2'!A:A,0)+1,2,4,1,"CAL2")),"")</f>
        <v/>
      </c>
      <c r="J328" s="21">
        <f ca="1">IF(CALC2223!AY328&gt;1,INDIRECT(ADDRESS(MATCH(Agenda2526!C329,'CAL2'!A:A,0)+1,3,4,1,"CAL2")),0)</f>
        <v>0</v>
      </c>
      <c r="K328" s="20" t="str">
        <f ca="1">IF(CALC2223!AY328&gt;2,INDIRECT(ADDRESS(MATCH(Agenda2526!C329,'CAL2'!A:A,0)+2,2,4,1,"CAL2")),"")</f>
        <v/>
      </c>
      <c r="L328" s="21">
        <f ca="1">IF(CALC2223!AY328&gt;2,INDIRECT(ADDRESS(MATCH(Agenda2526!C329,'CAL2'!A:A,0)+2,3,4,1,"CAL2")),0)</f>
        <v>0</v>
      </c>
      <c r="M328" s="20" t="str">
        <f ca="1">IF(CALC2223!AZ328&gt;0,INDIRECT(ADDRESS(MATCH(Agenda2526!C329,'CAL3'!A:A,0),2,4,1,"CAL3")),"")</f>
        <v/>
      </c>
      <c r="N328" s="21">
        <f ca="1">IF(CALC2223!AZ328&gt;0,INDIRECT(ADDRESS(MATCH(Agenda2526!C329,'CAL3'!A:A,0),3,4,1,"CAL3")),0)</f>
        <v>0</v>
      </c>
      <c r="O328" s="20" t="str">
        <f ca="1">IF(CALC2223!AZ328&gt;1,INDIRECT(ADDRESS(MATCH(Agenda2526!C329,'CAL3'!A:A,0)+1,2,4,1,"CAL3")),"")</f>
        <v/>
      </c>
      <c r="P328" s="21">
        <f ca="1">IF(CALC2223!AZ328&gt;1,INDIRECT(ADDRESS(MATCH(Agenda2526!C329,'CAL3'!A:A,0)+1,3,4,1,"CAL3")),0)</f>
        <v>0</v>
      </c>
      <c r="Q328" s="20" t="str">
        <f ca="1">IF(CALC2223!AZ328&gt;2,INDIRECT(ADDRESS(MATCH(Agenda2526!C329,'CAL3'!A:A,0)+2,2,4,1,"CAL3")),"")</f>
        <v/>
      </c>
      <c r="R328" s="21">
        <f ca="1">IF(CALC2223!AZ328&gt;2,INDIRECT(ADDRESS(MATCH(Agenda2526!C329,'CAL3'!A:A,0)+2,3,4,1,"CAL3")),0)</f>
        <v>0</v>
      </c>
      <c r="S328" s="20" t="str">
        <f ca="1">IF(CALC2223!BA328&gt;0,INDIRECT(ADDRESS(MATCH(Agenda2526!C329,'CAL4'!A:A,0),2,4,1,"CAL4")),"")</f>
        <v/>
      </c>
      <c r="T328" s="21">
        <f ca="1">IF(CALC2223!BA328&gt;0,INDIRECT(ADDRESS(MATCH(Agenda2526!C329,'CAL4'!A:A,0),3,4,1,"CAL4")),0)</f>
        <v>0</v>
      </c>
      <c r="U328" s="20" t="str">
        <f ca="1">IF(CALC2223!BA328&gt;1,INDIRECT(ADDRESS(MATCH(Agenda2526!C329,'CAL4'!A:A,0)+1,2,4,1,"CAL4")),"")</f>
        <v/>
      </c>
      <c r="V328" s="21">
        <f ca="1">IF(CALC2223!BA328&gt;1,INDIRECT(ADDRESS(MATCH(Agenda2526!C329,'CAL4'!A:A,0)+1,3,4,1,"CAL4")),0)</f>
        <v>0</v>
      </c>
      <c r="W328" s="20" t="str">
        <f ca="1">IF(CALC2223!BA328&gt;2,INDIRECT(ADDRESS(MATCH(Agenda2526!C329,'CAL4'!A:A,0)+2,2,4,1,"CAL4")),"")</f>
        <v/>
      </c>
      <c r="X328" s="21">
        <f ca="1">IF(CALC2223!BA328&gt;2,INDIRECT(ADDRESS(MATCH(Agenda2526!C329,'CAL4'!A:A,0)+2,3,4,1,"CAL4")),0)</f>
        <v>0</v>
      </c>
      <c r="Y328" s="20" t="str">
        <f ca="1">IF(CALC2223!BB328&gt;0,INDIRECT(ADDRESS(MATCH(Agenda2526!C329,'CAL5'!A:A,0),2,4,1,"CAL5")),"")</f>
        <v/>
      </c>
      <c r="Z328" s="21">
        <f ca="1">IF(CALC2223!BB328&gt;0,INDIRECT(ADDRESS(MATCH(Agenda2526!C329,'CAL5'!A:A,0),3,4,1,"CAL5")),0)</f>
        <v>0</v>
      </c>
      <c r="AA328" s="20" t="str">
        <f ca="1">IF(CALC2223!BB328&gt;1,INDIRECT(ADDRESS(MATCH(Agenda2526!C329,'CAL5'!A:A,0)+1,2,4,1,"CAL5")),"")</f>
        <v/>
      </c>
      <c r="AB328" s="21">
        <f ca="1">IF(CALC2223!BB328&gt;1,INDIRECT(ADDRESS(MATCH(Agenda2526!C329,'CAL5'!A:A,0)+1,3,4,1,"CAL5")),0)</f>
        <v>0</v>
      </c>
      <c r="AC328" s="20" t="str">
        <f ca="1">IF(CALC2223!BB328&gt;2,INDIRECT(ADDRESS(MATCH(Agenda2526!C329,'CAL5'!A:A,0)+2,2,4,1,"CAL5")),"")</f>
        <v/>
      </c>
      <c r="AD328" s="21">
        <f ca="1">IF(CALC2223!BB328&gt;2,INDIRECT(ADDRESS(MATCH(Agenda2526!C329,'CAL5'!A:A,0)+2,3,4,1,"CAL5")),0)</f>
        <v>0</v>
      </c>
      <c r="AE328" s="20" t="str">
        <f ca="1">IF(CALC2223!BC328&gt;0,INDIRECT(ADDRESS(MATCH(Agenda2526!C329,'CAL6'!A:A,0),2,4,1,"CAL6")),"")</f>
        <v/>
      </c>
      <c r="AF328" s="21">
        <f ca="1">IF(CALC2223!BC328&gt;0,INDIRECT(ADDRESS(MATCH(Agenda2526!C329,'CAL6'!A:A,0),3,4,1,"CAL6")),0)</f>
        <v>0</v>
      </c>
      <c r="AG328" s="20" t="str">
        <f ca="1">IF(CALC2223!BC328&gt;1,INDIRECT(ADDRESS(MATCH(Agenda2526!C329,'CAL6'!A:A,0)+1,2,4,1,"CAL6")),"")</f>
        <v/>
      </c>
      <c r="AH328" s="21">
        <f ca="1">IF(CALC2223!BC328&gt;1,INDIRECT(ADDRESS(MATCH(Agenda2526!C329,'CAL6'!A:A,0)+1,3,4,1,"CAL6")),0)</f>
        <v>0</v>
      </c>
      <c r="AI328" s="20" t="str">
        <f ca="1">IF(CALC2223!BC328&gt;2,INDIRECT(ADDRESS(MATCH(Agenda2526!C329,'CAL6'!A:A,0)+2,2,4,1,"CAL6")),"")</f>
        <v/>
      </c>
      <c r="AJ328" s="21">
        <f ca="1">IF(CALC2223!BC328&gt;2,INDIRECT(ADDRESS(MATCH(Agenda2526!C329,'CAL6'!A:A,0)+2,3,4,1,"CAL6")),0)</f>
        <v>0</v>
      </c>
      <c r="AK328" s="20" t="str">
        <f ca="1">IF(CALC2223!BD328&gt;0,INDIRECT(ADDRESS(MATCH(Agenda2526!C329,'CAL7'!A:A,0),2,4,1,"CAL7")),"")</f>
        <v/>
      </c>
      <c r="AL328" s="21">
        <f ca="1">IF(CALC2223!BD328&gt;0,INDIRECT(ADDRESS(MATCH(Agenda2526!C329,'CAL7'!A:A,0),3,4,1,"CAL7")),0)</f>
        <v>0</v>
      </c>
      <c r="AM328" s="20" t="str">
        <f ca="1">IF(CALC2223!BD328&gt;1,INDIRECT(ADDRESS(MATCH(Agenda2526!C329,'CAL7'!A:A,0)+1,2,4,1,"CAL7")),"")</f>
        <v/>
      </c>
      <c r="AN328" s="21">
        <f ca="1">IF(CALC2223!BD328&gt;1,INDIRECT(ADDRESS(MATCH(Agenda2526!C329,'CAL7'!A:A,0)+1,3,4,1,"CAL7")),0)</f>
        <v>0</v>
      </c>
      <c r="AO328" s="20" t="str">
        <f ca="1">IF(CALC2223!BD328&gt;2,INDIRECT(ADDRESS(MATCH(Agenda2526!C329,'CAL7'!A:A,0)+2,2,4,1,"CAL7")),"")</f>
        <v/>
      </c>
      <c r="AP328" s="21">
        <f ca="1">IF(CALC2223!BD328&gt;2,INDIRECT(ADDRESS(MATCH(Agenda2526!C329,'CAL7'!A:A,0)+2,3,4,1,"CAL7")),0)</f>
        <v>0</v>
      </c>
      <c r="AQ328" s="20" t="str">
        <f ca="1">IF(CALC2223!BE328&gt;0,INDIRECT(ADDRESS(MATCH(Agenda2526!C329,'CAL8'!A:A,0),2,4,1,"CAL8")),"")</f>
        <v/>
      </c>
      <c r="AR328" s="21">
        <f ca="1">IF(CALC2223!BE328&gt;0,INDIRECT(ADDRESS(MATCH(Agenda2526!C329,'CAL8'!A:A,0),3,4,1,"CAL8")),0)</f>
        <v>0</v>
      </c>
      <c r="AS328" s="20" t="str">
        <f ca="1">IF(CALC2223!BE328&gt;1,INDIRECT(ADDRESS(MATCH(Agenda2526!C329,'CAL8'!A:A,0)+1,2,4,1,"CAL8")),"")</f>
        <v/>
      </c>
      <c r="AT328" s="21">
        <f ca="1">IF(CALC2223!BE328&gt;1,INDIRECT(ADDRESS(MATCH(Agenda2526!C329,'CAL8'!A:A,0)+1,3,4,1,"CAL8")),0)</f>
        <v>0</v>
      </c>
      <c r="AU328" s="20" t="str">
        <f ca="1">IF(CALC2223!BE328&gt;2,INDIRECT(ADDRESS(MATCH(Agenda2526!C329,'CAL8'!A:A,0)+2,2,4,1,"CAL8")),"")</f>
        <v/>
      </c>
      <c r="AV328" s="21">
        <f ca="1">IF(CALC2223!BE328&gt;2,INDIRECT(ADDRESS(MATCH(Agenda2526!C329,'CAL8'!A:A,0)+2,3,4,1,"CAL8")),0)</f>
        <v>0</v>
      </c>
      <c r="AW328" s="107"/>
      <c r="AX328" s="20">
        <f>COUNTIF('CAL1'!A:A,Agenda2526!C329)</f>
        <v>0</v>
      </c>
      <c r="AY328" s="20">
        <f>COUNTIF('CAL2'!A:A,Agenda2526!C329)</f>
        <v>0</v>
      </c>
      <c r="AZ328" s="20">
        <f>COUNTIF('CAL3'!A:A,Agenda2526!C329)</f>
        <v>0</v>
      </c>
      <c r="BA328" s="20">
        <f>COUNTIF('CAL4'!A:A,Agenda2526!C329)</f>
        <v>0</v>
      </c>
      <c r="BB328" s="20">
        <f>COUNTIF('CAL5'!A:A,Agenda2526!C329)</f>
        <v>0</v>
      </c>
      <c r="BC328" s="20">
        <f>COUNTIF('CAL6'!A:A,Agenda2526!C329)</f>
        <v>0</v>
      </c>
      <c r="BD328" s="20">
        <f>COUNTIF('CAL7'!A:A,Agenda2526!C329)</f>
        <v>0</v>
      </c>
      <c r="BE328" s="20">
        <f>COUNTIF('CAL8'!A:A,Agenda2526!C329)</f>
        <v>0</v>
      </c>
    </row>
    <row r="329" spans="1:57" ht="15.75" customHeight="1">
      <c r="A329" s="20" t="str">
        <f ca="1">IF(CALC2223!AX329&gt;0,INDIRECT(ADDRESS(MATCH(Agenda2526!C330,'CAL1'!A:A,0),2,4,1,"CAL1")),"")</f>
        <v/>
      </c>
      <c r="B329" s="21">
        <f ca="1">IF(CALC2223!AX329&gt;0,INDIRECT(ADDRESS(MATCH(Agenda2526!C330,'CAL1'!A:A,0),3,4,1,"CAL1")),0)</f>
        <v>0</v>
      </c>
      <c r="C329" s="20" t="str">
        <f ca="1">IF(CALC2223!AX329&gt;1,INDIRECT(ADDRESS(MATCH(Agenda2526!C330,'CAL1'!A:A,0)+1,2,4,1,"CAL1")),"")</f>
        <v/>
      </c>
      <c r="D329" s="21">
        <f ca="1">IF(CALC2223!AX329&gt;1,INDIRECT(ADDRESS(MATCH(Agenda2526!C330,'CAL1'!A:A,0)+1,3,4,1,"CAL1")),0)</f>
        <v>0</v>
      </c>
      <c r="E329" s="20" t="str">
        <f ca="1">IF(CALC2223!AX329&gt;2,INDIRECT(ADDRESS(MATCH(Agenda2526!C330,'CAL1'!A:A,0)+2,2,4,1,"CAL1")),"")</f>
        <v/>
      </c>
      <c r="F329" s="21">
        <f ca="1">IF(CALC2223!AX329&gt;2,INDIRECT(ADDRESS(MATCH(Agenda2526!C330,'CAL1'!A:A,0)+2,3,4,1,"CAL1")),0)</f>
        <v>0</v>
      </c>
      <c r="G329" s="20" t="str">
        <f ca="1">IF(CALC2223!AY329&gt;0,INDIRECT(ADDRESS(MATCH(Agenda2526!C330,'CAL2'!A:A,0),2,4,1,"CAL2")),"")</f>
        <v/>
      </c>
      <c r="H329" s="21">
        <f ca="1">IF(CALC2223!AY329&gt;0,INDIRECT(ADDRESS(MATCH(Agenda2526!C330,'CAL2'!A:A,0),3,4,1,"CAL2")),0)</f>
        <v>0</v>
      </c>
      <c r="I329" s="20" t="str">
        <f ca="1">IF(CALC2223!AY329&gt;1,INDIRECT(ADDRESS(MATCH(Agenda2526!C330,'CAL2'!A:A,0)+1,2,4,1,"CAL2")),"")</f>
        <v/>
      </c>
      <c r="J329" s="21">
        <f ca="1">IF(CALC2223!AY329&gt;1,INDIRECT(ADDRESS(MATCH(Agenda2526!C330,'CAL2'!A:A,0)+1,3,4,1,"CAL2")),0)</f>
        <v>0</v>
      </c>
      <c r="K329" s="20" t="str">
        <f ca="1">IF(CALC2223!AY329&gt;2,INDIRECT(ADDRESS(MATCH(Agenda2526!C330,'CAL2'!A:A,0)+2,2,4,1,"CAL2")),"")</f>
        <v/>
      </c>
      <c r="L329" s="21">
        <f ca="1">IF(CALC2223!AY329&gt;2,INDIRECT(ADDRESS(MATCH(Agenda2526!C330,'CAL2'!A:A,0)+2,3,4,1,"CAL2")),0)</f>
        <v>0</v>
      </c>
      <c r="M329" s="20" t="str">
        <f ca="1">IF(CALC2223!AZ329&gt;0,INDIRECT(ADDRESS(MATCH(Agenda2526!C330,'CAL3'!A:A,0),2,4,1,"CAL3")),"")</f>
        <v/>
      </c>
      <c r="N329" s="21">
        <f ca="1">IF(CALC2223!AZ329&gt;0,INDIRECT(ADDRESS(MATCH(Agenda2526!C330,'CAL3'!A:A,0),3,4,1,"CAL3")),0)</f>
        <v>0</v>
      </c>
      <c r="O329" s="20" t="str">
        <f ca="1">IF(CALC2223!AZ329&gt;1,INDIRECT(ADDRESS(MATCH(Agenda2526!C330,'CAL3'!A:A,0)+1,2,4,1,"CAL3")),"")</f>
        <v/>
      </c>
      <c r="P329" s="21">
        <f ca="1">IF(CALC2223!AZ329&gt;1,INDIRECT(ADDRESS(MATCH(Agenda2526!C330,'CAL3'!A:A,0)+1,3,4,1,"CAL3")),0)</f>
        <v>0</v>
      </c>
      <c r="Q329" s="20" t="str">
        <f ca="1">IF(CALC2223!AZ329&gt;2,INDIRECT(ADDRESS(MATCH(Agenda2526!C330,'CAL3'!A:A,0)+2,2,4,1,"CAL3")),"")</f>
        <v/>
      </c>
      <c r="R329" s="21">
        <f ca="1">IF(CALC2223!AZ329&gt;2,INDIRECT(ADDRESS(MATCH(Agenda2526!C330,'CAL3'!A:A,0)+2,3,4,1,"CAL3")),0)</f>
        <v>0</v>
      </c>
      <c r="S329" s="20" t="str">
        <f ca="1">IF(CALC2223!BA329&gt;0,INDIRECT(ADDRESS(MATCH(Agenda2526!C330,'CAL4'!A:A,0),2,4,1,"CAL4")),"")</f>
        <v/>
      </c>
      <c r="T329" s="21">
        <f ca="1">IF(CALC2223!BA329&gt;0,INDIRECT(ADDRESS(MATCH(Agenda2526!C330,'CAL4'!A:A,0),3,4,1,"CAL4")),0)</f>
        <v>0</v>
      </c>
      <c r="U329" s="20" t="str">
        <f ca="1">IF(CALC2223!BA329&gt;1,INDIRECT(ADDRESS(MATCH(Agenda2526!C330,'CAL4'!A:A,0)+1,2,4,1,"CAL4")),"")</f>
        <v/>
      </c>
      <c r="V329" s="21">
        <f ca="1">IF(CALC2223!BA329&gt;1,INDIRECT(ADDRESS(MATCH(Agenda2526!C330,'CAL4'!A:A,0)+1,3,4,1,"CAL4")),0)</f>
        <v>0</v>
      </c>
      <c r="W329" s="20" t="str">
        <f ca="1">IF(CALC2223!BA329&gt;2,INDIRECT(ADDRESS(MATCH(Agenda2526!C330,'CAL4'!A:A,0)+2,2,4,1,"CAL4")),"")</f>
        <v/>
      </c>
      <c r="X329" s="21">
        <f ca="1">IF(CALC2223!BA329&gt;2,INDIRECT(ADDRESS(MATCH(Agenda2526!C330,'CAL4'!A:A,0)+2,3,4,1,"CAL4")),0)</f>
        <v>0</v>
      </c>
      <c r="Y329" s="20" t="str">
        <f ca="1">IF(CALC2223!BB329&gt;0,INDIRECT(ADDRESS(MATCH(Agenda2526!C330,'CAL5'!A:A,0),2,4,1,"CAL5")),"")</f>
        <v/>
      </c>
      <c r="Z329" s="21">
        <f ca="1">IF(CALC2223!BB329&gt;0,INDIRECT(ADDRESS(MATCH(Agenda2526!C330,'CAL5'!A:A,0),3,4,1,"CAL5")),0)</f>
        <v>0</v>
      </c>
      <c r="AA329" s="20" t="str">
        <f ca="1">IF(CALC2223!BB329&gt;1,INDIRECT(ADDRESS(MATCH(Agenda2526!C330,'CAL5'!A:A,0)+1,2,4,1,"CAL5")),"")</f>
        <v/>
      </c>
      <c r="AB329" s="21">
        <f ca="1">IF(CALC2223!BB329&gt;1,INDIRECT(ADDRESS(MATCH(Agenda2526!C330,'CAL5'!A:A,0)+1,3,4,1,"CAL5")),0)</f>
        <v>0</v>
      </c>
      <c r="AC329" s="20" t="str">
        <f ca="1">IF(CALC2223!BB329&gt;2,INDIRECT(ADDRESS(MATCH(Agenda2526!C330,'CAL5'!A:A,0)+2,2,4,1,"CAL5")),"")</f>
        <v/>
      </c>
      <c r="AD329" s="21">
        <f ca="1">IF(CALC2223!BB329&gt;2,INDIRECT(ADDRESS(MATCH(Agenda2526!C330,'CAL5'!A:A,0)+2,3,4,1,"CAL5")),0)</f>
        <v>0</v>
      </c>
      <c r="AE329" s="20" t="str">
        <f ca="1">IF(CALC2223!BC329&gt;0,INDIRECT(ADDRESS(MATCH(Agenda2526!C330,'CAL6'!A:A,0),2,4,1,"CAL6")),"")</f>
        <v/>
      </c>
      <c r="AF329" s="21">
        <f ca="1">IF(CALC2223!BC329&gt;0,INDIRECT(ADDRESS(MATCH(Agenda2526!C330,'CAL6'!A:A,0),3,4,1,"CAL6")),0)</f>
        <v>0</v>
      </c>
      <c r="AG329" s="20" t="str">
        <f ca="1">IF(CALC2223!BC329&gt;1,INDIRECT(ADDRESS(MATCH(Agenda2526!C330,'CAL6'!A:A,0)+1,2,4,1,"CAL6")),"")</f>
        <v/>
      </c>
      <c r="AH329" s="21">
        <f ca="1">IF(CALC2223!BC329&gt;1,INDIRECT(ADDRESS(MATCH(Agenda2526!C330,'CAL6'!A:A,0)+1,3,4,1,"CAL6")),0)</f>
        <v>0</v>
      </c>
      <c r="AI329" s="20" t="str">
        <f ca="1">IF(CALC2223!BC329&gt;2,INDIRECT(ADDRESS(MATCH(Agenda2526!C330,'CAL6'!A:A,0)+2,2,4,1,"CAL6")),"")</f>
        <v/>
      </c>
      <c r="AJ329" s="21">
        <f ca="1">IF(CALC2223!BC329&gt;2,INDIRECT(ADDRESS(MATCH(Agenda2526!C330,'CAL6'!A:A,0)+2,3,4,1,"CAL6")),0)</f>
        <v>0</v>
      </c>
      <c r="AK329" s="20" t="str">
        <f ca="1">IF(CALC2223!BD329&gt;0,INDIRECT(ADDRESS(MATCH(Agenda2526!C330,'CAL7'!A:A,0),2,4,1,"CAL7")),"")</f>
        <v/>
      </c>
      <c r="AL329" s="21">
        <f ca="1">IF(CALC2223!BD329&gt;0,INDIRECT(ADDRESS(MATCH(Agenda2526!C330,'CAL7'!A:A,0),3,4,1,"CAL7")),0)</f>
        <v>0</v>
      </c>
      <c r="AM329" s="20" t="str">
        <f ca="1">IF(CALC2223!BD329&gt;1,INDIRECT(ADDRESS(MATCH(Agenda2526!C330,'CAL7'!A:A,0)+1,2,4,1,"CAL7")),"")</f>
        <v/>
      </c>
      <c r="AN329" s="21">
        <f ca="1">IF(CALC2223!BD329&gt;1,INDIRECT(ADDRESS(MATCH(Agenda2526!C330,'CAL7'!A:A,0)+1,3,4,1,"CAL7")),0)</f>
        <v>0</v>
      </c>
      <c r="AO329" s="20" t="str">
        <f ca="1">IF(CALC2223!BD329&gt;2,INDIRECT(ADDRESS(MATCH(Agenda2526!C330,'CAL7'!A:A,0)+2,2,4,1,"CAL7")),"")</f>
        <v/>
      </c>
      <c r="AP329" s="21">
        <f ca="1">IF(CALC2223!BD329&gt;2,INDIRECT(ADDRESS(MATCH(Agenda2526!C330,'CAL7'!A:A,0)+2,3,4,1,"CAL7")),0)</f>
        <v>0</v>
      </c>
      <c r="AQ329" s="20" t="str">
        <f ca="1">IF(CALC2223!BE329&gt;0,INDIRECT(ADDRESS(MATCH(Agenda2526!C330,'CAL8'!A:A,0),2,4,1,"CAL8")),"")</f>
        <v/>
      </c>
      <c r="AR329" s="21">
        <f ca="1">IF(CALC2223!BE329&gt;0,INDIRECT(ADDRESS(MATCH(Agenda2526!C330,'CAL8'!A:A,0),3,4,1,"CAL8")),0)</f>
        <v>0</v>
      </c>
      <c r="AS329" s="20" t="str">
        <f ca="1">IF(CALC2223!BE329&gt;1,INDIRECT(ADDRESS(MATCH(Agenda2526!C330,'CAL8'!A:A,0)+1,2,4,1,"CAL8")),"")</f>
        <v/>
      </c>
      <c r="AT329" s="21">
        <f ca="1">IF(CALC2223!BE329&gt;1,INDIRECT(ADDRESS(MATCH(Agenda2526!C330,'CAL8'!A:A,0)+1,3,4,1,"CAL8")),0)</f>
        <v>0</v>
      </c>
      <c r="AU329" s="20" t="str">
        <f ca="1">IF(CALC2223!BE329&gt;2,INDIRECT(ADDRESS(MATCH(Agenda2526!C330,'CAL8'!A:A,0)+2,2,4,1,"CAL8")),"")</f>
        <v/>
      </c>
      <c r="AV329" s="21">
        <f ca="1">IF(CALC2223!BE329&gt;2,INDIRECT(ADDRESS(MATCH(Agenda2526!C330,'CAL8'!A:A,0)+2,3,4,1,"CAL8")),0)</f>
        <v>0</v>
      </c>
      <c r="AW329" s="106"/>
      <c r="AX329" s="20">
        <f>COUNTIF('CAL1'!A:A,Agenda2526!C330)</f>
        <v>0</v>
      </c>
      <c r="AY329" s="20">
        <f>COUNTIF('CAL2'!A:A,Agenda2526!C330)</f>
        <v>0</v>
      </c>
      <c r="AZ329" s="20">
        <f>COUNTIF('CAL3'!A:A,Agenda2526!C330)</f>
        <v>0</v>
      </c>
      <c r="BA329" s="20">
        <f>COUNTIF('CAL4'!A:A,Agenda2526!C330)</f>
        <v>0</v>
      </c>
      <c r="BB329" s="20">
        <f>COUNTIF('CAL5'!A:A,Agenda2526!C330)</f>
        <v>0</v>
      </c>
      <c r="BC329" s="20">
        <f>COUNTIF('CAL6'!A:A,Agenda2526!C330)</f>
        <v>0</v>
      </c>
      <c r="BD329" s="20">
        <f>COUNTIF('CAL7'!A:A,Agenda2526!C330)</f>
        <v>0</v>
      </c>
      <c r="BE329" s="20">
        <f>COUNTIF('CAL8'!A:A,Agenda2526!C330)</f>
        <v>0</v>
      </c>
    </row>
    <row r="330" spans="1:57" ht="15.75" customHeight="1">
      <c r="A330" s="20" t="str">
        <f ca="1">IF(CALC2223!AX330&gt;0,INDIRECT(ADDRESS(MATCH(Agenda2526!C331,'CAL1'!A:A,0),2,4,1,"CAL1")),"")</f>
        <v/>
      </c>
      <c r="B330" s="21">
        <f ca="1">IF(CALC2223!AX330&gt;0,INDIRECT(ADDRESS(MATCH(Agenda2526!C331,'CAL1'!A:A,0),3,4,1,"CAL1")),0)</f>
        <v>0</v>
      </c>
      <c r="C330" s="20" t="str">
        <f ca="1">IF(CALC2223!AX330&gt;1,INDIRECT(ADDRESS(MATCH(Agenda2526!C331,'CAL1'!A:A,0)+1,2,4,1,"CAL1")),"")</f>
        <v/>
      </c>
      <c r="D330" s="21">
        <f ca="1">IF(CALC2223!AX330&gt;1,INDIRECT(ADDRESS(MATCH(Agenda2526!C331,'CAL1'!A:A,0)+1,3,4,1,"CAL1")),0)</f>
        <v>0</v>
      </c>
      <c r="E330" s="20" t="str">
        <f ca="1">IF(CALC2223!AX330&gt;2,INDIRECT(ADDRESS(MATCH(Agenda2526!C331,'CAL1'!A:A,0)+2,2,4,1,"CAL1")),"")</f>
        <v/>
      </c>
      <c r="F330" s="21">
        <f ca="1">IF(CALC2223!AX330&gt;2,INDIRECT(ADDRESS(MATCH(Agenda2526!C331,'CAL1'!A:A,0)+2,3,4,1,"CAL1")),0)</f>
        <v>0</v>
      </c>
      <c r="G330" s="20" t="str">
        <f ca="1">IF(CALC2223!AY330&gt;0,INDIRECT(ADDRESS(MATCH(Agenda2526!C331,'CAL2'!A:A,0),2,4,1,"CAL2")),"")</f>
        <v/>
      </c>
      <c r="H330" s="21">
        <f ca="1">IF(CALC2223!AY330&gt;0,INDIRECT(ADDRESS(MATCH(Agenda2526!C331,'CAL2'!A:A,0),3,4,1,"CAL2")),0)</f>
        <v>0</v>
      </c>
      <c r="I330" s="20" t="str">
        <f ca="1">IF(CALC2223!AY330&gt;1,INDIRECT(ADDRESS(MATCH(Agenda2526!C331,'CAL2'!A:A,0)+1,2,4,1,"CAL2")),"")</f>
        <v/>
      </c>
      <c r="J330" s="21">
        <f ca="1">IF(CALC2223!AY330&gt;1,INDIRECT(ADDRESS(MATCH(Agenda2526!C331,'CAL2'!A:A,0)+1,3,4,1,"CAL2")),0)</f>
        <v>0</v>
      </c>
      <c r="K330" s="20" t="str">
        <f ca="1">IF(CALC2223!AY330&gt;2,INDIRECT(ADDRESS(MATCH(Agenda2526!C331,'CAL2'!A:A,0)+2,2,4,1,"CAL2")),"")</f>
        <v/>
      </c>
      <c r="L330" s="21">
        <f ca="1">IF(CALC2223!AY330&gt;2,INDIRECT(ADDRESS(MATCH(Agenda2526!C331,'CAL2'!A:A,0)+2,3,4,1,"CAL2")),0)</f>
        <v>0</v>
      </c>
      <c r="M330" s="20" t="str">
        <f ca="1">IF(CALC2223!AZ330&gt;0,INDIRECT(ADDRESS(MATCH(Agenda2526!C331,'CAL3'!A:A,0),2,4,1,"CAL3")),"")</f>
        <v/>
      </c>
      <c r="N330" s="21">
        <f ca="1">IF(CALC2223!AZ330&gt;0,INDIRECT(ADDRESS(MATCH(Agenda2526!C331,'CAL3'!A:A,0),3,4,1,"CAL3")),0)</f>
        <v>0</v>
      </c>
      <c r="O330" s="20" t="str">
        <f ca="1">IF(CALC2223!AZ330&gt;1,INDIRECT(ADDRESS(MATCH(Agenda2526!C331,'CAL3'!A:A,0)+1,2,4,1,"CAL3")),"")</f>
        <v/>
      </c>
      <c r="P330" s="21">
        <f ca="1">IF(CALC2223!AZ330&gt;1,INDIRECT(ADDRESS(MATCH(Agenda2526!C331,'CAL3'!A:A,0)+1,3,4,1,"CAL3")),0)</f>
        <v>0</v>
      </c>
      <c r="Q330" s="20" t="str">
        <f ca="1">IF(CALC2223!AZ330&gt;2,INDIRECT(ADDRESS(MATCH(Agenda2526!C331,'CAL3'!A:A,0)+2,2,4,1,"CAL3")),"")</f>
        <v/>
      </c>
      <c r="R330" s="21">
        <f ca="1">IF(CALC2223!AZ330&gt;2,INDIRECT(ADDRESS(MATCH(Agenda2526!C331,'CAL3'!A:A,0)+2,3,4,1,"CAL3")),0)</f>
        <v>0</v>
      </c>
      <c r="S330" s="20" t="str">
        <f ca="1">IF(CALC2223!BA330&gt;0,INDIRECT(ADDRESS(MATCH(Agenda2526!C331,'CAL4'!A:A,0),2,4,1,"CAL4")),"")</f>
        <v/>
      </c>
      <c r="T330" s="21">
        <f ca="1">IF(CALC2223!BA330&gt;0,INDIRECT(ADDRESS(MATCH(Agenda2526!C331,'CAL4'!A:A,0),3,4,1,"CAL4")),0)</f>
        <v>0</v>
      </c>
      <c r="U330" s="20" t="str">
        <f ca="1">IF(CALC2223!BA330&gt;1,INDIRECT(ADDRESS(MATCH(Agenda2526!C331,'CAL4'!A:A,0)+1,2,4,1,"CAL4")),"")</f>
        <v/>
      </c>
      <c r="V330" s="21">
        <f ca="1">IF(CALC2223!BA330&gt;1,INDIRECT(ADDRESS(MATCH(Agenda2526!C331,'CAL4'!A:A,0)+1,3,4,1,"CAL4")),0)</f>
        <v>0</v>
      </c>
      <c r="W330" s="20" t="str">
        <f ca="1">IF(CALC2223!BA330&gt;2,INDIRECT(ADDRESS(MATCH(Agenda2526!C331,'CAL4'!A:A,0)+2,2,4,1,"CAL4")),"")</f>
        <v/>
      </c>
      <c r="X330" s="21">
        <f ca="1">IF(CALC2223!BA330&gt;2,INDIRECT(ADDRESS(MATCH(Agenda2526!C331,'CAL4'!A:A,0)+2,3,4,1,"CAL4")),0)</f>
        <v>0</v>
      </c>
      <c r="Y330" s="20" t="str">
        <f ca="1">IF(CALC2223!BB330&gt;0,INDIRECT(ADDRESS(MATCH(Agenda2526!C331,'CAL5'!A:A,0),2,4,1,"CAL5")),"")</f>
        <v/>
      </c>
      <c r="Z330" s="21">
        <f ca="1">IF(CALC2223!BB330&gt;0,INDIRECT(ADDRESS(MATCH(Agenda2526!C331,'CAL5'!A:A,0),3,4,1,"CAL5")),0)</f>
        <v>0</v>
      </c>
      <c r="AA330" s="20" t="str">
        <f ca="1">IF(CALC2223!BB330&gt;1,INDIRECT(ADDRESS(MATCH(Agenda2526!C331,'CAL5'!A:A,0)+1,2,4,1,"CAL5")),"")</f>
        <v/>
      </c>
      <c r="AB330" s="21">
        <f ca="1">IF(CALC2223!BB330&gt;1,INDIRECT(ADDRESS(MATCH(Agenda2526!C331,'CAL5'!A:A,0)+1,3,4,1,"CAL5")),0)</f>
        <v>0</v>
      </c>
      <c r="AC330" s="20" t="str">
        <f ca="1">IF(CALC2223!BB330&gt;2,INDIRECT(ADDRESS(MATCH(Agenda2526!C331,'CAL5'!A:A,0)+2,2,4,1,"CAL5")),"")</f>
        <v/>
      </c>
      <c r="AD330" s="21">
        <f ca="1">IF(CALC2223!BB330&gt;2,INDIRECT(ADDRESS(MATCH(Agenda2526!C331,'CAL5'!A:A,0)+2,3,4,1,"CAL5")),0)</f>
        <v>0</v>
      </c>
      <c r="AE330" s="20" t="str">
        <f ca="1">IF(CALC2223!BC330&gt;0,INDIRECT(ADDRESS(MATCH(Agenda2526!C331,'CAL6'!A:A,0),2,4,1,"CAL6")),"")</f>
        <v/>
      </c>
      <c r="AF330" s="21">
        <f ca="1">IF(CALC2223!BC330&gt;0,INDIRECT(ADDRESS(MATCH(Agenda2526!C331,'CAL6'!A:A,0),3,4,1,"CAL6")),0)</f>
        <v>0</v>
      </c>
      <c r="AG330" s="20" t="str">
        <f ca="1">IF(CALC2223!BC330&gt;1,INDIRECT(ADDRESS(MATCH(Agenda2526!C331,'CAL6'!A:A,0)+1,2,4,1,"CAL6")),"")</f>
        <v/>
      </c>
      <c r="AH330" s="21">
        <f ca="1">IF(CALC2223!BC330&gt;1,INDIRECT(ADDRESS(MATCH(Agenda2526!C331,'CAL6'!A:A,0)+1,3,4,1,"CAL6")),0)</f>
        <v>0</v>
      </c>
      <c r="AI330" s="20" t="str">
        <f ca="1">IF(CALC2223!BC330&gt;2,INDIRECT(ADDRESS(MATCH(Agenda2526!C331,'CAL6'!A:A,0)+2,2,4,1,"CAL6")),"")</f>
        <v/>
      </c>
      <c r="AJ330" s="21">
        <f ca="1">IF(CALC2223!BC330&gt;2,INDIRECT(ADDRESS(MATCH(Agenda2526!C331,'CAL6'!A:A,0)+2,3,4,1,"CAL6")),0)</f>
        <v>0</v>
      </c>
      <c r="AK330" s="20" t="str">
        <f ca="1">IF(CALC2223!BD330&gt;0,INDIRECT(ADDRESS(MATCH(Agenda2526!C331,'CAL7'!A:A,0),2,4,1,"CAL7")),"")</f>
        <v/>
      </c>
      <c r="AL330" s="21">
        <f ca="1">IF(CALC2223!BD330&gt;0,INDIRECT(ADDRESS(MATCH(Agenda2526!C331,'CAL7'!A:A,0),3,4,1,"CAL7")),0)</f>
        <v>0</v>
      </c>
      <c r="AM330" s="20" t="str">
        <f ca="1">IF(CALC2223!BD330&gt;1,INDIRECT(ADDRESS(MATCH(Agenda2526!C331,'CAL7'!A:A,0)+1,2,4,1,"CAL7")),"")</f>
        <v/>
      </c>
      <c r="AN330" s="21">
        <f ca="1">IF(CALC2223!BD330&gt;1,INDIRECT(ADDRESS(MATCH(Agenda2526!C331,'CAL7'!A:A,0)+1,3,4,1,"CAL7")),0)</f>
        <v>0</v>
      </c>
      <c r="AO330" s="20" t="str">
        <f ca="1">IF(CALC2223!BD330&gt;2,INDIRECT(ADDRESS(MATCH(Agenda2526!C331,'CAL7'!A:A,0)+2,2,4,1,"CAL7")),"")</f>
        <v/>
      </c>
      <c r="AP330" s="21">
        <f ca="1">IF(CALC2223!BD330&gt;2,INDIRECT(ADDRESS(MATCH(Agenda2526!C331,'CAL7'!A:A,0)+2,3,4,1,"CAL7")),0)</f>
        <v>0</v>
      </c>
      <c r="AQ330" s="20" t="str">
        <f ca="1">IF(CALC2223!BE330&gt;0,INDIRECT(ADDRESS(MATCH(Agenda2526!C331,'CAL8'!A:A,0),2,4,1,"CAL8")),"")</f>
        <v/>
      </c>
      <c r="AR330" s="21">
        <f ca="1">IF(CALC2223!BE330&gt;0,INDIRECT(ADDRESS(MATCH(Agenda2526!C331,'CAL8'!A:A,0),3,4,1,"CAL8")),0)</f>
        <v>0</v>
      </c>
      <c r="AS330" s="20" t="str">
        <f ca="1">IF(CALC2223!BE330&gt;1,INDIRECT(ADDRESS(MATCH(Agenda2526!C331,'CAL8'!A:A,0)+1,2,4,1,"CAL8")),"")</f>
        <v/>
      </c>
      <c r="AT330" s="21">
        <f ca="1">IF(CALC2223!BE330&gt;1,INDIRECT(ADDRESS(MATCH(Agenda2526!C331,'CAL8'!A:A,0)+1,3,4,1,"CAL8")),0)</f>
        <v>0</v>
      </c>
      <c r="AU330" s="20" t="str">
        <f ca="1">IF(CALC2223!BE330&gt;2,INDIRECT(ADDRESS(MATCH(Agenda2526!C331,'CAL8'!A:A,0)+2,2,4,1,"CAL8")),"")</f>
        <v/>
      </c>
      <c r="AV330" s="21">
        <f ca="1">IF(CALC2223!BE330&gt;2,INDIRECT(ADDRESS(MATCH(Agenda2526!C331,'CAL8'!A:A,0)+2,3,4,1,"CAL8")),0)</f>
        <v>0</v>
      </c>
      <c r="AW330" s="106"/>
      <c r="AX330" s="20">
        <f>COUNTIF('CAL1'!A:A,Agenda2526!C331)</f>
        <v>0</v>
      </c>
      <c r="AY330" s="20">
        <f>COUNTIF('CAL2'!A:A,Agenda2526!C331)</f>
        <v>0</v>
      </c>
      <c r="AZ330" s="20">
        <f>COUNTIF('CAL3'!A:A,Agenda2526!C331)</f>
        <v>0</v>
      </c>
      <c r="BA330" s="20">
        <f>COUNTIF('CAL4'!A:A,Agenda2526!C331)</f>
        <v>0</v>
      </c>
      <c r="BB330" s="20">
        <f>COUNTIF('CAL5'!A:A,Agenda2526!C331)</f>
        <v>0</v>
      </c>
      <c r="BC330" s="20">
        <f>COUNTIF('CAL6'!A:A,Agenda2526!C331)</f>
        <v>0</v>
      </c>
      <c r="BD330" s="20">
        <f>COUNTIF('CAL7'!A:A,Agenda2526!C331)</f>
        <v>0</v>
      </c>
      <c r="BE330" s="20">
        <f>COUNTIF('CAL8'!A:A,Agenda2526!C331)</f>
        <v>0</v>
      </c>
    </row>
    <row r="331" spans="1:57" ht="15.75" customHeight="1">
      <c r="A331" s="20" t="str">
        <f ca="1">IF(CALC2223!AX331&gt;0,INDIRECT(ADDRESS(MATCH(Agenda2526!C332,'CAL1'!A:A,0),2,4,1,"CAL1")),"")</f>
        <v/>
      </c>
      <c r="B331" s="21">
        <f ca="1">IF(CALC2223!AX331&gt;0,INDIRECT(ADDRESS(MATCH(Agenda2526!C332,'CAL1'!A:A,0),3,4,1,"CAL1")),0)</f>
        <v>0</v>
      </c>
      <c r="C331" s="20" t="str">
        <f ca="1">IF(CALC2223!AX331&gt;1,INDIRECT(ADDRESS(MATCH(Agenda2526!C332,'CAL1'!A:A,0)+1,2,4,1,"CAL1")),"")</f>
        <v/>
      </c>
      <c r="D331" s="21">
        <f ca="1">IF(CALC2223!AX331&gt;1,INDIRECT(ADDRESS(MATCH(Agenda2526!C332,'CAL1'!A:A,0)+1,3,4,1,"CAL1")),0)</f>
        <v>0</v>
      </c>
      <c r="E331" s="20" t="str">
        <f ca="1">IF(CALC2223!AX331&gt;2,INDIRECT(ADDRESS(MATCH(Agenda2526!C332,'CAL1'!A:A,0)+2,2,4,1,"CAL1")),"")</f>
        <v/>
      </c>
      <c r="F331" s="21">
        <f ca="1">IF(CALC2223!AX331&gt;2,INDIRECT(ADDRESS(MATCH(Agenda2526!C332,'CAL1'!A:A,0)+2,3,4,1,"CAL1")),0)</f>
        <v>0</v>
      </c>
      <c r="G331" s="20" t="str">
        <f ca="1">IF(CALC2223!AY331&gt;0,INDIRECT(ADDRESS(MATCH(Agenda2526!C332,'CAL2'!A:A,0),2,4,1,"CAL2")),"")</f>
        <v/>
      </c>
      <c r="H331" s="21">
        <f ca="1">IF(CALC2223!AY331&gt;0,INDIRECT(ADDRESS(MATCH(Agenda2526!C332,'CAL2'!A:A,0),3,4,1,"CAL2")),0)</f>
        <v>0</v>
      </c>
      <c r="I331" s="20" t="str">
        <f ca="1">IF(CALC2223!AY331&gt;1,INDIRECT(ADDRESS(MATCH(Agenda2526!C332,'CAL2'!A:A,0)+1,2,4,1,"CAL2")),"")</f>
        <v/>
      </c>
      <c r="J331" s="21">
        <f ca="1">IF(CALC2223!AY331&gt;1,INDIRECT(ADDRESS(MATCH(Agenda2526!C332,'CAL2'!A:A,0)+1,3,4,1,"CAL2")),0)</f>
        <v>0</v>
      </c>
      <c r="K331" s="20" t="str">
        <f ca="1">IF(CALC2223!AY331&gt;2,INDIRECT(ADDRESS(MATCH(Agenda2526!C332,'CAL2'!A:A,0)+2,2,4,1,"CAL2")),"")</f>
        <v/>
      </c>
      <c r="L331" s="21">
        <f ca="1">IF(CALC2223!AY331&gt;2,INDIRECT(ADDRESS(MATCH(Agenda2526!C332,'CAL2'!A:A,0)+2,3,4,1,"CAL2")),0)</f>
        <v>0</v>
      </c>
      <c r="M331" s="20" t="str">
        <f ca="1">IF(CALC2223!AZ331&gt;0,INDIRECT(ADDRESS(MATCH(Agenda2526!C332,'CAL3'!A:A,0),2,4,1,"CAL3")),"")</f>
        <v/>
      </c>
      <c r="N331" s="21">
        <f ca="1">IF(CALC2223!AZ331&gt;0,INDIRECT(ADDRESS(MATCH(Agenda2526!C332,'CAL3'!A:A,0),3,4,1,"CAL3")),0)</f>
        <v>0</v>
      </c>
      <c r="O331" s="20" t="str">
        <f ca="1">IF(CALC2223!AZ331&gt;1,INDIRECT(ADDRESS(MATCH(Agenda2526!C332,'CAL3'!A:A,0)+1,2,4,1,"CAL3")),"")</f>
        <v/>
      </c>
      <c r="P331" s="21">
        <f ca="1">IF(CALC2223!AZ331&gt;1,INDIRECT(ADDRESS(MATCH(Agenda2526!C332,'CAL3'!A:A,0)+1,3,4,1,"CAL3")),0)</f>
        <v>0</v>
      </c>
      <c r="Q331" s="20" t="str">
        <f ca="1">IF(CALC2223!AZ331&gt;2,INDIRECT(ADDRESS(MATCH(Agenda2526!C332,'CAL3'!A:A,0)+2,2,4,1,"CAL3")),"")</f>
        <v/>
      </c>
      <c r="R331" s="21">
        <f ca="1">IF(CALC2223!AZ331&gt;2,INDIRECT(ADDRESS(MATCH(Agenda2526!C332,'CAL3'!A:A,0)+2,3,4,1,"CAL3")),0)</f>
        <v>0</v>
      </c>
      <c r="S331" s="20" t="str">
        <f ca="1">IF(CALC2223!BA331&gt;0,INDIRECT(ADDRESS(MATCH(Agenda2526!C332,'CAL4'!A:A,0),2,4,1,"CAL4")),"")</f>
        <v/>
      </c>
      <c r="T331" s="21">
        <f ca="1">IF(CALC2223!BA331&gt;0,INDIRECT(ADDRESS(MATCH(Agenda2526!C332,'CAL4'!A:A,0),3,4,1,"CAL4")),0)</f>
        <v>0</v>
      </c>
      <c r="U331" s="20" t="str">
        <f ca="1">IF(CALC2223!BA331&gt;1,INDIRECT(ADDRESS(MATCH(Agenda2526!C332,'CAL4'!A:A,0)+1,2,4,1,"CAL4")),"")</f>
        <v/>
      </c>
      <c r="V331" s="21">
        <f ca="1">IF(CALC2223!BA331&gt;1,INDIRECT(ADDRESS(MATCH(Agenda2526!C332,'CAL4'!A:A,0)+1,3,4,1,"CAL4")),0)</f>
        <v>0</v>
      </c>
      <c r="W331" s="20" t="str">
        <f ca="1">IF(CALC2223!BA331&gt;2,INDIRECT(ADDRESS(MATCH(Agenda2526!C332,'CAL4'!A:A,0)+2,2,4,1,"CAL4")),"")</f>
        <v/>
      </c>
      <c r="X331" s="21">
        <f ca="1">IF(CALC2223!BA331&gt;2,INDIRECT(ADDRESS(MATCH(Agenda2526!C332,'CAL4'!A:A,0)+2,3,4,1,"CAL4")),0)</f>
        <v>0</v>
      </c>
      <c r="Y331" s="20" t="str">
        <f ca="1">IF(CALC2223!BB331&gt;0,INDIRECT(ADDRESS(MATCH(Agenda2526!C332,'CAL5'!A:A,0),2,4,1,"CAL5")),"")</f>
        <v/>
      </c>
      <c r="Z331" s="21">
        <f ca="1">IF(CALC2223!BB331&gt;0,INDIRECT(ADDRESS(MATCH(Agenda2526!C332,'CAL5'!A:A,0),3,4,1,"CAL5")),0)</f>
        <v>0</v>
      </c>
      <c r="AA331" s="20" t="str">
        <f ca="1">IF(CALC2223!BB331&gt;1,INDIRECT(ADDRESS(MATCH(Agenda2526!C332,'CAL5'!A:A,0)+1,2,4,1,"CAL5")),"")</f>
        <v/>
      </c>
      <c r="AB331" s="21">
        <f ca="1">IF(CALC2223!BB331&gt;1,INDIRECT(ADDRESS(MATCH(Agenda2526!C332,'CAL5'!A:A,0)+1,3,4,1,"CAL5")),0)</f>
        <v>0</v>
      </c>
      <c r="AC331" s="20" t="str">
        <f ca="1">IF(CALC2223!BB331&gt;2,INDIRECT(ADDRESS(MATCH(Agenda2526!C332,'CAL5'!A:A,0)+2,2,4,1,"CAL5")),"")</f>
        <v/>
      </c>
      <c r="AD331" s="21">
        <f ca="1">IF(CALC2223!BB331&gt;2,INDIRECT(ADDRESS(MATCH(Agenda2526!C332,'CAL5'!A:A,0)+2,3,4,1,"CAL5")),0)</f>
        <v>0</v>
      </c>
      <c r="AE331" s="20" t="str">
        <f ca="1">IF(CALC2223!BC331&gt;0,INDIRECT(ADDRESS(MATCH(Agenda2526!C332,'CAL6'!A:A,0),2,4,1,"CAL6")),"")</f>
        <v/>
      </c>
      <c r="AF331" s="21">
        <f ca="1">IF(CALC2223!BC331&gt;0,INDIRECT(ADDRESS(MATCH(Agenda2526!C332,'CAL6'!A:A,0),3,4,1,"CAL6")),0)</f>
        <v>0</v>
      </c>
      <c r="AG331" s="20" t="str">
        <f ca="1">IF(CALC2223!BC331&gt;1,INDIRECT(ADDRESS(MATCH(Agenda2526!C332,'CAL6'!A:A,0)+1,2,4,1,"CAL6")),"")</f>
        <v/>
      </c>
      <c r="AH331" s="21">
        <f ca="1">IF(CALC2223!BC331&gt;1,INDIRECT(ADDRESS(MATCH(Agenda2526!C332,'CAL6'!A:A,0)+1,3,4,1,"CAL6")),0)</f>
        <v>0</v>
      </c>
      <c r="AI331" s="20" t="str">
        <f ca="1">IF(CALC2223!BC331&gt;2,INDIRECT(ADDRESS(MATCH(Agenda2526!C332,'CAL6'!A:A,0)+2,2,4,1,"CAL6")),"")</f>
        <v/>
      </c>
      <c r="AJ331" s="21">
        <f ca="1">IF(CALC2223!BC331&gt;2,INDIRECT(ADDRESS(MATCH(Agenda2526!C332,'CAL6'!A:A,0)+2,3,4,1,"CAL6")),0)</f>
        <v>0</v>
      </c>
      <c r="AK331" s="20" t="str">
        <f ca="1">IF(CALC2223!BD331&gt;0,INDIRECT(ADDRESS(MATCH(Agenda2526!C332,'CAL7'!A:A,0),2,4,1,"CAL7")),"")</f>
        <v/>
      </c>
      <c r="AL331" s="21">
        <f ca="1">IF(CALC2223!BD331&gt;0,INDIRECT(ADDRESS(MATCH(Agenda2526!C332,'CAL7'!A:A,0),3,4,1,"CAL7")),0)</f>
        <v>0</v>
      </c>
      <c r="AM331" s="20" t="str">
        <f ca="1">IF(CALC2223!BD331&gt;1,INDIRECT(ADDRESS(MATCH(Agenda2526!C332,'CAL7'!A:A,0)+1,2,4,1,"CAL7")),"")</f>
        <v/>
      </c>
      <c r="AN331" s="21">
        <f ca="1">IF(CALC2223!BD331&gt;1,INDIRECT(ADDRESS(MATCH(Agenda2526!C332,'CAL7'!A:A,0)+1,3,4,1,"CAL7")),0)</f>
        <v>0</v>
      </c>
      <c r="AO331" s="20" t="str">
        <f ca="1">IF(CALC2223!BD331&gt;2,INDIRECT(ADDRESS(MATCH(Agenda2526!C332,'CAL7'!A:A,0)+2,2,4,1,"CAL7")),"")</f>
        <v/>
      </c>
      <c r="AP331" s="21">
        <f ca="1">IF(CALC2223!BD331&gt;2,INDIRECT(ADDRESS(MATCH(Agenda2526!C332,'CAL7'!A:A,0)+2,3,4,1,"CAL7")),0)</f>
        <v>0</v>
      </c>
      <c r="AQ331" s="20" t="str">
        <f ca="1">IF(CALC2223!BE331&gt;0,INDIRECT(ADDRESS(MATCH(Agenda2526!C332,'CAL8'!A:A,0),2,4,1,"CAL8")),"")</f>
        <v/>
      </c>
      <c r="AR331" s="21">
        <f ca="1">IF(CALC2223!BE331&gt;0,INDIRECT(ADDRESS(MATCH(Agenda2526!C332,'CAL8'!A:A,0),3,4,1,"CAL8")),0)</f>
        <v>0</v>
      </c>
      <c r="AS331" s="20" t="str">
        <f ca="1">IF(CALC2223!BE331&gt;1,INDIRECT(ADDRESS(MATCH(Agenda2526!C332,'CAL8'!A:A,0)+1,2,4,1,"CAL8")),"")</f>
        <v/>
      </c>
      <c r="AT331" s="21">
        <f ca="1">IF(CALC2223!BE331&gt;1,INDIRECT(ADDRESS(MATCH(Agenda2526!C332,'CAL8'!A:A,0)+1,3,4,1,"CAL8")),0)</f>
        <v>0</v>
      </c>
      <c r="AU331" s="20" t="str">
        <f ca="1">IF(CALC2223!BE331&gt;2,INDIRECT(ADDRESS(MATCH(Agenda2526!C332,'CAL8'!A:A,0)+2,2,4,1,"CAL8")),"")</f>
        <v/>
      </c>
      <c r="AV331" s="21">
        <f ca="1">IF(CALC2223!BE331&gt;2,INDIRECT(ADDRESS(MATCH(Agenda2526!C332,'CAL8'!A:A,0)+2,3,4,1,"CAL8")),0)</f>
        <v>0</v>
      </c>
      <c r="AW331" s="107" t="s">
        <v>123</v>
      </c>
      <c r="AX331" s="20">
        <f>COUNTIF('CAL1'!A:A,Agenda2526!C332)</f>
        <v>0</v>
      </c>
      <c r="AY331" s="20">
        <f>COUNTIF('CAL2'!A:A,Agenda2526!C332)</f>
        <v>0</v>
      </c>
      <c r="AZ331" s="20">
        <f>COUNTIF('CAL3'!A:A,Agenda2526!C332)</f>
        <v>0</v>
      </c>
      <c r="BA331" s="20">
        <f>COUNTIF('CAL4'!A:A,Agenda2526!C332)</f>
        <v>0</v>
      </c>
      <c r="BB331" s="20">
        <f>COUNTIF('CAL5'!A:A,Agenda2526!C332)</f>
        <v>0</v>
      </c>
      <c r="BC331" s="20">
        <f>COUNTIF('CAL6'!A:A,Agenda2526!C332)</f>
        <v>0</v>
      </c>
      <c r="BD331" s="20">
        <f>COUNTIF('CAL7'!A:A,Agenda2526!C332)</f>
        <v>0</v>
      </c>
      <c r="BE331" s="20">
        <f>COUNTIF('CAL8'!A:A,Agenda2526!C332)</f>
        <v>0</v>
      </c>
    </row>
    <row r="332" spans="1:57" ht="15.75" customHeight="1">
      <c r="A332" s="20" t="str">
        <f ca="1">IF(CALC2223!AX332&gt;0,INDIRECT(ADDRESS(MATCH(Agenda2526!C333,'CAL1'!A:A,0),2,4,1,"CAL1")),"")</f>
        <v/>
      </c>
      <c r="B332" s="21">
        <f ca="1">IF(CALC2223!AX332&gt;0,INDIRECT(ADDRESS(MATCH(Agenda2526!C333,'CAL1'!A:A,0),3,4,1,"CAL1")),0)</f>
        <v>0</v>
      </c>
      <c r="C332" s="20" t="str">
        <f ca="1">IF(CALC2223!AX332&gt;1,INDIRECT(ADDRESS(MATCH(Agenda2526!C333,'CAL1'!A:A,0)+1,2,4,1,"CAL1")),"")</f>
        <v/>
      </c>
      <c r="D332" s="21">
        <f ca="1">IF(CALC2223!AX332&gt;1,INDIRECT(ADDRESS(MATCH(Agenda2526!C333,'CAL1'!A:A,0)+1,3,4,1,"CAL1")),0)</f>
        <v>0</v>
      </c>
      <c r="E332" s="20" t="str">
        <f ca="1">IF(CALC2223!AX332&gt;2,INDIRECT(ADDRESS(MATCH(Agenda2526!C333,'CAL1'!A:A,0)+2,2,4,1,"CAL1")),"")</f>
        <v/>
      </c>
      <c r="F332" s="21">
        <f ca="1">IF(CALC2223!AX332&gt;2,INDIRECT(ADDRESS(MATCH(Agenda2526!C333,'CAL1'!A:A,0)+2,3,4,1,"CAL1")),0)</f>
        <v>0</v>
      </c>
      <c r="G332" s="20" t="str">
        <f ca="1">IF(CALC2223!AY332&gt;0,INDIRECT(ADDRESS(MATCH(Agenda2526!C333,'CAL2'!A:A,0),2,4,1,"CAL2")),"")</f>
        <v/>
      </c>
      <c r="H332" s="21">
        <f ca="1">IF(CALC2223!AY332&gt;0,INDIRECT(ADDRESS(MATCH(Agenda2526!C333,'CAL2'!A:A,0),3,4,1,"CAL2")),0)</f>
        <v>0</v>
      </c>
      <c r="I332" s="20" t="str">
        <f ca="1">IF(CALC2223!AY332&gt;1,INDIRECT(ADDRESS(MATCH(Agenda2526!C333,'CAL2'!A:A,0)+1,2,4,1,"CAL2")),"")</f>
        <v/>
      </c>
      <c r="J332" s="21">
        <f ca="1">IF(CALC2223!AY332&gt;1,INDIRECT(ADDRESS(MATCH(Agenda2526!C333,'CAL2'!A:A,0)+1,3,4,1,"CAL2")),0)</f>
        <v>0</v>
      </c>
      <c r="K332" s="20" t="str">
        <f ca="1">IF(CALC2223!AY332&gt;2,INDIRECT(ADDRESS(MATCH(Agenda2526!C333,'CAL2'!A:A,0)+2,2,4,1,"CAL2")),"")</f>
        <v/>
      </c>
      <c r="L332" s="21">
        <f ca="1">IF(CALC2223!AY332&gt;2,INDIRECT(ADDRESS(MATCH(Agenda2526!C333,'CAL2'!A:A,0)+2,3,4,1,"CAL2")),0)</f>
        <v>0</v>
      </c>
      <c r="M332" s="20" t="str">
        <f ca="1">IF(CALC2223!AZ332&gt;0,INDIRECT(ADDRESS(MATCH(Agenda2526!C333,'CAL3'!A:A,0),2,4,1,"CAL3")),"")</f>
        <v/>
      </c>
      <c r="N332" s="21">
        <f ca="1">IF(CALC2223!AZ332&gt;0,INDIRECT(ADDRESS(MATCH(Agenda2526!C333,'CAL3'!A:A,0),3,4,1,"CAL3")),0)</f>
        <v>0</v>
      </c>
      <c r="O332" s="20" t="str">
        <f ca="1">IF(CALC2223!AZ332&gt;1,INDIRECT(ADDRESS(MATCH(Agenda2526!C333,'CAL3'!A:A,0)+1,2,4,1,"CAL3")),"")</f>
        <v/>
      </c>
      <c r="P332" s="21">
        <f ca="1">IF(CALC2223!AZ332&gt;1,INDIRECT(ADDRESS(MATCH(Agenda2526!C333,'CAL3'!A:A,0)+1,3,4,1,"CAL3")),0)</f>
        <v>0</v>
      </c>
      <c r="Q332" s="20" t="str">
        <f ca="1">IF(CALC2223!AZ332&gt;2,INDIRECT(ADDRESS(MATCH(Agenda2526!C333,'CAL3'!A:A,0)+2,2,4,1,"CAL3")),"")</f>
        <v/>
      </c>
      <c r="R332" s="21">
        <f ca="1">IF(CALC2223!AZ332&gt;2,INDIRECT(ADDRESS(MATCH(Agenda2526!C333,'CAL3'!A:A,0)+2,3,4,1,"CAL3")),0)</f>
        <v>0</v>
      </c>
      <c r="S332" s="20" t="str">
        <f ca="1">IF(CALC2223!BA332&gt;0,INDIRECT(ADDRESS(MATCH(Agenda2526!C333,'CAL4'!A:A,0),2,4,1,"CAL4")),"")</f>
        <v/>
      </c>
      <c r="T332" s="21">
        <f ca="1">IF(CALC2223!BA332&gt;0,INDIRECT(ADDRESS(MATCH(Agenda2526!C333,'CAL4'!A:A,0),3,4,1,"CAL4")),0)</f>
        <v>0</v>
      </c>
      <c r="U332" s="20" t="str">
        <f ca="1">IF(CALC2223!BA332&gt;1,INDIRECT(ADDRESS(MATCH(Agenda2526!C333,'CAL4'!A:A,0)+1,2,4,1,"CAL4")),"")</f>
        <v/>
      </c>
      <c r="V332" s="21">
        <f ca="1">IF(CALC2223!BA332&gt;1,INDIRECT(ADDRESS(MATCH(Agenda2526!C333,'CAL4'!A:A,0)+1,3,4,1,"CAL4")),0)</f>
        <v>0</v>
      </c>
      <c r="W332" s="20" t="str">
        <f ca="1">IF(CALC2223!BA332&gt;2,INDIRECT(ADDRESS(MATCH(Agenda2526!C333,'CAL4'!A:A,0)+2,2,4,1,"CAL4")),"")</f>
        <v/>
      </c>
      <c r="X332" s="21">
        <f ca="1">IF(CALC2223!BA332&gt;2,INDIRECT(ADDRESS(MATCH(Agenda2526!C333,'CAL4'!A:A,0)+2,3,4,1,"CAL4")),0)</f>
        <v>0</v>
      </c>
      <c r="Y332" s="20" t="str">
        <f ca="1">IF(CALC2223!BB332&gt;0,INDIRECT(ADDRESS(MATCH(Agenda2526!C333,'CAL5'!A:A,0),2,4,1,"CAL5")),"")</f>
        <v/>
      </c>
      <c r="Z332" s="21">
        <f ca="1">IF(CALC2223!BB332&gt;0,INDIRECT(ADDRESS(MATCH(Agenda2526!C333,'CAL5'!A:A,0),3,4,1,"CAL5")),0)</f>
        <v>0</v>
      </c>
      <c r="AA332" s="20" t="str">
        <f ca="1">IF(CALC2223!BB332&gt;1,INDIRECT(ADDRESS(MATCH(Agenda2526!C333,'CAL5'!A:A,0)+1,2,4,1,"CAL5")),"")</f>
        <v/>
      </c>
      <c r="AB332" s="21">
        <f ca="1">IF(CALC2223!BB332&gt;1,INDIRECT(ADDRESS(MATCH(Agenda2526!C333,'CAL5'!A:A,0)+1,3,4,1,"CAL5")),0)</f>
        <v>0</v>
      </c>
      <c r="AC332" s="20" t="str">
        <f ca="1">IF(CALC2223!BB332&gt;2,INDIRECT(ADDRESS(MATCH(Agenda2526!C333,'CAL5'!A:A,0)+2,2,4,1,"CAL5")),"")</f>
        <v/>
      </c>
      <c r="AD332" s="21">
        <f ca="1">IF(CALC2223!BB332&gt;2,INDIRECT(ADDRESS(MATCH(Agenda2526!C333,'CAL5'!A:A,0)+2,3,4,1,"CAL5")),0)</f>
        <v>0</v>
      </c>
      <c r="AE332" s="20" t="str">
        <f ca="1">IF(CALC2223!BC332&gt;0,INDIRECT(ADDRESS(MATCH(Agenda2526!C333,'CAL6'!A:A,0),2,4,1,"CAL6")),"")</f>
        <v/>
      </c>
      <c r="AF332" s="21">
        <f ca="1">IF(CALC2223!BC332&gt;0,INDIRECT(ADDRESS(MATCH(Agenda2526!C333,'CAL6'!A:A,0),3,4,1,"CAL6")),0)</f>
        <v>0</v>
      </c>
      <c r="AG332" s="20" t="str">
        <f ca="1">IF(CALC2223!BC332&gt;1,INDIRECT(ADDRESS(MATCH(Agenda2526!C333,'CAL6'!A:A,0)+1,2,4,1,"CAL6")),"")</f>
        <v/>
      </c>
      <c r="AH332" s="21">
        <f ca="1">IF(CALC2223!BC332&gt;1,INDIRECT(ADDRESS(MATCH(Agenda2526!C333,'CAL6'!A:A,0)+1,3,4,1,"CAL6")),0)</f>
        <v>0</v>
      </c>
      <c r="AI332" s="20" t="str">
        <f ca="1">IF(CALC2223!BC332&gt;2,INDIRECT(ADDRESS(MATCH(Agenda2526!C333,'CAL6'!A:A,0)+2,2,4,1,"CAL6")),"")</f>
        <v/>
      </c>
      <c r="AJ332" s="21">
        <f ca="1">IF(CALC2223!BC332&gt;2,INDIRECT(ADDRESS(MATCH(Agenda2526!C333,'CAL6'!A:A,0)+2,3,4,1,"CAL6")),0)</f>
        <v>0</v>
      </c>
      <c r="AK332" s="20" t="str">
        <f ca="1">IF(CALC2223!BD332&gt;0,INDIRECT(ADDRESS(MATCH(Agenda2526!C333,'CAL7'!A:A,0),2,4,1,"CAL7")),"")</f>
        <v/>
      </c>
      <c r="AL332" s="21">
        <f ca="1">IF(CALC2223!BD332&gt;0,INDIRECT(ADDRESS(MATCH(Agenda2526!C333,'CAL7'!A:A,0),3,4,1,"CAL7")),0)</f>
        <v>0</v>
      </c>
      <c r="AM332" s="20" t="str">
        <f ca="1">IF(CALC2223!BD332&gt;1,INDIRECT(ADDRESS(MATCH(Agenda2526!C333,'CAL7'!A:A,0)+1,2,4,1,"CAL7")),"")</f>
        <v/>
      </c>
      <c r="AN332" s="21">
        <f ca="1">IF(CALC2223!BD332&gt;1,INDIRECT(ADDRESS(MATCH(Agenda2526!C333,'CAL7'!A:A,0)+1,3,4,1,"CAL7")),0)</f>
        <v>0</v>
      </c>
      <c r="AO332" s="20" t="str">
        <f ca="1">IF(CALC2223!BD332&gt;2,INDIRECT(ADDRESS(MATCH(Agenda2526!C333,'CAL7'!A:A,0)+2,2,4,1,"CAL7")),"")</f>
        <v/>
      </c>
      <c r="AP332" s="21">
        <f ca="1">IF(CALC2223!BD332&gt;2,INDIRECT(ADDRESS(MATCH(Agenda2526!C333,'CAL7'!A:A,0)+2,3,4,1,"CAL7")),0)</f>
        <v>0</v>
      </c>
      <c r="AQ332" s="20" t="str">
        <f ca="1">IF(CALC2223!BE332&gt;0,INDIRECT(ADDRESS(MATCH(Agenda2526!C333,'CAL8'!A:A,0),2,4,1,"CAL8")),"")</f>
        <v/>
      </c>
      <c r="AR332" s="21">
        <f ca="1">IF(CALC2223!BE332&gt;0,INDIRECT(ADDRESS(MATCH(Agenda2526!C333,'CAL8'!A:A,0),3,4,1,"CAL8")),0)</f>
        <v>0</v>
      </c>
      <c r="AS332" s="20" t="str">
        <f ca="1">IF(CALC2223!BE332&gt;1,INDIRECT(ADDRESS(MATCH(Agenda2526!C333,'CAL8'!A:A,0)+1,2,4,1,"CAL8")),"")</f>
        <v/>
      </c>
      <c r="AT332" s="21">
        <f ca="1">IF(CALC2223!BE332&gt;1,INDIRECT(ADDRESS(MATCH(Agenda2526!C333,'CAL8'!A:A,0)+1,3,4,1,"CAL8")),0)</f>
        <v>0</v>
      </c>
      <c r="AU332" s="20" t="str">
        <f ca="1">IF(CALC2223!BE332&gt;2,INDIRECT(ADDRESS(MATCH(Agenda2526!C333,'CAL8'!A:A,0)+2,2,4,1,"CAL8")),"")</f>
        <v/>
      </c>
      <c r="AV332" s="21">
        <f ca="1">IF(CALC2223!BE332&gt;2,INDIRECT(ADDRESS(MATCH(Agenda2526!C333,'CAL8'!A:A,0)+2,3,4,1,"CAL8")),0)</f>
        <v>0</v>
      </c>
      <c r="AW332" s="107"/>
      <c r="AX332" s="20">
        <f>COUNTIF('CAL1'!A:A,Agenda2526!C333)</f>
        <v>0</v>
      </c>
      <c r="AY332" s="20">
        <f>COUNTIF('CAL2'!A:A,Agenda2526!C333)</f>
        <v>0</v>
      </c>
      <c r="AZ332" s="20">
        <f>COUNTIF('CAL3'!A:A,Agenda2526!C333)</f>
        <v>0</v>
      </c>
      <c r="BA332" s="20">
        <f>COUNTIF('CAL4'!A:A,Agenda2526!C333)</f>
        <v>0</v>
      </c>
      <c r="BB332" s="20">
        <f>COUNTIF('CAL5'!A:A,Agenda2526!C333)</f>
        <v>0</v>
      </c>
      <c r="BC332" s="20">
        <f>COUNTIF('CAL6'!A:A,Agenda2526!C333)</f>
        <v>0</v>
      </c>
      <c r="BD332" s="20">
        <f>COUNTIF('CAL7'!A:A,Agenda2526!C333)</f>
        <v>0</v>
      </c>
      <c r="BE332" s="20">
        <f>COUNTIF('CAL8'!A:A,Agenda2526!C333)</f>
        <v>0</v>
      </c>
    </row>
    <row r="333" spans="1:57" ht="15.75" customHeight="1">
      <c r="A333" s="20" t="str">
        <f ca="1">IF(CALC2223!AX333&gt;0,INDIRECT(ADDRESS(MATCH(Agenda2526!C334,'CAL1'!A:A,0),2,4,1,"CAL1")),"")</f>
        <v/>
      </c>
      <c r="B333" s="21">
        <f ca="1">IF(CALC2223!AX333&gt;0,INDIRECT(ADDRESS(MATCH(Agenda2526!C334,'CAL1'!A:A,0),3,4,1,"CAL1")),0)</f>
        <v>0</v>
      </c>
      <c r="C333" s="20" t="str">
        <f ca="1">IF(CALC2223!AX333&gt;1,INDIRECT(ADDRESS(MATCH(Agenda2526!C334,'CAL1'!A:A,0)+1,2,4,1,"CAL1")),"")</f>
        <v/>
      </c>
      <c r="D333" s="21">
        <f ca="1">IF(CALC2223!AX333&gt;1,INDIRECT(ADDRESS(MATCH(Agenda2526!C334,'CAL1'!A:A,0)+1,3,4,1,"CAL1")),0)</f>
        <v>0</v>
      </c>
      <c r="E333" s="20" t="str">
        <f ca="1">IF(CALC2223!AX333&gt;2,INDIRECT(ADDRESS(MATCH(Agenda2526!C334,'CAL1'!A:A,0)+2,2,4,1,"CAL1")),"")</f>
        <v/>
      </c>
      <c r="F333" s="21">
        <f ca="1">IF(CALC2223!AX333&gt;2,INDIRECT(ADDRESS(MATCH(Agenda2526!C334,'CAL1'!A:A,0)+2,3,4,1,"CAL1")),0)</f>
        <v>0</v>
      </c>
      <c r="G333" s="20" t="str">
        <f ca="1">IF(CALC2223!AY333&gt;0,INDIRECT(ADDRESS(MATCH(Agenda2526!C334,'CAL2'!A:A,0),2,4,1,"CAL2")),"")</f>
        <v/>
      </c>
      <c r="H333" s="21">
        <f ca="1">IF(CALC2223!AY333&gt;0,INDIRECT(ADDRESS(MATCH(Agenda2526!C334,'CAL2'!A:A,0),3,4,1,"CAL2")),0)</f>
        <v>0</v>
      </c>
      <c r="I333" s="20" t="str">
        <f ca="1">IF(CALC2223!AY333&gt;1,INDIRECT(ADDRESS(MATCH(Agenda2526!C334,'CAL2'!A:A,0)+1,2,4,1,"CAL2")),"")</f>
        <v/>
      </c>
      <c r="J333" s="21">
        <f ca="1">IF(CALC2223!AY333&gt;1,INDIRECT(ADDRESS(MATCH(Agenda2526!C334,'CAL2'!A:A,0)+1,3,4,1,"CAL2")),0)</f>
        <v>0</v>
      </c>
      <c r="K333" s="20" t="str">
        <f ca="1">IF(CALC2223!AY333&gt;2,INDIRECT(ADDRESS(MATCH(Agenda2526!C334,'CAL2'!A:A,0)+2,2,4,1,"CAL2")),"")</f>
        <v/>
      </c>
      <c r="L333" s="21">
        <f ca="1">IF(CALC2223!AY333&gt;2,INDIRECT(ADDRESS(MATCH(Agenda2526!C334,'CAL2'!A:A,0)+2,3,4,1,"CAL2")),0)</f>
        <v>0</v>
      </c>
      <c r="M333" s="20" t="str">
        <f ca="1">IF(CALC2223!AZ333&gt;0,INDIRECT(ADDRESS(MATCH(Agenda2526!C334,'CAL3'!A:A,0),2,4,1,"CAL3")),"")</f>
        <v/>
      </c>
      <c r="N333" s="21">
        <f ca="1">IF(CALC2223!AZ333&gt;0,INDIRECT(ADDRESS(MATCH(Agenda2526!C334,'CAL3'!A:A,0),3,4,1,"CAL3")),0)</f>
        <v>0</v>
      </c>
      <c r="O333" s="20" t="str">
        <f ca="1">IF(CALC2223!AZ333&gt;1,INDIRECT(ADDRESS(MATCH(Agenda2526!C334,'CAL3'!A:A,0)+1,2,4,1,"CAL3")),"")</f>
        <v/>
      </c>
      <c r="P333" s="21">
        <f ca="1">IF(CALC2223!AZ333&gt;1,INDIRECT(ADDRESS(MATCH(Agenda2526!C334,'CAL3'!A:A,0)+1,3,4,1,"CAL3")),0)</f>
        <v>0</v>
      </c>
      <c r="Q333" s="20" t="str">
        <f ca="1">IF(CALC2223!AZ333&gt;2,INDIRECT(ADDRESS(MATCH(Agenda2526!C334,'CAL3'!A:A,0)+2,2,4,1,"CAL3")),"")</f>
        <v/>
      </c>
      <c r="R333" s="21">
        <f ca="1">IF(CALC2223!AZ333&gt;2,INDIRECT(ADDRESS(MATCH(Agenda2526!C334,'CAL3'!A:A,0)+2,3,4,1,"CAL3")),0)</f>
        <v>0</v>
      </c>
      <c r="S333" s="20" t="str">
        <f ca="1">IF(CALC2223!BA333&gt;0,INDIRECT(ADDRESS(MATCH(Agenda2526!C334,'CAL4'!A:A,0),2,4,1,"CAL4")),"")</f>
        <v/>
      </c>
      <c r="T333" s="21">
        <f ca="1">IF(CALC2223!BA333&gt;0,INDIRECT(ADDRESS(MATCH(Agenda2526!C334,'CAL4'!A:A,0),3,4,1,"CAL4")),0)</f>
        <v>0</v>
      </c>
      <c r="U333" s="20" t="str">
        <f ca="1">IF(CALC2223!BA333&gt;1,INDIRECT(ADDRESS(MATCH(Agenda2526!C334,'CAL4'!A:A,0)+1,2,4,1,"CAL4")),"")</f>
        <v/>
      </c>
      <c r="V333" s="21">
        <f ca="1">IF(CALC2223!BA333&gt;1,INDIRECT(ADDRESS(MATCH(Agenda2526!C334,'CAL4'!A:A,0)+1,3,4,1,"CAL4")),0)</f>
        <v>0</v>
      </c>
      <c r="W333" s="20" t="str">
        <f ca="1">IF(CALC2223!BA333&gt;2,INDIRECT(ADDRESS(MATCH(Agenda2526!C334,'CAL4'!A:A,0)+2,2,4,1,"CAL4")),"")</f>
        <v/>
      </c>
      <c r="X333" s="21">
        <f ca="1">IF(CALC2223!BA333&gt;2,INDIRECT(ADDRESS(MATCH(Agenda2526!C334,'CAL4'!A:A,0)+2,3,4,1,"CAL4")),0)</f>
        <v>0</v>
      </c>
      <c r="Y333" s="20" t="str">
        <f ca="1">IF(CALC2223!BB333&gt;0,INDIRECT(ADDRESS(MATCH(Agenda2526!C334,'CAL5'!A:A,0),2,4,1,"CAL5")),"")</f>
        <v/>
      </c>
      <c r="Z333" s="21">
        <f ca="1">IF(CALC2223!BB333&gt;0,INDIRECT(ADDRESS(MATCH(Agenda2526!C334,'CAL5'!A:A,0),3,4,1,"CAL5")),0)</f>
        <v>0</v>
      </c>
      <c r="AA333" s="20" t="str">
        <f ca="1">IF(CALC2223!BB333&gt;1,INDIRECT(ADDRESS(MATCH(Agenda2526!C334,'CAL5'!A:A,0)+1,2,4,1,"CAL5")),"")</f>
        <v/>
      </c>
      <c r="AB333" s="21">
        <f ca="1">IF(CALC2223!BB333&gt;1,INDIRECT(ADDRESS(MATCH(Agenda2526!C334,'CAL5'!A:A,0)+1,3,4,1,"CAL5")),0)</f>
        <v>0</v>
      </c>
      <c r="AC333" s="20" t="str">
        <f ca="1">IF(CALC2223!BB333&gt;2,INDIRECT(ADDRESS(MATCH(Agenda2526!C334,'CAL5'!A:A,0)+2,2,4,1,"CAL5")),"")</f>
        <v/>
      </c>
      <c r="AD333" s="21">
        <f ca="1">IF(CALC2223!BB333&gt;2,INDIRECT(ADDRESS(MATCH(Agenda2526!C334,'CAL5'!A:A,0)+2,3,4,1,"CAL5")),0)</f>
        <v>0</v>
      </c>
      <c r="AE333" s="20" t="str">
        <f ca="1">IF(CALC2223!BC333&gt;0,INDIRECT(ADDRESS(MATCH(Agenda2526!C334,'CAL6'!A:A,0),2,4,1,"CAL6")),"")</f>
        <v/>
      </c>
      <c r="AF333" s="21">
        <f ca="1">IF(CALC2223!BC333&gt;0,INDIRECT(ADDRESS(MATCH(Agenda2526!C334,'CAL6'!A:A,0),3,4,1,"CAL6")),0)</f>
        <v>0</v>
      </c>
      <c r="AG333" s="20" t="str">
        <f ca="1">IF(CALC2223!BC333&gt;1,INDIRECT(ADDRESS(MATCH(Agenda2526!C334,'CAL6'!A:A,0)+1,2,4,1,"CAL6")),"")</f>
        <v/>
      </c>
      <c r="AH333" s="21">
        <f ca="1">IF(CALC2223!BC333&gt;1,INDIRECT(ADDRESS(MATCH(Agenda2526!C334,'CAL6'!A:A,0)+1,3,4,1,"CAL6")),0)</f>
        <v>0</v>
      </c>
      <c r="AI333" s="20" t="str">
        <f ca="1">IF(CALC2223!BC333&gt;2,INDIRECT(ADDRESS(MATCH(Agenda2526!C334,'CAL6'!A:A,0)+2,2,4,1,"CAL6")),"")</f>
        <v/>
      </c>
      <c r="AJ333" s="21">
        <f ca="1">IF(CALC2223!BC333&gt;2,INDIRECT(ADDRESS(MATCH(Agenda2526!C334,'CAL6'!A:A,0)+2,3,4,1,"CAL6")),0)</f>
        <v>0</v>
      </c>
      <c r="AK333" s="20" t="str">
        <f ca="1">IF(CALC2223!BD333&gt;0,INDIRECT(ADDRESS(MATCH(Agenda2526!C334,'CAL7'!A:A,0),2,4,1,"CAL7")),"")</f>
        <v/>
      </c>
      <c r="AL333" s="21">
        <f ca="1">IF(CALC2223!BD333&gt;0,INDIRECT(ADDRESS(MATCH(Agenda2526!C334,'CAL7'!A:A,0),3,4,1,"CAL7")),0)</f>
        <v>0</v>
      </c>
      <c r="AM333" s="20" t="str">
        <f ca="1">IF(CALC2223!BD333&gt;1,INDIRECT(ADDRESS(MATCH(Agenda2526!C334,'CAL7'!A:A,0)+1,2,4,1,"CAL7")),"")</f>
        <v/>
      </c>
      <c r="AN333" s="21">
        <f ca="1">IF(CALC2223!BD333&gt;1,INDIRECT(ADDRESS(MATCH(Agenda2526!C334,'CAL7'!A:A,0)+1,3,4,1,"CAL7")),0)</f>
        <v>0</v>
      </c>
      <c r="AO333" s="20" t="str">
        <f ca="1">IF(CALC2223!BD333&gt;2,INDIRECT(ADDRESS(MATCH(Agenda2526!C334,'CAL7'!A:A,0)+2,2,4,1,"CAL7")),"")</f>
        <v/>
      </c>
      <c r="AP333" s="21">
        <f ca="1">IF(CALC2223!BD333&gt;2,INDIRECT(ADDRESS(MATCH(Agenda2526!C334,'CAL7'!A:A,0)+2,3,4,1,"CAL7")),0)</f>
        <v>0</v>
      </c>
      <c r="AQ333" s="20" t="str">
        <f ca="1">IF(CALC2223!BE333&gt;0,INDIRECT(ADDRESS(MATCH(Agenda2526!C334,'CAL8'!A:A,0),2,4,1,"CAL8")),"")</f>
        <v/>
      </c>
      <c r="AR333" s="21">
        <f ca="1">IF(CALC2223!BE333&gt;0,INDIRECT(ADDRESS(MATCH(Agenda2526!C334,'CAL8'!A:A,0),3,4,1,"CAL8")),0)</f>
        <v>0</v>
      </c>
      <c r="AS333" s="20" t="str">
        <f ca="1">IF(CALC2223!BE333&gt;1,INDIRECT(ADDRESS(MATCH(Agenda2526!C334,'CAL8'!A:A,0)+1,2,4,1,"CAL8")),"")</f>
        <v/>
      </c>
      <c r="AT333" s="21">
        <f ca="1">IF(CALC2223!BE333&gt;1,INDIRECT(ADDRESS(MATCH(Agenda2526!C334,'CAL8'!A:A,0)+1,3,4,1,"CAL8")),0)</f>
        <v>0</v>
      </c>
      <c r="AU333" s="20" t="str">
        <f ca="1">IF(CALC2223!BE333&gt;2,INDIRECT(ADDRESS(MATCH(Agenda2526!C334,'CAL8'!A:A,0)+2,2,4,1,"CAL8")),"")</f>
        <v/>
      </c>
      <c r="AV333" s="21">
        <f ca="1">IF(CALC2223!BE333&gt;2,INDIRECT(ADDRESS(MATCH(Agenda2526!C334,'CAL8'!A:A,0)+2,3,4,1,"CAL8")),0)</f>
        <v>0</v>
      </c>
      <c r="AW333" s="107"/>
      <c r="AX333" s="20">
        <f>COUNTIF('CAL1'!A:A,Agenda2526!C334)</f>
        <v>0</v>
      </c>
      <c r="AY333" s="20">
        <f>COUNTIF('CAL2'!A:A,Agenda2526!C334)</f>
        <v>0</v>
      </c>
      <c r="AZ333" s="20">
        <f>COUNTIF('CAL3'!A:A,Agenda2526!C334)</f>
        <v>0</v>
      </c>
      <c r="BA333" s="20">
        <f>COUNTIF('CAL4'!A:A,Agenda2526!C334)</f>
        <v>0</v>
      </c>
      <c r="BB333" s="20">
        <f>COUNTIF('CAL5'!A:A,Agenda2526!C334)</f>
        <v>0</v>
      </c>
      <c r="BC333" s="20">
        <f>COUNTIF('CAL6'!A:A,Agenda2526!C334)</f>
        <v>0</v>
      </c>
      <c r="BD333" s="20">
        <f>COUNTIF('CAL7'!A:A,Agenda2526!C334)</f>
        <v>0</v>
      </c>
      <c r="BE333" s="20">
        <f>COUNTIF('CAL8'!A:A,Agenda2526!C334)</f>
        <v>0</v>
      </c>
    </row>
    <row r="334" spans="1:57" ht="15.75" customHeight="1">
      <c r="A334" s="20" t="str">
        <f ca="1">IF(CALC2223!AX334&gt;0,INDIRECT(ADDRESS(MATCH(Agenda2526!C335,'CAL1'!A:A,0),2,4,1,"CAL1")),"")</f>
        <v/>
      </c>
      <c r="B334" s="21">
        <f ca="1">IF(CALC2223!AX334&gt;0,INDIRECT(ADDRESS(MATCH(Agenda2526!C335,'CAL1'!A:A,0),3,4,1,"CAL1")),0)</f>
        <v>0</v>
      </c>
      <c r="C334" s="20" t="str">
        <f ca="1">IF(CALC2223!AX334&gt;1,INDIRECT(ADDRESS(MATCH(Agenda2526!C335,'CAL1'!A:A,0)+1,2,4,1,"CAL1")),"")</f>
        <v/>
      </c>
      <c r="D334" s="21">
        <f ca="1">IF(CALC2223!AX334&gt;1,INDIRECT(ADDRESS(MATCH(Agenda2526!C335,'CAL1'!A:A,0)+1,3,4,1,"CAL1")),0)</f>
        <v>0</v>
      </c>
      <c r="E334" s="20" t="str">
        <f ca="1">IF(CALC2223!AX334&gt;2,INDIRECT(ADDRESS(MATCH(Agenda2526!C335,'CAL1'!A:A,0)+2,2,4,1,"CAL1")),"")</f>
        <v/>
      </c>
      <c r="F334" s="21">
        <f ca="1">IF(CALC2223!AX334&gt;2,INDIRECT(ADDRESS(MATCH(Agenda2526!C335,'CAL1'!A:A,0)+2,3,4,1,"CAL1")),0)</f>
        <v>0</v>
      </c>
      <c r="G334" s="20" t="str">
        <f ca="1">IF(CALC2223!AY334&gt;0,INDIRECT(ADDRESS(MATCH(Agenda2526!C335,'CAL2'!A:A,0),2,4,1,"CAL2")),"")</f>
        <v/>
      </c>
      <c r="H334" s="21">
        <f ca="1">IF(CALC2223!AY334&gt;0,INDIRECT(ADDRESS(MATCH(Agenda2526!C335,'CAL2'!A:A,0),3,4,1,"CAL2")),0)</f>
        <v>0</v>
      </c>
      <c r="I334" s="20" t="str">
        <f ca="1">IF(CALC2223!AY334&gt;1,INDIRECT(ADDRESS(MATCH(Agenda2526!C335,'CAL2'!A:A,0)+1,2,4,1,"CAL2")),"")</f>
        <v/>
      </c>
      <c r="J334" s="21">
        <f ca="1">IF(CALC2223!AY334&gt;1,INDIRECT(ADDRESS(MATCH(Agenda2526!C335,'CAL2'!A:A,0)+1,3,4,1,"CAL2")),0)</f>
        <v>0</v>
      </c>
      <c r="K334" s="20" t="str">
        <f ca="1">IF(CALC2223!AY334&gt;2,INDIRECT(ADDRESS(MATCH(Agenda2526!C335,'CAL2'!A:A,0)+2,2,4,1,"CAL2")),"")</f>
        <v/>
      </c>
      <c r="L334" s="21">
        <f ca="1">IF(CALC2223!AY334&gt;2,INDIRECT(ADDRESS(MATCH(Agenda2526!C335,'CAL2'!A:A,0)+2,3,4,1,"CAL2")),0)</f>
        <v>0</v>
      </c>
      <c r="M334" s="20" t="str">
        <f ca="1">IF(CALC2223!AZ334&gt;0,INDIRECT(ADDRESS(MATCH(Agenda2526!C335,'CAL3'!A:A,0),2,4,1,"CAL3")),"")</f>
        <v/>
      </c>
      <c r="N334" s="21">
        <f ca="1">IF(CALC2223!AZ334&gt;0,INDIRECT(ADDRESS(MATCH(Agenda2526!C335,'CAL3'!A:A,0),3,4,1,"CAL3")),0)</f>
        <v>0</v>
      </c>
      <c r="O334" s="20" t="str">
        <f ca="1">IF(CALC2223!AZ334&gt;1,INDIRECT(ADDRESS(MATCH(Agenda2526!C335,'CAL3'!A:A,0)+1,2,4,1,"CAL3")),"")</f>
        <v/>
      </c>
      <c r="P334" s="21">
        <f ca="1">IF(CALC2223!AZ334&gt;1,INDIRECT(ADDRESS(MATCH(Agenda2526!C335,'CAL3'!A:A,0)+1,3,4,1,"CAL3")),0)</f>
        <v>0</v>
      </c>
      <c r="Q334" s="20" t="str">
        <f ca="1">IF(CALC2223!AZ334&gt;2,INDIRECT(ADDRESS(MATCH(Agenda2526!C335,'CAL3'!A:A,0)+2,2,4,1,"CAL3")),"")</f>
        <v/>
      </c>
      <c r="R334" s="21">
        <f ca="1">IF(CALC2223!AZ334&gt;2,INDIRECT(ADDRESS(MATCH(Agenda2526!C335,'CAL3'!A:A,0)+2,3,4,1,"CAL3")),0)</f>
        <v>0</v>
      </c>
      <c r="S334" s="20" t="str">
        <f ca="1">IF(CALC2223!BA334&gt;0,INDIRECT(ADDRESS(MATCH(Agenda2526!C335,'CAL4'!A:A,0),2,4,1,"CAL4")),"")</f>
        <v/>
      </c>
      <c r="T334" s="21">
        <f ca="1">IF(CALC2223!BA334&gt;0,INDIRECT(ADDRESS(MATCH(Agenda2526!C335,'CAL4'!A:A,0),3,4,1,"CAL4")),0)</f>
        <v>0</v>
      </c>
      <c r="U334" s="20" t="str">
        <f ca="1">IF(CALC2223!BA334&gt;1,INDIRECT(ADDRESS(MATCH(Agenda2526!C335,'CAL4'!A:A,0)+1,2,4,1,"CAL4")),"")</f>
        <v/>
      </c>
      <c r="V334" s="21">
        <f ca="1">IF(CALC2223!BA334&gt;1,INDIRECT(ADDRESS(MATCH(Agenda2526!C335,'CAL4'!A:A,0)+1,3,4,1,"CAL4")),0)</f>
        <v>0</v>
      </c>
      <c r="W334" s="20" t="str">
        <f ca="1">IF(CALC2223!BA334&gt;2,INDIRECT(ADDRESS(MATCH(Agenda2526!C335,'CAL4'!A:A,0)+2,2,4,1,"CAL4")),"")</f>
        <v/>
      </c>
      <c r="X334" s="21">
        <f ca="1">IF(CALC2223!BA334&gt;2,INDIRECT(ADDRESS(MATCH(Agenda2526!C335,'CAL4'!A:A,0)+2,3,4,1,"CAL4")),0)</f>
        <v>0</v>
      </c>
      <c r="Y334" s="20" t="str">
        <f ca="1">IF(CALC2223!BB334&gt;0,INDIRECT(ADDRESS(MATCH(Agenda2526!C335,'CAL5'!A:A,0),2,4,1,"CAL5")),"")</f>
        <v/>
      </c>
      <c r="Z334" s="21">
        <f ca="1">IF(CALC2223!BB334&gt;0,INDIRECT(ADDRESS(MATCH(Agenda2526!C335,'CAL5'!A:A,0),3,4,1,"CAL5")),0)</f>
        <v>0</v>
      </c>
      <c r="AA334" s="20" t="str">
        <f ca="1">IF(CALC2223!BB334&gt;1,INDIRECT(ADDRESS(MATCH(Agenda2526!C335,'CAL5'!A:A,0)+1,2,4,1,"CAL5")),"")</f>
        <v/>
      </c>
      <c r="AB334" s="21">
        <f ca="1">IF(CALC2223!BB334&gt;1,INDIRECT(ADDRESS(MATCH(Agenda2526!C335,'CAL5'!A:A,0)+1,3,4,1,"CAL5")),0)</f>
        <v>0</v>
      </c>
      <c r="AC334" s="20" t="str">
        <f ca="1">IF(CALC2223!BB334&gt;2,INDIRECT(ADDRESS(MATCH(Agenda2526!C335,'CAL5'!A:A,0)+2,2,4,1,"CAL5")),"")</f>
        <v/>
      </c>
      <c r="AD334" s="21">
        <f ca="1">IF(CALC2223!BB334&gt;2,INDIRECT(ADDRESS(MATCH(Agenda2526!C335,'CAL5'!A:A,0)+2,3,4,1,"CAL5")),0)</f>
        <v>0</v>
      </c>
      <c r="AE334" s="20" t="str">
        <f ca="1">IF(CALC2223!BC334&gt;0,INDIRECT(ADDRESS(MATCH(Agenda2526!C335,'CAL6'!A:A,0),2,4,1,"CAL6")),"")</f>
        <v/>
      </c>
      <c r="AF334" s="21">
        <f ca="1">IF(CALC2223!BC334&gt;0,INDIRECT(ADDRESS(MATCH(Agenda2526!C335,'CAL6'!A:A,0),3,4,1,"CAL6")),0)</f>
        <v>0</v>
      </c>
      <c r="AG334" s="20" t="str">
        <f ca="1">IF(CALC2223!BC334&gt;1,INDIRECT(ADDRESS(MATCH(Agenda2526!C335,'CAL6'!A:A,0)+1,2,4,1,"CAL6")),"")</f>
        <v/>
      </c>
      <c r="AH334" s="21">
        <f ca="1">IF(CALC2223!BC334&gt;1,INDIRECT(ADDRESS(MATCH(Agenda2526!C335,'CAL6'!A:A,0)+1,3,4,1,"CAL6")),0)</f>
        <v>0</v>
      </c>
      <c r="AI334" s="20" t="str">
        <f ca="1">IF(CALC2223!BC334&gt;2,INDIRECT(ADDRESS(MATCH(Agenda2526!C335,'CAL6'!A:A,0)+2,2,4,1,"CAL6")),"")</f>
        <v/>
      </c>
      <c r="AJ334" s="21">
        <f ca="1">IF(CALC2223!BC334&gt;2,INDIRECT(ADDRESS(MATCH(Agenda2526!C335,'CAL6'!A:A,0)+2,3,4,1,"CAL6")),0)</f>
        <v>0</v>
      </c>
      <c r="AK334" s="20" t="str">
        <f ca="1">IF(CALC2223!BD334&gt;0,INDIRECT(ADDRESS(MATCH(Agenda2526!C335,'CAL7'!A:A,0),2,4,1,"CAL7")),"")</f>
        <v/>
      </c>
      <c r="AL334" s="21">
        <f ca="1">IF(CALC2223!BD334&gt;0,INDIRECT(ADDRESS(MATCH(Agenda2526!C335,'CAL7'!A:A,0),3,4,1,"CAL7")),0)</f>
        <v>0</v>
      </c>
      <c r="AM334" s="20" t="str">
        <f ca="1">IF(CALC2223!BD334&gt;1,INDIRECT(ADDRESS(MATCH(Agenda2526!C335,'CAL7'!A:A,0)+1,2,4,1,"CAL7")),"")</f>
        <v/>
      </c>
      <c r="AN334" s="21">
        <f ca="1">IF(CALC2223!BD334&gt;1,INDIRECT(ADDRESS(MATCH(Agenda2526!C335,'CAL7'!A:A,0)+1,3,4,1,"CAL7")),0)</f>
        <v>0</v>
      </c>
      <c r="AO334" s="20" t="str">
        <f ca="1">IF(CALC2223!BD334&gt;2,INDIRECT(ADDRESS(MATCH(Agenda2526!C335,'CAL7'!A:A,0)+2,2,4,1,"CAL7")),"")</f>
        <v/>
      </c>
      <c r="AP334" s="21">
        <f ca="1">IF(CALC2223!BD334&gt;2,INDIRECT(ADDRESS(MATCH(Agenda2526!C335,'CAL7'!A:A,0)+2,3,4,1,"CAL7")),0)</f>
        <v>0</v>
      </c>
      <c r="AQ334" s="20" t="str">
        <f ca="1">IF(CALC2223!BE334&gt;0,INDIRECT(ADDRESS(MATCH(Agenda2526!C335,'CAL8'!A:A,0),2,4,1,"CAL8")),"")</f>
        <v/>
      </c>
      <c r="AR334" s="21">
        <f ca="1">IF(CALC2223!BE334&gt;0,INDIRECT(ADDRESS(MATCH(Agenda2526!C335,'CAL8'!A:A,0),3,4,1,"CAL8")),0)</f>
        <v>0</v>
      </c>
      <c r="AS334" s="20" t="str">
        <f ca="1">IF(CALC2223!BE334&gt;1,INDIRECT(ADDRESS(MATCH(Agenda2526!C335,'CAL8'!A:A,0)+1,2,4,1,"CAL8")),"")</f>
        <v/>
      </c>
      <c r="AT334" s="21">
        <f ca="1">IF(CALC2223!BE334&gt;1,INDIRECT(ADDRESS(MATCH(Agenda2526!C335,'CAL8'!A:A,0)+1,3,4,1,"CAL8")),0)</f>
        <v>0</v>
      </c>
      <c r="AU334" s="20" t="str">
        <f ca="1">IF(CALC2223!BE334&gt;2,INDIRECT(ADDRESS(MATCH(Agenda2526!C335,'CAL8'!A:A,0)+2,2,4,1,"CAL8")),"")</f>
        <v/>
      </c>
      <c r="AV334" s="21">
        <f ca="1">IF(CALC2223!BE334&gt;2,INDIRECT(ADDRESS(MATCH(Agenda2526!C335,'CAL8'!A:A,0)+2,3,4,1,"CAL8")),0)</f>
        <v>0</v>
      </c>
      <c r="AW334" s="107"/>
      <c r="AX334" s="20">
        <f>COUNTIF('CAL1'!A:A,Agenda2526!C335)</f>
        <v>0</v>
      </c>
      <c r="AY334" s="20">
        <f>COUNTIF('CAL2'!A:A,Agenda2526!C335)</f>
        <v>0</v>
      </c>
      <c r="AZ334" s="20">
        <f>COUNTIF('CAL3'!A:A,Agenda2526!C335)</f>
        <v>0</v>
      </c>
      <c r="BA334" s="20">
        <f>COUNTIF('CAL4'!A:A,Agenda2526!C335)</f>
        <v>0</v>
      </c>
      <c r="BB334" s="20">
        <f>COUNTIF('CAL5'!A:A,Agenda2526!C335)</f>
        <v>0</v>
      </c>
      <c r="BC334" s="20">
        <f>COUNTIF('CAL6'!A:A,Agenda2526!C335)</f>
        <v>0</v>
      </c>
      <c r="BD334" s="20">
        <f>COUNTIF('CAL7'!A:A,Agenda2526!C335)</f>
        <v>0</v>
      </c>
      <c r="BE334" s="20">
        <f>COUNTIF('CAL8'!A:A,Agenda2526!C335)</f>
        <v>0</v>
      </c>
    </row>
    <row r="335" spans="1:57" ht="15.75" customHeight="1">
      <c r="A335" s="20" t="str">
        <f ca="1">IF(CALC2223!AX335&gt;0,INDIRECT(ADDRESS(MATCH(Agenda2526!C336,'CAL1'!A:A,0),2,4,1,"CAL1")),"")</f>
        <v/>
      </c>
      <c r="B335" s="21">
        <f ca="1">IF(CALC2223!AX335&gt;0,INDIRECT(ADDRESS(MATCH(Agenda2526!C336,'CAL1'!A:A,0),3,4,1,"CAL1")),0)</f>
        <v>0</v>
      </c>
      <c r="C335" s="20" t="str">
        <f ca="1">IF(CALC2223!AX335&gt;1,INDIRECT(ADDRESS(MATCH(Agenda2526!C336,'CAL1'!A:A,0)+1,2,4,1,"CAL1")),"")</f>
        <v/>
      </c>
      <c r="D335" s="21">
        <f ca="1">IF(CALC2223!AX335&gt;1,INDIRECT(ADDRESS(MATCH(Agenda2526!C336,'CAL1'!A:A,0)+1,3,4,1,"CAL1")),0)</f>
        <v>0</v>
      </c>
      <c r="E335" s="20" t="str">
        <f ca="1">IF(CALC2223!AX335&gt;2,INDIRECT(ADDRESS(MATCH(Agenda2526!C336,'CAL1'!A:A,0)+2,2,4,1,"CAL1")),"")</f>
        <v/>
      </c>
      <c r="F335" s="21">
        <f ca="1">IF(CALC2223!AX335&gt;2,INDIRECT(ADDRESS(MATCH(Agenda2526!C336,'CAL1'!A:A,0)+2,3,4,1,"CAL1")),0)</f>
        <v>0</v>
      </c>
      <c r="G335" s="20" t="str">
        <f ca="1">IF(CALC2223!AY335&gt;0,INDIRECT(ADDRESS(MATCH(Agenda2526!C336,'CAL2'!A:A,0),2,4,1,"CAL2")),"")</f>
        <v/>
      </c>
      <c r="H335" s="21">
        <f ca="1">IF(CALC2223!AY335&gt;0,INDIRECT(ADDRESS(MATCH(Agenda2526!C336,'CAL2'!A:A,0),3,4,1,"CAL2")),0)</f>
        <v>0</v>
      </c>
      <c r="I335" s="20" t="str">
        <f ca="1">IF(CALC2223!AY335&gt;1,INDIRECT(ADDRESS(MATCH(Agenda2526!C336,'CAL2'!A:A,0)+1,2,4,1,"CAL2")),"")</f>
        <v/>
      </c>
      <c r="J335" s="21">
        <f ca="1">IF(CALC2223!AY335&gt;1,INDIRECT(ADDRESS(MATCH(Agenda2526!C336,'CAL2'!A:A,0)+1,3,4,1,"CAL2")),0)</f>
        <v>0</v>
      </c>
      <c r="K335" s="20" t="str">
        <f ca="1">IF(CALC2223!AY335&gt;2,INDIRECT(ADDRESS(MATCH(Agenda2526!C336,'CAL2'!A:A,0)+2,2,4,1,"CAL2")),"")</f>
        <v/>
      </c>
      <c r="L335" s="21">
        <f ca="1">IF(CALC2223!AY335&gt;2,INDIRECT(ADDRESS(MATCH(Agenda2526!C336,'CAL2'!A:A,0)+2,3,4,1,"CAL2")),0)</f>
        <v>0</v>
      </c>
      <c r="M335" s="20" t="str">
        <f ca="1">IF(CALC2223!AZ335&gt;0,INDIRECT(ADDRESS(MATCH(Agenda2526!C336,'CAL3'!A:A,0),2,4,1,"CAL3")),"")</f>
        <v/>
      </c>
      <c r="N335" s="21">
        <f ca="1">IF(CALC2223!AZ335&gt;0,INDIRECT(ADDRESS(MATCH(Agenda2526!C336,'CAL3'!A:A,0),3,4,1,"CAL3")),0)</f>
        <v>0</v>
      </c>
      <c r="O335" s="20" t="str">
        <f ca="1">IF(CALC2223!AZ335&gt;1,INDIRECT(ADDRESS(MATCH(Agenda2526!C336,'CAL3'!A:A,0)+1,2,4,1,"CAL3")),"")</f>
        <v/>
      </c>
      <c r="P335" s="21">
        <f ca="1">IF(CALC2223!AZ335&gt;1,INDIRECT(ADDRESS(MATCH(Agenda2526!C336,'CAL3'!A:A,0)+1,3,4,1,"CAL3")),0)</f>
        <v>0</v>
      </c>
      <c r="Q335" s="20" t="str">
        <f ca="1">IF(CALC2223!AZ335&gt;2,INDIRECT(ADDRESS(MATCH(Agenda2526!C336,'CAL3'!A:A,0)+2,2,4,1,"CAL3")),"")</f>
        <v/>
      </c>
      <c r="R335" s="21">
        <f ca="1">IF(CALC2223!AZ335&gt;2,INDIRECT(ADDRESS(MATCH(Agenda2526!C336,'CAL3'!A:A,0)+2,3,4,1,"CAL3")),0)</f>
        <v>0</v>
      </c>
      <c r="S335" s="20" t="str">
        <f ca="1">IF(CALC2223!BA335&gt;0,INDIRECT(ADDRESS(MATCH(Agenda2526!C336,'CAL4'!A:A,0),2,4,1,"CAL4")),"")</f>
        <v/>
      </c>
      <c r="T335" s="21">
        <f ca="1">IF(CALC2223!BA335&gt;0,INDIRECT(ADDRESS(MATCH(Agenda2526!C336,'CAL4'!A:A,0),3,4,1,"CAL4")),0)</f>
        <v>0</v>
      </c>
      <c r="U335" s="20" t="str">
        <f ca="1">IF(CALC2223!BA335&gt;1,INDIRECT(ADDRESS(MATCH(Agenda2526!C336,'CAL4'!A:A,0)+1,2,4,1,"CAL4")),"")</f>
        <v/>
      </c>
      <c r="V335" s="21">
        <f ca="1">IF(CALC2223!BA335&gt;1,INDIRECT(ADDRESS(MATCH(Agenda2526!C336,'CAL4'!A:A,0)+1,3,4,1,"CAL4")),0)</f>
        <v>0</v>
      </c>
      <c r="W335" s="20" t="str">
        <f ca="1">IF(CALC2223!BA335&gt;2,INDIRECT(ADDRESS(MATCH(Agenda2526!C336,'CAL4'!A:A,0)+2,2,4,1,"CAL4")),"")</f>
        <v/>
      </c>
      <c r="X335" s="21">
        <f ca="1">IF(CALC2223!BA335&gt;2,INDIRECT(ADDRESS(MATCH(Agenda2526!C336,'CAL4'!A:A,0)+2,3,4,1,"CAL4")),0)</f>
        <v>0</v>
      </c>
      <c r="Y335" s="20" t="str">
        <f ca="1">IF(CALC2223!BB335&gt;0,INDIRECT(ADDRESS(MATCH(Agenda2526!C336,'CAL5'!A:A,0),2,4,1,"CAL5")),"")</f>
        <v/>
      </c>
      <c r="Z335" s="21">
        <f ca="1">IF(CALC2223!BB335&gt;0,INDIRECT(ADDRESS(MATCH(Agenda2526!C336,'CAL5'!A:A,0),3,4,1,"CAL5")),0)</f>
        <v>0</v>
      </c>
      <c r="AA335" s="20" t="str">
        <f ca="1">IF(CALC2223!BB335&gt;1,INDIRECT(ADDRESS(MATCH(Agenda2526!C336,'CAL5'!A:A,0)+1,2,4,1,"CAL5")),"")</f>
        <v/>
      </c>
      <c r="AB335" s="21">
        <f ca="1">IF(CALC2223!BB335&gt;1,INDIRECT(ADDRESS(MATCH(Agenda2526!C336,'CAL5'!A:A,0)+1,3,4,1,"CAL5")),0)</f>
        <v>0</v>
      </c>
      <c r="AC335" s="20" t="str">
        <f ca="1">IF(CALC2223!BB335&gt;2,INDIRECT(ADDRESS(MATCH(Agenda2526!C336,'CAL5'!A:A,0)+2,2,4,1,"CAL5")),"")</f>
        <v/>
      </c>
      <c r="AD335" s="21">
        <f ca="1">IF(CALC2223!BB335&gt;2,INDIRECT(ADDRESS(MATCH(Agenda2526!C336,'CAL5'!A:A,0)+2,3,4,1,"CAL5")),0)</f>
        <v>0</v>
      </c>
      <c r="AE335" s="20" t="str">
        <f ca="1">IF(CALC2223!BC335&gt;0,INDIRECT(ADDRESS(MATCH(Agenda2526!C336,'CAL6'!A:A,0),2,4,1,"CAL6")),"")</f>
        <v/>
      </c>
      <c r="AF335" s="21">
        <f ca="1">IF(CALC2223!BC335&gt;0,INDIRECT(ADDRESS(MATCH(Agenda2526!C336,'CAL6'!A:A,0),3,4,1,"CAL6")),0)</f>
        <v>0</v>
      </c>
      <c r="AG335" s="20" t="str">
        <f ca="1">IF(CALC2223!BC335&gt;1,INDIRECT(ADDRESS(MATCH(Agenda2526!C336,'CAL6'!A:A,0)+1,2,4,1,"CAL6")),"")</f>
        <v/>
      </c>
      <c r="AH335" s="21">
        <f ca="1">IF(CALC2223!BC335&gt;1,INDIRECT(ADDRESS(MATCH(Agenda2526!C336,'CAL6'!A:A,0)+1,3,4,1,"CAL6")),0)</f>
        <v>0</v>
      </c>
      <c r="AI335" s="20" t="str">
        <f ca="1">IF(CALC2223!BC335&gt;2,INDIRECT(ADDRESS(MATCH(Agenda2526!C336,'CAL6'!A:A,0)+2,2,4,1,"CAL6")),"")</f>
        <v/>
      </c>
      <c r="AJ335" s="21">
        <f ca="1">IF(CALC2223!BC335&gt;2,INDIRECT(ADDRESS(MATCH(Agenda2526!C336,'CAL6'!A:A,0)+2,3,4,1,"CAL6")),0)</f>
        <v>0</v>
      </c>
      <c r="AK335" s="20" t="str">
        <f ca="1">IF(CALC2223!BD335&gt;0,INDIRECT(ADDRESS(MATCH(Agenda2526!C336,'CAL7'!A:A,0),2,4,1,"CAL7")),"")</f>
        <v/>
      </c>
      <c r="AL335" s="21">
        <f ca="1">IF(CALC2223!BD335&gt;0,INDIRECT(ADDRESS(MATCH(Agenda2526!C336,'CAL7'!A:A,0),3,4,1,"CAL7")),0)</f>
        <v>0</v>
      </c>
      <c r="AM335" s="20" t="str">
        <f ca="1">IF(CALC2223!BD335&gt;1,INDIRECT(ADDRESS(MATCH(Agenda2526!C336,'CAL7'!A:A,0)+1,2,4,1,"CAL7")),"")</f>
        <v/>
      </c>
      <c r="AN335" s="21">
        <f ca="1">IF(CALC2223!BD335&gt;1,INDIRECT(ADDRESS(MATCH(Agenda2526!C336,'CAL7'!A:A,0)+1,3,4,1,"CAL7")),0)</f>
        <v>0</v>
      </c>
      <c r="AO335" s="20" t="str">
        <f ca="1">IF(CALC2223!BD335&gt;2,INDIRECT(ADDRESS(MATCH(Agenda2526!C336,'CAL7'!A:A,0)+2,2,4,1,"CAL7")),"")</f>
        <v/>
      </c>
      <c r="AP335" s="21">
        <f ca="1">IF(CALC2223!BD335&gt;2,INDIRECT(ADDRESS(MATCH(Agenda2526!C336,'CAL7'!A:A,0)+2,3,4,1,"CAL7")),0)</f>
        <v>0</v>
      </c>
      <c r="AQ335" s="20" t="str">
        <f ca="1">IF(CALC2223!BE335&gt;0,INDIRECT(ADDRESS(MATCH(Agenda2526!C336,'CAL8'!A:A,0),2,4,1,"CAL8")),"")</f>
        <v/>
      </c>
      <c r="AR335" s="21">
        <f ca="1">IF(CALC2223!BE335&gt;0,INDIRECT(ADDRESS(MATCH(Agenda2526!C336,'CAL8'!A:A,0),3,4,1,"CAL8")),0)</f>
        <v>0</v>
      </c>
      <c r="AS335" s="20" t="str">
        <f ca="1">IF(CALC2223!BE335&gt;1,INDIRECT(ADDRESS(MATCH(Agenda2526!C336,'CAL8'!A:A,0)+1,2,4,1,"CAL8")),"")</f>
        <v/>
      </c>
      <c r="AT335" s="21">
        <f ca="1">IF(CALC2223!BE335&gt;1,INDIRECT(ADDRESS(MATCH(Agenda2526!C336,'CAL8'!A:A,0)+1,3,4,1,"CAL8")),0)</f>
        <v>0</v>
      </c>
      <c r="AU335" s="20" t="str">
        <f ca="1">IF(CALC2223!BE335&gt;2,INDIRECT(ADDRESS(MATCH(Agenda2526!C336,'CAL8'!A:A,0)+2,2,4,1,"CAL8")),"")</f>
        <v/>
      </c>
      <c r="AV335" s="21">
        <f ca="1">IF(CALC2223!BE335&gt;2,INDIRECT(ADDRESS(MATCH(Agenda2526!C336,'CAL8'!A:A,0)+2,3,4,1,"CAL8")),0)</f>
        <v>0</v>
      </c>
      <c r="AW335" s="107"/>
      <c r="AX335" s="20">
        <f>COUNTIF('CAL1'!A:A,Agenda2526!C336)</f>
        <v>0</v>
      </c>
      <c r="AY335" s="20">
        <f>COUNTIF('CAL2'!A:A,Agenda2526!C336)</f>
        <v>0</v>
      </c>
      <c r="AZ335" s="20">
        <f>COUNTIF('CAL3'!A:A,Agenda2526!C336)</f>
        <v>0</v>
      </c>
      <c r="BA335" s="20">
        <f>COUNTIF('CAL4'!A:A,Agenda2526!C336)</f>
        <v>0</v>
      </c>
      <c r="BB335" s="20">
        <f>COUNTIF('CAL5'!A:A,Agenda2526!C336)</f>
        <v>0</v>
      </c>
      <c r="BC335" s="20">
        <f>COUNTIF('CAL6'!A:A,Agenda2526!C336)</f>
        <v>0</v>
      </c>
      <c r="BD335" s="20">
        <f>COUNTIF('CAL7'!A:A,Agenda2526!C336)</f>
        <v>0</v>
      </c>
      <c r="BE335" s="20">
        <f>COUNTIF('CAL8'!A:A,Agenda2526!C336)</f>
        <v>0</v>
      </c>
    </row>
    <row r="336" spans="1:57" ht="15.75" customHeight="1">
      <c r="A336" s="20" t="str">
        <f ca="1">IF(CALC2223!AX336&gt;0,INDIRECT(ADDRESS(MATCH(Agenda2526!C337,'CAL1'!A:A,0),2,4,1,"CAL1")),"")</f>
        <v/>
      </c>
      <c r="B336" s="21">
        <f ca="1">IF(CALC2223!AX336&gt;0,INDIRECT(ADDRESS(MATCH(Agenda2526!C337,'CAL1'!A:A,0),3,4,1,"CAL1")),0)</f>
        <v>0</v>
      </c>
      <c r="C336" s="20" t="str">
        <f ca="1">IF(CALC2223!AX336&gt;1,INDIRECT(ADDRESS(MATCH(Agenda2526!C337,'CAL1'!A:A,0)+1,2,4,1,"CAL1")),"")</f>
        <v/>
      </c>
      <c r="D336" s="21">
        <f ca="1">IF(CALC2223!AX336&gt;1,INDIRECT(ADDRESS(MATCH(Agenda2526!C337,'CAL1'!A:A,0)+1,3,4,1,"CAL1")),0)</f>
        <v>0</v>
      </c>
      <c r="E336" s="20" t="str">
        <f ca="1">IF(CALC2223!AX336&gt;2,INDIRECT(ADDRESS(MATCH(Agenda2526!C337,'CAL1'!A:A,0)+2,2,4,1,"CAL1")),"")</f>
        <v/>
      </c>
      <c r="F336" s="21">
        <f ca="1">IF(CALC2223!AX336&gt;2,INDIRECT(ADDRESS(MATCH(Agenda2526!C337,'CAL1'!A:A,0)+2,3,4,1,"CAL1")),0)</f>
        <v>0</v>
      </c>
      <c r="G336" s="20" t="str">
        <f ca="1">IF(CALC2223!AY336&gt;0,INDIRECT(ADDRESS(MATCH(Agenda2526!C337,'CAL2'!A:A,0),2,4,1,"CAL2")),"")</f>
        <v/>
      </c>
      <c r="H336" s="21">
        <f ca="1">IF(CALC2223!AY336&gt;0,INDIRECT(ADDRESS(MATCH(Agenda2526!C337,'CAL2'!A:A,0),3,4,1,"CAL2")),0)</f>
        <v>0</v>
      </c>
      <c r="I336" s="20" t="str">
        <f ca="1">IF(CALC2223!AY336&gt;1,INDIRECT(ADDRESS(MATCH(Agenda2526!C337,'CAL2'!A:A,0)+1,2,4,1,"CAL2")),"")</f>
        <v/>
      </c>
      <c r="J336" s="21">
        <f ca="1">IF(CALC2223!AY336&gt;1,INDIRECT(ADDRESS(MATCH(Agenda2526!C337,'CAL2'!A:A,0)+1,3,4,1,"CAL2")),0)</f>
        <v>0</v>
      </c>
      <c r="K336" s="20" t="str">
        <f ca="1">IF(CALC2223!AY336&gt;2,INDIRECT(ADDRESS(MATCH(Agenda2526!C337,'CAL2'!A:A,0)+2,2,4,1,"CAL2")),"")</f>
        <v/>
      </c>
      <c r="L336" s="21">
        <f ca="1">IF(CALC2223!AY336&gt;2,INDIRECT(ADDRESS(MATCH(Agenda2526!C337,'CAL2'!A:A,0)+2,3,4,1,"CAL2")),0)</f>
        <v>0</v>
      </c>
      <c r="M336" s="20" t="str">
        <f ca="1">IF(CALC2223!AZ336&gt;0,INDIRECT(ADDRESS(MATCH(Agenda2526!C337,'CAL3'!A:A,0),2,4,1,"CAL3")),"")</f>
        <v/>
      </c>
      <c r="N336" s="21">
        <f ca="1">IF(CALC2223!AZ336&gt;0,INDIRECT(ADDRESS(MATCH(Agenda2526!C337,'CAL3'!A:A,0),3,4,1,"CAL3")),0)</f>
        <v>0</v>
      </c>
      <c r="O336" s="20" t="str">
        <f ca="1">IF(CALC2223!AZ336&gt;1,INDIRECT(ADDRESS(MATCH(Agenda2526!C337,'CAL3'!A:A,0)+1,2,4,1,"CAL3")),"")</f>
        <v/>
      </c>
      <c r="P336" s="21">
        <f ca="1">IF(CALC2223!AZ336&gt;1,INDIRECT(ADDRESS(MATCH(Agenda2526!C337,'CAL3'!A:A,0)+1,3,4,1,"CAL3")),0)</f>
        <v>0</v>
      </c>
      <c r="Q336" s="20" t="str">
        <f ca="1">IF(CALC2223!AZ336&gt;2,INDIRECT(ADDRESS(MATCH(Agenda2526!C337,'CAL3'!A:A,0)+2,2,4,1,"CAL3")),"")</f>
        <v/>
      </c>
      <c r="R336" s="21">
        <f ca="1">IF(CALC2223!AZ336&gt;2,INDIRECT(ADDRESS(MATCH(Agenda2526!C337,'CAL3'!A:A,0)+2,3,4,1,"CAL3")),0)</f>
        <v>0</v>
      </c>
      <c r="S336" s="20" t="str">
        <f ca="1">IF(CALC2223!BA336&gt;0,INDIRECT(ADDRESS(MATCH(Agenda2526!C337,'CAL4'!A:A,0),2,4,1,"CAL4")),"")</f>
        <v/>
      </c>
      <c r="T336" s="21">
        <f ca="1">IF(CALC2223!BA336&gt;0,INDIRECT(ADDRESS(MATCH(Agenda2526!C337,'CAL4'!A:A,0),3,4,1,"CAL4")),0)</f>
        <v>0</v>
      </c>
      <c r="U336" s="20" t="str">
        <f ca="1">IF(CALC2223!BA336&gt;1,INDIRECT(ADDRESS(MATCH(Agenda2526!C337,'CAL4'!A:A,0)+1,2,4,1,"CAL4")),"")</f>
        <v/>
      </c>
      <c r="V336" s="21">
        <f ca="1">IF(CALC2223!BA336&gt;1,INDIRECT(ADDRESS(MATCH(Agenda2526!C337,'CAL4'!A:A,0)+1,3,4,1,"CAL4")),0)</f>
        <v>0</v>
      </c>
      <c r="W336" s="20" t="str">
        <f ca="1">IF(CALC2223!BA336&gt;2,INDIRECT(ADDRESS(MATCH(Agenda2526!C337,'CAL4'!A:A,0)+2,2,4,1,"CAL4")),"")</f>
        <v/>
      </c>
      <c r="X336" s="21">
        <f ca="1">IF(CALC2223!BA336&gt;2,INDIRECT(ADDRESS(MATCH(Agenda2526!C337,'CAL4'!A:A,0)+2,3,4,1,"CAL4")),0)</f>
        <v>0</v>
      </c>
      <c r="Y336" s="20" t="str">
        <f ca="1">IF(CALC2223!BB336&gt;0,INDIRECT(ADDRESS(MATCH(Agenda2526!C337,'CAL5'!A:A,0),2,4,1,"CAL5")),"")</f>
        <v/>
      </c>
      <c r="Z336" s="21">
        <f ca="1">IF(CALC2223!BB336&gt;0,INDIRECT(ADDRESS(MATCH(Agenda2526!C337,'CAL5'!A:A,0),3,4,1,"CAL5")),0)</f>
        <v>0</v>
      </c>
      <c r="AA336" s="20" t="str">
        <f ca="1">IF(CALC2223!BB336&gt;1,INDIRECT(ADDRESS(MATCH(Agenda2526!C337,'CAL5'!A:A,0)+1,2,4,1,"CAL5")),"")</f>
        <v/>
      </c>
      <c r="AB336" s="21">
        <f ca="1">IF(CALC2223!BB336&gt;1,INDIRECT(ADDRESS(MATCH(Agenda2526!C337,'CAL5'!A:A,0)+1,3,4,1,"CAL5")),0)</f>
        <v>0</v>
      </c>
      <c r="AC336" s="20" t="str">
        <f ca="1">IF(CALC2223!BB336&gt;2,INDIRECT(ADDRESS(MATCH(Agenda2526!C337,'CAL5'!A:A,0)+2,2,4,1,"CAL5")),"")</f>
        <v/>
      </c>
      <c r="AD336" s="21">
        <f ca="1">IF(CALC2223!BB336&gt;2,INDIRECT(ADDRESS(MATCH(Agenda2526!C337,'CAL5'!A:A,0)+2,3,4,1,"CAL5")),0)</f>
        <v>0</v>
      </c>
      <c r="AE336" s="20" t="str">
        <f ca="1">IF(CALC2223!BC336&gt;0,INDIRECT(ADDRESS(MATCH(Agenda2526!C337,'CAL6'!A:A,0),2,4,1,"CAL6")),"")</f>
        <v/>
      </c>
      <c r="AF336" s="21">
        <f ca="1">IF(CALC2223!BC336&gt;0,INDIRECT(ADDRESS(MATCH(Agenda2526!C337,'CAL6'!A:A,0),3,4,1,"CAL6")),0)</f>
        <v>0</v>
      </c>
      <c r="AG336" s="20" t="str">
        <f ca="1">IF(CALC2223!BC336&gt;1,INDIRECT(ADDRESS(MATCH(Agenda2526!C337,'CAL6'!A:A,0)+1,2,4,1,"CAL6")),"")</f>
        <v/>
      </c>
      <c r="AH336" s="21">
        <f ca="1">IF(CALC2223!BC336&gt;1,INDIRECT(ADDRESS(MATCH(Agenda2526!C337,'CAL6'!A:A,0)+1,3,4,1,"CAL6")),0)</f>
        <v>0</v>
      </c>
      <c r="AI336" s="20" t="str">
        <f ca="1">IF(CALC2223!BC336&gt;2,INDIRECT(ADDRESS(MATCH(Agenda2526!C337,'CAL6'!A:A,0)+2,2,4,1,"CAL6")),"")</f>
        <v/>
      </c>
      <c r="AJ336" s="21">
        <f ca="1">IF(CALC2223!BC336&gt;2,INDIRECT(ADDRESS(MATCH(Agenda2526!C337,'CAL6'!A:A,0)+2,3,4,1,"CAL6")),0)</f>
        <v>0</v>
      </c>
      <c r="AK336" s="20" t="str">
        <f ca="1">IF(CALC2223!BD336&gt;0,INDIRECT(ADDRESS(MATCH(Agenda2526!C337,'CAL7'!A:A,0),2,4,1,"CAL7")),"")</f>
        <v/>
      </c>
      <c r="AL336" s="21">
        <f ca="1">IF(CALC2223!BD336&gt;0,INDIRECT(ADDRESS(MATCH(Agenda2526!C337,'CAL7'!A:A,0),3,4,1,"CAL7")),0)</f>
        <v>0</v>
      </c>
      <c r="AM336" s="20" t="str">
        <f ca="1">IF(CALC2223!BD336&gt;1,INDIRECT(ADDRESS(MATCH(Agenda2526!C337,'CAL7'!A:A,0)+1,2,4,1,"CAL7")),"")</f>
        <v/>
      </c>
      <c r="AN336" s="21">
        <f ca="1">IF(CALC2223!BD336&gt;1,INDIRECT(ADDRESS(MATCH(Agenda2526!C337,'CAL7'!A:A,0)+1,3,4,1,"CAL7")),0)</f>
        <v>0</v>
      </c>
      <c r="AO336" s="20" t="str">
        <f ca="1">IF(CALC2223!BD336&gt;2,INDIRECT(ADDRESS(MATCH(Agenda2526!C337,'CAL7'!A:A,0)+2,2,4,1,"CAL7")),"")</f>
        <v/>
      </c>
      <c r="AP336" s="21">
        <f ca="1">IF(CALC2223!BD336&gt;2,INDIRECT(ADDRESS(MATCH(Agenda2526!C337,'CAL7'!A:A,0)+2,3,4,1,"CAL7")),0)</f>
        <v>0</v>
      </c>
      <c r="AQ336" s="20" t="str">
        <f ca="1">IF(CALC2223!BE336&gt;0,INDIRECT(ADDRESS(MATCH(Agenda2526!C337,'CAL8'!A:A,0),2,4,1,"CAL8")),"")</f>
        <v/>
      </c>
      <c r="AR336" s="21">
        <f ca="1">IF(CALC2223!BE336&gt;0,INDIRECT(ADDRESS(MATCH(Agenda2526!C337,'CAL8'!A:A,0),3,4,1,"CAL8")),0)</f>
        <v>0</v>
      </c>
      <c r="AS336" s="20" t="str">
        <f ca="1">IF(CALC2223!BE336&gt;1,INDIRECT(ADDRESS(MATCH(Agenda2526!C337,'CAL8'!A:A,0)+1,2,4,1,"CAL8")),"")</f>
        <v/>
      </c>
      <c r="AT336" s="21">
        <f ca="1">IF(CALC2223!BE336&gt;1,INDIRECT(ADDRESS(MATCH(Agenda2526!C337,'CAL8'!A:A,0)+1,3,4,1,"CAL8")),0)</f>
        <v>0</v>
      </c>
      <c r="AU336" s="20" t="str">
        <f ca="1">IF(CALC2223!BE336&gt;2,INDIRECT(ADDRESS(MATCH(Agenda2526!C337,'CAL8'!A:A,0)+2,2,4,1,"CAL8")),"")</f>
        <v/>
      </c>
      <c r="AV336" s="21">
        <f ca="1">IF(CALC2223!BE336&gt;2,INDIRECT(ADDRESS(MATCH(Agenda2526!C337,'CAL8'!A:A,0)+2,3,4,1,"CAL8")),0)</f>
        <v>0</v>
      </c>
      <c r="AW336" s="106"/>
      <c r="AX336" s="20">
        <f>COUNTIF('CAL1'!A:A,Agenda2526!C337)</f>
        <v>0</v>
      </c>
      <c r="AY336" s="20">
        <f>COUNTIF('CAL2'!A:A,Agenda2526!C337)</f>
        <v>0</v>
      </c>
      <c r="AZ336" s="20">
        <f>COUNTIF('CAL3'!A:A,Agenda2526!C337)</f>
        <v>0</v>
      </c>
      <c r="BA336" s="20">
        <f>COUNTIF('CAL4'!A:A,Agenda2526!C337)</f>
        <v>0</v>
      </c>
      <c r="BB336" s="20">
        <f>COUNTIF('CAL5'!A:A,Agenda2526!C337)</f>
        <v>0</v>
      </c>
      <c r="BC336" s="20">
        <f>COUNTIF('CAL6'!A:A,Agenda2526!C337)</f>
        <v>0</v>
      </c>
      <c r="BD336" s="20">
        <f>COUNTIF('CAL7'!A:A,Agenda2526!C337)</f>
        <v>0</v>
      </c>
      <c r="BE336" s="20">
        <f>COUNTIF('CAL8'!A:A,Agenda2526!C337)</f>
        <v>0</v>
      </c>
    </row>
    <row r="337" spans="1:57" ht="15.75" customHeight="1">
      <c r="A337" s="20" t="str">
        <f ca="1">IF(CALC2223!AX337&gt;0,INDIRECT(ADDRESS(MATCH(Agenda2526!C338,'CAL1'!A:A,0),2,4,1,"CAL1")),"")</f>
        <v/>
      </c>
      <c r="B337" s="21">
        <f ca="1">IF(CALC2223!AX337&gt;0,INDIRECT(ADDRESS(MATCH(Agenda2526!C338,'CAL1'!A:A,0),3,4,1,"CAL1")),0)</f>
        <v>0</v>
      </c>
      <c r="C337" s="20" t="str">
        <f ca="1">IF(CALC2223!AX337&gt;1,INDIRECT(ADDRESS(MATCH(Agenda2526!C338,'CAL1'!A:A,0)+1,2,4,1,"CAL1")),"")</f>
        <v/>
      </c>
      <c r="D337" s="21">
        <f ca="1">IF(CALC2223!AX337&gt;1,INDIRECT(ADDRESS(MATCH(Agenda2526!C338,'CAL1'!A:A,0)+1,3,4,1,"CAL1")),0)</f>
        <v>0</v>
      </c>
      <c r="E337" s="20" t="str">
        <f ca="1">IF(CALC2223!AX337&gt;2,INDIRECT(ADDRESS(MATCH(Agenda2526!C338,'CAL1'!A:A,0)+2,2,4,1,"CAL1")),"")</f>
        <v/>
      </c>
      <c r="F337" s="21">
        <f ca="1">IF(CALC2223!AX337&gt;2,INDIRECT(ADDRESS(MATCH(Agenda2526!C338,'CAL1'!A:A,0)+2,3,4,1,"CAL1")),0)</f>
        <v>0</v>
      </c>
      <c r="G337" s="20" t="str">
        <f ca="1">IF(CALC2223!AY337&gt;0,INDIRECT(ADDRESS(MATCH(Agenda2526!C338,'CAL2'!A:A,0),2,4,1,"CAL2")),"")</f>
        <v/>
      </c>
      <c r="H337" s="21">
        <f ca="1">IF(CALC2223!AY337&gt;0,INDIRECT(ADDRESS(MATCH(Agenda2526!C338,'CAL2'!A:A,0),3,4,1,"CAL2")),0)</f>
        <v>0</v>
      </c>
      <c r="I337" s="20" t="str">
        <f ca="1">IF(CALC2223!AY337&gt;1,INDIRECT(ADDRESS(MATCH(Agenda2526!C338,'CAL2'!A:A,0)+1,2,4,1,"CAL2")),"")</f>
        <v/>
      </c>
      <c r="J337" s="21">
        <f ca="1">IF(CALC2223!AY337&gt;1,INDIRECT(ADDRESS(MATCH(Agenda2526!C338,'CAL2'!A:A,0)+1,3,4,1,"CAL2")),0)</f>
        <v>0</v>
      </c>
      <c r="K337" s="20" t="str">
        <f ca="1">IF(CALC2223!AY337&gt;2,INDIRECT(ADDRESS(MATCH(Agenda2526!C338,'CAL2'!A:A,0)+2,2,4,1,"CAL2")),"")</f>
        <v/>
      </c>
      <c r="L337" s="21">
        <f ca="1">IF(CALC2223!AY337&gt;2,INDIRECT(ADDRESS(MATCH(Agenda2526!C338,'CAL2'!A:A,0)+2,3,4,1,"CAL2")),0)</f>
        <v>0</v>
      </c>
      <c r="M337" s="20" t="str">
        <f ca="1">IF(CALC2223!AZ337&gt;0,INDIRECT(ADDRESS(MATCH(Agenda2526!C338,'CAL3'!A:A,0),2,4,1,"CAL3")),"")</f>
        <v/>
      </c>
      <c r="N337" s="21">
        <f ca="1">IF(CALC2223!AZ337&gt;0,INDIRECT(ADDRESS(MATCH(Agenda2526!C338,'CAL3'!A:A,0),3,4,1,"CAL3")),0)</f>
        <v>0</v>
      </c>
      <c r="O337" s="20" t="str">
        <f ca="1">IF(CALC2223!AZ337&gt;1,INDIRECT(ADDRESS(MATCH(Agenda2526!C338,'CAL3'!A:A,0)+1,2,4,1,"CAL3")),"")</f>
        <v/>
      </c>
      <c r="P337" s="21">
        <f ca="1">IF(CALC2223!AZ337&gt;1,INDIRECT(ADDRESS(MATCH(Agenda2526!C338,'CAL3'!A:A,0)+1,3,4,1,"CAL3")),0)</f>
        <v>0</v>
      </c>
      <c r="Q337" s="20" t="str">
        <f ca="1">IF(CALC2223!AZ337&gt;2,INDIRECT(ADDRESS(MATCH(Agenda2526!C338,'CAL3'!A:A,0)+2,2,4,1,"CAL3")),"")</f>
        <v/>
      </c>
      <c r="R337" s="21">
        <f ca="1">IF(CALC2223!AZ337&gt;2,INDIRECT(ADDRESS(MATCH(Agenda2526!C338,'CAL3'!A:A,0)+2,3,4,1,"CAL3")),0)</f>
        <v>0</v>
      </c>
      <c r="S337" s="20" t="str">
        <f ca="1">IF(CALC2223!BA337&gt;0,INDIRECT(ADDRESS(MATCH(Agenda2526!C338,'CAL4'!A:A,0),2,4,1,"CAL4")),"")</f>
        <v/>
      </c>
      <c r="T337" s="21">
        <f ca="1">IF(CALC2223!BA337&gt;0,INDIRECT(ADDRESS(MATCH(Agenda2526!C338,'CAL4'!A:A,0),3,4,1,"CAL4")),0)</f>
        <v>0</v>
      </c>
      <c r="U337" s="20" t="str">
        <f ca="1">IF(CALC2223!BA337&gt;1,INDIRECT(ADDRESS(MATCH(Agenda2526!C338,'CAL4'!A:A,0)+1,2,4,1,"CAL4")),"")</f>
        <v/>
      </c>
      <c r="V337" s="21">
        <f ca="1">IF(CALC2223!BA337&gt;1,INDIRECT(ADDRESS(MATCH(Agenda2526!C338,'CAL4'!A:A,0)+1,3,4,1,"CAL4")),0)</f>
        <v>0</v>
      </c>
      <c r="W337" s="20" t="str">
        <f ca="1">IF(CALC2223!BA337&gt;2,INDIRECT(ADDRESS(MATCH(Agenda2526!C338,'CAL4'!A:A,0)+2,2,4,1,"CAL4")),"")</f>
        <v/>
      </c>
      <c r="X337" s="21">
        <f ca="1">IF(CALC2223!BA337&gt;2,INDIRECT(ADDRESS(MATCH(Agenda2526!C338,'CAL4'!A:A,0)+2,3,4,1,"CAL4")),0)</f>
        <v>0</v>
      </c>
      <c r="Y337" s="20" t="str">
        <f ca="1">IF(CALC2223!BB337&gt;0,INDIRECT(ADDRESS(MATCH(Agenda2526!C338,'CAL5'!A:A,0),2,4,1,"CAL5")),"")</f>
        <v/>
      </c>
      <c r="Z337" s="21">
        <f ca="1">IF(CALC2223!BB337&gt;0,INDIRECT(ADDRESS(MATCH(Agenda2526!C338,'CAL5'!A:A,0),3,4,1,"CAL5")),0)</f>
        <v>0</v>
      </c>
      <c r="AA337" s="20" t="str">
        <f ca="1">IF(CALC2223!BB337&gt;1,INDIRECT(ADDRESS(MATCH(Agenda2526!C338,'CAL5'!A:A,0)+1,2,4,1,"CAL5")),"")</f>
        <v/>
      </c>
      <c r="AB337" s="21">
        <f ca="1">IF(CALC2223!BB337&gt;1,INDIRECT(ADDRESS(MATCH(Agenda2526!C338,'CAL5'!A:A,0)+1,3,4,1,"CAL5")),0)</f>
        <v>0</v>
      </c>
      <c r="AC337" s="20" t="str">
        <f ca="1">IF(CALC2223!BB337&gt;2,INDIRECT(ADDRESS(MATCH(Agenda2526!C338,'CAL5'!A:A,0)+2,2,4,1,"CAL5")),"")</f>
        <v/>
      </c>
      <c r="AD337" s="21">
        <f ca="1">IF(CALC2223!BB337&gt;2,INDIRECT(ADDRESS(MATCH(Agenda2526!C338,'CAL5'!A:A,0)+2,3,4,1,"CAL5")),0)</f>
        <v>0</v>
      </c>
      <c r="AE337" s="20" t="str">
        <f ca="1">IF(CALC2223!BC337&gt;0,INDIRECT(ADDRESS(MATCH(Agenda2526!C338,'CAL6'!A:A,0),2,4,1,"CAL6")),"")</f>
        <v/>
      </c>
      <c r="AF337" s="21">
        <f ca="1">IF(CALC2223!BC337&gt;0,INDIRECT(ADDRESS(MATCH(Agenda2526!C338,'CAL6'!A:A,0),3,4,1,"CAL6")),0)</f>
        <v>0</v>
      </c>
      <c r="AG337" s="20" t="str">
        <f ca="1">IF(CALC2223!BC337&gt;1,INDIRECT(ADDRESS(MATCH(Agenda2526!C338,'CAL6'!A:A,0)+1,2,4,1,"CAL6")),"")</f>
        <v/>
      </c>
      <c r="AH337" s="21">
        <f ca="1">IF(CALC2223!BC337&gt;1,INDIRECT(ADDRESS(MATCH(Agenda2526!C338,'CAL6'!A:A,0)+1,3,4,1,"CAL6")),0)</f>
        <v>0</v>
      </c>
      <c r="AI337" s="20" t="str">
        <f ca="1">IF(CALC2223!BC337&gt;2,INDIRECT(ADDRESS(MATCH(Agenda2526!C338,'CAL6'!A:A,0)+2,2,4,1,"CAL6")),"")</f>
        <v/>
      </c>
      <c r="AJ337" s="21">
        <f ca="1">IF(CALC2223!BC337&gt;2,INDIRECT(ADDRESS(MATCH(Agenda2526!C338,'CAL6'!A:A,0)+2,3,4,1,"CAL6")),0)</f>
        <v>0</v>
      </c>
      <c r="AK337" s="20" t="str">
        <f ca="1">IF(CALC2223!BD337&gt;0,INDIRECT(ADDRESS(MATCH(Agenda2526!C338,'CAL7'!A:A,0),2,4,1,"CAL7")),"")</f>
        <v/>
      </c>
      <c r="AL337" s="21">
        <f ca="1">IF(CALC2223!BD337&gt;0,INDIRECT(ADDRESS(MATCH(Agenda2526!C338,'CAL7'!A:A,0),3,4,1,"CAL7")),0)</f>
        <v>0</v>
      </c>
      <c r="AM337" s="20" t="str">
        <f ca="1">IF(CALC2223!BD337&gt;1,INDIRECT(ADDRESS(MATCH(Agenda2526!C338,'CAL7'!A:A,0)+1,2,4,1,"CAL7")),"")</f>
        <v/>
      </c>
      <c r="AN337" s="21">
        <f ca="1">IF(CALC2223!BD337&gt;1,INDIRECT(ADDRESS(MATCH(Agenda2526!C338,'CAL7'!A:A,0)+1,3,4,1,"CAL7")),0)</f>
        <v>0</v>
      </c>
      <c r="AO337" s="20" t="str">
        <f ca="1">IF(CALC2223!BD337&gt;2,INDIRECT(ADDRESS(MATCH(Agenda2526!C338,'CAL7'!A:A,0)+2,2,4,1,"CAL7")),"")</f>
        <v/>
      </c>
      <c r="AP337" s="21">
        <f ca="1">IF(CALC2223!BD337&gt;2,INDIRECT(ADDRESS(MATCH(Agenda2526!C338,'CAL7'!A:A,0)+2,3,4,1,"CAL7")),0)</f>
        <v>0</v>
      </c>
      <c r="AQ337" s="20" t="str">
        <f ca="1">IF(CALC2223!BE337&gt;0,INDIRECT(ADDRESS(MATCH(Agenda2526!C338,'CAL8'!A:A,0),2,4,1,"CAL8")),"")</f>
        <v/>
      </c>
      <c r="AR337" s="21">
        <f ca="1">IF(CALC2223!BE337&gt;0,INDIRECT(ADDRESS(MATCH(Agenda2526!C338,'CAL8'!A:A,0),3,4,1,"CAL8")),0)</f>
        <v>0</v>
      </c>
      <c r="AS337" s="20" t="str">
        <f ca="1">IF(CALC2223!BE337&gt;1,INDIRECT(ADDRESS(MATCH(Agenda2526!C338,'CAL8'!A:A,0)+1,2,4,1,"CAL8")),"")</f>
        <v/>
      </c>
      <c r="AT337" s="21">
        <f ca="1">IF(CALC2223!BE337&gt;1,INDIRECT(ADDRESS(MATCH(Agenda2526!C338,'CAL8'!A:A,0)+1,3,4,1,"CAL8")),0)</f>
        <v>0</v>
      </c>
      <c r="AU337" s="20" t="str">
        <f ca="1">IF(CALC2223!BE337&gt;2,INDIRECT(ADDRESS(MATCH(Agenda2526!C338,'CAL8'!A:A,0)+2,2,4,1,"CAL8")),"")</f>
        <v/>
      </c>
      <c r="AV337" s="21">
        <f ca="1">IF(CALC2223!BE337&gt;2,INDIRECT(ADDRESS(MATCH(Agenda2526!C338,'CAL8'!A:A,0)+2,3,4,1,"CAL8")),0)</f>
        <v>0</v>
      </c>
      <c r="AW337" s="106"/>
      <c r="AX337" s="20">
        <f>COUNTIF('CAL1'!A:A,Agenda2526!C338)</f>
        <v>0</v>
      </c>
      <c r="AY337" s="20">
        <f>COUNTIF('CAL2'!A:A,Agenda2526!C338)</f>
        <v>0</v>
      </c>
      <c r="AZ337" s="20">
        <f>COUNTIF('CAL3'!A:A,Agenda2526!C338)</f>
        <v>0</v>
      </c>
      <c r="BA337" s="20">
        <f>COUNTIF('CAL4'!A:A,Agenda2526!C338)</f>
        <v>0</v>
      </c>
      <c r="BB337" s="20">
        <f>COUNTIF('CAL5'!A:A,Agenda2526!C338)</f>
        <v>0</v>
      </c>
      <c r="BC337" s="20">
        <f>COUNTIF('CAL6'!A:A,Agenda2526!C338)</f>
        <v>0</v>
      </c>
      <c r="BD337" s="20">
        <f>COUNTIF('CAL7'!A:A,Agenda2526!C338)</f>
        <v>0</v>
      </c>
      <c r="BE337" s="20">
        <f>COUNTIF('CAL8'!A:A,Agenda2526!C338)</f>
        <v>0</v>
      </c>
    </row>
    <row r="338" spans="1:57" ht="15.75" customHeight="1">
      <c r="A338" s="20" t="str">
        <f ca="1">IF(CALC2223!AX338&gt;0,INDIRECT(ADDRESS(MATCH(Agenda2526!C339,'CAL1'!A:A,0),2,4,1,"CAL1")),"")</f>
        <v/>
      </c>
      <c r="B338" s="21">
        <f ca="1">IF(CALC2223!AX338&gt;0,INDIRECT(ADDRESS(MATCH(Agenda2526!C339,'CAL1'!A:A,0),3,4,1,"CAL1")),0)</f>
        <v>0</v>
      </c>
      <c r="C338" s="20" t="str">
        <f ca="1">IF(CALC2223!AX338&gt;1,INDIRECT(ADDRESS(MATCH(Agenda2526!C339,'CAL1'!A:A,0)+1,2,4,1,"CAL1")),"")</f>
        <v/>
      </c>
      <c r="D338" s="21">
        <f ca="1">IF(CALC2223!AX338&gt;1,INDIRECT(ADDRESS(MATCH(Agenda2526!C339,'CAL1'!A:A,0)+1,3,4,1,"CAL1")),0)</f>
        <v>0</v>
      </c>
      <c r="E338" s="20" t="str">
        <f ca="1">IF(CALC2223!AX338&gt;2,INDIRECT(ADDRESS(MATCH(Agenda2526!C339,'CAL1'!A:A,0)+2,2,4,1,"CAL1")),"")</f>
        <v/>
      </c>
      <c r="F338" s="21">
        <f ca="1">IF(CALC2223!AX338&gt;2,INDIRECT(ADDRESS(MATCH(Agenda2526!C339,'CAL1'!A:A,0)+2,3,4,1,"CAL1")),0)</f>
        <v>0</v>
      </c>
      <c r="G338" s="20" t="str">
        <f ca="1">IF(CALC2223!AY338&gt;0,INDIRECT(ADDRESS(MATCH(Agenda2526!C339,'CAL2'!A:A,0),2,4,1,"CAL2")),"")</f>
        <v/>
      </c>
      <c r="H338" s="21">
        <f ca="1">IF(CALC2223!AY338&gt;0,INDIRECT(ADDRESS(MATCH(Agenda2526!C339,'CAL2'!A:A,0),3,4,1,"CAL2")),0)</f>
        <v>0</v>
      </c>
      <c r="I338" s="20" t="str">
        <f ca="1">IF(CALC2223!AY338&gt;1,INDIRECT(ADDRESS(MATCH(Agenda2526!C339,'CAL2'!A:A,0)+1,2,4,1,"CAL2")),"")</f>
        <v/>
      </c>
      <c r="J338" s="21">
        <f ca="1">IF(CALC2223!AY338&gt;1,INDIRECT(ADDRESS(MATCH(Agenda2526!C339,'CAL2'!A:A,0)+1,3,4,1,"CAL2")),0)</f>
        <v>0</v>
      </c>
      <c r="K338" s="20" t="str">
        <f ca="1">IF(CALC2223!AY338&gt;2,INDIRECT(ADDRESS(MATCH(Agenda2526!C339,'CAL2'!A:A,0)+2,2,4,1,"CAL2")),"")</f>
        <v/>
      </c>
      <c r="L338" s="21">
        <f ca="1">IF(CALC2223!AY338&gt;2,INDIRECT(ADDRESS(MATCH(Agenda2526!C339,'CAL2'!A:A,0)+2,3,4,1,"CAL2")),0)</f>
        <v>0</v>
      </c>
      <c r="M338" s="20" t="str">
        <f ca="1">IF(CALC2223!AZ338&gt;0,INDIRECT(ADDRESS(MATCH(Agenda2526!C339,'CAL3'!A:A,0),2,4,1,"CAL3")),"")</f>
        <v/>
      </c>
      <c r="N338" s="21">
        <f ca="1">IF(CALC2223!AZ338&gt;0,INDIRECT(ADDRESS(MATCH(Agenda2526!C339,'CAL3'!A:A,0),3,4,1,"CAL3")),0)</f>
        <v>0</v>
      </c>
      <c r="O338" s="20" t="str">
        <f ca="1">IF(CALC2223!AZ338&gt;1,INDIRECT(ADDRESS(MATCH(Agenda2526!C339,'CAL3'!A:A,0)+1,2,4,1,"CAL3")),"")</f>
        <v/>
      </c>
      <c r="P338" s="21">
        <f ca="1">IF(CALC2223!AZ338&gt;1,INDIRECT(ADDRESS(MATCH(Agenda2526!C339,'CAL3'!A:A,0)+1,3,4,1,"CAL3")),0)</f>
        <v>0</v>
      </c>
      <c r="Q338" s="20" t="str">
        <f ca="1">IF(CALC2223!AZ338&gt;2,INDIRECT(ADDRESS(MATCH(Agenda2526!C339,'CAL3'!A:A,0)+2,2,4,1,"CAL3")),"")</f>
        <v/>
      </c>
      <c r="R338" s="21">
        <f ca="1">IF(CALC2223!AZ338&gt;2,INDIRECT(ADDRESS(MATCH(Agenda2526!C339,'CAL3'!A:A,0)+2,3,4,1,"CAL3")),0)</f>
        <v>0</v>
      </c>
      <c r="S338" s="20" t="str">
        <f ca="1">IF(CALC2223!BA338&gt;0,INDIRECT(ADDRESS(MATCH(Agenda2526!C339,'CAL4'!A:A,0),2,4,1,"CAL4")),"")</f>
        <v/>
      </c>
      <c r="T338" s="21">
        <f ca="1">IF(CALC2223!BA338&gt;0,INDIRECT(ADDRESS(MATCH(Agenda2526!C339,'CAL4'!A:A,0),3,4,1,"CAL4")),0)</f>
        <v>0</v>
      </c>
      <c r="U338" s="20" t="str">
        <f ca="1">IF(CALC2223!BA338&gt;1,INDIRECT(ADDRESS(MATCH(Agenda2526!C339,'CAL4'!A:A,0)+1,2,4,1,"CAL4")),"")</f>
        <v/>
      </c>
      <c r="V338" s="21">
        <f ca="1">IF(CALC2223!BA338&gt;1,INDIRECT(ADDRESS(MATCH(Agenda2526!C339,'CAL4'!A:A,0)+1,3,4,1,"CAL4")),0)</f>
        <v>0</v>
      </c>
      <c r="W338" s="20" t="str">
        <f ca="1">IF(CALC2223!BA338&gt;2,INDIRECT(ADDRESS(MATCH(Agenda2526!C339,'CAL4'!A:A,0)+2,2,4,1,"CAL4")),"")</f>
        <v/>
      </c>
      <c r="X338" s="21">
        <f ca="1">IF(CALC2223!BA338&gt;2,INDIRECT(ADDRESS(MATCH(Agenda2526!C339,'CAL4'!A:A,0)+2,3,4,1,"CAL4")),0)</f>
        <v>0</v>
      </c>
      <c r="Y338" s="20" t="str">
        <f ca="1">IF(CALC2223!BB338&gt;0,INDIRECT(ADDRESS(MATCH(Agenda2526!C339,'CAL5'!A:A,0),2,4,1,"CAL5")),"")</f>
        <v/>
      </c>
      <c r="Z338" s="21">
        <f ca="1">IF(CALC2223!BB338&gt;0,INDIRECT(ADDRESS(MATCH(Agenda2526!C339,'CAL5'!A:A,0),3,4,1,"CAL5")),0)</f>
        <v>0</v>
      </c>
      <c r="AA338" s="20" t="str">
        <f ca="1">IF(CALC2223!BB338&gt;1,INDIRECT(ADDRESS(MATCH(Agenda2526!C339,'CAL5'!A:A,0)+1,2,4,1,"CAL5")),"")</f>
        <v/>
      </c>
      <c r="AB338" s="21">
        <f ca="1">IF(CALC2223!BB338&gt;1,INDIRECT(ADDRESS(MATCH(Agenda2526!C339,'CAL5'!A:A,0)+1,3,4,1,"CAL5")),0)</f>
        <v>0</v>
      </c>
      <c r="AC338" s="20" t="str">
        <f ca="1">IF(CALC2223!BB338&gt;2,INDIRECT(ADDRESS(MATCH(Agenda2526!C339,'CAL5'!A:A,0)+2,2,4,1,"CAL5")),"")</f>
        <v/>
      </c>
      <c r="AD338" s="21">
        <f ca="1">IF(CALC2223!BB338&gt;2,INDIRECT(ADDRESS(MATCH(Agenda2526!C339,'CAL5'!A:A,0)+2,3,4,1,"CAL5")),0)</f>
        <v>0</v>
      </c>
      <c r="AE338" s="20" t="str">
        <f ca="1">IF(CALC2223!BC338&gt;0,INDIRECT(ADDRESS(MATCH(Agenda2526!C339,'CAL6'!A:A,0),2,4,1,"CAL6")),"")</f>
        <v/>
      </c>
      <c r="AF338" s="21">
        <f ca="1">IF(CALC2223!BC338&gt;0,INDIRECT(ADDRESS(MATCH(Agenda2526!C339,'CAL6'!A:A,0),3,4,1,"CAL6")),0)</f>
        <v>0</v>
      </c>
      <c r="AG338" s="20" t="str">
        <f ca="1">IF(CALC2223!BC338&gt;1,INDIRECT(ADDRESS(MATCH(Agenda2526!C339,'CAL6'!A:A,0)+1,2,4,1,"CAL6")),"")</f>
        <v/>
      </c>
      <c r="AH338" s="21">
        <f ca="1">IF(CALC2223!BC338&gt;1,INDIRECT(ADDRESS(MATCH(Agenda2526!C339,'CAL6'!A:A,0)+1,3,4,1,"CAL6")),0)</f>
        <v>0</v>
      </c>
      <c r="AI338" s="20" t="str">
        <f ca="1">IF(CALC2223!BC338&gt;2,INDIRECT(ADDRESS(MATCH(Agenda2526!C339,'CAL6'!A:A,0)+2,2,4,1,"CAL6")),"")</f>
        <v/>
      </c>
      <c r="AJ338" s="21">
        <f ca="1">IF(CALC2223!BC338&gt;2,INDIRECT(ADDRESS(MATCH(Agenda2526!C339,'CAL6'!A:A,0)+2,3,4,1,"CAL6")),0)</f>
        <v>0</v>
      </c>
      <c r="AK338" s="20" t="str">
        <f ca="1">IF(CALC2223!BD338&gt;0,INDIRECT(ADDRESS(MATCH(Agenda2526!C339,'CAL7'!A:A,0),2,4,1,"CAL7")),"")</f>
        <v/>
      </c>
      <c r="AL338" s="21">
        <f ca="1">IF(CALC2223!BD338&gt;0,INDIRECT(ADDRESS(MATCH(Agenda2526!C339,'CAL7'!A:A,0),3,4,1,"CAL7")),0)</f>
        <v>0</v>
      </c>
      <c r="AM338" s="20" t="str">
        <f ca="1">IF(CALC2223!BD338&gt;1,INDIRECT(ADDRESS(MATCH(Agenda2526!C339,'CAL7'!A:A,0)+1,2,4,1,"CAL7")),"")</f>
        <v/>
      </c>
      <c r="AN338" s="21">
        <f ca="1">IF(CALC2223!BD338&gt;1,INDIRECT(ADDRESS(MATCH(Agenda2526!C339,'CAL7'!A:A,0)+1,3,4,1,"CAL7")),0)</f>
        <v>0</v>
      </c>
      <c r="AO338" s="20" t="str">
        <f ca="1">IF(CALC2223!BD338&gt;2,INDIRECT(ADDRESS(MATCH(Agenda2526!C339,'CAL7'!A:A,0)+2,2,4,1,"CAL7")),"")</f>
        <v/>
      </c>
      <c r="AP338" s="21">
        <f ca="1">IF(CALC2223!BD338&gt;2,INDIRECT(ADDRESS(MATCH(Agenda2526!C339,'CAL7'!A:A,0)+2,3,4,1,"CAL7")),0)</f>
        <v>0</v>
      </c>
      <c r="AQ338" s="20" t="str">
        <f ca="1">IF(CALC2223!BE338&gt;0,INDIRECT(ADDRESS(MATCH(Agenda2526!C339,'CAL8'!A:A,0),2,4,1,"CAL8")),"")</f>
        <v/>
      </c>
      <c r="AR338" s="21">
        <f ca="1">IF(CALC2223!BE338&gt;0,INDIRECT(ADDRESS(MATCH(Agenda2526!C339,'CAL8'!A:A,0),3,4,1,"CAL8")),0)</f>
        <v>0</v>
      </c>
      <c r="AS338" s="20" t="str">
        <f ca="1">IF(CALC2223!BE338&gt;1,INDIRECT(ADDRESS(MATCH(Agenda2526!C339,'CAL8'!A:A,0)+1,2,4,1,"CAL8")),"")</f>
        <v/>
      </c>
      <c r="AT338" s="21">
        <f ca="1">IF(CALC2223!BE338&gt;1,INDIRECT(ADDRESS(MATCH(Agenda2526!C339,'CAL8'!A:A,0)+1,3,4,1,"CAL8")),0)</f>
        <v>0</v>
      </c>
      <c r="AU338" s="20" t="str">
        <f ca="1">IF(CALC2223!BE338&gt;2,INDIRECT(ADDRESS(MATCH(Agenda2526!C339,'CAL8'!A:A,0)+2,2,4,1,"CAL8")),"")</f>
        <v/>
      </c>
      <c r="AV338" s="21">
        <f ca="1">IF(CALC2223!BE338&gt;2,INDIRECT(ADDRESS(MATCH(Agenda2526!C339,'CAL8'!A:A,0)+2,3,4,1,"CAL8")),0)</f>
        <v>0</v>
      </c>
      <c r="AW338" s="107" t="s">
        <v>123</v>
      </c>
      <c r="AX338" s="20">
        <f>COUNTIF('CAL1'!A:A,Agenda2526!C339)</f>
        <v>0</v>
      </c>
      <c r="AY338" s="20">
        <f>COUNTIF('CAL2'!A:A,Agenda2526!C339)</f>
        <v>0</v>
      </c>
      <c r="AZ338" s="20">
        <f>COUNTIF('CAL3'!A:A,Agenda2526!C339)</f>
        <v>0</v>
      </c>
      <c r="BA338" s="20">
        <f>COUNTIF('CAL4'!A:A,Agenda2526!C339)</f>
        <v>0</v>
      </c>
      <c r="BB338" s="20">
        <f>COUNTIF('CAL5'!A:A,Agenda2526!C339)</f>
        <v>0</v>
      </c>
      <c r="BC338" s="20">
        <f>COUNTIF('CAL6'!A:A,Agenda2526!C339)</f>
        <v>0</v>
      </c>
      <c r="BD338" s="20">
        <f>COUNTIF('CAL7'!A:A,Agenda2526!C339)</f>
        <v>0</v>
      </c>
      <c r="BE338" s="20">
        <f>COUNTIF('CAL8'!A:A,Agenda2526!C339)</f>
        <v>0</v>
      </c>
    </row>
    <row r="339" spans="1:57" ht="15.75" customHeight="1">
      <c r="A339" s="20" t="str">
        <f ca="1">IF(CALC2223!AX339&gt;0,INDIRECT(ADDRESS(MATCH(Agenda2526!C340,'CAL1'!A:A,0),2,4,1,"CAL1")),"")</f>
        <v/>
      </c>
      <c r="B339" s="21">
        <f ca="1">IF(CALC2223!AX339&gt;0,INDIRECT(ADDRESS(MATCH(Agenda2526!C340,'CAL1'!A:A,0),3,4,1,"CAL1")),0)</f>
        <v>0</v>
      </c>
      <c r="C339" s="20" t="str">
        <f ca="1">IF(CALC2223!AX339&gt;1,INDIRECT(ADDRESS(MATCH(Agenda2526!C340,'CAL1'!A:A,0)+1,2,4,1,"CAL1")),"")</f>
        <v/>
      </c>
      <c r="D339" s="21">
        <f ca="1">IF(CALC2223!AX339&gt;1,INDIRECT(ADDRESS(MATCH(Agenda2526!C340,'CAL1'!A:A,0)+1,3,4,1,"CAL1")),0)</f>
        <v>0</v>
      </c>
      <c r="E339" s="20" t="str">
        <f ca="1">IF(CALC2223!AX339&gt;2,INDIRECT(ADDRESS(MATCH(Agenda2526!C340,'CAL1'!A:A,0)+2,2,4,1,"CAL1")),"")</f>
        <v/>
      </c>
      <c r="F339" s="21">
        <f ca="1">IF(CALC2223!AX339&gt;2,INDIRECT(ADDRESS(MATCH(Agenda2526!C340,'CAL1'!A:A,0)+2,3,4,1,"CAL1")),0)</f>
        <v>0</v>
      </c>
      <c r="G339" s="20" t="str">
        <f ca="1">IF(CALC2223!AY339&gt;0,INDIRECT(ADDRESS(MATCH(Agenda2526!C340,'CAL2'!A:A,0),2,4,1,"CAL2")),"")</f>
        <v/>
      </c>
      <c r="H339" s="21">
        <f ca="1">IF(CALC2223!AY339&gt;0,INDIRECT(ADDRESS(MATCH(Agenda2526!C340,'CAL2'!A:A,0),3,4,1,"CAL2")),0)</f>
        <v>0</v>
      </c>
      <c r="I339" s="20" t="str">
        <f ca="1">IF(CALC2223!AY339&gt;1,INDIRECT(ADDRESS(MATCH(Agenda2526!C340,'CAL2'!A:A,0)+1,2,4,1,"CAL2")),"")</f>
        <v/>
      </c>
      <c r="J339" s="21">
        <f ca="1">IF(CALC2223!AY339&gt;1,INDIRECT(ADDRESS(MATCH(Agenda2526!C340,'CAL2'!A:A,0)+1,3,4,1,"CAL2")),0)</f>
        <v>0</v>
      </c>
      <c r="K339" s="20" t="str">
        <f ca="1">IF(CALC2223!AY339&gt;2,INDIRECT(ADDRESS(MATCH(Agenda2526!C340,'CAL2'!A:A,0)+2,2,4,1,"CAL2")),"")</f>
        <v/>
      </c>
      <c r="L339" s="21">
        <f ca="1">IF(CALC2223!AY339&gt;2,INDIRECT(ADDRESS(MATCH(Agenda2526!C340,'CAL2'!A:A,0)+2,3,4,1,"CAL2")),0)</f>
        <v>0</v>
      </c>
      <c r="M339" s="20" t="str">
        <f ca="1">IF(CALC2223!AZ339&gt;0,INDIRECT(ADDRESS(MATCH(Agenda2526!C340,'CAL3'!A:A,0),2,4,1,"CAL3")),"")</f>
        <v/>
      </c>
      <c r="N339" s="21">
        <f ca="1">IF(CALC2223!AZ339&gt;0,INDIRECT(ADDRESS(MATCH(Agenda2526!C340,'CAL3'!A:A,0),3,4,1,"CAL3")),0)</f>
        <v>0</v>
      </c>
      <c r="O339" s="20" t="str">
        <f ca="1">IF(CALC2223!AZ339&gt;1,INDIRECT(ADDRESS(MATCH(Agenda2526!C340,'CAL3'!A:A,0)+1,2,4,1,"CAL3")),"")</f>
        <v/>
      </c>
      <c r="P339" s="21">
        <f ca="1">IF(CALC2223!AZ339&gt;1,INDIRECT(ADDRESS(MATCH(Agenda2526!C340,'CAL3'!A:A,0)+1,3,4,1,"CAL3")),0)</f>
        <v>0</v>
      </c>
      <c r="Q339" s="20" t="str">
        <f ca="1">IF(CALC2223!AZ339&gt;2,INDIRECT(ADDRESS(MATCH(Agenda2526!C340,'CAL3'!A:A,0)+2,2,4,1,"CAL3")),"")</f>
        <v/>
      </c>
      <c r="R339" s="21">
        <f ca="1">IF(CALC2223!AZ339&gt;2,INDIRECT(ADDRESS(MATCH(Agenda2526!C340,'CAL3'!A:A,0)+2,3,4,1,"CAL3")),0)</f>
        <v>0</v>
      </c>
      <c r="S339" s="20" t="str">
        <f ca="1">IF(CALC2223!BA339&gt;0,INDIRECT(ADDRESS(MATCH(Agenda2526!C340,'CAL4'!A:A,0),2,4,1,"CAL4")),"")</f>
        <v/>
      </c>
      <c r="T339" s="21">
        <f ca="1">IF(CALC2223!BA339&gt;0,INDIRECT(ADDRESS(MATCH(Agenda2526!C340,'CAL4'!A:A,0),3,4,1,"CAL4")),0)</f>
        <v>0</v>
      </c>
      <c r="U339" s="20" t="str">
        <f ca="1">IF(CALC2223!BA339&gt;1,INDIRECT(ADDRESS(MATCH(Agenda2526!C340,'CAL4'!A:A,0)+1,2,4,1,"CAL4")),"")</f>
        <v/>
      </c>
      <c r="V339" s="21">
        <f ca="1">IF(CALC2223!BA339&gt;1,INDIRECT(ADDRESS(MATCH(Agenda2526!C340,'CAL4'!A:A,0)+1,3,4,1,"CAL4")),0)</f>
        <v>0</v>
      </c>
      <c r="W339" s="20" t="str">
        <f ca="1">IF(CALC2223!BA339&gt;2,INDIRECT(ADDRESS(MATCH(Agenda2526!C340,'CAL4'!A:A,0)+2,2,4,1,"CAL4")),"")</f>
        <v/>
      </c>
      <c r="X339" s="21">
        <f ca="1">IF(CALC2223!BA339&gt;2,INDIRECT(ADDRESS(MATCH(Agenda2526!C340,'CAL4'!A:A,0)+2,3,4,1,"CAL4")),0)</f>
        <v>0</v>
      </c>
      <c r="Y339" s="20" t="str">
        <f ca="1">IF(CALC2223!BB339&gt;0,INDIRECT(ADDRESS(MATCH(Agenda2526!C340,'CAL5'!A:A,0),2,4,1,"CAL5")),"")</f>
        <v/>
      </c>
      <c r="Z339" s="21">
        <f ca="1">IF(CALC2223!BB339&gt;0,INDIRECT(ADDRESS(MATCH(Agenda2526!C340,'CAL5'!A:A,0),3,4,1,"CAL5")),0)</f>
        <v>0</v>
      </c>
      <c r="AA339" s="20" t="str">
        <f ca="1">IF(CALC2223!BB339&gt;1,INDIRECT(ADDRESS(MATCH(Agenda2526!C340,'CAL5'!A:A,0)+1,2,4,1,"CAL5")),"")</f>
        <v/>
      </c>
      <c r="AB339" s="21">
        <f ca="1">IF(CALC2223!BB339&gt;1,INDIRECT(ADDRESS(MATCH(Agenda2526!C340,'CAL5'!A:A,0)+1,3,4,1,"CAL5")),0)</f>
        <v>0</v>
      </c>
      <c r="AC339" s="20" t="str">
        <f ca="1">IF(CALC2223!BB339&gt;2,INDIRECT(ADDRESS(MATCH(Agenda2526!C340,'CAL5'!A:A,0)+2,2,4,1,"CAL5")),"")</f>
        <v/>
      </c>
      <c r="AD339" s="21">
        <f ca="1">IF(CALC2223!BB339&gt;2,INDIRECT(ADDRESS(MATCH(Agenda2526!C340,'CAL5'!A:A,0)+2,3,4,1,"CAL5")),0)</f>
        <v>0</v>
      </c>
      <c r="AE339" s="20" t="str">
        <f ca="1">IF(CALC2223!BC339&gt;0,INDIRECT(ADDRESS(MATCH(Agenda2526!C340,'CAL6'!A:A,0),2,4,1,"CAL6")),"")</f>
        <v/>
      </c>
      <c r="AF339" s="21">
        <f ca="1">IF(CALC2223!BC339&gt;0,INDIRECT(ADDRESS(MATCH(Agenda2526!C340,'CAL6'!A:A,0),3,4,1,"CAL6")),0)</f>
        <v>0</v>
      </c>
      <c r="AG339" s="20" t="str">
        <f ca="1">IF(CALC2223!BC339&gt;1,INDIRECT(ADDRESS(MATCH(Agenda2526!C340,'CAL6'!A:A,0)+1,2,4,1,"CAL6")),"")</f>
        <v/>
      </c>
      <c r="AH339" s="21">
        <f ca="1">IF(CALC2223!BC339&gt;1,INDIRECT(ADDRESS(MATCH(Agenda2526!C340,'CAL6'!A:A,0)+1,3,4,1,"CAL6")),0)</f>
        <v>0</v>
      </c>
      <c r="AI339" s="20" t="str">
        <f ca="1">IF(CALC2223!BC339&gt;2,INDIRECT(ADDRESS(MATCH(Agenda2526!C340,'CAL6'!A:A,0)+2,2,4,1,"CAL6")),"")</f>
        <v/>
      </c>
      <c r="AJ339" s="21">
        <f ca="1">IF(CALC2223!BC339&gt;2,INDIRECT(ADDRESS(MATCH(Agenda2526!C340,'CAL6'!A:A,0)+2,3,4,1,"CAL6")),0)</f>
        <v>0</v>
      </c>
      <c r="AK339" s="20" t="str">
        <f ca="1">IF(CALC2223!BD339&gt;0,INDIRECT(ADDRESS(MATCH(Agenda2526!C340,'CAL7'!A:A,0),2,4,1,"CAL7")),"")</f>
        <v/>
      </c>
      <c r="AL339" s="21">
        <f ca="1">IF(CALC2223!BD339&gt;0,INDIRECT(ADDRESS(MATCH(Agenda2526!C340,'CAL7'!A:A,0),3,4,1,"CAL7")),0)</f>
        <v>0</v>
      </c>
      <c r="AM339" s="20" t="str">
        <f ca="1">IF(CALC2223!BD339&gt;1,INDIRECT(ADDRESS(MATCH(Agenda2526!C340,'CAL7'!A:A,0)+1,2,4,1,"CAL7")),"")</f>
        <v/>
      </c>
      <c r="AN339" s="21">
        <f ca="1">IF(CALC2223!BD339&gt;1,INDIRECT(ADDRESS(MATCH(Agenda2526!C340,'CAL7'!A:A,0)+1,3,4,1,"CAL7")),0)</f>
        <v>0</v>
      </c>
      <c r="AO339" s="20" t="str">
        <f ca="1">IF(CALC2223!BD339&gt;2,INDIRECT(ADDRESS(MATCH(Agenda2526!C340,'CAL7'!A:A,0)+2,2,4,1,"CAL7")),"")</f>
        <v/>
      </c>
      <c r="AP339" s="21">
        <f ca="1">IF(CALC2223!BD339&gt;2,INDIRECT(ADDRESS(MATCH(Agenda2526!C340,'CAL7'!A:A,0)+2,3,4,1,"CAL7")),0)</f>
        <v>0</v>
      </c>
      <c r="AQ339" s="20" t="str">
        <f ca="1">IF(CALC2223!BE339&gt;0,INDIRECT(ADDRESS(MATCH(Agenda2526!C340,'CAL8'!A:A,0),2,4,1,"CAL8")),"")</f>
        <v/>
      </c>
      <c r="AR339" s="21">
        <f ca="1">IF(CALC2223!BE339&gt;0,INDIRECT(ADDRESS(MATCH(Agenda2526!C340,'CAL8'!A:A,0),3,4,1,"CAL8")),0)</f>
        <v>0</v>
      </c>
      <c r="AS339" s="20" t="str">
        <f ca="1">IF(CALC2223!BE339&gt;1,INDIRECT(ADDRESS(MATCH(Agenda2526!C340,'CAL8'!A:A,0)+1,2,4,1,"CAL8")),"")</f>
        <v/>
      </c>
      <c r="AT339" s="21">
        <f ca="1">IF(CALC2223!BE339&gt;1,INDIRECT(ADDRESS(MATCH(Agenda2526!C340,'CAL8'!A:A,0)+1,3,4,1,"CAL8")),0)</f>
        <v>0</v>
      </c>
      <c r="AU339" s="20" t="str">
        <f ca="1">IF(CALC2223!BE339&gt;2,INDIRECT(ADDRESS(MATCH(Agenda2526!C340,'CAL8'!A:A,0)+2,2,4,1,"CAL8")),"")</f>
        <v/>
      </c>
      <c r="AV339" s="21">
        <f ca="1">IF(CALC2223!BE339&gt;2,INDIRECT(ADDRESS(MATCH(Agenda2526!C340,'CAL8'!A:A,0)+2,3,4,1,"CAL8")),0)</f>
        <v>0</v>
      </c>
      <c r="AW339" s="107"/>
      <c r="AX339" s="20">
        <f>COUNTIF('CAL1'!A:A,Agenda2526!C340)</f>
        <v>0</v>
      </c>
      <c r="AY339" s="20">
        <f>COUNTIF('CAL2'!A:A,Agenda2526!C340)</f>
        <v>0</v>
      </c>
      <c r="AZ339" s="20">
        <f>COUNTIF('CAL3'!A:A,Agenda2526!C340)</f>
        <v>0</v>
      </c>
      <c r="BA339" s="20">
        <f>COUNTIF('CAL4'!A:A,Agenda2526!C340)</f>
        <v>0</v>
      </c>
      <c r="BB339" s="20">
        <f>COUNTIF('CAL5'!A:A,Agenda2526!C340)</f>
        <v>0</v>
      </c>
      <c r="BC339" s="20">
        <f>COUNTIF('CAL6'!A:A,Agenda2526!C340)</f>
        <v>0</v>
      </c>
      <c r="BD339" s="20">
        <f>COUNTIF('CAL7'!A:A,Agenda2526!C340)</f>
        <v>0</v>
      </c>
      <c r="BE339" s="20">
        <f>COUNTIF('CAL8'!A:A,Agenda2526!C340)</f>
        <v>0</v>
      </c>
    </row>
    <row r="340" spans="1:57" ht="15.75" customHeight="1">
      <c r="A340" s="20" t="str">
        <f ca="1">IF(CALC2223!AX340&gt;0,INDIRECT(ADDRESS(MATCH(Agenda2526!C341,'CAL1'!A:A,0),2,4,1,"CAL1")),"")</f>
        <v/>
      </c>
      <c r="B340" s="21">
        <f ca="1">IF(CALC2223!AX340&gt;0,INDIRECT(ADDRESS(MATCH(Agenda2526!C341,'CAL1'!A:A,0),3,4,1,"CAL1")),0)</f>
        <v>0</v>
      </c>
      <c r="C340" s="20" t="str">
        <f ca="1">IF(CALC2223!AX340&gt;1,INDIRECT(ADDRESS(MATCH(Agenda2526!C341,'CAL1'!A:A,0)+1,2,4,1,"CAL1")),"")</f>
        <v/>
      </c>
      <c r="D340" s="21">
        <f ca="1">IF(CALC2223!AX340&gt;1,INDIRECT(ADDRESS(MATCH(Agenda2526!C341,'CAL1'!A:A,0)+1,3,4,1,"CAL1")),0)</f>
        <v>0</v>
      </c>
      <c r="E340" s="20" t="str">
        <f ca="1">IF(CALC2223!AX340&gt;2,INDIRECT(ADDRESS(MATCH(Agenda2526!C341,'CAL1'!A:A,0)+2,2,4,1,"CAL1")),"")</f>
        <v/>
      </c>
      <c r="F340" s="21">
        <f ca="1">IF(CALC2223!AX340&gt;2,INDIRECT(ADDRESS(MATCH(Agenda2526!C341,'CAL1'!A:A,0)+2,3,4,1,"CAL1")),0)</f>
        <v>0</v>
      </c>
      <c r="G340" s="20" t="str">
        <f ca="1">IF(CALC2223!AY340&gt;0,INDIRECT(ADDRESS(MATCH(Agenda2526!C341,'CAL2'!A:A,0),2,4,1,"CAL2")),"")</f>
        <v/>
      </c>
      <c r="H340" s="21">
        <f ca="1">IF(CALC2223!AY340&gt;0,INDIRECT(ADDRESS(MATCH(Agenda2526!C341,'CAL2'!A:A,0),3,4,1,"CAL2")),0)</f>
        <v>0</v>
      </c>
      <c r="I340" s="20" t="str">
        <f ca="1">IF(CALC2223!AY340&gt;1,INDIRECT(ADDRESS(MATCH(Agenda2526!C341,'CAL2'!A:A,0)+1,2,4,1,"CAL2")),"")</f>
        <v/>
      </c>
      <c r="J340" s="21">
        <f ca="1">IF(CALC2223!AY340&gt;1,INDIRECT(ADDRESS(MATCH(Agenda2526!C341,'CAL2'!A:A,0)+1,3,4,1,"CAL2")),0)</f>
        <v>0</v>
      </c>
      <c r="K340" s="20" t="str">
        <f ca="1">IF(CALC2223!AY340&gt;2,INDIRECT(ADDRESS(MATCH(Agenda2526!C341,'CAL2'!A:A,0)+2,2,4,1,"CAL2")),"")</f>
        <v/>
      </c>
      <c r="L340" s="21">
        <f ca="1">IF(CALC2223!AY340&gt;2,INDIRECT(ADDRESS(MATCH(Agenda2526!C341,'CAL2'!A:A,0)+2,3,4,1,"CAL2")),0)</f>
        <v>0</v>
      </c>
      <c r="M340" s="20" t="str">
        <f ca="1">IF(CALC2223!AZ340&gt;0,INDIRECT(ADDRESS(MATCH(Agenda2526!C341,'CAL3'!A:A,0),2,4,1,"CAL3")),"")</f>
        <v/>
      </c>
      <c r="N340" s="21">
        <f ca="1">IF(CALC2223!AZ340&gt;0,INDIRECT(ADDRESS(MATCH(Agenda2526!C341,'CAL3'!A:A,0),3,4,1,"CAL3")),0)</f>
        <v>0</v>
      </c>
      <c r="O340" s="20" t="str">
        <f ca="1">IF(CALC2223!AZ340&gt;1,INDIRECT(ADDRESS(MATCH(Agenda2526!C341,'CAL3'!A:A,0)+1,2,4,1,"CAL3")),"")</f>
        <v/>
      </c>
      <c r="P340" s="21">
        <f ca="1">IF(CALC2223!AZ340&gt;1,INDIRECT(ADDRESS(MATCH(Agenda2526!C341,'CAL3'!A:A,0)+1,3,4,1,"CAL3")),0)</f>
        <v>0</v>
      </c>
      <c r="Q340" s="20" t="str">
        <f ca="1">IF(CALC2223!AZ340&gt;2,INDIRECT(ADDRESS(MATCH(Agenda2526!C341,'CAL3'!A:A,0)+2,2,4,1,"CAL3")),"")</f>
        <v/>
      </c>
      <c r="R340" s="21">
        <f ca="1">IF(CALC2223!AZ340&gt;2,INDIRECT(ADDRESS(MATCH(Agenda2526!C341,'CAL3'!A:A,0)+2,3,4,1,"CAL3")),0)</f>
        <v>0</v>
      </c>
      <c r="S340" s="20" t="str">
        <f ca="1">IF(CALC2223!BA340&gt;0,INDIRECT(ADDRESS(MATCH(Agenda2526!C341,'CAL4'!A:A,0),2,4,1,"CAL4")),"")</f>
        <v/>
      </c>
      <c r="T340" s="21">
        <f ca="1">IF(CALC2223!BA340&gt;0,INDIRECT(ADDRESS(MATCH(Agenda2526!C341,'CAL4'!A:A,0),3,4,1,"CAL4")),0)</f>
        <v>0</v>
      </c>
      <c r="U340" s="20" t="str">
        <f ca="1">IF(CALC2223!BA340&gt;1,INDIRECT(ADDRESS(MATCH(Agenda2526!C341,'CAL4'!A:A,0)+1,2,4,1,"CAL4")),"")</f>
        <v/>
      </c>
      <c r="V340" s="21">
        <f ca="1">IF(CALC2223!BA340&gt;1,INDIRECT(ADDRESS(MATCH(Agenda2526!C341,'CAL4'!A:A,0)+1,3,4,1,"CAL4")),0)</f>
        <v>0</v>
      </c>
      <c r="W340" s="20" t="str">
        <f ca="1">IF(CALC2223!BA340&gt;2,INDIRECT(ADDRESS(MATCH(Agenda2526!C341,'CAL4'!A:A,0)+2,2,4,1,"CAL4")),"")</f>
        <v/>
      </c>
      <c r="X340" s="21">
        <f ca="1">IF(CALC2223!BA340&gt;2,INDIRECT(ADDRESS(MATCH(Agenda2526!C341,'CAL4'!A:A,0)+2,3,4,1,"CAL4")),0)</f>
        <v>0</v>
      </c>
      <c r="Y340" s="20" t="str">
        <f ca="1">IF(CALC2223!BB340&gt;0,INDIRECT(ADDRESS(MATCH(Agenda2526!C341,'CAL5'!A:A,0),2,4,1,"CAL5")),"")</f>
        <v/>
      </c>
      <c r="Z340" s="21">
        <f ca="1">IF(CALC2223!BB340&gt;0,INDIRECT(ADDRESS(MATCH(Agenda2526!C341,'CAL5'!A:A,0),3,4,1,"CAL5")),0)</f>
        <v>0</v>
      </c>
      <c r="AA340" s="20" t="str">
        <f ca="1">IF(CALC2223!BB340&gt;1,INDIRECT(ADDRESS(MATCH(Agenda2526!C341,'CAL5'!A:A,0)+1,2,4,1,"CAL5")),"")</f>
        <v/>
      </c>
      <c r="AB340" s="21">
        <f ca="1">IF(CALC2223!BB340&gt;1,INDIRECT(ADDRESS(MATCH(Agenda2526!C341,'CAL5'!A:A,0)+1,3,4,1,"CAL5")),0)</f>
        <v>0</v>
      </c>
      <c r="AC340" s="20" t="str">
        <f ca="1">IF(CALC2223!BB340&gt;2,INDIRECT(ADDRESS(MATCH(Agenda2526!C341,'CAL5'!A:A,0)+2,2,4,1,"CAL5")),"")</f>
        <v/>
      </c>
      <c r="AD340" s="21">
        <f ca="1">IF(CALC2223!BB340&gt;2,INDIRECT(ADDRESS(MATCH(Agenda2526!C341,'CAL5'!A:A,0)+2,3,4,1,"CAL5")),0)</f>
        <v>0</v>
      </c>
      <c r="AE340" s="20" t="str">
        <f ca="1">IF(CALC2223!BC340&gt;0,INDIRECT(ADDRESS(MATCH(Agenda2526!C341,'CAL6'!A:A,0),2,4,1,"CAL6")),"")</f>
        <v/>
      </c>
      <c r="AF340" s="21">
        <f ca="1">IF(CALC2223!BC340&gt;0,INDIRECT(ADDRESS(MATCH(Agenda2526!C341,'CAL6'!A:A,0),3,4,1,"CAL6")),0)</f>
        <v>0</v>
      </c>
      <c r="AG340" s="20" t="str">
        <f ca="1">IF(CALC2223!BC340&gt;1,INDIRECT(ADDRESS(MATCH(Agenda2526!C341,'CAL6'!A:A,0)+1,2,4,1,"CAL6")),"")</f>
        <v/>
      </c>
      <c r="AH340" s="21">
        <f ca="1">IF(CALC2223!BC340&gt;1,INDIRECT(ADDRESS(MATCH(Agenda2526!C341,'CAL6'!A:A,0)+1,3,4,1,"CAL6")),0)</f>
        <v>0</v>
      </c>
      <c r="AI340" s="20" t="str">
        <f ca="1">IF(CALC2223!BC340&gt;2,INDIRECT(ADDRESS(MATCH(Agenda2526!C341,'CAL6'!A:A,0)+2,2,4,1,"CAL6")),"")</f>
        <v/>
      </c>
      <c r="AJ340" s="21">
        <f ca="1">IF(CALC2223!BC340&gt;2,INDIRECT(ADDRESS(MATCH(Agenda2526!C341,'CAL6'!A:A,0)+2,3,4,1,"CAL6")),0)</f>
        <v>0</v>
      </c>
      <c r="AK340" s="20" t="str">
        <f ca="1">IF(CALC2223!BD340&gt;0,INDIRECT(ADDRESS(MATCH(Agenda2526!C341,'CAL7'!A:A,0),2,4,1,"CAL7")),"")</f>
        <v/>
      </c>
      <c r="AL340" s="21">
        <f ca="1">IF(CALC2223!BD340&gt;0,INDIRECT(ADDRESS(MATCH(Agenda2526!C341,'CAL7'!A:A,0),3,4,1,"CAL7")),0)</f>
        <v>0</v>
      </c>
      <c r="AM340" s="20" t="str">
        <f ca="1">IF(CALC2223!BD340&gt;1,INDIRECT(ADDRESS(MATCH(Agenda2526!C341,'CAL7'!A:A,0)+1,2,4,1,"CAL7")),"")</f>
        <v/>
      </c>
      <c r="AN340" s="21">
        <f ca="1">IF(CALC2223!BD340&gt;1,INDIRECT(ADDRESS(MATCH(Agenda2526!C341,'CAL7'!A:A,0)+1,3,4,1,"CAL7")),0)</f>
        <v>0</v>
      </c>
      <c r="AO340" s="20" t="str">
        <f ca="1">IF(CALC2223!BD340&gt;2,INDIRECT(ADDRESS(MATCH(Agenda2526!C341,'CAL7'!A:A,0)+2,2,4,1,"CAL7")),"")</f>
        <v/>
      </c>
      <c r="AP340" s="21">
        <f ca="1">IF(CALC2223!BD340&gt;2,INDIRECT(ADDRESS(MATCH(Agenda2526!C341,'CAL7'!A:A,0)+2,3,4,1,"CAL7")),0)</f>
        <v>0</v>
      </c>
      <c r="AQ340" s="20" t="str">
        <f ca="1">IF(CALC2223!BE340&gt;0,INDIRECT(ADDRESS(MATCH(Agenda2526!C341,'CAL8'!A:A,0),2,4,1,"CAL8")),"")</f>
        <v/>
      </c>
      <c r="AR340" s="21">
        <f ca="1">IF(CALC2223!BE340&gt;0,INDIRECT(ADDRESS(MATCH(Agenda2526!C341,'CAL8'!A:A,0),3,4,1,"CAL8")),0)</f>
        <v>0</v>
      </c>
      <c r="AS340" s="20" t="str">
        <f ca="1">IF(CALC2223!BE340&gt;1,INDIRECT(ADDRESS(MATCH(Agenda2526!C341,'CAL8'!A:A,0)+1,2,4,1,"CAL8")),"")</f>
        <v/>
      </c>
      <c r="AT340" s="21">
        <f ca="1">IF(CALC2223!BE340&gt;1,INDIRECT(ADDRESS(MATCH(Agenda2526!C341,'CAL8'!A:A,0)+1,3,4,1,"CAL8")),0)</f>
        <v>0</v>
      </c>
      <c r="AU340" s="20" t="str">
        <f ca="1">IF(CALC2223!BE340&gt;2,INDIRECT(ADDRESS(MATCH(Agenda2526!C341,'CAL8'!A:A,0)+2,2,4,1,"CAL8")),"")</f>
        <v/>
      </c>
      <c r="AV340" s="21">
        <f ca="1">IF(CALC2223!BE340&gt;2,INDIRECT(ADDRESS(MATCH(Agenda2526!C341,'CAL8'!A:A,0)+2,3,4,1,"CAL8")),0)</f>
        <v>0</v>
      </c>
      <c r="AW340" s="107"/>
      <c r="AX340" s="20">
        <f>COUNTIF('CAL1'!A:A,Agenda2526!C341)</f>
        <v>0</v>
      </c>
      <c r="AY340" s="20">
        <f>COUNTIF('CAL2'!A:A,Agenda2526!C341)</f>
        <v>0</v>
      </c>
      <c r="AZ340" s="20">
        <f>COUNTIF('CAL3'!A:A,Agenda2526!C341)</f>
        <v>0</v>
      </c>
      <c r="BA340" s="20">
        <f>COUNTIF('CAL4'!A:A,Agenda2526!C341)</f>
        <v>0</v>
      </c>
      <c r="BB340" s="20">
        <f>COUNTIF('CAL5'!A:A,Agenda2526!C341)</f>
        <v>0</v>
      </c>
      <c r="BC340" s="20">
        <f>COUNTIF('CAL6'!A:A,Agenda2526!C341)</f>
        <v>0</v>
      </c>
      <c r="BD340" s="20">
        <f>COUNTIF('CAL7'!A:A,Agenda2526!C341)</f>
        <v>0</v>
      </c>
      <c r="BE340" s="20">
        <f>COUNTIF('CAL8'!A:A,Agenda2526!C341)</f>
        <v>0</v>
      </c>
    </row>
    <row r="341" spans="1:57" ht="15.75" customHeight="1">
      <c r="A341" s="20" t="str">
        <f ca="1">IF(CALC2223!AX341&gt;0,INDIRECT(ADDRESS(MATCH(Agenda2526!C342,'CAL1'!A:A,0),2,4,1,"CAL1")),"")</f>
        <v/>
      </c>
      <c r="B341" s="21">
        <f ca="1">IF(CALC2223!AX341&gt;0,INDIRECT(ADDRESS(MATCH(Agenda2526!C342,'CAL1'!A:A,0),3,4,1,"CAL1")),0)</f>
        <v>0</v>
      </c>
      <c r="C341" s="20" t="str">
        <f ca="1">IF(CALC2223!AX341&gt;1,INDIRECT(ADDRESS(MATCH(Agenda2526!C342,'CAL1'!A:A,0)+1,2,4,1,"CAL1")),"")</f>
        <v/>
      </c>
      <c r="D341" s="21">
        <f ca="1">IF(CALC2223!AX341&gt;1,INDIRECT(ADDRESS(MATCH(Agenda2526!C342,'CAL1'!A:A,0)+1,3,4,1,"CAL1")),0)</f>
        <v>0</v>
      </c>
      <c r="E341" s="20" t="str">
        <f ca="1">IF(CALC2223!AX341&gt;2,INDIRECT(ADDRESS(MATCH(Agenda2526!C342,'CAL1'!A:A,0)+2,2,4,1,"CAL1")),"")</f>
        <v/>
      </c>
      <c r="F341" s="21">
        <f ca="1">IF(CALC2223!AX341&gt;2,INDIRECT(ADDRESS(MATCH(Agenda2526!C342,'CAL1'!A:A,0)+2,3,4,1,"CAL1")),0)</f>
        <v>0</v>
      </c>
      <c r="G341" s="20" t="str">
        <f ca="1">IF(CALC2223!AY341&gt;0,INDIRECT(ADDRESS(MATCH(Agenda2526!C342,'CAL2'!A:A,0),2,4,1,"CAL2")),"")</f>
        <v/>
      </c>
      <c r="H341" s="21">
        <f ca="1">IF(CALC2223!AY341&gt;0,INDIRECT(ADDRESS(MATCH(Agenda2526!C342,'CAL2'!A:A,0),3,4,1,"CAL2")),0)</f>
        <v>0</v>
      </c>
      <c r="I341" s="20" t="str">
        <f ca="1">IF(CALC2223!AY341&gt;1,INDIRECT(ADDRESS(MATCH(Agenda2526!C342,'CAL2'!A:A,0)+1,2,4,1,"CAL2")),"")</f>
        <v/>
      </c>
      <c r="J341" s="21">
        <f ca="1">IF(CALC2223!AY341&gt;1,INDIRECT(ADDRESS(MATCH(Agenda2526!C342,'CAL2'!A:A,0)+1,3,4,1,"CAL2")),0)</f>
        <v>0</v>
      </c>
      <c r="K341" s="20" t="str">
        <f ca="1">IF(CALC2223!AY341&gt;2,INDIRECT(ADDRESS(MATCH(Agenda2526!C342,'CAL2'!A:A,0)+2,2,4,1,"CAL2")),"")</f>
        <v/>
      </c>
      <c r="L341" s="21">
        <f ca="1">IF(CALC2223!AY341&gt;2,INDIRECT(ADDRESS(MATCH(Agenda2526!C342,'CAL2'!A:A,0)+2,3,4,1,"CAL2")),0)</f>
        <v>0</v>
      </c>
      <c r="M341" s="20" t="str">
        <f ca="1">IF(CALC2223!AZ341&gt;0,INDIRECT(ADDRESS(MATCH(Agenda2526!C342,'CAL3'!A:A,0),2,4,1,"CAL3")),"")</f>
        <v/>
      </c>
      <c r="N341" s="21">
        <f ca="1">IF(CALC2223!AZ341&gt;0,INDIRECT(ADDRESS(MATCH(Agenda2526!C342,'CAL3'!A:A,0),3,4,1,"CAL3")),0)</f>
        <v>0</v>
      </c>
      <c r="O341" s="20" t="str">
        <f ca="1">IF(CALC2223!AZ341&gt;1,INDIRECT(ADDRESS(MATCH(Agenda2526!C342,'CAL3'!A:A,0)+1,2,4,1,"CAL3")),"")</f>
        <v/>
      </c>
      <c r="P341" s="21">
        <f ca="1">IF(CALC2223!AZ341&gt;1,INDIRECT(ADDRESS(MATCH(Agenda2526!C342,'CAL3'!A:A,0)+1,3,4,1,"CAL3")),0)</f>
        <v>0</v>
      </c>
      <c r="Q341" s="20" t="str">
        <f ca="1">IF(CALC2223!AZ341&gt;2,INDIRECT(ADDRESS(MATCH(Agenda2526!C342,'CAL3'!A:A,0)+2,2,4,1,"CAL3")),"")</f>
        <v/>
      </c>
      <c r="R341" s="21">
        <f ca="1">IF(CALC2223!AZ341&gt;2,INDIRECT(ADDRESS(MATCH(Agenda2526!C342,'CAL3'!A:A,0)+2,3,4,1,"CAL3")),0)</f>
        <v>0</v>
      </c>
      <c r="S341" s="20" t="str">
        <f ca="1">IF(CALC2223!BA341&gt;0,INDIRECT(ADDRESS(MATCH(Agenda2526!C342,'CAL4'!A:A,0),2,4,1,"CAL4")),"")</f>
        <v/>
      </c>
      <c r="T341" s="21">
        <f ca="1">IF(CALC2223!BA341&gt;0,INDIRECT(ADDRESS(MATCH(Agenda2526!C342,'CAL4'!A:A,0),3,4,1,"CAL4")),0)</f>
        <v>0</v>
      </c>
      <c r="U341" s="20" t="str">
        <f ca="1">IF(CALC2223!BA341&gt;1,INDIRECT(ADDRESS(MATCH(Agenda2526!C342,'CAL4'!A:A,0)+1,2,4,1,"CAL4")),"")</f>
        <v/>
      </c>
      <c r="V341" s="21">
        <f ca="1">IF(CALC2223!BA341&gt;1,INDIRECT(ADDRESS(MATCH(Agenda2526!C342,'CAL4'!A:A,0)+1,3,4,1,"CAL4")),0)</f>
        <v>0</v>
      </c>
      <c r="W341" s="20" t="str">
        <f ca="1">IF(CALC2223!BA341&gt;2,INDIRECT(ADDRESS(MATCH(Agenda2526!C342,'CAL4'!A:A,0)+2,2,4,1,"CAL4")),"")</f>
        <v/>
      </c>
      <c r="X341" s="21">
        <f ca="1">IF(CALC2223!BA341&gt;2,INDIRECT(ADDRESS(MATCH(Agenda2526!C342,'CAL4'!A:A,0)+2,3,4,1,"CAL4")),0)</f>
        <v>0</v>
      </c>
      <c r="Y341" s="20" t="str">
        <f ca="1">IF(CALC2223!BB341&gt;0,INDIRECT(ADDRESS(MATCH(Agenda2526!C342,'CAL5'!A:A,0),2,4,1,"CAL5")),"")</f>
        <v/>
      </c>
      <c r="Z341" s="21">
        <f ca="1">IF(CALC2223!BB341&gt;0,INDIRECT(ADDRESS(MATCH(Agenda2526!C342,'CAL5'!A:A,0),3,4,1,"CAL5")),0)</f>
        <v>0</v>
      </c>
      <c r="AA341" s="20" t="str">
        <f ca="1">IF(CALC2223!BB341&gt;1,INDIRECT(ADDRESS(MATCH(Agenda2526!C342,'CAL5'!A:A,0)+1,2,4,1,"CAL5")),"")</f>
        <v/>
      </c>
      <c r="AB341" s="21">
        <f ca="1">IF(CALC2223!BB341&gt;1,INDIRECT(ADDRESS(MATCH(Agenda2526!C342,'CAL5'!A:A,0)+1,3,4,1,"CAL5")),0)</f>
        <v>0</v>
      </c>
      <c r="AC341" s="20" t="str">
        <f ca="1">IF(CALC2223!BB341&gt;2,INDIRECT(ADDRESS(MATCH(Agenda2526!C342,'CAL5'!A:A,0)+2,2,4,1,"CAL5")),"")</f>
        <v/>
      </c>
      <c r="AD341" s="21">
        <f ca="1">IF(CALC2223!BB341&gt;2,INDIRECT(ADDRESS(MATCH(Agenda2526!C342,'CAL5'!A:A,0)+2,3,4,1,"CAL5")),0)</f>
        <v>0</v>
      </c>
      <c r="AE341" s="20" t="str">
        <f ca="1">IF(CALC2223!BC341&gt;0,INDIRECT(ADDRESS(MATCH(Agenda2526!C342,'CAL6'!A:A,0),2,4,1,"CAL6")),"")</f>
        <v/>
      </c>
      <c r="AF341" s="21">
        <f ca="1">IF(CALC2223!BC341&gt;0,INDIRECT(ADDRESS(MATCH(Agenda2526!C342,'CAL6'!A:A,0),3,4,1,"CAL6")),0)</f>
        <v>0</v>
      </c>
      <c r="AG341" s="20" t="str">
        <f ca="1">IF(CALC2223!BC341&gt;1,INDIRECT(ADDRESS(MATCH(Agenda2526!C342,'CAL6'!A:A,0)+1,2,4,1,"CAL6")),"")</f>
        <v/>
      </c>
      <c r="AH341" s="21">
        <f ca="1">IF(CALC2223!BC341&gt;1,INDIRECT(ADDRESS(MATCH(Agenda2526!C342,'CAL6'!A:A,0)+1,3,4,1,"CAL6")),0)</f>
        <v>0</v>
      </c>
      <c r="AI341" s="20" t="str">
        <f ca="1">IF(CALC2223!BC341&gt;2,INDIRECT(ADDRESS(MATCH(Agenda2526!C342,'CAL6'!A:A,0)+2,2,4,1,"CAL6")),"")</f>
        <v/>
      </c>
      <c r="AJ341" s="21">
        <f ca="1">IF(CALC2223!BC341&gt;2,INDIRECT(ADDRESS(MATCH(Agenda2526!C342,'CAL6'!A:A,0)+2,3,4,1,"CAL6")),0)</f>
        <v>0</v>
      </c>
      <c r="AK341" s="20" t="str">
        <f ca="1">IF(CALC2223!BD341&gt;0,INDIRECT(ADDRESS(MATCH(Agenda2526!C342,'CAL7'!A:A,0),2,4,1,"CAL7")),"")</f>
        <v/>
      </c>
      <c r="AL341" s="21">
        <f ca="1">IF(CALC2223!BD341&gt;0,INDIRECT(ADDRESS(MATCH(Agenda2526!C342,'CAL7'!A:A,0),3,4,1,"CAL7")),0)</f>
        <v>0</v>
      </c>
      <c r="AM341" s="20" t="str">
        <f ca="1">IF(CALC2223!BD341&gt;1,INDIRECT(ADDRESS(MATCH(Agenda2526!C342,'CAL7'!A:A,0)+1,2,4,1,"CAL7")),"")</f>
        <v/>
      </c>
      <c r="AN341" s="21">
        <f ca="1">IF(CALC2223!BD341&gt;1,INDIRECT(ADDRESS(MATCH(Agenda2526!C342,'CAL7'!A:A,0)+1,3,4,1,"CAL7")),0)</f>
        <v>0</v>
      </c>
      <c r="AO341" s="20" t="str">
        <f ca="1">IF(CALC2223!BD341&gt;2,INDIRECT(ADDRESS(MATCH(Agenda2526!C342,'CAL7'!A:A,0)+2,2,4,1,"CAL7")),"")</f>
        <v/>
      </c>
      <c r="AP341" s="21">
        <f ca="1">IF(CALC2223!BD341&gt;2,INDIRECT(ADDRESS(MATCH(Agenda2526!C342,'CAL7'!A:A,0)+2,3,4,1,"CAL7")),0)</f>
        <v>0</v>
      </c>
      <c r="AQ341" s="20" t="str">
        <f ca="1">IF(CALC2223!BE341&gt;0,INDIRECT(ADDRESS(MATCH(Agenda2526!C342,'CAL8'!A:A,0),2,4,1,"CAL8")),"")</f>
        <v/>
      </c>
      <c r="AR341" s="21">
        <f ca="1">IF(CALC2223!BE341&gt;0,INDIRECT(ADDRESS(MATCH(Agenda2526!C342,'CAL8'!A:A,0),3,4,1,"CAL8")),0)</f>
        <v>0</v>
      </c>
      <c r="AS341" s="20" t="str">
        <f ca="1">IF(CALC2223!BE341&gt;1,INDIRECT(ADDRESS(MATCH(Agenda2526!C342,'CAL8'!A:A,0)+1,2,4,1,"CAL8")),"")</f>
        <v/>
      </c>
      <c r="AT341" s="21">
        <f ca="1">IF(CALC2223!BE341&gt;1,INDIRECT(ADDRESS(MATCH(Agenda2526!C342,'CAL8'!A:A,0)+1,3,4,1,"CAL8")),0)</f>
        <v>0</v>
      </c>
      <c r="AU341" s="20" t="str">
        <f ca="1">IF(CALC2223!BE341&gt;2,INDIRECT(ADDRESS(MATCH(Agenda2526!C342,'CAL8'!A:A,0)+2,2,4,1,"CAL8")),"")</f>
        <v/>
      </c>
      <c r="AV341" s="21">
        <f ca="1">IF(CALC2223!BE341&gt;2,INDIRECT(ADDRESS(MATCH(Agenda2526!C342,'CAL8'!A:A,0)+2,3,4,1,"CAL8")),0)</f>
        <v>0</v>
      </c>
      <c r="AW341" s="107"/>
      <c r="AX341" s="20">
        <f>COUNTIF('CAL1'!A:A,Agenda2526!C342)</f>
        <v>0</v>
      </c>
      <c r="AY341" s="20">
        <f>COUNTIF('CAL2'!A:A,Agenda2526!C342)</f>
        <v>0</v>
      </c>
      <c r="AZ341" s="20">
        <f>COUNTIF('CAL3'!A:A,Agenda2526!C342)</f>
        <v>0</v>
      </c>
      <c r="BA341" s="20">
        <f>COUNTIF('CAL4'!A:A,Agenda2526!C342)</f>
        <v>0</v>
      </c>
      <c r="BB341" s="20">
        <f>COUNTIF('CAL5'!A:A,Agenda2526!C342)</f>
        <v>0</v>
      </c>
      <c r="BC341" s="20">
        <f>COUNTIF('CAL6'!A:A,Agenda2526!C342)</f>
        <v>0</v>
      </c>
      <c r="BD341" s="20">
        <f>COUNTIF('CAL7'!A:A,Agenda2526!C342)</f>
        <v>0</v>
      </c>
      <c r="BE341" s="20">
        <f>COUNTIF('CAL8'!A:A,Agenda2526!C342)</f>
        <v>0</v>
      </c>
    </row>
    <row r="342" spans="1:57" ht="15.75" customHeight="1">
      <c r="A342" s="20" t="str">
        <f ca="1">IF(CALC2223!AX342&gt;0,INDIRECT(ADDRESS(MATCH(Agenda2526!C343,'CAL1'!A:A,0),2,4,1,"CAL1")),"")</f>
        <v/>
      </c>
      <c r="B342" s="21">
        <f ca="1">IF(CALC2223!AX342&gt;0,INDIRECT(ADDRESS(MATCH(Agenda2526!C343,'CAL1'!A:A,0),3,4,1,"CAL1")),0)</f>
        <v>0</v>
      </c>
      <c r="C342" s="20" t="str">
        <f ca="1">IF(CALC2223!AX342&gt;1,INDIRECT(ADDRESS(MATCH(Agenda2526!C343,'CAL1'!A:A,0)+1,2,4,1,"CAL1")),"")</f>
        <v/>
      </c>
      <c r="D342" s="21">
        <f ca="1">IF(CALC2223!AX342&gt;1,INDIRECT(ADDRESS(MATCH(Agenda2526!C343,'CAL1'!A:A,0)+1,3,4,1,"CAL1")),0)</f>
        <v>0</v>
      </c>
      <c r="E342" s="20" t="str">
        <f ca="1">IF(CALC2223!AX342&gt;2,INDIRECT(ADDRESS(MATCH(Agenda2526!C343,'CAL1'!A:A,0)+2,2,4,1,"CAL1")),"")</f>
        <v/>
      </c>
      <c r="F342" s="21">
        <f ca="1">IF(CALC2223!AX342&gt;2,INDIRECT(ADDRESS(MATCH(Agenda2526!C343,'CAL1'!A:A,0)+2,3,4,1,"CAL1")),0)</f>
        <v>0</v>
      </c>
      <c r="G342" s="20" t="str">
        <f ca="1">IF(CALC2223!AY342&gt;0,INDIRECT(ADDRESS(MATCH(Agenda2526!C343,'CAL2'!A:A,0),2,4,1,"CAL2")),"")</f>
        <v/>
      </c>
      <c r="H342" s="21">
        <f ca="1">IF(CALC2223!AY342&gt;0,INDIRECT(ADDRESS(MATCH(Agenda2526!C343,'CAL2'!A:A,0),3,4,1,"CAL2")),0)</f>
        <v>0</v>
      </c>
      <c r="I342" s="20" t="str">
        <f ca="1">IF(CALC2223!AY342&gt;1,INDIRECT(ADDRESS(MATCH(Agenda2526!C343,'CAL2'!A:A,0)+1,2,4,1,"CAL2")),"")</f>
        <v/>
      </c>
      <c r="J342" s="21">
        <f ca="1">IF(CALC2223!AY342&gt;1,INDIRECT(ADDRESS(MATCH(Agenda2526!C343,'CAL2'!A:A,0)+1,3,4,1,"CAL2")),0)</f>
        <v>0</v>
      </c>
      <c r="K342" s="20" t="str">
        <f ca="1">IF(CALC2223!AY342&gt;2,INDIRECT(ADDRESS(MATCH(Agenda2526!C343,'CAL2'!A:A,0)+2,2,4,1,"CAL2")),"")</f>
        <v/>
      </c>
      <c r="L342" s="21">
        <f ca="1">IF(CALC2223!AY342&gt;2,INDIRECT(ADDRESS(MATCH(Agenda2526!C343,'CAL2'!A:A,0)+2,3,4,1,"CAL2")),0)</f>
        <v>0</v>
      </c>
      <c r="M342" s="20" t="str">
        <f ca="1">IF(CALC2223!AZ342&gt;0,INDIRECT(ADDRESS(MATCH(Agenda2526!C343,'CAL3'!A:A,0),2,4,1,"CAL3")),"")</f>
        <v/>
      </c>
      <c r="N342" s="21">
        <f ca="1">IF(CALC2223!AZ342&gt;0,INDIRECT(ADDRESS(MATCH(Agenda2526!C343,'CAL3'!A:A,0),3,4,1,"CAL3")),0)</f>
        <v>0</v>
      </c>
      <c r="O342" s="20" t="str">
        <f ca="1">IF(CALC2223!AZ342&gt;1,INDIRECT(ADDRESS(MATCH(Agenda2526!C343,'CAL3'!A:A,0)+1,2,4,1,"CAL3")),"")</f>
        <v/>
      </c>
      <c r="P342" s="21">
        <f ca="1">IF(CALC2223!AZ342&gt;1,INDIRECT(ADDRESS(MATCH(Agenda2526!C343,'CAL3'!A:A,0)+1,3,4,1,"CAL3")),0)</f>
        <v>0</v>
      </c>
      <c r="Q342" s="20" t="str">
        <f ca="1">IF(CALC2223!AZ342&gt;2,INDIRECT(ADDRESS(MATCH(Agenda2526!C343,'CAL3'!A:A,0)+2,2,4,1,"CAL3")),"")</f>
        <v/>
      </c>
      <c r="R342" s="21">
        <f ca="1">IF(CALC2223!AZ342&gt;2,INDIRECT(ADDRESS(MATCH(Agenda2526!C343,'CAL3'!A:A,0)+2,3,4,1,"CAL3")),0)</f>
        <v>0</v>
      </c>
      <c r="S342" s="20" t="str">
        <f ca="1">IF(CALC2223!BA342&gt;0,INDIRECT(ADDRESS(MATCH(Agenda2526!C343,'CAL4'!A:A,0),2,4,1,"CAL4")),"")</f>
        <v/>
      </c>
      <c r="T342" s="21">
        <f ca="1">IF(CALC2223!BA342&gt;0,INDIRECT(ADDRESS(MATCH(Agenda2526!C343,'CAL4'!A:A,0),3,4,1,"CAL4")),0)</f>
        <v>0</v>
      </c>
      <c r="U342" s="20" t="str">
        <f ca="1">IF(CALC2223!BA342&gt;1,INDIRECT(ADDRESS(MATCH(Agenda2526!C343,'CAL4'!A:A,0)+1,2,4,1,"CAL4")),"")</f>
        <v/>
      </c>
      <c r="V342" s="21">
        <f ca="1">IF(CALC2223!BA342&gt;1,INDIRECT(ADDRESS(MATCH(Agenda2526!C343,'CAL4'!A:A,0)+1,3,4,1,"CAL4")),0)</f>
        <v>0</v>
      </c>
      <c r="W342" s="20" t="str">
        <f ca="1">IF(CALC2223!BA342&gt;2,INDIRECT(ADDRESS(MATCH(Agenda2526!C343,'CAL4'!A:A,0)+2,2,4,1,"CAL4")),"")</f>
        <v/>
      </c>
      <c r="X342" s="21">
        <f ca="1">IF(CALC2223!BA342&gt;2,INDIRECT(ADDRESS(MATCH(Agenda2526!C343,'CAL4'!A:A,0)+2,3,4,1,"CAL4")),0)</f>
        <v>0</v>
      </c>
      <c r="Y342" s="20" t="str">
        <f ca="1">IF(CALC2223!BB342&gt;0,INDIRECT(ADDRESS(MATCH(Agenda2526!C343,'CAL5'!A:A,0),2,4,1,"CAL5")),"")</f>
        <v/>
      </c>
      <c r="Z342" s="21">
        <f ca="1">IF(CALC2223!BB342&gt;0,INDIRECT(ADDRESS(MATCH(Agenda2526!C343,'CAL5'!A:A,0),3,4,1,"CAL5")),0)</f>
        <v>0</v>
      </c>
      <c r="AA342" s="20" t="str">
        <f ca="1">IF(CALC2223!BB342&gt;1,INDIRECT(ADDRESS(MATCH(Agenda2526!C343,'CAL5'!A:A,0)+1,2,4,1,"CAL5")),"")</f>
        <v/>
      </c>
      <c r="AB342" s="21">
        <f ca="1">IF(CALC2223!BB342&gt;1,INDIRECT(ADDRESS(MATCH(Agenda2526!C343,'CAL5'!A:A,0)+1,3,4,1,"CAL5")),0)</f>
        <v>0</v>
      </c>
      <c r="AC342" s="20" t="str">
        <f ca="1">IF(CALC2223!BB342&gt;2,INDIRECT(ADDRESS(MATCH(Agenda2526!C343,'CAL5'!A:A,0)+2,2,4,1,"CAL5")),"")</f>
        <v/>
      </c>
      <c r="AD342" s="21">
        <f ca="1">IF(CALC2223!BB342&gt;2,INDIRECT(ADDRESS(MATCH(Agenda2526!C343,'CAL5'!A:A,0)+2,3,4,1,"CAL5")),0)</f>
        <v>0</v>
      </c>
      <c r="AE342" s="20" t="str">
        <f ca="1">IF(CALC2223!BC342&gt;0,INDIRECT(ADDRESS(MATCH(Agenda2526!C343,'CAL6'!A:A,0),2,4,1,"CAL6")),"")</f>
        <v/>
      </c>
      <c r="AF342" s="21">
        <f ca="1">IF(CALC2223!BC342&gt;0,INDIRECT(ADDRESS(MATCH(Agenda2526!C343,'CAL6'!A:A,0),3,4,1,"CAL6")),0)</f>
        <v>0</v>
      </c>
      <c r="AG342" s="20" t="str">
        <f ca="1">IF(CALC2223!BC342&gt;1,INDIRECT(ADDRESS(MATCH(Agenda2526!C343,'CAL6'!A:A,0)+1,2,4,1,"CAL6")),"")</f>
        <v/>
      </c>
      <c r="AH342" s="21">
        <f ca="1">IF(CALC2223!BC342&gt;1,INDIRECT(ADDRESS(MATCH(Agenda2526!C343,'CAL6'!A:A,0)+1,3,4,1,"CAL6")),0)</f>
        <v>0</v>
      </c>
      <c r="AI342" s="20" t="str">
        <f ca="1">IF(CALC2223!BC342&gt;2,INDIRECT(ADDRESS(MATCH(Agenda2526!C343,'CAL6'!A:A,0)+2,2,4,1,"CAL6")),"")</f>
        <v/>
      </c>
      <c r="AJ342" s="21">
        <f ca="1">IF(CALC2223!BC342&gt;2,INDIRECT(ADDRESS(MATCH(Agenda2526!C343,'CAL6'!A:A,0)+2,3,4,1,"CAL6")),0)</f>
        <v>0</v>
      </c>
      <c r="AK342" s="20" t="str">
        <f ca="1">IF(CALC2223!BD342&gt;0,INDIRECT(ADDRESS(MATCH(Agenda2526!C343,'CAL7'!A:A,0),2,4,1,"CAL7")),"")</f>
        <v/>
      </c>
      <c r="AL342" s="21">
        <f ca="1">IF(CALC2223!BD342&gt;0,INDIRECT(ADDRESS(MATCH(Agenda2526!C343,'CAL7'!A:A,0),3,4,1,"CAL7")),0)</f>
        <v>0</v>
      </c>
      <c r="AM342" s="20" t="str">
        <f ca="1">IF(CALC2223!BD342&gt;1,INDIRECT(ADDRESS(MATCH(Agenda2526!C343,'CAL7'!A:A,0)+1,2,4,1,"CAL7")),"")</f>
        <v/>
      </c>
      <c r="AN342" s="21">
        <f ca="1">IF(CALC2223!BD342&gt;1,INDIRECT(ADDRESS(MATCH(Agenda2526!C343,'CAL7'!A:A,0)+1,3,4,1,"CAL7")),0)</f>
        <v>0</v>
      </c>
      <c r="AO342" s="20" t="str">
        <f ca="1">IF(CALC2223!BD342&gt;2,INDIRECT(ADDRESS(MATCH(Agenda2526!C343,'CAL7'!A:A,0)+2,2,4,1,"CAL7")),"")</f>
        <v/>
      </c>
      <c r="AP342" s="21">
        <f ca="1">IF(CALC2223!BD342&gt;2,INDIRECT(ADDRESS(MATCH(Agenda2526!C343,'CAL7'!A:A,0)+2,3,4,1,"CAL7")),0)</f>
        <v>0</v>
      </c>
      <c r="AQ342" s="20" t="str">
        <f ca="1">IF(CALC2223!BE342&gt;0,INDIRECT(ADDRESS(MATCH(Agenda2526!C343,'CAL8'!A:A,0),2,4,1,"CAL8")),"")</f>
        <v/>
      </c>
      <c r="AR342" s="21">
        <f ca="1">IF(CALC2223!BE342&gt;0,INDIRECT(ADDRESS(MATCH(Agenda2526!C343,'CAL8'!A:A,0),3,4,1,"CAL8")),0)</f>
        <v>0</v>
      </c>
      <c r="AS342" s="20" t="str">
        <f ca="1">IF(CALC2223!BE342&gt;1,INDIRECT(ADDRESS(MATCH(Agenda2526!C343,'CAL8'!A:A,0)+1,2,4,1,"CAL8")),"")</f>
        <v/>
      </c>
      <c r="AT342" s="21">
        <f ca="1">IF(CALC2223!BE342&gt;1,INDIRECT(ADDRESS(MATCH(Agenda2526!C343,'CAL8'!A:A,0)+1,3,4,1,"CAL8")),0)</f>
        <v>0</v>
      </c>
      <c r="AU342" s="20" t="str">
        <f ca="1">IF(CALC2223!BE342&gt;2,INDIRECT(ADDRESS(MATCH(Agenda2526!C343,'CAL8'!A:A,0)+2,2,4,1,"CAL8")),"")</f>
        <v/>
      </c>
      <c r="AV342" s="21">
        <f ca="1">IF(CALC2223!BE342&gt;2,INDIRECT(ADDRESS(MATCH(Agenda2526!C343,'CAL8'!A:A,0)+2,3,4,1,"CAL8")),0)</f>
        <v>0</v>
      </c>
      <c r="AW342" s="107"/>
      <c r="AX342" s="20">
        <f>COUNTIF('CAL1'!A:A,Agenda2526!C343)</f>
        <v>0</v>
      </c>
      <c r="AY342" s="20">
        <f>COUNTIF('CAL2'!A:A,Agenda2526!C343)</f>
        <v>0</v>
      </c>
      <c r="AZ342" s="20">
        <f>COUNTIF('CAL3'!A:A,Agenda2526!C343)</f>
        <v>0</v>
      </c>
      <c r="BA342" s="20">
        <f>COUNTIF('CAL4'!A:A,Agenda2526!C343)</f>
        <v>0</v>
      </c>
      <c r="BB342" s="20">
        <f>COUNTIF('CAL5'!A:A,Agenda2526!C343)</f>
        <v>0</v>
      </c>
      <c r="BC342" s="20">
        <f>COUNTIF('CAL6'!A:A,Agenda2526!C343)</f>
        <v>0</v>
      </c>
      <c r="BD342" s="20">
        <f>COUNTIF('CAL7'!A:A,Agenda2526!C343)</f>
        <v>0</v>
      </c>
      <c r="BE342" s="20">
        <f>COUNTIF('CAL8'!A:A,Agenda2526!C343)</f>
        <v>0</v>
      </c>
    </row>
    <row r="343" spans="1:57" ht="15.75" customHeight="1">
      <c r="A343" s="20" t="str">
        <f ca="1">IF(CALC2223!AX343&gt;0,INDIRECT(ADDRESS(MATCH(Agenda2526!C344,'CAL1'!A:A,0),2,4,1,"CAL1")),"")</f>
        <v/>
      </c>
      <c r="B343" s="21">
        <f ca="1">IF(CALC2223!AX343&gt;0,INDIRECT(ADDRESS(MATCH(Agenda2526!C344,'CAL1'!A:A,0),3,4,1,"CAL1")),0)</f>
        <v>0</v>
      </c>
      <c r="C343" s="20" t="str">
        <f ca="1">IF(CALC2223!AX343&gt;1,INDIRECT(ADDRESS(MATCH(Agenda2526!C344,'CAL1'!A:A,0)+1,2,4,1,"CAL1")),"")</f>
        <v/>
      </c>
      <c r="D343" s="21">
        <f ca="1">IF(CALC2223!AX343&gt;1,INDIRECT(ADDRESS(MATCH(Agenda2526!C344,'CAL1'!A:A,0)+1,3,4,1,"CAL1")),0)</f>
        <v>0</v>
      </c>
      <c r="E343" s="20" t="str">
        <f ca="1">IF(CALC2223!AX343&gt;2,INDIRECT(ADDRESS(MATCH(Agenda2526!C344,'CAL1'!A:A,0)+2,2,4,1,"CAL1")),"")</f>
        <v/>
      </c>
      <c r="F343" s="21">
        <f ca="1">IF(CALC2223!AX343&gt;2,INDIRECT(ADDRESS(MATCH(Agenda2526!C344,'CAL1'!A:A,0)+2,3,4,1,"CAL1")),0)</f>
        <v>0</v>
      </c>
      <c r="G343" s="20" t="str">
        <f ca="1">IF(CALC2223!AY343&gt;0,INDIRECT(ADDRESS(MATCH(Agenda2526!C344,'CAL2'!A:A,0),2,4,1,"CAL2")),"")</f>
        <v/>
      </c>
      <c r="H343" s="21">
        <f ca="1">IF(CALC2223!AY343&gt;0,INDIRECT(ADDRESS(MATCH(Agenda2526!C344,'CAL2'!A:A,0),3,4,1,"CAL2")),0)</f>
        <v>0</v>
      </c>
      <c r="I343" s="20" t="str">
        <f ca="1">IF(CALC2223!AY343&gt;1,INDIRECT(ADDRESS(MATCH(Agenda2526!C344,'CAL2'!A:A,0)+1,2,4,1,"CAL2")),"")</f>
        <v/>
      </c>
      <c r="J343" s="21">
        <f ca="1">IF(CALC2223!AY343&gt;1,INDIRECT(ADDRESS(MATCH(Agenda2526!C344,'CAL2'!A:A,0)+1,3,4,1,"CAL2")),0)</f>
        <v>0</v>
      </c>
      <c r="K343" s="20" t="str">
        <f ca="1">IF(CALC2223!AY343&gt;2,INDIRECT(ADDRESS(MATCH(Agenda2526!C344,'CAL2'!A:A,0)+2,2,4,1,"CAL2")),"")</f>
        <v/>
      </c>
      <c r="L343" s="21">
        <f ca="1">IF(CALC2223!AY343&gt;2,INDIRECT(ADDRESS(MATCH(Agenda2526!C344,'CAL2'!A:A,0)+2,3,4,1,"CAL2")),0)</f>
        <v>0</v>
      </c>
      <c r="M343" s="20" t="str">
        <f ca="1">IF(CALC2223!AZ343&gt;0,INDIRECT(ADDRESS(MATCH(Agenda2526!C344,'CAL3'!A:A,0),2,4,1,"CAL3")),"")</f>
        <v/>
      </c>
      <c r="N343" s="21">
        <f ca="1">IF(CALC2223!AZ343&gt;0,INDIRECT(ADDRESS(MATCH(Agenda2526!C344,'CAL3'!A:A,0),3,4,1,"CAL3")),0)</f>
        <v>0</v>
      </c>
      <c r="O343" s="20" t="str">
        <f ca="1">IF(CALC2223!AZ343&gt;1,INDIRECT(ADDRESS(MATCH(Agenda2526!C344,'CAL3'!A:A,0)+1,2,4,1,"CAL3")),"")</f>
        <v/>
      </c>
      <c r="P343" s="21">
        <f ca="1">IF(CALC2223!AZ343&gt;1,INDIRECT(ADDRESS(MATCH(Agenda2526!C344,'CAL3'!A:A,0)+1,3,4,1,"CAL3")),0)</f>
        <v>0</v>
      </c>
      <c r="Q343" s="20" t="str">
        <f ca="1">IF(CALC2223!AZ343&gt;2,INDIRECT(ADDRESS(MATCH(Agenda2526!C344,'CAL3'!A:A,0)+2,2,4,1,"CAL3")),"")</f>
        <v/>
      </c>
      <c r="R343" s="21">
        <f ca="1">IF(CALC2223!AZ343&gt;2,INDIRECT(ADDRESS(MATCH(Agenda2526!C344,'CAL3'!A:A,0)+2,3,4,1,"CAL3")),0)</f>
        <v>0</v>
      </c>
      <c r="S343" s="20" t="str">
        <f ca="1">IF(CALC2223!BA343&gt;0,INDIRECT(ADDRESS(MATCH(Agenda2526!C344,'CAL4'!A:A,0),2,4,1,"CAL4")),"")</f>
        <v/>
      </c>
      <c r="T343" s="21">
        <f ca="1">IF(CALC2223!BA343&gt;0,INDIRECT(ADDRESS(MATCH(Agenda2526!C344,'CAL4'!A:A,0),3,4,1,"CAL4")),0)</f>
        <v>0</v>
      </c>
      <c r="U343" s="20" t="str">
        <f ca="1">IF(CALC2223!BA343&gt;1,INDIRECT(ADDRESS(MATCH(Agenda2526!C344,'CAL4'!A:A,0)+1,2,4,1,"CAL4")),"")</f>
        <v/>
      </c>
      <c r="V343" s="21">
        <f ca="1">IF(CALC2223!BA343&gt;1,INDIRECT(ADDRESS(MATCH(Agenda2526!C344,'CAL4'!A:A,0)+1,3,4,1,"CAL4")),0)</f>
        <v>0</v>
      </c>
      <c r="W343" s="20" t="str">
        <f ca="1">IF(CALC2223!BA343&gt;2,INDIRECT(ADDRESS(MATCH(Agenda2526!C344,'CAL4'!A:A,0)+2,2,4,1,"CAL4")),"")</f>
        <v/>
      </c>
      <c r="X343" s="21">
        <f ca="1">IF(CALC2223!BA343&gt;2,INDIRECT(ADDRESS(MATCH(Agenda2526!C344,'CAL4'!A:A,0)+2,3,4,1,"CAL4")),0)</f>
        <v>0</v>
      </c>
      <c r="Y343" s="20" t="str">
        <f ca="1">IF(CALC2223!BB343&gt;0,INDIRECT(ADDRESS(MATCH(Agenda2526!C344,'CAL5'!A:A,0),2,4,1,"CAL5")),"")</f>
        <v/>
      </c>
      <c r="Z343" s="21">
        <f ca="1">IF(CALC2223!BB343&gt;0,INDIRECT(ADDRESS(MATCH(Agenda2526!C344,'CAL5'!A:A,0),3,4,1,"CAL5")),0)</f>
        <v>0</v>
      </c>
      <c r="AA343" s="20" t="str">
        <f ca="1">IF(CALC2223!BB343&gt;1,INDIRECT(ADDRESS(MATCH(Agenda2526!C344,'CAL5'!A:A,0)+1,2,4,1,"CAL5")),"")</f>
        <v/>
      </c>
      <c r="AB343" s="21">
        <f ca="1">IF(CALC2223!BB343&gt;1,INDIRECT(ADDRESS(MATCH(Agenda2526!C344,'CAL5'!A:A,0)+1,3,4,1,"CAL5")),0)</f>
        <v>0</v>
      </c>
      <c r="AC343" s="20" t="str">
        <f ca="1">IF(CALC2223!BB343&gt;2,INDIRECT(ADDRESS(MATCH(Agenda2526!C344,'CAL5'!A:A,0)+2,2,4,1,"CAL5")),"")</f>
        <v/>
      </c>
      <c r="AD343" s="21">
        <f ca="1">IF(CALC2223!BB343&gt;2,INDIRECT(ADDRESS(MATCH(Agenda2526!C344,'CAL5'!A:A,0)+2,3,4,1,"CAL5")),0)</f>
        <v>0</v>
      </c>
      <c r="AE343" s="20" t="str">
        <f ca="1">IF(CALC2223!BC343&gt;0,INDIRECT(ADDRESS(MATCH(Agenda2526!C344,'CAL6'!A:A,0),2,4,1,"CAL6")),"")</f>
        <v/>
      </c>
      <c r="AF343" s="21">
        <f ca="1">IF(CALC2223!BC343&gt;0,INDIRECT(ADDRESS(MATCH(Agenda2526!C344,'CAL6'!A:A,0),3,4,1,"CAL6")),0)</f>
        <v>0</v>
      </c>
      <c r="AG343" s="20" t="str">
        <f ca="1">IF(CALC2223!BC343&gt;1,INDIRECT(ADDRESS(MATCH(Agenda2526!C344,'CAL6'!A:A,0)+1,2,4,1,"CAL6")),"")</f>
        <v/>
      </c>
      <c r="AH343" s="21">
        <f ca="1">IF(CALC2223!BC343&gt;1,INDIRECT(ADDRESS(MATCH(Agenda2526!C344,'CAL6'!A:A,0)+1,3,4,1,"CAL6")),0)</f>
        <v>0</v>
      </c>
      <c r="AI343" s="20" t="str">
        <f ca="1">IF(CALC2223!BC343&gt;2,INDIRECT(ADDRESS(MATCH(Agenda2526!C344,'CAL6'!A:A,0)+2,2,4,1,"CAL6")),"")</f>
        <v/>
      </c>
      <c r="AJ343" s="21">
        <f ca="1">IF(CALC2223!BC343&gt;2,INDIRECT(ADDRESS(MATCH(Agenda2526!C344,'CAL6'!A:A,0)+2,3,4,1,"CAL6")),0)</f>
        <v>0</v>
      </c>
      <c r="AK343" s="20" t="str">
        <f ca="1">IF(CALC2223!BD343&gt;0,INDIRECT(ADDRESS(MATCH(Agenda2526!C344,'CAL7'!A:A,0),2,4,1,"CAL7")),"")</f>
        <v/>
      </c>
      <c r="AL343" s="21">
        <f ca="1">IF(CALC2223!BD343&gt;0,INDIRECT(ADDRESS(MATCH(Agenda2526!C344,'CAL7'!A:A,0),3,4,1,"CAL7")),0)</f>
        <v>0</v>
      </c>
      <c r="AM343" s="20" t="str">
        <f ca="1">IF(CALC2223!BD343&gt;1,INDIRECT(ADDRESS(MATCH(Agenda2526!C344,'CAL7'!A:A,0)+1,2,4,1,"CAL7")),"")</f>
        <v/>
      </c>
      <c r="AN343" s="21">
        <f ca="1">IF(CALC2223!BD343&gt;1,INDIRECT(ADDRESS(MATCH(Agenda2526!C344,'CAL7'!A:A,0)+1,3,4,1,"CAL7")),0)</f>
        <v>0</v>
      </c>
      <c r="AO343" s="20" t="str">
        <f ca="1">IF(CALC2223!BD343&gt;2,INDIRECT(ADDRESS(MATCH(Agenda2526!C344,'CAL7'!A:A,0)+2,2,4,1,"CAL7")),"")</f>
        <v/>
      </c>
      <c r="AP343" s="21">
        <f ca="1">IF(CALC2223!BD343&gt;2,INDIRECT(ADDRESS(MATCH(Agenda2526!C344,'CAL7'!A:A,0)+2,3,4,1,"CAL7")),0)</f>
        <v>0</v>
      </c>
      <c r="AQ343" s="20" t="str">
        <f ca="1">IF(CALC2223!BE343&gt;0,INDIRECT(ADDRESS(MATCH(Agenda2526!C344,'CAL8'!A:A,0),2,4,1,"CAL8")),"")</f>
        <v/>
      </c>
      <c r="AR343" s="21">
        <f ca="1">IF(CALC2223!BE343&gt;0,INDIRECT(ADDRESS(MATCH(Agenda2526!C344,'CAL8'!A:A,0),3,4,1,"CAL8")),0)</f>
        <v>0</v>
      </c>
      <c r="AS343" s="20" t="str">
        <f ca="1">IF(CALC2223!BE343&gt;1,INDIRECT(ADDRESS(MATCH(Agenda2526!C344,'CAL8'!A:A,0)+1,2,4,1,"CAL8")),"")</f>
        <v/>
      </c>
      <c r="AT343" s="21">
        <f ca="1">IF(CALC2223!BE343&gt;1,INDIRECT(ADDRESS(MATCH(Agenda2526!C344,'CAL8'!A:A,0)+1,3,4,1,"CAL8")),0)</f>
        <v>0</v>
      </c>
      <c r="AU343" s="20" t="str">
        <f ca="1">IF(CALC2223!BE343&gt;2,INDIRECT(ADDRESS(MATCH(Agenda2526!C344,'CAL8'!A:A,0)+2,2,4,1,"CAL8")),"")</f>
        <v/>
      </c>
      <c r="AV343" s="21">
        <f ca="1">IF(CALC2223!BE343&gt;2,INDIRECT(ADDRESS(MATCH(Agenda2526!C344,'CAL8'!A:A,0)+2,3,4,1,"CAL8")),0)</f>
        <v>0</v>
      </c>
      <c r="AW343" s="106"/>
      <c r="AX343" s="20">
        <f>COUNTIF('CAL1'!A:A,Agenda2526!C344)</f>
        <v>0</v>
      </c>
      <c r="AY343" s="20">
        <f>COUNTIF('CAL2'!A:A,Agenda2526!C344)</f>
        <v>0</v>
      </c>
      <c r="AZ343" s="20">
        <f>COUNTIF('CAL3'!A:A,Agenda2526!C344)</f>
        <v>0</v>
      </c>
      <c r="BA343" s="20">
        <f>COUNTIF('CAL4'!A:A,Agenda2526!C344)</f>
        <v>0</v>
      </c>
      <c r="BB343" s="20">
        <f>COUNTIF('CAL5'!A:A,Agenda2526!C344)</f>
        <v>0</v>
      </c>
      <c r="BC343" s="20">
        <f>COUNTIF('CAL6'!A:A,Agenda2526!C344)</f>
        <v>0</v>
      </c>
      <c r="BD343" s="20">
        <f>COUNTIF('CAL7'!A:A,Agenda2526!C344)</f>
        <v>0</v>
      </c>
      <c r="BE343" s="20">
        <f>COUNTIF('CAL8'!A:A,Agenda2526!C344)</f>
        <v>0</v>
      </c>
    </row>
    <row r="344" spans="1:57" ht="15.75" customHeight="1">
      <c r="A344" s="20" t="str">
        <f ca="1">IF(CALC2223!AX344&gt;0,INDIRECT(ADDRESS(MATCH(Agenda2526!C345,'CAL1'!A:A,0),2,4,1,"CAL1")),"")</f>
        <v/>
      </c>
      <c r="B344" s="21">
        <f ca="1">IF(CALC2223!AX344&gt;0,INDIRECT(ADDRESS(MATCH(Agenda2526!C345,'CAL1'!A:A,0),3,4,1,"CAL1")),0)</f>
        <v>0</v>
      </c>
      <c r="C344" s="20" t="str">
        <f ca="1">IF(CALC2223!AX344&gt;1,INDIRECT(ADDRESS(MATCH(Agenda2526!C345,'CAL1'!A:A,0)+1,2,4,1,"CAL1")),"")</f>
        <v/>
      </c>
      <c r="D344" s="21">
        <f ca="1">IF(CALC2223!AX344&gt;1,INDIRECT(ADDRESS(MATCH(Agenda2526!C345,'CAL1'!A:A,0)+1,3,4,1,"CAL1")),0)</f>
        <v>0</v>
      </c>
      <c r="E344" s="20" t="str">
        <f ca="1">IF(CALC2223!AX344&gt;2,INDIRECT(ADDRESS(MATCH(Agenda2526!C345,'CAL1'!A:A,0)+2,2,4,1,"CAL1")),"")</f>
        <v/>
      </c>
      <c r="F344" s="21">
        <f ca="1">IF(CALC2223!AX344&gt;2,INDIRECT(ADDRESS(MATCH(Agenda2526!C345,'CAL1'!A:A,0)+2,3,4,1,"CAL1")),0)</f>
        <v>0</v>
      </c>
      <c r="G344" s="20" t="str">
        <f ca="1">IF(CALC2223!AY344&gt;0,INDIRECT(ADDRESS(MATCH(Agenda2526!C345,'CAL2'!A:A,0),2,4,1,"CAL2")),"")</f>
        <v/>
      </c>
      <c r="H344" s="21">
        <f ca="1">IF(CALC2223!AY344&gt;0,INDIRECT(ADDRESS(MATCH(Agenda2526!C345,'CAL2'!A:A,0),3,4,1,"CAL2")),0)</f>
        <v>0</v>
      </c>
      <c r="I344" s="20" t="str">
        <f ca="1">IF(CALC2223!AY344&gt;1,INDIRECT(ADDRESS(MATCH(Agenda2526!C345,'CAL2'!A:A,0)+1,2,4,1,"CAL2")),"")</f>
        <v/>
      </c>
      <c r="J344" s="21">
        <f ca="1">IF(CALC2223!AY344&gt;1,INDIRECT(ADDRESS(MATCH(Agenda2526!C345,'CAL2'!A:A,0)+1,3,4,1,"CAL2")),0)</f>
        <v>0</v>
      </c>
      <c r="K344" s="20" t="str">
        <f ca="1">IF(CALC2223!AY344&gt;2,INDIRECT(ADDRESS(MATCH(Agenda2526!C345,'CAL2'!A:A,0)+2,2,4,1,"CAL2")),"")</f>
        <v/>
      </c>
      <c r="L344" s="21">
        <f ca="1">IF(CALC2223!AY344&gt;2,INDIRECT(ADDRESS(MATCH(Agenda2526!C345,'CAL2'!A:A,0)+2,3,4,1,"CAL2")),0)</f>
        <v>0</v>
      </c>
      <c r="M344" s="20" t="str">
        <f ca="1">IF(CALC2223!AZ344&gt;0,INDIRECT(ADDRESS(MATCH(Agenda2526!C345,'CAL3'!A:A,0),2,4,1,"CAL3")),"")</f>
        <v/>
      </c>
      <c r="N344" s="21">
        <f ca="1">IF(CALC2223!AZ344&gt;0,INDIRECT(ADDRESS(MATCH(Agenda2526!C345,'CAL3'!A:A,0),3,4,1,"CAL3")),0)</f>
        <v>0</v>
      </c>
      <c r="O344" s="20" t="str">
        <f ca="1">IF(CALC2223!AZ344&gt;1,INDIRECT(ADDRESS(MATCH(Agenda2526!C345,'CAL3'!A:A,0)+1,2,4,1,"CAL3")),"")</f>
        <v/>
      </c>
      <c r="P344" s="21">
        <f ca="1">IF(CALC2223!AZ344&gt;1,INDIRECT(ADDRESS(MATCH(Agenda2526!C345,'CAL3'!A:A,0)+1,3,4,1,"CAL3")),0)</f>
        <v>0</v>
      </c>
      <c r="Q344" s="20" t="str">
        <f ca="1">IF(CALC2223!AZ344&gt;2,INDIRECT(ADDRESS(MATCH(Agenda2526!C345,'CAL3'!A:A,0)+2,2,4,1,"CAL3")),"")</f>
        <v/>
      </c>
      <c r="R344" s="21">
        <f ca="1">IF(CALC2223!AZ344&gt;2,INDIRECT(ADDRESS(MATCH(Agenda2526!C345,'CAL3'!A:A,0)+2,3,4,1,"CAL3")),0)</f>
        <v>0</v>
      </c>
      <c r="S344" s="20" t="str">
        <f ca="1">IF(CALC2223!BA344&gt;0,INDIRECT(ADDRESS(MATCH(Agenda2526!C345,'CAL4'!A:A,0),2,4,1,"CAL4")),"")</f>
        <v/>
      </c>
      <c r="T344" s="21">
        <f ca="1">IF(CALC2223!BA344&gt;0,INDIRECT(ADDRESS(MATCH(Agenda2526!C345,'CAL4'!A:A,0),3,4,1,"CAL4")),0)</f>
        <v>0</v>
      </c>
      <c r="U344" s="20" t="str">
        <f ca="1">IF(CALC2223!BA344&gt;1,INDIRECT(ADDRESS(MATCH(Agenda2526!C345,'CAL4'!A:A,0)+1,2,4,1,"CAL4")),"")</f>
        <v/>
      </c>
      <c r="V344" s="21">
        <f ca="1">IF(CALC2223!BA344&gt;1,INDIRECT(ADDRESS(MATCH(Agenda2526!C345,'CAL4'!A:A,0)+1,3,4,1,"CAL4")),0)</f>
        <v>0</v>
      </c>
      <c r="W344" s="20" t="str">
        <f ca="1">IF(CALC2223!BA344&gt;2,INDIRECT(ADDRESS(MATCH(Agenda2526!C345,'CAL4'!A:A,0)+2,2,4,1,"CAL4")),"")</f>
        <v/>
      </c>
      <c r="X344" s="21">
        <f ca="1">IF(CALC2223!BA344&gt;2,INDIRECT(ADDRESS(MATCH(Agenda2526!C345,'CAL4'!A:A,0)+2,3,4,1,"CAL4")),0)</f>
        <v>0</v>
      </c>
      <c r="Y344" s="20" t="str">
        <f ca="1">IF(CALC2223!BB344&gt;0,INDIRECT(ADDRESS(MATCH(Agenda2526!C345,'CAL5'!A:A,0),2,4,1,"CAL5")),"")</f>
        <v/>
      </c>
      <c r="Z344" s="21">
        <f ca="1">IF(CALC2223!BB344&gt;0,INDIRECT(ADDRESS(MATCH(Agenda2526!C345,'CAL5'!A:A,0),3,4,1,"CAL5")),0)</f>
        <v>0</v>
      </c>
      <c r="AA344" s="20" t="str">
        <f ca="1">IF(CALC2223!BB344&gt;1,INDIRECT(ADDRESS(MATCH(Agenda2526!C345,'CAL5'!A:A,0)+1,2,4,1,"CAL5")),"")</f>
        <v/>
      </c>
      <c r="AB344" s="21">
        <f ca="1">IF(CALC2223!BB344&gt;1,INDIRECT(ADDRESS(MATCH(Agenda2526!C345,'CAL5'!A:A,0)+1,3,4,1,"CAL5")),0)</f>
        <v>0</v>
      </c>
      <c r="AC344" s="20" t="str">
        <f ca="1">IF(CALC2223!BB344&gt;2,INDIRECT(ADDRESS(MATCH(Agenda2526!C345,'CAL5'!A:A,0)+2,2,4,1,"CAL5")),"")</f>
        <v/>
      </c>
      <c r="AD344" s="21">
        <f ca="1">IF(CALC2223!BB344&gt;2,INDIRECT(ADDRESS(MATCH(Agenda2526!C345,'CAL5'!A:A,0)+2,3,4,1,"CAL5")),0)</f>
        <v>0</v>
      </c>
      <c r="AE344" s="20" t="str">
        <f ca="1">IF(CALC2223!BC344&gt;0,INDIRECT(ADDRESS(MATCH(Agenda2526!C345,'CAL6'!A:A,0),2,4,1,"CAL6")),"")</f>
        <v/>
      </c>
      <c r="AF344" s="21">
        <f ca="1">IF(CALC2223!BC344&gt;0,INDIRECT(ADDRESS(MATCH(Agenda2526!C345,'CAL6'!A:A,0),3,4,1,"CAL6")),0)</f>
        <v>0</v>
      </c>
      <c r="AG344" s="20" t="str">
        <f ca="1">IF(CALC2223!BC344&gt;1,INDIRECT(ADDRESS(MATCH(Agenda2526!C345,'CAL6'!A:A,0)+1,2,4,1,"CAL6")),"")</f>
        <v/>
      </c>
      <c r="AH344" s="21">
        <f ca="1">IF(CALC2223!BC344&gt;1,INDIRECT(ADDRESS(MATCH(Agenda2526!C345,'CAL6'!A:A,0)+1,3,4,1,"CAL6")),0)</f>
        <v>0</v>
      </c>
      <c r="AI344" s="20" t="str">
        <f ca="1">IF(CALC2223!BC344&gt;2,INDIRECT(ADDRESS(MATCH(Agenda2526!C345,'CAL6'!A:A,0)+2,2,4,1,"CAL6")),"")</f>
        <v/>
      </c>
      <c r="AJ344" s="21">
        <f ca="1">IF(CALC2223!BC344&gt;2,INDIRECT(ADDRESS(MATCH(Agenda2526!C345,'CAL6'!A:A,0)+2,3,4,1,"CAL6")),0)</f>
        <v>0</v>
      </c>
      <c r="AK344" s="20" t="str">
        <f ca="1">IF(CALC2223!BD344&gt;0,INDIRECT(ADDRESS(MATCH(Agenda2526!C345,'CAL7'!A:A,0),2,4,1,"CAL7")),"")</f>
        <v/>
      </c>
      <c r="AL344" s="21">
        <f ca="1">IF(CALC2223!BD344&gt;0,INDIRECT(ADDRESS(MATCH(Agenda2526!C345,'CAL7'!A:A,0),3,4,1,"CAL7")),0)</f>
        <v>0</v>
      </c>
      <c r="AM344" s="20" t="str">
        <f ca="1">IF(CALC2223!BD344&gt;1,INDIRECT(ADDRESS(MATCH(Agenda2526!C345,'CAL7'!A:A,0)+1,2,4,1,"CAL7")),"")</f>
        <v/>
      </c>
      <c r="AN344" s="21">
        <f ca="1">IF(CALC2223!BD344&gt;1,INDIRECT(ADDRESS(MATCH(Agenda2526!C345,'CAL7'!A:A,0)+1,3,4,1,"CAL7")),0)</f>
        <v>0</v>
      </c>
      <c r="AO344" s="20" t="str">
        <f ca="1">IF(CALC2223!BD344&gt;2,INDIRECT(ADDRESS(MATCH(Agenda2526!C345,'CAL7'!A:A,0)+2,2,4,1,"CAL7")),"")</f>
        <v/>
      </c>
      <c r="AP344" s="21">
        <f ca="1">IF(CALC2223!BD344&gt;2,INDIRECT(ADDRESS(MATCH(Agenda2526!C345,'CAL7'!A:A,0)+2,3,4,1,"CAL7")),0)</f>
        <v>0</v>
      </c>
      <c r="AQ344" s="20" t="str">
        <f ca="1">IF(CALC2223!BE344&gt;0,INDIRECT(ADDRESS(MATCH(Agenda2526!C345,'CAL8'!A:A,0),2,4,1,"CAL8")),"")</f>
        <v/>
      </c>
      <c r="AR344" s="21">
        <f ca="1">IF(CALC2223!BE344&gt;0,INDIRECT(ADDRESS(MATCH(Agenda2526!C345,'CAL8'!A:A,0),3,4,1,"CAL8")),0)</f>
        <v>0</v>
      </c>
      <c r="AS344" s="20" t="str">
        <f ca="1">IF(CALC2223!BE344&gt;1,INDIRECT(ADDRESS(MATCH(Agenda2526!C345,'CAL8'!A:A,0)+1,2,4,1,"CAL8")),"")</f>
        <v/>
      </c>
      <c r="AT344" s="21">
        <f ca="1">IF(CALC2223!BE344&gt;1,INDIRECT(ADDRESS(MATCH(Agenda2526!C345,'CAL8'!A:A,0)+1,3,4,1,"CAL8")),0)</f>
        <v>0</v>
      </c>
      <c r="AU344" s="20" t="str">
        <f ca="1">IF(CALC2223!BE344&gt;2,INDIRECT(ADDRESS(MATCH(Agenda2526!C345,'CAL8'!A:A,0)+2,2,4,1,"CAL8")),"")</f>
        <v/>
      </c>
      <c r="AV344" s="21">
        <f ca="1">IF(CALC2223!BE344&gt;2,INDIRECT(ADDRESS(MATCH(Agenda2526!C345,'CAL8'!A:A,0)+2,3,4,1,"CAL8")),0)</f>
        <v>0</v>
      </c>
      <c r="AW344" s="106"/>
      <c r="AX344" s="20">
        <f>COUNTIF('CAL1'!A:A,Agenda2526!C345)</f>
        <v>0</v>
      </c>
      <c r="AY344" s="20">
        <f>COUNTIF('CAL2'!A:A,Agenda2526!C345)</f>
        <v>0</v>
      </c>
      <c r="AZ344" s="20">
        <f>COUNTIF('CAL3'!A:A,Agenda2526!C345)</f>
        <v>0</v>
      </c>
      <c r="BA344" s="20">
        <f>COUNTIF('CAL4'!A:A,Agenda2526!C345)</f>
        <v>0</v>
      </c>
      <c r="BB344" s="20">
        <f>COUNTIF('CAL5'!A:A,Agenda2526!C345)</f>
        <v>0</v>
      </c>
      <c r="BC344" s="20">
        <f>COUNTIF('CAL6'!A:A,Agenda2526!C345)</f>
        <v>0</v>
      </c>
      <c r="BD344" s="20">
        <f>COUNTIF('CAL7'!A:A,Agenda2526!C345)</f>
        <v>0</v>
      </c>
      <c r="BE344" s="20">
        <f>COUNTIF('CAL8'!A:A,Agenda2526!C345)</f>
        <v>0</v>
      </c>
    </row>
    <row r="345" spans="1:57" ht="15.75" customHeight="1">
      <c r="A345" s="20" t="str">
        <f ca="1">IF(CALC2223!AX345&gt;0,INDIRECT(ADDRESS(MATCH(Agenda2526!C346,'CAL1'!A:A,0),2,4,1,"CAL1")),"")</f>
        <v/>
      </c>
      <c r="B345" s="21">
        <f ca="1">IF(CALC2223!AX345&gt;0,INDIRECT(ADDRESS(MATCH(Agenda2526!C346,'CAL1'!A:A,0),3,4,1,"CAL1")),0)</f>
        <v>0</v>
      </c>
      <c r="C345" s="20" t="str">
        <f ca="1">IF(CALC2223!AX345&gt;1,INDIRECT(ADDRESS(MATCH(Agenda2526!C346,'CAL1'!A:A,0)+1,2,4,1,"CAL1")),"")</f>
        <v/>
      </c>
      <c r="D345" s="21">
        <f ca="1">IF(CALC2223!AX345&gt;1,INDIRECT(ADDRESS(MATCH(Agenda2526!C346,'CAL1'!A:A,0)+1,3,4,1,"CAL1")),0)</f>
        <v>0</v>
      </c>
      <c r="E345" s="20" t="str">
        <f ca="1">IF(CALC2223!AX345&gt;2,INDIRECT(ADDRESS(MATCH(Agenda2526!C346,'CAL1'!A:A,0)+2,2,4,1,"CAL1")),"")</f>
        <v/>
      </c>
      <c r="F345" s="21">
        <f ca="1">IF(CALC2223!AX345&gt;2,INDIRECT(ADDRESS(MATCH(Agenda2526!C346,'CAL1'!A:A,0)+2,3,4,1,"CAL1")),0)</f>
        <v>0</v>
      </c>
      <c r="G345" s="20" t="str">
        <f ca="1">IF(CALC2223!AY345&gt;0,INDIRECT(ADDRESS(MATCH(Agenda2526!C346,'CAL2'!A:A,0),2,4,1,"CAL2")),"")</f>
        <v/>
      </c>
      <c r="H345" s="21">
        <f ca="1">IF(CALC2223!AY345&gt;0,INDIRECT(ADDRESS(MATCH(Agenda2526!C346,'CAL2'!A:A,0),3,4,1,"CAL2")),0)</f>
        <v>0</v>
      </c>
      <c r="I345" s="20" t="str">
        <f ca="1">IF(CALC2223!AY345&gt;1,INDIRECT(ADDRESS(MATCH(Agenda2526!C346,'CAL2'!A:A,0)+1,2,4,1,"CAL2")),"")</f>
        <v/>
      </c>
      <c r="J345" s="21">
        <f ca="1">IF(CALC2223!AY345&gt;1,INDIRECT(ADDRESS(MATCH(Agenda2526!C346,'CAL2'!A:A,0)+1,3,4,1,"CAL2")),0)</f>
        <v>0</v>
      </c>
      <c r="K345" s="20" t="str">
        <f ca="1">IF(CALC2223!AY345&gt;2,INDIRECT(ADDRESS(MATCH(Agenda2526!C346,'CAL2'!A:A,0)+2,2,4,1,"CAL2")),"")</f>
        <v/>
      </c>
      <c r="L345" s="21">
        <f ca="1">IF(CALC2223!AY345&gt;2,INDIRECT(ADDRESS(MATCH(Agenda2526!C346,'CAL2'!A:A,0)+2,3,4,1,"CAL2")),0)</f>
        <v>0</v>
      </c>
      <c r="M345" s="20" t="str">
        <f ca="1">IF(CALC2223!AZ345&gt;0,INDIRECT(ADDRESS(MATCH(Agenda2526!C346,'CAL3'!A:A,0),2,4,1,"CAL3")),"")</f>
        <v/>
      </c>
      <c r="N345" s="21">
        <f ca="1">IF(CALC2223!AZ345&gt;0,INDIRECT(ADDRESS(MATCH(Agenda2526!C346,'CAL3'!A:A,0),3,4,1,"CAL3")),0)</f>
        <v>0</v>
      </c>
      <c r="O345" s="20" t="str">
        <f ca="1">IF(CALC2223!AZ345&gt;1,INDIRECT(ADDRESS(MATCH(Agenda2526!C346,'CAL3'!A:A,0)+1,2,4,1,"CAL3")),"")</f>
        <v/>
      </c>
      <c r="P345" s="21">
        <f ca="1">IF(CALC2223!AZ345&gt;1,INDIRECT(ADDRESS(MATCH(Agenda2526!C346,'CAL3'!A:A,0)+1,3,4,1,"CAL3")),0)</f>
        <v>0</v>
      </c>
      <c r="Q345" s="20" t="str">
        <f ca="1">IF(CALC2223!AZ345&gt;2,INDIRECT(ADDRESS(MATCH(Agenda2526!C346,'CAL3'!A:A,0)+2,2,4,1,"CAL3")),"")</f>
        <v/>
      </c>
      <c r="R345" s="21">
        <f ca="1">IF(CALC2223!AZ345&gt;2,INDIRECT(ADDRESS(MATCH(Agenda2526!C346,'CAL3'!A:A,0)+2,3,4,1,"CAL3")),0)</f>
        <v>0</v>
      </c>
      <c r="S345" s="20" t="str">
        <f ca="1">IF(CALC2223!BA345&gt;0,INDIRECT(ADDRESS(MATCH(Agenda2526!C346,'CAL4'!A:A,0),2,4,1,"CAL4")),"")</f>
        <v/>
      </c>
      <c r="T345" s="21">
        <f ca="1">IF(CALC2223!BA345&gt;0,INDIRECT(ADDRESS(MATCH(Agenda2526!C346,'CAL4'!A:A,0),3,4,1,"CAL4")),0)</f>
        <v>0</v>
      </c>
      <c r="U345" s="20" t="str">
        <f ca="1">IF(CALC2223!BA345&gt;1,INDIRECT(ADDRESS(MATCH(Agenda2526!C346,'CAL4'!A:A,0)+1,2,4,1,"CAL4")),"")</f>
        <v/>
      </c>
      <c r="V345" s="21">
        <f ca="1">IF(CALC2223!BA345&gt;1,INDIRECT(ADDRESS(MATCH(Agenda2526!C346,'CAL4'!A:A,0)+1,3,4,1,"CAL4")),0)</f>
        <v>0</v>
      </c>
      <c r="W345" s="20" t="str">
        <f ca="1">IF(CALC2223!BA345&gt;2,INDIRECT(ADDRESS(MATCH(Agenda2526!C346,'CAL4'!A:A,0)+2,2,4,1,"CAL4")),"")</f>
        <v/>
      </c>
      <c r="X345" s="21">
        <f ca="1">IF(CALC2223!BA345&gt;2,INDIRECT(ADDRESS(MATCH(Agenda2526!C346,'CAL4'!A:A,0)+2,3,4,1,"CAL4")),0)</f>
        <v>0</v>
      </c>
      <c r="Y345" s="20" t="str">
        <f ca="1">IF(CALC2223!BB345&gt;0,INDIRECT(ADDRESS(MATCH(Agenda2526!C346,'CAL5'!A:A,0),2,4,1,"CAL5")),"")</f>
        <v/>
      </c>
      <c r="Z345" s="21">
        <f ca="1">IF(CALC2223!BB345&gt;0,INDIRECT(ADDRESS(MATCH(Agenda2526!C346,'CAL5'!A:A,0),3,4,1,"CAL5")),0)</f>
        <v>0</v>
      </c>
      <c r="AA345" s="20" t="str">
        <f ca="1">IF(CALC2223!BB345&gt;1,INDIRECT(ADDRESS(MATCH(Agenda2526!C346,'CAL5'!A:A,0)+1,2,4,1,"CAL5")),"")</f>
        <v/>
      </c>
      <c r="AB345" s="21">
        <f ca="1">IF(CALC2223!BB345&gt;1,INDIRECT(ADDRESS(MATCH(Agenda2526!C346,'CAL5'!A:A,0)+1,3,4,1,"CAL5")),0)</f>
        <v>0</v>
      </c>
      <c r="AC345" s="20" t="str">
        <f ca="1">IF(CALC2223!BB345&gt;2,INDIRECT(ADDRESS(MATCH(Agenda2526!C346,'CAL5'!A:A,0)+2,2,4,1,"CAL5")),"")</f>
        <v/>
      </c>
      <c r="AD345" s="21">
        <f ca="1">IF(CALC2223!BB345&gt;2,INDIRECT(ADDRESS(MATCH(Agenda2526!C346,'CAL5'!A:A,0)+2,3,4,1,"CAL5")),0)</f>
        <v>0</v>
      </c>
      <c r="AE345" s="20" t="str">
        <f ca="1">IF(CALC2223!BC345&gt;0,INDIRECT(ADDRESS(MATCH(Agenda2526!C346,'CAL6'!A:A,0),2,4,1,"CAL6")),"")</f>
        <v/>
      </c>
      <c r="AF345" s="21">
        <f ca="1">IF(CALC2223!BC345&gt;0,INDIRECT(ADDRESS(MATCH(Agenda2526!C346,'CAL6'!A:A,0),3,4,1,"CAL6")),0)</f>
        <v>0</v>
      </c>
      <c r="AG345" s="20" t="str">
        <f ca="1">IF(CALC2223!BC345&gt;1,INDIRECT(ADDRESS(MATCH(Agenda2526!C346,'CAL6'!A:A,0)+1,2,4,1,"CAL6")),"")</f>
        <v/>
      </c>
      <c r="AH345" s="21">
        <f ca="1">IF(CALC2223!BC345&gt;1,INDIRECT(ADDRESS(MATCH(Agenda2526!C346,'CAL6'!A:A,0)+1,3,4,1,"CAL6")),0)</f>
        <v>0</v>
      </c>
      <c r="AI345" s="20" t="str">
        <f ca="1">IF(CALC2223!BC345&gt;2,INDIRECT(ADDRESS(MATCH(Agenda2526!C346,'CAL6'!A:A,0)+2,2,4,1,"CAL6")),"")</f>
        <v/>
      </c>
      <c r="AJ345" s="21">
        <f ca="1">IF(CALC2223!BC345&gt;2,INDIRECT(ADDRESS(MATCH(Agenda2526!C346,'CAL6'!A:A,0)+2,3,4,1,"CAL6")),0)</f>
        <v>0</v>
      </c>
      <c r="AK345" s="20" t="str">
        <f ca="1">IF(CALC2223!BD345&gt;0,INDIRECT(ADDRESS(MATCH(Agenda2526!C346,'CAL7'!A:A,0),2,4,1,"CAL7")),"")</f>
        <v/>
      </c>
      <c r="AL345" s="21">
        <f ca="1">IF(CALC2223!BD345&gt;0,INDIRECT(ADDRESS(MATCH(Agenda2526!C346,'CAL7'!A:A,0),3,4,1,"CAL7")),0)</f>
        <v>0</v>
      </c>
      <c r="AM345" s="20" t="str">
        <f ca="1">IF(CALC2223!BD345&gt;1,INDIRECT(ADDRESS(MATCH(Agenda2526!C346,'CAL7'!A:A,0)+1,2,4,1,"CAL7")),"")</f>
        <v/>
      </c>
      <c r="AN345" s="21">
        <f ca="1">IF(CALC2223!BD345&gt;1,INDIRECT(ADDRESS(MATCH(Agenda2526!C346,'CAL7'!A:A,0)+1,3,4,1,"CAL7")),0)</f>
        <v>0</v>
      </c>
      <c r="AO345" s="20" t="str">
        <f ca="1">IF(CALC2223!BD345&gt;2,INDIRECT(ADDRESS(MATCH(Agenda2526!C346,'CAL7'!A:A,0)+2,2,4,1,"CAL7")),"")</f>
        <v/>
      </c>
      <c r="AP345" s="21">
        <f ca="1">IF(CALC2223!BD345&gt;2,INDIRECT(ADDRESS(MATCH(Agenda2526!C346,'CAL7'!A:A,0)+2,3,4,1,"CAL7")),0)</f>
        <v>0</v>
      </c>
      <c r="AQ345" s="20" t="str">
        <f ca="1">IF(CALC2223!BE345&gt;0,INDIRECT(ADDRESS(MATCH(Agenda2526!C346,'CAL8'!A:A,0),2,4,1,"CAL8")),"")</f>
        <v/>
      </c>
      <c r="AR345" s="21">
        <f ca="1">IF(CALC2223!BE345&gt;0,INDIRECT(ADDRESS(MATCH(Agenda2526!C346,'CAL8'!A:A,0),3,4,1,"CAL8")),0)</f>
        <v>0</v>
      </c>
      <c r="AS345" s="20" t="str">
        <f ca="1">IF(CALC2223!BE345&gt;1,INDIRECT(ADDRESS(MATCH(Agenda2526!C346,'CAL8'!A:A,0)+1,2,4,1,"CAL8")),"")</f>
        <v/>
      </c>
      <c r="AT345" s="21">
        <f ca="1">IF(CALC2223!BE345&gt;1,INDIRECT(ADDRESS(MATCH(Agenda2526!C346,'CAL8'!A:A,0)+1,3,4,1,"CAL8")),0)</f>
        <v>0</v>
      </c>
      <c r="AU345" s="20" t="str">
        <f ca="1">IF(CALC2223!BE345&gt;2,INDIRECT(ADDRESS(MATCH(Agenda2526!C346,'CAL8'!A:A,0)+2,2,4,1,"CAL8")),"")</f>
        <v/>
      </c>
      <c r="AV345" s="21">
        <f ca="1">IF(CALC2223!BE345&gt;2,INDIRECT(ADDRESS(MATCH(Agenda2526!C346,'CAL8'!A:A,0)+2,3,4,1,"CAL8")),0)</f>
        <v>0</v>
      </c>
      <c r="AW345" s="107" t="s">
        <v>123</v>
      </c>
      <c r="AX345" s="20">
        <f>COUNTIF('CAL1'!A:A,Agenda2526!C346)</f>
        <v>0</v>
      </c>
      <c r="AY345" s="20">
        <f>COUNTIF('CAL2'!A:A,Agenda2526!C346)</f>
        <v>0</v>
      </c>
      <c r="AZ345" s="20">
        <f>COUNTIF('CAL3'!A:A,Agenda2526!C346)</f>
        <v>0</v>
      </c>
      <c r="BA345" s="20">
        <f>COUNTIF('CAL4'!A:A,Agenda2526!C346)</f>
        <v>0</v>
      </c>
      <c r="BB345" s="20">
        <f>COUNTIF('CAL5'!A:A,Agenda2526!C346)</f>
        <v>0</v>
      </c>
      <c r="BC345" s="20">
        <f>COUNTIF('CAL6'!A:A,Agenda2526!C346)</f>
        <v>0</v>
      </c>
      <c r="BD345" s="20">
        <f>COUNTIF('CAL7'!A:A,Agenda2526!C346)</f>
        <v>0</v>
      </c>
      <c r="BE345" s="20">
        <f>COUNTIF('CAL8'!A:A,Agenda2526!C346)</f>
        <v>0</v>
      </c>
    </row>
    <row r="346" spans="1:57" ht="15.75" customHeight="1">
      <c r="A346" s="20" t="str">
        <f ca="1">IF(CALC2223!AX346&gt;0,INDIRECT(ADDRESS(MATCH(Agenda2526!C347,'CAL1'!A:A,0),2,4,1,"CAL1")),"")</f>
        <v/>
      </c>
      <c r="B346" s="21">
        <f ca="1">IF(CALC2223!AX346&gt;0,INDIRECT(ADDRESS(MATCH(Agenda2526!C347,'CAL1'!A:A,0),3,4,1,"CAL1")),0)</f>
        <v>0</v>
      </c>
      <c r="C346" s="20" t="str">
        <f ca="1">IF(CALC2223!AX346&gt;1,INDIRECT(ADDRESS(MATCH(Agenda2526!C347,'CAL1'!A:A,0)+1,2,4,1,"CAL1")),"")</f>
        <v/>
      </c>
      <c r="D346" s="21">
        <f ca="1">IF(CALC2223!AX346&gt;1,INDIRECT(ADDRESS(MATCH(Agenda2526!C347,'CAL1'!A:A,0)+1,3,4,1,"CAL1")),0)</f>
        <v>0</v>
      </c>
      <c r="E346" s="20" t="str">
        <f ca="1">IF(CALC2223!AX346&gt;2,INDIRECT(ADDRESS(MATCH(Agenda2526!C347,'CAL1'!A:A,0)+2,2,4,1,"CAL1")),"")</f>
        <v/>
      </c>
      <c r="F346" s="21">
        <f ca="1">IF(CALC2223!AX346&gt;2,INDIRECT(ADDRESS(MATCH(Agenda2526!C347,'CAL1'!A:A,0)+2,3,4,1,"CAL1")),0)</f>
        <v>0</v>
      </c>
      <c r="G346" s="20" t="str">
        <f ca="1">IF(CALC2223!AY346&gt;0,INDIRECT(ADDRESS(MATCH(Agenda2526!C347,'CAL2'!A:A,0),2,4,1,"CAL2")),"")</f>
        <v/>
      </c>
      <c r="H346" s="21">
        <f ca="1">IF(CALC2223!AY346&gt;0,INDIRECT(ADDRESS(MATCH(Agenda2526!C347,'CAL2'!A:A,0),3,4,1,"CAL2")),0)</f>
        <v>0</v>
      </c>
      <c r="I346" s="20" t="str">
        <f ca="1">IF(CALC2223!AY346&gt;1,INDIRECT(ADDRESS(MATCH(Agenda2526!C347,'CAL2'!A:A,0)+1,2,4,1,"CAL2")),"")</f>
        <v/>
      </c>
      <c r="J346" s="21">
        <f ca="1">IF(CALC2223!AY346&gt;1,INDIRECT(ADDRESS(MATCH(Agenda2526!C347,'CAL2'!A:A,0)+1,3,4,1,"CAL2")),0)</f>
        <v>0</v>
      </c>
      <c r="K346" s="20" t="str">
        <f ca="1">IF(CALC2223!AY346&gt;2,INDIRECT(ADDRESS(MATCH(Agenda2526!C347,'CAL2'!A:A,0)+2,2,4,1,"CAL2")),"")</f>
        <v/>
      </c>
      <c r="L346" s="21">
        <f ca="1">IF(CALC2223!AY346&gt;2,INDIRECT(ADDRESS(MATCH(Agenda2526!C347,'CAL2'!A:A,0)+2,3,4,1,"CAL2")),0)</f>
        <v>0</v>
      </c>
      <c r="M346" s="20" t="str">
        <f ca="1">IF(CALC2223!AZ346&gt;0,INDIRECT(ADDRESS(MATCH(Agenda2526!C347,'CAL3'!A:A,0),2,4,1,"CAL3")),"")</f>
        <v/>
      </c>
      <c r="N346" s="21">
        <f ca="1">IF(CALC2223!AZ346&gt;0,INDIRECT(ADDRESS(MATCH(Agenda2526!C347,'CAL3'!A:A,0),3,4,1,"CAL3")),0)</f>
        <v>0</v>
      </c>
      <c r="O346" s="20" t="str">
        <f ca="1">IF(CALC2223!AZ346&gt;1,INDIRECT(ADDRESS(MATCH(Agenda2526!C347,'CAL3'!A:A,0)+1,2,4,1,"CAL3")),"")</f>
        <v/>
      </c>
      <c r="P346" s="21">
        <f ca="1">IF(CALC2223!AZ346&gt;1,INDIRECT(ADDRESS(MATCH(Agenda2526!C347,'CAL3'!A:A,0)+1,3,4,1,"CAL3")),0)</f>
        <v>0</v>
      </c>
      <c r="Q346" s="20" t="str">
        <f ca="1">IF(CALC2223!AZ346&gt;2,INDIRECT(ADDRESS(MATCH(Agenda2526!C347,'CAL3'!A:A,0)+2,2,4,1,"CAL3")),"")</f>
        <v/>
      </c>
      <c r="R346" s="21">
        <f ca="1">IF(CALC2223!AZ346&gt;2,INDIRECT(ADDRESS(MATCH(Agenda2526!C347,'CAL3'!A:A,0)+2,3,4,1,"CAL3")),0)</f>
        <v>0</v>
      </c>
      <c r="S346" s="20" t="str">
        <f ca="1">IF(CALC2223!BA346&gt;0,INDIRECT(ADDRESS(MATCH(Agenda2526!C347,'CAL4'!A:A,0),2,4,1,"CAL4")),"")</f>
        <v/>
      </c>
      <c r="T346" s="21">
        <f ca="1">IF(CALC2223!BA346&gt;0,INDIRECT(ADDRESS(MATCH(Agenda2526!C347,'CAL4'!A:A,0),3,4,1,"CAL4")),0)</f>
        <v>0</v>
      </c>
      <c r="U346" s="20" t="str">
        <f ca="1">IF(CALC2223!BA346&gt;1,INDIRECT(ADDRESS(MATCH(Agenda2526!C347,'CAL4'!A:A,0)+1,2,4,1,"CAL4")),"")</f>
        <v/>
      </c>
      <c r="V346" s="21">
        <f ca="1">IF(CALC2223!BA346&gt;1,INDIRECT(ADDRESS(MATCH(Agenda2526!C347,'CAL4'!A:A,0)+1,3,4,1,"CAL4")),0)</f>
        <v>0</v>
      </c>
      <c r="W346" s="20" t="str">
        <f ca="1">IF(CALC2223!BA346&gt;2,INDIRECT(ADDRESS(MATCH(Agenda2526!C347,'CAL4'!A:A,0)+2,2,4,1,"CAL4")),"")</f>
        <v/>
      </c>
      <c r="X346" s="21">
        <f ca="1">IF(CALC2223!BA346&gt;2,INDIRECT(ADDRESS(MATCH(Agenda2526!C347,'CAL4'!A:A,0)+2,3,4,1,"CAL4")),0)</f>
        <v>0</v>
      </c>
      <c r="Y346" s="20" t="str">
        <f ca="1">IF(CALC2223!BB346&gt;0,INDIRECT(ADDRESS(MATCH(Agenda2526!C347,'CAL5'!A:A,0),2,4,1,"CAL5")),"")</f>
        <v/>
      </c>
      <c r="Z346" s="21">
        <f ca="1">IF(CALC2223!BB346&gt;0,INDIRECT(ADDRESS(MATCH(Agenda2526!C347,'CAL5'!A:A,0),3,4,1,"CAL5")),0)</f>
        <v>0</v>
      </c>
      <c r="AA346" s="20" t="str">
        <f ca="1">IF(CALC2223!BB346&gt;1,INDIRECT(ADDRESS(MATCH(Agenda2526!C347,'CAL5'!A:A,0)+1,2,4,1,"CAL5")),"")</f>
        <v/>
      </c>
      <c r="AB346" s="21">
        <f ca="1">IF(CALC2223!BB346&gt;1,INDIRECT(ADDRESS(MATCH(Agenda2526!C347,'CAL5'!A:A,0)+1,3,4,1,"CAL5")),0)</f>
        <v>0</v>
      </c>
      <c r="AC346" s="20" t="str">
        <f ca="1">IF(CALC2223!BB346&gt;2,INDIRECT(ADDRESS(MATCH(Agenda2526!C347,'CAL5'!A:A,0)+2,2,4,1,"CAL5")),"")</f>
        <v/>
      </c>
      <c r="AD346" s="21">
        <f ca="1">IF(CALC2223!BB346&gt;2,INDIRECT(ADDRESS(MATCH(Agenda2526!C347,'CAL5'!A:A,0)+2,3,4,1,"CAL5")),0)</f>
        <v>0</v>
      </c>
      <c r="AE346" s="20" t="str">
        <f ca="1">IF(CALC2223!BC346&gt;0,INDIRECT(ADDRESS(MATCH(Agenda2526!C347,'CAL6'!A:A,0),2,4,1,"CAL6")),"")</f>
        <v/>
      </c>
      <c r="AF346" s="21">
        <f ca="1">IF(CALC2223!BC346&gt;0,INDIRECT(ADDRESS(MATCH(Agenda2526!C347,'CAL6'!A:A,0),3,4,1,"CAL6")),0)</f>
        <v>0</v>
      </c>
      <c r="AG346" s="20" t="str">
        <f ca="1">IF(CALC2223!BC346&gt;1,INDIRECT(ADDRESS(MATCH(Agenda2526!C347,'CAL6'!A:A,0)+1,2,4,1,"CAL6")),"")</f>
        <v/>
      </c>
      <c r="AH346" s="21">
        <f ca="1">IF(CALC2223!BC346&gt;1,INDIRECT(ADDRESS(MATCH(Agenda2526!C347,'CAL6'!A:A,0)+1,3,4,1,"CAL6")),0)</f>
        <v>0</v>
      </c>
      <c r="AI346" s="20" t="str">
        <f ca="1">IF(CALC2223!BC346&gt;2,INDIRECT(ADDRESS(MATCH(Agenda2526!C347,'CAL6'!A:A,0)+2,2,4,1,"CAL6")),"")</f>
        <v/>
      </c>
      <c r="AJ346" s="21">
        <f ca="1">IF(CALC2223!BC346&gt;2,INDIRECT(ADDRESS(MATCH(Agenda2526!C347,'CAL6'!A:A,0)+2,3,4,1,"CAL6")),0)</f>
        <v>0</v>
      </c>
      <c r="AK346" s="20" t="str">
        <f ca="1">IF(CALC2223!BD346&gt;0,INDIRECT(ADDRESS(MATCH(Agenda2526!C347,'CAL7'!A:A,0),2,4,1,"CAL7")),"")</f>
        <v/>
      </c>
      <c r="AL346" s="21">
        <f ca="1">IF(CALC2223!BD346&gt;0,INDIRECT(ADDRESS(MATCH(Agenda2526!C347,'CAL7'!A:A,0),3,4,1,"CAL7")),0)</f>
        <v>0</v>
      </c>
      <c r="AM346" s="20" t="str">
        <f ca="1">IF(CALC2223!BD346&gt;1,INDIRECT(ADDRESS(MATCH(Agenda2526!C347,'CAL7'!A:A,0)+1,2,4,1,"CAL7")),"")</f>
        <v/>
      </c>
      <c r="AN346" s="21">
        <f ca="1">IF(CALC2223!BD346&gt;1,INDIRECT(ADDRESS(MATCH(Agenda2526!C347,'CAL7'!A:A,0)+1,3,4,1,"CAL7")),0)</f>
        <v>0</v>
      </c>
      <c r="AO346" s="20" t="str">
        <f ca="1">IF(CALC2223!BD346&gt;2,INDIRECT(ADDRESS(MATCH(Agenda2526!C347,'CAL7'!A:A,0)+2,2,4,1,"CAL7")),"")</f>
        <v/>
      </c>
      <c r="AP346" s="21">
        <f ca="1">IF(CALC2223!BD346&gt;2,INDIRECT(ADDRESS(MATCH(Agenda2526!C347,'CAL7'!A:A,0)+2,3,4,1,"CAL7")),0)</f>
        <v>0</v>
      </c>
      <c r="AQ346" s="20" t="str">
        <f ca="1">IF(CALC2223!BE346&gt;0,INDIRECT(ADDRESS(MATCH(Agenda2526!C347,'CAL8'!A:A,0),2,4,1,"CAL8")),"")</f>
        <v/>
      </c>
      <c r="AR346" s="21">
        <f ca="1">IF(CALC2223!BE346&gt;0,INDIRECT(ADDRESS(MATCH(Agenda2526!C347,'CAL8'!A:A,0),3,4,1,"CAL8")),0)</f>
        <v>0</v>
      </c>
      <c r="AS346" s="20" t="str">
        <f ca="1">IF(CALC2223!BE346&gt;1,INDIRECT(ADDRESS(MATCH(Agenda2526!C347,'CAL8'!A:A,0)+1,2,4,1,"CAL8")),"")</f>
        <v/>
      </c>
      <c r="AT346" s="21">
        <f ca="1">IF(CALC2223!BE346&gt;1,INDIRECT(ADDRESS(MATCH(Agenda2526!C347,'CAL8'!A:A,0)+1,3,4,1,"CAL8")),0)</f>
        <v>0</v>
      </c>
      <c r="AU346" s="20" t="str">
        <f ca="1">IF(CALC2223!BE346&gt;2,INDIRECT(ADDRESS(MATCH(Agenda2526!C347,'CAL8'!A:A,0)+2,2,4,1,"CAL8")),"")</f>
        <v/>
      </c>
      <c r="AV346" s="21">
        <f ca="1">IF(CALC2223!BE346&gt;2,INDIRECT(ADDRESS(MATCH(Agenda2526!C347,'CAL8'!A:A,0)+2,3,4,1,"CAL8")),0)</f>
        <v>0</v>
      </c>
      <c r="AW346" s="107"/>
      <c r="AX346" s="20">
        <f>COUNTIF('CAL1'!A:A,Agenda2526!C347)</f>
        <v>0</v>
      </c>
      <c r="AY346" s="20">
        <f>COUNTIF('CAL2'!A:A,Agenda2526!C347)</f>
        <v>0</v>
      </c>
      <c r="AZ346" s="20">
        <f>COUNTIF('CAL3'!A:A,Agenda2526!C347)</f>
        <v>0</v>
      </c>
      <c r="BA346" s="20">
        <f>COUNTIF('CAL4'!A:A,Agenda2526!C347)</f>
        <v>0</v>
      </c>
      <c r="BB346" s="20">
        <f>COUNTIF('CAL5'!A:A,Agenda2526!C347)</f>
        <v>0</v>
      </c>
      <c r="BC346" s="20">
        <f>COUNTIF('CAL6'!A:A,Agenda2526!C347)</f>
        <v>0</v>
      </c>
      <c r="BD346" s="20">
        <f>COUNTIF('CAL7'!A:A,Agenda2526!C347)</f>
        <v>0</v>
      </c>
      <c r="BE346" s="20">
        <f>COUNTIF('CAL8'!A:A,Agenda2526!C347)</f>
        <v>0</v>
      </c>
    </row>
    <row r="347" spans="1:57" ht="15.75" customHeight="1">
      <c r="A347" s="20" t="str">
        <f ca="1">IF(CALC2223!AX347&gt;0,INDIRECT(ADDRESS(MATCH(Agenda2526!C348,'CAL1'!A:A,0),2,4,1,"CAL1")),"")</f>
        <v/>
      </c>
      <c r="B347" s="21">
        <f ca="1">IF(CALC2223!AX347&gt;0,INDIRECT(ADDRESS(MATCH(Agenda2526!C348,'CAL1'!A:A,0),3,4,1,"CAL1")),0)</f>
        <v>0</v>
      </c>
      <c r="C347" s="20" t="str">
        <f ca="1">IF(CALC2223!AX347&gt;1,INDIRECT(ADDRESS(MATCH(Agenda2526!C348,'CAL1'!A:A,0)+1,2,4,1,"CAL1")),"")</f>
        <v/>
      </c>
      <c r="D347" s="21">
        <f ca="1">IF(CALC2223!AX347&gt;1,INDIRECT(ADDRESS(MATCH(Agenda2526!C348,'CAL1'!A:A,0)+1,3,4,1,"CAL1")),0)</f>
        <v>0</v>
      </c>
      <c r="E347" s="20" t="str">
        <f ca="1">IF(CALC2223!AX347&gt;2,INDIRECT(ADDRESS(MATCH(Agenda2526!C348,'CAL1'!A:A,0)+2,2,4,1,"CAL1")),"")</f>
        <v/>
      </c>
      <c r="F347" s="21">
        <f ca="1">IF(CALC2223!AX347&gt;2,INDIRECT(ADDRESS(MATCH(Agenda2526!C348,'CAL1'!A:A,0)+2,3,4,1,"CAL1")),0)</f>
        <v>0</v>
      </c>
      <c r="G347" s="20" t="str">
        <f ca="1">IF(CALC2223!AY347&gt;0,INDIRECT(ADDRESS(MATCH(Agenda2526!C348,'CAL2'!A:A,0),2,4,1,"CAL2")),"")</f>
        <v/>
      </c>
      <c r="H347" s="21">
        <f ca="1">IF(CALC2223!AY347&gt;0,INDIRECT(ADDRESS(MATCH(Agenda2526!C348,'CAL2'!A:A,0),3,4,1,"CAL2")),0)</f>
        <v>0</v>
      </c>
      <c r="I347" s="20" t="str">
        <f ca="1">IF(CALC2223!AY347&gt;1,INDIRECT(ADDRESS(MATCH(Agenda2526!C348,'CAL2'!A:A,0)+1,2,4,1,"CAL2")),"")</f>
        <v/>
      </c>
      <c r="J347" s="21">
        <f ca="1">IF(CALC2223!AY347&gt;1,INDIRECT(ADDRESS(MATCH(Agenda2526!C348,'CAL2'!A:A,0)+1,3,4,1,"CAL2")),0)</f>
        <v>0</v>
      </c>
      <c r="K347" s="20" t="str">
        <f ca="1">IF(CALC2223!AY347&gt;2,INDIRECT(ADDRESS(MATCH(Agenda2526!C348,'CAL2'!A:A,0)+2,2,4,1,"CAL2")),"")</f>
        <v/>
      </c>
      <c r="L347" s="21">
        <f ca="1">IF(CALC2223!AY347&gt;2,INDIRECT(ADDRESS(MATCH(Agenda2526!C348,'CAL2'!A:A,0)+2,3,4,1,"CAL2")),0)</f>
        <v>0</v>
      </c>
      <c r="M347" s="20" t="str">
        <f ca="1">IF(CALC2223!AZ347&gt;0,INDIRECT(ADDRESS(MATCH(Agenda2526!C348,'CAL3'!A:A,0),2,4,1,"CAL3")),"")</f>
        <v/>
      </c>
      <c r="N347" s="21">
        <f ca="1">IF(CALC2223!AZ347&gt;0,INDIRECT(ADDRESS(MATCH(Agenda2526!C348,'CAL3'!A:A,0),3,4,1,"CAL3")),0)</f>
        <v>0</v>
      </c>
      <c r="O347" s="20" t="str">
        <f ca="1">IF(CALC2223!AZ347&gt;1,INDIRECT(ADDRESS(MATCH(Agenda2526!C348,'CAL3'!A:A,0)+1,2,4,1,"CAL3")),"")</f>
        <v/>
      </c>
      <c r="P347" s="21">
        <f ca="1">IF(CALC2223!AZ347&gt;1,INDIRECT(ADDRESS(MATCH(Agenda2526!C348,'CAL3'!A:A,0)+1,3,4,1,"CAL3")),0)</f>
        <v>0</v>
      </c>
      <c r="Q347" s="20" t="str">
        <f ca="1">IF(CALC2223!AZ347&gt;2,INDIRECT(ADDRESS(MATCH(Agenda2526!C348,'CAL3'!A:A,0)+2,2,4,1,"CAL3")),"")</f>
        <v/>
      </c>
      <c r="R347" s="21">
        <f ca="1">IF(CALC2223!AZ347&gt;2,INDIRECT(ADDRESS(MATCH(Agenda2526!C348,'CAL3'!A:A,0)+2,3,4,1,"CAL3")),0)</f>
        <v>0</v>
      </c>
      <c r="S347" s="20" t="str">
        <f ca="1">IF(CALC2223!BA347&gt;0,INDIRECT(ADDRESS(MATCH(Agenda2526!C348,'CAL4'!A:A,0),2,4,1,"CAL4")),"")</f>
        <v/>
      </c>
      <c r="T347" s="21">
        <f ca="1">IF(CALC2223!BA347&gt;0,INDIRECT(ADDRESS(MATCH(Agenda2526!C348,'CAL4'!A:A,0),3,4,1,"CAL4")),0)</f>
        <v>0</v>
      </c>
      <c r="U347" s="20" t="str">
        <f ca="1">IF(CALC2223!BA347&gt;1,INDIRECT(ADDRESS(MATCH(Agenda2526!C348,'CAL4'!A:A,0)+1,2,4,1,"CAL4")),"")</f>
        <v/>
      </c>
      <c r="V347" s="21">
        <f ca="1">IF(CALC2223!BA347&gt;1,INDIRECT(ADDRESS(MATCH(Agenda2526!C348,'CAL4'!A:A,0)+1,3,4,1,"CAL4")),0)</f>
        <v>0</v>
      </c>
      <c r="W347" s="20" t="str">
        <f ca="1">IF(CALC2223!BA347&gt;2,INDIRECT(ADDRESS(MATCH(Agenda2526!C348,'CAL4'!A:A,0)+2,2,4,1,"CAL4")),"")</f>
        <v/>
      </c>
      <c r="X347" s="21">
        <f ca="1">IF(CALC2223!BA347&gt;2,INDIRECT(ADDRESS(MATCH(Agenda2526!C348,'CAL4'!A:A,0)+2,3,4,1,"CAL4")),0)</f>
        <v>0</v>
      </c>
      <c r="Y347" s="20" t="str">
        <f ca="1">IF(CALC2223!BB347&gt;0,INDIRECT(ADDRESS(MATCH(Agenda2526!C348,'CAL5'!A:A,0),2,4,1,"CAL5")),"")</f>
        <v/>
      </c>
      <c r="Z347" s="21">
        <f ca="1">IF(CALC2223!BB347&gt;0,INDIRECT(ADDRESS(MATCH(Agenda2526!C348,'CAL5'!A:A,0),3,4,1,"CAL5")),0)</f>
        <v>0</v>
      </c>
      <c r="AA347" s="20" t="str">
        <f ca="1">IF(CALC2223!BB347&gt;1,INDIRECT(ADDRESS(MATCH(Agenda2526!C348,'CAL5'!A:A,0)+1,2,4,1,"CAL5")),"")</f>
        <v/>
      </c>
      <c r="AB347" s="21">
        <f ca="1">IF(CALC2223!BB347&gt;1,INDIRECT(ADDRESS(MATCH(Agenda2526!C348,'CAL5'!A:A,0)+1,3,4,1,"CAL5")),0)</f>
        <v>0</v>
      </c>
      <c r="AC347" s="20" t="str">
        <f ca="1">IF(CALC2223!BB347&gt;2,INDIRECT(ADDRESS(MATCH(Agenda2526!C348,'CAL5'!A:A,0)+2,2,4,1,"CAL5")),"")</f>
        <v/>
      </c>
      <c r="AD347" s="21">
        <f ca="1">IF(CALC2223!BB347&gt;2,INDIRECT(ADDRESS(MATCH(Agenda2526!C348,'CAL5'!A:A,0)+2,3,4,1,"CAL5")),0)</f>
        <v>0</v>
      </c>
      <c r="AE347" s="20" t="str">
        <f ca="1">IF(CALC2223!BC347&gt;0,INDIRECT(ADDRESS(MATCH(Agenda2526!C348,'CAL6'!A:A,0),2,4,1,"CAL6")),"")</f>
        <v/>
      </c>
      <c r="AF347" s="21">
        <f ca="1">IF(CALC2223!BC347&gt;0,INDIRECT(ADDRESS(MATCH(Agenda2526!C348,'CAL6'!A:A,0),3,4,1,"CAL6")),0)</f>
        <v>0</v>
      </c>
      <c r="AG347" s="20" t="str">
        <f ca="1">IF(CALC2223!BC347&gt;1,INDIRECT(ADDRESS(MATCH(Agenda2526!C348,'CAL6'!A:A,0)+1,2,4,1,"CAL6")),"")</f>
        <v/>
      </c>
      <c r="AH347" s="21">
        <f ca="1">IF(CALC2223!BC347&gt;1,INDIRECT(ADDRESS(MATCH(Agenda2526!C348,'CAL6'!A:A,0)+1,3,4,1,"CAL6")),0)</f>
        <v>0</v>
      </c>
      <c r="AI347" s="20" t="str">
        <f ca="1">IF(CALC2223!BC347&gt;2,INDIRECT(ADDRESS(MATCH(Agenda2526!C348,'CAL6'!A:A,0)+2,2,4,1,"CAL6")),"")</f>
        <v/>
      </c>
      <c r="AJ347" s="21">
        <f ca="1">IF(CALC2223!BC347&gt;2,INDIRECT(ADDRESS(MATCH(Agenda2526!C348,'CAL6'!A:A,0)+2,3,4,1,"CAL6")),0)</f>
        <v>0</v>
      </c>
      <c r="AK347" s="20" t="str">
        <f ca="1">IF(CALC2223!BD347&gt;0,INDIRECT(ADDRESS(MATCH(Agenda2526!C348,'CAL7'!A:A,0),2,4,1,"CAL7")),"")</f>
        <v/>
      </c>
      <c r="AL347" s="21">
        <f ca="1">IF(CALC2223!BD347&gt;0,INDIRECT(ADDRESS(MATCH(Agenda2526!C348,'CAL7'!A:A,0),3,4,1,"CAL7")),0)</f>
        <v>0</v>
      </c>
      <c r="AM347" s="20" t="str">
        <f ca="1">IF(CALC2223!BD347&gt;1,INDIRECT(ADDRESS(MATCH(Agenda2526!C348,'CAL7'!A:A,0)+1,2,4,1,"CAL7")),"")</f>
        <v/>
      </c>
      <c r="AN347" s="21">
        <f ca="1">IF(CALC2223!BD347&gt;1,INDIRECT(ADDRESS(MATCH(Agenda2526!C348,'CAL7'!A:A,0)+1,3,4,1,"CAL7")),0)</f>
        <v>0</v>
      </c>
      <c r="AO347" s="20" t="str">
        <f ca="1">IF(CALC2223!BD347&gt;2,INDIRECT(ADDRESS(MATCH(Agenda2526!C348,'CAL7'!A:A,0)+2,2,4,1,"CAL7")),"")</f>
        <v/>
      </c>
      <c r="AP347" s="21">
        <f ca="1">IF(CALC2223!BD347&gt;2,INDIRECT(ADDRESS(MATCH(Agenda2526!C348,'CAL7'!A:A,0)+2,3,4,1,"CAL7")),0)</f>
        <v>0</v>
      </c>
      <c r="AQ347" s="20" t="str">
        <f ca="1">IF(CALC2223!BE347&gt;0,INDIRECT(ADDRESS(MATCH(Agenda2526!C348,'CAL8'!A:A,0),2,4,1,"CAL8")),"")</f>
        <v/>
      </c>
      <c r="AR347" s="21">
        <f ca="1">IF(CALC2223!BE347&gt;0,INDIRECT(ADDRESS(MATCH(Agenda2526!C348,'CAL8'!A:A,0),3,4,1,"CAL8")),0)</f>
        <v>0</v>
      </c>
      <c r="AS347" s="20" t="str">
        <f ca="1">IF(CALC2223!BE347&gt;1,INDIRECT(ADDRESS(MATCH(Agenda2526!C348,'CAL8'!A:A,0)+1,2,4,1,"CAL8")),"")</f>
        <v/>
      </c>
      <c r="AT347" s="21">
        <f ca="1">IF(CALC2223!BE347&gt;1,INDIRECT(ADDRESS(MATCH(Agenda2526!C348,'CAL8'!A:A,0)+1,3,4,1,"CAL8")),0)</f>
        <v>0</v>
      </c>
      <c r="AU347" s="20" t="str">
        <f ca="1">IF(CALC2223!BE347&gt;2,INDIRECT(ADDRESS(MATCH(Agenda2526!C348,'CAL8'!A:A,0)+2,2,4,1,"CAL8")),"")</f>
        <v/>
      </c>
      <c r="AV347" s="21">
        <f ca="1">IF(CALC2223!BE347&gt;2,INDIRECT(ADDRESS(MATCH(Agenda2526!C348,'CAL8'!A:A,0)+2,3,4,1,"CAL8")),0)</f>
        <v>0</v>
      </c>
      <c r="AW347" s="107"/>
      <c r="AX347" s="20">
        <f>COUNTIF('CAL1'!A:A,Agenda2526!C348)</f>
        <v>0</v>
      </c>
      <c r="AY347" s="20">
        <f>COUNTIF('CAL2'!A:A,Agenda2526!C348)</f>
        <v>0</v>
      </c>
      <c r="AZ347" s="20">
        <f>COUNTIF('CAL3'!A:A,Agenda2526!C348)</f>
        <v>0</v>
      </c>
      <c r="BA347" s="20">
        <f>COUNTIF('CAL4'!A:A,Agenda2526!C348)</f>
        <v>0</v>
      </c>
      <c r="BB347" s="20">
        <f>COUNTIF('CAL5'!A:A,Agenda2526!C348)</f>
        <v>0</v>
      </c>
      <c r="BC347" s="20">
        <f>COUNTIF('CAL6'!A:A,Agenda2526!C348)</f>
        <v>0</v>
      </c>
      <c r="BD347" s="20">
        <f>COUNTIF('CAL7'!A:A,Agenda2526!C348)</f>
        <v>0</v>
      </c>
      <c r="BE347" s="20">
        <f>COUNTIF('CAL8'!A:A,Agenda2526!C348)</f>
        <v>0</v>
      </c>
    </row>
    <row r="348" spans="1:57" ht="15.75" customHeight="1">
      <c r="A348" s="20" t="str">
        <f ca="1">IF(CALC2223!AX348&gt;0,INDIRECT(ADDRESS(MATCH(Agenda2526!C349,'CAL1'!A:A,0),2,4,1,"CAL1")),"")</f>
        <v/>
      </c>
      <c r="B348" s="21">
        <f ca="1">IF(CALC2223!AX348&gt;0,INDIRECT(ADDRESS(MATCH(Agenda2526!C349,'CAL1'!A:A,0),3,4,1,"CAL1")),0)</f>
        <v>0</v>
      </c>
      <c r="C348" s="20" t="str">
        <f ca="1">IF(CALC2223!AX348&gt;1,INDIRECT(ADDRESS(MATCH(Agenda2526!C349,'CAL1'!A:A,0)+1,2,4,1,"CAL1")),"")</f>
        <v/>
      </c>
      <c r="D348" s="21">
        <f ca="1">IF(CALC2223!AX348&gt;1,INDIRECT(ADDRESS(MATCH(Agenda2526!C349,'CAL1'!A:A,0)+1,3,4,1,"CAL1")),0)</f>
        <v>0</v>
      </c>
      <c r="E348" s="20" t="str">
        <f ca="1">IF(CALC2223!AX348&gt;2,INDIRECT(ADDRESS(MATCH(Agenda2526!C349,'CAL1'!A:A,0)+2,2,4,1,"CAL1")),"")</f>
        <v/>
      </c>
      <c r="F348" s="21">
        <f ca="1">IF(CALC2223!AX348&gt;2,INDIRECT(ADDRESS(MATCH(Agenda2526!C349,'CAL1'!A:A,0)+2,3,4,1,"CAL1")),0)</f>
        <v>0</v>
      </c>
      <c r="G348" s="20" t="str">
        <f ca="1">IF(CALC2223!AY348&gt;0,INDIRECT(ADDRESS(MATCH(Agenda2526!C349,'CAL2'!A:A,0),2,4,1,"CAL2")),"")</f>
        <v/>
      </c>
      <c r="H348" s="21">
        <f ca="1">IF(CALC2223!AY348&gt;0,INDIRECT(ADDRESS(MATCH(Agenda2526!C349,'CAL2'!A:A,0),3,4,1,"CAL2")),0)</f>
        <v>0</v>
      </c>
      <c r="I348" s="20" t="str">
        <f ca="1">IF(CALC2223!AY348&gt;1,INDIRECT(ADDRESS(MATCH(Agenda2526!C349,'CAL2'!A:A,0)+1,2,4,1,"CAL2")),"")</f>
        <v/>
      </c>
      <c r="J348" s="21">
        <f ca="1">IF(CALC2223!AY348&gt;1,INDIRECT(ADDRESS(MATCH(Agenda2526!C349,'CAL2'!A:A,0)+1,3,4,1,"CAL2")),0)</f>
        <v>0</v>
      </c>
      <c r="K348" s="20" t="str">
        <f ca="1">IF(CALC2223!AY348&gt;2,INDIRECT(ADDRESS(MATCH(Agenda2526!C349,'CAL2'!A:A,0)+2,2,4,1,"CAL2")),"")</f>
        <v/>
      </c>
      <c r="L348" s="21">
        <f ca="1">IF(CALC2223!AY348&gt;2,INDIRECT(ADDRESS(MATCH(Agenda2526!C349,'CAL2'!A:A,0)+2,3,4,1,"CAL2")),0)</f>
        <v>0</v>
      </c>
      <c r="M348" s="20" t="str">
        <f ca="1">IF(CALC2223!AZ348&gt;0,INDIRECT(ADDRESS(MATCH(Agenda2526!C349,'CAL3'!A:A,0),2,4,1,"CAL3")),"")</f>
        <v/>
      </c>
      <c r="N348" s="21">
        <f ca="1">IF(CALC2223!AZ348&gt;0,INDIRECT(ADDRESS(MATCH(Agenda2526!C349,'CAL3'!A:A,0),3,4,1,"CAL3")),0)</f>
        <v>0</v>
      </c>
      <c r="O348" s="20" t="str">
        <f ca="1">IF(CALC2223!AZ348&gt;1,INDIRECT(ADDRESS(MATCH(Agenda2526!C349,'CAL3'!A:A,0)+1,2,4,1,"CAL3")),"")</f>
        <v/>
      </c>
      <c r="P348" s="21">
        <f ca="1">IF(CALC2223!AZ348&gt;1,INDIRECT(ADDRESS(MATCH(Agenda2526!C349,'CAL3'!A:A,0)+1,3,4,1,"CAL3")),0)</f>
        <v>0</v>
      </c>
      <c r="Q348" s="20" t="str">
        <f ca="1">IF(CALC2223!AZ348&gt;2,INDIRECT(ADDRESS(MATCH(Agenda2526!C349,'CAL3'!A:A,0)+2,2,4,1,"CAL3")),"")</f>
        <v/>
      </c>
      <c r="R348" s="21">
        <f ca="1">IF(CALC2223!AZ348&gt;2,INDIRECT(ADDRESS(MATCH(Agenda2526!C349,'CAL3'!A:A,0)+2,3,4,1,"CAL3")),0)</f>
        <v>0</v>
      </c>
      <c r="S348" s="20" t="str">
        <f ca="1">IF(CALC2223!BA348&gt;0,INDIRECT(ADDRESS(MATCH(Agenda2526!C349,'CAL4'!A:A,0),2,4,1,"CAL4")),"")</f>
        <v/>
      </c>
      <c r="T348" s="21">
        <f ca="1">IF(CALC2223!BA348&gt;0,INDIRECT(ADDRESS(MATCH(Agenda2526!C349,'CAL4'!A:A,0),3,4,1,"CAL4")),0)</f>
        <v>0</v>
      </c>
      <c r="U348" s="20" t="str">
        <f ca="1">IF(CALC2223!BA348&gt;1,INDIRECT(ADDRESS(MATCH(Agenda2526!C349,'CAL4'!A:A,0)+1,2,4,1,"CAL4")),"")</f>
        <v/>
      </c>
      <c r="V348" s="21">
        <f ca="1">IF(CALC2223!BA348&gt;1,INDIRECT(ADDRESS(MATCH(Agenda2526!C349,'CAL4'!A:A,0)+1,3,4,1,"CAL4")),0)</f>
        <v>0</v>
      </c>
      <c r="W348" s="20" t="str">
        <f ca="1">IF(CALC2223!BA348&gt;2,INDIRECT(ADDRESS(MATCH(Agenda2526!C349,'CAL4'!A:A,0)+2,2,4,1,"CAL4")),"")</f>
        <v/>
      </c>
      <c r="X348" s="21">
        <f ca="1">IF(CALC2223!BA348&gt;2,INDIRECT(ADDRESS(MATCH(Agenda2526!C349,'CAL4'!A:A,0)+2,3,4,1,"CAL4")),0)</f>
        <v>0</v>
      </c>
      <c r="Y348" s="20" t="str">
        <f ca="1">IF(CALC2223!BB348&gt;0,INDIRECT(ADDRESS(MATCH(Agenda2526!C349,'CAL5'!A:A,0),2,4,1,"CAL5")),"")</f>
        <v/>
      </c>
      <c r="Z348" s="21">
        <f ca="1">IF(CALC2223!BB348&gt;0,INDIRECT(ADDRESS(MATCH(Agenda2526!C349,'CAL5'!A:A,0),3,4,1,"CAL5")),0)</f>
        <v>0</v>
      </c>
      <c r="AA348" s="20" t="str">
        <f ca="1">IF(CALC2223!BB348&gt;1,INDIRECT(ADDRESS(MATCH(Agenda2526!C349,'CAL5'!A:A,0)+1,2,4,1,"CAL5")),"")</f>
        <v/>
      </c>
      <c r="AB348" s="21">
        <f ca="1">IF(CALC2223!BB348&gt;1,INDIRECT(ADDRESS(MATCH(Agenda2526!C349,'CAL5'!A:A,0)+1,3,4,1,"CAL5")),0)</f>
        <v>0</v>
      </c>
      <c r="AC348" s="20" t="str">
        <f ca="1">IF(CALC2223!BB348&gt;2,INDIRECT(ADDRESS(MATCH(Agenda2526!C349,'CAL5'!A:A,0)+2,2,4,1,"CAL5")),"")</f>
        <v/>
      </c>
      <c r="AD348" s="21">
        <f ca="1">IF(CALC2223!BB348&gt;2,INDIRECT(ADDRESS(MATCH(Agenda2526!C349,'CAL5'!A:A,0)+2,3,4,1,"CAL5")),0)</f>
        <v>0</v>
      </c>
      <c r="AE348" s="20" t="str">
        <f ca="1">IF(CALC2223!BC348&gt;0,INDIRECT(ADDRESS(MATCH(Agenda2526!C349,'CAL6'!A:A,0),2,4,1,"CAL6")),"")</f>
        <v/>
      </c>
      <c r="AF348" s="21">
        <f ca="1">IF(CALC2223!BC348&gt;0,INDIRECT(ADDRESS(MATCH(Agenda2526!C349,'CAL6'!A:A,0),3,4,1,"CAL6")),0)</f>
        <v>0</v>
      </c>
      <c r="AG348" s="20" t="str">
        <f ca="1">IF(CALC2223!BC348&gt;1,INDIRECT(ADDRESS(MATCH(Agenda2526!C349,'CAL6'!A:A,0)+1,2,4,1,"CAL6")),"")</f>
        <v/>
      </c>
      <c r="AH348" s="21">
        <f ca="1">IF(CALC2223!BC348&gt;1,INDIRECT(ADDRESS(MATCH(Agenda2526!C349,'CAL6'!A:A,0)+1,3,4,1,"CAL6")),0)</f>
        <v>0</v>
      </c>
      <c r="AI348" s="20" t="str">
        <f ca="1">IF(CALC2223!BC348&gt;2,INDIRECT(ADDRESS(MATCH(Agenda2526!C349,'CAL6'!A:A,0)+2,2,4,1,"CAL6")),"")</f>
        <v/>
      </c>
      <c r="AJ348" s="21">
        <f ca="1">IF(CALC2223!BC348&gt;2,INDIRECT(ADDRESS(MATCH(Agenda2526!C349,'CAL6'!A:A,0)+2,3,4,1,"CAL6")),0)</f>
        <v>0</v>
      </c>
      <c r="AK348" s="20" t="str">
        <f ca="1">IF(CALC2223!BD348&gt;0,INDIRECT(ADDRESS(MATCH(Agenda2526!C349,'CAL7'!A:A,0),2,4,1,"CAL7")),"")</f>
        <v/>
      </c>
      <c r="AL348" s="21">
        <f ca="1">IF(CALC2223!BD348&gt;0,INDIRECT(ADDRESS(MATCH(Agenda2526!C349,'CAL7'!A:A,0),3,4,1,"CAL7")),0)</f>
        <v>0</v>
      </c>
      <c r="AM348" s="20" t="str">
        <f ca="1">IF(CALC2223!BD348&gt;1,INDIRECT(ADDRESS(MATCH(Agenda2526!C349,'CAL7'!A:A,0)+1,2,4,1,"CAL7")),"")</f>
        <v/>
      </c>
      <c r="AN348" s="21">
        <f ca="1">IF(CALC2223!BD348&gt;1,INDIRECT(ADDRESS(MATCH(Agenda2526!C349,'CAL7'!A:A,0)+1,3,4,1,"CAL7")),0)</f>
        <v>0</v>
      </c>
      <c r="AO348" s="20" t="str">
        <f ca="1">IF(CALC2223!BD348&gt;2,INDIRECT(ADDRESS(MATCH(Agenda2526!C349,'CAL7'!A:A,0)+2,2,4,1,"CAL7")),"")</f>
        <v/>
      </c>
      <c r="AP348" s="21">
        <f ca="1">IF(CALC2223!BD348&gt;2,INDIRECT(ADDRESS(MATCH(Agenda2526!C349,'CAL7'!A:A,0)+2,3,4,1,"CAL7")),0)</f>
        <v>0</v>
      </c>
      <c r="AQ348" s="20" t="str">
        <f ca="1">IF(CALC2223!BE348&gt;0,INDIRECT(ADDRESS(MATCH(Agenda2526!C349,'CAL8'!A:A,0),2,4,1,"CAL8")),"")</f>
        <v/>
      </c>
      <c r="AR348" s="21">
        <f ca="1">IF(CALC2223!BE348&gt;0,INDIRECT(ADDRESS(MATCH(Agenda2526!C349,'CAL8'!A:A,0),3,4,1,"CAL8")),0)</f>
        <v>0</v>
      </c>
      <c r="AS348" s="20" t="str">
        <f ca="1">IF(CALC2223!BE348&gt;1,INDIRECT(ADDRESS(MATCH(Agenda2526!C349,'CAL8'!A:A,0)+1,2,4,1,"CAL8")),"")</f>
        <v/>
      </c>
      <c r="AT348" s="21">
        <f ca="1">IF(CALC2223!BE348&gt;1,INDIRECT(ADDRESS(MATCH(Agenda2526!C349,'CAL8'!A:A,0)+1,3,4,1,"CAL8")),0)</f>
        <v>0</v>
      </c>
      <c r="AU348" s="20" t="str">
        <f ca="1">IF(CALC2223!BE348&gt;2,INDIRECT(ADDRESS(MATCH(Agenda2526!C349,'CAL8'!A:A,0)+2,2,4,1,"CAL8")),"")</f>
        <v/>
      </c>
      <c r="AV348" s="21">
        <f ca="1">IF(CALC2223!BE348&gt;2,INDIRECT(ADDRESS(MATCH(Agenda2526!C349,'CAL8'!A:A,0)+2,3,4,1,"CAL8")),0)</f>
        <v>0</v>
      </c>
      <c r="AW348" s="107"/>
      <c r="AX348" s="20">
        <f>COUNTIF('CAL1'!A:A,Agenda2526!C349)</f>
        <v>0</v>
      </c>
      <c r="AY348" s="20">
        <f>COUNTIF('CAL2'!A:A,Agenda2526!C349)</f>
        <v>0</v>
      </c>
      <c r="AZ348" s="20">
        <f>COUNTIF('CAL3'!A:A,Agenda2526!C349)</f>
        <v>0</v>
      </c>
      <c r="BA348" s="20">
        <f>COUNTIF('CAL4'!A:A,Agenda2526!C349)</f>
        <v>0</v>
      </c>
      <c r="BB348" s="20">
        <f>COUNTIF('CAL5'!A:A,Agenda2526!C349)</f>
        <v>0</v>
      </c>
      <c r="BC348" s="20">
        <f>COUNTIF('CAL6'!A:A,Agenda2526!C349)</f>
        <v>0</v>
      </c>
      <c r="BD348" s="20">
        <f>COUNTIF('CAL7'!A:A,Agenda2526!C349)</f>
        <v>0</v>
      </c>
      <c r="BE348" s="20">
        <f>COUNTIF('CAL8'!A:A,Agenda2526!C349)</f>
        <v>0</v>
      </c>
    </row>
    <row r="349" spans="1:57" ht="15.75" customHeight="1">
      <c r="A349" s="20" t="str">
        <f ca="1">IF(CALC2223!AX349&gt;0,INDIRECT(ADDRESS(MATCH(Agenda2526!C350,'CAL1'!A:A,0),2,4,1,"CAL1")),"")</f>
        <v/>
      </c>
      <c r="B349" s="21">
        <f ca="1">IF(CALC2223!AX349&gt;0,INDIRECT(ADDRESS(MATCH(Agenda2526!C350,'CAL1'!A:A,0),3,4,1,"CAL1")),0)</f>
        <v>0</v>
      </c>
      <c r="C349" s="20" t="str">
        <f ca="1">IF(CALC2223!AX349&gt;1,INDIRECT(ADDRESS(MATCH(Agenda2526!C350,'CAL1'!A:A,0)+1,2,4,1,"CAL1")),"")</f>
        <v/>
      </c>
      <c r="D349" s="21">
        <f ca="1">IF(CALC2223!AX349&gt;1,INDIRECT(ADDRESS(MATCH(Agenda2526!C350,'CAL1'!A:A,0)+1,3,4,1,"CAL1")),0)</f>
        <v>0</v>
      </c>
      <c r="E349" s="20" t="str">
        <f ca="1">IF(CALC2223!AX349&gt;2,INDIRECT(ADDRESS(MATCH(Agenda2526!C350,'CAL1'!A:A,0)+2,2,4,1,"CAL1")),"")</f>
        <v/>
      </c>
      <c r="F349" s="21">
        <f ca="1">IF(CALC2223!AX349&gt;2,INDIRECT(ADDRESS(MATCH(Agenda2526!C350,'CAL1'!A:A,0)+2,3,4,1,"CAL1")),0)</f>
        <v>0</v>
      </c>
      <c r="G349" s="20" t="str">
        <f ca="1">IF(CALC2223!AY349&gt;0,INDIRECT(ADDRESS(MATCH(Agenda2526!C350,'CAL2'!A:A,0),2,4,1,"CAL2")),"")</f>
        <v/>
      </c>
      <c r="H349" s="21">
        <f ca="1">IF(CALC2223!AY349&gt;0,INDIRECT(ADDRESS(MATCH(Agenda2526!C350,'CAL2'!A:A,0),3,4,1,"CAL2")),0)</f>
        <v>0</v>
      </c>
      <c r="I349" s="20" t="str">
        <f ca="1">IF(CALC2223!AY349&gt;1,INDIRECT(ADDRESS(MATCH(Agenda2526!C350,'CAL2'!A:A,0)+1,2,4,1,"CAL2")),"")</f>
        <v/>
      </c>
      <c r="J349" s="21">
        <f ca="1">IF(CALC2223!AY349&gt;1,INDIRECT(ADDRESS(MATCH(Agenda2526!C350,'CAL2'!A:A,0)+1,3,4,1,"CAL2")),0)</f>
        <v>0</v>
      </c>
      <c r="K349" s="20" t="str">
        <f ca="1">IF(CALC2223!AY349&gt;2,INDIRECT(ADDRESS(MATCH(Agenda2526!C350,'CAL2'!A:A,0)+2,2,4,1,"CAL2")),"")</f>
        <v/>
      </c>
      <c r="L349" s="21">
        <f ca="1">IF(CALC2223!AY349&gt;2,INDIRECT(ADDRESS(MATCH(Agenda2526!C350,'CAL2'!A:A,0)+2,3,4,1,"CAL2")),0)</f>
        <v>0</v>
      </c>
      <c r="M349" s="20" t="str">
        <f ca="1">IF(CALC2223!AZ349&gt;0,INDIRECT(ADDRESS(MATCH(Agenda2526!C350,'CAL3'!A:A,0),2,4,1,"CAL3")),"")</f>
        <v/>
      </c>
      <c r="N349" s="21">
        <f ca="1">IF(CALC2223!AZ349&gt;0,INDIRECT(ADDRESS(MATCH(Agenda2526!C350,'CAL3'!A:A,0),3,4,1,"CAL3")),0)</f>
        <v>0</v>
      </c>
      <c r="O349" s="20" t="str">
        <f ca="1">IF(CALC2223!AZ349&gt;1,INDIRECT(ADDRESS(MATCH(Agenda2526!C350,'CAL3'!A:A,0)+1,2,4,1,"CAL3")),"")</f>
        <v/>
      </c>
      <c r="P349" s="21">
        <f ca="1">IF(CALC2223!AZ349&gt;1,INDIRECT(ADDRESS(MATCH(Agenda2526!C350,'CAL3'!A:A,0)+1,3,4,1,"CAL3")),0)</f>
        <v>0</v>
      </c>
      <c r="Q349" s="20" t="str">
        <f ca="1">IF(CALC2223!AZ349&gt;2,INDIRECT(ADDRESS(MATCH(Agenda2526!C350,'CAL3'!A:A,0)+2,2,4,1,"CAL3")),"")</f>
        <v/>
      </c>
      <c r="R349" s="21">
        <f ca="1">IF(CALC2223!AZ349&gt;2,INDIRECT(ADDRESS(MATCH(Agenda2526!C350,'CAL3'!A:A,0)+2,3,4,1,"CAL3")),0)</f>
        <v>0</v>
      </c>
      <c r="S349" s="20" t="str">
        <f ca="1">IF(CALC2223!BA349&gt;0,INDIRECT(ADDRESS(MATCH(Agenda2526!C350,'CAL4'!A:A,0),2,4,1,"CAL4")),"")</f>
        <v/>
      </c>
      <c r="T349" s="21">
        <f ca="1">IF(CALC2223!BA349&gt;0,INDIRECT(ADDRESS(MATCH(Agenda2526!C350,'CAL4'!A:A,0),3,4,1,"CAL4")),0)</f>
        <v>0</v>
      </c>
      <c r="U349" s="20" t="str">
        <f ca="1">IF(CALC2223!BA349&gt;1,INDIRECT(ADDRESS(MATCH(Agenda2526!C350,'CAL4'!A:A,0)+1,2,4,1,"CAL4")),"")</f>
        <v/>
      </c>
      <c r="V349" s="21">
        <f ca="1">IF(CALC2223!BA349&gt;1,INDIRECT(ADDRESS(MATCH(Agenda2526!C350,'CAL4'!A:A,0)+1,3,4,1,"CAL4")),0)</f>
        <v>0</v>
      </c>
      <c r="W349" s="20" t="str">
        <f ca="1">IF(CALC2223!BA349&gt;2,INDIRECT(ADDRESS(MATCH(Agenda2526!C350,'CAL4'!A:A,0)+2,2,4,1,"CAL4")),"")</f>
        <v/>
      </c>
      <c r="X349" s="21">
        <f ca="1">IF(CALC2223!BA349&gt;2,INDIRECT(ADDRESS(MATCH(Agenda2526!C350,'CAL4'!A:A,0)+2,3,4,1,"CAL4")),0)</f>
        <v>0</v>
      </c>
      <c r="Y349" s="20" t="str">
        <f ca="1">IF(CALC2223!BB349&gt;0,INDIRECT(ADDRESS(MATCH(Agenda2526!C350,'CAL5'!A:A,0),2,4,1,"CAL5")),"")</f>
        <v/>
      </c>
      <c r="Z349" s="21">
        <f ca="1">IF(CALC2223!BB349&gt;0,INDIRECT(ADDRESS(MATCH(Agenda2526!C350,'CAL5'!A:A,0),3,4,1,"CAL5")),0)</f>
        <v>0</v>
      </c>
      <c r="AA349" s="20" t="str">
        <f ca="1">IF(CALC2223!BB349&gt;1,INDIRECT(ADDRESS(MATCH(Agenda2526!C350,'CAL5'!A:A,0)+1,2,4,1,"CAL5")),"")</f>
        <v/>
      </c>
      <c r="AB349" s="21">
        <f ca="1">IF(CALC2223!BB349&gt;1,INDIRECT(ADDRESS(MATCH(Agenda2526!C350,'CAL5'!A:A,0)+1,3,4,1,"CAL5")),0)</f>
        <v>0</v>
      </c>
      <c r="AC349" s="20" t="str">
        <f ca="1">IF(CALC2223!BB349&gt;2,INDIRECT(ADDRESS(MATCH(Agenda2526!C350,'CAL5'!A:A,0)+2,2,4,1,"CAL5")),"")</f>
        <v/>
      </c>
      <c r="AD349" s="21">
        <f ca="1">IF(CALC2223!BB349&gt;2,INDIRECT(ADDRESS(MATCH(Agenda2526!C350,'CAL5'!A:A,0)+2,3,4,1,"CAL5")),0)</f>
        <v>0</v>
      </c>
      <c r="AE349" s="20" t="str">
        <f ca="1">IF(CALC2223!BC349&gt;0,INDIRECT(ADDRESS(MATCH(Agenda2526!C350,'CAL6'!A:A,0),2,4,1,"CAL6")),"")</f>
        <v/>
      </c>
      <c r="AF349" s="21">
        <f ca="1">IF(CALC2223!BC349&gt;0,INDIRECT(ADDRESS(MATCH(Agenda2526!C350,'CAL6'!A:A,0),3,4,1,"CAL6")),0)</f>
        <v>0</v>
      </c>
      <c r="AG349" s="20" t="str">
        <f ca="1">IF(CALC2223!BC349&gt;1,INDIRECT(ADDRESS(MATCH(Agenda2526!C350,'CAL6'!A:A,0)+1,2,4,1,"CAL6")),"")</f>
        <v/>
      </c>
      <c r="AH349" s="21">
        <f ca="1">IF(CALC2223!BC349&gt;1,INDIRECT(ADDRESS(MATCH(Agenda2526!C350,'CAL6'!A:A,0)+1,3,4,1,"CAL6")),0)</f>
        <v>0</v>
      </c>
      <c r="AI349" s="20" t="str">
        <f ca="1">IF(CALC2223!BC349&gt;2,INDIRECT(ADDRESS(MATCH(Agenda2526!C350,'CAL6'!A:A,0)+2,2,4,1,"CAL6")),"")</f>
        <v/>
      </c>
      <c r="AJ349" s="21">
        <f ca="1">IF(CALC2223!BC349&gt;2,INDIRECT(ADDRESS(MATCH(Agenda2526!C350,'CAL6'!A:A,0)+2,3,4,1,"CAL6")),0)</f>
        <v>0</v>
      </c>
      <c r="AK349" s="20" t="str">
        <f ca="1">IF(CALC2223!BD349&gt;0,INDIRECT(ADDRESS(MATCH(Agenda2526!C350,'CAL7'!A:A,0),2,4,1,"CAL7")),"")</f>
        <v/>
      </c>
      <c r="AL349" s="21">
        <f ca="1">IF(CALC2223!BD349&gt;0,INDIRECT(ADDRESS(MATCH(Agenda2526!C350,'CAL7'!A:A,0),3,4,1,"CAL7")),0)</f>
        <v>0</v>
      </c>
      <c r="AM349" s="20" t="str">
        <f ca="1">IF(CALC2223!BD349&gt;1,INDIRECT(ADDRESS(MATCH(Agenda2526!C350,'CAL7'!A:A,0)+1,2,4,1,"CAL7")),"")</f>
        <v/>
      </c>
      <c r="AN349" s="21">
        <f ca="1">IF(CALC2223!BD349&gt;1,INDIRECT(ADDRESS(MATCH(Agenda2526!C350,'CAL7'!A:A,0)+1,3,4,1,"CAL7")),0)</f>
        <v>0</v>
      </c>
      <c r="AO349" s="20" t="str">
        <f ca="1">IF(CALC2223!BD349&gt;2,INDIRECT(ADDRESS(MATCH(Agenda2526!C350,'CAL7'!A:A,0)+2,2,4,1,"CAL7")),"")</f>
        <v/>
      </c>
      <c r="AP349" s="21">
        <f ca="1">IF(CALC2223!BD349&gt;2,INDIRECT(ADDRESS(MATCH(Agenda2526!C350,'CAL7'!A:A,0)+2,3,4,1,"CAL7")),0)</f>
        <v>0</v>
      </c>
      <c r="AQ349" s="20" t="str">
        <f ca="1">IF(CALC2223!BE349&gt;0,INDIRECT(ADDRESS(MATCH(Agenda2526!C350,'CAL8'!A:A,0),2,4,1,"CAL8")),"")</f>
        <v/>
      </c>
      <c r="AR349" s="21">
        <f ca="1">IF(CALC2223!BE349&gt;0,INDIRECT(ADDRESS(MATCH(Agenda2526!C350,'CAL8'!A:A,0),3,4,1,"CAL8")),0)</f>
        <v>0</v>
      </c>
      <c r="AS349" s="20" t="str">
        <f ca="1">IF(CALC2223!BE349&gt;1,INDIRECT(ADDRESS(MATCH(Agenda2526!C350,'CAL8'!A:A,0)+1,2,4,1,"CAL8")),"")</f>
        <v/>
      </c>
      <c r="AT349" s="21">
        <f ca="1">IF(CALC2223!BE349&gt;1,INDIRECT(ADDRESS(MATCH(Agenda2526!C350,'CAL8'!A:A,0)+1,3,4,1,"CAL8")),0)</f>
        <v>0</v>
      </c>
      <c r="AU349" s="20" t="str">
        <f ca="1">IF(CALC2223!BE349&gt;2,INDIRECT(ADDRESS(MATCH(Agenda2526!C350,'CAL8'!A:A,0)+2,2,4,1,"CAL8")),"")</f>
        <v/>
      </c>
      <c r="AV349" s="21">
        <f ca="1">IF(CALC2223!BE349&gt;2,INDIRECT(ADDRESS(MATCH(Agenda2526!C350,'CAL8'!A:A,0)+2,3,4,1,"CAL8")),0)</f>
        <v>0</v>
      </c>
      <c r="AW349" s="107"/>
      <c r="AX349" s="20">
        <f>COUNTIF('CAL1'!A:A,Agenda2526!C350)</f>
        <v>0</v>
      </c>
      <c r="AY349" s="20">
        <f>COUNTIF('CAL2'!A:A,Agenda2526!C350)</f>
        <v>0</v>
      </c>
      <c r="AZ349" s="20">
        <f>COUNTIF('CAL3'!A:A,Agenda2526!C350)</f>
        <v>0</v>
      </c>
      <c r="BA349" s="20">
        <f>COUNTIF('CAL4'!A:A,Agenda2526!C350)</f>
        <v>0</v>
      </c>
      <c r="BB349" s="20">
        <f>COUNTIF('CAL5'!A:A,Agenda2526!C350)</f>
        <v>0</v>
      </c>
      <c r="BC349" s="20">
        <f>COUNTIF('CAL6'!A:A,Agenda2526!C350)</f>
        <v>0</v>
      </c>
      <c r="BD349" s="20">
        <f>COUNTIF('CAL7'!A:A,Agenda2526!C350)</f>
        <v>0</v>
      </c>
      <c r="BE349" s="20">
        <f>COUNTIF('CAL8'!A:A,Agenda2526!C350)</f>
        <v>0</v>
      </c>
    </row>
    <row r="350" spans="1:57" ht="15.75" customHeight="1">
      <c r="A350" s="20" t="str">
        <f ca="1">IF(CALC2223!AX350&gt;0,INDIRECT(ADDRESS(MATCH(Agenda2526!C351,'CAL1'!A:A,0),2,4,1,"CAL1")),"")</f>
        <v/>
      </c>
      <c r="B350" s="21">
        <f ca="1">IF(CALC2223!AX350&gt;0,INDIRECT(ADDRESS(MATCH(Agenda2526!C351,'CAL1'!A:A,0),3,4,1,"CAL1")),0)</f>
        <v>0</v>
      </c>
      <c r="C350" s="20" t="str">
        <f ca="1">IF(CALC2223!AX350&gt;1,INDIRECT(ADDRESS(MATCH(Agenda2526!C351,'CAL1'!A:A,0)+1,2,4,1,"CAL1")),"")</f>
        <v/>
      </c>
      <c r="D350" s="21">
        <f ca="1">IF(CALC2223!AX350&gt;1,INDIRECT(ADDRESS(MATCH(Agenda2526!C351,'CAL1'!A:A,0)+1,3,4,1,"CAL1")),0)</f>
        <v>0</v>
      </c>
      <c r="E350" s="20" t="str">
        <f ca="1">IF(CALC2223!AX350&gt;2,INDIRECT(ADDRESS(MATCH(Agenda2526!C351,'CAL1'!A:A,0)+2,2,4,1,"CAL1")),"")</f>
        <v/>
      </c>
      <c r="F350" s="21">
        <f ca="1">IF(CALC2223!AX350&gt;2,INDIRECT(ADDRESS(MATCH(Agenda2526!C351,'CAL1'!A:A,0)+2,3,4,1,"CAL1")),0)</f>
        <v>0</v>
      </c>
      <c r="G350" s="20" t="str">
        <f ca="1">IF(CALC2223!AY350&gt;0,INDIRECT(ADDRESS(MATCH(Agenda2526!C351,'CAL2'!A:A,0),2,4,1,"CAL2")),"")</f>
        <v/>
      </c>
      <c r="H350" s="21">
        <f ca="1">IF(CALC2223!AY350&gt;0,INDIRECT(ADDRESS(MATCH(Agenda2526!C351,'CAL2'!A:A,0),3,4,1,"CAL2")),0)</f>
        <v>0</v>
      </c>
      <c r="I350" s="20" t="str">
        <f ca="1">IF(CALC2223!AY350&gt;1,INDIRECT(ADDRESS(MATCH(Agenda2526!C351,'CAL2'!A:A,0)+1,2,4,1,"CAL2")),"")</f>
        <v/>
      </c>
      <c r="J350" s="21">
        <f ca="1">IF(CALC2223!AY350&gt;1,INDIRECT(ADDRESS(MATCH(Agenda2526!C351,'CAL2'!A:A,0)+1,3,4,1,"CAL2")),0)</f>
        <v>0</v>
      </c>
      <c r="K350" s="20" t="str">
        <f ca="1">IF(CALC2223!AY350&gt;2,INDIRECT(ADDRESS(MATCH(Agenda2526!C351,'CAL2'!A:A,0)+2,2,4,1,"CAL2")),"")</f>
        <v/>
      </c>
      <c r="L350" s="21">
        <f ca="1">IF(CALC2223!AY350&gt;2,INDIRECT(ADDRESS(MATCH(Agenda2526!C351,'CAL2'!A:A,0)+2,3,4,1,"CAL2")),0)</f>
        <v>0</v>
      </c>
      <c r="M350" s="20" t="str">
        <f ca="1">IF(CALC2223!AZ350&gt;0,INDIRECT(ADDRESS(MATCH(Agenda2526!C351,'CAL3'!A:A,0),2,4,1,"CAL3")),"")</f>
        <v/>
      </c>
      <c r="N350" s="21">
        <f ca="1">IF(CALC2223!AZ350&gt;0,INDIRECT(ADDRESS(MATCH(Agenda2526!C351,'CAL3'!A:A,0),3,4,1,"CAL3")),0)</f>
        <v>0</v>
      </c>
      <c r="O350" s="20" t="str">
        <f ca="1">IF(CALC2223!AZ350&gt;1,INDIRECT(ADDRESS(MATCH(Agenda2526!C351,'CAL3'!A:A,0)+1,2,4,1,"CAL3")),"")</f>
        <v/>
      </c>
      <c r="P350" s="21">
        <f ca="1">IF(CALC2223!AZ350&gt;1,INDIRECT(ADDRESS(MATCH(Agenda2526!C351,'CAL3'!A:A,0)+1,3,4,1,"CAL3")),0)</f>
        <v>0</v>
      </c>
      <c r="Q350" s="20" t="str">
        <f ca="1">IF(CALC2223!AZ350&gt;2,INDIRECT(ADDRESS(MATCH(Agenda2526!C351,'CAL3'!A:A,0)+2,2,4,1,"CAL3")),"")</f>
        <v/>
      </c>
      <c r="R350" s="21">
        <f ca="1">IF(CALC2223!AZ350&gt;2,INDIRECT(ADDRESS(MATCH(Agenda2526!C351,'CAL3'!A:A,0)+2,3,4,1,"CAL3")),0)</f>
        <v>0</v>
      </c>
      <c r="S350" s="20" t="str">
        <f ca="1">IF(CALC2223!BA350&gt;0,INDIRECT(ADDRESS(MATCH(Agenda2526!C351,'CAL4'!A:A,0),2,4,1,"CAL4")),"")</f>
        <v/>
      </c>
      <c r="T350" s="21">
        <f ca="1">IF(CALC2223!BA350&gt;0,INDIRECT(ADDRESS(MATCH(Agenda2526!C351,'CAL4'!A:A,0),3,4,1,"CAL4")),0)</f>
        <v>0</v>
      </c>
      <c r="U350" s="20" t="str">
        <f ca="1">IF(CALC2223!BA350&gt;1,INDIRECT(ADDRESS(MATCH(Agenda2526!C351,'CAL4'!A:A,0)+1,2,4,1,"CAL4")),"")</f>
        <v/>
      </c>
      <c r="V350" s="21">
        <f ca="1">IF(CALC2223!BA350&gt;1,INDIRECT(ADDRESS(MATCH(Agenda2526!C351,'CAL4'!A:A,0)+1,3,4,1,"CAL4")),0)</f>
        <v>0</v>
      </c>
      <c r="W350" s="20" t="str">
        <f ca="1">IF(CALC2223!BA350&gt;2,INDIRECT(ADDRESS(MATCH(Agenda2526!C351,'CAL4'!A:A,0)+2,2,4,1,"CAL4")),"")</f>
        <v/>
      </c>
      <c r="X350" s="21">
        <f ca="1">IF(CALC2223!BA350&gt;2,INDIRECT(ADDRESS(MATCH(Agenda2526!C351,'CAL4'!A:A,0)+2,3,4,1,"CAL4")),0)</f>
        <v>0</v>
      </c>
      <c r="Y350" s="20" t="str">
        <f ca="1">IF(CALC2223!BB350&gt;0,INDIRECT(ADDRESS(MATCH(Agenda2526!C351,'CAL5'!A:A,0),2,4,1,"CAL5")),"")</f>
        <v/>
      </c>
      <c r="Z350" s="21">
        <f ca="1">IF(CALC2223!BB350&gt;0,INDIRECT(ADDRESS(MATCH(Agenda2526!C351,'CAL5'!A:A,0),3,4,1,"CAL5")),0)</f>
        <v>0</v>
      </c>
      <c r="AA350" s="20" t="str">
        <f ca="1">IF(CALC2223!BB350&gt;1,INDIRECT(ADDRESS(MATCH(Agenda2526!C351,'CAL5'!A:A,0)+1,2,4,1,"CAL5")),"")</f>
        <v/>
      </c>
      <c r="AB350" s="21">
        <f ca="1">IF(CALC2223!BB350&gt;1,INDIRECT(ADDRESS(MATCH(Agenda2526!C351,'CAL5'!A:A,0)+1,3,4,1,"CAL5")),0)</f>
        <v>0</v>
      </c>
      <c r="AC350" s="20" t="str">
        <f ca="1">IF(CALC2223!BB350&gt;2,INDIRECT(ADDRESS(MATCH(Agenda2526!C351,'CAL5'!A:A,0)+2,2,4,1,"CAL5")),"")</f>
        <v/>
      </c>
      <c r="AD350" s="21">
        <f ca="1">IF(CALC2223!BB350&gt;2,INDIRECT(ADDRESS(MATCH(Agenda2526!C351,'CAL5'!A:A,0)+2,3,4,1,"CAL5")),0)</f>
        <v>0</v>
      </c>
      <c r="AE350" s="20" t="str">
        <f ca="1">IF(CALC2223!BC350&gt;0,INDIRECT(ADDRESS(MATCH(Agenda2526!C351,'CAL6'!A:A,0),2,4,1,"CAL6")),"")</f>
        <v/>
      </c>
      <c r="AF350" s="21">
        <f ca="1">IF(CALC2223!BC350&gt;0,INDIRECT(ADDRESS(MATCH(Agenda2526!C351,'CAL6'!A:A,0),3,4,1,"CAL6")),0)</f>
        <v>0</v>
      </c>
      <c r="AG350" s="20" t="str">
        <f ca="1">IF(CALC2223!BC350&gt;1,INDIRECT(ADDRESS(MATCH(Agenda2526!C351,'CAL6'!A:A,0)+1,2,4,1,"CAL6")),"")</f>
        <v/>
      </c>
      <c r="AH350" s="21">
        <f ca="1">IF(CALC2223!BC350&gt;1,INDIRECT(ADDRESS(MATCH(Agenda2526!C351,'CAL6'!A:A,0)+1,3,4,1,"CAL6")),0)</f>
        <v>0</v>
      </c>
      <c r="AI350" s="20" t="str">
        <f ca="1">IF(CALC2223!BC350&gt;2,INDIRECT(ADDRESS(MATCH(Agenda2526!C351,'CAL6'!A:A,0)+2,2,4,1,"CAL6")),"")</f>
        <v/>
      </c>
      <c r="AJ350" s="21">
        <f ca="1">IF(CALC2223!BC350&gt;2,INDIRECT(ADDRESS(MATCH(Agenda2526!C351,'CAL6'!A:A,0)+2,3,4,1,"CAL6")),0)</f>
        <v>0</v>
      </c>
      <c r="AK350" s="20" t="str">
        <f ca="1">IF(CALC2223!BD350&gt;0,INDIRECT(ADDRESS(MATCH(Agenda2526!C351,'CAL7'!A:A,0),2,4,1,"CAL7")),"")</f>
        <v/>
      </c>
      <c r="AL350" s="21">
        <f ca="1">IF(CALC2223!BD350&gt;0,INDIRECT(ADDRESS(MATCH(Agenda2526!C351,'CAL7'!A:A,0),3,4,1,"CAL7")),0)</f>
        <v>0</v>
      </c>
      <c r="AM350" s="20" t="str">
        <f ca="1">IF(CALC2223!BD350&gt;1,INDIRECT(ADDRESS(MATCH(Agenda2526!C351,'CAL7'!A:A,0)+1,2,4,1,"CAL7")),"")</f>
        <v/>
      </c>
      <c r="AN350" s="21">
        <f ca="1">IF(CALC2223!BD350&gt;1,INDIRECT(ADDRESS(MATCH(Agenda2526!C351,'CAL7'!A:A,0)+1,3,4,1,"CAL7")),0)</f>
        <v>0</v>
      </c>
      <c r="AO350" s="20" t="str">
        <f ca="1">IF(CALC2223!BD350&gt;2,INDIRECT(ADDRESS(MATCH(Agenda2526!C351,'CAL7'!A:A,0)+2,2,4,1,"CAL7")),"")</f>
        <v/>
      </c>
      <c r="AP350" s="21">
        <f ca="1">IF(CALC2223!BD350&gt;2,INDIRECT(ADDRESS(MATCH(Agenda2526!C351,'CAL7'!A:A,0)+2,3,4,1,"CAL7")),0)</f>
        <v>0</v>
      </c>
      <c r="AQ350" s="20" t="str">
        <f ca="1">IF(CALC2223!BE350&gt;0,INDIRECT(ADDRESS(MATCH(Agenda2526!C351,'CAL8'!A:A,0),2,4,1,"CAL8")),"")</f>
        <v/>
      </c>
      <c r="AR350" s="21">
        <f ca="1">IF(CALC2223!BE350&gt;0,INDIRECT(ADDRESS(MATCH(Agenda2526!C351,'CAL8'!A:A,0),3,4,1,"CAL8")),0)</f>
        <v>0</v>
      </c>
      <c r="AS350" s="20" t="str">
        <f ca="1">IF(CALC2223!BE350&gt;1,INDIRECT(ADDRESS(MATCH(Agenda2526!C351,'CAL8'!A:A,0)+1,2,4,1,"CAL8")),"")</f>
        <v/>
      </c>
      <c r="AT350" s="21">
        <f ca="1">IF(CALC2223!BE350&gt;1,INDIRECT(ADDRESS(MATCH(Agenda2526!C351,'CAL8'!A:A,0)+1,3,4,1,"CAL8")),0)</f>
        <v>0</v>
      </c>
      <c r="AU350" s="20" t="str">
        <f ca="1">IF(CALC2223!BE350&gt;2,INDIRECT(ADDRESS(MATCH(Agenda2526!C351,'CAL8'!A:A,0)+2,2,4,1,"CAL8")),"")</f>
        <v/>
      </c>
      <c r="AV350" s="21">
        <f ca="1">IF(CALC2223!BE350&gt;2,INDIRECT(ADDRESS(MATCH(Agenda2526!C351,'CAL8'!A:A,0)+2,3,4,1,"CAL8")),0)</f>
        <v>0</v>
      </c>
      <c r="AW350" s="106"/>
      <c r="AX350" s="20">
        <f>COUNTIF('CAL1'!A:A,Agenda2526!C351)</f>
        <v>0</v>
      </c>
      <c r="AY350" s="20">
        <f>COUNTIF('CAL2'!A:A,Agenda2526!C351)</f>
        <v>0</v>
      </c>
      <c r="AZ350" s="20">
        <f>COUNTIF('CAL3'!A:A,Agenda2526!C351)</f>
        <v>0</v>
      </c>
      <c r="BA350" s="20">
        <f>COUNTIF('CAL4'!A:A,Agenda2526!C351)</f>
        <v>0</v>
      </c>
      <c r="BB350" s="20">
        <f>COUNTIF('CAL5'!A:A,Agenda2526!C351)</f>
        <v>0</v>
      </c>
      <c r="BC350" s="20">
        <f>COUNTIF('CAL6'!A:A,Agenda2526!C351)</f>
        <v>0</v>
      </c>
      <c r="BD350" s="20">
        <f>COUNTIF('CAL7'!A:A,Agenda2526!C351)</f>
        <v>0</v>
      </c>
      <c r="BE350" s="20">
        <f>COUNTIF('CAL8'!A:A,Agenda2526!C351)</f>
        <v>0</v>
      </c>
    </row>
    <row r="351" spans="1:57" ht="15.75" customHeight="1">
      <c r="A351" s="20" t="str">
        <f ca="1">IF(CALC2223!AX351&gt;0,INDIRECT(ADDRESS(MATCH(Agenda2526!C352,'CAL1'!A:A,0),2,4,1,"CAL1")),"")</f>
        <v/>
      </c>
      <c r="B351" s="21">
        <f ca="1">IF(CALC2223!AX351&gt;0,INDIRECT(ADDRESS(MATCH(Agenda2526!C352,'CAL1'!A:A,0),3,4,1,"CAL1")),0)</f>
        <v>0</v>
      </c>
      <c r="C351" s="20" t="str">
        <f ca="1">IF(CALC2223!AX351&gt;1,INDIRECT(ADDRESS(MATCH(Agenda2526!C352,'CAL1'!A:A,0)+1,2,4,1,"CAL1")),"")</f>
        <v/>
      </c>
      <c r="D351" s="21">
        <f ca="1">IF(CALC2223!AX351&gt;1,INDIRECT(ADDRESS(MATCH(Agenda2526!C352,'CAL1'!A:A,0)+1,3,4,1,"CAL1")),0)</f>
        <v>0</v>
      </c>
      <c r="E351" s="20" t="str">
        <f ca="1">IF(CALC2223!AX351&gt;2,INDIRECT(ADDRESS(MATCH(Agenda2526!C352,'CAL1'!A:A,0)+2,2,4,1,"CAL1")),"")</f>
        <v/>
      </c>
      <c r="F351" s="21">
        <f ca="1">IF(CALC2223!AX351&gt;2,INDIRECT(ADDRESS(MATCH(Agenda2526!C352,'CAL1'!A:A,0)+2,3,4,1,"CAL1")),0)</f>
        <v>0</v>
      </c>
      <c r="G351" s="20" t="str">
        <f ca="1">IF(CALC2223!AY351&gt;0,INDIRECT(ADDRESS(MATCH(Agenda2526!C352,'CAL2'!A:A,0),2,4,1,"CAL2")),"")</f>
        <v/>
      </c>
      <c r="H351" s="21">
        <f ca="1">IF(CALC2223!AY351&gt;0,INDIRECT(ADDRESS(MATCH(Agenda2526!C352,'CAL2'!A:A,0),3,4,1,"CAL2")),0)</f>
        <v>0</v>
      </c>
      <c r="I351" s="20" t="str">
        <f ca="1">IF(CALC2223!AY351&gt;1,INDIRECT(ADDRESS(MATCH(Agenda2526!C352,'CAL2'!A:A,0)+1,2,4,1,"CAL2")),"")</f>
        <v/>
      </c>
      <c r="J351" s="21">
        <f ca="1">IF(CALC2223!AY351&gt;1,INDIRECT(ADDRESS(MATCH(Agenda2526!C352,'CAL2'!A:A,0)+1,3,4,1,"CAL2")),0)</f>
        <v>0</v>
      </c>
      <c r="K351" s="20" t="str">
        <f ca="1">IF(CALC2223!AY351&gt;2,INDIRECT(ADDRESS(MATCH(Agenda2526!C352,'CAL2'!A:A,0)+2,2,4,1,"CAL2")),"")</f>
        <v/>
      </c>
      <c r="L351" s="21">
        <f ca="1">IF(CALC2223!AY351&gt;2,INDIRECT(ADDRESS(MATCH(Agenda2526!C352,'CAL2'!A:A,0)+2,3,4,1,"CAL2")),0)</f>
        <v>0</v>
      </c>
      <c r="M351" s="20" t="str">
        <f ca="1">IF(CALC2223!AZ351&gt;0,INDIRECT(ADDRESS(MATCH(Agenda2526!C352,'CAL3'!A:A,0),2,4,1,"CAL3")),"")</f>
        <v/>
      </c>
      <c r="N351" s="21">
        <f ca="1">IF(CALC2223!AZ351&gt;0,INDIRECT(ADDRESS(MATCH(Agenda2526!C352,'CAL3'!A:A,0),3,4,1,"CAL3")),0)</f>
        <v>0</v>
      </c>
      <c r="O351" s="20" t="str">
        <f ca="1">IF(CALC2223!AZ351&gt;1,INDIRECT(ADDRESS(MATCH(Agenda2526!C352,'CAL3'!A:A,0)+1,2,4,1,"CAL3")),"")</f>
        <v/>
      </c>
      <c r="P351" s="21">
        <f ca="1">IF(CALC2223!AZ351&gt;1,INDIRECT(ADDRESS(MATCH(Agenda2526!C352,'CAL3'!A:A,0)+1,3,4,1,"CAL3")),0)</f>
        <v>0</v>
      </c>
      <c r="Q351" s="20" t="str">
        <f ca="1">IF(CALC2223!AZ351&gt;2,INDIRECT(ADDRESS(MATCH(Agenda2526!C352,'CAL3'!A:A,0)+2,2,4,1,"CAL3")),"")</f>
        <v/>
      </c>
      <c r="R351" s="21">
        <f ca="1">IF(CALC2223!AZ351&gt;2,INDIRECT(ADDRESS(MATCH(Agenda2526!C352,'CAL3'!A:A,0)+2,3,4,1,"CAL3")),0)</f>
        <v>0</v>
      </c>
      <c r="S351" s="20" t="str">
        <f ca="1">IF(CALC2223!BA351&gt;0,INDIRECT(ADDRESS(MATCH(Agenda2526!C352,'CAL4'!A:A,0),2,4,1,"CAL4")),"")</f>
        <v/>
      </c>
      <c r="T351" s="21">
        <f ca="1">IF(CALC2223!BA351&gt;0,INDIRECT(ADDRESS(MATCH(Agenda2526!C352,'CAL4'!A:A,0),3,4,1,"CAL4")),0)</f>
        <v>0</v>
      </c>
      <c r="U351" s="20" t="str">
        <f ca="1">IF(CALC2223!BA351&gt;1,INDIRECT(ADDRESS(MATCH(Agenda2526!C352,'CAL4'!A:A,0)+1,2,4,1,"CAL4")),"")</f>
        <v/>
      </c>
      <c r="V351" s="21">
        <f ca="1">IF(CALC2223!BA351&gt;1,INDIRECT(ADDRESS(MATCH(Agenda2526!C352,'CAL4'!A:A,0)+1,3,4,1,"CAL4")),0)</f>
        <v>0</v>
      </c>
      <c r="W351" s="20" t="str">
        <f ca="1">IF(CALC2223!BA351&gt;2,INDIRECT(ADDRESS(MATCH(Agenda2526!C352,'CAL4'!A:A,0)+2,2,4,1,"CAL4")),"")</f>
        <v/>
      </c>
      <c r="X351" s="21">
        <f ca="1">IF(CALC2223!BA351&gt;2,INDIRECT(ADDRESS(MATCH(Agenda2526!C352,'CAL4'!A:A,0)+2,3,4,1,"CAL4")),0)</f>
        <v>0</v>
      </c>
      <c r="Y351" s="20" t="str">
        <f ca="1">IF(CALC2223!BB351&gt;0,INDIRECT(ADDRESS(MATCH(Agenda2526!C352,'CAL5'!A:A,0),2,4,1,"CAL5")),"")</f>
        <v/>
      </c>
      <c r="Z351" s="21">
        <f ca="1">IF(CALC2223!BB351&gt;0,INDIRECT(ADDRESS(MATCH(Agenda2526!C352,'CAL5'!A:A,0),3,4,1,"CAL5")),0)</f>
        <v>0</v>
      </c>
      <c r="AA351" s="20" t="str">
        <f ca="1">IF(CALC2223!BB351&gt;1,INDIRECT(ADDRESS(MATCH(Agenda2526!C352,'CAL5'!A:A,0)+1,2,4,1,"CAL5")),"")</f>
        <v/>
      </c>
      <c r="AB351" s="21">
        <f ca="1">IF(CALC2223!BB351&gt;1,INDIRECT(ADDRESS(MATCH(Agenda2526!C352,'CAL5'!A:A,0)+1,3,4,1,"CAL5")),0)</f>
        <v>0</v>
      </c>
      <c r="AC351" s="20" t="str">
        <f ca="1">IF(CALC2223!BB351&gt;2,INDIRECT(ADDRESS(MATCH(Agenda2526!C352,'CAL5'!A:A,0)+2,2,4,1,"CAL5")),"")</f>
        <v/>
      </c>
      <c r="AD351" s="21">
        <f ca="1">IF(CALC2223!BB351&gt;2,INDIRECT(ADDRESS(MATCH(Agenda2526!C352,'CAL5'!A:A,0)+2,3,4,1,"CAL5")),0)</f>
        <v>0</v>
      </c>
      <c r="AE351" s="20" t="str">
        <f ca="1">IF(CALC2223!BC351&gt;0,INDIRECT(ADDRESS(MATCH(Agenda2526!C352,'CAL6'!A:A,0),2,4,1,"CAL6")),"")</f>
        <v/>
      </c>
      <c r="AF351" s="21">
        <f ca="1">IF(CALC2223!BC351&gt;0,INDIRECT(ADDRESS(MATCH(Agenda2526!C352,'CAL6'!A:A,0),3,4,1,"CAL6")),0)</f>
        <v>0</v>
      </c>
      <c r="AG351" s="20" t="str">
        <f ca="1">IF(CALC2223!BC351&gt;1,INDIRECT(ADDRESS(MATCH(Agenda2526!C352,'CAL6'!A:A,0)+1,2,4,1,"CAL6")),"")</f>
        <v/>
      </c>
      <c r="AH351" s="21">
        <f ca="1">IF(CALC2223!BC351&gt;1,INDIRECT(ADDRESS(MATCH(Agenda2526!C352,'CAL6'!A:A,0)+1,3,4,1,"CAL6")),0)</f>
        <v>0</v>
      </c>
      <c r="AI351" s="20" t="str">
        <f ca="1">IF(CALC2223!BC351&gt;2,INDIRECT(ADDRESS(MATCH(Agenda2526!C352,'CAL6'!A:A,0)+2,2,4,1,"CAL6")),"")</f>
        <v/>
      </c>
      <c r="AJ351" s="21">
        <f ca="1">IF(CALC2223!BC351&gt;2,INDIRECT(ADDRESS(MATCH(Agenda2526!C352,'CAL6'!A:A,0)+2,3,4,1,"CAL6")),0)</f>
        <v>0</v>
      </c>
      <c r="AK351" s="20" t="str">
        <f ca="1">IF(CALC2223!BD351&gt;0,INDIRECT(ADDRESS(MATCH(Agenda2526!C352,'CAL7'!A:A,0),2,4,1,"CAL7")),"")</f>
        <v/>
      </c>
      <c r="AL351" s="21">
        <f ca="1">IF(CALC2223!BD351&gt;0,INDIRECT(ADDRESS(MATCH(Agenda2526!C352,'CAL7'!A:A,0),3,4,1,"CAL7")),0)</f>
        <v>0</v>
      </c>
      <c r="AM351" s="20" t="str">
        <f ca="1">IF(CALC2223!BD351&gt;1,INDIRECT(ADDRESS(MATCH(Agenda2526!C352,'CAL7'!A:A,0)+1,2,4,1,"CAL7")),"")</f>
        <v/>
      </c>
      <c r="AN351" s="21">
        <f ca="1">IF(CALC2223!BD351&gt;1,INDIRECT(ADDRESS(MATCH(Agenda2526!C352,'CAL7'!A:A,0)+1,3,4,1,"CAL7")),0)</f>
        <v>0</v>
      </c>
      <c r="AO351" s="20" t="str">
        <f ca="1">IF(CALC2223!BD351&gt;2,INDIRECT(ADDRESS(MATCH(Agenda2526!C352,'CAL7'!A:A,0)+2,2,4,1,"CAL7")),"")</f>
        <v/>
      </c>
      <c r="AP351" s="21">
        <f ca="1">IF(CALC2223!BD351&gt;2,INDIRECT(ADDRESS(MATCH(Agenda2526!C352,'CAL7'!A:A,0)+2,3,4,1,"CAL7")),0)</f>
        <v>0</v>
      </c>
      <c r="AQ351" s="20" t="str">
        <f ca="1">IF(CALC2223!BE351&gt;0,INDIRECT(ADDRESS(MATCH(Agenda2526!C352,'CAL8'!A:A,0),2,4,1,"CAL8")),"")</f>
        <v/>
      </c>
      <c r="AR351" s="21">
        <f ca="1">IF(CALC2223!BE351&gt;0,INDIRECT(ADDRESS(MATCH(Agenda2526!C352,'CAL8'!A:A,0),3,4,1,"CAL8")),0)</f>
        <v>0</v>
      </c>
      <c r="AS351" s="20" t="str">
        <f ca="1">IF(CALC2223!BE351&gt;1,INDIRECT(ADDRESS(MATCH(Agenda2526!C352,'CAL8'!A:A,0)+1,2,4,1,"CAL8")),"")</f>
        <v/>
      </c>
      <c r="AT351" s="21">
        <f ca="1">IF(CALC2223!BE351&gt;1,INDIRECT(ADDRESS(MATCH(Agenda2526!C352,'CAL8'!A:A,0)+1,3,4,1,"CAL8")),0)</f>
        <v>0</v>
      </c>
      <c r="AU351" s="20" t="str">
        <f ca="1">IF(CALC2223!BE351&gt;2,INDIRECT(ADDRESS(MATCH(Agenda2526!C352,'CAL8'!A:A,0)+2,2,4,1,"CAL8")),"")</f>
        <v/>
      </c>
      <c r="AV351" s="21">
        <f ca="1">IF(CALC2223!BE351&gt;2,INDIRECT(ADDRESS(MATCH(Agenda2526!C352,'CAL8'!A:A,0)+2,3,4,1,"CAL8")),0)</f>
        <v>0</v>
      </c>
      <c r="AW351" s="106"/>
      <c r="AX351" s="20">
        <f>COUNTIF('CAL1'!A:A,Agenda2526!C352)</f>
        <v>0</v>
      </c>
      <c r="AY351" s="20">
        <f>COUNTIF('CAL2'!A:A,Agenda2526!C352)</f>
        <v>0</v>
      </c>
      <c r="AZ351" s="20">
        <f>COUNTIF('CAL3'!A:A,Agenda2526!C352)</f>
        <v>0</v>
      </c>
      <c r="BA351" s="20">
        <f>COUNTIF('CAL4'!A:A,Agenda2526!C352)</f>
        <v>0</v>
      </c>
      <c r="BB351" s="20">
        <f>COUNTIF('CAL5'!A:A,Agenda2526!C352)</f>
        <v>0</v>
      </c>
      <c r="BC351" s="20">
        <f>COUNTIF('CAL6'!A:A,Agenda2526!C352)</f>
        <v>0</v>
      </c>
      <c r="BD351" s="20">
        <f>COUNTIF('CAL7'!A:A,Agenda2526!C352)</f>
        <v>0</v>
      </c>
      <c r="BE351" s="20">
        <f>COUNTIF('CAL8'!A:A,Agenda2526!C352)</f>
        <v>0</v>
      </c>
    </row>
    <row r="352" spans="1:57" ht="15.75" customHeight="1">
      <c r="A352" s="20" t="str">
        <f ca="1">IF(CALC2223!AX352&gt;0,INDIRECT(ADDRESS(MATCH(Agenda2526!C353,'CAL1'!A:A,0),2,4,1,"CAL1")),"")</f>
        <v/>
      </c>
      <c r="B352" s="21">
        <f ca="1">IF(CALC2223!AX352&gt;0,INDIRECT(ADDRESS(MATCH(Agenda2526!C353,'CAL1'!A:A,0),3,4,1,"CAL1")),0)</f>
        <v>0</v>
      </c>
      <c r="C352" s="20" t="str">
        <f ca="1">IF(CALC2223!AX352&gt;1,INDIRECT(ADDRESS(MATCH(Agenda2526!C353,'CAL1'!A:A,0)+1,2,4,1,"CAL1")),"")</f>
        <v/>
      </c>
      <c r="D352" s="21">
        <f ca="1">IF(CALC2223!AX352&gt;1,INDIRECT(ADDRESS(MATCH(Agenda2526!C353,'CAL1'!A:A,0)+1,3,4,1,"CAL1")),0)</f>
        <v>0</v>
      </c>
      <c r="E352" s="20" t="str">
        <f ca="1">IF(CALC2223!AX352&gt;2,INDIRECT(ADDRESS(MATCH(Agenda2526!C353,'CAL1'!A:A,0)+2,2,4,1,"CAL1")),"")</f>
        <v/>
      </c>
      <c r="F352" s="21">
        <f ca="1">IF(CALC2223!AX352&gt;2,INDIRECT(ADDRESS(MATCH(Agenda2526!C353,'CAL1'!A:A,0)+2,3,4,1,"CAL1")),0)</f>
        <v>0</v>
      </c>
      <c r="G352" s="20" t="str">
        <f ca="1">IF(CALC2223!AY352&gt;0,INDIRECT(ADDRESS(MATCH(Agenda2526!C353,'CAL2'!A:A,0),2,4,1,"CAL2")),"")</f>
        <v/>
      </c>
      <c r="H352" s="21">
        <f ca="1">IF(CALC2223!AY352&gt;0,INDIRECT(ADDRESS(MATCH(Agenda2526!C353,'CAL2'!A:A,0),3,4,1,"CAL2")),0)</f>
        <v>0</v>
      </c>
      <c r="I352" s="20" t="str">
        <f ca="1">IF(CALC2223!AY352&gt;1,INDIRECT(ADDRESS(MATCH(Agenda2526!C353,'CAL2'!A:A,0)+1,2,4,1,"CAL2")),"")</f>
        <v/>
      </c>
      <c r="J352" s="21">
        <f ca="1">IF(CALC2223!AY352&gt;1,INDIRECT(ADDRESS(MATCH(Agenda2526!C353,'CAL2'!A:A,0)+1,3,4,1,"CAL2")),0)</f>
        <v>0</v>
      </c>
      <c r="K352" s="20" t="str">
        <f ca="1">IF(CALC2223!AY352&gt;2,INDIRECT(ADDRESS(MATCH(Agenda2526!C353,'CAL2'!A:A,0)+2,2,4,1,"CAL2")),"")</f>
        <v/>
      </c>
      <c r="L352" s="21">
        <f ca="1">IF(CALC2223!AY352&gt;2,INDIRECT(ADDRESS(MATCH(Agenda2526!C353,'CAL2'!A:A,0)+2,3,4,1,"CAL2")),0)</f>
        <v>0</v>
      </c>
      <c r="M352" s="20" t="str">
        <f ca="1">IF(CALC2223!AZ352&gt;0,INDIRECT(ADDRESS(MATCH(Agenda2526!C353,'CAL3'!A:A,0),2,4,1,"CAL3")),"")</f>
        <v/>
      </c>
      <c r="N352" s="21">
        <f ca="1">IF(CALC2223!AZ352&gt;0,INDIRECT(ADDRESS(MATCH(Agenda2526!C353,'CAL3'!A:A,0),3,4,1,"CAL3")),0)</f>
        <v>0</v>
      </c>
      <c r="O352" s="20" t="str">
        <f ca="1">IF(CALC2223!AZ352&gt;1,INDIRECT(ADDRESS(MATCH(Agenda2526!C353,'CAL3'!A:A,0)+1,2,4,1,"CAL3")),"")</f>
        <v/>
      </c>
      <c r="P352" s="21">
        <f ca="1">IF(CALC2223!AZ352&gt;1,INDIRECT(ADDRESS(MATCH(Agenda2526!C353,'CAL3'!A:A,0)+1,3,4,1,"CAL3")),0)</f>
        <v>0</v>
      </c>
      <c r="Q352" s="20" t="str">
        <f ca="1">IF(CALC2223!AZ352&gt;2,INDIRECT(ADDRESS(MATCH(Agenda2526!C353,'CAL3'!A:A,0)+2,2,4,1,"CAL3")),"")</f>
        <v/>
      </c>
      <c r="R352" s="21">
        <f ca="1">IF(CALC2223!AZ352&gt;2,INDIRECT(ADDRESS(MATCH(Agenda2526!C353,'CAL3'!A:A,0)+2,3,4,1,"CAL3")),0)</f>
        <v>0</v>
      </c>
      <c r="S352" s="20" t="str">
        <f ca="1">IF(CALC2223!BA352&gt;0,INDIRECT(ADDRESS(MATCH(Agenda2526!C353,'CAL4'!A:A,0),2,4,1,"CAL4")),"")</f>
        <v/>
      </c>
      <c r="T352" s="21">
        <f ca="1">IF(CALC2223!BA352&gt;0,INDIRECT(ADDRESS(MATCH(Agenda2526!C353,'CAL4'!A:A,0),3,4,1,"CAL4")),0)</f>
        <v>0</v>
      </c>
      <c r="U352" s="20" t="str">
        <f ca="1">IF(CALC2223!BA352&gt;1,INDIRECT(ADDRESS(MATCH(Agenda2526!C353,'CAL4'!A:A,0)+1,2,4,1,"CAL4")),"")</f>
        <v/>
      </c>
      <c r="V352" s="21">
        <f ca="1">IF(CALC2223!BA352&gt;1,INDIRECT(ADDRESS(MATCH(Agenda2526!C353,'CAL4'!A:A,0)+1,3,4,1,"CAL4")),0)</f>
        <v>0</v>
      </c>
      <c r="W352" s="20" t="str">
        <f ca="1">IF(CALC2223!BA352&gt;2,INDIRECT(ADDRESS(MATCH(Agenda2526!C353,'CAL4'!A:A,0)+2,2,4,1,"CAL4")),"")</f>
        <v/>
      </c>
      <c r="X352" s="21">
        <f ca="1">IF(CALC2223!BA352&gt;2,INDIRECT(ADDRESS(MATCH(Agenda2526!C353,'CAL4'!A:A,0)+2,3,4,1,"CAL4")),0)</f>
        <v>0</v>
      </c>
      <c r="Y352" s="20" t="str">
        <f ca="1">IF(CALC2223!BB352&gt;0,INDIRECT(ADDRESS(MATCH(Agenda2526!C353,'CAL5'!A:A,0),2,4,1,"CAL5")),"")</f>
        <v/>
      </c>
      <c r="Z352" s="21">
        <f ca="1">IF(CALC2223!BB352&gt;0,INDIRECT(ADDRESS(MATCH(Agenda2526!C353,'CAL5'!A:A,0),3,4,1,"CAL5")),0)</f>
        <v>0</v>
      </c>
      <c r="AA352" s="20" t="str">
        <f ca="1">IF(CALC2223!BB352&gt;1,INDIRECT(ADDRESS(MATCH(Agenda2526!C353,'CAL5'!A:A,0)+1,2,4,1,"CAL5")),"")</f>
        <v/>
      </c>
      <c r="AB352" s="21">
        <f ca="1">IF(CALC2223!BB352&gt;1,INDIRECT(ADDRESS(MATCH(Agenda2526!C353,'CAL5'!A:A,0)+1,3,4,1,"CAL5")),0)</f>
        <v>0</v>
      </c>
      <c r="AC352" s="20" t="str">
        <f ca="1">IF(CALC2223!BB352&gt;2,INDIRECT(ADDRESS(MATCH(Agenda2526!C353,'CAL5'!A:A,0)+2,2,4,1,"CAL5")),"")</f>
        <v/>
      </c>
      <c r="AD352" s="21">
        <f ca="1">IF(CALC2223!BB352&gt;2,INDIRECT(ADDRESS(MATCH(Agenda2526!C353,'CAL5'!A:A,0)+2,3,4,1,"CAL5")),0)</f>
        <v>0</v>
      </c>
      <c r="AE352" s="20" t="str">
        <f ca="1">IF(CALC2223!BC352&gt;0,INDIRECT(ADDRESS(MATCH(Agenda2526!C353,'CAL6'!A:A,0),2,4,1,"CAL6")),"")</f>
        <v/>
      </c>
      <c r="AF352" s="21">
        <f ca="1">IF(CALC2223!BC352&gt;0,INDIRECT(ADDRESS(MATCH(Agenda2526!C353,'CAL6'!A:A,0),3,4,1,"CAL6")),0)</f>
        <v>0</v>
      </c>
      <c r="AG352" s="20" t="str">
        <f ca="1">IF(CALC2223!BC352&gt;1,INDIRECT(ADDRESS(MATCH(Agenda2526!C353,'CAL6'!A:A,0)+1,2,4,1,"CAL6")),"")</f>
        <v/>
      </c>
      <c r="AH352" s="21">
        <f ca="1">IF(CALC2223!BC352&gt;1,INDIRECT(ADDRESS(MATCH(Agenda2526!C353,'CAL6'!A:A,0)+1,3,4,1,"CAL6")),0)</f>
        <v>0</v>
      </c>
      <c r="AI352" s="20" t="str">
        <f ca="1">IF(CALC2223!BC352&gt;2,INDIRECT(ADDRESS(MATCH(Agenda2526!C353,'CAL6'!A:A,0)+2,2,4,1,"CAL6")),"")</f>
        <v/>
      </c>
      <c r="AJ352" s="21">
        <f ca="1">IF(CALC2223!BC352&gt;2,INDIRECT(ADDRESS(MATCH(Agenda2526!C353,'CAL6'!A:A,0)+2,3,4,1,"CAL6")),0)</f>
        <v>0</v>
      </c>
      <c r="AK352" s="20" t="str">
        <f ca="1">IF(CALC2223!BD352&gt;0,INDIRECT(ADDRESS(MATCH(Agenda2526!C353,'CAL7'!A:A,0),2,4,1,"CAL7")),"")</f>
        <v/>
      </c>
      <c r="AL352" s="21">
        <f ca="1">IF(CALC2223!BD352&gt;0,INDIRECT(ADDRESS(MATCH(Agenda2526!C353,'CAL7'!A:A,0),3,4,1,"CAL7")),0)</f>
        <v>0</v>
      </c>
      <c r="AM352" s="20" t="str">
        <f ca="1">IF(CALC2223!BD352&gt;1,INDIRECT(ADDRESS(MATCH(Agenda2526!C353,'CAL7'!A:A,0)+1,2,4,1,"CAL7")),"")</f>
        <v/>
      </c>
      <c r="AN352" s="21">
        <f ca="1">IF(CALC2223!BD352&gt;1,INDIRECT(ADDRESS(MATCH(Agenda2526!C353,'CAL7'!A:A,0)+1,3,4,1,"CAL7")),0)</f>
        <v>0</v>
      </c>
      <c r="AO352" s="20" t="str">
        <f ca="1">IF(CALC2223!BD352&gt;2,INDIRECT(ADDRESS(MATCH(Agenda2526!C353,'CAL7'!A:A,0)+2,2,4,1,"CAL7")),"")</f>
        <v/>
      </c>
      <c r="AP352" s="21">
        <f ca="1">IF(CALC2223!BD352&gt;2,INDIRECT(ADDRESS(MATCH(Agenda2526!C353,'CAL7'!A:A,0)+2,3,4,1,"CAL7")),0)</f>
        <v>0</v>
      </c>
      <c r="AQ352" s="20" t="str">
        <f ca="1">IF(CALC2223!BE352&gt;0,INDIRECT(ADDRESS(MATCH(Agenda2526!C353,'CAL8'!A:A,0),2,4,1,"CAL8")),"")</f>
        <v/>
      </c>
      <c r="AR352" s="21">
        <f ca="1">IF(CALC2223!BE352&gt;0,INDIRECT(ADDRESS(MATCH(Agenda2526!C353,'CAL8'!A:A,0),3,4,1,"CAL8")),0)</f>
        <v>0</v>
      </c>
      <c r="AS352" s="20" t="str">
        <f ca="1">IF(CALC2223!BE352&gt;1,INDIRECT(ADDRESS(MATCH(Agenda2526!C353,'CAL8'!A:A,0)+1,2,4,1,"CAL8")),"")</f>
        <v/>
      </c>
      <c r="AT352" s="21">
        <f ca="1">IF(CALC2223!BE352&gt;1,INDIRECT(ADDRESS(MATCH(Agenda2526!C353,'CAL8'!A:A,0)+1,3,4,1,"CAL8")),0)</f>
        <v>0</v>
      </c>
      <c r="AU352" s="20" t="str">
        <f ca="1">IF(CALC2223!BE352&gt;2,INDIRECT(ADDRESS(MATCH(Agenda2526!C353,'CAL8'!A:A,0)+2,2,4,1,"CAL8")),"")</f>
        <v/>
      </c>
      <c r="AV352" s="21">
        <f ca="1">IF(CALC2223!BE352&gt;2,INDIRECT(ADDRESS(MATCH(Agenda2526!C353,'CAL8'!A:A,0)+2,3,4,1,"CAL8")),0)</f>
        <v>0</v>
      </c>
      <c r="AW352" s="107" t="s">
        <v>123</v>
      </c>
      <c r="AX352" s="20">
        <f>COUNTIF('CAL1'!A:A,Agenda2526!C353)</f>
        <v>0</v>
      </c>
      <c r="AY352" s="20">
        <f>COUNTIF('CAL2'!A:A,Agenda2526!C353)</f>
        <v>0</v>
      </c>
      <c r="AZ352" s="20">
        <f>COUNTIF('CAL3'!A:A,Agenda2526!C353)</f>
        <v>0</v>
      </c>
      <c r="BA352" s="20">
        <f>COUNTIF('CAL4'!A:A,Agenda2526!C353)</f>
        <v>0</v>
      </c>
      <c r="BB352" s="20">
        <f>COUNTIF('CAL5'!A:A,Agenda2526!C353)</f>
        <v>0</v>
      </c>
      <c r="BC352" s="20">
        <f>COUNTIF('CAL6'!A:A,Agenda2526!C353)</f>
        <v>0</v>
      </c>
      <c r="BD352" s="20">
        <f>COUNTIF('CAL7'!A:A,Agenda2526!C353)</f>
        <v>0</v>
      </c>
      <c r="BE352" s="20">
        <f>COUNTIF('CAL8'!A:A,Agenda2526!C353)</f>
        <v>0</v>
      </c>
    </row>
    <row r="353" spans="1:57" ht="15.75" customHeight="1">
      <c r="A353" s="20" t="str">
        <f ca="1">IF(CALC2223!AX353&gt;0,INDIRECT(ADDRESS(MATCH(Agenda2526!C354,'CAL1'!A:A,0),2,4,1,"CAL1")),"")</f>
        <v/>
      </c>
      <c r="B353" s="21">
        <f ca="1">IF(CALC2223!AX353&gt;0,INDIRECT(ADDRESS(MATCH(Agenda2526!C354,'CAL1'!A:A,0),3,4,1,"CAL1")),0)</f>
        <v>0</v>
      </c>
      <c r="C353" s="20" t="str">
        <f ca="1">IF(CALC2223!AX353&gt;1,INDIRECT(ADDRESS(MATCH(Agenda2526!C354,'CAL1'!A:A,0)+1,2,4,1,"CAL1")),"")</f>
        <v/>
      </c>
      <c r="D353" s="21">
        <f ca="1">IF(CALC2223!AX353&gt;1,INDIRECT(ADDRESS(MATCH(Agenda2526!C354,'CAL1'!A:A,0)+1,3,4,1,"CAL1")),0)</f>
        <v>0</v>
      </c>
      <c r="E353" s="20" t="str">
        <f ca="1">IF(CALC2223!AX353&gt;2,INDIRECT(ADDRESS(MATCH(Agenda2526!C354,'CAL1'!A:A,0)+2,2,4,1,"CAL1")),"")</f>
        <v/>
      </c>
      <c r="F353" s="21">
        <f ca="1">IF(CALC2223!AX353&gt;2,INDIRECT(ADDRESS(MATCH(Agenda2526!C354,'CAL1'!A:A,0)+2,3,4,1,"CAL1")),0)</f>
        <v>0</v>
      </c>
      <c r="G353" s="20" t="str">
        <f ca="1">IF(CALC2223!AY353&gt;0,INDIRECT(ADDRESS(MATCH(Agenda2526!C354,'CAL2'!A:A,0),2,4,1,"CAL2")),"")</f>
        <v/>
      </c>
      <c r="H353" s="21">
        <f ca="1">IF(CALC2223!AY353&gt;0,INDIRECT(ADDRESS(MATCH(Agenda2526!C354,'CAL2'!A:A,0),3,4,1,"CAL2")),0)</f>
        <v>0</v>
      </c>
      <c r="I353" s="20" t="str">
        <f ca="1">IF(CALC2223!AY353&gt;1,INDIRECT(ADDRESS(MATCH(Agenda2526!C354,'CAL2'!A:A,0)+1,2,4,1,"CAL2")),"")</f>
        <v/>
      </c>
      <c r="J353" s="21">
        <f ca="1">IF(CALC2223!AY353&gt;1,INDIRECT(ADDRESS(MATCH(Agenda2526!C354,'CAL2'!A:A,0)+1,3,4,1,"CAL2")),0)</f>
        <v>0</v>
      </c>
      <c r="K353" s="20" t="str">
        <f ca="1">IF(CALC2223!AY353&gt;2,INDIRECT(ADDRESS(MATCH(Agenda2526!C354,'CAL2'!A:A,0)+2,2,4,1,"CAL2")),"")</f>
        <v/>
      </c>
      <c r="L353" s="21">
        <f ca="1">IF(CALC2223!AY353&gt;2,INDIRECT(ADDRESS(MATCH(Agenda2526!C354,'CAL2'!A:A,0)+2,3,4,1,"CAL2")),0)</f>
        <v>0</v>
      </c>
      <c r="M353" s="20" t="str">
        <f ca="1">IF(CALC2223!AZ353&gt;0,INDIRECT(ADDRESS(MATCH(Agenda2526!C354,'CAL3'!A:A,0),2,4,1,"CAL3")),"")</f>
        <v/>
      </c>
      <c r="N353" s="21">
        <f ca="1">IF(CALC2223!AZ353&gt;0,INDIRECT(ADDRESS(MATCH(Agenda2526!C354,'CAL3'!A:A,0),3,4,1,"CAL3")),0)</f>
        <v>0</v>
      </c>
      <c r="O353" s="20" t="str">
        <f ca="1">IF(CALC2223!AZ353&gt;1,INDIRECT(ADDRESS(MATCH(Agenda2526!C354,'CAL3'!A:A,0)+1,2,4,1,"CAL3")),"")</f>
        <v/>
      </c>
      <c r="P353" s="21">
        <f ca="1">IF(CALC2223!AZ353&gt;1,INDIRECT(ADDRESS(MATCH(Agenda2526!C354,'CAL3'!A:A,0)+1,3,4,1,"CAL3")),0)</f>
        <v>0</v>
      </c>
      <c r="Q353" s="20" t="str">
        <f ca="1">IF(CALC2223!AZ353&gt;2,INDIRECT(ADDRESS(MATCH(Agenda2526!C354,'CAL3'!A:A,0)+2,2,4,1,"CAL3")),"")</f>
        <v/>
      </c>
      <c r="R353" s="21">
        <f ca="1">IF(CALC2223!AZ353&gt;2,INDIRECT(ADDRESS(MATCH(Agenda2526!C354,'CAL3'!A:A,0)+2,3,4,1,"CAL3")),0)</f>
        <v>0</v>
      </c>
      <c r="S353" s="20" t="str">
        <f ca="1">IF(CALC2223!BA353&gt;0,INDIRECT(ADDRESS(MATCH(Agenda2526!C354,'CAL4'!A:A,0),2,4,1,"CAL4")),"")</f>
        <v/>
      </c>
      <c r="T353" s="21">
        <f ca="1">IF(CALC2223!BA353&gt;0,INDIRECT(ADDRESS(MATCH(Agenda2526!C354,'CAL4'!A:A,0),3,4,1,"CAL4")),0)</f>
        <v>0</v>
      </c>
      <c r="U353" s="20" t="str">
        <f ca="1">IF(CALC2223!BA353&gt;1,INDIRECT(ADDRESS(MATCH(Agenda2526!C354,'CAL4'!A:A,0)+1,2,4,1,"CAL4")),"")</f>
        <v/>
      </c>
      <c r="V353" s="21">
        <f ca="1">IF(CALC2223!BA353&gt;1,INDIRECT(ADDRESS(MATCH(Agenda2526!C354,'CAL4'!A:A,0)+1,3,4,1,"CAL4")),0)</f>
        <v>0</v>
      </c>
      <c r="W353" s="20" t="str">
        <f ca="1">IF(CALC2223!BA353&gt;2,INDIRECT(ADDRESS(MATCH(Agenda2526!C354,'CAL4'!A:A,0)+2,2,4,1,"CAL4")),"")</f>
        <v/>
      </c>
      <c r="X353" s="21">
        <f ca="1">IF(CALC2223!BA353&gt;2,INDIRECT(ADDRESS(MATCH(Agenda2526!C354,'CAL4'!A:A,0)+2,3,4,1,"CAL4")),0)</f>
        <v>0</v>
      </c>
      <c r="Y353" s="20" t="str">
        <f ca="1">IF(CALC2223!BB353&gt;0,INDIRECT(ADDRESS(MATCH(Agenda2526!C354,'CAL5'!A:A,0),2,4,1,"CAL5")),"")</f>
        <v/>
      </c>
      <c r="Z353" s="21">
        <f ca="1">IF(CALC2223!BB353&gt;0,INDIRECT(ADDRESS(MATCH(Agenda2526!C354,'CAL5'!A:A,0),3,4,1,"CAL5")),0)</f>
        <v>0</v>
      </c>
      <c r="AA353" s="20" t="str">
        <f ca="1">IF(CALC2223!BB353&gt;1,INDIRECT(ADDRESS(MATCH(Agenda2526!C354,'CAL5'!A:A,0)+1,2,4,1,"CAL5")),"")</f>
        <v/>
      </c>
      <c r="AB353" s="21">
        <f ca="1">IF(CALC2223!BB353&gt;1,INDIRECT(ADDRESS(MATCH(Agenda2526!C354,'CAL5'!A:A,0)+1,3,4,1,"CAL5")),0)</f>
        <v>0</v>
      </c>
      <c r="AC353" s="20" t="str">
        <f ca="1">IF(CALC2223!BB353&gt;2,INDIRECT(ADDRESS(MATCH(Agenda2526!C354,'CAL5'!A:A,0)+2,2,4,1,"CAL5")),"")</f>
        <v/>
      </c>
      <c r="AD353" s="21">
        <f ca="1">IF(CALC2223!BB353&gt;2,INDIRECT(ADDRESS(MATCH(Agenda2526!C354,'CAL5'!A:A,0)+2,3,4,1,"CAL5")),0)</f>
        <v>0</v>
      </c>
      <c r="AE353" s="20" t="str">
        <f ca="1">IF(CALC2223!BC353&gt;0,INDIRECT(ADDRESS(MATCH(Agenda2526!C354,'CAL6'!A:A,0),2,4,1,"CAL6")),"")</f>
        <v/>
      </c>
      <c r="AF353" s="21">
        <f ca="1">IF(CALC2223!BC353&gt;0,INDIRECT(ADDRESS(MATCH(Agenda2526!C354,'CAL6'!A:A,0),3,4,1,"CAL6")),0)</f>
        <v>0</v>
      </c>
      <c r="AG353" s="20" t="str">
        <f ca="1">IF(CALC2223!BC353&gt;1,INDIRECT(ADDRESS(MATCH(Agenda2526!C354,'CAL6'!A:A,0)+1,2,4,1,"CAL6")),"")</f>
        <v/>
      </c>
      <c r="AH353" s="21">
        <f ca="1">IF(CALC2223!BC353&gt;1,INDIRECT(ADDRESS(MATCH(Agenda2526!C354,'CAL6'!A:A,0)+1,3,4,1,"CAL6")),0)</f>
        <v>0</v>
      </c>
      <c r="AI353" s="20" t="str">
        <f ca="1">IF(CALC2223!BC353&gt;2,INDIRECT(ADDRESS(MATCH(Agenda2526!C354,'CAL6'!A:A,0)+2,2,4,1,"CAL6")),"")</f>
        <v/>
      </c>
      <c r="AJ353" s="21">
        <f ca="1">IF(CALC2223!BC353&gt;2,INDIRECT(ADDRESS(MATCH(Agenda2526!C354,'CAL6'!A:A,0)+2,3,4,1,"CAL6")),0)</f>
        <v>0</v>
      </c>
      <c r="AK353" s="20" t="str">
        <f ca="1">IF(CALC2223!BD353&gt;0,INDIRECT(ADDRESS(MATCH(Agenda2526!C354,'CAL7'!A:A,0),2,4,1,"CAL7")),"")</f>
        <v/>
      </c>
      <c r="AL353" s="21">
        <f ca="1">IF(CALC2223!BD353&gt;0,INDIRECT(ADDRESS(MATCH(Agenda2526!C354,'CAL7'!A:A,0),3,4,1,"CAL7")),0)</f>
        <v>0</v>
      </c>
      <c r="AM353" s="20" t="str">
        <f ca="1">IF(CALC2223!BD353&gt;1,INDIRECT(ADDRESS(MATCH(Agenda2526!C354,'CAL7'!A:A,0)+1,2,4,1,"CAL7")),"")</f>
        <v/>
      </c>
      <c r="AN353" s="21">
        <f ca="1">IF(CALC2223!BD353&gt;1,INDIRECT(ADDRESS(MATCH(Agenda2526!C354,'CAL7'!A:A,0)+1,3,4,1,"CAL7")),0)</f>
        <v>0</v>
      </c>
      <c r="AO353" s="20" t="str">
        <f ca="1">IF(CALC2223!BD353&gt;2,INDIRECT(ADDRESS(MATCH(Agenda2526!C354,'CAL7'!A:A,0)+2,2,4,1,"CAL7")),"")</f>
        <v/>
      </c>
      <c r="AP353" s="21">
        <f ca="1">IF(CALC2223!BD353&gt;2,INDIRECT(ADDRESS(MATCH(Agenda2526!C354,'CAL7'!A:A,0)+2,3,4,1,"CAL7")),0)</f>
        <v>0</v>
      </c>
      <c r="AQ353" s="20" t="str">
        <f ca="1">IF(CALC2223!BE353&gt;0,INDIRECT(ADDRESS(MATCH(Agenda2526!C354,'CAL8'!A:A,0),2,4,1,"CAL8")),"")</f>
        <v/>
      </c>
      <c r="AR353" s="21">
        <f ca="1">IF(CALC2223!BE353&gt;0,INDIRECT(ADDRESS(MATCH(Agenda2526!C354,'CAL8'!A:A,0),3,4,1,"CAL8")),0)</f>
        <v>0</v>
      </c>
      <c r="AS353" s="20" t="str">
        <f ca="1">IF(CALC2223!BE353&gt;1,INDIRECT(ADDRESS(MATCH(Agenda2526!C354,'CAL8'!A:A,0)+1,2,4,1,"CAL8")),"")</f>
        <v/>
      </c>
      <c r="AT353" s="21">
        <f ca="1">IF(CALC2223!BE353&gt;1,INDIRECT(ADDRESS(MATCH(Agenda2526!C354,'CAL8'!A:A,0)+1,3,4,1,"CAL8")),0)</f>
        <v>0</v>
      </c>
      <c r="AU353" s="20" t="str">
        <f ca="1">IF(CALC2223!BE353&gt;2,INDIRECT(ADDRESS(MATCH(Agenda2526!C354,'CAL8'!A:A,0)+2,2,4,1,"CAL8")),"")</f>
        <v/>
      </c>
      <c r="AV353" s="21">
        <f ca="1">IF(CALC2223!BE353&gt;2,INDIRECT(ADDRESS(MATCH(Agenda2526!C354,'CAL8'!A:A,0)+2,3,4,1,"CAL8")),0)</f>
        <v>0</v>
      </c>
      <c r="AW353" s="107"/>
      <c r="AX353" s="20">
        <f>COUNTIF('CAL1'!A:A,Agenda2526!C354)</f>
        <v>0</v>
      </c>
      <c r="AY353" s="20">
        <f>COUNTIF('CAL2'!A:A,Agenda2526!C354)</f>
        <v>0</v>
      </c>
      <c r="AZ353" s="20">
        <f>COUNTIF('CAL3'!A:A,Agenda2526!C354)</f>
        <v>0</v>
      </c>
      <c r="BA353" s="20">
        <f>COUNTIF('CAL4'!A:A,Agenda2526!C354)</f>
        <v>0</v>
      </c>
      <c r="BB353" s="20">
        <f>COUNTIF('CAL5'!A:A,Agenda2526!C354)</f>
        <v>0</v>
      </c>
      <c r="BC353" s="20">
        <f>COUNTIF('CAL6'!A:A,Agenda2526!C354)</f>
        <v>0</v>
      </c>
      <c r="BD353" s="20">
        <f>COUNTIF('CAL7'!A:A,Agenda2526!C354)</f>
        <v>0</v>
      </c>
      <c r="BE353" s="20">
        <f>COUNTIF('CAL8'!A:A,Agenda2526!C354)</f>
        <v>0</v>
      </c>
    </row>
    <row r="354" spans="1:57" ht="15.75" customHeight="1">
      <c r="A354" s="20" t="str">
        <f ca="1">IF(CALC2223!AX354&gt;0,INDIRECT(ADDRESS(MATCH(Agenda2526!C355,'CAL1'!A:A,0),2,4,1,"CAL1")),"")</f>
        <v/>
      </c>
      <c r="B354" s="21">
        <f ca="1">IF(CALC2223!AX354&gt;0,INDIRECT(ADDRESS(MATCH(Agenda2526!C355,'CAL1'!A:A,0),3,4,1,"CAL1")),0)</f>
        <v>0</v>
      </c>
      <c r="C354" s="20" t="str">
        <f ca="1">IF(CALC2223!AX354&gt;1,INDIRECT(ADDRESS(MATCH(Agenda2526!C355,'CAL1'!A:A,0)+1,2,4,1,"CAL1")),"")</f>
        <v/>
      </c>
      <c r="D354" s="21">
        <f ca="1">IF(CALC2223!AX354&gt;1,INDIRECT(ADDRESS(MATCH(Agenda2526!C355,'CAL1'!A:A,0)+1,3,4,1,"CAL1")),0)</f>
        <v>0</v>
      </c>
      <c r="E354" s="20" t="str">
        <f ca="1">IF(CALC2223!AX354&gt;2,INDIRECT(ADDRESS(MATCH(Agenda2526!C355,'CAL1'!A:A,0)+2,2,4,1,"CAL1")),"")</f>
        <v/>
      </c>
      <c r="F354" s="21">
        <f ca="1">IF(CALC2223!AX354&gt;2,INDIRECT(ADDRESS(MATCH(Agenda2526!C355,'CAL1'!A:A,0)+2,3,4,1,"CAL1")),0)</f>
        <v>0</v>
      </c>
      <c r="G354" s="20" t="str">
        <f ca="1">IF(CALC2223!AY354&gt;0,INDIRECT(ADDRESS(MATCH(Agenda2526!C355,'CAL2'!A:A,0),2,4,1,"CAL2")),"")</f>
        <v/>
      </c>
      <c r="H354" s="21">
        <f ca="1">IF(CALC2223!AY354&gt;0,INDIRECT(ADDRESS(MATCH(Agenda2526!C355,'CAL2'!A:A,0),3,4,1,"CAL2")),0)</f>
        <v>0</v>
      </c>
      <c r="I354" s="20" t="str">
        <f ca="1">IF(CALC2223!AY354&gt;1,INDIRECT(ADDRESS(MATCH(Agenda2526!C355,'CAL2'!A:A,0)+1,2,4,1,"CAL2")),"")</f>
        <v/>
      </c>
      <c r="J354" s="21">
        <f ca="1">IF(CALC2223!AY354&gt;1,INDIRECT(ADDRESS(MATCH(Agenda2526!C355,'CAL2'!A:A,0)+1,3,4,1,"CAL2")),0)</f>
        <v>0</v>
      </c>
      <c r="K354" s="20" t="str">
        <f ca="1">IF(CALC2223!AY354&gt;2,INDIRECT(ADDRESS(MATCH(Agenda2526!C355,'CAL2'!A:A,0)+2,2,4,1,"CAL2")),"")</f>
        <v/>
      </c>
      <c r="L354" s="21">
        <f ca="1">IF(CALC2223!AY354&gt;2,INDIRECT(ADDRESS(MATCH(Agenda2526!C355,'CAL2'!A:A,0)+2,3,4,1,"CAL2")),0)</f>
        <v>0</v>
      </c>
      <c r="M354" s="20" t="str">
        <f ca="1">IF(CALC2223!AZ354&gt;0,INDIRECT(ADDRESS(MATCH(Agenda2526!C355,'CAL3'!A:A,0),2,4,1,"CAL3")),"")</f>
        <v/>
      </c>
      <c r="N354" s="21">
        <f ca="1">IF(CALC2223!AZ354&gt;0,INDIRECT(ADDRESS(MATCH(Agenda2526!C355,'CAL3'!A:A,0),3,4,1,"CAL3")),0)</f>
        <v>0</v>
      </c>
      <c r="O354" s="20" t="str">
        <f ca="1">IF(CALC2223!AZ354&gt;1,INDIRECT(ADDRESS(MATCH(Agenda2526!C355,'CAL3'!A:A,0)+1,2,4,1,"CAL3")),"")</f>
        <v/>
      </c>
      <c r="P354" s="21">
        <f ca="1">IF(CALC2223!AZ354&gt;1,INDIRECT(ADDRESS(MATCH(Agenda2526!C355,'CAL3'!A:A,0)+1,3,4,1,"CAL3")),0)</f>
        <v>0</v>
      </c>
      <c r="Q354" s="20" t="str">
        <f ca="1">IF(CALC2223!AZ354&gt;2,INDIRECT(ADDRESS(MATCH(Agenda2526!C355,'CAL3'!A:A,0)+2,2,4,1,"CAL3")),"")</f>
        <v/>
      </c>
      <c r="R354" s="21">
        <f ca="1">IF(CALC2223!AZ354&gt;2,INDIRECT(ADDRESS(MATCH(Agenda2526!C355,'CAL3'!A:A,0)+2,3,4,1,"CAL3")),0)</f>
        <v>0</v>
      </c>
      <c r="S354" s="20" t="str">
        <f ca="1">IF(CALC2223!BA354&gt;0,INDIRECT(ADDRESS(MATCH(Agenda2526!C355,'CAL4'!A:A,0),2,4,1,"CAL4")),"")</f>
        <v/>
      </c>
      <c r="T354" s="21">
        <f ca="1">IF(CALC2223!BA354&gt;0,INDIRECT(ADDRESS(MATCH(Agenda2526!C355,'CAL4'!A:A,0),3,4,1,"CAL4")),0)</f>
        <v>0</v>
      </c>
      <c r="U354" s="20" t="str">
        <f ca="1">IF(CALC2223!BA354&gt;1,INDIRECT(ADDRESS(MATCH(Agenda2526!C355,'CAL4'!A:A,0)+1,2,4,1,"CAL4")),"")</f>
        <v/>
      </c>
      <c r="V354" s="21">
        <f ca="1">IF(CALC2223!BA354&gt;1,INDIRECT(ADDRESS(MATCH(Agenda2526!C355,'CAL4'!A:A,0)+1,3,4,1,"CAL4")),0)</f>
        <v>0</v>
      </c>
      <c r="W354" s="20" t="str">
        <f ca="1">IF(CALC2223!BA354&gt;2,INDIRECT(ADDRESS(MATCH(Agenda2526!C355,'CAL4'!A:A,0)+2,2,4,1,"CAL4")),"")</f>
        <v/>
      </c>
      <c r="X354" s="21">
        <f ca="1">IF(CALC2223!BA354&gt;2,INDIRECT(ADDRESS(MATCH(Agenda2526!C355,'CAL4'!A:A,0)+2,3,4,1,"CAL4")),0)</f>
        <v>0</v>
      </c>
      <c r="Y354" s="20" t="str">
        <f ca="1">IF(CALC2223!BB354&gt;0,INDIRECT(ADDRESS(MATCH(Agenda2526!C355,'CAL5'!A:A,0),2,4,1,"CAL5")),"")</f>
        <v/>
      </c>
      <c r="Z354" s="21">
        <f ca="1">IF(CALC2223!BB354&gt;0,INDIRECT(ADDRESS(MATCH(Agenda2526!C355,'CAL5'!A:A,0),3,4,1,"CAL5")),0)</f>
        <v>0</v>
      </c>
      <c r="AA354" s="20" t="str">
        <f ca="1">IF(CALC2223!BB354&gt;1,INDIRECT(ADDRESS(MATCH(Agenda2526!C355,'CAL5'!A:A,0)+1,2,4,1,"CAL5")),"")</f>
        <v/>
      </c>
      <c r="AB354" s="21">
        <f ca="1">IF(CALC2223!BB354&gt;1,INDIRECT(ADDRESS(MATCH(Agenda2526!C355,'CAL5'!A:A,0)+1,3,4,1,"CAL5")),0)</f>
        <v>0</v>
      </c>
      <c r="AC354" s="20" t="str">
        <f ca="1">IF(CALC2223!BB354&gt;2,INDIRECT(ADDRESS(MATCH(Agenda2526!C355,'CAL5'!A:A,0)+2,2,4,1,"CAL5")),"")</f>
        <v/>
      </c>
      <c r="AD354" s="21">
        <f ca="1">IF(CALC2223!BB354&gt;2,INDIRECT(ADDRESS(MATCH(Agenda2526!C355,'CAL5'!A:A,0)+2,3,4,1,"CAL5")),0)</f>
        <v>0</v>
      </c>
      <c r="AE354" s="20" t="str">
        <f ca="1">IF(CALC2223!BC354&gt;0,INDIRECT(ADDRESS(MATCH(Agenda2526!C355,'CAL6'!A:A,0),2,4,1,"CAL6")),"")</f>
        <v/>
      </c>
      <c r="AF354" s="21">
        <f ca="1">IF(CALC2223!BC354&gt;0,INDIRECT(ADDRESS(MATCH(Agenda2526!C355,'CAL6'!A:A,0),3,4,1,"CAL6")),0)</f>
        <v>0</v>
      </c>
      <c r="AG354" s="20" t="str">
        <f ca="1">IF(CALC2223!BC354&gt;1,INDIRECT(ADDRESS(MATCH(Agenda2526!C355,'CAL6'!A:A,0)+1,2,4,1,"CAL6")),"")</f>
        <v/>
      </c>
      <c r="AH354" s="21">
        <f ca="1">IF(CALC2223!BC354&gt;1,INDIRECT(ADDRESS(MATCH(Agenda2526!C355,'CAL6'!A:A,0)+1,3,4,1,"CAL6")),0)</f>
        <v>0</v>
      </c>
      <c r="AI354" s="20" t="str">
        <f ca="1">IF(CALC2223!BC354&gt;2,INDIRECT(ADDRESS(MATCH(Agenda2526!C355,'CAL6'!A:A,0)+2,2,4,1,"CAL6")),"")</f>
        <v/>
      </c>
      <c r="AJ354" s="21">
        <f ca="1">IF(CALC2223!BC354&gt;2,INDIRECT(ADDRESS(MATCH(Agenda2526!C355,'CAL6'!A:A,0)+2,3,4,1,"CAL6")),0)</f>
        <v>0</v>
      </c>
      <c r="AK354" s="20" t="str">
        <f ca="1">IF(CALC2223!BD354&gt;0,INDIRECT(ADDRESS(MATCH(Agenda2526!C355,'CAL7'!A:A,0),2,4,1,"CAL7")),"")</f>
        <v/>
      </c>
      <c r="AL354" s="21">
        <f ca="1">IF(CALC2223!BD354&gt;0,INDIRECT(ADDRESS(MATCH(Agenda2526!C355,'CAL7'!A:A,0),3,4,1,"CAL7")),0)</f>
        <v>0</v>
      </c>
      <c r="AM354" s="20" t="str">
        <f ca="1">IF(CALC2223!BD354&gt;1,INDIRECT(ADDRESS(MATCH(Agenda2526!C355,'CAL7'!A:A,0)+1,2,4,1,"CAL7")),"")</f>
        <v/>
      </c>
      <c r="AN354" s="21">
        <f ca="1">IF(CALC2223!BD354&gt;1,INDIRECT(ADDRESS(MATCH(Agenda2526!C355,'CAL7'!A:A,0)+1,3,4,1,"CAL7")),0)</f>
        <v>0</v>
      </c>
      <c r="AO354" s="20" t="str">
        <f ca="1">IF(CALC2223!BD354&gt;2,INDIRECT(ADDRESS(MATCH(Agenda2526!C355,'CAL7'!A:A,0)+2,2,4,1,"CAL7")),"")</f>
        <v/>
      </c>
      <c r="AP354" s="21">
        <f ca="1">IF(CALC2223!BD354&gt;2,INDIRECT(ADDRESS(MATCH(Agenda2526!C355,'CAL7'!A:A,0)+2,3,4,1,"CAL7")),0)</f>
        <v>0</v>
      </c>
      <c r="AQ354" s="20" t="str">
        <f ca="1">IF(CALC2223!BE354&gt;0,INDIRECT(ADDRESS(MATCH(Agenda2526!C355,'CAL8'!A:A,0),2,4,1,"CAL8")),"")</f>
        <v/>
      </c>
      <c r="AR354" s="21">
        <f ca="1">IF(CALC2223!BE354&gt;0,INDIRECT(ADDRESS(MATCH(Agenda2526!C355,'CAL8'!A:A,0),3,4,1,"CAL8")),0)</f>
        <v>0</v>
      </c>
      <c r="AS354" s="20" t="str">
        <f ca="1">IF(CALC2223!BE354&gt;1,INDIRECT(ADDRESS(MATCH(Agenda2526!C355,'CAL8'!A:A,0)+1,2,4,1,"CAL8")),"")</f>
        <v/>
      </c>
      <c r="AT354" s="21">
        <f ca="1">IF(CALC2223!BE354&gt;1,INDIRECT(ADDRESS(MATCH(Agenda2526!C355,'CAL8'!A:A,0)+1,3,4,1,"CAL8")),0)</f>
        <v>0</v>
      </c>
      <c r="AU354" s="20" t="str">
        <f ca="1">IF(CALC2223!BE354&gt;2,INDIRECT(ADDRESS(MATCH(Agenda2526!C355,'CAL8'!A:A,0)+2,2,4,1,"CAL8")),"")</f>
        <v/>
      </c>
      <c r="AV354" s="21">
        <f ca="1">IF(CALC2223!BE354&gt;2,INDIRECT(ADDRESS(MATCH(Agenda2526!C355,'CAL8'!A:A,0)+2,3,4,1,"CAL8")),0)</f>
        <v>0</v>
      </c>
      <c r="AW354" s="107"/>
      <c r="AX354" s="20">
        <f>COUNTIF('CAL1'!A:A,Agenda2526!C355)</f>
        <v>0</v>
      </c>
      <c r="AY354" s="20">
        <f>COUNTIF('CAL2'!A:A,Agenda2526!C355)</f>
        <v>0</v>
      </c>
      <c r="AZ354" s="20">
        <f>COUNTIF('CAL3'!A:A,Agenda2526!C355)</f>
        <v>0</v>
      </c>
      <c r="BA354" s="20">
        <f>COUNTIF('CAL4'!A:A,Agenda2526!C355)</f>
        <v>0</v>
      </c>
      <c r="BB354" s="20">
        <f>COUNTIF('CAL5'!A:A,Agenda2526!C355)</f>
        <v>0</v>
      </c>
      <c r="BC354" s="20">
        <f>COUNTIF('CAL6'!A:A,Agenda2526!C355)</f>
        <v>0</v>
      </c>
      <c r="BD354" s="20">
        <f>COUNTIF('CAL7'!A:A,Agenda2526!C355)</f>
        <v>0</v>
      </c>
      <c r="BE354" s="20">
        <f>COUNTIF('CAL8'!A:A,Agenda2526!C355)</f>
        <v>0</v>
      </c>
    </row>
    <row r="355" spans="1:57" ht="15.75" customHeight="1">
      <c r="A355" s="20" t="str">
        <f ca="1">IF(CALC2223!AX355&gt;0,INDIRECT(ADDRESS(MATCH(Agenda2526!C356,'CAL1'!A:A,0),2,4,1,"CAL1")),"")</f>
        <v/>
      </c>
      <c r="B355" s="21">
        <f ca="1">IF(CALC2223!AX355&gt;0,INDIRECT(ADDRESS(MATCH(Agenda2526!C356,'CAL1'!A:A,0),3,4,1,"CAL1")),0)</f>
        <v>0</v>
      </c>
      <c r="C355" s="20" t="str">
        <f ca="1">IF(CALC2223!AX355&gt;1,INDIRECT(ADDRESS(MATCH(Agenda2526!C356,'CAL1'!A:A,0)+1,2,4,1,"CAL1")),"")</f>
        <v/>
      </c>
      <c r="D355" s="21">
        <f ca="1">IF(CALC2223!AX355&gt;1,INDIRECT(ADDRESS(MATCH(Agenda2526!C356,'CAL1'!A:A,0)+1,3,4,1,"CAL1")),0)</f>
        <v>0</v>
      </c>
      <c r="E355" s="20" t="str">
        <f ca="1">IF(CALC2223!AX355&gt;2,INDIRECT(ADDRESS(MATCH(Agenda2526!C356,'CAL1'!A:A,0)+2,2,4,1,"CAL1")),"")</f>
        <v/>
      </c>
      <c r="F355" s="21">
        <f ca="1">IF(CALC2223!AX355&gt;2,INDIRECT(ADDRESS(MATCH(Agenda2526!C356,'CAL1'!A:A,0)+2,3,4,1,"CAL1")),0)</f>
        <v>0</v>
      </c>
      <c r="G355" s="20" t="str">
        <f ca="1">IF(CALC2223!AY355&gt;0,INDIRECT(ADDRESS(MATCH(Agenda2526!C356,'CAL2'!A:A,0),2,4,1,"CAL2")),"")</f>
        <v/>
      </c>
      <c r="H355" s="21">
        <f ca="1">IF(CALC2223!AY355&gt;0,INDIRECT(ADDRESS(MATCH(Agenda2526!C356,'CAL2'!A:A,0),3,4,1,"CAL2")),0)</f>
        <v>0</v>
      </c>
      <c r="I355" s="20" t="str">
        <f ca="1">IF(CALC2223!AY355&gt;1,INDIRECT(ADDRESS(MATCH(Agenda2526!C356,'CAL2'!A:A,0)+1,2,4,1,"CAL2")),"")</f>
        <v/>
      </c>
      <c r="J355" s="21">
        <f ca="1">IF(CALC2223!AY355&gt;1,INDIRECT(ADDRESS(MATCH(Agenda2526!C356,'CAL2'!A:A,0)+1,3,4,1,"CAL2")),0)</f>
        <v>0</v>
      </c>
      <c r="K355" s="20" t="str">
        <f ca="1">IF(CALC2223!AY355&gt;2,INDIRECT(ADDRESS(MATCH(Agenda2526!C356,'CAL2'!A:A,0)+2,2,4,1,"CAL2")),"")</f>
        <v/>
      </c>
      <c r="L355" s="21">
        <f ca="1">IF(CALC2223!AY355&gt;2,INDIRECT(ADDRESS(MATCH(Agenda2526!C356,'CAL2'!A:A,0)+2,3,4,1,"CAL2")),0)</f>
        <v>0</v>
      </c>
      <c r="M355" s="20" t="str">
        <f ca="1">IF(CALC2223!AZ355&gt;0,INDIRECT(ADDRESS(MATCH(Agenda2526!C356,'CAL3'!A:A,0),2,4,1,"CAL3")),"")</f>
        <v/>
      </c>
      <c r="N355" s="21">
        <f ca="1">IF(CALC2223!AZ355&gt;0,INDIRECT(ADDRESS(MATCH(Agenda2526!C356,'CAL3'!A:A,0),3,4,1,"CAL3")),0)</f>
        <v>0</v>
      </c>
      <c r="O355" s="20" t="str">
        <f ca="1">IF(CALC2223!AZ355&gt;1,INDIRECT(ADDRESS(MATCH(Agenda2526!C356,'CAL3'!A:A,0)+1,2,4,1,"CAL3")),"")</f>
        <v/>
      </c>
      <c r="P355" s="21">
        <f ca="1">IF(CALC2223!AZ355&gt;1,INDIRECT(ADDRESS(MATCH(Agenda2526!C356,'CAL3'!A:A,0)+1,3,4,1,"CAL3")),0)</f>
        <v>0</v>
      </c>
      <c r="Q355" s="20" t="str">
        <f ca="1">IF(CALC2223!AZ355&gt;2,INDIRECT(ADDRESS(MATCH(Agenda2526!C356,'CAL3'!A:A,0)+2,2,4,1,"CAL3")),"")</f>
        <v/>
      </c>
      <c r="R355" s="21">
        <f ca="1">IF(CALC2223!AZ355&gt;2,INDIRECT(ADDRESS(MATCH(Agenda2526!C356,'CAL3'!A:A,0)+2,3,4,1,"CAL3")),0)</f>
        <v>0</v>
      </c>
      <c r="S355" s="20" t="str">
        <f ca="1">IF(CALC2223!BA355&gt;0,INDIRECT(ADDRESS(MATCH(Agenda2526!C356,'CAL4'!A:A,0),2,4,1,"CAL4")),"")</f>
        <v/>
      </c>
      <c r="T355" s="21">
        <f ca="1">IF(CALC2223!BA355&gt;0,INDIRECT(ADDRESS(MATCH(Agenda2526!C356,'CAL4'!A:A,0),3,4,1,"CAL4")),0)</f>
        <v>0</v>
      </c>
      <c r="U355" s="20" t="str">
        <f ca="1">IF(CALC2223!BA355&gt;1,INDIRECT(ADDRESS(MATCH(Agenda2526!C356,'CAL4'!A:A,0)+1,2,4,1,"CAL4")),"")</f>
        <v/>
      </c>
      <c r="V355" s="21">
        <f ca="1">IF(CALC2223!BA355&gt;1,INDIRECT(ADDRESS(MATCH(Agenda2526!C356,'CAL4'!A:A,0)+1,3,4,1,"CAL4")),0)</f>
        <v>0</v>
      </c>
      <c r="W355" s="20" t="str">
        <f ca="1">IF(CALC2223!BA355&gt;2,INDIRECT(ADDRESS(MATCH(Agenda2526!C356,'CAL4'!A:A,0)+2,2,4,1,"CAL4")),"")</f>
        <v/>
      </c>
      <c r="X355" s="21">
        <f ca="1">IF(CALC2223!BA355&gt;2,INDIRECT(ADDRESS(MATCH(Agenda2526!C356,'CAL4'!A:A,0)+2,3,4,1,"CAL4")),0)</f>
        <v>0</v>
      </c>
      <c r="Y355" s="20" t="str">
        <f ca="1">IF(CALC2223!BB355&gt;0,INDIRECT(ADDRESS(MATCH(Agenda2526!C356,'CAL5'!A:A,0),2,4,1,"CAL5")),"")</f>
        <v/>
      </c>
      <c r="Z355" s="21">
        <f ca="1">IF(CALC2223!BB355&gt;0,INDIRECT(ADDRESS(MATCH(Agenda2526!C356,'CAL5'!A:A,0),3,4,1,"CAL5")),0)</f>
        <v>0</v>
      </c>
      <c r="AA355" s="20" t="str">
        <f ca="1">IF(CALC2223!BB355&gt;1,INDIRECT(ADDRESS(MATCH(Agenda2526!C356,'CAL5'!A:A,0)+1,2,4,1,"CAL5")),"")</f>
        <v/>
      </c>
      <c r="AB355" s="21">
        <f ca="1">IF(CALC2223!BB355&gt;1,INDIRECT(ADDRESS(MATCH(Agenda2526!C356,'CAL5'!A:A,0)+1,3,4,1,"CAL5")),0)</f>
        <v>0</v>
      </c>
      <c r="AC355" s="20" t="str">
        <f ca="1">IF(CALC2223!BB355&gt;2,INDIRECT(ADDRESS(MATCH(Agenda2526!C356,'CAL5'!A:A,0)+2,2,4,1,"CAL5")),"")</f>
        <v/>
      </c>
      <c r="AD355" s="21">
        <f ca="1">IF(CALC2223!BB355&gt;2,INDIRECT(ADDRESS(MATCH(Agenda2526!C356,'CAL5'!A:A,0)+2,3,4,1,"CAL5")),0)</f>
        <v>0</v>
      </c>
      <c r="AE355" s="20" t="str">
        <f ca="1">IF(CALC2223!BC355&gt;0,INDIRECT(ADDRESS(MATCH(Agenda2526!C356,'CAL6'!A:A,0),2,4,1,"CAL6")),"")</f>
        <v/>
      </c>
      <c r="AF355" s="21">
        <f ca="1">IF(CALC2223!BC355&gt;0,INDIRECT(ADDRESS(MATCH(Agenda2526!C356,'CAL6'!A:A,0),3,4,1,"CAL6")),0)</f>
        <v>0</v>
      </c>
      <c r="AG355" s="20" t="str">
        <f ca="1">IF(CALC2223!BC355&gt;1,INDIRECT(ADDRESS(MATCH(Agenda2526!C356,'CAL6'!A:A,0)+1,2,4,1,"CAL6")),"")</f>
        <v/>
      </c>
      <c r="AH355" s="21">
        <f ca="1">IF(CALC2223!BC355&gt;1,INDIRECT(ADDRESS(MATCH(Agenda2526!C356,'CAL6'!A:A,0)+1,3,4,1,"CAL6")),0)</f>
        <v>0</v>
      </c>
      <c r="AI355" s="20" t="str">
        <f ca="1">IF(CALC2223!BC355&gt;2,INDIRECT(ADDRESS(MATCH(Agenda2526!C356,'CAL6'!A:A,0)+2,2,4,1,"CAL6")),"")</f>
        <v/>
      </c>
      <c r="AJ355" s="21">
        <f ca="1">IF(CALC2223!BC355&gt;2,INDIRECT(ADDRESS(MATCH(Agenda2526!C356,'CAL6'!A:A,0)+2,3,4,1,"CAL6")),0)</f>
        <v>0</v>
      </c>
      <c r="AK355" s="20" t="str">
        <f ca="1">IF(CALC2223!BD355&gt;0,INDIRECT(ADDRESS(MATCH(Agenda2526!C356,'CAL7'!A:A,0),2,4,1,"CAL7")),"")</f>
        <v/>
      </c>
      <c r="AL355" s="21">
        <f ca="1">IF(CALC2223!BD355&gt;0,INDIRECT(ADDRESS(MATCH(Agenda2526!C356,'CAL7'!A:A,0),3,4,1,"CAL7")),0)</f>
        <v>0</v>
      </c>
      <c r="AM355" s="20" t="str">
        <f ca="1">IF(CALC2223!BD355&gt;1,INDIRECT(ADDRESS(MATCH(Agenda2526!C356,'CAL7'!A:A,0)+1,2,4,1,"CAL7")),"")</f>
        <v/>
      </c>
      <c r="AN355" s="21">
        <f ca="1">IF(CALC2223!BD355&gt;1,INDIRECT(ADDRESS(MATCH(Agenda2526!C356,'CAL7'!A:A,0)+1,3,4,1,"CAL7")),0)</f>
        <v>0</v>
      </c>
      <c r="AO355" s="20" t="str">
        <f ca="1">IF(CALC2223!BD355&gt;2,INDIRECT(ADDRESS(MATCH(Agenda2526!C356,'CAL7'!A:A,0)+2,2,4,1,"CAL7")),"")</f>
        <v/>
      </c>
      <c r="AP355" s="21">
        <f ca="1">IF(CALC2223!BD355&gt;2,INDIRECT(ADDRESS(MATCH(Agenda2526!C356,'CAL7'!A:A,0)+2,3,4,1,"CAL7")),0)</f>
        <v>0</v>
      </c>
      <c r="AQ355" s="20" t="str">
        <f ca="1">IF(CALC2223!BE355&gt;0,INDIRECT(ADDRESS(MATCH(Agenda2526!C356,'CAL8'!A:A,0),2,4,1,"CAL8")),"")</f>
        <v/>
      </c>
      <c r="AR355" s="21">
        <f ca="1">IF(CALC2223!BE355&gt;0,INDIRECT(ADDRESS(MATCH(Agenda2526!C356,'CAL8'!A:A,0),3,4,1,"CAL8")),0)</f>
        <v>0</v>
      </c>
      <c r="AS355" s="20" t="str">
        <f ca="1">IF(CALC2223!BE355&gt;1,INDIRECT(ADDRESS(MATCH(Agenda2526!C356,'CAL8'!A:A,0)+1,2,4,1,"CAL8")),"")</f>
        <v/>
      </c>
      <c r="AT355" s="21">
        <f ca="1">IF(CALC2223!BE355&gt;1,INDIRECT(ADDRESS(MATCH(Agenda2526!C356,'CAL8'!A:A,0)+1,3,4,1,"CAL8")),0)</f>
        <v>0</v>
      </c>
      <c r="AU355" s="20" t="str">
        <f ca="1">IF(CALC2223!BE355&gt;2,INDIRECT(ADDRESS(MATCH(Agenda2526!C356,'CAL8'!A:A,0)+2,2,4,1,"CAL8")),"")</f>
        <v/>
      </c>
      <c r="AV355" s="21">
        <f ca="1">IF(CALC2223!BE355&gt;2,INDIRECT(ADDRESS(MATCH(Agenda2526!C356,'CAL8'!A:A,0)+2,3,4,1,"CAL8")),0)</f>
        <v>0</v>
      </c>
      <c r="AW355" s="107"/>
      <c r="AX355" s="20">
        <f>COUNTIF('CAL1'!A:A,Agenda2526!C356)</f>
        <v>0</v>
      </c>
      <c r="AY355" s="20">
        <f>COUNTIF('CAL2'!A:A,Agenda2526!C356)</f>
        <v>0</v>
      </c>
      <c r="AZ355" s="20">
        <f>COUNTIF('CAL3'!A:A,Agenda2526!C356)</f>
        <v>0</v>
      </c>
      <c r="BA355" s="20">
        <f>COUNTIF('CAL4'!A:A,Agenda2526!C356)</f>
        <v>0</v>
      </c>
      <c r="BB355" s="20">
        <f>COUNTIF('CAL5'!A:A,Agenda2526!C356)</f>
        <v>0</v>
      </c>
      <c r="BC355" s="20">
        <f>COUNTIF('CAL6'!A:A,Agenda2526!C356)</f>
        <v>0</v>
      </c>
      <c r="BD355" s="20">
        <f>COUNTIF('CAL7'!A:A,Agenda2526!C356)</f>
        <v>0</v>
      </c>
      <c r="BE355" s="20">
        <f>COUNTIF('CAL8'!A:A,Agenda2526!C356)</f>
        <v>0</v>
      </c>
    </row>
    <row r="356" spans="1:57" ht="15.75" customHeight="1">
      <c r="A356" s="20" t="str">
        <f ca="1">IF(CALC2223!AX356&gt;0,INDIRECT(ADDRESS(MATCH(Agenda2526!C357,'CAL1'!A:A,0),2,4,1,"CAL1")),"")</f>
        <v/>
      </c>
      <c r="B356" s="21">
        <f ca="1">IF(CALC2223!AX356&gt;0,INDIRECT(ADDRESS(MATCH(Agenda2526!C357,'CAL1'!A:A,0),3,4,1,"CAL1")),0)</f>
        <v>0</v>
      </c>
      <c r="C356" s="20" t="str">
        <f ca="1">IF(CALC2223!AX356&gt;1,INDIRECT(ADDRESS(MATCH(Agenda2526!C357,'CAL1'!A:A,0)+1,2,4,1,"CAL1")),"")</f>
        <v/>
      </c>
      <c r="D356" s="21">
        <f ca="1">IF(CALC2223!AX356&gt;1,INDIRECT(ADDRESS(MATCH(Agenda2526!C357,'CAL1'!A:A,0)+1,3,4,1,"CAL1")),0)</f>
        <v>0</v>
      </c>
      <c r="E356" s="20" t="str">
        <f ca="1">IF(CALC2223!AX356&gt;2,INDIRECT(ADDRESS(MATCH(Agenda2526!C357,'CAL1'!A:A,0)+2,2,4,1,"CAL1")),"")</f>
        <v/>
      </c>
      <c r="F356" s="21">
        <f ca="1">IF(CALC2223!AX356&gt;2,INDIRECT(ADDRESS(MATCH(Agenda2526!C357,'CAL1'!A:A,0)+2,3,4,1,"CAL1")),0)</f>
        <v>0</v>
      </c>
      <c r="G356" s="20" t="str">
        <f ca="1">IF(CALC2223!AY356&gt;0,INDIRECT(ADDRESS(MATCH(Agenda2526!C357,'CAL2'!A:A,0),2,4,1,"CAL2")),"")</f>
        <v/>
      </c>
      <c r="H356" s="21">
        <f ca="1">IF(CALC2223!AY356&gt;0,INDIRECT(ADDRESS(MATCH(Agenda2526!C357,'CAL2'!A:A,0),3,4,1,"CAL2")),0)</f>
        <v>0</v>
      </c>
      <c r="I356" s="20" t="str">
        <f ca="1">IF(CALC2223!AY356&gt;1,INDIRECT(ADDRESS(MATCH(Agenda2526!C357,'CAL2'!A:A,0)+1,2,4,1,"CAL2")),"")</f>
        <v/>
      </c>
      <c r="J356" s="21">
        <f ca="1">IF(CALC2223!AY356&gt;1,INDIRECT(ADDRESS(MATCH(Agenda2526!C357,'CAL2'!A:A,0)+1,3,4,1,"CAL2")),0)</f>
        <v>0</v>
      </c>
      <c r="K356" s="20" t="str">
        <f ca="1">IF(CALC2223!AY356&gt;2,INDIRECT(ADDRESS(MATCH(Agenda2526!C357,'CAL2'!A:A,0)+2,2,4,1,"CAL2")),"")</f>
        <v/>
      </c>
      <c r="L356" s="21">
        <f ca="1">IF(CALC2223!AY356&gt;2,INDIRECT(ADDRESS(MATCH(Agenda2526!C357,'CAL2'!A:A,0)+2,3,4,1,"CAL2")),0)</f>
        <v>0</v>
      </c>
      <c r="M356" s="20" t="str">
        <f ca="1">IF(CALC2223!AZ356&gt;0,INDIRECT(ADDRESS(MATCH(Agenda2526!C357,'CAL3'!A:A,0),2,4,1,"CAL3")),"")</f>
        <v/>
      </c>
      <c r="N356" s="21">
        <f ca="1">IF(CALC2223!AZ356&gt;0,INDIRECT(ADDRESS(MATCH(Agenda2526!C357,'CAL3'!A:A,0),3,4,1,"CAL3")),0)</f>
        <v>0</v>
      </c>
      <c r="O356" s="20" t="str">
        <f ca="1">IF(CALC2223!AZ356&gt;1,INDIRECT(ADDRESS(MATCH(Agenda2526!C357,'CAL3'!A:A,0)+1,2,4,1,"CAL3")),"")</f>
        <v/>
      </c>
      <c r="P356" s="21">
        <f ca="1">IF(CALC2223!AZ356&gt;1,INDIRECT(ADDRESS(MATCH(Agenda2526!C357,'CAL3'!A:A,0)+1,3,4,1,"CAL3")),0)</f>
        <v>0</v>
      </c>
      <c r="Q356" s="20" t="str">
        <f ca="1">IF(CALC2223!AZ356&gt;2,INDIRECT(ADDRESS(MATCH(Agenda2526!C357,'CAL3'!A:A,0)+2,2,4,1,"CAL3")),"")</f>
        <v/>
      </c>
      <c r="R356" s="21">
        <f ca="1">IF(CALC2223!AZ356&gt;2,INDIRECT(ADDRESS(MATCH(Agenda2526!C357,'CAL3'!A:A,0)+2,3,4,1,"CAL3")),0)</f>
        <v>0</v>
      </c>
      <c r="S356" s="20" t="str">
        <f ca="1">IF(CALC2223!BA356&gt;0,INDIRECT(ADDRESS(MATCH(Agenda2526!C357,'CAL4'!A:A,0),2,4,1,"CAL4")),"")</f>
        <v/>
      </c>
      <c r="T356" s="21">
        <f ca="1">IF(CALC2223!BA356&gt;0,INDIRECT(ADDRESS(MATCH(Agenda2526!C357,'CAL4'!A:A,0),3,4,1,"CAL4")),0)</f>
        <v>0</v>
      </c>
      <c r="U356" s="20" t="str">
        <f ca="1">IF(CALC2223!BA356&gt;1,INDIRECT(ADDRESS(MATCH(Agenda2526!C357,'CAL4'!A:A,0)+1,2,4,1,"CAL4")),"")</f>
        <v/>
      </c>
      <c r="V356" s="21">
        <f ca="1">IF(CALC2223!BA356&gt;1,INDIRECT(ADDRESS(MATCH(Agenda2526!C357,'CAL4'!A:A,0)+1,3,4,1,"CAL4")),0)</f>
        <v>0</v>
      </c>
      <c r="W356" s="20" t="str">
        <f ca="1">IF(CALC2223!BA356&gt;2,INDIRECT(ADDRESS(MATCH(Agenda2526!C357,'CAL4'!A:A,0)+2,2,4,1,"CAL4")),"")</f>
        <v/>
      </c>
      <c r="X356" s="21">
        <f ca="1">IF(CALC2223!BA356&gt;2,INDIRECT(ADDRESS(MATCH(Agenda2526!C357,'CAL4'!A:A,0)+2,3,4,1,"CAL4")),0)</f>
        <v>0</v>
      </c>
      <c r="Y356" s="20" t="str">
        <f ca="1">IF(CALC2223!BB356&gt;0,INDIRECT(ADDRESS(MATCH(Agenda2526!C357,'CAL5'!A:A,0),2,4,1,"CAL5")),"")</f>
        <v/>
      </c>
      <c r="Z356" s="21">
        <f ca="1">IF(CALC2223!BB356&gt;0,INDIRECT(ADDRESS(MATCH(Agenda2526!C357,'CAL5'!A:A,0),3,4,1,"CAL5")),0)</f>
        <v>0</v>
      </c>
      <c r="AA356" s="20" t="str">
        <f ca="1">IF(CALC2223!BB356&gt;1,INDIRECT(ADDRESS(MATCH(Agenda2526!C357,'CAL5'!A:A,0)+1,2,4,1,"CAL5")),"")</f>
        <v/>
      </c>
      <c r="AB356" s="21">
        <f ca="1">IF(CALC2223!BB356&gt;1,INDIRECT(ADDRESS(MATCH(Agenda2526!C357,'CAL5'!A:A,0)+1,3,4,1,"CAL5")),0)</f>
        <v>0</v>
      </c>
      <c r="AC356" s="20" t="str">
        <f ca="1">IF(CALC2223!BB356&gt;2,INDIRECT(ADDRESS(MATCH(Agenda2526!C357,'CAL5'!A:A,0)+2,2,4,1,"CAL5")),"")</f>
        <v/>
      </c>
      <c r="AD356" s="21">
        <f ca="1">IF(CALC2223!BB356&gt;2,INDIRECT(ADDRESS(MATCH(Agenda2526!C357,'CAL5'!A:A,0)+2,3,4,1,"CAL5")),0)</f>
        <v>0</v>
      </c>
      <c r="AE356" s="20" t="str">
        <f ca="1">IF(CALC2223!BC356&gt;0,INDIRECT(ADDRESS(MATCH(Agenda2526!C357,'CAL6'!A:A,0),2,4,1,"CAL6")),"")</f>
        <v/>
      </c>
      <c r="AF356" s="21">
        <f ca="1">IF(CALC2223!BC356&gt;0,INDIRECT(ADDRESS(MATCH(Agenda2526!C357,'CAL6'!A:A,0),3,4,1,"CAL6")),0)</f>
        <v>0</v>
      </c>
      <c r="AG356" s="20" t="str">
        <f ca="1">IF(CALC2223!BC356&gt;1,INDIRECT(ADDRESS(MATCH(Agenda2526!C357,'CAL6'!A:A,0)+1,2,4,1,"CAL6")),"")</f>
        <v/>
      </c>
      <c r="AH356" s="21">
        <f ca="1">IF(CALC2223!BC356&gt;1,INDIRECT(ADDRESS(MATCH(Agenda2526!C357,'CAL6'!A:A,0)+1,3,4,1,"CAL6")),0)</f>
        <v>0</v>
      </c>
      <c r="AI356" s="20" t="str">
        <f ca="1">IF(CALC2223!BC356&gt;2,INDIRECT(ADDRESS(MATCH(Agenda2526!C357,'CAL6'!A:A,0)+2,2,4,1,"CAL6")),"")</f>
        <v/>
      </c>
      <c r="AJ356" s="21">
        <f ca="1">IF(CALC2223!BC356&gt;2,INDIRECT(ADDRESS(MATCH(Agenda2526!C357,'CAL6'!A:A,0)+2,3,4,1,"CAL6")),0)</f>
        <v>0</v>
      </c>
      <c r="AK356" s="20" t="str">
        <f ca="1">IF(CALC2223!BD356&gt;0,INDIRECT(ADDRESS(MATCH(Agenda2526!C357,'CAL7'!A:A,0),2,4,1,"CAL7")),"")</f>
        <v/>
      </c>
      <c r="AL356" s="21">
        <f ca="1">IF(CALC2223!BD356&gt;0,INDIRECT(ADDRESS(MATCH(Agenda2526!C357,'CAL7'!A:A,0),3,4,1,"CAL7")),0)</f>
        <v>0</v>
      </c>
      <c r="AM356" s="20" t="str">
        <f ca="1">IF(CALC2223!BD356&gt;1,INDIRECT(ADDRESS(MATCH(Agenda2526!C357,'CAL7'!A:A,0)+1,2,4,1,"CAL7")),"")</f>
        <v/>
      </c>
      <c r="AN356" s="21">
        <f ca="1">IF(CALC2223!BD356&gt;1,INDIRECT(ADDRESS(MATCH(Agenda2526!C357,'CAL7'!A:A,0)+1,3,4,1,"CAL7")),0)</f>
        <v>0</v>
      </c>
      <c r="AO356" s="20" t="str">
        <f ca="1">IF(CALC2223!BD356&gt;2,INDIRECT(ADDRESS(MATCH(Agenda2526!C357,'CAL7'!A:A,0)+2,2,4,1,"CAL7")),"")</f>
        <v/>
      </c>
      <c r="AP356" s="21">
        <f ca="1">IF(CALC2223!BD356&gt;2,INDIRECT(ADDRESS(MATCH(Agenda2526!C357,'CAL7'!A:A,0)+2,3,4,1,"CAL7")),0)</f>
        <v>0</v>
      </c>
      <c r="AQ356" s="20" t="str">
        <f ca="1">IF(CALC2223!BE356&gt;0,INDIRECT(ADDRESS(MATCH(Agenda2526!C357,'CAL8'!A:A,0),2,4,1,"CAL8")),"")</f>
        <v/>
      </c>
      <c r="AR356" s="21">
        <f ca="1">IF(CALC2223!BE356&gt;0,INDIRECT(ADDRESS(MATCH(Agenda2526!C357,'CAL8'!A:A,0),3,4,1,"CAL8")),0)</f>
        <v>0</v>
      </c>
      <c r="AS356" s="20" t="str">
        <f ca="1">IF(CALC2223!BE356&gt;1,INDIRECT(ADDRESS(MATCH(Agenda2526!C357,'CAL8'!A:A,0)+1,2,4,1,"CAL8")),"")</f>
        <v/>
      </c>
      <c r="AT356" s="21">
        <f ca="1">IF(CALC2223!BE356&gt;1,INDIRECT(ADDRESS(MATCH(Agenda2526!C357,'CAL8'!A:A,0)+1,3,4,1,"CAL8")),0)</f>
        <v>0</v>
      </c>
      <c r="AU356" s="20" t="str">
        <f ca="1">IF(CALC2223!BE356&gt;2,INDIRECT(ADDRESS(MATCH(Agenda2526!C357,'CAL8'!A:A,0)+2,2,4,1,"CAL8")),"")</f>
        <v/>
      </c>
      <c r="AV356" s="21">
        <f ca="1">IF(CALC2223!BE356&gt;2,INDIRECT(ADDRESS(MATCH(Agenda2526!C357,'CAL8'!A:A,0)+2,3,4,1,"CAL8")),0)</f>
        <v>0</v>
      </c>
      <c r="AW356" s="107"/>
      <c r="AX356" s="20">
        <f>COUNTIF('CAL1'!A:A,Agenda2526!C357)</f>
        <v>0</v>
      </c>
      <c r="AY356" s="20">
        <f>COUNTIF('CAL2'!A:A,Agenda2526!C357)</f>
        <v>0</v>
      </c>
      <c r="AZ356" s="20">
        <f>COUNTIF('CAL3'!A:A,Agenda2526!C357)</f>
        <v>0</v>
      </c>
      <c r="BA356" s="20">
        <f>COUNTIF('CAL4'!A:A,Agenda2526!C357)</f>
        <v>0</v>
      </c>
      <c r="BB356" s="20">
        <f>COUNTIF('CAL5'!A:A,Agenda2526!C357)</f>
        <v>0</v>
      </c>
      <c r="BC356" s="20">
        <f>COUNTIF('CAL6'!A:A,Agenda2526!C357)</f>
        <v>0</v>
      </c>
      <c r="BD356" s="20">
        <f>COUNTIF('CAL7'!A:A,Agenda2526!C357)</f>
        <v>0</v>
      </c>
      <c r="BE356" s="20">
        <f>COUNTIF('CAL8'!A:A,Agenda2526!C357)</f>
        <v>0</v>
      </c>
    </row>
    <row r="357" spans="1:57" ht="15.75" customHeight="1">
      <c r="A357" s="20" t="str">
        <f ca="1">IF(CALC2223!AX357&gt;0,INDIRECT(ADDRESS(MATCH(Agenda2526!C358,'CAL1'!A:A,0),2,4,1,"CAL1")),"")</f>
        <v/>
      </c>
      <c r="B357" s="21">
        <f ca="1">IF(CALC2223!AX357&gt;0,INDIRECT(ADDRESS(MATCH(Agenda2526!C358,'CAL1'!A:A,0),3,4,1,"CAL1")),0)</f>
        <v>0</v>
      </c>
      <c r="C357" s="20" t="str">
        <f ca="1">IF(CALC2223!AX357&gt;1,INDIRECT(ADDRESS(MATCH(Agenda2526!C358,'CAL1'!A:A,0)+1,2,4,1,"CAL1")),"")</f>
        <v/>
      </c>
      <c r="D357" s="21">
        <f ca="1">IF(CALC2223!AX357&gt;1,INDIRECT(ADDRESS(MATCH(Agenda2526!C358,'CAL1'!A:A,0)+1,3,4,1,"CAL1")),0)</f>
        <v>0</v>
      </c>
      <c r="E357" s="20" t="str">
        <f ca="1">IF(CALC2223!AX357&gt;2,INDIRECT(ADDRESS(MATCH(Agenda2526!C358,'CAL1'!A:A,0)+2,2,4,1,"CAL1")),"")</f>
        <v/>
      </c>
      <c r="F357" s="21">
        <f ca="1">IF(CALC2223!AX357&gt;2,INDIRECT(ADDRESS(MATCH(Agenda2526!C358,'CAL1'!A:A,0)+2,3,4,1,"CAL1")),0)</f>
        <v>0</v>
      </c>
      <c r="G357" s="20" t="str">
        <f ca="1">IF(CALC2223!AY357&gt;0,INDIRECT(ADDRESS(MATCH(Agenda2526!C358,'CAL2'!A:A,0),2,4,1,"CAL2")),"")</f>
        <v/>
      </c>
      <c r="H357" s="21">
        <f ca="1">IF(CALC2223!AY357&gt;0,INDIRECT(ADDRESS(MATCH(Agenda2526!C358,'CAL2'!A:A,0),3,4,1,"CAL2")),0)</f>
        <v>0</v>
      </c>
      <c r="I357" s="20" t="str">
        <f ca="1">IF(CALC2223!AY357&gt;1,INDIRECT(ADDRESS(MATCH(Agenda2526!C358,'CAL2'!A:A,0)+1,2,4,1,"CAL2")),"")</f>
        <v/>
      </c>
      <c r="J357" s="21">
        <f ca="1">IF(CALC2223!AY357&gt;1,INDIRECT(ADDRESS(MATCH(Agenda2526!C358,'CAL2'!A:A,0)+1,3,4,1,"CAL2")),0)</f>
        <v>0</v>
      </c>
      <c r="K357" s="20" t="str">
        <f ca="1">IF(CALC2223!AY357&gt;2,INDIRECT(ADDRESS(MATCH(Agenda2526!C358,'CAL2'!A:A,0)+2,2,4,1,"CAL2")),"")</f>
        <v/>
      </c>
      <c r="L357" s="21">
        <f ca="1">IF(CALC2223!AY357&gt;2,INDIRECT(ADDRESS(MATCH(Agenda2526!C358,'CAL2'!A:A,0)+2,3,4,1,"CAL2")),0)</f>
        <v>0</v>
      </c>
      <c r="M357" s="20" t="str">
        <f ca="1">IF(CALC2223!AZ357&gt;0,INDIRECT(ADDRESS(MATCH(Agenda2526!C358,'CAL3'!A:A,0),2,4,1,"CAL3")),"")</f>
        <v/>
      </c>
      <c r="N357" s="21">
        <f ca="1">IF(CALC2223!AZ357&gt;0,INDIRECT(ADDRESS(MATCH(Agenda2526!C358,'CAL3'!A:A,0),3,4,1,"CAL3")),0)</f>
        <v>0</v>
      </c>
      <c r="O357" s="20" t="str">
        <f ca="1">IF(CALC2223!AZ357&gt;1,INDIRECT(ADDRESS(MATCH(Agenda2526!C358,'CAL3'!A:A,0)+1,2,4,1,"CAL3")),"")</f>
        <v/>
      </c>
      <c r="P357" s="21">
        <f ca="1">IF(CALC2223!AZ357&gt;1,INDIRECT(ADDRESS(MATCH(Agenda2526!C358,'CAL3'!A:A,0)+1,3,4,1,"CAL3")),0)</f>
        <v>0</v>
      </c>
      <c r="Q357" s="20" t="str">
        <f ca="1">IF(CALC2223!AZ357&gt;2,INDIRECT(ADDRESS(MATCH(Agenda2526!C358,'CAL3'!A:A,0)+2,2,4,1,"CAL3")),"")</f>
        <v/>
      </c>
      <c r="R357" s="21">
        <f ca="1">IF(CALC2223!AZ357&gt;2,INDIRECT(ADDRESS(MATCH(Agenda2526!C358,'CAL3'!A:A,0)+2,3,4,1,"CAL3")),0)</f>
        <v>0</v>
      </c>
      <c r="S357" s="20" t="str">
        <f ca="1">IF(CALC2223!BA357&gt;0,INDIRECT(ADDRESS(MATCH(Agenda2526!C358,'CAL4'!A:A,0),2,4,1,"CAL4")),"")</f>
        <v/>
      </c>
      <c r="T357" s="21">
        <f ca="1">IF(CALC2223!BA357&gt;0,INDIRECT(ADDRESS(MATCH(Agenda2526!C358,'CAL4'!A:A,0),3,4,1,"CAL4")),0)</f>
        <v>0</v>
      </c>
      <c r="U357" s="20" t="str">
        <f ca="1">IF(CALC2223!BA357&gt;1,INDIRECT(ADDRESS(MATCH(Agenda2526!C358,'CAL4'!A:A,0)+1,2,4,1,"CAL4")),"")</f>
        <v/>
      </c>
      <c r="V357" s="21">
        <f ca="1">IF(CALC2223!BA357&gt;1,INDIRECT(ADDRESS(MATCH(Agenda2526!C358,'CAL4'!A:A,0)+1,3,4,1,"CAL4")),0)</f>
        <v>0</v>
      </c>
      <c r="W357" s="20" t="str">
        <f ca="1">IF(CALC2223!BA357&gt;2,INDIRECT(ADDRESS(MATCH(Agenda2526!C358,'CAL4'!A:A,0)+2,2,4,1,"CAL4")),"")</f>
        <v/>
      </c>
      <c r="X357" s="21">
        <f ca="1">IF(CALC2223!BA357&gt;2,INDIRECT(ADDRESS(MATCH(Agenda2526!C358,'CAL4'!A:A,0)+2,3,4,1,"CAL4")),0)</f>
        <v>0</v>
      </c>
      <c r="Y357" s="20" t="str">
        <f ca="1">IF(CALC2223!BB357&gt;0,INDIRECT(ADDRESS(MATCH(Agenda2526!C358,'CAL5'!A:A,0),2,4,1,"CAL5")),"")</f>
        <v/>
      </c>
      <c r="Z357" s="21">
        <f ca="1">IF(CALC2223!BB357&gt;0,INDIRECT(ADDRESS(MATCH(Agenda2526!C358,'CAL5'!A:A,0),3,4,1,"CAL5")),0)</f>
        <v>0</v>
      </c>
      <c r="AA357" s="20" t="str">
        <f ca="1">IF(CALC2223!BB357&gt;1,INDIRECT(ADDRESS(MATCH(Agenda2526!C358,'CAL5'!A:A,0)+1,2,4,1,"CAL5")),"")</f>
        <v/>
      </c>
      <c r="AB357" s="21">
        <f ca="1">IF(CALC2223!BB357&gt;1,INDIRECT(ADDRESS(MATCH(Agenda2526!C358,'CAL5'!A:A,0)+1,3,4,1,"CAL5")),0)</f>
        <v>0</v>
      </c>
      <c r="AC357" s="20" t="str">
        <f ca="1">IF(CALC2223!BB357&gt;2,INDIRECT(ADDRESS(MATCH(Agenda2526!C358,'CAL5'!A:A,0)+2,2,4,1,"CAL5")),"")</f>
        <v/>
      </c>
      <c r="AD357" s="21">
        <f ca="1">IF(CALC2223!BB357&gt;2,INDIRECT(ADDRESS(MATCH(Agenda2526!C358,'CAL5'!A:A,0)+2,3,4,1,"CAL5")),0)</f>
        <v>0</v>
      </c>
      <c r="AE357" s="20" t="str">
        <f ca="1">IF(CALC2223!BC357&gt;0,INDIRECT(ADDRESS(MATCH(Agenda2526!C358,'CAL6'!A:A,0),2,4,1,"CAL6")),"")</f>
        <v/>
      </c>
      <c r="AF357" s="21">
        <f ca="1">IF(CALC2223!BC357&gt;0,INDIRECT(ADDRESS(MATCH(Agenda2526!C358,'CAL6'!A:A,0),3,4,1,"CAL6")),0)</f>
        <v>0</v>
      </c>
      <c r="AG357" s="20" t="str">
        <f ca="1">IF(CALC2223!BC357&gt;1,INDIRECT(ADDRESS(MATCH(Agenda2526!C358,'CAL6'!A:A,0)+1,2,4,1,"CAL6")),"")</f>
        <v/>
      </c>
      <c r="AH357" s="21">
        <f ca="1">IF(CALC2223!BC357&gt;1,INDIRECT(ADDRESS(MATCH(Agenda2526!C358,'CAL6'!A:A,0)+1,3,4,1,"CAL6")),0)</f>
        <v>0</v>
      </c>
      <c r="AI357" s="20" t="str">
        <f ca="1">IF(CALC2223!BC357&gt;2,INDIRECT(ADDRESS(MATCH(Agenda2526!C358,'CAL6'!A:A,0)+2,2,4,1,"CAL6")),"")</f>
        <v/>
      </c>
      <c r="AJ357" s="21">
        <f ca="1">IF(CALC2223!BC357&gt;2,INDIRECT(ADDRESS(MATCH(Agenda2526!C358,'CAL6'!A:A,0)+2,3,4,1,"CAL6")),0)</f>
        <v>0</v>
      </c>
      <c r="AK357" s="20" t="str">
        <f ca="1">IF(CALC2223!BD357&gt;0,INDIRECT(ADDRESS(MATCH(Agenda2526!C358,'CAL7'!A:A,0),2,4,1,"CAL7")),"")</f>
        <v/>
      </c>
      <c r="AL357" s="21">
        <f ca="1">IF(CALC2223!BD357&gt;0,INDIRECT(ADDRESS(MATCH(Agenda2526!C358,'CAL7'!A:A,0),3,4,1,"CAL7")),0)</f>
        <v>0</v>
      </c>
      <c r="AM357" s="20" t="str">
        <f ca="1">IF(CALC2223!BD357&gt;1,INDIRECT(ADDRESS(MATCH(Agenda2526!C358,'CAL7'!A:A,0)+1,2,4,1,"CAL7")),"")</f>
        <v/>
      </c>
      <c r="AN357" s="21">
        <f ca="1">IF(CALC2223!BD357&gt;1,INDIRECT(ADDRESS(MATCH(Agenda2526!C358,'CAL7'!A:A,0)+1,3,4,1,"CAL7")),0)</f>
        <v>0</v>
      </c>
      <c r="AO357" s="20" t="str">
        <f ca="1">IF(CALC2223!BD357&gt;2,INDIRECT(ADDRESS(MATCH(Agenda2526!C358,'CAL7'!A:A,0)+2,2,4,1,"CAL7")),"")</f>
        <v/>
      </c>
      <c r="AP357" s="21">
        <f ca="1">IF(CALC2223!BD357&gt;2,INDIRECT(ADDRESS(MATCH(Agenda2526!C358,'CAL7'!A:A,0)+2,3,4,1,"CAL7")),0)</f>
        <v>0</v>
      </c>
      <c r="AQ357" s="20" t="str">
        <f ca="1">IF(CALC2223!BE357&gt;0,INDIRECT(ADDRESS(MATCH(Agenda2526!C358,'CAL8'!A:A,0),2,4,1,"CAL8")),"")</f>
        <v/>
      </c>
      <c r="AR357" s="21">
        <f ca="1">IF(CALC2223!BE357&gt;0,INDIRECT(ADDRESS(MATCH(Agenda2526!C358,'CAL8'!A:A,0),3,4,1,"CAL8")),0)</f>
        <v>0</v>
      </c>
      <c r="AS357" s="20" t="str">
        <f ca="1">IF(CALC2223!BE357&gt;1,INDIRECT(ADDRESS(MATCH(Agenda2526!C358,'CAL8'!A:A,0)+1,2,4,1,"CAL8")),"")</f>
        <v/>
      </c>
      <c r="AT357" s="21">
        <f ca="1">IF(CALC2223!BE357&gt;1,INDIRECT(ADDRESS(MATCH(Agenda2526!C358,'CAL8'!A:A,0)+1,3,4,1,"CAL8")),0)</f>
        <v>0</v>
      </c>
      <c r="AU357" s="20" t="str">
        <f ca="1">IF(CALC2223!BE357&gt;2,INDIRECT(ADDRESS(MATCH(Agenda2526!C358,'CAL8'!A:A,0)+2,2,4,1,"CAL8")),"")</f>
        <v/>
      </c>
      <c r="AV357" s="21">
        <f ca="1">IF(CALC2223!BE357&gt;2,INDIRECT(ADDRESS(MATCH(Agenda2526!C358,'CAL8'!A:A,0)+2,3,4,1,"CAL8")),0)</f>
        <v>0</v>
      </c>
      <c r="AW357" s="106"/>
      <c r="AX357" s="20">
        <f>COUNTIF('CAL1'!A:A,Agenda2526!C358)</f>
        <v>0</v>
      </c>
      <c r="AY357" s="20">
        <f>COUNTIF('CAL2'!A:A,Agenda2526!C358)</f>
        <v>0</v>
      </c>
      <c r="AZ357" s="20">
        <f>COUNTIF('CAL3'!A:A,Agenda2526!C358)</f>
        <v>0</v>
      </c>
      <c r="BA357" s="20">
        <f>COUNTIF('CAL4'!A:A,Agenda2526!C358)</f>
        <v>0</v>
      </c>
      <c r="BB357" s="20">
        <f>COUNTIF('CAL5'!A:A,Agenda2526!C358)</f>
        <v>0</v>
      </c>
      <c r="BC357" s="20">
        <f>COUNTIF('CAL6'!A:A,Agenda2526!C358)</f>
        <v>0</v>
      </c>
      <c r="BD357" s="20">
        <f>COUNTIF('CAL7'!A:A,Agenda2526!C358)</f>
        <v>0</v>
      </c>
      <c r="BE357" s="20">
        <f>COUNTIF('CAL8'!A:A,Agenda2526!C358)</f>
        <v>0</v>
      </c>
    </row>
    <row r="358" spans="1:57" ht="15.75" customHeight="1">
      <c r="A358" s="20" t="str">
        <f ca="1">IF(CALC2223!AX358&gt;0,INDIRECT(ADDRESS(MATCH(Agenda2526!C359,'CAL1'!A:A,0),2,4,1,"CAL1")),"")</f>
        <v/>
      </c>
      <c r="B358" s="21">
        <f ca="1">IF(CALC2223!AX358&gt;0,INDIRECT(ADDRESS(MATCH(Agenda2526!C359,'CAL1'!A:A,0),3,4,1,"CAL1")),0)</f>
        <v>0</v>
      </c>
      <c r="C358" s="20" t="str">
        <f ca="1">IF(CALC2223!AX358&gt;1,INDIRECT(ADDRESS(MATCH(Agenda2526!C359,'CAL1'!A:A,0)+1,2,4,1,"CAL1")),"")</f>
        <v/>
      </c>
      <c r="D358" s="21">
        <f ca="1">IF(CALC2223!AX358&gt;1,INDIRECT(ADDRESS(MATCH(Agenda2526!C359,'CAL1'!A:A,0)+1,3,4,1,"CAL1")),0)</f>
        <v>0</v>
      </c>
      <c r="E358" s="20" t="str">
        <f ca="1">IF(CALC2223!AX358&gt;2,INDIRECT(ADDRESS(MATCH(Agenda2526!C359,'CAL1'!A:A,0)+2,2,4,1,"CAL1")),"")</f>
        <v/>
      </c>
      <c r="F358" s="21">
        <f ca="1">IF(CALC2223!AX358&gt;2,INDIRECT(ADDRESS(MATCH(Agenda2526!C359,'CAL1'!A:A,0)+2,3,4,1,"CAL1")),0)</f>
        <v>0</v>
      </c>
      <c r="G358" s="20" t="str">
        <f ca="1">IF(CALC2223!AY358&gt;0,INDIRECT(ADDRESS(MATCH(Agenda2526!C359,'CAL2'!A:A,0),2,4,1,"CAL2")),"")</f>
        <v/>
      </c>
      <c r="H358" s="21">
        <f ca="1">IF(CALC2223!AY358&gt;0,INDIRECT(ADDRESS(MATCH(Agenda2526!C359,'CAL2'!A:A,0),3,4,1,"CAL2")),0)</f>
        <v>0</v>
      </c>
      <c r="I358" s="20" t="str">
        <f ca="1">IF(CALC2223!AY358&gt;1,INDIRECT(ADDRESS(MATCH(Agenda2526!C359,'CAL2'!A:A,0)+1,2,4,1,"CAL2")),"")</f>
        <v/>
      </c>
      <c r="J358" s="21">
        <f ca="1">IF(CALC2223!AY358&gt;1,INDIRECT(ADDRESS(MATCH(Agenda2526!C359,'CAL2'!A:A,0)+1,3,4,1,"CAL2")),0)</f>
        <v>0</v>
      </c>
      <c r="K358" s="20" t="str">
        <f ca="1">IF(CALC2223!AY358&gt;2,INDIRECT(ADDRESS(MATCH(Agenda2526!C359,'CAL2'!A:A,0)+2,2,4,1,"CAL2")),"")</f>
        <v/>
      </c>
      <c r="L358" s="21">
        <f ca="1">IF(CALC2223!AY358&gt;2,INDIRECT(ADDRESS(MATCH(Agenda2526!C359,'CAL2'!A:A,0)+2,3,4,1,"CAL2")),0)</f>
        <v>0</v>
      </c>
      <c r="M358" s="20" t="str">
        <f ca="1">IF(CALC2223!AZ358&gt;0,INDIRECT(ADDRESS(MATCH(Agenda2526!C359,'CAL3'!A:A,0),2,4,1,"CAL3")),"")</f>
        <v/>
      </c>
      <c r="N358" s="21">
        <f ca="1">IF(CALC2223!AZ358&gt;0,INDIRECT(ADDRESS(MATCH(Agenda2526!C359,'CAL3'!A:A,0),3,4,1,"CAL3")),0)</f>
        <v>0</v>
      </c>
      <c r="O358" s="20" t="str">
        <f ca="1">IF(CALC2223!AZ358&gt;1,INDIRECT(ADDRESS(MATCH(Agenda2526!C359,'CAL3'!A:A,0)+1,2,4,1,"CAL3")),"")</f>
        <v/>
      </c>
      <c r="P358" s="21">
        <f ca="1">IF(CALC2223!AZ358&gt;1,INDIRECT(ADDRESS(MATCH(Agenda2526!C359,'CAL3'!A:A,0)+1,3,4,1,"CAL3")),0)</f>
        <v>0</v>
      </c>
      <c r="Q358" s="20" t="str">
        <f ca="1">IF(CALC2223!AZ358&gt;2,INDIRECT(ADDRESS(MATCH(Agenda2526!C359,'CAL3'!A:A,0)+2,2,4,1,"CAL3")),"")</f>
        <v/>
      </c>
      <c r="R358" s="21">
        <f ca="1">IF(CALC2223!AZ358&gt;2,INDIRECT(ADDRESS(MATCH(Agenda2526!C359,'CAL3'!A:A,0)+2,3,4,1,"CAL3")),0)</f>
        <v>0</v>
      </c>
      <c r="S358" s="20" t="str">
        <f ca="1">IF(CALC2223!BA358&gt;0,INDIRECT(ADDRESS(MATCH(Agenda2526!C359,'CAL4'!A:A,0),2,4,1,"CAL4")),"")</f>
        <v/>
      </c>
      <c r="T358" s="21">
        <f ca="1">IF(CALC2223!BA358&gt;0,INDIRECT(ADDRESS(MATCH(Agenda2526!C359,'CAL4'!A:A,0),3,4,1,"CAL4")),0)</f>
        <v>0</v>
      </c>
      <c r="U358" s="20" t="str">
        <f ca="1">IF(CALC2223!BA358&gt;1,INDIRECT(ADDRESS(MATCH(Agenda2526!C359,'CAL4'!A:A,0)+1,2,4,1,"CAL4")),"")</f>
        <v/>
      </c>
      <c r="V358" s="21">
        <f ca="1">IF(CALC2223!BA358&gt;1,INDIRECT(ADDRESS(MATCH(Agenda2526!C359,'CAL4'!A:A,0)+1,3,4,1,"CAL4")),0)</f>
        <v>0</v>
      </c>
      <c r="W358" s="20" t="str">
        <f ca="1">IF(CALC2223!BA358&gt;2,INDIRECT(ADDRESS(MATCH(Agenda2526!C359,'CAL4'!A:A,0)+2,2,4,1,"CAL4")),"")</f>
        <v/>
      </c>
      <c r="X358" s="21">
        <f ca="1">IF(CALC2223!BA358&gt;2,INDIRECT(ADDRESS(MATCH(Agenda2526!C359,'CAL4'!A:A,0)+2,3,4,1,"CAL4")),0)</f>
        <v>0</v>
      </c>
      <c r="Y358" s="20" t="str">
        <f ca="1">IF(CALC2223!BB358&gt;0,INDIRECT(ADDRESS(MATCH(Agenda2526!C359,'CAL5'!A:A,0),2,4,1,"CAL5")),"")</f>
        <v/>
      </c>
      <c r="Z358" s="21">
        <f ca="1">IF(CALC2223!BB358&gt;0,INDIRECT(ADDRESS(MATCH(Agenda2526!C359,'CAL5'!A:A,0),3,4,1,"CAL5")),0)</f>
        <v>0</v>
      </c>
      <c r="AA358" s="20" t="str">
        <f ca="1">IF(CALC2223!BB358&gt;1,INDIRECT(ADDRESS(MATCH(Agenda2526!C359,'CAL5'!A:A,0)+1,2,4,1,"CAL5")),"")</f>
        <v/>
      </c>
      <c r="AB358" s="21">
        <f ca="1">IF(CALC2223!BB358&gt;1,INDIRECT(ADDRESS(MATCH(Agenda2526!C359,'CAL5'!A:A,0)+1,3,4,1,"CAL5")),0)</f>
        <v>0</v>
      </c>
      <c r="AC358" s="20" t="str">
        <f ca="1">IF(CALC2223!BB358&gt;2,INDIRECT(ADDRESS(MATCH(Agenda2526!C359,'CAL5'!A:A,0)+2,2,4,1,"CAL5")),"")</f>
        <v/>
      </c>
      <c r="AD358" s="21">
        <f ca="1">IF(CALC2223!BB358&gt;2,INDIRECT(ADDRESS(MATCH(Agenda2526!C359,'CAL5'!A:A,0)+2,3,4,1,"CAL5")),0)</f>
        <v>0</v>
      </c>
      <c r="AE358" s="20" t="str">
        <f ca="1">IF(CALC2223!BC358&gt;0,INDIRECT(ADDRESS(MATCH(Agenda2526!C359,'CAL6'!A:A,0),2,4,1,"CAL6")),"")</f>
        <v/>
      </c>
      <c r="AF358" s="21">
        <f ca="1">IF(CALC2223!BC358&gt;0,INDIRECT(ADDRESS(MATCH(Agenda2526!C359,'CAL6'!A:A,0),3,4,1,"CAL6")),0)</f>
        <v>0</v>
      </c>
      <c r="AG358" s="20" t="str">
        <f ca="1">IF(CALC2223!BC358&gt;1,INDIRECT(ADDRESS(MATCH(Agenda2526!C359,'CAL6'!A:A,0)+1,2,4,1,"CAL6")),"")</f>
        <v/>
      </c>
      <c r="AH358" s="21">
        <f ca="1">IF(CALC2223!BC358&gt;1,INDIRECT(ADDRESS(MATCH(Agenda2526!C359,'CAL6'!A:A,0)+1,3,4,1,"CAL6")),0)</f>
        <v>0</v>
      </c>
      <c r="AI358" s="20" t="str">
        <f ca="1">IF(CALC2223!BC358&gt;2,INDIRECT(ADDRESS(MATCH(Agenda2526!C359,'CAL6'!A:A,0)+2,2,4,1,"CAL6")),"")</f>
        <v/>
      </c>
      <c r="AJ358" s="21">
        <f ca="1">IF(CALC2223!BC358&gt;2,INDIRECT(ADDRESS(MATCH(Agenda2526!C359,'CAL6'!A:A,0)+2,3,4,1,"CAL6")),0)</f>
        <v>0</v>
      </c>
      <c r="AK358" s="20" t="str">
        <f ca="1">IF(CALC2223!BD358&gt;0,INDIRECT(ADDRESS(MATCH(Agenda2526!C359,'CAL7'!A:A,0),2,4,1,"CAL7")),"")</f>
        <v/>
      </c>
      <c r="AL358" s="21">
        <f ca="1">IF(CALC2223!BD358&gt;0,INDIRECT(ADDRESS(MATCH(Agenda2526!C359,'CAL7'!A:A,0),3,4,1,"CAL7")),0)</f>
        <v>0</v>
      </c>
      <c r="AM358" s="20" t="str">
        <f ca="1">IF(CALC2223!BD358&gt;1,INDIRECT(ADDRESS(MATCH(Agenda2526!C359,'CAL7'!A:A,0)+1,2,4,1,"CAL7")),"")</f>
        <v/>
      </c>
      <c r="AN358" s="21">
        <f ca="1">IF(CALC2223!BD358&gt;1,INDIRECT(ADDRESS(MATCH(Agenda2526!C359,'CAL7'!A:A,0)+1,3,4,1,"CAL7")),0)</f>
        <v>0</v>
      </c>
      <c r="AO358" s="20" t="str">
        <f ca="1">IF(CALC2223!BD358&gt;2,INDIRECT(ADDRESS(MATCH(Agenda2526!C359,'CAL7'!A:A,0)+2,2,4,1,"CAL7")),"")</f>
        <v/>
      </c>
      <c r="AP358" s="21">
        <f ca="1">IF(CALC2223!BD358&gt;2,INDIRECT(ADDRESS(MATCH(Agenda2526!C359,'CAL7'!A:A,0)+2,3,4,1,"CAL7")),0)</f>
        <v>0</v>
      </c>
      <c r="AQ358" s="20" t="str">
        <f ca="1">IF(CALC2223!BE358&gt;0,INDIRECT(ADDRESS(MATCH(Agenda2526!C359,'CAL8'!A:A,0),2,4,1,"CAL8")),"")</f>
        <v/>
      </c>
      <c r="AR358" s="21">
        <f ca="1">IF(CALC2223!BE358&gt;0,INDIRECT(ADDRESS(MATCH(Agenda2526!C359,'CAL8'!A:A,0),3,4,1,"CAL8")),0)</f>
        <v>0</v>
      </c>
      <c r="AS358" s="20" t="str">
        <f ca="1">IF(CALC2223!BE358&gt;1,INDIRECT(ADDRESS(MATCH(Agenda2526!C359,'CAL8'!A:A,0)+1,2,4,1,"CAL8")),"")</f>
        <v/>
      </c>
      <c r="AT358" s="21">
        <f ca="1">IF(CALC2223!BE358&gt;1,INDIRECT(ADDRESS(MATCH(Agenda2526!C359,'CAL8'!A:A,0)+1,3,4,1,"CAL8")),0)</f>
        <v>0</v>
      </c>
      <c r="AU358" s="20" t="str">
        <f ca="1">IF(CALC2223!BE358&gt;2,INDIRECT(ADDRESS(MATCH(Agenda2526!C359,'CAL8'!A:A,0)+2,2,4,1,"CAL8")),"")</f>
        <v/>
      </c>
      <c r="AV358" s="21">
        <f ca="1">IF(CALC2223!BE358&gt;2,INDIRECT(ADDRESS(MATCH(Agenda2526!C359,'CAL8'!A:A,0)+2,3,4,1,"CAL8")),0)</f>
        <v>0</v>
      </c>
      <c r="AW358" s="106"/>
      <c r="AX358" s="20">
        <f>COUNTIF('CAL1'!A:A,Agenda2526!C359)</f>
        <v>0</v>
      </c>
      <c r="AY358" s="20">
        <f>COUNTIF('CAL2'!A:A,Agenda2526!C359)</f>
        <v>0</v>
      </c>
      <c r="AZ358" s="20">
        <f>COUNTIF('CAL3'!A:A,Agenda2526!C359)</f>
        <v>0</v>
      </c>
      <c r="BA358" s="20">
        <f>COUNTIF('CAL4'!A:A,Agenda2526!C359)</f>
        <v>0</v>
      </c>
      <c r="BB358" s="20">
        <f>COUNTIF('CAL5'!A:A,Agenda2526!C359)</f>
        <v>0</v>
      </c>
      <c r="BC358" s="20">
        <f>COUNTIF('CAL6'!A:A,Agenda2526!C359)</f>
        <v>0</v>
      </c>
      <c r="BD358" s="20">
        <f>COUNTIF('CAL7'!A:A,Agenda2526!C359)</f>
        <v>0</v>
      </c>
      <c r="BE358" s="20">
        <f>COUNTIF('CAL8'!A:A,Agenda2526!C359)</f>
        <v>0</v>
      </c>
    </row>
    <row r="359" spans="1:57" ht="15.75" customHeight="1">
      <c r="A359" s="20" t="str">
        <f ca="1">IF(CALC2223!AX359&gt;0,INDIRECT(ADDRESS(MATCH(Agenda2526!C360,'CAL1'!A:A,0),2,4,1,"CAL1")),"")</f>
        <v/>
      </c>
      <c r="B359" s="21">
        <f ca="1">IF(CALC2223!AX359&gt;0,INDIRECT(ADDRESS(MATCH(Agenda2526!C360,'CAL1'!A:A,0),3,4,1,"CAL1")),0)</f>
        <v>0</v>
      </c>
      <c r="C359" s="20" t="str">
        <f ca="1">IF(CALC2223!AX359&gt;1,INDIRECT(ADDRESS(MATCH(Agenda2526!C360,'CAL1'!A:A,0)+1,2,4,1,"CAL1")),"")</f>
        <v/>
      </c>
      <c r="D359" s="21">
        <f ca="1">IF(CALC2223!AX359&gt;1,INDIRECT(ADDRESS(MATCH(Agenda2526!C360,'CAL1'!A:A,0)+1,3,4,1,"CAL1")),0)</f>
        <v>0</v>
      </c>
      <c r="E359" s="20" t="str">
        <f ca="1">IF(CALC2223!AX359&gt;2,INDIRECT(ADDRESS(MATCH(Agenda2526!C360,'CAL1'!A:A,0)+2,2,4,1,"CAL1")),"")</f>
        <v/>
      </c>
      <c r="F359" s="21">
        <f ca="1">IF(CALC2223!AX359&gt;2,INDIRECT(ADDRESS(MATCH(Agenda2526!C360,'CAL1'!A:A,0)+2,3,4,1,"CAL1")),0)</f>
        <v>0</v>
      </c>
      <c r="G359" s="20" t="str">
        <f ca="1">IF(CALC2223!AY359&gt;0,INDIRECT(ADDRESS(MATCH(Agenda2526!C360,'CAL2'!A:A,0),2,4,1,"CAL2")),"")</f>
        <v/>
      </c>
      <c r="H359" s="21">
        <f ca="1">IF(CALC2223!AY359&gt;0,INDIRECT(ADDRESS(MATCH(Agenda2526!C360,'CAL2'!A:A,0),3,4,1,"CAL2")),0)</f>
        <v>0</v>
      </c>
      <c r="I359" s="20" t="str">
        <f ca="1">IF(CALC2223!AY359&gt;1,INDIRECT(ADDRESS(MATCH(Agenda2526!C360,'CAL2'!A:A,0)+1,2,4,1,"CAL2")),"")</f>
        <v/>
      </c>
      <c r="J359" s="21">
        <f ca="1">IF(CALC2223!AY359&gt;1,INDIRECT(ADDRESS(MATCH(Agenda2526!C360,'CAL2'!A:A,0)+1,3,4,1,"CAL2")),0)</f>
        <v>0</v>
      </c>
      <c r="K359" s="20" t="str">
        <f ca="1">IF(CALC2223!AY359&gt;2,INDIRECT(ADDRESS(MATCH(Agenda2526!C360,'CAL2'!A:A,0)+2,2,4,1,"CAL2")),"")</f>
        <v/>
      </c>
      <c r="L359" s="21">
        <f ca="1">IF(CALC2223!AY359&gt;2,INDIRECT(ADDRESS(MATCH(Agenda2526!C360,'CAL2'!A:A,0)+2,3,4,1,"CAL2")),0)</f>
        <v>0</v>
      </c>
      <c r="M359" s="20" t="str">
        <f ca="1">IF(CALC2223!AZ359&gt;0,INDIRECT(ADDRESS(MATCH(Agenda2526!C360,'CAL3'!A:A,0),2,4,1,"CAL3")),"")</f>
        <v/>
      </c>
      <c r="N359" s="21">
        <f ca="1">IF(CALC2223!AZ359&gt;0,INDIRECT(ADDRESS(MATCH(Agenda2526!C360,'CAL3'!A:A,0),3,4,1,"CAL3")),0)</f>
        <v>0</v>
      </c>
      <c r="O359" s="20" t="str">
        <f ca="1">IF(CALC2223!AZ359&gt;1,INDIRECT(ADDRESS(MATCH(Agenda2526!C360,'CAL3'!A:A,0)+1,2,4,1,"CAL3")),"")</f>
        <v/>
      </c>
      <c r="P359" s="21">
        <f ca="1">IF(CALC2223!AZ359&gt;1,INDIRECT(ADDRESS(MATCH(Agenda2526!C360,'CAL3'!A:A,0)+1,3,4,1,"CAL3")),0)</f>
        <v>0</v>
      </c>
      <c r="Q359" s="20" t="str">
        <f ca="1">IF(CALC2223!AZ359&gt;2,INDIRECT(ADDRESS(MATCH(Agenda2526!C360,'CAL3'!A:A,0)+2,2,4,1,"CAL3")),"")</f>
        <v/>
      </c>
      <c r="R359" s="21">
        <f ca="1">IF(CALC2223!AZ359&gt;2,INDIRECT(ADDRESS(MATCH(Agenda2526!C360,'CAL3'!A:A,0)+2,3,4,1,"CAL3")),0)</f>
        <v>0</v>
      </c>
      <c r="S359" s="20" t="str">
        <f ca="1">IF(CALC2223!BA359&gt;0,INDIRECT(ADDRESS(MATCH(Agenda2526!C360,'CAL4'!A:A,0),2,4,1,"CAL4")),"")</f>
        <v/>
      </c>
      <c r="T359" s="21">
        <f ca="1">IF(CALC2223!BA359&gt;0,INDIRECT(ADDRESS(MATCH(Agenda2526!C360,'CAL4'!A:A,0),3,4,1,"CAL4")),0)</f>
        <v>0</v>
      </c>
      <c r="U359" s="20" t="str">
        <f ca="1">IF(CALC2223!BA359&gt;1,INDIRECT(ADDRESS(MATCH(Agenda2526!C360,'CAL4'!A:A,0)+1,2,4,1,"CAL4")),"")</f>
        <v/>
      </c>
      <c r="V359" s="21">
        <f ca="1">IF(CALC2223!BA359&gt;1,INDIRECT(ADDRESS(MATCH(Agenda2526!C360,'CAL4'!A:A,0)+1,3,4,1,"CAL4")),0)</f>
        <v>0</v>
      </c>
      <c r="W359" s="20" t="str">
        <f ca="1">IF(CALC2223!BA359&gt;2,INDIRECT(ADDRESS(MATCH(Agenda2526!C360,'CAL4'!A:A,0)+2,2,4,1,"CAL4")),"")</f>
        <v/>
      </c>
      <c r="X359" s="21">
        <f ca="1">IF(CALC2223!BA359&gt;2,INDIRECT(ADDRESS(MATCH(Agenda2526!C360,'CAL4'!A:A,0)+2,3,4,1,"CAL4")),0)</f>
        <v>0</v>
      </c>
      <c r="Y359" s="20" t="str">
        <f ca="1">IF(CALC2223!BB359&gt;0,INDIRECT(ADDRESS(MATCH(Agenda2526!C360,'CAL5'!A:A,0),2,4,1,"CAL5")),"")</f>
        <v/>
      </c>
      <c r="Z359" s="21">
        <f ca="1">IF(CALC2223!BB359&gt;0,INDIRECT(ADDRESS(MATCH(Agenda2526!C360,'CAL5'!A:A,0),3,4,1,"CAL5")),0)</f>
        <v>0</v>
      </c>
      <c r="AA359" s="20" t="str">
        <f ca="1">IF(CALC2223!BB359&gt;1,INDIRECT(ADDRESS(MATCH(Agenda2526!C360,'CAL5'!A:A,0)+1,2,4,1,"CAL5")),"")</f>
        <v/>
      </c>
      <c r="AB359" s="21">
        <f ca="1">IF(CALC2223!BB359&gt;1,INDIRECT(ADDRESS(MATCH(Agenda2526!C360,'CAL5'!A:A,0)+1,3,4,1,"CAL5")),0)</f>
        <v>0</v>
      </c>
      <c r="AC359" s="20" t="str">
        <f ca="1">IF(CALC2223!BB359&gt;2,INDIRECT(ADDRESS(MATCH(Agenda2526!C360,'CAL5'!A:A,0)+2,2,4,1,"CAL5")),"")</f>
        <v/>
      </c>
      <c r="AD359" s="21">
        <f ca="1">IF(CALC2223!BB359&gt;2,INDIRECT(ADDRESS(MATCH(Agenda2526!C360,'CAL5'!A:A,0)+2,3,4,1,"CAL5")),0)</f>
        <v>0</v>
      </c>
      <c r="AE359" s="20" t="str">
        <f ca="1">IF(CALC2223!BC359&gt;0,INDIRECT(ADDRESS(MATCH(Agenda2526!C360,'CAL6'!A:A,0),2,4,1,"CAL6")),"")</f>
        <v/>
      </c>
      <c r="AF359" s="21">
        <f ca="1">IF(CALC2223!BC359&gt;0,INDIRECT(ADDRESS(MATCH(Agenda2526!C360,'CAL6'!A:A,0),3,4,1,"CAL6")),0)</f>
        <v>0</v>
      </c>
      <c r="AG359" s="20" t="str">
        <f ca="1">IF(CALC2223!BC359&gt;1,INDIRECT(ADDRESS(MATCH(Agenda2526!C360,'CAL6'!A:A,0)+1,2,4,1,"CAL6")),"")</f>
        <v/>
      </c>
      <c r="AH359" s="21">
        <f ca="1">IF(CALC2223!BC359&gt;1,INDIRECT(ADDRESS(MATCH(Agenda2526!C360,'CAL6'!A:A,0)+1,3,4,1,"CAL6")),0)</f>
        <v>0</v>
      </c>
      <c r="AI359" s="20" t="str">
        <f ca="1">IF(CALC2223!BC359&gt;2,INDIRECT(ADDRESS(MATCH(Agenda2526!C360,'CAL6'!A:A,0)+2,2,4,1,"CAL6")),"")</f>
        <v/>
      </c>
      <c r="AJ359" s="21">
        <f ca="1">IF(CALC2223!BC359&gt;2,INDIRECT(ADDRESS(MATCH(Agenda2526!C360,'CAL6'!A:A,0)+2,3,4,1,"CAL6")),0)</f>
        <v>0</v>
      </c>
      <c r="AK359" s="20" t="str">
        <f ca="1">IF(CALC2223!BD359&gt;0,INDIRECT(ADDRESS(MATCH(Agenda2526!C360,'CAL7'!A:A,0),2,4,1,"CAL7")),"")</f>
        <v/>
      </c>
      <c r="AL359" s="21">
        <f ca="1">IF(CALC2223!BD359&gt;0,INDIRECT(ADDRESS(MATCH(Agenda2526!C360,'CAL7'!A:A,0),3,4,1,"CAL7")),0)</f>
        <v>0</v>
      </c>
      <c r="AM359" s="20" t="str">
        <f ca="1">IF(CALC2223!BD359&gt;1,INDIRECT(ADDRESS(MATCH(Agenda2526!C360,'CAL7'!A:A,0)+1,2,4,1,"CAL7")),"")</f>
        <v/>
      </c>
      <c r="AN359" s="21">
        <f ca="1">IF(CALC2223!BD359&gt;1,INDIRECT(ADDRESS(MATCH(Agenda2526!C360,'CAL7'!A:A,0)+1,3,4,1,"CAL7")),0)</f>
        <v>0</v>
      </c>
      <c r="AO359" s="20" t="str">
        <f ca="1">IF(CALC2223!BD359&gt;2,INDIRECT(ADDRESS(MATCH(Agenda2526!C360,'CAL7'!A:A,0)+2,2,4,1,"CAL7")),"")</f>
        <v/>
      </c>
      <c r="AP359" s="21">
        <f ca="1">IF(CALC2223!BD359&gt;2,INDIRECT(ADDRESS(MATCH(Agenda2526!C360,'CAL7'!A:A,0)+2,3,4,1,"CAL7")),0)</f>
        <v>0</v>
      </c>
      <c r="AQ359" s="20" t="str">
        <f ca="1">IF(CALC2223!BE359&gt;0,INDIRECT(ADDRESS(MATCH(Agenda2526!C360,'CAL8'!A:A,0),2,4,1,"CAL8")),"")</f>
        <v/>
      </c>
      <c r="AR359" s="21">
        <f ca="1">IF(CALC2223!BE359&gt;0,INDIRECT(ADDRESS(MATCH(Agenda2526!C360,'CAL8'!A:A,0),3,4,1,"CAL8")),0)</f>
        <v>0</v>
      </c>
      <c r="AS359" s="20" t="str">
        <f ca="1">IF(CALC2223!BE359&gt;1,INDIRECT(ADDRESS(MATCH(Agenda2526!C360,'CAL8'!A:A,0)+1,2,4,1,"CAL8")),"")</f>
        <v/>
      </c>
      <c r="AT359" s="21">
        <f ca="1">IF(CALC2223!BE359&gt;1,INDIRECT(ADDRESS(MATCH(Agenda2526!C360,'CAL8'!A:A,0)+1,3,4,1,"CAL8")),0)</f>
        <v>0</v>
      </c>
      <c r="AU359" s="20" t="str">
        <f ca="1">IF(CALC2223!BE359&gt;2,INDIRECT(ADDRESS(MATCH(Agenda2526!C360,'CAL8'!A:A,0)+2,2,4,1,"CAL8")),"")</f>
        <v/>
      </c>
      <c r="AV359" s="21">
        <f ca="1">IF(CALC2223!BE359&gt;2,INDIRECT(ADDRESS(MATCH(Agenda2526!C360,'CAL8'!A:A,0)+2,3,4,1,"CAL8")),0)</f>
        <v>0</v>
      </c>
      <c r="AW359" s="107" t="s">
        <v>123</v>
      </c>
      <c r="AX359" s="20">
        <f>COUNTIF('CAL1'!A:A,Agenda2526!C360)</f>
        <v>0</v>
      </c>
      <c r="AY359" s="20">
        <f>COUNTIF('CAL2'!A:A,Agenda2526!C360)</f>
        <v>0</v>
      </c>
      <c r="AZ359" s="20">
        <f>COUNTIF('CAL3'!A:A,Agenda2526!C360)</f>
        <v>0</v>
      </c>
      <c r="BA359" s="20">
        <f>COUNTIF('CAL4'!A:A,Agenda2526!C360)</f>
        <v>0</v>
      </c>
      <c r="BB359" s="20">
        <f>COUNTIF('CAL5'!A:A,Agenda2526!C360)</f>
        <v>0</v>
      </c>
      <c r="BC359" s="20">
        <f>COUNTIF('CAL6'!A:A,Agenda2526!C360)</f>
        <v>0</v>
      </c>
      <c r="BD359" s="20">
        <f>COUNTIF('CAL7'!A:A,Agenda2526!C360)</f>
        <v>0</v>
      </c>
      <c r="BE359" s="20">
        <f>COUNTIF('CAL8'!A:A,Agenda2526!C360)</f>
        <v>0</v>
      </c>
    </row>
    <row r="360" spans="1:57" ht="15.75" customHeight="1">
      <c r="A360" s="20" t="str">
        <f ca="1">IF(CALC2223!AX360&gt;0,INDIRECT(ADDRESS(MATCH(Agenda2526!C361,'CAL1'!A:A,0),2,4,1,"CAL1")),"")</f>
        <v/>
      </c>
      <c r="B360" s="21">
        <f ca="1">IF(CALC2223!AX360&gt;0,INDIRECT(ADDRESS(MATCH(Agenda2526!C361,'CAL1'!A:A,0),3,4,1,"CAL1")),0)</f>
        <v>0</v>
      </c>
      <c r="C360" s="20" t="str">
        <f ca="1">IF(CALC2223!AX360&gt;1,INDIRECT(ADDRESS(MATCH(Agenda2526!C361,'CAL1'!A:A,0)+1,2,4,1,"CAL1")),"")</f>
        <v/>
      </c>
      <c r="D360" s="21">
        <f ca="1">IF(CALC2223!AX360&gt;1,INDIRECT(ADDRESS(MATCH(Agenda2526!C361,'CAL1'!A:A,0)+1,3,4,1,"CAL1")),0)</f>
        <v>0</v>
      </c>
      <c r="E360" s="20" t="str">
        <f ca="1">IF(CALC2223!AX360&gt;2,INDIRECT(ADDRESS(MATCH(Agenda2526!C361,'CAL1'!A:A,0)+2,2,4,1,"CAL1")),"")</f>
        <v/>
      </c>
      <c r="F360" s="21">
        <f ca="1">IF(CALC2223!AX360&gt;2,INDIRECT(ADDRESS(MATCH(Agenda2526!C361,'CAL1'!A:A,0)+2,3,4,1,"CAL1")),0)</f>
        <v>0</v>
      </c>
      <c r="G360" s="20" t="str">
        <f ca="1">IF(CALC2223!AY360&gt;0,INDIRECT(ADDRESS(MATCH(Agenda2526!C361,'CAL2'!A:A,0),2,4,1,"CAL2")),"")</f>
        <v/>
      </c>
      <c r="H360" s="21">
        <f ca="1">IF(CALC2223!AY360&gt;0,INDIRECT(ADDRESS(MATCH(Agenda2526!C361,'CAL2'!A:A,0),3,4,1,"CAL2")),0)</f>
        <v>0</v>
      </c>
      <c r="I360" s="20" t="str">
        <f ca="1">IF(CALC2223!AY360&gt;1,INDIRECT(ADDRESS(MATCH(Agenda2526!C361,'CAL2'!A:A,0)+1,2,4,1,"CAL2")),"")</f>
        <v/>
      </c>
      <c r="J360" s="21">
        <f ca="1">IF(CALC2223!AY360&gt;1,INDIRECT(ADDRESS(MATCH(Agenda2526!C361,'CAL2'!A:A,0)+1,3,4,1,"CAL2")),0)</f>
        <v>0</v>
      </c>
      <c r="K360" s="20" t="str">
        <f ca="1">IF(CALC2223!AY360&gt;2,INDIRECT(ADDRESS(MATCH(Agenda2526!C361,'CAL2'!A:A,0)+2,2,4,1,"CAL2")),"")</f>
        <v/>
      </c>
      <c r="L360" s="21">
        <f ca="1">IF(CALC2223!AY360&gt;2,INDIRECT(ADDRESS(MATCH(Agenda2526!C361,'CAL2'!A:A,0)+2,3,4,1,"CAL2")),0)</f>
        <v>0</v>
      </c>
      <c r="M360" s="20" t="str">
        <f ca="1">IF(CALC2223!AZ360&gt;0,INDIRECT(ADDRESS(MATCH(Agenda2526!C361,'CAL3'!A:A,0),2,4,1,"CAL3")),"")</f>
        <v/>
      </c>
      <c r="N360" s="21">
        <f ca="1">IF(CALC2223!AZ360&gt;0,INDIRECT(ADDRESS(MATCH(Agenda2526!C361,'CAL3'!A:A,0),3,4,1,"CAL3")),0)</f>
        <v>0</v>
      </c>
      <c r="O360" s="20" t="str">
        <f ca="1">IF(CALC2223!AZ360&gt;1,INDIRECT(ADDRESS(MATCH(Agenda2526!C361,'CAL3'!A:A,0)+1,2,4,1,"CAL3")),"")</f>
        <v/>
      </c>
      <c r="P360" s="21">
        <f ca="1">IF(CALC2223!AZ360&gt;1,INDIRECT(ADDRESS(MATCH(Agenda2526!C361,'CAL3'!A:A,0)+1,3,4,1,"CAL3")),0)</f>
        <v>0</v>
      </c>
      <c r="Q360" s="20" t="str">
        <f ca="1">IF(CALC2223!AZ360&gt;2,INDIRECT(ADDRESS(MATCH(Agenda2526!C361,'CAL3'!A:A,0)+2,2,4,1,"CAL3")),"")</f>
        <v/>
      </c>
      <c r="R360" s="21">
        <f ca="1">IF(CALC2223!AZ360&gt;2,INDIRECT(ADDRESS(MATCH(Agenda2526!C361,'CAL3'!A:A,0)+2,3,4,1,"CAL3")),0)</f>
        <v>0</v>
      </c>
      <c r="S360" s="20" t="str">
        <f ca="1">IF(CALC2223!BA360&gt;0,INDIRECT(ADDRESS(MATCH(Agenda2526!C361,'CAL4'!A:A,0),2,4,1,"CAL4")),"")</f>
        <v/>
      </c>
      <c r="T360" s="21">
        <f ca="1">IF(CALC2223!BA360&gt;0,INDIRECT(ADDRESS(MATCH(Agenda2526!C361,'CAL4'!A:A,0),3,4,1,"CAL4")),0)</f>
        <v>0</v>
      </c>
      <c r="U360" s="20" t="str">
        <f ca="1">IF(CALC2223!BA360&gt;1,INDIRECT(ADDRESS(MATCH(Agenda2526!C361,'CAL4'!A:A,0)+1,2,4,1,"CAL4")),"")</f>
        <v/>
      </c>
      <c r="V360" s="21">
        <f ca="1">IF(CALC2223!BA360&gt;1,INDIRECT(ADDRESS(MATCH(Agenda2526!C361,'CAL4'!A:A,0)+1,3,4,1,"CAL4")),0)</f>
        <v>0</v>
      </c>
      <c r="W360" s="20" t="str">
        <f ca="1">IF(CALC2223!BA360&gt;2,INDIRECT(ADDRESS(MATCH(Agenda2526!C361,'CAL4'!A:A,0)+2,2,4,1,"CAL4")),"")</f>
        <v/>
      </c>
      <c r="X360" s="21">
        <f ca="1">IF(CALC2223!BA360&gt;2,INDIRECT(ADDRESS(MATCH(Agenda2526!C361,'CAL4'!A:A,0)+2,3,4,1,"CAL4")),0)</f>
        <v>0</v>
      </c>
      <c r="Y360" s="20" t="str">
        <f ca="1">IF(CALC2223!BB360&gt;0,INDIRECT(ADDRESS(MATCH(Agenda2526!C361,'CAL5'!A:A,0),2,4,1,"CAL5")),"")</f>
        <v/>
      </c>
      <c r="Z360" s="21">
        <f ca="1">IF(CALC2223!BB360&gt;0,INDIRECT(ADDRESS(MATCH(Agenda2526!C361,'CAL5'!A:A,0),3,4,1,"CAL5")),0)</f>
        <v>0</v>
      </c>
      <c r="AA360" s="20" t="str">
        <f ca="1">IF(CALC2223!BB360&gt;1,INDIRECT(ADDRESS(MATCH(Agenda2526!C361,'CAL5'!A:A,0)+1,2,4,1,"CAL5")),"")</f>
        <v/>
      </c>
      <c r="AB360" s="21">
        <f ca="1">IF(CALC2223!BB360&gt;1,INDIRECT(ADDRESS(MATCH(Agenda2526!C361,'CAL5'!A:A,0)+1,3,4,1,"CAL5")),0)</f>
        <v>0</v>
      </c>
      <c r="AC360" s="20" t="str">
        <f ca="1">IF(CALC2223!BB360&gt;2,INDIRECT(ADDRESS(MATCH(Agenda2526!C361,'CAL5'!A:A,0)+2,2,4,1,"CAL5")),"")</f>
        <v/>
      </c>
      <c r="AD360" s="21">
        <f ca="1">IF(CALC2223!BB360&gt;2,INDIRECT(ADDRESS(MATCH(Agenda2526!C361,'CAL5'!A:A,0)+2,3,4,1,"CAL5")),0)</f>
        <v>0</v>
      </c>
      <c r="AE360" s="20" t="str">
        <f ca="1">IF(CALC2223!BC360&gt;0,INDIRECT(ADDRESS(MATCH(Agenda2526!C361,'CAL6'!A:A,0),2,4,1,"CAL6")),"")</f>
        <v/>
      </c>
      <c r="AF360" s="21">
        <f ca="1">IF(CALC2223!BC360&gt;0,INDIRECT(ADDRESS(MATCH(Agenda2526!C361,'CAL6'!A:A,0),3,4,1,"CAL6")),0)</f>
        <v>0</v>
      </c>
      <c r="AG360" s="20" t="str">
        <f ca="1">IF(CALC2223!BC360&gt;1,INDIRECT(ADDRESS(MATCH(Agenda2526!C361,'CAL6'!A:A,0)+1,2,4,1,"CAL6")),"")</f>
        <v/>
      </c>
      <c r="AH360" s="21">
        <f ca="1">IF(CALC2223!BC360&gt;1,INDIRECT(ADDRESS(MATCH(Agenda2526!C361,'CAL6'!A:A,0)+1,3,4,1,"CAL6")),0)</f>
        <v>0</v>
      </c>
      <c r="AI360" s="20" t="str">
        <f ca="1">IF(CALC2223!BC360&gt;2,INDIRECT(ADDRESS(MATCH(Agenda2526!C361,'CAL6'!A:A,0)+2,2,4,1,"CAL6")),"")</f>
        <v/>
      </c>
      <c r="AJ360" s="21">
        <f ca="1">IF(CALC2223!BC360&gt;2,INDIRECT(ADDRESS(MATCH(Agenda2526!C361,'CAL6'!A:A,0)+2,3,4,1,"CAL6")),0)</f>
        <v>0</v>
      </c>
      <c r="AK360" s="20" t="str">
        <f ca="1">IF(CALC2223!BD360&gt;0,INDIRECT(ADDRESS(MATCH(Agenda2526!C361,'CAL7'!A:A,0),2,4,1,"CAL7")),"")</f>
        <v/>
      </c>
      <c r="AL360" s="21">
        <f ca="1">IF(CALC2223!BD360&gt;0,INDIRECT(ADDRESS(MATCH(Agenda2526!C361,'CAL7'!A:A,0),3,4,1,"CAL7")),0)</f>
        <v>0</v>
      </c>
      <c r="AM360" s="20" t="str">
        <f ca="1">IF(CALC2223!BD360&gt;1,INDIRECT(ADDRESS(MATCH(Agenda2526!C361,'CAL7'!A:A,0)+1,2,4,1,"CAL7")),"")</f>
        <v/>
      </c>
      <c r="AN360" s="21">
        <f ca="1">IF(CALC2223!BD360&gt;1,INDIRECT(ADDRESS(MATCH(Agenda2526!C361,'CAL7'!A:A,0)+1,3,4,1,"CAL7")),0)</f>
        <v>0</v>
      </c>
      <c r="AO360" s="20" t="str">
        <f ca="1">IF(CALC2223!BD360&gt;2,INDIRECT(ADDRESS(MATCH(Agenda2526!C361,'CAL7'!A:A,0)+2,2,4,1,"CAL7")),"")</f>
        <v/>
      </c>
      <c r="AP360" s="21">
        <f ca="1">IF(CALC2223!BD360&gt;2,INDIRECT(ADDRESS(MATCH(Agenda2526!C361,'CAL7'!A:A,0)+2,3,4,1,"CAL7")),0)</f>
        <v>0</v>
      </c>
      <c r="AQ360" s="20" t="str">
        <f ca="1">IF(CALC2223!BE360&gt;0,INDIRECT(ADDRESS(MATCH(Agenda2526!C361,'CAL8'!A:A,0),2,4,1,"CAL8")),"")</f>
        <v/>
      </c>
      <c r="AR360" s="21">
        <f ca="1">IF(CALC2223!BE360&gt;0,INDIRECT(ADDRESS(MATCH(Agenda2526!C361,'CAL8'!A:A,0),3,4,1,"CAL8")),0)</f>
        <v>0</v>
      </c>
      <c r="AS360" s="20" t="str">
        <f ca="1">IF(CALC2223!BE360&gt;1,INDIRECT(ADDRESS(MATCH(Agenda2526!C361,'CAL8'!A:A,0)+1,2,4,1,"CAL8")),"")</f>
        <v/>
      </c>
      <c r="AT360" s="21">
        <f ca="1">IF(CALC2223!BE360&gt;1,INDIRECT(ADDRESS(MATCH(Agenda2526!C361,'CAL8'!A:A,0)+1,3,4,1,"CAL8")),0)</f>
        <v>0</v>
      </c>
      <c r="AU360" s="20" t="str">
        <f ca="1">IF(CALC2223!BE360&gt;2,INDIRECT(ADDRESS(MATCH(Agenda2526!C361,'CAL8'!A:A,0)+2,2,4,1,"CAL8")),"")</f>
        <v/>
      </c>
      <c r="AV360" s="21">
        <f ca="1">IF(CALC2223!BE360&gt;2,INDIRECT(ADDRESS(MATCH(Agenda2526!C361,'CAL8'!A:A,0)+2,3,4,1,"CAL8")),0)</f>
        <v>0</v>
      </c>
      <c r="AW360" s="107"/>
      <c r="AX360" s="20">
        <f>COUNTIF('CAL1'!A:A,Agenda2526!C361)</f>
        <v>0</v>
      </c>
      <c r="AY360" s="20">
        <f>COUNTIF('CAL2'!A:A,Agenda2526!C361)</f>
        <v>0</v>
      </c>
      <c r="AZ360" s="20">
        <f>COUNTIF('CAL3'!A:A,Agenda2526!C361)</f>
        <v>0</v>
      </c>
      <c r="BA360" s="20">
        <f>COUNTIF('CAL4'!A:A,Agenda2526!C361)</f>
        <v>0</v>
      </c>
      <c r="BB360" s="20">
        <f>COUNTIF('CAL5'!A:A,Agenda2526!C361)</f>
        <v>0</v>
      </c>
      <c r="BC360" s="20">
        <f>COUNTIF('CAL6'!A:A,Agenda2526!C361)</f>
        <v>0</v>
      </c>
      <c r="BD360" s="20">
        <f>COUNTIF('CAL7'!A:A,Agenda2526!C361)</f>
        <v>0</v>
      </c>
      <c r="BE360" s="20">
        <f>COUNTIF('CAL8'!A:A,Agenda2526!C361)</f>
        <v>0</v>
      </c>
    </row>
    <row r="361" spans="1:57" ht="15.75" customHeight="1">
      <c r="A361" s="20" t="str">
        <f ca="1">IF(CALC2223!AX361&gt;0,INDIRECT(ADDRESS(MATCH(Agenda2526!C362,'CAL1'!A:A,0),2,4,1,"CAL1")),"")</f>
        <v/>
      </c>
      <c r="B361" s="21">
        <f ca="1">IF(CALC2223!AX361&gt;0,INDIRECT(ADDRESS(MATCH(Agenda2526!C362,'CAL1'!A:A,0),3,4,1,"CAL1")),0)</f>
        <v>0</v>
      </c>
      <c r="C361" s="20" t="str">
        <f ca="1">IF(CALC2223!AX361&gt;1,INDIRECT(ADDRESS(MATCH(Agenda2526!C362,'CAL1'!A:A,0)+1,2,4,1,"CAL1")),"")</f>
        <v/>
      </c>
      <c r="D361" s="21">
        <f ca="1">IF(CALC2223!AX361&gt;1,INDIRECT(ADDRESS(MATCH(Agenda2526!C362,'CAL1'!A:A,0)+1,3,4,1,"CAL1")),0)</f>
        <v>0</v>
      </c>
      <c r="E361" s="20" t="str">
        <f ca="1">IF(CALC2223!AX361&gt;2,INDIRECT(ADDRESS(MATCH(Agenda2526!C362,'CAL1'!A:A,0)+2,2,4,1,"CAL1")),"")</f>
        <v/>
      </c>
      <c r="F361" s="21">
        <f ca="1">IF(CALC2223!AX361&gt;2,INDIRECT(ADDRESS(MATCH(Agenda2526!C362,'CAL1'!A:A,0)+2,3,4,1,"CAL1")),0)</f>
        <v>0</v>
      </c>
      <c r="G361" s="20" t="str">
        <f ca="1">IF(CALC2223!AY361&gt;0,INDIRECT(ADDRESS(MATCH(Agenda2526!C362,'CAL2'!A:A,0),2,4,1,"CAL2")),"")</f>
        <v/>
      </c>
      <c r="H361" s="21">
        <f ca="1">IF(CALC2223!AY361&gt;0,INDIRECT(ADDRESS(MATCH(Agenda2526!C362,'CAL2'!A:A,0),3,4,1,"CAL2")),0)</f>
        <v>0</v>
      </c>
      <c r="I361" s="20" t="str">
        <f ca="1">IF(CALC2223!AY361&gt;1,INDIRECT(ADDRESS(MATCH(Agenda2526!C362,'CAL2'!A:A,0)+1,2,4,1,"CAL2")),"")</f>
        <v/>
      </c>
      <c r="J361" s="21">
        <f ca="1">IF(CALC2223!AY361&gt;1,INDIRECT(ADDRESS(MATCH(Agenda2526!C362,'CAL2'!A:A,0)+1,3,4,1,"CAL2")),0)</f>
        <v>0</v>
      </c>
      <c r="K361" s="20" t="str">
        <f ca="1">IF(CALC2223!AY361&gt;2,INDIRECT(ADDRESS(MATCH(Agenda2526!C362,'CAL2'!A:A,0)+2,2,4,1,"CAL2")),"")</f>
        <v/>
      </c>
      <c r="L361" s="21">
        <f ca="1">IF(CALC2223!AY361&gt;2,INDIRECT(ADDRESS(MATCH(Agenda2526!C362,'CAL2'!A:A,0)+2,3,4,1,"CAL2")),0)</f>
        <v>0</v>
      </c>
      <c r="M361" s="20" t="str">
        <f ca="1">IF(CALC2223!AZ361&gt;0,INDIRECT(ADDRESS(MATCH(Agenda2526!C362,'CAL3'!A:A,0),2,4,1,"CAL3")),"")</f>
        <v/>
      </c>
      <c r="N361" s="21">
        <f ca="1">IF(CALC2223!AZ361&gt;0,INDIRECT(ADDRESS(MATCH(Agenda2526!C362,'CAL3'!A:A,0),3,4,1,"CAL3")),0)</f>
        <v>0</v>
      </c>
      <c r="O361" s="20" t="str">
        <f ca="1">IF(CALC2223!AZ361&gt;1,INDIRECT(ADDRESS(MATCH(Agenda2526!C362,'CAL3'!A:A,0)+1,2,4,1,"CAL3")),"")</f>
        <v/>
      </c>
      <c r="P361" s="21">
        <f ca="1">IF(CALC2223!AZ361&gt;1,INDIRECT(ADDRESS(MATCH(Agenda2526!C362,'CAL3'!A:A,0)+1,3,4,1,"CAL3")),0)</f>
        <v>0</v>
      </c>
      <c r="Q361" s="20" t="str">
        <f ca="1">IF(CALC2223!AZ361&gt;2,INDIRECT(ADDRESS(MATCH(Agenda2526!C362,'CAL3'!A:A,0)+2,2,4,1,"CAL3")),"")</f>
        <v/>
      </c>
      <c r="R361" s="21">
        <f ca="1">IF(CALC2223!AZ361&gt;2,INDIRECT(ADDRESS(MATCH(Agenda2526!C362,'CAL3'!A:A,0)+2,3,4,1,"CAL3")),0)</f>
        <v>0</v>
      </c>
      <c r="S361" s="20" t="str">
        <f ca="1">IF(CALC2223!BA361&gt;0,INDIRECT(ADDRESS(MATCH(Agenda2526!C362,'CAL4'!A:A,0),2,4,1,"CAL4")),"")</f>
        <v/>
      </c>
      <c r="T361" s="21">
        <f ca="1">IF(CALC2223!BA361&gt;0,INDIRECT(ADDRESS(MATCH(Agenda2526!C362,'CAL4'!A:A,0),3,4,1,"CAL4")),0)</f>
        <v>0</v>
      </c>
      <c r="U361" s="20" t="str">
        <f ca="1">IF(CALC2223!BA361&gt;1,INDIRECT(ADDRESS(MATCH(Agenda2526!C362,'CAL4'!A:A,0)+1,2,4,1,"CAL4")),"")</f>
        <v/>
      </c>
      <c r="V361" s="21">
        <f ca="1">IF(CALC2223!BA361&gt;1,INDIRECT(ADDRESS(MATCH(Agenda2526!C362,'CAL4'!A:A,0)+1,3,4,1,"CAL4")),0)</f>
        <v>0</v>
      </c>
      <c r="W361" s="20" t="str">
        <f ca="1">IF(CALC2223!BA361&gt;2,INDIRECT(ADDRESS(MATCH(Agenda2526!C362,'CAL4'!A:A,0)+2,2,4,1,"CAL4")),"")</f>
        <v/>
      </c>
      <c r="X361" s="21">
        <f ca="1">IF(CALC2223!BA361&gt;2,INDIRECT(ADDRESS(MATCH(Agenda2526!C362,'CAL4'!A:A,0)+2,3,4,1,"CAL4")),0)</f>
        <v>0</v>
      </c>
      <c r="Y361" s="20" t="str">
        <f ca="1">IF(CALC2223!BB361&gt;0,INDIRECT(ADDRESS(MATCH(Agenda2526!C362,'CAL5'!A:A,0),2,4,1,"CAL5")),"")</f>
        <v/>
      </c>
      <c r="Z361" s="21">
        <f ca="1">IF(CALC2223!BB361&gt;0,INDIRECT(ADDRESS(MATCH(Agenda2526!C362,'CAL5'!A:A,0),3,4,1,"CAL5")),0)</f>
        <v>0</v>
      </c>
      <c r="AA361" s="20" t="str">
        <f ca="1">IF(CALC2223!BB361&gt;1,INDIRECT(ADDRESS(MATCH(Agenda2526!C362,'CAL5'!A:A,0)+1,2,4,1,"CAL5")),"")</f>
        <v/>
      </c>
      <c r="AB361" s="21">
        <f ca="1">IF(CALC2223!BB361&gt;1,INDIRECT(ADDRESS(MATCH(Agenda2526!C362,'CAL5'!A:A,0)+1,3,4,1,"CAL5")),0)</f>
        <v>0</v>
      </c>
      <c r="AC361" s="20" t="str">
        <f ca="1">IF(CALC2223!BB361&gt;2,INDIRECT(ADDRESS(MATCH(Agenda2526!C362,'CAL5'!A:A,0)+2,2,4,1,"CAL5")),"")</f>
        <v/>
      </c>
      <c r="AD361" s="21">
        <f ca="1">IF(CALC2223!BB361&gt;2,INDIRECT(ADDRESS(MATCH(Agenda2526!C362,'CAL5'!A:A,0)+2,3,4,1,"CAL5")),0)</f>
        <v>0</v>
      </c>
      <c r="AE361" s="20" t="str">
        <f ca="1">IF(CALC2223!BC361&gt;0,INDIRECT(ADDRESS(MATCH(Agenda2526!C362,'CAL6'!A:A,0),2,4,1,"CAL6")),"")</f>
        <v/>
      </c>
      <c r="AF361" s="21">
        <f ca="1">IF(CALC2223!BC361&gt;0,INDIRECT(ADDRESS(MATCH(Agenda2526!C362,'CAL6'!A:A,0),3,4,1,"CAL6")),0)</f>
        <v>0</v>
      </c>
      <c r="AG361" s="20" t="str">
        <f ca="1">IF(CALC2223!BC361&gt;1,INDIRECT(ADDRESS(MATCH(Agenda2526!C362,'CAL6'!A:A,0)+1,2,4,1,"CAL6")),"")</f>
        <v/>
      </c>
      <c r="AH361" s="21">
        <f ca="1">IF(CALC2223!BC361&gt;1,INDIRECT(ADDRESS(MATCH(Agenda2526!C362,'CAL6'!A:A,0)+1,3,4,1,"CAL6")),0)</f>
        <v>0</v>
      </c>
      <c r="AI361" s="20" t="str">
        <f ca="1">IF(CALC2223!BC361&gt;2,INDIRECT(ADDRESS(MATCH(Agenda2526!C362,'CAL6'!A:A,0)+2,2,4,1,"CAL6")),"")</f>
        <v/>
      </c>
      <c r="AJ361" s="21">
        <f ca="1">IF(CALC2223!BC361&gt;2,INDIRECT(ADDRESS(MATCH(Agenda2526!C362,'CAL6'!A:A,0)+2,3,4,1,"CAL6")),0)</f>
        <v>0</v>
      </c>
      <c r="AK361" s="20" t="str">
        <f ca="1">IF(CALC2223!BD361&gt;0,INDIRECT(ADDRESS(MATCH(Agenda2526!C362,'CAL7'!A:A,0),2,4,1,"CAL7")),"")</f>
        <v/>
      </c>
      <c r="AL361" s="21">
        <f ca="1">IF(CALC2223!BD361&gt;0,INDIRECT(ADDRESS(MATCH(Agenda2526!C362,'CAL7'!A:A,0),3,4,1,"CAL7")),0)</f>
        <v>0</v>
      </c>
      <c r="AM361" s="20" t="str">
        <f ca="1">IF(CALC2223!BD361&gt;1,INDIRECT(ADDRESS(MATCH(Agenda2526!C362,'CAL7'!A:A,0)+1,2,4,1,"CAL7")),"")</f>
        <v/>
      </c>
      <c r="AN361" s="21">
        <f ca="1">IF(CALC2223!BD361&gt;1,INDIRECT(ADDRESS(MATCH(Agenda2526!C362,'CAL7'!A:A,0)+1,3,4,1,"CAL7")),0)</f>
        <v>0</v>
      </c>
      <c r="AO361" s="20" t="str">
        <f ca="1">IF(CALC2223!BD361&gt;2,INDIRECT(ADDRESS(MATCH(Agenda2526!C362,'CAL7'!A:A,0)+2,2,4,1,"CAL7")),"")</f>
        <v/>
      </c>
      <c r="AP361" s="21">
        <f ca="1">IF(CALC2223!BD361&gt;2,INDIRECT(ADDRESS(MATCH(Agenda2526!C362,'CAL7'!A:A,0)+2,3,4,1,"CAL7")),0)</f>
        <v>0</v>
      </c>
      <c r="AQ361" s="20" t="str">
        <f ca="1">IF(CALC2223!BE361&gt;0,INDIRECT(ADDRESS(MATCH(Agenda2526!C362,'CAL8'!A:A,0),2,4,1,"CAL8")),"")</f>
        <v/>
      </c>
      <c r="AR361" s="21">
        <f ca="1">IF(CALC2223!BE361&gt;0,INDIRECT(ADDRESS(MATCH(Agenda2526!C362,'CAL8'!A:A,0),3,4,1,"CAL8")),0)</f>
        <v>0</v>
      </c>
      <c r="AS361" s="20" t="str">
        <f ca="1">IF(CALC2223!BE361&gt;1,INDIRECT(ADDRESS(MATCH(Agenda2526!C362,'CAL8'!A:A,0)+1,2,4,1,"CAL8")),"")</f>
        <v/>
      </c>
      <c r="AT361" s="21">
        <f ca="1">IF(CALC2223!BE361&gt;1,INDIRECT(ADDRESS(MATCH(Agenda2526!C362,'CAL8'!A:A,0)+1,3,4,1,"CAL8")),0)</f>
        <v>0</v>
      </c>
      <c r="AU361" s="20" t="str">
        <f ca="1">IF(CALC2223!BE361&gt;2,INDIRECT(ADDRESS(MATCH(Agenda2526!C362,'CAL8'!A:A,0)+2,2,4,1,"CAL8")),"")</f>
        <v/>
      </c>
      <c r="AV361" s="21">
        <f ca="1">IF(CALC2223!BE361&gt;2,INDIRECT(ADDRESS(MATCH(Agenda2526!C362,'CAL8'!A:A,0)+2,3,4,1,"CAL8")),0)</f>
        <v>0</v>
      </c>
      <c r="AW361" s="107"/>
      <c r="AX361" s="20">
        <f>COUNTIF('CAL1'!A:A,Agenda2526!C362)</f>
        <v>0</v>
      </c>
      <c r="AY361" s="20">
        <f>COUNTIF('CAL2'!A:A,Agenda2526!C362)</f>
        <v>0</v>
      </c>
      <c r="AZ361" s="20">
        <f>COUNTIF('CAL3'!A:A,Agenda2526!C362)</f>
        <v>0</v>
      </c>
      <c r="BA361" s="20">
        <f>COUNTIF('CAL4'!A:A,Agenda2526!C362)</f>
        <v>0</v>
      </c>
      <c r="BB361" s="20">
        <f>COUNTIF('CAL5'!A:A,Agenda2526!C362)</f>
        <v>0</v>
      </c>
      <c r="BC361" s="20">
        <f>COUNTIF('CAL6'!A:A,Agenda2526!C362)</f>
        <v>0</v>
      </c>
      <c r="BD361" s="20">
        <f>COUNTIF('CAL7'!A:A,Agenda2526!C362)</f>
        <v>0</v>
      </c>
      <c r="BE361" s="20">
        <f>COUNTIF('CAL8'!A:A,Agenda2526!C362)</f>
        <v>0</v>
      </c>
    </row>
    <row r="362" spans="1:57" ht="15.75" customHeight="1">
      <c r="A362" s="20" t="str">
        <f ca="1">IF(CALC2223!AX362&gt;0,INDIRECT(ADDRESS(MATCH(Agenda2526!C363,'CAL1'!A:A,0),2,4,1,"CAL1")),"")</f>
        <v/>
      </c>
      <c r="B362" s="21">
        <f ca="1">IF(CALC2223!AX362&gt;0,INDIRECT(ADDRESS(MATCH(Agenda2526!C363,'CAL1'!A:A,0),3,4,1,"CAL1")),0)</f>
        <v>0</v>
      </c>
      <c r="C362" s="20" t="str">
        <f ca="1">IF(CALC2223!AX362&gt;1,INDIRECT(ADDRESS(MATCH(Agenda2526!C363,'CAL1'!A:A,0)+1,2,4,1,"CAL1")),"")</f>
        <v/>
      </c>
      <c r="D362" s="21">
        <f ca="1">IF(CALC2223!AX362&gt;1,INDIRECT(ADDRESS(MATCH(Agenda2526!C363,'CAL1'!A:A,0)+1,3,4,1,"CAL1")),0)</f>
        <v>0</v>
      </c>
      <c r="E362" s="20" t="str">
        <f ca="1">IF(CALC2223!AX362&gt;2,INDIRECT(ADDRESS(MATCH(Agenda2526!C363,'CAL1'!A:A,0)+2,2,4,1,"CAL1")),"")</f>
        <v/>
      </c>
      <c r="F362" s="21">
        <f ca="1">IF(CALC2223!AX362&gt;2,INDIRECT(ADDRESS(MATCH(Agenda2526!C363,'CAL1'!A:A,0)+2,3,4,1,"CAL1")),0)</f>
        <v>0</v>
      </c>
      <c r="G362" s="20" t="str">
        <f ca="1">IF(CALC2223!AY362&gt;0,INDIRECT(ADDRESS(MATCH(Agenda2526!C363,'CAL2'!A:A,0),2,4,1,"CAL2")),"")</f>
        <v/>
      </c>
      <c r="H362" s="21">
        <f ca="1">IF(CALC2223!AY362&gt;0,INDIRECT(ADDRESS(MATCH(Agenda2526!C363,'CAL2'!A:A,0),3,4,1,"CAL2")),0)</f>
        <v>0</v>
      </c>
      <c r="I362" s="20" t="str">
        <f ca="1">IF(CALC2223!AY362&gt;1,INDIRECT(ADDRESS(MATCH(Agenda2526!C363,'CAL2'!A:A,0)+1,2,4,1,"CAL2")),"")</f>
        <v/>
      </c>
      <c r="J362" s="21">
        <f ca="1">IF(CALC2223!AY362&gt;1,INDIRECT(ADDRESS(MATCH(Agenda2526!C363,'CAL2'!A:A,0)+1,3,4,1,"CAL2")),0)</f>
        <v>0</v>
      </c>
      <c r="K362" s="20" t="str">
        <f ca="1">IF(CALC2223!AY362&gt;2,INDIRECT(ADDRESS(MATCH(Agenda2526!C363,'CAL2'!A:A,0)+2,2,4,1,"CAL2")),"")</f>
        <v/>
      </c>
      <c r="L362" s="21">
        <f ca="1">IF(CALC2223!AY362&gt;2,INDIRECT(ADDRESS(MATCH(Agenda2526!C363,'CAL2'!A:A,0)+2,3,4,1,"CAL2")),0)</f>
        <v>0</v>
      </c>
      <c r="M362" s="20" t="str">
        <f ca="1">IF(CALC2223!AZ362&gt;0,INDIRECT(ADDRESS(MATCH(Agenda2526!C363,'CAL3'!A:A,0),2,4,1,"CAL3")),"")</f>
        <v/>
      </c>
      <c r="N362" s="21">
        <f ca="1">IF(CALC2223!AZ362&gt;0,INDIRECT(ADDRESS(MATCH(Agenda2526!C363,'CAL3'!A:A,0),3,4,1,"CAL3")),0)</f>
        <v>0</v>
      </c>
      <c r="O362" s="20" t="str">
        <f ca="1">IF(CALC2223!AZ362&gt;1,INDIRECT(ADDRESS(MATCH(Agenda2526!C363,'CAL3'!A:A,0)+1,2,4,1,"CAL3")),"")</f>
        <v/>
      </c>
      <c r="P362" s="21">
        <f ca="1">IF(CALC2223!AZ362&gt;1,INDIRECT(ADDRESS(MATCH(Agenda2526!C363,'CAL3'!A:A,0)+1,3,4,1,"CAL3")),0)</f>
        <v>0</v>
      </c>
      <c r="Q362" s="20" t="str">
        <f ca="1">IF(CALC2223!AZ362&gt;2,INDIRECT(ADDRESS(MATCH(Agenda2526!C363,'CAL3'!A:A,0)+2,2,4,1,"CAL3")),"")</f>
        <v/>
      </c>
      <c r="R362" s="21">
        <f ca="1">IF(CALC2223!AZ362&gt;2,INDIRECT(ADDRESS(MATCH(Agenda2526!C363,'CAL3'!A:A,0)+2,3,4,1,"CAL3")),0)</f>
        <v>0</v>
      </c>
      <c r="S362" s="20" t="str">
        <f ca="1">IF(CALC2223!BA362&gt;0,INDIRECT(ADDRESS(MATCH(Agenda2526!C363,'CAL4'!A:A,0),2,4,1,"CAL4")),"")</f>
        <v/>
      </c>
      <c r="T362" s="21">
        <f ca="1">IF(CALC2223!BA362&gt;0,INDIRECT(ADDRESS(MATCH(Agenda2526!C363,'CAL4'!A:A,0),3,4,1,"CAL4")),0)</f>
        <v>0</v>
      </c>
      <c r="U362" s="20" t="str">
        <f ca="1">IF(CALC2223!BA362&gt;1,INDIRECT(ADDRESS(MATCH(Agenda2526!C363,'CAL4'!A:A,0)+1,2,4,1,"CAL4")),"")</f>
        <v/>
      </c>
      <c r="V362" s="21">
        <f ca="1">IF(CALC2223!BA362&gt;1,INDIRECT(ADDRESS(MATCH(Agenda2526!C363,'CAL4'!A:A,0)+1,3,4,1,"CAL4")),0)</f>
        <v>0</v>
      </c>
      <c r="W362" s="20" t="str">
        <f ca="1">IF(CALC2223!BA362&gt;2,INDIRECT(ADDRESS(MATCH(Agenda2526!C363,'CAL4'!A:A,0)+2,2,4,1,"CAL4")),"")</f>
        <v/>
      </c>
      <c r="X362" s="21">
        <f ca="1">IF(CALC2223!BA362&gt;2,INDIRECT(ADDRESS(MATCH(Agenda2526!C363,'CAL4'!A:A,0)+2,3,4,1,"CAL4")),0)</f>
        <v>0</v>
      </c>
      <c r="Y362" s="20" t="str">
        <f ca="1">IF(CALC2223!BB362&gt;0,INDIRECT(ADDRESS(MATCH(Agenda2526!C363,'CAL5'!A:A,0),2,4,1,"CAL5")),"")</f>
        <v/>
      </c>
      <c r="Z362" s="21">
        <f ca="1">IF(CALC2223!BB362&gt;0,INDIRECT(ADDRESS(MATCH(Agenda2526!C363,'CAL5'!A:A,0),3,4,1,"CAL5")),0)</f>
        <v>0</v>
      </c>
      <c r="AA362" s="20" t="str">
        <f ca="1">IF(CALC2223!BB362&gt;1,INDIRECT(ADDRESS(MATCH(Agenda2526!C363,'CAL5'!A:A,0)+1,2,4,1,"CAL5")),"")</f>
        <v/>
      </c>
      <c r="AB362" s="21">
        <f ca="1">IF(CALC2223!BB362&gt;1,INDIRECT(ADDRESS(MATCH(Agenda2526!C363,'CAL5'!A:A,0)+1,3,4,1,"CAL5")),0)</f>
        <v>0</v>
      </c>
      <c r="AC362" s="20" t="str">
        <f ca="1">IF(CALC2223!BB362&gt;2,INDIRECT(ADDRESS(MATCH(Agenda2526!C363,'CAL5'!A:A,0)+2,2,4,1,"CAL5")),"")</f>
        <v/>
      </c>
      <c r="AD362" s="21">
        <f ca="1">IF(CALC2223!BB362&gt;2,INDIRECT(ADDRESS(MATCH(Agenda2526!C363,'CAL5'!A:A,0)+2,3,4,1,"CAL5")),0)</f>
        <v>0</v>
      </c>
      <c r="AE362" s="20" t="str">
        <f ca="1">IF(CALC2223!BC362&gt;0,INDIRECT(ADDRESS(MATCH(Agenda2526!C363,'CAL6'!A:A,0),2,4,1,"CAL6")),"")</f>
        <v/>
      </c>
      <c r="AF362" s="21">
        <f ca="1">IF(CALC2223!BC362&gt;0,INDIRECT(ADDRESS(MATCH(Agenda2526!C363,'CAL6'!A:A,0),3,4,1,"CAL6")),0)</f>
        <v>0</v>
      </c>
      <c r="AG362" s="20" t="str">
        <f ca="1">IF(CALC2223!BC362&gt;1,INDIRECT(ADDRESS(MATCH(Agenda2526!C363,'CAL6'!A:A,0)+1,2,4,1,"CAL6")),"")</f>
        <v/>
      </c>
      <c r="AH362" s="21">
        <f ca="1">IF(CALC2223!BC362&gt;1,INDIRECT(ADDRESS(MATCH(Agenda2526!C363,'CAL6'!A:A,0)+1,3,4,1,"CAL6")),0)</f>
        <v>0</v>
      </c>
      <c r="AI362" s="20" t="str">
        <f ca="1">IF(CALC2223!BC362&gt;2,INDIRECT(ADDRESS(MATCH(Agenda2526!C363,'CAL6'!A:A,0)+2,2,4,1,"CAL6")),"")</f>
        <v/>
      </c>
      <c r="AJ362" s="21">
        <f ca="1">IF(CALC2223!BC362&gt;2,INDIRECT(ADDRESS(MATCH(Agenda2526!C363,'CAL6'!A:A,0)+2,3,4,1,"CAL6")),0)</f>
        <v>0</v>
      </c>
      <c r="AK362" s="20" t="str">
        <f ca="1">IF(CALC2223!BD362&gt;0,INDIRECT(ADDRESS(MATCH(Agenda2526!C363,'CAL7'!A:A,0),2,4,1,"CAL7")),"")</f>
        <v/>
      </c>
      <c r="AL362" s="21">
        <f ca="1">IF(CALC2223!BD362&gt;0,INDIRECT(ADDRESS(MATCH(Agenda2526!C363,'CAL7'!A:A,0),3,4,1,"CAL7")),0)</f>
        <v>0</v>
      </c>
      <c r="AM362" s="20" t="str">
        <f ca="1">IF(CALC2223!BD362&gt;1,INDIRECT(ADDRESS(MATCH(Agenda2526!C363,'CAL7'!A:A,0)+1,2,4,1,"CAL7")),"")</f>
        <v/>
      </c>
      <c r="AN362" s="21">
        <f ca="1">IF(CALC2223!BD362&gt;1,INDIRECT(ADDRESS(MATCH(Agenda2526!C363,'CAL7'!A:A,0)+1,3,4,1,"CAL7")),0)</f>
        <v>0</v>
      </c>
      <c r="AO362" s="20" t="str">
        <f ca="1">IF(CALC2223!BD362&gt;2,INDIRECT(ADDRESS(MATCH(Agenda2526!C363,'CAL7'!A:A,0)+2,2,4,1,"CAL7")),"")</f>
        <v/>
      </c>
      <c r="AP362" s="21">
        <f ca="1">IF(CALC2223!BD362&gt;2,INDIRECT(ADDRESS(MATCH(Agenda2526!C363,'CAL7'!A:A,0)+2,3,4,1,"CAL7")),0)</f>
        <v>0</v>
      </c>
      <c r="AQ362" s="20" t="str">
        <f ca="1">IF(CALC2223!BE362&gt;0,INDIRECT(ADDRESS(MATCH(Agenda2526!C363,'CAL8'!A:A,0),2,4,1,"CAL8")),"")</f>
        <v/>
      </c>
      <c r="AR362" s="21">
        <f ca="1">IF(CALC2223!BE362&gt;0,INDIRECT(ADDRESS(MATCH(Agenda2526!C363,'CAL8'!A:A,0),3,4,1,"CAL8")),0)</f>
        <v>0</v>
      </c>
      <c r="AS362" s="20" t="str">
        <f ca="1">IF(CALC2223!BE362&gt;1,INDIRECT(ADDRESS(MATCH(Agenda2526!C363,'CAL8'!A:A,0)+1,2,4,1,"CAL8")),"")</f>
        <v/>
      </c>
      <c r="AT362" s="21">
        <f ca="1">IF(CALC2223!BE362&gt;1,INDIRECT(ADDRESS(MATCH(Agenda2526!C363,'CAL8'!A:A,0)+1,3,4,1,"CAL8")),0)</f>
        <v>0</v>
      </c>
      <c r="AU362" s="20" t="str">
        <f ca="1">IF(CALC2223!BE362&gt;2,INDIRECT(ADDRESS(MATCH(Agenda2526!C363,'CAL8'!A:A,0)+2,2,4,1,"CAL8")),"")</f>
        <v/>
      </c>
      <c r="AV362" s="21">
        <f ca="1">IF(CALC2223!BE362&gt;2,INDIRECT(ADDRESS(MATCH(Agenda2526!C363,'CAL8'!A:A,0)+2,3,4,1,"CAL8")),0)</f>
        <v>0</v>
      </c>
      <c r="AW362" s="107"/>
      <c r="AX362" s="20">
        <f>COUNTIF('CAL1'!A:A,Agenda2526!C363)</f>
        <v>0</v>
      </c>
      <c r="AY362" s="20">
        <f>COUNTIF('CAL2'!A:A,Agenda2526!C363)</f>
        <v>0</v>
      </c>
      <c r="AZ362" s="20">
        <f>COUNTIF('CAL3'!A:A,Agenda2526!C363)</f>
        <v>0</v>
      </c>
      <c r="BA362" s="20">
        <f>COUNTIF('CAL4'!A:A,Agenda2526!C363)</f>
        <v>0</v>
      </c>
      <c r="BB362" s="20">
        <f>COUNTIF('CAL5'!A:A,Agenda2526!C363)</f>
        <v>0</v>
      </c>
      <c r="BC362" s="20">
        <f>COUNTIF('CAL6'!A:A,Agenda2526!C363)</f>
        <v>0</v>
      </c>
      <c r="BD362" s="20">
        <f>COUNTIF('CAL7'!A:A,Agenda2526!C363)</f>
        <v>0</v>
      </c>
      <c r="BE362" s="20">
        <f>COUNTIF('CAL8'!A:A,Agenda2526!C363)</f>
        <v>0</v>
      </c>
    </row>
    <row r="363" spans="1:57" ht="15.75" customHeight="1">
      <c r="A363" s="20" t="str">
        <f ca="1">IF(CALC2223!AX363&gt;0,INDIRECT(ADDRESS(MATCH(Agenda2526!C364,'CAL1'!A:A,0),2,4,1,"CAL1")),"")</f>
        <v/>
      </c>
      <c r="B363" s="21">
        <f ca="1">IF(CALC2223!AX363&gt;0,INDIRECT(ADDRESS(MATCH(Agenda2526!C364,'CAL1'!A:A,0),3,4,1,"CAL1")),0)</f>
        <v>0</v>
      </c>
      <c r="C363" s="20" t="str">
        <f ca="1">IF(CALC2223!AX363&gt;1,INDIRECT(ADDRESS(MATCH(Agenda2526!C364,'CAL1'!A:A,0)+1,2,4,1,"CAL1")),"")</f>
        <v/>
      </c>
      <c r="D363" s="21">
        <f ca="1">IF(CALC2223!AX363&gt;1,INDIRECT(ADDRESS(MATCH(Agenda2526!C364,'CAL1'!A:A,0)+1,3,4,1,"CAL1")),0)</f>
        <v>0</v>
      </c>
      <c r="E363" s="20" t="str">
        <f ca="1">IF(CALC2223!AX363&gt;2,INDIRECT(ADDRESS(MATCH(Agenda2526!C364,'CAL1'!A:A,0)+2,2,4,1,"CAL1")),"")</f>
        <v/>
      </c>
      <c r="F363" s="21">
        <f ca="1">IF(CALC2223!AX363&gt;2,INDIRECT(ADDRESS(MATCH(Agenda2526!C364,'CAL1'!A:A,0)+2,3,4,1,"CAL1")),0)</f>
        <v>0</v>
      </c>
      <c r="G363" s="20" t="str">
        <f ca="1">IF(CALC2223!AY363&gt;0,INDIRECT(ADDRESS(MATCH(Agenda2526!C364,'CAL2'!A:A,0),2,4,1,"CAL2")),"")</f>
        <v/>
      </c>
      <c r="H363" s="21">
        <f ca="1">IF(CALC2223!AY363&gt;0,INDIRECT(ADDRESS(MATCH(Agenda2526!C364,'CAL2'!A:A,0),3,4,1,"CAL2")),0)</f>
        <v>0</v>
      </c>
      <c r="I363" s="20" t="str">
        <f ca="1">IF(CALC2223!AY363&gt;1,INDIRECT(ADDRESS(MATCH(Agenda2526!C364,'CAL2'!A:A,0)+1,2,4,1,"CAL2")),"")</f>
        <v/>
      </c>
      <c r="J363" s="21">
        <f ca="1">IF(CALC2223!AY363&gt;1,INDIRECT(ADDRESS(MATCH(Agenda2526!C364,'CAL2'!A:A,0)+1,3,4,1,"CAL2")),0)</f>
        <v>0</v>
      </c>
      <c r="K363" s="20" t="str">
        <f ca="1">IF(CALC2223!AY363&gt;2,INDIRECT(ADDRESS(MATCH(Agenda2526!C364,'CAL2'!A:A,0)+2,2,4,1,"CAL2")),"")</f>
        <v/>
      </c>
      <c r="L363" s="21">
        <f ca="1">IF(CALC2223!AY363&gt;2,INDIRECT(ADDRESS(MATCH(Agenda2526!C364,'CAL2'!A:A,0)+2,3,4,1,"CAL2")),0)</f>
        <v>0</v>
      </c>
      <c r="M363" s="20" t="str">
        <f ca="1">IF(CALC2223!AZ363&gt;0,INDIRECT(ADDRESS(MATCH(Agenda2526!C364,'CAL3'!A:A,0),2,4,1,"CAL3")),"")</f>
        <v/>
      </c>
      <c r="N363" s="21">
        <f ca="1">IF(CALC2223!AZ363&gt;0,INDIRECT(ADDRESS(MATCH(Agenda2526!C364,'CAL3'!A:A,0),3,4,1,"CAL3")),0)</f>
        <v>0</v>
      </c>
      <c r="O363" s="20" t="str">
        <f ca="1">IF(CALC2223!AZ363&gt;1,INDIRECT(ADDRESS(MATCH(Agenda2526!C364,'CAL3'!A:A,0)+1,2,4,1,"CAL3")),"")</f>
        <v/>
      </c>
      <c r="P363" s="21">
        <f ca="1">IF(CALC2223!AZ363&gt;1,INDIRECT(ADDRESS(MATCH(Agenda2526!C364,'CAL3'!A:A,0)+1,3,4,1,"CAL3")),0)</f>
        <v>0</v>
      </c>
      <c r="Q363" s="20" t="str">
        <f ca="1">IF(CALC2223!AZ363&gt;2,INDIRECT(ADDRESS(MATCH(Agenda2526!C364,'CAL3'!A:A,0)+2,2,4,1,"CAL3")),"")</f>
        <v/>
      </c>
      <c r="R363" s="21">
        <f ca="1">IF(CALC2223!AZ363&gt;2,INDIRECT(ADDRESS(MATCH(Agenda2526!C364,'CAL3'!A:A,0)+2,3,4,1,"CAL3")),0)</f>
        <v>0</v>
      </c>
      <c r="S363" s="20" t="str">
        <f ca="1">IF(CALC2223!BA363&gt;0,INDIRECT(ADDRESS(MATCH(Agenda2526!C364,'CAL4'!A:A,0),2,4,1,"CAL4")),"")</f>
        <v/>
      </c>
      <c r="T363" s="21">
        <f ca="1">IF(CALC2223!BA363&gt;0,INDIRECT(ADDRESS(MATCH(Agenda2526!C364,'CAL4'!A:A,0),3,4,1,"CAL4")),0)</f>
        <v>0</v>
      </c>
      <c r="U363" s="20" t="str">
        <f ca="1">IF(CALC2223!BA363&gt;1,INDIRECT(ADDRESS(MATCH(Agenda2526!C364,'CAL4'!A:A,0)+1,2,4,1,"CAL4")),"")</f>
        <v/>
      </c>
      <c r="V363" s="21">
        <f ca="1">IF(CALC2223!BA363&gt;1,INDIRECT(ADDRESS(MATCH(Agenda2526!C364,'CAL4'!A:A,0)+1,3,4,1,"CAL4")),0)</f>
        <v>0</v>
      </c>
      <c r="W363" s="20" t="str">
        <f ca="1">IF(CALC2223!BA363&gt;2,INDIRECT(ADDRESS(MATCH(Agenda2526!C364,'CAL4'!A:A,0)+2,2,4,1,"CAL4")),"")</f>
        <v/>
      </c>
      <c r="X363" s="21">
        <f ca="1">IF(CALC2223!BA363&gt;2,INDIRECT(ADDRESS(MATCH(Agenda2526!C364,'CAL4'!A:A,0)+2,3,4,1,"CAL4")),0)</f>
        <v>0</v>
      </c>
      <c r="Y363" s="20" t="str">
        <f ca="1">IF(CALC2223!BB363&gt;0,INDIRECT(ADDRESS(MATCH(Agenda2526!C364,'CAL5'!A:A,0),2,4,1,"CAL5")),"")</f>
        <v/>
      </c>
      <c r="Z363" s="21">
        <f ca="1">IF(CALC2223!BB363&gt;0,INDIRECT(ADDRESS(MATCH(Agenda2526!C364,'CAL5'!A:A,0),3,4,1,"CAL5")),0)</f>
        <v>0</v>
      </c>
      <c r="AA363" s="20" t="str">
        <f ca="1">IF(CALC2223!BB363&gt;1,INDIRECT(ADDRESS(MATCH(Agenda2526!C364,'CAL5'!A:A,0)+1,2,4,1,"CAL5")),"")</f>
        <v/>
      </c>
      <c r="AB363" s="21">
        <f ca="1">IF(CALC2223!BB363&gt;1,INDIRECT(ADDRESS(MATCH(Agenda2526!C364,'CAL5'!A:A,0)+1,3,4,1,"CAL5")),0)</f>
        <v>0</v>
      </c>
      <c r="AC363" s="20" t="str">
        <f ca="1">IF(CALC2223!BB363&gt;2,INDIRECT(ADDRESS(MATCH(Agenda2526!C364,'CAL5'!A:A,0)+2,2,4,1,"CAL5")),"")</f>
        <v/>
      </c>
      <c r="AD363" s="21">
        <f ca="1">IF(CALC2223!BB363&gt;2,INDIRECT(ADDRESS(MATCH(Agenda2526!C364,'CAL5'!A:A,0)+2,3,4,1,"CAL5")),0)</f>
        <v>0</v>
      </c>
      <c r="AE363" s="20" t="str">
        <f ca="1">IF(CALC2223!BC363&gt;0,INDIRECT(ADDRESS(MATCH(Agenda2526!C364,'CAL6'!A:A,0),2,4,1,"CAL6")),"")</f>
        <v/>
      </c>
      <c r="AF363" s="21">
        <f ca="1">IF(CALC2223!BC363&gt;0,INDIRECT(ADDRESS(MATCH(Agenda2526!C364,'CAL6'!A:A,0),3,4,1,"CAL6")),0)</f>
        <v>0</v>
      </c>
      <c r="AG363" s="20" t="str">
        <f ca="1">IF(CALC2223!BC363&gt;1,INDIRECT(ADDRESS(MATCH(Agenda2526!C364,'CAL6'!A:A,0)+1,2,4,1,"CAL6")),"")</f>
        <v/>
      </c>
      <c r="AH363" s="21">
        <f ca="1">IF(CALC2223!BC363&gt;1,INDIRECT(ADDRESS(MATCH(Agenda2526!C364,'CAL6'!A:A,0)+1,3,4,1,"CAL6")),0)</f>
        <v>0</v>
      </c>
      <c r="AI363" s="20" t="str">
        <f ca="1">IF(CALC2223!BC363&gt;2,INDIRECT(ADDRESS(MATCH(Agenda2526!C364,'CAL6'!A:A,0)+2,2,4,1,"CAL6")),"")</f>
        <v/>
      </c>
      <c r="AJ363" s="21">
        <f ca="1">IF(CALC2223!BC363&gt;2,INDIRECT(ADDRESS(MATCH(Agenda2526!C364,'CAL6'!A:A,0)+2,3,4,1,"CAL6")),0)</f>
        <v>0</v>
      </c>
      <c r="AK363" s="20" t="str">
        <f ca="1">IF(CALC2223!BD363&gt;0,INDIRECT(ADDRESS(MATCH(Agenda2526!C364,'CAL7'!A:A,0),2,4,1,"CAL7")),"")</f>
        <v/>
      </c>
      <c r="AL363" s="21">
        <f ca="1">IF(CALC2223!BD363&gt;0,INDIRECT(ADDRESS(MATCH(Agenda2526!C364,'CAL7'!A:A,0),3,4,1,"CAL7")),0)</f>
        <v>0</v>
      </c>
      <c r="AM363" s="20" t="str">
        <f ca="1">IF(CALC2223!BD363&gt;1,INDIRECT(ADDRESS(MATCH(Agenda2526!C364,'CAL7'!A:A,0)+1,2,4,1,"CAL7")),"")</f>
        <v/>
      </c>
      <c r="AN363" s="21">
        <f ca="1">IF(CALC2223!BD363&gt;1,INDIRECT(ADDRESS(MATCH(Agenda2526!C364,'CAL7'!A:A,0)+1,3,4,1,"CAL7")),0)</f>
        <v>0</v>
      </c>
      <c r="AO363" s="20" t="str">
        <f ca="1">IF(CALC2223!BD363&gt;2,INDIRECT(ADDRESS(MATCH(Agenda2526!C364,'CAL7'!A:A,0)+2,2,4,1,"CAL7")),"")</f>
        <v/>
      </c>
      <c r="AP363" s="21">
        <f ca="1">IF(CALC2223!BD363&gt;2,INDIRECT(ADDRESS(MATCH(Agenda2526!C364,'CAL7'!A:A,0)+2,3,4,1,"CAL7")),0)</f>
        <v>0</v>
      </c>
      <c r="AQ363" s="20" t="str">
        <f ca="1">IF(CALC2223!BE363&gt;0,INDIRECT(ADDRESS(MATCH(Agenda2526!C364,'CAL8'!A:A,0),2,4,1,"CAL8")),"")</f>
        <v/>
      </c>
      <c r="AR363" s="21">
        <f ca="1">IF(CALC2223!BE363&gt;0,INDIRECT(ADDRESS(MATCH(Agenda2526!C364,'CAL8'!A:A,0),3,4,1,"CAL8")),0)</f>
        <v>0</v>
      </c>
      <c r="AS363" s="20" t="str">
        <f ca="1">IF(CALC2223!BE363&gt;1,INDIRECT(ADDRESS(MATCH(Agenda2526!C364,'CAL8'!A:A,0)+1,2,4,1,"CAL8")),"")</f>
        <v/>
      </c>
      <c r="AT363" s="21">
        <f ca="1">IF(CALC2223!BE363&gt;1,INDIRECT(ADDRESS(MATCH(Agenda2526!C364,'CAL8'!A:A,0)+1,3,4,1,"CAL8")),0)</f>
        <v>0</v>
      </c>
      <c r="AU363" s="20" t="str">
        <f ca="1">IF(CALC2223!BE363&gt;2,INDIRECT(ADDRESS(MATCH(Agenda2526!C364,'CAL8'!A:A,0)+2,2,4,1,"CAL8")),"")</f>
        <v/>
      </c>
      <c r="AV363" s="21">
        <f ca="1">IF(CALC2223!BE363&gt;2,INDIRECT(ADDRESS(MATCH(Agenda2526!C364,'CAL8'!A:A,0)+2,3,4,1,"CAL8")),0)</f>
        <v>0</v>
      </c>
      <c r="AW363" s="107"/>
      <c r="AX363" s="20">
        <f>COUNTIF('CAL1'!A:A,Agenda2526!C364)</f>
        <v>0</v>
      </c>
      <c r="AY363" s="20">
        <f>COUNTIF('CAL2'!A:A,Agenda2526!C364)</f>
        <v>0</v>
      </c>
      <c r="AZ363" s="20">
        <f>COUNTIF('CAL3'!A:A,Agenda2526!C364)</f>
        <v>0</v>
      </c>
      <c r="BA363" s="20">
        <f>COUNTIF('CAL4'!A:A,Agenda2526!C364)</f>
        <v>0</v>
      </c>
      <c r="BB363" s="20">
        <f>COUNTIF('CAL5'!A:A,Agenda2526!C364)</f>
        <v>0</v>
      </c>
      <c r="BC363" s="20">
        <f>COUNTIF('CAL6'!A:A,Agenda2526!C364)</f>
        <v>0</v>
      </c>
      <c r="BD363" s="20">
        <f>COUNTIF('CAL7'!A:A,Agenda2526!C364)</f>
        <v>0</v>
      </c>
      <c r="BE363" s="20">
        <f>COUNTIF('CAL8'!A:A,Agenda2526!C364)</f>
        <v>0</v>
      </c>
    </row>
    <row r="364" spans="1:57" ht="15.75" customHeight="1">
      <c r="A364" s="20" t="str">
        <f ca="1">IF(CALC2223!AX364&gt;0,INDIRECT(ADDRESS(MATCH(Agenda2526!C365,'CAL1'!A:A,0),2,4,1,"CAL1")),"")</f>
        <v/>
      </c>
      <c r="B364" s="21">
        <f ca="1">IF(CALC2223!AX364&gt;0,INDIRECT(ADDRESS(MATCH(Agenda2526!C365,'CAL1'!A:A,0),3,4,1,"CAL1")),0)</f>
        <v>0</v>
      </c>
      <c r="C364" s="20" t="str">
        <f ca="1">IF(CALC2223!AX364&gt;1,INDIRECT(ADDRESS(MATCH(Agenda2526!C365,'CAL1'!A:A,0)+1,2,4,1,"CAL1")),"")</f>
        <v/>
      </c>
      <c r="D364" s="21">
        <f ca="1">IF(CALC2223!AX364&gt;1,INDIRECT(ADDRESS(MATCH(Agenda2526!C365,'CAL1'!A:A,0)+1,3,4,1,"CAL1")),0)</f>
        <v>0</v>
      </c>
      <c r="E364" s="20" t="str">
        <f ca="1">IF(CALC2223!AX364&gt;2,INDIRECT(ADDRESS(MATCH(Agenda2526!C365,'CAL1'!A:A,0)+2,2,4,1,"CAL1")),"")</f>
        <v/>
      </c>
      <c r="F364" s="21">
        <f ca="1">IF(CALC2223!AX364&gt;2,INDIRECT(ADDRESS(MATCH(Agenda2526!C365,'CAL1'!A:A,0)+2,3,4,1,"CAL1")),0)</f>
        <v>0</v>
      </c>
      <c r="G364" s="20" t="str">
        <f ca="1">IF(CALC2223!AY364&gt;0,INDIRECT(ADDRESS(MATCH(Agenda2526!C365,'CAL2'!A:A,0),2,4,1,"CAL2")),"")</f>
        <v/>
      </c>
      <c r="H364" s="21">
        <f ca="1">IF(CALC2223!AY364&gt;0,INDIRECT(ADDRESS(MATCH(Agenda2526!C365,'CAL2'!A:A,0),3,4,1,"CAL2")),0)</f>
        <v>0</v>
      </c>
      <c r="I364" s="20" t="str">
        <f ca="1">IF(CALC2223!AY364&gt;1,INDIRECT(ADDRESS(MATCH(Agenda2526!C365,'CAL2'!A:A,0)+1,2,4,1,"CAL2")),"")</f>
        <v/>
      </c>
      <c r="J364" s="21">
        <f ca="1">IF(CALC2223!AY364&gt;1,INDIRECT(ADDRESS(MATCH(Agenda2526!C365,'CAL2'!A:A,0)+1,3,4,1,"CAL2")),0)</f>
        <v>0</v>
      </c>
      <c r="K364" s="20" t="str">
        <f ca="1">IF(CALC2223!AY364&gt;2,INDIRECT(ADDRESS(MATCH(Agenda2526!C365,'CAL2'!A:A,0)+2,2,4,1,"CAL2")),"")</f>
        <v/>
      </c>
      <c r="L364" s="21">
        <f ca="1">IF(CALC2223!AY364&gt;2,INDIRECT(ADDRESS(MATCH(Agenda2526!C365,'CAL2'!A:A,0)+2,3,4,1,"CAL2")),0)</f>
        <v>0</v>
      </c>
      <c r="M364" s="20" t="str">
        <f ca="1">IF(CALC2223!AZ364&gt;0,INDIRECT(ADDRESS(MATCH(Agenda2526!C365,'CAL3'!A:A,0),2,4,1,"CAL3")),"")</f>
        <v/>
      </c>
      <c r="N364" s="21">
        <f ca="1">IF(CALC2223!AZ364&gt;0,INDIRECT(ADDRESS(MATCH(Agenda2526!C365,'CAL3'!A:A,0),3,4,1,"CAL3")),0)</f>
        <v>0</v>
      </c>
      <c r="O364" s="20" t="str">
        <f ca="1">IF(CALC2223!AZ364&gt;1,INDIRECT(ADDRESS(MATCH(Agenda2526!C365,'CAL3'!A:A,0)+1,2,4,1,"CAL3")),"")</f>
        <v/>
      </c>
      <c r="P364" s="21">
        <f ca="1">IF(CALC2223!AZ364&gt;1,INDIRECT(ADDRESS(MATCH(Agenda2526!C365,'CAL3'!A:A,0)+1,3,4,1,"CAL3")),0)</f>
        <v>0</v>
      </c>
      <c r="Q364" s="20" t="str">
        <f ca="1">IF(CALC2223!AZ364&gt;2,INDIRECT(ADDRESS(MATCH(Agenda2526!C365,'CAL3'!A:A,0)+2,2,4,1,"CAL3")),"")</f>
        <v/>
      </c>
      <c r="R364" s="21">
        <f ca="1">IF(CALC2223!AZ364&gt;2,INDIRECT(ADDRESS(MATCH(Agenda2526!C365,'CAL3'!A:A,0)+2,3,4,1,"CAL3")),0)</f>
        <v>0</v>
      </c>
      <c r="S364" s="20" t="str">
        <f ca="1">IF(CALC2223!BA364&gt;0,INDIRECT(ADDRESS(MATCH(Agenda2526!C365,'CAL4'!A:A,0),2,4,1,"CAL4")),"")</f>
        <v/>
      </c>
      <c r="T364" s="21">
        <f ca="1">IF(CALC2223!BA364&gt;0,INDIRECT(ADDRESS(MATCH(Agenda2526!C365,'CAL4'!A:A,0),3,4,1,"CAL4")),0)</f>
        <v>0</v>
      </c>
      <c r="U364" s="20" t="str">
        <f ca="1">IF(CALC2223!BA364&gt;1,INDIRECT(ADDRESS(MATCH(Agenda2526!C365,'CAL4'!A:A,0)+1,2,4,1,"CAL4")),"")</f>
        <v/>
      </c>
      <c r="V364" s="21">
        <f ca="1">IF(CALC2223!BA364&gt;1,INDIRECT(ADDRESS(MATCH(Agenda2526!C365,'CAL4'!A:A,0)+1,3,4,1,"CAL4")),0)</f>
        <v>0</v>
      </c>
      <c r="W364" s="20" t="str">
        <f ca="1">IF(CALC2223!BA364&gt;2,INDIRECT(ADDRESS(MATCH(Agenda2526!C365,'CAL4'!A:A,0)+2,2,4,1,"CAL4")),"")</f>
        <v/>
      </c>
      <c r="X364" s="21">
        <f ca="1">IF(CALC2223!BA364&gt;2,INDIRECT(ADDRESS(MATCH(Agenda2526!C365,'CAL4'!A:A,0)+2,3,4,1,"CAL4")),0)</f>
        <v>0</v>
      </c>
      <c r="Y364" s="20" t="str">
        <f ca="1">IF(CALC2223!BB364&gt;0,INDIRECT(ADDRESS(MATCH(Agenda2526!C365,'CAL5'!A:A,0),2,4,1,"CAL5")),"")</f>
        <v/>
      </c>
      <c r="Z364" s="21">
        <f ca="1">IF(CALC2223!BB364&gt;0,INDIRECT(ADDRESS(MATCH(Agenda2526!C365,'CAL5'!A:A,0),3,4,1,"CAL5")),0)</f>
        <v>0</v>
      </c>
      <c r="AA364" s="20" t="str">
        <f ca="1">IF(CALC2223!BB364&gt;1,INDIRECT(ADDRESS(MATCH(Agenda2526!C365,'CAL5'!A:A,0)+1,2,4,1,"CAL5")),"")</f>
        <v/>
      </c>
      <c r="AB364" s="21">
        <f ca="1">IF(CALC2223!BB364&gt;1,INDIRECT(ADDRESS(MATCH(Agenda2526!C365,'CAL5'!A:A,0)+1,3,4,1,"CAL5")),0)</f>
        <v>0</v>
      </c>
      <c r="AC364" s="20" t="str">
        <f ca="1">IF(CALC2223!BB364&gt;2,INDIRECT(ADDRESS(MATCH(Agenda2526!C365,'CAL5'!A:A,0)+2,2,4,1,"CAL5")),"")</f>
        <v/>
      </c>
      <c r="AD364" s="21">
        <f ca="1">IF(CALC2223!BB364&gt;2,INDIRECT(ADDRESS(MATCH(Agenda2526!C365,'CAL5'!A:A,0)+2,3,4,1,"CAL5")),0)</f>
        <v>0</v>
      </c>
      <c r="AE364" s="20" t="str">
        <f ca="1">IF(CALC2223!BC364&gt;0,INDIRECT(ADDRESS(MATCH(Agenda2526!C365,'CAL6'!A:A,0),2,4,1,"CAL6")),"")</f>
        <v/>
      </c>
      <c r="AF364" s="21">
        <f ca="1">IF(CALC2223!BC364&gt;0,INDIRECT(ADDRESS(MATCH(Agenda2526!C365,'CAL6'!A:A,0),3,4,1,"CAL6")),0)</f>
        <v>0</v>
      </c>
      <c r="AG364" s="20" t="str">
        <f ca="1">IF(CALC2223!BC364&gt;1,INDIRECT(ADDRESS(MATCH(Agenda2526!C365,'CAL6'!A:A,0)+1,2,4,1,"CAL6")),"")</f>
        <v/>
      </c>
      <c r="AH364" s="21">
        <f ca="1">IF(CALC2223!BC364&gt;1,INDIRECT(ADDRESS(MATCH(Agenda2526!C365,'CAL6'!A:A,0)+1,3,4,1,"CAL6")),0)</f>
        <v>0</v>
      </c>
      <c r="AI364" s="20" t="str">
        <f ca="1">IF(CALC2223!BC364&gt;2,INDIRECT(ADDRESS(MATCH(Agenda2526!C365,'CAL6'!A:A,0)+2,2,4,1,"CAL6")),"")</f>
        <v/>
      </c>
      <c r="AJ364" s="21">
        <f ca="1">IF(CALC2223!BC364&gt;2,INDIRECT(ADDRESS(MATCH(Agenda2526!C365,'CAL6'!A:A,0)+2,3,4,1,"CAL6")),0)</f>
        <v>0</v>
      </c>
      <c r="AK364" s="20" t="str">
        <f ca="1">IF(CALC2223!BD364&gt;0,INDIRECT(ADDRESS(MATCH(Agenda2526!C365,'CAL7'!A:A,0),2,4,1,"CAL7")),"")</f>
        <v/>
      </c>
      <c r="AL364" s="21">
        <f ca="1">IF(CALC2223!BD364&gt;0,INDIRECT(ADDRESS(MATCH(Agenda2526!C365,'CAL7'!A:A,0),3,4,1,"CAL7")),0)</f>
        <v>0</v>
      </c>
      <c r="AM364" s="20" t="str">
        <f ca="1">IF(CALC2223!BD364&gt;1,INDIRECT(ADDRESS(MATCH(Agenda2526!C365,'CAL7'!A:A,0)+1,2,4,1,"CAL7")),"")</f>
        <v/>
      </c>
      <c r="AN364" s="21">
        <f ca="1">IF(CALC2223!BD364&gt;1,INDIRECT(ADDRESS(MATCH(Agenda2526!C365,'CAL7'!A:A,0)+1,3,4,1,"CAL7")),0)</f>
        <v>0</v>
      </c>
      <c r="AO364" s="20" t="str">
        <f ca="1">IF(CALC2223!BD364&gt;2,INDIRECT(ADDRESS(MATCH(Agenda2526!C365,'CAL7'!A:A,0)+2,2,4,1,"CAL7")),"")</f>
        <v/>
      </c>
      <c r="AP364" s="21">
        <f ca="1">IF(CALC2223!BD364&gt;2,INDIRECT(ADDRESS(MATCH(Agenda2526!C365,'CAL7'!A:A,0)+2,3,4,1,"CAL7")),0)</f>
        <v>0</v>
      </c>
      <c r="AQ364" s="20" t="str">
        <f ca="1">IF(CALC2223!BE364&gt;0,INDIRECT(ADDRESS(MATCH(Agenda2526!C365,'CAL8'!A:A,0),2,4,1,"CAL8")),"")</f>
        <v/>
      </c>
      <c r="AR364" s="21">
        <f ca="1">IF(CALC2223!BE364&gt;0,INDIRECT(ADDRESS(MATCH(Agenda2526!C365,'CAL8'!A:A,0),3,4,1,"CAL8")),0)</f>
        <v>0</v>
      </c>
      <c r="AS364" s="20" t="str">
        <f ca="1">IF(CALC2223!BE364&gt;1,INDIRECT(ADDRESS(MATCH(Agenda2526!C365,'CAL8'!A:A,0)+1,2,4,1,"CAL8")),"")</f>
        <v/>
      </c>
      <c r="AT364" s="21">
        <f ca="1">IF(CALC2223!BE364&gt;1,INDIRECT(ADDRESS(MATCH(Agenda2526!C365,'CAL8'!A:A,0)+1,3,4,1,"CAL8")),0)</f>
        <v>0</v>
      </c>
      <c r="AU364" s="20" t="str">
        <f ca="1">IF(CALC2223!BE364&gt;2,INDIRECT(ADDRESS(MATCH(Agenda2526!C365,'CAL8'!A:A,0)+2,2,4,1,"CAL8")),"")</f>
        <v/>
      </c>
      <c r="AV364" s="21">
        <f ca="1">IF(CALC2223!BE364&gt;2,INDIRECT(ADDRESS(MATCH(Agenda2526!C365,'CAL8'!A:A,0)+2,3,4,1,"CAL8")),0)</f>
        <v>0</v>
      </c>
      <c r="AW364" s="106"/>
      <c r="AX364" s="20">
        <f>COUNTIF('CAL1'!A:A,Agenda2526!C365)</f>
        <v>0</v>
      </c>
      <c r="AY364" s="20">
        <f>COUNTIF('CAL2'!A:A,Agenda2526!C365)</f>
        <v>0</v>
      </c>
      <c r="AZ364" s="20">
        <f>COUNTIF('CAL3'!A:A,Agenda2526!C365)</f>
        <v>0</v>
      </c>
      <c r="BA364" s="20">
        <f>COUNTIF('CAL4'!A:A,Agenda2526!C365)</f>
        <v>0</v>
      </c>
      <c r="BB364" s="20">
        <f>COUNTIF('CAL5'!A:A,Agenda2526!C365)</f>
        <v>0</v>
      </c>
      <c r="BC364" s="20">
        <f>COUNTIF('CAL6'!A:A,Agenda2526!C365)</f>
        <v>0</v>
      </c>
      <c r="BD364" s="20">
        <f>COUNTIF('CAL7'!A:A,Agenda2526!C365)</f>
        <v>0</v>
      </c>
      <c r="BE364" s="20">
        <f>COUNTIF('CAL8'!A:A,Agenda2526!C365)</f>
        <v>0</v>
      </c>
    </row>
    <row r="365" spans="1:57" ht="15.75" customHeight="1">
      <c r="A365" s="20" t="str">
        <f ca="1">IF(CALC2223!AX365&gt;0,INDIRECT(ADDRESS(MATCH(Agenda2526!C366,'CAL1'!A:A,0),2,4,1,"CAL1")),"")</f>
        <v/>
      </c>
      <c r="B365" s="21">
        <f ca="1">IF(CALC2223!AX365&gt;0,INDIRECT(ADDRESS(MATCH(Agenda2526!C366,'CAL1'!A:A,0),3,4,1,"CAL1")),0)</f>
        <v>0</v>
      </c>
      <c r="C365" s="20" t="str">
        <f ca="1">IF(CALC2223!AX365&gt;1,INDIRECT(ADDRESS(MATCH(Agenda2526!C366,'CAL1'!A:A,0)+1,2,4,1,"CAL1")),"")</f>
        <v/>
      </c>
      <c r="D365" s="21">
        <f ca="1">IF(CALC2223!AX365&gt;1,INDIRECT(ADDRESS(MATCH(Agenda2526!C366,'CAL1'!A:A,0)+1,3,4,1,"CAL1")),0)</f>
        <v>0</v>
      </c>
      <c r="E365" s="20" t="str">
        <f ca="1">IF(CALC2223!AX365&gt;2,INDIRECT(ADDRESS(MATCH(Agenda2526!C366,'CAL1'!A:A,0)+2,2,4,1,"CAL1")),"")</f>
        <v/>
      </c>
      <c r="F365" s="21">
        <f ca="1">IF(CALC2223!AX365&gt;2,INDIRECT(ADDRESS(MATCH(Agenda2526!C366,'CAL1'!A:A,0)+2,3,4,1,"CAL1")),0)</f>
        <v>0</v>
      </c>
      <c r="G365" s="20" t="str">
        <f ca="1">IF(CALC2223!AY365&gt;0,INDIRECT(ADDRESS(MATCH(Agenda2526!C366,'CAL2'!A:A,0),2,4,1,"CAL2")),"")</f>
        <v/>
      </c>
      <c r="H365" s="21">
        <f ca="1">IF(CALC2223!AY365&gt;0,INDIRECT(ADDRESS(MATCH(Agenda2526!C366,'CAL2'!A:A,0),3,4,1,"CAL2")),0)</f>
        <v>0</v>
      </c>
      <c r="I365" s="20" t="str">
        <f ca="1">IF(CALC2223!AY365&gt;1,INDIRECT(ADDRESS(MATCH(Agenda2526!C366,'CAL2'!A:A,0)+1,2,4,1,"CAL2")),"")</f>
        <v/>
      </c>
      <c r="J365" s="21">
        <f ca="1">IF(CALC2223!AY365&gt;1,INDIRECT(ADDRESS(MATCH(Agenda2526!C366,'CAL2'!A:A,0)+1,3,4,1,"CAL2")),0)</f>
        <v>0</v>
      </c>
      <c r="K365" s="20" t="str">
        <f ca="1">IF(CALC2223!AY365&gt;2,INDIRECT(ADDRESS(MATCH(Agenda2526!C366,'CAL2'!A:A,0)+2,2,4,1,"CAL2")),"")</f>
        <v/>
      </c>
      <c r="L365" s="21">
        <f ca="1">IF(CALC2223!AY365&gt;2,INDIRECT(ADDRESS(MATCH(Agenda2526!C366,'CAL2'!A:A,0)+2,3,4,1,"CAL2")),0)</f>
        <v>0</v>
      </c>
      <c r="M365" s="20" t="str">
        <f ca="1">IF(CALC2223!AZ365&gt;0,INDIRECT(ADDRESS(MATCH(Agenda2526!C366,'CAL3'!A:A,0),2,4,1,"CAL3")),"")</f>
        <v/>
      </c>
      <c r="N365" s="21">
        <f ca="1">IF(CALC2223!AZ365&gt;0,INDIRECT(ADDRESS(MATCH(Agenda2526!C366,'CAL3'!A:A,0),3,4,1,"CAL3")),0)</f>
        <v>0</v>
      </c>
      <c r="O365" s="20" t="str">
        <f ca="1">IF(CALC2223!AZ365&gt;1,INDIRECT(ADDRESS(MATCH(Agenda2526!C366,'CAL3'!A:A,0)+1,2,4,1,"CAL3")),"")</f>
        <v/>
      </c>
      <c r="P365" s="21">
        <f ca="1">IF(CALC2223!AZ365&gt;1,INDIRECT(ADDRESS(MATCH(Agenda2526!C366,'CAL3'!A:A,0)+1,3,4,1,"CAL3")),0)</f>
        <v>0</v>
      </c>
      <c r="Q365" s="20" t="str">
        <f ca="1">IF(CALC2223!AZ365&gt;2,INDIRECT(ADDRESS(MATCH(Agenda2526!C366,'CAL3'!A:A,0)+2,2,4,1,"CAL3")),"")</f>
        <v/>
      </c>
      <c r="R365" s="21">
        <f ca="1">IF(CALC2223!AZ365&gt;2,INDIRECT(ADDRESS(MATCH(Agenda2526!C366,'CAL3'!A:A,0)+2,3,4,1,"CAL3")),0)</f>
        <v>0</v>
      </c>
      <c r="S365" s="20" t="str">
        <f ca="1">IF(CALC2223!BA365&gt;0,INDIRECT(ADDRESS(MATCH(Agenda2526!C366,'CAL4'!A:A,0),2,4,1,"CAL4")),"")</f>
        <v/>
      </c>
      <c r="T365" s="21">
        <f ca="1">IF(CALC2223!BA365&gt;0,INDIRECT(ADDRESS(MATCH(Agenda2526!C366,'CAL4'!A:A,0),3,4,1,"CAL4")),0)</f>
        <v>0</v>
      </c>
      <c r="U365" s="20" t="str">
        <f ca="1">IF(CALC2223!BA365&gt;1,INDIRECT(ADDRESS(MATCH(Agenda2526!C366,'CAL4'!A:A,0)+1,2,4,1,"CAL4")),"")</f>
        <v/>
      </c>
      <c r="V365" s="21">
        <f ca="1">IF(CALC2223!BA365&gt;1,INDIRECT(ADDRESS(MATCH(Agenda2526!C366,'CAL4'!A:A,0)+1,3,4,1,"CAL4")),0)</f>
        <v>0</v>
      </c>
      <c r="W365" s="20" t="str">
        <f ca="1">IF(CALC2223!BA365&gt;2,INDIRECT(ADDRESS(MATCH(Agenda2526!C366,'CAL4'!A:A,0)+2,2,4,1,"CAL4")),"")</f>
        <v/>
      </c>
      <c r="X365" s="21">
        <f ca="1">IF(CALC2223!BA365&gt;2,INDIRECT(ADDRESS(MATCH(Agenda2526!C366,'CAL4'!A:A,0)+2,3,4,1,"CAL4")),0)</f>
        <v>0</v>
      </c>
      <c r="Y365" s="20" t="str">
        <f ca="1">IF(CALC2223!BB365&gt;0,INDIRECT(ADDRESS(MATCH(Agenda2526!C366,'CAL5'!A:A,0),2,4,1,"CAL5")),"")</f>
        <v/>
      </c>
      <c r="Z365" s="21">
        <f ca="1">IF(CALC2223!BB365&gt;0,INDIRECT(ADDRESS(MATCH(Agenda2526!C366,'CAL5'!A:A,0),3,4,1,"CAL5")),0)</f>
        <v>0</v>
      </c>
      <c r="AA365" s="20" t="str">
        <f ca="1">IF(CALC2223!BB365&gt;1,INDIRECT(ADDRESS(MATCH(Agenda2526!C366,'CAL5'!A:A,0)+1,2,4,1,"CAL5")),"")</f>
        <v/>
      </c>
      <c r="AB365" s="21">
        <f ca="1">IF(CALC2223!BB365&gt;1,INDIRECT(ADDRESS(MATCH(Agenda2526!C366,'CAL5'!A:A,0)+1,3,4,1,"CAL5")),0)</f>
        <v>0</v>
      </c>
      <c r="AC365" s="20" t="str">
        <f ca="1">IF(CALC2223!BB365&gt;2,INDIRECT(ADDRESS(MATCH(Agenda2526!C366,'CAL5'!A:A,0)+2,2,4,1,"CAL5")),"")</f>
        <v/>
      </c>
      <c r="AD365" s="21">
        <f ca="1">IF(CALC2223!BB365&gt;2,INDIRECT(ADDRESS(MATCH(Agenda2526!C366,'CAL5'!A:A,0)+2,3,4,1,"CAL5")),0)</f>
        <v>0</v>
      </c>
      <c r="AE365" s="20" t="str">
        <f ca="1">IF(CALC2223!BC365&gt;0,INDIRECT(ADDRESS(MATCH(Agenda2526!C366,'CAL6'!A:A,0),2,4,1,"CAL6")),"")</f>
        <v/>
      </c>
      <c r="AF365" s="21">
        <f ca="1">IF(CALC2223!BC365&gt;0,INDIRECT(ADDRESS(MATCH(Agenda2526!C366,'CAL6'!A:A,0),3,4,1,"CAL6")),0)</f>
        <v>0</v>
      </c>
      <c r="AG365" s="20" t="str">
        <f ca="1">IF(CALC2223!BC365&gt;1,INDIRECT(ADDRESS(MATCH(Agenda2526!C366,'CAL6'!A:A,0)+1,2,4,1,"CAL6")),"")</f>
        <v/>
      </c>
      <c r="AH365" s="21">
        <f ca="1">IF(CALC2223!BC365&gt;1,INDIRECT(ADDRESS(MATCH(Agenda2526!C366,'CAL6'!A:A,0)+1,3,4,1,"CAL6")),0)</f>
        <v>0</v>
      </c>
      <c r="AI365" s="20" t="str">
        <f ca="1">IF(CALC2223!BC365&gt;2,INDIRECT(ADDRESS(MATCH(Agenda2526!C366,'CAL6'!A:A,0)+2,2,4,1,"CAL6")),"")</f>
        <v/>
      </c>
      <c r="AJ365" s="21">
        <f ca="1">IF(CALC2223!BC365&gt;2,INDIRECT(ADDRESS(MATCH(Agenda2526!C366,'CAL6'!A:A,0)+2,3,4,1,"CAL6")),0)</f>
        <v>0</v>
      </c>
      <c r="AK365" s="20" t="str">
        <f ca="1">IF(CALC2223!BD365&gt;0,INDIRECT(ADDRESS(MATCH(Agenda2526!C366,'CAL7'!A:A,0),2,4,1,"CAL7")),"")</f>
        <v/>
      </c>
      <c r="AL365" s="21">
        <f ca="1">IF(CALC2223!BD365&gt;0,INDIRECT(ADDRESS(MATCH(Agenda2526!C366,'CAL7'!A:A,0),3,4,1,"CAL7")),0)</f>
        <v>0</v>
      </c>
      <c r="AM365" s="20" t="str">
        <f ca="1">IF(CALC2223!BD365&gt;1,INDIRECT(ADDRESS(MATCH(Agenda2526!C366,'CAL7'!A:A,0)+1,2,4,1,"CAL7")),"")</f>
        <v/>
      </c>
      <c r="AN365" s="21">
        <f ca="1">IF(CALC2223!BD365&gt;1,INDIRECT(ADDRESS(MATCH(Agenda2526!C366,'CAL7'!A:A,0)+1,3,4,1,"CAL7")),0)</f>
        <v>0</v>
      </c>
      <c r="AO365" s="20" t="str">
        <f ca="1">IF(CALC2223!BD365&gt;2,INDIRECT(ADDRESS(MATCH(Agenda2526!C366,'CAL7'!A:A,0)+2,2,4,1,"CAL7")),"")</f>
        <v/>
      </c>
      <c r="AP365" s="21">
        <f ca="1">IF(CALC2223!BD365&gt;2,INDIRECT(ADDRESS(MATCH(Agenda2526!C366,'CAL7'!A:A,0)+2,3,4,1,"CAL7")),0)</f>
        <v>0</v>
      </c>
      <c r="AQ365" s="20" t="str">
        <f ca="1">IF(CALC2223!BE365&gt;0,INDIRECT(ADDRESS(MATCH(Agenda2526!C366,'CAL8'!A:A,0),2,4,1,"CAL8")),"")</f>
        <v/>
      </c>
      <c r="AR365" s="21">
        <f ca="1">IF(CALC2223!BE365&gt;0,INDIRECT(ADDRESS(MATCH(Agenda2526!C366,'CAL8'!A:A,0),3,4,1,"CAL8")),0)</f>
        <v>0</v>
      </c>
      <c r="AS365" s="20" t="str">
        <f ca="1">IF(CALC2223!BE365&gt;1,INDIRECT(ADDRESS(MATCH(Agenda2526!C366,'CAL8'!A:A,0)+1,2,4,1,"CAL8")),"")</f>
        <v/>
      </c>
      <c r="AT365" s="21">
        <f ca="1">IF(CALC2223!BE365&gt;1,INDIRECT(ADDRESS(MATCH(Agenda2526!C366,'CAL8'!A:A,0)+1,3,4,1,"CAL8")),0)</f>
        <v>0</v>
      </c>
      <c r="AU365" s="20" t="str">
        <f ca="1">IF(CALC2223!BE365&gt;2,INDIRECT(ADDRESS(MATCH(Agenda2526!C366,'CAL8'!A:A,0)+2,2,4,1,"CAL8")),"")</f>
        <v/>
      </c>
      <c r="AV365" s="21">
        <f ca="1">IF(CALC2223!BE365&gt;2,INDIRECT(ADDRESS(MATCH(Agenda2526!C366,'CAL8'!A:A,0)+2,3,4,1,"CAL8")),0)</f>
        <v>0</v>
      </c>
      <c r="AW365" s="106"/>
      <c r="AX365" s="20">
        <f>COUNTIF('CAL1'!A:A,Agenda2526!C366)</f>
        <v>0</v>
      </c>
      <c r="AY365" s="20">
        <f>COUNTIF('CAL2'!A:A,Agenda2526!C366)</f>
        <v>0</v>
      </c>
      <c r="AZ365" s="20">
        <f>COUNTIF('CAL3'!A:A,Agenda2526!C366)</f>
        <v>0</v>
      </c>
      <c r="BA365" s="20">
        <f>COUNTIF('CAL4'!A:A,Agenda2526!C366)</f>
        <v>0</v>
      </c>
      <c r="BB365" s="20">
        <f>COUNTIF('CAL5'!A:A,Agenda2526!C366)</f>
        <v>0</v>
      </c>
      <c r="BC365" s="20">
        <f>COUNTIF('CAL6'!A:A,Agenda2526!C366)</f>
        <v>0</v>
      </c>
      <c r="BD365" s="20">
        <f>COUNTIF('CAL7'!A:A,Agenda2526!C366)</f>
        <v>0</v>
      </c>
      <c r="BE365" s="20">
        <f>COUNTIF('CAL8'!A:A,Agenda2526!C366)</f>
        <v>0</v>
      </c>
    </row>
    <row r="366" spans="1:57" ht="15.75" customHeight="1">
      <c r="A366" s="20" t="str">
        <f ca="1">IF(CALC2223!AX366&gt;0,INDIRECT(ADDRESS(MATCH(Agenda2526!C367,'CAL1'!A:A,0),2,4,1,"CAL1")),"")</f>
        <v/>
      </c>
      <c r="B366" s="21">
        <f ca="1">IF(CALC2223!AX366&gt;0,INDIRECT(ADDRESS(MATCH(Agenda2526!C367,'CAL1'!A:A,0),3,4,1,"CAL1")),0)</f>
        <v>0</v>
      </c>
      <c r="C366" s="20" t="str">
        <f ca="1">IF(CALC2223!AX366&gt;1,INDIRECT(ADDRESS(MATCH(Agenda2526!C367,'CAL1'!A:A,0)+1,2,4,1,"CAL1")),"")</f>
        <v/>
      </c>
      <c r="D366" s="21">
        <f ca="1">IF(CALC2223!AX366&gt;1,INDIRECT(ADDRESS(MATCH(Agenda2526!C367,'CAL1'!A:A,0)+1,3,4,1,"CAL1")),0)</f>
        <v>0</v>
      </c>
      <c r="E366" s="20" t="str">
        <f ca="1">IF(CALC2223!AX366&gt;2,INDIRECT(ADDRESS(MATCH(Agenda2526!C367,'CAL1'!A:A,0)+2,2,4,1,"CAL1")),"")</f>
        <v/>
      </c>
      <c r="F366" s="21">
        <f ca="1">IF(CALC2223!AX366&gt;2,INDIRECT(ADDRESS(MATCH(Agenda2526!C367,'CAL1'!A:A,0)+2,3,4,1,"CAL1")),0)</f>
        <v>0</v>
      </c>
      <c r="G366" s="20" t="str">
        <f ca="1">IF(CALC2223!AY366&gt;0,INDIRECT(ADDRESS(MATCH(Agenda2526!C367,'CAL2'!A:A,0),2,4,1,"CAL2")),"")</f>
        <v/>
      </c>
      <c r="H366" s="21">
        <f ca="1">IF(CALC2223!AY366&gt;0,INDIRECT(ADDRESS(MATCH(Agenda2526!C367,'CAL2'!A:A,0),3,4,1,"CAL2")),0)</f>
        <v>0</v>
      </c>
      <c r="I366" s="20" t="str">
        <f ca="1">IF(CALC2223!AY366&gt;1,INDIRECT(ADDRESS(MATCH(Agenda2526!C367,'CAL2'!A:A,0)+1,2,4,1,"CAL2")),"")</f>
        <v/>
      </c>
      <c r="J366" s="21">
        <f ca="1">IF(CALC2223!AY366&gt;1,INDIRECT(ADDRESS(MATCH(Agenda2526!C367,'CAL2'!A:A,0)+1,3,4,1,"CAL2")),0)</f>
        <v>0</v>
      </c>
      <c r="K366" s="20" t="str">
        <f ca="1">IF(CALC2223!AY366&gt;2,INDIRECT(ADDRESS(MATCH(Agenda2526!C367,'CAL2'!A:A,0)+2,2,4,1,"CAL2")),"")</f>
        <v/>
      </c>
      <c r="L366" s="21">
        <f ca="1">IF(CALC2223!AY366&gt;2,INDIRECT(ADDRESS(MATCH(Agenda2526!C367,'CAL2'!A:A,0)+2,3,4,1,"CAL2")),0)</f>
        <v>0</v>
      </c>
      <c r="M366" s="20" t="str">
        <f ca="1">IF(CALC2223!AZ366&gt;0,INDIRECT(ADDRESS(MATCH(Agenda2526!C367,'CAL3'!A:A,0),2,4,1,"CAL3")),"")</f>
        <v/>
      </c>
      <c r="N366" s="21">
        <f ca="1">IF(CALC2223!AZ366&gt;0,INDIRECT(ADDRESS(MATCH(Agenda2526!C367,'CAL3'!A:A,0),3,4,1,"CAL3")),0)</f>
        <v>0</v>
      </c>
      <c r="O366" s="20" t="str">
        <f ca="1">IF(CALC2223!AZ366&gt;1,INDIRECT(ADDRESS(MATCH(Agenda2526!C367,'CAL3'!A:A,0)+1,2,4,1,"CAL3")),"")</f>
        <v/>
      </c>
      <c r="P366" s="21">
        <f ca="1">IF(CALC2223!AZ366&gt;1,INDIRECT(ADDRESS(MATCH(Agenda2526!C367,'CAL3'!A:A,0)+1,3,4,1,"CAL3")),0)</f>
        <v>0</v>
      </c>
      <c r="Q366" s="20" t="str">
        <f ca="1">IF(CALC2223!AZ366&gt;2,INDIRECT(ADDRESS(MATCH(Agenda2526!C367,'CAL3'!A:A,0)+2,2,4,1,"CAL3")),"")</f>
        <v/>
      </c>
      <c r="R366" s="21">
        <f ca="1">IF(CALC2223!AZ366&gt;2,INDIRECT(ADDRESS(MATCH(Agenda2526!C367,'CAL3'!A:A,0)+2,3,4,1,"CAL3")),0)</f>
        <v>0</v>
      </c>
      <c r="S366" s="20" t="str">
        <f ca="1">IF(CALC2223!BA366&gt;0,INDIRECT(ADDRESS(MATCH(Agenda2526!C367,'CAL4'!A:A,0),2,4,1,"CAL4")),"")</f>
        <v/>
      </c>
      <c r="T366" s="21">
        <f ca="1">IF(CALC2223!BA366&gt;0,INDIRECT(ADDRESS(MATCH(Agenda2526!C367,'CAL4'!A:A,0),3,4,1,"CAL4")),0)</f>
        <v>0</v>
      </c>
      <c r="U366" s="20" t="str">
        <f ca="1">IF(CALC2223!BA366&gt;1,INDIRECT(ADDRESS(MATCH(Agenda2526!C367,'CAL4'!A:A,0)+1,2,4,1,"CAL4")),"")</f>
        <v/>
      </c>
      <c r="V366" s="21">
        <f ca="1">IF(CALC2223!BA366&gt;1,INDIRECT(ADDRESS(MATCH(Agenda2526!C367,'CAL4'!A:A,0)+1,3,4,1,"CAL4")),0)</f>
        <v>0</v>
      </c>
      <c r="W366" s="20" t="str">
        <f ca="1">IF(CALC2223!BA366&gt;2,INDIRECT(ADDRESS(MATCH(Agenda2526!C367,'CAL4'!A:A,0)+2,2,4,1,"CAL4")),"")</f>
        <v/>
      </c>
      <c r="X366" s="21">
        <f ca="1">IF(CALC2223!BA366&gt;2,INDIRECT(ADDRESS(MATCH(Agenda2526!C367,'CAL4'!A:A,0)+2,3,4,1,"CAL4")),0)</f>
        <v>0</v>
      </c>
      <c r="Y366" s="20" t="str">
        <f ca="1">IF(CALC2223!BB366&gt;0,INDIRECT(ADDRESS(MATCH(Agenda2526!C367,'CAL5'!A:A,0),2,4,1,"CAL5")),"")</f>
        <v/>
      </c>
      <c r="Z366" s="21">
        <f ca="1">IF(CALC2223!BB366&gt;0,INDIRECT(ADDRESS(MATCH(Agenda2526!C367,'CAL5'!A:A,0),3,4,1,"CAL5")),0)</f>
        <v>0</v>
      </c>
      <c r="AA366" s="20" t="str">
        <f ca="1">IF(CALC2223!BB366&gt;1,INDIRECT(ADDRESS(MATCH(Agenda2526!C367,'CAL5'!A:A,0)+1,2,4,1,"CAL5")),"")</f>
        <v/>
      </c>
      <c r="AB366" s="21">
        <f ca="1">IF(CALC2223!BB366&gt;1,INDIRECT(ADDRESS(MATCH(Agenda2526!C367,'CAL5'!A:A,0)+1,3,4,1,"CAL5")),0)</f>
        <v>0</v>
      </c>
      <c r="AC366" s="20" t="str">
        <f ca="1">IF(CALC2223!BB366&gt;2,INDIRECT(ADDRESS(MATCH(Agenda2526!C367,'CAL5'!A:A,0)+2,2,4,1,"CAL5")),"")</f>
        <v/>
      </c>
      <c r="AD366" s="21">
        <f ca="1">IF(CALC2223!BB366&gt;2,INDIRECT(ADDRESS(MATCH(Agenda2526!C367,'CAL5'!A:A,0)+2,3,4,1,"CAL5")),0)</f>
        <v>0</v>
      </c>
      <c r="AE366" s="20" t="str">
        <f ca="1">IF(CALC2223!BC366&gt;0,INDIRECT(ADDRESS(MATCH(Agenda2526!C367,'CAL6'!A:A,0),2,4,1,"CAL6")),"")</f>
        <v/>
      </c>
      <c r="AF366" s="21">
        <f ca="1">IF(CALC2223!BC366&gt;0,INDIRECT(ADDRESS(MATCH(Agenda2526!C367,'CAL6'!A:A,0),3,4,1,"CAL6")),0)</f>
        <v>0</v>
      </c>
      <c r="AG366" s="20" t="str">
        <f ca="1">IF(CALC2223!BC366&gt;1,INDIRECT(ADDRESS(MATCH(Agenda2526!C367,'CAL6'!A:A,0)+1,2,4,1,"CAL6")),"")</f>
        <v/>
      </c>
      <c r="AH366" s="21">
        <f ca="1">IF(CALC2223!BC366&gt;1,INDIRECT(ADDRESS(MATCH(Agenda2526!C367,'CAL6'!A:A,0)+1,3,4,1,"CAL6")),0)</f>
        <v>0</v>
      </c>
      <c r="AI366" s="20" t="str">
        <f ca="1">IF(CALC2223!BC366&gt;2,INDIRECT(ADDRESS(MATCH(Agenda2526!C367,'CAL6'!A:A,0)+2,2,4,1,"CAL6")),"")</f>
        <v/>
      </c>
      <c r="AJ366" s="21">
        <f ca="1">IF(CALC2223!BC366&gt;2,INDIRECT(ADDRESS(MATCH(Agenda2526!C367,'CAL6'!A:A,0)+2,3,4,1,"CAL6")),0)</f>
        <v>0</v>
      </c>
      <c r="AK366" s="20" t="str">
        <f ca="1">IF(CALC2223!BD366&gt;0,INDIRECT(ADDRESS(MATCH(Agenda2526!C367,'CAL7'!A:A,0),2,4,1,"CAL7")),"")</f>
        <v/>
      </c>
      <c r="AL366" s="21">
        <f ca="1">IF(CALC2223!BD366&gt;0,INDIRECT(ADDRESS(MATCH(Agenda2526!C367,'CAL7'!A:A,0),3,4,1,"CAL7")),0)</f>
        <v>0</v>
      </c>
      <c r="AM366" s="20" t="str">
        <f ca="1">IF(CALC2223!BD366&gt;1,INDIRECT(ADDRESS(MATCH(Agenda2526!C367,'CAL7'!A:A,0)+1,2,4,1,"CAL7")),"")</f>
        <v/>
      </c>
      <c r="AN366" s="21">
        <f ca="1">IF(CALC2223!BD366&gt;1,INDIRECT(ADDRESS(MATCH(Agenda2526!C367,'CAL7'!A:A,0)+1,3,4,1,"CAL7")),0)</f>
        <v>0</v>
      </c>
      <c r="AO366" s="20" t="str">
        <f ca="1">IF(CALC2223!BD366&gt;2,INDIRECT(ADDRESS(MATCH(Agenda2526!C367,'CAL7'!A:A,0)+2,2,4,1,"CAL7")),"")</f>
        <v/>
      </c>
      <c r="AP366" s="21">
        <f ca="1">IF(CALC2223!BD366&gt;2,INDIRECT(ADDRESS(MATCH(Agenda2526!C367,'CAL7'!A:A,0)+2,3,4,1,"CAL7")),0)</f>
        <v>0</v>
      </c>
      <c r="AQ366" s="20" t="str">
        <f ca="1">IF(CALC2223!BE366&gt;0,INDIRECT(ADDRESS(MATCH(Agenda2526!C367,'CAL8'!A:A,0),2,4,1,"CAL8")),"")</f>
        <v/>
      </c>
      <c r="AR366" s="21">
        <f ca="1">IF(CALC2223!BE366&gt;0,INDIRECT(ADDRESS(MATCH(Agenda2526!C367,'CAL8'!A:A,0),3,4,1,"CAL8")),0)</f>
        <v>0</v>
      </c>
      <c r="AS366" s="20" t="str">
        <f ca="1">IF(CALC2223!BE366&gt;1,INDIRECT(ADDRESS(MATCH(Agenda2526!C367,'CAL8'!A:A,0)+1,2,4,1,"CAL8")),"")</f>
        <v/>
      </c>
      <c r="AT366" s="21">
        <f ca="1">IF(CALC2223!BE366&gt;1,INDIRECT(ADDRESS(MATCH(Agenda2526!C367,'CAL8'!A:A,0)+1,3,4,1,"CAL8")),0)</f>
        <v>0</v>
      </c>
      <c r="AU366" s="20" t="str">
        <f ca="1">IF(CALC2223!BE366&gt;2,INDIRECT(ADDRESS(MATCH(Agenda2526!C367,'CAL8'!A:A,0)+2,2,4,1,"CAL8")),"")</f>
        <v/>
      </c>
      <c r="AV366" s="21">
        <f ca="1">IF(CALC2223!BE366&gt;2,INDIRECT(ADDRESS(MATCH(Agenda2526!C367,'CAL8'!A:A,0)+2,3,4,1,"CAL8")),0)</f>
        <v>0</v>
      </c>
      <c r="AW366" s="94" t="s">
        <v>30</v>
      </c>
      <c r="AX366" s="20">
        <f>COUNTIF('CAL1'!A:A,Agenda2526!C367)</f>
        <v>0</v>
      </c>
      <c r="AY366" s="20">
        <f>COUNTIF('CAL2'!A:A,Agenda2526!C367)</f>
        <v>0</v>
      </c>
      <c r="AZ366" s="20">
        <f>COUNTIF('CAL3'!A:A,Agenda2526!C367)</f>
        <v>0</v>
      </c>
      <c r="BA366" s="20">
        <f>COUNTIF('CAL4'!A:A,Agenda2526!C367)</f>
        <v>0</v>
      </c>
      <c r="BB366" s="20">
        <f>COUNTIF('CAL5'!A:A,Agenda2526!C367)</f>
        <v>0</v>
      </c>
      <c r="BC366" s="20">
        <f>COUNTIF('CAL6'!A:A,Agenda2526!C367)</f>
        <v>0</v>
      </c>
      <c r="BD366" s="20">
        <f>COUNTIF('CAL7'!A:A,Agenda2526!C367)</f>
        <v>0</v>
      </c>
      <c r="BE366" s="20">
        <f>COUNTIF('CAL8'!A:A,Agenda2526!C367)</f>
        <v>0</v>
      </c>
    </row>
    <row r="367" spans="1:57" ht="15.75" customHeight="1">
      <c r="A367" s="20" t="str">
        <f ca="1">IF(CALC2223!AX367&gt;0,INDIRECT(ADDRESS(MATCH(Agenda2526!C368,'CAL1'!A:A,0),2,4,1,"CAL1")),"")</f>
        <v/>
      </c>
      <c r="B367" s="21">
        <f ca="1">IF(CALC2223!AX367&gt;0,INDIRECT(ADDRESS(MATCH(Agenda2526!C368,'CAL1'!A:A,0),3,4,1,"CAL1")),0)</f>
        <v>0</v>
      </c>
      <c r="C367" s="20" t="str">
        <f ca="1">IF(CALC2223!AX367&gt;1,INDIRECT(ADDRESS(MATCH(Agenda2526!C368,'CAL1'!A:A,0)+1,2,4,1,"CAL1")),"")</f>
        <v/>
      </c>
      <c r="D367" s="21">
        <f ca="1">IF(CALC2223!AX367&gt;1,INDIRECT(ADDRESS(MATCH(Agenda2526!C368,'CAL1'!A:A,0)+1,3,4,1,"CAL1")),0)</f>
        <v>0</v>
      </c>
      <c r="E367" s="20" t="str">
        <f ca="1">IF(CALC2223!AX367&gt;2,INDIRECT(ADDRESS(MATCH(Agenda2526!C368,'CAL1'!A:A,0)+2,2,4,1,"CAL1")),"")</f>
        <v/>
      </c>
      <c r="F367" s="21">
        <f ca="1">IF(CALC2223!AX367&gt;2,INDIRECT(ADDRESS(MATCH(Agenda2526!C368,'CAL1'!A:A,0)+2,3,4,1,"CAL1")),0)</f>
        <v>0</v>
      </c>
      <c r="G367" s="20" t="str">
        <f ca="1">IF(CALC2223!AY367&gt;0,INDIRECT(ADDRESS(MATCH(Agenda2526!C368,'CAL2'!A:A,0),2,4,1,"CAL2")),"")</f>
        <v/>
      </c>
      <c r="H367" s="21">
        <f ca="1">IF(CALC2223!AY367&gt;0,INDIRECT(ADDRESS(MATCH(Agenda2526!C368,'CAL2'!A:A,0),3,4,1,"CAL2")),0)</f>
        <v>0</v>
      </c>
      <c r="I367" s="20" t="str">
        <f ca="1">IF(CALC2223!AY367&gt;1,INDIRECT(ADDRESS(MATCH(Agenda2526!C368,'CAL2'!A:A,0)+1,2,4,1,"CAL2")),"")</f>
        <v/>
      </c>
      <c r="J367" s="21">
        <f ca="1">IF(CALC2223!AY367&gt;1,INDIRECT(ADDRESS(MATCH(Agenda2526!C368,'CAL2'!A:A,0)+1,3,4,1,"CAL2")),0)</f>
        <v>0</v>
      </c>
      <c r="K367" s="20" t="str">
        <f ca="1">IF(CALC2223!AY367&gt;2,INDIRECT(ADDRESS(MATCH(Agenda2526!C368,'CAL2'!A:A,0)+2,2,4,1,"CAL2")),"")</f>
        <v/>
      </c>
      <c r="L367" s="21">
        <f ca="1">IF(CALC2223!AY367&gt;2,INDIRECT(ADDRESS(MATCH(Agenda2526!C368,'CAL2'!A:A,0)+2,3,4,1,"CAL2")),0)</f>
        <v>0</v>
      </c>
      <c r="M367" s="20" t="str">
        <f ca="1">IF(CALC2223!AZ367&gt;0,INDIRECT(ADDRESS(MATCH(Agenda2526!C368,'CAL3'!A:A,0),2,4,1,"CAL3")),"")</f>
        <v/>
      </c>
      <c r="N367" s="21">
        <f ca="1">IF(CALC2223!AZ367&gt;0,INDIRECT(ADDRESS(MATCH(Agenda2526!C368,'CAL3'!A:A,0),3,4,1,"CAL3")),0)</f>
        <v>0</v>
      </c>
      <c r="O367" s="20" t="str">
        <f ca="1">IF(CALC2223!AZ367&gt;1,INDIRECT(ADDRESS(MATCH(Agenda2526!C368,'CAL3'!A:A,0)+1,2,4,1,"CAL3")),"")</f>
        <v/>
      </c>
      <c r="P367" s="21">
        <f ca="1">IF(CALC2223!AZ367&gt;1,INDIRECT(ADDRESS(MATCH(Agenda2526!C368,'CAL3'!A:A,0)+1,3,4,1,"CAL3")),0)</f>
        <v>0</v>
      </c>
      <c r="Q367" s="20" t="str">
        <f ca="1">IF(CALC2223!AZ367&gt;2,INDIRECT(ADDRESS(MATCH(Agenda2526!C368,'CAL3'!A:A,0)+2,2,4,1,"CAL3")),"")</f>
        <v/>
      </c>
      <c r="R367" s="21">
        <f ca="1">IF(CALC2223!AZ367&gt;2,INDIRECT(ADDRESS(MATCH(Agenda2526!C368,'CAL3'!A:A,0)+2,3,4,1,"CAL3")),0)</f>
        <v>0</v>
      </c>
      <c r="S367" s="20" t="str">
        <f ca="1">IF(CALC2223!BA367&gt;0,INDIRECT(ADDRESS(MATCH(Agenda2526!C368,'CAL4'!A:A,0),2,4,1,"CAL4")),"")</f>
        <v/>
      </c>
      <c r="T367" s="21">
        <f ca="1">IF(CALC2223!BA367&gt;0,INDIRECT(ADDRESS(MATCH(Agenda2526!C368,'CAL4'!A:A,0),3,4,1,"CAL4")),0)</f>
        <v>0</v>
      </c>
      <c r="U367" s="20" t="str">
        <f ca="1">IF(CALC2223!BA367&gt;1,INDIRECT(ADDRESS(MATCH(Agenda2526!C368,'CAL4'!A:A,0)+1,2,4,1,"CAL4")),"")</f>
        <v/>
      </c>
      <c r="V367" s="21">
        <f ca="1">IF(CALC2223!BA367&gt;1,INDIRECT(ADDRESS(MATCH(Agenda2526!C368,'CAL4'!A:A,0)+1,3,4,1,"CAL4")),0)</f>
        <v>0</v>
      </c>
      <c r="W367" s="20" t="str">
        <f ca="1">IF(CALC2223!BA367&gt;2,INDIRECT(ADDRESS(MATCH(Agenda2526!C368,'CAL4'!A:A,0)+2,2,4,1,"CAL4")),"")</f>
        <v/>
      </c>
      <c r="X367" s="21">
        <f ca="1">IF(CALC2223!BA367&gt;2,INDIRECT(ADDRESS(MATCH(Agenda2526!C368,'CAL4'!A:A,0)+2,3,4,1,"CAL4")),0)</f>
        <v>0</v>
      </c>
      <c r="Y367" s="20" t="str">
        <f ca="1">IF(CALC2223!BB367&gt;0,INDIRECT(ADDRESS(MATCH(Agenda2526!C368,'CAL5'!A:A,0),2,4,1,"CAL5")),"")</f>
        <v/>
      </c>
      <c r="Z367" s="21">
        <f ca="1">IF(CALC2223!BB367&gt;0,INDIRECT(ADDRESS(MATCH(Agenda2526!C368,'CAL5'!A:A,0),3,4,1,"CAL5")),0)</f>
        <v>0</v>
      </c>
      <c r="AA367" s="20" t="str">
        <f ca="1">IF(CALC2223!BB367&gt;1,INDIRECT(ADDRESS(MATCH(Agenda2526!C368,'CAL5'!A:A,0)+1,2,4,1,"CAL5")),"")</f>
        <v/>
      </c>
      <c r="AB367" s="21">
        <f ca="1">IF(CALC2223!BB367&gt;1,INDIRECT(ADDRESS(MATCH(Agenda2526!C368,'CAL5'!A:A,0)+1,3,4,1,"CAL5")),0)</f>
        <v>0</v>
      </c>
      <c r="AC367" s="20" t="str">
        <f ca="1">IF(CALC2223!BB367&gt;2,INDIRECT(ADDRESS(MATCH(Agenda2526!C368,'CAL5'!A:A,0)+2,2,4,1,"CAL5")),"")</f>
        <v/>
      </c>
      <c r="AD367" s="21">
        <f ca="1">IF(CALC2223!BB367&gt;2,INDIRECT(ADDRESS(MATCH(Agenda2526!C368,'CAL5'!A:A,0)+2,3,4,1,"CAL5")),0)</f>
        <v>0</v>
      </c>
      <c r="AE367" s="20" t="str">
        <f ca="1">IF(CALC2223!BC367&gt;0,INDIRECT(ADDRESS(MATCH(Agenda2526!C368,'CAL6'!A:A,0),2,4,1,"CAL6")),"")</f>
        <v/>
      </c>
      <c r="AF367" s="21">
        <f ca="1">IF(CALC2223!BC367&gt;0,INDIRECT(ADDRESS(MATCH(Agenda2526!C368,'CAL6'!A:A,0),3,4,1,"CAL6")),0)</f>
        <v>0</v>
      </c>
      <c r="AG367" s="20" t="str">
        <f ca="1">IF(CALC2223!BC367&gt;1,INDIRECT(ADDRESS(MATCH(Agenda2526!C368,'CAL6'!A:A,0)+1,2,4,1,"CAL6")),"")</f>
        <v/>
      </c>
      <c r="AH367" s="21">
        <f ca="1">IF(CALC2223!BC367&gt;1,INDIRECT(ADDRESS(MATCH(Agenda2526!C368,'CAL6'!A:A,0)+1,3,4,1,"CAL6")),0)</f>
        <v>0</v>
      </c>
      <c r="AI367" s="20" t="str">
        <f ca="1">IF(CALC2223!BC367&gt;2,INDIRECT(ADDRESS(MATCH(Agenda2526!C368,'CAL6'!A:A,0)+2,2,4,1,"CAL6")),"")</f>
        <v/>
      </c>
      <c r="AJ367" s="21">
        <f ca="1">IF(CALC2223!BC367&gt;2,INDIRECT(ADDRESS(MATCH(Agenda2526!C368,'CAL6'!A:A,0)+2,3,4,1,"CAL6")),0)</f>
        <v>0</v>
      </c>
      <c r="AK367" s="20" t="str">
        <f ca="1">IF(CALC2223!BD367&gt;0,INDIRECT(ADDRESS(MATCH(Agenda2526!C368,'CAL7'!A:A,0),2,4,1,"CAL7")),"")</f>
        <v/>
      </c>
      <c r="AL367" s="21">
        <f ca="1">IF(CALC2223!BD367&gt;0,INDIRECT(ADDRESS(MATCH(Agenda2526!C368,'CAL7'!A:A,0),3,4,1,"CAL7")),0)</f>
        <v>0</v>
      </c>
      <c r="AM367" s="20" t="str">
        <f ca="1">IF(CALC2223!BD367&gt;1,INDIRECT(ADDRESS(MATCH(Agenda2526!C368,'CAL7'!A:A,0)+1,2,4,1,"CAL7")),"")</f>
        <v/>
      </c>
      <c r="AN367" s="21">
        <f ca="1">IF(CALC2223!BD367&gt;1,INDIRECT(ADDRESS(MATCH(Agenda2526!C368,'CAL7'!A:A,0)+1,3,4,1,"CAL7")),0)</f>
        <v>0</v>
      </c>
      <c r="AO367" s="20" t="str">
        <f ca="1">IF(CALC2223!BD367&gt;2,INDIRECT(ADDRESS(MATCH(Agenda2526!C368,'CAL7'!A:A,0)+2,2,4,1,"CAL7")),"")</f>
        <v/>
      </c>
      <c r="AP367" s="21">
        <f ca="1">IF(CALC2223!BD367&gt;2,INDIRECT(ADDRESS(MATCH(Agenda2526!C368,'CAL7'!A:A,0)+2,3,4,1,"CAL7")),0)</f>
        <v>0</v>
      </c>
      <c r="AQ367" s="20" t="str">
        <f ca="1">IF(CALC2223!BE367&gt;0,INDIRECT(ADDRESS(MATCH(Agenda2526!C368,'CAL8'!A:A,0),2,4,1,"CAL8")),"")</f>
        <v/>
      </c>
      <c r="AR367" s="21">
        <f ca="1">IF(CALC2223!BE367&gt;0,INDIRECT(ADDRESS(MATCH(Agenda2526!C368,'CAL8'!A:A,0),3,4,1,"CAL8")),0)</f>
        <v>0</v>
      </c>
      <c r="AS367" s="20" t="str">
        <f ca="1">IF(CALC2223!BE367&gt;1,INDIRECT(ADDRESS(MATCH(Agenda2526!C368,'CAL8'!A:A,0)+1,2,4,1,"CAL8")),"")</f>
        <v/>
      </c>
      <c r="AT367" s="21">
        <f ca="1">IF(CALC2223!BE367&gt;1,INDIRECT(ADDRESS(MATCH(Agenda2526!C368,'CAL8'!A:A,0)+1,3,4,1,"CAL8")),0)</f>
        <v>0</v>
      </c>
      <c r="AU367" s="20" t="str">
        <f ca="1">IF(CALC2223!BE367&gt;2,INDIRECT(ADDRESS(MATCH(Agenda2526!C368,'CAL8'!A:A,0)+2,2,4,1,"CAL8")),"")</f>
        <v/>
      </c>
      <c r="AV367" s="21">
        <f ca="1">IF(CALC2223!BE367&gt;2,INDIRECT(ADDRESS(MATCH(Agenda2526!C368,'CAL8'!A:A,0)+2,3,4,1,"CAL8")),0)</f>
        <v>0</v>
      </c>
      <c r="AW367" s="94" t="s">
        <v>30</v>
      </c>
      <c r="AX367" s="20">
        <f>COUNTIF('CAL1'!A:A,Agenda2526!C368)</f>
        <v>0</v>
      </c>
      <c r="AY367" s="20">
        <f>COUNTIF('CAL2'!A:A,Agenda2526!C368)</f>
        <v>0</v>
      </c>
      <c r="AZ367" s="20">
        <f>COUNTIF('CAL3'!A:A,Agenda2526!C368)</f>
        <v>0</v>
      </c>
      <c r="BA367" s="20">
        <f>COUNTIF('CAL4'!A:A,Agenda2526!C368)</f>
        <v>0</v>
      </c>
      <c r="BB367" s="20">
        <f>COUNTIF('CAL5'!A:A,Agenda2526!C368)</f>
        <v>0</v>
      </c>
      <c r="BC367" s="20">
        <f>COUNTIF('CAL6'!A:A,Agenda2526!C368)</f>
        <v>0</v>
      </c>
      <c r="BD367" s="20">
        <f>COUNTIF('CAL7'!A:A,Agenda2526!C368)</f>
        <v>0</v>
      </c>
      <c r="BE367" s="20">
        <f>COUNTIF('CAL8'!A:A,Agenda2526!C368)</f>
        <v>0</v>
      </c>
    </row>
    <row r="368" spans="1:57" ht="15.75" customHeight="1">
      <c r="A368" s="20" t="str">
        <f ca="1">IF(CALC2223!AX368&gt;0,INDIRECT(ADDRESS(MATCH(Agenda2526!C369,'CAL1'!A:A,0),2,4,1,"CAL1")),"")</f>
        <v/>
      </c>
      <c r="B368" s="21">
        <f ca="1">IF(CALC2223!AX368&gt;0,INDIRECT(ADDRESS(MATCH(Agenda2526!C369,'CAL1'!A:A,0),3,4,1,"CAL1")),0)</f>
        <v>0</v>
      </c>
      <c r="C368" s="20" t="str">
        <f ca="1">IF(CALC2223!AX368&gt;1,INDIRECT(ADDRESS(MATCH(Agenda2526!C369,'CAL1'!A:A,0)+1,2,4,1,"CAL1")),"")</f>
        <v/>
      </c>
      <c r="D368" s="21">
        <f ca="1">IF(CALC2223!AX368&gt;1,INDIRECT(ADDRESS(MATCH(Agenda2526!C369,'CAL1'!A:A,0)+1,3,4,1,"CAL1")),0)</f>
        <v>0</v>
      </c>
      <c r="E368" s="20" t="str">
        <f ca="1">IF(CALC2223!AX368&gt;2,INDIRECT(ADDRESS(MATCH(Agenda2526!C369,'CAL1'!A:A,0)+2,2,4,1,"CAL1")),"")</f>
        <v/>
      </c>
      <c r="F368" s="21">
        <f ca="1">IF(CALC2223!AX368&gt;2,INDIRECT(ADDRESS(MATCH(Agenda2526!C369,'CAL1'!A:A,0)+2,3,4,1,"CAL1")),0)</f>
        <v>0</v>
      </c>
      <c r="G368" s="20" t="str">
        <f ca="1">IF(CALC2223!AY368&gt;0,INDIRECT(ADDRESS(MATCH(Agenda2526!C369,'CAL2'!A:A,0),2,4,1,"CAL2")),"")</f>
        <v/>
      </c>
      <c r="H368" s="21">
        <f ca="1">IF(CALC2223!AY368&gt;0,INDIRECT(ADDRESS(MATCH(Agenda2526!C369,'CAL2'!A:A,0),3,4,1,"CAL2")),0)</f>
        <v>0</v>
      </c>
      <c r="I368" s="20" t="str">
        <f ca="1">IF(CALC2223!AY368&gt;1,INDIRECT(ADDRESS(MATCH(Agenda2526!C369,'CAL2'!A:A,0)+1,2,4,1,"CAL2")),"")</f>
        <v/>
      </c>
      <c r="J368" s="21">
        <f ca="1">IF(CALC2223!AY368&gt;1,INDIRECT(ADDRESS(MATCH(Agenda2526!C369,'CAL2'!A:A,0)+1,3,4,1,"CAL2")),0)</f>
        <v>0</v>
      </c>
      <c r="K368" s="20" t="str">
        <f ca="1">IF(CALC2223!AY368&gt;2,INDIRECT(ADDRESS(MATCH(Agenda2526!C369,'CAL2'!A:A,0)+2,2,4,1,"CAL2")),"")</f>
        <v/>
      </c>
      <c r="L368" s="21">
        <f ca="1">IF(CALC2223!AY368&gt;2,INDIRECT(ADDRESS(MATCH(Agenda2526!C369,'CAL2'!A:A,0)+2,3,4,1,"CAL2")),0)</f>
        <v>0</v>
      </c>
      <c r="M368" s="20" t="str">
        <f ca="1">IF(CALC2223!AZ368&gt;0,INDIRECT(ADDRESS(MATCH(Agenda2526!C369,'CAL3'!A:A,0),2,4,1,"CAL3")),"")</f>
        <v/>
      </c>
      <c r="N368" s="21">
        <f ca="1">IF(CALC2223!AZ368&gt;0,INDIRECT(ADDRESS(MATCH(Agenda2526!C369,'CAL3'!A:A,0),3,4,1,"CAL3")),0)</f>
        <v>0</v>
      </c>
      <c r="O368" s="20" t="str">
        <f ca="1">IF(CALC2223!AZ368&gt;1,INDIRECT(ADDRESS(MATCH(Agenda2526!C369,'CAL3'!A:A,0)+1,2,4,1,"CAL3")),"")</f>
        <v/>
      </c>
      <c r="P368" s="21">
        <f ca="1">IF(CALC2223!AZ368&gt;1,INDIRECT(ADDRESS(MATCH(Agenda2526!C369,'CAL3'!A:A,0)+1,3,4,1,"CAL3")),0)</f>
        <v>0</v>
      </c>
      <c r="Q368" s="20" t="str">
        <f ca="1">IF(CALC2223!AZ368&gt;2,INDIRECT(ADDRESS(MATCH(Agenda2526!C369,'CAL3'!A:A,0)+2,2,4,1,"CAL3")),"")</f>
        <v/>
      </c>
      <c r="R368" s="21">
        <f ca="1">IF(CALC2223!AZ368&gt;2,INDIRECT(ADDRESS(MATCH(Agenda2526!C369,'CAL3'!A:A,0)+2,3,4,1,"CAL3")),0)</f>
        <v>0</v>
      </c>
      <c r="S368" s="20" t="str">
        <f ca="1">IF(CALC2223!BA368&gt;0,INDIRECT(ADDRESS(MATCH(Agenda2526!C369,'CAL4'!A:A,0),2,4,1,"CAL4")),"")</f>
        <v/>
      </c>
      <c r="T368" s="21">
        <f ca="1">IF(CALC2223!BA368&gt;0,INDIRECT(ADDRESS(MATCH(Agenda2526!C369,'CAL4'!A:A,0),3,4,1,"CAL4")),0)</f>
        <v>0</v>
      </c>
      <c r="U368" s="20" t="str">
        <f ca="1">IF(CALC2223!BA368&gt;1,INDIRECT(ADDRESS(MATCH(Agenda2526!C369,'CAL4'!A:A,0)+1,2,4,1,"CAL4")),"")</f>
        <v/>
      </c>
      <c r="V368" s="21">
        <f ca="1">IF(CALC2223!BA368&gt;1,INDIRECT(ADDRESS(MATCH(Agenda2526!C369,'CAL4'!A:A,0)+1,3,4,1,"CAL4")),0)</f>
        <v>0</v>
      </c>
      <c r="W368" s="20" t="str">
        <f ca="1">IF(CALC2223!BA368&gt;2,INDIRECT(ADDRESS(MATCH(Agenda2526!C369,'CAL4'!A:A,0)+2,2,4,1,"CAL4")),"")</f>
        <v/>
      </c>
      <c r="X368" s="21">
        <f ca="1">IF(CALC2223!BA368&gt;2,INDIRECT(ADDRESS(MATCH(Agenda2526!C369,'CAL4'!A:A,0)+2,3,4,1,"CAL4")),0)</f>
        <v>0</v>
      </c>
      <c r="Y368" s="20" t="str">
        <f ca="1">IF(CALC2223!BB368&gt;0,INDIRECT(ADDRESS(MATCH(Agenda2526!C369,'CAL5'!A:A,0),2,4,1,"CAL5")),"")</f>
        <v/>
      </c>
      <c r="Z368" s="21">
        <f ca="1">IF(CALC2223!BB368&gt;0,INDIRECT(ADDRESS(MATCH(Agenda2526!C369,'CAL5'!A:A,0),3,4,1,"CAL5")),0)</f>
        <v>0</v>
      </c>
      <c r="AA368" s="20" t="str">
        <f ca="1">IF(CALC2223!BB368&gt;1,INDIRECT(ADDRESS(MATCH(Agenda2526!C369,'CAL5'!A:A,0)+1,2,4,1,"CAL5")),"")</f>
        <v/>
      </c>
      <c r="AB368" s="21">
        <f ca="1">IF(CALC2223!BB368&gt;1,INDIRECT(ADDRESS(MATCH(Agenda2526!C369,'CAL5'!A:A,0)+1,3,4,1,"CAL5")),0)</f>
        <v>0</v>
      </c>
      <c r="AC368" s="20" t="str">
        <f ca="1">IF(CALC2223!BB368&gt;2,INDIRECT(ADDRESS(MATCH(Agenda2526!C369,'CAL5'!A:A,0)+2,2,4,1,"CAL5")),"")</f>
        <v/>
      </c>
      <c r="AD368" s="21">
        <f ca="1">IF(CALC2223!BB368&gt;2,INDIRECT(ADDRESS(MATCH(Agenda2526!C369,'CAL5'!A:A,0)+2,3,4,1,"CAL5")),0)</f>
        <v>0</v>
      </c>
      <c r="AE368" s="20" t="str">
        <f ca="1">IF(CALC2223!BC368&gt;0,INDIRECT(ADDRESS(MATCH(Agenda2526!C369,'CAL6'!A:A,0),2,4,1,"CAL6")),"")</f>
        <v/>
      </c>
      <c r="AF368" s="21">
        <f ca="1">IF(CALC2223!BC368&gt;0,INDIRECT(ADDRESS(MATCH(Agenda2526!C369,'CAL6'!A:A,0),3,4,1,"CAL6")),0)</f>
        <v>0</v>
      </c>
      <c r="AG368" s="20" t="str">
        <f ca="1">IF(CALC2223!BC368&gt;1,INDIRECT(ADDRESS(MATCH(Agenda2526!C369,'CAL6'!A:A,0)+1,2,4,1,"CAL6")),"")</f>
        <v/>
      </c>
      <c r="AH368" s="21">
        <f ca="1">IF(CALC2223!BC368&gt;1,INDIRECT(ADDRESS(MATCH(Agenda2526!C369,'CAL6'!A:A,0)+1,3,4,1,"CAL6")),0)</f>
        <v>0</v>
      </c>
      <c r="AI368" s="20" t="str">
        <f ca="1">IF(CALC2223!BC368&gt;2,INDIRECT(ADDRESS(MATCH(Agenda2526!C369,'CAL6'!A:A,0)+2,2,4,1,"CAL6")),"")</f>
        <v/>
      </c>
      <c r="AJ368" s="21">
        <f ca="1">IF(CALC2223!BC368&gt;2,INDIRECT(ADDRESS(MATCH(Agenda2526!C369,'CAL6'!A:A,0)+2,3,4,1,"CAL6")),0)</f>
        <v>0</v>
      </c>
      <c r="AK368" s="20" t="str">
        <f ca="1">IF(CALC2223!BD368&gt;0,INDIRECT(ADDRESS(MATCH(Agenda2526!C369,'CAL7'!A:A,0),2,4,1,"CAL7")),"")</f>
        <v/>
      </c>
      <c r="AL368" s="21">
        <f ca="1">IF(CALC2223!BD368&gt;0,INDIRECT(ADDRESS(MATCH(Agenda2526!C369,'CAL7'!A:A,0),3,4,1,"CAL7")),0)</f>
        <v>0</v>
      </c>
      <c r="AM368" s="20" t="str">
        <f ca="1">IF(CALC2223!BD368&gt;1,INDIRECT(ADDRESS(MATCH(Agenda2526!C369,'CAL7'!A:A,0)+1,2,4,1,"CAL7")),"")</f>
        <v/>
      </c>
      <c r="AN368" s="21">
        <f ca="1">IF(CALC2223!BD368&gt;1,INDIRECT(ADDRESS(MATCH(Agenda2526!C369,'CAL7'!A:A,0)+1,3,4,1,"CAL7")),0)</f>
        <v>0</v>
      </c>
      <c r="AO368" s="20" t="str">
        <f ca="1">IF(CALC2223!BD368&gt;2,INDIRECT(ADDRESS(MATCH(Agenda2526!C369,'CAL7'!A:A,0)+2,2,4,1,"CAL7")),"")</f>
        <v/>
      </c>
      <c r="AP368" s="21">
        <f ca="1">IF(CALC2223!BD368&gt;2,INDIRECT(ADDRESS(MATCH(Agenda2526!C369,'CAL7'!A:A,0)+2,3,4,1,"CAL7")),0)</f>
        <v>0</v>
      </c>
      <c r="AQ368" s="20" t="str">
        <f ca="1">IF(CALC2223!BE368&gt;0,INDIRECT(ADDRESS(MATCH(Agenda2526!C369,'CAL8'!A:A,0),2,4,1,"CAL8")),"")</f>
        <v/>
      </c>
      <c r="AR368" s="21">
        <f ca="1">IF(CALC2223!BE368&gt;0,INDIRECT(ADDRESS(MATCH(Agenda2526!C369,'CAL8'!A:A,0),3,4,1,"CAL8")),0)</f>
        <v>0</v>
      </c>
      <c r="AS368" s="20" t="str">
        <f ca="1">IF(CALC2223!BE368&gt;1,INDIRECT(ADDRESS(MATCH(Agenda2526!C369,'CAL8'!A:A,0)+1,2,4,1,"CAL8")),"")</f>
        <v/>
      </c>
      <c r="AT368" s="21">
        <f ca="1">IF(CALC2223!BE368&gt;1,INDIRECT(ADDRESS(MATCH(Agenda2526!C369,'CAL8'!A:A,0)+1,3,4,1,"CAL8")),0)</f>
        <v>0</v>
      </c>
      <c r="AU368" s="20" t="str">
        <f ca="1">IF(CALC2223!BE368&gt;2,INDIRECT(ADDRESS(MATCH(Agenda2526!C369,'CAL8'!A:A,0)+2,2,4,1,"CAL8")),"")</f>
        <v/>
      </c>
      <c r="AV368" s="21">
        <f ca="1">IF(CALC2223!BE368&gt;2,INDIRECT(ADDRESS(MATCH(Agenda2526!C369,'CAL8'!A:A,0)+2,3,4,1,"CAL8")),0)</f>
        <v>0</v>
      </c>
      <c r="AW368" s="94" t="s">
        <v>30</v>
      </c>
      <c r="AX368" s="20">
        <f>COUNTIF('CAL1'!A:A,Agenda2526!C369)</f>
        <v>0</v>
      </c>
      <c r="AY368" s="20">
        <f>COUNTIF('CAL2'!A:A,Agenda2526!C369)</f>
        <v>0</v>
      </c>
      <c r="AZ368" s="20">
        <f>COUNTIF('CAL3'!A:A,Agenda2526!C369)</f>
        <v>0</v>
      </c>
      <c r="BA368" s="20">
        <f>COUNTIF('CAL4'!A:A,Agenda2526!C369)</f>
        <v>0</v>
      </c>
      <c r="BB368" s="20">
        <f>COUNTIF('CAL5'!A:A,Agenda2526!C369)</f>
        <v>0</v>
      </c>
      <c r="BC368" s="20">
        <f>COUNTIF('CAL6'!A:A,Agenda2526!C369)</f>
        <v>0</v>
      </c>
      <c r="BD368" s="20">
        <f>COUNTIF('CAL7'!A:A,Agenda2526!C369)</f>
        <v>0</v>
      </c>
      <c r="BE368" s="20">
        <f>COUNTIF('CAL8'!A:A,Agenda2526!C369)</f>
        <v>0</v>
      </c>
    </row>
    <row r="369" spans="1:57" ht="15.75" customHeight="1">
      <c r="A369" s="20" t="str">
        <f ca="1">IF(CALC2223!AX369&gt;0,INDIRECT(ADDRESS(MATCH(Agenda2526!C370,'CAL1'!A:A,0),2,4,1,"CAL1")),"")</f>
        <v/>
      </c>
      <c r="B369" s="21">
        <f ca="1">IF(CALC2223!AX369&gt;0,INDIRECT(ADDRESS(MATCH(Agenda2526!C370,'CAL1'!A:A,0),3,4,1,"CAL1")),0)</f>
        <v>0</v>
      </c>
      <c r="C369" s="20" t="str">
        <f ca="1">IF(CALC2223!AX369&gt;1,INDIRECT(ADDRESS(MATCH(Agenda2526!C370,'CAL1'!A:A,0)+1,2,4,1,"CAL1")),"")</f>
        <v/>
      </c>
      <c r="D369" s="21">
        <f ca="1">IF(CALC2223!AX369&gt;1,INDIRECT(ADDRESS(MATCH(Agenda2526!C370,'CAL1'!A:A,0)+1,3,4,1,"CAL1")),0)</f>
        <v>0</v>
      </c>
      <c r="E369" s="20" t="str">
        <f ca="1">IF(CALC2223!AX369&gt;2,INDIRECT(ADDRESS(MATCH(Agenda2526!C370,'CAL1'!A:A,0)+2,2,4,1,"CAL1")),"")</f>
        <v/>
      </c>
      <c r="F369" s="21">
        <f ca="1">IF(CALC2223!AX369&gt;2,INDIRECT(ADDRESS(MATCH(Agenda2526!C370,'CAL1'!A:A,0)+2,3,4,1,"CAL1")),0)</f>
        <v>0</v>
      </c>
      <c r="G369" s="20" t="str">
        <f ca="1">IF(CALC2223!AY369&gt;0,INDIRECT(ADDRESS(MATCH(Agenda2526!C370,'CAL2'!A:A,0),2,4,1,"CAL2")),"")</f>
        <v/>
      </c>
      <c r="H369" s="21">
        <f ca="1">IF(CALC2223!AY369&gt;0,INDIRECT(ADDRESS(MATCH(Agenda2526!C370,'CAL2'!A:A,0),3,4,1,"CAL2")),0)</f>
        <v>0</v>
      </c>
      <c r="I369" s="20" t="str">
        <f ca="1">IF(CALC2223!AY369&gt;1,INDIRECT(ADDRESS(MATCH(Agenda2526!C370,'CAL2'!A:A,0)+1,2,4,1,"CAL2")),"")</f>
        <v/>
      </c>
      <c r="J369" s="21">
        <f ca="1">IF(CALC2223!AY369&gt;1,INDIRECT(ADDRESS(MATCH(Agenda2526!C370,'CAL2'!A:A,0)+1,3,4,1,"CAL2")),0)</f>
        <v>0</v>
      </c>
      <c r="K369" s="20" t="str">
        <f ca="1">IF(CALC2223!AY369&gt;2,INDIRECT(ADDRESS(MATCH(Agenda2526!C370,'CAL2'!A:A,0)+2,2,4,1,"CAL2")),"")</f>
        <v/>
      </c>
      <c r="L369" s="21">
        <f ca="1">IF(CALC2223!AY369&gt;2,INDIRECT(ADDRESS(MATCH(Agenda2526!C370,'CAL2'!A:A,0)+2,3,4,1,"CAL2")),0)</f>
        <v>0</v>
      </c>
      <c r="M369" s="20" t="str">
        <f ca="1">IF(CALC2223!AZ369&gt;0,INDIRECT(ADDRESS(MATCH(Agenda2526!C370,'CAL3'!A:A,0),2,4,1,"CAL3")),"")</f>
        <v/>
      </c>
      <c r="N369" s="21">
        <f ca="1">IF(CALC2223!AZ369&gt;0,INDIRECT(ADDRESS(MATCH(Agenda2526!C370,'CAL3'!A:A,0),3,4,1,"CAL3")),0)</f>
        <v>0</v>
      </c>
      <c r="O369" s="20" t="str">
        <f ca="1">IF(CALC2223!AZ369&gt;1,INDIRECT(ADDRESS(MATCH(Agenda2526!C370,'CAL3'!A:A,0)+1,2,4,1,"CAL3")),"")</f>
        <v/>
      </c>
      <c r="P369" s="21">
        <f ca="1">IF(CALC2223!AZ369&gt;1,INDIRECT(ADDRESS(MATCH(Agenda2526!C370,'CAL3'!A:A,0)+1,3,4,1,"CAL3")),0)</f>
        <v>0</v>
      </c>
      <c r="Q369" s="20" t="str">
        <f ca="1">IF(CALC2223!AZ369&gt;2,INDIRECT(ADDRESS(MATCH(Agenda2526!C370,'CAL3'!A:A,0)+2,2,4,1,"CAL3")),"")</f>
        <v/>
      </c>
      <c r="R369" s="21">
        <f ca="1">IF(CALC2223!AZ369&gt;2,INDIRECT(ADDRESS(MATCH(Agenda2526!C370,'CAL3'!A:A,0)+2,3,4,1,"CAL3")),0)</f>
        <v>0</v>
      </c>
      <c r="S369" s="20" t="str">
        <f ca="1">IF(CALC2223!BA369&gt;0,INDIRECT(ADDRESS(MATCH(Agenda2526!C370,'CAL4'!A:A,0),2,4,1,"CAL4")),"")</f>
        <v/>
      </c>
      <c r="T369" s="21">
        <f ca="1">IF(CALC2223!BA369&gt;0,INDIRECT(ADDRESS(MATCH(Agenda2526!C370,'CAL4'!A:A,0),3,4,1,"CAL4")),0)</f>
        <v>0</v>
      </c>
      <c r="U369" s="20" t="str">
        <f ca="1">IF(CALC2223!BA369&gt;1,INDIRECT(ADDRESS(MATCH(Agenda2526!C370,'CAL4'!A:A,0)+1,2,4,1,"CAL4")),"")</f>
        <v/>
      </c>
      <c r="V369" s="21">
        <f ca="1">IF(CALC2223!BA369&gt;1,INDIRECT(ADDRESS(MATCH(Agenda2526!C370,'CAL4'!A:A,0)+1,3,4,1,"CAL4")),0)</f>
        <v>0</v>
      </c>
      <c r="W369" s="20" t="str">
        <f ca="1">IF(CALC2223!BA369&gt;2,INDIRECT(ADDRESS(MATCH(Agenda2526!C370,'CAL4'!A:A,0)+2,2,4,1,"CAL4")),"")</f>
        <v/>
      </c>
      <c r="X369" s="21">
        <f ca="1">IF(CALC2223!BA369&gt;2,INDIRECT(ADDRESS(MATCH(Agenda2526!C370,'CAL4'!A:A,0)+2,3,4,1,"CAL4")),0)</f>
        <v>0</v>
      </c>
      <c r="Y369" s="20" t="str">
        <f ca="1">IF(CALC2223!BB369&gt;0,INDIRECT(ADDRESS(MATCH(Agenda2526!C370,'CAL5'!A:A,0),2,4,1,"CAL5")),"")</f>
        <v/>
      </c>
      <c r="Z369" s="21">
        <f ca="1">IF(CALC2223!BB369&gt;0,INDIRECT(ADDRESS(MATCH(Agenda2526!C370,'CAL5'!A:A,0),3,4,1,"CAL5")),0)</f>
        <v>0</v>
      </c>
      <c r="AA369" s="20" t="str">
        <f ca="1">IF(CALC2223!BB369&gt;1,INDIRECT(ADDRESS(MATCH(Agenda2526!C370,'CAL5'!A:A,0)+1,2,4,1,"CAL5")),"")</f>
        <v/>
      </c>
      <c r="AB369" s="21">
        <f ca="1">IF(CALC2223!BB369&gt;1,INDIRECT(ADDRESS(MATCH(Agenda2526!C370,'CAL5'!A:A,0)+1,3,4,1,"CAL5")),0)</f>
        <v>0</v>
      </c>
      <c r="AC369" s="20" t="str">
        <f ca="1">IF(CALC2223!BB369&gt;2,INDIRECT(ADDRESS(MATCH(Agenda2526!C370,'CAL5'!A:A,0)+2,2,4,1,"CAL5")),"")</f>
        <v/>
      </c>
      <c r="AD369" s="21">
        <f ca="1">IF(CALC2223!BB369&gt;2,INDIRECT(ADDRESS(MATCH(Agenda2526!C370,'CAL5'!A:A,0)+2,3,4,1,"CAL5")),0)</f>
        <v>0</v>
      </c>
      <c r="AE369" s="20" t="str">
        <f ca="1">IF(CALC2223!BC369&gt;0,INDIRECT(ADDRESS(MATCH(Agenda2526!C370,'CAL6'!A:A,0),2,4,1,"CAL6")),"")</f>
        <v/>
      </c>
      <c r="AF369" s="21">
        <f ca="1">IF(CALC2223!BC369&gt;0,INDIRECT(ADDRESS(MATCH(Agenda2526!C370,'CAL6'!A:A,0),3,4,1,"CAL6")),0)</f>
        <v>0</v>
      </c>
      <c r="AG369" s="20" t="str">
        <f ca="1">IF(CALC2223!BC369&gt;1,INDIRECT(ADDRESS(MATCH(Agenda2526!C370,'CAL6'!A:A,0)+1,2,4,1,"CAL6")),"")</f>
        <v/>
      </c>
      <c r="AH369" s="21">
        <f ca="1">IF(CALC2223!BC369&gt;1,INDIRECT(ADDRESS(MATCH(Agenda2526!C370,'CAL6'!A:A,0)+1,3,4,1,"CAL6")),0)</f>
        <v>0</v>
      </c>
      <c r="AI369" s="20" t="str">
        <f ca="1">IF(CALC2223!BC369&gt;2,INDIRECT(ADDRESS(MATCH(Agenda2526!C370,'CAL6'!A:A,0)+2,2,4,1,"CAL6")),"")</f>
        <v/>
      </c>
      <c r="AJ369" s="21">
        <f ca="1">IF(CALC2223!BC369&gt;2,INDIRECT(ADDRESS(MATCH(Agenda2526!C370,'CAL6'!A:A,0)+2,3,4,1,"CAL6")),0)</f>
        <v>0</v>
      </c>
      <c r="AK369" s="20" t="str">
        <f ca="1">IF(CALC2223!BD369&gt;0,INDIRECT(ADDRESS(MATCH(Agenda2526!C370,'CAL7'!A:A,0),2,4,1,"CAL7")),"")</f>
        <v/>
      </c>
      <c r="AL369" s="21">
        <f ca="1">IF(CALC2223!BD369&gt;0,INDIRECT(ADDRESS(MATCH(Agenda2526!C370,'CAL7'!A:A,0),3,4,1,"CAL7")),0)</f>
        <v>0</v>
      </c>
      <c r="AM369" s="20" t="str">
        <f ca="1">IF(CALC2223!BD369&gt;1,INDIRECT(ADDRESS(MATCH(Agenda2526!C370,'CAL7'!A:A,0)+1,2,4,1,"CAL7")),"")</f>
        <v/>
      </c>
      <c r="AN369" s="21">
        <f ca="1">IF(CALC2223!BD369&gt;1,INDIRECT(ADDRESS(MATCH(Agenda2526!C370,'CAL7'!A:A,0)+1,3,4,1,"CAL7")),0)</f>
        <v>0</v>
      </c>
      <c r="AO369" s="20" t="str">
        <f ca="1">IF(CALC2223!BD369&gt;2,INDIRECT(ADDRESS(MATCH(Agenda2526!C370,'CAL7'!A:A,0)+2,2,4,1,"CAL7")),"")</f>
        <v/>
      </c>
      <c r="AP369" s="21">
        <f ca="1">IF(CALC2223!BD369&gt;2,INDIRECT(ADDRESS(MATCH(Agenda2526!C370,'CAL7'!A:A,0)+2,3,4,1,"CAL7")),0)</f>
        <v>0</v>
      </c>
      <c r="AQ369" s="20" t="str">
        <f ca="1">IF(CALC2223!BE369&gt;0,INDIRECT(ADDRESS(MATCH(Agenda2526!C370,'CAL8'!A:A,0),2,4,1,"CAL8")),"")</f>
        <v/>
      </c>
      <c r="AR369" s="21">
        <f ca="1">IF(CALC2223!BE369&gt;0,INDIRECT(ADDRESS(MATCH(Agenda2526!C370,'CAL8'!A:A,0),3,4,1,"CAL8")),0)</f>
        <v>0</v>
      </c>
      <c r="AS369" s="20" t="str">
        <f ca="1">IF(CALC2223!BE369&gt;1,INDIRECT(ADDRESS(MATCH(Agenda2526!C370,'CAL8'!A:A,0)+1,2,4,1,"CAL8")),"")</f>
        <v/>
      </c>
      <c r="AT369" s="21">
        <f ca="1">IF(CALC2223!BE369&gt;1,INDIRECT(ADDRESS(MATCH(Agenda2526!C370,'CAL8'!A:A,0)+1,3,4,1,"CAL8")),0)</f>
        <v>0</v>
      </c>
      <c r="AU369" s="20" t="str">
        <f ca="1">IF(CALC2223!BE369&gt;2,INDIRECT(ADDRESS(MATCH(Agenda2526!C370,'CAL8'!A:A,0)+2,2,4,1,"CAL8")),"")</f>
        <v/>
      </c>
      <c r="AV369" s="21">
        <f ca="1">IF(CALC2223!BE369&gt;2,INDIRECT(ADDRESS(MATCH(Agenda2526!C370,'CAL8'!A:A,0)+2,3,4,1,"CAL8")),0)</f>
        <v>0</v>
      </c>
      <c r="AW369" s="94" t="s">
        <v>30</v>
      </c>
      <c r="AX369" s="20">
        <f>COUNTIF('CAL1'!A:A,Agenda2526!C370)</f>
        <v>0</v>
      </c>
      <c r="AY369" s="20">
        <f>COUNTIF('CAL2'!A:A,Agenda2526!C370)</f>
        <v>0</v>
      </c>
      <c r="AZ369" s="20">
        <f>COUNTIF('CAL3'!A:A,Agenda2526!C370)</f>
        <v>0</v>
      </c>
      <c r="BA369" s="20">
        <f>COUNTIF('CAL4'!A:A,Agenda2526!C370)</f>
        <v>0</v>
      </c>
      <c r="BB369" s="20">
        <f>COUNTIF('CAL5'!A:A,Agenda2526!C370)</f>
        <v>0</v>
      </c>
      <c r="BC369" s="20">
        <f>COUNTIF('CAL6'!A:A,Agenda2526!C370)</f>
        <v>0</v>
      </c>
      <c r="BD369" s="20">
        <f>COUNTIF('CAL7'!A:A,Agenda2526!C370)</f>
        <v>0</v>
      </c>
      <c r="BE369" s="20">
        <f>COUNTIF('CAL8'!A:A,Agenda2526!C370)</f>
        <v>0</v>
      </c>
    </row>
    <row r="370" spans="1:57" ht="15.75" customHeight="1">
      <c r="A370" s="20" t="str">
        <f ca="1">IF(CALC2223!AX370&gt;0,INDIRECT(ADDRESS(MATCH(Agenda2526!C371,'CAL1'!A:A,0),2,4,1,"CAL1")),"")</f>
        <v/>
      </c>
      <c r="B370" s="21">
        <f ca="1">IF(CALC2223!AX370&gt;0,INDIRECT(ADDRESS(MATCH(Agenda2526!C371,'CAL1'!A:A,0),3,4,1,"CAL1")),0)</f>
        <v>0</v>
      </c>
      <c r="C370" s="20" t="str">
        <f ca="1">IF(CALC2223!AX370&gt;1,INDIRECT(ADDRESS(MATCH(Agenda2526!C371,'CAL1'!A:A,0)+1,2,4,1,"CAL1")),"")</f>
        <v/>
      </c>
      <c r="D370" s="21">
        <f ca="1">IF(CALC2223!AX370&gt;1,INDIRECT(ADDRESS(MATCH(Agenda2526!C371,'CAL1'!A:A,0)+1,3,4,1,"CAL1")),0)</f>
        <v>0</v>
      </c>
      <c r="E370" s="20" t="str">
        <f ca="1">IF(CALC2223!AX370&gt;2,INDIRECT(ADDRESS(MATCH(Agenda2526!C371,'CAL1'!A:A,0)+2,2,4,1,"CAL1")),"")</f>
        <v/>
      </c>
      <c r="F370" s="21">
        <f ca="1">IF(CALC2223!AX370&gt;2,INDIRECT(ADDRESS(MATCH(Agenda2526!C371,'CAL1'!A:A,0)+2,3,4,1,"CAL1")),0)</f>
        <v>0</v>
      </c>
      <c r="G370" s="20" t="str">
        <f ca="1">IF(CALC2223!AY370&gt;0,INDIRECT(ADDRESS(MATCH(Agenda2526!C371,'CAL2'!A:A,0),2,4,1,"CAL2")),"")</f>
        <v/>
      </c>
      <c r="H370" s="21">
        <f ca="1">IF(CALC2223!AY370&gt;0,INDIRECT(ADDRESS(MATCH(Agenda2526!C371,'CAL2'!A:A,0),3,4,1,"CAL2")),0)</f>
        <v>0</v>
      </c>
      <c r="I370" s="20" t="str">
        <f ca="1">IF(CALC2223!AY370&gt;1,INDIRECT(ADDRESS(MATCH(Agenda2526!C371,'CAL2'!A:A,0)+1,2,4,1,"CAL2")),"")</f>
        <v/>
      </c>
      <c r="J370" s="21">
        <f ca="1">IF(CALC2223!AY370&gt;1,INDIRECT(ADDRESS(MATCH(Agenda2526!C371,'CAL2'!A:A,0)+1,3,4,1,"CAL2")),0)</f>
        <v>0</v>
      </c>
      <c r="K370" s="20" t="str">
        <f ca="1">IF(CALC2223!AY370&gt;2,INDIRECT(ADDRESS(MATCH(Agenda2526!C371,'CAL2'!A:A,0)+2,2,4,1,"CAL2")),"")</f>
        <v/>
      </c>
      <c r="L370" s="21">
        <f ca="1">IF(CALC2223!AY370&gt;2,INDIRECT(ADDRESS(MATCH(Agenda2526!C371,'CAL2'!A:A,0)+2,3,4,1,"CAL2")),0)</f>
        <v>0</v>
      </c>
      <c r="M370" s="20" t="str">
        <f ca="1">IF(CALC2223!AZ370&gt;0,INDIRECT(ADDRESS(MATCH(Agenda2526!C371,'CAL3'!A:A,0),2,4,1,"CAL3")),"")</f>
        <v/>
      </c>
      <c r="N370" s="21">
        <f ca="1">IF(CALC2223!AZ370&gt;0,INDIRECT(ADDRESS(MATCH(Agenda2526!C371,'CAL3'!A:A,0),3,4,1,"CAL3")),0)</f>
        <v>0</v>
      </c>
      <c r="O370" s="20" t="str">
        <f ca="1">IF(CALC2223!AZ370&gt;1,INDIRECT(ADDRESS(MATCH(Agenda2526!C371,'CAL3'!A:A,0)+1,2,4,1,"CAL3")),"")</f>
        <v/>
      </c>
      <c r="P370" s="21">
        <f ca="1">IF(CALC2223!AZ370&gt;1,INDIRECT(ADDRESS(MATCH(Agenda2526!C371,'CAL3'!A:A,0)+1,3,4,1,"CAL3")),0)</f>
        <v>0</v>
      </c>
      <c r="Q370" s="20" t="str">
        <f ca="1">IF(CALC2223!AZ370&gt;2,INDIRECT(ADDRESS(MATCH(Agenda2526!C371,'CAL3'!A:A,0)+2,2,4,1,"CAL3")),"")</f>
        <v/>
      </c>
      <c r="R370" s="21">
        <f ca="1">IF(CALC2223!AZ370&gt;2,INDIRECT(ADDRESS(MATCH(Agenda2526!C371,'CAL3'!A:A,0)+2,3,4,1,"CAL3")),0)</f>
        <v>0</v>
      </c>
      <c r="S370" s="20" t="str">
        <f ca="1">IF(CALC2223!BA370&gt;0,INDIRECT(ADDRESS(MATCH(Agenda2526!C371,'CAL4'!A:A,0),2,4,1,"CAL4")),"")</f>
        <v/>
      </c>
      <c r="T370" s="21">
        <f ca="1">IF(CALC2223!BA370&gt;0,INDIRECT(ADDRESS(MATCH(Agenda2526!C371,'CAL4'!A:A,0),3,4,1,"CAL4")),0)</f>
        <v>0</v>
      </c>
      <c r="U370" s="20" t="str">
        <f ca="1">IF(CALC2223!BA370&gt;1,INDIRECT(ADDRESS(MATCH(Agenda2526!C371,'CAL4'!A:A,0)+1,2,4,1,"CAL4")),"")</f>
        <v/>
      </c>
      <c r="V370" s="21">
        <f ca="1">IF(CALC2223!BA370&gt;1,INDIRECT(ADDRESS(MATCH(Agenda2526!C371,'CAL4'!A:A,0)+1,3,4,1,"CAL4")),0)</f>
        <v>0</v>
      </c>
      <c r="W370" s="20" t="str">
        <f ca="1">IF(CALC2223!BA370&gt;2,INDIRECT(ADDRESS(MATCH(Agenda2526!C371,'CAL4'!A:A,0)+2,2,4,1,"CAL4")),"")</f>
        <v/>
      </c>
      <c r="X370" s="21">
        <f ca="1">IF(CALC2223!BA370&gt;2,INDIRECT(ADDRESS(MATCH(Agenda2526!C371,'CAL4'!A:A,0)+2,3,4,1,"CAL4")),0)</f>
        <v>0</v>
      </c>
      <c r="Y370" s="20" t="str">
        <f ca="1">IF(CALC2223!BB370&gt;0,INDIRECT(ADDRESS(MATCH(Agenda2526!C371,'CAL5'!A:A,0),2,4,1,"CAL5")),"")</f>
        <v/>
      </c>
      <c r="Z370" s="21">
        <f ca="1">IF(CALC2223!BB370&gt;0,INDIRECT(ADDRESS(MATCH(Agenda2526!C371,'CAL5'!A:A,0),3,4,1,"CAL5")),0)</f>
        <v>0</v>
      </c>
      <c r="AA370" s="20" t="str">
        <f ca="1">IF(CALC2223!BB370&gt;1,INDIRECT(ADDRESS(MATCH(Agenda2526!C371,'CAL5'!A:A,0)+1,2,4,1,"CAL5")),"")</f>
        <v/>
      </c>
      <c r="AB370" s="21">
        <f ca="1">IF(CALC2223!BB370&gt;1,INDIRECT(ADDRESS(MATCH(Agenda2526!C371,'CAL5'!A:A,0)+1,3,4,1,"CAL5")),0)</f>
        <v>0</v>
      </c>
      <c r="AC370" s="20" t="str">
        <f ca="1">IF(CALC2223!BB370&gt;2,INDIRECT(ADDRESS(MATCH(Agenda2526!C371,'CAL5'!A:A,0)+2,2,4,1,"CAL5")),"")</f>
        <v/>
      </c>
      <c r="AD370" s="21">
        <f ca="1">IF(CALC2223!BB370&gt;2,INDIRECT(ADDRESS(MATCH(Agenda2526!C371,'CAL5'!A:A,0)+2,3,4,1,"CAL5")),0)</f>
        <v>0</v>
      </c>
      <c r="AE370" s="20" t="str">
        <f ca="1">IF(CALC2223!BC370&gt;0,INDIRECT(ADDRESS(MATCH(Agenda2526!C371,'CAL6'!A:A,0),2,4,1,"CAL6")),"")</f>
        <v/>
      </c>
      <c r="AF370" s="21">
        <f ca="1">IF(CALC2223!BC370&gt;0,INDIRECT(ADDRESS(MATCH(Agenda2526!C371,'CAL6'!A:A,0),3,4,1,"CAL6")),0)</f>
        <v>0</v>
      </c>
      <c r="AG370" s="20" t="str">
        <f ca="1">IF(CALC2223!BC370&gt;1,INDIRECT(ADDRESS(MATCH(Agenda2526!C371,'CAL6'!A:A,0)+1,2,4,1,"CAL6")),"")</f>
        <v/>
      </c>
      <c r="AH370" s="21">
        <f ca="1">IF(CALC2223!BC370&gt;1,INDIRECT(ADDRESS(MATCH(Agenda2526!C371,'CAL6'!A:A,0)+1,3,4,1,"CAL6")),0)</f>
        <v>0</v>
      </c>
      <c r="AI370" s="20" t="str">
        <f ca="1">IF(CALC2223!BC370&gt;2,INDIRECT(ADDRESS(MATCH(Agenda2526!C371,'CAL6'!A:A,0)+2,2,4,1,"CAL6")),"")</f>
        <v/>
      </c>
      <c r="AJ370" s="21">
        <f ca="1">IF(CALC2223!BC370&gt;2,INDIRECT(ADDRESS(MATCH(Agenda2526!C371,'CAL6'!A:A,0)+2,3,4,1,"CAL6")),0)</f>
        <v>0</v>
      </c>
      <c r="AK370" s="20" t="str">
        <f ca="1">IF(CALC2223!BD370&gt;0,INDIRECT(ADDRESS(MATCH(Agenda2526!C371,'CAL7'!A:A,0),2,4,1,"CAL7")),"")</f>
        <v/>
      </c>
      <c r="AL370" s="21">
        <f ca="1">IF(CALC2223!BD370&gt;0,INDIRECT(ADDRESS(MATCH(Agenda2526!C371,'CAL7'!A:A,0),3,4,1,"CAL7")),0)</f>
        <v>0</v>
      </c>
      <c r="AM370" s="20" t="str">
        <f ca="1">IF(CALC2223!BD370&gt;1,INDIRECT(ADDRESS(MATCH(Agenda2526!C371,'CAL7'!A:A,0)+1,2,4,1,"CAL7")),"")</f>
        <v/>
      </c>
      <c r="AN370" s="21">
        <f ca="1">IF(CALC2223!BD370&gt;1,INDIRECT(ADDRESS(MATCH(Agenda2526!C371,'CAL7'!A:A,0)+1,3,4,1,"CAL7")),0)</f>
        <v>0</v>
      </c>
      <c r="AO370" s="20" t="str">
        <f ca="1">IF(CALC2223!BD370&gt;2,INDIRECT(ADDRESS(MATCH(Agenda2526!C371,'CAL7'!A:A,0)+2,2,4,1,"CAL7")),"")</f>
        <v/>
      </c>
      <c r="AP370" s="21">
        <f ca="1">IF(CALC2223!BD370&gt;2,INDIRECT(ADDRESS(MATCH(Agenda2526!C371,'CAL7'!A:A,0)+2,3,4,1,"CAL7")),0)</f>
        <v>0</v>
      </c>
      <c r="AQ370" s="20" t="str">
        <f ca="1">IF(CALC2223!BE370&gt;0,INDIRECT(ADDRESS(MATCH(Agenda2526!C371,'CAL8'!A:A,0),2,4,1,"CAL8")),"")</f>
        <v/>
      </c>
      <c r="AR370" s="21">
        <f ca="1">IF(CALC2223!BE370&gt;0,INDIRECT(ADDRESS(MATCH(Agenda2526!C371,'CAL8'!A:A,0),3,4,1,"CAL8")),0)</f>
        <v>0</v>
      </c>
      <c r="AS370" s="20" t="str">
        <f ca="1">IF(CALC2223!BE370&gt;1,INDIRECT(ADDRESS(MATCH(Agenda2526!C371,'CAL8'!A:A,0)+1,2,4,1,"CAL8")),"")</f>
        <v/>
      </c>
      <c r="AT370" s="21">
        <f ca="1">IF(CALC2223!BE370&gt;1,INDIRECT(ADDRESS(MATCH(Agenda2526!C371,'CAL8'!A:A,0)+1,3,4,1,"CAL8")),0)</f>
        <v>0</v>
      </c>
      <c r="AU370" s="20" t="str">
        <f ca="1">IF(CALC2223!BE370&gt;2,INDIRECT(ADDRESS(MATCH(Agenda2526!C371,'CAL8'!A:A,0)+2,2,4,1,"CAL8")),"")</f>
        <v/>
      </c>
      <c r="AV370" s="21">
        <f ca="1">IF(CALC2223!BE370&gt;2,INDIRECT(ADDRESS(MATCH(Agenda2526!C371,'CAL8'!A:A,0)+2,3,4,1,"CAL8")),0)</f>
        <v>0</v>
      </c>
      <c r="AW370" s="94" t="s">
        <v>30</v>
      </c>
      <c r="AX370" s="20">
        <f>COUNTIF('CAL1'!A:A,Agenda2526!C371)</f>
        <v>0</v>
      </c>
      <c r="AY370" s="20">
        <f>COUNTIF('CAL2'!A:A,Agenda2526!C371)</f>
        <v>0</v>
      </c>
      <c r="AZ370" s="20">
        <f>COUNTIF('CAL3'!A:A,Agenda2526!C371)</f>
        <v>0</v>
      </c>
      <c r="BA370" s="20">
        <f>COUNTIF('CAL4'!A:A,Agenda2526!C371)</f>
        <v>0</v>
      </c>
      <c r="BB370" s="20">
        <f>COUNTIF('CAL5'!A:A,Agenda2526!C371)</f>
        <v>0</v>
      </c>
      <c r="BC370" s="20">
        <f>COUNTIF('CAL6'!A:A,Agenda2526!C371)</f>
        <v>0</v>
      </c>
      <c r="BD370" s="20">
        <f>COUNTIF('CAL7'!A:A,Agenda2526!C371)</f>
        <v>0</v>
      </c>
      <c r="BE370" s="20">
        <f>COUNTIF('CAL8'!A:A,Agenda2526!C371)</f>
        <v>0</v>
      </c>
    </row>
    <row r="371" spans="1:57" ht="15.75" customHeight="1">
      <c r="A371" s="20" t="str">
        <f ca="1">IF(CALC2223!AX371&gt;0,INDIRECT(ADDRESS(MATCH(Agenda2526!C372,'CAL1'!A:A,0),2,4,1,"CAL1")),"")</f>
        <v/>
      </c>
      <c r="B371" s="21">
        <f ca="1">IF(CALC2223!AX371&gt;0,INDIRECT(ADDRESS(MATCH(Agenda2526!C372,'CAL1'!A:A,0),3,4,1,"CAL1")),0)</f>
        <v>0</v>
      </c>
      <c r="C371" s="20" t="str">
        <f ca="1">IF(CALC2223!AX371&gt;1,INDIRECT(ADDRESS(MATCH(Agenda2526!C372,'CAL1'!A:A,0)+1,2,4,1,"CAL1")),"")</f>
        <v/>
      </c>
      <c r="D371" s="21">
        <f ca="1">IF(CALC2223!AX371&gt;1,INDIRECT(ADDRESS(MATCH(Agenda2526!C372,'CAL1'!A:A,0)+1,3,4,1,"CAL1")),0)</f>
        <v>0</v>
      </c>
      <c r="E371" s="20" t="str">
        <f ca="1">IF(CALC2223!AX371&gt;2,INDIRECT(ADDRESS(MATCH(Agenda2526!C372,'CAL1'!A:A,0)+2,2,4,1,"CAL1")),"")</f>
        <v/>
      </c>
      <c r="F371" s="21">
        <f ca="1">IF(CALC2223!AX371&gt;2,INDIRECT(ADDRESS(MATCH(Agenda2526!C372,'CAL1'!A:A,0)+2,3,4,1,"CAL1")),0)</f>
        <v>0</v>
      </c>
      <c r="G371" s="20" t="str">
        <f ca="1">IF(CALC2223!AY371&gt;0,INDIRECT(ADDRESS(MATCH(Agenda2526!C372,'CAL2'!A:A,0),2,4,1,"CAL2")),"")</f>
        <v/>
      </c>
      <c r="H371" s="21">
        <f ca="1">IF(CALC2223!AY371&gt;0,INDIRECT(ADDRESS(MATCH(Agenda2526!C372,'CAL2'!A:A,0),3,4,1,"CAL2")),0)</f>
        <v>0</v>
      </c>
      <c r="I371" s="20" t="str">
        <f ca="1">IF(CALC2223!AY371&gt;1,INDIRECT(ADDRESS(MATCH(Agenda2526!C372,'CAL2'!A:A,0)+1,2,4,1,"CAL2")),"")</f>
        <v/>
      </c>
      <c r="J371" s="21">
        <f ca="1">IF(CALC2223!AY371&gt;1,INDIRECT(ADDRESS(MATCH(Agenda2526!C372,'CAL2'!A:A,0)+1,3,4,1,"CAL2")),0)</f>
        <v>0</v>
      </c>
      <c r="K371" s="20" t="str">
        <f ca="1">IF(CALC2223!AY371&gt;2,INDIRECT(ADDRESS(MATCH(Agenda2526!C372,'CAL2'!A:A,0)+2,2,4,1,"CAL2")),"")</f>
        <v/>
      </c>
      <c r="L371" s="21">
        <f ca="1">IF(CALC2223!AY371&gt;2,INDIRECT(ADDRESS(MATCH(Agenda2526!C372,'CAL2'!A:A,0)+2,3,4,1,"CAL2")),0)</f>
        <v>0</v>
      </c>
      <c r="M371" s="20" t="str">
        <f ca="1">IF(CALC2223!AZ371&gt;0,INDIRECT(ADDRESS(MATCH(Agenda2526!C372,'CAL3'!A:A,0),2,4,1,"CAL3")),"")</f>
        <v/>
      </c>
      <c r="N371" s="21">
        <f ca="1">IF(CALC2223!AZ371&gt;0,INDIRECT(ADDRESS(MATCH(Agenda2526!C372,'CAL3'!A:A,0),3,4,1,"CAL3")),0)</f>
        <v>0</v>
      </c>
      <c r="O371" s="20" t="str">
        <f ca="1">IF(CALC2223!AZ371&gt;1,INDIRECT(ADDRESS(MATCH(Agenda2526!C372,'CAL3'!A:A,0)+1,2,4,1,"CAL3")),"")</f>
        <v/>
      </c>
      <c r="P371" s="21">
        <f ca="1">IF(CALC2223!AZ371&gt;1,INDIRECT(ADDRESS(MATCH(Agenda2526!C372,'CAL3'!A:A,0)+1,3,4,1,"CAL3")),0)</f>
        <v>0</v>
      </c>
      <c r="Q371" s="20" t="str">
        <f ca="1">IF(CALC2223!AZ371&gt;2,INDIRECT(ADDRESS(MATCH(Agenda2526!C372,'CAL3'!A:A,0)+2,2,4,1,"CAL3")),"")</f>
        <v/>
      </c>
      <c r="R371" s="21">
        <f ca="1">IF(CALC2223!AZ371&gt;2,INDIRECT(ADDRESS(MATCH(Agenda2526!C372,'CAL3'!A:A,0)+2,3,4,1,"CAL3")),0)</f>
        <v>0</v>
      </c>
      <c r="S371" s="20" t="str">
        <f ca="1">IF(CALC2223!BA371&gt;0,INDIRECT(ADDRESS(MATCH(Agenda2526!C372,'CAL4'!A:A,0),2,4,1,"CAL4")),"")</f>
        <v/>
      </c>
      <c r="T371" s="21">
        <f ca="1">IF(CALC2223!BA371&gt;0,INDIRECT(ADDRESS(MATCH(Agenda2526!C372,'CAL4'!A:A,0),3,4,1,"CAL4")),0)</f>
        <v>0</v>
      </c>
      <c r="U371" s="20" t="str">
        <f ca="1">IF(CALC2223!BA371&gt;1,INDIRECT(ADDRESS(MATCH(Agenda2526!C372,'CAL4'!A:A,0)+1,2,4,1,"CAL4")),"")</f>
        <v/>
      </c>
      <c r="V371" s="21">
        <f ca="1">IF(CALC2223!BA371&gt;1,INDIRECT(ADDRESS(MATCH(Agenda2526!C372,'CAL4'!A:A,0)+1,3,4,1,"CAL4")),0)</f>
        <v>0</v>
      </c>
      <c r="W371" s="20" t="str">
        <f ca="1">IF(CALC2223!BA371&gt;2,INDIRECT(ADDRESS(MATCH(Agenda2526!C372,'CAL4'!A:A,0)+2,2,4,1,"CAL4")),"")</f>
        <v/>
      </c>
      <c r="X371" s="21">
        <f ca="1">IF(CALC2223!BA371&gt;2,INDIRECT(ADDRESS(MATCH(Agenda2526!C372,'CAL4'!A:A,0)+2,3,4,1,"CAL4")),0)</f>
        <v>0</v>
      </c>
      <c r="Y371" s="20" t="str">
        <f ca="1">IF(CALC2223!BB371&gt;0,INDIRECT(ADDRESS(MATCH(Agenda2526!C372,'CAL5'!A:A,0),2,4,1,"CAL5")),"")</f>
        <v/>
      </c>
      <c r="Z371" s="21">
        <f ca="1">IF(CALC2223!BB371&gt;0,INDIRECT(ADDRESS(MATCH(Agenda2526!C372,'CAL5'!A:A,0),3,4,1,"CAL5")),0)</f>
        <v>0</v>
      </c>
      <c r="AA371" s="20" t="str">
        <f ca="1">IF(CALC2223!BB371&gt;1,INDIRECT(ADDRESS(MATCH(Agenda2526!C372,'CAL5'!A:A,0)+1,2,4,1,"CAL5")),"")</f>
        <v/>
      </c>
      <c r="AB371" s="21">
        <f ca="1">IF(CALC2223!BB371&gt;1,INDIRECT(ADDRESS(MATCH(Agenda2526!C372,'CAL5'!A:A,0)+1,3,4,1,"CAL5")),0)</f>
        <v>0</v>
      </c>
      <c r="AC371" s="20" t="str">
        <f ca="1">IF(CALC2223!BB371&gt;2,INDIRECT(ADDRESS(MATCH(Agenda2526!C372,'CAL5'!A:A,0)+2,2,4,1,"CAL5")),"")</f>
        <v/>
      </c>
      <c r="AD371" s="21">
        <f ca="1">IF(CALC2223!BB371&gt;2,INDIRECT(ADDRESS(MATCH(Agenda2526!C372,'CAL5'!A:A,0)+2,3,4,1,"CAL5")),0)</f>
        <v>0</v>
      </c>
      <c r="AE371" s="20" t="str">
        <f ca="1">IF(CALC2223!BC371&gt;0,INDIRECT(ADDRESS(MATCH(Agenda2526!C372,'CAL6'!A:A,0),2,4,1,"CAL6")),"")</f>
        <v/>
      </c>
      <c r="AF371" s="21">
        <f ca="1">IF(CALC2223!BC371&gt;0,INDIRECT(ADDRESS(MATCH(Agenda2526!C372,'CAL6'!A:A,0),3,4,1,"CAL6")),0)</f>
        <v>0</v>
      </c>
      <c r="AG371" s="20" t="str">
        <f ca="1">IF(CALC2223!BC371&gt;1,INDIRECT(ADDRESS(MATCH(Agenda2526!C372,'CAL6'!A:A,0)+1,2,4,1,"CAL6")),"")</f>
        <v/>
      </c>
      <c r="AH371" s="21">
        <f ca="1">IF(CALC2223!BC371&gt;1,INDIRECT(ADDRESS(MATCH(Agenda2526!C372,'CAL6'!A:A,0)+1,3,4,1,"CAL6")),0)</f>
        <v>0</v>
      </c>
      <c r="AI371" s="20" t="str">
        <f ca="1">IF(CALC2223!BC371&gt;2,INDIRECT(ADDRESS(MATCH(Agenda2526!C372,'CAL6'!A:A,0)+2,2,4,1,"CAL6")),"")</f>
        <v/>
      </c>
      <c r="AJ371" s="21">
        <f ca="1">IF(CALC2223!BC371&gt;2,INDIRECT(ADDRESS(MATCH(Agenda2526!C372,'CAL6'!A:A,0)+2,3,4,1,"CAL6")),0)</f>
        <v>0</v>
      </c>
      <c r="AK371" s="20" t="str">
        <f ca="1">IF(CALC2223!BD371&gt;0,INDIRECT(ADDRESS(MATCH(Agenda2526!C372,'CAL7'!A:A,0),2,4,1,"CAL7")),"")</f>
        <v/>
      </c>
      <c r="AL371" s="21">
        <f ca="1">IF(CALC2223!BD371&gt;0,INDIRECT(ADDRESS(MATCH(Agenda2526!C372,'CAL7'!A:A,0),3,4,1,"CAL7")),0)</f>
        <v>0</v>
      </c>
      <c r="AM371" s="20" t="str">
        <f ca="1">IF(CALC2223!BD371&gt;1,INDIRECT(ADDRESS(MATCH(Agenda2526!C372,'CAL7'!A:A,0)+1,2,4,1,"CAL7")),"")</f>
        <v/>
      </c>
      <c r="AN371" s="21">
        <f ca="1">IF(CALC2223!BD371&gt;1,INDIRECT(ADDRESS(MATCH(Agenda2526!C372,'CAL7'!A:A,0)+1,3,4,1,"CAL7")),0)</f>
        <v>0</v>
      </c>
      <c r="AO371" s="20" t="str">
        <f ca="1">IF(CALC2223!BD371&gt;2,INDIRECT(ADDRESS(MATCH(Agenda2526!C372,'CAL7'!A:A,0)+2,2,4,1,"CAL7")),"")</f>
        <v/>
      </c>
      <c r="AP371" s="21">
        <f ca="1">IF(CALC2223!BD371&gt;2,INDIRECT(ADDRESS(MATCH(Agenda2526!C372,'CAL7'!A:A,0)+2,3,4,1,"CAL7")),0)</f>
        <v>0</v>
      </c>
      <c r="AQ371" s="20" t="str">
        <f ca="1">IF(CALC2223!BE371&gt;0,INDIRECT(ADDRESS(MATCH(Agenda2526!C372,'CAL8'!A:A,0),2,4,1,"CAL8")),"")</f>
        <v/>
      </c>
      <c r="AR371" s="21">
        <f ca="1">IF(CALC2223!BE371&gt;0,INDIRECT(ADDRESS(MATCH(Agenda2526!C372,'CAL8'!A:A,0),3,4,1,"CAL8")),0)</f>
        <v>0</v>
      </c>
      <c r="AS371" s="20" t="str">
        <f ca="1">IF(CALC2223!BE371&gt;1,INDIRECT(ADDRESS(MATCH(Agenda2526!C372,'CAL8'!A:A,0)+1,2,4,1,"CAL8")),"")</f>
        <v/>
      </c>
      <c r="AT371" s="21">
        <f ca="1">IF(CALC2223!BE371&gt;1,INDIRECT(ADDRESS(MATCH(Agenda2526!C372,'CAL8'!A:A,0)+1,3,4,1,"CAL8")),0)</f>
        <v>0</v>
      </c>
      <c r="AU371" s="20" t="str">
        <f ca="1">IF(CALC2223!BE371&gt;2,INDIRECT(ADDRESS(MATCH(Agenda2526!C372,'CAL8'!A:A,0)+2,2,4,1,"CAL8")),"")</f>
        <v/>
      </c>
      <c r="AV371" s="21">
        <f ca="1">IF(CALC2223!BE371&gt;2,INDIRECT(ADDRESS(MATCH(Agenda2526!C372,'CAL8'!A:A,0)+2,3,4,1,"CAL8")),0)</f>
        <v>0</v>
      </c>
      <c r="AW371" s="93"/>
      <c r="AX371" s="20">
        <f>COUNTIF('CAL1'!A:A,Agenda2526!C372)</f>
        <v>0</v>
      </c>
      <c r="AY371" s="20">
        <f>COUNTIF('CAL2'!A:A,Agenda2526!C372)</f>
        <v>0</v>
      </c>
      <c r="AZ371" s="20">
        <f>COUNTIF('CAL3'!A:A,Agenda2526!C372)</f>
        <v>0</v>
      </c>
      <c r="BA371" s="20">
        <f>COUNTIF('CAL4'!A:A,Agenda2526!C372)</f>
        <v>0</v>
      </c>
      <c r="BB371" s="20">
        <f>COUNTIF('CAL5'!A:A,Agenda2526!C372)</f>
        <v>0</v>
      </c>
      <c r="BC371" s="20">
        <f>COUNTIF('CAL6'!A:A,Agenda2526!C372)</f>
        <v>0</v>
      </c>
      <c r="BD371" s="20">
        <f>COUNTIF('CAL7'!A:A,Agenda2526!C372)</f>
        <v>0</v>
      </c>
      <c r="BE371" s="20">
        <f>COUNTIF('CAL8'!A:A,Agenda2526!C372)</f>
        <v>0</v>
      </c>
    </row>
    <row r="372" spans="1:57" ht="15.75" customHeight="1">
      <c r="A372" s="20" t="str">
        <f ca="1">IF(CALC2223!AX372&gt;0,INDIRECT(ADDRESS(MATCH(Agenda2526!C373,'CAL1'!A:A,0),2,4,1,"CAL1")),"")</f>
        <v/>
      </c>
      <c r="B372" s="21">
        <f ca="1">IF(CALC2223!AX372&gt;0,INDIRECT(ADDRESS(MATCH(Agenda2526!C373,'CAL1'!A:A,0),3,4,1,"CAL1")),0)</f>
        <v>0</v>
      </c>
      <c r="C372" s="20" t="str">
        <f ca="1">IF(CALC2223!AX372&gt;1,INDIRECT(ADDRESS(MATCH(Agenda2526!C373,'CAL1'!A:A,0)+1,2,4,1,"CAL1")),"")</f>
        <v/>
      </c>
      <c r="D372" s="21">
        <f ca="1">IF(CALC2223!AX372&gt;1,INDIRECT(ADDRESS(MATCH(Agenda2526!C373,'CAL1'!A:A,0)+1,3,4,1,"CAL1")),0)</f>
        <v>0</v>
      </c>
      <c r="E372" s="20" t="str">
        <f ca="1">IF(CALC2223!AX372&gt;2,INDIRECT(ADDRESS(MATCH(Agenda2526!C373,'CAL1'!A:A,0)+2,2,4,1,"CAL1")),"")</f>
        <v/>
      </c>
      <c r="F372" s="21">
        <f ca="1">IF(CALC2223!AX372&gt;2,INDIRECT(ADDRESS(MATCH(Agenda2526!C373,'CAL1'!A:A,0)+2,3,4,1,"CAL1")),0)</f>
        <v>0</v>
      </c>
      <c r="G372" s="20" t="str">
        <f ca="1">IF(CALC2223!AY372&gt;0,INDIRECT(ADDRESS(MATCH(Agenda2526!C373,'CAL2'!A:A,0),2,4,1,"CAL2")),"")</f>
        <v/>
      </c>
      <c r="H372" s="21">
        <f ca="1">IF(CALC2223!AY372&gt;0,INDIRECT(ADDRESS(MATCH(Agenda2526!C373,'CAL2'!A:A,0),3,4,1,"CAL2")),0)</f>
        <v>0</v>
      </c>
      <c r="I372" s="20" t="str">
        <f ca="1">IF(CALC2223!AY372&gt;1,INDIRECT(ADDRESS(MATCH(Agenda2526!C373,'CAL2'!A:A,0)+1,2,4,1,"CAL2")),"")</f>
        <v/>
      </c>
      <c r="J372" s="21">
        <f ca="1">IF(CALC2223!AY372&gt;1,INDIRECT(ADDRESS(MATCH(Agenda2526!C373,'CAL2'!A:A,0)+1,3,4,1,"CAL2")),0)</f>
        <v>0</v>
      </c>
      <c r="K372" s="20" t="str">
        <f ca="1">IF(CALC2223!AY372&gt;2,INDIRECT(ADDRESS(MATCH(Agenda2526!C373,'CAL2'!A:A,0)+2,2,4,1,"CAL2")),"")</f>
        <v/>
      </c>
      <c r="L372" s="21">
        <f ca="1">IF(CALC2223!AY372&gt;2,INDIRECT(ADDRESS(MATCH(Agenda2526!C373,'CAL2'!A:A,0)+2,3,4,1,"CAL2")),0)</f>
        <v>0</v>
      </c>
      <c r="M372" s="20" t="str">
        <f ca="1">IF(CALC2223!AZ372&gt;0,INDIRECT(ADDRESS(MATCH(Agenda2526!C373,'CAL3'!A:A,0),2,4,1,"CAL3")),"")</f>
        <v/>
      </c>
      <c r="N372" s="21">
        <f ca="1">IF(CALC2223!AZ372&gt;0,INDIRECT(ADDRESS(MATCH(Agenda2526!C373,'CAL3'!A:A,0),3,4,1,"CAL3")),0)</f>
        <v>0</v>
      </c>
      <c r="O372" s="20" t="str">
        <f ca="1">IF(CALC2223!AZ372&gt;1,INDIRECT(ADDRESS(MATCH(Agenda2526!C373,'CAL3'!A:A,0)+1,2,4,1,"CAL3")),"")</f>
        <v/>
      </c>
      <c r="P372" s="21">
        <f ca="1">IF(CALC2223!AZ372&gt;1,INDIRECT(ADDRESS(MATCH(Agenda2526!C373,'CAL3'!A:A,0)+1,3,4,1,"CAL3")),0)</f>
        <v>0</v>
      </c>
      <c r="Q372" s="20" t="str">
        <f ca="1">IF(CALC2223!AZ372&gt;2,INDIRECT(ADDRESS(MATCH(Agenda2526!C373,'CAL3'!A:A,0)+2,2,4,1,"CAL3")),"")</f>
        <v/>
      </c>
      <c r="R372" s="21">
        <f ca="1">IF(CALC2223!AZ372&gt;2,INDIRECT(ADDRESS(MATCH(Agenda2526!C373,'CAL3'!A:A,0)+2,3,4,1,"CAL3")),0)</f>
        <v>0</v>
      </c>
      <c r="S372" s="20" t="str">
        <f ca="1">IF(CALC2223!BA372&gt;0,INDIRECT(ADDRESS(MATCH(Agenda2526!C373,'CAL4'!A:A,0),2,4,1,"CAL4")),"")</f>
        <v/>
      </c>
      <c r="T372" s="21">
        <f ca="1">IF(CALC2223!BA372&gt;0,INDIRECT(ADDRESS(MATCH(Agenda2526!C373,'CAL4'!A:A,0),3,4,1,"CAL4")),0)</f>
        <v>0</v>
      </c>
      <c r="U372" s="20" t="str">
        <f ca="1">IF(CALC2223!BA372&gt;1,INDIRECT(ADDRESS(MATCH(Agenda2526!C373,'CAL4'!A:A,0)+1,2,4,1,"CAL4")),"")</f>
        <v/>
      </c>
      <c r="V372" s="21">
        <f ca="1">IF(CALC2223!BA372&gt;1,INDIRECT(ADDRESS(MATCH(Agenda2526!C373,'CAL4'!A:A,0)+1,3,4,1,"CAL4")),0)</f>
        <v>0</v>
      </c>
      <c r="W372" s="20" t="str">
        <f ca="1">IF(CALC2223!BA372&gt;2,INDIRECT(ADDRESS(MATCH(Agenda2526!C373,'CAL4'!A:A,0)+2,2,4,1,"CAL4")),"")</f>
        <v/>
      </c>
      <c r="X372" s="21">
        <f ca="1">IF(CALC2223!BA372&gt;2,INDIRECT(ADDRESS(MATCH(Agenda2526!C373,'CAL4'!A:A,0)+2,3,4,1,"CAL4")),0)</f>
        <v>0</v>
      </c>
      <c r="Y372" s="20" t="str">
        <f ca="1">IF(CALC2223!BB372&gt;0,INDIRECT(ADDRESS(MATCH(Agenda2526!C373,'CAL5'!A:A,0),2,4,1,"CAL5")),"")</f>
        <v/>
      </c>
      <c r="Z372" s="21">
        <f ca="1">IF(CALC2223!BB372&gt;0,INDIRECT(ADDRESS(MATCH(Agenda2526!C373,'CAL5'!A:A,0),3,4,1,"CAL5")),0)</f>
        <v>0</v>
      </c>
      <c r="AA372" s="20" t="str">
        <f ca="1">IF(CALC2223!BB372&gt;1,INDIRECT(ADDRESS(MATCH(Agenda2526!C373,'CAL5'!A:A,0)+1,2,4,1,"CAL5")),"")</f>
        <v/>
      </c>
      <c r="AB372" s="21">
        <f ca="1">IF(CALC2223!BB372&gt;1,INDIRECT(ADDRESS(MATCH(Agenda2526!C373,'CAL5'!A:A,0)+1,3,4,1,"CAL5")),0)</f>
        <v>0</v>
      </c>
      <c r="AC372" s="20" t="str">
        <f ca="1">IF(CALC2223!BB372&gt;2,INDIRECT(ADDRESS(MATCH(Agenda2526!C373,'CAL5'!A:A,0)+2,2,4,1,"CAL5")),"")</f>
        <v/>
      </c>
      <c r="AD372" s="21">
        <f ca="1">IF(CALC2223!BB372&gt;2,INDIRECT(ADDRESS(MATCH(Agenda2526!C373,'CAL5'!A:A,0)+2,3,4,1,"CAL5")),0)</f>
        <v>0</v>
      </c>
      <c r="AE372" s="20" t="str">
        <f ca="1">IF(CALC2223!BC372&gt;0,INDIRECT(ADDRESS(MATCH(Agenda2526!C373,'CAL6'!A:A,0),2,4,1,"CAL6")),"")</f>
        <v/>
      </c>
      <c r="AF372" s="21">
        <f ca="1">IF(CALC2223!BC372&gt;0,INDIRECT(ADDRESS(MATCH(Agenda2526!C373,'CAL6'!A:A,0),3,4,1,"CAL6")),0)</f>
        <v>0</v>
      </c>
      <c r="AG372" s="20" t="str">
        <f ca="1">IF(CALC2223!BC372&gt;1,INDIRECT(ADDRESS(MATCH(Agenda2526!C373,'CAL6'!A:A,0)+1,2,4,1,"CAL6")),"")</f>
        <v/>
      </c>
      <c r="AH372" s="21">
        <f ca="1">IF(CALC2223!BC372&gt;1,INDIRECT(ADDRESS(MATCH(Agenda2526!C373,'CAL6'!A:A,0)+1,3,4,1,"CAL6")),0)</f>
        <v>0</v>
      </c>
      <c r="AI372" s="20" t="str">
        <f ca="1">IF(CALC2223!BC372&gt;2,INDIRECT(ADDRESS(MATCH(Agenda2526!C373,'CAL6'!A:A,0)+2,2,4,1,"CAL6")),"")</f>
        <v/>
      </c>
      <c r="AJ372" s="21">
        <f ca="1">IF(CALC2223!BC372&gt;2,INDIRECT(ADDRESS(MATCH(Agenda2526!C373,'CAL6'!A:A,0)+2,3,4,1,"CAL6")),0)</f>
        <v>0</v>
      </c>
      <c r="AK372" s="20" t="str">
        <f ca="1">IF(CALC2223!BD372&gt;0,INDIRECT(ADDRESS(MATCH(Agenda2526!C373,'CAL7'!A:A,0),2,4,1,"CAL7")),"")</f>
        <v/>
      </c>
      <c r="AL372" s="21">
        <f ca="1">IF(CALC2223!BD372&gt;0,INDIRECT(ADDRESS(MATCH(Agenda2526!C373,'CAL7'!A:A,0),3,4,1,"CAL7")),0)</f>
        <v>0</v>
      </c>
      <c r="AM372" s="20" t="str">
        <f ca="1">IF(CALC2223!BD372&gt;1,INDIRECT(ADDRESS(MATCH(Agenda2526!C373,'CAL7'!A:A,0)+1,2,4,1,"CAL7")),"")</f>
        <v/>
      </c>
      <c r="AN372" s="21">
        <f ca="1">IF(CALC2223!BD372&gt;1,INDIRECT(ADDRESS(MATCH(Agenda2526!C373,'CAL7'!A:A,0)+1,3,4,1,"CAL7")),0)</f>
        <v>0</v>
      </c>
      <c r="AO372" s="20" t="str">
        <f ca="1">IF(CALC2223!BD372&gt;2,INDIRECT(ADDRESS(MATCH(Agenda2526!C373,'CAL7'!A:A,0)+2,2,4,1,"CAL7")),"")</f>
        <v/>
      </c>
      <c r="AP372" s="21">
        <f ca="1">IF(CALC2223!BD372&gt;2,INDIRECT(ADDRESS(MATCH(Agenda2526!C373,'CAL7'!A:A,0)+2,3,4,1,"CAL7")),0)</f>
        <v>0</v>
      </c>
      <c r="AQ372" s="20" t="str">
        <f ca="1">IF(CALC2223!BE372&gt;0,INDIRECT(ADDRESS(MATCH(Agenda2526!C373,'CAL8'!A:A,0),2,4,1,"CAL8")),"")</f>
        <v/>
      </c>
      <c r="AR372" s="21">
        <f ca="1">IF(CALC2223!BE372&gt;0,INDIRECT(ADDRESS(MATCH(Agenda2526!C373,'CAL8'!A:A,0),3,4,1,"CAL8")),0)</f>
        <v>0</v>
      </c>
      <c r="AS372" s="20" t="str">
        <f ca="1">IF(CALC2223!BE372&gt;1,INDIRECT(ADDRESS(MATCH(Agenda2526!C373,'CAL8'!A:A,0)+1,2,4,1,"CAL8")),"")</f>
        <v/>
      </c>
      <c r="AT372" s="21">
        <f ca="1">IF(CALC2223!BE372&gt;1,INDIRECT(ADDRESS(MATCH(Agenda2526!C373,'CAL8'!A:A,0)+1,3,4,1,"CAL8")),0)</f>
        <v>0</v>
      </c>
      <c r="AU372" s="20" t="str">
        <f ca="1">IF(CALC2223!BE372&gt;2,INDIRECT(ADDRESS(MATCH(Agenda2526!C373,'CAL8'!A:A,0)+2,2,4,1,"CAL8")),"")</f>
        <v/>
      </c>
      <c r="AV372" s="21">
        <f ca="1">IF(CALC2223!BE372&gt;2,INDIRECT(ADDRESS(MATCH(Agenda2526!C373,'CAL8'!A:A,0)+2,3,4,1,"CAL8")),0)</f>
        <v>0</v>
      </c>
      <c r="AW372" s="93"/>
      <c r="AX372" s="20">
        <f>COUNTIF('CAL1'!A:A,Agenda2526!C373)</f>
        <v>0</v>
      </c>
      <c r="AY372" s="20">
        <f>COUNTIF('CAL2'!A:A,Agenda2526!C373)</f>
        <v>0</v>
      </c>
      <c r="AZ372" s="20">
        <f>COUNTIF('CAL3'!A:A,Agenda2526!C373)</f>
        <v>0</v>
      </c>
      <c r="BA372" s="20">
        <f>COUNTIF('CAL4'!A:A,Agenda2526!C373)</f>
        <v>0</v>
      </c>
      <c r="BB372" s="20">
        <f>COUNTIF('CAL5'!A:A,Agenda2526!C373)</f>
        <v>0</v>
      </c>
      <c r="BC372" s="20">
        <f>COUNTIF('CAL6'!A:A,Agenda2526!C373)</f>
        <v>0</v>
      </c>
      <c r="BD372" s="20">
        <f>COUNTIF('CAL7'!A:A,Agenda2526!C373)</f>
        <v>0</v>
      </c>
      <c r="BE372" s="20">
        <f>COUNTIF('CAL8'!A:A,Agenda2526!C373)</f>
        <v>0</v>
      </c>
    </row>
  </sheetData>
  <conditionalFormatting sqref="G3:K3">
    <cfRule type="expression" dxfId="0" priority="3">
      <formula>H3=TRUE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000"/>
  <sheetViews>
    <sheetView workbookViewId="0">
      <pane ySplit="1" topLeftCell="F2" activePane="bottomLeft" state="frozen"/>
      <selection pane="bottomLeft" activeCell="F2" sqref="F2"/>
      <selection activeCell="E2" sqref="E2"/>
    </sheetView>
  </sheetViews>
  <sheetFormatPr defaultColWidth="13.5" defaultRowHeight="15" customHeight="1"/>
  <cols>
    <col min="1" max="1" width="12.5" customWidth="1"/>
    <col min="2" max="2" width="41.125" customWidth="1"/>
    <col min="3" max="3" width="14.375" customWidth="1"/>
    <col min="4" max="4" width="8.375" customWidth="1"/>
    <col min="5" max="5" width="20.875" customWidth="1"/>
    <col min="6" max="6" width="20.375" customWidth="1"/>
    <col min="7" max="7" width="11.875" customWidth="1"/>
    <col min="8" max="26" width="8.375" customWidth="1"/>
  </cols>
  <sheetData>
    <row r="1" spans="1:7" ht="15.75" customHeight="1">
      <c r="A1" t="s">
        <v>124</v>
      </c>
      <c r="B1" t="s">
        <v>125</v>
      </c>
      <c r="C1" t="s">
        <v>126</v>
      </c>
      <c r="E1" s="5" t="s">
        <v>127</v>
      </c>
      <c r="F1" s="5" t="s">
        <v>128</v>
      </c>
      <c r="G1" s="5" t="s">
        <v>129</v>
      </c>
    </row>
    <row r="2" spans="1:7" ht="15.75" customHeight="1">
      <c r="A2" s="23">
        <f>IF(E2&lt;&gt;"",DATEVALUE(LEFT(E2,10)),"")</f>
        <v>45916</v>
      </c>
      <c r="B2" t="str">
        <f t="shared" ref="B2" si="0">IF(LEN(F2)&gt;3,RIGHT(F2,LEN(F2)-3),"")</f>
        <v>BKK ABCD</v>
      </c>
      <c r="C2" s="23">
        <f>IF(E2&lt;&gt;"",DATEVALUE(LEFT(G2,10)),"")</f>
        <v>45896</v>
      </c>
      <c r="E2" s="24" t="str">
        <f>IF(NOT(ISBLANK(G1copy!B2)),G1copy!B2,"")</f>
        <v>2025-09-16T00:00:00.0000000</v>
      </c>
      <c r="F2" s="24" t="str">
        <f>IF(E2&lt;&gt;"",G1copy!A2,"")</f>
        <v>G1 BKK ABCD</v>
      </c>
      <c r="G2" s="24" t="str">
        <f>IF(E2&lt;&gt;"",G1copy!F2,"")</f>
        <v>2025-08-27T18:07:41.4418782+00:00</v>
      </c>
    </row>
    <row r="3" spans="1:7" ht="15.75" customHeight="1">
      <c r="A3" s="23">
        <f t="shared" ref="A3:A66" si="1">IF(E3&lt;&gt;"",DATEVALUE(LEFT(E3,10)),"")</f>
        <v>45917</v>
      </c>
      <c r="B3" t="str">
        <f t="shared" ref="B3:B66" si="2">IF(LEN(F3)&gt;3,RIGHT(F3,LEN(F3)-3),"")</f>
        <v>BKK ABCD</v>
      </c>
      <c r="C3" s="23">
        <f t="shared" ref="C3:C66" si="3">IF(E3&lt;&gt;"",DATEVALUE(LEFT(G3,10)),"")</f>
        <v>45896</v>
      </c>
      <c r="E3" s="24" t="str">
        <f>IF(NOT(ISBLANK(G1copy!B3)),G1copy!B3,"")</f>
        <v>2025-09-17T00:00:00.0000000</v>
      </c>
      <c r="F3" s="24" t="str">
        <f>IF(E3&lt;&gt;"",G1copy!A3,"")</f>
        <v>G1 BKK ABCD</v>
      </c>
      <c r="G3" s="24" t="str">
        <f>IF(E3&lt;&gt;"",G1copy!F3,"")</f>
        <v>2025-08-27T18:07:41.3230122+00:00</v>
      </c>
    </row>
    <row r="4" spans="1:7" ht="15.75" customHeight="1">
      <c r="A4" s="23">
        <f t="shared" si="1"/>
        <v>45918</v>
      </c>
      <c r="B4" t="str">
        <f t="shared" si="2"/>
        <v>BKK ABCD</v>
      </c>
      <c r="C4" s="23">
        <f t="shared" si="3"/>
        <v>45896</v>
      </c>
      <c r="E4" s="24" t="str">
        <f>IF(NOT(ISBLANK(G1copy!B4)),G1copy!B4,"")</f>
        <v>2025-09-18T00:00:00.0000000</v>
      </c>
      <c r="F4" s="24" t="str">
        <f>IF(E4&lt;&gt;"",G1copy!A4,"")</f>
        <v>G1 BKK ABCD</v>
      </c>
      <c r="G4" s="24" t="str">
        <f>IF(E4&lt;&gt;"",G1copy!F4,"")</f>
        <v>2025-08-27T18:07:41.1912627+00:00</v>
      </c>
    </row>
    <row r="5" spans="1:7" ht="15.75" customHeight="1">
      <c r="A5" s="23">
        <f t="shared" si="1"/>
        <v>45919</v>
      </c>
      <c r="B5" t="str">
        <f t="shared" si="2"/>
        <v>BKK ABCD</v>
      </c>
      <c r="C5" s="23">
        <f t="shared" si="3"/>
        <v>45896</v>
      </c>
      <c r="E5" s="24" t="str">
        <f>IF(NOT(ISBLANK(G1copy!B5)),G1copy!B5,"")</f>
        <v>2025-09-19T00:00:00.0000000</v>
      </c>
      <c r="F5" s="24" t="str">
        <f>IF(E5&lt;&gt;"",G1copy!A5,"")</f>
        <v>G1 BKK ABCD</v>
      </c>
      <c r="G5" s="24" t="str">
        <f>IF(E5&lt;&gt;"",G1copy!F5,"")</f>
        <v>2025-08-27T18:07:41.091018+00:00</v>
      </c>
    </row>
    <row r="6" spans="1:7" ht="15.75" customHeight="1">
      <c r="A6" s="23">
        <f t="shared" si="1"/>
        <v>45923</v>
      </c>
      <c r="B6" t="str">
        <f t="shared" si="2"/>
        <v>BKK EFG</v>
      </c>
      <c r="C6" s="23">
        <f t="shared" si="3"/>
        <v>45896</v>
      </c>
      <c r="E6" s="24" t="str">
        <f>IF(NOT(ISBLANK(G1copy!B6)),G1copy!B6,"")</f>
        <v>2025-09-23T00:00:00.0000000</v>
      </c>
      <c r="F6" s="24" t="str">
        <f>IF(E6&lt;&gt;"",G1copy!A6,"")</f>
        <v>G1 BKK EFG</v>
      </c>
      <c r="G6" s="24" t="str">
        <f>IF(E6&lt;&gt;"",G1copy!F6,"")</f>
        <v>2025-08-27T18:07:40.8427833+00:00</v>
      </c>
    </row>
    <row r="7" spans="1:7" ht="15.75" customHeight="1">
      <c r="A7" s="23">
        <f t="shared" si="1"/>
        <v>45924</v>
      </c>
      <c r="B7" t="str">
        <f t="shared" si="2"/>
        <v>BKK EFG</v>
      </c>
      <c r="C7" s="23">
        <f t="shared" si="3"/>
        <v>45896</v>
      </c>
      <c r="E7" s="24" t="str">
        <f>IF(NOT(ISBLANK(G1copy!B7)),G1copy!B7,"")</f>
        <v>2025-09-24T00:00:00.0000000</v>
      </c>
      <c r="F7" s="24" t="str">
        <f>IF(E7&lt;&gt;"",G1copy!A7,"")</f>
        <v>G1 BKK EFG</v>
      </c>
      <c r="G7" s="24" t="str">
        <f>IF(E7&lt;&gt;"",G1copy!F7,"")</f>
        <v>2025-08-27T18:07:40.7089809+00:00</v>
      </c>
    </row>
    <row r="8" spans="1:7" ht="15.75" customHeight="1">
      <c r="A8" s="23">
        <f t="shared" si="1"/>
        <v>45925</v>
      </c>
      <c r="B8" t="str">
        <f t="shared" si="2"/>
        <v>BKK EFG</v>
      </c>
      <c r="C8" s="23">
        <f t="shared" si="3"/>
        <v>45896</v>
      </c>
      <c r="E8" s="24" t="str">
        <f>IF(NOT(ISBLANK(G1copy!B8)),G1copy!B8,"")</f>
        <v>2025-09-25T00:00:00.0000000</v>
      </c>
      <c r="F8" s="24" t="str">
        <f>IF(E8&lt;&gt;"",G1copy!A8,"")</f>
        <v>G1 BKK EFG</v>
      </c>
      <c r="G8" s="24" t="str">
        <f>IF(E8&lt;&gt;"",G1copy!F8,"")</f>
        <v>2025-08-27T18:07:40.5999204+00:00</v>
      </c>
    </row>
    <row r="9" spans="1:7" ht="15.75" customHeight="1">
      <c r="A9" s="23">
        <f t="shared" si="1"/>
        <v>45926</v>
      </c>
      <c r="B9" t="str">
        <f t="shared" si="2"/>
        <v>BKK EFG</v>
      </c>
      <c r="C9" s="23">
        <f t="shared" si="3"/>
        <v>45896</v>
      </c>
      <c r="E9" s="24" t="str">
        <f>IF(NOT(ISBLANK(G1copy!B9)),G1copy!B9,"")</f>
        <v>2025-09-26T00:00:00.0000000</v>
      </c>
      <c r="F9" s="24" t="str">
        <f>IF(E9&lt;&gt;"",G1copy!A9,"")</f>
        <v>G1 BKK EFG</v>
      </c>
      <c r="G9" s="24" t="str">
        <f>IF(E9&lt;&gt;"",G1copy!F9,"")</f>
        <v>2025-08-27T18:07:40.4580951+00:00</v>
      </c>
    </row>
    <row r="10" spans="1:7" ht="15.75" customHeight="1">
      <c r="A10" s="23">
        <f t="shared" si="1"/>
        <v>45945</v>
      </c>
      <c r="B10" t="str">
        <f t="shared" si="2"/>
        <v>Rep BIO</v>
      </c>
      <c r="C10" s="23">
        <f t="shared" si="3"/>
        <v>45901</v>
      </c>
      <c r="E10" s="24" t="str">
        <f>IF(NOT(ISBLANK(G1copy!B10)),G1copy!B10,"")</f>
        <v>2025-10-15T00:00:00.0000000</v>
      </c>
      <c r="F10" s="24" t="str">
        <f>IF(E10&lt;&gt;"",G1copy!A10,"")</f>
        <v>G1 Rep BIO</v>
      </c>
      <c r="G10" s="24" t="str">
        <f>IF(E10&lt;&gt;"",G1copy!F10,"")</f>
        <v>2025-09-01T15:52:08.1694841+00:00</v>
      </c>
    </row>
    <row r="11" spans="1:7" ht="15.75" customHeight="1">
      <c r="A11" s="23">
        <f t="shared" si="1"/>
        <v>45966</v>
      </c>
      <c r="B11" t="str">
        <f t="shared" si="2"/>
        <v>Rep AK</v>
      </c>
      <c r="C11" s="23">
        <f t="shared" si="3"/>
        <v>45901</v>
      </c>
      <c r="E11" s="24" t="str">
        <f>IF(NOT(ISBLANK(G1copy!B11)),G1copy!B11,"")</f>
        <v>2025-11-05T00:00:00.0000000</v>
      </c>
      <c r="F11" s="24" t="str">
        <f>IF(E11&lt;&gt;"",G1copy!A11,"")</f>
        <v>G1 Rep AK</v>
      </c>
      <c r="G11" s="24" t="str">
        <f>IF(E11&lt;&gt;"",G1copy!F11,"")</f>
        <v>2025-09-01T15:52:07.0935847+00:00</v>
      </c>
    </row>
    <row r="12" spans="1:7" ht="15.75" customHeight="1">
      <c r="A12" s="23">
        <f t="shared" si="1"/>
        <v>45973</v>
      </c>
      <c r="B12" t="str">
        <f t="shared" si="2"/>
        <v>Rep FA</v>
      </c>
      <c r="C12" s="23">
        <f t="shared" si="3"/>
        <v>45901</v>
      </c>
      <c r="E12" s="24" t="str">
        <f>IF(NOT(ISBLANK(G1copy!B12)),G1copy!B12,"")</f>
        <v>2025-11-12T00:00:00.0000000</v>
      </c>
      <c r="F12" s="24" t="str">
        <f>IF(E12&lt;&gt;"",G1copy!A12,"")</f>
        <v>G1 Rep FA</v>
      </c>
      <c r="G12" s="24" t="str">
        <f>IF(E12&lt;&gt;"",G1copy!F12,"")</f>
        <v>2025-09-01T15:52:02.939076+00:00</v>
      </c>
    </row>
    <row r="13" spans="1:7" ht="15.75" customHeight="1">
      <c r="A13" s="23">
        <f t="shared" si="1"/>
        <v>45987</v>
      </c>
      <c r="B13" t="str">
        <f t="shared" si="2"/>
        <v>Rep WIS</v>
      </c>
      <c r="C13" s="23">
        <f t="shared" si="3"/>
        <v>45901</v>
      </c>
      <c r="E13" s="24" t="str">
        <f>IF(NOT(ISBLANK(G1copy!B13)),G1copy!B13,"")</f>
        <v>2025-11-26T00:00:00.0000000</v>
      </c>
      <c r="F13" s="24" t="str">
        <f>IF(E13&lt;&gt;"",G1copy!A13,"")</f>
        <v>G1 Rep WIS</v>
      </c>
      <c r="G13" s="24" t="str">
        <f>IF(E13&lt;&gt;"",G1copy!F13,"")</f>
        <v>2025-09-01T15:52:01.8904898+00:00</v>
      </c>
    </row>
    <row r="14" spans="1:7" ht="15.75" customHeight="1">
      <c r="A14" s="23">
        <f t="shared" si="1"/>
        <v>45989</v>
      </c>
      <c r="B14" t="str">
        <f t="shared" si="2"/>
        <v>Sinterklaasfeest</v>
      </c>
      <c r="C14" s="23">
        <f t="shared" si="3"/>
        <v>45931</v>
      </c>
      <c r="E14" s="24" t="str">
        <f>IF(NOT(ISBLANK(G1copy!B14)),G1copy!B14,"")</f>
        <v>2025-11-28T00:00:00.0000000</v>
      </c>
      <c r="F14" s="24" t="str">
        <f>IF(E14&lt;&gt;"",G1copy!A14,"")</f>
        <v>G1 Sinterklaasfeest</v>
      </c>
      <c r="G14" s="24" t="str">
        <f>IF(E14&lt;&gt;"",G1copy!F14,"")</f>
        <v>2025-10-01T10:01:24.9396466+00:00</v>
      </c>
    </row>
    <row r="15" spans="1:7" ht="15.75" customHeight="1">
      <c r="A15" s="23">
        <f t="shared" si="1"/>
        <v>45994</v>
      </c>
      <c r="B15" t="str">
        <f t="shared" si="2"/>
        <v>Rep EN</v>
      </c>
      <c r="C15" s="23">
        <f t="shared" si="3"/>
        <v>45901</v>
      </c>
      <c r="E15" s="24" t="str">
        <f>IF(NOT(ISBLANK(G1copy!B15)),G1copy!B15,"")</f>
        <v>2025-12-03T00:00:00.0000000</v>
      </c>
      <c r="F15" s="24" t="str">
        <f>IF(E15&lt;&gt;"",G1copy!A15,"")</f>
        <v>G1 Rep EN</v>
      </c>
      <c r="G15" s="24" t="str">
        <f>IF(E15&lt;&gt;"",G1copy!F15,"")</f>
        <v>2025-09-01T15:58:43.075386+00:00</v>
      </c>
    </row>
    <row r="16" spans="1:7" ht="15.75" customHeight="1">
      <c r="A16" s="23">
        <f t="shared" si="1"/>
        <v>46001</v>
      </c>
      <c r="B16" t="str">
        <f t="shared" si="2"/>
        <v>Rep BIO</v>
      </c>
      <c r="C16" s="23">
        <f t="shared" si="3"/>
        <v>45901</v>
      </c>
      <c r="E16" s="24" t="str">
        <f>IF(NOT(ISBLANK(G1copy!B16)),G1copy!B16,"")</f>
        <v>2025-12-10T00:00:00.0000000</v>
      </c>
      <c r="F16" s="24" t="str">
        <f>IF(E16&lt;&gt;"",G1copy!A16,"")</f>
        <v>G1 Rep BIO</v>
      </c>
      <c r="G16" s="24" t="str">
        <f>IF(E16&lt;&gt;"",G1copy!F16,"")</f>
        <v>2025-09-01T15:52:00.0287338+00:00</v>
      </c>
    </row>
    <row r="17" spans="1:7" ht="15.75" customHeight="1">
      <c r="A17" s="23">
        <f t="shared" si="1"/>
        <v>46008</v>
      </c>
      <c r="B17" t="str">
        <f t="shared" si="2"/>
        <v>Toetsdag: Rep LA</v>
      </c>
      <c r="C17" s="23">
        <f t="shared" si="3"/>
        <v>45994</v>
      </c>
      <c r="E17" s="24" t="str">
        <f>IF(NOT(ISBLANK(G1copy!B17)),G1copy!B17,"")</f>
        <v>2025-12-17T00:00:00.0000000</v>
      </c>
      <c r="F17" s="24" t="str">
        <f>IF(E17&lt;&gt;"",G1copy!A17,"")</f>
        <v>G1 Toetsdag: Rep LA</v>
      </c>
      <c r="G17" s="24" t="str">
        <f>IF(E17&lt;&gt;"",G1copy!F17,"")</f>
        <v>2025-12-03T13:54:44.555499+00:00</v>
      </c>
    </row>
    <row r="18" spans="1:7" ht="15.75" customHeight="1">
      <c r="A18" s="23">
        <f t="shared" si="1"/>
        <v>46036</v>
      </c>
      <c r="B18" t="str">
        <f t="shared" si="2"/>
        <v>Rep FA</v>
      </c>
      <c r="C18" s="23">
        <f t="shared" si="3"/>
        <v>45901</v>
      </c>
      <c r="E18" s="24" t="str">
        <f>IF(NOT(ISBLANK(G1copy!B18)),G1copy!B18,"")</f>
        <v>2026-01-14T00:00:00.0000000</v>
      </c>
      <c r="F18" s="24" t="str">
        <f>IF(E18&lt;&gt;"",G1copy!A18,"")</f>
        <v>G1 Rep FA</v>
      </c>
      <c r="G18" s="24" t="str">
        <f>IF(E18&lt;&gt;"",G1copy!F18,"")</f>
        <v>2025-09-01T15:51:59.2649181+00:00</v>
      </c>
    </row>
    <row r="19" spans="1:7" ht="15.75" customHeight="1">
      <c r="A19" s="23">
        <f t="shared" si="1"/>
        <v>46043</v>
      </c>
      <c r="B19" t="str">
        <f t="shared" si="2"/>
        <v>Rep WIS</v>
      </c>
      <c r="C19" s="23">
        <f t="shared" si="3"/>
        <v>45901</v>
      </c>
      <c r="E19" s="24" t="str">
        <f>IF(NOT(ISBLANK(G1copy!B19)),G1copy!B19,"")</f>
        <v>2026-01-21T00:00:00.0000000</v>
      </c>
      <c r="F19" s="24" t="str">
        <f>IF(E19&lt;&gt;"",G1copy!A19,"")</f>
        <v>G1 Rep WIS</v>
      </c>
      <c r="G19" s="24" t="str">
        <f>IF(E19&lt;&gt;"",G1copy!F19,"")</f>
        <v>2025-09-01T15:51:58.4387929+00:00</v>
      </c>
    </row>
    <row r="20" spans="1:7" ht="15.75" customHeight="1">
      <c r="A20" s="23">
        <f t="shared" si="1"/>
        <v>46057</v>
      </c>
      <c r="B20" t="str">
        <f t="shared" si="2"/>
        <v>Rep GES</v>
      </c>
      <c r="C20" s="23">
        <f t="shared" si="3"/>
        <v>45901</v>
      </c>
      <c r="E20" s="24" t="str">
        <f>IF(NOT(ISBLANK(G1copy!B20)),G1copy!B20,"")</f>
        <v>2026-02-04T00:00:00.0000000</v>
      </c>
      <c r="F20" s="24" t="str">
        <f>IF(E20&lt;&gt;"",G1copy!A20,"")</f>
        <v>G1 Rep GES</v>
      </c>
      <c r="G20" s="24" t="str">
        <f>IF(E20&lt;&gt;"",G1copy!F20,"")</f>
        <v>2025-09-01T15:51:57.4596655+00:00</v>
      </c>
    </row>
    <row r="21" spans="1:7" ht="15.75" customHeight="1">
      <c r="A21" s="23">
        <f t="shared" si="1"/>
        <v>46064</v>
      </c>
      <c r="B21" t="str">
        <f t="shared" si="2"/>
        <v>Rep EN</v>
      </c>
      <c r="C21" s="23">
        <f t="shared" si="3"/>
        <v>45901</v>
      </c>
      <c r="E21" s="24" t="str">
        <f>IF(NOT(ISBLANK(G1copy!B21)),G1copy!B21,"")</f>
        <v>2026-02-11T00:00:00.0000000</v>
      </c>
      <c r="F21" s="24" t="str">
        <f>IF(E21&lt;&gt;"",G1copy!A21,"")</f>
        <v>G1 Rep EN</v>
      </c>
      <c r="G21" s="24" t="str">
        <f>IF(E21&lt;&gt;"",G1copy!F21,"")</f>
        <v>2025-09-01T15:58:42.2016303+00:00</v>
      </c>
    </row>
    <row r="22" spans="1:7" ht="15.75" customHeight="1">
      <c r="A22" s="23">
        <f t="shared" si="1"/>
        <v>46077</v>
      </c>
      <c r="B22" t="str">
        <f t="shared" si="2"/>
        <v>ABC kunsthal</v>
      </c>
      <c r="C22" s="23">
        <f t="shared" si="3"/>
        <v>45936</v>
      </c>
      <c r="E22" s="24" t="str">
        <f>IF(NOT(ISBLANK(G1copy!B22)),G1copy!B22,"")</f>
        <v>2026-02-24T00:00:00.0000000</v>
      </c>
      <c r="F22" s="24" t="str">
        <f>IF(E22&lt;&gt;"",G1copy!A22,"")</f>
        <v>G1 ABC kunsthal</v>
      </c>
      <c r="G22" s="24" t="str">
        <f>IF(E22&lt;&gt;"",G1copy!F22,"")</f>
        <v>2025-10-06T14:04:28.0359737+00:00</v>
      </c>
    </row>
    <row r="23" spans="1:7" ht="15.75" customHeight="1">
      <c r="A23" s="23">
        <f t="shared" si="1"/>
        <v>46078</v>
      </c>
      <c r="B23" t="str">
        <f t="shared" si="2"/>
        <v>DEFG kunsthal</v>
      </c>
      <c r="C23" s="23">
        <f t="shared" si="3"/>
        <v>45936</v>
      </c>
      <c r="E23" s="24" t="str">
        <f>IF(NOT(ISBLANK(G1copy!B23)),G1copy!B23,"")</f>
        <v>2026-02-25T00:00:00.0000000</v>
      </c>
      <c r="F23" s="24" t="str">
        <f>IF(E23&lt;&gt;"",G1copy!A23,"")</f>
        <v>G1 DEFG kunsthal</v>
      </c>
      <c r="G23" s="24" t="str">
        <f>IF(E23&lt;&gt;"",G1copy!F23,"")</f>
        <v>2025-10-06T14:04:27.904115+00:00</v>
      </c>
    </row>
    <row r="24" spans="1:7" ht="15.75" customHeight="1">
      <c r="A24" s="23">
        <f t="shared" si="1"/>
        <v>46092</v>
      </c>
      <c r="B24" t="str">
        <f t="shared" si="2"/>
        <v>Rep AK</v>
      </c>
      <c r="C24" s="23">
        <f t="shared" si="3"/>
        <v>45901</v>
      </c>
      <c r="E24" s="24" t="str">
        <f>IF(NOT(ISBLANK(G1copy!B24)),G1copy!B24,"")</f>
        <v>2026-03-11T00:00:00.0000000</v>
      </c>
      <c r="F24" s="24" t="str">
        <f>IF(E24&lt;&gt;"",G1copy!A24,"")</f>
        <v>G1 Rep AK</v>
      </c>
      <c r="G24" s="24" t="str">
        <f>IF(E24&lt;&gt;"",G1copy!F24,"")</f>
        <v>2025-09-01T15:51:54.1897017+00:00</v>
      </c>
    </row>
    <row r="25" spans="1:7" ht="15.75" customHeight="1">
      <c r="A25" s="23">
        <f t="shared" si="1"/>
        <v>46099</v>
      </c>
      <c r="B25" t="str">
        <f t="shared" si="2"/>
        <v>Rep LA</v>
      </c>
      <c r="C25" s="23">
        <f t="shared" si="3"/>
        <v>45901</v>
      </c>
      <c r="E25" s="24" t="str">
        <f>IF(NOT(ISBLANK(G1copy!B25)),G1copy!B25,"")</f>
        <v>2026-03-18T00:00:00.0000000</v>
      </c>
      <c r="F25" s="24" t="str">
        <f>IF(E25&lt;&gt;"",G1copy!A25,"")</f>
        <v>G1 Rep LA</v>
      </c>
      <c r="G25" s="24" t="str">
        <f>IF(E25&lt;&gt;"",G1copy!F25,"")</f>
        <v>2025-09-01T15:51:50.8464652+00:00</v>
      </c>
    </row>
    <row r="26" spans="1:7" ht="15.75" customHeight="1">
      <c r="A26" s="23">
        <f t="shared" si="1"/>
        <v>46100</v>
      </c>
      <c r="B26" t="str">
        <f t="shared" si="2"/>
        <v>geroewedstrijd Leerjaar 1</v>
      </c>
      <c r="C26" s="23">
        <f t="shared" si="3"/>
        <v>46042</v>
      </c>
      <c r="E26" s="24" t="str">
        <f>IF(NOT(ISBLANK(G1copy!B26)),G1copy!B26,"")</f>
        <v>2026-03-19T10:45:00.0000000</v>
      </c>
      <c r="F26" s="24" t="str">
        <f>IF(E26&lt;&gt;"",G1copy!A26,"")</f>
        <v>Kangeroewedstrijd Leerjaar 1</v>
      </c>
      <c r="G26" s="24" t="str">
        <f>IF(E26&lt;&gt;"",G1copy!F26,"")</f>
        <v>2026-01-20T11:47:47.5879442+00:00</v>
      </c>
    </row>
    <row r="27" spans="1:7" ht="15.75" customHeight="1">
      <c r="A27" s="23">
        <f t="shared" si="1"/>
        <v>46106</v>
      </c>
      <c r="B27" t="str">
        <f t="shared" si="2"/>
        <v>Rep WIS</v>
      </c>
      <c r="C27" s="23">
        <f t="shared" si="3"/>
        <v>45901</v>
      </c>
      <c r="E27" s="24" t="str">
        <f>IF(NOT(ISBLANK(G1copy!B27)),G1copy!B27,"")</f>
        <v>2026-03-25T00:00:00.0000000</v>
      </c>
      <c r="F27" s="24" t="str">
        <f>IF(E27&lt;&gt;"",G1copy!A27,"")</f>
        <v>G1 Rep WIS</v>
      </c>
      <c r="G27" s="24" t="str">
        <f>IF(E27&lt;&gt;"",G1copy!F27,"")</f>
        <v>2025-09-01T15:51:49.7985498+00:00</v>
      </c>
    </row>
    <row r="28" spans="1:7" ht="15.75" customHeight="1">
      <c r="A28" s="23">
        <f t="shared" si="1"/>
        <v>46113</v>
      </c>
      <c r="B28" t="str">
        <f t="shared" si="2"/>
        <v>Rep FA</v>
      </c>
      <c r="C28" s="23">
        <f t="shared" si="3"/>
        <v>45901</v>
      </c>
      <c r="E28" s="24" t="str">
        <f>IF(NOT(ISBLANK(G1copy!B28)),G1copy!B28,"")</f>
        <v>2026-04-01T00:00:00.0000000</v>
      </c>
      <c r="F28" s="24" t="str">
        <f>IF(E28&lt;&gt;"",G1copy!A28,"")</f>
        <v>G1 Rep FA</v>
      </c>
      <c r="G28" s="24" t="str">
        <f>IF(E28&lt;&gt;"",G1copy!F28,"")</f>
        <v>2025-09-01T15:51:48.6800996+00:00</v>
      </c>
    </row>
    <row r="29" spans="1:7" ht="15.75" customHeight="1">
      <c r="A29" s="23">
        <f t="shared" si="1"/>
        <v>46120</v>
      </c>
      <c r="B29" t="str">
        <f t="shared" si="2"/>
        <v>Rep EN</v>
      </c>
      <c r="C29" s="23">
        <f t="shared" si="3"/>
        <v>45901</v>
      </c>
      <c r="E29" s="24" t="str">
        <f>IF(NOT(ISBLANK(G1copy!B29)),G1copy!B29,"")</f>
        <v>2026-04-08T00:00:00.0000000</v>
      </c>
      <c r="F29" s="24" t="str">
        <f>IF(E29&lt;&gt;"",G1copy!A29,"")</f>
        <v>G1 Rep EN</v>
      </c>
      <c r="G29" s="24" t="str">
        <f>IF(E29&lt;&gt;"",G1copy!F29,"")</f>
        <v>2025-09-01T15:54:55.6837242+00:00</v>
      </c>
    </row>
    <row r="30" spans="1:7" ht="15.75" customHeight="1">
      <c r="A30" s="23">
        <f t="shared" si="1"/>
        <v>46134</v>
      </c>
      <c r="B30" t="str">
        <f t="shared" si="2"/>
        <v>Rep BIO</v>
      </c>
      <c r="C30" s="23">
        <f t="shared" si="3"/>
        <v>45901</v>
      </c>
      <c r="E30" s="24" t="str">
        <f>IF(NOT(ISBLANK(G1copy!B30)),G1copy!B30,"")</f>
        <v>2026-04-22T00:00:00.0000000</v>
      </c>
      <c r="F30" s="24" t="str">
        <f>IF(E30&lt;&gt;"",G1copy!A30,"")</f>
        <v>G1 Rep BIO</v>
      </c>
      <c r="G30" s="24" t="str">
        <f>IF(E30&lt;&gt;"",G1copy!F30,"")</f>
        <v>2025-09-01T15:51:45.4576515+00:00</v>
      </c>
    </row>
    <row r="31" spans="1:7" ht="15.75" customHeight="1">
      <c r="A31" s="23">
        <f t="shared" si="1"/>
        <v>46155</v>
      </c>
      <c r="B31" t="str">
        <f t="shared" si="2"/>
        <v>Rep GES</v>
      </c>
      <c r="C31" s="23">
        <f t="shared" si="3"/>
        <v>45901</v>
      </c>
      <c r="E31" s="24" t="str">
        <f>IF(NOT(ISBLANK(G1copy!B31)),G1copy!B31,"")</f>
        <v>2026-05-13T00:00:00.0000000</v>
      </c>
      <c r="F31" s="24" t="str">
        <f>IF(E31&lt;&gt;"",G1copy!A31,"")</f>
        <v>G1 Rep GES</v>
      </c>
      <c r="G31" s="24" t="str">
        <f>IF(E31&lt;&gt;"",G1copy!F31,"")</f>
        <v>2025-09-01T15:51:44.4090603+00:00</v>
      </c>
    </row>
    <row r="32" spans="1:7" ht="15.75" customHeight="1">
      <c r="A32" s="23">
        <f t="shared" si="1"/>
        <v>46169</v>
      </c>
      <c r="B32" t="str">
        <f t="shared" si="2"/>
        <v>Rep AK</v>
      </c>
      <c r="C32" s="23">
        <f t="shared" si="3"/>
        <v>45901</v>
      </c>
      <c r="E32" s="24" t="str">
        <f>IF(NOT(ISBLANK(G1copy!B32)),G1copy!B32,"")</f>
        <v>2026-05-27T00:00:00.0000000</v>
      </c>
      <c r="F32" s="24" t="str">
        <f>IF(E32&lt;&gt;"",G1copy!A32,"")</f>
        <v>G1 Rep AK</v>
      </c>
      <c r="G32" s="24" t="str">
        <f>IF(E32&lt;&gt;"",G1copy!F32,"")</f>
        <v>2025-09-01T15:51:43.2432258+00:00</v>
      </c>
    </row>
    <row r="33" spans="1:7" ht="15.75" customHeight="1">
      <c r="A33" s="23">
        <f t="shared" si="1"/>
        <v>46202</v>
      </c>
      <c r="B33" t="str">
        <f t="shared" si="2"/>
        <v>Rep LA</v>
      </c>
      <c r="C33" s="23">
        <f t="shared" si="3"/>
        <v>45896</v>
      </c>
      <c r="E33" s="24" t="str">
        <f>IF(NOT(ISBLANK(G1copy!B33)),G1copy!B33,"")</f>
        <v>2026-06-29T00:00:00.0000000</v>
      </c>
      <c r="F33" s="24" t="str">
        <f>IF(E33&lt;&gt;"",G1copy!A33,"")</f>
        <v>G1 Rep LA</v>
      </c>
      <c r="G33" s="24" t="str">
        <f>IF(E33&lt;&gt;"",G1copy!F33,"")</f>
        <v>2025-08-27T18:07:37.595451+00:00</v>
      </c>
    </row>
    <row r="34" spans="1:7" ht="15.75" customHeight="1">
      <c r="A34" s="23">
        <f t="shared" si="1"/>
        <v>46203</v>
      </c>
      <c r="B34" t="str">
        <f t="shared" si="2"/>
        <v>Rep WIS</v>
      </c>
      <c r="C34" s="23">
        <f t="shared" si="3"/>
        <v>45896</v>
      </c>
      <c r="E34" s="24" t="str">
        <f>IF(NOT(ISBLANK(G1copy!B34)),G1copy!B34,"")</f>
        <v>2026-06-30T00:00:00.0000000</v>
      </c>
      <c r="F34" s="24" t="str">
        <f>IF(E34&lt;&gt;"",G1copy!A34,"")</f>
        <v>G1 Rep WIS</v>
      </c>
      <c r="G34" s="24" t="str">
        <f>IF(E34&lt;&gt;"",G1copy!F34,"")</f>
        <v>2025-08-27T18:07:37.4733707+00:00</v>
      </c>
    </row>
    <row r="35" spans="1:7" ht="15.75" customHeight="1">
      <c r="A35" s="23">
        <f t="shared" si="1"/>
        <v>46204</v>
      </c>
      <c r="B35" t="str">
        <f t="shared" si="2"/>
        <v>Rep FA</v>
      </c>
      <c r="C35" s="23">
        <f t="shared" si="3"/>
        <v>45896</v>
      </c>
      <c r="E35" s="24" t="str">
        <f>IF(NOT(ISBLANK(G1copy!B35)),G1copy!B35,"")</f>
        <v>2026-07-01T00:00:00.0000000</v>
      </c>
      <c r="F35" s="24" t="str">
        <f>IF(E35&lt;&gt;"",G1copy!A35,"")</f>
        <v>G1 Rep FA</v>
      </c>
      <c r="G35" s="24" t="str">
        <f>IF(E35&lt;&gt;"",G1copy!F35,"")</f>
        <v>2025-08-27T18:07:37.379204+00:00</v>
      </c>
    </row>
    <row r="36" spans="1:7" ht="15.75" customHeight="1">
      <c r="A36" s="23">
        <f t="shared" si="1"/>
        <v>46205</v>
      </c>
      <c r="B36" t="str">
        <f t="shared" si="2"/>
        <v>Rep EN</v>
      </c>
      <c r="C36" s="23">
        <f t="shared" si="3"/>
        <v>45896</v>
      </c>
      <c r="E36" s="24" t="str">
        <f>IF(NOT(ISBLANK(G1copy!B36)),G1copy!B36,"")</f>
        <v>2026-07-02T00:00:00.0000000</v>
      </c>
      <c r="F36" s="24" t="str">
        <f>IF(E36&lt;&gt;"",G1copy!A36,"")</f>
        <v>G1 Rep EN</v>
      </c>
      <c r="G36" s="24" t="str">
        <f>IF(E36&lt;&gt;"",G1copy!F36,"")</f>
        <v>2025-08-27T18:07:37.8190336+00:00</v>
      </c>
    </row>
    <row r="37" spans="1:7" ht="15.75" customHeight="1">
      <c r="A37" s="23">
        <f t="shared" si="1"/>
        <v>46209</v>
      </c>
      <c r="B37" t="str">
        <f t="shared" si="2"/>
        <v>inhalen</v>
      </c>
      <c r="C37" s="23">
        <f t="shared" si="3"/>
        <v>45896</v>
      </c>
      <c r="E37" s="24" t="str">
        <f>IF(NOT(ISBLANK(G1copy!B37)),G1copy!B37,"")</f>
        <v>2026-07-06T00:00:00.0000000</v>
      </c>
      <c r="F37" s="24" t="str">
        <f>IF(E37&lt;&gt;"",G1copy!A37,"")</f>
        <v>G1 inhalen</v>
      </c>
      <c r="G37" s="24" t="str">
        <f>IF(E37&lt;&gt;"",G1copy!F37,"")</f>
        <v>2025-08-27T18:07:37.6291749+00:00</v>
      </c>
    </row>
    <row r="38" spans="1:7" ht="15.75" customHeight="1">
      <c r="A38" s="23">
        <f t="shared" si="1"/>
        <v>46212</v>
      </c>
      <c r="B38" t="str">
        <f t="shared" si="2"/>
        <v>cijfers inleveren</v>
      </c>
      <c r="C38" s="23">
        <f t="shared" si="3"/>
        <v>45896</v>
      </c>
      <c r="E38" s="24" t="str">
        <f>IF(NOT(ISBLANK(G1copy!B38)),G1copy!B38,"")</f>
        <v>2026-07-09T00:00:00.0000000</v>
      </c>
      <c r="F38" s="24" t="str">
        <f>IF(E38&lt;&gt;"",G1copy!A38,"")</f>
        <v>G1 cijfers inleveren</v>
      </c>
      <c r="G38" s="24" t="str">
        <f>IF(E38&lt;&gt;"",G1copy!F38,"")</f>
        <v>2025-08-27T18:07:37.4944548+00:00</v>
      </c>
    </row>
    <row r="39" spans="1:7" ht="15.75" customHeight="1">
      <c r="A39" s="23">
        <f t="shared" si="1"/>
        <v>46216</v>
      </c>
      <c r="B39" t="str">
        <f t="shared" si="2"/>
        <v>overgangsverg 8.15</v>
      </c>
      <c r="C39" s="23">
        <f t="shared" si="3"/>
        <v>45896</v>
      </c>
      <c r="E39" s="24" t="str">
        <f>IF(NOT(ISBLANK(G1copy!B39)),G1copy!B39,"")</f>
        <v>2026-07-13T00:00:00.0000000</v>
      </c>
      <c r="F39" s="24" t="str">
        <f>IF(E39&lt;&gt;"",G1copy!A39,"")</f>
        <v>G1 overgangsverg 8.15</v>
      </c>
      <c r="G39" s="24" t="str">
        <f>IF(E39&lt;&gt;"",G1copy!F39,"")</f>
        <v>2025-08-27T18:07:36.6912561+00:00</v>
      </c>
    </row>
    <row r="40" spans="1:7" ht="15.75" customHeight="1">
      <c r="A40" s="23" t="str">
        <f t="shared" si="1"/>
        <v/>
      </c>
      <c r="B40" t="str">
        <f t="shared" si="2"/>
        <v/>
      </c>
      <c r="C40" s="23" t="str">
        <f t="shared" si="3"/>
        <v/>
      </c>
      <c r="E40" s="24" t="str">
        <f>IF(NOT(ISBLANK(G1copy!B40)),G1copy!B40,"")</f>
        <v/>
      </c>
      <c r="F40" s="24" t="str">
        <f>IF(E40&lt;&gt;"",G1copy!A40,"")</f>
        <v/>
      </c>
      <c r="G40" s="24" t="str">
        <f>IF(E40&lt;&gt;"",G1copy!F40,"")</f>
        <v/>
      </c>
    </row>
    <row r="41" spans="1:7" ht="15.75" customHeight="1">
      <c r="A41" s="23" t="str">
        <f t="shared" si="1"/>
        <v/>
      </c>
      <c r="B41" t="str">
        <f t="shared" si="2"/>
        <v/>
      </c>
      <c r="C41" s="23" t="str">
        <f t="shared" si="3"/>
        <v/>
      </c>
      <c r="E41" s="24" t="str">
        <f>IF(NOT(ISBLANK(G1copy!B41)),G1copy!B41,"")</f>
        <v/>
      </c>
      <c r="F41" s="24" t="str">
        <f>IF(E41&lt;&gt;"",G1copy!A41,"")</f>
        <v/>
      </c>
      <c r="G41" s="24" t="str">
        <f>IF(E41&lt;&gt;"",G1copy!F41,"")</f>
        <v/>
      </c>
    </row>
    <row r="42" spans="1:7" ht="15.75" customHeight="1">
      <c r="A42" s="23" t="str">
        <f t="shared" si="1"/>
        <v/>
      </c>
      <c r="B42" t="str">
        <f t="shared" si="2"/>
        <v/>
      </c>
      <c r="C42" s="23" t="str">
        <f t="shared" si="3"/>
        <v/>
      </c>
      <c r="E42" s="24" t="str">
        <f>IF(NOT(ISBLANK(G1copy!B42)),G1copy!B42,"")</f>
        <v/>
      </c>
      <c r="F42" s="24" t="str">
        <f>IF(E42&lt;&gt;"",G1copy!A42,"")</f>
        <v/>
      </c>
      <c r="G42" s="24" t="str">
        <f>IF(E42&lt;&gt;"",G1copy!F42,"")</f>
        <v/>
      </c>
    </row>
    <row r="43" spans="1:7" ht="15.75" customHeight="1">
      <c r="A43" s="23" t="str">
        <f t="shared" si="1"/>
        <v/>
      </c>
      <c r="B43" t="str">
        <f t="shared" si="2"/>
        <v/>
      </c>
      <c r="C43" s="23" t="str">
        <f t="shared" si="3"/>
        <v/>
      </c>
      <c r="E43" s="24" t="str">
        <f>IF(NOT(ISBLANK(G1copy!B43)),G1copy!B43,"")</f>
        <v/>
      </c>
      <c r="F43" s="24" t="str">
        <f>IF(E43&lt;&gt;"",G1copy!A43,"")</f>
        <v/>
      </c>
      <c r="G43" s="24" t="str">
        <f>IF(E43&lt;&gt;"",G1copy!F43,"")</f>
        <v/>
      </c>
    </row>
    <row r="44" spans="1:7" ht="15.75" customHeight="1">
      <c r="A44" s="23" t="str">
        <f t="shared" si="1"/>
        <v/>
      </c>
      <c r="B44" t="str">
        <f t="shared" si="2"/>
        <v/>
      </c>
      <c r="C44" s="23" t="str">
        <f t="shared" si="3"/>
        <v/>
      </c>
      <c r="E44" s="24" t="str">
        <f>IF(NOT(ISBLANK(G1copy!B44)),G1copy!B44,"")</f>
        <v/>
      </c>
      <c r="F44" s="24" t="str">
        <f>IF(E44&lt;&gt;"",G1copy!A44,"")</f>
        <v/>
      </c>
      <c r="G44" s="24" t="str">
        <f>IF(E44&lt;&gt;"",G1copy!F44,"")</f>
        <v/>
      </c>
    </row>
    <row r="45" spans="1:7" ht="15.75" customHeight="1">
      <c r="A45" s="23" t="str">
        <f t="shared" si="1"/>
        <v/>
      </c>
      <c r="B45" t="str">
        <f t="shared" si="2"/>
        <v/>
      </c>
      <c r="C45" s="23" t="str">
        <f t="shared" si="3"/>
        <v/>
      </c>
      <c r="E45" s="24" t="str">
        <f>IF(NOT(ISBLANK(G1copy!B45)),G1copy!B45,"")</f>
        <v/>
      </c>
      <c r="F45" s="24" t="str">
        <f>IF(E45&lt;&gt;"",G1copy!A45,"")</f>
        <v/>
      </c>
      <c r="G45" s="24" t="str">
        <f>IF(E45&lt;&gt;"",G1copy!F45,"")</f>
        <v/>
      </c>
    </row>
    <row r="46" spans="1:7" ht="15.75" customHeight="1">
      <c r="A46" s="23" t="str">
        <f t="shared" si="1"/>
        <v/>
      </c>
      <c r="B46" t="str">
        <f t="shared" si="2"/>
        <v/>
      </c>
      <c r="C46" s="23" t="str">
        <f t="shared" si="3"/>
        <v/>
      </c>
      <c r="E46" s="24" t="str">
        <f>IF(NOT(ISBLANK(G1copy!B46)),G1copy!B46,"")</f>
        <v/>
      </c>
      <c r="F46" s="24" t="str">
        <f>IF(E46&lt;&gt;"",G1copy!A46,"")</f>
        <v/>
      </c>
      <c r="G46" s="24" t="str">
        <f>IF(E46&lt;&gt;"",G1copy!F46,"")</f>
        <v/>
      </c>
    </row>
    <row r="47" spans="1:7" ht="15.75" customHeight="1">
      <c r="A47" s="23" t="str">
        <f t="shared" si="1"/>
        <v/>
      </c>
      <c r="B47" t="str">
        <f t="shared" si="2"/>
        <v/>
      </c>
      <c r="C47" s="23" t="str">
        <f t="shared" si="3"/>
        <v/>
      </c>
      <c r="E47" s="24" t="str">
        <f>IF(NOT(ISBLANK(G1copy!B47)),G1copy!B47,"")</f>
        <v/>
      </c>
      <c r="F47" s="24" t="str">
        <f>IF(E47&lt;&gt;"",G1copy!A47,"")</f>
        <v/>
      </c>
      <c r="G47" s="24" t="str">
        <f>IF(E47&lt;&gt;"",G1copy!F47,"")</f>
        <v/>
      </c>
    </row>
    <row r="48" spans="1:7" ht="15.75" customHeight="1">
      <c r="A48" s="23" t="str">
        <f t="shared" si="1"/>
        <v/>
      </c>
      <c r="B48" t="str">
        <f t="shared" si="2"/>
        <v/>
      </c>
      <c r="C48" s="23" t="str">
        <f t="shared" si="3"/>
        <v/>
      </c>
      <c r="E48" s="24" t="str">
        <f>IF(NOT(ISBLANK(G1copy!B48)),G1copy!B48,"")</f>
        <v/>
      </c>
      <c r="F48" s="24" t="str">
        <f>IF(E48&lt;&gt;"",G1copy!A48,"")</f>
        <v/>
      </c>
      <c r="G48" s="24" t="str">
        <f>IF(E48&lt;&gt;"",G1copy!F48,"")</f>
        <v/>
      </c>
    </row>
    <row r="49" spans="1:7" ht="15.75" customHeight="1">
      <c r="A49" s="23" t="str">
        <f t="shared" si="1"/>
        <v/>
      </c>
      <c r="B49" t="str">
        <f t="shared" si="2"/>
        <v/>
      </c>
      <c r="C49" s="23" t="str">
        <f t="shared" si="3"/>
        <v/>
      </c>
      <c r="E49" s="24" t="str">
        <f>IF(NOT(ISBLANK(G1copy!B49)),G1copy!B49,"")</f>
        <v/>
      </c>
      <c r="F49" s="24" t="str">
        <f>IF(E49&lt;&gt;"",G1copy!A49,"")</f>
        <v/>
      </c>
      <c r="G49" s="24" t="str">
        <f>IF(E49&lt;&gt;"",G1copy!F49,"")</f>
        <v/>
      </c>
    </row>
    <row r="50" spans="1:7" ht="15.75" customHeight="1">
      <c r="A50" s="23" t="str">
        <f t="shared" si="1"/>
        <v/>
      </c>
      <c r="B50" t="str">
        <f t="shared" si="2"/>
        <v/>
      </c>
      <c r="C50" s="23" t="str">
        <f t="shared" si="3"/>
        <v/>
      </c>
      <c r="E50" s="24" t="str">
        <f>IF(NOT(ISBLANK(G1copy!B50)),G1copy!B50,"")</f>
        <v/>
      </c>
      <c r="F50" s="24" t="str">
        <f>IF(E50&lt;&gt;"",G1copy!A50,"")</f>
        <v/>
      </c>
      <c r="G50" s="24" t="str">
        <f>IF(E50&lt;&gt;"",G1copy!F50,"")</f>
        <v/>
      </c>
    </row>
    <row r="51" spans="1:7" ht="15.75" customHeight="1">
      <c r="A51" s="23" t="str">
        <f t="shared" si="1"/>
        <v/>
      </c>
      <c r="B51" t="str">
        <f t="shared" si="2"/>
        <v/>
      </c>
      <c r="C51" s="23" t="str">
        <f t="shared" si="3"/>
        <v/>
      </c>
      <c r="E51" s="24" t="str">
        <f>IF(NOT(ISBLANK(G1copy!B51)),G1copy!B51,"")</f>
        <v/>
      </c>
      <c r="F51" s="24" t="str">
        <f>IF(E51&lt;&gt;"",G1copy!A51,"")</f>
        <v/>
      </c>
      <c r="G51" s="24" t="str">
        <f>IF(E51&lt;&gt;"",G1copy!F51,"")</f>
        <v/>
      </c>
    </row>
    <row r="52" spans="1:7" ht="15.75" customHeight="1">
      <c r="A52" s="23" t="str">
        <f t="shared" si="1"/>
        <v/>
      </c>
      <c r="B52" t="str">
        <f t="shared" si="2"/>
        <v/>
      </c>
      <c r="C52" s="23" t="str">
        <f t="shared" si="3"/>
        <v/>
      </c>
      <c r="E52" s="24" t="str">
        <f>IF(NOT(ISBLANK(G1copy!B52)),G1copy!B52,"")</f>
        <v/>
      </c>
      <c r="F52" s="24" t="str">
        <f>IF(E52&lt;&gt;"",G1copy!A52,"")</f>
        <v/>
      </c>
      <c r="G52" s="24" t="str">
        <f>IF(E52&lt;&gt;"",G1copy!F52,"")</f>
        <v/>
      </c>
    </row>
    <row r="53" spans="1:7" ht="15.75" customHeight="1">
      <c r="A53" s="23" t="str">
        <f t="shared" si="1"/>
        <v/>
      </c>
      <c r="B53" t="str">
        <f t="shared" si="2"/>
        <v/>
      </c>
      <c r="C53" s="23" t="str">
        <f t="shared" si="3"/>
        <v/>
      </c>
      <c r="E53" s="24" t="str">
        <f>IF(NOT(ISBLANK(G1copy!B53)),G1copy!B53,"")</f>
        <v/>
      </c>
      <c r="F53" s="24" t="str">
        <f>IF(E53&lt;&gt;"",G1copy!A53,"")</f>
        <v/>
      </c>
      <c r="G53" s="24" t="str">
        <f>IF(E53&lt;&gt;"",G1copy!F53,"")</f>
        <v/>
      </c>
    </row>
    <row r="54" spans="1:7" ht="15.75" customHeight="1">
      <c r="A54" s="23" t="str">
        <f t="shared" si="1"/>
        <v/>
      </c>
      <c r="B54" t="str">
        <f t="shared" si="2"/>
        <v/>
      </c>
      <c r="C54" s="23" t="str">
        <f t="shared" si="3"/>
        <v/>
      </c>
      <c r="E54" s="24" t="str">
        <f>IF(NOT(ISBLANK(G1copy!B54)),G1copy!B54,"")</f>
        <v/>
      </c>
      <c r="F54" s="24" t="str">
        <f>IF(E54&lt;&gt;"",G1copy!A54,"")</f>
        <v/>
      </c>
      <c r="G54" s="24" t="str">
        <f>IF(E54&lt;&gt;"",G1copy!F54,"")</f>
        <v/>
      </c>
    </row>
    <row r="55" spans="1:7" ht="15.75" customHeight="1">
      <c r="A55" s="23" t="str">
        <f t="shared" si="1"/>
        <v/>
      </c>
      <c r="B55" t="str">
        <f t="shared" si="2"/>
        <v/>
      </c>
      <c r="C55" s="23" t="str">
        <f t="shared" si="3"/>
        <v/>
      </c>
      <c r="E55" s="24" t="str">
        <f>IF(NOT(ISBLANK(G1copy!B55)),G1copy!B55,"")</f>
        <v/>
      </c>
      <c r="F55" s="24" t="str">
        <f>IF(E55&lt;&gt;"",G1copy!A55,"")</f>
        <v/>
      </c>
      <c r="G55" s="24" t="str">
        <f>IF(E55&lt;&gt;"",G1copy!F55,"")</f>
        <v/>
      </c>
    </row>
    <row r="56" spans="1:7" ht="15.75" customHeight="1">
      <c r="A56" s="23" t="str">
        <f t="shared" si="1"/>
        <v/>
      </c>
      <c r="B56" t="str">
        <f t="shared" si="2"/>
        <v/>
      </c>
      <c r="C56" s="23" t="str">
        <f t="shared" si="3"/>
        <v/>
      </c>
      <c r="E56" s="24" t="str">
        <f>IF(NOT(ISBLANK(G1copy!B56)),G1copy!B56,"")</f>
        <v/>
      </c>
      <c r="F56" s="24" t="str">
        <f>IF(E56&lt;&gt;"",G1copy!A56,"")</f>
        <v/>
      </c>
      <c r="G56" s="24" t="str">
        <f>IF(E56&lt;&gt;"",G1copy!F56,"")</f>
        <v/>
      </c>
    </row>
    <row r="57" spans="1:7" ht="15.75" customHeight="1">
      <c r="A57" s="23" t="str">
        <f t="shared" si="1"/>
        <v/>
      </c>
      <c r="B57" t="str">
        <f t="shared" si="2"/>
        <v/>
      </c>
      <c r="C57" s="23" t="str">
        <f t="shared" si="3"/>
        <v/>
      </c>
      <c r="E57" s="24" t="str">
        <f>IF(NOT(ISBLANK(G1copy!B57)),G1copy!B57,"")</f>
        <v/>
      </c>
      <c r="F57" s="24" t="str">
        <f>IF(E57&lt;&gt;"",G1copy!A57,"")</f>
        <v/>
      </c>
      <c r="G57" s="24" t="str">
        <f>IF(E57&lt;&gt;"",G1copy!F57,"")</f>
        <v/>
      </c>
    </row>
    <row r="58" spans="1:7" ht="15.75" customHeight="1">
      <c r="A58" s="23" t="str">
        <f t="shared" si="1"/>
        <v/>
      </c>
      <c r="B58" t="str">
        <f t="shared" si="2"/>
        <v/>
      </c>
      <c r="C58" s="23" t="str">
        <f t="shared" si="3"/>
        <v/>
      </c>
      <c r="E58" s="24" t="str">
        <f>IF(NOT(ISBLANK(G1copy!B58)),G1copy!B58,"")</f>
        <v/>
      </c>
      <c r="F58" s="24" t="str">
        <f>IF(E58&lt;&gt;"",G1copy!A58,"")</f>
        <v/>
      </c>
      <c r="G58" s="24" t="str">
        <f>IF(E58&lt;&gt;"",G1copy!F58,"")</f>
        <v/>
      </c>
    </row>
    <row r="59" spans="1:7" ht="15.75" customHeight="1">
      <c r="A59" s="23" t="str">
        <f t="shared" si="1"/>
        <v/>
      </c>
      <c r="B59" t="str">
        <f t="shared" si="2"/>
        <v/>
      </c>
      <c r="C59" s="23" t="str">
        <f t="shared" si="3"/>
        <v/>
      </c>
      <c r="E59" s="24" t="str">
        <f>IF(NOT(ISBLANK(G1copy!B59)),G1copy!B59,"")</f>
        <v/>
      </c>
      <c r="F59" s="24" t="str">
        <f>IF(E59&lt;&gt;"",G1copy!A59,"")</f>
        <v/>
      </c>
      <c r="G59" s="24" t="str">
        <f>IF(E59&lt;&gt;"",G1copy!F59,"")</f>
        <v/>
      </c>
    </row>
    <row r="60" spans="1:7" ht="15.75" customHeight="1">
      <c r="A60" s="23" t="str">
        <f t="shared" si="1"/>
        <v/>
      </c>
      <c r="B60" t="str">
        <f t="shared" si="2"/>
        <v/>
      </c>
      <c r="C60" s="23" t="str">
        <f t="shared" si="3"/>
        <v/>
      </c>
      <c r="E60" s="24" t="str">
        <f>IF(NOT(ISBLANK(G1copy!B60)),G1copy!B60,"")</f>
        <v/>
      </c>
      <c r="F60" s="24" t="str">
        <f>IF(E60&lt;&gt;"",G1copy!A60,"")</f>
        <v/>
      </c>
      <c r="G60" s="24" t="str">
        <f>IF(E60&lt;&gt;"",G1copy!F60,"")</f>
        <v/>
      </c>
    </row>
    <row r="61" spans="1:7" ht="15.75" customHeight="1">
      <c r="A61" s="23" t="str">
        <f t="shared" si="1"/>
        <v/>
      </c>
      <c r="B61" t="str">
        <f t="shared" si="2"/>
        <v/>
      </c>
      <c r="C61" s="23" t="str">
        <f t="shared" si="3"/>
        <v/>
      </c>
      <c r="E61" s="24" t="str">
        <f>IF(NOT(ISBLANK(G1copy!B61)),G1copy!B61,"")</f>
        <v/>
      </c>
      <c r="F61" s="24" t="str">
        <f>IF(E61&lt;&gt;"",G1copy!A61,"")</f>
        <v/>
      </c>
      <c r="G61" s="24" t="str">
        <f>IF(E61&lt;&gt;"",G1copy!F61,"")</f>
        <v/>
      </c>
    </row>
    <row r="62" spans="1:7" ht="15.75" customHeight="1">
      <c r="A62" s="23" t="str">
        <f t="shared" si="1"/>
        <v/>
      </c>
      <c r="B62" t="str">
        <f t="shared" si="2"/>
        <v/>
      </c>
      <c r="C62" s="23" t="str">
        <f t="shared" si="3"/>
        <v/>
      </c>
      <c r="E62" s="24" t="str">
        <f>IF(NOT(ISBLANK(G1copy!B62)),G1copy!B62,"")</f>
        <v/>
      </c>
      <c r="F62" s="24" t="str">
        <f>IF(E62&lt;&gt;"",G1copy!A62,"")</f>
        <v/>
      </c>
      <c r="G62" s="24" t="str">
        <f>IF(E62&lt;&gt;"",G1copy!F62,"")</f>
        <v/>
      </c>
    </row>
    <row r="63" spans="1:7" ht="15.75" customHeight="1">
      <c r="A63" s="23" t="str">
        <f t="shared" si="1"/>
        <v/>
      </c>
      <c r="B63" t="str">
        <f t="shared" si="2"/>
        <v/>
      </c>
      <c r="C63" s="23" t="str">
        <f t="shared" si="3"/>
        <v/>
      </c>
      <c r="E63" s="24" t="str">
        <f>IF(NOT(ISBLANK(G1copy!B63)),G1copy!B63,"")</f>
        <v/>
      </c>
      <c r="F63" s="24" t="str">
        <f>IF(E63&lt;&gt;"",G1copy!A63,"")</f>
        <v/>
      </c>
      <c r="G63" s="24" t="str">
        <f>IF(E63&lt;&gt;"",G1copy!F63,"")</f>
        <v/>
      </c>
    </row>
    <row r="64" spans="1:7" ht="15.75" customHeight="1">
      <c r="A64" s="23" t="str">
        <f t="shared" si="1"/>
        <v/>
      </c>
      <c r="B64" t="str">
        <f t="shared" si="2"/>
        <v/>
      </c>
      <c r="C64" s="23" t="str">
        <f t="shared" si="3"/>
        <v/>
      </c>
      <c r="E64" s="24" t="str">
        <f>IF(NOT(ISBLANK(G1copy!B64)),G1copy!B64,"")</f>
        <v/>
      </c>
      <c r="F64" s="24" t="str">
        <f>IF(E64&lt;&gt;"",G1copy!A64,"")</f>
        <v/>
      </c>
      <c r="G64" s="24" t="str">
        <f>IF(E64&lt;&gt;"",G1copy!F64,"")</f>
        <v/>
      </c>
    </row>
    <row r="65" spans="1:7" ht="15.75" customHeight="1">
      <c r="A65" s="23" t="str">
        <f t="shared" si="1"/>
        <v/>
      </c>
      <c r="B65" t="str">
        <f t="shared" si="2"/>
        <v/>
      </c>
      <c r="C65" s="23" t="str">
        <f t="shared" si="3"/>
        <v/>
      </c>
      <c r="E65" s="24" t="str">
        <f>IF(NOT(ISBLANK(G1copy!B65)),G1copy!B65,"")</f>
        <v/>
      </c>
      <c r="F65" s="24" t="str">
        <f>IF(E65&lt;&gt;"",G1copy!A65,"")</f>
        <v/>
      </c>
      <c r="G65" s="24" t="str">
        <f>IF(E65&lt;&gt;"",G1copy!F65,"")</f>
        <v/>
      </c>
    </row>
    <row r="66" spans="1:7" ht="15.75" customHeight="1">
      <c r="A66" s="23" t="str">
        <f t="shared" si="1"/>
        <v/>
      </c>
      <c r="B66" t="str">
        <f t="shared" si="2"/>
        <v/>
      </c>
      <c r="C66" s="23" t="str">
        <f t="shared" si="3"/>
        <v/>
      </c>
      <c r="E66" s="24" t="str">
        <f>IF(NOT(ISBLANK(G1copy!B66)),G1copy!B66,"")</f>
        <v/>
      </c>
      <c r="F66" s="24" t="str">
        <f>IF(E66&lt;&gt;"",G1copy!A66,"")</f>
        <v/>
      </c>
      <c r="G66" s="24" t="str">
        <f>IF(E66&lt;&gt;"",G1copy!F66,"")</f>
        <v/>
      </c>
    </row>
    <row r="67" spans="1:7" ht="15.75" customHeight="1">
      <c r="A67" s="23" t="str">
        <f t="shared" ref="A67:A130" si="4">IF(E67&lt;&gt;"",DATEVALUE(LEFT(E67,10)),"")</f>
        <v/>
      </c>
      <c r="B67" t="str">
        <f t="shared" ref="B67:B130" si="5">IF(LEN(F67)&gt;3,RIGHT(F67,LEN(F67)-3),"")</f>
        <v/>
      </c>
      <c r="C67" s="23" t="str">
        <f t="shared" ref="C67:C130" si="6">IF(E67&lt;&gt;"",DATEVALUE(LEFT(G67,10)),"")</f>
        <v/>
      </c>
      <c r="E67" s="24" t="str">
        <f>IF(NOT(ISBLANK(G1copy!B67)),G1copy!B67,"")</f>
        <v/>
      </c>
      <c r="F67" s="24" t="str">
        <f>IF(E67&lt;&gt;"",G1copy!A67,"")</f>
        <v/>
      </c>
      <c r="G67" s="24" t="str">
        <f>IF(E67&lt;&gt;"",G1copy!F67,"")</f>
        <v/>
      </c>
    </row>
    <row r="68" spans="1:7" ht="15.75" customHeight="1">
      <c r="A68" s="23" t="str">
        <f t="shared" si="4"/>
        <v/>
      </c>
      <c r="B68" t="str">
        <f t="shared" si="5"/>
        <v/>
      </c>
      <c r="C68" s="23" t="str">
        <f t="shared" si="6"/>
        <v/>
      </c>
      <c r="E68" s="24" t="str">
        <f>IF(NOT(ISBLANK(G1copy!B68)),G1copy!B68,"")</f>
        <v/>
      </c>
      <c r="F68" s="24" t="str">
        <f>IF(E68&lt;&gt;"",G1copy!A68,"")</f>
        <v/>
      </c>
      <c r="G68" s="24" t="str">
        <f>IF(E68&lt;&gt;"",G1copy!F68,"")</f>
        <v/>
      </c>
    </row>
    <row r="69" spans="1:7" ht="15.75" customHeight="1">
      <c r="A69" s="23" t="str">
        <f t="shared" si="4"/>
        <v/>
      </c>
      <c r="B69" t="str">
        <f t="shared" si="5"/>
        <v/>
      </c>
      <c r="C69" s="23" t="str">
        <f t="shared" si="6"/>
        <v/>
      </c>
      <c r="E69" s="24" t="str">
        <f>IF(NOT(ISBLANK(G1copy!B69)),G1copy!B69,"")</f>
        <v/>
      </c>
      <c r="F69" s="24" t="str">
        <f>IF(E69&lt;&gt;"",G1copy!A69,"")</f>
        <v/>
      </c>
      <c r="G69" s="24" t="str">
        <f>IF(E69&lt;&gt;"",G1copy!F69,"")</f>
        <v/>
      </c>
    </row>
    <row r="70" spans="1:7" ht="15.75" customHeight="1">
      <c r="A70" s="23" t="str">
        <f t="shared" si="4"/>
        <v/>
      </c>
      <c r="B70" t="str">
        <f t="shared" si="5"/>
        <v/>
      </c>
      <c r="C70" s="23" t="str">
        <f t="shared" si="6"/>
        <v/>
      </c>
      <c r="E70" s="24" t="str">
        <f>IF(NOT(ISBLANK(G1copy!B70)),G1copy!B70,"")</f>
        <v/>
      </c>
      <c r="F70" s="24" t="str">
        <f>IF(E70&lt;&gt;"",G1copy!A70,"")</f>
        <v/>
      </c>
      <c r="G70" s="24" t="str">
        <f>IF(E70&lt;&gt;"",G1copy!F70,"")</f>
        <v/>
      </c>
    </row>
    <row r="71" spans="1:7" ht="15.75" customHeight="1">
      <c r="A71" s="23" t="str">
        <f t="shared" si="4"/>
        <v/>
      </c>
      <c r="B71" t="str">
        <f t="shared" si="5"/>
        <v/>
      </c>
      <c r="C71" s="23" t="str">
        <f t="shared" si="6"/>
        <v/>
      </c>
      <c r="E71" s="24" t="str">
        <f>IF(NOT(ISBLANK(G1copy!B71)),G1copy!B71,"")</f>
        <v/>
      </c>
      <c r="F71" s="24" t="str">
        <f>IF(E71&lt;&gt;"",G1copy!A71,"")</f>
        <v/>
      </c>
      <c r="G71" s="24" t="str">
        <f>IF(E71&lt;&gt;"",G1copy!F71,"")</f>
        <v/>
      </c>
    </row>
    <row r="72" spans="1:7" ht="15.75" customHeight="1">
      <c r="A72" s="23" t="str">
        <f t="shared" si="4"/>
        <v/>
      </c>
      <c r="B72" t="str">
        <f t="shared" si="5"/>
        <v/>
      </c>
      <c r="C72" s="23" t="str">
        <f t="shared" si="6"/>
        <v/>
      </c>
      <c r="E72" s="24" t="str">
        <f>IF(NOT(ISBLANK(G1copy!B72)),G1copy!B72,"")</f>
        <v/>
      </c>
      <c r="F72" s="24" t="str">
        <f>IF(E72&lt;&gt;"",G1copy!A72,"")</f>
        <v/>
      </c>
      <c r="G72" s="24" t="str">
        <f>IF(E72&lt;&gt;"",G1copy!F72,"")</f>
        <v/>
      </c>
    </row>
    <row r="73" spans="1:7" ht="15.75" customHeight="1">
      <c r="A73" s="23" t="str">
        <f t="shared" si="4"/>
        <v/>
      </c>
      <c r="B73" t="str">
        <f t="shared" si="5"/>
        <v/>
      </c>
      <c r="C73" s="23" t="str">
        <f t="shared" si="6"/>
        <v/>
      </c>
      <c r="E73" s="24" t="str">
        <f>IF(NOT(ISBLANK(G1copy!B73)),G1copy!B73,"")</f>
        <v/>
      </c>
      <c r="F73" s="24" t="str">
        <f>IF(E73&lt;&gt;"",G1copy!A73,"")</f>
        <v/>
      </c>
      <c r="G73" s="24" t="str">
        <f>IF(E73&lt;&gt;"",G1copy!F73,"")</f>
        <v/>
      </c>
    </row>
    <row r="74" spans="1:7" ht="15.75" customHeight="1">
      <c r="A74" s="23" t="str">
        <f t="shared" si="4"/>
        <v/>
      </c>
      <c r="B74" t="str">
        <f t="shared" si="5"/>
        <v/>
      </c>
      <c r="C74" s="23" t="str">
        <f t="shared" si="6"/>
        <v/>
      </c>
      <c r="E74" s="24" t="str">
        <f>IF(NOT(ISBLANK(G1copy!B74)),G1copy!B74,"")</f>
        <v/>
      </c>
      <c r="F74" s="24" t="str">
        <f>IF(E74&lt;&gt;"",G1copy!A74,"")</f>
        <v/>
      </c>
      <c r="G74" s="24" t="str">
        <f>IF(E74&lt;&gt;"",G1copy!F74,"")</f>
        <v/>
      </c>
    </row>
    <row r="75" spans="1:7" ht="15.75" customHeight="1">
      <c r="A75" s="23" t="str">
        <f t="shared" si="4"/>
        <v/>
      </c>
      <c r="B75" t="str">
        <f t="shared" si="5"/>
        <v/>
      </c>
      <c r="C75" s="23" t="str">
        <f t="shared" si="6"/>
        <v/>
      </c>
      <c r="E75" s="24" t="str">
        <f>IF(NOT(ISBLANK(G1copy!B75)),G1copy!B75,"")</f>
        <v/>
      </c>
      <c r="F75" s="24" t="str">
        <f>IF(E75&lt;&gt;"",G1copy!A75,"")</f>
        <v/>
      </c>
      <c r="G75" s="24" t="str">
        <f>IF(E75&lt;&gt;"",G1copy!F75,"")</f>
        <v/>
      </c>
    </row>
    <row r="76" spans="1:7" ht="15.75" customHeight="1">
      <c r="A76" s="23" t="str">
        <f t="shared" si="4"/>
        <v/>
      </c>
      <c r="B76" t="str">
        <f t="shared" si="5"/>
        <v/>
      </c>
      <c r="C76" s="23" t="str">
        <f t="shared" si="6"/>
        <v/>
      </c>
      <c r="E76" s="24" t="str">
        <f>IF(NOT(ISBLANK(G1copy!B76)),G1copy!B76,"")</f>
        <v/>
      </c>
      <c r="F76" s="24" t="str">
        <f>IF(E76&lt;&gt;"",G1copy!A76,"")</f>
        <v/>
      </c>
      <c r="G76" s="24" t="str">
        <f>IF(E76&lt;&gt;"",G1copy!F76,"")</f>
        <v/>
      </c>
    </row>
    <row r="77" spans="1:7" ht="15.75" customHeight="1">
      <c r="A77" s="23" t="str">
        <f t="shared" si="4"/>
        <v/>
      </c>
      <c r="B77" t="str">
        <f t="shared" si="5"/>
        <v/>
      </c>
      <c r="C77" s="23" t="str">
        <f t="shared" si="6"/>
        <v/>
      </c>
      <c r="E77" s="24" t="str">
        <f>IF(NOT(ISBLANK(G1copy!B77)),G1copy!B77,"")</f>
        <v/>
      </c>
      <c r="F77" s="24" t="str">
        <f>IF(E77&lt;&gt;"",G1copy!A77,"")</f>
        <v/>
      </c>
      <c r="G77" s="24" t="str">
        <f>IF(E77&lt;&gt;"",G1copy!F77,"")</f>
        <v/>
      </c>
    </row>
    <row r="78" spans="1:7" ht="15.75" customHeight="1">
      <c r="A78" s="23" t="str">
        <f t="shared" si="4"/>
        <v/>
      </c>
      <c r="B78" t="str">
        <f t="shared" si="5"/>
        <v/>
      </c>
      <c r="C78" s="23" t="str">
        <f t="shared" si="6"/>
        <v/>
      </c>
      <c r="E78" s="24" t="str">
        <f>IF(NOT(ISBLANK(G1copy!B78)),G1copy!B78,"")</f>
        <v/>
      </c>
      <c r="F78" s="24" t="str">
        <f>IF(E78&lt;&gt;"",G1copy!A78,"")</f>
        <v/>
      </c>
      <c r="G78" s="24" t="str">
        <f>IF(E78&lt;&gt;"",G1copy!F78,"")</f>
        <v/>
      </c>
    </row>
    <row r="79" spans="1:7" ht="15.75" customHeight="1">
      <c r="A79" s="23" t="str">
        <f t="shared" si="4"/>
        <v/>
      </c>
      <c r="B79" t="str">
        <f t="shared" si="5"/>
        <v/>
      </c>
      <c r="C79" s="23" t="str">
        <f t="shared" si="6"/>
        <v/>
      </c>
      <c r="E79" s="24" t="str">
        <f>IF(NOT(ISBLANK(G1copy!B79)),G1copy!B79,"")</f>
        <v/>
      </c>
      <c r="F79" s="24" t="str">
        <f>IF(E79&lt;&gt;"",G1copy!A79,"")</f>
        <v/>
      </c>
      <c r="G79" s="24" t="str">
        <f>IF(E79&lt;&gt;"",G1copy!F79,"")</f>
        <v/>
      </c>
    </row>
    <row r="80" spans="1:7" ht="15.75" customHeight="1">
      <c r="A80" s="23" t="str">
        <f t="shared" si="4"/>
        <v/>
      </c>
      <c r="B80" t="str">
        <f t="shared" si="5"/>
        <v/>
      </c>
      <c r="C80" s="23" t="str">
        <f t="shared" si="6"/>
        <v/>
      </c>
      <c r="E80" s="24" t="str">
        <f>IF(NOT(ISBLANK(G1copy!B80)),G1copy!B80,"")</f>
        <v/>
      </c>
      <c r="F80" s="24" t="str">
        <f>IF(E80&lt;&gt;"",G1copy!A80,"")</f>
        <v/>
      </c>
      <c r="G80" s="24" t="str">
        <f>IF(E80&lt;&gt;"",G1copy!F80,"")</f>
        <v/>
      </c>
    </row>
    <row r="81" spans="1:7" ht="15.75" customHeight="1">
      <c r="A81" s="23" t="str">
        <f t="shared" si="4"/>
        <v/>
      </c>
      <c r="B81" t="str">
        <f t="shared" si="5"/>
        <v/>
      </c>
      <c r="C81" s="23" t="str">
        <f t="shared" si="6"/>
        <v/>
      </c>
      <c r="E81" s="24" t="str">
        <f>IF(NOT(ISBLANK(G1copy!B81)),G1copy!B81,"")</f>
        <v/>
      </c>
      <c r="F81" s="24" t="str">
        <f>IF(E81&lt;&gt;"",G1copy!A81,"")</f>
        <v/>
      </c>
      <c r="G81" s="24" t="str">
        <f>IF(E81&lt;&gt;"",G1copy!F81,"")</f>
        <v/>
      </c>
    </row>
    <row r="82" spans="1:7" ht="15.75" customHeight="1">
      <c r="A82" s="23" t="str">
        <f t="shared" si="4"/>
        <v/>
      </c>
      <c r="B82" t="str">
        <f t="shared" si="5"/>
        <v/>
      </c>
      <c r="C82" s="23" t="str">
        <f t="shared" si="6"/>
        <v/>
      </c>
      <c r="E82" s="24" t="str">
        <f>IF(NOT(ISBLANK(G1copy!B82)),G1copy!B82,"")</f>
        <v/>
      </c>
      <c r="F82" s="24" t="str">
        <f>IF(E82&lt;&gt;"",G1copy!A82,"")</f>
        <v/>
      </c>
      <c r="G82" s="24" t="str">
        <f>IF(E82&lt;&gt;"",G1copy!F82,"")</f>
        <v/>
      </c>
    </row>
    <row r="83" spans="1:7" ht="15.75" customHeight="1">
      <c r="A83" s="23" t="str">
        <f t="shared" si="4"/>
        <v/>
      </c>
      <c r="B83" t="str">
        <f t="shared" si="5"/>
        <v/>
      </c>
      <c r="C83" s="23" t="str">
        <f t="shared" si="6"/>
        <v/>
      </c>
      <c r="E83" s="24" t="str">
        <f>IF(NOT(ISBLANK(G1copy!B83)),G1copy!B83,"")</f>
        <v/>
      </c>
      <c r="F83" s="24" t="str">
        <f>IF(E83&lt;&gt;"",G1copy!A83,"")</f>
        <v/>
      </c>
      <c r="G83" s="24" t="str">
        <f>IF(E83&lt;&gt;"",G1copy!F83,"")</f>
        <v/>
      </c>
    </row>
    <row r="84" spans="1:7" ht="15.75" customHeight="1">
      <c r="A84" s="23" t="str">
        <f t="shared" si="4"/>
        <v/>
      </c>
      <c r="B84" t="str">
        <f t="shared" si="5"/>
        <v/>
      </c>
      <c r="C84" s="23" t="str">
        <f t="shared" si="6"/>
        <v/>
      </c>
      <c r="E84" s="24" t="str">
        <f>IF(NOT(ISBLANK(G1copy!B84)),G1copy!B84,"")</f>
        <v/>
      </c>
      <c r="F84" s="24" t="str">
        <f>IF(E84&lt;&gt;"",G1copy!A84,"")</f>
        <v/>
      </c>
      <c r="G84" s="24" t="str">
        <f>IF(E84&lt;&gt;"",G1copy!F84,"")</f>
        <v/>
      </c>
    </row>
    <row r="85" spans="1:7" ht="15.75" customHeight="1">
      <c r="A85" s="23" t="str">
        <f t="shared" si="4"/>
        <v/>
      </c>
      <c r="B85" t="str">
        <f t="shared" si="5"/>
        <v/>
      </c>
      <c r="C85" s="23" t="str">
        <f t="shared" si="6"/>
        <v/>
      </c>
      <c r="E85" s="24" t="str">
        <f>IF(NOT(ISBLANK(G1copy!B85)),G1copy!B85,"")</f>
        <v/>
      </c>
      <c r="F85" s="24" t="str">
        <f>IF(E85&lt;&gt;"",G1copy!A85,"")</f>
        <v/>
      </c>
      <c r="G85" s="24" t="str">
        <f>IF(E85&lt;&gt;"",G1copy!F85,"")</f>
        <v/>
      </c>
    </row>
    <row r="86" spans="1:7" ht="15.75" customHeight="1">
      <c r="A86" s="23" t="str">
        <f t="shared" si="4"/>
        <v/>
      </c>
      <c r="B86" t="str">
        <f t="shared" si="5"/>
        <v/>
      </c>
      <c r="C86" s="23" t="str">
        <f t="shared" si="6"/>
        <v/>
      </c>
      <c r="E86" s="24" t="str">
        <f>IF(NOT(ISBLANK(G1copy!B86)),G1copy!B86,"")</f>
        <v/>
      </c>
      <c r="F86" s="24" t="str">
        <f>IF(E86&lt;&gt;"",G1copy!A86,"")</f>
        <v/>
      </c>
      <c r="G86" s="24" t="str">
        <f>IF(E86&lt;&gt;"",G1copy!F86,"")</f>
        <v/>
      </c>
    </row>
    <row r="87" spans="1:7" ht="15.75" customHeight="1">
      <c r="A87" s="23" t="str">
        <f t="shared" si="4"/>
        <v/>
      </c>
      <c r="B87" t="str">
        <f t="shared" si="5"/>
        <v/>
      </c>
      <c r="C87" s="23" t="str">
        <f t="shared" si="6"/>
        <v/>
      </c>
      <c r="E87" s="24" t="str">
        <f>IF(NOT(ISBLANK(G1copy!B87)),G1copy!B87,"")</f>
        <v/>
      </c>
      <c r="F87" s="24" t="str">
        <f>IF(E87&lt;&gt;"",G1copy!A87,"")</f>
        <v/>
      </c>
      <c r="G87" s="24" t="str">
        <f>IF(E87&lt;&gt;"",G1copy!F87,"")</f>
        <v/>
      </c>
    </row>
    <row r="88" spans="1:7" ht="15.75" customHeight="1">
      <c r="A88" s="23" t="str">
        <f t="shared" si="4"/>
        <v/>
      </c>
      <c r="B88" t="str">
        <f t="shared" si="5"/>
        <v/>
      </c>
      <c r="C88" s="23" t="str">
        <f t="shared" si="6"/>
        <v/>
      </c>
      <c r="E88" s="24" t="str">
        <f>IF(NOT(ISBLANK(G1copy!B88)),G1copy!B88,"")</f>
        <v/>
      </c>
      <c r="F88" s="24" t="str">
        <f>IF(E88&lt;&gt;"",G1copy!A88,"")</f>
        <v/>
      </c>
      <c r="G88" s="24" t="str">
        <f>IF(E88&lt;&gt;"",G1copy!F88,"")</f>
        <v/>
      </c>
    </row>
    <row r="89" spans="1:7" ht="15.75" customHeight="1">
      <c r="A89" s="23" t="str">
        <f t="shared" si="4"/>
        <v/>
      </c>
      <c r="B89" t="str">
        <f t="shared" si="5"/>
        <v/>
      </c>
      <c r="C89" s="23" t="str">
        <f t="shared" si="6"/>
        <v/>
      </c>
      <c r="E89" s="24" t="str">
        <f>IF(NOT(ISBLANK(G1copy!B89)),G1copy!B89,"")</f>
        <v/>
      </c>
      <c r="F89" s="24" t="str">
        <f>IF(E89&lt;&gt;"",G1copy!A89,"")</f>
        <v/>
      </c>
      <c r="G89" s="24" t="str">
        <f>IF(E89&lt;&gt;"",G1copy!F89,"")</f>
        <v/>
      </c>
    </row>
    <row r="90" spans="1:7" ht="15.75" customHeight="1">
      <c r="A90" s="23" t="str">
        <f t="shared" si="4"/>
        <v/>
      </c>
      <c r="B90" t="str">
        <f t="shared" si="5"/>
        <v/>
      </c>
      <c r="C90" s="23" t="str">
        <f t="shared" si="6"/>
        <v/>
      </c>
      <c r="E90" s="24" t="str">
        <f>IF(NOT(ISBLANK(G1copy!B90)),G1copy!B90,"")</f>
        <v/>
      </c>
      <c r="F90" s="24" t="str">
        <f>IF(E90&lt;&gt;"",G1copy!A90,"")</f>
        <v/>
      </c>
      <c r="G90" s="24" t="str">
        <f>IF(E90&lt;&gt;"",G1copy!F90,"")</f>
        <v/>
      </c>
    </row>
    <row r="91" spans="1:7" ht="15.75" customHeight="1">
      <c r="A91" s="23" t="str">
        <f t="shared" si="4"/>
        <v/>
      </c>
      <c r="B91" t="str">
        <f t="shared" si="5"/>
        <v/>
      </c>
      <c r="C91" s="23" t="str">
        <f t="shared" si="6"/>
        <v/>
      </c>
      <c r="E91" s="24" t="str">
        <f>IF(NOT(ISBLANK(G1copy!B91)),G1copy!B91,"")</f>
        <v/>
      </c>
      <c r="F91" s="24" t="str">
        <f>IF(E91&lt;&gt;"",G1copy!A91,"")</f>
        <v/>
      </c>
      <c r="G91" s="24" t="str">
        <f>IF(E91&lt;&gt;"",G1copy!F91,"")</f>
        <v/>
      </c>
    </row>
    <row r="92" spans="1:7" ht="15.75" customHeight="1">
      <c r="A92" s="23" t="str">
        <f t="shared" si="4"/>
        <v/>
      </c>
      <c r="B92" t="str">
        <f t="shared" si="5"/>
        <v/>
      </c>
      <c r="C92" s="23" t="str">
        <f t="shared" si="6"/>
        <v/>
      </c>
      <c r="E92" s="24" t="str">
        <f>IF(NOT(ISBLANK(G1copy!B92)),G1copy!B92,"")</f>
        <v/>
      </c>
      <c r="F92" s="24" t="str">
        <f>IF(E92&lt;&gt;"",G1copy!A92,"")</f>
        <v/>
      </c>
      <c r="G92" s="24" t="str">
        <f>IF(E92&lt;&gt;"",G1copy!F92,"")</f>
        <v/>
      </c>
    </row>
    <row r="93" spans="1:7" ht="15.75" customHeight="1">
      <c r="A93" s="23" t="str">
        <f t="shared" si="4"/>
        <v/>
      </c>
      <c r="B93" t="str">
        <f t="shared" si="5"/>
        <v/>
      </c>
      <c r="C93" s="23" t="str">
        <f t="shared" si="6"/>
        <v/>
      </c>
      <c r="E93" s="24" t="str">
        <f>IF(NOT(ISBLANK(G1copy!B93)),G1copy!B93,"")</f>
        <v/>
      </c>
      <c r="F93" s="24" t="str">
        <f>IF(E93&lt;&gt;"",G1copy!A93,"")</f>
        <v/>
      </c>
      <c r="G93" s="24" t="str">
        <f>IF(E93&lt;&gt;"",G1copy!F93,"")</f>
        <v/>
      </c>
    </row>
    <row r="94" spans="1:7" ht="15.75" customHeight="1">
      <c r="A94" s="23" t="str">
        <f t="shared" si="4"/>
        <v/>
      </c>
      <c r="B94" t="str">
        <f t="shared" si="5"/>
        <v/>
      </c>
      <c r="C94" s="23" t="str">
        <f t="shared" si="6"/>
        <v/>
      </c>
      <c r="E94" s="24" t="str">
        <f>IF(NOT(ISBLANK(G1copy!B94)),G1copy!B94,"")</f>
        <v/>
      </c>
      <c r="F94" s="24" t="str">
        <f>IF(E94&lt;&gt;"",G1copy!A94,"")</f>
        <v/>
      </c>
      <c r="G94" s="24" t="str">
        <f>IF(E94&lt;&gt;"",G1copy!F94,"")</f>
        <v/>
      </c>
    </row>
    <row r="95" spans="1:7" ht="15.75" customHeight="1">
      <c r="A95" s="23" t="str">
        <f t="shared" si="4"/>
        <v/>
      </c>
      <c r="B95" t="str">
        <f t="shared" si="5"/>
        <v/>
      </c>
      <c r="C95" s="23" t="str">
        <f t="shared" si="6"/>
        <v/>
      </c>
      <c r="E95" s="24" t="str">
        <f>IF(NOT(ISBLANK(G1copy!B95)),G1copy!B95,"")</f>
        <v/>
      </c>
      <c r="F95" s="24" t="str">
        <f>IF(E95&lt;&gt;"",G1copy!A95,"")</f>
        <v/>
      </c>
      <c r="G95" s="24" t="str">
        <f>IF(E95&lt;&gt;"",G1copy!F95,"")</f>
        <v/>
      </c>
    </row>
    <row r="96" spans="1:7" ht="15.75" customHeight="1">
      <c r="A96" s="23" t="str">
        <f t="shared" si="4"/>
        <v/>
      </c>
      <c r="B96" t="str">
        <f t="shared" si="5"/>
        <v/>
      </c>
      <c r="C96" s="23" t="str">
        <f t="shared" si="6"/>
        <v/>
      </c>
      <c r="E96" s="24" t="str">
        <f>IF(NOT(ISBLANK(G1copy!B96)),G1copy!B96,"")</f>
        <v/>
      </c>
      <c r="F96" s="24" t="str">
        <f>IF(E96&lt;&gt;"",G1copy!A96,"")</f>
        <v/>
      </c>
      <c r="G96" s="24" t="str">
        <f>IF(E96&lt;&gt;"",G1copy!F96,"")</f>
        <v/>
      </c>
    </row>
    <row r="97" spans="1:7" ht="15.75" customHeight="1">
      <c r="A97" s="23" t="str">
        <f t="shared" si="4"/>
        <v/>
      </c>
      <c r="B97" t="str">
        <f t="shared" si="5"/>
        <v/>
      </c>
      <c r="C97" s="23" t="str">
        <f t="shared" si="6"/>
        <v/>
      </c>
      <c r="E97" s="24" t="str">
        <f>IF(NOT(ISBLANK(G1copy!B97)),G1copy!B97,"")</f>
        <v/>
      </c>
      <c r="F97" s="24" t="str">
        <f>IF(E97&lt;&gt;"",G1copy!A97,"")</f>
        <v/>
      </c>
      <c r="G97" s="24" t="str">
        <f>IF(E97&lt;&gt;"",G1copy!F97,"")</f>
        <v/>
      </c>
    </row>
    <row r="98" spans="1:7" ht="15.75" customHeight="1">
      <c r="A98" s="23" t="str">
        <f t="shared" si="4"/>
        <v/>
      </c>
      <c r="B98" t="str">
        <f t="shared" si="5"/>
        <v/>
      </c>
      <c r="C98" s="23" t="str">
        <f t="shared" si="6"/>
        <v/>
      </c>
      <c r="E98" s="24" t="str">
        <f>IF(NOT(ISBLANK(G1copy!B98)),G1copy!B98,"")</f>
        <v/>
      </c>
      <c r="F98" s="24" t="str">
        <f>IF(E98&lt;&gt;"",G1copy!A98,"")</f>
        <v/>
      </c>
      <c r="G98" s="24" t="str">
        <f>IF(E98&lt;&gt;"",G1copy!F98,"")</f>
        <v/>
      </c>
    </row>
    <row r="99" spans="1:7" ht="15.75" customHeight="1">
      <c r="A99" s="23" t="str">
        <f t="shared" si="4"/>
        <v/>
      </c>
      <c r="B99" t="str">
        <f t="shared" si="5"/>
        <v/>
      </c>
      <c r="C99" s="23" t="str">
        <f t="shared" si="6"/>
        <v/>
      </c>
      <c r="E99" s="24" t="str">
        <f>IF(NOT(ISBLANK(G1copy!B99)),G1copy!B99,"")</f>
        <v/>
      </c>
      <c r="F99" s="24" t="str">
        <f>IF(E99&lt;&gt;"",G1copy!A99,"")</f>
        <v/>
      </c>
      <c r="G99" s="24" t="str">
        <f>IF(E99&lt;&gt;"",G1copy!F99,"")</f>
        <v/>
      </c>
    </row>
    <row r="100" spans="1:7" ht="15.75" customHeight="1">
      <c r="A100" s="23" t="str">
        <f t="shared" si="4"/>
        <v/>
      </c>
      <c r="B100" t="str">
        <f t="shared" si="5"/>
        <v/>
      </c>
      <c r="C100" s="23" t="str">
        <f t="shared" si="6"/>
        <v/>
      </c>
      <c r="E100" s="24" t="str">
        <f>IF(NOT(ISBLANK(G1copy!B100)),G1copy!B100,"")</f>
        <v/>
      </c>
      <c r="F100" s="24" t="str">
        <f>IF(E100&lt;&gt;"",G1copy!A100,"")</f>
        <v/>
      </c>
      <c r="G100" s="24" t="str">
        <f>IF(E100&lt;&gt;"",G1copy!F100,"")</f>
        <v/>
      </c>
    </row>
    <row r="101" spans="1:7" ht="15.75" customHeight="1">
      <c r="A101" s="23" t="str">
        <f t="shared" si="4"/>
        <v/>
      </c>
      <c r="B101" t="str">
        <f t="shared" si="5"/>
        <v/>
      </c>
      <c r="C101" s="23" t="str">
        <f t="shared" si="6"/>
        <v/>
      </c>
      <c r="E101" s="24" t="str">
        <f>IF(NOT(ISBLANK(G1copy!B101)),G1copy!B101,"")</f>
        <v/>
      </c>
      <c r="F101" s="24" t="str">
        <f>IF(E101&lt;&gt;"",G1copy!A101,"")</f>
        <v/>
      </c>
      <c r="G101" s="24" t="str">
        <f>IF(E101&lt;&gt;"",G1copy!F101,"")</f>
        <v/>
      </c>
    </row>
    <row r="102" spans="1:7" ht="15.75" customHeight="1">
      <c r="A102" s="23" t="str">
        <f t="shared" si="4"/>
        <v/>
      </c>
      <c r="B102" t="str">
        <f t="shared" si="5"/>
        <v/>
      </c>
      <c r="C102" s="23" t="str">
        <f t="shared" si="6"/>
        <v/>
      </c>
      <c r="E102" s="24" t="str">
        <f>IF(NOT(ISBLANK(G1copy!B102)),G1copy!B102,"")</f>
        <v/>
      </c>
      <c r="F102" s="24" t="str">
        <f>IF(E102&lt;&gt;"",G1copy!A102,"")</f>
        <v/>
      </c>
      <c r="G102" s="24" t="str">
        <f>IF(E102&lt;&gt;"",G1copy!F102,"")</f>
        <v/>
      </c>
    </row>
    <row r="103" spans="1:7" ht="15.75" customHeight="1">
      <c r="A103" s="23" t="str">
        <f t="shared" si="4"/>
        <v/>
      </c>
      <c r="B103" t="str">
        <f t="shared" si="5"/>
        <v/>
      </c>
      <c r="C103" s="23" t="str">
        <f t="shared" si="6"/>
        <v/>
      </c>
      <c r="E103" s="24" t="str">
        <f>IF(NOT(ISBLANK(G1copy!B103)),G1copy!B103,"")</f>
        <v/>
      </c>
      <c r="F103" s="24" t="str">
        <f>IF(E103&lt;&gt;"",G1copy!A103,"")</f>
        <v/>
      </c>
      <c r="G103" s="24" t="str">
        <f>IF(E103&lt;&gt;"",G1copy!F103,"")</f>
        <v/>
      </c>
    </row>
    <row r="104" spans="1:7" ht="15.75" customHeight="1">
      <c r="A104" s="23" t="str">
        <f t="shared" si="4"/>
        <v/>
      </c>
      <c r="B104" t="str">
        <f t="shared" si="5"/>
        <v/>
      </c>
      <c r="C104" s="23" t="str">
        <f t="shared" si="6"/>
        <v/>
      </c>
      <c r="E104" s="24" t="str">
        <f>IF(NOT(ISBLANK(G1copy!B104)),G1copy!B104,"")</f>
        <v/>
      </c>
      <c r="F104" s="24" t="str">
        <f>IF(E104&lt;&gt;"",G1copy!A104,"")</f>
        <v/>
      </c>
      <c r="G104" s="24" t="str">
        <f>IF(E104&lt;&gt;"",G1copy!F104,"")</f>
        <v/>
      </c>
    </row>
    <row r="105" spans="1:7" ht="15.75" customHeight="1">
      <c r="A105" s="23" t="str">
        <f t="shared" si="4"/>
        <v/>
      </c>
      <c r="B105" t="str">
        <f t="shared" si="5"/>
        <v/>
      </c>
      <c r="C105" s="23" t="str">
        <f t="shared" si="6"/>
        <v/>
      </c>
      <c r="E105" s="24" t="str">
        <f>IF(NOT(ISBLANK(G1copy!B105)),G1copy!B105,"")</f>
        <v/>
      </c>
      <c r="F105" s="24" t="str">
        <f>IF(E105&lt;&gt;"",G1copy!A105,"")</f>
        <v/>
      </c>
      <c r="G105" s="24" t="str">
        <f>IF(E105&lt;&gt;"",G1copy!F105,"")</f>
        <v/>
      </c>
    </row>
    <row r="106" spans="1:7" ht="15.75" customHeight="1">
      <c r="A106" s="23" t="str">
        <f t="shared" si="4"/>
        <v/>
      </c>
      <c r="B106" t="str">
        <f t="shared" si="5"/>
        <v/>
      </c>
      <c r="C106" s="23" t="str">
        <f t="shared" si="6"/>
        <v/>
      </c>
      <c r="E106" s="24" t="str">
        <f>IF(NOT(ISBLANK(G1copy!B106)),G1copy!B106,"")</f>
        <v/>
      </c>
      <c r="F106" s="24" t="str">
        <f>IF(E106&lt;&gt;"",G1copy!A106,"")</f>
        <v/>
      </c>
      <c r="G106" s="24" t="str">
        <f>IF(E106&lt;&gt;"",G1copy!F106,"")</f>
        <v/>
      </c>
    </row>
    <row r="107" spans="1:7" ht="15.75" customHeight="1">
      <c r="A107" s="23" t="str">
        <f t="shared" si="4"/>
        <v/>
      </c>
      <c r="B107" t="str">
        <f t="shared" si="5"/>
        <v/>
      </c>
      <c r="C107" s="23" t="str">
        <f t="shared" si="6"/>
        <v/>
      </c>
      <c r="E107" s="24" t="str">
        <f>IF(NOT(ISBLANK(G1copy!B107)),G1copy!B107,"")</f>
        <v/>
      </c>
      <c r="F107" s="24" t="str">
        <f>IF(E107&lt;&gt;"",G1copy!A107,"")</f>
        <v/>
      </c>
      <c r="G107" s="24" t="str">
        <f>IF(E107&lt;&gt;"",G1copy!F107,"")</f>
        <v/>
      </c>
    </row>
    <row r="108" spans="1:7" ht="15.75" customHeight="1">
      <c r="A108" s="23" t="str">
        <f t="shared" si="4"/>
        <v/>
      </c>
      <c r="B108" t="str">
        <f t="shared" si="5"/>
        <v/>
      </c>
      <c r="C108" s="23" t="str">
        <f t="shared" si="6"/>
        <v/>
      </c>
      <c r="E108" s="24" t="str">
        <f>IF(NOT(ISBLANK(G1copy!B108)),G1copy!B108,"")</f>
        <v/>
      </c>
      <c r="F108" s="24" t="str">
        <f>IF(E108&lt;&gt;"",G1copy!A108,"")</f>
        <v/>
      </c>
      <c r="G108" s="24" t="str">
        <f>IF(E108&lt;&gt;"",G1copy!F108,"")</f>
        <v/>
      </c>
    </row>
    <row r="109" spans="1:7" ht="15.75" customHeight="1">
      <c r="A109" s="23" t="str">
        <f t="shared" si="4"/>
        <v/>
      </c>
      <c r="B109" t="str">
        <f t="shared" si="5"/>
        <v/>
      </c>
      <c r="C109" s="23" t="str">
        <f t="shared" si="6"/>
        <v/>
      </c>
      <c r="E109" s="24" t="str">
        <f>IF(NOT(ISBLANK(G1copy!B109)),G1copy!B109,"")</f>
        <v/>
      </c>
      <c r="F109" s="24" t="str">
        <f>IF(E109&lt;&gt;"",G1copy!A109,"")</f>
        <v/>
      </c>
      <c r="G109" s="24" t="str">
        <f>IF(E109&lt;&gt;"",G1copy!F109,"")</f>
        <v/>
      </c>
    </row>
    <row r="110" spans="1:7" ht="15.75" customHeight="1">
      <c r="A110" s="23" t="str">
        <f t="shared" si="4"/>
        <v/>
      </c>
      <c r="B110" t="str">
        <f t="shared" si="5"/>
        <v/>
      </c>
      <c r="C110" s="23" t="str">
        <f t="shared" si="6"/>
        <v/>
      </c>
      <c r="E110" s="24" t="str">
        <f>IF(NOT(ISBLANK(G1copy!B110)),G1copy!B110,"")</f>
        <v/>
      </c>
      <c r="F110" s="24" t="str">
        <f>IF(E110&lt;&gt;"",G1copy!A110,"")</f>
        <v/>
      </c>
      <c r="G110" s="24" t="str">
        <f>IF(E110&lt;&gt;"",G1copy!F110,"")</f>
        <v/>
      </c>
    </row>
    <row r="111" spans="1:7" ht="15.75" customHeight="1">
      <c r="A111" s="23" t="str">
        <f t="shared" si="4"/>
        <v/>
      </c>
      <c r="B111" t="str">
        <f t="shared" si="5"/>
        <v/>
      </c>
      <c r="C111" s="23" t="str">
        <f t="shared" si="6"/>
        <v/>
      </c>
      <c r="E111" s="24" t="str">
        <f>IF(NOT(ISBLANK(G1copy!B111)),G1copy!B111,"")</f>
        <v/>
      </c>
      <c r="F111" s="24" t="str">
        <f>IF(E111&lt;&gt;"",G1copy!A111,"")</f>
        <v/>
      </c>
      <c r="G111" s="24" t="str">
        <f>IF(E111&lt;&gt;"",G1copy!F111,"")</f>
        <v/>
      </c>
    </row>
    <row r="112" spans="1:7" ht="15.75" customHeight="1">
      <c r="A112" s="23" t="str">
        <f t="shared" si="4"/>
        <v/>
      </c>
      <c r="B112" t="str">
        <f t="shared" si="5"/>
        <v/>
      </c>
      <c r="C112" s="23" t="str">
        <f t="shared" si="6"/>
        <v/>
      </c>
      <c r="E112" s="24" t="str">
        <f>IF(NOT(ISBLANK(G1copy!B112)),G1copy!B112,"")</f>
        <v/>
      </c>
      <c r="F112" s="24" t="str">
        <f>IF(E112&lt;&gt;"",G1copy!A112,"")</f>
        <v/>
      </c>
      <c r="G112" s="24" t="str">
        <f>IF(E112&lt;&gt;"",G1copy!F112,"")</f>
        <v/>
      </c>
    </row>
    <row r="113" spans="1:7" ht="15.75" customHeight="1">
      <c r="A113" s="23" t="str">
        <f t="shared" si="4"/>
        <v/>
      </c>
      <c r="B113" t="str">
        <f t="shared" si="5"/>
        <v/>
      </c>
      <c r="C113" s="23" t="str">
        <f t="shared" si="6"/>
        <v/>
      </c>
      <c r="E113" s="24" t="str">
        <f>IF(NOT(ISBLANK(G1copy!B113)),G1copy!B113,"")</f>
        <v/>
      </c>
      <c r="F113" s="24" t="str">
        <f>IF(E113&lt;&gt;"",G1copy!A113,"")</f>
        <v/>
      </c>
      <c r="G113" s="24" t="str">
        <f>IF(E113&lt;&gt;"",G1copy!F113,"")</f>
        <v/>
      </c>
    </row>
    <row r="114" spans="1:7" ht="15.75" customHeight="1">
      <c r="A114" s="23" t="str">
        <f t="shared" si="4"/>
        <v/>
      </c>
      <c r="B114" t="str">
        <f t="shared" si="5"/>
        <v/>
      </c>
      <c r="C114" s="23" t="str">
        <f t="shared" si="6"/>
        <v/>
      </c>
      <c r="E114" s="24" t="str">
        <f>IF(NOT(ISBLANK(G1copy!B114)),G1copy!B114,"")</f>
        <v/>
      </c>
      <c r="F114" s="24" t="str">
        <f>IF(E114&lt;&gt;"",G1copy!A114,"")</f>
        <v/>
      </c>
      <c r="G114" s="24" t="str">
        <f>IF(E114&lt;&gt;"",G1copy!F114,"")</f>
        <v/>
      </c>
    </row>
    <row r="115" spans="1:7" ht="15.75" customHeight="1">
      <c r="A115" s="23" t="str">
        <f t="shared" si="4"/>
        <v/>
      </c>
      <c r="B115" t="str">
        <f t="shared" si="5"/>
        <v/>
      </c>
      <c r="C115" s="23" t="str">
        <f t="shared" si="6"/>
        <v/>
      </c>
      <c r="E115" s="24" t="str">
        <f>IF(NOT(ISBLANK(G1copy!B115)),G1copy!B115,"")</f>
        <v/>
      </c>
      <c r="F115" s="24" t="str">
        <f>IF(E115&lt;&gt;"",G1copy!A115,"")</f>
        <v/>
      </c>
      <c r="G115" s="24" t="str">
        <f>IF(E115&lt;&gt;"",G1copy!F115,"")</f>
        <v/>
      </c>
    </row>
    <row r="116" spans="1:7" ht="15.75" customHeight="1">
      <c r="A116" s="23" t="str">
        <f t="shared" si="4"/>
        <v/>
      </c>
      <c r="B116" t="str">
        <f t="shared" si="5"/>
        <v/>
      </c>
      <c r="C116" s="23" t="str">
        <f t="shared" si="6"/>
        <v/>
      </c>
      <c r="E116" s="24" t="str">
        <f>IF(NOT(ISBLANK(G1copy!B116)),G1copy!B116,"")</f>
        <v/>
      </c>
      <c r="F116" s="24" t="str">
        <f>IF(E116&lt;&gt;"",G1copy!A116,"")</f>
        <v/>
      </c>
      <c r="G116" s="24" t="str">
        <f>IF(E116&lt;&gt;"",G1copy!F116,"")</f>
        <v/>
      </c>
    </row>
    <row r="117" spans="1:7" ht="15.75" customHeight="1">
      <c r="A117" s="23" t="str">
        <f t="shared" si="4"/>
        <v/>
      </c>
      <c r="B117" t="str">
        <f t="shared" si="5"/>
        <v/>
      </c>
      <c r="C117" s="23" t="str">
        <f t="shared" si="6"/>
        <v/>
      </c>
      <c r="E117" s="24" t="str">
        <f>IF(NOT(ISBLANK(G1copy!B117)),G1copy!B117,"")</f>
        <v/>
      </c>
      <c r="F117" s="24" t="str">
        <f>IF(E117&lt;&gt;"",G1copy!A117,"")</f>
        <v/>
      </c>
      <c r="G117" s="24" t="str">
        <f>IF(E117&lt;&gt;"",G1copy!F117,"")</f>
        <v/>
      </c>
    </row>
    <row r="118" spans="1:7" ht="15.75" customHeight="1">
      <c r="A118" s="23" t="str">
        <f t="shared" si="4"/>
        <v/>
      </c>
      <c r="B118" t="str">
        <f t="shared" si="5"/>
        <v/>
      </c>
      <c r="C118" s="23" t="str">
        <f t="shared" si="6"/>
        <v/>
      </c>
      <c r="E118" s="24" t="str">
        <f>IF(NOT(ISBLANK(G1copy!B118)),G1copy!B118,"")</f>
        <v/>
      </c>
      <c r="F118" s="24" t="str">
        <f>IF(E118&lt;&gt;"",G1copy!A118,"")</f>
        <v/>
      </c>
      <c r="G118" s="24" t="str">
        <f>IF(E118&lt;&gt;"",G1copy!F118,"")</f>
        <v/>
      </c>
    </row>
    <row r="119" spans="1:7" ht="15.75" customHeight="1">
      <c r="A119" s="23" t="str">
        <f t="shared" si="4"/>
        <v/>
      </c>
      <c r="B119" t="str">
        <f t="shared" si="5"/>
        <v/>
      </c>
      <c r="C119" s="23" t="str">
        <f t="shared" si="6"/>
        <v/>
      </c>
      <c r="E119" s="24" t="str">
        <f>IF(NOT(ISBLANK(G1copy!B119)),G1copy!B119,"")</f>
        <v/>
      </c>
      <c r="F119" s="24" t="str">
        <f>IF(E119&lt;&gt;"",G1copy!A119,"")</f>
        <v/>
      </c>
      <c r="G119" s="24" t="str">
        <f>IF(E119&lt;&gt;"",G1copy!F119,"")</f>
        <v/>
      </c>
    </row>
    <row r="120" spans="1:7" ht="15.75" customHeight="1">
      <c r="A120" s="23" t="str">
        <f t="shared" si="4"/>
        <v/>
      </c>
      <c r="B120" t="str">
        <f t="shared" si="5"/>
        <v/>
      </c>
      <c r="C120" s="23" t="str">
        <f t="shared" si="6"/>
        <v/>
      </c>
      <c r="E120" s="24" t="str">
        <f>IF(NOT(ISBLANK(G1copy!B120)),G1copy!B120,"")</f>
        <v/>
      </c>
      <c r="F120" s="24" t="str">
        <f>IF(E120&lt;&gt;"",G1copy!A120,"")</f>
        <v/>
      </c>
      <c r="G120" s="24" t="str">
        <f>IF(E120&lt;&gt;"",G1copy!F120,"")</f>
        <v/>
      </c>
    </row>
    <row r="121" spans="1:7" ht="15.75" customHeight="1">
      <c r="A121" s="23" t="str">
        <f t="shared" si="4"/>
        <v/>
      </c>
      <c r="B121" t="str">
        <f t="shared" si="5"/>
        <v/>
      </c>
      <c r="C121" s="23" t="str">
        <f t="shared" si="6"/>
        <v/>
      </c>
      <c r="E121" s="24" t="str">
        <f>IF(NOT(ISBLANK(G1copy!B121)),G1copy!B121,"")</f>
        <v/>
      </c>
      <c r="F121" s="24" t="str">
        <f>IF(E121&lt;&gt;"",G1copy!A121,"")</f>
        <v/>
      </c>
      <c r="G121" s="24" t="str">
        <f>IF(E121&lt;&gt;"",G1copy!F121,"")</f>
        <v/>
      </c>
    </row>
    <row r="122" spans="1:7" ht="15.75" customHeight="1">
      <c r="A122" s="23" t="str">
        <f t="shared" si="4"/>
        <v/>
      </c>
      <c r="B122" t="str">
        <f t="shared" si="5"/>
        <v/>
      </c>
      <c r="C122" s="23" t="str">
        <f t="shared" si="6"/>
        <v/>
      </c>
      <c r="E122" s="24" t="str">
        <f>IF(NOT(ISBLANK(G1copy!B122)),G1copy!B122,"")</f>
        <v/>
      </c>
      <c r="F122" s="24" t="str">
        <f>IF(E122&lt;&gt;"",G1copy!A122,"")</f>
        <v/>
      </c>
      <c r="G122" s="24" t="str">
        <f>IF(E122&lt;&gt;"",G1copy!F122,"")</f>
        <v/>
      </c>
    </row>
    <row r="123" spans="1:7" ht="15.75" customHeight="1">
      <c r="A123" s="23" t="str">
        <f t="shared" si="4"/>
        <v/>
      </c>
      <c r="B123" t="str">
        <f t="shared" si="5"/>
        <v/>
      </c>
      <c r="C123" s="23" t="str">
        <f t="shared" si="6"/>
        <v/>
      </c>
      <c r="E123" s="24" t="str">
        <f>IF(NOT(ISBLANK(G1copy!B123)),G1copy!B123,"")</f>
        <v/>
      </c>
      <c r="F123" s="24" t="str">
        <f>IF(E123&lt;&gt;"",G1copy!A123,"")</f>
        <v/>
      </c>
      <c r="G123" s="24" t="str">
        <f>IF(E123&lt;&gt;"",G1copy!F123,"")</f>
        <v/>
      </c>
    </row>
    <row r="124" spans="1:7" ht="15.75" customHeight="1">
      <c r="A124" s="23" t="str">
        <f t="shared" si="4"/>
        <v/>
      </c>
      <c r="B124" t="str">
        <f t="shared" si="5"/>
        <v/>
      </c>
      <c r="C124" s="23" t="str">
        <f t="shared" si="6"/>
        <v/>
      </c>
      <c r="E124" s="24" t="str">
        <f>IF(NOT(ISBLANK(G1copy!B124)),G1copy!B124,"")</f>
        <v/>
      </c>
      <c r="F124" s="24" t="str">
        <f>IF(E124&lt;&gt;"",G1copy!A124,"")</f>
        <v/>
      </c>
      <c r="G124" s="24" t="str">
        <f>IF(E124&lt;&gt;"",G1copy!F124,"")</f>
        <v/>
      </c>
    </row>
    <row r="125" spans="1:7" ht="15.75" customHeight="1">
      <c r="A125" s="23" t="str">
        <f t="shared" si="4"/>
        <v/>
      </c>
      <c r="B125" t="str">
        <f t="shared" si="5"/>
        <v/>
      </c>
      <c r="C125" s="23" t="str">
        <f t="shared" si="6"/>
        <v/>
      </c>
      <c r="E125" s="24" t="str">
        <f>IF(NOT(ISBLANK(G1copy!B125)),G1copy!B125,"")</f>
        <v/>
      </c>
      <c r="F125" s="24" t="str">
        <f>IF(E125&lt;&gt;"",G1copy!A125,"")</f>
        <v/>
      </c>
      <c r="G125" s="24" t="str">
        <f>IF(E125&lt;&gt;"",G1copy!F125,"")</f>
        <v/>
      </c>
    </row>
    <row r="126" spans="1:7" ht="15.75" customHeight="1">
      <c r="A126" s="23" t="str">
        <f t="shared" si="4"/>
        <v/>
      </c>
      <c r="B126" t="str">
        <f t="shared" si="5"/>
        <v/>
      </c>
      <c r="C126" s="23" t="str">
        <f t="shared" si="6"/>
        <v/>
      </c>
      <c r="E126" s="24" t="str">
        <f>IF(NOT(ISBLANK(G1copy!B126)),G1copy!B126,"")</f>
        <v/>
      </c>
      <c r="F126" s="24" t="str">
        <f>IF(E126&lt;&gt;"",G1copy!A126,"")</f>
        <v/>
      </c>
      <c r="G126" s="24" t="str">
        <f>IF(E126&lt;&gt;"",G1copy!F126,"")</f>
        <v/>
      </c>
    </row>
    <row r="127" spans="1:7" ht="15.75" customHeight="1">
      <c r="A127" s="23" t="str">
        <f t="shared" si="4"/>
        <v/>
      </c>
      <c r="B127" t="str">
        <f t="shared" si="5"/>
        <v/>
      </c>
      <c r="C127" s="23" t="str">
        <f t="shared" si="6"/>
        <v/>
      </c>
      <c r="E127" s="24" t="str">
        <f>IF(NOT(ISBLANK(G1copy!B127)),G1copy!B127,"")</f>
        <v/>
      </c>
      <c r="F127" s="24" t="str">
        <f>IF(E127&lt;&gt;"",G1copy!A127,"")</f>
        <v/>
      </c>
      <c r="G127" s="24" t="str">
        <f>IF(E127&lt;&gt;"",G1copy!F127,"")</f>
        <v/>
      </c>
    </row>
    <row r="128" spans="1:7" ht="15.75" customHeight="1">
      <c r="A128" s="23" t="str">
        <f t="shared" si="4"/>
        <v/>
      </c>
      <c r="B128" t="str">
        <f t="shared" si="5"/>
        <v/>
      </c>
      <c r="C128" s="23" t="str">
        <f t="shared" si="6"/>
        <v/>
      </c>
      <c r="E128" s="24" t="str">
        <f>IF(NOT(ISBLANK(G1copy!B128)),G1copy!B128,"")</f>
        <v/>
      </c>
      <c r="F128" s="24" t="str">
        <f>IF(E128&lt;&gt;"",G1copy!A128,"")</f>
        <v/>
      </c>
      <c r="G128" s="24" t="str">
        <f>IF(E128&lt;&gt;"",G1copy!F128,"")</f>
        <v/>
      </c>
    </row>
    <row r="129" spans="1:7" ht="15.75" customHeight="1">
      <c r="A129" s="23" t="str">
        <f t="shared" si="4"/>
        <v/>
      </c>
      <c r="B129" t="str">
        <f t="shared" si="5"/>
        <v/>
      </c>
      <c r="C129" s="23" t="str">
        <f t="shared" si="6"/>
        <v/>
      </c>
      <c r="E129" s="24" t="str">
        <f>IF(NOT(ISBLANK(G1copy!B129)),G1copy!B129,"")</f>
        <v/>
      </c>
      <c r="F129" s="24" t="str">
        <f>IF(E129&lt;&gt;"",G1copy!A129,"")</f>
        <v/>
      </c>
      <c r="G129" s="24" t="str">
        <f>IF(E129&lt;&gt;"",G1copy!F129,"")</f>
        <v/>
      </c>
    </row>
    <row r="130" spans="1:7" ht="15.75" customHeight="1">
      <c r="A130" s="23" t="str">
        <f t="shared" si="4"/>
        <v/>
      </c>
      <c r="B130" t="str">
        <f t="shared" si="5"/>
        <v/>
      </c>
      <c r="C130" s="23" t="str">
        <f t="shared" si="6"/>
        <v/>
      </c>
      <c r="E130" s="24" t="str">
        <f>IF(NOT(ISBLANK(G1copy!B130)),G1copy!B130,"")</f>
        <v/>
      </c>
      <c r="F130" s="24" t="str">
        <f>IF(E130&lt;&gt;"",G1copy!A130,"")</f>
        <v/>
      </c>
      <c r="G130" s="24" t="str">
        <f>IF(E130&lt;&gt;"",G1copy!F130,"")</f>
        <v/>
      </c>
    </row>
    <row r="131" spans="1:7" ht="15.75" customHeight="1">
      <c r="A131" s="23" t="str">
        <f t="shared" ref="A131:A194" si="7">IF(E131&lt;&gt;"",DATEVALUE(LEFT(E131,10)),"")</f>
        <v/>
      </c>
      <c r="B131" t="str">
        <f t="shared" ref="B131:B194" si="8">IF(LEN(F131)&gt;3,RIGHT(F131,LEN(F131)-3),"")</f>
        <v/>
      </c>
      <c r="C131" s="23" t="str">
        <f t="shared" ref="C131:C194" si="9">IF(E131&lt;&gt;"",DATEVALUE(LEFT(G131,10)),"")</f>
        <v/>
      </c>
      <c r="E131" s="24" t="str">
        <f>IF(NOT(ISBLANK(G1copy!B131)),G1copy!B131,"")</f>
        <v/>
      </c>
      <c r="F131" s="24" t="str">
        <f>IF(E131&lt;&gt;"",G1copy!A131,"")</f>
        <v/>
      </c>
      <c r="G131" s="24" t="str">
        <f>IF(E131&lt;&gt;"",G1copy!F131,"")</f>
        <v/>
      </c>
    </row>
    <row r="132" spans="1:7" ht="15.75" customHeight="1">
      <c r="A132" s="23" t="str">
        <f t="shared" si="7"/>
        <v/>
      </c>
      <c r="B132" t="str">
        <f t="shared" si="8"/>
        <v/>
      </c>
      <c r="C132" s="23" t="str">
        <f t="shared" si="9"/>
        <v/>
      </c>
      <c r="E132" s="24" t="str">
        <f>IF(NOT(ISBLANK(G1copy!B132)),G1copy!B132,"")</f>
        <v/>
      </c>
      <c r="F132" s="24" t="str">
        <f>IF(E132&lt;&gt;"",G1copy!A132,"")</f>
        <v/>
      </c>
      <c r="G132" s="24" t="str">
        <f>IF(E132&lt;&gt;"",G1copy!F132,"")</f>
        <v/>
      </c>
    </row>
    <row r="133" spans="1:7" ht="15.75" customHeight="1">
      <c r="A133" s="23" t="str">
        <f t="shared" si="7"/>
        <v/>
      </c>
      <c r="B133" t="str">
        <f t="shared" si="8"/>
        <v/>
      </c>
      <c r="C133" s="23" t="str">
        <f t="shared" si="9"/>
        <v/>
      </c>
      <c r="E133" s="24" t="str">
        <f>IF(NOT(ISBLANK(G1copy!B133)),G1copy!B133,"")</f>
        <v/>
      </c>
      <c r="F133" s="24" t="str">
        <f>IF(E133&lt;&gt;"",G1copy!A133,"")</f>
        <v/>
      </c>
      <c r="G133" s="24" t="str">
        <f>IF(E133&lt;&gt;"",G1copy!F133,"")</f>
        <v/>
      </c>
    </row>
    <row r="134" spans="1:7" ht="15.75" customHeight="1">
      <c r="A134" s="23" t="str">
        <f t="shared" si="7"/>
        <v/>
      </c>
      <c r="B134" t="str">
        <f t="shared" si="8"/>
        <v/>
      </c>
      <c r="C134" s="23" t="str">
        <f t="shared" si="9"/>
        <v/>
      </c>
      <c r="E134" s="24" t="str">
        <f>IF(NOT(ISBLANK(G1copy!B134)),G1copy!B134,"")</f>
        <v/>
      </c>
      <c r="F134" s="24" t="str">
        <f>IF(E134&lt;&gt;"",G1copy!A134,"")</f>
        <v/>
      </c>
      <c r="G134" s="24" t="str">
        <f>IF(E134&lt;&gt;"",G1copy!F134,"")</f>
        <v/>
      </c>
    </row>
    <row r="135" spans="1:7" ht="15.75" customHeight="1">
      <c r="A135" s="23" t="str">
        <f t="shared" si="7"/>
        <v/>
      </c>
      <c r="B135" t="str">
        <f t="shared" si="8"/>
        <v/>
      </c>
      <c r="C135" s="23" t="str">
        <f t="shared" si="9"/>
        <v/>
      </c>
      <c r="E135" s="24" t="str">
        <f>IF(NOT(ISBLANK(G1copy!B135)),G1copy!B135,"")</f>
        <v/>
      </c>
      <c r="F135" s="24" t="str">
        <f>IF(E135&lt;&gt;"",G1copy!A135,"")</f>
        <v/>
      </c>
      <c r="G135" s="24" t="str">
        <f>IF(E135&lt;&gt;"",G1copy!F135,"")</f>
        <v/>
      </c>
    </row>
    <row r="136" spans="1:7" ht="15.75" customHeight="1">
      <c r="A136" s="23" t="str">
        <f t="shared" si="7"/>
        <v/>
      </c>
      <c r="B136" t="str">
        <f t="shared" si="8"/>
        <v/>
      </c>
      <c r="C136" s="23" t="str">
        <f t="shared" si="9"/>
        <v/>
      </c>
      <c r="E136" s="24" t="str">
        <f>IF(NOT(ISBLANK(G1copy!B136)),G1copy!B136,"")</f>
        <v/>
      </c>
      <c r="F136" s="24" t="str">
        <f>IF(E136&lt;&gt;"",G1copy!A136,"")</f>
        <v/>
      </c>
      <c r="G136" s="24" t="str">
        <f>IF(E136&lt;&gt;"",G1copy!F136,"")</f>
        <v/>
      </c>
    </row>
    <row r="137" spans="1:7" ht="15.75" customHeight="1">
      <c r="A137" s="23" t="str">
        <f t="shared" si="7"/>
        <v/>
      </c>
      <c r="B137" t="str">
        <f t="shared" si="8"/>
        <v/>
      </c>
      <c r="C137" s="23" t="str">
        <f t="shared" si="9"/>
        <v/>
      </c>
      <c r="E137" s="24" t="str">
        <f>IF(NOT(ISBLANK(G1copy!B137)),G1copy!B137,"")</f>
        <v/>
      </c>
      <c r="F137" s="24" t="str">
        <f>IF(E137&lt;&gt;"",G1copy!A137,"")</f>
        <v/>
      </c>
      <c r="G137" s="24" t="str">
        <f>IF(E137&lt;&gt;"",G1copy!F137,"")</f>
        <v/>
      </c>
    </row>
    <row r="138" spans="1:7" ht="15.75" customHeight="1">
      <c r="A138" s="23" t="str">
        <f t="shared" si="7"/>
        <v/>
      </c>
      <c r="B138" t="str">
        <f t="shared" si="8"/>
        <v/>
      </c>
      <c r="C138" s="23" t="str">
        <f t="shared" si="9"/>
        <v/>
      </c>
      <c r="E138" s="24" t="str">
        <f>IF(NOT(ISBLANK(G1copy!B138)),G1copy!B138,"")</f>
        <v/>
      </c>
      <c r="F138" s="24" t="str">
        <f>IF(E138&lt;&gt;"",G1copy!A138,"")</f>
        <v/>
      </c>
      <c r="G138" s="24" t="str">
        <f>IF(E138&lt;&gt;"",G1copy!F138,"")</f>
        <v/>
      </c>
    </row>
    <row r="139" spans="1:7" ht="15.75" customHeight="1">
      <c r="A139" s="23" t="str">
        <f t="shared" si="7"/>
        <v/>
      </c>
      <c r="B139" t="str">
        <f t="shared" si="8"/>
        <v/>
      </c>
      <c r="C139" s="23" t="str">
        <f t="shared" si="9"/>
        <v/>
      </c>
      <c r="E139" s="24" t="str">
        <f>IF(NOT(ISBLANK(G1copy!B139)),G1copy!B139,"")</f>
        <v/>
      </c>
      <c r="F139" s="24" t="str">
        <f>IF(E139&lt;&gt;"",G1copy!A139,"")</f>
        <v/>
      </c>
      <c r="G139" s="24" t="str">
        <f>IF(E139&lt;&gt;"",G1copy!F139,"")</f>
        <v/>
      </c>
    </row>
    <row r="140" spans="1:7" ht="15.75" customHeight="1">
      <c r="A140" s="23" t="str">
        <f t="shared" si="7"/>
        <v/>
      </c>
      <c r="B140" t="str">
        <f t="shared" si="8"/>
        <v/>
      </c>
      <c r="C140" s="23" t="str">
        <f t="shared" si="9"/>
        <v/>
      </c>
      <c r="E140" s="24" t="str">
        <f>IF(NOT(ISBLANK(G1copy!B140)),G1copy!B140,"")</f>
        <v/>
      </c>
      <c r="F140" s="24" t="str">
        <f>IF(E140&lt;&gt;"",G1copy!A140,"")</f>
        <v/>
      </c>
      <c r="G140" s="24" t="str">
        <f>IF(E140&lt;&gt;"",G1copy!F140,"")</f>
        <v/>
      </c>
    </row>
    <row r="141" spans="1:7" ht="15.75" customHeight="1">
      <c r="A141" s="23" t="str">
        <f t="shared" si="7"/>
        <v/>
      </c>
      <c r="B141" t="str">
        <f t="shared" si="8"/>
        <v/>
      </c>
      <c r="C141" s="23" t="str">
        <f t="shared" si="9"/>
        <v/>
      </c>
      <c r="E141" s="24" t="str">
        <f>IF(NOT(ISBLANK(G1copy!B141)),G1copy!B141,"")</f>
        <v/>
      </c>
      <c r="F141" s="24" t="str">
        <f>IF(E141&lt;&gt;"",G1copy!A141,"")</f>
        <v/>
      </c>
      <c r="G141" s="24" t="str">
        <f>IF(E141&lt;&gt;"",G1copy!F141,"")</f>
        <v/>
      </c>
    </row>
    <row r="142" spans="1:7" ht="15.75" customHeight="1">
      <c r="A142" s="23" t="str">
        <f t="shared" si="7"/>
        <v/>
      </c>
      <c r="B142" t="str">
        <f t="shared" si="8"/>
        <v/>
      </c>
      <c r="C142" s="23" t="str">
        <f t="shared" si="9"/>
        <v/>
      </c>
      <c r="E142" s="24" t="str">
        <f>IF(NOT(ISBLANK(G1copy!B142)),G1copy!B142,"")</f>
        <v/>
      </c>
      <c r="F142" s="24" t="str">
        <f>IF(E142&lt;&gt;"",G1copy!A142,"")</f>
        <v/>
      </c>
      <c r="G142" s="24" t="str">
        <f>IF(E142&lt;&gt;"",G1copy!F142,"")</f>
        <v/>
      </c>
    </row>
    <row r="143" spans="1:7" ht="15.75" customHeight="1">
      <c r="A143" s="23" t="str">
        <f t="shared" si="7"/>
        <v/>
      </c>
      <c r="B143" t="str">
        <f t="shared" si="8"/>
        <v/>
      </c>
      <c r="C143" s="23" t="str">
        <f t="shared" si="9"/>
        <v/>
      </c>
      <c r="E143" s="24" t="str">
        <f>IF(NOT(ISBLANK(G1copy!B143)),G1copy!B143,"")</f>
        <v/>
      </c>
      <c r="F143" s="24" t="str">
        <f>IF(E143&lt;&gt;"",G1copy!A143,"")</f>
        <v/>
      </c>
      <c r="G143" s="24" t="str">
        <f>IF(E143&lt;&gt;"",G1copy!F143,"")</f>
        <v/>
      </c>
    </row>
    <row r="144" spans="1:7" ht="15.75" customHeight="1">
      <c r="A144" s="23" t="str">
        <f t="shared" si="7"/>
        <v/>
      </c>
      <c r="B144" t="str">
        <f t="shared" si="8"/>
        <v/>
      </c>
      <c r="C144" s="23" t="str">
        <f t="shared" si="9"/>
        <v/>
      </c>
      <c r="E144" s="24" t="str">
        <f>IF(NOT(ISBLANK(G1copy!B144)),G1copy!B144,"")</f>
        <v/>
      </c>
      <c r="F144" s="24" t="str">
        <f>IF(E144&lt;&gt;"",G1copy!A144,"")</f>
        <v/>
      </c>
      <c r="G144" s="24" t="str">
        <f>IF(E144&lt;&gt;"",G1copy!F144,"")</f>
        <v/>
      </c>
    </row>
    <row r="145" spans="1:7" ht="15.75" customHeight="1">
      <c r="A145" s="23" t="str">
        <f t="shared" si="7"/>
        <v/>
      </c>
      <c r="B145" t="str">
        <f t="shared" si="8"/>
        <v/>
      </c>
      <c r="C145" s="23" t="str">
        <f t="shared" si="9"/>
        <v/>
      </c>
      <c r="E145" s="24" t="str">
        <f>IF(NOT(ISBLANK(G1copy!B145)),G1copy!B145,"")</f>
        <v/>
      </c>
      <c r="F145" s="24" t="str">
        <f>IF(E145&lt;&gt;"",G1copy!A145,"")</f>
        <v/>
      </c>
      <c r="G145" s="24" t="str">
        <f>IF(E145&lt;&gt;"",G1copy!F145,"")</f>
        <v/>
      </c>
    </row>
    <row r="146" spans="1:7" ht="15.75" customHeight="1">
      <c r="A146" s="23" t="str">
        <f t="shared" si="7"/>
        <v/>
      </c>
      <c r="B146" t="str">
        <f t="shared" si="8"/>
        <v/>
      </c>
      <c r="C146" s="23" t="str">
        <f t="shared" si="9"/>
        <v/>
      </c>
      <c r="E146" s="24" t="str">
        <f>IF(NOT(ISBLANK(G1copy!B146)),G1copy!B146,"")</f>
        <v/>
      </c>
      <c r="F146" s="24" t="str">
        <f>IF(E146&lt;&gt;"",G1copy!A146,"")</f>
        <v/>
      </c>
      <c r="G146" s="24" t="str">
        <f>IF(E146&lt;&gt;"",G1copy!F146,"")</f>
        <v/>
      </c>
    </row>
    <row r="147" spans="1:7" ht="15.75" customHeight="1">
      <c r="A147" s="23" t="str">
        <f t="shared" si="7"/>
        <v/>
      </c>
      <c r="B147" t="str">
        <f t="shared" si="8"/>
        <v/>
      </c>
      <c r="C147" s="23" t="str">
        <f t="shared" si="9"/>
        <v/>
      </c>
      <c r="E147" s="24" t="str">
        <f>IF(NOT(ISBLANK(G1copy!B147)),G1copy!B147,"")</f>
        <v/>
      </c>
      <c r="F147" s="24" t="str">
        <f>IF(E147&lt;&gt;"",G1copy!A147,"")</f>
        <v/>
      </c>
      <c r="G147" s="24" t="str">
        <f>IF(E147&lt;&gt;"",G1copy!F147,"")</f>
        <v/>
      </c>
    </row>
    <row r="148" spans="1:7" ht="15.75" customHeight="1">
      <c r="A148" s="23" t="str">
        <f t="shared" si="7"/>
        <v/>
      </c>
      <c r="B148" t="str">
        <f t="shared" si="8"/>
        <v/>
      </c>
      <c r="C148" s="23" t="str">
        <f t="shared" si="9"/>
        <v/>
      </c>
      <c r="E148" s="24" t="str">
        <f>IF(NOT(ISBLANK(G1copy!B148)),G1copy!B148,"")</f>
        <v/>
      </c>
      <c r="F148" s="24" t="str">
        <f>IF(E148&lt;&gt;"",G1copy!A148,"")</f>
        <v/>
      </c>
      <c r="G148" s="24" t="str">
        <f>IF(E148&lt;&gt;"",G1copy!F148,"")</f>
        <v/>
      </c>
    </row>
    <row r="149" spans="1:7" ht="15.75" customHeight="1">
      <c r="A149" s="23" t="str">
        <f t="shared" si="7"/>
        <v/>
      </c>
      <c r="B149" t="str">
        <f t="shared" si="8"/>
        <v/>
      </c>
      <c r="C149" s="23" t="str">
        <f t="shared" si="9"/>
        <v/>
      </c>
      <c r="E149" s="24" t="str">
        <f>IF(NOT(ISBLANK(G1copy!B149)),G1copy!B149,"")</f>
        <v/>
      </c>
      <c r="F149" s="24" t="str">
        <f>IF(E149&lt;&gt;"",G1copy!A149,"")</f>
        <v/>
      </c>
      <c r="G149" s="24" t="str">
        <f>IF(E149&lt;&gt;"",G1copy!F149,"")</f>
        <v/>
      </c>
    </row>
    <row r="150" spans="1:7" ht="15.75" customHeight="1">
      <c r="A150" s="23" t="str">
        <f t="shared" si="7"/>
        <v/>
      </c>
      <c r="B150" t="str">
        <f t="shared" si="8"/>
        <v/>
      </c>
      <c r="C150" s="23" t="str">
        <f t="shared" si="9"/>
        <v/>
      </c>
      <c r="E150" s="24" t="str">
        <f>IF(NOT(ISBLANK(G1copy!B150)),G1copy!B150,"")</f>
        <v/>
      </c>
      <c r="F150" s="24" t="str">
        <f>IF(E150&lt;&gt;"",G1copy!A150,"")</f>
        <v/>
      </c>
      <c r="G150" s="24" t="str">
        <f>IF(E150&lt;&gt;"",G1copy!F150,"")</f>
        <v/>
      </c>
    </row>
    <row r="151" spans="1:7" ht="15.75" customHeight="1">
      <c r="A151" s="23" t="str">
        <f t="shared" si="7"/>
        <v/>
      </c>
      <c r="B151" t="str">
        <f t="shared" si="8"/>
        <v/>
      </c>
      <c r="C151" s="23" t="str">
        <f t="shared" si="9"/>
        <v/>
      </c>
      <c r="E151" s="24" t="str">
        <f>IF(NOT(ISBLANK(G1copy!B151)),G1copy!B151,"")</f>
        <v/>
      </c>
      <c r="F151" s="24" t="str">
        <f>IF(E151&lt;&gt;"",G1copy!A151,"")</f>
        <v/>
      </c>
      <c r="G151" s="24" t="str">
        <f>IF(E151&lt;&gt;"",G1copy!F151,"")</f>
        <v/>
      </c>
    </row>
    <row r="152" spans="1:7" ht="15.75" customHeight="1">
      <c r="A152" s="23" t="str">
        <f t="shared" si="7"/>
        <v/>
      </c>
      <c r="B152" t="str">
        <f t="shared" si="8"/>
        <v/>
      </c>
      <c r="C152" s="23" t="str">
        <f t="shared" si="9"/>
        <v/>
      </c>
      <c r="E152" s="24" t="str">
        <f>IF(NOT(ISBLANK(G1copy!B152)),G1copy!B152,"")</f>
        <v/>
      </c>
      <c r="F152" s="24" t="str">
        <f>IF(E152&lt;&gt;"",G1copy!A152,"")</f>
        <v/>
      </c>
      <c r="G152" s="24" t="str">
        <f>IF(E152&lt;&gt;"",G1copy!F152,"")</f>
        <v/>
      </c>
    </row>
    <row r="153" spans="1:7" ht="15.75" customHeight="1">
      <c r="A153" s="23" t="str">
        <f t="shared" si="7"/>
        <v/>
      </c>
      <c r="B153" t="str">
        <f t="shared" si="8"/>
        <v/>
      </c>
      <c r="C153" s="23" t="str">
        <f t="shared" si="9"/>
        <v/>
      </c>
      <c r="E153" s="24" t="str">
        <f>IF(NOT(ISBLANK(G1copy!B153)),G1copy!B153,"")</f>
        <v/>
      </c>
      <c r="F153" s="24" t="str">
        <f>IF(E153&lt;&gt;"",G1copy!A153,"")</f>
        <v/>
      </c>
      <c r="G153" s="24" t="str">
        <f>IF(E153&lt;&gt;"",G1copy!F153,"")</f>
        <v/>
      </c>
    </row>
    <row r="154" spans="1:7" ht="15.75" customHeight="1">
      <c r="A154" s="23" t="str">
        <f t="shared" si="7"/>
        <v/>
      </c>
      <c r="B154" t="str">
        <f t="shared" si="8"/>
        <v/>
      </c>
      <c r="C154" s="23" t="str">
        <f t="shared" si="9"/>
        <v/>
      </c>
      <c r="E154" s="24" t="str">
        <f>IF(NOT(ISBLANK(G1copy!B154)),G1copy!B154,"")</f>
        <v/>
      </c>
      <c r="F154" s="24" t="str">
        <f>IF(E154&lt;&gt;"",G1copy!A154,"")</f>
        <v/>
      </c>
      <c r="G154" s="24" t="str">
        <f>IF(E154&lt;&gt;"",G1copy!F154,"")</f>
        <v/>
      </c>
    </row>
    <row r="155" spans="1:7" ht="15.75" customHeight="1">
      <c r="A155" s="23" t="str">
        <f t="shared" si="7"/>
        <v/>
      </c>
      <c r="B155" t="str">
        <f t="shared" si="8"/>
        <v/>
      </c>
      <c r="C155" s="23" t="str">
        <f t="shared" si="9"/>
        <v/>
      </c>
      <c r="E155" s="24" t="str">
        <f>IF(NOT(ISBLANK(G1copy!B155)),G1copy!B155,"")</f>
        <v/>
      </c>
      <c r="F155" s="24" t="str">
        <f>IF(E155&lt;&gt;"",G1copy!A155,"")</f>
        <v/>
      </c>
      <c r="G155" s="24" t="str">
        <f>IF(E155&lt;&gt;"",G1copy!F155,"")</f>
        <v/>
      </c>
    </row>
    <row r="156" spans="1:7" ht="15.75" customHeight="1">
      <c r="A156" s="23" t="str">
        <f t="shared" si="7"/>
        <v/>
      </c>
      <c r="B156" t="str">
        <f t="shared" si="8"/>
        <v/>
      </c>
      <c r="C156" s="23" t="str">
        <f t="shared" si="9"/>
        <v/>
      </c>
      <c r="E156" s="24" t="str">
        <f>IF(NOT(ISBLANK(G1copy!B156)),G1copy!B156,"")</f>
        <v/>
      </c>
      <c r="F156" s="24" t="str">
        <f>IF(E156&lt;&gt;"",G1copy!A156,"")</f>
        <v/>
      </c>
      <c r="G156" s="24" t="str">
        <f>IF(E156&lt;&gt;"",G1copy!F156,"")</f>
        <v/>
      </c>
    </row>
    <row r="157" spans="1:7" ht="15.75" customHeight="1">
      <c r="A157" s="23" t="str">
        <f t="shared" si="7"/>
        <v/>
      </c>
      <c r="B157" t="str">
        <f t="shared" si="8"/>
        <v/>
      </c>
      <c r="C157" s="23" t="str">
        <f t="shared" si="9"/>
        <v/>
      </c>
      <c r="E157" s="24" t="str">
        <f>IF(NOT(ISBLANK(G1copy!B157)),G1copy!B157,"")</f>
        <v/>
      </c>
      <c r="F157" s="24" t="str">
        <f>IF(E157&lt;&gt;"",G1copy!A157,"")</f>
        <v/>
      </c>
      <c r="G157" s="24" t="str">
        <f>IF(E157&lt;&gt;"",G1copy!F157,"")</f>
        <v/>
      </c>
    </row>
    <row r="158" spans="1:7" ht="15.75" customHeight="1">
      <c r="A158" s="23" t="str">
        <f t="shared" si="7"/>
        <v/>
      </c>
      <c r="B158" t="str">
        <f t="shared" si="8"/>
        <v/>
      </c>
      <c r="C158" s="23" t="str">
        <f t="shared" si="9"/>
        <v/>
      </c>
      <c r="E158" s="24" t="str">
        <f>IF(NOT(ISBLANK(G1copy!B158)),G1copy!B158,"")</f>
        <v/>
      </c>
      <c r="F158" s="24" t="str">
        <f>IF(E158&lt;&gt;"",G1copy!A158,"")</f>
        <v/>
      </c>
      <c r="G158" s="24" t="str">
        <f>IF(E158&lt;&gt;"",G1copy!F158,"")</f>
        <v/>
      </c>
    </row>
    <row r="159" spans="1:7" ht="15.75" customHeight="1">
      <c r="A159" s="23" t="str">
        <f t="shared" si="7"/>
        <v/>
      </c>
      <c r="B159" t="str">
        <f t="shared" si="8"/>
        <v/>
      </c>
      <c r="C159" s="23" t="str">
        <f t="shared" si="9"/>
        <v/>
      </c>
      <c r="E159" s="24" t="str">
        <f>IF(NOT(ISBLANK(G1copy!B159)),G1copy!B159,"")</f>
        <v/>
      </c>
      <c r="F159" s="24" t="str">
        <f>IF(E159&lt;&gt;"",G1copy!A159,"")</f>
        <v/>
      </c>
      <c r="G159" s="24" t="str">
        <f>IF(E159&lt;&gt;"",G1copy!F159,"")</f>
        <v/>
      </c>
    </row>
    <row r="160" spans="1:7" ht="15.75" customHeight="1">
      <c r="A160" s="23" t="str">
        <f t="shared" si="7"/>
        <v/>
      </c>
      <c r="B160" t="str">
        <f t="shared" si="8"/>
        <v/>
      </c>
      <c r="C160" s="23" t="str">
        <f t="shared" si="9"/>
        <v/>
      </c>
      <c r="E160" s="24" t="str">
        <f>IF(NOT(ISBLANK(G1copy!B160)),G1copy!B160,"")</f>
        <v/>
      </c>
      <c r="F160" s="24" t="str">
        <f>IF(E160&lt;&gt;"",G1copy!A160,"")</f>
        <v/>
      </c>
      <c r="G160" s="24" t="str">
        <f>IF(E160&lt;&gt;"",G1copy!F160,"")</f>
        <v/>
      </c>
    </row>
    <row r="161" spans="1:7" ht="15.75" customHeight="1">
      <c r="A161" s="23" t="str">
        <f t="shared" si="7"/>
        <v/>
      </c>
      <c r="B161" t="str">
        <f t="shared" si="8"/>
        <v/>
      </c>
      <c r="C161" s="23" t="str">
        <f t="shared" si="9"/>
        <v/>
      </c>
      <c r="E161" s="24" t="str">
        <f>IF(NOT(ISBLANK(G1copy!B161)),G1copy!B161,"")</f>
        <v/>
      </c>
      <c r="F161" s="24" t="str">
        <f>IF(E161&lt;&gt;"",G1copy!A161,"")</f>
        <v/>
      </c>
      <c r="G161" s="24" t="str">
        <f>IF(E161&lt;&gt;"",G1copy!F161,"")</f>
        <v/>
      </c>
    </row>
    <row r="162" spans="1:7" ht="15.75" customHeight="1">
      <c r="A162" s="23" t="str">
        <f t="shared" si="7"/>
        <v/>
      </c>
      <c r="B162" t="str">
        <f t="shared" si="8"/>
        <v/>
      </c>
      <c r="C162" s="23" t="str">
        <f t="shared" si="9"/>
        <v/>
      </c>
      <c r="E162" s="24" t="str">
        <f>IF(NOT(ISBLANK(G1copy!B162)),G1copy!B162,"")</f>
        <v/>
      </c>
      <c r="F162" s="24" t="str">
        <f>IF(E162&lt;&gt;"",G1copy!A162,"")</f>
        <v/>
      </c>
      <c r="G162" s="24" t="str">
        <f>IF(E162&lt;&gt;"",G1copy!F162,"")</f>
        <v/>
      </c>
    </row>
    <row r="163" spans="1:7" ht="15.75" customHeight="1">
      <c r="A163" s="23" t="str">
        <f t="shared" si="7"/>
        <v/>
      </c>
      <c r="B163" t="str">
        <f t="shared" si="8"/>
        <v/>
      </c>
      <c r="C163" s="23" t="str">
        <f t="shared" si="9"/>
        <v/>
      </c>
      <c r="E163" s="24" t="str">
        <f>IF(NOT(ISBLANK(G1copy!B163)),G1copy!B163,"")</f>
        <v/>
      </c>
      <c r="F163" s="24" t="str">
        <f>IF(E163&lt;&gt;"",G1copy!A163,"")</f>
        <v/>
      </c>
      <c r="G163" s="24" t="str">
        <f>IF(E163&lt;&gt;"",G1copy!F163,"")</f>
        <v/>
      </c>
    </row>
    <row r="164" spans="1:7" ht="15.75" customHeight="1">
      <c r="A164" s="23" t="str">
        <f t="shared" si="7"/>
        <v/>
      </c>
      <c r="B164" t="str">
        <f t="shared" si="8"/>
        <v/>
      </c>
      <c r="C164" s="23" t="str">
        <f t="shared" si="9"/>
        <v/>
      </c>
      <c r="E164" s="24" t="str">
        <f>IF(NOT(ISBLANK(G1copy!B164)),G1copy!B164,"")</f>
        <v/>
      </c>
      <c r="F164" s="24" t="str">
        <f>IF(E164&lt;&gt;"",G1copy!A164,"")</f>
        <v/>
      </c>
      <c r="G164" s="24" t="str">
        <f>IF(E164&lt;&gt;"",G1copy!F164,"")</f>
        <v/>
      </c>
    </row>
    <row r="165" spans="1:7" ht="15.75" customHeight="1">
      <c r="A165" s="23" t="str">
        <f t="shared" si="7"/>
        <v/>
      </c>
      <c r="B165" t="str">
        <f t="shared" si="8"/>
        <v/>
      </c>
      <c r="C165" s="23" t="str">
        <f t="shared" si="9"/>
        <v/>
      </c>
      <c r="E165" s="24" t="str">
        <f>IF(NOT(ISBLANK(G1copy!B165)),G1copy!B165,"")</f>
        <v/>
      </c>
      <c r="F165" s="24" t="str">
        <f>IF(E165&lt;&gt;"",G1copy!A165,"")</f>
        <v/>
      </c>
      <c r="G165" s="24" t="str">
        <f>IF(E165&lt;&gt;"",G1copy!F165,"")</f>
        <v/>
      </c>
    </row>
    <row r="166" spans="1:7" ht="15.75" customHeight="1">
      <c r="A166" s="23" t="str">
        <f t="shared" si="7"/>
        <v/>
      </c>
      <c r="B166" t="str">
        <f t="shared" si="8"/>
        <v/>
      </c>
      <c r="C166" s="23" t="str">
        <f t="shared" si="9"/>
        <v/>
      </c>
      <c r="E166" s="24" t="str">
        <f>IF(NOT(ISBLANK(G1copy!B166)),G1copy!B166,"")</f>
        <v/>
      </c>
      <c r="F166" s="24" t="str">
        <f>IF(E166&lt;&gt;"",G1copy!A166,"")</f>
        <v/>
      </c>
      <c r="G166" s="24" t="str">
        <f>IF(E166&lt;&gt;"",G1copy!F166,"")</f>
        <v/>
      </c>
    </row>
    <row r="167" spans="1:7" ht="15.75" customHeight="1">
      <c r="A167" s="23" t="str">
        <f t="shared" si="7"/>
        <v/>
      </c>
      <c r="B167" t="str">
        <f t="shared" si="8"/>
        <v/>
      </c>
      <c r="C167" s="23" t="str">
        <f t="shared" si="9"/>
        <v/>
      </c>
      <c r="E167" s="24" t="str">
        <f>IF(NOT(ISBLANK(G1copy!B167)),G1copy!B167,"")</f>
        <v/>
      </c>
      <c r="F167" s="24" t="str">
        <f>IF(E167&lt;&gt;"",G1copy!A167,"")</f>
        <v/>
      </c>
      <c r="G167" s="24" t="str">
        <f>IF(E167&lt;&gt;"",G1copy!F167,"")</f>
        <v/>
      </c>
    </row>
    <row r="168" spans="1:7" ht="15.75" customHeight="1">
      <c r="A168" s="23" t="str">
        <f t="shared" si="7"/>
        <v/>
      </c>
      <c r="B168" t="str">
        <f t="shared" si="8"/>
        <v/>
      </c>
      <c r="C168" s="23" t="str">
        <f t="shared" si="9"/>
        <v/>
      </c>
      <c r="E168" s="24" t="str">
        <f>IF(NOT(ISBLANK(G1copy!B168)),G1copy!B168,"")</f>
        <v/>
      </c>
      <c r="F168" s="24" t="str">
        <f>IF(E168&lt;&gt;"",G1copy!A168,"")</f>
        <v/>
      </c>
      <c r="G168" s="24" t="str">
        <f>IF(E168&lt;&gt;"",G1copy!F168,"")</f>
        <v/>
      </c>
    </row>
    <row r="169" spans="1:7" ht="15.75" customHeight="1">
      <c r="A169" s="23" t="str">
        <f t="shared" si="7"/>
        <v/>
      </c>
      <c r="B169" t="str">
        <f t="shared" si="8"/>
        <v/>
      </c>
      <c r="C169" s="23" t="str">
        <f t="shared" si="9"/>
        <v/>
      </c>
      <c r="E169" s="24" t="str">
        <f>IF(NOT(ISBLANK(G1copy!B169)),G1copy!B169,"")</f>
        <v/>
      </c>
      <c r="F169" s="24" t="str">
        <f>IF(E169&lt;&gt;"",G1copy!A169,"")</f>
        <v/>
      </c>
      <c r="G169" s="24" t="str">
        <f>IF(E169&lt;&gt;"",G1copy!F169,"")</f>
        <v/>
      </c>
    </row>
    <row r="170" spans="1:7" ht="15.75" customHeight="1">
      <c r="A170" s="23" t="str">
        <f t="shared" si="7"/>
        <v/>
      </c>
      <c r="B170" t="str">
        <f t="shared" si="8"/>
        <v/>
      </c>
      <c r="C170" s="23" t="str">
        <f t="shared" si="9"/>
        <v/>
      </c>
      <c r="E170" s="24" t="str">
        <f>IF(NOT(ISBLANK(G1copy!B170)),G1copy!B170,"")</f>
        <v/>
      </c>
      <c r="F170" s="24" t="str">
        <f>IF(E170&lt;&gt;"",G1copy!A170,"")</f>
        <v/>
      </c>
      <c r="G170" s="24" t="str">
        <f>IF(E170&lt;&gt;"",G1copy!F170,"")</f>
        <v/>
      </c>
    </row>
    <row r="171" spans="1:7" ht="15.75" customHeight="1">
      <c r="A171" s="23" t="str">
        <f t="shared" si="7"/>
        <v/>
      </c>
      <c r="B171" t="str">
        <f t="shared" si="8"/>
        <v/>
      </c>
      <c r="C171" s="23" t="str">
        <f t="shared" si="9"/>
        <v/>
      </c>
      <c r="E171" s="24" t="str">
        <f>IF(NOT(ISBLANK(G1copy!B171)),G1copy!B171,"")</f>
        <v/>
      </c>
      <c r="F171" s="24" t="str">
        <f>IF(E171&lt;&gt;"",G1copy!A171,"")</f>
        <v/>
      </c>
      <c r="G171" s="24" t="str">
        <f>IF(E171&lt;&gt;"",G1copy!F171,"")</f>
        <v/>
      </c>
    </row>
    <row r="172" spans="1:7" ht="15.75" customHeight="1">
      <c r="A172" s="23" t="str">
        <f t="shared" si="7"/>
        <v/>
      </c>
      <c r="B172" t="str">
        <f t="shared" si="8"/>
        <v/>
      </c>
      <c r="C172" s="23" t="str">
        <f t="shared" si="9"/>
        <v/>
      </c>
      <c r="E172" s="24" t="str">
        <f>IF(NOT(ISBLANK(G1copy!B172)),G1copy!B172,"")</f>
        <v/>
      </c>
      <c r="F172" s="24" t="str">
        <f>IF(E172&lt;&gt;"",G1copy!A172,"")</f>
        <v/>
      </c>
      <c r="G172" s="24" t="str">
        <f>IF(E172&lt;&gt;"",G1copy!F172,"")</f>
        <v/>
      </c>
    </row>
    <row r="173" spans="1:7" ht="15.75" customHeight="1">
      <c r="A173" s="23" t="str">
        <f t="shared" si="7"/>
        <v/>
      </c>
      <c r="B173" t="str">
        <f t="shared" si="8"/>
        <v/>
      </c>
      <c r="C173" s="23" t="str">
        <f t="shared" si="9"/>
        <v/>
      </c>
      <c r="E173" s="24" t="str">
        <f>IF(NOT(ISBLANK(G1copy!B173)),G1copy!B173,"")</f>
        <v/>
      </c>
      <c r="F173" s="24" t="str">
        <f>IF(E173&lt;&gt;"",G1copy!A173,"")</f>
        <v/>
      </c>
      <c r="G173" s="24" t="str">
        <f>IF(E173&lt;&gt;"",G1copy!F173,"")</f>
        <v/>
      </c>
    </row>
    <row r="174" spans="1:7" ht="15.75" customHeight="1">
      <c r="A174" s="23" t="str">
        <f t="shared" si="7"/>
        <v/>
      </c>
      <c r="B174" t="str">
        <f t="shared" si="8"/>
        <v/>
      </c>
      <c r="C174" s="23" t="str">
        <f t="shared" si="9"/>
        <v/>
      </c>
      <c r="E174" s="24" t="str">
        <f>IF(NOT(ISBLANK(G1copy!B174)),G1copy!B174,"")</f>
        <v/>
      </c>
      <c r="F174" s="24" t="str">
        <f>IF(E174&lt;&gt;"",G1copy!A174,"")</f>
        <v/>
      </c>
      <c r="G174" s="24" t="str">
        <f>IF(E174&lt;&gt;"",G1copy!F174,"")</f>
        <v/>
      </c>
    </row>
    <row r="175" spans="1:7" ht="15.75" customHeight="1">
      <c r="A175" s="23" t="str">
        <f t="shared" si="7"/>
        <v/>
      </c>
      <c r="B175" t="str">
        <f t="shared" si="8"/>
        <v/>
      </c>
      <c r="C175" s="23" t="str">
        <f t="shared" si="9"/>
        <v/>
      </c>
      <c r="E175" s="24" t="str">
        <f>IF(NOT(ISBLANK(G1copy!B175)),G1copy!B175,"")</f>
        <v/>
      </c>
      <c r="F175" s="24" t="str">
        <f>IF(E175&lt;&gt;"",G1copy!A175,"")</f>
        <v/>
      </c>
      <c r="G175" s="24" t="str">
        <f>IF(E175&lt;&gt;"",G1copy!F175,"")</f>
        <v/>
      </c>
    </row>
    <row r="176" spans="1:7" ht="15.75" customHeight="1">
      <c r="A176" s="23" t="str">
        <f t="shared" si="7"/>
        <v/>
      </c>
      <c r="B176" t="str">
        <f t="shared" si="8"/>
        <v/>
      </c>
      <c r="C176" s="23" t="str">
        <f t="shared" si="9"/>
        <v/>
      </c>
      <c r="E176" s="24" t="str">
        <f>IF(NOT(ISBLANK(G1copy!B176)),G1copy!B176,"")</f>
        <v/>
      </c>
      <c r="F176" s="24" t="str">
        <f>IF(E176&lt;&gt;"",G1copy!A176,"")</f>
        <v/>
      </c>
      <c r="G176" s="24" t="str">
        <f>IF(E176&lt;&gt;"",G1copy!F176,"")</f>
        <v/>
      </c>
    </row>
    <row r="177" spans="1:7" ht="15.75" customHeight="1">
      <c r="A177" s="23" t="str">
        <f t="shared" si="7"/>
        <v/>
      </c>
      <c r="B177" t="str">
        <f t="shared" si="8"/>
        <v/>
      </c>
      <c r="C177" s="23" t="str">
        <f t="shared" si="9"/>
        <v/>
      </c>
      <c r="E177" s="24" t="str">
        <f>IF(NOT(ISBLANK(G1copy!B177)),G1copy!B177,"")</f>
        <v/>
      </c>
      <c r="F177" s="24" t="str">
        <f>IF(E177&lt;&gt;"",G1copy!A177,"")</f>
        <v/>
      </c>
      <c r="G177" s="24" t="str">
        <f>IF(E177&lt;&gt;"",G1copy!F177,"")</f>
        <v/>
      </c>
    </row>
    <row r="178" spans="1:7" ht="15.75" customHeight="1">
      <c r="A178" s="23" t="str">
        <f t="shared" si="7"/>
        <v/>
      </c>
      <c r="B178" t="str">
        <f t="shared" si="8"/>
        <v/>
      </c>
      <c r="C178" s="23" t="str">
        <f t="shared" si="9"/>
        <v/>
      </c>
      <c r="E178" s="24" t="str">
        <f>IF(NOT(ISBLANK(G1copy!B178)),G1copy!B178,"")</f>
        <v/>
      </c>
      <c r="F178" s="24" t="str">
        <f>IF(E178&lt;&gt;"",G1copy!A178,"")</f>
        <v/>
      </c>
      <c r="G178" s="24" t="str">
        <f>IF(E178&lt;&gt;"",G1copy!F178,"")</f>
        <v/>
      </c>
    </row>
    <row r="179" spans="1:7" ht="15.75" customHeight="1">
      <c r="A179" s="23" t="str">
        <f t="shared" si="7"/>
        <v/>
      </c>
      <c r="B179" t="str">
        <f t="shared" si="8"/>
        <v/>
      </c>
      <c r="C179" s="23" t="str">
        <f t="shared" si="9"/>
        <v/>
      </c>
      <c r="E179" s="24" t="str">
        <f>IF(NOT(ISBLANK(G1copy!B179)),G1copy!B179,"")</f>
        <v/>
      </c>
      <c r="F179" s="24" t="str">
        <f>IF(E179&lt;&gt;"",G1copy!A179,"")</f>
        <v/>
      </c>
      <c r="G179" s="24" t="str">
        <f>IF(E179&lt;&gt;"",G1copy!F179,"")</f>
        <v/>
      </c>
    </row>
    <row r="180" spans="1:7" ht="15.75" customHeight="1">
      <c r="A180" s="23" t="str">
        <f t="shared" si="7"/>
        <v/>
      </c>
      <c r="B180" t="str">
        <f t="shared" si="8"/>
        <v/>
      </c>
      <c r="C180" s="23" t="str">
        <f t="shared" si="9"/>
        <v/>
      </c>
      <c r="E180" s="24" t="str">
        <f>IF(NOT(ISBLANK(G1copy!B180)),G1copy!B180,"")</f>
        <v/>
      </c>
      <c r="F180" s="24" t="str">
        <f>IF(E180&lt;&gt;"",G1copy!A180,"")</f>
        <v/>
      </c>
      <c r="G180" s="24" t="str">
        <f>IF(E180&lt;&gt;"",G1copy!F180,"")</f>
        <v/>
      </c>
    </row>
    <row r="181" spans="1:7" ht="15.75" customHeight="1">
      <c r="A181" s="23" t="str">
        <f t="shared" si="7"/>
        <v/>
      </c>
      <c r="B181" t="str">
        <f t="shared" si="8"/>
        <v/>
      </c>
      <c r="C181" s="23" t="str">
        <f t="shared" si="9"/>
        <v/>
      </c>
      <c r="E181" s="24" t="str">
        <f>IF(NOT(ISBLANK(G1copy!B181)),G1copy!B181,"")</f>
        <v/>
      </c>
      <c r="F181" s="24" t="str">
        <f>IF(E181&lt;&gt;"",G1copy!A181,"")</f>
        <v/>
      </c>
      <c r="G181" s="24" t="str">
        <f>IF(E181&lt;&gt;"",G1copy!F181,"")</f>
        <v/>
      </c>
    </row>
    <row r="182" spans="1:7" ht="15.75" customHeight="1">
      <c r="A182" s="23" t="str">
        <f t="shared" si="7"/>
        <v/>
      </c>
      <c r="B182" t="str">
        <f t="shared" si="8"/>
        <v/>
      </c>
      <c r="C182" s="23" t="str">
        <f t="shared" si="9"/>
        <v/>
      </c>
      <c r="E182" s="24" t="str">
        <f>IF(NOT(ISBLANK(G1copy!B182)),G1copy!B182,"")</f>
        <v/>
      </c>
      <c r="F182" s="24" t="str">
        <f>IF(E182&lt;&gt;"",G1copy!A182,"")</f>
        <v/>
      </c>
      <c r="G182" s="24" t="str">
        <f>IF(E182&lt;&gt;"",G1copy!F182,"")</f>
        <v/>
      </c>
    </row>
    <row r="183" spans="1:7" ht="15.75" customHeight="1">
      <c r="A183" s="23" t="str">
        <f t="shared" si="7"/>
        <v/>
      </c>
      <c r="B183" t="str">
        <f t="shared" si="8"/>
        <v/>
      </c>
      <c r="C183" s="23" t="str">
        <f t="shared" si="9"/>
        <v/>
      </c>
      <c r="E183" s="24" t="str">
        <f>IF(NOT(ISBLANK(G1copy!B183)),G1copy!B183,"")</f>
        <v/>
      </c>
      <c r="F183" s="24" t="str">
        <f>IF(E183&lt;&gt;"",G1copy!A183,"")</f>
        <v/>
      </c>
      <c r="G183" s="24" t="str">
        <f>IF(E183&lt;&gt;"",G1copy!F183,"")</f>
        <v/>
      </c>
    </row>
    <row r="184" spans="1:7" ht="15.75" customHeight="1">
      <c r="A184" s="23" t="str">
        <f t="shared" si="7"/>
        <v/>
      </c>
      <c r="B184" t="str">
        <f t="shared" si="8"/>
        <v/>
      </c>
      <c r="C184" s="23" t="str">
        <f t="shared" si="9"/>
        <v/>
      </c>
      <c r="E184" s="24" t="str">
        <f>IF(NOT(ISBLANK(G1copy!B184)),G1copy!B184,"")</f>
        <v/>
      </c>
      <c r="F184" s="24" t="str">
        <f>IF(E184&lt;&gt;"",G1copy!A184,"")</f>
        <v/>
      </c>
      <c r="G184" s="24" t="str">
        <f>IF(E184&lt;&gt;"",G1copy!F184,"")</f>
        <v/>
      </c>
    </row>
    <row r="185" spans="1:7" ht="15.75" customHeight="1">
      <c r="A185" s="23" t="str">
        <f t="shared" si="7"/>
        <v/>
      </c>
      <c r="B185" t="str">
        <f t="shared" si="8"/>
        <v/>
      </c>
      <c r="C185" s="23" t="str">
        <f t="shared" si="9"/>
        <v/>
      </c>
      <c r="E185" s="24" t="str">
        <f>IF(NOT(ISBLANK(G1copy!B185)),G1copy!B185,"")</f>
        <v/>
      </c>
      <c r="F185" s="24" t="str">
        <f>IF(E185&lt;&gt;"",G1copy!A185,"")</f>
        <v/>
      </c>
      <c r="G185" s="24" t="str">
        <f>IF(E185&lt;&gt;"",G1copy!F185,"")</f>
        <v/>
      </c>
    </row>
    <row r="186" spans="1:7" ht="15.75" customHeight="1">
      <c r="A186" s="23" t="str">
        <f t="shared" si="7"/>
        <v/>
      </c>
      <c r="B186" t="str">
        <f t="shared" si="8"/>
        <v/>
      </c>
      <c r="C186" s="23" t="str">
        <f t="shared" si="9"/>
        <v/>
      </c>
      <c r="E186" s="24" t="str">
        <f>IF(NOT(ISBLANK(G1copy!B186)),G1copy!B186,"")</f>
        <v/>
      </c>
      <c r="F186" s="24" t="str">
        <f>IF(E186&lt;&gt;"",G1copy!A186,"")</f>
        <v/>
      </c>
      <c r="G186" s="24" t="str">
        <f>IF(E186&lt;&gt;"",G1copy!F186,"")</f>
        <v/>
      </c>
    </row>
    <row r="187" spans="1:7" ht="15.75" customHeight="1">
      <c r="A187" s="23" t="str">
        <f t="shared" si="7"/>
        <v/>
      </c>
      <c r="B187" t="str">
        <f t="shared" si="8"/>
        <v/>
      </c>
      <c r="C187" s="23" t="str">
        <f t="shared" si="9"/>
        <v/>
      </c>
      <c r="E187" s="24" t="str">
        <f>IF(NOT(ISBLANK(G1copy!B187)),G1copy!B187,"")</f>
        <v/>
      </c>
      <c r="F187" s="24" t="str">
        <f>IF(E187&lt;&gt;"",G1copy!A187,"")</f>
        <v/>
      </c>
      <c r="G187" s="24" t="str">
        <f>IF(E187&lt;&gt;"",G1copy!F187,"")</f>
        <v/>
      </c>
    </row>
    <row r="188" spans="1:7" ht="15.75" customHeight="1">
      <c r="A188" s="23" t="str">
        <f t="shared" si="7"/>
        <v/>
      </c>
      <c r="B188" t="str">
        <f t="shared" si="8"/>
        <v/>
      </c>
      <c r="C188" s="23" t="str">
        <f t="shared" si="9"/>
        <v/>
      </c>
      <c r="E188" s="24" t="str">
        <f>IF(NOT(ISBLANK(G1copy!B188)),G1copy!B188,"")</f>
        <v/>
      </c>
      <c r="F188" s="24" t="str">
        <f>IF(E188&lt;&gt;"",G1copy!A188,"")</f>
        <v/>
      </c>
      <c r="G188" s="24" t="str">
        <f>IF(E188&lt;&gt;"",G1copy!F188,"")</f>
        <v/>
      </c>
    </row>
    <row r="189" spans="1:7" ht="15.75" customHeight="1">
      <c r="A189" s="23" t="str">
        <f t="shared" si="7"/>
        <v/>
      </c>
      <c r="B189" t="str">
        <f t="shared" si="8"/>
        <v/>
      </c>
      <c r="C189" s="23" t="str">
        <f t="shared" si="9"/>
        <v/>
      </c>
      <c r="E189" s="24" t="str">
        <f>IF(NOT(ISBLANK(G1copy!B189)),G1copy!B189,"")</f>
        <v/>
      </c>
      <c r="F189" s="24" t="str">
        <f>IF(E189&lt;&gt;"",G1copy!A189,"")</f>
        <v/>
      </c>
      <c r="G189" s="24" t="str">
        <f>IF(E189&lt;&gt;"",G1copy!F189,"")</f>
        <v/>
      </c>
    </row>
    <row r="190" spans="1:7" ht="15.75" customHeight="1">
      <c r="A190" s="23" t="str">
        <f t="shared" si="7"/>
        <v/>
      </c>
      <c r="B190" t="str">
        <f t="shared" si="8"/>
        <v/>
      </c>
      <c r="C190" s="23" t="str">
        <f t="shared" si="9"/>
        <v/>
      </c>
      <c r="E190" s="24" t="str">
        <f>IF(NOT(ISBLANK(G1copy!B190)),G1copy!B190,"")</f>
        <v/>
      </c>
      <c r="F190" s="24" t="str">
        <f>IF(E190&lt;&gt;"",G1copy!A190,"")</f>
        <v/>
      </c>
      <c r="G190" s="24" t="str">
        <f>IF(E190&lt;&gt;"",G1copy!F190,"")</f>
        <v/>
      </c>
    </row>
    <row r="191" spans="1:7" ht="15.75" customHeight="1">
      <c r="A191" s="23" t="str">
        <f t="shared" si="7"/>
        <v/>
      </c>
      <c r="B191" t="str">
        <f t="shared" si="8"/>
        <v/>
      </c>
      <c r="C191" s="23" t="str">
        <f t="shared" si="9"/>
        <v/>
      </c>
      <c r="E191" s="24" t="str">
        <f>IF(NOT(ISBLANK(G1copy!B191)),G1copy!B191,"")</f>
        <v/>
      </c>
      <c r="F191" s="24" t="str">
        <f>IF(E191&lt;&gt;"",G1copy!A191,"")</f>
        <v/>
      </c>
      <c r="G191" s="24" t="str">
        <f>IF(E191&lt;&gt;"",G1copy!F191,"")</f>
        <v/>
      </c>
    </row>
    <row r="192" spans="1:7" ht="15.75" customHeight="1">
      <c r="A192" s="23" t="str">
        <f t="shared" si="7"/>
        <v/>
      </c>
      <c r="B192" t="str">
        <f t="shared" si="8"/>
        <v/>
      </c>
      <c r="C192" s="23" t="str">
        <f t="shared" si="9"/>
        <v/>
      </c>
      <c r="E192" s="24" t="str">
        <f>IF(NOT(ISBLANK(G1copy!B192)),G1copy!B192,"")</f>
        <v/>
      </c>
      <c r="F192" s="24" t="str">
        <f>IF(E192&lt;&gt;"",G1copy!A192,"")</f>
        <v/>
      </c>
      <c r="G192" s="24" t="str">
        <f>IF(E192&lt;&gt;"",G1copy!F192,"")</f>
        <v/>
      </c>
    </row>
    <row r="193" spans="1:7" ht="15.75" customHeight="1">
      <c r="A193" s="23" t="str">
        <f t="shared" si="7"/>
        <v/>
      </c>
      <c r="B193" t="str">
        <f t="shared" si="8"/>
        <v/>
      </c>
      <c r="C193" s="23" t="str">
        <f t="shared" si="9"/>
        <v/>
      </c>
      <c r="E193" s="24" t="str">
        <f>IF(NOT(ISBLANK(G1copy!B193)),G1copy!B193,"")</f>
        <v/>
      </c>
      <c r="F193" s="24" t="str">
        <f>IF(E193&lt;&gt;"",G1copy!A193,"")</f>
        <v/>
      </c>
      <c r="G193" s="24" t="str">
        <f>IF(E193&lt;&gt;"",G1copy!F193,"")</f>
        <v/>
      </c>
    </row>
    <row r="194" spans="1:7" ht="15.75" customHeight="1">
      <c r="A194" s="23" t="str">
        <f t="shared" si="7"/>
        <v/>
      </c>
      <c r="B194" t="str">
        <f t="shared" si="8"/>
        <v/>
      </c>
      <c r="C194" s="23" t="str">
        <f t="shared" si="9"/>
        <v/>
      </c>
      <c r="E194" s="24" t="str">
        <f>IF(NOT(ISBLANK(G1copy!B194)),G1copy!B194,"")</f>
        <v/>
      </c>
      <c r="F194" s="24" t="str">
        <f>IF(E194&lt;&gt;"",G1copy!A194,"")</f>
        <v/>
      </c>
      <c r="G194" s="24" t="str">
        <f>IF(E194&lt;&gt;"",G1copy!F194,"")</f>
        <v/>
      </c>
    </row>
    <row r="195" spans="1:7" ht="15.75" customHeight="1">
      <c r="A195" s="23" t="str">
        <f t="shared" ref="A195:A258" si="10">IF(E195&lt;&gt;"",DATEVALUE(LEFT(E195,10)),"")</f>
        <v/>
      </c>
      <c r="B195" t="str">
        <f t="shared" ref="B195:B258" si="11">IF(LEN(F195)&gt;3,RIGHT(F195,LEN(F195)-3),"")</f>
        <v/>
      </c>
      <c r="C195" s="23" t="str">
        <f t="shared" ref="C195:C258" si="12">IF(E195&lt;&gt;"",DATEVALUE(LEFT(G195,10)),"")</f>
        <v/>
      </c>
      <c r="E195" s="24" t="str">
        <f>IF(NOT(ISBLANK(G1copy!B195)),G1copy!B195,"")</f>
        <v/>
      </c>
      <c r="F195" s="24" t="str">
        <f>IF(E195&lt;&gt;"",G1copy!A195,"")</f>
        <v/>
      </c>
      <c r="G195" s="24" t="str">
        <f>IF(E195&lt;&gt;"",G1copy!F195,"")</f>
        <v/>
      </c>
    </row>
    <row r="196" spans="1:7" ht="15.75" customHeight="1">
      <c r="A196" s="23" t="str">
        <f t="shared" si="10"/>
        <v/>
      </c>
      <c r="B196" t="str">
        <f t="shared" si="11"/>
        <v/>
      </c>
      <c r="C196" s="23" t="str">
        <f t="shared" si="12"/>
        <v/>
      </c>
      <c r="E196" s="24" t="str">
        <f>IF(NOT(ISBLANK(G1copy!B196)),G1copy!B196,"")</f>
        <v/>
      </c>
      <c r="F196" s="24" t="str">
        <f>IF(E196&lt;&gt;"",G1copy!A196,"")</f>
        <v/>
      </c>
      <c r="G196" s="24" t="str">
        <f>IF(E196&lt;&gt;"",G1copy!F196,"")</f>
        <v/>
      </c>
    </row>
    <row r="197" spans="1:7" ht="15.75" customHeight="1">
      <c r="A197" s="23" t="str">
        <f t="shared" si="10"/>
        <v/>
      </c>
      <c r="B197" t="str">
        <f t="shared" si="11"/>
        <v/>
      </c>
      <c r="C197" s="23" t="str">
        <f t="shared" si="12"/>
        <v/>
      </c>
      <c r="E197" s="24" t="str">
        <f>IF(NOT(ISBLANK(G1copy!B197)),G1copy!B197,"")</f>
        <v/>
      </c>
      <c r="F197" s="24" t="str">
        <f>IF(E197&lt;&gt;"",G1copy!A197,"")</f>
        <v/>
      </c>
      <c r="G197" s="24" t="str">
        <f>IF(E197&lt;&gt;"",G1copy!F197,"")</f>
        <v/>
      </c>
    </row>
    <row r="198" spans="1:7" ht="15.75" customHeight="1">
      <c r="A198" s="23" t="str">
        <f t="shared" si="10"/>
        <v/>
      </c>
      <c r="B198" t="str">
        <f t="shared" si="11"/>
        <v/>
      </c>
      <c r="C198" s="23" t="str">
        <f t="shared" si="12"/>
        <v/>
      </c>
      <c r="E198" s="24" t="str">
        <f>IF(NOT(ISBLANK(G1copy!B198)),G1copy!B198,"")</f>
        <v/>
      </c>
      <c r="F198" s="24" t="str">
        <f>IF(E198&lt;&gt;"",G1copy!A198,"")</f>
        <v/>
      </c>
      <c r="G198" s="24" t="str">
        <f>IF(E198&lt;&gt;"",G1copy!F198,"")</f>
        <v/>
      </c>
    </row>
    <row r="199" spans="1:7" ht="15.75" customHeight="1">
      <c r="A199" s="23" t="str">
        <f t="shared" si="10"/>
        <v/>
      </c>
      <c r="B199" t="str">
        <f t="shared" si="11"/>
        <v/>
      </c>
      <c r="C199" s="23" t="str">
        <f t="shared" si="12"/>
        <v/>
      </c>
      <c r="E199" s="24" t="str">
        <f>IF(NOT(ISBLANK(G1copy!B199)),G1copy!B199,"")</f>
        <v/>
      </c>
      <c r="F199" s="24" t="str">
        <f>IF(E199&lt;&gt;"",G1copy!A199,"")</f>
        <v/>
      </c>
      <c r="G199" s="24" t="str">
        <f>IF(E199&lt;&gt;"",G1copy!F199,"")</f>
        <v/>
      </c>
    </row>
    <row r="200" spans="1:7" ht="15.75" customHeight="1">
      <c r="A200" s="23" t="str">
        <f t="shared" si="10"/>
        <v/>
      </c>
      <c r="B200" t="str">
        <f t="shared" si="11"/>
        <v/>
      </c>
      <c r="C200" s="23" t="str">
        <f t="shared" si="12"/>
        <v/>
      </c>
      <c r="E200" s="24" t="str">
        <f>IF(NOT(ISBLANK(G1copy!B200)),G1copy!B200,"")</f>
        <v/>
      </c>
      <c r="F200" s="24" t="str">
        <f>IF(E200&lt;&gt;"",G1copy!A200,"")</f>
        <v/>
      </c>
      <c r="G200" s="24" t="str">
        <f>IF(E200&lt;&gt;"",G1copy!F200,"")</f>
        <v/>
      </c>
    </row>
    <row r="201" spans="1:7" ht="15.75" customHeight="1">
      <c r="A201" s="23" t="str">
        <f t="shared" si="10"/>
        <v/>
      </c>
      <c r="B201" t="str">
        <f t="shared" si="11"/>
        <v/>
      </c>
      <c r="C201" s="23" t="str">
        <f t="shared" si="12"/>
        <v/>
      </c>
      <c r="E201" s="24" t="str">
        <f>IF(NOT(ISBLANK(G1copy!B201)),G1copy!B201,"")</f>
        <v/>
      </c>
      <c r="F201" s="24" t="str">
        <f>IF(E201&lt;&gt;"",G1copy!A201,"")</f>
        <v/>
      </c>
      <c r="G201" s="24" t="str">
        <f>IF(E201&lt;&gt;"",G1copy!F201,"")</f>
        <v/>
      </c>
    </row>
    <row r="202" spans="1:7" ht="15.75" customHeight="1">
      <c r="A202" s="23" t="str">
        <f t="shared" si="10"/>
        <v/>
      </c>
      <c r="B202" t="str">
        <f t="shared" si="11"/>
        <v/>
      </c>
      <c r="C202" s="23" t="str">
        <f t="shared" si="12"/>
        <v/>
      </c>
      <c r="E202" s="24" t="str">
        <f>IF(NOT(ISBLANK(G1copy!B202)),G1copy!B202,"")</f>
        <v/>
      </c>
      <c r="F202" s="24" t="str">
        <f>IF(E202&lt;&gt;"",G1copy!A202,"")</f>
        <v/>
      </c>
      <c r="G202" s="24" t="str">
        <f>IF(E202&lt;&gt;"",G1copy!F202,"")</f>
        <v/>
      </c>
    </row>
    <row r="203" spans="1:7" ht="15.75" customHeight="1">
      <c r="A203" s="23" t="str">
        <f t="shared" si="10"/>
        <v/>
      </c>
      <c r="B203" t="str">
        <f t="shared" si="11"/>
        <v/>
      </c>
      <c r="C203" s="23" t="str">
        <f t="shared" si="12"/>
        <v/>
      </c>
      <c r="E203" s="24" t="str">
        <f>IF(NOT(ISBLANK(G1copy!B203)),G1copy!B203,"")</f>
        <v/>
      </c>
      <c r="F203" s="24" t="str">
        <f>IF(E203&lt;&gt;"",G1copy!A203,"")</f>
        <v/>
      </c>
      <c r="G203" s="24" t="str">
        <f>IF(E203&lt;&gt;"",G1copy!F203,"")</f>
        <v/>
      </c>
    </row>
    <row r="204" spans="1:7" ht="15.75" customHeight="1">
      <c r="A204" s="23" t="str">
        <f t="shared" si="10"/>
        <v/>
      </c>
      <c r="B204" t="str">
        <f t="shared" si="11"/>
        <v/>
      </c>
      <c r="C204" s="23" t="str">
        <f t="shared" si="12"/>
        <v/>
      </c>
      <c r="E204" s="24" t="str">
        <f>IF(NOT(ISBLANK(G1copy!B204)),G1copy!B204,"")</f>
        <v/>
      </c>
      <c r="F204" s="24" t="str">
        <f>IF(E204&lt;&gt;"",G1copy!A204,"")</f>
        <v/>
      </c>
      <c r="G204" s="24" t="str">
        <f>IF(E204&lt;&gt;"",G1copy!F204,"")</f>
        <v/>
      </c>
    </row>
    <row r="205" spans="1:7" ht="15.75" customHeight="1">
      <c r="A205" s="23" t="str">
        <f t="shared" si="10"/>
        <v/>
      </c>
      <c r="B205" t="str">
        <f t="shared" si="11"/>
        <v/>
      </c>
      <c r="C205" s="23" t="str">
        <f t="shared" si="12"/>
        <v/>
      </c>
      <c r="E205" s="24" t="str">
        <f>IF(NOT(ISBLANK(G1copy!B205)),G1copy!B205,"")</f>
        <v/>
      </c>
      <c r="F205" s="24" t="str">
        <f>IF(E205&lt;&gt;"",G1copy!A205,"")</f>
        <v/>
      </c>
      <c r="G205" s="24" t="str">
        <f>IF(E205&lt;&gt;"",G1copy!F205,"")</f>
        <v/>
      </c>
    </row>
    <row r="206" spans="1:7" ht="15.75" customHeight="1">
      <c r="A206" s="23" t="str">
        <f t="shared" si="10"/>
        <v/>
      </c>
      <c r="B206" t="str">
        <f t="shared" si="11"/>
        <v/>
      </c>
      <c r="C206" s="23" t="str">
        <f t="shared" si="12"/>
        <v/>
      </c>
      <c r="E206" s="24" t="str">
        <f>IF(NOT(ISBLANK(G1copy!B206)),G1copy!B206,"")</f>
        <v/>
      </c>
      <c r="F206" s="24" t="str">
        <f>IF(E206&lt;&gt;"",G1copy!A206,"")</f>
        <v/>
      </c>
      <c r="G206" s="24" t="str">
        <f>IF(E206&lt;&gt;"",G1copy!F206,"")</f>
        <v/>
      </c>
    </row>
    <row r="207" spans="1:7" ht="15.75" customHeight="1">
      <c r="A207" s="23" t="str">
        <f t="shared" si="10"/>
        <v/>
      </c>
      <c r="B207" t="str">
        <f t="shared" si="11"/>
        <v/>
      </c>
      <c r="C207" s="23" t="str">
        <f t="shared" si="12"/>
        <v/>
      </c>
      <c r="E207" s="24" t="str">
        <f>IF(NOT(ISBLANK(G1copy!B207)),G1copy!B207,"")</f>
        <v/>
      </c>
      <c r="F207" s="24" t="str">
        <f>IF(E207&lt;&gt;"",G1copy!A207,"")</f>
        <v/>
      </c>
      <c r="G207" s="24" t="str">
        <f>IF(E207&lt;&gt;"",G1copy!F207,"")</f>
        <v/>
      </c>
    </row>
    <row r="208" spans="1:7" ht="15.75" customHeight="1">
      <c r="A208" s="23" t="str">
        <f t="shared" si="10"/>
        <v/>
      </c>
      <c r="B208" t="str">
        <f t="shared" si="11"/>
        <v/>
      </c>
      <c r="C208" s="23" t="str">
        <f t="shared" si="12"/>
        <v/>
      </c>
      <c r="E208" s="24" t="str">
        <f>IF(NOT(ISBLANK(G1copy!B208)),G1copy!B208,"")</f>
        <v/>
      </c>
      <c r="F208" s="24" t="str">
        <f>IF(E208&lt;&gt;"",G1copy!A208,"")</f>
        <v/>
      </c>
      <c r="G208" s="24" t="str">
        <f>IF(E208&lt;&gt;"",G1copy!F208,"")</f>
        <v/>
      </c>
    </row>
    <row r="209" spans="1:7" ht="15.75" customHeight="1">
      <c r="A209" s="23" t="str">
        <f t="shared" si="10"/>
        <v/>
      </c>
      <c r="B209" t="str">
        <f t="shared" si="11"/>
        <v/>
      </c>
      <c r="C209" s="23" t="str">
        <f t="shared" si="12"/>
        <v/>
      </c>
      <c r="E209" s="24" t="str">
        <f>IF(NOT(ISBLANK(G1copy!B209)),G1copy!B209,"")</f>
        <v/>
      </c>
      <c r="F209" s="24" t="str">
        <f>IF(E209&lt;&gt;"",G1copy!A209,"")</f>
        <v/>
      </c>
      <c r="G209" s="24" t="str">
        <f>IF(E209&lt;&gt;"",G1copy!F209,"")</f>
        <v/>
      </c>
    </row>
    <row r="210" spans="1:7" ht="15.75" customHeight="1">
      <c r="A210" s="23" t="str">
        <f t="shared" si="10"/>
        <v/>
      </c>
      <c r="B210" t="str">
        <f t="shared" si="11"/>
        <v/>
      </c>
      <c r="C210" s="23" t="str">
        <f t="shared" si="12"/>
        <v/>
      </c>
      <c r="E210" s="24" t="str">
        <f>IF(NOT(ISBLANK(G1copy!B210)),G1copy!B210,"")</f>
        <v/>
      </c>
      <c r="F210" s="24" t="str">
        <f>IF(E210&lt;&gt;"",G1copy!A210,"")</f>
        <v/>
      </c>
      <c r="G210" s="24" t="str">
        <f>IF(E210&lt;&gt;"",G1copy!F210,"")</f>
        <v/>
      </c>
    </row>
    <row r="211" spans="1:7" ht="15.75" customHeight="1">
      <c r="A211" s="23" t="str">
        <f t="shared" si="10"/>
        <v/>
      </c>
      <c r="B211" t="str">
        <f t="shared" si="11"/>
        <v/>
      </c>
      <c r="C211" s="23" t="str">
        <f t="shared" si="12"/>
        <v/>
      </c>
      <c r="E211" s="24" t="str">
        <f>IF(NOT(ISBLANK(G1copy!B211)),G1copy!B211,"")</f>
        <v/>
      </c>
      <c r="F211" s="24" t="str">
        <f>IF(E211&lt;&gt;"",G1copy!A211,"")</f>
        <v/>
      </c>
      <c r="G211" s="24" t="str">
        <f>IF(E211&lt;&gt;"",G1copy!F211,"")</f>
        <v/>
      </c>
    </row>
    <row r="212" spans="1:7" ht="15.75" customHeight="1">
      <c r="A212" s="23" t="str">
        <f t="shared" si="10"/>
        <v/>
      </c>
      <c r="B212" t="str">
        <f t="shared" si="11"/>
        <v/>
      </c>
      <c r="C212" s="23" t="str">
        <f t="shared" si="12"/>
        <v/>
      </c>
      <c r="E212" s="24" t="str">
        <f>IF(NOT(ISBLANK(G1copy!B212)),G1copy!B212,"")</f>
        <v/>
      </c>
      <c r="F212" s="24" t="str">
        <f>IF(E212&lt;&gt;"",G1copy!A212,"")</f>
        <v/>
      </c>
      <c r="G212" s="24" t="str">
        <f>IF(E212&lt;&gt;"",G1copy!F212,"")</f>
        <v/>
      </c>
    </row>
    <row r="213" spans="1:7" ht="15.75" customHeight="1">
      <c r="A213" s="23" t="str">
        <f t="shared" si="10"/>
        <v/>
      </c>
      <c r="B213" t="str">
        <f t="shared" si="11"/>
        <v/>
      </c>
      <c r="C213" s="23" t="str">
        <f t="shared" si="12"/>
        <v/>
      </c>
      <c r="E213" s="24" t="str">
        <f>IF(NOT(ISBLANK(G1copy!B213)),G1copy!B213,"")</f>
        <v/>
      </c>
      <c r="F213" s="24" t="str">
        <f>IF(E213&lt;&gt;"",G1copy!A213,"")</f>
        <v/>
      </c>
      <c r="G213" s="24" t="str">
        <f>IF(E213&lt;&gt;"",G1copy!F213,"")</f>
        <v/>
      </c>
    </row>
    <row r="214" spans="1:7" ht="15.75" customHeight="1">
      <c r="A214" s="23" t="str">
        <f t="shared" si="10"/>
        <v/>
      </c>
      <c r="B214" t="str">
        <f t="shared" si="11"/>
        <v/>
      </c>
      <c r="C214" s="23" t="str">
        <f t="shared" si="12"/>
        <v/>
      </c>
      <c r="E214" s="24" t="str">
        <f>IF(NOT(ISBLANK(G1copy!B214)),G1copy!B214,"")</f>
        <v/>
      </c>
      <c r="F214" s="24" t="str">
        <f>IF(E214&lt;&gt;"",G1copy!A214,"")</f>
        <v/>
      </c>
      <c r="G214" s="24" t="str">
        <f>IF(E214&lt;&gt;"",G1copy!F214,"")</f>
        <v/>
      </c>
    </row>
    <row r="215" spans="1:7" ht="15.75" customHeight="1">
      <c r="A215" s="23" t="str">
        <f t="shared" si="10"/>
        <v/>
      </c>
      <c r="B215" t="str">
        <f t="shared" si="11"/>
        <v/>
      </c>
      <c r="C215" s="23" t="str">
        <f t="shared" si="12"/>
        <v/>
      </c>
      <c r="E215" s="24" t="str">
        <f>IF(NOT(ISBLANK(G1copy!B215)),G1copy!B215,"")</f>
        <v/>
      </c>
      <c r="F215" s="24" t="str">
        <f>IF(E215&lt;&gt;"",G1copy!A215,"")</f>
        <v/>
      </c>
      <c r="G215" s="24" t="str">
        <f>IF(E215&lt;&gt;"",G1copy!F215,"")</f>
        <v/>
      </c>
    </row>
    <row r="216" spans="1:7" ht="15.75" customHeight="1">
      <c r="A216" s="23" t="str">
        <f t="shared" si="10"/>
        <v/>
      </c>
      <c r="B216" t="str">
        <f t="shared" si="11"/>
        <v/>
      </c>
      <c r="C216" s="23" t="str">
        <f t="shared" si="12"/>
        <v/>
      </c>
      <c r="E216" s="24" t="str">
        <f>IF(NOT(ISBLANK(G1copy!B216)),G1copy!B216,"")</f>
        <v/>
      </c>
      <c r="F216" s="24" t="str">
        <f>IF(E216&lt;&gt;"",G1copy!A216,"")</f>
        <v/>
      </c>
      <c r="G216" s="24" t="str">
        <f>IF(E216&lt;&gt;"",G1copy!F216,"")</f>
        <v/>
      </c>
    </row>
    <row r="217" spans="1:7" ht="15.75" customHeight="1">
      <c r="A217" s="23" t="str">
        <f t="shared" si="10"/>
        <v/>
      </c>
      <c r="B217" t="str">
        <f t="shared" si="11"/>
        <v/>
      </c>
      <c r="C217" s="23" t="str">
        <f t="shared" si="12"/>
        <v/>
      </c>
      <c r="E217" s="24" t="str">
        <f>IF(NOT(ISBLANK(G1copy!B217)),G1copy!B217,"")</f>
        <v/>
      </c>
      <c r="F217" s="24" t="str">
        <f>IF(E217&lt;&gt;"",G1copy!A217,"")</f>
        <v/>
      </c>
      <c r="G217" s="24" t="str">
        <f>IF(E217&lt;&gt;"",G1copy!F217,"")</f>
        <v/>
      </c>
    </row>
    <row r="218" spans="1:7" ht="15.75" customHeight="1">
      <c r="A218" s="23" t="str">
        <f t="shared" si="10"/>
        <v/>
      </c>
      <c r="B218" t="str">
        <f t="shared" si="11"/>
        <v/>
      </c>
      <c r="C218" s="23" t="str">
        <f t="shared" si="12"/>
        <v/>
      </c>
      <c r="E218" s="24" t="str">
        <f>IF(NOT(ISBLANK(G1copy!B218)),G1copy!B218,"")</f>
        <v/>
      </c>
      <c r="F218" s="24" t="str">
        <f>IF(E218&lt;&gt;"",G1copy!A218,"")</f>
        <v/>
      </c>
      <c r="G218" s="24" t="str">
        <f>IF(E218&lt;&gt;"",G1copy!F218,"")</f>
        <v/>
      </c>
    </row>
    <row r="219" spans="1:7" ht="15.75" customHeight="1">
      <c r="A219" s="23" t="str">
        <f t="shared" si="10"/>
        <v/>
      </c>
      <c r="B219" t="str">
        <f t="shared" si="11"/>
        <v/>
      </c>
      <c r="C219" s="23" t="str">
        <f t="shared" si="12"/>
        <v/>
      </c>
      <c r="E219" s="24" t="str">
        <f>IF(NOT(ISBLANK(G1copy!B219)),G1copy!B219,"")</f>
        <v/>
      </c>
      <c r="F219" s="24" t="str">
        <f>IF(E219&lt;&gt;"",G1copy!A219,"")</f>
        <v/>
      </c>
      <c r="G219" s="24" t="str">
        <f>IF(E219&lt;&gt;"",G1copy!F219,"")</f>
        <v/>
      </c>
    </row>
    <row r="220" spans="1:7" ht="15.75" customHeight="1">
      <c r="A220" s="23" t="str">
        <f t="shared" si="10"/>
        <v/>
      </c>
      <c r="B220" t="str">
        <f t="shared" si="11"/>
        <v/>
      </c>
      <c r="C220" s="23" t="str">
        <f t="shared" si="12"/>
        <v/>
      </c>
      <c r="E220" s="24" t="str">
        <f>IF(NOT(ISBLANK(G1copy!B220)),G1copy!B220,"")</f>
        <v/>
      </c>
      <c r="F220" s="24" t="str">
        <f>IF(E220&lt;&gt;"",G1copy!A220,"")</f>
        <v/>
      </c>
      <c r="G220" s="24" t="str">
        <f>IF(E220&lt;&gt;"",G1copy!F220,"")</f>
        <v/>
      </c>
    </row>
    <row r="221" spans="1:7" ht="15.75" customHeight="1">
      <c r="A221" s="23" t="str">
        <f t="shared" si="10"/>
        <v/>
      </c>
      <c r="B221" t="str">
        <f t="shared" si="11"/>
        <v/>
      </c>
      <c r="C221" s="23" t="str">
        <f t="shared" si="12"/>
        <v/>
      </c>
      <c r="E221" s="24" t="str">
        <f>IF(NOT(ISBLANK(G1copy!B221)),G1copy!B221,"")</f>
        <v/>
      </c>
      <c r="F221" s="24" t="str">
        <f>IF(E221&lt;&gt;"",G1copy!A221,"")</f>
        <v/>
      </c>
      <c r="G221" s="24" t="str">
        <f>IF(E221&lt;&gt;"",G1copy!F221,"")</f>
        <v/>
      </c>
    </row>
    <row r="222" spans="1:7" ht="15.75" customHeight="1">
      <c r="A222" s="23" t="str">
        <f t="shared" si="10"/>
        <v/>
      </c>
      <c r="B222" t="str">
        <f t="shared" si="11"/>
        <v/>
      </c>
      <c r="C222" s="23" t="str">
        <f t="shared" si="12"/>
        <v/>
      </c>
      <c r="E222" s="24" t="str">
        <f>IF(NOT(ISBLANK(G1copy!B222)),G1copy!B222,"")</f>
        <v/>
      </c>
      <c r="F222" s="24" t="str">
        <f>IF(E222&lt;&gt;"",G1copy!A222,"")</f>
        <v/>
      </c>
      <c r="G222" s="24" t="str">
        <f>IF(E222&lt;&gt;"",G1copy!F222,"")</f>
        <v/>
      </c>
    </row>
    <row r="223" spans="1:7" ht="15.75" customHeight="1">
      <c r="A223" s="23" t="str">
        <f t="shared" si="10"/>
        <v/>
      </c>
      <c r="B223" t="str">
        <f t="shared" si="11"/>
        <v/>
      </c>
      <c r="C223" s="23" t="str">
        <f t="shared" si="12"/>
        <v/>
      </c>
      <c r="E223" s="24" t="str">
        <f>IF(NOT(ISBLANK(G1copy!B223)),G1copy!B223,"")</f>
        <v/>
      </c>
      <c r="F223" s="24" t="str">
        <f>IF(E223&lt;&gt;"",G1copy!A223,"")</f>
        <v/>
      </c>
      <c r="G223" s="24" t="str">
        <f>IF(E223&lt;&gt;"",G1copy!F223,"")</f>
        <v/>
      </c>
    </row>
    <row r="224" spans="1:7" ht="15.75" customHeight="1">
      <c r="A224" s="23" t="str">
        <f t="shared" si="10"/>
        <v/>
      </c>
      <c r="B224" t="str">
        <f t="shared" si="11"/>
        <v/>
      </c>
      <c r="C224" s="23" t="str">
        <f t="shared" si="12"/>
        <v/>
      </c>
      <c r="E224" s="24" t="str">
        <f>IF(NOT(ISBLANK(G1copy!B224)),G1copy!B224,"")</f>
        <v/>
      </c>
      <c r="F224" s="24" t="str">
        <f>IF(E224&lt;&gt;"",G1copy!A224,"")</f>
        <v/>
      </c>
      <c r="G224" s="24" t="str">
        <f>IF(E224&lt;&gt;"",G1copy!F224,"")</f>
        <v/>
      </c>
    </row>
    <row r="225" spans="1:7" ht="15.75" customHeight="1">
      <c r="A225" s="23" t="str">
        <f t="shared" si="10"/>
        <v/>
      </c>
      <c r="B225" t="str">
        <f t="shared" si="11"/>
        <v/>
      </c>
      <c r="C225" s="23" t="str">
        <f t="shared" si="12"/>
        <v/>
      </c>
      <c r="E225" s="24" t="str">
        <f>IF(NOT(ISBLANK(G1copy!B225)),G1copy!B225,"")</f>
        <v/>
      </c>
      <c r="F225" s="24" t="str">
        <f>IF(E225&lt;&gt;"",G1copy!A225,"")</f>
        <v/>
      </c>
      <c r="G225" s="24" t="str">
        <f>IF(E225&lt;&gt;"",G1copy!F225,"")</f>
        <v/>
      </c>
    </row>
    <row r="226" spans="1:7" ht="15.75" customHeight="1">
      <c r="A226" s="23" t="str">
        <f t="shared" si="10"/>
        <v/>
      </c>
      <c r="B226" t="str">
        <f t="shared" si="11"/>
        <v/>
      </c>
      <c r="C226" s="23" t="str">
        <f t="shared" si="12"/>
        <v/>
      </c>
      <c r="E226" s="24" t="str">
        <f>IF(NOT(ISBLANK(G1copy!B226)),G1copy!B226,"")</f>
        <v/>
      </c>
      <c r="F226" s="24" t="str">
        <f>IF(E226&lt;&gt;"",G1copy!A226,"")</f>
        <v/>
      </c>
      <c r="G226" s="24" t="str">
        <f>IF(E226&lt;&gt;"",G1copy!F226,"")</f>
        <v/>
      </c>
    </row>
    <row r="227" spans="1:7" ht="15.75" customHeight="1">
      <c r="A227" s="23" t="str">
        <f t="shared" si="10"/>
        <v/>
      </c>
      <c r="B227" t="str">
        <f t="shared" si="11"/>
        <v/>
      </c>
      <c r="C227" s="23" t="str">
        <f t="shared" si="12"/>
        <v/>
      </c>
      <c r="E227" s="24" t="str">
        <f>IF(NOT(ISBLANK(G1copy!B227)),G1copy!B227,"")</f>
        <v/>
      </c>
      <c r="F227" s="24" t="str">
        <f>IF(E227&lt;&gt;"",G1copy!A227,"")</f>
        <v/>
      </c>
      <c r="G227" s="24" t="str">
        <f>IF(E227&lt;&gt;"",G1copy!F227,"")</f>
        <v/>
      </c>
    </row>
    <row r="228" spans="1:7" ht="15.75" customHeight="1">
      <c r="A228" s="23" t="str">
        <f t="shared" si="10"/>
        <v/>
      </c>
      <c r="B228" t="str">
        <f t="shared" si="11"/>
        <v/>
      </c>
      <c r="C228" s="23" t="str">
        <f t="shared" si="12"/>
        <v/>
      </c>
      <c r="E228" s="24" t="str">
        <f>IF(NOT(ISBLANK(G1copy!B228)),G1copy!B228,"")</f>
        <v/>
      </c>
      <c r="F228" s="24" t="str">
        <f>IF(E228&lt;&gt;"",G1copy!A228,"")</f>
        <v/>
      </c>
      <c r="G228" s="24" t="str">
        <f>IF(E228&lt;&gt;"",G1copy!F228,"")</f>
        <v/>
      </c>
    </row>
    <row r="229" spans="1:7" ht="15.75" customHeight="1">
      <c r="A229" s="23" t="str">
        <f t="shared" si="10"/>
        <v/>
      </c>
      <c r="B229" t="str">
        <f t="shared" si="11"/>
        <v/>
      </c>
      <c r="C229" s="23" t="str">
        <f t="shared" si="12"/>
        <v/>
      </c>
      <c r="E229" s="24" t="str">
        <f>IF(NOT(ISBLANK(G1copy!B229)),G1copy!B229,"")</f>
        <v/>
      </c>
      <c r="F229" s="24" t="str">
        <f>IF(E229&lt;&gt;"",G1copy!A229,"")</f>
        <v/>
      </c>
      <c r="G229" s="24" t="str">
        <f>IF(E229&lt;&gt;"",G1copy!F229,"")</f>
        <v/>
      </c>
    </row>
    <row r="230" spans="1:7" ht="15.75" customHeight="1">
      <c r="A230" s="23" t="str">
        <f t="shared" si="10"/>
        <v/>
      </c>
      <c r="B230" t="str">
        <f t="shared" si="11"/>
        <v/>
      </c>
      <c r="C230" s="23" t="str">
        <f t="shared" si="12"/>
        <v/>
      </c>
      <c r="E230" s="24" t="str">
        <f>IF(NOT(ISBLANK(G1copy!B230)),G1copy!B230,"")</f>
        <v/>
      </c>
      <c r="F230" s="24" t="str">
        <f>IF(E230&lt;&gt;"",G1copy!A230,"")</f>
        <v/>
      </c>
      <c r="G230" s="24" t="str">
        <f>IF(E230&lt;&gt;"",G1copy!F230,"")</f>
        <v/>
      </c>
    </row>
    <row r="231" spans="1:7" ht="15.75" customHeight="1">
      <c r="A231" s="23" t="str">
        <f t="shared" si="10"/>
        <v/>
      </c>
      <c r="B231" t="str">
        <f t="shared" si="11"/>
        <v/>
      </c>
      <c r="C231" s="23" t="str">
        <f t="shared" si="12"/>
        <v/>
      </c>
      <c r="E231" s="24" t="str">
        <f>IF(NOT(ISBLANK(G1copy!B231)),G1copy!B231,"")</f>
        <v/>
      </c>
      <c r="F231" s="24" t="str">
        <f>IF(E231&lt;&gt;"",G1copy!A231,"")</f>
        <v/>
      </c>
      <c r="G231" s="24" t="str">
        <f>IF(E231&lt;&gt;"",G1copy!F231,"")</f>
        <v/>
      </c>
    </row>
    <row r="232" spans="1:7" ht="15.75" customHeight="1">
      <c r="A232" s="23" t="str">
        <f t="shared" si="10"/>
        <v/>
      </c>
      <c r="B232" t="str">
        <f t="shared" si="11"/>
        <v/>
      </c>
      <c r="C232" s="23" t="str">
        <f t="shared" si="12"/>
        <v/>
      </c>
      <c r="E232" s="24" t="str">
        <f>IF(NOT(ISBLANK(G1copy!B232)),G1copy!B232,"")</f>
        <v/>
      </c>
      <c r="F232" s="24" t="str">
        <f>IF(E232&lt;&gt;"",G1copy!A232,"")</f>
        <v/>
      </c>
      <c r="G232" s="24" t="str">
        <f>IF(E232&lt;&gt;"",G1copy!F232,"")</f>
        <v/>
      </c>
    </row>
    <row r="233" spans="1:7" ht="15.75" customHeight="1">
      <c r="A233" s="23" t="str">
        <f t="shared" si="10"/>
        <v/>
      </c>
      <c r="B233" t="str">
        <f t="shared" si="11"/>
        <v/>
      </c>
      <c r="C233" s="23" t="str">
        <f t="shared" si="12"/>
        <v/>
      </c>
      <c r="E233" s="24" t="str">
        <f>IF(NOT(ISBLANK(G1copy!B233)),G1copy!B233,"")</f>
        <v/>
      </c>
      <c r="F233" s="24" t="str">
        <f>IF(E233&lt;&gt;"",G1copy!A233,"")</f>
        <v/>
      </c>
      <c r="G233" s="24" t="str">
        <f>IF(E233&lt;&gt;"",G1copy!F233,"")</f>
        <v/>
      </c>
    </row>
    <row r="234" spans="1:7" ht="15.75" customHeight="1">
      <c r="A234" s="23" t="str">
        <f t="shared" si="10"/>
        <v/>
      </c>
      <c r="B234" t="str">
        <f t="shared" si="11"/>
        <v/>
      </c>
      <c r="C234" s="23" t="str">
        <f t="shared" si="12"/>
        <v/>
      </c>
      <c r="E234" s="24" t="str">
        <f>IF(NOT(ISBLANK(G1copy!B234)),G1copy!B234,"")</f>
        <v/>
      </c>
      <c r="F234" s="24" t="str">
        <f>IF(E234&lt;&gt;"",G1copy!A234,"")</f>
        <v/>
      </c>
      <c r="G234" s="24" t="str">
        <f>IF(E234&lt;&gt;"",G1copy!F234,"")</f>
        <v/>
      </c>
    </row>
    <row r="235" spans="1:7" ht="15.75" customHeight="1">
      <c r="A235" s="23" t="str">
        <f t="shared" si="10"/>
        <v/>
      </c>
      <c r="B235" t="str">
        <f t="shared" si="11"/>
        <v/>
      </c>
      <c r="C235" s="23" t="str">
        <f t="shared" si="12"/>
        <v/>
      </c>
      <c r="E235" s="24" t="str">
        <f>IF(NOT(ISBLANK(G1copy!B235)),G1copy!B235,"")</f>
        <v/>
      </c>
      <c r="F235" s="24" t="str">
        <f>IF(E235&lt;&gt;"",G1copy!A235,"")</f>
        <v/>
      </c>
      <c r="G235" s="24" t="str">
        <f>IF(E235&lt;&gt;"",G1copy!F235,"")</f>
        <v/>
      </c>
    </row>
    <row r="236" spans="1:7" ht="15.75" customHeight="1">
      <c r="A236" s="23" t="str">
        <f t="shared" si="10"/>
        <v/>
      </c>
      <c r="B236" t="str">
        <f t="shared" si="11"/>
        <v/>
      </c>
      <c r="C236" s="23" t="str">
        <f t="shared" si="12"/>
        <v/>
      </c>
      <c r="E236" s="24" t="str">
        <f>IF(NOT(ISBLANK(G1copy!B236)),G1copy!B236,"")</f>
        <v/>
      </c>
      <c r="F236" s="24" t="str">
        <f>IF(E236&lt;&gt;"",G1copy!A236,"")</f>
        <v/>
      </c>
      <c r="G236" s="24" t="str">
        <f>IF(E236&lt;&gt;"",G1copy!F236,"")</f>
        <v/>
      </c>
    </row>
    <row r="237" spans="1:7" ht="15.75" customHeight="1">
      <c r="A237" s="23" t="str">
        <f t="shared" si="10"/>
        <v/>
      </c>
      <c r="B237" t="str">
        <f t="shared" si="11"/>
        <v/>
      </c>
      <c r="C237" s="23" t="str">
        <f t="shared" si="12"/>
        <v/>
      </c>
      <c r="E237" s="24" t="str">
        <f>IF(NOT(ISBLANK(G1copy!B237)),G1copy!B237,"")</f>
        <v/>
      </c>
      <c r="F237" s="24" t="str">
        <f>IF(E237&lt;&gt;"",G1copy!A237,"")</f>
        <v/>
      </c>
      <c r="G237" s="24" t="str">
        <f>IF(E237&lt;&gt;"",G1copy!F237,"")</f>
        <v/>
      </c>
    </row>
    <row r="238" spans="1:7" ht="15.75" customHeight="1">
      <c r="A238" s="23" t="str">
        <f t="shared" si="10"/>
        <v/>
      </c>
      <c r="B238" t="str">
        <f t="shared" si="11"/>
        <v/>
      </c>
      <c r="C238" s="23" t="str">
        <f t="shared" si="12"/>
        <v/>
      </c>
      <c r="E238" s="24" t="str">
        <f>IF(NOT(ISBLANK(G1copy!B238)),G1copy!B238,"")</f>
        <v/>
      </c>
      <c r="F238" s="24" t="str">
        <f>IF(E238&lt;&gt;"",G1copy!A238,"")</f>
        <v/>
      </c>
      <c r="G238" s="24" t="str">
        <f>IF(E238&lt;&gt;"",G1copy!F238,"")</f>
        <v/>
      </c>
    </row>
    <row r="239" spans="1:7" ht="15.75" customHeight="1">
      <c r="A239" s="23" t="str">
        <f t="shared" si="10"/>
        <v/>
      </c>
      <c r="B239" t="str">
        <f t="shared" si="11"/>
        <v/>
      </c>
      <c r="C239" s="23" t="str">
        <f t="shared" si="12"/>
        <v/>
      </c>
      <c r="E239" s="24" t="str">
        <f>IF(NOT(ISBLANK(G1copy!B239)),G1copy!B239,"")</f>
        <v/>
      </c>
      <c r="F239" s="24" t="str">
        <f>IF(E239&lt;&gt;"",G1copy!A239,"")</f>
        <v/>
      </c>
      <c r="G239" s="24" t="str">
        <f>IF(E239&lt;&gt;"",G1copy!F239,"")</f>
        <v/>
      </c>
    </row>
    <row r="240" spans="1:7" ht="15.75" customHeight="1">
      <c r="A240" s="23" t="str">
        <f t="shared" si="10"/>
        <v/>
      </c>
      <c r="B240" t="str">
        <f t="shared" si="11"/>
        <v/>
      </c>
      <c r="C240" s="23" t="str">
        <f t="shared" si="12"/>
        <v/>
      </c>
      <c r="E240" s="24" t="str">
        <f>IF(NOT(ISBLANK(G1copy!B240)),G1copy!B240,"")</f>
        <v/>
      </c>
      <c r="F240" s="24" t="str">
        <f>IF(E240&lt;&gt;"",G1copy!A240,"")</f>
        <v/>
      </c>
      <c r="G240" s="24" t="str">
        <f>IF(E240&lt;&gt;"",G1copy!F240,"")</f>
        <v/>
      </c>
    </row>
    <row r="241" spans="1:7" ht="15.75" customHeight="1">
      <c r="A241" s="23" t="str">
        <f t="shared" si="10"/>
        <v/>
      </c>
      <c r="B241" t="str">
        <f t="shared" si="11"/>
        <v/>
      </c>
      <c r="C241" s="23" t="str">
        <f t="shared" si="12"/>
        <v/>
      </c>
      <c r="E241" s="24" t="str">
        <f>IF(NOT(ISBLANK(G1copy!B241)),G1copy!B241,"")</f>
        <v/>
      </c>
      <c r="F241" s="24" t="str">
        <f>IF(E241&lt;&gt;"",G1copy!A241,"")</f>
        <v/>
      </c>
      <c r="G241" s="24" t="str">
        <f>IF(E241&lt;&gt;"",G1copy!F241,"")</f>
        <v/>
      </c>
    </row>
    <row r="242" spans="1:7" ht="15.75" customHeight="1">
      <c r="A242" s="23" t="str">
        <f t="shared" si="10"/>
        <v/>
      </c>
      <c r="B242" t="str">
        <f t="shared" si="11"/>
        <v/>
      </c>
      <c r="C242" s="23" t="str">
        <f t="shared" si="12"/>
        <v/>
      </c>
      <c r="E242" s="24" t="str">
        <f>IF(NOT(ISBLANK(G1copy!B242)),G1copy!B242,"")</f>
        <v/>
      </c>
      <c r="F242" s="24" t="str">
        <f>IF(E242&lt;&gt;"",G1copy!A242,"")</f>
        <v/>
      </c>
      <c r="G242" s="24" t="str">
        <f>IF(E242&lt;&gt;"",G1copy!F242,"")</f>
        <v/>
      </c>
    </row>
    <row r="243" spans="1:7" ht="15.75" customHeight="1">
      <c r="A243" s="23" t="str">
        <f t="shared" si="10"/>
        <v/>
      </c>
      <c r="B243" t="str">
        <f t="shared" si="11"/>
        <v/>
      </c>
      <c r="C243" s="23" t="str">
        <f t="shared" si="12"/>
        <v/>
      </c>
      <c r="E243" s="24" t="str">
        <f>IF(NOT(ISBLANK(G1copy!B243)),G1copy!B243,"")</f>
        <v/>
      </c>
      <c r="F243" s="24" t="str">
        <f>IF(E243&lt;&gt;"",G1copy!A243,"")</f>
        <v/>
      </c>
      <c r="G243" s="24" t="str">
        <f>IF(E243&lt;&gt;"",G1copy!F243,"")</f>
        <v/>
      </c>
    </row>
    <row r="244" spans="1:7" ht="15.75" customHeight="1">
      <c r="A244" s="23" t="str">
        <f t="shared" si="10"/>
        <v/>
      </c>
      <c r="B244" t="str">
        <f t="shared" si="11"/>
        <v/>
      </c>
      <c r="C244" s="23" t="str">
        <f t="shared" si="12"/>
        <v/>
      </c>
      <c r="E244" s="24" t="str">
        <f>IF(NOT(ISBLANK(G1copy!B244)),G1copy!B244,"")</f>
        <v/>
      </c>
      <c r="F244" s="24" t="str">
        <f>IF(E244&lt;&gt;"",G1copy!A244,"")</f>
        <v/>
      </c>
      <c r="G244" s="24" t="str">
        <f>IF(E244&lt;&gt;"",G1copy!F244,"")</f>
        <v/>
      </c>
    </row>
    <row r="245" spans="1:7" ht="15.75" customHeight="1">
      <c r="A245" s="23" t="str">
        <f t="shared" si="10"/>
        <v/>
      </c>
      <c r="B245" t="str">
        <f t="shared" si="11"/>
        <v/>
      </c>
      <c r="C245" s="23" t="str">
        <f t="shared" si="12"/>
        <v/>
      </c>
      <c r="E245" s="24" t="str">
        <f>IF(NOT(ISBLANK(G1copy!B245)),G1copy!B245,"")</f>
        <v/>
      </c>
      <c r="F245" s="24" t="str">
        <f>IF(E245&lt;&gt;"",G1copy!A245,"")</f>
        <v/>
      </c>
      <c r="G245" s="24" t="str">
        <f>IF(E245&lt;&gt;"",G1copy!F245,"")</f>
        <v/>
      </c>
    </row>
    <row r="246" spans="1:7" ht="15.75" customHeight="1">
      <c r="A246" s="23" t="str">
        <f t="shared" si="10"/>
        <v/>
      </c>
      <c r="B246" t="str">
        <f t="shared" si="11"/>
        <v/>
      </c>
      <c r="C246" s="23" t="str">
        <f t="shared" si="12"/>
        <v/>
      </c>
      <c r="E246" s="24" t="str">
        <f>IF(NOT(ISBLANK(G1copy!B246)),G1copy!B246,"")</f>
        <v/>
      </c>
      <c r="F246" s="24" t="str">
        <f>IF(E246&lt;&gt;"",G1copy!A246,"")</f>
        <v/>
      </c>
      <c r="G246" s="24" t="str">
        <f>IF(E246&lt;&gt;"",G1copy!F246,"")</f>
        <v/>
      </c>
    </row>
    <row r="247" spans="1:7" ht="15.75" customHeight="1">
      <c r="A247" s="23" t="str">
        <f t="shared" si="10"/>
        <v/>
      </c>
      <c r="B247" t="str">
        <f t="shared" si="11"/>
        <v/>
      </c>
      <c r="C247" s="23" t="str">
        <f t="shared" si="12"/>
        <v/>
      </c>
      <c r="E247" s="24" t="str">
        <f>IF(NOT(ISBLANK(G1copy!B247)),G1copy!B247,"")</f>
        <v/>
      </c>
      <c r="F247" s="24" t="str">
        <f>IF(E247&lt;&gt;"",G1copy!A247,"")</f>
        <v/>
      </c>
      <c r="G247" s="24" t="str">
        <f>IF(E247&lt;&gt;"",G1copy!F247,"")</f>
        <v/>
      </c>
    </row>
    <row r="248" spans="1:7" ht="15.75" customHeight="1">
      <c r="A248" s="23" t="str">
        <f t="shared" si="10"/>
        <v/>
      </c>
      <c r="B248" t="str">
        <f t="shared" si="11"/>
        <v/>
      </c>
      <c r="C248" s="23" t="str">
        <f t="shared" si="12"/>
        <v/>
      </c>
      <c r="E248" s="24" t="str">
        <f>IF(NOT(ISBLANK(G1copy!B248)),G1copy!B248,"")</f>
        <v/>
      </c>
      <c r="F248" s="24" t="str">
        <f>IF(E248&lt;&gt;"",G1copy!A248,"")</f>
        <v/>
      </c>
      <c r="G248" s="24" t="str">
        <f>IF(E248&lt;&gt;"",G1copy!F248,"")</f>
        <v/>
      </c>
    </row>
    <row r="249" spans="1:7" ht="15.75" customHeight="1">
      <c r="A249" s="23" t="str">
        <f t="shared" si="10"/>
        <v/>
      </c>
      <c r="B249" t="str">
        <f t="shared" si="11"/>
        <v/>
      </c>
      <c r="C249" s="23" t="str">
        <f t="shared" si="12"/>
        <v/>
      </c>
      <c r="E249" s="24" t="str">
        <f>IF(NOT(ISBLANK(G1copy!B249)),G1copy!B249,"")</f>
        <v/>
      </c>
      <c r="F249" s="24" t="str">
        <f>IF(E249&lt;&gt;"",G1copy!A249,"")</f>
        <v/>
      </c>
      <c r="G249" s="24" t="str">
        <f>IF(E249&lt;&gt;"",G1copy!F249,"")</f>
        <v/>
      </c>
    </row>
    <row r="250" spans="1:7" ht="15.75" customHeight="1">
      <c r="A250" s="23" t="str">
        <f t="shared" si="10"/>
        <v/>
      </c>
      <c r="B250" t="str">
        <f t="shared" si="11"/>
        <v/>
      </c>
      <c r="C250" s="23" t="str">
        <f t="shared" si="12"/>
        <v/>
      </c>
      <c r="E250" s="24" t="str">
        <f>IF(NOT(ISBLANK(G1copy!B250)),G1copy!B250,"")</f>
        <v/>
      </c>
      <c r="F250" s="24" t="str">
        <f>IF(E250&lt;&gt;"",G1copy!A250,"")</f>
        <v/>
      </c>
      <c r="G250" s="24" t="str">
        <f>IF(E250&lt;&gt;"",G1copy!F250,"")</f>
        <v/>
      </c>
    </row>
    <row r="251" spans="1:7" ht="15.75" customHeight="1">
      <c r="A251" s="23" t="str">
        <f t="shared" si="10"/>
        <v/>
      </c>
      <c r="B251" t="str">
        <f t="shared" si="11"/>
        <v/>
      </c>
      <c r="C251" s="23" t="str">
        <f t="shared" si="12"/>
        <v/>
      </c>
      <c r="E251" s="24" t="str">
        <f>IF(NOT(ISBLANK(G1copy!B251)),G1copy!B251,"")</f>
        <v/>
      </c>
      <c r="F251" s="24" t="str">
        <f>IF(E251&lt;&gt;"",G1copy!A251,"")</f>
        <v/>
      </c>
      <c r="G251" s="24" t="str">
        <f>IF(E251&lt;&gt;"",G1copy!F251,"")</f>
        <v/>
      </c>
    </row>
    <row r="252" spans="1:7" ht="15.75" customHeight="1">
      <c r="A252" s="23" t="str">
        <f t="shared" si="10"/>
        <v/>
      </c>
      <c r="B252" t="str">
        <f t="shared" si="11"/>
        <v/>
      </c>
      <c r="C252" s="23" t="str">
        <f t="shared" si="12"/>
        <v/>
      </c>
      <c r="E252" s="24" t="str">
        <f>IF(NOT(ISBLANK(G1copy!B252)),G1copy!B252,"")</f>
        <v/>
      </c>
      <c r="F252" s="24" t="str">
        <f>IF(E252&lt;&gt;"",G1copy!A252,"")</f>
        <v/>
      </c>
      <c r="G252" s="24" t="str">
        <f>IF(E252&lt;&gt;"",G1copy!F252,"")</f>
        <v/>
      </c>
    </row>
    <row r="253" spans="1:7" ht="15.75" customHeight="1">
      <c r="A253" s="23" t="str">
        <f t="shared" si="10"/>
        <v/>
      </c>
      <c r="B253" t="str">
        <f t="shared" si="11"/>
        <v/>
      </c>
      <c r="C253" s="23" t="str">
        <f t="shared" si="12"/>
        <v/>
      </c>
      <c r="E253" s="24" t="str">
        <f>IF(NOT(ISBLANK(G1copy!B253)),G1copy!B253,"")</f>
        <v/>
      </c>
      <c r="F253" s="24" t="str">
        <f>IF(E253&lt;&gt;"",G1copy!A253,"")</f>
        <v/>
      </c>
      <c r="G253" s="24" t="str">
        <f>IF(E253&lt;&gt;"",G1copy!F253,"")</f>
        <v/>
      </c>
    </row>
    <row r="254" spans="1:7" ht="15.75" customHeight="1">
      <c r="A254" s="23" t="str">
        <f t="shared" si="10"/>
        <v/>
      </c>
      <c r="B254" t="str">
        <f t="shared" si="11"/>
        <v/>
      </c>
      <c r="C254" s="23" t="str">
        <f t="shared" si="12"/>
        <v/>
      </c>
      <c r="E254" s="24" t="str">
        <f>IF(NOT(ISBLANK(G1copy!B254)),G1copy!B254,"")</f>
        <v/>
      </c>
      <c r="F254" s="24" t="str">
        <f>IF(E254&lt;&gt;"",G1copy!A254,"")</f>
        <v/>
      </c>
      <c r="G254" s="24" t="str">
        <f>IF(E254&lt;&gt;"",G1copy!F254,"")</f>
        <v/>
      </c>
    </row>
    <row r="255" spans="1:7" ht="15.75" customHeight="1">
      <c r="A255" s="23" t="str">
        <f t="shared" si="10"/>
        <v/>
      </c>
      <c r="B255" t="str">
        <f t="shared" si="11"/>
        <v/>
      </c>
      <c r="C255" s="23" t="str">
        <f t="shared" si="12"/>
        <v/>
      </c>
      <c r="E255" s="24" t="str">
        <f>IF(NOT(ISBLANK(G1copy!B255)),G1copy!B255,"")</f>
        <v/>
      </c>
      <c r="F255" s="24" t="str">
        <f>IF(E255&lt;&gt;"",G1copy!A255,"")</f>
        <v/>
      </c>
      <c r="G255" s="24" t="str">
        <f>IF(E255&lt;&gt;"",G1copy!F255,"")</f>
        <v/>
      </c>
    </row>
    <row r="256" spans="1:7" ht="15.75" customHeight="1">
      <c r="A256" s="23" t="str">
        <f t="shared" si="10"/>
        <v/>
      </c>
      <c r="B256" t="str">
        <f t="shared" si="11"/>
        <v/>
      </c>
      <c r="C256" s="23" t="str">
        <f t="shared" si="12"/>
        <v/>
      </c>
      <c r="E256" s="24" t="str">
        <f>IF(NOT(ISBLANK(G1copy!B256)),G1copy!B256,"")</f>
        <v/>
      </c>
      <c r="F256" s="24" t="str">
        <f>IF(E256&lt;&gt;"",G1copy!A256,"")</f>
        <v/>
      </c>
      <c r="G256" s="24" t="str">
        <f>IF(E256&lt;&gt;"",G1copy!F256,"")</f>
        <v/>
      </c>
    </row>
    <row r="257" spans="1:7" ht="15.75" customHeight="1">
      <c r="A257" s="23" t="str">
        <f t="shared" si="10"/>
        <v/>
      </c>
      <c r="B257" t="str">
        <f t="shared" si="11"/>
        <v/>
      </c>
      <c r="C257" s="23" t="str">
        <f t="shared" si="12"/>
        <v/>
      </c>
      <c r="E257" s="24" t="str">
        <f>IF(NOT(ISBLANK(G1copy!B257)),G1copy!B257,"")</f>
        <v/>
      </c>
      <c r="F257" s="24" t="str">
        <f>IF(E257&lt;&gt;"",G1copy!A257,"")</f>
        <v/>
      </c>
      <c r="G257" s="24" t="str">
        <f>IF(E257&lt;&gt;"",G1copy!F257,"")</f>
        <v/>
      </c>
    </row>
    <row r="258" spans="1:7" ht="15.75" customHeight="1">
      <c r="A258" s="23" t="str">
        <f t="shared" si="10"/>
        <v/>
      </c>
      <c r="B258" t="str">
        <f t="shared" si="11"/>
        <v/>
      </c>
      <c r="C258" s="23" t="str">
        <f t="shared" si="12"/>
        <v/>
      </c>
      <c r="E258" s="24" t="str">
        <f>IF(NOT(ISBLANK(G1copy!B258)),G1copy!B258,"")</f>
        <v/>
      </c>
      <c r="F258" s="24" t="str">
        <f>IF(E258&lt;&gt;"",G1copy!A258,"")</f>
        <v/>
      </c>
      <c r="G258" s="24" t="str">
        <f>IF(E258&lt;&gt;"",G1copy!F258,"")</f>
        <v/>
      </c>
    </row>
    <row r="259" spans="1:7" ht="15.75" customHeight="1">
      <c r="A259" s="23" t="str">
        <f t="shared" ref="A259:A322" si="13">IF(E259&lt;&gt;"",DATEVALUE(LEFT(E259,10)),"")</f>
        <v/>
      </c>
      <c r="B259" t="str">
        <f t="shared" ref="B259:B322" si="14">IF(LEN(F259)&gt;3,RIGHT(F259,LEN(F259)-3),"")</f>
        <v/>
      </c>
      <c r="C259" s="23" t="str">
        <f t="shared" ref="C259:C322" si="15">IF(E259&lt;&gt;"",DATEVALUE(LEFT(G259,10)),"")</f>
        <v/>
      </c>
      <c r="E259" s="24" t="str">
        <f>IF(NOT(ISBLANK(G1copy!B259)),G1copy!B259,"")</f>
        <v/>
      </c>
      <c r="F259" s="24" t="str">
        <f>IF(E259&lt;&gt;"",G1copy!A259,"")</f>
        <v/>
      </c>
      <c r="G259" s="24" t="str">
        <f>IF(E259&lt;&gt;"",G1copy!F259,"")</f>
        <v/>
      </c>
    </row>
    <row r="260" spans="1:7" ht="15.75" customHeight="1">
      <c r="A260" s="23" t="str">
        <f t="shared" si="13"/>
        <v/>
      </c>
      <c r="B260" t="str">
        <f t="shared" si="14"/>
        <v/>
      </c>
      <c r="C260" s="23" t="str">
        <f t="shared" si="15"/>
        <v/>
      </c>
      <c r="E260" s="24" t="str">
        <f>IF(NOT(ISBLANK(G1copy!B260)),G1copy!B260,"")</f>
        <v/>
      </c>
      <c r="F260" s="24" t="str">
        <f>IF(E260&lt;&gt;"",G1copy!A260,"")</f>
        <v/>
      </c>
      <c r="G260" s="24" t="str">
        <f>IF(E260&lt;&gt;"",G1copy!F260,"")</f>
        <v/>
      </c>
    </row>
    <row r="261" spans="1:7" ht="15.75" customHeight="1">
      <c r="A261" s="23" t="str">
        <f t="shared" si="13"/>
        <v/>
      </c>
      <c r="B261" t="str">
        <f t="shared" si="14"/>
        <v/>
      </c>
      <c r="C261" s="23" t="str">
        <f t="shared" si="15"/>
        <v/>
      </c>
      <c r="E261" s="24" t="str">
        <f>IF(NOT(ISBLANK(G1copy!B261)),G1copy!B261,"")</f>
        <v/>
      </c>
      <c r="F261" s="24" t="str">
        <f>IF(E261&lt;&gt;"",G1copy!A261,"")</f>
        <v/>
      </c>
      <c r="G261" s="24" t="str">
        <f>IF(E261&lt;&gt;"",G1copy!F261,"")</f>
        <v/>
      </c>
    </row>
    <row r="262" spans="1:7" ht="15.75" customHeight="1">
      <c r="A262" s="23" t="str">
        <f t="shared" si="13"/>
        <v/>
      </c>
      <c r="B262" t="str">
        <f t="shared" si="14"/>
        <v/>
      </c>
      <c r="C262" s="23" t="str">
        <f t="shared" si="15"/>
        <v/>
      </c>
      <c r="E262" s="24" t="str">
        <f>IF(NOT(ISBLANK(G1copy!B262)),G1copy!B262,"")</f>
        <v/>
      </c>
      <c r="F262" s="24" t="str">
        <f>IF(E262&lt;&gt;"",G1copy!A262,"")</f>
        <v/>
      </c>
      <c r="G262" s="24" t="str">
        <f>IF(E262&lt;&gt;"",G1copy!F262,"")</f>
        <v/>
      </c>
    </row>
    <row r="263" spans="1:7" ht="15.75" customHeight="1">
      <c r="A263" s="23" t="str">
        <f t="shared" si="13"/>
        <v/>
      </c>
      <c r="B263" t="str">
        <f t="shared" si="14"/>
        <v/>
      </c>
      <c r="C263" s="23" t="str">
        <f t="shared" si="15"/>
        <v/>
      </c>
      <c r="E263" s="24" t="str">
        <f>IF(NOT(ISBLANK(G1copy!B263)),G1copy!B263,"")</f>
        <v/>
      </c>
      <c r="F263" s="24" t="str">
        <f>IF(E263&lt;&gt;"",G1copy!A263,"")</f>
        <v/>
      </c>
      <c r="G263" s="24" t="str">
        <f>IF(E263&lt;&gt;"",G1copy!F263,"")</f>
        <v/>
      </c>
    </row>
    <row r="264" spans="1:7" ht="15.75" customHeight="1">
      <c r="A264" s="23" t="str">
        <f t="shared" si="13"/>
        <v/>
      </c>
      <c r="B264" t="str">
        <f t="shared" si="14"/>
        <v/>
      </c>
      <c r="C264" s="23" t="str">
        <f t="shared" si="15"/>
        <v/>
      </c>
      <c r="E264" s="24" t="str">
        <f>IF(NOT(ISBLANK(G1copy!B264)),G1copy!B264,"")</f>
        <v/>
      </c>
      <c r="F264" s="24" t="str">
        <f>IF(E264&lt;&gt;"",G1copy!A264,"")</f>
        <v/>
      </c>
      <c r="G264" s="24" t="str">
        <f>IF(E264&lt;&gt;"",G1copy!F264,"")</f>
        <v/>
      </c>
    </row>
    <row r="265" spans="1:7" ht="15.75" customHeight="1">
      <c r="A265" s="23" t="str">
        <f t="shared" si="13"/>
        <v/>
      </c>
      <c r="B265" t="str">
        <f t="shared" si="14"/>
        <v/>
      </c>
      <c r="C265" s="23" t="str">
        <f t="shared" si="15"/>
        <v/>
      </c>
      <c r="E265" s="24" t="str">
        <f>IF(NOT(ISBLANK(G1copy!B265)),G1copy!B265,"")</f>
        <v/>
      </c>
      <c r="F265" s="24" t="str">
        <f>IF(E265&lt;&gt;"",G1copy!A265,"")</f>
        <v/>
      </c>
      <c r="G265" s="24" t="str">
        <f>IF(E265&lt;&gt;"",G1copy!F265,"")</f>
        <v/>
      </c>
    </row>
    <row r="266" spans="1:7" ht="15.75" customHeight="1">
      <c r="A266" s="23" t="str">
        <f t="shared" si="13"/>
        <v/>
      </c>
      <c r="B266" t="str">
        <f t="shared" si="14"/>
        <v/>
      </c>
      <c r="C266" s="23" t="str">
        <f t="shared" si="15"/>
        <v/>
      </c>
      <c r="E266" s="24" t="str">
        <f>IF(NOT(ISBLANK(G1copy!B266)),G1copy!B266,"")</f>
        <v/>
      </c>
      <c r="F266" s="24" t="str">
        <f>IF(E266&lt;&gt;"",G1copy!A266,"")</f>
        <v/>
      </c>
      <c r="G266" s="24" t="str">
        <f>IF(E266&lt;&gt;"",G1copy!F266,"")</f>
        <v/>
      </c>
    </row>
    <row r="267" spans="1:7" ht="15.75" customHeight="1">
      <c r="A267" s="23" t="str">
        <f t="shared" si="13"/>
        <v/>
      </c>
      <c r="B267" t="str">
        <f t="shared" si="14"/>
        <v/>
      </c>
      <c r="C267" s="23" t="str">
        <f t="shared" si="15"/>
        <v/>
      </c>
      <c r="E267" s="24" t="str">
        <f>IF(NOT(ISBLANK(G1copy!B267)),G1copy!B267,"")</f>
        <v/>
      </c>
      <c r="F267" s="24" t="str">
        <f>IF(E267&lt;&gt;"",G1copy!A267,"")</f>
        <v/>
      </c>
      <c r="G267" s="24" t="str">
        <f>IF(E267&lt;&gt;"",G1copy!F267,"")</f>
        <v/>
      </c>
    </row>
    <row r="268" spans="1:7" ht="15.75" customHeight="1">
      <c r="A268" s="23" t="str">
        <f t="shared" si="13"/>
        <v/>
      </c>
      <c r="B268" t="str">
        <f t="shared" si="14"/>
        <v/>
      </c>
      <c r="C268" s="23" t="str">
        <f t="shared" si="15"/>
        <v/>
      </c>
      <c r="E268" s="24" t="str">
        <f>IF(NOT(ISBLANK(G1copy!B268)),G1copy!B268,"")</f>
        <v/>
      </c>
      <c r="F268" s="24" t="str">
        <f>IF(E268&lt;&gt;"",G1copy!A268,"")</f>
        <v/>
      </c>
      <c r="G268" s="24" t="str">
        <f>IF(E268&lt;&gt;"",G1copy!F268,"")</f>
        <v/>
      </c>
    </row>
    <row r="269" spans="1:7" ht="15.75" customHeight="1">
      <c r="A269" s="23" t="str">
        <f t="shared" si="13"/>
        <v/>
      </c>
      <c r="B269" t="str">
        <f t="shared" si="14"/>
        <v/>
      </c>
      <c r="C269" s="23" t="str">
        <f t="shared" si="15"/>
        <v/>
      </c>
      <c r="E269" s="24" t="str">
        <f>IF(NOT(ISBLANK(G1copy!B269)),G1copy!B269,"")</f>
        <v/>
      </c>
      <c r="F269" s="24" t="str">
        <f>IF(E269&lt;&gt;"",G1copy!A269,"")</f>
        <v/>
      </c>
      <c r="G269" s="24" t="str">
        <f>IF(E269&lt;&gt;"",G1copy!F269,"")</f>
        <v/>
      </c>
    </row>
    <row r="270" spans="1:7" ht="15.75" customHeight="1">
      <c r="A270" s="23" t="str">
        <f t="shared" si="13"/>
        <v/>
      </c>
      <c r="B270" t="str">
        <f t="shared" si="14"/>
        <v/>
      </c>
      <c r="C270" s="23" t="str">
        <f t="shared" si="15"/>
        <v/>
      </c>
      <c r="E270" s="24" t="str">
        <f>IF(NOT(ISBLANK(G1copy!B270)),G1copy!B270,"")</f>
        <v/>
      </c>
      <c r="F270" s="24" t="str">
        <f>IF(E270&lt;&gt;"",G1copy!A270,"")</f>
        <v/>
      </c>
      <c r="G270" s="24" t="str">
        <f>IF(E270&lt;&gt;"",G1copy!F270,"")</f>
        <v/>
      </c>
    </row>
    <row r="271" spans="1:7" ht="15.75" customHeight="1">
      <c r="A271" s="23" t="str">
        <f t="shared" si="13"/>
        <v/>
      </c>
      <c r="B271" t="str">
        <f t="shared" si="14"/>
        <v/>
      </c>
      <c r="C271" s="23" t="str">
        <f t="shared" si="15"/>
        <v/>
      </c>
      <c r="E271" s="24" t="str">
        <f>IF(NOT(ISBLANK(G1copy!B271)),G1copy!B271,"")</f>
        <v/>
      </c>
      <c r="F271" s="24" t="str">
        <f>IF(E271&lt;&gt;"",G1copy!A271,"")</f>
        <v/>
      </c>
      <c r="G271" s="24" t="str">
        <f>IF(E271&lt;&gt;"",G1copy!F271,"")</f>
        <v/>
      </c>
    </row>
    <row r="272" spans="1:7" ht="15.75" customHeight="1">
      <c r="A272" s="23" t="str">
        <f t="shared" si="13"/>
        <v/>
      </c>
      <c r="B272" t="str">
        <f t="shared" si="14"/>
        <v/>
      </c>
      <c r="C272" s="23" t="str">
        <f t="shared" si="15"/>
        <v/>
      </c>
      <c r="E272" s="24" t="str">
        <f>IF(NOT(ISBLANK(G1copy!B272)),G1copy!B272,"")</f>
        <v/>
      </c>
      <c r="F272" s="24" t="str">
        <f>IF(E272&lt;&gt;"",G1copy!A272,"")</f>
        <v/>
      </c>
      <c r="G272" s="24" t="str">
        <f>IF(E272&lt;&gt;"",G1copy!F272,"")</f>
        <v/>
      </c>
    </row>
    <row r="273" spans="1:7" ht="15.75" customHeight="1">
      <c r="A273" s="23" t="str">
        <f t="shared" si="13"/>
        <v/>
      </c>
      <c r="B273" t="str">
        <f t="shared" si="14"/>
        <v/>
      </c>
      <c r="C273" s="23" t="str">
        <f t="shared" si="15"/>
        <v/>
      </c>
      <c r="E273" s="24" t="str">
        <f>IF(NOT(ISBLANK(G1copy!B273)),G1copy!B273,"")</f>
        <v/>
      </c>
      <c r="F273" s="24" t="str">
        <f>IF(E273&lt;&gt;"",G1copy!A273,"")</f>
        <v/>
      </c>
      <c r="G273" s="24" t="str">
        <f>IF(E273&lt;&gt;"",G1copy!F273,"")</f>
        <v/>
      </c>
    </row>
    <row r="274" spans="1:7" ht="15.75" customHeight="1">
      <c r="A274" s="23" t="str">
        <f t="shared" si="13"/>
        <v/>
      </c>
      <c r="B274" t="str">
        <f t="shared" si="14"/>
        <v/>
      </c>
      <c r="C274" s="23" t="str">
        <f t="shared" si="15"/>
        <v/>
      </c>
      <c r="E274" s="24" t="str">
        <f>IF(NOT(ISBLANK(G1copy!B274)),G1copy!B274,"")</f>
        <v/>
      </c>
      <c r="F274" s="24" t="str">
        <f>IF(E274&lt;&gt;"",G1copy!A274,"")</f>
        <v/>
      </c>
      <c r="G274" s="24" t="str">
        <f>IF(E274&lt;&gt;"",G1copy!F274,"")</f>
        <v/>
      </c>
    </row>
    <row r="275" spans="1:7" ht="15.75" customHeight="1">
      <c r="A275" s="23" t="str">
        <f t="shared" si="13"/>
        <v/>
      </c>
      <c r="B275" t="str">
        <f t="shared" si="14"/>
        <v/>
      </c>
      <c r="C275" s="23" t="str">
        <f t="shared" si="15"/>
        <v/>
      </c>
      <c r="E275" s="24" t="str">
        <f>IF(NOT(ISBLANK(G1copy!B275)),G1copy!B275,"")</f>
        <v/>
      </c>
      <c r="F275" s="24" t="str">
        <f>IF(E275&lt;&gt;"",G1copy!A275,"")</f>
        <v/>
      </c>
      <c r="G275" s="24" t="str">
        <f>IF(E275&lt;&gt;"",G1copy!F275,"")</f>
        <v/>
      </c>
    </row>
    <row r="276" spans="1:7" ht="15.75" customHeight="1">
      <c r="A276" s="23" t="str">
        <f t="shared" si="13"/>
        <v/>
      </c>
      <c r="B276" t="str">
        <f t="shared" si="14"/>
        <v/>
      </c>
      <c r="C276" s="23" t="str">
        <f t="shared" si="15"/>
        <v/>
      </c>
      <c r="E276" s="24" t="str">
        <f>IF(NOT(ISBLANK(G1copy!B276)),G1copy!B276,"")</f>
        <v/>
      </c>
      <c r="F276" s="24" t="str">
        <f>IF(E276&lt;&gt;"",G1copy!A276,"")</f>
        <v/>
      </c>
      <c r="G276" s="24" t="str">
        <f>IF(E276&lt;&gt;"",G1copy!F276,"")</f>
        <v/>
      </c>
    </row>
    <row r="277" spans="1:7" ht="15.75" customHeight="1">
      <c r="A277" s="23" t="str">
        <f t="shared" si="13"/>
        <v/>
      </c>
      <c r="B277" t="str">
        <f t="shared" si="14"/>
        <v/>
      </c>
      <c r="C277" s="23" t="str">
        <f t="shared" si="15"/>
        <v/>
      </c>
      <c r="E277" s="24" t="str">
        <f>IF(NOT(ISBLANK(G1copy!B277)),G1copy!B277,"")</f>
        <v/>
      </c>
      <c r="F277" s="24" t="str">
        <f>IF(E277&lt;&gt;"",G1copy!A277,"")</f>
        <v/>
      </c>
      <c r="G277" s="24" t="str">
        <f>IF(E277&lt;&gt;"",G1copy!F277,"")</f>
        <v/>
      </c>
    </row>
    <row r="278" spans="1:7" ht="15.75" customHeight="1">
      <c r="A278" s="23" t="str">
        <f t="shared" si="13"/>
        <v/>
      </c>
      <c r="B278" t="str">
        <f t="shared" si="14"/>
        <v/>
      </c>
      <c r="C278" s="23" t="str">
        <f t="shared" si="15"/>
        <v/>
      </c>
      <c r="E278" s="24" t="str">
        <f>IF(NOT(ISBLANK(G1copy!B278)),G1copy!B278,"")</f>
        <v/>
      </c>
      <c r="F278" s="24" t="str">
        <f>IF(E278&lt;&gt;"",G1copy!A278,"")</f>
        <v/>
      </c>
      <c r="G278" s="24" t="str">
        <f>IF(E278&lt;&gt;"",G1copy!F278,"")</f>
        <v/>
      </c>
    </row>
    <row r="279" spans="1:7" ht="15.75" customHeight="1">
      <c r="A279" s="23" t="str">
        <f t="shared" si="13"/>
        <v/>
      </c>
      <c r="B279" t="str">
        <f t="shared" si="14"/>
        <v/>
      </c>
      <c r="C279" s="23" t="str">
        <f t="shared" si="15"/>
        <v/>
      </c>
      <c r="E279" s="24" t="str">
        <f>IF(NOT(ISBLANK(G1copy!B279)),G1copy!B279,"")</f>
        <v/>
      </c>
      <c r="F279" s="24" t="str">
        <f>IF(E279&lt;&gt;"",G1copy!A279,"")</f>
        <v/>
      </c>
      <c r="G279" s="24" t="str">
        <f>IF(E279&lt;&gt;"",G1copy!F279,"")</f>
        <v/>
      </c>
    </row>
    <row r="280" spans="1:7" ht="15.75" customHeight="1">
      <c r="A280" s="23" t="str">
        <f t="shared" si="13"/>
        <v/>
      </c>
      <c r="B280" t="str">
        <f t="shared" si="14"/>
        <v/>
      </c>
      <c r="C280" s="23" t="str">
        <f t="shared" si="15"/>
        <v/>
      </c>
      <c r="E280" s="24" t="str">
        <f>IF(NOT(ISBLANK(G1copy!B280)),G1copy!B280,"")</f>
        <v/>
      </c>
      <c r="F280" s="24" t="str">
        <f>IF(E280&lt;&gt;"",G1copy!A280,"")</f>
        <v/>
      </c>
      <c r="G280" s="24" t="str">
        <f>IF(E280&lt;&gt;"",G1copy!F280,"")</f>
        <v/>
      </c>
    </row>
    <row r="281" spans="1:7" ht="15.75" customHeight="1">
      <c r="A281" s="23" t="str">
        <f t="shared" si="13"/>
        <v/>
      </c>
      <c r="B281" t="str">
        <f t="shared" si="14"/>
        <v/>
      </c>
      <c r="C281" s="23" t="str">
        <f t="shared" si="15"/>
        <v/>
      </c>
      <c r="E281" s="24" t="str">
        <f>IF(NOT(ISBLANK(G1copy!B281)),G1copy!B281,"")</f>
        <v/>
      </c>
      <c r="F281" s="24" t="str">
        <f>IF(E281&lt;&gt;"",G1copy!A281,"")</f>
        <v/>
      </c>
      <c r="G281" s="24" t="str">
        <f>IF(E281&lt;&gt;"",G1copy!F281,"")</f>
        <v/>
      </c>
    </row>
    <row r="282" spans="1:7" ht="15.75" customHeight="1">
      <c r="A282" s="23" t="str">
        <f t="shared" si="13"/>
        <v/>
      </c>
      <c r="B282" t="str">
        <f t="shared" si="14"/>
        <v/>
      </c>
      <c r="C282" s="23" t="str">
        <f t="shared" si="15"/>
        <v/>
      </c>
      <c r="E282" s="24" t="str">
        <f>IF(NOT(ISBLANK(G1copy!B282)),G1copy!B282,"")</f>
        <v/>
      </c>
      <c r="F282" s="24" t="str">
        <f>IF(E282&lt;&gt;"",G1copy!A282,"")</f>
        <v/>
      </c>
      <c r="G282" s="24" t="str">
        <f>IF(E282&lt;&gt;"",G1copy!F282,"")</f>
        <v/>
      </c>
    </row>
    <row r="283" spans="1:7" ht="15.75" customHeight="1">
      <c r="A283" s="23" t="str">
        <f t="shared" si="13"/>
        <v/>
      </c>
      <c r="B283" t="str">
        <f t="shared" si="14"/>
        <v/>
      </c>
      <c r="C283" s="23" t="str">
        <f t="shared" si="15"/>
        <v/>
      </c>
      <c r="E283" s="24" t="str">
        <f>IF(NOT(ISBLANK(G1copy!B283)),G1copy!B283,"")</f>
        <v/>
      </c>
      <c r="F283" s="24" t="str">
        <f>IF(E283&lt;&gt;"",G1copy!A283,"")</f>
        <v/>
      </c>
      <c r="G283" s="24" t="str">
        <f>IF(E283&lt;&gt;"",G1copy!F283,"")</f>
        <v/>
      </c>
    </row>
    <row r="284" spans="1:7" ht="15.75" customHeight="1">
      <c r="A284" s="23" t="str">
        <f t="shared" si="13"/>
        <v/>
      </c>
      <c r="B284" t="str">
        <f t="shared" si="14"/>
        <v/>
      </c>
      <c r="C284" s="23" t="str">
        <f t="shared" si="15"/>
        <v/>
      </c>
      <c r="E284" s="24" t="str">
        <f>IF(NOT(ISBLANK(G1copy!B284)),G1copy!B284,"")</f>
        <v/>
      </c>
      <c r="F284" s="24" t="str">
        <f>IF(E284&lt;&gt;"",G1copy!A284,"")</f>
        <v/>
      </c>
      <c r="G284" s="24" t="str">
        <f>IF(E284&lt;&gt;"",G1copy!F284,"")</f>
        <v/>
      </c>
    </row>
    <row r="285" spans="1:7" ht="15.75" customHeight="1">
      <c r="A285" s="23" t="str">
        <f t="shared" si="13"/>
        <v/>
      </c>
      <c r="B285" t="str">
        <f t="shared" si="14"/>
        <v/>
      </c>
      <c r="C285" s="23" t="str">
        <f t="shared" si="15"/>
        <v/>
      </c>
      <c r="E285" s="24" t="str">
        <f>IF(NOT(ISBLANK(G1copy!B285)),G1copy!B285,"")</f>
        <v/>
      </c>
      <c r="F285" s="24" t="str">
        <f>IF(E285&lt;&gt;"",G1copy!A285,"")</f>
        <v/>
      </c>
      <c r="G285" s="24" t="str">
        <f>IF(E285&lt;&gt;"",G1copy!F285,"")</f>
        <v/>
      </c>
    </row>
    <row r="286" spans="1:7" ht="15.75" customHeight="1">
      <c r="A286" s="23" t="str">
        <f t="shared" si="13"/>
        <v/>
      </c>
      <c r="B286" t="str">
        <f t="shared" si="14"/>
        <v/>
      </c>
      <c r="C286" s="23" t="str">
        <f t="shared" si="15"/>
        <v/>
      </c>
      <c r="E286" s="24" t="str">
        <f>IF(NOT(ISBLANK(G1copy!B286)),G1copy!B286,"")</f>
        <v/>
      </c>
      <c r="F286" s="24" t="str">
        <f>IF(E286&lt;&gt;"",G1copy!A286,"")</f>
        <v/>
      </c>
      <c r="G286" s="24" t="str">
        <f>IF(E286&lt;&gt;"",G1copy!F286,"")</f>
        <v/>
      </c>
    </row>
    <row r="287" spans="1:7" ht="15.75" customHeight="1">
      <c r="A287" s="23" t="str">
        <f t="shared" si="13"/>
        <v/>
      </c>
      <c r="B287" t="str">
        <f t="shared" si="14"/>
        <v/>
      </c>
      <c r="C287" s="23" t="str">
        <f t="shared" si="15"/>
        <v/>
      </c>
      <c r="E287" s="24" t="str">
        <f>IF(NOT(ISBLANK(G1copy!B287)),G1copy!B287,"")</f>
        <v/>
      </c>
      <c r="F287" s="24" t="str">
        <f>IF(E287&lt;&gt;"",G1copy!A287,"")</f>
        <v/>
      </c>
      <c r="G287" s="24" t="str">
        <f>IF(E287&lt;&gt;"",G1copy!F287,"")</f>
        <v/>
      </c>
    </row>
    <row r="288" spans="1:7" ht="15.75" customHeight="1">
      <c r="A288" s="23" t="str">
        <f t="shared" si="13"/>
        <v/>
      </c>
      <c r="B288" t="str">
        <f t="shared" si="14"/>
        <v/>
      </c>
      <c r="C288" s="23" t="str">
        <f t="shared" si="15"/>
        <v/>
      </c>
      <c r="E288" s="24" t="str">
        <f>IF(NOT(ISBLANK(G1copy!B288)),G1copy!B288,"")</f>
        <v/>
      </c>
      <c r="F288" s="24" t="str">
        <f>IF(E288&lt;&gt;"",G1copy!A288,"")</f>
        <v/>
      </c>
      <c r="G288" s="24" t="str">
        <f>IF(E288&lt;&gt;"",G1copy!F288,"")</f>
        <v/>
      </c>
    </row>
    <row r="289" spans="1:7" ht="15.75" customHeight="1">
      <c r="A289" s="23" t="str">
        <f t="shared" si="13"/>
        <v/>
      </c>
      <c r="B289" t="str">
        <f t="shared" si="14"/>
        <v/>
      </c>
      <c r="C289" s="23" t="str">
        <f t="shared" si="15"/>
        <v/>
      </c>
      <c r="E289" s="24" t="str">
        <f>IF(NOT(ISBLANK(G1copy!B289)),G1copy!B289,"")</f>
        <v/>
      </c>
      <c r="F289" s="24" t="str">
        <f>IF(E289&lt;&gt;"",G1copy!A289,"")</f>
        <v/>
      </c>
      <c r="G289" s="24" t="str">
        <f>IF(E289&lt;&gt;"",G1copy!F289,"")</f>
        <v/>
      </c>
    </row>
    <row r="290" spans="1:7" ht="15.75" customHeight="1">
      <c r="A290" s="23" t="str">
        <f t="shared" si="13"/>
        <v/>
      </c>
      <c r="B290" t="str">
        <f t="shared" si="14"/>
        <v/>
      </c>
      <c r="C290" s="23" t="str">
        <f t="shared" si="15"/>
        <v/>
      </c>
      <c r="E290" s="24" t="str">
        <f>IF(NOT(ISBLANK(G1copy!B290)),G1copy!B290,"")</f>
        <v/>
      </c>
      <c r="F290" s="24" t="str">
        <f>IF(E290&lt;&gt;"",G1copy!A290,"")</f>
        <v/>
      </c>
      <c r="G290" s="24" t="str">
        <f>IF(E290&lt;&gt;"",G1copy!F290,"")</f>
        <v/>
      </c>
    </row>
    <row r="291" spans="1:7" ht="15.75" customHeight="1">
      <c r="A291" s="23" t="str">
        <f t="shared" si="13"/>
        <v/>
      </c>
      <c r="B291" t="str">
        <f t="shared" si="14"/>
        <v/>
      </c>
      <c r="C291" s="23" t="str">
        <f t="shared" si="15"/>
        <v/>
      </c>
      <c r="E291" s="24" t="str">
        <f>IF(NOT(ISBLANK(G1copy!B291)),G1copy!B291,"")</f>
        <v/>
      </c>
      <c r="F291" s="24" t="str">
        <f>IF(E291&lt;&gt;"",G1copy!A291,"")</f>
        <v/>
      </c>
      <c r="G291" s="24" t="str">
        <f>IF(E291&lt;&gt;"",G1copy!F291,"")</f>
        <v/>
      </c>
    </row>
    <row r="292" spans="1:7" ht="15.75" customHeight="1">
      <c r="A292" s="23" t="str">
        <f t="shared" si="13"/>
        <v/>
      </c>
      <c r="B292" t="str">
        <f t="shared" si="14"/>
        <v/>
      </c>
      <c r="C292" s="23" t="str">
        <f t="shared" si="15"/>
        <v/>
      </c>
      <c r="E292" s="24" t="str">
        <f>IF(NOT(ISBLANK(G1copy!B292)),G1copy!B292,"")</f>
        <v/>
      </c>
      <c r="F292" s="24" t="str">
        <f>IF(E292&lt;&gt;"",G1copy!A292,"")</f>
        <v/>
      </c>
      <c r="G292" s="24" t="str">
        <f>IF(E292&lt;&gt;"",G1copy!F292,"")</f>
        <v/>
      </c>
    </row>
    <row r="293" spans="1:7" ht="15.75" customHeight="1">
      <c r="A293" s="23" t="str">
        <f t="shared" si="13"/>
        <v/>
      </c>
      <c r="B293" t="str">
        <f t="shared" si="14"/>
        <v/>
      </c>
      <c r="C293" s="23" t="str">
        <f t="shared" si="15"/>
        <v/>
      </c>
      <c r="E293" s="24" t="str">
        <f>IF(NOT(ISBLANK(G1copy!B293)),G1copy!B293,"")</f>
        <v/>
      </c>
      <c r="F293" s="24" t="str">
        <f>IF(E293&lt;&gt;"",G1copy!A293,"")</f>
        <v/>
      </c>
      <c r="G293" s="24" t="str">
        <f>IF(E293&lt;&gt;"",G1copy!F293,"")</f>
        <v/>
      </c>
    </row>
    <row r="294" spans="1:7" ht="15.75" customHeight="1">
      <c r="A294" s="23" t="str">
        <f t="shared" si="13"/>
        <v/>
      </c>
      <c r="B294" t="str">
        <f t="shared" si="14"/>
        <v/>
      </c>
      <c r="C294" s="23" t="str">
        <f t="shared" si="15"/>
        <v/>
      </c>
      <c r="E294" s="24" t="str">
        <f>IF(NOT(ISBLANK(G1copy!B294)),G1copy!B294,"")</f>
        <v/>
      </c>
      <c r="F294" s="24" t="str">
        <f>IF(E294&lt;&gt;"",G1copy!A294,"")</f>
        <v/>
      </c>
      <c r="G294" s="24" t="str">
        <f>IF(E294&lt;&gt;"",G1copy!F294,"")</f>
        <v/>
      </c>
    </row>
    <row r="295" spans="1:7" ht="15.75" customHeight="1">
      <c r="A295" s="23" t="str">
        <f t="shared" si="13"/>
        <v/>
      </c>
      <c r="B295" t="str">
        <f t="shared" si="14"/>
        <v/>
      </c>
      <c r="C295" s="23" t="str">
        <f t="shared" si="15"/>
        <v/>
      </c>
      <c r="E295" s="24" t="str">
        <f>IF(NOT(ISBLANK(G1copy!B295)),G1copy!B295,"")</f>
        <v/>
      </c>
      <c r="F295" s="24" t="str">
        <f>IF(E295&lt;&gt;"",G1copy!A295,"")</f>
        <v/>
      </c>
      <c r="G295" s="24" t="str">
        <f>IF(E295&lt;&gt;"",G1copy!F295,"")</f>
        <v/>
      </c>
    </row>
    <row r="296" spans="1:7" ht="15.75" customHeight="1">
      <c r="A296" s="23" t="str">
        <f t="shared" si="13"/>
        <v/>
      </c>
      <c r="B296" t="str">
        <f t="shared" si="14"/>
        <v/>
      </c>
      <c r="C296" s="23" t="str">
        <f t="shared" si="15"/>
        <v/>
      </c>
      <c r="E296" s="24" t="str">
        <f>IF(NOT(ISBLANK(G1copy!B296)),G1copy!B296,"")</f>
        <v/>
      </c>
      <c r="F296" s="24" t="str">
        <f>IF(E296&lt;&gt;"",G1copy!A296,"")</f>
        <v/>
      </c>
      <c r="G296" s="24" t="str">
        <f>IF(E296&lt;&gt;"",G1copy!F296,"")</f>
        <v/>
      </c>
    </row>
    <row r="297" spans="1:7" ht="15.75" customHeight="1">
      <c r="A297" s="23" t="str">
        <f t="shared" si="13"/>
        <v/>
      </c>
      <c r="B297" t="str">
        <f t="shared" si="14"/>
        <v/>
      </c>
      <c r="C297" s="23" t="str">
        <f t="shared" si="15"/>
        <v/>
      </c>
      <c r="E297" s="24" t="str">
        <f>IF(NOT(ISBLANK(G1copy!B297)),G1copy!B297,"")</f>
        <v/>
      </c>
      <c r="F297" s="24" t="str">
        <f>IF(E297&lt;&gt;"",G1copy!A297,"")</f>
        <v/>
      </c>
      <c r="G297" s="24" t="str">
        <f>IF(E297&lt;&gt;"",G1copy!F297,"")</f>
        <v/>
      </c>
    </row>
    <row r="298" spans="1:7" ht="15.75" customHeight="1">
      <c r="A298" s="23" t="str">
        <f t="shared" si="13"/>
        <v/>
      </c>
      <c r="B298" t="str">
        <f t="shared" si="14"/>
        <v/>
      </c>
      <c r="C298" s="23" t="str">
        <f t="shared" si="15"/>
        <v/>
      </c>
      <c r="E298" s="24" t="str">
        <f>IF(NOT(ISBLANK(G1copy!B298)),G1copy!B298,"")</f>
        <v/>
      </c>
      <c r="F298" s="24" t="str">
        <f>IF(E298&lt;&gt;"",G1copy!A298,"")</f>
        <v/>
      </c>
      <c r="G298" s="24" t="str">
        <f>IF(E298&lt;&gt;"",G1copy!F298,"")</f>
        <v/>
      </c>
    </row>
    <row r="299" spans="1:7" ht="15.75" customHeight="1">
      <c r="A299" s="23" t="str">
        <f t="shared" si="13"/>
        <v/>
      </c>
      <c r="B299" t="str">
        <f t="shared" si="14"/>
        <v/>
      </c>
      <c r="C299" s="23" t="str">
        <f t="shared" si="15"/>
        <v/>
      </c>
      <c r="E299" s="24" t="str">
        <f>IF(NOT(ISBLANK(G1copy!B299)),G1copy!B299,"")</f>
        <v/>
      </c>
      <c r="F299" s="24" t="str">
        <f>IF(E299&lt;&gt;"",G1copy!A299,"")</f>
        <v/>
      </c>
      <c r="G299" s="24" t="str">
        <f>IF(E299&lt;&gt;"",G1copy!F299,"")</f>
        <v/>
      </c>
    </row>
    <row r="300" spans="1:7" ht="15.75" customHeight="1">
      <c r="A300" s="23" t="str">
        <f t="shared" si="13"/>
        <v/>
      </c>
      <c r="B300" t="str">
        <f t="shared" si="14"/>
        <v/>
      </c>
      <c r="C300" s="23" t="str">
        <f t="shared" si="15"/>
        <v/>
      </c>
      <c r="E300" s="24" t="str">
        <f>IF(NOT(ISBLANK(G1copy!B300)),G1copy!B300,"")</f>
        <v/>
      </c>
      <c r="F300" s="24" t="str">
        <f>IF(E300&lt;&gt;"",G1copy!A300,"")</f>
        <v/>
      </c>
      <c r="G300" s="24" t="str">
        <f>IF(E300&lt;&gt;"",G1copy!F300,"")</f>
        <v/>
      </c>
    </row>
    <row r="301" spans="1:7" ht="15.75" customHeight="1">
      <c r="A301" s="23" t="str">
        <f t="shared" si="13"/>
        <v/>
      </c>
      <c r="B301" t="str">
        <f t="shared" si="14"/>
        <v/>
      </c>
      <c r="C301" s="23" t="str">
        <f t="shared" si="15"/>
        <v/>
      </c>
      <c r="E301" s="24" t="str">
        <f>IF(NOT(ISBLANK(G1copy!B301)),G1copy!B301,"")</f>
        <v/>
      </c>
      <c r="F301" s="24" t="str">
        <f>IF(E301&lt;&gt;"",G1copy!A301,"")</f>
        <v/>
      </c>
      <c r="G301" s="24" t="str">
        <f>IF(E301&lt;&gt;"",G1copy!F301,"")</f>
        <v/>
      </c>
    </row>
    <row r="302" spans="1:7" ht="15.75" customHeight="1">
      <c r="A302" s="23" t="str">
        <f t="shared" si="13"/>
        <v/>
      </c>
      <c r="B302" t="str">
        <f t="shared" si="14"/>
        <v/>
      </c>
      <c r="C302" s="23" t="str">
        <f t="shared" si="15"/>
        <v/>
      </c>
      <c r="E302" s="24" t="str">
        <f>IF(NOT(ISBLANK(G1copy!B302)),G1copy!B302,"")</f>
        <v/>
      </c>
      <c r="F302" s="24" t="str">
        <f>IF(E302&lt;&gt;"",G1copy!A302,"")</f>
        <v/>
      </c>
      <c r="G302" s="24" t="str">
        <f>IF(E302&lt;&gt;"",G1copy!F302,"")</f>
        <v/>
      </c>
    </row>
    <row r="303" spans="1:7" ht="15.75" customHeight="1">
      <c r="A303" s="23" t="str">
        <f t="shared" si="13"/>
        <v/>
      </c>
      <c r="B303" t="str">
        <f t="shared" si="14"/>
        <v/>
      </c>
      <c r="C303" s="23" t="str">
        <f t="shared" si="15"/>
        <v/>
      </c>
      <c r="E303" s="24" t="str">
        <f>IF(NOT(ISBLANK(G1copy!B303)),G1copy!B303,"")</f>
        <v/>
      </c>
      <c r="F303" s="24" t="str">
        <f>IF(E303&lt;&gt;"",G1copy!A303,"")</f>
        <v/>
      </c>
      <c r="G303" s="24" t="str">
        <f>IF(E303&lt;&gt;"",G1copy!F303,"")</f>
        <v/>
      </c>
    </row>
    <row r="304" spans="1:7" ht="15.75" customHeight="1">
      <c r="A304" s="23" t="str">
        <f t="shared" si="13"/>
        <v/>
      </c>
      <c r="B304" t="str">
        <f t="shared" si="14"/>
        <v/>
      </c>
      <c r="C304" s="23" t="str">
        <f t="shared" si="15"/>
        <v/>
      </c>
      <c r="E304" s="24" t="str">
        <f>IF(NOT(ISBLANK(G1copy!B304)),G1copy!B304,"")</f>
        <v/>
      </c>
      <c r="F304" s="24" t="str">
        <f>IF(E304&lt;&gt;"",G1copy!A304,"")</f>
        <v/>
      </c>
      <c r="G304" s="24" t="str">
        <f>IF(E304&lt;&gt;"",G1copy!F304,"")</f>
        <v/>
      </c>
    </row>
    <row r="305" spans="1:7" ht="15.75" customHeight="1">
      <c r="A305" s="23" t="str">
        <f t="shared" si="13"/>
        <v/>
      </c>
      <c r="B305" t="str">
        <f t="shared" si="14"/>
        <v/>
      </c>
      <c r="C305" s="23" t="str">
        <f t="shared" si="15"/>
        <v/>
      </c>
      <c r="E305" s="24" t="str">
        <f>IF(NOT(ISBLANK(G1copy!B305)),G1copy!B305,"")</f>
        <v/>
      </c>
      <c r="F305" s="24" t="str">
        <f>IF(E305&lt;&gt;"",G1copy!A305,"")</f>
        <v/>
      </c>
      <c r="G305" s="24" t="str">
        <f>IF(E305&lt;&gt;"",G1copy!F305,"")</f>
        <v/>
      </c>
    </row>
    <row r="306" spans="1:7" ht="15.75" customHeight="1">
      <c r="A306" s="23" t="str">
        <f t="shared" si="13"/>
        <v/>
      </c>
      <c r="B306" t="str">
        <f t="shared" si="14"/>
        <v/>
      </c>
      <c r="C306" s="23" t="str">
        <f t="shared" si="15"/>
        <v/>
      </c>
      <c r="E306" s="24" t="str">
        <f>IF(NOT(ISBLANK(G1copy!B306)),G1copy!B306,"")</f>
        <v/>
      </c>
      <c r="F306" s="24" t="str">
        <f>IF(E306&lt;&gt;"",G1copy!A306,"")</f>
        <v/>
      </c>
      <c r="G306" s="24" t="str">
        <f>IF(E306&lt;&gt;"",G1copy!F306,"")</f>
        <v/>
      </c>
    </row>
    <row r="307" spans="1:7" ht="15.75" customHeight="1">
      <c r="A307" s="23" t="str">
        <f t="shared" si="13"/>
        <v/>
      </c>
      <c r="B307" t="str">
        <f t="shared" si="14"/>
        <v/>
      </c>
      <c r="C307" s="23" t="str">
        <f t="shared" si="15"/>
        <v/>
      </c>
      <c r="E307" s="24" t="str">
        <f>IF(NOT(ISBLANK(G1copy!B307)),G1copy!B307,"")</f>
        <v/>
      </c>
      <c r="F307" s="24" t="str">
        <f>IF(E307&lt;&gt;"",G1copy!A307,"")</f>
        <v/>
      </c>
      <c r="G307" s="24" t="str">
        <f>IF(E307&lt;&gt;"",G1copy!F307,"")</f>
        <v/>
      </c>
    </row>
    <row r="308" spans="1:7" ht="15.75" customHeight="1">
      <c r="A308" s="23" t="str">
        <f t="shared" si="13"/>
        <v/>
      </c>
      <c r="B308" t="str">
        <f t="shared" si="14"/>
        <v/>
      </c>
      <c r="C308" s="23" t="str">
        <f t="shared" si="15"/>
        <v/>
      </c>
      <c r="E308" s="24" t="str">
        <f>IF(NOT(ISBLANK(G1copy!B308)),G1copy!B308,"")</f>
        <v/>
      </c>
      <c r="F308" s="24" t="str">
        <f>IF(E308&lt;&gt;"",G1copy!A308,"")</f>
        <v/>
      </c>
      <c r="G308" s="24" t="str">
        <f>IF(E308&lt;&gt;"",G1copy!F308,"")</f>
        <v/>
      </c>
    </row>
    <row r="309" spans="1:7" ht="15.75" customHeight="1">
      <c r="A309" s="23" t="str">
        <f t="shared" si="13"/>
        <v/>
      </c>
      <c r="B309" t="str">
        <f t="shared" si="14"/>
        <v/>
      </c>
      <c r="C309" s="23" t="str">
        <f t="shared" si="15"/>
        <v/>
      </c>
      <c r="E309" s="24" t="str">
        <f>IF(NOT(ISBLANK(G1copy!B309)),G1copy!B309,"")</f>
        <v/>
      </c>
      <c r="F309" s="24" t="str">
        <f>IF(E309&lt;&gt;"",G1copy!A309,"")</f>
        <v/>
      </c>
      <c r="G309" s="24" t="str">
        <f>IF(E309&lt;&gt;"",G1copy!F309,"")</f>
        <v/>
      </c>
    </row>
    <row r="310" spans="1:7" ht="15.75" customHeight="1">
      <c r="A310" s="23" t="str">
        <f t="shared" si="13"/>
        <v/>
      </c>
      <c r="B310" t="str">
        <f t="shared" si="14"/>
        <v/>
      </c>
      <c r="C310" s="23" t="str">
        <f t="shared" si="15"/>
        <v/>
      </c>
      <c r="E310" s="24" t="str">
        <f>IF(NOT(ISBLANK(G1copy!B310)),G1copy!B310,"")</f>
        <v/>
      </c>
      <c r="F310" s="24" t="str">
        <f>IF(E310&lt;&gt;"",G1copy!A310,"")</f>
        <v/>
      </c>
      <c r="G310" s="24" t="str">
        <f>IF(E310&lt;&gt;"",G1copy!F310,"")</f>
        <v/>
      </c>
    </row>
    <row r="311" spans="1:7" ht="15.75" customHeight="1">
      <c r="A311" s="23" t="str">
        <f t="shared" si="13"/>
        <v/>
      </c>
      <c r="B311" t="str">
        <f t="shared" si="14"/>
        <v/>
      </c>
      <c r="C311" s="23" t="str">
        <f t="shared" si="15"/>
        <v/>
      </c>
      <c r="E311" s="24" t="str">
        <f>IF(NOT(ISBLANK(G1copy!B311)),G1copy!B311,"")</f>
        <v/>
      </c>
      <c r="F311" s="24" t="str">
        <f>IF(E311&lt;&gt;"",G1copy!A311,"")</f>
        <v/>
      </c>
      <c r="G311" s="24" t="str">
        <f>IF(E311&lt;&gt;"",G1copy!F311,"")</f>
        <v/>
      </c>
    </row>
    <row r="312" spans="1:7" ht="15.75" customHeight="1">
      <c r="A312" s="23" t="str">
        <f t="shared" si="13"/>
        <v/>
      </c>
      <c r="B312" t="str">
        <f t="shared" si="14"/>
        <v/>
      </c>
      <c r="C312" s="23" t="str">
        <f t="shared" si="15"/>
        <v/>
      </c>
      <c r="E312" s="24" t="str">
        <f>IF(NOT(ISBLANK(G1copy!B312)),G1copy!B312,"")</f>
        <v/>
      </c>
      <c r="F312" s="24" t="str">
        <f>IF(E312&lt;&gt;"",G1copy!A312,"")</f>
        <v/>
      </c>
      <c r="G312" s="24" t="str">
        <f>IF(E312&lt;&gt;"",G1copy!F312,"")</f>
        <v/>
      </c>
    </row>
    <row r="313" spans="1:7" ht="15.75" customHeight="1">
      <c r="A313" s="23" t="str">
        <f t="shared" si="13"/>
        <v/>
      </c>
      <c r="B313" t="str">
        <f t="shared" si="14"/>
        <v/>
      </c>
      <c r="C313" s="23" t="str">
        <f t="shared" si="15"/>
        <v/>
      </c>
      <c r="E313" s="24" t="str">
        <f>IF(NOT(ISBLANK(G1copy!B313)),G1copy!B313,"")</f>
        <v/>
      </c>
      <c r="F313" s="24" t="str">
        <f>IF(E313&lt;&gt;"",G1copy!A313,"")</f>
        <v/>
      </c>
      <c r="G313" s="24" t="str">
        <f>IF(E313&lt;&gt;"",G1copy!F313,"")</f>
        <v/>
      </c>
    </row>
    <row r="314" spans="1:7" ht="15.75" customHeight="1">
      <c r="A314" s="23" t="str">
        <f t="shared" si="13"/>
        <v/>
      </c>
      <c r="B314" t="str">
        <f t="shared" si="14"/>
        <v/>
      </c>
      <c r="C314" s="23" t="str">
        <f t="shared" si="15"/>
        <v/>
      </c>
      <c r="E314" s="24" t="str">
        <f>IF(NOT(ISBLANK(G1copy!B314)),G1copy!B314,"")</f>
        <v/>
      </c>
      <c r="F314" s="24" t="str">
        <f>IF(E314&lt;&gt;"",G1copy!A314,"")</f>
        <v/>
      </c>
      <c r="G314" s="24" t="str">
        <f>IF(E314&lt;&gt;"",G1copy!F314,"")</f>
        <v/>
      </c>
    </row>
    <row r="315" spans="1:7" ht="15.75" customHeight="1">
      <c r="A315" s="23" t="str">
        <f t="shared" si="13"/>
        <v/>
      </c>
      <c r="B315" t="str">
        <f t="shared" si="14"/>
        <v/>
      </c>
      <c r="C315" s="23" t="str">
        <f t="shared" si="15"/>
        <v/>
      </c>
      <c r="E315" s="24" t="str">
        <f>IF(NOT(ISBLANK(G1copy!B315)),G1copy!B315,"")</f>
        <v/>
      </c>
      <c r="F315" s="24" t="str">
        <f>IF(E315&lt;&gt;"",G1copy!A315,"")</f>
        <v/>
      </c>
      <c r="G315" s="24" t="str">
        <f>IF(E315&lt;&gt;"",G1copy!F315,"")</f>
        <v/>
      </c>
    </row>
    <row r="316" spans="1:7" ht="15.75" customHeight="1">
      <c r="A316" s="23" t="str">
        <f t="shared" si="13"/>
        <v/>
      </c>
      <c r="B316" t="str">
        <f t="shared" si="14"/>
        <v/>
      </c>
      <c r="C316" s="23" t="str">
        <f t="shared" si="15"/>
        <v/>
      </c>
      <c r="E316" s="24" t="str">
        <f>IF(NOT(ISBLANK(G1copy!B316)),G1copy!B316,"")</f>
        <v/>
      </c>
      <c r="F316" s="24" t="str">
        <f>IF(E316&lt;&gt;"",G1copy!A316,"")</f>
        <v/>
      </c>
      <c r="G316" s="24" t="str">
        <f>IF(E316&lt;&gt;"",G1copy!F316,"")</f>
        <v/>
      </c>
    </row>
    <row r="317" spans="1:7" ht="15.75" customHeight="1">
      <c r="A317" s="23" t="str">
        <f t="shared" si="13"/>
        <v/>
      </c>
      <c r="B317" t="str">
        <f t="shared" si="14"/>
        <v/>
      </c>
      <c r="C317" s="23" t="str">
        <f t="shared" si="15"/>
        <v/>
      </c>
      <c r="E317" s="24" t="str">
        <f>IF(NOT(ISBLANK(G1copy!B317)),G1copy!B317,"")</f>
        <v/>
      </c>
      <c r="F317" s="24" t="str">
        <f>IF(E317&lt;&gt;"",G1copy!A317,"")</f>
        <v/>
      </c>
      <c r="G317" s="24" t="str">
        <f>IF(E317&lt;&gt;"",G1copy!F317,"")</f>
        <v/>
      </c>
    </row>
    <row r="318" spans="1:7" ht="15.75" customHeight="1">
      <c r="A318" s="23" t="str">
        <f t="shared" si="13"/>
        <v/>
      </c>
      <c r="B318" t="str">
        <f t="shared" si="14"/>
        <v/>
      </c>
      <c r="C318" s="23" t="str">
        <f t="shared" si="15"/>
        <v/>
      </c>
      <c r="E318" s="24" t="str">
        <f>IF(NOT(ISBLANK(G1copy!B318)),G1copy!B318,"")</f>
        <v/>
      </c>
      <c r="F318" s="24" t="str">
        <f>IF(E318&lt;&gt;"",G1copy!A318,"")</f>
        <v/>
      </c>
      <c r="G318" s="24" t="str">
        <f>IF(E318&lt;&gt;"",G1copy!F318,"")</f>
        <v/>
      </c>
    </row>
    <row r="319" spans="1:7" ht="15.75" customHeight="1">
      <c r="A319" s="23" t="str">
        <f t="shared" si="13"/>
        <v/>
      </c>
      <c r="B319" t="str">
        <f t="shared" si="14"/>
        <v/>
      </c>
      <c r="C319" s="23" t="str">
        <f t="shared" si="15"/>
        <v/>
      </c>
      <c r="E319" s="24" t="str">
        <f>IF(NOT(ISBLANK(G1copy!B319)),G1copy!B319,"")</f>
        <v/>
      </c>
      <c r="F319" s="24" t="str">
        <f>IF(E319&lt;&gt;"",G1copy!A319,"")</f>
        <v/>
      </c>
      <c r="G319" s="24" t="str">
        <f>IF(E319&lt;&gt;"",G1copy!F319,"")</f>
        <v/>
      </c>
    </row>
    <row r="320" spans="1:7" ht="15.75" customHeight="1">
      <c r="A320" s="23" t="str">
        <f t="shared" si="13"/>
        <v/>
      </c>
      <c r="B320" t="str">
        <f t="shared" si="14"/>
        <v/>
      </c>
      <c r="C320" s="23" t="str">
        <f t="shared" si="15"/>
        <v/>
      </c>
      <c r="E320" s="24" t="str">
        <f>IF(NOT(ISBLANK(G1copy!B320)),G1copy!B320,"")</f>
        <v/>
      </c>
      <c r="F320" s="24" t="str">
        <f>IF(E320&lt;&gt;"",G1copy!A320,"")</f>
        <v/>
      </c>
      <c r="G320" s="24" t="str">
        <f>IF(E320&lt;&gt;"",G1copy!F320,"")</f>
        <v/>
      </c>
    </row>
    <row r="321" spans="1:7" ht="15.75" customHeight="1">
      <c r="A321" s="23" t="str">
        <f t="shared" si="13"/>
        <v/>
      </c>
      <c r="B321" t="str">
        <f t="shared" si="14"/>
        <v/>
      </c>
      <c r="C321" s="23" t="str">
        <f t="shared" si="15"/>
        <v/>
      </c>
      <c r="E321" s="24" t="str">
        <f>IF(NOT(ISBLANK(G1copy!B321)),G1copy!B321,"")</f>
        <v/>
      </c>
      <c r="F321" s="24" t="str">
        <f>IF(E321&lt;&gt;"",G1copy!A321,"")</f>
        <v/>
      </c>
      <c r="G321" s="24" t="str">
        <f>IF(E321&lt;&gt;"",G1copy!F321,"")</f>
        <v/>
      </c>
    </row>
    <row r="322" spans="1:7" ht="15.75" customHeight="1">
      <c r="A322" s="23" t="str">
        <f t="shared" si="13"/>
        <v/>
      </c>
      <c r="B322" t="str">
        <f t="shared" si="14"/>
        <v/>
      </c>
      <c r="C322" s="23" t="str">
        <f t="shared" si="15"/>
        <v/>
      </c>
      <c r="E322" s="24" t="str">
        <f>IF(NOT(ISBLANK(G1copy!B322)),G1copy!B322,"")</f>
        <v/>
      </c>
      <c r="F322" s="24" t="str">
        <f>IF(E322&lt;&gt;"",G1copy!A322,"")</f>
        <v/>
      </c>
      <c r="G322" s="24" t="str">
        <f>IF(E322&lt;&gt;"",G1copy!F322,"")</f>
        <v/>
      </c>
    </row>
    <row r="323" spans="1:7" ht="15.75" customHeight="1">
      <c r="A323" s="23" t="str">
        <f t="shared" ref="A323:A386" si="16">IF(E323&lt;&gt;"",DATEVALUE(LEFT(E323,10)),"")</f>
        <v/>
      </c>
      <c r="B323" t="str">
        <f t="shared" ref="B323:B386" si="17">IF(LEN(F323)&gt;3,RIGHT(F323,LEN(F323)-3),"")</f>
        <v/>
      </c>
      <c r="C323" s="23" t="str">
        <f t="shared" ref="C323:C386" si="18">IF(E323&lt;&gt;"",DATEVALUE(LEFT(G323,10)),"")</f>
        <v/>
      </c>
      <c r="E323" s="24" t="str">
        <f>IF(NOT(ISBLANK(G1copy!B323)),G1copy!B323,"")</f>
        <v/>
      </c>
      <c r="F323" s="24" t="str">
        <f>IF(E323&lt;&gt;"",G1copy!A323,"")</f>
        <v/>
      </c>
      <c r="G323" s="24" t="str">
        <f>IF(E323&lt;&gt;"",G1copy!F323,"")</f>
        <v/>
      </c>
    </row>
    <row r="324" spans="1:7" ht="15.75" customHeight="1">
      <c r="A324" s="23" t="str">
        <f t="shared" si="16"/>
        <v/>
      </c>
      <c r="B324" t="str">
        <f t="shared" si="17"/>
        <v/>
      </c>
      <c r="C324" s="23" t="str">
        <f t="shared" si="18"/>
        <v/>
      </c>
      <c r="E324" s="24" t="str">
        <f>IF(NOT(ISBLANK(G1copy!B324)),G1copy!B324,"")</f>
        <v/>
      </c>
      <c r="F324" s="24" t="str">
        <f>IF(E324&lt;&gt;"",G1copy!A324,"")</f>
        <v/>
      </c>
      <c r="G324" s="24" t="str">
        <f>IF(E324&lt;&gt;"",G1copy!F324,"")</f>
        <v/>
      </c>
    </row>
    <row r="325" spans="1:7" ht="15.75" customHeight="1">
      <c r="A325" s="23" t="str">
        <f t="shared" si="16"/>
        <v/>
      </c>
      <c r="B325" t="str">
        <f t="shared" si="17"/>
        <v/>
      </c>
      <c r="C325" s="23" t="str">
        <f t="shared" si="18"/>
        <v/>
      </c>
      <c r="E325" s="24" t="str">
        <f>IF(NOT(ISBLANK(G1copy!B325)),G1copy!B325,"")</f>
        <v/>
      </c>
      <c r="F325" s="24" t="str">
        <f>IF(E325&lt;&gt;"",G1copy!A325,"")</f>
        <v/>
      </c>
      <c r="G325" s="24" t="str">
        <f>IF(E325&lt;&gt;"",G1copy!F325,"")</f>
        <v/>
      </c>
    </row>
    <row r="326" spans="1:7" ht="15.75" customHeight="1">
      <c r="A326" s="23" t="str">
        <f t="shared" si="16"/>
        <v/>
      </c>
      <c r="B326" t="str">
        <f t="shared" si="17"/>
        <v/>
      </c>
      <c r="C326" s="23" t="str">
        <f t="shared" si="18"/>
        <v/>
      </c>
      <c r="E326" s="24" t="str">
        <f>IF(NOT(ISBLANK(G1copy!B326)),G1copy!B326,"")</f>
        <v/>
      </c>
      <c r="F326" s="24" t="str">
        <f>IF(E326&lt;&gt;"",G1copy!A326,"")</f>
        <v/>
      </c>
      <c r="G326" s="24" t="str">
        <f>IF(E326&lt;&gt;"",G1copy!F326,"")</f>
        <v/>
      </c>
    </row>
    <row r="327" spans="1:7" ht="15.75" customHeight="1">
      <c r="A327" s="23" t="str">
        <f t="shared" si="16"/>
        <v/>
      </c>
      <c r="B327" t="str">
        <f t="shared" si="17"/>
        <v/>
      </c>
      <c r="C327" s="23" t="str">
        <f t="shared" si="18"/>
        <v/>
      </c>
      <c r="E327" s="24" t="str">
        <f>IF(NOT(ISBLANK(G1copy!B327)),G1copy!B327,"")</f>
        <v/>
      </c>
      <c r="F327" s="24" t="str">
        <f>IF(E327&lt;&gt;"",G1copy!A327,"")</f>
        <v/>
      </c>
      <c r="G327" s="24" t="str">
        <f>IF(E327&lt;&gt;"",G1copy!F327,"")</f>
        <v/>
      </c>
    </row>
    <row r="328" spans="1:7" ht="15.75" customHeight="1">
      <c r="A328" s="23" t="str">
        <f t="shared" si="16"/>
        <v/>
      </c>
      <c r="B328" t="str">
        <f t="shared" si="17"/>
        <v/>
      </c>
      <c r="C328" s="23" t="str">
        <f t="shared" si="18"/>
        <v/>
      </c>
      <c r="E328" s="24" t="str">
        <f>IF(NOT(ISBLANK(G1copy!B328)),G1copy!B328,"")</f>
        <v/>
      </c>
      <c r="F328" s="24" t="str">
        <f>IF(E328&lt;&gt;"",G1copy!A328,"")</f>
        <v/>
      </c>
      <c r="G328" s="24" t="str">
        <f>IF(E328&lt;&gt;"",G1copy!F328,"")</f>
        <v/>
      </c>
    </row>
    <row r="329" spans="1:7" ht="15.75" customHeight="1">
      <c r="A329" s="23" t="str">
        <f t="shared" si="16"/>
        <v/>
      </c>
      <c r="B329" t="str">
        <f t="shared" si="17"/>
        <v/>
      </c>
      <c r="C329" s="23" t="str">
        <f t="shared" si="18"/>
        <v/>
      </c>
      <c r="E329" s="24" t="str">
        <f>IF(NOT(ISBLANK(G1copy!B329)),G1copy!B329,"")</f>
        <v/>
      </c>
      <c r="F329" s="24" t="str">
        <f>IF(E329&lt;&gt;"",G1copy!A329,"")</f>
        <v/>
      </c>
      <c r="G329" s="24" t="str">
        <f>IF(E329&lt;&gt;"",G1copy!F329,"")</f>
        <v/>
      </c>
    </row>
    <row r="330" spans="1:7" ht="15.75" customHeight="1">
      <c r="A330" s="23" t="str">
        <f t="shared" si="16"/>
        <v/>
      </c>
      <c r="B330" t="str">
        <f t="shared" si="17"/>
        <v/>
      </c>
      <c r="C330" s="23" t="str">
        <f t="shared" si="18"/>
        <v/>
      </c>
      <c r="E330" s="24" t="str">
        <f>IF(NOT(ISBLANK(G1copy!B330)),G1copy!B330,"")</f>
        <v/>
      </c>
      <c r="F330" s="24" t="str">
        <f>IF(E330&lt;&gt;"",G1copy!A330,"")</f>
        <v/>
      </c>
      <c r="G330" s="24" t="str">
        <f>IF(E330&lt;&gt;"",G1copy!F330,"")</f>
        <v/>
      </c>
    </row>
    <row r="331" spans="1:7" ht="15.75" customHeight="1">
      <c r="A331" s="23" t="str">
        <f t="shared" si="16"/>
        <v/>
      </c>
      <c r="B331" t="str">
        <f t="shared" si="17"/>
        <v/>
      </c>
      <c r="C331" s="23" t="str">
        <f t="shared" si="18"/>
        <v/>
      </c>
      <c r="E331" s="24" t="str">
        <f>IF(NOT(ISBLANK(G1copy!B331)),G1copy!B331,"")</f>
        <v/>
      </c>
      <c r="F331" s="24" t="str">
        <f>IF(E331&lt;&gt;"",G1copy!A331,"")</f>
        <v/>
      </c>
      <c r="G331" s="24" t="str">
        <f>IF(E331&lt;&gt;"",G1copy!F331,"")</f>
        <v/>
      </c>
    </row>
    <row r="332" spans="1:7" ht="15.75" customHeight="1">
      <c r="A332" s="23" t="str">
        <f t="shared" si="16"/>
        <v/>
      </c>
      <c r="B332" t="str">
        <f t="shared" si="17"/>
        <v/>
      </c>
      <c r="C332" s="23" t="str">
        <f t="shared" si="18"/>
        <v/>
      </c>
      <c r="E332" s="24" t="str">
        <f>IF(NOT(ISBLANK(G1copy!B332)),G1copy!B332,"")</f>
        <v/>
      </c>
      <c r="F332" s="24" t="str">
        <f>IF(E332&lt;&gt;"",G1copy!A332,"")</f>
        <v/>
      </c>
      <c r="G332" s="24" t="str">
        <f>IF(E332&lt;&gt;"",G1copy!F332,"")</f>
        <v/>
      </c>
    </row>
    <row r="333" spans="1:7" ht="15.75" customHeight="1">
      <c r="A333" s="23" t="str">
        <f t="shared" si="16"/>
        <v/>
      </c>
      <c r="B333" t="str">
        <f t="shared" si="17"/>
        <v/>
      </c>
      <c r="C333" s="23" t="str">
        <f t="shared" si="18"/>
        <v/>
      </c>
      <c r="E333" s="24" t="str">
        <f>IF(NOT(ISBLANK(G1copy!B333)),G1copy!B333,"")</f>
        <v/>
      </c>
      <c r="F333" s="24" t="str">
        <f>IF(E333&lt;&gt;"",G1copy!A333,"")</f>
        <v/>
      </c>
      <c r="G333" s="24" t="str">
        <f>IF(E333&lt;&gt;"",G1copy!F333,"")</f>
        <v/>
      </c>
    </row>
    <row r="334" spans="1:7" ht="15.75" customHeight="1">
      <c r="A334" s="23" t="str">
        <f t="shared" si="16"/>
        <v/>
      </c>
      <c r="B334" t="str">
        <f t="shared" si="17"/>
        <v/>
      </c>
      <c r="C334" s="23" t="str">
        <f t="shared" si="18"/>
        <v/>
      </c>
      <c r="E334" s="24" t="str">
        <f>IF(NOT(ISBLANK(G1copy!B334)),G1copy!B334,"")</f>
        <v/>
      </c>
      <c r="F334" s="24" t="str">
        <f>IF(E334&lt;&gt;"",G1copy!A334,"")</f>
        <v/>
      </c>
      <c r="G334" s="24" t="str">
        <f>IF(E334&lt;&gt;"",G1copy!F334,"")</f>
        <v/>
      </c>
    </row>
    <row r="335" spans="1:7" ht="15.75" customHeight="1">
      <c r="A335" s="23" t="str">
        <f t="shared" si="16"/>
        <v/>
      </c>
      <c r="B335" t="str">
        <f t="shared" si="17"/>
        <v/>
      </c>
      <c r="C335" s="23" t="str">
        <f t="shared" si="18"/>
        <v/>
      </c>
      <c r="E335" s="24" t="str">
        <f>IF(NOT(ISBLANK(G1copy!B335)),G1copy!B335,"")</f>
        <v/>
      </c>
      <c r="F335" s="24" t="str">
        <f>IF(E335&lt;&gt;"",G1copy!A335,"")</f>
        <v/>
      </c>
      <c r="G335" s="24" t="str">
        <f>IF(E335&lt;&gt;"",G1copy!F335,"")</f>
        <v/>
      </c>
    </row>
    <row r="336" spans="1:7" ht="15.75" customHeight="1">
      <c r="A336" s="23" t="str">
        <f t="shared" si="16"/>
        <v/>
      </c>
      <c r="B336" t="str">
        <f t="shared" si="17"/>
        <v/>
      </c>
      <c r="C336" s="23" t="str">
        <f t="shared" si="18"/>
        <v/>
      </c>
      <c r="E336" s="24" t="str">
        <f>IF(NOT(ISBLANK(G1copy!B336)),G1copy!B336,"")</f>
        <v/>
      </c>
      <c r="F336" s="24" t="str">
        <f>IF(E336&lt;&gt;"",G1copy!A336,"")</f>
        <v/>
      </c>
      <c r="G336" s="24" t="str">
        <f>IF(E336&lt;&gt;"",G1copy!F336,"")</f>
        <v/>
      </c>
    </row>
    <row r="337" spans="1:7" ht="15.75" customHeight="1">
      <c r="A337" s="23" t="str">
        <f t="shared" si="16"/>
        <v/>
      </c>
      <c r="B337" t="str">
        <f t="shared" si="17"/>
        <v/>
      </c>
      <c r="C337" s="23" t="str">
        <f t="shared" si="18"/>
        <v/>
      </c>
      <c r="E337" s="24" t="str">
        <f>IF(NOT(ISBLANK(G1copy!B337)),G1copy!B337,"")</f>
        <v/>
      </c>
      <c r="F337" s="24" t="str">
        <f>IF(E337&lt;&gt;"",G1copy!A337,"")</f>
        <v/>
      </c>
      <c r="G337" s="24" t="str">
        <f>IF(E337&lt;&gt;"",G1copy!F337,"")</f>
        <v/>
      </c>
    </row>
    <row r="338" spans="1:7" ht="15.75" customHeight="1">
      <c r="A338" s="23" t="str">
        <f t="shared" si="16"/>
        <v/>
      </c>
      <c r="B338" t="str">
        <f t="shared" si="17"/>
        <v/>
      </c>
      <c r="C338" s="23" t="str">
        <f t="shared" si="18"/>
        <v/>
      </c>
      <c r="E338" s="24" t="str">
        <f>IF(NOT(ISBLANK(G1copy!B338)),G1copy!B338,"")</f>
        <v/>
      </c>
      <c r="F338" s="24" t="str">
        <f>IF(E338&lt;&gt;"",G1copy!A338,"")</f>
        <v/>
      </c>
      <c r="G338" s="24" t="str">
        <f>IF(E338&lt;&gt;"",G1copy!F338,"")</f>
        <v/>
      </c>
    </row>
    <row r="339" spans="1:7" ht="15.75" customHeight="1">
      <c r="A339" s="23" t="str">
        <f t="shared" si="16"/>
        <v/>
      </c>
      <c r="B339" t="str">
        <f t="shared" si="17"/>
        <v/>
      </c>
      <c r="C339" s="23" t="str">
        <f t="shared" si="18"/>
        <v/>
      </c>
      <c r="E339" s="24" t="str">
        <f>IF(NOT(ISBLANK(G1copy!B339)),G1copy!B339,"")</f>
        <v/>
      </c>
      <c r="F339" s="24" t="str">
        <f>IF(E339&lt;&gt;"",G1copy!A339,"")</f>
        <v/>
      </c>
      <c r="G339" s="24" t="str">
        <f>IF(E339&lt;&gt;"",G1copy!F339,"")</f>
        <v/>
      </c>
    </row>
    <row r="340" spans="1:7" ht="15.75" customHeight="1">
      <c r="A340" s="23" t="str">
        <f t="shared" si="16"/>
        <v/>
      </c>
      <c r="B340" t="str">
        <f t="shared" si="17"/>
        <v/>
      </c>
      <c r="C340" s="23" t="str">
        <f t="shared" si="18"/>
        <v/>
      </c>
      <c r="E340" s="24" t="str">
        <f>IF(NOT(ISBLANK(G1copy!B340)),G1copy!B340,"")</f>
        <v/>
      </c>
      <c r="F340" s="24" t="str">
        <f>IF(E340&lt;&gt;"",G1copy!A340,"")</f>
        <v/>
      </c>
      <c r="G340" s="24" t="str">
        <f>IF(E340&lt;&gt;"",G1copy!F340,"")</f>
        <v/>
      </c>
    </row>
    <row r="341" spans="1:7" ht="15.75" customHeight="1">
      <c r="A341" s="23" t="str">
        <f t="shared" si="16"/>
        <v/>
      </c>
      <c r="B341" t="str">
        <f t="shared" si="17"/>
        <v/>
      </c>
      <c r="C341" s="23" t="str">
        <f t="shared" si="18"/>
        <v/>
      </c>
      <c r="E341" s="24" t="str">
        <f>IF(NOT(ISBLANK(G1copy!B341)),G1copy!B341,"")</f>
        <v/>
      </c>
      <c r="F341" s="24" t="str">
        <f>IF(E341&lt;&gt;"",G1copy!A341,"")</f>
        <v/>
      </c>
      <c r="G341" s="24" t="str">
        <f>IF(E341&lt;&gt;"",G1copy!F341,"")</f>
        <v/>
      </c>
    </row>
    <row r="342" spans="1:7" ht="15.75" customHeight="1">
      <c r="A342" s="23" t="str">
        <f t="shared" si="16"/>
        <v/>
      </c>
      <c r="B342" t="str">
        <f t="shared" si="17"/>
        <v/>
      </c>
      <c r="C342" s="23" t="str">
        <f t="shared" si="18"/>
        <v/>
      </c>
      <c r="E342" s="24" t="str">
        <f>IF(NOT(ISBLANK(G1copy!B342)),G1copy!B342,"")</f>
        <v/>
      </c>
      <c r="F342" s="24" t="str">
        <f>IF(E342&lt;&gt;"",G1copy!A342,"")</f>
        <v/>
      </c>
      <c r="G342" s="24" t="str">
        <f>IF(E342&lt;&gt;"",G1copy!F342,"")</f>
        <v/>
      </c>
    </row>
    <row r="343" spans="1:7" ht="15.75" customHeight="1">
      <c r="A343" s="23" t="str">
        <f t="shared" si="16"/>
        <v/>
      </c>
      <c r="B343" t="str">
        <f t="shared" si="17"/>
        <v/>
      </c>
      <c r="C343" s="23" t="str">
        <f t="shared" si="18"/>
        <v/>
      </c>
      <c r="E343" s="24" t="str">
        <f>IF(NOT(ISBLANK(G1copy!B343)),G1copy!B343,"")</f>
        <v/>
      </c>
      <c r="F343" s="24" t="str">
        <f>IF(E343&lt;&gt;"",G1copy!A343,"")</f>
        <v/>
      </c>
      <c r="G343" s="24" t="str">
        <f>IF(E343&lt;&gt;"",G1copy!F343,"")</f>
        <v/>
      </c>
    </row>
    <row r="344" spans="1:7" ht="15.75" customHeight="1">
      <c r="A344" s="23" t="str">
        <f t="shared" si="16"/>
        <v/>
      </c>
      <c r="B344" t="str">
        <f t="shared" si="17"/>
        <v/>
      </c>
      <c r="C344" s="23" t="str">
        <f t="shared" si="18"/>
        <v/>
      </c>
      <c r="E344" s="24" t="str">
        <f>IF(NOT(ISBLANK(G1copy!B344)),G1copy!B344,"")</f>
        <v/>
      </c>
      <c r="F344" s="24" t="str">
        <f>IF(E344&lt;&gt;"",G1copy!A344,"")</f>
        <v/>
      </c>
      <c r="G344" s="24" t="str">
        <f>IF(E344&lt;&gt;"",G1copy!F344,"")</f>
        <v/>
      </c>
    </row>
    <row r="345" spans="1:7" ht="15.75" customHeight="1">
      <c r="A345" s="23" t="str">
        <f t="shared" si="16"/>
        <v/>
      </c>
      <c r="B345" t="str">
        <f t="shared" si="17"/>
        <v/>
      </c>
      <c r="C345" s="23" t="str">
        <f t="shared" si="18"/>
        <v/>
      </c>
      <c r="E345" s="24" t="str">
        <f>IF(NOT(ISBLANK(G1copy!B345)),G1copy!B345,"")</f>
        <v/>
      </c>
      <c r="F345" s="24" t="str">
        <f>IF(E345&lt;&gt;"",G1copy!A345,"")</f>
        <v/>
      </c>
      <c r="G345" s="24" t="str">
        <f>IF(E345&lt;&gt;"",G1copy!F345,"")</f>
        <v/>
      </c>
    </row>
    <row r="346" spans="1:7" ht="15.75" customHeight="1">
      <c r="A346" s="23" t="str">
        <f t="shared" si="16"/>
        <v/>
      </c>
      <c r="B346" t="str">
        <f t="shared" si="17"/>
        <v/>
      </c>
      <c r="C346" s="23" t="str">
        <f t="shared" si="18"/>
        <v/>
      </c>
      <c r="E346" s="24" t="str">
        <f>IF(NOT(ISBLANK(G1copy!B346)),G1copy!B346,"")</f>
        <v/>
      </c>
      <c r="F346" s="24" t="str">
        <f>IF(E346&lt;&gt;"",G1copy!A346,"")</f>
        <v/>
      </c>
      <c r="G346" s="24" t="str">
        <f>IF(E346&lt;&gt;"",G1copy!F346,"")</f>
        <v/>
      </c>
    </row>
    <row r="347" spans="1:7" ht="15.75" customHeight="1">
      <c r="A347" s="23" t="str">
        <f t="shared" si="16"/>
        <v/>
      </c>
      <c r="B347" t="str">
        <f t="shared" si="17"/>
        <v/>
      </c>
      <c r="C347" s="23" t="str">
        <f t="shared" si="18"/>
        <v/>
      </c>
      <c r="E347" s="24" t="str">
        <f>IF(NOT(ISBLANK(G1copy!B347)),G1copy!B347,"")</f>
        <v/>
      </c>
      <c r="F347" s="24" t="str">
        <f>IF(E347&lt;&gt;"",G1copy!A347,"")</f>
        <v/>
      </c>
      <c r="G347" s="24" t="str">
        <f>IF(E347&lt;&gt;"",G1copy!F347,"")</f>
        <v/>
      </c>
    </row>
    <row r="348" spans="1:7" ht="15.75" customHeight="1">
      <c r="A348" s="23" t="str">
        <f t="shared" si="16"/>
        <v/>
      </c>
      <c r="B348" t="str">
        <f t="shared" si="17"/>
        <v/>
      </c>
      <c r="C348" s="23" t="str">
        <f t="shared" si="18"/>
        <v/>
      </c>
      <c r="E348" s="24" t="str">
        <f>IF(NOT(ISBLANK(G1copy!B348)),G1copy!B348,"")</f>
        <v/>
      </c>
      <c r="F348" s="24" t="str">
        <f>IF(E348&lt;&gt;"",G1copy!A348,"")</f>
        <v/>
      </c>
      <c r="G348" s="24" t="str">
        <f>IF(E348&lt;&gt;"",G1copy!F348,"")</f>
        <v/>
      </c>
    </row>
    <row r="349" spans="1:7" ht="15.75" customHeight="1">
      <c r="A349" s="23" t="str">
        <f t="shared" si="16"/>
        <v/>
      </c>
      <c r="B349" t="str">
        <f t="shared" si="17"/>
        <v/>
      </c>
      <c r="C349" s="23" t="str">
        <f t="shared" si="18"/>
        <v/>
      </c>
      <c r="E349" s="24" t="str">
        <f>IF(NOT(ISBLANK(G1copy!B349)),G1copy!B349,"")</f>
        <v/>
      </c>
      <c r="F349" s="24" t="str">
        <f>IF(E349&lt;&gt;"",G1copy!A349,"")</f>
        <v/>
      </c>
      <c r="G349" s="24" t="str">
        <f>IF(E349&lt;&gt;"",G1copy!F349,"")</f>
        <v/>
      </c>
    </row>
    <row r="350" spans="1:7" ht="15.75" customHeight="1">
      <c r="A350" s="23" t="str">
        <f t="shared" si="16"/>
        <v/>
      </c>
      <c r="B350" t="str">
        <f t="shared" si="17"/>
        <v/>
      </c>
      <c r="C350" s="23" t="str">
        <f t="shared" si="18"/>
        <v/>
      </c>
      <c r="E350" s="24" t="str">
        <f>IF(NOT(ISBLANK(G1copy!B350)),G1copy!B350,"")</f>
        <v/>
      </c>
      <c r="F350" s="24" t="str">
        <f>IF(E350&lt;&gt;"",G1copy!A350,"")</f>
        <v/>
      </c>
      <c r="G350" s="24" t="str">
        <f>IF(E350&lt;&gt;"",G1copy!F350,"")</f>
        <v/>
      </c>
    </row>
    <row r="351" spans="1:7" ht="15.75" customHeight="1">
      <c r="A351" s="23" t="str">
        <f t="shared" si="16"/>
        <v/>
      </c>
      <c r="B351" t="str">
        <f t="shared" si="17"/>
        <v/>
      </c>
      <c r="C351" s="23" t="str">
        <f t="shared" si="18"/>
        <v/>
      </c>
      <c r="E351" s="24" t="str">
        <f>IF(NOT(ISBLANK(G1copy!B351)),G1copy!B351,"")</f>
        <v/>
      </c>
      <c r="F351" s="24" t="str">
        <f>IF(E351&lt;&gt;"",G1copy!A351,"")</f>
        <v/>
      </c>
      <c r="G351" s="24" t="str">
        <f>IF(E351&lt;&gt;"",G1copy!F351,"")</f>
        <v/>
      </c>
    </row>
    <row r="352" spans="1:7" ht="15.75" customHeight="1">
      <c r="A352" s="23" t="str">
        <f t="shared" si="16"/>
        <v/>
      </c>
      <c r="B352" t="str">
        <f t="shared" si="17"/>
        <v/>
      </c>
      <c r="C352" s="23" t="str">
        <f t="shared" si="18"/>
        <v/>
      </c>
      <c r="E352" s="24" t="str">
        <f>IF(NOT(ISBLANK(G1copy!B352)),G1copy!B352,"")</f>
        <v/>
      </c>
      <c r="F352" s="24" t="str">
        <f>IF(E352&lt;&gt;"",G1copy!A352,"")</f>
        <v/>
      </c>
      <c r="G352" s="24" t="str">
        <f>IF(E352&lt;&gt;"",G1copy!F352,"")</f>
        <v/>
      </c>
    </row>
    <row r="353" spans="1:7" ht="15.75" customHeight="1">
      <c r="A353" s="23" t="str">
        <f t="shared" si="16"/>
        <v/>
      </c>
      <c r="B353" t="str">
        <f t="shared" si="17"/>
        <v/>
      </c>
      <c r="C353" s="23" t="str">
        <f t="shared" si="18"/>
        <v/>
      </c>
      <c r="E353" s="24" t="str">
        <f>IF(NOT(ISBLANK(G1copy!B353)),G1copy!B353,"")</f>
        <v/>
      </c>
      <c r="F353" s="24" t="str">
        <f>IF(E353&lt;&gt;"",G1copy!A353,"")</f>
        <v/>
      </c>
      <c r="G353" s="24" t="str">
        <f>IF(E353&lt;&gt;"",G1copy!F353,"")</f>
        <v/>
      </c>
    </row>
    <row r="354" spans="1:7" ht="15.75" customHeight="1">
      <c r="A354" s="23" t="str">
        <f t="shared" si="16"/>
        <v/>
      </c>
      <c r="B354" t="str">
        <f t="shared" si="17"/>
        <v/>
      </c>
      <c r="C354" s="23" t="str">
        <f t="shared" si="18"/>
        <v/>
      </c>
      <c r="E354" s="24" t="str">
        <f>IF(NOT(ISBLANK(G1copy!B354)),G1copy!B354,"")</f>
        <v/>
      </c>
      <c r="F354" s="24" t="str">
        <f>IF(E354&lt;&gt;"",G1copy!A354,"")</f>
        <v/>
      </c>
      <c r="G354" s="24" t="str">
        <f>IF(E354&lt;&gt;"",G1copy!F354,"")</f>
        <v/>
      </c>
    </row>
    <row r="355" spans="1:7" ht="15.75" customHeight="1">
      <c r="A355" s="23" t="str">
        <f t="shared" si="16"/>
        <v/>
      </c>
      <c r="B355" t="str">
        <f t="shared" si="17"/>
        <v/>
      </c>
      <c r="C355" s="23" t="str">
        <f t="shared" si="18"/>
        <v/>
      </c>
      <c r="E355" s="24" t="str">
        <f>IF(NOT(ISBLANK(G1copy!B355)),G1copy!B355,"")</f>
        <v/>
      </c>
      <c r="F355" s="24" t="str">
        <f>IF(E355&lt;&gt;"",G1copy!A355,"")</f>
        <v/>
      </c>
      <c r="G355" s="24" t="str">
        <f>IF(E355&lt;&gt;"",G1copy!F355,"")</f>
        <v/>
      </c>
    </row>
    <row r="356" spans="1:7" ht="15.75" customHeight="1">
      <c r="A356" s="23" t="str">
        <f t="shared" si="16"/>
        <v/>
      </c>
      <c r="B356" t="str">
        <f t="shared" si="17"/>
        <v/>
      </c>
      <c r="C356" s="23" t="str">
        <f t="shared" si="18"/>
        <v/>
      </c>
      <c r="E356" s="24" t="str">
        <f>IF(NOT(ISBLANK(G1copy!B356)),G1copy!B356,"")</f>
        <v/>
      </c>
      <c r="F356" s="24" t="str">
        <f>IF(E356&lt;&gt;"",G1copy!A356,"")</f>
        <v/>
      </c>
      <c r="G356" s="24" t="str">
        <f>IF(E356&lt;&gt;"",G1copy!F356,"")</f>
        <v/>
      </c>
    </row>
    <row r="357" spans="1:7" ht="15.75" customHeight="1">
      <c r="A357" s="23" t="str">
        <f t="shared" si="16"/>
        <v/>
      </c>
      <c r="B357" t="str">
        <f t="shared" si="17"/>
        <v/>
      </c>
      <c r="C357" s="23" t="str">
        <f t="shared" si="18"/>
        <v/>
      </c>
      <c r="E357" s="24" t="str">
        <f>IF(NOT(ISBLANK(G1copy!B357)),G1copy!B357,"")</f>
        <v/>
      </c>
      <c r="F357" s="24" t="str">
        <f>IF(E357&lt;&gt;"",G1copy!A357,"")</f>
        <v/>
      </c>
      <c r="G357" s="24" t="str">
        <f>IF(E357&lt;&gt;"",G1copy!F357,"")</f>
        <v/>
      </c>
    </row>
    <row r="358" spans="1:7" ht="15.75" customHeight="1">
      <c r="A358" s="23" t="str">
        <f t="shared" si="16"/>
        <v/>
      </c>
      <c r="B358" t="str">
        <f t="shared" si="17"/>
        <v/>
      </c>
      <c r="C358" s="23" t="str">
        <f t="shared" si="18"/>
        <v/>
      </c>
      <c r="E358" s="24" t="str">
        <f>IF(NOT(ISBLANK(G1copy!B358)),G1copy!B358,"")</f>
        <v/>
      </c>
      <c r="F358" s="24" t="str">
        <f>IF(E358&lt;&gt;"",G1copy!A358,"")</f>
        <v/>
      </c>
      <c r="G358" s="24" t="str">
        <f>IF(E358&lt;&gt;"",G1copy!F358,"")</f>
        <v/>
      </c>
    </row>
    <row r="359" spans="1:7" ht="15.75" customHeight="1">
      <c r="A359" s="23" t="str">
        <f t="shared" si="16"/>
        <v/>
      </c>
      <c r="B359" t="str">
        <f t="shared" si="17"/>
        <v/>
      </c>
      <c r="C359" s="23" t="str">
        <f t="shared" si="18"/>
        <v/>
      </c>
      <c r="E359" s="24" t="str">
        <f>IF(NOT(ISBLANK(G1copy!B359)),G1copy!B359,"")</f>
        <v/>
      </c>
      <c r="F359" s="24" t="str">
        <f>IF(E359&lt;&gt;"",G1copy!A359,"")</f>
        <v/>
      </c>
      <c r="G359" s="24" t="str">
        <f>IF(E359&lt;&gt;"",G1copy!F359,"")</f>
        <v/>
      </c>
    </row>
    <row r="360" spans="1:7" ht="15.75" customHeight="1">
      <c r="A360" s="23" t="str">
        <f t="shared" si="16"/>
        <v/>
      </c>
      <c r="B360" t="str">
        <f t="shared" si="17"/>
        <v/>
      </c>
      <c r="C360" s="23" t="str">
        <f t="shared" si="18"/>
        <v/>
      </c>
      <c r="E360" s="24" t="str">
        <f>IF(NOT(ISBLANK(G1copy!B360)),G1copy!B360,"")</f>
        <v/>
      </c>
      <c r="F360" s="24" t="str">
        <f>IF(E360&lt;&gt;"",G1copy!A360,"")</f>
        <v/>
      </c>
      <c r="G360" s="24" t="str">
        <f>IF(E360&lt;&gt;"",G1copy!F360,"")</f>
        <v/>
      </c>
    </row>
    <row r="361" spans="1:7" ht="15.75" customHeight="1">
      <c r="A361" s="23" t="str">
        <f t="shared" si="16"/>
        <v/>
      </c>
      <c r="B361" t="str">
        <f t="shared" si="17"/>
        <v/>
      </c>
      <c r="C361" s="23" t="str">
        <f t="shared" si="18"/>
        <v/>
      </c>
      <c r="E361" s="24" t="str">
        <f>IF(NOT(ISBLANK(G1copy!B361)),G1copy!B361,"")</f>
        <v/>
      </c>
      <c r="F361" s="24" t="str">
        <f>IF(E361&lt;&gt;"",G1copy!A361,"")</f>
        <v/>
      </c>
      <c r="G361" s="24" t="str">
        <f>IF(E361&lt;&gt;"",G1copy!F361,"")</f>
        <v/>
      </c>
    </row>
    <row r="362" spans="1:7" ht="15.75" customHeight="1">
      <c r="A362" s="23" t="str">
        <f t="shared" si="16"/>
        <v/>
      </c>
      <c r="B362" t="str">
        <f t="shared" si="17"/>
        <v/>
      </c>
      <c r="C362" s="23" t="str">
        <f t="shared" si="18"/>
        <v/>
      </c>
      <c r="E362" s="24" t="str">
        <f>IF(NOT(ISBLANK(G1copy!B362)),G1copy!B362,"")</f>
        <v/>
      </c>
      <c r="F362" s="24" t="str">
        <f>IF(E362&lt;&gt;"",G1copy!A362,"")</f>
        <v/>
      </c>
      <c r="G362" s="24" t="str">
        <f>IF(E362&lt;&gt;"",G1copy!F362,"")</f>
        <v/>
      </c>
    </row>
    <row r="363" spans="1:7" ht="15.75" customHeight="1">
      <c r="A363" s="23" t="str">
        <f t="shared" si="16"/>
        <v/>
      </c>
      <c r="B363" t="str">
        <f t="shared" si="17"/>
        <v/>
      </c>
      <c r="C363" s="23" t="str">
        <f t="shared" si="18"/>
        <v/>
      </c>
      <c r="E363" s="24" t="str">
        <f>IF(NOT(ISBLANK(G1copy!B363)),G1copy!B363,"")</f>
        <v/>
      </c>
      <c r="F363" s="24" t="str">
        <f>IF(E363&lt;&gt;"",G1copy!A363,"")</f>
        <v/>
      </c>
      <c r="G363" s="24" t="str">
        <f>IF(E363&lt;&gt;"",G1copy!F363,"")</f>
        <v/>
      </c>
    </row>
    <row r="364" spans="1:7" ht="15.75" customHeight="1">
      <c r="A364" s="23" t="str">
        <f t="shared" si="16"/>
        <v/>
      </c>
      <c r="B364" t="str">
        <f t="shared" si="17"/>
        <v/>
      </c>
      <c r="C364" s="23" t="str">
        <f t="shared" si="18"/>
        <v/>
      </c>
      <c r="E364" s="24" t="str">
        <f>IF(NOT(ISBLANK(G1copy!B364)),G1copy!B364,"")</f>
        <v/>
      </c>
      <c r="F364" s="24" t="str">
        <f>IF(E364&lt;&gt;"",G1copy!A364,"")</f>
        <v/>
      </c>
      <c r="G364" s="24" t="str">
        <f>IF(E364&lt;&gt;"",G1copy!F364,"")</f>
        <v/>
      </c>
    </row>
    <row r="365" spans="1:7" ht="15.75" customHeight="1">
      <c r="A365" s="23" t="str">
        <f t="shared" si="16"/>
        <v/>
      </c>
      <c r="B365" t="str">
        <f t="shared" si="17"/>
        <v/>
      </c>
      <c r="C365" s="23" t="str">
        <f t="shared" si="18"/>
        <v/>
      </c>
      <c r="E365" s="24" t="str">
        <f>IF(NOT(ISBLANK(G1copy!B365)),G1copy!B365,"")</f>
        <v/>
      </c>
      <c r="F365" s="24" t="str">
        <f>IF(E365&lt;&gt;"",G1copy!A365,"")</f>
        <v/>
      </c>
      <c r="G365" s="24" t="str">
        <f>IF(E365&lt;&gt;"",G1copy!F365,"")</f>
        <v/>
      </c>
    </row>
    <row r="366" spans="1:7" ht="15.75" customHeight="1">
      <c r="A366" s="23" t="str">
        <f t="shared" si="16"/>
        <v/>
      </c>
      <c r="B366" t="str">
        <f t="shared" si="17"/>
        <v/>
      </c>
      <c r="C366" s="23" t="str">
        <f t="shared" si="18"/>
        <v/>
      </c>
      <c r="E366" s="24" t="str">
        <f>IF(NOT(ISBLANK(G1copy!B366)),G1copy!B366,"")</f>
        <v/>
      </c>
      <c r="F366" s="24" t="str">
        <f>IF(E366&lt;&gt;"",G1copy!A366,"")</f>
        <v/>
      </c>
      <c r="G366" s="24" t="str">
        <f>IF(E366&lt;&gt;"",G1copy!F366,"")</f>
        <v/>
      </c>
    </row>
    <row r="367" spans="1:7" ht="15.75" customHeight="1">
      <c r="A367" s="23" t="str">
        <f t="shared" si="16"/>
        <v/>
      </c>
      <c r="B367" t="str">
        <f t="shared" si="17"/>
        <v/>
      </c>
      <c r="C367" s="23" t="str">
        <f t="shared" si="18"/>
        <v/>
      </c>
      <c r="E367" s="24" t="str">
        <f>IF(NOT(ISBLANK(G1copy!B367)),G1copy!B367,"")</f>
        <v/>
      </c>
      <c r="F367" s="24" t="str">
        <f>IF(E367&lt;&gt;"",G1copy!A367,"")</f>
        <v/>
      </c>
      <c r="G367" s="24" t="str">
        <f>IF(E367&lt;&gt;"",G1copy!F367,"")</f>
        <v/>
      </c>
    </row>
    <row r="368" spans="1:7" ht="15.75" customHeight="1">
      <c r="A368" s="23" t="str">
        <f t="shared" si="16"/>
        <v/>
      </c>
      <c r="B368" t="str">
        <f t="shared" si="17"/>
        <v/>
      </c>
      <c r="C368" s="23" t="str">
        <f t="shared" si="18"/>
        <v/>
      </c>
      <c r="E368" s="24" t="str">
        <f>IF(NOT(ISBLANK(G1copy!B368)),G1copy!B368,"")</f>
        <v/>
      </c>
      <c r="F368" s="24" t="str">
        <f>IF(E368&lt;&gt;"",G1copy!A368,"")</f>
        <v/>
      </c>
      <c r="G368" s="24" t="str">
        <f>IF(E368&lt;&gt;"",G1copy!F368,"")</f>
        <v/>
      </c>
    </row>
    <row r="369" spans="1:7" ht="15.75" customHeight="1">
      <c r="A369" s="23" t="str">
        <f t="shared" si="16"/>
        <v/>
      </c>
      <c r="B369" t="str">
        <f t="shared" si="17"/>
        <v/>
      </c>
      <c r="C369" s="23" t="str">
        <f t="shared" si="18"/>
        <v/>
      </c>
      <c r="E369" s="24" t="str">
        <f>IF(NOT(ISBLANK(G1copy!B369)),G1copy!B369,"")</f>
        <v/>
      </c>
      <c r="F369" s="24" t="str">
        <f>IF(E369&lt;&gt;"",G1copy!A369,"")</f>
        <v/>
      </c>
      <c r="G369" s="24" t="str">
        <f>IF(E369&lt;&gt;"",G1copy!F369,"")</f>
        <v/>
      </c>
    </row>
    <row r="370" spans="1:7" ht="15.75" customHeight="1">
      <c r="A370" s="23" t="str">
        <f t="shared" si="16"/>
        <v/>
      </c>
      <c r="B370" t="str">
        <f t="shared" si="17"/>
        <v/>
      </c>
      <c r="C370" s="23" t="str">
        <f t="shared" si="18"/>
        <v/>
      </c>
      <c r="E370" s="24" t="str">
        <f>IF(NOT(ISBLANK(G1copy!B370)),G1copy!B370,"")</f>
        <v/>
      </c>
      <c r="F370" s="24" t="str">
        <f>IF(E370&lt;&gt;"",G1copy!A370,"")</f>
        <v/>
      </c>
      <c r="G370" s="24" t="str">
        <f>IF(E370&lt;&gt;"",G1copy!F370,"")</f>
        <v/>
      </c>
    </row>
    <row r="371" spans="1:7" ht="15.75" customHeight="1">
      <c r="A371" s="23" t="str">
        <f t="shared" si="16"/>
        <v/>
      </c>
      <c r="B371" t="str">
        <f t="shared" si="17"/>
        <v/>
      </c>
      <c r="C371" s="23" t="str">
        <f t="shared" si="18"/>
        <v/>
      </c>
      <c r="E371" s="24" t="str">
        <f>IF(NOT(ISBLANK(G1copy!B371)),G1copy!B371,"")</f>
        <v/>
      </c>
      <c r="F371" s="24" t="str">
        <f>IF(E371&lt;&gt;"",G1copy!A371,"")</f>
        <v/>
      </c>
      <c r="G371" s="24" t="str">
        <f>IF(E371&lt;&gt;"",G1copy!F371,"")</f>
        <v/>
      </c>
    </row>
    <row r="372" spans="1:7" ht="15.75" customHeight="1">
      <c r="A372" s="23" t="str">
        <f t="shared" si="16"/>
        <v/>
      </c>
      <c r="B372" t="str">
        <f t="shared" si="17"/>
        <v/>
      </c>
      <c r="C372" s="23" t="str">
        <f t="shared" si="18"/>
        <v/>
      </c>
      <c r="E372" s="24" t="str">
        <f>IF(NOT(ISBLANK(G1copy!B372)),G1copy!B372,"")</f>
        <v/>
      </c>
      <c r="F372" s="24" t="str">
        <f>IF(E372&lt;&gt;"",G1copy!A372,"")</f>
        <v/>
      </c>
      <c r="G372" s="24" t="str">
        <f>IF(E372&lt;&gt;"",G1copy!F372,"")</f>
        <v/>
      </c>
    </row>
    <row r="373" spans="1:7" ht="15.75" customHeight="1">
      <c r="A373" s="23" t="str">
        <f t="shared" si="16"/>
        <v/>
      </c>
      <c r="B373" t="str">
        <f t="shared" si="17"/>
        <v/>
      </c>
      <c r="C373" s="23" t="str">
        <f t="shared" si="18"/>
        <v/>
      </c>
      <c r="E373" s="24" t="str">
        <f>IF(NOT(ISBLANK(G1copy!B373)),G1copy!B373,"")</f>
        <v/>
      </c>
      <c r="F373" s="24" t="str">
        <f>IF(E373&lt;&gt;"",G1copy!A373,"")</f>
        <v/>
      </c>
      <c r="G373" s="24" t="str">
        <f>IF(E373&lt;&gt;"",G1copy!F373,"")</f>
        <v/>
      </c>
    </row>
    <row r="374" spans="1:7" ht="15.75" customHeight="1">
      <c r="A374" s="23" t="str">
        <f t="shared" si="16"/>
        <v/>
      </c>
      <c r="B374" t="str">
        <f t="shared" si="17"/>
        <v/>
      </c>
      <c r="C374" s="23" t="str">
        <f t="shared" si="18"/>
        <v/>
      </c>
      <c r="E374" s="24" t="str">
        <f>IF(NOT(ISBLANK(G1copy!B374)),G1copy!B374,"")</f>
        <v/>
      </c>
      <c r="F374" s="24" t="str">
        <f>IF(E374&lt;&gt;"",G1copy!A374,"")</f>
        <v/>
      </c>
      <c r="G374" s="24" t="str">
        <f>IF(E374&lt;&gt;"",G1copy!F374,"")</f>
        <v/>
      </c>
    </row>
    <row r="375" spans="1:7" ht="15.75" customHeight="1">
      <c r="A375" s="23" t="str">
        <f t="shared" si="16"/>
        <v/>
      </c>
      <c r="B375" t="str">
        <f t="shared" si="17"/>
        <v/>
      </c>
      <c r="C375" s="23" t="str">
        <f t="shared" si="18"/>
        <v/>
      </c>
      <c r="E375" s="24" t="str">
        <f>IF(NOT(ISBLANK(G1copy!B375)),G1copy!B375,"")</f>
        <v/>
      </c>
      <c r="F375" s="24" t="str">
        <f>IF(E375&lt;&gt;"",G1copy!A375,"")</f>
        <v/>
      </c>
      <c r="G375" s="24" t="str">
        <f>IF(E375&lt;&gt;"",G1copy!F375,"")</f>
        <v/>
      </c>
    </row>
    <row r="376" spans="1:7" ht="15.75" customHeight="1">
      <c r="A376" s="23" t="str">
        <f t="shared" si="16"/>
        <v/>
      </c>
      <c r="B376" t="str">
        <f t="shared" si="17"/>
        <v/>
      </c>
      <c r="C376" s="23" t="str">
        <f t="shared" si="18"/>
        <v/>
      </c>
      <c r="E376" s="24" t="str">
        <f>IF(NOT(ISBLANK(G1copy!B376)),G1copy!B376,"")</f>
        <v/>
      </c>
      <c r="F376" s="24" t="str">
        <f>IF(E376&lt;&gt;"",G1copy!A376,"")</f>
        <v/>
      </c>
      <c r="G376" s="24" t="str">
        <f>IF(E376&lt;&gt;"",G1copy!F376,"")</f>
        <v/>
      </c>
    </row>
    <row r="377" spans="1:7" ht="15.75" customHeight="1">
      <c r="A377" s="23" t="str">
        <f t="shared" si="16"/>
        <v/>
      </c>
      <c r="B377" t="str">
        <f t="shared" si="17"/>
        <v/>
      </c>
      <c r="C377" s="23" t="str">
        <f t="shared" si="18"/>
        <v/>
      </c>
      <c r="E377" s="24" t="str">
        <f>IF(NOT(ISBLANK(G1copy!B377)),G1copy!B377,"")</f>
        <v/>
      </c>
      <c r="F377" s="24" t="str">
        <f>IF(E377&lt;&gt;"",G1copy!A377,"")</f>
        <v/>
      </c>
      <c r="G377" s="24" t="str">
        <f>IF(E377&lt;&gt;"",G1copy!F377,"")</f>
        <v/>
      </c>
    </row>
    <row r="378" spans="1:7" ht="15.75" customHeight="1">
      <c r="A378" s="23" t="str">
        <f t="shared" si="16"/>
        <v/>
      </c>
      <c r="B378" t="str">
        <f t="shared" si="17"/>
        <v/>
      </c>
      <c r="C378" s="23" t="str">
        <f t="shared" si="18"/>
        <v/>
      </c>
      <c r="E378" s="24" t="str">
        <f>IF(NOT(ISBLANK(G1copy!B378)),G1copy!B378,"")</f>
        <v/>
      </c>
      <c r="F378" s="24" t="str">
        <f>IF(E378&lt;&gt;"",G1copy!A378,"")</f>
        <v/>
      </c>
      <c r="G378" s="24" t="str">
        <f>IF(E378&lt;&gt;"",G1copy!F378,"")</f>
        <v/>
      </c>
    </row>
    <row r="379" spans="1:7" ht="15.75" customHeight="1">
      <c r="A379" s="23" t="str">
        <f t="shared" si="16"/>
        <v/>
      </c>
      <c r="B379" t="str">
        <f t="shared" si="17"/>
        <v/>
      </c>
      <c r="C379" s="23" t="str">
        <f t="shared" si="18"/>
        <v/>
      </c>
      <c r="E379" s="24" t="str">
        <f>IF(NOT(ISBLANK(G1copy!B379)),G1copy!B379,"")</f>
        <v/>
      </c>
      <c r="F379" s="24" t="str">
        <f>IF(E379&lt;&gt;"",G1copy!A379,"")</f>
        <v/>
      </c>
      <c r="G379" s="24" t="str">
        <f>IF(E379&lt;&gt;"",G1copy!F379,"")</f>
        <v/>
      </c>
    </row>
    <row r="380" spans="1:7" ht="15.75" customHeight="1">
      <c r="A380" s="23" t="str">
        <f t="shared" si="16"/>
        <v/>
      </c>
      <c r="B380" t="str">
        <f t="shared" si="17"/>
        <v/>
      </c>
      <c r="C380" s="23" t="str">
        <f t="shared" si="18"/>
        <v/>
      </c>
      <c r="E380" s="24" t="str">
        <f>IF(NOT(ISBLANK(G1copy!B380)),G1copy!B380,"")</f>
        <v/>
      </c>
      <c r="F380" s="24" t="str">
        <f>IF(E380&lt;&gt;"",G1copy!A380,"")</f>
        <v/>
      </c>
      <c r="G380" s="24" t="str">
        <f>IF(E380&lt;&gt;"",G1copy!F380,"")</f>
        <v/>
      </c>
    </row>
    <row r="381" spans="1:7" ht="15.75" customHeight="1">
      <c r="A381" s="23" t="str">
        <f t="shared" si="16"/>
        <v/>
      </c>
      <c r="B381" t="str">
        <f t="shared" si="17"/>
        <v/>
      </c>
      <c r="C381" s="23" t="str">
        <f t="shared" si="18"/>
        <v/>
      </c>
      <c r="E381" s="24" t="str">
        <f>IF(NOT(ISBLANK(G1copy!B381)),G1copy!B381,"")</f>
        <v/>
      </c>
      <c r="F381" s="24" t="str">
        <f>IF(E381&lt;&gt;"",G1copy!A381,"")</f>
        <v/>
      </c>
      <c r="G381" s="24" t="str">
        <f>IF(E381&lt;&gt;"",G1copy!F381,"")</f>
        <v/>
      </c>
    </row>
    <row r="382" spans="1:7" ht="15.75" customHeight="1">
      <c r="A382" s="23" t="str">
        <f t="shared" si="16"/>
        <v/>
      </c>
      <c r="B382" t="str">
        <f t="shared" si="17"/>
        <v/>
      </c>
      <c r="C382" s="23" t="str">
        <f t="shared" si="18"/>
        <v/>
      </c>
      <c r="E382" s="24" t="str">
        <f>IF(NOT(ISBLANK(G1copy!B382)),G1copy!B382,"")</f>
        <v/>
      </c>
      <c r="F382" s="24" t="str">
        <f>IF(E382&lt;&gt;"",G1copy!A382,"")</f>
        <v/>
      </c>
      <c r="G382" s="24" t="str">
        <f>IF(E382&lt;&gt;"",G1copy!F382,"")</f>
        <v/>
      </c>
    </row>
    <row r="383" spans="1:7" ht="15.75" customHeight="1">
      <c r="A383" s="23" t="str">
        <f t="shared" si="16"/>
        <v/>
      </c>
      <c r="B383" t="str">
        <f t="shared" si="17"/>
        <v/>
      </c>
      <c r="C383" s="23" t="str">
        <f t="shared" si="18"/>
        <v/>
      </c>
      <c r="E383" s="24" t="str">
        <f>IF(NOT(ISBLANK(G1copy!B383)),G1copy!B383,"")</f>
        <v/>
      </c>
      <c r="F383" s="24" t="str">
        <f>IF(E383&lt;&gt;"",G1copy!A383,"")</f>
        <v/>
      </c>
      <c r="G383" s="24" t="str">
        <f>IF(E383&lt;&gt;"",G1copy!F383,"")</f>
        <v/>
      </c>
    </row>
    <row r="384" spans="1:7" ht="15.75" customHeight="1">
      <c r="A384" s="23" t="str">
        <f t="shared" si="16"/>
        <v/>
      </c>
      <c r="B384" t="str">
        <f t="shared" si="17"/>
        <v/>
      </c>
      <c r="C384" s="23" t="str">
        <f t="shared" si="18"/>
        <v/>
      </c>
      <c r="E384" s="24" t="str">
        <f>IF(NOT(ISBLANK(G1copy!B384)),G1copy!B384,"")</f>
        <v/>
      </c>
      <c r="F384" s="24" t="str">
        <f>IF(E384&lt;&gt;"",G1copy!A384,"")</f>
        <v/>
      </c>
      <c r="G384" s="24" t="str">
        <f>IF(E384&lt;&gt;"",G1copy!F384,"")</f>
        <v/>
      </c>
    </row>
    <row r="385" spans="1:7" ht="15.75" customHeight="1">
      <c r="A385" s="23" t="str">
        <f t="shared" si="16"/>
        <v/>
      </c>
      <c r="B385" t="str">
        <f t="shared" si="17"/>
        <v/>
      </c>
      <c r="C385" s="23" t="str">
        <f t="shared" si="18"/>
        <v/>
      </c>
      <c r="E385" s="24" t="str">
        <f>IF(NOT(ISBLANK(G1copy!B385)),G1copy!B385,"")</f>
        <v/>
      </c>
      <c r="F385" s="24" t="str">
        <f>IF(E385&lt;&gt;"",G1copy!A385,"")</f>
        <v/>
      </c>
      <c r="G385" s="24" t="str">
        <f>IF(E385&lt;&gt;"",G1copy!F385,"")</f>
        <v/>
      </c>
    </row>
    <row r="386" spans="1:7" ht="15.75" customHeight="1">
      <c r="A386" s="23" t="str">
        <f t="shared" si="16"/>
        <v/>
      </c>
      <c r="B386" t="str">
        <f t="shared" si="17"/>
        <v/>
      </c>
      <c r="C386" s="23" t="str">
        <f t="shared" si="18"/>
        <v/>
      </c>
      <c r="E386" s="24" t="str">
        <f>IF(NOT(ISBLANK(G1copy!B386)),G1copy!B386,"")</f>
        <v/>
      </c>
      <c r="F386" s="24" t="str">
        <f>IF(E386&lt;&gt;"",G1copy!A386,"")</f>
        <v/>
      </c>
      <c r="G386" s="24" t="str">
        <f>IF(E386&lt;&gt;"",G1copy!F386,"")</f>
        <v/>
      </c>
    </row>
    <row r="387" spans="1:7" ht="15.75" customHeight="1">
      <c r="A387" s="23" t="str">
        <f t="shared" ref="A387:A450" si="19">IF(E387&lt;&gt;"",DATEVALUE(LEFT(E387,10)),"")</f>
        <v/>
      </c>
      <c r="B387" t="str">
        <f t="shared" ref="B387:B450" si="20">IF(LEN(F387)&gt;3,RIGHT(F387,LEN(F387)-3),"")</f>
        <v/>
      </c>
      <c r="C387" s="23" t="str">
        <f t="shared" ref="C387:C450" si="21">IF(E387&lt;&gt;"",DATEVALUE(LEFT(G387,10)),"")</f>
        <v/>
      </c>
      <c r="E387" s="24" t="str">
        <f>IF(NOT(ISBLANK(G1copy!B387)),G1copy!B387,"")</f>
        <v/>
      </c>
      <c r="F387" s="24" t="str">
        <f>IF(E387&lt;&gt;"",G1copy!A387,"")</f>
        <v/>
      </c>
      <c r="G387" s="24" t="str">
        <f>IF(E387&lt;&gt;"",G1copy!F387,"")</f>
        <v/>
      </c>
    </row>
    <row r="388" spans="1:7" ht="15.75" customHeight="1">
      <c r="A388" s="23" t="str">
        <f t="shared" si="19"/>
        <v/>
      </c>
      <c r="B388" t="str">
        <f t="shared" si="20"/>
        <v/>
      </c>
      <c r="C388" s="23" t="str">
        <f t="shared" si="21"/>
        <v/>
      </c>
      <c r="E388" s="24" t="str">
        <f>IF(NOT(ISBLANK(G1copy!B388)),G1copy!B388,"")</f>
        <v/>
      </c>
      <c r="F388" s="24" t="str">
        <f>IF(E388&lt;&gt;"",G1copy!A388,"")</f>
        <v/>
      </c>
      <c r="G388" s="24" t="str">
        <f>IF(E388&lt;&gt;"",G1copy!F388,"")</f>
        <v/>
      </c>
    </row>
    <row r="389" spans="1:7" ht="15.75" customHeight="1">
      <c r="A389" s="23" t="str">
        <f t="shared" si="19"/>
        <v/>
      </c>
      <c r="B389" t="str">
        <f t="shared" si="20"/>
        <v/>
      </c>
      <c r="C389" s="23" t="str">
        <f t="shared" si="21"/>
        <v/>
      </c>
      <c r="E389" s="24" t="str">
        <f>IF(NOT(ISBLANK(G1copy!B389)),G1copy!B389,"")</f>
        <v/>
      </c>
      <c r="F389" s="24" t="str">
        <f>IF(E389&lt;&gt;"",G1copy!A389,"")</f>
        <v/>
      </c>
      <c r="G389" s="24" t="str">
        <f>IF(E389&lt;&gt;"",G1copy!F389,"")</f>
        <v/>
      </c>
    </row>
    <row r="390" spans="1:7" ht="15.75" customHeight="1">
      <c r="A390" s="23" t="str">
        <f t="shared" si="19"/>
        <v/>
      </c>
      <c r="B390" t="str">
        <f t="shared" si="20"/>
        <v/>
      </c>
      <c r="C390" s="23" t="str">
        <f t="shared" si="21"/>
        <v/>
      </c>
      <c r="E390" s="24" t="str">
        <f>IF(NOT(ISBLANK(G1copy!B390)),G1copy!B390,"")</f>
        <v/>
      </c>
      <c r="F390" s="24" t="str">
        <f>IF(E390&lt;&gt;"",G1copy!A390,"")</f>
        <v/>
      </c>
      <c r="G390" s="24" t="str">
        <f>IF(E390&lt;&gt;"",G1copy!F390,"")</f>
        <v/>
      </c>
    </row>
    <row r="391" spans="1:7" ht="15.75" customHeight="1">
      <c r="A391" s="23" t="str">
        <f t="shared" si="19"/>
        <v/>
      </c>
      <c r="B391" t="str">
        <f t="shared" si="20"/>
        <v/>
      </c>
      <c r="C391" s="23" t="str">
        <f t="shared" si="21"/>
        <v/>
      </c>
      <c r="E391" s="24" t="str">
        <f>IF(NOT(ISBLANK(G1copy!B391)),G1copy!B391,"")</f>
        <v/>
      </c>
      <c r="F391" s="24" t="str">
        <f>IF(E391&lt;&gt;"",G1copy!A391,"")</f>
        <v/>
      </c>
      <c r="G391" s="24" t="str">
        <f>IF(E391&lt;&gt;"",G1copy!F391,"")</f>
        <v/>
      </c>
    </row>
    <row r="392" spans="1:7" ht="15.75" customHeight="1">
      <c r="A392" s="23" t="str">
        <f t="shared" si="19"/>
        <v/>
      </c>
      <c r="B392" t="str">
        <f t="shared" si="20"/>
        <v/>
      </c>
      <c r="C392" s="23" t="str">
        <f t="shared" si="21"/>
        <v/>
      </c>
      <c r="E392" s="24" t="str">
        <f>IF(NOT(ISBLANK(G1copy!B392)),G1copy!B392,"")</f>
        <v/>
      </c>
      <c r="F392" s="24" t="str">
        <f>IF(E392&lt;&gt;"",G1copy!A392,"")</f>
        <v/>
      </c>
      <c r="G392" s="24" t="str">
        <f>IF(E392&lt;&gt;"",G1copy!F392,"")</f>
        <v/>
      </c>
    </row>
    <row r="393" spans="1:7" ht="15.75" customHeight="1">
      <c r="A393" s="23" t="str">
        <f t="shared" si="19"/>
        <v/>
      </c>
      <c r="B393" t="str">
        <f t="shared" si="20"/>
        <v/>
      </c>
      <c r="C393" s="23" t="str">
        <f t="shared" si="21"/>
        <v/>
      </c>
      <c r="E393" s="24" t="str">
        <f>IF(NOT(ISBLANK(G1copy!B393)),G1copy!B393,"")</f>
        <v/>
      </c>
      <c r="F393" s="24" t="str">
        <f>IF(E393&lt;&gt;"",G1copy!A393,"")</f>
        <v/>
      </c>
      <c r="G393" s="24" t="str">
        <f>IF(E393&lt;&gt;"",G1copy!F393,"")</f>
        <v/>
      </c>
    </row>
    <row r="394" spans="1:7" ht="15.75" customHeight="1">
      <c r="A394" s="23" t="str">
        <f t="shared" si="19"/>
        <v/>
      </c>
      <c r="B394" t="str">
        <f t="shared" si="20"/>
        <v/>
      </c>
      <c r="C394" s="23" t="str">
        <f t="shared" si="21"/>
        <v/>
      </c>
      <c r="E394" s="24" t="str">
        <f>IF(NOT(ISBLANK(G1copy!B394)),G1copy!B394,"")</f>
        <v/>
      </c>
      <c r="F394" s="24" t="str">
        <f>IF(E394&lt;&gt;"",G1copy!A394,"")</f>
        <v/>
      </c>
      <c r="G394" s="24" t="str">
        <f>IF(E394&lt;&gt;"",G1copy!F394,"")</f>
        <v/>
      </c>
    </row>
    <row r="395" spans="1:7" ht="15.75" customHeight="1">
      <c r="A395" s="23" t="str">
        <f t="shared" si="19"/>
        <v/>
      </c>
      <c r="B395" t="str">
        <f t="shared" si="20"/>
        <v/>
      </c>
      <c r="C395" s="23" t="str">
        <f t="shared" si="21"/>
        <v/>
      </c>
      <c r="E395" s="24" t="str">
        <f>IF(NOT(ISBLANK(G1copy!B395)),G1copy!B395,"")</f>
        <v/>
      </c>
      <c r="F395" s="24" t="str">
        <f>IF(E395&lt;&gt;"",G1copy!A395,"")</f>
        <v/>
      </c>
      <c r="G395" s="24" t="str">
        <f>IF(E395&lt;&gt;"",G1copy!F395,"")</f>
        <v/>
      </c>
    </row>
    <row r="396" spans="1:7" ht="15.75" customHeight="1">
      <c r="A396" s="23" t="str">
        <f t="shared" si="19"/>
        <v/>
      </c>
      <c r="B396" t="str">
        <f t="shared" si="20"/>
        <v/>
      </c>
      <c r="C396" s="23" t="str">
        <f t="shared" si="21"/>
        <v/>
      </c>
      <c r="E396" s="24" t="str">
        <f>IF(NOT(ISBLANK(G1copy!B396)),G1copy!B396,"")</f>
        <v/>
      </c>
      <c r="F396" s="24" t="str">
        <f>IF(E396&lt;&gt;"",G1copy!A396,"")</f>
        <v/>
      </c>
      <c r="G396" s="24" t="str">
        <f>IF(E396&lt;&gt;"",G1copy!F396,"")</f>
        <v/>
      </c>
    </row>
    <row r="397" spans="1:7" ht="15.75" customHeight="1">
      <c r="A397" s="23" t="str">
        <f t="shared" si="19"/>
        <v/>
      </c>
      <c r="B397" t="str">
        <f t="shared" si="20"/>
        <v/>
      </c>
      <c r="C397" s="23" t="str">
        <f t="shared" si="21"/>
        <v/>
      </c>
      <c r="E397" s="24" t="str">
        <f>IF(NOT(ISBLANK(G1copy!B397)),G1copy!B397,"")</f>
        <v/>
      </c>
      <c r="F397" s="24" t="str">
        <f>IF(E397&lt;&gt;"",G1copy!A397,"")</f>
        <v/>
      </c>
      <c r="G397" s="24" t="str">
        <f>IF(E397&lt;&gt;"",G1copy!F397,"")</f>
        <v/>
      </c>
    </row>
    <row r="398" spans="1:7" ht="15.75" customHeight="1">
      <c r="A398" s="23" t="str">
        <f t="shared" si="19"/>
        <v/>
      </c>
      <c r="B398" t="str">
        <f t="shared" si="20"/>
        <v/>
      </c>
      <c r="C398" s="23" t="str">
        <f t="shared" si="21"/>
        <v/>
      </c>
      <c r="E398" s="24" t="str">
        <f>IF(NOT(ISBLANK(G1copy!B398)),G1copy!B398,"")</f>
        <v/>
      </c>
      <c r="F398" s="24" t="str">
        <f>IF(E398&lt;&gt;"",G1copy!A398,"")</f>
        <v/>
      </c>
      <c r="G398" s="24" t="str">
        <f>IF(E398&lt;&gt;"",G1copy!F398,"")</f>
        <v/>
      </c>
    </row>
    <row r="399" spans="1:7" ht="15.75" customHeight="1">
      <c r="A399" s="23" t="str">
        <f t="shared" si="19"/>
        <v/>
      </c>
      <c r="B399" t="str">
        <f t="shared" si="20"/>
        <v/>
      </c>
      <c r="C399" s="23" t="str">
        <f t="shared" si="21"/>
        <v/>
      </c>
      <c r="E399" s="24" t="str">
        <f>IF(NOT(ISBLANK(G1copy!B399)),G1copy!B399,"")</f>
        <v/>
      </c>
      <c r="F399" s="24" t="str">
        <f>IF(E399&lt;&gt;"",G1copy!A399,"")</f>
        <v/>
      </c>
      <c r="G399" s="24" t="str">
        <f>IF(E399&lt;&gt;"",G1copy!F399,"")</f>
        <v/>
      </c>
    </row>
    <row r="400" spans="1:7" ht="15.75" customHeight="1">
      <c r="A400" s="23" t="str">
        <f t="shared" si="19"/>
        <v/>
      </c>
      <c r="B400" t="str">
        <f t="shared" si="20"/>
        <v/>
      </c>
      <c r="C400" s="23" t="str">
        <f t="shared" si="21"/>
        <v/>
      </c>
      <c r="E400" s="24" t="str">
        <f>IF(NOT(ISBLANK(G1copy!B400)),G1copy!B400,"")</f>
        <v/>
      </c>
      <c r="F400" s="24" t="str">
        <f>IF(E400&lt;&gt;"",G1copy!A400,"")</f>
        <v/>
      </c>
      <c r="G400" s="24" t="str">
        <f>IF(E400&lt;&gt;"",G1copy!F400,"")</f>
        <v/>
      </c>
    </row>
    <row r="401" spans="1:7" ht="15.75" customHeight="1">
      <c r="A401" s="23" t="str">
        <f t="shared" si="19"/>
        <v/>
      </c>
      <c r="B401" t="str">
        <f t="shared" si="20"/>
        <v/>
      </c>
      <c r="C401" s="23" t="str">
        <f t="shared" si="21"/>
        <v/>
      </c>
      <c r="E401" s="24" t="str">
        <f>IF(NOT(ISBLANK(G1copy!B401)),G1copy!B401,"")</f>
        <v/>
      </c>
      <c r="F401" s="24" t="str">
        <f>IF(E401&lt;&gt;"",G1copy!A401,"")</f>
        <v/>
      </c>
      <c r="G401" s="24" t="str">
        <f>IF(E401&lt;&gt;"",G1copy!F401,"")</f>
        <v/>
      </c>
    </row>
    <row r="402" spans="1:7" ht="15.75" customHeight="1">
      <c r="A402" s="23" t="str">
        <f t="shared" si="19"/>
        <v/>
      </c>
      <c r="B402" t="str">
        <f t="shared" si="20"/>
        <v/>
      </c>
      <c r="C402" s="23" t="str">
        <f t="shared" si="21"/>
        <v/>
      </c>
      <c r="E402" s="24" t="str">
        <f>IF(NOT(ISBLANK(G1copy!B402)),G1copy!B402,"")</f>
        <v/>
      </c>
      <c r="F402" s="24" t="str">
        <f>IF(E402&lt;&gt;"",G1copy!A402,"")</f>
        <v/>
      </c>
      <c r="G402" s="24" t="str">
        <f>IF(E402&lt;&gt;"",G1copy!F402,"")</f>
        <v/>
      </c>
    </row>
    <row r="403" spans="1:7" ht="15.75" customHeight="1">
      <c r="A403" s="23" t="str">
        <f t="shared" si="19"/>
        <v/>
      </c>
      <c r="B403" t="str">
        <f t="shared" si="20"/>
        <v/>
      </c>
      <c r="C403" s="23" t="str">
        <f t="shared" si="21"/>
        <v/>
      </c>
      <c r="E403" s="24" t="str">
        <f>IF(NOT(ISBLANK(G1copy!B403)),G1copy!B403,"")</f>
        <v/>
      </c>
      <c r="F403" s="24" t="str">
        <f>IF(E403&lt;&gt;"",G1copy!A403,"")</f>
        <v/>
      </c>
      <c r="G403" s="24" t="str">
        <f>IF(E403&lt;&gt;"",G1copy!F403,"")</f>
        <v/>
      </c>
    </row>
    <row r="404" spans="1:7" ht="15.75" customHeight="1">
      <c r="A404" s="23" t="str">
        <f t="shared" si="19"/>
        <v/>
      </c>
      <c r="B404" t="str">
        <f t="shared" si="20"/>
        <v/>
      </c>
      <c r="C404" s="23" t="str">
        <f t="shared" si="21"/>
        <v/>
      </c>
      <c r="E404" s="24" t="str">
        <f>IF(NOT(ISBLANK(G1copy!B404)),G1copy!B404,"")</f>
        <v/>
      </c>
      <c r="F404" s="24" t="str">
        <f>IF(E404&lt;&gt;"",G1copy!A404,"")</f>
        <v/>
      </c>
      <c r="G404" s="24" t="str">
        <f>IF(E404&lt;&gt;"",G1copy!F404,"")</f>
        <v/>
      </c>
    </row>
    <row r="405" spans="1:7" ht="15.75" customHeight="1">
      <c r="A405" s="23" t="str">
        <f t="shared" si="19"/>
        <v/>
      </c>
      <c r="B405" t="str">
        <f t="shared" si="20"/>
        <v/>
      </c>
      <c r="C405" s="23" t="str">
        <f t="shared" si="21"/>
        <v/>
      </c>
      <c r="E405" s="24" t="str">
        <f>IF(NOT(ISBLANK(G1copy!B405)),G1copy!B405,"")</f>
        <v/>
      </c>
      <c r="F405" s="24" t="str">
        <f>IF(E405&lt;&gt;"",G1copy!A405,"")</f>
        <v/>
      </c>
      <c r="G405" s="24" t="str">
        <f>IF(E405&lt;&gt;"",G1copy!F405,"")</f>
        <v/>
      </c>
    </row>
    <row r="406" spans="1:7" ht="15.75" customHeight="1">
      <c r="A406" s="23" t="str">
        <f t="shared" si="19"/>
        <v/>
      </c>
      <c r="B406" t="str">
        <f t="shared" si="20"/>
        <v/>
      </c>
      <c r="C406" s="23" t="str">
        <f t="shared" si="21"/>
        <v/>
      </c>
      <c r="E406" s="24" t="str">
        <f>IF(NOT(ISBLANK(G1copy!B406)),G1copy!B406,"")</f>
        <v/>
      </c>
      <c r="F406" s="24" t="str">
        <f>IF(E406&lt;&gt;"",G1copy!A406,"")</f>
        <v/>
      </c>
      <c r="G406" s="24" t="str">
        <f>IF(E406&lt;&gt;"",G1copy!F406,"")</f>
        <v/>
      </c>
    </row>
    <row r="407" spans="1:7" ht="15.75" customHeight="1">
      <c r="A407" s="23" t="str">
        <f t="shared" si="19"/>
        <v/>
      </c>
      <c r="B407" t="str">
        <f t="shared" si="20"/>
        <v/>
      </c>
      <c r="C407" s="23" t="str">
        <f t="shared" si="21"/>
        <v/>
      </c>
      <c r="E407" s="24" t="str">
        <f>IF(NOT(ISBLANK(G1copy!B407)),G1copy!B407,"")</f>
        <v/>
      </c>
      <c r="F407" s="24" t="str">
        <f>IF(E407&lt;&gt;"",G1copy!A407,"")</f>
        <v/>
      </c>
      <c r="G407" s="24" t="str">
        <f>IF(E407&lt;&gt;"",G1copy!F407,"")</f>
        <v/>
      </c>
    </row>
    <row r="408" spans="1:7" ht="15.75" customHeight="1">
      <c r="A408" s="23" t="str">
        <f t="shared" si="19"/>
        <v/>
      </c>
      <c r="B408" t="str">
        <f t="shared" si="20"/>
        <v/>
      </c>
      <c r="C408" s="23" t="str">
        <f t="shared" si="21"/>
        <v/>
      </c>
      <c r="E408" s="24" t="str">
        <f>IF(NOT(ISBLANK(G1copy!B408)),G1copy!B408,"")</f>
        <v/>
      </c>
      <c r="F408" s="24" t="str">
        <f>IF(E408&lt;&gt;"",G1copy!A408,"")</f>
        <v/>
      </c>
      <c r="G408" s="24" t="str">
        <f>IF(E408&lt;&gt;"",G1copy!F408,"")</f>
        <v/>
      </c>
    </row>
    <row r="409" spans="1:7" ht="15.75" customHeight="1">
      <c r="A409" s="23" t="str">
        <f t="shared" si="19"/>
        <v/>
      </c>
      <c r="B409" t="str">
        <f t="shared" si="20"/>
        <v/>
      </c>
      <c r="C409" s="23" t="str">
        <f t="shared" si="21"/>
        <v/>
      </c>
      <c r="E409" s="24" t="str">
        <f>IF(NOT(ISBLANK(G1copy!B409)),G1copy!B409,"")</f>
        <v/>
      </c>
      <c r="F409" s="24" t="str">
        <f>IF(E409&lt;&gt;"",G1copy!A409,"")</f>
        <v/>
      </c>
      <c r="G409" s="24" t="str">
        <f>IF(E409&lt;&gt;"",G1copy!F409,"")</f>
        <v/>
      </c>
    </row>
    <row r="410" spans="1:7" ht="15.75" customHeight="1">
      <c r="A410" s="23" t="str">
        <f t="shared" si="19"/>
        <v/>
      </c>
      <c r="B410" t="str">
        <f t="shared" si="20"/>
        <v/>
      </c>
      <c r="C410" s="23" t="str">
        <f t="shared" si="21"/>
        <v/>
      </c>
      <c r="E410" s="24" t="str">
        <f>IF(NOT(ISBLANK(G1copy!B410)),G1copy!B410,"")</f>
        <v/>
      </c>
      <c r="F410" s="24" t="str">
        <f>IF(E410&lt;&gt;"",G1copy!A410,"")</f>
        <v/>
      </c>
      <c r="G410" s="24" t="str">
        <f>IF(E410&lt;&gt;"",G1copy!F410,"")</f>
        <v/>
      </c>
    </row>
    <row r="411" spans="1:7" ht="15.75" customHeight="1">
      <c r="A411" s="23" t="str">
        <f t="shared" si="19"/>
        <v/>
      </c>
      <c r="B411" t="str">
        <f t="shared" si="20"/>
        <v/>
      </c>
      <c r="C411" s="23" t="str">
        <f t="shared" si="21"/>
        <v/>
      </c>
      <c r="E411" s="24" t="str">
        <f>IF(NOT(ISBLANK(G1copy!B411)),G1copy!B411,"")</f>
        <v/>
      </c>
      <c r="F411" s="24" t="str">
        <f>IF(E411&lt;&gt;"",G1copy!A411,"")</f>
        <v/>
      </c>
      <c r="G411" s="24" t="str">
        <f>IF(E411&lt;&gt;"",G1copy!F411,"")</f>
        <v/>
      </c>
    </row>
    <row r="412" spans="1:7" ht="15.75" customHeight="1">
      <c r="A412" s="23" t="str">
        <f t="shared" si="19"/>
        <v/>
      </c>
      <c r="B412" t="str">
        <f t="shared" si="20"/>
        <v/>
      </c>
      <c r="C412" s="23" t="str">
        <f t="shared" si="21"/>
        <v/>
      </c>
      <c r="E412" s="24" t="str">
        <f>IF(NOT(ISBLANK(G1copy!B412)),G1copy!B412,"")</f>
        <v/>
      </c>
      <c r="F412" s="24" t="str">
        <f>IF(E412&lt;&gt;"",G1copy!A412,"")</f>
        <v/>
      </c>
      <c r="G412" s="24" t="str">
        <f>IF(E412&lt;&gt;"",G1copy!F412,"")</f>
        <v/>
      </c>
    </row>
    <row r="413" spans="1:7" ht="15.75" customHeight="1">
      <c r="A413" s="23" t="str">
        <f t="shared" si="19"/>
        <v/>
      </c>
      <c r="B413" t="str">
        <f t="shared" si="20"/>
        <v/>
      </c>
      <c r="C413" s="23" t="str">
        <f t="shared" si="21"/>
        <v/>
      </c>
      <c r="E413" s="24" t="str">
        <f>IF(NOT(ISBLANK(G1copy!B413)),G1copy!B413,"")</f>
        <v/>
      </c>
      <c r="F413" s="24" t="str">
        <f>IF(E413&lt;&gt;"",G1copy!A413,"")</f>
        <v/>
      </c>
      <c r="G413" s="24" t="str">
        <f>IF(E413&lt;&gt;"",G1copy!F413,"")</f>
        <v/>
      </c>
    </row>
    <row r="414" spans="1:7" ht="15.75" customHeight="1">
      <c r="A414" s="23" t="str">
        <f t="shared" si="19"/>
        <v/>
      </c>
      <c r="B414" t="str">
        <f t="shared" si="20"/>
        <v/>
      </c>
      <c r="C414" s="23" t="str">
        <f t="shared" si="21"/>
        <v/>
      </c>
      <c r="E414" s="24" t="str">
        <f>IF(NOT(ISBLANK(G1copy!B414)),G1copy!B414,"")</f>
        <v/>
      </c>
      <c r="F414" s="24" t="str">
        <f>IF(E414&lt;&gt;"",G1copy!A414,"")</f>
        <v/>
      </c>
      <c r="G414" s="24" t="str">
        <f>IF(E414&lt;&gt;"",G1copy!F414,"")</f>
        <v/>
      </c>
    </row>
    <row r="415" spans="1:7" ht="15.75" customHeight="1">
      <c r="A415" s="23" t="str">
        <f t="shared" si="19"/>
        <v/>
      </c>
      <c r="B415" t="str">
        <f t="shared" si="20"/>
        <v/>
      </c>
      <c r="C415" s="23" t="str">
        <f t="shared" si="21"/>
        <v/>
      </c>
      <c r="E415" s="24" t="str">
        <f>IF(NOT(ISBLANK(G1copy!B415)),G1copy!B415,"")</f>
        <v/>
      </c>
      <c r="F415" s="24" t="str">
        <f>IF(E415&lt;&gt;"",G1copy!A415,"")</f>
        <v/>
      </c>
      <c r="G415" s="24" t="str">
        <f>IF(E415&lt;&gt;"",G1copy!F415,"")</f>
        <v/>
      </c>
    </row>
    <row r="416" spans="1:7" ht="15.75" customHeight="1">
      <c r="A416" s="23" t="str">
        <f t="shared" si="19"/>
        <v/>
      </c>
      <c r="B416" t="str">
        <f t="shared" si="20"/>
        <v/>
      </c>
      <c r="C416" s="23" t="str">
        <f t="shared" si="21"/>
        <v/>
      </c>
      <c r="E416" s="24" t="str">
        <f>IF(NOT(ISBLANK(G1copy!B416)),G1copy!B416,"")</f>
        <v/>
      </c>
      <c r="F416" s="24" t="str">
        <f>IF(E416&lt;&gt;"",G1copy!A416,"")</f>
        <v/>
      </c>
      <c r="G416" s="24" t="str">
        <f>IF(E416&lt;&gt;"",G1copy!F416,"")</f>
        <v/>
      </c>
    </row>
    <row r="417" spans="1:7" ht="15.75" customHeight="1">
      <c r="A417" s="23" t="str">
        <f t="shared" si="19"/>
        <v/>
      </c>
      <c r="B417" t="str">
        <f t="shared" si="20"/>
        <v/>
      </c>
      <c r="C417" s="23" t="str">
        <f t="shared" si="21"/>
        <v/>
      </c>
      <c r="E417" s="24" t="str">
        <f>IF(NOT(ISBLANK(G1copy!B417)),G1copy!B417,"")</f>
        <v/>
      </c>
      <c r="F417" s="24" t="str">
        <f>IF(E417&lt;&gt;"",G1copy!A417,"")</f>
        <v/>
      </c>
      <c r="G417" s="24" t="str">
        <f>IF(E417&lt;&gt;"",G1copy!F417,"")</f>
        <v/>
      </c>
    </row>
    <row r="418" spans="1:7" ht="15.75" customHeight="1">
      <c r="A418" s="23" t="str">
        <f t="shared" si="19"/>
        <v/>
      </c>
      <c r="B418" t="str">
        <f t="shared" si="20"/>
        <v/>
      </c>
      <c r="C418" s="23" t="str">
        <f t="shared" si="21"/>
        <v/>
      </c>
      <c r="E418" s="24" t="str">
        <f>IF(NOT(ISBLANK(G1copy!B418)),G1copy!B418,"")</f>
        <v/>
      </c>
      <c r="F418" s="24" t="str">
        <f>IF(E418&lt;&gt;"",G1copy!A418,"")</f>
        <v/>
      </c>
      <c r="G418" s="24" t="str">
        <f>IF(E418&lt;&gt;"",G1copy!F418,"")</f>
        <v/>
      </c>
    </row>
    <row r="419" spans="1:7" ht="15.75" customHeight="1">
      <c r="A419" s="23" t="str">
        <f t="shared" si="19"/>
        <v/>
      </c>
      <c r="B419" t="str">
        <f t="shared" si="20"/>
        <v/>
      </c>
      <c r="C419" s="23" t="str">
        <f t="shared" si="21"/>
        <v/>
      </c>
      <c r="E419" s="24" t="str">
        <f>IF(NOT(ISBLANK(G1copy!B419)),G1copy!B419,"")</f>
        <v/>
      </c>
      <c r="F419" s="24" t="str">
        <f>IF(E419&lt;&gt;"",G1copy!A419,"")</f>
        <v/>
      </c>
      <c r="G419" s="24" t="str">
        <f>IF(E419&lt;&gt;"",G1copy!F419,"")</f>
        <v/>
      </c>
    </row>
    <row r="420" spans="1:7" ht="15.75" customHeight="1">
      <c r="A420" s="23" t="str">
        <f t="shared" si="19"/>
        <v/>
      </c>
      <c r="B420" t="str">
        <f t="shared" si="20"/>
        <v/>
      </c>
      <c r="C420" s="23" t="str">
        <f t="shared" si="21"/>
        <v/>
      </c>
      <c r="E420" s="24" t="str">
        <f>IF(NOT(ISBLANK(G1copy!B420)),G1copy!B420,"")</f>
        <v/>
      </c>
      <c r="F420" s="24" t="str">
        <f>IF(E420&lt;&gt;"",G1copy!A420,"")</f>
        <v/>
      </c>
      <c r="G420" s="24" t="str">
        <f>IF(E420&lt;&gt;"",G1copy!F420,"")</f>
        <v/>
      </c>
    </row>
    <row r="421" spans="1:7" ht="15.75" customHeight="1">
      <c r="A421" s="23" t="str">
        <f t="shared" si="19"/>
        <v/>
      </c>
      <c r="B421" t="str">
        <f t="shared" si="20"/>
        <v/>
      </c>
      <c r="C421" s="23" t="str">
        <f t="shared" si="21"/>
        <v/>
      </c>
      <c r="E421" s="24" t="str">
        <f>IF(NOT(ISBLANK(G1copy!B421)),G1copy!B421,"")</f>
        <v/>
      </c>
      <c r="F421" s="24" t="str">
        <f>IF(E421&lt;&gt;"",G1copy!A421,"")</f>
        <v/>
      </c>
      <c r="G421" s="24" t="str">
        <f>IF(E421&lt;&gt;"",G1copy!F421,"")</f>
        <v/>
      </c>
    </row>
    <row r="422" spans="1:7" ht="15.75" customHeight="1">
      <c r="A422" s="23" t="str">
        <f t="shared" si="19"/>
        <v/>
      </c>
      <c r="B422" t="str">
        <f t="shared" si="20"/>
        <v/>
      </c>
      <c r="C422" s="23" t="str">
        <f t="shared" si="21"/>
        <v/>
      </c>
      <c r="E422" s="24" t="str">
        <f>IF(NOT(ISBLANK(G1copy!B422)),G1copy!B422,"")</f>
        <v/>
      </c>
      <c r="F422" s="24" t="str">
        <f>IF(E422&lt;&gt;"",G1copy!A422,"")</f>
        <v/>
      </c>
      <c r="G422" s="24" t="str">
        <f>IF(E422&lt;&gt;"",G1copy!F422,"")</f>
        <v/>
      </c>
    </row>
    <row r="423" spans="1:7" ht="15.75" customHeight="1">
      <c r="A423" s="23" t="str">
        <f t="shared" si="19"/>
        <v/>
      </c>
      <c r="B423" t="str">
        <f t="shared" si="20"/>
        <v/>
      </c>
      <c r="C423" s="23" t="str">
        <f t="shared" si="21"/>
        <v/>
      </c>
      <c r="E423" s="24" t="str">
        <f>IF(NOT(ISBLANK(G1copy!B423)),G1copy!B423,"")</f>
        <v/>
      </c>
      <c r="F423" s="24" t="str">
        <f>IF(E423&lt;&gt;"",G1copy!A423,"")</f>
        <v/>
      </c>
      <c r="G423" s="24" t="str">
        <f>IF(E423&lt;&gt;"",G1copy!F423,"")</f>
        <v/>
      </c>
    </row>
    <row r="424" spans="1:7" ht="15.75" customHeight="1">
      <c r="A424" s="23" t="str">
        <f t="shared" si="19"/>
        <v/>
      </c>
      <c r="B424" t="str">
        <f t="shared" si="20"/>
        <v/>
      </c>
      <c r="C424" s="23" t="str">
        <f t="shared" si="21"/>
        <v/>
      </c>
      <c r="E424" s="24" t="str">
        <f>IF(NOT(ISBLANK(G1copy!B424)),G1copy!B424,"")</f>
        <v/>
      </c>
      <c r="F424" s="24" t="str">
        <f>IF(E424&lt;&gt;"",G1copy!A424,"")</f>
        <v/>
      </c>
      <c r="G424" s="24" t="str">
        <f>IF(E424&lt;&gt;"",G1copy!F424,"")</f>
        <v/>
      </c>
    </row>
    <row r="425" spans="1:7" ht="15.75" customHeight="1">
      <c r="A425" s="23" t="str">
        <f t="shared" si="19"/>
        <v/>
      </c>
      <c r="B425" t="str">
        <f t="shared" si="20"/>
        <v/>
      </c>
      <c r="C425" s="23" t="str">
        <f t="shared" si="21"/>
        <v/>
      </c>
      <c r="E425" s="24" t="str">
        <f>IF(NOT(ISBLANK(G1copy!B425)),G1copy!B425,"")</f>
        <v/>
      </c>
      <c r="F425" s="24" t="str">
        <f>IF(E425&lt;&gt;"",G1copy!A425,"")</f>
        <v/>
      </c>
      <c r="G425" s="24" t="str">
        <f>IF(E425&lt;&gt;"",G1copy!F425,"")</f>
        <v/>
      </c>
    </row>
    <row r="426" spans="1:7" ht="15.75" customHeight="1">
      <c r="A426" s="23" t="str">
        <f t="shared" si="19"/>
        <v/>
      </c>
      <c r="B426" t="str">
        <f t="shared" si="20"/>
        <v/>
      </c>
      <c r="C426" s="23" t="str">
        <f t="shared" si="21"/>
        <v/>
      </c>
      <c r="E426" s="24" t="str">
        <f>IF(NOT(ISBLANK(G1copy!B426)),G1copy!B426,"")</f>
        <v/>
      </c>
      <c r="F426" s="24" t="str">
        <f>IF(E426&lt;&gt;"",G1copy!A426,"")</f>
        <v/>
      </c>
      <c r="G426" s="24" t="str">
        <f>IF(E426&lt;&gt;"",G1copy!F426,"")</f>
        <v/>
      </c>
    </row>
    <row r="427" spans="1:7" ht="15.75" customHeight="1">
      <c r="A427" s="23" t="str">
        <f t="shared" si="19"/>
        <v/>
      </c>
      <c r="B427" t="str">
        <f t="shared" si="20"/>
        <v/>
      </c>
      <c r="C427" s="23" t="str">
        <f t="shared" si="21"/>
        <v/>
      </c>
      <c r="E427" s="24" t="str">
        <f>IF(NOT(ISBLANK(G1copy!B427)),G1copy!B427,"")</f>
        <v/>
      </c>
      <c r="F427" s="24" t="str">
        <f>IF(E427&lt;&gt;"",G1copy!A427,"")</f>
        <v/>
      </c>
      <c r="G427" s="24" t="str">
        <f>IF(E427&lt;&gt;"",G1copy!F427,"")</f>
        <v/>
      </c>
    </row>
    <row r="428" spans="1:7" ht="15.75" customHeight="1">
      <c r="A428" s="23" t="str">
        <f t="shared" si="19"/>
        <v/>
      </c>
      <c r="B428" t="str">
        <f t="shared" si="20"/>
        <v/>
      </c>
      <c r="C428" s="23" t="str">
        <f t="shared" si="21"/>
        <v/>
      </c>
      <c r="E428" s="24" t="str">
        <f>IF(NOT(ISBLANK(G1copy!B428)),G1copy!B428,"")</f>
        <v/>
      </c>
      <c r="F428" s="24" t="str">
        <f>IF(E428&lt;&gt;"",G1copy!A428,"")</f>
        <v/>
      </c>
      <c r="G428" s="24" t="str">
        <f>IF(E428&lt;&gt;"",G1copy!F428,"")</f>
        <v/>
      </c>
    </row>
    <row r="429" spans="1:7" ht="15.75" customHeight="1">
      <c r="A429" s="23" t="str">
        <f t="shared" si="19"/>
        <v/>
      </c>
      <c r="B429" t="str">
        <f t="shared" si="20"/>
        <v/>
      </c>
      <c r="C429" s="23" t="str">
        <f t="shared" si="21"/>
        <v/>
      </c>
      <c r="E429" s="24" t="str">
        <f>IF(NOT(ISBLANK(G1copy!B429)),G1copy!B429,"")</f>
        <v/>
      </c>
      <c r="F429" s="24" t="str">
        <f>IF(E429&lt;&gt;"",G1copy!A429,"")</f>
        <v/>
      </c>
      <c r="G429" s="24" t="str">
        <f>IF(E429&lt;&gt;"",G1copy!F429,"")</f>
        <v/>
      </c>
    </row>
    <row r="430" spans="1:7" ht="15.75" customHeight="1">
      <c r="A430" s="23" t="str">
        <f t="shared" si="19"/>
        <v/>
      </c>
      <c r="B430" t="str">
        <f t="shared" si="20"/>
        <v/>
      </c>
      <c r="C430" s="23" t="str">
        <f t="shared" si="21"/>
        <v/>
      </c>
      <c r="E430" s="24" t="str">
        <f>IF(NOT(ISBLANK(G1copy!B430)),G1copy!B430,"")</f>
        <v/>
      </c>
      <c r="F430" s="24" t="str">
        <f>IF(E430&lt;&gt;"",G1copy!A430,"")</f>
        <v/>
      </c>
      <c r="G430" s="24" t="str">
        <f>IF(E430&lt;&gt;"",G1copy!F430,"")</f>
        <v/>
      </c>
    </row>
    <row r="431" spans="1:7" ht="15.75" customHeight="1">
      <c r="A431" s="23" t="str">
        <f t="shared" si="19"/>
        <v/>
      </c>
      <c r="B431" t="str">
        <f t="shared" si="20"/>
        <v/>
      </c>
      <c r="C431" s="23" t="str">
        <f t="shared" si="21"/>
        <v/>
      </c>
      <c r="E431" s="24" t="str">
        <f>IF(NOT(ISBLANK(G1copy!B431)),G1copy!B431,"")</f>
        <v/>
      </c>
      <c r="F431" s="24" t="str">
        <f>IF(E431&lt;&gt;"",G1copy!A431,"")</f>
        <v/>
      </c>
      <c r="G431" s="24" t="str">
        <f>IF(E431&lt;&gt;"",G1copy!F431,"")</f>
        <v/>
      </c>
    </row>
    <row r="432" spans="1:7" ht="15.75" customHeight="1">
      <c r="A432" s="23" t="str">
        <f t="shared" si="19"/>
        <v/>
      </c>
      <c r="B432" t="str">
        <f t="shared" si="20"/>
        <v/>
      </c>
      <c r="C432" s="23" t="str">
        <f t="shared" si="21"/>
        <v/>
      </c>
      <c r="E432" s="24" t="str">
        <f>IF(NOT(ISBLANK(G1copy!B432)),G1copy!B432,"")</f>
        <v/>
      </c>
      <c r="F432" s="24" t="str">
        <f>IF(E432&lt;&gt;"",G1copy!A432,"")</f>
        <v/>
      </c>
      <c r="G432" s="24" t="str">
        <f>IF(E432&lt;&gt;"",G1copy!F432,"")</f>
        <v/>
      </c>
    </row>
    <row r="433" spans="1:7" ht="15.75" customHeight="1">
      <c r="A433" s="23" t="str">
        <f t="shared" si="19"/>
        <v/>
      </c>
      <c r="B433" t="str">
        <f t="shared" si="20"/>
        <v/>
      </c>
      <c r="C433" s="23" t="str">
        <f t="shared" si="21"/>
        <v/>
      </c>
      <c r="E433" s="24" t="str">
        <f>IF(NOT(ISBLANK(G1copy!B433)),G1copy!B433,"")</f>
        <v/>
      </c>
      <c r="F433" s="24" t="str">
        <f>IF(E433&lt;&gt;"",G1copy!A433,"")</f>
        <v/>
      </c>
      <c r="G433" s="24" t="str">
        <f>IF(E433&lt;&gt;"",G1copy!F433,"")</f>
        <v/>
      </c>
    </row>
    <row r="434" spans="1:7" ht="15.75" customHeight="1">
      <c r="A434" s="23" t="str">
        <f t="shared" si="19"/>
        <v/>
      </c>
      <c r="B434" t="str">
        <f t="shared" si="20"/>
        <v/>
      </c>
      <c r="C434" s="23" t="str">
        <f t="shared" si="21"/>
        <v/>
      </c>
      <c r="E434" s="24" t="str">
        <f>IF(NOT(ISBLANK(G1copy!B434)),G1copy!B434,"")</f>
        <v/>
      </c>
      <c r="F434" s="24" t="str">
        <f>IF(E434&lt;&gt;"",G1copy!A434,"")</f>
        <v/>
      </c>
      <c r="G434" s="24" t="str">
        <f>IF(E434&lt;&gt;"",G1copy!F434,"")</f>
        <v/>
      </c>
    </row>
    <row r="435" spans="1:7" ht="15.75" customHeight="1">
      <c r="A435" s="23" t="str">
        <f t="shared" si="19"/>
        <v/>
      </c>
      <c r="B435" t="str">
        <f t="shared" si="20"/>
        <v/>
      </c>
      <c r="C435" s="23" t="str">
        <f t="shared" si="21"/>
        <v/>
      </c>
      <c r="E435" s="24" t="str">
        <f>IF(NOT(ISBLANK(G1copy!B435)),G1copy!B435,"")</f>
        <v/>
      </c>
      <c r="F435" s="24" t="str">
        <f>IF(E435&lt;&gt;"",G1copy!A435,"")</f>
        <v/>
      </c>
      <c r="G435" s="24" t="str">
        <f>IF(E435&lt;&gt;"",G1copy!F435,"")</f>
        <v/>
      </c>
    </row>
    <row r="436" spans="1:7" ht="15.75" customHeight="1">
      <c r="A436" s="23" t="str">
        <f t="shared" si="19"/>
        <v/>
      </c>
      <c r="B436" t="str">
        <f t="shared" si="20"/>
        <v/>
      </c>
      <c r="C436" s="23" t="str">
        <f t="shared" si="21"/>
        <v/>
      </c>
      <c r="E436" s="24" t="str">
        <f>IF(NOT(ISBLANK(G1copy!B436)),G1copy!B436,"")</f>
        <v/>
      </c>
      <c r="F436" s="24" t="str">
        <f>IF(E436&lt;&gt;"",G1copy!A436,"")</f>
        <v/>
      </c>
      <c r="G436" s="24" t="str">
        <f>IF(E436&lt;&gt;"",G1copy!F436,"")</f>
        <v/>
      </c>
    </row>
    <row r="437" spans="1:7" ht="15.75" customHeight="1">
      <c r="A437" s="23" t="str">
        <f t="shared" si="19"/>
        <v/>
      </c>
      <c r="B437" t="str">
        <f t="shared" si="20"/>
        <v/>
      </c>
      <c r="C437" s="23" t="str">
        <f t="shared" si="21"/>
        <v/>
      </c>
      <c r="E437" s="24" t="str">
        <f>IF(NOT(ISBLANK(G1copy!B437)),G1copy!B437,"")</f>
        <v/>
      </c>
      <c r="F437" s="24" t="str">
        <f>IF(E437&lt;&gt;"",G1copy!A437,"")</f>
        <v/>
      </c>
      <c r="G437" s="24" t="str">
        <f>IF(E437&lt;&gt;"",G1copy!F437,"")</f>
        <v/>
      </c>
    </row>
    <row r="438" spans="1:7" ht="15.75" customHeight="1">
      <c r="A438" s="23" t="str">
        <f t="shared" si="19"/>
        <v/>
      </c>
      <c r="B438" t="str">
        <f t="shared" si="20"/>
        <v/>
      </c>
      <c r="C438" s="23" t="str">
        <f t="shared" si="21"/>
        <v/>
      </c>
      <c r="E438" s="24" t="str">
        <f>IF(NOT(ISBLANK(G1copy!B438)),G1copy!B438,"")</f>
        <v/>
      </c>
      <c r="F438" s="24" t="str">
        <f>IF(E438&lt;&gt;"",G1copy!A438,"")</f>
        <v/>
      </c>
      <c r="G438" s="24" t="str">
        <f>IF(E438&lt;&gt;"",G1copy!F438,"")</f>
        <v/>
      </c>
    </row>
    <row r="439" spans="1:7" ht="15.75" customHeight="1">
      <c r="A439" s="23" t="str">
        <f t="shared" si="19"/>
        <v/>
      </c>
      <c r="B439" t="str">
        <f t="shared" si="20"/>
        <v/>
      </c>
      <c r="C439" s="23" t="str">
        <f t="shared" si="21"/>
        <v/>
      </c>
      <c r="E439" s="24" t="str">
        <f>IF(NOT(ISBLANK(G1copy!B439)),G1copy!B439,"")</f>
        <v/>
      </c>
      <c r="F439" s="24" t="str">
        <f>IF(E439&lt;&gt;"",G1copy!A439,"")</f>
        <v/>
      </c>
      <c r="G439" s="24" t="str">
        <f>IF(E439&lt;&gt;"",G1copy!F439,"")</f>
        <v/>
      </c>
    </row>
    <row r="440" spans="1:7" ht="15.75" customHeight="1">
      <c r="A440" s="23" t="str">
        <f t="shared" si="19"/>
        <v/>
      </c>
      <c r="B440" t="str">
        <f t="shared" si="20"/>
        <v/>
      </c>
      <c r="C440" s="23" t="str">
        <f t="shared" si="21"/>
        <v/>
      </c>
      <c r="E440" s="24" t="str">
        <f>IF(NOT(ISBLANK(G1copy!B440)),G1copy!B440,"")</f>
        <v/>
      </c>
      <c r="F440" s="24" t="str">
        <f>IF(E440&lt;&gt;"",G1copy!A440,"")</f>
        <v/>
      </c>
      <c r="G440" s="24" t="str">
        <f>IF(E440&lt;&gt;"",G1copy!F440,"")</f>
        <v/>
      </c>
    </row>
    <row r="441" spans="1:7" ht="15.75" customHeight="1">
      <c r="A441" s="23" t="str">
        <f t="shared" si="19"/>
        <v/>
      </c>
      <c r="B441" t="str">
        <f t="shared" si="20"/>
        <v/>
      </c>
      <c r="C441" s="23" t="str">
        <f t="shared" si="21"/>
        <v/>
      </c>
      <c r="E441" s="24" t="str">
        <f>IF(NOT(ISBLANK(G1copy!B441)),G1copy!B441,"")</f>
        <v/>
      </c>
      <c r="F441" s="24" t="str">
        <f>IF(E441&lt;&gt;"",G1copy!A441,"")</f>
        <v/>
      </c>
      <c r="G441" s="24" t="str">
        <f>IF(E441&lt;&gt;"",G1copy!F441,"")</f>
        <v/>
      </c>
    </row>
    <row r="442" spans="1:7" ht="15.75" customHeight="1">
      <c r="A442" s="23" t="str">
        <f t="shared" si="19"/>
        <v/>
      </c>
      <c r="B442" t="str">
        <f t="shared" si="20"/>
        <v/>
      </c>
      <c r="C442" s="23" t="str">
        <f t="shared" si="21"/>
        <v/>
      </c>
      <c r="E442" s="24" t="str">
        <f>IF(NOT(ISBLANK(G1copy!B442)),G1copy!B442,"")</f>
        <v/>
      </c>
      <c r="F442" s="24" t="str">
        <f>IF(E442&lt;&gt;"",G1copy!A442,"")</f>
        <v/>
      </c>
      <c r="G442" s="24" t="str">
        <f>IF(E442&lt;&gt;"",G1copy!F442,"")</f>
        <v/>
      </c>
    </row>
    <row r="443" spans="1:7" ht="15.75" customHeight="1">
      <c r="A443" s="23" t="str">
        <f t="shared" si="19"/>
        <v/>
      </c>
      <c r="B443" t="str">
        <f t="shared" si="20"/>
        <v/>
      </c>
      <c r="C443" s="23" t="str">
        <f t="shared" si="21"/>
        <v/>
      </c>
      <c r="E443" s="24" t="str">
        <f>IF(NOT(ISBLANK(G1copy!B443)),G1copy!B443,"")</f>
        <v/>
      </c>
      <c r="F443" s="24" t="str">
        <f>IF(E443&lt;&gt;"",G1copy!A443,"")</f>
        <v/>
      </c>
      <c r="G443" s="24" t="str">
        <f>IF(E443&lt;&gt;"",G1copy!F443,"")</f>
        <v/>
      </c>
    </row>
    <row r="444" spans="1:7" ht="15.75" customHeight="1">
      <c r="A444" s="23" t="str">
        <f t="shared" si="19"/>
        <v/>
      </c>
      <c r="B444" t="str">
        <f t="shared" si="20"/>
        <v/>
      </c>
      <c r="C444" s="23" t="str">
        <f t="shared" si="21"/>
        <v/>
      </c>
      <c r="E444" s="24" t="str">
        <f>IF(NOT(ISBLANK(G1copy!B444)),G1copy!B444,"")</f>
        <v/>
      </c>
      <c r="F444" s="24" t="str">
        <f>IF(E444&lt;&gt;"",G1copy!A444,"")</f>
        <v/>
      </c>
      <c r="G444" s="24" t="str">
        <f>IF(E444&lt;&gt;"",G1copy!F444,"")</f>
        <v/>
      </c>
    </row>
    <row r="445" spans="1:7" ht="15.75" customHeight="1">
      <c r="A445" s="23" t="str">
        <f t="shared" si="19"/>
        <v/>
      </c>
      <c r="B445" t="str">
        <f t="shared" si="20"/>
        <v/>
      </c>
      <c r="C445" s="23" t="str">
        <f t="shared" si="21"/>
        <v/>
      </c>
      <c r="E445" s="24" t="str">
        <f>IF(NOT(ISBLANK(G1copy!B445)),G1copy!B445,"")</f>
        <v/>
      </c>
      <c r="F445" s="24" t="str">
        <f>IF(E445&lt;&gt;"",G1copy!A445,"")</f>
        <v/>
      </c>
      <c r="G445" s="24" t="str">
        <f>IF(E445&lt;&gt;"",G1copy!F445,"")</f>
        <v/>
      </c>
    </row>
    <row r="446" spans="1:7" ht="15.75" customHeight="1">
      <c r="A446" s="23" t="str">
        <f t="shared" si="19"/>
        <v/>
      </c>
      <c r="B446" t="str">
        <f t="shared" si="20"/>
        <v/>
      </c>
      <c r="C446" s="23" t="str">
        <f t="shared" si="21"/>
        <v/>
      </c>
      <c r="E446" s="24" t="str">
        <f>IF(NOT(ISBLANK(G1copy!B446)),G1copy!B446,"")</f>
        <v/>
      </c>
      <c r="F446" s="24" t="str">
        <f>IF(E446&lt;&gt;"",G1copy!A446,"")</f>
        <v/>
      </c>
      <c r="G446" s="24" t="str">
        <f>IF(E446&lt;&gt;"",G1copy!F446,"")</f>
        <v/>
      </c>
    </row>
    <row r="447" spans="1:7" ht="15.75" customHeight="1">
      <c r="A447" s="23" t="str">
        <f t="shared" si="19"/>
        <v/>
      </c>
      <c r="B447" t="str">
        <f t="shared" si="20"/>
        <v/>
      </c>
      <c r="C447" s="23" t="str">
        <f t="shared" si="21"/>
        <v/>
      </c>
      <c r="E447" s="24" t="str">
        <f>IF(NOT(ISBLANK(G1copy!B447)),G1copy!B447,"")</f>
        <v/>
      </c>
      <c r="F447" s="24" t="str">
        <f>IF(E447&lt;&gt;"",G1copy!A447,"")</f>
        <v/>
      </c>
      <c r="G447" s="24" t="str">
        <f>IF(E447&lt;&gt;"",G1copy!F447,"")</f>
        <v/>
      </c>
    </row>
    <row r="448" spans="1:7" ht="15.75" customHeight="1">
      <c r="A448" s="23" t="str">
        <f t="shared" si="19"/>
        <v/>
      </c>
      <c r="B448" t="str">
        <f t="shared" si="20"/>
        <v/>
      </c>
      <c r="C448" s="23" t="str">
        <f t="shared" si="21"/>
        <v/>
      </c>
      <c r="E448" s="24" t="str">
        <f>IF(NOT(ISBLANK(G1copy!B448)),G1copy!B448,"")</f>
        <v/>
      </c>
      <c r="F448" s="24" t="str">
        <f>IF(E448&lt;&gt;"",G1copy!A448,"")</f>
        <v/>
      </c>
      <c r="G448" s="24" t="str">
        <f>IF(E448&lt;&gt;"",G1copy!F448,"")</f>
        <v/>
      </c>
    </row>
    <row r="449" spans="1:7" ht="15.75" customHeight="1">
      <c r="A449" s="23" t="str">
        <f t="shared" si="19"/>
        <v/>
      </c>
      <c r="B449" t="str">
        <f t="shared" si="20"/>
        <v/>
      </c>
      <c r="C449" s="23" t="str">
        <f t="shared" si="21"/>
        <v/>
      </c>
      <c r="E449" s="24" t="str">
        <f>IF(NOT(ISBLANK(G1copy!B449)),G1copy!B449,"")</f>
        <v/>
      </c>
      <c r="F449" s="24" t="str">
        <f>IF(E449&lt;&gt;"",G1copy!A449,"")</f>
        <v/>
      </c>
      <c r="G449" s="24" t="str">
        <f>IF(E449&lt;&gt;"",G1copy!F449,"")</f>
        <v/>
      </c>
    </row>
    <row r="450" spans="1:7" ht="15.75" customHeight="1">
      <c r="A450" s="23" t="str">
        <f t="shared" si="19"/>
        <v/>
      </c>
      <c r="B450" t="str">
        <f t="shared" si="20"/>
        <v/>
      </c>
      <c r="C450" s="23" t="str">
        <f t="shared" si="21"/>
        <v/>
      </c>
      <c r="E450" s="24" t="str">
        <f>IF(NOT(ISBLANK(G1copy!B450)),G1copy!B450,"")</f>
        <v/>
      </c>
      <c r="F450" s="24" t="str">
        <f>IF(E450&lt;&gt;"",G1copy!A450,"")</f>
        <v/>
      </c>
      <c r="G450" s="24" t="str">
        <f>IF(E450&lt;&gt;"",G1copy!F450,"")</f>
        <v/>
      </c>
    </row>
    <row r="451" spans="1:7" ht="15.75" customHeight="1">
      <c r="A451" s="23" t="str">
        <f t="shared" ref="A451:A500" si="22">IF(E451&lt;&gt;"",DATEVALUE(LEFT(E451,10)),"")</f>
        <v/>
      </c>
      <c r="B451" t="str">
        <f t="shared" ref="B451:B500" si="23">IF(LEN(F451)&gt;3,RIGHT(F451,LEN(F451)-3),"")</f>
        <v/>
      </c>
      <c r="C451" s="23" t="str">
        <f t="shared" ref="C451:C500" si="24">IF(E451&lt;&gt;"",DATEVALUE(LEFT(G451,10)),"")</f>
        <v/>
      </c>
      <c r="E451" s="24" t="str">
        <f>IF(NOT(ISBLANK(G1copy!B451)),G1copy!B451,"")</f>
        <v/>
      </c>
      <c r="F451" s="24" t="str">
        <f>IF(E451&lt;&gt;"",G1copy!A451,"")</f>
        <v/>
      </c>
      <c r="G451" s="24" t="str">
        <f>IF(E451&lt;&gt;"",G1copy!F451,"")</f>
        <v/>
      </c>
    </row>
    <row r="452" spans="1:7" ht="15.75" customHeight="1">
      <c r="A452" s="23" t="str">
        <f t="shared" si="22"/>
        <v/>
      </c>
      <c r="B452" t="str">
        <f t="shared" si="23"/>
        <v/>
      </c>
      <c r="C452" s="23" t="str">
        <f t="shared" si="24"/>
        <v/>
      </c>
      <c r="E452" s="24" t="str">
        <f>IF(NOT(ISBLANK(G1copy!B452)),G1copy!B452,"")</f>
        <v/>
      </c>
      <c r="F452" s="24" t="str">
        <f>IF(E452&lt;&gt;"",G1copy!A452,"")</f>
        <v/>
      </c>
      <c r="G452" s="24" t="str">
        <f>IF(E452&lt;&gt;"",G1copy!F452,"")</f>
        <v/>
      </c>
    </row>
    <row r="453" spans="1:7" ht="15.75" customHeight="1">
      <c r="A453" s="23" t="str">
        <f t="shared" si="22"/>
        <v/>
      </c>
      <c r="B453" t="str">
        <f t="shared" si="23"/>
        <v/>
      </c>
      <c r="C453" s="23" t="str">
        <f t="shared" si="24"/>
        <v/>
      </c>
      <c r="E453" s="24" t="str">
        <f>IF(NOT(ISBLANK(G1copy!B453)),G1copy!B453,"")</f>
        <v/>
      </c>
      <c r="F453" s="24" t="str">
        <f>IF(E453&lt;&gt;"",G1copy!A453,"")</f>
        <v/>
      </c>
      <c r="G453" s="24" t="str">
        <f>IF(E453&lt;&gt;"",G1copy!F453,"")</f>
        <v/>
      </c>
    </row>
    <row r="454" spans="1:7" ht="15.75" customHeight="1">
      <c r="A454" s="23" t="str">
        <f t="shared" si="22"/>
        <v/>
      </c>
      <c r="B454" t="str">
        <f t="shared" si="23"/>
        <v/>
      </c>
      <c r="C454" s="23" t="str">
        <f t="shared" si="24"/>
        <v/>
      </c>
      <c r="E454" s="24" t="str">
        <f>IF(NOT(ISBLANK(G1copy!B454)),G1copy!B454,"")</f>
        <v/>
      </c>
      <c r="F454" s="24" t="str">
        <f>IF(E454&lt;&gt;"",G1copy!A454,"")</f>
        <v/>
      </c>
      <c r="G454" s="24" t="str">
        <f>IF(E454&lt;&gt;"",G1copy!F454,"")</f>
        <v/>
      </c>
    </row>
    <row r="455" spans="1:7" ht="15.75" customHeight="1">
      <c r="A455" s="23" t="str">
        <f t="shared" si="22"/>
        <v/>
      </c>
      <c r="B455" t="str">
        <f t="shared" si="23"/>
        <v/>
      </c>
      <c r="C455" s="23" t="str">
        <f t="shared" si="24"/>
        <v/>
      </c>
      <c r="E455" s="24" t="str">
        <f>IF(NOT(ISBLANK(G1copy!B455)),G1copy!B455,"")</f>
        <v/>
      </c>
      <c r="F455" s="24" t="str">
        <f>IF(E455&lt;&gt;"",G1copy!A455,"")</f>
        <v/>
      </c>
      <c r="G455" s="24" t="str">
        <f>IF(E455&lt;&gt;"",G1copy!F455,"")</f>
        <v/>
      </c>
    </row>
    <row r="456" spans="1:7" ht="15.75" customHeight="1">
      <c r="A456" s="23" t="str">
        <f t="shared" si="22"/>
        <v/>
      </c>
      <c r="B456" t="str">
        <f t="shared" si="23"/>
        <v/>
      </c>
      <c r="C456" s="23" t="str">
        <f t="shared" si="24"/>
        <v/>
      </c>
      <c r="E456" s="24" t="str">
        <f>IF(NOT(ISBLANK(G1copy!B456)),G1copy!B456,"")</f>
        <v/>
      </c>
      <c r="F456" s="24" t="str">
        <f>IF(E456&lt;&gt;"",G1copy!A456,"")</f>
        <v/>
      </c>
      <c r="G456" s="24" t="str">
        <f>IF(E456&lt;&gt;"",G1copy!F456,"")</f>
        <v/>
      </c>
    </row>
    <row r="457" spans="1:7" ht="15.75" customHeight="1">
      <c r="A457" s="23" t="str">
        <f t="shared" si="22"/>
        <v/>
      </c>
      <c r="B457" t="str">
        <f t="shared" si="23"/>
        <v/>
      </c>
      <c r="C457" s="23" t="str">
        <f t="shared" si="24"/>
        <v/>
      </c>
      <c r="E457" s="24" t="str">
        <f>IF(NOT(ISBLANK(G1copy!B457)),G1copy!B457,"")</f>
        <v/>
      </c>
      <c r="F457" s="24" t="str">
        <f>IF(E457&lt;&gt;"",G1copy!A457,"")</f>
        <v/>
      </c>
      <c r="G457" s="24" t="str">
        <f>IF(E457&lt;&gt;"",G1copy!F457,"")</f>
        <v/>
      </c>
    </row>
    <row r="458" spans="1:7" ht="15.75" customHeight="1">
      <c r="A458" s="23" t="str">
        <f t="shared" si="22"/>
        <v/>
      </c>
      <c r="B458" t="str">
        <f t="shared" si="23"/>
        <v/>
      </c>
      <c r="C458" s="23" t="str">
        <f t="shared" si="24"/>
        <v/>
      </c>
      <c r="E458" s="24" t="str">
        <f>IF(NOT(ISBLANK(G1copy!B458)),G1copy!B458,"")</f>
        <v/>
      </c>
      <c r="F458" s="24" t="str">
        <f>IF(E458&lt;&gt;"",G1copy!A458,"")</f>
        <v/>
      </c>
      <c r="G458" s="24" t="str">
        <f>IF(E458&lt;&gt;"",G1copy!F458,"")</f>
        <v/>
      </c>
    </row>
    <row r="459" spans="1:7" ht="15.75" customHeight="1">
      <c r="A459" s="23" t="str">
        <f t="shared" si="22"/>
        <v/>
      </c>
      <c r="B459" t="str">
        <f t="shared" si="23"/>
        <v/>
      </c>
      <c r="C459" s="23" t="str">
        <f t="shared" si="24"/>
        <v/>
      </c>
      <c r="E459" s="24" t="str">
        <f>IF(NOT(ISBLANK(G1copy!B459)),G1copy!B459,"")</f>
        <v/>
      </c>
      <c r="F459" s="24" t="str">
        <f>IF(E459&lt;&gt;"",G1copy!A459,"")</f>
        <v/>
      </c>
      <c r="G459" s="24" t="str">
        <f>IF(E459&lt;&gt;"",G1copy!F459,"")</f>
        <v/>
      </c>
    </row>
    <row r="460" spans="1:7" ht="15.75" customHeight="1">
      <c r="A460" s="23" t="str">
        <f t="shared" si="22"/>
        <v/>
      </c>
      <c r="B460" t="str">
        <f t="shared" si="23"/>
        <v/>
      </c>
      <c r="C460" s="23" t="str">
        <f t="shared" si="24"/>
        <v/>
      </c>
      <c r="E460" s="24" t="str">
        <f>IF(NOT(ISBLANK(G1copy!B460)),G1copy!B460,"")</f>
        <v/>
      </c>
      <c r="F460" s="24" t="str">
        <f>IF(E460&lt;&gt;"",G1copy!A460,"")</f>
        <v/>
      </c>
      <c r="G460" s="24" t="str">
        <f>IF(E460&lt;&gt;"",G1copy!F460,"")</f>
        <v/>
      </c>
    </row>
    <row r="461" spans="1:7" ht="15.75" customHeight="1">
      <c r="A461" s="23" t="str">
        <f t="shared" si="22"/>
        <v/>
      </c>
      <c r="B461" t="str">
        <f t="shared" si="23"/>
        <v/>
      </c>
      <c r="C461" s="23" t="str">
        <f t="shared" si="24"/>
        <v/>
      </c>
      <c r="E461" s="24" t="str">
        <f>IF(NOT(ISBLANK(G1copy!B461)),G1copy!B461,"")</f>
        <v/>
      </c>
      <c r="F461" s="24" t="str">
        <f>IF(E461&lt;&gt;"",G1copy!A461,"")</f>
        <v/>
      </c>
      <c r="G461" s="24" t="str">
        <f>IF(E461&lt;&gt;"",G1copy!F461,"")</f>
        <v/>
      </c>
    </row>
    <row r="462" spans="1:7" ht="15.75" customHeight="1">
      <c r="A462" s="23" t="str">
        <f t="shared" si="22"/>
        <v/>
      </c>
      <c r="B462" t="str">
        <f t="shared" si="23"/>
        <v/>
      </c>
      <c r="C462" s="23" t="str">
        <f t="shared" si="24"/>
        <v/>
      </c>
      <c r="E462" s="24" t="str">
        <f>IF(NOT(ISBLANK(G1copy!B462)),G1copy!B462,"")</f>
        <v/>
      </c>
      <c r="F462" s="24" t="str">
        <f>IF(E462&lt;&gt;"",G1copy!A462,"")</f>
        <v/>
      </c>
      <c r="G462" s="24" t="str">
        <f>IF(E462&lt;&gt;"",G1copy!F462,"")</f>
        <v/>
      </c>
    </row>
    <row r="463" spans="1:7" ht="15.75" customHeight="1">
      <c r="A463" s="23" t="str">
        <f t="shared" si="22"/>
        <v/>
      </c>
      <c r="B463" t="str">
        <f t="shared" si="23"/>
        <v/>
      </c>
      <c r="C463" s="23" t="str">
        <f t="shared" si="24"/>
        <v/>
      </c>
      <c r="E463" s="24" t="str">
        <f>IF(NOT(ISBLANK(G1copy!B463)),G1copy!B463,"")</f>
        <v/>
      </c>
      <c r="F463" s="24" t="str">
        <f>IF(E463&lt;&gt;"",G1copy!A463,"")</f>
        <v/>
      </c>
      <c r="G463" s="24" t="str">
        <f>IF(E463&lt;&gt;"",G1copy!F463,"")</f>
        <v/>
      </c>
    </row>
    <row r="464" spans="1:7" ht="15.75" customHeight="1">
      <c r="A464" s="23" t="str">
        <f t="shared" si="22"/>
        <v/>
      </c>
      <c r="B464" t="str">
        <f t="shared" si="23"/>
        <v/>
      </c>
      <c r="C464" s="23" t="str">
        <f t="shared" si="24"/>
        <v/>
      </c>
      <c r="E464" s="24" t="str">
        <f>IF(NOT(ISBLANK(G1copy!B464)),G1copy!B464,"")</f>
        <v/>
      </c>
      <c r="F464" s="24" t="str">
        <f>IF(E464&lt;&gt;"",G1copy!A464,"")</f>
        <v/>
      </c>
      <c r="G464" s="24" t="str">
        <f>IF(E464&lt;&gt;"",G1copy!F464,"")</f>
        <v/>
      </c>
    </row>
    <row r="465" spans="1:7" ht="15.75" customHeight="1">
      <c r="A465" s="23" t="str">
        <f t="shared" si="22"/>
        <v/>
      </c>
      <c r="B465" t="str">
        <f t="shared" si="23"/>
        <v/>
      </c>
      <c r="C465" s="23" t="str">
        <f t="shared" si="24"/>
        <v/>
      </c>
      <c r="E465" s="24" t="str">
        <f>IF(NOT(ISBLANK(G1copy!B465)),G1copy!B465,"")</f>
        <v/>
      </c>
      <c r="F465" s="24" t="str">
        <f>IF(E465&lt;&gt;"",G1copy!A465,"")</f>
        <v/>
      </c>
      <c r="G465" s="24" t="str">
        <f>IF(E465&lt;&gt;"",G1copy!F465,"")</f>
        <v/>
      </c>
    </row>
    <row r="466" spans="1:7" ht="15.75" customHeight="1">
      <c r="A466" s="23" t="str">
        <f t="shared" si="22"/>
        <v/>
      </c>
      <c r="B466" t="str">
        <f t="shared" si="23"/>
        <v/>
      </c>
      <c r="C466" s="23" t="str">
        <f t="shared" si="24"/>
        <v/>
      </c>
      <c r="E466" s="24" t="str">
        <f>IF(NOT(ISBLANK(G1copy!B466)),G1copy!B466,"")</f>
        <v/>
      </c>
      <c r="F466" s="24" t="str">
        <f>IF(E466&lt;&gt;"",G1copy!A466,"")</f>
        <v/>
      </c>
      <c r="G466" s="24" t="str">
        <f>IF(E466&lt;&gt;"",G1copy!F466,"")</f>
        <v/>
      </c>
    </row>
    <row r="467" spans="1:7" ht="15.75" customHeight="1">
      <c r="A467" s="23" t="str">
        <f t="shared" si="22"/>
        <v/>
      </c>
      <c r="B467" t="str">
        <f t="shared" si="23"/>
        <v/>
      </c>
      <c r="C467" s="23" t="str">
        <f t="shared" si="24"/>
        <v/>
      </c>
      <c r="E467" s="24" t="str">
        <f>IF(NOT(ISBLANK(G1copy!B467)),G1copy!B467,"")</f>
        <v/>
      </c>
      <c r="F467" s="24" t="str">
        <f>IF(E467&lt;&gt;"",G1copy!A467,"")</f>
        <v/>
      </c>
      <c r="G467" s="24" t="str">
        <f>IF(E467&lt;&gt;"",G1copy!F467,"")</f>
        <v/>
      </c>
    </row>
    <row r="468" spans="1:7" ht="15.75" customHeight="1">
      <c r="A468" s="23" t="str">
        <f t="shared" si="22"/>
        <v/>
      </c>
      <c r="B468" t="str">
        <f t="shared" si="23"/>
        <v/>
      </c>
      <c r="C468" s="23" t="str">
        <f t="shared" si="24"/>
        <v/>
      </c>
      <c r="E468" s="24" t="str">
        <f>IF(NOT(ISBLANK(G1copy!B468)),G1copy!B468,"")</f>
        <v/>
      </c>
      <c r="F468" s="24" t="str">
        <f>IF(E468&lt;&gt;"",G1copy!A468,"")</f>
        <v/>
      </c>
      <c r="G468" s="24" t="str">
        <f>IF(E468&lt;&gt;"",G1copy!F468,"")</f>
        <v/>
      </c>
    </row>
    <row r="469" spans="1:7" ht="15.75" customHeight="1">
      <c r="A469" s="23" t="str">
        <f t="shared" si="22"/>
        <v/>
      </c>
      <c r="B469" t="str">
        <f t="shared" si="23"/>
        <v/>
      </c>
      <c r="C469" s="23" t="str">
        <f t="shared" si="24"/>
        <v/>
      </c>
      <c r="E469" s="24" t="str">
        <f>IF(NOT(ISBLANK(G1copy!B469)),G1copy!B469,"")</f>
        <v/>
      </c>
      <c r="F469" s="24" t="str">
        <f>IF(E469&lt;&gt;"",G1copy!A469,"")</f>
        <v/>
      </c>
      <c r="G469" s="24" t="str">
        <f>IF(E469&lt;&gt;"",G1copy!F469,"")</f>
        <v/>
      </c>
    </row>
    <row r="470" spans="1:7" ht="15.75" customHeight="1">
      <c r="A470" s="23" t="str">
        <f t="shared" si="22"/>
        <v/>
      </c>
      <c r="B470" t="str">
        <f t="shared" si="23"/>
        <v/>
      </c>
      <c r="C470" s="23" t="str">
        <f t="shared" si="24"/>
        <v/>
      </c>
      <c r="E470" s="24" t="str">
        <f>IF(NOT(ISBLANK(G1copy!B470)),G1copy!B470,"")</f>
        <v/>
      </c>
      <c r="F470" s="24" t="str">
        <f>IF(E470&lt;&gt;"",G1copy!A470,"")</f>
        <v/>
      </c>
      <c r="G470" s="24" t="str">
        <f>IF(E470&lt;&gt;"",G1copy!F470,"")</f>
        <v/>
      </c>
    </row>
    <row r="471" spans="1:7" ht="15.75" customHeight="1">
      <c r="A471" s="23" t="str">
        <f t="shared" si="22"/>
        <v/>
      </c>
      <c r="B471" t="str">
        <f t="shared" si="23"/>
        <v/>
      </c>
      <c r="C471" s="23" t="str">
        <f t="shared" si="24"/>
        <v/>
      </c>
      <c r="E471" s="24" t="str">
        <f>IF(NOT(ISBLANK(G1copy!B471)),G1copy!B471,"")</f>
        <v/>
      </c>
      <c r="F471" s="24" t="str">
        <f>IF(E471&lt;&gt;"",G1copy!A471,"")</f>
        <v/>
      </c>
      <c r="G471" s="24" t="str">
        <f>IF(E471&lt;&gt;"",G1copy!F471,"")</f>
        <v/>
      </c>
    </row>
    <row r="472" spans="1:7" ht="15.75" customHeight="1">
      <c r="A472" s="23" t="str">
        <f t="shared" si="22"/>
        <v/>
      </c>
      <c r="B472" t="str">
        <f t="shared" si="23"/>
        <v/>
      </c>
      <c r="C472" s="23" t="str">
        <f t="shared" si="24"/>
        <v/>
      </c>
      <c r="E472" s="24" t="str">
        <f>IF(NOT(ISBLANK(G1copy!B472)),G1copy!B472,"")</f>
        <v/>
      </c>
      <c r="F472" s="24" t="str">
        <f>IF(E472&lt;&gt;"",G1copy!A472,"")</f>
        <v/>
      </c>
      <c r="G472" s="24" t="str">
        <f>IF(E472&lt;&gt;"",G1copy!F472,"")</f>
        <v/>
      </c>
    </row>
    <row r="473" spans="1:7" ht="15.75" customHeight="1">
      <c r="A473" s="23" t="str">
        <f t="shared" si="22"/>
        <v/>
      </c>
      <c r="B473" t="str">
        <f t="shared" si="23"/>
        <v/>
      </c>
      <c r="C473" s="23" t="str">
        <f t="shared" si="24"/>
        <v/>
      </c>
      <c r="E473" s="24" t="str">
        <f>IF(NOT(ISBLANK(G1copy!B473)),G1copy!B473,"")</f>
        <v/>
      </c>
      <c r="F473" s="24" t="str">
        <f>IF(E473&lt;&gt;"",G1copy!A473,"")</f>
        <v/>
      </c>
      <c r="G473" s="24" t="str">
        <f>IF(E473&lt;&gt;"",G1copy!F473,"")</f>
        <v/>
      </c>
    </row>
    <row r="474" spans="1:7" ht="15.75" customHeight="1">
      <c r="A474" s="23" t="str">
        <f t="shared" si="22"/>
        <v/>
      </c>
      <c r="B474" t="str">
        <f t="shared" si="23"/>
        <v/>
      </c>
      <c r="C474" s="23" t="str">
        <f t="shared" si="24"/>
        <v/>
      </c>
      <c r="E474" s="24" t="str">
        <f>IF(NOT(ISBLANK(G1copy!B474)),G1copy!B474,"")</f>
        <v/>
      </c>
      <c r="F474" s="24" t="str">
        <f>IF(E474&lt;&gt;"",G1copy!A474,"")</f>
        <v/>
      </c>
      <c r="G474" s="24" t="str">
        <f>IF(E474&lt;&gt;"",G1copy!F474,"")</f>
        <v/>
      </c>
    </row>
    <row r="475" spans="1:7" ht="15.75" customHeight="1">
      <c r="A475" s="23" t="str">
        <f t="shared" si="22"/>
        <v/>
      </c>
      <c r="B475" t="str">
        <f t="shared" si="23"/>
        <v/>
      </c>
      <c r="C475" s="23" t="str">
        <f t="shared" si="24"/>
        <v/>
      </c>
      <c r="E475" s="24" t="str">
        <f>IF(NOT(ISBLANK(G1copy!B475)),G1copy!B475,"")</f>
        <v/>
      </c>
      <c r="F475" s="24" t="str">
        <f>IF(E475&lt;&gt;"",G1copy!A475,"")</f>
        <v/>
      </c>
      <c r="G475" s="24" t="str">
        <f>IF(E475&lt;&gt;"",G1copy!F475,"")</f>
        <v/>
      </c>
    </row>
    <row r="476" spans="1:7" ht="15.75" customHeight="1">
      <c r="A476" s="23" t="str">
        <f t="shared" si="22"/>
        <v/>
      </c>
      <c r="B476" t="str">
        <f t="shared" si="23"/>
        <v/>
      </c>
      <c r="C476" s="23" t="str">
        <f t="shared" si="24"/>
        <v/>
      </c>
      <c r="E476" s="24" t="str">
        <f>IF(NOT(ISBLANK(G1copy!B476)),G1copy!B476,"")</f>
        <v/>
      </c>
      <c r="F476" s="24" t="str">
        <f>IF(E476&lt;&gt;"",G1copy!A476,"")</f>
        <v/>
      </c>
      <c r="G476" s="24" t="str">
        <f>IF(E476&lt;&gt;"",G1copy!F476,"")</f>
        <v/>
      </c>
    </row>
    <row r="477" spans="1:7" ht="15.75" customHeight="1">
      <c r="A477" s="23" t="str">
        <f t="shared" si="22"/>
        <v/>
      </c>
      <c r="B477" t="str">
        <f t="shared" si="23"/>
        <v/>
      </c>
      <c r="C477" s="23" t="str">
        <f t="shared" si="24"/>
        <v/>
      </c>
      <c r="E477" s="24" t="str">
        <f>IF(NOT(ISBLANK(G1copy!B477)),G1copy!B477,"")</f>
        <v/>
      </c>
      <c r="F477" s="24" t="str">
        <f>IF(E477&lt;&gt;"",G1copy!A477,"")</f>
        <v/>
      </c>
      <c r="G477" s="24" t="str">
        <f>IF(E477&lt;&gt;"",G1copy!F477,"")</f>
        <v/>
      </c>
    </row>
    <row r="478" spans="1:7" ht="15.75" customHeight="1">
      <c r="A478" s="23" t="str">
        <f t="shared" si="22"/>
        <v/>
      </c>
      <c r="B478" t="str">
        <f t="shared" si="23"/>
        <v/>
      </c>
      <c r="C478" s="23" t="str">
        <f t="shared" si="24"/>
        <v/>
      </c>
      <c r="E478" s="24" t="str">
        <f>IF(NOT(ISBLANK(G1copy!B478)),G1copy!B478,"")</f>
        <v/>
      </c>
      <c r="F478" s="24" t="str">
        <f>IF(E478&lt;&gt;"",G1copy!A478,"")</f>
        <v/>
      </c>
      <c r="G478" s="24" t="str">
        <f>IF(E478&lt;&gt;"",G1copy!F478,"")</f>
        <v/>
      </c>
    </row>
    <row r="479" spans="1:7" ht="15.75" customHeight="1">
      <c r="A479" s="23" t="str">
        <f t="shared" si="22"/>
        <v/>
      </c>
      <c r="B479" t="str">
        <f t="shared" si="23"/>
        <v/>
      </c>
      <c r="C479" s="23" t="str">
        <f t="shared" si="24"/>
        <v/>
      </c>
      <c r="E479" s="24" t="str">
        <f>IF(NOT(ISBLANK(G1copy!B479)),G1copy!B479,"")</f>
        <v/>
      </c>
      <c r="F479" s="24" t="str">
        <f>IF(E479&lt;&gt;"",G1copy!A479,"")</f>
        <v/>
      </c>
      <c r="G479" s="24" t="str">
        <f>IF(E479&lt;&gt;"",G1copy!F479,"")</f>
        <v/>
      </c>
    </row>
    <row r="480" spans="1:7" ht="15.75" customHeight="1">
      <c r="A480" s="23" t="str">
        <f t="shared" si="22"/>
        <v/>
      </c>
      <c r="B480" t="str">
        <f t="shared" si="23"/>
        <v/>
      </c>
      <c r="C480" s="23" t="str">
        <f t="shared" si="24"/>
        <v/>
      </c>
      <c r="E480" s="24" t="str">
        <f>IF(NOT(ISBLANK(G1copy!B480)),G1copy!B480,"")</f>
        <v/>
      </c>
      <c r="F480" s="24" t="str">
        <f>IF(E480&lt;&gt;"",G1copy!A480,"")</f>
        <v/>
      </c>
      <c r="G480" s="24" t="str">
        <f>IF(E480&lt;&gt;"",G1copy!F480,"")</f>
        <v/>
      </c>
    </row>
    <row r="481" spans="1:7" ht="15.75" customHeight="1">
      <c r="A481" s="23" t="str">
        <f t="shared" si="22"/>
        <v/>
      </c>
      <c r="B481" t="str">
        <f t="shared" si="23"/>
        <v/>
      </c>
      <c r="C481" s="23" t="str">
        <f t="shared" si="24"/>
        <v/>
      </c>
      <c r="E481" s="24" t="str">
        <f>IF(NOT(ISBLANK(G1copy!B481)),G1copy!B481,"")</f>
        <v/>
      </c>
      <c r="F481" s="24" t="str">
        <f>IF(E481&lt;&gt;"",G1copy!A481,"")</f>
        <v/>
      </c>
      <c r="G481" s="24" t="str">
        <f>IF(E481&lt;&gt;"",G1copy!F481,"")</f>
        <v/>
      </c>
    </row>
    <row r="482" spans="1:7" ht="15.75" customHeight="1">
      <c r="A482" s="23" t="str">
        <f t="shared" si="22"/>
        <v/>
      </c>
      <c r="B482" t="str">
        <f t="shared" si="23"/>
        <v/>
      </c>
      <c r="C482" s="23" t="str">
        <f t="shared" si="24"/>
        <v/>
      </c>
      <c r="E482" s="24" t="str">
        <f>IF(NOT(ISBLANK(G1copy!B482)),G1copy!B482,"")</f>
        <v/>
      </c>
      <c r="F482" s="24" t="str">
        <f>IF(E482&lt;&gt;"",G1copy!A482,"")</f>
        <v/>
      </c>
      <c r="G482" s="24" t="str">
        <f>IF(E482&lt;&gt;"",G1copy!F482,"")</f>
        <v/>
      </c>
    </row>
    <row r="483" spans="1:7" ht="15.75" customHeight="1">
      <c r="A483" s="23" t="str">
        <f t="shared" si="22"/>
        <v/>
      </c>
      <c r="B483" t="str">
        <f t="shared" si="23"/>
        <v/>
      </c>
      <c r="C483" s="23" t="str">
        <f t="shared" si="24"/>
        <v/>
      </c>
      <c r="E483" s="24" t="str">
        <f>IF(NOT(ISBLANK(G1copy!B483)),G1copy!B483,"")</f>
        <v/>
      </c>
      <c r="F483" s="24" t="str">
        <f>IF(E483&lt;&gt;"",G1copy!A483,"")</f>
        <v/>
      </c>
      <c r="G483" s="24" t="str">
        <f>IF(E483&lt;&gt;"",G1copy!F483,"")</f>
        <v/>
      </c>
    </row>
    <row r="484" spans="1:7" ht="15.75" customHeight="1">
      <c r="A484" s="23" t="str">
        <f t="shared" si="22"/>
        <v/>
      </c>
      <c r="B484" t="str">
        <f t="shared" si="23"/>
        <v/>
      </c>
      <c r="C484" s="23" t="str">
        <f t="shared" si="24"/>
        <v/>
      </c>
      <c r="E484" s="24" t="str">
        <f>IF(NOT(ISBLANK(G1copy!B484)),G1copy!B484,"")</f>
        <v/>
      </c>
      <c r="F484" s="24" t="str">
        <f>IF(E484&lt;&gt;"",G1copy!A484,"")</f>
        <v/>
      </c>
      <c r="G484" s="24" t="str">
        <f>IF(E484&lt;&gt;"",G1copy!F484,"")</f>
        <v/>
      </c>
    </row>
    <row r="485" spans="1:7" ht="15.75" customHeight="1">
      <c r="A485" s="23" t="str">
        <f t="shared" si="22"/>
        <v/>
      </c>
      <c r="B485" t="str">
        <f t="shared" si="23"/>
        <v/>
      </c>
      <c r="C485" s="23" t="str">
        <f t="shared" si="24"/>
        <v/>
      </c>
      <c r="E485" s="24" t="str">
        <f>IF(NOT(ISBLANK(G1copy!B485)),G1copy!B485,"")</f>
        <v/>
      </c>
      <c r="F485" s="24" t="str">
        <f>IF(E485&lt;&gt;"",G1copy!A485,"")</f>
        <v/>
      </c>
      <c r="G485" s="24" t="str">
        <f>IF(E485&lt;&gt;"",G1copy!F485,"")</f>
        <v/>
      </c>
    </row>
    <row r="486" spans="1:7" ht="15.75" customHeight="1">
      <c r="A486" s="23" t="str">
        <f t="shared" si="22"/>
        <v/>
      </c>
      <c r="B486" t="str">
        <f t="shared" si="23"/>
        <v/>
      </c>
      <c r="C486" s="23" t="str">
        <f t="shared" si="24"/>
        <v/>
      </c>
      <c r="E486" s="24" t="str">
        <f>IF(NOT(ISBLANK(G1copy!B486)),G1copy!B486,"")</f>
        <v/>
      </c>
      <c r="F486" s="24" t="str">
        <f>IF(E486&lt;&gt;"",G1copy!A486,"")</f>
        <v/>
      </c>
      <c r="G486" s="24" t="str">
        <f>IF(E486&lt;&gt;"",G1copy!F486,"")</f>
        <v/>
      </c>
    </row>
    <row r="487" spans="1:7" ht="15.75" customHeight="1">
      <c r="A487" s="23" t="str">
        <f t="shared" si="22"/>
        <v/>
      </c>
      <c r="B487" t="str">
        <f t="shared" si="23"/>
        <v/>
      </c>
      <c r="C487" s="23" t="str">
        <f t="shared" si="24"/>
        <v/>
      </c>
      <c r="E487" s="24" t="str">
        <f>IF(NOT(ISBLANK(G1copy!B487)),G1copy!B487,"")</f>
        <v/>
      </c>
      <c r="F487" s="24" t="str">
        <f>IF(E487&lt;&gt;"",G1copy!A487,"")</f>
        <v/>
      </c>
      <c r="G487" s="24" t="str">
        <f>IF(E487&lt;&gt;"",G1copy!F487,"")</f>
        <v/>
      </c>
    </row>
    <row r="488" spans="1:7" ht="15.75" customHeight="1">
      <c r="A488" s="23" t="str">
        <f t="shared" si="22"/>
        <v/>
      </c>
      <c r="B488" t="str">
        <f t="shared" si="23"/>
        <v/>
      </c>
      <c r="C488" s="23" t="str">
        <f t="shared" si="24"/>
        <v/>
      </c>
      <c r="E488" s="24" t="str">
        <f>IF(NOT(ISBLANK(G1copy!B488)),G1copy!B488,"")</f>
        <v/>
      </c>
      <c r="F488" s="24" t="str">
        <f>IF(E488&lt;&gt;"",G1copy!A488,"")</f>
        <v/>
      </c>
      <c r="G488" s="24" t="str">
        <f>IF(E488&lt;&gt;"",G1copy!F488,"")</f>
        <v/>
      </c>
    </row>
    <row r="489" spans="1:7" ht="15.75" customHeight="1">
      <c r="A489" s="23" t="str">
        <f t="shared" si="22"/>
        <v/>
      </c>
      <c r="B489" t="str">
        <f t="shared" si="23"/>
        <v/>
      </c>
      <c r="C489" s="23" t="str">
        <f t="shared" si="24"/>
        <v/>
      </c>
      <c r="E489" s="24" t="str">
        <f>IF(NOT(ISBLANK(G1copy!B489)),G1copy!B489,"")</f>
        <v/>
      </c>
      <c r="F489" s="24" t="str">
        <f>IF(E489&lt;&gt;"",G1copy!A489,"")</f>
        <v/>
      </c>
      <c r="G489" s="24" t="str">
        <f>IF(E489&lt;&gt;"",G1copy!F489,"")</f>
        <v/>
      </c>
    </row>
    <row r="490" spans="1:7" ht="15.75" customHeight="1">
      <c r="A490" s="23" t="str">
        <f t="shared" si="22"/>
        <v/>
      </c>
      <c r="B490" t="str">
        <f t="shared" si="23"/>
        <v/>
      </c>
      <c r="C490" s="23" t="str">
        <f t="shared" si="24"/>
        <v/>
      </c>
      <c r="E490" s="24" t="str">
        <f>IF(NOT(ISBLANK(G1copy!B490)),G1copy!B490,"")</f>
        <v/>
      </c>
      <c r="F490" s="24" t="str">
        <f>IF(E490&lt;&gt;"",G1copy!A490,"")</f>
        <v/>
      </c>
      <c r="G490" s="24" t="str">
        <f>IF(E490&lt;&gt;"",G1copy!F490,"")</f>
        <v/>
      </c>
    </row>
    <row r="491" spans="1:7" ht="15.75" customHeight="1">
      <c r="A491" s="23" t="str">
        <f t="shared" si="22"/>
        <v/>
      </c>
      <c r="B491" t="str">
        <f t="shared" si="23"/>
        <v/>
      </c>
      <c r="C491" s="23" t="str">
        <f t="shared" si="24"/>
        <v/>
      </c>
      <c r="E491" s="24" t="str">
        <f>IF(NOT(ISBLANK(G1copy!B491)),G1copy!B491,"")</f>
        <v/>
      </c>
      <c r="F491" s="24" t="str">
        <f>IF(E491&lt;&gt;"",G1copy!A491,"")</f>
        <v/>
      </c>
      <c r="G491" s="24" t="str">
        <f>IF(E491&lt;&gt;"",G1copy!F491,"")</f>
        <v/>
      </c>
    </row>
    <row r="492" spans="1:7" ht="15.75" customHeight="1">
      <c r="A492" s="23" t="str">
        <f t="shared" si="22"/>
        <v/>
      </c>
      <c r="B492" t="str">
        <f t="shared" si="23"/>
        <v/>
      </c>
      <c r="C492" s="23" t="str">
        <f t="shared" si="24"/>
        <v/>
      </c>
      <c r="E492" s="24" t="str">
        <f>IF(NOT(ISBLANK(G1copy!B492)),G1copy!B492,"")</f>
        <v/>
      </c>
      <c r="F492" s="24" t="str">
        <f>IF(E492&lt;&gt;"",G1copy!A492,"")</f>
        <v/>
      </c>
      <c r="G492" s="24" t="str">
        <f>IF(E492&lt;&gt;"",G1copy!F492,"")</f>
        <v/>
      </c>
    </row>
    <row r="493" spans="1:7" ht="15.75" customHeight="1">
      <c r="A493" s="23" t="str">
        <f t="shared" si="22"/>
        <v/>
      </c>
      <c r="B493" t="str">
        <f t="shared" si="23"/>
        <v/>
      </c>
      <c r="C493" s="23" t="str">
        <f t="shared" si="24"/>
        <v/>
      </c>
      <c r="E493" s="24" t="str">
        <f>IF(NOT(ISBLANK(G1copy!B493)),G1copy!B493,"")</f>
        <v/>
      </c>
      <c r="F493" s="24" t="str">
        <f>IF(E493&lt;&gt;"",G1copy!A493,"")</f>
        <v/>
      </c>
      <c r="G493" s="24" t="str">
        <f>IF(E493&lt;&gt;"",G1copy!F493,"")</f>
        <v/>
      </c>
    </row>
    <row r="494" spans="1:7" ht="15.75" customHeight="1">
      <c r="A494" s="23" t="str">
        <f t="shared" si="22"/>
        <v/>
      </c>
      <c r="B494" t="str">
        <f t="shared" si="23"/>
        <v/>
      </c>
      <c r="C494" s="23" t="str">
        <f t="shared" si="24"/>
        <v/>
      </c>
      <c r="E494" s="24" t="str">
        <f>IF(NOT(ISBLANK(G1copy!B494)),G1copy!B494,"")</f>
        <v/>
      </c>
      <c r="F494" s="24" t="str">
        <f>IF(E494&lt;&gt;"",G1copy!A494,"")</f>
        <v/>
      </c>
      <c r="G494" s="24" t="str">
        <f>IF(E494&lt;&gt;"",G1copy!F494,"")</f>
        <v/>
      </c>
    </row>
    <row r="495" spans="1:7" ht="15.75" customHeight="1">
      <c r="A495" s="23" t="str">
        <f t="shared" si="22"/>
        <v/>
      </c>
      <c r="B495" t="str">
        <f t="shared" si="23"/>
        <v/>
      </c>
      <c r="C495" s="23" t="str">
        <f t="shared" si="24"/>
        <v/>
      </c>
      <c r="E495" s="24" t="str">
        <f>IF(NOT(ISBLANK(G1copy!B495)),G1copy!B495,"")</f>
        <v/>
      </c>
      <c r="F495" s="24" t="str">
        <f>IF(E495&lt;&gt;"",G1copy!A495,"")</f>
        <v/>
      </c>
      <c r="G495" s="24" t="str">
        <f>IF(E495&lt;&gt;"",G1copy!F495,"")</f>
        <v/>
      </c>
    </row>
    <row r="496" spans="1:7" ht="15.75" customHeight="1">
      <c r="A496" s="23" t="str">
        <f t="shared" si="22"/>
        <v/>
      </c>
      <c r="B496" t="str">
        <f t="shared" si="23"/>
        <v/>
      </c>
      <c r="C496" s="23" t="str">
        <f t="shared" si="24"/>
        <v/>
      </c>
      <c r="E496" s="24" t="str">
        <f>IF(NOT(ISBLANK(G1copy!B496)),G1copy!B496,"")</f>
        <v/>
      </c>
      <c r="F496" s="24" t="str">
        <f>IF(E496&lt;&gt;"",G1copy!A496,"")</f>
        <v/>
      </c>
      <c r="G496" s="24" t="str">
        <f>IF(E496&lt;&gt;"",G1copy!F496,"")</f>
        <v/>
      </c>
    </row>
    <row r="497" spans="1:7" ht="15.75" customHeight="1">
      <c r="A497" s="23" t="str">
        <f t="shared" si="22"/>
        <v/>
      </c>
      <c r="B497" t="str">
        <f t="shared" si="23"/>
        <v/>
      </c>
      <c r="C497" s="23" t="str">
        <f t="shared" si="24"/>
        <v/>
      </c>
      <c r="E497" s="24" t="str">
        <f>IF(NOT(ISBLANK(G1copy!B497)),G1copy!B497,"")</f>
        <v/>
      </c>
      <c r="F497" s="24" t="str">
        <f>IF(E497&lt;&gt;"",G1copy!A497,"")</f>
        <v/>
      </c>
      <c r="G497" s="24" t="str">
        <f>IF(E497&lt;&gt;"",G1copy!F497,"")</f>
        <v/>
      </c>
    </row>
    <row r="498" spans="1:7" ht="15.75" customHeight="1">
      <c r="A498" s="23" t="str">
        <f t="shared" si="22"/>
        <v/>
      </c>
      <c r="B498" t="str">
        <f t="shared" si="23"/>
        <v/>
      </c>
      <c r="C498" s="23" t="str">
        <f t="shared" si="24"/>
        <v/>
      </c>
      <c r="E498" s="24" t="str">
        <f>IF(NOT(ISBLANK(G1copy!B498)),G1copy!B498,"")</f>
        <v/>
      </c>
      <c r="F498" s="24" t="str">
        <f>IF(E498&lt;&gt;"",G1copy!A498,"")</f>
        <v/>
      </c>
      <c r="G498" s="24" t="str">
        <f>IF(E498&lt;&gt;"",G1copy!F498,"")</f>
        <v/>
      </c>
    </row>
    <row r="499" spans="1:7" ht="15.75" customHeight="1">
      <c r="A499" s="23" t="str">
        <f t="shared" si="22"/>
        <v/>
      </c>
      <c r="B499" t="str">
        <f t="shared" si="23"/>
        <v/>
      </c>
      <c r="C499" s="23" t="str">
        <f t="shared" si="24"/>
        <v/>
      </c>
      <c r="E499" s="24" t="str">
        <f>IF(NOT(ISBLANK(G1copy!B499)),G1copy!B499,"")</f>
        <v/>
      </c>
      <c r="F499" s="24" t="str">
        <f>IF(E499&lt;&gt;"",G1copy!A499,"")</f>
        <v/>
      </c>
      <c r="G499" s="24" t="str">
        <f>IF(E499&lt;&gt;"",G1copy!F499,"")</f>
        <v/>
      </c>
    </row>
    <row r="500" spans="1:7" ht="15.75" customHeight="1">
      <c r="A500" s="23" t="str">
        <f t="shared" si="22"/>
        <v/>
      </c>
      <c r="B500" t="str">
        <f t="shared" si="23"/>
        <v/>
      </c>
      <c r="C500" s="23" t="str">
        <f t="shared" si="24"/>
        <v/>
      </c>
      <c r="E500" s="24" t="str">
        <f>IF(NOT(ISBLANK(G1copy!B500)),G1copy!B500,"")</f>
        <v/>
      </c>
      <c r="F500" s="24" t="str">
        <f>IF(E500&lt;&gt;"",G1copy!A500,"")</f>
        <v/>
      </c>
      <c r="G500" s="24" t="str">
        <f>IF(E500&lt;&gt;"",G1copy!F500,"")</f>
        <v/>
      </c>
    </row>
    <row r="501" spans="1:7" ht="15.75" customHeight="1"/>
    <row r="502" spans="1:7" ht="15.75" customHeight="1"/>
    <row r="503" spans="1:7" ht="15.75" customHeight="1"/>
    <row r="504" spans="1:7" ht="15.75" customHeight="1"/>
    <row r="505" spans="1:7" ht="15.75" customHeight="1"/>
    <row r="506" spans="1:7" ht="15.75" customHeight="1"/>
    <row r="507" spans="1:7" ht="15.75" customHeight="1"/>
    <row r="508" spans="1:7" ht="15.75" customHeight="1"/>
    <row r="509" spans="1:7" ht="15.75" customHeight="1"/>
    <row r="510" spans="1:7" ht="15.75" customHeight="1"/>
    <row r="511" spans="1:7" ht="15.75" customHeight="1"/>
    <row r="512" spans="1:7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1000"/>
  <sheetViews>
    <sheetView workbookViewId="0">
      <pane ySplit="1" topLeftCell="A2" activePane="bottomLeft" state="frozen"/>
      <selection pane="bottomLeft" activeCell="A2" sqref="A2"/>
      <selection activeCell="E2" sqref="E2"/>
    </sheetView>
  </sheetViews>
  <sheetFormatPr defaultColWidth="13.5" defaultRowHeight="15" customHeight="1"/>
  <cols>
    <col min="1" max="1" width="10.5" bestFit="1" customWidth="1"/>
    <col min="2" max="2" width="30.625" bestFit="1" customWidth="1"/>
    <col min="3" max="3" width="10.5" bestFit="1" customWidth="1"/>
    <col min="4" max="4" width="8.375" customWidth="1"/>
    <col min="5" max="5" width="10.5" bestFit="1" customWidth="1"/>
    <col min="6" max="6" width="33.625" bestFit="1" customWidth="1"/>
    <col min="7" max="7" width="10.5" bestFit="1" customWidth="1"/>
    <col min="8" max="26" width="8.375" customWidth="1"/>
  </cols>
  <sheetData>
    <row r="1" spans="1:7" ht="15.75" customHeight="1">
      <c r="A1" t="s">
        <v>124</v>
      </c>
      <c r="B1" t="s">
        <v>125</v>
      </c>
      <c r="C1" t="s">
        <v>126</v>
      </c>
      <c r="E1" s="5" t="s">
        <v>127</v>
      </c>
      <c r="F1" s="5" t="s">
        <v>128</v>
      </c>
      <c r="G1" s="5" t="s">
        <v>129</v>
      </c>
    </row>
    <row r="2" spans="1:7" ht="15.75" customHeight="1">
      <c r="A2" s="23">
        <f t="shared" ref="A2" si="0">IF(E2&lt;&gt;"",DATEVALUE(LEFT(E2,10)),"")</f>
        <v>45933</v>
      </c>
      <c r="B2" t="str">
        <f t="shared" ref="B2" si="1">IF(LEN(F2)&gt;3,RIGHT(F2,LEN(F2)-3),"")</f>
        <v>Rep BIO</v>
      </c>
      <c r="C2" s="23">
        <f t="shared" ref="C2" si="2">IF(E2&lt;&gt;"",DATEVALUE(LEFT(G2,10)),"")</f>
        <v>45903</v>
      </c>
      <c r="E2" s="24" t="str">
        <f>IF(NOT(ISBLANK(G2copy!B2)),G2copy!B2,"")</f>
        <v>2025-10-03T00:00:00.0000000</v>
      </c>
      <c r="F2" s="24" t="str">
        <f>IF(E2&lt;&gt;"",G2copy!A2,"")</f>
        <v>G2 Rep BIO</v>
      </c>
      <c r="G2" s="24" t="str">
        <f>IF(E2&lt;&gt;"",G2copy!F2,"")</f>
        <v>2025-09-03T15:02:55.0031946+00:00</v>
      </c>
    </row>
    <row r="3" spans="1:7" ht="15.75" customHeight="1">
      <c r="A3" s="23">
        <f t="shared" ref="A3:A66" si="3">IF(E3&lt;&gt;"",DATEVALUE(LEFT(E3,10)),"")</f>
        <v>45940</v>
      </c>
      <c r="B3" t="str">
        <f t="shared" ref="B3:B66" si="4">IF(LEN(F3)&gt;3,RIGHT(F3,LEN(F3)-3),"")</f>
        <v>Rep GES</v>
      </c>
      <c r="C3" s="23">
        <f t="shared" ref="C3:C66" si="5">IF(E3&lt;&gt;"",DATEVALUE(LEFT(G3,10)),"")</f>
        <v>45903</v>
      </c>
      <c r="E3" s="24" t="str">
        <f>IF(NOT(ISBLANK(G2copy!B3)),G2copy!B3,"")</f>
        <v>2025-10-10T00:00:00.0000000</v>
      </c>
      <c r="F3" s="24" t="str">
        <f>IF(E3&lt;&gt;"",G2copy!A3,"")</f>
        <v>G2 Rep GES</v>
      </c>
      <c r="G3" s="24" t="str">
        <f>IF(E3&lt;&gt;"",G2copy!F3,"")</f>
        <v>2025-09-03T15:02:54.7183902+00:00</v>
      </c>
    </row>
    <row r="4" spans="1:7" ht="15.75" customHeight="1">
      <c r="A4" s="23">
        <f t="shared" si="3"/>
        <v>45947</v>
      </c>
      <c r="B4" t="str">
        <f t="shared" si="4"/>
        <v>Rep WIS</v>
      </c>
      <c r="C4" s="23">
        <f t="shared" si="5"/>
        <v>45903</v>
      </c>
      <c r="E4" s="24" t="str">
        <f>IF(NOT(ISBLANK(G2copy!B4)),G2copy!B4,"")</f>
        <v>2025-10-17T00:00:00.0000000</v>
      </c>
      <c r="F4" s="24" t="str">
        <f>IF(E4&lt;&gt;"",G2copy!A4,"")</f>
        <v>G2 Rep WIS</v>
      </c>
      <c r="G4" s="24" t="str">
        <f>IF(E4&lt;&gt;"",G2copy!F4,"")</f>
        <v>2025-09-03T15:02:54.4613123+00:00</v>
      </c>
    </row>
    <row r="5" spans="1:7" ht="15.75" customHeight="1">
      <c r="A5" s="23">
        <f t="shared" si="3"/>
        <v>45961</v>
      </c>
      <c r="B5" t="str">
        <f t="shared" si="4"/>
        <v>Rep AK</v>
      </c>
      <c r="C5" s="23">
        <f t="shared" si="5"/>
        <v>45903</v>
      </c>
      <c r="E5" s="24" t="str">
        <f>IF(NOT(ISBLANK(G2copy!B5)),G2copy!B5,"")</f>
        <v>2025-10-31T00:00:00.0000000</v>
      </c>
      <c r="F5" s="24" t="str">
        <f>IF(E5&lt;&gt;"",G2copy!A5,"")</f>
        <v>G2 Rep AK</v>
      </c>
      <c r="G5" s="24" t="str">
        <f>IF(E5&lt;&gt;"",G2copy!F5,"")</f>
        <v>2025-09-03T15:02:54.1848317+00:00</v>
      </c>
    </row>
    <row r="6" spans="1:7" ht="15.75" customHeight="1">
      <c r="A6" s="23">
        <f t="shared" si="3"/>
        <v>45968</v>
      </c>
      <c r="B6" t="str">
        <f t="shared" si="4"/>
        <v>Rep EN</v>
      </c>
      <c r="C6" s="23">
        <f t="shared" si="5"/>
        <v>45903</v>
      </c>
      <c r="E6" s="24" t="str">
        <f>IF(NOT(ISBLANK(G2copy!B6)),G2copy!B6,"")</f>
        <v>2025-11-07T00:00:00.0000000</v>
      </c>
      <c r="F6" s="24" t="str">
        <f>IF(E6&lt;&gt;"",G2copy!A6,"")</f>
        <v>G2 Rep EN</v>
      </c>
      <c r="G6" s="24" t="str">
        <f>IF(E6&lt;&gt;"",G2copy!F6,"")</f>
        <v>2025-09-03T15:02:56.5678609+00:00</v>
      </c>
    </row>
    <row r="7" spans="1:7" ht="15.75" customHeight="1">
      <c r="A7" s="23">
        <f t="shared" si="3"/>
        <v>45975</v>
      </c>
      <c r="B7" t="str">
        <f t="shared" si="4"/>
        <v>Rep GR</v>
      </c>
      <c r="C7" s="23">
        <f t="shared" si="5"/>
        <v>45903</v>
      </c>
      <c r="E7" s="24" t="str">
        <f>IF(NOT(ISBLANK(G2copy!B7)),G2copy!B7,"")</f>
        <v>2025-11-14T00:00:00.0000000</v>
      </c>
      <c r="F7" s="24" t="str">
        <f>IF(E7&lt;&gt;"",G2copy!A7,"")</f>
        <v>G2 Rep GR</v>
      </c>
      <c r="G7" s="24" t="str">
        <f>IF(E7&lt;&gt;"",G2copy!F7,"")</f>
        <v>2025-09-03T15:02:53.6668205+00:00</v>
      </c>
    </row>
    <row r="8" spans="1:7" ht="15.75" customHeight="1">
      <c r="A8" s="23">
        <f t="shared" si="3"/>
        <v>45982</v>
      </c>
      <c r="B8" t="str">
        <f t="shared" si="4"/>
        <v>Rep DU</v>
      </c>
      <c r="C8" s="23">
        <f t="shared" si="5"/>
        <v>45903</v>
      </c>
      <c r="E8" s="24" t="str">
        <f>IF(NOT(ISBLANK(G2copy!B8)),G2copy!B8,"")</f>
        <v>2025-11-21T00:00:00.0000000</v>
      </c>
      <c r="F8" s="24" t="str">
        <f>IF(E8&lt;&gt;"",G2copy!A8,"")</f>
        <v>G2 Rep DU</v>
      </c>
      <c r="G8" s="24" t="str">
        <f>IF(E8&lt;&gt;"",G2copy!F8,"")</f>
        <v>2025-09-03T15:02:53.3496324+00:00</v>
      </c>
    </row>
    <row r="9" spans="1:7" ht="15.75" customHeight="1">
      <c r="A9" s="23">
        <f t="shared" si="3"/>
        <v>45989</v>
      </c>
      <c r="B9" t="str">
        <f t="shared" si="4"/>
        <v>Rep FA</v>
      </c>
      <c r="C9" s="23">
        <f t="shared" si="5"/>
        <v>45903</v>
      </c>
      <c r="E9" s="24" t="str">
        <f>IF(NOT(ISBLANK(G2copy!B9)),G2copy!B9,"")</f>
        <v>2025-11-28T00:00:00.0000000</v>
      </c>
      <c r="F9" s="24" t="str">
        <f>IF(E9&lt;&gt;"",G2copy!A9,"")</f>
        <v>G2 Rep FA</v>
      </c>
      <c r="G9" s="24" t="str">
        <f>IF(E9&lt;&gt;"",G2copy!F9,"")</f>
        <v>2025-09-03T15:02:53.1226683+00:00</v>
      </c>
    </row>
    <row r="10" spans="1:7" ht="15.75" customHeight="1">
      <c r="A10" s="23">
        <f t="shared" si="3"/>
        <v>45996</v>
      </c>
      <c r="B10" t="str">
        <f t="shared" si="4"/>
        <v>Rep NA</v>
      </c>
      <c r="C10" s="23">
        <f t="shared" si="5"/>
        <v>45903</v>
      </c>
      <c r="E10" s="24" t="str">
        <f>IF(NOT(ISBLANK(G2copy!B10)),G2copy!B10,"")</f>
        <v>2025-12-05T00:00:00.0000000</v>
      </c>
      <c r="F10" s="24" t="str">
        <f>IF(E10&lt;&gt;"",G2copy!A10,"")</f>
        <v>G2 Rep NA</v>
      </c>
      <c r="G10" s="24" t="str">
        <f>IF(E10&lt;&gt;"",G2copy!F10,"")</f>
        <v>2025-09-03T15:02:56.2339745+00:00</v>
      </c>
    </row>
    <row r="11" spans="1:7" ht="15.75" customHeight="1">
      <c r="A11" s="23">
        <f t="shared" si="3"/>
        <v>46003</v>
      </c>
      <c r="B11" t="str">
        <f t="shared" si="4"/>
        <v>Rep BIO</v>
      </c>
      <c r="C11" s="23">
        <f t="shared" si="5"/>
        <v>45903</v>
      </c>
      <c r="E11" s="24" t="str">
        <f>IF(NOT(ISBLANK(G2copy!B11)),G2copy!B11,"")</f>
        <v>2025-12-12T00:00:00.0000000</v>
      </c>
      <c r="F11" s="24" t="str">
        <f>IF(E11&lt;&gt;"",G2copy!A11,"")</f>
        <v>G2 Rep BIO</v>
      </c>
      <c r="G11" s="24" t="str">
        <f>IF(E11&lt;&gt;"",G2copy!F11,"")</f>
        <v>2025-09-03T15:02:52.6171369+00:00</v>
      </c>
    </row>
    <row r="12" spans="1:7" ht="15.75" customHeight="1">
      <c r="A12" s="23">
        <f t="shared" si="3"/>
        <v>46008</v>
      </c>
      <c r="B12" t="str">
        <f t="shared" si="4"/>
        <v>Toetsdag: Rep GES/LA</v>
      </c>
      <c r="C12" s="23">
        <f t="shared" si="5"/>
        <v>45994</v>
      </c>
      <c r="E12" s="24" t="str">
        <f>IF(NOT(ISBLANK(G2copy!B12)),G2copy!B12,"")</f>
        <v>2025-12-17T00:00:00.0000000</v>
      </c>
      <c r="F12" s="24" t="str">
        <f>IF(E12&lt;&gt;"",G2copy!A12,"")</f>
        <v>G2 Toetsdag: Rep GES/LA</v>
      </c>
      <c r="G12" s="24" t="str">
        <f>IF(E12&lt;&gt;"",G2copy!F12,"")</f>
        <v>2025-12-03T13:45:33.506808+00:00</v>
      </c>
    </row>
    <row r="13" spans="1:7" ht="15.75" customHeight="1">
      <c r="A13" s="23">
        <f t="shared" si="3"/>
        <v>46009</v>
      </c>
      <c r="B13" t="str">
        <f t="shared" si="4"/>
        <v>Toetsdag: Rep WIS</v>
      </c>
      <c r="C13" s="23">
        <f t="shared" si="5"/>
        <v>45994</v>
      </c>
      <c r="E13" s="24" t="str">
        <f>IF(NOT(ISBLANK(G2copy!B13)),G2copy!B13,"")</f>
        <v>2025-12-18T00:00:00.0000000</v>
      </c>
      <c r="F13" s="24" t="str">
        <f>IF(E13&lt;&gt;"",G2copy!A13,"")</f>
        <v>G2 Toetsdag: Rep WIS</v>
      </c>
      <c r="G13" s="24" t="str">
        <f>IF(E13&lt;&gt;"",G2copy!F13,"")</f>
        <v>2025-12-03T13:45:29.9780355+00:00</v>
      </c>
    </row>
    <row r="14" spans="1:7" ht="15.75" customHeight="1">
      <c r="A14" s="23">
        <f t="shared" si="3"/>
        <v>46038</v>
      </c>
      <c r="B14" t="str">
        <f t="shared" si="4"/>
        <v>Rep AK</v>
      </c>
      <c r="C14" s="23">
        <f t="shared" si="5"/>
        <v>46031</v>
      </c>
      <c r="E14" s="24" t="str">
        <f>IF(NOT(ISBLANK(G2copy!B14)),G2copy!B14,"")</f>
        <v>2026-01-16T00:00:00.0000000</v>
      </c>
      <c r="F14" s="24" t="str">
        <f>IF(E14&lt;&gt;"",G2copy!A14,"")</f>
        <v>G2 Rep AK</v>
      </c>
      <c r="G14" s="24" t="str">
        <f>IF(E14&lt;&gt;"",G2copy!F14,"")</f>
        <v>2026-01-09T13:59:41.3505198+00:00</v>
      </c>
    </row>
    <row r="15" spans="1:7" ht="15.75" customHeight="1">
      <c r="A15" s="23">
        <f t="shared" si="3"/>
        <v>46045</v>
      </c>
      <c r="B15" t="str">
        <f t="shared" si="4"/>
        <v>Rep NA</v>
      </c>
      <c r="C15" s="23">
        <f t="shared" si="5"/>
        <v>45903</v>
      </c>
      <c r="E15" s="24" t="str">
        <f>IF(NOT(ISBLANK(G2copy!B15)),G2copy!B15,"")</f>
        <v>2026-01-23T00:00:00.0000000</v>
      </c>
      <c r="F15" s="24" t="str">
        <f>IF(E15&lt;&gt;"",G2copy!A15,"")</f>
        <v>G2 Rep NA</v>
      </c>
      <c r="G15" s="24" t="str">
        <f>IF(E15&lt;&gt;"",G2copy!F15,"")</f>
        <v>2025-09-03T15:02:55.9348034+00:00</v>
      </c>
    </row>
    <row r="16" spans="1:7" ht="15.75" customHeight="1">
      <c r="A16" s="23">
        <f t="shared" si="3"/>
        <v>46052</v>
      </c>
      <c r="B16" t="str">
        <f t="shared" si="4"/>
        <v>Rep FA</v>
      </c>
      <c r="C16" s="23">
        <f t="shared" si="5"/>
        <v>45903</v>
      </c>
      <c r="E16" s="24" t="str">
        <f>IF(NOT(ISBLANK(G2copy!B16)),G2copy!B16,"")</f>
        <v>2026-01-30T00:00:00.0000000</v>
      </c>
      <c r="F16" s="24" t="str">
        <f>IF(E16&lt;&gt;"",G2copy!A16,"")</f>
        <v>G2 Rep FA</v>
      </c>
      <c r="G16" s="24" t="str">
        <f>IF(E16&lt;&gt;"",G2copy!F16,"")</f>
        <v>2025-09-03T15:02:51.9477401+00:00</v>
      </c>
    </row>
    <row r="17" spans="1:7" ht="15.75" customHeight="1">
      <c r="A17" s="23">
        <f t="shared" si="3"/>
        <v>46059</v>
      </c>
      <c r="B17" t="str">
        <f t="shared" si="4"/>
        <v>Rep BIO</v>
      </c>
      <c r="C17" s="23">
        <f t="shared" si="5"/>
        <v>45903</v>
      </c>
      <c r="E17" s="24" t="str">
        <f>IF(NOT(ISBLANK(G2copy!B17)),G2copy!B17,"")</f>
        <v>2026-02-06T00:00:00.0000000</v>
      </c>
      <c r="F17" s="24" t="str">
        <f>IF(E17&lt;&gt;"",G2copy!A17,"")</f>
        <v>G2 Rep BIO</v>
      </c>
      <c r="G17" s="24" t="str">
        <f>IF(E17&lt;&gt;"",G2copy!F17,"")</f>
        <v>2025-09-03T15:02:51.6561598+00:00</v>
      </c>
    </row>
    <row r="18" spans="1:7" ht="15.75" customHeight="1">
      <c r="A18" s="23">
        <f t="shared" si="3"/>
        <v>46066</v>
      </c>
      <c r="B18" t="str">
        <f t="shared" si="4"/>
        <v>Rep EN</v>
      </c>
      <c r="C18" s="23">
        <f t="shared" si="5"/>
        <v>45903</v>
      </c>
      <c r="E18" s="24" t="str">
        <f>IF(NOT(ISBLANK(G2copy!B18)),G2copy!B18,"")</f>
        <v>2026-02-13T00:00:00.0000000</v>
      </c>
      <c r="F18" s="24" t="str">
        <f>IF(E18&lt;&gt;"",G2copy!A18,"")</f>
        <v>G2 Rep EN</v>
      </c>
      <c r="G18" s="24" t="str">
        <f>IF(E18&lt;&gt;"",G2copy!F18,"")</f>
        <v>2025-09-03T15:02:55.4006879+00:00</v>
      </c>
    </row>
    <row r="19" spans="1:7" ht="15.75" customHeight="1">
      <c r="A19" s="23">
        <f t="shared" si="3"/>
        <v>46076</v>
      </c>
      <c r="B19" t="str">
        <f t="shared" si="4"/>
        <v>loopdag lj2</v>
      </c>
      <c r="C19" s="23">
        <f t="shared" si="5"/>
        <v>45939</v>
      </c>
      <c r="E19" s="24" t="str">
        <f>IF(NOT(ISBLANK(G2copy!B19)),G2copy!B19,"")</f>
        <v>2026-02-23T00:00:00.0000000</v>
      </c>
      <c r="F19" s="24" t="str">
        <f>IF(E19&lt;&gt;"",G2copy!A19,"")</f>
        <v>Meeloopdag lj2</v>
      </c>
      <c r="G19" s="24" t="str">
        <f>IF(E19&lt;&gt;"",G2copy!F19,"")</f>
        <v>2025-10-09T18:35:14.2052531+00:00</v>
      </c>
    </row>
    <row r="20" spans="1:7" ht="15.75" customHeight="1">
      <c r="A20" s="23">
        <f t="shared" si="3"/>
        <v>46087</v>
      </c>
      <c r="B20" t="str">
        <f t="shared" si="4"/>
        <v>Rep Wis</v>
      </c>
      <c r="C20" s="23">
        <f t="shared" si="5"/>
        <v>45903</v>
      </c>
      <c r="E20" s="24" t="str">
        <f>IF(NOT(ISBLANK(G2copy!B20)),G2copy!B20,"")</f>
        <v>2026-03-06T00:00:00.0000000</v>
      </c>
      <c r="F20" s="24" t="str">
        <f>IF(E20&lt;&gt;"",G2copy!A20,"")</f>
        <v>G2 Rep Wis</v>
      </c>
      <c r="G20" s="24" t="str">
        <f>IF(E20&lt;&gt;"",G2copy!F20,"")</f>
        <v>2025-09-03T15:02:51.0689872+00:00</v>
      </c>
    </row>
    <row r="21" spans="1:7" ht="15.75" customHeight="1">
      <c r="A21" s="23">
        <f t="shared" si="3"/>
        <v>46094</v>
      </c>
      <c r="B21" t="str">
        <f t="shared" si="4"/>
        <v>Rep NA</v>
      </c>
      <c r="C21" s="23">
        <f t="shared" si="5"/>
        <v>45903</v>
      </c>
      <c r="E21" s="24" t="str">
        <f>IF(NOT(ISBLANK(G2copy!B21)),G2copy!B21,"")</f>
        <v>2026-03-13T00:00:00.0000000</v>
      </c>
      <c r="F21" s="24" t="str">
        <f>IF(E21&lt;&gt;"",G2copy!A21,"")</f>
        <v>G2 Rep NA</v>
      </c>
      <c r="G21" s="24" t="str">
        <f>IF(E21&lt;&gt;"",G2copy!F21,"")</f>
        <v>2025-09-03T15:02:54.731464+00:00</v>
      </c>
    </row>
    <row r="22" spans="1:7" ht="15.75" customHeight="1">
      <c r="A22" s="23">
        <f t="shared" si="3"/>
        <v>46099</v>
      </c>
      <c r="B22" t="str">
        <f t="shared" si="4"/>
        <v>Rep LA</v>
      </c>
      <c r="C22" s="23">
        <f t="shared" si="5"/>
        <v>45915</v>
      </c>
      <c r="E22" s="24" t="str">
        <f>IF(NOT(ISBLANK(G2copy!B22)),G2copy!B22,"")</f>
        <v>2026-03-18T00:00:00.0000000</v>
      </c>
      <c r="F22" s="24" t="str">
        <f>IF(E22&lt;&gt;"",G2copy!A22,"")</f>
        <v>G2 Rep LA</v>
      </c>
      <c r="G22" s="24" t="str">
        <f>IF(E22&lt;&gt;"",G2copy!F22,"")</f>
        <v>2025-09-15T12:25:48.0276299+00:00</v>
      </c>
    </row>
    <row r="23" spans="1:7" ht="15.75" customHeight="1">
      <c r="A23" s="23">
        <f t="shared" si="3"/>
        <v>46100</v>
      </c>
      <c r="B23" t="str">
        <f t="shared" si="4"/>
        <v>geroewedstrijd Leerjaar 2</v>
      </c>
      <c r="C23" s="23">
        <f t="shared" si="5"/>
        <v>46042</v>
      </c>
      <c r="E23" s="24" t="str">
        <f>IF(NOT(ISBLANK(G2copy!B23)),G2copy!B23,"")</f>
        <v>2026-03-19T10:45:00.0000000</v>
      </c>
      <c r="F23" s="24" t="str">
        <f>IF(E23&lt;&gt;"",G2copy!A23,"")</f>
        <v>Kangeroewedstrijd Leerjaar 2</v>
      </c>
      <c r="G23" s="24" t="str">
        <f>IF(E23&lt;&gt;"",G2copy!F23,"")</f>
        <v>2026-01-20T11:47:47.1728688+00:00</v>
      </c>
    </row>
    <row r="24" spans="1:7" ht="15.75" customHeight="1">
      <c r="A24" s="23">
        <f t="shared" si="3"/>
        <v>46108</v>
      </c>
      <c r="B24" t="str">
        <f t="shared" si="4"/>
        <v>Rep GES</v>
      </c>
      <c r="C24" s="23">
        <f t="shared" si="5"/>
        <v>45903</v>
      </c>
      <c r="E24" s="24" t="str">
        <f>IF(NOT(ISBLANK(G2copy!B24)),G2copy!B24,"")</f>
        <v>2026-03-27T00:00:00.0000000</v>
      </c>
      <c r="F24" s="24" t="str">
        <f>IF(E24&lt;&gt;"",G2copy!A24,"")</f>
        <v>G2 Rep GES</v>
      </c>
      <c r="G24" s="24" t="str">
        <f>IF(E24&lt;&gt;"",G2copy!F24,"")</f>
        <v>2025-09-03T15:02:50.0584262+00:00</v>
      </c>
    </row>
    <row r="25" spans="1:7" ht="15.75" customHeight="1">
      <c r="A25" s="23">
        <f t="shared" si="3"/>
        <v>46114</v>
      </c>
      <c r="B25" t="str">
        <f t="shared" si="4"/>
        <v>Rep AK</v>
      </c>
      <c r="C25" s="23">
        <f t="shared" si="5"/>
        <v>46050</v>
      </c>
      <c r="E25" s="24" t="str">
        <f>IF(NOT(ISBLANK(G2copy!B25)),G2copy!B25,"")</f>
        <v>2026-04-02T00:00:00.0000000</v>
      </c>
      <c r="F25" s="24" t="str">
        <f>IF(E25&lt;&gt;"",G2copy!A25,"")</f>
        <v>G2 Rep AK</v>
      </c>
      <c r="G25" s="24" t="str">
        <f>IF(E25&lt;&gt;"",G2copy!F25,"")</f>
        <v>2026-01-28T08:45:17.4062997+00:00</v>
      </c>
    </row>
    <row r="26" spans="1:7" ht="15.75" customHeight="1">
      <c r="A26" s="23">
        <f t="shared" si="3"/>
        <v>46122</v>
      </c>
      <c r="B26" t="str">
        <f t="shared" si="4"/>
        <v>Rep DUI</v>
      </c>
      <c r="C26" s="23">
        <f t="shared" si="5"/>
        <v>45903</v>
      </c>
      <c r="E26" s="24" t="str">
        <f>IF(NOT(ISBLANK(G2copy!B26)),G2copy!B26,"")</f>
        <v>2026-04-10T00:00:00.0000000</v>
      </c>
      <c r="F26" s="24" t="str">
        <f>IF(E26&lt;&gt;"",G2copy!A26,"")</f>
        <v>G2 Rep DUI</v>
      </c>
      <c r="G26" s="24" t="str">
        <f>IF(E26&lt;&gt;"",G2copy!F26,"")</f>
        <v>2025-09-03T15:02:49.2977154+00:00</v>
      </c>
    </row>
    <row r="27" spans="1:7" ht="15.75" customHeight="1">
      <c r="A27" s="23">
        <f t="shared" si="3"/>
        <v>46129</v>
      </c>
      <c r="B27" t="str">
        <f t="shared" si="4"/>
        <v>Rep GR</v>
      </c>
      <c r="C27" s="23">
        <f t="shared" si="5"/>
        <v>45903</v>
      </c>
      <c r="E27" s="24" t="str">
        <f>IF(NOT(ISBLANK(G2copy!B27)),G2copy!B27,"")</f>
        <v>2026-04-17T00:00:00.0000000</v>
      </c>
      <c r="F27" s="24" t="str">
        <f>IF(E27&lt;&gt;"",G2copy!A27,"")</f>
        <v>G2 Rep GR</v>
      </c>
      <c r="G27" s="24" t="str">
        <f>IF(E27&lt;&gt;"",G2copy!F27,"")</f>
        <v>2025-09-03T15:02:49.0124042+00:00</v>
      </c>
    </row>
    <row r="28" spans="1:7" ht="15.75" customHeight="1">
      <c r="A28" s="23">
        <f t="shared" si="3"/>
        <v>46134</v>
      </c>
      <c r="B28" t="str">
        <f t="shared" si="4"/>
        <v>Rep FA</v>
      </c>
      <c r="C28" s="23">
        <f t="shared" si="5"/>
        <v>45915</v>
      </c>
      <c r="E28" s="24" t="str">
        <f>IF(NOT(ISBLANK(G2copy!B28)),G2copy!B28,"")</f>
        <v>2026-04-22T00:00:00.0000000</v>
      </c>
      <c r="F28" s="24" t="str">
        <f>IF(E28&lt;&gt;"",G2copy!A28,"")</f>
        <v>G2 Rep FA</v>
      </c>
      <c r="G28" s="24" t="str">
        <f>IF(E28&lt;&gt;"",G2copy!F28,"")</f>
        <v>2025-09-15T12:25:46.9611847+00:00</v>
      </c>
    </row>
    <row r="29" spans="1:7" ht="15.75" customHeight="1">
      <c r="A29" s="23">
        <f t="shared" si="3"/>
        <v>46154</v>
      </c>
      <c r="B29" t="str">
        <f t="shared" si="4"/>
        <v>Rep WIS</v>
      </c>
      <c r="C29" s="23">
        <f t="shared" si="5"/>
        <v>45915</v>
      </c>
      <c r="E29" s="24" t="str">
        <f>IF(NOT(ISBLANK(G2copy!B29)),G2copy!B29,"")</f>
        <v>2026-05-12T00:00:00.0000000</v>
      </c>
      <c r="F29" s="24" t="str">
        <f>IF(E29&lt;&gt;"",G2copy!A29,"")</f>
        <v>G2 Rep WIS</v>
      </c>
      <c r="G29" s="24" t="str">
        <f>IF(E29&lt;&gt;"",G2copy!F29,"")</f>
        <v>2025-09-15T12:25:46.4979171+00:00</v>
      </c>
    </row>
    <row r="30" spans="1:7" ht="15.75" customHeight="1">
      <c r="A30" s="23">
        <f t="shared" si="3"/>
        <v>46164</v>
      </c>
      <c r="B30" t="str">
        <f t="shared" si="4"/>
        <v>Rep EN</v>
      </c>
      <c r="C30" s="23">
        <f t="shared" si="5"/>
        <v>45903</v>
      </c>
      <c r="E30" s="24" t="str">
        <f>IF(NOT(ISBLANK(G2copy!B30)),G2copy!B30,"")</f>
        <v>2026-05-22T00:00:00.0000000</v>
      </c>
      <c r="F30" s="24" t="str">
        <f>IF(E30&lt;&gt;"",G2copy!A30,"")</f>
        <v>G2 Rep EN</v>
      </c>
      <c r="G30" s="24" t="str">
        <f>IF(E30&lt;&gt;"",G2copy!F30,"")</f>
        <v>2025-09-03T15:02:43.301991+00:00</v>
      </c>
    </row>
    <row r="31" spans="1:7" ht="15.75" customHeight="1">
      <c r="A31" s="23">
        <f t="shared" si="3"/>
        <v>46171</v>
      </c>
      <c r="B31" t="str">
        <f t="shared" si="4"/>
        <v>Rep BIO</v>
      </c>
      <c r="C31" s="23">
        <f t="shared" si="5"/>
        <v>45903</v>
      </c>
      <c r="E31" s="24" t="str">
        <f>IF(NOT(ISBLANK(G2copy!B31)),G2copy!B31,"")</f>
        <v>2026-05-29T00:00:00.0000000</v>
      </c>
      <c r="F31" s="24" t="str">
        <f>IF(E31&lt;&gt;"",G2copy!A31,"")</f>
        <v>G2 Rep BIO</v>
      </c>
      <c r="G31" s="24" t="str">
        <f>IF(E31&lt;&gt;"",G2copy!F31,"")</f>
        <v>2025-09-03T15:02:41.7091159+00:00</v>
      </c>
    </row>
    <row r="32" spans="1:7" ht="15.75" customHeight="1">
      <c r="A32" s="23">
        <f t="shared" si="3"/>
        <v>46184</v>
      </c>
      <c r="B32" t="str">
        <f t="shared" si="4"/>
        <v>ldorp Frans</v>
      </c>
      <c r="C32" s="23">
        <f t="shared" si="5"/>
        <v>46066</v>
      </c>
      <c r="E32" s="24" t="str">
        <f>IF(NOT(ISBLANK(G2copy!B32)),G2copy!B32,"")</f>
        <v>2026-06-11T00:00:00.0000000</v>
      </c>
      <c r="F32" s="24" t="str">
        <f>IF(E32&lt;&gt;"",G2copy!A32,"")</f>
        <v>Taaldorp Frans</v>
      </c>
      <c r="G32" s="24" t="str">
        <f>IF(E32&lt;&gt;"",G2copy!F32,"")</f>
        <v>2026-02-13T11:31:26.6317344+00:00</v>
      </c>
    </row>
    <row r="33" spans="1:7" ht="15.75" customHeight="1">
      <c r="A33" s="23">
        <f t="shared" si="3"/>
        <v>46185</v>
      </c>
      <c r="B33" t="str">
        <f t="shared" si="4"/>
        <v>Rep GO</v>
      </c>
      <c r="C33" s="23">
        <f t="shared" si="5"/>
        <v>45903</v>
      </c>
      <c r="E33" s="24" t="str">
        <f>IF(NOT(ISBLANK(G2copy!B33)),G2copy!B33,"")</f>
        <v>2026-06-12T00:00:00.0000000</v>
      </c>
      <c r="F33" s="24" t="str">
        <f>IF(E33&lt;&gt;"",G2copy!A33,"")</f>
        <v>G2 Rep GO</v>
      </c>
      <c r="G33" s="24" t="str">
        <f>IF(E33&lt;&gt;"",G2copy!F33,"")</f>
        <v>2025-09-03T15:02:41.3917073+00:00</v>
      </c>
    </row>
    <row r="34" spans="1:7" ht="15.75" customHeight="1">
      <c r="A34" s="23">
        <f t="shared" si="3"/>
        <v>46192</v>
      </c>
      <c r="B34" t="str">
        <f t="shared" si="4"/>
        <v>Rep AK</v>
      </c>
      <c r="C34" s="23">
        <f t="shared" si="5"/>
        <v>45912</v>
      </c>
      <c r="E34" s="24" t="str">
        <f>IF(NOT(ISBLANK(G2copy!B34)),G2copy!B34,"")</f>
        <v>2026-06-19T00:00:00.0000000</v>
      </c>
      <c r="F34" s="24" t="str">
        <f>IF(E34&lt;&gt;"",G2copy!A34,"")</f>
        <v>G2 Rep AK</v>
      </c>
      <c r="G34" s="24" t="str">
        <f>IF(E34&lt;&gt;"",G2copy!F34,"")</f>
        <v>2025-09-12T12:21:57.5666418+00:00</v>
      </c>
    </row>
    <row r="35" spans="1:7" ht="15.75" customHeight="1">
      <c r="A35" s="23">
        <f t="shared" si="3"/>
        <v>46202</v>
      </c>
      <c r="B35" t="str">
        <f t="shared" si="4"/>
        <v>Rep FA/WIS</v>
      </c>
      <c r="C35" s="23">
        <f t="shared" si="5"/>
        <v>45896</v>
      </c>
      <c r="E35" s="24" t="str">
        <f>IF(NOT(ISBLANK(G2copy!B35)),G2copy!B35,"")</f>
        <v>2026-06-29T00:00:00.0000000</v>
      </c>
      <c r="F35" s="24" t="str">
        <f>IF(E35&lt;&gt;"",G2copy!A35,"")</f>
        <v>G2 Rep FA/WIS</v>
      </c>
      <c r="G35" s="24" t="str">
        <f>IF(E35&lt;&gt;"",G2copy!F35,"")</f>
        <v>2025-08-27T18:05:52.2633727+00:00</v>
      </c>
    </row>
    <row r="36" spans="1:7" ht="15.75" customHeight="1">
      <c r="A36" s="23">
        <f t="shared" si="3"/>
        <v>46203</v>
      </c>
      <c r="B36" t="str">
        <f t="shared" si="4"/>
        <v>Rep GR</v>
      </c>
      <c r="C36" s="23">
        <f t="shared" si="5"/>
        <v>45896</v>
      </c>
      <c r="E36" s="24" t="str">
        <f>IF(NOT(ISBLANK(G2copy!B36)),G2copy!B36,"")</f>
        <v>2026-06-30T00:00:00.0000000</v>
      </c>
      <c r="F36" s="24" t="str">
        <f>IF(E36&lt;&gt;"",G2copy!A36,"")</f>
        <v>G2 Rep GR</v>
      </c>
      <c r="G36" s="24" t="str">
        <f>IF(E36&lt;&gt;"",G2copy!F36,"")</f>
        <v>2025-08-27T18:05:52.1159657+00:00</v>
      </c>
    </row>
    <row r="37" spans="1:7" ht="15.75" customHeight="1">
      <c r="A37" s="23">
        <f t="shared" si="3"/>
        <v>46204</v>
      </c>
      <c r="B37" t="str">
        <f t="shared" si="4"/>
        <v>Rep NA/DUI</v>
      </c>
      <c r="C37" s="23">
        <f t="shared" si="5"/>
        <v>45896</v>
      </c>
      <c r="E37" s="24" t="str">
        <f>IF(NOT(ISBLANK(G2copy!B37)),G2copy!B37,"")</f>
        <v>2026-07-01T00:00:00.0000000</v>
      </c>
      <c r="F37" s="24" t="str">
        <f>IF(E37&lt;&gt;"",G2copy!A37,"")</f>
        <v>G2 Rep NA/DUI</v>
      </c>
      <c r="G37" s="24" t="str">
        <f>IF(E37&lt;&gt;"",G2copy!F37,"")</f>
        <v>2025-08-27T18:05:53.1333253+00:00</v>
      </c>
    </row>
    <row r="38" spans="1:7" ht="15.75" customHeight="1">
      <c r="A38" s="23">
        <f t="shared" si="3"/>
        <v>46205</v>
      </c>
      <c r="B38" t="str">
        <f t="shared" si="4"/>
        <v>Rep EN</v>
      </c>
      <c r="C38" s="23">
        <f t="shared" si="5"/>
        <v>45896</v>
      </c>
      <c r="E38" s="24" t="str">
        <f>IF(NOT(ISBLANK(G2copy!B38)),G2copy!B38,"")</f>
        <v>2026-07-02T00:00:00.0000000</v>
      </c>
      <c r="F38" s="24" t="str">
        <f>IF(E38&lt;&gt;"",G2copy!A38,"")</f>
        <v>G2 Rep EN</v>
      </c>
      <c r="G38" s="24" t="str">
        <f>IF(E38&lt;&gt;"",G2copy!F38,"")</f>
        <v>2025-08-27T18:05:52.4417335+00:00</v>
      </c>
    </row>
    <row r="39" spans="1:7" ht="15.75" customHeight="1">
      <c r="A39" s="23">
        <f t="shared" si="3"/>
        <v>46206</v>
      </c>
      <c r="B39" t="str">
        <f t="shared" si="4"/>
        <v>Rep LA</v>
      </c>
      <c r="C39" s="23">
        <f t="shared" si="5"/>
        <v>45896</v>
      </c>
      <c r="E39" s="24" t="str">
        <f>IF(NOT(ISBLANK(G2copy!B39)),G2copy!B39,"")</f>
        <v>2026-07-03T00:00:00.0000000</v>
      </c>
      <c r="F39" s="24" t="str">
        <f>IF(E39&lt;&gt;"",G2copy!A39,"")</f>
        <v>G2 Rep LA</v>
      </c>
      <c r="G39" s="24" t="str">
        <f>IF(E39&lt;&gt;"",G2copy!F39,"")</f>
        <v>2025-08-27T18:05:51.4784229+00:00</v>
      </c>
    </row>
    <row r="40" spans="1:7" ht="15.75" customHeight="1">
      <c r="A40" s="23">
        <f t="shared" si="3"/>
        <v>46209</v>
      </c>
      <c r="B40" t="str">
        <f t="shared" si="4"/>
        <v>inhalen</v>
      </c>
      <c r="C40" s="23">
        <f t="shared" si="5"/>
        <v>45896</v>
      </c>
      <c r="E40" s="24" t="str">
        <f>IF(NOT(ISBLANK(G2copy!B40)),G2copy!B40,"")</f>
        <v>2026-07-06T00:00:00.0000000</v>
      </c>
      <c r="F40" s="24" t="str">
        <f>IF(E40&lt;&gt;"",G2copy!A40,"")</f>
        <v>G2 inhalen</v>
      </c>
      <c r="G40" s="24" t="str">
        <f>IF(E40&lt;&gt;"",G2copy!F40,"")</f>
        <v>2025-08-27T18:05:52.1698056+00:00</v>
      </c>
    </row>
    <row r="41" spans="1:7" ht="15.75" customHeight="1">
      <c r="A41" s="23">
        <f t="shared" si="3"/>
        <v>46212</v>
      </c>
      <c r="B41" t="str">
        <f t="shared" si="4"/>
        <v>cijfers inleveren</v>
      </c>
      <c r="C41" s="23">
        <f t="shared" si="5"/>
        <v>45896</v>
      </c>
      <c r="E41" s="24" t="str">
        <f>IF(NOT(ISBLANK(G2copy!B41)),G2copy!B41,"")</f>
        <v>2026-07-09T00:00:00.0000000</v>
      </c>
      <c r="F41" s="24" t="str">
        <f>IF(E41&lt;&gt;"",G2copy!A41,"")</f>
        <v>G2 cijfers inleveren</v>
      </c>
      <c r="G41" s="24" t="str">
        <f>IF(E41&lt;&gt;"",G2copy!F41,"")</f>
        <v>2025-08-27T18:05:51.5942826+00:00</v>
      </c>
    </row>
    <row r="42" spans="1:7" ht="15.75" customHeight="1">
      <c r="A42" s="23">
        <f t="shared" si="3"/>
        <v>46216</v>
      </c>
      <c r="B42" t="str">
        <f t="shared" si="4"/>
        <v>overgangsverg 12.30</v>
      </c>
      <c r="C42" s="23">
        <f t="shared" si="5"/>
        <v>45896</v>
      </c>
      <c r="E42" s="24" t="str">
        <f>IF(NOT(ISBLANK(G2copy!B42)),G2copy!B42,"")</f>
        <v>2026-07-13T00:00:00.0000000</v>
      </c>
      <c r="F42" s="24" t="str">
        <f>IF(E42&lt;&gt;"",G2copy!A42,"")</f>
        <v>G2 overgangsverg 12.30</v>
      </c>
      <c r="G42" s="24" t="str">
        <f>IF(E42&lt;&gt;"",G2copy!F42,"")</f>
        <v>2025-08-27T18:05:50.6565786+00:00</v>
      </c>
    </row>
    <row r="43" spans="1:7" ht="15.75" customHeight="1">
      <c r="A43" s="23" t="str">
        <f t="shared" si="3"/>
        <v/>
      </c>
      <c r="B43" t="str">
        <f t="shared" si="4"/>
        <v/>
      </c>
      <c r="C43" s="23" t="str">
        <f t="shared" si="5"/>
        <v/>
      </c>
      <c r="E43" s="24" t="str">
        <f>IF(NOT(ISBLANK(G2copy!B43)),G2copy!B43,"")</f>
        <v/>
      </c>
      <c r="F43" s="24" t="str">
        <f>IF(E43&lt;&gt;"",G2copy!A43,"")</f>
        <v/>
      </c>
      <c r="G43" s="24" t="str">
        <f>IF(E43&lt;&gt;"",G2copy!F43,"")</f>
        <v/>
      </c>
    </row>
    <row r="44" spans="1:7" ht="15.75" customHeight="1">
      <c r="A44" s="23" t="str">
        <f t="shared" si="3"/>
        <v/>
      </c>
      <c r="B44" t="str">
        <f t="shared" si="4"/>
        <v/>
      </c>
      <c r="C44" s="23" t="str">
        <f t="shared" si="5"/>
        <v/>
      </c>
      <c r="E44" s="24" t="str">
        <f>IF(NOT(ISBLANK(G2copy!B44)),G2copy!B44,"")</f>
        <v/>
      </c>
      <c r="F44" s="24" t="str">
        <f>IF(E44&lt;&gt;"",G2copy!A44,"")</f>
        <v/>
      </c>
      <c r="G44" s="24" t="str">
        <f>IF(E44&lt;&gt;"",G2copy!F44,"")</f>
        <v/>
      </c>
    </row>
    <row r="45" spans="1:7" ht="15.75" customHeight="1">
      <c r="A45" s="23" t="str">
        <f t="shared" si="3"/>
        <v/>
      </c>
      <c r="B45" t="str">
        <f t="shared" si="4"/>
        <v/>
      </c>
      <c r="C45" s="23" t="str">
        <f t="shared" si="5"/>
        <v/>
      </c>
      <c r="E45" s="24" t="str">
        <f>IF(NOT(ISBLANK(G2copy!B45)),G2copy!B45,"")</f>
        <v/>
      </c>
      <c r="F45" s="24" t="str">
        <f>IF(E45&lt;&gt;"",G2copy!A45,"")</f>
        <v/>
      </c>
      <c r="G45" s="24" t="str">
        <f>IF(E45&lt;&gt;"",G2copy!F45,"")</f>
        <v/>
      </c>
    </row>
    <row r="46" spans="1:7" ht="15.75" customHeight="1">
      <c r="A46" s="23" t="str">
        <f t="shared" si="3"/>
        <v/>
      </c>
      <c r="B46" t="str">
        <f t="shared" si="4"/>
        <v/>
      </c>
      <c r="C46" s="23" t="str">
        <f t="shared" si="5"/>
        <v/>
      </c>
      <c r="E46" s="24" t="str">
        <f>IF(NOT(ISBLANK(G2copy!B46)),G2copy!B46,"")</f>
        <v/>
      </c>
      <c r="F46" s="24" t="str">
        <f>IF(E46&lt;&gt;"",G2copy!A46,"")</f>
        <v/>
      </c>
      <c r="G46" s="24" t="str">
        <f>IF(E46&lt;&gt;"",G2copy!F46,"")</f>
        <v/>
      </c>
    </row>
    <row r="47" spans="1:7" ht="15.75" customHeight="1">
      <c r="A47" s="23" t="str">
        <f t="shared" si="3"/>
        <v/>
      </c>
      <c r="B47" t="str">
        <f t="shared" si="4"/>
        <v/>
      </c>
      <c r="C47" s="23" t="str">
        <f t="shared" si="5"/>
        <v/>
      </c>
      <c r="E47" s="24" t="str">
        <f>IF(NOT(ISBLANK(G2copy!B47)),G2copy!B47,"")</f>
        <v/>
      </c>
      <c r="F47" s="24" t="str">
        <f>IF(E47&lt;&gt;"",G2copy!A47,"")</f>
        <v/>
      </c>
      <c r="G47" s="24" t="str">
        <f>IF(E47&lt;&gt;"",G2copy!F47,"")</f>
        <v/>
      </c>
    </row>
    <row r="48" spans="1:7" ht="15.75" customHeight="1">
      <c r="A48" s="23" t="str">
        <f t="shared" si="3"/>
        <v/>
      </c>
      <c r="B48" t="str">
        <f t="shared" si="4"/>
        <v/>
      </c>
      <c r="C48" s="23" t="str">
        <f t="shared" si="5"/>
        <v/>
      </c>
      <c r="E48" s="24" t="str">
        <f>IF(NOT(ISBLANK(G2copy!B48)),G2copy!B48,"")</f>
        <v/>
      </c>
      <c r="F48" s="24" t="str">
        <f>IF(E48&lt;&gt;"",G2copy!A48,"")</f>
        <v/>
      </c>
      <c r="G48" s="24" t="str">
        <f>IF(E48&lt;&gt;"",G2copy!F48,"")</f>
        <v/>
      </c>
    </row>
    <row r="49" spans="1:7" ht="15.75" customHeight="1">
      <c r="A49" s="23" t="str">
        <f t="shared" si="3"/>
        <v/>
      </c>
      <c r="B49" t="str">
        <f t="shared" si="4"/>
        <v/>
      </c>
      <c r="C49" s="23" t="str">
        <f t="shared" si="5"/>
        <v/>
      </c>
      <c r="E49" s="24" t="str">
        <f>IF(NOT(ISBLANK(G2copy!B49)),G2copy!B49,"")</f>
        <v/>
      </c>
      <c r="F49" s="24" t="str">
        <f>IF(E49&lt;&gt;"",G2copy!A49,"")</f>
        <v/>
      </c>
      <c r="G49" s="24" t="str">
        <f>IF(E49&lt;&gt;"",G2copy!F49,"")</f>
        <v/>
      </c>
    </row>
    <row r="50" spans="1:7" ht="15.75" customHeight="1">
      <c r="A50" s="23" t="str">
        <f t="shared" si="3"/>
        <v/>
      </c>
      <c r="B50" t="str">
        <f t="shared" si="4"/>
        <v/>
      </c>
      <c r="C50" s="23" t="str">
        <f t="shared" si="5"/>
        <v/>
      </c>
      <c r="E50" s="24" t="str">
        <f>IF(NOT(ISBLANK(G2copy!B50)),G2copy!B50,"")</f>
        <v/>
      </c>
      <c r="F50" s="24" t="str">
        <f>IF(E50&lt;&gt;"",G2copy!A50,"")</f>
        <v/>
      </c>
      <c r="G50" s="24" t="str">
        <f>IF(E50&lt;&gt;"",G2copy!F50,"")</f>
        <v/>
      </c>
    </row>
    <row r="51" spans="1:7" ht="15.75" customHeight="1">
      <c r="A51" s="23" t="str">
        <f t="shared" si="3"/>
        <v/>
      </c>
      <c r="B51" t="str">
        <f t="shared" si="4"/>
        <v/>
      </c>
      <c r="C51" s="23" t="str">
        <f t="shared" si="5"/>
        <v/>
      </c>
      <c r="E51" s="24" t="str">
        <f>IF(NOT(ISBLANK(G2copy!B51)),G2copy!B51,"")</f>
        <v/>
      </c>
      <c r="F51" s="24" t="str">
        <f>IF(E51&lt;&gt;"",G2copy!A51,"")</f>
        <v/>
      </c>
      <c r="G51" s="24" t="str">
        <f>IF(E51&lt;&gt;"",G2copy!F51,"")</f>
        <v/>
      </c>
    </row>
    <row r="52" spans="1:7" ht="15.75" customHeight="1">
      <c r="A52" s="23" t="str">
        <f t="shared" si="3"/>
        <v/>
      </c>
      <c r="B52" t="str">
        <f t="shared" si="4"/>
        <v/>
      </c>
      <c r="C52" s="23" t="str">
        <f t="shared" si="5"/>
        <v/>
      </c>
      <c r="E52" s="24" t="str">
        <f>IF(NOT(ISBLANK(G2copy!B52)),G2copy!B52,"")</f>
        <v/>
      </c>
      <c r="F52" s="24" t="str">
        <f>IF(E52&lt;&gt;"",G2copy!A52,"")</f>
        <v/>
      </c>
      <c r="G52" s="24" t="str">
        <f>IF(E52&lt;&gt;"",G2copy!F52,"")</f>
        <v/>
      </c>
    </row>
    <row r="53" spans="1:7" ht="15.75" customHeight="1">
      <c r="A53" s="23" t="str">
        <f t="shared" si="3"/>
        <v/>
      </c>
      <c r="B53" t="str">
        <f t="shared" si="4"/>
        <v/>
      </c>
      <c r="C53" s="23" t="str">
        <f t="shared" si="5"/>
        <v/>
      </c>
      <c r="E53" s="24" t="str">
        <f>IF(NOT(ISBLANK(G2copy!B53)),G2copy!B53,"")</f>
        <v/>
      </c>
      <c r="F53" s="24" t="str">
        <f>IF(E53&lt;&gt;"",G2copy!A53,"")</f>
        <v/>
      </c>
      <c r="G53" s="24" t="str">
        <f>IF(E53&lt;&gt;"",G2copy!F53,"")</f>
        <v/>
      </c>
    </row>
    <row r="54" spans="1:7" ht="15.75" customHeight="1">
      <c r="A54" s="23" t="str">
        <f t="shared" si="3"/>
        <v/>
      </c>
      <c r="B54" t="str">
        <f t="shared" si="4"/>
        <v/>
      </c>
      <c r="C54" s="23" t="str">
        <f t="shared" si="5"/>
        <v/>
      </c>
      <c r="E54" s="24" t="str">
        <f>IF(NOT(ISBLANK(G2copy!B54)),G2copy!B54,"")</f>
        <v/>
      </c>
      <c r="F54" s="24" t="str">
        <f>IF(E54&lt;&gt;"",G2copy!A54,"")</f>
        <v/>
      </c>
      <c r="G54" s="24" t="str">
        <f>IF(E54&lt;&gt;"",G2copy!F54,"")</f>
        <v/>
      </c>
    </row>
    <row r="55" spans="1:7" ht="15.75" customHeight="1">
      <c r="A55" s="23" t="str">
        <f t="shared" si="3"/>
        <v/>
      </c>
      <c r="B55" t="str">
        <f t="shared" si="4"/>
        <v/>
      </c>
      <c r="C55" s="23" t="str">
        <f t="shared" si="5"/>
        <v/>
      </c>
      <c r="E55" s="24" t="str">
        <f>IF(NOT(ISBLANK(G2copy!B55)),G2copy!B55,"")</f>
        <v/>
      </c>
      <c r="F55" s="24" t="str">
        <f>IF(E55&lt;&gt;"",G2copy!A55,"")</f>
        <v/>
      </c>
      <c r="G55" s="24" t="str">
        <f>IF(E55&lt;&gt;"",G2copy!F55,"")</f>
        <v/>
      </c>
    </row>
    <row r="56" spans="1:7" ht="15.75" customHeight="1">
      <c r="A56" s="23" t="str">
        <f t="shared" si="3"/>
        <v/>
      </c>
      <c r="B56" t="str">
        <f t="shared" si="4"/>
        <v/>
      </c>
      <c r="C56" s="23" t="str">
        <f t="shared" si="5"/>
        <v/>
      </c>
      <c r="E56" s="24" t="str">
        <f>IF(NOT(ISBLANK(G2copy!B56)),G2copy!B56,"")</f>
        <v/>
      </c>
      <c r="F56" s="24" t="str">
        <f>IF(E56&lt;&gt;"",G2copy!A56,"")</f>
        <v/>
      </c>
      <c r="G56" s="24" t="str">
        <f>IF(E56&lt;&gt;"",G2copy!F56,"")</f>
        <v/>
      </c>
    </row>
    <row r="57" spans="1:7" ht="15.75" customHeight="1">
      <c r="A57" s="23" t="str">
        <f t="shared" si="3"/>
        <v/>
      </c>
      <c r="B57" t="str">
        <f t="shared" si="4"/>
        <v/>
      </c>
      <c r="C57" s="23" t="str">
        <f t="shared" si="5"/>
        <v/>
      </c>
      <c r="E57" s="24" t="str">
        <f>IF(NOT(ISBLANK(G2copy!B57)),G2copy!B57,"")</f>
        <v/>
      </c>
      <c r="F57" s="24" t="str">
        <f>IF(E57&lt;&gt;"",G2copy!A57,"")</f>
        <v/>
      </c>
      <c r="G57" s="24" t="str">
        <f>IF(E57&lt;&gt;"",G2copy!F57,"")</f>
        <v/>
      </c>
    </row>
    <row r="58" spans="1:7" ht="15.75" customHeight="1">
      <c r="A58" s="23" t="str">
        <f t="shared" si="3"/>
        <v/>
      </c>
      <c r="B58" t="str">
        <f t="shared" si="4"/>
        <v/>
      </c>
      <c r="C58" s="23" t="str">
        <f t="shared" si="5"/>
        <v/>
      </c>
      <c r="E58" s="24" t="str">
        <f>IF(NOT(ISBLANK(G2copy!B58)),G2copy!B58,"")</f>
        <v/>
      </c>
      <c r="F58" s="24" t="str">
        <f>IF(E58&lt;&gt;"",G2copy!A58,"")</f>
        <v/>
      </c>
      <c r="G58" s="24" t="str">
        <f>IF(E58&lt;&gt;"",G2copy!F58,"")</f>
        <v/>
      </c>
    </row>
    <row r="59" spans="1:7" ht="15.75" customHeight="1">
      <c r="A59" s="23" t="str">
        <f t="shared" si="3"/>
        <v/>
      </c>
      <c r="B59" t="str">
        <f t="shared" si="4"/>
        <v/>
      </c>
      <c r="C59" s="23" t="str">
        <f t="shared" si="5"/>
        <v/>
      </c>
      <c r="E59" s="24" t="str">
        <f>IF(NOT(ISBLANK(G2copy!B59)),G2copy!B59,"")</f>
        <v/>
      </c>
      <c r="F59" s="24" t="str">
        <f>IF(E59&lt;&gt;"",G2copy!A59,"")</f>
        <v/>
      </c>
      <c r="G59" s="24" t="str">
        <f>IF(E59&lt;&gt;"",G2copy!F59,"")</f>
        <v/>
      </c>
    </row>
    <row r="60" spans="1:7" ht="15.75" customHeight="1">
      <c r="A60" s="23" t="str">
        <f t="shared" si="3"/>
        <v/>
      </c>
      <c r="B60" t="str">
        <f t="shared" si="4"/>
        <v/>
      </c>
      <c r="C60" s="23" t="str">
        <f t="shared" si="5"/>
        <v/>
      </c>
      <c r="E60" s="24" t="str">
        <f>IF(NOT(ISBLANK(G2copy!B60)),G2copy!B60,"")</f>
        <v/>
      </c>
      <c r="F60" s="24" t="str">
        <f>IF(E60&lt;&gt;"",G2copy!A60,"")</f>
        <v/>
      </c>
      <c r="G60" s="24" t="str">
        <f>IF(E60&lt;&gt;"",G2copy!F60,"")</f>
        <v/>
      </c>
    </row>
    <row r="61" spans="1:7" ht="15.75" customHeight="1">
      <c r="A61" s="23" t="str">
        <f t="shared" si="3"/>
        <v/>
      </c>
      <c r="B61" t="str">
        <f t="shared" si="4"/>
        <v/>
      </c>
      <c r="C61" s="23" t="str">
        <f t="shared" si="5"/>
        <v/>
      </c>
      <c r="E61" s="24" t="str">
        <f>IF(NOT(ISBLANK(G2copy!B61)),G2copy!B61,"")</f>
        <v/>
      </c>
      <c r="F61" s="24" t="str">
        <f>IF(E61&lt;&gt;"",G2copy!A61,"")</f>
        <v/>
      </c>
      <c r="G61" s="24" t="str">
        <f>IF(E61&lt;&gt;"",G2copy!F61,"")</f>
        <v/>
      </c>
    </row>
    <row r="62" spans="1:7" ht="15.75" customHeight="1">
      <c r="A62" s="23" t="str">
        <f t="shared" si="3"/>
        <v/>
      </c>
      <c r="B62" t="str">
        <f t="shared" si="4"/>
        <v/>
      </c>
      <c r="C62" s="23" t="str">
        <f t="shared" si="5"/>
        <v/>
      </c>
      <c r="E62" s="24" t="str">
        <f>IF(NOT(ISBLANK(G2copy!B62)),G2copy!B62,"")</f>
        <v/>
      </c>
      <c r="F62" s="24" t="str">
        <f>IF(E62&lt;&gt;"",G2copy!A62,"")</f>
        <v/>
      </c>
      <c r="G62" s="24" t="str">
        <f>IF(E62&lt;&gt;"",G2copy!F62,"")</f>
        <v/>
      </c>
    </row>
    <row r="63" spans="1:7" ht="15.75" customHeight="1">
      <c r="A63" s="23" t="str">
        <f t="shared" si="3"/>
        <v/>
      </c>
      <c r="B63" t="str">
        <f t="shared" si="4"/>
        <v/>
      </c>
      <c r="C63" s="23" t="str">
        <f t="shared" si="5"/>
        <v/>
      </c>
      <c r="E63" s="24" t="str">
        <f>IF(NOT(ISBLANK(G2copy!B63)),G2copy!B63,"")</f>
        <v/>
      </c>
      <c r="F63" s="24" t="str">
        <f>IF(E63&lt;&gt;"",G2copy!A63,"")</f>
        <v/>
      </c>
      <c r="G63" s="24" t="str">
        <f>IF(E63&lt;&gt;"",G2copy!F63,"")</f>
        <v/>
      </c>
    </row>
    <row r="64" spans="1:7" ht="15.75" customHeight="1">
      <c r="A64" s="23" t="str">
        <f t="shared" si="3"/>
        <v/>
      </c>
      <c r="B64" t="str">
        <f t="shared" si="4"/>
        <v/>
      </c>
      <c r="C64" s="23" t="str">
        <f t="shared" si="5"/>
        <v/>
      </c>
      <c r="E64" s="24" t="str">
        <f>IF(NOT(ISBLANK(G2copy!B64)),G2copy!B64,"")</f>
        <v/>
      </c>
      <c r="F64" s="24" t="str">
        <f>IF(E64&lt;&gt;"",G2copy!A64,"")</f>
        <v/>
      </c>
      <c r="G64" s="24" t="str">
        <f>IF(E64&lt;&gt;"",G2copy!F64,"")</f>
        <v/>
      </c>
    </row>
    <row r="65" spans="1:7" ht="15.75" customHeight="1">
      <c r="A65" s="23" t="str">
        <f t="shared" si="3"/>
        <v/>
      </c>
      <c r="B65" t="str">
        <f t="shared" si="4"/>
        <v/>
      </c>
      <c r="C65" s="23" t="str">
        <f t="shared" si="5"/>
        <v/>
      </c>
      <c r="E65" s="24" t="str">
        <f>IF(NOT(ISBLANK(G2copy!B65)),G2copy!B65,"")</f>
        <v/>
      </c>
      <c r="F65" s="24" t="str">
        <f>IF(E65&lt;&gt;"",G2copy!A65,"")</f>
        <v/>
      </c>
      <c r="G65" s="24" t="str">
        <f>IF(E65&lt;&gt;"",G2copy!F65,"")</f>
        <v/>
      </c>
    </row>
    <row r="66" spans="1:7" ht="15.75" customHeight="1">
      <c r="A66" s="23" t="str">
        <f t="shared" si="3"/>
        <v/>
      </c>
      <c r="B66" t="str">
        <f t="shared" si="4"/>
        <v/>
      </c>
      <c r="C66" s="23" t="str">
        <f t="shared" si="5"/>
        <v/>
      </c>
      <c r="E66" s="24" t="str">
        <f>IF(NOT(ISBLANK(G2copy!B66)),G2copy!B66,"")</f>
        <v/>
      </c>
      <c r="F66" s="24" t="str">
        <f>IF(E66&lt;&gt;"",G2copy!A66,"")</f>
        <v/>
      </c>
      <c r="G66" s="24" t="str">
        <f>IF(E66&lt;&gt;"",G2copy!F66,"")</f>
        <v/>
      </c>
    </row>
    <row r="67" spans="1:7" ht="15.75" customHeight="1">
      <c r="A67" s="23" t="str">
        <f t="shared" ref="A67:A130" si="6">IF(E67&lt;&gt;"",DATEVALUE(LEFT(E67,10)),"")</f>
        <v/>
      </c>
      <c r="B67" t="str">
        <f t="shared" ref="B67:B130" si="7">IF(LEN(F67)&gt;3,RIGHT(F67,LEN(F67)-3),"")</f>
        <v/>
      </c>
      <c r="C67" s="23" t="str">
        <f t="shared" ref="C67:C130" si="8">IF(E67&lt;&gt;"",DATEVALUE(LEFT(G67,10)),"")</f>
        <v/>
      </c>
      <c r="E67" s="24" t="str">
        <f>IF(NOT(ISBLANK(G2copy!B67)),G2copy!B67,"")</f>
        <v/>
      </c>
      <c r="F67" s="24" t="str">
        <f>IF(E67&lt;&gt;"",G2copy!A67,"")</f>
        <v/>
      </c>
      <c r="G67" s="24" t="str">
        <f>IF(E67&lt;&gt;"",G2copy!F67,"")</f>
        <v/>
      </c>
    </row>
    <row r="68" spans="1:7" ht="15.75" customHeight="1">
      <c r="A68" s="23" t="str">
        <f t="shared" si="6"/>
        <v/>
      </c>
      <c r="B68" t="str">
        <f t="shared" si="7"/>
        <v/>
      </c>
      <c r="C68" s="23" t="str">
        <f t="shared" si="8"/>
        <v/>
      </c>
      <c r="E68" s="24" t="str">
        <f>IF(NOT(ISBLANK(G2copy!B68)),G2copy!B68,"")</f>
        <v/>
      </c>
      <c r="F68" s="24" t="str">
        <f>IF(E68&lt;&gt;"",G2copy!A68,"")</f>
        <v/>
      </c>
      <c r="G68" s="24" t="str">
        <f>IF(E68&lt;&gt;"",G2copy!F68,"")</f>
        <v/>
      </c>
    </row>
    <row r="69" spans="1:7" ht="15.75" customHeight="1">
      <c r="A69" s="23" t="str">
        <f t="shared" si="6"/>
        <v/>
      </c>
      <c r="B69" t="str">
        <f t="shared" si="7"/>
        <v/>
      </c>
      <c r="C69" s="23" t="str">
        <f t="shared" si="8"/>
        <v/>
      </c>
      <c r="E69" s="24" t="str">
        <f>IF(NOT(ISBLANK(G2copy!B69)),G2copy!B69,"")</f>
        <v/>
      </c>
      <c r="F69" s="24" t="str">
        <f>IF(E69&lt;&gt;"",G2copy!A69,"")</f>
        <v/>
      </c>
      <c r="G69" s="24" t="str">
        <f>IF(E69&lt;&gt;"",G2copy!F69,"")</f>
        <v/>
      </c>
    </row>
    <row r="70" spans="1:7" ht="15.75" customHeight="1">
      <c r="A70" s="23" t="str">
        <f t="shared" si="6"/>
        <v/>
      </c>
      <c r="B70" t="str">
        <f t="shared" si="7"/>
        <v/>
      </c>
      <c r="C70" s="23" t="str">
        <f t="shared" si="8"/>
        <v/>
      </c>
      <c r="E70" s="24" t="str">
        <f>IF(NOT(ISBLANK(G2copy!B70)),G2copy!B70,"")</f>
        <v/>
      </c>
      <c r="F70" s="24" t="str">
        <f>IF(E70&lt;&gt;"",G2copy!A70,"")</f>
        <v/>
      </c>
      <c r="G70" s="24" t="str">
        <f>IF(E70&lt;&gt;"",G2copy!F70,"")</f>
        <v/>
      </c>
    </row>
    <row r="71" spans="1:7" ht="15.75" customHeight="1">
      <c r="A71" s="23" t="str">
        <f t="shared" si="6"/>
        <v/>
      </c>
      <c r="B71" t="str">
        <f t="shared" si="7"/>
        <v/>
      </c>
      <c r="C71" s="23" t="str">
        <f t="shared" si="8"/>
        <v/>
      </c>
      <c r="E71" s="24" t="str">
        <f>IF(NOT(ISBLANK(G2copy!B71)),G2copy!B71,"")</f>
        <v/>
      </c>
      <c r="F71" s="24" t="str">
        <f>IF(E71&lt;&gt;"",G2copy!A71,"")</f>
        <v/>
      </c>
      <c r="G71" s="24" t="str">
        <f>IF(E71&lt;&gt;"",G2copy!F71,"")</f>
        <v/>
      </c>
    </row>
    <row r="72" spans="1:7" ht="15.75" customHeight="1">
      <c r="A72" s="23" t="str">
        <f t="shared" si="6"/>
        <v/>
      </c>
      <c r="B72" t="str">
        <f t="shared" si="7"/>
        <v/>
      </c>
      <c r="C72" s="23" t="str">
        <f t="shared" si="8"/>
        <v/>
      </c>
      <c r="E72" s="24" t="str">
        <f>IF(NOT(ISBLANK(G2copy!B72)),G2copy!B72,"")</f>
        <v/>
      </c>
      <c r="F72" s="24" t="str">
        <f>IF(E72&lt;&gt;"",G2copy!A72,"")</f>
        <v/>
      </c>
      <c r="G72" s="24" t="str">
        <f>IF(E72&lt;&gt;"",G2copy!F72,"")</f>
        <v/>
      </c>
    </row>
    <row r="73" spans="1:7" ht="15.75" customHeight="1">
      <c r="A73" s="23" t="str">
        <f t="shared" si="6"/>
        <v/>
      </c>
      <c r="B73" t="str">
        <f t="shared" si="7"/>
        <v/>
      </c>
      <c r="C73" s="23" t="str">
        <f t="shared" si="8"/>
        <v/>
      </c>
      <c r="E73" s="24" t="str">
        <f>IF(NOT(ISBLANK(G2copy!B73)),G2copy!B73,"")</f>
        <v/>
      </c>
      <c r="F73" s="24" t="str">
        <f>IF(E73&lt;&gt;"",G2copy!A73,"")</f>
        <v/>
      </c>
      <c r="G73" s="24" t="str">
        <f>IF(E73&lt;&gt;"",G2copy!F73,"")</f>
        <v/>
      </c>
    </row>
    <row r="74" spans="1:7" ht="15.75" customHeight="1">
      <c r="A74" s="23" t="str">
        <f t="shared" si="6"/>
        <v/>
      </c>
      <c r="B74" t="str">
        <f t="shared" si="7"/>
        <v/>
      </c>
      <c r="C74" s="23" t="str">
        <f t="shared" si="8"/>
        <v/>
      </c>
      <c r="E74" s="24" t="str">
        <f>IF(NOT(ISBLANK(G2copy!B74)),G2copy!B74,"")</f>
        <v/>
      </c>
      <c r="F74" s="24" t="str">
        <f>IF(E74&lt;&gt;"",G2copy!A74,"")</f>
        <v/>
      </c>
      <c r="G74" s="24" t="str">
        <f>IF(E74&lt;&gt;"",G2copy!F74,"")</f>
        <v/>
      </c>
    </row>
    <row r="75" spans="1:7" ht="15.75" customHeight="1">
      <c r="A75" s="23" t="str">
        <f t="shared" si="6"/>
        <v/>
      </c>
      <c r="B75" t="str">
        <f t="shared" si="7"/>
        <v/>
      </c>
      <c r="C75" s="23" t="str">
        <f t="shared" si="8"/>
        <v/>
      </c>
      <c r="E75" s="24" t="str">
        <f>IF(NOT(ISBLANK(G2copy!B75)),G2copy!B75,"")</f>
        <v/>
      </c>
      <c r="F75" s="24" t="str">
        <f>IF(E75&lt;&gt;"",G2copy!A75,"")</f>
        <v/>
      </c>
      <c r="G75" s="24" t="str">
        <f>IF(E75&lt;&gt;"",G2copy!F75,"")</f>
        <v/>
      </c>
    </row>
    <row r="76" spans="1:7" ht="15.75" customHeight="1">
      <c r="A76" s="23" t="str">
        <f t="shared" si="6"/>
        <v/>
      </c>
      <c r="B76" t="str">
        <f t="shared" si="7"/>
        <v/>
      </c>
      <c r="C76" s="23" t="str">
        <f t="shared" si="8"/>
        <v/>
      </c>
      <c r="E76" s="24" t="str">
        <f>IF(NOT(ISBLANK(G2copy!B76)),G2copy!B76,"")</f>
        <v/>
      </c>
      <c r="F76" s="24" t="str">
        <f>IF(E76&lt;&gt;"",G2copy!A76,"")</f>
        <v/>
      </c>
      <c r="G76" s="24" t="str">
        <f>IF(E76&lt;&gt;"",G2copy!F76,"")</f>
        <v/>
      </c>
    </row>
    <row r="77" spans="1:7" ht="15.75" customHeight="1">
      <c r="A77" s="23" t="str">
        <f t="shared" si="6"/>
        <v/>
      </c>
      <c r="B77" t="str">
        <f t="shared" si="7"/>
        <v/>
      </c>
      <c r="C77" s="23" t="str">
        <f t="shared" si="8"/>
        <v/>
      </c>
      <c r="E77" s="24" t="str">
        <f>IF(NOT(ISBLANK(G2copy!B77)),G2copy!B77,"")</f>
        <v/>
      </c>
      <c r="F77" s="24" t="str">
        <f>IF(E77&lt;&gt;"",G2copy!A77,"")</f>
        <v/>
      </c>
      <c r="G77" s="24" t="str">
        <f>IF(E77&lt;&gt;"",G2copy!F77,"")</f>
        <v/>
      </c>
    </row>
    <row r="78" spans="1:7" ht="15.75" customHeight="1">
      <c r="A78" s="23" t="str">
        <f t="shared" si="6"/>
        <v/>
      </c>
      <c r="B78" t="str">
        <f t="shared" si="7"/>
        <v/>
      </c>
      <c r="C78" s="23" t="str">
        <f t="shared" si="8"/>
        <v/>
      </c>
      <c r="E78" s="24" t="str">
        <f>IF(NOT(ISBLANK(G2copy!B78)),G2copy!B78,"")</f>
        <v/>
      </c>
      <c r="F78" s="24" t="str">
        <f>IF(E78&lt;&gt;"",G2copy!A78,"")</f>
        <v/>
      </c>
      <c r="G78" s="24" t="str">
        <f>IF(E78&lt;&gt;"",G2copy!F78,"")</f>
        <v/>
      </c>
    </row>
    <row r="79" spans="1:7" ht="15.75" customHeight="1">
      <c r="A79" s="23" t="str">
        <f t="shared" si="6"/>
        <v/>
      </c>
      <c r="B79" t="str">
        <f t="shared" si="7"/>
        <v/>
      </c>
      <c r="C79" s="23" t="str">
        <f t="shared" si="8"/>
        <v/>
      </c>
      <c r="E79" s="24" t="str">
        <f>IF(NOT(ISBLANK(G2copy!B79)),G2copy!B79,"")</f>
        <v/>
      </c>
      <c r="F79" s="24" t="str">
        <f>IF(E79&lt;&gt;"",G2copy!A79,"")</f>
        <v/>
      </c>
      <c r="G79" s="24" t="str">
        <f>IF(E79&lt;&gt;"",G2copy!F79,"")</f>
        <v/>
      </c>
    </row>
    <row r="80" spans="1:7" ht="15.75" customHeight="1">
      <c r="A80" s="23" t="str">
        <f t="shared" si="6"/>
        <v/>
      </c>
      <c r="B80" t="str">
        <f t="shared" si="7"/>
        <v/>
      </c>
      <c r="C80" s="23" t="str">
        <f t="shared" si="8"/>
        <v/>
      </c>
      <c r="E80" s="24" t="str">
        <f>IF(NOT(ISBLANK(G2copy!B80)),G2copy!B80,"")</f>
        <v/>
      </c>
      <c r="F80" s="24" t="str">
        <f>IF(E80&lt;&gt;"",G2copy!A80,"")</f>
        <v/>
      </c>
      <c r="G80" s="24" t="str">
        <f>IF(E80&lt;&gt;"",G2copy!F80,"")</f>
        <v/>
      </c>
    </row>
    <row r="81" spans="1:7" ht="15.75" customHeight="1">
      <c r="A81" s="23" t="str">
        <f t="shared" si="6"/>
        <v/>
      </c>
      <c r="B81" t="str">
        <f t="shared" si="7"/>
        <v/>
      </c>
      <c r="C81" s="23" t="str">
        <f t="shared" si="8"/>
        <v/>
      </c>
      <c r="E81" s="24" t="str">
        <f>IF(NOT(ISBLANK(G2copy!B81)),G2copy!B81,"")</f>
        <v/>
      </c>
      <c r="F81" s="24" t="str">
        <f>IF(E81&lt;&gt;"",G2copy!A81,"")</f>
        <v/>
      </c>
      <c r="G81" s="24" t="str">
        <f>IF(E81&lt;&gt;"",G2copy!F81,"")</f>
        <v/>
      </c>
    </row>
    <row r="82" spans="1:7" ht="15.75" customHeight="1">
      <c r="A82" s="23" t="str">
        <f t="shared" si="6"/>
        <v/>
      </c>
      <c r="B82" t="str">
        <f t="shared" si="7"/>
        <v/>
      </c>
      <c r="C82" s="23" t="str">
        <f t="shared" si="8"/>
        <v/>
      </c>
      <c r="E82" s="24" t="str">
        <f>IF(NOT(ISBLANK(G2copy!B82)),G2copy!B82,"")</f>
        <v/>
      </c>
      <c r="F82" s="24" t="str">
        <f>IF(E82&lt;&gt;"",G2copy!A82,"")</f>
        <v/>
      </c>
      <c r="G82" s="24" t="str">
        <f>IF(E82&lt;&gt;"",G2copy!F82,"")</f>
        <v/>
      </c>
    </row>
    <row r="83" spans="1:7" ht="15.75" customHeight="1">
      <c r="A83" s="23" t="str">
        <f t="shared" si="6"/>
        <v/>
      </c>
      <c r="B83" t="str">
        <f t="shared" si="7"/>
        <v/>
      </c>
      <c r="C83" s="23" t="str">
        <f t="shared" si="8"/>
        <v/>
      </c>
      <c r="E83" s="24" t="str">
        <f>IF(NOT(ISBLANK(G2copy!B83)),G2copy!B83,"")</f>
        <v/>
      </c>
      <c r="F83" s="24" t="str">
        <f>IF(E83&lt;&gt;"",G2copy!A83,"")</f>
        <v/>
      </c>
      <c r="G83" s="24" t="str">
        <f>IF(E83&lt;&gt;"",G2copy!F83,"")</f>
        <v/>
      </c>
    </row>
    <row r="84" spans="1:7" ht="15.75" customHeight="1">
      <c r="A84" s="23" t="str">
        <f t="shared" si="6"/>
        <v/>
      </c>
      <c r="B84" t="str">
        <f t="shared" si="7"/>
        <v/>
      </c>
      <c r="C84" s="23" t="str">
        <f t="shared" si="8"/>
        <v/>
      </c>
      <c r="E84" s="24" t="str">
        <f>IF(NOT(ISBLANK(G2copy!B84)),G2copy!B84,"")</f>
        <v/>
      </c>
      <c r="F84" s="24" t="str">
        <f>IF(E84&lt;&gt;"",G2copy!A84,"")</f>
        <v/>
      </c>
      <c r="G84" s="24" t="str">
        <f>IF(E84&lt;&gt;"",G2copy!F84,"")</f>
        <v/>
      </c>
    </row>
    <row r="85" spans="1:7" ht="15.75" customHeight="1">
      <c r="A85" s="23" t="str">
        <f t="shared" si="6"/>
        <v/>
      </c>
      <c r="B85" t="str">
        <f t="shared" si="7"/>
        <v/>
      </c>
      <c r="C85" s="23" t="str">
        <f t="shared" si="8"/>
        <v/>
      </c>
      <c r="E85" s="24" t="str">
        <f>IF(NOT(ISBLANK(G2copy!B85)),G2copy!B85,"")</f>
        <v/>
      </c>
      <c r="F85" s="24" t="str">
        <f>IF(E85&lt;&gt;"",G2copy!A85,"")</f>
        <v/>
      </c>
      <c r="G85" s="24" t="str">
        <f>IF(E85&lt;&gt;"",G2copy!F85,"")</f>
        <v/>
      </c>
    </row>
    <row r="86" spans="1:7" ht="15.75" customHeight="1">
      <c r="A86" s="23" t="str">
        <f t="shared" si="6"/>
        <v/>
      </c>
      <c r="B86" t="str">
        <f t="shared" si="7"/>
        <v/>
      </c>
      <c r="C86" s="23" t="str">
        <f t="shared" si="8"/>
        <v/>
      </c>
      <c r="E86" s="24" t="str">
        <f>IF(NOT(ISBLANK(G2copy!B86)),G2copy!B86,"")</f>
        <v/>
      </c>
      <c r="F86" s="24" t="str">
        <f>IF(E86&lt;&gt;"",G2copy!A86,"")</f>
        <v/>
      </c>
      <c r="G86" s="24" t="str">
        <f>IF(E86&lt;&gt;"",G2copy!F86,"")</f>
        <v/>
      </c>
    </row>
    <row r="87" spans="1:7" ht="15.75" customHeight="1">
      <c r="A87" s="23" t="str">
        <f t="shared" si="6"/>
        <v/>
      </c>
      <c r="B87" t="str">
        <f t="shared" si="7"/>
        <v/>
      </c>
      <c r="C87" s="23" t="str">
        <f t="shared" si="8"/>
        <v/>
      </c>
      <c r="E87" s="24" t="str">
        <f>IF(NOT(ISBLANK(G2copy!B87)),G2copy!B87,"")</f>
        <v/>
      </c>
      <c r="F87" s="24" t="str">
        <f>IF(E87&lt;&gt;"",G2copy!A87,"")</f>
        <v/>
      </c>
      <c r="G87" s="24" t="str">
        <f>IF(E87&lt;&gt;"",G2copy!F87,"")</f>
        <v/>
      </c>
    </row>
    <row r="88" spans="1:7" ht="15.75" customHeight="1">
      <c r="A88" s="23" t="str">
        <f t="shared" si="6"/>
        <v/>
      </c>
      <c r="B88" t="str">
        <f t="shared" si="7"/>
        <v/>
      </c>
      <c r="C88" s="23" t="str">
        <f t="shared" si="8"/>
        <v/>
      </c>
      <c r="E88" s="24" t="str">
        <f>IF(NOT(ISBLANK(G2copy!B88)),G2copy!B88,"")</f>
        <v/>
      </c>
      <c r="F88" s="24" t="str">
        <f>IF(E88&lt;&gt;"",G2copy!A88,"")</f>
        <v/>
      </c>
      <c r="G88" s="24" t="str">
        <f>IF(E88&lt;&gt;"",G2copy!F88,"")</f>
        <v/>
      </c>
    </row>
    <row r="89" spans="1:7" ht="15.75" customHeight="1">
      <c r="A89" s="23" t="str">
        <f t="shared" si="6"/>
        <v/>
      </c>
      <c r="B89" t="str">
        <f t="shared" si="7"/>
        <v/>
      </c>
      <c r="C89" s="23" t="str">
        <f t="shared" si="8"/>
        <v/>
      </c>
      <c r="E89" s="24" t="str">
        <f>IF(NOT(ISBLANK(G2copy!B89)),G2copy!B89,"")</f>
        <v/>
      </c>
      <c r="F89" s="24" t="str">
        <f>IF(E89&lt;&gt;"",G2copy!A89,"")</f>
        <v/>
      </c>
      <c r="G89" s="24" t="str">
        <f>IF(E89&lt;&gt;"",G2copy!F89,"")</f>
        <v/>
      </c>
    </row>
    <row r="90" spans="1:7" ht="15.75" customHeight="1">
      <c r="A90" s="23" t="str">
        <f t="shared" si="6"/>
        <v/>
      </c>
      <c r="B90" t="str">
        <f t="shared" si="7"/>
        <v/>
      </c>
      <c r="C90" s="23" t="str">
        <f t="shared" si="8"/>
        <v/>
      </c>
      <c r="E90" s="24" t="str">
        <f>IF(NOT(ISBLANK(G2copy!B90)),G2copy!B90,"")</f>
        <v/>
      </c>
      <c r="F90" s="24" t="str">
        <f>IF(E90&lt;&gt;"",G2copy!A90,"")</f>
        <v/>
      </c>
      <c r="G90" s="24" t="str">
        <f>IF(E90&lt;&gt;"",G2copy!F90,"")</f>
        <v/>
      </c>
    </row>
    <row r="91" spans="1:7" ht="15.75" customHeight="1">
      <c r="A91" s="23" t="str">
        <f t="shared" si="6"/>
        <v/>
      </c>
      <c r="B91" t="str">
        <f t="shared" si="7"/>
        <v/>
      </c>
      <c r="C91" s="23" t="str">
        <f t="shared" si="8"/>
        <v/>
      </c>
      <c r="E91" s="24" t="str">
        <f>IF(NOT(ISBLANK(G2copy!B91)),G2copy!B91,"")</f>
        <v/>
      </c>
      <c r="F91" s="24" t="str">
        <f>IF(E91&lt;&gt;"",G2copy!A91,"")</f>
        <v/>
      </c>
      <c r="G91" s="24" t="str">
        <f>IF(E91&lt;&gt;"",G2copy!F91,"")</f>
        <v/>
      </c>
    </row>
    <row r="92" spans="1:7" ht="15.75" customHeight="1">
      <c r="A92" s="23" t="str">
        <f t="shared" si="6"/>
        <v/>
      </c>
      <c r="B92" t="str">
        <f t="shared" si="7"/>
        <v/>
      </c>
      <c r="C92" s="23" t="str">
        <f t="shared" si="8"/>
        <v/>
      </c>
      <c r="E92" s="24" t="str">
        <f>IF(NOT(ISBLANK(G2copy!B92)),G2copy!B92,"")</f>
        <v/>
      </c>
      <c r="F92" s="24" t="str">
        <f>IF(E92&lt;&gt;"",G2copy!A92,"")</f>
        <v/>
      </c>
      <c r="G92" s="24" t="str">
        <f>IF(E92&lt;&gt;"",G2copy!F92,"")</f>
        <v/>
      </c>
    </row>
    <row r="93" spans="1:7" ht="15.75" customHeight="1">
      <c r="A93" s="23" t="str">
        <f t="shared" si="6"/>
        <v/>
      </c>
      <c r="B93" t="str">
        <f t="shared" si="7"/>
        <v/>
      </c>
      <c r="C93" s="23" t="str">
        <f t="shared" si="8"/>
        <v/>
      </c>
      <c r="E93" s="24" t="str">
        <f>IF(NOT(ISBLANK(G2copy!B93)),G2copy!B93,"")</f>
        <v/>
      </c>
      <c r="F93" s="24" t="str">
        <f>IF(E93&lt;&gt;"",G2copy!A93,"")</f>
        <v/>
      </c>
      <c r="G93" s="24" t="str">
        <f>IF(E93&lt;&gt;"",G2copy!F93,"")</f>
        <v/>
      </c>
    </row>
    <row r="94" spans="1:7" ht="15.75" customHeight="1">
      <c r="A94" s="23" t="str">
        <f t="shared" si="6"/>
        <v/>
      </c>
      <c r="B94" t="str">
        <f t="shared" si="7"/>
        <v/>
      </c>
      <c r="C94" s="23" t="str">
        <f t="shared" si="8"/>
        <v/>
      </c>
      <c r="E94" s="24" t="str">
        <f>IF(NOT(ISBLANK(G2copy!B94)),G2copy!B94,"")</f>
        <v/>
      </c>
      <c r="F94" s="24" t="str">
        <f>IF(E94&lt;&gt;"",G2copy!A94,"")</f>
        <v/>
      </c>
      <c r="G94" s="24" t="str">
        <f>IF(E94&lt;&gt;"",G2copy!F94,"")</f>
        <v/>
      </c>
    </row>
    <row r="95" spans="1:7" ht="15.75" customHeight="1">
      <c r="A95" s="23" t="str">
        <f t="shared" si="6"/>
        <v/>
      </c>
      <c r="B95" t="str">
        <f t="shared" si="7"/>
        <v/>
      </c>
      <c r="C95" s="23" t="str">
        <f t="shared" si="8"/>
        <v/>
      </c>
      <c r="E95" s="24" t="str">
        <f>IF(NOT(ISBLANK(G2copy!B95)),G2copy!B95,"")</f>
        <v/>
      </c>
      <c r="F95" s="24" t="str">
        <f>IF(E95&lt;&gt;"",G2copy!A95,"")</f>
        <v/>
      </c>
      <c r="G95" s="24" t="str">
        <f>IF(E95&lt;&gt;"",G2copy!F95,"")</f>
        <v/>
      </c>
    </row>
    <row r="96" spans="1:7" ht="15.75" customHeight="1">
      <c r="A96" s="23" t="str">
        <f t="shared" si="6"/>
        <v/>
      </c>
      <c r="B96" t="str">
        <f t="shared" si="7"/>
        <v/>
      </c>
      <c r="C96" s="23" t="str">
        <f t="shared" si="8"/>
        <v/>
      </c>
      <c r="E96" s="24" t="str">
        <f>IF(NOT(ISBLANK(G2copy!B96)),G2copy!B96,"")</f>
        <v/>
      </c>
      <c r="F96" s="24" t="str">
        <f>IF(E96&lt;&gt;"",G2copy!A96,"")</f>
        <v/>
      </c>
      <c r="G96" s="24" t="str">
        <f>IF(E96&lt;&gt;"",G2copy!F96,"")</f>
        <v/>
      </c>
    </row>
    <row r="97" spans="1:7" ht="15.75" customHeight="1">
      <c r="A97" s="23" t="str">
        <f t="shared" si="6"/>
        <v/>
      </c>
      <c r="B97" t="str">
        <f t="shared" si="7"/>
        <v/>
      </c>
      <c r="C97" s="23" t="str">
        <f t="shared" si="8"/>
        <v/>
      </c>
      <c r="E97" s="24" t="str">
        <f>IF(NOT(ISBLANK(G2copy!B97)),G2copy!B97,"")</f>
        <v/>
      </c>
      <c r="F97" s="24" t="str">
        <f>IF(E97&lt;&gt;"",G2copy!A97,"")</f>
        <v/>
      </c>
      <c r="G97" s="24" t="str">
        <f>IF(E97&lt;&gt;"",G2copy!F97,"")</f>
        <v/>
      </c>
    </row>
    <row r="98" spans="1:7" ht="15.75" customHeight="1">
      <c r="A98" s="23" t="str">
        <f t="shared" si="6"/>
        <v/>
      </c>
      <c r="B98" t="str">
        <f t="shared" si="7"/>
        <v/>
      </c>
      <c r="C98" s="23" t="str">
        <f t="shared" si="8"/>
        <v/>
      </c>
      <c r="E98" s="24" t="str">
        <f>IF(NOT(ISBLANK(G2copy!B98)),G2copy!B98,"")</f>
        <v/>
      </c>
      <c r="F98" s="24" t="str">
        <f>IF(E98&lt;&gt;"",G2copy!A98,"")</f>
        <v/>
      </c>
      <c r="G98" s="24" t="str">
        <f>IF(E98&lt;&gt;"",G2copy!F98,"")</f>
        <v/>
      </c>
    </row>
    <row r="99" spans="1:7" ht="15.75" customHeight="1">
      <c r="A99" s="23" t="str">
        <f t="shared" si="6"/>
        <v/>
      </c>
      <c r="B99" t="str">
        <f t="shared" si="7"/>
        <v/>
      </c>
      <c r="C99" s="23" t="str">
        <f t="shared" si="8"/>
        <v/>
      </c>
      <c r="E99" s="24" t="str">
        <f>IF(NOT(ISBLANK(G2copy!B99)),G2copy!B99,"")</f>
        <v/>
      </c>
      <c r="F99" s="24" t="str">
        <f>IF(E99&lt;&gt;"",G2copy!A99,"")</f>
        <v/>
      </c>
      <c r="G99" s="24" t="str">
        <f>IF(E99&lt;&gt;"",G2copy!F99,"")</f>
        <v/>
      </c>
    </row>
    <row r="100" spans="1:7" ht="15.75" customHeight="1">
      <c r="A100" s="23" t="str">
        <f t="shared" si="6"/>
        <v/>
      </c>
      <c r="B100" t="str">
        <f t="shared" si="7"/>
        <v/>
      </c>
      <c r="C100" s="23" t="str">
        <f t="shared" si="8"/>
        <v/>
      </c>
      <c r="E100" s="24" t="str">
        <f>IF(NOT(ISBLANK(G2copy!B100)),G2copy!B100,"")</f>
        <v/>
      </c>
      <c r="F100" s="24" t="str">
        <f>IF(E100&lt;&gt;"",G2copy!A100,"")</f>
        <v/>
      </c>
      <c r="G100" s="24" t="str">
        <f>IF(E100&lt;&gt;"",G2copy!F100,"")</f>
        <v/>
      </c>
    </row>
    <row r="101" spans="1:7" ht="15.75" customHeight="1">
      <c r="A101" s="23" t="str">
        <f t="shared" si="6"/>
        <v/>
      </c>
      <c r="B101" t="str">
        <f t="shared" si="7"/>
        <v/>
      </c>
      <c r="C101" s="23" t="str">
        <f t="shared" si="8"/>
        <v/>
      </c>
      <c r="E101" s="24" t="str">
        <f>IF(NOT(ISBLANK(G2copy!B101)),G2copy!B101,"")</f>
        <v/>
      </c>
      <c r="F101" s="24" t="str">
        <f>IF(E101&lt;&gt;"",G2copy!A101,"")</f>
        <v/>
      </c>
      <c r="G101" s="24" t="str">
        <f>IF(E101&lt;&gt;"",G2copy!F101,"")</f>
        <v/>
      </c>
    </row>
    <row r="102" spans="1:7" ht="15.75" customHeight="1">
      <c r="A102" s="23" t="str">
        <f t="shared" si="6"/>
        <v/>
      </c>
      <c r="B102" t="str">
        <f t="shared" si="7"/>
        <v/>
      </c>
      <c r="C102" s="23" t="str">
        <f t="shared" si="8"/>
        <v/>
      </c>
      <c r="E102" s="24" t="str">
        <f>IF(NOT(ISBLANK(G2copy!B102)),G2copy!B102,"")</f>
        <v/>
      </c>
      <c r="F102" s="24" t="str">
        <f>IF(E102&lt;&gt;"",G2copy!A102,"")</f>
        <v/>
      </c>
      <c r="G102" s="24" t="str">
        <f>IF(E102&lt;&gt;"",G2copy!F102,"")</f>
        <v/>
      </c>
    </row>
    <row r="103" spans="1:7" ht="15.75" customHeight="1">
      <c r="A103" s="23" t="str">
        <f t="shared" si="6"/>
        <v/>
      </c>
      <c r="B103" t="str">
        <f t="shared" si="7"/>
        <v/>
      </c>
      <c r="C103" s="23" t="str">
        <f t="shared" si="8"/>
        <v/>
      </c>
      <c r="E103" s="24" t="str">
        <f>IF(NOT(ISBLANK(G2copy!B103)),G2copy!B103,"")</f>
        <v/>
      </c>
      <c r="F103" s="24" t="str">
        <f>IF(E103&lt;&gt;"",G2copy!A103,"")</f>
        <v/>
      </c>
      <c r="G103" s="24" t="str">
        <f>IF(E103&lt;&gt;"",G2copy!F103,"")</f>
        <v/>
      </c>
    </row>
    <row r="104" spans="1:7" ht="15.75" customHeight="1">
      <c r="A104" s="23" t="str">
        <f t="shared" si="6"/>
        <v/>
      </c>
      <c r="B104" t="str">
        <f t="shared" si="7"/>
        <v/>
      </c>
      <c r="C104" s="23" t="str">
        <f t="shared" si="8"/>
        <v/>
      </c>
      <c r="E104" s="24" t="str">
        <f>IF(NOT(ISBLANK(G2copy!B104)),G2copy!B104,"")</f>
        <v/>
      </c>
      <c r="F104" s="24" t="str">
        <f>IF(E104&lt;&gt;"",G2copy!A104,"")</f>
        <v/>
      </c>
      <c r="G104" s="24" t="str">
        <f>IF(E104&lt;&gt;"",G2copy!F104,"")</f>
        <v/>
      </c>
    </row>
    <row r="105" spans="1:7" ht="15.75" customHeight="1">
      <c r="A105" s="23" t="str">
        <f t="shared" si="6"/>
        <v/>
      </c>
      <c r="B105" t="str">
        <f t="shared" si="7"/>
        <v/>
      </c>
      <c r="C105" s="23" t="str">
        <f t="shared" si="8"/>
        <v/>
      </c>
      <c r="E105" s="24" t="str">
        <f>IF(NOT(ISBLANK(G2copy!B105)),G2copy!B105,"")</f>
        <v/>
      </c>
      <c r="F105" s="24" t="str">
        <f>IF(E105&lt;&gt;"",G2copy!A105,"")</f>
        <v/>
      </c>
      <c r="G105" s="24" t="str">
        <f>IF(E105&lt;&gt;"",G2copy!F105,"")</f>
        <v/>
      </c>
    </row>
    <row r="106" spans="1:7" ht="15.75" customHeight="1">
      <c r="A106" s="23" t="str">
        <f t="shared" si="6"/>
        <v/>
      </c>
      <c r="B106" t="str">
        <f t="shared" si="7"/>
        <v/>
      </c>
      <c r="C106" s="23" t="str">
        <f t="shared" si="8"/>
        <v/>
      </c>
      <c r="E106" s="24" t="str">
        <f>IF(NOT(ISBLANK(G2copy!B106)),G2copy!B106,"")</f>
        <v/>
      </c>
      <c r="F106" s="24" t="str">
        <f>IF(E106&lt;&gt;"",G2copy!A106,"")</f>
        <v/>
      </c>
      <c r="G106" s="24" t="str">
        <f>IF(E106&lt;&gt;"",G2copy!F106,"")</f>
        <v/>
      </c>
    </row>
    <row r="107" spans="1:7" ht="15.75" customHeight="1">
      <c r="A107" s="23" t="str">
        <f t="shared" si="6"/>
        <v/>
      </c>
      <c r="B107" t="str">
        <f t="shared" si="7"/>
        <v/>
      </c>
      <c r="C107" s="23" t="str">
        <f t="shared" si="8"/>
        <v/>
      </c>
      <c r="E107" s="24" t="str">
        <f>IF(NOT(ISBLANK(G2copy!B107)),G2copy!B107,"")</f>
        <v/>
      </c>
      <c r="F107" s="24" t="str">
        <f>IF(E107&lt;&gt;"",G2copy!A107,"")</f>
        <v/>
      </c>
      <c r="G107" s="24" t="str">
        <f>IF(E107&lt;&gt;"",G2copy!F107,"")</f>
        <v/>
      </c>
    </row>
    <row r="108" spans="1:7" ht="15.75" customHeight="1">
      <c r="A108" s="23" t="str">
        <f t="shared" si="6"/>
        <v/>
      </c>
      <c r="B108" t="str">
        <f t="shared" si="7"/>
        <v/>
      </c>
      <c r="C108" s="23" t="str">
        <f t="shared" si="8"/>
        <v/>
      </c>
      <c r="E108" s="24" t="str">
        <f>IF(NOT(ISBLANK(G2copy!B108)),G2copy!B108,"")</f>
        <v/>
      </c>
      <c r="F108" s="24" t="str">
        <f>IF(E108&lt;&gt;"",G2copy!A108,"")</f>
        <v/>
      </c>
      <c r="G108" s="24" t="str">
        <f>IF(E108&lt;&gt;"",G2copy!F108,"")</f>
        <v/>
      </c>
    </row>
    <row r="109" spans="1:7" ht="15.75" customHeight="1">
      <c r="A109" s="23" t="str">
        <f t="shared" si="6"/>
        <v/>
      </c>
      <c r="B109" t="str">
        <f t="shared" si="7"/>
        <v/>
      </c>
      <c r="C109" s="23" t="str">
        <f t="shared" si="8"/>
        <v/>
      </c>
      <c r="E109" s="24" t="str">
        <f>IF(NOT(ISBLANK(G2copy!B109)),G2copy!B109,"")</f>
        <v/>
      </c>
      <c r="F109" s="24" t="str">
        <f>IF(E109&lt;&gt;"",G2copy!A109,"")</f>
        <v/>
      </c>
      <c r="G109" s="24" t="str">
        <f>IF(E109&lt;&gt;"",G2copy!F109,"")</f>
        <v/>
      </c>
    </row>
    <row r="110" spans="1:7" ht="15.75" customHeight="1">
      <c r="A110" s="23" t="str">
        <f t="shared" si="6"/>
        <v/>
      </c>
      <c r="B110" t="str">
        <f t="shared" si="7"/>
        <v/>
      </c>
      <c r="C110" s="23" t="str">
        <f t="shared" si="8"/>
        <v/>
      </c>
      <c r="E110" s="24" t="str">
        <f>IF(NOT(ISBLANK(G2copy!B110)),G2copy!B110,"")</f>
        <v/>
      </c>
      <c r="F110" s="24" t="str">
        <f>IF(E110&lt;&gt;"",G2copy!A110,"")</f>
        <v/>
      </c>
      <c r="G110" s="24" t="str">
        <f>IF(E110&lt;&gt;"",G2copy!F110,"")</f>
        <v/>
      </c>
    </row>
    <row r="111" spans="1:7" ht="15.75" customHeight="1">
      <c r="A111" s="23" t="str">
        <f t="shared" si="6"/>
        <v/>
      </c>
      <c r="B111" t="str">
        <f t="shared" si="7"/>
        <v/>
      </c>
      <c r="C111" s="23" t="str">
        <f t="shared" si="8"/>
        <v/>
      </c>
      <c r="E111" s="24" t="str">
        <f>IF(NOT(ISBLANK(G2copy!B111)),G2copy!B111,"")</f>
        <v/>
      </c>
      <c r="F111" s="24" t="str">
        <f>IF(E111&lt;&gt;"",G2copy!A111,"")</f>
        <v/>
      </c>
      <c r="G111" s="24" t="str">
        <f>IF(E111&lt;&gt;"",G2copy!F111,"")</f>
        <v/>
      </c>
    </row>
    <row r="112" spans="1:7" ht="15.75" customHeight="1">
      <c r="A112" s="23" t="str">
        <f t="shared" si="6"/>
        <v/>
      </c>
      <c r="B112" t="str">
        <f t="shared" si="7"/>
        <v/>
      </c>
      <c r="C112" s="23" t="str">
        <f t="shared" si="8"/>
        <v/>
      </c>
      <c r="E112" s="24" t="str">
        <f>IF(NOT(ISBLANK(G2copy!B112)),G2copy!B112,"")</f>
        <v/>
      </c>
      <c r="F112" s="24" t="str">
        <f>IF(E112&lt;&gt;"",G2copy!A112,"")</f>
        <v/>
      </c>
      <c r="G112" s="24" t="str">
        <f>IF(E112&lt;&gt;"",G2copy!F112,"")</f>
        <v/>
      </c>
    </row>
    <row r="113" spans="1:7" ht="15.75" customHeight="1">
      <c r="A113" s="23" t="str">
        <f t="shared" si="6"/>
        <v/>
      </c>
      <c r="B113" t="str">
        <f t="shared" si="7"/>
        <v/>
      </c>
      <c r="C113" s="23" t="str">
        <f t="shared" si="8"/>
        <v/>
      </c>
      <c r="E113" s="24" t="str">
        <f>IF(NOT(ISBLANK(G2copy!B113)),G2copy!B113,"")</f>
        <v/>
      </c>
      <c r="F113" s="24" t="str">
        <f>IF(E113&lt;&gt;"",G2copy!A113,"")</f>
        <v/>
      </c>
      <c r="G113" s="24" t="str">
        <f>IF(E113&lt;&gt;"",G2copy!F113,"")</f>
        <v/>
      </c>
    </row>
    <row r="114" spans="1:7" ht="15.75" customHeight="1">
      <c r="A114" s="23" t="str">
        <f t="shared" si="6"/>
        <v/>
      </c>
      <c r="B114" t="str">
        <f t="shared" si="7"/>
        <v/>
      </c>
      <c r="C114" s="23" t="str">
        <f t="shared" si="8"/>
        <v/>
      </c>
      <c r="E114" s="24" t="str">
        <f>IF(NOT(ISBLANK(G2copy!B114)),G2copy!B114,"")</f>
        <v/>
      </c>
      <c r="F114" s="24" t="str">
        <f>IF(E114&lt;&gt;"",G2copy!A114,"")</f>
        <v/>
      </c>
      <c r="G114" s="24" t="str">
        <f>IF(E114&lt;&gt;"",G2copy!F114,"")</f>
        <v/>
      </c>
    </row>
    <row r="115" spans="1:7" ht="15.75" customHeight="1">
      <c r="A115" s="23" t="str">
        <f t="shared" si="6"/>
        <v/>
      </c>
      <c r="B115" t="str">
        <f t="shared" si="7"/>
        <v/>
      </c>
      <c r="C115" s="23" t="str">
        <f t="shared" si="8"/>
        <v/>
      </c>
      <c r="E115" s="24" t="str">
        <f>IF(NOT(ISBLANK(G2copy!B115)),G2copy!B115,"")</f>
        <v/>
      </c>
      <c r="F115" s="24" t="str">
        <f>IF(E115&lt;&gt;"",G2copy!A115,"")</f>
        <v/>
      </c>
      <c r="G115" s="24" t="str">
        <f>IF(E115&lt;&gt;"",G2copy!F115,"")</f>
        <v/>
      </c>
    </row>
    <row r="116" spans="1:7" ht="15.75" customHeight="1">
      <c r="A116" s="23" t="str">
        <f t="shared" si="6"/>
        <v/>
      </c>
      <c r="B116" t="str">
        <f t="shared" si="7"/>
        <v/>
      </c>
      <c r="C116" s="23" t="str">
        <f t="shared" si="8"/>
        <v/>
      </c>
      <c r="E116" s="24" t="str">
        <f>IF(NOT(ISBLANK(G2copy!B116)),G2copy!B116,"")</f>
        <v/>
      </c>
      <c r="F116" s="24" t="str">
        <f>IF(E116&lt;&gt;"",G2copy!A116,"")</f>
        <v/>
      </c>
      <c r="G116" s="24" t="str">
        <f>IF(E116&lt;&gt;"",G2copy!F116,"")</f>
        <v/>
      </c>
    </row>
    <row r="117" spans="1:7" ht="15.75" customHeight="1">
      <c r="A117" s="23" t="str">
        <f t="shared" si="6"/>
        <v/>
      </c>
      <c r="B117" t="str">
        <f t="shared" si="7"/>
        <v/>
      </c>
      <c r="C117" s="23" t="str">
        <f t="shared" si="8"/>
        <v/>
      </c>
      <c r="E117" s="24" t="str">
        <f>IF(NOT(ISBLANK(G2copy!B117)),G2copy!B117,"")</f>
        <v/>
      </c>
      <c r="F117" s="24" t="str">
        <f>IF(E117&lt;&gt;"",G2copy!A117,"")</f>
        <v/>
      </c>
      <c r="G117" s="24" t="str">
        <f>IF(E117&lt;&gt;"",G2copy!F117,"")</f>
        <v/>
      </c>
    </row>
    <row r="118" spans="1:7" ht="15.75" customHeight="1">
      <c r="A118" s="23" t="str">
        <f t="shared" si="6"/>
        <v/>
      </c>
      <c r="B118" t="str">
        <f t="shared" si="7"/>
        <v/>
      </c>
      <c r="C118" s="23" t="str">
        <f t="shared" si="8"/>
        <v/>
      </c>
      <c r="E118" s="24" t="str">
        <f>IF(NOT(ISBLANK(G2copy!B118)),G2copy!B118,"")</f>
        <v/>
      </c>
      <c r="F118" s="24" t="str">
        <f>IF(E118&lt;&gt;"",G2copy!A118,"")</f>
        <v/>
      </c>
      <c r="G118" s="24" t="str">
        <f>IF(E118&lt;&gt;"",G2copy!F118,"")</f>
        <v/>
      </c>
    </row>
    <row r="119" spans="1:7" ht="15.75" customHeight="1">
      <c r="A119" s="23" t="str">
        <f t="shared" si="6"/>
        <v/>
      </c>
      <c r="B119" t="str">
        <f t="shared" si="7"/>
        <v/>
      </c>
      <c r="C119" s="23" t="str">
        <f t="shared" si="8"/>
        <v/>
      </c>
      <c r="E119" s="24" t="str">
        <f>IF(NOT(ISBLANK(G2copy!B119)),G2copy!B119,"")</f>
        <v/>
      </c>
      <c r="F119" s="24" t="str">
        <f>IF(E119&lt;&gt;"",G2copy!A119,"")</f>
        <v/>
      </c>
      <c r="G119" s="24" t="str">
        <f>IF(E119&lt;&gt;"",G2copy!F119,"")</f>
        <v/>
      </c>
    </row>
    <row r="120" spans="1:7" ht="15.75" customHeight="1">
      <c r="A120" s="23" t="str">
        <f t="shared" si="6"/>
        <v/>
      </c>
      <c r="B120" t="str">
        <f t="shared" si="7"/>
        <v/>
      </c>
      <c r="C120" s="23" t="str">
        <f t="shared" si="8"/>
        <v/>
      </c>
      <c r="E120" s="24" t="str">
        <f>IF(NOT(ISBLANK(G2copy!B120)),G2copy!B120,"")</f>
        <v/>
      </c>
      <c r="F120" s="24" t="str">
        <f>IF(E120&lt;&gt;"",G2copy!A120,"")</f>
        <v/>
      </c>
      <c r="G120" s="24" t="str">
        <f>IF(E120&lt;&gt;"",G2copy!F120,"")</f>
        <v/>
      </c>
    </row>
    <row r="121" spans="1:7" ht="15.75" customHeight="1">
      <c r="A121" s="23" t="str">
        <f t="shared" si="6"/>
        <v/>
      </c>
      <c r="B121" t="str">
        <f t="shared" si="7"/>
        <v/>
      </c>
      <c r="C121" s="23" t="str">
        <f t="shared" si="8"/>
        <v/>
      </c>
      <c r="E121" s="24" t="str">
        <f>IF(NOT(ISBLANK(G2copy!B121)),G2copy!B121,"")</f>
        <v/>
      </c>
      <c r="F121" s="24" t="str">
        <f>IF(E121&lt;&gt;"",G2copy!A121,"")</f>
        <v/>
      </c>
      <c r="G121" s="24" t="str">
        <f>IF(E121&lt;&gt;"",G2copy!F121,"")</f>
        <v/>
      </c>
    </row>
    <row r="122" spans="1:7" ht="15.75" customHeight="1">
      <c r="A122" s="23" t="str">
        <f t="shared" si="6"/>
        <v/>
      </c>
      <c r="B122" t="str">
        <f t="shared" si="7"/>
        <v/>
      </c>
      <c r="C122" s="23" t="str">
        <f t="shared" si="8"/>
        <v/>
      </c>
      <c r="E122" s="24" t="str">
        <f>IF(NOT(ISBLANK(G2copy!B122)),G2copy!B122,"")</f>
        <v/>
      </c>
      <c r="F122" s="24" t="str">
        <f>IF(E122&lt;&gt;"",G2copy!A122,"")</f>
        <v/>
      </c>
      <c r="G122" s="24" t="str">
        <f>IF(E122&lt;&gt;"",G2copy!F122,"")</f>
        <v/>
      </c>
    </row>
    <row r="123" spans="1:7" ht="15.75" customHeight="1">
      <c r="A123" s="23" t="str">
        <f t="shared" si="6"/>
        <v/>
      </c>
      <c r="B123" t="str">
        <f t="shared" si="7"/>
        <v/>
      </c>
      <c r="C123" s="23" t="str">
        <f t="shared" si="8"/>
        <v/>
      </c>
      <c r="E123" s="24" t="str">
        <f>IF(NOT(ISBLANK(G2copy!B123)),G2copy!B123,"")</f>
        <v/>
      </c>
      <c r="F123" s="24" t="str">
        <f>IF(E123&lt;&gt;"",G2copy!A123,"")</f>
        <v/>
      </c>
      <c r="G123" s="24" t="str">
        <f>IF(E123&lt;&gt;"",G2copy!F123,"")</f>
        <v/>
      </c>
    </row>
    <row r="124" spans="1:7" ht="15.75" customHeight="1">
      <c r="A124" s="23" t="str">
        <f t="shared" si="6"/>
        <v/>
      </c>
      <c r="B124" t="str">
        <f t="shared" si="7"/>
        <v/>
      </c>
      <c r="C124" s="23" t="str">
        <f t="shared" si="8"/>
        <v/>
      </c>
      <c r="E124" s="24" t="str">
        <f>IF(NOT(ISBLANK(G2copy!B124)),G2copy!B124,"")</f>
        <v/>
      </c>
      <c r="F124" s="24" t="str">
        <f>IF(E124&lt;&gt;"",G2copy!A124,"")</f>
        <v/>
      </c>
      <c r="G124" s="24" t="str">
        <f>IF(E124&lt;&gt;"",G2copy!F124,"")</f>
        <v/>
      </c>
    </row>
    <row r="125" spans="1:7" ht="15.75" customHeight="1">
      <c r="A125" s="23" t="str">
        <f t="shared" si="6"/>
        <v/>
      </c>
      <c r="B125" t="str">
        <f t="shared" si="7"/>
        <v/>
      </c>
      <c r="C125" s="23" t="str">
        <f t="shared" si="8"/>
        <v/>
      </c>
      <c r="E125" s="24" t="str">
        <f>IF(NOT(ISBLANK(G2copy!B125)),G2copy!B125,"")</f>
        <v/>
      </c>
      <c r="F125" s="24" t="str">
        <f>IF(E125&lt;&gt;"",G2copy!A125,"")</f>
        <v/>
      </c>
      <c r="G125" s="24" t="str">
        <f>IF(E125&lt;&gt;"",G2copy!F125,"")</f>
        <v/>
      </c>
    </row>
    <row r="126" spans="1:7" ht="15.75" customHeight="1">
      <c r="A126" s="23" t="str">
        <f t="shared" si="6"/>
        <v/>
      </c>
      <c r="B126" t="str">
        <f t="shared" si="7"/>
        <v/>
      </c>
      <c r="C126" s="23" t="str">
        <f t="shared" si="8"/>
        <v/>
      </c>
      <c r="E126" s="24" t="str">
        <f>IF(NOT(ISBLANK(G2copy!B126)),G2copy!B126,"")</f>
        <v/>
      </c>
      <c r="F126" s="24" t="str">
        <f>IF(E126&lt;&gt;"",G2copy!A126,"")</f>
        <v/>
      </c>
      <c r="G126" s="24" t="str">
        <f>IF(E126&lt;&gt;"",G2copy!F126,"")</f>
        <v/>
      </c>
    </row>
    <row r="127" spans="1:7" ht="15.75" customHeight="1">
      <c r="A127" s="23" t="str">
        <f t="shared" si="6"/>
        <v/>
      </c>
      <c r="B127" t="str">
        <f t="shared" si="7"/>
        <v/>
      </c>
      <c r="C127" s="23" t="str">
        <f t="shared" si="8"/>
        <v/>
      </c>
      <c r="E127" s="24" t="str">
        <f>IF(NOT(ISBLANK(G2copy!B127)),G2copy!B127,"")</f>
        <v/>
      </c>
      <c r="F127" s="24" t="str">
        <f>IF(E127&lt;&gt;"",G2copy!A127,"")</f>
        <v/>
      </c>
      <c r="G127" s="24" t="str">
        <f>IF(E127&lt;&gt;"",G2copy!F127,"")</f>
        <v/>
      </c>
    </row>
    <row r="128" spans="1:7" ht="15.75" customHeight="1">
      <c r="A128" s="23" t="str">
        <f t="shared" si="6"/>
        <v/>
      </c>
      <c r="B128" t="str">
        <f t="shared" si="7"/>
        <v/>
      </c>
      <c r="C128" s="23" t="str">
        <f t="shared" si="8"/>
        <v/>
      </c>
      <c r="E128" s="24" t="str">
        <f>IF(NOT(ISBLANK(G2copy!B128)),G2copy!B128,"")</f>
        <v/>
      </c>
      <c r="F128" s="24" t="str">
        <f>IF(E128&lt;&gt;"",G2copy!A128,"")</f>
        <v/>
      </c>
      <c r="G128" s="24" t="str">
        <f>IF(E128&lt;&gt;"",G2copy!F128,"")</f>
        <v/>
      </c>
    </row>
    <row r="129" spans="1:7" ht="15.75" customHeight="1">
      <c r="A129" s="23" t="str">
        <f t="shared" si="6"/>
        <v/>
      </c>
      <c r="B129" t="str">
        <f t="shared" si="7"/>
        <v/>
      </c>
      <c r="C129" s="23" t="str">
        <f t="shared" si="8"/>
        <v/>
      </c>
      <c r="E129" s="24" t="str">
        <f>IF(NOT(ISBLANK(G2copy!B129)),G2copy!B129,"")</f>
        <v/>
      </c>
      <c r="F129" s="24" t="str">
        <f>IF(E129&lt;&gt;"",G2copy!A129,"")</f>
        <v/>
      </c>
      <c r="G129" s="24" t="str">
        <f>IF(E129&lt;&gt;"",G2copy!F129,"")</f>
        <v/>
      </c>
    </row>
    <row r="130" spans="1:7" ht="15.75" customHeight="1">
      <c r="A130" s="23" t="str">
        <f t="shared" si="6"/>
        <v/>
      </c>
      <c r="B130" t="str">
        <f t="shared" si="7"/>
        <v/>
      </c>
      <c r="C130" s="23" t="str">
        <f t="shared" si="8"/>
        <v/>
      </c>
      <c r="E130" s="24" t="str">
        <f>IF(NOT(ISBLANK(G2copy!B130)),G2copy!B130,"")</f>
        <v/>
      </c>
      <c r="F130" s="24" t="str">
        <f>IF(E130&lt;&gt;"",G2copy!A130,"")</f>
        <v/>
      </c>
      <c r="G130" s="24" t="str">
        <f>IF(E130&lt;&gt;"",G2copy!F130,"")</f>
        <v/>
      </c>
    </row>
    <row r="131" spans="1:7" ht="15.75" customHeight="1">
      <c r="A131" s="23" t="str">
        <f t="shared" ref="A131:A194" si="9">IF(E131&lt;&gt;"",DATEVALUE(LEFT(E131,10)),"")</f>
        <v/>
      </c>
      <c r="B131" t="str">
        <f t="shared" ref="B131:B194" si="10">IF(LEN(F131)&gt;3,RIGHT(F131,LEN(F131)-3),"")</f>
        <v/>
      </c>
      <c r="C131" s="23" t="str">
        <f t="shared" ref="C131:C194" si="11">IF(E131&lt;&gt;"",DATEVALUE(LEFT(G131,10)),"")</f>
        <v/>
      </c>
      <c r="E131" s="24" t="str">
        <f>IF(NOT(ISBLANK(G2copy!B131)),G2copy!B131,"")</f>
        <v/>
      </c>
      <c r="F131" s="24" t="str">
        <f>IF(E131&lt;&gt;"",G2copy!A131,"")</f>
        <v/>
      </c>
      <c r="G131" s="24" t="str">
        <f>IF(E131&lt;&gt;"",G2copy!F131,"")</f>
        <v/>
      </c>
    </row>
    <row r="132" spans="1:7" ht="15.75" customHeight="1">
      <c r="A132" s="23" t="str">
        <f t="shared" si="9"/>
        <v/>
      </c>
      <c r="B132" t="str">
        <f t="shared" si="10"/>
        <v/>
      </c>
      <c r="C132" s="23" t="str">
        <f t="shared" si="11"/>
        <v/>
      </c>
      <c r="E132" s="24" t="str">
        <f>IF(NOT(ISBLANK(G2copy!B132)),G2copy!B132,"")</f>
        <v/>
      </c>
      <c r="F132" s="24" t="str">
        <f>IF(E132&lt;&gt;"",G2copy!A132,"")</f>
        <v/>
      </c>
      <c r="G132" s="24" t="str">
        <f>IF(E132&lt;&gt;"",G2copy!F132,"")</f>
        <v/>
      </c>
    </row>
    <row r="133" spans="1:7" ht="15.75" customHeight="1">
      <c r="A133" s="23" t="str">
        <f t="shared" si="9"/>
        <v/>
      </c>
      <c r="B133" t="str">
        <f t="shared" si="10"/>
        <v/>
      </c>
      <c r="C133" s="23" t="str">
        <f t="shared" si="11"/>
        <v/>
      </c>
      <c r="E133" s="24" t="str">
        <f>IF(NOT(ISBLANK(G2copy!B133)),G2copy!B133,"")</f>
        <v/>
      </c>
      <c r="F133" s="24" t="str">
        <f>IF(E133&lt;&gt;"",G2copy!A133,"")</f>
        <v/>
      </c>
      <c r="G133" s="24" t="str">
        <f>IF(E133&lt;&gt;"",G2copy!F133,"")</f>
        <v/>
      </c>
    </row>
    <row r="134" spans="1:7" ht="15.75" customHeight="1">
      <c r="A134" s="23" t="str">
        <f t="shared" si="9"/>
        <v/>
      </c>
      <c r="B134" t="str">
        <f t="shared" si="10"/>
        <v/>
      </c>
      <c r="C134" s="23" t="str">
        <f t="shared" si="11"/>
        <v/>
      </c>
      <c r="E134" s="24" t="str">
        <f>IF(NOT(ISBLANK(G2copy!B134)),G2copy!B134,"")</f>
        <v/>
      </c>
      <c r="F134" s="24" t="str">
        <f>IF(E134&lt;&gt;"",G2copy!A134,"")</f>
        <v/>
      </c>
      <c r="G134" s="24" t="str">
        <f>IF(E134&lt;&gt;"",G2copy!F134,"")</f>
        <v/>
      </c>
    </row>
    <row r="135" spans="1:7" ht="15.75" customHeight="1">
      <c r="A135" s="23" t="str">
        <f t="shared" si="9"/>
        <v/>
      </c>
      <c r="B135" t="str">
        <f t="shared" si="10"/>
        <v/>
      </c>
      <c r="C135" s="23" t="str">
        <f t="shared" si="11"/>
        <v/>
      </c>
      <c r="E135" s="24" t="str">
        <f>IF(NOT(ISBLANK(G2copy!B135)),G2copy!B135,"")</f>
        <v/>
      </c>
      <c r="F135" s="24" t="str">
        <f>IF(E135&lt;&gt;"",G2copy!A135,"")</f>
        <v/>
      </c>
      <c r="G135" s="24" t="str">
        <f>IF(E135&lt;&gt;"",G2copy!F135,"")</f>
        <v/>
      </c>
    </row>
    <row r="136" spans="1:7" ht="15.75" customHeight="1">
      <c r="A136" s="23" t="str">
        <f t="shared" si="9"/>
        <v/>
      </c>
      <c r="B136" t="str">
        <f t="shared" si="10"/>
        <v/>
      </c>
      <c r="C136" s="23" t="str">
        <f t="shared" si="11"/>
        <v/>
      </c>
      <c r="E136" s="24" t="str">
        <f>IF(NOT(ISBLANK(G2copy!B136)),G2copy!B136,"")</f>
        <v/>
      </c>
      <c r="F136" s="24" t="str">
        <f>IF(E136&lt;&gt;"",G2copy!A136,"")</f>
        <v/>
      </c>
      <c r="G136" s="24" t="str">
        <f>IF(E136&lt;&gt;"",G2copy!F136,"")</f>
        <v/>
      </c>
    </row>
    <row r="137" spans="1:7" ht="15.75" customHeight="1">
      <c r="A137" s="23" t="str">
        <f t="shared" si="9"/>
        <v/>
      </c>
      <c r="B137" t="str">
        <f t="shared" si="10"/>
        <v/>
      </c>
      <c r="C137" s="23" t="str">
        <f t="shared" si="11"/>
        <v/>
      </c>
      <c r="E137" s="24" t="str">
        <f>IF(NOT(ISBLANK(G2copy!B137)),G2copy!B137,"")</f>
        <v/>
      </c>
      <c r="F137" s="24" t="str">
        <f>IF(E137&lt;&gt;"",G2copy!A137,"")</f>
        <v/>
      </c>
      <c r="G137" s="24" t="str">
        <f>IF(E137&lt;&gt;"",G2copy!F137,"")</f>
        <v/>
      </c>
    </row>
    <row r="138" spans="1:7" ht="15.75" customHeight="1">
      <c r="A138" s="23" t="str">
        <f t="shared" si="9"/>
        <v/>
      </c>
      <c r="B138" t="str">
        <f t="shared" si="10"/>
        <v/>
      </c>
      <c r="C138" s="23" t="str">
        <f t="shared" si="11"/>
        <v/>
      </c>
      <c r="E138" s="24" t="str">
        <f>IF(NOT(ISBLANK(G2copy!B138)),G2copy!B138,"")</f>
        <v/>
      </c>
      <c r="F138" s="24" t="str">
        <f>IF(E138&lt;&gt;"",G2copy!A138,"")</f>
        <v/>
      </c>
      <c r="G138" s="24" t="str">
        <f>IF(E138&lt;&gt;"",G2copy!F138,"")</f>
        <v/>
      </c>
    </row>
    <row r="139" spans="1:7" ht="15.75" customHeight="1">
      <c r="A139" s="23" t="str">
        <f t="shared" si="9"/>
        <v/>
      </c>
      <c r="B139" t="str">
        <f t="shared" si="10"/>
        <v/>
      </c>
      <c r="C139" s="23" t="str">
        <f t="shared" si="11"/>
        <v/>
      </c>
      <c r="E139" s="24" t="str">
        <f>IF(NOT(ISBLANK(G2copy!B139)),G2copy!B139,"")</f>
        <v/>
      </c>
      <c r="F139" s="24" t="str">
        <f>IF(E139&lt;&gt;"",G2copy!A139,"")</f>
        <v/>
      </c>
      <c r="G139" s="24" t="str">
        <f>IF(E139&lt;&gt;"",G2copy!F139,"")</f>
        <v/>
      </c>
    </row>
    <row r="140" spans="1:7" ht="15.75" customHeight="1">
      <c r="A140" s="23" t="str">
        <f t="shared" si="9"/>
        <v/>
      </c>
      <c r="B140" t="str">
        <f t="shared" si="10"/>
        <v/>
      </c>
      <c r="C140" s="23" t="str">
        <f t="shared" si="11"/>
        <v/>
      </c>
      <c r="E140" s="24" t="str">
        <f>IF(NOT(ISBLANK(G2copy!B140)),G2copy!B140,"")</f>
        <v/>
      </c>
      <c r="F140" s="24" t="str">
        <f>IF(E140&lt;&gt;"",G2copy!A140,"")</f>
        <v/>
      </c>
      <c r="G140" s="24" t="str">
        <f>IF(E140&lt;&gt;"",G2copy!F140,"")</f>
        <v/>
      </c>
    </row>
    <row r="141" spans="1:7" ht="15.75" customHeight="1">
      <c r="A141" s="23" t="str">
        <f t="shared" si="9"/>
        <v/>
      </c>
      <c r="B141" t="str">
        <f t="shared" si="10"/>
        <v/>
      </c>
      <c r="C141" s="23" t="str">
        <f t="shared" si="11"/>
        <v/>
      </c>
      <c r="E141" s="24" t="str">
        <f>IF(NOT(ISBLANK(G2copy!B141)),G2copy!B141,"")</f>
        <v/>
      </c>
      <c r="F141" s="24" t="str">
        <f>IF(E141&lt;&gt;"",G2copy!A141,"")</f>
        <v/>
      </c>
      <c r="G141" s="24" t="str">
        <f>IF(E141&lt;&gt;"",G2copy!F141,"")</f>
        <v/>
      </c>
    </row>
    <row r="142" spans="1:7" ht="15.75" customHeight="1">
      <c r="A142" s="23" t="str">
        <f t="shared" si="9"/>
        <v/>
      </c>
      <c r="B142" t="str">
        <f t="shared" si="10"/>
        <v/>
      </c>
      <c r="C142" s="23" t="str">
        <f t="shared" si="11"/>
        <v/>
      </c>
      <c r="E142" s="24" t="str">
        <f>IF(NOT(ISBLANK(G2copy!B142)),G2copy!B142,"")</f>
        <v/>
      </c>
      <c r="F142" s="24" t="str">
        <f>IF(E142&lt;&gt;"",G2copy!A142,"")</f>
        <v/>
      </c>
      <c r="G142" s="24" t="str">
        <f>IF(E142&lt;&gt;"",G2copy!F142,"")</f>
        <v/>
      </c>
    </row>
    <row r="143" spans="1:7" ht="15.75" customHeight="1">
      <c r="A143" s="23" t="str">
        <f t="shared" si="9"/>
        <v/>
      </c>
      <c r="B143" t="str">
        <f t="shared" si="10"/>
        <v/>
      </c>
      <c r="C143" s="23" t="str">
        <f t="shared" si="11"/>
        <v/>
      </c>
      <c r="E143" s="24" t="str">
        <f>IF(NOT(ISBLANK(G2copy!B143)),G2copy!B143,"")</f>
        <v/>
      </c>
      <c r="F143" s="24" t="str">
        <f>IF(E143&lt;&gt;"",G2copy!A143,"")</f>
        <v/>
      </c>
      <c r="G143" s="24" t="str">
        <f>IF(E143&lt;&gt;"",G2copy!F143,"")</f>
        <v/>
      </c>
    </row>
    <row r="144" spans="1:7" ht="15.75" customHeight="1">
      <c r="A144" s="23" t="str">
        <f t="shared" si="9"/>
        <v/>
      </c>
      <c r="B144" t="str">
        <f t="shared" si="10"/>
        <v/>
      </c>
      <c r="C144" s="23" t="str">
        <f t="shared" si="11"/>
        <v/>
      </c>
      <c r="E144" s="24" t="str">
        <f>IF(NOT(ISBLANK(G2copy!B144)),G2copy!B144,"")</f>
        <v/>
      </c>
      <c r="F144" s="24" t="str">
        <f>IF(E144&lt;&gt;"",G2copy!A144,"")</f>
        <v/>
      </c>
      <c r="G144" s="24" t="str">
        <f>IF(E144&lt;&gt;"",G2copy!F144,"")</f>
        <v/>
      </c>
    </row>
    <row r="145" spans="1:7" ht="15.75" customHeight="1">
      <c r="A145" s="23" t="str">
        <f t="shared" si="9"/>
        <v/>
      </c>
      <c r="B145" t="str">
        <f t="shared" si="10"/>
        <v/>
      </c>
      <c r="C145" s="23" t="str">
        <f t="shared" si="11"/>
        <v/>
      </c>
      <c r="E145" s="24" t="str">
        <f>IF(NOT(ISBLANK(G2copy!B145)),G2copy!B145,"")</f>
        <v/>
      </c>
      <c r="F145" s="24" t="str">
        <f>IF(E145&lt;&gt;"",G2copy!A145,"")</f>
        <v/>
      </c>
      <c r="G145" s="24" t="str">
        <f>IF(E145&lt;&gt;"",G2copy!F145,"")</f>
        <v/>
      </c>
    </row>
    <row r="146" spans="1:7" ht="15.75" customHeight="1">
      <c r="A146" s="23" t="str">
        <f t="shared" si="9"/>
        <v/>
      </c>
      <c r="B146" t="str">
        <f t="shared" si="10"/>
        <v/>
      </c>
      <c r="C146" s="23" t="str">
        <f t="shared" si="11"/>
        <v/>
      </c>
      <c r="E146" s="24" t="str">
        <f>IF(NOT(ISBLANK(G2copy!B146)),G2copy!B146,"")</f>
        <v/>
      </c>
      <c r="F146" s="24" t="str">
        <f>IF(E146&lt;&gt;"",G2copy!A146,"")</f>
        <v/>
      </c>
      <c r="G146" s="24" t="str">
        <f>IF(E146&lt;&gt;"",G2copy!F146,"")</f>
        <v/>
      </c>
    </row>
    <row r="147" spans="1:7" ht="15.75" customHeight="1">
      <c r="A147" s="23" t="str">
        <f t="shared" si="9"/>
        <v/>
      </c>
      <c r="B147" t="str">
        <f t="shared" si="10"/>
        <v/>
      </c>
      <c r="C147" s="23" t="str">
        <f t="shared" si="11"/>
        <v/>
      </c>
      <c r="E147" s="24" t="str">
        <f>IF(NOT(ISBLANK(G2copy!B147)),G2copy!B147,"")</f>
        <v/>
      </c>
      <c r="F147" s="24" t="str">
        <f>IF(E147&lt;&gt;"",G2copy!A147,"")</f>
        <v/>
      </c>
      <c r="G147" s="24" t="str">
        <f>IF(E147&lt;&gt;"",G2copy!F147,"")</f>
        <v/>
      </c>
    </row>
    <row r="148" spans="1:7" ht="15.75" customHeight="1">
      <c r="A148" s="23" t="str">
        <f t="shared" si="9"/>
        <v/>
      </c>
      <c r="B148" t="str">
        <f t="shared" si="10"/>
        <v/>
      </c>
      <c r="C148" s="23" t="str">
        <f t="shared" si="11"/>
        <v/>
      </c>
      <c r="E148" s="24" t="str">
        <f>IF(NOT(ISBLANK(G2copy!B148)),G2copy!B148,"")</f>
        <v/>
      </c>
      <c r="F148" s="24" t="str">
        <f>IF(E148&lt;&gt;"",G2copy!A148,"")</f>
        <v/>
      </c>
      <c r="G148" s="24" t="str">
        <f>IF(E148&lt;&gt;"",G2copy!F148,"")</f>
        <v/>
      </c>
    </row>
    <row r="149" spans="1:7" ht="15.75" customHeight="1">
      <c r="A149" s="23" t="str">
        <f t="shared" si="9"/>
        <v/>
      </c>
      <c r="B149" t="str">
        <f t="shared" si="10"/>
        <v/>
      </c>
      <c r="C149" s="23" t="str">
        <f t="shared" si="11"/>
        <v/>
      </c>
      <c r="E149" s="24" t="str">
        <f>IF(NOT(ISBLANK(G2copy!B149)),G2copy!B149,"")</f>
        <v/>
      </c>
      <c r="F149" s="24" t="str">
        <f>IF(E149&lt;&gt;"",G2copy!A149,"")</f>
        <v/>
      </c>
      <c r="G149" s="24" t="str">
        <f>IF(E149&lt;&gt;"",G2copy!F149,"")</f>
        <v/>
      </c>
    </row>
    <row r="150" spans="1:7" ht="15.75" customHeight="1">
      <c r="A150" s="23" t="str">
        <f t="shared" si="9"/>
        <v/>
      </c>
      <c r="B150" t="str">
        <f t="shared" si="10"/>
        <v/>
      </c>
      <c r="C150" s="23" t="str">
        <f t="shared" si="11"/>
        <v/>
      </c>
      <c r="E150" s="24" t="str">
        <f>IF(NOT(ISBLANK(G2copy!B150)),G2copy!B150,"")</f>
        <v/>
      </c>
      <c r="F150" s="24" t="str">
        <f>IF(E150&lt;&gt;"",G2copy!A150,"")</f>
        <v/>
      </c>
      <c r="G150" s="24" t="str">
        <f>IF(E150&lt;&gt;"",G2copy!F150,"")</f>
        <v/>
      </c>
    </row>
    <row r="151" spans="1:7" ht="15.75" customHeight="1">
      <c r="A151" s="23" t="str">
        <f t="shared" si="9"/>
        <v/>
      </c>
      <c r="B151" t="str">
        <f t="shared" si="10"/>
        <v/>
      </c>
      <c r="C151" s="23" t="str">
        <f t="shared" si="11"/>
        <v/>
      </c>
      <c r="E151" s="24" t="str">
        <f>IF(NOT(ISBLANK(G2copy!B151)),G2copy!B151,"")</f>
        <v/>
      </c>
      <c r="F151" s="24" t="str">
        <f>IF(E151&lt;&gt;"",G2copy!A151,"")</f>
        <v/>
      </c>
      <c r="G151" s="24" t="str">
        <f>IF(E151&lt;&gt;"",G2copy!F151,"")</f>
        <v/>
      </c>
    </row>
    <row r="152" spans="1:7" ht="15.75" customHeight="1">
      <c r="A152" s="23" t="str">
        <f t="shared" si="9"/>
        <v/>
      </c>
      <c r="B152" t="str">
        <f t="shared" si="10"/>
        <v/>
      </c>
      <c r="C152" s="23" t="str">
        <f t="shared" si="11"/>
        <v/>
      </c>
      <c r="E152" s="24" t="str">
        <f>IF(NOT(ISBLANK(G2copy!B152)),G2copy!B152,"")</f>
        <v/>
      </c>
      <c r="F152" s="24" t="str">
        <f>IF(E152&lt;&gt;"",G2copy!A152,"")</f>
        <v/>
      </c>
      <c r="G152" s="24" t="str">
        <f>IF(E152&lt;&gt;"",G2copy!F152,"")</f>
        <v/>
      </c>
    </row>
    <row r="153" spans="1:7" ht="15.75" customHeight="1">
      <c r="A153" s="23" t="str">
        <f t="shared" si="9"/>
        <v/>
      </c>
      <c r="B153" t="str">
        <f t="shared" si="10"/>
        <v/>
      </c>
      <c r="C153" s="23" t="str">
        <f t="shared" si="11"/>
        <v/>
      </c>
      <c r="E153" s="24" t="str">
        <f>IF(NOT(ISBLANK(G2copy!B153)),G2copy!B153,"")</f>
        <v/>
      </c>
      <c r="F153" s="24" t="str">
        <f>IF(E153&lt;&gt;"",G2copy!A153,"")</f>
        <v/>
      </c>
      <c r="G153" s="24" t="str">
        <f>IF(E153&lt;&gt;"",G2copy!F153,"")</f>
        <v/>
      </c>
    </row>
    <row r="154" spans="1:7" ht="15.75" customHeight="1">
      <c r="A154" s="23" t="str">
        <f t="shared" si="9"/>
        <v/>
      </c>
      <c r="B154" t="str">
        <f t="shared" si="10"/>
        <v/>
      </c>
      <c r="C154" s="23" t="str">
        <f t="shared" si="11"/>
        <v/>
      </c>
      <c r="E154" s="24" t="str">
        <f>IF(NOT(ISBLANK(G2copy!B154)),G2copy!B154,"")</f>
        <v/>
      </c>
      <c r="F154" s="24" t="str">
        <f>IF(E154&lt;&gt;"",G2copy!A154,"")</f>
        <v/>
      </c>
      <c r="G154" s="24" t="str">
        <f>IF(E154&lt;&gt;"",G2copy!F154,"")</f>
        <v/>
      </c>
    </row>
    <row r="155" spans="1:7" ht="15.75" customHeight="1">
      <c r="A155" s="23" t="str">
        <f t="shared" si="9"/>
        <v/>
      </c>
      <c r="B155" t="str">
        <f t="shared" si="10"/>
        <v/>
      </c>
      <c r="C155" s="23" t="str">
        <f t="shared" si="11"/>
        <v/>
      </c>
      <c r="E155" s="24" t="str">
        <f>IF(NOT(ISBLANK(G2copy!B155)),G2copy!B155,"")</f>
        <v/>
      </c>
      <c r="F155" s="24" t="str">
        <f>IF(E155&lt;&gt;"",G2copy!A155,"")</f>
        <v/>
      </c>
      <c r="G155" s="24" t="str">
        <f>IF(E155&lt;&gt;"",G2copy!F155,"")</f>
        <v/>
      </c>
    </row>
    <row r="156" spans="1:7" ht="15.75" customHeight="1">
      <c r="A156" s="23" t="str">
        <f t="shared" si="9"/>
        <v/>
      </c>
      <c r="B156" t="str">
        <f t="shared" si="10"/>
        <v/>
      </c>
      <c r="C156" s="23" t="str">
        <f t="shared" si="11"/>
        <v/>
      </c>
      <c r="E156" s="24" t="str">
        <f>IF(NOT(ISBLANK(G2copy!B156)),G2copy!B156,"")</f>
        <v/>
      </c>
      <c r="F156" s="24" t="str">
        <f>IF(E156&lt;&gt;"",G2copy!A156,"")</f>
        <v/>
      </c>
      <c r="G156" s="24" t="str">
        <f>IF(E156&lt;&gt;"",G2copy!F156,"")</f>
        <v/>
      </c>
    </row>
    <row r="157" spans="1:7" ht="15.75" customHeight="1">
      <c r="A157" s="23" t="str">
        <f t="shared" si="9"/>
        <v/>
      </c>
      <c r="B157" t="str">
        <f t="shared" si="10"/>
        <v/>
      </c>
      <c r="C157" s="23" t="str">
        <f t="shared" si="11"/>
        <v/>
      </c>
      <c r="E157" s="24" t="str">
        <f>IF(NOT(ISBLANK(G2copy!B157)),G2copy!B157,"")</f>
        <v/>
      </c>
      <c r="F157" s="24" t="str">
        <f>IF(E157&lt;&gt;"",G2copy!A157,"")</f>
        <v/>
      </c>
      <c r="G157" s="24" t="str">
        <f>IF(E157&lt;&gt;"",G2copy!F157,"")</f>
        <v/>
      </c>
    </row>
    <row r="158" spans="1:7" ht="15.75" customHeight="1">
      <c r="A158" s="23" t="str">
        <f t="shared" si="9"/>
        <v/>
      </c>
      <c r="B158" t="str">
        <f t="shared" si="10"/>
        <v/>
      </c>
      <c r="C158" s="23" t="str">
        <f t="shared" si="11"/>
        <v/>
      </c>
      <c r="E158" s="24" t="str">
        <f>IF(NOT(ISBLANK(G2copy!B158)),G2copy!B158,"")</f>
        <v/>
      </c>
      <c r="F158" s="24" t="str">
        <f>IF(E158&lt;&gt;"",G2copy!A158,"")</f>
        <v/>
      </c>
      <c r="G158" s="24" t="str">
        <f>IF(E158&lt;&gt;"",G2copy!F158,"")</f>
        <v/>
      </c>
    </row>
    <row r="159" spans="1:7" ht="15.75" customHeight="1">
      <c r="A159" s="23" t="str">
        <f t="shared" si="9"/>
        <v/>
      </c>
      <c r="B159" t="str">
        <f t="shared" si="10"/>
        <v/>
      </c>
      <c r="C159" s="23" t="str">
        <f t="shared" si="11"/>
        <v/>
      </c>
      <c r="E159" s="24" t="str">
        <f>IF(NOT(ISBLANK(G2copy!B159)),G2copy!B159,"")</f>
        <v/>
      </c>
      <c r="F159" s="24" t="str">
        <f>IF(E159&lt;&gt;"",G2copy!A159,"")</f>
        <v/>
      </c>
      <c r="G159" s="24" t="str">
        <f>IF(E159&lt;&gt;"",G2copy!F159,"")</f>
        <v/>
      </c>
    </row>
    <row r="160" spans="1:7" ht="15.75" customHeight="1">
      <c r="A160" s="23" t="str">
        <f t="shared" si="9"/>
        <v/>
      </c>
      <c r="B160" t="str">
        <f t="shared" si="10"/>
        <v/>
      </c>
      <c r="C160" s="23" t="str">
        <f t="shared" si="11"/>
        <v/>
      </c>
      <c r="E160" s="24" t="str">
        <f>IF(NOT(ISBLANK(G2copy!B160)),G2copy!B160,"")</f>
        <v/>
      </c>
      <c r="F160" s="24" t="str">
        <f>IF(E160&lt;&gt;"",G2copy!A160,"")</f>
        <v/>
      </c>
      <c r="G160" s="24" t="str">
        <f>IF(E160&lt;&gt;"",G2copy!F160,"")</f>
        <v/>
      </c>
    </row>
    <row r="161" spans="1:7" ht="15.75" customHeight="1">
      <c r="A161" s="23" t="str">
        <f t="shared" si="9"/>
        <v/>
      </c>
      <c r="B161" t="str">
        <f t="shared" si="10"/>
        <v/>
      </c>
      <c r="C161" s="23" t="str">
        <f t="shared" si="11"/>
        <v/>
      </c>
      <c r="E161" s="24" t="str">
        <f>IF(NOT(ISBLANK(G2copy!B161)),G2copy!B161,"")</f>
        <v/>
      </c>
      <c r="F161" s="24" t="str">
        <f>IF(E161&lt;&gt;"",G2copy!A161,"")</f>
        <v/>
      </c>
      <c r="G161" s="24" t="str">
        <f>IF(E161&lt;&gt;"",G2copy!F161,"")</f>
        <v/>
      </c>
    </row>
    <row r="162" spans="1:7" ht="15.75" customHeight="1">
      <c r="A162" s="23" t="str">
        <f t="shared" si="9"/>
        <v/>
      </c>
      <c r="B162" t="str">
        <f t="shared" si="10"/>
        <v/>
      </c>
      <c r="C162" s="23" t="str">
        <f t="shared" si="11"/>
        <v/>
      </c>
      <c r="E162" s="24" t="str">
        <f>IF(NOT(ISBLANK(G2copy!B162)),G2copy!B162,"")</f>
        <v/>
      </c>
      <c r="F162" s="24" t="str">
        <f>IF(E162&lt;&gt;"",G2copy!A162,"")</f>
        <v/>
      </c>
      <c r="G162" s="24" t="str">
        <f>IF(E162&lt;&gt;"",G2copy!F162,"")</f>
        <v/>
      </c>
    </row>
    <row r="163" spans="1:7" ht="15.75" customHeight="1">
      <c r="A163" s="23" t="str">
        <f t="shared" si="9"/>
        <v/>
      </c>
      <c r="B163" t="str">
        <f t="shared" si="10"/>
        <v/>
      </c>
      <c r="C163" s="23" t="str">
        <f t="shared" si="11"/>
        <v/>
      </c>
      <c r="E163" s="24" t="str">
        <f>IF(NOT(ISBLANK(G2copy!B163)),G2copy!B163,"")</f>
        <v/>
      </c>
      <c r="F163" s="24" t="str">
        <f>IF(E163&lt;&gt;"",G2copy!A163,"")</f>
        <v/>
      </c>
      <c r="G163" s="24" t="str">
        <f>IF(E163&lt;&gt;"",G2copy!F163,"")</f>
        <v/>
      </c>
    </row>
    <row r="164" spans="1:7" ht="15.75" customHeight="1">
      <c r="A164" s="23" t="str">
        <f t="shared" si="9"/>
        <v/>
      </c>
      <c r="B164" t="str">
        <f t="shared" si="10"/>
        <v/>
      </c>
      <c r="C164" s="23" t="str">
        <f t="shared" si="11"/>
        <v/>
      </c>
      <c r="E164" s="24" t="str">
        <f>IF(NOT(ISBLANK(G2copy!B164)),G2copy!B164,"")</f>
        <v/>
      </c>
      <c r="F164" s="24" t="str">
        <f>IF(E164&lt;&gt;"",G2copy!A164,"")</f>
        <v/>
      </c>
      <c r="G164" s="24" t="str">
        <f>IF(E164&lt;&gt;"",G2copy!F164,"")</f>
        <v/>
      </c>
    </row>
    <row r="165" spans="1:7" ht="15.75" customHeight="1">
      <c r="A165" s="23" t="str">
        <f t="shared" si="9"/>
        <v/>
      </c>
      <c r="B165" t="str">
        <f t="shared" si="10"/>
        <v/>
      </c>
      <c r="C165" s="23" t="str">
        <f t="shared" si="11"/>
        <v/>
      </c>
      <c r="E165" s="24" t="str">
        <f>IF(NOT(ISBLANK(G2copy!B165)),G2copy!B165,"")</f>
        <v/>
      </c>
      <c r="F165" s="24" t="str">
        <f>IF(E165&lt;&gt;"",G2copy!A165,"")</f>
        <v/>
      </c>
      <c r="G165" s="24" t="str">
        <f>IF(E165&lt;&gt;"",G2copy!F165,"")</f>
        <v/>
      </c>
    </row>
    <row r="166" spans="1:7" ht="15.75" customHeight="1">
      <c r="A166" s="23" t="str">
        <f t="shared" si="9"/>
        <v/>
      </c>
      <c r="B166" t="str">
        <f t="shared" si="10"/>
        <v/>
      </c>
      <c r="C166" s="23" t="str">
        <f t="shared" si="11"/>
        <v/>
      </c>
      <c r="E166" s="24" t="str">
        <f>IF(NOT(ISBLANK(G2copy!B166)),G2copy!B166,"")</f>
        <v/>
      </c>
      <c r="F166" s="24" t="str">
        <f>IF(E166&lt;&gt;"",G2copy!A166,"")</f>
        <v/>
      </c>
      <c r="G166" s="24" t="str">
        <f>IF(E166&lt;&gt;"",G2copy!F166,"")</f>
        <v/>
      </c>
    </row>
    <row r="167" spans="1:7" ht="15.75" customHeight="1">
      <c r="A167" s="23" t="str">
        <f t="shared" si="9"/>
        <v/>
      </c>
      <c r="B167" t="str">
        <f t="shared" si="10"/>
        <v/>
      </c>
      <c r="C167" s="23" t="str">
        <f t="shared" si="11"/>
        <v/>
      </c>
      <c r="E167" s="24" t="str">
        <f>IF(NOT(ISBLANK(G2copy!B167)),G2copy!B167,"")</f>
        <v/>
      </c>
      <c r="F167" s="24" t="str">
        <f>IF(E167&lt;&gt;"",G2copy!A167,"")</f>
        <v/>
      </c>
      <c r="G167" s="24" t="str">
        <f>IF(E167&lt;&gt;"",G2copy!F167,"")</f>
        <v/>
      </c>
    </row>
    <row r="168" spans="1:7" ht="15.75" customHeight="1">
      <c r="A168" s="23" t="str">
        <f t="shared" si="9"/>
        <v/>
      </c>
      <c r="B168" t="str">
        <f t="shared" si="10"/>
        <v/>
      </c>
      <c r="C168" s="23" t="str">
        <f t="shared" si="11"/>
        <v/>
      </c>
      <c r="E168" s="24" t="str">
        <f>IF(NOT(ISBLANK(G2copy!B168)),G2copy!B168,"")</f>
        <v/>
      </c>
      <c r="F168" s="24" t="str">
        <f>IF(E168&lt;&gt;"",G2copy!A168,"")</f>
        <v/>
      </c>
      <c r="G168" s="24" t="str">
        <f>IF(E168&lt;&gt;"",G2copy!F168,"")</f>
        <v/>
      </c>
    </row>
    <row r="169" spans="1:7" ht="15.75" customHeight="1">
      <c r="A169" s="23" t="str">
        <f t="shared" si="9"/>
        <v/>
      </c>
      <c r="B169" t="str">
        <f t="shared" si="10"/>
        <v/>
      </c>
      <c r="C169" s="23" t="str">
        <f t="shared" si="11"/>
        <v/>
      </c>
      <c r="E169" s="24" t="str">
        <f>IF(NOT(ISBLANK(G2copy!B169)),G2copy!B169,"")</f>
        <v/>
      </c>
      <c r="F169" s="24" t="str">
        <f>IF(E169&lt;&gt;"",G2copy!A169,"")</f>
        <v/>
      </c>
      <c r="G169" s="24" t="str">
        <f>IF(E169&lt;&gt;"",G2copy!F169,"")</f>
        <v/>
      </c>
    </row>
    <row r="170" spans="1:7" ht="15.75" customHeight="1">
      <c r="A170" s="23" t="str">
        <f t="shared" si="9"/>
        <v/>
      </c>
      <c r="B170" t="str">
        <f t="shared" si="10"/>
        <v/>
      </c>
      <c r="C170" s="23" t="str">
        <f t="shared" si="11"/>
        <v/>
      </c>
      <c r="E170" s="24" t="str">
        <f>IF(NOT(ISBLANK(G2copy!B170)),G2copy!B170,"")</f>
        <v/>
      </c>
      <c r="F170" s="24" t="str">
        <f>IF(E170&lt;&gt;"",G2copy!A170,"")</f>
        <v/>
      </c>
      <c r="G170" s="24" t="str">
        <f>IF(E170&lt;&gt;"",G2copy!F170,"")</f>
        <v/>
      </c>
    </row>
    <row r="171" spans="1:7" ht="15.75" customHeight="1">
      <c r="A171" s="23" t="str">
        <f t="shared" si="9"/>
        <v/>
      </c>
      <c r="B171" t="str">
        <f t="shared" si="10"/>
        <v/>
      </c>
      <c r="C171" s="23" t="str">
        <f t="shared" si="11"/>
        <v/>
      </c>
      <c r="E171" s="24" t="str">
        <f>IF(NOT(ISBLANK(G2copy!B171)),G2copy!B171,"")</f>
        <v/>
      </c>
      <c r="F171" s="24" t="str">
        <f>IF(E171&lt;&gt;"",G2copy!A171,"")</f>
        <v/>
      </c>
      <c r="G171" s="24" t="str">
        <f>IF(E171&lt;&gt;"",G2copy!F171,"")</f>
        <v/>
      </c>
    </row>
    <row r="172" spans="1:7" ht="15.75" customHeight="1">
      <c r="A172" s="23" t="str">
        <f t="shared" si="9"/>
        <v/>
      </c>
      <c r="B172" t="str">
        <f t="shared" si="10"/>
        <v/>
      </c>
      <c r="C172" s="23" t="str">
        <f t="shared" si="11"/>
        <v/>
      </c>
      <c r="E172" s="24" t="str">
        <f>IF(NOT(ISBLANK(G2copy!B172)),G2copy!B172,"")</f>
        <v/>
      </c>
      <c r="F172" s="24" t="str">
        <f>IF(E172&lt;&gt;"",G2copy!A172,"")</f>
        <v/>
      </c>
      <c r="G172" s="24" t="str">
        <f>IF(E172&lt;&gt;"",G2copy!F172,"")</f>
        <v/>
      </c>
    </row>
    <row r="173" spans="1:7" ht="15.75" customHeight="1">
      <c r="A173" s="23" t="str">
        <f t="shared" si="9"/>
        <v/>
      </c>
      <c r="B173" t="str">
        <f t="shared" si="10"/>
        <v/>
      </c>
      <c r="C173" s="23" t="str">
        <f t="shared" si="11"/>
        <v/>
      </c>
      <c r="E173" s="24" t="str">
        <f>IF(NOT(ISBLANK(G2copy!B173)),G2copy!B173,"")</f>
        <v/>
      </c>
      <c r="F173" s="24" t="str">
        <f>IF(E173&lt;&gt;"",G2copy!A173,"")</f>
        <v/>
      </c>
      <c r="G173" s="24" t="str">
        <f>IF(E173&lt;&gt;"",G2copy!F173,"")</f>
        <v/>
      </c>
    </row>
    <row r="174" spans="1:7" ht="15.75" customHeight="1">
      <c r="A174" s="23" t="str">
        <f t="shared" si="9"/>
        <v/>
      </c>
      <c r="B174" t="str">
        <f t="shared" si="10"/>
        <v/>
      </c>
      <c r="C174" s="23" t="str">
        <f t="shared" si="11"/>
        <v/>
      </c>
      <c r="E174" s="24" t="str">
        <f>IF(NOT(ISBLANK(G2copy!B174)),G2copy!B174,"")</f>
        <v/>
      </c>
      <c r="F174" s="24" t="str">
        <f>IF(E174&lt;&gt;"",G2copy!A174,"")</f>
        <v/>
      </c>
      <c r="G174" s="24" t="str">
        <f>IF(E174&lt;&gt;"",G2copy!F174,"")</f>
        <v/>
      </c>
    </row>
    <row r="175" spans="1:7" ht="15.75" customHeight="1">
      <c r="A175" s="23" t="str">
        <f t="shared" si="9"/>
        <v/>
      </c>
      <c r="B175" t="str">
        <f t="shared" si="10"/>
        <v/>
      </c>
      <c r="C175" s="23" t="str">
        <f t="shared" si="11"/>
        <v/>
      </c>
      <c r="E175" s="24" t="str">
        <f>IF(NOT(ISBLANK(G2copy!B175)),G2copy!B175,"")</f>
        <v/>
      </c>
      <c r="F175" s="24" t="str">
        <f>IF(E175&lt;&gt;"",G2copy!A175,"")</f>
        <v/>
      </c>
      <c r="G175" s="24" t="str">
        <f>IF(E175&lt;&gt;"",G2copy!F175,"")</f>
        <v/>
      </c>
    </row>
    <row r="176" spans="1:7" ht="15.75" customHeight="1">
      <c r="A176" s="23" t="str">
        <f t="shared" si="9"/>
        <v/>
      </c>
      <c r="B176" t="str">
        <f t="shared" si="10"/>
        <v/>
      </c>
      <c r="C176" s="23" t="str">
        <f t="shared" si="11"/>
        <v/>
      </c>
      <c r="E176" s="24" t="str">
        <f>IF(NOT(ISBLANK(G2copy!B176)),G2copy!B176,"")</f>
        <v/>
      </c>
      <c r="F176" s="24" t="str">
        <f>IF(E176&lt;&gt;"",G2copy!A176,"")</f>
        <v/>
      </c>
      <c r="G176" s="24" t="str">
        <f>IF(E176&lt;&gt;"",G2copy!F176,"")</f>
        <v/>
      </c>
    </row>
    <row r="177" spans="1:7" ht="15.75" customHeight="1">
      <c r="A177" s="23" t="str">
        <f t="shared" si="9"/>
        <v/>
      </c>
      <c r="B177" t="str">
        <f t="shared" si="10"/>
        <v/>
      </c>
      <c r="C177" s="23" t="str">
        <f t="shared" si="11"/>
        <v/>
      </c>
      <c r="E177" s="24" t="str">
        <f>IF(NOT(ISBLANK(G2copy!B177)),G2copy!B177,"")</f>
        <v/>
      </c>
      <c r="F177" s="24" t="str">
        <f>IF(E177&lt;&gt;"",G2copy!A177,"")</f>
        <v/>
      </c>
      <c r="G177" s="24" t="str">
        <f>IF(E177&lt;&gt;"",G2copy!F177,"")</f>
        <v/>
      </c>
    </row>
    <row r="178" spans="1:7" ht="15.75" customHeight="1">
      <c r="A178" s="23" t="str">
        <f t="shared" si="9"/>
        <v/>
      </c>
      <c r="B178" t="str">
        <f t="shared" si="10"/>
        <v/>
      </c>
      <c r="C178" s="23" t="str">
        <f t="shared" si="11"/>
        <v/>
      </c>
      <c r="E178" s="24" t="str">
        <f>IF(NOT(ISBLANK(G2copy!B178)),G2copy!B178,"")</f>
        <v/>
      </c>
      <c r="F178" s="24" t="str">
        <f>IF(E178&lt;&gt;"",G2copy!A178,"")</f>
        <v/>
      </c>
      <c r="G178" s="24" t="str">
        <f>IF(E178&lt;&gt;"",G2copy!F178,"")</f>
        <v/>
      </c>
    </row>
    <row r="179" spans="1:7" ht="15.75" customHeight="1">
      <c r="A179" s="23" t="str">
        <f t="shared" si="9"/>
        <v/>
      </c>
      <c r="B179" t="str">
        <f t="shared" si="10"/>
        <v/>
      </c>
      <c r="C179" s="23" t="str">
        <f t="shared" si="11"/>
        <v/>
      </c>
      <c r="E179" s="24" t="str">
        <f>IF(NOT(ISBLANK(G2copy!B179)),G2copy!B179,"")</f>
        <v/>
      </c>
      <c r="F179" s="24" t="str">
        <f>IF(E179&lt;&gt;"",G2copy!A179,"")</f>
        <v/>
      </c>
      <c r="G179" s="24" t="str">
        <f>IF(E179&lt;&gt;"",G2copy!F179,"")</f>
        <v/>
      </c>
    </row>
    <row r="180" spans="1:7" ht="15.75" customHeight="1">
      <c r="A180" s="23" t="str">
        <f t="shared" si="9"/>
        <v/>
      </c>
      <c r="B180" t="str">
        <f t="shared" si="10"/>
        <v/>
      </c>
      <c r="C180" s="23" t="str">
        <f t="shared" si="11"/>
        <v/>
      </c>
      <c r="E180" s="24" t="str">
        <f>IF(NOT(ISBLANK(G2copy!B180)),G2copy!B180,"")</f>
        <v/>
      </c>
      <c r="F180" s="24" t="str">
        <f>IF(E180&lt;&gt;"",G2copy!A180,"")</f>
        <v/>
      </c>
      <c r="G180" s="24" t="str">
        <f>IF(E180&lt;&gt;"",G2copy!F180,"")</f>
        <v/>
      </c>
    </row>
    <row r="181" spans="1:7" ht="15.75" customHeight="1">
      <c r="A181" s="23" t="str">
        <f t="shared" si="9"/>
        <v/>
      </c>
      <c r="B181" t="str">
        <f t="shared" si="10"/>
        <v/>
      </c>
      <c r="C181" s="23" t="str">
        <f t="shared" si="11"/>
        <v/>
      </c>
      <c r="E181" s="24" t="str">
        <f>IF(NOT(ISBLANK(G2copy!B181)),G2copy!B181,"")</f>
        <v/>
      </c>
      <c r="F181" s="24" t="str">
        <f>IF(E181&lt;&gt;"",G2copy!A181,"")</f>
        <v/>
      </c>
      <c r="G181" s="24" t="str">
        <f>IF(E181&lt;&gt;"",G2copy!F181,"")</f>
        <v/>
      </c>
    </row>
    <row r="182" spans="1:7" ht="15.75" customHeight="1">
      <c r="A182" s="23" t="str">
        <f t="shared" si="9"/>
        <v/>
      </c>
      <c r="B182" t="str">
        <f t="shared" si="10"/>
        <v/>
      </c>
      <c r="C182" s="23" t="str">
        <f t="shared" si="11"/>
        <v/>
      </c>
      <c r="E182" s="24" t="str">
        <f>IF(NOT(ISBLANK(G2copy!B182)),G2copy!B182,"")</f>
        <v/>
      </c>
      <c r="F182" s="24" t="str">
        <f>IF(E182&lt;&gt;"",G2copy!A182,"")</f>
        <v/>
      </c>
      <c r="G182" s="24" t="str">
        <f>IF(E182&lt;&gt;"",G2copy!F182,"")</f>
        <v/>
      </c>
    </row>
    <row r="183" spans="1:7" ht="15.75" customHeight="1">
      <c r="A183" s="23" t="str">
        <f t="shared" si="9"/>
        <v/>
      </c>
      <c r="B183" t="str">
        <f t="shared" si="10"/>
        <v/>
      </c>
      <c r="C183" s="23" t="str">
        <f t="shared" si="11"/>
        <v/>
      </c>
      <c r="E183" s="24" t="str">
        <f>IF(NOT(ISBLANK(G2copy!B183)),G2copy!B183,"")</f>
        <v/>
      </c>
      <c r="F183" s="24" t="str">
        <f>IF(E183&lt;&gt;"",G2copy!A183,"")</f>
        <v/>
      </c>
      <c r="G183" s="24" t="str">
        <f>IF(E183&lt;&gt;"",G2copy!F183,"")</f>
        <v/>
      </c>
    </row>
    <row r="184" spans="1:7" ht="15.75" customHeight="1">
      <c r="A184" s="23" t="str">
        <f t="shared" si="9"/>
        <v/>
      </c>
      <c r="B184" t="str">
        <f t="shared" si="10"/>
        <v/>
      </c>
      <c r="C184" s="23" t="str">
        <f t="shared" si="11"/>
        <v/>
      </c>
      <c r="E184" s="24" t="str">
        <f>IF(NOT(ISBLANK(G2copy!B184)),G2copy!B184,"")</f>
        <v/>
      </c>
      <c r="F184" s="24" t="str">
        <f>IF(E184&lt;&gt;"",G2copy!A184,"")</f>
        <v/>
      </c>
      <c r="G184" s="24" t="str">
        <f>IF(E184&lt;&gt;"",G2copy!F184,"")</f>
        <v/>
      </c>
    </row>
    <row r="185" spans="1:7" ht="15.75" customHeight="1">
      <c r="A185" s="23" t="str">
        <f t="shared" si="9"/>
        <v/>
      </c>
      <c r="B185" t="str">
        <f t="shared" si="10"/>
        <v/>
      </c>
      <c r="C185" s="23" t="str">
        <f t="shared" si="11"/>
        <v/>
      </c>
      <c r="E185" s="24" t="str">
        <f>IF(NOT(ISBLANK(G2copy!B185)),G2copy!B185,"")</f>
        <v/>
      </c>
      <c r="F185" s="24" t="str">
        <f>IF(E185&lt;&gt;"",G2copy!A185,"")</f>
        <v/>
      </c>
      <c r="G185" s="24" t="str">
        <f>IF(E185&lt;&gt;"",G2copy!F185,"")</f>
        <v/>
      </c>
    </row>
    <row r="186" spans="1:7" ht="15.75" customHeight="1">
      <c r="A186" s="23" t="str">
        <f t="shared" si="9"/>
        <v/>
      </c>
      <c r="B186" t="str">
        <f t="shared" si="10"/>
        <v/>
      </c>
      <c r="C186" s="23" t="str">
        <f t="shared" si="11"/>
        <v/>
      </c>
      <c r="E186" s="24" t="str">
        <f>IF(NOT(ISBLANK(G2copy!B186)),G2copy!B186,"")</f>
        <v/>
      </c>
      <c r="F186" s="24" t="str">
        <f>IF(E186&lt;&gt;"",G2copy!A186,"")</f>
        <v/>
      </c>
      <c r="G186" s="24" t="str">
        <f>IF(E186&lt;&gt;"",G2copy!F186,"")</f>
        <v/>
      </c>
    </row>
    <row r="187" spans="1:7" ht="15.75" customHeight="1">
      <c r="A187" s="23" t="str">
        <f t="shared" si="9"/>
        <v/>
      </c>
      <c r="B187" t="str">
        <f t="shared" si="10"/>
        <v/>
      </c>
      <c r="C187" s="23" t="str">
        <f t="shared" si="11"/>
        <v/>
      </c>
      <c r="E187" s="24" t="str">
        <f>IF(NOT(ISBLANK(G2copy!B187)),G2copy!B187,"")</f>
        <v/>
      </c>
      <c r="F187" s="24" t="str">
        <f>IF(E187&lt;&gt;"",G2copy!A187,"")</f>
        <v/>
      </c>
      <c r="G187" s="24" t="str">
        <f>IF(E187&lt;&gt;"",G2copy!F187,"")</f>
        <v/>
      </c>
    </row>
    <row r="188" spans="1:7" ht="15.75" customHeight="1">
      <c r="A188" s="23" t="str">
        <f t="shared" si="9"/>
        <v/>
      </c>
      <c r="B188" t="str">
        <f t="shared" si="10"/>
        <v/>
      </c>
      <c r="C188" s="23" t="str">
        <f t="shared" si="11"/>
        <v/>
      </c>
      <c r="E188" s="24" t="str">
        <f>IF(NOT(ISBLANK(G2copy!B188)),G2copy!B188,"")</f>
        <v/>
      </c>
      <c r="F188" s="24" t="str">
        <f>IF(E188&lt;&gt;"",G2copy!A188,"")</f>
        <v/>
      </c>
      <c r="G188" s="24" t="str">
        <f>IF(E188&lt;&gt;"",G2copy!F188,"")</f>
        <v/>
      </c>
    </row>
    <row r="189" spans="1:7" ht="15.75" customHeight="1">
      <c r="A189" s="23" t="str">
        <f t="shared" si="9"/>
        <v/>
      </c>
      <c r="B189" t="str">
        <f t="shared" si="10"/>
        <v/>
      </c>
      <c r="C189" s="23" t="str">
        <f t="shared" si="11"/>
        <v/>
      </c>
      <c r="E189" s="24" t="str">
        <f>IF(NOT(ISBLANK(G2copy!B189)),G2copy!B189,"")</f>
        <v/>
      </c>
      <c r="F189" s="24" t="str">
        <f>IF(E189&lt;&gt;"",G2copy!A189,"")</f>
        <v/>
      </c>
      <c r="G189" s="24" t="str">
        <f>IF(E189&lt;&gt;"",G2copy!F189,"")</f>
        <v/>
      </c>
    </row>
    <row r="190" spans="1:7" ht="15.75" customHeight="1">
      <c r="A190" s="23" t="str">
        <f t="shared" si="9"/>
        <v/>
      </c>
      <c r="B190" t="str">
        <f t="shared" si="10"/>
        <v/>
      </c>
      <c r="C190" s="23" t="str">
        <f t="shared" si="11"/>
        <v/>
      </c>
      <c r="E190" s="24" t="str">
        <f>IF(NOT(ISBLANK(G2copy!B190)),G2copy!B190,"")</f>
        <v/>
      </c>
      <c r="F190" s="24" t="str">
        <f>IF(E190&lt;&gt;"",G2copy!A190,"")</f>
        <v/>
      </c>
      <c r="G190" s="24" t="str">
        <f>IF(E190&lt;&gt;"",G2copy!F190,"")</f>
        <v/>
      </c>
    </row>
    <row r="191" spans="1:7" ht="15.75" customHeight="1">
      <c r="A191" s="23" t="str">
        <f t="shared" si="9"/>
        <v/>
      </c>
      <c r="B191" t="str">
        <f t="shared" si="10"/>
        <v/>
      </c>
      <c r="C191" s="23" t="str">
        <f t="shared" si="11"/>
        <v/>
      </c>
      <c r="E191" s="24" t="str">
        <f>IF(NOT(ISBLANK(G2copy!B191)),G2copy!B191,"")</f>
        <v/>
      </c>
      <c r="F191" s="24" t="str">
        <f>IF(E191&lt;&gt;"",G2copy!A191,"")</f>
        <v/>
      </c>
      <c r="G191" s="24" t="str">
        <f>IF(E191&lt;&gt;"",G2copy!F191,"")</f>
        <v/>
      </c>
    </row>
    <row r="192" spans="1:7" ht="15.75" customHeight="1">
      <c r="A192" s="23" t="str">
        <f t="shared" si="9"/>
        <v/>
      </c>
      <c r="B192" t="str">
        <f t="shared" si="10"/>
        <v/>
      </c>
      <c r="C192" s="23" t="str">
        <f t="shared" si="11"/>
        <v/>
      </c>
      <c r="E192" s="24" t="str">
        <f>IF(NOT(ISBLANK(G2copy!B192)),G2copy!B192,"")</f>
        <v/>
      </c>
      <c r="F192" s="24" t="str">
        <f>IF(E192&lt;&gt;"",G2copy!A192,"")</f>
        <v/>
      </c>
      <c r="G192" s="24" t="str">
        <f>IF(E192&lt;&gt;"",G2copy!F192,"")</f>
        <v/>
      </c>
    </row>
    <row r="193" spans="1:7" ht="15.75" customHeight="1">
      <c r="A193" s="23" t="str">
        <f t="shared" si="9"/>
        <v/>
      </c>
      <c r="B193" t="str">
        <f t="shared" si="10"/>
        <v/>
      </c>
      <c r="C193" s="23" t="str">
        <f t="shared" si="11"/>
        <v/>
      </c>
      <c r="E193" s="24" t="str">
        <f>IF(NOT(ISBLANK(G2copy!B193)),G2copy!B193,"")</f>
        <v/>
      </c>
      <c r="F193" s="24" t="str">
        <f>IF(E193&lt;&gt;"",G2copy!A193,"")</f>
        <v/>
      </c>
      <c r="G193" s="24" t="str">
        <f>IF(E193&lt;&gt;"",G2copy!F193,"")</f>
        <v/>
      </c>
    </row>
    <row r="194" spans="1:7" ht="15.75" customHeight="1">
      <c r="A194" s="23" t="str">
        <f t="shared" si="9"/>
        <v/>
      </c>
      <c r="B194" t="str">
        <f t="shared" si="10"/>
        <v/>
      </c>
      <c r="C194" s="23" t="str">
        <f t="shared" si="11"/>
        <v/>
      </c>
      <c r="E194" s="24" t="str">
        <f>IF(NOT(ISBLANK(G2copy!B194)),G2copy!B194,"")</f>
        <v/>
      </c>
      <c r="F194" s="24" t="str">
        <f>IF(E194&lt;&gt;"",G2copy!A194,"")</f>
        <v/>
      </c>
      <c r="G194" s="24" t="str">
        <f>IF(E194&lt;&gt;"",G2copy!F194,"")</f>
        <v/>
      </c>
    </row>
    <row r="195" spans="1:7" ht="15.75" customHeight="1">
      <c r="A195" s="23" t="str">
        <f t="shared" ref="A195:A258" si="12">IF(E195&lt;&gt;"",DATEVALUE(LEFT(E195,10)),"")</f>
        <v/>
      </c>
      <c r="B195" t="str">
        <f t="shared" ref="B195:B258" si="13">IF(LEN(F195)&gt;3,RIGHT(F195,LEN(F195)-3),"")</f>
        <v/>
      </c>
      <c r="C195" s="23" t="str">
        <f t="shared" ref="C195:C258" si="14">IF(E195&lt;&gt;"",DATEVALUE(LEFT(G195,10)),"")</f>
        <v/>
      </c>
      <c r="E195" s="24" t="str">
        <f>IF(NOT(ISBLANK(G2copy!B195)),G2copy!B195,"")</f>
        <v/>
      </c>
      <c r="F195" s="24" t="str">
        <f>IF(E195&lt;&gt;"",G2copy!A195,"")</f>
        <v/>
      </c>
      <c r="G195" s="24" t="str">
        <f>IF(E195&lt;&gt;"",G2copy!F195,"")</f>
        <v/>
      </c>
    </row>
    <row r="196" spans="1:7" ht="15.75" customHeight="1">
      <c r="A196" s="23" t="str">
        <f t="shared" si="12"/>
        <v/>
      </c>
      <c r="B196" t="str">
        <f t="shared" si="13"/>
        <v/>
      </c>
      <c r="C196" s="23" t="str">
        <f t="shared" si="14"/>
        <v/>
      </c>
      <c r="E196" s="24" t="str">
        <f>IF(NOT(ISBLANK(G2copy!B196)),G2copy!B196,"")</f>
        <v/>
      </c>
      <c r="F196" s="24" t="str">
        <f>IF(E196&lt;&gt;"",G2copy!A196,"")</f>
        <v/>
      </c>
      <c r="G196" s="24" t="str">
        <f>IF(E196&lt;&gt;"",G2copy!F196,"")</f>
        <v/>
      </c>
    </row>
    <row r="197" spans="1:7" ht="15.75" customHeight="1">
      <c r="A197" s="23" t="str">
        <f t="shared" si="12"/>
        <v/>
      </c>
      <c r="B197" t="str">
        <f t="shared" si="13"/>
        <v/>
      </c>
      <c r="C197" s="23" t="str">
        <f t="shared" si="14"/>
        <v/>
      </c>
      <c r="E197" s="24" t="str">
        <f>IF(NOT(ISBLANK(G2copy!B197)),G2copy!B197,"")</f>
        <v/>
      </c>
      <c r="F197" s="24" t="str">
        <f>IF(E197&lt;&gt;"",G2copy!A197,"")</f>
        <v/>
      </c>
      <c r="G197" s="24" t="str">
        <f>IF(E197&lt;&gt;"",G2copy!F197,"")</f>
        <v/>
      </c>
    </row>
    <row r="198" spans="1:7" ht="15.75" customHeight="1">
      <c r="A198" s="23" t="str">
        <f t="shared" si="12"/>
        <v/>
      </c>
      <c r="B198" t="str">
        <f t="shared" si="13"/>
        <v/>
      </c>
      <c r="C198" s="23" t="str">
        <f t="shared" si="14"/>
        <v/>
      </c>
      <c r="E198" s="24" t="str">
        <f>IF(NOT(ISBLANK(G2copy!B198)),G2copy!B198,"")</f>
        <v/>
      </c>
      <c r="F198" s="24" t="str">
        <f>IF(E198&lt;&gt;"",G2copy!A198,"")</f>
        <v/>
      </c>
      <c r="G198" s="24" t="str">
        <f>IF(E198&lt;&gt;"",G2copy!F198,"")</f>
        <v/>
      </c>
    </row>
    <row r="199" spans="1:7" ht="15.75" customHeight="1">
      <c r="A199" s="23" t="str">
        <f t="shared" si="12"/>
        <v/>
      </c>
      <c r="B199" t="str">
        <f t="shared" si="13"/>
        <v/>
      </c>
      <c r="C199" s="23" t="str">
        <f t="shared" si="14"/>
        <v/>
      </c>
      <c r="E199" s="24" t="str">
        <f>IF(NOT(ISBLANK(G2copy!B199)),G2copy!B199,"")</f>
        <v/>
      </c>
      <c r="F199" s="24" t="str">
        <f>IF(E199&lt;&gt;"",G2copy!A199,"")</f>
        <v/>
      </c>
      <c r="G199" s="24" t="str">
        <f>IF(E199&lt;&gt;"",G2copy!F199,"")</f>
        <v/>
      </c>
    </row>
    <row r="200" spans="1:7" ht="15.75" customHeight="1">
      <c r="A200" s="23" t="str">
        <f t="shared" si="12"/>
        <v/>
      </c>
      <c r="B200" t="str">
        <f t="shared" si="13"/>
        <v/>
      </c>
      <c r="C200" s="23" t="str">
        <f t="shared" si="14"/>
        <v/>
      </c>
      <c r="E200" s="24" t="str">
        <f>IF(NOT(ISBLANK(G2copy!B200)),G2copy!B200,"")</f>
        <v/>
      </c>
      <c r="F200" s="24" t="str">
        <f>IF(E200&lt;&gt;"",G2copy!A200,"")</f>
        <v/>
      </c>
      <c r="G200" s="24" t="str">
        <f>IF(E200&lt;&gt;"",G2copy!F200,"")</f>
        <v/>
      </c>
    </row>
    <row r="201" spans="1:7" ht="15.75" customHeight="1">
      <c r="A201" s="23" t="str">
        <f t="shared" si="12"/>
        <v/>
      </c>
      <c r="B201" t="str">
        <f t="shared" si="13"/>
        <v/>
      </c>
      <c r="C201" s="23" t="str">
        <f t="shared" si="14"/>
        <v/>
      </c>
      <c r="E201" s="24" t="str">
        <f>IF(NOT(ISBLANK(G2copy!B201)),G2copy!B201,"")</f>
        <v/>
      </c>
      <c r="F201" s="24" t="str">
        <f>IF(E201&lt;&gt;"",G2copy!A201,"")</f>
        <v/>
      </c>
      <c r="G201" s="24" t="str">
        <f>IF(E201&lt;&gt;"",G2copy!F201,"")</f>
        <v/>
      </c>
    </row>
    <row r="202" spans="1:7" ht="15.75" customHeight="1">
      <c r="A202" s="23" t="str">
        <f t="shared" si="12"/>
        <v/>
      </c>
      <c r="B202" t="str">
        <f t="shared" si="13"/>
        <v/>
      </c>
      <c r="C202" s="23" t="str">
        <f t="shared" si="14"/>
        <v/>
      </c>
      <c r="E202" s="24" t="str">
        <f>IF(NOT(ISBLANK(G2copy!B202)),G2copy!B202,"")</f>
        <v/>
      </c>
      <c r="F202" s="24" t="str">
        <f>IF(E202&lt;&gt;"",G2copy!A202,"")</f>
        <v/>
      </c>
      <c r="G202" s="24" t="str">
        <f>IF(E202&lt;&gt;"",G2copy!F202,"")</f>
        <v/>
      </c>
    </row>
    <row r="203" spans="1:7" ht="15.75" customHeight="1">
      <c r="A203" s="23" t="str">
        <f t="shared" si="12"/>
        <v/>
      </c>
      <c r="B203" t="str">
        <f t="shared" si="13"/>
        <v/>
      </c>
      <c r="C203" s="23" t="str">
        <f t="shared" si="14"/>
        <v/>
      </c>
      <c r="E203" s="24" t="str">
        <f>IF(NOT(ISBLANK(G2copy!B203)),G2copy!B203,"")</f>
        <v/>
      </c>
      <c r="F203" s="24" t="str">
        <f>IF(E203&lt;&gt;"",G2copy!A203,"")</f>
        <v/>
      </c>
      <c r="G203" s="24" t="str">
        <f>IF(E203&lt;&gt;"",G2copy!F203,"")</f>
        <v/>
      </c>
    </row>
    <row r="204" spans="1:7" ht="15.75" customHeight="1">
      <c r="A204" s="23" t="str">
        <f t="shared" si="12"/>
        <v/>
      </c>
      <c r="B204" t="str">
        <f t="shared" si="13"/>
        <v/>
      </c>
      <c r="C204" s="23" t="str">
        <f t="shared" si="14"/>
        <v/>
      </c>
      <c r="E204" s="24" t="str">
        <f>IF(NOT(ISBLANK(G2copy!B204)),G2copy!B204,"")</f>
        <v/>
      </c>
      <c r="F204" s="24" t="str">
        <f>IF(E204&lt;&gt;"",G2copy!A204,"")</f>
        <v/>
      </c>
      <c r="G204" s="24" t="str">
        <f>IF(E204&lt;&gt;"",G2copy!F204,"")</f>
        <v/>
      </c>
    </row>
    <row r="205" spans="1:7" ht="15.75" customHeight="1">
      <c r="A205" s="23" t="str">
        <f t="shared" si="12"/>
        <v/>
      </c>
      <c r="B205" t="str">
        <f t="shared" si="13"/>
        <v/>
      </c>
      <c r="C205" s="23" t="str">
        <f t="shared" si="14"/>
        <v/>
      </c>
      <c r="E205" s="24" t="str">
        <f>IF(NOT(ISBLANK(G2copy!B205)),G2copy!B205,"")</f>
        <v/>
      </c>
      <c r="F205" s="24" t="str">
        <f>IF(E205&lt;&gt;"",G2copy!A205,"")</f>
        <v/>
      </c>
      <c r="G205" s="24" t="str">
        <f>IF(E205&lt;&gt;"",G2copy!F205,"")</f>
        <v/>
      </c>
    </row>
    <row r="206" spans="1:7" ht="15.75" customHeight="1">
      <c r="A206" s="23" t="str">
        <f t="shared" si="12"/>
        <v/>
      </c>
      <c r="B206" t="str">
        <f t="shared" si="13"/>
        <v/>
      </c>
      <c r="C206" s="23" t="str">
        <f t="shared" si="14"/>
        <v/>
      </c>
      <c r="E206" s="24" t="str">
        <f>IF(NOT(ISBLANK(G2copy!B206)),G2copy!B206,"")</f>
        <v/>
      </c>
      <c r="F206" s="24" t="str">
        <f>IF(E206&lt;&gt;"",G2copy!A206,"")</f>
        <v/>
      </c>
      <c r="G206" s="24" t="str">
        <f>IF(E206&lt;&gt;"",G2copy!F206,"")</f>
        <v/>
      </c>
    </row>
    <row r="207" spans="1:7" ht="15.75" customHeight="1">
      <c r="A207" s="23" t="str">
        <f t="shared" si="12"/>
        <v/>
      </c>
      <c r="B207" t="str">
        <f t="shared" si="13"/>
        <v/>
      </c>
      <c r="C207" s="23" t="str">
        <f t="shared" si="14"/>
        <v/>
      </c>
      <c r="E207" s="24" t="str">
        <f>IF(NOT(ISBLANK(G2copy!B207)),G2copy!B207,"")</f>
        <v/>
      </c>
      <c r="F207" s="24" t="str">
        <f>IF(E207&lt;&gt;"",G2copy!A207,"")</f>
        <v/>
      </c>
      <c r="G207" s="24" t="str">
        <f>IF(E207&lt;&gt;"",G2copy!F207,"")</f>
        <v/>
      </c>
    </row>
    <row r="208" spans="1:7" ht="15.75" customHeight="1">
      <c r="A208" s="23" t="str">
        <f t="shared" si="12"/>
        <v/>
      </c>
      <c r="B208" t="str">
        <f t="shared" si="13"/>
        <v/>
      </c>
      <c r="C208" s="23" t="str">
        <f t="shared" si="14"/>
        <v/>
      </c>
      <c r="E208" s="24" t="str">
        <f>IF(NOT(ISBLANK(G2copy!B208)),G2copy!B208,"")</f>
        <v/>
      </c>
      <c r="F208" s="24" t="str">
        <f>IF(E208&lt;&gt;"",G2copy!A208,"")</f>
        <v/>
      </c>
      <c r="G208" s="24" t="str">
        <f>IF(E208&lt;&gt;"",G2copy!F208,"")</f>
        <v/>
      </c>
    </row>
    <row r="209" spans="1:7" ht="15.75" customHeight="1">
      <c r="A209" s="23" t="str">
        <f t="shared" si="12"/>
        <v/>
      </c>
      <c r="B209" t="str">
        <f t="shared" si="13"/>
        <v/>
      </c>
      <c r="C209" s="23" t="str">
        <f t="shared" si="14"/>
        <v/>
      </c>
      <c r="E209" s="24" t="str">
        <f>IF(NOT(ISBLANK(G2copy!B209)),G2copy!B209,"")</f>
        <v/>
      </c>
      <c r="F209" s="24" t="str">
        <f>IF(E209&lt;&gt;"",G2copy!A209,"")</f>
        <v/>
      </c>
      <c r="G209" s="24" t="str">
        <f>IF(E209&lt;&gt;"",G2copy!F209,"")</f>
        <v/>
      </c>
    </row>
    <row r="210" spans="1:7" ht="15.75" customHeight="1">
      <c r="A210" s="23" t="str">
        <f t="shared" si="12"/>
        <v/>
      </c>
      <c r="B210" t="str">
        <f t="shared" si="13"/>
        <v/>
      </c>
      <c r="C210" s="23" t="str">
        <f t="shared" si="14"/>
        <v/>
      </c>
      <c r="E210" s="24" t="str">
        <f>IF(NOT(ISBLANK(G2copy!B210)),G2copy!B210,"")</f>
        <v/>
      </c>
      <c r="F210" s="24" t="str">
        <f>IF(E210&lt;&gt;"",G2copy!A210,"")</f>
        <v/>
      </c>
      <c r="G210" s="24" t="str">
        <f>IF(E210&lt;&gt;"",G2copy!F210,"")</f>
        <v/>
      </c>
    </row>
    <row r="211" spans="1:7" ht="15.75" customHeight="1">
      <c r="A211" s="23" t="str">
        <f t="shared" si="12"/>
        <v/>
      </c>
      <c r="B211" t="str">
        <f t="shared" si="13"/>
        <v/>
      </c>
      <c r="C211" s="23" t="str">
        <f t="shared" si="14"/>
        <v/>
      </c>
      <c r="E211" s="24" t="str">
        <f>IF(NOT(ISBLANK(G2copy!B211)),G2copy!B211,"")</f>
        <v/>
      </c>
      <c r="F211" s="24" t="str">
        <f>IF(E211&lt;&gt;"",G2copy!A211,"")</f>
        <v/>
      </c>
      <c r="G211" s="24" t="str">
        <f>IF(E211&lt;&gt;"",G2copy!F211,"")</f>
        <v/>
      </c>
    </row>
    <row r="212" spans="1:7" ht="15.75" customHeight="1">
      <c r="A212" s="23" t="str">
        <f t="shared" si="12"/>
        <v/>
      </c>
      <c r="B212" t="str">
        <f t="shared" si="13"/>
        <v/>
      </c>
      <c r="C212" s="23" t="str">
        <f t="shared" si="14"/>
        <v/>
      </c>
      <c r="E212" s="24" t="str">
        <f>IF(NOT(ISBLANK(G2copy!B212)),G2copy!B212,"")</f>
        <v/>
      </c>
      <c r="F212" s="24" t="str">
        <f>IF(E212&lt;&gt;"",G2copy!A212,"")</f>
        <v/>
      </c>
      <c r="G212" s="24" t="str">
        <f>IF(E212&lt;&gt;"",G2copy!F212,"")</f>
        <v/>
      </c>
    </row>
    <row r="213" spans="1:7" ht="15.75" customHeight="1">
      <c r="A213" s="23" t="str">
        <f t="shared" si="12"/>
        <v/>
      </c>
      <c r="B213" t="str">
        <f t="shared" si="13"/>
        <v/>
      </c>
      <c r="C213" s="23" t="str">
        <f t="shared" si="14"/>
        <v/>
      </c>
      <c r="E213" s="24" t="str">
        <f>IF(NOT(ISBLANK(G2copy!B213)),G2copy!B213,"")</f>
        <v/>
      </c>
      <c r="F213" s="24" t="str">
        <f>IF(E213&lt;&gt;"",G2copy!A213,"")</f>
        <v/>
      </c>
      <c r="G213" s="24" t="str">
        <f>IF(E213&lt;&gt;"",G2copy!F213,"")</f>
        <v/>
      </c>
    </row>
    <row r="214" spans="1:7" ht="15.75" customHeight="1">
      <c r="A214" s="23" t="str">
        <f t="shared" si="12"/>
        <v/>
      </c>
      <c r="B214" t="str">
        <f t="shared" si="13"/>
        <v/>
      </c>
      <c r="C214" s="23" t="str">
        <f t="shared" si="14"/>
        <v/>
      </c>
      <c r="E214" s="24" t="str">
        <f>IF(NOT(ISBLANK(G2copy!B214)),G2copy!B214,"")</f>
        <v/>
      </c>
      <c r="F214" s="24" t="str">
        <f>IF(E214&lt;&gt;"",G2copy!A214,"")</f>
        <v/>
      </c>
      <c r="G214" s="24" t="str">
        <f>IF(E214&lt;&gt;"",G2copy!F214,"")</f>
        <v/>
      </c>
    </row>
    <row r="215" spans="1:7" ht="15.75" customHeight="1">
      <c r="A215" s="23" t="str">
        <f t="shared" si="12"/>
        <v/>
      </c>
      <c r="B215" t="str">
        <f t="shared" si="13"/>
        <v/>
      </c>
      <c r="C215" s="23" t="str">
        <f t="shared" si="14"/>
        <v/>
      </c>
      <c r="E215" s="24" t="str">
        <f>IF(NOT(ISBLANK(G2copy!B215)),G2copy!B215,"")</f>
        <v/>
      </c>
      <c r="F215" s="24" t="str">
        <f>IF(E215&lt;&gt;"",G2copy!A215,"")</f>
        <v/>
      </c>
      <c r="G215" s="24" t="str">
        <f>IF(E215&lt;&gt;"",G2copy!F215,"")</f>
        <v/>
      </c>
    </row>
    <row r="216" spans="1:7" ht="15.75" customHeight="1">
      <c r="A216" s="23" t="str">
        <f t="shared" si="12"/>
        <v/>
      </c>
      <c r="B216" t="str">
        <f t="shared" si="13"/>
        <v/>
      </c>
      <c r="C216" s="23" t="str">
        <f t="shared" si="14"/>
        <v/>
      </c>
      <c r="E216" s="24" t="str">
        <f>IF(NOT(ISBLANK(G2copy!B216)),G2copy!B216,"")</f>
        <v/>
      </c>
      <c r="F216" s="24" t="str">
        <f>IF(E216&lt;&gt;"",G2copy!A216,"")</f>
        <v/>
      </c>
      <c r="G216" s="24" t="str">
        <f>IF(E216&lt;&gt;"",G2copy!F216,"")</f>
        <v/>
      </c>
    </row>
    <row r="217" spans="1:7" ht="15.75" customHeight="1">
      <c r="A217" s="23" t="str">
        <f t="shared" si="12"/>
        <v/>
      </c>
      <c r="B217" t="str">
        <f t="shared" si="13"/>
        <v/>
      </c>
      <c r="C217" s="23" t="str">
        <f t="shared" si="14"/>
        <v/>
      </c>
      <c r="E217" s="24" t="str">
        <f>IF(NOT(ISBLANK(G2copy!B217)),G2copy!B217,"")</f>
        <v/>
      </c>
      <c r="F217" s="24" t="str">
        <f>IF(E217&lt;&gt;"",G2copy!A217,"")</f>
        <v/>
      </c>
      <c r="G217" s="24" t="str">
        <f>IF(E217&lt;&gt;"",G2copy!F217,"")</f>
        <v/>
      </c>
    </row>
    <row r="218" spans="1:7" ht="15.75" customHeight="1">
      <c r="A218" s="23" t="str">
        <f t="shared" si="12"/>
        <v/>
      </c>
      <c r="B218" t="str">
        <f t="shared" si="13"/>
        <v/>
      </c>
      <c r="C218" s="23" t="str">
        <f t="shared" si="14"/>
        <v/>
      </c>
      <c r="E218" s="24" t="str">
        <f>IF(NOT(ISBLANK(G2copy!B218)),G2copy!B218,"")</f>
        <v/>
      </c>
      <c r="F218" s="24" t="str">
        <f>IF(E218&lt;&gt;"",G2copy!A218,"")</f>
        <v/>
      </c>
      <c r="G218" s="24" t="str">
        <f>IF(E218&lt;&gt;"",G2copy!F218,"")</f>
        <v/>
      </c>
    </row>
    <row r="219" spans="1:7" ht="15.75" customHeight="1">
      <c r="A219" s="23" t="str">
        <f t="shared" si="12"/>
        <v/>
      </c>
      <c r="B219" t="str">
        <f t="shared" si="13"/>
        <v/>
      </c>
      <c r="C219" s="23" t="str">
        <f t="shared" si="14"/>
        <v/>
      </c>
      <c r="E219" s="24" t="str">
        <f>IF(NOT(ISBLANK(G2copy!B219)),G2copy!B219,"")</f>
        <v/>
      </c>
      <c r="F219" s="24" t="str">
        <f>IF(E219&lt;&gt;"",G2copy!A219,"")</f>
        <v/>
      </c>
      <c r="G219" s="24" t="str">
        <f>IF(E219&lt;&gt;"",G2copy!F219,"")</f>
        <v/>
      </c>
    </row>
    <row r="220" spans="1:7" ht="15.75" customHeight="1">
      <c r="A220" s="23" t="str">
        <f t="shared" si="12"/>
        <v/>
      </c>
      <c r="B220" t="str">
        <f t="shared" si="13"/>
        <v/>
      </c>
      <c r="C220" s="23" t="str">
        <f t="shared" si="14"/>
        <v/>
      </c>
      <c r="E220" s="24" t="str">
        <f>IF(NOT(ISBLANK(G2copy!B220)),G2copy!B220,"")</f>
        <v/>
      </c>
      <c r="F220" s="24" t="str">
        <f>IF(E220&lt;&gt;"",G2copy!A220,"")</f>
        <v/>
      </c>
      <c r="G220" s="24" t="str">
        <f>IF(E220&lt;&gt;"",G2copy!F220,"")</f>
        <v/>
      </c>
    </row>
    <row r="221" spans="1:7" ht="15.75" customHeight="1">
      <c r="A221" s="23" t="str">
        <f t="shared" si="12"/>
        <v/>
      </c>
      <c r="B221" t="str">
        <f t="shared" si="13"/>
        <v/>
      </c>
      <c r="C221" s="23" t="str">
        <f t="shared" si="14"/>
        <v/>
      </c>
      <c r="E221" s="24" t="str">
        <f>IF(NOT(ISBLANK(G2copy!B221)),G2copy!B221,"")</f>
        <v/>
      </c>
      <c r="F221" s="24" t="str">
        <f>IF(E221&lt;&gt;"",G2copy!A221,"")</f>
        <v/>
      </c>
      <c r="G221" s="24" t="str">
        <f>IF(E221&lt;&gt;"",G2copy!F221,"")</f>
        <v/>
      </c>
    </row>
    <row r="222" spans="1:7" ht="15.75" customHeight="1">
      <c r="A222" s="23" t="str">
        <f t="shared" si="12"/>
        <v/>
      </c>
      <c r="B222" t="str">
        <f t="shared" si="13"/>
        <v/>
      </c>
      <c r="C222" s="23" t="str">
        <f t="shared" si="14"/>
        <v/>
      </c>
      <c r="E222" s="24" t="str">
        <f>IF(NOT(ISBLANK(G2copy!B222)),G2copy!B222,"")</f>
        <v/>
      </c>
      <c r="F222" s="24" t="str">
        <f>IF(E222&lt;&gt;"",G2copy!A222,"")</f>
        <v/>
      </c>
      <c r="G222" s="24" t="str">
        <f>IF(E222&lt;&gt;"",G2copy!F222,"")</f>
        <v/>
      </c>
    </row>
    <row r="223" spans="1:7" ht="15.75" customHeight="1">
      <c r="A223" s="23" t="str">
        <f t="shared" si="12"/>
        <v/>
      </c>
      <c r="B223" t="str">
        <f t="shared" si="13"/>
        <v/>
      </c>
      <c r="C223" s="23" t="str">
        <f t="shared" si="14"/>
        <v/>
      </c>
      <c r="E223" s="24" t="str">
        <f>IF(NOT(ISBLANK(G2copy!B223)),G2copy!B223,"")</f>
        <v/>
      </c>
      <c r="F223" s="24" t="str">
        <f>IF(E223&lt;&gt;"",G2copy!A223,"")</f>
        <v/>
      </c>
      <c r="G223" s="24" t="str">
        <f>IF(E223&lt;&gt;"",G2copy!F223,"")</f>
        <v/>
      </c>
    </row>
    <row r="224" spans="1:7" ht="15.75" customHeight="1">
      <c r="A224" s="23" t="str">
        <f t="shared" si="12"/>
        <v/>
      </c>
      <c r="B224" t="str">
        <f t="shared" si="13"/>
        <v/>
      </c>
      <c r="C224" s="23" t="str">
        <f t="shared" si="14"/>
        <v/>
      </c>
      <c r="E224" s="24" t="str">
        <f>IF(NOT(ISBLANK(G2copy!B224)),G2copy!B224,"")</f>
        <v/>
      </c>
      <c r="F224" s="24" t="str">
        <f>IF(E224&lt;&gt;"",G2copy!A224,"")</f>
        <v/>
      </c>
      <c r="G224" s="24" t="str">
        <f>IF(E224&lt;&gt;"",G2copy!F224,"")</f>
        <v/>
      </c>
    </row>
    <row r="225" spans="1:7" ht="15.75" customHeight="1">
      <c r="A225" s="23" t="str">
        <f t="shared" si="12"/>
        <v/>
      </c>
      <c r="B225" t="str">
        <f t="shared" si="13"/>
        <v/>
      </c>
      <c r="C225" s="23" t="str">
        <f t="shared" si="14"/>
        <v/>
      </c>
      <c r="E225" s="24" t="str">
        <f>IF(NOT(ISBLANK(G2copy!B225)),G2copy!B225,"")</f>
        <v/>
      </c>
      <c r="F225" s="24" t="str">
        <f>IF(E225&lt;&gt;"",G2copy!A225,"")</f>
        <v/>
      </c>
      <c r="G225" s="24" t="str">
        <f>IF(E225&lt;&gt;"",G2copy!F225,"")</f>
        <v/>
      </c>
    </row>
    <row r="226" spans="1:7" ht="15.75" customHeight="1">
      <c r="A226" s="23" t="str">
        <f t="shared" si="12"/>
        <v/>
      </c>
      <c r="B226" t="str">
        <f t="shared" si="13"/>
        <v/>
      </c>
      <c r="C226" s="23" t="str">
        <f t="shared" si="14"/>
        <v/>
      </c>
      <c r="E226" s="24" t="str">
        <f>IF(NOT(ISBLANK(G2copy!B226)),G2copy!B226,"")</f>
        <v/>
      </c>
      <c r="F226" s="24" t="str">
        <f>IF(E226&lt;&gt;"",G2copy!A226,"")</f>
        <v/>
      </c>
      <c r="G226" s="24" t="str">
        <f>IF(E226&lt;&gt;"",G2copy!F226,"")</f>
        <v/>
      </c>
    </row>
    <row r="227" spans="1:7" ht="15.75" customHeight="1">
      <c r="A227" s="23" t="str">
        <f t="shared" si="12"/>
        <v/>
      </c>
      <c r="B227" t="str">
        <f t="shared" si="13"/>
        <v/>
      </c>
      <c r="C227" s="23" t="str">
        <f t="shared" si="14"/>
        <v/>
      </c>
      <c r="E227" s="24" t="str">
        <f>IF(NOT(ISBLANK(G2copy!B227)),G2copy!B227,"")</f>
        <v/>
      </c>
      <c r="F227" s="24" t="str">
        <f>IF(E227&lt;&gt;"",G2copy!A227,"")</f>
        <v/>
      </c>
      <c r="G227" s="24" t="str">
        <f>IF(E227&lt;&gt;"",G2copy!F227,"")</f>
        <v/>
      </c>
    </row>
    <row r="228" spans="1:7" ht="15.75" customHeight="1">
      <c r="A228" s="23" t="str">
        <f t="shared" si="12"/>
        <v/>
      </c>
      <c r="B228" t="str">
        <f t="shared" si="13"/>
        <v/>
      </c>
      <c r="C228" s="23" t="str">
        <f t="shared" si="14"/>
        <v/>
      </c>
      <c r="E228" s="24" t="str">
        <f>IF(NOT(ISBLANK(G2copy!B228)),G2copy!B228,"")</f>
        <v/>
      </c>
      <c r="F228" s="24" t="str">
        <f>IF(E228&lt;&gt;"",G2copy!A228,"")</f>
        <v/>
      </c>
      <c r="G228" s="24" t="str">
        <f>IF(E228&lt;&gt;"",G2copy!F228,"")</f>
        <v/>
      </c>
    </row>
    <row r="229" spans="1:7" ht="15.75" customHeight="1">
      <c r="A229" s="23" t="str">
        <f t="shared" si="12"/>
        <v/>
      </c>
      <c r="B229" t="str">
        <f t="shared" si="13"/>
        <v/>
      </c>
      <c r="C229" s="23" t="str">
        <f t="shared" si="14"/>
        <v/>
      </c>
      <c r="E229" s="24" t="str">
        <f>IF(NOT(ISBLANK(G2copy!B229)),G2copy!B229,"")</f>
        <v/>
      </c>
      <c r="F229" s="24" t="str">
        <f>IF(E229&lt;&gt;"",G2copy!A229,"")</f>
        <v/>
      </c>
      <c r="G229" s="24" t="str">
        <f>IF(E229&lt;&gt;"",G2copy!F229,"")</f>
        <v/>
      </c>
    </row>
    <row r="230" spans="1:7" ht="15.75" customHeight="1">
      <c r="A230" s="23" t="str">
        <f t="shared" si="12"/>
        <v/>
      </c>
      <c r="B230" t="str">
        <f t="shared" si="13"/>
        <v/>
      </c>
      <c r="C230" s="23" t="str">
        <f t="shared" si="14"/>
        <v/>
      </c>
      <c r="E230" s="24" t="str">
        <f>IF(NOT(ISBLANK(G2copy!B230)),G2copy!B230,"")</f>
        <v/>
      </c>
      <c r="F230" s="24" t="str">
        <f>IF(E230&lt;&gt;"",G2copy!A230,"")</f>
        <v/>
      </c>
      <c r="G230" s="24" t="str">
        <f>IF(E230&lt;&gt;"",G2copy!F230,"")</f>
        <v/>
      </c>
    </row>
    <row r="231" spans="1:7" ht="15.75" customHeight="1">
      <c r="A231" s="23" t="str">
        <f t="shared" si="12"/>
        <v/>
      </c>
      <c r="B231" t="str">
        <f t="shared" si="13"/>
        <v/>
      </c>
      <c r="C231" s="23" t="str">
        <f t="shared" si="14"/>
        <v/>
      </c>
      <c r="E231" s="24" t="str">
        <f>IF(NOT(ISBLANK(G2copy!B231)),G2copy!B231,"")</f>
        <v/>
      </c>
      <c r="F231" s="24" t="str">
        <f>IF(E231&lt;&gt;"",G2copy!A231,"")</f>
        <v/>
      </c>
      <c r="G231" s="24" t="str">
        <f>IF(E231&lt;&gt;"",G2copy!F231,"")</f>
        <v/>
      </c>
    </row>
    <row r="232" spans="1:7" ht="15.75" customHeight="1">
      <c r="A232" s="23" t="str">
        <f t="shared" si="12"/>
        <v/>
      </c>
      <c r="B232" t="str">
        <f t="shared" si="13"/>
        <v/>
      </c>
      <c r="C232" s="23" t="str">
        <f t="shared" si="14"/>
        <v/>
      </c>
      <c r="E232" s="24" t="str">
        <f>IF(NOT(ISBLANK(G2copy!B232)),G2copy!B232,"")</f>
        <v/>
      </c>
      <c r="F232" s="24" t="str">
        <f>IF(E232&lt;&gt;"",G2copy!A232,"")</f>
        <v/>
      </c>
      <c r="G232" s="24" t="str">
        <f>IF(E232&lt;&gt;"",G2copy!F232,"")</f>
        <v/>
      </c>
    </row>
    <row r="233" spans="1:7" ht="15.75" customHeight="1">
      <c r="A233" s="23" t="str">
        <f t="shared" si="12"/>
        <v/>
      </c>
      <c r="B233" t="str">
        <f t="shared" si="13"/>
        <v/>
      </c>
      <c r="C233" s="23" t="str">
        <f t="shared" si="14"/>
        <v/>
      </c>
      <c r="E233" s="24" t="str">
        <f>IF(NOT(ISBLANK(G2copy!B233)),G2copy!B233,"")</f>
        <v/>
      </c>
      <c r="F233" s="24" t="str">
        <f>IF(E233&lt;&gt;"",G2copy!A233,"")</f>
        <v/>
      </c>
      <c r="G233" s="24" t="str">
        <f>IF(E233&lt;&gt;"",G2copy!F233,"")</f>
        <v/>
      </c>
    </row>
    <row r="234" spans="1:7" ht="15.75" customHeight="1">
      <c r="A234" s="23" t="str">
        <f t="shared" si="12"/>
        <v/>
      </c>
      <c r="B234" t="str">
        <f t="shared" si="13"/>
        <v/>
      </c>
      <c r="C234" s="23" t="str">
        <f t="shared" si="14"/>
        <v/>
      </c>
      <c r="E234" s="24" t="str">
        <f>IF(NOT(ISBLANK(G2copy!B234)),G2copy!B234,"")</f>
        <v/>
      </c>
      <c r="F234" s="24" t="str">
        <f>IF(E234&lt;&gt;"",G2copy!A234,"")</f>
        <v/>
      </c>
      <c r="G234" s="24" t="str">
        <f>IF(E234&lt;&gt;"",G2copy!F234,"")</f>
        <v/>
      </c>
    </row>
    <row r="235" spans="1:7" ht="15.75" customHeight="1">
      <c r="A235" s="23" t="str">
        <f t="shared" si="12"/>
        <v/>
      </c>
      <c r="B235" t="str">
        <f t="shared" si="13"/>
        <v/>
      </c>
      <c r="C235" s="23" t="str">
        <f t="shared" si="14"/>
        <v/>
      </c>
      <c r="E235" s="24" t="str">
        <f>IF(NOT(ISBLANK(G2copy!B235)),G2copy!B235,"")</f>
        <v/>
      </c>
      <c r="F235" s="24" t="str">
        <f>IF(E235&lt;&gt;"",G2copy!A235,"")</f>
        <v/>
      </c>
      <c r="G235" s="24" t="str">
        <f>IF(E235&lt;&gt;"",G2copy!F235,"")</f>
        <v/>
      </c>
    </row>
    <row r="236" spans="1:7" ht="15.75" customHeight="1">
      <c r="A236" s="23" t="str">
        <f t="shared" si="12"/>
        <v/>
      </c>
      <c r="B236" t="str">
        <f t="shared" si="13"/>
        <v/>
      </c>
      <c r="C236" s="23" t="str">
        <f t="shared" si="14"/>
        <v/>
      </c>
      <c r="E236" s="24" t="str">
        <f>IF(NOT(ISBLANK(G2copy!B236)),G2copy!B236,"")</f>
        <v/>
      </c>
      <c r="F236" s="24" t="str">
        <f>IF(E236&lt;&gt;"",G2copy!A236,"")</f>
        <v/>
      </c>
      <c r="G236" s="24" t="str">
        <f>IF(E236&lt;&gt;"",G2copy!F236,"")</f>
        <v/>
      </c>
    </row>
    <row r="237" spans="1:7" ht="15.75" customHeight="1">
      <c r="A237" s="23" t="str">
        <f t="shared" si="12"/>
        <v/>
      </c>
      <c r="B237" t="str">
        <f t="shared" si="13"/>
        <v/>
      </c>
      <c r="C237" s="23" t="str">
        <f t="shared" si="14"/>
        <v/>
      </c>
      <c r="E237" s="24" t="str">
        <f>IF(NOT(ISBLANK(G2copy!B237)),G2copy!B237,"")</f>
        <v/>
      </c>
      <c r="F237" s="24" t="str">
        <f>IF(E237&lt;&gt;"",G2copy!A237,"")</f>
        <v/>
      </c>
      <c r="G237" s="24" t="str">
        <f>IF(E237&lt;&gt;"",G2copy!F237,"")</f>
        <v/>
      </c>
    </row>
    <row r="238" spans="1:7" ht="15.75" customHeight="1">
      <c r="A238" s="23" t="str">
        <f t="shared" si="12"/>
        <v/>
      </c>
      <c r="B238" t="str">
        <f t="shared" si="13"/>
        <v/>
      </c>
      <c r="C238" s="23" t="str">
        <f t="shared" si="14"/>
        <v/>
      </c>
      <c r="E238" s="24" t="str">
        <f>IF(NOT(ISBLANK(G2copy!B238)),G2copy!B238,"")</f>
        <v/>
      </c>
      <c r="F238" s="24" t="str">
        <f>IF(E238&lt;&gt;"",G2copy!A238,"")</f>
        <v/>
      </c>
      <c r="G238" s="24" t="str">
        <f>IF(E238&lt;&gt;"",G2copy!F238,"")</f>
        <v/>
      </c>
    </row>
    <row r="239" spans="1:7" ht="15.75" customHeight="1">
      <c r="A239" s="23" t="str">
        <f t="shared" si="12"/>
        <v/>
      </c>
      <c r="B239" t="str">
        <f t="shared" si="13"/>
        <v/>
      </c>
      <c r="C239" s="23" t="str">
        <f t="shared" si="14"/>
        <v/>
      </c>
      <c r="E239" s="24" t="str">
        <f>IF(NOT(ISBLANK(G2copy!B239)),G2copy!B239,"")</f>
        <v/>
      </c>
      <c r="F239" s="24" t="str">
        <f>IF(E239&lt;&gt;"",G2copy!A239,"")</f>
        <v/>
      </c>
      <c r="G239" s="24" t="str">
        <f>IF(E239&lt;&gt;"",G2copy!F239,"")</f>
        <v/>
      </c>
    </row>
    <row r="240" spans="1:7" ht="15.75" customHeight="1">
      <c r="A240" s="23" t="str">
        <f t="shared" si="12"/>
        <v/>
      </c>
      <c r="B240" t="str">
        <f t="shared" si="13"/>
        <v/>
      </c>
      <c r="C240" s="23" t="str">
        <f t="shared" si="14"/>
        <v/>
      </c>
      <c r="E240" s="24" t="str">
        <f>IF(NOT(ISBLANK(G2copy!B240)),G2copy!B240,"")</f>
        <v/>
      </c>
      <c r="F240" s="24" t="str">
        <f>IF(E240&lt;&gt;"",G2copy!A240,"")</f>
        <v/>
      </c>
      <c r="G240" s="24" t="str">
        <f>IF(E240&lt;&gt;"",G2copy!F240,"")</f>
        <v/>
      </c>
    </row>
    <row r="241" spans="1:7" ht="15.75" customHeight="1">
      <c r="A241" s="23" t="str">
        <f t="shared" si="12"/>
        <v/>
      </c>
      <c r="B241" t="str">
        <f t="shared" si="13"/>
        <v/>
      </c>
      <c r="C241" s="23" t="str">
        <f t="shared" si="14"/>
        <v/>
      </c>
      <c r="E241" s="24" t="str">
        <f>IF(NOT(ISBLANK(G2copy!B241)),G2copy!B241,"")</f>
        <v/>
      </c>
      <c r="F241" s="24" t="str">
        <f>IF(E241&lt;&gt;"",G2copy!A241,"")</f>
        <v/>
      </c>
      <c r="G241" s="24" t="str">
        <f>IF(E241&lt;&gt;"",G2copy!F241,"")</f>
        <v/>
      </c>
    </row>
    <row r="242" spans="1:7" ht="15.75" customHeight="1">
      <c r="A242" s="23" t="str">
        <f t="shared" si="12"/>
        <v/>
      </c>
      <c r="B242" t="str">
        <f t="shared" si="13"/>
        <v/>
      </c>
      <c r="C242" s="23" t="str">
        <f t="shared" si="14"/>
        <v/>
      </c>
      <c r="E242" s="24" t="str">
        <f>IF(NOT(ISBLANK(G2copy!B242)),G2copy!B242,"")</f>
        <v/>
      </c>
      <c r="F242" s="24" t="str">
        <f>IF(E242&lt;&gt;"",G2copy!A242,"")</f>
        <v/>
      </c>
      <c r="G242" s="24" t="str">
        <f>IF(E242&lt;&gt;"",G2copy!F242,"")</f>
        <v/>
      </c>
    </row>
    <row r="243" spans="1:7" ht="15.75" customHeight="1">
      <c r="A243" s="23" t="str">
        <f t="shared" si="12"/>
        <v/>
      </c>
      <c r="B243" t="str">
        <f t="shared" si="13"/>
        <v/>
      </c>
      <c r="C243" s="23" t="str">
        <f t="shared" si="14"/>
        <v/>
      </c>
      <c r="E243" s="24" t="str">
        <f>IF(NOT(ISBLANK(G2copy!B243)),G2copy!B243,"")</f>
        <v/>
      </c>
      <c r="F243" s="24" t="str">
        <f>IF(E243&lt;&gt;"",G2copy!A243,"")</f>
        <v/>
      </c>
      <c r="G243" s="24" t="str">
        <f>IF(E243&lt;&gt;"",G2copy!F243,"")</f>
        <v/>
      </c>
    </row>
    <row r="244" spans="1:7" ht="15.75" customHeight="1">
      <c r="A244" s="23" t="str">
        <f t="shared" si="12"/>
        <v/>
      </c>
      <c r="B244" t="str">
        <f t="shared" si="13"/>
        <v/>
      </c>
      <c r="C244" s="23" t="str">
        <f t="shared" si="14"/>
        <v/>
      </c>
      <c r="E244" s="24" t="str">
        <f>IF(NOT(ISBLANK(G2copy!B244)),G2copy!B244,"")</f>
        <v/>
      </c>
      <c r="F244" s="24" t="str">
        <f>IF(E244&lt;&gt;"",G2copy!A244,"")</f>
        <v/>
      </c>
      <c r="G244" s="24" t="str">
        <f>IF(E244&lt;&gt;"",G2copy!F244,"")</f>
        <v/>
      </c>
    </row>
    <row r="245" spans="1:7" ht="15.75" customHeight="1">
      <c r="A245" s="23" t="str">
        <f t="shared" si="12"/>
        <v/>
      </c>
      <c r="B245" t="str">
        <f t="shared" si="13"/>
        <v/>
      </c>
      <c r="C245" s="23" t="str">
        <f t="shared" si="14"/>
        <v/>
      </c>
      <c r="E245" s="24" t="str">
        <f>IF(NOT(ISBLANK(G2copy!B245)),G2copy!B245,"")</f>
        <v/>
      </c>
      <c r="F245" s="24" t="str">
        <f>IF(E245&lt;&gt;"",G2copy!A245,"")</f>
        <v/>
      </c>
      <c r="G245" s="24" t="str">
        <f>IF(E245&lt;&gt;"",G2copy!F245,"")</f>
        <v/>
      </c>
    </row>
    <row r="246" spans="1:7" ht="15.75" customHeight="1">
      <c r="A246" s="23" t="str">
        <f t="shared" si="12"/>
        <v/>
      </c>
      <c r="B246" t="str">
        <f t="shared" si="13"/>
        <v/>
      </c>
      <c r="C246" s="23" t="str">
        <f t="shared" si="14"/>
        <v/>
      </c>
      <c r="E246" s="24" t="str">
        <f>IF(NOT(ISBLANK(G2copy!B246)),G2copy!B246,"")</f>
        <v/>
      </c>
      <c r="F246" s="24" t="str">
        <f>IF(E246&lt;&gt;"",G2copy!A246,"")</f>
        <v/>
      </c>
      <c r="G246" s="24" t="str">
        <f>IF(E246&lt;&gt;"",G2copy!F246,"")</f>
        <v/>
      </c>
    </row>
    <row r="247" spans="1:7" ht="15.75" customHeight="1">
      <c r="A247" s="23" t="str">
        <f t="shared" si="12"/>
        <v/>
      </c>
      <c r="B247" t="str">
        <f t="shared" si="13"/>
        <v/>
      </c>
      <c r="C247" s="23" t="str">
        <f t="shared" si="14"/>
        <v/>
      </c>
      <c r="E247" s="24" t="str">
        <f>IF(NOT(ISBLANK(G2copy!B247)),G2copy!B247,"")</f>
        <v/>
      </c>
      <c r="F247" s="24" t="str">
        <f>IF(E247&lt;&gt;"",G2copy!A247,"")</f>
        <v/>
      </c>
      <c r="G247" s="24" t="str">
        <f>IF(E247&lt;&gt;"",G2copy!F247,"")</f>
        <v/>
      </c>
    </row>
    <row r="248" spans="1:7" ht="15.75" customHeight="1">
      <c r="A248" s="23" t="str">
        <f t="shared" si="12"/>
        <v/>
      </c>
      <c r="B248" t="str">
        <f t="shared" si="13"/>
        <v/>
      </c>
      <c r="C248" s="23" t="str">
        <f t="shared" si="14"/>
        <v/>
      </c>
      <c r="E248" s="24" t="str">
        <f>IF(NOT(ISBLANK(G2copy!B248)),G2copy!B248,"")</f>
        <v/>
      </c>
      <c r="F248" s="24" t="str">
        <f>IF(E248&lt;&gt;"",G2copy!A248,"")</f>
        <v/>
      </c>
      <c r="G248" s="24" t="str">
        <f>IF(E248&lt;&gt;"",G2copy!F248,"")</f>
        <v/>
      </c>
    </row>
    <row r="249" spans="1:7" ht="15.75" customHeight="1">
      <c r="A249" s="23" t="str">
        <f t="shared" si="12"/>
        <v/>
      </c>
      <c r="B249" t="str">
        <f t="shared" si="13"/>
        <v/>
      </c>
      <c r="C249" s="23" t="str">
        <f t="shared" si="14"/>
        <v/>
      </c>
      <c r="E249" s="24" t="str">
        <f>IF(NOT(ISBLANK(G2copy!B249)),G2copy!B249,"")</f>
        <v/>
      </c>
      <c r="F249" s="24" t="str">
        <f>IF(E249&lt;&gt;"",G2copy!A249,"")</f>
        <v/>
      </c>
      <c r="G249" s="24" t="str">
        <f>IF(E249&lt;&gt;"",G2copy!F249,"")</f>
        <v/>
      </c>
    </row>
    <row r="250" spans="1:7" ht="15.75" customHeight="1">
      <c r="A250" s="23" t="str">
        <f t="shared" si="12"/>
        <v/>
      </c>
      <c r="B250" t="str">
        <f t="shared" si="13"/>
        <v/>
      </c>
      <c r="C250" s="23" t="str">
        <f t="shared" si="14"/>
        <v/>
      </c>
      <c r="E250" s="24" t="str">
        <f>IF(NOT(ISBLANK(G2copy!B250)),G2copy!B250,"")</f>
        <v/>
      </c>
      <c r="F250" s="24" t="str">
        <f>IF(E250&lt;&gt;"",G2copy!A250,"")</f>
        <v/>
      </c>
      <c r="G250" s="24" t="str">
        <f>IF(E250&lt;&gt;"",G2copy!F250,"")</f>
        <v/>
      </c>
    </row>
    <row r="251" spans="1:7" ht="15.75" customHeight="1">
      <c r="A251" s="23" t="str">
        <f t="shared" si="12"/>
        <v/>
      </c>
      <c r="B251" t="str">
        <f t="shared" si="13"/>
        <v/>
      </c>
      <c r="C251" s="23" t="str">
        <f t="shared" si="14"/>
        <v/>
      </c>
      <c r="E251" s="24" t="str">
        <f>IF(NOT(ISBLANK(G2copy!B251)),G2copy!B251,"")</f>
        <v/>
      </c>
      <c r="F251" s="24" t="str">
        <f>IF(E251&lt;&gt;"",G2copy!A251,"")</f>
        <v/>
      </c>
      <c r="G251" s="24" t="str">
        <f>IF(E251&lt;&gt;"",G2copy!F251,"")</f>
        <v/>
      </c>
    </row>
    <row r="252" spans="1:7" ht="15.75" customHeight="1">
      <c r="A252" s="23" t="str">
        <f t="shared" si="12"/>
        <v/>
      </c>
      <c r="B252" t="str">
        <f t="shared" si="13"/>
        <v/>
      </c>
      <c r="C252" s="23" t="str">
        <f t="shared" si="14"/>
        <v/>
      </c>
      <c r="E252" s="24" t="str">
        <f>IF(NOT(ISBLANK(G2copy!B252)),G2copy!B252,"")</f>
        <v/>
      </c>
      <c r="F252" s="24" t="str">
        <f>IF(E252&lt;&gt;"",G2copy!A252,"")</f>
        <v/>
      </c>
      <c r="G252" s="24" t="str">
        <f>IF(E252&lt;&gt;"",G2copy!F252,"")</f>
        <v/>
      </c>
    </row>
    <row r="253" spans="1:7" ht="15.75" customHeight="1">
      <c r="A253" s="23" t="str">
        <f t="shared" si="12"/>
        <v/>
      </c>
      <c r="B253" t="str">
        <f t="shared" si="13"/>
        <v/>
      </c>
      <c r="C253" s="23" t="str">
        <f t="shared" si="14"/>
        <v/>
      </c>
      <c r="E253" s="24" t="str">
        <f>IF(NOT(ISBLANK(G2copy!B253)),G2copy!B253,"")</f>
        <v/>
      </c>
      <c r="F253" s="24" t="str">
        <f>IF(E253&lt;&gt;"",G2copy!A253,"")</f>
        <v/>
      </c>
      <c r="G253" s="24" t="str">
        <f>IF(E253&lt;&gt;"",G2copy!F253,"")</f>
        <v/>
      </c>
    </row>
    <row r="254" spans="1:7" ht="15.75" customHeight="1">
      <c r="A254" s="23" t="str">
        <f t="shared" si="12"/>
        <v/>
      </c>
      <c r="B254" t="str">
        <f t="shared" si="13"/>
        <v/>
      </c>
      <c r="C254" s="23" t="str">
        <f t="shared" si="14"/>
        <v/>
      </c>
      <c r="E254" s="24" t="str">
        <f>IF(NOT(ISBLANK(G2copy!B254)),G2copy!B254,"")</f>
        <v/>
      </c>
      <c r="F254" s="24" t="str">
        <f>IF(E254&lt;&gt;"",G2copy!A254,"")</f>
        <v/>
      </c>
      <c r="G254" s="24" t="str">
        <f>IF(E254&lt;&gt;"",G2copy!F254,"")</f>
        <v/>
      </c>
    </row>
    <row r="255" spans="1:7" ht="15.75" customHeight="1">
      <c r="A255" s="23" t="str">
        <f t="shared" si="12"/>
        <v/>
      </c>
      <c r="B255" t="str">
        <f t="shared" si="13"/>
        <v/>
      </c>
      <c r="C255" s="23" t="str">
        <f t="shared" si="14"/>
        <v/>
      </c>
      <c r="E255" s="24" t="str">
        <f>IF(NOT(ISBLANK(G2copy!B255)),G2copy!B255,"")</f>
        <v/>
      </c>
      <c r="F255" s="24" t="str">
        <f>IF(E255&lt;&gt;"",G2copy!A255,"")</f>
        <v/>
      </c>
      <c r="G255" s="24" t="str">
        <f>IF(E255&lt;&gt;"",G2copy!F255,"")</f>
        <v/>
      </c>
    </row>
    <row r="256" spans="1:7" ht="15.75" customHeight="1">
      <c r="A256" s="23" t="str">
        <f t="shared" si="12"/>
        <v/>
      </c>
      <c r="B256" t="str">
        <f t="shared" si="13"/>
        <v/>
      </c>
      <c r="C256" s="23" t="str">
        <f t="shared" si="14"/>
        <v/>
      </c>
      <c r="E256" s="24" t="str">
        <f>IF(NOT(ISBLANK(G2copy!B256)),G2copy!B256,"")</f>
        <v/>
      </c>
      <c r="F256" s="24" t="str">
        <f>IF(E256&lt;&gt;"",G2copy!A256,"")</f>
        <v/>
      </c>
      <c r="G256" s="24" t="str">
        <f>IF(E256&lt;&gt;"",G2copy!F256,"")</f>
        <v/>
      </c>
    </row>
    <row r="257" spans="1:7" ht="15.75" customHeight="1">
      <c r="A257" s="23" t="str">
        <f t="shared" si="12"/>
        <v/>
      </c>
      <c r="B257" t="str">
        <f t="shared" si="13"/>
        <v/>
      </c>
      <c r="C257" s="23" t="str">
        <f t="shared" si="14"/>
        <v/>
      </c>
      <c r="E257" s="24" t="str">
        <f>IF(NOT(ISBLANK(G2copy!B257)),G2copy!B257,"")</f>
        <v/>
      </c>
      <c r="F257" s="24" t="str">
        <f>IF(E257&lt;&gt;"",G2copy!A257,"")</f>
        <v/>
      </c>
      <c r="G257" s="24" t="str">
        <f>IF(E257&lt;&gt;"",G2copy!F257,"")</f>
        <v/>
      </c>
    </row>
    <row r="258" spans="1:7" ht="15.75" customHeight="1">
      <c r="A258" s="23" t="str">
        <f t="shared" si="12"/>
        <v/>
      </c>
      <c r="B258" t="str">
        <f t="shared" si="13"/>
        <v/>
      </c>
      <c r="C258" s="23" t="str">
        <f t="shared" si="14"/>
        <v/>
      </c>
      <c r="E258" s="24" t="str">
        <f>IF(NOT(ISBLANK(G2copy!B258)),G2copy!B258,"")</f>
        <v/>
      </c>
      <c r="F258" s="24" t="str">
        <f>IF(E258&lt;&gt;"",G2copy!A258,"")</f>
        <v/>
      </c>
      <c r="G258" s="24" t="str">
        <f>IF(E258&lt;&gt;"",G2copy!F258,"")</f>
        <v/>
      </c>
    </row>
    <row r="259" spans="1:7" ht="15.75" customHeight="1">
      <c r="A259" s="23" t="str">
        <f t="shared" ref="A259:A322" si="15">IF(E259&lt;&gt;"",DATEVALUE(LEFT(E259,10)),"")</f>
        <v/>
      </c>
      <c r="B259" t="str">
        <f t="shared" ref="B259:B322" si="16">IF(LEN(F259)&gt;3,RIGHT(F259,LEN(F259)-3),"")</f>
        <v/>
      </c>
      <c r="C259" s="23" t="str">
        <f t="shared" ref="C259:C322" si="17">IF(E259&lt;&gt;"",DATEVALUE(LEFT(G259,10)),"")</f>
        <v/>
      </c>
      <c r="E259" s="24" t="str">
        <f>IF(NOT(ISBLANK(G2copy!B259)),G2copy!B259,"")</f>
        <v/>
      </c>
      <c r="F259" s="24" t="str">
        <f>IF(E259&lt;&gt;"",G2copy!A259,"")</f>
        <v/>
      </c>
      <c r="G259" s="24" t="str">
        <f>IF(E259&lt;&gt;"",G2copy!F259,"")</f>
        <v/>
      </c>
    </row>
    <row r="260" spans="1:7" ht="15.75" customHeight="1">
      <c r="A260" s="23" t="str">
        <f t="shared" si="15"/>
        <v/>
      </c>
      <c r="B260" t="str">
        <f t="shared" si="16"/>
        <v/>
      </c>
      <c r="C260" s="23" t="str">
        <f t="shared" si="17"/>
        <v/>
      </c>
      <c r="E260" s="24" t="str">
        <f>IF(NOT(ISBLANK(G2copy!B260)),G2copy!B260,"")</f>
        <v/>
      </c>
      <c r="F260" s="24" t="str">
        <f>IF(E260&lt;&gt;"",G2copy!A260,"")</f>
        <v/>
      </c>
      <c r="G260" s="24" t="str">
        <f>IF(E260&lt;&gt;"",G2copy!F260,"")</f>
        <v/>
      </c>
    </row>
    <row r="261" spans="1:7" ht="15.75" customHeight="1">
      <c r="A261" s="23" t="str">
        <f t="shared" si="15"/>
        <v/>
      </c>
      <c r="B261" t="str">
        <f t="shared" si="16"/>
        <v/>
      </c>
      <c r="C261" s="23" t="str">
        <f t="shared" si="17"/>
        <v/>
      </c>
      <c r="E261" s="24" t="str">
        <f>IF(NOT(ISBLANK(G2copy!B261)),G2copy!B261,"")</f>
        <v/>
      </c>
      <c r="F261" s="24" t="str">
        <f>IF(E261&lt;&gt;"",G2copy!A261,"")</f>
        <v/>
      </c>
      <c r="G261" s="24" t="str">
        <f>IF(E261&lt;&gt;"",G2copy!F261,"")</f>
        <v/>
      </c>
    </row>
    <row r="262" spans="1:7" ht="15.75" customHeight="1">
      <c r="A262" s="23" t="str">
        <f t="shared" si="15"/>
        <v/>
      </c>
      <c r="B262" t="str">
        <f t="shared" si="16"/>
        <v/>
      </c>
      <c r="C262" s="23" t="str">
        <f t="shared" si="17"/>
        <v/>
      </c>
      <c r="E262" s="24" t="str">
        <f>IF(NOT(ISBLANK(G2copy!B262)),G2copy!B262,"")</f>
        <v/>
      </c>
      <c r="F262" s="24" t="str">
        <f>IF(E262&lt;&gt;"",G2copy!A262,"")</f>
        <v/>
      </c>
      <c r="G262" s="24" t="str">
        <f>IF(E262&lt;&gt;"",G2copy!F262,"")</f>
        <v/>
      </c>
    </row>
    <row r="263" spans="1:7" ht="15.75" customHeight="1">
      <c r="A263" s="23" t="str">
        <f t="shared" si="15"/>
        <v/>
      </c>
      <c r="B263" t="str">
        <f t="shared" si="16"/>
        <v/>
      </c>
      <c r="C263" s="23" t="str">
        <f t="shared" si="17"/>
        <v/>
      </c>
      <c r="E263" s="24" t="str">
        <f>IF(NOT(ISBLANK(G2copy!B263)),G2copy!B263,"")</f>
        <v/>
      </c>
      <c r="F263" s="24" t="str">
        <f>IF(E263&lt;&gt;"",G2copy!A263,"")</f>
        <v/>
      </c>
      <c r="G263" s="24" t="str">
        <f>IF(E263&lt;&gt;"",G2copy!F263,"")</f>
        <v/>
      </c>
    </row>
    <row r="264" spans="1:7" ht="15.75" customHeight="1">
      <c r="A264" s="23" t="str">
        <f t="shared" si="15"/>
        <v/>
      </c>
      <c r="B264" t="str">
        <f t="shared" si="16"/>
        <v/>
      </c>
      <c r="C264" s="23" t="str">
        <f t="shared" si="17"/>
        <v/>
      </c>
      <c r="E264" s="24" t="str">
        <f>IF(NOT(ISBLANK(G2copy!B264)),G2copy!B264,"")</f>
        <v/>
      </c>
      <c r="F264" s="24" t="str">
        <f>IF(E264&lt;&gt;"",G2copy!A264,"")</f>
        <v/>
      </c>
      <c r="G264" s="24" t="str">
        <f>IF(E264&lt;&gt;"",G2copy!F264,"")</f>
        <v/>
      </c>
    </row>
    <row r="265" spans="1:7" ht="15.75" customHeight="1">
      <c r="A265" s="23" t="str">
        <f t="shared" si="15"/>
        <v/>
      </c>
      <c r="B265" t="str">
        <f t="shared" si="16"/>
        <v/>
      </c>
      <c r="C265" s="23" t="str">
        <f t="shared" si="17"/>
        <v/>
      </c>
      <c r="E265" s="24" t="str">
        <f>IF(NOT(ISBLANK(G2copy!B265)),G2copy!B265,"")</f>
        <v/>
      </c>
      <c r="F265" s="24" t="str">
        <f>IF(E265&lt;&gt;"",G2copy!A265,"")</f>
        <v/>
      </c>
      <c r="G265" s="24" t="str">
        <f>IF(E265&lt;&gt;"",G2copy!F265,"")</f>
        <v/>
      </c>
    </row>
    <row r="266" spans="1:7" ht="15.75" customHeight="1">
      <c r="A266" s="23" t="str">
        <f t="shared" si="15"/>
        <v/>
      </c>
      <c r="B266" t="str">
        <f t="shared" si="16"/>
        <v/>
      </c>
      <c r="C266" s="23" t="str">
        <f t="shared" si="17"/>
        <v/>
      </c>
      <c r="E266" s="24" t="str">
        <f>IF(NOT(ISBLANK(G2copy!B266)),G2copy!B266,"")</f>
        <v/>
      </c>
      <c r="F266" s="24" t="str">
        <f>IF(E266&lt;&gt;"",G2copy!A266,"")</f>
        <v/>
      </c>
      <c r="G266" s="24" t="str">
        <f>IF(E266&lt;&gt;"",G2copy!F266,"")</f>
        <v/>
      </c>
    </row>
    <row r="267" spans="1:7" ht="15.75" customHeight="1">
      <c r="A267" s="23" t="str">
        <f t="shared" si="15"/>
        <v/>
      </c>
      <c r="B267" t="str">
        <f t="shared" si="16"/>
        <v/>
      </c>
      <c r="C267" s="23" t="str">
        <f t="shared" si="17"/>
        <v/>
      </c>
      <c r="E267" s="24" t="str">
        <f>IF(NOT(ISBLANK(G2copy!B267)),G2copy!B267,"")</f>
        <v/>
      </c>
      <c r="F267" s="24" t="str">
        <f>IF(E267&lt;&gt;"",G2copy!A267,"")</f>
        <v/>
      </c>
      <c r="G267" s="24" t="str">
        <f>IF(E267&lt;&gt;"",G2copy!F267,"")</f>
        <v/>
      </c>
    </row>
    <row r="268" spans="1:7" ht="15.75" customHeight="1">
      <c r="A268" s="23" t="str">
        <f t="shared" si="15"/>
        <v/>
      </c>
      <c r="B268" t="str">
        <f t="shared" si="16"/>
        <v/>
      </c>
      <c r="C268" s="23" t="str">
        <f t="shared" si="17"/>
        <v/>
      </c>
      <c r="E268" s="24" t="str">
        <f>IF(NOT(ISBLANK(G2copy!B268)),G2copy!B268,"")</f>
        <v/>
      </c>
      <c r="F268" s="24" t="str">
        <f>IF(E268&lt;&gt;"",G2copy!A268,"")</f>
        <v/>
      </c>
      <c r="G268" s="24" t="str">
        <f>IF(E268&lt;&gt;"",G2copy!F268,"")</f>
        <v/>
      </c>
    </row>
    <row r="269" spans="1:7" ht="15.75" customHeight="1">
      <c r="A269" s="23" t="str">
        <f t="shared" si="15"/>
        <v/>
      </c>
      <c r="B269" t="str">
        <f t="shared" si="16"/>
        <v/>
      </c>
      <c r="C269" s="23" t="str">
        <f t="shared" si="17"/>
        <v/>
      </c>
      <c r="E269" s="24" t="str">
        <f>IF(NOT(ISBLANK(G2copy!B269)),G2copy!B269,"")</f>
        <v/>
      </c>
      <c r="F269" s="24" t="str">
        <f>IF(E269&lt;&gt;"",G2copy!A269,"")</f>
        <v/>
      </c>
      <c r="G269" s="24" t="str">
        <f>IF(E269&lt;&gt;"",G2copy!F269,"")</f>
        <v/>
      </c>
    </row>
    <row r="270" spans="1:7" ht="15.75" customHeight="1">
      <c r="A270" s="23" t="str">
        <f t="shared" si="15"/>
        <v/>
      </c>
      <c r="B270" t="str">
        <f t="shared" si="16"/>
        <v/>
      </c>
      <c r="C270" s="23" t="str">
        <f t="shared" si="17"/>
        <v/>
      </c>
      <c r="E270" s="24" t="str">
        <f>IF(NOT(ISBLANK(G2copy!B270)),G2copy!B270,"")</f>
        <v/>
      </c>
      <c r="F270" s="24" t="str">
        <f>IF(E270&lt;&gt;"",G2copy!A270,"")</f>
        <v/>
      </c>
      <c r="G270" s="24" t="str">
        <f>IF(E270&lt;&gt;"",G2copy!F270,"")</f>
        <v/>
      </c>
    </row>
    <row r="271" spans="1:7" ht="15.75" customHeight="1">
      <c r="A271" s="23" t="str">
        <f t="shared" si="15"/>
        <v/>
      </c>
      <c r="B271" t="str">
        <f t="shared" si="16"/>
        <v/>
      </c>
      <c r="C271" s="23" t="str">
        <f t="shared" si="17"/>
        <v/>
      </c>
      <c r="E271" s="24" t="str">
        <f>IF(NOT(ISBLANK(G2copy!B271)),G2copy!B271,"")</f>
        <v/>
      </c>
      <c r="F271" s="24" t="str">
        <f>IF(E271&lt;&gt;"",G2copy!A271,"")</f>
        <v/>
      </c>
      <c r="G271" s="24" t="str">
        <f>IF(E271&lt;&gt;"",G2copy!F271,"")</f>
        <v/>
      </c>
    </row>
    <row r="272" spans="1:7" ht="15.75" customHeight="1">
      <c r="A272" s="23" t="str">
        <f t="shared" si="15"/>
        <v/>
      </c>
      <c r="B272" t="str">
        <f t="shared" si="16"/>
        <v/>
      </c>
      <c r="C272" s="23" t="str">
        <f t="shared" si="17"/>
        <v/>
      </c>
      <c r="E272" s="24" t="str">
        <f>IF(NOT(ISBLANK(G2copy!B272)),G2copy!B272,"")</f>
        <v/>
      </c>
      <c r="F272" s="24" t="str">
        <f>IF(E272&lt;&gt;"",G2copy!A272,"")</f>
        <v/>
      </c>
      <c r="G272" s="24" t="str">
        <f>IF(E272&lt;&gt;"",G2copy!F272,"")</f>
        <v/>
      </c>
    </row>
    <row r="273" spans="1:7" ht="15.75" customHeight="1">
      <c r="A273" s="23" t="str">
        <f t="shared" si="15"/>
        <v/>
      </c>
      <c r="B273" t="str">
        <f t="shared" si="16"/>
        <v/>
      </c>
      <c r="C273" s="23" t="str">
        <f t="shared" si="17"/>
        <v/>
      </c>
      <c r="E273" s="24" t="str">
        <f>IF(NOT(ISBLANK(G2copy!B273)),G2copy!B273,"")</f>
        <v/>
      </c>
      <c r="F273" s="24" t="str">
        <f>IF(E273&lt;&gt;"",G2copy!A273,"")</f>
        <v/>
      </c>
      <c r="G273" s="24" t="str">
        <f>IF(E273&lt;&gt;"",G2copy!F273,"")</f>
        <v/>
      </c>
    </row>
    <row r="274" spans="1:7" ht="15.75" customHeight="1">
      <c r="A274" s="23" t="str">
        <f t="shared" si="15"/>
        <v/>
      </c>
      <c r="B274" t="str">
        <f t="shared" si="16"/>
        <v/>
      </c>
      <c r="C274" s="23" t="str">
        <f t="shared" si="17"/>
        <v/>
      </c>
      <c r="E274" s="24" t="str">
        <f>IF(NOT(ISBLANK(G2copy!B274)),G2copy!B274,"")</f>
        <v/>
      </c>
      <c r="F274" s="24" t="str">
        <f>IF(E274&lt;&gt;"",G2copy!A274,"")</f>
        <v/>
      </c>
      <c r="G274" s="24" t="str">
        <f>IF(E274&lt;&gt;"",G2copy!F274,"")</f>
        <v/>
      </c>
    </row>
    <row r="275" spans="1:7" ht="15.75" customHeight="1">
      <c r="A275" s="23" t="str">
        <f t="shared" si="15"/>
        <v/>
      </c>
      <c r="B275" t="str">
        <f t="shared" si="16"/>
        <v/>
      </c>
      <c r="C275" s="23" t="str">
        <f t="shared" si="17"/>
        <v/>
      </c>
      <c r="E275" s="24" t="str">
        <f>IF(NOT(ISBLANK(G2copy!B275)),G2copy!B275,"")</f>
        <v/>
      </c>
      <c r="F275" s="24" t="str">
        <f>IF(E275&lt;&gt;"",G2copy!A275,"")</f>
        <v/>
      </c>
      <c r="G275" s="24" t="str">
        <f>IF(E275&lt;&gt;"",G2copy!F275,"")</f>
        <v/>
      </c>
    </row>
    <row r="276" spans="1:7" ht="15.75" customHeight="1">
      <c r="A276" s="23" t="str">
        <f t="shared" si="15"/>
        <v/>
      </c>
      <c r="B276" t="str">
        <f t="shared" si="16"/>
        <v/>
      </c>
      <c r="C276" s="23" t="str">
        <f t="shared" si="17"/>
        <v/>
      </c>
      <c r="E276" s="24" t="str">
        <f>IF(NOT(ISBLANK(G2copy!B276)),G2copy!B276,"")</f>
        <v/>
      </c>
      <c r="F276" s="24" t="str">
        <f>IF(E276&lt;&gt;"",G2copy!A276,"")</f>
        <v/>
      </c>
      <c r="G276" s="24" t="str">
        <f>IF(E276&lt;&gt;"",G2copy!F276,"")</f>
        <v/>
      </c>
    </row>
    <row r="277" spans="1:7" ht="15.75" customHeight="1">
      <c r="A277" s="23" t="str">
        <f t="shared" si="15"/>
        <v/>
      </c>
      <c r="B277" t="str">
        <f t="shared" si="16"/>
        <v/>
      </c>
      <c r="C277" s="23" t="str">
        <f t="shared" si="17"/>
        <v/>
      </c>
      <c r="E277" s="24" t="str">
        <f>IF(NOT(ISBLANK(G2copy!B277)),G2copy!B277,"")</f>
        <v/>
      </c>
      <c r="F277" s="24" t="str">
        <f>IF(E277&lt;&gt;"",G2copy!A277,"")</f>
        <v/>
      </c>
      <c r="G277" s="24" t="str">
        <f>IF(E277&lt;&gt;"",G2copy!F277,"")</f>
        <v/>
      </c>
    </row>
    <row r="278" spans="1:7" ht="15.75" customHeight="1">
      <c r="A278" s="23" t="str">
        <f t="shared" si="15"/>
        <v/>
      </c>
      <c r="B278" t="str">
        <f t="shared" si="16"/>
        <v/>
      </c>
      <c r="C278" s="23" t="str">
        <f t="shared" si="17"/>
        <v/>
      </c>
      <c r="E278" s="24" t="str">
        <f>IF(NOT(ISBLANK(G2copy!B278)),G2copy!B278,"")</f>
        <v/>
      </c>
      <c r="F278" s="24" t="str">
        <f>IF(E278&lt;&gt;"",G2copy!A278,"")</f>
        <v/>
      </c>
      <c r="G278" s="24" t="str">
        <f>IF(E278&lt;&gt;"",G2copy!F278,"")</f>
        <v/>
      </c>
    </row>
    <row r="279" spans="1:7" ht="15.75" customHeight="1">
      <c r="A279" s="23" t="str">
        <f t="shared" si="15"/>
        <v/>
      </c>
      <c r="B279" t="str">
        <f t="shared" si="16"/>
        <v/>
      </c>
      <c r="C279" s="23" t="str">
        <f t="shared" si="17"/>
        <v/>
      </c>
      <c r="E279" s="24" t="str">
        <f>IF(NOT(ISBLANK(G2copy!B279)),G2copy!B279,"")</f>
        <v/>
      </c>
      <c r="F279" s="24" t="str">
        <f>IF(E279&lt;&gt;"",G2copy!A279,"")</f>
        <v/>
      </c>
      <c r="G279" s="24" t="str">
        <f>IF(E279&lt;&gt;"",G2copy!F279,"")</f>
        <v/>
      </c>
    </row>
    <row r="280" spans="1:7" ht="15.75" customHeight="1">
      <c r="A280" s="23" t="str">
        <f t="shared" si="15"/>
        <v/>
      </c>
      <c r="B280" t="str">
        <f t="shared" si="16"/>
        <v/>
      </c>
      <c r="C280" s="23" t="str">
        <f t="shared" si="17"/>
        <v/>
      </c>
      <c r="E280" s="24" t="str">
        <f>IF(NOT(ISBLANK(G2copy!B280)),G2copy!B280,"")</f>
        <v/>
      </c>
      <c r="F280" s="24" t="str">
        <f>IF(E280&lt;&gt;"",G2copy!A280,"")</f>
        <v/>
      </c>
      <c r="G280" s="24" t="str">
        <f>IF(E280&lt;&gt;"",G2copy!F280,"")</f>
        <v/>
      </c>
    </row>
    <row r="281" spans="1:7" ht="15.75" customHeight="1">
      <c r="A281" s="23" t="str">
        <f t="shared" si="15"/>
        <v/>
      </c>
      <c r="B281" t="str">
        <f t="shared" si="16"/>
        <v/>
      </c>
      <c r="C281" s="23" t="str">
        <f t="shared" si="17"/>
        <v/>
      </c>
      <c r="E281" s="24" t="str">
        <f>IF(NOT(ISBLANK(G2copy!B281)),G2copy!B281,"")</f>
        <v/>
      </c>
      <c r="F281" s="24" t="str">
        <f>IF(E281&lt;&gt;"",G2copy!A281,"")</f>
        <v/>
      </c>
      <c r="G281" s="24" t="str">
        <f>IF(E281&lt;&gt;"",G2copy!F281,"")</f>
        <v/>
      </c>
    </row>
    <row r="282" spans="1:7" ht="15.75" customHeight="1">
      <c r="A282" s="23" t="str">
        <f t="shared" si="15"/>
        <v/>
      </c>
      <c r="B282" t="str">
        <f t="shared" si="16"/>
        <v/>
      </c>
      <c r="C282" s="23" t="str">
        <f t="shared" si="17"/>
        <v/>
      </c>
      <c r="E282" s="24" t="str">
        <f>IF(NOT(ISBLANK(G2copy!B282)),G2copy!B282,"")</f>
        <v/>
      </c>
      <c r="F282" s="24" t="str">
        <f>IF(E282&lt;&gt;"",G2copy!A282,"")</f>
        <v/>
      </c>
      <c r="G282" s="24" t="str">
        <f>IF(E282&lt;&gt;"",G2copy!F282,"")</f>
        <v/>
      </c>
    </row>
    <row r="283" spans="1:7" ht="15.75" customHeight="1">
      <c r="A283" s="23" t="str">
        <f t="shared" si="15"/>
        <v/>
      </c>
      <c r="B283" t="str">
        <f t="shared" si="16"/>
        <v/>
      </c>
      <c r="C283" s="23" t="str">
        <f t="shared" si="17"/>
        <v/>
      </c>
      <c r="E283" s="24" t="str">
        <f>IF(NOT(ISBLANK(G2copy!B283)),G2copy!B283,"")</f>
        <v/>
      </c>
      <c r="F283" s="24" t="str">
        <f>IF(E283&lt;&gt;"",G2copy!A283,"")</f>
        <v/>
      </c>
      <c r="G283" s="24" t="str">
        <f>IF(E283&lt;&gt;"",G2copy!F283,"")</f>
        <v/>
      </c>
    </row>
    <row r="284" spans="1:7" ht="15.75" customHeight="1">
      <c r="A284" s="23" t="str">
        <f t="shared" si="15"/>
        <v/>
      </c>
      <c r="B284" t="str">
        <f t="shared" si="16"/>
        <v/>
      </c>
      <c r="C284" s="23" t="str">
        <f t="shared" si="17"/>
        <v/>
      </c>
      <c r="E284" s="24" t="str">
        <f>IF(NOT(ISBLANK(G2copy!B284)),G2copy!B284,"")</f>
        <v/>
      </c>
      <c r="F284" s="24" t="str">
        <f>IF(E284&lt;&gt;"",G2copy!A284,"")</f>
        <v/>
      </c>
      <c r="G284" s="24" t="str">
        <f>IF(E284&lt;&gt;"",G2copy!F284,"")</f>
        <v/>
      </c>
    </row>
    <row r="285" spans="1:7" ht="15.75" customHeight="1">
      <c r="A285" s="23" t="str">
        <f t="shared" si="15"/>
        <v/>
      </c>
      <c r="B285" t="str">
        <f t="shared" si="16"/>
        <v/>
      </c>
      <c r="C285" s="23" t="str">
        <f t="shared" si="17"/>
        <v/>
      </c>
      <c r="E285" s="24" t="str">
        <f>IF(NOT(ISBLANK(G2copy!B285)),G2copy!B285,"")</f>
        <v/>
      </c>
      <c r="F285" s="24" t="str">
        <f>IF(E285&lt;&gt;"",G2copy!A285,"")</f>
        <v/>
      </c>
      <c r="G285" s="24" t="str">
        <f>IF(E285&lt;&gt;"",G2copy!F285,"")</f>
        <v/>
      </c>
    </row>
    <row r="286" spans="1:7" ht="15.75" customHeight="1">
      <c r="A286" s="23" t="str">
        <f t="shared" si="15"/>
        <v/>
      </c>
      <c r="B286" t="str">
        <f t="shared" si="16"/>
        <v/>
      </c>
      <c r="C286" s="23" t="str">
        <f t="shared" si="17"/>
        <v/>
      </c>
      <c r="E286" s="24" t="str">
        <f>IF(NOT(ISBLANK(G2copy!B286)),G2copy!B286,"")</f>
        <v/>
      </c>
      <c r="F286" s="24" t="str">
        <f>IF(E286&lt;&gt;"",G2copy!A286,"")</f>
        <v/>
      </c>
      <c r="G286" s="24" t="str">
        <f>IF(E286&lt;&gt;"",G2copy!F286,"")</f>
        <v/>
      </c>
    </row>
    <row r="287" spans="1:7" ht="15.75" customHeight="1">
      <c r="A287" s="23" t="str">
        <f t="shared" si="15"/>
        <v/>
      </c>
      <c r="B287" t="str">
        <f t="shared" si="16"/>
        <v/>
      </c>
      <c r="C287" s="23" t="str">
        <f t="shared" si="17"/>
        <v/>
      </c>
      <c r="E287" s="24" t="str">
        <f>IF(NOT(ISBLANK(G2copy!B287)),G2copy!B287,"")</f>
        <v/>
      </c>
      <c r="F287" s="24" t="str">
        <f>IF(E287&lt;&gt;"",G2copy!A287,"")</f>
        <v/>
      </c>
      <c r="G287" s="24" t="str">
        <f>IF(E287&lt;&gt;"",G2copy!F287,"")</f>
        <v/>
      </c>
    </row>
    <row r="288" spans="1:7" ht="15.75" customHeight="1">
      <c r="A288" s="23" t="str">
        <f t="shared" si="15"/>
        <v/>
      </c>
      <c r="B288" t="str">
        <f t="shared" si="16"/>
        <v/>
      </c>
      <c r="C288" s="23" t="str">
        <f t="shared" si="17"/>
        <v/>
      </c>
      <c r="E288" s="24" t="str">
        <f>IF(NOT(ISBLANK(G2copy!B288)),G2copy!B288,"")</f>
        <v/>
      </c>
      <c r="F288" s="24" t="str">
        <f>IF(E288&lt;&gt;"",G2copy!A288,"")</f>
        <v/>
      </c>
      <c r="G288" s="24" t="str">
        <f>IF(E288&lt;&gt;"",G2copy!F288,"")</f>
        <v/>
      </c>
    </row>
    <row r="289" spans="1:7" ht="15.75" customHeight="1">
      <c r="A289" s="23" t="str">
        <f t="shared" si="15"/>
        <v/>
      </c>
      <c r="B289" t="str">
        <f t="shared" si="16"/>
        <v/>
      </c>
      <c r="C289" s="23" t="str">
        <f t="shared" si="17"/>
        <v/>
      </c>
      <c r="E289" s="24" t="str">
        <f>IF(NOT(ISBLANK(G2copy!B289)),G2copy!B289,"")</f>
        <v/>
      </c>
      <c r="F289" s="24" t="str">
        <f>IF(E289&lt;&gt;"",G2copy!A289,"")</f>
        <v/>
      </c>
      <c r="G289" s="24" t="str">
        <f>IF(E289&lt;&gt;"",G2copy!F289,"")</f>
        <v/>
      </c>
    </row>
    <row r="290" spans="1:7" ht="15.75" customHeight="1">
      <c r="A290" s="23" t="str">
        <f t="shared" si="15"/>
        <v/>
      </c>
      <c r="B290" t="str">
        <f t="shared" si="16"/>
        <v/>
      </c>
      <c r="C290" s="23" t="str">
        <f t="shared" si="17"/>
        <v/>
      </c>
      <c r="E290" s="24" t="str">
        <f>IF(NOT(ISBLANK(G2copy!B290)),G2copy!B290,"")</f>
        <v/>
      </c>
      <c r="F290" s="24" t="str">
        <f>IF(E290&lt;&gt;"",G2copy!A290,"")</f>
        <v/>
      </c>
      <c r="G290" s="24" t="str">
        <f>IF(E290&lt;&gt;"",G2copy!F290,"")</f>
        <v/>
      </c>
    </row>
    <row r="291" spans="1:7" ht="15.75" customHeight="1">
      <c r="A291" s="23" t="str">
        <f t="shared" si="15"/>
        <v/>
      </c>
      <c r="B291" t="str">
        <f t="shared" si="16"/>
        <v/>
      </c>
      <c r="C291" s="23" t="str">
        <f t="shared" si="17"/>
        <v/>
      </c>
      <c r="E291" s="24" t="str">
        <f>IF(NOT(ISBLANK(G2copy!B291)),G2copy!B291,"")</f>
        <v/>
      </c>
      <c r="F291" s="24" t="str">
        <f>IF(E291&lt;&gt;"",G2copy!A291,"")</f>
        <v/>
      </c>
      <c r="G291" s="24" t="str">
        <f>IF(E291&lt;&gt;"",G2copy!F291,"")</f>
        <v/>
      </c>
    </row>
    <row r="292" spans="1:7" ht="15.75" customHeight="1">
      <c r="A292" s="23" t="str">
        <f t="shared" si="15"/>
        <v/>
      </c>
      <c r="B292" t="str">
        <f t="shared" si="16"/>
        <v/>
      </c>
      <c r="C292" s="23" t="str">
        <f t="shared" si="17"/>
        <v/>
      </c>
      <c r="E292" s="24" t="str">
        <f>IF(NOT(ISBLANK(G2copy!B292)),G2copy!B292,"")</f>
        <v/>
      </c>
      <c r="F292" s="24" t="str">
        <f>IF(E292&lt;&gt;"",G2copy!A292,"")</f>
        <v/>
      </c>
      <c r="G292" s="24" t="str">
        <f>IF(E292&lt;&gt;"",G2copy!F292,"")</f>
        <v/>
      </c>
    </row>
    <row r="293" spans="1:7" ht="15.75" customHeight="1">
      <c r="A293" s="23" t="str">
        <f t="shared" si="15"/>
        <v/>
      </c>
      <c r="B293" t="str">
        <f t="shared" si="16"/>
        <v/>
      </c>
      <c r="C293" s="23" t="str">
        <f t="shared" si="17"/>
        <v/>
      </c>
      <c r="E293" s="24" t="str">
        <f>IF(NOT(ISBLANK(G2copy!B293)),G2copy!B293,"")</f>
        <v/>
      </c>
      <c r="F293" s="24" t="str">
        <f>IF(E293&lt;&gt;"",G2copy!A293,"")</f>
        <v/>
      </c>
      <c r="G293" s="24" t="str">
        <f>IF(E293&lt;&gt;"",G2copy!F293,"")</f>
        <v/>
      </c>
    </row>
    <row r="294" spans="1:7" ht="15.75" customHeight="1">
      <c r="A294" s="23" t="str">
        <f t="shared" si="15"/>
        <v/>
      </c>
      <c r="B294" t="str">
        <f t="shared" si="16"/>
        <v/>
      </c>
      <c r="C294" s="23" t="str">
        <f t="shared" si="17"/>
        <v/>
      </c>
      <c r="E294" s="24" t="str">
        <f>IF(NOT(ISBLANK(G2copy!B294)),G2copy!B294,"")</f>
        <v/>
      </c>
      <c r="F294" s="24" t="str">
        <f>IF(E294&lt;&gt;"",G2copy!A294,"")</f>
        <v/>
      </c>
      <c r="G294" s="24" t="str">
        <f>IF(E294&lt;&gt;"",G2copy!F294,"")</f>
        <v/>
      </c>
    </row>
    <row r="295" spans="1:7" ht="15.75" customHeight="1">
      <c r="A295" s="23" t="str">
        <f t="shared" si="15"/>
        <v/>
      </c>
      <c r="B295" t="str">
        <f t="shared" si="16"/>
        <v/>
      </c>
      <c r="C295" s="23" t="str">
        <f t="shared" si="17"/>
        <v/>
      </c>
      <c r="E295" s="24" t="str">
        <f>IF(NOT(ISBLANK(G2copy!B295)),G2copy!B295,"")</f>
        <v/>
      </c>
      <c r="F295" s="24" t="str">
        <f>IF(E295&lt;&gt;"",G2copy!A295,"")</f>
        <v/>
      </c>
      <c r="G295" s="24" t="str">
        <f>IF(E295&lt;&gt;"",G2copy!F295,"")</f>
        <v/>
      </c>
    </row>
    <row r="296" spans="1:7" ht="15.75" customHeight="1">
      <c r="A296" s="23" t="str">
        <f t="shared" si="15"/>
        <v/>
      </c>
      <c r="B296" t="str">
        <f t="shared" si="16"/>
        <v/>
      </c>
      <c r="C296" s="23" t="str">
        <f t="shared" si="17"/>
        <v/>
      </c>
      <c r="E296" s="24" t="str">
        <f>IF(NOT(ISBLANK(G2copy!B296)),G2copy!B296,"")</f>
        <v/>
      </c>
      <c r="F296" s="24" t="str">
        <f>IF(E296&lt;&gt;"",G2copy!A296,"")</f>
        <v/>
      </c>
      <c r="G296" s="24" t="str">
        <f>IF(E296&lt;&gt;"",G2copy!F296,"")</f>
        <v/>
      </c>
    </row>
    <row r="297" spans="1:7" ht="15.75" customHeight="1">
      <c r="A297" s="23" t="str">
        <f t="shared" si="15"/>
        <v/>
      </c>
      <c r="B297" t="str">
        <f t="shared" si="16"/>
        <v/>
      </c>
      <c r="C297" s="23" t="str">
        <f t="shared" si="17"/>
        <v/>
      </c>
      <c r="E297" s="24" t="str">
        <f>IF(NOT(ISBLANK(G2copy!B297)),G2copy!B297,"")</f>
        <v/>
      </c>
      <c r="F297" s="24" t="str">
        <f>IF(E297&lt;&gt;"",G2copy!A297,"")</f>
        <v/>
      </c>
      <c r="G297" s="24" t="str">
        <f>IF(E297&lt;&gt;"",G2copy!F297,"")</f>
        <v/>
      </c>
    </row>
    <row r="298" spans="1:7" ht="15.75" customHeight="1">
      <c r="A298" s="23" t="str">
        <f t="shared" si="15"/>
        <v/>
      </c>
      <c r="B298" t="str">
        <f t="shared" si="16"/>
        <v/>
      </c>
      <c r="C298" s="23" t="str">
        <f t="shared" si="17"/>
        <v/>
      </c>
      <c r="E298" s="24" t="str">
        <f>IF(NOT(ISBLANK(G2copy!B298)),G2copy!B298,"")</f>
        <v/>
      </c>
      <c r="F298" s="24" t="str">
        <f>IF(E298&lt;&gt;"",G2copy!A298,"")</f>
        <v/>
      </c>
      <c r="G298" s="24" t="str">
        <f>IF(E298&lt;&gt;"",G2copy!F298,"")</f>
        <v/>
      </c>
    </row>
    <row r="299" spans="1:7" ht="15.75" customHeight="1">
      <c r="A299" s="23" t="str">
        <f t="shared" si="15"/>
        <v/>
      </c>
      <c r="B299" t="str">
        <f t="shared" si="16"/>
        <v/>
      </c>
      <c r="C299" s="23" t="str">
        <f t="shared" si="17"/>
        <v/>
      </c>
      <c r="E299" s="24" t="str">
        <f>IF(NOT(ISBLANK(G2copy!B299)),G2copy!B299,"")</f>
        <v/>
      </c>
      <c r="F299" s="24" t="str">
        <f>IF(E299&lt;&gt;"",G2copy!A299,"")</f>
        <v/>
      </c>
      <c r="G299" s="24" t="str">
        <f>IF(E299&lt;&gt;"",G2copy!F299,"")</f>
        <v/>
      </c>
    </row>
    <row r="300" spans="1:7" ht="15.75" customHeight="1">
      <c r="A300" s="23" t="str">
        <f t="shared" si="15"/>
        <v/>
      </c>
      <c r="B300" t="str">
        <f t="shared" si="16"/>
        <v/>
      </c>
      <c r="C300" s="23" t="str">
        <f t="shared" si="17"/>
        <v/>
      </c>
      <c r="E300" s="24" t="str">
        <f>IF(NOT(ISBLANK(G2copy!B300)),G2copy!B300,"")</f>
        <v/>
      </c>
      <c r="F300" s="24" t="str">
        <f>IF(E300&lt;&gt;"",G2copy!A300,"")</f>
        <v/>
      </c>
      <c r="G300" s="24" t="str">
        <f>IF(E300&lt;&gt;"",G2copy!F300,"")</f>
        <v/>
      </c>
    </row>
    <row r="301" spans="1:7" ht="15.75" customHeight="1">
      <c r="A301" s="23" t="str">
        <f t="shared" si="15"/>
        <v/>
      </c>
      <c r="B301" t="str">
        <f t="shared" si="16"/>
        <v/>
      </c>
      <c r="C301" s="23" t="str">
        <f t="shared" si="17"/>
        <v/>
      </c>
      <c r="E301" s="24" t="str">
        <f>IF(NOT(ISBLANK(G2copy!B301)),G2copy!B301,"")</f>
        <v/>
      </c>
      <c r="F301" s="24" t="str">
        <f>IF(E301&lt;&gt;"",G2copy!A301,"")</f>
        <v/>
      </c>
      <c r="G301" s="24" t="str">
        <f>IF(E301&lt;&gt;"",G2copy!F301,"")</f>
        <v/>
      </c>
    </row>
    <row r="302" spans="1:7" ht="15.75" customHeight="1">
      <c r="A302" s="23" t="str">
        <f t="shared" si="15"/>
        <v/>
      </c>
      <c r="B302" t="str">
        <f t="shared" si="16"/>
        <v/>
      </c>
      <c r="C302" s="23" t="str">
        <f t="shared" si="17"/>
        <v/>
      </c>
      <c r="E302" s="24" t="str">
        <f>IF(NOT(ISBLANK(G2copy!B302)),G2copy!B302,"")</f>
        <v/>
      </c>
      <c r="F302" s="24" t="str">
        <f>IF(E302&lt;&gt;"",G2copy!A302,"")</f>
        <v/>
      </c>
      <c r="G302" s="24" t="str">
        <f>IF(E302&lt;&gt;"",G2copy!F302,"")</f>
        <v/>
      </c>
    </row>
    <row r="303" spans="1:7" ht="15.75" customHeight="1">
      <c r="A303" s="23" t="str">
        <f t="shared" si="15"/>
        <v/>
      </c>
      <c r="B303" t="str">
        <f t="shared" si="16"/>
        <v/>
      </c>
      <c r="C303" s="23" t="str">
        <f t="shared" si="17"/>
        <v/>
      </c>
      <c r="E303" s="24" t="str">
        <f>IF(NOT(ISBLANK(G2copy!B303)),G2copy!B303,"")</f>
        <v/>
      </c>
      <c r="F303" s="24" t="str">
        <f>IF(E303&lt;&gt;"",G2copy!A303,"")</f>
        <v/>
      </c>
      <c r="G303" s="24" t="str">
        <f>IF(E303&lt;&gt;"",G2copy!F303,"")</f>
        <v/>
      </c>
    </row>
    <row r="304" spans="1:7" ht="15.75" customHeight="1">
      <c r="A304" s="23" t="str">
        <f t="shared" si="15"/>
        <v/>
      </c>
      <c r="B304" t="str">
        <f t="shared" si="16"/>
        <v/>
      </c>
      <c r="C304" s="23" t="str">
        <f t="shared" si="17"/>
        <v/>
      </c>
      <c r="E304" s="24" t="str">
        <f>IF(NOT(ISBLANK(G2copy!B304)),G2copy!B304,"")</f>
        <v/>
      </c>
      <c r="F304" s="24" t="str">
        <f>IF(E304&lt;&gt;"",G2copy!A304,"")</f>
        <v/>
      </c>
      <c r="G304" s="24" t="str">
        <f>IF(E304&lt;&gt;"",G2copy!F304,"")</f>
        <v/>
      </c>
    </row>
    <row r="305" spans="1:7" ht="15.75" customHeight="1">
      <c r="A305" s="23" t="str">
        <f t="shared" si="15"/>
        <v/>
      </c>
      <c r="B305" t="str">
        <f t="shared" si="16"/>
        <v/>
      </c>
      <c r="C305" s="23" t="str">
        <f t="shared" si="17"/>
        <v/>
      </c>
      <c r="E305" s="24" t="str">
        <f>IF(NOT(ISBLANK(G2copy!B305)),G2copy!B305,"")</f>
        <v/>
      </c>
      <c r="F305" s="24" t="str">
        <f>IF(E305&lt;&gt;"",G2copy!A305,"")</f>
        <v/>
      </c>
      <c r="G305" s="24" t="str">
        <f>IF(E305&lt;&gt;"",G2copy!F305,"")</f>
        <v/>
      </c>
    </row>
    <row r="306" spans="1:7" ht="15.75" customHeight="1">
      <c r="A306" s="23" t="str">
        <f t="shared" si="15"/>
        <v/>
      </c>
      <c r="B306" t="str">
        <f t="shared" si="16"/>
        <v/>
      </c>
      <c r="C306" s="23" t="str">
        <f t="shared" si="17"/>
        <v/>
      </c>
      <c r="E306" s="24" t="str">
        <f>IF(NOT(ISBLANK(G2copy!B306)),G2copy!B306,"")</f>
        <v/>
      </c>
      <c r="F306" s="24" t="str">
        <f>IF(E306&lt;&gt;"",G2copy!A306,"")</f>
        <v/>
      </c>
      <c r="G306" s="24" t="str">
        <f>IF(E306&lt;&gt;"",G2copy!F306,"")</f>
        <v/>
      </c>
    </row>
    <row r="307" spans="1:7" ht="15.75" customHeight="1">
      <c r="A307" s="23" t="str">
        <f t="shared" si="15"/>
        <v/>
      </c>
      <c r="B307" t="str">
        <f t="shared" si="16"/>
        <v/>
      </c>
      <c r="C307" s="23" t="str">
        <f t="shared" si="17"/>
        <v/>
      </c>
      <c r="E307" s="24" t="str">
        <f>IF(NOT(ISBLANK(G2copy!B307)),G2copy!B307,"")</f>
        <v/>
      </c>
      <c r="F307" s="24" t="str">
        <f>IF(E307&lt;&gt;"",G2copy!A307,"")</f>
        <v/>
      </c>
      <c r="G307" s="24" t="str">
        <f>IF(E307&lt;&gt;"",G2copy!F307,"")</f>
        <v/>
      </c>
    </row>
    <row r="308" spans="1:7" ht="15.75" customHeight="1">
      <c r="A308" s="23" t="str">
        <f t="shared" si="15"/>
        <v/>
      </c>
      <c r="B308" t="str">
        <f t="shared" si="16"/>
        <v/>
      </c>
      <c r="C308" s="23" t="str">
        <f t="shared" si="17"/>
        <v/>
      </c>
      <c r="E308" s="24" t="str">
        <f>IF(NOT(ISBLANK(G2copy!B308)),G2copy!B308,"")</f>
        <v/>
      </c>
      <c r="F308" s="24" t="str">
        <f>IF(E308&lt;&gt;"",G2copy!A308,"")</f>
        <v/>
      </c>
      <c r="G308" s="24" t="str">
        <f>IF(E308&lt;&gt;"",G2copy!F308,"")</f>
        <v/>
      </c>
    </row>
    <row r="309" spans="1:7" ht="15.75" customHeight="1">
      <c r="A309" s="23" t="str">
        <f t="shared" si="15"/>
        <v/>
      </c>
      <c r="B309" t="str">
        <f t="shared" si="16"/>
        <v/>
      </c>
      <c r="C309" s="23" t="str">
        <f t="shared" si="17"/>
        <v/>
      </c>
      <c r="E309" s="24" t="str">
        <f>IF(NOT(ISBLANK(G2copy!B309)),G2copy!B309,"")</f>
        <v/>
      </c>
      <c r="F309" s="24" t="str">
        <f>IF(E309&lt;&gt;"",G2copy!A309,"")</f>
        <v/>
      </c>
      <c r="G309" s="24" t="str">
        <f>IF(E309&lt;&gt;"",G2copy!F309,"")</f>
        <v/>
      </c>
    </row>
    <row r="310" spans="1:7" ht="15.75" customHeight="1">
      <c r="A310" s="23" t="str">
        <f t="shared" si="15"/>
        <v/>
      </c>
      <c r="B310" t="str">
        <f t="shared" si="16"/>
        <v/>
      </c>
      <c r="C310" s="23" t="str">
        <f t="shared" si="17"/>
        <v/>
      </c>
      <c r="E310" s="24" t="str">
        <f>IF(NOT(ISBLANK(G2copy!B310)),G2copy!B310,"")</f>
        <v/>
      </c>
      <c r="F310" s="24" t="str">
        <f>IF(E310&lt;&gt;"",G2copy!A310,"")</f>
        <v/>
      </c>
      <c r="G310" s="24" t="str">
        <f>IF(E310&lt;&gt;"",G2copy!F310,"")</f>
        <v/>
      </c>
    </row>
    <row r="311" spans="1:7" ht="15.75" customHeight="1">
      <c r="A311" s="23" t="str">
        <f t="shared" si="15"/>
        <v/>
      </c>
      <c r="B311" t="str">
        <f t="shared" si="16"/>
        <v/>
      </c>
      <c r="C311" s="23" t="str">
        <f t="shared" si="17"/>
        <v/>
      </c>
      <c r="E311" s="24" t="str">
        <f>IF(NOT(ISBLANK(G2copy!B311)),G2copy!B311,"")</f>
        <v/>
      </c>
      <c r="F311" s="24" t="str">
        <f>IF(E311&lt;&gt;"",G2copy!A311,"")</f>
        <v/>
      </c>
      <c r="G311" s="24" t="str">
        <f>IF(E311&lt;&gt;"",G2copy!F311,"")</f>
        <v/>
      </c>
    </row>
    <row r="312" spans="1:7" ht="15.75" customHeight="1">
      <c r="A312" s="23" t="str">
        <f t="shared" si="15"/>
        <v/>
      </c>
      <c r="B312" t="str">
        <f t="shared" si="16"/>
        <v/>
      </c>
      <c r="C312" s="23" t="str">
        <f t="shared" si="17"/>
        <v/>
      </c>
      <c r="E312" s="24" t="str">
        <f>IF(NOT(ISBLANK(G2copy!B312)),G2copy!B312,"")</f>
        <v/>
      </c>
      <c r="F312" s="24" t="str">
        <f>IF(E312&lt;&gt;"",G2copy!A312,"")</f>
        <v/>
      </c>
      <c r="G312" s="24" t="str">
        <f>IF(E312&lt;&gt;"",G2copy!F312,"")</f>
        <v/>
      </c>
    </row>
    <row r="313" spans="1:7" ht="15.75" customHeight="1">
      <c r="A313" s="23" t="str">
        <f t="shared" si="15"/>
        <v/>
      </c>
      <c r="B313" t="str">
        <f t="shared" si="16"/>
        <v/>
      </c>
      <c r="C313" s="23" t="str">
        <f t="shared" si="17"/>
        <v/>
      </c>
      <c r="E313" s="24" t="str">
        <f>IF(NOT(ISBLANK(G2copy!B313)),G2copy!B313,"")</f>
        <v/>
      </c>
      <c r="F313" s="24" t="str">
        <f>IF(E313&lt;&gt;"",G2copy!A313,"")</f>
        <v/>
      </c>
      <c r="G313" s="24" t="str">
        <f>IF(E313&lt;&gt;"",G2copy!F313,"")</f>
        <v/>
      </c>
    </row>
    <row r="314" spans="1:7" ht="15.75" customHeight="1">
      <c r="A314" s="23" t="str">
        <f t="shared" si="15"/>
        <v/>
      </c>
      <c r="B314" t="str">
        <f t="shared" si="16"/>
        <v/>
      </c>
      <c r="C314" s="23" t="str">
        <f t="shared" si="17"/>
        <v/>
      </c>
      <c r="E314" s="24" t="str">
        <f>IF(NOT(ISBLANK(G2copy!B314)),G2copy!B314,"")</f>
        <v/>
      </c>
      <c r="F314" s="24" t="str">
        <f>IF(E314&lt;&gt;"",G2copy!A314,"")</f>
        <v/>
      </c>
      <c r="G314" s="24" t="str">
        <f>IF(E314&lt;&gt;"",G2copy!F314,"")</f>
        <v/>
      </c>
    </row>
    <row r="315" spans="1:7" ht="15.75" customHeight="1">
      <c r="A315" s="23" t="str">
        <f t="shared" si="15"/>
        <v/>
      </c>
      <c r="B315" t="str">
        <f t="shared" si="16"/>
        <v/>
      </c>
      <c r="C315" s="23" t="str">
        <f t="shared" si="17"/>
        <v/>
      </c>
      <c r="E315" s="24" t="str">
        <f>IF(NOT(ISBLANK(G2copy!B315)),G2copy!B315,"")</f>
        <v/>
      </c>
      <c r="F315" s="24" t="str">
        <f>IF(E315&lt;&gt;"",G2copy!A315,"")</f>
        <v/>
      </c>
      <c r="G315" s="24" t="str">
        <f>IF(E315&lt;&gt;"",G2copy!F315,"")</f>
        <v/>
      </c>
    </row>
    <row r="316" spans="1:7" ht="15.75" customHeight="1">
      <c r="A316" s="23" t="str">
        <f t="shared" si="15"/>
        <v/>
      </c>
      <c r="B316" t="str">
        <f t="shared" si="16"/>
        <v/>
      </c>
      <c r="C316" s="23" t="str">
        <f t="shared" si="17"/>
        <v/>
      </c>
      <c r="E316" s="24" t="str">
        <f>IF(NOT(ISBLANK(G2copy!B316)),G2copy!B316,"")</f>
        <v/>
      </c>
      <c r="F316" s="24" t="str">
        <f>IF(E316&lt;&gt;"",G2copy!A316,"")</f>
        <v/>
      </c>
      <c r="G316" s="24" t="str">
        <f>IF(E316&lt;&gt;"",G2copy!F316,"")</f>
        <v/>
      </c>
    </row>
    <row r="317" spans="1:7" ht="15.75" customHeight="1">
      <c r="A317" s="23" t="str">
        <f t="shared" si="15"/>
        <v/>
      </c>
      <c r="B317" t="str">
        <f t="shared" si="16"/>
        <v/>
      </c>
      <c r="C317" s="23" t="str">
        <f t="shared" si="17"/>
        <v/>
      </c>
      <c r="E317" s="24" t="str">
        <f>IF(NOT(ISBLANK(G2copy!B317)),G2copy!B317,"")</f>
        <v/>
      </c>
      <c r="F317" s="24" t="str">
        <f>IF(E317&lt;&gt;"",G2copy!A317,"")</f>
        <v/>
      </c>
      <c r="G317" s="24" t="str">
        <f>IF(E317&lt;&gt;"",G2copy!F317,"")</f>
        <v/>
      </c>
    </row>
    <row r="318" spans="1:7" ht="15.75" customHeight="1">
      <c r="A318" s="23" t="str">
        <f t="shared" si="15"/>
        <v/>
      </c>
      <c r="B318" t="str">
        <f t="shared" si="16"/>
        <v/>
      </c>
      <c r="C318" s="23" t="str">
        <f t="shared" si="17"/>
        <v/>
      </c>
      <c r="E318" s="24" t="str">
        <f>IF(NOT(ISBLANK(G2copy!B318)),G2copy!B318,"")</f>
        <v/>
      </c>
      <c r="F318" s="24" t="str">
        <f>IF(E318&lt;&gt;"",G2copy!A318,"")</f>
        <v/>
      </c>
      <c r="G318" s="24" t="str">
        <f>IF(E318&lt;&gt;"",G2copy!F318,"")</f>
        <v/>
      </c>
    </row>
    <row r="319" spans="1:7" ht="15.75" customHeight="1">
      <c r="A319" s="23" t="str">
        <f t="shared" si="15"/>
        <v/>
      </c>
      <c r="B319" t="str">
        <f t="shared" si="16"/>
        <v/>
      </c>
      <c r="C319" s="23" t="str">
        <f t="shared" si="17"/>
        <v/>
      </c>
      <c r="E319" s="24" t="str">
        <f>IF(NOT(ISBLANK(G2copy!B319)),G2copy!B319,"")</f>
        <v/>
      </c>
      <c r="F319" s="24" t="str">
        <f>IF(E319&lt;&gt;"",G2copy!A319,"")</f>
        <v/>
      </c>
      <c r="G319" s="24" t="str">
        <f>IF(E319&lt;&gt;"",G2copy!F319,"")</f>
        <v/>
      </c>
    </row>
    <row r="320" spans="1:7" ht="15.75" customHeight="1">
      <c r="A320" s="23" t="str">
        <f t="shared" si="15"/>
        <v/>
      </c>
      <c r="B320" t="str">
        <f t="shared" si="16"/>
        <v/>
      </c>
      <c r="C320" s="23" t="str">
        <f t="shared" si="17"/>
        <v/>
      </c>
      <c r="E320" s="24" t="str">
        <f>IF(NOT(ISBLANK(G2copy!B320)),G2copy!B320,"")</f>
        <v/>
      </c>
      <c r="F320" s="24" t="str">
        <f>IF(E320&lt;&gt;"",G2copy!A320,"")</f>
        <v/>
      </c>
      <c r="G320" s="24" t="str">
        <f>IF(E320&lt;&gt;"",G2copy!F320,"")</f>
        <v/>
      </c>
    </row>
    <row r="321" spans="1:7" ht="15.75" customHeight="1">
      <c r="A321" s="23" t="str">
        <f t="shared" si="15"/>
        <v/>
      </c>
      <c r="B321" t="str">
        <f t="shared" si="16"/>
        <v/>
      </c>
      <c r="C321" s="23" t="str">
        <f t="shared" si="17"/>
        <v/>
      </c>
      <c r="E321" s="24" t="str">
        <f>IF(NOT(ISBLANK(G2copy!B321)),G2copy!B321,"")</f>
        <v/>
      </c>
      <c r="F321" s="24" t="str">
        <f>IF(E321&lt;&gt;"",G2copy!A321,"")</f>
        <v/>
      </c>
      <c r="G321" s="24" t="str">
        <f>IF(E321&lt;&gt;"",G2copy!F321,"")</f>
        <v/>
      </c>
    </row>
    <row r="322" spans="1:7" ht="15.75" customHeight="1">
      <c r="A322" s="23" t="str">
        <f t="shared" si="15"/>
        <v/>
      </c>
      <c r="B322" t="str">
        <f t="shared" si="16"/>
        <v/>
      </c>
      <c r="C322" s="23" t="str">
        <f t="shared" si="17"/>
        <v/>
      </c>
      <c r="E322" s="24" t="str">
        <f>IF(NOT(ISBLANK(G2copy!B322)),G2copy!B322,"")</f>
        <v/>
      </c>
      <c r="F322" s="24" t="str">
        <f>IF(E322&lt;&gt;"",G2copy!A322,"")</f>
        <v/>
      </c>
      <c r="G322" s="24" t="str">
        <f>IF(E322&lt;&gt;"",G2copy!F322,"")</f>
        <v/>
      </c>
    </row>
    <row r="323" spans="1:7" ht="15.75" customHeight="1">
      <c r="A323" s="23" t="str">
        <f t="shared" ref="A323:A386" si="18">IF(E323&lt;&gt;"",DATEVALUE(LEFT(E323,10)),"")</f>
        <v/>
      </c>
      <c r="B323" t="str">
        <f t="shared" ref="B323:B386" si="19">IF(LEN(F323)&gt;3,RIGHT(F323,LEN(F323)-3),"")</f>
        <v/>
      </c>
      <c r="C323" s="23" t="str">
        <f t="shared" ref="C323:C386" si="20">IF(E323&lt;&gt;"",DATEVALUE(LEFT(G323,10)),"")</f>
        <v/>
      </c>
      <c r="E323" s="24" t="str">
        <f>IF(NOT(ISBLANK(G2copy!B323)),G2copy!B323,"")</f>
        <v/>
      </c>
      <c r="F323" s="24" t="str">
        <f>IF(E323&lt;&gt;"",G2copy!A323,"")</f>
        <v/>
      </c>
      <c r="G323" s="24" t="str">
        <f>IF(E323&lt;&gt;"",G2copy!F323,"")</f>
        <v/>
      </c>
    </row>
    <row r="324" spans="1:7" ht="15.75" customHeight="1">
      <c r="A324" s="23" t="str">
        <f t="shared" si="18"/>
        <v/>
      </c>
      <c r="B324" t="str">
        <f t="shared" si="19"/>
        <v/>
      </c>
      <c r="C324" s="23" t="str">
        <f t="shared" si="20"/>
        <v/>
      </c>
      <c r="E324" s="24" t="str">
        <f>IF(NOT(ISBLANK(G2copy!B324)),G2copy!B324,"")</f>
        <v/>
      </c>
      <c r="F324" s="24" t="str">
        <f>IF(E324&lt;&gt;"",G2copy!A324,"")</f>
        <v/>
      </c>
      <c r="G324" s="24" t="str">
        <f>IF(E324&lt;&gt;"",G2copy!F324,"")</f>
        <v/>
      </c>
    </row>
    <row r="325" spans="1:7" ht="15.75" customHeight="1">
      <c r="A325" s="23" t="str">
        <f t="shared" si="18"/>
        <v/>
      </c>
      <c r="B325" t="str">
        <f t="shared" si="19"/>
        <v/>
      </c>
      <c r="C325" s="23" t="str">
        <f t="shared" si="20"/>
        <v/>
      </c>
      <c r="E325" s="24" t="str">
        <f>IF(NOT(ISBLANK(G2copy!B325)),G2copy!B325,"")</f>
        <v/>
      </c>
      <c r="F325" s="24" t="str">
        <f>IF(E325&lt;&gt;"",G2copy!A325,"")</f>
        <v/>
      </c>
      <c r="G325" s="24" t="str">
        <f>IF(E325&lt;&gt;"",G2copy!F325,"")</f>
        <v/>
      </c>
    </row>
    <row r="326" spans="1:7" ht="15.75" customHeight="1">
      <c r="A326" s="23" t="str">
        <f t="shared" si="18"/>
        <v/>
      </c>
      <c r="B326" t="str">
        <f t="shared" si="19"/>
        <v/>
      </c>
      <c r="C326" s="23" t="str">
        <f t="shared" si="20"/>
        <v/>
      </c>
      <c r="E326" s="24" t="str">
        <f>IF(NOT(ISBLANK(G2copy!B326)),G2copy!B326,"")</f>
        <v/>
      </c>
      <c r="F326" s="24" t="str">
        <f>IF(E326&lt;&gt;"",G2copy!A326,"")</f>
        <v/>
      </c>
      <c r="G326" s="24" t="str">
        <f>IF(E326&lt;&gt;"",G2copy!F326,"")</f>
        <v/>
      </c>
    </row>
    <row r="327" spans="1:7" ht="15.75" customHeight="1">
      <c r="A327" s="23" t="str">
        <f t="shared" si="18"/>
        <v/>
      </c>
      <c r="B327" t="str">
        <f t="shared" si="19"/>
        <v/>
      </c>
      <c r="C327" s="23" t="str">
        <f t="shared" si="20"/>
        <v/>
      </c>
      <c r="E327" s="24" t="str">
        <f>IF(NOT(ISBLANK(G2copy!B327)),G2copy!B327,"")</f>
        <v/>
      </c>
      <c r="F327" s="24" t="str">
        <f>IF(E327&lt;&gt;"",G2copy!A327,"")</f>
        <v/>
      </c>
      <c r="G327" s="24" t="str">
        <f>IF(E327&lt;&gt;"",G2copy!F327,"")</f>
        <v/>
      </c>
    </row>
    <row r="328" spans="1:7" ht="15.75" customHeight="1">
      <c r="A328" s="23" t="str">
        <f t="shared" si="18"/>
        <v/>
      </c>
      <c r="B328" t="str">
        <f t="shared" si="19"/>
        <v/>
      </c>
      <c r="C328" s="23" t="str">
        <f t="shared" si="20"/>
        <v/>
      </c>
      <c r="E328" s="24" t="str">
        <f>IF(NOT(ISBLANK(G2copy!B328)),G2copy!B328,"")</f>
        <v/>
      </c>
      <c r="F328" s="24" t="str">
        <f>IF(E328&lt;&gt;"",G2copy!A328,"")</f>
        <v/>
      </c>
      <c r="G328" s="24" t="str">
        <f>IF(E328&lt;&gt;"",G2copy!F328,"")</f>
        <v/>
      </c>
    </row>
    <row r="329" spans="1:7" ht="15.75" customHeight="1">
      <c r="A329" s="23" t="str">
        <f t="shared" si="18"/>
        <v/>
      </c>
      <c r="B329" t="str">
        <f t="shared" si="19"/>
        <v/>
      </c>
      <c r="C329" s="23" t="str">
        <f t="shared" si="20"/>
        <v/>
      </c>
      <c r="E329" s="24" t="str">
        <f>IF(NOT(ISBLANK(G2copy!B329)),G2copy!B329,"")</f>
        <v/>
      </c>
      <c r="F329" s="24" t="str">
        <f>IF(E329&lt;&gt;"",G2copy!A329,"")</f>
        <v/>
      </c>
      <c r="G329" s="24" t="str">
        <f>IF(E329&lt;&gt;"",G2copy!F329,"")</f>
        <v/>
      </c>
    </row>
    <row r="330" spans="1:7" ht="15.75" customHeight="1">
      <c r="A330" s="23" t="str">
        <f t="shared" si="18"/>
        <v/>
      </c>
      <c r="B330" t="str">
        <f t="shared" si="19"/>
        <v/>
      </c>
      <c r="C330" s="23" t="str">
        <f t="shared" si="20"/>
        <v/>
      </c>
      <c r="E330" s="24" t="str">
        <f>IF(NOT(ISBLANK(G2copy!B330)),G2copy!B330,"")</f>
        <v/>
      </c>
      <c r="F330" s="24" t="str">
        <f>IF(E330&lt;&gt;"",G2copy!A330,"")</f>
        <v/>
      </c>
      <c r="G330" s="24" t="str">
        <f>IF(E330&lt;&gt;"",G2copy!F330,"")</f>
        <v/>
      </c>
    </row>
    <row r="331" spans="1:7" ht="15.75" customHeight="1">
      <c r="A331" s="23" t="str">
        <f t="shared" si="18"/>
        <v/>
      </c>
      <c r="B331" t="str">
        <f t="shared" si="19"/>
        <v/>
      </c>
      <c r="C331" s="23" t="str">
        <f t="shared" si="20"/>
        <v/>
      </c>
      <c r="E331" s="24" t="str">
        <f>IF(NOT(ISBLANK(G2copy!B331)),G2copy!B331,"")</f>
        <v/>
      </c>
      <c r="F331" s="24" t="str">
        <f>IF(E331&lt;&gt;"",G2copy!A331,"")</f>
        <v/>
      </c>
      <c r="G331" s="24" t="str">
        <f>IF(E331&lt;&gt;"",G2copy!F331,"")</f>
        <v/>
      </c>
    </row>
    <row r="332" spans="1:7" ht="15.75" customHeight="1">
      <c r="A332" s="23" t="str">
        <f t="shared" si="18"/>
        <v/>
      </c>
      <c r="B332" t="str">
        <f t="shared" si="19"/>
        <v/>
      </c>
      <c r="C332" s="23" t="str">
        <f t="shared" si="20"/>
        <v/>
      </c>
      <c r="E332" s="24" t="str">
        <f>IF(NOT(ISBLANK(G2copy!B332)),G2copy!B332,"")</f>
        <v/>
      </c>
      <c r="F332" s="24" t="str">
        <f>IF(E332&lt;&gt;"",G2copy!A332,"")</f>
        <v/>
      </c>
      <c r="G332" s="24" t="str">
        <f>IF(E332&lt;&gt;"",G2copy!F332,"")</f>
        <v/>
      </c>
    </row>
    <row r="333" spans="1:7" ht="15.75" customHeight="1">
      <c r="A333" s="23" t="str">
        <f t="shared" si="18"/>
        <v/>
      </c>
      <c r="B333" t="str">
        <f t="shared" si="19"/>
        <v/>
      </c>
      <c r="C333" s="23" t="str">
        <f t="shared" si="20"/>
        <v/>
      </c>
      <c r="E333" s="24" t="str">
        <f>IF(NOT(ISBLANK(G2copy!B333)),G2copy!B333,"")</f>
        <v/>
      </c>
      <c r="F333" s="24" t="str">
        <f>IF(E333&lt;&gt;"",G2copy!A333,"")</f>
        <v/>
      </c>
      <c r="G333" s="24" t="str">
        <f>IF(E333&lt;&gt;"",G2copy!F333,"")</f>
        <v/>
      </c>
    </row>
    <row r="334" spans="1:7" ht="15.75" customHeight="1">
      <c r="A334" s="23" t="str">
        <f t="shared" si="18"/>
        <v/>
      </c>
      <c r="B334" t="str">
        <f t="shared" si="19"/>
        <v/>
      </c>
      <c r="C334" s="23" t="str">
        <f t="shared" si="20"/>
        <v/>
      </c>
      <c r="E334" s="24" t="str">
        <f>IF(NOT(ISBLANK(G2copy!B334)),G2copy!B334,"")</f>
        <v/>
      </c>
      <c r="F334" s="24" t="str">
        <f>IF(E334&lt;&gt;"",G2copy!A334,"")</f>
        <v/>
      </c>
      <c r="G334" s="24" t="str">
        <f>IF(E334&lt;&gt;"",G2copy!F334,"")</f>
        <v/>
      </c>
    </row>
    <row r="335" spans="1:7" ht="15.75" customHeight="1">
      <c r="A335" s="23" t="str">
        <f t="shared" si="18"/>
        <v/>
      </c>
      <c r="B335" t="str">
        <f t="shared" si="19"/>
        <v/>
      </c>
      <c r="C335" s="23" t="str">
        <f t="shared" si="20"/>
        <v/>
      </c>
      <c r="E335" s="24" t="str">
        <f>IF(NOT(ISBLANK(G2copy!B335)),G2copy!B335,"")</f>
        <v/>
      </c>
      <c r="F335" s="24" t="str">
        <f>IF(E335&lt;&gt;"",G2copy!A335,"")</f>
        <v/>
      </c>
      <c r="G335" s="24" t="str">
        <f>IF(E335&lt;&gt;"",G2copy!F335,"")</f>
        <v/>
      </c>
    </row>
    <row r="336" spans="1:7" ht="15.75" customHeight="1">
      <c r="A336" s="23" t="str">
        <f t="shared" si="18"/>
        <v/>
      </c>
      <c r="B336" t="str">
        <f t="shared" si="19"/>
        <v/>
      </c>
      <c r="C336" s="23" t="str">
        <f t="shared" si="20"/>
        <v/>
      </c>
      <c r="E336" s="24" t="str">
        <f>IF(NOT(ISBLANK(G2copy!B336)),G2copy!B336,"")</f>
        <v/>
      </c>
      <c r="F336" s="24" t="str">
        <f>IF(E336&lt;&gt;"",G2copy!A336,"")</f>
        <v/>
      </c>
      <c r="G336" s="24" t="str">
        <f>IF(E336&lt;&gt;"",G2copy!F336,"")</f>
        <v/>
      </c>
    </row>
    <row r="337" spans="1:7" ht="15.75" customHeight="1">
      <c r="A337" s="23" t="str">
        <f t="shared" si="18"/>
        <v/>
      </c>
      <c r="B337" t="str">
        <f t="shared" si="19"/>
        <v/>
      </c>
      <c r="C337" s="23" t="str">
        <f t="shared" si="20"/>
        <v/>
      </c>
      <c r="E337" s="24" t="str">
        <f>IF(NOT(ISBLANK(G2copy!B337)),G2copy!B337,"")</f>
        <v/>
      </c>
      <c r="F337" s="24" t="str">
        <f>IF(E337&lt;&gt;"",G2copy!A337,"")</f>
        <v/>
      </c>
      <c r="G337" s="24" t="str">
        <f>IF(E337&lt;&gt;"",G2copy!F337,"")</f>
        <v/>
      </c>
    </row>
    <row r="338" spans="1:7" ht="15.75" customHeight="1">
      <c r="A338" s="23" t="str">
        <f t="shared" si="18"/>
        <v/>
      </c>
      <c r="B338" t="str">
        <f t="shared" si="19"/>
        <v/>
      </c>
      <c r="C338" s="23" t="str">
        <f t="shared" si="20"/>
        <v/>
      </c>
      <c r="E338" s="24" t="str">
        <f>IF(NOT(ISBLANK(G2copy!B338)),G2copy!B338,"")</f>
        <v/>
      </c>
      <c r="F338" s="24" t="str">
        <f>IF(E338&lt;&gt;"",G2copy!A338,"")</f>
        <v/>
      </c>
      <c r="G338" s="24" t="str">
        <f>IF(E338&lt;&gt;"",G2copy!F338,"")</f>
        <v/>
      </c>
    </row>
    <row r="339" spans="1:7" ht="15.75" customHeight="1">
      <c r="A339" s="23" t="str">
        <f t="shared" si="18"/>
        <v/>
      </c>
      <c r="B339" t="str">
        <f t="shared" si="19"/>
        <v/>
      </c>
      <c r="C339" s="23" t="str">
        <f t="shared" si="20"/>
        <v/>
      </c>
      <c r="E339" s="24" t="str">
        <f>IF(NOT(ISBLANK(G2copy!B339)),G2copy!B339,"")</f>
        <v/>
      </c>
      <c r="F339" s="24" t="str">
        <f>IF(E339&lt;&gt;"",G2copy!A339,"")</f>
        <v/>
      </c>
      <c r="G339" s="24" t="str">
        <f>IF(E339&lt;&gt;"",G2copy!F339,"")</f>
        <v/>
      </c>
    </row>
    <row r="340" spans="1:7" ht="15.75" customHeight="1">
      <c r="A340" s="23" t="str">
        <f t="shared" si="18"/>
        <v/>
      </c>
      <c r="B340" t="str">
        <f t="shared" si="19"/>
        <v/>
      </c>
      <c r="C340" s="23" t="str">
        <f t="shared" si="20"/>
        <v/>
      </c>
      <c r="E340" s="24" t="str">
        <f>IF(NOT(ISBLANK(G2copy!B340)),G2copy!B340,"")</f>
        <v/>
      </c>
      <c r="F340" s="24" t="str">
        <f>IF(E340&lt;&gt;"",G2copy!A340,"")</f>
        <v/>
      </c>
      <c r="G340" s="24" t="str">
        <f>IF(E340&lt;&gt;"",G2copy!F340,"")</f>
        <v/>
      </c>
    </row>
    <row r="341" spans="1:7" ht="15.75" customHeight="1">
      <c r="A341" s="23" t="str">
        <f t="shared" si="18"/>
        <v/>
      </c>
      <c r="B341" t="str">
        <f t="shared" si="19"/>
        <v/>
      </c>
      <c r="C341" s="23" t="str">
        <f t="shared" si="20"/>
        <v/>
      </c>
      <c r="E341" s="24" t="str">
        <f>IF(NOT(ISBLANK(G2copy!B341)),G2copy!B341,"")</f>
        <v/>
      </c>
      <c r="F341" s="24" t="str">
        <f>IF(E341&lt;&gt;"",G2copy!A341,"")</f>
        <v/>
      </c>
      <c r="G341" s="24" t="str">
        <f>IF(E341&lt;&gt;"",G2copy!F341,"")</f>
        <v/>
      </c>
    </row>
    <row r="342" spans="1:7" ht="15.75" customHeight="1">
      <c r="A342" s="23" t="str">
        <f t="shared" si="18"/>
        <v/>
      </c>
      <c r="B342" t="str">
        <f t="shared" si="19"/>
        <v/>
      </c>
      <c r="C342" s="23" t="str">
        <f t="shared" si="20"/>
        <v/>
      </c>
      <c r="E342" s="24" t="str">
        <f>IF(NOT(ISBLANK(G2copy!B342)),G2copy!B342,"")</f>
        <v/>
      </c>
      <c r="F342" s="24" t="str">
        <f>IF(E342&lt;&gt;"",G2copy!A342,"")</f>
        <v/>
      </c>
      <c r="G342" s="24" t="str">
        <f>IF(E342&lt;&gt;"",G2copy!F342,"")</f>
        <v/>
      </c>
    </row>
    <row r="343" spans="1:7" ht="15.75" customHeight="1">
      <c r="A343" s="23" t="str">
        <f t="shared" si="18"/>
        <v/>
      </c>
      <c r="B343" t="str">
        <f t="shared" si="19"/>
        <v/>
      </c>
      <c r="C343" s="23" t="str">
        <f t="shared" si="20"/>
        <v/>
      </c>
      <c r="E343" s="24" t="str">
        <f>IF(NOT(ISBLANK(G2copy!B343)),G2copy!B343,"")</f>
        <v/>
      </c>
      <c r="F343" s="24" t="str">
        <f>IF(E343&lt;&gt;"",G2copy!A343,"")</f>
        <v/>
      </c>
      <c r="G343" s="24" t="str">
        <f>IF(E343&lt;&gt;"",G2copy!F343,"")</f>
        <v/>
      </c>
    </row>
    <row r="344" spans="1:7" ht="15.75" customHeight="1">
      <c r="A344" s="23" t="str">
        <f t="shared" si="18"/>
        <v/>
      </c>
      <c r="B344" t="str">
        <f t="shared" si="19"/>
        <v/>
      </c>
      <c r="C344" s="23" t="str">
        <f t="shared" si="20"/>
        <v/>
      </c>
      <c r="E344" s="24" t="str">
        <f>IF(NOT(ISBLANK(G2copy!B344)),G2copy!B344,"")</f>
        <v/>
      </c>
      <c r="F344" s="24" t="str">
        <f>IF(E344&lt;&gt;"",G2copy!A344,"")</f>
        <v/>
      </c>
      <c r="G344" s="24" t="str">
        <f>IF(E344&lt;&gt;"",G2copy!F344,"")</f>
        <v/>
      </c>
    </row>
    <row r="345" spans="1:7" ht="15.75" customHeight="1">
      <c r="A345" s="23" t="str">
        <f t="shared" si="18"/>
        <v/>
      </c>
      <c r="B345" t="str">
        <f t="shared" si="19"/>
        <v/>
      </c>
      <c r="C345" s="23" t="str">
        <f t="shared" si="20"/>
        <v/>
      </c>
      <c r="E345" s="24" t="str">
        <f>IF(NOT(ISBLANK(G2copy!B345)),G2copy!B345,"")</f>
        <v/>
      </c>
      <c r="F345" s="24" t="str">
        <f>IF(E345&lt;&gt;"",G2copy!A345,"")</f>
        <v/>
      </c>
      <c r="G345" s="24" t="str">
        <f>IF(E345&lt;&gt;"",G2copy!F345,"")</f>
        <v/>
      </c>
    </row>
    <row r="346" spans="1:7" ht="15.75" customHeight="1">
      <c r="A346" s="23" t="str">
        <f t="shared" si="18"/>
        <v/>
      </c>
      <c r="B346" t="str">
        <f t="shared" si="19"/>
        <v/>
      </c>
      <c r="C346" s="23" t="str">
        <f t="shared" si="20"/>
        <v/>
      </c>
      <c r="E346" s="24" t="str">
        <f>IF(NOT(ISBLANK(G2copy!B346)),G2copy!B346,"")</f>
        <v/>
      </c>
      <c r="F346" s="24" t="str">
        <f>IF(E346&lt;&gt;"",G2copy!A346,"")</f>
        <v/>
      </c>
      <c r="G346" s="24" t="str">
        <f>IF(E346&lt;&gt;"",G2copy!F346,"")</f>
        <v/>
      </c>
    </row>
    <row r="347" spans="1:7" ht="15.75" customHeight="1">
      <c r="A347" s="23" t="str">
        <f t="shared" si="18"/>
        <v/>
      </c>
      <c r="B347" t="str">
        <f t="shared" si="19"/>
        <v/>
      </c>
      <c r="C347" s="23" t="str">
        <f t="shared" si="20"/>
        <v/>
      </c>
      <c r="E347" s="24" t="str">
        <f>IF(NOT(ISBLANK(G2copy!B347)),G2copy!B347,"")</f>
        <v/>
      </c>
      <c r="F347" s="24" t="str">
        <f>IF(E347&lt;&gt;"",G2copy!A347,"")</f>
        <v/>
      </c>
      <c r="G347" s="24" t="str">
        <f>IF(E347&lt;&gt;"",G2copy!F347,"")</f>
        <v/>
      </c>
    </row>
    <row r="348" spans="1:7" ht="15.75" customHeight="1">
      <c r="A348" s="23" t="str">
        <f t="shared" si="18"/>
        <v/>
      </c>
      <c r="B348" t="str">
        <f t="shared" si="19"/>
        <v/>
      </c>
      <c r="C348" s="23" t="str">
        <f t="shared" si="20"/>
        <v/>
      </c>
      <c r="E348" s="24" t="str">
        <f>IF(NOT(ISBLANK(G2copy!B348)),G2copy!B348,"")</f>
        <v/>
      </c>
      <c r="F348" s="24" t="str">
        <f>IF(E348&lt;&gt;"",G2copy!A348,"")</f>
        <v/>
      </c>
      <c r="G348" s="24" t="str">
        <f>IF(E348&lt;&gt;"",G2copy!F348,"")</f>
        <v/>
      </c>
    </row>
    <row r="349" spans="1:7" ht="15.75" customHeight="1">
      <c r="A349" s="23" t="str">
        <f t="shared" si="18"/>
        <v/>
      </c>
      <c r="B349" t="str">
        <f t="shared" si="19"/>
        <v/>
      </c>
      <c r="C349" s="23" t="str">
        <f t="shared" si="20"/>
        <v/>
      </c>
      <c r="E349" s="24" t="str">
        <f>IF(NOT(ISBLANK(G2copy!B349)),G2copy!B349,"")</f>
        <v/>
      </c>
      <c r="F349" s="24" t="str">
        <f>IF(E349&lt;&gt;"",G2copy!A349,"")</f>
        <v/>
      </c>
      <c r="G349" s="24" t="str">
        <f>IF(E349&lt;&gt;"",G2copy!F349,"")</f>
        <v/>
      </c>
    </row>
    <row r="350" spans="1:7" ht="15.75" customHeight="1">
      <c r="A350" s="23" t="str">
        <f t="shared" si="18"/>
        <v/>
      </c>
      <c r="B350" t="str">
        <f t="shared" si="19"/>
        <v/>
      </c>
      <c r="C350" s="23" t="str">
        <f t="shared" si="20"/>
        <v/>
      </c>
      <c r="E350" s="24" t="str">
        <f>IF(NOT(ISBLANK(G2copy!B350)),G2copy!B350,"")</f>
        <v/>
      </c>
      <c r="F350" s="24" t="str">
        <f>IF(E350&lt;&gt;"",G2copy!A350,"")</f>
        <v/>
      </c>
      <c r="G350" s="24" t="str">
        <f>IF(E350&lt;&gt;"",G2copy!F350,"")</f>
        <v/>
      </c>
    </row>
    <row r="351" spans="1:7" ht="15.75" customHeight="1">
      <c r="A351" s="23" t="str">
        <f t="shared" si="18"/>
        <v/>
      </c>
      <c r="B351" t="str">
        <f t="shared" si="19"/>
        <v/>
      </c>
      <c r="C351" s="23" t="str">
        <f t="shared" si="20"/>
        <v/>
      </c>
      <c r="E351" s="24" t="str">
        <f>IF(NOT(ISBLANK(G2copy!B351)),G2copy!B351,"")</f>
        <v/>
      </c>
      <c r="F351" s="24" t="str">
        <f>IF(E351&lt;&gt;"",G2copy!A351,"")</f>
        <v/>
      </c>
      <c r="G351" s="24" t="str">
        <f>IF(E351&lt;&gt;"",G2copy!F351,"")</f>
        <v/>
      </c>
    </row>
    <row r="352" spans="1:7" ht="15.75" customHeight="1">
      <c r="A352" s="23" t="str">
        <f t="shared" si="18"/>
        <v/>
      </c>
      <c r="B352" t="str">
        <f t="shared" si="19"/>
        <v/>
      </c>
      <c r="C352" s="23" t="str">
        <f t="shared" si="20"/>
        <v/>
      </c>
      <c r="E352" s="24" t="str">
        <f>IF(NOT(ISBLANK(G2copy!B352)),G2copy!B352,"")</f>
        <v/>
      </c>
      <c r="F352" s="24" t="str">
        <f>IF(E352&lt;&gt;"",G2copy!A352,"")</f>
        <v/>
      </c>
      <c r="G352" s="24" t="str">
        <f>IF(E352&lt;&gt;"",G2copy!F352,"")</f>
        <v/>
      </c>
    </row>
    <row r="353" spans="1:7" ht="15.75" customHeight="1">
      <c r="A353" s="23" t="str">
        <f t="shared" si="18"/>
        <v/>
      </c>
      <c r="B353" t="str">
        <f t="shared" si="19"/>
        <v/>
      </c>
      <c r="C353" s="23" t="str">
        <f t="shared" si="20"/>
        <v/>
      </c>
      <c r="E353" s="24" t="str">
        <f>IF(NOT(ISBLANK(G2copy!B353)),G2copy!B353,"")</f>
        <v/>
      </c>
      <c r="F353" s="24" t="str">
        <f>IF(E353&lt;&gt;"",G2copy!A353,"")</f>
        <v/>
      </c>
      <c r="G353" s="24" t="str">
        <f>IF(E353&lt;&gt;"",G2copy!F353,"")</f>
        <v/>
      </c>
    </row>
    <row r="354" spans="1:7" ht="15.75" customHeight="1">
      <c r="A354" s="23" t="str">
        <f t="shared" si="18"/>
        <v/>
      </c>
      <c r="B354" t="str">
        <f t="shared" si="19"/>
        <v/>
      </c>
      <c r="C354" s="23" t="str">
        <f t="shared" si="20"/>
        <v/>
      </c>
      <c r="E354" s="24" t="str">
        <f>IF(NOT(ISBLANK(G2copy!B354)),G2copy!B354,"")</f>
        <v/>
      </c>
      <c r="F354" s="24" t="str">
        <f>IF(E354&lt;&gt;"",G2copy!A354,"")</f>
        <v/>
      </c>
      <c r="G354" s="24" t="str">
        <f>IF(E354&lt;&gt;"",G2copy!F354,"")</f>
        <v/>
      </c>
    </row>
    <row r="355" spans="1:7" ht="15.75" customHeight="1">
      <c r="A355" s="23" t="str">
        <f t="shared" si="18"/>
        <v/>
      </c>
      <c r="B355" t="str">
        <f t="shared" si="19"/>
        <v/>
      </c>
      <c r="C355" s="23" t="str">
        <f t="shared" si="20"/>
        <v/>
      </c>
      <c r="E355" s="24" t="str">
        <f>IF(NOT(ISBLANK(G2copy!B355)),G2copy!B355,"")</f>
        <v/>
      </c>
      <c r="F355" s="24" t="str">
        <f>IF(E355&lt;&gt;"",G2copy!A355,"")</f>
        <v/>
      </c>
      <c r="G355" s="24" t="str">
        <f>IF(E355&lt;&gt;"",G2copy!F355,"")</f>
        <v/>
      </c>
    </row>
    <row r="356" spans="1:7" ht="15.75" customHeight="1">
      <c r="A356" s="23" t="str">
        <f t="shared" si="18"/>
        <v/>
      </c>
      <c r="B356" t="str">
        <f t="shared" si="19"/>
        <v/>
      </c>
      <c r="C356" s="23" t="str">
        <f t="shared" si="20"/>
        <v/>
      </c>
      <c r="E356" s="24" t="str">
        <f>IF(NOT(ISBLANK(G2copy!B356)),G2copy!B356,"")</f>
        <v/>
      </c>
      <c r="F356" s="24" t="str">
        <f>IF(E356&lt;&gt;"",G2copy!A356,"")</f>
        <v/>
      </c>
      <c r="G356" s="24" t="str">
        <f>IF(E356&lt;&gt;"",G2copy!F356,"")</f>
        <v/>
      </c>
    </row>
    <row r="357" spans="1:7" ht="15.75" customHeight="1">
      <c r="A357" s="23" t="str">
        <f t="shared" si="18"/>
        <v/>
      </c>
      <c r="B357" t="str">
        <f t="shared" si="19"/>
        <v/>
      </c>
      <c r="C357" s="23" t="str">
        <f t="shared" si="20"/>
        <v/>
      </c>
      <c r="E357" s="24" t="str">
        <f>IF(NOT(ISBLANK(G2copy!B357)),G2copy!B357,"")</f>
        <v/>
      </c>
      <c r="F357" s="24" t="str">
        <f>IF(E357&lt;&gt;"",G2copy!A357,"")</f>
        <v/>
      </c>
      <c r="G357" s="24" t="str">
        <f>IF(E357&lt;&gt;"",G2copy!F357,"")</f>
        <v/>
      </c>
    </row>
    <row r="358" spans="1:7" ht="15.75" customHeight="1">
      <c r="A358" s="23" t="str">
        <f t="shared" si="18"/>
        <v/>
      </c>
      <c r="B358" t="str">
        <f t="shared" si="19"/>
        <v/>
      </c>
      <c r="C358" s="23" t="str">
        <f t="shared" si="20"/>
        <v/>
      </c>
      <c r="E358" s="24" t="str">
        <f>IF(NOT(ISBLANK(G2copy!B358)),G2copy!B358,"")</f>
        <v/>
      </c>
      <c r="F358" s="24" t="str">
        <f>IF(E358&lt;&gt;"",G2copy!A358,"")</f>
        <v/>
      </c>
      <c r="G358" s="24" t="str">
        <f>IF(E358&lt;&gt;"",G2copy!F358,"")</f>
        <v/>
      </c>
    </row>
    <row r="359" spans="1:7" ht="15.75" customHeight="1">
      <c r="A359" s="23" t="str">
        <f t="shared" si="18"/>
        <v/>
      </c>
      <c r="B359" t="str">
        <f t="shared" si="19"/>
        <v/>
      </c>
      <c r="C359" s="23" t="str">
        <f t="shared" si="20"/>
        <v/>
      </c>
      <c r="E359" s="24" t="str">
        <f>IF(NOT(ISBLANK(G2copy!B359)),G2copy!B359,"")</f>
        <v/>
      </c>
      <c r="F359" s="24" t="str">
        <f>IF(E359&lt;&gt;"",G2copy!A359,"")</f>
        <v/>
      </c>
      <c r="G359" s="24" t="str">
        <f>IF(E359&lt;&gt;"",G2copy!F359,"")</f>
        <v/>
      </c>
    </row>
    <row r="360" spans="1:7" ht="15.75" customHeight="1">
      <c r="A360" s="23" t="str">
        <f t="shared" si="18"/>
        <v/>
      </c>
      <c r="B360" t="str">
        <f t="shared" si="19"/>
        <v/>
      </c>
      <c r="C360" s="23" t="str">
        <f t="shared" si="20"/>
        <v/>
      </c>
      <c r="E360" s="24" t="str">
        <f>IF(NOT(ISBLANK(G2copy!B360)),G2copy!B360,"")</f>
        <v/>
      </c>
      <c r="F360" s="24" t="str">
        <f>IF(E360&lt;&gt;"",G2copy!A360,"")</f>
        <v/>
      </c>
      <c r="G360" s="24" t="str">
        <f>IF(E360&lt;&gt;"",G2copy!F360,"")</f>
        <v/>
      </c>
    </row>
    <row r="361" spans="1:7" ht="15.75" customHeight="1">
      <c r="A361" s="23" t="str">
        <f t="shared" si="18"/>
        <v/>
      </c>
      <c r="B361" t="str">
        <f t="shared" si="19"/>
        <v/>
      </c>
      <c r="C361" s="23" t="str">
        <f t="shared" si="20"/>
        <v/>
      </c>
      <c r="E361" s="24" t="str">
        <f>IF(NOT(ISBLANK(G2copy!B361)),G2copy!B361,"")</f>
        <v/>
      </c>
      <c r="F361" s="24" t="str">
        <f>IF(E361&lt;&gt;"",G2copy!A361,"")</f>
        <v/>
      </c>
      <c r="G361" s="24" t="str">
        <f>IF(E361&lt;&gt;"",G2copy!F361,"")</f>
        <v/>
      </c>
    </row>
    <row r="362" spans="1:7" ht="15.75" customHeight="1">
      <c r="A362" s="23" t="str">
        <f t="shared" si="18"/>
        <v/>
      </c>
      <c r="B362" t="str">
        <f t="shared" si="19"/>
        <v/>
      </c>
      <c r="C362" s="23" t="str">
        <f t="shared" si="20"/>
        <v/>
      </c>
      <c r="E362" s="24" t="str">
        <f>IF(NOT(ISBLANK(G2copy!B362)),G2copy!B362,"")</f>
        <v/>
      </c>
      <c r="F362" s="24" t="str">
        <f>IF(E362&lt;&gt;"",G2copy!A362,"")</f>
        <v/>
      </c>
      <c r="G362" s="24" t="str">
        <f>IF(E362&lt;&gt;"",G2copy!F362,"")</f>
        <v/>
      </c>
    </row>
    <row r="363" spans="1:7" ht="15.75" customHeight="1">
      <c r="A363" s="23" t="str">
        <f t="shared" si="18"/>
        <v/>
      </c>
      <c r="B363" t="str">
        <f t="shared" si="19"/>
        <v/>
      </c>
      <c r="C363" s="23" t="str">
        <f t="shared" si="20"/>
        <v/>
      </c>
      <c r="E363" s="24" t="str">
        <f>IF(NOT(ISBLANK(G2copy!B363)),G2copy!B363,"")</f>
        <v/>
      </c>
      <c r="F363" s="24" t="str">
        <f>IF(E363&lt;&gt;"",G2copy!A363,"")</f>
        <v/>
      </c>
      <c r="G363" s="24" t="str">
        <f>IF(E363&lt;&gt;"",G2copy!F363,"")</f>
        <v/>
      </c>
    </row>
    <row r="364" spans="1:7" ht="15.75" customHeight="1">
      <c r="A364" s="23" t="str">
        <f t="shared" si="18"/>
        <v/>
      </c>
      <c r="B364" t="str">
        <f t="shared" si="19"/>
        <v/>
      </c>
      <c r="C364" s="23" t="str">
        <f t="shared" si="20"/>
        <v/>
      </c>
      <c r="E364" s="24" t="str">
        <f>IF(NOT(ISBLANK(G2copy!B364)),G2copy!B364,"")</f>
        <v/>
      </c>
      <c r="F364" s="24" t="str">
        <f>IF(E364&lt;&gt;"",G2copy!A364,"")</f>
        <v/>
      </c>
      <c r="G364" s="24" t="str">
        <f>IF(E364&lt;&gt;"",G2copy!F364,"")</f>
        <v/>
      </c>
    </row>
    <row r="365" spans="1:7" ht="15.75" customHeight="1">
      <c r="A365" s="23" t="str">
        <f t="shared" si="18"/>
        <v/>
      </c>
      <c r="B365" t="str">
        <f t="shared" si="19"/>
        <v/>
      </c>
      <c r="C365" s="23" t="str">
        <f t="shared" si="20"/>
        <v/>
      </c>
      <c r="E365" s="24" t="str">
        <f>IF(NOT(ISBLANK(G2copy!B365)),G2copy!B365,"")</f>
        <v/>
      </c>
      <c r="F365" s="24" t="str">
        <f>IF(E365&lt;&gt;"",G2copy!A365,"")</f>
        <v/>
      </c>
      <c r="G365" s="24" t="str">
        <f>IF(E365&lt;&gt;"",G2copy!F365,"")</f>
        <v/>
      </c>
    </row>
    <row r="366" spans="1:7" ht="15.75" customHeight="1">
      <c r="A366" s="23" t="str">
        <f t="shared" si="18"/>
        <v/>
      </c>
      <c r="B366" t="str">
        <f t="shared" si="19"/>
        <v/>
      </c>
      <c r="C366" s="23" t="str">
        <f t="shared" si="20"/>
        <v/>
      </c>
      <c r="E366" s="24" t="str">
        <f>IF(NOT(ISBLANK(G2copy!B366)),G2copy!B366,"")</f>
        <v/>
      </c>
      <c r="F366" s="24" t="str">
        <f>IF(E366&lt;&gt;"",G2copy!A366,"")</f>
        <v/>
      </c>
      <c r="G366" s="24" t="str">
        <f>IF(E366&lt;&gt;"",G2copy!F366,"")</f>
        <v/>
      </c>
    </row>
    <row r="367" spans="1:7" ht="15.75" customHeight="1">
      <c r="A367" s="23" t="str">
        <f t="shared" si="18"/>
        <v/>
      </c>
      <c r="B367" t="str">
        <f t="shared" si="19"/>
        <v/>
      </c>
      <c r="C367" s="23" t="str">
        <f t="shared" si="20"/>
        <v/>
      </c>
      <c r="E367" s="24" t="str">
        <f>IF(NOT(ISBLANK(G2copy!B367)),G2copy!B367,"")</f>
        <v/>
      </c>
      <c r="F367" s="24" t="str">
        <f>IF(E367&lt;&gt;"",G2copy!A367,"")</f>
        <v/>
      </c>
      <c r="G367" s="24" t="str">
        <f>IF(E367&lt;&gt;"",G2copy!F367,"")</f>
        <v/>
      </c>
    </row>
    <row r="368" spans="1:7" ht="15.75" customHeight="1">
      <c r="A368" s="23" t="str">
        <f t="shared" si="18"/>
        <v/>
      </c>
      <c r="B368" t="str">
        <f t="shared" si="19"/>
        <v/>
      </c>
      <c r="C368" s="23" t="str">
        <f t="shared" si="20"/>
        <v/>
      </c>
      <c r="E368" s="24" t="str">
        <f>IF(NOT(ISBLANK(G2copy!B368)),G2copy!B368,"")</f>
        <v/>
      </c>
      <c r="F368" s="24" t="str">
        <f>IF(E368&lt;&gt;"",G2copy!A368,"")</f>
        <v/>
      </c>
      <c r="G368" s="24" t="str">
        <f>IF(E368&lt;&gt;"",G2copy!F368,"")</f>
        <v/>
      </c>
    </row>
    <row r="369" spans="1:7" ht="15.75" customHeight="1">
      <c r="A369" s="23" t="str">
        <f t="shared" si="18"/>
        <v/>
      </c>
      <c r="B369" t="str">
        <f t="shared" si="19"/>
        <v/>
      </c>
      <c r="C369" s="23" t="str">
        <f t="shared" si="20"/>
        <v/>
      </c>
      <c r="E369" s="24" t="str">
        <f>IF(NOT(ISBLANK(G2copy!B369)),G2copy!B369,"")</f>
        <v/>
      </c>
      <c r="F369" s="24" t="str">
        <f>IF(E369&lt;&gt;"",G2copy!A369,"")</f>
        <v/>
      </c>
      <c r="G369" s="24" t="str">
        <f>IF(E369&lt;&gt;"",G2copy!F369,"")</f>
        <v/>
      </c>
    </row>
    <row r="370" spans="1:7" ht="15.75" customHeight="1">
      <c r="A370" s="23" t="str">
        <f t="shared" si="18"/>
        <v/>
      </c>
      <c r="B370" t="str">
        <f t="shared" si="19"/>
        <v/>
      </c>
      <c r="C370" s="23" t="str">
        <f t="shared" si="20"/>
        <v/>
      </c>
      <c r="E370" s="24" t="str">
        <f>IF(NOT(ISBLANK(G2copy!B370)),G2copy!B370,"")</f>
        <v/>
      </c>
      <c r="F370" s="24" t="str">
        <f>IF(E370&lt;&gt;"",G2copy!A370,"")</f>
        <v/>
      </c>
      <c r="G370" s="24" t="str">
        <f>IF(E370&lt;&gt;"",G2copy!F370,"")</f>
        <v/>
      </c>
    </row>
    <row r="371" spans="1:7" ht="15.75" customHeight="1">
      <c r="A371" s="23" t="str">
        <f t="shared" si="18"/>
        <v/>
      </c>
      <c r="B371" t="str">
        <f t="shared" si="19"/>
        <v/>
      </c>
      <c r="C371" s="23" t="str">
        <f t="shared" si="20"/>
        <v/>
      </c>
      <c r="E371" s="24" t="str">
        <f>IF(NOT(ISBLANK(G2copy!B371)),G2copy!B371,"")</f>
        <v/>
      </c>
      <c r="F371" s="24" t="str">
        <f>IF(E371&lt;&gt;"",G2copy!A371,"")</f>
        <v/>
      </c>
      <c r="G371" s="24" t="str">
        <f>IF(E371&lt;&gt;"",G2copy!F371,"")</f>
        <v/>
      </c>
    </row>
    <row r="372" spans="1:7" ht="15.75" customHeight="1">
      <c r="A372" s="23" t="str">
        <f t="shared" si="18"/>
        <v/>
      </c>
      <c r="B372" t="str">
        <f t="shared" si="19"/>
        <v/>
      </c>
      <c r="C372" s="23" t="str">
        <f t="shared" si="20"/>
        <v/>
      </c>
      <c r="E372" s="24" t="str">
        <f>IF(NOT(ISBLANK(G2copy!B372)),G2copy!B372,"")</f>
        <v/>
      </c>
      <c r="F372" s="24" t="str">
        <f>IF(E372&lt;&gt;"",G2copy!A372,"")</f>
        <v/>
      </c>
      <c r="G372" s="24" t="str">
        <f>IF(E372&lt;&gt;"",G2copy!F372,"")</f>
        <v/>
      </c>
    </row>
    <row r="373" spans="1:7" ht="15.75" customHeight="1">
      <c r="A373" s="23" t="str">
        <f t="shared" si="18"/>
        <v/>
      </c>
      <c r="B373" t="str">
        <f t="shared" si="19"/>
        <v/>
      </c>
      <c r="C373" s="23" t="str">
        <f t="shared" si="20"/>
        <v/>
      </c>
      <c r="E373" s="24" t="str">
        <f>IF(NOT(ISBLANK(G2copy!B373)),G2copy!B373,"")</f>
        <v/>
      </c>
      <c r="F373" s="24" t="str">
        <f>IF(E373&lt;&gt;"",G2copy!A373,"")</f>
        <v/>
      </c>
      <c r="G373" s="24" t="str">
        <f>IF(E373&lt;&gt;"",G2copy!F373,"")</f>
        <v/>
      </c>
    </row>
    <row r="374" spans="1:7" ht="15.75" customHeight="1">
      <c r="A374" s="23" t="str">
        <f t="shared" si="18"/>
        <v/>
      </c>
      <c r="B374" t="str">
        <f t="shared" si="19"/>
        <v/>
      </c>
      <c r="C374" s="23" t="str">
        <f t="shared" si="20"/>
        <v/>
      </c>
      <c r="E374" s="24" t="str">
        <f>IF(NOT(ISBLANK(G2copy!B374)),G2copy!B374,"")</f>
        <v/>
      </c>
      <c r="F374" s="24" t="str">
        <f>IF(E374&lt;&gt;"",G2copy!A374,"")</f>
        <v/>
      </c>
      <c r="G374" s="24" t="str">
        <f>IF(E374&lt;&gt;"",G2copy!F374,"")</f>
        <v/>
      </c>
    </row>
    <row r="375" spans="1:7" ht="15.75" customHeight="1">
      <c r="A375" s="23" t="str">
        <f t="shared" si="18"/>
        <v/>
      </c>
      <c r="B375" t="str">
        <f t="shared" si="19"/>
        <v/>
      </c>
      <c r="C375" s="23" t="str">
        <f t="shared" si="20"/>
        <v/>
      </c>
      <c r="E375" s="24" t="str">
        <f>IF(NOT(ISBLANK(G2copy!B375)),G2copy!B375,"")</f>
        <v/>
      </c>
      <c r="F375" s="24" t="str">
        <f>IF(E375&lt;&gt;"",G2copy!A375,"")</f>
        <v/>
      </c>
      <c r="G375" s="24" t="str">
        <f>IF(E375&lt;&gt;"",G2copy!F375,"")</f>
        <v/>
      </c>
    </row>
    <row r="376" spans="1:7" ht="15.75" customHeight="1">
      <c r="A376" s="23" t="str">
        <f t="shared" si="18"/>
        <v/>
      </c>
      <c r="B376" t="str">
        <f t="shared" si="19"/>
        <v/>
      </c>
      <c r="C376" s="23" t="str">
        <f t="shared" si="20"/>
        <v/>
      </c>
      <c r="E376" s="24" t="str">
        <f>IF(NOT(ISBLANK(G2copy!B376)),G2copy!B376,"")</f>
        <v/>
      </c>
      <c r="F376" s="24" t="str">
        <f>IF(E376&lt;&gt;"",G2copy!A376,"")</f>
        <v/>
      </c>
      <c r="G376" s="24" t="str">
        <f>IF(E376&lt;&gt;"",G2copy!F376,"")</f>
        <v/>
      </c>
    </row>
    <row r="377" spans="1:7" ht="15.75" customHeight="1">
      <c r="A377" s="23" t="str">
        <f t="shared" si="18"/>
        <v/>
      </c>
      <c r="B377" t="str">
        <f t="shared" si="19"/>
        <v/>
      </c>
      <c r="C377" s="23" t="str">
        <f t="shared" si="20"/>
        <v/>
      </c>
      <c r="E377" s="24" t="str">
        <f>IF(NOT(ISBLANK(G2copy!B377)),G2copy!B377,"")</f>
        <v/>
      </c>
      <c r="F377" s="24" t="str">
        <f>IF(E377&lt;&gt;"",G2copy!A377,"")</f>
        <v/>
      </c>
      <c r="G377" s="24" t="str">
        <f>IF(E377&lt;&gt;"",G2copy!F377,"")</f>
        <v/>
      </c>
    </row>
    <row r="378" spans="1:7" ht="15.75" customHeight="1">
      <c r="A378" s="23" t="str">
        <f t="shared" si="18"/>
        <v/>
      </c>
      <c r="B378" t="str">
        <f t="shared" si="19"/>
        <v/>
      </c>
      <c r="C378" s="23" t="str">
        <f t="shared" si="20"/>
        <v/>
      </c>
      <c r="E378" s="24" t="str">
        <f>IF(NOT(ISBLANK(G2copy!B378)),G2copy!B378,"")</f>
        <v/>
      </c>
      <c r="F378" s="24" t="str">
        <f>IF(E378&lt;&gt;"",G2copy!A378,"")</f>
        <v/>
      </c>
      <c r="G378" s="24" t="str">
        <f>IF(E378&lt;&gt;"",G2copy!F378,"")</f>
        <v/>
      </c>
    </row>
    <row r="379" spans="1:7" ht="15.75" customHeight="1">
      <c r="A379" s="23" t="str">
        <f t="shared" si="18"/>
        <v/>
      </c>
      <c r="B379" t="str">
        <f t="shared" si="19"/>
        <v/>
      </c>
      <c r="C379" s="23" t="str">
        <f t="shared" si="20"/>
        <v/>
      </c>
      <c r="E379" s="24" t="str">
        <f>IF(NOT(ISBLANK(G2copy!B379)),G2copy!B379,"")</f>
        <v/>
      </c>
      <c r="F379" s="24" t="str">
        <f>IF(E379&lt;&gt;"",G2copy!A379,"")</f>
        <v/>
      </c>
      <c r="G379" s="24" t="str">
        <f>IF(E379&lt;&gt;"",G2copy!F379,"")</f>
        <v/>
      </c>
    </row>
    <row r="380" spans="1:7" ht="15.75" customHeight="1">
      <c r="A380" s="23" t="str">
        <f t="shared" si="18"/>
        <v/>
      </c>
      <c r="B380" t="str">
        <f t="shared" si="19"/>
        <v/>
      </c>
      <c r="C380" s="23" t="str">
        <f t="shared" si="20"/>
        <v/>
      </c>
      <c r="E380" s="24" t="str">
        <f>IF(NOT(ISBLANK(G2copy!B380)),G2copy!B380,"")</f>
        <v/>
      </c>
      <c r="F380" s="24" t="str">
        <f>IF(E380&lt;&gt;"",G2copy!A380,"")</f>
        <v/>
      </c>
      <c r="G380" s="24" t="str">
        <f>IF(E380&lt;&gt;"",G2copy!F380,"")</f>
        <v/>
      </c>
    </row>
    <row r="381" spans="1:7" ht="15.75" customHeight="1">
      <c r="A381" s="23" t="str">
        <f t="shared" si="18"/>
        <v/>
      </c>
      <c r="B381" t="str">
        <f t="shared" si="19"/>
        <v/>
      </c>
      <c r="C381" s="23" t="str">
        <f t="shared" si="20"/>
        <v/>
      </c>
      <c r="E381" s="24" t="str">
        <f>IF(NOT(ISBLANK(G2copy!B381)),G2copy!B381,"")</f>
        <v/>
      </c>
      <c r="F381" s="24" t="str">
        <f>IF(E381&lt;&gt;"",G2copy!A381,"")</f>
        <v/>
      </c>
      <c r="G381" s="24" t="str">
        <f>IF(E381&lt;&gt;"",G2copy!F381,"")</f>
        <v/>
      </c>
    </row>
    <row r="382" spans="1:7" ht="15.75" customHeight="1">
      <c r="A382" s="23" t="str">
        <f t="shared" si="18"/>
        <v/>
      </c>
      <c r="B382" t="str">
        <f t="shared" si="19"/>
        <v/>
      </c>
      <c r="C382" s="23" t="str">
        <f t="shared" si="20"/>
        <v/>
      </c>
      <c r="E382" s="24" t="str">
        <f>IF(NOT(ISBLANK(G2copy!B382)),G2copy!B382,"")</f>
        <v/>
      </c>
      <c r="F382" s="24" t="str">
        <f>IF(E382&lt;&gt;"",G2copy!A382,"")</f>
        <v/>
      </c>
      <c r="G382" s="24" t="str">
        <f>IF(E382&lt;&gt;"",G2copy!F382,"")</f>
        <v/>
      </c>
    </row>
    <row r="383" spans="1:7" ht="15.75" customHeight="1">
      <c r="A383" s="23" t="str">
        <f t="shared" si="18"/>
        <v/>
      </c>
      <c r="B383" t="str">
        <f t="shared" si="19"/>
        <v/>
      </c>
      <c r="C383" s="23" t="str">
        <f t="shared" si="20"/>
        <v/>
      </c>
      <c r="E383" s="24" t="str">
        <f>IF(NOT(ISBLANK(G2copy!B383)),G2copy!B383,"")</f>
        <v/>
      </c>
      <c r="F383" s="24" t="str">
        <f>IF(E383&lt;&gt;"",G2copy!A383,"")</f>
        <v/>
      </c>
      <c r="G383" s="24" t="str">
        <f>IF(E383&lt;&gt;"",G2copy!F383,"")</f>
        <v/>
      </c>
    </row>
    <row r="384" spans="1:7" ht="15.75" customHeight="1">
      <c r="A384" s="23" t="str">
        <f t="shared" si="18"/>
        <v/>
      </c>
      <c r="B384" t="str">
        <f t="shared" si="19"/>
        <v/>
      </c>
      <c r="C384" s="23" t="str">
        <f t="shared" si="20"/>
        <v/>
      </c>
      <c r="E384" s="24" t="str">
        <f>IF(NOT(ISBLANK(G2copy!B384)),G2copy!B384,"")</f>
        <v/>
      </c>
      <c r="F384" s="24" t="str">
        <f>IF(E384&lt;&gt;"",G2copy!A384,"")</f>
        <v/>
      </c>
      <c r="G384" s="24" t="str">
        <f>IF(E384&lt;&gt;"",G2copy!F384,"")</f>
        <v/>
      </c>
    </row>
    <row r="385" spans="1:7" ht="15.75" customHeight="1">
      <c r="A385" s="23" t="str">
        <f t="shared" si="18"/>
        <v/>
      </c>
      <c r="B385" t="str">
        <f t="shared" si="19"/>
        <v/>
      </c>
      <c r="C385" s="23" t="str">
        <f t="shared" si="20"/>
        <v/>
      </c>
      <c r="E385" s="24" t="str">
        <f>IF(NOT(ISBLANK(G2copy!B385)),G2copy!B385,"")</f>
        <v/>
      </c>
      <c r="F385" s="24" t="str">
        <f>IF(E385&lt;&gt;"",G2copy!A385,"")</f>
        <v/>
      </c>
      <c r="G385" s="24" t="str">
        <f>IF(E385&lt;&gt;"",G2copy!F385,"")</f>
        <v/>
      </c>
    </row>
    <row r="386" spans="1:7" ht="15.75" customHeight="1">
      <c r="A386" s="23" t="str">
        <f t="shared" si="18"/>
        <v/>
      </c>
      <c r="B386" t="str">
        <f t="shared" si="19"/>
        <v/>
      </c>
      <c r="C386" s="23" t="str">
        <f t="shared" si="20"/>
        <v/>
      </c>
      <c r="E386" s="24" t="str">
        <f>IF(NOT(ISBLANK(G2copy!B386)),G2copy!B386,"")</f>
        <v/>
      </c>
      <c r="F386" s="24" t="str">
        <f>IF(E386&lt;&gt;"",G2copy!A386,"")</f>
        <v/>
      </c>
      <c r="G386" s="24" t="str">
        <f>IF(E386&lt;&gt;"",G2copy!F386,"")</f>
        <v/>
      </c>
    </row>
    <row r="387" spans="1:7" ht="15.75" customHeight="1">
      <c r="A387" s="23" t="str">
        <f t="shared" ref="A387:A450" si="21">IF(E387&lt;&gt;"",DATEVALUE(LEFT(E387,10)),"")</f>
        <v/>
      </c>
      <c r="B387" t="str">
        <f t="shared" ref="B387:B450" si="22">IF(LEN(F387)&gt;3,RIGHT(F387,LEN(F387)-3),"")</f>
        <v/>
      </c>
      <c r="C387" s="23" t="str">
        <f t="shared" ref="C387:C450" si="23">IF(E387&lt;&gt;"",DATEVALUE(LEFT(G387,10)),"")</f>
        <v/>
      </c>
      <c r="E387" s="24" t="str">
        <f>IF(NOT(ISBLANK(G2copy!B387)),G2copy!B387,"")</f>
        <v/>
      </c>
      <c r="F387" s="24" t="str">
        <f>IF(E387&lt;&gt;"",G2copy!A387,"")</f>
        <v/>
      </c>
      <c r="G387" s="24" t="str">
        <f>IF(E387&lt;&gt;"",G2copy!F387,"")</f>
        <v/>
      </c>
    </row>
    <row r="388" spans="1:7" ht="15.75" customHeight="1">
      <c r="A388" s="23" t="str">
        <f t="shared" si="21"/>
        <v/>
      </c>
      <c r="B388" t="str">
        <f t="shared" si="22"/>
        <v/>
      </c>
      <c r="C388" s="23" t="str">
        <f t="shared" si="23"/>
        <v/>
      </c>
      <c r="E388" s="24" t="str">
        <f>IF(NOT(ISBLANK(G2copy!B388)),G2copy!B388,"")</f>
        <v/>
      </c>
      <c r="F388" s="24" t="str">
        <f>IF(E388&lt;&gt;"",G2copy!A388,"")</f>
        <v/>
      </c>
      <c r="G388" s="24" t="str">
        <f>IF(E388&lt;&gt;"",G2copy!F388,"")</f>
        <v/>
      </c>
    </row>
    <row r="389" spans="1:7" ht="15.75" customHeight="1">
      <c r="A389" s="23" t="str">
        <f t="shared" si="21"/>
        <v/>
      </c>
      <c r="B389" t="str">
        <f t="shared" si="22"/>
        <v/>
      </c>
      <c r="C389" s="23" t="str">
        <f t="shared" si="23"/>
        <v/>
      </c>
      <c r="E389" s="24" t="str">
        <f>IF(NOT(ISBLANK(G2copy!B389)),G2copy!B389,"")</f>
        <v/>
      </c>
      <c r="F389" s="24" t="str">
        <f>IF(E389&lt;&gt;"",G2copy!A389,"")</f>
        <v/>
      </c>
      <c r="G389" s="24" t="str">
        <f>IF(E389&lt;&gt;"",G2copy!F389,"")</f>
        <v/>
      </c>
    </row>
    <row r="390" spans="1:7" ht="15.75" customHeight="1">
      <c r="A390" s="23" t="str">
        <f t="shared" si="21"/>
        <v/>
      </c>
      <c r="B390" t="str">
        <f t="shared" si="22"/>
        <v/>
      </c>
      <c r="C390" s="23" t="str">
        <f t="shared" si="23"/>
        <v/>
      </c>
      <c r="E390" s="24" t="str">
        <f>IF(NOT(ISBLANK(G2copy!B390)),G2copy!B390,"")</f>
        <v/>
      </c>
      <c r="F390" s="24" t="str">
        <f>IF(E390&lt;&gt;"",G2copy!A390,"")</f>
        <v/>
      </c>
      <c r="G390" s="24" t="str">
        <f>IF(E390&lt;&gt;"",G2copy!F390,"")</f>
        <v/>
      </c>
    </row>
    <row r="391" spans="1:7" ht="15.75" customHeight="1">
      <c r="A391" s="23" t="str">
        <f t="shared" si="21"/>
        <v/>
      </c>
      <c r="B391" t="str">
        <f t="shared" si="22"/>
        <v/>
      </c>
      <c r="C391" s="23" t="str">
        <f t="shared" si="23"/>
        <v/>
      </c>
      <c r="E391" s="24" t="str">
        <f>IF(NOT(ISBLANK(G2copy!B391)),G2copy!B391,"")</f>
        <v/>
      </c>
      <c r="F391" s="24" t="str">
        <f>IF(E391&lt;&gt;"",G2copy!A391,"")</f>
        <v/>
      </c>
      <c r="G391" s="24" t="str">
        <f>IF(E391&lt;&gt;"",G2copy!F391,"")</f>
        <v/>
      </c>
    </row>
    <row r="392" spans="1:7" ht="15.75" customHeight="1">
      <c r="A392" s="23" t="str">
        <f t="shared" si="21"/>
        <v/>
      </c>
      <c r="B392" t="str">
        <f t="shared" si="22"/>
        <v/>
      </c>
      <c r="C392" s="23" t="str">
        <f t="shared" si="23"/>
        <v/>
      </c>
      <c r="E392" s="24" t="str">
        <f>IF(NOT(ISBLANK(G2copy!B392)),G2copy!B392,"")</f>
        <v/>
      </c>
      <c r="F392" s="24" t="str">
        <f>IF(E392&lt;&gt;"",G2copy!A392,"")</f>
        <v/>
      </c>
      <c r="G392" s="24" t="str">
        <f>IF(E392&lt;&gt;"",G2copy!F392,"")</f>
        <v/>
      </c>
    </row>
    <row r="393" spans="1:7" ht="15.75" customHeight="1">
      <c r="A393" s="23" t="str">
        <f t="shared" si="21"/>
        <v/>
      </c>
      <c r="B393" t="str">
        <f t="shared" si="22"/>
        <v/>
      </c>
      <c r="C393" s="23" t="str">
        <f t="shared" si="23"/>
        <v/>
      </c>
      <c r="E393" s="24" t="str">
        <f>IF(NOT(ISBLANK(G2copy!B393)),G2copy!B393,"")</f>
        <v/>
      </c>
      <c r="F393" s="24" t="str">
        <f>IF(E393&lt;&gt;"",G2copy!A393,"")</f>
        <v/>
      </c>
      <c r="G393" s="24" t="str">
        <f>IF(E393&lt;&gt;"",G2copy!F393,"")</f>
        <v/>
      </c>
    </row>
    <row r="394" spans="1:7" ht="15.75" customHeight="1">
      <c r="A394" s="23" t="str">
        <f t="shared" si="21"/>
        <v/>
      </c>
      <c r="B394" t="str">
        <f t="shared" si="22"/>
        <v/>
      </c>
      <c r="C394" s="23" t="str">
        <f t="shared" si="23"/>
        <v/>
      </c>
      <c r="E394" s="24" t="str">
        <f>IF(NOT(ISBLANK(G2copy!B394)),G2copy!B394,"")</f>
        <v/>
      </c>
      <c r="F394" s="24" t="str">
        <f>IF(E394&lt;&gt;"",G2copy!A394,"")</f>
        <v/>
      </c>
      <c r="G394" s="24" t="str">
        <f>IF(E394&lt;&gt;"",G2copy!F394,"")</f>
        <v/>
      </c>
    </row>
    <row r="395" spans="1:7" ht="15.75" customHeight="1">
      <c r="A395" s="23" t="str">
        <f t="shared" si="21"/>
        <v/>
      </c>
      <c r="B395" t="str">
        <f t="shared" si="22"/>
        <v/>
      </c>
      <c r="C395" s="23" t="str">
        <f t="shared" si="23"/>
        <v/>
      </c>
      <c r="E395" s="24" t="str">
        <f>IF(NOT(ISBLANK(G2copy!B395)),G2copy!B395,"")</f>
        <v/>
      </c>
      <c r="F395" s="24" t="str">
        <f>IF(E395&lt;&gt;"",G2copy!A395,"")</f>
        <v/>
      </c>
      <c r="G395" s="24" t="str">
        <f>IF(E395&lt;&gt;"",G2copy!F395,"")</f>
        <v/>
      </c>
    </row>
    <row r="396" spans="1:7" ht="15.75" customHeight="1">
      <c r="A396" s="23" t="str">
        <f t="shared" si="21"/>
        <v/>
      </c>
      <c r="B396" t="str">
        <f t="shared" si="22"/>
        <v/>
      </c>
      <c r="C396" s="23" t="str">
        <f t="shared" si="23"/>
        <v/>
      </c>
      <c r="E396" s="24" t="str">
        <f>IF(NOT(ISBLANK(G2copy!B396)),G2copy!B396,"")</f>
        <v/>
      </c>
      <c r="F396" s="24" t="str">
        <f>IF(E396&lt;&gt;"",G2copy!A396,"")</f>
        <v/>
      </c>
      <c r="G396" s="24" t="str">
        <f>IF(E396&lt;&gt;"",G2copy!F396,"")</f>
        <v/>
      </c>
    </row>
    <row r="397" spans="1:7" ht="15.75" customHeight="1">
      <c r="A397" s="23" t="str">
        <f t="shared" si="21"/>
        <v/>
      </c>
      <c r="B397" t="str">
        <f t="shared" si="22"/>
        <v/>
      </c>
      <c r="C397" s="23" t="str">
        <f t="shared" si="23"/>
        <v/>
      </c>
      <c r="E397" s="24" t="str">
        <f>IF(NOT(ISBLANK(G2copy!B397)),G2copy!B397,"")</f>
        <v/>
      </c>
      <c r="F397" s="24" t="str">
        <f>IF(E397&lt;&gt;"",G2copy!A397,"")</f>
        <v/>
      </c>
      <c r="G397" s="24" t="str">
        <f>IF(E397&lt;&gt;"",G2copy!F397,"")</f>
        <v/>
      </c>
    </row>
    <row r="398" spans="1:7" ht="15.75" customHeight="1">
      <c r="A398" s="23" t="str">
        <f t="shared" si="21"/>
        <v/>
      </c>
      <c r="B398" t="str">
        <f t="shared" si="22"/>
        <v/>
      </c>
      <c r="C398" s="23" t="str">
        <f t="shared" si="23"/>
        <v/>
      </c>
      <c r="E398" s="24" t="str">
        <f>IF(NOT(ISBLANK(G2copy!B398)),G2copy!B398,"")</f>
        <v/>
      </c>
      <c r="F398" s="24" t="str">
        <f>IF(E398&lt;&gt;"",G2copy!A398,"")</f>
        <v/>
      </c>
      <c r="G398" s="24" t="str">
        <f>IF(E398&lt;&gt;"",G2copy!F398,"")</f>
        <v/>
      </c>
    </row>
    <row r="399" spans="1:7" ht="15.75" customHeight="1">
      <c r="A399" s="23" t="str">
        <f t="shared" si="21"/>
        <v/>
      </c>
      <c r="B399" t="str">
        <f t="shared" si="22"/>
        <v/>
      </c>
      <c r="C399" s="23" t="str">
        <f t="shared" si="23"/>
        <v/>
      </c>
      <c r="E399" s="24" t="str">
        <f>IF(NOT(ISBLANK(G2copy!B399)),G2copy!B399,"")</f>
        <v/>
      </c>
      <c r="F399" s="24" t="str">
        <f>IF(E399&lt;&gt;"",G2copy!A399,"")</f>
        <v/>
      </c>
      <c r="G399" s="24" t="str">
        <f>IF(E399&lt;&gt;"",G2copy!F399,"")</f>
        <v/>
      </c>
    </row>
    <row r="400" spans="1:7" ht="15.75" customHeight="1">
      <c r="A400" s="23" t="str">
        <f t="shared" si="21"/>
        <v/>
      </c>
      <c r="B400" t="str">
        <f t="shared" si="22"/>
        <v/>
      </c>
      <c r="C400" s="23" t="str">
        <f t="shared" si="23"/>
        <v/>
      </c>
      <c r="E400" s="24" t="str">
        <f>IF(NOT(ISBLANK(G2copy!B400)),G2copy!B400,"")</f>
        <v/>
      </c>
      <c r="F400" s="24" t="str">
        <f>IF(E400&lt;&gt;"",G2copy!A400,"")</f>
        <v/>
      </c>
      <c r="G400" s="24" t="str">
        <f>IF(E400&lt;&gt;"",G2copy!F400,"")</f>
        <v/>
      </c>
    </row>
    <row r="401" spans="1:7" ht="15.75" customHeight="1">
      <c r="A401" s="23" t="str">
        <f t="shared" si="21"/>
        <v/>
      </c>
      <c r="B401" t="str">
        <f t="shared" si="22"/>
        <v/>
      </c>
      <c r="C401" s="23" t="str">
        <f t="shared" si="23"/>
        <v/>
      </c>
      <c r="E401" s="24" t="str">
        <f>IF(NOT(ISBLANK(G2copy!B401)),G2copy!B401,"")</f>
        <v/>
      </c>
      <c r="F401" s="24" t="str">
        <f>IF(E401&lt;&gt;"",G2copy!A401,"")</f>
        <v/>
      </c>
      <c r="G401" s="24" t="str">
        <f>IF(E401&lt;&gt;"",G2copy!F401,"")</f>
        <v/>
      </c>
    </row>
    <row r="402" spans="1:7" ht="15.75" customHeight="1">
      <c r="A402" s="23" t="str">
        <f t="shared" si="21"/>
        <v/>
      </c>
      <c r="B402" t="str">
        <f t="shared" si="22"/>
        <v/>
      </c>
      <c r="C402" s="23" t="str">
        <f t="shared" si="23"/>
        <v/>
      </c>
      <c r="E402" s="24" t="str">
        <f>IF(NOT(ISBLANK(G2copy!B402)),G2copy!B402,"")</f>
        <v/>
      </c>
      <c r="F402" s="24" t="str">
        <f>IF(E402&lt;&gt;"",G2copy!A402,"")</f>
        <v/>
      </c>
      <c r="G402" s="24" t="str">
        <f>IF(E402&lt;&gt;"",G2copy!F402,"")</f>
        <v/>
      </c>
    </row>
    <row r="403" spans="1:7" ht="15.75" customHeight="1">
      <c r="A403" s="23" t="str">
        <f t="shared" si="21"/>
        <v/>
      </c>
      <c r="B403" t="str">
        <f t="shared" si="22"/>
        <v/>
      </c>
      <c r="C403" s="23" t="str">
        <f t="shared" si="23"/>
        <v/>
      </c>
      <c r="E403" s="24" t="str">
        <f>IF(NOT(ISBLANK(G2copy!B403)),G2copy!B403,"")</f>
        <v/>
      </c>
      <c r="F403" s="24" t="str">
        <f>IF(E403&lt;&gt;"",G2copy!A403,"")</f>
        <v/>
      </c>
      <c r="G403" s="24" t="str">
        <f>IF(E403&lt;&gt;"",G2copy!F403,"")</f>
        <v/>
      </c>
    </row>
    <row r="404" spans="1:7" ht="15.75" customHeight="1">
      <c r="A404" s="23" t="str">
        <f t="shared" si="21"/>
        <v/>
      </c>
      <c r="B404" t="str">
        <f t="shared" si="22"/>
        <v/>
      </c>
      <c r="C404" s="23" t="str">
        <f t="shared" si="23"/>
        <v/>
      </c>
      <c r="E404" s="24" t="str">
        <f>IF(NOT(ISBLANK(G2copy!B404)),G2copy!B404,"")</f>
        <v/>
      </c>
      <c r="F404" s="24" t="str">
        <f>IF(E404&lt;&gt;"",G2copy!A404,"")</f>
        <v/>
      </c>
      <c r="G404" s="24" t="str">
        <f>IF(E404&lt;&gt;"",G2copy!F404,"")</f>
        <v/>
      </c>
    </row>
    <row r="405" spans="1:7" ht="15.75" customHeight="1">
      <c r="A405" s="23" t="str">
        <f t="shared" si="21"/>
        <v/>
      </c>
      <c r="B405" t="str">
        <f t="shared" si="22"/>
        <v/>
      </c>
      <c r="C405" s="23" t="str">
        <f t="shared" si="23"/>
        <v/>
      </c>
      <c r="E405" s="24" t="str">
        <f>IF(NOT(ISBLANK(G2copy!B405)),G2copy!B405,"")</f>
        <v/>
      </c>
      <c r="F405" s="24" t="str">
        <f>IF(E405&lt;&gt;"",G2copy!A405,"")</f>
        <v/>
      </c>
      <c r="G405" s="24" t="str">
        <f>IF(E405&lt;&gt;"",G2copy!F405,"")</f>
        <v/>
      </c>
    </row>
    <row r="406" spans="1:7" ht="15.75" customHeight="1">
      <c r="A406" s="23" t="str">
        <f t="shared" si="21"/>
        <v/>
      </c>
      <c r="B406" t="str">
        <f t="shared" si="22"/>
        <v/>
      </c>
      <c r="C406" s="23" t="str">
        <f t="shared" si="23"/>
        <v/>
      </c>
      <c r="E406" s="24" t="str">
        <f>IF(NOT(ISBLANK(G2copy!B406)),G2copy!B406,"")</f>
        <v/>
      </c>
      <c r="F406" s="24" t="str">
        <f>IF(E406&lt;&gt;"",G2copy!A406,"")</f>
        <v/>
      </c>
      <c r="G406" s="24" t="str">
        <f>IF(E406&lt;&gt;"",G2copy!F406,"")</f>
        <v/>
      </c>
    </row>
    <row r="407" spans="1:7" ht="15.75" customHeight="1">
      <c r="A407" s="23" t="str">
        <f t="shared" si="21"/>
        <v/>
      </c>
      <c r="B407" t="str">
        <f t="shared" si="22"/>
        <v/>
      </c>
      <c r="C407" s="23" t="str">
        <f t="shared" si="23"/>
        <v/>
      </c>
      <c r="E407" s="24" t="str">
        <f>IF(NOT(ISBLANK(G2copy!B407)),G2copy!B407,"")</f>
        <v/>
      </c>
      <c r="F407" s="24" t="str">
        <f>IF(E407&lt;&gt;"",G2copy!A407,"")</f>
        <v/>
      </c>
      <c r="G407" s="24" t="str">
        <f>IF(E407&lt;&gt;"",G2copy!F407,"")</f>
        <v/>
      </c>
    </row>
    <row r="408" spans="1:7" ht="15.75" customHeight="1">
      <c r="A408" s="23" t="str">
        <f t="shared" si="21"/>
        <v/>
      </c>
      <c r="B408" t="str">
        <f t="shared" si="22"/>
        <v/>
      </c>
      <c r="C408" s="23" t="str">
        <f t="shared" si="23"/>
        <v/>
      </c>
      <c r="E408" s="24" t="str">
        <f>IF(NOT(ISBLANK(G2copy!B408)),G2copy!B408,"")</f>
        <v/>
      </c>
      <c r="F408" s="24" t="str">
        <f>IF(E408&lt;&gt;"",G2copy!A408,"")</f>
        <v/>
      </c>
      <c r="G408" s="24" t="str">
        <f>IF(E408&lt;&gt;"",G2copy!F408,"")</f>
        <v/>
      </c>
    </row>
    <row r="409" spans="1:7" ht="15.75" customHeight="1">
      <c r="A409" s="23" t="str">
        <f t="shared" si="21"/>
        <v/>
      </c>
      <c r="B409" t="str">
        <f t="shared" si="22"/>
        <v/>
      </c>
      <c r="C409" s="23" t="str">
        <f t="shared" si="23"/>
        <v/>
      </c>
      <c r="E409" s="24" t="str">
        <f>IF(NOT(ISBLANK(G2copy!B409)),G2copy!B409,"")</f>
        <v/>
      </c>
      <c r="F409" s="24" t="str">
        <f>IF(E409&lt;&gt;"",G2copy!A409,"")</f>
        <v/>
      </c>
      <c r="G409" s="24" t="str">
        <f>IF(E409&lt;&gt;"",G2copy!F409,"")</f>
        <v/>
      </c>
    </row>
    <row r="410" spans="1:7" ht="15.75" customHeight="1">
      <c r="A410" s="23" t="str">
        <f t="shared" si="21"/>
        <v/>
      </c>
      <c r="B410" t="str">
        <f t="shared" si="22"/>
        <v/>
      </c>
      <c r="C410" s="23" t="str">
        <f t="shared" si="23"/>
        <v/>
      </c>
      <c r="E410" s="24" t="str">
        <f>IF(NOT(ISBLANK(G2copy!B410)),G2copy!B410,"")</f>
        <v/>
      </c>
      <c r="F410" s="24" t="str">
        <f>IF(E410&lt;&gt;"",G2copy!A410,"")</f>
        <v/>
      </c>
      <c r="G410" s="24" t="str">
        <f>IF(E410&lt;&gt;"",G2copy!F410,"")</f>
        <v/>
      </c>
    </row>
    <row r="411" spans="1:7" ht="15.75" customHeight="1">
      <c r="A411" s="23" t="str">
        <f t="shared" si="21"/>
        <v/>
      </c>
      <c r="B411" t="str">
        <f t="shared" si="22"/>
        <v/>
      </c>
      <c r="C411" s="23" t="str">
        <f t="shared" si="23"/>
        <v/>
      </c>
      <c r="E411" s="24" t="str">
        <f>IF(NOT(ISBLANK(G2copy!B411)),G2copy!B411,"")</f>
        <v/>
      </c>
      <c r="F411" s="24" t="str">
        <f>IF(E411&lt;&gt;"",G2copy!A411,"")</f>
        <v/>
      </c>
      <c r="G411" s="24" t="str">
        <f>IF(E411&lt;&gt;"",G2copy!F411,"")</f>
        <v/>
      </c>
    </row>
    <row r="412" spans="1:7" ht="15.75" customHeight="1">
      <c r="A412" s="23" t="str">
        <f t="shared" si="21"/>
        <v/>
      </c>
      <c r="B412" t="str">
        <f t="shared" si="22"/>
        <v/>
      </c>
      <c r="C412" s="23" t="str">
        <f t="shared" si="23"/>
        <v/>
      </c>
      <c r="E412" s="24" t="str">
        <f>IF(NOT(ISBLANK(G2copy!B412)),G2copy!B412,"")</f>
        <v/>
      </c>
      <c r="F412" s="24" t="str">
        <f>IF(E412&lt;&gt;"",G2copy!A412,"")</f>
        <v/>
      </c>
      <c r="G412" s="24" t="str">
        <f>IF(E412&lt;&gt;"",G2copy!F412,"")</f>
        <v/>
      </c>
    </row>
    <row r="413" spans="1:7" ht="15.75" customHeight="1">
      <c r="A413" s="23" t="str">
        <f t="shared" si="21"/>
        <v/>
      </c>
      <c r="B413" t="str">
        <f t="shared" si="22"/>
        <v/>
      </c>
      <c r="C413" s="23" t="str">
        <f t="shared" si="23"/>
        <v/>
      </c>
      <c r="E413" s="24" t="str">
        <f>IF(NOT(ISBLANK(G2copy!B413)),G2copy!B413,"")</f>
        <v/>
      </c>
      <c r="F413" s="24" t="str">
        <f>IF(E413&lt;&gt;"",G2copy!A413,"")</f>
        <v/>
      </c>
      <c r="G413" s="24" t="str">
        <f>IF(E413&lt;&gt;"",G2copy!F413,"")</f>
        <v/>
      </c>
    </row>
    <row r="414" spans="1:7" ht="15.75" customHeight="1">
      <c r="A414" s="23" t="str">
        <f t="shared" si="21"/>
        <v/>
      </c>
      <c r="B414" t="str">
        <f t="shared" si="22"/>
        <v/>
      </c>
      <c r="C414" s="23" t="str">
        <f t="shared" si="23"/>
        <v/>
      </c>
      <c r="E414" s="24" t="str">
        <f>IF(NOT(ISBLANK(G2copy!B414)),G2copy!B414,"")</f>
        <v/>
      </c>
      <c r="F414" s="24" t="str">
        <f>IF(E414&lt;&gt;"",G2copy!A414,"")</f>
        <v/>
      </c>
      <c r="G414" s="24" t="str">
        <f>IF(E414&lt;&gt;"",G2copy!F414,"")</f>
        <v/>
      </c>
    </row>
    <row r="415" spans="1:7" ht="15.75" customHeight="1">
      <c r="A415" s="23" t="str">
        <f t="shared" si="21"/>
        <v/>
      </c>
      <c r="B415" t="str">
        <f t="shared" si="22"/>
        <v/>
      </c>
      <c r="C415" s="23" t="str">
        <f t="shared" si="23"/>
        <v/>
      </c>
      <c r="E415" s="24" t="str">
        <f>IF(NOT(ISBLANK(G2copy!B415)),G2copy!B415,"")</f>
        <v/>
      </c>
      <c r="F415" s="24" t="str">
        <f>IF(E415&lt;&gt;"",G2copy!A415,"")</f>
        <v/>
      </c>
      <c r="G415" s="24" t="str">
        <f>IF(E415&lt;&gt;"",G2copy!F415,"")</f>
        <v/>
      </c>
    </row>
    <row r="416" spans="1:7" ht="15.75" customHeight="1">
      <c r="A416" s="23" t="str">
        <f t="shared" si="21"/>
        <v/>
      </c>
      <c r="B416" t="str">
        <f t="shared" si="22"/>
        <v/>
      </c>
      <c r="C416" s="23" t="str">
        <f t="shared" si="23"/>
        <v/>
      </c>
      <c r="E416" s="24" t="str">
        <f>IF(NOT(ISBLANK(G2copy!B416)),G2copy!B416,"")</f>
        <v/>
      </c>
      <c r="F416" s="24" t="str">
        <f>IF(E416&lt;&gt;"",G2copy!A416,"")</f>
        <v/>
      </c>
      <c r="G416" s="24" t="str">
        <f>IF(E416&lt;&gt;"",G2copy!F416,"")</f>
        <v/>
      </c>
    </row>
    <row r="417" spans="1:7" ht="15.75" customHeight="1">
      <c r="A417" s="23" t="str">
        <f t="shared" si="21"/>
        <v/>
      </c>
      <c r="B417" t="str">
        <f t="shared" si="22"/>
        <v/>
      </c>
      <c r="C417" s="23" t="str">
        <f t="shared" si="23"/>
        <v/>
      </c>
      <c r="E417" s="24" t="str">
        <f>IF(NOT(ISBLANK(G2copy!B417)),G2copy!B417,"")</f>
        <v/>
      </c>
      <c r="F417" s="24" t="str">
        <f>IF(E417&lt;&gt;"",G2copy!A417,"")</f>
        <v/>
      </c>
      <c r="G417" s="24" t="str">
        <f>IF(E417&lt;&gt;"",G2copy!F417,"")</f>
        <v/>
      </c>
    </row>
    <row r="418" spans="1:7" ht="15.75" customHeight="1">
      <c r="A418" s="23" t="str">
        <f t="shared" si="21"/>
        <v/>
      </c>
      <c r="B418" t="str">
        <f t="shared" si="22"/>
        <v/>
      </c>
      <c r="C418" s="23" t="str">
        <f t="shared" si="23"/>
        <v/>
      </c>
      <c r="E418" s="24" t="str">
        <f>IF(NOT(ISBLANK(G2copy!B418)),G2copy!B418,"")</f>
        <v/>
      </c>
      <c r="F418" s="24" t="str">
        <f>IF(E418&lt;&gt;"",G2copy!A418,"")</f>
        <v/>
      </c>
      <c r="G418" s="24" t="str">
        <f>IF(E418&lt;&gt;"",G2copy!F418,"")</f>
        <v/>
      </c>
    </row>
    <row r="419" spans="1:7" ht="15.75" customHeight="1">
      <c r="A419" s="23" t="str">
        <f t="shared" si="21"/>
        <v/>
      </c>
      <c r="B419" t="str">
        <f t="shared" si="22"/>
        <v/>
      </c>
      <c r="C419" s="23" t="str">
        <f t="shared" si="23"/>
        <v/>
      </c>
      <c r="E419" s="24" t="str">
        <f>IF(NOT(ISBLANK(G2copy!B419)),G2copy!B419,"")</f>
        <v/>
      </c>
      <c r="F419" s="24" t="str">
        <f>IF(E419&lt;&gt;"",G2copy!A419,"")</f>
        <v/>
      </c>
      <c r="G419" s="24" t="str">
        <f>IF(E419&lt;&gt;"",G2copy!F419,"")</f>
        <v/>
      </c>
    </row>
    <row r="420" spans="1:7" ht="15.75" customHeight="1">
      <c r="A420" s="23" t="str">
        <f t="shared" si="21"/>
        <v/>
      </c>
      <c r="B420" t="str">
        <f t="shared" si="22"/>
        <v/>
      </c>
      <c r="C420" s="23" t="str">
        <f t="shared" si="23"/>
        <v/>
      </c>
      <c r="E420" s="24" t="str">
        <f>IF(NOT(ISBLANK(G2copy!B420)),G2copy!B420,"")</f>
        <v/>
      </c>
      <c r="F420" s="24" t="str">
        <f>IF(E420&lt;&gt;"",G2copy!A420,"")</f>
        <v/>
      </c>
      <c r="G420" s="24" t="str">
        <f>IF(E420&lt;&gt;"",G2copy!F420,"")</f>
        <v/>
      </c>
    </row>
    <row r="421" spans="1:7" ht="15.75" customHeight="1">
      <c r="A421" s="23" t="str">
        <f t="shared" si="21"/>
        <v/>
      </c>
      <c r="B421" t="str">
        <f t="shared" si="22"/>
        <v/>
      </c>
      <c r="C421" s="23" t="str">
        <f t="shared" si="23"/>
        <v/>
      </c>
      <c r="E421" s="24" t="str">
        <f>IF(NOT(ISBLANK(G2copy!B421)),G2copy!B421,"")</f>
        <v/>
      </c>
      <c r="F421" s="24" t="str">
        <f>IF(E421&lt;&gt;"",G2copy!A421,"")</f>
        <v/>
      </c>
      <c r="G421" s="24" t="str">
        <f>IF(E421&lt;&gt;"",G2copy!F421,"")</f>
        <v/>
      </c>
    </row>
    <row r="422" spans="1:7" ht="15.75" customHeight="1">
      <c r="A422" s="23" t="str">
        <f t="shared" si="21"/>
        <v/>
      </c>
      <c r="B422" t="str">
        <f t="shared" si="22"/>
        <v/>
      </c>
      <c r="C422" s="23" t="str">
        <f t="shared" si="23"/>
        <v/>
      </c>
      <c r="E422" s="24" t="str">
        <f>IF(NOT(ISBLANK(G2copy!B422)),G2copy!B422,"")</f>
        <v/>
      </c>
      <c r="F422" s="24" t="str">
        <f>IF(E422&lt;&gt;"",G2copy!A422,"")</f>
        <v/>
      </c>
      <c r="G422" s="24" t="str">
        <f>IF(E422&lt;&gt;"",G2copy!F422,"")</f>
        <v/>
      </c>
    </row>
    <row r="423" spans="1:7" ht="15.75" customHeight="1">
      <c r="A423" s="23" t="str">
        <f t="shared" si="21"/>
        <v/>
      </c>
      <c r="B423" t="str">
        <f t="shared" si="22"/>
        <v/>
      </c>
      <c r="C423" s="23" t="str">
        <f t="shared" si="23"/>
        <v/>
      </c>
      <c r="E423" s="24" t="str">
        <f>IF(NOT(ISBLANK(G2copy!B423)),G2copy!B423,"")</f>
        <v/>
      </c>
      <c r="F423" s="24" t="str">
        <f>IF(E423&lt;&gt;"",G2copy!A423,"")</f>
        <v/>
      </c>
      <c r="G423" s="24" t="str">
        <f>IF(E423&lt;&gt;"",G2copy!F423,"")</f>
        <v/>
      </c>
    </row>
    <row r="424" spans="1:7" ht="15.75" customHeight="1">
      <c r="A424" s="23" t="str">
        <f t="shared" si="21"/>
        <v/>
      </c>
      <c r="B424" t="str">
        <f t="shared" si="22"/>
        <v/>
      </c>
      <c r="C424" s="23" t="str">
        <f t="shared" si="23"/>
        <v/>
      </c>
      <c r="E424" s="24" t="str">
        <f>IF(NOT(ISBLANK(G2copy!B424)),G2copy!B424,"")</f>
        <v/>
      </c>
      <c r="F424" s="24" t="str">
        <f>IF(E424&lt;&gt;"",G2copy!A424,"")</f>
        <v/>
      </c>
      <c r="G424" s="24" t="str">
        <f>IF(E424&lt;&gt;"",G2copy!F424,"")</f>
        <v/>
      </c>
    </row>
    <row r="425" spans="1:7" ht="15.75" customHeight="1">
      <c r="A425" s="23" t="str">
        <f t="shared" si="21"/>
        <v/>
      </c>
      <c r="B425" t="str">
        <f t="shared" si="22"/>
        <v/>
      </c>
      <c r="C425" s="23" t="str">
        <f t="shared" si="23"/>
        <v/>
      </c>
      <c r="E425" s="24" t="str">
        <f>IF(NOT(ISBLANK(G2copy!B425)),G2copy!B425,"")</f>
        <v/>
      </c>
      <c r="F425" s="24" t="str">
        <f>IF(E425&lt;&gt;"",G2copy!A425,"")</f>
        <v/>
      </c>
      <c r="G425" s="24" t="str">
        <f>IF(E425&lt;&gt;"",G2copy!F425,"")</f>
        <v/>
      </c>
    </row>
    <row r="426" spans="1:7" ht="15.75" customHeight="1">
      <c r="A426" s="23" t="str">
        <f t="shared" si="21"/>
        <v/>
      </c>
      <c r="B426" t="str">
        <f t="shared" si="22"/>
        <v/>
      </c>
      <c r="C426" s="23" t="str">
        <f t="shared" si="23"/>
        <v/>
      </c>
      <c r="E426" s="24" t="str">
        <f>IF(NOT(ISBLANK(G2copy!B426)),G2copy!B426,"")</f>
        <v/>
      </c>
      <c r="F426" s="24" t="str">
        <f>IF(E426&lt;&gt;"",G2copy!A426,"")</f>
        <v/>
      </c>
      <c r="G426" s="24" t="str">
        <f>IF(E426&lt;&gt;"",G2copy!F426,"")</f>
        <v/>
      </c>
    </row>
    <row r="427" spans="1:7" ht="15.75" customHeight="1">
      <c r="A427" s="23" t="str">
        <f t="shared" si="21"/>
        <v/>
      </c>
      <c r="B427" t="str">
        <f t="shared" si="22"/>
        <v/>
      </c>
      <c r="C427" s="23" t="str">
        <f t="shared" si="23"/>
        <v/>
      </c>
      <c r="E427" s="24" t="str">
        <f>IF(NOT(ISBLANK(G2copy!B427)),G2copy!B427,"")</f>
        <v/>
      </c>
      <c r="F427" s="24" t="str">
        <f>IF(E427&lt;&gt;"",G2copy!A427,"")</f>
        <v/>
      </c>
      <c r="G427" s="24" t="str">
        <f>IF(E427&lt;&gt;"",G2copy!F427,"")</f>
        <v/>
      </c>
    </row>
    <row r="428" spans="1:7" ht="15.75" customHeight="1">
      <c r="A428" s="23" t="str">
        <f t="shared" si="21"/>
        <v/>
      </c>
      <c r="B428" t="str">
        <f t="shared" si="22"/>
        <v/>
      </c>
      <c r="C428" s="23" t="str">
        <f t="shared" si="23"/>
        <v/>
      </c>
      <c r="E428" s="24" t="str">
        <f>IF(NOT(ISBLANK(G2copy!B428)),G2copy!B428,"")</f>
        <v/>
      </c>
      <c r="F428" s="24" t="str">
        <f>IF(E428&lt;&gt;"",G2copy!A428,"")</f>
        <v/>
      </c>
      <c r="G428" s="24" t="str">
        <f>IF(E428&lt;&gt;"",G2copy!F428,"")</f>
        <v/>
      </c>
    </row>
    <row r="429" spans="1:7" ht="15.75" customHeight="1">
      <c r="A429" s="23" t="str">
        <f t="shared" si="21"/>
        <v/>
      </c>
      <c r="B429" t="str">
        <f t="shared" si="22"/>
        <v/>
      </c>
      <c r="C429" s="23" t="str">
        <f t="shared" si="23"/>
        <v/>
      </c>
      <c r="E429" s="24" t="str">
        <f>IF(NOT(ISBLANK(G2copy!B429)),G2copy!B429,"")</f>
        <v/>
      </c>
      <c r="F429" s="24" t="str">
        <f>IF(E429&lt;&gt;"",G2copy!A429,"")</f>
        <v/>
      </c>
      <c r="G429" s="24" t="str">
        <f>IF(E429&lt;&gt;"",G2copy!F429,"")</f>
        <v/>
      </c>
    </row>
    <row r="430" spans="1:7" ht="15.75" customHeight="1">
      <c r="A430" s="23" t="str">
        <f t="shared" si="21"/>
        <v/>
      </c>
      <c r="B430" t="str">
        <f t="shared" si="22"/>
        <v/>
      </c>
      <c r="C430" s="23" t="str">
        <f t="shared" si="23"/>
        <v/>
      </c>
      <c r="E430" s="24" t="str">
        <f>IF(NOT(ISBLANK(G2copy!B430)),G2copy!B430,"")</f>
        <v/>
      </c>
      <c r="F430" s="24" t="str">
        <f>IF(E430&lt;&gt;"",G2copy!A430,"")</f>
        <v/>
      </c>
      <c r="G430" s="24" t="str">
        <f>IF(E430&lt;&gt;"",G2copy!F430,"")</f>
        <v/>
      </c>
    </row>
    <row r="431" spans="1:7" ht="15.75" customHeight="1">
      <c r="A431" s="23" t="str">
        <f t="shared" si="21"/>
        <v/>
      </c>
      <c r="B431" t="str">
        <f t="shared" si="22"/>
        <v/>
      </c>
      <c r="C431" s="23" t="str">
        <f t="shared" si="23"/>
        <v/>
      </c>
      <c r="E431" s="24" t="str">
        <f>IF(NOT(ISBLANK(G2copy!B431)),G2copy!B431,"")</f>
        <v/>
      </c>
      <c r="F431" s="24" t="str">
        <f>IF(E431&lt;&gt;"",G2copy!A431,"")</f>
        <v/>
      </c>
      <c r="G431" s="24" t="str">
        <f>IF(E431&lt;&gt;"",G2copy!F431,"")</f>
        <v/>
      </c>
    </row>
    <row r="432" spans="1:7" ht="15.75" customHeight="1">
      <c r="A432" s="23" t="str">
        <f t="shared" si="21"/>
        <v/>
      </c>
      <c r="B432" t="str">
        <f t="shared" si="22"/>
        <v/>
      </c>
      <c r="C432" s="23" t="str">
        <f t="shared" si="23"/>
        <v/>
      </c>
      <c r="E432" s="24" t="str">
        <f>IF(NOT(ISBLANK(G2copy!B432)),G2copy!B432,"")</f>
        <v/>
      </c>
      <c r="F432" s="24" t="str">
        <f>IF(E432&lt;&gt;"",G2copy!A432,"")</f>
        <v/>
      </c>
      <c r="G432" s="24" t="str">
        <f>IF(E432&lt;&gt;"",G2copy!F432,"")</f>
        <v/>
      </c>
    </row>
    <row r="433" spans="1:7" ht="15.75" customHeight="1">
      <c r="A433" s="23" t="str">
        <f t="shared" si="21"/>
        <v/>
      </c>
      <c r="B433" t="str">
        <f t="shared" si="22"/>
        <v/>
      </c>
      <c r="C433" s="23" t="str">
        <f t="shared" si="23"/>
        <v/>
      </c>
      <c r="E433" s="24" t="str">
        <f>IF(NOT(ISBLANK(G2copy!B433)),G2copy!B433,"")</f>
        <v/>
      </c>
      <c r="F433" s="24" t="str">
        <f>IF(E433&lt;&gt;"",G2copy!A433,"")</f>
        <v/>
      </c>
      <c r="G433" s="24" t="str">
        <f>IF(E433&lt;&gt;"",G2copy!F433,"")</f>
        <v/>
      </c>
    </row>
    <row r="434" spans="1:7" ht="15.75" customHeight="1">
      <c r="A434" s="23" t="str">
        <f t="shared" si="21"/>
        <v/>
      </c>
      <c r="B434" t="str">
        <f t="shared" si="22"/>
        <v/>
      </c>
      <c r="C434" s="23" t="str">
        <f t="shared" si="23"/>
        <v/>
      </c>
      <c r="E434" s="24" t="str">
        <f>IF(NOT(ISBLANK(G2copy!B434)),G2copy!B434,"")</f>
        <v/>
      </c>
      <c r="F434" s="24" t="str">
        <f>IF(E434&lt;&gt;"",G2copy!A434,"")</f>
        <v/>
      </c>
      <c r="G434" s="24" t="str">
        <f>IF(E434&lt;&gt;"",G2copy!F434,"")</f>
        <v/>
      </c>
    </row>
    <row r="435" spans="1:7" ht="15.75" customHeight="1">
      <c r="A435" s="23" t="str">
        <f t="shared" si="21"/>
        <v/>
      </c>
      <c r="B435" t="str">
        <f t="shared" si="22"/>
        <v/>
      </c>
      <c r="C435" s="23" t="str">
        <f t="shared" si="23"/>
        <v/>
      </c>
      <c r="E435" s="24" t="str">
        <f>IF(NOT(ISBLANK(G2copy!B435)),G2copy!B435,"")</f>
        <v/>
      </c>
      <c r="F435" s="24" t="str">
        <f>IF(E435&lt;&gt;"",G2copy!A435,"")</f>
        <v/>
      </c>
      <c r="G435" s="24" t="str">
        <f>IF(E435&lt;&gt;"",G2copy!F435,"")</f>
        <v/>
      </c>
    </row>
    <row r="436" spans="1:7" ht="15.75" customHeight="1">
      <c r="A436" s="23" t="str">
        <f t="shared" si="21"/>
        <v/>
      </c>
      <c r="B436" t="str">
        <f t="shared" si="22"/>
        <v/>
      </c>
      <c r="C436" s="23" t="str">
        <f t="shared" si="23"/>
        <v/>
      </c>
      <c r="E436" s="24" t="str">
        <f>IF(NOT(ISBLANK(G2copy!B436)),G2copy!B436,"")</f>
        <v/>
      </c>
      <c r="F436" s="24" t="str">
        <f>IF(E436&lt;&gt;"",G2copy!A436,"")</f>
        <v/>
      </c>
      <c r="G436" s="24" t="str">
        <f>IF(E436&lt;&gt;"",G2copy!F436,"")</f>
        <v/>
      </c>
    </row>
    <row r="437" spans="1:7" ht="15.75" customHeight="1">
      <c r="A437" s="23" t="str">
        <f t="shared" si="21"/>
        <v/>
      </c>
      <c r="B437" t="str">
        <f t="shared" si="22"/>
        <v/>
      </c>
      <c r="C437" s="23" t="str">
        <f t="shared" si="23"/>
        <v/>
      </c>
      <c r="E437" s="24" t="str">
        <f>IF(NOT(ISBLANK(G2copy!B437)),G2copy!B437,"")</f>
        <v/>
      </c>
      <c r="F437" s="24" t="str">
        <f>IF(E437&lt;&gt;"",G2copy!A437,"")</f>
        <v/>
      </c>
      <c r="G437" s="24" t="str">
        <f>IF(E437&lt;&gt;"",G2copy!F437,"")</f>
        <v/>
      </c>
    </row>
    <row r="438" spans="1:7" ht="15.75" customHeight="1">
      <c r="A438" s="23" t="str">
        <f t="shared" si="21"/>
        <v/>
      </c>
      <c r="B438" t="str">
        <f t="shared" si="22"/>
        <v/>
      </c>
      <c r="C438" s="23" t="str">
        <f t="shared" si="23"/>
        <v/>
      </c>
      <c r="E438" s="24" t="str">
        <f>IF(NOT(ISBLANK(G2copy!B438)),G2copy!B438,"")</f>
        <v/>
      </c>
      <c r="F438" s="24" t="str">
        <f>IF(E438&lt;&gt;"",G2copy!A438,"")</f>
        <v/>
      </c>
      <c r="G438" s="24" t="str">
        <f>IF(E438&lt;&gt;"",G2copy!F438,"")</f>
        <v/>
      </c>
    </row>
    <row r="439" spans="1:7" ht="15.75" customHeight="1">
      <c r="A439" s="23" t="str">
        <f t="shared" si="21"/>
        <v/>
      </c>
      <c r="B439" t="str">
        <f t="shared" si="22"/>
        <v/>
      </c>
      <c r="C439" s="23" t="str">
        <f t="shared" si="23"/>
        <v/>
      </c>
      <c r="E439" s="24" t="str">
        <f>IF(NOT(ISBLANK(G2copy!B439)),G2copy!B439,"")</f>
        <v/>
      </c>
      <c r="F439" s="24" t="str">
        <f>IF(E439&lt;&gt;"",G2copy!A439,"")</f>
        <v/>
      </c>
      <c r="G439" s="24" t="str">
        <f>IF(E439&lt;&gt;"",G2copy!F439,"")</f>
        <v/>
      </c>
    </row>
    <row r="440" spans="1:7" ht="15.75" customHeight="1">
      <c r="A440" s="23" t="str">
        <f t="shared" si="21"/>
        <v/>
      </c>
      <c r="B440" t="str">
        <f t="shared" si="22"/>
        <v/>
      </c>
      <c r="C440" s="23" t="str">
        <f t="shared" si="23"/>
        <v/>
      </c>
      <c r="E440" s="24" t="str">
        <f>IF(NOT(ISBLANK(G2copy!B440)),G2copy!B440,"")</f>
        <v/>
      </c>
      <c r="F440" s="24" t="str">
        <f>IF(E440&lt;&gt;"",G2copy!A440,"")</f>
        <v/>
      </c>
      <c r="G440" s="24" t="str">
        <f>IF(E440&lt;&gt;"",G2copy!F440,"")</f>
        <v/>
      </c>
    </row>
    <row r="441" spans="1:7" ht="15.75" customHeight="1">
      <c r="A441" s="23" t="str">
        <f t="shared" si="21"/>
        <v/>
      </c>
      <c r="B441" t="str">
        <f t="shared" si="22"/>
        <v/>
      </c>
      <c r="C441" s="23" t="str">
        <f t="shared" si="23"/>
        <v/>
      </c>
      <c r="E441" s="24" t="str">
        <f>IF(NOT(ISBLANK(G2copy!B441)),G2copy!B441,"")</f>
        <v/>
      </c>
      <c r="F441" s="24" t="str">
        <f>IF(E441&lt;&gt;"",G2copy!A441,"")</f>
        <v/>
      </c>
      <c r="G441" s="24" t="str">
        <f>IF(E441&lt;&gt;"",G2copy!F441,"")</f>
        <v/>
      </c>
    </row>
    <row r="442" spans="1:7" ht="15.75" customHeight="1">
      <c r="A442" s="23" t="str">
        <f t="shared" si="21"/>
        <v/>
      </c>
      <c r="B442" t="str">
        <f t="shared" si="22"/>
        <v/>
      </c>
      <c r="C442" s="23" t="str">
        <f t="shared" si="23"/>
        <v/>
      </c>
      <c r="E442" s="24" t="str">
        <f>IF(NOT(ISBLANK(G2copy!B442)),G2copy!B442,"")</f>
        <v/>
      </c>
      <c r="F442" s="24" t="str">
        <f>IF(E442&lt;&gt;"",G2copy!A442,"")</f>
        <v/>
      </c>
      <c r="G442" s="24" t="str">
        <f>IF(E442&lt;&gt;"",G2copy!F442,"")</f>
        <v/>
      </c>
    </row>
    <row r="443" spans="1:7" ht="15.75" customHeight="1">
      <c r="A443" s="23" t="str">
        <f t="shared" si="21"/>
        <v/>
      </c>
      <c r="B443" t="str">
        <f t="shared" si="22"/>
        <v/>
      </c>
      <c r="C443" s="23" t="str">
        <f t="shared" si="23"/>
        <v/>
      </c>
      <c r="E443" s="24" t="str">
        <f>IF(NOT(ISBLANK(G2copy!B443)),G2copy!B443,"")</f>
        <v/>
      </c>
      <c r="F443" s="24" t="str">
        <f>IF(E443&lt;&gt;"",G2copy!A443,"")</f>
        <v/>
      </c>
      <c r="G443" s="24" t="str">
        <f>IF(E443&lt;&gt;"",G2copy!F443,"")</f>
        <v/>
      </c>
    </row>
    <row r="444" spans="1:7" ht="15.75" customHeight="1">
      <c r="A444" s="23" t="str">
        <f t="shared" si="21"/>
        <v/>
      </c>
      <c r="B444" t="str">
        <f t="shared" si="22"/>
        <v/>
      </c>
      <c r="C444" s="23" t="str">
        <f t="shared" si="23"/>
        <v/>
      </c>
      <c r="E444" s="24" t="str">
        <f>IF(NOT(ISBLANK(G2copy!B444)),G2copy!B444,"")</f>
        <v/>
      </c>
      <c r="F444" s="24" t="str">
        <f>IF(E444&lt;&gt;"",G2copy!A444,"")</f>
        <v/>
      </c>
      <c r="G444" s="24" t="str">
        <f>IF(E444&lt;&gt;"",G2copy!F444,"")</f>
        <v/>
      </c>
    </row>
    <row r="445" spans="1:7" ht="15.75" customHeight="1">
      <c r="A445" s="23" t="str">
        <f t="shared" si="21"/>
        <v/>
      </c>
      <c r="B445" t="str">
        <f t="shared" si="22"/>
        <v/>
      </c>
      <c r="C445" s="23" t="str">
        <f t="shared" si="23"/>
        <v/>
      </c>
      <c r="E445" s="24" t="str">
        <f>IF(NOT(ISBLANK(G2copy!B445)),G2copy!B445,"")</f>
        <v/>
      </c>
      <c r="F445" s="24" t="str">
        <f>IF(E445&lt;&gt;"",G2copy!A445,"")</f>
        <v/>
      </c>
      <c r="G445" s="24" t="str">
        <f>IF(E445&lt;&gt;"",G2copy!F445,"")</f>
        <v/>
      </c>
    </row>
    <row r="446" spans="1:7" ht="15.75" customHeight="1">
      <c r="A446" s="23" t="str">
        <f t="shared" si="21"/>
        <v/>
      </c>
      <c r="B446" t="str">
        <f t="shared" si="22"/>
        <v/>
      </c>
      <c r="C446" s="23" t="str">
        <f t="shared" si="23"/>
        <v/>
      </c>
      <c r="E446" s="24" t="str">
        <f>IF(NOT(ISBLANK(G2copy!B446)),G2copy!B446,"")</f>
        <v/>
      </c>
      <c r="F446" s="24" t="str">
        <f>IF(E446&lt;&gt;"",G2copy!A446,"")</f>
        <v/>
      </c>
      <c r="G446" s="24" t="str">
        <f>IF(E446&lt;&gt;"",G2copy!F446,"")</f>
        <v/>
      </c>
    </row>
    <row r="447" spans="1:7" ht="15.75" customHeight="1">
      <c r="A447" s="23" t="str">
        <f t="shared" si="21"/>
        <v/>
      </c>
      <c r="B447" t="str">
        <f t="shared" si="22"/>
        <v/>
      </c>
      <c r="C447" s="23" t="str">
        <f t="shared" si="23"/>
        <v/>
      </c>
      <c r="E447" s="24" t="str">
        <f>IF(NOT(ISBLANK(G2copy!B447)),G2copy!B447,"")</f>
        <v/>
      </c>
      <c r="F447" s="24" t="str">
        <f>IF(E447&lt;&gt;"",G2copy!A447,"")</f>
        <v/>
      </c>
      <c r="G447" s="24" t="str">
        <f>IF(E447&lt;&gt;"",G2copy!F447,"")</f>
        <v/>
      </c>
    </row>
    <row r="448" spans="1:7" ht="15.75" customHeight="1">
      <c r="A448" s="23" t="str">
        <f t="shared" si="21"/>
        <v/>
      </c>
      <c r="B448" t="str">
        <f t="shared" si="22"/>
        <v/>
      </c>
      <c r="C448" s="23" t="str">
        <f t="shared" si="23"/>
        <v/>
      </c>
      <c r="E448" s="24" t="str">
        <f>IF(NOT(ISBLANK(G2copy!B448)),G2copy!B448,"")</f>
        <v/>
      </c>
      <c r="F448" s="24" t="str">
        <f>IF(E448&lt;&gt;"",G2copy!A448,"")</f>
        <v/>
      </c>
      <c r="G448" s="24" t="str">
        <f>IF(E448&lt;&gt;"",G2copy!F448,"")</f>
        <v/>
      </c>
    </row>
    <row r="449" spans="1:7" ht="15.75" customHeight="1">
      <c r="A449" s="23" t="str">
        <f t="shared" si="21"/>
        <v/>
      </c>
      <c r="B449" t="str">
        <f t="shared" si="22"/>
        <v/>
      </c>
      <c r="C449" s="23" t="str">
        <f t="shared" si="23"/>
        <v/>
      </c>
      <c r="E449" s="24" t="str">
        <f>IF(NOT(ISBLANK(G2copy!B449)),G2copy!B449,"")</f>
        <v/>
      </c>
      <c r="F449" s="24" t="str">
        <f>IF(E449&lt;&gt;"",G2copy!A449,"")</f>
        <v/>
      </c>
      <c r="G449" s="24" t="str">
        <f>IF(E449&lt;&gt;"",G2copy!F449,"")</f>
        <v/>
      </c>
    </row>
    <row r="450" spans="1:7" ht="15.75" customHeight="1">
      <c r="A450" s="23" t="str">
        <f t="shared" si="21"/>
        <v/>
      </c>
      <c r="B450" t="str">
        <f t="shared" si="22"/>
        <v/>
      </c>
      <c r="C450" s="23" t="str">
        <f t="shared" si="23"/>
        <v/>
      </c>
      <c r="E450" s="24" t="str">
        <f>IF(NOT(ISBLANK(G2copy!B450)),G2copy!B450,"")</f>
        <v/>
      </c>
      <c r="F450" s="24" t="str">
        <f>IF(E450&lt;&gt;"",G2copy!A450,"")</f>
        <v/>
      </c>
      <c r="G450" s="24" t="str">
        <f>IF(E450&lt;&gt;"",G2copy!F450,"")</f>
        <v/>
      </c>
    </row>
    <row r="451" spans="1:7" ht="15.75" customHeight="1">
      <c r="A451" s="23" t="str">
        <f t="shared" ref="A451:A500" si="24">IF(E451&lt;&gt;"",DATEVALUE(LEFT(E451,10)),"")</f>
        <v/>
      </c>
      <c r="B451" t="str">
        <f t="shared" ref="B451:B500" si="25">IF(LEN(F451)&gt;3,RIGHT(F451,LEN(F451)-3),"")</f>
        <v/>
      </c>
      <c r="C451" s="23" t="str">
        <f t="shared" ref="C451:C500" si="26">IF(E451&lt;&gt;"",DATEVALUE(LEFT(G451,10)),"")</f>
        <v/>
      </c>
      <c r="E451" s="24" t="str">
        <f>IF(NOT(ISBLANK(G2copy!B451)),G2copy!B451,"")</f>
        <v/>
      </c>
      <c r="F451" s="24" t="str">
        <f>IF(E451&lt;&gt;"",G2copy!A451,"")</f>
        <v/>
      </c>
      <c r="G451" s="24" t="str">
        <f>IF(E451&lt;&gt;"",G2copy!F451,"")</f>
        <v/>
      </c>
    </row>
    <row r="452" spans="1:7" ht="15.75" customHeight="1">
      <c r="A452" s="23" t="str">
        <f t="shared" si="24"/>
        <v/>
      </c>
      <c r="B452" t="str">
        <f t="shared" si="25"/>
        <v/>
      </c>
      <c r="C452" s="23" t="str">
        <f t="shared" si="26"/>
        <v/>
      </c>
      <c r="E452" s="24" t="str">
        <f>IF(NOT(ISBLANK(G2copy!B452)),G2copy!B452,"")</f>
        <v/>
      </c>
      <c r="F452" s="24" t="str">
        <f>IF(E452&lt;&gt;"",G2copy!A452,"")</f>
        <v/>
      </c>
      <c r="G452" s="24" t="str">
        <f>IF(E452&lt;&gt;"",G2copy!F452,"")</f>
        <v/>
      </c>
    </row>
    <row r="453" spans="1:7" ht="15.75" customHeight="1">
      <c r="A453" s="23" t="str">
        <f t="shared" si="24"/>
        <v/>
      </c>
      <c r="B453" t="str">
        <f t="shared" si="25"/>
        <v/>
      </c>
      <c r="C453" s="23" t="str">
        <f t="shared" si="26"/>
        <v/>
      </c>
      <c r="E453" s="24" t="str">
        <f>IF(NOT(ISBLANK(G2copy!B453)),G2copy!B453,"")</f>
        <v/>
      </c>
      <c r="F453" s="24" t="str">
        <f>IF(E453&lt;&gt;"",G2copy!A453,"")</f>
        <v/>
      </c>
      <c r="G453" s="24" t="str">
        <f>IF(E453&lt;&gt;"",G2copy!F453,"")</f>
        <v/>
      </c>
    </row>
    <row r="454" spans="1:7" ht="15.75" customHeight="1">
      <c r="A454" s="23" t="str">
        <f t="shared" si="24"/>
        <v/>
      </c>
      <c r="B454" t="str">
        <f t="shared" si="25"/>
        <v/>
      </c>
      <c r="C454" s="23" t="str">
        <f t="shared" si="26"/>
        <v/>
      </c>
      <c r="E454" s="24" t="str">
        <f>IF(NOT(ISBLANK(G2copy!B454)),G2copy!B454,"")</f>
        <v/>
      </c>
      <c r="F454" s="24" t="str">
        <f>IF(E454&lt;&gt;"",G2copy!A454,"")</f>
        <v/>
      </c>
      <c r="G454" s="24" t="str">
        <f>IF(E454&lt;&gt;"",G2copy!F454,"")</f>
        <v/>
      </c>
    </row>
    <row r="455" spans="1:7" ht="15.75" customHeight="1">
      <c r="A455" s="23" t="str">
        <f t="shared" si="24"/>
        <v/>
      </c>
      <c r="B455" t="str">
        <f t="shared" si="25"/>
        <v/>
      </c>
      <c r="C455" s="23" t="str">
        <f t="shared" si="26"/>
        <v/>
      </c>
      <c r="E455" s="24" t="str">
        <f>IF(NOT(ISBLANK(G2copy!B455)),G2copy!B455,"")</f>
        <v/>
      </c>
      <c r="F455" s="24" t="str">
        <f>IF(E455&lt;&gt;"",G2copy!A455,"")</f>
        <v/>
      </c>
      <c r="G455" s="24" t="str">
        <f>IF(E455&lt;&gt;"",G2copy!F455,"")</f>
        <v/>
      </c>
    </row>
    <row r="456" spans="1:7" ht="15.75" customHeight="1">
      <c r="A456" s="23" t="str">
        <f t="shared" si="24"/>
        <v/>
      </c>
      <c r="B456" t="str">
        <f t="shared" si="25"/>
        <v/>
      </c>
      <c r="C456" s="23" t="str">
        <f t="shared" si="26"/>
        <v/>
      </c>
      <c r="E456" s="24" t="str">
        <f>IF(NOT(ISBLANK(G2copy!B456)),G2copy!B456,"")</f>
        <v/>
      </c>
      <c r="F456" s="24" t="str">
        <f>IF(E456&lt;&gt;"",G2copy!A456,"")</f>
        <v/>
      </c>
      <c r="G456" s="24" t="str">
        <f>IF(E456&lt;&gt;"",G2copy!F456,"")</f>
        <v/>
      </c>
    </row>
    <row r="457" spans="1:7" ht="15.75" customHeight="1">
      <c r="A457" s="23" t="str">
        <f t="shared" si="24"/>
        <v/>
      </c>
      <c r="B457" t="str">
        <f t="shared" si="25"/>
        <v/>
      </c>
      <c r="C457" s="23" t="str">
        <f t="shared" si="26"/>
        <v/>
      </c>
      <c r="E457" s="24" t="str">
        <f>IF(NOT(ISBLANK(G2copy!B457)),G2copy!B457,"")</f>
        <v/>
      </c>
      <c r="F457" s="24" t="str">
        <f>IF(E457&lt;&gt;"",G2copy!A457,"")</f>
        <v/>
      </c>
      <c r="G457" s="24" t="str">
        <f>IF(E457&lt;&gt;"",G2copy!F457,"")</f>
        <v/>
      </c>
    </row>
    <row r="458" spans="1:7" ht="15.75" customHeight="1">
      <c r="A458" s="23" t="str">
        <f t="shared" si="24"/>
        <v/>
      </c>
      <c r="B458" t="str">
        <f t="shared" si="25"/>
        <v/>
      </c>
      <c r="C458" s="23" t="str">
        <f t="shared" si="26"/>
        <v/>
      </c>
      <c r="E458" s="24" t="str">
        <f>IF(NOT(ISBLANK(G2copy!B458)),G2copy!B458,"")</f>
        <v/>
      </c>
      <c r="F458" s="24" t="str">
        <f>IF(E458&lt;&gt;"",G2copy!A458,"")</f>
        <v/>
      </c>
      <c r="G458" s="24" t="str">
        <f>IF(E458&lt;&gt;"",G2copy!F458,"")</f>
        <v/>
      </c>
    </row>
    <row r="459" spans="1:7" ht="15.75" customHeight="1">
      <c r="A459" s="23" t="str">
        <f t="shared" si="24"/>
        <v/>
      </c>
      <c r="B459" t="str">
        <f t="shared" si="25"/>
        <v/>
      </c>
      <c r="C459" s="23" t="str">
        <f t="shared" si="26"/>
        <v/>
      </c>
      <c r="E459" s="24" t="str">
        <f>IF(NOT(ISBLANK(G2copy!B459)),G2copy!B459,"")</f>
        <v/>
      </c>
      <c r="F459" s="24" t="str">
        <f>IF(E459&lt;&gt;"",G2copy!A459,"")</f>
        <v/>
      </c>
      <c r="G459" s="24" t="str">
        <f>IF(E459&lt;&gt;"",G2copy!F459,"")</f>
        <v/>
      </c>
    </row>
    <row r="460" spans="1:7" ht="15.75" customHeight="1">
      <c r="A460" s="23" t="str">
        <f t="shared" si="24"/>
        <v/>
      </c>
      <c r="B460" t="str">
        <f t="shared" si="25"/>
        <v/>
      </c>
      <c r="C460" s="23" t="str">
        <f t="shared" si="26"/>
        <v/>
      </c>
      <c r="E460" s="24" t="str">
        <f>IF(NOT(ISBLANK(G2copy!B460)),G2copy!B460,"")</f>
        <v/>
      </c>
      <c r="F460" s="24" t="str">
        <f>IF(E460&lt;&gt;"",G2copy!A460,"")</f>
        <v/>
      </c>
      <c r="G460" s="24" t="str">
        <f>IF(E460&lt;&gt;"",G2copy!F460,"")</f>
        <v/>
      </c>
    </row>
    <row r="461" spans="1:7" ht="15.75" customHeight="1">
      <c r="A461" s="23" t="str">
        <f t="shared" si="24"/>
        <v/>
      </c>
      <c r="B461" t="str">
        <f t="shared" si="25"/>
        <v/>
      </c>
      <c r="C461" s="23" t="str">
        <f t="shared" si="26"/>
        <v/>
      </c>
      <c r="E461" s="24" t="str">
        <f>IF(NOT(ISBLANK(G2copy!B461)),G2copy!B461,"")</f>
        <v/>
      </c>
      <c r="F461" s="24" t="str">
        <f>IF(E461&lt;&gt;"",G2copy!A461,"")</f>
        <v/>
      </c>
      <c r="G461" s="24" t="str">
        <f>IF(E461&lt;&gt;"",G2copy!F461,"")</f>
        <v/>
      </c>
    </row>
    <row r="462" spans="1:7" ht="15.75" customHeight="1">
      <c r="A462" s="23" t="str">
        <f t="shared" si="24"/>
        <v/>
      </c>
      <c r="B462" t="str">
        <f t="shared" si="25"/>
        <v/>
      </c>
      <c r="C462" s="23" t="str">
        <f t="shared" si="26"/>
        <v/>
      </c>
      <c r="E462" s="24" t="str">
        <f>IF(NOT(ISBLANK(G2copy!B462)),G2copy!B462,"")</f>
        <v/>
      </c>
      <c r="F462" s="24" t="str">
        <f>IF(E462&lt;&gt;"",G2copy!A462,"")</f>
        <v/>
      </c>
      <c r="G462" s="24" t="str">
        <f>IF(E462&lt;&gt;"",G2copy!F462,"")</f>
        <v/>
      </c>
    </row>
    <row r="463" spans="1:7" ht="15.75" customHeight="1">
      <c r="A463" s="23" t="str">
        <f t="shared" si="24"/>
        <v/>
      </c>
      <c r="B463" t="str">
        <f t="shared" si="25"/>
        <v/>
      </c>
      <c r="C463" s="23" t="str">
        <f t="shared" si="26"/>
        <v/>
      </c>
      <c r="E463" s="24" t="str">
        <f>IF(NOT(ISBLANK(G2copy!B463)),G2copy!B463,"")</f>
        <v/>
      </c>
      <c r="F463" s="24" t="str">
        <f>IF(E463&lt;&gt;"",G2copy!A463,"")</f>
        <v/>
      </c>
      <c r="G463" s="24" t="str">
        <f>IF(E463&lt;&gt;"",G2copy!F463,"")</f>
        <v/>
      </c>
    </row>
    <row r="464" spans="1:7" ht="15.75" customHeight="1">
      <c r="A464" s="23" t="str">
        <f t="shared" si="24"/>
        <v/>
      </c>
      <c r="B464" t="str">
        <f t="shared" si="25"/>
        <v/>
      </c>
      <c r="C464" s="23" t="str">
        <f t="shared" si="26"/>
        <v/>
      </c>
      <c r="E464" s="24" t="str">
        <f>IF(NOT(ISBLANK(G2copy!B464)),G2copy!B464,"")</f>
        <v/>
      </c>
      <c r="F464" s="24" t="str">
        <f>IF(E464&lt;&gt;"",G2copy!A464,"")</f>
        <v/>
      </c>
      <c r="G464" s="24" t="str">
        <f>IF(E464&lt;&gt;"",G2copy!F464,"")</f>
        <v/>
      </c>
    </row>
    <row r="465" spans="1:7" ht="15.75" customHeight="1">
      <c r="A465" s="23" t="str">
        <f t="shared" si="24"/>
        <v/>
      </c>
      <c r="B465" t="str">
        <f t="shared" si="25"/>
        <v/>
      </c>
      <c r="C465" s="23" t="str">
        <f t="shared" si="26"/>
        <v/>
      </c>
      <c r="E465" s="24" t="str">
        <f>IF(NOT(ISBLANK(G2copy!B465)),G2copy!B465,"")</f>
        <v/>
      </c>
      <c r="F465" s="24" t="str">
        <f>IF(E465&lt;&gt;"",G2copy!A465,"")</f>
        <v/>
      </c>
      <c r="G465" s="24" t="str">
        <f>IF(E465&lt;&gt;"",G2copy!F465,"")</f>
        <v/>
      </c>
    </row>
    <row r="466" spans="1:7" ht="15.75" customHeight="1">
      <c r="A466" s="23" t="str">
        <f t="shared" si="24"/>
        <v/>
      </c>
      <c r="B466" t="str">
        <f t="shared" si="25"/>
        <v/>
      </c>
      <c r="C466" s="23" t="str">
        <f t="shared" si="26"/>
        <v/>
      </c>
      <c r="E466" s="24" t="str">
        <f>IF(NOT(ISBLANK(G2copy!B466)),G2copy!B466,"")</f>
        <v/>
      </c>
      <c r="F466" s="24" t="str">
        <f>IF(E466&lt;&gt;"",G2copy!A466,"")</f>
        <v/>
      </c>
      <c r="G466" s="24" t="str">
        <f>IF(E466&lt;&gt;"",G2copy!F466,"")</f>
        <v/>
      </c>
    </row>
    <row r="467" spans="1:7" ht="15.75" customHeight="1">
      <c r="A467" s="23" t="str">
        <f t="shared" si="24"/>
        <v/>
      </c>
      <c r="B467" t="str">
        <f t="shared" si="25"/>
        <v/>
      </c>
      <c r="C467" s="23" t="str">
        <f t="shared" si="26"/>
        <v/>
      </c>
      <c r="E467" s="24" t="str">
        <f>IF(NOT(ISBLANK(G2copy!B467)),G2copy!B467,"")</f>
        <v/>
      </c>
      <c r="F467" s="24" t="str">
        <f>IF(E467&lt;&gt;"",G2copy!A467,"")</f>
        <v/>
      </c>
      <c r="G467" s="24" t="str">
        <f>IF(E467&lt;&gt;"",G2copy!F467,"")</f>
        <v/>
      </c>
    </row>
    <row r="468" spans="1:7" ht="15.75" customHeight="1">
      <c r="A468" s="23" t="str">
        <f t="shared" si="24"/>
        <v/>
      </c>
      <c r="B468" t="str">
        <f t="shared" si="25"/>
        <v/>
      </c>
      <c r="C468" s="23" t="str">
        <f t="shared" si="26"/>
        <v/>
      </c>
      <c r="E468" s="24" t="str">
        <f>IF(NOT(ISBLANK(G2copy!B468)),G2copy!B468,"")</f>
        <v/>
      </c>
      <c r="F468" s="24" t="str">
        <f>IF(E468&lt;&gt;"",G2copy!A468,"")</f>
        <v/>
      </c>
      <c r="G468" s="24" t="str">
        <f>IF(E468&lt;&gt;"",G2copy!F468,"")</f>
        <v/>
      </c>
    </row>
    <row r="469" spans="1:7" ht="15.75" customHeight="1">
      <c r="A469" s="23" t="str">
        <f t="shared" si="24"/>
        <v/>
      </c>
      <c r="B469" t="str">
        <f t="shared" si="25"/>
        <v/>
      </c>
      <c r="C469" s="23" t="str">
        <f t="shared" si="26"/>
        <v/>
      </c>
      <c r="E469" s="24" t="str">
        <f>IF(NOT(ISBLANK(G2copy!B469)),G2copy!B469,"")</f>
        <v/>
      </c>
      <c r="F469" s="24" t="str">
        <f>IF(E469&lt;&gt;"",G2copy!A469,"")</f>
        <v/>
      </c>
      <c r="G469" s="24" t="str">
        <f>IF(E469&lt;&gt;"",G2copy!F469,"")</f>
        <v/>
      </c>
    </row>
    <row r="470" spans="1:7" ht="15.75" customHeight="1">
      <c r="A470" s="23" t="str">
        <f t="shared" si="24"/>
        <v/>
      </c>
      <c r="B470" t="str">
        <f t="shared" si="25"/>
        <v/>
      </c>
      <c r="C470" s="23" t="str">
        <f t="shared" si="26"/>
        <v/>
      </c>
      <c r="E470" s="24" t="str">
        <f>IF(NOT(ISBLANK(G2copy!B470)),G2copy!B470,"")</f>
        <v/>
      </c>
      <c r="F470" s="24" t="str">
        <f>IF(E470&lt;&gt;"",G2copy!A470,"")</f>
        <v/>
      </c>
      <c r="G470" s="24" t="str">
        <f>IF(E470&lt;&gt;"",G2copy!F470,"")</f>
        <v/>
      </c>
    </row>
    <row r="471" spans="1:7" ht="15.75" customHeight="1">
      <c r="A471" s="23" t="str">
        <f t="shared" si="24"/>
        <v/>
      </c>
      <c r="B471" t="str">
        <f t="shared" si="25"/>
        <v/>
      </c>
      <c r="C471" s="23" t="str">
        <f t="shared" si="26"/>
        <v/>
      </c>
      <c r="E471" s="24" t="str">
        <f>IF(NOT(ISBLANK(G2copy!B471)),G2copy!B471,"")</f>
        <v/>
      </c>
      <c r="F471" s="24" t="str">
        <f>IF(E471&lt;&gt;"",G2copy!A471,"")</f>
        <v/>
      </c>
      <c r="G471" s="24" t="str">
        <f>IF(E471&lt;&gt;"",G2copy!F471,"")</f>
        <v/>
      </c>
    </row>
    <row r="472" spans="1:7" ht="15.75" customHeight="1">
      <c r="A472" s="23" t="str">
        <f t="shared" si="24"/>
        <v/>
      </c>
      <c r="B472" t="str">
        <f t="shared" si="25"/>
        <v/>
      </c>
      <c r="C472" s="23" t="str">
        <f t="shared" si="26"/>
        <v/>
      </c>
      <c r="E472" s="24" t="str">
        <f>IF(NOT(ISBLANK(G2copy!B472)),G2copy!B472,"")</f>
        <v/>
      </c>
      <c r="F472" s="24" t="str">
        <f>IF(E472&lt;&gt;"",G2copy!A472,"")</f>
        <v/>
      </c>
      <c r="G472" s="24" t="str">
        <f>IF(E472&lt;&gt;"",G2copy!F472,"")</f>
        <v/>
      </c>
    </row>
    <row r="473" spans="1:7" ht="15.75" customHeight="1">
      <c r="A473" s="23" t="str">
        <f t="shared" si="24"/>
        <v/>
      </c>
      <c r="B473" t="str">
        <f t="shared" si="25"/>
        <v/>
      </c>
      <c r="C473" s="23" t="str">
        <f t="shared" si="26"/>
        <v/>
      </c>
      <c r="E473" s="24" t="str">
        <f>IF(NOT(ISBLANK(G2copy!B473)),G2copy!B473,"")</f>
        <v/>
      </c>
      <c r="F473" s="24" t="str">
        <f>IF(E473&lt;&gt;"",G2copy!A473,"")</f>
        <v/>
      </c>
      <c r="G473" s="24" t="str">
        <f>IF(E473&lt;&gt;"",G2copy!F473,"")</f>
        <v/>
      </c>
    </row>
    <row r="474" spans="1:7" ht="15.75" customHeight="1">
      <c r="A474" s="23" t="str">
        <f t="shared" si="24"/>
        <v/>
      </c>
      <c r="B474" t="str">
        <f t="shared" si="25"/>
        <v/>
      </c>
      <c r="C474" s="23" t="str">
        <f t="shared" si="26"/>
        <v/>
      </c>
      <c r="E474" s="24" t="str">
        <f>IF(NOT(ISBLANK(G2copy!B474)),G2copy!B474,"")</f>
        <v/>
      </c>
      <c r="F474" s="24" t="str">
        <f>IF(E474&lt;&gt;"",G2copy!A474,"")</f>
        <v/>
      </c>
      <c r="G474" s="24" t="str">
        <f>IF(E474&lt;&gt;"",G2copy!F474,"")</f>
        <v/>
      </c>
    </row>
    <row r="475" spans="1:7" ht="15.75" customHeight="1">
      <c r="A475" s="23" t="str">
        <f t="shared" si="24"/>
        <v/>
      </c>
      <c r="B475" t="str">
        <f t="shared" si="25"/>
        <v/>
      </c>
      <c r="C475" s="23" t="str">
        <f t="shared" si="26"/>
        <v/>
      </c>
      <c r="E475" s="24" t="str">
        <f>IF(NOT(ISBLANK(G2copy!B475)),G2copy!B475,"")</f>
        <v/>
      </c>
      <c r="F475" s="24" t="str">
        <f>IF(E475&lt;&gt;"",G2copy!A475,"")</f>
        <v/>
      </c>
      <c r="G475" s="24" t="str">
        <f>IF(E475&lt;&gt;"",G2copy!F475,"")</f>
        <v/>
      </c>
    </row>
    <row r="476" spans="1:7" ht="15.75" customHeight="1">
      <c r="A476" s="23" t="str">
        <f t="shared" si="24"/>
        <v/>
      </c>
      <c r="B476" t="str">
        <f t="shared" si="25"/>
        <v/>
      </c>
      <c r="C476" s="23" t="str">
        <f t="shared" si="26"/>
        <v/>
      </c>
      <c r="E476" s="24" t="str">
        <f>IF(NOT(ISBLANK(G2copy!B476)),G2copy!B476,"")</f>
        <v/>
      </c>
      <c r="F476" s="24" t="str">
        <f>IF(E476&lt;&gt;"",G2copy!A476,"")</f>
        <v/>
      </c>
      <c r="G476" s="24" t="str">
        <f>IF(E476&lt;&gt;"",G2copy!F476,"")</f>
        <v/>
      </c>
    </row>
    <row r="477" spans="1:7" ht="15.75" customHeight="1">
      <c r="A477" s="23" t="str">
        <f t="shared" si="24"/>
        <v/>
      </c>
      <c r="B477" t="str">
        <f t="shared" si="25"/>
        <v/>
      </c>
      <c r="C477" s="23" t="str">
        <f t="shared" si="26"/>
        <v/>
      </c>
      <c r="E477" s="24" t="str">
        <f>IF(NOT(ISBLANK(G2copy!B477)),G2copy!B477,"")</f>
        <v/>
      </c>
      <c r="F477" s="24" t="str">
        <f>IF(E477&lt;&gt;"",G2copy!A477,"")</f>
        <v/>
      </c>
      <c r="G477" s="24" t="str">
        <f>IF(E477&lt;&gt;"",G2copy!F477,"")</f>
        <v/>
      </c>
    </row>
    <row r="478" spans="1:7" ht="15.75" customHeight="1">
      <c r="A478" s="23" t="str">
        <f t="shared" si="24"/>
        <v/>
      </c>
      <c r="B478" t="str">
        <f t="shared" si="25"/>
        <v/>
      </c>
      <c r="C478" s="23" t="str">
        <f t="shared" si="26"/>
        <v/>
      </c>
      <c r="E478" s="24" t="str">
        <f>IF(NOT(ISBLANK(G2copy!B478)),G2copy!B478,"")</f>
        <v/>
      </c>
      <c r="F478" s="24" t="str">
        <f>IF(E478&lt;&gt;"",G2copy!A478,"")</f>
        <v/>
      </c>
      <c r="G478" s="24" t="str">
        <f>IF(E478&lt;&gt;"",G2copy!F478,"")</f>
        <v/>
      </c>
    </row>
    <row r="479" spans="1:7" ht="15.75" customHeight="1">
      <c r="A479" s="23" t="str">
        <f t="shared" si="24"/>
        <v/>
      </c>
      <c r="B479" t="str">
        <f t="shared" si="25"/>
        <v/>
      </c>
      <c r="C479" s="23" t="str">
        <f t="shared" si="26"/>
        <v/>
      </c>
      <c r="E479" s="24" t="str">
        <f>IF(NOT(ISBLANK(G2copy!B479)),G2copy!B479,"")</f>
        <v/>
      </c>
      <c r="F479" s="24" t="str">
        <f>IF(E479&lt;&gt;"",G2copy!A479,"")</f>
        <v/>
      </c>
      <c r="G479" s="24" t="str">
        <f>IF(E479&lt;&gt;"",G2copy!F479,"")</f>
        <v/>
      </c>
    </row>
    <row r="480" spans="1:7" ht="15.75" customHeight="1">
      <c r="A480" s="23" t="str">
        <f t="shared" si="24"/>
        <v/>
      </c>
      <c r="B480" t="str">
        <f t="shared" si="25"/>
        <v/>
      </c>
      <c r="C480" s="23" t="str">
        <f t="shared" si="26"/>
        <v/>
      </c>
      <c r="E480" s="24" t="str">
        <f>IF(NOT(ISBLANK(G2copy!B480)),G2copy!B480,"")</f>
        <v/>
      </c>
      <c r="F480" s="24" t="str">
        <f>IF(E480&lt;&gt;"",G2copy!A480,"")</f>
        <v/>
      </c>
      <c r="G480" s="24" t="str">
        <f>IF(E480&lt;&gt;"",G2copy!F480,"")</f>
        <v/>
      </c>
    </row>
    <row r="481" spans="1:7" ht="15.75" customHeight="1">
      <c r="A481" s="23" t="str">
        <f t="shared" si="24"/>
        <v/>
      </c>
      <c r="B481" t="str">
        <f t="shared" si="25"/>
        <v/>
      </c>
      <c r="C481" s="23" t="str">
        <f t="shared" si="26"/>
        <v/>
      </c>
      <c r="E481" s="24" t="str">
        <f>IF(NOT(ISBLANK(G2copy!B481)),G2copy!B481,"")</f>
        <v/>
      </c>
      <c r="F481" s="24" t="str">
        <f>IF(E481&lt;&gt;"",G2copy!A481,"")</f>
        <v/>
      </c>
      <c r="G481" s="24" t="str">
        <f>IF(E481&lt;&gt;"",G2copy!F481,"")</f>
        <v/>
      </c>
    </row>
    <row r="482" spans="1:7" ht="15.75" customHeight="1">
      <c r="A482" s="23" t="str">
        <f t="shared" si="24"/>
        <v/>
      </c>
      <c r="B482" t="str">
        <f t="shared" si="25"/>
        <v/>
      </c>
      <c r="C482" s="23" t="str">
        <f t="shared" si="26"/>
        <v/>
      </c>
      <c r="E482" s="24" t="str">
        <f>IF(NOT(ISBLANK(G2copy!B482)),G2copy!B482,"")</f>
        <v/>
      </c>
      <c r="F482" s="24" t="str">
        <f>IF(E482&lt;&gt;"",G2copy!A482,"")</f>
        <v/>
      </c>
      <c r="G482" s="24" t="str">
        <f>IF(E482&lt;&gt;"",G2copy!F482,"")</f>
        <v/>
      </c>
    </row>
    <row r="483" spans="1:7" ht="15.75" customHeight="1">
      <c r="A483" s="23" t="str">
        <f t="shared" si="24"/>
        <v/>
      </c>
      <c r="B483" t="str">
        <f t="shared" si="25"/>
        <v/>
      </c>
      <c r="C483" s="23" t="str">
        <f t="shared" si="26"/>
        <v/>
      </c>
      <c r="E483" s="24" t="str">
        <f>IF(NOT(ISBLANK(G2copy!B483)),G2copy!B483,"")</f>
        <v/>
      </c>
      <c r="F483" s="24" t="str">
        <f>IF(E483&lt;&gt;"",G2copy!A483,"")</f>
        <v/>
      </c>
      <c r="G483" s="24" t="str">
        <f>IF(E483&lt;&gt;"",G2copy!F483,"")</f>
        <v/>
      </c>
    </row>
    <row r="484" spans="1:7" ht="15.75" customHeight="1">
      <c r="A484" s="23" t="str">
        <f t="shared" si="24"/>
        <v/>
      </c>
      <c r="B484" t="str">
        <f t="shared" si="25"/>
        <v/>
      </c>
      <c r="C484" s="23" t="str">
        <f t="shared" si="26"/>
        <v/>
      </c>
      <c r="E484" s="24" t="str">
        <f>IF(NOT(ISBLANK(G2copy!B484)),G2copy!B484,"")</f>
        <v/>
      </c>
      <c r="F484" s="24" t="str">
        <f>IF(E484&lt;&gt;"",G2copy!A484,"")</f>
        <v/>
      </c>
      <c r="G484" s="24" t="str">
        <f>IF(E484&lt;&gt;"",G2copy!F484,"")</f>
        <v/>
      </c>
    </row>
    <row r="485" spans="1:7" ht="15.75" customHeight="1">
      <c r="A485" s="23" t="str">
        <f t="shared" si="24"/>
        <v/>
      </c>
      <c r="B485" t="str">
        <f t="shared" si="25"/>
        <v/>
      </c>
      <c r="C485" s="23" t="str">
        <f t="shared" si="26"/>
        <v/>
      </c>
      <c r="E485" s="24" t="str">
        <f>IF(NOT(ISBLANK(G2copy!B485)),G2copy!B485,"")</f>
        <v/>
      </c>
      <c r="F485" s="24" t="str">
        <f>IF(E485&lt;&gt;"",G2copy!A485,"")</f>
        <v/>
      </c>
      <c r="G485" s="24" t="str">
        <f>IF(E485&lt;&gt;"",G2copy!F485,"")</f>
        <v/>
      </c>
    </row>
    <row r="486" spans="1:7" ht="15.75" customHeight="1">
      <c r="A486" s="23" t="str">
        <f t="shared" si="24"/>
        <v/>
      </c>
      <c r="B486" t="str">
        <f t="shared" si="25"/>
        <v/>
      </c>
      <c r="C486" s="23" t="str">
        <f t="shared" si="26"/>
        <v/>
      </c>
      <c r="E486" s="24" t="str">
        <f>IF(NOT(ISBLANK(G2copy!B486)),G2copy!B486,"")</f>
        <v/>
      </c>
      <c r="F486" s="24" t="str">
        <f>IF(E486&lt;&gt;"",G2copy!A486,"")</f>
        <v/>
      </c>
      <c r="G486" s="24" t="str">
        <f>IF(E486&lt;&gt;"",G2copy!F486,"")</f>
        <v/>
      </c>
    </row>
    <row r="487" spans="1:7" ht="15.75" customHeight="1">
      <c r="A487" s="23" t="str">
        <f t="shared" si="24"/>
        <v/>
      </c>
      <c r="B487" t="str">
        <f t="shared" si="25"/>
        <v/>
      </c>
      <c r="C487" s="23" t="str">
        <f t="shared" si="26"/>
        <v/>
      </c>
      <c r="E487" s="24" t="str">
        <f>IF(NOT(ISBLANK(G2copy!B487)),G2copy!B487,"")</f>
        <v/>
      </c>
      <c r="F487" s="24" t="str">
        <f>IF(E487&lt;&gt;"",G2copy!A487,"")</f>
        <v/>
      </c>
      <c r="G487" s="24" t="str">
        <f>IF(E487&lt;&gt;"",G2copy!F487,"")</f>
        <v/>
      </c>
    </row>
    <row r="488" spans="1:7" ht="15.75" customHeight="1">
      <c r="A488" s="23" t="str">
        <f t="shared" si="24"/>
        <v/>
      </c>
      <c r="B488" t="str">
        <f t="shared" si="25"/>
        <v/>
      </c>
      <c r="C488" s="23" t="str">
        <f t="shared" si="26"/>
        <v/>
      </c>
      <c r="E488" s="24" t="str">
        <f>IF(NOT(ISBLANK(G2copy!B488)),G2copy!B488,"")</f>
        <v/>
      </c>
      <c r="F488" s="24" t="str">
        <f>IF(E488&lt;&gt;"",G2copy!A488,"")</f>
        <v/>
      </c>
      <c r="G488" s="24" t="str">
        <f>IF(E488&lt;&gt;"",G2copy!F488,"")</f>
        <v/>
      </c>
    </row>
    <row r="489" spans="1:7" ht="15.75" customHeight="1">
      <c r="A489" s="23" t="str">
        <f t="shared" si="24"/>
        <v/>
      </c>
      <c r="B489" t="str">
        <f t="shared" si="25"/>
        <v/>
      </c>
      <c r="C489" s="23" t="str">
        <f t="shared" si="26"/>
        <v/>
      </c>
      <c r="E489" s="24" t="str">
        <f>IF(NOT(ISBLANK(G2copy!B489)),G2copy!B489,"")</f>
        <v/>
      </c>
      <c r="F489" s="24" t="str">
        <f>IF(E489&lt;&gt;"",G2copy!A489,"")</f>
        <v/>
      </c>
      <c r="G489" s="24" t="str">
        <f>IF(E489&lt;&gt;"",G2copy!F489,"")</f>
        <v/>
      </c>
    </row>
    <row r="490" spans="1:7" ht="15.75" customHeight="1">
      <c r="A490" s="23" t="str">
        <f t="shared" si="24"/>
        <v/>
      </c>
      <c r="B490" t="str">
        <f t="shared" si="25"/>
        <v/>
      </c>
      <c r="C490" s="23" t="str">
        <f t="shared" si="26"/>
        <v/>
      </c>
      <c r="E490" s="24" t="str">
        <f>IF(NOT(ISBLANK(G2copy!B490)),G2copy!B490,"")</f>
        <v/>
      </c>
      <c r="F490" s="24" t="str">
        <f>IF(E490&lt;&gt;"",G2copy!A490,"")</f>
        <v/>
      </c>
      <c r="G490" s="24" t="str">
        <f>IF(E490&lt;&gt;"",G2copy!F490,"")</f>
        <v/>
      </c>
    </row>
    <row r="491" spans="1:7" ht="15.75" customHeight="1">
      <c r="A491" s="23" t="str">
        <f t="shared" si="24"/>
        <v/>
      </c>
      <c r="B491" t="str">
        <f t="shared" si="25"/>
        <v/>
      </c>
      <c r="C491" s="23" t="str">
        <f t="shared" si="26"/>
        <v/>
      </c>
      <c r="E491" s="24" t="str">
        <f>IF(NOT(ISBLANK(G2copy!B491)),G2copy!B491,"")</f>
        <v/>
      </c>
      <c r="F491" s="24" t="str">
        <f>IF(E491&lt;&gt;"",G2copy!A491,"")</f>
        <v/>
      </c>
      <c r="G491" s="24" t="str">
        <f>IF(E491&lt;&gt;"",G2copy!F491,"")</f>
        <v/>
      </c>
    </row>
    <row r="492" spans="1:7" ht="15.75" customHeight="1">
      <c r="A492" s="23" t="str">
        <f t="shared" si="24"/>
        <v/>
      </c>
      <c r="B492" t="str">
        <f t="shared" si="25"/>
        <v/>
      </c>
      <c r="C492" s="23" t="str">
        <f t="shared" si="26"/>
        <v/>
      </c>
      <c r="E492" s="24" t="str">
        <f>IF(NOT(ISBLANK(G2copy!B492)),G2copy!B492,"")</f>
        <v/>
      </c>
      <c r="F492" s="24" t="str">
        <f>IF(E492&lt;&gt;"",G2copy!A492,"")</f>
        <v/>
      </c>
      <c r="G492" s="24" t="str">
        <f>IF(E492&lt;&gt;"",G2copy!F492,"")</f>
        <v/>
      </c>
    </row>
    <row r="493" spans="1:7" ht="15.75" customHeight="1">
      <c r="A493" s="23" t="str">
        <f t="shared" si="24"/>
        <v/>
      </c>
      <c r="B493" t="str">
        <f t="shared" si="25"/>
        <v/>
      </c>
      <c r="C493" s="23" t="str">
        <f t="shared" si="26"/>
        <v/>
      </c>
      <c r="E493" s="24" t="str">
        <f>IF(NOT(ISBLANK(G2copy!B493)),G2copy!B493,"")</f>
        <v/>
      </c>
      <c r="F493" s="24" t="str">
        <f>IF(E493&lt;&gt;"",G2copy!A493,"")</f>
        <v/>
      </c>
      <c r="G493" s="24" t="str">
        <f>IF(E493&lt;&gt;"",G2copy!F493,"")</f>
        <v/>
      </c>
    </row>
    <row r="494" spans="1:7" ht="15.75" customHeight="1">
      <c r="A494" s="23" t="str">
        <f t="shared" si="24"/>
        <v/>
      </c>
      <c r="B494" t="str">
        <f t="shared" si="25"/>
        <v/>
      </c>
      <c r="C494" s="23" t="str">
        <f t="shared" si="26"/>
        <v/>
      </c>
      <c r="E494" s="24" t="str">
        <f>IF(NOT(ISBLANK(G2copy!B494)),G2copy!B494,"")</f>
        <v/>
      </c>
      <c r="F494" s="24" t="str">
        <f>IF(E494&lt;&gt;"",G2copy!A494,"")</f>
        <v/>
      </c>
      <c r="G494" s="24" t="str">
        <f>IF(E494&lt;&gt;"",G2copy!F494,"")</f>
        <v/>
      </c>
    </row>
    <row r="495" spans="1:7" ht="15.75" customHeight="1">
      <c r="A495" s="23" t="str">
        <f t="shared" si="24"/>
        <v/>
      </c>
      <c r="B495" t="str">
        <f t="shared" si="25"/>
        <v/>
      </c>
      <c r="C495" s="23" t="str">
        <f t="shared" si="26"/>
        <v/>
      </c>
      <c r="E495" s="24" t="str">
        <f>IF(NOT(ISBLANK(G2copy!B495)),G2copy!B495,"")</f>
        <v/>
      </c>
      <c r="F495" s="24" t="str">
        <f>IF(E495&lt;&gt;"",G2copy!A495,"")</f>
        <v/>
      </c>
      <c r="G495" s="24" t="str">
        <f>IF(E495&lt;&gt;"",G2copy!F495,"")</f>
        <v/>
      </c>
    </row>
    <row r="496" spans="1:7" ht="15.75" customHeight="1">
      <c r="A496" s="23" t="str">
        <f t="shared" si="24"/>
        <v/>
      </c>
      <c r="B496" t="str">
        <f t="shared" si="25"/>
        <v/>
      </c>
      <c r="C496" s="23" t="str">
        <f t="shared" si="26"/>
        <v/>
      </c>
      <c r="E496" s="24" t="str">
        <f>IF(NOT(ISBLANK(G2copy!B496)),G2copy!B496,"")</f>
        <v/>
      </c>
      <c r="F496" s="24" t="str">
        <f>IF(E496&lt;&gt;"",G2copy!A496,"")</f>
        <v/>
      </c>
      <c r="G496" s="24" t="str">
        <f>IF(E496&lt;&gt;"",G2copy!F496,"")</f>
        <v/>
      </c>
    </row>
    <row r="497" spans="1:7" ht="15.75" customHeight="1">
      <c r="A497" s="23" t="str">
        <f t="shared" si="24"/>
        <v/>
      </c>
      <c r="B497" t="str">
        <f t="shared" si="25"/>
        <v/>
      </c>
      <c r="C497" s="23" t="str">
        <f t="shared" si="26"/>
        <v/>
      </c>
      <c r="E497" s="24" t="str">
        <f>IF(NOT(ISBLANK(G2copy!B497)),G2copy!B497,"")</f>
        <v/>
      </c>
      <c r="F497" s="24" t="str">
        <f>IF(E497&lt;&gt;"",G2copy!A497,"")</f>
        <v/>
      </c>
      <c r="G497" s="24" t="str">
        <f>IF(E497&lt;&gt;"",G2copy!F497,"")</f>
        <v/>
      </c>
    </row>
    <row r="498" spans="1:7" ht="15.75" customHeight="1">
      <c r="A498" s="23" t="str">
        <f t="shared" si="24"/>
        <v/>
      </c>
      <c r="B498" t="str">
        <f t="shared" si="25"/>
        <v/>
      </c>
      <c r="C498" s="23" t="str">
        <f t="shared" si="26"/>
        <v/>
      </c>
      <c r="E498" s="24" t="str">
        <f>IF(NOT(ISBLANK(G2copy!B498)),G2copy!B498,"")</f>
        <v/>
      </c>
      <c r="F498" s="24" t="str">
        <f>IF(E498&lt;&gt;"",G2copy!A498,"")</f>
        <v/>
      </c>
      <c r="G498" s="24" t="str">
        <f>IF(E498&lt;&gt;"",G2copy!F498,"")</f>
        <v/>
      </c>
    </row>
    <row r="499" spans="1:7" ht="15.75" customHeight="1">
      <c r="A499" s="23" t="str">
        <f t="shared" si="24"/>
        <v/>
      </c>
      <c r="B499" t="str">
        <f t="shared" si="25"/>
        <v/>
      </c>
      <c r="C499" s="23" t="str">
        <f t="shared" si="26"/>
        <v/>
      </c>
      <c r="E499" s="24" t="str">
        <f>IF(NOT(ISBLANK(G2copy!B499)),G2copy!B499,"")</f>
        <v/>
      </c>
      <c r="F499" s="24" t="str">
        <f>IF(E499&lt;&gt;"",G2copy!A499,"")</f>
        <v/>
      </c>
      <c r="G499" s="24" t="str">
        <f>IF(E499&lt;&gt;"",G2copy!F499,"")</f>
        <v/>
      </c>
    </row>
    <row r="500" spans="1:7" ht="15.75" customHeight="1">
      <c r="A500" s="23" t="str">
        <f t="shared" si="24"/>
        <v/>
      </c>
      <c r="B500" t="str">
        <f t="shared" si="25"/>
        <v/>
      </c>
      <c r="C500" s="23" t="str">
        <f t="shared" si="26"/>
        <v/>
      </c>
      <c r="E500" s="24" t="str">
        <f>IF(NOT(ISBLANK(G2copy!B500)),G2copy!B500,"")</f>
        <v/>
      </c>
      <c r="F500" s="24" t="str">
        <f>IF(E500&lt;&gt;"",G2copy!A500,"")</f>
        <v/>
      </c>
      <c r="G500" s="24" t="str">
        <f>IF(E500&lt;&gt;"",G2copy!F500,"")</f>
        <v/>
      </c>
    </row>
    <row r="501" spans="1:7" ht="15.75" customHeight="1"/>
    <row r="502" spans="1:7" ht="15.75" customHeight="1"/>
    <row r="503" spans="1:7" ht="15.75" customHeight="1"/>
    <row r="504" spans="1:7" ht="15.75" customHeight="1"/>
    <row r="505" spans="1:7" ht="15.75" customHeight="1"/>
    <row r="506" spans="1:7" ht="15.75" customHeight="1"/>
    <row r="507" spans="1:7" ht="15.75" customHeight="1"/>
    <row r="508" spans="1:7" ht="15.75" customHeight="1"/>
    <row r="509" spans="1:7" ht="15.75" customHeight="1"/>
    <row r="510" spans="1:7" ht="15.75" customHeight="1"/>
    <row r="511" spans="1:7" ht="15.75" customHeight="1"/>
    <row r="512" spans="1:7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1000"/>
  <sheetViews>
    <sheetView workbookViewId="0">
      <pane ySplit="1" topLeftCell="A2" activePane="bottomLeft" state="frozen"/>
      <selection pane="bottomLeft"/>
      <selection activeCell="E2" sqref="E2"/>
    </sheetView>
  </sheetViews>
  <sheetFormatPr defaultColWidth="13.5" defaultRowHeight="15" customHeight="1"/>
  <cols>
    <col min="1" max="1" width="10.5" bestFit="1" customWidth="1"/>
    <col min="2" max="2" width="29.5" bestFit="1" customWidth="1"/>
    <col min="3" max="3" width="10.5" bestFit="1" customWidth="1"/>
    <col min="4" max="4" width="8.375" customWidth="1"/>
    <col min="5" max="5" width="10.5" bestFit="1" customWidth="1"/>
    <col min="6" max="6" width="32.5" bestFit="1" customWidth="1"/>
    <col min="7" max="7" width="10.5" bestFit="1" customWidth="1"/>
    <col min="8" max="26" width="8.375" customWidth="1"/>
  </cols>
  <sheetData>
    <row r="1" spans="1:7" ht="15.75" customHeight="1">
      <c r="A1" t="s">
        <v>124</v>
      </c>
      <c r="B1" t="s">
        <v>125</v>
      </c>
      <c r="C1" t="s">
        <v>126</v>
      </c>
      <c r="E1" s="5" t="s">
        <v>127</v>
      </c>
      <c r="F1" s="5" t="s">
        <v>128</v>
      </c>
      <c r="G1" s="5" t="s">
        <v>129</v>
      </c>
    </row>
    <row r="2" spans="1:7" ht="15.75" customHeight="1">
      <c r="A2" s="23">
        <f>IF(E2&lt;&gt;"",DATEVALUE(LEFT(E2,10)),"")</f>
        <v>45916</v>
      </c>
      <c r="B2" t="str">
        <f t="shared" ref="B2" si="0">IF(LEN(F2)&gt;3,RIGHT(F2,LEN(F2)-3),"")</f>
        <v>Team Ollie</v>
      </c>
      <c r="C2" s="23">
        <f>IF(E2&lt;&gt;"",DATEVALUE(LEFT(G2,10)),"")</f>
        <v>45916</v>
      </c>
      <c r="E2" s="24" t="str">
        <f>IF(NOT(ISBLANK(G3copy!B2)),G3copy!B2,"")</f>
        <v>2025-09-16T00:00:00.0000000</v>
      </c>
      <c r="F2" s="24" t="str">
        <f>IF(E2&lt;&gt;"",G3copy!A2,"")</f>
        <v>G3 Team Ollie</v>
      </c>
      <c r="G2" s="24" t="str">
        <f>IF(E2&lt;&gt;"",G3copy!F2,"")</f>
        <v>2025-09-16T12:14:55.2242865+00:00</v>
      </c>
    </row>
    <row r="3" spans="1:7" ht="15.75" customHeight="1">
      <c r="A3" s="23">
        <f t="shared" ref="A3:A66" si="1">IF(E3&lt;&gt;"",DATEVALUE(LEFT(E3,10)),"")</f>
        <v>45929</v>
      </c>
      <c r="B3" t="str">
        <f t="shared" ref="B3:B66" si="2">IF(LEN(F3)&gt;3,RIGHT(F3,LEN(F3)-3),"")</f>
        <v>Team Ollie</v>
      </c>
      <c r="C3" s="23">
        <f t="shared" ref="C3:C66" si="3">IF(E3&lt;&gt;"",DATEVALUE(LEFT(G3,10)),"")</f>
        <v>45915</v>
      </c>
      <c r="E3" s="24" t="str">
        <f>IF(NOT(ISBLANK(G3copy!B3)),G3copy!B3,"")</f>
        <v>2025-09-29T00:00:00.0000000</v>
      </c>
      <c r="F3" s="24" t="str">
        <f>IF(E3&lt;&gt;"",G3copy!A3,"")</f>
        <v>G3 Team Ollie</v>
      </c>
      <c r="G3" s="24" t="str">
        <f>IF(E3&lt;&gt;"",G3copy!F3,"")</f>
        <v>2025-09-15T08:30:45.574434+00:00</v>
      </c>
    </row>
    <row r="4" spans="1:7" ht="15.75" customHeight="1">
      <c r="A4" s="23">
        <f t="shared" si="1"/>
        <v>45932</v>
      </c>
      <c r="B4" t="str">
        <f t="shared" si="2"/>
        <v>Rep GES</v>
      </c>
      <c r="C4" s="23">
        <f t="shared" si="3"/>
        <v>45903</v>
      </c>
      <c r="E4" s="24" t="str">
        <f>IF(NOT(ISBLANK(G3copy!B4)),G3copy!B4,"")</f>
        <v>2025-10-02T00:00:00.0000000</v>
      </c>
      <c r="F4" s="24" t="str">
        <f>IF(E4&lt;&gt;"",G3copy!A4,"")</f>
        <v>G3 Rep GES</v>
      </c>
      <c r="G4" s="24" t="str">
        <f>IF(E4&lt;&gt;"",G3copy!F4,"")</f>
        <v>2025-09-03T15:03:14.0187569+00:00</v>
      </c>
    </row>
    <row r="5" spans="1:7" ht="15.75" customHeight="1">
      <c r="A5" s="23">
        <f t="shared" si="1"/>
        <v>45939</v>
      </c>
      <c r="B5" t="str">
        <f t="shared" si="2"/>
        <v>Rep WIS</v>
      </c>
      <c r="C5" s="23">
        <f t="shared" si="3"/>
        <v>45903</v>
      </c>
      <c r="E5" s="24" t="str">
        <f>IF(NOT(ISBLANK(G3copy!B5)),G3copy!B5,"")</f>
        <v>2025-10-09T00:00:00.0000000</v>
      </c>
      <c r="F5" s="24" t="str">
        <f>IF(E5&lt;&gt;"",G3copy!A5,"")</f>
        <v>G3 Rep WIS</v>
      </c>
      <c r="G5" s="24" t="str">
        <f>IF(E5&lt;&gt;"",G3copy!F5,"")</f>
        <v>2025-09-03T15:03:13.7758225+00:00</v>
      </c>
    </row>
    <row r="6" spans="1:7" ht="15.75" customHeight="1">
      <c r="A6" s="23">
        <f t="shared" si="1"/>
        <v>45946</v>
      </c>
      <c r="B6" t="str">
        <f t="shared" si="2"/>
        <v>Rep NA</v>
      </c>
      <c r="C6" s="23">
        <f t="shared" si="3"/>
        <v>45903</v>
      </c>
      <c r="E6" s="24" t="str">
        <f>IF(NOT(ISBLANK(G3copy!B6)),G3copy!B6,"")</f>
        <v>2025-10-16T00:00:00.0000000</v>
      </c>
      <c r="F6" s="24" t="str">
        <f>IF(E6&lt;&gt;"",G3copy!A6,"")</f>
        <v>G3 Rep NA</v>
      </c>
      <c r="G6" s="24" t="str">
        <f>IF(E6&lt;&gt;"",G3copy!F6,"")</f>
        <v>2025-09-03T15:03:16.7557731+00:00</v>
      </c>
    </row>
    <row r="7" spans="1:7" ht="15.75" customHeight="1">
      <c r="A7" s="23">
        <f t="shared" si="1"/>
        <v>45960</v>
      </c>
      <c r="B7" t="str">
        <f t="shared" si="2"/>
        <v>Rep SK</v>
      </c>
      <c r="C7" s="23">
        <f t="shared" si="3"/>
        <v>45903</v>
      </c>
      <c r="E7" s="24" t="str">
        <f>IF(NOT(ISBLANK(G3copy!B7)),G3copy!B7,"")</f>
        <v>2025-10-30T00:00:00.0000000</v>
      </c>
      <c r="F7" s="24" t="str">
        <f>IF(E7&lt;&gt;"",G3copy!A7,"")</f>
        <v>G3 Rep SK</v>
      </c>
      <c r="G7" s="24" t="str">
        <f>IF(E7&lt;&gt;"",G3copy!F7,"")</f>
        <v>2025-09-03T15:03:13.3695484+00:00</v>
      </c>
    </row>
    <row r="8" spans="1:7" ht="15.75" customHeight="1">
      <c r="A8" s="23">
        <f t="shared" si="1"/>
        <v>45967</v>
      </c>
      <c r="B8" t="str">
        <f t="shared" si="2"/>
        <v>Rep EN</v>
      </c>
      <c r="C8" s="23">
        <f t="shared" si="3"/>
        <v>45903</v>
      </c>
      <c r="E8" s="24" t="str">
        <f>IF(NOT(ISBLANK(G3copy!B8)),G3copy!B8,"")</f>
        <v>2025-11-06T00:00:00.0000000</v>
      </c>
      <c r="F8" s="24" t="str">
        <f>IF(E8&lt;&gt;"",G3copy!A8,"")</f>
        <v>G3 Rep EN</v>
      </c>
      <c r="G8" s="24" t="str">
        <f>IF(E8&lt;&gt;"",G3copy!F8,"")</f>
        <v>2025-09-03T15:03:16.4677237+00:00</v>
      </c>
    </row>
    <row r="9" spans="1:7" ht="15.75" customHeight="1">
      <c r="A9" s="23">
        <f t="shared" si="1"/>
        <v>45974</v>
      </c>
      <c r="B9" t="str">
        <f t="shared" si="2"/>
        <v>Rep AK</v>
      </c>
      <c r="C9" s="23">
        <f t="shared" si="3"/>
        <v>45903</v>
      </c>
      <c r="E9" s="24" t="str">
        <f>IF(NOT(ISBLANK(G3copy!B9)),G3copy!B9,"")</f>
        <v>2025-11-13T00:00:00.0000000</v>
      </c>
      <c r="F9" s="24" t="str">
        <f>IF(E9&lt;&gt;"",G3copy!A9,"")</f>
        <v>G3 Rep AK</v>
      </c>
      <c r="G9" s="24" t="str">
        <f>IF(E9&lt;&gt;"",G3copy!F9,"")</f>
        <v>2025-09-03T15:03:12.8354049+00:00</v>
      </c>
    </row>
    <row r="10" spans="1:7" ht="15.75" customHeight="1">
      <c r="A10" s="23">
        <f t="shared" si="1"/>
        <v>45981</v>
      </c>
      <c r="B10" t="str">
        <f t="shared" si="2"/>
        <v>Rep FA</v>
      </c>
      <c r="C10" s="23">
        <f t="shared" si="3"/>
        <v>45903</v>
      </c>
      <c r="E10" s="24" t="str">
        <f>IF(NOT(ISBLANK(G3copy!B10)),G3copy!B10,"")</f>
        <v>2025-11-20T00:00:00.0000000</v>
      </c>
      <c r="F10" s="24" t="str">
        <f>IF(E10&lt;&gt;"",G3copy!A10,"")</f>
        <v>G3 Rep FA</v>
      </c>
      <c r="G10" s="24" t="str">
        <f>IF(E10&lt;&gt;"",G3copy!F10,"")</f>
        <v>2025-09-03T15:03:12.673652+00:00</v>
      </c>
    </row>
    <row r="11" spans="1:7" ht="15.75" customHeight="1">
      <c r="A11" s="23">
        <f t="shared" si="1"/>
        <v>45985</v>
      </c>
      <c r="B11" t="str">
        <f t="shared" si="2"/>
        <v>week van de vakkenvoorlichting / Ouderavond Profielkeuze</v>
      </c>
      <c r="C11" s="23">
        <f t="shared" si="3"/>
        <v>45896</v>
      </c>
      <c r="E11" s="24" t="str">
        <f>IF(NOT(ISBLANK(G3copy!B11)),G3copy!B11,"")</f>
        <v>2025-11-24T00:00:00.0000000</v>
      </c>
      <c r="F11" s="24" t="str">
        <f>IF(E11&lt;&gt;"",G3copy!A11,"")</f>
        <v>G3 week van de vakkenvoorlichting / Ouderavond Profielkeuze</v>
      </c>
      <c r="G11" s="24" t="str">
        <f>IF(E11&lt;&gt;"",G3copy!F11,"")</f>
        <v>2025-08-27T18:06:36.025195+00:00</v>
      </c>
    </row>
    <row r="12" spans="1:7" ht="15.75" customHeight="1">
      <c r="A12" s="23">
        <f t="shared" si="1"/>
        <v>45986</v>
      </c>
      <c r="B12" t="str">
        <f t="shared" si="2"/>
        <v>week van de vakkenvoorlichting</v>
      </c>
      <c r="C12" s="23">
        <f t="shared" si="3"/>
        <v>45896</v>
      </c>
      <c r="E12" s="24" t="str">
        <f>IF(NOT(ISBLANK(G3copy!B12)),G3copy!B12,"")</f>
        <v>2025-11-25T00:00:00.0000000</v>
      </c>
      <c r="F12" s="24" t="str">
        <f>IF(E12&lt;&gt;"",G3copy!A12,"")</f>
        <v>G3 week van de vakkenvoorlichting</v>
      </c>
      <c r="G12" s="24" t="str">
        <f>IF(E12&lt;&gt;"",G3copy!F12,"")</f>
        <v>2025-08-27T18:06:35.863539+00:00</v>
      </c>
    </row>
    <row r="13" spans="1:7" ht="15.75" customHeight="1">
      <c r="A13" s="23">
        <f t="shared" si="1"/>
        <v>45987</v>
      </c>
      <c r="B13" t="str">
        <f t="shared" si="2"/>
        <v>week van de vakkenvoorlichting</v>
      </c>
      <c r="C13" s="23">
        <f t="shared" si="3"/>
        <v>45896</v>
      </c>
      <c r="E13" s="24" t="str">
        <f>IF(NOT(ISBLANK(G3copy!B13)),G3copy!B13,"")</f>
        <v>2025-11-26T00:00:00.0000000</v>
      </c>
      <c r="F13" s="24" t="str">
        <f>IF(E13&lt;&gt;"",G3copy!A13,"")</f>
        <v>G3 week van de vakkenvoorlichting</v>
      </c>
      <c r="G13" s="24" t="str">
        <f>IF(E13&lt;&gt;"",G3copy!F13,"")</f>
        <v>2025-08-27T18:06:35.148112+00:00</v>
      </c>
    </row>
    <row r="14" spans="1:7" ht="15.75" customHeight="1">
      <c r="A14" s="23">
        <f t="shared" si="1"/>
        <v>45988</v>
      </c>
      <c r="B14" t="str">
        <f t="shared" si="2"/>
        <v>week van de vakkenvoorlichting /</v>
      </c>
      <c r="C14" s="23">
        <f t="shared" si="3"/>
        <v>45912</v>
      </c>
      <c r="E14" s="24" t="str">
        <f>IF(NOT(ISBLANK(G3copy!B14)),G3copy!B14,"")</f>
        <v>2025-11-27T00:00:00.0000000</v>
      </c>
      <c r="F14" s="24" t="str">
        <f>IF(E14&lt;&gt;"",G3copy!A14,"")</f>
        <v>G3 week van de vakkenvoorlichting /</v>
      </c>
      <c r="G14" s="24" t="str">
        <f>IF(E14&lt;&gt;"",G3copy!F14,"")</f>
        <v>2025-09-12T12:22:11.9142512+00:00</v>
      </c>
    </row>
    <row r="15" spans="1:7" ht="15.75" customHeight="1">
      <c r="A15" s="23">
        <f t="shared" si="1"/>
        <v>45988</v>
      </c>
      <c r="B15" t="str">
        <f t="shared" si="2"/>
        <v>REP GR</v>
      </c>
      <c r="C15" s="23">
        <f t="shared" si="3"/>
        <v>45903</v>
      </c>
      <c r="E15" s="24" t="str">
        <f>IF(NOT(ISBLANK(G3copy!B15)),G3copy!B15,"")</f>
        <v>2025-11-27T00:00:00.0000000</v>
      </c>
      <c r="F15" s="24" t="str">
        <f>IF(E15&lt;&gt;"",G3copy!A15,"")</f>
        <v>G3 REP GR</v>
      </c>
      <c r="G15" s="24" t="str">
        <f>IF(E15&lt;&gt;"",G3copy!F15,"")</f>
        <v>2025-09-03T15:03:16.1689038+00:00</v>
      </c>
    </row>
    <row r="16" spans="1:7" ht="15.75" customHeight="1">
      <c r="A16" s="23">
        <f t="shared" si="1"/>
        <v>45989</v>
      </c>
      <c r="B16" t="str">
        <f t="shared" si="2"/>
        <v>week van de vakkenvoorlichting</v>
      </c>
      <c r="C16" s="23">
        <f t="shared" si="3"/>
        <v>45915</v>
      </c>
      <c r="E16" s="24" t="str">
        <f>IF(NOT(ISBLANK(G3copy!B16)),G3copy!B16,"")</f>
        <v>2025-11-28T00:00:00.0000000</v>
      </c>
      <c r="F16" s="24" t="str">
        <f>IF(E16&lt;&gt;"",G3copy!A16,"")</f>
        <v>G3 week van de vakkenvoorlichting</v>
      </c>
      <c r="G16" s="24" t="str">
        <f>IF(E16&lt;&gt;"",G3copy!F16,"")</f>
        <v>2025-09-15T08:32:03.4923011+00:00</v>
      </c>
    </row>
    <row r="17" spans="1:7" ht="15.75" customHeight="1">
      <c r="A17" s="23">
        <f t="shared" si="1"/>
        <v>45995</v>
      </c>
      <c r="B17" t="str">
        <f t="shared" si="2"/>
        <v>Rep DUI</v>
      </c>
      <c r="C17" s="23">
        <f t="shared" si="3"/>
        <v>45903</v>
      </c>
      <c r="E17" s="24" t="str">
        <f>IF(NOT(ISBLANK(G3copy!B17)),G3copy!B17,"")</f>
        <v>2025-12-04T00:00:00.0000000</v>
      </c>
      <c r="F17" s="24" t="str">
        <f>IF(E17&lt;&gt;"",G3copy!A17,"")</f>
        <v>G3 Rep DUI</v>
      </c>
      <c r="G17" s="24" t="str">
        <f>IF(E17&lt;&gt;"",G3copy!F17,"")</f>
        <v>2025-09-03T15:03:12.1602791+00:00</v>
      </c>
    </row>
    <row r="18" spans="1:7" ht="15.75" customHeight="1">
      <c r="A18" s="23">
        <f t="shared" si="1"/>
        <v>46002</v>
      </c>
      <c r="B18" t="str">
        <f t="shared" si="2"/>
        <v>Rep WIS</v>
      </c>
      <c r="C18" s="23">
        <f t="shared" si="3"/>
        <v>45903</v>
      </c>
      <c r="E18" s="24" t="str">
        <f>IF(NOT(ISBLANK(G3copy!B18)),G3copy!B18,"")</f>
        <v>2025-12-11T00:00:00.0000000</v>
      </c>
      <c r="F18" s="24" t="str">
        <f>IF(E18&lt;&gt;"",G3copy!A18,"")</f>
        <v>G3 Rep WIS</v>
      </c>
      <c r="G18" s="24" t="str">
        <f>IF(E18&lt;&gt;"",G3copy!F18,"")</f>
        <v>2025-09-03T15:03:11.9646596+00:00</v>
      </c>
    </row>
    <row r="19" spans="1:7" ht="15.75" customHeight="1">
      <c r="A19" s="23">
        <f t="shared" si="1"/>
        <v>46008</v>
      </c>
      <c r="B19" t="str">
        <f t="shared" si="2"/>
        <v>Toetsdag: Rep GES/NA</v>
      </c>
      <c r="C19" s="23">
        <f t="shared" si="3"/>
        <v>45994</v>
      </c>
      <c r="E19" s="24" t="str">
        <f>IF(NOT(ISBLANK(G3copy!B19)),G3copy!B19,"")</f>
        <v>2025-12-17T00:00:00.0000000</v>
      </c>
      <c r="F19" s="24" t="str">
        <f>IF(E19&lt;&gt;"",G3copy!A19,"")</f>
        <v>G3 Toetsdag: Rep GES/NA</v>
      </c>
      <c r="G19" s="24" t="str">
        <f>IF(E19&lt;&gt;"",G3copy!F19,"")</f>
        <v>2025-12-03T13:54:43.7406174+00:00</v>
      </c>
    </row>
    <row r="20" spans="1:7" ht="15.75" customHeight="1">
      <c r="A20" s="23">
        <f t="shared" si="1"/>
        <v>46009</v>
      </c>
      <c r="B20" t="str">
        <f t="shared" si="2"/>
        <v>Toetsdag: Rep LA/SK</v>
      </c>
      <c r="C20" s="23">
        <f t="shared" si="3"/>
        <v>45994</v>
      </c>
      <c r="E20" s="24" t="str">
        <f>IF(NOT(ISBLANK(G3copy!B20)),G3copy!B20,"")</f>
        <v>2025-12-18T00:00:00.0000000</v>
      </c>
      <c r="F20" s="24" t="str">
        <f>IF(E20&lt;&gt;"",G3copy!A20,"")</f>
        <v>G3 Toetsdag: Rep LA/SK</v>
      </c>
      <c r="G20" s="24" t="str">
        <f>IF(E20&lt;&gt;"",G3copy!F20,"")</f>
        <v>2025-12-03T13:54:43.0118292+00:00</v>
      </c>
    </row>
    <row r="21" spans="1:7" ht="15.75" customHeight="1">
      <c r="A21" s="23">
        <f t="shared" si="1"/>
        <v>46037</v>
      </c>
      <c r="B21" t="str">
        <f t="shared" si="2"/>
        <v>Rep AK</v>
      </c>
      <c r="C21" s="23">
        <f t="shared" si="3"/>
        <v>46002</v>
      </c>
      <c r="E21" s="24" t="str">
        <f>IF(NOT(ISBLANK(G3copy!B21)),G3copy!B21,"")</f>
        <v>2026-01-15T00:00:00.0000000</v>
      </c>
      <c r="F21" s="24" t="str">
        <f>IF(E21&lt;&gt;"",G3copy!A21,"")</f>
        <v>G3 Rep AK</v>
      </c>
      <c r="G21" s="24" t="str">
        <f>IF(E21&lt;&gt;"",G3copy!F21,"")</f>
        <v>2025-12-11T11:23:52.5405351+00:00</v>
      </c>
    </row>
    <row r="22" spans="1:7" ht="15.75" customHeight="1">
      <c r="A22" s="23">
        <f t="shared" si="1"/>
        <v>46048</v>
      </c>
      <c r="B22" t="str">
        <f t="shared" si="2"/>
        <v>Rep GO</v>
      </c>
      <c r="C22" s="23">
        <f t="shared" si="3"/>
        <v>46034</v>
      </c>
      <c r="E22" s="24" t="str">
        <f>IF(NOT(ISBLANK(G3copy!B22)),G3copy!B22,"")</f>
        <v>2026-01-26T00:00:00.0000000</v>
      </c>
      <c r="F22" s="24" t="str">
        <f>IF(E22&lt;&gt;"",G3copy!A22,"")</f>
        <v>G3 Rep GO</v>
      </c>
      <c r="G22" s="24" t="str">
        <f>IF(E22&lt;&gt;"",G3copy!F22,"")</f>
        <v>2026-01-12T09:27:21.0339495+00:00</v>
      </c>
    </row>
    <row r="23" spans="1:7" ht="15.75" customHeight="1">
      <c r="A23" s="23">
        <f t="shared" si="1"/>
        <v>46051</v>
      </c>
      <c r="B23" t="str">
        <f t="shared" si="2"/>
        <v>Rep FA</v>
      </c>
      <c r="C23" s="23">
        <f t="shared" si="3"/>
        <v>45903</v>
      </c>
      <c r="E23" s="24" t="str">
        <f>IF(NOT(ISBLANK(G3copy!B23)),G3copy!B23,"")</f>
        <v>2026-01-29T00:00:00.0000000</v>
      </c>
      <c r="F23" s="24" t="str">
        <f>IF(E23&lt;&gt;"",G3copy!A23,"")</f>
        <v>G3 Rep FA</v>
      </c>
      <c r="G23" s="24" t="str">
        <f>IF(E23&lt;&gt;"",G3copy!F23,"")</f>
        <v>2025-09-03T15:03:11.4605944+00:00</v>
      </c>
    </row>
    <row r="24" spans="1:7" ht="15.75" customHeight="1">
      <c r="A24" s="23">
        <f t="shared" si="1"/>
        <v>46058</v>
      </c>
      <c r="B24" t="str">
        <f t="shared" si="2"/>
        <v>Rep EN</v>
      </c>
      <c r="C24" s="23">
        <f t="shared" si="3"/>
        <v>45903</v>
      </c>
      <c r="E24" s="24" t="str">
        <f>IF(NOT(ISBLANK(G3copy!B24)),G3copy!B24,"")</f>
        <v>2026-02-05T00:00:00.0000000</v>
      </c>
      <c r="F24" s="24" t="str">
        <f>IF(E24&lt;&gt;"",G3copy!A24,"")</f>
        <v>G3 Rep EN</v>
      </c>
      <c r="G24" s="24" t="str">
        <f>IF(E24&lt;&gt;"",G3copy!F24,"")</f>
        <v>2025-09-03T15:03:15.4118584+00:00</v>
      </c>
    </row>
    <row r="25" spans="1:7" ht="15.75" customHeight="1">
      <c r="A25" s="23">
        <f t="shared" si="1"/>
        <v>46058</v>
      </c>
      <c r="B25" t="str">
        <f t="shared" si="2"/>
        <v>taaldorp Duits</v>
      </c>
      <c r="C25" s="23">
        <f t="shared" si="3"/>
        <v>45986</v>
      </c>
      <c r="E25" s="24" t="str">
        <f>IF(NOT(ISBLANK(G3copy!B25)),G3copy!B25,"")</f>
        <v>2026-02-05T00:00:00.0000000</v>
      </c>
      <c r="F25" s="24" t="str">
        <f>IF(E25&lt;&gt;"",G3copy!A25,"")</f>
        <v>G3 taaldorp Duits</v>
      </c>
      <c r="G25" s="24" t="str">
        <f>IF(E25&lt;&gt;"",G3copy!F25,"")</f>
        <v>2025-11-25T15:24:26.9449252+00:00</v>
      </c>
    </row>
    <row r="26" spans="1:7" ht="15.75" customHeight="1">
      <c r="A26" s="23">
        <f t="shared" si="1"/>
        <v>46063</v>
      </c>
      <c r="B26" t="str">
        <f t="shared" si="2"/>
        <v>start voorlopige profielkeuze</v>
      </c>
      <c r="C26" s="23">
        <f t="shared" si="3"/>
        <v>45912</v>
      </c>
      <c r="E26" s="24" t="str">
        <f>IF(NOT(ISBLANK(G3copy!B26)),G3copy!B26,"")</f>
        <v>2026-02-10T00:00:00.0000000</v>
      </c>
      <c r="F26" s="24" t="str">
        <f>IF(E26&lt;&gt;"",G3copy!A26,"")</f>
        <v>G3 start voorlopige profielkeuze</v>
      </c>
      <c r="G26" s="24" t="str">
        <f>IF(E26&lt;&gt;"",G3copy!F26,"")</f>
        <v>2025-09-12T12:22:11.5474435+00:00</v>
      </c>
    </row>
    <row r="27" spans="1:7" ht="15.75" customHeight="1">
      <c r="A27" s="23">
        <f t="shared" si="1"/>
        <v>46065</v>
      </c>
      <c r="B27" t="str">
        <f t="shared" si="2"/>
        <v>Rep NA</v>
      </c>
      <c r="C27" s="23">
        <f t="shared" si="3"/>
        <v>45903</v>
      </c>
      <c r="E27" s="24" t="str">
        <f>IF(NOT(ISBLANK(G3copy!B27)),G3copy!B27,"")</f>
        <v>2026-02-12T00:00:00.0000000</v>
      </c>
      <c r="F27" s="24" t="str">
        <f>IF(E27&lt;&gt;"",G3copy!A27,"")</f>
        <v>G3 Rep NA</v>
      </c>
      <c r="G27" s="24" t="str">
        <f>IF(E27&lt;&gt;"",G3copy!F27,"")</f>
        <v>2025-09-03T15:03:14.7357277+00:00</v>
      </c>
    </row>
    <row r="28" spans="1:7" ht="15.75" customHeight="1">
      <c r="A28" s="23">
        <f t="shared" si="1"/>
        <v>46079</v>
      </c>
      <c r="B28" t="str">
        <f t="shared" si="2"/>
        <v>Rep WIS</v>
      </c>
      <c r="C28" s="23">
        <f t="shared" si="3"/>
        <v>45896</v>
      </c>
      <c r="E28" s="24" t="str">
        <f>IF(NOT(ISBLANK(G3copy!B28)),G3copy!B28,"")</f>
        <v>2026-02-26T00:00:00.0000000</v>
      </c>
      <c r="F28" s="24" t="str">
        <f>IF(E28&lt;&gt;"",G3copy!A28,"")</f>
        <v>G3 Rep WIS</v>
      </c>
      <c r="G28" s="24" t="str">
        <f>IF(E28&lt;&gt;"",G3copy!F28,"")</f>
        <v>2025-08-27T18:06:28.9846907+00:00</v>
      </c>
    </row>
    <row r="29" spans="1:7" ht="15.75" customHeight="1">
      <c r="A29" s="23">
        <f t="shared" si="1"/>
        <v>46083</v>
      </c>
      <c r="B29" t="str">
        <f t="shared" si="2"/>
        <v>Deadline Voorlopige Profielkeuze</v>
      </c>
      <c r="C29" s="23">
        <f t="shared" si="3"/>
        <v>45915</v>
      </c>
      <c r="E29" s="24" t="str">
        <f>IF(NOT(ISBLANK(G3copy!B29)),G3copy!B29,"")</f>
        <v>2026-03-02T00:00:00.0000000</v>
      </c>
      <c r="F29" s="24" t="str">
        <f>IF(E29&lt;&gt;"",G3copy!A29,"")</f>
        <v>G3 Deadline Voorlopige Profielkeuze</v>
      </c>
      <c r="G29" s="24" t="str">
        <f>IF(E29&lt;&gt;"",G3copy!F29,"")</f>
        <v>2025-09-15T12:26:53.5000141+00:00</v>
      </c>
    </row>
    <row r="30" spans="1:7" ht="15.75" customHeight="1">
      <c r="A30" s="23">
        <f t="shared" si="1"/>
        <v>46086</v>
      </c>
      <c r="B30" t="str">
        <f t="shared" si="2"/>
        <v>Rep SK</v>
      </c>
      <c r="C30" s="23">
        <f t="shared" si="3"/>
        <v>45903</v>
      </c>
      <c r="E30" s="24" t="str">
        <f>IF(NOT(ISBLANK(G3copy!B30)),G3copy!B30,"")</f>
        <v>2026-03-05T00:00:00.0000000</v>
      </c>
      <c r="F30" s="24" t="str">
        <f>IF(E30&lt;&gt;"",G3copy!A30,"")</f>
        <v>G3 Rep SK</v>
      </c>
      <c r="G30" s="24" t="str">
        <f>IF(E30&lt;&gt;"",G3copy!F30,"")</f>
        <v>2025-09-03T15:03:10.8742016+00:00</v>
      </c>
    </row>
    <row r="31" spans="1:7" ht="15.75" customHeight="1">
      <c r="A31" s="23">
        <f t="shared" si="1"/>
        <v>46091</v>
      </c>
      <c r="B31" t="str">
        <f t="shared" si="2"/>
        <v>oek Hoosh</v>
      </c>
      <c r="C31" s="23">
        <f t="shared" si="3"/>
        <v>46066</v>
      </c>
      <c r="E31" s="24" t="str">
        <f>IF(NOT(ISBLANK(G3copy!B31)),G3copy!B31,"")</f>
        <v>2026-03-10T00:00:00.0000000</v>
      </c>
      <c r="F31" s="24" t="str">
        <f>IF(E31&lt;&gt;"",G3copy!A31,"")</f>
        <v>Bezoek Hoosh</v>
      </c>
      <c r="G31" s="24" t="str">
        <f>IF(E31&lt;&gt;"",G3copy!F31,"")</f>
        <v>2026-02-13T11:34:15.5026473+00:00</v>
      </c>
    </row>
    <row r="32" spans="1:7" ht="15.75" customHeight="1">
      <c r="A32" s="23">
        <f t="shared" si="1"/>
        <v>46093</v>
      </c>
      <c r="B32" t="str">
        <f t="shared" si="2"/>
        <v>Rep GES</v>
      </c>
      <c r="C32" s="23">
        <f t="shared" si="3"/>
        <v>45903</v>
      </c>
      <c r="E32" s="24" t="str">
        <f>IF(NOT(ISBLANK(G3copy!B32)),G3copy!B32,"")</f>
        <v>2026-03-12T00:00:00.0000000</v>
      </c>
      <c r="F32" s="24" t="str">
        <f>IF(E32&lt;&gt;"",G3copy!A32,"")</f>
        <v>G3 Rep GES</v>
      </c>
      <c r="G32" s="24" t="str">
        <f>IF(E32&lt;&gt;"",G3copy!F32,"")</f>
        <v>2025-09-03T15:03:10.6366149+00:00</v>
      </c>
    </row>
    <row r="33" spans="1:7" ht="15.75" customHeight="1">
      <c r="A33" s="23">
        <f t="shared" si="1"/>
        <v>46098</v>
      </c>
      <c r="B33" t="str">
        <f t="shared" si="2"/>
        <v>vakadviezen staan in Magister</v>
      </c>
      <c r="C33" s="23">
        <f t="shared" si="3"/>
        <v>45896</v>
      </c>
      <c r="E33" s="24" t="str">
        <f>IF(NOT(ISBLANK(G3copy!B33)),G3copy!B33,"")</f>
        <v>2026-03-17T00:00:00.0000000</v>
      </c>
      <c r="F33" s="24" t="str">
        <f>IF(E33&lt;&gt;"",G3copy!A33,"")</f>
        <v>G3 vakadviezen staan in Magister</v>
      </c>
      <c r="G33" s="24" t="str">
        <f>IF(E33&lt;&gt;"",G3copy!F33,"")</f>
        <v>2025-08-27T18:06:29.1471388+00:00</v>
      </c>
    </row>
    <row r="34" spans="1:7" ht="15.75" customHeight="1">
      <c r="A34" s="23">
        <f t="shared" si="1"/>
        <v>46100</v>
      </c>
      <c r="B34" t="str">
        <f t="shared" si="2"/>
        <v>Rep EN</v>
      </c>
      <c r="C34" s="23">
        <f t="shared" si="3"/>
        <v>45896</v>
      </c>
      <c r="E34" s="24" t="str">
        <f>IF(NOT(ISBLANK(G3copy!B34)),G3copy!B34,"")</f>
        <v>2026-03-19T00:00:00.0000000</v>
      </c>
      <c r="F34" s="24" t="str">
        <f>IF(E34&lt;&gt;"",G3copy!A34,"")</f>
        <v>G3 Rep EN</v>
      </c>
      <c r="G34" s="24" t="str">
        <f>IF(E34&lt;&gt;"",G3copy!F34,"")</f>
        <v>2025-08-27T18:06:28.9604944+00:00</v>
      </c>
    </row>
    <row r="35" spans="1:7" ht="15.75" customHeight="1">
      <c r="A35" s="23">
        <f t="shared" si="1"/>
        <v>46104</v>
      </c>
      <c r="B35" t="str">
        <f t="shared" si="2"/>
        <v>Start Definitieve Profielkeuze</v>
      </c>
      <c r="C35" s="23">
        <f t="shared" si="3"/>
        <v>45915</v>
      </c>
      <c r="E35" s="24" t="str">
        <f>IF(NOT(ISBLANK(G3copy!B35)),G3copy!B35,"")</f>
        <v>2026-03-23T00:00:00.0000000</v>
      </c>
      <c r="F35" s="24" t="str">
        <f>IF(E35&lt;&gt;"",G3copy!A35,"")</f>
        <v>G3 Start Definitieve Profielkeuze</v>
      </c>
      <c r="G35" s="24" t="str">
        <f>IF(E35&lt;&gt;"",G3copy!F35,"")</f>
        <v>2025-09-15T12:26:42.5375519+00:00</v>
      </c>
    </row>
    <row r="36" spans="1:7" ht="15.75" customHeight="1">
      <c r="A36" s="23">
        <f t="shared" si="1"/>
        <v>46107</v>
      </c>
      <c r="B36" t="str">
        <f t="shared" si="2"/>
        <v>Rep GR</v>
      </c>
      <c r="C36" s="23">
        <f t="shared" si="3"/>
        <v>45903</v>
      </c>
      <c r="E36" s="24" t="str">
        <f>IF(NOT(ISBLANK(G3copy!B36)),G3copy!B36,"")</f>
        <v>2026-03-26T00:00:00.0000000</v>
      </c>
      <c r="F36" s="24" t="str">
        <f>IF(E36&lt;&gt;"",G3copy!A36,"")</f>
        <v>G3 Rep GR</v>
      </c>
      <c r="G36" s="24" t="str">
        <f>IF(E36&lt;&gt;"",G3copy!F36,"")</f>
        <v>2025-09-03T15:03:10.3998466+00:00</v>
      </c>
    </row>
    <row r="37" spans="1:7" ht="15.75" customHeight="1">
      <c r="A37" s="23">
        <f t="shared" si="1"/>
        <v>46114</v>
      </c>
      <c r="B37" t="str">
        <f t="shared" si="2"/>
        <v>Rep LA</v>
      </c>
      <c r="C37" s="23">
        <f t="shared" si="3"/>
        <v>45896</v>
      </c>
      <c r="E37" s="24" t="str">
        <f>IF(NOT(ISBLANK(G3copy!B37)),G3copy!B37,"")</f>
        <v>2026-04-02T00:00:00.0000000</v>
      </c>
      <c r="F37" s="24" t="str">
        <f>IF(E37&lt;&gt;"",G3copy!A37,"")</f>
        <v>G3 Rep LA</v>
      </c>
      <c r="G37" s="24" t="str">
        <f>IF(E37&lt;&gt;"",G3copy!F37,"")</f>
        <v>2025-08-27T18:06:27.4427624+00:00</v>
      </c>
    </row>
    <row r="38" spans="1:7" ht="15.75" customHeight="1">
      <c r="A38" s="23">
        <f t="shared" si="1"/>
        <v>46119</v>
      </c>
      <c r="B38" t="str">
        <f t="shared" si="2"/>
        <v>definitieve profielkeuze</v>
      </c>
      <c r="C38" s="23">
        <f t="shared" si="3"/>
        <v>45896</v>
      </c>
      <c r="E38" s="24" t="str">
        <f>IF(NOT(ISBLANK(G3copy!B38)),G3copy!B38,"")</f>
        <v>2026-04-07T00:00:00.0000000</v>
      </c>
      <c r="F38" s="24" t="str">
        <f>IF(E38&lt;&gt;"",G3copy!A38,"")</f>
        <v>G3 definitieve profielkeuze</v>
      </c>
      <c r="G38" s="24" t="str">
        <f>IF(E38&lt;&gt;"",G3copy!F38,"")</f>
        <v>2025-08-27T18:06:28.1383786+00:00</v>
      </c>
    </row>
    <row r="39" spans="1:7" ht="15.75" customHeight="1">
      <c r="A39" s="23">
        <f t="shared" si="1"/>
        <v>46121</v>
      </c>
      <c r="B39" t="str">
        <f t="shared" si="2"/>
        <v>Rep FA</v>
      </c>
      <c r="C39" s="23">
        <f t="shared" si="3"/>
        <v>45903</v>
      </c>
      <c r="E39" s="24" t="str">
        <f>IF(NOT(ISBLANK(G3copy!B39)),G3copy!B39,"")</f>
        <v>2026-04-09T00:00:00.0000000</v>
      </c>
      <c r="F39" s="24" t="str">
        <f>IF(E39&lt;&gt;"",G3copy!A39,"")</f>
        <v>G3 Rep FA</v>
      </c>
      <c r="G39" s="24" t="str">
        <f>IF(E39&lt;&gt;"",G3copy!F39,"")</f>
        <v>2025-09-03T15:03:10.1076156+00:00</v>
      </c>
    </row>
    <row r="40" spans="1:7" ht="15.75" customHeight="1">
      <c r="A40" s="23">
        <f t="shared" si="1"/>
        <v>46125</v>
      </c>
      <c r="B40" t="str">
        <f t="shared" si="2"/>
        <v>gedag</v>
      </c>
      <c r="C40" s="23">
        <f t="shared" si="3"/>
        <v>46066</v>
      </c>
      <c r="E40" s="24" t="str">
        <f>IF(NOT(ISBLANK(G3copy!B40)),G3copy!B40,"")</f>
        <v>2026-04-13T00:00:00.0000000</v>
      </c>
      <c r="F40" s="24" t="str">
        <f>IF(E40&lt;&gt;"",G3copy!A40,"")</f>
        <v>Stagedag</v>
      </c>
      <c r="G40" s="24" t="str">
        <f>IF(E40&lt;&gt;"",G3copy!F40,"")</f>
        <v>2026-02-13T11:34:15.1948218+00:00</v>
      </c>
    </row>
    <row r="41" spans="1:7" ht="15.75" customHeight="1">
      <c r="A41" s="23">
        <f t="shared" si="1"/>
        <v>46128</v>
      </c>
      <c r="B41" t="str">
        <f t="shared" si="2"/>
        <v>Rep DU</v>
      </c>
      <c r="C41" s="23">
        <f t="shared" si="3"/>
        <v>45903</v>
      </c>
      <c r="E41" s="24" t="str">
        <f>IF(NOT(ISBLANK(G3copy!B41)),G3copy!B41,"")</f>
        <v>2026-04-16T00:00:00.0000000</v>
      </c>
      <c r="F41" s="24" t="str">
        <f>IF(E41&lt;&gt;"",G3copy!A41,"")</f>
        <v>G3 Rep DU</v>
      </c>
      <c r="G41" s="24" t="str">
        <f>IF(E41&lt;&gt;"",G3copy!F41,"")</f>
        <v>2025-09-03T15:03:09.951369+00:00</v>
      </c>
    </row>
    <row r="42" spans="1:7" ht="15.75" customHeight="1">
      <c r="A42" s="23">
        <f t="shared" si="1"/>
        <v>46149</v>
      </c>
      <c r="B42" t="str">
        <f t="shared" si="2"/>
        <v>Rep WIS</v>
      </c>
      <c r="C42" s="23">
        <f t="shared" si="3"/>
        <v>45903</v>
      </c>
      <c r="E42" s="24" t="str">
        <f>IF(NOT(ISBLANK(G3copy!B42)),G3copy!B42,"")</f>
        <v>2026-05-07T00:00:00.0000000</v>
      </c>
      <c r="F42" s="24" t="str">
        <f>IF(E42&lt;&gt;"",G3copy!A42,"")</f>
        <v>G3 Rep WIS</v>
      </c>
      <c r="G42" s="24" t="str">
        <f>IF(E42&lt;&gt;"",G3copy!F42,"")</f>
        <v>2025-09-03T15:03:09.8039876+00:00</v>
      </c>
    </row>
    <row r="43" spans="1:7" ht="15.75" customHeight="1">
      <c r="A43" s="23">
        <f t="shared" si="1"/>
        <v>46160</v>
      </c>
      <c r="B43" t="str">
        <f t="shared" si="2"/>
        <v>excursie Vught</v>
      </c>
      <c r="C43" s="23">
        <f t="shared" si="3"/>
        <v>45915</v>
      </c>
      <c r="E43" s="24" t="str">
        <f>IF(NOT(ISBLANK(G3copy!B43)),G3copy!B43,"")</f>
        <v>2026-05-18T00:00:00.0000000</v>
      </c>
      <c r="F43" s="24" t="str">
        <f>IF(E43&lt;&gt;"",G3copy!A43,"")</f>
        <v>G3 excursie Vught</v>
      </c>
      <c r="G43" s="24" t="str">
        <f>IF(E43&lt;&gt;"",G3copy!F43,"")</f>
        <v>2025-09-15T12:26:33.5532817+00:00</v>
      </c>
    </row>
    <row r="44" spans="1:7" ht="15.75" customHeight="1">
      <c r="A44" s="23">
        <f t="shared" si="1"/>
        <v>46163</v>
      </c>
      <c r="B44" t="str">
        <f t="shared" si="2"/>
        <v>Rep SK</v>
      </c>
      <c r="C44" s="23">
        <f t="shared" si="3"/>
        <v>45903</v>
      </c>
      <c r="E44" s="24" t="str">
        <f>IF(NOT(ISBLANK(G3copy!B44)),G3copy!B44,"")</f>
        <v>2026-05-21T00:00:00.0000000</v>
      </c>
      <c r="F44" s="24" t="str">
        <f>IF(E44&lt;&gt;"",G3copy!A44,"")</f>
        <v>G3 Rep SK</v>
      </c>
      <c r="G44" s="24" t="str">
        <f>IF(E44&lt;&gt;"",G3copy!F44,"")</f>
        <v>2025-09-03T15:03:09.6246223+00:00</v>
      </c>
    </row>
    <row r="45" spans="1:7" ht="15.75" customHeight="1">
      <c r="A45" s="23">
        <f t="shared" si="1"/>
        <v>46170</v>
      </c>
      <c r="B45" t="str">
        <f t="shared" si="2"/>
        <v>Rep AK</v>
      </c>
      <c r="C45" s="23">
        <f t="shared" si="3"/>
        <v>45903</v>
      </c>
      <c r="E45" s="24" t="str">
        <f>IF(NOT(ISBLANK(G3copy!B45)),G3copy!B45,"")</f>
        <v>2026-05-28T00:00:00.0000000</v>
      </c>
      <c r="F45" s="24" t="str">
        <f>IF(E45&lt;&gt;"",G3copy!A45,"")</f>
        <v>G3 Rep AK</v>
      </c>
      <c r="G45" s="24" t="str">
        <f>IF(E45&lt;&gt;"",G3copy!F45,"")</f>
        <v>2025-09-03T15:03:09.4591322+00:00</v>
      </c>
    </row>
    <row r="46" spans="1:7" ht="15.75" customHeight="1">
      <c r="A46" s="23">
        <f t="shared" si="1"/>
        <v>46174</v>
      </c>
      <c r="B46" t="str">
        <f t="shared" si="2"/>
        <v>bezoek leerlingen uit Munster</v>
      </c>
      <c r="C46" s="23">
        <f t="shared" si="3"/>
        <v>45986</v>
      </c>
      <c r="E46" s="24" t="str">
        <f>IF(NOT(ISBLANK(G3copy!B46)),G3copy!B46,"")</f>
        <v>2026-06-01T00:00:00.0000000</v>
      </c>
      <c r="F46" s="24" t="str">
        <f>IF(E46&lt;&gt;"",G3copy!A46,"")</f>
        <v>G3 bezoek leerlingen uit Munster</v>
      </c>
      <c r="G46" s="24" t="str">
        <f>IF(E46&lt;&gt;"",G3copy!F46,"")</f>
        <v>2025-11-25T15:24:26.6686953+00:00</v>
      </c>
    </row>
    <row r="47" spans="1:7" ht="15.75" customHeight="1">
      <c r="A47" s="23">
        <f t="shared" si="1"/>
        <v>46175</v>
      </c>
      <c r="B47" t="str">
        <f t="shared" si="2"/>
        <v>bezoek leerlingen uit Munster</v>
      </c>
      <c r="C47" s="23">
        <f t="shared" si="3"/>
        <v>45986</v>
      </c>
      <c r="E47" s="24" t="str">
        <f>IF(NOT(ISBLANK(G3copy!B47)),G3copy!B47,"")</f>
        <v>2026-06-02T00:00:00.0000000</v>
      </c>
      <c r="F47" s="24" t="str">
        <f>IF(E47&lt;&gt;"",G3copy!A47,"")</f>
        <v>G3 bezoek leerlingen uit Munster</v>
      </c>
      <c r="G47" s="24" t="str">
        <f>IF(E47&lt;&gt;"",G3copy!F47,"")</f>
        <v>2025-11-25T15:24:11.9053815+00:00</v>
      </c>
    </row>
    <row r="48" spans="1:7" ht="15.75" customHeight="1">
      <c r="A48" s="23">
        <f t="shared" si="1"/>
        <v>46176</v>
      </c>
      <c r="B48" t="str">
        <f t="shared" si="2"/>
        <v>bezoek leerlingen uit Munster</v>
      </c>
      <c r="C48" s="23">
        <f t="shared" si="3"/>
        <v>45986</v>
      </c>
      <c r="E48" s="24" t="str">
        <f>IF(NOT(ISBLANK(G3copy!B48)),G3copy!B48,"")</f>
        <v>2026-06-03T00:00:00.0000000</v>
      </c>
      <c r="F48" s="24" t="str">
        <f>IF(E48&lt;&gt;"",G3copy!A48,"")</f>
        <v>G3 bezoek leerlingen uit Munster</v>
      </c>
      <c r="G48" s="24" t="str">
        <f>IF(E48&lt;&gt;"",G3copy!F48,"")</f>
        <v>2025-11-25T15:24:11.6673973+00:00</v>
      </c>
    </row>
    <row r="49" spans="1:7" ht="15.75" customHeight="1">
      <c r="A49" s="23">
        <f t="shared" si="1"/>
        <v>46177</v>
      </c>
      <c r="B49" t="str">
        <f t="shared" si="2"/>
        <v>Rep GS</v>
      </c>
      <c r="C49" s="23">
        <f t="shared" si="3"/>
        <v>45903</v>
      </c>
      <c r="E49" s="24" t="str">
        <f>IF(NOT(ISBLANK(G3copy!B49)),G3copy!B49,"")</f>
        <v>2026-06-04T00:00:00.0000000</v>
      </c>
      <c r="F49" s="24" t="str">
        <f>IF(E49&lt;&gt;"",G3copy!A49,"")</f>
        <v>G3 Rep GS</v>
      </c>
      <c r="G49" s="24" t="str">
        <f>IF(E49&lt;&gt;"",G3copy!F49,"")</f>
        <v>2025-09-03T15:03:09.2477492+00:00</v>
      </c>
    </row>
    <row r="50" spans="1:7" ht="15.75" customHeight="1">
      <c r="A50" s="23">
        <f t="shared" si="1"/>
        <v>46198</v>
      </c>
      <c r="B50" t="str">
        <f t="shared" si="2"/>
        <v>Rep SK</v>
      </c>
      <c r="C50" s="23">
        <f t="shared" si="3"/>
        <v>45903</v>
      </c>
      <c r="E50" s="24" t="str">
        <f>IF(NOT(ISBLANK(G3copy!B50)),G3copy!B50,"")</f>
        <v>2026-06-25T00:00:00.0000000</v>
      </c>
      <c r="F50" s="24" t="str">
        <f>IF(E50&lt;&gt;"",G3copy!A50,"")</f>
        <v>G3 Rep SK</v>
      </c>
      <c r="G50" s="24" t="str">
        <f>IF(E50&lt;&gt;"",G3copy!F50,"")</f>
        <v>2025-09-03T15:03:09.0617493+00:00</v>
      </c>
    </row>
    <row r="51" spans="1:7" ht="15.75" customHeight="1">
      <c r="A51" s="23">
        <f t="shared" si="1"/>
        <v>46202</v>
      </c>
      <c r="B51" t="str">
        <f t="shared" si="2"/>
        <v>Rep LA</v>
      </c>
      <c r="C51" s="23">
        <f t="shared" si="3"/>
        <v>45896</v>
      </c>
      <c r="E51" s="24" t="str">
        <f>IF(NOT(ISBLANK(G3copy!B51)),G3copy!B51,"")</f>
        <v>2026-06-29T00:00:00.0000000</v>
      </c>
      <c r="F51" s="24" t="str">
        <f>IF(E51&lt;&gt;"",G3copy!A51,"")</f>
        <v>G3 Rep LA</v>
      </c>
      <c r="G51" s="24" t="str">
        <f>IF(E51&lt;&gt;"",G3copy!F51,"")</f>
        <v>2025-08-27T18:06:26.1110185+00:00</v>
      </c>
    </row>
    <row r="52" spans="1:7" ht="15.75" customHeight="1">
      <c r="A52" s="23">
        <f t="shared" si="1"/>
        <v>46203</v>
      </c>
      <c r="B52" t="str">
        <f t="shared" si="2"/>
        <v>Rep WIS/EN</v>
      </c>
      <c r="C52" s="23">
        <f t="shared" si="3"/>
        <v>45896</v>
      </c>
      <c r="E52" s="24" t="str">
        <f>IF(NOT(ISBLANK(G3copy!B52)),G3copy!B52,"")</f>
        <v>2026-06-30T00:00:00.0000000</v>
      </c>
      <c r="F52" s="24" t="str">
        <f>IF(E52&lt;&gt;"",G3copy!A52,"")</f>
        <v>G3 Rep WIS/EN</v>
      </c>
      <c r="G52" s="24" t="str">
        <f>IF(E52&lt;&gt;"",G3copy!F52,"")</f>
        <v>2025-08-27T18:06:26.5455315+00:00</v>
      </c>
    </row>
    <row r="53" spans="1:7" ht="15.75" customHeight="1">
      <c r="A53" s="23">
        <f t="shared" si="1"/>
        <v>46204</v>
      </c>
      <c r="B53" t="str">
        <f t="shared" si="2"/>
        <v>Rep NA/FA</v>
      </c>
      <c r="C53" s="23">
        <f t="shared" si="3"/>
        <v>45896</v>
      </c>
      <c r="E53" s="24" t="str">
        <f>IF(NOT(ISBLANK(G3copy!B53)),G3copy!B53,"")</f>
        <v>2026-07-01T00:00:00.0000000</v>
      </c>
      <c r="F53" s="24" t="str">
        <f>IF(E53&lt;&gt;"",G3copy!A53,"")</f>
        <v>G3 Rep NA/FA</v>
      </c>
      <c r="G53" s="24" t="str">
        <f>IF(E53&lt;&gt;"",G3copy!F53,"")</f>
        <v>2025-08-27T18:06:25.5373987+00:00</v>
      </c>
    </row>
    <row r="54" spans="1:7" ht="15.75" customHeight="1">
      <c r="A54" s="23">
        <f t="shared" si="1"/>
        <v>46205</v>
      </c>
      <c r="B54" t="str">
        <f t="shared" si="2"/>
        <v>Rep GR</v>
      </c>
      <c r="C54" s="23">
        <f t="shared" si="3"/>
        <v>45896</v>
      </c>
      <c r="E54" s="24" t="str">
        <f>IF(NOT(ISBLANK(G3copy!B54)),G3copy!B54,"")</f>
        <v>2026-07-02T00:00:00.0000000</v>
      </c>
      <c r="F54" s="24" t="str">
        <f>IF(E54&lt;&gt;"",G3copy!A54,"")</f>
        <v>G3 Rep GR</v>
      </c>
      <c r="G54" s="24" t="str">
        <f>IF(E54&lt;&gt;"",G3copy!F54,"")</f>
        <v>2025-08-27T18:06:25.1957371+00:00</v>
      </c>
    </row>
    <row r="55" spans="1:7" ht="15.75" customHeight="1">
      <c r="A55" s="23">
        <f t="shared" si="1"/>
        <v>46206</v>
      </c>
      <c r="B55" t="str">
        <f t="shared" si="2"/>
        <v>Rep DU</v>
      </c>
      <c r="C55" s="23">
        <f t="shared" si="3"/>
        <v>45896</v>
      </c>
      <c r="E55" s="24" t="str">
        <f>IF(NOT(ISBLANK(G3copy!B55)),G3copy!B55,"")</f>
        <v>2026-07-03T00:00:00.0000000</v>
      </c>
      <c r="F55" s="24" t="str">
        <f>IF(E55&lt;&gt;"",G3copy!A55,"")</f>
        <v>G3 Rep DU</v>
      </c>
      <c r="G55" s="24" t="str">
        <f>IF(E55&lt;&gt;"",G3copy!F55,"")</f>
        <v>2025-08-27T18:06:25.1033394+00:00</v>
      </c>
    </row>
    <row r="56" spans="1:7" ht="15.75" customHeight="1">
      <c r="A56" s="23">
        <f t="shared" si="1"/>
        <v>46209</v>
      </c>
      <c r="B56" t="str">
        <f t="shared" si="2"/>
        <v>Ardennenkamp</v>
      </c>
      <c r="C56" s="23">
        <f t="shared" si="3"/>
        <v>46066</v>
      </c>
      <c r="E56" s="24" t="str">
        <f>IF(NOT(ISBLANK(G3copy!B56)),G3copy!B56,"")</f>
        <v>2026-07-06T00:00:00.0000000</v>
      </c>
      <c r="F56" s="24" t="str">
        <f>IF(E56&lt;&gt;"",G3copy!A56,"")</f>
        <v>G3 Ardennenkamp</v>
      </c>
      <c r="G56" s="24" t="str">
        <f>IF(E56&lt;&gt;"",G3copy!F56,"")</f>
        <v>2026-02-13T11:36:01.0219181+00:00</v>
      </c>
    </row>
    <row r="57" spans="1:7" ht="15.75" customHeight="1">
      <c r="A57" s="23">
        <f t="shared" si="1"/>
        <v>46210</v>
      </c>
      <c r="B57" t="str">
        <f t="shared" si="2"/>
        <v>Ardennenkamp</v>
      </c>
      <c r="C57" s="23">
        <f t="shared" si="3"/>
        <v>46066</v>
      </c>
      <c r="E57" s="24" t="str">
        <f>IF(NOT(ISBLANK(G3copy!B57)),G3copy!B57,"")</f>
        <v>2026-07-07T00:00:00.0000000</v>
      </c>
      <c r="F57" s="24" t="str">
        <f>IF(E57&lt;&gt;"",G3copy!A57,"")</f>
        <v>G3 Ardennenkamp</v>
      </c>
      <c r="G57" s="24" t="str">
        <f>IF(E57&lt;&gt;"",G3copy!F57,"")</f>
        <v>2026-02-13T11:36:00.7236614+00:00</v>
      </c>
    </row>
    <row r="58" spans="1:7" ht="15.75" customHeight="1">
      <c r="A58" s="23">
        <f t="shared" si="1"/>
        <v>46211</v>
      </c>
      <c r="B58" t="str">
        <f t="shared" si="2"/>
        <v>Ardennenkamp</v>
      </c>
      <c r="C58" s="23">
        <f t="shared" si="3"/>
        <v>46066</v>
      </c>
      <c r="E58" s="24" t="str">
        <f>IF(NOT(ISBLANK(G3copy!B58)),G3copy!B58,"")</f>
        <v>2026-07-08T00:00:00.0000000</v>
      </c>
      <c r="F58" s="24" t="str">
        <f>IF(E58&lt;&gt;"",G3copy!A58,"")</f>
        <v>G3 Ardennenkamp</v>
      </c>
      <c r="G58" s="24" t="str">
        <f>IF(E58&lt;&gt;"",G3copy!F58,"")</f>
        <v>2026-02-13T11:36:00.3981504+00:00</v>
      </c>
    </row>
    <row r="59" spans="1:7" ht="15.75" customHeight="1">
      <c r="A59" s="23">
        <f t="shared" si="1"/>
        <v>46212</v>
      </c>
      <c r="B59" t="str">
        <f t="shared" si="2"/>
        <v>cijfers inleveren</v>
      </c>
      <c r="C59" s="23">
        <f t="shared" si="3"/>
        <v>45896</v>
      </c>
      <c r="E59" s="24" t="str">
        <f>IF(NOT(ISBLANK(G3copy!B59)),G3copy!B59,"")</f>
        <v>2026-07-09T00:00:00.0000000</v>
      </c>
      <c r="F59" s="24" t="str">
        <f>IF(E59&lt;&gt;"",G3copy!A59,"")</f>
        <v>G3 cijfers inleveren</v>
      </c>
      <c r="G59" s="24" t="str">
        <f>IF(E59&lt;&gt;"",G3copy!F59,"")</f>
        <v>2025-08-27T18:06:25.5490014+00:00</v>
      </c>
    </row>
    <row r="60" spans="1:7" ht="15.75" customHeight="1">
      <c r="A60" s="23">
        <f t="shared" si="1"/>
        <v>46212</v>
      </c>
      <c r="B60" t="str">
        <f t="shared" si="2"/>
        <v>Ardennenkamp</v>
      </c>
      <c r="C60" s="23">
        <f t="shared" si="3"/>
        <v>46066</v>
      </c>
      <c r="E60" s="24" t="str">
        <f>IF(NOT(ISBLANK(G3copy!B60)),G3copy!B60,"")</f>
        <v>2026-07-09T00:00:00.0000000</v>
      </c>
      <c r="F60" s="24" t="str">
        <f>IF(E60&lt;&gt;"",G3copy!A60,"")</f>
        <v>G3 Ardennenkamp</v>
      </c>
      <c r="G60" s="24" t="str">
        <f>IF(E60&lt;&gt;"",G3copy!F60,"")</f>
        <v>2026-02-13T11:34:15.7996199+00:00</v>
      </c>
    </row>
    <row r="61" spans="1:7" ht="15.75" customHeight="1">
      <c r="A61" s="23">
        <f t="shared" si="1"/>
        <v>46213</v>
      </c>
      <c r="B61" t="str">
        <f t="shared" si="2"/>
        <v>Ardennenkamp</v>
      </c>
      <c r="C61" s="23">
        <f t="shared" si="3"/>
        <v>46066</v>
      </c>
      <c r="E61" s="24" t="str">
        <f>IF(NOT(ISBLANK(G3copy!B61)),G3copy!B61,"")</f>
        <v>2026-07-10T00:00:00.0000000</v>
      </c>
      <c r="F61" s="24" t="str">
        <f>IF(E61&lt;&gt;"",G3copy!A61,"")</f>
        <v>G3 Ardennenkamp</v>
      </c>
      <c r="G61" s="24" t="str">
        <f>IF(E61&lt;&gt;"",G3copy!F61,"")</f>
        <v>2026-02-13T11:36:12.2061995+00:00</v>
      </c>
    </row>
    <row r="62" spans="1:7" ht="15.75" customHeight="1">
      <c r="A62" s="23">
        <f t="shared" si="1"/>
        <v>46217</v>
      </c>
      <c r="B62" t="str">
        <f t="shared" si="2"/>
        <v>overgangsverg 10.00</v>
      </c>
      <c r="C62" s="23">
        <f t="shared" si="3"/>
        <v>45896</v>
      </c>
      <c r="E62" s="24" t="str">
        <f>IF(NOT(ISBLANK(G3copy!B62)),G3copy!B62,"")</f>
        <v>2026-07-14T00:00:00.0000000</v>
      </c>
      <c r="F62" s="24" t="str">
        <f>IF(E62&lt;&gt;"",G3copy!A62,"")</f>
        <v>G3 overgangsverg 10.00</v>
      </c>
      <c r="G62" s="24" t="str">
        <f>IF(E62&lt;&gt;"",G3copy!F62,"")</f>
        <v>2025-08-27T18:06:24.8224103+00:00</v>
      </c>
    </row>
    <row r="63" spans="1:7" ht="15.75" customHeight="1">
      <c r="A63" s="23" t="str">
        <f t="shared" si="1"/>
        <v/>
      </c>
      <c r="B63" t="str">
        <f t="shared" si="2"/>
        <v/>
      </c>
      <c r="C63" s="23" t="str">
        <f t="shared" si="3"/>
        <v/>
      </c>
      <c r="E63" s="24" t="str">
        <f>IF(NOT(ISBLANK(G3copy!B63)),G3copy!B63,"")</f>
        <v/>
      </c>
      <c r="F63" s="24" t="str">
        <f>IF(E63&lt;&gt;"",G3copy!A63,"")</f>
        <v/>
      </c>
      <c r="G63" s="24" t="str">
        <f>IF(E63&lt;&gt;"",G3copy!F63,"")</f>
        <v/>
      </c>
    </row>
    <row r="64" spans="1:7" ht="15.75" customHeight="1">
      <c r="A64" s="23" t="str">
        <f t="shared" si="1"/>
        <v/>
      </c>
      <c r="B64" t="str">
        <f t="shared" si="2"/>
        <v/>
      </c>
      <c r="C64" s="23" t="str">
        <f t="shared" si="3"/>
        <v/>
      </c>
      <c r="E64" s="24" t="str">
        <f>IF(NOT(ISBLANK(G3copy!B64)),G3copy!B64,"")</f>
        <v/>
      </c>
      <c r="F64" s="24" t="str">
        <f>IF(E64&lt;&gt;"",G3copy!A64,"")</f>
        <v/>
      </c>
      <c r="G64" s="24" t="str">
        <f>IF(E64&lt;&gt;"",G3copy!F64,"")</f>
        <v/>
      </c>
    </row>
    <row r="65" spans="1:7" ht="15.75" customHeight="1">
      <c r="A65" s="23" t="str">
        <f t="shared" si="1"/>
        <v/>
      </c>
      <c r="B65" t="str">
        <f t="shared" si="2"/>
        <v/>
      </c>
      <c r="C65" s="23" t="str">
        <f t="shared" si="3"/>
        <v/>
      </c>
      <c r="E65" s="24" t="str">
        <f>IF(NOT(ISBLANK(G3copy!B65)),G3copy!B65,"")</f>
        <v/>
      </c>
      <c r="F65" s="24" t="str">
        <f>IF(E65&lt;&gt;"",G3copy!A65,"")</f>
        <v/>
      </c>
      <c r="G65" s="24" t="str">
        <f>IF(E65&lt;&gt;"",G3copy!F65,"")</f>
        <v/>
      </c>
    </row>
    <row r="66" spans="1:7" ht="15.75" customHeight="1">
      <c r="A66" s="23" t="str">
        <f t="shared" si="1"/>
        <v/>
      </c>
      <c r="B66" t="str">
        <f t="shared" si="2"/>
        <v/>
      </c>
      <c r="C66" s="23" t="str">
        <f t="shared" si="3"/>
        <v/>
      </c>
      <c r="E66" s="24" t="str">
        <f>IF(NOT(ISBLANK(G3copy!B66)),G3copy!B66,"")</f>
        <v/>
      </c>
      <c r="F66" s="24" t="str">
        <f>IF(E66&lt;&gt;"",G3copy!A66,"")</f>
        <v/>
      </c>
      <c r="G66" s="24" t="str">
        <f>IF(E66&lt;&gt;"",G3copy!F66,"")</f>
        <v/>
      </c>
    </row>
    <row r="67" spans="1:7" ht="15.75" customHeight="1">
      <c r="A67" s="23" t="str">
        <f t="shared" ref="A67:A130" si="4">IF(E67&lt;&gt;"",DATEVALUE(LEFT(E67,10)),"")</f>
        <v/>
      </c>
      <c r="B67" t="str">
        <f t="shared" ref="B67:B130" si="5">IF(LEN(F67)&gt;3,RIGHT(F67,LEN(F67)-3),"")</f>
        <v/>
      </c>
      <c r="C67" s="23" t="str">
        <f t="shared" ref="C67:C130" si="6">IF(E67&lt;&gt;"",DATEVALUE(LEFT(G67,10)),"")</f>
        <v/>
      </c>
      <c r="E67" s="24" t="str">
        <f>IF(NOT(ISBLANK(G3copy!B67)),G3copy!B67,"")</f>
        <v/>
      </c>
      <c r="F67" s="24" t="str">
        <f>IF(E67&lt;&gt;"",G3copy!A67,"")</f>
        <v/>
      </c>
      <c r="G67" s="24" t="str">
        <f>IF(E67&lt;&gt;"",G3copy!F67,"")</f>
        <v/>
      </c>
    </row>
    <row r="68" spans="1:7" ht="15.75" customHeight="1">
      <c r="A68" s="23" t="str">
        <f t="shared" si="4"/>
        <v/>
      </c>
      <c r="B68" t="str">
        <f t="shared" si="5"/>
        <v/>
      </c>
      <c r="C68" s="23" t="str">
        <f t="shared" si="6"/>
        <v/>
      </c>
      <c r="E68" s="24" t="str">
        <f>IF(NOT(ISBLANK(G3copy!B68)),G3copy!B68,"")</f>
        <v/>
      </c>
      <c r="F68" s="24" t="str">
        <f>IF(E68&lt;&gt;"",G3copy!A68,"")</f>
        <v/>
      </c>
      <c r="G68" s="24" t="str">
        <f>IF(E68&lt;&gt;"",G3copy!F68,"")</f>
        <v/>
      </c>
    </row>
    <row r="69" spans="1:7" ht="15.75" customHeight="1">
      <c r="A69" s="23" t="str">
        <f t="shared" si="4"/>
        <v/>
      </c>
      <c r="B69" t="str">
        <f t="shared" si="5"/>
        <v/>
      </c>
      <c r="C69" s="23" t="str">
        <f t="shared" si="6"/>
        <v/>
      </c>
      <c r="E69" s="24" t="str">
        <f>IF(NOT(ISBLANK(G3copy!B69)),G3copy!B69,"")</f>
        <v/>
      </c>
      <c r="F69" s="24" t="str">
        <f>IF(E69&lt;&gt;"",G3copy!A69,"")</f>
        <v/>
      </c>
      <c r="G69" s="24" t="str">
        <f>IF(E69&lt;&gt;"",G3copy!F69,"")</f>
        <v/>
      </c>
    </row>
    <row r="70" spans="1:7" ht="15.75" customHeight="1">
      <c r="A70" s="23" t="str">
        <f t="shared" si="4"/>
        <v/>
      </c>
      <c r="B70" t="str">
        <f t="shared" si="5"/>
        <v/>
      </c>
      <c r="C70" s="23" t="str">
        <f t="shared" si="6"/>
        <v/>
      </c>
      <c r="E70" s="24" t="str">
        <f>IF(NOT(ISBLANK(G3copy!B70)),G3copy!B70,"")</f>
        <v/>
      </c>
      <c r="F70" s="24" t="str">
        <f>IF(E70&lt;&gt;"",G3copy!A70,"")</f>
        <v/>
      </c>
      <c r="G70" s="24" t="str">
        <f>IF(E70&lt;&gt;"",G3copy!F70,"")</f>
        <v/>
      </c>
    </row>
    <row r="71" spans="1:7" ht="15.75" customHeight="1">
      <c r="A71" s="23" t="str">
        <f t="shared" si="4"/>
        <v/>
      </c>
      <c r="B71" t="str">
        <f t="shared" si="5"/>
        <v/>
      </c>
      <c r="C71" s="23" t="str">
        <f t="shared" si="6"/>
        <v/>
      </c>
      <c r="E71" s="24" t="str">
        <f>IF(NOT(ISBLANK(G3copy!B71)),G3copy!B71,"")</f>
        <v/>
      </c>
      <c r="F71" s="24" t="str">
        <f>IF(E71&lt;&gt;"",G3copy!A71,"")</f>
        <v/>
      </c>
      <c r="G71" s="24" t="str">
        <f>IF(E71&lt;&gt;"",G3copy!F71,"")</f>
        <v/>
      </c>
    </row>
    <row r="72" spans="1:7" ht="15.75" customHeight="1">
      <c r="A72" s="23" t="str">
        <f t="shared" si="4"/>
        <v/>
      </c>
      <c r="B72" t="str">
        <f t="shared" si="5"/>
        <v/>
      </c>
      <c r="C72" s="23" t="str">
        <f t="shared" si="6"/>
        <v/>
      </c>
      <c r="E72" s="24" t="str">
        <f>IF(NOT(ISBLANK(G3copy!B72)),G3copy!B72,"")</f>
        <v/>
      </c>
      <c r="F72" s="24" t="str">
        <f>IF(E72&lt;&gt;"",G3copy!A72,"")</f>
        <v/>
      </c>
      <c r="G72" s="24" t="str">
        <f>IF(E72&lt;&gt;"",G3copy!F72,"")</f>
        <v/>
      </c>
    </row>
    <row r="73" spans="1:7" ht="15.75" customHeight="1">
      <c r="A73" s="23" t="str">
        <f t="shared" si="4"/>
        <v/>
      </c>
      <c r="B73" t="str">
        <f t="shared" si="5"/>
        <v/>
      </c>
      <c r="C73" s="23" t="str">
        <f t="shared" si="6"/>
        <v/>
      </c>
      <c r="E73" s="24" t="str">
        <f>IF(NOT(ISBLANK(G3copy!B73)),G3copy!B73,"")</f>
        <v/>
      </c>
      <c r="F73" s="24" t="str">
        <f>IF(E73&lt;&gt;"",G3copy!A73,"")</f>
        <v/>
      </c>
      <c r="G73" s="24" t="str">
        <f>IF(E73&lt;&gt;"",G3copy!F73,"")</f>
        <v/>
      </c>
    </row>
    <row r="74" spans="1:7" ht="15.75" customHeight="1">
      <c r="A74" s="23" t="str">
        <f t="shared" si="4"/>
        <v/>
      </c>
      <c r="B74" t="str">
        <f t="shared" si="5"/>
        <v/>
      </c>
      <c r="C74" s="23" t="str">
        <f t="shared" si="6"/>
        <v/>
      </c>
      <c r="E74" s="24" t="str">
        <f>IF(NOT(ISBLANK(G3copy!B74)),G3copy!B74,"")</f>
        <v/>
      </c>
      <c r="F74" s="24" t="str">
        <f>IF(E74&lt;&gt;"",G3copy!A74,"")</f>
        <v/>
      </c>
      <c r="G74" s="24" t="str">
        <f>IF(E74&lt;&gt;"",G3copy!F74,"")</f>
        <v/>
      </c>
    </row>
    <row r="75" spans="1:7" ht="15.75" customHeight="1">
      <c r="A75" s="23" t="str">
        <f t="shared" si="4"/>
        <v/>
      </c>
      <c r="B75" t="str">
        <f t="shared" si="5"/>
        <v/>
      </c>
      <c r="C75" s="23" t="str">
        <f t="shared" si="6"/>
        <v/>
      </c>
      <c r="E75" s="24" t="str">
        <f>IF(NOT(ISBLANK(G3copy!B75)),G3copy!B75,"")</f>
        <v/>
      </c>
      <c r="F75" s="24" t="str">
        <f>IF(E75&lt;&gt;"",G3copy!A75,"")</f>
        <v/>
      </c>
      <c r="G75" s="24" t="str">
        <f>IF(E75&lt;&gt;"",G3copy!F75,"")</f>
        <v/>
      </c>
    </row>
    <row r="76" spans="1:7" ht="15.75" customHeight="1">
      <c r="A76" s="23" t="str">
        <f t="shared" si="4"/>
        <v/>
      </c>
      <c r="B76" t="str">
        <f t="shared" si="5"/>
        <v/>
      </c>
      <c r="C76" s="23" t="str">
        <f t="shared" si="6"/>
        <v/>
      </c>
      <c r="E76" s="24" t="str">
        <f>IF(NOT(ISBLANK(G3copy!B76)),G3copy!B76,"")</f>
        <v/>
      </c>
      <c r="F76" s="24" t="str">
        <f>IF(E76&lt;&gt;"",G3copy!A76,"")</f>
        <v/>
      </c>
      <c r="G76" s="24" t="str">
        <f>IF(E76&lt;&gt;"",G3copy!F76,"")</f>
        <v/>
      </c>
    </row>
    <row r="77" spans="1:7" ht="15.75" customHeight="1">
      <c r="A77" s="23" t="str">
        <f t="shared" si="4"/>
        <v/>
      </c>
      <c r="B77" t="str">
        <f t="shared" si="5"/>
        <v/>
      </c>
      <c r="C77" s="23" t="str">
        <f t="shared" si="6"/>
        <v/>
      </c>
      <c r="E77" s="24" t="str">
        <f>IF(NOT(ISBLANK(G3copy!B77)),G3copy!B77,"")</f>
        <v/>
      </c>
      <c r="F77" s="24" t="str">
        <f>IF(E77&lt;&gt;"",G3copy!A77,"")</f>
        <v/>
      </c>
      <c r="G77" s="24" t="str">
        <f>IF(E77&lt;&gt;"",G3copy!F77,"")</f>
        <v/>
      </c>
    </row>
    <row r="78" spans="1:7" ht="15.75" customHeight="1">
      <c r="A78" s="23" t="str">
        <f t="shared" si="4"/>
        <v/>
      </c>
      <c r="B78" t="str">
        <f t="shared" si="5"/>
        <v/>
      </c>
      <c r="C78" s="23" t="str">
        <f t="shared" si="6"/>
        <v/>
      </c>
      <c r="E78" s="24" t="str">
        <f>IF(NOT(ISBLANK(G3copy!B78)),G3copy!B78,"")</f>
        <v/>
      </c>
      <c r="F78" s="24" t="str">
        <f>IF(E78&lt;&gt;"",G3copy!A78,"")</f>
        <v/>
      </c>
      <c r="G78" s="24" t="str">
        <f>IF(E78&lt;&gt;"",G3copy!F78,"")</f>
        <v/>
      </c>
    </row>
    <row r="79" spans="1:7" ht="15.75" customHeight="1">
      <c r="A79" s="23" t="str">
        <f t="shared" si="4"/>
        <v/>
      </c>
      <c r="B79" t="str">
        <f t="shared" si="5"/>
        <v/>
      </c>
      <c r="C79" s="23" t="str">
        <f t="shared" si="6"/>
        <v/>
      </c>
      <c r="E79" s="24" t="str">
        <f>IF(NOT(ISBLANK(G3copy!B79)),G3copy!B79,"")</f>
        <v/>
      </c>
      <c r="F79" s="24" t="str">
        <f>IF(E79&lt;&gt;"",G3copy!A79,"")</f>
        <v/>
      </c>
      <c r="G79" s="24" t="str">
        <f>IF(E79&lt;&gt;"",G3copy!F79,"")</f>
        <v/>
      </c>
    </row>
    <row r="80" spans="1:7" ht="15.75" customHeight="1">
      <c r="A80" s="23" t="str">
        <f t="shared" si="4"/>
        <v/>
      </c>
      <c r="B80" t="str">
        <f t="shared" si="5"/>
        <v/>
      </c>
      <c r="C80" s="23" t="str">
        <f t="shared" si="6"/>
        <v/>
      </c>
      <c r="E80" s="24" t="str">
        <f>IF(NOT(ISBLANK(G3copy!B80)),G3copy!B80,"")</f>
        <v/>
      </c>
      <c r="F80" s="24" t="str">
        <f>IF(E80&lt;&gt;"",G3copy!A80,"")</f>
        <v/>
      </c>
      <c r="G80" s="24" t="str">
        <f>IF(E80&lt;&gt;"",G3copy!F80,"")</f>
        <v/>
      </c>
    </row>
    <row r="81" spans="1:7" ht="15.75" customHeight="1">
      <c r="A81" s="23" t="str">
        <f t="shared" si="4"/>
        <v/>
      </c>
      <c r="B81" t="str">
        <f t="shared" si="5"/>
        <v/>
      </c>
      <c r="C81" s="23" t="str">
        <f t="shared" si="6"/>
        <v/>
      </c>
      <c r="E81" s="24" t="str">
        <f>IF(NOT(ISBLANK(G3copy!B81)),G3copy!B81,"")</f>
        <v/>
      </c>
      <c r="F81" s="24" t="str">
        <f>IF(E81&lt;&gt;"",G3copy!A81,"")</f>
        <v/>
      </c>
      <c r="G81" s="24" t="str">
        <f>IF(E81&lt;&gt;"",G3copy!F81,"")</f>
        <v/>
      </c>
    </row>
    <row r="82" spans="1:7" ht="15.75" customHeight="1">
      <c r="A82" s="23" t="str">
        <f t="shared" si="4"/>
        <v/>
      </c>
      <c r="B82" t="str">
        <f t="shared" si="5"/>
        <v/>
      </c>
      <c r="C82" s="23" t="str">
        <f t="shared" si="6"/>
        <v/>
      </c>
      <c r="E82" s="24" t="str">
        <f>IF(NOT(ISBLANK(G3copy!B82)),G3copy!B82,"")</f>
        <v/>
      </c>
      <c r="F82" s="24" t="str">
        <f>IF(E82&lt;&gt;"",G3copy!A82,"")</f>
        <v/>
      </c>
      <c r="G82" s="24" t="str">
        <f>IF(E82&lt;&gt;"",G3copy!F82,"")</f>
        <v/>
      </c>
    </row>
    <row r="83" spans="1:7" ht="15.75" customHeight="1">
      <c r="A83" s="23" t="str">
        <f t="shared" si="4"/>
        <v/>
      </c>
      <c r="B83" t="str">
        <f t="shared" si="5"/>
        <v/>
      </c>
      <c r="C83" s="23" t="str">
        <f t="shared" si="6"/>
        <v/>
      </c>
      <c r="E83" s="24" t="str">
        <f>IF(NOT(ISBLANK(G3copy!B83)),G3copy!B83,"")</f>
        <v/>
      </c>
      <c r="F83" s="24" t="str">
        <f>IF(E83&lt;&gt;"",G3copy!A83,"")</f>
        <v/>
      </c>
      <c r="G83" s="24" t="str">
        <f>IF(E83&lt;&gt;"",G3copy!F83,"")</f>
        <v/>
      </c>
    </row>
    <row r="84" spans="1:7" ht="15.75" customHeight="1">
      <c r="A84" s="23" t="str">
        <f t="shared" si="4"/>
        <v/>
      </c>
      <c r="B84" t="str">
        <f t="shared" si="5"/>
        <v/>
      </c>
      <c r="C84" s="23" t="str">
        <f t="shared" si="6"/>
        <v/>
      </c>
      <c r="E84" s="24" t="str">
        <f>IF(NOT(ISBLANK(G3copy!B84)),G3copy!B84,"")</f>
        <v/>
      </c>
      <c r="F84" s="24" t="str">
        <f>IF(E84&lt;&gt;"",G3copy!A84,"")</f>
        <v/>
      </c>
      <c r="G84" s="24" t="str">
        <f>IF(E84&lt;&gt;"",G3copy!F84,"")</f>
        <v/>
      </c>
    </row>
    <row r="85" spans="1:7" ht="15.75" customHeight="1">
      <c r="A85" s="23" t="str">
        <f t="shared" si="4"/>
        <v/>
      </c>
      <c r="B85" t="str">
        <f t="shared" si="5"/>
        <v/>
      </c>
      <c r="C85" s="23" t="str">
        <f t="shared" si="6"/>
        <v/>
      </c>
      <c r="E85" s="24" t="str">
        <f>IF(NOT(ISBLANK(G3copy!B85)),G3copy!B85,"")</f>
        <v/>
      </c>
      <c r="F85" s="24" t="str">
        <f>IF(E85&lt;&gt;"",G3copy!A85,"")</f>
        <v/>
      </c>
      <c r="G85" s="24" t="str">
        <f>IF(E85&lt;&gt;"",G3copy!F85,"")</f>
        <v/>
      </c>
    </row>
    <row r="86" spans="1:7" ht="15.75" customHeight="1">
      <c r="A86" s="23" t="str">
        <f t="shared" si="4"/>
        <v/>
      </c>
      <c r="B86" t="str">
        <f t="shared" si="5"/>
        <v/>
      </c>
      <c r="C86" s="23" t="str">
        <f t="shared" si="6"/>
        <v/>
      </c>
      <c r="E86" s="24" t="str">
        <f>IF(NOT(ISBLANK(G3copy!B86)),G3copy!B86,"")</f>
        <v/>
      </c>
      <c r="F86" s="24" t="str">
        <f>IF(E86&lt;&gt;"",G3copy!A86,"")</f>
        <v/>
      </c>
      <c r="G86" s="24" t="str">
        <f>IF(E86&lt;&gt;"",G3copy!F86,"")</f>
        <v/>
      </c>
    </row>
    <row r="87" spans="1:7" ht="15.75" customHeight="1">
      <c r="A87" s="23" t="str">
        <f t="shared" si="4"/>
        <v/>
      </c>
      <c r="B87" t="str">
        <f t="shared" si="5"/>
        <v/>
      </c>
      <c r="C87" s="23" t="str">
        <f t="shared" si="6"/>
        <v/>
      </c>
      <c r="E87" s="24" t="str">
        <f>IF(NOT(ISBLANK(G3copy!B87)),G3copy!B87,"")</f>
        <v/>
      </c>
      <c r="F87" s="24" t="str">
        <f>IF(E87&lt;&gt;"",G3copy!A87,"")</f>
        <v/>
      </c>
      <c r="G87" s="24" t="str">
        <f>IF(E87&lt;&gt;"",G3copy!F87,"")</f>
        <v/>
      </c>
    </row>
    <row r="88" spans="1:7" ht="15.75" customHeight="1">
      <c r="A88" s="23" t="str">
        <f t="shared" si="4"/>
        <v/>
      </c>
      <c r="B88" t="str">
        <f t="shared" si="5"/>
        <v/>
      </c>
      <c r="C88" s="23" t="str">
        <f t="shared" si="6"/>
        <v/>
      </c>
      <c r="E88" s="24" t="str">
        <f>IF(NOT(ISBLANK(G3copy!B88)),G3copy!B88,"")</f>
        <v/>
      </c>
      <c r="F88" s="24" t="str">
        <f>IF(E88&lt;&gt;"",G3copy!A88,"")</f>
        <v/>
      </c>
      <c r="G88" s="24" t="str">
        <f>IF(E88&lt;&gt;"",G3copy!F88,"")</f>
        <v/>
      </c>
    </row>
    <row r="89" spans="1:7" ht="15.75" customHeight="1">
      <c r="A89" s="23" t="str">
        <f t="shared" si="4"/>
        <v/>
      </c>
      <c r="B89" t="str">
        <f t="shared" si="5"/>
        <v/>
      </c>
      <c r="C89" s="23" t="str">
        <f t="shared" si="6"/>
        <v/>
      </c>
      <c r="E89" s="24" t="str">
        <f>IF(NOT(ISBLANK(G3copy!B89)),G3copy!B89,"")</f>
        <v/>
      </c>
      <c r="F89" s="24" t="str">
        <f>IF(E89&lt;&gt;"",G3copy!A89,"")</f>
        <v/>
      </c>
      <c r="G89" s="24" t="str">
        <f>IF(E89&lt;&gt;"",G3copy!F89,"")</f>
        <v/>
      </c>
    </row>
    <row r="90" spans="1:7" ht="15.75" customHeight="1">
      <c r="A90" s="23" t="str">
        <f t="shared" si="4"/>
        <v/>
      </c>
      <c r="B90" t="str">
        <f t="shared" si="5"/>
        <v/>
      </c>
      <c r="C90" s="23" t="str">
        <f t="shared" si="6"/>
        <v/>
      </c>
      <c r="E90" s="24" t="str">
        <f>IF(NOT(ISBLANK(G3copy!B90)),G3copy!B90,"")</f>
        <v/>
      </c>
      <c r="F90" s="24" t="str">
        <f>IF(E90&lt;&gt;"",G3copy!A90,"")</f>
        <v/>
      </c>
      <c r="G90" s="24" t="str">
        <f>IF(E90&lt;&gt;"",G3copy!F90,"")</f>
        <v/>
      </c>
    </row>
    <row r="91" spans="1:7" ht="15.75" customHeight="1">
      <c r="A91" s="23" t="str">
        <f t="shared" si="4"/>
        <v/>
      </c>
      <c r="B91" t="str">
        <f t="shared" si="5"/>
        <v/>
      </c>
      <c r="C91" s="23" t="str">
        <f t="shared" si="6"/>
        <v/>
      </c>
      <c r="E91" s="24" t="str">
        <f>IF(NOT(ISBLANK(G3copy!B91)),G3copy!B91,"")</f>
        <v/>
      </c>
      <c r="F91" s="24" t="str">
        <f>IF(E91&lt;&gt;"",G3copy!A91,"")</f>
        <v/>
      </c>
      <c r="G91" s="24" t="str">
        <f>IF(E91&lt;&gt;"",G3copy!F91,"")</f>
        <v/>
      </c>
    </row>
    <row r="92" spans="1:7" ht="15.75" customHeight="1">
      <c r="A92" s="23" t="str">
        <f t="shared" si="4"/>
        <v/>
      </c>
      <c r="B92" t="str">
        <f t="shared" si="5"/>
        <v/>
      </c>
      <c r="C92" s="23" t="str">
        <f t="shared" si="6"/>
        <v/>
      </c>
      <c r="E92" s="24" t="str">
        <f>IF(NOT(ISBLANK(G3copy!B92)),G3copy!B92,"")</f>
        <v/>
      </c>
      <c r="F92" s="24" t="str">
        <f>IF(E92&lt;&gt;"",G3copy!A92,"")</f>
        <v/>
      </c>
      <c r="G92" s="24" t="str">
        <f>IF(E92&lt;&gt;"",G3copy!F92,"")</f>
        <v/>
      </c>
    </row>
    <row r="93" spans="1:7" ht="15.75" customHeight="1">
      <c r="A93" s="23" t="str">
        <f t="shared" si="4"/>
        <v/>
      </c>
      <c r="B93" t="str">
        <f t="shared" si="5"/>
        <v/>
      </c>
      <c r="C93" s="23" t="str">
        <f t="shared" si="6"/>
        <v/>
      </c>
      <c r="E93" s="24" t="str">
        <f>IF(NOT(ISBLANK(G3copy!B93)),G3copy!B93,"")</f>
        <v/>
      </c>
      <c r="F93" s="24" t="str">
        <f>IF(E93&lt;&gt;"",G3copy!A93,"")</f>
        <v/>
      </c>
      <c r="G93" s="24" t="str">
        <f>IF(E93&lt;&gt;"",G3copy!F93,"")</f>
        <v/>
      </c>
    </row>
    <row r="94" spans="1:7" ht="15.75" customHeight="1">
      <c r="A94" s="23" t="str">
        <f t="shared" si="4"/>
        <v/>
      </c>
      <c r="B94" t="str">
        <f t="shared" si="5"/>
        <v/>
      </c>
      <c r="C94" s="23" t="str">
        <f t="shared" si="6"/>
        <v/>
      </c>
      <c r="E94" s="24" t="str">
        <f>IF(NOT(ISBLANK(G3copy!B94)),G3copy!B94,"")</f>
        <v/>
      </c>
      <c r="F94" s="24" t="str">
        <f>IF(E94&lt;&gt;"",G3copy!A94,"")</f>
        <v/>
      </c>
      <c r="G94" s="24" t="str">
        <f>IF(E94&lt;&gt;"",G3copy!F94,"")</f>
        <v/>
      </c>
    </row>
    <row r="95" spans="1:7" ht="15.75" customHeight="1">
      <c r="A95" s="23" t="str">
        <f t="shared" si="4"/>
        <v/>
      </c>
      <c r="B95" t="str">
        <f t="shared" si="5"/>
        <v/>
      </c>
      <c r="C95" s="23" t="str">
        <f t="shared" si="6"/>
        <v/>
      </c>
      <c r="E95" s="24" t="str">
        <f>IF(NOT(ISBLANK(G3copy!B95)),G3copy!B95,"")</f>
        <v/>
      </c>
      <c r="F95" s="24" t="str">
        <f>IF(E95&lt;&gt;"",G3copy!A95,"")</f>
        <v/>
      </c>
      <c r="G95" s="24" t="str">
        <f>IF(E95&lt;&gt;"",G3copy!F95,"")</f>
        <v/>
      </c>
    </row>
    <row r="96" spans="1:7" ht="15.75" customHeight="1">
      <c r="A96" s="23" t="str">
        <f t="shared" si="4"/>
        <v/>
      </c>
      <c r="B96" t="str">
        <f t="shared" si="5"/>
        <v/>
      </c>
      <c r="C96" s="23" t="str">
        <f t="shared" si="6"/>
        <v/>
      </c>
      <c r="E96" s="24" t="str">
        <f>IF(NOT(ISBLANK(G3copy!B96)),G3copy!B96,"")</f>
        <v/>
      </c>
      <c r="F96" s="24" t="str">
        <f>IF(E96&lt;&gt;"",G3copy!A96,"")</f>
        <v/>
      </c>
      <c r="G96" s="24" t="str">
        <f>IF(E96&lt;&gt;"",G3copy!F96,"")</f>
        <v/>
      </c>
    </row>
    <row r="97" spans="1:7" ht="15.75" customHeight="1">
      <c r="A97" s="23" t="str">
        <f t="shared" si="4"/>
        <v/>
      </c>
      <c r="B97" t="str">
        <f t="shared" si="5"/>
        <v/>
      </c>
      <c r="C97" s="23" t="str">
        <f t="shared" si="6"/>
        <v/>
      </c>
      <c r="E97" s="24" t="str">
        <f>IF(NOT(ISBLANK(G3copy!B97)),G3copy!B97,"")</f>
        <v/>
      </c>
      <c r="F97" s="24" t="str">
        <f>IF(E97&lt;&gt;"",G3copy!A97,"")</f>
        <v/>
      </c>
      <c r="G97" s="24" t="str">
        <f>IF(E97&lt;&gt;"",G3copy!F97,"")</f>
        <v/>
      </c>
    </row>
    <row r="98" spans="1:7" ht="15.75" customHeight="1">
      <c r="A98" s="23" t="str">
        <f t="shared" si="4"/>
        <v/>
      </c>
      <c r="B98" t="str">
        <f t="shared" si="5"/>
        <v/>
      </c>
      <c r="C98" s="23" t="str">
        <f t="shared" si="6"/>
        <v/>
      </c>
      <c r="E98" s="24" t="str">
        <f>IF(NOT(ISBLANK(G3copy!B98)),G3copy!B98,"")</f>
        <v/>
      </c>
      <c r="F98" s="24" t="str">
        <f>IF(E98&lt;&gt;"",G3copy!A98,"")</f>
        <v/>
      </c>
      <c r="G98" s="24" t="str">
        <f>IF(E98&lt;&gt;"",G3copy!F98,"")</f>
        <v/>
      </c>
    </row>
    <row r="99" spans="1:7" ht="15.75" customHeight="1">
      <c r="A99" s="23" t="str">
        <f t="shared" si="4"/>
        <v/>
      </c>
      <c r="B99" t="str">
        <f t="shared" si="5"/>
        <v/>
      </c>
      <c r="C99" s="23" t="str">
        <f t="shared" si="6"/>
        <v/>
      </c>
      <c r="E99" s="24" t="str">
        <f>IF(NOT(ISBLANK(G3copy!B99)),G3copy!B99,"")</f>
        <v/>
      </c>
      <c r="F99" s="24" t="str">
        <f>IF(E99&lt;&gt;"",G3copy!A99,"")</f>
        <v/>
      </c>
      <c r="G99" s="24" t="str">
        <f>IF(E99&lt;&gt;"",G3copy!F99,"")</f>
        <v/>
      </c>
    </row>
    <row r="100" spans="1:7" ht="15.75" customHeight="1">
      <c r="A100" s="23" t="str">
        <f t="shared" si="4"/>
        <v/>
      </c>
      <c r="B100" t="str">
        <f t="shared" si="5"/>
        <v/>
      </c>
      <c r="C100" s="23" t="str">
        <f t="shared" si="6"/>
        <v/>
      </c>
      <c r="E100" s="24" t="str">
        <f>IF(NOT(ISBLANK(G3copy!B100)),G3copy!B100,"")</f>
        <v/>
      </c>
      <c r="F100" s="24" t="str">
        <f>IF(E100&lt;&gt;"",G3copy!A100,"")</f>
        <v/>
      </c>
      <c r="G100" s="24" t="str">
        <f>IF(E100&lt;&gt;"",G3copy!F100,"")</f>
        <v/>
      </c>
    </row>
    <row r="101" spans="1:7" ht="15.75" customHeight="1">
      <c r="A101" s="23" t="str">
        <f t="shared" si="4"/>
        <v/>
      </c>
      <c r="B101" t="str">
        <f t="shared" si="5"/>
        <v/>
      </c>
      <c r="C101" s="23" t="str">
        <f t="shared" si="6"/>
        <v/>
      </c>
      <c r="E101" s="24" t="str">
        <f>IF(NOT(ISBLANK(G3copy!B101)),G3copy!B101,"")</f>
        <v/>
      </c>
      <c r="F101" s="24" t="str">
        <f>IF(E101&lt;&gt;"",G3copy!A101,"")</f>
        <v/>
      </c>
      <c r="G101" s="24" t="str">
        <f>IF(E101&lt;&gt;"",G3copy!F101,"")</f>
        <v/>
      </c>
    </row>
    <row r="102" spans="1:7" ht="15.75" customHeight="1">
      <c r="A102" s="23" t="str">
        <f t="shared" si="4"/>
        <v/>
      </c>
      <c r="B102" t="str">
        <f t="shared" si="5"/>
        <v/>
      </c>
      <c r="C102" s="23" t="str">
        <f t="shared" si="6"/>
        <v/>
      </c>
      <c r="E102" s="24" t="str">
        <f>IF(NOT(ISBLANK(G3copy!B102)),G3copy!B102,"")</f>
        <v/>
      </c>
      <c r="F102" s="24" t="str">
        <f>IF(E102&lt;&gt;"",G3copy!A102,"")</f>
        <v/>
      </c>
      <c r="G102" s="24" t="str">
        <f>IF(E102&lt;&gt;"",G3copy!F102,"")</f>
        <v/>
      </c>
    </row>
    <row r="103" spans="1:7" ht="15.75" customHeight="1">
      <c r="A103" s="23" t="str">
        <f t="shared" si="4"/>
        <v/>
      </c>
      <c r="B103" t="str">
        <f t="shared" si="5"/>
        <v/>
      </c>
      <c r="C103" s="23" t="str">
        <f t="shared" si="6"/>
        <v/>
      </c>
      <c r="E103" s="24" t="str">
        <f>IF(NOT(ISBLANK(G3copy!B103)),G3copy!B103,"")</f>
        <v/>
      </c>
      <c r="F103" s="24" t="str">
        <f>IF(E103&lt;&gt;"",G3copy!A103,"")</f>
        <v/>
      </c>
      <c r="G103" s="24" t="str">
        <f>IF(E103&lt;&gt;"",G3copy!F103,"")</f>
        <v/>
      </c>
    </row>
    <row r="104" spans="1:7" ht="15.75" customHeight="1">
      <c r="A104" s="23" t="str">
        <f t="shared" si="4"/>
        <v/>
      </c>
      <c r="B104" t="str">
        <f t="shared" si="5"/>
        <v/>
      </c>
      <c r="C104" s="23" t="str">
        <f t="shared" si="6"/>
        <v/>
      </c>
      <c r="E104" s="24" t="str">
        <f>IF(NOT(ISBLANK(G3copy!B104)),G3copy!B104,"")</f>
        <v/>
      </c>
      <c r="F104" s="24" t="str">
        <f>IF(E104&lt;&gt;"",G3copy!A104,"")</f>
        <v/>
      </c>
      <c r="G104" s="24" t="str">
        <f>IF(E104&lt;&gt;"",G3copy!F104,"")</f>
        <v/>
      </c>
    </row>
    <row r="105" spans="1:7" ht="15.75" customHeight="1">
      <c r="A105" s="23" t="str">
        <f t="shared" si="4"/>
        <v/>
      </c>
      <c r="B105" t="str">
        <f t="shared" si="5"/>
        <v/>
      </c>
      <c r="C105" s="23" t="str">
        <f t="shared" si="6"/>
        <v/>
      </c>
      <c r="E105" s="24" t="str">
        <f>IF(NOT(ISBLANK(G3copy!B105)),G3copy!B105,"")</f>
        <v/>
      </c>
      <c r="F105" s="24" t="str">
        <f>IF(E105&lt;&gt;"",G3copy!A105,"")</f>
        <v/>
      </c>
      <c r="G105" s="24" t="str">
        <f>IF(E105&lt;&gt;"",G3copy!F105,"")</f>
        <v/>
      </c>
    </row>
    <row r="106" spans="1:7" ht="15.75" customHeight="1">
      <c r="A106" s="23" t="str">
        <f t="shared" si="4"/>
        <v/>
      </c>
      <c r="B106" t="str">
        <f t="shared" si="5"/>
        <v/>
      </c>
      <c r="C106" s="23" t="str">
        <f t="shared" si="6"/>
        <v/>
      </c>
      <c r="E106" s="24" t="str">
        <f>IF(NOT(ISBLANK(G3copy!B106)),G3copy!B106,"")</f>
        <v/>
      </c>
      <c r="F106" s="24" t="str">
        <f>IF(E106&lt;&gt;"",G3copy!A106,"")</f>
        <v/>
      </c>
      <c r="G106" s="24" t="str">
        <f>IF(E106&lt;&gt;"",G3copy!F106,"")</f>
        <v/>
      </c>
    </row>
    <row r="107" spans="1:7" ht="15.75" customHeight="1">
      <c r="A107" s="23" t="str">
        <f t="shared" si="4"/>
        <v/>
      </c>
      <c r="B107" t="str">
        <f t="shared" si="5"/>
        <v/>
      </c>
      <c r="C107" s="23" t="str">
        <f t="shared" si="6"/>
        <v/>
      </c>
      <c r="E107" s="24" t="str">
        <f>IF(NOT(ISBLANK(G3copy!B107)),G3copy!B107,"")</f>
        <v/>
      </c>
      <c r="F107" s="24" t="str">
        <f>IF(E107&lt;&gt;"",G3copy!A107,"")</f>
        <v/>
      </c>
      <c r="G107" s="24" t="str">
        <f>IF(E107&lt;&gt;"",G3copy!F107,"")</f>
        <v/>
      </c>
    </row>
    <row r="108" spans="1:7" ht="15.75" customHeight="1">
      <c r="A108" s="23" t="str">
        <f t="shared" si="4"/>
        <v/>
      </c>
      <c r="B108" t="str">
        <f t="shared" si="5"/>
        <v/>
      </c>
      <c r="C108" s="23" t="str">
        <f t="shared" si="6"/>
        <v/>
      </c>
      <c r="E108" s="24" t="str">
        <f>IF(NOT(ISBLANK(G3copy!B108)),G3copy!B108,"")</f>
        <v/>
      </c>
      <c r="F108" s="24" t="str">
        <f>IF(E108&lt;&gt;"",G3copy!A108,"")</f>
        <v/>
      </c>
      <c r="G108" s="24" t="str">
        <f>IF(E108&lt;&gt;"",G3copy!F108,"")</f>
        <v/>
      </c>
    </row>
    <row r="109" spans="1:7" ht="15.75" customHeight="1">
      <c r="A109" s="23" t="str">
        <f t="shared" si="4"/>
        <v/>
      </c>
      <c r="B109" t="str">
        <f t="shared" si="5"/>
        <v/>
      </c>
      <c r="C109" s="23" t="str">
        <f t="shared" si="6"/>
        <v/>
      </c>
      <c r="E109" s="24" t="str">
        <f>IF(NOT(ISBLANK(G3copy!B109)),G3copy!B109,"")</f>
        <v/>
      </c>
      <c r="F109" s="24" t="str">
        <f>IF(E109&lt;&gt;"",G3copy!A109,"")</f>
        <v/>
      </c>
      <c r="G109" s="24" t="str">
        <f>IF(E109&lt;&gt;"",G3copy!F109,"")</f>
        <v/>
      </c>
    </row>
    <row r="110" spans="1:7" ht="15.75" customHeight="1">
      <c r="A110" s="23" t="str">
        <f t="shared" si="4"/>
        <v/>
      </c>
      <c r="B110" t="str">
        <f t="shared" si="5"/>
        <v/>
      </c>
      <c r="C110" s="23" t="str">
        <f t="shared" si="6"/>
        <v/>
      </c>
      <c r="E110" s="24" t="str">
        <f>IF(NOT(ISBLANK(G3copy!B110)),G3copy!B110,"")</f>
        <v/>
      </c>
      <c r="F110" s="24" t="str">
        <f>IF(E110&lt;&gt;"",G3copy!A110,"")</f>
        <v/>
      </c>
      <c r="G110" s="24" t="str">
        <f>IF(E110&lt;&gt;"",G3copy!F110,"")</f>
        <v/>
      </c>
    </row>
    <row r="111" spans="1:7" ht="15.75" customHeight="1">
      <c r="A111" s="23" t="str">
        <f t="shared" si="4"/>
        <v/>
      </c>
      <c r="B111" t="str">
        <f t="shared" si="5"/>
        <v/>
      </c>
      <c r="C111" s="23" t="str">
        <f t="shared" si="6"/>
        <v/>
      </c>
      <c r="E111" s="24" t="str">
        <f>IF(NOT(ISBLANK(G3copy!B111)),G3copy!B111,"")</f>
        <v/>
      </c>
      <c r="F111" s="24" t="str">
        <f>IF(E111&lt;&gt;"",G3copy!A111,"")</f>
        <v/>
      </c>
      <c r="G111" s="24" t="str">
        <f>IF(E111&lt;&gt;"",G3copy!F111,"")</f>
        <v/>
      </c>
    </row>
    <row r="112" spans="1:7" ht="15.75" customHeight="1">
      <c r="A112" s="23" t="str">
        <f t="shared" si="4"/>
        <v/>
      </c>
      <c r="B112" t="str">
        <f t="shared" si="5"/>
        <v/>
      </c>
      <c r="C112" s="23" t="str">
        <f t="shared" si="6"/>
        <v/>
      </c>
      <c r="E112" s="24" t="str">
        <f>IF(NOT(ISBLANK(G3copy!B112)),G3copy!B112,"")</f>
        <v/>
      </c>
      <c r="F112" s="24" t="str">
        <f>IF(E112&lt;&gt;"",G3copy!A112,"")</f>
        <v/>
      </c>
      <c r="G112" s="24" t="str">
        <f>IF(E112&lt;&gt;"",G3copy!F112,"")</f>
        <v/>
      </c>
    </row>
    <row r="113" spans="1:7" ht="15.75" customHeight="1">
      <c r="A113" s="23" t="str">
        <f t="shared" si="4"/>
        <v/>
      </c>
      <c r="B113" t="str">
        <f t="shared" si="5"/>
        <v/>
      </c>
      <c r="C113" s="23" t="str">
        <f t="shared" si="6"/>
        <v/>
      </c>
      <c r="E113" s="24" t="str">
        <f>IF(NOT(ISBLANK(G3copy!B113)),G3copy!B113,"")</f>
        <v/>
      </c>
      <c r="F113" s="24" t="str">
        <f>IF(E113&lt;&gt;"",G3copy!A113,"")</f>
        <v/>
      </c>
      <c r="G113" s="24" t="str">
        <f>IF(E113&lt;&gt;"",G3copy!F113,"")</f>
        <v/>
      </c>
    </row>
    <row r="114" spans="1:7" ht="15.75" customHeight="1">
      <c r="A114" s="23" t="str">
        <f t="shared" si="4"/>
        <v/>
      </c>
      <c r="B114" t="str">
        <f t="shared" si="5"/>
        <v/>
      </c>
      <c r="C114" s="23" t="str">
        <f t="shared" si="6"/>
        <v/>
      </c>
      <c r="E114" s="24" t="str">
        <f>IF(NOT(ISBLANK(G3copy!B114)),G3copy!B114,"")</f>
        <v/>
      </c>
      <c r="F114" s="24" t="str">
        <f>IF(E114&lt;&gt;"",G3copy!A114,"")</f>
        <v/>
      </c>
      <c r="G114" s="24" t="str">
        <f>IF(E114&lt;&gt;"",G3copy!F114,"")</f>
        <v/>
      </c>
    </row>
    <row r="115" spans="1:7" ht="15.75" customHeight="1">
      <c r="A115" s="23" t="str">
        <f t="shared" si="4"/>
        <v/>
      </c>
      <c r="B115" t="str">
        <f t="shared" si="5"/>
        <v/>
      </c>
      <c r="C115" s="23" t="str">
        <f t="shared" si="6"/>
        <v/>
      </c>
      <c r="E115" s="24" t="str">
        <f>IF(NOT(ISBLANK(G3copy!B115)),G3copy!B115,"")</f>
        <v/>
      </c>
      <c r="F115" s="24" t="str">
        <f>IF(E115&lt;&gt;"",G3copy!A115,"")</f>
        <v/>
      </c>
      <c r="G115" s="24" t="str">
        <f>IF(E115&lt;&gt;"",G3copy!F115,"")</f>
        <v/>
      </c>
    </row>
    <row r="116" spans="1:7" ht="15.75" customHeight="1">
      <c r="A116" s="23" t="str">
        <f t="shared" si="4"/>
        <v/>
      </c>
      <c r="B116" t="str">
        <f t="shared" si="5"/>
        <v/>
      </c>
      <c r="C116" s="23" t="str">
        <f t="shared" si="6"/>
        <v/>
      </c>
      <c r="E116" s="24" t="str">
        <f>IF(NOT(ISBLANK(G3copy!B116)),G3copy!B116,"")</f>
        <v/>
      </c>
      <c r="F116" s="24" t="str">
        <f>IF(E116&lt;&gt;"",G3copy!A116,"")</f>
        <v/>
      </c>
      <c r="G116" s="24" t="str">
        <f>IF(E116&lt;&gt;"",G3copy!F116,"")</f>
        <v/>
      </c>
    </row>
    <row r="117" spans="1:7" ht="15.75" customHeight="1">
      <c r="A117" s="23" t="str">
        <f t="shared" si="4"/>
        <v/>
      </c>
      <c r="B117" t="str">
        <f t="shared" si="5"/>
        <v/>
      </c>
      <c r="C117" s="23" t="str">
        <f t="shared" si="6"/>
        <v/>
      </c>
      <c r="E117" s="24" t="str">
        <f>IF(NOT(ISBLANK(G3copy!B117)),G3copy!B117,"")</f>
        <v/>
      </c>
      <c r="F117" s="24" t="str">
        <f>IF(E117&lt;&gt;"",G3copy!A117,"")</f>
        <v/>
      </c>
      <c r="G117" s="24" t="str">
        <f>IF(E117&lt;&gt;"",G3copy!F117,"")</f>
        <v/>
      </c>
    </row>
    <row r="118" spans="1:7" ht="15.75" customHeight="1">
      <c r="A118" s="23" t="str">
        <f t="shared" si="4"/>
        <v/>
      </c>
      <c r="B118" t="str">
        <f t="shared" si="5"/>
        <v/>
      </c>
      <c r="C118" s="23" t="str">
        <f t="shared" si="6"/>
        <v/>
      </c>
      <c r="E118" s="24" t="str">
        <f>IF(NOT(ISBLANK(G3copy!B118)),G3copy!B118,"")</f>
        <v/>
      </c>
      <c r="F118" s="24" t="str">
        <f>IF(E118&lt;&gt;"",G3copy!A118,"")</f>
        <v/>
      </c>
      <c r="G118" s="24" t="str">
        <f>IF(E118&lt;&gt;"",G3copy!F118,"")</f>
        <v/>
      </c>
    </row>
    <row r="119" spans="1:7" ht="15.75" customHeight="1">
      <c r="A119" s="23" t="str">
        <f t="shared" si="4"/>
        <v/>
      </c>
      <c r="B119" t="str">
        <f t="shared" si="5"/>
        <v/>
      </c>
      <c r="C119" s="23" t="str">
        <f t="shared" si="6"/>
        <v/>
      </c>
      <c r="E119" s="24" t="str">
        <f>IF(NOT(ISBLANK(G3copy!B119)),G3copy!B119,"")</f>
        <v/>
      </c>
      <c r="F119" s="24" t="str">
        <f>IF(E119&lt;&gt;"",G3copy!A119,"")</f>
        <v/>
      </c>
      <c r="G119" s="24" t="str">
        <f>IF(E119&lt;&gt;"",G3copy!F119,"")</f>
        <v/>
      </c>
    </row>
    <row r="120" spans="1:7" ht="15.75" customHeight="1">
      <c r="A120" s="23" t="str">
        <f t="shared" si="4"/>
        <v/>
      </c>
      <c r="B120" t="str">
        <f t="shared" si="5"/>
        <v/>
      </c>
      <c r="C120" s="23" t="str">
        <f t="shared" si="6"/>
        <v/>
      </c>
      <c r="E120" s="24" t="str">
        <f>IF(NOT(ISBLANK(G3copy!B120)),G3copy!B120,"")</f>
        <v/>
      </c>
      <c r="F120" s="24" t="str">
        <f>IF(E120&lt;&gt;"",G3copy!A120,"")</f>
        <v/>
      </c>
      <c r="G120" s="24" t="str">
        <f>IF(E120&lt;&gt;"",G3copy!F120,"")</f>
        <v/>
      </c>
    </row>
    <row r="121" spans="1:7" ht="15.75" customHeight="1">
      <c r="A121" s="23" t="str">
        <f t="shared" si="4"/>
        <v/>
      </c>
      <c r="B121" t="str">
        <f t="shared" si="5"/>
        <v/>
      </c>
      <c r="C121" s="23" t="str">
        <f t="shared" si="6"/>
        <v/>
      </c>
      <c r="E121" s="24" t="str">
        <f>IF(NOT(ISBLANK(G3copy!B121)),G3copy!B121,"")</f>
        <v/>
      </c>
      <c r="F121" s="24" t="str">
        <f>IF(E121&lt;&gt;"",G3copy!A121,"")</f>
        <v/>
      </c>
      <c r="G121" s="24" t="str">
        <f>IF(E121&lt;&gt;"",G3copy!F121,"")</f>
        <v/>
      </c>
    </row>
    <row r="122" spans="1:7" ht="15.75" customHeight="1">
      <c r="A122" s="23" t="str">
        <f t="shared" si="4"/>
        <v/>
      </c>
      <c r="B122" t="str">
        <f t="shared" si="5"/>
        <v/>
      </c>
      <c r="C122" s="23" t="str">
        <f t="shared" si="6"/>
        <v/>
      </c>
      <c r="E122" s="24" t="str">
        <f>IF(NOT(ISBLANK(G3copy!B122)),G3copy!B122,"")</f>
        <v/>
      </c>
      <c r="F122" s="24" t="str">
        <f>IF(E122&lt;&gt;"",G3copy!A122,"")</f>
        <v/>
      </c>
      <c r="G122" s="24" t="str">
        <f>IF(E122&lt;&gt;"",G3copy!F122,"")</f>
        <v/>
      </c>
    </row>
    <row r="123" spans="1:7" ht="15.75" customHeight="1">
      <c r="A123" s="23" t="str">
        <f t="shared" si="4"/>
        <v/>
      </c>
      <c r="B123" t="str">
        <f t="shared" si="5"/>
        <v/>
      </c>
      <c r="C123" s="23" t="str">
        <f t="shared" si="6"/>
        <v/>
      </c>
      <c r="E123" s="24" t="str">
        <f>IF(NOT(ISBLANK(G3copy!B123)),G3copy!B123,"")</f>
        <v/>
      </c>
      <c r="F123" s="24" t="str">
        <f>IF(E123&lt;&gt;"",G3copy!A123,"")</f>
        <v/>
      </c>
      <c r="G123" s="24" t="str">
        <f>IF(E123&lt;&gt;"",G3copy!F123,"")</f>
        <v/>
      </c>
    </row>
    <row r="124" spans="1:7" ht="15.75" customHeight="1">
      <c r="A124" s="23" t="str">
        <f t="shared" si="4"/>
        <v/>
      </c>
      <c r="B124" t="str">
        <f t="shared" si="5"/>
        <v/>
      </c>
      <c r="C124" s="23" t="str">
        <f t="shared" si="6"/>
        <v/>
      </c>
      <c r="E124" s="24" t="str">
        <f>IF(NOT(ISBLANK(G3copy!B124)),G3copy!B124,"")</f>
        <v/>
      </c>
      <c r="F124" s="24" t="str">
        <f>IF(E124&lt;&gt;"",G3copy!A124,"")</f>
        <v/>
      </c>
      <c r="G124" s="24" t="str">
        <f>IF(E124&lt;&gt;"",G3copy!F124,"")</f>
        <v/>
      </c>
    </row>
    <row r="125" spans="1:7" ht="15.75" customHeight="1">
      <c r="A125" s="23" t="str">
        <f t="shared" si="4"/>
        <v/>
      </c>
      <c r="B125" t="str">
        <f t="shared" si="5"/>
        <v/>
      </c>
      <c r="C125" s="23" t="str">
        <f t="shared" si="6"/>
        <v/>
      </c>
      <c r="E125" s="24" t="str">
        <f>IF(NOT(ISBLANK(G3copy!B125)),G3copy!B125,"")</f>
        <v/>
      </c>
      <c r="F125" s="24" t="str">
        <f>IF(E125&lt;&gt;"",G3copy!A125,"")</f>
        <v/>
      </c>
      <c r="G125" s="24" t="str">
        <f>IF(E125&lt;&gt;"",G3copy!F125,"")</f>
        <v/>
      </c>
    </row>
    <row r="126" spans="1:7" ht="15.75" customHeight="1">
      <c r="A126" s="23" t="str">
        <f t="shared" si="4"/>
        <v/>
      </c>
      <c r="B126" t="str">
        <f t="shared" si="5"/>
        <v/>
      </c>
      <c r="C126" s="23" t="str">
        <f t="shared" si="6"/>
        <v/>
      </c>
      <c r="E126" s="24" t="str">
        <f>IF(NOT(ISBLANK(G3copy!B126)),G3copy!B126,"")</f>
        <v/>
      </c>
      <c r="F126" s="24" t="str">
        <f>IF(E126&lt;&gt;"",G3copy!A126,"")</f>
        <v/>
      </c>
      <c r="G126" s="24" t="str">
        <f>IF(E126&lt;&gt;"",G3copy!F126,"")</f>
        <v/>
      </c>
    </row>
    <row r="127" spans="1:7" ht="15.75" customHeight="1">
      <c r="A127" s="23" t="str">
        <f t="shared" si="4"/>
        <v/>
      </c>
      <c r="B127" t="str">
        <f t="shared" si="5"/>
        <v/>
      </c>
      <c r="C127" s="23" t="str">
        <f t="shared" si="6"/>
        <v/>
      </c>
      <c r="E127" s="24" t="str">
        <f>IF(NOT(ISBLANK(G3copy!B127)),G3copy!B127,"")</f>
        <v/>
      </c>
      <c r="F127" s="24" t="str">
        <f>IF(E127&lt;&gt;"",G3copy!A127,"")</f>
        <v/>
      </c>
      <c r="G127" s="24" t="str">
        <f>IF(E127&lt;&gt;"",G3copy!F127,"")</f>
        <v/>
      </c>
    </row>
    <row r="128" spans="1:7" ht="15.75" customHeight="1">
      <c r="A128" s="23" t="str">
        <f t="shared" si="4"/>
        <v/>
      </c>
      <c r="B128" t="str">
        <f t="shared" si="5"/>
        <v/>
      </c>
      <c r="C128" s="23" t="str">
        <f t="shared" si="6"/>
        <v/>
      </c>
      <c r="E128" s="24" t="str">
        <f>IF(NOT(ISBLANK(G3copy!B128)),G3copy!B128,"")</f>
        <v/>
      </c>
      <c r="F128" s="24" t="str">
        <f>IF(E128&lt;&gt;"",G3copy!A128,"")</f>
        <v/>
      </c>
      <c r="G128" s="24" t="str">
        <f>IF(E128&lt;&gt;"",G3copy!F128,"")</f>
        <v/>
      </c>
    </row>
    <row r="129" spans="1:7" ht="15.75" customHeight="1">
      <c r="A129" s="23" t="str">
        <f t="shared" si="4"/>
        <v/>
      </c>
      <c r="B129" t="str">
        <f t="shared" si="5"/>
        <v/>
      </c>
      <c r="C129" s="23" t="str">
        <f t="shared" si="6"/>
        <v/>
      </c>
      <c r="E129" s="24" t="str">
        <f>IF(NOT(ISBLANK(G3copy!B129)),G3copy!B129,"")</f>
        <v/>
      </c>
      <c r="F129" s="24" t="str">
        <f>IF(E129&lt;&gt;"",G3copy!A129,"")</f>
        <v/>
      </c>
      <c r="G129" s="24" t="str">
        <f>IF(E129&lt;&gt;"",G3copy!F129,"")</f>
        <v/>
      </c>
    </row>
    <row r="130" spans="1:7" ht="15.75" customHeight="1">
      <c r="A130" s="23" t="str">
        <f t="shared" si="4"/>
        <v/>
      </c>
      <c r="B130" t="str">
        <f t="shared" si="5"/>
        <v/>
      </c>
      <c r="C130" s="23" t="str">
        <f t="shared" si="6"/>
        <v/>
      </c>
      <c r="E130" s="24" t="str">
        <f>IF(NOT(ISBLANK(G3copy!B130)),G3copy!B130,"")</f>
        <v/>
      </c>
      <c r="F130" s="24" t="str">
        <f>IF(E130&lt;&gt;"",G3copy!A130,"")</f>
        <v/>
      </c>
      <c r="G130" s="24" t="str">
        <f>IF(E130&lt;&gt;"",G3copy!F130,"")</f>
        <v/>
      </c>
    </row>
    <row r="131" spans="1:7" ht="15.75" customHeight="1">
      <c r="A131" s="23" t="str">
        <f t="shared" ref="A131:A194" si="7">IF(E131&lt;&gt;"",DATEVALUE(LEFT(E131,10)),"")</f>
        <v/>
      </c>
      <c r="B131" t="str">
        <f t="shared" ref="B131:B194" si="8">IF(LEN(F131)&gt;3,RIGHT(F131,LEN(F131)-3),"")</f>
        <v/>
      </c>
      <c r="C131" s="23" t="str">
        <f t="shared" ref="C131:C194" si="9">IF(E131&lt;&gt;"",DATEVALUE(LEFT(G131,10)),"")</f>
        <v/>
      </c>
      <c r="E131" s="24" t="str">
        <f>IF(NOT(ISBLANK(G3copy!B131)),G3copy!B131,"")</f>
        <v/>
      </c>
      <c r="F131" s="24" t="str">
        <f>IF(E131&lt;&gt;"",G3copy!A131,"")</f>
        <v/>
      </c>
      <c r="G131" s="24" t="str">
        <f>IF(E131&lt;&gt;"",G3copy!F131,"")</f>
        <v/>
      </c>
    </row>
    <row r="132" spans="1:7" ht="15.75" customHeight="1">
      <c r="A132" s="23" t="str">
        <f t="shared" si="7"/>
        <v/>
      </c>
      <c r="B132" t="str">
        <f t="shared" si="8"/>
        <v/>
      </c>
      <c r="C132" s="23" t="str">
        <f t="shared" si="9"/>
        <v/>
      </c>
      <c r="E132" s="24" t="str">
        <f>IF(NOT(ISBLANK(G3copy!B132)),G3copy!B132,"")</f>
        <v/>
      </c>
      <c r="F132" s="24" t="str">
        <f>IF(E132&lt;&gt;"",G3copy!A132,"")</f>
        <v/>
      </c>
      <c r="G132" s="24" t="str">
        <f>IF(E132&lt;&gt;"",G3copy!F132,"")</f>
        <v/>
      </c>
    </row>
    <row r="133" spans="1:7" ht="15.75" customHeight="1">
      <c r="A133" s="23" t="str">
        <f t="shared" si="7"/>
        <v/>
      </c>
      <c r="B133" t="str">
        <f t="shared" si="8"/>
        <v/>
      </c>
      <c r="C133" s="23" t="str">
        <f t="shared" si="9"/>
        <v/>
      </c>
      <c r="E133" s="24" t="str">
        <f>IF(NOT(ISBLANK(G3copy!B133)),G3copy!B133,"")</f>
        <v/>
      </c>
      <c r="F133" s="24" t="str">
        <f>IF(E133&lt;&gt;"",G3copy!A133,"")</f>
        <v/>
      </c>
      <c r="G133" s="24" t="str">
        <f>IF(E133&lt;&gt;"",G3copy!F133,"")</f>
        <v/>
      </c>
    </row>
    <row r="134" spans="1:7" ht="15.75" customHeight="1">
      <c r="A134" s="23" t="str">
        <f t="shared" si="7"/>
        <v/>
      </c>
      <c r="B134" t="str">
        <f t="shared" si="8"/>
        <v/>
      </c>
      <c r="C134" s="23" t="str">
        <f t="shared" si="9"/>
        <v/>
      </c>
      <c r="E134" s="24" t="str">
        <f>IF(NOT(ISBLANK(G3copy!B134)),G3copy!B134,"")</f>
        <v/>
      </c>
      <c r="F134" s="24" t="str">
        <f>IF(E134&lt;&gt;"",G3copy!A134,"")</f>
        <v/>
      </c>
      <c r="G134" s="24" t="str">
        <f>IF(E134&lt;&gt;"",G3copy!F134,"")</f>
        <v/>
      </c>
    </row>
    <row r="135" spans="1:7" ht="15.75" customHeight="1">
      <c r="A135" s="23" t="str">
        <f t="shared" si="7"/>
        <v/>
      </c>
      <c r="B135" t="str">
        <f t="shared" si="8"/>
        <v/>
      </c>
      <c r="C135" s="23" t="str">
        <f t="shared" si="9"/>
        <v/>
      </c>
      <c r="E135" s="24" t="str">
        <f>IF(NOT(ISBLANK(G3copy!B135)),G3copy!B135,"")</f>
        <v/>
      </c>
      <c r="F135" s="24" t="str">
        <f>IF(E135&lt;&gt;"",G3copy!A135,"")</f>
        <v/>
      </c>
      <c r="G135" s="24" t="str">
        <f>IF(E135&lt;&gt;"",G3copy!F135,"")</f>
        <v/>
      </c>
    </row>
    <row r="136" spans="1:7" ht="15.75" customHeight="1">
      <c r="A136" s="23" t="str">
        <f t="shared" si="7"/>
        <v/>
      </c>
      <c r="B136" t="str">
        <f t="shared" si="8"/>
        <v/>
      </c>
      <c r="C136" s="23" t="str">
        <f t="shared" si="9"/>
        <v/>
      </c>
      <c r="E136" s="24" t="str">
        <f>IF(NOT(ISBLANK(G3copy!B136)),G3copy!B136,"")</f>
        <v/>
      </c>
      <c r="F136" s="24" t="str">
        <f>IF(E136&lt;&gt;"",G3copy!A136,"")</f>
        <v/>
      </c>
      <c r="G136" s="24" t="str">
        <f>IF(E136&lt;&gt;"",G3copy!F136,"")</f>
        <v/>
      </c>
    </row>
    <row r="137" spans="1:7" ht="15.75" customHeight="1">
      <c r="A137" s="23" t="str">
        <f t="shared" si="7"/>
        <v/>
      </c>
      <c r="B137" t="str">
        <f t="shared" si="8"/>
        <v/>
      </c>
      <c r="C137" s="23" t="str">
        <f t="shared" si="9"/>
        <v/>
      </c>
      <c r="E137" s="24" t="str">
        <f>IF(NOT(ISBLANK(G3copy!B137)),G3copy!B137,"")</f>
        <v/>
      </c>
      <c r="F137" s="24" t="str">
        <f>IF(E137&lt;&gt;"",G3copy!A137,"")</f>
        <v/>
      </c>
      <c r="G137" s="24" t="str">
        <f>IF(E137&lt;&gt;"",G3copy!F137,"")</f>
        <v/>
      </c>
    </row>
    <row r="138" spans="1:7" ht="15.75" customHeight="1">
      <c r="A138" s="23" t="str">
        <f t="shared" si="7"/>
        <v/>
      </c>
      <c r="B138" t="str">
        <f t="shared" si="8"/>
        <v/>
      </c>
      <c r="C138" s="23" t="str">
        <f t="shared" si="9"/>
        <v/>
      </c>
      <c r="E138" s="24" t="str">
        <f>IF(NOT(ISBLANK(G3copy!B138)),G3copy!B138,"")</f>
        <v/>
      </c>
      <c r="F138" s="24" t="str">
        <f>IF(E138&lt;&gt;"",G3copy!A138,"")</f>
        <v/>
      </c>
      <c r="G138" s="24" t="str">
        <f>IF(E138&lt;&gt;"",G3copy!F138,"")</f>
        <v/>
      </c>
    </row>
    <row r="139" spans="1:7" ht="15.75" customHeight="1">
      <c r="A139" s="23" t="str">
        <f t="shared" si="7"/>
        <v/>
      </c>
      <c r="B139" t="str">
        <f t="shared" si="8"/>
        <v/>
      </c>
      <c r="C139" s="23" t="str">
        <f t="shared" si="9"/>
        <v/>
      </c>
      <c r="E139" s="24" t="str">
        <f>IF(NOT(ISBLANK(G3copy!B139)),G3copy!B139,"")</f>
        <v/>
      </c>
      <c r="F139" s="24" t="str">
        <f>IF(E139&lt;&gt;"",G3copy!A139,"")</f>
        <v/>
      </c>
      <c r="G139" s="24" t="str">
        <f>IF(E139&lt;&gt;"",G3copy!F139,"")</f>
        <v/>
      </c>
    </row>
    <row r="140" spans="1:7" ht="15.75" customHeight="1">
      <c r="A140" s="23" t="str">
        <f t="shared" si="7"/>
        <v/>
      </c>
      <c r="B140" t="str">
        <f t="shared" si="8"/>
        <v/>
      </c>
      <c r="C140" s="23" t="str">
        <f t="shared" si="9"/>
        <v/>
      </c>
      <c r="E140" s="24" t="str">
        <f>IF(NOT(ISBLANK(G3copy!B140)),G3copy!B140,"")</f>
        <v/>
      </c>
      <c r="F140" s="24" t="str">
        <f>IF(E140&lt;&gt;"",G3copy!A140,"")</f>
        <v/>
      </c>
      <c r="G140" s="24" t="str">
        <f>IF(E140&lt;&gt;"",G3copy!F140,"")</f>
        <v/>
      </c>
    </row>
    <row r="141" spans="1:7" ht="15.75" customHeight="1">
      <c r="A141" s="23" t="str">
        <f t="shared" si="7"/>
        <v/>
      </c>
      <c r="B141" t="str">
        <f t="shared" si="8"/>
        <v/>
      </c>
      <c r="C141" s="23" t="str">
        <f t="shared" si="9"/>
        <v/>
      </c>
      <c r="E141" s="24" t="str">
        <f>IF(NOT(ISBLANK(G3copy!B141)),G3copy!B141,"")</f>
        <v/>
      </c>
      <c r="F141" s="24" t="str">
        <f>IF(E141&lt;&gt;"",G3copy!A141,"")</f>
        <v/>
      </c>
      <c r="G141" s="24" t="str">
        <f>IF(E141&lt;&gt;"",G3copy!F141,"")</f>
        <v/>
      </c>
    </row>
    <row r="142" spans="1:7" ht="15.75" customHeight="1">
      <c r="A142" s="23" t="str">
        <f t="shared" si="7"/>
        <v/>
      </c>
      <c r="B142" t="str">
        <f t="shared" si="8"/>
        <v/>
      </c>
      <c r="C142" s="23" t="str">
        <f t="shared" si="9"/>
        <v/>
      </c>
      <c r="E142" s="24" t="str">
        <f>IF(NOT(ISBLANK(G3copy!B142)),G3copy!B142,"")</f>
        <v/>
      </c>
      <c r="F142" s="24" t="str">
        <f>IF(E142&lt;&gt;"",G3copy!A142,"")</f>
        <v/>
      </c>
      <c r="G142" s="24" t="str">
        <f>IF(E142&lt;&gt;"",G3copy!F142,"")</f>
        <v/>
      </c>
    </row>
    <row r="143" spans="1:7" ht="15.75" customHeight="1">
      <c r="A143" s="23" t="str">
        <f t="shared" si="7"/>
        <v/>
      </c>
      <c r="B143" t="str">
        <f t="shared" si="8"/>
        <v/>
      </c>
      <c r="C143" s="23" t="str">
        <f t="shared" si="9"/>
        <v/>
      </c>
      <c r="E143" s="24" t="str">
        <f>IF(NOT(ISBLANK(G3copy!B143)),G3copy!B143,"")</f>
        <v/>
      </c>
      <c r="F143" s="24" t="str">
        <f>IF(E143&lt;&gt;"",G3copy!A143,"")</f>
        <v/>
      </c>
      <c r="G143" s="24" t="str">
        <f>IF(E143&lt;&gt;"",G3copy!F143,"")</f>
        <v/>
      </c>
    </row>
    <row r="144" spans="1:7" ht="15.75" customHeight="1">
      <c r="A144" s="23" t="str">
        <f t="shared" si="7"/>
        <v/>
      </c>
      <c r="B144" t="str">
        <f t="shared" si="8"/>
        <v/>
      </c>
      <c r="C144" s="23" t="str">
        <f t="shared" si="9"/>
        <v/>
      </c>
      <c r="E144" s="24" t="str">
        <f>IF(NOT(ISBLANK(G3copy!B144)),G3copy!B144,"")</f>
        <v/>
      </c>
      <c r="F144" s="24" t="str">
        <f>IF(E144&lt;&gt;"",G3copy!A144,"")</f>
        <v/>
      </c>
      <c r="G144" s="24" t="str">
        <f>IF(E144&lt;&gt;"",G3copy!F144,"")</f>
        <v/>
      </c>
    </row>
    <row r="145" spans="1:7" ht="15.75" customHeight="1">
      <c r="A145" s="23" t="str">
        <f t="shared" si="7"/>
        <v/>
      </c>
      <c r="B145" t="str">
        <f t="shared" si="8"/>
        <v/>
      </c>
      <c r="C145" s="23" t="str">
        <f t="shared" si="9"/>
        <v/>
      </c>
      <c r="E145" s="24" t="str">
        <f>IF(NOT(ISBLANK(G3copy!B145)),G3copy!B145,"")</f>
        <v/>
      </c>
      <c r="F145" s="24" t="str">
        <f>IF(E145&lt;&gt;"",G3copy!A145,"")</f>
        <v/>
      </c>
      <c r="G145" s="24" t="str">
        <f>IF(E145&lt;&gt;"",G3copy!F145,"")</f>
        <v/>
      </c>
    </row>
    <row r="146" spans="1:7" ht="15.75" customHeight="1">
      <c r="A146" s="23" t="str">
        <f t="shared" si="7"/>
        <v/>
      </c>
      <c r="B146" t="str">
        <f t="shared" si="8"/>
        <v/>
      </c>
      <c r="C146" s="23" t="str">
        <f t="shared" si="9"/>
        <v/>
      </c>
      <c r="E146" s="24" t="str">
        <f>IF(NOT(ISBLANK(G3copy!B146)),G3copy!B146,"")</f>
        <v/>
      </c>
      <c r="F146" s="24" t="str">
        <f>IF(E146&lt;&gt;"",G3copy!A146,"")</f>
        <v/>
      </c>
      <c r="G146" s="24" t="str">
        <f>IF(E146&lt;&gt;"",G3copy!F146,"")</f>
        <v/>
      </c>
    </row>
    <row r="147" spans="1:7" ht="15.75" customHeight="1">
      <c r="A147" s="23" t="str">
        <f t="shared" si="7"/>
        <v/>
      </c>
      <c r="B147" t="str">
        <f t="shared" si="8"/>
        <v/>
      </c>
      <c r="C147" s="23" t="str">
        <f t="shared" si="9"/>
        <v/>
      </c>
      <c r="E147" s="24" t="str">
        <f>IF(NOT(ISBLANK(G3copy!B147)),G3copy!B147,"")</f>
        <v/>
      </c>
      <c r="F147" s="24" t="str">
        <f>IF(E147&lt;&gt;"",G3copy!A147,"")</f>
        <v/>
      </c>
      <c r="G147" s="24" t="str">
        <f>IF(E147&lt;&gt;"",G3copy!F147,"")</f>
        <v/>
      </c>
    </row>
    <row r="148" spans="1:7" ht="15.75" customHeight="1">
      <c r="A148" s="23" t="str">
        <f t="shared" si="7"/>
        <v/>
      </c>
      <c r="B148" t="str">
        <f t="shared" si="8"/>
        <v/>
      </c>
      <c r="C148" s="23" t="str">
        <f t="shared" si="9"/>
        <v/>
      </c>
      <c r="E148" s="24" t="str">
        <f>IF(NOT(ISBLANK(G3copy!B148)),G3copy!B148,"")</f>
        <v/>
      </c>
      <c r="F148" s="24" t="str">
        <f>IF(E148&lt;&gt;"",G3copy!A148,"")</f>
        <v/>
      </c>
      <c r="G148" s="24" t="str">
        <f>IF(E148&lt;&gt;"",G3copy!F148,"")</f>
        <v/>
      </c>
    </row>
    <row r="149" spans="1:7" ht="15.75" customHeight="1">
      <c r="A149" s="23" t="str">
        <f t="shared" si="7"/>
        <v/>
      </c>
      <c r="B149" t="str">
        <f t="shared" si="8"/>
        <v/>
      </c>
      <c r="C149" s="23" t="str">
        <f t="shared" si="9"/>
        <v/>
      </c>
      <c r="E149" s="24" t="str">
        <f>IF(NOT(ISBLANK(G3copy!B149)),G3copy!B149,"")</f>
        <v/>
      </c>
      <c r="F149" s="24" t="str">
        <f>IF(E149&lt;&gt;"",G3copy!A149,"")</f>
        <v/>
      </c>
      <c r="G149" s="24" t="str">
        <f>IF(E149&lt;&gt;"",G3copy!F149,"")</f>
        <v/>
      </c>
    </row>
    <row r="150" spans="1:7" ht="15.75" customHeight="1">
      <c r="A150" s="23" t="str">
        <f t="shared" si="7"/>
        <v/>
      </c>
      <c r="B150" t="str">
        <f t="shared" si="8"/>
        <v/>
      </c>
      <c r="C150" s="23" t="str">
        <f t="shared" si="9"/>
        <v/>
      </c>
      <c r="E150" s="24" t="str">
        <f>IF(NOT(ISBLANK(G3copy!B150)),G3copy!B150,"")</f>
        <v/>
      </c>
      <c r="F150" s="24" t="str">
        <f>IF(E150&lt;&gt;"",G3copy!A150,"")</f>
        <v/>
      </c>
      <c r="G150" s="24" t="str">
        <f>IF(E150&lt;&gt;"",G3copy!F150,"")</f>
        <v/>
      </c>
    </row>
    <row r="151" spans="1:7" ht="15.75" customHeight="1">
      <c r="A151" s="23" t="str">
        <f t="shared" si="7"/>
        <v/>
      </c>
      <c r="B151" t="str">
        <f t="shared" si="8"/>
        <v/>
      </c>
      <c r="C151" s="23" t="str">
        <f t="shared" si="9"/>
        <v/>
      </c>
      <c r="E151" s="24" t="str">
        <f>IF(NOT(ISBLANK(G3copy!B151)),G3copy!B151,"")</f>
        <v/>
      </c>
      <c r="F151" s="24" t="str">
        <f>IF(E151&lt;&gt;"",G3copy!A151,"")</f>
        <v/>
      </c>
      <c r="G151" s="24" t="str">
        <f>IF(E151&lt;&gt;"",G3copy!F151,"")</f>
        <v/>
      </c>
    </row>
    <row r="152" spans="1:7" ht="15.75" customHeight="1">
      <c r="A152" s="23" t="str">
        <f t="shared" si="7"/>
        <v/>
      </c>
      <c r="B152" t="str">
        <f t="shared" si="8"/>
        <v/>
      </c>
      <c r="C152" s="23" t="str">
        <f t="shared" si="9"/>
        <v/>
      </c>
      <c r="E152" s="24" t="str">
        <f>IF(NOT(ISBLANK(G3copy!B152)),G3copy!B152,"")</f>
        <v/>
      </c>
      <c r="F152" s="24" t="str">
        <f>IF(E152&lt;&gt;"",G3copy!A152,"")</f>
        <v/>
      </c>
      <c r="G152" s="24" t="str">
        <f>IF(E152&lt;&gt;"",G3copy!F152,"")</f>
        <v/>
      </c>
    </row>
    <row r="153" spans="1:7" ht="15.75" customHeight="1">
      <c r="A153" s="23" t="str">
        <f t="shared" si="7"/>
        <v/>
      </c>
      <c r="B153" t="str">
        <f t="shared" si="8"/>
        <v/>
      </c>
      <c r="C153" s="23" t="str">
        <f t="shared" si="9"/>
        <v/>
      </c>
      <c r="E153" s="24" t="str">
        <f>IF(NOT(ISBLANK(G3copy!B153)),G3copy!B153,"")</f>
        <v/>
      </c>
      <c r="F153" s="24" t="str">
        <f>IF(E153&lt;&gt;"",G3copy!A153,"")</f>
        <v/>
      </c>
      <c r="G153" s="24" t="str">
        <f>IF(E153&lt;&gt;"",G3copy!F153,"")</f>
        <v/>
      </c>
    </row>
    <row r="154" spans="1:7" ht="15.75" customHeight="1">
      <c r="A154" s="23" t="str">
        <f t="shared" si="7"/>
        <v/>
      </c>
      <c r="B154" t="str">
        <f t="shared" si="8"/>
        <v/>
      </c>
      <c r="C154" s="23" t="str">
        <f t="shared" si="9"/>
        <v/>
      </c>
      <c r="E154" s="24" t="str">
        <f>IF(NOT(ISBLANK(G3copy!B154)),G3copy!B154,"")</f>
        <v/>
      </c>
      <c r="F154" s="24" t="str">
        <f>IF(E154&lt;&gt;"",G3copy!A154,"")</f>
        <v/>
      </c>
      <c r="G154" s="24" t="str">
        <f>IF(E154&lt;&gt;"",G3copy!F154,"")</f>
        <v/>
      </c>
    </row>
    <row r="155" spans="1:7" ht="15.75" customHeight="1">
      <c r="A155" s="23" t="str">
        <f t="shared" si="7"/>
        <v/>
      </c>
      <c r="B155" t="str">
        <f t="shared" si="8"/>
        <v/>
      </c>
      <c r="C155" s="23" t="str">
        <f t="shared" si="9"/>
        <v/>
      </c>
      <c r="E155" s="24" t="str">
        <f>IF(NOT(ISBLANK(G3copy!B155)),G3copy!B155,"")</f>
        <v/>
      </c>
      <c r="F155" s="24" t="str">
        <f>IF(E155&lt;&gt;"",G3copy!A155,"")</f>
        <v/>
      </c>
      <c r="G155" s="24" t="str">
        <f>IF(E155&lt;&gt;"",G3copy!F155,"")</f>
        <v/>
      </c>
    </row>
    <row r="156" spans="1:7" ht="15.75" customHeight="1">
      <c r="A156" s="23" t="str">
        <f t="shared" si="7"/>
        <v/>
      </c>
      <c r="B156" t="str">
        <f t="shared" si="8"/>
        <v/>
      </c>
      <c r="C156" s="23" t="str">
        <f t="shared" si="9"/>
        <v/>
      </c>
      <c r="E156" s="24" t="str">
        <f>IF(NOT(ISBLANK(G3copy!B156)),G3copy!B156,"")</f>
        <v/>
      </c>
      <c r="F156" s="24" t="str">
        <f>IF(E156&lt;&gt;"",G3copy!A156,"")</f>
        <v/>
      </c>
      <c r="G156" s="24" t="str">
        <f>IF(E156&lt;&gt;"",G3copy!F156,"")</f>
        <v/>
      </c>
    </row>
    <row r="157" spans="1:7" ht="15.75" customHeight="1">
      <c r="A157" s="23" t="str">
        <f t="shared" si="7"/>
        <v/>
      </c>
      <c r="B157" t="str">
        <f t="shared" si="8"/>
        <v/>
      </c>
      <c r="C157" s="23" t="str">
        <f t="shared" si="9"/>
        <v/>
      </c>
      <c r="E157" s="24" t="str">
        <f>IF(NOT(ISBLANK(G3copy!B157)),G3copy!B157,"")</f>
        <v/>
      </c>
      <c r="F157" s="24" t="str">
        <f>IF(E157&lt;&gt;"",G3copy!A157,"")</f>
        <v/>
      </c>
      <c r="G157" s="24" t="str">
        <f>IF(E157&lt;&gt;"",G3copy!F157,"")</f>
        <v/>
      </c>
    </row>
    <row r="158" spans="1:7" ht="15.75" customHeight="1">
      <c r="A158" s="23" t="str">
        <f t="shared" si="7"/>
        <v/>
      </c>
      <c r="B158" t="str">
        <f t="shared" si="8"/>
        <v/>
      </c>
      <c r="C158" s="23" t="str">
        <f t="shared" si="9"/>
        <v/>
      </c>
      <c r="E158" s="24" t="str">
        <f>IF(NOT(ISBLANK(G3copy!B158)),G3copy!B158,"")</f>
        <v/>
      </c>
      <c r="F158" s="24" t="str">
        <f>IF(E158&lt;&gt;"",G3copy!A158,"")</f>
        <v/>
      </c>
      <c r="G158" s="24" t="str">
        <f>IF(E158&lt;&gt;"",G3copy!F158,"")</f>
        <v/>
      </c>
    </row>
    <row r="159" spans="1:7" ht="15.75" customHeight="1">
      <c r="A159" s="23" t="str">
        <f t="shared" si="7"/>
        <v/>
      </c>
      <c r="B159" t="str">
        <f t="shared" si="8"/>
        <v/>
      </c>
      <c r="C159" s="23" t="str">
        <f t="shared" si="9"/>
        <v/>
      </c>
      <c r="E159" s="24" t="str">
        <f>IF(NOT(ISBLANK(G3copy!B159)),G3copy!B159,"")</f>
        <v/>
      </c>
      <c r="F159" s="24" t="str">
        <f>IF(E159&lt;&gt;"",G3copy!A159,"")</f>
        <v/>
      </c>
      <c r="G159" s="24" t="str">
        <f>IF(E159&lt;&gt;"",G3copy!F159,"")</f>
        <v/>
      </c>
    </row>
    <row r="160" spans="1:7" ht="15.75" customHeight="1">
      <c r="A160" s="23" t="str">
        <f t="shared" si="7"/>
        <v/>
      </c>
      <c r="B160" t="str">
        <f t="shared" si="8"/>
        <v/>
      </c>
      <c r="C160" s="23" t="str">
        <f t="shared" si="9"/>
        <v/>
      </c>
      <c r="E160" s="24" t="str">
        <f>IF(NOT(ISBLANK(G3copy!B160)),G3copy!B160,"")</f>
        <v/>
      </c>
      <c r="F160" s="24" t="str">
        <f>IF(E160&lt;&gt;"",G3copy!A160,"")</f>
        <v/>
      </c>
      <c r="G160" s="24" t="str">
        <f>IF(E160&lt;&gt;"",G3copy!F160,"")</f>
        <v/>
      </c>
    </row>
    <row r="161" spans="1:7" ht="15.75" customHeight="1">
      <c r="A161" s="23" t="str">
        <f t="shared" si="7"/>
        <v/>
      </c>
      <c r="B161" t="str">
        <f t="shared" si="8"/>
        <v/>
      </c>
      <c r="C161" s="23" t="str">
        <f t="shared" si="9"/>
        <v/>
      </c>
      <c r="E161" s="24" t="str">
        <f>IF(NOT(ISBLANK(G3copy!B161)),G3copy!B161,"")</f>
        <v/>
      </c>
      <c r="F161" s="24" t="str">
        <f>IF(E161&lt;&gt;"",G3copy!A161,"")</f>
        <v/>
      </c>
      <c r="G161" s="24" t="str">
        <f>IF(E161&lt;&gt;"",G3copy!F161,"")</f>
        <v/>
      </c>
    </row>
    <row r="162" spans="1:7" ht="15.75" customHeight="1">
      <c r="A162" s="23" t="str">
        <f t="shared" si="7"/>
        <v/>
      </c>
      <c r="B162" t="str">
        <f t="shared" si="8"/>
        <v/>
      </c>
      <c r="C162" s="23" t="str">
        <f t="shared" si="9"/>
        <v/>
      </c>
      <c r="E162" s="24" t="str">
        <f>IF(NOT(ISBLANK(G3copy!B162)),G3copy!B162,"")</f>
        <v/>
      </c>
      <c r="F162" s="24" t="str">
        <f>IF(E162&lt;&gt;"",G3copy!A162,"")</f>
        <v/>
      </c>
      <c r="G162" s="24" t="str">
        <f>IF(E162&lt;&gt;"",G3copy!F162,"")</f>
        <v/>
      </c>
    </row>
    <row r="163" spans="1:7" ht="15.75" customHeight="1">
      <c r="A163" s="23" t="str">
        <f t="shared" si="7"/>
        <v/>
      </c>
      <c r="B163" t="str">
        <f t="shared" si="8"/>
        <v/>
      </c>
      <c r="C163" s="23" t="str">
        <f t="shared" si="9"/>
        <v/>
      </c>
      <c r="E163" s="24" t="str">
        <f>IF(NOT(ISBLANK(G3copy!B163)),G3copy!B163,"")</f>
        <v/>
      </c>
      <c r="F163" s="24" t="str">
        <f>IF(E163&lt;&gt;"",G3copy!A163,"")</f>
        <v/>
      </c>
      <c r="G163" s="24" t="str">
        <f>IF(E163&lt;&gt;"",G3copy!F163,"")</f>
        <v/>
      </c>
    </row>
    <row r="164" spans="1:7" ht="15.75" customHeight="1">
      <c r="A164" s="23" t="str">
        <f t="shared" si="7"/>
        <v/>
      </c>
      <c r="B164" t="str">
        <f t="shared" si="8"/>
        <v/>
      </c>
      <c r="C164" s="23" t="str">
        <f t="shared" si="9"/>
        <v/>
      </c>
      <c r="E164" s="24" t="str">
        <f>IF(NOT(ISBLANK(G3copy!B164)),G3copy!B164,"")</f>
        <v/>
      </c>
      <c r="F164" s="24" t="str">
        <f>IF(E164&lt;&gt;"",G3copy!A164,"")</f>
        <v/>
      </c>
      <c r="G164" s="24" t="str">
        <f>IF(E164&lt;&gt;"",G3copy!F164,"")</f>
        <v/>
      </c>
    </row>
    <row r="165" spans="1:7" ht="15.75" customHeight="1">
      <c r="A165" s="23" t="str">
        <f t="shared" si="7"/>
        <v/>
      </c>
      <c r="B165" t="str">
        <f t="shared" si="8"/>
        <v/>
      </c>
      <c r="C165" s="23" t="str">
        <f t="shared" si="9"/>
        <v/>
      </c>
      <c r="E165" s="24" t="str">
        <f>IF(NOT(ISBLANK(G3copy!B165)),G3copy!B165,"")</f>
        <v/>
      </c>
      <c r="F165" s="24" t="str">
        <f>IF(E165&lt;&gt;"",G3copy!A165,"")</f>
        <v/>
      </c>
      <c r="G165" s="24" t="str">
        <f>IF(E165&lt;&gt;"",G3copy!F165,"")</f>
        <v/>
      </c>
    </row>
    <row r="166" spans="1:7" ht="15.75" customHeight="1">
      <c r="A166" s="23" t="str">
        <f t="shared" si="7"/>
        <v/>
      </c>
      <c r="B166" t="str">
        <f t="shared" si="8"/>
        <v/>
      </c>
      <c r="C166" s="23" t="str">
        <f t="shared" si="9"/>
        <v/>
      </c>
      <c r="E166" s="24" t="str">
        <f>IF(NOT(ISBLANK(G3copy!B166)),G3copy!B166,"")</f>
        <v/>
      </c>
      <c r="F166" s="24" t="str">
        <f>IF(E166&lt;&gt;"",G3copy!A166,"")</f>
        <v/>
      </c>
      <c r="G166" s="24" t="str">
        <f>IF(E166&lt;&gt;"",G3copy!F166,"")</f>
        <v/>
      </c>
    </row>
    <row r="167" spans="1:7" ht="15.75" customHeight="1">
      <c r="A167" s="23" t="str">
        <f t="shared" si="7"/>
        <v/>
      </c>
      <c r="B167" t="str">
        <f t="shared" si="8"/>
        <v/>
      </c>
      <c r="C167" s="23" t="str">
        <f t="shared" si="9"/>
        <v/>
      </c>
      <c r="E167" s="24" t="str">
        <f>IF(NOT(ISBLANK(G3copy!B167)),G3copy!B167,"")</f>
        <v/>
      </c>
      <c r="F167" s="24" t="str">
        <f>IF(E167&lt;&gt;"",G3copy!A167,"")</f>
        <v/>
      </c>
      <c r="G167" s="24" t="str">
        <f>IF(E167&lt;&gt;"",G3copy!F167,"")</f>
        <v/>
      </c>
    </row>
    <row r="168" spans="1:7" ht="15.75" customHeight="1">
      <c r="A168" s="23" t="str">
        <f t="shared" si="7"/>
        <v/>
      </c>
      <c r="B168" t="str">
        <f t="shared" si="8"/>
        <v/>
      </c>
      <c r="C168" s="23" t="str">
        <f t="shared" si="9"/>
        <v/>
      </c>
      <c r="E168" s="24" t="str">
        <f>IF(NOT(ISBLANK(G3copy!B168)),G3copy!B168,"")</f>
        <v/>
      </c>
      <c r="F168" s="24" t="str">
        <f>IF(E168&lt;&gt;"",G3copy!A168,"")</f>
        <v/>
      </c>
      <c r="G168" s="24" t="str">
        <f>IF(E168&lt;&gt;"",G3copy!F168,"")</f>
        <v/>
      </c>
    </row>
    <row r="169" spans="1:7" ht="15.75" customHeight="1">
      <c r="A169" s="23" t="str">
        <f t="shared" si="7"/>
        <v/>
      </c>
      <c r="B169" t="str">
        <f t="shared" si="8"/>
        <v/>
      </c>
      <c r="C169" s="23" t="str">
        <f t="shared" si="9"/>
        <v/>
      </c>
      <c r="E169" s="24" t="str">
        <f>IF(NOT(ISBLANK(G3copy!B169)),G3copy!B169,"")</f>
        <v/>
      </c>
      <c r="F169" s="24" t="str">
        <f>IF(E169&lt;&gt;"",G3copy!A169,"")</f>
        <v/>
      </c>
      <c r="G169" s="24" t="str">
        <f>IF(E169&lt;&gt;"",G3copy!F169,"")</f>
        <v/>
      </c>
    </row>
    <row r="170" spans="1:7" ht="15.75" customHeight="1">
      <c r="A170" s="23" t="str">
        <f t="shared" si="7"/>
        <v/>
      </c>
      <c r="B170" t="str">
        <f t="shared" si="8"/>
        <v/>
      </c>
      <c r="C170" s="23" t="str">
        <f t="shared" si="9"/>
        <v/>
      </c>
      <c r="E170" s="24" t="str">
        <f>IF(NOT(ISBLANK(G3copy!B170)),G3copy!B170,"")</f>
        <v/>
      </c>
      <c r="F170" s="24" t="str">
        <f>IF(E170&lt;&gt;"",G3copy!A170,"")</f>
        <v/>
      </c>
      <c r="G170" s="24" t="str">
        <f>IF(E170&lt;&gt;"",G3copy!F170,"")</f>
        <v/>
      </c>
    </row>
    <row r="171" spans="1:7" ht="15.75" customHeight="1">
      <c r="A171" s="23" t="str">
        <f t="shared" si="7"/>
        <v/>
      </c>
      <c r="B171" t="str">
        <f t="shared" si="8"/>
        <v/>
      </c>
      <c r="C171" s="23" t="str">
        <f t="shared" si="9"/>
        <v/>
      </c>
      <c r="E171" s="24" t="str">
        <f>IF(NOT(ISBLANK(G3copy!B171)),G3copy!B171,"")</f>
        <v/>
      </c>
      <c r="F171" s="24" t="str">
        <f>IF(E171&lt;&gt;"",G3copy!A171,"")</f>
        <v/>
      </c>
      <c r="G171" s="24" t="str">
        <f>IF(E171&lt;&gt;"",G3copy!F171,"")</f>
        <v/>
      </c>
    </row>
    <row r="172" spans="1:7" ht="15.75" customHeight="1">
      <c r="A172" s="23" t="str">
        <f t="shared" si="7"/>
        <v/>
      </c>
      <c r="B172" t="str">
        <f t="shared" si="8"/>
        <v/>
      </c>
      <c r="C172" s="23" t="str">
        <f t="shared" si="9"/>
        <v/>
      </c>
      <c r="E172" s="24" t="str">
        <f>IF(NOT(ISBLANK(G3copy!B172)),G3copy!B172,"")</f>
        <v/>
      </c>
      <c r="F172" s="24" t="str">
        <f>IF(E172&lt;&gt;"",G3copy!A172,"")</f>
        <v/>
      </c>
      <c r="G172" s="24" t="str">
        <f>IF(E172&lt;&gt;"",G3copy!F172,"")</f>
        <v/>
      </c>
    </row>
    <row r="173" spans="1:7" ht="15.75" customHeight="1">
      <c r="A173" s="23" t="str">
        <f t="shared" si="7"/>
        <v/>
      </c>
      <c r="B173" t="str">
        <f t="shared" si="8"/>
        <v/>
      </c>
      <c r="C173" s="23" t="str">
        <f t="shared" si="9"/>
        <v/>
      </c>
      <c r="E173" s="24" t="str">
        <f>IF(NOT(ISBLANK(G3copy!B173)),G3copy!B173,"")</f>
        <v/>
      </c>
      <c r="F173" s="24" t="str">
        <f>IF(E173&lt;&gt;"",G3copy!A173,"")</f>
        <v/>
      </c>
      <c r="G173" s="24" t="str">
        <f>IF(E173&lt;&gt;"",G3copy!F173,"")</f>
        <v/>
      </c>
    </row>
    <row r="174" spans="1:7" ht="15.75" customHeight="1">
      <c r="A174" s="23" t="str">
        <f t="shared" si="7"/>
        <v/>
      </c>
      <c r="B174" t="str">
        <f t="shared" si="8"/>
        <v/>
      </c>
      <c r="C174" s="23" t="str">
        <f t="shared" si="9"/>
        <v/>
      </c>
      <c r="E174" s="24" t="str">
        <f>IF(NOT(ISBLANK(G3copy!B174)),G3copy!B174,"")</f>
        <v/>
      </c>
      <c r="F174" s="24" t="str">
        <f>IF(E174&lt;&gt;"",G3copy!A174,"")</f>
        <v/>
      </c>
      <c r="G174" s="24" t="str">
        <f>IF(E174&lt;&gt;"",G3copy!F174,"")</f>
        <v/>
      </c>
    </row>
    <row r="175" spans="1:7" ht="15.75" customHeight="1">
      <c r="A175" s="23" t="str">
        <f t="shared" si="7"/>
        <v/>
      </c>
      <c r="B175" t="str">
        <f t="shared" si="8"/>
        <v/>
      </c>
      <c r="C175" s="23" t="str">
        <f t="shared" si="9"/>
        <v/>
      </c>
      <c r="E175" s="24" t="str">
        <f>IF(NOT(ISBLANK(G3copy!B175)),G3copy!B175,"")</f>
        <v/>
      </c>
      <c r="F175" s="24" t="str">
        <f>IF(E175&lt;&gt;"",G3copy!A175,"")</f>
        <v/>
      </c>
      <c r="G175" s="24" t="str">
        <f>IF(E175&lt;&gt;"",G3copy!F175,"")</f>
        <v/>
      </c>
    </row>
    <row r="176" spans="1:7" ht="15.75" customHeight="1">
      <c r="A176" s="23" t="str">
        <f t="shared" si="7"/>
        <v/>
      </c>
      <c r="B176" t="str">
        <f t="shared" si="8"/>
        <v/>
      </c>
      <c r="C176" s="23" t="str">
        <f t="shared" si="9"/>
        <v/>
      </c>
      <c r="E176" s="24" t="str">
        <f>IF(NOT(ISBLANK(G3copy!B176)),G3copy!B176,"")</f>
        <v/>
      </c>
      <c r="F176" s="24" t="str">
        <f>IF(E176&lt;&gt;"",G3copy!A176,"")</f>
        <v/>
      </c>
      <c r="G176" s="24" t="str">
        <f>IF(E176&lt;&gt;"",G3copy!F176,"")</f>
        <v/>
      </c>
    </row>
    <row r="177" spans="1:7" ht="15.75" customHeight="1">
      <c r="A177" s="23" t="str">
        <f t="shared" si="7"/>
        <v/>
      </c>
      <c r="B177" t="str">
        <f t="shared" si="8"/>
        <v/>
      </c>
      <c r="C177" s="23" t="str">
        <f t="shared" si="9"/>
        <v/>
      </c>
      <c r="E177" s="24" t="str">
        <f>IF(NOT(ISBLANK(G3copy!B177)),G3copy!B177,"")</f>
        <v/>
      </c>
      <c r="F177" s="24" t="str">
        <f>IF(E177&lt;&gt;"",G3copy!A177,"")</f>
        <v/>
      </c>
      <c r="G177" s="24" t="str">
        <f>IF(E177&lt;&gt;"",G3copy!F177,"")</f>
        <v/>
      </c>
    </row>
    <row r="178" spans="1:7" ht="15.75" customHeight="1">
      <c r="A178" s="23" t="str">
        <f t="shared" si="7"/>
        <v/>
      </c>
      <c r="B178" t="str">
        <f t="shared" si="8"/>
        <v/>
      </c>
      <c r="C178" s="23" t="str">
        <f t="shared" si="9"/>
        <v/>
      </c>
      <c r="E178" s="24" t="str">
        <f>IF(NOT(ISBLANK(G3copy!B178)),G3copy!B178,"")</f>
        <v/>
      </c>
      <c r="F178" s="24" t="str">
        <f>IF(E178&lt;&gt;"",G3copy!A178,"")</f>
        <v/>
      </c>
      <c r="G178" s="24" t="str">
        <f>IF(E178&lt;&gt;"",G3copy!F178,"")</f>
        <v/>
      </c>
    </row>
    <row r="179" spans="1:7" ht="15.75" customHeight="1">
      <c r="A179" s="23" t="str">
        <f t="shared" si="7"/>
        <v/>
      </c>
      <c r="B179" t="str">
        <f t="shared" si="8"/>
        <v/>
      </c>
      <c r="C179" s="23" t="str">
        <f t="shared" si="9"/>
        <v/>
      </c>
      <c r="E179" s="24" t="str">
        <f>IF(NOT(ISBLANK(G3copy!B179)),G3copy!B179,"")</f>
        <v/>
      </c>
      <c r="F179" s="24" t="str">
        <f>IF(E179&lt;&gt;"",G3copy!A179,"")</f>
        <v/>
      </c>
      <c r="G179" s="24" t="str">
        <f>IF(E179&lt;&gt;"",G3copy!F179,"")</f>
        <v/>
      </c>
    </row>
    <row r="180" spans="1:7" ht="15.75" customHeight="1">
      <c r="A180" s="23" t="str">
        <f t="shared" si="7"/>
        <v/>
      </c>
      <c r="B180" t="str">
        <f t="shared" si="8"/>
        <v/>
      </c>
      <c r="C180" s="23" t="str">
        <f t="shared" si="9"/>
        <v/>
      </c>
      <c r="E180" s="24" t="str">
        <f>IF(NOT(ISBLANK(G3copy!B180)),G3copy!B180,"")</f>
        <v/>
      </c>
      <c r="F180" s="24" t="str">
        <f>IF(E180&lt;&gt;"",G3copy!A180,"")</f>
        <v/>
      </c>
      <c r="G180" s="24" t="str">
        <f>IF(E180&lt;&gt;"",G3copy!F180,"")</f>
        <v/>
      </c>
    </row>
    <row r="181" spans="1:7" ht="15.75" customHeight="1">
      <c r="A181" s="23" t="str">
        <f t="shared" si="7"/>
        <v/>
      </c>
      <c r="B181" t="str">
        <f t="shared" si="8"/>
        <v/>
      </c>
      <c r="C181" s="23" t="str">
        <f t="shared" si="9"/>
        <v/>
      </c>
      <c r="E181" s="24" t="str">
        <f>IF(NOT(ISBLANK(G3copy!B181)),G3copy!B181,"")</f>
        <v/>
      </c>
      <c r="F181" s="24" t="str">
        <f>IF(E181&lt;&gt;"",G3copy!A181,"")</f>
        <v/>
      </c>
      <c r="G181" s="24" t="str">
        <f>IF(E181&lt;&gt;"",G3copy!F181,"")</f>
        <v/>
      </c>
    </row>
    <row r="182" spans="1:7" ht="15.75" customHeight="1">
      <c r="A182" s="23" t="str">
        <f t="shared" si="7"/>
        <v/>
      </c>
      <c r="B182" t="str">
        <f t="shared" si="8"/>
        <v/>
      </c>
      <c r="C182" s="23" t="str">
        <f t="shared" si="9"/>
        <v/>
      </c>
      <c r="E182" s="24" t="str">
        <f>IF(NOT(ISBLANK(G3copy!B182)),G3copy!B182,"")</f>
        <v/>
      </c>
      <c r="F182" s="24" t="str">
        <f>IF(E182&lt;&gt;"",G3copy!A182,"")</f>
        <v/>
      </c>
      <c r="G182" s="24" t="str">
        <f>IF(E182&lt;&gt;"",G3copy!F182,"")</f>
        <v/>
      </c>
    </row>
    <row r="183" spans="1:7" ht="15.75" customHeight="1">
      <c r="A183" s="23" t="str">
        <f t="shared" si="7"/>
        <v/>
      </c>
      <c r="B183" t="str">
        <f t="shared" si="8"/>
        <v/>
      </c>
      <c r="C183" s="23" t="str">
        <f t="shared" si="9"/>
        <v/>
      </c>
      <c r="E183" s="24" t="str">
        <f>IF(NOT(ISBLANK(G3copy!B183)),G3copy!B183,"")</f>
        <v/>
      </c>
      <c r="F183" s="24" t="str">
        <f>IF(E183&lt;&gt;"",G3copy!A183,"")</f>
        <v/>
      </c>
      <c r="G183" s="24" t="str">
        <f>IF(E183&lt;&gt;"",G3copy!F183,"")</f>
        <v/>
      </c>
    </row>
    <row r="184" spans="1:7" ht="15.75" customHeight="1">
      <c r="A184" s="23" t="str">
        <f t="shared" si="7"/>
        <v/>
      </c>
      <c r="B184" t="str">
        <f t="shared" si="8"/>
        <v/>
      </c>
      <c r="C184" s="23" t="str">
        <f t="shared" si="9"/>
        <v/>
      </c>
      <c r="E184" s="24" t="str">
        <f>IF(NOT(ISBLANK(G3copy!B184)),G3copy!B184,"")</f>
        <v/>
      </c>
      <c r="F184" s="24" t="str">
        <f>IF(E184&lt;&gt;"",G3copy!A184,"")</f>
        <v/>
      </c>
      <c r="G184" s="24" t="str">
        <f>IF(E184&lt;&gt;"",G3copy!F184,"")</f>
        <v/>
      </c>
    </row>
    <row r="185" spans="1:7" ht="15.75" customHeight="1">
      <c r="A185" s="23" t="str">
        <f t="shared" si="7"/>
        <v/>
      </c>
      <c r="B185" t="str">
        <f t="shared" si="8"/>
        <v/>
      </c>
      <c r="C185" s="23" t="str">
        <f t="shared" si="9"/>
        <v/>
      </c>
      <c r="E185" s="24" t="str">
        <f>IF(NOT(ISBLANK(G3copy!B185)),G3copy!B185,"")</f>
        <v/>
      </c>
      <c r="F185" s="24" t="str">
        <f>IF(E185&lt;&gt;"",G3copy!A185,"")</f>
        <v/>
      </c>
      <c r="G185" s="24" t="str">
        <f>IF(E185&lt;&gt;"",G3copy!F185,"")</f>
        <v/>
      </c>
    </row>
    <row r="186" spans="1:7" ht="15.75" customHeight="1">
      <c r="A186" s="23" t="str">
        <f t="shared" si="7"/>
        <v/>
      </c>
      <c r="B186" t="str">
        <f t="shared" si="8"/>
        <v/>
      </c>
      <c r="C186" s="23" t="str">
        <f t="shared" si="9"/>
        <v/>
      </c>
      <c r="E186" s="24" t="str">
        <f>IF(NOT(ISBLANK(G3copy!B186)),G3copy!B186,"")</f>
        <v/>
      </c>
      <c r="F186" s="24" t="str">
        <f>IF(E186&lt;&gt;"",G3copy!A186,"")</f>
        <v/>
      </c>
      <c r="G186" s="24" t="str">
        <f>IF(E186&lt;&gt;"",G3copy!F186,"")</f>
        <v/>
      </c>
    </row>
    <row r="187" spans="1:7" ht="15.75" customHeight="1">
      <c r="A187" s="23" t="str">
        <f t="shared" si="7"/>
        <v/>
      </c>
      <c r="B187" t="str">
        <f t="shared" si="8"/>
        <v/>
      </c>
      <c r="C187" s="23" t="str">
        <f t="shared" si="9"/>
        <v/>
      </c>
      <c r="E187" s="24" t="str">
        <f>IF(NOT(ISBLANK(G3copy!B187)),G3copy!B187,"")</f>
        <v/>
      </c>
      <c r="F187" s="24" t="str">
        <f>IF(E187&lt;&gt;"",G3copy!A187,"")</f>
        <v/>
      </c>
      <c r="G187" s="24" t="str">
        <f>IF(E187&lt;&gt;"",G3copy!F187,"")</f>
        <v/>
      </c>
    </row>
    <row r="188" spans="1:7" ht="15.75" customHeight="1">
      <c r="A188" s="23" t="str">
        <f t="shared" si="7"/>
        <v/>
      </c>
      <c r="B188" t="str">
        <f t="shared" si="8"/>
        <v/>
      </c>
      <c r="C188" s="23" t="str">
        <f t="shared" si="9"/>
        <v/>
      </c>
      <c r="E188" s="24" t="str">
        <f>IF(NOT(ISBLANK(G3copy!B188)),G3copy!B188,"")</f>
        <v/>
      </c>
      <c r="F188" s="24" t="str">
        <f>IF(E188&lt;&gt;"",G3copy!A188,"")</f>
        <v/>
      </c>
      <c r="G188" s="24" t="str">
        <f>IF(E188&lt;&gt;"",G3copy!F188,"")</f>
        <v/>
      </c>
    </row>
    <row r="189" spans="1:7" ht="15.75" customHeight="1">
      <c r="A189" s="23" t="str">
        <f t="shared" si="7"/>
        <v/>
      </c>
      <c r="B189" t="str">
        <f t="shared" si="8"/>
        <v/>
      </c>
      <c r="C189" s="23" t="str">
        <f t="shared" si="9"/>
        <v/>
      </c>
      <c r="E189" s="24" t="str">
        <f>IF(NOT(ISBLANK(G3copy!B189)),G3copy!B189,"")</f>
        <v/>
      </c>
      <c r="F189" s="24" t="str">
        <f>IF(E189&lt;&gt;"",G3copy!A189,"")</f>
        <v/>
      </c>
      <c r="G189" s="24" t="str">
        <f>IF(E189&lt;&gt;"",G3copy!F189,"")</f>
        <v/>
      </c>
    </row>
    <row r="190" spans="1:7" ht="15.75" customHeight="1">
      <c r="A190" s="23" t="str">
        <f t="shared" si="7"/>
        <v/>
      </c>
      <c r="B190" t="str">
        <f t="shared" si="8"/>
        <v/>
      </c>
      <c r="C190" s="23" t="str">
        <f t="shared" si="9"/>
        <v/>
      </c>
      <c r="E190" s="24" t="str">
        <f>IF(NOT(ISBLANK(G3copy!B190)),G3copy!B190,"")</f>
        <v/>
      </c>
      <c r="F190" s="24" t="str">
        <f>IF(E190&lt;&gt;"",G3copy!A190,"")</f>
        <v/>
      </c>
      <c r="G190" s="24" t="str">
        <f>IF(E190&lt;&gt;"",G3copy!F190,"")</f>
        <v/>
      </c>
    </row>
    <row r="191" spans="1:7" ht="15.75" customHeight="1">
      <c r="A191" s="23" t="str">
        <f t="shared" si="7"/>
        <v/>
      </c>
      <c r="B191" t="str">
        <f t="shared" si="8"/>
        <v/>
      </c>
      <c r="C191" s="23" t="str">
        <f t="shared" si="9"/>
        <v/>
      </c>
      <c r="E191" s="24" t="str">
        <f>IF(NOT(ISBLANK(G3copy!B191)),G3copy!B191,"")</f>
        <v/>
      </c>
      <c r="F191" s="24" t="str">
        <f>IF(E191&lt;&gt;"",G3copy!A191,"")</f>
        <v/>
      </c>
      <c r="G191" s="24" t="str">
        <f>IF(E191&lt;&gt;"",G3copy!F191,"")</f>
        <v/>
      </c>
    </row>
    <row r="192" spans="1:7" ht="15.75" customHeight="1">
      <c r="A192" s="23" t="str">
        <f t="shared" si="7"/>
        <v/>
      </c>
      <c r="B192" t="str">
        <f t="shared" si="8"/>
        <v/>
      </c>
      <c r="C192" s="23" t="str">
        <f t="shared" si="9"/>
        <v/>
      </c>
      <c r="E192" s="24" t="str">
        <f>IF(NOT(ISBLANK(G3copy!B192)),G3copy!B192,"")</f>
        <v/>
      </c>
      <c r="F192" s="24" t="str">
        <f>IF(E192&lt;&gt;"",G3copy!A192,"")</f>
        <v/>
      </c>
      <c r="G192" s="24" t="str">
        <f>IF(E192&lt;&gt;"",G3copy!F192,"")</f>
        <v/>
      </c>
    </row>
    <row r="193" spans="1:7" ht="15.75" customHeight="1">
      <c r="A193" s="23" t="str">
        <f t="shared" si="7"/>
        <v/>
      </c>
      <c r="B193" t="str">
        <f t="shared" si="8"/>
        <v/>
      </c>
      <c r="C193" s="23" t="str">
        <f t="shared" si="9"/>
        <v/>
      </c>
      <c r="E193" s="24" t="str">
        <f>IF(NOT(ISBLANK(G3copy!B193)),G3copy!B193,"")</f>
        <v/>
      </c>
      <c r="F193" s="24" t="str">
        <f>IF(E193&lt;&gt;"",G3copy!A193,"")</f>
        <v/>
      </c>
      <c r="G193" s="24" t="str">
        <f>IF(E193&lt;&gt;"",G3copy!F193,"")</f>
        <v/>
      </c>
    </row>
    <row r="194" spans="1:7" ht="15.75" customHeight="1">
      <c r="A194" s="23" t="str">
        <f t="shared" si="7"/>
        <v/>
      </c>
      <c r="B194" t="str">
        <f t="shared" si="8"/>
        <v/>
      </c>
      <c r="C194" s="23" t="str">
        <f t="shared" si="9"/>
        <v/>
      </c>
      <c r="E194" s="24" t="str">
        <f>IF(NOT(ISBLANK(G3copy!B194)),G3copy!B194,"")</f>
        <v/>
      </c>
      <c r="F194" s="24" t="str">
        <f>IF(E194&lt;&gt;"",G3copy!A194,"")</f>
        <v/>
      </c>
      <c r="G194" s="24" t="str">
        <f>IF(E194&lt;&gt;"",G3copy!F194,"")</f>
        <v/>
      </c>
    </row>
    <row r="195" spans="1:7" ht="15.75" customHeight="1">
      <c r="A195" s="23" t="str">
        <f t="shared" ref="A195:A258" si="10">IF(E195&lt;&gt;"",DATEVALUE(LEFT(E195,10)),"")</f>
        <v/>
      </c>
      <c r="B195" t="str">
        <f t="shared" ref="B195:B258" si="11">IF(LEN(F195)&gt;3,RIGHT(F195,LEN(F195)-3),"")</f>
        <v/>
      </c>
      <c r="C195" s="23" t="str">
        <f t="shared" ref="C195:C258" si="12">IF(E195&lt;&gt;"",DATEVALUE(LEFT(G195,10)),"")</f>
        <v/>
      </c>
      <c r="E195" s="24" t="str">
        <f>IF(NOT(ISBLANK(G3copy!B195)),G3copy!B195,"")</f>
        <v/>
      </c>
      <c r="F195" s="24" t="str">
        <f>IF(E195&lt;&gt;"",G3copy!A195,"")</f>
        <v/>
      </c>
      <c r="G195" s="24" t="str">
        <f>IF(E195&lt;&gt;"",G3copy!F195,"")</f>
        <v/>
      </c>
    </row>
    <row r="196" spans="1:7" ht="15.75" customHeight="1">
      <c r="A196" s="23" t="str">
        <f t="shared" si="10"/>
        <v/>
      </c>
      <c r="B196" t="str">
        <f t="shared" si="11"/>
        <v/>
      </c>
      <c r="C196" s="23" t="str">
        <f t="shared" si="12"/>
        <v/>
      </c>
      <c r="E196" s="24" t="str">
        <f>IF(NOT(ISBLANK(G3copy!B196)),G3copy!B196,"")</f>
        <v/>
      </c>
      <c r="F196" s="24" t="str">
        <f>IF(E196&lt;&gt;"",G3copy!A196,"")</f>
        <v/>
      </c>
      <c r="G196" s="24" t="str">
        <f>IF(E196&lt;&gt;"",G3copy!F196,"")</f>
        <v/>
      </c>
    </row>
    <row r="197" spans="1:7" ht="15.75" customHeight="1">
      <c r="A197" s="23" t="str">
        <f t="shared" si="10"/>
        <v/>
      </c>
      <c r="B197" t="str">
        <f t="shared" si="11"/>
        <v/>
      </c>
      <c r="C197" s="23" t="str">
        <f t="shared" si="12"/>
        <v/>
      </c>
      <c r="E197" s="24" t="str">
        <f>IF(NOT(ISBLANK(G3copy!B197)),G3copy!B197,"")</f>
        <v/>
      </c>
      <c r="F197" s="24" t="str">
        <f>IF(E197&lt;&gt;"",G3copy!A197,"")</f>
        <v/>
      </c>
      <c r="G197" s="24" t="str">
        <f>IF(E197&lt;&gt;"",G3copy!F197,"")</f>
        <v/>
      </c>
    </row>
    <row r="198" spans="1:7" ht="15.75" customHeight="1">
      <c r="A198" s="23" t="str">
        <f t="shared" si="10"/>
        <v/>
      </c>
      <c r="B198" t="str">
        <f t="shared" si="11"/>
        <v/>
      </c>
      <c r="C198" s="23" t="str">
        <f t="shared" si="12"/>
        <v/>
      </c>
      <c r="E198" s="24" t="str">
        <f>IF(NOT(ISBLANK(G3copy!B198)),G3copy!B198,"")</f>
        <v/>
      </c>
      <c r="F198" s="24" t="str">
        <f>IF(E198&lt;&gt;"",G3copy!A198,"")</f>
        <v/>
      </c>
      <c r="G198" s="24" t="str">
        <f>IF(E198&lt;&gt;"",G3copy!F198,"")</f>
        <v/>
      </c>
    </row>
    <row r="199" spans="1:7" ht="15.75" customHeight="1">
      <c r="A199" s="23" t="str">
        <f t="shared" si="10"/>
        <v/>
      </c>
      <c r="B199" t="str">
        <f t="shared" si="11"/>
        <v/>
      </c>
      <c r="C199" s="23" t="str">
        <f t="shared" si="12"/>
        <v/>
      </c>
      <c r="E199" s="24" t="str">
        <f>IF(NOT(ISBLANK(G3copy!B199)),G3copy!B199,"")</f>
        <v/>
      </c>
      <c r="F199" s="24" t="str">
        <f>IF(E199&lt;&gt;"",G3copy!A199,"")</f>
        <v/>
      </c>
      <c r="G199" s="24" t="str">
        <f>IF(E199&lt;&gt;"",G3copy!F199,"")</f>
        <v/>
      </c>
    </row>
    <row r="200" spans="1:7" ht="15.75" customHeight="1">
      <c r="A200" s="23" t="str">
        <f t="shared" si="10"/>
        <v/>
      </c>
      <c r="B200" t="str">
        <f t="shared" si="11"/>
        <v/>
      </c>
      <c r="C200" s="23" t="str">
        <f t="shared" si="12"/>
        <v/>
      </c>
      <c r="E200" s="24" t="str">
        <f>IF(NOT(ISBLANK(G3copy!B200)),G3copy!B200,"")</f>
        <v/>
      </c>
      <c r="F200" s="24" t="str">
        <f>IF(E200&lt;&gt;"",G3copy!A200,"")</f>
        <v/>
      </c>
      <c r="G200" s="24" t="str">
        <f>IF(E200&lt;&gt;"",G3copy!F200,"")</f>
        <v/>
      </c>
    </row>
    <row r="201" spans="1:7" ht="15.75" customHeight="1">
      <c r="A201" s="23" t="str">
        <f t="shared" si="10"/>
        <v/>
      </c>
      <c r="B201" t="str">
        <f t="shared" si="11"/>
        <v/>
      </c>
      <c r="C201" s="23" t="str">
        <f t="shared" si="12"/>
        <v/>
      </c>
      <c r="E201" s="24" t="str">
        <f>IF(NOT(ISBLANK(G3copy!B201)),G3copy!B201,"")</f>
        <v/>
      </c>
      <c r="F201" s="24" t="str">
        <f>IF(E201&lt;&gt;"",G3copy!A201,"")</f>
        <v/>
      </c>
      <c r="G201" s="24" t="str">
        <f>IF(E201&lt;&gt;"",G3copy!F201,"")</f>
        <v/>
      </c>
    </row>
    <row r="202" spans="1:7" ht="15.75" customHeight="1">
      <c r="A202" s="23" t="str">
        <f t="shared" si="10"/>
        <v/>
      </c>
      <c r="B202" t="str">
        <f t="shared" si="11"/>
        <v/>
      </c>
      <c r="C202" s="23" t="str">
        <f t="shared" si="12"/>
        <v/>
      </c>
      <c r="E202" s="24" t="str">
        <f>IF(NOT(ISBLANK(G3copy!B202)),G3copy!B202,"")</f>
        <v/>
      </c>
      <c r="F202" s="24" t="str">
        <f>IF(E202&lt;&gt;"",G3copy!A202,"")</f>
        <v/>
      </c>
      <c r="G202" s="24" t="str">
        <f>IF(E202&lt;&gt;"",G3copy!F202,"")</f>
        <v/>
      </c>
    </row>
    <row r="203" spans="1:7" ht="15.75" customHeight="1">
      <c r="A203" s="23" t="str">
        <f t="shared" si="10"/>
        <v/>
      </c>
      <c r="B203" t="str">
        <f t="shared" si="11"/>
        <v/>
      </c>
      <c r="C203" s="23" t="str">
        <f t="shared" si="12"/>
        <v/>
      </c>
      <c r="E203" s="24" t="str">
        <f>IF(NOT(ISBLANK(G3copy!B203)),G3copy!B203,"")</f>
        <v/>
      </c>
      <c r="F203" s="24" t="str">
        <f>IF(E203&lt;&gt;"",G3copy!A203,"")</f>
        <v/>
      </c>
      <c r="G203" s="24" t="str">
        <f>IF(E203&lt;&gt;"",G3copy!F203,"")</f>
        <v/>
      </c>
    </row>
    <row r="204" spans="1:7" ht="15.75" customHeight="1">
      <c r="A204" s="23" t="str">
        <f t="shared" si="10"/>
        <v/>
      </c>
      <c r="B204" t="str">
        <f t="shared" si="11"/>
        <v/>
      </c>
      <c r="C204" s="23" t="str">
        <f t="shared" si="12"/>
        <v/>
      </c>
      <c r="E204" s="24" t="str">
        <f>IF(NOT(ISBLANK(G3copy!B204)),G3copy!B204,"")</f>
        <v/>
      </c>
      <c r="F204" s="24" t="str">
        <f>IF(E204&lt;&gt;"",G3copy!A204,"")</f>
        <v/>
      </c>
      <c r="G204" s="24" t="str">
        <f>IF(E204&lt;&gt;"",G3copy!F204,"")</f>
        <v/>
      </c>
    </row>
    <row r="205" spans="1:7" ht="15.75" customHeight="1">
      <c r="A205" s="23" t="str">
        <f t="shared" si="10"/>
        <v/>
      </c>
      <c r="B205" t="str">
        <f t="shared" si="11"/>
        <v/>
      </c>
      <c r="C205" s="23" t="str">
        <f t="shared" si="12"/>
        <v/>
      </c>
      <c r="E205" s="24" t="str">
        <f>IF(NOT(ISBLANK(G3copy!B205)),G3copy!B205,"")</f>
        <v/>
      </c>
      <c r="F205" s="24" t="str">
        <f>IF(E205&lt;&gt;"",G3copy!A205,"")</f>
        <v/>
      </c>
      <c r="G205" s="24" t="str">
        <f>IF(E205&lt;&gt;"",G3copy!F205,"")</f>
        <v/>
      </c>
    </row>
    <row r="206" spans="1:7" ht="15.75" customHeight="1">
      <c r="A206" s="23" t="str">
        <f t="shared" si="10"/>
        <v/>
      </c>
      <c r="B206" t="str">
        <f t="shared" si="11"/>
        <v/>
      </c>
      <c r="C206" s="23" t="str">
        <f t="shared" si="12"/>
        <v/>
      </c>
      <c r="E206" s="24" t="str">
        <f>IF(NOT(ISBLANK(G3copy!B206)),G3copy!B206,"")</f>
        <v/>
      </c>
      <c r="F206" s="24" t="str">
        <f>IF(E206&lt;&gt;"",G3copy!A206,"")</f>
        <v/>
      </c>
      <c r="G206" s="24" t="str">
        <f>IF(E206&lt;&gt;"",G3copy!F206,"")</f>
        <v/>
      </c>
    </row>
    <row r="207" spans="1:7" ht="15.75" customHeight="1">
      <c r="A207" s="23" t="str">
        <f t="shared" si="10"/>
        <v/>
      </c>
      <c r="B207" t="str">
        <f t="shared" si="11"/>
        <v/>
      </c>
      <c r="C207" s="23" t="str">
        <f t="shared" si="12"/>
        <v/>
      </c>
      <c r="E207" s="24" t="str">
        <f>IF(NOT(ISBLANK(G3copy!B207)),G3copy!B207,"")</f>
        <v/>
      </c>
      <c r="F207" s="24" t="str">
        <f>IF(E207&lt;&gt;"",G3copy!A207,"")</f>
        <v/>
      </c>
      <c r="G207" s="24" t="str">
        <f>IF(E207&lt;&gt;"",G3copy!F207,"")</f>
        <v/>
      </c>
    </row>
    <row r="208" spans="1:7" ht="15.75" customHeight="1">
      <c r="A208" s="23" t="str">
        <f t="shared" si="10"/>
        <v/>
      </c>
      <c r="B208" t="str">
        <f t="shared" si="11"/>
        <v/>
      </c>
      <c r="C208" s="23" t="str">
        <f t="shared" si="12"/>
        <v/>
      </c>
      <c r="E208" s="24" t="str">
        <f>IF(NOT(ISBLANK(G3copy!B208)),G3copy!B208,"")</f>
        <v/>
      </c>
      <c r="F208" s="24" t="str">
        <f>IF(E208&lt;&gt;"",G3copy!A208,"")</f>
        <v/>
      </c>
      <c r="G208" s="24" t="str">
        <f>IF(E208&lt;&gt;"",G3copy!F208,"")</f>
        <v/>
      </c>
    </row>
    <row r="209" spans="1:7" ht="15.75" customHeight="1">
      <c r="A209" s="23" t="str">
        <f t="shared" si="10"/>
        <v/>
      </c>
      <c r="B209" t="str">
        <f t="shared" si="11"/>
        <v/>
      </c>
      <c r="C209" s="23" t="str">
        <f t="shared" si="12"/>
        <v/>
      </c>
      <c r="E209" s="24" t="str">
        <f>IF(NOT(ISBLANK(G3copy!B209)),G3copy!B209,"")</f>
        <v/>
      </c>
      <c r="F209" s="24" t="str">
        <f>IF(E209&lt;&gt;"",G3copy!A209,"")</f>
        <v/>
      </c>
      <c r="G209" s="24" t="str">
        <f>IF(E209&lt;&gt;"",G3copy!F209,"")</f>
        <v/>
      </c>
    </row>
    <row r="210" spans="1:7" ht="15.75" customHeight="1">
      <c r="A210" s="23" t="str">
        <f t="shared" si="10"/>
        <v/>
      </c>
      <c r="B210" t="str">
        <f t="shared" si="11"/>
        <v/>
      </c>
      <c r="C210" s="23" t="str">
        <f t="shared" si="12"/>
        <v/>
      </c>
      <c r="E210" s="24" t="str">
        <f>IF(NOT(ISBLANK(G3copy!B210)),G3copy!B210,"")</f>
        <v/>
      </c>
      <c r="F210" s="24" t="str">
        <f>IF(E210&lt;&gt;"",G3copy!A210,"")</f>
        <v/>
      </c>
      <c r="G210" s="24" t="str">
        <f>IF(E210&lt;&gt;"",G3copy!F210,"")</f>
        <v/>
      </c>
    </row>
    <row r="211" spans="1:7" ht="15.75" customHeight="1">
      <c r="A211" s="23" t="str">
        <f t="shared" si="10"/>
        <v/>
      </c>
      <c r="B211" t="str">
        <f t="shared" si="11"/>
        <v/>
      </c>
      <c r="C211" s="23" t="str">
        <f t="shared" si="12"/>
        <v/>
      </c>
      <c r="E211" s="24" t="str">
        <f>IF(NOT(ISBLANK(G3copy!B211)),G3copy!B211,"")</f>
        <v/>
      </c>
      <c r="F211" s="24" t="str">
        <f>IF(E211&lt;&gt;"",G3copy!A211,"")</f>
        <v/>
      </c>
      <c r="G211" s="24" t="str">
        <f>IF(E211&lt;&gt;"",G3copy!F211,"")</f>
        <v/>
      </c>
    </row>
    <row r="212" spans="1:7" ht="15.75" customHeight="1">
      <c r="A212" s="23" t="str">
        <f t="shared" si="10"/>
        <v/>
      </c>
      <c r="B212" t="str">
        <f t="shared" si="11"/>
        <v/>
      </c>
      <c r="C212" s="23" t="str">
        <f t="shared" si="12"/>
        <v/>
      </c>
      <c r="E212" s="24" t="str">
        <f>IF(NOT(ISBLANK(G3copy!B212)),G3copy!B212,"")</f>
        <v/>
      </c>
      <c r="F212" s="24" t="str">
        <f>IF(E212&lt;&gt;"",G3copy!A212,"")</f>
        <v/>
      </c>
      <c r="G212" s="24" t="str">
        <f>IF(E212&lt;&gt;"",G3copy!F212,"")</f>
        <v/>
      </c>
    </row>
    <row r="213" spans="1:7" ht="15.75" customHeight="1">
      <c r="A213" s="23" t="str">
        <f t="shared" si="10"/>
        <v/>
      </c>
      <c r="B213" t="str">
        <f t="shared" si="11"/>
        <v/>
      </c>
      <c r="C213" s="23" t="str">
        <f t="shared" si="12"/>
        <v/>
      </c>
      <c r="E213" s="24" t="str">
        <f>IF(NOT(ISBLANK(G3copy!B213)),G3copy!B213,"")</f>
        <v/>
      </c>
      <c r="F213" s="24" t="str">
        <f>IF(E213&lt;&gt;"",G3copy!A213,"")</f>
        <v/>
      </c>
      <c r="G213" s="24" t="str">
        <f>IF(E213&lt;&gt;"",G3copy!F213,"")</f>
        <v/>
      </c>
    </row>
    <row r="214" spans="1:7" ht="15.75" customHeight="1">
      <c r="A214" s="23" t="str">
        <f t="shared" si="10"/>
        <v/>
      </c>
      <c r="B214" t="str">
        <f t="shared" si="11"/>
        <v/>
      </c>
      <c r="C214" s="23" t="str">
        <f t="shared" si="12"/>
        <v/>
      </c>
      <c r="E214" s="24" t="str">
        <f>IF(NOT(ISBLANK(G3copy!B214)),G3copy!B214,"")</f>
        <v/>
      </c>
      <c r="F214" s="24" t="str">
        <f>IF(E214&lt;&gt;"",G3copy!A214,"")</f>
        <v/>
      </c>
      <c r="G214" s="24" t="str">
        <f>IF(E214&lt;&gt;"",G3copy!F214,"")</f>
        <v/>
      </c>
    </row>
    <row r="215" spans="1:7" ht="15.75" customHeight="1">
      <c r="A215" s="23" t="str">
        <f t="shared" si="10"/>
        <v/>
      </c>
      <c r="B215" t="str">
        <f t="shared" si="11"/>
        <v/>
      </c>
      <c r="C215" s="23" t="str">
        <f t="shared" si="12"/>
        <v/>
      </c>
      <c r="E215" s="24" t="str">
        <f>IF(NOT(ISBLANK(G3copy!B215)),G3copy!B215,"")</f>
        <v/>
      </c>
      <c r="F215" s="24" t="str">
        <f>IF(E215&lt;&gt;"",G3copy!A215,"")</f>
        <v/>
      </c>
      <c r="G215" s="24" t="str">
        <f>IF(E215&lt;&gt;"",G3copy!F215,"")</f>
        <v/>
      </c>
    </row>
    <row r="216" spans="1:7" ht="15.75" customHeight="1">
      <c r="A216" s="23" t="str">
        <f t="shared" si="10"/>
        <v/>
      </c>
      <c r="B216" t="str">
        <f t="shared" si="11"/>
        <v/>
      </c>
      <c r="C216" s="23" t="str">
        <f t="shared" si="12"/>
        <v/>
      </c>
      <c r="E216" s="24" t="str">
        <f>IF(NOT(ISBLANK(G3copy!B216)),G3copy!B216,"")</f>
        <v/>
      </c>
      <c r="F216" s="24" t="str">
        <f>IF(E216&lt;&gt;"",G3copy!A216,"")</f>
        <v/>
      </c>
      <c r="G216" s="24" t="str">
        <f>IF(E216&lt;&gt;"",G3copy!F216,"")</f>
        <v/>
      </c>
    </row>
    <row r="217" spans="1:7" ht="15.75" customHeight="1">
      <c r="A217" s="23" t="str">
        <f t="shared" si="10"/>
        <v/>
      </c>
      <c r="B217" t="str">
        <f t="shared" si="11"/>
        <v/>
      </c>
      <c r="C217" s="23" t="str">
        <f t="shared" si="12"/>
        <v/>
      </c>
      <c r="E217" s="24" t="str">
        <f>IF(NOT(ISBLANK(G3copy!B217)),G3copy!B217,"")</f>
        <v/>
      </c>
      <c r="F217" s="24" t="str">
        <f>IF(E217&lt;&gt;"",G3copy!A217,"")</f>
        <v/>
      </c>
      <c r="G217" s="24" t="str">
        <f>IF(E217&lt;&gt;"",G3copy!F217,"")</f>
        <v/>
      </c>
    </row>
    <row r="218" spans="1:7" ht="15.75" customHeight="1">
      <c r="A218" s="23" t="str">
        <f t="shared" si="10"/>
        <v/>
      </c>
      <c r="B218" t="str">
        <f t="shared" si="11"/>
        <v/>
      </c>
      <c r="C218" s="23" t="str">
        <f t="shared" si="12"/>
        <v/>
      </c>
      <c r="E218" s="24" t="str">
        <f>IF(NOT(ISBLANK(G3copy!B218)),G3copy!B218,"")</f>
        <v/>
      </c>
      <c r="F218" s="24" t="str">
        <f>IF(E218&lt;&gt;"",G3copy!A218,"")</f>
        <v/>
      </c>
      <c r="G218" s="24" t="str">
        <f>IF(E218&lt;&gt;"",G3copy!F218,"")</f>
        <v/>
      </c>
    </row>
    <row r="219" spans="1:7" ht="15.75" customHeight="1">
      <c r="A219" s="23" t="str">
        <f t="shared" si="10"/>
        <v/>
      </c>
      <c r="B219" t="str">
        <f t="shared" si="11"/>
        <v/>
      </c>
      <c r="C219" s="23" t="str">
        <f t="shared" si="12"/>
        <v/>
      </c>
      <c r="E219" s="24" t="str">
        <f>IF(NOT(ISBLANK(G3copy!B219)),G3copy!B219,"")</f>
        <v/>
      </c>
      <c r="F219" s="24" t="str">
        <f>IF(E219&lt;&gt;"",G3copy!A219,"")</f>
        <v/>
      </c>
      <c r="G219" s="24" t="str">
        <f>IF(E219&lt;&gt;"",G3copy!F219,"")</f>
        <v/>
      </c>
    </row>
    <row r="220" spans="1:7" ht="15.75" customHeight="1">
      <c r="A220" s="23" t="str">
        <f t="shared" si="10"/>
        <v/>
      </c>
      <c r="B220" t="str">
        <f t="shared" si="11"/>
        <v/>
      </c>
      <c r="C220" s="23" t="str">
        <f t="shared" si="12"/>
        <v/>
      </c>
      <c r="E220" s="24" t="str">
        <f>IF(NOT(ISBLANK(G3copy!B220)),G3copy!B220,"")</f>
        <v/>
      </c>
      <c r="F220" s="24" t="str">
        <f>IF(E220&lt;&gt;"",G3copy!A220,"")</f>
        <v/>
      </c>
      <c r="G220" s="24" t="str">
        <f>IF(E220&lt;&gt;"",G3copy!F220,"")</f>
        <v/>
      </c>
    </row>
    <row r="221" spans="1:7" ht="15.75" customHeight="1">
      <c r="A221" s="23" t="str">
        <f t="shared" si="10"/>
        <v/>
      </c>
      <c r="B221" t="str">
        <f t="shared" si="11"/>
        <v/>
      </c>
      <c r="C221" s="23" t="str">
        <f t="shared" si="12"/>
        <v/>
      </c>
      <c r="E221" s="24" t="str">
        <f>IF(NOT(ISBLANK(G3copy!B221)),G3copy!B221,"")</f>
        <v/>
      </c>
      <c r="F221" s="24" t="str">
        <f>IF(E221&lt;&gt;"",G3copy!A221,"")</f>
        <v/>
      </c>
      <c r="G221" s="24" t="str">
        <f>IF(E221&lt;&gt;"",G3copy!F221,"")</f>
        <v/>
      </c>
    </row>
    <row r="222" spans="1:7" ht="15.75" customHeight="1">
      <c r="A222" s="23" t="str">
        <f t="shared" si="10"/>
        <v/>
      </c>
      <c r="B222" t="str">
        <f t="shared" si="11"/>
        <v/>
      </c>
      <c r="C222" s="23" t="str">
        <f t="shared" si="12"/>
        <v/>
      </c>
      <c r="E222" s="24" t="str">
        <f>IF(NOT(ISBLANK(G3copy!B222)),G3copy!B222,"")</f>
        <v/>
      </c>
      <c r="F222" s="24" t="str">
        <f>IF(E222&lt;&gt;"",G3copy!A222,"")</f>
        <v/>
      </c>
      <c r="G222" s="24" t="str">
        <f>IF(E222&lt;&gt;"",G3copy!F222,"")</f>
        <v/>
      </c>
    </row>
    <row r="223" spans="1:7" ht="15.75" customHeight="1">
      <c r="A223" s="23" t="str">
        <f t="shared" si="10"/>
        <v/>
      </c>
      <c r="B223" t="str">
        <f t="shared" si="11"/>
        <v/>
      </c>
      <c r="C223" s="23" t="str">
        <f t="shared" si="12"/>
        <v/>
      </c>
      <c r="E223" s="24" t="str">
        <f>IF(NOT(ISBLANK(G3copy!B223)),G3copy!B223,"")</f>
        <v/>
      </c>
      <c r="F223" s="24" t="str">
        <f>IF(E223&lt;&gt;"",G3copy!A223,"")</f>
        <v/>
      </c>
      <c r="G223" s="24" t="str">
        <f>IF(E223&lt;&gt;"",G3copy!F223,"")</f>
        <v/>
      </c>
    </row>
    <row r="224" spans="1:7" ht="15.75" customHeight="1">
      <c r="A224" s="23" t="str">
        <f t="shared" si="10"/>
        <v/>
      </c>
      <c r="B224" t="str">
        <f t="shared" si="11"/>
        <v/>
      </c>
      <c r="C224" s="23" t="str">
        <f t="shared" si="12"/>
        <v/>
      </c>
      <c r="E224" s="24" t="str">
        <f>IF(NOT(ISBLANK(G3copy!B224)),G3copy!B224,"")</f>
        <v/>
      </c>
      <c r="F224" s="24" t="str">
        <f>IF(E224&lt;&gt;"",G3copy!A224,"")</f>
        <v/>
      </c>
      <c r="G224" s="24" t="str">
        <f>IF(E224&lt;&gt;"",G3copy!F224,"")</f>
        <v/>
      </c>
    </row>
    <row r="225" spans="1:7" ht="15.75" customHeight="1">
      <c r="A225" s="23" t="str">
        <f t="shared" si="10"/>
        <v/>
      </c>
      <c r="B225" t="str">
        <f t="shared" si="11"/>
        <v/>
      </c>
      <c r="C225" s="23" t="str">
        <f t="shared" si="12"/>
        <v/>
      </c>
      <c r="E225" s="24" t="str">
        <f>IF(NOT(ISBLANK(G3copy!B225)),G3copy!B225,"")</f>
        <v/>
      </c>
      <c r="F225" s="24" t="str">
        <f>IF(E225&lt;&gt;"",G3copy!A225,"")</f>
        <v/>
      </c>
      <c r="G225" s="24" t="str">
        <f>IF(E225&lt;&gt;"",G3copy!F225,"")</f>
        <v/>
      </c>
    </row>
    <row r="226" spans="1:7" ht="15.75" customHeight="1">
      <c r="A226" s="23" t="str">
        <f t="shared" si="10"/>
        <v/>
      </c>
      <c r="B226" t="str">
        <f t="shared" si="11"/>
        <v/>
      </c>
      <c r="C226" s="23" t="str">
        <f t="shared" si="12"/>
        <v/>
      </c>
      <c r="E226" s="24" t="str">
        <f>IF(NOT(ISBLANK(G3copy!B226)),G3copy!B226,"")</f>
        <v/>
      </c>
      <c r="F226" s="24" t="str">
        <f>IF(E226&lt;&gt;"",G3copy!A226,"")</f>
        <v/>
      </c>
      <c r="G226" s="24" t="str">
        <f>IF(E226&lt;&gt;"",G3copy!F226,"")</f>
        <v/>
      </c>
    </row>
    <row r="227" spans="1:7" ht="15.75" customHeight="1">
      <c r="A227" s="23" t="str">
        <f t="shared" si="10"/>
        <v/>
      </c>
      <c r="B227" t="str">
        <f t="shared" si="11"/>
        <v/>
      </c>
      <c r="C227" s="23" t="str">
        <f t="shared" si="12"/>
        <v/>
      </c>
      <c r="E227" s="24" t="str">
        <f>IF(NOT(ISBLANK(G3copy!B227)),G3copy!B227,"")</f>
        <v/>
      </c>
      <c r="F227" s="24" t="str">
        <f>IF(E227&lt;&gt;"",G3copy!A227,"")</f>
        <v/>
      </c>
      <c r="G227" s="24" t="str">
        <f>IF(E227&lt;&gt;"",G3copy!F227,"")</f>
        <v/>
      </c>
    </row>
    <row r="228" spans="1:7" ht="15.75" customHeight="1">
      <c r="A228" s="23" t="str">
        <f t="shared" si="10"/>
        <v/>
      </c>
      <c r="B228" t="str">
        <f t="shared" si="11"/>
        <v/>
      </c>
      <c r="C228" s="23" t="str">
        <f t="shared" si="12"/>
        <v/>
      </c>
      <c r="E228" s="24" t="str">
        <f>IF(NOT(ISBLANK(G3copy!B228)),G3copy!B228,"")</f>
        <v/>
      </c>
      <c r="F228" s="24" t="str">
        <f>IF(E228&lt;&gt;"",G3copy!A228,"")</f>
        <v/>
      </c>
      <c r="G228" s="24" t="str">
        <f>IF(E228&lt;&gt;"",G3copy!F228,"")</f>
        <v/>
      </c>
    </row>
    <row r="229" spans="1:7" ht="15.75" customHeight="1">
      <c r="A229" s="23" t="str">
        <f t="shared" si="10"/>
        <v/>
      </c>
      <c r="B229" t="str">
        <f t="shared" si="11"/>
        <v/>
      </c>
      <c r="C229" s="23" t="str">
        <f t="shared" si="12"/>
        <v/>
      </c>
      <c r="E229" s="24" t="str">
        <f>IF(NOT(ISBLANK(G3copy!B229)),G3copy!B229,"")</f>
        <v/>
      </c>
      <c r="F229" s="24" t="str">
        <f>IF(E229&lt;&gt;"",G3copy!A229,"")</f>
        <v/>
      </c>
      <c r="G229" s="24" t="str">
        <f>IF(E229&lt;&gt;"",G3copy!F229,"")</f>
        <v/>
      </c>
    </row>
    <row r="230" spans="1:7" ht="15.75" customHeight="1">
      <c r="A230" s="23" t="str">
        <f t="shared" si="10"/>
        <v/>
      </c>
      <c r="B230" t="str">
        <f t="shared" si="11"/>
        <v/>
      </c>
      <c r="C230" s="23" t="str">
        <f t="shared" si="12"/>
        <v/>
      </c>
      <c r="E230" s="24" t="str">
        <f>IF(NOT(ISBLANK(G3copy!B230)),G3copy!B230,"")</f>
        <v/>
      </c>
      <c r="F230" s="24" t="str">
        <f>IF(E230&lt;&gt;"",G3copy!A230,"")</f>
        <v/>
      </c>
      <c r="G230" s="24" t="str">
        <f>IF(E230&lt;&gt;"",G3copy!F230,"")</f>
        <v/>
      </c>
    </row>
    <row r="231" spans="1:7" ht="15.75" customHeight="1">
      <c r="A231" s="23" t="str">
        <f t="shared" si="10"/>
        <v/>
      </c>
      <c r="B231" t="str">
        <f t="shared" si="11"/>
        <v/>
      </c>
      <c r="C231" s="23" t="str">
        <f t="shared" si="12"/>
        <v/>
      </c>
      <c r="E231" s="24" t="str">
        <f>IF(NOT(ISBLANK(G3copy!B231)),G3copy!B231,"")</f>
        <v/>
      </c>
      <c r="F231" s="24" t="str">
        <f>IF(E231&lt;&gt;"",G3copy!A231,"")</f>
        <v/>
      </c>
      <c r="G231" s="24" t="str">
        <f>IF(E231&lt;&gt;"",G3copy!F231,"")</f>
        <v/>
      </c>
    </row>
    <row r="232" spans="1:7" ht="15.75" customHeight="1">
      <c r="A232" s="23" t="str">
        <f t="shared" si="10"/>
        <v/>
      </c>
      <c r="B232" t="str">
        <f t="shared" si="11"/>
        <v/>
      </c>
      <c r="C232" s="23" t="str">
        <f t="shared" si="12"/>
        <v/>
      </c>
      <c r="E232" s="24" t="str">
        <f>IF(NOT(ISBLANK(G3copy!B232)),G3copy!B232,"")</f>
        <v/>
      </c>
      <c r="F232" s="24" t="str">
        <f>IF(E232&lt;&gt;"",G3copy!A232,"")</f>
        <v/>
      </c>
      <c r="G232" s="24" t="str">
        <f>IF(E232&lt;&gt;"",G3copy!F232,"")</f>
        <v/>
      </c>
    </row>
    <row r="233" spans="1:7" ht="15.75" customHeight="1">
      <c r="A233" s="23" t="str">
        <f t="shared" si="10"/>
        <v/>
      </c>
      <c r="B233" t="str">
        <f t="shared" si="11"/>
        <v/>
      </c>
      <c r="C233" s="23" t="str">
        <f t="shared" si="12"/>
        <v/>
      </c>
      <c r="E233" s="24" t="str">
        <f>IF(NOT(ISBLANK(G3copy!B233)),G3copy!B233,"")</f>
        <v/>
      </c>
      <c r="F233" s="24" t="str">
        <f>IF(E233&lt;&gt;"",G3copy!A233,"")</f>
        <v/>
      </c>
      <c r="G233" s="24" t="str">
        <f>IF(E233&lt;&gt;"",G3copy!F233,"")</f>
        <v/>
      </c>
    </row>
    <row r="234" spans="1:7" ht="15.75" customHeight="1">
      <c r="A234" s="23" t="str">
        <f t="shared" si="10"/>
        <v/>
      </c>
      <c r="B234" t="str">
        <f t="shared" si="11"/>
        <v/>
      </c>
      <c r="C234" s="23" t="str">
        <f t="shared" si="12"/>
        <v/>
      </c>
      <c r="E234" s="24" t="str">
        <f>IF(NOT(ISBLANK(G3copy!B234)),G3copy!B234,"")</f>
        <v/>
      </c>
      <c r="F234" s="24" t="str">
        <f>IF(E234&lt;&gt;"",G3copy!A234,"")</f>
        <v/>
      </c>
      <c r="G234" s="24" t="str">
        <f>IF(E234&lt;&gt;"",G3copy!F234,"")</f>
        <v/>
      </c>
    </row>
    <row r="235" spans="1:7" ht="15.75" customHeight="1">
      <c r="A235" s="23" t="str">
        <f t="shared" si="10"/>
        <v/>
      </c>
      <c r="B235" t="str">
        <f t="shared" si="11"/>
        <v/>
      </c>
      <c r="C235" s="23" t="str">
        <f t="shared" si="12"/>
        <v/>
      </c>
      <c r="E235" s="24" t="str">
        <f>IF(NOT(ISBLANK(G3copy!B235)),G3copy!B235,"")</f>
        <v/>
      </c>
      <c r="F235" s="24" t="str">
        <f>IF(E235&lt;&gt;"",G3copy!A235,"")</f>
        <v/>
      </c>
      <c r="G235" s="24" t="str">
        <f>IF(E235&lt;&gt;"",G3copy!F235,"")</f>
        <v/>
      </c>
    </row>
    <row r="236" spans="1:7" ht="15.75" customHeight="1">
      <c r="A236" s="23" t="str">
        <f t="shared" si="10"/>
        <v/>
      </c>
      <c r="B236" t="str">
        <f t="shared" si="11"/>
        <v/>
      </c>
      <c r="C236" s="23" t="str">
        <f t="shared" si="12"/>
        <v/>
      </c>
      <c r="E236" s="24" t="str">
        <f>IF(NOT(ISBLANK(G3copy!B236)),G3copy!B236,"")</f>
        <v/>
      </c>
      <c r="F236" s="24" t="str">
        <f>IF(E236&lt;&gt;"",G3copy!A236,"")</f>
        <v/>
      </c>
      <c r="G236" s="24" t="str">
        <f>IF(E236&lt;&gt;"",G3copy!F236,"")</f>
        <v/>
      </c>
    </row>
    <row r="237" spans="1:7" ht="15.75" customHeight="1">
      <c r="A237" s="23" t="str">
        <f t="shared" si="10"/>
        <v/>
      </c>
      <c r="B237" t="str">
        <f t="shared" si="11"/>
        <v/>
      </c>
      <c r="C237" s="23" t="str">
        <f t="shared" si="12"/>
        <v/>
      </c>
      <c r="E237" s="24" t="str">
        <f>IF(NOT(ISBLANK(G3copy!B237)),G3copy!B237,"")</f>
        <v/>
      </c>
      <c r="F237" s="24" t="str">
        <f>IF(E237&lt;&gt;"",G3copy!A237,"")</f>
        <v/>
      </c>
      <c r="G237" s="24" t="str">
        <f>IF(E237&lt;&gt;"",G3copy!F237,"")</f>
        <v/>
      </c>
    </row>
    <row r="238" spans="1:7" ht="15.75" customHeight="1">
      <c r="A238" s="23" t="str">
        <f t="shared" si="10"/>
        <v/>
      </c>
      <c r="B238" t="str">
        <f t="shared" si="11"/>
        <v/>
      </c>
      <c r="C238" s="23" t="str">
        <f t="shared" si="12"/>
        <v/>
      </c>
      <c r="E238" s="24" t="str">
        <f>IF(NOT(ISBLANK(G3copy!B238)),G3copy!B238,"")</f>
        <v/>
      </c>
      <c r="F238" s="24" t="str">
        <f>IF(E238&lt;&gt;"",G3copy!A238,"")</f>
        <v/>
      </c>
      <c r="G238" s="24" t="str">
        <f>IF(E238&lt;&gt;"",G3copy!F238,"")</f>
        <v/>
      </c>
    </row>
    <row r="239" spans="1:7" ht="15.75" customHeight="1">
      <c r="A239" s="23" t="str">
        <f t="shared" si="10"/>
        <v/>
      </c>
      <c r="B239" t="str">
        <f t="shared" si="11"/>
        <v/>
      </c>
      <c r="C239" s="23" t="str">
        <f t="shared" si="12"/>
        <v/>
      </c>
      <c r="E239" s="24" t="str">
        <f>IF(NOT(ISBLANK(G3copy!B239)),G3copy!B239,"")</f>
        <v/>
      </c>
      <c r="F239" s="24" t="str">
        <f>IF(E239&lt;&gt;"",G3copy!A239,"")</f>
        <v/>
      </c>
      <c r="G239" s="24" t="str">
        <f>IF(E239&lt;&gt;"",G3copy!F239,"")</f>
        <v/>
      </c>
    </row>
    <row r="240" spans="1:7" ht="15.75" customHeight="1">
      <c r="A240" s="23" t="str">
        <f t="shared" si="10"/>
        <v/>
      </c>
      <c r="B240" t="str">
        <f t="shared" si="11"/>
        <v/>
      </c>
      <c r="C240" s="23" t="str">
        <f t="shared" si="12"/>
        <v/>
      </c>
      <c r="E240" s="24" t="str">
        <f>IF(NOT(ISBLANK(G3copy!B240)),G3copy!B240,"")</f>
        <v/>
      </c>
      <c r="F240" s="24" t="str">
        <f>IF(E240&lt;&gt;"",G3copy!A240,"")</f>
        <v/>
      </c>
      <c r="G240" s="24" t="str">
        <f>IF(E240&lt;&gt;"",G3copy!F240,"")</f>
        <v/>
      </c>
    </row>
    <row r="241" spans="1:7" ht="15.75" customHeight="1">
      <c r="A241" s="23" t="str">
        <f t="shared" si="10"/>
        <v/>
      </c>
      <c r="B241" t="str">
        <f t="shared" si="11"/>
        <v/>
      </c>
      <c r="C241" s="23" t="str">
        <f t="shared" si="12"/>
        <v/>
      </c>
      <c r="E241" s="24" t="str">
        <f>IF(NOT(ISBLANK(G3copy!B241)),G3copy!B241,"")</f>
        <v/>
      </c>
      <c r="F241" s="24" t="str">
        <f>IF(E241&lt;&gt;"",G3copy!A241,"")</f>
        <v/>
      </c>
      <c r="G241" s="24" t="str">
        <f>IF(E241&lt;&gt;"",G3copy!F241,"")</f>
        <v/>
      </c>
    </row>
    <row r="242" spans="1:7" ht="15.75" customHeight="1">
      <c r="A242" s="23" t="str">
        <f t="shared" si="10"/>
        <v/>
      </c>
      <c r="B242" t="str">
        <f t="shared" si="11"/>
        <v/>
      </c>
      <c r="C242" s="23" t="str">
        <f t="shared" si="12"/>
        <v/>
      </c>
      <c r="E242" s="24" t="str">
        <f>IF(NOT(ISBLANK(G3copy!B242)),G3copy!B242,"")</f>
        <v/>
      </c>
      <c r="F242" s="24" t="str">
        <f>IF(E242&lt;&gt;"",G3copy!A242,"")</f>
        <v/>
      </c>
      <c r="G242" s="24" t="str">
        <f>IF(E242&lt;&gt;"",G3copy!F242,"")</f>
        <v/>
      </c>
    </row>
    <row r="243" spans="1:7" ht="15.75" customHeight="1">
      <c r="A243" s="23" t="str">
        <f t="shared" si="10"/>
        <v/>
      </c>
      <c r="B243" t="str">
        <f t="shared" si="11"/>
        <v/>
      </c>
      <c r="C243" s="23" t="str">
        <f t="shared" si="12"/>
        <v/>
      </c>
      <c r="E243" s="24" t="str">
        <f>IF(NOT(ISBLANK(G3copy!B243)),G3copy!B243,"")</f>
        <v/>
      </c>
      <c r="F243" s="24" t="str">
        <f>IF(E243&lt;&gt;"",G3copy!A243,"")</f>
        <v/>
      </c>
      <c r="G243" s="24" t="str">
        <f>IF(E243&lt;&gt;"",G3copy!F243,"")</f>
        <v/>
      </c>
    </row>
    <row r="244" spans="1:7" ht="15.75" customHeight="1">
      <c r="A244" s="23" t="str">
        <f t="shared" si="10"/>
        <v/>
      </c>
      <c r="B244" t="str">
        <f t="shared" si="11"/>
        <v/>
      </c>
      <c r="C244" s="23" t="str">
        <f t="shared" si="12"/>
        <v/>
      </c>
      <c r="E244" s="24" t="str">
        <f>IF(NOT(ISBLANK(G3copy!B244)),G3copy!B244,"")</f>
        <v/>
      </c>
      <c r="F244" s="24" t="str">
        <f>IF(E244&lt;&gt;"",G3copy!A244,"")</f>
        <v/>
      </c>
      <c r="G244" s="24" t="str">
        <f>IF(E244&lt;&gt;"",G3copy!F244,"")</f>
        <v/>
      </c>
    </row>
    <row r="245" spans="1:7" ht="15.75" customHeight="1">
      <c r="A245" s="23" t="str">
        <f t="shared" si="10"/>
        <v/>
      </c>
      <c r="B245" t="str">
        <f t="shared" si="11"/>
        <v/>
      </c>
      <c r="C245" s="23" t="str">
        <f t="shared" si="12"/>
        <v/>
      </c>
      <c r="E245" s="24" t="str">
        <f>IF(NOT(ISBLANK(G3copy!B245)),G3copy!B245,"")</f>
        <v/>
      </c>
      <c r="F245" s="24" t="str">
        <f>IF(E245&lt;&gt;"",G3copy!A245,"")</f>
        <v/>
      </c>
      <c r="G245" s="24" t="str">
        <f>IF(E245&lt;&gt;"",G3copy!F245,"")</f>
        <v/>
      </c>
    </row>
    <row r="246" spans="1:7" ht="15.75" customHeight="1">
      <c r="A246" s="23" t="str">
        <f t="shared" si="10"/>
        <v/>
      </c>
      <c r="B246" t="str">
        <f t="shared" si="11"/>
        <v/>
      </c>
      <c r="C246" s="23" t="str">
        <f t="shared" si="12"/>
        <v/>
      </c>
      <c r="E246" s="24" t="str">
        <f>IF(NOT(ISBLANK(G3copy!B246)),G3copy!B246,"")</f>
        <v/>
      </c>
      <c r="F246" s="24" t="str">
        <f>IF(E246&lt;&gt;"",G3copy!A246,"")</f>
        <v/>
      </c>
      <c r="G246" s="24" t="str">
        <f>IF(E246&lt;&gt;"",G3copy!F246,"")</f>
        <v/>
      </c>
    </row>
    <row r="247" spans="1:7" ht="15.75" customHeight="1">
      <c r="A247" s="23" t="str">
        <f t="shared" si="10"/>
        <v/>
      </c>
      <c r="B247" t="str">
        <f t="shared" si="11"/>
        <v/>
      </c>
      <c r="C247" s="23" t="str">
        <f t="shared" si="12"/>
        <v/>
      </c>
      <c r="E247" s="24" t="str">
        <f>IF(NOT(ISBLANK(G3copy!B247)),G3copy!B247,"")</f>
        <v/>
      </c>
      <c r="F247" s="24" t="str">
        <f>IF(E247&lt;&gt;"",G3copy!A247,"")</f>
        <v/>
      </c>
      <c r="G247" s="24" t="str">
        <f>IF(E247&lt;&gt;"",G3copy!F247,"")</f>
        <v/>
      </c>
    </row>
    <row r="248" spans="1:7" ht="15.75" customHeight="1">
      <c r="A248" s="23" t="str">
        <f t="shared" si="10"/>
        <v/>
      </c>
      <c r="B248" t="str">
        <f t="shared" si="11"/>
        <v/>
      </c>
      <c r="C248" s="23" t="str">
        <f t="shared" si="12"/>
        <v/>
      </c>
      <c r="E248" s="24" t="str">
        <f>IF(NOT(ISBLANK(G3copy!B248)),G3copy!B248,"")</f>
        <v/>
      </c>
      <c r="F248" s="24" t="str">
        <f>IF(E248&lt;&gt;"",G3copy!A248,"")</f>
        <v/>
      </c>
      <c r="G248" s="24" t="str">
        <f>IF(E248&lt;&gt;"",G3copy!F248,"")</f>
        <v/>
      </c>
    </row>
    <row r="249" spans="1:7" ht="15.75" customHeight="1">
      <c r="A249" s="23" t="str">
        <f t="shared" si="10"/>
        <v/>
      </c>
      <c r="B249" t="str">
        <f t="shared" si="11"/>
        <v/>
      </c>
      <c r="C249" s="23" t="str">
        <f t="shared" si="12"/>
        <v/>
      </c>
      <c r="E249" s="24" t="str">
        <f>IF(NOT(ISBLANK(G3copy!B249)),G3copy!B249,"")</f>
        <v/>
      </c>
      <c r="F249" s="24" t="str">
        <f>IF(E249&lt;&gt;"",G3copy!A249,"")</f>
        <v/>
      </c>
      <c r="G249" s="24" t="str">
        <f>IF(E249&lt;&gt;"",G3copy!F249,"")</f>
        <v/>
      </c>
    </row>
    <row r="250" spans="1:7" ht="15.75" customHeight="1">
      <c r="A250" s="23" t="str">
        <f t="shared" si="10"/>
        <v/>
      </c>
      <c r="B250" t="str">
        <f t="shared" si="11"/>
        <v/>
      </c>
      <c r="C250" s="23" t="str">
        <f t="shared" si="12"/>
        <v/>
      </c>
      <c r="E250" s="24" t="str">
        <f>IF(NOT(ISBLANK(G3copy!B250)),G3copy!B250,"")</f>
        <v/>
      </c>
      <c r="F250" s="24" t="str">
        <f>IF(E250&lt;&gt;"",G3copy!A250,"")</f>
        <v/>
      </c>
      <c r="G250" s="24" t="str">
        <f>IF(E250&lt;&gt;"",G3copy!F250,"")</f>
        <v/>
      </c>
    </row>
    <row r="251" spans="1:7" ht="15.75" customHeight="1">
      <c r="A251" s="23" t="str">
        <f t="shared" si="10"/>
        <v/>
      </c>
      <c r="B251" t="str">
        <f t="shared" si="11"/>
        <v/>
      </c>
      <c r="C251" s="23" t="str">
        <f t="shared" si="12"/>
        <v/>
      </c>
      <c r="E251" s="24" t="str">
        <f>IF(NOT(ISBLANK(G3copy!B251)),G3copy!B251,"")</f>
        <v/>
      </c>
      <c r="F251" s="24" t="str">
        <f>IF(E251&lt;&gt;"",G3copy!A251,"")</f>
        <v/>
      </c>
      <c r="G251" s="24" t="str">
        <f>IF(E251&lt;&gt;"",G3copy!F251,"")</f>
        <v/>
      </c>
    </row>
    <row r="252" spans="1:7" ht="15.75" customHeight="1">
      <c r="A252" s="23" t="str">
        <f t="shared" si="10"/>
        <v/>
      </c>
      <c r="B252" t="str">
        <f t="shared" si="11"/>
        <v/>
      </c>
      <c r="C252" s="23" t="str">
        <f t="shared" si="12"/>
        <v/>
      </c>
      <c r="E252" s="24" t="str">
        <f>IF(NOT(ISBLANK(G3copy!B252)),G3copy!B252,"")</f>
        <v/>
      </c>
      <c r="F252" s="24" t="str">
        <f>IF(E252&lt;&gt;"",G3copy!A252,"")</f>
        <v/>
      </c>
      <c r="G252" s="24" t="str">
        <f>IF(E252&lt;&gt;"",G3copy!F252,"")</f>
        <v/>
      </c>
    </row>
    <row r="253" spans="1:7" ht="15.75" customHeight="1">
      <c r="A253" s="23" t="str">
        <f t="shared" si="10"/>
        <v/>
      </c>
      <c r="B253" t="str">
        <f t="shared" si="11"/>
        <v/>
      </c>
      <c r="C253" s="23" t="str">
        <f t="shared" si="12"/>
        <v/>
      </c>
      <c r="E253" s="24" t="str">
        <f>IF(NOT(ISBLANK(G3copy!B253)),G3copy!B253,"")</f>
        <v/>
      </c>
      <c r="F253" s="24" t="str">
        <f>IF(E253&lt;&gt;"",G3copy!A253,"")</f>
        <v/>
      </c>
      <c r="G253" s="24" t="str">
        <f>IF(E253&lt;&gt;"",G3copy!F253,"")</f>
        <v/>
      </c>
    </row>
    <row r="254" spans="1:7" ht="15.75" customHeight="1">
      <c r="A254" s="23" t="str">
        <f t="shared" si="10"/>
        <v/>
      </c>
      <c r="B254" t="str">
        <f t="shared" si="11"/>
        <v/>
      </c>
      <c r="C254" s="23" t="str">
        <f t="shared" si="12"/>
        <v/>
      </c>
      <c r="E254" s="24" t="str">
        <f>IF(NOT(ISBLANK(G3copy!B254)),G3copy!B254,"")</f>
        <v/>
      </c>
      <c r="F254" s="24" t="str">
        <f>IF(E254&lt;&gt;"",G3copy!A254,"")</f>
        <v/>
      </c>
      <c r="G254" s="24" t="str">
        <f>IF(E254&lt;&gt;"",G3copy!F254,"")</f>
        <v/>
      </c>
    </row>
    <row r="255" spans="1:7" ht="15.75" customHeight="1">
      <c r="A255" s="23" t="str">
        <f t="shared" si="10"/>
        <v/>
      </c>
      <c r="B255" t="str">
        <f t="shared" si="11"/>
        <v/>
      </c>
      <c r="C255" s="23" t="str">
        <f t="shared" si="12"/>
        <v/>
      </c>
      <c r="E255" s="24" t="str">
        <f>IF(NOT(ISBLANK(G3copy!B255)),G3copy!B255,"")</f>
        <v/>
      </c>
      <c r="F255" s="24" t="str">
        <f>IF(E255&lt;&gt;"",G3copy!A255,"")</f>
        <v/>
      </c>
      <c r="G255" s="24" t="str">
        <f>IF(E255&lt;&gt;"",G3copy!F255,"")</f>
        <v/>
      </c>
    </row>
    <row r="256" spans="1:7" ht="15.75" customHeight="1">
      <c r="A256" s="23" t="str">
        <f t="shared" si="10"/>
        <v/>
      </c>
      <c r="B256" t="str">
        <f t="shared" si="11"/>
        <v/>
      </c>
      <c r="C256" s="23" t="str">
        <f t="shared" si="12"/>
        <v/>
      </c>
      <c r="E256" s="24" t="str">
        <f>IF(NOT(ISBLANK(G3copy!B256)),G3copy!B256,"")</f>
        <v/>
      </c>
      <c r="F256" s="24" t="str">
        <f>IF(E256&lt;&gt;"",G3copy!A256,"")</f>
        <v/>
      </c>
      <c r="G256" s="24" t="str">
        <f>IF(E256&lt;&gt;"",G3copy!F256,"")</f>
        <v/>
      </c>
    </row>
    <row r="257" spans="1:7" ht="15.75" customHeight="1">
      <c r="A257" s="23" t="str">
        <f t="shared" si="10"/>
        <v/>
      </c>
      <c r="B257" t="str">
        <f t="shared" si="11"/>
        <v/>
      </c>
      <c r="C257" s="23" t="str">
        <f t="shared" si="12"/>
        <v/>
      </c>
      <c r="E257" s="24" t="str">
        <f>IF(NOT(ISBLANK(G3copy!B257)),G3copy!B257,"")</f>
        <v/>
      </c>
      <c r="F257" s="24" t="str">
        <f>IF(E257&lt;&gt;"",G3copy!A257,"")</f>
        <v/>
      </c>
      <c r="G257" s="24" t="str">
        <f>IF(E257&lt;&gt;"",G3copy!F257,"")</f>
        <v/>
      </c>
    </row>
    <row r="258" spans="1:7" ht="15.75" customHeight="1">
      <c r="A258" s="23" t="str">
        <f t="shared" si="10"/>
        <v/>
      </c>
      <c r="B258" t="str">
        <f t="shared" si="11"/>
        <v/>
      </c>
      <c r="C258" s="23" t="str">
        <f t="shared" si="12"/>
        <v/>
      </c>
      <c r="E258" s="24" t="str">
        <f>IF(NOT(ISBLANK(G3copy!B258)),G3copy!B258,"")</f>
        <v/>
      </c>
      <c r="F258" s="24" t="str">
        <f>IF(E258&lt;&gt;"",G3copy!A258,"")</f>
        <v/>
      </c>
      <c r="G258" s="24" t="str">
        <f>IF(E258&lt;&gt;"",G3copy!F258,"")</f>
        <v/>
      </c>
    </row>
    <row r="259" spans="1:7" ht="15.75" customHeight="1">
      <c r="A259" s="23" t="str">
        <f t="shared" ref="A259:A322" si="13">IF(E259&lt;&gt;"",DATEVALUE(LEFT(E259,10)),"")</f>
        <v/>
      </c>
      <c r="B259" t="str">
        <f t="shared" ref="B259:B322" si="14">IF(LEN(F259)&gt;3,RIGHT(F259,LEN(F259)-3),"")</f>
        <v/>
      </c>
      <c r="C259" s="23" t="str">
        <f t="shared" ref="C259:C322" si="15">IF(E259&lt;&gt;"",DATEVALUE(LEFT(G259,10)),"")</f>
        <v/>
      </c>
      <c r="E259" s="24" t="str">
        <f>IF(NOT(ISBLANK(G3copy!B259)),G3copy!B259,"")</f>
        <v/>
      </c>
      <c r="F259" s="24" t="str">
        <f>IF(E259&lt;&gt;"",G3copy!A259,"")</f>
        <v/>
      </c>
      <c r="G259" s="24" t="str">
        <f>IF(E259&lt;&gt;"",G3copy!F259,"")</f>
        <v/>
      </c>
    </row>
    <row r="260" spans="1:7" ht="15.75" customHeight="1">
      <c r="A260" s="23" t="str">
        <f t="shared" si="13"/>
        <v/>
      </c>
      <c r="B260" t="str">
        <f t="shared" si="14"/>
        <v/>
      </c>
      <c r="C260" s="23" t="str">
        <f t="shared" si="15"/>
        <v/>
      </c>
      <c r="E260" s="24" t="str">
        <f>IF(NOT(ISBLANK(G3copy!B260)),G3copy!B260,"")</f>
        <v/>
      </c>
      <c r="F260" s="24" t="str">
        <f>IF(E260&lt;&gt;"",G3copy!A260,"")</f>
        <v/>
      </c>
      <c r="G260" s="24" t="str">
        <f>IF(E260&lt;&gt;"",G3copy!F260,"")</f>
        <v/>
      </c>
    </row>
    <row r="261" spans="1:7" ht="15.75" customHeight="1">
      <c r="A261" s="23" t="str">
        <f t="shared" si="13"/>
        <v/>
      </c>
      <c r="B261" t="str">
        <f t="shared" si="14"/>
        <v/>
      </c>
      <c r="C261" s="23" t="str">
        <f t="shared" si="15"/>
        <v/>
      </c>
      <c r="E261" s="24" t="str">
        <f>IF(NOT(ISBLANK(G3copy!B261)),G3copy!B261,"")</f>
        <v/>
      </c>
      <c r="F261" s="24" t="str">
        <f>IF(E261&lt;&gt;"",G3copy!A261,"")</f>
        <v/>
      </c>
      <c r="G261" s="24" t="str">
        <f>IF(E261&lt;&gt;"",G3copy!F261,"")</f>
        <v/>
      </c>
    </row>
    <row r="262" spans="1:7" ht="15.75" customHeight="1">
      <c r="A262" s="23" t="str">
        <f t="shared" si="13"/>
        <v/>
      </c>
      <c r="B262" t="str">
        <f t="shared" si="14"/>
        <v/>
      </c>
      <c r="C262" s="23" t="str">
        <f t="shared" si="15"/>
        <v/>
      </c>
      <c r="E262" s="24" t="str">
        <f>IF(NOT(ISBLANK(G3copy!B262)),G3copy!B262,"")</f>
        <v/>
      </c>
      <c r="F262" s="24" t="str">
        <f>IF(E262&lt;&gt;"",G3copy!A262,"")</f>
        <v/>
      </c>
      <c r="G262" s="24" t="str">
        <f>IF(E262&lt;&gt;"",G3copy!F262,"")</f>
        <v/>
      </c>
    </row>
    <row r="263" spans="1:7" ht="15.75" customHeight="1">
      <c r="A263" s="23" t="str">
        <f t="shared" si="13"/>
        <v/>
      </c>
      <c r="B263" t="str">
        <f t="shared" si="14"/>
        <v/>
      </c>
      <c r="C263" s="23" t="str">
        <f t="shared" si="15"/>
        <v/>
      </c>
      <c r="E263" s="24" t="str">
        <f>IF(NOT(ISBLANK(G3copy!B263)),G3copy!B263,"")</f>
        <v/>
      </c>
      <c r="F263" s="24" t="str">
        <f>IF(E263&lt;&gt;"",G3copy!A263,"")</f>
        <v/>
      </c>
      <c r="G263" s="24" t="str">
        <f>IF(E263&lt;&gt;"",G3copy!F263,"")</f>
        <v/>
      </c>
    </row>
    <row r="264" spans="1:7" ht="15.75" customHeight="1">
      <c r="A264" s="23" t="str">
        <f t="shared" si="13"/>
        <v/>
      </c>
      <c r="B264" t="str">
        <f t="shared" si="14"/>
        <v/>
      </c>
      <c r="C264" s="23" t="str">
        <f t="shared" si="15"/>
        <v/>
      </c>
      <c r="E264" s="24" t="str">
        <f>IF(NOT(ISBLANK(G3copy!B264)),G3copy!B264,"")</f>
        <v/>
      </c>
      <c r="F264" s="24" t="str">
        <f>IF(E264&lt;&gt;"",G3copy!A264,"")</f>
        <v/>
      </c>
      <c r="G264" s="24" t="str">
        <f>IF(E264&lt;&gt;"",G3copy!F264,"")</f>
        <v/>
      </c>
    </row>
    <row r="265" spans="1:7" ht="15.75" customHeight="1">
      <c r="A265" s="23" t="str">
        <f t="shared" si="13"/>
        <v/>
      </c>
      <c r="B265" t="str">
        <f t="shared" si="14"/>
        <v/>
      </c>
      <c r="C265" s="23" t="str">
        <f t="shared" si="15"/>
        <v/>
      </c>
      <c r="E265" s="24" t="str">
        <f>IF(NOT(ISBLANK(G3copy!B265)),G3copy!B265,"")</f>
        <v/>
      </c>
      <c r="F265" s="24" t="str">
        <f>IF(E265&lt;&gt;"",G3copy!A265,"")</f>
        <v/>
      </c>
      <c r="G265" s="24" t="str">
        <f>IF(E265&lt;&gt;"",G3copy!F265,"")</f>
        <v/>
      </c>
    </row>
    <row r="266" spans="1:7" ht="15.75" customHeight="1">
      <c r="A266" s="23" t="str">
        <f t="shared" si="13"/>
        <v/>
      </c>
      <c r="B266" t="str">
        <f t="shared" si="14"/>
        <v/>
      </c>
      <c r="C266" s="23" t="str">
        <f t="shared" si="15"/>
        <v/>
      </c>
      <c r="E266" s="24" t="str">
        <f>IF(NOT(ISBLANK(G3copy!B266)),G3copy!B266,"")</f>
        <v/>
      </c>
      <c r="F266" s="24" t="str">
        <f>IF(E266&lt;&gt;"",G3copy!A266,"")</f>
        <v/>
      </c>
      <c r="G266" s="24" t="str">
        <f>IF(E266&lt;&gt;"",G3copy!F266,"")</f>
        <v/>
      </c>
    </row>
    <row r="267" spans="1:7" ht="15.75" customHeight="1">
      <c r="A267" s="23" t="str">
        <f t="shared" si="13"/>
        <v/>
      </c>
      <c r="B267" t="str">
        <f t="shared" si="14"/>
        <v/>
      </c>
      <c r="C267" s="23" t="str">
        <f t="shared" si="15"/>
        <v/>
      </c>
      <c r="E267" s="24" t="str">
        <f>IF(NOT(ISBLANK(G3copy!B267)),G3copy!B267,"")</f>
        <v/>
      </c>
      <c r="F267" s="24" t="str">
        <f>IF(E267&lt;&gt;"",G3copy!A267,"")</f>
        <v/>
      </c>
      <c r="G267" s="24" t="str">
        <f>IF(E267&lt;&gt;"",G3copy!F267,"")</f>
        <v/>
      </c>
    </row>
    <row r="268" spans="1:7" ht="15.75" customHeight="1">
      <c r="A268" s="23" t="str">
        <f t="shared" si="13"/>
        <v/>
      </c>
      <c r="B268" t="str">
        <f t="shared" si="14"/>
        <v/>
      </c>
      <c r="C268" s="23" t="str">
        <f t="shared" si="15"/>
        <v/>
      </c>
      <c r="E268" s="24" t="str">
        <f>IF(NOT(ISBLANK(G3copy!B268)),G3copy!B268,"")</f>
        <v/>
      </c>
      <c r="F268" s="24" t="str">
        <f>IF(E268&lt;&gt;"",G3copy!A268,"")</f>
        <v/>
      </c>
      <c r="G268" s="24" t="str">
        <f>IF(E268&lt;&gt;"",G3copy!F268,"")</f>
        <v/>
      </c>
    </row>
    <row r="269" spans="1:7" ht="15.75" customHeight="1">
      <c r="A269" s="23" t="str">
        <f t="shared" si="13"/>
        <v/>
      </c>
      <c r="B269" t="str">
        <f t="shared" si="14"/>
        <v/>
      </c>
      <c r="C269" s="23" t="str">
        <f t="shared" si="15"/>
        <v/>
      </c>
      <c r="E269" s="24" t="str">
        <f>IF(NOT(ISBLANK(G3copy!B269)),G3copy!B269,"")</f>
        <v/>
      </c>
      <c r="F269" s="24" t="str">
        <f>IF(E269&lt;&gt;"",G3copy!A269,"")</f>
        <v/>
      </c>
      <c r="G269" s="24" t="str">
        <f>IF(E269&lt;&gt;"",G3copy!F269,"")</f>
        <v/>
      </c>
    </row>
    <row r="270" spans="1:7" ht="15.75" customHeight="1">
      <c r="A270" s="23" t="str">
        <f t="shared" si="13"/>
        <v/>
      </c>
      <c r="B270" t="str">
        <f t="shared" si="14"/>
        <v/>
      </c>
      <c r="C270" s="23" t="str">
        <f t="shared" si="15"/>
        <v/>
      </c>
      <c r="E270" s="24" t="str">
        <f>IF(NOT(ISBLANK(G3copy!B270)),G3copy!B270,"")</f>
        <v/>
      </c>
      <c r="F270" s="24" t="str">
        <f>IF(E270&lt;&gt;"",G3copy!A270,"")</f>
        <v/>
      </c>
      <c r="G270" s="24" t="str">
        <f>IF(E270&lt;&gt;"",G3copy!F270,"")</f>
        <v/>
      </c>
    </row>
    <row r="271" spans="1:7" ht="15.75" customHeight="1">
      <c r="A271" s="23" t="str">
        <f t="shared" si="13"/>
        <v/>
      </c>
      <c r="B271" t="str">
        <f t="shared" si="14"/>
        <v/>
      </c>
      <c r="C271" s="23" t="str">
        <f t="shared" si="15"/>
        <v/>
      </c>
      <c r="E271" s="24" t="str">
        <f>IF(NOT(ISBLANK(G3copy!B271)),G3copy!B271,"")</f>
        <v/>
      </c>
      <c r="F271" s="24" t="str">
        <f>IF(E271&lt;&gt;"",G3copy!A271,"")</f>
        <v/>
      </c>
      <c r="G271" s="24" t="str">
        <f>IF(E271&lt;&gt;"",G3copy!F271,"")</f>
        <v/>
      </c>
    </row>
    <row r="272" spans="1:7" ht="15.75" customHeight="1">
      <c r="A272" s="23" t="str">
        <f t="shared" si="13"/>
        <v/>
      </c>
      <c r="B272" t="str">
        <f t="shared" si="14"/>
        <v/>
      </c>
      <c r="C272" s="23" t="str">
        <f t="shared" si="15"/>
        <v/>
      </c>
      <c r="E272" s="24" t="str">
        <f>IF(NOT(ISBLANK(G3copy!B272)),G3copy!B272,"")</f>
        <v/>
      </c>
      <c r="F272" s="24" t="str">
        <f>IF(E272&lt;&gt;"",G3copy!A272,"")</f>
        <v/>
      </c>
      <c r="G272" s="24" t="str">
        <f>IF(E272&lt;&gt;"",G3copy!F272,"")</f>
        <v/>
      </c>
    </row>
    <row r="273" spans="1:7" ht="15.75" customHeight="1">
      <c r="A273" s="23" t="str">
        <f t="shared" si="13"/>
        <v/>
      </c>
      <c r="B273" t="str">
        <f t="shared" si="14"/>
        <v/>
      </c>
      <c r="C273" s="23" t="str">
        <f t="shared" si="15"/>
        <v/>
      </c>
      <c r="E273" s="24" t="str">
        <f>IF(NOT(ISBLANK(G3copy!B273)),G3copy!B273,"")</f>
        <v/>
      </c>
      <c r="F273" s="24" t="str">
        <f>IF(E273&lt;&gt;"",G3copy!A273,"")</f>
        <v/>
      </c>
      <c r="G273" s="24" t="str">
        <f>IF(E273&lt;&gt;"",G3copy!F273,"")</f>
        <v/>
      </c>
    </row>
    <row r="274" spans="1:7" ht="15.75" customHeight="1">
      <c r="A274" s="23" t="str">
        <f t="shared" si="13"/>
        <v/>
      </c>
      <c r="B274" t="str">
        <f t="shared" si="14"/>
        <v/>
      </c>
      <c r="C274" s="23" t="str">
        <f t="shared" si="15"/>
        <v/>
      </c>
      <c r="E274" s="24" t="str">
        <f>IF(NOT(ISBLANK(G3copy!B274)),G3copy!B274,"")</f>
        <v/>
      </c>
      <c r="F274" s="24" t="str">
        <f>IF(E274&lt;&gt;"",G3copy!A274,"")</f>
        <v/>
      </c>
      <c r="G274" s="24" t="str">
        <f>IF(E274&lt;&gt;"",G3copy!F274,"")</f>
        <v/>
      </c>
    </row>
    <row r="275" spans="1:7" ht="15.75" customHeight="1">
      <c r="A275" s="23" t="str">
        <f t="shared" si="13"/>
        <v/>
      </c>
      <c r="B275" t="str">
        <f t="shared" si="14"/>
        <v/>
      </c>
      <c r="C275" s="23" t="str">
        <f t="shared" si="15"/>
        <v/>
      </c>
      <c r="E275" s="24" t="str">
        <f>IF(NOT(ISBLANK(G3copy!B275)),G3copy!B275,"")</f>
        <v/>
      </c>
      <c r="F275" s="24" t="str">
        <f>IF(E275&lt;&gt;"",G3copy!A275,"")</f>
        <v/>
      </c>
      <c r="G275" s="24" t="str">
        <f>IF(E275&lt;&gt;"",G3copy!F275,"")</f>
        <v/>
      </c>
    </row>
    <row r="276" spans="1:7" ht="15.75" customHeight="1">
      <c r="A276" s="23" t="str">
        <f t="shared" si="13"/>
        <v/>
      </c>
      <c r="B276" t="str">
        <f t="shared" si="14"/>
        <v/>
      </c>
      <c r="C276" s="23" t="str">
        <f t="shared" si="15"/>
        <v/>
      </c>
      <c r="E276" s="24" t="str">
        <f>IF(NOT(ISBLANK(G3copy!B276)),G3copy!B276,"")</f>
        <v/>
      </c>
      <c r="F276" s="24" t="str">
        <f>IF(E276&lt;&gt;"",G3copy!A276,"")</f>
        <v/>
      </c>
      <c r="G276" s="24" t="str">
        <f>IF(E276&lt;&gt;"",G3copy!F276,"")</f>
        <v/>
      </c>
    </row>
    <row r="277" spans="1:7" ht="15.75" customHeight="1">
      <c r="A277" s="23" t="str">
        <f t="shared" si="13"/>
        <v/>
      </c>
      <c r="B277" t="str">
        <f t="shared" si="14"/>
        <v/>
      </c>
      <c r="C277" s="23" t="str">
        <f t="shared" si="15"/>
        <v/>
      </c>
      <c r="E277" s="24" t="str">
        <f>IF(NOT(ISBLANK(G3copy!B277)),G3copy!B277,"")</f>
        <v/>
      </c>
      <c r="F277" s="24" t="str">
        <f>IF(E277&lt;&gt;"",G3copy!A277,"")</f>
        <v/>
      </c>
      <c r="G277" s="24" t="str">
        <f>IF(E277&lt;&gt;"",G3copy!F277,"")</f>
        <v/>
      </c>
    </row>
    <row r="278" spans="1:7" ht="15.75" customHeight="1">
      <c r="A278" s="23" t="str">
        <f t="shared" si="13"/>
        <v/>
      </c>
      <c r="B278" t="str">
        <f t="shared" si="14"/>
        <v/>
      </c>
      <c r="C278" s="23" t="str">
        <f t="shared" si="15"/>
        <v/>
      </c>
      <c r="E278" s="24" t="str">
        <f>IF(NOT(ISBLANK(G3copy!B278)),G3copy!B278,"")</f>
        <v/>
      </c>
      <c r="F278" s="24" t="str">
        <f>IF(E278&lt;&gt;"",G3copy!A278,"")</f>
        <v/>
      </c>
      <c r="G278" s="24" t="str">
        <f>IF(E278&lt;&gt;"",G3copy!F278,"")</f>
        <v/>
      </c>
    </row>
    <row r="279" spans="1:7" ht="15.75" customHeight="1">
      <c r="A279" s="23" t="str">
        <f t="shared" si="13"/>
        <v/>
      </c>
      <c r="B279" t="str">
        <f t="shared" si="14"/>
        <v/>
      </c>
      <c r="C279" s="23" t="str">
        <f t="shared" si="15"/>
        <v/>
      </c>
      <c r="E279" s="24" t="str">
        <f>IF(NOT(ISBLANK(G3copy!B279)),G3copy!B279,"")</f>
        <v/>
      </c>
      <c r="F279" s="24" t="str">
        <f>IF(E279&lt;&gt;"",G3copy!A279,"")</f>
        <v/>
      </c>
      <c r="G279" s="24" t="str">
        <f>IF(E279&lt;&gt;"",G3copy!F279,"")</f>
        <v/>
      </c>
    </row>
    <row r="280" spans="1:7" ht="15.75" customHeight="1">
      <c r="A280" s="23" t="str">
        <f t="shared" si="13"/>
        <v/>
      </c>
      <c r="B280" t="str">
        <f t="shared" si="14"/>
        <v/>
      </c>
      <c r="C280" s="23" t="str">
        <f t="shared" si="15"/>
        <v/>
      </c>
      <c r="E280" s="24" t="str">
        <f>IF(NOT(ISBLANK(G3copy!B280)),G3copy!B280,"")</f>
        <v/>
      </c>
      <c r="F280" s="24" t="str">
        <f>IF(E280&lt;&gt;"",G3copy!A280,"")</f>
        <v/>
      </c>
      <c r="G280" s="24" t="str">
        <f>IF(E280&lt;&gt;"",G3copy!F280,"")</f>
        <v/>
      </c>
    </row>
    <row r="281" spans="1:7" ht="15.75" customHeight="1">
      <c r="A281" s="23" t="str">
        <f t="shared" si="13"/>
        <v/>
      </c>
      <c r="B281" t="str">
        <f t="shared" si="14"/>
        <v/>
      </c>
      <c r="C281" s="23" t="str">
        <f t="shared" si="15"/>
        <v/>
      </c>
      <c r="E281" s="24" t="str">
        <f>IF(NOT(ISBLANK(G3copy!B281)),G3copy!B281,"")</f>
        <v/>
      </c>
      <c r="F281" s="24" t="str">
        <f>IF(E281&lt;&gt;"",G3copy!A281,"")</f>
        <v/>
      </c>
      <c r="G281" s="24" t="str">
        <f>IF(E281&lt;&gt;"",G3copy!F281,"")</f>
        <v/>
      </c>
    </row>
    <row r="282" spans="1:7" ht="15.75" customHeight="1">
      <c r="A282" s="23" t="str">
        <f t="shared" si="13"/>
        <v/>
      </c>
      <c r="B282" t="str">
        <f t="shared" si="14"/>
        <v/>
      </c>
      <c r="C282" s="23" t="str">
        <f t="shared" si="15"/>
        <v/>
      </c>
      <c r="E282" s="24" t="str">
        <f>IF(NOT(ISBLANK(G3copy!B282)),G3copy!B282,"")</f>
        <v/>
      </c>
      <c r="F282" s="24" t="str">
        <f>IF(E282&lt;&gt;"",G3copy!A282,"")</f>
        <v/>
      </c>
      <c r="G282" s="24" t="str">
        <f>IF(E282&lt;&gt;"",G3copy!F282,"")</f>
        <v/>
      </c>
    </row>
    <row r="283" spans="1:7" ht="15.75" customHeight="1">
      <c r="A283" s="23" t="str">
        <f t="shared" si="13"/>
        <v/>
      </c>
      <c r="B283" t="str">
        <f t="shared" si="14"/>
        <v/>
      </c>
      <c r="C283" s="23" t="str">
        <f t="shared" si="15"/>
        <v/>
      </c>
      <c r="E283" s="24" t="str">
        <f>IF(NOT(ISBLANK(G3copy!B283)),G3copy!B283,"")</f>
        <v/>
      </c>
      <c r="F283" s="24" t="str">
        <f>IF(E283&lt;&gt;"",G3copy!A283,"")</f>
        <v/>
      </c>
      <c r="G283" s="24" t="str">
        <f>IF(E283&lt;&gt;"",G3copy!F283,"")</f>
        <v/>
      </c>
    </row>
    <row r="284" spans="1:7" ht="15.75" customHeight="1">
      <c r="A284" s="23" t="str">
        <f t="shared" si="13"/>
        <v/>
      </c>
      <c r="B284" t="str">
        <f t="shared" si="14"/>
        <v/>
      </c>
      <c r="C284" s="23" t="str">
        <f t="shared" si="15"/>
        <v/>
      </c>
      <c r="E284" s="24" t="str">
        <f>IF(NOT(ISBLANK(G3copy!B284)),G3copy!B284,"")</f>
        <v/>
      </c>
      <c r="F284" s="24" t="str">
        <f>IF(E284&lt;&gt;"",G3copy!A284,"")</f>
        <v/>
      </c>
      <c r="G284" s="24" t="str">
        <f>IF(E284&lt;&gt;"",G3copy!F284,"")</f>
        <v/>
      </c>
    </row>
    <row r="285" spans="1:7" ht="15.75" customHeight="1">
      <c r="A285" s="23" t="str">
        <f t="shared" si="13"/>
        <v/>
      </c>
      <c r="B285" t="str">
        <f t="shared" si="14"/>
        <v/>
      </c>
      <c r="C285" s="23" t="str">
        <f t="shared" si="15"/>
        <v/>
      </c>
      <c r="E285" s="24" t="str">
        <f>IF(NOT(ISBLANK(G3copy!B285)),G3copy!B285,"")</f>
        <v/>
      </c>
      <c r="F285" s="24" t="str">
        <f>IF(E285&lt;&gt;"",G3copy!A285,"")</f>
        <v/>
      </c>
      <c r="G285" s="24" t="str">
        <f>IF(E285&lt;&gt;"",G3copy!F285,"")</f>
        <v/>
      </c>
    </row>
    <row r="286" spans="1:7" ht="15.75" customHeight="1">
      <c r="A286" s="23" t="str">
        <f t="shared" si="13"/>
        <v/>
      </c>
      <c r="B286" t="str">
        <f t="shared" si="14"/>
        <v/>
      </c>
      <c r="C286" s="23" t="str">
        <f t="shared" si="15"/>
        <v/>
      </c>
      <c r="E286" s="24" t="str">
        <f>IF(NOT(ISBLANK(G3copy!B286)),G3copy!B286,"")</f>
        <v/>
      </c>
      <c r="F286" s="24" t="str">
        <f>IF(E286&lt;&gt;"",G3copy!A286,"")</f>
        <v/>
      </c>
      <c r="G286" s="24" t="str">
        <f>IF(E286&lt;&gt;"",G3copy!F286,"")</f>
        <v/>
      </c>
    </row>
    <row r="287" spans="1:7" ht="15.75" customHeight="1">
      <c r="A287" s="23" t="str">
        <f t="shared" si="13"/>
        <v/>
      </c>
      <c r="B287" t="str">
        <f t="shared" si="14"/>
        <v/>
      </c>
      <c r="C287" s="23" t="str">
        <f t="shared" si="15"/>
        <v/>
      </c>
      <c r="E287" s="24" t="str">
        <f>IF(NOT(ISBLANK(G3copy!B287)),G3copy!B287,"")</f>
        <v/>
      </c>
      <c r="F287" s="24" t="str">
        <f>IF(E287&lt;&gt;"",G3copy!A287,"")</f>
        <v/>
      </c>
      <c r="G287" s="24" t="str">
        <f>IF(E287&lt;&gt;"",G3copy!F287,"")</f>
        <v/>
      </c>
    </row>
    <row r="288" spans="1:7" ht="15.75" customHeight="1">
      <c r="A288" s="23" t="str">
        <f t="shared" si="13"/>
        <v/>
      </c>
      <c r="B288" t="str">
        <f t="shared" si="14"/>
        <v/>
      </c>
      <c r="C288" s="23" t="str">
        <f t="shared" si="15"/>
        <v/>
      </c>
      <c r="E288" s="24" t="str">
        <f>IF(NOT(ISBLANK(G3copy!B288)),G3copy!B288,"")</f>
        <v/>
      </c>
      <c r="F288" s="24" t="str">
        <f>IF(E288&lt;&gt;"",G3copy!A288,"")</f>
        <v/>
      </c>
      <c r="G288" s="24" t="str">
        <f>IF(E288&lt;&gt;"",G3copy!F288,"")</f>
        <v/>
      </c>
    </row>
    <row r="289" spans="1:7" ht="15.75" customHeight="1">
      <c r="A289" s="23" t="str">
        <f t="shared" si="13"/>
        <v/>
      </c>
      <c r="B289" t="str">
        <f t="shared" si="14"/>
        <v/>
      </c>
      <c r="C289" s="23" t="str">
        <f t="shared" si="15"/>
        <v/>
      </c>
      <c r="E289" s="24" t="str">
        <f>IF(NOT(ISBLANK(G3copy!B289)),G3copy!B289,"")</f>
        <v/>
      </c>
      <c r="F289" s="24" t="str">
        <f>IF(E289&lt;&gt;"",G3copy!A289,"")</f>
        <v/>
      </c>
      <c r="G289" s="24" t="str">
        <f>IF(E289&lt;&gt;"",G3copy!F289,"")</f>
        <v/>
      </c>
    </row>
    <row r="290" spans="1:7" ht="15.75" customHeight="1">
      <c r="A290" s="23" t="str">
        <f t="shared" si="13"/>
        <v/>
      </c>
      <c r="B290" t="str">
        <f t="shared" si="14"/>
        <v/>
      </c>
      <c r="C290" s="23" t="str">
        <f t="shared" si="15"/>
        <v/>
      </c>
      <c r="E290" s="24" t="str">
        <f>IF(NOT(ISBLANK(G3copy!B290)),G3copy!B290,"")</f>
        <v/>
      </c>
      <c r="F290" s="24" t="str">
        <f>IF(E290&lt;&gt;"",G3copy!A290,"")</f>
        <v/>
      </c>
      <c r="G290" s="24" t="str">
        <f>IF(E290&lt;&gt;"",G3copy!F290,"")</f>
        <v/>
      </c>
    </row>
    <row r="291" spans="1:7" ht="15.75" customHeight="1">
      <c r="A291" s="23" t="str">
        <f t="shared" si="13"/>
        <v/>
      </c>
      <c r="B291" t="str">
        <f t="shared" si="14"/>
        <v/>
      </c>
      <c r="C291" s="23" t="str">
        <f t="shared" si="15"/>
        <v/>
      </c>
      <c r="E291" s="24" t="str">
        <f>IF(NOT(ISBLANK(G3copy!B291)),G3copy!B291,"")</f>
        <v/>
      </c>
      <c r="F291" s="24" t="str">
        <f>IF(E291&lt;&gt;"",G3copy!A291,"")</f>
        <v/>
      </c>
      <c r="G291" s="24" t="str">
        <f>IF(E291&lt;&gt;"",G3copy!F291,"")</f>
        <v/>
      </c>
    </row>
    <row r="292" spans="1:7" ht="15.75" customHeight="1">
      <c r="A292" s="23" t="str">
        <f t="shared" si="13"/>
        <v/>
      </c>
      <c r="B292" t="str">
        <f t="shared" si="14"/>
        <v/>
      </c>
      <c r="C292" s="23" t="str">
        <f t="shared" si="15"/>
        <v/>
      </c>
      <c r="E292" s="24" t="str">
        <f>IF(NOT(ISBLANK(G3copy!B292)),G3copy!B292,"")</f>
        <v/>
      </c>
      <c r="F292" s="24" t="str">
        <f>IF(E292&lt;&gt;"",G3copy!A292,"")</f>
        <v/>
      </c>
      <c r="G292" s="24" t="str">
        <f>IF(E292&lt;&gt;"",G3copy!F292,"")</f>
        <v/>
      </c>
    </row>
    <row r="293" spans="1:7" ht="15.75" customHeight="1">
      <c r="A293" s="23" t="str">
        <f t="shared" si="13"/>
        <v/>
      </c>
      <c r="B293" t="str">
        <f t="shared" si="14"/>
        <v/>
      </c>
      <c r="C293" s="23" t="str">
        <f t="shared" si="15"/>
        <v/>
      </c>
      <c r="E293" s="24" t="str">
        <f>IF(NOT(ISBLANK(G3copy!B293)),G3copy!B293,"")</f>
        <v/>
      </c>
      <c r="F293" s="24" t="str">
        <f>IF(E293&lt;&gt;"",G3copy!A293,"")</f>
        <v/>
      </c>
      <c r="G293" s="24" t="str">
        <f>IF(E293&lt;&gt;"",G3copy!F293,"")</f>
        <v/>
      </c>
    </row>
    <row r="294" spans="1:7" ht="15.75" customHeight="1">
      <c r="A294" s="23" t="str">
        <f t="shared" si="13"/>
        <v/>
      </c>
      <c r="B294" t="str">
        <f t="shared" si="14"/>
        <v/>
      </c>
      <c r="C294" s="23" t="str">
        <f t="shared" si="15"/>
        <v/>
      </c>
      <c r="E294" s="24" t="str">
        <f>IF(NOT(ISBLANK(G3copy!B294)),G3copy!B294,"")</f>
        <v/>
      </c>
      <c r="F294" s="24" t="str">
        <f>IF(E294&lt;&gt;"",G3copy!A294,"")</f>
        <v/>
      </c>
      <c r="G294" s="24" t="str">
        <f>IF(E294&lt;&gt;"",G3copy!F294,"")</f>
        <v/>
      </c>
    </row>
    <row r="295" spans="1:7" ht="15.75" customHeight="1">
      <c r="A295" s="23" t="str">
        <f t="shared" si="13"/>
        <v/>
      </c>
      <c r="B295" t="str">
        <f t="shared" si="14"/>
        <v/>
      </c>
      <c r="C295" s="23" t="str">
        <f t="shared" si="15"/>
        <v/>
      </c>
      <c r="E295" s="24" t="str">
        <f>IF(NOT(ISBLANK(G3copy!B295)),G3copy!B295,"")</f>
        <v/>
      </c>
      <c r="F295" s="24" t="str">
        <f>IF(E295&lt;&gt;"",G3copy!A295,"")</f>
        <v/>
      </c>
      <c r="G295" s="24" t="str">
        <f>IF(E295&lt;&gt;"",G3copy!F295,"")</f>
        <v/>
      </c>
    </row>
    <row r="296" spans="1:7" ht="15.75" customHeight="1">
      <c r="A296" s="23" t="str">
        <f t="shared" si="13"/>
        <v/>
      </c>
      <c r="B296" t="str">
        <f t="shared" si="14"/>
        <v/>
      </c>
      <c r="C296" s="23" t="str">
        <f t="shared" si="15"/>
        <v/>
      </c>
      <c r="E296" s="24" t="str">
        <f>IF(NOT(ISBLANK(G3copy!B296)),G3copy!B296,"")</f>
        <v/>
      </c>
      <c r="F296" s="24" t="str">
        <f>IF(E296&lt;&gt;"",G3copy!A296,"")</f>
        <v/>
      </c>
      <c r="G296" s="24" t="str">
        <f>IF(E296&lt;&gt;"",G3copy!F296,"")</f>
        <v/>
      </c>
    </row>
    <row r="297" spans="1:7" ht="15.75" customHeight="1">
      <c r="A297" s="23" t="str">
        <f t="shared" si="13"/>
        <v/>
      </c>
      <c r="B297" t="str">
        <f t="shared" si="14"/>
        <v/>
      </c>
      <c r="C297" s="23" t="str">
        <f t="shared" si="15"/>
        <v/>
      </c>
      <c r="E297" s="24" t="str">
        <f>IF(NOT(ISBLANK(G3copy!B297)),G3copy!B297,"")</f>
        <v/>
      </c>
      <c r="F297" s="24" t="str">
        <f>IF(E297&lt;&gt;"",G3copy!A297,"")</f>
        <v/>
      </c>
      <c r="G297" s="24" t="str">
        <f>IF(E297&lt;&gt;"",G3copy!F297,"")</f>
        <v/>
      </c>
    </row>
    <row r="298" spans="1:7" ht="15.75" customHeight="1">
      <c r="A298" s="23" t="str">
        <f t="shared" si="13"/>
        <v/>
      </c>
      <c r="B298" t="str">
        <f t="shared" si="14"/>
        <v/>
      </c>
      <c r="C298" s="23" t="str">
        <f t="shared" si="15"/>
        <v/>
      </c>
      <c r="E298" s="24" t="str">
        <f>IF(NOT(ISBLANK(G3copy!B298)),G3copy!B298,"")</f>
        <v/>
      </c>
      <c r="F298" s="24" t="str">
        <f>IF(E298&lt;&gt;"",G3copy!A298,"")</f>
        <v/>
      </c>
      <c r="G298" s="24" t="str">
        <f>IF(E298&lt;&gt;"",G3copy!F298,"")</f>
        <v/>
      </c>
    </row>
    <row r="299" spans="1:7" ht="15.75" customHeight="1">
      <c r="A299" s="23" t="str">
        <f t="shared" si="13"/>
        <v/>
      </c>
      <c r="B299" t="str">
        <f t="shared" si="14"/>
        <v/>
      </c>
      <c r="C299" s="23" t="str">
        <f t="shared" si="15"/>
        <v/>
      </c>
      <c r="E299" s="24" t="str">
        <f>IF(NOT(ISBLANK(G3copy!B299)),G3copy!B299,"")</f>
        <v/>
      </c>
      <c r="F299" s="24" t="str">
        <f>IF(E299&lt;&gt;"",G3copy!A299,"")</f>
        <v/>
      </c>
      <c r="G299" s="24" t="str">
        <f>IF(E299&lt;&gt;"",G3copy!F299,"")</f>
        <v/>
      </c>
    </row>
    <row r="300" spans="1:7" ht="15.75" customHeight="1">
      <c r="A300" s="23" t="str">
        <f t="shared" si="13"/>
        <v/>
      </c>
      <c r="B300" t="str">
        <f t="shared" si="14"/>
        <v/>
      </c>
      <c r="C300" s="23" t="str">
        <f t="shared" si="15"/>
        <v/>
      </c>
      <c r="E300" s="24" t="str">
        <f>IF(NOT(ISBLANK(G3copy!B300)),G3copy!B300,"")</f>
        <v/>
      </c>
      <c r="F300" s="24" t="str">
        <f>IF(E300&lt;&gt;"",G3copy!A300,"")</f>
        <v/>
      </c>
      <c r="G300" s="24" t="str">
        <f>IF(E300&lt;&gt;"",G3copy!F300,"")</f>
        <v/>
      </c>
    </row>
    <row r="301" spans="1:7" ht="15.75" customHeight="1">
      <c r="A301" s="23" t="str">
        <f t="shared" si="13"/>
        <v/>
      </c>
      <c r="B301" t="str">
        <f t="shared" si="14"/>
        <v/>
      </c>
      <c r="C301" s="23" t="str">
        <f t="shared" si="15"/>
        <v/>
      </c>
      <c r="E301" s="24" t="str">
        <f>IF(NOT(ISBLANK(G3copy!B301)),G3copy!B301,"")</f>
        <v/>
      </c>
      <c r="F301" s="24" t="str">
        <f>IF(E301&lt;&gt;"",G3copy!A301,"")</f>
        <v/>
      </c>
      <c r="G301" s="24" t="str">
        <f>IF(E301&lt;&gt;"",G3copy!F301,"")</f>
        <v/>
      </c>
    </row>
    <row r="302" spans="1:7" ht="15.75" customHeight="1">
      <c r="A302" s="23" t="str">
        <f t="shared" si="13"/>
        <v/>
      </c>
      <c r="B302" t="str">
        <f t="shared" si="14"/>
        <v/>
      </c>
      <c r="C302" s="23" t="str">
        <f t="shared" si="15"/>
        <v/>
      </c>
      <c r="E302" s="24" t="str">
        <f>IF(NOT(ISBLANK(G3copy!B302)),G3copy!B302,"")</f>
        <v/>
      </c>
      <c r="F302" s="24" t="str">
        <f>IF(E302&lt;&gt;"",G3copy!A302,"")</f>
        <v/>
      </c>
      <c r="G302" s="24" t="str">
        <f>IF(E302&lt;&gt;"",G3copy!F302,"")</f>
        <v/>
      </c>
    </row>
    <row r="303" spans="1:7" ht="15.75" customHeight="1">
      <c r="A303" s="23" t="str">
        <f t="shared" si="13"/>
        <v/>
      </c>
      <c r="B303" t="str">
        <f t="shared" si="14"/>
        <v/>
      </c>
      <c r="C303" s="23" t="str">
        <f t="shared" si="15"/>
        <v/>
      </c>
      <c r="E303" s="24" t="str">
        <f>IF(NOT(ISBLANK(G3copy!B303)),G3copy!B303,"")</f>
        <v/>
      </c>
      <c r="F303" s="24" t="str">
        <f>IF(E303&lt;&gt;"",G3copy!A303,"")</f>
        <v/>
      </c>
      <c r="G303" s="24" t="str">
        <f>IF(E303&lt;&gt;"",G3copy!F303,"")</f>
        <v/>
      </c>
    </row>
    <row r="304" spans="1:7" ht="15.75" customHeight="1">
      <c r="A304" s="23" t="str">
        <f t="shared" si="13"/>
        <v/>
      </c>
      <c r="B304" t="str">
        <f t="shared" si="14"/>
        <v/>
      </c>
      <c r="C304" s="23" t="str">
        <f t="shared" si="15"/>
        <v/>
      </c>
      <c r="E304" s="24" t="str">
        <f>IF(NOT(ISBLANK(G3copy!B304)),G3copy!B304,"")</f>
        <v/>
      </c>
      <c r="F304" s="24" t="str">
        <f>IF(E304&lt;&gt;"",G3copy!A304,"")</f>
        <v/>
      </c>
      <c r="G304" s="24" t="str">
        <f>IF(E304&lt;&gt;"",G3copy!F304,"")</f>
        <v/>
      </c>
    </row>
    <row r="305" spans="1:7" ht="15.75" customHeight="1">
      <c r="A305" s="23" t="str">
        <f t="shared" si="13"/>
        <v/>
      </c>
      <c r="B305" t="str">
        <f t="shared" si="14"/>
        <v/>
      </c>
      <c r="C305" s="23" t="str">
        <f t="shared" si="15"/>
        <v/>
      </c>
      <c r="E305" s="24" t="str">
        <f>IF(NOT(ISBLANK(G3copy!B305)),G3copy!B305,"")</f>
        <v/>
      </c>
      <c r="F305" s="24" t="str">
        <f>IF(E305&lt;&gt;"",G3copy!A305,"")</f>
        <v/>
      </c>
      <c r="G305" s="24" t="str">
        <f>IF(E305&lt;&gt;"",G3copy!F305,"")</f>
        <v/>
      </c>
    </row>
    <row r="306" spans="1:7" ht="15.75" customHeight="1">
      <c r="A306" s="23" t="str">
        <f t="shared" si="13"/>
        <v/>
      </c>
      <c r="B306" t="str">
        <f t="shared" si="14"/>
        <v/>
      </c>
      <c r="C306" s="23" t="str">
        <f t="shared" si="15"/>
        <v/>
      </c>
      <c r="E306" s="24" t="str">
        <f>IF(NOT(ISBLANK(G3copy!B306)),G3copy!B306,"")</f>
        <v/>
      </c>
      <c r="F306" s="24" t="str">
        <f>IF(E306&lt;&gt;"",G3copy!A306,"")</f>
        <v/>
      </c>
      <c r="G306" s="24" t="str">
        <f>IF(E306&lt;&gt;"",G3copy!F306,"")</f>
        <v/>
      </c>
    </row>
    <row r="307" spans="1:7" ht="15.75" customHeight="1">
      <c r="A307" s="23" t="str">
        <f t="shared" si="13"/>
        <v/>
      </c>
      <c r="B307" t="str">
        <f t="shared" si="14"/>
        <v/>
      </c>
      <c r="C307" s="23" t="str">
        <f t="shared" si="15"/>
        <v/>
      </c>
      <c r="E307" s="24" t="str">
        <f>IF(NOT(ISBLANK(G3copy!B307)),G3copy!B307,"")</f>
        <v/>
      </c>
      <c r="F307" s="24" t="str">
        <f>IF(E307&lt;&gt;"",G3copy!A307,"")</f>
        <v/>
      </c>
      <c r="G307" s="24" t="str">
        <f>IF(E307&lt;&gt;"",G3copy!F307,"")</f>
        <v/>
      </c>
    </row>
    <row r="308" spans="1:7" ht="15.75" customHeight="1">
      <c r="A308" s="23" t="str">
        <f t="shared" si="13"/>
        <v/>
      </c>
      <c r="B308" t="str">
        <f t="shared" si="14"/>
        <v/>
      </c>
      <c r="C308" s="23" t="str">
        <f t="shared" si="15"/>
        <v/>
      </c>
      <c r="E308" s="24" t="str">
        <f>IF(NOT(ISBLANK(G3copy!B308)),G3copy!B308,"")</f>
        <v/>
      </c>
      <c r="F308" s="24" t="str">
        <f>IF(E308&lt;&gt;"",G3copy!A308,"")</f>
        <v/>
      </c>
      <c r="G308" s="24" t="str">
        <f>IF(E308&lt;&gt;"",G3copy!F308,"")</f>
        <v/>
      </c>
    </row>
    <row r="309" spans="1:7" ht="15.75" customHeight="1">
      <c r="A309" s="23" t="str">
        <f t="shared" si="13"/>
        <v/>
      </c>
      <c r="B309" t="str">
        <f t="shared" si="14"/>
        <v/>
      </c>
      <c r="C309" s="23" t="str">
        <f t="shared" si="15"/>
        <v/>
      </c>
      <c r="E309" s="24" t="str">
        <f>IF(NOT(ISBLANK(G3copy!B309)),G3copy!B309,"")</f>
        <v/>
      </c>
      <c r="F309" s="24" t="str">
        <f>IF(E309&lt;&gt;"",G3copy!A309,"")</f>
        <v/>
      </c>
      <c r="G309" s="24" t="str">
        <f>IF(E309&lt;&gt;"",G3copy!F309,"")</f>
        <v/>
      </c>
    </row>
    <row r="310" spans="1:7" ht="15.75" customHeight="1">
      <c r="A310" s="23" t="str">
        <f t="shared" si="13"/>
        <v/>
      </c>
      <c r="B310" t="str">
        <f t="shared" si="14"/>
        <v/>
      </c>
      <c r="C310" s="23" t="str">
        <f t="shared" si="15"/>
        <v/>
      </c>
      <c r="E310" s="24" t="str">
        <f>IF(NOT(ISBLANK(G3copy!B310)),G3copy!B310,"")</f>
        <v/>
      </c>
      <c r="F310" s="24" t="str">
        <f>IF(E310&lt;&gt;"",G3copy!A310,"")</f>
        <v/>
      </c>
      <c r="G310" s="24" t="str">
        <f>IF(E310&lt;&gt;"",G3copy!F310,"")</f>
        <v/>
      </c>
    </row>
    <row r="311" spans="1:7" ht="15.75" customHeight="1">
      <c r="A311" s="23" t="str">
        <f t="shared" si="13"/>
        <v/>
      </c>
      <c r="B311" t="str">
        <f t="shared" si="14"/>
        <v/>
      </c>
      <c r="C311" s="23" t="str">
        <f t="shared" si="15"/>
        <v/>
      </c>
      <c r="E311" s="24" t="str">
        <f>IF(NOT(ISBLANK(G3copy!B311)),G3copy!B311,"")</f>
        <v/>
      </c>
      <c r="F311" s="24" t="str">
        <f>IF(E311&lt;&gt;"",G3copy!A311,"")</f>
        <v/>
      </c>
      <c r="G311" s="24" t="str">
        <f>IF(E311&lt;&gt;"",G3copy!F311,"")</f>
        <v/>
      </c>
    </row>
    <row r="312" spans="1:7" ht="15.75" customHeight="1">
      <c r="A312" s="23" t="str">
        <f t="shared" si="13"/>
        <v/>
      </c>
      <c r="B312" t="str">
        <f t="shared" si="14"/>
        <v/>
      </c>
      <c r="C312" s="23" t="str">
        <f t="shared" si="15"/>
        <v/>
      </c>
      <c r="E312" s="24" t="str">
        <f>IF(NOT(ISBLANK(G3copy!B312)),G3copy!B312,"")</f>
        <v/>
      </c>
      <c r="F312" s="24" t="str">
        <f>IF(E312&lt;&gt;"",G3copy!A312,"")</f>
        <v/>
      </c>
      <c r="G312" s="24" t="str">
        <f>IF(E312&lt;&gt;"",G3copy!F312,"")</f>
        <v/>
      </c>
    </row>
    <row r="313" spans="1:7" ht="15.75" customHeight="1">
      <c r="A313" s="23" t="str">
        <f t="shared" si="13"/>
        <v/>
      </c>
      <c r="B313" t="str">
        <f t="shared" si="14"/>
        <v/>
      </c>
      <c r="C313" s="23" t="str">
        <f t="shared" si="15"/>
        <v/>
      </c>
      <c r="E313" s="24" t="str">
        <f>IF(NOT(ISBLANK(G3copy!B313)),G3copy!B313,"")</f>
        <v/>
      </c>
      <c r="F313" s="24" t="str">
        <f>IF(E313&lt;&gt;"",G3copy!A313,"")</f>
        <v/>
      </c>
      <c r="G313" s="24" t="str">
        <f>IF(E313&lt;&gt;"",G3copy!F313,"")</f>
        <v/>
      </c>
    </row>
    <row r="314" spans="1:7" ht="15.75" customHeight="1">
      <c r="A314" s="23" t="str">
        <f t="shared" si="13"/>
        <v/>
      </c>
      <c r="B314" t="str">
        <f t="shared" si="14"/>
        <v/>
      </c>
      <c r="C314" s="23" t="str">
        <f t="shared" si="15"/>
        <v/>
      </c>
      <c r="E314" s="24" t="str">
        <f>IF(NOT(ISBLANK(G3copy!B314)),G3copy!B314,"")</f>
        <v/>
      </c>
      <c r="F314" s="24" t="str">
        <f>IF(E314&lt;&gt;"",G3copy!A314,"")</f>
        <v/>
      </c>
      <c r="G314" s="24" t="str">
        <f>IF(E314&lt;&gt;"",G3copy!F314,"")</f>
        <v/>
      </c>
    </row>
    <row r="315" spans="1:7" ht="15.75" customHeight="1">
      <c r="A315" s="23" t="str">
        <f t="shared" si="13"/>
        <v/>
      </c>
      <c r="B315" t="str">
        <f t="shared" si="14"/>
        <v/>
      </c>
      <c r="C315" s="23" t="str">
        <f t="shared" si="15"/>
        <v/>
      </c>
      <c r="E315" s="24" t="str">
        <f>IF(NOT(ISBLANK(G3copy!B315)),G3copy!B315,"")</f>
        <v/>
      </c>
      <c r="F315" s="24" t="str">
        <f>IF(E315&lt;&gt;"",G3copy!A315,"")</f>
        <v/>
      </c>
      <c r="G315" s="24" t="str">
        <f>IF(E315&lt;&gt;"",G3copy!F315,"")</f>
        <v/>
      </c>
    </row>
    <row r="316" spans="1:7" ht="15.75" customHeight="1">
      <c r="A316" s="23" t="str">
        <f t="shared" si="13"/>
        <v/>
      </c>
      <c r="B316" t="str">
        <f t="shared" si="14"/>
        <v/>
      </c>
      <c r="C316" s="23" t="str">
        <f t="shared" si="15"/>
        <v/>
      </c>
      <c r="E316" s="24" t="str">
        <f>IF(NOT(ISBLANK(G3copy!B316)),G3copy!B316,"")</f>
        <v/>
      </c>
      <c r="F316" s="24" t="str">
        <f>IF(E316&lt;&gt;"",G3copy!A316,"")</f>
        <v/>
      </c>
      <c r="G316" s="24" t="str">
        <f>IF(E316&lt;&gt;"",G3copy!F316,"")</f>
        <v/>
      </c>
    </row>
    <row r="317" spans="1:7" ht="15.75" customHeight="1">
      <c r="A317" s="23" t="str">
        <f t="shared" si="13"/>
        <v/>
      </c>
      <c r="B317" t="str">
        <f t="shared" si="14"/>
        <v/>
      </c>
      <c r="C317" s="23" t="str">
        <f t="shared" si="15"/>
        <v/>
      </c>
      <c r="E317" s="24" t="str">
        <f>IF(NOT(ISBLANK(G3copy!B317)),G3copy!B317,"")</f>
        <v/>
      </c>
      <c r="F317" s="24" t="str">
        <f>IF(E317&lt;&gt;"",G3copy!A317,"")</f>
        <v/>
      </c>
      <c r="G317" s="24" t="str">
        <f>IF(E317&lt;&gt;"",G3copy!F317,"")</f>
        <v/>
      </c>
    </row>
    <row r="318" spans="1:7" ht="15.75" customHeight="1">
      <c r="A318" s="23" t="str">
        <f t="shared" si="13"/>
        <v/>
      </c>
      <c r="B318" t="str">
        <f t="shared" si="14"/>
        <v/>
      </c>
      <c r="C318" s="23" t="str">
        <f t="shared" si="15"/>
        <v/>
      </c>
      <c r="E318" s="24" t="str">
        <f>IF(NOT(ISBLANK(G3copy!B318)),G3copy!B318,"")</f>
        <v/>
      </c>
      <c r="F318" s="24" t="str">
        <f>IF(E318&lt;&gt;"",G3copy!A318,"")</f>
        <v/>
      </c>
      <c r="G318" s="24" t="str">
        <f>IF(E318&lt;&gt;"",G3copy!F318,"")</f>
        <v/>
      </c>
    </row>
    <row r="319" spans="1:7" ht="15.75" customHeight="1">
      <c r="A319" s="23" t="str">
        <f t="shared" si="13"/>
        <v/>
      </c>
      <c r="B319" t="str">
        <f t="shared" si="14"/>
        <v/>
      </c>
      <c r="C319" s="23" t="str">
        <f t="shared" si="15"/>
        <v/>
      </c>
      <c r="E319" s="24" t="str">
        <f>IF(NOT(ISBLANK(G3copy!B319)),G3copy!B319,"")</f>
        <v/>
      </c>
      <c r="F319" s="24" t="str">
        <f>IF(E319&lt;&gt;"",G3copy!A319,"")</f>
        <v/>
      </c>
      <c r="G319" s="24" t="str">
        <f>IF(E319&lt;&gt;"",G3copy!F319,"")</f>
        <v/>
      </c>
    </row>
    <row r="320" spans="1:7" ht="15.75" customHeight="1">
      <c r="A320" s="23" t="str">
        <f t="shared" si="13"/>
        <v/>
      </c>
      <c r="B320" t="str">
        <f t="shared" si="14"/>
        <v/>
      </c>
      <c r="C320" s="23" t="str">
        <f t="shared" si="15"/>
        <v/>
      </c>
      <c r="E320" s="24" t="str">
        <f>IF(NOT(ISBLANK(G3copy!B320)),G3copy!B320,"")</f>
        <v/>
      </c>
      <c r="F320" s="24" t="str">
        <f>IF(E320&lt;&gt;"",G3copy!A320,"")</f>
        <v/>
      </c>
      <c r="G320" s="24" t="str">
        <f>IF(E320&lt;&gt;"",G3copy!F320,"")</f>
        <v/>
      </c>
    </row>
    <row r="321" spans="1:7" ht="15.75" customHeight="1">
      <c r="A321" s="23" t="str">
        <f t="shared" si="13"/>
        <v/>
      </c>
      <c r="B321" t="str">
        <f t="shared" si="14"/>
        <v/>
      </c>
      <c r="C321" s="23" t="str">
        <f t="shared" si="15"/>
        <v/>
      </c>
      <c r="E321" s="24" t="str">
        <f>IF(NOT(ISBLANK(G3copy!B321)),G3copy!B321,"")</f>
        <v/>
      </c>
      <c r="F321" s="24" t="str">
        <f>IF(E321&lt;&gt;"",G3copy!A321,"")</f>
        <v/>
      </c>
      <c r="G321" s="24" t="str">
        <f>IF(E321&lt;&gt;"",G3copy!F321,"")</f>
        <v/>
      </c>
    </row>
    <row r="322" spans="1:7" ht="15.75" customHeight="1">
      <c r="A322" s="23" t="str">
        <f t="shared" si="13"/>
        <v/>
      </c>
      <c r="B322" t="str">
        <f t="shared" si="14"/>
        <v/>
      </c>
      <c r="C322" s="23" t="str">
        <f t="shared" si="15"/>
        <v/>
      </c>
      <c r="E322" s="24" t="str">
        <f>IF(NOT(ISBLANK(G3copy!B322)),G3copy!B322,"")</f>
        <v/>
      </c>
      <c r="F322" s="24" t="str">
        <f>IF(E322&lt;&gt;"",G3copy!A322,"")</f>
        <v/>
      </c>
      <c r="G322" s="24" t="str">
        <f>IF(E322&lt;&gt;"",G3copy!F322,"")</f>
        <v/>
      </c>
    </row>
    <row r="323" spans="1:7" ht="15.75" customHeight="1">
      <c r="A323" s="23" t="str">
        <f t="shared" ref="A323:A386" si="16">IF(E323&lt;&gt;"",DATEVALUE(LEFT(E323,10)),"")</f>
        <v/>
      </c>
      <c r="B323" t="str">
        <f t="shared" ref="B323:B386" si="17">IF(LEN(F323)&gt;3,RIGHT(F323,LEN(F323)-3),"")</f>
        <v/>
      </c>
      <c r="C323" s="23" t="str">
        <f t="shared" ref="C323:C386" si="18">IF(E323&lt;&gt;"",DATEVALUE(LEFT(G323,10)),"")</f>
        <v/>
      </c>
      <c r="E323" s="24" t="str">
        <f>IF(NOT(ISBLANK(G3copy!B323)),G3copy!B323,"")</f>
        <v/>
      </c>
      <c r="F323" s="24" t="str">
        <f>IF(E323&lt;&gt;"",G3copy!A323,"")</f>
        <v/>
      </c>
      <c r="G323" s="24" t="str">
        <f>IF(E323&lt;&gt;"",G3copy!F323,"")</f>
        <v/>
      </c>
    </row>
    <row r="324" spans="1:7" ht="15.75" customHeight="1">
      <c r="A324" s="23" t="str">
        <f t="shared" si="16"/>
        <v/>
      </c>
      <c r="B324" t="str">
        <f t="shared" si="17"/>
        <v/>
      </c>
      <c r="C324" s="23" t="str">
        <f t="shared" si="18"/>
        <v/>
      </c>
      <c r="E324" s="24" t="str">
        <f>IF(NOT(ISBLANK(G3copy!B324)),G3copy!B324,"")</f>
        <v/>
      </c>
      <c r="F324" s="24" t="str">
        <f>IF(E324&lt;&gt;"",G3copy!A324,"")</f>
        <v/>
      </c>
      <c r="G324" s="24" t="str">
        <f>IF(E324&lt;&gt;"",G3copy!F324,"")</f>
        <v/>
      </c>
    </row>
    <row r="325" spans="1:7" ht="15.75" customHeight="1">
      <c r="A325" s="23" t="str">
        <f t="shared" si="16"/>
        <v/>
      </c>
      <c r="B325" t="str">
        <f t="shared" si="17"/>
        <v/>
      </c>
      <c r="C325" s="23" t="str">
        <f t="shared" si="18"/>
        <v/>
      </c>
      <c r="E325" s="24" t="str">
        <f>IF(NOT(ISBLANK(G3copy!B325)),G3copy!B325,"")</f>
        <v/>
      </c>
      <c r="F325" s="24" t="str">
        <f>IF(E325&lt;&gt;"",G3copy!A325,"")</f>
        <v/>
      </c>
      <c r="G325" s="24" t="str">
        <f>IF(E325&lt;&gt;"",G3copy!F325,"")</f>
        <v/>
      </c>
    </row>
    <row r="326" spans="1:7" ht="15.75" customHeight="1">
      <c r="A326" s="23" t="str">
        <f t="shared" si="16"/>
        <v/>
      </c>
      <c r="B326" t="str">
        <f t="shared" si="17"/>
        <v/>
      </c>
      <c r="C326" s="23" t="str">
        <f t="shared" si="18"/>
        <v/>
      </c>
      <c r="E326" s="24" t="str">
        <f>IF(NOT(ISBLANK(G3copy!B326)),G3copy!B326,"")</f>
        <v/>
      </c>
      <c r="F326" s="24" t="str">
        <f>IF(E326&lt;&gt;"",G3copy!A326,"")</f>
        <v/>
      </c>
      <c r="G326" s="24" t="str">
        <f>IF(E326&lt;&gt;"",G3copy!F326,"")</f>
        <v/>
      </c>
    </row>
    <row r="327" spans="1:7" ht="15.75" customHeight="1">
      <c r="A327" s="23" t="str">
        <f t="shared" si="16"/>
        <v/>
      </c>
      <c r="B327" t="str">
        <f t="shared" si="17"/>
        <v/>
      </c>
      <c r="C327" s="23" t="str">
        <f t="shared" si="18"/>
        <v/>
      </c>
      <c r="E327" s="24" t="str">
        <f>IF(NOT(ISBLANK(G3copy!B327)),G3copy!B327,"")</f>
        <v/>
      </c>
      <c r="F327" s="24" t="str">
        <f>IF(E327&lt;&gt;"",G3copy!A327,"")</f>
        <v/>
      </c>
      <c r="G327" s="24" t="str">
        <f>IF(E327&lt;&gt;"",G3copy!F327,"")</f>
        <v/>
      </c>
    </row>
    <row r="328" spans="1:7" ht="15.75" customHeight="1">
      <c r="A328" s="23" t="str">
        <f t="shared" si="16"/>
        <v/>
      </c>
      <c r="B328" t="str">
        <f t="shared" si="17"/>
        <v/>
      </c>
      <c r="C328" s="23" t="str">
        <f t="shared" si="18"/>
        <v/>
      </c>
      <c r="E328" s="24" t="str">
        <f>IF(NOT(ISBLANK(G3copy!B328)),G3copy!B328,"")</f>
        <v/>
      </c>
      <c r="F328" s="24" t="str">
        <f>IF(E328&lt;&gt;"",G3copy!A328,"")</f>
        <v/>
      </c>
      <c r="G328" s="24" t="str">
        <f>IF(E328&lt;&gt;"",G3copy!F328,"")</f>
        <v/>
      </c>
    </row>
    <row r="329" spans="1:7" ht="15.75" customHeight="1">
      <c r="A329" s="23" t="str">
        <f t="shared" si="16"/>
        <v/>
      </c>
      <c r="B329" t="str">
        <f t="shared" si="17"/>
        <v/>
      </c>
      <c r="C329" s="23" t="str">
        <f t="shared" si="18"/>
        <v/>
      </c>
      <c r="E329" s="24" t="str">
        <f>IF(NOT(ISBLANK(G3copy!B329)),G3copy!B329,"")</f>
        <v/>
      </c>
      <c r="F329" s="24" t="str">
        <f>IF(E329&lt;&gt;"",G3copy!A329,"")</f>
        <v/>
      </c>
      <c r="G329" s="24" t="str">
        <f>IF(E329&lt;&gt;"",G3copy!F329,"")</f>
        <v/>
      </c>
    </row>
    <row r="330" spans="1:7" ht="15.75" customHeight="1">
      <c r="A330" s="23" t="str">
        <f t="shared" si="16"/>
        <v/>
      </c>
      <c r="B330" t="str">
        <f t="shared" si="17"/>
        <v/>
      </c>
      <c r="C330" s="23" t="str">
        <f t="shared" si="18"/>
        <v/>
      </c>
      <c r="E330" s="24" t="str">
        <f>IF(NOT(ISBLANK(G3copy!B330)),G3copy!B330,"")</f>
        <v/>
      </c>
      <c r="F330" s="24" t="str">
        <f>IF(E330&lt;&gt;"",G3copy!A330,"")</f>
        <v/>
      </c>
      <c r="G330" s="24" t="str">
        <f>IF(E330&lt;&gt;"",G3copy!F330,"")</f>
        <v/>
      </c>
    </row>
    <row r="331" spans="1:7" ht="15.75" customHeight="1">
      <c r="A331" s="23" t="str">
        <f t="shared" si="16"/>
        <v/>
      </c>
      <c r="B331" t="str">
        <f t="shared" si="17"/>
        <v/>
      </c>
      <c r="C331" s="23" t="str">
        <f t="shared" si="18"/>
        <v/>
      </c>
      <c r="E331" s="24" t="str">
        <f>IF(NOT(ISBLANK(G3copy!B331)),G3copy!B331,"")</f>
        <v/>
      </c>
      <c r="F331" s="24" t="str">
        <f>IF(E331&lt;&gt;"",G3copy!A331,"")</f>
        <v/>
      </c>
      <c r="G331" s="24" t="str">
        <f>IF(E331&lt;&gt;"",G3copy!F331,"")</f>
        <v/>
      </c>
    </row>
    <row r="332" spans="1:7" ht="15.75" customHeight="1">
      <c r="A332" s="23" t="str">
        <f t="shared" si="16"/>
        <v/>
      </c>
      <c r="B332" t="str">
        <f t="shared" si="17"/>
        <v/>
      </c>
      <c r="C332" s="23" t="str">
        <f t="shared" si="18"/>
        <v/>
      </c>
      <c r="E332" s="24" t="str">
        <f>IF(NOT(ISBLANK(G3copy!B332)),G3copy!B332,"")</f>
        <v/>
      </c>
      <c r="F332" s="24" t="str">
        <f>IF(E332&lt;&gt;"",G3copy!A332,"")</f>
        <v/>
      </c>
      <c r="G332" s="24" t="str">
        <f>IF(E332&lt;&gt;"",G3copy!F332,"")</f>
        <v/>
      </c>
    </row>
    <row r="333" spans="1:7" ht="15.75" customHeight="1">
      <c r="A333" s="23" t="str">
        <f t="shared" si="16"/>
        <v/>
      </c>
      <c r="B333" t="str">
        <f t="shared" si="17"/>
        <v/>
      </c>
      <c r="C333" s="23" t="str">
        <f t="shared" si="18"/>
        <v/>
      </c>
      <c r="E333" s="24" t="str">
        <f>IF(NOT(ISBLANK(G3copy!B333)),G3copy!B333,"")</f>
        <v/>
      </c>
      <c r="F333" s="24" t="str">
        <f>IF(E333&lt;&gt;"",G3copy!A333,"")</f>
        <v/>
      </c>
      <c r="G333" s="24" t="str">
        <f>IF(E333&lt;&gt;"",G3copy!F333,"")</f>
        <v/>
      </c>
    </row>
    <row r="334" spans="1:7" ht="15.75" customHeight="1">
      <c r="A334" s="23" t="str">
        <f t="shared" si="16"/>
        <v/>
      </c>
      <c r="B334" t="str">
        <f t="shared" si="17"/>
        <v/>
      </c>
      <c r="C334" s="23" t="str">
        <f t="shared" si="18"/>
        <v/>
      </c>
      <c r="E334" s="24" t="str">
        <f>IF(NOT(ISBLANK(G3copy!B334)),G3copy!B334,"")</f>
        <v/>
      </c>
      <c r="F334" s="24" t="str">
        <f>IF(E334&lt;&gt;"",G3copy!A334,"")</f>
        <v/>
      </c>
      <c r="G334" s="24" t="str">
        <f>IF(E334&lt;&gt;"",G3copy!F334,"")</f>
        <v/>
      </c>
    </row>
    <row r="335" spans="1:7" ht="15.75" customHeight="1">
      <c r="A335" s="23" t="str">
        <f t="shared" si="16"/>
        <v/>
      </c>
      <c r="B335" t="str">
        <f t="shared" si="17"/>
        <v/>
      </c>
      <c r="C335" s="23" t="str">
        <f t="shared" si="18"/>
        <v/>
      </c>
      <c r="E335" s="24" t="str">
        <f>IF(NOT(ISBLANK(G3copy!B335)),G3copy!B335,"")</f>
        <v/>
      </c>
      <c r="F335" s="24" t="str">
        <f>IF(E335&lt;&gt;"",G3copy!A335,"")</f>
        <v/>
      </c>
      <c r="G335" s="24" t="str">
        <f>IF(E335&lt;&gt;"",G3copy!F335,"")</f>
        <v/>
      </c>
    </row>
    <row r="336" spans="1:7" ht="15.75" customHeight="1">
      <c r="A336" s="23" t="str">
        <f t="shared" si="16"/>
        <v/>
      </c>
      <c r="B336" t="str">
        <f t="shared" si="17"/>
        <v/>
      </c>
      <c r="C336" s="23" t="str">
        <f t="shared" si="18"/>
        <v/>
      </c>
      <c r="E336" s="24" t="str">
        <f>IF(NOT(ISBLANK(G3copy!B336)),G3copy!B336,"")</f>
        <v/>
      </c>
      <c r="F336" s="24" t="str">
        <f>IF(E336&lt;&gt;"",G3copy!A336,"")</f>
        <v/>
      </c>
      <c r="G336" s="24" t="str">
        <f>IF(E336&lt;&gt;"",G3copy!F336,"")</f>
        <v/>
      </c>
    </row>
    <row r="337" spans="1:7" ht="15.75" customHeight="1">
      <c r="A337" s="23" t="str">
        <f t="shared" si="16"/>
        <v/>
      </c>
      <c r="B337" t="str">
        <f t="shared" si="17"/>
        <v/>
      </c>
      <c r="C337" s="23" t="str">
        <f t="shared" si="18"/>
        <v/>
      </c>
      <c r="E337" s="24" t="str">
        <f>IF(NOT(ISBLANK(G3copy!B337)),G3copy!B337,"")</f>
        <v/>
      </c>
      <c r="F337" s="24" t="str">
        <f>IF(E337&lt;&gt;"",G3copy!A337,"")</f>
        <v/>
      </c>
      <c r="G337" s="24" t="str">
        <f>IF(E337&lt;&gt;"",G3copy!F337,"")</f>
        <v/>
      </c>
    </row>
    <row r="338" spans="1:7" ht="15.75" customHeight="1">
      <c r="A338" s="23" t="str">
        <f t="shared" si="16"/>
        <v/>
      </c>
      <c r="B338" t="str">
        <f t="shared" si="17"/>
        <v/>
      </c>
      <c r="C338" s="23" t="str">
        <f t="shared" si="18"/>
        <v/>
      </c>
      <c r="E338" s="24" t="str">
        <f>IF(NOT(ISBLANK(G3copy!B338)),G3copy!B338,"")</f>
        <v/>
      </c>
      <c r="F338" s="24" t="str">
        <f>IF(E338&lt;&gt;"",G3copy!A338,"")</f>
        <v/>
      </c>
      <c r="G338" s="24" t="str">
        <f>IF(E338&lt;&gt;"",G3copy!F338,"")</f>
        <v/>
      </c>
    </row>
    <row r="339" spans="1:7" ht="15.75" customHeight="1">
      <c r="A339" s="23" t="str">
        <f t="shared" si="16"/>
        <v/>
      </c>
      <c r="B339" t="str">
        <f t="shared" si="17"/>
        <v/>
      </c>
      <c r="C339" s="23" t="str">
        <f t="shared" si="18"/>
        <v/>
      </c>
      <c r="E339" s="24" t="str">
        <f>IF(NOT(ISBLANK(G3copy!B339)),G3copy!B339,"")</f>
        <v/>
      </c>
      <c r="F339" s="24" t="str">
        <f>IF(E339&lt;&gt;"",G3copy!A339,"")</f>
        <v/>
      </c>
      <c r="G339" s="24" t="str">
        <f>IF(E339&lt;&gt;"",G3copy!F339,"")</f>
        <v/>
      </c>
    </row>
    <row r="340" spans="1:7" ht="15.75" customHeight="1">
      <c r="A340" s="23" t="str">
        <f t="shared" si="16"/>
        <v/>
      </c>
      <c r="B340" t="str">
        <f t="shared" si="17"/>
        <v/>
      </c>
      <c r="C340" s="23" t="str">
        <f t="shared" si="18"/>
        <v/>
      </c>
      <c r="E340" s="24" t="str">
        <f>IF(NOT(ISBLANK(G3copy!B340)),G3copy!B340,"")</f>
        <v/>
      </c>
      <c r="F340" s="24" t="str">
        <f>IF(E340&lt;&gt;"",G3copy!A340,"")</f>
        <v/>
      </c>
      <c r="G340" s="24" t="str">
        <f>IF(E340&lt;&gt;"",G3copy!F340,"")</f>
        <v/>
      </c>
    </row>
    <row r="341" spans="1:7" ht="15.75" customHeight="1">
      <c r="A341" s="23" t="str">
        <f t="shared" si="16"/>
        <v/>
      </c>
      <c r="B341" t="str">
        <f t="shared" si="17"/>
        <v/>
      </c>
      <c r="C341" s="23" t="str">
        <f t="shared" si="18"/>
        <v/>
      </c>
      <c r="E341" s="24" t="str">
        <f>IF(NOT(ISBLANK(G3copy!B341)),G3copy!B341,"")</f>
        <v/>
      </c>
      <c r="F341" s="24" t="str">
        <f>IF(E341&lt;&gt;"",G3copy!A341,"")</f>
        <v/>
      </c>
      <c r="G341" s="24" t="str">
        <f>IF(E341&lt;&gt;"",G3copy!F341,"")</f>
        <v/>
      </c>
    </row>
    <row r="342" spans="1:7" ht="15.75" customHeight="1">
      <c r="A342" s="23" t="str">
        <f t="shared" si="16"/>
        <v/>
      </c>
      <c r="B342" t="str">
        <f t="shared" si="17"/>
        <v/>
      </c>
      <c r="C342" s="23" t="str">
        <f t="shared" si="18"/>
        <v/>
      </c>
      <c r="E342" s="24" t="str">
        <f>IF(NOT(ISBLANK(G3copy!B342)),G3copy!B342,"")</f>
        <v/>
      </c>
      <c r="F342" s="24" t="str">
        <f>IF(E342&lt;&gt;"",G3copy!A342,"")</f>
        <v/>
      </c>
      <c r="G342" s="24" t="str">
        <f>IF(E342&lt;&gt;"",G3copy!F342,"")</f>
        <v/>
      </c>
    </row>
    <row r="343" spans="1:7" ht="15.75" customHeight="1">
      <c r="A343" s="23" t="str">
        <f t="shared" si="16"/>
        <v/>
      </c>
      <c r="B343" t="str">
        <f t="shared" si="17"/>
        <v/>
      </c>
      <c r="C343" s="23" t="str">
        <f t="shared" si="18"/>
        <v/>
      </c>
      <c r="E343" s="24" t="str">
        <f>IF(NOT(ISBLANK(G3copy!B343)),G3copy!B343,"")</f>
        <v/>
      </c>
      <c r="F343" s="24" t="str">
        <f>IF(E343&lt;&gt;"",G3copy!A343,"")</f>
        <v/>
      </c>
      <c r="G343" s="24" t="str">
        <f>IF(E343&lt;&gt;"",G3copy!F343,"")</f>
        <v/>
      </c>
    </row>
    <row r="344" spans="1:7" ht="15.75" customHeight="1">
      <c r="A344" s="23" t="str">
        <f t="shared" si="16"/>
        <v/>
      </c>
      <c r="B344" t="str">
        <f t="shared" si="17"/>
        <v/>
      </c>
      <c r="C344" s="23" t="str">
        <f t="shared" si="18"/>
        <v/>
      </c>
      <c r="E344" s="24" t="str">
        <f>IF(NOT(ISBLANK(G3copy!B344)),G3copy!B344,"")</f>
        <v/>
      </c>
      <c r="F344" s="24" t="str">
        <f>IF(E344&lt;&gt;"",G3copy!A344,"")</f>
        <v/>
      </c>
      <c r="G344" s="24" t="str">
        <f>IF(E344&lt;&gt;"",G3copy!F344,"")</f>
        <v/>
      </c>
    </row>
    <row r="345" spans="1:7" ht="15.75" customHeight="1">
      <c r="A345" s="23" t="str">
        <f t="shared" si="16"/>
        <v/>
      </c>
      <c r="B345" t="str">
        <f t="shared" si="17"/>
        <v/>
      </c>
      <c r="C345" s="23" t="str">
        <f t="shared" si="18"/>
        <v/>
      </c>
      <c r="E345" s="24" t="str">
        <f>IF(NOT(ISBLANK(G3copy!B345)),G3copy!B345,"")</f>
        <v/>
      </c>
      <c r="F345" s="24" t="str">
        <f>IF(E345&lt;&gt;"",G3copy!A345,"")</f>
        <v/>
      </c>
      <c r="G345" s="24" t="str">
        <f>IF(E345&lt;&gt;"",G3copy!F345,"")</f>
        <v/>
      </c>
    </row>
    <row r="346" spans="1:7" ht="15.75" customHeight="1">
      <c r="A346" s="23" t="str">
        <f t="shared" si="16"/>
        <v/>
      </c>
      <c r="B346" t="str">
        <f t="shared" si="17"/>
        <v/>
      </c>
      <c r="C346" s="23" t="str">
        <f t="shared" si="18"/>
        <v/>
      </c>
      <c r="E346" s="24" t="str">
        <f>IF(NOT(ISBLANK(G3copy!B346)),G3copy!B346,"")</f>
        <v/>
      </c>
      <c r="F346" s="24" t="str">
        <f>IF(E346&lt;&gt;"",G3copy!A346,"")</f>
        <v/>
      </c>
      <c r="G346" s="24" t="str">
        <f>IF(E346&lt;&gt;"",G3copy!F346,"")</f>
        <v/>
      </c>
    </row>
    <row r="347" spans="1:7" ht="15.75" customHeight="1">
      <c r="A347" s="23" t="str">
        <f t="shared" si="16"/>
        <v/>
      </c>
      <c r="B347" t="str">
        <f t="shared" si="17"/>
        <v/>
      </c>
      <c r="C347" s="23" t="str">
        <f t="shared" si="18"/>
        <v/>
      </c>
      <c r="E347" s="24" t="str">
        <f>IF(NOT(ISBLANK(G3copy!B347)),G3copy!B347,"")</f>
        <v/>
      </c>
      <c r="F347" s="24" t="str">
        <f>IF(E347&lt;&gt;"",G3copy!A347,"")</f>
        <v/>
      </c>
      <c r="G347" s="24" t="str">
        <f>IF(E347&lt;&gt;"",G3copy!F347,"")</f>
        <v/>
      </c>
    </row>
    <row r="348" spans="1:7" ht="15.75" customHeight="1">
      <c r="A348" s="23" t="str">
        <f t="shared" si="16"/>
        <v/>
      </c>
      <c r="B348" t="str">
        <f t="shared" si="17"/>
        <v/>
      </c>
      <c r="C348" s="23" t="str">
        <f t="shared" si="18"/>
        <v/>
      </c>
      <c r="E348" s="24" t="str">
        <f>IF(NOT(ISBLANK(G3copy!B348)),G3copy!B348,"")</f>
        <v/>
      </c>
      <c r="F348" s="24" t="str">
        <f>IF(E348&lt;&gt;"",G3copy!A348,"")</f>
        <v/>
      </c>
      <c r="G348" s="24" t="str">
        <f>IF(E348&lt;&gt;"",G3copy!F348,"")</f>
        <v/>
      </c>
    </row>
    <row r="349" spans="1:7" ht="15.75" customHeight="1">
      <c r="A349" s="23" t="str">
        <f t="shared" si="16"/>
        <v/>
      </c>
      <c r="B349" t="str">
        <f t="shared" si="17"/>
        <v/>
      </c>
      <c r="C349" s="23" t="str">
        <f t="shared" si="18"/>
        <v/>
      </c>
      <c r="E349" s="24" t="str">
        <f>IF(NOT(ISBLANK(G3copy!B349)),G3copy!B349,"")</f>
        <v/>
      </c>
      <c r="F349" s="24" t="str">
        <f>IF(E349&lt;&gt;"",G3copy!A349,"")</f>
        <v/>
      </c>
      <c r="G349" s="24" t="str">
        <f>IF(E349&lt;&gt;"",G3copy!F349,"")</f>
        <v/>
      </c>
    </row>
    <row r="350" spans="1:7" ht="15.75" customHeight="1">
      <c r="A350" s="23" t="str">
        <f t="shared" si="16"/>
        <v/>
      </c>
      <c r="B350" t="str">
        <f t="shared" si="17"/>
        <v/>
      </c>
      <c r="C350" s="23" t="str">
        <f t="shared" si="18"/>
        <v/>
      </c>
      <c r="E350" s="24" t="str">
        <f>IF(NOT(ISBLANK(G3copy!B350)),G3copy!B350,"")</f>
        <v/>
      </c>
      <c r="F350" s="24" t="str">
        <f>IF(E350&lt;&gt;"",G3copy!A350,"")</f>
        <v/>
      </c>
      <c r="G350" s="24" t="str">
        <f>IF(E350&lt;&gt;"",G3copy!F350,"")</f>
        <v/>
      </c>
    </row>
    <row r="351" spans="1:7" ht="15.75" customHeight="1">
      <c r="A351" s="23" t="str">
        <f t="shared" si="16"/>
        <v/>
      </c>
      <c r="B351" t="str">
        <f t="shared" si="17"/>
        <v/>
      </c>
      <c r="C351" s="23" t="str">
        <f t="shared" si="18"/>
        <v/>
      </c>
      <c r="E351" s="24" t="str">
        <f>IF(NOT(ISBLANK(G3copy!B351)),G3copy!B351,"")</f>
        <v/>
      </c>
      <c r="F351" s="24" t="str">
        <f>IF(E351&lt;&gt;"",G3copy!A351,"")</f>
        <v/>
      </c>
      <c r="G351" s="24" t="str">
        <f>IF(E351&lt;&gt;"",G3copy!F351,"")</f>
        <v/>
      </c>
    </row>
    <row r="352" spans="1:7" ht="15.75" customHeight="1">
      <c r="A352" s="23" t="str">
        <f t="shared" si="16"/>
        <v/>
      </c>
      <c r="B352" t="str">
        <f t="shared" si="17"/>
        <v/>
      </c>
      <c r="C352" s="23" t="str">
        <f t="shared" si="18"/>
        <v/>
      </c>
      <c r="E352" s="24" t="str">
        <f>IF(NOT(ISBLANK(G3copy!B352)),G3copy!B352,"")</f>
        <v/>
      </c>
      <c r="F352" s="24" t="str">
        <f>IF(E352&lt;&gt;"",G3copy!A352,"")</f>
        <v/>
      </c>
      <c r="G352" s="24" t="str">
        <f>IF(E352&lt;&gt;"",G3copy!F352,"")</f>
        <v/>
      </c>
    </row>
    <row r="353" spans="1:7" ht="15.75" customHeight="1">
      <c r="A353" s="23" t="str">
        <f t="shared" si="16"/>
        <v/>
      </c>
      <c r="B353" t="str">
        <f t="shared" si="17"/>
        <v/>
      </c>
      <c r="C353" s="23" t="str">
        <f t="shared" si="18"/>
        <v/>
      </c>
      <c r="E353" s="24" t="str">
        <f>IF(NOT(ISBLANK(G3copy!B353)),G3copy!B353,"")</f>
        <v/>
      </c>
      <c r="F353" s="24" t="str">
        <f>IF(E353&lt;&gt;"",G3copy!A353,"")</f>
        <v/>
      </c>
      <c r="G353" s="24" t="str">
        <f>IF(E353&lt;&gt;"",G3copy!F353,"")</f>
        <v/>
      </c>
    </row>
    <row r="354" spans="1:7" ht="15.75" customHeight="1">
      <c r="A354" s="23" t="str">
        <f t="shared" si="16"/>
        <v/>
      </c>
      <c r="B354" t="str">
        <f t="shared" si="17"/>
        <v/>
      </c>
      <c r="C354" s="23" t="str">
        <f t="shared" si="18"/>
        <v/>
      </c>
      <c r="E354" s="24" t="str">
        <f>IF(NOT(ISBLANK(G3copy!B354)),G3copy!B354,"")</f>
        <v/>
      </c>
      <c r="F354" s="24" t="str">
        <f>IF(E354&lt;&gt;"",G3copy!A354,"")</f>
        <v/>
      </c>
      <c r="G354" s="24" t="str">
        <f>IF(E354&lt;&gt;"",G3copy!F354,"")</f>
        <v/>
      </c>
    </row>
    <row r="355" spans="1:7" ht="15.75" customHeight="1">
      <c r="A355" s="23" t="str">
        <f t="shared" si="16"/>
        <v/>
      </c>
      <c r="B355" t="str">
        <f t="shared" si="17"/>
        <v/>
      </c>
      <c r="C355" s="23" t="str">
        <f t="shared" si="18"/>
        <v/>
      </c>
      <c r="E355" s="24" t="str">
        <f>IF(NOT(ISBLANK(G3copy!B355)),G3copy!B355,"")</f>
        <v/>
      </c>
      <c r="F355" s="24" t="str">
        <f>IF(E355&lt;&gt;"",G3copy!A355,"")</f>
        <v/>
      </c>
      <c r="G355" s="24" t="str">
        <f>IF(E355&lt;&gt;"",G3copy!F355,"")</f>
        <v/>
      </c>
    </row>
    <row r="356" spans="1:7" ht="15.75" customHeight="1">
      <c r="A356" s="23" t="str">
        <f t="shared" si="16"/>
        <v/>
      </c>
      <c r="B356" t="str">
        <f t="shared" si="17"/>
        <v/>
      </c>
      <c r="C356" s="23" t="str">
        <f t="shared" si="18"/>
        <v/>
      </c>
      <c r="E356" s="24" t="str">
        <f>IF(NOT(ISBLANK(G3copy!B356)),G3copy!B356,"")</f>
        <v/>
      </c>
      <c r="F356" s="24" t="str">
        <f>IF(E356&lt;&gt;"",G3copy!A356,"")</f>
        <v/>
      </c>
      <c r="G356" s="24" t="str">
        <f>IF(E356&lt;&gt;"",G3copy!F356,"")</f>
        <v/>
      </c>
    </row>
    <row r="357" spans="1:7" ht="15.75" customHeight="1">
      <c r="A357" s="23" t="str">
        <f t="shared" si="16"/>
        <v/>
      </c>
      <c r="B357" t="str">
        <f t="shared" si="17"/>
        <v/>
      </c>
      <c r="C357" s="23" t="str">
        <f t="shared" si="18"/>
        <v/>
      </c>
      <c r="E357" s="24" t="str">
        <f>IF(NOT(ISBLANK(G3copy!B357)),G3copy!B357,"")</f>
        <v/>
      </c>
      <c r="F357" s="24" t="str">
        <f>IF(E357&lt;&gt;"",G3copy!A357,"")</f>
        <v/>
      </c>
      <c r="G357" s="24" t="str">
        <f>IF(E357&lt;&gt;"",G3copy!F357,"")</f>
        <v/>
      </c>
    </row>
    <row r="358" spans="1:7" ht="15.75" customHeight="1">
      <c r="A358" s="23" t="str">
        <f t="shared" si="16"/>
        <v/>
      </c>
      <c r="B358" t="str">
        <f t="shared" si="17"/>
        <v/>
      </c>
      <c r="C358" s="23" t="str">
        <f t="shared" si="18"/>
        <v/>
      </c>
      <c r="E358" s="24" t="str">
        <f>IF(NOT(ISBLANK(G3copy!B358)),G3copy!B358,"")</f>
        <v/>
      </c>
      <c r="F358" s="24" t="str">
        <f>IF(E358&lt;&gt;"",G3copy!A358,"")</f>
        <v/>
      </c>
      <c r="G358" s="24" t="str">
        <f>IF(E358&lt;&gt;"",G3copy!F358,"")</f>
        <v/>
      </c>
    </row>
    <row r="359" spans="1:7" ht="15.75" customHeight="1">
      <c r="A359" s="23" t="str">
        <f t="shared" si="16"/>
        <v/>
      </c>
      <c r="B359" t="str">
        <f t="shared" si="17"/>
        <v/>
      </c>
      <c r="C359" s="23" t="str">
        <f t="shared" si="18"/>
        <v/>
      </c>
      <c r="E359" s="24" t="str">
        <f>IF(NOT(ISBLANK(G3copy!B359)),G3copy!B359,"")</f>
        <v/>
      </c>
      <c r="F359" s="24" t="str">
        <f>IF(E359&lt;&gt;"",G3copy!A359,"")</f>
        <v/>
      </c>
      <c r="G359" s="24" t="str">
        <f>IF(E359&lt;&gt;"",G3copy!F359,"")</f>
        <v/>
      </c>
    </row>
    <row r="360" spans="1:7" ht="15.75" customHeight="1">
      <c r="A360" s="23" t="str">
        <f t="shared" si="16"/>
        <v/>
      </c>
      <c r="B360" t="str">
        <f t="shared" si="17"/>
        <v/>
      </c>
      <c r="C360" s="23" t="str">
        <f t="shared" si="18"/>
        <v/>
      </c>
      <c r="E360" s="24" t="str">
        <f>IF(NOT(ISBLANK(G3copy!B360)),G3copy!B360,"")</f>
        <v/>
      </c>
      <c r="F360" s="24" t="str">
        <f>IF(E360&lt;&gt;"",G3copy!A360,"")</f>
        <v/>
      </c>
      <c r="G360" s="24" t="str">
        <f>IF(E360&lt;&gt;"",G3copy!F360,"")</f>
        <v/>
      </c>
    </row>
    <row r="361" spans="1:7" ht="15.75" customHeight="1">
      <c r="A361" s="23" t="str">
        <f t="shared" si="16"/>
        <v/>
      </c>
      <c r="B361" t="str">
        <f t="shared" si="17"/>
        <v/>
      </c>
      <c r="C361" s="23" t="str">
        <f t="shared" si="18"/>
        <v/>
      </c>
      <c r="E361" s="24" t="str">
        <f>IF(NOT(ISBLANK(G3copy!B361)),G3copy!B361,"")</f>
        <v/>
      </c>
      <c r="F361" s="24" t="str">
        <f>IF(E361&lt;&gt;"",G3copy!A361,"")</f>
        <v/>
      </c>
      <c r="G361" s="24" t="str">
        <f>IF(E361&lt;&gt;"",G3copy!F361,"")</f>
        <v/>
      </c>
    </row>
    <row r="362" spans="1:7" ht="15.75" customHeight="1">
      <c r="A362" s="23" t="str">
        <f t="shared" si="16"/>
        <v/>
      </c>
      <c r="B362" t="str">
        <f t="shared" si="17"/>
        <v/>
      </c>
      <c r="C362" s="23" t="str">
        <f t="shared" si="18"/>
        <v/>
      </c>
      <c r="E362" s="24" t="str">
        <f>IF(NOT(ISBLANK(G3copy!B362)),G3copy!B362,"")</f>
        <v/>
      </c>
      <c r="F362" s="24" t="str">
        <f>IF(E362&lt;&gt;"",G3copy!A362,"")</f>
        <v/>
      </c>
      <c r="G362" s="24" t="str">
        <f>IF(E362&lt;&gt;"",G3copy!F362,"")</f>
        <v/>
      </c>
    </row>
    <row r="363" spans="1:7" ht="15.75" customHeight="1">
      <c r="A363" s="23" t="str">
        <f t="shared" si="16"/>
        <v/>
      </c>
      <c r="B363" t="str">
        <f t="shared" si="17"/>
        <v/>
      </c>
      <c r="C363" s="23" t="str">
        <f t="shared" si="18"/>
        <v/>
      </c>
      <c r="E363" s="24" t="str">
        <f>IF(NOT(ISBLANK(G3copy!B363)),G3copy!B363,"")</f>
        <v/>
      </c>
      <c r="F363" s="24" t="str">
        <f>IF(E363&lt;&gt;"",G3copy!A363,"")</f>
        <v/>
      </c>
      <c r="G363" s="24" t="str">
        <f>IF(E363&lt;&gt;"",G3copy!F363,"")</f>
        <v/>
      </c>
    </row>
    <row r="364" spans="1:7" ht="15.75" customHeight="1">
      <c r="A364" s="23" t="str">
        <f t="shared" si="16"/>
        <v/>
      </c>
      <c r="B364" t="str">
        <f t="shared" si="17"/>
        <v/>
      </c>
      <c r="C364" s="23" t="str">
        <f t="shared" si="18"/>
        <v/>
      </c>
      <c r="E364" s="24" t="str">
        <f>IF(NOT(ISBLANK(G3copy!B364)),G3copy!B364,"")</f>
        <v/>
      </c>
      <c r="F364" s="24" t="str">
        <f>IF(E364&lt;&gt;"",G3copy!A364,"")</f>
        <v/>
      </c>
      <c r="G364" s="24" t="str">
        <f>IF(E364&lt;&gt;"",G3copy!F364,"")</f>
        <v/>
      </c>
    </row>
    <row r="365" spans="1:7" ht="15.75" customHeight="1">
      <c r="A365" s="23" t="str">
        <f t="shared" si="16"/>
        <v/>
      </c>
      <c r="B365" t="str">
        <f t="shared" si="17"/>
        <v/>
      </c>
      <c r="C365" s="23" t="str">
        <f t="shared" si="18"/>
        <v/>
      </c>
      <c r="E365" s="24" t="str">
        <f>IF(NOT(ISBLANK(G3copy!B365)),G3copy!B365,"")</f>
        <v/>
      </c>
      <c r="F365" s="24" t="str">
        <f>IF(E365&lt;&gt;"",G3copy!A365,"")</f>
        <v/>
      </c>
      <c r="G365" s="24" t="str">
        <f>IF(E365&lt;&gt;"",G3copy!F365,"")</f>
        <v/>
      </c>
    </row>
    <row r="366" spans="1:7" ht="15.75" customHeight="1">
      <c r="A366" s="23" t="str">
        <f t="shared" si="16"/>
        <v/>
      </c>
      <c r="B366" t="str">
        <f t="shared" si="17"/>
        <v/>
      </c>
      <c r="C366" s="23" t="str">
        <f t="shared" si="18"/>
        <v/>
      </c>
      <c r="E366" s="24" t="str">
        <f>IF(NOT(ISBLANK(G3copy!B366)),G3copy!B366,"")</f>
        <v/>
      </c>
      <c r="F366" s="24" t="str">
        <f>IF(E366&lt;&gt;"",G3copy!A366,"")</f>
        <v/>
      </c>
      <c r="G366" s="24" t="str">
        <f>IF(E366&lt;&gt;"",G3copy!F366,"")</f>
        <v/>
      </c>
    </row>
    <row r="367" spans="1:7" ht="15.75" customHeight="1">
      <c r="A367" s="23" t="str">
        <f t="shared" si="16"/>
        <v/>
      </c>
      <c r="B367" t="str">
        <f t="shared" si="17"/>
        <v/>
      </c>
      <c r="C367" s="23" t="str">
        <f t="shared" si="18"/>
        <v/>
      </c>
      <c r="E367" s="24" t="str">
        <f>IF(NOT(ISBLANK(G3copy!B367)),G3copy!B367,"")</f>
        <v/>
      </c>
      <c r="F367" s="24" t="str">
        <f>IF(E367&lt;&gt;"",G3copy!A367,"")</f>
        <v/>
      </c>
      <c r="G367" s="24" t="str">
        <f>IF(E367&lt;&gt;"",G3copy!F367,"")</f>
        <v/>
      </c>
    </row>
    <row r="368" spans="1:7" ht="15.75" customHeight="1">
      <c r="A368" s="23" t="str">
        <f t="shared" si="16"/>
        <v/>
      </c>
      <c r="B368" t="str">
        <f t="shared" si="17"/>
        <v/>
      </c>
      <c r="C368" s="23" t="str">
        <f t="shared" si="18"/>
        <v/>
      </c>
      <c r="E368" s="24" t="str">
        <f>IF(NOT(ISBLANK(G3copy!B368)),G3copy!B368,"")</f>
        <v/>
      </c>
      <c r="F368" s="24" t="str">
        <f>IF(E368&lt;&gt;"",G3copy!A368,"")</f>
        <v/>
      </c>
      <c r="G368" s="24" t="str">
        <f>IF(E368&lt;&gt;"",G3copy!F368,"")</f>
        <v/>
      </c>
    </row>
    <row r="369" spans="1:7" ht="15.75" customHeight="1">
      <c r="A369" s="23" t="str">
        <f t="shared" si="16"/>
        <v/>
      </c>
      <c r="B369" t="str">
        <f t="shared" si="17"/>
        <v/>
      </c>
      <c r="C369" s="23" t="str">
        <f t="shared" si="18"/>
        <v/>
      </c>
      <c r="E369" s="24" t="str">
        <f>IF(NOT(ISBLANK(G3copy!B369)),G3copy!B369,"")</f>
        <v/>
      </c>
      <c r="F369" s="24" t="str">
        <f>IF(E369&lt;&gt;"",G3copy!A369,"")</f>
        <v/>
      </c>
      <c r="G369" s="24" t="str">
        <f>IF(E369&lt;&gt;"",G3copy!F369,"")</f>
        <v/>
      </c>
    </row>
    <row r="370" spans="1:7" ht="15.75" customHeight="1">
      <c r="A370" s="23" t="str">
        <f t="shared" si="16"/>
        <v/>
      </c>
      <c r="B370" t="str">
        <f t="shared" si="17"/>
        <v/>
      </c>
      <c r="C370" s="23" t="str">
        <f t="shared" si="18"/>
        <v/>
      </c>
      <c r="E370" s="24" t="str">
        <f>IF(NOT(ISBLANK(G3copy!B370)),G3copy!B370,"")</f>
        <v/>
      </c>
      <c r="F370" s="24" t="str">
        <f>IF(E370&lt;&gt;"",G3copy!A370,"")</f>
        <v/>
      </c>
      <c r="G370" s="24" t="str">
        <f>IF(E370&lt;&gt;"",G3copy!F370,"")</f>
        <v/>
      </c>
    </row>
    <row r="371" spans="1:7" ht="15.75" customHeight="1">
      <c r="A371" s="23" t="str">
        <f t="shared" si="16"/>
        <v/>
      </c>
      <c r="B371" t="str">
        <f t="shared" si="17"/>
        <v/>
      </c>
      <c r="C371" s="23" t="str">
        <f t="shared" si="18"/>
        <v/>
      </c>
      <c r="E371" s="24" t="str">
        <f>IF(NOT(ISBLANK(G3copy!B371)),G3copy!B371,"")</f>
        <v/>
      </c>
      <c r="F371" s="24" t="str">
        <f>IF(E371&lt;&gt;"",G3copy!A371,"")</f>
        <v/>
      </c>
      <c r="G371" s="24" t="str">
        <f>IF(E371&lt;&gt;"",G3copy!F371,"")</f>
        <v/>
      </c>
    </row>
    <row r="372" spans="1:7" ht="15.75" customHeight="1">
      <c r="A372" s="23" t="str">
        <f t="shared" si="16"/>
        <v/>
      </c>
      <c r="B372" t="str">
        <f t="shared" si="17"/>
        <v/>
      </c>
      <c r="C372" s="23" t="str">
        <f t="shared" si="18"/>
        <v/>
      </c>
      <c r="E372" s="24" t="str">
        <f>IF(NOT(ISBLANK(G3copy!B372)),G3copy!B372,"")</f>
        <v/>
      </c>
      <c r="F372" s="24" t="str">
        <f>IF(E372&lt;&gt;"",G3copy!A372,"")</f>
        <v/>
      </c>
      <c r="G372" s="24" t="str">
        <f>IF(E372&lt;&gt;"",G3copy!F372,"")</f>
        <v/>
      </c>
    </row>
    <row r="373" spans="1:7" ht="15.75" customHeight="1">
      <c r="A373" s="23" t="str">
        <f t="shared" si="16"/>
        <v/>
      </c>
      <c r="B373" t="str">
        <f t="shared" si="17"/>
        <v/>
      </c>
      <c r="C373" s="23" t="str">
        <f t="shared" si="18"/>
        <v/>
      </c>
      <c r="E373" s="24" t="str">
        <f>IF(NOT(ISBLANK(G3copy!B373)),G3copy!B373,"")</f>
        <v/>
      </c>
      <c r="F373" s="24" t="str">
        <f>IF(E373&lt;&gt;"",G3copy!A373,"")</f>
        <v/>
      </c>
      <c r="G373" s="24" t="str">
        <f>IF(E373&lt;&gt;"",G3copy!F373,"")</f>
        <v/>
      </c>
    </row>
    <row r="374" spans="1:7" ht="15.75" customHeight="1">
      <c r="A374" s="23" t="str">
        <f t="shared" si="16"/>
        <v/>
      </c>
      <c r="B374" t="str">
        <f t="shared" si="17"/>
        <v/>
      </c>
      <c r="C374" s="23" t="str">
        <f t="shared" si="18"/>
        <v/>
      </c>
      <c r="E374" s="24" t="str">
        <f>IF(NOT(ISBLANK(G3copy!B374)),G3copy!B374,"")</f>
        <v/>
      </c>
      <c r="F374" s="24" t="str">
        <f>IF(E374&lt;&gt;"",G3copy!A374,"")</f>
        <v/>
      </c>
      <c r="G374" s="24" t="str">
        <f>IF(E374&lt;&gt;"",G3copy!F374,"")</f>
        <v/>
      </c>
    </row>
    <row r="375" spans="1:7" ht="15.75" customHeight="1">
      <c r="A375" s="23" t="str">
        <f t="shared" si="16"/>
        <v/>
      </c>
      <c r="B375" t="str">
        <f t="shared" si="17"/>
        <v/>
      </c>
      <c r="C375" s="23" t="str">
        <f t="shared" si="18"/>
        <v/>
      </c>
      <c r="E375" s="24" t="str">
        <f>IF(NOT(ISBLANK(G3copy!B375)),G3copy!B375,"")</f>
        <v/>
      </c>
      <c r="F375" s="24" t="str">
        <f>IF(E375&lt;&gt;"",G3copy!A375,"")</f>
        <v/>
      </c>
      <c r="G375" s="24" t="str">
        <f>IF(E375&lt;&gt;"",G3copy!F375,"")</f>
        <v/>
      </c>
    </row>
    <row r="376" spans="1:7" ht="15.75" customHeight="1">
      <c r="A376" s="23" t="str">
        <f t="shared" si="16"/>
        <v/>
      </c>
      <c r="B376" t="str">
        <f t="shared" si="17"/>
        <v/>
      </c>
      <c r="C376" s="23" t="str">
        <f t="shared" si="18"/>
        <v/>
      </c>
      <c r="E376" s="24" t="str">
        <f>IF(NOT(ISBLANK(G3copy!B376)),G3copy!B376,"")</f>
        <v/>
      </c>
      <c r="F376" s="24" t="str">
        <f>IF(E376&lt;&gt;"",G3copy!A376,"")</f>
        <v/>
      </c>
      <c r="G376" s="24" t="str">
        <f>IF(E376&lt;&gt;"",G3copy!F376,"")</f>
        <v/>
      </c>
    </row>
    <row r="377" spans="1:7" ht="15.75" customHeight="1">
      <c r="A377" s="23" t="str">
        <f t="shared" si="16"/>
        <v/>
      </c>
      <c r="B377" t="str">
        <f t="shared" si="17"/>
        <v/>
      </c>
      <c r="C377" s="23" t="str">
        <f t="shared" si="18"/>
        <v/>
      </c>
      <c r="E377" s="24" t="str">
        <f>IF(NOT(ISBLANK(G3copy!B377)),G3copy!B377,"")</f>
        <v/>
      </c>
      <c r="F377" s="24" t="str">
        <f>IF(E377&lt;&gt;"",G3copy!A377,"")</f>
        <v/>
      </c>
      <c r="G377" s="24" t="str">
        <f>IF(E377&lt;&gt;"",G3copy!F377,"")</f>
        <v/>
      </c>
    </row>
    <row r="378" spans="1:7" ht="15.75" customHeight="1">
      <c r="A378" s="23" t="str">
        <f t="shared" si="16"/>
        <v/>
      </c>
      <c r="B378" t="str">
        <f t="shared" si="17"/>
        <v/>
      </c>
      <c r="C378" s="23" t="str">
        <f t="shared" si="18"/>
        <v/>
      </c>
      <c r="E378" s="24" t="str">
        <f>IF(NOT(ISBLANK(G3copy!B378)),G3copy!B378,"")</f>
        <v/>
      </c>
      <c r="F378" s="24" t="str">
        <f>IF(E378&lt;&gt;"",G3copy!A378,"")</f>
        <v/>
      </c>
      <c r="G378" s="24" t="str">
        <f>IF(E378&lt;&gt;"",G3copy!F378,"")</f>
        <v/>
      </c>
    </row>
    <row r="379" spans="1:7" ht="15.75" customHeight="1">
      <c r="A379" s="23" t="str">
        <f t="shared" si="16"/>
        <v/>
      </c>
      <c r="B379" t="str">
        <f t="shared" si="17"/>
        <v/>
      </c>
      <c r="C379" s="23" t="str">
        <f t="shared" si="18"/>
        <v/>
      </c>
      <c r="E379" s="24" t="str">
        <f>IF(NOT(ISBLANK(G3copy!B379)),G3copy!B379,"")</f>
        <v/>
      </c>
      <c r="F379" s="24" t="str">
        <f>IF(E379&lt;&gt;"",G3copy!A379,"")</f>
        <v/>
      </c>
      <c r="G379" s="24" t="str">
        <f>IF(E379&lt;&gt;"",G3copy!F379,"")</f>
        <v/>
      </c>
    </row>
    <row r="380" spans="1:7" ht="15.75" customHeight="1">
      <c r="A380" s="23" t="str">
        <f t="shared" si="16"/>
        <v/>
      </c>
      <c r="B380" t="str">
        <f t="shared" si="17"/>
        <v/>
      </c>
      <c r="C380" s="23" t="str">
        <f t="shared" si="18"/>
        <v/>
      </c>
      <c r="E380" s="24" t="str">
        <f>IF(NOT(ISBLANK(G3copy!B380)),G3copy!B380,"")</f>
        <v/>
      </c>
      <c r="F380" s="24" t="str">
        <f>IF(E380&lt;&gt;"",G3copy!A380,"")</f>
        <v/>
      </c>
      <c r="G380" s="24" t="str">
        <f>IF(E380&lt;&gt;"",G3copy!F380,"")</f>
        <v/>
      </c>
    </row>
    <row r="381" spans="1:7" ht="15.75" customHeight="1">
      <c r="A381" s="23" t="str">
        <f t="shared" si="16"/>
        <v/>
      </c>
      <c r="B381" t="str">
        <f t="shared" si="17"/>
        <v/>
      </c>
      <c r="C381" s="23" t="str">
        <f t="shared" si="18"/>
        <v/>
      </c>
      <c r="E381" s="24" t="str">
        <f>IF(NOT(ISBLANK(G3copy!B381)),G3copy!B381,"")</f>
        <v/>
      </c>
      <c r="F381" s="24" t="str">
        <f>IF(E381&lt;&gt;"",G3copy!A381,"")</f>
        <v/>
      </c>
      <c r="G381" s="24" t="str">
        <f>IF(E381&lt;&gt;"",G3copy!F381,"")</f>
        <v/>
      </c>
    </row>
    <row r="382" spans="1:7" ht="15.75" customHeight="1">
      <c r="A382" s="23" t="str">
        <f t="shared" si="16"/>
        <v/>
      </c>
      <c r="B382" t="str">
        <f t="shared" si="17"/>
        <v/>
      </c>
      <c r="C382" s="23" t="str">
        <f t="shared" si="18"/>
        <v/>
      </c>
      <c r="E382" s="24" t="str">
        <f>IF(NOT(ISBLANK(G3copy!B382)),G3copy!B382,"")</f>
        <v/>
      </c>
      <c r="F382" s="24" t="str">
        <f>IF(E382&lt;&gt;"",G3copy!A382,"")</f>
        <v/>
      </c>
      <c r="G382" s="24" t="str">
        <f>IF(E382&lt;&gt;"",G3copy!F382,"")</f>
        <v/>
      </c>
    </row>
    <row r="383" spans="1:7" ht="15.75" customHeight="1">
      <c r="A383" s="23" t="str">
        <f t="shared" si="16"/>
        <v/>
      </c>
      <c r="B383" t="str">
        <f t="shared" si="17"/>
        <v/>
      </c>
      <c r="C383" s="23" t="str">
        <f t="shared" si="18"/>
        <v/>
      </c>
      <c r="E383" s="24" t="str">
        <f>IF(NOT(ISBLANK(G3copy!B383)),G3copy!B383,"")</f>
        <v/>
      </c>
      <c r="F383" s="24" t="str">
        <f>IF(E383&lt;&gt;"",G3copy!A383,"")</f>
        <v/>
      </c>
      <c r="G383" s="24" t="str">
        <f>IF(E383&lt;&gt;"",G3copy!F383,"")</f>
        <v/>
      </c>
    </row>
    <row r="384" spans="1:7" ht="15.75" customHeight="1">
      <c r="A384" s="23" t="str">
        <f t="shared" si="16"/>
        <v/>
      </c>
      <c r="B384" t="str">
        <f t="shared" si="17"/>
        <v/>
      </c>
      <c r="C384" s="23" t="str">
        <f t="shared" si="18"/>
        <v/>
      </c>
      <c r="E384" s="24" t="str">
        <f>IF(NOT(ISBLANK(G3copy!B384)),G3copy!B384,"")</f>
        <v/>
      </c>
      <c r="F384" s="24" t="str">
        <f>IF(E384&lt;&gt;"",G3copy!A384,"")</f>
        <v/>
      </c>
      <c r="G384" s="24" t="str">
        <f>IF(E384&lt;&gt;"",G3copy!F384,"")</f>
        <v/>
      </c>
    </row>
    <row r="385" spans="1:7" ht="15.75" customHeight="1">
      <c r="A385" s="23" t="str">
        <f t="shared" si="16"/>
        <v/>
      </c>
      <c r="B385" t="str">
        <f t="shared" si="17"/>
        <v/>
      </c>
      <c r="C385" s="23" t="str">
        <f t="shared" si="18"/>
        <v/>
      </c>
      <c r="E385" s="24" t="str">
        <f>IF(NOT(ISBLANK(G3copy!B385)),G3copy!B385,"")</f>
        <v/>
      </c>
      <c r="F385" s="24" t="str">
        <f>IF(E385&lt;&gt;"",G3copy!A385,"")</f>
        <v/>
      </c>
      <c r="G385" s="24" t="str">
        <f>IF(E385&lt;&gt;"",G3copy!F385,"")</f>
        <v/>
      </c>
    </row>
    <row r="386" spans="1:7" ht="15.75" customHeight="1">
      <c r="A386" s="23" t="str">
        <f t="shared" si="16"/>
        <v/>
      </c>
      <c r="B386" t="str">
        <f t="shared" si="17"/>
        <v/>
      </c>
      <c r="C386" s="23" t="str">
        <f t="shared" si="18"/>
        <v/>
      </c>
      <c r="E386" s="24" t="str">
        <f>IF(NOT(ISBLANK(G3copy!B386)),G3copy!B386,"")</f>
        <v/>
      </c>
      <c r="F386" s="24" t="str">
        <f>IF(E386&lt;&gt;"",G3copy!A386,"")</f>
        <v/>
      </c>
      <c r="G386" s="24" t="str">
        <f>IF(E386&lt;&gt;"",G3copy!F386,"")</f>
        <v/>
      </c>
    </row>
    <row r="387" spans="1:7" ht="15.75" customHeight="1">
      <c r="A387" s="23" t="str">
        <f t="shared" ref="A387:A450" si="19">IF(E387&lt;&gt;"",DATEVALUE(LEFT(E387,10)),"")</f>
        <v/>
      </c>
      <c r="B387" t="str">
        <f t="shared" ref="B387:B450" si="20">IF(LEN(F387)&gt;3,RIGHT(F387,LEN(F387)-3),"")</f>
        <v/>
      </c>
      <c r="C387" s="23" t="str">
        <f t="shared" ref="C387:C450" si="21">IF(E387&lt;&gt;"",DATEVALUE(LEFT(G387,10)),"")</f>
        <v/>
      </c>
      <c r="E387" s="24" t="str">
        <f>IF(NOT(ISBLANK(G3copy!B387)),G3copy!B387,"")</f>
        <v/>
      </c>
      <c r="F387" s="24" t="str">
        <f>IF(E387&lt;&gt;"",G3copy!A387,"")</f>
        <v/>
      </c>
      <c r="G387" s="24" t="str">
        <f>IF(E387&lt;&gt;"",G3copy!F387,"")</f>
        <v/>
      </c>
    </row>
    <row r="388" spans="1:7" ht="15.75" customHeight="1">
      <c r="A388" s="23" t="str">
        <f t="shared" si="19"/>
        <v/>
      </c>
      <c r="B388" t="str">
        <f t="shared" si="20"/>
        <v/>
      </c>
      <c r="C388" s="23" t="str">
        <f t="shared" si="21"/>
        <v/>
      </c>
      <c r="E388" s="24" t="str">
        <f>IF(NOT(ISBLANK(G3copy!B388)),G3copy!B388,"")</f>
        <v/>
      </c>
      <c r="F388" s="24" t="str">
        <f>IF(E388&lt;&gt;"",G3copy!A388,"")</f>
        <v/>
      </c>
      <c r="G388" s="24" t="str">
        <f>IF(E388&lt;&gt;"",G3copy!F388,"")</f>
        <v/>
      </c>
    </row>
    <row r="389" spans="1:7" ht="15.75" customHeight="1">
      <c r="A389" s="23" t="str">
        <f t="shared" si="19"/>
        <v/>
      </c>
      <c r="B389" t="str">
        <f t="shared" si="20"/>
        <v/>
      </c>
      <c r="C389" s="23" t="str">
        <f t="shared" si="21"/>
        <v/>
      </c>
      <c r="E389" s="24" t="str">
        <f>IF(NOT(ISBLANK(G3copy!B389)),G3copy!B389,"")</f>
        <v/>
      </c>
      <c r="F389" s="24" t="str">
        <f>IF(E389&lt;&gt;"",G3copy!A389,"")</f>
        <v/>
      </c>
      <c r="G389" s="24" t="str">
        <f>IF(E389&lt;&gt;"",G3copy!F389,"")</f>
        <v/>
      </c>
    </row>
    <row r="390" spans="1:7" ht="15.75" customHeight="1">
      <c r="A390" s="23" t="str">
        <f t="shared" si="19"/>
        <v/>
      </c>
      <c r="B390" t="str">
        <f t="shared" si="20"/>
        <v/>
      </c>
      <c r="C390" s="23" t="str">
        <f t="shared" si="21"/>
        <v/>
      </c>
      <c r="E390" s="24" t="str">
        <f>IF(NOT(ISBLANK(G3copy!B390)),G3copy!B390,"")</f>
        <v/>
      </c>
      <c r="F390" s="24" t="str">
        <f>IF(E390&lt;&gt;"",G3copy!A390,"")</f>
        <v/>
      </c>
      <c r="G390" s="24" t="str">
        <f>IF(E390&lt;&gt;"",G3copy!F390,"")</f>
        <v/>
      </c>
    </row>
    <row r="391" spans="1:7" ht="15.75" customHeight="1">
      <c r="A391" s="23" t="str">
        <f t="shared" si="19"/>
        <v/>
      </c>
      <c r="B391" t="str">
        <f t="shared" si="20"/>
        <v/>
      </c>
      <c r="C391" s="23" t="str">
        <f t="shared" si="21"/>
        <v/>
      </c>
      <c r="E391" s="24" t="str">
        <f>IF(NOT(ISBLANK(G3copy!B391)),G3copy!B391,"")</f>
        <v/>
      </c>
      <c r="F391" s="24" t="str">
        <f>IF(E391&lt;&gt;"",G3copy!A391,"")</f>
        <v/>
      </c>
      <c r="G391" s="24" t="str">
        <f>IF(E391&lt;&gt;"",G3copy!F391,"")</f>
        <v/>
      </c>
    </row>
    <row r="392" spans="1:7" ht="15.75" customHeight="1">
      <c r="A392" s="23" t="str">
        <f t="shared" si="19"/>
        <v/>
      </c>
      <c r="B392" t="str">
        <f t="shared" si="20"/>
        <v/>
      </c>
      <c r="C392" s="23" t="str">
        <f t="shared" si="21"/>
        <v/>
      </c>
      <c r="E392" s="24" t="str">
        <f>IF(NOT(ISBLANK(G3copy!B392)),G3copy!B392,"")</f>
        <v/>
      </c>
      <c r="F392" s="24" t="str">
        <f>IF(E392&lt;&gt;"",G3copy!A392,"")</f>
        <v/>
      </c>
      <c r="G392" s="24" t="str">
        <f>IF(E392&lt;&gt;"",G3copy!F392,"")</f>
        <v/>
      </c>
    </row>
    <row r="393" spans="1:7" ht="15.75" customHeight="1">
      <c r="A393" s="23" t="str">
        <f t="shared" si="19"/>
        <v/>
      </c>
      <c r="B393" t="str">
        <f t="shared" si="20"/>
        <v/>
      </c>
      <c r="C393" s="23" t="str">
        <f t="shared" si="21"/>
        <v/>
      </c>
      <c r="E393" s="24" t="str">
        <f>IF(NOT(ISBLANK(G3copy!B393)),G3copy!B393,"")</f>
        <v/>
      </c>
      <c r="F393" s="24" t="str">
        <f>IF(E393&lt;&gt;"",G3copy!A393,"")</f>
        <v/>
      </c>
      <c r="G393" s="24" t="str">
        <f>IF(E393&lt;&gt;"",G3copy!F393,"")</f>
        <v/>
      </c>
    </row>
    <row r="394" spans="1:7" ht="15.75" customHeight="1">
      <c r="A394" s="23" t="str">
        <f t="shared" si="19"/>
        <v/>
      </c>
      <c r="B394" t="str">
        <f t="shared" si="20"/>
        <v/>
      </c>
      <c r="C394" s="23" t="str">
        <f t="shared" si="21"/>
        <v/>
      </c>
      <c r="E394" s="24" t="str">
        <f>IF(NOT(ISBLANK(G3copy!B394)),G3copy!B394,"")</f>
        <v/>
      </c>
      <c r="F394" s="24" t="str">
        <f>IF(E394&lt;&gt;"",G3copy!A394,"")</f>
        <v/>
      </c>
      <c r="G394" s="24" t="str">
        <f>IF(E394&lt;&gt;"",G3copy!F394,"")</f>
        <v/>
      </c>
    </row>
    <row r="395" spans="1:7" ht="15.75" customHeight="1">
      <c r="A395" s="23" t="str">
        <f t="shared" si="19"/>
        <v/>
      </c>
      <c r="B395" t="str">
        <f t="shared" si="20"/>
        <v/>
      </c>
      <c r="C395" s="23" t="str">
        <f t="shared" si="21"/>
        <v/>
      </c>
      <c r="E395" s="24" t="str">
        <f>IF(NOT(ISBLANK(G3copy!B395)),G3copy!B395,"")</f>
        <v/>
      </c>
      <c r="F395" s="24" t="str">
        <f>IF(E395&lt;&gt;"",G3copy!A395,"")</f>
        <v/>
      </c>
      <c r="G395" s="24" t="str">
        <f>IF(E395&lt;&gt;"",G3copy!F395,"")</f>
        <v/>
      </c>
    </row>
    <row r="396" spans="1:7" ht="15.75" customHeight="1">
      <c r="A396" s="23" t="str">
        <f t="shared" si="19"/>
        <v/>
      </c>
      <c r="B396" t="str">
        <f t="shared" si="20"/>
        <v/>
      </c>
      <c r="C396" s="23" t="str">
        <f t="shared" si="21"/>
        <v/>
      </c>
      <c r="E396" s="24" t="str">
        <f>IF(NOT(ISBLANK(G3copy!B396)),G3copy!B396,"")</f>
        <v/>
      </c>
      <c r="F396" s="24" t="str">
        <f>IF(E396&lt;&gt;"",G3copy!A396,"")</f>
        <v/>
      </c>
      <c r="G396" s="24" t="str">
        <f>IF(E396&lt;&gt;"",G3copy!F396,"")</f>
        <v/>
      </c>
    </row>
    <row r="397" spans="1:7" ht="15.75" customHeight="1">
      <c r="A397" s="23" t="str">
        <f t="shared" si="19"/>
        <v/>
      </c>
      <c r="B397" t="str">
        <f t="shared" si="20"/>
        <v/>
      </c>
      <c r="C397" s="23" t="str">
        <f t="shared" si="21"/>
        <v/>
      </c>
      <c r="E397" s="24" t="str">
        <f>IF(NOT(ISBLANK(G3copy!B397)),G3copy!B397,"")</f>
        <v/>
      </c>
      <c r="F397" s="24" t="str">
        <f>IF(E397&lt;&gt;"",G3copy!A397,"")</f>
        <v/>
      </c>
      <c r="G397" s="24" t="str">
        <f>IF(E397&lt;&gt;"",G3copy!F397,"")</f>
        <v/>
      </c>
    </row>
    <row r="398" spans="1:7" ht="15.75" customHeight="1">
      <c r="A398" s="23" t="str">
        <f t="shared" si="19"/>
        <v/>
      </c>
      <c r="B398" t="str">
        <f t="shared" si="20"/>
        <v/>
      </c>
      <c r="C398" s="23" t="str">
        <f t="shared" si="21"/>
        <v/>
      </c>
      <c r="E398" s="24" t="str">
        <f>IF(NOT(ISBLANK(G3copy!B398)),G3copy!B398,"")</f>
        <v/>
      </c>
      <c r="F398" s="24" t="str">
        <f>IF(E398&lt;&gt;"",G3copy!A398,"")</f>
        <v/>
      </c>
      <c r="G398" s="24" t="str">
        <f>IF(E398&lt;&gt;"",G3copy!F398,"")</f>
        <v/>
      </c>
    </row>
    <row r="399" spans="1:7" ht="15.75" customHeight="1">
      <c r="A399" s="23" t="str">
        <f t="shared" si="19"/>
        <v/>
      </c>
      <c r="B399" t="str">
        <f t="shared" si="20"/>
        <v/>
      </c>
      <c r="C399" s="23" t="str">
        <f t="shared" si="21"/>
        <v/>
      </c>
      <c r="E399" s="24" t="str">
        <f>IF(NOT(ISBLANK(G3copy!B399)),G3copy!B399,"")</f>
        <v/>
      </c>
      <c r="F399" s="24" t="str">
        <f>IF(E399&lt;&gt;"",G3copy!A399,"")</f>
        <v/>
      </c>
      <c r="G399" s="24" t="str">
        <f>IF(E399&lt;&gt;"",G3copy!F399,"")</f>
        <v/>
      </c>
    </row>
    <row r="400" spans="1:7" ht="15.75" customHeight="1">
      <c r="A400" s="23" t="str">
        <f t="shared" si="19"/>
        <v/>
      </c>
      <c r="B400" t="str">
        <f t="shared" si="20"/>
        <v/>
      </c>
      <c r="C400" s="23" t="str">
        <f t="shared" si="21"/>
        <v/>
      </c>
      <c r="E400" s="24" t="str">
        <f>IF(NOT(ISBLANK(G3copy!B400)),G3copy!B400,"")</f>
        <v/>
      </c>
      <c r="F400" s="24" t="str">
        <f>IF(E400&lt;&gt;"",G3copy!A400,"")</f>
        <v/>
      </c>
      <c r="G400" s="24" t="str">
        <f>IF(E400&lt;&gt;"",G3copy!F400,"")</f>
        <v/>
      </c>
    </row>
    <row r="401" spans="1:7" ht="15.75" customHeight="1">
      <c r="A401" s="23" t="str">
        <f t="shared" si="19"/>
        <v/>
      </c>
      <c r="B401" t="str">
        <f t="shared" si="20"/>
        <v/>
      </c>
      <c r="C401" s="23" t="str">
        <f t="shared" si="21"/>
        <v/>
      </c>
      <c r="E401" s="24" t="str">
        <f>IF(NOT(ISBLANK(G3copy!B401)),G3copy!B401,"")</f>
        <v/>
      </c>
      <c r="F401" s="24" t="str">
        <f>IF(E401&lt;&gt;"",G3copy!A401,"")</f>
        <v/>
      </c>
      <c r="G401" s="24" t="str">
        <f>IF(E401&lt;&gt;"",G3copy!F401,"")</f>
        <v/>
      </c>
    </row>
    <row r="402" spans="1:7" ht="15.75" customHeight="1">
      <c r="A402" s="23" t="str">
        <f t="shared" si="19"/>
        <v/>
      </c>
      <c r="B402" t="str">
        <f t="shared" si="20"/>
        <v/>
      </c>
      <c r="C402" s="23" t="str">
        <f t="shared" si="21"/>
        <v/>
      </c>
      <c r="E402" s="24" t="str">
        <f>IF(NOT(ISBLANK(G3copy!B402)),G3copy!B402,"")</f>
        <v/>
      </c>
      <c r="F402" s="24" t="str">
        <f>IF(E402&lt;&gt;"",G3copy!A402,"")</f>
        <v/>
      </c>
      <c r="G402" s="24" t="str">
        <f>IF(E402&lt;&gt;"",G3copy!F402,"")</f>
        <v/>
      </c>
    </row>
    <row r="403" spans="1:7" ht="15.75" customHeight="1">
      <c r="A403" s="23" t="str">
        <f t="shared" si="19"/>
        <v/>
      </c>
      <c r="B403" t="str">
        <f t="shared" si="20"/>
        <v/>
      </c>
      <c r="C403" s="23" t="str">
        <f t="shared" si="21"/>
        <v/>
      </c>
      <c r="E403" s="24" t="str">
        <f>IF(NOT(ISBLANK(G3copy!B403)),G3copy!B403,"")</f>
        <v/>
      </c>
      <c r="F403" s="24" t="str">
        <f>IF(E403&lt;&gt;"",G3copy!A403,"")</f>
        <v/>
      </c>
      <c r="G403" s="24" t="str">
        <f>IF(E403&lt;&gt;"",G3copy!F403,"")</f>
        <v/>
      </c>
    </row>
    <row r="404" spans="1:7" ht="15.75" customHeight="1">
      <c r="A404" s="23" t="str">
        <f t="shared" si="19"/>
        <v/>
      </c>
      <c r="B404" t="str">
        <f t="shared" si="20"/>
        <v/>
      </c>
      <c r="C404" s="23" t="str">
        <f t="shared" si="21"/>
        <v/>
      </c>
      <c r="E404" s="24" t="str">
        <f>IF(NOT(ISBLANK(G3copy!B404)),G3copy!B404,"")</f>
        <v/>
      </c>
      <c r="F404" s="24" t="str">
        <f>IF(E404&lt;&gt;"",G3copy!A404,"")</f>
        <v/>
      </c>
      <c r="G404" s="24" t="str">
        <f>IF(E404&lt;&gt;"",G3copy!F404,"")</f>
        <v/>
      </c>
    </row>
    <row r="405" spans="1:7" ht="15.75" customHeight="1">
      <c r="A405" s="23" t="str">
        <f t="shared" si="19"/>
        <v/>
      </c>
      <c r="B405" t="str">
        <f t="shared" si="20"/>
        <v/>
      </c>
      <c r="C405" s="23" t="str">
        <f t="shared" si="21"/>
        <v/>
      </c>
      <c r="E405" s="24" t="str">
        <f>IF(NOT(ISBLANK(G3copy!B405)),G3copy!B405,"")</f>
        <v/>
      </c>
      <c r="F405" s="24" t="str">
        <f>IF(E405&lt;&gt;"",G3copy!A405,"")</f>
        <v/>
      </c>
      <c r="G405" s="24" t="str">
        <f>IF(E405&lt;&gt;"",G3copy!F405,"")</f>
        <v/>
      </c>
    </row>
    <row r="406" spans="1:7" ht="15.75" customHeight="1">
      <c r="A406" s="23" t="str">
        <f t="shared" si="19"/>
        <v/>
      </c>
      <c r="B406" t="str">
        <f t="shared" si="20"/>
        <v/>
      </c>
      <c r="C406" s="23" t="str">
        <f t="shared" si="21"/>
        <v/>
      </c>
      <c r="E406" s="24" t="str">
        <f>IF(NOT(ISBLANK(G3copy!B406)),G3copy!B406,"")</f>
        <v/>
      </c>
      <c r="F406" s="24" t="str">
        <f>IF(E406&lt;&gt;"",G3copy!A406,"")</f>
        <v/>
      </c>
      <c r="G406" s="24" t="str">
        <f>IF(E406&lt;&gt;"",G3copy!F406,"")</f>
        <v/>
      </c>
    </row>
    <row r="407" spans="1:7" ht="15.75" customHeight="1">
      <c r="A407" s="23" t="str">
        <f t="shared" si="19"/>
        <v/>
      </c>
      <c r="B407" t="str">
        <f t="shared" si="20"/>
        <v/>
      </c>
      <c r="C407" s="23" t="str">
        <f t="shared" si="21"/>
        <v/>
      </c>
      <c r="E407" s="24" t="str">
        <f>IF(NOT(ISBLANK(G3copy!B407)),G3copy!B407,"")</f>
        <v/>
      </c>
      <c r="F407" s="24" t="str">
        <f>IF(E407&lt;&gt;"",G3copy!A407,"")</f>
        <v/>
      </c>
      <c r="G407" s="24" t="str">
        <f>IF(E407&lt;&gt;"",G3copy!F407,"")</f>
        <v/>
      </c>
    </row>
    <row r="408" spans="1:7" ht="15.75" customHeight="1">
      <c r="A408" s="23" t="str">
        <f t="shared" si="19"/>
        <v/>
      </c>
      <c r="B408" t="str">
        <f t="shared" si="20"/>
        <v/>
      </c>
      <c r="C408" s="23" t="str">
        <f t="shared" si="21"/>
        <v/>
      </c>
      <c r="E408" s="24" t="str">
        <f>IF(NOT(ISBLANK(G3copy!B408)),G3copy!B408,"")</f>
        <v/>
      </c>
      <c r="F408" s="24" t="str">
        <f>IF(E408&lt;&gt;"",G3copy!A408,"")</f>
        <v/>
      </c>
      <c r="G408" s="24" t="str">
        <f>IF(E408&lt;&gt;"",G3copy!F408,"")</f>
        <v/>
      </c>
    </row>
    <row r="409" spans="1:7" ht="15.75" customHeight="1">
      <c r="A409" s="23" t="str">
        <f t="shared" si="19"/>
        <v/>
      </c>
      <c r="B409" t="str">
        <f t="shared" si="20"/>
        <v/>
      </c>
      <c r="C409" s="23" t="str">
        <f t="shared" si="21"/>
        <v/>
      </c>
      <c r="E409" s="24" t="str">
        <f>IF(NOT(ISBLANK(G3copy!B409)),G3copy!B409,"")</f>
        <v/>
      </c>
      <c r="F409" s="24" t="str">
        <f>IF(E409&lt;&gt;"",G3copy!A409,"")</f>
        <v/>
      </c>
      <c r="G409" s="24" t="str">
        <f>IF(E409&lt;&gt;"",G3copy!F409,"")</f>
        <v/>
      </c>
    </row>
    <row r="410" spans="1:7" ht="15.75" customHeight="1">
      <c r="A410" s="23" t="str">
        <f t="shared" si="19"/>
        <v/>
      </c>
      <c r="B410" t="str">
        <f t="shared" si="20"/>
        <v/>
      </c>
      <c r="C410" s="23" t="str">
        <f t="shared" si="21"/>
        <v/>
      </c>
      <c r="E410" s="24" t="str">
        <f>IF(NOT(ISBLANK(G3copy!B410)),G3copy!B410,"")</f>
        <v/>
      </c>
      <c r="F410" s="24" t="str">
        <f>IF(E410&lt;&gt;"",G3copy!A410,"")</f>
        <v/>
      </c>
      <c r="G410" s="24" t="str">
        <f>IF(E410&lt;&gt;"",G3copy!F410,"")</f>
        <v/>
      </c>
    </row>
    <row r="411" spans="1:7" ht="15.75" customHeight="1">
      <c r="A411" s="23" t="str">
        <f t="shared" si="19"/>
        <v/>
      </c>
      <c r="B411" t="str">
        <f t="shared" si="20"/>
        <v/>
      </c>
      <c r="C411" s="23" t="str">
        <f t="shared" si="21"/>
        <v/>
      </c>
      <c r="E411" s="24" t="str">
        <f>IF(NOT(ISBLANK(G3copy!B411)),G3copy!B411,"")</f>
        <v/>
      </c>
      <c r="F411" s="24" t="str">
        <f>IF(E411&lt;&gt;"",G3copy!A411,"")</f>
        <v/>
      </c>
      <c r="G411" s="24" t="str">
        <f>IF(E411&lt;&gt;"",G3copy!F411,"")</f>
        <v/>
      </c>
    </row>
    <row r="412" spans="1:7" ht="15.75" customHeight="1">
      <c r="A412" s="23" t="str">
        <f t="shared" si="19"/>
        <v/>
      </c>
      <c r="B412" t="str">
        <f t="shared" si="20"/>
        <v/>
      </c>
      <c r="C412" s="23" t="str">
        <f t="shared" si="21"/>
        <v/>
      </c>
      <c r="E412" s="24" t="str">
        <f>IF(NOT(ISBLANK(G3copy!B412)),G3copy!B412,"")</f>
        <v/>
      </c>
      <c r="F412" s="24" t="str">
        <f>IF(E412&lt;&gt;"",G3copy!A412,"")</f>
        <v/>
      </c>
      <c r="G412" s="24" t="str">
        <f>IF(E412&lt;&gt;"",G3copy!F412,"")</f>
        <v/>
      </c>
    </row>
    <row r="413" spans="1:7" ht="15.75" customHeight="1">
      <c r="A413" s="23" t="str">
        <f t="shared" si="19"/>
        <v/>
      </c>
      <c r="B413" t="str">
        <f t="shared" si="20"/>
        <v/>
      </c>
      <c r="C413" s="23" t="str">
        <f t="shared" si="21"/>
        <v/>
      </c>
      <c r="E413" s="24" t="str">
        <f>IF(NOT(ISBLANK(G3copy!B413)),G3copy!B413,"")</f>
        <v/>
      </c>
      <c r="F413" s="24" t="str">
        <f>IF(E413&lt;&gt;"",G3copy!A413,"")</f>
        <v/>
      </c>
      <c r="G413" s="24" t="str">
        <f>IF(E413&lt;&gt;"",G3copy!F413,"")</f>
        <v/>
      </c>
    </row>
    <row r="414" spans="1:7" ht="15.75" customHeight="1">
      <c r="A414" s="23" t="str">
        <f t="shared" si="19"/>
        <v/>
      </c>
      <c r="B414" t="str">
        <f t="shared" si="20"/>
        <v/>
      </c>
      <c r="C414" s="23" t="str">
        <f t="shared" si="21"/>
        <v/>
      </c>
      <c r="E414" s="24" t="str">
        <f>IF(NOT(ISBLANK(G3copy!B414)),G3copy!B414,"")</f>
        <v/>
      </c>
      <c r="F414" s="24" t="str">
        <f>IF(E414&lt;&gt;"",G3copy!A414,"")</f>
        <v/>
      </c>
      <c r="G414" s="24" t="str">
        <f>IF(E414&lt;&gt;"",G3copy!F414,"")</f>
        <v/>
      </c>
    </row>
    <row r="415" spans="1:7" ht="15.75" customHeight="1">
      <c r="A415" s="23" t="str">
        <f t="shared" si="19"/>
        <v/>
      </c>
      <c r="B415" t="str">
        <f t="shared" si="20"/>
        <v/>
      </c>
      <c r="C415" s="23" t="str">
        <f t="shared" si="21"/>
        <v/>
      </c>
      <c r="E415" s="24" t="str">
        <f>IF(NOT(ISBLANK(G3copy!B415)),G3copy!B415,"")</f>
        <v/>
      </c>
      <c r="F415" s="24" t="str">
        <f>IF(E415&lt;&gt;"",G3copy!A415,"")</f>
        <v/>
      </c>
      <c r="G415" s="24" t="str">
        <f>IF(E415&lt;&gt;"",G3copy!F415,"")</f>
        <v/>
      </c>
    </row>
    <row r="416" spans="1:7" ht="15.75" customHeight="1">
      <c r="A416" s="23" t="str">
        <f t="shared" si="19"/>
        <v/>
      </c>
      <c r="B416" t="str">
        <f t="shared" si="20"/>
        <v/>
      </c>
      <c r="C416" s="23" t="str">
        <f t="shared" si="21"/>
        <v/>
      </c>
      <c r="E416" s="24" t="str">
        <f>IF(NOT(ISBLANK(G3copy!B416)),G3copy!B416,"")</f>
        <v/>
      </c>
      <c r="F416" s="24" t="str">
        <f>IF(E416&lt;&gt;"",G3copy!A416,"")</f>
        <v/>
      </c>
      <c r="G416" s="24" t="str">
        <f>IF(E416&lt;&gt;"",G3copy!F416,"")</f>
        <v/>
      </c>
    </row>
    <row r="417" spans="1:7" ht="15.75" customHeight="1">
      <c r="A417" s="23" t="str">
        <f t="shared" si="19"/>
        <v/>
      </c>
      <c r="B417" t="str">
        <f t="shared" si="20"/>
        <v/>
      </c>
      <c r="C417" s="23" t="str">
        <f t="shared" si="21"/>
        <v/>
      </c>
      <c r="E417" s="24" t="str">
        <f>IF(NOT(ISBLANK(G3copy!B417)),G3copy!B417,"")</f>
        <v/>
      </c>
      <c r="F417" s="24" t="str">
        <f>IF(E417&lt;&gt;"",G3copy!A417,"")</f>
        <v/>
      </c>
      <c r="G417" s="24" t="str">
        <f>IF(E417&lt;&gt;"",G3copy!F417,"")</f>
        <v/>
      </c>
    </row>
    <row r="418" spans="1:7" ht="15.75" customHeight="1">
      <c r="A418" s="23" t="str">
        <f t="shared" si="19"/>
        <v/>
      </c>
      <c r="B418" t="str">
        <f t="shared" si="20"/>
        <v/>
      </c>
      <c r="C418" s="23" t="str">
        <f t="shared" si="21"/>
        <v/>
      </c>
      <c r="E418" s="24" t="str">
        <f>IF(NOT(ISBLANK(G3copy!B418)),G3copy!B418,"")</f>
        <v/>
      </c>
      <c r="F418" s="24" t="str">
        <f>IF(E418&lt;&gt;"",G3copy!A418,"")</f>
        <v/>
      </c>
      <c r="G418" s="24" t="str">
        <f>IF(E418&lt;&gt;"",G3copy!F418,"")</f>
        <v/>
      </c>
    </row>
    <row r="419" spans="1:7" ht="15.75" customHeight="1">
      <c r="A419" s="23" t="str">
        <f t="shared" si="19"/>
        <v/>
      </c>
      <c r="B419" t="str">
        <f t="shared" si="20"/>
        <v/>
      </c>
      <c r="C419" s="23" t="str">
        <f t="shared" si="21"/>
        <v/>
      </c>
      <c r="E419" s="24" t="str">
        <f>IF(NOT(ISBLANK(G3copy!B419)),G3copy!B419,"")</f>
        <v/>
      </c>
      <c r="F419" s="24" t="str">
        <f>IF(E419&lt;&gt;"",G3copy!A419,"")</f>
        <v/>
      </c>
      <c r="G419" s="24" t="str">
        <f>IF(E419&lt;&gt;"",G3copy!F419,"")</f>
        <v/>
      </c>
    </row>
    <row r="420" spans="1:7" ht="15.75" customHeight="1">
      <c r="A420" s="23" t="str">
        <f t="shared" si="19"/>
        <v/>
      </c>
      <c r="B420" t="str">
        <f t="shared" si="20"/>
        <v/>
      </c>
      <c r="C420" s="23" t="str">
        <f t="shared" si="21"/>
        <v/>
      </c>
      <c r="E420" s="24" t="str">
        <f>IF(NOT(ISBLANK(G3copy!B420)),G3copy!B420,"")</f>
        <v/>
      </c>
      <c r="F420" s="24" t="str">
        <f>IF(E420&lt;&gt;"",G3copy!A420,"")</f>
        <v/>
      </c>
      <c r="G420" s="24" t="str">
        <f>IF(E420&lt;&gt;"",G3copy!F420,"")</f>
        <v/>
      </c>
    </row>
    <row r="421" spans="1:7" ht="15.75" customHeight="1">
      <c r="A421" s="23" t="str">
        <f t="shared" si="19"/>
        <v/>
      </c>
      <c r="B421" t="str">
        <f t="shared" si="20"/>
        <v/>
      </c>
      <c r="C421" s="23" t="str">
        <f t="shared" si="21"/>
        <v/>
      </c>
      <c r="E421" s="24" t="str">
        <f>IF(NOT(ISBLANK(G3copy!B421)),G3copy!B421,"")</f>
        <v/>
      </c>
      <c r="F421" s="24" t="str">
        <f>IF(E421&lt;&gt;"",G3copy!A421,"")</f>
        <v/>
      </c>
      <c r="G421" s="24" t="str">
        <f>IF(E421&lt;&gt;"",G3copy!F421,"")</f>
        <v/>
      </c>
    </row>
    <row r="422" spans="1:7" ht="15.75" customHeight="1">
      <c r="A422" s="23" t="str">
        <f t="shared" si="19"/>
        <v/>
      </c>
      <c r="B422" t="str">
        <f t="shared" si="20"/>
        <v/>
      </c>
      <c r="C422" s="23" t="str">
        <f t="shared" si="21"/>
        <v/>
      </c>
      <c r="E422" s="24" t="str">
        <f>IF(NOT(ISBLANK(G3copy!B422)),G3copy!B422,"")</f>
        <v/>
      </c>
      <c r="F422" s="24" t="str">
        <f>IF(E422&lt;&gt;"",G3copy!A422,"")</f>
        <v/>
      </c>
      <c r="G422" s="24" t="str">
        <f>IF(E422&lt;&gt;"",G3copy!F422,"")</f>
        <v/>
      </c>
    </row>
    <row r="423" spans="1:7" ht="15.75" customHeight="1">
      <c r="A423" s="23" t="str">
        <f t="shared" si="19"/>
        <v/>
      </c>
      <c r="B423" t="str">
        <f t="shared" si="20"/>
        <v/>
      </c>
      <c r="C423" s="23" t="str">
        <f t="shared" si="21"/>
        <v/>
      </c>
      <c r="E423" s="24" t="str">
        <f>IF(NOT(ISBLANK(G3copy!B423)),G3copy!B423,"")</f>
        <v/>
      </c>
      <c r="F423" s="24" t="str">
        <f>IF(E423&lt;&gt;"",G3copy!A423,"")</f>
        <v/>
      </c>
      <c r="G423" s="24" t="str">
        <f>IF(E423&lt;&gt;"",G3copy!F423,"")</f>
        <v/>
      </c>
    </row>
    <row r="424" spans="1:7" ht="15.75" customHeight="1">
      <c r="A424" s="23" t="str">
        <f t="shared" si="19"/>
        <v/>
      </c>
      <c r="B424" t="str">
        <f t="shared" si="20"/>
        <v/>
      </c>
      <c r="C424" s="23" t="str">
        <f t="shared" si="21"/>
        <v/>
      </c>
      <c r="E424" s="24" t="str">
        <f>IF(NOT(ISBLANK(G3copy!B424)),G3copy!B424,"")</f>
        <v/>
      </c>
      <c r="F424" s="24" t="str">
        <f>IF(E424&lt;&gt;"",G3copy!A424,"")</f>
        <v/>
      </c>
      <c r="G424" s="24" t="str">
        <f>IF(E424&lt;&gt;"",G3copy!F424,"")</f>
        <v/>
      </c>
    </row>
    <row r="425" spans="1:7" ht="15.75" customHeight="1">
      <c r="A425" s="23" t="str">
        <f t="shared" si="19"/>
        <v/>
      </c>
      <c r="B425" t="str">
        <f t="shared" si="20"/>
        <v/>
      </c>
      <c r="C425" s="23" t="str">
        <f t="shared" si="21"/>
        <v/>
      </c>
      <c r="E425" s="24" t="str">
        <f>IF(NOT(ISBLANK(G3copy!B425)),G3copy!B425,"")</f>
        <v/>
      </c>
      <c r="F425" s="24" t="str">
        <f>IF(E425&lt;&gt;"",G3copy!A425,"")</f>
        <v/>
      </c>
      <c r="G425" s="24" t="str">
        <f>IF(E425&lt;&gt;"",G3copy!F425,"")</f>
        <v/>
      </c>
    </row>
    <row r="426" spans="1:7" ht="15.75" customHeight="1">
      <c r="A426" s="23" t="str">
        <f t="shared" si="19"/>
        <v/>
      </c>
      <c r="B426" t="str">
        <f t="shared" si="20"/>
        <v/>
      </c>
      <c r="C426" s="23" t="str">
        <f t="shared" si="21"/>
        <v/>
      </c>
      <c r="E426" s="24" t="str">
        <f>IF(NOT(ISBLANK(G3copy!B426)),G3copy!B426,"")</f>
        <v/>
      </c>
      <c r="F426" s="24" t="str">
        <f>IF(E426&lt;&gt;"",G3copy!A426,"")</f>
        <v/>
      </c>
      <c r="G426" s="24" t="str">
        <f>IF(E426&lt;&gt;"",G3copy!F426,"")</f>
        <v/>
      </c>
    </row>
    <row r="427" spans="1:7" ht="15.75" customHeight="1">
      <c r="A427" s="23" t="str">
        <f t="shared" si="19"/>
        <v/>
      </c>
      <c r="B427" t="str">
        <f t="shared" si="20"/>
        <v/>
      </c>
      <c r="C427" s="23" t="str">
        <f t="shared" si="21"/>
        <v/>
      </c>
      <c r="E427" s="24" t="str">
        <f>IF(NOT(ISBLANK(G3copy!B427)),G3copy!B427,"")</f>
        <v/>
      </c>
      <c r="F427" s="24" t="str">
        <f>IF(E427&lt;&gt;"",G3copy!A427,"")</f>
        <v/>
      </c>
      <c r="G427" s="24" t="str">
        <f>IF(E427&lt;&gt;"",G3copy!F427,"")</f>
        <v/>
      </c>
    </row>
    <row r="428" spans="1:7" ht="15.75" customHeight="1">
      <c r="A428" s="23" t="str">
        <f t="shared" si="19"/>
        <v/>
      </c>
      <c r="B428" t="str">
        <f t="shared" si="20"/>
        <v/>
      </c>
      <c r="C428" s="23" t="str">
        <f t="shared" si="21"/>
        <v/>
      </c>
      <c r="E428" s="24" t="str">
        <f>IF(NOT(ISBLANK(G3copy!B428)),G3copy!B428,"")</f>
        <v/>
      </c>
      <c r="F428" s="24" t="str">
        <f>IF(E428&lt;&gt;"",G3copy!A428,"")</f>
        <v/>
      </c>
      <c r="G428" s="24" t="str">
        <f>IF(E428&lt;&gt;"",G3copy!F428,"")</f>
        <v/>
      </c>
    </row>
    <row r="429" spans="1:7" ht="15.75" customHeight="1">
      <c r="A429" s="23" t="str">
        <f t="shared" si="19"/>
        <v/>
      </c>
      <c r="B429" t="str">
        <f t="shared" si="20"/>
        <v/>
      </c>
      <c r="C429" s="23" t="str">
        <f t="shared" si="21"/>
        <v/>
      </c>
      <c r="E429" s="24" t="str">
        <f>IF(NOT(ISBLANK(G3copy!B429)),G3copy!B429,"")</f>
        <v/>
      </c>
      <c r="F429" s="24" t="str">
        <f>IF(E429&lt;&gt;"",G3copy!A429,"")</f>
        <v/>
      </c>
      <c r="G429" s="24" t="str">
        <f>IF(E429&lt;&gt;"",G3copy!F429,"")</f>
        <v/>
      </c>
    </row>
    <row r="430" spans="1:7" ht="15.75" customHeight="1">
      <c r="A430" s="23" t="str">
        <f t="shared" si="19"/>
        <v/>
      </c>
      <c r="B430" t="str">
        <f t="shared" si="20"/>
        <v/>
      </c>
      <c r="C430" s="23" t="str">
        <f t="shared" si="21"/>
        <v/>
      </c>
      <c r="E430" s="24" t="str">
        <f>IF(NOT(ISBLANK(G3copy!B430)),G3copy!B430,"")</f>
        <v/>
      </c>
      <c r="F430" s="24" t="str">
        <f>IF(E430&lt;&gt;"",G3copy!A430,"")</f>
        <v/>
      </c>
      <c r="G430" s="24" t="str">
        <f>IF(E430&lt;&gt;"",G3copy!F430,"")</f>
        <v/>
      </c>
    </row>
    <row r="431" spans="1:7" ht="15.75" customHeight="1">
      <c r="A431" s="23" t="str">
        <f t="shared" si="19"/>
        <v/>
      </c>
      <c r="B431" t="str">
        <f t="shared" si="20"/>
        <v/>
      </c>
      <c r="C431" s="23" t="str">
        <f t="shared" si="21"/>
        <v/>
      </c>
      <c r="E431" s="24" t="str">
        <f>IF(NOT(ISBLANK(G3copy!B431)),G3copy!B431,"")</f>
        <v/>
      </c>
      <c r="F431" s="24" t="str">
        <f>IF(E431&lt;&gt;"",G3copy!A431,"")</f>
        <v/>
      </c>
      <c r="G431" s="24" t="str">
        <f>IF(E431&lt;&gt;"",G3copy!F431,"")</f>
        <v/>
      </c>
    </row>
    <row r="432" spans="1:7" ht="15.75" customHeight="1">
      <c r="A432" s="23" t="str">
        <f t="shared" si="19"/>
        <v/>
      </c>
      <c r="B432" t="str">
        <f t="shared" si="20"/>
        <v/>
      </c>
      <c r="C432" s="23" t="str">
        <f t="shared" si="21"/>
        <v/>
      </c>
      <c r="E432" s="24" t="str">
        <f>IF(NOT(ISBLANK(G3copy!B432)),G3copy!B432,"")</f>
        <v/>
      </c>
      <c r="F432" s="24" t="str">
        <f>IF(E432&lt;&gt;"",G3copy!A432,"")</f>
        <v/>
      </c>
      <c r="G432" s="24" t="str">
        <f>IF(E432&lt;&gt;"",G3copy!F432,"")</f>
        <v/>
      </c>
    </row>
    <row r="433" spans="1:7" ht="15.75" customHeight="1">
      <c r="A433" s="23" t="str">
        <f t="shared" si="19"/>
        <v/>
      </c>
      <c r="B433" t="str">
        <f t="shared" si="20"/>
        <v/>
      </c>
      <c r="C433" s="23" t="str">
        <f t="shared" si="21"/>
        <v/>
      </c>
      <c r="E433" s="24" t="str">
        <f>IF(NOT(ISBLANK(G3copy!B433)),G3copy!B433,"")</f>
        <v/>
      </c>
      <c r="F433" s="24" t="str">
        <f>IF(E433&lt;&gt;"",G3copy!A433,"")</f>
        <v/>
      </c>
      <c r="G433" s="24" t="str">
        <f>IF(E433&lt;&gt;"",G3copy!F433,"")</f>
        <v/>
      </c>
    </row>
    <row r="434" spans="1:7" ht="15.75" customHeight="1">
      <c r="A434" s="23" t="str">
        <f t="shared" si="19"/>
        <v/>
      </c>
      <c r="B434" t="str">
        <f t="shared" si="20"/>
        <v/>
      </c>
      <c r="C434" s="23" t="str">
        <f t="shared" si="21"/>
        <v/>
      </c>
      <c r="E434" s="24" t="str">
        <f>IF(NOT(ISBLANK(G3copy!B434)),G3copy!B434,"")</f>
        <v/>
      </c>
      <c r="F434" s="24" t="str">
        <f>IF(E434&lt;&gt;"",G3copy!A434,"")</f>
        <v/>
      </c>
      <c r="G434" s="24" t="str">
        <f>IF(E434&lt;&gt;"",G3copy!F434,"")</f>
        <v/>
      </c>
    </row>
    <row r="435" spans="1:7" ht="15.75" customHeight="1">
      <c r="A435" s="23" t="str">
        <f t="shared" si="19"/>
        <v/>
      </c>
      <c r="B435" t="str">
        <f t="shared" si="20"/>
        <v/>
      </c>
      <c r="C435" s="23" t="str">
        <f t="shared" si="21"/>
        <v/>
      </c>
      <c r="E435" s="24" t="str">
        <f>IF(NOT(ISBLANK(G3copy!B435)),G3copy!B435,"")</f>
        <v/>
      </c>
      <c r="F435" s="24" t="str">
        <f>IF(E435&lt;&gt;"",G3copy!A435,"")</f>
        <v/>
      </c>
      <c r="G435" s="24" t="str">
        <f>IF(E435&lt;&gt;"",G3copy!F435,"")</f>
        <v/>
      </c>
    </row>
    <row r="436" spans="1:7" ht="15.75" customHeight="1">
      <c r="A436" s="23" t="str">
        <f t="shared" si="19"/>
        <v/>
      </c>
      <c r="B436" t="str">
        <f t="shared" si="20"/>
        <v/>
      </c>
      <c r="C436" s="23" t="str">
        <f t="shared" si="21"/>
        <v/>
      </c>
      <c r="E436" s="24" t="str">
        <f>IF(NOT(ISBLANK(G3copy!B436)),G3copy!B436,"")</f>
        <v/>
      </c>
      <c r="F436" s="24" t="str">
        <f>IF(E436&lt;&gt;"",G3copy!A436,"")</f>
        <v/>
      </c>
      <c r="G436" s="24" t="str">
        <f>IF(E436&lt;&gt;"",G3copy!F436,"")</f>
        <v/>
      </c>
    </row>
    <row r="437" spans="1:7" ht="15.75" customHeight="1">
      <c r="A437" s="23" t="str">
        <f t="shared" si="19"/>
        <v/>
      </c>
      <c r="B437" t="str">
        <f t="shared" si="20"/>
        <v/>
      </c>
      <c r="C437" s="23" t="str">
        <f t="shared" si="21"/>
        <v/>
      </c>
      <c r="E437" s="24" t="str">
        <f>IF(NOT(ISBLANK(G3copy!B437)),G3copy!B437,"")</f>
        <v/>
      </c>
      <c r="F437" s="24" t="str">
        <f>IF(E437&lt;&gt;"",G3copy!A437,"")</f>
        <v/>
      </c>
      <c r="G437" s="24" t="str">
        <f>IF(E437&lt;&gt;"",G3copy!F437,"")</f>
        <v/>
      </c>
    </row>
    <row r="438" spans="1:7" ht="15.75" customHeight="1">
      <c r="A438" s="23" t="str">
        <f t="shared" si="19"/>
        <v/>
      </c>
      <c r="B438" t="str">
        <f t="shared" si="20"/>
        <v/>
      </c>
      <c r="C438" s="23" t="str">
        <f t="shared" si="21"/>
        <v/>
      </c>
      <c r="E438" s="24" t="str">
        <f>IF(NOT(ISBLANK(G3copy!B438)),G3copy!B438,"")</f>
        <v/>
      </c>
      <c r="F438" s="24" t="str">
        <f>IF(E438&lt;&gt;"",G3copy!A438,"")</f>
        <v/>
      </c>
      <c r="G438" s="24" t="str">
        <f>IF(E438&lt;&gt;"",G3copy!F438,"")</f>
        <v/>
      </c>
    </row>
    <row r="439" spans="1:7" ht="15.75" customHeight="1">
      <c r="A439" s="23" t="str">
        <f t="shared" si="19"/>
        <v/>
      </c>
      <c r="B439" t="str">
        <f t="shared" si="20"/>
        <v/>
      </c>
      <c r="C439" s="23" t="str">
        <f t="shared" si="21"/>
        <v/>
      </c>
      <c r="E439" s="24" t="str">
        <f>IF(NOT(ISBLANK(G3copy!B439)),G3copy!B439,"")</f>
        <v/>
      </c>
      <c r="F439" s="24" t="str">
        <f>IF(E439&lt;&gt;"",G3copy!A439,"")</f>
        <v/>
      </c>
      <c r="G439" s="24" t="str">
        <f>IF(E439&lt;&gt;"",G3copy!F439,"")</f>
        <v/>
      </c>
    </row>
    <row r="440" spans="1:7" ht="15.75" customHeight="1">
      <c r="A440" s="23" t="str">
        <f t="shared" si="19"/>
        <v/>
      </c>
      <c r="B440" t="str">
        <f t="shared" si="20"/>
        <v/>
      </c>
      <c r="C440" s="23" t="str">
        <f t="shared" si="21"/>
        <v/>
      </c>
      <c r="E440" s="24" t="str">
        <f>IF(NOT(ISBLANK(G3copy!B440)),G3copy!B440,"")</f>
        <v/>
      </c>
      <c r="F440" s="24" t="str">
        <f>IF(E440&lt;&gt;"",G3copy!A440,"")</f>
        <v/>
      </c>
      <c r="G440" s="24" t="str">
        <f>IF(E440&lt;&gt;"",G3copy!F440,"")</f>
        <v/>
      </c>
    </row>
    <row r="441" spans="1:7" ht="15.75" customHeight="1">
      <c r="A441" s="23" t="str">
        <f t="shared" si="19"/>
        <v/>
      </c>
      <c r="B441" t="str">
        <f t="shared" si="20"/>
        <v/>
      </c>
      <c r="C441" s="23" t="str">
        <f t="shared" si="21"/>
        <v/>
      </c>
      <c r="E441" s="24" t="str">
        <f>IF(NOT(ISBLANK(G3copy!B441)),G3copy!B441,"")</f>
        <v/>
      </c>
      <c r="F441" s="24" t="str">
        <f>IF(E441&lt;&gt;"",G3copy!A441,"")</f>
        <v/>
      </c>
      <c r="G441" s="24" t="str">
        <f>IF(E441&lt;&gt;"",G3copy!F441,"")</f>
        <v/>
      </c>
    </row>
    <row r="442" spans="1:7" ht="15.75" customHeight="1">
      <c r="A442" s="23" t="str">
        <f t="shared" si="19"/>
        <v/>
      </c>
      <c r="B442" t="str">
        <f t="shared" si="20"/>
        <v/>
      </c>
      <c r="C442" s="23" t="str">
        <f t="shared" si="21"/>
        <v/>
      </c>
      <c r="E442" s="24" t="str">
        <f>IF(NOT(ISBLANK(G3copy!B442)),G3copy!B442,"")</f>
        <v/>
      </c>
      <c r="F442" s="24" t="str">
        <f>IF(E442&lt;&gt;"",G3copy!A442,"")</f>
        <v/>
      </c>
      <c r="G442" s="24" t="str">
        <f>IF(E442&lt;&gt;"",G3copy!F442,"")</f>
        <v/>
      </c>
    </row>
    <row r="443" spans="1:7" ht="15.75" customHeight="1">
      <c r="A443" s="23" t="str">
        <f t="shared" si="19"/>
        <v/>
      </c>
      <c r="B443" t="str">
        <f t="shared" si="20"/>
        <v/>
      </c>
      <c r="C443" s="23" t="str">
        <f t="shared" si="21"/>
        <v/>
      </c>
      <c r="E443" s="24" t="str">
        <f>IF(NOT(ISBLANK(G3copy!B443)),G3copy!B443,"")</f>
        <v/>
      </c>
      <c r="F443" s="24" t="str">
        <f>IF(E443&lt;&gt;"",G3copy!A443,"")</f>
        <v/>
      </c>
      <c r="G443" s="24" t="str">
        <f>IF(E443&lt;&gt;"",G3copy!F443,"")</f>
        <v/>
      </c>
    </row>
    <row r="444" spans="1:7" ht="15.75" customHeight="1">
      <c r="A444" s="23" t="str">
        <f t="shared" si="19"/>
        <v/>
      </c>
      <c r="B444" t="str">
        <f t="shared" si="20"/>
        <v/>
      </c>
      <c r="C444" s="23" t="str">
        <f t="shared" si="21"/>
        <v/>
      </c>
      <c r="E444" s="24" t="str">
        <f>IF(NOT(ISBLANK(G3copy!B444)),G3copy!B444,"")</f>
        <v/>
      </c>
      <c r="F444" s="24" t="str">
        <f>IF(E444&lt;&gt;"",G3copy!A444,"")</f>
        <v/>
      </c>
      <c r="G444" s="24" t="str">
        <f>IF(E444&lt;&gt;"",G3copy!F444,"")</f>
        <v/>
      </c>
    </row>
    <row r="445" spans="1:7" ht="15.75" customHeight="1">
      <c r="A445" s="23" t="str">
        <f t="shared" si="19"/>
        <v/>
      </c>
      <c r="B445" t="str">
        <f t="shared" si="20"/>
        <v/>
      </c>
      <c r="C445" s="23" t="str">
        <f t="shared" si="21"/>
        <v/>
      </c>
      <c r="E445" s="24" t="str">
        <f>IF(NOT(ISBLANK(G3copy!B445)),G3copy!B445,"")</f>
        <v/>
      </c>
      <c r="F445" s="24" t="str">
        <f>IF(E445&lt;&gt;"",G3copy!A445,"")</f>
        <v/>
      </c>
      <c r="G445" s="24" t="str">
        <f>IF(E445&lt;&gt;"",G3copy!F445,"")</f>
        <v/>
      </c>
    </row>
    <row r="446" spans="1:7" ht="15.75" customHeight="1">
      <c r="A446" s="23" t="str">
        <f t="shared" si="19"/>
        <v/>
      </c>
      <c r="B446" t="str">
        <f t="shared" si="20"/>
        <v/>
      </c>
      <c r="C446" s="23" t="str">
        <f t="shared" si="21"/>
        <v/>
      </c>
      <c r="E446" s="24" t="str">
        <f>IF(NOT(ISBLANK(G3copy!B446)),G3copy!B446,"")</f>
        <v/>
      </c>
      <c r="F446" s="24" t="str">
        <f>IF(E446&lt;&gt;"",G3copy!A446,"")</f>
        <v/>
      </c>
      <c r="G446" s="24" t="str">
        <f>IF(E446&lt;&gt;"",G3copy!F446,"")</f>
        <v/>
      </c>
    </row>
    <row r="447" spans="1:7" ht="15.75" customHeight="1">
      <c r="A447" s="23" t="str">
        <f t="shared" si="19"/>
        <v/>
      </c>
      <c r="B447" t="str">
        <f t="shared" si="20"/>
        <v/>
      </c>
      <c r="C447" s="23" t="str">
        <f t="shared" si="21"/>
        <v/>
      </c>
      <c r="E447" s="24" t="str">
        <f>IF(NOT(ISBLANK(G3copy!B447)),G3copy!B447,"")</f>
        <v/>
      </c>
      <c r="F447" s="24" t="str">
        <f>IF(E447&lt;&gt;"",G3copy!A447,"")</f>
        <v/>
      </c>
      <c r="G447" s="24" t="str">
        <f>IF(E447&lt;&gt;"",G3copy!F447,"")</f>
        <v/>
      </c>
    </row>
    <row r="448" spans="1:7" ht="15.75" customHeight="1">
      <c r="A448" s="23" t="str">
        <f t="shared" si="19"/>
        <v/>
      </c>
      <c r="B448" t="str">
        <f t="shared" si="20"/>
        <v/>
      </c>
      <c r="C448" s="23" t="str">
        <f t="shared" si="21"/>
        <v/>
      </c>
      <c r="E448" s="24" t="str">
        <f>IF(NOT(ISBLANK(G3copy!B448)),G3copy!B448,"")</f>
        <v/>
      </c>
      <c r="F448" s="24" t="str">
        <f>IF(E448&lt;&gt;"",G3copy!A448,"")</f>
        <v/>
      </c>
      <c r="G448" s="24" t="str">
        <f>IF(E448&lt;&gt;"",G3copy!F448,"")</f>
        <v/>
      </c>
    </row>
    <row r="449" spans="1:7" ht="15.75" customHeight="1">
      <c r="A449" s="23" t="str">
        <f t="shared" si="19"/>
        <v/>
      </c>
      <c r="B449" t="str">
        <f t="shared" si="20"/>
        <v/>
      </c>
      <c r="C449" s="23" t="str">
        <f t="shared" si="21"/>
        <v/>
      </c>
      <c r="E449" s="24" t="str">
        <f>IF(NOT(ISBLANK(G3copy!B449)),G3copy!B449,"")</f>
        <v/>
      </c>
      <c r="F449" s="24" t="str">
        <f>IF(E449&lt;&gt;"",G3copy!A449,"")</f>
        <v/>
      </c>
      <c r="G449" s="24" t="str">
        <f>IF(E449&lt;&gt;"",G3copy!F449,"")</f>
        <v/>
      </c>
    </row>
    <row r="450" spans="1:7" ht="15.75" customHeight="1">
      <c r="A450" s="23" t="str">
        <f t="shared" si="19"/>
        <v/>
      </c>
      <c r="B450" t="str">
        <f t="shared" si="20"/>
        <v/>
      </c>
      <c r="C450" s="23" t="str">
        <f t="shared" si="21"/>
        <v/>
      </c>
      <c r="E450" s="24" t="str">
        <f>IF(NOT(ISBLANK(G3copy!B450)),G3copy!B450,"")</f>
        <v/>
      </c>
      <c r="F450" s="24" t="str">
        <f>IF(E450&lt;&gt;"",G3copy!A450,"")</f>
        <v/>
      </c>
      <c r="G450" s="24" t="str">
        <f>IF(E450&lt;&gt;"",G3copy!F450,"")</f>
        <v/>
      </c>
    </row>
    <row r="451" spans="1:7" ht="15.75" customHeight="1">
      <c r="A451" s="23" t="str">
        <f t="shared" ref="A451:A500" si="22">IF(E451&lt;&gt;"",DATEVALUE(LEFT(E451,10)),"")</f>
        <v/>
      </c>
      <c r="B451" t="str">
        <f t="shared" ref="B451:B500" si="23">IF(LEN(F451)&gt;3,RIGHT(F451,LEN(F451)-3),"")</f>
        <v/>
      </c>
      <c r="C451" s="23" t="str">
        <f t="shared" ref="C451:C500" si="24">IF(E451&lt;&gt;"",DATEVALUE(LEFT(G451,10)),"")</f>
        <v/>
      </c>
      <c r="E451" s="24" t="str">
        <f>IF(NOT(ISBLANK(G3copy!B451)),G3copy!B451,"")</f>
        <v/>
      </c>
      <c r="F451" s="24" t="str">
        <f>IF(E451&lt;&gt;"",G3copy!A451,"")</f>
        <v/>
      </c>
      <c r="G451" s="24" t="str">
        <f>IF(E451&lt;&gt;"",G3copy!F451,"")</f>
        <v/>
      </c>
    </row>
    <row r="452" spans="1:7" ht="15.75" customHeight="1">
      <c r="A452" s="23" t="str">
        <f t="shared" si="22"/>
        <v/>
      </c>
      <c r="B452" t="str">
        <f t="shared" si="23"/>
        <v/>
      </c>
      <c r="C452" s="23" t="str">
        <f t="shared" si="24"/>
        <v/>
      </c>
      <c r="E452" s="24" t="str">
        <f>IF(NOT(ISBLANK(G3copy!B452)),G3copy!B452,"")</f>
        <v/>
      </c>
      <c r="F452" s="24" t="str">
        <f>IF(E452&lt;&gt;"",G3copy!A452,"")</f>
        <v/>
      </c>
      <c r="G452" s="24" t="str">
        <f>IF(E452&lt;&gt;"",G3copy!F452,"")</f>
        <v/>
      </c>
    </row>
    <row r="453" spans="1:7" ht="15.75" customHeight="1">
      <c r="A453" s="23" t="str">
        <f t="shared" si="22"/>
        <v/>
      </c>
      <c r="B453" t="str">
        <f t="shared" si="23"/>
        <v/>
      </c>
      <c r="C453" s="23" t="str">
        <f t="shared" si="24"/>
        <v/>
      </c>
      <c r="E453" s="24" t="str">
        <f>IF(NOT(ISBLANK(G3copy!B453)),G3copy!B453,"")</f>
        <v/>
      </c>
      <c r="F453" s="24" t="str">
        <f>IF(E453&lt;&gt;"",G3copy!A453,"")</f>
        <v/>
      </c>
      <c r="G453" s="24" t="str">
        <f>IF(E453&lt;&gt;"",G3copy!F453,"")</f>
        <v/>
      </c>
    </row>
    <row r="454" spans="1:7" ht="15.75" customHeight="1">
      <c r="A454" s="23" t="str">
        <f t="shared" si="22"/>
        <v/>
      </c>
      <c r="B454" t="str">
        <f t="shared" si="23"/>
        <v/>
      </c>
      <c r="C454" s="23" t="str">
        <f t="shared" si="24"/>
        <v/>
      </c>
      <c r="E454" s="24" t="str">
        <f>IF(NOT(ISBLANK(G3copy!B454)),G3copy!B454,"")</f>
        <v/>
      </c>
      <c r="F454" s="24" t="str">
        <f>IF(E454&lt;&gt;"",G3copy!A454,"")</f>
        <v/>
      </c>
      <c r="G454" s="24" t="str">
        <f>IF(E454&lt;&gt;"",G3copy!F454,"")</f>
        <v/>
      </c>
    </row>
    <row r="455" spans="1:7" ht="15.75" customHeight="1">
      <c r="A455" s="23" t="str">
        <f t="shared" si="22"/>
        <v/>
      </c>
      <c r="B455" t="str">
        <f t="shared" si="23"/>
        <v/>
      </c>
      <c r="C455" s="23" t="str">
        <f t="shared" si="24"/>
        <v/>
      </c>
      <c r="E455" s="24" t="str">
        <f>IF(NOT(ISBLANK(G3copy!B455)),G3copy!B455,"")</f>
        <v/>
      </c>
      <c r="F455" s="24" t="str">
        <f>IF(E455&lt;&gt;"",G3copy!A455,"")</f>
        <v/>
      </c>
      <c r="G455" s="24" t="str">
        <f>IF(E455&lt;&gt;"",G3copy!F455,"")</f>
        <v/>
      </c>
    </row>
    <row r="456" spans="1:7" ht="15.75" customHeight="1">
      <c r="A456" s="23" t="str">
        <f t="shared" si="22"/>
        <v/>
      </c>
      <c r="B456" t="str">
        <f t="shared" si="23"/>
        <v/>
      </c>
      <c r="C456" s="23" t="str">
        <f t="shared" si="24"/>
        <v/>
      </c>
      <c r="E456" s="24" t="str">
        <f>IF(NOT(ISBLANK(G3copy!B456)),G3copy!B456,"")</f>
        <v/>
      </c>
      <c r="F456" s="24" t="str">
        <f>IF(E456&lt;&gt;"",G3copy!A456,"")</f>
        <v/>
      </c>
      <c r="G456" s="24" t="str">
        <f>IF(E456&lt;&gt;"",G3copy!F456,"")</f>
        <v/>
      </c>
    </row>
    <row r="457" spans="1:7" ht="15.75" customHeight="1">
      <c r="A457" s="23" t="str">
        <f t="shared" si="22"/>
        <v/>
      </c>
      <c r="B457" t="str">
        <f t="shared" si="23"/>
        <v/>
      </c>
      <c r="C457" s="23" t="str">
        <f t="shared" si="24"/>
        <v/>
      </c>
      <c r="E457" s="24" t="str">
        <f>IF(NOT(ISBLANK(G3copy!B457)),G3copy!B457,"")</f>
        <v/>
      </c>
      <c r="F457" s="24" t="str">
        <f>IF(E457&lt;&gt;"",G3copy!A457,"")</f>
        <v/>
      </c>
      <c r="G457" s="24" t="str">
        <f>IF(E457&lt;&gt;"",G3copy!F457,"")</f>
        <v/>
      </c>
    </row>
    <row r="458" spans="1:7" ht="15.75" customHeight="1">
      <c r="A458" s="23" t="str">
        <f t="shared" si="22"/>
        <v/>
      </c>
      <c r="B458" t="str">
        <f t="shared" si="23"/>
        <v/>
      </c>
      <c r="C458" s="23" t="str">
        <f t="shared" si="24"/>
        <v/>
      </c>
      <c r="E458" s="24" t="str">
        <f>IF(NOT(ISBLANK(G3copy!B458)),G3copy!B458,"")</f>
        <v/>
      </c>
      <c r="F458" s="24" t="str">
        <f>IF(E458&lt;&gt;"",G3copy!A458,"")</f>
        <v/>
      </c>
      <c r="G458" s="24" t="str">
        <f>IF(E458&lt;&gt;"",G3copy!F458,"")</f>
        <v/>
      </c>
    </row>
    <row r="459" spans="1:7" ht="15.75" customHeight="1">
      <c r="A459" s="23" t="str">
        <f t="shared" si="22"/>
        <v/>
      </c>
      <c r="B459" t="str">
        <f t="shared" si="23"/>
        <v/>
      </c>
      <c r="C459" s="23" t="str">
        <f t="shared" si="24"/>
        <v/>
      </c>
      <c r="E459" s="24" t="str">
        <f>IF(NOT(ISBLANK(G3copy!B459)),G3copy!B459,"")</f>
        <v/>
      </c>
      <c r="F459" s="24" t="str">
        <f>IF(E459&lt;&gt;"",G3copy!A459,"")</f>
        <v/>
      </c>
      <c r="G459" s="24" t="str">
        <f>IF(E459&lt;&gt;"",G3copy!F459,"")</f>
        <v/>
      </c>
    </row>
    <row r="460" spans="1:7" ht="15.75" customHeight="1">
      <c r="A460" s="23" t="str">
        <f t="shared" si="22"/>
        <v/>
      </c>
      <c r="B460" t="str">
        <f t="shared" si="23"/>
        <v/>
      </c>
      <c r="C460" s="23" t="str">
        <f t="shared" si="24"/>
        <v/>
      </c>
      <c r="E460" s="24" t="str">
        <f>IF(NOT(ISBLANK(G3copy!B460)),G3copy!B460,"")</f>
        <v/>
      </c>
      <c r="F460" s="24" t="str">
        <f>IF(E460&lt;&gt;"",G3copy!A460,"")</f>
        <v/>
      </c>
      <c r="G460" s="24" t="str">
        <f>IF(E460&lt;&gt;"",G3copy!F460,"")</f>
        <v/>
      </c>
    </row>
    <row r="461" spans="1:7" ht="15.75" customHeight="1">
      <c r="A461" s="23" t="str">
        <f t="shared" si="22"/>
        <v/>
      </c>
      <c r="B461" t="str">
        <f t="shared" si="23"/>
        <v/>
      </c>
      <c r="C461" s="23" t="str">
        <f t="shared" si="24"/>
        <v/>
      </c>
      <c r="E461" s="24" t="str">
        <f>IF(NOT(ISBLANK(G3copy!B461)),G3copy!B461,"")</f>
        <v/>
      </c>
      <c r="F461" s="24" t="str">
        <f>IF(E461&lt;&gt;"",G3copy!A461,"")</f>
        <v/>
      </c>
      <c r="G461" s="24" t="str">
        <f>IF(E461&lt;&gt;"",G3copy!F461,"")</f>
        <v/>
      </c>
    </row>
    <row r="462" spans="1:7" ht="15.75" customHeight="1">
      <c r="A462" s="23" t="str">
        <f t="shared" si="22"/>
        <v/>
      </c>
      <c r="B462" t="str">
        <f t="shared" si="23"/>
        <v/>
      </c>
      <c r="C462" s="23" t="str">
        <f t="shared" si="24"/>
        <v/>
      </c>
      <c r="E462" s="24" t="str">
        <f>IF(NOT(ISBLANK(G3copy!B462)),G3copy!B462,"")</f>
        <v/>
      </c>
      <c r="F462" s="24" t="str">
        <f>IF(E462&lt;&gt;"",G3copy!A462,"")</f>
        <v/>
      </c>
      <c r="G462" s="24" t="str">
        <f>IF(E462&lt;&gt;"",G3copy!F462,"")</f>
        <v/>
      </c>
    </row>
    <row r="463" spans="1:7" ht="15.75" customHeight="1">
      <c r="A463" s="23" t="str">
        <f t="shared" si="22"/>
        <v/>
      </c>
      <c r="B463" t="str">
        <f t="shared" si="23"/>
        <v/>
      </c>
      <c r="C463" s="23" t="str">
        <f t="shared" si="24"/>
        <v/>
      </c>
      <c r="E463" s="24" t="str">
        <f>IF(NOT(ISBLANK(G3copy!B463)),G3copy!B463,"")</f>
        <v/>
      </c>
      <c r="F463" s="24" t="str">
        <f>IF(E463&lt;&gt;"",G3copy!A463,"")</f>
        <v/>
      </c>
      <c r="G463" s="24" t="str">
        <f>IF(E463&lt;&gt;"",G3copy!F463,"")</f>
        <v/>
      </c>
    </row>
    <row r="464" spans="1:7" ht="15.75" customHeight="1">
      <c r="A464" s="23" t="str">
        <f t="shared" si="22"/>
        <v/>
      </c>
      <c r="B464" t="str">
        <f t="shared" si="23"/>
        <v/>
      </c>
      <c r="C464" s="23" t="str">
        <f t="shared" si="24"/>
        <v/>
      </c>
      <c r="E464" s="24" t="str">
        <f>IF(NOT(ISBLANK(G3copy!B464)),G3copy!B464,"")</f>
        <v/>
      </c>
      <c r="F464" s="24" t="str">
        <f>IF(E464&lt;&gt;"",G3copy!A464,"")</f>
        <v/>
      </c>
      <c r="G464" s="24" t="str">
        <f>IF(E464&lt;&gt;"",G3copy!F464,"")</f>
        <v/>
      </c>
    </row>
    <row r="465" spans="1:7" ht="15.75" customHeight="1">
      <c r="A465" s="23" t="str">
        <f t="shared" si="22"/>
        <v/>
      </c>
      <c r="B465" t="str">
        <f t="shared" si="23"/>
        <v/>
      </c>
      <c r="C465" s="23" t="str">
        <f t="shared" si="24"/>
        <v/>
      </c>
      <c r="E465" s="24" t="str">
        <f>IF(NOT(ISBLANK(G3copy!B465)),G3copy!B465,"")</f>
        <v/>
      </c>
      <c r="F465" s="24" t="str">
        <f>IF(E465&lt;&gt;"",G3copy!A465,"")</f>
        <v/>
      </c>
      <c r="G465" s="24" t="str">
        <f>IF(E465&lt;&gt;"",G3copy!F465,"")</f>
        <v/>
      </c>
    </row>
    <row r="466" spans="1:7" ht="15.75" customHeight="1">
      <c r="A466" s="23" t="str">
        <f t="shared" si="22"/>
        <v/>
      </c>
      <c r="B466" t="str">
        <f t="shared" si="23"/>
        <v/>
      </c>
      <c r="C466" s="23" t="str">
        <f t="shared" si="24"/>
        <v/>
      </c>
      <c r="E466" s="24" t="str">
        <f>IF(NOT(ISBLANK(G3copy!B466)),G3copy!B466,"")</f>
        <v/>
      </c>
      <c r="F466" s="24" t="str">
        <f>IF(E466&lt;&gt;"",G3copy!A466,"")</f>
        <v/>
      </c>
      <c r="G466" s="24" t="str">
        <f>IF(E466&lt;&gt;"",G3copy!F466,"")</f>
        <v/>
      </c>
    </row>
    <row r="467" spans="1:7" ht="15.75" customHeight="1">
      <c r="A467" s="23" t="str">
        <f t="shared" si="22"/>
        <v/>
      </c>
      <c r="B467" t="str">
        <f t="shared" si="23"/>
        <v/>
      </c>
      <c r="C467" s="23" t="str">
        <f t="shared" si="24"/>
        <v/>
      </c>
      <c r="E467" s="24" t="str">
        <f>IF(NOT(ISBLANK(G3copy!B467)),G3copy!B467,"")</f>
        <v/>
      </c>
      <c r="F467" s="24" t="str">
        <f>IF(E467&lt;&gt;"",G3copy!A467,"")</f>
        <v/>
      </c>
      <c r="G467" s="24" t="str">
        <f>IF(E467&lt;&gt;"",G3copy!F467,"")</f>
        <v/>
      </c>
    </row>
    <row r="468" spans="1:7" ht="15.75" customHeight="1">
      <c r="A468" s="23" t="str">
        <f t="shared" si="22"/>
        <v/>
      </c>
      <c r="B468" t="str">
        <f t="shared" si="23"/>
        <v/>
      </c>
      <c r="C468" s="23" t="str">
        <f t="shared" si="24"/>
        <v/>
      </c>
      <c r="E468" s="24" t="str">
        <f>IF(NOT(ISBLANK(G3copy!B468)),G3copy!B468,"")</f>
        <v/>
      </c>
      <c r="F468" s="24" t="str">
        <f>IF(E468&lt;&gt;"",G3copy!A468,"")</f>
        <v/>
      </c>
      <c r="G468" s="24" t="str">
        <f>IF(E468&lt;&gt;"",G3copy!F468,"")</f>
        <v/>
      </c>
    </row>
    <row r="469" spans="1:7" ht="15.75" customHeight="1">
      <c r="A469" s="23" t="str">
        <f t="shared" si="22"/>
        <v/>
      </c>
      <c r="B469" t="str">
        <f t="shared" si="23"/>
        <v/>
      </c>
      <c r="C469" s="23" t="str">
        <f t="shared" si="24"/>
        <v/>
      </c>
      <c r="E469" s="24" t="str">
        <f>IF(NOT(ISBLANK(G3copy!B469)),G3copy!B469,"")</f>
        <v/>
      </c>
      <c r="F469" s="24" t="str">
        <f>IF(E469&lt;&gt;"",G3copy!A469,"")</f>
        <v/>
      </c>
      <c r="G469" s="24" t="str">
        <f>IF(E469&lt;&gt;"",G3copy!F469,"")</f>
        <v/>
      </c>
    </row>
    <row r="470" spans="1:7" ht="15.75" customHeight="1">
      <c r="A470" s="23" t="str">
        <f t="shared" si="22"/>
        <v/>
      </c>
      <c r="B470" t="str">
        <f t="shared" si="23"/>
        <v/>
      </c>
      <c r="C470" s="23" t="str">
        <f t="shared" si="24"/>
        <v/>
      </c>
      <c r="E470" s="24" t="str">
        <f>IF(NOT(ISBLANK(G3copy!B470)),G3copy!B470,"")</f>
        <v/>
      </c>
      <c r="F470" s="24" t="str">
        <f>IF(E470&lt;&gt;"",G3copy!A470,"")</f>
        <v/>
      </c>
      <c r="G470" s="24" t="str">
        <f>IF(E470&lt;&gt;"",G3copy!F470,"")</f>
        <v/>
      </c>
    </row>
    <row r="471" spans="1:7" ht="15.75" customHeight="1">
      <c r="A471" s="23" t="str">
        <f t="shared" si="22"/>
        <v/>
      </c>
      <c r="B471" t="str">
        <f t="shared" si="23"/>
        <v/>
      </c>
      <c r="C471" s="23" t="str">
        <f t="shared" si="24"/>
        <v/>
      </c>
      <c r="E471" s="24" t="str">
        <f>IF(NOT(ISBLANK(G3copy!B471)),G3copy!B471,"")</f>
        <v/>
      </c>
      <c r="F471" s="24" t="str">
        <f>IF(E471&lt;&gt;"",G3copy!A471,"")</f>
        <v/>
      </c>
      <c r="G471" s="24" t="str">
        <f>IF(E471&lt;&gt;"",G3copy!F471,"")</f>
        <v/>
      </c>
    </row>
    <row r="472" spans="1:7" ht="15.75" customHeight="1">
      <c r="A472" s="23" t="str">
        <f t="shared" si="22"/>
        <v/>
      </c>
      <c r="B472" t="str">
        <f t="shared" si="23"/>
        <v/>
      </c>
      <c r="C472" s="23" t="str">
        <f t="shared" si="24"/>
        <v/>
      </c>
      <c r="E472" s="24" t="str">
        <f>IF(NOT(ISBLANK(G3copy!B472)),G3copy!B472,"")</f>
        <v/>
      </c>
      <c r="F472" s="24" t="str">
        <f>IF(E472&lt;&gt;"",G3copy!A472,"")</f>
        <v/>
      </c>
      <c r="G472" s="24" t="str">
        <f>IF(E472&lt;&gt;"",G3copy!F472,"")</f>
        <v/>
      </c>
    </row>
    <row r="473" spans="1:7" ht="15.75" customHeight="1">
      <c r="A473" s="23" t="str">
        <f t="shared" si="22"/>
        <v/>
      </c>
      <c r="B473" t="str">
        <f t="shared" si="23"/>
        <v/>
      </c>
      <c r="C473" s="23" t="str">
        <f t="shared" si="24"/>
        <v/>
      </c>
      <c r="E473" s="24" t="str">
        <f>IF(NOT(ISBLANK(G3copy!B473)),G3copy!B473,"")</f>
        <v/>
      </c>
      <c r="F473" s="24" t="str">
        <f>IF(E473&lt;&gt;"",G3copy!A473,"")</f>
        <v/>
      </c>
      <c r="G473" s="24" t="str">
        <f>IF(E473&lt;&gt;"",G3copy!F473,"")</f>
        <v/>
      </c>
    </row>
    <row r="474" spans="1:7" ht="15.75" customHeight="1">
      <c r="A474" s="23" t="str">
        <f t="shared" si="22"/>
        <v/>
      </c>
      <c r="B474" t="str">
        <f t="shared" si="23"/>
        <v/>
      </c>
      <c r="C474" s="23" t="str">
        <f t="shared" si="24"/>
        <v/>
      </c>
      <c r="E474" s="24" t="str">
        <f>IF(NOT(ISBLANK(G3copy!B474)),G3copy!B474,"")</f>
        <v/>
      </c>
      <c r="F474" s="24" t="str">
        <f>IF(E474&lt;&gt;"",G3copy!A474,"")</f>
        <v/>
      </c>
      <c r="G474" s="24" t="str">
        <f>IF(E474&lt;&gt;"",G3copy!F474,"")</f>
        <v/>
      </c>
    </row>
    <row r="475" spans="1:7" ht="15.75" customHeight="1">
      <c r="A475" s="23" t="str">
        <f t="shared" si="22"/>
        <v/>
      </c>
      <c r="B475" t="str">
        <f t="shared" si="23"/>
        <v/>
      </c>
      <c r="C475" s="23" t="str">
        <f t="shared" si="24"/>
        <v/>
      </c>
      <c r="E475" s="24" t="str">
        <f>IF(NOT(ISBLANK(G3copy!B475)),G3copy!B475,"")</f>
        <v/>
      </c>
      <c r="F475" s="24" t="str">
        <f>IF(E475&lt;&gt;"",G3copy!A475,"")</f>
        <v/>
      </c>
      <c r="G475" s="24" t="str">
        <f>IF(E475&lt;&gt;"",G3copy!F475,"")</f>
        <v/>
      </c>
    </row>
    <row r="476" spans="1:7" ht="15.75" customHeight="1">
      <c r="A476" s="23" t="str">
        <f t="shared" si="22"/>
        <v/>
      </c>
      <c r="B476" t="str">
        <f t="shared" si="23"/>
        <v/>
      </c>
      <c r="C476" s="23" t="str">
        <f t="shared" si="24"/>
        <v/>
      </c>
      <c r="E476" s="24" t="str">
        <f>IF(NOT(ISBLANK(G3copy!B476)),G3copy!B476,"")</f>
        <v/>
      </c>
      <c r="F476" s="24" t="str">
        <f>IF(E476&lt;&gt;"",G3copy!A476,"")</f>
        <v/>
      </c>
      <c r="G476" s="24" t="str">
        <f>IF(E476&lt;&gt;"",G3copy!F476,"")</f>
        <v/>
      </c>
    </row>
    <row r="477" spans="1:7" ht="15.75" customHeight="1">
      <c r="A477" s="23" t="str">
        <f t="shared" si="22"/>
        <v/>
      </c>
      <c r="B477" t="str">
        <f t="shared" si="23"/>
        <v/>
      </c>
      <c r="C477" s="23" t="str">
        <f t="shared" si="24"/>
        <v/>
      </c>
      <c r="E477" s="24" t="str">
        <f>IF(NOT(ISBLANK(G3copy!B477)),G3copy!B477,"")</f>
        <v/>
      </c>
      <c r="F477" s="24" t="str">
        <f>IF(E477&lt;&gt;"",G3copy!A477,"")</f>
        <v/>
      </c>
      <c r="G477" s="24" t="str">
        <f>IF(E477&lt;&gt;"",G3copy!F477,"")</f>
        <v/>
      </c>
    </row>
    <row r="478" spans="1:7" ht="15.75" customHeight="1">
      <c r="A478" s="23" t="str">
        <f t="shared" si="22"/>
        <v/>
      </c>
      <c r="B478" t="str">
        <f t="shared" si="23"/>
        <v/>
      </c>
      <c r="C478" s="23" t="str">
        <f t="shared" si="24"/>
        <v/>
      </c>
      <c r="E478" s="24" t="str">
        <f>IF(NOT(ISBLANK(G3copy!B478)),G3copy!B478,"")</f>
        <v/>
      </c>
      <c r="F478" s="24" t="str">
        <f>IF(E478&lt;&gt;"",G3copy!A478,"")</f>
        <v/>
      </c>
      <c r="G478" s="24" t="str">
        <f>IF(E478&lt;&gt;"",G3copy!F478,"")</f>
        <v/>
      </c>
    </row>
    <row r="479" spans="1:7" ht="15.75" customHeight="1">
      <c r="A479" s="23" t="str">
        <f t="shared" si="22"/>
        <v/>
      </c>
      <c r="B479" t="str">
        <f t="shared" si="23"/>
        <v/>
      </c>
      <c r="C479" s="23" t="str">
        <f t="shared" si="24"/>
        <v/>
      </c>
      <c r="E479" s="24" t="str">
        <f>IF(NOT(ISBLANK(G3copy!B479)),G3copy!B479,"")</f>
        <v/>
      </c>
      <c r="F479" s="24" t="str">
        <f>IF(E479&lt;&gt;"",G3copy!A479,"")</f>
        <v/>
      </c>
      <c r="G479" s="24" t="str">
        <f>IF(E479&lt;&gt;"",G3copy!F479,"")</f>
        <v/>
      </c>
    </row>
    <row r="480" spans="1:7" ht="15.75" customHeight="1">
      <c r="A480" s="23" t="str">
        <f t="shared" si="22"/>
        <v/>
      </c>
      <c r="B480" t="str">
        <f t="shared" si="23"/>
        <v/>
      </c>
      <c r="C480" s="23" t="str">
        <f t="shared" si="24"/>
        <v/>
      </c>
      <c r="E480" s="24" t="str">
        <f>IF(NOT(ISBLANK(G3copy!B480)),G3copy!B480,"")</f>
        <v/>
      </c>
      <c r="F480" s="24" t="str">
        <f>IF(E480&lt;&gt;"",G3copy!A480,"")</f>
        <v/>
      </c>
      <c r="G480" s="24" t="str">
        <f>IF(E480&lt;&gt;"",G3copy!F480,"")</f>
        <v/>
      </c>
    </row>
    <row r="481" spans="1:7" ht="15.75" customHeight="1">
      <c r="A481" s="23" t="str">
        <f t="shared" si="22"/>
        <v/>
      </c>
      <c r="B481" t="str">
        <f t="shared" si="23"/>
        <v/>
      </c>
      <c r="C481" s="23" t="str">
        <f t="shared" si="24"/>
        <v/>
      </c>
      <c r="E481" s="24" t="str">
        <f>IF(NOT(ISBLANK(G3copy!B481)),G3copy!B481,"")</f>
        <v/>
      </c>
      <c r="F481" s="24" t="str">
        <f>IF(E481&lt;&gt;"",G3copy!A481,"")</f>
        <v/>
      </c>
      <c r="G481" s="24" t="str">
        <f>IF(E481&lt;&gt;"",G3copy!F481,"")</f>
        <v/>
      </c>
    </row>
    <row r="482" spans="1:7" ht="15.75" customHeight="1">
      <c r="A482" s="23" t="str">
        <f t="shared" si="22"/>
        <v/>
      </c>
      <c r="B482" t="str">
        <f t="shared" si="23"/>
        <v/>
      </c>
      <c r="C482" s="23" t="str">
        <f t="shared" si="24"/>
        <v/>
      </c>
      <c r="E482" s="24" t="str">
        <f>IF(NOT(ISBLANK(G3copy!B482)),G3copy!B482,"")</f>
        <v/>
      </c>
      <c r="F482" s="24" t="str">
        <f>IF(E482&lt;&gt;"",G3copy!A482,"")</f>
        <v/>
      </c>
      <c r="G482" s="24" t="str">
        <f>IF(E482&lt;&gt;"",G3copy!F482,"")</f>
        <v/>
      </c>
    </row>
    <row r="483" spans="1:7" ht="15.75" customHeight="1">
      <c r="A483" s="23" t="str">
        <f t="shared" si="22"/>
        <v/>
      </c>
      <c r="B483" t="str">
        <f t="shared" si="23"/>
        <v/>
      </c>
      <c r="C483" s="23" t="str">
        <f t="shared" si="24"/>
        <v/>
      </c>
      <c r="E483" s="24" t="str">
        <f>IF(NOT(ISBLANK(G3copy!B483)),G3copy!B483,"")</f>
        <v/>
      </c>
      <c r="F483" s="24" t="str">
        <f>IF(E483&lt;&gt;"",G3copy!A483,"")</f>
        <v/>
      </c>
      <c r="G483" s="24" t="str">
        <f>IF(E483&lt;&gt;"",G3copy!F483,"")</f>
        <v/>
      </c>
    </row>
    <row r="484" spans="1:7" ht="15.75" customHeight="1">
      <c r="A484" s="23" t="str">
        <f t="shared" si="22"/>
        <v/>
      </c>
      <c r="B484" t="str">
        <f t="shared" si="23"/>
        <v/>
      </c>
      <c r="C484" s="23" t="str">
        <f t="shared" si="24"/>
        <v/>
      </c>
      <c r="E484" s="24" t="str">
        <f>IF(NOT(ISBLANK(G3copy!B484)),G3copy!B484,"")</f>
        <v/>
      </c>
      <c r="F484" s="24" t="str">
        <f>IF(E484&lt;&gt;"",G3copy!A484,"")</f>
        <v/>
      </c>
      <c r="G484" s="24" t="str">
        <f>IF(E484&lt;&gt;"",G3copy!F484,"")</f>
        <v/>
      </c>
    </row>
    <row r="485" spans="1:7" ht="15.75" customHeight="1">
      <c r="A485" s="23" t="str">
        <f t="shared" si="22"/>
        <v/>
      </c>
      <c r="B485" t="str">
        <f t="shared" si="23"/>
        <v/>
      </c>
      <c r="C485" s="23" t="str">
        <f t="shared" si="24"/>
        <v/>
      </c>
      <c r="E485" s="24" t="str">
        <f>IF(NOT(ISBLANK(G3copy!B485)),G3copy!B485,"")</f>
        <v/>
      </c>
      <c r="F485" s="24" t="str">
        <f>IF(E485&lt;&gt;"",G3copy!A485,"")</f>
        <v/>
      </c>
      <c r="G485" s="24" t="str">
        <f>IF(E485&lt;&gt;"",G3copy!F485,"")</f>
        <v/>
      </c>
    </row>
    <row r="486" spans="1:7" ht="15.75" customHeight="1">
      <c r="A486" s="23" t="str">
        <f t="shared" si="22"/>
        <v/>
      </c>
      <c r="B486" t="str">
        <f t="shared" si="23"/>
        <v/>
      </c>
      <c r="C486" s="23" t="str">
        <f t="shared" si="24"/>
        <v/>
      </c>
      <c r="E486" s="24" t="str">
        <f>IF(NOT(ISBLANK(G3copy!B486)),G3copy!B486,"")</f>
        <v/>
      </c>
      <c r="F486" s="24" t="str">
        <f>IF(E486&lt;&gt;"",G3copy!A486,"")</f>
        <v/>
      </c>
      <c r="G486" s="24" t="str">
        <f>IF(E486&lt;&gt;"",G3copy!F486,"")</f>
        <v/>
      </c>
    </row>
    <row r="487" spans="1:7" ht="15.75" customHeight="1">
      <c r="A487" s="23" t="str">
        <f t="shared" si="22"/>
        <v/>
      </c>
      <c r="B487" t="str">
        <f t="shared" si="23"/>
        <v/>
      </c>
      <c r="C487" s="23" t="str">
        <f t="shared" si="24"/>
        <v/>
      </c>
      <c r="E487" s="24" t="str">
        <f>IF(NOT(ISBLANK(G3copy!B487)),G3copy!B487,"")</f>
        <v/>
      </c>
      <c r="F487" s="24" t="str">
        <f>IF(E487&lt;&gt;"",G3copy!A487,"")</f>
        <v/>
      </c>
      <c r="G487" s="24" t="str">
        <f>IF(E487&lt;&gt;"",G3copy!F487,"")</f>
        <v/>
      </c>
    </row>
    <row r="488" spans="1:7" ht="15.75" customHeight="1">
      <c r="A488" s="23" t="str">
        <f t="shared" si="22"/>
        <v/>
      </c>
      <c r="B488" t="str">
        <f t="shared" si="23"/>
        <v/>
      </c>
      <c r="C488" s="23" t="str">
        <f t="shared" si="24"/>
        <v/>
      </c>
      <c r="E488" s="24" t="str">
        <f>IF(NOT(ISBLANK(G3copy!B488)),G3copy!B488,"")</f>
        <v/>
      </c>
      <c r="F488" s="24" t="str">
        <f>IF(E488&lt;&gt;"",G3copy!A488,"")</f>
        <v/>
      </c>
      <c r="G488" s="24" t="str">
        <f>IF(E488&lt;&gt;"",G3copy!F488,"")</f>
        <v/>
      </c>
    </row>
    <row r="489" spans="1:7" ht="15.75" customHeight="1">
      <c r="A489" s="23" t="str">
        <f t="shared" si="22"/>
        <v/>
      </c>
      <c r="B489" t="str">
        <f t="shared" si="23"/>
        <v/>
      </c>
      <c r="C489" s="23" t="str">
        <f t="shared" si="24"/>
        <v/>
      </c>
      <c r="E489" s="24" t="str">
        <f>IF(NOT(ISBLANK(G3copy!B489)),G3copy!B489,"")</f>
        <v/>
      </c>
      <c r="F489" s="24" t="str">
        <f>IF(E489&lt;&gt;"",G3copy!A489,"")</f>
        <v/>
      </c>
      <c r="G489" s="24" t="str">
        <f>IF(E489&lt;&gt;"",G3copy!F489,"")</f>
        <v/>
      </c>
    </row>
    <row r="490" spans="1:7" ht="15.75" customHeight="1">
      <c r="A490" s="23" t="str">
        <f t="shared" si="22"/>
        <v/>
      </c>
      <c r="B490" t="str">
        <f t="shared" si="23"/>
        <v/>
      </c>
      <c r="C490" s="23" t="str">
        <f t="shared" si="24"/>
        <v/>
      </c>
      <c r="E490" s="24" t="str">
        <f>IF(NOT(ISBLANK(G3copy!B490)),G3copy!B490,"")</f>
        <v/>
      </c>
      <c r="F490" s="24" t="str">
        <f>IF(E490&lt;&gt;"",G3copy!A490,"")</f>
        <v/>
      </c>
      <c r="G490" s="24" t="str">
        <f>IF(E490&lt;&gt;"",G3copy!F490,"")</f>
        <v/>
      </c>
    </row>
    <row r="491" spans="1:7" ht="15.75" customHeight="1">
      <c r="A491" s="23" t="str">
        <f t="shared" si="22"/>
        <v/>
      </c>
      <c r="B491" t="str">
        <f t="shared" si="23"/>
        <v/>
      </c>
      <c r="C491" s="23" t="str">
        <f t="shared" si="24"/>
        <v/>
      </c>
      <c r="E491" s="24" t="str">
        <f>IF(NOT(ISBLANK(G3copy!B491)),G3copy!B491,"")</f>
        <v/>
      </c>
      <c r="F491" s="24" t="str">
        <f>IF(E491&lt;&gt;"",G3copy!A491,"")</f>
        <v/>
      </c>
      <c r="G491" s="24" t="str">
        <f>IF(E491&lt;&gt;"",G3copy!F491,"")</f>
        <v/>
      </c>
    </row>
    <row r="492" spans="1:7" ht="15.75" customHeight="1">
      <c r="A492" s="23" t="str">
        <f t="shared" si="22"/>
        <v/>
      </c>
      <c r="B492" t="str">
        <f t="shared" si="23"/>
        <v/>
      </c>
      <c r="C492" s="23" t="str">
        <f t="shared" si="24"/>
        <v/>
      </c>
      <c r="E492" s="24" t="str">
        <f>IF(NOT(ISBLANK(G3copy!B492)),G3copy!B492,"")</f>
        <v/>
      </c>
      <c r="F492" s="24" t="str">
        <f>IF(E492&lt;&gt;"",G3copy!A492,"")</f>
        <v/>
      </c>
      <c r="G492" s="24" t="str">
        <f>IF(E492&lt;&gt;"",G3copy!F492,"")</f>
        <v/>
      </c>
    </row>
    <row r="493" spans="1:7" ht="15.75" customHeight="1">
      <c r="A493" s="23" t="str">
        <f t="shared" si="22"/>
        <v/>
      </c>
      <c r="B493" t="str">
        <f t="shared" si="23"/>
        <v/>
      </c>
      <c r="C493" s="23" t="str">
        <f t="shared" si="24"/>
        <v/>
      </c>
      <c r="E493" s="24" t="str">
        <f>IF(NOT(ISBLANK(G3copy!B493)),G3copy!B493,"")</f>
        <v/>
      </c>
      <c r="F493" s="24" t="str">
        <f>IF(E493&lt;&gt;"",G3copy!A493,"")</f>
        <v/>
      </c>
      <c r="G493" s="24" t="str">
        <f>IF(E493&lt;&gt;"",G3copy!F493,"")</f>
        <v/>
      </c>
    </row>
    <row r="494" spans="1:7" ht="15.75" customHeight="1">
      <c r="A494" s="23" t="str">
        <f t="shared" si="22"/>
        <v/>
      </c>
      <c r="B494" t="str">
        <f t="shared" si="23"/>
        <v/>
      </c>
      <c r="C494" s="23" t="str">
        <f t="shared" si="24"/>
        <v/>
      </c>
      <c r="E494" s="24" t="str">
        <f>IF(NOT(ISBLANK(G3copy!B494)),G3copy!B494,"")</f>
        <v/>
      </c>
      <c r="F494" s="24" t="str">
        <f>IF(E494&lt;&gt;"",G3copy!A494,"")</f>
        <v/>
      </c>
      <c r="G494" s="24" t="str">
        <f>IF(E494&lt;&gt;"",G3copy!F494,"")</f>
        <v/>
      </c>
    </row>
    <row r="495" spans="1:7" ht="15.75" customHeight="1">
      <c r="A495" s="23" t="str">
        <f t="shared" si="22"/>
        <v/>
      </c>
      <c r="B495" t="str">
        <f t="shared" si="23"/>
        <v/>
      </c>
      <c r="C495" s="23" t="str">
        <f t="shared" si="24"/>
        <v/>
      </c>
      <c r="E495" s="24" t="str">
        <f>IF(NOT(ISBLANK(G3copy!B495)),G3copy!B495,"")</f>
        <v/>
      </c>
      <c r="F495" s="24" t="str">
        <f>IF(E495&lt;&gt;"",G3copy!A495,"")</f>
        <v/>
      </c>
      <c r="G495" s="24" t="str">
        <f>IF(E495&lt;&gt;"",G3copy!F495,"")</f>
        <v/>
      </c>
    </row>
    <row r="496" spans="1:7" ht="15.75" customHeight="1">
      <c r="A496" s="23" t="str">
        <f t="shared" si="22"/>
        <v/>
      </c>
      <c r="B496" t="str">
        <f t="shared" si="23"/>
        <v/>
      </c>
      <c r="C496" s="23" t="str">
        <f t="shared" si="24"/>
        <v/>
      </c>
      <c r="E496" s="24" t="str">
        <f>IF(NOT(ISBLANK(G3copy!B496)),G3copy!B496,"")</f>
        <v/>
      </c>
      <c r="F496" s="24" t="str">
        <f>IF(E496&lt;&gt;"",G3copy!A496,"")</f>
        <v/>
      </c>
      <c r="G496" s="24" t="str">
        <f>IF(E496&lt;&gt;"",G3copy!F496,"")</f>
        <v/>
      </c>
    </row>
    <row r="497" spans="1:7" ht="15.75" customHeight="1">
      <c r="A497" s="23" t="str">
        <f t="shared" si="22"/>
        <v/>
      </c>
      <c r="B497" t="str">
        <f t="shared" si="23"/>
        <v/>
      </c>
      <c r="C497" s="23" t="str">
        <f t="shared" si="24"/>
        <v/>
      </c>
      <c r="E497" s="24" t="str">
        <f>IF(NOT(ISBLANK(G3copy!B497)),G3copy!B497,"")</f>
        <v/>
      </c>
      <c r="F497" s="24" t="str">
        <f>IF(E497&lt;&gt;"",G3copy!A497,"")</f>
        <v/>
      </c>
      <c r="G497" s="24" t="str">
        <f>IF(E497&lt;&gt;"",G3copy!F497,"")</f>
        <v/>
      </c>
    </row>
    <row r="498" spans="1:7" ht="15.75" customHeight="1">
      <c r="A498" s="23" t="str">
        <f t="shared" si="22"/>
        <v/>
      </c>
      <c r="B498" t="str">
        <f t="shared" si="23"/>
        <v/>
      </c>
      <c r="C498" s="23" t="str">
        <f t="shared" si="24"/>
        <v/>
      </c>
      <c r="E498" s="24" t="str">
        <f>IF(NOT(ISBLANK(G3copy!B498)),G3copy!B498,"")</f>
        <v/>
      </c>
      <c r="F498" s="24" t="str">
        <f>IF(E498&lt;&gt;"",G3copy!A498,"")</f>
        <v/>
      </c>
      <c r="G498" s="24" t="str">
        <f>IF(E498&lt;&gt;"",G3copy!F498,"")</f>
        <v/>
      </c>
    </row>
    <row r="499" spans="1:7" ht="15.75" customHeight="1">
      <c r="A499" s="23" t="str">
        <f t="shared" si="22"/>
        <v/>
      </c>
      <c r="B499" t="str">
        <f t="shared" si="23"/>
        <v/>
      </c>
      <c r="C499" s="23" t="str">
        <f t="shared" si="24"/>
        <v/>
      </c>
      <c r="E499" s="24" t="str">
        <f>IF(NOT(ISBLANK(G3copy!B499)),G3copy!B499,"")</f>
        <v/>
      </c>
      <c r="F499" s="24" t="str">
        <f>IF(E499&lt;&gt;"",G3copy!A499,"")</f>
        <v/>
      </c>
      <c r="G499" s="24" t="str">
        <f>IF(E499&lt;&gt;"",G3copy!F499,"")</f>
        <v/>
      </c>
    </row>
    <row r="500" spans="1:7" ht="15.75" customHeight="1">
      <c r="A500" s="23" t="str">
        <f t="shared" si="22"/>
        <v/>
      </c>
      <c r="B500" t="str">
        <f t="shared" si="23"/>
        <v/>
      </c>
      <c r="C500" s="23" t="str">
        <f t="shared" si="24"/>
        <v/>
      </c>
      <c r="E500" s="24" t="str">
        <f>IF(NOT(ISBLANK(G3copy!B500)),G3copy!B500,"")</f>
        <v/>
      </c>
      <c r="F500" s="24" t="str">
        <f>IF(E500&lt;&gt;"",G3copy!A500,"")</f>
        <v/>
      </c>
      <c r="G500" s="24" t="str">
        <f>IF(E500&lt;&gt;"",G3copy!F500,"")</f>
        <v/>
      </c>
    </row>
    <row r="501" spans="1:7" ht="15.75" customHeight="1"/>
    <row r="502" spans="1:7" ht="15.75" customHeight="1"/>
    <row r="503" spans="1:7" ht="15.75" customHeight="1"/>
    <row r="504" spans="1:7" ht="15.75" customHeight="1"/>
    <row r="505" spans="1:7" ht="15.75" customHeight="1"/>
    <row r="506" spans="1:7" ht="15.75" customHeight="1"/>
    <row r="507" spans="1:7" ht="15.75" customHeight="1"/>
    <row r="508" spans="1:7" ht="15.75" customHeight="1"/>
    <row r="509" spans="1:7" ht="15.75" customHeight="1"/>
    <row r="510" spans="1:7" ht="15.75" customHeight="1"/>
    <row r="511" spans="1:7" ht="15.75" customHeight="1"/>
    <row r="512" spans="1:7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1000"/>
  <sheetViews>
    <sheetView workbookViewId="0">
      <pane ySplit="1" topLeftCell="A2" activePane="bottomLeft" state="frozen"/>
      <selection pane="bottomLeft" activeCell="A2" sqref="A2"/>
      <selection activeCell="E2" sqref="E2"/>
    </sheetView>
  </sheetViews>
  <sheetFormatPr defaultColWidth="13.5" defaultRowHeight="15" customHeight="1"/>
  <cols>
    <col min="1" max="1" width="10.5" bestFit="1" customWidth="1"/>
    <col min="2" max="2" width="29.5" bestFit="1" customWidth="1"/>
    <col min="3" max="3" width="10.5" bestFit="1" customWidth="1"/>
    <col min="4" max="4" width="8.375" customWidth="1"/>
    <col min="5" max="5" width="10.5" bestFit="1" customWidth="1"/>
    <col min="6" max="6" width="32.5" bestFit="1" customWidth="1"/>
    <col min="7" max="7" width="10.5" bestFit="1" customWidth="1"/>
    <col min="8" max="26" width="8.375" customWidth="1"/>
  </cols>
  <sheetData>
    <row r="1" spans="1:7" ht="15.75" customHeight="1">
      <c r="A1" t="s">
        <v>124</v>
      </c>
      <c r="B1" t="s">
        <v>125</v>
      </c>
      <c r="C1" t="s">
        <v>126</v>
      </c>
      <c r="E1" s="5" t="s">
        <v>127</v>
      </c>
      <c r="F1" s="5" t="s">
        <v>128</v>
      </c>
      <c r="G1" s="5" t="s">
        <v>129</v>
      </c>
    </row>
    <row r="2" spans="1:7" ht="15.75" customHeight="1">
      <c r="A2" s="23">
        <f>IF(E2&lt;&gt;"",DATEVALUE(LEFT(E2,10)),"")</f>
        <v>45938</v>
      </c>
      <c r="B2" t="str">
        <f t="shared" ref="B2" si="0">IF(LEN(F2)&gt;3,RIGHT(F2,LEN(F2)-3),"")</f>
        <v>KUBVexcursie</v>
      </c>
      <c r="C2" s="23">
        <f>IF(E2&lt;&gt;"",DATEVALUE(LEFT(G2,10)),"")</f>
        <v>45896</v>
      </c>
      <c r="E2" s="24" t="str">
        <f>IF(NOT(ISBLANK(G4copy!B2)),G4copy!B2,"")</f>
        <v>2025-10-08T00:00:00.0000000</v>
      </c>
      <c r="F2" s="24" t="str">
        <f>IF(E2&lt;&gt;"",G4copy!A2,"")</f>
        <v>G4 KUBVexcursie</v>
      </c>
      <c r="G2" s="24" t="str">
        <f>IF(E2&lt;&gt;"",G4copy!F2,"")</f>
        <v>2025-08-27T18:07:34.3004354+00:00</v>
      </c>
    </row>
    <row r="3" spans="1:7" ht="15.75" customHeight="1">
      <c r="A3" s="23">
        <f t="shared" ref="A3:A66" si="1">IF(E3&lt;&gt;"",DATEVALUE(LEFT(E3,10)),"")</f>
        <v>45939</v>
      </c>
      <c r="B3" t="str">
        <f t="shared" ref="B3:B66" si="2">IF(LEN(F3)&gt;3,RIGHT(F3,LEN(F3)-3),"")</f>
        <v>HPG</v>
      </c>
      <c r="C3" s="23">
        <f t="shared" ref="C3:C66" si="3">IF(E3&lt;&gt;"",DATEVALUE(LEFT(G3,10)),"")</f>
        <v>45896</v>
      </c>
      <c r="E3" s="24" t="str">
        <f>IF(NOT(ISBLANK(G4copy!B3)),G4copy!B3,"")</f>
        <v>2025-10-09T00:00:00.0000000</v>
      </c>
      <c r="F3" s="24" t="str">
        <f>IF(E3&lt;&gt;"",G4copy!A3,"")</f>
        <v>G4 HPG</v>
      </c>
      <c r="G3" s="24" t="str">
        <f>IF(E3&lt;&gt;"",G4copy!F3,"")</f>
        <v>2025-08-27T18:07:34.1443108+00:00</v>
      </c>
    </row>
    <row r="4" spans="1:7" ht="15.75" customHeight="1">
      <c r="A4" s="23">
        <f t="shared" si="1"/>
        <v>45940</v>
      </c>
      <c r="B4" t="str">
        <f t="shared" si="2"/>
        <v>Rep WIABC</v>
      </c>
      <c r="C4" s="23">
        <f t="shared" si="3"/>
        <v>45896</v>
      </c>
      <c r="E4" s="24" t="str">
        <f>IF(NOT(ISBLANK(G4copy!B4)),G4copy!B4,"")</f>
        <v>2025-10-10T00:00:00.0000000</v>
      </c>
      <c r="F4" s="24" t="str">
        <f>IF(E4&lt;&gt;"",G4copy!A4,"")</f>
        <v>G4 Rep WIABC</v>
      </c>
      <c r="G4" s="24" t="str">
        <f>IF(E4&lt;&gt;"",G4copy!F4,"")</f>
        <v>2025-08-27T18:07:33.8035477+00:00</v>
      </c>
    </row>
    <row r="5" spans="1:7" ht="15.75" customHeight="1">
      <c r="A5" s="23">
        <f t="shared" si="1"/>
        <v>45944</v>
      </c>
      <c r="B5" t="str">
        <f t="shared" si="2"/>
        <v>Rep EC</v>
      </c>
      <c r="C5" s="23">
        <f t="shared" si="3"/>
        <v>45896</v>
      </c>
      <c r="E5" s="24" t="str">
        <f>IF(NOT(ISBLANK(G4copy!B5)),G4copy!B5,"")</f>
        <v>2025-10-14T00:00:00.0000000</v>
      </c>
      <c r="F5" s="24" t="str">
        <f>IF(E5&lt;&gt;"",G4copy!A5,"")</f>
        <v>G4 Rep EC</v>
      </c>
      <c r="G5" s="24" t="str">
        <f>IF(E5&lt;&gt;"",G4copy!F5,"")</f>
        <v>2025-08-27T18:07:33.6990058+00:00</v>
      </c>
    </row>
    <row r="6" spans="1:7" ht="15.75" customHeight="1">
      <c r="A6" s="23">
        <f t="shared" si="1"/>
        <v>45945</v>
      </c>
      <c r="B6" t="str">
        <f t="shared" si="2"/>
        <v>Bezoek voorstelling Confrontaties in stadsschouwburh</v>
      </c>
      <c r="C6" s="23">
        <f t="shared" si="3"/>
        <v>45943</v>
      </c>
      <c r="E6" s="24" t="str">
        <f>IF(NOT(ISBLANK(G4copy!B6)),G4copy!B6,"")</f>
        <v>2025-10-15T00:00:00.0000000</v>
      </c>
      <c r="F6" s="24" t="str">
        <f>IF(E6&lt;&gt;"",G4copy!A6,"")</f>
        <v>G4 Bezoek voorstelling Confrontaties in stadsschouwburh</v>
      </c>
      <c r="G6" s="24" t="str">
        <f>IF(E6&lt;&gt;"",G4copy!F6,"")</f>
        <v>2025-10-13T12:05:28.7577564+00:00</v>
      </c>
    </row>
    <row r="7" spans="1:7" ht="15.75" customHeight="1">
      <c r="A7" s="23">
        <f t="shared" si="1"/>
        <v>45946</v>
      </c>
      <c r="B7" t="str">
        <f t="shared" si="2"/>
        <v>SE ANW</v>
      </c>
      <c r="C7" s="23">
        <f t="shared" si="3"/>
        <v>45896</v>
      </c>
      <c r="E7" s="24" t="str">
        <f>IF(NOT(ISBLANK(G4copy!B7)),G4copy!B7,"")</f>
        <v>2025-10-16T00:00:00.0000000</v>
      </c>
      <c r="F7" s="24" t="str">
        <f>IF(E7&lt;&gt;"",G4copy!A7,"")</f>
        <v>G4 SE ANW</v>
      </c>
      <c r="G7" s="24" t="str">
        <f>IF(E7&lt;&gt;"",G4copy!F7,"")</f>
        <v>2025-08-27T18:07:34.6844773+00:00</v>
      </c>
    </row>
    <row r="8" spans="1:7" ht="15.75" customHeight="1">
      <c r="A8" s="23">
        <f t="shared" si="1"/>
        <v>45947</v>
      </c>
      <c r="B8" t="str">
        <f t="shared" si="2"/>
        <v>Rep EN</v>
      </c>
      <c r="C8" s="23">
        <f t="shared" si="3"/>
        <v>45896</v>
      </c>
      <c r="E8" s="24" t="str">
        <f>IF(NOT(ISBLANK(G4copy!B8)),G4copy!B8,"")</f>
        <v>2025-10-17T00:00:00.0000000</v>
      </c>
      <c r="F8" s="24" t="str">
        <f>IF(E8&lt;&gt;"",G4copy!A8,"")</f>
        <v>G4 Rep EN</v>
      </c>
      <c r="G8" s="24" t="str">
        <f>IF(E8&lt;&gt;"",G4copy!F8,"")</f>
        <v>2025-08-27T18:07:34.4956961+00:00</v>
      </c>
    </row>
    <row r="9" spans="1:7" ht="15.75" customHeight="1">
      <c r="A9" s="23">
        <f t="shared" si="1"/>
        <v>45957</v>
      </c>
      <c r="B9" t="str">
        <f t="shared" si="2"/>
        <v>inh rep WI</v>
      </c>
      <c r="C9" s="23">
        <f t="shared" si="3"/>
        <v>45936</v>
      </c>
      <c r="E9" s="24" t="str">
        <f>IF(NOT(ISBLANK(G4copy!B9)),G4copy!B9,"")</f>
        <v>2025-10-27T00:00:00.0000000</v>
      </c>
      <c r="F9" s="24" t="str">
        <f>IF(E9&lt;&gt;"",G4copy!A9,"")</f>
        <v>G4 inh rep WI</v>
      </c>
      <c r="G9" s="24" t="str">
        <f>IF(E9&lt;&gt;"",G4copy!F9,"")</f>
        <v>2025-10-06T14:04:23.3235489+00:00</v>
      </c>
    </row>
    <row r="10" spans="1:7" ht="15.75" customHeight="1">
      <c r="A10" s="23">
        <f t="shared" si="1"/>
        <v>45958</v>
      </c>
      <c r="B10" t="str">
        <f t="shared" si="2"/>
        <v>Rep GS</v>
      </c>
      <c r="C10" s="23">
        <f t="shared" si="3"/>
        <v>45896</v>
      </c>
      <c r="E10" s="24" t="str">
        <f>IF(NOT(ISBLANK(G4copy!B10)),G4copy!B10,"")</f>
        <v>2025-10-28T00:00:00.0000000</v>
      </c>
      <c r="F10" s="24" t="str">
        <f>IF(E10&lt;&gt;"",G4copy!A10,"")</f>
        <v>G4 Rep GS</v>
      </c>
      <c r="G10" s="24" t="str">
        <f>IF(E10&lt;&gt;"",G4copy!F10,"")</f>
        <v>2025-08-27T18:07:33.3712448+00:00</v>
      </c>
    </row>
    <row r="11" spans="1:7" ht="15.75" customHeight="1">
      <c r="A11" s="23">
        <f t="shared" si="1"/>
        <v>45958</v>
      </c>
      <c r="B11" t="str">
        <f t="shared" si="2"/>
        <v>Uitwisseling Munster op bezoek bij CGU</v>
      </c>
      <c r="C11" s="23">
        <f t="shared" si="3"/>
        <v>45915</v>
      </c>
      <c r="E11" s="24" t="str">
        <f>IF(NOT(ISBLANK(G4copy!B11)),G4copy!B11,"")</f>
        <v>2025-10-28T00:00:00.0000000</v>
      </c>
      <c r="F11" s="24" t="str">
        <f>IF(E11&lt;&gt;"",G4copy!A11,"")</f>
        <v>G4 Uitwisseling Munster op bezoek bij CGU</v>
      </c>
      <c r="G11" s="24" t="str">
        <f>IF(E11&lt;&gt;"",G4copy!F11,"")</f>
        <v>2025-09-15T08:39:00.8171977+00:00</v>
      </c>
    </row>
    <row r="12" spans="1:7" ht="15.75" customHeight="1">
      <c r="A12" s="23">
        <f t="shared" si="1"/>
        <v>45959</v>
      </c>
      <c r="B12" t="str">
        <f t="shared" si="2"/>
        <v>Uitwisseling Munster op bezoek bij CGU</v>
      </c>
      <c r="C12" s="23">
        <f t="shared" si="3"/>
        <v>45915</v>
      </c>
      <c r="E12" s="24" t="str">
        <f>IF(NOT(ISBLANK(G4copy!B12)),G4copy!B12,"")</f>
        <v>2025-10-29T00:00:00.0000000</v>
      </c>
      <c r="F12" s="24" t="str">
        <f>IF(E12&lt;&gt;"",G4copy!A12,"")</f>
        <v>G4 Uitwisseling Munster op bezoek bij CGU</v>
      </c>
      <c r="G12" s="24" t="str">
        <f>IF(E12&lt;&gt;"",G4copy!F12,"")</f>
        <v>2025-09-15T08:37:54.9011115+00:00</v>
      </c>
    </row>
    <row r="13" spans="1:7" ht="15.75" customHeight="1">
      <c r="A13" s="23">
        <f t="shared" si="1"/>
        <v>45959</v>
      </c>
      <c r="B13" t="str">
        <f t="shared" si="2"/>
        <v>inh rep EC</v>
      </c>
      <c r="C13" s="23">
        <f t="shared" si="3"/>
        <v>45940</v>
      </c>
      <c r="E13" s="24" t="str">
        <f>IF(NOT(ISBLANK(G4copy!B13)),G4copy!B13,"")</f>
        <v>2025-10-29T00:00:00.0000000</v>
      </c>
      <c r="F13" s="24" t="str">
        <f>IF(E13&lt;&gt;"",G4copy!A13,"")</f>
        <v>G4 inh rep EC</v>
      </c>
      <c r="G13" s="24" t="str">
        <f>IF(E13&lt;&gt;"",G4copy!F13,"")</f>
        <v>2025-10-10T10:50:10.8631083+00:00</v>
      </c>
    </row>
    <row r="14" spans="1:7" ht="15.75" customHeight="1">
      <c r="A14" s="23">
        <f t="shared" si="1"/>
        <v>45960</v>
      </c>
      <c r="B14" t="str">
        <f t="shared" si="2"/>
        <v>Uitwisseling Munster op bezoek bij CGU</v>
      </c>
      <c r="C14" s="23">
        <f t="shared" si="3"/>
        <v>45915</v>
      </c>
      <c r="E14" s="24" t="str">
        <f>IF(NOT(ISBLANK(G4copy!B14)),G4copy!B14,"")</f>
        <v>2025-10-30T00:00:00.0000000</v>
      </c>
      <c r="F14" s="24" t="str">
        <f>IF(E14&lt;&gt;"",G4copy!A14,"")</f>
        <v>G4 Uitwisseling Munster op bezoek bij CGU</v>
      </c>
      <c r="G14" s="24" t="str">
        <f>IF(E14&lt;&gt;"",G4copy!F14,"")</f>
        <v>2025-09-15T08:37:51.6642985+00:00</v>
      </c>
    </row>
    <row r="15" spans="1:7" ht="15.75" customHeight="1">
      <c r="A15" s="23">
        <f t="shared" si="1"/>
        <v>45960</v>
      </c>
      <c r="B15" t="str">
        <f t="shared" si="2"/>
        <v>inh rep EN</v>
      </c>
      <c r="C15" s="23">
        <f t="shared" si="3"/>
        <v>45936</v>
      </c>
      <c r="E15" s="24" t="str">
        <f>IF(NOT(ISBLANK(G4copy!B15)),G4copy!B15,"")</f>
        <v>2025-10-30T00:00:00.0000000</v>
      </c>
      <c r="F15" s="24" t="str">
        <f>IF(E15&lt;&gt;"",G4copy!A15,"")</f>
        <v>G4 inh rep EN</v>
      </c>
      <c r="G15" s="24" t="str">
        <f>IF(E15&lt;&gt;"",G4copy!F15,"")</f>
        <v>2025-10-06T14:04:23.6975066+00:00</v>
      </c>
    </row>
    <row r="16" spans="1:7" ht="15.75" customHeight="1">
      <c r="A16" s="23">
        <f t="shared" si="1"/>
        <v>45961</v>
      </c>
      <c r="B16" t="str">
        <f t="shared" si="2"/>
        <v>Rep FI</v>
      </c>
      <c r="C16" s="23">
        <f t="shared" si="3"/>
        <v>45896</v>
      </c>
      <c r="E16" s="24" t="str">
        <f>IF(NOT(ISBLANK(G4copy!B16)),G4copy!B16,"")</f>
        <v>2025-10-31T00:00:00.0000000</v>
      </c>
      <c r="F16" s="24" t="str">
        <f>IF(E16&lt;&gt;"",G4copy!A16,"")</f>
        <v>G4 Rep FI</v>
      </c>
      <c r="G16" s="24" t="str">
        <f>IF(E16&lt;&gt;"",G4copy!F16,"")</f>
        <v>2025-08-27T18:07:33.2523623+00:00</v>
      </c>
    </row>
    <row r="17" spans="1:7" ht="15.75" customHeight="1">
      <c r="A17" s="23">
        <f t="shared" si="1"/>
        <v>45964</v>
      </c>
      <c r="B17" t="str">
        <f t="shared" si="2"/>
        <v>inh SE ANW</v>
      </c>
      <c r="C17" s="23">
        <f t="shared" si="3"/>
        <v>45936</v>
      </c>
      <c r="E17" s="24" t="str">
        <f>IF(NOT(ISBLANK(G4copy!B17)),G4copy!B17,"")</f>
        <v>2025-11-03T00:00:00.0000000</v>
      </c>
      <c r="F17" s="24" t="str">
        <f>IF(E17&lt;&gt;"",G4copy!A17,"")</f>
        <v>G4 inh SE ANW</v>
      </c>
      <c r="G17" s="24" t="str">
        <f>IF(E17&lt;&gt;"",G4copy!F17,"")</f>
        <v>2025-10-06T14:04:19.8987468+00:00</v>
      </c>
    </row>
    <row r="18" spans="1:7" ht="15.75" customHeight="1">
      <c r="A18" s="23">
        <f t="shared" si="1"/>
        <v>45965</v>
      </c>
      <c r="B18" t="str">
        <f t="shared" si="2"/>
        <v>Rep NA</v>
      </c>
      <c r="C18" s="23">
        <f t="shared" si="3"/>
        <v>45896</v>
      </c>
      <c r="E18" s="24" t="str">
        <f>IF(NOT(ISBLANK(G4copy!B18)),G4copy!B18,"")</f>
        <v>2025-11-04T00:00:00.0000000</v>
      </c>
      <c r="F18" s="24" t="str">
        <f>IF(E18&lt;&gt;"",G4copy!A18,"")</f>
        <v>G4 Rep NA</v>
      </c>
      <c r="G18" s="24" t="str">
        <f>IF(E18&lt;&gt;"",G4copy!F18,"")</f>
        <v>2025-08-27T18:07:33.7123914+00:00</v>
      </c>
    </row>
    <row r="19" spans="1:7" ht="15.75" customHeight="1">
      <c r="A19" s="23">
        <f t="shared" si="1"/>
        <v>45968</v>
      </c>
      <c r="B19" t="str">
        <f t="shared" si="2"/>
        <v>Rep SK</v>
      </c>
      <c r="C19" s="23">
        <f t="shared" si="3"/>
        <v>45896</v>
      </c>
      <c r="E19" s="24" t="str">
        <f>IF(NOT(ISBLANK(G4copy!B19)),G4copy!B19,"")</f>
        <v>2025-11-07T00:00:00.0000000</v>
      </c>
      <c r="F19" s="24" t="str">
        <f>IF(E19&lt;&gt;"",G4copy!A19,"")</f>
        <v>G4 Rep SK</v>
      </c>
      <c r="G19" s="24" t="str">
        <f>IF(E19&lt;&gt;"",G4copy!F19,"")</f>
        <v>2025-08-27T18:07:32.8525191+00:00</v>
      </c>
    </row>
    <row r="20" spans="1:7" ht="15.75" customHeight="1">
      <c r="A20" s="23">
        <f t="shared" si="1"/>
        <v>45971</v>
      </c>
      <c r="B20" t="str">
        <f t="shared" si="2"/>
        <v>inh rep GS</v>
      </c>
      <c r="C20" s="23">
        <f t="shared" si="3"/>
        <v>45936</v>
      </c>
      <c r="E20" s="24" t="str">
        <f>IF(NOT(ISBLANK(G4copy!B20)),G4copy!B20,"")</f>
        <v>2025-11-10T00:00:00.0000000</v>
      </c>
      <c r="F20" s="24" t="str">
        <f>IF(E20&lt;&gt;"",G4copy!A20,"")</f>
        <v>G4 inh rep GS</v>
      </c>
      <c r="G20" s="24" t="str">
        <f>IF(E20&lt;&gt;"",G4copy!F20,"")</f>
        <v>2025-10-06T14:04:18.799792+00:00</v>
      </c>
    </row>
    <row r="21" spans="1:7" ht="15.75" customHeight="1">
      <c r="A21" s="23">
        <f t="shared" si="1"/>
        <v>45972</v>
      </c>
      <c r="B21" t="str">
        <f t="shared" si="2"/>
        <v>Rep LA</v>
      </c>
      <c r="C21" s="23">
        <f t="shared" si="3"/>
        <v>45896</v>
      </c>
      <c r="E21" s="24" t="str">
        <f>IF(NOT(ISBLANK(G4copy!B21)),G4copy!B21,"")</f>
        <v>2025-11-11T00:00:00.0000000</v>
      </c>
      <c r="F21" s="24" t="str">
        <f>IF(E21&lt;&gt;"",G4copy!A21,"")</f>
        <v>G4 Rep LA</v>
      </c>
      <c r="G21" s="24" t="str">
        <f>IF(E21&lt;&gt;"",G4copy!F21,"")</f>
        <v>2025-08-27T18:07:32.7580184+00:00</v>
      </c>
    </row>
    <row r="22" spans="1:7" ht="15.75" customHeight="1">
      <c r="A22" s="23">
        <f t="shared" si="1"/>
        <v>45973</v>
      </c>
      <c r="B22" t="str">
        <f t="shared" si="2"/>
        <v>naar Rennes uitwisseling Fa</v>
      </c>
      <c r="C22" s="23">
        <f t="shared" si="3"/>
        <v>45896</v>
      </c>
      <c r="E22" s="24" t="str">
        <f>IF(NOT(ISBLANK(G4copy!B22)),G4copy!B22,"")</f>
        <v>2025-11-12T00:00:00.0000000</v>
      </c>
      <c r="F22" s="24" t="str">
        <f>IF(E22&lt;&gt;"",G4copy!A22,"")</f>
        <v>G4 naar Rennes uitwisseling Fa</v>
      </c>
      <c r="G22" s="24" t="str">
        <f>IF(E22&lt;&gt;"",G4copy!F22,"")</f>
        <v>2025-08-27T18:07:33.4247934+00:00</v>
      </c>
    </row>
    <row r="23" spans="1:7" ht="15.75" customHeight="1">
      <c r="A23" s="23">
        <f t="shared" si="1"/>
        <v>45974</v>
      </c>
      <c r="B23" t="str">
        <f t="shared" si="2"/>
        <v>inh rep FI</v>
      </c>
      <c r="C23" s="23">
        <f t="shared" si="3"/>
        <v>45936</v>
      </c>
      <c r="E23" s="24" t="str">
        <f>IF(NOT(ISBLANK(G4copy!B23)),G4copy!B23,"")</f>
        <v>2025-11-13T00:00:00.0000000</v>
      </c>
      <c r="F23" s="24" t="str">
        <f>IF(E23&lt;&gt;"",G4copy!A23,"")</f>
        <v>G4 inh rep FI</v>
      </c>
      <c r="G23" s="24" t="str">
        <f>IF(E23&lt;&gt;"",G4copy!F23,"")</f>
        <v>2025-10-06T14:04:18.5636718+00:00</v>
      </c>
    </row>
    <row r="24" spans="1:7" ht="15.75" customHeight="1">
      <c r="A24" s="23">
        <f t="shared" si="1"/>
        <v>45975</v>
      </c>
      <c r="B24" t="str">
        <f t="shared" si="2"/>
        <v>Rep AK</v>
      </c>
      <c r="C24" s="23">
        <f t="shared" si="3"/>
        <v>45896</v>
      </c>
      <c r="E24" s="24" t="str">
        <f>IF(NOT(ISBLANK(G4copy!B24)),G4copy!B24,"")</f>
        <v>2025-11-14T00:00:00.0000000</v>
      </c>
      <c r="F24" s="24" t="str">
        <f>IF(E24&lt;&gt;"",G4copy!A24,"")</f>
        <v>G4 Rep AK</v>
      </c>
      <c r="G24" s="24" t="str">
        <f>IF(E24&lt;&gt;"",G4copy!F24,"")</f>
        <v>2025-08-27T18:07:32.291876+00:00</v>
      </c>
    </row>
    <row r="25" spans="1:7" ht="15.75" customHeight="1">
      <c r="A25" s="23">
        <f t="shared" si="1"/>
        <v>45978</v>
      </c>
      <c r="B25" t="str">
        <f t="shared" si="2"/>
        <v>inh rep NA</v>
      </c>
      <c r="C25" s="23">
        <f t="shared" si="3"/>
        <v>45936</v>
      </c>
      <c r="E25" s="24" t="str">
        <f>IF(NOT(ISBLANK(G4copy!B25)),G4copy!B25,"")</f>
        <v>2025-11-17T00:00:00.0000000</v>
      </c>
      <c r="F25" s="24" t="str">
        <f>IF(E25&lt;&gt;"",G4copy!A25,"")</f>
        <v>G4 inh rep NA</v>
      </c>
      <c r="G25" s="24" t="str">
        <f>IF(E25&lt;&gt;"",G4copy!F25,"")</f>
        <v>2025-10-06T14:04:19.5718489+00:00</v>
      </c>
    </row>
    <row r="26" spans="1:7" ht="15.75" customHeight="1">
      <c r="A26" s="23">
        <f t="shared" si="1"/>
        <v>45979</v>
      </c>
      <c r="B26" t="str">
        <f t="shared" si="2"/>
        <v>terug uit Rennes</v>
      </c>
      <c r="C26" s="23">
        <f t="shared" si="3"/>
        <v>45896</v>
      </c>
      <c r="E26" s="24" t="str">
        <f>IF(NOT(ISBLANK(G4copy!B26)),G4copy!B26,"")</f>
        <v>2025-11-18T00:00:00.0000000</v>
      </c>
      <c r="F26" s="24" t="str">
        <f>IF(E26&lt;&gt;"",G4copy!A26,"")</f>
        <v>G4 terug uit Rennes</v>
      </c>
      <c r="G26" s="24" t="str">
        <f>IF(E26&lt;&gt;"",G4copy!F26,"")</f>
        <v>2025-08-27T18:07:32.1850584+00:00</v>
      </c>
    </row>
    <row r="27" spans="1:7" ht="15.75" customHeight="1">
      <c r="A27" s="23">
        <f t="shared" si="1"/>
        <v>45981</v>
      </c>
      <c r="B27" t="str">
        <f t="shared" si="2"/>
        <v>inh rep SK</v>
      </c>
      <c r="C27" s="23">
        <f t="shared" si="3"/>
        <v>45936</v>
      </c>
      <c r="E27" s="24" t="str">
        <f>IF(NOT(ISBLANK(G4copy!B27)),G4copy!B27,"")</f>
        <v>2025-11-20T00:00:00.0000000</v>
      </c>
      <c r="F27" s="24" t="str">
        <f>IF(E27&lt;&gt;"",G4copy!A27,"")</f>
        <v>G4 inh rep SK</v>
      </c>
      <c r="G27" s="24" t="str">
        <f>IF(E27&lt;&gt;"",G4copy!F27,"")</f>
        <v>2025-10-06T14:04:18.0978452+00:00</v>
      </c>
    </row>
    <row r="28" spans="1:7" ht="15.75" customHeight="1">
      <c r="A28" s="23">
        <f t="shared" si="1"/>
        <v>45982</v>
      </c>
      <c r="B28" t="str">
        <f t="shared" si="2"/>
        <v>Rep BI</v>
      </c>
      <c r="C28" s="23">
        <f t="shared" si="3"/>
        <v>45896</v>
      </c>
      <c r="E28" s="24" t="str">
        <f>IF(NOT(ISBLANK(G4copy!B28)),G4copy!B28,"")</f>
        <v>2025-11-21T00:00:00.0000000</v>
      </c>
      <c r="F28" s="24" t="str">
        <f>IF(E28&lt;&gt;"",G4copy!A28,"")</f>
        <v>G4 Rep BI</v>
      </c>
      <c r="G28" s="24" t="str">
        <f>IF(E28&lt;&gt;"",G4copy!F28,"")</f>
        <v>2025-08-27T18:07:32.0285995+00:00</v>
      </c>
    </row>
    <row r="29" spans="1:7" ht="15.75" customHeight="1">
      <c r="A29" s="23">
        <f t="shared" si="1"/>
        <v>45985</v>
      </c>
      <c r="B29" t="str">
        <f t="shared" si="2"/>
        <v>inh rep LA</v>
      </c>
      <c r="C29" s="23">
        <f t="shared" si="3"/>
        <v>45936</v>
      </c>
      <c r="E29" s="24" t="str">
        <f>IF(NOT(ISBLANK(G4copy!B29)),G4copy!B29,"")</f>
        <v>2025-11-24T00:00:00.0000000</v>
      </c>
      <c r="F29" s="24" t="str">
        <f>IF(E29&lt;&gt;"",G4copy!A29,"")</f>
        <v>G4 inh rep LA</v>
      </c>
      <c r="G29" s="24" t="str">
        <f>IF(E29&lt;&gt;"",G4copy!F29,"")</f>
        <v>2025-10-06T14:04:17.7633123+00:00</v>
      </c>
    </row>
    <row r="30" spans="1:7" ht="15.75" customHeight="1">
      <c r="A30" s="23">
        <f t="shared" si="1"/>
        <v>45986</v>
      </c>
      <c r="B30" t="str">
        <f t="shared" si="2"/>
        <v>Rep GR</v>
      </c>
      <c r="C30" s="23">
        <f t="shared" si="3"/>
        <v>45896</v>
      </c>
      <c r="E30" s="24" t="str">
        <f>IF(NOT(ISBLANK(G4copy!B30)),G4copy!B30,"")</f>
        <v>2025-11-25T00:00:00.0000000</v>
      </c>
      <c r="F30" s="24" t="str">
        <f>IF(E30&lt;&gt;"",G4copy!A30,"")</f>
        <v>G4 Rep GR</v>
      </c>
      <c r="G30" s="24" t="str">
        <f>IF(E30&lt;&gt;"",G4copy!F30,"")</f>
        <v>2025-08-27T18:07:31.9203648+00:00</v>
      </c>
    </row>
    <row r="31" spans="1:7" ht="15.75" customHeight="1">
      <c r="A31" s="23">
        <f t="shared" si="1"/>
        <v>45988</v>
      </c>
      <c r="B31" t="str">
        <f t="shared" si="2"/>
        <v>inh rep AK</v>
      </c>
      <c r="C31" s="23">
        <f t="shared" si="3"/>
        <v>45936</v>
      </c>
      <c r="E31" s="24" t="str">
        <f>IF(NOT(ISBLANK(G4copy!B31)),G4copy!B31,"")</f>
        <v>2025-11-27T00:00:00.0000000</v>
      </c>
      <c r="F31" s="24" t="str">
        <f>IF(E31&lt;&gt;"",G4copy!A31,"")</f>
        <v>G4 inh rep AK</v>
      </c>
      <c r="G31" s="24" t="str">
        <f>IF(E31&lt;&gt;"",G4copy!F31,"")</f>
        <v>2025-10-06T14:04:17.1080705+00:00</v>
      </c>
    </row>
    <row r="32" spans="1:7" ht="15.75" customHeight="1">
      <c r="A32" s="23">
        <f t="shared" si="1"/>
        <v>45989</v>
      </c>
      <c r="B32" t="str">
        <f t="shared" si="2"/>
        <v>Rep WIABC</v>
      </c>
      <c r="C32" s="23">
        <f t="shared" si="3"/>
        <v>45896</v>
      </c>
      <c r="E32" s="24" t="str">
        <f>IF(NOT(ISBLANK(G4copy!B32)),G4copy!B32,"")</f>
        <v>2025-11-28T00:00:00.0000000</v>
      </c>
      <c r="F32" s="24" t="str">
        <f>IF(E32&lt;&gt;"",G4copy!A32,"")</f>
        <v>G4 Rep WIABC</v>
      </c>
      <c r="G32" s="24" t="str">
        <f>IF(E32&lt;&gt;"",G4copy!F32,"")</f>
        <v>2025-08-27T18:07:31.694887+00:00</v>
      </c>
    </row>
    <row r="33" spans="1:7" ht="15.75" customHeight="1">
      <c r="A33" s="23">
        <f t="shared" si="1"/>
        <v>45989</v>
      </c>
      <c r="B33" t="str">
        <f t="shared" si="2"/>
        <v>Bezoek studiebeurs Jaarbeurs</v>
      </c>
      <c r="C33" s="23">
        <f t="shared" si="3"/>
        <v>45936</v>
      </c>
      <c r="E33" s="24" t="str">
        <f>IF(NOT(ISBLANK(G4copy!B33)),G4copy!B33,"")</f>
        <v>2025-11-28T00:00:00.0000000</v>
      </c>
      <c r="F33" s="24" t="str">
        <f>IF(E33&lt;&gt;"",G4copy!A33,"")</f>
        <v>G4 Bezoek studiebeurs Jaarbeurs</v>
      </c>
      <c r="G33" s="24" t="str">
        <f>IF(E33&lt;&gt;"",G4copy!F33,"")</f>
        <v>2025-10-06T14:04:13.2777944+00:00</v>
      </c>
    </row>
    <row r="34" spans="1:7" ht="15.75" customHeight="1">
      <c r="A34" s="23">
        <f t="shared" si="1"/>
        <v>45993</v>
      </c>
      <c r="B34" t="str">
        <f t="shared" si="2"/>
        <v>Rep NA</v>
      </c>
      <c r="C34" s="23">
        <f t="shared" si="3"/>
        <v>45896</v>
      </c>
      <c r="E34" s="24" t="str">
        <f>IF(NOT(ISBLANK(G4copy!B34)),G4copy!B34,"")</f>
        <v>2025-12-02T00:00:00.0000000</v>
      </c>
      <c r="F34" s="24" t="str">
        <f>IF(E34&lt;&gt;"",G4copy!A34,"")</f>
        <v>G4 Rep NA</v>
      </c>
      <c r="G34" s="24" t="str">
        <f>IF(E34&lt;&gt;"",G4copy!F34,"")</f>
        <v>2025-08-27T18:07:32.502932+00:00</v>
      </c>
    </row>
    <row r="35" spans="1:7" ht="15.75" customHeight="1">
      <c r="A35" s="23">
        <f t="shared" si="1"/>
        <v>45995</v>
      </c>
      <c r="B35" t="str">
        <f t="shared" si="2"/>
        <v>SE ANW</v>
      </c>
      <c r="C35" s="23">
        <f t="shared" si="3"/>
        <v>45896</v>
      </c>
      <c r="E35" s="24" t="str">
        <f>IF(NOT(ISBLANK(G4copy!B35)),G4copy!B35,"")</f>
        <v>2025-12-04T00:00:00.0000000</v>
      </c>
      <c r="F35" s="24" t="str">
        <f>IF(E35&lt;&gt;"",G4copy!A35,"")</f>
        <v>G4 SE ANW</v>
      </c>
      <c r="G35" s="24" t="str">
        <f>IF(E35&lt;&gt;"",G4copy!F35,"")</f>
        <v>2025-08-27T18:07:32.3315006+00:00</v>
      </c>
    </row>
    <row r="36" spans="1:7" ht="15.75" customHeight="1">
      <c r="A36" s="23">
        <f t="shared" si="1"/>
        <v>45995</v>
      </c>
      <c r="B36" t="str">
        <f t="shared" si="2"/>
        <v>inh rep BI</v>
      </c>
      <c r="C36" s="23">
        <f t="shared" si="3"/>
        <v>45937</v>
      </c>
      <c r="E36" s="24" t="str">
        <f>IF(NOT(ISBLANK(G4copy!B36)),G4copy!B36,"")</f>
        <v>2025-12-04T00:00:00.0000000</v>
      </c>
      <c r="F36" s="24" t="str">
        <f>IF(E36&lt;&gt;"",G4copy!A36,"")</f>
        <v>G4 inh rep BI</v>
      </c>
      <c r="G36" s="24" t="str">
        <f>IF(E36&lt;&gt;"",G4copy!F36,"")</f>
        <v>2025-10-07T08:02:56.3274537+00:00</v>
      </c>
    </row>
    <row r="37" spans="1:7" ht="15.75" customHeight="1">
      <c r="A37" s="23">
        <f t="shared" si="1"/>
        <v>45999</v>
      </c>
      <c r="B37" t="str">
        <f t="shared" si="2"/>
        <v>inh rep GR</v>
      </c>
      <c r="C37" s="23">
        <f t="shared" si="3"/>
        <v>45936</v>
      </c>
      <c r="E37" s="24" t="str">
        <f>IF(NOT(ISBLANK(G4copy!B37)),G4copy!B37,"")</f>
        <v>2025-12-08T00:00:00.0000000</v>
      </c>
      <c r="F37" s="24" t="str">
        <f>IF(E37&lt;&gt;"",G4copy!A37,"")</f>
        <v>G4 inh rep GR</v>
      </c>
      <c r="G37" s="24" t="str">
        <f>IF(E37&lt;&gt;"",G4copy!F37,"")</f>
        <v>2025-10-06T14:04:18.5122325+00:00</v>
      </c>
    </row>
    <row r="38" spans="1:7" ht="15.75" customHeight="1">
      <c r="A38" s="23">
        <f t="shared" si="1"/>
        <v>46000</v>
      </c>
      <c r="B38" t="str">
        <f t="shared" si="2"/>
        <v>Rep EC</v>
      </c>
      <c r="C38" s="23">
        <f t="shared" si="3"/>
        <v>45896</v>
      </c>
      <c r="E38" s="24" t="str">
        <f>IF(NOT(ISBLANK(G4copy!B38)),G4copy!B38,"")</f>
        <v>2025-12-09T00:00:00.0000000</v>
      </c>
      <c r="F38" s="24" t="str">
        <f>IF(E38&lt;&gt;"",G4copy!A38,"")</f>
        <v>G4 Rep EC</v>
      </c>
      <c r="G38" s="24" t="str">
        <f>IF(E38&lt;&gt;"",G4copy!F38,"")</f>
        <v>2025-08-27T18:07:31.073069+00:00</v>
      </c>
    </row>
    <row r="39" spans="1:7" ht="15.75" customHeight="1">
      <c r="A39" s="23">
        <f t="shared" si="1"/>
        <v>46002</v>
      </c>
      <c r="B39" t="str">
        <f t="shared" si="2"/>
        <v>HPGcafé</v>
      </c>
      <c r="C39" s="23">
        <f t="shared" si="3"/>
        <v>45896</v>
      </c>
      <c r="E39" s="24" t="str">
        <f>IF(NOT(ISBLANK(G4copy!B39)),G4copy!B39,"")</f>
        <v>2025-12-11T00:00:00.0000000</v>
      </c>
      <c r="F39" s="24" t="str">
        <f>IF(E39&lt;&gt;"",G4copy!A39,"")</f>
        <v>G4 HPGcafé</v>
      </c>
      <c r="G39" s="24" t="str">
        <f>IF(E39&lt;&gt;"",G4copy!F39,"")</f>
        <v>2025-08-27T18:07:30.9219759+00:00</v>
      </c>
    </row>
    <row r="40" spans="1:7" ht="15.75" customHeight="1">
      <c r="A40" s="23">
        <f t="shared" si="1"/>
        <v>46002</v>
      </c>
      <c r="B40" t="str">
        <f t="shared" si="2"/>
        <v>inh rep WI</v>
      </c>
      <c r="C40" s="23">
        <f t="shared" si="3"/>
        <v>45923</v>
      </c>
      <c r="E40" s="24" t="str">
        <f>IF(NOT(ISBLANK(G4copy!B40)),G4copy!B40,"")</f>
        <v>2025-12-11T00:00:00.0000000</v>
      </c>
      <c r="F40" s="24" t="str">
        <f>IF(E40&lt;&gt;"",G4copy!A40,"")</f>
        <v>G4 inh rep WI</v>
      </c>
      <c r="G40" s="24" t="str">
        <f>IF(E40&lt;&gt;"",G4copy!F40,"")</f>
        <v>2025-09-23T15:17:30.7529502+00:00</v>
      </c>
    </row>
    <row r="41" spans="1:7" ht="15.75" customHeight="1">
      <c r="A41" s="23">
        <f t="shared" si="1"/>
        <v>46003</v>
      </c>
      <c r="B41" t="str">
        <f t="shared" si="2"/>
        <v>Rep BE</v>
      </c>
      <c r="C41" s="23">
        <f t="shared" si="3"/>
        <v>45896</v>
      </c>
      <c r="E41" s="24" t="str">
        <f>IF(NOT(ISBLANK(G4copy!B41)),G4copy!B41,"")</f>
        <v>2025-12-12T00:00:00.0000000</v>
      </c>
      <c r="F41" s="24" t="str">
        <f>IF(E41&lt;&gt;"",G4copy!A41,"")</f>
        <v>G4 Rep BE</v>
      </c>
      <c r="G41" s="24" t="str">
        <f>IF(E41&lt;&gt;"",G4copy!F41,"")</f>
        <v>2025-08-27T18:07:30.7138221+00:00</v>
      </c>
    </row>
    <row r="42" spans="1:7" ht="15.75" customHeight="1">
      <c r="A42" s="23">
        <f t="shared" si="1"/>
        <v>46006</v>
      </c>
      <c r="B42" t="str">
        <f t="shared" si="2"/>
        <v>inh rep NA</v>
      </c>
      <c r="C42" s="23">
        <f t="shared" si="3"/>
        <v>45936</v>
      </c>
      <c r="E42" s="24" t="str">
        <f>IF(NOT(ISBLANK(G4copy!B42)),G4copy!B42,"")</f>
        <v>2025-12-15T00:00:00.0000000</v>
      </c>
      <c r="F42" s="24" t="str">
        <f>IF(E42&lt;&gt;"",G4copy!A42,"")</f>
        <v>G4 inh rep NA</v>
      </c>
      <c r="G42" s="24" t="str">
        <f>IF(E42&lt;&gt;"",G4copy!F42,"")</f>
        <v>2025-10-06T14:04:18.3711705+00:00</v>
      </c>
    </row>
    <row r="43" spans="1:7" ht="15.75" customHeight="1">
      <c r="A43" s="23">
        <f t="shared" si="1"/>
        <v>46007</v>
      </c>
      <c r="B43" t="str">
        <f t="shared" si="2"/>
        <v>Rep GS</v>
      </c>
      <c r="C43" s="23">
        <f t="shared" si="3"/>
        <v>45929</v>
      </c>
      <c r="E43" s="24" t="str">
        <f>IF(NOT(ISBLANK(G4copy!B43)),G4copy!B43,"")</f>
        <v>2025-12-16T00:00:00.0000000</v>
      </c>
      <c r="F43" s="24" t="str">
        <f>IF(E43&lt;&gt;"",G4copy!A43,"")</f>
        <v>G4 Rep GS</v>
      </c>
      <c r="G43" s="24" t="str">
        <f>IF(E43&lt;&gt;"",G4copy!F43,"")</f>
        <v>2025-09-29T13:25:42.1023943+00:00</v>
      </c>
    </row>
    <row r="44" spans="1:7" ht="15.75" customHeight="1">
      <c r="A44" s="23">
        <f t="shared" si="1"/>
        <v>46008</v>
      </c>
      <c r="B44" t="str">
        <f t="shared" si="2"/>
        <v>Rep SP (1e uur)  en MDT workshop</v>
      </c>
      <c r="C44" s="23">
        <f t="shared" si="3"/>
        <v>45939</v>
      </c>
      <c r="E44" s="24" t="str">
        <f>IF(NOT(ISBLANK(G4copy!B44)),G4copy!B44,"")</f>
        <v>2025-12-17T00:00:00.0000000</v>
      </c>
      <c r="F44" s="24" t="str">
        <f>IF(E44&lt;&gt;"",G4copy!A44,"")</f>
        <v>G4 Rep SP (1e uur)  en MDT workshop</v>
      </c>
      <c r="G44" s="24" t="str">
        <f>IF(E44&lt;&gt;"",G4copy!F44,"")</f>
        <v>2025-10-09T08:05:13.8905887+00:00</v>
      </c>
    </row>
    <row r="45" spans="1:7" ht="15.75" customHeight="1">
      <c r="A45" s="23">
        <f t="shared" si="1"/>
        <v>46009</v>
      </c>
      <c r="B45" t="str">
        <f t="shared" si="2"/>
        <v>inh SE ANW en MDT workshop</v>
      </c>
      <c r="C45" s="23">
        <f t="shared" si="3"/>
        <v>45939</v>
      </c>
      <c r="E45" s="24" t="str">
        <f>IF(NOT(ISBLANK(G4copy!B45)),G4copy!B45,"")</f>
        <v>2025-12-18T00:00:00.0000000</v>
      </c>
      <c r="F45" s="24" t="str">
        <f>IF(E45&lt;&gt;"",G4copy!A45,"")</f>
        <v>G4 inh SE ANW en MDT workshop</v>
      </c>
      <c r="G45" s="24" t="str">
        <f>IF(E45&lt;&gt;"",G4copy!F45,"")</f>
        <v>2025-10-09T08:04:58.9205422+00:00</v>
      </c>
    </row>
    <row r="46" spans="1:7" ht="15.75" customHeight="1">
      <c r="A46" s="23">
        <f t="shared" si="1"/>
        <v>46029</v>
      </c>
      <c r="B46" t="str">
        <f t="shared" si="2"/>
        <v>inh rep EC</v>
      </c>
      <c r="C46" s="23">
        <f t="shared" si="3"/>
        <v>45936</v>
      </c>
      <c r="E46" s="24" t="str">
        <f>IF(NOT(ISBLANK(G4copy!B46)),G4copy!B46,"")</f>
        <v>2026-01-07T00:00:00.0000000</v>
      </c>
      <c r="F46" s="24" t="str">
        <f>IF(E46&lt;&gt;"",G4copy!A46,"")</f>
        <v>G4 inh rep EC</v>
      </c>
      <c r="G46" s="24" t="str">
        <f>IF(E46&lt;&gt;"",G4copy!F46,"")</f>
        <v>2025-10-06T14:04:17.3723442+00:00</v>
      </c>
    </row>
    <row r="47" spans="1:7" ht="15.75" customHeight="1">
      <c r="A47" s="23">
        <f t="shared" si="1"/>
        <v>46030</v>
      </c>
      <c r="B47" t="str">
        <f t="shared" si="2"/>
        <v>inh rep SP</v>
      </c>
      <c r="C47" s="23">
        <f t="shared" si="3"/>
        <v>46008</v>
      </c>
      <c r="E47" s="24" t="str">
        <f>IF(NOT(ISBLANK(G4copy!B47)),G4copy!B47,"")</f>
        <v>2026-01-08T00:00:00.0000000</v>
      </c>
      <c r="F47" s="24" t="str">
        <f>IF(E47&lt;&gt;"",G4copy!A47,"")</f>
        <v>G4 inh rep SP</v>
      </c>
      <c r="G47" s="24" t="str">
        <f>IF(E47&lt;&gt;"",G4copy!F47,"")</f>
        <v>2025-12-17T12:43:35.6718966+00:00</v>
      </c>
    </row>
    <row r="48" spans="1:7" ht="15.75" customHeight="1">
      <c r="A48" s="23">
        <f t="shared" si="1"/>
        <v>46030</v>
      </c>
      <c r="B48" t="str">
        <f t="shared" si="2"/>
        <v>inh rep BE</v>
      </c>
      <c r="C48" s="23">
        <f t="shared" si="3"/>
        <v>45936</v>
      </c>
      <c r="E48" s="24" t="str">
        <f>IF(NOT(ISBLANK(G4copy!B48)),G4copy!B48,"")</f>
        <v>2026-01-08T00:00:00.0000000</v>
      </c>
      <c r="F48" s="24" t="str">
        <f>IF(E48&lt;&gt;"",G4copy!A48,"")</f>
        <v>G4 inh rep BE</v>
      </c>
      <c r="G48" s="24" t="str">
        <f>IF(E48&lt;&gt;"",G4copy!F48,"")</f>
        <v>2025-10-06T14:04:16.0115484+00:00</v>
      </c>
    </row>
    <row r="49" spans="1:7" ht="15.75" customHeight="1">
      <c r="A49" s="23">
        <f t="shared" si="1"/>
        <v>46034</v>
      </c>
      <c r="B49" t="str">
        <f t="shared" si="2"/>
        <v>inh BE en GS</v>
      </c>
      <c r="C49" s="23">
        <f t="shared" si="3"/>
        <v>46029</v>
      </c>
      <c r="E49" s="24" t="str">
        <f>IF(NOT(ISBLANK(G4copy!B49)),G4copy!B49,"")</f>
        <v>2026-01-12T00:00:00.0000000</v>
      </c>
      <c r="F49" s="24" t="str">
        <f>IF(E49&lt;&gt;"",G4copy!A49,"")</f>
        <v>G4 inh BE en GS</v>
      </c>
      <c r="G49" s="24" t="str">
        <f>IF(E49&lt;&gt;"",G4copy!F49,"")</f>
        <v>2026-01-07T14:48:49.6901182+00:00</v>
      </c>
    </row>
    <row r="50" spans="1:7" ht="15.75" customHeight="1">
      <c r="A50" s="23">
        <f t="shared" si="1"/>
        <v>46035</v>
      </c>
      <c r="B50" t="str">
        <f t="shared" si="2"/>
        <v>Rep EN</v>
      </c>
      <c r="C50" s="23">
        <f t="shared" si="3"/>
        <v>45896</v>
      </c>
      <c r="E50" s="24" t="str">
        <f>IF(NOT(ISBLANK(G4copy!B50)),G4copy!B50,"")</f>
        <v>2026-01-13T00:00:00.0000000</v>
      </c>
      <c r="F50" s="24" t="str">
        <f>IF(E50&lt;&gt;"",G4copy!A50,"")</f>
        <v>G4 Rep EN</v>
      </c>
      <c r="G50" s="24" t="str">
        <f>IF(E50&lt;&gt;"",G4copy!F50,"")</f>
        <v>2025-08-27T18:07:30.4352959+00:00</v>
      </c>
    </row>
    <row r="51" spans="1:7" ht="15.75" customHeight="1">
      <c r="A51" s="23">
        <f t="shared" si="1"/>
        <v>46037</v>
      </c>
      <c r="B51" t="str">
        <f t="shared" si="2"/>
        <v>Inh EC</v>
      </c>
      <c r="C51" s="23">
        <f t="shared" si="3"/>
        <v>46029</v>
      </c>
      <c r="E51" s="24" t="str">
        <f>IF(NOT(ISBLANK(G4copy!B51)),G4copy!B51,"")</f>
        <v>2026-01-15T00:00:00.0000000</v>
      </c>
      <c r="F51" s="24" t="str">
        <f>IF(E51&lt;&gt;"",G4copy!A51,"")</f>
        <v>G4 Inh EC</v>
      </c>
      <c r="G51" s="24" t="str">
        <f>IF(E51&lt;&gt;"",G4copy!F51,"")</f>
        <v>2026-01-07T14:48:39.4274102+00:00</v>
      </c>
    </row>
    <row r="52" spans="1:7" ht="15.75" customHeight="1">
      <c r="A52" s="23">
        <f t="shared" si="1"/>
        <v>46038</v>
      </c>
      <c r="B52" t="str">
        <f t="shared" si="2"/>
        <v>Rep BI</v>
      </c>
      <c r="C52" s="23">
        <f t="shared" si="3"/>
        <v>45896</v>
      </c>
      <c r="E52" s="24" t="str">
        <f>IF(NOT(ISBLANK(G4copy!B52)),G4copy!B52,"")</f>
        <v>2026-01-16T00:00:00.0000000</v>
      </c>
      <c r="F52" s="24" t="str">
        <f>IF(E52&lt;&gt;"",G4copy!A52,"")</f>
        <v>G4 Rep BI</v>
      </c>
      <c r="G52" s="24" t="str">
        <f>IF(E52&lt;&gt;"",G4copy!F52,"")</f>
        <v>2025-08-27T18:07:29.4817194+00:00</v>
      </c>
    </row>
    <row r="53" spans="1:7" ht="15.75" customHeight="1">
      <c r="A53" s="23">
        <f t="shared" si="1"/>
        <v>46042</v>
      </c>
      <c r="B53" t="str">
        <f t="shared" si="2"/>
        <v>Rep AK</v>
      </c>
      <c r="C53" s="23">
        <f t="shared" si="3"/>
        <v>45896</v>
      </c>
      <c r="E53" s="24" t="str">
        <f>IF(NOT(ISBLANK(G4copy!B53)),G4copy!B53,"")</f>
        <v>2026-01-20T00:00:00.0000000</v>
      </c>
      <c r="F53" s="24" t="str">
        <f>IF(E53&lt;&gt;"",G4copy!A53,"")</f>
        <v>G4 Rep AK</v>
      </c>
      <c r="G53" s="24" t="str">
        <f>IF(E53&lt;&gt;"",G4copy!F53,"")</f>
        <v>2025-08-27T18:07:26.0818002+00:00</v>
      </c>
    </row>
    <row r="54" spans="1:7" ht="15.75" customHeight="1">
      <c r="A54" s="23">
        <f t="shared" si="1"/>
        <v>46044</v>
      </c>
      <c r="B54" t="str">
        <f t="shared" si="2"/>
        <v>veegmoment</v>
      </c>
      <c r="C54" s="23">
        <f t="shared" si="3"/>
        <v>45936</v>
      </c>
      <c r="E54" s="24" t="str">
        <f>IF(NOT(ISBLANK(G4copy!B54)),G4copy!B54,"")</f>
        <v>2026-01-22T00:00:00.0000000</v>
      </c>
      <c r="F54" s="24" t="str">
        <f>IF(E54&lt;&gt;"",G4copy!A54,"")</f>
        <v>G4 veegmoment</v>
      </c>
      <c r="G54" s="24" t="str">
        <f>IF(E54&lt;&gt;"",G4copy!F54,"")</f>
        <v>2025-10-06T14:04:23.8550617+00:00</v>
      </c>
    </row>
    <row r="55" spans="1:7" ht="15.75" customHeight="1">
      <c r="A55" s="23">
        <f t="shared" si="1"/>
        <v>46045</v>
      </c>
      <c r="B55" t="str">
        <f t="shared" si="2"/>
        <v>Rep WIABC</v>
      </c>
      <c r="C55" s="23">
        <f t="shared" si="3"/>
        <v>45905</v>
      </c>
      <c r="E55" s="24" t="str">
        <f>IF(NOT(ISBLANK(G4copy!B55)),G4copy!B55,"")</f>
        <v>2026-01-23T00:00:00.0000000</v>
      </c>
      <c r="F55" s="24" t="str">
        <f>IF(E55&lt;&gt;"",G4copy!A55,"")</f>
        <v>G4 Rep WIABC</v>
      </c>
      <c r="G55" s="24" t="str">
        <f>IF(E55&lt;&gt;"",G4copy!F55,"")</f>
        <v>2025-09-05T15:11:34.5764339+00:00</v>
      </c>
    </row>
    <row r="56" spans="1:7" ht="15.75" customHeight="1">
      <c r="A56" s="23">
        <f t="shared" si="1"/>
        <v>46048</v>
      </c>
      <c r="B56" t="str">
        <f t="shared" si="2"/>
        <v>inh rep EN</v>
      </c>
      <c r="C56" s="23">
        <f t="shared" si="3"/>
        <v>45936</v>
      </c>
      <c r="E56" s="24" t="str">
        <f>IF(NOT(ISBLANK(G4copy!B56)),G4copy!B56,"")</f>
        <v>2026-01-26T00:00:00.0000000</v>
      </c>
      <c r="F56" s="24" t="str">
        <f>IF(E56&lt;&gt;"",G4copy!A56,"")</f>
        <v>G4 inh rep EN</v>
      </c>
      <c r="G56" s="24" t="str">
        <f>IF(E56&lt;&gt;"",G4copy!F56,"")</f>
        <v>2025-10-06T14:04:16.5586169+00:00</v>
      </c>
    </row>
    <row r="57" spans="1:7" ht="15.75" customHeight="1">
      <c r="A57" s="23">
        <f t="shared" si="1"/>
        <v>46049</v>
      </c>
      <c r="B57" t="str">
        <f t="shared" si="2"/>
        <v>Rep SK</v>
      </c>
      <c r="C57" s="23">
        <f t="shared" si="3"/>
        <v>45896</v>
      </c>
      <c r="E57" s="24" t="str">
        <f>IF(NOT(ISBLANK(G4copy!B57)),G4copy!B57,"")</f>
        <v>2026-01-27T00:00:00.0000000</v>
      </c>
      <c r="F57" s="24" t="str">
        <f>IF(E57&lt;&gt;"",G4copy!A57,"")</f>
        <v>G4 Rep SK</v>
      </c>
      <c r="G57" s="24" t="str">
        <f>IF(E57&lt;&gt;"",G4copy!F57,"")</f>
        <v>2025-08-27T18:07:25.8759259+00:00</v>
      </c>
    </row>
    <row r="58" spans="1:7" ht="15.75" customHeight="1">
      <c r="A58" s="23">
        <f t="shared" si="1"/>
        <v>46051</v>
      </c>
      <c r="B58" t="str">
        <f t="shared" si="2"/>
        <v>inh rep BI</v>
      </c>
      <c r="C58" s="23">
        <f t="shared" si="3"/>
        <v>45936</v>
      </c>
      <c r="E58" s="24" t="str">
        <f>IF(NOT(ISBLANK(G4copy!B58)),G4copy!B58,"")</f>
        <v>2026-01-29T00:00:00.0000000</v>
      </c>
      <c r="F58" s="24" t="str">
        <f>IF(E58&lt;&gt;"",G4copy!A58,"")</f>
        <v>G4 inh rep BI</v>
      </c>
      <c r="G58" s="24" t="str">
        <f>IF(E58&lt;&gt;"",G4copy!F58,"")</f>
        <v>2025-10-06T14:04:15.3959696+00:00</v>
      </c>
    </row>
    <row r="59" spans="1:7" ht="15.75" customHeight="1">
      <c r="A59" s="23">
        <f t="shared" si="1"/>
        <v>46051</v>
      </c>
      <c r="B59" t="str">
        <f t="shared" si="2"/>
        <v>rep fi</v>
      </c>
      <c r="C59" s="23">
        <f t="shared" si="3"/>
        <v>46029</v>
      </c>
      <c r="E59" s="24" t="str">
        <f>IF(NOT(ISBLANK(G4copy!B59)),G4copy!B59,"")</f>
        <v>2026-01-29T23:00:00.0000000</v>
      </c>
      <c r="F59" s="24" t="str">
        <f>IF(E59&lt;&gt;"",G4copy!A59,"")</f>
        <v>G4 rep fi</v>
      </c>
      <c r="G59" s="24" t="str">
        <f>IF(E59&lt;&gt;"",G4copy!F59,"")</f>
        <v>2026-01-07T14:48:41.6065749+00:00</v>
      </c>
    </row>
    <row r="60" spans="1:7" ht="15.75" customHeight="1">
      <c r="A60" s="23">
        <f t="shared" si="1"/>
        <v>46052</v>
      </c>
      <c r="B60" t="str">
        <f t="shared" si="2"/>
        <v>repetitie FI</v>
      </c>
      <c r="C60" s="23">
        <f t="shared" si="3"/>
        <v>46029</v>
      </c>
      <c r="E60" s="24" t="str">
        <f>IF(NOT(ISBLANK(G4copy!B60)),G4copy!B60,"")</f>
        <v>2026-01-30T00:00:00.0000000</v>
      </c>
      <c r="F60" s="24" t="str">
        <f>IF(E60&lt;&gt;"",G4copy!A60,"")</f>
        <v>G4 repetitie FI</v>
      </c>
      <c r="G60" s="24" t="str">
        <f>IF(E60&lt;&gt;"",G4copy!F60,"")</f>
        <v>2026-01-07T14:48:50.3285956+00:00</v>
      </c>
    </row>
    <row r="61" spans="1:7" ht="15.75" customHeight="1">
      <c r="A61" s="23">
        <f t="shared" si="1"/>
        <v>46055</v>
      </c>
      <c r="B61" t="str">
        <f t="shared" si="2"/>
        <v>inh rep AK</v>
      </c>
      <c r="C61" s="23">
        <f t="shared" si="3"/>
        <v>45936</v>
      </c>
      <c r="E61" s="24" t="str">
        <f>IF(NOT(ISBLANK(G4copy!B61)),G4copy!B61,"")</f>
        <v>2026-02-02T00:00:00.0000000</v>
      </c>
      <c r="F61" s="24" t="str">
        <f>IF(E61&lt;&gt;"",G4copy!A61,"")</f>
        <v>G4 inh rep AK</v>
      </c>
      <c r="G61" s="24" t="str">
        <f>IF(E61&lt;&gt;"",G4copy!F61,"")</f>
        <v>2025-10-06T14:04:15.1563571+00:00</v>
      </c>
    </row>
    <row r="62" spans="1:7" ht="15.75" customHeight="1">
      <c r="A62" s="23">
        <f t="shared" si="1"/>
        <v>46058</v>
      </c>
      <c r="B62" t="str">
        <f t="shared" si="2"/>
        <v>SE ANW</v>
      </c>
      <c r="C62" s="23">
        <f t="shared" si="3"/>
        <v>45896</v>
      </c>
      <c r="E62" s="24" t="str">
        <f>IF(NOT(ISBLANK(G4copy!B62)),G4copy!B62,"")</f>
        <v>2026-02-05T00:00:00.0000000</v>
      </c>
      <c r="F62" s="24" t="str">
        <f>IF(E62&lt;&gt;"",G4copy!A62,"")</f>
        <v>G4 SE ANW</v>
      </c>
      <c r="G62" s="24" t="str">
        <f>IF(E62&lt;&gt;"",G4copy!F62,"")</f>
        <v>2025-08-27T18:07:26.2664325+00:00</v>
      </c>
    </row>
    <row r="63" spans="1:7" ht="15.75" customHeight="1">
      <c r="A63" s="23">
        <f t="shared" si="1"/>
        <v>46058</v>
      </c>
      <c r="B63" t="str">
        <f t="shared" si="2"/>
        <v>inh rep WI</v>
      </c>
      <c r="C63" s="23">
        <f t="shared" si="3"/>
        <v>45936</v>
      </c>
      <c r="E63" s="24" t="str">
        <f>IF(NOT(ISBLANK(G4copy!B63)),G4copy!B63,"")</f>
        <v>2026-02-05T00:00:00.0000000</v>
      </c>
      <c r="F63" s="24" t="str">
        <f>IF(E63&lt;&gt;"",G4copy!A63,"")</f>
        <v>G4 inh rep WI</v>
      </c>
      <c r="G63" s="24" t="str">
        <f>IF(E63&lt;&gt;"",G4copy!F63,"")</f>
        <v>2025-10-06T14:04:15.0380987+00:00</v>
      </c>
    </row>
    <row r="64" spans="1:7" ht="15.75" customHeight="1">
      <c r="A64" s="23">
        <f t="shared" si="1"/>
        <v>46062</v>
      </c>
      <c r="B64" t="str">
        <f t="shared" si="2"/>
        <v>inh rep SK</v>
      </c>
      <c r="C64" s="23">
        <f t="shared" si="3"/>
        <v>45936</v>
      </c>
      <c r="E64" s="24" t="str">
        <f>IF(NOT(ISBLANK(G4copy!B64)),G4copy!B64,"")</f>
        <v>2026-02-09T00:00:00.0000000</v>
      </c>
      <c r="F64" s="24" t="str">
        <f>IF(E64&lt;&gt;"",G4copy!A64,"")</f>
        <v>G4 inh rep SK</v>
      </c>
      <c r="G64" s="24" t="str">
        <f>IF(E64&lt;&gt;"",G4copy!F64,"")</f>
        <v>2025-10-06T14:04:14.8614043+00:00</v>
      </c>
    </row>
    <row r="65" spans="1:7" ht="15.75" customHeight="1">
      <c r="A65" s="23">
        <f t="shared" si="1"/>
        <v>46063</v>
      </c>
      <c r="B65" t="str">
        <f t="shared" si="2"/>
        <v>rep na</v>
      </c>
      <c r="C65" s="23">
        <f t="shared" si="3"/>
        <v>45996</v>
      </c>
      <c r="E65" s="24" t="str">
        <f>IF(NOT(ISBLANK(G4copy!B65)),G4copy!B65,"")</f>
        <v>2026-02-10T00:00:00.0000000</v>
      </c>
      <c r="F65" s="24" t="str">
        <f>IF(E65&lt;&gt;"",G4copy!A65,"")</f>
        <v>G4 rep na</v>
      </c>
      <c r="G65" s="24" t="str">
        <f>IF(E65&lt;&gt;"",G4copy!F65,"")</f>
        <v>2025-12-05T13:06:17.6676992+00:00</v>
      </c>
    </row>
    <row r="66" spans="1:7" ht="15.75" customHeight="1">
      <c r="A66" s="23">
        <f t="shared" si="1"/>
        <v>46065</v>
      </c>
      <c r="B66" t="str">
        <f t="shared" si="2"/>
        <v>HPGpresentaties</v>
      </c>
      <c r="C66" s="23">
        <f t="shared" si="3"/>
        <v>45896</v>
      </c>
      <c r="E66" s="24" t="str">
        <f>IF(NOT(ISBLANK(G4copy!B66)),G4copy!B66,"")</f>
        <v>2026-02-12T00:00:00.0000000</v>
      </c>
      <c r="F66" s="24" t="str">
        <f>IF(E66&lt;&gt;"",G4copy!A66,"")</f>
        <v>G4 HPGpresentaties</v>
      </c>
      <c r="G66" s="24" t="str">
        <f>IF(E66&lt;&gt;"",G4copy!F66,"")</f>
        <v>2025-08-27T18:07:25.1959754+00:00</v>
      </c>
    </row>
    <row r="67" spans="1:7" ht="15.75" customHeight="1">
      <c r="A67" s="23">
        <f t="shared" ref="A67:A130" si="4">IF(E67&lt;&gt;"",DATEVALUE(LEFT(E67,10)),"")</f>
        <v>46065</v>
      </c>
      <c r="B67" t="str">
        <f t="shared" ref="B67:B130" si="5">IF(LEN(F67)&gt;3,RIGHT(F67,LEN(F67)-3),"")</f>
        <v>inh rep FI</v>
      </c>
      <c r="C67" s="23">
        <f t="shared" ref="C67:C130" si="6">IF(E67&lt;&gt;"",DATEVALUE(LEFT(G67,10)),"")</f>
        <v>46030</v>
      </c>
      <c r="E67" s="24" t="str">
        <f>IF(NOT(ISBLANK(G4copy!B67)),G4copy!B67,"")</f>
        <v>2026-02-12T00:00:00.0000000</v>
      </c>
      <c r="F67" s="24" t="str">
        <f>IF(E67&lt;&gt;"",G4copy!A67,"")</f>
        <v>G4 inh rep FI</v>
      </c>
      <c r="G67" s="24" t="str">
        <f>IF(E67&lt;&gt;"",G4copy!F67,"")</f>
        <v>2026-01-08T12:27:34.8825393+00:00</v>
      </c>
    </row>
    <row r="68" spans="1:7" ht="15.75" customHeight="1">
      <c r="A68" s="23">
        <f t="shared" si="4"/>
        <v>46083</v>
      </c>
      <c r="B68" t="str">
        <f t="shared" si="5"/>
        <v>inh rep NA</v>
      </c>
      <c r="C68" s="23">
        <f t="shared" si="6"/>
        <v>45936</v>
      </c>
      <c r="E68" s="24" t="str">
        <f>IF(NOT(ISBLANK(G4copy!B68)),G4copy!B68,"")</f>
        <v>2026-03-02T00:00:00.0000000</v>
      </c>
      <c r="F68" s="24" t="str">
        <f>IF(E68&lt;&gt;"",G4copy!A68,"")</f>
        <v>G4 inh rep NA</v>
      </c>
      <c r="G68" s="24" t="str">
        <f>IF(E68&lt;&gt;"",G4copy!F68,"")</f>
        <v>2025-10-06T14:04:15.5119481+00:00</v>
      </c>
    </row>
    <row r="69" spans="1:7" ht="15.75" customHeight="1">
      <c r="A69" s="23">
        <f t="shared" si="4"/>
        <v>46086</v>
      </c>
      <c r="B69" t="str">
        <f t="shared" si="5"/>
        <v>inh SE ANW</v>
      </c>
      <c r="C69" s="23">
        <f t="shared" si="6"/>
        <v>45936</v>
      </c>
      <c r="E69" s="24" t="str">
        <f>IF(NOT(ISBLANK(G4copy!B69)),G4copy!B69,"")</f>
        <v>2026-03-05T00:00:00.0000000</v>
      </c>
      <c r="F69" s="24" t="str">
        <f>IF(E69&lt;&gt;"",G4copy!A69,"")</f>
        <v>G4 inh SE ANW</v>
      </c>
      <c r="G69" s="24" t="str">
        <f>IF(E69&lt;&gt;"",G4copy!F69,"")</f>
        <v>2025-10-06T14:04:15.3524982+00:00</v>
      </c>
    </row>
    <row r="70" spans="1:7" ht="15.75" customHeight="1">
      <c r="A70" s="23">
        <f t="shared" si="4"/>
        <v>46087</v>
      </c>
      <c r="B70" t="str">
        <f t="shared" si="5"/>
        <v>Rep LA</v>
      </c>
      <c r="C70" s="23">
        <f t="shared" si="6"/>
        <v>45965</v>
      </c>
      <c r="E70" s="24" t="str">
        <f>IF(NOT(ISBLANK(G4copy!B70)),G4copy!B70,"")</f>
        <v>2026-03-06T00:00:00.0000000</v>
      </c>
      <c r="F70" s="24" t="str">
        <f>IF(E70&lt;&gt;"",G4copy!A70,"")</f>
        <v>G4 Rep LA</v>
      </c>
      <c r="G70" s="24" t="str">
        <f>IF(E70&lt;&gt;"",G4copy!F70,"")</f>
        <v>2025-11-04T11:01:02.9435956+00:00</v>
      </c>
    </row>
    <row r="71" spans="1:7" ht="15.75" customHeight="1">
      <c r="A71" s="23">
        <f t="shared" si="4"/>
        <v>46094</v>
      </c>
      <c r="B71" t="str">
        <f t="shared" si="5"/>
        <v>Rep SK</v>
      </c>
      <c r="C71" s="23">
        <f t="shared" si="6"/>
        <v>45896</v>
      </c>
      <c r="E71" s="24" t="str">
        <f>IF(NOT(ISBLANK(G4copy!B71)),G4copy!B71,"")</f>
        <v>2026-03-13T00:00:00.0000000</v>
      </c>
      <c r="F71" s="24" t="str">
        <f>IF(E71&lt;&gt;"",G4copy!A71,"")</f>
        <v>G4 Rep SK</v>
      </c>
      <c r="G71" s="24" t="str">
        <f>IF(E71&lt;&gt;"",G4copy!F71,"")</f>
        <v>2025-08-27T18:07:24.9240432+00:00</v>
      </c>
    </row>
    <row r="72" spans="1:7" ht="15.75" customHeight="1">
      <c r="A72" s="23">
        <f t="shared" si="4"/>
        <v>46098</v>
      </c>
      <c r="B72" t="str">
        <f t="shared" si="5"/>
        <v>Rep WIABC</v>
      </c>
      <c r="C72" s="23">
        <f t="shared" si="6"/>
        <v>45905</v>
      </c>
      <c r="E72" s="24" t="str">
        <f>IF(NOT(ISBLANK(G4copy!B72)),G4copy!B72,"")</f>
        <v>2026-03-17T00:00:00.0000000</v>
      </c>
      <c r="F72" s="24" t="str">
        <f>IF(E72&lt;&gt;"",G4copy!A72,"")</f>
        <v>G4 Rep WIABC</v>
      </c>
      <c r="G72" s="24" t="str">
        <f>IF(E72&lt;&gt;"",G4copy!F72,"")</f>
        <v>2025-09-05T15:11:33.8614159+00:00</v>
      </c>
    </row>
    <row r="73" spans="1:7" ht="15.75" customHeight="1">
      <c r="A73" s="23">
        <f t="shared" si="4"/>
        <v>46099</v>
      </c>
      <c r="B73" t="str">
        <f t="shared" si="5"/>
        <v>Slotdag Inktaap voor deelnemers (hele dag)</v>
      </c>
      <c r="C73" s="23">
        <f t="shared" si="6"/>
        <v>46066</v>
      </c>
      <c r="E73" s="24" t="str">
        <f>IF(NOT(ISBLANK(G4copy!B73)),G4copy!B73,"")</f>
        <v>2026-03-18T00:00:00.0000000</v>
      </c>
      <c r="F73" s="24" t="str">
        <f>IF(E73&lt;&gt;"",G4copy!A73,"")</f>
        <v>G4 Slotdag Inktaap voor deelnemers (hele dag)</v>
      </c>
      <c r="G73" s="24" t="str">
        <f>IF(E73&lt;&gt;"",G4copy!F73,"")</f>
        <v>2026-02-13T11:30:00.8297623+00:00</v>
      </c>
    </row>
    <row r="74" spans="1:7" ht="15.75" customHeight="1">
      <c r="A74" s="23">
        <f t="shared" si="4"/>
        <v>46100</v>
      </c>
      <c r="B74" t="str">
        <f t="shared" si="5"/>
        <v>veegmoment</v>
      </c>
      <c r="C74" s="23">
        <f t="shared" si="6"/>
        <v>45936</v>
      </c>
      <c r="E74" s="24" t="str">
        <f>IF(NOT(ISBLANK(G4copy!B74)),G4copy!B74,"")</f>
        <v>2026-03-19T00:00:00.0000000</v>
      </c>
      <c r="F74" s="24" t="str">
        <f>IF(E74&lt;&gt;"",G4copy!A74,"")</f>
        <v>G4 veegmoment</v>
      </c>
      <c r="G74" s="24" t="str">
        <f>IF(E74&lt;&gt;"",G4copy!F74,"")</f>
        <v>2025-10-06T14:04:23.6179239+00:00</v>
      </c>
    </row>
    <row r="75" spans="1:7" ht="15.75" customHeight="1">
      <c r="A75" s="23">
        <f t="shared" si="4"/>
        <v>46104</v>
      </c>
      <c r="B75" t="str">
        <f t="shared" si="5"/>
        <v>inh rep LA</v>
      </c>
      <c r="C75" s="23">
        <f t="shared" si="6"/>
        <v>45936</v>
      </c>
      <c r="E75" s="24" t="str">
        <f>IF(NOT(ISBLANK(G4copy!B75)),G4copy!B75,"")</f>
        <v>2026-03-23T00:00:00.0000000</v>
      </c>
      <c r="F75" s="24" t="str">
        <f>IF(E75&lt;&gt;"",G4copy!A75,"")</f>
        <v>G4 inh rep LA</v>
      </c>
      <c r="G75" s="24" t="str">
        <f>IF(E75&lt;&gt;"",G4copy!F75,"")</f>
        <v>2025-10-06T14:04:14.1126603+00:00</v>
      </c>
    </row>
    <row r="76" spans="1:7" ht="15.75" customHeight="1">
      <c r="A76" s="23">
        <f t="shared" si="4"/>
        <v>46105</v>
      </c>
      <c r="B76" t="str">
        <f t="shared" si="5"/>
        <v>definitieve profielkeuze</v>
      </c>
      <c r="C76" s="23">
        <f t="shared" si="6"/>
        <v>45896</v>
      </c>
      <c r="E76" s="24" t="str">
        <f>IF(NOT(ISBLANK(G4copy!B76)),G4copy!B76,"")</f>
        <v>2026-03-24T00:00:00.0000000</v>
      </c>
      <c r="F76" s="24" t="str">
        <f>IF(E76&lt;&gt;"",G4copy!A76,"")</f>
        <v>G4 definitieve profielkeuze</v>
      </c>
      <c r="G76" s="24" t="str">
        <f>IF(E76&lt;&gt;"",G4copy!F76,"")</f>
        <v>2025-08-27T18:07:25.5626726+00:00</v>
      </c>
    </row>
    <row r="77" spans="1:7" ht="15.75" customHeight="1">
      <c r="A77" s="23">
        <f t="shared" si="4"/>
        <v>46106</v>
      </c>
      <c r="B77" t="str">
        <f t="shared" si="5"/>
        <v>aankomst Rennes</v>
      </c>
      <c r="C77" s="23">
        <f t="shared" si="6"/>
        <v>45896</v>
      </c>
      <c r="E77" s="24" t="str">
        <f>IF(NOT(ISBLANK(G4copy!B77)),G4copy!B77,"")</f>
        <v>2026-03-25T00:00:00.0000000</v>
      </c>
      <c r="F77" s="24" t="str">
        <f>IF(E77&lt;&gt;"",G4copy!A77,"")</f>
        <v>G4 aankomst Rennes</v>
      </c>
      <c r="G77" s="24" t="str">
        <f>IF(E77&lt;&gt;"",G4copy!F77,"")</f>
        <v>2025-08-27T18:07:25.4399992+00:00</v>
      </c>
    </row>
    <row r="78" spans="1:7" ht="15.75" customHeight="1">
      <c r="A78" s="23">
        <f t="shared" si="4"/>
        <v>46107</v>
      </c>
      <c r="B78" t="str">
        <f t="shared" si="5"/>
        <v>inh rep SK</v>
      </c>
      <c r="C78" s="23">
        <f t="shared" si="6"/>
        <v>45936</v>
      </c>
      <c r="E78" s="24" t="str">
        <f>IF(NOT(ISBLANK(G4copy!B78)),G4copy!B78,"")</f>
        <v>2026-03-26T00:00:00.0000000</v>
      </c>
      <c r="F78" s="24" t="str">
        <f>IF(E78&lt;&gt;"",G4copy!A78,"")</f>
        <v>G4 inh rep SK</v>
      </c>
      <c r="G78" s="24" t="str">
        <f>IF(E78&lt;&gt;"",G4copy!F78,"")</f>
        <v>2025-10-06T14:04:13.9198957+00:00</v>
      </c>
    </row>
    <row r="79" spans="1:7" ht="15.75" customHeight="1">
      <c r="A79" s="23">
        <f t="shared" si="4"/>
        <v>46108</v>
      </c>
      <c r="B79" t="str">
        <f t="shared" si="5"/>
        <v>Rep EC</v>
      </c>
      <c r="C79" s="23">
        <f t="shared" si="6"/>
        <v>45896</v>
      </c>
      <c r="E79" s="24" t="str">
        <f>IF(NOT(ISBLANK(G4copy!B79)),G4copy!B79,"")</f>
        <v>2026-03-27T00:00:00.0000000</v>
      </c>
      <c r="F79" s="24" t="str">
        <f>IF(E79&lt;&gt;"",G4copy!A79,"")</f>
        <v>G4 Rep EC</v>
      </c>
      <c r="G79" s="24" t="str">
        <f>IF(E79&lt;&gt;"",G4copy!F79,"")</f>
        <v>2025-08-27T18:07:24.2943543+00:00</v>
      </c>
    </row>
    <row r="80" spans="1:7" ht="15.75" customHeight="1">
      <c r="A80" s="23">
        <f t="shared" si="4"/>
        <v>46111</v>
      </c>
      <c r="B80" t="str">
        <f t="shared" si="5"/>
        <v>inh rep WI</v>
      </c>
      <c r="C80" s="23">
        <f t="shared" si="6"/>
        <v>45936</v>
      </c>
      <c r="E80" s="24" t="str">
        <f>IF(NOT(ISBLANK(G4copy!B80)),G4copy!B80,"")</f>
        <v>2026-03-30T00:00:00.0000000</v>
      </c>
      <c r="F80" s="24" t="str">
        <f>IF(E80&lt;&gt;"",G4copy!A80,"")</f>
        <v>G4 inh rep WI</v>
      </c>
      <c r="G80" s="24" t="str">
        <f>IF(E80&lt;&gt;"",G4copy!F80,"")</f>
        <v>2025-10-06T14:04:13.7835217+00:00</v>
      </c>
    </row>
    <row r="81" spans="1:7" ht="15.75" customHeight="1">
      <c r="A81" s="23">
        <f t="shared" si="4"/>
        <v>46112</v>
      </c>
      <c r="B81" t="str">
        <f t="shared" si="5"/>
        <v>Rep GR</v>
      </c>
      <c r="C81" s="23">
        <f t="shared" si="6"/>
        <v>45896</v>
      </c>
      <c r="E81" s="24" t="str">
        <f>IF(NOT(ISBLANK(G4copy!B81)),G4copy!B81,"")</f>
        <v>2026-03-31T00:00:00.0000000</v>
      </c>
      <c r="F81" s="24" t="str">
        <f>IF(E81&lt;&gt;"",G4copy!A81,"")</f>
        <v>G4 Rep GR</v>
      </c>
      <c r="G81" s="24" t="str">
        <f>IF(E81&lt;&gt;"",G4copy!F81,"")</f>
        <v>2025-08-27T18:07:24.1531719+00:00</v>
      </c>
    </row>
    <row r="82" spans="1:7" ht="15.75" customHeight="1">
      <c r="A82" s="23">
        <f t="shared" si="4"/>
        <v>46114</v>
      </c>
      <c r="B82" t="str">
        <f t="shared" si="5"/>
        <v>SE ANW</v>
      </c>
      <c r="C82" s="23">
        <f t="shared" si="6"/>
        <v>45896</v>
      </c>
      <c r="E82" s="24" t="str">
        <f>IF(NOT(ISBLANK(G4copy!B82)),G4copy!B82,"")</f>
        <v>2026-04-02T00:00:00.0000000</v>
      </c>
      <c r="F82" s="24" t="str">
        <f>IF(E82&lt;&gt;"",G4copy!A82,"")</f>
        <v>G4 SE ANW</v>
      </c>
      <c r="G82" s="24" t="str">
        <f>IF(E82&lt;&gt;"",G4copy!F82,"")</f>
        <v>2025-08-27T18:07:25.2183285+00:00</v>
      </c>
    </row>
    <row r="83" spans="1:7" ht="15.75" customHeight="1">
      <c r="A83" s="23">
        <f t="shared" si="4"/>
        <v>46119</v>
      </c>
      <c r="B83" t="str">
        <f t="shared" si="5"/>
        <v>definitieve profielkeuze</v>
      </c>
      <c r="C83" s="23">
        <f t="shared" si="6"/>
        <v>45965</v>
      </c>
      <c r="E83" s="24" t="str">
        <f>IF(NOT(ISBLANK(G4copy!B83)),G4copy!B83,"")</f>
        <v>2026-04-07T00:00:00.0000000</v>
      </c>
      <c r="F83" s="24" t="str">
        <f>IF(E83&lt;&gt;"",G4copy!A83,"")</f>
        <v>G4 definitieve profielkeuze</v>
      </c>
      <c r="G83" s="24" t="str">
        <f>IF(E83&lt;&gt;"",G4copy!F83,"")</f>
        <v>2025-11-04T11:05:57.6195405+00:00</v>
      </c>
    </row>
    <row r="84" spans="1:7" ht="15.75" customHeight="1">
      <c r="A84" s="23">
        <f t="shared" si="4"/>
        <v>46121</v>
      </c>
      <c r="B84" t="str">
        <f t="shared" si="5"/>
        <v>inh rep EC</v>
      </c>
      <c r="C84" s="23">
        <f t="shared" si="6"/>
        <v>45936</v>
      </c>
      <c r="E84" s="24" t="str">
        <f>IF(NOT(ISBLANK(G4copy!B84)),G4copy!B84,"")</f>
        <v>2026-04-09T00:00:00.0000000</v>
      </c>
      <c r="F84" s="24" t="str">
        <f>IF(E84&lt;&gt;"",G4copy!A84,"")</f>
        <v>G4 inh rep EC</v>
      </c>
      <c r="G84" s="24" t="str">
        <f>IF(E84&lt;&gt;"",G4copy!F84,"")</f>
        <v>2025-10-06T14:04:13.5471974+00:00</v>
      </c>
    </row>
    <row r="85" spans="1:7" ht="15.75" customHeight="1">
      <c r="A85" s="23">
        <f t="shared" si="4"/>
        <v>46122</v>
      </c>
      <c r="B85" t="str">
        <f t="shared" si="5"/>
        <v>Rep bi</v>
      </c>
      <c r="C85" s="23">
        <f t="shared" si="6"/>
        <v>45965</v>
      </c>
      <c r="E85" s="24" t="str">
        <f>IF(NOT(ISBLANK(G4copy!B85)),G4copy!B85,"")</f>
        <v>2026-04-10T00:00:00.0000000</v>
      </c>
      <c r="F85" s="24" t="str">
        <f>IF(E85&lt;&gt;"",G4copy!A85,"")</f>
        <v>G4 Rep bi</v>
      </c>
      <c r="G85" s="24" t="str">
        <f>IF(E85&lt;&gt;"",G4copy!F85,"")</f>
        <v>2025-11-04T11:01:02.5762401+00:00</v>
      </c>
    </row>
    <row r="86" spans="1:7" ht="15.75" customHeight="1">
      <c r="A86" s="23">
        <f t="shared" si="4"/>
        <v>46127</v>
      </c>
      <c r="B86" t="str">
        <f t="shared" si="5"/>
        <v>Uitreiking MDT</v>
      </c>
      <c r="C86" s="23">
        <f t="shared" si="6"/>
        <v>45896</v>
      </c>
      <c r="E86" s="24" t="str">
        <f>IF(NOT(ISBLANK(G4copy!B86)),G4copy!B86,"")</f>
        <v>2026-04-15T00:00:00.0000000</v>
      </c>
      <c r="F86" s="24" t="str">
        <f>IF(E86&lt;&gt;"",G4copy!A86,"")</f>
        <v>G4 Uitreiking MDT</v>
      </c>
      <c r="G86" s="24" t="str">
        <f>IF(E86&lt;&gt;"",G4copy!F86,"")</f>
        <v>2025-08-27T18:07:24.7086547+00:00</v>
      </c>
    </row>
    <row r="87" spans="1:7" ht="15.75" customHeight="1">
      <c r="A87" s="23">
        <f t="shared" si="4"/>
        <v>46129</v>
      </c>
      <c r="B87" t="str">
        <f t="shared" si="5"/>
        <v>rep ak</v>
      </c>
      <c r="C87" s="23">
        <f t="shared" si="6"/>
        <v>46066</v>
      </c>
      <c r="E87" s="24" t="str">
        <f>IF(NOT(ISBLANK(G4copy!B87)),G4copy!B87,"")</f>
        <v>2026-04-17T00:00:00.0000000</v>
      </c>
      <c r="F87" s="24" t="str">
        <f>IF(E87&lt;&gt;"",G4copy!A87,"")</f>
        <v>g4 rep ak</v>
      </c>
      <c r="G87" s="24" t="str">
        <f>IF(E87&lt;&gt;"",G4copy!F87,"")</f>
        <v>2026-02-13T11:37:54.4694034+00:00</v>
      </c>
    </row>
    <row r="88" spans="1:7" ht="15.75" customHeight="1">
      <c r="A88" s="23">
        <f t="shared" si="4"/>
        <v>46132</v>
      </c>
      <c r="B88" t="str">
        <f t="shared" si="5"/>
        <v>inh rep GR</v>
      </c>
      <c r="C88" s="23">
        <f t="shared" si="6"/>
        <v>45936</v>
      </c>
      <c r="E88" s="24" t="str">
        <f>IF(NOT(ISBLANK(G4copy!B88)),G4copy!B88,"")</f>
        <v>2026-04-20T00:00:00.0000000</v>
      </c>
      <c r="F88" s="24" t="str">
        <f>IF(E88&lt;&gt;"",G4copy!A88,"")</f>
        <v>G4 inh rep GR</v>
      </c>
      <c r="G88" s="24" t="str">
        <f>IF(E88&lt;&gt;"",G4copy!F88,"")</f>
        <v>2025-10-06T14:04:14.6392043+00:00</v>
      </c>
    </row>
    <row r="89" spans="1:7" ht="15.75" customHeight="1">
      <c r="A89" s="23">
        <f t="shared" si="4"/>
        <v>46133</v>
      </c>
      <c r="B89" t="str">
        <f t="shared" si="5"/>
        <v>Rep EN</v>
      </c>
      <c r="C89" s="23">
        <f t="shared" si="6"/>
        <v>45896</v>
      </c>
      <c r="E89" s="24" t="str">
        <f>IF(NOT(ISBLANK(G4copy!B89)),G4copy!B89,"")</f>
        <v>2026-04-21T00:00:00.0000000</v>
      </c>
      <c r="F89" s="24" t="str">
        <f>IF(E89&lt;&gt;"",G4copy!A89,"")</f>
        <v>G4 Rep EN</v>
      </c>
      <c r="G89" s="24" t="str">
        <f>IF(E89&lt;&gt;"",G4copy!F89,"")</f>
        <v>2025-08-27T18:07:24.4839195+00:00</v>
      </c>
    </row>
    <row r="90" spans="1:7" ht="15.75" customHeight="1">
      <c r="A90" s="23">
        <f t="shared" si="4"/>
        <v>46134</v>
      </c>
      <c r="B90" t="str">
        <f t="shared" si="5"/>
        <v>inh rep SE ANW</v>
      </c>
      <c r="C90" s="23">
        <f t="shared" si="6"/>
        <v>45936</v>
      </c>
      <c r="E90" s="24" t="str">
        <f>IF(NOT(ISBLANK(G4copy!B90)),G4copy!B90,"")</f>
        <v>2026-04-22T00:00:00.0000000</v>
      </c>
      <c r="F90" s="24" t="str">
        <f>IF(E90&lt;&gt;"",G4copy!A90,"")</f>
        <v>G4 inh rep SE ANW</v>
      </c>
      <c r="G90" s="24" t="str">
        <f>IF(E90&lt;&gt;"",G4copy!F90,"")</f>
        <v>2025-10-06T14:04:14.4975553+00:00</v>
      </c>
    </row>
    <row r="91" spans="1:7" ht="15.75" customHeight="1">
      <c r="A91" s="23">
        <f t="shared" si="4"/>
        <v>46149</v>
      </c>
      <c r="B91" t="str">
        <f t="shared" si="5"/>
        <v>inh rep EN</v>
      </c>
      <c r="C91" s="23">
        <f t="shared" si="6"/>
        <v>45936</v>
      </c>
      <c r="E91" s="24" t="str">
        <f>IF(NOT(ISBLANK(G4copy!B91)),G4copy!B91,"")</f>
        <v>2026-05-07T00:00:00.0000000</v>
      </c>
      <c r="F91" s="24" t="str">
        <f>IF(E91&lt;&gt;"",G4copy!A91,"")</f>
        <v>G4 inh rep EN</v>
      </c>
      <c r="G91" s="24" t="str">
        <f>IF(E91&lt;&gt;"",G4copy!F91,"")</f>
        <v>2025-10-06T14:04:14.2529652+00:00</v>
      </c>
    </row>
    <row r="92" spans="1:7" ht="15.75" customHeight="1">
      <c r="A92" s="23">
        <f t="shared" si="4"/>
        <v>46150</v>
      </c>
      <c r="B92" t="str">
        <f t="shared" si="5"/>
        <v>Rep WIABC</v>
      </c>
      <c r="C92" s="23">
        <f t="shared" si="6"/>
        <v>45905</v>
      </c>
      <c r="E92" s="24" t="str">
        <f>IF(NOT(ISBLANK(G4copy!B92)),G4copy!B92,"")</f>
        <v>2026-05-08T00:00:00.0000000</v>
      </c>
      <c r="F92" s="24" t="str">
        <f>IF(E92&lt;&gt;"",G4copy!A92,"")</f>
        <v>G4 Rep WIABC</v>
      </c>
      <c r="G92" s="24" t="str">
        <f>IF(E92&lt;&gt;"",G4copy!F92,"")</f>
        <v>2025-09-05T15:11:33.6792043+00:00</v>
      </c>
    </row>
    <row r="93" spans="1:7" ht="15.75" customHeight="1">
      <c r="A93" s="23">
        <f t="shared" si="4"/>
        <v>46153</v>
      </c>
      <c r="B93" t="str">
        <f t="shared" si="5"/>
        <v>inh rep AK</v>
      </c>
      <c r="C93" s="23">
        <f t="shared" si="6"/>
        <v>45968</v>
      </c>
      <c r="E93" s="24" t="str">
        <f>IF(NOT(ISBLANK(G4copy!B93)),G4copy!B93,"")</f>
        <v>2026-05-11T00:00:00.0000000</v>
      </c>
      <c r="F93" s="24" t="str">
        <f>IF(E93&lt;&gt;"",G4copy!A93,"")</f>
        <v>G4 inh rep AK</v>
      </c>
      <c r="G93" s="24" t="str">
        <f>IF(E93&lt;&gt;"",G4copy!F93,"")</f>
        <v>2025-11-07T12:42:51.3574948+00:00</v>
      </c>
    </row>
    <row r="94" spans="1:7" ht="15.75" customHeight="1">
      <c r="A94" s="23">
        <f t="shared" si="4"/>
        <v>46154</v>
      </c>
      <c r="B94" t="str">
        <f t="shared" si="5"/>
        <v>Rep BE</v>
      </c>
      <c r="C94" s="23">
        <f t="shared" si="6"/>
        <v>45896</v>
      </c>
      <c r="E94" s="24" t="str">
        <f>IF(NOT(ISBLANK(G4copy!B94)),G4copy!B94,"")</f>
        <v>2026-05-12T00:00:00.0000000</v>
      </c>
      <c r="F94" s="24" t="str">
        <f>IF(E94&lt;&gt;"",G4copy!A94,"")</f>
        <v>G4 Rep BE</v>
      </c>
      <c r="G94" s="24" t="str">
        <f>IF(E94&lt;&gt;"",G4copy!F94,"")</f>
        <v>2025-08-27T18:07:23.2263861+00:00</v>
      </c>
    </row>
    <row r="95" spans="1:7" ht="15.75" customHeight="1">
      <c r="A95" s="23">
        <f t="shared" si="4"/>
        <v>46155</v>
      </c>
      <c r="B95" t="str">
        <f t="shared" si="5"/>
        <v>inh Rep BIO</v>
      </c>
      <c r="C95" s="23">
        <f t="shared" si="6"/>
        <v>46066</v>
      </c>
      <c r="E95" s="24" t="str">
        <f>IF(NOT(ISBLANK(G4copy!B95)),G4copy!B95,"")</f>
        <v>2026-05-13T00:00:00.0000000</v>
      </c>
      <c r="F95" s="24" t="str">
        <f>IF(E95&lt;&gt;"",G4copy!A95,"")</f>
        <v>G4 inh Rep BIO</v>
      </c>
      <c r="G95" s="24" t="str">
        <f>IF(E95&lt;&gt;"",G4copy!F95,"")</f>
        <v>2026-02-13T11:30:01.1866398+00:00</v>
      </c>
    </row>
    <row r="96" spans="1:7" ht="15.75" customHeight="1">
      <c r="A96" s="23">
        <f t="shared" si="4"/>
        <v>46160</v>
      </c>
      <c r="B96" t="str">
        <f t="shared" si="5"/>
        <v>inh rep WI</v>
      </c>
      <c r="C96" s="23">
        <f t="shared" si="6"/>
        <v>45936</v>
      </c>
      <c r="E96" s="24" t="str">
        <f>IF(NOT(ISBLANK(G4copy!B96)),G4copy!B96,"")</f>
        <v>2026-05-18T00:00:00.0000000</v>
      </c>
      <c r="F96" s="24" t="str">
        <f>IF(E96&lt;&gt;"",G4copy!A96,"")</f>
        <v>G4 inh rep WI</v>
      </c>
      <c r="G96" s="24" t="str">
        <f>IF(E96&lt;&gt;"",G4copy!F96,"")</f>
        <v>2025-10-06T14:04:12.0357754+00:00</v>
      </c>
    </row>
    <row r="97" spans="1:7" ht="15.75" customHeight="1">
      <c r="A97" s="23">
        <f t="shared" si="4"/>
        <v>46162</v>
      </c>
      <c r="B97" t="str">
        <f t="shared" si="5"/>
        <v>inh rep BE</v>
      </c>
      <c r="C97" s="23">
        <f t="shared" si="6"/>
        <v>45936</v>
      </c>
      <c r="E97" s="24" t="str">
        <f>IF(NOT(ISBLANK(G4copy!B97)),G4copy!B97,"")</f>
        <v>2026-05-20T00:00:00.0000000</v>
      </c>
      <c r="F97" s="24" t="str">
        <f>IF(E97&lt;&gt;"",G4copy!A97,"")</f>
        <v>G4 inh rep BE</v>
      </c>
      <c r="G97" s="24" t="str">
        <f>IF(E97&lt;&gt;"",G4copy!F97,"")</f>
        <v>2025-10-06T14:04:11.8879291+00:00</v>
      </c>
    </row>
    <row r="98" spans="1:7" ht="15.75" customHeight="1">
      <c r="A98" s="23">
        <f t="shared" si="4"/>
        <v>46163</v>
      </c>
      <c r="B98" t="str">
        <f t="shared" si="5"/>
        <v>HPGpresentaties</v>
      </c>
      <c r="C98" s="23">
        <f t="shared" si="6"/>
        <v>45896</v>
      </c>
      <c r="E98" s="24" t="str">
        <f>IF(NOT(ISBLANK(G4copy!B98)),G4copy!B98,"")</f>
        <v>2026-05-21T00:00:00.0000000</v>
      </c>
      <c r="F98" s="24" t="str">
        <f>IF(E98&lt;&gt;"",G4copy!A98,"")</f>
        <v>G4 HPGpresentaties</v>
      </c>
      <c r="G98" s="24" t="str">
        <f>IF(E98&lt;&gt;"",G4copy!F98,"")</f>
        <v>2025-08-27T18:07:22.9427439+00:00</v>
      </c>
    </row>
    <row r="99" spans="1:7" ht="15.75" customHeight="1">
      <c r="A99" s="23">
        <f t="shared" si="4"/>
        <v>46164</v>
      </c>
      <c r="B99" t="str">
        <f t="shared" si="5"/>
        <v>Rep SK</v>
      </c>
      <c r="C99" s="23">
        <f t="shared" si="6"/>
        <v>45965</v>
      </c>
      <c r="E99" s="24" t="str">
        <f>IF(NOT(ISBLANK(G4copy!B99)),G4copy!B99,"")</f>
        <v>2026-05-22T00:00:00.0000000</v>
      </c>
      <c r="F99" s="24" t="str">
        <f>IF(E99&lt;&gt;"",G4copy!A99,"")</f>
        <v>G4 Rep SK</v>
      </c>
      <c r="G99" s="24" t="str">
        <f>IF(E99&lt;&gt;"",G4copy!F99,"")</f>
        <v>2025-11-04T11:01:02.4488168+00:00</v>
      </c>
    </row>
    <row r="100" spans="1:7" ht="15.75" customHeight="1">
      <c r="A100" s="23">
        <f t="shared" si="4"/>
        <v>46171</v>
      </c>
      <c r="B100" t="str">
        <f t="shared" si="5"/>
        <v>Rep NA</v>
      </c>
      <c r="C100" s="23">
        <f t="shared" si="6"/>
        <v>45896</v>
      </c>
      <c r="E100" s="24" t="str">
        <f>IF(NOT(ISBLANK(G4copy!B100)),G4copy!B100,"")</f>
        <v>2026-05-29T00:00:00.0000000</v>
      </c>
      <c r="F100" s="24" t="str">
        <f>IF(E100&lt;&gt;"",G4copy!A100,"")</f>
        <v>G4 Rep NA</v>
      </c>
      <c r="G100" s="24" t="str">
        <f>IF(E100&lt;&gt;"",G4copy!F100,"")</f>
        <v>2025-08-27T18:07:24.0817594+00:00</v>
      </c>
    </row>
    <row r="101" spans="1:7" ht="15.75" customHeight="1">
      <c r="A101" s="23">
        <f t="shared" si="4"/>
        <v>46174</v>
      </c>
      <c r="B101" t="str">
        <f t="shared" si="5"/>
        <v>inh rep SK</v>
      </c>
      <c r="C101" s="23">
        <f t="shared" si="6"/>
        <v>45936</v>
      </c>
      <c r="E101" s="24" t="str">
        <f>IF(NOT(ISBLANK(G4copy!B101)),G4copy!B101,"")</f>
        <v>2026-06-01T00:00:00.0000000</v>
      </c>
      <c r="F101" s="24" t="str">
        <f>IF(E101&lt;&gt;"",G4copy!A101,"")</f>
        <v>G4 inh rep SK</v>
      </c>
      <c r="G101" s="24" t="str">
        <f>IF(E101&lt;&gt;"",G4copy!F101,"")</f>
        <v>2025-10-06T14:04:11.6600239+00:00</v>
      </c>
    </row>
    <row r="102" spans="1:7" ht="15.75" customHeight="1">
      <c r="A102" s="23">
        <f t="shared" si="4"/>
        <v>46174</v>
      </c>
      <c r="B102" t="str">
        <f t="shared" si="5"/>
        <v>bezoek leerlingen uit Munster</v>
      </c>
      <c r="C102" s="23">
        <f t="shared" si="6"/>
        <v>45986</v>
      </c>
      <c r="E102" s="24" t="str">
        <f>IF(NOT(ISBLANK(G4copy!B102)),G4copy!B102,"")</f>
        <v>2026-06-01T00:00:00.0000000</v>
      </c>
      <c r="F102" s="24" t="str">
        <f>IF(E102&lt;&gt;"",G4copy!A102,"")</f>
        <v>G4 bezoek leerlingen uit Munster</v>
      </c>
      <c r="G102" s="24" t="str">
        <f>IF(E102&lt;&gt;"",G4copy!F102,"")</f>
        <v>2025-11-25T15:24:20.9645188+00:00</v>
      </c>
    </row>
    <row r="103" spans="1:7" ht="15.75" customHeight="1">
      <c r="A103" s="23">
        <f t="shared" si="4"/>
        <v>46175</v>
      </c>
      <c r="B103" t="str">
        <f t="shared" si="5"/>
        <v>bezoek leerlingen uit Munster</v>
      </c>
      <c r="C103" s="23">
        <f t="shared" si="6"/>
        <v>45986</v>
      </c>
      <c r="E103" s="24" t="str">
        <f>IF(NOT(ISBLANK(G4copy!B103)),G4copy!B103,"")</f>
        <v>2026-06-02T00:00:00.0000000</v>
      </c>
      <c r="F103" s="24" t="str">
        <f>IF(E103&lt;&gt;"",G4copy!A103,"")</f>
        <v>G4 bezoek leerlingen uit Munster</v>
      </c>
      <c r="G103" s="24" t="str">
        <f>IF(E103&lt;&gt;"",G4copy!F103,"")</f>
        <v>2025-11-25T15:24:20.7083487+00:00</v>
      </c>
    </row>
    <row r="104" spans="1:7" ht="15.75" customHeight="1">
      <c r="A104" s="23">
        <f t="shared" si="4"/>
        <v>46176</v>
      </c>
      <c r="B104" t="str">
        <f t="shared" si="5"/>
        <v>bezoek leerlingen uit Munster</v>
      </c>
      <c r="C104" s="23">
        <f t="shared" si="6"/>
        <v>45986</v>
      </c>
      <c r="E104" s="24" t="str">
        <f>IF(NOT(ISBLANK(G4copy!B104)),G4copy!B104,"")</f>
        <v>2026-06-03T00:00:00.0000000</v>
      </c>
      <c r="F104" s="24" t="str">
        <f>IF(E104&lt;&gt;"",G4copy!A104,"")</f>
        <v>G4 bezoek leerlingen uit Munster</v>
      </c>
      <c r="G104" s="24" t="str">
        <f>IF(E104&lt;&gt;"",G4copy!F104,"")</f>
        <v>2025-11-25T15:24:20.45553+00:00</v>
      </c>
    </row>
    <row r="105" spans="1:7" ht="15.75" customHeight="1">
      <c r="A105" s="23">
        <f t="shared" si="4"/>
        <v>46177</v>
      </c>
      <c r="B105" t="str">
        <f t="shared" si="5"/>
        <v xml:space="preserve">fietsexcursie ak </v>
      </c>
      <c r="C105" s="23">
        <f t="shared" si="6"/>
        <v>45896</v>
      </c>
      <c r="E105" s="24" t="str">
        <f>IF(NOT(ISBLANK(G4copy!B105)),G4copy!B105,"")</f>
        <v>2026-06-04T00:00:00.0000000</v>
      </c>
      <c r="F105" s="24" t="str">
        <f>IF(E105&lt;&gt;"",G4copy!A105,"")</f>
        <v xml:space="preserve">G4 fietsexcursie ak </v>
      </c>
      <c r="G105" s="24" t="str">
        <f>IF(E105&lt;&gt;"",G4copy!F105,"")</f>
        <v>2025-08-27T18:07:22.6777603+00:00</v>
      </c>
    </row>
    <row r="106" spans="1:7" ht="15.75" customHeight="1">
      <c r="A106" s="23">
        <f t="shared" si="4"/>
        <v>46178</v>
      </c>
      <c r="B106" t="str">
        <f t="shared" si="5"/>
        <v>Rep GS</v>
      </c>
      <c r="C106" s="23">
        <f t="shared" si="6"/>
        <v>45896</v>
      </c>
      <c r="E106" s="24" t="str">
        <f>IF(NOT(ISBLANK(G4copy!B106)),G4copy!B106,"")</f>
        <v>2026-06-05T00:00:00.0000000</v>
      </c>
      <c r="F106" s="24" t="str">
        <f>IF(E106&lt;&gt;"",G4copy!A106,"")</f>
        <v>G4 Rep GS</v>
      </c>
      <c r="G106" s="24" t="str">
        <f>IF(E106&lt;&gt;"",G4copy!F106,"")</f>
        <v>2025-08-27T18:07:22.4458175+00:00</v>
      </c>
    </row>
    <row r="107" spans="1:7" ht="15.75" customHeight="1">
      <c r="A107" s="23">
        <f t="shared" si="4"/>
        <v>46181</v>
      </c>
      <c r="B107" t="str">
        <f t="shared" si="5"/>
        <v>inh rep NA</v>
      </c>
      <c r="C107" s="23">
        <f t="shared" si="6"/>
        <v>45936</v>
      </c>
      <c r="E107" s="24" t="str">
        <f>IF(NOT(ISBLANK(G4copy!B107)),G4copy!B107,"")</f>
        <v>2026-06-08T00:00:00.0000000</v>
      </c>
      <c r="F107" s="24" t="str">
        <f>IF(E107&lt;&gt;"",G4copy!A107,"")</f>
        <v>G4 inh rep NA</v>
      </c>
      <c r="G107" s="24" t="str">
        <f>IF(E107&lt;&gt;"",G4copy!F107,"")</f>
        <v>2025-10-06T14:04:13.6930013+00:00</v>
      </c>
    </row>
    <row r="108" spans="1:7" ht="15.75" customHeight="1">
      <c r="A108" s="23">
        <f t="shared" si="4"/>
        <v>46182</v>
      </c>
      <c r="B108" t="str">
        <f t="shared" si="5"/>
        <v>Rep NE</v>
      </c>
      <c r="C108" s="23">
        <f t="shared" si="6"/>
        <v>45896</v>
      </c>
      <c r="E108" s="24" t="str">
        <f>IF(NOT(ISBLANK(G4copy!B108)),G4copy!B108,"")</f>
        <v>2026-06-09T00:00:00.0000000</v>
      </c>
      <c r="F108" s="24" t="str">
        <f>IF(E108&lt;&gt;"",G4copy!A108,"")</f>
        <v>G4 Rep NE</v>
      </c>
      <c r="G108" s="24" t="str">
        <f>IF(E108&lt;&gt;"",G4copy!F108,"")</f>
        <v>2025-08-27T18:07:22.3298032+00:00</v>
      </c>
    </row>
    <row r="109" spans="1:7" ht="15.75" customHeight="1">
      <c r="A109" s="23">
        <f t="shared" si="4"/>
        <v>46184</v>
      </c>
      <c r="B109" t="str">
        <f t="shared" si="5"/>
        <v>SE ANW</v>
      </c>
      <c r="C109" s="23">
        <f t="shared" si="6"/>
        <v>45896</v>
      </c>
      <c r="E109" s="24" t="str">
        <f>IF(NOT(ISBLANK(G4copy!B109)),G4copy!B109,"")</f>
        <v>2026-06-11T00:00:00.0000000</v>
      </c>
      <c r="F109" s="24" t="str">
        <f>IF(E109&lt;&gt;"",G4copy!A109,"")</f>
        <v>G4 SE ANW</v>
      </c>
      <c r="G109" s="24" t="str">
        <f>IF(E109&lt;&gt;"",G4copy!F109,"")</f>
        <v>2025-08-27T18:07:23.0957056+00:00</v>
      </c>
    </row>
    <row r="110" spans="1:7" ht="15.75" customHeight="1">
      <c r="A110" s="23">
        <f t="shared" si="4"/>
        <v>46188</v>
      </c>
      <c r="B110" t="str">
        <f t="shared" si="5"/>
        <v>inh rep GS</v>
      </c>
      <c r="C110" s="23">
        <f t="shared" si="6"/>
        <v>45936</v>
      </c>
      <c r="E110" s="24" t="str">
        <f>IF(NOT(ISBLANK(G4copy!B110)),G4copy!B110,"")</f>
        <v>2026-06-15T00:00:00.0000000</v>
      </c>
      <c r="F110" s="24" t="str">
        <f>IF(E110&lt;&gt;"",G4copy!A110,"")</f>
        <v>G4 inh rep GS</v>
      </c>
      <c r="G110" s="24" t="str">
        <f>IF(E110&lt;&gt;"",G4copy!F110,"")</f>
        <v>2025-10-06T14:04:11.3693138+00:00</v>
      </c>
    </row>
    <row r="111" spans="1:7" ht="15.75" customHeight="1">
      <c r="A111" s="23">
        <f t="shared" si="4"/>
        <v>46189</v>
      </c>
      <c r="B111" t="str">
        <f t="shared" si="5"/>
        <v>Rep AK</v>
      </c>
      <c r="C111" s="23">
        <f t="shared" si="6"/>
        <v>45896</v>
      </c>
      <c r="E111" s="24" t="str">
        <f>IF(NOT(ISBLANK(G4copy!B111)),G4copy!B111,"")</f>
        <v>2026-06-16T00:00:00.0000000</v>
      </c>
      <c r="F111" s="24" t="str">
        <f>IF(E111&lt;&gt;"",G4copy!A111,"")</f>
        <v>G4 Rep AK</v>
      </c>
      <c r="G111" s="24" t="str">
        <f>IF(E111&lt;&gt;"",G4copy!F111,"")</f>
        <v>2025-08-27T18:07:21.911853+00:00</v>
      </c>
    </row>
    <row r="112" spans="1:7" ht="15.75" customHeight="1">
      <c r="A112" s="23">
        <f t="shared" si="4"/>
        <v>46191</v>
      </c>
      <c r="B112" t="str">
        <f t="shared" si="5"/>
        <v>veegmoment</v>
      </c>
      <c r="C112" s="23">
        <f t="shared" si="6"/>
        <v>45936</v>
      </c>
      <c r="E112" s="24" t="str">
        <f>IF(NOT(ISBLANK(G4copy!B112)),G4copy!B112,"")</f>
        <v>2026-06-18T00:00:00.0000000</v>
      </c>
      <c r="F112" s="24" t="str">
        <f>IF(E112&lt;&gt;"",G4copy!A112,"")</f>
        <v>G4 veegmoment</v>
      </c>
      <c r="G112" s="24" t="str">
        <f>IF(E112&lt;&gt;"",G4copy!F112,"")</f>
        <v>2025-10-06T14:04:11.1673823+00:00</v>
      </c>
    </row>
    <row r="113" spans="1:7" ht="15.75" customHeight="1">
      <c r="A113" s="23">
        <f t="shared" si="4"/>
        <v>46192</v>
      </c>
      <c r="B113" t="str">
        <f t="shared" si="5"/>
        <v>Rep FI</v>
      </c>
      <c r="C113" s="23">
        <f t="shared" si="6"/>
        <v>45896</v>
      </c>
      <c r="E113" s="24" t="str">
        <f>IF(NOT(ISBLANK(G4copy!B113)),G4copy!B113,"")</f>
        <v>2026-06-19T00:00:00.0000000</v>
      </c>
      <c r="F113" s="24" t="str">
        <f>IF(E113&lt;&gt;"",G4copy!A113,"")</f>
        <v>G4 Rep FI</v>
      </c>
      <c r="G113" s="24" t="str">
        <f>IF(E113&lt;&gt;"",G4copy!F113,"")</f>
        <v>2025-08-27T18:07:21.7674533+00:00</v>
      </c>
    </row>
    <row r="114" spans="1:7" ht="15.75" customHeight="1">
      <c r="A114" s="23">
        <f t="shared" si="4"/>
        <v>46195</v>
      </c>
      <c r="B114" t="str">
        <f t="shared" si="5"/>
        <v>inh rep NE</v>
      </c>
      <c r="C114" s="23">
        <f t="shared" si="6"/>
        <v>45936</v>
      </c>
      <c r="E114" s="24" t="str">
        <f>IF(NOT(ISBLANK(G4copy!B114)),G4copy!B114,"")</f>
        <v>2026-06-22T00:00:00.0000000</v>
      </c>
      <c r="F114" s="24" t="str">
        <f>IF(E114&lt;&gt;"",G4copy!A114,"")</f>
        <v>G4 inh rep NE</v>
      </c>
      <c r="G114" s="24" t="str">
        <f>IF(E114&lt;&gt;"",G4copy!F114,"")</f>
        <v>2025-10-06T14:04:10.9768839+00:00</v>
      </c>
    </row>
    <row r="115" spans="1:7" ht="15.75" customHeight="1">
      <c r="A115" s="23">
        <f t="shared" si="4"/>
        <v>46196</v>
      </c>
      <c r="B115" t="str">
        <f t="shared" si="5"/>
        <v>inh rep AK</v>
      </c>
      <c r="C115" s="23">
        <f t="shared" si="6"/>
        <v>45936</v>
      </c>
      <c r="E115" s="24" t="str">
        <f>IF(NOT(ISBLANK(G4copy!B115)),G4copy!B115,"")</f>
        <v>2026-06-23T00:00:00.0000000</v>
      </c>
      <c r="F115" s="24" t="str">
        <f>IF(E115&lt;&gt;"",G4copy!A115,"")</f>
        <v>G4 inh rep AK</v>
      </c>
      <c r="G115" s="24" t="str">
        <f>IF(E115&lt;&gt;"",G4copy!F115,"")</f>
        <v>2025-10-06T14:04:10.6249729+00:00</v>
      </c>
    </row>
    <row r="116" spans="1:7" ht="15.75" customHeight="1">
      <c r="A116" s="23">
        <f t="shared" si="4"/>
        <v>46197</v>
      </c>
      <c r="B116" t="str">
        <f t="shared" si="5"/>
        <v>inh rep FI</v>
      </c>
      <c r="C116" s="23">
        <f t="shared" si="6"/>
        <v>45936</v>
      </c>
      <c r="E116" s="24" t="str">
        <f>IF(NOT(ISBLANK(G4copy!B116)),G4copy!B116,"")</f>
        <v>2026-06-24T00:00:00.0000000</v>
      </c>
      <c r="F116" s="24" t="str">
        <f>IF(E116&lt;&gt;"",G4copy!A116,"")</f>
        <v>G4 inh rep FI</v>
      </c>
      <c r="G116" s="24" t="str">
        <f>IF(E116&lt;&gt;"",G4copy!F116,"")</f>
        <v>2025-10-06T14:04:10.4715387+00:00</v>
      </c>
    </row>
    <row r="117" spans="1:7" ht="15.75" customHeight="1">
      <c r="A117" s="23">
        <f t="shared" si="4"/>
        <v>46198</v>
      </c>
      <c r="B117" t="str">
        <f t="shared" si="5"/>
        <v>tsweek: rep latl / rep grtl / rep wic / inh SE ANW</v>
      </c>
      <c r="C117" s="23">
        <f t="shared" si="6"/>
        <v>45965</v>
      </c>
      <c r="E117" s="24" t="str">
        <f>IF(NOT(ISBLANK(G4copy!B117)),G4copy!B117,"")</f>
        <v>2026-06-25T00:00:00.0000000</v>
      </c>
      <c r="F117" s="24" t="str">
        <f>IF(E117&lt;&gt;"",G4copy!A117,"")</f>
        <v>toetsweek: rep latl / rep grtl / rep wic / inh SE ANW</v>
      </c>
      <c r="G117" s="24" t="str">
        <f>IF(E117&lt;&gt;"",G4copy!F117,"")</f>
        <v>2025-11-04T11:05:02.3111175+00:00</v>
      </c>
    </row>
    <row r="118" spans="1:7" ht="15.75" customHeight="1">
      <c r="A118" s="23">
        <f t="shared" si="4"/>
        <v>46199</v>
      </c>
      <c r="B118" t="str">
        <f t="shared" si="5"/>
        <v>tsweek: rep nat / rep sptl</v>
      </c>
      <c r="C118" s="23">
        <f t="shared" si="6"/>
        <v>45965</v>
      </c>
      <c r="E118" s="24" t="str">
        <f>IF(NOT(ISBLANK(G4copy!B118)),G4copy!B118,"")</f>
        <v>2026-06-26T00:00:00.0000000</v>
      </c>
      <c r="F118" s="24" t="str">
        <f>IF(E118&lt;&gt;"",G4copy!A118,"")</f>
        <v>Toetsweek: rep nat / rep sptl</v>
      </c>
      <c r="G118" s="24" t="str">
        <f>IF(E118&lt;&gt;"",G4copy!F118,"")</f>
        <v>2025-11-04T11:05:55.489058+00:00</v>
      </c>
    </row>
    <row r="119" spans="1:7" ht="15.75" customHeight="1">
      <c r="A119" s="23">
        <f t="shared" si="4"/>
        <v>46202</v>
      </c>
      <c r="B119" t="str">
        <f t="shared" si="5"/>
        <v>tsweek: rep ec / rep sk</v>
      </c>
      <c r="C119" s="23">
        <f t="shared" si="6"/>
        <v>45965</v>
      </c>
      <c r="E119" s="24" t="str">
        <f>IF(NOT(ISBLANK(G4copy!B119)),G4copy!B119,"")</f>
        <v>2026-06-29T00:00:00.0000000</v>
      </c>
      <c r="F119" s="24" t="str">
        <f>IF(E119&lt;&gt;"",G4copy!A119,"")</f>
        <v>Toetsweek: rep ec / rep sk</v>
      </c>
      <c r="G119" s="24" t="str">
        <f>IF(E119&lt;&gt;"",G4copy!F119,"")</f>
        <v>2025-11-04T11:05:53.9751773+00:00</v>
      </c>
    </row>
    <row r="120" spans="1:7" ht="15.75" customHeight="1">
      <c r="A120" s="23">
        <f t="shared" si="4"/>
        <v>46203</v>
      </c>
      <c r="B120" t="str">
        <f t="shared" si="5"/>
        <v>tsweek: rep entl</v>
      </c>
      <c r="C120" s="23">
        <f t="shared" si="6"/>
        <v>45965</v>
      </c>
      <c r="E120" s="24" t="str">
        <f>IF(NOT(ISBLANK(G4copy!B120)),G4copy!B120,"")</f>
        <v>2026-06-30T00:00:00.0000000</v>
      </c>
      <c r="F120" s="24" t="str">
        <f>IF(E120&lt;&gt;"",G4copy!A120,"")</f>
        <v>Toetsweek: rep entl</v>
      </c>
      <c r="G120" s="24" t="str">
        <f>IF(E120&lt;&gt;"",G4copy!F120,"")</f>
        <v>2025-11-04T11:05:52.6093869+00:00</v>
      </c>
    </row>
    <row r="121" spans="1:7" ht="15.75" customHeight="1">
      <c r="A121" s="23">
        <f t="shared" si="4"/>
        <v>46204</v>
      </c>
      <c r="B121" t="str">
        <f t="shared" si="5"/>
        <v>tsweek: rep beco / rep dutl / rep fatl</v>
      </c>
      <c r="C121" s="23">
        <f t="shared" si="6"/>
        <v>45965</v>
      </c>
      <c r="E121" s="24" t="str">
        <f>IF(NOT(ISBLANK(G4copy!B121)),G4copy!B121,"")</f>
        <v>2026-07-01T00:00:00.0000000</v>
      </c>
      <c r="F121" s="24" t="str">
        <f>IF(E121&lt;&gt;"",G4copy!A121,"")</f>
        <v>Toetsweek: rep beco / rep dutl / rep fatl</v>
      </c>
      <c r="G121" s="24" t="str">
        <f>IF(E121&lt;&gt;"",G4copy!F121,"")</f>
        <v>2025-11-04T11:05:51.026638+00:00</v>
      </c>
    </row>
    <row r="122" spans="1:7" ht="15.75" customHeight="1">
      <c r="A122" s="23">
        <f t="shared" si="4"/>
        <v>46205</v>
      </c>
      <c r="B122" t="str">
        <f t="shared" si="5"/>
        <v>tsweek: rep biol</v>
      </c>
      <c r="C122" s="23">
        <f t="shared" si="6"/>
        <v>45965</v>
      </c>
      <c r="E122" s="24" t="str">
        <f>IF(NOT(ISBLANK(G4copy!B122)),G4copy!B122,"")</f>
        <v>2026-07-02T00:00:00.0000000</v>
      </c>
      <c r="F122" s="24" t="str">
        <f>IF(E122&lt;&gt;"",G4copy!A122,"")</f>
        <v>Toetsweek: rep biol</v>
      </c>
      <c r="G122" s="24" t="str">
        <f>IF(E122&lt;&gt;"",G4copy!F122,"")</f>
        <v>2025-11-04T11:05:06.1142509+00:00</v>
      </c>
    </row>
    <row r="123" spans="1:7" ht="15.75" customHeight="1">
      <c r="A123" s="23">
        <f t="shared" si="4"/>
        <v>46206</v>
      </c>
      <c r="B123" t="str">
        <f t="shared" si="5"/>
        <v>tsweek: rep wia / rep wib</v>
      </c>
      <c r="C123" s="23">
        <f t="shared" si="6"/>
        <v>45965</v>
      </c>
      <c r="E123" s="24" t="str">
        <f>IF(NOT(ISBLANK(G4copy!B123)),G4copy!B123,"")</f>
        <v>2026-07-03T00:00:00.0000000</v>
      </c>
      <c r="F123" s="24" t="str">
        <f>IF(E123&lt;&gt;"",G4copy!A123,"")</f>
        <v>Toetsweek: rep wia / rep wib</v>
      </c>
      <c r="G123" s="24" t="str">
        <f>IF(E123&lt;&gt;"",G4copy!F123,"")</f>
        <v>2025-11-04T11:05:04.4467827+00:00</v>
      </c>
    </row>
    <row r="124" spans="1:7" ht="15.75" customHeight="1">
      <c r="A124" s="23">
        <f t="shared" si="4"/>
        <v>46209</v>
      </c>
      <c r="B124" t="str">
        <f t="shared" si="5"/>
        <v>inhalen</v>
      </c>
      <c r="C124" s="23">
        <f t="shared" si="6"/>
        <v>45896</v>
      </c>
      <c r="E124" s="24" t="str">
        <f>IF(NOT(ISBLANK(G4copy!B124)),G4copy!B124,"")</f>
        <v>2026-07-06T00:00:00.0000000</v>
      </c>
      <c r="F124" s="24" t="str">
        <f>IF(E124&lt;&gt;"",G4copy!A124,"")</f>
        <v>G4 inhalen</v>
      </c>
      <c r="G124" s="24" t="str">
        <f>IF(E124&lt;&gt;"",G4copy!F124,"")</f>
        <v>2025-08-27T18:07:22.2762262+00:00</v>
      </c>
    </row>
    <row r="125" spans="1:7" ht="15.75" customHeight="1">
      <c r="A125" s="23">
        <f t="shared" si="4"/>
        <v>46212</v>
      </c>
      <c r="B125" t="str">
        <f t="shared" si="5"/>
        <v>cijfers inleveren</v>
      </c>
      <c r="C125" s="23">
        <f t="shared" si="6"/>
        <v>45896</v>
      </c>
      <c r="E125" s="24" t="str">
        <f>IF(NOT(ISBLANK(G4copy!B125)),G4copy!B125,"")</f>
        <v>2026-07-09T00:00:00.0000000</v>
      </c>
      <c r="F125" s="24" t="str">
        <f>IF(E125&lt;&gt;"",G4copy!A125,"")</f>
        <v>G4 cijfers inleveren</v>
      </c>
      <c r="G125" s="24" t="str">
        <f>IF(E125&lt;&gt;"",G4copy!F125,"")</f>
        <v>2025-08-27T18:07:22.0935322+00:00</v>
      </c>
    </row>
    <row r="126" spans="1:7" ht="15.75" customHeight="1">
      <c r="A126" s="23">
        <f t="shared" si="4"/>
        <v>46216</v>
      </c>
      <c r="B126" t="str">
        <f t="shared" si="5"/>
        <v>overgangsverg 15.00</v>
      </c>
      <c r="C126" s="23">
        <f t="shared" si="6"/>
        <v>45896</v>
      </c>
      <c r="E126" s="24" t="str">
        <f>IF(NOT(ISBLANK(G4copy!B126)),G4copy!B126,"")</f>
        <v>2026-07-13T00:00:00.0000000</v>
      </c>
      <c r="F126" s="24" t="str">
        <f>IF(E126&lt;&gt;"",G4copy!A126,"")</f>
        <v>G4 overgangsverg 15.00</v>
      </c>
      <c r="G126" s="24" t="str">
        <f>IF(E126&lt;&gt;"",G4copy!F126,"")</f>
        <v>2025-08-27T18:07:20.5037843+00:00</v>
      </c>
    </row>
    <row r="127" spans="1:7" ht="15.75" customHeight="1">
      <c r="A127" s="23" t="str">
        <f t="shared" si="4"/>
        <v/>
      </c>
      <c r="B127" t="str">
        <f t="shared" si="5"/>
        <v/>
      </c>
      <c r="C127" s="23" t="str">
        <f t="shared" si="6"/>
        <v/>
      </c>
      <c r="E127" s="24" t="str">
        <f>IF(NOT(ISBLANK(G4copy!B127)),G4copy!B127,"")</f>
        <v/>
      </c>
      <c r="F127" s="24" t="str">
        <f>IF(E127&lt;&gt;"",G4copy!A127,"")</f>
        <v/>
      </c>
      <c r="G127" s="24" t="str">
        <f>IF(E127&lt;&gt;"",G4copy!F127,"")</f>
        <v/>
      </c>
    </row>
    <row r="128" spans="1:7" ht="15.75" customHeight="1">
      <c r="A128" s="23" t="str">
        <f t="shared" si="4"/>
        <v/>
      </c>
      <c r="B128" t="str">
        <f t="shared" si="5"/>
        <v/>
      </c>
      <c r="C128" s="23" t="str">
        <f t="shared" si="6"/>
        <v/>
      </c>
      <c r="E128" s="24" t="str">
        <f>IF(NOT(ISBLANK(G4copy!B128)),G4copy!B128,"")</f>
        <v/>
      </c>
      <c r="F128" s="24" t="str">
        <f>IF(E128&lt;&gt;"",G4copy!A128,"")</f>
        <v/>
      </c>
      <c r="G128" s="24" t="str">
        <f>IF(E128&lt;&gt;"",G4copy!F128,"")</f>
        <v/>
      </c>
    </row>
    <row r="129" spans="1:7" ht="15.75" customHeight="1">
      <c r="A129" s="23" t="str">
        <f t="shared" si="4"/>
        <v/>
      </c>
      <c r="B129" t="str">
        <f t="shared" si="5"/>
        <v/>
      </c>
      <c r="C129" s="23" t="str">
        <f t="shared" si="6"/>
        <v/>
      </c>
      <c r="E129" s="24" t="str">
        <f>IF(NOT(ISBLANK(G4copy!B129)),G4copy!B129,"")</f>
        <v/>
      </c>
      <c r="F129" s="24" t="str">
        <f>IF(E129&lt;&gt;"",G4copy!A129,"")</f>
        <v/>
      </c>
      <c r="G129" s="24" t="str">
        <f>IF(E129&lt;&gt;"",G4copy!F129,"")</f>
        <v/>
      </c>
    </row>
    <row r="130" spans="1:7" ht="15.75" customHeight="1">
      <c r="A130" s="23" t="str">
        <f t="shared" si="4"/>
        <v/>
      </c>
      <c r="B130" t="str">
        <f t="shared" si="5"/>
        <v/>
      </c>
      <c r="C130" s="23" t="str">
        <f t="shared" si="6"/>
        <v/>
      </c>
      <c r="E130" s="24" t="str">
        <f>IF(NOT(ISBLANK(G4copy!B130)),G4copy!B130,"")</f>
        <v/>
      </c>
      <c r="F130" s="24" t="str">
        <f>IF(E130&lt;&gt;"",G4copy!A130,"")</f>
        <v/>
      </c>
      <c r="G130" s="24" t="str">
        <f>IF(E130&lt;&gt;"",G4copy!F130,"")</f>
        <v/>
      </c>
    </row>
    <row r="131" spans="1:7" ht="15.75" customHeight="1">
      <c r="A131" s="23" t="str">
        <f t="shared" ref="A131:A194" si="7">IF(E131&lt;&gt;"",DATEVALUE(LEFT(E131,10)),"")</f>
        <v/>
      </c>
      <c r="B131" t="str">
        <f t="shared" ref="B131:B194" si="8">IF(LEN(F131)&gt;3,RIGHT(F131,LEN(F131)-3),"")</f>
        <v/>
      </c>
      <c r="C131" s="23" t="str">
        <f t="shared" ref="C131:C194" si="9">IF(E131&lt;&gt;"",DATEVALUE(LEFT(G131,10)),"")</f>
        <v/>
      </c>
      <c r="E131" s="24" t="str">
        <f>IF(NOT(ISBLANK(G4copy!B131)),G4copy!B131,"")</f>
        <v/>
      </c>
      <c r="F131" s="24" t="str">
        <f>IF(E131&lt;&gt;"",G4copy!A131,"")</f>
        <v/>
      </c>
      <c r="G131" s="24" t="str">
        <f>IF(E131&lt;&gt;"",G4copy!F131,"")</f>
        <v/>
      </c>
    </row>
    <row r="132" spans="1:7" ht="15.75" customHeight="1">
      <c r="A132" s="23" t="str">
        <f t="shared" si="7"/>
        <v/>
      </c>
      <c r="B132" t="str">
        <f t="shared" si="8"/>
        <v/>
      </c>
      <c r="C132" s="23" t="str">
        <f t="shared" si="9"/>
        <v/>
      </c>
      <c r="E132" s="24" t="str">
        <f>IF(NOT(ISBLANK(G4copy!B132)),G4copy!B132,"")</f>
        <v/>
      </c>
      <c r="F132" s="24" t="str">
        <f>IF(E132&lt;&gt;"",G4copy!A132,"")</f>
        <v/>
      </c>
      <c r="G132" s="24" t="str">
        <f>IF(E132&lt;&gt;"",G4copy!F132,"")</f>
        <v/>
      </c>
    </row>
    <row r="133" spans="1:7" ht="15.75" customHeight="1">
      <c r="A133" s="23" t="str">
        <f t="shared" si="7"/>
        <v/>
      </c>
      <c r="B133" t="str">
        <f t="shared" si="8"/>
        <v/>
      </c>
      <c r="C133" s="23" t="str">
        <f t="shared" si="9"/>
        <v/>
      </c>
      <c r="E133" s="24" t="str">
        <f>IF(NOT(ISBLANK(G4copy!B133)),G4copy!B133,"")</f>
        <v/>
      </c>
      <c r="F133" s="24" t="str">
        <f>IF(E133&lt;&gt;"",G4copy!A133,"")</f>
        <v/>
      </c>
      <c r="G133" s="24" t="str">
        <f>IF(E133&lt;&gt;"",G4copy!F133,"")</f>
        <v/>
      </c>
    </row>
    <row r="134" spans="1:7" ht="15.75" customHeight="1">
      <c r="A134" s="23" t="str">
        <f t="shared" si="7"/>
        <v/>
      </c>
      <c r="B134" t="str">
        <f t="shared" si="8"/>
        <v/>
      </c>
      <c r="C134" s="23" t="str">
        <f t="shared" si="9"/>
        <v/>
      </c>
      <c r="E134" s="24" t="str">
        <f>IF(NOT(ISBLANK(G4copy!B134)),G4copy!B134,"")</f>
        <v/>
      </c>
      <c r="F134" s="24" t="str">
        <f>IF(E134&lt;&gt;"",G4copy!A134,"")</f>
        <v/>
      </c>
      <c r="G134" s="24" t="str">
        <f>IF(E134&lt;&gt;"",G4copy!F134,"")</f>
        <v/>
      </c>
    </row>
    <row r="135" spans="1:7" ht="15.75" customHeight="1">
      <c r="A135" s="23" t="str">
        <f t="shared" si="7"/>
        <v/>
      </c>
      <c r="B135" t="str">
        <f t="shared" si="8"/>
        <v/>
      </c>
      <c r="C135" s="23" t="str">
        <f t="shared" si="9"/>
        <v/>
      </c>
      <c r="E135" s="24" t="str">
        <f>IF(NOT(ISBLANK(G4copy!B135)),G4copy!B135,"")</f>
        <v/>
      </c>
      <c r="F135" s="24" t="str">
        <f>IF(E135&lt;&gt;"",G4copy!A135,"")</f>
        <v/>
      </c>
      <c r="G135" s="24" t="str">
        <f>IF(E135&lt;&gt;"",G4copy!F135,"")</f>
        <v/>
      </c>
    </row>
    <row r="136" spans="1:7" ht="15.75" customHeight="1">
      <c r="A136" s="23" t="str">
        <f t="shared" si="7"/>
        <v/>
      </c>
      <c r="B136" t="str">
        <f t="shared" si="8"/>
        <v/>
      </c>
      <c r="C136" s="23" t="str">
        <f t="shared" si="9"/>
        <v/>
      </c>
      <c r="E136" s="24" t="str">
        <f>IF(NOT(ISBLANK(G4copy!B136)),G4copy!B136,"")</f>
        <v/>
      </c>
      <c r="F136" s="24" t="str">
        <f>IF(E136&lt;&gt;"",G4copy!A136,"")</f>
        <v/>
      </c>
      <c r="G136" s="24" t="str">
        <f>IF(E136&lt;&gt;"",G4copy!F136,"")</f>
        <v/>
      </c>
    </row>
    <row r="137" spans="1:7" ht="15.75" customHeight="1">
      <c r="A137" s="23" t="str">
        <f t="shared" si="7"/>
        <v/>
      </c>
      <c r="B137" t="str">
        <f t="shared" si="8"/>
        <v/>
      </c>
      <c r="C137" s="23" t="str">
        <f t="shared" si="9"/>
        <v/>
      </c>
      <c r="E137" s="24" t="str">
        <f>IF(NOT(ISBLANK(G4copy!B137)),G4copy!B137,"")</f>
        <v/>
      </c>
      <c r="F137" s="24" t="str">
        <f>IF(E137&lt;&gt;"",G4copy!A137,"")</f>
        <v/>
      </c>
      <c r="G137" s="24" t="str">
        <f>IF(E137&lt;&gt;"",G4copy!F137,"")</f>
        <v/>
      </c>
    </row>
    <row r="138" spans="1:7" ht="15.75" customHeight="1">
      <c r="A138" s="23" t="str">
        <f t="shared" si="7"/>
        <v/>
      </c>
      <c r="B138" t="str">
        <f t="shared" si="8"/>
        <v/>
      </c>
      <c r="C138" s="23" t="str">
        <f t="shared" si="9"/>
        <v/>
      </c>
      <c r="E138" s="24" t="str">
        <f>IF(NOT(ISBLANK(G4copy!B138)),G4copy!B138,"")</f>
        <v/>
      </c>
      <c r="F138" s="24" t="str">
        <f>IF(E138&lt;&gt;"",G4copy!A138,"")</f>
        <v/>
      </c>
      <c r="G138" s="24" t="str">
        <f>IF(E138&lt;&gt;"",G4copy!F138,"")</f>
        <v/>
      </c>
    </row>
    <row r="139" spans="1:7" ht="15.75" customHeight="1">
      <c r="A139" s="23" t="str">
        <f t="shared" si="7"/>
        <v/>
      </c>
      <c r="B139" t="str">
        <f t="shared" si="8"/>
        <v/>
      </c>
      <c r="C139" s="23" t="str">
        <f t="shared" si="9"/>
        <v/>
      </c>
      <c r="E139" s="24" t="str">
        <f>IF(NOT(ISBLANK(G4copy!B139)),G4copy!B139,"")</f>
        <v/>
      </c>
      <c r="F139" s="24" t="str">
        <f>IF(E139&lt;&gt;"",G4copy!A139,"")</f>
        <v/>
      </c>
      <c r="G139" s="24" t="str">
        <f>IF(E139&lt;&gt;"",G4copy!F139,"")</f>
        <v/>
      </c>
    </row>
    <row r="140" spans="1:7" ht="15.75" customHeight="1">
      <c r="A140" s="23" t="str">
        <f t="shared" si="7"/>
        <v/>
      </c>
      <c r="B140" t="str">
        <f t="shared" si="8"/>
        <v/>
      </c>
      <c r="C140" s="23" t="str">
        <f t="shared" si="9"/>
        <v/>
      </c>
      <c r="E140" s="24" t="str">
        <f>IF(NOT(ISBLANK(G4copy!B140)),G4copy!B140,"")</f>
        <v/>
      </c>
      <c r="F140" s="24" t="str">
        <f>IF(E140&lt;&gt;"",G4copy!A140,"")</f>
        <v/>
      </c>
      <c r="G140" s="24" t="str">
        <f>IF(E140&lt;&gt;"",G4copy!F140,"")</f>
        <v/>
      </c>
    </row>
    <row r="141" spans="1:7" ht="15.75" customHeight="1">
      <c r="A141" s="23" t="str">
        <f t="shared" si="7"/>
        <v/>
      </c>
      <c r="B141" t="str">
        <f t="shared" si="8"/>
        <v/>
      </c>
      <c r="C141" s="23" t="str">
        <f t="shared" si="9"/>
        <v/>
      </c>
      <c r="E141" s="24" t="str">
        <f>IF(NOT(ISBLANK(G4copy!B141)),G4copy!B141,"")</f>
        <v/>
      </c>
      <c r="F141" s="24" t="str">
        <f>IF(E141&lt;&gt;"",G4copy!A141,"")</f>
        <v/>
      </c>
      <c r="G141" s="24" t="str">
        <f>IF(E141&lt;&gt;"",G4copy!F141,"")</f>
        <v/>
      </c>
    </row>
    <row r="142" spans="1:7" ht="15.75" customHeight="1">
      <c r="A142" s="23" t="str">
        <f t="shared" si="7"/>
        <v/>
      </c>
      <c r="B142" t="str">
        <f t="shared" si="8"/>
        <v/>
      </c>
      <c r="C142" s="23" t="str">
        <f t="shared" si="9"/>
        <v/>
      </c>
      <c r="E142" s="24" t="str">
        <f>IF(NOT(ISBLANK(G4copy!B142)),G4copy!B142,"")</f>
        <v/>
      </c>
      <c r="F142" s="24" t="str">
        <f>IF(E142&lt;&gt;"",G4copy!A142,"")</f>
        <v/>
      </c>
      <c r="G142" s="24" t="str">
        <f>IF(E142&lt;&gt;"",G4copy!F142,"")</f>
        <v/>
      </c>
    </row>
    <row r="143" spans="1:7" ht="15.75" customHeight="1">
      <c r="A143" s="23" t="str">
        <f t="shared" si="7"/>
        <v/>
      </c>
      <c r="B143" t="str">
        <f t="shared" si="8"/>
        <v/>
      </c>
      <c r="C143" s="23" t="str">
        <f t="shared" si="9"/>
        <v/>
      </c>
      <c r="E143" s="24" t="str">
        <f>IF(NOT(ISBLANK(G4copy!B143)),G4copy!B143,"")</f>
        <v/>
      </c>
      <c r="F143" s="24" t="str">
        <f>IF(E143&lt;&gt;"",G4copy!A143,"")</f>
        <v/>
      </c>
      <c r="G143" s="24" t="str">
        <f>IF(E143&lt;&gt;"",G4copy!F143,"")</f>
        <v/>
      </c>
    </row>
    <row r="144" spans="1:7" ht="15.75" customHeight="1">
      <c r="A144" s="23" t="str">
        <f t="shared" si="7"/>
        <v/>
      </c>
      <c r="B144" t="str">
        <f t="shared" si="8"/>
        <v/>
      </c>
      <c r="C144" s="23" t="str">
        <f t="shared" si="9"/>
        <v/>
      </c>
      <c r="E144" s="24" t="str">
        <f>IF(NOT(ISBLANK(G4copy!B144)),G4copy!B144,"")</f>
        <v/>
      </c>
      <c r="F144" s="24" t="str">
        <f>IF(E144&lt;&gt;"",G4copy!A144,"")</f>
        <v/>
      </c>
      <c r="G144" s="24" t="str">
        <f>IF(E144&lt;&gt;"",G4copy!F144,"")</f>
        <v/>
      </c>
    </row>
    <row r="145" spans="1:7" ht="15.75" customHeight="1">
      <c r="A145" s="23" t="str">
        <f t="shared" si="7"/>
        <v/>
      </c>
      <c r="B145" t="str">
        <f t="shared" si="8"/>
        <v/>
      </c>
      <c r="C145" s="23" t="str">
        <f t="shared" si="9"/>
        <v/>
      </c>
      <c r="E145" s="24" t="str">
        <f>IF(NOT(ISBLANK(G4copy!B145)),G4copy!B145,"")</f>
        <v/>
      </c>
      <c r="F145" s="24" t="str">
        <f>IF(E145&lt;&gt;"",G4copy!A145,"")</f>
        <v/>
      </c>
      <c r="G145" s="24" t="str">
        <f>IF(E145&lt;&gt;"",G4copy!F145,"")</f>
        <v/>
      </c>
    </row>
    <row r="146" spans="1:7" ht="15.75" customHeight="1">
      <c r="A146" s="23" t="str">
        <f t="shared" si="7"/>
        <v/>
      </c>
      <c r="B146" t="str">
        <f t="shared" si="8"/>
        <v/>
      </c>
      <c r="C146" s="23" t="str">
        <f t="shared" si="9"/>
        <v/>
      </c>
      <c r="E146" s="24" t="str">
        <f>IF(NOT(ISBLANK(G4copy!B146)),G4copy!B146,"")</f>
        <v/>
      </c>
      <c r="F146" s="24" t="str">
        <f>IF(E146&lt;&gt;"",G4copy!A146,"")</f>
        <v/>
      </c>
      <c r="G146" s="24" t="str">
        <f>IF(E146&lt;&gt;"",G4copy!F146,"")</f>
        <v/>
      </c>
    </row>
    <row r="147" spans="1:7" ht="15.75" customHeight="1">
      <c r="A147" s="23" t="str">
        <f t="shared" si="7"/>
        <v/>
      </c>
      <c r="B147" t="str">
        <f t="shared" si="8"/>
        <v/>
      </c>
      <c r="C147" s="23" t="str">
        <f t="shared" si="9"/>
        <v/>
      </c>
      <c r="E147" s="24" t="str">
        <f>IF(NOT(ISBLANK(G4copy!B147)),G4copy!B147,"")</f>
        <v/>
      </c>
      <c r="F147" s="24" t="str">
        <f>IF(E147&lt;&gt;"",G4copy!A147,"")</f>
        <v/>
      </c>
      <c r="G147" s="24" t="str">
        <f>IF(E147&lt;&gt;"",G4copy!F147,"")</f>
        <v/>
      </c>
    </row>
    <row r="148" spans="1:7" ht="15.75" customHeight="1">
      <c r="A148" s="23" t="str">
        <f t="shared" si="7"/>
        <v/>
      </c>
      <c r="B148" t="str">
        <f t="shared" si="8"/>
        <v/>
      </c>
      <c r="C148" s="23" t="str">
        <f t="shared" si="9"/>
        <v/>
      </c>
      <c r="E148" s="24" t="str">
        <f>IF(NOT(ISBLANK(G4copy!B148)),G4copy!B148,"")</f>
        <v/>
      </c>
      <c r="F148" s="24" t="str">
        <f>IF(E148&lt;&gt;"",G4copy!A148,"")</f>
        <v/>
      </c>
      <c r="G148" s="24" t="str">
        <f>IF(E148&lt;&gt;"",G4copy!F148,"")</f>
        <v/>
      </c>
    </row>
    <row r="149" spans="1:7" ht="15.75" customHeight="1">
      <c r="A149" s="23" t="str">
        <f t="shared" si="7"/>
        <v/>
      </c>
      <c r="B149" t="str">
        <f t="shared" si="8"/>
        <v/>
      </c>
      <c r="C149" s="23" t="str">
        <f t="shared" si="9"/>
        <v/>
      </c>
      <c r="E149" s="24" t="str">
        <f>IF(NOT(ISBLANK(G4copy!B149)),G4copy!B149,"")</f>
        <v/>
      </c>
      <c r="F149" s="24" t="str">
        <f>IF(E149&lt;&gt;"",G4copy!A149,"")</f>
        <v/>
      </c>
      <c r="G149" s="24" t="str">
        <f>IF(E149&lt;&gt;"",G4copy!F149,"")</f>
        <v/>
      </c>
    </row>
    <row r="150" spans="1:7" ht="15.75" customHeight="1">
      <c r="A150" s="23" t="str">
        <f t="shared" si="7"/>
        <v/>
      </c>
      <c r="B150" t="str">
        <f t="shared" si="8"/>
        <v/>
      </c>
      <c r="C150" s="23" t="str">
        <f t="shared" si="9"/>
        <v/>
      </c>
      <c r="E150" s="24" t="str">
        <f>IF(NOT(ISBLANK(G4copy!B150)),G4copy!B150,"")</f>
        <v/>
      </c>
      <c r="F150" s="24" t="str">
        <f>IF(E150&lt;&gt;"",G4copy!A150,"")</f>
        <v/>
      </c>
      <c r="G150" s="24" t="str">
        <f>IF(E150&lt;&gt;"",G4copy!F150,"")</f>
        <v/>
      </c>
    </row>
    <row r="151" spans="1:7" ht="15.75" customHeight="1">
      <c r="A151" s="23" t="str">
        <f t="shared" si="7"/>
        <v/>
      </c>
      <c r="B151" t="str">
        <f t="shared" si="8"/>
        <v/>
      </c>
      <c r="C151" s="23" t="str">
        <f t="shared" si="9"/>
        <v/>
      </c>
      <c r="E151" s="24" t="str">
        <f>IF(NOT(ISBLANK(G4copy!B151)),G4copy!B151,"")</f>
        <v/>
      </c>
      <c r="F151" s="24" t="str">
        <f>IF(E151&lt;&gt;"",G4copy!A151,"")</f>
        <v/>
      </c>
      <c r="G151" s="24" t="str">
        <f>IF(E151&lt;&gt;"",G4copy!F151,"")</f>
        <v/>
      </c>
    </row>
    <row r="152" spans="1:7" ht="15.75" customHeight="1">
      <c r="A152" s="23" t="str">
        <f t="shared" si="7"/>
        <v/>
      </c>
      <c r="B152" t="str">
        <f t="shared" si="8"/>
        <v/>
      </c>
      <c r="C152" s="23" t="str">
        <f t="shared" si="9"/>
        <v/>
      </c>
      <c r="E152" s="24" t="str">
        <f>IF(NOT(ISBLANK(G4copy!B152)),G4copy!B152,"")</f>
        <v/>
      </c>
      <c r="F152" s="24" t="str">
        <f>IF(E152&lt;&gt;"",G4copy!A152,"")</f>
        <v/>
      </c>
      <c r="G152" s="24" t="str">
        <f>IF(E152&lt;&gt;"",G4copy!F152,"")</f>
        <v/>
      </c>
    </row>
    <row r="153" spans="1:7" ht="15.75" customHeight="1">
      <c r="A153" s="23" t="str">
        <f t="shared" si="7"/>
        <v/>
      </c>
      <c r="B153" t="str">
        <f t="shared" si="8"/>
        <v/>
      </c>
      <c r="C153" s="23" t="str">
        <f t="shared" si="9"/>
        <v/>
      </c>
      <c r="E153" s="24" t="str">
        <f>IF(NOT(ISBLANK(G4copy!B153)),G4copy!B153,"")</f>
        <v/>
      </c>
      <c r="F153" s="24" t="str">
        <f>IF(E153&lt;&gt;"",G4copy!A153,"")</f>
        <v/>
      </c>
      <c r="G153" s="24" t="str">
        <f>IF(E153&lt;&gt;"",G4copy!F153,"")</f>
        <v/>
      </c>
    </row>
    <row r="154" spans="1:7" ht="15.75" customHeight="1">
      <c r="A154" s="23" t="str">
        <f t="shared" si="7"/>
        <v/>
      </c>
      <c r="B154" t="str">
        <f t="shared" si="8"/>
        <v/>
      </c>
      <c r="C154" s="23" t="str">
        <f t="shared" si="9"/>
        <v/>
      </c>
      <c r="E154" s="24" t="str">
        <f>IF(NOT(ISBLANK(G4copy!B154)),G4copy!B154,"")</f>
        <v/>
      </c>
      <c r="F154" s="24" t="str">
        <f>IF(E154&lt;&gt;"",G4copy!A154,"")</f>
        <v/>
      </c>
      <c r="G154" s="24" t="str">
        <f>IF(E154&lt;&gt;"",G4copy!F154,"")</f>
        <v/>
      </c>
    </row>
    <row r="155" spans="1:7" ht="15.75" customHeight="1">
      <c r="A155" s="23" t="str">
        <f t="shared" si="7"/>
        <v/>
      </c>
      <c r="B155" t="str">
        <f t="shared" si="8"/>
        <v/>
      </c>
      <c r="C155" s="23" t="str">
        <f t="shared" si="9"/>
        <v/>
      </c>
      <c r="E155" s="24" t="str">
        <f>IF(NOT(ISBLANK(G4copy!B155)),G4copy!B155,"")</f>
        <v/>
      </c>
      <c r="F155" s="24" t="str">
        <f>IF(E155&lt;&gt;"",G4copy!A155,"")</f>
        <v/>
      </c>
      <c r="G155" s="24" t="str">
        <f>IF(E155&lt;&gt;"",G4copy!F155,"")</f>
        <v/>
      </c>
    </row>
    <row r="156" spans="1:7" ht="15.75" customHeight="1">
      <c r="A156" s="23" t="str">
        <f t="shared" si="7"/>
        <v/>
      </c>
      <c r="B156" t="str">
        <f t="shared" si="8"/>
        <v/>
      </c>
      <c r="C156" s="23" t="str">
        <f t="shared" si="9"/>
        <v/>
      </c>
      <c r="E156" s="24" t="str">
        <f>IF(NOT(ISBLANK(G4copy!B156)),G4copy!B156,"")</f>
        <v/>
      </c>
      <c r="F156" s="24" t="str">
        <f>IF(E156&lt;&gt;"",G4copy!A156,"")</f>
        <v/>
      </c>
      <c r="G156" s="24" t="str">
        <f>IF(E156&lt;&gt;"",G4copy!F156,"")</f>
        <v/>
      </c>
    </row>
    <row r="157" spans="1:7" ht="15.75" customHeight="1">
      <c r="A157" s="23" t="str">
        <f t="shared" si="7"/>
        <v/>
      </c>
      <c r="B157" t="str">
        <f t="shared" si="8"/>
        <v/>
      </c>
      <c r="C157" s="23" t="str">
        <f t="shared" si="9"/>
        <v/>
      </c>
      <c r="E157" s="24" t="str">
        <f>IF(NOT(ISBLANK(G4copy!B157)),G4copy!B157,"")</f>
        <v/>
      </c>
      <c r="F157" s="24" t="str">
        <f>IF(E157&lt;&gt;"",G4copy!A157,"")</f>
        <v/>
      </c>
      <c r="G157" s="24" t="str">
        <f>IF(E157&lt;&gt;"",G4copy!F157,"")</f>
        <v/>
      </c>
    </row>
    <row r="158" spans="1:7" ht="15.75" customHeight="1">
      <c r="A158" s="23" t="str">
        <f t="shared" si="7"/>
        <v/>
      </c>
      <c r="B158" t="str">
        <f t="shared" si="8"/>
        <v/>
      </c>
      <c r="C158" s="23" t="str">
        <f t="shared" si="9"/>
        <v/>
      </c>
      <c r="E158" s="24" t="str">
        <f>IF(NOT(ISBLANK(G4copy!B158)),G4copy!B158,"")</f>
        <v/>
      </c>
      <c r="F158" s="24" t="str">
        <f>IF(E158&lt;&gt;"",G4copy!A158,"")</f>
        <v/>
      </c>
      <c r="G158" s="24" t="str">
        <f>IF(E158&lt;&gt;"",G4copy!F158,"")</f>
        <v/>
      </c>
    </row>
    <row r="159" spans="1:7" ht="15.75" customHeight="1">
      <c r="A159" s="23" t="str">
        <f t="shared" si="7"/>
        <v/>
      </c>
      <c r="B159" t="str">
        <f t="shared" si="8"/>
        <v/>
      </c>
      <c r="C159" s="23" t="str">
        <f t="shared" si="9"/>
        <v/>
      </c>
      <c r="E159" s="24" t="str">
        <f>IF(NOT(ISBLANK(G4copy!B159)),G4copy!B159,"")</f>
        <v/>
      </c>
      <c r="F159" s="24" t="str">
        <f>IF(E159&lt;&gt;"",G4copy!A159,"")</f>
        <v/>
      </c>
      <c r="G159" s="24" t="str">
        <f>IF(E159&lt;&gt;"",G4copy!F159,"")</f>
        <v/>
      </c>
    </row>
    <row r="160" spans="1:7" ht="15.75" customHeight="1">
      <c r="A160" s="23" t="str">
        <f t="shared" si="7"/>
        <v/>
      </c>
      <c r="B160" t="str">
        <f t="shared" si="8"/>
        <v/>
      </c>
      <c r="C160" s="23" t="str">
        <f t="shared" si="9"/>
        <v/>
      </c>
      <c r="E160" s="24" t="str">
        <f>IF(NOT(ISBLANK(G4copy!B160)),G4copy!B160,"")</f>
        <v/>
      </c>
      <c r="F160" s="24" t="str">
        <f>IF(E160&lt;&gt;"",G4copy!A160,"")</f>
        <v/>
      </c>
      <c r="G160" s="24" t="str">
        <f>IF(E160&lt;&gt;"",G4copy!F160,"")</f>
        <v/>
      </c>
    </row>
    <row r="161" spans="1:7" ht="15.75" customHeight="1">
      <c r="A161" s="23" t="str">
        <f t="shared" si="7"/>
        <v/>
      </c>
      <c r="B161" t="str">
        <f t="shared" si="8"/>
        <v/>
      </c>
      <c r="C161" s="23" t="str">
        <f t="shared" si="9"/>
        <v/>
      </c>
      <c r="E161" s="24" t="str">
        <f>IF(NOT(ISBLANK(G4copy!B161)),G4copy!B161,"")</f>
        <v/>
      </c>
      <c r="F161" s="24" t="str">
        <f>IF(E161&lt;&gt;"",G4copy!A161,"")</f>
        <v/>
      </c>
      <c r="G161" s="24" t="str">
        <f>IF(E161&lt;&gt;"",G4copy!F161,"")</f>
        <v/>
      </c>
    </row>
    <row r="162" spans="1:7" ht="15.75" customHeight="1">
      <c r="A162" s="23" t="str">
        <f t="shared" si="7"/>
        <v/>
      </c>
      <c r="B162" t="str">
        <f t="shared" si="8"/>
        <v/>
      </c>
      <c r="C162" s="23" t="str">
        <f t="shared" si="9"/>
        <v/>
      </c>
      <c r="E162" s="24" t="str">
        <f>IF(NOT(ISBLANK(G4copy!B162)),G4copy!B162,"")</f>
        <v/>
      </c>
      <c r="F162" s="24" t="str">
        <f>IF(E162&lt;&gt;"",G4copy!A162,"")</f>
        <v/>
      </c>
      <c r="G162" s="24" t="str">
        <f>IF(E162&lt;&gt;"",G4copy!F162,"")</f>
        <v/>
      </c>
    </row>
    <row r="163" spans="1:7" ht="15.75" customHeight="1">
      <c r="A163" s="23" t="str">
        <f t="shared" si="7"/>
        <v/>
      </c>
      <c r="B163" t="str">
        <f t="shared" si="8"/>
        <v/>
      </c>
      <c r="C163" s="23" t="str">
        <f t="shared" si="9"/>
        <v/>
      </c>
      <c r="E163" s="24" t="str">
        <f>IF(NOT(ISBLANK(G4copy!B163)),G4copy!B163,"")</f>
        <v/>
      </c>
      <c r="F163" s="24" t="str">
        <f>IF(E163&lt;&gt;"",G4copy!A163,"")</f>
        <v/>
      </c>
      <c r="G163" s="24" t="str">
        <f>IF(E163&lt;&gt;"",G4copy!F163,"")</f>
        <v/>
      </c>
    </row>
    <row r="164" spans="1:7" ht="15.75" customHeight="1">
      <c r="A164" s="23" t="str">
        <f t="shared" si="7"/>
        <v/>
      </c>
      <c r="B164" t="str">
        <f t="shared" si="8"/>
        <v/>
      </c>
      <c r="C164" s="23" t="str">
        <f t="shared" si="9"/>
        <v/>
      </c>
      <c r="E164" s="24" t="str">
        <f>IF(NOT(ISBLANK(G4copy!B164)),G4copy!B164,"")</f>
        <v/>
      </c>
      <c r="F164" s="24" t="str">
        <f>IF(E164&lt;&gt;"",G4copy!A164,"")</f>
        <v/>
      </c>
      <c r="G164" s="24" t="str">
        <f>IF(E164&lt;&gt;"",G4copy!F164,"")</f>
        <v/>
      </c>
    </row>
    <row r="165" spans="1:7" ht="15.75" customHeight="1">
      <c r="A165" s="23" t="str">
        <f t="shared" si="7"/>
        <v/>
      </c>
      <c r="B165" t="str">
        <f t="shared" si="8"/>
        <v/>
      </c>
      <c r="C165" s="23" t="str">
        <f t="shared" si="9"/>
        <v/>
      </c>
      <c r="E165" s="24" t="str">
        <f>IF(NOT(ISBLANK(G4copy!B165)),G4copy!B165,"")</f>
        <v/>
      </c>
      <c r="F165" s="24" t="str">
        <f>IF(E165&lt;&gt;"",G4copy!A165,"")</f>
        <v/>
      </c>
      <c r="G165" s="24" t="str">
        <f>IF(E165&lt;&gt;"",G4copy!F165,"")</f>
        <v/>
      </c>
    </row>
    <row r="166" spans="1:7" ht="15.75" customHeight="1">
      <c r="A166" s="23" t="str">
        <f t="shared" si="7"/>
        <v/>
      </c>
      <c r="B166" t="str">
        <f t="shared" si="8"/>
        <v/>
      </c>
      <c r="C166" s="23" t="str">
        <f t="shared" si="9"/>
        <v/>
      </c>
      <c r="E166" s="24" t="str">
        <f>IF(NOT(ISBLANK(G4copy!B166)),G4copy!B166,"")</f>
        <v/>
      </c>
      <c r="F166" s="24" t="str">
        <f>IF(E166&lt;&gt;"",G4copy!A166,"")</f>
        <v/>
      </c>
      <c r="G166" s="24" t="str">
        <f>IF(E166&lt;&gt;"",G4copy!F166,"")</f>
        <v/>
      </c>
    </row>
    <row r="167" spans="1:7" ht="15.75" customHeight="1">
      <c r="A167" s="23" t="str">
        <f t="shared" si="7"/>
        <v/>
      </c>
      <c r="B167" t="str">
        <f t="shared" si="8"/>
        <v/>
      </c>
      <c r="C167" s="23" t="str">
        <f t="shared" si="9"/>
        <v/>
      </c>
      <c r="E167" s="24" t="str">
        <f>IF(NOT(ISBLANK(G4copy!B167)),G4copy!B167,"")</f>
        <v/>
      </c>
      <c r="F167" s="24" t="str">
        <f>IF(E167&lt;&gt;"",G4copy!A167,"")</f>
        <v/>
      </c>
      <c r="G167" s="24" t="str">
        <f>IF(E167&lt;&gt;"",G4copy!F167,"")</f>
        <v/>
      </c>
    </row>
    <row r="168" spans="1:7" ht="15.75" customHeight="1">
      <c r="A168" s="23" t="str">
        <f t="shared" si="7"/>
        <v/>
      </c>
      <c r="B168" t="str">
        <f t="shared" si="8"/>
        <v/>
      </c>
      <c r="C168" s="23" t="str">
        <f t="shared" si="9"/>
        <v/>
      </c>
      <c r="E168" s="24" t="str">
        <f>IF(NOT(ISBLANK(G4copy!B168)),G4copy!B168,"")</f>
        <v/>
      </c>
      <c r="F168" s="24" t="str">
        <f>IF(E168&lt;&gt;"",G4copy!A168,"")</f>
        <v/>
      </c>
      <c r="G168" s="24" t="str">
        <f>IF(E168&lt;&gt;"",G4copy!F168,"")</f>
        <v/>
      </c>
    </row>
    <row r="169" spans="1:7" ht="15.75" customHeight="1">
      <c r="A169" s="23" t="str">
        <f t="shared" si="7"/>
        <v/>
      </c>
      <c r="B169" t="str">
        <f t="shared" si="8"/>
        <v/>
      </c>
      <c r="C169" s="23" t="str">
        <f t="shared" si="9"/>
        <v/>
      </c>
      <c r="E169" s="24" t="str">
        <f>IF(NOT(ISBLANK(G4copy!B169)),G4copy!B169,"")</f>
        <v/>
      </c>
      <c r="F169" s="24" t="str">
        <f>IF(E169&lt;&gt;"",G4copy!A169,"")</f>
        <v/>
      </c>
      <c r="G169" s="24" t="str">
        <f>IF(E169&lt;&gt;"",G4copy!F169,"")</f>
        <v/>
      </c>
    </row>
    <row r="170" spans="1:7" ht="15.75" customHeight="1">
      <c r="A170" s="23" t="str">
        <f t="shared" si="7"/>
        <v/>
      </c>
      <c r="B170" t="str">
        <f t="shared" si="8"/>
        <v/>
      </c>
      <c r="C170" s="23" t="str">
        <f t="shared" si="9"/>
        <v/>
      </c>
      <c r="E170" s="24" t="str">
        <f>IF(NOT(ISBLANK(G4copy!B170)),G4copy!B170,"")</f>
        <v/>
      </c>
      <c r="F170" s="24" t="str">
        <f>IF(E170&lt;&gt;"",G4copy!A170,"")</f>
        <v/>
      </c>
      <c r="G170" s="24" t="str">
        <f>IF(E170&lt;&gt;"",G4copy!F170,"")</f>
        <v/>
      </c>
    </row>
    <row r="171" spans="1:7" ht="15.75" customHeight="1">
      <c r="A171" s="23" t="str">
        <f t="shared" si="7"/>
        <v/>
      </c>
      <c r="B171" t="str">
        <f t="shared" si="8"/>
        <v/>
      </c>
      <c r="C171" s="23" t="str">
        <f t="shared" si="9"/>
        <v/>
      </c>
      <c r="E171" s="24" t="str">
        <f>IF(NOT(ISBLANK(G4copy!B171)),G4copy!B171,"")</f>
        <v/>
      </c>
      <c r="F171" s="24" t="str">
        <f>IF(E171&lt;&gt;"",G4copy!A171,"")</f>
        <v/>
      </c>
      <c r="G171" s="24" t="str">
        <f>IF(E171&lt;&gt;"",G4copy!F171,"")</f>
        <v/>
      </c>
    </row>
    <row r="172" spans="1:7" ht="15.75" customHeight="1">
      <c r="A172" s="23" t="str">
        <f t="shared" si="7"/>
        <v/>
      </c>
      <c r="B172" t="str">
        <f t="shared" si="8"/>
        <v/>
      </c>
      <c r="C172" s="23" t="str">
        <f t="shared" si="9"/>
        <v/>
      </c>
      <c r="E172" s="24" t="str">
        <f>IF(NOT(ISBLANK(G4copy!B172)),G4copy!B172,"")</f>
        <v/>
      </c>
      <c r="F172" s="24" t="str">
        <f>IF(E172&lt;&gt;"",G4copy!A172,"")</f>
        <v/>
      </c>
      <c r="G172" s="24" t="str">
        <f>IF(E172&lt;&gt;"",G4copy!F172,"")</f>
        <v/>
      </c>
    </row>
    <row r="173" spans="1:7" ht="15.75" customHeight="1">
      <c r="A173" s="23" t="str">
        <f t="shared" si="7"/>
        <v/>
      </c>
      <c r="B173" t="str">
        <f t="shared" si="8"/>
        <v/>
      </c>
      <c r="C173" s="23" t="str">
        <f t="shared" si="9"/>
        <v/>
      </c>
      <c r="E173" s="24" t="str">
        <f>IF(NOT(ISBLANK(G4copy!B173)),G4copy!B173,"")</f>
        <v/>
      </c>
      <c r="F173" s="24" t="str">
        <f>IF(E173&lt;&gt;"",G4copy!A173,"")</f>
        <v/>
      </c>
      <c r="G173" s="24" t="str">
        <f>IF(E173&lt;&gt;"",G4copy!F173,"")</f>
        <v/>
      </c>
    </row>
    <row r="174" spans="1:7" ht="15.75" customHeight="1">
      <c r="A174" s="23" t="str">
        <f t="shared" si="7"/>
        <v/>
      </c>
      <c r="B174" t="str">
        <f t="shared" si="8"/>
        <v/>
      </c>
      <c r="C174" s="23" t="str">
        <f t="shared" si="9"/>
        <v/>
      </c>
      <c r="E174" s="24" t="str">
        <f>IF(NOT(ISBLANK(G4copy!B174)),G4copy!B174,"")</f>
        <v/>
      </c>
      <c r="F174" s="24" t="str">
        <f>IF(E174&lt;&gt;"",G4copy!A174,"")</f>
        <v/>
      </c>
      <c r="G174" s="24" t="str">
        <f>IF(E174&lt;&gt;"",G4copy!F174,"")</f>
        <v/>
      </c>
    </row>
    <row r="175" spans="1:7" ht="15.75" customHeight="1">
      <c r="A175" s="23" t="str">
        <f t="shared" si="7"/>
        <v/>
      </c>
      <c r="B175" t="str">
        <f t="shared" si="8"/>
        <v/>
      </c>
      <c r="C175" s="23" t="str">
        <f t="shared" si="9"/>
        <v/>
      </c>
      <c r="E175" s="24" t="str">
        <f>IF(NOT(ISBLANK(G4copy!B175)),G4copy!B175,"")</f>
        <v/>
      </c>
      <c r="F175" s="24" t="str">
        <f>IF(E175&lt;&gt;"",G4copy!A175,"")</f>
        <v/>
      </c>
      <c r="G175" s="24" t="str">
        <f>IF(E175&lt;&gt;"",G4copy!F175,"")</f>
        <v/>
      </c>
    </row>
    <row r="176" spans="1:7" ht="15.75" customHeight="1">
      <c r="A176" s="23" t="str">
        <f t="shared" si="7"/>
        <v/>
      </c>
      <c r="B176" t="str">
        <f t="shared" si="8"/>
        <v/>
      </c>
      <c r="C176" s="23" t="str">
        <f t="shared" si="9"/>
        <v/>
      </c>
      <c r="E176" s="24" t="str">
        <f>IF(NOT(ISBLANK(G4copy!B176)),G4copy!B176,"")</f>
        <v/>
      </c>
      <c r="F176" s="24" t="str">
        <f>IF(E176&lt;&gt;"",G4copy!A176,"")</f>
        <v/>
      </c>
      <c r="G176" s="24" t="str">
        <f>IF(E176&lt;&gt;"",G4copy!F176,"")</f>
        <v/>
      </c>
    </row>
    <row r="177" spans="1:7" ht="15.75" customHeight="1">
      <c r="A177" s="23" t="str">
        <f t="shared" si="7"/>
        <v/>
      </c>
      <c r="B177" t="str">
        <f t="shared" si="8"/>
        <v/>
      </c>
      <c r="C177" s="23" t="str">
        <f t="shared" si="9"/>
        <v/>
      </c>
      <c r="E177" s="24" t="str">
        <f>IF(NOT(ISBLANK(G4copy!B177)),G4copy!B177,"")</f>
        <v/>
      </c>
      <c r="F177" s="24" t="str">
        <f>IF(E177&lt;&gt;"",G4copy!A177,"")</f>
        <v/>
      </c>
      <c r="G177" s="24" t="str">
        <f>IF(E177&lt;&gt;"",G4copy!F177,"")</f>
        <v/>
      </c>
    </row>
    <row r="178" spans="1:7" ht="15.75" customHeight="1">
      <c r="A178" s="23" t="str">
        <f t="shared" si="7"/>
        <v/>
      </c>
      <c r="B178" t="str">
        <f t="shared" si="8"/>
        <v/>
      </c>
      <c r="C178" s="23" t="str">
        <f t="shared" si="9"/>
        <v/>
      </c>
      <c r="E178" s="24" t="str">
        <f>IF(NOT(ISBLANK(G4copy!B178)),G4copy!B178,"")</f>
        <v/>
      </c>
      <c r="F178" s="24" t="str">
        <f>IF(E178&lt;&gt;"",G4copy!A178,"")</f>
        <v/>
      </c>
      <c r="G178" s="24" t="str">
        <f>IF(E178&lt;&gt;"",G4copy!F178,"")</f>
        <v/>
      </c>
    </row>
    <row r="179" spans="1:7" ht="15.75" customHeight="1">
      <c r="A179" s="23" t="str">
        <f t="shared" si="7"/>
        <v/>
      </c>
      <c r="B179" t="str">
        <f t="shared" si="8"/>
        <v/>
      </c>
      <c r="C179" s="23" t="str">
        <f t="shared" si="9"/>
        <v/>
      </c>
      <c r="E179" s="24" t="str">
        <f>IF(NOT(ISBLANK(G4copy!B179)),G4copy!B179,"")</f>
        <v/>
      </c>
      <c r="F179" s="24" t="str">
        <f>IF(E179&lt;&gt;"",G4copy!A179,"")</f>
        <v/>
      </c>
      <c r="G179" s="24" t="str">
        <f>IF(E179&lt;&gt;"",G4copy!F179,"")</f>
        <v/>
      </c>
    </row>
    <row r="180" spans="1:7" ht="15.75" customHeight="1">
      <c r="A180" s="23" t="str">
        <f t="shared" si="7"/>
        <v/>
      </c>
      <c r="B180" t="str">
        <f t="shared" si="8"/>
        <v/>
      </c>
      <c r="C180" s="23" t="str">
        <f t="shared" si="9"/>
        <v/>
      </c>
      <c r="E180" s="24" t="str">
        <f>IF(NOT(ISBLANK(G4copy!B180)),G4copy!B180,"")</f>
        <v/>
      </c>
      <c r="F180" s="24" t="str">
        <f>IF(E180&lt;&gt;"",G4copy!A180,"")</f>
        <v/>
      </c>
      <c r="G180" s="24" t="str">
        <f>IF(E180&lt;&gt;"",G4copy!F180,"")</f>
        <v/>
      </c>
    </row>
    <row r="181" spans="1:7" ht="15.75" customHeight="1">
      <c r="A181" s="23" t="str">
        <f t="shared" si="7"/>
        <v/>
      </c>
      <c r="B181" t="str">
        <f t="shared" si="8"/>
        <v/>
      </c>
      <c r="C181" s="23" t="str">
        <f t="shared" si="9"/>
        <v/>
      </c>
      <c r="E181" s="24" t="str">
        <f>IF(NOT(ISBLANK(G4copy!B181)),G4copy!B181,"")</f>
        <v/>
      </c>
      <c r="F181" s="24" t="str">
        <f>IF(E181&lt;&gt;"",G4copy!A181,"")</f>
        <v/>
      </c>
      <c r="G181" s="24" t="str">
        <f>IF(E181&lt;&gt;"",G4copy!F181,"")</f>
        <v/>
      </c>
    </row>
    <row r="182" spans="1:7" ht="15.75" customHeight="1">
      <c r="A182" s="23" t="str">
        <f t="shared" si="7"/>
        <v/>
      </c>
      <c r="B182" t="str">
        <f t="shared" si="8"/>
        <v/>
      </c>
      <c r="C182" s="23" t="str">
        <f t="shared" si="9"/>
        <v/>
      </c>
      <c r="E182" s="24" t="str">
        <f>IF(NOT(ISBLANK(G4copy!B182)),G4copy!B182,"")</f>
        <v/>
      </c>
      <c r="F182" s="24" t="str">
        <f>IF(E182&lt;&gt;"",G4copy!A182,"")</f>
        <v/>
      </c>
      <c r="G182" s="24" t="str">
        <f>IF(E182&lt;&gt;"",G4copy!F182,"")</f>
        <v/>
      </c>
    </row>
    <row r="183" spans="1:7" ht="15.75" customHeight="1">
      <c r="A183" s="23" t="str">
        <f t="shared" si="7"/>
        <v/>
      </c>
      <c r="B183" t="str">
        <f t="shared" si="8"/>
        <v/>
      </c>
      <c r="C183" s="23" t="str">
        <f t="shared" si="9"/>
        <v/>
      </c>
      <c r="E183" s="24" t="str">
        <f>IF(NOT(ISBLANK(G4copy!B183)),G4copy!B183,"")</f>
        <v/>
      </c>
      <c r="F183" s="24" t="str">
        <f>IF(E183&lt;&gt;"",G4copy!A183,"")</f>
        <v/>
      </c>
      <c r="G183" s="24" t="str">
        <f>IF(E183&lt;&gt;"",G4copy!F183,"")</f>
        <v/>
      </c>
    </row>
    <row r="184" spans="1:7" ht="15.75" customHeight="1">
      <c r="A184" s="23" t="str">
        <f t="shared" si="7"/>
        <v/>
      </c>
      <c r="B184" t="str">
        <f t="shared" si="8"/>
        <v/>
      </c>
      <c r="C184" s="23" t="str">
        <f t="shared" si="9"/>
        <v/>
      </c>
      <c r="E184" s="24" t="str">
        <f>IF(NOT(ISBLANK(G4copy!B184)),G4copy!B184,"")</f>
        <v/>
      </c>
      <c r="F184" s="24" t="str">
        <f>IF(E184&lt;&gt;"",G4copy!A184,"")</f>
        <v/>
      </c>
      <c r="G184" s="24" t="str">
        <f>IF(E184&lt;&gt;"",G4copy!F184,"")</f>
        <v/>
      </c>
    </row>
    <row r="185" spans="1:7" ht="15.75" customHeight="1">
      <c r="A185" s="23" t="str">
        <f t="shared" si="7"/>
        <v/>
      </c>
      <c r="B185" t="str">
        <f t="shared" si="8"/>
        <v/>
      </c>
      <c r="C185" s="23" t="str">
        <f t="shared" si="9"/>
        <v/>
      </c>
      <c r="E185" s="24" t="str">
        <f>IF(NOT(ISBLANK(G4copy!B185)),G4copy!B185,"")</f>
        <v/>
      </c>
      <c r="F185" s="24" t="str">
        <f>IF(E185&lt;&gt;"",G4copy!A185,"")</f>
        <v/>
      </c>
      <c r="G185" s="24" t="str">
        <f>IF(E185&lt;&gt;"",G4copy!F185,"")</f>
        <v/>
      </c>
    </row>
    <row r="186" spans="1:7" ht="15.75" customHeight="1">
      <c r="A186" s="23" t="str">
        <f t="shared" si="7"/>
        <v/>
      </c>
      <c r="B186" t="str">
        <f t="shared" si="8"/>
        <v/>
      </c>
      <c r="C186" s="23" t="str">
        <f t="shared" si="9"/>
        <v/>
      </c>
      <c r="E186" s="24" t="str">
        <f>IF(NOT(ISBLANK(G4copy!B186)),G4copy!B186,"")</f>
        <v/>
      </c>
      <c r="F186" s="24" t="str">
        <f>IF(E186&lt;&gt;"",G4copy!A186,"")</f>
        <v/>
      </c>
      <c r="G186" s="24" t="str">
        <f>IF(E186&lt;&gt;"",G4copy!F186,"")</f>
        <v/>
      </c>
    </row>
    <row r="187" spans="1:7" ht="15.75" customHeight="1">
      <c r="A187" s="23" t="str">
        <f t="shared" si="7"/>
        <v/>
      </c>
      <c r="B187" t="str">
        <f t="shared" si="8"/>
        <v/>
      </c>
      <c r="C187" s="23" t="str">
        <f t="shared" si="9"/>
        <v/>
      </c>
      <c r="E187" s="24" t="str">
        <f>IF(NOT(ISBLANK(G4copy!B187)),G4copy!B187,"")</f>
        <v/>
      </c>
      <c r="F187" s="24" t="str">
        <f>IF(E187&lt;&gt;"",G4copy!A187,"")</f>
        <v/>
      </c>
      <c r="G187" s="24" t="str">
        <f>IF(E187&lt;&gt;"",G4copy!F187,"")</f>
        <v/>
      </c>
    </row>
    <row r="188" spans="1:7" ht="15.75" customHeight="1">
      <c r="A188" s="23" t="str">
        <f t="shared" si="7"/>
        <v/>
      </c>
      <c r="B188" t="str">
        <f t="shared" si="8"/>
        <v/>
      </c>
      <c r="C188" s="23" t="str">
        <f t="shared" si="9"/>
        <v/>
      </c>
      <c r="E188" s="24" t="str">
        <f>IF(NOT(ISBLANK(G4copy!B188)),G4copy!B188,"")</f>
        <v/>
      </c>
      <c r="F188" s="24" t="str">
        <f>IF(E188&lt;&gt;"",G4copy!A188,"")</f>
        <v/>
      </c>
      <c r="G188" s="24" t="str">
        <f>IF(E188&lt;&gt;"",G4copy!F188,"")</f>
        <v/>
      </c>
    </row>
    <row r="189" spans="1:7" ht="15.75" customHeight="1">
      <c r="A189" s="23" t="str">
        <f t="shared" si="7"/>
        <v/>
      </c>
      <c r="B189" t="str">
        <f t="shared" si="8"/>
        <v/>
      </c>
      <c r="C189" s="23" t="str">
        <f t="shared" si="9"/>
        <v/>
      </c>
      <c r="E189" s="24" t="str">
        <f>IF(NOT(ISBLANK(G4copy!B189)),G4copy!B189,"")</f>
        <v/>
      </c>
      <c r="F189" s="24" t="str">
        <f>IF(E189&lt;&gt;"",G4copy!A189,"")</f>
        <v/>
      </c>
      <c r="G189" s="24" t="str">
        <f>IF(E189&lt;&gt;"",G4copy!F189,"")</f>
        <v/>
      </c>
    </row>
    <row r="190" spans="1:7" ht="15.75" customHeight="1">
      <c r="A190" s="23" t="str">
        <f t="shared" si="7"/>
        <v/>
      </c>
      <c r="B190" t="str">
        <f t="shared" si="8"/>
        <v/>
      </c>
      <c r="C190" s="23" t="str">
        <f t="shared" si="9"/>
        <v/>
      </c>
      <c r="E190" s="24" t="str">
        <f>IF(NOT(ISBLANK(G4copy!B190)),G4copy!B190,"")</f>
        <v/>
      </c>
      <c r="F190" s="24" t="str">
        <f>IF(E190&lt;&gt;"",G4copy!A190,"")</f>
        <v/>
      </c>
      <c r="G190" s="24" t="str">
        <f>IF(E190&lt;&gt;"",G4copy!F190,"")</f>
        <v/>
      </c>
    </row>
    <row r="191" spans="1:7" ht="15.75" customHeight="1">
      <c r="A191" s="23" t="str">
        <f t="shared" si="7"/>
        <v/>
      </c>
      <c r="B191" t="str">
        <f t="shared" si="8"/>
        <v/>
      </c>
      <c r="C191" s="23" t="str">
        <f t="shared" si="9"/>
        <v/>
      </c>
      <c r="E191" s="24" t="str">
        <f>IF(NOT(ISBLANK(G4copy!B191)),G4copy!B191,"")</f>
        <v/>
      </c>
      <c r="F191" s="24" t="str">
        <f>IF(E191&lt;&gt;"",G4copy!A191,"")</f>
        <v/>
      </c>
      <c r="G191" s="24" t="str">
        <f>IF(E191&lt;&gt;"",G4copy!F191,"")</f>
        <v/>
      </c>
    </row>
    <row r="192" spans="1:7" ht="15.75" customHeight="1">
      <c r="A192" s="23" t="str">
        <f t="shared" si="7"/>
        <v/>
      </c>
      <c r="B192" t="str">
        <f t="shared" si="8"/>
        <v/>
      </c>
      <c r="C192" s="23" t="str">
        <f t="shared" si="9"/>
        <v/>
      </c>
      <c r="E192" s="24" t="str">
        <f>IF(NOT(ISBLANK(G4copy!B192)),G4copy!B192,"")</f>
        <v/>
      </c>
      <c r="F192" s="24" t="str">
        <f>IF(E192&lt;&gt;"",G4copy!A192,"")</f>
        <v/>
      </c>
      <c r="G192" s="24" t="str">
        <f>IF(E192&lt;&gt;"",G4copy!F192,"")</f>
        <v/>
      </c>
    </row>
    <row r="193" spans="1:7" ht="15.75" customHeight="1">
      <c r="A193" s="23" t="str">
        <f t="shared" si="7"/>
        <v/>
      </c>
      <c r="B193" t="str">
        <f t="shared" si="8"/>
        <v/>
      </c>
      <c r="C193" s="23" t="str">
        <f t="shared" si="9"/>
        <v/>
      </c>
      <c r="E193" s="24" t="str">
        <f>IF(NOT(ISBLANK(G4copy!B193)),G4copy!B193,"")</f>
        <v/>
      </c>
      <c r="F193" s="24" t="str">
        <f>IF(E193&lt;&gt;"",G4copy!A193,"")</f>
        <v/>
      </c>
      <c r="G193" s="24" t="str">
        <f>IF(E193&lt;&gt;"",G4copy!F193,"")</f>
        <v/>
      </c>
    </row>
    <row r="194" spans="1:7" ht="15.75" customHeight="1">
      <c r="A194" s="23" t="str">
        <f t="shared" si="7"/>
        <v/>
      </c>
      <c r="B194" t="str">
        <f t="shared" si="8"/>
        <v/>
      </c>
      <c r="C194" s="23" t="str">
        <f t="shared" si="9"/>
        <v/>
      </c>
      <c r="E194" s="24" t="str">
        <f>IF(NOT(ISBLANK(G4copy!B194)),G4copy!B194,"")</f>
        <v/>
      </c>
      <c r="F194" s="24" t="str">
        <f>IF(E194&lt;&gt;"",G4copy!A194,"")</f>
        <v/>
      </c>
      <c r="G194" s="24" t="str">
        <f>IF(E194&lt;&gt;"",G4copy!F194,"")</f>
        <v/>
      </c>
    </row>
    <row r="195" spans="1:7" ht="15.75" customHeight="1">
      <c r="A195" s="23" t="str">
        <f t="shared" ref="A195:A258" si="10">IF(E195&lt;&gt;"",DATEVALUE(LEFT(E195,10)),"")</f>
        <v/>
      </c>
      <c r="B195" t="str">
        <f t="shared" ref="B195:B258" si="11">IF(LEN(F195)&gt;3,RIGHT(F195,LEN(F195)-3),"")</f>
        <v/>
      </c>
      <c r="C195" s="23" t="str">
        <f t="shared" ref="C195:C258" si="12">IF(E195&lt;&gt;"",DATEVALUE(LEFT(G195,10)),"")</f>
        <v/>
      </c>
      <c r="E195" s="24" t="str">
        <f>IF(NOT(ISBLANK(G4copy!B195)),G4copy!B195,"")</f>
        <v/>
      </c>
      <c r="F195" s="24" t="str">
        <f>IF(E195&lt;&gt;"",G4copy!A195,"")</f>
        <v/>
      </c>
      <c r="G195" s="24" t="str">
        <f>IF(E195&lt;&gt;"",G4copy!F195,"")</f>
        <v/>
      </c>
    </row>
    <row r="196" spans="1:7" ht="15.75" customHeight="1">
      <c r="A196" s="23" t="str">
        <f t="shared" si="10"/>
        <v/>
      </c>
      <c r="B196" t="str">
        <f t="shared" si="11"/>
        <v/>
      </c>
      <c r="C196" s="23" t="str">
        <f t="shared" si="12"/>
        <v/>
      </c>
      <c r="E196" s="24" t="str">
        <f>IF(NOT(ISBLANK(G4copy!B196)),G4copy!B196,"")</f>
        <v/>
      </c>
      <c r="F196" s="24" t="str">
        <f>IF(E196&lt;&gt;"",G4copy!A196,"")</f>
        <v/>
      </c>
      <c r="G196" s="24" t="str">
        <f>IF(E196&lt;&gt;"",G4copy!F196,"")</f>
        <v/>
      </c>
    </row>
    <row r="197" spans="1:7" ht="15.75" customHeight="1">
      <c r="A197" s="23" t="str">
        <f t="shared" si="10"/>
        <v/>
      </c>
      <c r="B197" t="str">
        <f t="shared" si="11"/>
        <v/>
      </c>
      <c r="C197" s="23" t="str">
        <f t="shared" si="12"/>
        <v/>
      </c>
      <c r="E197" s="24" t="str">
        <f>IF(NOT(ISBLANK(G4copy!B197)),G4copy!B197,"")</f>
        <v/>
      </c>
      <c r="F197" s="24" t="str">
        <f>IF(E197&lt;&gt;"",G4copy!A197,"")</f>
        <v/>
      </c>
      <c r="G197" s="24" t="str">
        <f>IF(E197&lt;&gt;"",G4copy!F197,"")</f>
        <v/>
      </c>
    </row>
    <row r="198" spans="1:7" ht="15.75" customHeight="1">
      <c r="A198" s="23" t="str">
        <f t="shared" si="10"/>
        <v/>
      </c>
      <c r="B198" t="str">
        <f t="shared" si="11"/>
        <v/>
      </c>
      <c r="C198" s="23" t="str">
        <f t="shared" si="12"/>
        <v/>
      </c>
      <c r="E198" s="24" t="str">
        <f>IF(NOT(ISBLANK(G4copy!B198)),G4copy!B198,"")</f>
        <v/>
      </c>
      <c r="F198" s="24" t="str">
        <f>IF(E198&lt;&gt;"",G4copy!A198,"")</f>
        <v/>
      </c>
      <c r="G198" s="24" t="str">
        <f>IF(E198&lt;&gt;"",G4copy!F198,"")</f>
        <v/>
      </c>
    </row>
    <row r="199" spans="1:7" ht="15.75" customHeight="1">
      <c r="A199" s="23" t="str">
        <f t="shared" si="10"/>
        <v/>
      </c>
      <c r="B199" t="str">
        <f t="shared" si="11"/>
        <v/>
      </c>
      <c r="C199" s="23" t="str">
        <f t="shared" si="12"/>
        <v/>
      </c>
      <c r="E199" s="24" t="str">
        <f>IF(NOT(ISBLANK(G4copy!B199)),G4copy!B199,"")</f>
        <v/>
      </c>
      <c r="F199" s="24" t="str">
        <f>IF(E199&lt;&gt;"",G4copy!A199,"")</f>
        <v/>
      </c>
      <c r="G199" s="24" t="str">
        <f>IF(E199&lt;&gt;"",G4copy!F199,"")</f>
        <v/>
      </c>
    </row>
    <row r="200" spans="1:7" ht="15.75" customHeight="1">
      <c r="A200" s="23" t="str">
        <f t="shared" si="10"/>
        <v/>
      </c>
      <c r="B200" t="str">
        <f t="shared" si="11"/>
        <v/>
      </c>
      <c r="C200" s="23" t="str">
        <f t="shared" si="12"/>
        <v/>
      </c>
      <c r="E200" s="24" t="str">
        <f>IF(NOT(ISBLANK(G4copy!B200)),G4copy!B200,"")</f>
        <v/>
      </c>
      <c r="F200" s="24" t="str">
        <f>IF(E200&lt;&gt;"",G4copy!A200,"")</f>
        <v/>
      </c>
      <c r="G200" s="24" t="str">
        <f>IF(E200&lt;&gt;"",G4copy!F200,"")</f>
        <v/>
      </c>
    </row>
    <row r="201" spans="1:7" ht="15.75" customHeight="1">
      <c r="A201" s="23" t="str">
        <f t="shared" si="10"/>
        <v/>
      </c>
      <c r="B201" t="str">
        <f t="shared" si="11"/>
        <v/>
      </c>
      <c r="C201" s="23" t="str">
        <f t="shared" si="12"/>
        <v/>
      </c>
      <c r="E201" s="24" t="str">
        <f>IF(NOT(ISBLANK(G4copy!B201)),G4copy!B201,"")</f>
        <v/>
      </c>
      <c r="F201" s="24" t="str">
        <f>IF(E201&lt;&gt;"",G4copy!A201,"")</f>
        <v/>
      </c>
      <c r="G201" s="24" t="str">
        <f>IF(E201&lt;&gt;"",G4copy!F201,"")</f>
        <v/>
      </c>
    </row>
    <row r="202" spans="1:7" ht="15.75" customHeight="1">
      <c r="A202" s="23" t="str">
        <f t="shared" si="10"/>
        <v/>
      </c>
      <c r="B202" t="str">
        <f t="shared" si="11"/>
        <v/>
      </c>
      <c r="C202" s="23" t="str">
        <f t="shared" si="12"/>
        <v/>
      </c>
      <c r="E202" s="24" t="str">
        <f>IF(NOT(ISBLANK(G4copy!B202)),G4copy!B202,"")</f>
        <v/>
      </c>
      <c r="F202" s="24" t="str">
        <f>IF(E202&lt;&gt;"",G4copy!A202,"")</f>
        <v/>
      </c>
      <c r="G202" s="24" t="str">
        <f>IF(E202&lt;&gt;"",G4copy!F202,"")</f>
        <v/>
      </c>
    </row>
    <row r="203" spans="1:7" ht="15.75" customHeight="1">
      <c r="A203" s="23" t="str">
        <f t="shared" si="10"/>
        <v/>
      </c>
      <c r="B203" t="str">
        <f t="shared" si="11"/>
        <v/>
      </c>
      <c r="C203" s="23" t="str">
        <f t="shared" si="12"/>
        <v/>
      </c>
      <c r="E203" s="24" t="str">
        <f>IF(NOT(ISBLANK(G4copy!B203)),G4copy!B203,"")</f>
        <v/>
      </c>
      <c r="F203" s="24" t="str">
        <f>IF(E203&lt;&gt;"",G4copy!A203,"")</f>
        <v/>
      </c>
      <c r="G203" s="24" t="str">
        <f>IF(E203&lt;&gt;"",G4copy!F203,"")</f>
        <v/>
      </c>
    </row>
    <row r="204" spans="1:7" ht="15.75" customHeight="1">
      <c r="A204" s="23" t="str">
        <f t="shared" si="10"/>
        <v/>
      </c>
      <c r="B204" t="str">
        <f t="shared" si="11"/>
        <v/>
      </c>
      <c r="C204" s="23" t="str">
        <f t="shared" si="12"/>
        <v/>
      </c>
      <c r="E204" s="24" t="str">
        <f>IF(NOT(ISBLANK(G4copy!B204)),G4copy!B204,"")</f>
        <v/>
      </c>
      <c r="F204" s="24" t="str">
        <f>IF(E204&lt;&gt;"",G4copy!A204,"")</f>
        <v/>
      </c>
      <c r="G204" s="24" t="str">
        <f>IF(E204&lt;&gt;"",G4copy!F204,"")</f>
        <v/>
      </c>
    </row>
    <row r="205" spans="1:7" ht="15.75" customHeight="1">
      <c r="A205" s="23" t="str">
        <f t="shared" si="10"/>
        <v/>
      </c>
      <c r="B205" t="str">
        <f t="shared" si="11"/>
        <v/>
      </c>
      <c r="C205" s="23" t="str">
        <f t="shared" si="12"/>
        <v/>
      </c>
      <c r="E205" s="24" t="str">
        <f>IF(NOT(ISBLANK(G4copy!B205)),G4copy!B205,"")</f>
        <v/>
      </c>
      <c r="F205" s="24" t="str">
        <f>IF(E205&lt;&gt;"",G4copy!A205,"")</f>
        <v/>
      </c>
      <c r="G205" s="24" t="str">
        <f>IF(E205&lt;&gt;"",G4copy!F205,"")</f>
        <v/>
      </c>
    </row>
    <row r="206" spans="1:7" ht="15.75" customHeight="1">
      <c r="A206" s="23" t="str">
        <f t="shared" si="10"/>
        <v/>
      </c>
      <c r="B206" t="str">
        <f t="shared" si="11"/>
        <v/>
      </c>
      <c r="C206" s="23" t="str">
        <f t="shared" si="12"/>
        <v/>
      </c>
      <c r="E206" s="24" t="str">
        <f>IF(NOT(ISBLANK(G4copy!B206)),G4copy!B206,"")</f>
        <v/>
      </c>
      <c r="F206" s="24" t="str">
        <f>IF(E206&lt;&gt;"",G4copy!A206,"")</f>
        <v/>
      </c>
      <c r="G206" s="24" t="str">
        <f>IF(E206&lt;&gt;"",G4copy!F206,"")</f>
        <v/>
      </c>
    </row>
    <row r="207" spans="1:7" ht="15.75" customHeight="1">
      <c r="A207" s="23" t="str">
        <f t="shared" si="10"/>
        <v/>
      </c>
      <c r="B207" t="str">
        <f t="shared" si="11"/>
        <v/>
      </c>
      <c r="C207" s="23" t="str">
        <f t="shared" si="12"/>
        <v/>
      </c>
      <c r="E207" s="24" t="str">
        <f>IF(NOT(ISBLANK(G4copy!B207)),G4copy!B207,"")</f>
        <v/>
      </c>
      <c r="F207" s="24" t="str">
        <f>IF(E207&lt;&gt;"",G4copy!A207,"")</f>
        <v/>
      </c>
      <c r="G207" s="24" t="str">
        <f>IF(E207&lt;&gt;"",G4copy!F207,"")</f>
        <v/>
      </c>
    </row>
    <row r="208" spans="1:7" ht="15.75" customHeight="1">
      <c r="A208" s="23" t="str">
        <f t="shared" si="10"/>
        <v/>
      </c>
      <c r="B208" t="str">
        <f t="shared" si="11"/>
        <v/>
      </c>
      <c r="C208" s="23" t="str">
        <f t="shared" si="12"/>
        <v/>
      </c>
      <c r="E208" s="24" t="str">
        <f>IF(NOT(ISBLANK(G4copy!B208)),G4copy!B208,"")</f>
        <v/>
      </c>
      <c r="F208" s="24" t="str">
        <f>IF(E208&lt;&gt;"",G4copy!A208,"")</f>
        <v/>
      </c>
      <c r="G208" s="24" t="str">
        <f>IF(E208&lt;&gt;"",G4copy!F208,"")</f>
        <v/>
      </c>
    </row>
    <row r="209" spans="1:7" ht="15.75" customHeight="1">
      <c r="A209" s="23" t="str">
        <f t="shared" si="10"/>
        <v/>
      </c>
      <c r="B209" t="str">
        <f t="shared" si="11"/>
        <v/>
      </c>
      <c r="C209" s="23" t="str">
        <f t="shared" si="12"/>
        <v/>
      </c>
      <c r="E209" s="24" t="str">
        <f>IF(NOT(ISBLANK(G4copy!B209)),G4copy!B209,"")</f>
        <v/>
      </c>
      <c r="F209" s="24" t="str">
        <f>IF(E209&lt;&gt;"",G4copy!A209,"")</f>
        <v/>
      </c>
      <c r="G209" s="24" t="str">
        <f>IF(E209&lt;&gt;"",G4copy!F209,"")</f>
        <v/>
      </c>
    </row>
    <row r="210" spans="1:7" ht="15.75" customHeight="1">
      <c r="A210" s="23" t="str">
        <f t="shared" si="10"/>
        <v/>
      </c>
      <c r="B210" t="str">
        <f t="shared" si="11"/>
        <v/>
      </c>
      <c r="C210" s="23" t="str">
        <f t="shared" si="12"/>
        <v/>
      </c>
      <c r="E210" s="24" t="str">
        <f>IF(NOT(ISBLANK(G4copy!B210)),G4copy!B210,"")</f>
        <v/>
      </c>
      <c r="F210" s="24" t="str">
        <f>IF(E210&lt;&gt;"",G4copy!A210,"")</f>
        <v/>
      </c>
      <c r="G210" s="24" t="str">
        <f>IF(E210&lt;&gt;"",G4copy!F210,"")</f>
        <v/>
      </c>
    </row>
    <row r="211" spans="1:7" ht="15.75" customHeight="1">
      <c r="A211" s="23" t="str">
        <f t="shared" si="10"/>
        <v/>
      </c>
      <c r="B211" t="str">
        <f t="shared" si="11"/>
        <v/>
      </c>
      <c r="C211" s="23" t="str">
        <f t="shared" si="12"/>
        <v/>
      </c>
      <c r="E211" s="24" t="str">
        <f>IF(NOT(ISBLANK(G4copy!B211)),G4copy!B211,"")</f>
        <v/>
      </c>
      <c r="F211" s="24" t="str">
        <f>IF(E211&lt;&gt;"",G4copy!A211,"")</f>
        <v/>
      </c>
      <c r="G211" s="24" t="str">
        <f>IF(E211&lt;&gt;"",G4copy!F211,"")</f>
        <v/>
      </c>
    </row>
    <row r="212" spans="1:7" ht="15.75" customHeight="1">
      <c r="A212" s="23" t="str">
        <f t="shared" si="10"/>
        <v/>
      </c>
      <c r="B212" t="str">
        <f t="shared" si="11"/>
        <v/>
      </c>
      <c r="C212" s="23" t="str">
        <f t="shared" si="12"/>
        <v/>
      </c>
      <c r="E212" s="24" t="str">
        <f>IF(NOT(ISBLANK(G4copy!B212)),G4copy!B212,"")</f>
        <v/>
      </c>
      <c r="F212" s="24" t="str">
        <f>IF(E212&lt;&gt;"",G4copy!A212,"")</f>
        <v/>
      </c>
      <c r="G212" s="24" t="str">
        <f>IF(E212&lt;&gt;"",G4copy!F212,"")</f>
        <v/>
      </c>
    </row>
    <row r="213" spans="1:7" ht="15.75" customHeight="1">
      <c r="A213" s="23" t="str">
        <f t="shared" si="10"/>
        <v/>
      </c>
      <c r="B213" t="str">
        <f t="shared" si="11"/>
        <v/>
      </c>
      <c r="C213" s="23" t="str">
        <f t="shared" si="12"/>
        <v/>
      </c>
      <c r="E213" s="24" t="str">
        <f>IF(NOT(ISBLANK(G4copy!B213)),G4copy!B213,"")</f>
        <v/>
      </c>
      <c r="F213" s="24" t="str">
        <f>IF(E213&lt;&gt;"",G4copy!A213,"")</f>
        <v/>
      </c>
      <c r="G213" s="24" t="str">
        <f>IF(E213&lt;&gt;"",G4copy!F213,"")</f>
        <v/>
      </c>
    </row>
    <row r="214" spans="1:7" ht="15.75" customHeight="1">
      <c r="A214" s="23" t="str">
        <f t="shared" si="10"/>
        <v/>
      </c>
      <c r="B214" t="str">
        <f t="shared" si="11"/>
        <v/>
      </c>
      <c r="C214" s="23" t="str">
        <f t="shared" si="12"/>
        <v/>
      </c>
      <c r="E214" s="24" t="str">
        <f>IF(NOT(ISBLANK(G4copy!B214)),G4copy!B214,"")</f>
        <v/>
      </c>
      <c r="F214" s="24" t="str">
        <f>IF(E214&lt;&gt;"",G4copy!A214,"")</f>
        <v/>
      </c>
      <c r="G214" s="24" t="str">
        <f>IF(E214&lt;&gt;"",G4copy!F214,"")</f>
        <v/>
      </c>
    </row>
    <row r="215" spans="1:7" ht="15.75" customHeight="1">
      <c r="A215" s="23" t="str">
        <f t="shared" si="10"/>
        <v/>
      </c>
      <c r="B215" t="str">
        <f t="shared" si="11"/>
        <v/>
      </c>
      <c r="C215" s="23" t="str">
        <f t="shared" si="12"/>
        <v/>
      </c>
      <c r="E215" s="24" t="str">
        <f>IF(NOT(ISBLANK(G4copy!B215)),G4copy!B215,"")</f>
        <v/>
      </c>
      <c r="F215" s="24" t="str">
        <f>IF(E215&lt;&gt;"",G4copy!A215,"")</f>
        <v/>
      </c>
      <c r="G215" s="24" t="str">
        <f>IF(E215&lt;&gt;"",G4copy!F215,"")</f>
        <v/>
      </c>
    </row>
    <row r="216" spans="1:7" ht="15.75" customHeight="1">
      <c r="A216" s="23" t="str">
        <f t="shared" si="10"/>
        <v/>
      </c>
      <c r="B216" t="str">
        <f t="shared" si="11"/>
        <v/>
      </c>
      <c r="C216" s="23" t="str">
        <f t="shared" si="12"/>
        <v/>
      </c>
      <c r="E216" s="24" t="str">
        <f>IF(NOT(ISBLANK(G4copy!B216)),G4copy!B216,"")</f>
        <v/>
      </c>
      <c r="F216" s="24" t="str">
        <f>IF(E216&lt;&gt;"",G4copy!A216,"")</f>
        <v/>
      </c>
      <c r="G216" s="24" t="str">
        <f>IF(E216&lt;&gt;"",G4copy!F216,"")</f>
        <v/>
      </c>
    </row>
    <row r="217" spans="1:7" ht="15.75" customHeight="1">
      <c r="A217" s="23" t="str">
        <f t="shared" si="10"/>
        <v/>
      </c>
      <c r="B217" t="str">
        <f t="shared" si="11"/>
        <v/>
      </c>
      <c r="C217" s="23" t="str">
        <f t="shared" si="12"/>
        <v/>
      </c>
      <c r="E217" s="24" t="str">
        <f>IF(NOT(ISBLANK(G4copy!B217)),G4copy!B217,"")</f>
        <v/>
      </c>
      <c r="F217" s="24" t="str">
        <f>IF(E217&lt;&gt;"",G4copy!A217,"")</f>
        <v/>
      </c>
      <c r="G217" s="24" t="str">
        <f>IF(E217&lt;&gt;"",G4copy!F217,"")</f>
        <v/>
      </c>
    </row>
    <row r="218" spans="1:7" ht="15.75" customHeight="1">
      <c r="A218" s="23" t="str">
        <f t="shared" si="10"/>
        <v/>
      </c>
      <c r="B218" t="str">
        <f t="shared" si="11"/>
        <v/>
      </c>
      <c r="C218" s="23" t="str">
        <f t="shared" si="12"/>
        <v/>
      </c>
      <c r="E218" s="24" t="str">
        <f>IF(NOT(ISBLANK(G4copy!B218)),G4copy!B218,"")</f>
        <v/>
      </c>
      <c r="F218" s="24" t="str">
        <f>IF(E218&lt;&gt;"",G4copy!A218,"")</f>
        <v/>
      </c>
      <c r="G218" s="24" t="str">
        <f>IF(E218&lt;&gt;"",G4copy!F218,"")</f>
        <v/>
      </c>
    </row>
    <row r="219" spans="1:7" ht="15.75" customHeight="1">
      <c r="A219" s="23" t="str">
        <f t="shared" si="10"/>
        <v/>
      </c>
      <c r="B219" t="str">
        <f t="shared" si="11"/>
        <v/>
      </c>
      <c r="C219" s="23" t="str">
        <f t="shared" si="12"/>
        <v/>
      </c>
      <c r="E219" s="24" t="str">
        <f>IF(NOT(ISBLANK(G4copy!B219)),G4copy!B219,"")</f>
        <v/>
      </c>
      <c r="F219" s="24" t="str">
        <f>IF(E219&lt;&gt;"",G4copy!A219,"")</f>
        <v/>
      </c>
      <c r="G219" s="24" t="str">
        <f>IF(E219&lt;&gt;"",G4copy!F219,"")</f>
        <v/>
      </c>
    </row>
    <row r="220" spans="1:7" ht="15.75" customHeight="1">
      <c r="A220" s="23" t="str">
        <f t="shared" si="10"/>
        <v/>
      </c>
      <c r="B220" t="str">
        <f t="shared" si="11"/>
        <v/>
      </c>
      <c r="C220" s="23" t="str">
        <f t="shared" si="12"/>
        <v/>
      </c>
      <c r="E220" s="24" t="str">
        <f>IF(NOT(ISBLANK(G4copy!B220)),G4copy!B220,"")</f>
        <v/>
      </c>
      <c r="F220" s="24" t="str">
        <f>IF(E220&lt;&gt;"",G4copy!A220,"")</f>
        <v/>
      </c>
      <c r="G220" s="24" t="str">
        <f>IF(E220&lt;&gt;"",G4copy!F220,"")</f>
        <v/>
      </c>
    </row>
    <row r="221" spans="1:7" ht="15.75" customHeight="1">
      <c r="A221" s="23" t="str">
        <f t="shared" si="10"/>
        <v/>
      </c>
      <c r="B221" t="str">
        <f t="shared" si="11"/>
        <v/>
      </c>
      <c r="C221" s="23" t="str">
        <f t="shared" si="12"/>
        <v/>
      </c>
      <c r="E221" s="24" t="str">
        <f>IF(NOT(ISBLANK(G4copy!B221)),G4copy!B221,"")</f>
        <v/>
      </c>
      <c r="F221" s="24" t="str">
        <f>IF(E221&lt;&gt;"",G4copy!A221,"")</f>
        <v/>
      </c>
      <c r="G221" s="24" t="str">
        <f>IF(E221&lt;&gt;"",G4copy!F221,"")</f>
        <v/>
      </c>
    </row>
    <row r="222" spans="1:7" ht="15.75" customHeight="1">
      <c r="A222" s="23" t="str">
        <f t="shared" si="10"/>
        <v/>
      </c>
      <c r="B222" t="str">
        <f t="shared" si="11"/>
        <v/>
      </c>
      <c r="C222" s="23" t="str">
        <f t="shared" si="12"/>
        <v/>
      </c>
      <c r="E222" s="24" t="str">
        <f>IF(NOT(ISBLANK(G4copy!B222)),G4copy!B222,"")</f>
        <v/>
      </c>
      <c r="F222" s="24" t="str">
        <f>IF(E222&lt;&gt;"",G4copy!A222,"")</f>
        <v/>
      </c>
      <c r="G222" s="24" t="str">
        <f>IF(E222&lt;&gt;"",G4copy!F222,"")</f>
        <v/>
      </c>
    </row>
    <row r="223" spans="1:7" ht="15.75" customHeight="1">
      <c r="A223" s="23" t="str">
        <f t="shared" si="10"/>
        <v/>
      </c>
      <c r="B223" t="str">
        <f t="shared" si="11"/>
        <v/>
      </c>
      <c r="C223" s="23" t="str">
        <f t="shared" si="12"/>
        <v/>
      </c>
      <c r="E223" s="24" t="str">
        <f>IF(NOT(ISBLANK(G4copy!B223)),G4copy!B223,"")</f>
        <v/>
      </c>
      <c r="F223" s="24" t="str">
        <f>IF(E223&lt;&gt;"",G4copy!A223,"")</f>
        <v/>
      </c>
      <c r="G223" s="24" t="str">
        <f>IF(E223&lt;&gt;"",G4copy!F223,"")</f>
        <v/>
      </c>
    </row>
    <row r="224" spans="1:7" ht="15.75" customHeight="1">
      <c r="A224" s="23" t="str">
        <f t="shared" si="10"/>
        <v/>
      </c>
      <c r="B224" t="str">
        <f t="shared" si="11"/>
        <v/>
      </c>
      <c r="C224" s="23" t="str">
        <f t="shared" si="12"/>
        <v/>
      </c>
      <c r="E224" s="24" t="str">
        <f>IF(NOT(ISBLANK(G4copy!B224)),G4copy!B224,"")</f>
        <v/>
      </c>
      <c r="F224" s="24" t="str">
        <f>IF(E224&lt;&gt;"",G4copy!A224,"")</f>
        <v/>
      </c>
      <c r="G224" s="24" t="str">
        <f>IF(E224&lt;&gt;"",G4copy!F224,"")</f>
        <v/>
      </c>
    </row>
    <row r="225" spans="1:7" ht="15.75" customHeight="1">
      <c r="A225" s="23" t="str">
        <f t="shared" si="10"/>
        <v/>
      </c>
      <c r="B225" t="str">
        <f t="shared" si="11"/>
        <v/>
      </c>
      <c r="C225" s="23" t="str">
        <f t="shared" si="12"/>
        <v/>
      </c>
      <c r="E225" s="24" t="str">
        <f>IF(NOT(ISBLANK(G4copy!B225)),G4copy!B225,"")</f>
        <v/>
      </c>
      <c r="F225" s="24" t="str">
        <f>IF(E225&lt;&gt;"",G4copy!A225,"")</f>
        <v/>
      </c>
      <c r="G225" s="24" t="str">
        <f>IF(E225&lt;&gt;"",G4copy!F225,"")</f>
        <v/>
      </c>
    </row>
    <row r="226" spans="1:7" ht="15.75" customHeight="1">
      <c r="A226" s="23" t="str">
        <f t="shared" si="10"/>
        <v/>
      </c>
      <c r="B226" t="str">
        <f t="shared" si="11"/>
        <v/>
      </c>
      <c r="C226" s="23" t="str">
        <f t="shared" si="12"/>
        <v/>
      </c>
      <c r="E226" s="24" t="str">
        <f>IF(NOT(ISBLANK(G4copy!B226)),G4copy!B226,"")</f>
        <v/>
      </c>
      <c r="F226" s="24" t="str">
        <f>IF(E226&lt;&gt;"",G4copy!A226,"")</f>
        <v/>
      </c>
      <c r="G226" s="24" t="str">
        <f>IF(E226&lt;&gt;"",G4copy!F226,"")</f>
        <v/>
      </c>
    </row>
    <row r="227" spans="1:7" ht="15.75" customHeight="1">
      <c r="A227" s="23" t="str">
        <f t="shared" si="10"/>
        <v/>
      </c>
      <c r="B227" t="str">
        <f t="shared" si="11"/>
        <v/>
      </c>
      <c r="C227" s="23" t="str">
        <f t="shared" si="12"/>
        <v/>
      </c>
      <c r="E227" s="24" t="str">
        <f>IF(NOT(ISBLANK(G4copy!B227)),G4copy!B227,"")</f>
        <v/>
      </c>
      <c r="F227" s="24" t="str">
        <f>IF(E227&lt;&gt;"",G4copy!A227,"")</f>
        <v/>
      </c>
      <c r="G227" s="24" t="str">
        <f>IF(E227&lt;&gt;"",G4copy!F227,"")</f>
        <v/>
      </c>
    </row>
    <row r="228" spans="1:7" ht="15.75" customHeight="1">
      <c r="A228" s="23" t="str">
        <f t="shared" si="10"/>
        <v/>
      </c>
      <c r="B228" t="str">
        <f t="shared" si="11"/>
        <v/>
      </c>
      <c r="C228" s="23" t="str">
        <f t="shared" si="12"/>
        <v/>
      </c>
      <c r="E228" s="24" t="str">
        <f>IF(NOT(ISBLANK(G4copy!B228)),G4copy!B228,"")</f>
        <v/>
      </c>
      <c r="F228" s="24" t="str">
        <f>IF(E228&lt;&gt;"",G4copy!A228,"")</f>
        <v/>
      </c>
      <c r="G228" s="24" t="str">
        <f>IF(E228&lt;&gt;"",G4copy!F228,"")</f>
        <v/>
      </c>
    </row>
    <row r="229" spans="1:7" ht="15.75" customHeight="1">
      <c r="A229" s="23" t="str">
        <f t="shared" si="10"/>
        <v/>
      </c>
      <c r="B229" t="str">
        <f t="shared" si="11"/>
        <v/>
      </c>
      <c r="C229" s="23" t="str">
        <f t="shared" si="12"/>
        <v/>
      </c>
      <c r="E229" s="24" t="str">
        <f>IF(NOT(ISBLANK(G4copy!B229)),G4copy!B229,"")</f>
        <v/>
      </c>
      <c r="F229" s="24" t="str">
        <f>IF(E229&lt;&gt;"",G4copy!A229,"")</f>
        <v/>
      </c>
      <c r="G229" s="24" t="str">
        <f>IF(E229&lt;&gt;"",G4copy!F229,"")</f>
        <v/>
      </c>
    </row>
    <row r="230" spans="1:7" ht="15.75" customHeight="1">
      <c r="A230" s="23" t="str">
        <f t="shared" si="10"/>
        <v/>
      </c>
      <c r="B230" t="str">
        <f t="shared" si="11"/>
        <v/>
      </c>
      <c r="C230" s="23" t="str">
        <f t="shared" si="12"/>
        <v/>
      </c>
      <c r="E230" s="24" t="str">
        <f>IF(NOT(ISBLANK(G4copy!B230)),G4copy!B230,"")</f>
        <v/>
      </c>
      <c r="F230" s="24" t="str">
        <f>IF(E230&lt;&gt;"",G4copy!A230,"")</f>
        <v/>
      </c>
      <c r="G230" s="24" t="str">
        <f>IF(E230&lt;&gt;"",G4copy!F230,"")</f>
        <v/>
      </c>
    </row>
    <row r="231" spans="1:7" ht="15.75" customHeight="1">
      <c r="A231" s="23" t="str">
        <f t="shared" si="10"/>
        <v/>
      </c>
      <c r="B231" t="str">
        <f t="shared" si="11"/>
        <v/>
      </c>
      <c r="C231" s="23" t="str">
        <f t="shared" si="12"/>
        <v/>
      </c>
      <c r="E231" s="24" t="str">
        <f>IF(NOT(ISBLANK(G4copy!B231)),G4copy!B231,"")</f>
        <v/>
      </c>
      <c r="F231" s="24" t="str">
        <f>IF(E231&lt;&gt;"",G4copy!A231,"")</f>
        <v/>
      </c>
      <c r="G231" s="24" t="str">
        <f>IF(E231&lt;&gt;"",G4copy!F231,"")</f>
        <v/>
      </c>
    </row>
    <row r="232" spans="1:7" ht="15.75" customHeight="1">
      <c r="A232" s="23" t="str">
        <f t="shared" si="10"/>
        <v/>
      </c>
      <c r="B232" t="str">
        <f t="shared" si="11"/>
        <v/>
      </c>
      <c r="C232" s="23" t="str">
        <f t="shared" si="12"/>
        <v/>
      </c>
      <c r="E232" s="24" t="str">
        <f>IF(NOT(ISBLANK(G4copy!B232)),G4copy!B232,"")</f>
        <v/>
      </c>
      <c r="F232" s="24" t="str">
        <f>IF(E232&lt;&gt;"",G4copy!A232,"")</f>
        <v/>
      </c>
      <c r="G232" s="24" t="str">
        <f>IF(E232&lt;&gt;"",G4copy!F232,"")</f>
        <v/>
      </c>
    </row>
    <row r="233" spans="1:7" ht="15.75" customHeight="1">
      <c r="A233" s="23" t="str">
        <f t="shared" si="10"/>
        <v/>
      </c>
      <c r="B233" t="str">
        <f t="shared" si="11"/>
        <v/>
      </c>
      <c r="C233" s="23" t="str">
        <f t="shared" si="12"/>
        <v/>
      </c>
      <c r="E233" s="24" t="str">
        <f>IF(NOT(ISBLANK(G4copy!B233)),G4copy!B233,"")</f>
        <v/>
      </c>
      <c r="F233" s="24" t="str">
        <f>IF(E233&lt;&gt;"",G4copy!A233,"")</f>
        <v/>
      </c>
      <c r="G233" s="24" t="str">
        <f>IF(E233&lt;&gt;"",G4copy!F233,"")</f>
        <v/>
      </c>
    </row>
    <row r="234" spans="1:7" ht="15.75" customHeight="1">
      <c r="A234" s="23" t="str">
        <f t="shared" si="10"/>
        <v/>
      </c>
      <c r="B234" t="str">
        <f t="shared" si="11"/>
        <v/>
      </c>
      <c r="C234" s="23" t="str">
        <f t="shared" si="12"/>
        <v/>
      </c>
      <c r="E234" s="24" t="str">
        <f>IF(NOT(ISBLANK(G4copy!B234)),G4copy!B234,"")</f>
        <v/>
      </c>
      <c r="F234" s="24" t="str">
        <f>IF(E234&lt;&gt;"",G4copy!A234,"")</f>
        <v/>
      </c>
      <c r="G234" s="24" t="str">
        <f>IF(E234&lt;&gt;"",G4copy!F234,"")</f>
        <v/>
      </c>
    </row>
    <row r="235" spans="1:7" ht="15.75" customHeight="1">
      <c r="A235" s="23" t="str">
        <f t="shared" si="10"/>
        <v/>
      </c>
      <c r="B235" t="str">
        <f t="shared" si="11"/>
        <v/>
      </c>
      <c r="C235" s="23" t="str">
        <f t="shared" si="12"/>
        <v/>
      </c>
      <c r="E235" s="24" t="str">
        <f>IF(NOT(ISBLANK(G4copy!B235)),G4copy!B235,"")</f>
        <v/>
      </c>
      <c r="F235" s="24" t="str">
        <f>IF(E235&lt;&gt;"",G4copy!A235,"")</f>
        <v/>
      </c>
      <c r="G235" s="24" t="str">
        <f>IF(E235&lt;&gt;"",G4copy!F235,"")</f>
        <v/>
      </c>
    </row>
    <row r="236" spans="1:7" ht="15.75" customHeight="1">
      <c r="A236" s="23" t="str">
        <f t="shared" si="10"/>
        <v/>
      </c>
      <c r="B236" t="str">
        <f t="shared" si="11"/>
        <v/>
      </c>
      <c r="C236" s="23" t="str">
        <f t="shared" si="12"/>
        <v/>
      </c>
      <c r="E236" s="24" t="str">
        <f>IF(NOT(ISBLANK(G4copy!B236)),G4copy!B236,"")</f>
        <v/>
      </c>
      <c r="F236" s="24" t="str">
        <f>IF(E236&lt;&gt;"",G4copy!A236,"")</f>
        <v/>
      </c>
      <c r="G236" s="24" t="str">
        <f>IF(E236&lt;&gt;"",G4copy!F236,"")</f>
        <v/>
      </c>
    </row>
    <row r="237" spans="1:7" ht="15.75" customHeight="1">
      <c r="A237" s="23" t="str">
        <f t="shared" si="10"/>
        <v/>
      </c>
      <c r="B237" t="str">
        <f t="shared" si="11"/>
        <v/>
      </c>
      <c r="C237" s="23" t="str">
        <f t="shared" si="12"/>
        <v/>
      </c>
      <c r="E237" s="24" t="str">
        <f>IF(NOT(ISBLANK(G4copy!B237)),G4copy!B237,"")</f>
        <v/>
      </c>
      <c r="F237" s="24" t="str">
        <f>IF(E237&lt;&gt;"",G4copy!A237,"")</f>
        <v/>
      </c>
      <c r="G237" s="24" t="str">
        <f>IF(E237&lt;&gt;"",G4copy!F237,"")</f>
        <v/>
      </c>
    </row>
    <row r="238" spans="1:7" ht="15.75" customHeight="1">
      <c r="A238" s="23" t="str">
        <f t="shared" si="10"/>
        <v/>
      </c>
      <c r="B238" t="str">
        <f t="shared" si="11"/>
        <v/>
      </c>
      <c r="C238" s="23" t="str">
        <f t="shared" si="12"/>
        <v/>
      </c>
      <c r="E238" s="24" t="str">
        <f>IF(NOT(ISBLANK(G4copy!B238)),G4copy!B238,"")</f>
        <v/>
      </c>
      <c r="F238" s="24" t="str">
        <f>IF(E238&lt;&gt;"",G4copy!A238,"")</f>
        <v/>
      </c>
      <c r="G238" s="24" t="str">
        <f>IF(E238&lt;&gt;"",G4copy!F238,"")</f>
        <v/>
      </c>
    </row>
    <row r="239" spans="1:7" ht="15.75" customHeight="1">
      <c r="A239" s="23" t="str">
        <f t="shared" si="10"/>
        <v/>
      </c>
      <c r="B239" t="str">
        <f t="shared" si="11"/>
        <v/>
      </c>
      <c r="C239" s="23" t="str">
        <f t="shared" si="12"/>
        <v/>
      </c>
      <c r="E239" s="24" t="str">
        <f>IF(NOT(ISBLANK(G4copy!B239)),G4copy!B239,"")</f>
        <v/>
      </c>
      <c r="F239" s="24" t="str">
        <f>IF(E239&lt;&gt;"",G4copy!A239,"")</f>
        <v/>
      </c>
      <c r="G239" s="24" t="str">
        <f>IF(E239&lt;&gt;"",G4copy!F239,"")</f>
        <v/>
      </c>
    </row>
    <row r="240" spans="1:7" ht="15.75" customHeight="1">
      <c r="A240" s="23" t="str">
        <f t="shared" si="10"/>
        <v/>
      </c>
      <c r="B240" t="str">
        <f t="shared" si="11"/>
        <v/>
      </c>
      <c r="C240" s="23" t="str">
        <f t="shared" si="12"/>
        <v/>
      </c>
      <c r="E240" s="24" t="str">
        <f>IF(NOT(ISBLANK(G4copy!B240)),G4copy!B240,"")</f>
        <v/>
      </c>
      <c r="F240" s="24" t="str">
        <f>IF(E240&lt;&gt;"",G4copy!A240,"")</f>
        <v/>
      </c>
      <c r="G240" s="24" t="str">
        <f>IF(E240&lt;&gt;"",G4copy!F240,"")</f>
        <v/>
      </c>
    </row>
    <row r="241" spans="1:7" ht="15.75" customHeight="1">
      <c r="A241" s="23" t="str">
        <f t="shared" si="10"/>
        <v/>
      </c>
      <c r="B241" t="str">
        <f t="shared" si="11"/>
        <v/>
      </c>
      <c r="C241" s="23" t="str">
        <f t="shared" si="12"/>
        <v/>
      </c>
      <c r="E241" s="24" t="str">
        <f>IF(NOT(ISBLANK(G4copy!B241)),G4copy!B241,"")</f>
        <v/>
      </c>
      <c r="F241" s="24" t="str">
        <f>IF(E241&lt;&gt;"",G4copy!A241,"")</f>
        <v/>
      </c>
      <c r="G241" s="24" t="str">
        <f>IF(E241&lt;&gt;"",G4copy!F241,"")</f>
        <v/>
      </c>
    </row>
    <row r="242" spans="1:7" ht="15.75" customHeight="1">
      <c r="A242" s="23" t="str">
        <f t="shared" si="10"/>
        <v/>
      </c>
      <c r="B242" t="str">
        <f t="shared" si="11"/>
        <v/>
      </c>
      <c r="C242" s="23" t="str">
        <f t="shared" si="12"/>
        <v/>
      </c>
      <c r="E242" s="24" t="str">
        <f>IF(NOT(ISBLANK(G4copy!B242)),G4copy!B242,"")</f>
        <v/>
      </c>
      <c r="F242" s="24" t="str">
        <f>IF(E242&lt;&gt;"",G4copy!A242,"")</f>
        <v/>
      </c>
      <c r="G242" s="24" t="str">
        <f>IF(E242&lt;&gt;"",G4copy!F242,"")</f>
        <v/>
      </c>
    </row>
    <row r="243" spans="1:7" ht="15.75" customHeight="1">
      <c r="A243" s="23" t="str">
        <f t="shared" si="10"/>
        <v/>
      </c>
      <c r="B243" t="str">
        <f t="shared" si="11"/>
        <v/>
      </c>
      <c r="C243" s="23" t="str">
        <f t="shared" si="12"/>
        <v/>
      </c>
      <c r="E243" s="24" t="str">
        <f>IF(NOT(ISBLANK(G4copy!B243)),G4copy!B243,"")</f>
        <v/>
      </c>
      <c r="F243" s="24" t="str">
        <f>IF(E243&lt;&gt;"",G4copy!A243,"")</f>
        <v/>
      </c>
      <c r="G243" s="24" t="str">
        <f>IF(E243&lt;&gt;"",G4copy!F243,"")</f>
        <v/>
      </c>
    </row>
    <row r="244" spans="1:7" ht="15.75" customHeight="1">
      <c r="A244" s="23" t="str">
        <f t="shared" si="10"/>
        <v/>
      </c>
      <c r="B244" t="str">
        <f t="shared" si="11"/>
        <v/>
      </c>
      <c r="C244" s="23" t="str">
        <f t="shared" si="12"/>
        <v/>
      </c>
      <c r="E244" s="24" t="str">
        <f>IF(NOT(ISBLANK(G4copy!B244)),G4copy!B244,"")</f>
        <v/>
      </c>
      <c r="F244" s="24" t="str">
        <f>IF(E244&lt;&gt;"",G4copy!A244,"")</f>
        <v/>
      </c>
      <c r="G244" s="24" t="str">
        <f>IF(E244&lt;&gt;"",G4copy!F244,"")</f>
        <v/>
      </c>
    </row>
    <row r="245" spans="1:7" ht="15.75" customHeight="1">
      <c r="A245" s="23" t="str">
        <f t="shared" si="10"/>
        <v/>
      </c>
      <c r="B245" t="str">
        <f t="shared" si="11"/>
        <v/>
      </c>
      <c r="C245" s="23" t="str">
        <f t="shared" si="12"/>
        <v/>
      </c>
      <c r="E245" s="24" t="str">
        <f>IF(NOT(ISBLANK(G4copy!B245)),G4copy!B245,"")</f>
        <v/>
      </c>
      <c r="F245" s="24" t="str">
        <f>IF(E245&lt;&gt;"",G4copy!A245,"")</f>
        <v/>
      </c>
      <c r="G245" s="24" t="str">
        <f>IF(E245&lt;&gt;"",G4copy!F245,"")</f>
        <v/>
      </c>
    </row>
    <row r="246" spans="1:7" ht="15.75" customHeight="1">
      <c r="A246" s="23" t="str">
        <f t="shared" si="10"/>
        <v/>
      </c>
      <c r="B246" t="str">
        <f t="shared" si="11"/>
        <v/>
      </c>
      <c r="C246" s="23" t="str">
        <f t="shared" si="12"/>
        <v/>
      </c>
      <c r="E246" s="24" t="str">
        <f>IF(NOT(ISBLANK(G4copy!B246)),G4copy!B246,"")</f>
        <v/>
      </c>
      <c r="F246" s="24" t="str">
        <f>IF(E246&lt;&gt;"",G4copy!A246,"")</f>
        <v/>
      </c>
      <c r="G246" s="24" t="str">
        <f>IF(E246&lt;&gt;"",G4copy!F246,"")</f>
        <v/>
      </c>
    </row>
    <row r="247" spans="1:7" ht="15.75" customHeight="1">
      <c r="A247" s="23" t="str">
        <f t="shared" si="10"/>
        <v/>
      </c>
      <c r="B247" t="str">
        <f t="shared" si="11"/>
        <v/>
      </c>
      <c r="C247" s="23" t="str">
        <f t="shared" si="12"/>
        <v/>
      </c>
      <c r="E247" s="24" t="str">
        <f>IF(NOT(ISBLANK(G4copy!B247)),G4copy!B247,"")</f>
        <v/>
      </c>
      <c r="F247" s="24" t="str">
        <f>IF(E247&lt;&gt;"",G4copy!A247,"")</f>
        <v/>
      </c>
      <c r="G247" s="24" t="str">
        <f>IF(E247&lt;&gt;"",G4copy!F247,"")</f>
        <v/>
      </c>
    </row>
    <row r="248" spans="1:7" ht="15.75" customHeight="1">
      <c r="A248" s="23" t="str">
        <f t="shared" si="10"/>
        <v/>
      </c>
      <c r="B248" t="str">
        <f t="shared" si="11"/>
        <v/>
      </c>
      <c r="C248" s="23" t="str">
        <f t="shared" si="12"/>
        <v/>
      </c>
      <c r="E248" s="24" t="str">
        <f>IF(NOT(ISBLANK(G4copy!B248)),G4copy!B248,"")</f>
        <v/>
      </c>
      <c r="F248" s="24" t="str">
        <f>IF(E248&lt;&gt;"",G4copy!A248,"")</f>
        <v/>
      </c>
      <c r="G248" s="24" t="str">
        <f>IF(E248&lt;&gt;"",G4copy!F248,"")</f>
        <v/>
      </c>
    </row>
    <row r="249" spans="1:7" ht="15.75" customHeight="1">
      <c r="A249" s="23" t="str">
        <f t="shared" si="10"/>
        <v/>
      </c>
      <c r="B249" t="str">
        <f t="shared" si="11"/>
        <v/>
      </c>
      <c r="C249" s="23" t="str">
        <f t="shared" si="12"/>
        <v/>
      </c>
      <c r="E249" s="24" t="str">
        <f>IF(NOT(ISBLANK(G4copy!B249)),G4copy!B249,"")</f>
        <v/>
      </c>
      <c r="F249" s="24" t="str">
        <f>IF(E249&lt;&gt;"",G4copy!A249,"")</f>
        <v/>
      </c>
      <c r="G249" s="24" t="str">
        <f>IF(E249&lt;&gt;"",G4copy!F249,"")</f>
        <v/>
      </c>
    </row>
    <row r="250" spans="1:7" ht="15.75" customHeight="1">
      <c r="A250" s="23" t="str">
        <f t="shared" si="10"/>
        <v/>
      </c>
      <c r="B250" t="str">
        <f t="shared" si="11"/>
        <v/>
      </c>
      <c r="C250" s="23" t="str">
        <f t="shared" si="12"/>
        <v/>
      </c>
      <c r="E250" s="24" t="str">
        <f>IF(NOT(ISBLANK(G4copy!B250)),G4copy!B250,"")</f>
        <v/>
      </c>
      <c r="F250" s="24" t="str">
        <f>IF(E250&lt;&gt;"",G4copy!A250,"")</f>
        <v/>
      </c>
      <c r="G250" s="24" t="str">
        <f>IF(E250&lt;&gt;"",G4copy!F250,"")</f>
        <v/>
      </c>
    </row>
    <row r="251" spans="1:7" ht="15.75" customHeight="1">
      <c r="A251" s="23" t="str">
        <f t="shared" si="10"/>
        <v/>
      </c>
      <c r="B251" t="str">
        <f t="shared" si="11"/>
        <v/>
      </c>
      <c r="C251" s="23" t="str">
        <f t="shared" si="12"/>
        <v/>
      </c>
      <c r="E251" s="24" t="str">
        <f>IF(NOT(ISBLANK(G4copy!B251)),G4copy!B251,"")</f>
        <v/>
      </c>
      <c r="F251" s="24" t="str">
        <f>IF(E251&lt;&gt;"",G4copy!A251,"")</f>
        <v/>
      </c>
      <c r="G251" s="24" t="str">
        <f>IF(E251&lt;&gt;"",G4copy!F251,"")</f>
        <v/>
      </c>
    </row>
    <row r="252" spans="1:7" ht="15.75" customHeight="1">
      <c r="A252" s="23" t="str">
        <f t="shared" si="10"/>
        <v/>
      </c>
      <c r="B252" t="str">
        <f t="shared" si="11"/>
        <v/>
      </c>
      <c r="C252" s="23" t="str">
        <f t="shared" si="12"/>
        <v/>
      </c>
      <c r="E252" s="24" t="str">
        <f>IF(NOT(ISBLANK(G4copy!B252)),G4copy!B252,"")</f>
        <v/>
      </c>
      <c r="F252" s="24" t="str">
        <f>IF(E252&lt;&gt;"",G4copy!A252,"")</f>
        <v/>
      </c>
      <c r="G252" s="24" t="str">
        <f>IF(E252&lt;&gt;"",G4copy!F252,"")</f>
        <v/>
      </c>
    </row>
    <row r="253" spans="1:7" ht="15.75" customHeight="1">
      <c r="A253" s="23" t="str">
        <f t="shared" si="10"/>
        <v/>
      </c>
      <c r="B253" t="str">
        <f t="shared" si="11"/>
        <v/>
      </c>
      <c r="C253" s="23" t="str">
        <f t="shared" si="12"/>
        <v/>
      </c>
      <c r="E253" s="24" t="str">
        <f>IF(NOT(ISBLANK(G4copy!B253)),G4copy!B253,"")</f>
        <v/>
      </c>
      <c r="F253" s="24" t="str">
        <f>IF(E253&lt;&gt;"",G4copy!A253,"")</f>
        <v/>
      </c>
      <c r="G253" s="24" t="str">
        <f>IF(E253&lt;&gt;"",G4copy!F253,"")</f>
        <v/>
      </c>
    </row>
    <row r="254" spans="1:7" ht="15.75" customHeight="1">
      <c r="A254" s="23" t="str">
        <f t="shared" si="10"/>
        <v/>
      </c>
      <c r="B254" t="str">
        <f t="shared" si="11"/>
        <v/>
      </c>
      <c r="C254" s="23" t="str">
        <f t="shared" si="12"/>
        <v/>
      </c>
      <c r="E254" s="24" t="str">
        <f>IF(NOT(ISBLANK(G4copy!B254)),G4copy!B254,"")</f>
        <v/>
      </c>
      <c r="F254" s="24" t="str">
        <f>IF(E254&lt;&gt;"",G4copy!A254,"")</f>
        <v/>
      </c>
      <c r="G254" s="24" t="str">
        <f>IF(E254&lt;&gt;"",G4copy!F254,"")</f>
        <v/>
      </c>
    </row>
    <row r="255" spans="1:7" ht="15.75" customHeight="1">
      <c r="A255" s="23" t="str">
        <f t="shared" si="10"/>
        <v/>
      </c>
      <c r="B255" t="str">
        <f t="shared" si="11"/>
        <v/>
      </c>
      <c r="C255" s="23" t="str">
        <f t="shared" si="12"/>
        <v/>
      </c>
      <c r="E255" s="24" t="str">
        <f>IF(NOT(ISBLANK(G4copy!B255)),G4copy!B255,"")</f>
        <v/>
      </c>
      <c r="F255" s="24" t="str">
        <f>IF(E255&lt;&gt;"",G4copy!A255,"")</f>
        <v/>
      </c>
      <c r="G255" s="24" t="str">
        <f>IF(E255&lt;&gt;"",G4copy!F255,"")</f>
        <v/>
      </c>
    </row>
    <row r="256" spans="1:7" ht="15.75" customHeight="1">
      <c r="A256" s="23" t="str">
        <f t="shared" si="10"/>
        <v/>
      </c>
      <c r="B256" t="str">
        <f t="shared" si="11"/>
        <v/>
      </c>
      <c r="C256" s="23" t="str">
        <f t="shared" si="12"/>
        <v/>
      </c>
      <c r="E256" s="24" t="str">
        <f>IF(NOT(ISBLANK(G4copy!B256)),G4copy!B256,"")</f>
        <v/>
      </c>
      <c r="F256" s="24" t="str">
        <f>IF(E256&lt;&gt;"",G4copy!A256,"")</f>
        <v/>
      </c>
      <c r="G256" s="24" t="str">
        <f>IF(E256&lt;&gt;"",G4copy!F256,"")</f>
        <v/>
      </c>
    </row>
    <row r="257" spans="1:7" ht="15.75" customHeight="1">
      <c r="A257" s="23" t="str">
        <f t="shared" si="10"/>
        <v/>
      </c>
      <c r="B257" t="str">
        <f t="shared" si="11"/>
        <v/>
      </c>
      <c r="C257" s="23" t="str">
        <f t="shared" si="12"/>
        <v/>
      </c>
      <c r="E257" s="24" t="str">
        <f>IF(NOT(ISBLANK(G4copy!B257)),G4copy!B257,"")</f>
        <v/>
      </c>
      <c r="F257" s="24" t="str">
        <f>IF(E257&lt;&gt;"",G4copy!A257,"")</f>
        <v/>
      </c>
      <c r="G257" s="24" t="str">
        <f>IF(E257&lt;&gt;"",G4copy!F257,"")</f>
        <v/>
      </c>
    </row>
    <row r="258" spans="1:7" ht="15.75" customHeight="1">
      <c r="A258" s="23" t="str">
        <f t="shared" si="10"/>
        <v/>
      </c>
      <c r="B258" t="str">
        <f t="shared" si="11"/>
        <v/>
      </c>
      <c r="C258" s="23" t="str">
        <f t="shared" si="12"/>
        <v/>
      </c>
      <c r="E258" s="24" t="str">
        <f>IF(NOT(ISBLANK(G4copy!B258)),G4copy!B258,"")</f>
        <v/>
      </c>
      <c r="F258" s="24" t="str">
        <f>IF(E258&lt;&gt;"",G4copy!A258,"")</f>
        <v/>
      </c>
      <c r="G258" s="24" t="str">
        <f>IF(E258&lt;&gt;"",G4copy!F258,"")</f>
        <v/>
      </c>
    </row>
    <row r="259" spans="1:7" ht="15.75" customHeight="1">
      <c r="A259" s="23" t="str">
        <f t="shared" ref="A259:A322" si="13">IF(E259&lt;&gt;"",DATEVALUE(LEFT(E259,10)),"")</f>
        <v/>
      </c>
      <c r="B259" t="str">
        <f t="shared" ref="B259:B322" si="14">IF(LEN(F259)&gt;3,RIGHT(F259,LEN(F259)-3),"")</f>
        <v/>
      </c>
      <c r="C259" s="23" t="str">
        <f t="shared" ref="C259:C322" si="15">IF(E259&lt;&gt;"",DATEVALUE(LEFT(G259,10)),"")</f>
        <v/>
      </c>
      <c r="E259" s="24" t="str">
        <f>IF(NOT(ISBLANK(G4copy!B259)),G4copy!B259,"")</f>
        <v/>
      </c>
      <c r="F259" s="24" t="str">
        <f>IF(E259&lt;&gt;"",G4copy!A259,"")</f>
        <v/>
      </c>
      <c r="G259" s="24" t="str">
        <f>IF(E259&lt;&gt;"",G4copy!F259,"")</f>
        <v/>
      </c>
    </row>
    <row r="260" spans="1:7" ht="15.75" customHeight="1">
      <c r="A260" s="23" t="str">
        <f t="shared" si="13"/>
        <v/>
      </c>
      <c r="B260" t="str">
        <f t="shared" si="14"/>
        <v/>
      </c>
      <c r="C260" s="23" t="str">
        <f t="shared" si="15"/>
        <v/>
      </c>
      <c r="E260" s="24" t="str">
        <f>IF(NOT(ISBLANK(G4copy!B260)),G4copy!B260,"")</f>
        <v/>
      </c>
      <c r="F260" s="24" t="str">
        <f>IF(E260&lt;&gt;"",G4copy!A260,"")</f>
        <v/>
      </c>
      <c r="G260" s="24" t="str">
        <f>IF(E260&lt;&gt;"",G4copy!F260,"")</f>
        <v/>
      </c>
    </row>
    <row r="261" spans="1:7" ht="15.75" customHeight="1">
      <c r="A261" s="23" t="str">
        <f t="shared" si="13"/>
        <v/>
      </c>
      <c r="B261" t="str">
        <f t="shared" si="14"/>
        <v/>
      </c>
      <c r="C261" s="23" t="str">
        <f t="shared" si="15"/>
        <v/>
      </c>
      <c r="E261" s="24" t="str">
        <f>IF(NOT(ISBLANK(G4copy!B261)),G4copy!B261,"")</f>
        <v/>
      </c>
      <c r="F261" s="24" t="str">
        <f>IF(E261&lt;&gt;"",G4copy!A261,"")</f>
        <v/>
      </c>
      <c r="G261" s="24" t="str">
        <f>IF(E261&lt;&gt;"",G4copy!F261,"")</f>
        <v/>
      </c>
    </row>
    <row r="262" spans="1:7" ht="15.75" customHeight="1">
      <c r="A262" s="23" t="str">
        <f t="shared" si="13"/>
        <v/>
      </c>
      <c r="B262" t="str">
        <f t="shared" si="14"/>
        <v/>
      </c>
      <c r="C262" s="23" t="str">
        <f t="shared" si="15"/>
        <v/>
      </c>
      <c r="E262" s="24" t="str">
        <f>IF(NOT(ISBLANK(G4copy!B262)),G4copy!B262,"")</f>
        <v/>
      </c>
      <c r="F262" s="24" t="str">
        <f>IF(E262&lt;&gt;"",G4copy!A262,"")</f>
        <v/>
      </c>
      <c r="G262" s="24" t="str">
        <f>IF(E262&lt;&gt;"",G4copy!F262,"")</f>
        <v/>
      </c>
    </row>
    <row r="263" spans="1:7" ht="15.75" customHeight="1">
      <c r="A263" s="23" t="str">
        <f t="shared" si="13"/>
        <v/>
      </c>
      <c r="B263" t="str">
        <f t="shared" si="14"/>
        <v/>
      </c>
      <c r="C263" s="23" t="str">
        <f t="shared" si="15"/>
        <v/>
      </c>
      <c r="E263" s="24" t="str">
        <f>IF(NOT(ISBLANK(G4copy!B263)),G4copy!B263,"")</f>
        <v/>
      </c>
      <c r="F263" s="24" t="str">
        <f>IF(E263&lt;&gt;"",G4copy!A263,"")</f>
        <v/>
      </c>
      <c r="G263" s="24" t="str">
        <f>IF(E263&lt;&gt;"",G4copy!F263,"")</f>
        <v/>
      </c>
    </row>
    <row r="264" spans="1:7" ht="15.75" customHeight="1">
      <c r="A264" s="23" t="str">
        <f t="shared" si="13"/>
        <v/>
      </c>
      <c r="B264" t="str">
        <f t="shared" si="14"/>
        <v/>
      </c>
      <c r="C264" s="23" t="str">
        <f t="shared" si="15"/>
        <v/>
      </c>
      <c r="E264" s="24" t="str">
        <f>IF(NOT(ISBLANK(G4copy!B264)),G4copy!B264,"")</f>
        <v/>
      </c>
      <c r="F264" s="24" t="str">
        <f>IF(E264&lt;&gt;"",G4copy!A264,"")</f>
        <v/>
      </c>
      <c r="G264" s="24" t="str">
        <f>IF(E264&lt;&gt;"",G4copy!F264,"")</f>
        <v/>
      </c>
    </row>
    <row r="265" spans="1:7" ht="15.75" customHeight="1">
      <c r="A265" s="23" t="str">
        <f t="shared" si="13"/>
        <v/>
      </c>
      <c r="B265" t="str">
        <f t="shared" si="14"/>
        <v/>
      </c>
      <c r="C265" s="23" t="str">
        <f t="shared" si="15"/>
        <v/>
      </c>
      <c r="E265" s="24" t="str">
        <f>IF(NOT(ISBLANK(G4copy!B265)),G4copy!B265,"")</f>
        <v/>
      </c>
      <c r="F265" s="24" t="str">
        <f>IF(E265&lt;&gt;"",G4copy!A265,"")</f>
        <v/>
      </c>
      <c r="G265" s="24" t="str">
        <f>IF(E265&lt;&gt;"",G4copy!F265,"")</f>
        <v/>
      </c>
    </row>
    <row r="266" spans="1:7" ht="15.75" customHeight="1">
      <c r="A266" s="23" t="str">
        <f t="shared" si="13"/>
        <v/>
      </c>
      <c r="B266" t="str">
        <f t="shared" si="14"/>
        <v/>
      </c>
      <c r="C266" s="23" t="str">
        <f t="shared" si="15"/>
        <v/>
      </c>
      <c r="E266" s="24" t="str">
        <f>IF(NOT(ISBLANK(G4copy!B266)),G4copy!B266,"")</f>
        <v/>
      </c>
      <c r="F266" s="24" t="str">
        <f>IF(E266&lt;&gt;"",G4copy!A266,"")</f>
        <v/>
      </c>
      <c r="G266" s="24" t="str">
        <f>IF(E266&lt;&gt;"",G4copy!F266,"")</f>
        <v/>
      </c>
    </row>
    <row r="267" spans="1:7" ht="15.75" customHeight="1">
      <c r="A267" s="23" t="str">
        <f t="shared" si="13"/>
        <v/>
      </c>
      <c r="B267" t="str">
        <f t="shared" si="14"/>
        <v/>
      </c>
      <c r="C267" s="23" t="str">
        <f t="shared" si="15"/>
        <v/>
      </c>
      <c r="E267" s="24" t="str">
        <f>IF(NOT(ISBLANK(G4copy!B267)),G4copy!B267,"")</f>
        <v/>
      </c>
      <c r="F267" s="24" t="str">
        <f>IF(E267&lt;&gt;"",G4copy!A267,"")</f>
        <v/>
      </c>
      <c r="G267" s="24" t="str">
        <f>IF(E267&lt;&gt;"",G4copy!F267,"")</f>
        <v/>
      </c>
    </row>
    <row r="268" spans="1:7" ht="15.75" customHeight="1">
      <c r="A268" s="23" t="str">
        <f t="shared" si="13"/>
        <v/>
      </c>
      <c r="B268" t="str">
        <f t="shared" si="14"/>
        <v/>
      </c>
      <c r="C268" s="23" t="str">
        <f t="shared" si="15"/>
        <v/>
      </c>
      <c r="E268" s="24" t="str">
        <f>IF(NOT(ISBLANK(G4copy!B268)),G4copy!B268,"")</f>
        <v/>
      </c>
      <c r="F268" s="24" t="str">
        <f>IF(E268&lt;&gt;"",G4copy!A268,"")</f>
        <v/>
      </c>
      <c r="G268" s="24" t="str">
        <f>IF(E268&lt;&gt;"",G4copy!F268,"")</f>
        <v/>
      </c>
    </row>
    <row r="269" spans="1:7" ht="15.75" customHeight="1">
      <c r="A269" s="23" t="str">
        <f t="shared" si="13"/>
        <v/>
      </c>
      <c r="B269" t="str">
        <f t="shared" si="14"/>
        <v/>
      </c>
      <c r="C269" s="23" t="str">
        <f t="shared" si="15"/>
        <v/>
      </c>
      <c r="E269" s="24" t="str">
        <f>IF(NOT(ISBLANK(G4copy!B269)),G4copy!B269,"")</f>
        <v/>
      </c>
      <c r="F269" s="24" t="str">
        <f>IF(E269&lt;&gt;"",G4copy!A269,"")</f>
        <v/>
      </c>
      <c r="G269" s="24" t="str">
        <f>IF(E269&lt;&gt;"",G4copy!F269,"")</f>
        <v/>
      </c>
    </row>
    <row r="270" spans="1:7" ht="15.75" customHeight="1">
      <c r="A270" s="23" t="str">
        <f t="shared" si="13"/>
        <v/>
      </c>
      <c r="B270" t="str">
        <f t="shared" si="14"/>
        <v/>
      </c>
      <c r="C270" s="23" t="str">
        <f t="shared" si="15"/>
        <v/>
      </c>
      <c r="E270" s="24" t="str">
        <f>IF(NOT(ISBLANK(G4copy!B270)),G4copy!B270,"")</f>
        <v/>
      </c>
      <c r="F270" s="24" t="str">
        <f>IF(E270&lt;&gt;"",G4copy!A270,"")</f>
        <v/>
      </c>
      <c r="G270" s="24" t="str">
        <f>IF(E270&lt;&gt;"",G4copy!F270,"")</f>
        <v/>
      </c>
    </row>
    <row r="271" spans="1:7" ht="15.75" customHeight="1">
      <c r="A271" s="23" t="str">
        <f t="shared" si="13"/>
        <v/>
      </c>
      <c r="B271" t="str">
        <f t="shared" si="14"/>
        <v/>
      </c>
      <c r="C271" s="23" t="str">
        <f t="shared" si="15"/>
        <v/>
      </c>
      <c r="E271" s="24" t="str">
        <f>IF(NOT(ISBLANK(G4copy!B271)),G4copy!B271,"")</f>
        <v/>
      </c>
      <c r="F271" s="24" t="str">
        <f>IF(E271&lt;&gt;"",G4copy!A271,"")</f>
        <v/>
      </c>
      <c r="G271" s="24" t="str">
        <f>IF(E271&lt;&gt;"",G4copy!F271,"")</f>
        <v/>
      </c>
    </row>
    <row r="272" spans="1:7" ht="15.75" customHeight="1">
      <c r="A272" s="23" t="str">
        <f t="shared" si="13"/>
        <v/>
      </c>
      <c r="B272" t="str">
        <f t="shared" si="14"/>
        <v/>
      </c>
      <c r="C272" s="23" t="str">
        <f t="shared" si="15"/>
        <v/>
      </c>
      <c r="E272" s="24" t="str">
        <f>IF(NOT(ISBLANK(G4copy!B272)),G4copy!B272,"")</f>
        <v/>
      </c>
      <c r="F272" s="24" t="str">
        <f>IF(E272&lt;&gt;"",G4copy!A272,"")</f>
        <v/>
      </c>
      <c r="G272" s="24" t="str">
        <f>IF(E272&lt;&gt;"",G4copy!F272,"")</f>
        <v/>
      </c>
    </row>
    <row r="273" spans="1:7" ht="15.75" customHeight="1">
      <c r="A273" s="23" t="str">
        <f t="shared" si="13"/>
        <v/>
      </c>
      <c r="B273" t="str">
        <f t="shared" si="14"/>
        <v/>
      </c>
      <c r="C273" s="23" t="str">
        <f t="shared" si="15"/>
        <v/>
      </c>
      <c r="E273" s="24" t="str">
        <f>IF(NOT(ISBLANK(G4copy!B273)),G4copy!B273,"")</f>
        <v/>
      </c>
      <c r="F273" s="24" t="str">
        <f>IF(E273&lt;&gt;"",G4copy!A273,"")</f>
        <v/>
      </c>
      <c r="G273" s="24" t="str">
        <f>IF(E273&lt;&gt;"",G4copy!F273,"")</f>
        <v/>
      </c>
    </row>
    <row r="274" spans="1:7" ht="15.75" customHeight="1">
      <c r="A274" s="23" t="str">
        <f t="shared" si="13"/>
        <v/>
      </c>
      <c r="B274" t="str">
        <f t="shared" si="14"/>
        <v/>
      </c>
      <c r="C274" s="23" t="str">
        <f t="shared" si="15"/>
        <v/>
      </c>
      <c r="E274" s="24" t="str">
        <f>IF(NOT(ISBLANK(G4copy!B274)),G4copy!B274,"")</f>
        <v/>
      </c>
      <c r="F274" s="24" t="str">
        <f>IF(E274&lt;&gt;"",G4copy!A274,"")</f>
        <v/>
      </c>
      <c r="G274" s="24" t="str">
        <f>IF(E274&lt;&gt;"",G4copy!F274,"")</f>
        <v/>
      </c>
    </row>
    <row r="275" spans="1:7" ht="15.75" customHeight="1">
      <c r="A275" s="23" t="str">
        <f t="shared" si="13"/>
        <v/>
      </c>
      <c r="B275" t="str">
        <f t="shared" si="14"/>
        <v/>
      </c>
      <c r="C275" s="23" t="str">
        <f t="shared" si="15"/>
        <v/>
      </c>
      <c r="E275" s="24" t="str">
        <f>IF(NOT(ISBLANK(G4copy!B275)),G4copy!B275,"")</f>
        <v/>
      </c>
      <c r="F275" s="24" t="str">
        <f>IF(E275&lt;&gt;"",G4copy!A275,"")</f>
        <v/>
      </c>
      <c r="G275" s="24" t="str">
        <f>IF(E275&lt;&gt;"",G4copy!F275,"")</f>
        <v/>
      </c>
    </row>
    <row r="276" spans="1:7" ht="15.75" customHeight="1">
      <c r="A276" s="23" t="str">
        <f t="shared" si="13"/>
        <v/>
      </c>
      <c r="B276" t="str">
        <f t="shared" si="14"/>
        <v/>
      </c>
      <c r="C276" s="23" t="str">
        <f t="shared" si="15"/>
        <v/>
      </c>
      <c r="E276" s="24" t="str">
        <f>IF(NOT(ISBLANK(G4copy!B276)),G4copy!B276,"")</f>
        <v/>
      </c>
      <c r="F276" s="24" t="str">
        <f>IF(E276&lt;&gt;"",G4copy!A276,"")</f>
        <v/>
      </c>
      <c r="G276" s="24" t="str">
        <f>IF(E276&lt;&gt;"",G4copy!F276,"")</f>
        <v/>
      </c>
    </row>
    <row r="277" spans="1:7" ht="15.75" customHeight="1">
      <c r="A277" s="23" t="str">
        <f t="shared" si="13"/>
        <v/>
      </c>
      <c r="B277" t="str">
        <f t="shared" si="14"/>
        <v/>
      </c>
      <c r="C277" s="23" t="str">
        <f t="shared" si="15"/>
        <v/>
      </c>
      <c r="E277" s="24" t="str">
        <f>IF(NOT(ISBLANK(G4copy!B277)),G4copy!B277,"")</f>
        <v/>
      </c>
      <c r="F277" s="24" t="str">
        <f>IF(E277&lt;&gt;"",G4copy!A277,"")</f>
        <v/>
      </c>
      <c r="G277" s="24" t="str">
        <f>IF(E277&lt;&gt;"",G4copy!F277,"")</f>
        <v/>
      </c>
    </row>
    <row r="278" spans="1:7" ht="15.75" customHeight="1">
      <c r="A278" s="23" t="str">
        <f t="shared" si="13"/>
        <v/>
      </c>
      <c r="B278" t="str">
        <f t="shared" si="14"/>
        <v/>
      </c>
      <c r="C278" s="23" t="str">
        <f t="shared" si="15"/>
        <v/>
      </c>
      <c r="E278" s="24" t="str">
        <f>IF(NOT(ISBLANK(G4copy!B278)),G4copy!B278,"")</f>
        <v/>
      </c>
      <c r="F278" s="24" t="str">
        <f>IF(E278&lt;&gt;"",G4copy!A278,"")</f>
        <v/>
      </c>
      <c r="G278" s="24" t="str">
        <f>IF(E278&lt;&gt;"",G4copy!F278,"")</f>
        <v/>
      </c>
    </row>
    <row r="279" spans="1:7" ht="15.75" customHeight="1">
      <c r="A279" s="23" t="str">
        <f t="shared" si="13"/>
        <v/>
      </c>
      <c r="B279" t="str">
        <f t="shared" si="14"/>
        <v/>
      </c>
      <c r="C279" s="23" t="str">
        <f t="shared" si="15"/>
        <v/>
      </c>
      <c r="E279" s="24" t="str">
        <f>IF(NOT(ISBLANK(G4copy!B279)),G4copy!B279,"")</f>
        <v/>
      </c>
      <c r="F279" s="24" t="str">
        <f>IF(E279&lt;&gt;"",G4copy!A279,"")</f>
        <v/>
      </c>
      <c r="G279" s="24" t="str">
        <f>IF(E279&lt;&gt;"",G4copy!F279,"")</f>
        <v/>
      </c>
    </row>
    <row r="280" spans="1:7" ht="15.75" customHeight="1">
      <c r="A280" s="23" t="str">
        <f t="shared" si="13"/>
        <v/>
      </c>
      <c r="B280" t="str">
        <f t="shared" si="14"/>
        <v/>
      </c>
      <c r="C280" s="23" t="str">
        <f t="shared" si="15"/>
        <v/>
      </c>
      <c r="E280" s="24" t="str">
        <f>IF(NOT(ISBLANK(G4copy!B280)),G4copy!B280,"")</f>
        <v/>
      </c>
      <c r="F280" s="24" t="str">
        <f>IF(E280&lt;&gt;"",G4copy!A280,"")</f>
        <v/>
      </c>
      <c r="G280" s="24" t="str">
        <f>IF(E280&lt;&gt;"",G4copy!F280,"")</f>
        <v/>
      </c>
    </row>
    <row r="281" spans="1:7" ht="15.75" customHeight="1">
      <c r="A281" s="23" t="str">
        <f t="shared" si="13"/>
        <v/>
      </c>
      <c r="B281" t="str">
        <f t="shared" si="14"/>
        <v/>
      </c>
      <c r="C281" s="23" t="str">
        <f t="shared" si="15"/>
        <v/>
      </c>
      <c r="E281" s="24" t="str">
        <f>IF(NOT(ISBLANK(G4copy!B281)),G4copy!B281,"")</f>
        <v/>
      </c>
      <c r="F281" s="24" t="str">
        <f>IF(E281&lt;&gt;"",G4copy!A281,"")</f>
        <v/>
      </c>
      <c r="G281" s="24" t="str">
        <f>IF(E281&lt;&gt;"",G4copy!F281,"")</f>
        <v/>
      </c>
    </row>
    <row r="282" spans="1:7" ht="15.75" customHeight="1">
      <c r="A282" s="23" t="str">
        <f t="shared" si="13"/>
        <v/>
      </c>
      <c r="B282" t="str">
        <f t="shared" si="14"/>
        <v/>
      </c>
      <c r="C282" s="23" t="str">
        <f t="shared" si="15"/>
        <v/>
      </c>
      <c r="E282" s="24" t="str">
        <f>IF(NOT(ISBLANK(G4copy!B282)),G4copy!B282,"")</f>
        <v/>
      </c>
      <c r="F282" s="24" t="str">
        <f>IF(E282&lt;&gt;"",G4copy!A282,"")</f>
        <v/>
      </c>
      <c r="G282" s="24" t="str">
        <f>IF(E282&lt;&gt;"",G4copy!F282,"")</f>
        <v/>
      </c>
    </row>
    <row r="283" spans="1:7" ht="15.75" customHeight="1">
      <c r="A283" s="23" t="str">
        <f t="shared" si="13"/>
        <v/>
      </c>
      <c r="B283" t="str">
        <f t="shared" si="14"/>
        <v/>
      </c>
      <c r="C283" s="23" t="str">
        <f t="shared" si="15"/>
        <v/>
      </c>
      <c r="E283" s="24" t="str">
        <f>IF(NOT(ISBLANK(G4copy!B283)),G4copy!B283,"")</f>
        <v/>
      </c>
      <c r="F283" s="24" t="str">
        <f>IF(E283&lt;&gt;"",G4copy!A283,"")</f>
        <v/>
      </c>
      <c r="G283" s="24" t="str">
        <f>IF(E283&lt;&gt;"",G4copy!F283,"")</f>
        <v/>
      </c>
    </row>
    <row r="284" spans="1:7" ht="15.75" customHeight="1">
      <c r="A284" s="23" t="str">
        <f t="shared" si="13"/>
        <v/>
      </c>
      <c r="B284" t="str">
        <f t="shared" si="14"/>
        <v/>
      </c>
      <c r="C284" s="23" t="str">
        <f t="shared" si="15"/>
        <v/>
      </c>
      <c r="E284" s="24" t="str">
        <f>IF(NOT(ISBLANK(G4copy!B284)),G4copy!B284,"")</f>
        <v/>
      </c>
      <c r="F284" s="24" t="str">
        <f>IF(E284&lt;&gt;"",G4copy!A284,"")</f>
        <v/>
      </c>
      <c r="G284" s="24" t="str">
        <f>IF(E284&lt;&gt;"",G4copy!F284,"")</f>
        <v/>
      </c>
    </row>
    <row r="285" spans="1:7" ht="15.75" customHeight="1">
      <c r="A285" s="23" t="str">
        <f t="shared" si="13"/>
        <v/>
      </c>
      <c r="B285" t="str">
        <f t="shared" si="14"/>
        <v/>
      </c>
      <c r="C285" s="23" t="str">
        <f t="shared" si="15"/>
        <v/>
      </c>
      <c r="E285" s="24" t="str">
        <f>IF(NOT(ISBLANK(G4copy!B285)),G4copy!B285,"")</f>
        <v/>
      </c>
      <c r="F285" s="24" t="str">
        <f>IF(E285&lt;&gt;"",G4copy!A285,"")</f>
        <v/>
      </c>
      <c r="G285" s="24" t="str">
        <f>IF(E285&lt;&gt;"",G4copy!F285,"")</f>
        <v/>
      </c>
    </row>
    <row r="286" spans="1:7" ht="15.75" customHeight="1">
      <c r="A286" s="23" t="str">
        <f t="shared" si="13"/>
        <v/>
      </c>
      <c r="B286" t="str">
        <f t="shared" si="14"/>
        <v/>
      </c>
      <c r="C286" s="23" t="str">
        <f t="shared" si="15"/>
        <v/>
      </c>
      <c r="E286" s="24" t="str">
        <f>IF(NOT(ISBLANK(G4copy!B286)),G4copy!B286,"")</f>
        <v/>
      </c>
      <c r="F286" s="24" t="str">
        <f>IF(E286&lt;&gt;"",G4copy!A286,"")</f>
        <v/>
      </c>
      <c r="G286" s="24" t="str">
        <f>IF(E286&lt;&gt;"",G4copy!F286,"")</f>
        <v/>
      </c>
    </row>
    <row r="287" spans="1:7" ht="15.75" customHeight="1">
      <c r="A287" s="23" t="str">
        <f t="shared" si="13"/>
        <v/>
      </c>
      <c r="B287" t="str">
        <f t="shared" si="14"/>
        <v/>
      </c>
      <c r="C287" s="23" t="str">
        <f t="shared" si="15"/>
        <v/>
      </c>
      <c r="E287" s="24" t="str">
        <f>IF(NOT(ISBLANK(G4copy!B287)),G4copy!B287,"")</f>
        <v/>
      </c>
      <c r="F287" s="24" t="str">
        <f>IF(E287&lt;&gt;"",G4copy!A287,"")</f>
        <v/>
      </c>
      <c r="G287" s="24" t="str">
        <f>IF(E287&lt;&gt;"",G4copy!F287,"")</f>
        <v/>
      </c>
    </row>
    <row r="288" spans="1:7" ht="15.75" customHeight="1">
      <c r="A288" s="23" t="str">
        <f t="shared" si="13"/>
        <v/>
      </c>
      <c r="B288" t="str">
        <f t="shared" si="14"/>
        <v/>
      </c>
      <c r="C288" s="23" t="str">
        <f t="shared" si="15"/>
        <v/>
      </c>
      <c r="E288" s="24" t="str">
        <f>IF(NOT(ISBLANK(G4copy!B288)),G4copy!B288,"")</f>
        <v/>
      </c>
      <c r="F288" s="24" t="str">
        <f>IF(E288&lt;&gt;"",G4copy!A288,"")</f>
        <v/>
      </c>
      <c r="G288" s="24" t="str">
        <f>IF(E288&lt;&gt;"",G4copy!F288,"")</f>
        <v/>
      </c>
    </row>
    <row r="289" spans="1:7" ht="15.75" customHeight="1">
      <c r="A289" s="23" t="str">
        <f t="shared" si="13"/>
        <v/>
      </c>
      <c r="B289" t="str">
        <f t="shared" si="14"/>
        <v/>
      </c>
      <c r="C289" s="23" t="str">
        <f t="shared" si="15"/>
        <v/>
      </c>
      <c r="E289" s="24" t="str">
        <f>IF(NOT(ISBLANK(G4copy!B289)),G4copy!B289,"")</f>
        <v/>
      </c>
      <c r="F289" s="24" t="str">
        <f>IF(E289&lt;&gt;"",G4copy!A289,"")</f>
        <v/>
      </c>
      <c r="G289" s="24" t="str">
        <f>IF(E289&lt;&gt;"",G4copy!F289,"")</f>
        <v/>
      </c>
    </row>
    <row r="290" spans="1:7" ht="15.75" customHeight="1">
      <c r="A290" s="23" t="str">
        <f t="shared" si="13"/>
        <v/>
      </c>
      <c r="B290" t="str">
        <f t="shared" si="14"/>
        <v/>
      </c>
      <c r="C290" s="23" t="str">
        <f t="shared" si="15"/>
        <v/>
      </c>
      <c r="E290" s="24" t="str">
        <f>IF(NOT(ISBLANK(G4copy!B290)),G4copy!B290,"")</f>
        <v/>
      </c>
      <c r="F290" s="24" t="str">
        <f>IF(E290&lt;&gt;"",G4copy!A290,"")</f>
        <v/>
      </c>
      <c r="G290" s="24" t="str">
        <f>IF(E290&lt;&gt;"",G4copy!F290,"")</f>
        <v/>
      </c>
    </row>
    <row r="291" spans="1:7" ht="15.75" customHeight="1">
      <c r="A291" s="23" t="str">
        <f t="shared" si="13"/>
        <v/>
      </c>
      <c r="B291" t="str">
        <f t="shared" si="14"/>
        <v/>
      </c>
      <c r="C291" s="23" t="str">
        <f t="shared" si="15"/>
        <v/>
      </c>
      <c r="E291" s="24" t="str">
        <f>IF(NOT(ISBLANK(G4copy!B291)),G4copy!B291,"")</f>
        <v/>
      </c>
      <c r="F291" s="24" t="str">
        <f>IF(E291&lt;&gt;"",G4copy!A291,"")</f>
        <v/>
      </c>
      <c r="G291" s="24" t="str">
        <f>IF(E291&lt;&gt;"",G4copy!F291,"")</f>
        <v/>
      </c>
    </row>
    <row r="292" spans="1:7" ht="15.75" customHeight="1">
      <c r="A292" s="23" t="str">
        <f t="shared" si="13"/>
        <v/>
      </c>
      <c r="B292" t="str">
        <f t="shared" si="14"/>
        <v/>
      </c>
      <c r="C292" s="23" t="str">
        <f t="shared" si="15"/>
        <v/>
      </c>
      <c r="E292" s="24" t="str">
        <f>IF(NOT(ISBLANK(G4copy!B292)),G4copy!B292,"")</f>
        <v/>
      </c>
      <c r="F292" s="24" t="str">
        <f>IF(E292&lt;&gt;"",G4copy!A292,"")</f>
        <v/>
      </c>
      <c r="G292" s="24" t="str">
        <f>IF(E292&lt;&gt;"",G4copy!F292,"")</f>
        <v/>
      </c>
    </row>
    <row r="293" spans="1:7" ht="15.75" customHeight="1">
      <c r="A293" s="23" t="str">
        <f t="shared" si="13"/>
        <v/>
      </c>
      <c r="B293" t="str">
        <f t="shared" si="14"/>
        <v/>
      </c>
      <c r="C293" s="23" t="str">
        <f t="shared" si="15"/>
        <v/>
      </c>
      <c r="E293" s="24" t="str">
        <f>IF(NOT(ISBLANK(G4copy!B293)),G4copy!B293,"")</f>
        <v/>
      </c>
      <c r="F293" s="24" t="str">
        <f>IF(E293&lt;&gt;"",G4copy!A293,"")</f>
        <v/>
      </c>
      <c r="G293" s="24" t="str">
        <f>IF(E293&lt;&gt;"",G4copy!F293,"")</f>
        <v/>
      </c>
    </row>
    <row r="294" spans="1:7" ht="15.75" customHeight="1">
      <c r="A294" s="23" t="str">
        <f t="shared" si="13"/>
        <v/>
      </c>
      <c r="B294" t="str">
        <f t="shared" si="14"/>
        <v/>
      </c>
      <c r="C294" s="23" t="str">
        <f t="shared" si="15"/>
        <v/>
      </c>
      <c r="E294" s="24" t="str">
        <f>IF(NOT(ISBLANK(G4copy!B294)),G4copy!B294,"")</f>
        <v/>
      </c>
      <c r="F294" s="24" t="str">
        <f>IF(E294&lt;&gt;"",G4copy!A294,"")</f>
        <v/>
      </c>
      <c r="G294" s="24" t="str">
        <f>IF(E294&lt;&gt;"",G4copy!F294,"")</f>
        <v/>
      </c>
    </row>
    <row r="295" spans="1:7" ht="15.75" customHeight="1">
      <c r="A295" s="23" t="str">
        <f t="shared" si="13"/>
        <v/>
      </c>
      <c r="B295" t="str">
        <f t="shared" si="14"/>
        <v/>
      </c>
      <c r="C295" s="23" t="str">
        <f t="shared" si="15"/>
        <v/>
      </c>
      <c r="E295" s="24" t="str">
        <f>IF(NOT(ISBLANK(G4copy!B295)),G4copy!B295,"")</f>
        <v/>
      </c>
      <c r="F295" s="24" t="str">
        <f>IF(E295&lt;&gt;"",G4copy!A295,"")</f>
        <v/>
      </c>
      <c r="G295" s="24" t="str">
        <f>IF(E295&lt;&gt;"",G4copy!F295,"")</f>
        <v/>
      </c>
    </row>
    <row r="296" spans="1:7" ht="15.75" customHeight="1">
      <c r="A296" s="23" t="str">
        <f t="shared" si="13"/>
        <v/>
      </c>
      <c r="B296" t="str">
        <f t="shared" si="14"/>
        <v/>
      </c>
      <c r="C296" s="23" t="str">
        <f t="shared" si="15"/>
        <v/>
      </c>
      <c r="E296" s="24" t="str">
        <f>IF(NOT(ISBLANK(G4copy!B296)),G4copy!B296,"")</f>
        <v/>
      </c>
      <c r="F296" s="24" t="str">
        <f>IF(E296&lt;&gt;"",G4copy!A296,"")</f>
        <v/>
      </c>
      <c r="G296" s="24" t="str">
        <f>IF(E296&lt;&gt;"",G4copy!F296,"")</f>
        <v/>
      </c>
    </row>
    <row r="297" spans="1:7" ht="15.75" customHeight="1">
      <c r="A297" s="23" t="str">
        <f t="shared" si="13"/>
        <v/>
      </c>
      <c r="B297" t="str">
        <f t="shared" si="14"/>
        <v/>
      </c>
      <c r="C297" s="23" t="str">
        <f t="shared" si="15"/>
        <v/>
      </c>
      <c r="E297" s="24" t="str">
        <f>IF(NOT(ISBLANK(G4copy!B297)),G4copy!B297,"")</f>
        <v/>
      </c>
      <c r="F297" s="24" t="str">
        <f>IF(E297&lt;&gt;"",G4copy!A297,"")</f>
        <v/>
      </c>
      <c r="G297" s="24" t="str">
        <f>IF(E297&lt;&gt;"",G4copy!F297,"")</f>
        <v/>
      </c>
    </row>
    <row r="298" spans="1:7" ht="15.75" customHeight="1">
      <c r="A298" s="23" t="str">
        <f t="shared" si="13"/>
        <v/>
      </c>
      <c r="B298" t="str">
        <f t="shared" si="14"/>
        <v/>
      </c>
      <c r="C298" s="23" t="str">
        <f t="shared" si="15"/>
        <v/>
      </c>
      <c r="E298" s="24" t="str">
        <f>IF(NOT(ISBLANK(G4copy!B298)),G4copy!B298,"")</f>
        <v/>
      </c>
      <c r="F298" s="24" t="str">
        <f>IF(E298&lt;&gt;"",G4copy!A298,"")</f>
        <v/>
      </c>
      <c r="G298" s="24" t="str">
        <f>IF(E298&lt;&gt;"",G4copy!F298,"")</f>
        <v/>
      </c>
    </row>
    <row r="299" spans="1:7" ht="15.75" customHeight="1">
      <c r="A299" s="23" t="str">
        <f t="shared" si="13"/>
        <v/>
      </c>
      <c r="B299" t="str">
        <f t="shared" si="14"/>
        <v/>
      </c>
      <c r="C299" s="23" t="str">
        <f t="shared" si="15"/>
        <v/>
      </c>
      <c r="E299" s="24" t="str">
        <f>IF(NOT(ISBLANK(G4copy!B299)),G4copy!B299,"")</f>
        <v/>
      </c>
      <c r="F299" s="24" t="str">
        <f>IF(E299&lt;&gt;"",G4copy!A299,"")</f>
        <v/>
      </c>
      <c r="G299" s="24" t="str">
        <f>IF(E299&lt;&gt;"",G4copy!F299,"")</f>
        <v/>
      </c>
    </row>
    <row r="300" spans="1:7" ht="15.75" customHeight="1">
      <c r="A300" s="23" t="str">
        <f t="shared" si="13"/>
        <v/>
      </c>
      <c r="B300" t="str">
        <f t="shared" si="14"/>
        <v/>
      </c>
      <c r="C300" s="23" t="str">
        <f t="shared" si="15"/>
        <v/>
      </c>
      <c r="E300" s="24" t="str">
        <f>IF(NOT(ISBLANK(G4copy!B300)),G4copy!B300,"")</f>
        <v/>
      </c>
      <c r="F300" s="24" t="str">
        <f>IF(E300&lt;&gt;"",G4copy!A300,"")</f>
        <v/>
      </c>
      <c r="G300" s="24" t="str">
        <f>IF(E300&lt;&gt;"",G4copy!F300,"")</f>
        <v/>
      </c>
    </row>
    <row r="301" spans="1:7" ht="15.75" customHeight="1">
      <c r="A301" s="23" t="str">
        <f t="shared" si="13"/>
        <v/>
      </c>
      <c r="B301" t="str">
        <f t="shared" si="14"/>
        <v/>
      </c>
      <c r="C301" s="23" t="str">
        <f t="shared" si="15"/>
        <v/>
      </c>
      <c r="E301" s="24" t="str">
        <f>IF(NOT(ISBLANK(G4copy!B301)),G4copy!B301,"")</f>
        <v/>
      </c>
      <c r="F301" s="24" t="str">
        <f>IF(E301&lt;&gt;"",G4copy!A301,"")</f>
        <v/>
      </c>
      <c r="G301" s="24" t="str">
        <f>IF(E301&lt;&gt;"",G4copy!F301,"")</f>
        <v/>
      </c>
    </row>
    <row r="302" spans="1:7" ht="15.75" customHeight="1">
      <c r="A302" s="23" t="str">
        <f t="shared" si="13"/>
        <v/>
      </c>
      <c r="B302" t="str">
        <f t="shared" si="14"/>
        <v/>
      </c>
      <c r="C302" s="23" t="str">
        <f t="shared" si="15"/>
        <v/>
      </c>
      <c r="E302" s="24" t="str">
        <f>IF(NOT(ISBLANK(G4copy!B302)),G4copy!B302,"")</f>
        <v/>
      </c>
      <c r="F302" s="24" t="str">
        <f>IF(E302&lt;&gt;"",G4copy!A302,"")</f>
        <v/>
      </c>
      <c r="G302" s="24" t="str">
        <f>IF(E302&lt;&gt;"",G4copy!F302,"")</f>
        <v/>
      </c>
    </row>
    <row r="303" spans="1:7" ht="15.75" customHeight="1">
      <c r="A303" s="23" t="str">
        <f t="shared" si="13"/>
        <v/>
      </c>
      <c r="B303" t="str">
        <f t="shared" si="14"/>
        <v/>
      </c>
      <c r="C303" s="23" t="str">
        <f t="shared" si="15"/>
        <v/>
      </c>
      <c r="E303" s="24" t="str">
        <f>IF(NOT(ISBLANK(G4copy!B303)),G4copy!B303,"")</f>
        <v/>
      </c>
      <c r="F303" s="24" t="str">
        <f>IF(E303&lt;&gt;"",G4copy!A303,"")</f>
        <v/>
      </c>
      <c r="G303" s="24" t="str">
        <f>IF(E303&lt;&gt;"",G4copy!F303,"")</f>
        <v/>
      </c>
    </row>
    <row r="304" spans="1:7" ht="15.75" customHeight="1">
      <c r="A304" s="23" t="str">
        <f t="shared" si="13"/>
        <v/>
      </c>
      <c r="B304" t="str">
        <f t="shared" si="14"/>
        <v/>
      </c>
      <c r="C304" s="23" t="str">
        <f t="shared" si="15"/>
        <v/>
      </c>
      <c r="E304" s="24" t="str">
        <f>IF(NOT(ISBLANK(G4copy!B304)),G4copy!B304,"")</f>
        <v/>
      </c>
      <c r="F304" s="24" t="str">
        <f>IF(E304&lt;&gt;"",G4copy!A304,"")</f>
        <v/>
      </c>
      <c r="G304" s="24" t="str">
        <f>IF(E304&lt;&gt;"",G4copy!F304,"")</f>
        <v/>
      </c>
    </row>
    <row r="305" spans="1:7" ht="15.75" customHeight="1">
      <c r="A305" s="23" t="str">
        <f t="shared" si="13"/>
        <v/>
      </c>
      <c r="B305" t="str">
        <f t="shared" si="14"/>
        <v/>
      </c>
      <c r="C305" s="23" t="str">
        <f t="shared" si="15"/>
        <v/>
      </c>
      <c r="E305" s="24" t="str">
        <f>IF(NOT(ISBLANK(G4copy!B305)),G4copy!B305,"")</f>
        <v/>
      </c>
      <c r="F305" s="24" t="str">
        <f>IF(E305&lt;&gt;"",G4copy!A305,"")</f>
        <v/>
      </c>
      <c r="G305" s="24" t="str">
        <f>IF(E305&lt;&gt;"",G4copy!F305,"")</f>
        <v/>
      </c>
    </row>
    <row r="306" spans="1:7" ht="15.75" customHeight="1">
      <c r="A306" s="23" t="str">
        <f t="shared" si="13"/>
        <v/>
      </c>
      <c r="B306" t="str">
        <f t="shared" si="14"/>
        <v/>
      </c>
      <c r="C306" s="23" t="str">
        <f t="shared" si="15"/>
        <v/>
      </c>
      <c r="E306" s="24" t="str">
        <f>IF(NOT(ISBLANK(G4copy!B306)),G4copy!B306,"")</f>
        <v/>
      </c>
      <c r="F306" s="24" t="str">
        <f>IF(E306&lt;&gt;"",G4copy!A306,"")</f>
        <v/>
      </c>
      <c r="G306" s="24" t="str">
        <f>IF(E306&lt;&gt;"",G4copy!F306,"")</f>
        <v/>
      </c>
    </row>
    <row r="307" spans="1:7" ht="15.75" customHeight="1">
      <c r="A307" s="23" t="str">
        <f t="shared" si="13"/>
        <v/>
      </c>
      <c r="B307" t="str">
        <f t="shared" si="14"/>
        <v/>
      </c>
      <c r="C307" s="23" t="str">
        <f t="shared" si="15"/>
        <v/>
      </c>
      <c r="E307" s="24" t="str">
        <f>IF(NOT(ISBLANK(G4copy!B307)),G4copy!B307,"")</f>
        <v/>
      </c>
      <c r="F307" s="24" t="str">
        <f>IF(E307&lt;&gt;"",G4copy!A307,"")</f>
        <v/>
      </c>
      <c r="G307" s="24" t="str">
        <f>IF(E307&lt;&gt;"",G4copy!F307,"")</f>
        <v/>
      </c>
    </row>
    <row r="308" spans="1:7" ht="15.75" customHeight="1">
      <c r="A308" s="23" t="str">
        <f t="shared" si="13"/>
        <v/>
      </c>
      <c r="B308" t="str">
        <f t="shared" si="14"/>
        <v/>
      </c>
      <c r="C308" s="23" t="str">
        <f t="shared" si="15"/>
        <v/>
      </c>
      <c r="E308" s="24" t="str">
        <f>IF(NOT(ISBLANK(G4copy!B308)),G4copy!B308,"")</f>
        <v/>
      </c>
      <c r="F308" s="24" t="str">
        <f>IF(E308&lt;&gt;"",G4copy!A308,"")</f>
        <v/>
      </c>
      <c r="G308" s="24" t="str">
        <f>IF(E308&lt;&gt;"",G4copy!F308,"")</f>
        <v/>
      </c>
    </row>
    <row r="309" spans="1:7" ht="15.75" customHeight="1">
      <c r="A309" s="23" t="str">
        <f t="shared" si="13"/>
        <v/>
      </c>
      <c r="B309" t="str">
        <f t="shared" si="14"/>
        <v/>
      </c>
      <c r="C309" s="23" t="str">
        <f t="shared" si="15"/>
        <v/>
      </c>
      <c r="E309" s="24" t="str">
        <f>IF(NOT(ISBLANK(G4copy!B309)),G4copy!B309,"")</f>
        <v/>
      </c>
      <c r="F309" s="24" t="str">
        <f>IF(E309&lt;&gt;"",G4copy!A309,"")</f>
        <v/>
      </c>
      <c r="G309" s="24" t="str">
        <f>IF(E309&lt;&gt;"",G4copy!F309,"")</f>
        <v/>
      </c>
    </row>
    <row r="310" spans="1:7" ht="15.75" customHeight="1">
      <c r="A310" s="23" t="str">
        <f t="shared" si="13"/>
        <v/>
      </c>
      <c r="B310" t="str">
        <f t="shared" si="14"/>
        <v/>
      </c>
      <c r="C310" s="23" t="str">
        <f t="shared" si="15"/>
        <v/>
      </c>
      <c r="E310" s="24" t="str">
        <f>IF(NOT(ISBLANK(G4copy!B310)),G4copy!B310,"")</f>
        <v/>
      </c>
      <c r="F310" s="24" t="str">
        <f>IF(E310&lt;&gt;"",G4copy!A310,"")</f>
        <v/>
      </c>
      <c r="G310" s="24" t="str">
        <f>IF(E310&lt;&gt;"",G4copy!F310,"")</f>
        <v/>
      </c>
    </row>
    <row r="311" spans="1:7" ht="15.75" customHeight="1">
      <c r="A311" s="23" t="str">
        <f t="shared" si="13"/>
        <v/>
      </c>
      <c r="B311" t="str">
        <f t="shared" si="14"/>
        <v/>
      </c>
      <c r="C311" s="23" t="str">
        <f t="shared" si="15"/>
        <v/>
      </c>
      <c r="E311" s="24" t="str">
        <f>IF(NOT(ISBLANK(G4copy!B311)),G4copy!B311,"")</f>
        <v/>
      </c>
      <c r="F311" s="24" t="str">
        <f>IF(E311&lt;&gt;"",G4copy!A311,"")</f>
        <v/>
      </c>
      <c r="G311" s="24" t="str">
        <f>IF(E311&lt;&gt;"",G4copy!F311,"")</f>
        <v/>
      </c>
    </row>
    <row r="312" spans="1:7" ht="15.75" customHeight="1">
      <c r="A312" s="23" t="str">
        <f t="shared" si="13"/>
        <v/>
      </c>
      <c r="B312" t="str">
        <f t="shared" si="14"/>
        <v/>
      </c>
      <c r="C312" s="23" t="str">
        <f t="shared" si="15"/>
        <v/>
      </c>
      <c r="E312" s="24" t="str">
        <f>IF(NOT(ISBLANK(G4copy!B312)),G4copy!B312,"")</f>
        <v/>
      </c>
      <c r="F312" s="24" t="str">
        <f>IF(E312&lt;&gt;"",G4copy!A312,"")</f>
        <v/>
      </c>
      <c r="G312" s="24" t="str">
        <f>IF(E312&lt;&gt;"",G4copy!F312,"")</f>
        <v/>
      </c>
    </row>
    <row r="313" spans="1:7" ht="15.75" customHeight="1">
      <c r="A313" s="23" t="str">
        <f t="shared" si="13"/>
        <v/>
      </c>
      <c r="B313" t="str">
        <f t="shared" si="14"/>
        <v/>
      </c>
      <c r="C313" s="23" t="str">
        <f t="shared" si="15"/>
        <v/>
      </c>
      <c r="E313" s="24" t="str">
        <f>IF(NOT(ISBLANK(G4copy!B313)),G4copy!B313,"")</f>
        <v/>
      </c>
      <c r="F313" s="24" t="str">
        <f>IF(E313&lt;&gt;"",G4copy!A313,"")</f>
        <v/>
      </c>
      <c r="G313" s="24" t="str">
        <f>IF(E313&lt;&gt;"",G4copy!F313,"")</f>
        <v/>
      </c>
    </row>
    <row r="314" spans="1:7" ht="15.75" customHeight="1">
      <c r="A314" s="23" t="str">
        <f t="shared" si="13"/>
        <v/>
      </c>
      <c r="B314" t="str">
        <f t="shared" si="14"/>
        <v/>
      </c>
      <c r="C314" s="23" t="str">
        <f t="shared" si="15"/>
        <v/>
      </c>
      <c r="E314" s="24" t="str">
        <f>IF(NOT(ISBLANK(G4copy!B314)),G4copy!B314,"")</f>
        <v/>
      </c>
      <c r="F314" s="24" t="str">
        <f>IF(E314&lt;&gt;"",G4copy!A314,"")</f>
        <v/>
      </c>
      <c r="G314" s="24" t="str">
        <f>IF(E314&lt;&gt;"",G4copy!F314,"")</f>
        <v/>
      </c>
    </row>
    <row r="315" spans="1:7" ht="15.75" customHeight="1">
      <c r="A315" s="23" t="str">
        <f t="shared" si="13"/>
        <v/>
      </c>
      <c r="B315" t="str">
        <f t="shared" si="14"/>
        <v/>
      </c>
      <c r="C315" s="23" t="str">
        <f t="shared" si="15"/>
        <v/>
      </c>
      <c r="E315" s="24" t="str">
        <f>IF(NOT(ISBLANK(G4copy!B315)),G4copy!B315,"")</f>
        <v/>
      </c>
      <c r="F315" s="24" t="str">
        <f>IF(E315&lt;&gt;"",G4copy!A315,"")</f>
        <v/>
      </c>
      <c r="G315" s="24" t="str">
        <f>IF(E315&lt;&gt;"",G4copy!F315,"")</f>
        <v/>
      </c>
    </row>
    <row r="316" spans="1:7" ht="15.75" customHeight="1">
      <c r="A316" s="23" t="str">
        <f t="shared" si="13"/>
        <v/>
      </c>
      <c r="B316" t="str">
        <f t="shared" si="14"/>
        <v/>
      </c>
      <c r="C316" s="23" t="str">
        <f t="shared" si="15"/>
        <v/>
      </c>
      <c r="E316" s="24" t="str">
        <f>IF(NOT(ISBLANK(G4copy!B316)),G4copy!B316,"")</f>
        <v/>
      </c>
      <c r="F316" s="24" t="str">
        <f>IF(E316&lt;&gt;"",G4copy!A316,"")</f>
        <v/>
      </c>
      <c r="G316" s="24" t="str">
        <f>IF(E316&lt;&gt;"",G4copy!F316,"")</f>
        <v/>
      </c>
    </row>
    <row r="317" spans="1:7" ht="15.75" customHeight="1">
      <c r="A317" s="23" t="str">
        <f t="shared" si="13"/>
        <v/>
      </c>
      <c r="B317" t="str">
        <f t="shared" si="14"/>
        <v/>
      </c>
      <c r="C317" s="23" t="str">
        <f t="shared" si="15"/>
        <v/>
      </c>
      <c r="E317" s="24" t="str">
        <f>IF(NOT(ISBLANK(G4copy!B317)),G4copy!B317,"")</f>
        <v/>
      </c>
      <c r="F317" s="24" t="str">
        <f>IF(E317&lt;&gt;"",G4copy!A317,"")</f>
        <v/>
      </c>
      <c r="G317" s="24" t="str">
        <f>IF(E317&lt;&gt;"",G4copy!F317,"")</f>
        <v/>
      </c>
    </row>
    <row r="318" spans="1:7" ht="15.75" customHeight="1">
      <c r="A318" s="23" t="str">
        <f t="shared" si="13"/>
        <v/>
      </c>
      <c r="B318" t="str">
        <f t="shared" si="14"/>
        <v/>
      </c>
      <c r="C318" s="23" t="str">
        <f t="shared" si="15"/>
        <v/>
      </c>
      <c r="E318" s="24" t="str">
        <f>IF(NOT(ISBLANK(G4copy!B318)),G4copy!B318,"")</f>
        <v/>
      </c>
      <c r="F318" s="24" t="str">
        <f>IF(E318&lt;&gt;"",G4copy!A318,"")</f>
        <v/>
      </c>
      <c r="G318" s="24" t="str">
        <f>IF(E318&lt;&gt;"",G4copy!F318,"")</f>
        <v/>
      </c>
    </row>
    <row r="319" spans="1:7" ht="15.75" customHeight="1">
      <c r="A319" s="23" t="str">
        <f t="shared" si="13"/>
        <v/>
      </c>
      <c r="B319" t="str">
        <f t="shared" si="14"/>
        <v/>
      </c>
      <c r="C319" s="23" t="str">
        <f t="shared" si="15"/>
        <v/>
      </c>
      <c r="E319" s="24" t="str">
        <f>IF(NOT(ISBLANK(G4copy!B319)),G4copy!B319,"")</f>
        <v/>
      </c>
      <c r="F319" s="24" t="str">
        <f>IF(E319&lt;&gt;"",G4copy!A319,"")</f>
        <v/>
      </c>
      <c r="G319" s="24" t="str">
        <f>IF(E319&lt;&gt;"",G4copy!F319,"")</f>
        <v/>
      </c>
    </row>
    <row r="320" spans="1:7" ht="15.75" customHeight="1">
      <c r="A320" s="23" t="str">
        <f t="shared" si="13"/>
        <v/>
      </c>
      <c r="B320" t="str">
        <f t="shared" si="14"/>
        <v/>
      </c>
      <c r="C320" s="23" t="str">
        <f t="shared" si="15"/>
        <v/>
      </c>
      <c r="E320" s="24" t="str">
        <f>IF(NOT(ISBLANK(G4copy!B320)),G4copy!B320,"")</f>
        <v/>
      </c>
      <c r="F320" s="24" t="str">
        <f>IF(E320&lt;&gt;"",G4copy!A320,"")</f>
        <v/>
      </c>
      <c r="G320" s="24" t="str">
        <f>IF(E320&lt;&gt;"",G4copy!F320,"")</f>
        <v/>
      </c>
    </row>
    <row r="321" spans="1:7" ht="15.75" customHeight="1">
      <c r="A321" s="23" t="str">
        <f t="shared" si="13"/>
        <v/>
      </c>
      <c r="B321" t="str">
        <f t="shared" si="14"/>
        <v/>
      </c>
      <c r="C321" s="23" t="str">
        <f t="shared" si="15"/>
        <v/>
      </c>
      <c r="E321" s="24" t="str">
        <f>IF(NOT(ISBLANK(G4copy!B321)),G4copy!B321,"")</f>
        <v/>
      </c>
      <c r="F321" s="24" t="str">
        <f>IF(E321&lt;&gt;"",G4copy!A321,"")</f>
        <v/>
      </c>
      <c r="G321" s="24" t="str">
        <f>IF(E321&lt;&gt;"",G4copy!F321,"")</f>
        <v/>
      </c>
    </row>
    <row r="322" spans="1:7" ht="15.75" customHeight="1">
      <c r="A322" s="23" t="str">
        <f t="shared" si="13"/>
        <v/>
      </c>
      <c r="B322" t="str">
        <f t="shared" si="14"/>
        <v/>
      </c>
      <c r="C322" s="23" t="str">
        <f t="shared" si="15"/>
        <v/>
      </c>
      <c r="E322" s="24" t="str">
        <f>IF(NOT(ISBLANK(G4copy!B322)),G4copy!B322,"")</f>
        <v/>
      </c>
      <c r="F322" s="24" t="str">
        <f>IF(E322&lt;&gt;"",G4copy!A322,"")</f>
        <v/>
      </c>
      <c r="G322" s="24" t="str">
        <f>IF(E322&lt;&gt;"",G4copy!F322,"")</f>
        <v/>
      </c>
    </row>
    <row r="323" spans="1:7" ht="15.75" customHeight="1">
      <c r="A323" s="23" t="str">
        <f t="shared" ref="A323:A386" si="16">IF(E323&lt;&gt;"",DATEVALUE(LEFT(E323,10)),"")</f>
        <v/>
      </c>
      <c r="B323" t="str">
        <f t="shared" ref="B323:B386" si="17">IF(LEN(F323)&gt;3,RIGHT(F323,LEN(F323)-3),"")</f>
        <v/>
      </c>
      <c r="C323" s="23" t="str">
        <f t="shared" ref="C323:C386" si="18">IF(E323&lt;&gt;"",DATEVALUE(LEFT(G323,10)),"")</f>
        <v/>
      </c>
      <c r="E323" s="24" t="str">
        <f>IF(NOT(ISBLANK(G4copy!B323)),G4copy!B323,"")</f>
        <v/>
      </c>
      <c r="F323" s="24" t="str">
        <f>IF(E323&lt;&gt;"",G4copy!A323,"")</f>
        <v/>
      </c>
      <c r="G323" s="24" t="str">
        <f>IF(E323&lt;&gt;"",G4copy!F323,"")</f>
        <v/>
      </c>
    </row>
    <row r="324" spans="1:7" ht="15.75" customHeight="1">
      <c r="A324" s="23" t="str">
        <f t="shared" si="16"/>
        <v/>
      </c>
      <c r="B324" t="str">
        <f t="shared" si="17"/>
        <v/>
      </c>
      <c r="C324" s="23" t="str">
        <f t="shared" si="18"/>
        <v/>
      </c>
      <c r="E324" s="24" t="str">
        <f>IF(NOT(ISBLANK(G4copy!B324)),G4copy!B324,"")</f>
        <v/>
      </c>
      <c r="F324" s="24" t="str">
        <f>IF(E324&lt;&gt;"",G4copy!A324,"")</f>
        <v/>
      </c>
      <c r="G324" s="24" t="str">
        <f>IF(E324&lt;&gt;"",G4copy!F324,"")</f>
        <v/>
      </c>
    </row>
    <row r="325" spans="1:7" ht="15.75" customHeight="1">
      <c r="A325" s="23" t="str">
        <f t="shared" si="16"/>
        <v/>
      </c>
      <c r="B325" t="str">
        <f t="shared" si="17"/>
        <v/>
      </c>
      <c r="C325" s="23" t="str">
        <f t="shared" si="18"/>
        <v/>
      </c>
      <c r="E325" s="24" t="str">
        <f>IF(NOT(ISBLANK(G4copy!B325)),G4copy!B325,"")</f>
        <v/>
      </c>
      <c r="F325" s="24" t="str">
        <f>IF(E325&lt;&gt;"",G4copy!A325,"")</f>
        <v/>
      </c>
      <c r="G325" s="24" t="str">
        <f>IF(E325&lt;&gt;"",G4copy!F325,"")</f>
        <v/>
      </c>
    </row>
    <row r="326" spans="1:7" ht="15.75" customHeight="1">
      <c r="A326" s="23" t="str">
        <f t="shared" si="16"/>
        <v/>
      </c>
      <c r="B326" t="str">
        <f t="shared" si="17"/>
        <v/>
      </c>
      <c r="C326" s="23" t="str">
        <f t="shared" si="18"/>
        <v/>
      </c>
      <c r="E326" s="24" t="str">
        <f>IF(NOT(ISBLANK(G4copy!B326)),G4copy!B326,"")</f>
        <v/>
      </c>
      <c r="F326" s="24" t="str">
        <f>IF(E326&lt;&gt;"",G4copy!A326,"")</f>
        <v/>
      </c>
      <c r="G326" s="24" t="str">
        <f>IF(E326&lt;&gt;"",G4copy!F326,"")</f>
        <v/>
      </c>
    </row>
    <row r="327" spans="1:7" ht="15.75" customHeight="1">
      <c r="A327" s="23" t="str">
        <f t="shared" si="16"/>
        <v/>
      </c>
      <c r="B327" t="str">
        <f t="shared" si="17"/>
        <v/>
      </c>
      <c r="C327" s="23" t="str">
        <f t="shared" si="18"/>
        <v/>
      </c>
      <c r="E327" s="24" t="str">
        <f>IF(NOT(ISBLANK(G4copy!B327)),G4copy!B327,"")</f>
        <v/>
      </c>
      <c r="F327" s="24" t="str">
        <f>IF(E327&lt;&gt;"",G4copy!A327,"")</f>
        <v/>
      </c>
      <c r="G327" s="24" t="str">
        <f>IF(E327&lt;&gt;"",G4copy!F327,"")</f>
        <v/>
      </c>
    </row>
    <row r="328" spans="1:7" ht="15.75" customHeight="1">
      <c r="A328" s="23" t="str">
        <f t="shared" si="16"/>
        <v/>
      </c>
      <c r="B328" t="str">
        <f t="shared" si="17"/>
        <v/>
      </c>
      <c r="C328" s="23" t="str">
        <f t="shared" si="18"/>
        <v/>
      </c>
      <c r="E328" s="24" t="str">
        <f>IF(NOT(ISBLANK(G4copy!B328)),G4copy!B328,"")</f>
        <v/>
      </c>
      <c r="F328" s="24" t="str">
        <f>IF(E328&lt;&gt;"",G4copy!A328,"")</f>
        <v/>
      </c>
      <c r="G328" s="24" t="str">
        <f>IF(E328&lt;&gt;"",G4copy!F328,"")</f>
        <v/>
      </c>
    </row>
    <row r="329" spans="1:7" ht="15.75" customHeight="1">
      <c r="A329" s="23" t="str">
        <f t="shared" si="16"/>
        <v/>
      </c>
      <c r="B329" t="str">
        <f t="shared" si="17"/>
        <v/>
      </c>
      <c r="C329" s="23" t="str">
        <f t="shared" si="18"/>
        <v/>
      </c>
      <c r="E329" s="24" t="str">
        <f>IF(NOT(ISBLANK(G4copy!B329)),G4copy!B329,"")</f>
        <v/>
      </c>
      <c r="F329" s="24" t="str">
        <f>IF(E329&lt;&gt;"",G4copy!A329,"")</f>
        <v/>
      </c>
      <c r="G329" s="24" t="str">
        <f>IF(E329&lt;&gt;"",G4copy!F329,"")</f>
        <v/>
      </c>
    </row>
    <row r="330" spans="1:7" ht="15.75" customHeight="1">
      <c r="A330" s="23" t="str">
        <f t="shared" si="16"/>
        <v/>
      </c>
      <c r="B330" t="str">
        <f t="shared" si="17"/>
        <v/>
      </c>
      <c r="C330" s="23" t="str">
        <f t="shared" si="18"/>
        <v/>
      </c>
      <c r="E330" s="24" t="str">
        <f>IF(NOT(ISBLANK(G4copy!B330)),G4copy!B330,"")</f>
        <v/>
      </c>
      <c r="F330" s="24" t="str">
        <f>IF(E330&lt;&gt;"",G4copy!A330,"")</f>
        <v/>
      </c>
      <c r="G330" s="24" t="str">
        <f>IF(E330&lt;&gt;"",G4copy!F330,"")</f>
        <v/>
      </c>
    </row>
    <row r="331" spans="1:7" ht="15.75" customHeight="1">
      <c r="A331" s="23" t="str">
        <f t="shared" si="16"/>
        <v/>
      </c>
      <c r="B331" t="str">
        <f t="shared" si="17"/>
        <v/>
      </c>
      <c r="C331" s="23" t="str">
        <f t="shared" si="18"/>
        <v/>
      </c>
      <c r="E331" s="24" t="str">
        <f>IF(NOT(ISBLANK(G4copy!B331)),G4copy!B331,"")</f>
        <v/>
      </c>
      <c r="F331" s="24" t="str">
        <f>IF(E331&lt;&gt;"",G4copy!A331,"")</f>
        <v/>
      </c>
      <c r="G331" s="24" t="str">
        <f>IF(E331&lt;&gt;"",G4copy!F331,"")</f>
        <v/>
      </c>
    </row>
    <row r="332" spans="1:7" ht="15.75" customHeight="1">
      <c r="A332" s="23" t="str">
        <f t="shared" si="16"/>
        <v/>
      </c>
      <c r="B332" t="str">
        <f t="shared" si="17"/>
        <v/>
      </c>
      <c r="C332" s="23" t="str">
        <f t="shared" si="18"/>
        <v/>
      </c>
      <c r="E332" s="24" t="str">
        <f>IF(NOT(ISBLANK(G4copy!B332)),G4copy!B332,"")</f>
        <v/>
      </c>
      <c r="F332" s="24" t="str">
        <f>IF(E332&lt;&gt;"",G4copy!A332,"")</f>
        <v/>
      </c>
      <c r="G332" s="24" t="str">
        <f>IF(E332&lt;&gt;"",G4copy!F332,"")</f>
        <v/>
      </c>
    </row>
    <row r="333" spans="1:7" ht="15.75" customHeight="1">
      <c r="A333" s="23" t="str">
        <f t="shared" si="16"/>
        <v/>
      </c>
      <c r="B333" t="str">
        <f t="shared" si="17"/>
        <v/>
      </c>
      <c r="C333" s="23" t="str">
        <f t="shared" si="18"/>
        <v/>
      </c>
      <c r="E333" s="24" t="str">
        <f>IF(NOT(ISBLANK(G4copy!B333)),G4copy!B333,"")</f>
        <v/>
      </c>
      <c r="F333" s="24" t="str">
        <f>IF(E333&lt;&gt;"",G4copy!A333,"")</f>
        <v/>
      </c>
      <c r="G333" s="24" t="str">
        <f>IF(E333&lt;&gt;"",G4copy!F333,"")</f>
        <v/>
      </c>
    </row>
    <row r="334" spans="1:7" ht="15.75" customHeight="1">
      <c r="A334" s="23" t="str">
        <f t="shared" si="16"/>
        <v/>
      </c>
      <c r="B334" t="str">
        <f t="shared" si="17"/>
        <v/>
      </c>
      <c r="C334" s="23" t="str">
        <f t="shared" si="18"/>
        <v/>
      </c>
      <c r="E334" s="24" t="str">
        <f>IF(NOT(ISBLANK(G4copy!B334)),G4copy!B334,"")</f>
        <v/>
      </c>
      <c r="F334" s="24" t="str">
        <f>IF(E334&lt;&gt;"",G4copy!A334,"")</f>
        <v/>
      </c>
      <c r="G334" s="24" t="str">
        <f>IF(E334&lt;&gt;"",G4copy!F334,"")</f>
        <v/>
      </c>
    </row>
    <row r="335" spans="1:7" ht="15.75" customHeight="1">
      <c r="A335" s="23" t="str">
        <f t="shared" si="16"/>
        <v/>
      </c>
      <c r="B335" t="str">
        <f t="shared" si="17"/>
        <v/>
      </c>
      <c r="C335" s="23" t="str">
        <f t="shared" si="18"/>
        <v/>
      </c>
      <c r="E335" s="24" t="str">
        <f>IF(NOT(ISBLANK(G4copy!B335)),G4copy!B335,"")</f>
        <v/>
      </c>
      <c r="F335" s="24" t="str">
        <f>IF(E335&lt;&gt;"",G4copy!A335,"")</f>
        <v/>
      </c>
      <c r="G335" s="24" t="str">
        <f>IF(E335&lt;&gt;"",G4copy!F335,"")</f>
        <v/>
      </c>
    </row>
    <row r="336" spans="1:7" ht="15.75" customHeight="1">
      <c r="A336" s="23" t="str">
        <f t="shared" si="16"/>
        <v/>
      </c>
      <c r="B336" t="str">
        <f t="shared" si="17"/>
        <v/>
      </c>
      <c r="C336" s="23" t="str">
        <f t="shared" si="18"/>
        <v/>
      </c>
      <c r="E336" s="24" t="str">
        <f>IF(NOT(ISBLANK(G4copy!B336)),G4copy!B336,"")</f>
        <v/>
      </c>
      <c r="F336" s="24" t="str">
        <f>IF(E336&lt;&gt;"",G4copy!A336,"")</f>
        <v/>
      </c>
      <c r="G336" s="24" t="str">
        <f>IF(E336&lt;&gt;"",G4copy!F336,"")</f>
        <v/>
      </c>
    </row>
    <row r="337" spans="1:7" ht="15.75" customHeight="1">
      <c r="A337" s="23" t="str">
        <f t="shared" si="16"/>
        <v/>
      </c>
      <c r="B337" t="str">
        <f t="shared" si="17"/>
        <v/>
      </c>
      <c r="C337" s="23" t="str">
        <f t="shared" si="18"/>
        <v/>
      </c>
      <c r="E337" s="24" t="str">
        <f>IF(NOT(ISBLANK(G4copy!B337)),G4copy!B337,"")</f>
        <v/>
      </c>
      <c r="F337" s="24" t="str">
        <f>IF(E337&lt;&gt;"",G4copy!A337,"")</f>
        <v/>
      </c>
      <c r="G337" s="24" t="str">
        <f>IF(E337&lt;&gt;"",G4copy!F337,"")</f>
        <v/>
      </c>
    </row>
    <row r="338" spans="1:7" ht="15.75" customHeight="1">
      <c r="A338" s="23" t="str">
        <f t="shared" si="16"/>
        <v/>
      </c>
      <c r="B338" t="str">
        <f t="shared" si="17"/>
        <v/>
      </c>
      <c r="C338" s="23" t="str">
        <f t="shared" si="18"/>
        <v/>
      </c>
      <c r="E338" s="24" t="str">
        <f>IF(NOT(ISBLANK(G4copy!B338)),G4copy!B338,"")</f>
        <v/>
      </c>
      <c r="F338" s="24" t="str">
        <f>IF(E338&lt;&gt;"",G4copy!A338,"")</f>
        <v/>
      </c>
      <c r="G338" s="24" t="str">
        <f>IF(E338&lt;&gt;"",G4copy!F338,"")</f>
        <v/>
      </c>
    </row>
    <row r="339" spans="1:7" ht="15.75" customHeight="1">
      <c r="A339" s="23" t="str">
        <f t="shared" si="16"/>
        <v/>
      </c>
      <c r="B339" t="str">
        <f t="shared" si="17"/>
        <v/>
      </c>
      <c r="C339" s="23" t="str">
        <f t="shared" si="18"/>
        <v/>
      </c>
      <c r="E339" s="24" t="str">
        <f>IF(NOT(ISBLANK(G4copy!B339)),G4copy!B339,"")</f>
        <v/>
      </c>
      <c r="F339" s="24" t="str">
        <f>IF(E339&lt;&gt;"",G4copy!A339,"")</f>
        <v/>
      </c>
      <c r="G339" s="24" t="str">
        <f>IF(E339&lt;&gt;"",G4copy!F339,"")</f>
        <v/>
      </c>
    </row>
    <row r="340" spans="1:7" ht="15.75" customHeight="1">
      <c r="A340" s="23" t="str">
        <f t="shared" si="16"/>
        <v/>
      </c>
      <c r="B340" t="str">
        <f t="shared" si="17"/>
        <v/>
      </c>
      <c r="C340" s="23" t="str">
        <f t="shared" si="18"/>
        <v/>
      </c>
      <c r="E340" s="24" t="str">
        <f>IF(NOT(ISBLANK(G4copy!B340)),G4copy!B340,"")</f>
        <v/>
      </c>
      <c r="F340" s="24" t="str">
        <f>IF(E340&lt;&gt;"",G4copy!A340,"")</f>
        <v/>
      </c>
      <c r="G340" s="24" t="str">
        <f>IF(E340&lt;&gt;"",G4copy!F340,"")</f>
        <v/>
      </c>
    </row>
    <row r="341" spans="1:7" ht="15.75" customHeight="1">
      <c r="A341" s="23" t="str">
        <f t="shared" si="16"/>
        <v/>
      </c>
      <c r="B341" t="str">
        <f t="shared" si="17"/>
        <v/>
      </c>
      <c r="C341" s="23" t="str">
        <f t="shared" si="18"/>
        <v/>
      </c>
      <c r="E341" s="24" t="str">
        <f>IF(NOT(ISBLANK(G4copy!B341)),G4copy!B341,"")</f>
        <v/>
      </c>
      <c r="F341" s="24" t="str">
        <f>IF(E341&lt;&gt;"",G4copy!A341,"")</f>
        <v/>
      </c>
      <c r="G341" s="24" t="str">
        <f>IF(E341&lt;&gt;"",G4copy!F341,"")</f>
        <v/>
      </c>
    </row>
    <row r="342" spans="1:7" ht="15.75" customHeight="1">
      <c r="A342" s="23" t="str">
        <f t="shared" si="16"/>
        <v/>
      </c>
      <c r="B342" t="str">
        <f t="shared" si="17"/>
        <v/>
      </c>
      <c r="C342" s="23" t="str">
        <f t="shared" si="18"/>
        <v/>
      </c>
      <c r="E342" s="24" t="str">
        <f>IF(NOT(ISBLANK(G4copy!B342)),G4copy!B342,"")</f>
        <v/>
      </c>
      <c r="F342" s="24" t="str">
        <f>IF(E342&lt;&gt;"",G4copy!A342,"")</f>
        <v/>
      </c>
      <c r="G342" s="24" t="str">
        <f>IF(E342&lt;&gt;"",G4copy!F342,"")</f>
        <v/>
      </c>
    </row>
    <row r="343" spans="1:7" ht="15.75" customHeight="1">
      <c r="A343" s="23" t="str">
        <f t="shared" si="16"/>
        <v/>
      </c>
      <c r="B343" t="str">
        <f t="shared" si="17"/>
        <v/>
      </c>
      <c r="C343" s="23" t="str">
        <f t="shared" si="18"/>
        <v/>
      </c>
      <c r="E343" s="24" t="str">
        <f>IF(NOT(ISBLANK(G4copy!B343)),G4copy!B343,"")</f>
        <v/>
      </c>
      <c r="F343" s="24" t="str">
        <f>IF(E343&lt;&gt;"",G4copy!A343,"")</f>
        <v/>
      </c>
      <c r="G343" s="24" t="str">
        <f>IF(E343&lt;&gt;"",G4copy!F343,"")</f>
        <v/>
      </c>
    </row>
    <row r="344" spans="1:7" ht="15.75" customHeight="1">
      <c r="A344" s="23" t="str">
        <f t="shared" si="16"/>
        <v/>
      </c>
      <c r="B344" t="str">
        <f t="shared" si="17"/>
        <v/>
      </c>
      <c r="C344" s="23" t="str">
        <f t="shared" si="18"/>
        <v/>
      </c>
      <c r="E344" s="24" t="str">
        <f>IF(NOT(ISBLANK(G4copy!B344)),G4copy!B344,"")</f>
        <v/>
      </c>
      <c r="F344" s="24" t="str">
        <f>IF(E344&lt;&gt;"",G4copy!A344,"")</f>
        <v/>
      </c>
      <c r="G344" s="24" t="str">
        <f>IF(E344&lt;&gt;"",G4copy!F344,"")</f>
        <v/>
      </c>
    </row>
    <row r="345" spans="1:7" ht="15.75" customHeight="1">
      <c r="A345" s="23" t="str">
        <f t="shared" si="16"/>
        <v/>
      </c>
      <c r="B345" t="str">
        <f t="shared" si="17"/>
        <v/>
      </c>
      <c r="C345" s="23" t="str">
        <f t="shared" si="18"/>
        <v/>
      </c>
      <c r="E345" s="24" t="str">
        <f>IF(NOT(ISBLANK(G4copy!B345)),G4copy!B345,"")</f>
        <v/>
      </c>
      <c r="F345" s="24" t="str">
        <f>IF(E345&lt;&gt;"",G4copy!A345,"")</f>
        <v/>
      </c>
      <c r="G345" s="24" t="str">
        <f>IF(E345&lt;&gt;"",G4copy!F345,"")</f>
        <v/>
      </c>
    </row>
    <row r="346" spans="1:7" ht="15.75" customHeight="1">
      <c r="A346" s="23" t="str">
        <f t="shared" si="16"/>
        <v/>
      </c>
      <c r="B346" t="str">
        <f t="shared" si="17"/>
        <v/>
      </c>
      <c r="C346" s="23" t="str">
        <f t="shared" si="18"/>
        <v/>
      </c>
      <c r="E346" s="24" t="str">
        <f>IF(NOT(ISBLANK(G4copy!B346)),G4copy!B346,"")</f>
        <v/>
      </c>
      <c r="F346" s="24" t="str">
        <f>IF(E346&lt;&gt;"",G4copy!A346,"")</f>
        <v/>
      </c>
      <c r="G346" s="24" t="str">
        <f>IF(E346&lt;&gt;"",G4copy!F346,"")</f>
        <v/>
      </c>
    </row>
    <row r="347" spans="1:7" ht="15.75" customHeight="1">
      <c r="A347" s="23" t="str">
        <f t="shared" si="16"/>
        <v/>
      </c>
      <c r="B347" t="str">
        <f t="shared" si="17"/>
        <v/>
      </c>
      <c r="C347" s="23" t="str">
        <f t="shared" si="18"/>
        <v/>
      </c>
      <c r="E347" s="24" t="str">
        <f>IF(NOT(ISBLANK(G4copy!B347)),G4copy!B347,"")</f>
        <v/>
      </c>
      <c r="F347" s="24" t="str">
        <f>IF(E347&lt;&gt;"",G4copy!A347,"")</f>
        <v/>
      </c>
      <c r="G347" s="24" t="str">
        <f>IF(E347&lt;&gt;"",G4copy!F347,"")</f>
        <v/>
      </c>
    </row>
    <row r="348" spans="1:7" ht="15.75" customHeight="1">
      <c r="A348" s="23" t="str">
        <f t="shared" si="16"/>
        <v/>
      </c>
      <c r="B348" t="str">
        <f t="shared" si="17"/>
        <v/>
      </c>
      <c r="C348" s="23" t="str">
        <f t="shared" si="18"/>
        <v/>
      </c>
      <c r="E348" s="24" t="str">
        <f>IF(NOT(ISBLANK(G4copy!B348)),G4copy!B348,"")</f>
        <v/>
      </c>
      <c r="F348" s="24" t="str">
        <f>IF(E348&lt;&gt;"",G4copy!A348,"")</f>
        <v/>
      </c>
      <c r="G348" s="24" t="str">
        <f>IF(E348&lt;&gt;"",G4copy!F348,"")</f>
        <v/>
      </c>
    </row>
    <row r="349" spans="1:7" ht="15.75" customHeight="1">
      <c r="A349" s="23" t="str">
        <f t="shared" si="16"/>
        <v/>
      </c>
      <c r="B349" t="str">
        <f t="shared" si="17"/>
        <v/>
      </c>
      <c r="C349" s="23" t="str">
        <f t="shared" si="18"/>
        <v/>
      </c>
      <c r="E349" s="24" t="str">
        <f>IF(NOT(ISBLANK(G4copy!B349)),G4copy!B349,"")</f>
        <v/>
      </c>
      <c r="F349" s="24" t="str">
        <f>IF(E349&lt;&gt;"",G4copy!A349,"")</f>
        <v/>
      </c>
      <c r="G349" s="24" t="str">
        <f>IF(E349&lt;&gt;"",G4copy!F349,"")</f>
        <v/>
      </c>
    </row>
    <row r="350" spans="1:7" ht="15.75" customHeight="1">
      <c r="A350" s="23" t="str">
        <f t="shared" si="16"/>
        <v/>
      </c>
      <c r="B350" t="str">
        <f t="shared" si="17"/>
        <v/>
      </c>
      <c r="C350" s="23" t="str">
        <f t="shared" si="18"/>
        <v/>
      </c>
      <c r="E350" s="24" t="str">
        <f>IF(NOT(ISBLANK(G4copy!B350)),G4copy!B350,"")</f>
        <v/>
      </c>
      <c r="F350" s="24" t="str">
        <f>IF(E350&lt;&gt;"",G4copy!A350,"")</f>
        <v/>
      </c>
      <c r="G350" s="24" t="str">
        <f>IF(E350&lt;&gt;"",G4copy!F350,"")</f>
        <v/>
      </c>
    </row>
    <row r="351" spans="1:7" ht="15.75" customHeight="1">
      <c r="A351" s="23" t="str">
        <f t="shared" si="16"/>
        <v/>
      </c>
      <c r="B351" t="str">
        <f t="shared" si="17"/>
        <v/>
      </c>
      <c r="C351" s="23" t="str">
        <f t="shared" si="18"/>
        <v/>
      </c>
      <c r="E351" s="24" t="str">
        <f>IF(NOT(ISBLANK(G4copy!B351)),G4copy!B351,"")</f>
        <v/>
      </c>
      <c r="F351" s="24" t="str">
        <f>IF(E351&lt;&gt;"",G4copy!A351,"")</f>
        <v/>
      </c>
      <c r="G351" s="24" t="str">
        <f>IF(E351&lt;&gt;"",G4copy!F351,"")</f>
        <v/>
      </c>
    </row>
    <row r="352" spans="1:7" ht="15.75" customHeight="1">
      <c r="A352" s="23" t="str">
        <f t="shared" si="16"/>
        <v/>
      </c>
      <c r="B352" t="str">
        <f t="shared" si="17"/>
        <v/>
      </c>
      <c r="C352" s="23" t="str">
        <f t="shared" si="18"/>
        <v/>
      </c>
      <c r="E352" s="24" t="str">
        <f>IF(NOT(ISBLANK(G4copy!B352)),G4copy!B352,"")</f>
        <v/>
      </c>
      <c r="F352" s="24" t="str">
        <f>IF(E352&lt;&gt;"",G4copy!A352,"")</f>
        <v/>
      </c>
      <c r="G352" s="24" t="str">
        <f>IF(E352&lt;&gt;"",G4copy!F352,"")</f>
        <v/>
      </c>
    </row>
    <row r="353" spans="1:7" ht="15.75" customHeight="1">
      <c r="A353" s="23" t="str">
        <f t="shared" si="16"/>
        <v/>
      </c>
      <c r="B353" t="str">
        <f t="shared" si="17"/>
        <v/>
      </c>
      <c r="C353" s="23" t="str">
        <f t="shared" si="18"/>
        <v/>
      </c>
      <c r="E353" s="24" t="str">
        <f>IF(NOT(ISBLANK(G4copy!B353)),G4copy!B353,"")</f>
        <v/>
      </c>
      <c r="F353" s="24" t="str">
        <f>IF(E353&lt;&gt;"",G4copy!A353,"")</f>
        <v/>
      </c>
      <c r="G353" s="24" t="str">
        <f>IF(E353&lt;&gt;"",G4copy!F353,"")</f>
        <v/>
      </c>
    </row>
    <row r="354" spans="1:7" ht="15.75" customHeight="1">
      <c r="A354" s="23" t="str">
        <f t="shared" si="16"/>
        <v/>
      </c>
      <c r="B354" t="str">
        <f t="shared" si="17"/>
        <v/>
      </c>
      <c r="C354" s="23" t="str">
        <f t="shared" si="18"/>
        <v/>
      </c>
      <c r="E354" s="24" t="str">
        <f>IF(NOT(ISBLANK(G4copy!B354)),G4copy!B354,"")</f>
        <v/>
      </c>
      <c r="F354" s="24" t="str">
        <f>IF(E354&lt;&gt;"",G4copy!A354,"")</f>
        <v/>
      </c>
      <c r="G354" s="24" t="str">
        <f>IF(E354&lt;&gt;"",G4copy!F354,"")</f>
        <v/>
      </c>
    </row>
    <row r="355" spans="1:7" ht="15.75" customHeight="1">
      <c r="A355" s="23" t="str">
        <f t="shared" si="16"/>
        <v/>
      </c>
      <c r="B355" t="str">
        <f t="shared" si="17"/>
        <v/>
      </c>
      <c r="C355" s="23" t="str">
        <f t="shared" si="18"/>
        <v/>
      </c>
      <c r="E355" s="24" t="str">
        <f>IF(NOT(ISBLANK(G4copy!B355)),G4copy!B355,"")</f>
        <v/>
      </c>
      <c r="F355" s="24" t="str">
        <f>IF(E355&lt;&gt;"",G4copy!A355,"")</f>
        <v/>
      </c>
      <c r="G355" s="24" t="str">
        <f>IF(E355&lt;&gt;"",G4copy!F355,"")</f>
        <v/>
      </c>
    </row>
    <row r="356" spans="1:7" ht="15.75" customHeight="1">
      <c r="A356" s="23" t="str">
        <f t="shared" si="16"/>
        <v/>
      </c>
      <c r="B356" t="str">
        <f t="shared" si="17"/>
        <v/>
      </c>
      <c r="C356" s="23" t="str">
        <f t="shared" si="18"/>
        <v/>
      </c>
      <c r="E356" s="24" t="str">
        <f>IF(NOT(ISBLANK(G4copy!B356)),G4copy!B356,"")</f>
        <v/>
      </c>
      <c r="F356" s="24" t="str">
        <f>IF(E356&lt;&gt;"",G4copy!A356,"")</f>
        <v/>
      </c>
      <c r="G356" s="24" t="str">
        <f>IF(E356&lt;&gt;"",G4copy!F356,"")</f>
        <v/>
      </c>
    </row>
    <row r="357" spans="1:7" ht="15.75" customHeight="1">
      <c r="A357" s="23" t="str">
        <f t="shared" si="16"/>
        <v/>
      </c>
      <c r="B357" t="str">
        <f t="shared" si="17"/>
        <v/>
      </c>
      <c r="C357" s="23" t="str">
        <f t="shared" si="18"/>
        <v/>
      </c>
      <c r="E357" s="24" t="str">
        <f>IF(NOT(ISBLANK(G4copy!B357)),G4copy!B357,"")</f>
        <v/>
      </c>
      <c r="F357" s="24" t="str">
        <f>IF(E357&lt;&gt;"",G4copy!A357,"")</f>
        <v/>
      </c>
      <c r="G357" s="24" t="str">
        <f>IF(E357&lt;&gt;"",G4copy!F357,"")</f>
        <v/>
      </c>
    </row>
    <row r="358" spans="1:7" ht="15.75" customHeight="1">
      <c r="A358" s="23" t="str">
        <f t="shared" si="16"/>
        <v/>
      </c>
      <c r="B358" t="str">
        <f t="shared" si="17"/>
        <v/>
      </c>
      <c r="C358" s="23" t="str">
        <f t="shared" si="18"/>
        <v/>
      </c>
      <c r="E358" s="24" t="str">
        <f>IF(NOT(ISBLANK(G4copy!B358)),G4copy!B358,"")</f>
        <v/>
      </c>
      <c r="F358" s="24" t="str">
        <f>IF(E358&lt;&gt;"",G4copy!A358,"")</f>
        <v/>
      </c>
      <c r="G358" s="24" t="str">
        <f>IF(E358&lt;&gt;"",G4copy!F358,"")</f>
        <v/>
      </c>
    </row>
    <row r="359" spans="1:7" ht="15.75" customHeight="1">
      <c r="A359" s="23" t="str">
        <f t="shared" si="16"/>
        <v/>
      </c>
      <c r="B359" t="str">
        <f t="shared" si="17"/>
        <v/>
      </c>
      <c r="C359" s="23" t="str">
        <f t="shared" si="18"/>
        <v/>
      </c>
      <c r="E359" s="24" t="str">
        <f>IF(NOT(ISBLANK(G4copy!B359)),G4copy!B359,"")</f>
        <v/>
      </c>
      <c r="F359" s="24" t="str">
        <f>IF(E359&lt;&gt;"",G4copy!A359,"")</f>
        <v/>
      </c>
      <c r="G359" s="24" t="str">
        <f>IF(E359&lt;&gt;"",G4copy!F359,"")</f>
        <v/>
      </c>
    </row>
    <row r="360" spans="1:7" ht="15.75" customHeight="1">
      <c r="A360" s="23" t="str">
        <f t="shared" si="16"/>
        <v/>
      </c>
      <c r="B360" t="str">
        <f t="shared" si="17"/>
        <v/>
      </c>
      <c r="C360" s="23" t="str">
        <f t="shared" si="18"/>
        <v/>
      </c>
      <c r="E360" s="24" t="str">
        <f>IF(NOT(ISBLANK(G4copy!B360)),G4copy!B360,"")</f>
        <v/>
      </c>
      <c r="F360" s="24" t="str">
        <f>IF(E360&lt;&gt;"",G4copy!A360,"")</f>
        <v/>
      </c>
      <c r="G360" s="24" t="str">
        <f>IF(E360&lt;&gt;"",G4copy!F360,"")</f>
        <v/>
      </c>
    </row>
    <row r="361" spans="1:7" ht="15.75" customHeight="1">
      <c r="A361" s="23" t="str">
        <f t="shared" si="16"/>
        <v/>
      </c>
      <c r="B361" t="str">
        <f t="shared" si="17"/>
        <v/>
      </c>
      <c r="C361" s="23" t="str">
        <f t="shared" si="18"/>
        <v/>
      </c>
      <c r="E361" s="24" t="str">
        <f>IF(NOT(ISBLANK(G4copy!B361)),G4copy!B361,"")</f>
        <v/>
      </c>
      <c r="F361" s="24" t="str">
        <f>IF(E361&lt;&gt;"",G4copy!A361,"")</f>
        <v/>
      </c>
      <c r="G361" s="24" t="str">
        <f>IF(E361&lt;&gt;"",G4copy!F361,"")</f>
        <v/>
      </c>
    </row>
    <row r="362" spans="1:7" ht="15.75" customHeight="1">
      <c r="A362" s="23" t="str">
        <f t="shared" si="16"/>
        <v/>
      </c>
      <c r="B362" t="str">
        <f t="shared" si="17"/>
        <v/>
      </c>
      <c r="C362" s="23" t="str">
        <f t="shared" si="18"/>
        <v/>
      </c>
      <c r="E362" s="24" t="str">
        <f>IF(NOT(ISBLANK(G4copy!B362)),G4copy!B362,"")</f>
        <v/>
      </c>
      <c r="F362" s="24" t="str">
        <f>IF(E362&lt;&gt;"",G4copy!A362,"")</f>
        <v/>
      </c>
      <c r="G362" s="24" t="str">
        <f>IF(E362&lt;&gt;"",G4copy!F362,"")</f>
        <v/>
      </c>
    </row>
    <row r="363" spans="1:7" ht="15.75" customHeight="1">
      <c r="A363" s="23" t="str">
        <f t="shared" si="16"/>
        <v/>
      </c>
      <c r="B363" t="str">
        <f t="shared" si="17"/>
        <v/>
      </c>
      <c r="C363" s="23" t="str">
        <f t="shared" si="18"/>
        <v/>
      </c>
      <c r="E363" s="24" t="str">
        <f>IF(NOT(ISBLANK(G4copy!B363)),G4copy!B363,"")</f>
        <v/>
      </c>
      <c r="F363" s="24" t="str">
        <f>IF(E363&lt;&gt;"",G4copy!A363,"")</f>
        <v/>
      </c>
      <c r="G363" s="24" t="str">
        <f>IF(E363&lt;&gt;"",G4copy!F363,"")</f>
        <v/>
      </c>
    </row>
    <row r="364" spans="1:7" ht="15.75" customHeight="1">
      <c r="A364" s="23" t="str">
        <f t="shared" si="16"/>
        <v/>
      </c>
      <c r="B364" t="str">
        <f t="shared" si="17"/>
        <v/>
      </c>
      <c r="C364" s="23" t="str">
        <f t="shared" si="18"/>
        <v/>
      </c>
      <c r="E364" s="24" t="str">
        <f>IF(NOT(ISBLANK(G4copy!B364)),G4copy!B364,"")</f>
        <v/>
      </c>
      <c r="F364" s="24" t="str">
        <f>IF(E364&lt;&gt;"",G4copy!A364,"")</f>
        <v/>
      </c>
      <c r="G364" s="24" t="str">
        <f>IF(E364&lt;&gt;"",G4copy!F364,"")</f>
        <v/>
      </c>
    </row>
    <row r="365" spans="1:7" ht="15.75" customHeight="1">
      <c r="A365" s="23" t="str">
        <f t="shared" si="16"/>
        <v/>
      </c>
      <c r="B365" t="str">
        <f t="shared" si="17"/>
        <v/>
      </c>
      <c r="C365" s="23" t="str">
        <f t="shared" si="18"/>
        <v/>
      </c>
      <c r="E365" s="24" t="str">
        <f>IF(NOT(ISBLANK(G4copy!B365)),G4copy!B365,"")</f>
        <v/>
      </c>
      <c r="F365" s="24" t="str">
        <f>IF(E365&lt;&gt;"",G4copy!A365,"")</f>
        <v/>
      </c>
      <c r="G365" s="24" t="str">
        <f>IF(E365&lt;&gt;"",G4copy!F365,"")</f>
        <v/>
      </c>
    </row>
    <row r="366" spans="1:7" ht="15.75" customHeight="1">
      <c r="A366" s="23" t="str">
        <f t="shared" si="16"/>
        <v/>
      </c>
      <c r="B366" t="str">
        <f t="shared" si="17"/>
        <v/>
      </c>
      <c r="C366" s="23" t="str">
        <f t="shared" si="18"/>
        <v/>
      </c>
      <c r="E366" s="24" t="str">
        <f>IF(NOT(ISBLANK(G4copy!B366)),G4copy!B366,"")</f>
        <v/>
      </c>
      <c r="F366" s="24" t="str">
        <f>IF(E366&lt;&gt;"",G4copy!A366,"")</f>
        <v/>
      </c>
      <c r="G366" s="24" t="str">
        <f>IF(E366&lt;&gt;"",G4copy!F366,"")</f>
        <v/>
      </c>
    </row>
    <row r="367" spans="1:7" ht="15.75" customHeight="1">
      <c r="A367" s="23" t="str">
        <f t="shared" si="16"/>
        <v/>
      </c>
      <c r="B367" t="str">
        <f t="shared" si="17"/>
        <v/>
      </c>
      <c r="C367" s="23" t="str">
        <f t="shared" si="18"/>
        <v/>
      </c>
      <c r="E367" s="24" t="str">
        <f>IF(NOT(ISBLANK(G4copy!B367)),G4copy!B367,"")</f>
        <v/>
      </c>
      <c r="F367" s="24" t="str">
        <f>IF(E367&lt;&gt;"",G4copy!A367,"")</f>
        <v/>
      </c>
      <c r="G367" s="24" t="str">
        <f>IF(E367&lt;&gt;"",G4copy!F367,"")</f>
        <v/>
      </c>
    </row>
    <row r="368" spans="1:7" ht="15.75" customHeight="1">
      <c r="A368" s="23" t="str">
        <f t="shared" si="16"/>
        <v/>
      </c>
      <c r="B368" t="str">
        <f t="shared" si="17"/>
        <v/>
      </c>
      <c r="C368" s="23" t="str">
        <f t="shared" si="18"/>
        <v/>
      </c>
      <c r="E368" s="24" t="str">
        <f>IF(NOT(ISBLANK(G4copy!B368)),G4copy!B368,"")</f>
        <v/>
      </c>
      <c r="F368" s="24" t="str">
        <f>IF(E368&lt;&gt;"",G4copy!A368,"")</f>
        <v/>
      </c>
      <c r="G368" s="24" t="str">
        <f>IF(E368&lt;&gt;"",G4copy!F368,"")</f>
        <v/>
      </c>
    </row>
    <row r="369" spans="1:7" ht="15.75" customHeight="1">
      <c r="A369" s="23" t="str">
        <f t="shared" si="16"/>
        <v/>
      </c>
      <c r="B369" t="str">
        <f t="shared" si="17"/>
        <v/>
      </c>
      <c r="C369" s="23" t="str">
        <f t="shared" si="18"/>
        <v/>
      </c>
      <c r="E369" s="24" t="str">
        <f>IF(NOT(ISBLANK(G4copy!B369)),G4copy!B369,"")</f>
        <v/>
      </c>
      <c r="F369" s="24" t="str">
        <f>IF(E369&lt;&gt;"",G4copy!A369,"")</f>
        <v/>
      </c>
      <c r="G369" s="24" t="str">
        <f>IF(E369&lt;&gt;"",G4copy!F369,"")</f>
        <v/>
      </c>
    </row>
    <row r="370" spans="1:7" ht="15.75" customHeight="1">
      <c r="A370" s="23" t="str">
        <f t="shared" si="16"/>
        <v/>
      </c>
      <c r="B370" t="str">
        <f t="shared" si="17"/>
        <v/>
      </c>
      <c r="C370" s="23" t="str">
        <f t="shared" si="18"/>
        <v/>
      </c>
      <c r="E370" s="24" t="str">
        <f>IF(NOT(ISBLANK(G4copy!B370)),G4copy!B370,"")</f>
        <v/>
      </c>
      <c r="F370" s="24" t="str">
        <f>IF(E370&lt;&gt;"",G4copy!A370,"")</f>
        <v/>
      </c>
      <c r="G370" s="24" t="str">
        <f>IF(E370&lt;&gt;"",G4copy!F370,"")</f>
        <v/>
      </c>
    </row>
    <row r="371" spans="1:7" ht="15.75" customHeight="1">
      <c r="A371" s="23" t="str">
        <f t="shared" si="16"/>
        <v/>
      </c>
      <c r="B371" t="str">
        <f t="shared" si="17"/>
        <v/>
      </c>
      <c r="C371" s="23" t="str">
        <f t="shared" si="18"/>
        <v/>
      </c>
      <c r="E371" s="24" t="str">
        <f>IF(NOT(ISBLANK(G4copy!B371)),G4copy!B371,"")</f>
        <v/>
      </c>
      <c r="F371" s="24" t="str">
        <f>IF(E371&lt;&gt;"",G4copy!A371,"")</f>
        <v/>
      </c>
      <c r="G371" s="24" t="str">
        <f>IF(E371&lt;&gt;"",G4copy!F371,"")</f>
        <v/>
      </c>
    </row>
    <row r="372" spans="1:7" ht="15.75" customHeight="1">
      <c r="A372" s="23" t="str">
        <f t="shared" si="16"/>
        <v/>
      </c>
      <c r="B372" t="str">
        <f t="shared" si="17"/>
        <v/>
      </c>
      <c r="C372" s="23" t="str">
        <f t="shared" si="18"/>
        <v/>
      </c>
      <c r="E372" s="24" t="str">
        <f>IF(NOT(ISBLANK(G4copy!B372)),G4copy!B372,"")</f>
        <v/>
      </c>
      <c r="F372" s="24" t="str">
        <f>IF(E372&lt;&gt;"",G4copy!A372,"")</f>
        <v/>
      </c>
      <c r="G372" s="24" t="str">
        <f>IF(E372&lt;&gt;"",G4copy!F372,"")</f>
        <v/>
      </c>
    </row>
    <row r="373" spans="1:7" ht="15.75" customHeight="1">
      <c r="A373" s="23" t="str">
        <f t="shared" si="16"/>
        <v/>
      </c>
      <c r="B373" t="str">
        <f t="shared" si="17"/>
        <v/>
      </c>
      <c r="C373" s="23" t="str">
        <f t="shared" si="18"/>
        <v/>
      </c>
      <c r="E373" s="24" t="str">
        <f>IF(NOT(ISBLANK(G4copy!B373)),G4copy!B373,"")</f>
        <v/>
      </c>
      <c r="F373" s="24" t="str">
        <f>IF(E373&lt;&gt;"",G4copy!A373,"")</f>
        <v/>
      </c>
      <c r="G373" s="24" t="str">
        <f>IF(E373&lt;&gt;"",G4copy!F373,"")</f>
        <v/>
      </c>
    </row>
    <row r="374" spans="1:7" ht="15.75" customHeight="1">
      <c r="A374" s="23" t="str">
        <f t="shared" si="16"/>
        <v/>
      </c>
      <c r="B374" t="str">
        <f t="shared" si="17"/>
        <v/>
      </c>
      <c r="C374" s="23" t="str">
        <f t="shared" si="18"/>
        <v/>
      </c>
      <c r="E374" s="24" t="str">
        <f>IF(NOT(ISBLANK(G4copy!B374)),G4copy!B374,"")</f>
        <v/>
      </c>
      <c r="F374" s="24" t="str">
        <f>IF(E374&lt;&gt;"",G4copy!A374,"")</f>
        <v/>
      </c>
      <c r="G374" s="24" t="str">
        <f>IF(E374&lt;&gt;"",G4copy!F374,"")</f>
        <v/>
      </c>
    </row>
    <row r="375" spans="1:7" ht="15.75" customHeight="1">
      <c r="A375" s="23" t="str">
        <f t="shared" si="16"/>
        <v/>
      </c>
      <c r="B375" t="str">
        <f t="shared" si="17"/>
        <v/>
      </c>
      <c r="C375" s="23" t="str">
        <f t="shared" si="18"/>
        <v/>
      </c>
      <c r="E375" s="24" t="str">
        <f>IF(NOT(ISBLANK(G4copy!B375)),G4copy!B375,"")</f>
        <v/>
      </c>
      <c r="F375" s="24" t="str">
        <f>IF(E375&lt;&gt;"",G4copy!A375,"")</f>
        <v/>
      </c>
      <c r="G375" s="24" t="str">
        <f>IF(E375&lt;&gt;"",G4copy!F375,"")</f>
        <v/>
      </c>
    </row>
    <row r="376" spans="1:7" ht="15.75" customHeight="1">
      <c r="A376" s="23" t="str">
        <f t="shared" si="16"/>
        <v/>
      </c>
      <c r="B376" t="str">
        <f t="shared" si="17"/>
        <v/>
      </c>
      <c r="C376" s="23" t="str">
        <f t="shared" si="18"/>
        <v/>
      </c>
      <c r="E376" s="24" t="str">
        <f>IF(NOT(ISBLANK(G4copy!B376)),G4copy!B376,"")</f>
        <v/>
      </c>
      <c r="F376" s="24" t="str">
        <f>IF(E376&lt;&gt;"",G4copy!A376,"")</f>
        <v/>
      </c>
      <c r="G376" s="24" t="str">
        <f>IF(E376&lt;&gt;"",G4copy!F376,"")</f>
        <v/>
      </c>
    </row>
    <row r="377" spans="1:7" ht="15.75" customHeight="1">
      <c r="A377" s="23" t="str">
        <f t="shared" si="16"/>
        <v/>
      </c>
      <c r="B377" t="str">
        <f t="shared" si="17"/>
        <v/>
      </c>
      <c r="C377" s="23" t="str">
        <f t="shared" si="18"/>
        <v/>
      </c>
      <c r="E377" s="24" t="str">
        <f>IF(NOT(ISBLANK(G4copy!B377)),G4copy!B377,"")</f>
        <v/>
      </c>
      <c r="F377" s="24" t="str">
        <f>IF(E377&lt;&gt;"",G4copy!A377,"")</f>
        <v/>
      </c>
      <c r="G377" s="24" t="str">
        <f>IF(E377&lt;&gt;"",G4copy!F377,"")</f>
        <v/>
      </c>
    </row>
    <row r="378" spans="1:7" ht="15.75" customHeight="1">
      <c r="A378" s="23" t="str">
        <f t="shared" si="16"/>
        <v/>
      </c>
      <c r="B378" t="str">
        <f t="shared" si="17"/>
        <v/>
      </c>
      <c r="C378" s="23" t="str">
        <f t="shared" si="18"/>
        <v/>
      </c>
      <c r="E378" s="24" t="str">
        <f>IF(NOT(ISBLANK(G4copy!B378)),G4copy!B378,"")</f>
        <v/>
      </c>
      <c r="F378" s="24" t="str">
        <f>IF(E378&lt;&gt;"",G4copy!A378,"")</f>
        <v/>
      </c>
      <c r="G378" s="24" t="str">
        <f>IF(E378&lt;&gt;"",G4copy!F378,"")</f>
        <v/>
      </c>
    </row>
    <row r="379" spans="1:7" ht="15.75" customHeight="1">
      <c r="A379" s="23" t="str">
        <f t="shared" si="16"/>
        <v/>
      </c>
      <c r="B379" t="str">
        <f t="shared" si="17"/>
        <v/>
      </c>
      <c r="C379" s="23" t="str">
        <f t="shared" si="18"/>
        <v/>
      </c>
      <c r="E379" s="24" t="str">
        <f>IF(NOT(ISBLANK(G4copy!B379)),G4copy!B379,"")</f>
        <v/>
      </c>
      <c r="F379" s="24" t="str">
        <f>IF(E379&lt;&gt;"",G4copy!A379,"")</f>
        <v/>
      </c>
      <c r="G379" s="24" t="str">
        <f>IF(E379&lt;&gt;"",G4copy!F379,"")</f>
        <v/>
      </c>
    </row>
    <row r="380" spans="1:7" ht="15.75" customHeight="1">
      <c r="A380" s="23" t="str">
        <f t="shared" si="16"/>
        <v/>
      </c>
      <c r="B380" t="str">
        <f t="shared" si="17"/>
        <v/>
      </c>
      <c r="C380" s="23" t="str">
        <f t="shared" si="18"/>
        <v/>
      </c>
      <c r="E380" s="24" t="str">
        <f>IF(NOT(ISBLANK(G4copy!B380)),G4copy!B380,"")</f>
        <v/>
      </c>
      <c r="F380" s="24" t="str">
        <f>IF(E380&lt;&gt;"",G4copy!A380,"")</f>
        <v/>
      </c>
      <c r="G380" s="24" t="str">
        <f>IF(E380&lt;&gt;"",G4copy!F380,"")</f>
        <v/>
      </c>
    </row>
    <row r="381" spans="1:7" ht="15.75" customHeight="1">
      <c r="A381" s="23" t="str">
        <f t="shared" si="16"/>
        <v/>
      </c>
      <c r="B381" t="str">
        <f t="shared" si="17"/>
        <v/>
      </c>
      <c r="C381" s="23" t="str">
        <f t="shared" si="18"/>
        <v/>
      </c>
      <c r="E381" s="24" t="str">
        <f>IF(NOT(ISBLANK(G4copy!B381)),G4copy!B381,"")</f>
        <v/>
      </c>
      <c r="F381" s="24" t="str">
        <f>IF(E381&lt;&gt;"",G4copy!A381,"")</f>
        <v/>
      </c>
      <c r="G381" s="24" t="str">
        <f>IF(E381&lt;&gt;"",G4copy!F381,"")</f>
        <v/>
      </c>
    </row>
    <row r="382" spans="1:7" ht="15.75" customHeight="1">
      <c r="A382" s="23" t="str">
        <f t="shared" si="16"/>
        <v/>
      </c>
      <c r="B382" t="str">
        <f t="shared" si="17"/>
        <v/>
      </c>
      <c r="C382" s="23" t="str">
        <f t="shared" si="18"/>
        <v/>
      </c>
      <c r="E382" s="24" t="str">
        <f>IF(NOT(ISBLANK(G4copy!B382)),G4copy!B382,"")</f>
        <v/>
      </c>
      <c r="F382" s="24" t="str">
        <f>IF(E382&lt;&gt;"",G4copy!A382,"")</f>
        <v/>
      </c>
      <c r="G382" s="24" t="str">
        <f>IF(E382&lt;&gt;"",G4copy!F382,"")</f>
        <v/>
      </c>
    </row>
    <row r="383" spans="1:7" ht="15.75" customHeight="1">
      <c r="A383" s="23" t="str">
        <f t="shared" si="16"/>
        <v/>
      </c>
      <c r="B383" t="str">
        <f t="shared" si="17"/>
        <v/>
      </c>
      <c r="C383" s="23" t="str">
        <f t="shared" si="18"/>
        <v/>
      </c>
      <c r="E383" s="24" t="str">
        <f>IF(NOT(ISBLANK(G4copy!B383)),G4copy!B383,"")</f>
        <v/>
      </c>
      <c r="F383" s="24" t="str">
        <f>IF(E383&lt;&gt;"",G4copy!A383,"")</f>
        <v/>
      </c>
      <c r="G383" s="24" t="str">
        <f>IF(E383&lt;&gt;"",G4copy!F383,"")</f>
        <v/>
      </c>
    </row>
    <row r="384" spans="1:7" ht="15.75" customHeight="1">
      <c r="A384" s="23" t="str">
        <f t="shared" si="16"/>
        <v/>
      </c>
      <c r="B384" t="str">
        <f t="shared" si="17"/>
        <v/>
      </c>
      <c r="C384" s="23" t="str">
        <f t="shared" si="18"/>
        <v/>
      </c>
      <c r="E384" s="24" t="str">
        <f>IF(NOT(ISBLANK(G4copy!B384)),G4copy!B384,"")</f>
        <v/>
      </c>
      <c r="F384" s="24" t="str">
        <f>IF(E384&lt;&gt;"",G4copy!A384,"")</f>
        <v/>
      </c>
      <c r="G384" s="24" t="str">
        <f>IF(E384&lt;&gt;"",G4copy!F384,"")</f>
        <v/>
      </c>
    </row>
    <row r="385" spans="1:7" ht="15.75" customHeight="1">
      <c r="A385" s="23" t="str">
        <f t="shared" si="16"/>
        <v/>
      </c>
      <c r="B385" t="str">
        <f t="shared" si="17"/>
        <v/>
      </c>
      <c r="C385" s="23" t="str">
        <f t="shared" si="18"/>
        <v/>
      </c>
      <c r="E385" s="24" t="str">
        <f>IF(NOT(ISBLANK(G4copy!B385)),G4copy!B385,"")</f>
        <v/>
      </c>
      <c r="F385" s="24" t="str">
        <f>IF(E385&lt;&gt;"",G4copy!A385,"")</f>
        <v/>
      </c>
      <c r="G385" s="24" t="str">
        <f>IF(E385&lt;&gt;"",G4copy!F385,"")</f>
        <v/>
      </c>
    </row>
    <row r="386" spans="1:7" ht="15.75" customHeight="1">
      <c r="A386" s="23" t="str">
        <f t="shared" si="16"/>
        <v/>
      </c>
      <c r="B386" t="str">
        <f t="shared" si="17"/>
        <v/>
      </c>
      <c r="C386" s="23" t="str">
        <f t="shared" si="18"/>
        <v/>
      </c>
      <c r="E386" s="24" t="str">
        <f>IF(NOT(ISBLANK(G4copy!B386)),G4copy!B386,"")</f>
        <v/>
      </c>
      <c r="F386" s="24" t="str">
        <f>IF(E386&lt;&gt;"",G4copy!A386,"")</f>
        <v/>
      </c>
      <c r="G386" s="24" t="str">
        <f>IF(E386&lt;&gt;"",G4copy!F386,"")</f>
        <v/>
      </c>
    </row>
    <row r="387" spans="1:7" ht="15.75" customHeight="1">
      <c r="A387" s="23" t="str">
        <f t="shared" ref="A387:A450" si="19">IF(E387&lt;&gt;"",DATEVALUE(LEFT(E387,10)),"")</f>
        <v/>
      </c>
      <c r="B387" t="str">
        <f t="shared" ref="B387:B450" si="20">IF(LEN(F387)&gt;3,RIGHT(F387,LEN(F387)-3),"")</f>
        <v/>
      </c>
      <c r="C387" s="23" t="str">
        <f t="shared" ref="C387:C450" si="21">IF(E387&lt;&gt;"",DATEVALUE(LEFT(G387,10)),"")</f>
        <v/>
      </c>
      <c r="E387" s="24" t="str">
        <f>IF(NOT(ISBLANK(G4copy!B387)),G4copy!B387,"")</f>
        <v/>
      </c>
      <c r="F387" s="24" t="str">
        <f>IF(E387&lt;&gt;"",G4copy!A387,"")</f>
        <v/>
      </c>
      <c r="G387" s="24" t="str">
        <f>IF(E387&lt;&gt;"",G4copy!F387,"")</f>
        <v/>
      </c>
    </row>
    <row r="388" spans="1:7" ht="15.75" customHeight="1">
      <c r="A388" s="23" t="str">
        <f t="shared" si="19"/>
        <v/>
      </c>
      <c r="B388" t="str">
        <f t="shared" si="20"/>
        <v/>
      </c>
      <c r="C388" s="23" t="str">
        <f t="shared" si="21"/>
        <v/>
      </c>
      <c r="E388" s="24" t="str">
        <f>IF(NOT(ISBLANK(G4copy!B388)),G4copy!B388,"")</f>
        <v/>
      </c>
      <c r="F388" s="24" t="str">
        <f>IF(E388&lt;&gt;"",G4copy!A388,"")</f>
        <v/>
      </c>
      <c r="G388" s="24" t="str">
        <f>IF(E388&lt;&gt;"",G4copy!F388,"")</f>
        <v/>
      </c>
    </row>
    <row r="389" spans="1:7" ht="15.75" customHeight="1">
      <c r="A389" s="23" t="str">
        <f t="shared" si="19"/>
        <v/>
      </c>
      <c r="B389" t="str">
        <f t="shared" si="20"/>
        <v/>
      </c>
      <c r="C389" s="23" t="str">
        <f t="shared" si="21"/>
        <v/>
      </c>
      <c r="E389" s="24" t="str">
        <f>IF(NOT(ISBLANK(G4copy!B389)),G4copy!B389,"")</f>
        <v/>
      </c>
      <c r="F389" s="24" t="str">
        <f>IF(E389&lt;&gt;"",G4copy!A389,"")</f>
        <v/>
      </c>
      <c r="G389" s="24" t="str">
        <f>IF(E389&lt;&gt;"",G4copy!F389,"")</f>
        <v/>
      </c>
    </row>
    <row r="390" spans="1:7" ht="15.75" customHeight="1">
      <c r="A390" s="23" t="str">
        <f t="shared" si="19"/>
        <v/>
      </c>
      <c r="B390" t="str">
        <f t="shared" si="20"/>
        <v/>
      </c>
      <c r="C390" s="23" t="str">
        <f t="shared" si="21"/>
        <v/>
      </c>
      <c r="E390" s="24" t="str">
        <f>IF(NOT(ISBLANK(G4copy!B390)),G4copy!B390,"")</f>
        <v/>
      </c>
      <c r="F390" s="24" t="str">
        <f>IF(E390&lt;&gt;"",G4copy!A390,"")</f>
        <v/>
      </c>
      <c r="G390" s="24" t="str">
        <f>IF(E390&lt;&gt;"",G4copy!F390,"")</f>
        <v/>
      </c>
    </row>
    <row r="391" spans="1:7" ht="15.75" customHeight="1">
      <c r="A391" s="23" t="str">
        <f t="shared" si="19"/>
        <v/>
      </c>
      <c r="B391" t="str">
        <f t="shared" si="20"/>
        <v/>
      </c>
      <c r="C391" s="23" t="str">
        <f t="shared" si="21"/>
        <v/>
      </c>
      <c r="E391" s="24" t="str">
        <f>IF(NOT(ISBLANK(G4copy!B391)),G4copy!B391,"")</f>
        <v/>
      </c>
      <c r="F391" s="24" t="str">
        <f>IF(E391&lt;&gt;"",G4copy!A391,"")</f>
        <v/>
      </c>
      <c r="G391" s="24" t="str">
        <f>IF(E391&lt;&gt;"",G4copy!F391,"")</f>
        <v/>
      </c>
    </row>
    <row r="392" spans="1:7" ht="15.75" customHeight="1">
      <c r="A392" s="23" t="str">
        <f t="shared" si="19"/>
        <v/>
      </c>
      <c r="B392" t="str">
        <f t="shared" si="20"/>
        <v/>
      </c>
      <c r="C392" s="23" t="str">
        <f t="shared" si="21"/>
        <v/>
      </c>
      <c r="E392" s="24" t="str">
        <f>IF(NOT(ISBLANK(G4copy!B392)),G4copy!B392,"")</f>
        <v/>
      </c>
      <c r="F392" s="24" t="str">
        <f>IF(E392&lt;&gt;"",G4copy!A392,"")</f>
        <v/>
      </c>
      <c r="G392" s="24" t="str">
        <f>IF(E392&lt;&gt;"",G4copy!F392,"")</f>
        <v/>
      </c>
    </row>
    <row r="393" spans="1:7" ht="15.75" customHeight="1">
      <c r="A393" s="23" t="str">
        <f t="shared" si="19"/>
        <v/>
      </c>
      <c r="B393" t="str">
        <f t="shared" si="20"/>
        <v/>
      </c>
      <c r="C393" s="23" t="str">
        <f t="shared" si="21"/>
        <v/>
      </c>
      <c r="E393" s="24" t="str">
        <f>IF(NOT(ISBLANK(G4copy!B393)),G4copy!B393,"")</f>
        <v/>
      </c>
      <c r="F393" s="24" t="str">
        <f>IF(E393&lt;&gt;"",G4copy!A393,"")</f>
        <v/>
      </c>
      <c r="G393" s="24" t="str">
        <f>IF(E393&lt;&gt;"",G4copy!F393,"")</f>
        <v/>
      </c>
    </row>
    <row r="394" spans="1:7" ht="15.75" customHeight="1">
      <c r="A394" s="23" t="str">
        <f t="shared" si="19"/>
        <v/>
      </c>
      <c r="B394" t="str">
        <f t="shared" si="20"/>
        <v/>
      </c>
      <c r="C394" s="23" t="str">
        <f t="shared" si="21"/>
        <v/>
      </c>
      <c r="E394" s="24" t="str">
        <f>IF(NOT(ISBLANK(G4copy!B394)),G4copy!B394,"")</f>
        <v/>
      </c>
      <c r="F394" s="24" t="str">
        <f>IF(E394&lt;&gt;"",G4copy!A394,"")</f>
        <v/>
      </c>
      <c r="G394" s="24" t="str">
        <f>IF(E394&lt;&gt;"",G4copy!F394,"")</f>
        <v/>
      </c>
    </row>
    <row r="395" spans="1:7" ht="15.75" customHeight="1">
      <c r="A395" s="23" t="str">
        <f t="shared" si="19"/>
        <v/>
      </c>
      <c r="B395" t="str">
        <f t="shared" si="20"/>
        <v/>
      </c>
      <c r="C395" s="23" t="str">
        <f t="shared" si="21"/>
        <v/>
      </c>
      <c r="E395" s="24" t="str">
        <f>IF(NOT(ISBLANK(G4copy!B395)),G4copy!B395,"")</f>
        <v/>
      </c>
      <c r="F395" s="24" t="str">
        <f>IF(E395&lt;&gt;"",G4copy!A395,"")</f>
        <v/>
      </c>
      <c r="G395" s="24" t="str">
        <f>IF(E395&lt;&gt;"",G4copy!F395,"")</f>
        <v/>
      </c>
    </row>
    <row r="396" spans="1:7" ht="15.75" customHeight="1">
      <c r="A396" s="23" t="str">
        <f t="shared" si="19"/>
        <v/>
      </c>
      <c r="B396" t="str">
        <f t="shared" si="20"/>
        <v/>
      </c>
      <c r="C396" s="23" t="str">
        <f t="shared" si="21"/>
        <v/>
      </c>
      <c r="E396" s="24" t="str">
        <f>IF(NOT(ISBLANK(G4copy!B396)),G4copy!B396,"")</f>
        <v/>
      </c>
      <c r="F396" s="24" t="str">
        <f>IF(E396&lt;&gt;"",G4copy!A396,"")</f>
        <v/>
      </c>
      <c r="G396" s="24" t="str">
        <f>IF(E396&lt;&gt;"",G4copy!F396,"")</f>
        <v/>
      </c>
    </row>
    <row r="397" spans="1:7" ht="15.75" customHeight="1">
      <c r="A397" s="23" t="str">
        <f t="shared" si="19"/>
        <v/>
      </c>
      <c r="B397" t="str">
        <f t="shared" si="20"/>
        <v/>
      </c>
      <c r="C397" s="23" t="str">
        <f t="shared" si="21"/>
        <v/>
      </c>
      <c r="E397" s="24" t="str">
        <f>IF(NOT(ISBLANK(G4copy!B397)),G4copy!B397,"")</f>
        <v/>
      </c>
      <c r="F397" s="24" t="str">
        <f>IF(E397&lt;&gt;"",G4copy!A397,"")</f>
        <v/>
      </c>
      <c r="G397" s="24" t="str">
        <f>IF(E397&lt;&gt;"",G4copy!F397,"")</f>
        <v/>
      </c>
    </row>
    <row r="398" spans="1:7" ht="15.75" customHeight="1">
      <c r="A398" s="23" t="str">
        <f t="shared" si="19"/>
        <v/>
      </c>
      <c r="B398" t="str">
        <f t="shared" si="20"/>
        <v/>
      </c>
      <c r="C398" s="23" t="str">
        <f t="shared" si="21"/>
        <v/>
      </c>
      <c r="E398" s="24" t="str">
        <f>IF(NOT(ISBLANK(G4copy!B398)),G4copy!B398,"")</f>
        <v/>
      </c>
      <c r="F398" s="24" t="str">
        <f>IF(E398&lt;&gt;"",G4copy!A398,"")</f>
        <v/>
      </c>
      <c r="G398" s="24" t="str">
        <f>IF(E398&lt;&gt;"",G4copy!F398,"")</f>
        <v/>
      </c>
    </row>
    <row r="399" spans="1:7" ht="15.75" customHeight="1">
      <c r="A399" s="23" t="str">
        <f t="shared" si="19"/>
        <v/>
      </c>
      <c r="B399" t="str">
        <f t="shared" si="20"/>
        <v/>
      </c>
      <c r="C399" s="23" t="str">
        <f t="shared" si="21"/>
        <v/>
      </c>
      <c r="E399" s="24" t="str">
        <f>IF(NOT(ISBLANK(G4copy!B399)),G4copy!B399,"")</f>
        <v/>
      </c>
      <c r="F399" s="24" t="str">
        <f>IF(E399&lt;&gt;"",G4copy!A399,"")</f>
        <v/>
      </c>
      <c r="G399" s="24" t="str">
        <f>IF(E399&lt;&gt;"",G4copy!F399,"")</f>
        <v/>
      </c>
    </row>
    <row r="400" spans="1:7" ht="15.75" customHeight="1">
      <c r="A400" s="23" t="str">
        <f t="shared" si="19"/>
        <v/>
      </c>
      <c r="B400" t="str">
        <f t="shared" si="20"/>
        <v/>
      </c>
      <c r="C400" s="23" t="str">
        <f t="shared" si="21"/>
        <v/>
      </c>
      <c r="E400" s="24" t="str">
        <f>IF(NOT(ISBLANK(G4copy!B400)),G4copy!B400,"")</f>
        <v/>
      </c>
      <c r="F400" s="24" t="str">
        <f>IF(E400&lt;&gt;"",G4copy!A400,"")</f>
        <v/>
      </c>
      <c r="G400" s="24" t="str">
        <f>IF(E400&lt;&gt;"",G4copy!F400,"")</f>
        <v/>
      </c>
    </row>
    <row r="401" spans="1:7" ht="15.75" customHeight="1">
      <c r="A401" s="23" t="str">
        <f t="shared" si="19"/>
        <v/>
      </c>
      <c r="B401" t="str">
        <f t="shared" si="20"/>
        <v/>
      </c>
      <c r="C401" s="23" t="str">
        <f t="shared" si="21"/>
        <v/>
      </c>
      <c r="E401" s="24" t="str">
        <f>IF(NOT(ISBLANK(G4copy!B401)),G4copy!B401,"")</f>
        <v/>
      </c>
      <c r="F401" s="24" t="str">
        <f>IF(E401&lt;&gt;"",G4copy!A401,"")</f>
        <v/>
      </c>
      <c r="G401" s="24" t="str">
        <f>IF(E401&lt;&gt;"",G4copy!F401,"")</f>
        <v/>
      </c>
    </row>
    <row r="402" spans="1:7" ht="15.75" customHeight="1">
      <c r="A402" s="23" t="str">
        <f t="shared" si="19"/>
        <v/>
      </c>
      <c r="B402" t="str">
        <f t="shared" si="20"/>
        <v/>
      </c>
      <c r="C402" s="23" t="str">
        <f t="shared" si="21"/>
        <v/>
      </c>
      <c r="E402" s="24" t="str">
        <f>IF(NOT(ISBLANK(G4copy!B402)),G4copy!B402,"")</f>
        <v/>
      </c>
      <c r="F402" s="24" t="str">
        <f>IF(E402&lt;&gt;"",G4copy!A402,"")</f>
        <v/>
      </c>
      <c r="G402" s="24" t="str">
        <f>IF(E402&lt;&gt;"",G4copy!F402,"")</f>
        <v/>
      </c>
    </row>
    <row r="403" spans="1:7" ht="15.75" customHeight="1">
      <c r="A403" s="23" t="str">
        <f t="shared" si="19"/>
        <v/>
      </c>
      <c r="B403" t="str">
        <f t="shared" si="20"/>
        <v/>
      </c>
      <c r="C403" s="23" t="str">
        <f t="shared" si="21"/>
        <v/>
      </c>
      <c r="E403" s="24" t="str">
        <f>IF(NOT(ISBLANK(G4copy!B403)),G4copy!B403,"")</f>
        <v/>
      </c>
      <c r="F403" s="24" t="str">
        <f>IF(E403&lt;&gt;"",G4copy!A403,"")</f>
        <v/>
      </c>
      <c r="G403" s="24" t="str">
        <f>IF(E403&lt;&gt;"",G4copy!F403,"")</f>
        <v/>
      </c>
    </row>
    <row r="404" spans="1:7" ht="15.75" customHeight="1">
      <c r="A404" s="23" t="str">
        <f t="shared" si="19"/>
        <v/>
      </c>
      <c r="B404" t="str">
        <f t="shared" si="20"/>
        <v/>
      </c>
      <c r="C404" s="23" t="str">
        <f t="shared" si="21"/>
        <v/>
      </c>
      <c r="E404" s="24" t="str">
        <f>IF(NOT(ISBLANK(G4copy!B404)),G4copy!B404,"")</f>
        <v/>
      </c>
      <c r="F404" s="24" t="str">
        <f>IF(E404&lt;&gt;"",G4copy!A404,"")</f>
        <v/>
      </c>
      <c r="G404" s="24" t="str">
        <f>IF(E404&lt;&gt;"",G4copy!F404,"")</f>
        <v/>
      </c>
    </row>
    <row r="405" spans="1:7" ht="15.75" customHeight="1">
      <c r="A405" s="23" t="str">
        <f t="shared" si="19"/>
        <v/>
      </c>
      <c r="B405" t="str">
        <f t="shared" si="20"/>
        <v/>
      </c>
      <c r="C405" s="23" t="str">
        <f t="shared" si="21"/>
        <v/>
      </c>
      <c r="E405" s="24" t="str">
        <f>IF(NOT(ISBLANK(G4copy!B405)),G4copy!B405,"")</f>
        <v/>
      </c>
      <c r="F405" s="24" t="str">
        <f>IF(E405&lt;&gt;"",G4copy!A405,"")</f>
        <v/>
      </c>
      <c r="G405" s="24" t="str">
        <f>IF(E405&lt;&gt;"",G4copy!F405,"")</f>
        <v/>
      </c>
    </row>
    <row r="406" spans="1:7" ht="15.75" customHeight="1">
      <c r="A406" s="23" t="str">
        <f t="shared" si="19"/>
        <v/>
      </c>
      <c r="B406" t="str">
        <f t="shared" si="20"/>
        <v/>
      </c>
      <c r="C406" s="23" t="str">
        <f t="shared" si="21"/>
        <v/>
      </c>
      <c r="E406" s="24" t="str">
        <f>IF(NOT(ISBLANK(G4copy!B406)),G4copy!B406,"")</f>
        <v/>
      </c>
      <c r="F406" s="24" t="str">
        <f>IF(E406&lt;&gt;"",G4copy!A406,"")</f>
        <v/>
      </c>
      <c r="G406" s="24" t="str">
        <f>IF(E406&lt;&gt;"",G4copy!F406,"")</f>
        <v/>
      </c>
    </row>
    <row r="407" spans="1:7" ht="15.75" customHeight="1">
      <c r="A407" s="23" t="str">
        <f t="shared" si="19"/>
        <v/>
      </c>
      <c r="B407" t="str">
        <f t="shared" si="20"/>
        <v/>
      </c>
      <c r="C407" s="23" t="str">
        <f t="shared" si="21"/>
        <v/>
      </c>
      <c r="E407" s="24" t="str">
        <f>IF(NOT(ISBLANK(G4copy!B407)),G4copy!B407,"")</f>
        <v/>
      </c>
      <c r="F407" s="24" t="str">
        <f>IF(E407&lt;&gt;"",G4copy!A407,"")</f>
        <v/>
      </c>
      <c r="G407" s="24" t="str">
        <f>IF(E407&lt;&gt;"",G4copy!F407,"")</f>
        <v/>
      </c>
    </row>
    <row r="408" spans="1:7" ht="15.75" customHeight="1">
      <c r="A408" s="23" t="str">
        <f t="shared" si="19"/>
        <v/>
      </c>
      <c r="B408" t="str">
        <f t="shared" si="20"/>
        <v/>
      </c>
      <c r="C408" s="23" t="str">
        <f t="shared" si="21"/>
        <v/>
      </c>
      <c r="E408" s="24" t="str">
        <f>IF(NOT(ISBLANK(G4copy!B408)),G4copy!B408,"")</f>
        <v/>
      </c>
      <c r="F408" s="24" t="str">
        <f>IF(E408&lt;&gt;"",G4copy!A408,"")</f>
        <v/>
      </c>
      <c r="G408" s="24" t="str">
        <f>IF(E408&lt;&gt;"",G4copy!F408,"")</f>
        <v/>
      </c>
    </row>
    <row r="409" spans="1:7" ht="15.75" customHeight="1">
      <c r="A409" s="23" t="str">
        <f t="shared" si="19"/>
        <v/>
      </c>
      <c r="B409" t="str">
        <f t="shared" si="20"/>
        <v/>
      </c>
      <c r="C409" s="23" t="str">
        <f t="shared" si="21"/>
        <v/>
      </c>
      <c r="E409" s="24" t="str">
        <f>IF(NOT(ISBLANK(G4copy!B409)),G4copy!B409,"")</f>
        <v/>
      </c>
      <c r="F409" s="24" t="str">
        <f>IF(E409&lt;&gt;"",G4copy!A409,"")</f>
        <v/>
      </c>
      <c r="G409" s="24" t="str">
        <f>IF(E409&lt;&gt;"",G4copy!F409,"")</f>
        <v/>
      </c>
    </row>
    <row r="410" spans="1:7" ht="15.75" customHeight="1">
      <c r="A410" s="23" t="str">
        <f t="shared" si="19"/>
        <v/>
      </c>
      <c r="B410" t="str">
        <f t="shared" si="20"/>
        <v/>
      </c>
      <c r="C410" s="23" t="str">
        <f t="shared" si="21"/>
        <v/>
      </c>
      <c r="E410" s="24" t="str">
        <f>IF(NOT(ISBLANK(G4copy!B410)),G4copy!B410,"")</f>
        <v/>
      </c>
      <c r="F410" s="24" t="str">
        <f>IF(E410&lt;&gt;"",G4copy!A410,"")</f>
        <v/>
      </c>
      <c r="G410" s="24" t="str">
        <f>IF(E410&lt;&gt;"",G4copy!F410,"")</f>
        <v/>
      </c>
    </row>
    <row r="411" spans="1:7" ht="15.75" customHeight="1">
      <c r="A411" s="23" t="str">
        <f t="shared" si="19"/>
        <v/>
      </c>
      <c r="B411" t="str">
        <f t="shared" si="20"/>
        <v/>
      </c>
      <c r="C411" s="23" t="str">
        <f t="shared" si="21"/>
        <v/>
      </c>
      <c r="E411" s="24" t="str">
        <f>IF(NOT(ISBLANK(G4copy!B411)),G4copy!B411,"")</f>
        <v/>
      </c>
      <c r="F411" s="24" t="str">
        <f>IF(E411&lt;&gt;"",G4copy!A411,"")</f>
        <v/>
      </c>
      <c r="G411" s="24" t="str">
        <f>IF(E411&lt;&gt;"",G4copy!F411,"")</f>
        <v/>
      </c>
    </row>
    <row r="412" spans="1:7" ht="15.75" customHeight="1">
      <c r="A412" s="23" t="str">
        <f t="shared" si="19"/>
        <v/>
      </c>
      <c r="B412" t="str">
        <f t="shared" si="20"/>
        <v/>
      </c>
      <c r="C412" s="23" t="str">
        <f t="shared" si="21"/>
        <v/>
      </c>
      <c r="E412" s="24" t="str">
        <f>IF(NOT(ISBLANK(G4copy!B412)),G4copy!B412,"")</f>
        <v/>
      </c>
      <c r="F412" s="24" t="str">
        <f>IF(E412&lt;&gt;"",G4copy!A412,"")</f>
        <v/>
      </c>
      <c r="G412" s="24" t="str">
        <f>IF(E412&lt;&gt;"",G4copy!F412,"")</f>
        <v/>
      </c>
    </row>
    <row r="413" spans="1:7" ht="15.75" customHeight="1">
      <c r="A413" s="23" t="str">
        <f t="shared" si="19"/>
        <v/>
      </c>
      <c r="B413" t="str">
        <f t="shared" si="20"/>
        <v/>
      </c>
      <c r="C413" s="23" t="str">
        <f t="shared" si="21"/>
        <v/>
      </c>
      <c r="E413" s="24" t="str">
        <f>IF(NOT(ISBLANK(G4copy!B413)),G4copy!B413,"")</f>
        <v/>
      </c>
      <c r="F413" s="24" t="str">
        <f>IF(E413&lt;&gt;"",G4copy!A413,"")</f>
        <v/>
      </c>
      <c r="G413" s="24" t="str">
        <f>IF(E413&lt;&gt;"",G4copy!F413,"")</f>
        <v/>
      </c>
    </row>
    <row r="414" spans="1:7" ht="15.75" customHeight="1">
      <c r="A414" s="23" t="str">
        <f t="shared" si="19"/>
        <v/>
      </c>
      <c r="B414" t="str">
        <f t="shared" si="20"/>
        <v/>
      </c>
      <c r="C414" s="23" t="str">
        <f t="shared" si="21"/>
        <v/>
      </c>
      <c r="E414" s="24" t="str">
        <f>IF(NOT(ISBLANK(G4copy!B414)),G4copy!B414,"")</f>
        <v/>
      </c>
      <c r="F414" s="24" t="str">
        <f>IF(E414&lt;&gt;"",G4copy!A414,"")</f>
        <v/>
      </c>
      <c r="G414" s="24" t="str">
        <f>IF(E414&lt;&gt;"",G4copy!F414,"")</f>
        <v/>
      </c>
    </row>
    <row r="415" spans="1:7" ht="15.75" customHeight="1">
      <c r="A415" s="23" t="str">
        <f t="shared" si="19"/>
        <v/>
      </c>
      <c r="B415" t="str">
        <f t="shared" si="20"/>
        <v/>
      </c>
      <c r="C415" s="23" t="str">
        <f t="shared" si="21"/>
        <v/>
      </c>
      <c r="E415" s="24" t="str">
        <f>IF(NOT(ISBLANK(G4copy!B415)),G4copy!B415,"")</f>
        <v/>
      </c>
      <c r="F415" s="24" t="str">
        <f>IF(E415&lt;&gt;"",G4copy!A415,"")</f>
        <v/>
      </c>
      <c r="G415" s="24" t="str">
        <f>IF(E415&lt;&gt;"",G4copy!F415,"")</f>
        <v/>
      </c>
    </row>
    <row r="416" spans="1:7" ht="15.75" customHeight="1">
      <c r="A416" s="23" t="str">
        <f t="shared" si="19"/>
        <v/>
      </c>
      <c r="B416" t="str">
        <f t="shared" si="20"/>
        <v/>
      </c>
      <c r="C416" s="23" t="str">
        <f t="shared" si="21"/>
        <v/>
      </c>
      <c r="E416" s="24" t="str">
        <f>IF(NOT(ISBLANK(G4copy!B416)),G4copy!B416,"")</f>
        <v/>
      </c>
      <c r="F416" s="24" t="str">
        <f>IF(E416&lt;&gt;"",G4copy!A416,"")</f>
        <v/>
      </c>
      <c r="G416" s="24" t="str">
        <f>IF(E416&lt;&gt;"",G4copy!F416,"")</f>
        <v/>
      </c>
    </row>
    <row r="417" spans="1:7" ht="15.75" customHeight="1">
      <c r="A417" s="23" t="str">
        <f t="shared" si="19"/>
        <v/>
      </c>
      <c r="B417" t="str">
        <f t="shared" si="20"/>
        <v/>
      </c>
      <c r="C417" s="23" t="str">
        <f t="shared" si="21"/>
        <v/>
      </c>
      <c r="E417" s="24" t="str">
        <f>IF(NOT(ISBLANK(G4copy!B417)),G4copy!B417,"")</f>
        <v/>
      </c>
      <c r="F417" s="24" t="str">
        <f>IF(E417&lt;&gt;"",G4copy!A417,"")</f>
        <v/>
      </c>
      <c r="G417" s="24" t="str">
        <f>IF(E417&lt;&gt;"",G4copy!F417,"")</f>
        <v/>
      </c>
    </row>
    <row r="418" spans="1:7" ht="15.75" customHeight="1">
      <c r="A418" s="23" t="str">
        <f t="shared" si="19"/>
        <v/>
      </c>
      <c r="B418" t="str">
        <f t="shared" si="20"/>
        <v/>
      </c>
      <c r="C418" s="23" t="str">
        <f t="shared" si="21"/>
        <v/>
      </c>
      <c r="E418" s="24" t="str">
        <f>IF(NOT(ISBLANK(G4copy!B418)),G4copy!B418,"")</f>
        <v/>
      </c>
      <c r="F418" s="24" t="str">
        <f>IF(E418&lt;&gt;"",G4copy!A418,"")</f>
        <v/>
      </c>
      <c r="G418" s="24" t="str">
        <f>IF(E418&lt;&gt;"",G4copy!F418,"")</f>
        <v/>
      </c>
    </row>
    <row r="419" spans="1:7" ht="15.75" customHeight="1">
      <c r="A419" s="23" t="str">
        <f t="shared" si="19"/>
        <v/>
      </c>
      <c r="B419" t="str">
        <f t="shared" si="20"/>
        <v/>
      </c>
      <c r="C419" s="23" t="str">
        <f t="shared" si="21"/>
        <v/>
      </c>
      <c r="E419" s="24" t="str">
        <f>IF(NOT(ISBLANK(G4copy!B419)),G4copy!B419,"")</f>
        <v/>
      </c>
      <c r="F419" s="24" t="str">
        <f>IF(E419&lt;&gt;"",G4copy!A419,"")</f>
        <v/>
      </c>
      <c r="G419" s="24" t="str">
        <f>IF(E419&lt;&gt;"",G4copy!F419,"")</f>
        <v/>
      </c>
    </row>
    <row r="420" spans="1:7" ht="15.75" customHeight="1">
      <c r="A420" s="23" t="str">
        <f t="shared" si="19"/>
        <v/>
      </c>
      <c r="B420" t="str">
        <f t="shared" si="20"/>
        <v/>
      </c>
      <c r="C420" s="23" t="str">
        <f t="shared" si="21"/>
        <v/>
      </c>
      <c r="E420" s="24" t="str">
        <f>IF(NOT(ISBLANK(G4copy!B420)),G4copy!B420,"")</f>
        <v/>
      </c>
      <c r="F420" s="24" t="str">
        <f>IF(E420&lt;&gt;"",G4copy!A420,"")</f>
        <v/>
      </c>
      <c r="G420" s="24" t="str">
        <f>IF(E420&lt;&gt;"",G4copy!F420,"")</f>
        <v/>
      </c>
    </row>
    <row r="421" spans="1:7" ht="15.75" customHeight="1">
      <c r="A421" s="23" t="str">
        <f t="shared" si="19"/>
        <v/>
      </c>
      <c r="B421" t="str">
        <f t="shared" si="20"/>
        <v/>
      </c>
      <c r="C421" s="23" t="str">
        <f t="shared" si="21"/>
        <v/>
      </c>
      <c r="E421" s="24" t="str">
        <f>IF(NOT(ISBLANK(G4copy!B421)),G4copy!B421,"")</f>
        <v/>
      </c>
      <c r="F421" s="24" t="str">
        <f>IF(E421&lt;&gt;"",G4copy!A421,"")</f>
        <v/>
      </c>
      <c r="G421" s="24" t="str">
        <f>IF(E421&lt;&gt;"",G4copy!F421,"")</f>
        <v/>
      </c>
    </row>
    <row r="422" spans="1:7" ht="15.75" customHeight="1">
      <c r="A422" s="23" t="str">
        <f t="shared" si="19"/>
        <v/>
      </c>
      <c r="B422" t="str">
        <f t="shared" si="20"/>
        <v/>
      </c>
      <c r="C422" s="23" t="str">
        <f t="shared" si="21"/>
        <v/>
      </c>
      <c r="E422" s="24" t="str">
        <f>IF(NOT(ISBLANK(G4copy!B422)),G4copy!B422,"")</f>
        <v/>
      </c>
      <c r="F422" s="24" t="str">
        <f>IF(E422&lt;&gt;"",G4copy!A422,"")</f>
        <v/>
      </c>
      <c r="G422" s="24" t="str">
        <f>IF(E422&lt;&gt;"",G4copy!F422,"")</f>
        <v/>
      </c>
    </row>
    <row r="423" spans="1:7" ht="15.75" customHeight="1">
      <c r="A423" s="23" t="str">
        <f t="shared" si="19"/>
        <v/>
      </c>
      <c r="B423" t="str">
        <f t="shared" si="20"/>
        <v/>
      </c>
      <c r="C423" s="23" t="str">
        <f t="shared" si="21"/>
        <v/>
      </c>
      <c r="E423" s="24" t="str">
        <f>IF(NOT(ISBLANK(G4copy!B423)),G4copy!B423,"")</f>
        <v/>
      </c>
      <c r="F423" s="24" t="str">
        <f>IF(E423&lt;&gt;"",G4copy!A423,"")</f>
        <v/>
      </c>
      <c r="G423" s="24" t="str">
        <f>IF(E423&lt;&gt;"",G4copy!F423,"")</f>
        <v/>
      </c>
    </row>
    <row r="424" spans="1:7" ht="15.75" customHeight="1">
      <c r="A424" s="23" t="str">
        <f t="shared" si="19"/>
        <v/>
      </c>
      <c r="B424" t="str">
        <f t="shared" si="20"/>
        <v/>
      </c>
      <c r="C424" s="23" t="str">
        <f t="shared" si="21"/>
        <v/>
      </c>
      <c r="E424" s="24" t="str">
        <f>IF(NOT(ISBLANK(G4copy!B424)),G4copy!B424,"")</f>
        <v/>
      </c>
      <c r="F424" s="24" t="str">
        <f>IF(E424&lt;&gt;"",G4copy!A424,"")</f>
        <v/>
      </c>
      <c r="G424" s="24" t="str">
        <f>IF(E424&lt;&gt;"",G4copy!F424,"")</f>
        <v/>
      </c>
    </row>
    <row r="425" spans="1:7" ht="15.75" customHeight="1">
      <c r="A425" s="23" t="str">
        <f t="shared" si="19"/>
        <v/>
      </c>
      <c r="B425" t="str">
        <f t="shared" si="20"/>
        <v/>
      </c>
      <c r="C425" s="23" t="str">
        <f t="shared" si="21"/>
        <v/>
      </c>
      <c r="E425" s="24" t="str">
        <f>IF(NOT(ISBLANK(G4copy!B425)),G4copy!B425,"")</f>
        <v/>
      </c>
      <c r="F425" s="24" t="str">
        <f>IF(E425&lt;&gt;"",G4copy!A425,"")</f>
        <v/>
      </c>
      <c r="G425" s="24" t="str">
        <f>IF(E425&lt;&gt;"",G4copy!F425,"")</f>
        <v/>
      </c>
    </row>
    <row r="426" spans="1:7" ht="15.75" customHeight="1">
      <c r="A426" s="23" t="str">
        <f t="shared" si="19"/>
        <v/>
      </c>
      <c r="B426" t="str">
        <f t="shared" si="20"/>
        <v/>
      </c>
      <c r="C426" s="23" t="str">
        <f t="shared" si="21"/>
        <v/>
      </c>
      <c r="E426" s="24" t="str">
        <f>IF(NOT(ISBLANK(G4copy!B426)),G4copy!B426,"")</f>
        <v/>
      </c>
      <c r="F426" s="24" t="str">
        <f>IF(E426&lt;&gt;"",G4copy!A426,"")</f>
        <v/>
      </c>
      <c r="G426" s="24" t="str">
        <f>IF(E426&lt;&gt;"",G4copy!F426,"")</f>
        <v/>
      </c>
    </row>
    <row r="427" spans="1:7" ht="15.75" customHeight="1">
      <c r="A427" s="23" t="str">
        <f t="shared" si="19"/>
        <v/>
      </c>
      <c r="B427" t="str">
        <f t="shared" si="20"/>
        <v/>
      </c>
      <c r="C427" s="23" t="str">
        <f t="shared" si="21"/>
        <v/>
      </c>
      <c r="E427" s="24" t="str">
        <f>IF(NOT(ISBLANK(G4copy!B427)),G4copy!B427,"")</f>
        <v/>
      </c>
      <c r="F427" s="24" t="str">
        <f>IF(E427&lt;&gt;"",G4copy!A427,"")</f>
        <v/>
      </c>
      <c r="G427" s="24" t="str">
        <f>IF(E427&lt;&gt;"",G4copy!F427,"")</f>
        <v/>
      </c>
    </row>
    <row r="428" spans="1:7" ht="15.75" customHeight="1">
      <c r="A428" s="23" t="str">
        <f t="shared" si="19"/>
        <v/>
      </c>
      <c r="B428" t="str">
        <f t="shared" si="20"/>
        <v/>
      </c>
      <c r="C428" s="23" t="str">
        <f t="shared" si="21"/>
        <v/>
      </c>
      <c r="E428" s="24" t="str">
        <f>IF(NOT(ISBLANK(G4copy!B428)),G4copy!B428,"")</f>
        <v/>
      </c>
      <c r="F428" s="24" t="str">
        <f>IF(E428&lt;&gt;"",G4copy!A428,"")</f>
        <v/>
      </c>
      <c r="G428" s="24" t="str">
        <f>IF(E428&lt;&gt;"",G4copy!F428,"")</f>
        <v/>
      </c>
    </row>
    <row r="429" spans="1:7" ht="15.75" customHeight="1">
      <c r="A429" s="23" t="str">
        <f t="shared" si="19"/>
        <v/>
      </c>
      <c r="B429" t="str">
        <f t="shared" si="20"/>
        <v/>
      </c>
      <c r="C429" s="23" t="str">
        <f t="shared" si="21"/>
        <v/>
      </c>
      <c r="E429" s="24" t="str">
        <f>IF(NOT(ISBLANK(G4copy!B429)),G4copy!B429,"")</f>
        <v/>
      </c>
      <c r="F429" s="24" t="str">
        <f>IF(E429&lt;&gt;"",G4copy!A429,"")</f>
        <v/>
      </c>
      <c r="G429" s="24" t="str">
        <f>IF(E429&lt;&gt;"",G4copy!F429,"")</f>
        <v/>
      </c>
    </row>
    <row r="430" spans="1:7" ht="15.75" customHeight="1">
      <c r="A430" s="23" t="str">
        <f t="shared" si="19"/>
        <v/>
      </c>
      <c r="B430" t="str">
        <f t="shared" si="20"/>
        <v/>
      </c>
      <c r="C430" s="23" t="str">
        <f t="shared" si="21"/>
        <v/>
      </c>
      <c r="E430" s="24" t="str">
        <f>IF(NOT(ISBLANK(G4copy!B430)),G4copy!B430,"")</f>
        <v/>
      </c>
      <c r="F430" s="24" t="str">
        <f>IF(E430&lt;&gt;"",G4copy!A430,"")</f>
        <v/>
      </c>
      <c r="G430" s="24" t="str">
        <f>IF(E430&lt;&gt;"",G4copy!F430,"")</f>
        <v/>
      </c>
    </row>
    <row r="431" spans="1:7" ht="15.75" customHeight="1">
      <c r="A431" s="23" t="str">
        <f t="shared" si="19"/>
        <v/>
      </c>
      <c r="B431" t="str">
        <f t="shared" si="20"/>
        <v/>
      </c>
      <c r="C431" s="23" t="str">
        <f t="shared" si="21"/>
        <v/>
      </c>
      <c r="E431" s="24" t="str">
        <f>IF(NOT(ISBLANK(G4copy!B431)),G4copy!B431,"")</f>
        <v/>
      </c>
      <c r="F431" s="24" t="str">
        <f>IF(E431&lt;&gt;"",G4copy!A431,"")</f>
        <v/>
      </c>
      <c r="G431" s="24" t="str">
        <f>IF(E431&lt;&gt;"",G4copy!F431,"")</f>
        <v/>
      </c>
    </row>
    <row r="432" spans="1:7" ht="15.75" customHeight="1">
      <c r="A432" s="23" t="str">
        <f t="shared" si="19"/>
        <v/>
      </c>
      <c r="B432" t="str">
        <f t="shared" si="20"/>
        <v/>
      </c>
      <c r="C432" s="23" t="str">
        <f t="shared" si="21"/>
        <v/>
      </c>
      <c r="E432" s="24" t="str">
        <f>IF(NOT(ISBLANK(G4copy!B432)),G4copy!B432,"")</f>
        <v/>
      </c>
      <c r="F432" s="24" t="str">
        <f>IF(E432&lt;&gt;"",G4copy!A432,"")</f>
        <v/>
      </c>
      <c r="G432" s="24" t="str">
        <f>IF(E432&lt;&gt;"",G4copy!F432,"")</f>
        <v/>
      </c>
    </row>
    <row r="433" spans="1:7" ht="15.75" customHeight="1">
      <c r="A433" s="23" t="str">
        <f t="shared" si="19"/>
        <v/>
      </c>
      <c r="B433" t="str">
        <f t="shared" si="20"/>
        <v/>
      </c>
      <c r="C433" s="23" t="str">
        <f t="shared" si="21"/>
        <v/>
      </c>
      <c r="E433" s="24" t="str">
        <f>IF(NOT(ISBLANK(G4copy!B433)),G4copy!B433,"")</f>
        <v/>
      </c>
      <c r="F433" s="24" t="str">
        <f>IF(E433&lt;&gt;"",G4copy!A433,"")</f>
        <v/>
      </c>
      <c r="G433" s="24" t="str">
        <f>IF(E433&lt;&gt;"",G4copy!F433,"")</f>
        <v/>
      </c>
    </row>
    <row r="434" spans="1:7" ht="15.75" customHeight="1">
      <c r="A434" s="23" t="str">
        <f t="shared" si="19"/>
        <v/>
      </c>
      <c r="B434" t="str">
        <f t="shared" si="20"/>
        <v/>
      </c>
      <c r="C434" s="23" t="str">
        <f t="shared" si="21"/>
        <v/>
      </c>
      <c r="E434" s="24" t="str">
        <f>IF(NOT(ISBLANK(G4copy!B434)),G4copy!B434,"")</f>
        <v/>
      </c>
      <c r="F434" s="24" t="str">
        <f>IF(E434&lt;&gt;"",G4copy!A434,"")</f>
        <v/>
      </c>
      <c r="G434" s="24" t="str">
        <f>IF(E434&lt;&gt;"",G4copy!F434,"")</f>
        <v/>
      </c>
    </row>
    <row r="435" spans="1:7" ht="15.75" customHeight="1">
      <c r="A435" s="23" t="str">
        <f t="shared" si="19"/>
        <v/>
      </c>
      <c r="B435" t="str">
        <f t="shared" si="20"/>
        <v/>
      </c>
      <c r="C435" s="23" t="str">
        <f t="shared" si="21"/>
        <v/>
      </c>
      <c r="E435" s="24" t="str">
        <f>IF(NOT(ISBLANK(G4copy!B435)),G4copy!B435,"")</f>
        <v/>
      </c>
      <c r="F435" s="24" t="str">
        <f>IF(E435&lt;&gt;"",G4copy!A435,"")</f>
        <v/>
      </c>
      <c r="G435" s="24" t="str">
        <f>IF(E435&lt;&gt;"",G4copy!F435,"")</f>
        <v/>
      </c>
    </row>
    <row r="436" spans="1:7" ht="15.75" customHeight="1">
      <c r="A436" s="23" t="str">
        <f t="shared" si="19"/>
        <v/>
      </c>
      <c r="B436" t="str">
        <f t="shared" si="20"/>
        <v/>
      </c>
      <c r="C436" s="23" t="str">
        <f t="shared" si="21"/>
        <v/>
      </c>
      <c r="E436" s="24" t="str">
        <f>IF(NOT(ISBLANK(G4copy!B436)),G4copy!B436,"")</f>
        <v/>
      </c>
      <c r="F436" s="24" t="str">
        <f>IF(E436&lt;&gt;"",G4copy!A436,"")</f>
        <v/>
      </c>
      <c r="G436" s="24" t="str">
        <f>IF(E436&lt;&gt;"",G4copy!F436,"")</f>
        <v/>
      </c>
    </row>
    <row r="437" spans="1:7" ht="15.75" customHeight="1">
      <c r="A437" s="23" t="str">
        <f t="shared" si="19"/>
        <v/>
      </c>
      <c r="B437" t="str">
        <f t="shared" si="20"/>
        <v/>
      </c>
      <c r="C437" s="23" t="str">
        <f t="shared" si="21"/>
        <v/>
      </c>
      <c r="E437" s="24" t="str">
        <f>IF(NOT(ISBLANK(G4copy!B437)),G4copy!B437,"")</f>
        <v/>
      </c>
      <c r="F437" s="24" t="str">
        <f>IF(E437&lt;&gt;"",G4copy!A437,"")</f>
        <v/>
      </c>
      <c r="G437" s="24" t="str">
        <f>IF(E437&lt;&gt;"",G4copy!F437,"")</f>
        <v/>
      </c>
    </row>
    <row r="438" spans="1:7" ht="15.75" customHeight="1">
      <c r="A438" s="23" t="str">
        <f t="shared" si="19"/>
        <v/>
      </c>
      <c r="B438" t="str">
        <f t="shared" si="20"/>
        <v/>
      </c>
      <c r="C438" s="23" t="str">
        <f t="shared" si="21"/>
        <v/>
      </c>
      <c r="E438" s="24" t="str">
        <f>IF(NOT(ISBLANK(G4copy!B438)),G4copy!B438,"")</f>
        <v/>
      </c>
      <c r="F438" s="24" t="str">
        <f>IF(E438&lt;&gt;"",G4copy!A438,"")</f>
        <v/>
      </c>
      <c r="G438" s="24" t="str">
        <f>IF(E438&lt;&gt;"",G4copy!F438,"")</f>
        <v/>
      </c>
    </row>
    <row r="439" spans="1:7" ht="15.75" customHeight="1">
      <c r="A439" s="23" t="str">
        <f t="shared" si="19"/>
        <v/>
      </c>
      <c r="B439" t="str">
        <f t="shared" si="20"/>
        <v/>
      </c>
      <c r="C439" s="23" t="str">
        <f t="shared" si="21"/>
        <v/>
      </c>
      <c r="E439" s="24" t="str">
        <f>IF(NOT(ISBLANK(G4copy!B439)),G4copy!B439,"")</f>
        <v/>
      </c>
      <c r="F439" s="24" t="str">
        <f>IF(E439&lt;&gt;"",G4copy!A439,"")</f>
        <v/>
      </c>
      <c r="G439" s="24" t="str">
        <f>IF(E439&lt;&gt;"",G4copy!F439,"")</f>
        <v/>
      </c>
    </row>
    <row r="440" spans="1:7" ht="15.75" customHeight="1">
      <c r="A440" s="23" t="str">
        <f t="shared" si="19"/>
        <v/>
      </c>
      <c r="B440" t="str">
        <f t="shared" si="20"/>
        <v/>
      </c>
      <c r="C440" s="23" t="str">
        <f t="shared" si="21"/>
        <v/>
      </c>
      <c r="E440" s="24" t="str">
        <f>IF(NOT(ISBLANK(G4copy!B440)),G4copy!B440,"")</f>
        <v/>
      </c>
      <c r="F440" s="24" t="str">
        <f>IF(E440&lt;&gt;"",G4copy!A440,"")</f>
        <v/>
      </c>
      <c r="G440" s="24" t="str">
        <f>IF(E440&lt;&gt;"",G4copy!F440,"")</f>
        <v/>
      </c>
    </row>
    <row r="441" spans="1:7" ht="15.75" customHeight="1">
      <c r="A441" s="23" t="str">
        <f t="shared" si="19"/>
        <v/>
      </c>
      <c r="B441" t="str">
        <f t="shared" si="20"/>
        <v/>
      </c>
      <c r="C441" s="23" t="str">
        <f t="shared" si="21"/>
        <v/>
      </c>
      <c r="E441" s="24" t="str">
        <f>IF(NOT(ISBLANK(G4copy!B441)),G4copy!B441,"")</f>
        <v/>
      </c>
      <c r="F441" s="24" t="str">
        <f>IF(E441&lt;&gt;"",G4copy!A441,"")</f>
        <v/>
      </c>
      <c r="G441" s="24" t="str">
        <f>IF(E441&lt;&gt;"",G4copy!F441,"")</f>
        <v/>
      </c>
    </row>
    <row r="442" spans="1:7" ht="15.75" customHeight="1">
      <c r="A442" s="23" t="str">
        <f t="shared" si="19"/>
        <v/>
      </c>
      <c r="B442" t="str">
        <f t="shared" si="20"/>
        <v/>
      </c>
      <c r="C442" s="23" t="str">
        <f t="shared" si="21"/>
        <v/>
      </c>
      <c r="E442" s="24" t="str">
        <f>IF(NOT(ISBLANK(G4copy!B442)),G4copy!B442,"")</f>
        <v/>
      </c>
      <c r="F442" s="24" t="str">
        <f>IF(E442&lt;&gt;"",G4copy!A442,"")</f>
        <v/>
      </c>
      <c r="G442" s="24" t="str">
        <f>IF(E442&lt;&gt;"",G4copy!F442,"")</f>
        <v/>
      </c>
    </row>
    <row r="443" spans="1:7" ht="15.75" customHeight="1">
      <c r="A443" s="23" t="str">
        <f t="shared" si="19"/>
        <v/>
      </c>
      <c r="B443" t="str">
        <f t="shared" si="20"/>
        <v/>
      </c>
      <c r="C443" s="23" t="str">
        <f t="shared" si="21"/>
        <v/>
      </c>
      <c r="E443" s="24" t="str">
        <f>IF(NOT(ISBLANK(G4copy!B443)),G4copy!B443,"")</f>
        <v/>
      </c>
      <c r="F443" s="24" t="str">
        <f>IF(E443&lt;&gt;"",G4copy!A443,"")</f>
        <v/>
      </c>
      <c r="G443" s="24" t="str">
        <f>IF(E443&lt;&gt;"",G4copy!F443,"")</f>
        <v/>
      </c>
    </row>
    <row r="444" spans="1:7" ht="15.75" customHeight="1">
      <c r="A444" s="23" t="str">
        <f t="shared" si="19"/>
        <v/>
      </c>
      <c r="B444" t="str">
        <f t="shared" si="20"/>
        <v/>
      </c>
      <c r="C444" s="23" t="str">
        <f t="shared" si="21"/>
        <v/>
      </c>
      <c r="E444" s="24" t="str">
        <f>IF(NOT(ISBLANK(G4copy!B444)),G4copy!B444,"")</f>
        <v/>
      </c>
      <c r="F444" s="24" t="str">
        <f>IF(E444&lt;&gt;"",G4copy!A444,"")</f>
        <v/>
      </c>
      <c r="G444" s="24" t="str">
        <f>IF(E444&lt;&gt;"",G4copy!F444,"")</f>
        <v/>
      </c>
    </row>
    <row r="445" spans="1:7" ht="15.75" customHeight="1">
      <c r="A445" s="23" t="str">
        <f t="shared" si="19"/>
        <v/>
      </c>
      <c r="B445" t="str">
        <f t="shared" si="20"/>
        <v/>
      </c>
      <c r="C445" s="23" t="str">
        <f t="shared" si="21"/>
        <v/>
      </c>
      <c r="E445" s="24" t="str">
        <f>IF(NOT(ISBLANK(G4copy!B445)),G4copy!B445,"")</f>
        <v/>
      </c>
      <c r="F445" s="24" t="str">
        <f>IF(E445&lt;&gt;"",G4copy!A445,"")</f>
        <v/>
      </c>
      <c r="G445" s="24" t="str">
        <f>IF(E445&lt;&gt;"",G4copy!F445,"")</f>
        <v/>
      </c>
    </row>
    <row r="446" spans="1:7" ht="15.75" customHeight="1">
      <c r="A446" s="23" t="str">
        <f t="shared" si="19"/>
        <v/>
      </c>
      <c r="B446" t="str">
        <f t="shared" si="20"/>
        <v/>
      </c>
      <c r="C446" s="23" t="str">
        <f t="shared" si="21"/>
        <v/>
      </c>
      <c r="E446" s="24" t="str">
        <f>IF(NOT(ISBLANK(G4copy!B446)),G4copy!B446,"")</f>
        <v/>
      </c>
      <c r="F446" s="24" t="str">
        <f>IF(E446&lt;&gt;"",G4copy!A446,"")</f>
        <v/>
      </c>
      <c r="G446" s="24" t="str">
        <f>IF(E446&lt;&gt;"",G4copy!F446,"")</f>
        <v/>
      </c>
    </row>
    <row r="447" spans="1:7" ht="15.75" customHeight="1">
      <c r="A447" s="23" t="str">
        <f t="shared" si="19"/>
        <v/>
      </c>
      <c r="B447" t="str">
        <f t="shared" si="20"/>
        <v/>
      </c>
      <c r="C447" s="23" t="str">
        <f t="shared" si="21"/>
        <v/>
      </c>
      <c r="E447" s="24" t="str">
        <f>IF(NOT(ISBLANK(G4copy!B447)),G4copy!B447,"")</f>
        <v/>
      </c>
      <c r="F447" s="24" t="str">
        <f>IF(E447&lt;&gt;"",G4copy!A447,"")</f>
        <v/>
      </c>
      <c r="G447" s="24" t="str">
        <f>IF(E447&lt;&gt;"",G4copy!F447,"")</f>
        <v/>
      </c>
    </row>
    <row r="448" spans="1:7" ht="15.75" customHeight="1">
      <c r="A448" s="23" t="str">
        <f t="shared" si="19"/>
        <v/>
      </c>
      <c r="B448" t="str">
        <f t="shared" si="20"/>
        <v/>
      </c>
      <c r="C448" s="23" t="str">
        <f t="shared" si="21"/>
        <v/>
      </c>
      <c r="E448" s="24" t="str">
        <f>IF(NOT(ISBLANK(G4copy!B448)),G4copy!B448,"")</f>
        <v/>
      </c>
      <c r="F448" s="24" t="str">
        <f>IF(E448&lt;&gt;"",G4copy!A448,"")</f>
        <v/>
      </c>
      <c r="G448" s="24" t="str">
        <f>IF(E448&lt;&gt;"",G4copy!F448,"")</f>
        <v/>
      </c>
    </row>
    <row r="449" spans="1:7" ht="15.75" customHeight="1">
      <c r="A449" s="23" t="str">
        <f t="shared" si="19"/>
        <v/>
      </c>
      <c r="B449" t="str">
        <f t="shared" si="20"/>
        <v/>
      </c>
      <c r="C449" s="23" t="str">
        <f t="shared" si="21"/>
        <v/>
      </c>
      <c r="E449" s="24" t="str">
        <f>IF(NOT(ISBLANK(G4copy!B449)),G4copy!B449,"")</f>
        <v/>
      </c>
      <c r="F449" s="24" t="str">
        <f>IF(E449&lt;&gt;"",G4copy!A449,"")</f>
        <v/>
      </c>
      <c r="G449" s="24" t="str">
        <f>IF(E449&lt;&gt;"",G4copy!F449,"")</f>
        <v/>
      </c>
    </row>
    <row r="450" spans="1:7" ht="15.75" customHeight="1">
      <c r="A450" s="23" t="str">
        <f t="shared" si="19"/>
        <v/>
      </c>
      <c r="B450" t="str">
        <f t="shared" si="20"/>
        <v/>
      </c>
      <c r="C450" s="23" t="str">
        <f t="shared" si="21"/>
        <v/>
      </c>
      <c r="E450" s="24" t="str">
        <f>IF(NOT(ISBLANK(G4copy!B450)),G4copy!B450,"")</f>
        <v/>
      </c>
      <c r="F450" s="24" t="str">
        <f>IF(E450&lt;&gt;"",G4copy!A450,"")</f>
        <v/>
      </c>
      <c r="G450" s="24" t="str">
        <f>IF(E450&lt;&gt;"",G4copy!F450,"")</f>
        <v/>
      </c>
    </row>
    <row r="451" spans="1:7" ht="15.75" customHeight="1">
      <c r="A451" s="23" t="str">
        <f t="shared" ref="A451:A500" si="22">IF(E451&lt;&gt;"",DATEVALUE(LEFT(E451,10)),"")</f>
        <v/>
      </c>
      <c r="B451" t="str">
        <f t="shared" ref="B451:B500" si="23">IF(LEN(F451)&gt;3,RIGHT(F451,LEN(F451)-3),"")</f>
        <v/>
      </c>
      <c r="C451" s="23" t="str">
        <f t="shared" ref="C451:C500" si="24">IF(E451&lt;&gt;"",DATEVALUE(LEFT(G451,10)),"")</f>
        <v/>
      </c>
      <c r="E451" s="24" t="str">
        <f>IF(NOT(ISBLANK(G4copy!B451)),G4copy!B451,"")</f>
        <v/>
      </c>
      <c r="F451" s="24" t="str">
        <f>IF(E451&lt;&gt;"",G4copy!A451,"")</f>
        <v/>
      </c>
      <c r="G451" s="24" t="str">
        <f>IF(E451&lt;&gt;"",G4copy!F451,"")</f>
        <v/>
      </c>
    </row>
    <row r="452" spans="1:7" ht="15.75" customHeight="1">
      <c r="A452" s="23" t="str">
        <f t="shared" si="22"/>
        <v/>
      </c>
      <c r="B452" t="str">
        <f t="shared" si="23"/>
        <v/>
      </c>
      <c r="C452" s="23" t="str">
        <f t="shared" si="24"/>
        <v/>
      </c>
      <c r="E452" s="24" t="str">
        <f>IF(NOT(ISBLANK(G4copy!B452)),G4copy!B452,"")</f>
        <v/>
      </c>
      <c r="F452" s="24" t="str">
        <f>IF(E452&lt;&gt;"",G4copy!A452,"")</f>
        <v/>
      </c>
      <c r="G452" s="24" t="str">
        <f>IF(E452&lt;&gt;"",G4copy!F452,"")</f>
        <v/>
      </c>
    </row>
    <row r="453" spans="1:7" ht="15.75" customHeight="1">
      <c r="A453" s="23" t="str">
        <f t="shared" si="22"/>
        <v/>
      </c>
      <c r="B453" t="str">
        <f t="shared" si="23"/>
        <v/>
      </c>
      <c r="C453" s="23" t="str">
        <f t="shared" si="24"/>
        <v/>
      </c>
      <c r="E453" s="24" t="str">
        <f>IF(NOT(ISBLANK(G4copy!B453)),G4copy!B453,"")</f>
        <v/>
      </c>
      <c r="F453" s="24" t="str">
        <f>IF(E453&lt;&gt;"",G4copy!A453,"")</f>
        <v/>
      </c>
      <c r="G453" s="24" t="str">
        <f>IF(E453&lt;&gt;"",G4copy!F453,"")</f>
        <v/>
      </c>
    </row>
    <row r="454" spans="1:7" ht="15.75" customHeight="1">
      <c r="A454" s="23" t="str">
        <f t="shared" si="22"/>
        <v/>
      </c>
      <c r="B454" t="str">
        <f t="shared" si="23"/>
        <v/>
      </c>
      <c r="C454" s="23" t="str">
        <f t="shared" si="24"/>
        <v/>
      </c>
      <c r="E454" s="24" t="str">
        <f>IF(NOT(ISBLANK(G4copy!B454)),G4copy!B454,"")</f>
        <v/>
      </c>
      <c r="F454" s="24" t="str">
        <f>IF(E454&lt;&gt;"",G4copy!A454,"")</f>
        <v/>
      </c>
      <c r="G454" s="24" t="str">
        <f>IF(E454&lt;&gt;"",G4copy!F454,"")</f>
        <v/>
      </c>
    </row>
    <row r="455" spans="1:7" ht="15.75" customHeight="1">
      <c r="A455" s="23" t="str">
        <f t="shared" si="22"/>
        <v/>
      </c>
      <c r="B455" t="str">
        <f t="shared" si="23"/>
        <v/>
      </c>
      <c r="C455" s="23" t="str">
        <f t="shared" si="24"/>
        <v/>
      </c>
      <c r="E455" s="24" t="str">
        <f>IF(NOT(ISBLANK(G4copy!B455)),G4copy!B455,"")</f>
        <v/>
      </c>
      <c r="F455" s="24" t="str">
        <f>IF(E455&lt;&gt;"",G4copy!A455,"")</f>
        <v/>
      </c>
      <c r="G455" s="24" t="str">
        <f>IF(E455&lt;&gt;"",G4copy!F455,"")</f>
        <v/>
      </c>
    </row>
    <row r="456" spans="1:7" ht="15.75" customHeight="1">
      <c r="A456" s="23" t="str">
        <f t="shared" si="22"/>
        <v/>
      </c>
      <c r="B456" t="str">
        <f t="shared" si="23"/>
        <v/>
      </c>
      <c r="C456" s="23" t="str">
        <f t="shared" si="24"/>
        <v/>
      </c>
      <c r="E456" s="24" t="str">
        <f>IF(NOT(ISBLANK(G4copy!B456)),G4copy!B456,"")</f>
        <v/>
      </c>
      <c r="F456" s="24" t="str">
        <f>IF(E456&lt;&gt;"",G4copy!A456,"")</f>
        <v/>
      </c>
      <c r="G456" s="24" t="str">
        <f>IF(E456&lt;&gt;"",G4copy!F456,"")</f>
        <v/>
      </c>
    </row>
    <row r="457" spans="1:7" ht="15.75" customHeight="1">
      <c r="A457" s="23" t="str">
        <f t="shared" si="22"/>
        <v/>
      </c>
      <c r="B457" t="str">
        <f t="shared" si="23"/>
        <v/>
      </c>
      <c r="C457" s="23" t="str">
        <f t="shared" si="24"/>
        <v/>
      </c>
      <c r="E457" s="24" t="str">
        <f>IF(NOT(ISBLANK(G4copy!B457)),G4copy!B457,"")</f>
        <v/>
      </c>
      <c r="F457" s="24" t="str">
        <f>IF(E457&lt;&gt;"",G4copy!A457,"")</f>
        <v/>
      </c>
      <c r="G457" s="24" t="str">
        <f>IF(E457&lt;&gt;"",G4copy!F457,"")</f>
        <v/>
      </c>
    </row>
    <row r="458" spans="1:7" ht="15.75" customHeight="1">
      <c r="A458" s="23" t="str">
        <f t="shared" si="22"/>
        <v/>
      </c>
      <c r="B458" t="str">
        <f t="shared" si="23"/>
        <v/>
      </c>
      <c r="C458" s="23" t="str">
        <f t="shared" si="24"/>
        <v/>
      </c>
      <c r="E458" s="24" t="str">
        <f>IF(NOT(ISBLANK(G4copy!B458)),G4copy!B458,"")</f>
        <v/>
      </c>
      <c r="F458" s="24" t="str">
        <f>IF(E458&lt;&gt;"",G4copy!A458,"")</f>
        <v/>
      </c>
      <c r="G458" s="24" t="str">
        <f>IF(E458&lt;&gt;"",G4copy!F458,"")</f>
        <v/>
      </c>
    </row>
    <row r="459" spans="1:7" ht="15.75" customHeight="1">
      <c r="A459" s="23" t="str">
        <f t="shared" si="22"/>
        <v/>
      </c>
      <c r="B459" t="str">
        <f t="shared" si="23"/>
        <v/>
      </c>
      <c r="C459" s="23" t="str">
        <f t="shared" si="24"/>
        <v/>
      </c>
      <c r="E459" s="24" t="str">
        <f>IF(NOT(ISBLANK(G4copy!B459)),G4copy!B459,"")</f>
        <v/>
      </c>
      <c r="F459" s="24" t="str">
        <f>IF(E459&lt;&gt;"",G4copy!A459,"")</f>
        <v/>
      </c>
      <c r="G459" s="24" t="str">
        <f>IF(E459&lt;&gt;"",G4copy!F459,"")</f>
        <v/>
      </c>
    </row>
    <row r="460" spans="1:7" ht="15.75" customHeight="1">
      <c r="A460" s="23" t="str">
        <f t="shared" si="22"/>
        <v/>
      </c>
      <c r="B460" t="str">
        <f t="shared" si="23"/>
        <v/>
      </c>
      <c r="C460" s="23" t="str">
        <f t="shared" si="24"/>
        <v/>
      </c>
      <c r="E460" s="24" t="str">
        <f>IF(NOT(ISBLANK(G4copy!B460)),G4copy!B460,"")</f>
        <v/>
      </c>
      <c r="F460" s="24" t="str">
        <f>IF(E460&lt;&gt;"",G4copy!A460,"")</f>
        <v/>
      </c>
      <c r="G460" s="24" t="str">
        <f>IF(E460&lt;&gt;"",G4copy!F460,"")</f>
        <v/>
      </c>
    </row>
    <row r="461" spans="1:7" ht="15.75" customHeight="1">
      <c r="A461" s="23" t="str">
        <f t="shared" si="22"/>
        <v/>
      </c>
      <c r="B461" t="str">
        <f t="shared" si="23"/>
        <v/>
      </c>
      <c r="C461" s="23" t="str">
        <f t="shared" si="24"/>
        <v/>
      </c>
      <c r="E461" s="24" t="str">
        <f>IF(NOT(ISBLANK(G4copy!B461)),G4copy!B461,"")</f>
        <v/>
      </c>
      <c r="F461" s="24" t="str">
        <f>IF(E461&lt;&gt;"",G4copy!A461,"")</f>
        <v/>
      </c>
      <c r="G461" s="24" t="str">
        <f>IF(E461&lt;&gt;"",G4copy!F461,"")</f>
        <v/>
      </c>
    </row>
    <row r="462" spans="1:7" ht="15.75" customHeight="1">
      <c r="A462" s="23" t="str">
        <f t="shared" si="22"/>
        <v/>
      </c>
      <c r="B462" t="str">
        <f t="shared" si="23"/>
        <v/>
      </c>
      <c r="C462" s="23" t="str">
        <f t="shared" si="24"/>
        <v/>
      </c>
      <c r="E462" s="24" t="str">
        <f>IF(NOT(ISBLANK(G4copy!B462)),G4copy!B462,"")</f>
        <v/>
      </c>
      <c r="F462" s="24" t="str">
        <f>IF(E462&lt;&gt;"",G4copy!A462,"")</f>
        <v/>
      </c>
      <c r="G462" s="24" t="str">
        <f>IF(E462&lt;&gt;"",G4copy!F462,"")</f>
        <v/>
      </c>
    </row>
    <row r="463" spans="1:7" ht="15.75" customHeight="1">
      <c r="A463" s="23" t="str">
        <f t="shared" si="22"/>
        <v/>
      </c>
      <c r="B463" t="str">
        <f t="shared" si="23"/>
        <v/>
      </c>
      <c r="C463" s="23" t="str">
        <f t="shared" si="24"/>
        <v/>
      </c>
      <c r="E463" s="24" t="str">
        <f>IF(NOT(ISBLANK(G4copy!B463)),G4copy!B463,"")</f>
        <v/>
      </c>
      <c r="F463" s="24" t="str">
        <f>IF(E463&lt;&gt;"",G4copy!A463,"")</f>
        <v/>
      </c>
      <c r="G463" s="24" t="str">
        <f>IF(E463&lt;&gt;"",G4copy!F463,"")</f>
        <v/>
      </c>
    </row>
    <row r="464" spans="1:7" ht="15.75" customHeight="1">
      <c r="A464" s="23" t="str">
        <f t="shared" si="22"/>
        <v/>
      </c>
      <c r="B464" t="str">
        <f t="shared" si="23"/>
        <v/>
      </c>
      <c r="C464" s="23" t="str">
        <f t="shared" si="24"/>
        <v/>
      </c>
      <c r="E464" s="24" t="str">
        <f>IF(NOT(ISBLANK(G4copy!B464)),G4copy!B464,"")</f>
        <v/>
      </c>
      <c r="F464" s="24" t="str">
        <f>IF(E464&lt;&gt;"",G4copy!A464,"")</f>
        <v/>
      </c>
      <c r="G464" s="24" t="str">
        <f>IF(E464&lt;&gt;"",G4copy!F464,"")</f>
        <v/>
      </c>
    </row>
    <row r="465" spans="1:7" ht="15.75" customHeight="1">
      <c r="A465" s="23" t="str">
        <f t="shared" si="22"/>
        <v/>
      </c>
      <c r="B465" t="str">
        <f t="shared" si="23"/>
        <v/>
      </c>
      <c r="C465" s="23" t="str">
        <f t="shared" si="24"/>
        <v/>
      </c>
      <c r="E465" s="24" t="str">
        <f>IF(NOT(ISBLANK(G4copy!B465)),G4copy!B465,"")</f>
        <v/>
      </c>
      <c r="F465" s="24" t="str">
        <f>IF(E465&lt;&gt;"",G4copy!A465,"")</f>
        <v/>
      </c>
      <c r="G465" s="24" t="str">
        <f>IF(E465&lt;&gt;"",G4copy!F465,"")</f>
        <v/>
      </c>
    </row>
    <row r="466" spans="1:7" ht="15.75" customHeight="1">
      <c r="A466" s="23" t="str">
        <f t="shared" si="22"/>
        <v/>
      </c>
      <c r="B466" t="str">
        <f t="shared" si="23"/>
        <v/>
      </c>
      <c r="C466" s="23" t="str">
        <f t="shared" si="24"/>
        <v/>
      </c>
      <c r="E466" s="24" t="str">
        <f>IF(NOT(ISBLANK(G4copy!B466)),G4copy!B466,"")</f>
        <v/>
      </c>
      <c r="F466" s="24" t="str">
        <f>IF(E466&lt;&gt;"",G4copy!A466,"")</f>
        <v/>
      </c>
      <c r="G466" s="24" t="str">
        <f>IF(E466&lt;&gt;"",G4copy!F466,"")</f>
        <v/>
      </c>
    </row>
    <row r="467" spans="1:7" ht="15.75" customHeight="1">
      <c r="A467" s="23" t="str">
        <f t="shared" si="22"/>
        <v/>
      </c>
      <c r="B467" t="str">
        <f t="shared" si="23"/>
        <v/>
      </c>
      <c r="C467" s="23" t="str">
        <f t="shared" si="24"/>
        <v/>
      </c>
      <c r="E467" s="24" t="str">
        <f>IF(NOT(ISBLANK(G4copy!B467)),G4copy!B467,"")</f>
        <v/>
      </c>
      <c r="F467" s="24" t="str">
        <f>IF(E467&lt;&gt;"",G4copy!A467,"")</f>
        <v/>
      </c>
      <c r="G467" s="24" t="str">
        <f>IF(E467&lt;&gt;"",G4copy!F467,"")</f>
        <v/>
      </c>
    </row>
    <row r="468" spans="1:7" ht="15.75" customHeight="1">
      <c r="A468" s="23" t="str">
        <f t="shared" si="22"/>
        <v/>
      </c>
      <c r="B468" t="str">
        <f t="shared" si="23"/>
        <v/>
      </c>
      <c r="C468" s="23" t="str">
        <f t="shared" si="24"/>
        <v/>
      </c>
      <c r="E468" s="24" t="str">
        <f>IF(NOT(ISBLANK(G4copy!B468)),G4copy!B468,"")</f>
        <v/>
      </c>
      <c r="F468" s="24" t="str">
        <f>IF(E468&lt;&gt;"",G4copy!A468,"")</f>
        <v/>
      </c>
      <c r="G468" s="24" t="str">
        <f>IF(E468&lt;&gt;"",G4copy!F468,"")</f>
        <v/>
      </c>
    </row>
    <row r="469" spans="1:7" ht="15.75" customHeight="1">
      <c r="A469" s="23" t="str">
        <f t="shared" si="22"/>
        <v/>
      </c>
      <c r="B469" t="str">
        <f t="shared" si="23"/>
        <v/>
      </c>
      <c r="C469" s="23" t="str">
        <f t="shared" si="24"/>
        <v/>
      </c>
      <c r="E469" s="24" t="str">
        <f>IF(NOT(ISBLANK(G4copy!B469)),G4copy!B469,"")</f>
        <v/>
      </c>
      <c r="F469" s="24" t="str">
        <f>IF(E469&lt;&gt;"",G4copy!A469,"")</f>
        <v/>
      </c>
      <c r="G469" s="24" t="str">
        <f>IF(E469&lt;&gt;"",G4copy!F469,"")</f>
        <v/>
      </c>
    </row>
    <row r="470" spans="1:7" ht="15.75" customHeight="1">
      <c r="A470" s="23" t="str">
        <f t="shared" si="22"/>
        <v/>
      </c>
      <c r="B470" t="str">
        <f t="shared" si="23"/>
        <v/>
      </c>
      <c r="C470" s="23" t="str">
        <f t="shared" si="24"/>
        <v/>
      </c>
      <c r="E470" s="24" t="str">
        <f>IF(NOT(ISBLANK(G4copy!B470)),G4copy!B470,"")</f>
        <v/>
      </c>
      <c r="F470" s="24" t="str">
        <f>IF(E470&lt;&gt;"",G4copy!A470,"")</f>
        <v/>
      </c>
      <c r="G470" s="24" t="str">
        <f>IF(E470&lt;&gt;"",G4copy!F470,"")</f>
        <v/>
      </c>
    </row>
    <row r="471" spans="1:7" ht="15.75" customHeight="1">
      <c r="A471" s="23" t="str">
        <f t="shared" si="22"/>
        <v/>
      </c>
      <c r="B471" t="str">
        <f t="shared" si="23"/>
        <v/>
      </c>
      <c r="C471" s="23" t="str">
        <f t="shared" si="24"/>
        <v/>
      </c>
      <c r="E471" s="24" t="str">
        <f>IF(NOT(ISBLANK(G4copy!B471)),G4copy!B471,"")</f>
        <v/>
      </c>
      <c r="F471" s="24" t="str">
        <f>IF(E471&lt;&gt;"",G4copy!A471,"")</f>
        <v/>
      </c>
      <c r="G471" s="24" t="str">
        <f>IF(E471&lt;&gt;"",G4copy!F471,"")</f>
        <v/>
      </c>
    </row>
    <row r="472" spans="1:7" ht="15.75" customHeight="1">
      <c r="A472" s="23" t="str">
        <f t="shared" si="22"/>
        <v/>
      </c>
      <c r="B472" t="str">
        <f t="shared" si="23"/>
        <v/>
      </c>
      <c r="C472" s="23" t="str">
        <f t="shared" si="24"/>
        <v/>
      </c>
      <c r="E472" s="24" t="str">
        <f>IF(NOT(ISBLANK(G4copy!B472)),G4copy!B472,"")</f>
        <v/>
      </c>
      <c r="F472" s="24" t="str">
        <f>IF(E472&lt;&gt;"",G4copy!A472,"")</f>
        <v/>
      </c>
      <c r="G472" s="24" t="str">
        <f>IF(E472&lt;&gt;"",G4copy!F472,"")</f>
        <v/>
      </c>
    </row>
    <row r="473" spans="1:7" ht="15.75" customHeight="1">
      <c r="A473" s="23" t="str">
        <f t="shared" si="22"/>
        <v/>
      </c>
      <c r="B473" t="str">
        <f t="shared" si="23"/>
        <v/>
      </c>
      <c r="C473" s="23" t="str">
        <f t="shared" si="24"/>
        <v/>
      </c>
      <c r="E473" s="24" t="str">
        <f>IF(NOT(ISBLANK(G4copy!B473)),G4copy!B473,"")</f>
        <v/>
      </c>
      <c r="F473" s="24" t="str">
        <f>IF(E473&lt;&gt;"",G4copy!A473,"")</f>
        <v/>
      </c>
      <c r="G473" s="24" t="str">
        <f>IF(E473&lt;&gt;"",G4copy!F473,"")</f>
        <v/>
      </c>
    </row>
    <row r="474" spans="1:7" ht="15.75" customHeight="1">
      <c r="A474" s="23" t="str">
        <f t="shared" si="22"/>
        <v/>
      </c>
      <c r="B474" t="str">
        <f t="shared" si="23"/>
        <v/>
      </c>
      <c r="C474" s="23" t="str">
        <f t="shared" si="24"/>
        <v/>
      </c>
      <c r="E474" s="24" t="str">
        <f>IF(NOT(ISBLANK(G4copy!B474)),G4copy!B474,"")</f>
        <v/>
      </c>
      <c r="F474" s="24" t="str">
        <f>IF(E474&lt;&gt;"",G4copy!A474,"")</f>
        <v/>
      </c>
      <c r="G474" s="24" t="str">
        <f>IF(E474&lt;&gt;"",G4copy!F474,"")</f>
        <v/>
      </c>
    </row>
    <row r="475" spans="1:7" ht="15.75" customHeight="1">
      <c r="A475" s="23" t="str">
        <f t="shared" si="22"/>
        <v/>
      </c>
      <c r="B475" t="str">
        <f t="shared" si="23"/>
        <v/>
      </c>
      <c r="C475" s="23" t="str">
        <f t="shared" si="24"/>
        <v/>
      </c>
      <c r="E475" s="24" t="str">
        <f>IF(NOT(ISBLANK(G4copy!B475)),G4copy!B475,"")</f>
        <v/>
      </c>
      <c r="F475" s="24" t="str">
        <f>IF(E475&lt;&gt;"",G4copy!A475,"")</f>
        <v/>
      </c>
      <c r="G475" s="24" t="str">
        <f>IF(E475&lt;&gt;"",G4copy!F475,"")</f>
        <v/>
      </c>
    </row>
    <row r="476" spans="1:7" ht="15.75" customHeight="1">
      <c r="A476" s="23" t="str">
        <f t="shared" si="22"/>
        <v/>
      </c>
      <c r="B476" t="str">
        <f t="shared" si="23"/>
        <v/>
      </c>
      <c r="C476" s="23" t="str">
        <f t="shared" si="24"/>
        <v/>
      </c>
      <c r="E476" s="24" t="str">
        <f>IF(NOT(ISBLANK(G4copy!B476)),G4copy!B476,"")</f>
        <v/>
      </c>
      <c r="F476" s="24" t="str">
        <f>IF(E476&lt;&gt;"",G4copy!A476,"")</f>
        <v/>
      </c>
      <c r="G476" s="24" t="str">
        <f>IF(E476&lt;&gt;"",G4copy!F476,"")</f>
        <v/>
      </c>
    </row>
    <row r="477" spans="1:7" ht="15.75" customHeight="1">
      <c r="A477" s="23" t="str">
        <f t="shared" si="22"/>
        <v/>
      </c>
      <c r="B477" t="str">
        <f t="shared" si="23"/>
        <v/>
      </c>
      <c r="C477" s="23" t="str">
        <f t="shared" si="24"/>
        <v/>
      </c>
      <c r="E477" s="24" t="str">
        <f>IF(NOT(ISBLANK(G4copy!B477)),G4copy!B477,"")</f>
        <v/>
      </c>
      <c r="F477" s="24" t="str">
        <f>IF(E477&lt;&gt;"",G4copy!A477,"")</f>
        <v/>
      </c>
      <c r="G477" s="24" t="str">
        <f>IF(E477&lt;&gt;"",G4copy!F477,"")</f>
        <v/>
      </c>
    </row>
    <row r="478" spans="1:7" ht="15.75" customHeight="1">
      <c r="A478" s="23" t="str">
        <f t="shared" si="22"/>
        <v/>
      </c>
      <c r="B478" t="str">
        <f t="shared" si="23"/>
        <v/>
      </c>
      <c r="C478" s="23" t="str">
        <f t="shared" si="24"/>
        <v/>
      </c>
      <c r="E478" s="24" t="str">
        <f>IF(NOT(ISBLANK(G4copy!B478)),G4copy!B478,"")</f>
        <v/>
      </c>
      <c r="F478" s="24" t="str">
        <f>IF(E478&lt;&gt;"",G4copy!A478,"")</f>
        <v/>
      </c>
      <c r="G478" s="24" t="str">
        <f>IF(E478&lt;&gt;"",G4copy!F478,"")</f>
        <v/>
      </c>
    </row>
    <row r="479" spans="1:7" ht="15.75" customHeight="1">
      <c r="A479" s="23" t="str">
        <f t="shared" si="22"/>
        <v/>
      </c>
      <c r="B479" t="str">
        <f t="shared" si="23"/>
        <v/>
      </c>
      <c r="C479" s="23" t="str">
        <f t="shared" si="24"/>
        <v/>
      </c>
      <c r="E479" s="24" t="str">
        <f>IF(NOT(ISBLANK(G4copy!B479)),G4copy!B479,"")</f>
        <v/>
      </c>
      <c r="F479" s="24" t="str">
        <f>IF(E479&lt;&gt;"",G4copy!A479,"")</f>
        <v/>
      </c>
      <c r="G479" s="24" t="str">
        <f>IF(E479&lt;&gt;"",G4copy!F479,"")</f>
        <v/>
      </c>
    </row>
    <row r="480" spans="1:7" ht="15.75" customHeight="1">
      <c r="A480" s="23" t="str">
        <f t="shared" si="22"/>
        <v/>
      </c>
      <c r="B480" t="str">
        <f t="shared" si="23"/>
        <v/>
      </c>
      <c r="C480" s="23" t="str">
        <f t="shared" si="24"/>
        <v/>
      </c>
      <c r="E480" s="24" t="str">
        <f>IF(NOT(ISBLANK(G4copy!B480)),G4copy!B480,"")</f>
        <v/>
      </c>
      <c r="F480" s="24" t="str">
        <f>IF(E480&lt;&gt;"",G4copy!A480,"")</f>
        <v/>
      </c>
      <c r="G480" s="24" t="str">
        <f>IF(E480&lt;&gt;"",G4copy!F480,"")</f>
        <v/>
      </c>
    </row>
    <row r="481" spans="1:7" ht="15.75" customHeight="1">
      <c r="A481" s="23" t="str">
        <f t="shared" si="22"/>
        <v/>
      </c>
      <c r="B481" t="str">
        <f t="shared" si="23"/>
        <v/>
      </c>
      <c r="C481" s="23" t="str">
        <f t="shared" si="24"/>
        <v/>
      </c>
      <c r="E481" s="24" t="str">
        <f>IF(NOT(ISBLANK(G4copy!B481)),G4copy!B481,"")</f>
        <v/>
      </c>
      <c r="F481" s="24" t="str">
        <f>IF(E481&lt;&gt;"",G4copy!A481,"")</f>
        <v/>
      </c>
      <c r="G481" s="24" t="str">
        <f>IF(E481&lt;&gt;"",G4copy!F481,"")</f>
        <v/>
      </c>
    </row>
    <row r="482" spans="1:7" ht="15.75" customHeight="1">
      <c r="A482" s="23" t="str">
        <f t="shared" si="22"/>
        <v/>
      </c>
      <c r="B482" t="str">
        <f t="shared" si="23"/>
        <v/>
      </c>
      <c r="C482" s="23" t="str">
        <f t="shared" si="24"/>
        <v/>
      </c>
      <c r="E482" s="24" t="str">
        <f>IF(NOT(ISBLANK(G4copy!B482)),G4copy!B482,"")</f>
        <v/>
      </c>
      <c r="F482" s="24" t="str">
        <f>IF(E482&lt;&gt;"",G4copy!A482,"")</f>
        <v/>
      </c>
      <c r="G482" s="24" t="str">
        <f>IF(E482&lt;&gt;"",G4copy!F482,"")</f>
        <v/>
      </c>
    </row>
    <row r="483" spans="1:7" ht="15.75" customHeight="1">
      <c r="A483" s="23" t="str">
        <f t="shared" si="22"/>
        <v/>
      </c>
      <c r="B483" t="str">
        <f t="shared" si="23"/>
        <v/>
      </c>
      <c r="C483" s="23" t="str">
        <f t="shared" si="24"/>
        <v/>
      </c>
      <c r="E483" s="24" t="str">
        <f>IF(NOT(ISBLANK(G4copy!B483)),G4copy!B483,"")</f>
        <v/>
      </c>
      <c r="F483" s="24" t="str">
        <f>IF(E483&lt;&gt;"",G4copy!A483,"")</f>
        <v/>
      </c>
      <c r="G483" s="24" t="str">
        <f>IF(E483&lt;&gt;"",G4copy!F483,"")</f>
        <v/>
      </c>
    </row>
    <row r="484" spans="1:7" ht="15.75" customHeight="1">
      <c r="A484" s="23" t="str">
        <f t="shared" si="22"/>
        <v/>
      </c>
      <c r="B484" t="str">
        <f t="shared" si="23"/>
        <v/>
      </c>
      <c r="C484" s="23" t="str">
        <f t="shared" si="24"/>
        <v/>
      </c>
      <c r="E484" s="24" t="str">
        <f>IF(NOT(ISBLANK(G4copy!B484)),G4copy!B484,"")</f>
        <v/>
      </c>
      <c r="F484" s="24" t="str">
        <f>IF(E484&lt;&gt;"",G4copy!A484,"")</f>
        <v/>
      </c>
      <c r="G484" s="24" t="str">
        <f>IF(E484&lt;&gt;"",G4copy!F484,"")</f>
        <v/>
      </c>
    </row>
    <row r="485" spans="1:7" ht="15.75" customHeight="1">
      <c r="A485" s="23" t="str">
        <f t="shared" si="22"/>
        <v/>
      </c>
      <c r="B485" t="str">
        <f t="shared" si="23"/>
        <v/>
      </c>
      <c r="C485" s="23" t="str">
        <f t="shared" si="24"/>
        <v/>
      </c>
      <c r="E485" s="24" t="str">
        <f>IF(NOT(ISBLANK(G4copy!B485)),G4copy!B485,"")</f>
        <v/>
      </c>
      <c r="F485" s="24" t="str">
        <f>IF(E485&lt;&gt;"",G4copy!A485,"")</f>
        <v/>
      </c>
      <c r="G485" s="24" t="str">
        <f>IF(E485&lt;&gt;"",G4copy!F485,"")</f>
        <v/>
      </c>
    </row>
    <row r="486" spans="1:7" ht="15.75" customHeight="1">
      <c r="A486" s="23" t="str">
        <f t="shared" si="22"/>
        <v/>
      </c>
      <c r="B486" t="str">
        <f t="shared" si="23"/>
        <v/>
      </c>
      <c r="C486" s="23" t="str">
        <f t="shared" si="24"/>
        <v/>
      </c>
      <c r="E486" s="24" t="str">
        <f>IF(NOT(ISBLANK(G4copy!B486)),G4copy!B486,"")</f>
        <v/>
      </c>
      <c r="F486" s="24" t="str">
        <f>IF(E486&lt;&gt;"",G4copy!A486,"")</f>
        <v/>
      </c>
      <c r="G486" s="24" t="str">
        <f>IF(E486&lt;&gt;"",G4copy!F486,"")</f>
        <v/>
      </c>
    </row>
    <row r="487" spans="1:7" ht="15.75" customHeight="1">
      <c r="A487" s="23" t="str">
        <f t="shared" si="22"/>
        <v/>
      </c>
      <c r="B487" t="str">
        <f t="shared" si="23"/>
        <v/>
      </c>
      <c r="C487" s="23" t="str">
        <f t="shared" si="24"/>
        <v/>
      </c>
      <c r="E487" s="24" t="str">
        <f>IF(NOT(ISBLANK(G4copy!B487)),G4copy!B487,"")</f>
        <v/>
      </c>
      <c r="F487" s="24" t="str">
        <f>IF(E487&lt;&gt;"",G4copy!A487,"")</f>
        <v/>
      </c>
      <c r="G487" s="24" t="str">
        <f>IF(E487&lt;&gt;"",G4copy!F487,"")</f>
        <v/>
      </c>
    </row>
    <row r="488" spans="1:7" ht="15.75" customHeight="1">
      <c r="A488" s="23" t="str">
        <f t="shared" si="22"/>
        <v/>
      </c>
      <c r="B488" t="str">
        <f t="shared" si="23"/>
        <v/>
      </c>
      <c r="C488" s="23" t="str">
        <f t="shared" si="24"/>
        <v/>
      </c>
      <c r="E488" s="24" t="str">
        <f>IF(NOT(ISBLANK(G4copy!B488)),G4copy!B488,"")</f>
        <v/>
      </c>
      <c r="F488" s="24" t="str">
        <f>IF(E488&lt;&gt;"",G4copy!A488,"")</f>
        <v/>
      </c>
      <c r="G488" s="24" t="str">
        <f>IF(E488&lt;&gt;"",G4copy!F488,"")</f>
        <v/>
      </c>
    </row>
    <row r="489" spans="1:7" ht="15.75" customHeight="1">
      <c r="A489" s="23" t="str">
        <f t="shared" si="22"/>
        <v/>
      </c>
      <c r="B489" t="str">
        <f t="shared" si="23"/>
        <v/>
      </c>
      <c r="C489" s="23" t="str">
        <f t="shared" si="24"/>
        <v/>
      </c>
      <c r="E489" s="24" t="str">
        <f>IF(NOT(ISBLANK(G4copy!B489)),G4copy!B489,"")</f>
        <v/>
      </c>
      <c r="F489" s="24" t="str">
        <f>IF(E489&lt;&gt;"",G4copy!A489,"")</f>
        <v/>
      </c>
      <c r="G489" s="24" t="str">
        <f>IF(E489&lt;&gt;"",G4copy!F489,"")</f>
        <v/>
      </c>
    </row>
    <row r="490" spans="1:7" ht="15.75" customHeight="1">
      <c r="A490" s="23" t="str">
        <f t="shared" si="22"/>
        <v/>
      </c>
      <c r="B490" t="str">
        <f t="shared" si="23"/>
        <v/>
      </c>
      <c r="C490" s="23" t="str">
        <f t="shared" si="24"/>
        <v/>
      </c>
      <c r="E490" s="24" t="str">
        <f>IF(NOT(ISBLANK(G4copy!B490)),G4copy!B490,"")</f>
        <v/>
      </c>
      <c r="F490" s="24" t="str">
        <f>IF(E490&lt;&gt;"",G4copy!A490,"")</f>
        <v/>
      </c>
      <c r="G490" s="24" t="str">
        <f>IF(E490&lt;&gt;"",G4copy!F490,"")</f>
        <v/>
      </c>
    </row>
    <row r="491" spans="1:7" ht="15.75" customHeight="1">
      <c r="A491" s="23" t="str">
        <f t="shared" si="22"/>
        <v/>
      </c>
      <c r="B491" t="str">
        <f t="shared" si="23"/>
        <v/>
      </c>
      <c r="C491" s="23" t="str">
        <f t="shared" si="24"/>
        <v/>
      </c>
      <c r="E491" s="24" t="str">
        <f>IF(NOT(ISBLANK(G4copy!B491)),G4copy!B491,"")</f>
        <v/>
      </c>
      <c r="F491" s="24" t="str">
        <f>IF(E491&lt;&gt;"",G4copy!A491,"")</f>
        <v/>
      </c>
      <c r="G491" s="24" t="str">
        <f>IF(E491&lt;&gt;"",G4copy!F491,"")</f>
        <v/>
      </c>
    </row>
    <row r="492" spans="1:7" ht="15.75" customHeight="1">
      <c r="A492" s="23" t="str">
        <f t="shared" si="22"/>
        <v/>
      </c>
      <c r="B492" t="str">
        <f t="shared" si="23"/>
        <v/>
      </c>
      <c r="C492" s="23" t="str">
        <f t="shared" si="24"/>
        <v/>
      </c>
      <c r="E492" s="24" t="str">
        <f>IF(NOT(ISBLANK(G4copy!B492)),G4copy!B492,"")</f>
        <v/>
      </c>
      <c r="F492" s="24" t="str">
        <f>IF(E492&lt;&gt;"",G4copy!A492,"")</f>
        <v/>
      </c>
      <c r="G492" s="24" t="str">
        <f>IF(E492&lt;&gt;"",G4copy!F492,"")</f>
        <v/>
      </c>
    </row>
    <row r="493" spans="1:7" ht="15.75" customHeight="1">
      <c r="A493" s="23" t="str">
        <f t="shared" si="22"/>
        <v/>
      </c>
      <c r="B493" t="str">
        <f t="shared" si="23"/>
        <v/>
      </c>
      <c r="C493" s="23" t="str">
        <f t="shared" si="24"/>
        <v/>
      </c>
      <c r="E493" s="24" t="str">
        <f>IF(NOT(ISBLANK(G4copy!B493)),G4copy!B493,"")</f>
        <v/>
      </c>
      <c r="F493" s="24" t="str">
        <f>IF(E493&lt;&gt;"",G4copy!A493,"")</f>
        <v/>
      </c>
      <c r="G493" s="24" t="str">
        <f>IF(E493&lt;&gt;"",G4copy!F493,"")</f>
        <v/>
      </c>
    </row>
    <row r="494" spans="1:7" ht="15.75" customHeight="1">
      <c r="A494" s="23" t="str">
        <f t="shared" si="22"/>
        <v/>
      </c>
      <c r="B494" t="str">
        <f t="shared" si="23"/>
        <v/>
      </c>
      <c r="C494" s="23" t="str">
        <f t="shared" si="24"/>
        <v/>
      </c>
      <c r="E494" s="24" t="str">
        <f>IF(NOT(ISBLANK(G4copy!B494)),G4copy!B494,"")</f>
        <v/>
      </c>
      <c r="F494" s="24" t="str">
        <f>IF(E494&lt;&gt;"",G4copy!A494,"")</f>
        <v/>
      </c>
      <c r="G494" s="24" t="str">
        <f>IF(E494&lt;&gt;"",G4copy!F494,"")</f>
        <v/>
      </c>
    </row>
    <row r="495" spans="1:7" ht="15.75" customHeight="1">
      <c r="A495" s="23" t="str">
        <f t="shared" si="22"/>
        <v/>
      </c>
      <c r="B495" t="str">
        <f t="shared" si="23"/>
        <v/>
      </c>
      <c r="C495" s="23" t="str">
        <f t="shared" si="24"/>
        <v/>
      </c>
      <c r="E495" s="24" t="str">
        <f>IF(NOT(ISBLANK(G4copy!B495)),G4copy!B495,"")</f>
        <v/>
      </c>
      <c r="F495" s="24" t="str">
        <f>IF(E495&lt;&gt;"",G4copy!A495,"")</f>
        <v/>
      </c>
      <c r="G495" s="24" t="str">
        <f>IF(E495&lt;&gt;"",G4copy!F495,"")</f>
        <v/>
      </c>
    </row>
    <row r="496" spans="1:7" ht="15.75" customHeight="1">
      <c r="A496" s="23" t="str">
        <f t="shared" si="22"/>
        <v/>
      </c>
      <c r="B496" t="str">
        <f t="shared" si="23"/>
        <v/>
      </c>
      <c r="C496" s="23" t="str">
        <f t="shared" si="24"/>
        <v/>
      </c>
      <c r="E496" s="24" t="str">
        <f>IF(NOT(ISBLANK(G4copy!B496)),G4copy!B496,"")</f>
        <v/>
      </c>
      <c r="F496" s="24" t="str">
        <f>IF(E496&lt;&gt;"",G4copy!A496,"")</f>
        <v/>
      </c>
      <c r="G496" s="24" t="str">
        <f>IF(E496&lt;&gt;"",G4copy!F496,"")</f>
        <v/>
      </c>
    </row>
    <row r="497" spans="1:7" ht="15.75" customHeight="1">
      <c r="A497" s="23" t="str">
        <f t="shared" si="22"/>
        <v/>
      </c>
      <c r="B497" t="str">
        <f t="shared" si="23"/>
        <v/>
      </c>
      <c r="C497" s="23" t="str">
        <f t="shared" si="24"/>
        <v/>
      </c>
      <c r="E497" s="24" t="str">
        <f>IF(NOT(ISBLANK(G4copy!B497)),G4copy!B497,"")</f>
        <v/>
      </c>
      <c r="F497" s="24" t="str">
        <f>IF(E497&lt;&gt;"",G4copy!A497,"")</f>
        <v/>
      </c>
      <c r="G497" s="24" t="str">
        <f>IF(E497&lt;&gt;"",G4copy!F497,"")</f>
        <v/>
      </c>
    </row>
    <row r="498" spans="1:7" ht="15.75" customHeight="1">
      <c r="A498" s="23" t="str">
        <f t="shared" si="22"/>
        <v/>
      </c>
      <c r="B498" t="str">
        <f t="shared" si="23"/>
        <v/>
      </c>
      <c r="C498" s="23" t="str">
        <f t="shared" si="24"/>
        <v/>
      </c>
      <c r="E498" s="24" t="str">
        <f>IF(NOT(ISBLANK(G4copy!B498)),G4copy!B498,"")</f>
        <v/>
      </c>
      <c r="F498" s="24" t="str">
        <f>IF(E498&lt;&gt;"",G4copy!A498,"")</f>
        <v/>
      </c>
      <c r="G498" s="24" t="str">
        <f>IF(E498&lt;&gt;"",G4copy!F498,"")</f>
        <v/>
      </c>
    </row>
    <row r="499" spans="1:7" ht="15.75" customHeight="1">
      <c r="A499" s="23" t="str">
        <f t="shared" si="22"/>
        <v/>
      </c>
      <c r="B499" t="str">
        <f t="shared" si="23"/>
        <v/>
      </c>
      <c r="C499" s="23" t="str">
        <f t="shared" si="24"/>
        <v/>
      </c>
      <c r="E499" s="24" t="str">
        <f>IF(NOT(ISBLANK(G4copy!B499)),G4copy!B499,"")</f>
        <v/>
      </c>
      <c r="F499" s="24" t="str">
        <f>IF(E499&lt;&gt;"",G4copy!A499,"")</f>
        <v/>
      </c>
      <c r="G499" s="24" t="str">
        <f>IF(E499&lt;&gt;"",G4copy!F499,"")</f>
        <v/>
      </c>
    </row>
    <row r="500" spans="1:7" ht="15.75" customHeight="1">
      <c r="A500" s="23" t="str">
        <f t="shared" si="22"/>
        <v/>
      </c>
      <c r="B500" t="str">
        <f t="shared" si="23"/>
        <v/>
      </c>
      <c r="C500" s="23" t="str">
        <f t="shared" si="24"/>
        <v/>
      </c>
      <c r="E500" s="24" t="str">
        <f>IF(NOT(ISBLANK(G4copy!B500)),G4copy!B500,"")</f>
        <v/>
      </c>
      <c r="F500" s="24" t="str">
        <f>IF(E500&lt;&gt;"",G4copy!A500,"")</f>
        <v/>
      </c>
      <c r="G500" s="24" t="str">
        <f>IF(E500&lt;&gt;"",G4copy!F500,"")</f>
        <v/>
      </c>
    </row>
    <row r="501" spans="1:7" ht="15.75" customHeight="1"/>
    <row r="502" spans="1:7" ht="15.75" customHeight="1"/>
    <row r="503" spans="1:7" ht="15.75" customHeight="1"/>
    <row r="504" spans="1:7" ht="15.75" customHeight="1"/>
    <row r="505" spans="1:7" ht="15.75" customHeight="1"/>
    <row r="506" spans="1:7" ht="15.75" customHeight="1"/>
    <row r="507" spans="1:7" ht="15.75" customHeight="1"/>
    <row r="508" spans="1:7" ht="15.75" customHeight="1"/>
    <row r="509" spans="1:7" ht="15.75" customHeight="1"/>
    <row r="510" spans="1:7" ht="15.75" customHeight="1"/>
    <row r="511" spans="1:7" ht="15.75" customHeight="1"/>
    <row r="512" spans="1:7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1000"/>
  <sheetViews>
    <sheetView workbookViewId="0">
      <pane ySplit="1" topLeftCell="A2" activePane="bottomLeft" state="frozen"/>
      <selection pane="bottomLeft" activeCell="A2" sqref="A2"/>
      <selection activeCell="E2" sqref="E2"/>
    </sheetView>
  </sheetViews>
  <sheetFormatPr defaultColWidth="13.5" defaultRowHeight="15" customHeight="1"/>
  <cols>
    <col min="1" max="1" width="10.5" bestFit="1" customWidth="1"/>
    <col min="2" max="2" width="29.5" bestFit="1" customWidth="1"/>
    <col min="3" max="3" width="10.5" bestFit="1" customWidth="1"/>
    <col min="4" max="4" width="8.375" customWidth="1"/>
    <col min="5" max="5" width="10.5" bestFit="1" customWidth="1"/>
    <col min="6" max="6" width="32.5" bestFit="1" customWidth="1"/>
    <col min="7" max="7" width="10.5" bestFit="1" customWidth="1"/>
    <col min="8" max="26" width="8.375" customWidth="1"/>
  </cols>
  <sheetData>
    <row r="1" spans="1:7" ht="15.75" customHeight="1">
      <c r="A1" t="s">
        <v>124</v>
      </c>
      <c r="B1" t="s">
        <v>125</v>
      </c>
      <c r="C1" t="s">
        <v>126</v>
      </c>
      <c r="E1" s="5" t="s">
        <v>127</v>
      </c>
      <c r="F1" s="5" t="s">
        <v>128</v>
      </c>
      <c r="G1" s="5" t="s">
        <v>129</v>
      </c>
    </row>
    <row r="2" spans="1:7" ht="15.75" customHeight="1">
      <c r="A2" s="23">
        <f>IF(E2&lt;&gt;"",DATEVALUE(LEFT(E2,10)),"")</f>
        <v>45912</v>
      </c>
      <c r="B2" t="str">
        <f t="shared" ref="B2" si="0">IF(LEN(F2)&gt;3,RIGHT(F2,LEN(F2)-3),"")</f>
        <v>opgave herkansing ANW</v>
      </c>
      <c r="C2" s="23">
        <f>IF(E2&lt;&gt;"",DATEVALUE(LEFT(G2,10)),"")</f>
        <v>45896</v>
      </c>
      <c r="E2" s="24" t="str">
        <f>IF(NOT(ISBLANK(G5copy!B2)),G5copy!B2,"")</f>
        <v>2025-09-12T00:00:00.0000000</v>
      </c>
      <c r="F2" s="24" t="str">
        <f>IF(E2&lt;&gt;"",G5copy!A2,"")</f>
        <v>G5 opgave herkansing ANW</v>
      </c>
      <c r="G2" s="24" t="str">
        <f>IF(E2&lt;&gt;"",G5copy!F2,"")</f>
        <v>2025-08-27T18:06:53.5451607+00:00</v>
      </c>
    </row>
    <row r="3" spans="1:7" ht="15.75" customHeight="1">
      <c r="A3" s="23">
        <f t="shared" ref="A3:A66" si="1">IF(E3&lt;&gt;"",DATEVALUE(LEFT(E3,10)),"")</f>
        <v>45917</v>
      </c>
      <c r="B3" t="str">
        <f t="shared" ref="B3:B66" si="2">IF(LEN(F3)&gt;3,RIGHT(F3,LEN(F3)-3),"")</f>
        <v>herkansen ANW</v>
      </c>
      <c r="C3" s="23">
        <f t="shared" ref="C3:C66" si="3">IF(E3&lt;&gt;"",DATEVALUE(LEFT(G3,10)),"")</f>
        <v>45896</v>
      </c>
      <c r="E3" s="24" t="str">
        <f>IF(NOT(ISBLANK(G5copy!B3)),G5copy!B3,"")</f>
        <v>2025-09-17T00:00:00.0000000</v>
      </c>
      <c r="F3" s="24" t="str">
        <f>IF(E3&lt;&gt;"",G5copy!A3,"")</f>
        <v>G5 herkansen ANW</v>
      </c>
      <c r="G3" s="24" t="str">
        <f>IF(E3&lt;&gt;"",G5copy!F3,"")</f>
        <v>2025-08-27T18:06:53.4276101+00:00</v>
      </c>
    </row>
    <row r="4" spans="1:7" ht="15.75" customHeight="1">
      <c r="A4" s="23">
        <f t="shared" si="1"/>
        <v>45923</v>
      </c>
      <c r="B4" t="str">
        <f t="shared" si="2"/>
        <v>inh rep EN</v>
      </c>
      <c r="C4" s="23">
        <f t="shared" si="3"/>
        <v>45923</v>
      </c>
      <c r="E4" s="24" t="str">
        <f>IF(NOT(ISBLANK(G5copy!B4)),G5copy!B4,"")</f>
        <v>2025-09-23T00:00:00.0000000</v>
      </c>
      <c r="F4" s="24" t="str">
        <f>IF(E4&lt;&gt;"",G5copy!A4,"")</f>
        <v>G5 inh rep EN</v>
      </c>
      <c r="G4" s="24" t="str">
        <f>IF(E4&lt;&gt;"",G5copy!F4,"")</f>
        <v>2025-09-23T11:50:47.107691+00:00</v>
      </c>
    </row>
    <row r="5" spans="1:7" ht="15.75" customHeight="1">
      <c r="A5" s="23">
        <f t="shared" si="1"/>
        <v>45923</v>
      </c>
      <c r="B5" t="str">
        <f t="shared" si="2"/>
        <v>inh rep SK</v>
      </c>
      <c r="C5" s="23">
        <f t="shared" si="3"/>
        <v>45923</v>
      </c>
      <c r="E5" s="24" t="str">
        <f>IF(NOT(ISBLANK(G5copy!B5)),G5copy!B5,"")</f>
        <v>2025-09-23T00:00:00.0000000</v>
      </c>
      <c r="F5" s="24" t="str">
        <f>IF(E5&lt;&gt;"",G5copy!A5,"")</f>
        <v>G5 inh rep SK</v>
      </c>
      <c r="G5" s="24" t="str">
        <f>IF(E5&lt;&gt;"",G5copy!F5,"")</f>
        <v>2025-09-23T11:42:22.9314383+00:00</v>
      </c>
    </row>
    <row r="6" spans="1:7" ht="15.75" customHeight="1">
      <c r="A6" s="23">
        <f t="shared" si="1"/>
        <v>45931</v>
      </c>
      <c r="B6" t="str">
        <f t="shared" si="2"/>
        <v>Rep BI</v>
      </c>
      <c r="C6" s="23">
        <f t="shared" si="3"/>
        <v>45896</v>
      </c>
      <c r="E6" s="24" t="str">
        <f>IF(NOT(ISBLANK(G5copy!B6)),G5copy!B6,"")</f>
        <v>2025-10-01T00:00:00.0000000</v>
      </c>
      <c r="F6" s="24" t="str">
        <f>IF(E6&lt;&gt;"",G5copy!A6,"")</f>
        <v>G5 Rep BI</v>
      </c>
      <c r="G6" s="24" t="str">
        <f>IF(E6&lt;&gt;"",G5copy!F6,"")</f>
        <v>2025-08-27T18:06:52.2507782+00:00</v>
      </c>
    </row>
    <row r="7" spans="1:7" ht="15.75" customHeight="1">
      <c r="A7" s="23">
        <f t="shared" si="1"/>
        <v>45936</v>
      </c>
      <c r="B7" t="str">
        <f t="shared" si="2"/>
        <v>SE AK</v>
      </c>
      <c r="C7" s="23">
        <f t="shared" si="3"/>
        <v>45903</v>
      </c>
      <c r="E7" s="24" t="str">
        <f>IF(NOT(ISBLANK(G5copy!B7)),G5copy!B7,"")</f>
        <v>2025-10-06T00:00:00.0000000</v>
      </c>
      <c r="F7" s="24" t="str">
        <f>IF(E7&lt;&gt;"",G5copy!A7,"")</f>
        <v>G5 SE AK</v>
      </c>
      <c r="G7" s="24" t="str">
        <f>IF(E7&lt;&gt;"",G5copy!F7,"")</f>
        <v>2025-09-03T11:08:44.1680901+00:00</v>
      </c>
    </row>
    <row r="8" spans="1:7" ht="15.75" customHeight="1">
      <c r="A8" s="23">
        <f t="shared" si="1"/>
        <v>45938</v>
      </c>
      <c r="B8" t="str">
        <f t="shared" si="2"/>
        <v>KUBVexcursie/Rep BE</v>
      </c>
      <c r="C8" s="23">
        <f t="shared" si="3"/>
        <v>45896</v>
      </c>
      <c r="E8" s="24" t="str">
        <f>IF(NOT(ISBLANK(G5copy!B8)),G5copy!B8,"")</f>
        <v>2025-10-08T00:00:00.0000000</v>
      </c>
      <c r="F8" s="24" t="str">
        <f>IF(E8&lt;&gt;"",G5copy!A8,"")</f>
        <v>G5 KUBVexcursie/Rep BE</v>
      </c>
      <c r="G8" s="24" t="str">
        <f>IF(E8&lt;&gt;"",G5copy!F8,"")</f>
        <v>2025-08-27T18:06:51.952981+00:00</v>
      </c>
    </row>
    <row r="9" spans="1:7" ht="15.75" customHeight="1">
      <c r="A9" s="23">
        <f t="shared" si="1"/>
        <v>45939</v>
      </c>
      <c r="B9" t="str">
        <f t="shared" si="2"/>
        <v>HPG</v>
      </c>
      <c r="C9" s="23">
        <f t="shared" si="3"/>
        <v>45896</v>
      </c>
      <c r="E9" s="24" t="str">
        <f>IF(NOT(ISBLANK(G5copy!B9)),G5copy!B9,"")</f>
        <v>2025-10-09T00:00:00.0000000</v>
      </c>
      <c r="F9" s="24" t="str">
        <f>IF(E9&lt;&gt;"",G5copy!A9,"")</f>
        <v>G5 HPG</v>
      </c>
      <c r="G9" s="24" t="str">
        <f>IF(E9&lt;&gt;"",G5copy!F9,"")</f>
        <v>2025-08-27T18:06:51.842219+00:00</v>
      </c>
    </row>
    <row r="10" spans="1:7" ht="15.75" customHeight="1">
      <c r="A10" s="23">
        <f t="shared" si="1"/>
        <v>45939</v>
      </c>
      <c r="B10" t="str">
        <f t="shared" si="2"/>
        <v>excursie ak</v>
      </c>
      <c r="C10" s="23">
        <f t="shared" si="3"/>
        <v>45915</v>
      </c>
      <c r="E10" s="24" t="str">
        <f>IF(NOT(ISBLANK(G5copy!B10)),G5copy!B10,"")</f>
        <v>2025-10-09T00:00:00.0000000</v>
      </c>
      <c r="F10" s="24" t="str">
        <f>IF(E10&lt;&gt;"",G5copy!A10,"")</f>
        <v>G5 excursie ak</v>
      </c>
      <c r="G10" s="24" t="str">
        <f>IF(E10&lt;&gt;"",G5copy!F10,"")</f>
        <v>2025-09-15T08:35:55.8604474+00:00</v>
      </c>
    </row>
    <row r="11" spans="1:7" ht="15.75" customHeight="1">
      <c r="A11" s="23">
        <f t="shared" si="1"/>
        <v>45940</v>
      </c>
      <c r="B11" t="str">
        <f t="shared" si="2"/>
        <v>excursie Lille (Fa)</v>
      </c>
      <c r="C11" s="23">
        <f t="shared" si="3"/>
        <v>45902</v>
      </c>
      <c r="E11" s="24" t="str">
        <f>IF(NOT(ISBLANK(G5copy!B11)),G5copy!B11,"")</f>
        <v>2025-10-10T00:00:00.0000000</v>
      </c>
      <c r="F11" s="24" t="str">
        <f>IF(E11&lt;&gt;"",G5copy!A11,"")</f>
        <v>G5 excursie Lille (Fa)</v>
      </c>
      <c r="G11" s="24" t="str">
        <f>IF(E11&lt;&gt;"",G5copy!F11,"")</f>
        <v>2025-09-02T17:42:01.8455813+00:00</v>
      </c>
    </row>
    <row r="12" spans="1:7" ht="15.75" customHeight="1">
      <c r="A12" s="23">
        <f t="shared" si="1"/>
        <v>45943</v>
      </c>
      <c r="B12" t="str">
        <f t="shared" si="2"/>
        <v>SE WID</v>
      </c>
      <c r="C12" s="23">
        <f t="shared" si="3"/>
        <v>45936</v>
      </c>
      <c r="E12" s="24" t="str">
        <f>IF(NOT(ISBLANK(G5copy!B12)),G5copy!B12,"")</f>
        <v>2025-10-13T00:00:00.0000000</v>
      </c>
      <c r="F12" s="24" t="str">
        <f>IF(E12&lt;&gt;"",G5copy!A12,"")</f>
        <v>G5 SE WID</v>
      </c>
      <c r="G12" s="24" t="str">
        <f>IF(E12&lt;&gt;"",G5copy!F12,"")</f>
        <v>2025-10-06T17:48:29.4862842+00:00</v>
      </c>
    </row>
    <row r="13" spans="1:7" ht="15.75" customHeight="1">
      <c r="A13" s="23">
        <f t="shared" si="1"/>
        <v>45943</v>
      </c>
      <c r="B13" t="str">
        <f t="shared" si="2"/>
        <v>inh rep bi</v>
      </c>
      <c r="C13" s="23">
        <f t="shared" si="3"/>
        <v>45936</v>
      </c>
      <c r="E13" s="24" t="str">
        <f>IF(NOT(ISBLANK(G5copy!B13)),G5copy!B13,"")</f>
        <v>2025-10-13T00:00:00.0000000</v>
      </c>
      <c r="F13" s="24" t="str">
        <f>IF(E13&lt;&gt;"",G5copy!A13,"")</f>
        <v>G5 inh rep bi</v>
      </c>
      <c r="G13" s="24" t="str">
        <f>IF(E13&lt;&gt;"",G5copy!F13,"")</f>
        <v>2025-10-06T14:04:01.1487221+00:00</v>
      </c>
    </row>
    <row r="14" spans="1:7" ht="15.75" customHeight="1">
      <c r="A14" s="23">
        <f t="shared" si="1"/>
        <v>45945</v>
      </c>
      <c r="B14" t="str">
        <f t="shared" si="2"/>
        <v>Rep GR/LA</v>
      </c>
      <c r="C14" s="23">
        <f t="shared" si="3"/>
        <v>45896</v>
      </c>
      <c r="E14" s="24" t="str">
        <f>IF(NOT(ISBLANK(G5copy!B14)),G5copy!B14,"")</f>
        <v>2025-10-15T00:00:00.0000000</v>
      </c>
      <c r="F14" s="24" t="str">
        <f>IF(E14&lt;&gt;"",G5copy!A14,"")</f>
        <v>G5 Rep GR/LA</v>
      </c>
      <c r="G14" s="24" t="str">
        <f>IF(E14&lt;&gt;"",G5copy!F14,"")</f>
        <v>2025-08-27T18:06:51.5119465+00:00</v>
      </c>
    </row>
    <row r="15" spans="1:7" ht="15.75" customHeight="1">
      <c r="A15" s="23">
        <f t="shared" si="1"/>
        <v>45946</v>
      </c>
      <c r="B15" t="str">
        <f t="shared" si="2"/>
        <v>inh SE ak (geannuleerd)</v>
      </c>
      <c r="C15" s="23">
        <f t="shared" si="3"/>
        <v>45940</v>
      </c>
      <c r="E15" s="24" t="str">
        <f>IF(NOT(ISBLANK(G5copy!B15)),G5copy!B15,"")</f>
        <v>2025-10-16T00:00:00.0000000</v>
      </c>
      <c r="F15" s="24" t="str">
        <f>IF(E15&lt;&gt;"",G5copy!A15,"")</f>
        <v>G5 inh SE ak (geannuleerd)</v>
      </c>
      <c r="G15" s="24" t="str">
        <f>IF(E15&lt;&gt;"",G5copy!F15,"")</f>
        <v>2025-10-10T11:02:06.7844749+00:00</v>
      </c>
    </row>
    <row r="16" spans="1:7" ht="15.75" customHeight="1">
      <c r="A16" s="23">
        <f t="shared" si="1"/>
        <v>45947</v>
      </c>
      <c r="B16" t="str">
        <f t="shared" si="2"/>
        <v>rep wiC</v>
      </c>
      <c r="C16" s="23">
        <f t="shared" si="3"/>
        <v>45939</v>
      </c>
      <c r="E16" s="24" t="str">
        <f>IF(NOT(ISBLANK(G5copy!B16)),G5copy!B16,"")</f>
        <v>2025-10-17T00:00:00.0000000</v>
      </c>
      <c r="F16" s="24" t="str">
        <f>IF(E16&lt;&gt;"",G5copy!A16,"")</f>
        <v>G5 rep wiC</v>
      </c>
      <c r="G16" s="24" t="str">
        <f>IF(E16&lt;&gt;"",G5copy!F16,"")</f>
        <v>2025-10-09T14:56:56.3614585+00:00</v>
      </c>
    </row>
    <row r="17" spans="1:7" ht="15.75" customHeight="1">
      <c r="A17" s="23">
        <f t="shared" si="1"/>
        <v>45957</v>
      </c>
      <c r="B17" t="str">
        <f t="shared" si="2"/>
        <v>SE WIB  Rep WIA</v>
      </c>
      <c r="C17" s="23">
        <f t="shared" si="3"/>
        <v>45896</v>
      </c>
      <c r="E17" s="24" t="str">
        <f>IF(NOT(ISBLANK(G5copy!B17)),G5copy!B17,"")</f>
        <v>2025-10-27T00:00:00.0000000</v>
      </c>
      <c r="F17" s="24" t="str">
        <f>IF(E17&lt;&gt;"",G5copy!A17,"")</f>
        <v>G5 SE WIB  Rep WIA</v>
      </c>
      <c r="G17" s="24" t="str">
        <f>IF(E17&lt;&gt;"",G5copy!F17,"")</f>
        <v>2025-08-27T18:06:51.38604+00:00</v>
      </c>
    </row>
    <row r="18" spans="1:7" ht="15.75" customHeight="1">
      <c r="A18" s="23">
        <f t="shared" si="1"/>
        <v>45957</v>
      </c>
      <c r="B18" t="str">
        <f t="shared" si="2"/>
        <v>inh rep beco</v>
      </c>
      <c r="C18" s="23">
        <f t="shared" si="3"/>
        <v>45936</v>
      </c>
      <c r="E18" s="24" t="str">
        <f>IF(NOT(ISBLANK(G5copy!B18)),G5copy!B18,"")</f>
        <v>2025-10-27T00:00:00.0000000</v>
      </c>
      <c r="F18" s="24" t="str">
        <f>IF(E18&lt;&gt;"",G5copy!A18,"")</f>
        <v>G5 inh rep beco</v>
      </c>
      <c r="G18" s="24" t="str">
        <f>IF(E18&lt;&gt;"",G5copy!F18,"")</f>
        <v>2025-10-06T14:04:02.9145961+00:00</v>
      </c>
    </row>
    <row r="19" spans="1:7" ht="15.75" customHeight="1">
      <c r="A19" s="23">
        <f t="shared" si="1"/>
        <v>45958</v>
      </c>
      <c r="B19" t="str">
        <f t="shared" si="2"/>
        <v xml:space="preserve">inh rep wiC </v>
      </c>
      <c r="C19" s="23">
        <f t="shared" si="3"/>
        <v>45938</v>
      </c>
      <c r="E19" s="24" t="str">
        <f>IF(NOT(ISBLANK(G5copy!B19)),G5copy!B19,"")</f>
        <v>2025-10-28T00:00:00.0000000</v>
      </c>
      <c r="F19" s="24" t="str">
        <f>IF(E19&lt;&gt;"",G5copy!A19,"")</f>
        <v xml:space="preserve">G5 inh rep wiC </v>
      </c>
      <c r="G19" s="24" t="str">
        <f>IF(E19&lt;&gt;"",G5copy!F19,"")</f>
        <v>2025-10-08T13:46:57.7679028+00:00</v>
      </c>
    </row>
    <row r="20" spans="1:7" ht="15.75" customHeight="1">
      <c r="A20" s="23">
        <f t="shared" si="1"/>
        <v>45959</v>
      </c>
      <c r="B20" t="str">
        <f t="shared" si="2"/>
        <v>Rep FI</v>
      </c>
      <c r="C20" s="23">
        <f t="shared" si="3"/>
        <v>45896</v>
      </c>
      <c r="E20" s="24" t="str">
        <f>IF(NOT(ISBLANK(G5copy!B20)),G5copy!B20,"")</f>
        <v>2025-10-29T00:00:00.0000000</v>
      </c>
      <c r="F20" s="24" t="str">
        <f>IF(E20&lt;&gt;"",G5copy!A20,"")</f>
        <v>G5 Rep FI</v>
      </c>
      <c r="G20" s="24" t="str">
        <f>IF(E20&lt;&gt;"",G5copy!F20,"")</f>
        <v>2025-08-27T18:06:51.2755249+00:00</v>
      </c>
    </row>
    <row r="21" spans="1:7" ht="15.75" customHeight="1">
      <c r="A21" s="23">
        <f t="shared" si="1"/>
        <v>45960</v>
      </c>
      <c r="B21" t="str">
        <f t="shared" si="2"/>
        <v>inh SE wiD</v>
      </c>
      <c r="C21" s="23">
        <f t="shared" si="3"/>
        <v>45936</v>
      </c>
      <c r="E21" s="24" t="str">
        <f>IF(NOT(ISBLANK(G5copy!B21)),G5copy!B21,"")</f>
        <v>2025-10-30T00:00:00.0000000</v>
      </c>
      <c r="F21" s="24" t="str">
        <f>IF(E21&lt;&gt;"",G5copy!A21,"")</f>
        <v>G5 inh SE wiD</v>
      </c>
      <c r="G21" s="24" t="str">
        <f>IF(E21&lt;&gt;"",G5copy!F21,"")</f>
        <v>2025-10-06T17:48:27.9681043+00:00</v>
      </c>
    </row>
    <row r="22" spans="1:7" ht="15.75" customHeight="1">
      <c r="A22" s="23">
        <f t="shared" si="1"/>
        <v>45964</v>
      </c>
      <c r="B22" t="str">
        <f t="shared" si="2"/>
        <v>Rep SK</v>
      </c>
      <c r="C22" s="23">
        <f t="shared" si="3"/>
        <v>45896</v>
      </c>
      <c r="E22" s="24" t="str">
        <f>IF(NOT(ISBLANK(G5copy!B22)),G5copy!B22,"")</f>
        <v>2025-11-03T00:00:00.0000000</v>
      </c>
      <c r="F22" s="24" t="str">
        <f>IF(E22&lt;&gt;"",G5copy!A22,"")</f>
        <v>G5 Rep SK</v>
      </c>
      <c r="G22" s="24" t="str">
        <f>IF(E22&lt;&gt;"",G5copy!F22,"")</f>
        <v>2025-08-27T18:06:51.1728353+00:00</v>
      </c>
    </row>
    <row r="23" spans="1:7" ht="15.75" customHeight="1">
      <c r="A23" s="23">
        <f t="shared" si="1"/>
        <v>45964</v>
      </c>
      <c r="B23" t="str">
        <f t="shared" si="2"/>
        <v>inh rep GR/LA</v>
      </c>
      <c r="C23" s="23">
        <f t="shared" si="3"/>
        <v>45936</v>
      </c>
      <c r="E23" s="24" t="str">
        <f>IF(NOT(ISBLANK(G5copy!B23)),G5copy!B23,"")</f>
        <v>2025-11-03T00:00:00.0000000</v>
      </c>
      <c r="F23" s="24" t="str">
        <f>IF(E23&lt;&gt;"",G5copy!A23,"")</f>
        <v>G5 inh rep GR/LA</v>
      </c>
      <c r="G23" s="24" t="str">
        <f>IF(E23&lt;&gt;"",G5copy!F23,"")</f>
        <v>2025-10-06T14:04:01.2504751+00:00</v>
      </c>
    </row>
    <row r="24" spans="1:7" ht="15.75" customHeight="1">
      <c r="A24" s="23">
        <f t="shared" si="1"/>
        <v>45966</v>
      </c>
      <c r="B24" t="str">
        <f t="shared" si="2"/>
        <v>Rep BI</v>
      </c>
      <c r="C24" s="23">
        <f t="shared" si="3"/>
        <v>45896</v>
      </c>
      <c r="E24" s="24" t="str">
        <f>IF(NOT(ISBLANK(G5copy!B24)),G5copy!B24,"")</f>
        <v>2025-11-05T00:00:00.0000000</v>
      </c>
      <c r="F24" s="24" t="str">
        <f>IF(E24&lt;&gt;"",G5copy!A24,"")</f>
        <v>G5 Rep BI</v>
      </c>
      <c r="G24" s="24" t="str">
        <f>IF(E24&lt;&gt;"",G5copy!F24,"")</f>
        <v>2025-08-27T18:06:51.0196931+00:00</v>
      </c>
    </row>
    <row r="25" spans="1:7" ht="15.75" customHeight="1">
      <c r="A25" s="23">
        <f t="shared" si="1"/>
        <v>45971</v>
      </c>
      <c r="B25" t="str">
        <f t="shared" si="2"/>
        <v>Rep EN</v>
      </c>
      <c r="C25" s="23">
        <f t="shared" si="3"/>
        <v>45896</v>
      </c>
      <c r="E25" s="24" t="str">
        <f>IF(NOT(ISBLANK(G5copy!B25)),G5copy!B25,"")</f>
        <v>2025-11-10T00:00:00.0000000</v>
      </c>
      <c r="F25" s="24" t="str">
        <f>IF(E25&lt;&gt;"",G5copy!A25,"")</f>
        <v>G5 Rep EN</v>
      </c>
      <c r="G25" s="24" t="str">
        <f>IF(E25&lt;&gt;"",G5copy!F25,"")</f>
        <v>2025-08-27T18:06:51.5646277+00:00</v>
      </c>
    </row>
    <row r="26" spans="1:7" ht="15.75" customHeight="1">
      <c r="A26" s="23">
        <f t="shared" si="1"/>
        <v>45971</v>
      </c>
      <c r="B26" t="str">
        <f t="shared" si="2"/>
        <v>inh rep wiA/SE wiB</v>
      </c>
      <c r="C26" s="23">
        <f t="shared" si="3"/>
        <v>45936</v>
      </c>
      <c r="E26" s="24" t="str">
        <f>IF(NOT(ISBLANK(G5copy!B26)),G5copy!B26,"")</f>
        <v>2025-11-10T00:00:00.0000000</v>
      </c>
      <c r="F26" s="24" t="str">
        <f>IF(E26&lt;&gt;"",G5copy!A26,"")</f>
        <v>G5 inh rep wiA/SE wiB</v>
      </c>
      <c r="G26" s="24" t="str">
        <f>IF(E26&lt;&gt;"",G5copy!F26,"")</f>
        <v>2025-10-06T14:04:00.3447695+00:00</v>
      </c>
    </row>
    <row r="27" spans="1:7" ht="15.75" customHeight="1">
      <c r="A27" s="23">
        <f t="shared" si="1"/>
        <v>45973</v>
      </c>
      <c r="B27" t="str">
        <f t="shared" si="2"/>
        <v>Rep EC</v>
      </c>
      <c r="C27" s="23">
        <f t="shared" si="3"/>
        <v>45896</v>
      </c>
      <c r="E27" s="24" t="str">
        <f>IF(NOT(ISBLANK(G5copy!B27)),G5copy!B27,"")</f>
        <v>2025-11-12T00:00:00.0000000</v>
      </c>
      <c r="F27" s="24" t="str">
        <f>IF(E27&lt;&gt;"",G5copy!A27,"")</f>
        <v>G5 Rep EC</v>
      </c>
      <c r="G27" s="24" t="str">
        <f>IF(E27&lt;&gt;"",G5copy!F27,"")</f>
        <v>2025-08-27T18:06:50.4677965+00:00</v>
      </c>
    </row>
    <row r="28" spans="1:7" ht="15.75" customHeight="1">
      <c r="A28" s="23">
        <f t="shared" si="1"/>
        <v>45974</v>
      </c>
      <c r="B28" t="str">
        <f t="shared" si="2"/>
        <v>inh rep FI</v>
      </c>
      <c r="C28" s="23">
        <f t="shared" si="3"/>
        <v>45936</v>
      </c>
      <c r="E28" s="24" t="str">
        <f>IF(NOT(ISBLANK(G5copy!B28)),G5copy!B28,"")</f>
        <v>2025-11-13T00:00:00.0000000</v>
      </c>
      <c r="F28" s="24" t="str">
        <f>IF(E28&lt;&gt;"",G5copy!A28,"")</f>
        <v>G5 inh rep FI</v>
      </c>
      <c r="G28" s="24" t="str">
        <f>IF(E28&lt;&gt;"",G5copy!F28,"")</f>
        <v>2025-10-06T14:04:00.0673469+00:00</v>
      </c>
    </row>
    <row r="29" spans="1:7" ht="15.75" customHeight="1">
      <c r="A29" s="23">
        <f t="shared" si="1"/>
        <v>45978</v>
      </c>
      <c r="B29" t="str">
        <f t="shared" si="2"/>
        <v>Maat naar Den Haag</v>
      </c>
      <c r="C29" s="23">
        <f t="shared" si="3"/>
        <v>45925</v>
      </c>
      <c r="E29" s="24" t="str">
        <f>IF(NOT(ISBLANK(G5copy!B29)),G5copy!B29,"")</f>
        <v>2025-11-17T00:00:00.0000000</v>
      </c>
      <c r="F29" s="24" t="str">
        <f>IF(E29&lt;&gt;"",G5copy!A29,"")</f>
        <v>G5 Maat naar Den Haag</v>
      </c>
      <c r="G29" s="24" t="str">
        <f>IF(E29&lt;&gt;"",G5copy!F29,"")</f>
        <v>2025-09-25T10:36:22.6892955+00:00</v>
      </c>
    </row>
    <row r="30" spans="1:7" ht="15.75" customHeight="1">
      <c r="A30" s="23">
        <f t="shared" si="1"/>
        <v>45978</v>
      </c>
      <c r="B30" t="str">
        <f t="shared" si="2"/>
        <v>inh rep SK</v>
      </c>
      <c r="C30" s="23">
        <f t="shared" si="3"/>
        <v>45936</v>
      </c>
      <c r="E30" s="24" t="str">
        <f>IF(NOT(ISBLANK(G5copy!B30)),G5copy!B30,"")</f>
        <v>2025-11-17T00:00:00.0000000</v>
      </c>
      <c r="F30" s="24" t="str">
        <f>IF(E30&lt;&gt;"",G5copy!A30,"")</f>
        <v>G5 inh rep SK</v>
      </c>
      <c r="G30" s="24" t="str">
        <f>IF(E30&lt;&gt;"",G5copy!F30,"")</f>
        <v>2025-10-06T14:03:59.8566996+00:00</v>
      </c>
    </row>
    <row r="31" spans="1:7" ht="15.75" customHeight="1">
      <c r="A31" s="23">
        <f t="shared" si="1"/>
        <v>45980</v>
      </c>
      <c r="B31" t="str">
        <f t="shared" si="2"/>
        <v>Rep NA/PWS presentaties</v>
      </c>
      <c r="C31" s="23">
        <f t="shared" si="3"/>
        <v>45896</v>
      </c>
      <c r="E31" s="24" t="str">
        <f>IF(NOT(ISBLANK(G5copy!B31)),G5copy!B31,"")</f>
        <v>2025-11-19T00:00:00.0000000</v>
      </c>
      <c r="F31" s="24" t="str">
        <f>IF(E31&lt;&gt;"",G5copy!A31,"")</f>
        <v>G5 Rep NA/PWS presentaties</v>
      </c>
      <c r="G31" s="24" t="str">
        <f>IF(E31&lt;&gt;"",G5copy!F31,"")</f>
        <v>2025-08-27T18:06:50.5918604+00:00</v>
      </c>
    </row>
    <row r="32" spans="1:7" ht="15.75" customHeight="1">
      <c r="A32" s="23">
        <f t="shared" si="1"/>
        <v>45981</v>
      </c>
      <c r="B32" t="str">
        <f t="shared" si="2"/>
        <v>inh rep BI</v>
      </c>
      <c r="C32" s="23">
        <f t="shared" si="3"/>
        <v>45936</v>
      </c>
      <c r="E32" s="24" t="str">
        <f>IF(NOT(ISBLANK(G5copy!B32)),G5copy!B32,"")</f>
        <v>2025-11-20T00:00:00.0000000</v>
      </c>
      <c r="F32" s="24" t="str">
        <f>IF(E32&lt;&gt;"",G5copy!A32,"")</f>
        <v>G5 inh rep BI</v>
      </c>
      <c r="G32" s="24" t="str">
        <f>IF(E32&lt;&gt;"",G5copy!F32,"")</f>
        <v>2025-10-06T14:03:59.66724+00:00</v>
      </c>
    </row>
    <row r="33" spans="1:7" ht="15.75" customHeight="1">
      <c r="A33" s="23">
        <f t="shared" si="1"/>
        <v>45985</v>
      </c>
      <c r="B33" t="str">
        <f t="shared" si="2"/>
        <v>SE AC</v>
      </c>
      <c r="C33" s="23">
        <f t="shared" si="3"/>
        <v>45925</v>
      </c>
      <c r="E33" s="24" t="str">
        <f>IF(NOT(ISBLANK(G5copy!B33)),G5copy!B33,"")</f>
        <v>2025-11-24T00:00:00.0000000</v>
      </c>
      <c r="F33" s="24" t="str">
        <f>IF(E33&lt;&gt;"",G5copy!A33,"")</f>
        <v>G5 SE AC</v>
      </c>
      <c r="G33" s="24" t="str">
        <f>IF(E33&lt;&gt;"",G5copy!F33,"")</f>
        <v>2025-09-25T10:36:14.5637376+00:00</v>
      </c>
    </row>
    <row r="34" spans="1:7" ht="15.75" customHeight="1">
      <c r="A34" s="23">
        <f t="shared" si="1"/>
        <v>45985</v>
      </c>
      <c r="B34" t="str">
        <f t="shared" si="2"/>
        <v>inh rep EN</v>
      </c>
      <c r="C34" s="23">
        <f t="shared" si="3"/>
        <v>45936</v>
      </c>
      <c r="E34" s="24" t="str">
        <f>IF(NOT(ISBLANK(G5copy!B34)),G5copy!B34,"")</f>
        <v>2025-11-24T00:00:00.0000000</v>
      </c>
      <c r="F34" s="24" t="str">
        <f>IF(E34&lt;&gt;"",G5copy!A34,"")</f>
        <v>G5 inh rep EN</v>
      </c>
      <c r="G34" s="24" t="str">
        <f>IF(E34&lt;&gt;"",G5copy!F34,"")</f>
        <v>2025-10-06T14:03:56.2357977+00:00</v>
      </c>
    </row>
    <row r="35" spans="1:7" ht="15.75" customHeight="1">
      <c r="A35" s="23">
        <f t="shared" si="1"/>
        <v>45987</v>
      </c>
      <c r="B35" t="str">
        <f t="shared" si="2"/>
        <v>SE MAAT</v>
      </c>
      <c r="C35" s="23">
        <f t="shared" si="3"/>
        <v>45896</v>
      </c>
      <c r="E35" s="24" t="str">
        <f>IF(NOT(ISBLANK(G5copy!B35)),G5copy!B35,"")</f>
        <v>2025-11-26T00:00:00.0000000</v>
      </c>
      <c r="F35" s="24" t="str">
        <f>IF(E35&lt;&gt;"",G5copy!A35,"")</f>
        <v>G5 SE MAAT</v>
      </c>
      <c r="G35" s="24" t="str">
        <f>IF(E35&lt;&gt;"",G5copy!F35,"")</f>
        <v>2025-08-27T18:06:50.4343455+00:00</v>
      </c>
    </row>
    <row r="36" spans="1:7" ht="15.75" customHeight="1">
      <c r="A36" s="23">
        <f t="shared" si="1"/>
        <v>45988</v>
      </c>
      <c r="B36" t="str">
        <f t="shared" si="2"/>
        <v>inh rep EC</v>
      </c>
      <c r="C36" s="23">
        <f t="shared" si="3"/>
        <v>45936</v>
      </c>
      <c r="E36" s="24" t="str">
        <f>IF(NOT(ISBLANK(G5copy!B36)),G5copy!B36,"")</f>
        <v>2025-11-27T00:00:00.0000000</v>
      </c>
      <c r="F36" s="24" t="str">
        <f>IF(E36&lt;&gt;"",G5copy!A36,"")</f>
        <v>G5 inh rep EC</v>
      </c>
      <c r="G36" s="24" t="str">
        <f>IF(E36&lt;&gt;"",G5copy!F36,"")</f>
        <v>2025-10-06T14:03:59.4756607+00:00</v>
      </c>
    </row>
    <row r="37" spans="1:7" ht="15.75" customHeight="1">
      <c r="A37" s="23">
        <f t="shared" si="1"/>
        <v>45992</v>
      </c>
      <c r="B37" t="str">
        <f t="shared" si="2"/>
        <v>inh SE AC</v>
      </c>
      <c r="C37" s="23">
        <f t="shared" si="3"/>
        <v>45936</v>
      </c>
      <c r="E37" s="24" t="str">
        <f>IF(NOT(ISBLANK(G5copy!B37)),G5copy!B37,"")</f>
        <v>2025-12-01T00:00:00.0000000</v>
      </c>
      <c r="F37" s="24" t="str">
        <f>IF(E37&lt;&gt;"",G5copy!A37,"")</f>
        <v>G5 inh SE AC</v>
      </c>
      <c r="G37" s="24" t="str">
        <f>IF(E37&lt;&gt;"",G5copy!F37,"")</f>
        <v>2025-10-06T14:03:59.3519539+00:00</v>
      </c>
    </row>
    <row r="38" spans="1:7" ht="15.75" customHeight="1">
      <c r="A38" s="23">
        <f t="shared" si="1"/>
        <v>45992</v>
      </c>
      <c r="B38" t="str">
        <f t="shared" si="2"/>
        <v>rep FA</v>
      </c>
      <c r="C38" s="23">
        <f t="shared" si="3"/>
        <v>45936</v>
      </c>
      <c r="E38" s="24" t="str">
        <f>IF(NOT(ISBLANK(G5copy!B38)),G5copy!B38,"")</f>
        <v>2025-12-01T00:00:00.0000000</v>
      </c>
      <c r="F38" s="24" t="str">
        <f>IF(E38&lt;&gt;"",G5copy!A38,"")</f>
        <v>G5 rep FA</v>
      </c>
      <c r="G38" s="24" t="str">
        <f>IF(E38&lt;&gt;"",G5copy!F38,"")</f>
        <v>2025-10-06T14:03:55.3959699+00:00</v>
      </c>
    </row>
    <row r="39" spans="1:7" ht="15.75" customHeight="1">
      <c r="A39" s="23">
        <f t="shared" si="1"/>
        <v>45994</v>
      </c>
      <c r="B39" t="str">
        <f t="shared" si="2"/>
        <v>SE WIA</v>
      </c>
      <c r="C39" s="23">
        <f t="shared" si="3"/>
        <v>45896</v>
      </c>
      <c r="E39" s="24" t="str">
        <f>IF(NOT(ISBLANK(G5copy!B39)),G5copy!B39,"")</f>
        <v>2025-12-03T00:00:00.0000000</v>
      </c>
      <c r="F39" s="24" t="str">
        <f>IF(E39&lt;&gt;"",G5copy!A39,"")</f>
        <v>G5 SE WIA</v>
      </c>
      <c r="G39" s="24" t="str">
        <f>IF(E39&lt;&gt;"",G5copy!F39,"")</f>
        <v>2025-08-27T18:06:49.6892895+00:00</v>
      </c>
    </row>
    <row r="40" spans="1:7" ht="15.75" customHeight="1">
      <c r="A40" s="23">
        <f t="shared" si="1"/>
        <v>45995</v>
      </c>
      <c r="B40" t="str">
        <f t="shared" si="2"/>
        <v>inh rep NA</v>
      </c>
      <c r="C40" s="23">
        <f t="shared" si="3"/>
        <v>45937</v>
      </c>
      <c r="E40" s="24" t="str">
        <f>IF(NOT(ISBLANK(G5copy!B40)),G5copy!B40,"")</f>
        <v>2025-12-04T00:00:00.0000000</v>
      </c>
      <c r="F40" s="24" t="str">
        <f>IF(E40&lt;&gt;"",G5copy!A40,"")</f>
        <v>G5 inh rep NA</v>
      </c>
      <c r="G40" s="24" t="str">
        <f>IF(E40&lt;&gt;"",G5copy!F40,"")</f>
        <v>2025-10-07T08:07:37.9365055+00:00</v>
      </c>
    </row>
    <row r="41" spans="1:7" ht="15.75" customHeight="1">
      <c r="A41" s="23">
        <f t="shared" si="1"/>
        <v>45999</v>
      </c>
      <c r="B41" t="str">
        <f t="shared" si="2"/>
        <v>Rep BE</v>
      </c>
      <c r="C41" s="23">
        <f t="shared" si="3"/>
        <v>45896</v>
      </c>
      <c r="E41" s="24" t="str">
        <f>IF(NOT(ISBLANK(G5copy!B41)),G5copy!B41,"")</f>
        <v>2025-12-08T00:00:00.0000000</v>
      </c>
      <c r="F41" s="24" t="str">
        <f>IF(E41&lt;&gt;"",G5copy!A41,"")</f>
        <v>G5 Rep BE</v>
      </c>
      <c r="G41" s="24" t="str">
        <f>IF(E41&lt;&gt;"",G5copy!F41,"")</f>
        <v>2025-08-27T18:06:49.5305577+00:00</v>
      </c>
    </row>
    <row r="42" spans="1:7" ht="15.75" customHeight="1">
      <c r="A42" s="23">
        <f t="shared" si="1"/>
        <v>45999</v>
      </c>
      <c r="B42" t="str">
        <f t="shared" si="2"/>
        <v>inh rep FA</v>
      </c>
      <c r="C42" s="23">
        <f t="shared" si="3"/>
        <v>45936</v>
      </c>
      <c r="E42" s="24" t="str">
        <f>IF(NOT(ISBLANK(G5copy!B42)),G5copy!B42,"")</f>
        <v>2025-12-08T00:00:00.0000000</v>
      </c>
      <c r="F42" s="24" t="str">
        <f>IF(E42&lt;&gt;"",G5copy!A42,"")</f>
        <v>G5 inh rep FA</v>
      </c>
      <c r="G42" s="24" t="str">
        <f>IF(E42&lt;&gt;"",G5copy!F42,"")</f>
        <v>2025-10-06T14:03:59.1766281+00:00</v>
      </c>
    </row>
    <row r="43" spans="1:7" ht="15.75" customHeight="1">
      <c r="A43" s="23">
        <f t="shared" si="1"/>
        <v>46001</v>
      </c>
      <c r="B43" t="str">
        <f t="shared" si="2"/>
        <v>SE WISD</v>
      </c>
      <c r="C43" s="23">
        <f t="shared" si="3"/>
        <v>45987</v>
      </c>
      <c r="E43" s="24" t="str">
        <f>IF(NOT(ISBLANK(G5copy!B43)),G5copy!B43,"")</f>
        <v>2025-12-10T00:00:00.0000000</v>
      </c>
      <c r="F43" s="24" t="str">
        <f>IF(E43&lt;&gt;"",G5copy!A43,"")</f>
        <v>G5 SE WISD</v>
      </c>
      <c r="G43" s="24" t="str">
        <f>IF(E43&lt;&gt;"",G5copy!F43,"")</f>
        <v>2025-11-26T14:10:48.2116728+00:00</v>
      </c>
    </row>
    <row r="44" spans="1:7" ht="15.75" customHeight="1">
      <c r="A44" s="23">
        <f t="shared" si="1"/>
        <v>46001</v>
      </c>
      <c r="B44" t="str">
        <f t="shared" si="2"/>
        <v>kerstmarkt</v>
      </c>
      <c r="C44" s="23">
        <f t="shared" si="3"/>
        <v>45986</v>
      </c>
      <c r="E44" s="24" t="str">
        <f>IF(NOT(ISBLANK(G5copy!B44)),G5copy!B44,"")</f>
        <v>2025-12-10T00:00:00.0000000</v>
      </c>
      <c r="F44" s="24" t="str">
        <f>IF(E44&lt;&gt;"",G5copy!A44,"")</f>
        <v>G5 kerstmarkt</v>
      </c>
      <c r="G44" s="24" t="str">
        <f>IF(E44&lt;&gt;"",G5copy!F44,"")</f>
        <v>2025-11-25T15:24:28.0281087+00:00</v>
      </c>
    </row>
    <row r="45" spans="1:7" ht="15.75" customHeight="1">
      <c r="A45" s="23">
        <f t="shared" si="1"/>
        <v>46002</v>
      </c>
      <c r="B45" t="str">
        <f t="shared" si="2"/>
        <v>HPGcafé</v>
      </c>
      <c r="C45" s="23">
        <f t="shared" si="3"/>
        <v>45896</v>
      </c>
      <c r="E45" s="24" t="str">
        <f>IF(NOT(ISBLANK(G5copy!B45)),G5copy!B45,"")</f>
        <v>2025-12-11T00:00:00.0000000</v>
      </c>
      <c r="F45" s="24" t="str">
        <f>IF(E45&lt;&gt;"",G5copy!A45,"")</f>
        <v>G5 HPGcafé</v>
      </c>
      <c r="G45" s="24" t="str">
        <f>IF(E45&lt;&gt;"",G5copy!F45,"")</f>
        <v>2025-08-27T18:06:48.88548+00:00</v>
      </c>
    </row>
    <row r="46" spans="1:7" ht="15.75" customHeight="1">
      <c r="A46" s="23">
        <f t="shared" si="1"/>
        <v>46002</v>
      </c>
      <c r="B46" t="str">
        <f t="shared" si="2"/>
        <v>inh SE MAAT</v>
      </c>
      <c r="C46" s="23">
        <f t="shared" si="3"/>
        <v>45923</v>
      </c>
      <c r="E46" s="24" t="str">
        <f>IF(NOT(ISBLANK(G5copy!B46)),G5copy!B46,"")</f>
        <v>2025-12-11T00:00:00.0000000</v>
      </c>
      <c r="F46" s="24" t="str">
        <f>IF(E46&lt;&gt;"",G5copy!A46,"")</f>
        <v>G5 inh SE MAAT</v>
      </c>
      <c r="G46" s="24" t="str">
        <f>IF(E46&lt;&gt;"",G5copy!F46,"")</f>
        <v>2025-09-23T11:49:29.483665+00:00</v>
      </c>
    </row>
    <row r="47" spans="1:7" ht="15.75" customHeight="1">
      <c r="A47" s="23">
        <f t="shared" si="1"/>
        <v>46006</v>
      </c>
      <c r="B47" t="str">
        <f t="shared" si="2"/>
        <v>inh SE wiA</v>
      </c>
      <c r="C47" s="23">
        <f t="shared" si="3"/>
        <v>45936</v>
      </c>
      <c r="E47" s="24" t="str">
        <f>IF(NOT(ISBLANK(G5copy!B47)),G5copy!B47,"")</f>
        <v>2025-12-15T00:00:00.0000000</v>
      </c>
      <c r="F47" s="24" t="str">
        <f>IF(E47&lt;&gt;"",G5copy!A47,"")</f>
        <v>G5 inh SE wiA</v>
      </c>
      <c r="G47" s="24" t="str">
        <f>IF(E47&lt;&gt;"",G5copy!F47,"")</f>
        <v>2025-10-06T14:03:59.0450592+00:00</v>
      </c>
    </row>
    <row r="48" spans="1:7" ht="15.75" customHeight="1">
      <c r="A48" s="23">
        <f t="shared" si="1"/>
        <v>46008</v>
      </c>
      <c r="B48" t="str">
        <f t="shared" si="2"/>
        <v>Toetsdag SE BI  SE GS</v>
      </c>
      <c r="C48" s="23">
        <f t="shared" si="3"/>
        <v>45995</v>
      </c>
      <c r="E48" s="24" t="str">
        <f>IF(NOT(ISBLANK(G5copy!B48)),G5copy!B48,"")</f>
        <v>2025-12-17T00:00:00.0000000</v>
      </c>
      <c r="F48" s="24" t="str">
        <f>IF(E48&lt;&gt;"",G5copy!A48,"")</f>
        <v>G5 Toetsdag SE BI  SE GS</v>
      </c>
      <c r="G48" s="24" t="str">
        <f>IF(E48&lt;&gt;"",G5copy!F48,"")</f>
        <v>2025-12-04T11:48:52.6906893+00:00</v>
      </c>
    </row>
    <row r="49" spans="1:7" ht="15.75" customHeight="1">
      <c r="A49" s="23">
        <f t="shared" si="1"/>
        <v>46009</v>
      </c>
      <c r="B49" t="str">
        <f t="shared" si="2"/>
        <v>Toetsdag SE AK  SEWIC  Rep WIB</v>
      </c>
      <c r="C49" s="23">
        <f t="shared" si="3"/>
        <v>45995</v>
      </c>
      <c r="E49" s="24" t="str">
        <f>IF(NOT(ISBLANK(G5copy!B49)),G5copy!B49,"")</f>
        <v>2025-12-18T00:00:00.0000000</v>
      </c>
      <c r="F49" s="24" t="str">
        <f>IF(E49&lt;&gt;"",G5copy!A49,"")</f>
        <v>G5 Toetsdag SE AK  SEWIC  Rep WIB</v>
      </c>
      <c r="G49" s="24" t="str">
        <f>IF(E49&lt;&gt;"",G5copy!F49,"")</f>
        <v>2025-12-04T11:48:51.7919991+00:00</v>
      </c>
    </row>
    <row r="50" spans="1:7" ht="15.75" customHeight="1">
      <c r="A50" s="23">
        <f t="shared" si="1"/>
        <v>46030</v>
      </c>
      <c r="B50" t="str">
        <f t="shared" si="2"/>
        <v>oud-llnochtend (4/5uur)</v>
      </c>
      <c r="C50" s="23">
        <f t="shared" si="3"/>
        <v>45896</v>
      </c>
      <c r="E50" s="24" t="str">
        <f>IF(NOT(ISBLANK(G5copy!B50)),G5copy!B50,"")</f>
        <v>2026-01-08T00:00:00.0000000</v>
      </c>
      <c r="F50" s="24" t="str">
        <f>IF(E50&lt;&gt;"",G5copy!A50,"")</f>
        <v>G5 oud-llnochtend (4/5uur)</v>
      </c>
      <c r="G50" s="24" t="str">
        <f>IF(E50&lt;&gt;"",G5copy!F50,"")</f>
        <v>2025-08-27T18:06:49.262806+00:00</v>
      </c>
    </row>
    <row r="51" spans="1:7" ht="15.75" customHeight="1">
      <c r="A51" s="23">
        <f t="shared" si="1"/>
        <v>46030</v>
      </c>
      <c r="B51" t="str">
        <f t="shared" si="2"/>
        <v>inh SE wiD en inh rep BE</v>
      </c>
      <c r="C51" s="23">
        <f t="shared" si="3"/>
        <v>45936</v>
      </c>
      <c r="E51" s="24" t="str">
        <f>IF(NOT(ISBLANK(G5copy!B51)),G5copy!B51,"")</f>
        <v>2026-01-08T00:00:00.0000000</v>
      </c>
      <c r="F51" s="24" t="str">
        <f>IF(E51&lt;&gt;"",G5copy!A51,"")</f>
        <v>G5 inh SE wiD en inh rep BE</v>
      </c>
      <c r="G51" s="24" t="str">
        <f>IF(E51&lt;&gt;"",G5copy!F51,"")</f>
        <v>2025-10-06T14:03:56.0172938+00:00</v>
      </c>
    </row>
    <row r="52" spans="1:7" ht="15.75" customHeight="1">
      <c r="A52" s="23">
        <f t="shared" si="1"/>
        <v>46034</v>
      </c>
      <c r="B52" t="str">
        <f t="shared" si="2"/>
        <v>inh SE GS en WiD</v>
      </c>
      <c r="C52" s="23">
        <f t="shared" si="3"/>
        <v>46029</v>
      </c>
      <c r="E52" s="24" t="str">
        <f>IF(NOT(ISBLANK(G5copy!B52)),G5copy!B52,"")</f>
        <v>2026-01-12T00:00:00.0000000</v>
      </c>
      <c r="F52" s="24" t="str">
        <f>IF(E52&lt;&gt;"",G5copy!A52,"")</f>
        <v>G5 inh SE GS en WiD</v>
      </c>
      <c r="G52" s="24" t="str">
        <f>IF(E52&lt;&gt;"",G5copy!F52,"")</f>
        <v>2026-01-07T14:48:28.2016269+00:00</v>
      </c>
    </row>
    <row r="53" spans="1:7" ht="15.75" customHeight="1">
      <c r="A53" s="23">
        <f t="shared" si="1"/>
        <v>46036</v>
      </c>
      <c r="B53" t="str">
        <f t="shared" si="2"/>
        <v>SE FI</v>
      </c>
      <c r="C53" s="23">
        <f t="shared" si="3"/>
        <v>45896</v>
      </c>
      <c r="E53" s="24" t="str">
        <f>IF(NOT(ISBLANK(G5copy!B53)),G5copy!B53,"")</f>
        <v>2026-01-14T00:00:00.0000000</v>
      </c>
      <c r="F53" s="24" t="str">
        <f>IF(E53&lt;&gt;"",G5copy!A53,"")</f>
        <v>G5 SE FI</v>
      </c>
      <c r="G53" s="24" t="str">
        <f>IF(E53&lt;&gt;"",G5copy!F53,"")</f>
        <v>2025-08-27T18:06:48.023211+00:00</v>
      </c>
    </row>
    <row r="54" spans="1:7" ht="15.75" customHeight="1">
      <c r="A54" s="23">
        <f t="shared" si="1"/>
        <v>46037</v>
      </c>
      <c r="B54" t="str">
        <f t="shared" si="2"/>
        <v>inh SE AK en BE</v>
      </c>
      <c r="C54" s="23">
        <f t="shared" si="3"/>
        <v>46029</v>
      </c>
      <c r="E54" s="24" t="str">
        <f>IF(NOT(ISBLANK(G5copy!B54)),G5copy!B54,"")</f>
        <v>2026-01-15T00:00:00.0000000</v>
      </c>
      <c r="F54" s="24" t="str">
        <f>IF(E54&lt;&gt;"",G5copy!A54,"")</f>
        <v>G5 inh SE AK en BE</v>
      </c>
      <c r="G54" s="24" t="str">
        <f>IF(E54&lt;&gt;"",G5copy!F54,"")</f>
        <v>2026-01-07T14:48:27.4027136+00:00</v>
      </c>
    </row>
    <row r="55" spans="1:7" ht="15.75" customHeight="1">
      <c r="A55" s="23">
        <f t="shared" si="1"/>
        <v>46041</v>
      </c>
      <c r="B55" t="str">
        <f t="shared" si="2"/>
        <v>Inh SE BI (1e en 2e uur!)</v>
      </c>
      <c r="C55" s="23">
        <f t="shared" si="3"/>
        <v>46027</v>
      </c>
      <c r="E55" s="24" t="str">
        <f>IF(NOT(ISBLANK(G5copy!B55)),G5copy!B55,"")</f>
        <v>2026-01-19T00:00:00.0000000</v>
      </c>
      <c r="F55" s="24" t="str">
        <f>IF(E55&lt;&gt;"",G5copy!A55,"")</f>
        <v>G5 Inh SE BI (1e en 2e uur!)</v>
      </c>
      <c r="G55" s="24" t="str">
        <f>IF(E55&lt;&gt;"",G5copy!F55,"")</f>
        <v>2026-01-05T16:05:34.2873115+00:00</v>
      </c>
    </row>
    <row r="56" spans="1:7" ht="15.75" customHeight="1">
      <c r="A56" s="23">
        <f t="shared" si="1"/>
        <v>46043</v>
      </c>
      <c r="B56" t="str">
        <f t="shared" si="2"/>
        <v>inh rep wiB (1e uur)</v>
      </c>
      <c r="C56" s="23">
        <f t="shared" si="3"/>
        <v>46036</v>
      </c>
      <c r="E56" s="24" t="str">
        <f>IF(NOT(ISBLANK(G5copy!B56)),G5copy!B56,"")</f>
        <v>2026-01-21T00:00:00.0000000</v>
      </c>
      <c r="F56" s="24" t="str">
        <f>IF(E56&lt;&gt;"",G5copy!A56,"")</f>
        <v>G5 inh rep wiB (1e uur)</v>
      </c>
      <c r="G56" s="24" t="str">
        <f>IF(E56&lt;&gt;"",G5copy!F56,"")</f>
        <v>2026-01-14T12:05:13.5622945+00:00</v>
      </c>
    </row>
    <row r="57" spans="1:7" ht="15.75" customHeight="1">
      <c r="A57" s="23">
        <f t="shared" si="1"/>
        <v>46044</v>
      </c>
      <c r="B57" t="str">
        <f t="shared" si="2"/>
        <v>veegmoment</v>
      </c>
      <c r="C57" s="23">
        <f t="shared" si="3"/>
        <v>45936</v>
      </c>
      <c r="E57" s="24" t="str">
        <f>IF(NOT(ISBLANK(G5copy!B57)),G5copy!B57,"")</f>
        <v>2026-01-22T00:00:00.0000000</v>
      </c>
      <c r="F57" s="24" t="str">
        <f>IF(E57&lt;&gt;"",G5copy!A57,"")</f>
        <v>G5 veegmoment</v>
      </c>
      <c r="G57" s="24" t="str">
        <f>IF(E57&lt;&gt;"",G5copy!F57,"")</f>
        <v>2025-10-06T14:03:58.3976951+00:00</v>
      </c>
    </row>
    <row r="58" spans="1:7" ht="15.75" customHeight="1">
      <c r="A58" s="23">
        <f t="shared" si="1"/>
        <v>46048</v>
      </c>
      <c r="B58" t="str">
        <f t="shared" si="2"/>
        <v>tsweek: rep netl / se wisd. Inhalen SE fi</v>
      </c>
      <c r="C58" s="23">
        <f t="shared" si="3"/>
        <v>45965</v>
      </c>
      <c r="E58" s="24" t="str">
        <f>IF(NOT(ISBLANK(G5copy!B58)),G5copy!B58,"")</f>
        <v>2026-01-26T00:00:00.0000000</v>
      </c>
      <c r="F58" s="24" t="str">
        <f>IF(E58&lt;&gt;"",G5copy!A58,"")</f>
        <v>Toetsweek: rep netl / se wisd. Inhalen SE fi</v>
      </c>
      <c r="G58" s="24" t="str">
        <f>IF(E58&lt;&gt;"",G5copy!F58,"")</f>
        <v>2025-11-04T11:03:52.0955583+00:00</v>
      </c>
    </row>
    <row r="59" spans="1:7" ht="15.75" customHeight="1">
      <c r="A59" s="23">
        <f t="shared" si="1"/>
        <v>46049</v>
      </c>
      <c r="B59" t="str">
        <f t="shared" si="2"/>
        <v>tsweek: rep nat / rep sptl</v>
      </c>
      <c r="C59" s="23">
        <f t="shared" si="3"/>
        <v>45965</v>
      </c>
      <c r="E59" s="24" t="str">
        <f>IF(NOT(ISBLANK(G5copy!B59)),G5copy!B59,"")</f>
        <v>2026-01-27T00:00:00.0000000</v>
      </c>
      <c r="F59" s="24" t="str">
        <f>IF(E59&lt;&gt;"",G5copy!A59,"")</f>
        <v>Toetsweek: rep nat / rep sptl</v>
      </c>
      <c r="G59" s="24" t="str">
        <f>IF(E59&lt;&gt;"",G5copy!F59,"")</f>
        <v>2025-11-04T11:04:51.1152262+00:00</v>
      </c>
    </row>
    <row r="60" spans="1:7" ht="15.75" customHeight="1">
      <c r="A60" s="23">
        <f t="shared" si="1"/>
        <v>46050</v>
      </c>
      <c r="B60" t="str">
        <f t="shared" si="2"/>
        <v>tsweek: rep beco / se grtl / se latl</v>
      </c>
      <c r="C60" s="23">
        <f t="shared" si="3"/>
        <v>45965</v>
      </c>
      <c r="E60" s="24" t="str">
        <f>IF(NOT(ISBLANK(G5copy!B60)),G5copy!B60,"")</f>
        <v>2026-01-28T00:00:00.0000000</v>
      </c>
      <c r="F60" s="24" t="str">
        <f>IF(E60&lt;&gt;"",G5copy!A60,"")</f>
        <v>Toetsweek: rep beco / se grtl / se latl</v>
      </c>
      <c r="G60" s="24" t="str">
        <f>IF(E60&lt;&gt;"",G5copy!F60,"")</f>
        <v>2025-11-04T11:04:49.5243054+00:00</v>
      </c>
    </row>
    <row r="61" spans="1:7" ht="15.75" customHeight="1">
      <c r="A61" s="23">
        <f t="shared" si="1"/>
        <v>46051</v>
      </c>
      <c r="B61" t="str">
        <f t="shared" si="2"/>
        <v>tsweek: rep fatl / rep schk</v>
      </c>
      <c r="C61" s="23">
        <f t="shared" si="3"/>
        <v>45965</v>
      </c>
      <c r="E61" s="24" t="str">
        <f>IF(NOT(ISBLANK(G5copy!B61)),G5copy!B61,"")</f>
        <v>2026-01-29T00:00:00.0000000</v>
      </c>
      <c r="F61" s="24" t="str">
        <f>IF(E61&lt;&gt;"",G5copy!A61,"")</f>
        <v>Toetsweek: rep fatl / rep schk</v>
      </c>
      <c r="G61" s="24" t="str">
        <f>IF(E61&lt;&gt;"",G5copy!F61,"")</f>
        <v>2025-11-04T11:04:47.7179176+00:00</v>
      </c>
    </row>
    <row r="62" spans="1:7" ht="15.75" customHeight="1">
      <c r="A62" s="23">
        <f t="shared" si="1"/>
        <v>46052</v>
      </c>
      <c r="B62" t="str">
        <f t="shared" si="2"/>
        <v>tsweek: rep entl</v>
      </c>
      <c r="C62" s="23">
        <f t="shared" si="3"/>
        <v>45965</v>
      </c>
      <c r="E62" s="24" t="str">
        <f>IF(NOT(ISBLANK(G5copy!B62)),G5copy!B62,"")</f>
        <v>2026-01-30T00:00:00.0000000</v>
      </c>
      <c r="F62" s="24" t="str">
        <f>IF(E62&lt;&gt;"",G5copy!A62,"")</f>
        <v>Toetsweek: rep entl</v>
      </c>
      <c r="G62" s="24" t="str">
        <f>IF(E62&lt;&gt;"",G5copy!F62,"")</f>
        <v>2025-11-04T11:04:46.2884796+00:00</v>
      </c>
    </row>
    <row r="63" spans="1:7" ht="15.75" customHeight="1">
      <c r="A63" s="23">
        <f t="shared" si="1"/>
        <v>46055</v>
      </c>
      <c r="B63" t="str">
        <f t="shared" si="2"/>
        <v>rep Duits</v>
      </c>
      <c r="C63" s="23">
        <f t="shared" si="3"/>
        <v>45985</v>
      </c>
      <c r="E63" s="24" t="str">
        <f>IF(NOT(ISBLANK(G5copy!B63)),G5copy!B63,"")</f>
        <v>2026-02-02T00:00:00.0000000</v>
      </c>
      <c r="F63" s="24" t="str">
        <f>IF(E63&lt;&gt;"",G5copy!A63,"")</f>
        <v>G5 rep Duits</v>
      </c>
      <c r="G63" s="24" t="str">
        <f>IF(E63&lt;&gt;"",G5copy!F63,"")</f>
        <v>2025-11-24T10:25:09.7428872+00:00</v>
      </c>
    </row>
    <row r="64" spans="1:7" ht="15.75" customHeight="1">
      <c r="A64" s="23">
        <f t="shared" si="1"/>
        <v>46056</v>
      </c>
      <c r="B64" t="str">
        <f t="shared" si="2"/>
        <v>inhalen repetities en SE's repetitieweek</v>
      </c>
      <c r="C64" s="23">
        <f t="shared" si="3"/>
        <v>46050</v>
      </c>
      <c r="E64" s="24" t="str">
        <f>IF(NOT(ISBLANK(G5copy!B64)),G5copy!B64,"")</f>
        <v>2026-02-03T00:00:00.0000000</v>
      </c>
      <c r="F64" s="24" t="str">
        <f>IF(E64&lt;&gt;"",G5copy!A64,"")</f>
        <v>G5 inhalen repetities en SE's repetitieweek</v>
      </c>
      <c r="G64" s="24" t="str">
        <f>IF(E64&lt;&gt;"",G5copy!F64,"")</f>
        <v>2026-01-28T13:02:47.5033722+00:00</v>
      </c>
    </row>
    <row r="65" spans="1:7" ht="15.75" customHeight="1">
      <c r="A65" s="23">
        <f t="shared" si="1"/>
        <v>46057</v>
      </c>
      <c r="B65" t="str">
        <f t="shared" si="2"/>
        <v>Rep WIA</v>
      </c>
      <c r="C65" s="23">
        <f t="shared" si="3"/>
        <v>45896</v>
      </c>
      <c r="E65" s="24" t="str">
        <f>IF(NOT(ISBLANK(G5copy!B65)),G5copy!B65,"")</f>
        <v>2026-02-04T00:00:00.0000000</v>
      </c>
      <c r="F65" s="24" t="str">
        <f>IF(E65&lt;&gt;"",G5copy!A65,"")</f>
        <v>G5 Rep WIA</v>
      </c>
      <c r="G65" s="24" t="str">
        <f>IF(E65&lt;&gt;"",G5copy!F65,"")</f>
        <v>2025-08-27T18:06:46.9564385+00:00</v>
      </c>
    </row>
    <row r="66" spans="1:7" ht="15.75" customHeight="1">
      <c r="A66" s="23">
        <f t="shared" si="1"/>
        <v>46058</v>
      </c>
      <c r="B66" t="str">
        <f t="shared" si="2"/>
        <v>inh rep be</v>
      </c>
      <c r="C66" s="23">
        <f t="shared" si="3"/>
        <v>45936</v>
      </c>
      <c r="E66" s="24" t="str">
        <f>IF(NOT(ISBLANK(G5copy!B66)),G5copy!B66,"")</f>
        <v>2026-02-05T00:00:00.0000000</v>
      </c>
      <c r="F66" s="24" t="str">
        <f>IF(E66&lt;&gt;"",G5copy!A66,"")</f>
        <v>G5 inh rep be</v>
      </c>
      <c r="G66" s="24" t="str">
        <f>IF(E66&lt;&gt;"",G5copy!F66,"")</f>
        <v>2025-10-06T14:03:58.1630848+00:00</v>
      </c>
    </row>
    <row r="67" spans="1:7" ht="15.75" customHeight="1">
      <c r="A67" s="23">
        <f t="shared" ref="A67:A130" si="4">IF(E67&lt;&gt;"",DATEVALUE(LEFT(E67,10)),"")</f>
        <v>46058</v>
      </c>
      <c r="B67" t="str">
        <f t="shared" ref="B67:B130" si="5">IF(LEN(F67)&gt;3,RIGHT(F67,LEN(F67)-3),"")</f>
        <v>taaldorp Duits</v>
      </c>
      <c r="C67" s="23">
        <f t="shared" ref="C67:C130" si="6">IF(E67&lt;&gt;"",DATEVALUE(LEFT(G67,10)),"")</f>
        <v>45986</v>
      </c>
      <c r="E67" s="24" t="str">
        <f>IF(NOT(ISBLANK(G5copy!B67)),G5copy!B67,"")</f>
        <v>2026-02-05T00:00:00.0000000</v>
      </c>
      <c r="F67" s="24" t="str">
        <f>IF(E67&lt;&gt;"",G5copy!A67,"")</f>
        <v>G5 taaldorp Duits</v>
      </c>
      <c r="G67" s="24" t="str">
        <f>IF(E67&lt;&gt;"",G5copy!F67,"")</f>
        <v>2025-11-25T15:24:27.3807361+00:00</v>
      </c>
    </row>
    <row r="68" spans="1:7" ht="15.75" customHeight="1">
      <c r="A68" s="23">
        <f t="shared" si="4"/>
        <v>46062</v>
      </c>
      <c r="B68" t="str">
        <f t="shared" si="5"/>
        <v>SE AC</v>
      </c>
      <c r="C68" s="23">
        <f t="shared" si="6"/>
        <v>45896</v>
      </c>
      <c r="E68" s="24" t="str">
        <f>IF(NOT(ISBLANK(G5copy!B68)),G5copy!B68,"")</f>
        <v>2026-02-09T00:00:00.0000000</v>
      </c>
      <c r="F68" s="24" t="str">
        <f>IF(E68&lt;&gt;"",G5copy!A68,"")</f>
        <v>G5 SE AC</v>
      </c>
      <c r="G68" s="24" t="str">
        <f>IF(E68&lt;&gt;"",G5copy!F68,"")</f>
        <v>2025-08-27T18:06:46.8583389+00:00</v>
      </c>
    </row>
    <row r="69" spans="1:7" ht="15.75" customHeight="1">
      <c r="A69" s="23">
        <f t="shared" si="4"/>
        <v>46062</v>
      </c>
      <c r="B69" t="str">
        <f t="shared" si="5"/>
        <v>inh rep EN</v>
      </c>
      <c r="C69" s="23">
        <f t="shared" si="6"/>
        <v>45936</v>
      </c>
      <c r="E69" s="24" t="str">
        <f>IF(NOT(ISBLANK(G5copy!B69)),G5copy!B69,"")</f>
        <v>2026-02-09T00:00:00.0000000</v>
      </c>
      <c r="F69" s="24" t="str">
        <f>IF(E69&lt;&gt;"",G5copy!A69,"")</f>
        <v>G5 inh rep EN</v>
      </c>
      <c r="G69" s="24" t="str">
        <f>IF(E69&lt;&gt;"",G5copy!F69,"")</f>
        <v>2025-10-06T14:03:59.1479045+00:00</v>
      </c>
    </row>
    <row r="70" spans="1:7" ht="15.75" customHeight="1">
      <c r="A70" s="23">
        <f t="shared" si="4"/>
        <v>46064</v>
      </c>
      <c r="B70" t="str">
        <f t="shared" si="5"/>
        <v>SE MAAT</v>
      </c>
      <c r="C70" s="23">
        <f t="shared" si="6"/>
        <v>45896</v>
      </c>
      <c r="E70" s="24" t="str">
        <f>IF(NOT(ISBLANK(G5copy!B70)),G5copy!B70,"")</f>
        <v>2026-02-11T00:00:00.0000000</v>
      </c>
      <c r="F70" s="24" t="str">
        <f>IF(E70&lt;&gt;"",G5copy!A70,"")</f>
        <v>G5 SE MAAT</v>
      </c>
      <c r="G70" s="24" t="str">
        <f>IF(E70&lt;&gt;"",G5copy!F70,"")</f>
        <v>2025-08-27T18:06:48.1609755+00:00</v>
      </c>
    </row>
    <row r="71" spans="1:7" ht="15.75" customHeight="1">
      <c r="A71" s="23">
        <f t="shared" si="4"/>
        <v>46065</v>
      </c>
      <c r="B71" t="str">
        <f t="shared" si="5"/>
        <v>HPGpresentaties</v>
      </c>
      <c r="C71" s="23">
        <f t="shared" si="6"/>
        <v>45896</v>
      </c>
      <c r="E71" s="24" t="str">
        <f>IF(NOT(ISBLANK(G5copy!B71)),G5copy!B71,"")</f>
        <v>2026-02-12T00:00:00.0000000</v>
      </c>
      <c r="F71" s="24" t="str">
        <f>IF(E71&lt;&gt;"",G5copy!A71,"")</f>
        <v>G5 HPGpresentaties</v>
      </c>
      <c r="G71" s="24" t="str">
        <f>IF(E71&lt;&gt;"",G5copy!F71,"")</f>
        <v>2025-08-27T18:06:46.5618453+00:00</v>
      </c>
    </row>
    <row r="72" spans="1:7" ht="15.75" customHeight="1">
      <c r="A72" s="23">
        <f t="shared" si="4"/>
        <v>46065</v>
      </c>
      <c r="B72" t="str">
        <f t="shared" si="5"/>
        <v>inh rep NA</v>
      </c>
      <c r="C72" s="23">
        <f t="shared" si="6"/>
        <v>45936</v>
      </c>
      <c r="E72" s="24" t="str">
        <f>IF(NOT(ISBLANK(G5copy!B72)),G5copy!B72,"")</f>
        <v>2026-02-12T00:00:00.0000000</v>
      </c>
      <c r="F72" s="24" t="str">
        <f>IF(E72&lt;&gt;"",G5copy!A72,"")</f>
        <v>G5 inh rep NA</v>
      </c>
      <c r="G72" s="24" t="str">
        <f>IF(E72&lt;&gt;"",G5copy!F72,"")</f>
        <v>2025-10-06T14:03:58.9776291+00:00</v>
      </c>
    </row>
    <row r="73" spans="1:7" ht="15.75" customHeight="1">
      <c r="A73" s="23">
        <f t="shared" si="4"/>
        <v>46077</v>
      </c>
      <c r="B73" t="str">
        <f t="shared" si="5"/>
        <v>projectweek kl</v>
      </c>
      <c r="C73" s="23">
        <f t="shared" si="6"/>
        <v>45896</v>
      </c>
      <c r="E73" s="24" t="str">
        <f>IF(NOT(ISBLANK(G5copy!B73)),G5copy!B73,"")</f>
        <v>2026-02-24T00:00:00.0000000</v>
      </c>
      <c r="F73" s="24" t="str">
        <f>IF(E73&lt;&gt;"",G5copy!A73,"")</f>
        <v>G5 projectweek kl</v>
      </c>
      <c r="G73" s="24" t="str">
        <f>IF(E73&lt;&gt;"",G5copy!F73,"")</f>
        <v>2025-08-27T18:06:47.8849631+00:00</v>
      </c>
    </row>
    <row r="74" spans="1:7" ht="15.75" customHeight="1">
      <c r="A74" s="23">
        <f t="shared" si="4"/>
        <v>46078</v>
      </c>
      <c r="B74" t="str">
        <f t="shared" si="5"/>
        <v>projectweek kl</v>
      </c>
      <c r="C74" s="23">
        <f t="shared" si="6"/>
        <v>45896</v>
      </c>
      <c r="E74" s="24" t="str">
        <f>IF(NOT(ISBLANK(G5copy!B74)),G5copy!B74,"")</f>
        <v>2026-02-25T00:00:00.0000000</v>
      </c>
      <c r="F74" s="24" t="str">
        <f>IF(E74&lt;&gt;"",G5copy!A74,"")</f>
        <v>G5 projectweek kl</v>
      </c>
      <c r="G74" s="24" t="str">
        <f>IF(E74&lt;&gt;"",G5copy!F74,"")</f>
        <v>2025-08-27T18:06:47.4998455+00:00</v>
      </c>
    </row>
    <row r="75" spans="1:7" ht="15.75" customHeight="1">
      <c r="A75" s="23">
        <f t="shared" si="4"/>
        <v>46079</v>
      </c>
      <c r="B75" t="str">
        <f t="shared" si="5"/>
        <v>projectweek kl</v>
      </c>
      <c r="C75" s="23">
        <f t="shared" si="6"/>
        <v>45896</v>
      </c>
      <c r="E75" s="24" t="str">
        <f>IF(NOT(ISBLANK(G5copy!B75)),G5copy!B75,"")</f>
        <v>2026-02-26T00:00:00.0000000</v>
      </c>
      <c r="F75" s="24" t="str">
        <f>IF(E75&lt;&gt;"",G5copy!A75,"")</f>
        <v>G5 projectweek kl</v>
      </c>
      <c r="G75" s="24" t="str">
        <f>IF(E75&lt;&gt;"",G5copy!F75,"")</f>
        <v>2025-08-27T18:06:47.3728557+00:00</v>
      </c>
    </row>
    <row r="76" spans="1:7" ht="15.75" customHeight="1">
      <c r="A76" s="23">
        <f t="shared" si="4"/>
        <v>46080</v>
      </c>
      <c r="B76" t="str">
        <f t="shared" si="5"/>
        <v>projectweek kl</v>
      </c>
      <c r="C76" s="23">
        <f t="shared" si="6"/>
        <v>45896</v>
      </c>
      <c r="E76" s="24" t="str">
        <f>IF(NOT(ISBLANK(G5copy!B76)),G5copy!B76,"")</f>
        <v>2026-02-27T00:00:00.0000000</v>
      </c>
      <c r="F76" s="24" t="str">
        <f>IF(E76&lt;&gt;"",G5copy!A76,"")</f>
        <v>G5 projectweek kl</v>
      </c>
      <c r="G76" s="24" t="str">
        <f>IF(E76&lt;&gt;"",G5copy!F76,"")</f>
        <v>2025-08-27T18:06:47.1762971+00:00</v>
      </c>
    </row>
    <row r="77" spans="1:7" ht="15.75" customHeight="1">
      <c r="A77" s="23">
        <f t="shared" si="4"/>
        <v>46083</v>
      </c>
      <c r="B77" t="str">
        <f t="shared" si="5"/>
        <v>Rep wiB</v>
      </c>
      <c r="C77" s="23">
        <f t="shared" si="6"/>
        <v>45915</v>
      </c>
      <c r="E77" s="24" t="str">
        <f>IF(NOT(ISBLANK(G5copy!B77)),G5copy!B77,"")</f>
        <v>2026-03-02T00:00:00.0000000</v>
      </c>
      <c r="F77" s="24" t="str">
        <f>IF(E77&lt;&gt;"",G5copy!A77,"")</f>
        <v>G5 Rep wiB</v>
      </c>
      <c r="G77" s="24" t="str">
        <f>IF(E77&lt;&gt;"",G5copy!F77,"")</f>
        <v>2025-09-15T12:26:28.0088796+00:00</v>
      </c>
    </row>
    <row r="78" spans="1:7" ht="15.75" customHeight="1">
      <c r="A78" s="23">
        <f t="shared" si="4"/>
        <v>46083</v>
      </c>
      <c r="B78" t="str">
        <f t="shared" si="5"/>
        <v>inh rep wiA</v>
      </c>
      <c r="C78" s="23">
        <f t="shared" si="6"/>
        <v>45936</v>
      </c>
      <c r="E78" s="24" t="str">
        <f>IF(NOT(ISBLANK(G5copy!B78)),G5copy!B78,"")</f>
        <v>2026-03-02T00:00:00.0000000</v>
      </c>
      <c r="F78" s="24" t="str">
        <f>IF(E78&lt;&gt;"",G5copy!A78,"")</f>
        <v>G5 inh rep wiA</v>
      </c>
      <c r="G78" s="24" t="str">
        <f>IF(E78&lt;&gt;"",G5copy!F78,"")</f>
        <v>2025-10-06T14:03:57.7488709+00:00</v>
      </c>
    </row>
    <row r="79" spans="1:7" ht="15.75" customHeight="1">
      <c r="A79" s="23">
        <f t="shared" si="4"/>
        <v>46085</v>
      </c>
      <c r="B79" t="str">
        <f t="shared" si="5"/>
        <v>beroepenochtend (4/5 uur)</v>
      </c>
      <c r="C79" s="23">
        <f t="shared" si="6"/>
        <v>45896</v>
      </c>
      <c r="E79" s="24" t="str">
        <f>IF(NOT(ISBLANK(G5copy!B79)),G5copy!B79,"")</f>
        <v>2026-03-04T00:00:00.0000000</v>
      </c>
      <c r="F79" s="24" t="str">
        <f>IF(E79&lt;&gt;"",G5copy!A79,"")</f>
        <v>G5 beroepenochtend (4/5 uur)</v>
      </c>
      <c r="G79" s="24" t="str">
        <f>IF(E79&lt;&gt;"",G5copy!F79,"")</f>
        <v>2025-08-27T18:06:46.5080914+00:00</v>
      </c>
    </row>
    <row r="80" spans="1:7" ht="15.75" customHeight="1">
      <c r="A80" s="23">
        <f t="shared" si="4"/>
        <v>46085</v>
      </c>
      <c r="B80" t="str">
        <f t="shared" si="5"/>
        <v>inh SE AC</v>
      </c>
      <c r="C80" s="23">
        <f t="shared" si="6"/>
        <v>45936</v>
      </c>
      <c r="E80" s="24" t="str">
        <f>IF(NOT(ISBLANK(G5copy!B80)),G5copy!B80,"")</f>
        <v>2026-03-04T00:00:00.0000000</v>
      </c>
      <c r="F80" s="24" t="str">
        <f>IF(E80&lt;&gt;"",G5copy!A80,"")</f>
        <v>G5 inh SE AC</v>
      </c>
      <c r="G80" s="24" t="str">
        <f>IF(E80&lt;&gt;"",G5copy!F80,"")</f>
        <v>2025-10-06T14:03:57.5675835+00:00</v>
      </c>
    </row>
    <row r="81" spans="1:7" ht="15.75" customHeight="1">
      <c r="A81" s="23">
        <f t="shared" si="4"/>
        <v>46086</v>
      </c>
      <c r="B81" t="str">
        <f t="shared" si="5"/>
        <v>inh SE MAAT</v>
      </c>
      <c r="C81" s="23">
        <f t="shared" si="6"/>
        <v>45936</v>
      </c>
      <c r="E81" s="24" t="str">
        <f>IF(NOT(ISBLANK(G5copy!B81)),G5copy!B81,"")</f>
        <v>2026-03-05T00:00:00.0000000</v>
      </c>
      <c r="F81" s="24" t="str">
        <f>IF(E81&lt;&gt;"",G5copy!A81,"")</f>
        <v>G5 inh SE MAAT</v>
      </c>
      <c r="G81" s="24" t="str">
        <f>IF(E81&lt;&gt;"",G5copy!F81,"")</f>
        <v>2025-10-06T14:03:58.1987317+00:00</v>
      </c>
    </row>
    <row r="82" spans="1:7" ht="15.75" customHeight="1">
      <c r="A82" s="23">
        <f t="shared" si="4"/>
        <v>46090</v>
      </c>
      <c r="B82" t="str">
        <f t="shared" si="5"/>
        <v>Rep LA</v>
      </c>
      <c r="C82" s="23">
        <f t="shared" si="6"/>
        <v>45896</v>
      </c>
      <c r="E82" s="24" t="str">
        <f>IF(NOT(ISBLANK(G5copy!B82)),G5copy!B82,"")</f>
        <v>2026-03-09T00:00:00.0000000</v>
      </c>
      <c r="F82" s="24" t="str">
        <f>IF(E82&lt;&gt;"",G5copy!A82,"")</f>
        <v>G5 Rep LA</v>
      </c>
      <c r="G82" s="24" t="str">
        <f>IF(E82&lt;&gt;"",G5copy!F82,"")</f>
        <v>2025-08-27T18:06:45.8303787+00:00</v>
      </c>
    </row>
    <row r="83" spans="1:7" ht="15.75" customHeight="1">
      <c r="A83" s="23">
        <f t="shared" si="4"/>
        <v>46092</v>
      </c>
      <c r="B83" t="str">
        <f t="shared" si="5"/>
        <v>Rep FI</v>
      </c>
      <c r="C83" s="23">
        <f t="shared" si="6"/>
        <v>45896</v>
      </c>
      <c r="E83" s="24" t="str">
        <f>IF(NOT(ISBLANK(G5copy!B83)),G5copy!B83,"")</f>
        <v>2026-03-11T00:00:00.0000000</v>
      </c>
      <c r="F83" s="24" t="str">
        <f>IF(E83&lt;&gt;"",G5copy!A83,"")</f>
        <v>G5 Rep FI</v>
      </c>
      <c r="G83" s="24" t="str">
        <f>IF(E83&lt;&gt;"",G5copy!F83,"")</f>
        <v>2025-08-27T18:06:45.690731+00:00</v>
      </c>
    </row>
    <row r="84" spans="1:7" ht="15.75" customHeight="1">
      <c r="A84" s="23">
        <f t="shared" si="4"/>
        <v>46097</v>
      </c>
      <c r="B84" t="str">
        <f t="shared" si="5"/>
        <v>Rep NA</v>
      </c>
      <c r="C84" s="23">
        <f t="shared" si="6"/>
        <v>45896</v>
      </c>
      <c r="E84" s="24" t="str">
        <f>IF(NOT(ISBLANK(G5copy!B84)),G5copy!B84,"")</f>
        <v>2026-03-16T00:00:00.0000000</v>
      </c>
      <c r="F84" s="24" t="str">
        <f>IF(E84&lt;&gt;"",G5copy!A84,"")</f>
        <v>G5 Rep NA</v>
      </c>
      <c r="G84" s="24" t="str">
        <f>IF(E84&lt;&gt;"",G5copy!F84,"")</f>
        <v>2025-08-27T18:06:46.2598713+00:00</v>
      </c>
    </row>
    <row r="85" spans="1:7" ht="15.75" customHeight="1">
      <c r="A85" s="23">
        <f t="shared" si="4"/>
        <v>46097</v>
      </c>
      <c r="B85" t="str">
        <f t="shared" si="5"/>
        <v>inh rep WiB</v>
      </c>
      <c r="C85" s="23">
        <f t="shared" si="6"/>
        <v>45936</v>
      </c>
      <c r="E85" s="24" t="str">
        <f>IF(NOT(ISBLANK(G5copy!B85)),G5copy!B85,"")</f>
        <v>2026-03-16T00:00:00.0000000</v>
      </c>
      <c r="F85" s="24" t="str">
        <f>IF(E85&lt;&gt;"",G5copy!A85,"")</f>
        <v>G5 inh rep WiB</v>
      </c>
      <c r="G85" s="24" t="str">
        <f>IF(E85&lt;&gt;"",G5copy!F85,"")</f>
        <v>2025-10-06T14:03:57.3124492+00:00</v>
      </c>
    </row>
    <row r="86" spans="1:7" ht="15.75" customHeight="1">
      <c r="A86" s="23">
        <f t="shared" si="4"/>
        <v>46099</v>
      </c>
      <c r="B86" t="str">
        <f t="shared" si="5"/>
        <v>Rep GR</v>
      </c>
      <c r="C86" s="23">
        <f t="shared" si="6"/>
        <v>45896</v>
      </c>
      <c r="E86" s="24" t="str">
        <f>IF(NOT(ISBLANK(G5copy!B86)),G5copy!B86,"")</f>
        <v>2026-03-18T00:00:00.0000000</v>
      </c>
      <c r="F86" s="24" t="str">
        <f>IF(E86&lt;&gt;"",G5copy!A86,"")</f>
        <v>G5 Rep GR</v>
      </c>
      <c r="G86" s="24" t="str">
        <f>IF(E86&lt;&gt;"",G5copy!F86,"")</f>
        <v>2025-08-27T18:06:45.3251308+00:00</v>
      </c>
    </row>
    <row r="87" spans="1:7" ht="15.75" customHeight="1">
      <c r="A87" s="23">
        <f t="shared" si="4"/>
        <v>46099</v>
      </c>
      <c r="B87" t="str">
        <f t="shared" si="5"/>
        <v>Slotdag Inktaap voor deelnemers (hele dag)</v>
      </c>
      <c r="C87" s="23">
        <f t="shared" si="6"/>
        <v>46066</v>
      </c>
      <c r="E87" s="24" t="str">
        <f>IF(NOT(ISBLANK(G5copy!B87)),G5copy!B87,"")</f>
        <v>2026-03-18T00:00:00.0000000</v>
      </c>
      <c r="F87" s="24" t="str">
        <f>IF(E87&lt;&gt;"",G5copy!A87,"")</f>
        <v>G5 Slotdag Inktaap voor deelnemers (hele dag)</v>
      </c>
      <c r="G87" s="24" t="str">
        <f>IF(E87&lt;&gt;"",G5copy!F87,"")</f>
        <v>2026-02-13T11:29:54.7477599+00:00</v>
      </c>
    </row>
    <row r="88" spans="1:7" ht="15.75" customHeight="1">
      <c r="A88" s="23">
        <f t="shared" si="4"/>
        <v>46100</v>
      </c>
      <c r="B88" t="str">
        <f t="shared" si="5"/>
        <v>veegmoment</v>
      </c>
      <c r="C88" s="23">
        <f t="shared" si="6"/>
        <v>45936</v>
      </c>
      <c r="E88" s="24" t="str">
        <f>IF(NOT(ISBLANK(G5copy!B88)),G5copy!B88,"")</f>
        <v>2026-03-19T00:00:00.0000000</v>
      </c>
      <c r="F88" s="24" t="str">
        <f>IF(E88&lt;&gt;"",G5copy!A88,"")</f>
        <v>G5 veegmoment</v>
      </c>
      <c r="G88" s="24" t="str">
        <f>IF(E88&lt;&gt;"",G5copy!F88,"")</f>
        <v>2025-10-06T14:03:57.1376329+00:00</v>
      </c>
    </row>
    <row r="89" spans="1:7" ht="15.75" customHeight="1">
      <c r="A89" s="23">
        <f t="shared" si="4"/>
        <v>46104</v>
      </c>
      <c r="B89" t="str">
        <f t="shared" si="5"/>
        <v>Informatieavond klassieke reis 19.30 uur</v>
      </c>
      <c r="C89" s="23">
        <f t="shared" si="6"/>
        <v>45896</v>
      </c>
      <c r="E89" s="24" t="str">
        <f>IF(NOT(ISBLANK(G5copy!B89)),G5copy!B89,"")</f>
        <v>2026-03-23T00:00:00.0000000</v>
      </c>
      <c r="F89" s="24" t="str">
        <f>IF(E89&lt;&gt;"",G5copy!A89,"")</f>
        <v>G5 Informatieavond klassieke reis 19.30 uur</v>
      </c>
      <c r="G89" s="24" t="str">
        <f>IF(E89&lt;&gt;"",G5copy!F89,"")</f>
        <v>2025-08-27T18:06:44.9383762+00:00</v>
      </c>
    </row>
    <row r="90" spans="1:7" ht="15.75" customHeight="1">
      <c r="A90" s="23">
        <f t="shared" si="4"/>
        <v>46104</v>
      </c>
      <c r="B90" t="str">
        <f t="shared" si="5"/>
        <v>inh rep LA</v>
      </c>
      <c r="C90" s="23">
        <f t="shared" si="6"/>
        <v>45936</v>
      </c>
      <c r="E90" s="24" t="str">
        <f>IF(NOT(ISBLANK(G5copy!B90)),G5copy!B90,"")</f>
        <v>2026-03-23T00:00:00.0000000</v>
      </c>
      <c r="F90" s="24" t="str">
        <f>IF(E90&lt;&gt;"",G5copy!A90,"")</f>
        <v>G5 inh rep LA</v>
      </c>
      <c r="G90" s="24" t="str">
        <f>IF(E90&lt;&gt;"",G5copy!F90,"")</f>
        <v>2025-10-06T14:03:57.026958+00:00</v>
      </c>
    </row>
    <row r="91" spans="1:7" ht="15.75" customHeight="1">
      <c r="A91" s="23">
        <f t="shared" si="4"/>
        <v>46106</v>
      </c>
      <c r="B91" t="str">
        <f t="shared" si="5"/>
        <v>Rep EC</v>
      </c>
      <c r="C91" s="23">
        <f t="shared" si="6"/>
        <v>45896</v>
      </c>
      <c r="E91" s="24" t="str">
        <f>IF(NOT(ISBLANK(G5copy!B91)),G5copy!B91,"")</f>
        <v>2026-03-25T00:00:00.0000000</v>
      </c>
      <c r="F91" s="24" t="str">
        <f>IF(E91&lt;&gt;"",G5copy!A91,"")</f>
        <v>G5 Rep EC</v>
      </c>
      <c r="G91" s="24" t="str">
        <f>IF(E91&lt;&gt;"",G5copy!F91,"")</f>
        <v>2025-08-27T18:06:44.6946525+00:00</v>
      </c>
    </row>
    <row r="92" spans="1:7" ht="15.75" customHeight="1">
      <c r="A92" s="23">
        <f t="shared" si="4"/>
        <v>46107</v>
      </c>
      <c r="B92" t="str">
        <f t="shared" si="5"/>
        <v>inh rep FI</v>
      </c>
      <c r="C92" s="23">
        <f t="shared" si="6"/>
        <v>45936</v>
      </c>
      <c r="E92" s="24" t="str">
        <f>IF(NOT(ISBLANK(G5copy!B92)),G5copy!B92,"")</f>
        <v>2026-03-26T00:00:00.0000000</v>
      </c>
      <c r="F92" s="24" t="str">
        <f>IF(E92&lt;&gt;"",G5copy!A92,"")</f>
        <v>G5 inh rep FI</v>
      </c>
      <c r="G92" s="24" t="str">
        <f>IF(E92&lt;&gt;"",G5copy!F92,"")</f>
        <v>2025-10-06T14:03:56.8518772+00:00</v>
      </c>
    </row>
    <row r="93" spans="1:7" ht="15.75" customHeight="1">
      <c r="A93" s="23">
        <f t="shared" si="4"/>
        <v>46111</v>
      </c>
      <c r="B93" t="str">
        <f t="shared" si="5"/>
        <v>Rep BI</v>
      </c>
      <c r="C93" s="23">
        <f t="shared" si="6"/>
        <v>45896</v>
      </c>
      <c r="E93" s="24" t="str">
        <f>IF(NOT(ISBLANK(G5copy!B93)),G5copy!B93,"")</f>
        <v>2026-03-30T00:00:00.0000000</v>
      </c>
      <c r="F93" s="24" t="str">
        <f>IF(E93&lt;&gt;"",G5copy!A93,"")</f>
        <v>G5 Rep BI</v>
      </c>
      <c r="G93" s="24" t="str">
        <f>IF(E93&lt;&gt;"",G5copy!F93,"")</f>
        <v>2025-08-27T18:06:44.5803152+00:00</v>
      </c>
    </row>
    <row r="94" spans="1:7" ht="15.75" customHeight="1">
      <c r="A94" s="23">
        <f t="shared" si="4"/>
        <v>46111</v>
      </c>
      <c r="B94" t="str">
        <f t="shared" si="5"/>
        <v>inh rep NA</v>
      </c>
      <c r="C94" s="23">
        <f t="shared" si="6"/>
        <v>45936</v>
      </c>
      <c r="E94" s="24" t="str">
        <f>IF(NOT(ISBLANK(G5copy!B94)),G5copy!B94,"")</f>
        <v>2026-03-30T00:00:00.0000000</v>
      </c>
      <c r="F94" s="24" t="str">
        <f>IF(E94&lt;&gt;"",G5copy!A94,"")</f>
        <v>G5 inh rep NA</v>
      </c>
      <c r="G94" s="24" t="str">
        <f>IF(E94&lt;&gt;"",G5copy!F94,"")</f>
        <v>2025-10-06T14:03:57.8715652+00:00</v>
      </c>
    </row>
    <row r="95" spans="1:7" ht="15.75" customHeight="1">
      <c r="A95" s="23">
        <f t="shared" si="4"/>
        <v>46113</v>
      </c>
      <c r="B95" t="str">
        <f t="shared" si="5"/>
        <v>Rep SK</v>
      </c>
      <c r="C95" s="23">
        <f t="shared" si="6"/>
        <v>45896</v>
      </c>
      <c r="E95" s="24" t="str">
        <f>IF(NOT(ISBLANK(G5copy!B95)),G5copy!B95,"")</f>
        <v>2026-04-01T00:00:00.0000000</v>
      </c>
      <c r="F95" s="24" t="str">
        <f>IF(E95&lt;&gt;"",G5copy!A95,"")</f>
        <v>G5 Rep SK</v>
      </c>
      <c r="G95" s="24" t="str">
        <f>IF(E95&lt;&gt;"",G5copy!F95,"")</f>
        <v>2025-08-27T18:06:44.4392364+00:00</v>
      </c>
    </row>
    <row r="96" spans="1:7" ht="15.75" customHeight="1">
      <c r="A96" s="23">
        <f t="shared" si="4"/>
        <v>46114</v>
      </c>
      <c r="B96" t="str">
        <f t="shared" si="5"/>
        <v>inh rep GR</v>
      </c>
      <c r="C96" s="23">
        <f t="shared" si="6"/>
        <v>45936</v>
      </c>
      <c r="E96" s="24" t="str">
        <f>IF(NOT(ISBLANK(G5copy!B96)),G5copy!B96,"")</f>
        <v>2026-04-02T00:00:00.0000000</v>
      </c>
      <c r="F96" s="24" t="str">
        <f>IF(E96&lt;&gt;"",G5copy!A96,"")</f>
        <v>G5 inh rep GR</v>
      </c>
      <c r="G96" s="24" t="str">
        <f>IF(E96&lt;&gt;"",G5copy!F96,"")</f>
        <v>2025-10-06T14:03:57.5444637+00:00</v>
      </c>
    </row>
    <row r="97" spans="1:7" ht="15.75" customHeight="1">
      <c r="A97" s="23">
        <f t="shared" si="4"/>
        <v>46120</v>
      </c>
      <c r="B97" t="str">
        <f t="shared" si="5"/>
        <v>SE GS</v>
      </c>
      <c r="C97" s="23">
        <f t="shared" si="6"/>
        <v>45896</v>
      </c>
      <c r="E97" s="24" t="str">
        <f>IF(NOT(ISBLANK(G5copy!B97)),G5copy!B97,"")</f>
        <v>2026-04-08T00:00:00.0000000</v>
      </c>
      <c r="F97" s="24" t="str">
        <f>IF(E97&lt;&gt;"",G5copy!A97,"")</f>
        <v>G5 SE GS</v>
      </c>
      <c r="G97" s="24" t="str">
        <f>IF(E97&lt;&gt;"",G5copy!F97,"")</f>
        <v>2025-08-27T18:06:44.339442+00:00</v>
      </c>
    </row>
    <row r="98" spans="1:7" ht="15.75" customHeight="1">
      <c r="A98" s="23">
        <f t="shared" si="4"/>
        <v>46120</v>
      </c>
      <c r="B98" t="str">
        <f t="shared" si="5"/>
        <v>SE WiD (tijdens de les)</v>
      </c>
      <c r="C98" s="23">
        <f t="shared" si="6"/>
        <v>46066</v>
      </c>
      <c r="E98" s="24" t="str">
        <f>IF(NOT(ISBLANK(G5copy!B98)),G5copy!B98,"")</f>
        <v>2026-04-08T00:00:00.0000000</v>
      </c>
      <c r="F98" s="24" t="str">
        <f>IF(E98&lt;&gt;"",G5copy!A98,"")</f>
        <v>G5 SE WiD (tijdens de les)</v>
      </c>
      <c r="G98" s="24" t="str">
        <f>IF(E98&lt;&gt;"",G5copy!F98,"")</f>
        <v>2026-02-13T11:36:01.6187428+00:00</v>
      </c>
    </row>
    <row r="99" spans="1:7" ht="15.75" customHeight="1">
      <c r="A99" s="23">
        <f t="shared" si="4"/>
        <v>46121</v>
      </c>
      <c r="B99" t="str">
        <f t="shared" si="5"/>
        <v>klreis</v>
      </c>
      <c r="C99" s="23">
        <f t="shared" si="6"/>
        <v>45896</v>
      </c>
      <c r="E99" s="24" t="str">
        <f>IF(NOT(ISBLANK(G5copy!B99)),G5copy!B99,"")</f>
        <v>2026-04-09T00:00:00.0000000</v>
      </c>
      <c r="F99" s="24" t="str">
        <f>IF(E99&lt;&gt;"",G5copy!A99,"")</f>
        <v>G5 klreis</v>
      </c>
      <c r="G99" s="24" t="str">
        <f>IF(E99&lt;&gt;"",G5copy!F99,"")</f>
        <v>2025-08-27T18:06:44.2268955+00:00</v>
      </c>
    </row>
    <row r="100" spans="1:7" ht="15.75" customHeight="1">
      <c r="A100" s="23">
        <f t="shared" si="4"/>
        <v>46121</v>
      </c>
      <c r="B100" t="str">
        <f t="shared" si="5"/>
        <v>inh rep EC</v>
      </c>
      <c r="C100" s="23">
        <f t="shared" si="6"/>
        <v>45936</v>
      </c>
      <c r="E100" s="24" t="str">
        <f>IF(NOT(ISBLANK(G5copy!B100)),G5copy!B100,"")</f>
        <v>2026-04-09T00:00:00.0000000</v>
      </c>
      <c r="F100" s="24" t="str">
        <f>IF(E100&lt;&gt;"",G5copy!A100,"")</f>
        <v>G5 inh rep EC</v>
      </c>
      <c r="G100" s="24" t="str">
        <f>IF(E100&lt;&gt;"",G5copy!F100,"")</f>
        <v>2025-10-06T14:03:56.4525849+00:00</v>
      </c>
    </row>
    <row r="101" spans="1:7" ht="15.75" customHeight="1">
      <c r="A101" s="23">
        <f t="shared" si="4"/>
        <v>46122</v>
      </c>
      <c r="B101" t="str">
        <f t="shared" si="5"/>
        <v>klreis</v>
      </c>
      <c r="C101" s="23">
        <f t="shared" si="6"/>
        <v>45896</v>
      </c>
      <c r="E101" s="24" t="str">
        <f>IF(NOT(ISBLANK(G5copy!B101)),G5copy!B101,"")</f>
        <v>2026-04-10T00:00:00.0000000</v>
      </c>
      <c r="F101" s="24" t="str">
        <f>IF(E101&lt;&gt;"",G5copy!A101,"")</f>
        <v>G5 klreis</v>
      </c>
      <c r="G101" s="24" t="str">
        <f>IF(E101&lt;&gt;"",G5copy!F101,"")</f>
        <v>2025-08-27T18:06:44.0796667+00:00</v>
      </c>
    </row>
    <row r="102" spans="1:7" ht="15.75" customHeight="1">
      <c r="A102" s="23">
        <f t="shared" si="4"/>
        <v>46125</v>
      </c>
      <c r="B102" t="str">
        <f t="shared" si="5"/>
        <v>klreis</v>
      </c>
      <c r="C102" s="23">
        <f t="shared" si="6"/>
        <v>45896</v>
      </c>
      <c r="E102" s="24" t="str">
        <f>IF(NOT(ISBLANK(G5copy!B102)),G5copy!B102,"")</f>
        <v>2026-04-13T00:00:00.0000000</v>
      </c>
      <c r="F102" s="24" t="str">
        <f>IF(E102&lt;&gt;"",G5copy!A102,"")</f>
        <v>G5 klreis</v>
      </c>
      <c r="G102" s="24" t="str">
        <f>IF(E102&lt;&gt;"",G5copy!F102,"")</f>
        <v>2025-08-27T18:06:43.5951162+00:00</v>
      </c>
    </row>
    <row r="103" spans="1:7" ht="15.75" customHeight="1">
      <c r="A103" s="23">
        <f t="shared" si="4"/>
        <v>46126</v>
      </c>
      <c r="B103" t="str">
        <f t="shared" si="5"/>
        <v>klreis</v>
      </c>
      <c r="C103" s="23">
        <f t="shared" si="6"/>
        <v>45896</v>
      </c>
      <c r="E103" s="24" t="str">
        <f>IF(NOT(ISBLANK(G5copy!B103)),G5copy!B103,"")</f>
        <v>2026-04-14T00:00:00.0000000</v>
      </c>
      <c r="F103" s="24" t="str">
        <f>IF(E103&lt;&gt;"",G5copy!A103,"")</f>
        <v>G5 klreis</v>
      </c>
      <c r="G103" s="24" t="str">
        <f>IF(E103&lt;&gt;"",G5copy!F103,"")</f>
        <v>2025-08-27T18:06:43.4567749+00:00</v>
      </c>
    </row>
    <row r="104" spans="1:7" ht="15.75" customHeight="1">
      <c r="A104" s="23">
        <f t="shared" si="4"/>
        <v>46127</v>
      </c>
      <c r="B104" t="str">
        <f t="shared" si="5"/>
        <v>klreis</v>
      </c>
      <c r="C104" s="23">
        <f t="shared" si="6"/>
        <v>45896</v>
      </c>
      <c r="E104" s="24" t="str">
        <f>IF(NOT(ISBLANK(G5copy!B104)),G5copy!B104,"")</f>
        <v>2026-04-15T00:00:00.0000000</v>
      </c>
      <c r="F104" s="24" t="str">
        <f>IF(E104&lt;&gt;"",G5copy!A104,"")</f>
        <v>G5 klreis</v>
      </c>
      <c r="G104" s="24" t="str">
        <f>IF(E104&lt;&gt;"",G5copy!F104,"")</f>
        <v>2025-08-27T18:06:43.3417584+00:00</v>
      </c>
    </row>
    <row r="105" spans="1:7" ht="15.75" customHeight="1">
      <c r="A105" s="23">
        <f t="shared" si="4"/>
        <v>46128</v>
      </c>
      <c r="B105" t="str">
        <f t="shared" si="5"/>
        <v>klreis</v>
      </c>
      <c r="C105" s="23">
        <f t="shared" si="6"/>
        <v>45896</v>
      </c>
      <c r="E105" s="24" t="str">
        <f>IF(NOT(ISBLANK(G5copy!B105)),G5copy!B105,"")</f>
        <v>2026-04-16T00:00:00.0000000</v>
      </c>
      <c r="F105" s="24" t="str">
        <f>IF(E105&lt;&gt;"",G5copy!A105,"")</f>
        <v>G5 klreis</v>
      </c>
      <c r="G105" s="24" t="str">
        <f>IF(E105&lt;&gt;"",G5copy!F105,"")</f>
        <v>2025-08-27T18:06:43.0538934+00:00</v>
      </c>
    </row>
    <row r="106" spans="1:7" ht="15.75" customHeight="1">
      <c r="A106" s="23">
        <f t="shared" si="4"/>
        <v>46129</v>
      </c>
      <c r="B106" t="str">
        <f t="shared" si="5"/>
        <v>klreis</v>
      </c>
      <c r="C106" s="23">
        <f t="shared" si="6"/>
        <v>45896</v>
      </c>
      <c r="E106" s="24" t="str">
        <f>IF(NOT(ISBLANK(G5copy!B106)),G5copy!B106,"")</f>
        <v>2026-04-17T00:00:00.0000000</v>
      </c>
      <c r="F106" s="24" t="str">
        <f>IF(E106&lt;&gt;"",G5copy!A106,"")</f>
        <v>G5 klreis</v>
      </c>
      <c r="G106" s="24" t="str">
        <f>IF(E106&lt;&gt;"",G5copy!F106,"")</f>
        <v>2025-08-27T18:06:42.923988+00:00</v>
      </c>
    </row>
    <row r="107" spans="1:7" ht="15.75" customHeight="1">
      <c r="A107" s="23">
        <f t="shared" si="4"/>
        <v>46132</v>
      </c>
      <c r="B107" t="str">
        <f t="shared" si="5"/>
        <v>inh rep BI</v>
      </c>
      <c r="C107" s="23">
        <f t="shared" si="6"/>
        <v>45936</v>
      </c>
      <c r="E107" s="24" t="str">
        <f>IF(NOT(ISBLANK(G5copy!B107)),G5copy!B107,"")</f>
        <v>2026-04-20T00:00:00.0000000</v>
      </c>
      <c r="F107" s="24" t="str">
        <f>IF(E107&lt;&gt;"",G5copy!A107,"")</f>
        <v>G5 inh rep BI</v>
      </c>
      <c r="G107" s="24" t="str">
        <f>IF(E107&lt;&gt;"",G5copy!F107,"")</f>
        <v>2025-10-06T14:03:56.327453+00:00</v>
      </c>
    </row>
    <row r="108" spans="1:7" ht="15.75" customHeight="1">
      <c r="A108" s="23">
        <f t="shared" si="4"/>
        <v>46134</v>
      </c>
      <c r="B108" t="str">
        <f t="shared" si="5"/>
        <v>inh rep SK</v>
      </c>
      <c r="C108" s="23">
        <f t="shared" si="6"/>
        <v>45936</v>
      </c>
      <c r="E108" s="24" t="str">
        <f>IF(NOT(ISBLANK(G5copy!B108)),G5copy!B108,"")</f>
        <v>2026-04-22T00:00:00.0000000</v>
      </c>
      <c r="F108" s="24" t="str">
        <f>IF(E108&lt;&gt;"",G5copy!A108,"")</f>
        <v>G5 inh rep SK</v>
      </c>
      <c r="G108" s="24" t="str">
        <f>IF(E108&lt;&gt;"",G5copy!F108,"")</f>
        <v>2025-10-06T14:03:55.8456855+00:00</v>
      </c>
    </row>
    <row r="109" spans="1:7" ht="15.75" customHeight="1">
      <c r="A109" s="23">
        <f t="shared" si="4"/>
        <v>46149</v>
      </c>
      <c r="B109" t="str">
        <f t="shared" si="5"/>
        <v>inh SE GS</v>
      </c>
      <c r="C109" s="23">
        <f t="shared" si="6"/>
        <v>45936</v>
      </c>
      <c r="E109" s="24" t="str">
        <f>IF(NOT(ISBLANK(G5copy!B109)),G5copy!B109,"")</f>
        <v>2026-05-07T00:00:00.0000000</v>
      </c>
      <c r="F109" s="24" t="str">
        <f>IF(E109&lt;&gt;"",G5copy!A109,"")</f>
        <v>G5 inh SE GS</v>
      </c>
      <c r="G109" s="24" t="str">
        <f>IF(E109&lt;&gt;"",G5copy!F109,"")</f>
        <v>2025-10-06T14:03:56.1831291+00:00</v>
      </c>
    </row>
    <row r="110" spans="1:7" ht="15.75" customHeight="1">
      <c r="A110" s="23">
        <f t="shared" si="4"/>
        <v>46153</v>
      </c>
      <c r="B110" t="str">
        <f t="shared" si="5"/>
        <v>Rep WIB en WIA</v>
      </c>
      <c r="C110" s="23">
        <f t="shared" si="6"/>
        <v>45944</v>
      </c>
      <c r="E110" s="24" t="str">
        <f>IF(NOT(ISBLANK(G5copy!B110)),G5copy!B110,"")</f>
        <v>2026-05-11T00:00:00.0000000</v>
      </c>
      <c r="F110" s="24" t="str">
        <f>IF(E110&lt;&gt;"",G5copy!A110,"")</f>
        <v>G5 Rep WIB en WIA</v>
      </c>
      <c r="G110" s="24" t="str">
        <f>IF(E110&lt;&gt;"",G5copy!F110,"")</f>
        <v>2025-10-14T09:48:53.4450691+00:00</v>
      </c>
    </row>
    <row r="111" spans="1:7" ht="15.75" customHeight="1">
      <c r="A111" s="23">
        <f t="shared" si="4"/>
        <v>46155</v>
      </c>
      <c r="B111" t="str">
        <f t="shared" si="5"/>
        <v>SE MAAT</v>
      </c>
      <c r="C111" s="23">
        <f t="shared" si="6"/>
        <v>45896</v>
      </c>
      <c r="E111" s="24" t="str">
        <f>IF(NOT(ISBLANK(G5copy!B111)),G5copy!B111,"")</f>
        <v>2026-05-13T00:00:00.0000000</v>
      </c>
      <c r="F111" s="24" t="str">
        <f>IF(E111&lt;&gt;"",G5copy!A111,"")</f>
        <v>G5 SE MAAT</v>
      </c>
      <c r="G111" s="24" t="str">
        <f>IF(E111&lt;&gt;"",G5copy!F111,"")</f>
        <v>2025-08-27T18:06:43.3202521+00:00</v>
      </c>
    </row>
    <row r="112" spans="1:7" ht="15.75" customHeight="1">
      <c r="A112" s="23">
        <f t="shared" si="4"/>
        <v>46160</v>
      </c>
      <c r="B112" t="str">
        <f t="shared" si="5"/>
        <v>inh SE WiD</v>
      </c>
      <c r="C112" s="23">
        <f t="shared" si="6"/>
        <v>45946</v>
      </c>
      <c r="E112" s="24" t="str">
        <f>IF(NOT(ISBLANK(G5copy!B112)),G5copy!B112,"")</f>
        <v>2026-05-18T00:00:00.0000000</v>
      </c>
      <c r="F112" s="24" t="str">
        <f>IF(E112&lt;&gt;"",G5copy!A112,"")</f>
        <v>G5 inh SE WiD</v>
      </c>
      <c r="G112" s="24" t="str">
        <f>IF(E112&lt;&gt;"",G5copy!F112,"")</f>
        <v>2025-10-16T11:32:07.609432+00:00</v>
      </c>
    </row>
    <row r="113" spans="1:7" ht="15.75" customHeight="1">
      <c r="A113" s="23">
        <f t="shared" si="4"/>
        <v>46163</v>
      </c>
      <c r="B113" t="str">
        <f t="shared" si="5"/>
        <v>HPGpresentaties</v>
      </c>
      <c r="C113" s="23">
        <f t="shared" si="6"/>
        <v>45896</v>
      </c>
      <c r="E113" s="24" t="str">
        <f>IF(NOT(ISBLANK(G5copy!B113)),G5copy!B113,"")</f>
        <v>2026-05-21T00:00:00.0000000</v>
      </c>
      <c r="F113" s="24" t="str">
        <f>IF(E113&lt;&gt;"",G5copy!A113,"")</f>
        <v>G5 HPGpresentaties</v>
      </c>
      <c r="G113" s="24" t="str">
        <f>IF(E113&lt;&gt;"",G5copy!F113,"")</f>
        <v>2025-08-27T18:06:42.2946425+00:00</v>
      </c>
    </row>
    <row r="114" spans="1:7" ht="15.75" customHeight="1">
      <c r="A114" s="23">
        <f t="shared" si="4"/>
        <v>46169</v>
      </c>
      <c r="B114" t="str">
        <f t="shared" si="5"/>
        <v>Rep EC</v>
      </c>
      <c r="C114" s="23">
        <f t="shared" si="6"/>
        <v>45896</v>
      </c>
      <c r="E114" s="24" t="str">
        <f>IF(NOT(ISBLANK(G5copy!B114)),G5copy!B114,"")</f>
        <v>2026-05-27T00:00:00.0000000</v>
      </c>
      <c r="F114" s="24" t="str">
        <f>IF(E114&lt;&gt;"",G5copy!A114,"")</f>
        <v>G5 Rep EC</v>
      </c>
      <c r="G114" s="24" t="str">
        <f>IF(E114&lt;&gt;"",G5copy!F114,"")</f>
        <v>2025-08-27T18:06:41.9493143+00:00</v>
      </c>
    </row>
    <row r="115" spans="1:7" ht="15.75" customHeight="1">
      <c r="A115" s="23">
        <f t="shared" si="4"/>
        <v>46170</v>
      </c>
      <c r="B115" t="str">
        <f t="shared" si="5"/>
        <v>inh rep WiB en WiA</v>
      </c>
      <c r="C115" s="23">
        <f t="shared" si="6"/>
        <v>46066</v>
      </c>
      <c r="E115" s="24" t="str">
        <f>IF(NOT(ISBLANK(G5copy!B115)),G5copy!B115,"")</f>
        <v>2026-05-28T00:00:00.0000000</v>
      </c>
      <c r="F115" s="24" t="str">
        <f>IF(E115&lt;&gt;"",G5copy!A115,"")</f>
        <v>G5 inh rep WiB en WiA</v>
      </c>
      <c r="G115" s="24" t="str">
        <f>IF(E115&lt;&gt;"",G5copy!F115,"")</f>
        <v>2026-02-13T11:36:01.9735615+00:00</v>
      </c>
    </row>
    <row r="116" spans="1:7" ht="15.75" customHeight="1">
      <c r="A116" s="23">
        <f t="shared" si="4"/>
        <v>46174</v>
      </c>
      <c r="B116" t="str">
        <f t="shared" si="5"/>
        <v>inh SE MAAT</v>
      </c>
      <c r="C116" s="23">
        <f t="shared" si="6"/>
        <v>45936</v>
      </c>
      <c r="E116" s="24" t="str">
        <f>IF(NOT(ISBLANK(G5copy!B116)),G5copy!B116,"")</f>
        <v>2026-06-01T00:00:00.0000000</v>
      </c>
      <c r="F116" s="24" t="str">
        <f>IF(E116&lt;&gt;"",G5copy!A116,"")</f>
        <v>G5 inh SE MAAT</v>
      </c>
      <c r="G116" s="24" t="str">
        <f>IF(E116&lt;&gt;"",G5copy!F116,"")</f>
        <v>2025-10-06T14:03:56.9179642+00:00</v>
      </c>
    </row>
    <row r="117" spans="1:7" ht="15.75" customHeight="1">
      <c r="A117" s="23">
        <f t="shared" si="4"/>
        <v>46176</v>
      </c>
      <c r="B117" t="str">
        <f t="shared" si="5"/>
        <v>DELF B1 examen</v>
      </c>
      <c r="C117" s="23">
        <f t="shared" si="6"/>
        <v>45896</v>
      </c>
      <c r="E117" s="24" t="str">
        <f>IF(NOT(ISBLANK(G5copy!B117)),G5copy!B117,"")</f>
        <v>2026-06-03T00:00:00.0000000</v>
      </c>
      <c r="F117" s="24" t="str">
        <f>IF(E117&lt;&gt;"",G5copy!A117,"")</f>
        <v>G5 DELF B1 examen</v>
      </c>
      <c r="G117" s="24" t="str">
        <f>IF(E117&lt;&gt;"",G5copy!F117,"")</f>
        <v>2025-08-27T18:06:43.0310535+00:00</v>
      </c>
    </row>
    <row r="118" spans="1:7" ht="15.75" customHeight="1">
      <c r="A118" s="23">
        <f t="shared" si="4"/>
        <v>46179</v>
      </c>
      <c r="B118" t="str">
        <f t="shared" si="5"/>
        <v>DELF B1 mondeling</v>
      </c>
      <c r="C118" s="23">
        <f t="shared" si="6"/>
        <v>45896</v>
      </c>
      <c r="E118" s="24" t="str">
        <f>IF(NOT(ISBLANK(G5copy!B118)),G5copy!B118,"")</f>
        <v>2026-06-06T00:00:00.0000000</v>
      </c>
      <c r="F118" s="24" t="str">
        <f>IF(E118&lt;&gt;"",G5copy!A118,"")</f>
        <v>G5 DELF B1 mondeling</v>
      </c>
      <c r="G118" s="24" t="str">
        <f>IF(E118&lt;&gt;"",G5copy!F118,"")</f>
        <v>2025-08-27T18:06:42.208478+00:00</v>
      </c>
    </row>
    <row r="119" spans="1:7" ht="15.75" customHeight="1">
      <c r="A119" s="23">
        <f t="shared" si="4"/>
        <v>46181</v>
      </c>
      <c r="B119" t="str">
        <f t="shared" si="5"/>
        <v>inh rep EC</v>
      </c>
      <c r="C119" s="23">
        <f t="shared" si="6"/>
        <v>45936</v>
      </c>
      <c r="E119" s="24" t="str">
        <f>IF(NOT(ISBLANK(G5copy!B119)),G5copy!B119,"")</f>
        <v>2026-06-08T00:00:00.0000000</v>
      </c>
      <c r="F119" s="24" t="str">
        <f>IF(E119&lt;&gt;"",G5copy!A119,"")</f>
        <v>G5 inh rep EC</v>
      </c>
      <c r="G119" s="24" t="str">
        <f>IF(E119&lt;&gt;"",G5copy!F119,"")</f>
        <v>2025-10-06T14:03:55.7879118+00:00</v>
      </c>
    </row>
    <row r="120" spans="1:7" ht="15.75" customHeight="1">
      <c r="A120" s="23">
        <f t="shared" si="4"/>
        <v>46183</v>
      </c>
      <c r="B120" t="str">
        <f t="shared" si="5"/>
        <v>Rep NE</v>
      </c>
      <c r="C120" s="23">
        <f t="shared" si="6"/>
        <v>45896</v>
      </c>
      <c r="E120" s="24" t="str">
        <f>IF(NOT(ISBLANK(G5copy!B120)),G5copy!B120,"")</f>
        <v>2026-06-10T00:00:00.0000000</v>
      </c>
      <c r="F120" s="24" t="str">
        <f>IF(E120&lt;&gt;"",G5copy!A120,"")</f>
        <v>G5 Rep NE</v>
      </c>
      <c r="G120" s="24" t="str">
        <f>IF(E120&lt;&gt;"",G5copy!F120,"")</f>
        <v>2025-08-27T18:06:41.5001957+00:00</v>
      </c>
    </row>
    <row r="121" spans="1:7" ht="15.75" customHeight="1">
      <c r="A121" s="23">
        <f t="shared" si="4"/>
        <v>46191</v>
      </c>
      <c r="B121" t="str">
        <f t="shared" si="5"/>
        <v>veegmoment</v>
      </c>
      <c r="C121" s="23">
        <f t="shared" si="6"/>
        <v>45936</v>
      </c>
      <c r="E121" s="24" t="str">
        <f>IF(NOT(ISBLANK(G5copy!B121)),G5copy!B121,"")</f>
        <v>2026-06-18T00:00:00.0000000</v>
      </c>
      <c r="F121" s="24" t="str">
        <f>IF(E121&lt;&gt;"",G5copy!A121,"")</f>
        <v>G5 veegmoment</v>
      </c>
      <c r="G121" s="24" t="str">
        <f>IF(E121&lt;&gt;"",G5copy!F121,"")</f>
        <v>2025-10-06T14:03:55.5219223+00:00</v>
      </c>
    </row>
    <row r="122" spans="1:7" ht="15.75" customHeight="1">
      <c r="A122" s="23">
        <f t="shared" si="4"/>
        <v>46195</v>
      </c>
      <c r="B122" t="str">
        <f t="shared" si="5"/>
        <v>inh rep NE</v>
      </c>
      <c r="C122" s="23">
        <f t="shared" si="6"/>
        <v>45936</v>
      </c>
      <c r="E122" s="24" t="str">
        <f>IF(NOT(ISBLANK(G5copy!B122)),G5copy!B122,"")</f>
        <v>2026-06-22T00:00:00.0000000</v>
      </c>
      <c r="F122" s="24" t="str">
        <f>IF(E122&lt;&gt;"",G5copy!A122,"")</f>
        <v>G5 inh rep NE</v>
      </c>
      <c r="G122" s="24" t="str">
        <f>IF(E122&lt;&gt;"",G5copy!F122,"")</f>
        <v>2025-10-06T14:03:55.6359862+00:00</v>
      </c>
    </row>
    <row r="123" spans="1:7" ht="15.75" customHeight="1">
      <c r="A123" s="23">
        <f t="shared" si="4"/>
        <v>46198</v>
      </c>
      <c r="B123" t="str">
        <f t="shared" si="5"/>
        <v>tsweek: se econ / se nat</v>
      </c>
      <c r="C123" s="23">
        <f t="shared" si="6"/>
        <v>45965</v>
      </c>
      <c r="E123" s="24" t="str">
        <f>IF(NOT(ISBLANK(G5copy!B123)),G5copy!B123,"")</f>
        <v>2026-06-25T00:00:00.0000000</v>
      </c>
      <c r="F123" s="24" t="str">
        <f>IF(E123&lt;&gt;"",G5copy!A123,"")</f>
        <v>Toetsweek: se econ / se nat</v>
      </c>
      <c r="G123" s="24" t="str">
        <f>IF(E123&lt;&gt;"",G5copy!F123,"")</f>
        <v>2025-11-04T11:04:44.6194332+00:00</v>
      </c>
    </row>
    <row r="124" spans="1:7" ht="15.75" customHeight="1">
      <c r="A124" s="23">
        <f t="shared" si="4"/>
        <v>46199</v>
      </c>
      <c r="B124" t="str">
        <f t="shared" si="5"/>
        <v>tsweek: se latl / se grtl</v>
      </c>
      <c r="C124" s="23">
        <f t="shared" si="6"/>
        <v>45965</v>
      </c>
      <c r="E124" s="24" t="str">
        <f>IF(NOT(ISBLANK(G5copy!B124)),G5copy!B124,"")</f>
        <v>2026-06-26T00:00:00.0000000</v>
      </c>
      <c r="F124" s="24" t="str">
        <f>IF(E124&lt;&gt;"",G5copy!A124,"")</f>
        <v>Toetsweek: se latl / se grtl</v>
      </c>
      <c r="G124" s="24" t="str">
        <f>IF(E124&lt;&gt;"",G5copy!F124,"")</f>
        <v>2025-11-04T11:03:58.9547088+00:00</v>
      </c>
    </row>
    <row r="125" spans="1:7" ht="15.75" customHeight="1">
      <c r="A125" s="23">
        <f t="shared" si="4"/>
        <v>46202</v>
      </c>
      <c r="B125" t="str">
        <f t="shared" si="5"/>
        <v>tsweek: rep fatl / rep sptl</v>
      </c>
      <c r="C125" s="23">
        <f t="shared" si="6"/>
        <v>45965</v>
      </c>
      <c r="E125" s="24" t="str">
        <f>IF(NOT(ISBLANK(G5copy!B125)),G5copy!B125,"")</f>
        <v>2026-06-29T00:00:00.0000000</v>
      </c>
      <c r="F125" s="24" t="str">
        <f>IF(E125&lt;&gt;"",G5copy!A125,"")</f>
        <v>Toetsweek: rep fatl / rep sptl</v>
      </c>
      <c r="G125" s="24" t="str">
        <f>IF(E125&lt;&gt;"",G5copy!F125,"")</f>
        <v>2025-11-04T11:03:57.8019308+00:00</v>
      </c>
    </row>
    <row r="126" spans="1:7" ht="15.75" customHeight="1">
      <c r="A126" s="23">
        <f t="shared" si="4"/>
        <v>46203</v>
      </c>
      <c r="B126" t="str">
        <f t="shared" si="5"/>
        <v xml:space="preserve">tsweek: rep dutl / se wisabc </v>
      </c>
      <c r="C126" s="23">
        <f t="shared" si="6"/>
        <v>45965</v>
      </c>
      <c r="E126" s="24" t="str">
        <f>IF(NOT(ISBLANK(G5copy!B126)),G5copy!B126,"")</f>
        <v>2026-06-30T00:00:00.0000000</v>
      </c>
      <c r="F126" s="24" t="str">
        <f>IF(E126&lt;&gt;"",G5copy!A126,"")</f>
        <v xml:space="preserve">Toetsweek: rep dutl / se wisabc </v>
      </c>
      <c r="G126" s="24" t="str">
        <f>IF(E126&lt;&gt;"",G5copy!F126,"")</f>
        <v>2025-11-04T11:03:56.5653674+00:00</v>
      </c>
    </row>
    <row r="127" spans="1:7" ht="15.75" customHeight="1">
      <c r="A127" s="23">
        <f t="shared" si="4"/>
        <v>46204</v>
      </c>
      <c r="B127" t="str">
        <f t="shared" si="5"/>
        <v>tsweek: se ak / se beco / se fi / se wid</v>
      </c>
      <c r="C127" s="23">
        <f t="shared" si="6"/>
        <v>45965</v>
      </c>
      <c r="E127" s="24" t="str">
        <f>IF(NOT(ISBLANK(G5copy!B127)),G5copy!B127,"")</f>
        <v>2026-07-01T00:00:00.0000000</v>
      </c>
      <c r="F127" s="24" t="str">
        <f>IF(E127&lt;&gt;"",G5copy!A127,"")</f>
        <v>Toetsweek: se ak / se beco / se fi / se wid</v>
      </c>
      <c r="G127" s="24" t="str">
        <f>IF(E127&lt;&gt;"",G5copy!F127,"")</f>
        <v>2025-11-04T11:03:55.4276797+00:00</v>
      </c>
    </row>
    <row r="128" spans="1:7" ht="15.75" customHeight="1">
      <c r="A128" s="23">
        <f t="shared" si="4"/>
        <v>46205</v>
      </c>
      <c r="B128" t="str">
        <f t="shared" si="5"/>
        <v>tsweek: se gs / rep sk</v>
      </c>
      <c r="C128" s="23">
        <f t="shared" si="6"/>
        <v>45965</v>
      </c>
      <c r="E128" s="24" t="str">
        <f>IF(NOT(ISBLANK(G5copy!B128)),G5copy!B128,"")</f>
        <v>2026-07-02T00:00:00.0000000</v>
      </c>
      <c r="F128" s="24" t="str">
        <f>IF(E128&lt;&gt;"",G5copy!A128,"")</f>
        <v>Toetsweek: se gs / rep sk</v>
      </c>
      <c r="G128" s="24" t="str">
        <f>IF(E128&lt;&gt;"",G5copy!F128,"")</f>
        <v>2025-11-04T11:03:54.45903+00:00</v>
      </c>
    </row>
    <row r="129" spans="1:7" ht="15.75" customHeight="1">
      <c r="A129" s="23">
        <f t="shared" si="4"/>
        <v>46206</v>
      </c>
      <c r="B129" t="str">
        <f t="shared" si="5"/>
        <v>tsweek: rep entl</v>
      </c>
      <c r="C129" s="23">
        <f t="shared" si="6"/>
        <v>45965</v>
      </c>
      <c r="E129" s="24" t="str">
        <f>IF(NOT(ISBLANK(G5copy!B129)),G5copy!B129,"")</f>
        <v>2026-07-03T00:00:00.0000000</v>
      </c>
      <c r="F129" s="24" t="str">
        <f>IF(E129&lt;&gt;"",G5copy!A129,"")</f>
        <v>Toetsweek: rep entl</v>
      </c>
      <c r="G129" s="24" t="str">
        <f>IF(E129&lt;&gt;"",G5copy!F129,"")</f>
        <v>2025-11-04T11:03:53.2632925+00:00</v>
      </c>
    </row>
    <row r="130" spans="1:7" ht="15.75" customHeight="1">
      <c r="A130" s="23">
        <f t="shared" si="4"/>
        <v>46209</v>
      </c>
      <c r="B130" t="str">
        <f t="shared" si="5"/>
        <v>inhalen</v>
      </c>
      <c r="C130" s="23">
        <f t="shared" si="6"/>
        <v>45896</v>
      </c>
      <c r="E130" s="24" t="str">
        <f>IF(NOT(ISBLANK(G5copy!B130)),G5copy!B130,"")</f>
        <v>2026-07-06T00:00:00.0000000</v>
      </c>
      <c r="F130" s="24" t="str">
        <f>IF(E130&lt;&gt;"",G5copy!A130,"")</f>
        <v>G5 inhalen</v>
      </c>
      <c r="G130" s="24" t="str">
        <f>IF(E130&lt;&gt;"",G5copy!F130,"")</f>
        <v>2025-08-27T18:06:41.0816937+00:00</v>
      </c>
    </row>
    <row r="131" spans="1:7" ht="15.75" customHeight="1">
      <c r="A131" s="23">
        <f t="shared" ref="A131:A194" si="7">IF(E131&lt;&gt;"",DATEVALUE(LEFT(E131,10)),"")</f>
        <v>46212</v>
      </c>
      <c r="B131" t="str">
        <f t="shared" ref="B131:B194" si="8">IF(LEN(F131)&gt;3,RIGHT(F131,LEN(F131)-3),"")</f>
        <v>cijfers inleveren</v>
      </c>
      <c r="C131" s="23">
        <f t="shared" ref="C131:C194" si="9">IF(E131&lt;&gt;"",DATEVALUE(LEFT(G131,10)),"")</f>
        <v>45896</v>
      </c>
      <c r="E131" s="24" t="str">
        <f>IF(NOT(ISBLANK(G5copy!B131)),G5copy!B131,"")</f>
        <v>2026-07-09T00:00:00.0000000</v>
      </c>
      <c r="F131" s="24" t="str">
        <f>IF(E131&lt;&gt;"",G5copy!A131,"")</f>
        <v>G5 cijfers inleveren</v>
      </c>
      <c r="G131" s="24" t="str">
        <f>IF(E131&lt;&gt;"",G5copy!F131,"")</f>
        <v>2025-08-27T18:06:40.9259806+00:00</v>
      </c>
    </row>
    <row r="132" spans="1:7" ht="15.75" customHeight="1">
      <c r="A132" s="23">
        <f t="shared" si="7"/>
        <v>46216</v>
      </c>
      <c r="B132" t="str">
        <f t="shared" si="8"/>
        <v>overgangsverg 10.00</v>
      </c>
      <c r="C132" s="23">
        <f t="shared" si="9"/>
        <v>45896</v>
      </c>
      <c r="E132" s="24" t="str">
        <f>IF(NOT(ISBLANK(G5copy!B132)),G5copy!B132,"")</f>
        <v>2026-07-13T00:00:00.0000000</v>
      </c>
      <c r="F132" s="24" t="str">
        <f>IF(E132&lt;&gt;"",G5copy!A132,"")</f>
        <v>G5 overgangsverg 10.00</v>
      </c>
      <c r="G132" s="24" t="str">
        <f>IF(E132&lt;&gt;"",G5copy!F132,"")</f>
        <v>2025-08-27T18:06:39.6842238+00:00</v>
      </c>
    </row>
    <row r="133" spans="1:7" ht="15.75" customHeight="1">
      <c r="A133" s="23" t="str">
        <f t="shared" si="7"/>
        <v/>
      </c>
      <c r="B133" t="str">
        <f t="shared" si="8"/>
        <v/>
      </c>
      <c r="C133" s="23" t="str">
        <f t="shared" si="9"/>
        <v/>
      </c>
      <c r="E133" s="24" t="str">
        <f>IF(NOT(ISBLANK(G5copy!B133)),G5copy!B133,"")</f>
        <v/>
      </c>
      <c r="F133" s="24" t="str">
        <f>IF(E133&lt;&gt;"",G5copy!A133,"")</f>
        <v/>
      </c>
      <c r="G133" s="24" t="str">
        <f>IF(E133&lt;&gt;"",G5copy!F133,"")</f>
        <v/>
      </c>
    </row>
    <row r="134" spans="1:7" ht="15.75" customHeight="1">
      <c r="A134" s="23" t="str">
        <f t="shared" si="7"/>
        <v/>
      </c>
      <c r="B134" t="str">
        <f t="shared" si="8"/>
        <v/>
      </c>
      <c r="C134" s="23" t="str">
        <f t="shared" si="9"/>
        <v/>
      </c>
      <c r="E134" s="24" t="str">
        <f>IF(NOT(ISBLANK(G5copy!B134)),G5copy!B134,"")</f>
        <v/>
      </c>
      <c r="F134" s="24" t="str">
        <f>IF(E134&lt;&gt;"",G5copy!A134,"")</f>
        <v/>
      </c>
      <c r="G134" s="24" t="str">
        <f>IF(E134&lt;&gt;"",G5copy!F134,"")</f>
        <v/>
      </c>
    </row>
    <row r="135" spans="1:7" ht="15.75" customHeight="1">
      <c r="A135" s="23" t="str">
        <f t="shared" si="7"/>
        <v/>
      </c>
      <c r="B135" t="str">
        <f t="shared" si="8"/>
        <v/>
      </c>
      <c r="C135" s="23" t="str">
        <f t="shared" si="9"/>
        <v/>
      </c>
      <c r="E135" s="24" t="str">
        <f>IF(NOT(ISBLANK(G5copy!B135)),G5copy!B135,"")</f>
        <v/>
      </c>
      <c r="F135" s="24" t="str">
        <f>IF(E135&lt;&gt;"",G5copy!A135,"")</f>
        <v/>
      </c>
      <c r="G135" s="24" t="str">
        <f>IF(E135&lt;&gt;"",G5copy!F135,"")</f>
        <v/>
      </c>
    </row>
    <row r="136" spans="1:7" ht="15.75" customHeight="1">
      <c r="A136" s="23" t="str">
        <f t="shared" si="7"/>
        <v/>
      </c>
      <c r="B136" t="str">
        <f t="shared" si="8"/>
        <v/>
      </c>
      <c r="C136" s="23" t="str">
        <f t="shared" si="9"/>
        <v/>
      </c>
      <c r="E136" s="24" t="str">
        <f>IF(NOT(ISBLANK(G5copy!B136)),G5copy!B136,"")</f>
        <v/>
      </c>
      <c r="F136" s="24" t="str">
        <f>IF(E136&lt;&gt;"",G5copy!A136,"")</f>
        <v/>
      </c>
      <c r="G136" s="24" t="str">
        <f>IF(E136&lt;&gt;"",G5copy!F136,"")</f>
        <v/>
      </c>
    </row>
    <row r="137" spans="1:7" ht="15.75" customHeight="1">
      <c r="A137" s="23" t="str">
        <f t="shared" si="7"/>
        <v/>
      </c>
      <c r="B137" t="str">
        <f t="shared" si="8"/>
        <v/>
      </c>
      <c r="C137" s="23" t="str">
        <f t="shared" si="9"/>
        <v/>
      </c>
      <c r="E137" s="24" t="str">
        <f>IF(NOT(ISBLANK(G5copy!B137)),G5copy!B137,"")</f>
        <v/>
      </c>
      <c r="F137" s="24" t="str">
        <f>IF(E137&lt;&gt;"",G5copy!A137,"")</f>
        <v/>
      </c>
      <c r="G137" s="24" t="str">
        <f>IF(E137&lt;&gt;"",G5copy!F137,"")</f>
        <v/>
      </c>
    </row>
    <row r="138" spans="1:7" ht="15.75" customHeight="1">
      <c r="A138" s="23" t="str">
        <f t="shared" si="7"/>
        <v/>
      </c>
      <c r="B138" t="str">
        <f t="shared" si="8"/>
        <v/>
      </c>
      <c r="C138" s="23" t="str">
        <f t="shared" si="9"/>
        <v/>
      </c>
      <c r="E138" s="24" t="str">
        <f>IF(NOT(ISBLANK(G5copy!B138)),G5copy!B138,"")</f>
        <v/>
      </c>
      <c r="F138" s="24" t="str">
        <f>IF(E138&lt;&gt;"",G5copy!A138,"")</f>
        <v/>
      </c>
      <c r="G138" s="24" t="str">
        <f>IF(E138&lt;&gt;"",G5copy!F138,"")</f>
        <v/>
      </c>
    </row>
    <row r="139" spans="1:7" ht="15.75" customHeight="1">
      <c r="A139" s="23" t="str">
        <f t="shared" si="7"/>
        <v/>
      </c>
      <c r="B139" t="str">
        <f t="shared" si="8"/>
        <v/>
      </c>
      <c r="C139" s="23" t="str">
        <f t="shared" si="9"/>
        <v/>
      </c>
      <c r="E139" s="24" t="str">
        <f>IF(NOT(ISBLANK(G5copy!B139)),G5copy!B139,"")</f>
        <v/>
      </c>
      <c r="F139" s="24" t="str">
        <f>IF(E139&lt;&gt;"",G5copy!A139,"")</f>
        <v/>
      </c>
      <c r="G139" s="24" t="str">
        <f>IF(E139&lt;&gt;"",G5copy!F139,"")</f>
        <v/>
      </c>
    </row>
    <row r="140" spans="1:7" ht="15.75" customHeight="1">
      <c r="A140" s="23" t="str">
        <f t="shared" si="7"/>
        <v/>
      </c>
      <c r="B140" t="str">
        <f t="shared" si="8"/>
        <v/>
      </c>
      <c r="C140" s="23" t="str">
        <f t="shared" si="9"/>
        <v/>
      </c>
      <c r="E140" s="24" t="str">
        <f>IF(NOT(ISBLANK(G5copy!B140)),G5copy!B140,"")</f>
        <v/>
      </c>
      <c r="F140" s="24" t="str">
        <f>IF(E140&lt;&gt;"",G5copy!A140,"")</f>
        <v/>
      </c>
      <c r="G140" s="24" t="str">
        <f>IF(E140&lt;&gt;"",G5copy!F140,"")</f>
        <v/>
      </c>
    </row>
    <row r="141" spans="1:7" ht="15.75" customHeight="1">
      <c r="A141" s="23" t="str">
        <f t="shared" si="7"/>
        <v/>
      </c>
      <c r="B141" t="str">
        <f t="shared" si="8"/>
        <v/>
      </c>
      <c r="C141" s="23" t="str">
        <f t="shared" si="9"/>
        <v/>
      </c>
      <c r="E141" s="24" t="str">
        <f>IF(NOT(ISBLANK(G5copy!B141)),G5copy!B141,"")</f>
        <v/>
      </c>
      <c r="F141" s="24" t="str">
        <f>IF(E141&lt;&gt;"",G5copy!A141,"")</f>
        <v/>
      </c>
      <c r="G141" s="24" t="str">
        <f>IF(E141&lt;&gt;"",G5copy!F141,"")</f>
        <v/>
      </c>
    </row>
    <row r="142" spans="1:7" ht="15.75" customHeight="1">
      <c r="A142" s="23" t="str">
        <f t="shared" si="7"/>
        <v/>
      </c>
      <c r="B142" t="str">
        <f t="shared" si="8"/>
        <v/>
      </c>
      <c r="C142" s="23" t="str">
        <f t="shared" si="9"/>
        <v/>
      </c>
      <c r="E142" s="24" t="str">
        <f>IF(NOT(ISBLANK(G5copy!B142)),G5copy!B142,"")</f>
        <v/>
      </c>
      <c r="F142" s="24" t="str">
        <f>IF(E142&lt;&gt;"",G5copy!A142,"")</f>
        <v/>
      </c>
      <c r="G142" s="24" t="str">
        <f>IF(E142&lt;&gt;"",G5copy!F142,"")</f>
        <v/>
      </c>
    </row>
    <row r="143" spans="1:7" ht="15.75" customHeight="1">
      <c r="A143" s="23" t="str">
        <f t="shared" si="7"/>
        <v/>
      </c>
      <c r="B143" t="str">
        <f t="shared" si="8"/>
        <v/>
      </c>
      <c r="C143" s="23" t="str">
        <f t="shared" si="9"/>
        <v/>
      </c>
      <c r="E143" s="24" t="str">
        <f>IF(NOT(ISBLANK(G5copy!B143)),G5copy!B143,"")</f>
        <v/>
      </c>
      <c r="F143" s="24" t="str">
        <f>IF(E143&lt;&gt;"",G5copy!A143,"")</f>
        <v/>
      </c>
      <c r="G143" s="24" t="str">
        <f>IF(E143&lt;&gt;"",G5copy!F143,"")</f>
        <v/>
      </c>
    </row>
    <row r="144" spans="1:7" ht="15.75" customHeight="1">
      <c r="A144" s="23" t="str">
        <f t="shared" si="7"/>
        <v/>
      </c>
      <c r="B144" t="str">
        <f t="shared" si="8"/>
        <v/>
      </c>
      <c r="C144" s="23" t="str">
        <f t="shared" si="9"/>
        <v/>
      </c>
      <c r="E144" s="24" t="str">
        <f>IF(NOT(ISBLANK(G5copy!B144)),G5copy!B144,"")</f>
        <v/>
      </c>
      <c r="F144" s="24" t="str">
        <f>IF(E144&lt;&gt;"",G5copy!A144,"")</f>
        <v/>
      </c>
      <c r="G144" s="24" t="str">
        <f>IF(E144&lt;&gt;"",G5copy!F144,"")</f>
        <v/>
      </c>
    </row>
    <row r="145" spans="1:7" ht="15.75" customHeight="1">
      <c r="A145" s="23" t="str">
        <f t="shared" si="7"/>
        <v/>
      </c>
      <c r="B145" t="str">
        <f t="shared" si="8"/>
        <v/>
      </c>
      <c r="C145" s="23" t="str">
        <f t="shared" si="9"/>
        <v/>
      </c>
      <c r="E145" s="24" t="str">
        <f>IF(NOT(ISBLANK(G5copy!B145)),G5copy!B145,"")</f>
        <v/>
      </c>
      <c r="F145" s="24" t="str">
        <f>IF(E145&lt;&gt;"",G5copy!A145,"")</f>
        <v/>
      </c>
      <c r="G145" s="24" t="str">
        <f>IF(E145&lt;&gt;"",G5copy!F145,"")</f>
        <v/>
      </c>
    </row>
    <row r="146" spans="1:7" ht="15.75" customHeight="1">
      <c r="A146" s="23" t="str">
        <f t="shared" si="7"/>
        <v/>
      </c>
      <c r="B146" t="str">
        <f t="shared" si="8"/>
        <v/>
      </c>
      <c r="C146" s="23" t="str">
        <f t="shared" si="9"/>
        <v/>
      </c>
      <c r="E146" s="24" t="str">
        <f>IF(NOT(ISBLANK(G5copy!B146)),G5copy!B146,"")</f>
        <v/>
      </c>
      <c r="F146" s="24" t="str">
        <f>IF(E146&lt;&gt;"",G5copy!A146,"")</f>
        <v/>
      </c>
      <c r="G146" s="24" t="str">
        <f>IF(E146&lt;&gt;"",G5copy!F146,"")</f>
        <v/>
      </c>
    </row>
    <row r="147" spans="1:7" ht="15.75" customHeight="1">
      <c r="A147" s="23" t="str">
        <f t="shared" si="7"/>
        <v/>
      </c>
      <c r="B147" t="str">
        <f t="shared" si="8"/>
        <v/>
      </c>
      <c r="C147" s="23" t="str">
        <f t="shared" si="9"/>
        <v/>
      </c>
      <c r="E147" s="24" t="str">
        <f>IF(NOT(ISBLANK(G5copy!B147)),G5copy!B147,"")</f>
        <v/>
      </c>
      <c r="F147" s="24" t="str">
        <f>IF(E147&lt;&gt;"",G5copy!A147,"")</f>
        <v/>
      </c>
      <c r="G147" s="24" t="str">
        <f>IF(E147&lt;&gt;"",G5copy!F147,"")</f>
        <v/>
      </c>
    </row>
    <row r="148" spans="1:7" ht="15.75" customHeight="1">
      <c r="A148" s="23" t="str">
        <f t="shared" si="7"/>
        <v/>
      </c>
      <c r="B148" t="str">
        <f t="shared" si="8"/>
        <v/>
      </c>
      <c r="C148" s="23" t="str">
        <f t="shared" si="9"/>
        <v/>
      </c>
      <c r="E148" s="24" t="str">
        <f>IF(NOT(ISBLANK(G5copy!B148)),G5copy!B148,"")</f>
        <v/>
      </c>
      <c r="F148" s="24" t="str">
        <f>IF(E148&lt;&gt;"",G5copy!A148,"")</f>
        <v/>
      </c>
      <c r="G148" s="24" t="str">
        <f>IF(E148&lt;&gt;"",G5copy!F148,"")</f>
        <v/>
      </c>
    </row>
    <row r="149" spans="1:7" ht="15.75" customHeight="1">
      <c r="A149" s="23" t="str">
        <f t="shared" si="7"/>
        <v/>
      </c>
      <c r="B149" t="str">
        <f t="shared" si="8"/>
        <v/>
      </c>
      <c r="C149" s="23" t="str">
        <f t="shared" si="9"/>
        <v/>
      </c>
      <c r="E149" s="24" t="str">
        <f>IF(NOT(ISBLANK(G5copy!B149)),G5copy!B149,"")</f>
        <v/>
      </c>
      <c r="F149" s="24" t="str">
        <f>IF(E149&lt;&gt;"",G5copy!A149,"")</f>
        <v/>
      </c>
      <c r="G149" s="24" t="str">
        <f>IF(E149&lt;&gt;"",G5copy!F149,"")</f>
        <v/>
      </c>
    </row>
    <row r="150" spans="1:7" ht="15.75" customHeight="1">
      <c r="A150" s="23" t="str">
        <f t="shared" si="7"/>
        <v/>
      </c>
      <c r="B150" t="str">
        <f t="shared" si="8"/>
        <v/>
      </c>
      <c r="C150" s="23" t="str">
        <f t="shared" si="9"/>
        <v/>
      </c>
      <c r="E150" s="24" t="str">
        <f>IF(NOT(ISBLANK(G5copy!B150)),G5copy!B150,"")</f>
        <v/>
      </c>
      <c r="F150" s="24" t="str">
        <f>IF(E150&lt;&gt;"",G5copy!A150,"")</f>
        <v/>
      </c>
      <c r="G150" s="24" t="str">
        <f>IF(E150&lt;&gt;"",G5copy!F150,"")</f>
        <v/>
      </c>
    </row>
    <row r="151" spans="1:7" ht="15.75" customHeight="1">
      <c r="A151" s="23" t="str">
        <f t="shared" si="7"/>
        <v/>
      </c>
      <c r="B151" t="str">
        <f t="shared" si="8"/>
        <v/>
      </c>
      <c r="C151" s="23" t="str">
        <f t="shared" si="9"/>
        <v/>
      </c>
      <c r="E151" s="24" t="str">
        <f>IF(NOT(ISBLANK(G5copy!B151)),G5copy!B151,"")</f>
        <v/>
      </c>
      <c r="F151" s="24" t="str">
        <f>IF(E151&lt;&gt;"",G5copy!A151,"")</f>
        <v/>
      </c>
      <c r="G151" s="24" t="str">
        <f>IF(E151&lt;&gt;"",G5copy!F151,"")</f>
        <v/>
      </c>
    </row>
    <row r="152" spans="1:7" ht="15.75" customHeight="1">
      <c r="A152" s="23" t="str">
        <f t="shared" si="7"/>
        <v/>
      </c>
      <c r="B152" t="str">
        <f t="shared" si="8"/>
        <v/>
      </c>
      <c r="C152" s="23" t="str">
        <f t="shared" si="9"/>
        <v/>
      </c>
      <c r="E152" s="24" t="str">
        <f>IF(NOT(ISBLANK(G5copy!B152)),G5copy!B152,"")</f>
        <v/>
      </c>
      <c r="F152" s="24" t="str">
        <f>IF(E152&lt;&gt;"",G5copy!A152,"")</f>
        <v/>
      </c>
      <c r="G152" s="24" t="str">
        <f>IF(E152&lt;&gt;"",G5copy!F152,"")</f>
        <v/>
      </c>
    </row>
    <row r="153" spans="1:7" ht="15.75" customHeight="1">
      <c r="A153" s="23" t="str">
        <f t="shared" si="7"/>
        <v/>
      </c>
      <c r="B153" t="str">
        <f t="shared" si="8"/>
        <v/>
      </c>
      <c r="C153" s="23" t="str">
        <f t="shared" si="9"/>
        <v/>
      </c>
      <c r="E153" s="24" t="str">
        <f>IF(NOT(ISBLANK(G5copy!B153)),G5copy!B153,"")</f>
        <v/>
      </c>
      <c r="F153" s="24" t="str">
        <f>IF(E153&lt;&gt;"",G5copy!A153,"")</f>
        <v/>
      </c>
      <c r="G153" s="24" t="str">
        <f>IF(E153&lt;&gt;"",G5copy!F153,"")</f>
        <v/>
      </c>
    </row>
    <row r="154" spans="1:7" ht="15.75" customHeight="1">
      <c r="A154" s="23" t="str">
        <f t="shared" si="7"/>
        <v/>
      </c>
      <c r="B154" t="str">
        <f t="shared" si="8"/>
        <v/>
      </c>
      <c r="C154" s="23" t="str">
        <f t="shared" si="9"/>
        <v/>
      </c>
      <c r="E154" s="24" t="str">
        <f>IF(NOT(ISBLANK(G5copy!B154)),G5copy!B154,"")</f>
        <v/>
      </c>
      <c r="F154" s="24" t="str">
        <f>IF(E154&lt;&gt;"",G5copy!A154,"")</f>
        <v/>
      </c>
      <c r="G154" s="24" t="str">
        <f>IF(E154&lt;&gt;"",G5copy!F154,"")</f>
        <v/>
      </c>
    </row>
    <row r="155" spans="1:7" ht="15.75" customHeight="1">
      <c r="A155" s="23" t="str">
        <f t="shared" si="7"/>
        <v/>
      </c>
      <c r="B155" t="str">
        <f t="shared" si="8"/>
        <v/>
      </c>
      <c r="C155" s="23" t="str">
        <f t="shared" si="9"/>
        <v/>
      </c>
      <c r="E155" s="24" t="str">
        <f>IF(NOT(ISBLANK(G5copy!B155)),G5copy!B155,"")</f>
        <v/>
      </c>
      <c r="F155" s="24" t="str">
        <f>IF(E155&lt;&gt;"",G5copy!A155,"")</f>
        <v/>
      </c>
      <c r="G155" s="24" t="str">
        <f>IF(E155&lt;&gt;"",G5copy!F155,"")</f>
        <v/>
      </c>
    </row>
    <row r="156" spans="1:7" ht="15.75" customHeight="1">
      <c r="A156" s="23" t="str">
        <f t="shared" si="7"/>
        <v/>
      </c>
      <c r="B156" t="str">
        <f t="shared" si="8"/>
        <v/>
      </c>
      <c r="C156" s="23" t="str">
        <f t="shared" si="9"/>
        <v/>
      </c>
      <c r="E156" s="24" t="str">
        <f>IF(NOT(ISBLANK(G5copy!B156)),G5copy!B156,"")</f>
        <v/>
      </c>
      <c r="F156" s="24" t="str">
        <f>IF(E156&lt;&gt;"",G5copy!A156,"")</f>
        <v/>
      </c>
      <c r="G156" s="24" t="str">
        <f>IF(E156&lt;&gt;"",G5copy!F156,"")</f>
        <v/>
      </c>
    </row>
    <row r="157" spans="1:7" ht="15.75" customHeight="1">
      <c r="A157" s="23" t="str">
        <f t="shared" si="7"/>
        <v/>
      </c>
      <c r="B157" t="str">
        <f t="shared" si="8"/>
        <v/>
      </c>
      <c r="C157" s="23" t="str">
        <f t="shared" si="9"/>
        <v/>
      </c>
      <c r="E157" s="24" t="str">
        <f>IF(NOT(ISBLANK(G5copy!B157)),G5copy!B157,"")</f>
        <v/>
      </c>
      <c r="F157" s="24" t="str">
        <f>IF(E157&lt;&gt;"",G5copy!A157,"")</f>
        <v/>
      </c>
      <c r="G157" s="24" t="str">
        <f>IF(E157&lt;&gt;"",G5copy!F157,"")</f>
        <v/>
      </c>
    </row>
    <row r="158" spans="1:7" ht="15.75" customHeight="1">
      <c r="A158" s="23" t="str">
        <f t="shared" si="7"/>
        <v/>
      </c>
      <c r="B158" t="str">
        <f t="shared" si="8"/>
        <v/>
      </c>
      <c r="C158" s="23" t="str">
        <f t="shared" si="9"/>
        <v/>
      </c>
      <c r="E158" s="24" t="str">
        <f>IF(NOT(ISBLANK(G5copy!B158)),G5copy!B158,"")</f>
        <v/>
      </c>
      <c r="F158" s="24" t="str">
        <f>IF(E158&lt;&gt;"",G5copy!A158,"")</f>
        <v/>
      </c>
      <c r="G158" s="24" t="str">
        <f>IF(E158&lt;&gt;"",G5copy!F158,"")</f>
        <v/>
      </c>
    </row>
    <row r="159" spans="1:7" ht="15.75" customHeight="1">
      <c r="A159" s="23" t="str">
        <f t="shared" si="7"/>
        <v/>
      </c>
      <c r="B159" t="str">
        <f t="shared" si="8"/>
        <v/>
      </c>
      <c r="C159" s="23" t="str">
        <f t="shared" si="9"/>
        <v/>
      </c>
      <c r="E159" s="24" t="str">
        <f>IF(NOT(ISBLANK(G5copy!B159)),G5copy!B159,"")</f>
        <v/>
      </c>
      <c r="F159" s="24" t="str">
        <f>IF(E159&lt;&gt;"",G5copy!A159,"")</f>
        <v/>
      </c>
      <c r="G159" s="24" t="str">
        <f>IF(E159&lt;&gt;"",G5copy!F159,"")</f>
        <v/>
      </c>
    </row>
    <row r="160" spans="1:7" ht="15.75" customHeight="1">
      <c r="A160" s="23" t="str">
        <f t="shared" si="7"/>
        <v/>
      </c>
      <c r="B160" t="str">
        <f t="shared" si="8"/>
        <v/>
      </c>
      <c r="C160" s="23" t="str">
        <f t="shared" si="9"/>
        <v/>
      </c>
      <c r="E160" s="24" t="str">
        <f>IF(NOT(ISBLANK(G5copy!B160)),G5copy!B160,"")</f>
        <v/>
      </c>
      <c r="F160" s="24" t="str">
        <f>IF(E160&lt;&gt;"",G5copy!A160,"")</f>
        <v/>
      </c>
      <c r="G160" s="24" t="str">
        <f>IF(E160&lt;&gt;"",G5copy!F160,"")</f>
        <v/>
      </c>
    </row>
    <row r="161" spans="1:7" ht="15.75" customHeight="1">
      <c r="A161" s="23" t="str">
        <f t="shared" si="7"/>
        <v/>
      </c>
      <c r="B161" t="str">
        <f t="shared" si="8"/>
        <v/>
      </c>
      <c r="C161" s="23" t="str">
        <f t="shared" si="9"/>
        <v/>
      </c>
      <c r="E161" s="24" t="str">
        <f>IF(NOT(ISBLANK(G5copy!B161)),G5copy!B161,"")</f>
        <v/>
      </c>
      <c r="F161" s="24" t="str">
        <f>IF(E161&lt;&gt;"",G5copy!A161,"")</f>
        <v/>
      </c>
      <c r="G161" s="24" t="str">
        <f>IF(E161&lt;&gt;"",G5copy!F161,"")</f>
        <v/>
      </c>
    </row>
    <row r="162" spans="1:7" ht="15.75" customHeight="1">
      <c r="A162" s="23" t="str">
        <f t="shared" si="7"/>
        <v/>
      </c>
      <c r="B162" t="str">
        <f t="shared" si="8"/>
        <v/>
      </c>
      <c r="C162" s="23" t="str">
        <f t="shared" si="9"/>
        <v/>
      </c>
      <c r="E162" s="24" t="str">
        <f>IF(NOT(ISBLANK(G5copy!B162)),G5copy!B162,"")</f>
        <v/>
      </c>
      <c r="F162" s="24" t="str">
        <f>IF(E162&lt;&gt;"",G5copy!A162,"")</f>
        <v/>
      </c>
      <c r="G162" s="24" t="str">
        <f>IF(E162&lt;&gt;"",G5copy!F162,"")</f>
        <v/>
      </c>
    </row>
    <row r="163" spans="1:7" ht="15.75" customHeight="1">
      <c r="A163" s="23" t="str">
        <f t="shared" si="7"/>
        <v/>
      </c>
      <c r="B163" t="str">
        <f t="shared" si="8"/>
        <v/>
      </c>
      <c r="C163" s="23" t="str">
        <f t="shared" si="9"/>
        <v/>
      </c>
      <c r="E163" s="24" t="str">
        <f>IF(NOT(ISBLANK(G5copy!B163)),G5copy!B163,"")</f>
        <v/>
      </c>
      <c r="F163" s="24" t="str">
        <f>IF(E163&lt;&gt;"",G5copy!A163,"")</f>
        <v/>
      </c>
      <c r="G163" s="24" t="str">
        <f>IF(E163&lt;&gt;"",G5copy!F163,"")</f>
        <v/>
      </c>
    </row>
    <row r="164" spans="1:7" ht="15.75" customHeight="1">
      <c r="A164" s="23" t="str">
        <f t="shared" si="7"/>
        <v/>
      </c>
      <c r="B164" t="str">
        <f t="shared" si="8"/>
        <v/>
      </c>
      <c r="C164" s="23" t="str">
        <f t="shared" si="9"/>
        <v/>
      </c>
      <c r="E164" s="24" t="str">
        <f>IF(NOT(ISBLANK(G5copy!B164)),G5copy!B164,"")</f>
        <v/>
      </c>
      <c r="F164" s="24" t="str">
        <f>IF(E164&lt;&gt;"",G5copy!A164,"")</f>
        <v/>
      </c>
      <c r="G164" s="24" t="str">
        <f>IF(E164&lt;&gt;"",G5copy!F164,"")</f>
        <v/>
      </c>
    </row>
    <row r="165" spans="1:7" ht="15.75" customHeight="1">
      <c r="A165" s="23" t="str">
        <f t="shared" si="7"/>
        <v/>
      </c>
      <c r="B165" t="str">
        <f t="shared" si="8"/>
        <v/>
      </c>
      <c r="C165" s="23" t="str">
        <f t="shared" si="9"/>
        <v/>
      </c>
      <c r="E165" s="24" t="str">
        <f>IF(NOT(ISBLANK(G5copy!B165)),G5copy!B165,"")</f>
        <v/>
      </c>
      <c r="F165" s="24" t="str">
        <f>IF(E165&lt;&gt;"",G5copy!A165,"")</f>
        <v/>
      </c>
      <c r="G165" s="24" t="str">
        <f>IF(E165&lt;&gt;"",G5copy!F165,"")</f>
        <v/>
      </c>
    </row>
    <row r="166" spans="1:7" ht="15.75" customHeight="1">
      <c r="A166" s="23" t="str">
        <f t="shared" si="7"/>
        <v/>
      </c>
      <c r="B166" t="str">
        <f t="shared" si="8"/>
        <v/>
      </c>
      <c r="C166" s="23" t="str">
        <f t="shared" si="9"/>
        <v/>
      </c>
      <c r="E166" s="24" t="str">
        <f>IF(NOT(ISBLANK(G5copy!B166)),G5copy!B166,"")</f>
        <v/>
      </c>
      <c r="F166" s="24" t="str">
        <f>IF(E166&lt;&gt;"",G5copy!A166,"")</f>
        <v/>
      </c>
      <c r="G166" s="24" t="str">
        <f>IF(E166&lt;&gt;"",G5copy!F166,"")</f>
        <v/>
      </c>
    </row>
    <row r="167" spans="1:7" ht="15.75" customHeight="1">
      <c r="A167" s="23" t="str">
        <f t="shared" si="7"/>
        <v/>
      </c>
      <c r="B167" t="str">
        <f t="shared" si="8"/>
        <v/>
      </c>
      <c r="C167" s="23" t="str">
        <f t="shared" si="9"/>
        <v/>
      </c>
      <c r="E167" s="24" t="str">
        <f>IF(NOT(ISBLANK(G5copy!B167)),G5copy!B167,"")</f>
        <v/>
      </c>
      <c r="F167" s="24" t="str">
        <f>IF(E167&lt;&gt;"",G5copy!A167,"")</f>
        <v/>
      </c>
      <c r="G167" s="24" t="str">
        <f>IF(E167&lt;&gt;"",G5copy!F167,"")</f>
        <v/>
      </c>
    </row>
    <row r="168" spans="1:7" ht="15.75" customHeight="1">
      <c r="A168" s="23" t="str">
        <f t="shared" si="7"/>
        <v/>
      </c>
      <c r="B168" t="str">
        <f t="shared" si="8"/>
        <v/>
      </c>
      <c r="C168" s="23" t="str">
        <f t="shared" si="9"/>
        <v/>
      </c>
      <c r="E168" s="24" t="str">
        <f>IF(NOT(ISBLANK(G5copy!B168)),G5copy!B168,"")</f>
        <v/>
      </c>
      <c r="F168" s="24" t="str">
        <f>IF(E168&lt;&gt;"",G5copy!A168,"")</f>
        <v/>
      </c>
      <c r="G168" s="24" t="str">
        <f>IF(E168&lt;&gt;"",G5copy!F168,"")</f>
        <v/>
      </c>
    </row>
    <row r="169" spans="1:7" ht="15.75" customHeight="1">
      <c r="A169" s="23" t="str">
        <f t="shared" si="7"/>
        <v/>
      </c>
      <c r="B169" t="str">
        <f t="shared" si="8"/>
        <v/>
      </c>
      <c r="C169" s="23" t="str">
        <f t="shared" si="9"/>
        <v/>
      </c>
      <c r="E169" s="24" t="str">
        <f>IF(NOT(ISBLANK(G5copy!B169)),G5copy!B169,"")</f>
        <v/>
      </c>
      <c r="F169" s="24" t="str">
        <f>IF(E169&lt;&gt;"",G5copy!A169,"")</f>
        <v/>
      </c>
      <c r="G169" s="24" t="str">
        <f>IF(E169&lt;&gt;"",G5copy!F169,"")</f>
        <v/>
      </c>
    </row>
    <row r="170" spans="1:7" ht="15.75" customHeight="1">
      <c r="A170" s="23" t="str">
        <f t="shared" si="7"/>
        <v/>
      </c>
      <c r="B170" t="str">
        <f t="shared" si="8"/>
        <v/>
      </c>
      <c r="C170" s="23" t="str">
        <f t="shared" si="9"/>
        <v/>
      </c>
      <c r="E170" s="24" t="str">
        <f>IF(NOT(ISBLANK(G5copy!B170)),G5copy!B170,"")</f>
        <v/>
      </c>
      <c r="F170" s="24" t="str">
        <f>IF(E170&lt;&gt;"",G5copy!A170,"")</f>
        <v/>
      </c>
      <c r="G170" s="24" t="str">
        <f>IF(E170&lt;&gt;"",G5copy!F170,"")</f>
        <v/>
      </c>
    </row>
    <row r="171" spans="1:7" ht="15.75" customHeight="1">
      <c r="A171" s="23" t="str">
        <f t="shared" si="7"/>
        <v/>
      </c>
      <c r="B171" t="str">
        <f t="shared" si="8"/>
        <v/>
      </c>
      <c r="C171" s="23" t="str">
        <f t="shared" si="9"/>
        <v/>
      </c>
      <c r="E171" s="24" t="str">
        <f>IF(NOT(ISBLANK(G5copy!B171)),G5copy!B171,"")</f>
        <v/>
      </c>
      <c r="F171" s="24" t="str">
        <f>IF(E171&lt;&gt;"",G5copy!A171,"")</f>
        <v/>
      </c>
      <c r="G171" s="24" t="str">
        <f>IF(E171&lt;&gt;"",G5copy!F171,"")</f>
        <v/>
      </c>
    </row>
    <row r="172" spans="1:7" ht="15.75" customHeight="1">
      <c r="A172" s="23" t="str">
        <f t="shared" si="7"/>
        <v/>
      </c>
      <c r="B172" t="str">
        <f t="shared" si="8"/>
        <v/>
      </c>
      <c r="C172" s="23" t="str">
        <f t="shared" si="9"/>
        <v/>
      </c>
      <c r="E172" s="24" t="str">
        <f>IF(NOT(ISBLANK(G5copy!B172)),G5copy!B172,"")</f>
        <v/>
      </c>
      <c r="F172" s="24" t="str">
        <f>IF(E172&lt;&gt;"",G5copy!A172,"")</f>
        <v/>
      </c>
      <c r="G172" s="24" t="str">
        <f>IF(E172&lt;&gt;"",G5copy!F172,"")</f>
        <v/>
      </c>
    </row>
    <row r="173" spans="1:7" ht="15.75" customHeight="1">
      <c r="A173" s="23" t="str">
        <f t="shared" si="7"/>
        <v/>
      </c>
      <c r="B173" t="str">
        <f t="shared" si="8"/>
        <v/>
      </c>
      <c r="C173" s="23" t="str">
        <f t="shared" si="9"/>
        <v/>
      </c>
      <c r="E173" s="24" t="str">
        <f>IF(NOT(ISBLANK(G5copy!B173)),G5copy!B173,"")</f>
        <v/>
      </c>
      <c r="F173" s="24" t="str">
        <f>IF(E173&lt;&gt;"",G5copy!A173,"")</f>
        <v/>
      </c>
      <c r="G173" s="24" t="str">
        <f>IF(E173&lt;&gt;"",G5copy!F173,"")</f>
        <v/>
      </c>
    </row>
    <row r="174" spans="1:7" ht="15.75" customHeight="1">
      <c r="A174" s="23" t="str">
        <f t="shared" si="7"/>
        <v/>
      </c>
      <c r="B174" t="str">
        <f t="shared" si="8"/>
        <v/>
      </c>
      <c r="C174" s="23" t="str">
        <f t="shared" si="9"/>
        <v/>
      </c>
      <c r="E174" s="24" t="str">
        <f>IF(NOT(ISBLANK(G5copy!B174)),G5copy!B174,"")</f>
        <v/>
      </c>
      <c r="F174" s="24" t="str">
        <f>IF(E174&lt;&gt;"",G5copy!A174,"")</f>
        <v/>
      </c>
      <c r="G174" s="24" t="str">
        <f>IF(E174&lt;&gt;"",G5copy!F174,"")</f>
        <v/>
      </c>
    </row>
    <row r="175" spans="1:7" ht="15.75" customHeight="1">
      <c r="A175" s="23" t="str">
        <f t="shared" si="7"/>
        <v/>
      </c>
      <c r="B175" t="str">
        <f t="shared" si="8"/>
        <v/>
      </c>
      <c r="C175" s="23" t="str">
        <f t="shared" si="9"/>
        <v/>
      </c>
      <c r="E175" s="24" t="str">
        <f>IF(NOT(ISBLANK(G5copy!B175)),G5copy!B175,"")</f>
        <v/>
      </c>
      <c r="F175" s="24" t="str">
        <f>IF(E175&lt;&gt;"",G5copy!A175,"")</f>
        <v/>
      </c>
      <c r="G175" s="24" t="str">
        <f>IF(E175&lt;&gt;"",G5copy!F175,"")</f>
        <v/>
      </c>
    </row>
    <row r="176" spans="1:7" ht="15.75" customHeight="1">
      <c r="A176" s="23" t="str">
        <f t="shared" si="7"/>
        <v/>
      </c>
      <c r="B176" t="str">
        <f t="shared" si="8"/>
        <v/>
      </c>
      <c r="C176" s="23" t="str">
        <f t="shared" si="9"/>
        <v/>
      </c>
      <c r="E176" s="24" t="str">
        <f>IF(NOT(ISBLANK(G5copy!B176)),G5copy!B176,"")</f>
        <v/>
      </c>
      <c r="F176" s="24" t="str">
        <f>IF(E176&lt;&gt;"",G5copy!A176,"")</f>
        <v/>
      </c>
      <c r="G176" s="24" t="str">
        <f>IF(E176&lt;&gt;"",G5copy!F176,"")</f>
        <v/>
      </c>
    </row>
    <row r="177" spans="1:7" ht="15.75" customHeight="1">
      <c r="A177" s="23" t="str">
        <f t="shared" si="7"/>
        <v/>
      </c>
      <c r="B177" t="str">
        <f t="shared" si="8"/>
        <v/>
      </c>
      <c r="C177" s="23" t="str">
        <f t="shared" si="9"/>
        <v/>
      </c>
      <c r="E177" s="24" t="str">
        <f>IF(NOT(ISBLANK(G5copy!B177)),G5copy!B177,"")</f>
        <v/>
      </c>
      <c r="F177" s="24" t="str">
        <f>IF(E177&lt;&gt;"",G5copy!A177,"")</f>
        <v/>
      </c>
      <c r="G177" s="24" t="str">
        <f>IF(E177&lt;&gt;"",G5copy!F177,"")</f>
        <v/>
      </c>
    </row>
    <row r="178" spans="1:7" ht="15.75" customHeight="1">
      <c r="A178" s="23" t="str">
        <f t="shared" si="7"/>
        <v/>
      </c>
      <c r="B178" t="str">
        <f t="shared" si="8"/>
        <v/>
      </c>
      <c r="C178" s="23" t="str">
        <f t="shared" si="9"/>
        <v/>
      </c>
      <c r="E178" s="24" t="str">
        <f>IF(NOT(ISBLANK(G5copy!B178)),G5copy!B178,"")</f>
        <v/>
      </c>
      <c r="F178" s="24" t="str">
        <f>IF(E178&lt;&gt;"",G5copy!A178,"")</f>
        <v/>
      </c>
      <c r="G178" s="24" t="str">
        <f>IF(E178&lt;&gt;"",G5copy!F178,"")</f>
        <v/>
      </c>
    </row>
    <row r="179" spans="1:7" ht="15.75" customHeight="1">
      <c r="A179" s="23" t="str">
        <f t="shared" si="7"/>
        <v/>
      </c>
      <c r="B179" t="str">
        <f t="shared" si="8"/>
        <v/>
      </c>
      <c r="C179" s="23" t="str">
        <f t="shared" si="9"/>
        <v/>
      </c>
      <c r="E179" s="24" t="str">
        <f>IF(NOT(ISBLANK(G5copy!B179)),G5copy!B179,"")</f>
        <v/>
      </c>
      <c r="F179" s="24" t="str">
        <f>IF(E179&lt;&gt;"",G5copy!A179,"")</f>
        <v/>
      </c>
      <c r="G179" s="24" t="str">
        <f>IF(E179&lt;&gt;"",G5copy!F179,"")</f>
        <v/>
      </c>
    </row>
    <row r="180" spans="1:7" ht="15.75" customHeight="1">
      <c r="A180" s="23" t="str">
        <f t="shared" si="7"/>
        <v/>
      </c>
      <c r="B180" t="str">
        <f t="shared" si="8"/>
        <v/>
      </c>
      <c r="C180" s="23" t="str">
        <f t="shared" si="9"/>
        <v/>
      </c>
      <c r="E180" s="24" t="str">
        <f>IF(NOT(ISBLANK(G5copy!B180)),G5copy!B180,"")</f>
        <v/>
      </c>
      <c r="F180" s="24" t="str">
        <f>IF(E180&lt;&gt;"",G5copy!A180,"")</f>
        <v/>
      </c>
      <c r="G180" s="24" t="str">
        <f>IF(E180&lt;&gt;"",G5copy!F180,"")</f>
        <v/>
      </c>
    </row>
    <row r="181" spans="1:7" ht="15.75" customHeight="1">
      <c r="A181" s="23" t="str">
        <f t="shared" si="7"/>
        <v/>
      </c>
      <c r="B181" t="str">
        <f t="shared" si="8"/>
        <v/>
      </c>
      <c r="C181" s="23" t="str">
        <f t="shared" si="9"/>
        <v/>
      </c>
      <c r="E181" s="24" t="str">
        <f>IF(NOT(ISBLANK(G5copy!B181)),G5copy!B181,"")</f>
        <v/>
      </c>
      <c r="F181" s="24" t="str">
        <f>IF(E181&lt;&gt;"",G5copy!A181,"")</f>
        <v/>
      </c>
      <c r="G181" s="24" t="str">
        <f>IF(E181&lt;&gt;"",G5copy!F181,"")</f>
        <v/>
      </c>
    </row>
    <row r="182" spans="1:7" ht="15.75" customHeight="1">
      <c r="A182" s="23" t="str">
        <f t="shared" si="7"/>
        <v/>
      </c>
      <c r="B182" t="str">
        <f t="shared" si="8"/>
        <v/>
      </c>
      <c r="C182" s="23" t="str">
        <f t="shared" si="9"/>
        <v/>
      </c>
      <c r="E182" s="24" t="str">
        <f>IF(NOT(ISBLANK(G5copy!B182)),G5copy!B182,"")</f>
        <v/>
      </c>
      <c r="F182" s="24" t="str">
        <f>IF(E182&lt;&gt;"",G5copy!A182,"")</f>
        <v/>
      </c>
      <c r="G182" s="24" t="str">
        <f>IF(E182&lt;&gt;"",G5copy!F182,"")</f>
        <v/>
      </c>
    </row>
    <row r="183" spans="1:7" ht="15.75" customHeight="1">
      <c r="A183" s="23" t="str">
        <f t="shared" si="7"/>
        <v/>
      </c>
      <c r="B183" t="str">
        <f t="shared" si="8"/>
        <v/>
      </c>
      <c r="C183" s="23" t="str">
        <f t="shared" si="9"/>
        <v/>
      </c>
      <c r="E183" s="24" t="str">
        <f>IF(NOT(ISBLANK(G5copy!B183)),G5copy!B183,"")</f>
        <v/>
      </c>
      <c r="F183" s="24" t="str">
        <f>IF(E183&lt;&gt;"",G5copy!A183,"")</f>
        <v/>
      </c>
      <c r="G183" s="24" t="str">
        <f>IF(E183&lt;&gt;"",G5copy!F183,"")</f>
        <v/>
      </c>
    </row>
    <row r="184" spans="1:7" ht="15.75" customHeight="1">
      <c r="A184" s="23" t="str">
        <f t="shared" si="7"/>
        <v/>
      </c>
      <c r="B184" t="str">
        <f t="shared" si="8"/>
        <v/>
      </c>
      <c r="C184" s="23" t="str">
        <f t="shared" si="9"/>
        <v/>
      </c>
      <c r="E184" s="24" t="str">
        <f>IF(NOT(ISBLANK(G5copy!B184)),G5copy!B184,"")</f>
        <v/>
      </c>
      <c r="F184" s="24" t="str">
        <f>IF(E184&lt;&gt;"",G5copy!A184,"")</f>
        <v/>
      </c>
      <c r="G184" s="24" t="str">
        <f>IF(E184&lt;&gt;"",G5copy!F184,"")</f>
        <v/>
      </c>
    </row>
    <row r="185" spans="1:7" ht="15.75" customHeight="1">
      <c r="A185" s="23" t="str">
        <f t="shared" si="7"/>
        <v/>
      </c>
      <c r="B185" t="str">
        <f t="shared" si="8"/>
        <v/>
      </c>
      <c r="C185" s="23" t="str">
        <f t="shared" si="9"/>
        <v/>
      </c>
      <c r="E185" s="24" t="str">
        <f>IF(NOT(ISBLANK(G5copy!B185)),G5copy!B185,"")</f>
        <v/>
      </c>
      <c r="F185" s="24" t="str">
        <f>IF(E185&lt;&gt;"",G5copy!A185,"")</f>
        <v/>
      </c>
      <c r="G185" s="24" t="str">
        <f>IF(E185&lt;&gt;"",G5copy!F185,"")</f>
        <v/>
      </c>
    </row>
    <row r="186" spans="1:7" ht="15.75" customHeight="1">
      <c r="A186" s="23" t="str">
        <f t="shared" si="7"/>
        <v/>
      </c>
      <c r="B186" t="str">
        <f t="shared" si="8"/>
        <v/>
      </c>
      <c r="C186" s="23" t="str">
        <f t="shared" si="9"/>
        <v/>
      </c>
      <c r="E186" s="24" t="str">
        <f>IF(NOT(ISBLANK(G5copy!B186)),G5copy!B186,"")</f>
        <v/>
      </c>
      <c r="F186" s="24" t="str">
        <f>IF(E186&lt;&gt;"",G5copy!A186,"")</f>
        <v/>
      </c>
      <c r="G186" s="24" t="str">
        <f>IF(E186&lt;&gt;"",G5copy!F186,"")</f>
        <v/>
      </c>
    </row>
    <row r="187" spans="1:7" ht="15.75" customHeight="1">
      <c r="A187" s="23" t="str">
        <f t="shared" si="7"/>
        <v/>
      </c>
      <c r="B187" t="str">
        <f t="shared" si="8"/>
        <v/>
      </c>
      <c r="C187" s="23" t="str">
        <f t="shared" si="9"/>
        <v/>
      </c>
      <c r="E187" s="24" t="str">
        <f>IF(NOT(ISBLANK(G5copy!B187)),G5copy!B187,"")</f>
        <v/>
      </c>
      <c r="F187" s="24" t="str">
        <f>IF(E187&lt;&gt;"",G5copy!A187,"")</f>
        <v/>
      </c>
      <c r="G187" s="24" t="str">
        <f>IF(E187&lt;&gt;"",G5copy!F187,"")</f>
        <v/>
      </c>
    </row>
    <row r="188" spans="1:7" ht="15.75" customHeight="1">
      <c r="A188" s="23" t="str">
        <f t="shared" si="7"/>
        <v/>
      </c>
      <c r="B188" t="str">
        <f t="shared" si="8"/>
        <v/>
      </c>
      <c r="C188" s="23" t="str">
        <f t="shared" si="9"/>
        <v/>
      </c>
      <c r="E188" s="24" t="str">
        <f>IF(NOT(ISBLANK(G5copy!B188)),G5copy!B188,"")</f>
        <v/>
      </c>
      <c r="F188" s="24" t="str">
        <f>IF(E188&lt;&gt;"",G5copy!A188,"")</f>
        <v/>
      </c>
      <c r="G188" s="24" t="str">
        <f>IF(E188&lt;&gt;"",G5copy!F188,"")</f>
        <v/>
      </c>
    </row>
    <row r="189" spans="1:7" ht="15.75" customHeight="1">
      <c r="A189" s="23" t="str">
        <f t="shared" si="7"/>
        <v/>
      </c>
      <c r="B189" t="str">
        <f t="shared" si="8"/>
        <v/>
      </c>
      <c r="C189" s="23" t="str">
        <f t="shared" si="9"/>
        <v/>
      </c>
      <c r="E189" s="24" t="str">
        <f>IF(NOT(ISBLANK(G5copy!B189)),G5copy!B189,"")</f>
        <v/>
      </c>
      <c r="F189" s="24" t="str">
        <f>IF(E189&lt;&gt;"",G5copy!A189,"")</f>
        <v/>
      </c>
      <c r="G189" s="24" t="str">
        <f>IF(E189&lt;&gt;"",G5copy!F189,"")</f>
        <v/>
      </c>
    </row>
    <row r="190" spans="1:7" ht="15.75" customHeight="1">
      <c r="A190" s="23" t="str">
        <f t="shared" si="7"/>
        <v/>
      </c>
      <c r="B190" t="str">
        <f t="shared" si="8"/>
        <v/>
      </c>
      <c r="C190" s="23" t="str">
        <f t="shared" si="9"/>
        <v/>
      </c>
      <c r="E190" s="24" t="str">
        <f>IF(NOT(ISBLANK(G5copy!B190)),G5copy!B190,"")</f>
        <v/>
      </c>
      <c r="F190" s="24" t="str">
        <f>IF(E190&lt;&gt;"",G5copy!A190,"")</f>
        <v/>
      </c>
      <c r="G190" s="24" t="str">
        <f>IF(E190&lt;&gt;"",G5copy!F190,"")</f>
        <v/>
      </c>
    </row>
    <row r="191" spans="1:7" ht="15.75" customHeight="1">
      <c r="A191" s="23" t="str">
        <f t="shared" si="7"/>
        <v/>
      </c>
      <c r="B191" t="str">
        <f t="shared" si="8"/>
        <v/>
      </c>
      <c r="C191" s="23" t="str">
        <f t="shared" si="9"/>
        <v/>
      </c>
      <c r="E191" s="24" t="str">
        <f>IF(NOT(ISBLANK(G5copy!B191)),G5copy!B191,"")</f>
        <v/>
      </c>
      <c r="F191" s="24" t="str">
        <f>IF(E191&lt;&gt;"",G5copy!A191,"")</f>
        <v/>
      </c>
      <c r="G191" s="24" t="str">
        <f>IF(E191&lt;&gt;"",G5copy!F191,"")</f>
        <v/>
      </c>
    </row>
    <row r="192" spans="1:7" ht="15.75" customHeight="1">
      <c r="A192" s="23" t="str">
        <f t="shared" si="7"/>
        <v/>
      </c>
      <c r="B192" t="str">
        <f t="shared" si="8"/>
        <v/>
      </c>
      <c r="C192" s="23" t="str">
        <f t="shared" si="9"/>
        <v/>
      </c>
      <c r="E192" s="24" t="str">
        <f>IF(NOT(ISBLANK(G5copy!B192)),G5copy!B192,"")</f>
        <v/>
      </c>
      <c r="F192" s="24" t="str">
        <f>IF(E192&lt;&gt;"",G5copy!A192,"")</f>
        <v/>
      </c>
      <c r="G192" s="24" t="str">
        <f>IF(E192&lt;&gt;"",G5copy!F192,"")</f>
        <v/>
      </c>
    </row>
    <row r="193" spans="1:7" ht="15.75" customHeight="1">
      <c r="A193" s="23" t="str">
        <f t="shared" si="7"/>
        <v/>
      </c>
      <c r="B193" t="str">
        <f t="shared" si="8"/>
        <v/>
      </c>
      <c r="C193" s="23" t="str">
        <f t="shared" si="9"/>
        <v/>
      </c>
      <c r="E193" s="24" t="str">
        <f>IF(NOT(ISBLANK(G5copy!B193)),G5copy!B193,"")</f>
        <v/>
      </c>
      <c r="F193" s="24" t="str">
        <f>IF(E193&lt;&gt;"",G5copy!A193,"")</f>
        <v/>
      </c>
      <c r="G193" s="24" t="str">
        <f>IF(E193&lt;&gt;"",G5copy!F193,"")</f>
        <v/>
      </c>
    </row>
    <row r="194" spans="1:7" ht="15.75" customHeight="1">
      <c r="A194" s="23" t="str">
        <f t="shared" si="7"/>
        <v/>
      </c>
      <c r="B194" t="str">
        <f t="shared" si="8"/>
        <v/>
      </c>
      <c r="C194" s="23" t="str">
        <f t="shared" si="9"/>
        <v/>
      </c>
      <c r="E194" s="24" t="str">
        <f>IF(NOT(ISBLANK(G5copy!B194)),G5copy!B194,"")</f>
        <v/>
      </c>
      <c r="F194" s="24" t="str">
        <f>IF(E194&lt;&gt;"",G5copy!A194,"")</f>
        <v/>
      </c>
      <c r="G194" s="24" t="str">
        <f>IF(E194&lt;&gt;"",G5copy!F194,"")</f>
        <v/>
      </c>
    </row>
    <row r="195" spans="1:7" ht="15.75" customHeight="1">
      <c r="A195" s="23" t="str">
        <f t="shared" ref="A195:A258" si="10">IF(E195&lt;&gt;"",DATEVALUE(LEFT(E195,10)),"")</f>
        <v/>
      </c>
      <c r="B195" t="str">
        <f t="shared" ref="B195:B258" si="11">IF(LEN(F195)&gt;3,RIGHT(F195,LEN(F195)-3),"")</f>
        <v/>
      </c>
      <c r="C195" s="23" t="str">
        <f t="shared" ref="C195:C258" si="12">IF(E195&lt;&gt;"",DATEVALUE(LEFT(G195,10)),"")</f>
        <v/>
      </c>
      <c r="E195" s="24" t="str">
        <f>IF(NOT(ISBLANK(G5copy!B195)),G5copy!B195,"")</f>
        <v/>
      </c>
      <c r="F195" s="24" t="str">
        <f>IF(E195&lt;&gt;"",G5copy!A195,"")</f>
        <v/>
      </c>
      <c r="G195" s="24" t="str">
        <f>IF(E195&lt;&gt;"",G5copy!F195,"")</f>
        <v/>
      </c>
    </row>
    <row r="196" spans="1:7" ht="15.75" customHeight="1">
      <c r="A196" s="23" t="str">
        <f t="shared" si="10"/>
        <v/>
      </c>
      <c r="B196" t="str">
        <f t="shared" si="11"/>
        <v/>
      </c>
      <c r="C196" s="23" t="str">
        <f t="shared" si="12"/>
        <v/>
      </c>
      <c r="E196" s="24" t="str">
        <f>IF(NOT(ISBLANK(G5copy!B196)),G5copy!B196,"")</f>
        <v/>
      </c>
      <c r="F196" s="24" t="str">
        <f>IF(E196&lt;&gt;"",G5copy!A196,"")</f>
        <v/>
      </c>
      <c r="G196" s="24" t="str">
        <f>IF(E196&lt;&gt;"",G5copy!F196,"")</f>
        <v/>
      </c>
    </row>
    <row r="197" spans="1:7" ht="15.75" customHeight="1">
      <c r="A197" s="23" t="str">
        <f t="shared" si="10"/>
        <v/>
      </c>
      <c r="B197" t="str">
        <f t="shared" si="11"/>
        <v/>
      </c>
      <c r="C197" s="23" t="str">
        <f t="shared" si="12"/>
        <v/>
      </c>
      <c r="E197" s="24" t="str">
        <f>IF(NOT(ISBLANK(G5copy!B197)),G5copy!B197,"")</f>
        <v/>
      </c>
      <c r="F197" s="24" t="str">
        <f>IF(E197&lt;&gt;"",G5copy!A197,"")</f>
        <v/>
      </c>
      <c r="G197" s="24" t="str">
        <f>IF(E197&lt;&gt;"",G5copy!F197,"")</f>
        <v/>
      </c>
    </row>
    <row r="198" spans="1:7" ht="15.75" customHeight="1">
      <c r="A198" s="23" t="str">
        <f t="shared" si="10"/>
        <v/>
      </c>
      <c r="B198" t="str">
        <f t="shared" si="11"/>
        <v/>
      </c>
      <c r="C198" s="23" t="str">
        <f t="shared" si="12"/>
        <v/>
      </c>
      <c r="E198" s="24" t="str">
        <f>IF(NOT(ISBLANK(G5copy!B198)),G5copy!B198,"")</f>
        <v/>
      </c>
      <c r="F198" s="24" t="str">
        <f>IF(E198&lt;&gt;"",G5copy!A198,"")</f>
        <v/>
      </c>
      <c r="G198" s="24" t="str">
        <f>IF(E198&lt;&gt;"",G5copy!F198,"")</f>
        <v/>
      </c>
    </row>
    <row r="199" spans="1:7" ht="15.75" customHeight="1">
      <c r="A199" s="23" t="str">
        <f t="shared" si="10"/>
        <v/>
      </c>
      <c r="B199" t="str">
        <f t="shared" si="11"/>
        <v/>
      </c>
      <c r="C199" s="23" t="str">
        <f t="shared" si="12"/>
        <v/>
      </c>
      <c r="E199" s="24" t="str">
        <f>IF(NOT(ISBLANK(G5copy!B199)),G5copy!B199,"")</f>
        <v/>
      </c>
      <c r="F199" s="24" t="str">
        <f>IF(E199&lt;&gt;"",G5copy!A199,"")</f>
        <v/>
      </c>
      <c r="G199" s="24" t="str">
        <f>IF(E199&lt;&gt;"",G5copy!F199,"")</f>
        <v/>
      </c>
    </row>
    <row r="200" spans="1:7" ht="15.75" customHeight="1">
      <c r="A200" s="23" t="str">
        <f t="shared" si="10"/>
        <v/>
      </c>
      <c r="B200" t="str">
        <f t="shared" si="11"/>
        <v/>
      </c>
      <c r="C200" s="23" t="str">
        <f t="shared" si="12"/>
        <v/>
      </c>
      <c r="E200" s="24" t="str">
        <f>IF(NOT(ISBLANK(G5copy!B200)),G5copy!B200,"")</f>
        <v/>
      </c>
      <c r="F200" s="24" t="str">
        <f>IF(E200&lt;&gt;"",G5copy!A200,"")</f>
        <v/>
      </c>
      <c r="G200" s="24" t="str">
        <f>IF(E200&lt;&gt;"",G5copy!F200,"")</f>
        <v/>
      </c>
    </row>
    <row r="201" spans="1:7" ht="15.75" customHeight="1">
      <c r="A201" s="23" t="str">
        <f t="shared" si="10"/>
        <v/>
      </c>
      <c r="B201" t="str">
        <f t="shared" si="11"/>
        <v/>
      </c>
      <c r="C201" s="23" t="str">
        <f t="shared" si="12"/>
        <v/>
      </c>
      <c r="E201" s="24" t="str">
        <f>IF(NOT(ISBLANK(G5copy!B201)),G5copy!B201,"")</f>
        <v/>
      </c>
      <c r="F201" s="24" t="str">
        <f>IF(E201&lt;&gt;"",G5copy!A201,"")</f>
        <v/>
      </c>
      <c r="G201" s="24" t="str">
        <f>IF(E201&lt;&gt;"",G5copy!F201,"")</f>
        <v/>
      </c>
    </row>
    <row r="202" spans="1:7" ht="15.75" customHeight="1">
      <c r="A202" s="23" t="str">
        <f t="shared" si="10"/>
        <v/>
      </c>
      <c r="B202" t="str">
        <f t="shared" si="11"/>
        <v/>
      </c>
      <c r="C202" s="23" t="str">
        <f t="shared" si="12"/>
        <v/>
      </c>
      <c r="E202" s="24" t="str">
        <f>IF(NOT(ISBLANK(G5copy!B202)),G5copy!B202,"")</f>
        <v/>
      </c>
      <c r="F202" s="24" t="str">
        <f>IF(E202&lt;&gt;"",G5copy!A202,"")</f>
        <v/>
      </c>
      <c r="G202" s="24" t="str">
        <f>IF(E202&lt;&gt;"",G5copy!F202,"")</f>
        <v/>
      </c>
    </row>
    <row r="203" spans="1:7" ht="15.75" customHeight="1">
      <c r="A203" s="23" t="str">
        <f t="shared" si="10"/>
        <v/>
      </c>
      <c r="B203" t="str">
        <f t="shared" si="11"/>
        <v/>
      </c>
      <c r="C203" s="23" t="str">
        <f t="shared" si="12"/>
        <v/>
      </c>
      <c r="E203" s="24" t="str">
        <f>IF(NOT(ISBLANK(G5copy!B203)),G5copy!B203,"")</f>
        <v/>
      </c>
      <c r="F203" s="24" t="str">
        <f>IF(E203&lt;&gt;"",G5copy!A203,"")</f>
        <v/>
      </c>
      <c r="G203" s="24" t="str">
        <f>IF(E203&lt;&gt;"",G5copy!F203,"")</f>
        <v/>
      </c>
    </row>
    <row r="204" spans="1:7" ht="15.75" customHeight="1">
      <c r="A204" s="23" t="str">
        <f t="shared" si="10"/>
        <v/>
      </c>
      <c r="B204" t="str">
        <f t="shared" si="11"/>
        <v/>
      </c>
      <c r="C204" s="23" t="str">
        <f t="shared" si="12"/>
        <v/>
      </c>
      <c r="E204" s="24" t="str">
        <f>IF(NOT(ISBLANK(G5copy!B204)),G5copy!B204,"")</f>
        <v/>
      </c>
      <c r="F204" s="24" t="str">
        <f>IF(E204&lt;&gt;"",G5copy!A204,"")</f>
        <v/>
      </c>
      <c r="G204" s="24" t="str">
        <f>IF(E204&lt;&gt;"",G5copy!F204,"")</f>
        <v/>
      </c>
    </row>
    <row r="205" spans="1:7" ht="15.75" customHeight="1">
      <c r="A205" s="23" t="str">
        <f t="shared" si="10"/>
        <v/>
      </c>
      <c r="B205" t="str">
        <f t="shared" si="11"/>
        <v/>
      </c>
      <c r="C205" s="23" t="str">
        <f t="shared" si="12"/>
        <v/>
      </c>
      <c r="E205" s="24" t="str">
        <f>IF(NOT(ISBLANK(G5copy!B205)),G5copy!B205,"")</f>
        <v/>
      </c>
      <c r="F205" s="24" t="str">
        <f>IF(E205&lt;&gt;"",G5copy!A205,"")</f>
        <v/>
      </c>
      <c r="G205" s="24" t="str">
        <f>IF(E205&lt;&gt;"",G5copy!F205,"")</f>
        <v/>
      </c>
    </row>
    <row r="206" spans="1:7" ht="15.75" customHeight="1">
      <c r="A206" s="23" t="str">
        <f t="shared" si="10"/>
        <v/>
      </c>
      <c r="B206" t="str">
        <f t="shared" si="11"/>
        <v/>
      </c>
      <c r="C206" s="23" t="str">
        <f t="shared" si="12"/>
        <v/>
      </c>
      <c r="E206" s="24" t="str">
        <f>IF(NOT(ISBLANK(G5copy!B206)),G5copy!B206,"")</f>
        <v/>
      </c>
      <c r="F206" s="24" t="str">
        <f>IF(E206&lt;&gt;"",G5copy!A206,"")</f>
        <v/>
      </c>
      <c r="G206" s="24" t="str">
        <f>IF(E206&lt;&gt;"",G5copy!F206,"")</f>
        <v/>
      </c>
    </row>
    <row r="207" spans="1:7" ht="15.75" customHeight="1">
      <c r="A207" s="23" t="str">
        <f t="shared" si="10"/>
        <v/>
      </c>
      <c r="B207" t="str">
        <f t="shared" si="11"/>
        <v/>
      </c>
      <c r="C207" s="23" t="str">
        <f t="shared" si="12"/>
        <v/>
      </c>
      <c r="E207" s="24" t="str">
        <f>IF(NOT(ISBLANK(G5copy!B207)),G5copy!B207,"")</f>
        <v/>
      </c>
      <c r="F207" s="24" t="str">
        <f>IF(E207&lt;&gt;"",G5copy!A207,"")</f>
        <v/>
      </c>
      <c r="G207" s="24" t="str">
        <f>IF(E207&lt;&gt;"",G5copy!F207,"")</f>
        <v/>
      </c>
    </row>
    <row r="208" spans="1:7" ht="15.75" customHeight="1">
      <c r="A208" s="23" t="str">
        <f t="shared" si="10"/>
        <v/>
      </c>
      <c r="B208" t="str">
        <f t="shared" si="11"/>
        <v/>
      </c>
      <c r="C208" s="23" t="str">
        <f t="shared" si="12"/>
        <v/>
      </c>
      <c r="E208" s="24" t="str">
        <f>IF(NOT(ISBLANK(G5copy!B208)),G5copy!B208,"")</f>
        <v/>
      </c>
      <c r="F208" s="24" t="str">
        <f>IF(E208&lt;&gt;"",G5copy!A208,"")</f>
        <v/>
      </c>
      <c r="G208" s="24" t="str">
        <f>IF(E208&lt;&gt;"",G5copy!F208,"")</f>
        <v/>
      </c>
    </row>
    <row r="209" spans="1:7" ht="15.75" customHeight="1">
      <c r="A209" s="23" t="str">
        <f t="shared" si="10"/>
        <v/>
      </c>
      <c r="B209" t="str">
        <f t="shared" si="11"/>
        <v/>
      </c>
      <c r="C209" s="23" t="str">
        <f t="shared" si="12"/>
        <v/>
      </c>
      <c r="E209" s="24" t="str">
        <f>IF(NOT(ISBLANK(G5copy!B209)),G5copy!B209,"")</f>
        <v/>
      </c>
      <c r="F209" s="24" t="str">
        <f>IF(E209&lt;&gt;"",G5copy!A209,"")</f>
        <v/>
      </c>
      <c r="G209" s="24" t="str">
        <f>IF(E209&lt;&gt;"",G5copy!F209,"")</f>
        <v/>
      </c>
    </row>
    <row r="210" spans="1:7" ht="15.75" customHeight="1">
      <c r="A210" s="23" t="str">
        <f t="shared" si="10"/>
        <v/>
      </c>
      <c r="B210" t="str">
        <f t="shared" si="11"/>
        <v/>
      </c>
      <c r="C210" s="23" t="str">
        <f t="shared" si="12"/>
        <v/>
      </c>
      <c r="E210" s="24" t="str">
        <f>IF(NOT(ISBLANK(G5copy!B210)),G5copy!B210,"")</f>
        <v/>
      </c>
      <c r="F210" s="24" t="str">
        <f>IF(E210&lt;&gt;"",G5copy!A210,"")</f>
        <v/>
      </c>
      <c r="G210" s="24" t="str">
        <f>IF(E210&lt;&gt;"",G5copy!F210,"")</f>
        <v/>
      </c>
    </row>
    <row r="211" spans="1:7" ht="15.75" customHeight="1">
      <c r="A211" s="23" t="str">
        <f t="shared" si="10"/>
        <v/>
      </c>
      <c r="B211" t="str">
        <f t="shared" si="11"/>
        <v/>
      </c>
      <c r="C211" s="23" t="str">
        <f t="shared" si="12"/>
        <v/>
      </c>
      <c r="E211" s="24" t="str">
        <f>IF(NOT(ISBLANK(G5copy!B211)),G5copy!B211,"")</f>
        <v/>
      </c>
      <c r="F211" s="24" t="str">
        <f>IF(E211&lt;&gt;"",G5copy!A211,"")</f>
        <v/>
      </c>
      <c r="G211" s="24" t="str">
        <f>IF(E211&lt;&gt;"",G5copy!F211,"")</f>
        <v/>
      </c>
    </row>
    <row r="212" spans="1:7" ht="15.75" customHeight="1">
      <c r="A212" s="23" t="str">
        <f t="shared" si="10"/>
        <v/>
      </c>
      <c r="B212" t="str">
        <f t="shared" si="11"/>
        <v/>
      </c>
      <c r="C212" s="23" t="str">
        <f t="shared" si="12"/>
        <v/>
      </c>
      <c r="E212" s="24" t="str">
        <f>IF(NOT(ISBLANK(G5copy!B212)),G5copy!B212,"")</f>
        <v/>
      </c>
      <c r="F212" s="24" t="str">
        <f>IF(E212&lt;&gt;"",G5copy!A212,"")</f>
        <v/>
      </c>
      <c r="G212" s="24" t="str">
        <f>IF(E212&lt;&gt;"",G5copy!F212,"")</f>
        <v/>
      </c>
    </row>
    <row r="213" spans="1:7" ht="15.75" customHeight="1">
      <c r="A213" s="23" t="str">
        <f t="shared" si="10"/>
        <v/>
      </c>
      <c r="B213" t="str">
        <f t="shared" si="11"/>
        <v/>
      </c>
      <c r="C213" s="23" t="str">
        <f t="shared" si="12"/>
        <v/>
      </c>
      <c r="E213" s="24" t="str">
        <f>IF(NOT(ISBLANK(G5copy!B213)),G5copy!B213,"")</f>
        <v/>
      </c>
      <c r="F213" s="24" t="str">
        <f>IF(E213&lt;&gt;"",G5copy!A213,"")</f>
        <v/>
      </c>
      <c r="G213" s="24" t="str">
        <f>IF(E213&lt;&gt;"",G5copy!F213,"")</f>
        <v/>
      </c>
    </row>
    <row r="214" spans="1:7" ht="15.75" customHeight="1">
      <c r="A214" s="23" t="str">
        <f t="shared" si="10"/>
        <v/>
      </c>
      <c r="B214" t="str">
        <f t="shared" si="11"/>
        <v/>
      </c>
      <c r="C214" s="23" t="str">
        <f t="shared" si="12"/>
        <v/>
      </c>
      <c r="E214" s="24" t="str">
        <f>IF(NOT(ISBLANK(G5copy!B214)),G5copy!B214,"")</f>
        <v/>
      </c>
      <c r="F214" s="24" t="str">
        <f>IF(E214&lt;&gt;"",G5copy!A214,"")</f>
        <v/>
      </c>
      <c r="G214" s="24" t="str">
        <f>IF(E214&lt;&gt;"",G5copy!F214,"")</f>
        <v/>
      </c>
    </row>
    <row r="215" spans="1:7" ht="15.75" customHeight="1">
      <c r="A215" s="23" t="str">
        <f t="shared" si="10"/>
        <v/>
      </c>
      <c r="B215" t="str">
        <f t="shared" si="11"/>
        <v/>
      </c>
      <c r="C215" s="23" t="str">
        <f t="shared" si="12"/>
        <v/>
      </c>
      <c r="E215" s="24" t="str">
        <f>IF(NOT(ISBLANK(G5copy!B215)),G5copy!B215,"")</f>
        <v/>
      </c>
      <c r="F215" s="24" t="str">
        <f>IF(E215&lt;&gt;"",G5copy!A215,"")</f>
        <v/>
      </c>
      <c r="G215" s="24" t="str">
        <f>IF(E215&lt;&gt;"",G5copy!F215,"")</f>
        <v/>
      </c>
    </row>
    <row r="216" spans="1:7" ht="15.75" customHeight="1">
      <c r="A216" s="23" t="str">
        <f t="shared" si="10"/>
        <v/>
      </c>
      <c r="B216" t="str">
        <f t="shared" si="11"/>
        <v/>
      </c>
      <c r="C216" s="23" t="str">
        <f t="shared" si="12"/>
        <v/>
      </c>
      <c r="E216" s="24" t="str">
        <f>IF(NOT(ISBLANK(G5copy!B216)),G5copy!B216,"")</f>
        <v/>
      </c>
      <c r="F216" s="24" t="str">
        <f>IF(E216&lt;&gt;"",G5copy!A216,"")</f>
        <v/>
      </c>
      <c r="G216" s="24" t="str">
        <f>IF(E216&lt;&gt;"",G5copy!F216,"")</f>
        <v/>
      </c>
    </row>
    <row r="217" spans="1:7" ht="15.75" customHeight="1">
      <c r="A217" s="23" t="str">
        <f t="shared" si="10"/>
        <v/>
      </c>
      <c r="B217" t="str">
        <f t="shared" si="11"/>
        <v/>
      </c>
      <c r="C217" s="23" t="str">
        <f t="shared" si="12"/>
        <v/>
      </c>
      <c r="E217" s="24" t="str">
        <f>IF(NOT(ISBLANK(G5copy!B217)),G5copy!B217,"")</f>
        <v/>
      </c>
      <c r="F217" s="24" t="str">
        <f>IF(E217&lt;&gt;"",G5copy!A217,"")</f>
        <v/>
      </c>
      <c r="G217" s="24" t="str">
        <f>IF(E217&lt;&gt;"",G5copy!F217,"")</f>
        <v/>
      </c>
    </row>
    <row r="218" spans="1:7" ht="15.75" customHeight="1">
      <c r="A218" s="23" t="str">
        <f t="shared" si="10"/>
        <v/>
      </c>
      <c r="B218" t="str">
        <f t="shared" si="11"/>
        <v/>
      </c>
      <c r="C218" s="23" t="str">
        <f t="shared" si="12"/>
        <v/>
      </c>
      <c r="E218" s="24" t="str">
        <f>IF(NOT(ISBLANK(G5copy!B218)),G5copy!B218,"")</f>
        <v/>
      </c>
      <c r="F218" s="24" t="str">
        <f>IF(E218&lt;&gt;"",G5copy!A218,"")</f>
        <v/>
      </c>
      <c r="G218" s="24" t="str">
        <f>IF(E218&lt;&gt;"",G5copy!F218,"")</f>
        <v/>
      </c>
    </row>
    <row r="219" spans="1:7" ht="15.75" customHeight="1">
      <c r="A219" s="23" t="str">
        <f t="shared" si="10"/>
        <v/>
      </c>
      <c r="B219" t="str">
        <f t="shared" si="11"/>
        <v/>
      </c>
      <c r="C219" s="23" t="str">
        <f t="shared" si="12"/>
        <v/>
      </c>
      <c r="E219" s="24" t="str">
        <f>IF(NOT(ISBLANK(G5copy!B219)),G5copy!B219,"")</f>
        <v/>
      </c>
      <c r="F219" s="24" t="str">
        <f>IF(E219&lt;&gt;"",G5copy!A219,"")</f>
        <v/>
      </c>
      <c r="G219" s="24" t="str">
        <f>IF(E219&lt;&gt;"",G5copy!F219,"")</f>
        <v/>
      </c>
    </row>
    <row r="220" spans="1:7" ht="15.75" customHeight="1">
      <c r="A220" s="23" t="str">
        <f t="shared" si="10"/>
        <v/>
      </c>
      <c r="B220" t="str">
        <f t="shared" si="11"/>
        <v/>
      </c>
      <c r="C220" s="23" t="str">
        <f t="shared" si="12"/>
        <v/>
      </c>
      <c r="E220" s="24" t="str">
        <f>IF(NOT(ISBLANK(G5copy!B220)),G5copy!B220,"")</f>
        <v/>
      </c>
      <c r="F220" s="24" t="str">
        <f>IF(E220&lt;&gt;"",G5copy!A220,"")</f>
        <v/>
      </c>
      <c r="G220" s="24" t="str">
        <f>IF(E220&lt;&gt;"",G5copy!F220,"")</f>
        <v/>
      </c>
    </row>
    <row r="221" spans="1:7" ht="15.75" customHeight="1">
      <c r="A221" s="23" t="str">
        <f t="shared" si="10"/>
        <v/>
      </c>
      <c r="B221" t="str">
        <f t="shared" si="11"/>
        <v/>
      </c>
      <c r="C221" s="23" t="str">
        <f t="shared" si="12"/>
        <v/>
      </c>
      <c r="E221" s="24" t="str">
        <f>IF(NOT(ISBLANK(G5copy!B221)),G5copy!B221,"")</f>
        <v/>
      </c>
      <c r="F221" s="24" t="str">
        <f>IF(E221&lt;&gt;"",G5copy!A221,"")</f>
        <v/>
      </c>
      <c r="G221" s="24" t="str">
        <f>IF(E221&lt;&gt;"",G5copy!F221,"")</f>
        <v/>
      </c>
    </row>
    <row r="222" spans="1:7" ht="15.75" customHeight="1">
      <c r="A222" s="23" t="str">
        <f t="shared" si="10"/>
        <v/>
      </c>
      <c r="B222" t="str">
        <f t="shared" si="11"/>
        <v/>
      </c>
      <c r="C222" s="23" t="str">
        <f t="shared" si="12"/>
        <v/>
      </c>
      <c r="E222" s="24" t="str">
        <f>IF(NOT(ISBLANK(G5copy!B222)),G5copy!B222,"")</f>
        <v/>
      </c>
      <c r="F222" s="24" t="str">
        <f>IF(E222&lt;&gt;"",G5copy!A222,"")</f>
        <v/>
      </c>
      <c r="G222" s="24" t="str">
        <f>IF(E222&lt;&gt;"",G5copy!F222,"")</f>
        <v/>
      </c>
    </row>
    <row r="223" spans="1:7" ht="15.75" customHeight="1">
      <c r="A223" s="23" t="str">
        <f t="shared" si="10"/>
        <v/>
      </c>
      <c r="B223" t="str">
        <f t="shared" si="11"/>
        <v/>
      </c>
      <c r="C223" s="23" t="str">
        <f t="shared" si="12"/>
        <v/>
      </c>
      <c r="E223" s="24" t="str">
        <f>IF(NOT(ISBLANK(G5copy!B223)),G5copy!B223,"")</f>
        <v/>
      </c>
      <c r="F223" s="24" t="str">
        <f>IF(E223&lt;&gt;"",G5copy!A223,"")</f>
        <v/>
      </c>
      <c r="G223" s="24" t="str">
        <f>IF(E223&lt;&gt;"",G5copy!F223,"")</f>
        <v/>
      </c>
    </row>
    <row r="224" spans="1:7" ht="15.75" customHeight="1">
      <c r="A224" s="23" t="str">
        <f t="shared" si="10"/>
        <v/>
      </c>
      <c r="B224" t="str">
        <f t="shared" si="11"/>
        <v/>
      </c>
      <c r="C224" s="23" t="str">
        <f t="shared" si="12"/>
        <v/>
      </c>
      <c r="E224" s="24" t="str">
        <f>IF(NOT(ISBLANK(G5copy!B224)),G5copy!B224,"")</f>
        <v/>
      </c>
      <c r="F224" s="24" t="str">
        <f>IF(E224&lt;&gt;"",G5copy!A224,"")</f>
        <v/>
      </c>
      <c r="G224" s="24" t="str">
        <f>IF(E224&lt;&gt;"",G5copy!F224,"")</f>
        <v/>
      </c>
    </row>
    <row r="225" spans="1:7" ht="15.75" customHeight="1">
      <c r="A225" s="23" t="str">
        <f t="shared" si="10"/>
        <v/>
      </c>
      <c r="B225" t="str">
        <f t="shared" si="11"/>
        <v/>
      </c>
      <c r="C225" s="23" t="str">
        <f t="shared" si="12"/>
        <v/>
      </c>
      <c r="E225" s="24" t="str">
        <f>IF(NOT(ISBLANK(G5copy!B225)),G5copy!B225,"")</f>
        <v/>
      </c>
      <c r="F225" s="24" t="str">
        <f>IF(E225&lt;&gt;"",G5copy!A225,"")</f>
        <v/>
      </c>
      <c r="G225" s="24" t="str">
        <f>IF(E225&lt;&gt;"",G5copy!F225,"")</f>
        <v/>
      </c>
    </row>
    <row r="226" spans="1:7" ht="15.75" customHeight="1">
      <c r="A226" s="23" t="str">
        <f t="shared" si="10"/>
        <v/>
      </c>
      <c r="B226" t="str">
        <f t="shared" si="11"/>
        <v/>
      </c>
      <c r="C226" s="23" t="str">
        <f t="shared" si="12"/>
        <v/>
      </c>
      <c r="E226" s="24" t="str">
        <f>IF(NOT(ISBLANK(G5copy!B226)),G5copy!B226,"")</f>
        <v/>
      </c>
      <c r="F226" s="24" t="str">
        <f>IF(E226&lt;&gt;"",G5copy!A226,"")</f>
        <v/>
      </c>
      <c r="G226" s="24" t="str">
        <f>IF(E226&lt;&gt;"",G5copy!F226,"")</f>
        <v/>
      </c>
    </row>
    <row r="227" spans="1:7" ht="15.75" customHeight="1">
      <c r="A227" s="23" t="str">
        <f t="shared" si="10"/>
        <v/>
      </c>
      <c r="B227" t="str">
        <f t="shared" si="11"/>
        <v/>
      </c>
      <c r="C227" s="23" t="str">
        <f t="shared" si="12"/>
        <v/>
      </c>
      <c r="E227" s="24" t="str">
        <f>IF(NOT(ISBLANK(G5copy!B227)),G5copy!B227,"")</f>
        <v/>
      </c>
      <c r="F227" s="24" t="str">
        <f>IF(E227&lt;&gt;"",G5copy!A227,"")</f>
        <v/>
      </c>
      <c r="G227" s="24" t="str">
        <f>IF(E227&lt;&gt;"",G5copy!F227,"")</f>
        <v/>
      </c>
    </row>
    <row r="228" spans="1:7" ht="15.75" customHeight="1">
      <c r="A228" s="23" t="str">
        <f t="shared" si="10"/>
        <v/>
      </c>
      <c r="B228" t="str">
        <f t="shared" si="11"/>
        <v/>
      </c>
      <c r="C228" s="23" t="str">
        <f t="shared" si="12"/>
        <v/>
      </c>
      <c r="E228" s="24" t="str">
        <f>IF(NOT(ISBLANK(G5copy!B228)),G5copy!B228,"")</f>
        <v/>
      </c>
      <c r="F228" s="24" t="str">
        <f>IF(E228&lt;&gt;"",G5copy!A228,"")</f>
        <v/>
      </c>
      <c r="G228" s="24" t="str">
        <f>IF(E228&lt;&gt;"",G5copy!F228,"")</f>
        <v/>
      </c>
    </row>
    <row r="229" spans="1:7" ht="15.75" customHeight="1">
      <c r="A229" s="23" t="str">
        <f t="shared" si="10"/>
        <v/>
      </c>
      <c r="B229" t="str">
        <f t="shared" si="11"/>
        <v/>
      </c>
      <c r="C229" s="23" t="str">
        <f t="shared" si="12"/>
        <v/>
      </c>
      <c r="E229" s="24" t="str">
        <f>IF(NOT(ISBLANK(G5copy!B229)),G5copy!B229,"")</f>
        <v/>
      </c>
      <c r="F229" s="24" t="str">
        <f>IF(E229&lt;&gt;"",G5copy!A229,"")</f>
        <v/>
      </c>
      <c r="G229" s="24" t="str">
        <f>IF(E229&lt;&gt;"",G5copy!F229,"")</f>
        <v/>
      </c>
    </row>
    <row r="230" spans="1:7" ht="15.75" customHeight="1">
      <c r="A230" s="23" t="str">
        <f t="shared" si="10"/>
        <v/>
      </c>
      <c r="B230" t="str">
        <f t="shared" si="11"/>
        <v/>
      </c>
      <c r="C230" s="23" t="str">
        <f t="shared" si="12"/>
        <v/>
      </c>
      <c r="E230" s="24" t="str">
        <f>IF(NOT(ISBLANK(G5copy!B230)),G5copy!B230,"")</f>
        <v/>
      </c>
      <c r="F230" s="24" t="str">
        <f>IF(E230&lt;&gt;"",G5copy!A230,"")</f>
        <v/>
      </c>
      <c r="G230" s="24" t="str">
        <f>IF(E230&lt;&gt;"",G5copy!F230,"")</f>
        <v/>
      </c>
    </row>
    <row r="231" spans="1:7" ht="15.75" customHeight="1">
      <c r="A231" s="23" t="str">
        <f t="shared" si="10"/>
        <v/>
      </c>
      <c r="B231" t="str">
        <f t="shared" si="11"/>
        <v/>
      </c>
      <c r="C231" s="23" t="str">
        <f t="shared" si="12"/>
        <v/>
      </c>
      <c r="E231" s="24" t="str">
        <f>IF(NOT(ISBLANK(G5copy!B231)),G5copy!B231,"")</f>
        <v/>
      </c>
      <c r="F231" s="24" t="str">
        <f>IF(E231&lt;&gt;"",G5copy!A231,"")</f>
        <v/>
      </c>
      <c r="G231" s="24" t="str">
        <f>IF(E231&lt;&gt;"",G5copy!F231,"")</f>
        <v/>
      </c>
    </row>
    <row r="232" spans="1:7" ht="15.75" customHeight="1">
      <c r="A232" s="23" t="str">
        <f t="shared" si="10"/>
        <v/>
      </c>
      <c r="B232" t="str">
        <f t="shared" si="11"/>
        <v/>
      </c>
      <c r="C232" s="23" t="str">
        <f t="shared" si="12"/>
        <v/>
      </c>
      <c r="E232" s="24" t="str">
        <f>IF(NOT(ISBLANK(G5copy!B232)),G5copy!B232,"")</f>
        <v/>
      </c>
      <c r="F232" s="24" t="str">
        <f>IF(E232&lt;&gt;"",G5copy!A232,"")</f>
        <v/>
      </c>
      <c r="G232" s="24" t="str">
        <f>IF(E232&lt;&gt;"",G5copy!F232,"")</f>
        <v/>
      </c>
    </row>
    <row r="233" spans="1:7" ht="15.75" customHeight="1">
      <c r="A233" s="23" t="str">
        <f t="shared" si="10"/>
        <v/>
      </c>
      <c r="B233" t="str">
        <f t="shared" si="11"/>
        <v/>
      </c>
      <c r="C233" s="23" t="str">
        <f t="shared" si="12"/>
        <v/>
      </c>
      <c r="E233" s="24" t="str">
        <f>IF(NOT(ISBLANK(G5copy!B233)),G5copy!B233,"")</f>
        <v/>
      </c>
      <c r="F233" s="24" t="str">
        <f>IF(E233&lt;&gt;"",G5copy!A233,"")</f>
        <v/>
      </c>
      <c r="G233" s="24" t="str">
        <f>IF(E233&lt;&gt;"",G5copy!F233,"")</f>
        <v/>
      </c>
    </row>
    <row r="234" spans="1:7" ht="15.75" customHeight="1">
      <c r="A234" s="23" t="str">
        <f t="shared" si="10"/>
        <v/>
      </c>
      <c r="B234" t="str">
        <f t="shared" si="11"/>
        <v/>
      </c>
      <c r="C234" s="23" t="str">
        <f t="shared" si="12"/>
        <v/>
      </c>
      <c r="E234" s="24" t="str">
        <f>IF(NOT(ISBLANK(G5copy!B234)),G5copy!B234,"")</f>
        <v/>
      </c>
      <c r="F234" s="24" t="str">
        <f>IF(E234&lt;&gt;"",G5copy!A234,"")</f>
        <v/>
      </c>
      <c r="G234" s="24" t="str">
        <f>IF(E234&lt;&gt;"",G5copy!F234,"")</f>
        <v/>
      </c>
    </row>
    <row r="235" spans="1:7" ht="15.75" customHeight="1">
      <c r="A235" s="23" t="str">
        <f t="shared" si="10"/>
        <v/>
      </c>
      <c r="B235" t="str">
        <f t="shared" si="11"/>
        <v/>
      </c>
      <c r="C235" s="23" t="str">
        <f t="shared" si="12"/>
        <v/>
      </c>
      <c r="E235" s="24" t="str">
        <f>IF(NOT(ISBLANK(G5copy!B235)),G5copy!B235,"")</f>
        <v/>
      </c>
      <c r="F235" s="24" t="str">
        <f>IF(E235&lt;&gt;"",G5copy!A235,"")</f>
        <v/>
      </c>
      <c r="G235" s="24" t="str">
        <f>IF(E235&lt;&gt;"",G5copy!F235,"")</f>
        <v/>
      </c>
    </row>
    <row r="236" spans="1:7" ht="15.75" customHeight="1">
      <c r="A236" s="23" t="str">
        <f t="shared" si="10"/>
        <v/>
      </c>
      <c r="B236" t="str">
        <f t="shared" si="11"/>
        <v/>
      </c>
      <c r="C236" s="23" t="str">
        <f t="shared" si="12"/>
        <v/>
      </c>
      <c r="E236" s="24" t="str">
        <f>IF(NOT(ISBLANK(G5copy!B236)),G5copy!B236,"")</f>
        <v/>
      </c>
      <c r="F236" s="24" t="str">
        <f>IF(E236&lt;&gt;"",G5copy!A236,"")</f>
        <v/>
      </c>
      <c r="G236" s="24" t="str">
        <f>IF(E236&lt;&gt;"",G5copy!F236,"")</f>
        <v/>
      </c>
    </row>
    <row r="237" spans="1:7" ht="15.75" customHeight="1">
      <c r="A237" s="23" t="str">
        <f t="shared" si="10"/>
        <v/>
      </c>
      <c r="B237" t="str">
        <f t="shared" si="11"/>
        <v/>
      </c>
      <c r="C237" s="23" t="str">
        <f t="shared" si="12"/>
        <v/>
      </c>
      <c r="E237" s="24" t="str">
        <f>IF(NOT(ISBLANK(G5copy!B237)),G5copy!B237,"")</f>
        <v/>
      </c>
      <c r="F237" s="24" t="str">
        <f>IF(E237&lt;&gt;"",G5copy!A237,"")</f>
        <v/>
      </c>
      <c r="G237" s="24" t="str">
        <f>IF(E237&lt;&gt;"",G5copy!F237,"")</f>
        <v/>
      </c>
    </row>
    <row r="238" spans="1:7" ht="15.75" customHeight="1">
      <c r="A238" s="23" t="str">
        <f t="shared" si="10"/>
        <v/>
      </c>
      <c r="B238" t="str">
        <f t="shared" si="11"/>
        <v/>
      </c>
      <c r="C238" s="23" t="str">
        <f t="shared" si="12"/>
        <v/>
      </c>
      <c r="E238" s="24" t="str">
        <f>IF(NOT(ISBLANK(G5copy!B238)),G5copy!B238,"")</f>
        <v/>
      </c>
      <c r="F238" s="24" t="str">
        <f>IF(E238&lt;&gt;"",G5copy!A238,"")</f>
        <v/>
      </c>
      <c r="G238" s="24" t="str">
        <f>IF(E238&lt;&gt;"",G5copy!F238,"")</f>
        <v/>
      </c>
    </row>
    <row r="239" spans="1:7" ht="15.75" customHeight="1">
      <c r="A239" s="23" t="str">
        <f t="shared" si="10"/>
        <v/>
      </c>
      <c r="B239" t="str">
        <f t="shared" si="11"/>
        <v/>
      </c>
      <c r="C239" s="23" t="str">
        <f t="shared" si="12"/>
        <v/>
      </c>
      <c r="E239" s="24" t="str">
        <f>IF(NOT(ISBLANK(G5copy!B239)),G5copy!B239,"")</f>
        <v/>
      </c>
      <c r="F239" s="24" t="str">
        <f>IF(E239&lt;&gt;"",G5copy!A239,"")</f>
        <v/>
      </c>
      <c r="G239" s="24" t="str">
        <f>IF(E239&lt;&gt;"",G5copy!F239,"")</f>
        <v/>
      </c>
    </row>
    <row r="240" spans="1:7" ht="15.75" customHeight="1">
      <c r="A240" s="23" t="str">
        <f t="shared" si="10"/>
        <v/>
      </c>
      <c r="B240" t="str">
        <f t="shared" si="11"/>
        <v/>
      </c>
      <c r="C240" s="23" t="str">
        <f t="shared" si="12"/>
        <v/>
      </c>
      <c r="E240" s="24" t="str">
        <f>IF(NOT(ISBLANK(G5copy!B240)),G5copy!B240,"")</f>
        <v/>
      </c>
      <c r="F240" s="24" t="str">
        <f>IF(E240&lt;&gt;"",G5copy!A240,"")</f>
        <v/>
      </c>
      <c r="G240" s="24" t="str">
        <f>IF(E240&lt;&gt;"",G5copy!F240,"")</f>
        <v/>
      </c>
    </row>
    <row r="241" spans="1:7" ht="15.75" customHeight="1">
      <c r="A241" s="23" t="str">
        <f t="shared" si="10"/>
        <v/>
      </c>
      <c r="B241" t="str">
        <f t="shared" si="11"/>
        <v/>
      </c>
      <c r="C241" s="23" t="str">
        <f t="shared" si="12"/>
        <v/>
      </c>
      <c r="E241" s="24" t="str">
        <f>IF(NOT(ISBLANK(G5copy!B241)),G5copy!B241,"")</f>
        <v/>
      </c>
      <c r="F241" s="24" t="str">
        <f>IF(E241&lt;&gt;"",G5copy!A241,"")</f>
        <v/>
      </c>
      <c r="G241" s="24" t="str">
        <f>IF(E241&lt;&gt;"",G5copy!F241,"")</f>
        <v/>
      </c>
    </row>
    <row r="242" spans="1:7" ht="15.75" customHeight="1">
      <c r="A242" s="23" t="str">
        <f t="shared" si="10"/>
        <v/>
      </c>
      <c r="B242" t="str">
        <f t="shared" si="11"/>
        <v/>
      </c>
      <c r="C242" s="23" t="str">
        <f t="shared" si="12"/>
        <v/>
      </c>
      <c r="E242" s="24" t="str">
        <f>IF(NOT(ISBLANK(G5copy!B242)),G5copy!B242,"")</f>
        <v/>
      </c>
      <c r="F242" s="24" t="str">
        <f>IF(E242&lt;&gt;"",G5copy!A242,"")</f>
        <v/>
      </c>
      <c r="G242" s="24" t="str">
        <f>IF(E242&lt;&gt;"",G5copy!F242,"")</f>
        <v/>
      </c>
    </row>
    <row r="243" spans="1:7" ht="15.75" customHeight="1">
      <c r="A243" s="23" t="str">
        <f t="shared" si="10"/>
        <v/>
      </c>
      <c r="B243" t="str">
        <f t="shared" si="11"/>
        <v/>
      </c>
      <c r="C243" s="23" t="str">
        <f t="shared" si="12"/>
        <v/>
      </c>
      <c r="E243" s="24" t="str">
        <f>IF(NOT(ISBLANK(G5copy!B243)),G5copy!B243,"")</f>
        <v/>
      </c>
      <c r="F243" s="24" t="str">
        <f>IF(E243&lt;&gt;"",G5copy!A243,"")</f>
        <v/>
      </c>
      <c r="G243" s="24" t="str">
        <f>IF(E243&lt;&gt;"",G5copy!F243,"")</f>
        <v/>
      </c>
    </row>
    <row r="244" spans="1:7" ht="15.75" customHeight="1">
      <c r="A244" s="23" t="str">
        <f t="shared" si="10"/>
        <v/>
      </c>
      <c r="B244" t="str">
        <f t="shared" si="11"/>
        <v/>
      </c>
      <c r="C244" s="23" t="str">
        <f t="shared" si="12"/>
        <v/>
      </c>
      <c r="E244" s="24" t="str">
        <f>IF(NOT(ISBLANK(G5copy!B244)),G5copy!B244,"")</f>
        <v/>
      </c>
      <c r="F244" s="24" t="str">
        <f>IF(E244&lt;&gt;"",G5copy!A244,"")</f>
        <v/>
      </c>
      <c r="G244" s="24" t="str">
        <f>IF(E244&lt;&gt;"",G5copy!F244,"")</f>
        <v/>
      </c>
    </row>
    <row r="245" spans="1:7" ht="15.75" customHeight="1">
      <c r="A245" s="23" t="str">
        <f t="shared" si="10"/>
        <v/>
      </c>
      <c r="B245" t="str">
        <f t="shared" si="11"/>
        <v/>
      </c>
      <c r="C245" s="23" t="str">
        <f t="shared" si="12"/>
        <v/>
      </c>
      <c r="E245" s="24" t="str">
        <f>IF(NOT(ISBLANK(G5copy!B245)),G5copy!B245,"")</f>
        <v/>
      </c>
      <c r="F245" s="24" t="str">
        <f>IF(E245&lt;&gt;"",G5copy!A245,"")</f>
        <v/>
      </c>
      <c r="G245" s="24" t="str">
        <f>IF(E245&lt;&gt;"",G5copy!F245,"")</f>
        <v/>
      </c>
    </row>
    <row r="246" spans="1:7" ht="15.75" customHeight="1">
      <c r="A246" s="23" t="str">
        <f t="shared" si="10"/>
        <v/>
      </c>
      <c r="B246" t="str">
        <f t="shared" si="11"/>
        <v/>
      </c>
      <c r="C246" s="23" t="str">
        <f t="shared" si="12"/>
        <v/>
      </c>
      <c r="E246" s="24" t="str">
        <f>IF(NOT(ISBLANK(G5copy!B246)),G5copy!B246,"")</f>
        <v/>
      </c>
      <c r="F246" s="24" t="str">
        <f>IF(E246&lt;&gt;"",G5copy!A246,"")</f>
        <v/>
      </c>
      <c r="G246" s="24" t="str">
        <f>IF(E246&lt;&gt;"",G5copy!F246,"")</f>
        <v/>
      </c>
    </row>
    <row r="247" spans="1:7" ht="15.75" customHeight="1">
      <c r="A247" s="23" t="str">
        <f t="shared" si="10"/>
        <v/>
      </c>
      <c r="B247" t="str">
        <f t="shared" si="11"/>
        <v/>
      </c>
      <c r="C247" s="23" t="str">
        <f t="shared" si="12"/>
        <v/>
      </c>
      <c r="E247" s="24" t="str">
        <f>IF(NOT(ISBLANK(G5copy!B247)),G5copy!B247,"")</f>
        <v/>
      </c>
      <c r="F247" s="24" t="str">
        <f>IF(E247&lt;&gt;"",G5copy!A247,"")</f>
        <v/>
      </c>
      <c r="G247" s="24" t="str">
        <f>IF(E247&lt;&gt;"",G5copy!F247,"")</f>
        <v/>
      </c>
    </row>
    <row r="248" spans="1:7" ht="15.75" customHeight="1">
      <c r="A248" s="23" t="str">
        <f t="shared" si="10"/>
        <v/>
      </c>
      <c r="B248" t="str">
        <f t="shared" si="11"/>
        <v/>
      </c>
      <c r="C248" s="23" t="str">
        <f t="shared" si="12"/>
        <v/>
      </c>
      <c r="E248" s="24" t="str">
        <f>IF(NOT(ISBLANK(G5copy!B248)),G5copy!B248,"")</f>
        <v/>
      </c>
      <c r="F248" s="24" t="str">
        <f>IF(E248&lt;&gt;"",G5copy!A248,"")</f>
        <v/>
      </c>
      <c r="G248" s="24" t="str">
        <f>IF(E248&lt;&gt;"",G5copy!F248,"")</f>
        <v/>
      </c>
    </row>
    <row r="249" spans="1:7" ht="15.75" customHeight="1">
      <c r="A249" s="23" t="str">
        <f t="shared" si="10"/>
        <v/>
      </c>
      <c r="B249" t="str">
        <f t="shared" si="11"/>
        <v/>
      </c>
      <c r="C249" s="23" t="str">
        <f t="shared" si="12"/>
        <v/>
      </c>
      <c r="E249" s="24" t="str">
        <f>IF(NOT(ISBLANK(G5copy!B249)),G5copy!B249,"")</f>
        <v/>
      </c>
      <c r="F249" s="24" t="str">
        <f>IF(E249&lt;&gt;"",G5copy!A249,"")</f>
        <v/>
      </c>
      <c r="G249" s="24" t="str">
        <f>IF(E249&lt;&gt;"",G5copy!F249,"")</f>
        <v/>
      </c>
    </row>
    <row r="250" spans="1:7" ht="15.75" customHeight="1">
      <c r="A250" s="23" t="str">
        <f t="shared" si="10"/>
        <v/>
      </c>
      <c r="B250" t="str">
        <f t="shared" si="11"/>
        <v/>
      </c>
      <c r="C250" s="23" t="str">
        <f t="shared" si="12"/>
        <v/>
      </c>
      <c r="E250" s="24" t="str">
        <f>IF(NOT(ISBLANK(G5copy!B250)),G5copy!B250,"")</f>
        <v/>
      </c>
      <c r="F250" s="24" t="str">
        <f>IF(E250&lt;&gt;"",G5copy!A250,"")</f>
        <v/>
      </c>
      <c r="G250" s="24" t="str">
        <f>IF(E250&lt;&gt;"",G5copy!F250,"")</f>
        <v/>
      </c>
    </row>
    <row r="251" spans="1:7" ht="15.75" customHeight="1">
      <c r="A251" s="23" t="str">
        <f t="shared" si="10"/>
        <v/>
      </c>
      <c r="B251" t="str">
        <f t="shared" si="11"/>
        <v/>
      </c>
      <c r="C251" s="23" t="str">
        <f t="shared" si="12"/>
        <v/>
      </c>
      <c r="E251" s="24" t="str">
        <f>IF(NOT(ISBLANK(G5copy!B251)),G5copy!B251,"")</f>
        <v/>
      </c>
      <c r="F251" s="24" t="str">
        <f>IF(E251&lt;&gt;"",G5copy!A251,"")</f>
        <v/>
      </c>
      <c r="G251" s="24" t="str">
        <f>IF(E251&lt;&gt;"",G5copy!F251,"")</f>
        <v/>
      </c>
    </row>
    <row r="252" spans="1:7" ht="15.75" customHeight="1">
      <c r="A252" s="23" t="str">
        <f t="shared" si="10"/>
        <v/>
      </c>
      <c r="B252" t="str">
        <f t="shared" si="11"/>
        <v/>
      </c>
      <c r="C252" s="23" t="str">
        <f t="shared" si="12"/>
        <v/>
      </c>
      <c r="E252" s="24" t="str">
        <f>IF(NOT(ISBLANK(G5copy!B252)),G5copy!B252,"")</f>
        <v/>
      </c>
      <c r="F252" s="24" t="str">
        <f>IF(E252&lt;&gt;"",G5copy!A252,"")</f>
        <v/>
      </c>
      <c r="G252" s="24" t="str">
        <f>IF(E252&lt;&gt;"",G5copy!F252,"")</f>
        <v/>
      </c>
    </row>
    <row r="253" spans="1:7" ht="15.75" customHeight="1">
      <c r="A253" s="23" t="str">
        <f t="shared" si="10"/>
        <v/>
      </c>
      <c r="B253" t="str">
        <f t="shared" si="11"/>
        <v/>
      </c>
      <c r="C253" s="23" t="str">
        <f t="shared" si="12"/>
        <v/>
      </c>
      <c r="E253" s="24" t="str">
        <f>IF(NOT(ISBLANK(G5copy!B253)),G5copy!B253,"")</f>
        <v/>
      </c>
      <c r="F253" s="24" t="str">
        <f>IF(E253&lt;&gt;"",G5copy!A253,"")</f>
        <v/>
      </c>
      <c r="G253" s="24" t="str">
        <f>IF(E253&lt;&gt;"",G5copy!F253,"")</f>
        <v/>
      </c>
    </row>
    <row r="254" spans="1:7" ht="15.75" customHeight="1">
      <c r="A254" s="23" t="str">
        <f t="shared" si="10"/>
        <v/>
      </c>
      <c r="B254" t="str">
        <f t="shared" si="11"/>
        <v/>
      </c>
      <c r="C254" s="23" t="str">
        <f t="shared" si="12"/>
        <v/>
      </c>
      <c r="E254" s="24" t="str">
        <f>IF(NOT(ISBLANK(G5copy!B254)),G5copy!B254,"")</f>
        <v/>
      </c>
      <c r="F254" s="24" t="str">
        <f>IF(E254&lt;&gt;"",G5copy!A254,"")</f>
        <v/>
      </c>
      <c r="G254" s="24" t="str">
        <f>IF(E254&lt;&gt;"",G5copy!F254,"")</f>
        <v/>
      </c>
    </row>
    <row r="255" spans="1:7" ht="15.75" customHeight="1">
      <c r="A255" s="23" t="str">
        <f t="shared" si="10"/>
        <v/>
      </c>
      <c r="B255" t="str">
        <f t="shared" si="11"/>
        <v/>
      </c>
      <c r="C255" s="23" t="str">
        <f t="shared" si="12"/>
        <v/>
      </c>
      <c r="E255" s="24" t="str">
        <f>IF(NOT(ISBLANK(G5copy!B255)),G5copy!B255,"")</f>
        <v/>
      </c>
      <c r="F255" s="24" t="str">
        <f>IF(E255&lt;&gt;"",G5copy!A255,"")</f>
        <v/>
      </c>
      <c r="G255" s="24" t="str">
        <f>IF(E255&lt;&gt;"",G5copy!F255,"")</f>
        <v/>
      </c>
    </row>
    <row r="256" spans="1:7" ht="15.75" customHeight="1">
      <c r="A256" s="23" t="str">
        <f t="shared" si="10"/>
        <v/>
      </c>
      <c r="B256" t="str">
        <f t="shared" si="11"/>
        <v/>
      </c>
      <c r="C256" s="23" t="str">
        <f t="shared" si="12"/>
        <v/>
      </c>
      <c r="E256" s="24" t="str">
        <f>IF(NOT(ISBLANK(G5copy!B256)),G5copy!B256,"")</f>
        <v/>
      </c>
      <c r="F256" s="24" t="str">
        <f>IF(E256&lt;&gt;"",G5copy!A256,"")</f>
        <v/>
      </c>
      <c r="G256" s="24" t="str">
        <f>IF(E256&lt;&gt;"",G5copy!F256,"")</f>
        <v/>
      </c>
    </row>
    <row r="257" spans="1:7" ht="15.75" customHeight="1">
      <c r="A257" s="23" t="str">
        <f t="shared" si="10"/>
        <v/>
      </c>
      <c r="B257" t="str">
        <f t="shared" si="11"/>
        <v/>
      </c>
      <c r="C257" s="23" t="str">
        <f t="shared" si="12"/>
        <v/>
      </c>
      <c r="E257" s="24" t="str">
        <f>IF(NOT(ISBLANK(G5copy!B257)),G5copy!B257,"")</f>
        <v/>
      </c>
      <c r="F257" s="24" t="str">
        <f>IF(E257&lt;&gt;"",G5copy!A257,"")</f>
        <v/>
      </c>
      <c r="G257" s="24" t="str">
        <f>IF(E257&lt;&gt;"",G5copy!F257,"")</f>
        <v/>
      </c>
    </row>
    <row r="258" spans="1:7" ht="15.75" customHeight="1">
      <c r="A258" s="23" t="str">
        <f t="shared" si="10"/>
        <v/>
      </c>
      <c r="B258" t="str">
        <f t="shared" si="11"/>
        <v/>
      </c>
      <c r="C258" s="23" t="str">
        <f t="shared" si="12"/>
        <v/>
      </c>
      <c r="E258" s="24" t="str">
        <f>IF(NOT(ISBLANK(G5copy!B258)),G5copy!B258,"")</f>
        <v/>
      </c>
      <c r="F258" s="24" t="str">
        <f>IF(E258&lt;&gt;"",G5copy!A258,"")</f>
        <v/>
      </c>
      <c r="G258" s="24" t="str">
        <f>IF(E258&lt;&gt;"",G5copy!F258,"")</f>
        <v/>
      </c>
    </row>
    <row r="259" spans="1:7" ht="15.75" customHeight="1">
      <c r="A259" s="23" t="str">
        <f t="shared" ref="A259:A322" si="13">IF(E259&lt;&gt;"",DATEVALUE(LEFT(E259,10)),"")</f>
        <v/>
      </c>
      <c r="B259" t="str">
        <f t="shared" ref="B259:B322" si="14">IF(LEN(F259)&gt;3,RIGHT(F259,LEN(F259)-3),"")</f>
        <v/>
      </c>
      <c r="C259" s="23" t="str">
        <f t="shared" ref="C259:C322" si="15">IF(E259&lt;&gt;"",DATEVALUE(LEFT(G259,10)),"")</f>
        <v/>
      </c>
      <c r="E259" s="24" t="str">
        <f>IF(NOT(ISBLANK(G5copy!B259)),G5copy!B259,"")</f>
        <v/>
      </c>
      <c r="F259" s="24" t="str">
        <f>IF(E259&lt;&gt;"",G5copy!A259,"")</f>
        <v/>
      </c>
      <c r="G259" s="24" t="str">
        <f>IF(E259&lt;&gt;"",G5copy!F259,"")</f>
        <v/>
      </c>
    </row>
    <row r="260" spans="1:7" ht="15.75" customHeight="1">
      <c r="A260" s="23" t="str">
        <f t="shared" si="13"/>
        <v/>
      </c>
      <c r="B260" t="str">
        <f t="shared" si="14"/>
        <v/>
      </c>
      <c r="C260" s="23" t="str">
        <f t="shared" si="15"/>
        <v/>
      </c>
      <c r="E260" s="24" t="str">
        <f>IF(NOT(ISBLANK(G5copy!B260)),G5copy!B260,"")</f>
        <v/>
      </c>
      <c r="F260" s="24" t="str">
        <f>IF(E260&lt;&gt;"",G5copy!A260,"")</f>
        <v/>
      </c>
      <c r="G260" s="24" t="str">
        <f>IF(E260&lt;&gt;"",G5copy!F260,"")</f>
        <v/>
      </c>
    </row>
    <row r="261" spans="1:7" ht="15.75" customHeight="1">
      <c r="A261" s="23" t="str">
        <f t="shared" si="13"/>
        <v/>
      </c>
      <c r="B261" t="str">
        <f t="shared" si="14"/>
        <v/>
      </c>
      <c r="C261" s="23" t="str">
        <f t="shared" si="15"/>
        <v/>
      </c>
      <c r="E261" s="24" t="str">
        <f>IF(NOT(ISBLANK(G5copy!B261)),G5copy!B261,"")</f>
        <v/>
      </c>
      <c r="F261" s="24" t="str">
        <f>IF(E261&lt;&gt;"",G5copy!A261,"")</f>
        <v/>
      </c>
      <c r="G261" s="24" t="str">
        <f>IF(E261&lt;&gt;"",G5copy!F261,"")</f>
        <v/>
      </c>
    </row>
    <row r="262" spans="1:7" ht="15.75" customHeight="1">
      <c r="A262" s="23" t="str">
        <f t="shared" si="13"/>
        <v/>
      </c>
      <c r="B262" t="str">
        <f t="shared" si="14"/>
        <v/>
      </c>
      <c r="C262" s="23" t="str">
        <f t="shared" si="15"/>
        <v/>
      </c>
      <c r="E262" s="24" t="str">
        <f>IF(NOT(ISBLANK(G5copy!B262)),G5copy!B262,"")</f>
        <v/>
      </c>
      <c r="F262" s="24" t="str">
        <f>IF(E262&lt;&gt;"",G5copy!A262,"")</f>
        <v/>
      </c>
      <c r="G262" s="24" t="str">
        <f>IF(E262&lt;&gt;"",G5copy!F262,"")</f>
        <v/>
      </c>
    </row>
    <row r="263" spans="1:7" ht="15.75" customHeight="1">
      <c r="A263" s="23" t="str">
        <f t="shared" si="13"/>
        <v/>
      </c>
      <c r="B263" t="str">
        <f t="shared" si="14"/>
        <v/>
      </c>
      <c r="C263" s="23" t="str">
        <f t="shared" si="15"/>
        <v/>
      </c>
      <c r="E263" s="24" t="str">
        <f>IF(NOT(ISBLANK(G5copy!B263)),G5copy!B263,"")</f>
        <v/>
      </c>
      <c r="F263" s="24" t="str">
        <f>IF(E263&lt;&gt;"",G5copy!A263,"")</f>
        <v/>
      </c>
      <c r="G263" s="24" t="str">
        <f>IF(E263&lt;&gt;"",G5copy!F263,"")</f>
        <v/>
      </c>
    </row>
    <row r="264" spans="1:7" ht="15.75" customHeight="1">
      <c r="A264" s="23" t="str">
        <f t="shared" si="13"/>
        <v/>
      </c>
      <c r="B264" t="str">
        <f t="shared" si="14"/>
        <v/>
      </c>
      <c r="C264" s="23" t="str">
        <f t="shared" si="15"/>
        <v/>
      </c>
      <c r="E264" s="24" t="str">
        <f>IF(NOT(ISBLANK(G5copy!B264)),G5copy!B264,"")</f>
        <v/>
      </c>
      <c r="F264" s="24" t="str">
        <f>IF(E264&lt;&gt;"",G5copy!A264,"")</f>
        <v/>
      </c>
      <c r="G264" s="24" t="str">
        <f>IF(E264&lt;&gt;"",G5copy!F264,"")</f>
        <v/>
      </c>
    </row>
    <row r="265" spans="1:7" ht="15.75" customHeight="1">
      <c r="A265" s="23" t="str">
        <f t="shared" si="13"/>
        <v/>
      </c>
      <c r="B265" t="str">
        <f t="shared" si="14"/>
        <v/>
      </c>
      <c r="C265" s="23" t="str">
        <f t="shared" si="15"/>
        <v/>
      </c>
      <c r="E265" s="24" t="str">
        <f>IF(NOT(ISBLANK(G5copy!B265)),G5copy!B265,"")</f>
        <v/>
      </c>
      <c r="F265" s="24" t="str">
        <f>IF(E265&lt;&gt;"",G5copy!A265,"")</f>
        <v/>
      </c>
      <c r="G265" s="24" t="str">
        <f>IF(E265&lt;&gt;"",G5copy!F265,"")</f>
        <v/>
      </c>
    </row>
    <row r="266" spans="1:7" ht="15.75" customHeight="1">
      <c r="A266" s="23" t="str">
        <f t="shared" si="13"/>
        <v/>
      </c>
      <c r="B266" t="str">
        <f t="shared" si="14"/>
        <v/>
      </c>
      <c r="C266" s="23" t="str">
        <f t="shared" si="15"/>
        <v/>
      </c>
      <c r="E266" s="24" t="str">
        <f>IF(NOT(ISBLANK(G5copy!B266)),G5copy!B266,"")</f>
        <v/>
      </c>
      <c r="F266" s="24" t="str">
        <f>IF(E266&lt;&gt;"",G5copy!A266,"")</f>
        <v/>
      </c>
      <c r="G266" s="24" t="str">
        <f>IF(E266&lt;&gt;"",G5copy!F266,"")</f>
        <v/>
      </c>
    </row>
    <row r="267" spans="1:7" ht="15.75" customHeight="1">
      <c r="A267" s="23" t="str">
        <f t="shared" si="13"/>
        <v/>
      </c>
      <c r="B267" t="str">
        <f t="shared" si="14"/>
        <v/>
      </c>
      <c r="C267" s="23" t="str">
        <f t="shared" si="15"/>
        <v/>
      </c>
      <c r="E267" s="24" t="str">
        <f>IF(NOT(ISBLANK(G5copy!B267)),G5copy!B267,"")</f>
        <v/>
      </c>
      <c r="F267" s="24" t="str">
        <f>IF(E267&lt;&gt;"",G5copy!A267,"")</f>
        <v/>
      </c>
      <c r="G267" s="24" t="str">
        <f>IF(E267&lt;&gt;"",G5copy!F267,"")</f>
        <v/>
      </c>
    </row>
    <row r="268" spans="1:7" ht="15.75" customHeight="1">
      <c r="A268" s="23" t="str">
        <f t="shared" si="13"/>
        <v/>
      </c>
      <c r="B268" t="str">
        <f t="shared" si="14"/>
        <v/>
      </c>
      <c r="C268" s="23" t="str">
        <f t="shared" si="15"/>
        <v/>
      </c>
      <c r="E268" s="24" t="str">
        <f>IF(NOT(ISBLANK(G5copy!B268)),G5copy!B268,"")</f>
        <v/>
      </c>
      <c r="F268" s="24" t="str">
        <f>IF(E268&lt;&gt;"",G5copy!A268,"")</f>
        <v/>
      </c>
      <c r="G268" s="24" t="str">
        <f>IF(E268&lt;&gt;"",G5copy!F268,"")</f>
        <v/>
      </c>
    </row>
    <row r="269" spans="1:7" ht="15.75" customHeight="1">
      <c r="A269" s="23" t="str">
        <f t="shared" si="13"/>
        <v/>
      </c>
      <c r="B269" t="str">
        <f t="shared" si="14"/>
        <v/>
      </c>
      <c r="C269" s="23" t="str">
        <f t="shared" si="15"/>
        <v/>
      </c>
      <c r="E269" s="24" t="str">
        <f>IF(NOT(ISBLANK(G5copy!B269)),G5copy!B269,"")</f>
        <v/>
      </c>
      <c r="F269" s="24" t="str">
        <f>IF(E269&lt;&gt;"",G5copy!A269,"")</f>
        <v/>
      </c>
      <c r="G269" s="24" t="str">
        <f>IF(E269&lt;&gt;"",G5copy!F269,"")</f>
        <v/>
      </c>
    </row>
    <row r="270" spans="1:7" ht="15.75" customHeight="1">
      <c r="A270" s="23" t="str">
        <f t="shared" si="13"/>
        <v/>
      </c>
      <c r="B270" t="str">
        <f t="shared" si="14"/>
        <v/>
      </c>
      <c r="C270" s="23" t="str">
        <f t="shared" si="15"/>
        <v/>
      </c>
      <c r="E270" s="24" t="str">
        <f>IF(NOT(ISBLANK(G5copy!B270)),G5copy!B270,"")</f>
        <v/>
      </c>
      <c r="F270" s="24" t="str">
        <f>IF(E270&lt;&gt;"",G5copy!A270,"")</f>
        <v/>
      </c>
      <c r="G270" s="24" t="str">
        <f>IF(E270&lt;&gt;"",G5copy!F270,"")</f>
        <v/>
      </c>
    </row>
    <row r="271" spans="1:7" ht="15.75" customHeight="1">
      <c r="A271" s="23" t="str">
        <f t="shared" si="13"/>
        <v/>
      </c>
      <c r="B271" t="str">
        <f t="shared" si="14"/>
        <v/>
      </c>
      <c r="C271" s="23" t="str">
        <f t="shared" si="15"/>
        <v/>
      </c>
      <c r="E271" s="24" t="str">
        <f>IF(NOT(ISBLANK(G5copy!B271)),G5copy!B271,"")</f>
        <v/>
      </c>
      <c r="F271" s="24" t="str">
        <f>IF(E271&lt;&gt;"",G5copy!A271,"")</f>
        <v/>
      </c>
      <c r="G271" s="24" t="str">
        <f>IF(E271&lt;&gt;"",G5copy!F271,"")</f>
        <v/>
      </c>
    </row>
    <row r="272" spans="1:7" ht="15.75" customHeight="1">
      <c r="A272" s="23" t="str">
        <f t="shared" si="13"/>
        <v/>
      </c>
      <c r="B272" t="str">
        <f t="shared" si="14"/>
        <v/>
      </c>
      <c r="C272" s="23" t="str">
        <f t="shared" si="15"/>
        <v/>
      </c>
      <c r="E272" s="24" t="str">
        <f>IF(NOT(ISBLANK(G5copy!B272)),G5copy!B272,"")</f>
        <v/>
      </c>
      <c r="F272" s="24" t="str">
        <f>IF(E272&lt;&gt;"",G5copy!A272,"")</f>
        <v/>
      </c>
      <c r="G272" s="24" t="str">
        <f>IF(E272&lt;&gt;"",G5copy!F272,"")</f>
        <v/>
      </c>
    </row>
    <row r="273" spans="1:7" ht="15.75" customHeight="1">
      <c r="A273" s="23" t="str">
        <f t="shared" si="13"/>
        <v/>
      </c>
      <c r="B273" t="str">
        <f t="shared" si="14"/>
        <v/>
      </c>
      <c r="C273" s="23" t="str">
        <f t="shared" si="15"/>
        <v/>
      </c>
      <c r="E273" s="24" t="str">
        <f>IF(NOT(ISBLANK(G5copy!B273)),G5copy!B273,"")</f>
        <v/>
      </c>
      <c r="F273" s="24" t="str">
        <f>IF(E273&lt;&gt;"",G5copy!A273,"")</f>
        <v/>
      </c>
      <c r="G273" s="24" t="str">
        <f>IF(E273&lt;&gt;"",G5copy!F273,"")</f>
        <v/>
      </c>
    </row>
    <row r="274" spans="1:7" ht="15.75" customHeight="1">
      <c r="A274" s="23" t="str">
        <f t="shared" si="13"/>
        <v/>
      </c>
      <c r="B274" t="str">
        <f t="shared" si="14"/>
        <v/>
      </c>
      <c r="C274" s="23" t="str">
        <f t="shared" si="15"/>
        <v/>
      </c>
      <c r="E274" s="24" t="str">
        <f>IF(NOT(ISBLANK(G5copy!B274)),G5copy!B274,"")</f>
        <v/>
      </c>
      <c r="F274" s="24" t="str">
        <f>IF(E274&lt;&gt;"",G5copy!A274,"")</f>
        <v/>
      </c>
      <c r="G274" s="24" t="str">
        <f>IF(E274&lt;&gt;"",G5copy!F274,"")</f>
        <v/>
      </c>
    </row>
    <row r="275" spans="1:7" ht="15.75" customHeight="1">
      <c r="A275" s="23" t="str">
        <f t="shared" si="13"/>
        <v/>
      </c>
      <c r="B275" t="str">
        <f t="shared" si="14"/>
        <v/>
      </c>
      <c r="C275" s="23" t="str">
        <f t="shared" si="15"/>
        <v/>
      </c>
      <c r="E275" s="24" t="str">
        <f>IF(NOT(ISBLANK(G5copy!B275)),G5copy!B275,"")</f>
        <v/>
      </c>
      <c r="F275" s="24" t="str">
        <f>IF(E275&lt;&gt;"",G5copy!A275,"")</f>
        <v/>
      </c>
      <c r="G275" s="24" t="str">
        <f>IF(E275&lt;&gt;"",G5copy!F275,"")</f>
        <v/>
      </c>
    </row>
    <row r="276" spans="1:7" ht="15.75" customHeight="1">
      <c r="A276" s="23" t="str">
        <f t="shared" si="13"/>
        <v/>
      </c>
      <c r="B276" t="str">
        <f t="shared" si="14"/>
        <v/>
      </c>
      <c r="C276" s="23" t="str">
        <f t="shared" si="15"/>
        <v/>
      </c>
      <c r="E276" s="24" t="str">
        <f>IF(NOT(ISBLANK(G5copy!B276)),G5copy!B276,"")</f>
        <v/>
      </c>
      <c r="F276" s="24" t="str">
        <f>IF(E276&lt;&gt;"",G5copy!A276,"")</f>
        <v/>
      </c>
      <c r="G276" s="24" t="str">
        <f>IF(E276&lt;&gt;"",G5copy!F276,"")</f>
        <v/>
      </c>
    </row>
    <row r="277" spans="1:7" ht="15.75" customHeight="1">
      <c r="A277" s="23" t="str">
        <f t="shared" si="13"/>
        <v/>
      </c>
      <c r="B277" t="str">
        <f t="shared" si="14"/>
        <v/>
      </c>
      <c r="C277" s="23" t="str">
        <f t="shared" si="15"/>
        <v/>
      </c>
      <c r="E277" s="24" t="str">
        <f>IF(NOT(ISBLANK(G5copy!B277)),G5copy!B277,"")</f>
        <v/>
      </c>
      <c r="F277" s="24" t="str">
        <f>IF(E277&lt;&gt;"",G5copy!A277,"")</f>
        <v/>
      </c>
      <c r="G277" s="24" t="str">
        <f>IF(E277&lt;&gt;"",G5copy!F277,"")</f>
        <v/>
      </c>
    </row>
    <row r="278" spans="1:7" ht="15.75" customHeight="1">
      <c r="A278" s="23" t="str">
        <f t="shared" si="13"/>
        <v/>
      </c>
      <c r="B278" t="str">
        <f t="shared" si="14"/>
        <v/>
      </c>
      <c r="C278" s="23" t="str">
        <f t="shared" si="15"/>
        <v/>
      </c>
      <c r="E278" s="24" t="str">
        <f>IF(NOT(ISBLANK(G5copy!B278)),G5copy!B278,"")</f>
        <v/>
      </c>
      <c r="F278" s="24" t="str">
        <f>IF(E278&lt;&gt;"",G5copy!A278,"")</f>
        <v/>
      </c>
      <c r="G278" s="24" t="str">
        <f>IF(E278&lt;&gt;"",G5copy!F278,"")</f>
        <v/>
      </c>
    </row>
    <row r="279" spans="1:7" ht="15.75" customHeight="1">
      <c r="A279" s="23" t="str">
        <f t="shared" si="13"/>
        <v/>
      </c>
      <c r="B279" t="str">
        <f t="shared" si="14"/>
        <v/>
      </c>
      <c r="C279" s="23" t="str">
        <f t="shared" si="15"/>
        <v/>
      </c>
      <c r="E279" s="24" t="str">
        <f>IF(NOT(ISBLANK(G5copy!B279)),G5copy!B279,"")</f>
        <v/>
      </c>
      <c r="F279" s="24" t="str">
        <f>IF(E279&lt;&gt;"",G5copy!A279,"")</f>
        <v/>
      </c>
      <c r="G279" s="24" t="str">
        <f>IF(E279&lt;&gt;"",G5copy!F279,"")</f>
        <v/>
      </c>
    </row>
    <row r="280" spans="1:7" ht="15.75" customHeight="1">
      <c r="A280" s="23" t="str">
        <f t="shared" si="13"/>
        <v/>
      </c>
      <c r="B280" t="str">
        <f t="shared" si="14"/>
        <v/>
      </c>
      <c r="C280" s="23" t="str">
        <f t="shared" si="15"/>
        <v/>
      </c>
      <c r="E280" s="24" t="str">
        <f>IF(NOT(ISBLANK(G5copy!B280)),G5copy!B280,"")</f>
        <v/>
      </c>
      <c r="F280" s="24" t="str">
        <f>IF(E280&lt;&gt;"",G5copy!A280,"")</f>
        <v/>
      </c>
      <c r="G280" s="24" t="str">
        <f>IF(E280&lt;&gt;"",G5copy!F280,"")</f>
        <v/>
      </c>
    </row>
    <row r="281" spans="1:7" ht="15.75" customHeight="1">
      <c r="A281" s="23" t="str">
        <f t="shared" si="13"/>
        <v/>
      </c>
      <c r="B281" t="str">
        <f t="shared" si="14"/>
        <v/>
      </c>
      <c r="C281" s="23" t="str">
        <f t="shared" si="15"/>
        <v/>
      </c>
      <c r="E281" s="24" t="str">
        <f>IF(NOT(ISBLANK(G5copy!B281)),G5copy!B281,"")</f>
        <v/>
      </c>
      <c r="F281" s="24" t="str">
        <f>IF(E281&lt;&gt;"",G5copy!A281,"")</f>
        <v/>
      </c>
      <c r="G281" s="24" t="str">
        <f>IF(E281&lt;&gt;"",G5copy!F281,"")</f>
        <v/>
      </c>
    </row>
    <row r="282" spans="1:7" ht="15.75" customHeight="1">
      <c r="A282" s="23" t="str">
        <f t="shared" si="13"/>
        <v/>
      </c>
      <c r="B282" t="str">
        <f t="shared" si="14"/>
        <v/>
      </c>
      <c r="C282" s="23" t="str">
        <f t="shared" si="15"/>
        <v/>
      </c>
      <c r="E282" s="24" t="str">
        <f>IF(NOT(ISBLANK(G5copy!B282)),G5copy!B282,"")</f>
        <v/>
      </c>
      <c r="F282" s="24" t="str">
        <f>IF(E282&lt;&gt;"",G5copy!A282,"")</f>
        <v/>
      </c>
      <c r="G282" s="24" t="str">
        <f>IF(E282&lt;&gt;"",G5copy!F282,"")</f>
        <v/>
      </c>
    </row>
    <row r="283" spans="1:7" ht="15.75" customHeight="1">
      <c r="A283" s="23" t="str">
        <f t="shared" si="13"/>
        <v/>
      </c>
      <c r="B283" t="str">
        <f t="shared" si="14"/>
        <v/>
      </c>
      <c r="C283" s="23" t="str">
        <f t="shared" si="15"/>
        <v/>
      </c>
      <c r="E283" s="24" t="str">
        <f>IF(NOT(ISBLANK(G5copy!B283)),G5copy!B283,"")</f>
        <v/>
      </c>
      <c r="F283" s="24" t="str">
        <f>IF(E283&lt;&gt;"",G5copy!A283,"")</f>
        <v/>
      </c>
      <c r="G283" s="24" t="str">
        <f>IF(E283&lt;&gt;"",G5copy!F283,"")</f>
        <v/>
      </c>
    </row>
    <row r="284" spans="1:7" ht="15.75" customHeight="1">
      <c r="A284" s="23" t="str">
        <f t="shared" si="13"/>
        <v/>
      </c>
      <c r="B284" t="str">
        <f t="shared" si="14"/>
        <v/>
      </c>
      <c r="C284" s="23" t="str">
        <f t="shared" si="15"/>
        <v/>
      </c>
      <c r="E284" s="24" t="str">
        <f>IF(NOT(ISBLANK(G5copy!B284)),G5copy!B284,"")</f>
        <v/>
      </c>
      <c r="F284" s="24" t="str">
        <f>IF(E284&lt;&gt;"",G5copy!A284,"")</f>
        <v/>
      </c>
      <c r="G284" s="24" t="str">
        <f>IF(E284&lt;&gt;"",G5copy!F284,"")</f>
        <v/>
      </c>
    </row>
    <row r="285" spans="1:7" ht="15.75" customHeight="1">
      <c r="A285" s="23" t="str">
        <f t="shared" si="13"/>
        <v/>
      </c>
      <c r="B285" t="str">
        <f t="shared" si="14"/>
        <v/>
      </c>
      <c r="C285" s="23" t="str">
        <f t="shared" si="15"/>
        <v/>
      </c>
      <c r="E285" s="24" t="str">
        <f>IF(NOT(ISBLANK(G5copy!B285)),G5copy!B285,"")</f>
        <v/>
      </c>
      <c r="F285" s="24" t="str">
        <f>IF(E285&lt;&gt;"",G5copy!A285,"")</f>
        <v/>
      </c>
      <c r="G285" s="24" t="str">
        <f>IF(E285&lt;&gt;"",G5copy!F285,"")</f>
        <v/>
      </c>
    </row>
    <row r="286" spans="1:7" ht="15.75" customHeight="1">
      <c r="A286" s="23" t="str">
        <f t="shared" si="13"/>
        <v/>
      </c>
      <c r="B286" t="str">
        <f t="shared" si="14"/>
        <v/>
      </c>
      <c r="C286" s="23" t="str">
        <f t="shared" si="15"/>
        <v/>
      </c>
      <c r="E286" s="24" t="str">
        <f>IF(NOT(ISBLANK(G5copy!B286)),G5copy!B286,"")</f>
        <v/>
      </c>
      <c r="F286" s="24" t="str">
        <f>IF(E286&lt;&gt;"",G5copy!A286,"")</f>
        <v/>
      </c>
      <c r="G286" s="24" t="str">
        <f>IF(E286&lt;&gt;"",G5copy!F286,"")</f>
        <v/>
      </c>
    </row>
    <row r="287" spans="1:7" ht="15.75" customHeight="1">
      <c r="A287" s="23" t="str">
        <f t="shared" si="13"/>
        <v/>
      </c>
      <c r="B287" t="str">
        <f t="shared" si="14"/>
        <v/>
      </c>
      <c r="C287" s="23" t="str">
        <f t="shared" si="15"/>
        <v/>
      </c>
      <c r="E287" s="24" t="str">
        <f>IF(NOT(ISBLANK(G5copy!B287)),G5copy!B287,"")</f>
        <v/>
      </c>
      <c r="F287" s="24" t="str">
        <f>IF(E287&lt;&gt;"",G5copy!A287,"")</f>
        <v/>
      </c>
      <c r="G287" s="24" t="str">
        <f>IF(E287&lt;&gt;"",G5copy!F287,"")</f>
        <v/>
      </c>
    </row>
    <row r="288" spans="1:7" ht="15.75" customHeight="1">
      <c r="A288" s="23" t="str">
        <f t="shared" si="13"/>
        <v/>
      </c>
      <c r="B288" t="str">
        <f t="shared" si="14"/>
        <v/>
      </c>
      <c r="C288" s="23" t="str">
        <f t="shared" si="15"/>
        <v/>
      </c>
      <c r="E288" s="24" t="str">
        <f>IF(NOT(ISBLANK(G5copy!B288)),G5copy!B288,"")</f>
        <v/>
      </c>
      <c r="F288" s="24" t="str">
        <f>IF(E288&lt;&gt;"",G5copy!A288,"")</f>
        <v/>
      </c>
      <c r="G288" s="24" t="str">
        <f>IF(E288&lt;&gt;"",G5copy!F288,"")</f>
        <v/>
      </c>
    </row>
    <row r="289" spans="1:7" ht="15.75" customHeight="1">
      <c r="A289" s="23" t="str">
        <f t="shared" si="13"/>
        <v/>
      </c>
      <c r="B289" t="str">
        <f t="shared" si="14"/>
        <v/>
      </c>
      <c r="C289" s="23" t="str">
        <f t="shared" si="15"/>
        <v/>
      </c>
      <c r="E289" s="24" t="str">
        <f>IF(NOT(ISBLANK(G5copy!B289)),G5copy!B289,"")</f>
        <v/>
      </c>
      <c r="F289" s="24" t="str">
        <f>IF(E289&lt;&gt;"",G5copy!A289,"")</f>
        <v/>
      </c>
      <c r="G289" s="24" t="str">
        <f>IF(E289&lt;&gt;"",G5copy!F289,"")</f>
        <v/>
      </c>
    </row>
    <row r="290" spans="1:7" ht="15.75" customHeight="1">
      <c r="A290" s="23" t="str">
        <f t="shared" si="13"/>
        <v/>
      </c>
      <c r="B290" t="str">
        <f t="shared" si="14"/>
        <v/>
      </c>
      <c r="C290" s="23" t="str">
        <f t="shared" si="15"/>
        <v/>
      </c>
      <c r="E290" s="24" t="str">
        <f>IF(NOT(ISBLANK(G5copy!B290)),G5copy!B290,"")</f>
        <v/>
      </c>
      <c r="F290" s="24" t="str">
        <f>IF(E290&lt;&gt;"",G5copy!A290,"")</f>
        <v/>
      </c>
      <c r="G290" s="24" t="str">
        <f>IF(E290&lt;&gt;"",G5copy!F290,"")</f>
        <v/>
      </c>
    </row>
    <row r="291" spans="1:7" ht="15.75" customHeight="1">
      <c r="A291" s="23" t="str">
        <f t="shared" si="13"/>
        <v/>
      </c>
      <c r="B291" t="str">
        <f t="shared" si="14"/>
        <v/>
      </c>
      <c r="C291" s="23" t="str">
        <f t="shared" si="15"/>
        <v/>
      </c>
      <c r="E291" s="24" t="str">
        <f>IF(NOT(ISBLANK(G5copy!B291)),G5copy!B291,"")</f>
        <v/>
      </c>
      <c r="F291" s="24" t="str">
        <f>IF(E291&lt;&gt;"",G5copy!A291,"")</f>
        <v/>
      </c>
      <c r="G291" s="24" t="str">
        <f>IF(E291&lt;&gt;"",G5copy!F291,"")</f>
        <v/>
      </c>
    </row>
    <row r="292" spans="1:7" ht="15.75" customHeight="1">
      <c r="A292" s="23" t="str">
        <f t="shared" si="13"/>
        <v/>
      </c>
      <c r="B292" t="str">
        <f t="shared" si="14"/>
        <v/>
      </c>
      <c r="C292" s="23" t="str">
        <f t="shared" si="15"/>
        <v/>
      </c>
      <c r="E292" s="24" t="str">
        <f>IF(NOT(ISBLANK(G5copy!B292)),G5copy!B292,"")</f>
        <v/>
      </c>
      <c r="F292" s="24" t="str">
        <f>IF(E292&lt;&gt;"",G5copy!A292,"")</f>
        <v/>
      </c>
      <c r="G292" s="24" t="str">
        <f>IF(E292&lt;&gt;"",G5copy!F292,"")</f>
        <v/>
      </c>
    </row>
    <row r="293" spans="1:7" ht="15.75" customHeight="1">
      <c r="A293" s="23" t="str">
        <f t="shared" si="13"/>
        <v/>
      </c>
      <c r="B293" t="str">
        <f t="shared" si="14"/>
        <v/>
      </c>
      <c r="C293" s="23" t="str">
        <f t="shared" si="15"/>
        <v/>
      </c>
      <c r="E293" s="24" t="str">
        <f>IF(NOT(ISBLANK(G5copy!B293)),G5copy!B293,"")</f>
        <v/>
      </c>
      <c r="F293" s="24" t="str">
        <f>IF(E293&lt;&gt;"",G5copy!A293,"")</f>
        <v/>
      </c>
      <c r="G293" s="24" t="str">
        <f>IF(E293&lt;&gt;"",G5copy!F293,"")</f>
        <v/>
      </c>
    </row>
    <row r="294" spans="1:7" ht="15.75" customHeight="1">
      <c r="A294" s="23" t="str">
        <f t="shared" si="13"/>
        <v/>
      </c>
      <c r="B294" t="str">
        <f t="shared" si="14"/>
        <v/>
      </c>
      <c r="C294" s="23" t="str">
        <f t="shared" si="15"/>
        <v/>
      </c>
      <c r="E294" s="24" t="str">
        <f>IF(NOT(ISBLANK(G5copy!B294)),G5copy!B294,"")</f>
        <v/>
      </c>
      <c r="F294" s="24" t="str">
        <f>IF(E294&lt;&gt;"",G5copy!A294,"")</f>
        <v/>
      </c>
      <c r="G294" s="24" t="str">
        <f>IF(E294&lt;&gt;"",G5copy!F294,"")</f>
        <v/>
      </c>
    </row>
    <row r="295" spans="1:7" ht="15.75" customHeight="1">
      <c r="A295" s="23" t="str">
        <f t="shared" si="13"/>
        <v/>
      </c>
      <c r="B295" t="str">
        <f t="shared" si="14"/>
        <v/>
      </c>
      <c r="C295" s="23" t="str">
        <f t="shared" si="15"/>
        <v/>
      </c>
      <c r="E295" s="24" t="str">
        <f>IF(NOT(ISBLANK(G5copy!B295)),G5copy!B295,"")</f>
        <v/>
      </c>
      <c r="F295" s="24" t="str">
        <f>IF(E295&lt;&gt;"",G5copy!A295,"")</f>
        <v/>
      </c>
      <c r="G295" s="24" t="str">
        <f>IF(E295&lt;&gt;"",G5copy!F295,"")</f>
        <v/>
      </c>
    </row>
    <row r="296" spans="1:7" ht="15.75" customHeight="1">
      <c r="A296" s="23" t="str">
        <f t="shared" si="13"/>
        <v/>
      </c>
      <c r="B296" t="str">
        <f t="shared" si="14"/>
        <v/>
      </c>
      <c r="C296" s="23" t="str">
        <f t="shared" si="15"/>
        <v/>
      </c>
      <c r="E296" s="24" t="str">
        <f>IF(NOT(ISBLANK(G5copy!B296)),G5copy!B296,"")</f>
        <v/>
      </c>
      <c r="F296" s="24" t="str">
        <f>IF(E296&lt;&gt;"",G5copy!A296,"")</f>
        <v/>
      </c>
      <c r="G296" s="24" t="str">
        <f>IF(E296&lt;&gt;"",G5copy!F296,"")</f>
        <v/>
      </c>
    </row>
    <row r="297" spans="1:7" ht="15.75" customHeight="1">
      <c r="A297" s="23" t="str">
        <f t="shared" si="13"/>
        <v/>
      </c>
      <c r="B297" t="str">
        <f t="shared" si="14"/>
        <v/>
      </c>
      <c r="C297" s="23" t="str">
        <f t="shared" si="15"/>
        <v/>
      </c>
      <c r="E297" s="24" t="str">
        <f>IF(NOT(ISBLANK(G5copy!B297)),G5copy!B297,"")</f>
        <v/>
      </c>
      <c r="F297" s="24" t="str">
        <f>IF(E297&lt;&gt;"",G5copy!A297,"")</f>
        <v/>
      </c>
      <c r="G297" s="24" t="str">
        <f>IF(E297&lt;&gt;"",G5copy!F297,"")</f>
        <v/>
      </c>
    </row>
    <row r="298" spans="1:7" ht="15.75" customHeight="1">
      <c r="A298" s="23" t="str">
        <f t="shared" si="13"/>
        <v/>
      </c>
      <c r="B298" t="str">
        <f t="shared" si="14"/>
        <v/>
      </c>
      <c r="C298" s="23" t="str">
        <f t="shared" si="15"/>
        <v/>
      </c>
      <c r="E298" s="24" t="str">
        <f>IF(NOT(ISBLANK(G5copy!B298)),G5copy!B298,"")</f>
        <v/>
      </c>
      <c r="F298" s="24" t="str">
        <f>IF(E298&lt;&gt;"",G5copy!A298,"")</f>
        <v/>
      </c>
      <c r="G298" s="24" t="str">
        <f>IF(E298&lt;&gt;"",G5copy!F298,"")</f>
        <v/>
      </c>
    </row>
    <row r="299" spans="1:7" ht="15.75" customHeight="1">
      <c r="A299" s="23" t="str">
        <f t="shared" si="13"/>
        <v/>
      </c>
      <c r="B299" t="str">
        <f t="shared" si="14"/>
        <v/>
      </c>
      <c r="C299" s="23" t="str">
        <f t="shared" si="15"/>
        <v/>
      </c>
      <c r="E299" s="24" t="str">
        <f>IF(NOT(ISBLANK(G5copy!B299)),G5copy!B299,"")</f>
        <v/>
      </c>
      <c r="F299" s="24" t="str">
        <f>IF(E299&lt;&gt;"",G5copy!A299,"")</f>
        <v/>
      </c>
      <c r="G299" s="24" t="str">
        <f>IF(E299&lt;&gt;"",G5copy!F299,"")</f>
        <v/>
      </c>
    </row>
    <row r="300" spans="1:7" ht="15.75" customHeight="1">
      <c r="A300" s="23" t="str">
        <f t="shared" si="13"/>
        <v/>
      </c>
      <c r="B300" t="str">
        <f t="shared" si="14"/>
        <v/>
      </c>
      <c r="C300" s="23" t="str">
        <f t="shared" si="15"/>
        <v/>
      </c>
      <c r="E300" s="24" t="str">
        <f>IF(NOT(ISBLANK(G5copy!B300)),G5copy!B300,"")</f>
        <v/>
      </c>
      <c r="F300" s="24" t="str">
        <f>IF(E300&lt;&gt;"",G5copy!A300,"")</f>
        <v/>
      </c>
      <c r="G300" s="24" t="str">
        <f>IF(E300&lt;&gt;"",G5copy!F300,"")</f>
        <v/>
      </c>
    </row>
    <row r="301" spans="1:7" ht="15.75" customHeight="1">
      <c r="A301" s="23" t="str">
        <f t="shared" si="13"/>
        <v/>
      </c>
      <c r="B301" t="str">
        <f t="shared" si="14"/>
        <v/>
      </c>
      <c r="C301" s="23" t="str">
        <f t="shared" si="15"/>
        <v/>
      </c>
      <c r="E301" s="24" t="str">
        <f>IF(NOT(ISBLANK(G5copy!B301)),G5copy!B301,"")</f>
        <v/>
      </c>
      <c r="F301" s="24" t="str">
        <f>IF(E301&lt;&gt;"",G5copy!A301,"")</f>
        <v/>
      </c>
      <c r="G301" s="24" t="str">
        <f>IF(E301&lt;&gt;"",G5copy!F301,"")</f>
        <v/>
      </c>
    </row>
    <row r="302" spans="1:7" ht="15.75" customHeight="1">
      <c r="A302" s="23" t="str">
        <f t="shared" si="13"/>
        <v/>
      </c>
      <c r="B302" t="str">
        <f t="shared" si="14"/>
        <v/>
      </c>
      <c r="C302" s="23" t="str">
        <f t="shared" si="15"/>
        <v/>
      </c>
      <c r="E302" s="24" t="str">
        <f>IF(NOT(ISBLANK(G5copy!B302)),G5copy!B302,"")</f>
        <v/>
      </c>
      <c r="F302" s="24" t="str">
        <f>IF(E302&lt;&gt;"",G5copy!A302,"")</f>
        <v/>
      </c>
      <c r="G302" s="24" t="str">
        <f>IF(E302&lt;&gt;"",G5copy!F302,"")</f>
        <v/>
      </c>
    </row>
    <row r="303" spans="1:7" ht="15.75" customHeight="1">
      <c r="A303" s="23" t="str">
        <f t="shared" si="13"/>
        <v/>
      </c>
      <c r="B303" t="str">
        <f t="shared" si="14"/>
        <v/>
      </c>
      <c r="C303" s="23" t="str">
        <f t="shared" si="15"/>
        <v/>
      </c>
      <c r="E303" s="24" t="str">
        <f>IF(NOT(ISBLANK(G5copy!B303)),G5copy!B303,"")</f>
        <v/>
      </c>
      <c r="F303" s="24" t="str">
        <f>IF(E303&lt;&gt;"",G5copy!A303,"")</f>
        <v/>
      </c>
      <c r="G303" s="24" t="str">
        <f>IF(E303&lt;&gt;"",G5copy!F303,"")</f>
        <v/>
      </c>
    </row>
    <row r="304" spans="1:7" ht="15.75" customHeight="1">
      <c r="A304" s="23" t="str">
        <f t="shared" si="13"/>
        <v/>
      </c>
      <c r="B304" t="str">
        <f t="shared" si="14"/>
        <v/>
      </c>
      <c r="C304" s="23" t="str">
        <f t="shared" si="15"/>
        <v/>
      </c>
      <c r="E304" s="24" t="str">
        <f>IF(NOT(ISBLANK(G5copy!B304)),G5copy!B304,"")</f>
        <v/>
      </c>
      <c r="F304" s="24" t="str">
        <f>IF(E304&lt;&gt;"",G5copy!A304,"")</f>
        <v/>
      </c>
      <c r="G304" s="24" t="str">
        <f>IF(E304&lt;&gt;"",G5copy!F304,"")</f>
        <v/>
      </c>
    </row>
    <row r="305" spans="1:7" ht="15.75" customHeight="1">
      <c r="A305" s="23" t="str">
        <f t="shared" si="13"/>
        <v/>
      </c>
      <c r="B305" t="str">
        <f t="shared" si="14"/>
        <v/>
      </c>
      <c r="C305" s="23" t="str">
        <f t="shared" si="15"/>
        <v/>
      </c>
      <c r="E305" s="24" t="str">
        <f>IF(NOT(ISBLANK(G5copy!B305)),G5copy!B305,"")</f>
        <v/>
      </c>
      <c r="F305" s="24" t="str">
        <f>IF(E305&lt;&gt;"",G5copy!A305,"")</f>
        <v/>
      </c>
      <c r="G305" s="24" t="str">
        <f>IF(E305&lt;&gt;"",G5copy!F305,"")</f>
        <v/>
      </c>
    </row>
    <row r="306" spans="1:7" ht="15.75" customHeight="1">
      <c r="A306" s="23" t="str">
        <f t="shared" si="13"/>
        <v/>
      </c>
      <c r="B306" t="str">
        <f t="shared" si="14"/>
        <v/>
      </c>
      <c r="C306" s="23" t="str">
        <f t="shared" si="15"/>
        <v/>
      </c>
      <c r="E306" s="24" t="str">
        <f>IF(NOT(ISBLANK(G5copy!B306)),G5copy!B306,"")</f>
        <v/>
      </c>
      <c r="F306" s="24" t="str">
        <f>IF(E306&lt;&gt;"",G5copy!A306,"")</f>
        <v/>
      </c>
      <c r="G306" s="24" t="str">
        <f>IF(E306&lt;&gt;"",G5copy!F306,"")</f>
        <v/>
      </c>
    </row>
    <row r="307" spans="1:7" ht="15.75" customHeight="1">
      <c r="A307" s="23" t="str">
        <f t="shared" si="13"/>
        <v/>
      </c>
      <c r="B307" t="str">
        <f t="shared" si="14"/>
        <v/>
      </c>
      <c r="C307" s="23" t="str">
        <f t="shared" si="15"/>
        <v/>
      </c>
      <c r="E307" s="24" t="str">
        <f>IF(NOT(ISBLANK(G5copy!B307)),G5copy!B307,"")</f>
        <v/>
      </c>
      <c r="F307" s="24" t="str">
        <f>IF(E307&lt;&gt;"",G5copy!A307,"")</f>
        <v/>
      </c>
      <c r="G307" s="24" t="str">
        <f>IF(E307&lt;&gt;"",G5copy!F307,"")</f>
        <v/>
      </c>
    </row>
    <row r="308" spans="1:7" ht="15.75" customHeight="1">
      <c r="A308" s="23" t="str">
        <f t="shared" si="13"/>
        <v/>
      </c>
      <c r="B308" t="str">
        <f t="shared" si="14"/>
        <v/>
      </c>
      <c r="C308" s="23" t="str">
        <f t="shared" si="15"/>
        <v/>
      </c>
      <c r="E308" s="24" t="str">
        <f>IF(NOT(ISBLANK(G5copy!B308)),G5copy!B308,"")</f>
        <v/>
      </c>
      <c r="F308" s="24" t="str">
        <f>IF(E308&lt;&gt;"",G5copy!A308,"")</f>
        <v/>
      </c>
      <c r="G308" s="24" t="str">
        <f>IF(E308&lt;&gt;"",G5copy!F308,"")</f>
        <v/>
      </c>
    </row>
    <row r="309" spans="1:7" ht="15.75" customHeight="1">
      <c r="A309" s="23" t="str">
        <f t="shared" si="13"/>
        <v/>
      </c>
      <c r="B309" t="str">
        <f t="shared" si="14"/>
        <v/>
      </c>
      <c r="C309" s="23" t="str">
        <f t="shared" si="15"/>
        <v/>
      </c>
      <c r="E309" s="24" t="str">
        <f>IF(NOT(ISBLANK(G5copy!B309)),G5copy!B309,"")</f>
        <v/>
      </c>
      <c r="F309" s="24" t="str">
        <f>IF(E309&lt;&gt;"",G5copy!A309,"")</f>
        <v/>
      </c>
      <c r="G309" s="24" t="str">
        <f>IF(E309&lt;&gt;"",G5copy!F309,"")</f>
        <v/>
      </c>
    </row>
    <row r="310" spans="1:7" ht="15.75" customHeight="1">
      <c r="A310" s="23" t="str">
        <f t="shared" si="13"/>
        <v/>
      </c>
      <c r="B310" t="str">
        <f t="shared" si="14"/>
        <v/>
      </c>
      <c r="C310" s="23" t="str">
        <f t="shared" si="15"/>
        <v/>
      </c>
      <c r="E310" s="24" t="str">
        <f>IF(NOT(ISBLANK(G5copy!B310)),G5copy!B310,"")</f>
        <v/>
      </c>
      <c r="F310" s="24" t="str">
        <f>IF(E310&lt;&gt;"",G5copy!A310,"")</f>
        <v/>
      </c>
      <c r="G310" s="24" t="str">
        <f>IF(E310&lt;&gt;"",G5copy!F310,"")</f>
        <v/>
      </c>
    </row>
    <row r="311" spans="1:7" ht="15.75" customHeight="1">
      <c r="A311" s="23" t="str">
        <f t="shared" si="13"/>
        <v/>
      </c>
      <c r="B311" t="str">
        <f t="shared" si="14"/>
        <v/>
      </c>
      <c r="C311" s="23" t="str">
        <f t="shared" si="15"/>
        <v/>
      </c>
      <c r="E311" s="24" t="str">
        <f>IF(NOT(ISBLANK(G5copy!B311)),G5copy!B311,"")</f>
        <v/>
      </c>
      <c r="F311" s="24" t="str">
        <f>IF(E311&lt;&gt;"",G5copy!A311,"")</f>
        <v/>
      </c>
      <c r="G311" s="24" t="str">
        <f>IF(E311&lt;&gt;"",G5copy!F311,"")</f>
        <v/>
      </c>
    </row>
    <row r="312" spans="1:7" ht="15.75" customHeight="1">
      <c r="A312" s="23" t="str">
        <f t="shared" si="13"/>
        <v/>
      </c>
      <c r="B312" t="str">
        <f t="shared" si="14"/>
        <v/>
      </c>
      <c r="C312" s="23" t="str">
        <f t="shared" si="15"/>
        <v/>
      </c>
      <c r="E312" s="24" t="str">
        <f>IF(NOT(ISBLANK(G5copy!B312)),G5copy!B312,"")</f>
        <v/>
      </c>
      <c r="F312" s="24" t="str">
        <f>IF(E312&lt;&gt;"",G5copy!A312,"")</f>
        <v/>
      </c>
      <c r="G312" s="24" t="str">
        <f>IF(E312&lt;&gt;"",G5copy!F312,"")</f>
        <v/>
      </c>
    </row>
    <row r="313" spans="1:7" ht="15.75" customHeight="1">
      <c r="A313" s="23" t="str">
        <f t="shared" si="13"/>
        <v/>
      </c>
      <c r="B313" t="str">
        <f t="shared" si="14"/>
        <v/>
      </c>
      <c r="C313" s="23" t="str">
        <f t="shared" si="15"/>
        <v/>
      </c>
      <c r="E313" s="24" t="str">
        <f>IF(NOT(ISBLANK(G5copy!B313)),G5copy!B313,"")</f>
        <v/>
      </c>
      <c r="F313" s="24" t="str">
        <f>IF(E313&lt;&gt;"",G5copy!A313,"")</f>
        <v/>
      </c>
      <c r="G313" s="24" t="str">
        <f>IF(E313&lt;&gt;"",G5copy!F313,"")</f>
        <v/>
      </c>
    </row>
    <row r="314" spans="1:7" ht="15.75" customHeight="1">
      <c r="A314" s="23" t="str">
        <f t="shared" si="13"/>
        <v/>
      </c>
      <c r="B314" t="str">
        <f t="shared" si="14"/>
        <v/>
      </c>
      <c r="C314" s="23" t="str">
        <f t="shared" si="15"/>
        <v/>
      </c>
      <c r="E314" s="24" t="str">
        <f>IF(NOT(ISBLANK(G5copy!B314)),G5copy!B314,"")</f>
        <v/>
      </c>
      <c r="F314" s="24" t="str">
        <f>IF(E314&lt;&gt;"",G5copy!A314,"")</f>
        <v/>
      </c>
      <c r="G314" s="24" t="str">
        <f>IF(E314&lt;&gt;"",G5copy!F314,"")</f>
        <v/>
      </c>
    </row>
    <row r="315" spans="1:7" ht="15.75" customHeight="1">
      <c r="A315" s="23" t="str">
        <f t="shared" si="13"/>
        <v/>
      </c>
      <c r="B315" t="str">
        <f t="shared" si="14"/>
        <v/>
      </c>
      <c r="C315" s="23" t="str">
        <f t="shared" si="15"/>
        <v/>
      </c>
      <c r="E315" s="24" t="str">
        <f>IF(NOT(ISBLANK(G5copy!B315)),G5copy!B315,"")</f>
        <v/>
      </c>
      <c r="F315" s="24" t="str">
        <f>IF(E315&lt;&gt;"",G5copy!A315,"")</f>
        <v/>
      </c>
      <c r="G315" s="24" t="str">
        <f>IF(E315&lt;&gt;"",G5copy!F315,"")</f>
        <v/>
      </c>
    </row>
    <row r="316" spans="1:7" ht="15.75" customHeight="1">
      <c r="A316" s="23" t="str">
        <f t="shared" si="13"/>
        <v/>
      </c>
      <c r="B316" t="str">
        <f t="shared" si="14"/>
        <v/>
      </c>
      <c r="C316" s="23" t="str">
        <f t="shared" si="15"/>
        <v/>
      </c>
      <c r="E316" s="24" t="str">
        <f>IF(NOT(ISBLANK(G5copy!B316)),G5copy!B316,"")</f>
        <v/>
      </c>
      <c r="F316" s="24" t="str">
        <f>IF(E316&lt;&gt;"",G5copy!A316,"")</f>
        <v/>
      </c>
      <c r="G316" s="24" t="str">
        <f>IF(E316&lt;&gt;"",G5copy!F316,"")</f>
        <v/>
      </c>
    </row>
    <row r="317" spans="1:7" ht="15.75" customHeight="1">
      <c r="A317" s="23" t="str">
        <f t="shared" si="13"/>
        <v/>
      </c>
      <c r="B317" t="str">
        <f t="shared" si="14"/>
        <v/>
      </c>
      <c r="C317" s="23" t="str">
        <f t="shared" si="15"/>
        <v/>
      </c>
      <c r="E317" s="24" t="str">
        <f>IF(NOT(ISBLANK(G5copy!B317)),G5copy!B317,"")</f>
        <v/>
      </c>
      <c r="F317" s="24" t="str">
        <f>IF(E317&lt;&gt;"",G5copy!A317,"")</f>
        <v/>
      </c>
      <c r="G317" s="24" t="str">
        <f>IF(E317&lt;&gt;"",G5copy!F317,"")</f>
        <v/>
      </c>
    </row>
    <row r="318" spans="1:7" ht="15.75" customHeight="1">
      <c r="A318" s="23" t="str">
        <f t="shared" si="13"/>
        <v/>
      </c>
      <c r="B318" t="str">
        <f t="shared" si="14"/>
        <v/>
      </c>
      <c r="C318" s="23" t="str">
        <f t="shared" si="15"/>
        <v/>
      </c>
      <c r="E318" s="24" t="str">
        <f>IF(NOT(ISBLANK(G5copy!B318)),G5copy!B318,"")</f>
        <v/>
      </c>
      <c r="F318" s="24" t="str">
        <f>IF(E318&lt;&gt;"",G5copy!A318,"")</f>
        <v/>
      </c>
      <c r="G318" s="24" t="str">
        <f>IF(E318&lt;&gt;"",G5copy!F318,"")</f>
        <v/>
      </c>
    </row>
    <row r="319" spans="1:7" ht="15.75" customHeight="1">
      <c r="A319" s="23" t="str">
        <f t="shared" si="13"/>
        <v/>
      </c>
      <c r="B319" t="str">
        <f t="shared" si="14"/>
        <v/>
      </c>
      <c r="C319" s="23" t="str">
        <f t="shared" si="15"/>
        <v/>
      </c>
      <c r="E319" s="24" t="str">
        <f>IF(NOT(ISBLANK(G5copy!B319)),G5copy!B319,"")</f>
        <v/>
      </c>
      <c r="F319" s="24" t="str">
        <f>IF(E319&lt;&gt;"",G5copy!A319,"")</f>
        <v/>
      </c>
      <c r="G319" s="24" t="str">
        <f>IF(E319&lt;&gt;"",G5copy!F319,"")</f>
        <v/>
      </c>
    </row>
    <row r="320" spans="1:7" ht="15.75" customHeight="1">
      <c r="A320" s="23" t="str">
        <f t="shared" si="13"/>
        <v/>
      </c>
      <c r="B320" t="str">
        <f t="shared" si="14"/>
        <v/>
      </c>
      <c r="C320" s="23" t="str">
        <f t="shared" si="15"/>
        <v/>
      </c>
      <c r="E320" s="24" t="str">
        <f>IF(NOT(ISBLANK(G5copy!B320)),G5copy!B320,"")</f>
        <v/>
      </c>
      <c r="F320" s="24" t="str">
        <f>IF(E320&lt;&gt;"",G5copy!A320,"")</f>
        <v/>
      </c>
      <c r="G320" s="24" t="str">
        <f>IF(E320&lt;&gt;"",G5copy!F320,"")</f>
        <v/>
      </c>
    </row>
    <row r="321" spans="1:7" ht="15.75" customHeight="1">
      <c r="A321" s="23" t="str">
        <f t="shared" si="13"/>
        <v/>
      </c>
      <c r="B321" t="str">
        <f t="shared" si="14"/>
        <v/>
      </c>
      <c r="C321" s="23" t="str">
        <f t="shared" si="15"/>
        <v/>
      </c>
      <c r="E321" s="24" t="str">
        <f>IF(NOT(ISBLANK(G5copy!B321)),G5copy!B321,"")</f>
        <v/>
      </c>
      <c r="F321" s="24" t="str">
        <f>IF(E321&lt;&gt;"",G5copy!A321,"")</f>
        <v/>
      </c>
      <c r="G321" s="24" t="str">
        <f>IF(E321&lt;&gt;"",G5copy!F321,"")</f>
        <v/>
      </c>
    </row>
    <row r="322" spans="1:7" ht="15.75" customHeight="1">
      <c r="A322" s="23" t="str">
        <f t="shared" si="13"/>
        <v/>
      </c>
      <c r="B322" t="str">
        <f t="shared" si="14"/>
        <v/>
      </c>
      <c r="C322" s="23" t="str">
        <f t="shared" si="15"/>
        <v/>
      </c>
      <c r="E322" s="24" t="str">
        <f>IF(NOT(ISBLANK(G5copy!B322)),G5copy!B322,"")</f>
        <v/>
      </c>
      <c r="F322" s="24" t="str">
        <f>IF(E322&lt;&gt;"",G5copy!A322,"")</f>
        <v/>
      </c>
      <c r="G322" s="24" t="str">
        <f>IF(E322&lt;&gt;"",G5copy!F322,"")</f>
        <v/>
      </c>
    </row>
    <row r="323" spans="1:7" ht="15.75" customHeight="1">
      <c r="A323" s="23" t="str">
        <f t="shared" ref="A323:A386" si="16">IF(E323&lt;&gt;"",DATEVALUE(LEFT(E323,10)),"")</f>
        <v/>
      </c>
      <c r="B323" t="str">
        <f t="shared" ref="B323:B386" si="17">IF(LEN(F323)&gt;3,RIGHT(F323,LEN(F323)-3),"")</f>
        <v/>
      </c>
      <c r="C323" s="23" t="str">
        <f t="shared" ref="C323:C386" si="18">IF(E323&lt;&gt;"",DATEVALUE(LEFT(G323,10)),"")</f>
        <v/>
      </c>
      <c r="E323" s="24" t="str">
        <f>IF(NOT(ISBLANK(G5copy!B323)),G5copy!B323,"")</f>
        <v/>
      </c>
      <c r="F323" s="24" t="str">
        <f>IF(E323&lt;&gt;"",G5copy!A323,"")</f>
        <v/>
      </c>
      <c r="G323" s="24" t="str">
        <f>IF(E323&lt;&gt;"",G5copy!F323,"")</f>
        <v/>
      </c>
    </row>
    <row r="324" spans="1:7" ht="15.75" customHeight="1">
      <c r="A324" s="23" t="str">
        <f t="shared" si="16"/>
        <v/>
      </c>
      <c r="B324" t="str">
        <f t="shared" si="17"/>
        <v/>
      </c>
      <c r="C324" s="23" t="str">
        <f t="shared" si="18"/>
        <v/>
      </c>
      <c r="E324" s="24" t="str">
        <f>IF(NOT(ISBLANK(G5copy!B324)),G5copy!B324,"")</f>
        <v/>
      </c>
      <c r="F324" s="24" t="str">
        <f>IF(E324&lt;&gt;"",G5copy!A324,"")</f>
        <v/>
      </c>
      <c r="G324" s="24" t="str">
        <f>IF(E324&lt;&gt;"",G5copy!F324,"")</f>
        <v/>
      </c>
    </row>
    <row r="325" spans="1:7" ht="15.75" customHeight="1">
      <c r="A325" s="23" t="str">
        <f t="shared" si="16"/>
        <v/>
      </c>
      <c r="B325" t="str">
        <f t="shared" si="17"/>
        <v/>
      </c>
      <c r="C325" s="23" t="str">
        <f t="shared" si="18"/>
        <v/>
      </c>
      <c r="E325" s="24" t="str">
        <f>IF(NOT(ISBLANK(G5copy!B325)),G5copy!B325,"")</f>
        <v/>
      </c>
      <c r="F325" s="24" t="str">
        <f>IF(E325&lt;&gt;"",G5copy!A325,"")</f>
        <v/>
      </c>
      <c r="G325" s="24" t="str">
        <f>IF(E325&lt;&gt;"",G5copy!F325,"")</f>
        <v/>
      </c>
    </row>
    <row r="326" spans="1:7" ht="15.75" customHeight="1">
      <c r="A326" s="23" t="str">
        <f t="shared" si="16"/>
        <v/>
      </c>
      <c r="B326" t="str">
        <f t="shared" si="17"/>
        <v/>
      </c>
      <c r="C326" s="23" t="str">
        <f t="shared" si="18"/>
        <v/>
      </c>
      <c r="E326" s="24" t="str">
        <f>IF(NOT(ISBLANK(G5copy!B326)),G5copy!B326,"")</f>
        <v/>
      </c>
      <c r="F326" s="24" t="str">
        <f>IF(E326&lt;&gt;"",G5copy!A326,"")</f>
        <v/>
      </c>
      <c r="G326" s="24" t="str">
        <f>IF(E326&lt;&gt;"",G5copy!F326,"")</f>
        <v/>
      </c>
    </row>
    <row r="327" spans="1:7" ht="15.75" customHeight="1">
      <c r="A327" s="23" t="str">
        <f t="shared" si="16"/>
        <v/>
      </c>
      <c r="B327" t="str">
        <f t="shared" si="17"/>
        <v/>
      </c>
      <c r="C327" s="23" t="str">
        <f t="shared" si="18"/>
        <v/>
      </c>
      <c r="E327" s="24" t="str">
        <f>IF(NOT(ISBLANK(G5copy!B327)),G5copy!B327,"")</f>
        <v/>
      </c>
      <c r="F327" s="24" t="str">
        <f>IF(E327&lt;&gt;"",G5copy!A327,"")</f>
        <v/>
      </c>
      <c r="G327" s="24" t="str">
        <f>IF(E327&lt;&gt;"",G5copy!F327,"")</f>
        <v/>
      </c>
    </row>
    <row r="328" spans="1:7" ht="15.75" customHeight="1">
      <c r="A328" s="23" t="str">
        <f t="shared" si="16"/>
        <v/>
      </c>
      <c r="B328" t="str">
        <f t="shared" si="17"/>
        <v/>
      </c>
      <c r="C328" s="23" t="str">
        <f t="shared" si="18"/>
        <v/>
      </c>
      <c r="E328" s="24" t="str">
        <f>IF(NOT(ISBLANK(G5copy!B328)),G5copy!B328,"")</f>
        <v/>
      </c>
      <c r="F328" s="24" t="str">
        <f>IF(E328&lt;&gt;"",G5copy!A328,"")</f>
        <v/>
      </c>
      <c r="G328" s="24" t="str">
        <f>IF(E328&lt;&gt;"",G5copy!F328,"")</f>
        <v/>
      </c>
    </row>
    <row r="329" spans="1:7" ht="15.75" customHeight="1">
      <c r="A329" s="23" t="str">
        <f t="shared" si="16"/>
        <v/>
      </c>
      <c r="B329" t="str">
        <f t="shared" si="17"/>
        <v/>
      </c>
      <c r="C329" s="23" t="str">
        <f t="shared" si="18"/>
        <v/>
      </c>
      <c r="E329" s="24" t="str">
        <f>IF(NOT(ISBLANK(G5copy!B329)),G5copy!B329,"")</f>
        <v/>
      </c>
      <c r="F329" s="24" t="str">
        <f>IF(E329&lt;&gt;"",G5copy!A329,"")</f>
        <v/>
      </c>
      <c r="G329" s="24" t="str">
        <f>IF(E329&lt;&gt;"",G5copy!F329,"")</f>
        <v/>
      </c>
    </row>
    <row r="330" spans="1:7" ht="15.75" customHeight="1">
      <c r="A330" s="23" t="str">
        <f t="shared" si="16"/>
        <v/>
      </c>
      <c r="B330" t="str">
        <f t="shared" si="17"/>
        <v/>
      </c>
      <c r="C330" s="23" t="str">
        <f t="shared" si="18"/>
        <v/>
      </c>
      <c r="E330" s="24" t="str">
        <f>IF(NOT(ISBLANK(G5copy!B330)),G5copy!B330,"")</f>
        <v/>
      </c>
      <c r="F330" s="24" t="str">
        <f>IF(E330&lt;&gt;"",G5copy!A330,"")</f>
        <v/>
      </c>
      <c r="G330" s="24" t="str">
        <f>IF(E330&lt;&gt;"",G5copy!F330,"")</f>
        <v/>
      </c>
    </row>
    <row r="331" spans="1:7" ht="15.75" customHeight="1">
      <c r="A331" s="23" t="str">
        <f t="shared" si="16"/>
        <v/>
      </c>
      <c r="B331" t="str">
        <f t="shared" si="17"/>
        <v/>
      </c>
      <c r="C331" s="23" t="str">
        <f t="shared" si="18"/>
        <v/>
      </c>
      <c r="E331" s="24" t="str">
        <f>IF(NOT(ISBLANK(G5copy!B331)),G5copy!B331,"")</f>
        <v/>
      </c>
      <c r="F331" s="24" t="str">
        <f>IF(E331&lt;&gt;"",G5copy!A331,"")</f>
        <v/>
      </c>
      <c r="G331" s="24" t="str">
        <f>IF(E331&lt;&gt;"",G5copy!F331,"")</f>
        <v/>
      </c>
    </row>
    <row r="332" spans="1:7" ht="15.75" customHeight="1">
      <c r="A332" s="23" t="str">
        <f t="shared" si="16"/>
        <v/>
      </c>
      <c r="B332" t="str">
        <f t="shared" si="17"/>
        <v/>
      </c>
      <c r="C332" s="23" t="str">
        <f t="shared" si="18"/>
        <v/>
      </c>
      <c r="E332" s="24" t="str">
        <f>IF(NOT(ISBLANK(G5copy!B332)),G5copy!B332,"")</f>
        <v/>
      </c>
      <c r="F332" s="24" t="str">
        <f>IF(E332&lt;&gt;"",G5copy!A332,"")</f>
        <v/>
      </c>
      <c r="G332" s="24" t="str">
        <f>IF(E332&lt;&gt;"",G5copy!F332,"")</f>
        <v/>
      </c>
    </row>
    <row r="333" spans="1:7" ht="15.75" customHeight="1">
      <c r="A333" s="23" t="str">
        <f t="shared" si="16"/>
        <v/>
      </c>
      <c r="B333" t="str">
        <f t="shared" si="17"/>
        <v/>
      </c>
      <c r="C333" s="23" t="str">
        <f t="shared" si="18"/>
        <v/>
      </c>
      <c r="E333" s="24" t="str">
        <f>IF(NOT(ISBLANK(G5copy!B333)),G5copy!B333,"")</f>
        <v/>
      </c>
      <c r="F333" s="24" t="str">
        <f>IF(E333&lt;&gt;"",G5copy!A333,"")</f>
        <v/>
      </c>
      <c r="G333" s="24" t="str">
        <f>IF(E333&lt;&gt;"",G5copy!F333,"")</f>
        <v/>
      </c>
    </row>
    <row r="334" spans="1:7" ht="15.75" customHeight="1">
      <c r="A334" s="23" t="str">
        <f t="shared" si="16"/>
        <v/>
      </c>
      <c r="B334" t="str">
        <f t="shared" si="17"/>
        <v/>
      </c>
      <c r="C334" s="23" t="str">
        <f t="shared" si="18"/>
        <v/>
      </c>
      <c r="E334" s="24" t="str">
        <f>IF(NOT(ISBLANK(G5copy!B334)),G5copy!B334,"")</f>
        <v/>
      </c>
      <c r="F334" s="24" t="str">
        <f>IF(E334&lt;&gt;"",G5copy!A334,"")</f>
        <v/>
      </c>
      <c r="G334" s="24" t="str">
        <f>IF(E334&lt;&gt;"",G5copy!F334,"")</f>
        <v/>
      </c>
    </row>
    <row r="335" spans="1:7" ht="15.75" customHeight="1">
      <c r="A335" s="23" t="str">
        <f t="shared" si="16"/>
        <v/>
      </c>
      <c r="B335" t="str">
        <f t="shared" si="17"/>
        <v/>
      </c>
      <c r="C335" s="23" t="str">
        <f t="shared" si="18"/>
        <v/>
      </c>
      <c r="E335" s="24" t="str">
        <f>IF(NOT(ISBLANK(G5copy!B335)),G5copy!B335,"")</f>
        <v/>
      </c>
      <c r="F335" s="24" t="str">
        <f>IF(E335&lt;&gt;"",G5copy!A335,"")</f>
        <v/>
      </c>
      <c r="G335" s="24" t="str">
        <f>IF(E335&lt;&gt;"",G5copy!F335,"")</f>
        <v/>
      </c>
    </row>
    <row r="336" spans="1:7" ht="15.75" customHeight="1">
      <c r="A336" s="23" t="str">
        <f t="shared" si="16"/>
        <v/>
      </c>
      <c r="B336" t="str">
        <f t="shared" si="17"/>
        <v/>
      </c>
      <c r="C336" s="23" t="str">
        <f t="shared" si="18"/>
        <v/>
      </c>
      <c r="E336" s="24" t="str">
        <f>IF(NOT(ISBLANK(G5copy!B336)),G5copy!B336,"")</f>
        <v/>
      </c>
      <c r="F336" s="24" t="str">
        <f>IF(E336&lt;&gt;"",G5copy!A336,"")</f>
        <v/>
      </c>
      <c r="G336" s="24" t="str">
        <f>IF(E336&lt;&gt;"",G5copy!F336,"")</f>
        <v/>
      </c>
    </row>
    <row r="337" spans="1:7" ht="15.75" customHeight="1">
      <c r="A337" s="23" t="str">
        <f t="shared" si="16"/>
        <v/>
      </c>
      <c r="B337" t="str">
        <f t="shared" si="17"/>
        <v/>
      </c>
      <c r="C337" s="23" t="str">
        <f t="shared" si="18"/>
        <v/>
      </c>
      <c r="E337" s="24" t="str">
        <f>IF(NOT(ISBLANK(G5copy!B337)),G5copy!B337,"")</f>
        <v/>
      </c>
      <c r="F337" s="24" t="str">
        <f>IF(E337&lt;&gt;"",G5copy!A337,"")</f>
        <v/>
      </c>
      <c r="G337" s="24" t="str">
        <f>IF(E337&lt;&gt;"",G5copy!F337,"")</f>
        <v/>
      </c>
    </row>
    <row r="338" spans="1:7" ht="15.75" customHeight="1">
      <c r="A338" s="23" t="str">
        <f t="shared" si="16"/>
        <v/>
      </c>
      <c r="B338" t="str">
        <f t="shared" si="17"/>
        <v/>
      </c>
      <c r="C338" s="23" t="str">
        <f t="shared" si="18"/>
        <v/>
      </c>
      <c r="E338" s="24" t="str">
        <f>IF(NOT(ISBLANK(G5copy!B338)),G5copy!B338,"")</f>
        <v/>
      </c>
      <c r="F338" s="24" t="str">
        <f>IF(E338&lt;&gt;"",G5copy!A338,"")</f>
        <v/>
      </c>
      <c r="G338" s="24" t="str">
        <f>IF(E338&lt;&gt;"",G5copy!F338,"")</f>
        <v/>
      </c>
    </row>
    <row r="339" spans="1:7" ht="15.75" customHeight="1">
      <c r="A339" s="23" t="str">
        <f t="shared" si="16"/>
        <v/>
      </c>
      <c r="B339" t="str">
        <f t="shared" si="17"/>
        <v/>
      </c>
      <c r="C339" s="23" t="str">
        <f t="shared" si="18"/>
        <v/>
      </c>
      <c r="E339" s="24" t="str">
        <f>IF(NOT(ISBLANK(G5copy!B339)),G5copy!B339,"")</f>
        <v/>
      </c>
      <c r="F339" s="24" t="str">
        <f>IF(E339&lt;&gt;"",G5copy!A339,"")</f>
        <v/>
      </c>
      <c r="G339" s="24" t="str">
        <f>IF(E339&lt;&gt;"",G5copy!F339,"")</f>
        <v/>
      </c>
    </row>
    <row r="340" spans="1:7" ht="15.75" customHeight="1">
      <c r="A340" s="23" t="str">
        <f t="shared" si="16"/>
        <v/>
      </c>
      <c r="B340" t="str">
        <f t="shared" si="17"/>
        <v/>
      </c>
      <c r="C340" s="23" t="str">
        <f t="shared" si="18"/>
        <v/>
      </c>
      <c r="E340" s="24" t="str">
        <f>IF(NOT(ISBLANK(G5copy!B340)),G5copy!B340,"")</f>
        <v/>
      </c>
      <c r="F340" s="24" t="str">
        <f>IF(E340&lt;&gt;"",G5copy!A340,"")</f>
        <v/>
      </c>
      <c r="G340" s="24" t="str">
        <f>IF(E340&lt;&gt;"",G5copy!F340,"")</f>
        <v/>
      </c>
    </row>
    <row r="341" spans="1:7" ht="15.75" customHeight="1">
      <c r="A341" s="23" t="str">
        <f t="shared" si="16"/>
        <v/>
      </c>
      <c r="B341" t="str">
        <f t="shared" si="17"/>
        <v/>
      </c>
      <c r="C341" s="23" t="str">
        <f t="shared" si="18"/>
        <v/>
      </c>
      <c r="E341" s="24" t="str">
        <f>IF(NOT(ISBLANK(G5copy!B341)),G5copy!B341,"")</f>
        <v/>
      </c>
      <c r="F341" s="24" t="str">
        <f>IF(E341&lt;&gt;"",G5copy!A341,"")</f>
        <v/>
      </c>
      <c r="G341" s="24" t="str">
        <f>IF(E341&lt;&gt;"",G5copy!F341,"")</f>
        <v/>
      </c>
    </row>
    <row r="342" spans="1:7" ht="15.75" customHeight="1">
      <c r="A342" s="23" t="str">
        <f t="shared" si="16"/>
        <v/>
      </c>
      <c r="B342" t="str">
        <f t="shared" si="17"/>
        <v/>
      </c>
      <c r="C342" s="23" t="str">
        <f t="shared" si="18"/>
        <v/>
      </c>
      <c r="E342" s="24" t="str">
        <f>IF(NOT(ISBLANK(G5copy!B342)),G5copy!B342,"")</f>
        <v/>
      </c>
      <c r="F342" s="24" t="str">
        <f>IF(E342&lt;&gt;"",G5copy!A342,"")</f>
        <v/>
      </c>
      <c r="G342" s="24" t="str">
        <f>IF(E342&lt;&gt;"",G5copy!F342,"")</f>
        <v/>
      </c>
    </row>
    <row r="343" spans="1:7" ht="15.75" customHeight="1">
      <c r="A343" s="23" t="str">
        <f t="shared" si="16"/>
        <v/>
      </c>
      <c r="B343" t="str">
        <f t="shared" si="17"/>
        <v/>
      </c>
      <c r="C343" s="23" t="str">
        <f t="shared" si="18"/>
        <v/>
      </c>
      <c r="E343" s="24" t="str">
        <f>IF(NOT(ISBLANK(G5copy!B343)),G5copy!B343,"")</f>
        <v/>
      </c>
      <c r="F343" s="24" t="str">
        <f>IF(E343&lt;&gt;"",G5copy!A343,"")</f>
        <v/>
      </c>
      <c r="G343" s="24" t="str">
        <f>IF(E343&lt;&gt;"",G5copy!F343,"")</f>
        <v/>
      </c>
    </row>
    <row r="344" spans="1:7" ht="15.75" customHeight="1">
      <c r="A344" s="23" t="str">
        <f t="shared" si="16"/>
        <v/>
      </c>
      <c r="B344" t="str">
        <f t="shared" si="17"/>
        <v/>
      </c>
      <c r="C344" s="23" t="str">
        <f t="shared" si="18"/>
        <v/>
      </c>
      <c r="E344" s="24" t="str">
        <f>IF(NOT(ISBLANK(G5copy!B344)),G5copy!B344,"")</f>
        <v/>
      </c>
      <c r="F344" s="24" t="str">
        <f>IF(E344&lt;&gt;"",G5copy!A344,"")</f>
        <v/>
      </c>
      <c r="G344" s="24" t="str">
        <f>IF(E344&lt;&gt;"",G5copy!F344,"")</f>
        <v/>
      </c>
    </row>
    <row r="345" spans="1:7" ht="15.75" customHeight="1">
      <c r="A345" s="23" t="str">
        <f t="shared" si="16"/>
        <v/>
      </c>
      <c r="B345" t="str">
        <f t="shared" si="17"/>
        <v/>
      </c>
      <c r="C345" s="23" t="str">
        <f t="shared" si="18"/>
        <v/>
      </c>
      <c r="E345" s="24" t="str">
        <f>IF(NOT(ISBLANK(G5copy!B345)),G5copy!B345,"")</f>
        <v/>
      </c>
      <c r="F345" s="24" t="str">
        <f>IF(E345&lt;&gt;"",G5copy!A345,"")</f>
        <v/>
      </c>
      <c r="G345" s="24" t="str">
        <f>IF(E345&lt;&gt;"",G5copy!F345,"")</f>
        <v/>
      </c>
    </row>
    <row r="346" spans="1:7" ht="15.75" customHeight="1">
      <c r="A346" s="23" t="str">
        <f t="shared" si="16"/>
        <v/>
      </c>
      <c r="B346" t="str">
        <f t="shared" si="17"/>
        <v/>
      </c>
      <c r="C346" s="23" t="str">
        <f t="shared" si="18"/>
        <v/>
      </c>
      <c r="E346" s="24" t="str">
        <f>IF(NOT(ISBLANK(G5copy!B346)),G5copy!B346,"")</f>
        <v/>
      </c>
      <c r="F346" s="24" t="str">
        <f>IF(E346&lt;&gt;"",G5copy!A346,"")</f>
        <v/>
      </c>
      <c r="G346" s="24" t="str">
        <f>IF(E346&lt;&gt;"",G5copy!F346,"")</f>
        <v/>
      </c>
    </row>
    <row r="347" spans="1:7" ht="15.75" customHeight="1">
      <c r="A347" s="23" t="str">
        <f t="shared" si="16"/>
        <v/>
      </c>
      <c r="B347" t="str">
        <f t="shared" si="17"/>
        <v/>
      </c>
      <c r="C347" s="23" t="str">
        <f t="shared" si="18"/>
        <v/>
      </c>
      <c r="E347" s="24" t="str">
        <f>IF(NOT(ISBLANK(G5copy!B347)),G5copy!B347,"")</f>
        <v/>
      </c>
      <c r="F347" s="24" t="str">
        <f>IF(E347&lt;&gt;"",G5copy!A347,"")</f>
        <v/>
      </c>
      <c r="G347" s="24" t="str">
        <f>IF(E347&lt;&gt;"",G5copy!F347,"")</f>
        <v/>
      </c>
    </row>
    <row r="348" spans="1:7" ht="15.75" customHeight="1">
      <c r="A348" s="23" t="str">
        <f t="shared" si="16"/>
        <v/>
      </c>
      <c r="B348" t="str">
        <f t="shared" si="17"/>
        <v/>
      </c>
      <c r="C348" s="23" t="str">
        <f t="shared" si="18"/>
        <v/>
      </c>
      <c r="E348" s="24" t="str">
        <f>IF(NOT(ISBLANK(G5copy!B348)),G5copy!B348,"")</f>
        <v/>
      </c>
      <c r="F348" s="24" t="str">
        <f>IF(E348&lt;&gt;"",G5copy!A348,"")</f>
        <v/>
      </c>
      <c r="G348" s="24" t="str">
        <f>IF(E348&lt;&gt;"",G5copy!F348,"")</f>
        <v/>
      </c>
    </row>
    <row r="349" spans="1:7" ht="15.75" customHeight="1">
      <c r="A349" s="23" t="str">
        <f t="shared" si="16"/>
        <v/>
      </c>
      <c r="B349" t="str">
        <f t="shared" si="17"/>
        <v/>
      </c>
      <c r="C349" s="23" t="str">
        <f t="shared" si="18"/>
        <v/>
      </c>
      <c r="E349" s="24" t="str">
        <f>IF(NOT(ISBLANK(G5copy!B349)),G5copy!B349,"")</f>
        <v/>
      </c>
      <c r="F349" s="24" t="str">
        <f>IF(E349&lt;&gt;"",G5copy!A349,"")</f>
        <v/>
      </c>
      <c r="G349" s="24" t="str">
        <f>IF(E349&lt;&gt;"",G5copy!F349,"")</f>
        <v/>
      </c>
    </row>
    <row r="350" spans="1:7" ht="15.75" customHeight="1">
      <c r="A350" s="23" t="str">
        <f t="shared" si="16"/>
        <v/>
      </c>
      <c r="B350" t="str">
        <f t="shared" si="17"/>
        <v/>
      </c>
      <c r="C350" s="23" t="str">
        <f t="shared" si="18"/>
        <v/>
      </c>
      <c r="E350" s="24" t="str">
        <f>IF(NOT(ISBLANK(G5copy!B350)),G5copy!B350,"")</f>
        <v/>
      </c>
      <c r="F350" s="24" t="str">
        <f>IF(E350&lt;&gt;"",G5copy!A350,"")</f>
        <v/>
      </c>
      <c r="G350" s="24" t="str">
        <f>IF(E350&lt;&gt;"",G5copy!F350,"")</f>
        <v/>
      </c>
    </row>
    <row r="351" spans="1:7" ht="15.75" customHeight="1">
      <c r="A351" s="23" t="str">
        <f t="shared" si="16"/>
        <v/>
      </c>
      <c r="B351" t="str">
        <f t="shared" si="17"/>
        <v/>
      </c>
      <c r="C351" s="23" t="str">
        <f t="shared" si="18"/>
        <v/>
      </c>
      <c r="E351" s="24" t="str">
        <f>IF(NOT(ISBLANK(G5copy!B351)),G5copy!B351,"")</f>
        <v/>
      </c>
      <c r="F351" s="24" t="str">
        <f>IF(E351&lt;&gt;"",G5copy!A351,"")</f>
        <v/>
      </c>
      <c r="G351" s="24" t="str">
        <f>IF(E351&lt;&gt;"",G5copy!F351,"")</f>
        <v/>
      </c>
    </row>
    <row r="352" spans="1:7" ht="15.75" customHeight="1">
      <c r="A352" s="23" t="str">
        <f t="shared" si="16"/>
        <v/>
      </c>
      <c r="B352" t="str">
        <f t="shared" si="17"/>
        <v/>
      </c>
      <c r="C352" s="23" t="str">
        <f t="shared" si="18"/>
        <v/>
      </c>
      <c r="E352" s="24" t="str">
        <f>IF(NOT(ISBLANK(G5copy!B352)),G5copy!B352,"")</f>
        <v/>
      </c>
      <c r="F352" s="24" t="str">
        <f>IF(E352&lt;&gt;"",G5copy!A352,"")</f>
        <v/>
      </c>
      <c r="G352" s="24" t="str">
        <f>IF(E352&lt;&gt;"",G5copy!F352,"")</f>
        <v/>
      </c>
    </row>
    <row r="353" spans="1:7" ht="15.75" customHeight="1">
      <c r="A353" s="23" t="str">
        <f t="shared" si="16"/>
        <v/>
      </c>
      <c r="B353" t="str">
        <f t="shared" si="17"/>
        <v/>
      </c>
      <c r="C353" s="23" t="str">
        <f t="shared" si="18"/>
        <v/>
      </c>
      <c r="E353" s="24" t="str">
        <f>IF(NOT(ISBLANK(G5copy!B353)),G5copy!B353,"")</f>
        <v/>
      </c>
      <c r="F353" s="24" t="str">
        <f>IF(E353&lt;&gt;"",G5copy!A353,"")</f>
        <v/>
      </c>
      <c r="G353" s="24" t="str">
        <f>IF(E353&lt;&gt;"",G5copy!F353,"")</f>
        <v/>
      </c>
    </row>
    <row r="354" spans="1:7" ht="15.75" customHeight="1">
      <c r="A354" s="23" t="str">
        <f t="shared" si="16"/>
        <v/>
      </c>
      <c r="B354" t="str">
        <f t="shared" si="17"/>
        <v/>
      </c>
      <c r="C354" s="23" t="str">
        <f t="shared" si="18"/>
        <v/>
      </c>
      <c r="E354" s="24" t="str">
        <f>IF(NOT(ISBLANK(G5copy!B354)),G5copy!B354,"")</f>
        <v/>
      </c>
      <c r="F354" s="24" t="str">
        <f>IF(E354&lt;&gt;"",G5copy!A354,"")</f>
        <v/>
      </c>
      <c r="G354" s="24" t="str">
        <f>IF(E354&lt;&gt;"",G5copy!F354,"")</f>
        <v/>
      </c>
    </row>
    <row r="355" spans="1:7" ht="15.75" customHeight="1">
      <c r="A355" s="23" t="str">
        <f t="shared" si="16"/>
        <v/>
      </c>
      <c r="B355" t="str">
        <f t="shared" si="17"/>
        <v/>
      </c>
      <c r="C355" s="23" t="str">
        <f t="shared" si="18"/>
        <v/>
      </c>
      <c r="E355" s="24" t="str">
        <f>IF(NOT(ISBLANK(G5copy!B355)),G5copy!B355,"")</f>
        <v/>
      </c>
      <c r="F355" s="24" t="str">
        <f>IF(E355&lt;&gt;"",G5copy!A355,"")</f>
        <v/>
      </c>
      <c r="G355" s="24" t="str">
        <f>IF(E355&lt;&gt;"",G5copy!F355,"")</f>
        <v/>
      </c>
    </row>
    <row r="356" spans="1:7" ht="15.75" customHeight="1">
      <c r="A356" s="23" t="str">
        <f t="shared" si="16"/>
        <v/>
      </c>
      <c r="B356" t="str">
        <f t="shared" si="17"/>
        <v/>
      </c>
      <c r="C356" s="23" t="str">
        <f t="shared" si="18"/>
        <v/>
      </c>
      <c r="E356" s="24" t="str">
        <f>IF(NOT(ISBLANK(G5copy!B356)),G5copy!B356,"")</f>
        <v/>
      </c>
      <c r="F356" s="24" t="str">
        <f>IF(E356&lt;&gt;"",G5copy!A356,"")</f>
        <v/>
      </c>
      <c r="G356" s="24" t="str">
        <f>IF(E356&lt;&gt;"",G5copy!F356,"")</f>
        <v/>
      </c>
    </row>
    <row r="357" spans="1:7" ht="15.75" customHeight="1">
      <c r="A357" s="23" t="str">
        <f t="shared" si="16"/>
        <v/>
      </c>
      <c r="B357" t="str">
        <f t="shared" si="17"/>
        <v/>
      </c>
      <c r="C357" s="23" t="str">
        <f t="shared" si="18"/>
        <v/>
      </c>
      <c r="E357" s="24" t="str">
        <f>IF(NOT(ISBLANK(G5copy!B357)),G5copy!B357,"")</f>
        <v/>
      </c>
      <c r="F357" s="24" t="str">
        <f>IF(E357&lt;&gt;"",G5copy!A357,"")</f>
        <v/>
      </c>
      <c r="G357" s="24" t="str">
        <f>IF(E357&lt;&gt;"",G5copy!F357,"")</f>
        <v/>
      </c>
    </row>
    <row r="358" spans="1:7" ht="15.75" customHeight="1">
      <c r="A358" s="23" t="str">
        <f t="shared" si="16"/>
        <v/>
      </c>
      <c r="B358" t="str">
        <f t="shared" si="17"/>
        <v/>
      </c>
      <c r="C358" s="23" t="str">
        <f t="shared" si="18"/>
        <v/>
      </c>
      <c r="E358" s="24" t="str">
        <f>IF(NOT(ISBLANK(G5copy!B358)),G5copy!B358,"")</f>
        <v/>
      </c>
      <c r="F358" s="24" t="str">
        <f>IF(E358&lt;&gt;"",G5copy!A358,"")</f>
        <v/>
      </c>
      <c r="G358" s="24" t="str">
        <f>IF(E358&lt;&gt;"",G5copy!F358,"")</f>
        <v/>
      </c>
    </row>
    <row r="359" spans="1:7" ht="15.75" customHeight="1">
      <c r="A359" s="23" t="str">
        <f t="shared" si="16"/>
        <v/>
      </c>
      <c r="B359" t="str">
        <f t="shared" si="17"/>
        <v/>
      </c>
      <c r="C359" s="23" t="str">
        <f t="shared" si="18"/>
        <v/>
      </c>
      <c r="E359" s="24" t="str">
        <f>IF(NOT(ISBLANK(G5copy!B359)),G5copy!B359,"")</f>
        <v/>
      </c>
      <c r="F359" s="24" t="str">
        <f>IF(E359&lt;&gt;"",G5copy!A359,"")</f>
        <v/>
      </c>
      <c r="G359" s="24" t="str">
        <f>IF(E359&lt;&gt;"",G5copy!F359,"")</f>
        <v/>
      </c>
    </row>
    <row r="360" spans="1:7" ht="15.75" customHeight="1">
      <c r="A360" s="23" t="str">
        <f t="shared" si="16"/>
        <v/>
      </c>
      <c r="B360" t="str">
        <f t="shared" si="17"/>
        <v/>
      </c>
      <c r="C360" s="23" t="str">
        <f t="shared" si="18"/>
        <v/>
      </c>
      <c r="E360" s="24" t="str">
        <f>IF(NOT(ISBLANK(G5copy!B360)),G5copy!B360,"")</f>
        <v/>
      </c>
      <c r="F360" s="24" t="str">
        <f>IF(E360&lt;&gt;"",G5copy!A360,"")</f>
        <v/>
      </c>
      <c r="G360" s="24" t="str">
        <f>IF(E360&lt;&gt;"",G5copy!F360,"")</f>
        <v/>
      </c>
    </row>
    <row r="361" spans="1:7" ht="15.75" customHeight="1">
      <c r="A361" s="23" t="str">
        <f t="shared" si="16"/>
        <v/>
      </c>
      <c r="B361" t="str">
        <f t="shared" si="17"/>
        <v/>
      </c>
      <c r="C361" s="23" t="str">
        <f t="shared" si="18"/>
        <v/>
      </c>
      <c r="E361" s="24" t="str">
        <f>IF(NOT(ISBLANK(G5copy!B361)),G5copy!B361,"")</f>
        <v/>
      </c>
      <c r="F361" s="24" t="str">
        <f>IF(E361&lt;&gt;"",G5copy!A361,"")</f>
        <v/>
      </c>
      <c r="G361" s="24" t="str">
        <f>IF(E361&lt;&gt;"",G5copy!F361,"")</f>
        <v/>
      </c>
    </row>
    <row r="362" spans="1:7" ht="15.75" customHeight="1">
      <c r="A362" s="23" t="str">
        <f t="shared" si="16"/>
        <v/>
      </c>
      <c r="B362" t="str">
        <f t="shared" si="17"/>
        <v/>
      </c>
      <c r="C362" s="23" t="str">
        <f t="shared" si="18"/>
        <v/>
      </c>
      <c r="E362" s="24" t="str">
        <f>IF(NOT(ISBLANK(G5copy!B362)),G5copy!B362,"")</f>
        <v/>
      </c>
      <c r="F362" s="24" t="str">
        <f>IF(E362&lt;&gt;"",G5copy!A362,"")</f>
        <v/>
      </c>
      <c r="G362" s="24" t="str">
        <f>IF(E362&lt;&gt;"",G5copy!F362,"")</f>
        <v/>
      </c>
    </row>
    <row r="363" spans="1:7" ht="15.75" customHeight="1">
      <c r="A363" s="23" t="str">
        <f t="shared" si="16"/>
        <v/>
      </c>
      <c r="B363" t="str">
        <f t="shared" si="17"/>
        <v/>
      </c>
      <c r="C363" s="23" t="str">
        <f t="shared" si="18"/>
        <v/>
      </c>
      <c r="E363" s="24" t="str">
        <f>IF(NOT(ISBLANK(G5copy!B363)),G5copy!B363,"")</f>
        <v/>
      </c>
      <c r="F363" s="24" t="str">
        <f>IF(E363&lt;&gt;"",G5copy!A363,"")</f>
        <v/>
      </c>
      <c r="G363" s="24" t="str">
        <f>IF(E363&lt;&gt;"",G5copy!F363,"")</f>
        <v/>
      </c>
    </row>
    <row r="364" spans="1:7" ht="15.75" customHeight="1">
      <c r="A364" s="23" t="str">
        <f t="shared" si="16"/>
        <v/>
      </c>
      <c r="B364" t="str">
        <f t="shared" si="17"/>
        <v/>
      </c>
      <c r="C364" s="23" t="str">
        <f t="shared" si="18"/>
        <v/>
      </c>
      <c r="E364" s="24" t="str">
        <f>IF(NOT(ISBLANK(G5copy!B364)),G5copy!B364,"")</f>
        <v/>
      </c>
      <c r="F364" s="24" t="str">
        <f>IF(E364&lt;&gt;"",G5copy!A364,"")</f>
        <v/>
      </c>
      <c r="G364" s="24" t="str">
        <f>IF(E364&lt;&gt;"",G5copy!F364,"")</f>
        <v/>
      </c>
    </row>
    <row r="365" spans="1:7" ht="15.75" customHeight="1">
      <c r="A365" s="23" t="str">
        <f t="shared" si="16"/>
        <v/>
      </c>
      <c r="B365" t="str">
        <f t="shared" si="17"/>
        <v/>
      </c>
      <c r="C365" s="23" t="str">
        <f t="shared" si="18"/>
        <v/>
      </c>
      <c r="E365" s="24" t="str">
        <f>IF(NOT(ISBLANK(G5copy!B365)),G5copy!B365,"")</f>
        <v/>
      </c>
      <c r="F365" s="24" t="str">
        <f>IF(E365&lt;&gt;"",G5copy!A365,"")</f>
        <v/>
      </c>
      <c r="G365" s="24" t="str">
        <f>IF(E365&lt;&gt;"",G5copy!F365,"")</f>
        <v/>
      </c>
    </row>
    <row r="366" spans="1:7" ht="15.75" customHeight="1">
      <c r="A366" s="23" t="str">
        <f t="shared" si="16"/>
        <v/>
      </c>
      <c r="B366" t="str">
        <f t="shared" si="17"/>
        <v/>
      </c>
      <c r="C366" s="23" t="str">
        <f t="shared" si="18"/>
        <v/>
      </c>
      <c r="E366" s="24" t="str">
        <f>IF(NOT(ISBLANK(G5copy!B366)),G5copy!B366,"")</f>
        <v/>
      </c>
      <c r="F366" s="24" t="str">
        <f>IF(E366&lt;&gt;"",G5copy!A366,"")</f>
        <v/>
      </c>
      <c r="G366" s="24" t="str">
        <f>IF(E366&lt;&gt;"",G5copy!F366,"")</f>
        <v/>
      </c>
    </row>
    <row r="367" spans="1:7" ht="15.75" customHeight="1">
      <c r="A367" s="23" t="str">
        <f t="shared" si="16"/>
        <v/>
      </c>
      <c r="B367" t="str">
        <f t="shared" si="17"/>
        <v/>
      </c>
      <c r="C367" s="23" t="str">
        <f t="shared" si="18"/>
        <v/>
      </c>
      <c r="E367" s="24" t="str">
        <f>IF(NOT(ISBLANK(G5copy!B367)),G5copy!B367,"")</f>
        <v/>
      </c>
      <c r="F367" s="24" t="str">
        <f>IF(E367&lt;&gt;"",G5copy!A367,"")</f>
        <v/>
      </c>
      <c r="G367" s="24" t="str">
        <f>IF(E367&lt;&gt;"",G5copy!F367,"")</f>
        <v/>
      </c>
    </row>
    <row r="368" spans="1:7" ht="15.75" customHeight="1">
      <c r="A368" s="23" t="str">
        <f t="shared" si="16"/>
        <v/>
      </c>
      <c r="B368" t="str">
        <f t="shared" si="17"/>
        <v/>
      </c>
      <c r="C368" s="23" t="str">
        <f t="shared" si="18"/>
        <v/>
      </c>
      <c r="E368" s="24" t="str">
        <f>IF(NOT(ISBLANK(G5copy!B368)),G5copy!B368,"")</f>
        <v/>
      </c>
      <c r="F368" s="24" t="str">
        <f>IF(E368&lt;&gt;"",G5copy!A368,"")</f>
        <v/>
      </c>
      <c r="G368" s="24" t="str">
        <f>IF(E368&lt;&gt;"",G5copy!F368,"")</f>
        <v/>
      </c>
    </row>
    <row r="369" spans="1:7" ht="15.75" customHeight="1">
      <c r="A369" s="23" t="str">
        <f t="shared" si="16"/>
        <v/>
      </c>
      <c r="B369" t="str">
        <f t="shared" si="17"/>
        <v/>
      </c>
      <c r="C369" s="23" t="str">
        <f t="shared" si="18"/>
        <v/>
      </c>
      <c r="E369" s="24" t="str">
        <f>IF(NOT(ISBLANK(G5copy!B369)),G5copy!B369,"")</f>
        <v/>
      </c>
      <c r="F369" s="24" t="str">
        <f>IF(E369&lt;&gt;"",G5copy!A369,"")</f>
        <v/>
      </c>
      <c r="G369" s="24" t="str">
        <f>IF(E369&lt;&gt;"",G5copy!F369,"")</f>
        <v/>
      </c>
    </row>
    <row r="370" spans="1:7" ht="15.75" customHeight="1">
      <c r="A370" s="23" t="str">
        <f t="shared" si="16"/>
        <v/>
      </c>
      <c r="B370" t="str">
        <f t="shared" si="17"/>
        <v/>
      </c>
      <c r="C370" s="23" t="str">
        <f t="shared" si="18"/>
        <v/>
      </c>
      <c r="E370" s="24" t="str">
        <f>IF(NOT(ISBLANK(G5copy!B370)),G5copy!B370,"")</f>
        <v/>
      </c>
      <c r="F370" s="24" t="str">
        <f>IF(E370&lt;&gt;"",G5copy!A370,"")</f>
        <v/>
      </c>
      <c r="G370" s="24" t="str">
        <f>IF(E370&lt;&gt;"",G5copy!F370,"")</f>
        <v/>
      </c>
    </row>
    <row r="371" spans="1:7" ht="15.75" customHeight="1">
      <c r="A371" s="23" t="str">
        <f t="shared" si="16"/>
        <v/>
      </c>
      <c r="B371" t="str">
        <f t="shared" si="17"/>
        <v/>
      </c>
      <c r="C371" s="23" t="str">
        <f t="shared" si="18"/>
        <v/>
      </c>
      <c r="E371" s="24" t="str">
        <f>IF(NOT(ISBLANK(G5copy!B371)),G5copy!B371,"")</f>
        <v/>
      </c>
      <c r="F371" s="24" t="str">
        <f>IF(E371&lt;&gt;"",G5copy!A371,"")</f>
        <v/>
      </c>
      <c r="G371" s="24" t="str">
        <f>IF(E371&lt;&gt;"",G5copy!F371,"")</f>
        <v/>
      </c>
    </row>
    <row r="372" spans="1:7" ht="15.75" customHeight="1">
      <c r="A372" s="23" t="str">
        <f t="shared" si="16"/>
        <v/>
      </c>
      <c r="B372" t="str">
        <f t="shared" si="17"/>
        <v/>
      </c>
      <c r="C372" s="23" t="str">
        <f t="shared" si="18"/>
        <v/>
      </c>
      <c r="E372" s="24" t="str">
        <f>IF(NOT(ISBLANK(G5copy!B372)),G5copy!B372,"")</f>
        <v/>
      </c>
      <c r="F372" s="24" t="str">
        <f>IF(E372&lt;&gt;"",G5copy!A372,"")</f>
        <v/>
      </c>
      <c r="G372" s="24" t="str">
        <f>IF(E372&lt;&gt;"",G5copy!F372,"")</f>
        <v/>
      </c>
    </row>
    <row r="373" spans="1:7" ht="15.75" customHeight="1">
      <c r="A373" s="23" t="str">
        <f t="shared" si="16"/>
        <v/>
      </c>
      <c r="B373" t="str">
        <f t="shared" si="17"/>
        <v/>
      </c>
      <c r="C373" s="23" t="str">
        <f t="shared" si="18"/>
        <v/>
      </c>
      <c r="E373" s="24" t="str">
        <f>IF(NOT(ISBLANK(G5copy!B373)),G5copy!B373,"")</f>
        <v/>
      </c>
      <c r="F373" s="24" t="str">
        <f>IF(E373&lt;&gt;"",G5copy!A373,"")</f>
        <v/>
      </c>
      <c r="G373" s="24" t="str">
        <f>IF(E373&lt;&gt;"",G5copy!F373,"")</f>
        <v/>
      </c>
    </row>
    <row r="374" spans="1:7" ht="15.75" customHeight="1">
      <c r="A374" s="23" t="str">
        <f t="shared" si="16"/>
        <v/>
      </c>
      <c r="B374" t="str">
        <f t="shared" si="17"/>
        <v/>
      </c>
      <c r="C374" s="23" t="str">
        <f t="shared" si="18"/>
        <v/>
      </c>
      <c r="E374" s="24" t="str">
        <f>IF(NOT(ISBLANK(G5copy!B374)),G5copy!B374,"")</f>
        <v/>
      </c>
      <c r="F374" s="24" t="str">
        <f>IF(E374&lt;&gt;"",G5copy!A374,"")</f>
        <v/>
      </c>
      <c r="G374" s="24" t="str">
        <f>IF(E374&lt;&gt;"",G5copy!F374,"")</f>
        <v/>
      </c>
    </row>
    <row r="375" spans="1:7" ht="15.75" customHeight="1">
      <c r="A375" s="23" t="str">
        <f t="shared" si="16"/>
        <v/>
      </c>
      <c r="B375" t="str">
        <f t="shared" si="17"/>
        <v/>
      </c>
      <c r="C375" s="23" t="str">
        <f t="shared" si="18"/>
        <v/>
      </c>
      <c r="E375" s="24" t="str">
        <f>IF(NOT(ISBLANK(G5copy!B375)),G5copy!B375,"")</f>
        <v/>
      </c>
      <c r="F375" s="24" t="str">
        <f>IF(E375&lt;&gt;"",G5copy!A375,"")</f>
        <v/>
      </c>
      <c r="G375" s="24" t="str">
        <f>IF(E375&lt;&gt;"",G5copy!F375,"")</f>
        <v/>
      </c>
    </row>
    <row r="376" spans="1:7" ht="15.75" customHeight="1">
      <c r="A376" s="23" t="str">
        <f t="shared" si="16"/>
        <v/>
      </c>
      <c r="B376" t="str">
        <f t="shared" si="17"/>
        <v/>
      </c>
      <c r="C376" s="23" t="str">
        <f t="shared" si="18"/>
        <v/>
      </c>
      <c r="E376" s="24" t="str">
        <f>IF(NOT(ISBLANK(G5copy!B376)),G5copy!B376,"")</f>
        <v/>
      </c>
      <c r="F376" s="24" t="str">
        <f>IF(E376&lt;&gt;"",G5copy!A376,"")</f>
        <v/>
      </c>
      <c r="G376" s="24" t="str">
        <f>IF(E376&lt;&gt;"",G5copy!F376,"")</f>
        <v/>
      </c>
    </row>
    <row r="377" spans="1:7" ht="15.75" customHeight="1">
      <c r="A377" s="23" t="str">
        <f t="shared" si="16"/>
        <v/>
      </c>
      <c r="B377" t="str">
        <f t="shared" si="17"/>
        <v/>
      </c>
      <c r="C377" s="23" t="str">
        <f t="shared" si="18"/>
        <v/>
      </c>
      <c r="E377" s="24" t="str">
        <f>IF(NOT(ISBLANK(G5copy!B377)),G5copy!B377,"")</f>
        <v/>
      </c>
      <c r="F377" s="24" t="str">
        <f>IF(E377&lt;&gt;"",G5copy!A377,"")</f>
        <v/>
      </c>
      <c r="G377" s="24" t="str">
        <f>IF(E377&lt;&gt;"",G5copy!F377,"")</f>
        <v/>
      </c>
    </row>
    <row r="378" spans="1:7" ht="15.75" customHeight="1">
      <c r="A378" s="23" t="str">
        <f t="shared" si="16"/>
        <v/>
      </c>
      <c r="B378" t="str">
        <f t="shared" si="17"/>
        <v/>
      </c>
      <c r="C378" s="23" t="str">
        <f t="shared" si="18"/>
        <v/>
      </c>
      <c r="E378" s="24" t="str">
        <f>IF(NOT(ISBLANK(G5copy!B378)),G5copy!B378,"")</f>
        <v/>
      </c>
      <c r="F378" s="24" t="str">
        <f>IF(E378&lt;&gt;"",G5copy!A378,"")</f>
        <v/>
      </c>
      <c r="G378" s="24" t="str">
        <f>IF(E378&lt;&gt;"",G5copy!F378,"")</f>
        <v/>
      </c>
    </row>
    <row r="379" spans="1:7" ht="15.75" customHeight="1">
      <c r="A379" s="23" t="str">
        <f t="shared" si="16"/>
        <v/>
      </c>
      <c r="B379" t="str">
        <f t="shared" si="17"/>
        <v/>
      </c>
      <c r="C379" s="23" t="str">
        <f t="shared" si="18"/>
        <v/>
      </c>
      <c r="E379" s="24" t="str">
        <f>IF(NOT(ISBLANK(G5copy!B379)),G5copy!B379,"")</f>
        <v/>
      </c>
      <c r="F379" s="24" t="str">
        <f>IF(E379&lt;&gt;"",G5copy!A379,"")</f>
        <v/>
      </c>
      <c r="G379" s="24" t="str">
        <f>IF(E379&lt;&gt;"",G5copy!F379,"")</f>
        <v/>
      </c>
    </row>
    <row r="380" spans="1:7" ht="15.75" customHeight="1">
      <c r="A380" s="23" t="str">
        <f t="shared" si="16"/>
        <v/>
      </c>
      <c r="B380" t="str">
        <f t="shared" si="17"/>
        <v/>
      </c>
      <c r="C380" s="23" t="str">
        <f t="shared" si="18"/>
        <v/>
      </c>
      <c r="E380" s="24" t="str">
        <f>IF(NOT(ISBLANK(G5copy!B380)),G5copy!B380,"")</f>
        <v/>
      </c>
      <c r="F380" s="24" t="str">
        <f>IF(E380&lt;&gt;"",G5copy!A380,"")</f>
        <v/>
      </c>
      <c r="G380" s="24" t="str">
        <f>IF(E380&lt;&gt;"",G5copy!F380,"")</f>
        <v/>
      </c>
    </row>
    <row r="381" spans="1:7" ht="15.75" customHeight="1">
      <c r="A381" s="23" t="str">
        <f t="shared" si="16"/>
        <v/>
      </c>
      <c r="B381" t="str">
        <f t="shared" si="17"/>
        <v/>
      </c>
      <c r="C381" s="23" t="str">
        <f t="shared" si="18"/>
        <v/>
      </c>
      <c r="E381" s="24" t="str">
        <f>IF(NOT(ISBLANK(G5copy!B381)),G5copy!B381,"")</f>
        <v/>
      </c>
      <c r="F381" s="24" t="str">
        <f>IF(E381&lt;&gt;"",G5copy!A381,"")</f>
        <v/>
      </c>
      <c r="G381" s="24" t="str">
        <f>IF(E381&lt;&gt;"",G5copy!F381,"")</f>
        <v/>
      </c>
    </row>
    <row r="382" spans="1:7" ht="15.75" customHeight="1">
      <c r="A382" s="23" t="str">
        <f t="shared" si="16"/>
        <v/>
      </c>
      <c r="B382" t="str">
        <f t="shared" si="17"/>
        <v/>
      </c>
      <c r="C382" s="23" t="str">
        <f t="shared" si="18"/>
        <v/>
      </c>
      <c r="E382" s="24" t="str">
        <f>IF(NOT(ISBLANK(G5copy!B382)),G5copy!B382,"")</f>
        <v/>
      </c>
      <c r="F382" s="24" t="str">
        <f>IF(E382&lt;&gt;"",G5copy!A382,"")</f>
        <v/>
      </c>
      <c r="G382" s="24" t="str">
        <f>IF(E382&lt;&gt;"",G5copy!F382,"")</f>
        <v/>
      </c>
    </row>
    <row r="383" spans="1:7" ht="15.75" customHeight="1">
      <c r="A383" s="23" t="str">
        <f t="shared" si="16"/>
        <v/>
      </c>
      <c r="B383" t="str">
        <f t="shared" si="17"/>
        <v/>
      </c>
      <c r="C383" s="23" t="str">
        <f t="shared" si="18"/>
        <v/>
      </c>
      <c r="E383" s="24" t="str">
        <f>IF(NOT(ISBLANK(G5copy!B383)),G5copy!B383,"")</f>
        <v/>
      </c>
      <c r="F383" s="24" t="str">
        <f>IF(E383&lt;&gt;"",G5copy!A383,"")</f>
        <v/>
      </c>
      <c r="G383" s="24" t="str">
        <f>IF(E383&lt;&gt;"",G5copy!F383,"")</f>
        <v/>
      </c>
    </row>
    <row r="384" spans="1:7" ht="15.75" customHeight="1">
      <c r="A384" s="23" t="str">
        <f t="shared" si="16"/>
        <v/>
      </c>
      <c r="B384" t="str">
        <f t="shared" si="17"/>
        <v/>
      </c>
      <c r="C384" s="23" t="str">
        <f t="shared" si="18"/>
        <v/>
      </c>
      <c r="E384" s="24" t="str">
        <f>IF(NOT(ISBLANK(G5copy!B384)),G5copy!B384,"")</f>
        <v/>
      </c>
      <c r="F384" s="24" t="str">
        <f>IF(E384&lt;&gt;"",G5copy!A384,"")</f>
        <v/>
      </c>
      <c r="G384" s="24" t="str">
        <f>IF(E384&lt;&gt;"",G5copy!F384,"")</f>
        <v/>
      </c>
    </row>
    <row r="385" spans="1:7" ht="15.75" customHeight="1">
      <c r="A385" s="23" t="str">
        <f t="shared" si="16"/>
        <v/>
      </c>
      <c r="B385" t="str">
        <f t="shared" si="17"/>
        <v/>
      </c>
      <c r="C385" s="23" t="str">
        <f t="shared" si="18"/>
        <v/>
      </c>
      <c r="E385" s="24" t="str">
        <f>IF(NOT(ISBLANK(G5copy!B385)),G5copy!B385,"")</f>
        <v/>
      </c>
      <c r="F385" s="24" t="str">
        <f>IF(E385&lt;&gt;"",G5copy!A385,"")</f>
        <v/>
      </c>
      <c r="G385" s="24" t="str">
        <f>IF(E385&lt;&gt;"",G5copy!F385,"")</f>
        <v/>
      </c>
    </row>
    <row r="386" spans="1:7" ht="15.75" customHeight="1">
      <c r="A386" s="23" t="str">
        <f t="shared" si="16"/>
        <v/>
      </c>
      <c r="B386" t="str">
        <f t="shared" si="17"/>
        <v/>
      </c>
      <c r="C386" s="23" t="str">
        <f t="shared" si="18"/>
        <v/>
      </c>
      <c r="E386" s="24" t="str">
        <f>IF(NOT(ISBLANK(G5copy!B386)),G5copy!B386,"")</f>
        <v/>
      </c>
      <c r="F386" s="24" t="str">
        <f>IF(E386&lt;&gt;"",G5copy!A386,"")</f>
        <v/>
      </c>
      <c r="G386" s="24" t="str">
        <f>IF(E386&lt;&gt;"",G5copy!F386,"")</f>
        <v/>
      </c>
    </row>
    <row r="387" spans="1:7" ht="15.75" customHeight="1">
      <c r="A387" s="23" t="str">
        <f t="shared" ref="A387:A450" si="19">IF(E387&lt;&gt;"",DATEVALUE(LEFT(E387,10)),"")</f>
        <v/>
      </c>
      <c r="B387" t="str">
        <f t="shared" ref="B387:B450" si="20">IF(LEN(F387)&gt;3,RIGHT(F387,LEN(F387)-3),"")</f>
        <v/>
      </c>
      <c r="C387" s="23" t="str">
        <f t="shared" ref="C387:C450" si="21">IF(E387&lt;&gt;"",DATEVALUE(LEFT(G387,10)),"")</f>
        <v/>
      </c>
      <c r="E387" s="24" t="str">
        <f>IF(NOT(ISBLANK(G5copy!B387)),G5copy!B387,"")</f>
        <v/>
      </c>
      <c r="F387" s="24" t="str">
        <f>IF(E387&lt;&gt;"",G5copy!A387,"")</f>
        <v/>
      </c>
      <c r="G387" s="24" t="str">
        <f>IF(E387&lt;&gt;"",G5copy!F387,"")</f>
        <v/>
      </c>
    </row>
    <row r="388" spans="1:7" ht="15.75" customHeight="1">
      <c r="A388" s="23" t="str">
        <f t="shared" si="19"/>
        <v/>
      </c>
      <c r="B388" t="str">
        <f t="shared" si="20"/>
        <v/>
      </c>
      <c r="C388" s="23" t="str">
        <f t="shared" si="21"/>
        <v/>
      </c>
      <c r="E388" s="24" t="str">
        <f>IF(NOT(ISBLANK(G5copy!B388)),G5copy!B388,"")</f>
        <v/>
      </c>
      <c r="F388" s="24" t="str">
        <f>IF(E388&lt;&gt;"",G5copy!A388,"")</f>
        <v/>
      </c>
      <c r="G388" s="24" t="str">
        <f>IF(E388&lt;&gt;"",G5copy!F388,"")</f>
        <v/>
      </c>
    </row>
    <row r="389" spans="1:7" ht="15.75" customHeight="1">
      <c r="A389" s="23" t="str">
        <f t="shared" si="19"/>
        <v/>
      </c>
      <c r="B389" t="str">
        <f t="shared" si="20"/>
        <v/>
      </c>
      <c r="C389" s="23" t="str">
        <f t="shared" si="21"/>
        <v/>
      </c>
      <c r="E389" s="24" t="str">
        <f>IF(NOT(ISBLANK(G5copy!B389)),G5copy!B389,"")</f>
        <v/>
      </c>
      <c r="F389" s="24" t="str">
        <f>IF(E389&lt;&gt;"",G5copy!A389,"")</f>
        <v/>
      </c>
      <c r="G389" s="24" t="str">
        <f>IF(E389&lt;&gt;"",G5copy!F389,"")</f>
        <v/>
      </c>
    </row>
    <row r="390" spans="1:7" ht="15.75" customHeight="1">
      <c r="A390" s="23" t="str">
        <f t="shared" si="19"/>
        <v/>
      </c>
      <c r="B390" t="str">
        <f t="shared" si="20"/>
        <v/>
      </c>
      <c r="C390" s="23" t="str">
        <f t="shared" si="21"/>
        <v/>
      </c>
      <c r="E390" s="24" t="str">
        <f>IF(NOT(ISBLANK(G5copy!B390)),G5copy!B390,"")</f>
        <v/>
      </c>
      <c r="F390" s="24" t="str">
        <f>IF(E390&lt;&gt;"",G5copy!A390,"")</f>
        <v/>
      </c>
      <c r="G390" s="24" t="str">
        <f>IF(E390&lt;&gt;"",G5copy!F390,"")</f>
        <v/>
      </c>
    </row>
    <row r="391" spans="1:7" ht="15.75" customHeight="1">
      <c r="A391" s="23" t="str">
        <f t="shared" si="19"/>
        <v/>
      </c>
      <c r="B391" t="str">
        <f t="shared" si="20"/>
        <v/>
      </c>
      <c r="C391" s="23" t="str">
        <f t="shared" si="21"/>
        <v/>
      </c>
      <c r="E391" s="24" t="str">
        <f>IF(NOT(ISBLANK(G5copy!B391)),G5copy!B391,"")</f>
        <v/>
      </c>
      <c r="F391" s="24" t="str">
        <f>IF(E391&lt;&gt;"",G5copy!A391,"")</f>
        <v/>
      </c>
      <c r="G391" s="24" t="str">
        <f>IF(E391&lt;&gt;"",G5copy!F391,"")</f>
        <v/>
      </c>
    </row>
    <row r="392" spans="1:7" ht="15.75" customHeight="1">
      <c r="A392" s="23" t="str">
        <f t="shared" si="19"/>
        <v/>
      </c>
      <c r="B392" t="str">
        <f t="shared" si="20"/>
        <v/>
      </c>
      <c r="C392" s="23" t="str">
        <f t="shared" si="21"/>
        <v/>
      </c>
      <c r="E392" s="24" t="str">
        <f>IF(NOT(ISBLANK(G5copy!B392)),G5copy!B392,"")</f>
        <v/>
      </c>
      <c r="F392" s="24" t="str">
        <f>IF(E392&lt;&gt;"",G5copy!A392,"")</f>
        <v/>
      </c>
      <c r="G392" s="24" t="str">
        <f>IF(E392&lt;&gt;"",G5copy!F392,"")</f>
        <v/>
      </c>
    </row>
    <row r="393" spans="1:7" ht="15.75" customHeight="1">
      <c r="A393" s="23" t="str">
        <f t="shared" si="19"/>
        <v/>
      </c>
      <c r="B393" t="str">
        <f t="shared" si="20"/>
        <v/>
      </c>
      <c r="C393" s="23" t="str">
        <f t="shared" si="21"/>
        <v/>
      </c>
      <c r="E393" s="24" t="str">
        <f>IF(NOT(ISBLANK(G5copy!B393)),G5copy!B393,"")</f>
        <v/>
      </c>
      <c r="F393" s="24" t="str">
        <f>IF(E393&lt;&gt;"",G5copy!A393,"")</f>
        <v/>
      </c>
      <c r="G393" s="24" t="str">
        <f>IF(E393&lt;&gt;"",G5copy!F393,"")</f>
        <v/>
      </c>
    </row>
    <row r="394" spans="1:7" ht="15.75" customHeight="1">
      <c r="A394" s="23" t="str">
        <f t="shared" si="19"/>
        <v/>
      </c>
      <c r="B394" t="str">
        <f t="shared" si="20"/>
        <v/>
      </c>
      <c r="C394" s="23" t="str">
        <f t="shared" si="21"/>
        <v/>
      </c>
      <c r="E394" s="24" t="str">
        <f>IF(NOT(ISBLANK(G5copy!B394)),G5copy!B394,"")</f>
        <v/>
      </c>
      <c r="F394" s="24" t="str">
        <f>IF(E394&lt;&gt;"",G5copy!A394,"")</f>
        <v/>
      </c>
      <c r="G394" s="24" t="str">
        <f>IF(E394&lt;&gt;"",G5copy!F394,"")</f>
        <v/>
      </c>
    </row>
    <row r="395" spans="1:7" ht="15.75" customHeight="1">
      <c r="A395" s="23" t="str">
        <f t="shared" si="19"/>
        <v/>
      </c>
      <c r="B395" t="str">
        <f t="shared" si="20"/>
        <v/>
      </c>
      <c r="C395" s="23" t="str">
        <f t="shared" si="21"/>
        <v/>
      </c>
      <c r="E395" s="24" t="str">
        <f>IF(NOT(ISBLANK(G5copy!B395)),G5copy!B395,"")</f>
        <v/>
      </c>
      <c r="F395" s="24" t="str">
        <f>IF(E395&lt;&gt;"",G5copy!A395,"")</f>
        <v/>
      </c>
      <c r="G395" s="24" t="str">
        <f>IF(E395&lt;&gt;"",G5copy!F395,"")</f>
        <v/>
      </c>
    </row>
    <row r="396" spans="1:7" ht="15.75" customHeight="1">
      <c r="A396" s="23" t="str">
        <f t="shared" si="19"/>
        <v/>
      </c>
      <c r="B396" t="str">
        <f t="shared" si="20"/>
        <v/>
      </c>
      <c r="C396" s="23" t="str">
        <f t="shared" si="21"/>
        <v/>
      </c>
      <c r="E396" s="24" t="str">
        <f>IF(NOT(ISBLANK(G5copy!B396)),G5copy!B396,"")</f>
        <v/>
      </c>
      <c r="F396" s="24" t="str">
        <f>IF(E396&lt;&gt;"",G5copy!A396,"")</f>
        <v/>
      </c>
      <c r="G396" s="24" t="str">
        <f>IF(E396&lt;&gt;"",G5copy!F396,"")</f>
        <v/>
      </c>
    </row>
    <row r="397" spans="1:7" ht="15.75" customHeight="1">
      <c r="A397" s="23" t="str">
        <f t="shared" si="19"/>
        <v/>
      </c>
      <c r="B397" t="str">
        <f t="shared" si="20"/>
        <v/>
      </c>
      <c r="C397" s="23" t="str">
        <f t="shared" si="21"/>
        <v/>
      </c>
      <c r="E397" s="24" t="str">
        <f>IF(NOT(ISBLANK(G5copy!B397)),G5copy!B397,"")</f>
        <v/>
      </c>
      <c r="F397" s="24" t="str">
        <f>IF(E397&lt;&gt;"",G5copy!A397,"")</f>
        <v/>
      </c>
      <c r="G397" s="24" t="str">
        <f>IF(E397&lt;&gt;"",G5copy!F397,"")</f>
        <v/>
      </c>
    </row>
    <row r="398" spans="1:7" ht="15.75" customHeight="1">
      <c r="A398" s="23" t="str">
        <f t="shared" si="19"/>
        <v/>
      </c>
      <c r="B398" t="str">
        <f t="shared" si="20"/>
        <v/>
      </c>
      <c r="C398" s="23" t="str">
        <f t="shared" si="21"/>
        <v/>
      </c>
      <c r="E398" s="24" t="str">
        <f>IF(NOT(ISBLANK(G5copy!B398)),G5copy!B398,"")</f>
        <v/>
      </c>
      <c r="F398" s="24" t="str">
        <f>IF(E398&lt;&gt;"",G5copy!A398,"")</f>
        <v/>
      </c>
      <c r="G398" s="24" t="str">
        <f>IF(E398&lt;&gt;"",G5copy!F398,"")</f>
        <v/>
      </c>
    </row>
    <row r="399" spans="1:7" ht="15.75" customHeight="1">
      <c r="A399" s="23" t="str">
        <f t="shared" si="19"/>
        <v/>
      </c>
      <c r="B399" t="str">
        <f t="shared" si="20"/>
        <v/>
      </c>
      <c r="C399" s="23" t="str">
        <f t="shared" si="21"/>
        <v/>
      </c>
      <c r="E399" s="24" t="str">
        <f>IF(NOT(ISBLANK(G5copy!B399)),G5copy!B399,"")</f>
        <v/>
      </c>
      <c r="F399" s="24" t="str">
        <f>IF(E399&lt;&gt;"",G5copy!A399,"")</f>
        <v/>
      </c>
      <c r="G399" s="24" t="str">
        <f>IF(E399&lt;&gt;"",G5copy!F399,"")</f>
        <v/>
      </c>
    </row>
    <row r="400" spans="1:7" ht="15.75" customHeight="1">
      <c r="A400" s="23" t="str">
        <f t="shared" si="19"/>
        <v/>
      </c>
      <c r="B400" t="str">
        <f t="shared" si="20"/>
        <v/>
      </c>
      <c r="C400" s="23" t="str">
        <f t="shared" si="21"/>
        <v/>
      </c>
      <c r="E400" s="24" t="str">
        <f>IF(NOT(ISBLANK(G5copy!B400)),G5copy!B400,"")</f>
        <v/>
      </c>
      <c r="F400" s="24" t="str">
        <f>IF(E400&lt;&gt;"",G5copy!A400,"")</f>
        <v/>
      </c>
      <c r="G400" s="24" t="str">
        <f>IF(E400&lt;&gt;"",G5copy!F400,"")</f>
        <v/>
      </c>
    </row>
    <row r="401" spans="1:7" ht="15.75" customHeight="1">
      <c r="A401" s="23" t="str">
        <f t="shared" si="19"/>
        <v/>
      </c>
      <c r="B401" t="str">
        <f t="shared" si="20"/>
        <v/>
      </c>
      <c r="C401" s="23" t="str">
        <f t="shared" si="21"/>
        <v/>
      </c>
      <c r="E401" s="24" t="str">
        <f>IF(NOT(ISBLANK(G5copy!B401)),G5copy!B401,"")</f>
        <v/>
      </c>
      <c r="F401" s="24" t="str">
        <f>IF(E401&lt;&gt;"",G5copy!A401,"")</f>
        <v/>
      </c>
      <c r="G401" s="24" t="str">
        <f>IF(E401&lt;&gt;"",G5copy!F401,"")</f>
        <v/>
      </c>
    </row>
    <row r="402" spans="1:7" ht="15.75" customHeight="1">
      <c r="A402" s="23" t="str">
        <f t="shared" si="19"/>
        <v/>
      </c>
      <c r="B402" t="str">
        <f t="shared" si="20"/>
        <v/>
      </c>
      <c r="C402" s="23" t="str">
        <f t="shared" si="21"/>
        <v/>
      </c>
      <c r="E402" s="24" t="str">
        <f>IF(NOT(ISBLANK(G5copy!B402)),G5copy!B402,"")</f>
        <v/>
      </c>
      <c r="F402" s="24" t="str">
        <f>IF(E402&lt;&gt;"",G5copy!A402,"")</f>
        <v/>
      </c>
      <c r="G402" s="24" t="str">
        <f>IF(E402&lt;&gt;"",G5copy!F402,"")</f>
        <v/>
      </c>
    </row>
    <row r="403" spans="1:7" ht="15.75" customHeight="1">
      <c r="A403" s="23" t="str">
        <f t="shared" si="19"/>
        <v/>
      </c>
      <c r="B403" t="str">
        <f t="shared" si="20"/>
        <v/>
      </c>
      <c r="C403" s="23" t="str">
        <f t="shared" si="21"/>
        <v/>
      </c>
      <c r="E403" s="24" t="str">
        <f>IF(NOT(ISBLANK(G5copy!B403)),G5copy!B403,"")</f>
        <v/>
      </c>
      <c r="F403" s="24" t="str">
        <f>IF(E403&lt;&gt;"",G5copy!A403,"")</f>
        <v/>
      </c>
      <c r="G403" s="24" t="str">
        <f>IF(E403&lt;&gt;"",G5copy!F403,"")</f>
        <v/>
      </c>
    </row>
    <row r="404" spans="1:7" ht="15.75" customHeight="1">
      <c r="A404" s="23" t="str">
        <f t="shared" si="19"/>
        <v/>
      </c>
      <c r="B404" t="str">
        <f t="shared" si="20"/>
        <v/>
      </c>
      <c r="C404" s="23" t="str">
        <f t="shared" si="21"/>
        <v/>
      </c>
      <c r="E404" s="24" t="str">
        <f>IF(NOT(ISBLANK(G5copy!B404)),G5copy!B404,"")</f>
        <v/>
      </c>
      <c r="F404" s="24" t="str">
        <f>IF(E404&lt;&gt;"",G5copy!A404,"")</f>
        <v/>
      </c>
      <c r="G404" s="24" t="str">
        <f>IF(E404&lt;&gt;"",G5copy!F404,"")</f>
        <v/>
      </c>
    </row>
    <row r="405" spans="1:7" ht="15.75" customHeight="1">
      <c r="A405" s="23" t="str">
        <f t="shared" si="19"/>
        <v/>
      </c>
      <c r="B405" t="str">
        <f t="shared" si="20"/>
        <v/>
      </c>
      <c r="C405" s="23" t="str">
        <f t="shared" si="21"/>
        <v/>
      </c>
      <c r="E405" s="24" t="str">
        <f>IF(NOT(ISBLANK(G5copy!B405)),G5copy!B405,"")</f>
        <v/>
      </c>
      <c r="F405" s="24" t="str">
        <f>IF(E405&lt;&gt;"",G5copy!A405,"")</f>
        <v/>
      </c>
      <c r="G405" s="24" t="str">
        <f>IF(E405&lt;&gt;"",G5copy!F405,"")</f>
        <v/>
      </c>
    </row>
    <row r="406" spans="1:7" ht="15.75" customHeight="1">
      <c r="A406" s="23" t="str">
        <f t="shared" si="19"/>
        <v/>
      </c>
      <c r="B406" t="str">
        <f t="shared" si="20"/>
        <v/>
      </c>
      <c r="C406" s="23" t="str">
        <f t="shared" si="21"/>
        <v/>
      </c>
      <c r="E406" s="24" t="str">
        <f>IF(NOT(ISBLANK(G5copy!B406)),G5copy!B406,"")</f>
        <v/>
      </c>
      <c r="F406" s="24" t="str">
        <f>IF(E406&lt;&gt;"",G5copy!A406,"")</f>
        <v/>
      </c>
      <c r="G406" s="24" t="str">
        <f>IF(E406&lt;&gt;"",G5copy!F406,"")</f>
        <v/>
      </c>
    </row>
    <row r="407" spans="1:7" ht="15.75" customHeight="1">
      <c r="A407" s="23" t="str">
        <f t="shared" si="19"/>
        <v/>
      </c>
      <c r="B407" t="str">
        <f t="shared" si="20"/>
        <v/>
      </c>
      <c r="C407" s="23" t="str">
        <f t="shared" si="21"/>
        <v/>
      </c>
      <c r="E407" s="24" t="str">
        <f>IF(NOT(ISBLANK(G5copy!B407)),G5copy!B407,"")</f>
        <v/>
      </c>
      <c r="F407" s="24" t="str">
        <f>IF(E407&lt;&gt;"",G5copy!A407,"")</f>
        <v/>
      </c>
      <c r="G407" s="24" t="str">
        <f>IF(E407&lt;&gt;"",G5copy!F407,"")</f>
        <v/>
      </c>
    </row>
    <row r="408" spans="1:7" ht="15.75" customHeight="1">
      <c r="A408" s="23" t="str">
        <f t="shared" si="19"/>
        <v/>
      </c>
      <c r="B408" t="str">
        <f t="shared" si="20"/>
        <v/>
      </c>
      <c r="C408" s="23" t="str">
        <f t="shared" si="21"/>
        <v/>
      </c>
      <c r="E408" s="24" t="str">
        <f>IF(NOT(ISBLANK(G5copy!B408)),G5copy!B408,"")</f>
        <v/>
      </c>
      <c r="F408" s="24" t="str">
        <f>IF(E408&lt;&gt;"",G5copy!A408,"")</f>
        <v/>
      </c>
      <c r="G408" s="24" t="str">
        <f>IF(E408&lt;&gt;"",G5copy!F408,"")</f>
        <v/>
      </c>
    </row>
    <row r="409" spans="1:7" ht="15.75" customHeight="1">
      <c r="A409" s="23" t="str">
        <f t="shared" si="19"/>
        <v/>
      </c>
      <c r="B409" t="str">
        <f t="shared" si="20"/>
        <v/>
      </c>
      <c r="C409" s="23" t="str">
        <f t="shared" si="21"/>
        <v/>
      </c>
      <c r="E409" s="24" t="str">
        <f>IF(NOT(ISBLANK(G5copy!B409)),G5copy!B409,"")</f>
        <v/>
      </c>
      <c r="F409" s="24" t="str">
        <f>IF(E409&lt;&gt;"",G5copy!A409,"")</f>
        <v/>
      </c>
      <c r="G409" s="24" t="str">
        <f>IF(E409&lt;&gt;"",G5copy!F409,"")</f>
        <v/>
      </c>
    </row>
    <row r="410" spans="1:7" ht="15.75" customHeight="1">
      <c r="A410" s="23" t="str">
        <f t="shared" si="19"/>
        <v/>
      </c>
      <c r="B410" t="str">
        <f t="shared" si="20"/>
        <v/>
      </c>
      <c r="C410" s="23" t="str">
        <f t="shared" si="21"/>
        <v/>
      </c>
      <c r="E410" s="24" t="str">
        <f>IF(NOT(ISBLANK(G5copy!B410)),G5copy!B410,"")</f>
        <v/>
      </c>
      <c r="F410" s="24" t="str">
        <f>IF(E410&lt;&gt;"",G5copy!A410,"")</f>
        <v/>
      </c>
      <c r="G410" s="24" t="str">
        <f>IF(E410&lt;&gt;"",G5copy!F410,"")</f>
        <v/>
      </c>
    </row>
    <row r="411" spans="1:7" ht="15.75" customHeight="1">
      <c r="A411" s="23" t="str">
        <f t="shared" si="19"/>
        <v/>
      </c>
      <c r="B411" t="str">
        <f t="shared" si="20"/>
        <v/>
      </c>
      <c r="C411" s="23" t="str">
        <f t="shared" si="21"/>
        <v/>
      </c>
      <c r="E411" s="24" t="str">
        <f>IF(NOT(ISBLANK(G5copy!B411)),G5copy!B411,"")</f>
        <v/>
      </c>
      <c r="F411" s="24" t="str">
        <f>IF(E411&lt;&gt;"",G5copy!A411,"")</f>
        <v/>
      </c>
      <c r="G411" s="24" t="str">
        <f>IF(E411&lt;&gt;"",G5copy!F411,"")</f>
        <v/>
      </c>
    </row>
    <row r="412" spans="1:7" ht="15.75" customHeight="1">
      <c r="A412" s="23" t="str">
        <f t="shared" si="19"/>
        <v/>
      </c>
      <c r="B412" t="str">
        <f t="shared" si="20"/>
        <v/>
      </c>
      <c r="C412" s="23" t="str">
        <f t="shared" si="21"/>
        <v/>
      </c>
      <c r="E412" s="24" t="str">
        <f>IF(NOT(ISBLANK(G5copy!B412)),G5copy!B412,"")</f>
        <v/>
      </c>
      <c r="F412" s="24" t="str">
        <f>IF(E412&lt;&gt;"",G5copy!A412,"")</f>
        <v/>
      </c>
      <c r="G412" s="24" t="str">
        <f>IF(E412&lt;&gt;"",G5copy!F412,"")</f>
        <v/>
      </c>
    </row>
    <row r="413" spans="1:7" ht="15.75" customHeight="1">
      <c r="A413" s="23" t="str">
        <f t="shared" si="19"/>
        <v/>
      </c>
      <c r="B413" t="str">
        <f t="shared" si="20"/>
        <v/>
      </c>
      <c r="C413" s="23" t="str">
        <f t="shared" si="21"/>
        <v/>
      </c>
      <c r="E413" s="24" t="str">
        <f>IF(NOT(ISBLANK(G5copy!B413)),G5copy!B413,"")</f>
        <v/>
      </c>
      <c r="F413" s="24" t="str">
        <f>IF(E413&lt;&gt;"",G5copy!A413,"")</f>
        <v/>
      </c>
      <c r="G413" s="24" t="str">
        <f>IF(E413&lt;&gt;"",G5copy!F413,"")</f>
        <v/>
      </c>
    </row>
    <row r="414" spans="1:7" ht="15.75" customHeight="1">
      <c r="A414" s="23" t="str">
        <f t="shared" si="19"/>
        <v/>
      </c>
      <c r="B414" t="str">
        <f t="shared" si="20"/>
        <v/>
      </c>
      <c r="C414" s="23" t="str">
        <f t="shared" si="21"/>
        <v/>
      </c>
      <c r="E414" s="24" t="str">
        <f>IF(NOT(ISBLANK(G5copy!B414)),G5copy!B414,"")</f>
        <v/>
      </c>
      <c r="F414" s="24" t="str">
        <f>IF(E414&lt;&gt;"",G5copy!A414,"")</f>
        <v/>
      </c>
      <c r="G414" s="24" t="str">
        <f>IF(E414&lt;&gt;"",G5copy!F414,"")</f>
        <v/>
      </c>
    </row>
    <row r="415" spans="1:7" ht="15.75" customHeight="1">
      <c r="A415" s="23" t="str">
        <f t="shared" si="19"/>
        <v/>
      </c>
      <c r="B415" t="str">
        <f t="shared" si="20"/>
        <v/>
      </c>
      <c r="C415" s="23" t="str">
        <f t="shared" si="21"/>
        <v/>
      </c>
      <c r="E415" s="24" t="str">
        <f>IF(NOT(ISBLANK(G5copy!B415)),G5copy!B415,"")</f>
        <v/>
      </c>
      <c r="F415" s="24" t="str">
        <f>IF(E415&lt;&gt;"",G5copy!A415,"")</f>
        <v/>
      </c>
      <c r="G415" s="24" t="str">
        <f>IF(E415&lt;&gt;"",G5copy!F415,"")</f>
        <v/>
      </c>
    </row>
    <row r="416" spans="1:7" ht="15.75" customHeight="1">
      <c r="A416" s="23" t="str">
        <f t="shared" si="19"/>
        <v/>
      </c>
      <c r="B416" t="str">
        <f t="shared" si="20"/>
        <v/>
      </c>
      <c r="C416" s="23" t="str">
        <f t="shared" si="21"/>
        <v/>
      </c>
      <c r="E416" s="24" t="str">
        <f>IF(NOT(ISBLANK(G5copy!B416)),G5copy!B416,"")</f>
        <v/>
      </c>
      <c r="F416" s="24" t="str">
        <f>IF(E416&lt;&gt;"",G5copy!A416,"")</f>
        <v/>
      </c>
      <c r="G416" s="24" t="str">
        <f>IF(E416&lt;&gt;"",G5copy!F416,"")</f>
        <v/>
      </c>
    </row>
    <row r="417" spans="1:7" ht="15.75" customHeight="1">
      <c r="A417" s="23" t="str">
        <f t="shared" si="19"/>
        <v/>
      </c>
      <c r="B417" t="str">
        <f t="shared" si="20"/>
        <v/>
      </c>
      <c r="C417" s="23" t="str">
        <f t="shared" si="21"/>
        <v/>
      </c>
      <c r="E417" s="24" t="str">
        <f>IF(NOT(ISBLANK(G5copy!B417)),G5copy!B417,"")</f>
        <v/>
      </c>
      <c r="F417" s="24" t="str">
        <f>IF(E417&lt;&gt;"",G5copy!A417,"")</f>
        <v/>
      </c>
      <c r="G417" s="24" t="str">
        <f>IF(E417&lt;&gt;"",G5copy!F417,"")</f>
        <v/>
      </c>
    </row>
    <row r="418" spans="1:7" ht="15.75" customHeight="1">
      <c r="A418" s="23" t="str">
        <f t="shared" si="19"/>
        <v/>
      </c>
      <c r="B418" t="str">
        <f t="shared" si="20"/>
        <v/>
      </c>
      <c r="C418" s="23" t="str">
        <f t="shared" si="21"/>
        <v/>
      </c>
      <c r="E418" s="24" t="str">
        <f>IF(NOT(ISBLANK(G5copy!B418)),G5copy!B418,"")</f>
        <v/>
      </c>
      <c r="F418" s="24" t="str">
        <f>IF(E418&lt;&gt;"",G5copy!A418,"")</f>
        <v/>
      </c>
      <c r="G418" s="24" t="str">
        <f>IF(E418&lt;&gt;"",G5copy!F418,"")</f>
        <v/>
      </c>
    </row>
    <row r="419" spans="1:7" ht="15.75" customHeight="1">
      <c r="A419" s="23" t="str">
        <f t="shared" si="19"/>
        <v/>
      </c>
      <c r="B419" t="str">
        <f t="shared" si="20"/>
        <v/>
      </c>
      <c r="C419" s="23" t="str">
        <f t="shared" si="21"/>
        <v/>
      </c>
      <c r="E419" s="24" t="str">
        <f>IF(NOT(ISBLANK(G5copy!B419)),G5copy!B419,"")</f>
        <v/>
      </c>
      <c r="F419" s="24" t="str">
        <f>IF(E419&lt;&gt;"",G5copy!A419,"")</f>
        <v/>
      </c>
      <c r="G419" s="24" t="str">
        <f>IF(E419&lt;&gt;"",G5copy!F419,"")</f>
        <v/>
      </c>
    </row>
    <row r="420" spans="1:7" ht="15.75" customHeight="1">
      <c r="A420" s="23" t="str">
        <f t="shared" si="19"/>
        <v/>
      </c>
      <c r="B420" t="str">
        <f t="shared" si="20"/>
        <v/>
      </c>
      <c r="C420" s="23" t="str">
        <f t="shared" si="21"/>
        <v/>
      </c>
      <c r="E420" s="24" t="str">
        <f>IF(NOT(ISBLANK(G5copy!B420)),G5copy!B420,"")</f>
        <v/>
      </c>
      <c r="F420" s="24" t="str">
        <f>IF(E420&lt;&gt;"",G5copy!A420,"")</f>
        <v/>
      </c>
      <c r="G420" s="24" t="str">
        <f>IF(E420&lt;&gt;"",G5copy!F420,"")</f>
        <v/>
      </c>
    </row>
    <row r="421" spans="1:7" ht="15.75" customHeight="1">
      <c r="A421" s="23" t="str">
        <f t="shared" si="19"/>
        <v/>
      </c>
      <c r="B421" t="str">
        <f t="shared" si="20"/>
        <v/>
      </c>
      <c r="C421" s="23" t="str">
        <f t="shared" si="21"/>
        <v/>
      </c>
      <c r="E421" s="24" t="str">
        <f>IF(NOT(ISBLANK(G5copy!B421)),G5copy!B421,"")</f>
        <v/>
      </c>
      <c r="F421" s="24" t="str">
        <f>IF(E421&lt;&gt;"",G5copy!A421,"")</f>
        <v/>
      </c>
      <c r="G421" s="24" t="str">
        <f>IF(E421&lt;&gt;"",G5copy!F421,"")</f>
        <v/>
      </c>
    </row>
    <row r="422" spans="1:7" ht="15.75" customHeight="1">
      <c r="A422" s="23" t="str">
        <f t="shared" si="19"/>
        <v/>
      </c>
      <c r="B422" t="str">
        <f t="shared" si="20"/>
        <v/>
      </c>
      <c r="C422" s="23" t="str">
        <f t="shared" si="21"/>
        <v/>
      </c>
      <c r="E422" s="24" t="str">
        <f>IF(NOT(ISBLANK(G5copy!B422)),G5copy!B422,"")</f>
        <v/>
      </c>
      <c r="F422" s="24" t="str">
        <f>IF(E422&lt;&gt;"",G5copy!A422,"")</f>
        <v/>
      </c>
      <c r="G422" s="24" t="str">
        <f>IF(E422&lt;&gt;"",G5copy!F422,"")</f>
        <v/>
      </c>
    </row>
    <row r="423" spans="1:7" ht="15.75" customHeight="1">
      <c r="A423" s="23" t="str">
        <f t="shared" si="19"/>
        <v/>
      </c>
      <c r="B423" t="str">
        <f t="shared" si="20"/>
        <v/>
      </c>
      <c r="C423" s="23" t="str">
        <f t="shared" si="21"/>
        <v/>
      </c>
      <c r="E423" s="24" t="str">
        <f>IF(NOT(ISBLANK(G5copy!B423)),G5copy!B423,"")</f>
        <v/>
      </c>
      <c r="F423" s="24" t="str">
        <f>IF(E423&lt;&gt;"",G5copy!A423,"")</f>
        <v/>
      </c>
      <c r="G423" s="24" t="str">
        <f>IF(E423&lt;&gt;"",G5copy!F423,"")</f>
        <v/>
      </c>
    </row>
    <row r="424" spans="1:7" ht="15.75" customHeight="1">
      <c r="A424" s="23" t="str">
        <f t="shared" si="19"/>
        <v/>
      </c>
      <c r="B424" t="str">
        <f t="shared" si="20"/>
        <v/>
      </c>
      <c r="C424" s="23" t="str">
        <f t="shared" si="21"/>
        <v/>
      </c>
      <c r="E424" s="24" t="str">
        <f>IF(NOT(ISBLANK(G5copy!B424)),G5copy!B424,"")</f>
        <v/>
      </c>
      <c r="F424" s="24" t="str">
        <f>IF(E424&lt;&gt;"",G5copy!A424,"")</f>
        <v/>
      </c>
      <c r="G424" s="24" t="str">
        <f>IF(E424&lt;&gt;"",G5copy!F424,"")</f>
        <v/>
      </c>
    </row>
    <row r="425" spans="1:7" ht="15.75" customHeight="1">
      <c r="A425" s="23" t="str">
        <f t="shared" si="19"/>
        <v/>
      </c>
      <c r="B425" t="str">
        <f t="shared" si="20"/>
        <v/>
      </c>
      <c r="C425" s="23" t="str">
        <f t="shared" si="21"/>
        <v/>
      </c>
      <c r="E425" s="24" t="str">
        <f>IF(NOT(ISBLANK(G5copy!B425)),G5copy!B425,"")</f>
        <v/>
      </c>
      <c r="F425" s="24" t="str">
        <f>IF(E425&lt;&gt;"",G5copy!A425,"")</f>
        <v/>
      </c>
      <c r="G425" s="24" t="str">
        <f>IF(E425&lt;&gt;"",G5copy!F425,"")</f>
        <v/>
      </c>
    </row>
    <row r="426" spans="1:7" ht="15.75" customHeight="1">
      <c r="A426" s="23" t="str">
        <f t="shared" si="19"/>
        <v/>
      </c>
      <c r="B426" t="str">
        <f t="shared" si="20"/>
        <v/>
      </c>
      <c r="C426" s="23" t="str">
        <f t="shared" si="21"/>
        <v/>
      </c>
      <c r="E426" s="24" t="str">
        <f>IF(NOT(ISBLANK(G5copy!B426)),G5copy!B426,"")</f>
        <v/>
      </c>
      <c r="F426" s="24" t="str">
        <f>IF(E426&lt;&gt;"",G5copy!A426,"")</f>
        <v/>
      </c>
      <c r="G426" s="24" t="str">
        <f>IF(E426&lt;&gt;"",G5copy!F426,"")</f>
        <v/>
      </c>
    </row>
    <row r="427" spans="1:7" ht="15.75" customHeight="1">
      <c r="A427" s="23" t="str">
        <f t="shared" si="19"/>
        <v/>
      </c>
      <c r="B427" t="str">
        <f t="shared" si="20"/>
        <v/>
      </c>
      <c r="C427" s="23" t="str">
        <f t="shared" si="21"/>
        <v/>
      </c>
      <c r="E427" s="24" t="str">
        <f>IF(NOT(ISBLANK(G5copy!B427)),G5copy!B427,"")</f>
        <v/>
      </c>
      <c r="F427" s="24" t="str">
        <f>IF(E427&lt;&gt;"",G5copy!A427,"")</f>
        <v/>
      </c>
      <c r="G427" s="24" t="str">
        <f>IF(E427&lt;&gt;"",G5copy!F427,"")</f>
        <v/>
      </c>
    </row>
    <row r="428" spans="1:7" ht="15.75" customHeight="1">
      <c r="A428" s="23" t="str">
        <f t="shared" si="19"/>
        <v/>
      </c>
      <c r="B428" t="str">
        <f t="shared" si="20"/>
        <v/>
      </c>
      <c r="C428" s="23" t="str">
        <f t="shared" si="21"/>
        <v/>
      </c>
      <c r="E428" s="24" t="str">
        <f>IF(NOT(ISBLANK(G5copy!B428)),G5copy!B428,"")</f>
        <v/>
      </c>
      <c r="F428" s="24" t="str">
        <f>IF(E428&lt;&gt;"",G5copy!A428,"")</f>
        <v/>
      </c>
      <c r="G428" s="24" t="str">
        <f>IF(E428&lt;&gt;"",G5copy!F428,"")</f>
        <v/>
      </c>
    </row>
    <row r="429" spans="1:7" ht="15.75" customHeight="1">
      <c r="A429" s="23" t="str">
        <f t="shared" si="19"/>
        <v/>
      </c>
      <c r="B429" t="str">
        <f t="shared" si="20"/>
        <v/>
      </c>
      <c r="C429" s="23" t="str">
        <f t="shared" si="21"/>
        <v/>
      </c>
      <c r="E429" s="24" t="str">
        <f>IF(NOT(ISBLANK(G5copy!B429)),G5copy!B429,"")</f>
        <v/>
      </c>
      <c r="F429" s="24" t="str">
        <f>IF(E429&lt;&gt;"",G5copy!A429,"")</f>
        <v/>
      </c>
      <c r="G429" s="24" t="str">
        <f>IF(E429&lt;&gt;"",G5copy!F429,"")</f>
        <v/>
      </c>
    </row>
    <row r="430" spans="1:7" ht="15.75" customHeight="1">
      <c r="A430" s="23" t="str">
        <f t="shared" si="19"/>
        <v/>
      </c>
      <c r="B430" t="str">
        <f t="shared" si="20"/>
        <v/>
      </c>
      <c r="C430" s="23" t="str">
        <f t="shared" si="21"/>
        <v/>
      </c>
      <c r="E430" s="24" t="str">
        <f>IF(NOT(ISBLANK(G5copy!B430)),G5copy!B430,"")</f>
        <v/>
      </c>
      <c r="F430" s="24" t="str">
        <f>IF(E430&lt;&gt;"",G5copy!A430,"")</f>
        <v/>
      </c>
      <c r="G430" s="24" t="str">
        <f>IF(E430&lt;&gt;"",G5copy!F430,"")</f>
        <v/>
      </c>
    </row>
    <row r="431" spans="1:7" ht="15.75" customHeight="1">
      <c r="A431" s="23" t="str">
        <f t="shared" si="19"/>
        <v/>
      </c>
      <c r="B431" t="str">
        <f t="shared" si="20"/>
        <v/>
      </c>
      <c r="C431" s="23" t="str">
        <f t="shared" si="21"/>
        <v/>
      </c>
      <c r="E431" s="24" t="str">
        <f>IF(NOT(ISBLANK(G5copy!B431)),G5copy!B431,"")</f>
        <v/>
      </c>
      <c r="F431" s="24" t="str">
        <f>IF(E431&lt;&gt;"",G5copy!A431,"")</f>
        <v/>
      </c>
      <c r="G431" s="24" t="str">
        <f>IF(E431&lt;&gt;"",G5copy!F431,"")</f>
        <v/>
      </c>
    </row>
    <row r="432" spans="1:7" ht="15.75" customHeight="1">
      <c r="A432" s="23" t="str">
        <f t="shared" si="19"/>
        <v/>
      </c>
      <c r="B432" t="str">
        <f t="shared" si="20"/>
        <v/>
      </c>
      <c r="C432" s="23" t="str">
        <f t="shared" si="21"/>
        <v/>
      </c>
      <c r="E432" s="24" t="str">
        <f>IF(NOT(ISBLANK(G5copy!B432)),G5copy!B432,"")</f>
        <v/>
      </c>
      <c r="F432" s="24" t="str">
        <f>IF(E432&lt;&gt;"",G5copy!A432,"")</f>
        <v/>
      </c>
      <c r="G432" s="24" t="str">
        <f>IF(E432&lt;&gt;"",G5copy!F432,"")</f>
        <v/>
      </c>
    </row>
    <row r="433" spans="1:7" ht="15.75" customHeight="1">
      <c r="A433" s="23" t="str">
        <f t="shared" si="19"/>
        <v/>
      </c>
      <c r="B433" t="str">
        <f t="shared" si="20"/>
        <v/>
      </c>
      <c r="C433" s="23" t="str">
        <f t="shared" si="21"/>
        <v/>
      </c>
      <c r="E433" s="24" t="str">
        <f>IF(NOT(ISBLANK(G5copy!B433)),G5copy!B433,"")</f>
        <v/>
      </c>
      <c r="F433" s="24" t="str">
        <f>IF(E433&lt;&gt;"",G5copy!A433,"")</f>
        <v/>
      </c>
      <c r="G433" s="24" t="str">
        <f>IF(E433&lt;&gt;"",G5copy!F433,"")</f>
        <v/>
      </c>
    </row>
    <row r="434" spans="1:7" ht="15.75" customHeight="1">
      <c r="A434" s="23" t="str">
        <f t="shared" si="19"/>
        <v/>
      </c>
      <c r="B434" t="str">
        <f t="shared" si="20"/>
        <v/>
      </c>
      <c r="C434" s="23" t="str">
        <f t="shared" si="21"/>
        <v/>
      </c>
      <c r="E434" s="24" t="str">
        <f>IF(NOT(ISBLANK(G5copy!B434)),G5copy!B434,"")</f>
        <v/>
      </c>
      <c r="F434" s="24" t="str">
        <f>IF(E434&lt;&gt;"",G5copy!A434,"")</f>
        <v/>
      </c>
      <c r="G434" s="24" t="str">
        <f>IF(E434&lt;&gt;"",G5copy!F434,"")</f>
        <v/>
      </c>
    </row>
    <row r="435" spans="1:7" ht="15.75" customHeight="1">
      <c r="A435" s="23" t="str">
        <f t="shared" si="19"/>
        <v/>
      </c>
      <c r="B435" t="str">
        <f t="shared" si="20"/>
        <v/>
      </c>
      <c r="C435" s="23" t="str">
        <f t="shared" si="21"/>
        <v/>
      </c>
      <c r="E435" s="24" t="str">
        <f>IF(NOT(ISBLANK(G5copy!B435)),G5copy!B435,"")</f>
        <v/>
      </c>
      <c r="F435" s="24" t="str">
        <f>IF(E435&lt;&gt;"",G5copy!A435,"")</f>
        <v/>
      </c>
      <c r="G435" s="24" t="str">
        <f>IF(E435&lt;&gt;"",G5copy!F435,"")</f>
        <v/>
      </c>
    </row>
    <row r="436" spans="1:7" ht="15.75" customHeight="1">
      <c r="A436" s="23" t="str">
        <f t="shared" si="19"/>
        <v/>
      </c>
      <c r="B436" t="str">
        <f t="shared" si="20"/>
        <v/>
      </c>
      <c r="C436" s="23" t="str">
        <f t="shared" si="21"/>
        <v/>
      </c>
      <c r="E436" s="24" t="str">
        <f>IF(NOT(ISBLANK(G5copy!B436)),G5copy!B436,"")</f>
        <v/>
      </c>
      <c r="F436" s="24" t="str">
        <f>IF(E436&lt;&gt;"",G5copy!A436,"")</f>
        <v/>
      </c>
      <c r="G436" s="24" t="str">
        <f>IF(E436&lt;&gt;"",G5copy!F436,"")</f>
        <v/>
      </c>
    </row>
    <row r="437" spans="1:7" ht="15.75" customHeight="1">
      <c r="A437" s="23" t="str">
        <f t="shared" si="19"/>
        <v/>
      </c>
      <c r="B437" t="str">
        <f t="shared" si="20"/>
        <v/>
      </c>
      <c r="C437" s="23" t="str">
        <f t="shared" si="21"/>
        <v/>
      </c>
      <c r="E437" s="24" t="str">
        <f>IF(NOT(ISBLANK(G5copy!B437)),G5copy!B437,"")</f>
        <v/>
      </c>
      <c r="F437" s="24" t="str">
        <f>IF(E437&lt;&gt;"",G5copy!A437,"")</f>
        <v/>
      </c>
      <c r="G437" s="24" t="str">
        <f>IF(E437&lt;&gt;"",G5copy!F437,"")</f>
        <v/>
      </c>
    </row>
    <row r="438" spans="1:7" ht="15.75" customHeight="1">
      <c r="A438" s="23" t="str">
        <f t="shared" si="19"/>
        <v/>
      </c>
      <c r="B438" t="str">
        <f t="shared" si="20"/>
        <v/>
      </c>
      <c r="C438" s="23" t="str">
        <f t="shared" si="21"/>
        <v/>
      </c>
      <c r="E438" s="24" t="str">
        <f>IF(NOT(ISBLANK(G5copy!B438)),G5copy!B438,"")</f>
        <v/>
      </c>
      <c r="F438" s="24" t="str">
        <f>IF(E438&lt;&gt;"",G5copy!A438,"")</f>
        <v/>
      </c>
      <c r="G438" s="24" t="str">
        <f>IF(E438&lt;&gt;"",G5copy!F438,"")</f>
        <v/>
      </c>
    </row>
    <row r="439" spans="1:7" ht="15.75" customHeight="1">
      <c r="A439" s="23" t="str">
        <f t="shared" si="19"/>
        <v/>
      </c>
      <c r="B439" t="str">
        <f t="shared" si="20"/>
        <v/>
      </c>
      <c r="C439" s="23" t="str">
        <f t="shared" si="21"/>
        <v/>
      </c>
      <c r="E439" s="24" t="str">
        <f>IF(NOT(ISBLANK(G5copy!B439)),G5copy!B439,"")</f>
        <v/>
      </c>
      <c r="F439" s="24" t="str">
        <f>IF(E439&lt;&gt;"",G5copy!A439,"")</f>
        <v/>
      </c>
      <c r="G439" s="24" t="str">
        <f>IF(E439&lt;&gt;"",G5copy!F439,"")</f>
        <v/>
      </c>
    </row>
    <row r="440" spans="1:7" ht="15.75" customHeight="1">
      <c r="A440" s="23" t="str">
        <f t="shared" si="19"/>
        <v/>
      </c>
      <c r="B440" t="str">
        <f t="shared" si="20"/>
        <v/>
      </c>
      <c r="C440" s="23" t="str">
        <f t="shared" si="21"/>
        <v/>
      </c>
      <c r="E440" s="24" t="str">
        <f>IF(NOT(ISBLANK(G5copy!B440)),G5copy!B440,"")</f>
        <v/>
      </c>
      <c r="F440" s="24" t="str">
        <f>IF(E440&lt;&gt;"",G5copy!A440,"")</f>
        <v/>
      </c>
      <c r="G440" s="24" t="str">
        <f>IF(E440&lt;&gt;"",G5copy!F440,"")</f>
        <v/>
      </c>
    </row>
    <row r="441" spans="1:7" ht="15.75" customHeight="1">
      <c r="A441" s="23" t="str">
        <f t="shared" si="19"/>
        <v/>
      </c>
      <c r="B441" t="str">
        <f t="shared" si="20"/>
        <v/>
      </c>
      <c r="C441" s="23" t="str">
        <f t="shared" si="21"/>
        <v/>
      </c>
      <c r="E441" s="24" t="str">
        <f>IF(NOT(ISBLANK(G5copy!B441)),G5copy!B441,"")</f>
        <v/>
      </c>
      <c r="F441" s="24" t="str">
        <f>IF(E441&lt;&gt;"",G5copy!A441,"")</f>
        <v/>
      </c>
      <c r="G441" s="24" t="str">
        <f>IF(E441&lt;&gt;"",G5copy!F441,"")</f>
        <v/>
      </c>
    </row>
    <row r="442" spans="1:7" ht="15.75" customHeight="1">
      <c r="A442" s="23" t="str">
        <f t="shared" si="19"/>
        <v/>
      </c>
      <c r="B442" t="str">
        <f t="shared" si="20"/>
        <v/>
      </c>
      <c r="C442" s="23" t="str">
        <f t="shared" si="21"/>
        <v/>
      </c>
      <c r="E442" s="24" t="str">
        <f>IF(NOT(ISBLANK(G5copy!B442)),G5copy!B442,"")</f>
        <v/>
      </c>
      <c r="F442" s="24" t="str">
        <f>IF(E442&lt;&gt;"",G5copy!A442,"")</f>
        <v/>
      </c>
      <c r="G442" s="24" t="str">
        <f>IF(E442&lt;&gt;"",G5copy!F442,"")</f>
        <v/>
      </c>
    </row>
    <row r="443" spans="1:7" ht="15.75" customHeight="1">
      <c r="A443" s="23" t="str">
        <f t="shared" si="19"/>
        <v/>
      </c>
      <c r="B443" t="str">
        <f t="shared" si="20"/>
        <v/>
      </c>
      <c r="C443" s="23" t="str">
        <f t="shared" si="21"/>
        <v/>
      </c>
      <c r="E443" s="24" t="str">
        <f>IF(NOT(ISBLANK(G5copy!B443)),G5copy!B443,"")</f>
        <v/>
      </c>
      <c r="F443" s="24" t="str">
        <f>IF(E443&lt;&gt;"",G5copy!A443,"")</f>
        <v/>
      </c>
      <c r="G443" s="24" t="str">
        <f>IF(E443&lt;&gt;"",G5copy!F443,"")</f>
        <v/>
      </c>
    </row>
    <row r="444" spans="1:7" ht="15.75" customHeight="1">
      <c r="A444" s="23" t="str">
        <f t="shared" si="19"/>
        <v/>
      </c>
      <c r="B444" t="str">
        <f t="shared" si="20"/>
        <v/>
      </c>
      <c r="C444" s="23" t="str">
        <f t="shared" si="21"/>
        <v/>
      </c>
      <c r="E444" s="24" t="str">
        <f>IF(NOT(ISBLANK(G5copy!B444)),G5copy!B444,"")</f>
        <v/>
      </c>
      <c r="F444" s="24" t="str">
        <f>IF(E444&lt;&gt;"",G5copy!A444,"")</f>
        <v/>
      </c>
      <c r="G444" s="24" t="str">
        <f>IF(E444&lt;&gt;"",G5copy!F444,"")</f>
        <v/>
      </c>
    </row>
    <row r="445" spans="1:7" ht="15.75" customHeight="1">
      <c r="A445" s="23" t="str">
        <f t="shared" si="19"/>
        <v/>
      </c>
      <c r="B445" t="str">
        <f t="shared" si="20"/>
        <v/>
      </c>
      <c r="C445" s="23" t="str">
        <f t="shared" si="21"/>
        <v/>
      </c>
      <c r="E445" s="24" t="str">
        <f>IF(NOT(ISBLANK(G5copy!B445)),G5copy!B445,"")</f>
        <v/>
      </c>
      <c r="F445" s="24" t="str">
        <f>IF(E445&lt;&gt;"",G5copy!A445,"")</f>
        <v/>
      </c>
      <c r="G445" s="24" t="str">
        <f>IF(E445&lt;&gt;"",G5copy!F445,"")</f>
        <v/>
      </c>
    </row>
    <row r="446" spans="1:7" ht="15.75" customHeight="1">
      <c r="A446" s="23" t="str">
        <f t="shared" si="19"/>
        <v/>
      </c>
      <c r="B446" t="str">
        <f t="shared" si="20"/>
        <v/>
      </c>
      <c r="C446" s="23" t="str">
        <f t="shared" si="21"/>
        <v/>
      </c>
      <c r="E446" s="24" t="str">
        <f>IF(NOT(ISBLANK(G5copy!B446)),G5copy!B446,"")</f>
        <v/>
      </c>
      <c r="F446" s="24" t="str">
        <f>IF(E446&lt;&gt;"",G5copy!A446,"")</f>
        <v/>
      </c>
      <c r="G446" s="24" t="str">
        <f>IF(E446&lt;&gt;"",G5copy!F446,"")</f>
        <v/>
      </c>
    </row>
    <row r="447" spans="1:7" ht="15.75" customHeight="1">
      <c r="A447" s="23" t="str">
        <f t="shared" si="19"/>
        <v/>
      </c>
      <c r="B447" t="str">
        <f t="shared" si="20"/>
        <v/>
      </c>
      <c r="C447" s="23" t="str">
        <f t="shared" si="21"/>
        <v/>
      </c>
      <c r="E447" s="24" t="str">
        <f>IF(NOT(ISBLANK(G5copy!B447)),G5copy!B447,"")</f>
        <v/>
      </c>
      <c r="F447" s="24" t="str">
        <f>IF(E447&lt;&gt;"",G5copy!A447,"")</f>
        <v/>
      </c>
      <c r="G447" s="24" t="str">
        <f>IF(E447&lt;&gt;"",G5copy!F447,"")</f>
        <v/>
      </c>
    </row>
    <row r="448" spans="1:7" ht="15.75" customHeight="1">
      <c r="A448" s="23" t="str">
        <f t="shared" si="19"/>
        <v/>
      </c>
      <c r="B448" t="str">
        <f t="shared" si="20"/>
        <v/>
      </c>
      <c r="C448" s="23" t="str">
        <f t="shared" si="21"/>
        <v/>
      </c>
      <c r="E448" s="24" t="str">
        <f>IF(NOT(ISBLANK(G5copy!B448)),G5copy!B448,"")</f>
        <v/>
      </c>
      <c r="F448" s="24" t="str">
        <f>IF(E448&lt;&gt;"",G5copy!A448,"")</f>
        <v/>
      </c>
      <c r="G448" s="24" t="str">
        <f>IF(E448&lt;&gt;"",G5copy!F448,"")</f>
        <v/>
      </c>
    </row>
    <row r="449" spans="1:7" ht="15.75" customHeight="1">
      <c r="A449" s="23" t="str">
        <f t="shared" si="19"/>
        <v/>
      </c>
      <c r="B449" t="str">
        <f t="shared" si="20"/>
        <v/>
      </c>
      <c r="C449" s="23" t="str">
        <f t="shared" si="21"/>
        <v/>
      </c>
      <c r="E449" s="24" t="str">
        <f>IF(NOT(ISBLANK(G5copy!B449)),G5copy!B449,"")</f>
        <v/>
      </c>
      <c r="F449" s="24" t="str">
        <f>IF(E449&lt;&gt;"",G5copy!A449,"")</f>
        <v/>
      </c>
      <c r="G449" s="24" t="str">
        <f>IF(E449&lt;&gt;"",G5copy!F449,"")</f>
        <v/>
      </c>
    </row>
    <row r="450" spans="1:7" ht="15.75" customHeight="1">
      <c r="A450" s="23" t="str">
        <f t="shared" si="19"/>
        <v/>
      </c>
      <c r="B450" t="str">
        <f t="shared" si="20"/>
        <v/>
      </c>
      <c r="C450" s="23" t="str">
        <f t="shared" si="21"/>
        <v/>
      </c>
      <c r="E450" s="24" t="str">
        <f>IF(NOT(ISBLANK(G5copy!B450)),G5copy!B450,"")</f>
        <v/>
      </c>
      <c r="F450" s="24" t="str">
        <f>IF(E450&lt;&gt;"",G5copy!A450,"")</f>
        <v/>
      </c>
      <c r="G450" s="24" t="str">
        <f>IF(E450&lt;&gt;"",G5copy!F450,"")</f>
        <v/>
      </c>
    </row>
    <row r="451" spans="1:7" ht="15.75" customHeight="1">
      <c r="A451" s="23" t="str">
        <f t="shared" ref="A451:A500" si="22">IF(E451&lt;&gt;"",DATEVALUE(LEFT(E451,10)),"")</f>
        <v/>
      </c>
      <c r="B451" t="str">
        <f t="shared" ref="B451:B500" si="23">IF(LEN(F451)&gt;3,RIGHT(F451,LEN(F451)-3),"")</f>
        <v/>
      </c>
      <c r="C451" s="23" t="str">
        <f t="shared" ref="C451:C500" si="24">IF(E451&lt;&gt;"",DATEVALUE(LEFT(G451,10)),"")</f>
        <v/>
      </c>
      <c r="E451" s="24" t="str">
        <f>IF(NOT(ISBLANK(G5copy!B451)),G5copy!B451,"")</f>
        <v/>
      </c>
      <c r="F451" s="24" t="str">
        <f>IF(E451&lt;&gt;"",G5copy!A451,"")</f>
        <v/>
      </c>
      <c r="G451" s="24" t="str">
        <f>IF(E451&lt;&gt;"",G5copy!F451,"")</f>
        <v/>
      </c>
    </row>
    <row r="452" spans="1:7" ht="15.75" customHeight="1">
      <c r="A452" s="23" t="str">
        <f t="shared" si="22"/>
        <v/>
      </c>
      <c r="B452" t="str">
        <f t="shared" si="23"/>
        <v/>
      </c>
      <c r="C452" s="23" t="str">
        <f t="shared" si="24"/>
        <v/>
      </c>
      <c r="E452" s="24" t="str">
        <f>IF(NOT(ISBLANK(G5copy!B452)),G5copy!B452,"")</f>
        <v/>
      </c>
      <c r="F452" s="24" t="str">
        <f>IF(E452&lt;&gt;"",G5copy!A452,"")</f>
        <v/>
      </c>
      <c r="G452" s="24" t="str">
        <f>IF(E452&lt;&gt;"",G5copy!F452,"")</f>
        <v/>
      </c>
    </row>
    <row r="453" spans="1:7" ht="15.75" customHeight="1">
      <c r="A453" s="23" t="str">
        <f t="shared" si="22"/>
        <v/>
      </c>
      <c r="B453" t="str">
        <f t="shared" si="23"/>
        <v/>
      </c>
      <c r="C453" s="23" t="str">
        <f t="shared" si="24"/>
        <v/>
      </c>
      <c r="E453" s="24" t="str">
        <f>IF(NOT(ISBLANK(G5copy!B453)),G5copy!B453,"")</f>
        <v/>
      </c>
      <c r="F453" s="24" t="str">
        <f>IF(E453&lt;&gt;"",G5copy!A453,"")</f>
        <v/>
      </c>
      <c r="G453" s="24" t="str">
        <f>IF(E453&lt;&gt;"",G5copy!F453,"")</f>
        <v/>
      </c>
    </row>
    <row r="454" spans="1:7" ht="15.75" customHeight="1">
      <c r="A454" s="23" t="str">
        <f t="shared" si="22"/>
        <v/>
      </c>
      <c r="B454" t="str">
        <f t="shared" si="23"/>
        <v/>
      </c>
      <c r="C454" s="23" t="str">
        <f t="shared" si="24"/>
        <v/>
      </c>
      <c r="E454" s="24" t="str">
        <f>IF(NOT(ISBLANK(G5copy!B454)),G5copy!B454,"")</f>
        <v/>
      </c>
      <c r="F454" s="24" t="str">
        <f>IF(E454&lt;&gt;"",G5copy!A454,"")</f>
        <v/>
      </c>
      <c r="G454" s="24" t="str">
        <f>IF(E454&lt;&gt;"",G5copy!F454,"")</f>
        <v/>
      </c>
    </row>
    <row r="455" spans="1:7" ht="15.75" customHeight="1">
      <c r="A455" s="23" t="str">
        <f t="shared" si="22"/>
        <v/>
      </c>
      <c r="B455" t="str">
        <f t="shared" si="23"/>
        <v/>
      </c>
      <c r="C455" s="23" t="str">
        <f t="shared" si="24"/>
        <v/>
      </c>
      <c r="E455" s="24" t="str">
        <f>IF(NOT(ISBLANK(G5copy!B455)),G5copy!B455,"")</f>
        <v/>
      </c>
      <c r="F455" s="24" t="str">
        <f>IF(E455&lt;&gt;"",G5copy!A455,"")</f>
        <v/>
      </c>
      <c r="G455" s="24" t="str">
        <f>IF(E455&lt;&gt;"",G5copy!F455,"")</f>
        <v/>
      </c>
    </row>
    <row r="456" spans="1:7" ht="15.75" customHeight="1">
      <c r="A456" s="23" t="str">
        <f t="shared" si="22"/>
        <v/>
      </c>
      <c r="B456" t="str">
        <f t="shared" si="23"/>
        <v/>
      </c>
      <c r="C456" s="23" t="str">
        <f t="shared" si="24"/>
        <v/>
      </c>
      <c r="E456" s="24" t="str">
        <f>IF(NOT(ISBLANK(G5copy!B456)),G5copy!B456,"")</f>
        <v/>
      </c>
      <c r="F456" s="24" t="str">
        <f>IF(E456&lt;&gt;"",G5copy!A456,"")</f>
        <v/>
      </c>
      <c r="G456" s="24" t="str">
        <f>IF(E456&lt;&gt;"",G5copy!F456,"")</f>
        <v/>
      </c>
    </row>
    <row r="457" spans="1:7" ht="15.75" customHeight="1">
      <c r="A457" s="23" t="str">
        <f t="shared" si="22"/>
        <v/>
      </c>
      <c r="B457" t="str">
        <f t="shared" si="23"/>
        <v/>
      </c>
      <c r="C457" s="23" t="str">
        <f t="shared" si="24"/>
        <v/>
      </c>
      <c r="E457" s="24" t="str">
        <f>IF(NOT(ISBLANK(G5copy!B457)),G5copy!B457,"")</f>
        <v/>
      </c>
      <c r="F457" s="24" t="str">
        <f>IF(E457&lt;&gt;"",G5copy!A457,"")</f>
        <v/>
      </c>
      <c r="G457" s="24" t="str">
        <f>IF(E457&lt;&gt;"",G5copy!F457,"")</f>
        <v/>
      </c>
    </row>
    <row r="458" spans="1:7" ht="15.75" customHeight="1">
      <c r="A458" s="23" t="str">
        <f t="shared" si="22"/>
        <v/>
      </c>
      <c r="B458" t="str">
        <f t="shared" si="23"/>
        <v/>
      </c>
      <c r="C458" s="23" t="str">
        <f t="shared" si="24"/>
        <v/>
      </c>
      <c r="E458" s="24" t="str">
        <f>IF(NOT(ISBLANK(G5copy!B458)),G5copy!B458,"")</f>
        <v/>
      </c>
      <c r="F458" s="24" t="str">
        <f>IF(E458&lt;&gt;"",G5copy!A458,"")</f>
        <v/>
      </c>
      <c r="G458" s="24" t="str">
        <f>IF(E458&lt;&gt;"",G5copy!F458,"")</f>
        <v/>
      </c>
    </row>
    <row r="459" spans="1:7" ht="15.75" customHeight="1">
      <c r="A459" s="23" t="str">
        <f t="shared" si="22"/>
        <v/>
      </c>
      <c r="B459" t="str">
        <f t="shared" si="23"/>
        <v/>
      </c>
      <c r="C459" s="23" t="str">
        <f t="shared" si="24"/>
        <v/>
      </c>
      <c r="E459" s="24" t="str">
        <f>IF(NOT(ISBLANK(G5copy!B459)),G5copy!B459,"")</f>
        <v/>
      </c>
      <c r="F459" s="24" t="str">
        <f>IF(E459&lt;&gt;"",G5copy!A459,"")</f>
        <v/>
      </c>
      <c r="G459" s="24" t="str">
        <f>IF(E459&lt;&gt;"",G5copy!F459,"")</f>
        <v/>
      </c>
    </row>
    <row r="460" spans="1:7" ht="15.75" customHeight="1">
      <c r="A460" s="23" t="str">
        <f t="shared" si="22"/>
        <v/>
      </c>
      <c r="B460" t="str">
        <f t="shared" si="23"/>
        <v/>
      </c>
      <c r="C460" s="23" t="str">
        <f t="shared" si="24"/>
        <v/>
      </c>
      <c r="E460" s="24" t="str">
        <f>IF(NOT(ISBLANK(G5copy!B460)),G5copy!B460,"")</f>
        <v/>
      </c>
      <c r="F460" s="24" t="str">
        <f>IF(E460&lt;&gt;"",G5copy!A460,"")</f>
        <v/>
      </c>
      <c r="G460" s="24" t="str">
        <f>IF(E460&lt;&gt;"",G5copy!F460,"")</f>
        <v/>
      </c>
    </row>
    <row r="461" spans="1:7" ht="15.75" customHeight="1">
      <c r="A461" s="23" t="str">
        <f t="shared" si="22"/>
        <v/>
      </c>
      <c r="B461" t="str">
        <f t="shared" si="23"/>
        <v/>
      </c>
      <c r="C461" s="23" t="str">
        <f t="shared" si="24"/>
        <v/>
      </c>
      <c r="E461" s="24" t="str">
        <f>IF(NOT(ISBLANK(G5copy!B461)),G5copy!B461,"")</f>
        <v/>
      </c>
      <c r="F461" s="24" t="str">
        <f>IF(E461&lt;&gt;"",G5copy!A461,"")</f>
        <v/>
      </c>
      <c r="G461" s="24" t="str">
        <f>IF(E461&lt;&gt;"",G5copy!F461,"")</f>
        <v/>
      </c>
    </row>
    <row r="462" spans="1:7" ht="15.75" customHeight="1">
      <c r="A462" s="23" t="str">
        <f t="shared" si="22"/>
        <v/>
      </c>
      <c r="B462" t="str">
        <f t="shared" si="23"/>
        <v/>
      </c>
      <c r="C462" s="23" t="str">
        <f t="shared" si="24"/>
        <v/>
      </c>
      <c r="E462" s="24" t="str">
        <f>IF(NOT(ISBLANK(G5copy!B462)),G5copy!B462,"")</f>
        <v/>
      </c>
      <c r="F462" s="24" t="str">
        <f>IF(E462&lt;&gt;"",G5copy!A462,"")</f>
        <v/>
      </c>
      <c r="G462" s="24" t="str">
        <f>IF(E462&lt;&gt;"",G5copy!F462,"")</f>
        <v/>
      </c>
    </row>
    <row r="463" spans="1:7" ht="15.75" customHeight="1">
      <c r="A463" s="23" t="str">
        <f t="shared" si="22"/>
        <v/>
      </c>
      <c r="B463" t="str">
        <f t="shared" si="23"/>
        <v/>
      </c>
      <c r="C463" s="23" t="str">
        <f t="shared" si="24"/>
        <v/>
      </c>
      <c r="E463" s="24" t="str">
        <f>IF(NOT(ISBLANK(G5copy!B463)),G5copy!B463,"")</f>
        <v/>
      </c>
      <c r="F463" s="24" t="str">
        <f>IF(E463&lt;&gt;"",G5copy!A463,"")</f>
        <v/>
      </c>
      <c r="G463" s="24" t="str">
        <f>IF(E463&lt;&gt;"",G5copy!F463,"")</f>
        <v/>
      </c>
    </row>
    <row r="464" spans="1:7" ht="15.75" customHeight="1">
      <c r="A464" s="23" t="str">
        <f t="shared" si="22"/>
        <v/>
      </c>
      <c r="B464" t="str">
        <f t="shared" si="23"/>
        <v/>
      </c>
      <c r="C464" s="23" t="str">
        <f t="shared" si="24"/>
        <v/>
      </c>
      <c r="E464" s="24" t="str">
        <f>IF(NOT(ISBLANK(G5copy!B464)),G5copy!B464,"")</f>
        <v/>
      </c>
      <c r="F464" s="24" t="str">
        <f>IF(E464&lt;&gt;"",G5copy!A464,"")</f>
        <v/>
      </c>
      <c r="G464" s="24" t="str">
        <f>IF(E464&lt;&gt;"",G5copy!F464,"")</f>
        <v/>
      </c>
    </row>
    <row r="465" spans="1:7" ht="15.75" customHeight="1">
      <c r="A465" s="23" t="str">
        <f t="shared" si="22"/>
        <v/>
      </c>
      <c r="B465" t="str">
        <f t="shared" si="23"/>
        <v/>
      </c>
      <c r="C465" s="23" t="str">
        <f t="shared" si="24"/>
        <v/>
      </c>
      <c r="E465" s="24" t="str">
        <f>IF(NOT(ISBLANK(G5copy!B465)),G5copy!B465,"")</f>
        <v/>
      </c>
      <c r="F465" s="24" t="str">
        <f>IF(E465&lt;&gt;"",G5copy!A465,"")</f>
        <v/>
      </c>
      <c r="G465" s="24" t="str">
        <f>IF(E465&lt;&gt;"",G5copy!F465,"")</f>
        <v/>
      </c>
    </row>
    <row r="466" spans="1:7" ht="15.75" customHeight="1">
      <c r="A466" s="23" t="str">
        <f t="shared" si="22"/>
        <v/>
      </c>
      <c r="B466" t="str">
        <f t="shared" si="23"/>
        <v/>
      </c>
      <c r="C466" s="23" t="str">
        <f t="shared" si="24"/>
        <v/>
      </c>
      <c r="E466" s="24" t="str">
        <f>IF(NOT(ISBLANK(G5copy!B466)),G5copy!B466,"")</f>
        <v/>
      </c>
      <c r="F466" s="24" t="str">
        <f>IF(E466&lt;&gt;"",G5copy!A466,"")</f>
        <v/>
      </c>
      <c r="G466" s="24" t="str">
        <f>IF(E466&lt;&gt;"",G5copy!F466,"")</f>
        <v/>
      </c>
    </row>
    <row r="467" spans="1:7" ht="15.75" customHeight="1">
      <c r="A467" s="23" t="str">
        <f t="shared" si="22"/>
        <v/>
      </c>
      <c r="B467" t="str">
        <f t="shared" si="23"/>
        <v/>
      </c>
      <c r="C467" s="23" t="str">
        <f t="shared" si="24"/>
        <v/>
      </c>
      <c r="E467" s="24" t="str">
        <f>IF(NOT(ISBLANK(G5copy!B467)),G5copy!B467,"")</f>
        <v/>
      </c>
      <c r="F467" s="24" t="str">
        <f>IF(E467&lt;&gt;"",G5copy!A467,"")</f>
        <v/>
      </c>
      <c r="G467" s="24" t="str">
        <f>IF(E467&lt;&gt;"",G5copy!F467,"")</f>
        <v/>
      </c>
    </row>
    <row r="468" spans="1:7" ht="15.75" customHeight="1">
      <c r="A468" s="23" t="str">
        <f t="shared" si="22"/>
        <v/>
      </c>
      <c r="B468" t="str">
        <f t="shared" si="23"/>
        <v/>
      </c>
      <c r="C468" s="23" t="str">
        <f t="shared" si="24"/>
        <v/>
      </c>
      <c r="E468" s="24" t="str">
        <f>IF(NOT(ISBLANK(G5copy!B468)),G5copy!B468,"")</f>
        <v/>
      </c>
      <c r="F468" s="24" t="str">
        <f>IF(E468&lt;&gt;"",G5copy!A468,"")</f>
        <v/>
      </c>
      <c r="G468" s="24" t="str">
        <f>IF(E468&lt;&gt;"",G5copy!F468,"")</f>
        <v/>
      </c>
    </row>
    <row r="469" spans="1:7" ht="15.75" customHeight="1">
      <c r="A469" s="23" t="str">
        <f t="shared" si="22"/>
        <v/>
      </c>
      <c r="B469" t="str">
        <f t="shared" si="23"/>
        <v/>
      </c>
      <c r="C469" s="23" t="str">
        <f t="shared" si="24"/>
        <v/>
      </c>
      <c r="E469" s="24" t="str">
        <f>IF(NOT(ISBLANK(G5copy!B469)),G5copy!B469,"")</f>
        <v/>
      </c>
      <c r="F469" s="24" t="str">
        <f>IF(E469&lt;&gt;"",G5copy!A469,"")</f>
        <v/>
      </c>
      <c r="G469" s="24" t="str">
        <f>IF(E469&lt;&gt;"",G5copy!F469,"")</f>
        <v/>
      </c>
    </row>
    <row r="470" spans="1:7" ht="15.75" customHeight="1">
      <c r="A470" s="23" t="str">
        <f t="shared" si="22"/>
        <v/>
      </c>
      <c r="B470" t="str">
        <f t="shared" si="23"/>
        <v/>
      </c>
      <c r="C470" s="23" t="str">
        <f t="shared" si="24"/>
        <v/>
      </c>
      <c r="E470" s="24" t="str">
        <f>IF(NOT(ISBLANK(G5copy!B470)),G5copy!B470,"")</f>
        <v/>
      </c>
      <c r="F470" s="24" t="str">
        <f>IF(E470&lt;&gt;"",G5copy!A470,"")</f>
        <v/>
      </c>
      <c r="G470" s="24" t="str">
        <f>IF(E470&lt;&gt;"",G5copy!F470,"")</f>
        <v/>
      </c>
    </row>
    <row r="471" spans="1:7" ht="15.75" customHeight="1">
      <c r="A471" s="23" t="str">
        <f t="shared" si="22"/>
        <v/>
      </c>
      <c r="B471" t="str">
        <f t="shared" si="23"/>
        <v/>
      </c>
      <c r="C471" s="23" t="str">
        <f t="shared" si="24"/>
        <v/>
      </c>
      <c r="E471" s="24" t="str">
        <f>IF(NOT(ISBLANK(G5copy!B471)),G5copy!B471,"")</f>
        <v/>
      </c>
      <c r="F471" s="24" t="str">
        <f>IF(E471&lt;&gt;"",G5copy!A471,"")</f>
        <v/>
      </c>
      <c r="G471" s="24" t="str">
        <f>IF(E471&lt;&gt;"",G5copy!F471,"")</f>
        <v/>
      </c>
    </row>
    <row r="472" spans="1:7" ht="15.75" customHeight="1">
      <c r="A472" s="23" t="str">
        <f t="shared" si="22"/>
        <v/>
      </c>
      <c r="B472" t="str">
        <f t="shared" si="23"/>
        <v/>
      </c>
      <c r="C472" s="23" t="str">
        <f t="shared" si="24"/>
        <v/>
      </c>
      <c r="E472" s="24" t="str">
        <f>IF(NOT(ISBLANK(G5copy!B472)),G5copy!B472,"")</f>
        <v/>
      </c>
      <c r="F472" s="24" t="str">
        <f>IF(E472&lt;&gt;"",G5copy!A472,"")</f>
        <v/>
      </c>
      <c r="G472" s="24" t="str">
        <f>IF(E472&lt;&gt;"",G5copy!F472,"")</f>
        <v/>
      </c>
    </row>
    <row r="473" spans="1:7" ht="15.75" customHeight="1">
      <c r="A473" s="23" t="str">
        <f t="shared" si="22"/>
        <v/>
      </c>
      <c r="B473" t="str">
        <f t="shared" si="23"/>
        <v/>
      </c>
      <c r="C473" s="23" t="str">
        <f t="shared" si="24"/>
        <v/>
      </c>
      <c r="E473" s="24" t="str">
        <f>IF(NOT(ISBLANK(G5copy!B473)),G5copy!B473,"")</f>
        <v/>
      </c>
      <c r="F473" s="24" t="str">
        <f>IF(E473&lt;&gt;"",G5copy!A473,"")</f>
        <v/>
      </c>
      <c r="G473" s="24" t="str">
        <f>IF(E473&lt;&gt;"",G5copy!F473,"")</f>
        <v/>
      </c>
    </row>
    <row r="474" spans="1:7" ht="15.75" customHeight="1">
      <c r="A474" s="23" t="str">
        <f t="shared" si="22"/>
        <v/>
      </c>
      <c r="B474" t="str">
        <f t="shared" si="23"/>
        <v/>
      </c>
      <c r="C474" s="23" t="str">
        <f t="shared" si="24"/>
        <v/>
      </c>
      <c r="E474" s="24" t="str">
        <f>IF(NOT(ISBLANK(G5copy!B474)),G5copy!B474,"")</f>
        <v/>
      </c>
      <c r="F474" s="24" t="str">
        <f>IF(E474&lt;&gt;"",G5copy!A474,"")</f>
        <v/>
      </c>
      <c r="G474" s="24" t="str">
        <f>IF(E474&lt;&gt;"",G5copy!F474,"")</f>
        <v/>
      </c>
    </row>
    <row r="475" spans="1:7" ht="15.75" customHeight="1">
      <c r="A475" s="23" t="str">
        <f t="shared" si="22"/>
        <v/>
      </c>
      <c r="B475" t="str">
        <f t="shared" si="23"/>
        <v/>
      </c>
      <c r="C475" s="23" t="str">
        <f t="shared" si="24"/>
        <v/>
      </c>
      <c r="E475" s="24" t="str">
        <f>IF(NOT(ISBLANK(G5copy!B475)),G5copy!B475,"")</f>
        <v/>
      </c>
      <c r="F475" s="24" t="str">
        <f>IF(E475&lt;&gt;"",G5copy!A475,"")</f>
        <v/>
      </c>
      <c r="G475" s="24" t="str">
        <f>IF(E475&lt;&gt;"",G5copy!F475,"")</f>
        <v/>
      </c>
    </row>
    <row r="476" spans="1:7" ht="15.75" customHeight="1">
      <c r="A476" s="23" t="str">
        <f t="shared" si="22"/>
        <v/>
      </c>
      <c r="B476" t="str">
        <f t="shared" si="23"/>
        <v/>
      </c>
      <c r="C476" s="23" t="str">
        <f t="shared" si="24"/>
        <v/>
      </c>
      <c r="E476" s="24" t="str">
        <f>IF(NOT(ISBLANK(G5copy!B476)),G5copy!B476,"")</f>
        <v/>
      </c>
      <c r="F476" s="24" t="str">
        <f>IF(E476&lt;&gt;"",G5copy!A476,"")</f>
        <v/>
      </c>
      <c r="G476" s="24" t="str">
        <f>IF(E476&lt;&gt;"",G5copy!F476,"")</f>
        <v/>
      </c>
    </row>
    <row r="477" spans="1:7" ht="15.75" customHeight="1">
      <c r="A477" s="23" t="str">
        <f t="shared" si="22"/>
        <v/>
      </c>
      <c r="B477" t="str">
        <f t="shared" si="23"/>
        <v/>
      </c>
      <c r="C477" s="23" t="str">
        <f t="shared" si="24"/>
        <v/>
      </c>
      <c r="E477" s="24" t="str">
        <f>IF(NOT(ISBLANK(G5copy!B477)),G5copy!B477,"")</f>
        <v/>
      </c>
      <c r="F477" s="24" t="str">
        <f>IF(E477&lt;&gt;"",G5copy!A477,"")</f>
        <v/>
      </c>
      <c r="G477" s="24" t="str">
        <f>IF(E477&lt;&gt;"",G5copy!F477,"")</f>
        <v/>
      </c>
    </row>
    <row r="478" spans="1:7" ht="15.75" customHeight="1">
      <c r="A478" s="23" t="str">
        <f t="shared" si="22"/>
        <v/>
      </c>
      <c r="B478" t="str">
        <f t="shared" si="23"/>
        <v/>
      </c>
      <c r="C478" s="23" t="str">
        <f t="shared" si="24"/>
        <v/>
      </c>
      <c r="E478" s="24" t="str">
        <f>IF(NOT(ISBLANK(G5copy!B478)),G5copy!B478,"")</f>
        <v/>
      </c>
      <c r="F478" s="24" t="str">
        <f>IF(E478&lt;&gt;"",G5copy!A478,"")</f>
        <v/>
      </c>
      <c r="G478" s="24" t="str">
        <f>IF(E478&lt;&gt;"",G5copy!F478,"")</f>
        <v/>
      </c>
    </row>
    <row r="479" spans="1:7" ht="15.75" customHeight="1">
      <c r="A479" s="23" t="str">
        <f t="shared" si="22"/>
        <v/>
      </c>
      <c r="B479" t="str">
        <f t="shared" si="23"/>
        <v/>
      </c>
      <c r="C479" s="23" t="str">
        <f t="shared" si="24"/>
        <v/>
      </c>
      <c r="E479" s="24" t="str">
        <f>IF(NOT(ISBLANK(G5copy!B479)),G5copy!B479,"")</f>
        <v/>
      </c>
      <c r="F479" s="24" t="str">
        <f>IF(E479&lt;&gt;"",G5copy!A479,"")</f>
        <v/>
      </c>
      <c r="G479" s="24" t="str">
        <f>IF(E479&lt;&gt;"",G5copy!F479,"")</f>
        <v/>
      </c>
    </row>
    <row r="480" spans="1:7" ht="15.75" customHeight="1">
      <c r="A480" s="23" t="str">
        <f t="shared" si="22"/>
        <v/>
      </c>
      <c r="B480" t="str">
        <f t="shared" si="23"/>
        <v/>
      </c>
      <c r="C480" s="23" t="str">
        <f t="shared" si="24"/>
        <v/>
      </c>
      <c r="E480" s="24" t="str">
        <f>IF(NOT(ISBLANK(G5copy!B480)),G5copy!B480,"")</f>
        <v/>
      </c>
      <c r="F480" s="24" t="str">
        <f>IF(E480&lt;&gt;"",G5copy!A480,"")</f>
        <v/>
      </c>
      <c r="G480" s="24" t="str">
        <f>IF(E480&lt;&gt;"",G5copy!F480,"")</f>
        <v/>
      </c>
    </row>
    <row r="481" spans="1:7" ht="15.75" customHeight="1">
      <c r="A481" s="23" t="str">
        <f t="shared" si="22"/>
        <v/>
      </c>
      <c r="B481" t="str">
        <f t="shared" si="23"/>
        <v/>
      </c>
      <c r="C481" s="23" t="str">
        <f t="shared" si="24"/>
        <v/>
      </c>
      <c r="E481" s="24" t="str">
        <f>IF(NOT(ISBLANK(G5copy!B481)),G5copy!B481,"")</f>
        <v/>
      </c>
      <c r="F481" s="24" t="str">
        <f>IF(E481&lt;&gt;"",G5copy!A481,"")</f>
        <v/>
      </c>
      <c r="G481" s="24" t="str">
        <f>IF(E481&lt;&gt;"",G5copy!F481,"")</f>
        <v/>
      </c>
    </row>
    <row r="482" spans="1:7" ht="15.75" customHeight="1">
      <c r="A482" s="23" t="str">
        <f t="shared" si="22"/>
        <v/>
      </c>
      <c r="B482" t="str">
        <f t="shared" si="23"/>
        <v/>
      </c>
      <c r="C482" s="23" t="str">
        <f t="shared" si="24"/>
        <v/>
      </c>
      <c r="E482" s="24" t="str">
        <f>IF(NOT(ISBLANK(G5copy!B482)),G5copy!B482,"")</f>
        <v/>
      </c>
      <c r="F482" s="24" t="str">
        <f>IF(E482&lt;&gt;"",G5copy!A482,"")</f>
        <v/>
      </c>
      <c r="G482" s="24" t="str">
        <f>IF(E482&lt;&gt;"",G5copy!F482,"")</f>
        <v/>
      </c>
    </row>
    <row r="483" spans="1:7" ht="15.75" customHeight="1">
      <c r="A483" s="23" t="str">
        <f t="shared" si="22"/>
        <v/>
      </c>
      <c r="B483" t="str">
        <f t="shared" si="23"/>
        <v/>
      </c>
      <c r="C483" s="23" t="str">
        <f t="shared" si="24"/>
        <v/>
      </c>
      <c r="E483" s="24" t="str">
        <f>IF(NOT(ISBLANK(G5copy!B483)),G5copy!B483,"")</f>
        <v/>
      </c>
      <c r="F483" s="24" t="str">
        <f>IF(E483&lt;&gt;"",G5copy!A483,"")</f>
        <v/>
      </c>
      <c r="G483" s="24" t="str">
        <f>IF(E483&lt;&gt;"",G5copy!F483,"")</f>
        <v/>
      </c>
    </row>
    <row r="484" spans="1:7" ht="15.75" customHeight="1">
      <c r="A484" s="23" t="str">
        <f t="shared" si="22"/>
        <v/>
      </c>
      <c r="B484" t="str">
        <f t="shared" si="23"/>
        <v/>
      </c>
      <c r="C484" s="23" t="str">
        <f t="shared" si="24"/>
        <v/>
      </c>
      <c r="E484" s="24" t="str">
        <f>IF(NOT(ISBLANK(G5copy!B484)),G5copy!B484,"")</f>
        <v/>
      </c>
      <c r="F484" s="24" t="str">
        <f>IF(E484&lt;&gt;"",G5copy!A484,"")</f>
        <v/>
      </c>
      <c r="G484" s="24" t="str">
        <f>IF(E484&lt;&gt;"",G5copy!F484,"")</f>
        <v/>
      </c>
    </row>
    <row r="485" spans="1:7" ht="15.75" customHeight="1">
      <c r="A485" s="23" t="str">
        <f t="shared" si="22"/>
        <v/>
      </c>
      <c r="B485" t="str">
        <f t="shared" si="23"/>
        <v/>
      </c>
      <c r="C485" s="23" t="str">
        <f t="shared" si="24"/>
        <v/>
      </c>
      <c r="E485" s="24" t="str">
        <f>IF(NOT(ISBLANK(G5copy!B485)),G5copy!B485,"")</f>
        <v/>
      </c>
      <c r="F485" s="24" t="str">
        <f>IF(E485&lt;&gt;"",G5copy!A485,"")</f>
        <v/>
      </c>
      <c r="G485" s="24" t="str">
        <f>IF(E485&lt;&gt;"",G5copy!F485,"")</f>
        <v/>
      </c>
    </row>
    <row r="486" spans="1:7" ht="15.75" customHeight="1">
      <c r="A486" s="23" t="str">
        <f t="shared" si="22"/>
        <v/>
      </c>
      <c r="B486" t="str">
        <f t="shared" si="23"/>
        <v/>
      </c>
      <c r="C486" s="23" t="str">
        <f t="shared" si="24"/>
        <v/>
      </c>
      <c r="E486" s="24" t="str">
        <f>IF(NOT(ISBLANK(G5copy!B486)),G5copy!B486,"")</f>
        <v/>
      </c>
      <c r="F486" s="24" t="str">
        <f>IF(E486&lt;&gt;"",G5copy!A486,"")</f>
        <v/>
      </c>
      <c r="G486" s="24" t="str">
        <f>IF(E486&lt;&gt;"",G5copy!F486,"")</f>
        <v/>
      </c>
    </row>
    <row r="487" spans="1:7" ht="15.75" customHeight="1">
      <c r="A487" s="23" t="str">
        <f t="shared" si="22"/>
        <v/>
      </c>
      <c r="B487" t="str">
        <f t="shared" si="23"/>
        <v/>
      </c>
      <c r="C487" s="23" t="str">
        <f t="shared" si="24"/>
        <v/>
      </c>
      <c r="E487" s="24" t="str">
        <f>IF(NOT(ISBLANK(G5copy!B487)),G5copy!B487,"")</f>
        <v/>
      </c>
      <c r="F487" s="24" t="str">
        <f>IF(E487&lt;&gt;"",G5copy!A487,"")</f>
        <v/>
      </c>
      <c r="G487" s="24" t="str">
        <f>IF(E487&lt;&gt;"",G5copy!F487,"")</f>
        <v/>
      </c>
    </row>
    <row r="488" spans="1:7" ht="15.75" customHeight="1">
      <c r="A488" s="23" t="str">
        <f t="shared" si="22"/>
        <v/>
      </c>
      <c r="B488" t="str">
        <f t="shared" si="23"/>
        <v/>
      </c>
      <c r="C488" s="23" t="str">
        <f t="shared" si="24"/>
        <v/>
      </c>
      <c r="E488" s="24" t="str">
        <f>IF(NOT(ISBLANK(G5copy!B488)),G5copy!B488,"")</f>
        <v/>
      </c>
      <c r="F488" s="24" t="str">
        <f>IF(E488&lt;&gt;"",G5copy!A488,"")</f>
        <v/>
      </c>
      <c r="G488" s="24" t="str">
        <f>IF(E488&lt;&gt;"",G5copy!F488,"")</f>
        <v/>
      </c>
    </row>
    <row r="489" spans="1:7" ht="15.75" customHeight="1">
      <c r="A489" s="23" t="str">
        <f t="shared" si="22"/>
        <v/>
      </c>
      <c r="B489" t="str">
        <f t="shared" si="23"/>
        <v/>
      </c>
      <c r="C489" s="23" t="str">
        <f t="shared" si="24"/>
        <v/>
      </c>
      <c r="E489" s="24" t="str">
        <f>IF(NOT(ISBLANK(G5copy!B489)),G5copy!B489,"")</f>
        <v/>
      </c>
      <c r="F489" s="24" t="str">
        <f>IF(E489&lt;&gt;"",G5copy!A489,"")</f>
        <v/>
      </c>
      <c r="G489" s="24" t="str">
        <f>IF(E489&lt;&gt;"",G5copy!F489,"")</f>
        <v/>
      </c>
    </row>
    <row r="490" spans="1:7" ht="15.75" customHeight="1">
      <c r="A490" s="23" t="str">
        <f t="shared" si="22"/>
        <v/>
      </c>
      <c r="B490" t="str">
        <f t="shared" si="23"/>
        <v/>
      </c>
      <c r="C490" s="23" t="str">
        <f t="shared" si="24"/>
        <v/>
      </c>
      <c r="E490" s="24" t="str">
        <f>IF(NOT(ISBLANK(G5copy!B490)),G5copy!B490,"")</f>
        <v/>
      </c>
      <c r="F490" s="24" t="str">
        <f>IF(E490&lt;&gt;"",G5copy!A490,"")</f>
        <v/>
      </c>
      <c r="G490" s="24" t="str">
        <f>IF(E490&lt;&gt;"",G5copy!F490,"")</f>
        <v/>
      </c>
    </row>
    <row r="491" spans="1:7" ht="15.75" customHeight="1">
      <c r="A491" s="23" t="str">
        <f t="shared" si="22"/>
        <v/>
      </c>
      <c r="B491" t="str">
        <f t="shared" si="23"/>
        <v/>
      </c>
      <c r="C491" s="23" t="str">
        <f t="shared" si="24"/>
        <v/>
      </c>
      <c r="E491" s="24" t="str">
        <f>IF(NOT(ISBLANK(G5copy!B491)),G5copy!B491,"")</f>
        <v/>
      </c>
      <c r="F491" s="24" t="str">
        <f>IF(E491&lt;&gt;"",G5copy!A491,"")</f>
        <v/>
      </c>
      <c r="G491" s="24" t="str">
        <f>IF(E491&lt;&gt;"",G5copy!F491,"")</f>
        <v/>
      </c>
    </row>
    <row r="492" spans="1:7" ht="15.75" customHeight="1">
      <c r="A492" s="23" t="str">
        <f t="shared" si="22"/>
        <v/>
      </c>
      <c r="B492" t="str">
        <f t="shared" si="23"/>
        <v/>
      </c>
      <c r="C492" s="23" t="str">
        <f t="shared" si="24"/>
        <v/>
      </c>
      <c r="E492" s="24" t="str">
        <f>IF(NOT(ISBLANK(G5copy!B492)),G5copy!B492,"")</f>
        <v/>
      </c>
      <c r="F492" s="24" t="str">
        <f>IF(E492&lt;&gt;"",G5copy!A492,"")</f>
        <v/>
      </c>
      <c r="G492" s="24" t="str">
        <f>IF(E492&lt;&gt;"",G5copy!F492,"")</f>
        <v/>
      </c>
    </row>
    <row r="493" spans="1:7" ht="15.75" customHeight="1">
      <c r="A493" s="23" t="str">
        <f t="shared" si="22"/>
        <v/>
      </c>
      <c r="B493" t="str">
        <f t="shared" si="23"/>
        <v/>
      </c>
      <c r="C493" s="23" t="str">
        <f t="shared" si="24"/>
        <v/>
      </c>
      <c r="E493" s="24" t="str">
        <f>IF(NOT(ISBLANK(G5copy!B493)),G5copy!B493,"")</f>
        <v/>
      </c>
      <c r="F493" s="24" t="str">
        <f>IF(E493&lt;&gt;"",G5copy!A493,"")</f>
        <v/>
      </c>
      <c r="G493" s="24" t="str">
        <f>IF(E493&lt;&gt;"",G5copy!F493,"")</f>
        <v/>
      </c>
    </row>
    <row r="494" spans="1:7" ht="15.75" customHeight="1">
      <c r="A494" s="23" t="str">
        <f t="shared" si="22"/>
        <v/>
      </c>
      <c r="B494" t="str">
        <f t="shared" si="23"/>
        <v/>
      </c>
      <c r="C494" s="23" t="str">
        <f t="shared" si="24"/>
        <v/>
      </c>
      <c r="E494" s="24" t="str">
        <f>IF(NOT(ISBLANK(G5copy!B494)),G5copy!B494,"")</f>
        <v/>
      </c>
      <c r="F494" s="24" t="str">
        <f>IF(E494&lt;&gt;"",G5copy!A494,"")</f>
        <v/>
      </c>
      <c r="G494" s="24" t="str">
        <f>IF(E494&lt;&gt;"",G5copy!F494,"")</f>
        <v/>
      </c>
    </row>
    <row r="495" spans="1:7" ht="15.75" customHeight="1">
      <c r="A495" s="23" t="str">
        <f t="shared" si="22"/>
        <v/>
      </c>
      <c r="B495" t="str">
        <f t="shared" si="23"/>
        <v/>
      </c>
      <c r="C495" s="23" t="str">
        <f t="shared" si="24"/>
        <v/>
      </c>
      <c r="E495" s="24" t="str">
        <f>IF(NOT(ISBLANK(G5copy!B495)),G5copy!B495,"")</f>
        <v/>
      </c>
      <c r="F495" s="24" t="str">
        <f>IF(E495&lt;&gt;"",G5copy!A495,"")</f>
        <v/>
      </c>
      <c r="G495" s="24" t="str">
        <f>IF(E495&lt;&gt;"",G5copy!F495,"")</f>
        <v/>
      </c>
    </row>
    <row r="496" spans="1:7" ht="15.75" customHeight="1">
      <c r="A496" s="23" t="str">
        <f t="shared" si="22"/>
        <v/>
      </c>
      <c r="B496" t="str">
        <f t="shared" si="23"/>
        <v/>
      </c>
      <c r="C496" s="23" t="str">
        <f t="shared" si="24"/>
        <v/>
      </c>
      <c r="E496" s="24" t="str">
        <f>IF(NOT(ISBLANK(G5copy!B496)),G5copy!B496,"")</f>
        <v/>
      </c>
      <c r="F496" s="24" t="str">
        <f>IF(E496&lt;&gt;"",G5copy!A496,"")</f>
        <v/>
      </c>
      <c r="G496" s="24" t="str">
        <f>IF(E496&lt;&gt;"",G5copy!F496,"")</f>
        <v/>
      </c>
    </row>
    <row r="497" spans="1:7" ht="15.75" customHeight="1">
      <c r="A497" s="23" t="str">
        <f t="shared" si="22"/>
        <v/>
      </c>
      <c r="B497" t="str">
        <f t="shared" si="23"/>
        <v/>
      </c>
      <c r="C497" s="23" t="str">
        <f t="shared" si="24"/>
        <v/>
      </c>
      <c r="E497" s="24" t="str">
        <f>IF(NOT(ISBLANK(G5copy!B497)),G5copy!B497,"")</f>
        <v/>
      </c>
      <c r="F497" s="24" t="str">
        <f>IF(E497&lt;&gt;"",G5copy!A497,"")</f>
        <v/>
      </c>
      <c r="G497" s="24" t="str">
        <f>IF(E497&lt;&gt;"",G5copy!F497,"")</f>
        <v/>
      </c>
    </row>
    <row r="498" spans="1:7" ht="15.75" customHeight="1">
      <c r="A498" s="23" t="str">
        <f t="shared" si="22"/>
        <v/>
      </c>
      <c r="B498" t="str">
        <f t="shared" si="23"/>
        <v/>
      </c>
      <c r="C498" s="23" t="str">
        <f t="shared" si="24"/>
        <v/>
      </c>
      <c r="E498" s="24" t="str">
        <f>IF(NOT(ISBLANK(G5copy!B498)),G5copy!B498,"")</f>
        <v/>
      </c>
      <c r="F498" s="24" t="str">
        <f>IF(E498&lt;&gt;"",G5copy!A498,"")</f>
        <v/>
      </c>
      <c r="G498" s="24" t="str">
        <f>IF(E498&lt;&gt;"",G5copy!F498,"")</f>
        <v/>
      </c>
    </row>
    <row r="499" spans="1:7" ht="15.75" customHeight="1">
      <c r="A499" s="23" t="str">
        <f t="shared" si="22"/>
        <v/>
      </c>
      <c r="B499" t="str">
        <f t="shared" si="23"/>
        <v/>
      </c>
      <c r="C499" s="23" t="str">
        <f t="shared" si="24"/>
        <v/>
      </c>
      <c r="E499" s="24" t="str">
        <f>IF(NOT(ISBLANK(G5copy!B499)),G5copy!B499,"")</f>
        <v/>
      </c>
      <c r="F499" s="24" t="str">
        <f>IF(E499&lt;&gt;"",G5copy!A499,"")</f>
        <v/>
      </c>
      <c r="G499" s="24" t="str">
        <f>IF(E499&lt;&gt;"",G5copy!F499,"")</f>
        <v/>
      </c>
    </row>
    <row r="500" spans="1:7" ht="15.75" customHeight="1">
      <c r="A500" s="23" t="str">
        <f t="shared" si="22"/>
        <v/>
      </c>
      <c r="B500" t="str">
        <f t="shared" si="23"/>
        <v/>
      </c>
      <c r="C500" s="23" t="str">
        <f t="shared" si="24"/>
        <v/>
      </c>
      <c r="E500" s="24" t="str">
        <f>IF(NOT(ISBLANK(G5copy!B500)),G5copy!B500,"")</f>
        <v/>
      </c>
      <c r="F500" s="24" t="str">
        <f>IF(E500&lt;&gt;"",G5copy!A500,"")</f>
        <v/>
      </c>
      <c r="G500" s="24" t="str">
        <f>IF(E500&lt;&gt;"",G5copy!F500,"")</f>
        <v/>
      </c>
    </row>
    <row r="501" spans="1:7" ht="15.75" customHeight="1"/>
    <row r="502" spans="1:7" ht="15.75" customHeight="1"/>
    <row r="503" spans="1:7" ht="15.75" customHeight="1"/>
    <row r="504" spans="1:7" ht="15.75" customHeight="1"/>
    <row r="505" spans="1:7" ht="15.75" customHeight="1"/>
    <row r="506" spans="1:7" ht="15.75" customHeight="1"/>
    <row r="507" spans="1:7" ht="15.75" customHeight="1"/>
    <row r="508" spans="1:7" ht="15.75" customHeight="1"/>
    <row r="509" spans="1:7" ht="15.75" customHeight="1"/>
    <row r="510" spans="1:7" ht="15.75" customHeight="1"/>
    <row r="511" spans="1:7" ht="15.75" customHeight="1"/>
    <row r="512" spans="1:7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G1000"/>
  <sheetViews>
    <sheetView workbookViewId="0">
      <pane ySplit="1" topLeftCell="A2" activePane="bottomLeft" state="frozen"/>
      <selection pane="bottomLeft" activeCell="A2" sqref="A2"/>
      <selection activeCell="E2" sqref="E2"/>
    </sheetView>
  </sheetViews>
  <sheetFormatPr defaultColWidth="13.5" defaultRowHeight="15" customHeight="1"/>
  <cols>
    <col min="1" max="1" width="10.5" bestFit="1" customWidth="1"/>
    <col min="2" max="2" width="45" bestFit="1" customWidth="1"/>
    <col min="3" max="3" width="10.5" bestFit="1" customWidth="1"/>
    <col min="4" max="4" width="8.375" customWidth="1"/>
    <col min="5" max="5" width="10.5" bestFit="1" customWidth="1"/>
    <col min="6" max="6" width="48" bestFit="1" customWidth="1"/>
    <col min="7" max="7" width="10.5" bestFit="1" customWidth="1"/>
    <col min="8" max="26" width="8.375" customWidth="1"/>
  </cols>
  <sheetData>
    <row r="1" spans="1:7" ht="15.75" customHeight="1">
      <c r="A1" t="s">
        <v>124</v>
      </c>
      <c r="B1" t="s">
        <v>125</v>
      </c>
      <c r="C1" t="s">
        <v>126</v>
      </c>
      <c r="E1" s="5" t="s">
        <v>127</v>
      </c>
      <c r="F1" s="5" t="s">
        <v>128</v>
      </c>
      <c r="G1" s="5" t="s">
        <v>129</v>
      </c>
    </row>
    <row r="2" spans="1:7" ht="15.75" customHeight="1">
      <c r="A2" s="23">
        <f>IF(E2&lt;&gt;"",DATEVALUE(LEFT(E2,10)),"")</f>
        <v>45905</v>
      </c>
      <c r="B2" t="str">
        <f t="shared" ref="B2" si="0">IF(LEN(F2)&gt;3,RIGHT(F2,LEN(F2)-3),"")</f>
        <v>opgave herkansingen 17 uur</v>
      </c>
      <c r="C2" s="23">
        <f>IF(E2&lt;&gt;"",DATEVALUE(LEFT(G2,10)),"")</f>
        <v>45896</v>
      </c>
      <c r="E2" s="24" t="str">
        <f>IF(NOT(ISBLANK(G6copy!B2)),G6copy!B2,"")</f>
        <v>2025-09-05T00:00:00.0000000</v>
      </c>
      <c r="F2" s="24" t="str">
        <f>IF(E2&lt;&gt;"",G6copy!A2,"")</f>
        <v>G6 opgave herkansingen 17 uur</v>
      </c>
      <c r="G2" s="24" t="str">
        <f>IF(E2&lt;&gt;"",G6copy!F2,"")</f>
        <v>2025-08-27T18:06:19.6962468+00:00</v>
      </c>
    </row>
    <row r="3" spans="1:7" ht="15.75" customHeight="1">
      <c r="A3" s="23">
        <f t="shared" ref="A3:A66" si="1">IF(E3&lt;&gt;"",DATEVALUE(LEFT(E3,10)),"")</f>
        <v>45912</v>
      </c>
      <c r="B3" t="str">
        <f t="shared" ref="B3:B66" si="2">IF(LEN(F3)&gt;3,RIGHT(F3,LEN(F3)-3),"")</f>
        <v>herkansen (geen les)</v>
      </c>
      <c r="C3" s="23">
        <f t="shared" ref="C3:C66" si="3">IF(E3&lt;&gt;"",DATEVALUE(LEFT(G3,10)),"")</f>
        <v>45896</v>
      </c>
      <c r="E3" s="24" t="str">
        <f>IF(NOT(ISBLANK(G6copy!B3)),G6copy!B3,"")</f>
        <v>2025-09-12T00:00:00.0000000</v>
      </c>
      <c r="F3" s="24" t="str">
        <f>IF(E3&lt;&gt;"",G6copy!A3,"")</f>
        <v>G6 herkansen (geen les)</v>
      </c>
      <c r="G3" s="24" t="str">
        <f>IF(E3&lt;&gt;"",G6copy!F3,"")</f>
        <v>2025-08-27T18:06:19.5535883+00:00</v>
      </c>
    </row>
    <row r="4" spans="1:7" ht="15.75" customHeight="1">
      <c r="A4" s="23">
        <f t="shared" si="1"/>
        <v>45918</v>
      </c>
      <c r="B4" t="str">
        <f t="shared" si="2"/>
        <v>LO1:1</v>
      </c>
      <c r="C4" s="23">
        <f t="shared" si="3"/>
        <v>45896</v>
      </c>
      <c r="E4" s="24" t="str">
        <f>IF(NOT(ISBLANK(G6copy!B4)),G6copy!B4,"")</f>
        <v>2025-09-18T00:00:00.0000000</v>
      </c>
      <c r="F4" s="24" t="str">
        <f>IF(E4&lt;&gt;"",G6copy!A4,"")</f>
        <v>G6 LO1:1</v>
      </c>
      <c r="G4" s="24" t="str">
        <f>IF(E4&lt;&gt;"",G6copy!F4,"")</f>
        <v>2025-08-27T18:06:18.6845086+00:00</v>
      </c>
    </row>
    <row r="5" spans="1:7" ht="15.75" customHeight="1">
      <c r="A5" s="23">
        <f t="shared" si="1"/>
        <v>45925</v>
      </c>
      <c r="B5" t="str">
        <f t="shared" si="2"/>
        <v>LO1:2</v>
      </c>
      <c r="C5" s="23">
        <f t="shared" si="3"/>
        <v>45896</v>
      </c>
      <c r="E5" s="24" t="str">
        <f>IF(NOT(ISBLANK(G6copy!B5)),G6copy!B5,"")</f>
        <v>2025-09-25T00:00:00.0000000</v>
      </c>
      <c r="F5" s="24" t="str">
        <f>IF(E5&lt;&gt;"",G6copy!A5,"")</f>
        <v>G6 LO1:2</v>
      </c>
      <c r="G5" s="24" t="str">
        <f>IF(E5&lt;&gt;"",G6copy!F5,"")</f>
        <v>2025-08-27T18:06:18.5347698+00:00</v>
      </c>
    </row>
    <row r="6" spans="1:7" ht="15.75" customHeight="1">
      <c r="A6" s="23">
        <f t="shared" si="1"/>
        <v>45929</v>
      </c>
      <c r="B6" t="str">
        <f t="shared" si="2"/>
        <v>excursie ak</v>
      </c>
      <c r="C6" s="23">
        <f t="shared" si="3"/>
        <v>45915</v>
      </c>
      <c r="E6" s="24" t="str">
        <f>IF(NOT(ISBLANK(G6copy!B6)),G6copy!B6,"")</f>
        <v>2025-09-29T00:00:00.0000000</v>
      </c>
      <c r="F6" s="24" t="str">
        <f>IF(E6&lt;&gt;"",G6copy!A6,"")</f>
        <v>G6 excursie ak</v>
      </c>
      <c r="G6" s="24" t="str">
        <f>IF(E6&lt;&gt;"",G6copy!F6,"")</f>
        <v>2025-09-15T08:28:17.9248581+00:00</v>
      </c>
    </row>
    <row r="7" spans="1:7" ht="15.75" customHeight="1">
      <c r="A7" s="23">
        <f t="shared" si="1"/>
        <v>45932</v>
      </c>
      <c r="B7" t="str">
        <f t="shared" si="2"/>
        <v>LO1:3</v>
      </c>
      <c r="C7" s="23">
        <f t="shared" si="3"/>
        <v>45896</v>
      </c>
      <c r="E7" s="24" t="str">
        <f>IF(NOT(ISBLANK(G6copy!B7)),G6copy!B7,"")</f>
        <v>2025-10-02T00:00:00.0000000</v>
      </c>
      <c r="F7" s="24" t="str">
        <f>IF(E7&lt;&gt;"",G6copy!A7,"")</f>
        <v>G6 LO1:3</v>
      </c>
      <c r="G7" s="24" t="str">
        <f>IF(E7&lt;&gt;"",G6copy!F7,"")</f>
        <v>2025-08-27T18:06:18.4216279+00:00</v>
      </c>
    </row>
    <row r="8" spans="1:7" ht="15.75" customHeight="1">
      <c r="A8" s="23">
        <f t="shared" si="1"/>
        <v>45933</v>
      </c>
      <c r="B8" t="str">
        <f t="shared" si="2"/>
        <v>PWS conceptversie</v>
      </c>
      <c r="C8" s="23">
        <f t="shared" si="3"/>
        <v>45896</v>
      </c>
      <c r="E8" s="24" t="str">
        <f>IF(NOT(ISBLANK(G6copy!B8)),G6copy!B8,"")</f>
        <v>2025-10-03T00:00:00.0000000</v>
      </c>
      <c r="F8" s="24" t="str">
        <f>IF(E8&lt;&gt;"",G6copy!A8,"")</f>
        <v>G6 PWS conceptversie</v>
      </c>
      <c r="G8" s="24" t="str">
        <f>IF(E8&lt;&gt;"",G6copy!F8,"")</f>
        <v>2025-08-27T18:06:19.2170779+00:00</v>
      </c>
    </row>
    <row r="9" spans="1:7" ht="15.75" customHeight="1">
      <c r="A9" s="23">
        <f t="shared" si="1"/>
        <v>45939</v>
      </c>
      <c r="B9" t="str">
        <f t="shared" si="2"/>
        <v>LO1:4/HPG</v>
      </c>
      <c r="C9" s="23">
        <f t="shared" si="3"/>
        <v>45896</v>
      </c>
      <c r="E9" s="24" t="str">
        <f>IF(NOT(ISBLANK(G6copy!B9)),G6copy!B9,"")</f>
        <v>2025-10-09T00:00:00.0000000</v>
      </c>
      <c r="F9" s="24" t="str">
        <f>IF(E9&lt;&gt;"",G6copy!A9,"")</f>
        <v>G6 LO1:4/HPG</v>
      </c>
      <c r="G9" s="24" t="str">
        <f>IF(E9&lt;&gt;"",G6copy!F9,"")</f>
        <v>2025-08-27T18:06:18.1646619+00:00</v>
      </c>
    </row>
    <row r="10" spans="1:7" ht="15.75" customHeight="1">
      <c r="A10" s="23">
        <f t="shared" si="1"/>
        <v>45943</v>
      </c>
      <c r="B10" t="str">
        <f t="shared" si="2"/>
        <v>SE sk/SE gs</v>
      </c>
      <c r="C10" s="23">
        <f t="shared" si="3"/>
        <v>45930</v>
      </c>
      <c r="E10" s="24" t="str">
        <f>IF(NOT(ISBLANK(G6copy!B10)),G6copy!B10,"")</f>
        <v>2025-10-13T00:00:00.0000000</v>
      </c>
      <c r="F10" s="24" t="str">
        <f>IF(E10&lt;&gt;"",G6copy!A10,"")</f>
        <v>G6 SE sk/SE gs</v>
      </c>
      <c r="G10" s="24" t="str">
        <f>IF(E10&lt;&gt;"",G6copy!F10,"")</f>
        <v>2025-09-30T11:29:41.9247066+00:00</v>
      </c>
    </row>
    <row r="11" spans="1:7" ht="15.75" customHeight="1">
      <c r="A11" s="23">
        <f t="shared" si="1"/>
        <v>45944</v>
      </c>
      <c r="B11" t="str">
        <f t="shared" si="2"/>
        <v>SE ak/SE wiD</v>
      </c>
      <c r="C11" s="23">
        <f t="shared" si="3"/>
        <v>45930</v>
      </c>
      <c r="E11" s="24" t="str">
        <f>IF(NOT(ISBLANK(G6copy!B11)),G6copy!B11,"")</f>
        <v>2025-10-14T00:00:00.0000000</v>
      </c>
      <c r="F11" s="24" t="str">
        <f>IF(E11&lt;&gt;"",G6copy!A11,"")</f>
        <v>G6 SE ak/SE wiD</v>
      </c>
      <c r="G11" s="24" t="str">
        <f>IF(E11&lt;&gt;"",G6copy!F11,"")</f>
        <v>2025-09-30T11:29:38.5458638+00:00</v>
      </c>
    </row>
    <row r="12" spans="1:7" ht="15.75" customHeight="1">
      <c r="A12" s="23">
        <f t="shared" si="1"/>
        <v>45945</v>
      </c>
      <c r="B12" t="str">
        <f t="shared" si="2"/>
        <v>SE Du/ SE bio</v>
      </c>
      <c r="C12" s="23">
        <f t="shared" si="3"/>
        <v>45930</v>
      </c>
      <c r="E12" s="24" t="str">
        <f>IF(NOT(ISBLANK(G6copy!B12)),G6copy!B12,"")</f>
        <v>2025-10-15T00:00:00.0000000</v>
      </c>
      <c r="F12" s="24" t="str">
        <f>IF(E12&lt;&gt;"",G6copy!A12,"")</f>
        <v>G6 SE Du/ SE bio</v>
      </c>
      <c r="G12" s="24" t="str">
        <f>IF(E12&lt;&gt;"",G6copy!F12,"")</f>
        <v>2025-09-30T11:29:35.016927+00:00</v>
      </c>
    </row>
    <row r="13" spans="1:7" ht="15.75" customHeight="1">
      <c r="A13" s="23">
        <f t="shared" si="1"/>
        <v>45946</v>
      </c>
      <c r="B13" t="str">
        <f t="shared" si="2"/>
        <v>SE fi/ SE na</v>
      </c>
      <c r="C13" s="23">
        <f t="shared" si="3"/>
        <v>45930</v>
      </c>
      <c r="E13" s="24" t="str">
        <f>IF(NOT(ISBLANK(G6copy!B13)),G6copy!B13,"")</f>
        <v>2025-10-16T00:00:00.0000000</v>
      </c>
      <c r="F13" s="24" t="str">
        <f>IF(E13&lt;&gt;"",G6copy!A13,"")</f>
        <v>G6 SE fi/ SE na</v>
      </c>
      <c r="G13" s="24" t="str">
        <f>IF(E13&lt;&gt;"",G6copy!F13,"")</f>
        <v>2025-09-30T11:29:31.9162822+00:00</v>
      </c>
    </row>
    <row r="14" spans="1:7" ht="15.75" customHeight="1">
      <c r="A14" s="23">
        <f t="shared" si="1"/>
        <v>45947</v>
      </c>
      <c r="B14" t="str">
        <f t="shared" si="2"/>
        <v>SE wiABC</v>
      </c>
      <c r="C14" s="23">
        <f t="shared" si="3"/>
        <v>45930</v>
      </c>
      <c r="E14" s="24" t="str">
        <f>IF(NOT(ISBLANK(G6copy!B14)),G6copy!B14,"")</f>
        <v>2025-10-17T00:00:00.0000000</v>
      </c>
      <c r="F14" s="24" t="str">
        <f>IF(E14&lt;&gt;"",G6copy!A14,"")</f>
        <v>G6 SE wiABC</v>
      </c>
      <c r="G14" s="24" t="str">
        <f>IF(E14&lt;&gt;"",G6copy!F14,"")</f>
        <v>2025-09-30T11:29:27.9546406+00:00</v>
      </c>
    </row>
    <row r="15" spans="1:7" ht="15.75" customHeight="1">
      <c r="A15" s="23">
        <f t="shared" si="1"/>
        <v>45958</v>
      </c>
      <c r="B15" t="str">
        <f t="shared" si="2"/>
        <v>inhalen SE</v>
      </c>
      <c r="C15" s="23">
        <f t="shared" si="3"/>
        <v>45896</v>
      </c>
      <c r="E15" s="24" t="str">
        <f>IF(NOT(ISBLANK(G6copy!B15)),G6copy!B15,"")</f>
        <v>2025-10-28T00:00:00.0000000</v>
      </c>
      <c r="F15" s="24" t="str">
        <f>IF(E15&lt;&gt;"",G6copy!A15,"")</f>
        <v>G6 inhalen SE</v>
      </c>
      <c r="G15" s="24" t="str">
        <f>IF(E15&lt;&gt;"",G6copy!F15,"")</f>
        <v>2025-08-27T18:06:18.1867707+00:00</v>
      </c>
    </row>
    <row r="16" spans="1:7" ht="15.75" customHeight="1">
      <c r="A16" s="23">
        <f t="shared" si="1"/>
        <v>45959</v>
      </c>
      <c r="B16" t="str">
        <f t="shared" si="2"/>
        <v>KuBV excursie centraal museum (4e en 5e uur)</v>
      </c>
      <c r="C16" s="23">
        <f t="shared" si="3"/>
        <v>45936</v>
      </c>
      <c r="E16" s="24" t="str">
        <f>IF(NOT(ISBLANK(G6copy!B16)),G6copy!B16,"")</f>
        <v>2025-10-29T00:00:00.0000000</v>
      </c>
      <c r="F16" s="24" t="str">
        <f>IF(E16&lt;&gt;"",G6copy!A16,"")</f>
        <v>G6 KuBV excursie centraal museum (4e en 5e uur)</v>
      </c>
      <c r="G16" s="24" t="str">
        <f>IF(E16&lt;&gt;"",G6copy!F16,"")</f>
        <v>2025-10-06T14:03:42.4043323+00:00</v>
      </c>
    </row>
    <row r="17" spans="1:7" ht="15.75" customHeight="1">
      <c r="A17" s="23">
        <f t="shared" si="1"/>
        <v>45960</v>
      </c>
      <c r="B17" t="str">
        <f t="shared" si="2"/>
        <v>LO2:1</v>
      </c>
      <c r="C17" s="23">
        <f t="shared" si="3"/>
        <v>45896</v>
      </c>
      <c r="E17" s="24" t="str">
        <f>IF(NOT(ISBLANK(G6copy!B17)),G6copy!B17,"")</f>
        <v>2025-10-30T00:00:00.0000000</v>
      </c>
      <c r="F17" s="24" t="str">
        <f>IF(E17&lt;&gt;"",G6copy!A17,"")</f>
        <v>G6 LO2:1</v>
      </c>
      <c r="G17" s="24" t="str">
        <f>IF(E17&lt;&gt;"",G6copy!F17,"")</f>
        <v>2025-08-27T18:06:17.0158493+00:00</v>
      </c>
    </row>
    <row r="18" spans="1:7" ht="15.75" customHeight="1">
      <c r="A18" s="23">
        <f t="shared" si="1"/>
        <v>45967</v>
      </c>
      <c r="B18" t="str">
        <f t="shared" si="2"/>
        <v>LO2:2</v>
      </c>
      <c r="C18" s="23">
        <f t="shared" si="3"/>
        <v>45896</v>
      </c>
      <c r="E18" s="24" t="str">
        <f>IF(NOT(ISBLANK(G6copy!B18)),G6copy!B18,"")</f>
        <v>2025-11-06T00:00:00.0000000</v>
      </c>
      <c r="F18" s="24" t="str">
        <f>IF(E18&lt;&gt;"",G6copy!A18,"")</f>
        <v>G6 LO2:2</v>
      </c>
      <c r="G18" s="24" t="str">
        <f>IF(E18&lt;&gt;"",G6copy!F18,"")</f>
        <v>2025-08-27T18:06:16.831627+00:00</v>
      </c>
    </row>
    <row r="19" spans="1:7" ht="15.75" customHeight="1">
      <c r="A19" s="23">
        <f t="shared" si="1"/>
        <v>45980</v>
      </c>
      <c r="B19" t="str">
        <f t="shared" si="2"/>
        <v>PWS presentaties</v>
      </c>
      <c r="C19" s="23">
        <f t="shared" si="3"/>
        <v>45896</v>
      </c>
      <c r="E19" s="24" t="str">
        <f>IF(NOT(ISBLANK(G6copy!B19)),G6copy!B19,"")</f>
        <v>2025-11-19T00:00:00.0000000</v>
      </c>
      <c r="F19" s="24" t="str">
        <f>IF(E19&lt;&gt;"",G6copy!A19,"")</f>
        <v>G6 PWS presentaties</v>
      </c>
      <c r="G19" s="24" t="str">
        <f>IF(E19&lt;&gt;"",G6copy!F19,"")</f>
        <v>2025-08-27T18:06:17.6430531+00:00</v>
      </c>
    </row>
    <row r="20" spans="1:7" ht="15.75" customHeight="1">
      <c r="A20" s="23">
        <f t="shared" si="1"/>
        <v>45982</v>
      </c>
      <c r="B20" t="str">
        <f t="shared" si="2"/>
        <v>PWS inleveren</v>
      </c>
      <c r="C20" s="23">
        <f t="shared" si="3"/>
        <v>45896</v>
      </c>
      <c r="E20" s="24" t="str">
        <f>IF(NOT(ISBLANK(G6copy!B20)),G6copy!B20,"")</f>
        <v>2025-11-21T00:00:00.0000000</v>
      </c>
      <c r="F20" s="24" t="str">
        <f>IF(E20&lt;&gt;"",G6copy!A20,"")</f>
        <v>G6 PWS inleveren</v>
      </c>
      <c r="G20" s="24" t="str">
        <f>IF(E20&lt;&gt;"",G6copy!F20,"")</f>
        <v>2025-08-27T18:06:17.4421745+00:00</v>
      </c>
    </row>
    <row r="21" spans="1:7" ht="15.75" customHeight="1">
      <c r="A21" s="23">
        <f t="shared" si="1"/>
        <v>45985</v>
      </c>
      <c r="B21" t="str">
        <f t="shared" si="2"/>
        <v>KuDr CKF</v>
      </c>
      <c r="C21" s="23">
        <f t="shared" si="3"/>
        <v>45896</v>
      </c>
      <c r="E21" s="24" t="str">
        <f>IF(NOT(ISBLANK(G6copy!B21)),G6copy!B21,"")</f>
        <v>2025-11-24T00:00:00.0000000</v>
      </c>
      <c r="F21" s="24" t="str">
        <f>IF(E21&lt;&gt;"",G6copy!A21,"")</f>
        <v>G6 KuDr CKF</v>
      </c>
      <c r="G21" s="24" t="str">
        <f>IF(E21&lt;&gt;"",G6copy!F21,"")</f>
        <v>2025-08-27T18:06:16.5197896+00:00</v>
      </c>
    </row>
    <row r="22" spans="1:7" ht="15.75" customHeight="1">
      <c r="A22" s="23">
        <f t="shared" si="1"/>
        <v>45986</v>
      </c>
      <c r="B22" t="str">
        <f t="shared" si="2"/>
        <v>KuBv groen licht</v>
      </c>
      <c r="C22" s="23">
        <f t="shared" si="3"/>
        <v>45896</v>
      </c>
      <c r="E22" s="24" t="str">
        <f>IF(NOT(ISBLANK(G6copy!B22)),G6copy!B22,"")</f>
        <v>2025-11-25T00:00:00.0000000</v>
      </c>
      <c r="F22" s="24" t="str">
        <f>IF(E22&lt;&gt;"",G6copy!A22,"")</f>
        <v>G6 KuBv groen licht</v>
      </c>
      <c r="G22" s="24" t="str">
        <f>IF(E22&lt;&gt;"",G6copy!F22,"")</f>
        <v>2025-08-27T18:06:17.2682372+00:00</v>
      </c>
    </row>
    <row r="23" spans="1:7" ht="15.75" customHeight="1">
      <c r="A23" s="23">
        <f t="shared" si="1"/>
        <v>45988</v>
      </c>
      <c r="B23" t="str">
        <f t="shared" si="2"/>
        <v>LO2:3</v>
      </c>
      <c r="C23" s="23">
        <f t="shared" si="3"/>
        <v>45896</v>
      </c>
      <c r="E23" s="24" t="str">
        <f>IF(NOT(ISBLANK(G6copy!B23)),G6copy!B23,"")</f>
        <v>2025-11-27T00:00:00.0000000</v>
      </c>
      <c r="F23" s="24" t="str">
        <f>IF(E23&lt;&gt;"",G6copy!A23,"")</f>
        <v>G6 LO2:3</v>
      </c>
      <c r="G23" s="24" t="str">
        <f>IF(E23&lt;&gt;"",G6copy!F23,"")</f>
        <v>2025-08-27T18:06:16.1735946+00:00</v>
      </c>
    </row>
    <row r="24" spans="1:7" ht="15.75" customHeight="1">
      <c r="A24" s="23">
        <f t="shared" si="1"/>
        <v>45995</v>
      </c>
      <c r="B24" t="str">
        <f t="shared" si="2"/>
        <v>LO2:4</v>
      </c>
      <c r="C24" s="23">
        <f t="shared" si="3"/>
        <v>45896</v>
      </c>
      <c r="E24" s="24" t="str">
        <f>IF(NOT(ISBLANK(G6copy!B24)),G6copy!B24,"")</f>
        <v>2025-12-04T00:00:00.0000000</v>
      </c>
      <c r="F24" s="24" t="str">
        <f>IF(E24&lt;&gt;"",G6copy!A24,"")</f>
        <v>G6 LO2:4</v>
      </c>
      <c r="G24" s="24" t="str">
        <f>IF(E24&lt;&gt;"",G6copy!F24,"")</f>
        <v>2025-08-27T18:06:15.9807191+00:00</v>
      </c>
    </row>
    <row r="25" spans="1:7" ht="15.75" customHeight="1">
      <c r="A25" s="23">
        <f t="shared" si="1"/>
        <v>46001</v>
      </c>
      <c r="B25" t="str">
        <f t="shared" si="2"/>
        <v>tsweek: G6 Entl en EC</v>
      </c>
      <c r="C25" s="23">
        <f t="shared" si="3"/>
        <v>46001</v>
      </c>
      <c r="E25" s="24" t="str">
        <f>IF(NOT(ISBLANK(G6copy!B25)),G6copy!B25,"")</f>
        <v>2025-12-10T00:00:00.0000000</v>
      </c>
      <c r="F25" s="24" t="str">
        <f>IF(E25&lt;&gt;"",G6copy!A25,"")</f>
        <v>Toetsweek: G6 Entl en EC</v>
      </c>
      <c r="G25" s="24" t="str">
        <f>IF(E25&lt;&gt;"",G6copy!F25,"")</f>
        <v>2025-12-10T17:01:40.6119636+00:00</v>
      </c>
    </row>
    <row r="26" spans="1:7" ht="15.75" customHeight="1">
      <c r="A26" s="23">
        <f t="shared" si="1"/>
        <v>46002</v>
      </c>
      <c r="B26" t="str">
        <f t="shared" si="2"/>
        <v>tsweek: G6 BI / HPGcafé</v>
      </c>
      <c r="C26" s="23">
        <f t="shared" si="3"/>
        <v>46001</v>
      </c>
      <c r="E26" s="24" t="str">
        <f>IF(NOT(ISBLANK(G6copy!B26)),G6copy!B26,"")</f>
        <v>2025-12-11T00:00:00.0000000</v>
      </c>
      <c r="F26" s="24" t="str">
        <f>IF(E26&lt;&gt;"",G6copy!A26,"")</f>
        <v>Toetsweek: G6 BI / HPGcafé</v>
      </c>
      <c r="G26" s="24" t="str">
        <f>IF(E26&lt;&gt;"",G6copy!F26,"")</f>
        <v>2025-12-10T17:01:40.0449115+00:00</v>
      </c>
    </row>
    <row r="27" spans="1:7" ht="15.75" customHeight="1">
      <c r="A27" s="23">
        <f t="shared" si="1"/>
        <v>46003</v>
      </c>
      <c r="B27" t="str">
        <f t="shared" si="2"/>
        <v>tsweek: G6 FI, BE en SK</v>
      </c>
      <c r="C27" s="23">
        <f t="shared" si="3"/>
        <v>46001</v>
      </c>
      <c r="E27" s="24" t="str">
        <f>IF(NOT(ISBLANK(G6copy!B27)),G6copy!B27,"")</f>
        <v>2025-12-12T00:00:00.0000000</v>
      </c>
      <c r="F27" s="24" t="str">
        <f>IF(E27&lt;&gt;"",G6copy!A27,"")</f>
        <v>Toetsweek: G6 FI, BE en SK</v>
      </c>
      <c r="G27" s="24" t="str">
        <f>IF(E27&lt;&gt;"",G6copy!F27,"")</f>
        <v>2025-12-10T17:01:39.7132095+00:00</v>
      </c>
    </row>
    <row r="28" spans="1:7" ht="15.75" customHeight="1">
      <c r="A28" s="23">
        <f t="shared" si="1"/>
        <v>46006</v>
      </c>
      <c r="B28" t="str">
        <f t="shared" si="2"/>
        <v>tsweek: G6 AK, FATL, SPTL en WID</v>
      </c>
      <c r="C28" s="23">
        <f t="shared" si="3"/>
        <v>46001</v>
      </c>
      <c r="E28" s="24" t="str">
        <f>IF(NOT(ISBLANK(G6copy!B28)),G6copy!B28,"")</f>
        <v>2025-12-15T00:00:00.0000000</v>
      </c>
      <c r="F28" s="24" t="str">
        <f>IF(E28&lt;&gt;"",G6copy!A28,"")</f>
        <v>Toetsweek: G6 AK, FATL, SPTL en WID</v>
      </c>
      <c r="G28" s="24" t="str">
        <f>IF(E28&lt;&gt;"",G6copy!F28,"")</f>
        <v>2025-12-10T17:01:39.0983214+00:00</v>
      </c>
    </row>
    <row r="29" spans="1:7" ht="15.75" customHeight="1">
      <c r="A29" s="23">
        <f t="shared" si="1"/>
        <v>46007</v>
      </c>
      <c r="B29" t="str">
        <f t="shared" si="2"/>
        <v>tsweek: G6 NETL</v>
      </c>
      <c r="C29" s="23">
        <f t="shared" si="3"/>
        <v>46001</v>
      </c>
      <c r="E29" s="24" t="str">
        <f>IF(NOT(ISBLANK(G6copy!B29)),G6copy!B29,"")</f>
        <v>2025-12-16T00:00:00.0000000</v>
      </c>
      <c r="F29" s="24" t="str">
        <f>IF(E29&lt;&gt;"",G6copy!A29,"")</f>
        <v>Toetsweek: G6 NETL</v>
      </c>
      <c r="G29" s="24" t="str">
        <f>IF(E29&lt;&gt;"",G6copy!F29,"")</f>
        <v>2025-12-10T17:01:38.6852052+00:00</v>
      </c>
    </row>
    <row r="30" spans="1:7" ht="15.75" customHeight="1">
      <c r="A30" s="23">
        <f t="shared" si="1"/>
        <v>46008</v>
      </c>
      <c r="B30" t="str">
        <f t="shared" si="2"/>
        <v>tsweek: G6 GRTL, LATL</v>
      </c>
      <c r="C30" s="23">
        <f t="shared" si="3"/>
        <v>46001</v>
      </c>
      <c r="E30" s="24" t="str">
        <f>IF(NOT(ISBLANK(G6copy!B30)),G6copy!B30,"")</f>
        <v>2025-12-17T00:00:00.0000000</v>
      </c>
      <c r="F30" s="24" t="str">
        <f>IF(E30&lt;&gt;"",G6copy!A30,"")</f>
        <v>Toetsweek: G6 GRTL, LATL</v>
      </c>
      <c r="G30" s="24" t="str">
        <f>IF(E30&lt;&gt;"",G6copy!F30,"")</f>
        <v>2025-12-10T17:01:38.0937449+00:00</v>
      </c>
    </row>
    <row r="31" spans="1:7" ht="15.75" customHeight="1">
      <c r="A31" s="23">
        <f t="shared" si="1"/>
        <v>46009</v>
      </c>
      <c r="B31" t="str">
        <f t="shared" si="2"/>
        <v>tsweek: G6 WIA, B en C / kerstdiner</v>
      </c>
      <c r="C31" s="23">
        <f t="shared" si="3"/>
        <v>46001</v>
      </c>
      <c r="E31" s="24" t="str">
        <f>IF(NOT(ISBLANK(G6copy!B31)),G6copy!B31,"")</f>
        <v>2025-12-18T00:00:00.0000000</v>
      </c>
      <c r="F31" s="24" t="str">
        <f>IF(E31&lt;&gt;"",G6copy!A31,"")</f>
        <v>Toetsweek: G6 WIA, B en C / kerstdiner</v>
      </c>
      <c r="G31" s="24" t="str">
        <f>IF(E31&lt;&gt;"",G6copy!F31,"")</f>
        <v>2025-12-10T17:01:37.5561192+00:00</v>
      </c>
    </row>
    <row r="32" spans="1:7" ht="15.75" customHeight="1">
      <c r="A32" s="23">
        <f t="shared" si="1"/>
        <v>46028</v>
      </c>
      <c r="B32" t="str">
        <f t="shared" si="2"/>
        <v>inhalen SE</v>
      </c>
      <c r="C32" s="23">
        <f t="shared" si="3"/>
        <v>45896</v>
      </c>
      <c r="E32" s="24" t="str">
        <f>IF(NOT(ISBLANK(G6copy!B32)),G6copy!B32,"")</f>
        <v>2026-01-06T00:00:00.0000000</v>
      </c>
      <c r="F32" s="24" t="str">
        <f>IF(E32&lt;&gt;"",G6copy!A32,"")</f>
        <v>G6 inhalen SE</v>
      </c>
      <c r="G32" s="24" t="str">
        <f>IF(E32&lt;&gt;"",G6copy!F32,"")</f>
        <v>2025-08-27T18:06:15.8648554+00:00</v>
      </c>
    </row>
    <row r="33" spans="1:7" ht="15.75" customHeight="1">
      <c r="A33" s="23">
        <f t="shared" si="1"/>
        <v>46030</v>
      </c>
      <c r="B33" t="str">
        <f t="shared" si="2"/>
        <v>LO3:1</v>
      </c>
      <c r="C33" s="23">
        <f t="shared" si="3"/>
        <v>45896</v>
      </c>
      <c r="E33" s="24" t="str">
        <f>IF(NOT(ISBLANK(G6copy!B33)),G6copy!B33,"")</f>
        <v>2026-01-08T00:00:00.0000000</v>
      </c>
      <c r="F33" s="24" t="str">
        <f>IF(E33&lt;&gt;"",G6copy!A33,"")</f>
        <v>G6 LO3:1</v>
      </c>
      <c r="G33" s="24" t="str">
        <f>IF(E33&lt;&gt;"",G6copy!F33,"")</f>
        <v>2025-08-27T18:06:14.2772601+00:00</v>
      </c>
    </row>
    <row r="34" spans="1:7" ht="15.75" customHeight="1">
      <c r="A34" s="23">
        <f t="shared" si="1"/>
        <v>46030</v>
      </c>
      <c r="B34" t="str">
        <f t="shared" si="2"/>
        <v>Inhalen SE</v>
      </c>
      <c r="C34" s="23">
        <f t="shared" si="3"/>
        <v>46028</v>
      </c>
      <c r="E34" s="24" t="str">
        <f>IF(NOT(ISBLANK(G6copy!B34)),G6copy!B34,"")</f>
        <v>2026-01-08T00:00:00.0000000</v>
      </c>
      <c r="F34" s="24" t="str">
        <f>IF(E34&lt;&gt;"",G6copy!A34,"")</f>
        <v>G6 Inhalen SE</v>
      </c>
      <c r="G34" s="24" t="str">
        <f>IF(E34&lt;&gt;"",G6copy!F34,"")</f>
        <v>2026-01-06T13:25:42.3798346+00:00</v>
      </c>
    </row>
    <row r="35" spans="1:7" ht="15.75" customHeight="1">
      <c r="A35" s="23">
        <f t="shared" si="1"/>
        <v>46035</v>
      </c>
      <c r="B35" t="str">
        <f t="shared" si="2"/>
        <v>Inhaal SE's</v>
      </c>
      <c r="C35" s="23">
        <f t="shared" si="3"/>
        <v>46030</v>
      </c>
      <c r="E35" s="24" t="str">
        <f>IF(NOT(ISBLANK(G6copy!B35)),G6copy!B35,"")</f>
        <v>2026-01-13T00:00:00.0000000</v>
      </c>
      <c r="F35" s="24" t="str">
        <f>IF(E35&lt;&gt;"",G6copy!A35,"")</f>
        <v>G6 Inhaal SE's</v>
      </c>
      <c r="G35" s="24" t="str">
        <f>IF(E35&lt;&gt;"",G6copy!F35,"")</f>
        <v>2026-01-08T12:27:24.927215+00:00</v>
      </c>
    </row>
    <row r="36" spans="1:7" ht="15.75" customHeight="1">
      <c r="A36" s="23">
        <f t="shared" si="1"/>
        <v>46036</v>
      </c>
      <c r="B36" t="str">
        <f t="shared" si="2"/>
        <v>grtl bezoek Toneelvoorstelling Odyssee (8e+9e uur)</v>
      </c>
      <c r="C36" s="23">
        <f t="shared" si="3"/>
        <v>45915</v>
      </c>
      <c r="E36" s="24" t="str">
        <f>IF(NOT(ISBLANK(G6copy!B36)),G6copy!B36,"")</f>
        <v>2026-01-14T00:00:00.0000000</v>
      </c>
      <c r="F36" s="24" t="str">
        <f>IF(E36&lt;&gt;"",G6copy!A36,"")</f>
        <v>G6.grtl bezoek Toneelvoorstelling Odyssee (8e+9e uur)</v>
      </c>
      <c r="G36" s="24" t="str">
        <f>IF(E36&lt;&gt;"",G6copy!F36,"")</f>
        <v>2025-09-15T12:25:55.3008708+00:00</v>
      </c>
    </row>
    <row r="37" spans="1:7" ht="15.75" customHeight="1">
      <c r="A37" s="23">
        <f t="shared" si="1"/>
        <v>46037</v>
      </c>
      <c r="B37" t="str">
        <f t="shared" si="2"/>
        <v>LO3:2</v>
      </c>
      <c r="C37" s="23">
        <f t="shared" si="3"/>
        <v>45896</v>
      </c>
      <c r="E37" s="24" t="str">
        <f>IF(NOT(ISBLANK(G6copy!B37)),G6copy!B37,"")</f>
        <v>2026-01-15T00:00:00.0000000</v>
      </c>
      <c r="F37" s="24" t="str">
        <f>IF(E37&lt;&gt;"",G6copy!A37,"")</f>
        <v>G6 LO3:2</v>
      </c>
      <c r="G37" s="24" t="str">
        <f>IF(E37&lt;&gt;"",G6copy!F37,"")</f>
        <v>2025-08-27T18:06:14.0781048+00:00</v>
      </c>
    </row>
    <row r="38" spans="1:7" ht="15.75" customHeight="1">
      <c r="A38" s="23">
        <f t="shared" si="1"/>
        <v>46037</v>
      </c>
      <c r="B38" t="str">
        <f t="shared" si="2"/>
        <v>Inhaal SE's</v>
      </c>
      <c r="C38" s="23">
        <f t="shared" si="3"/>
        <v>46030</v>
      </c>
      <c r="E38" s="24" t="str">
        <f>IF(NOT(ISBLANK(G6copy!B38)),G6copy!B38,"")</f>
        <v>2026-01-15T00:00:00.0000000</v>
      </c>
      <c r="F38" s="24" t="str">
        <f>IF(E38&lt;&gt;"",G6copy!A38,"")</f>
        <v>G6 Inhaal SE's</v>
      </c>
      <c r="G38" s="24" t="str">
        <f>IF(E38&lt;&gt;"",G6copy!F38,"")</f>
        <v>2026-01-08T12:27:23.3779773+00:00</v>
      </c>
    </row>
    <row r="39" spans="1:7" ht="15.75" customHeight="1">
      <c r="A39" s="23">
        <f t="shared" si="1"/>
        <v>46041</v>
      </c>
      <c r="B39" t="str">
        <f t="shared" si="2"/>
        <v>KLT Duits</v>
      </c>
      <c r="C39" s="23">
        <f t="shared" si="3"/>
        <v>45915</v>
      </c>
      <c r="E39" s="24" t="str">
        <f>IF(NOT(ISBLANK(G6copy!B39)),G6copy!B39,"")</f>
        <v>2026-01-19T00:00:00.0000000</v>
      </c>
      <c r="F39" s="24" t="str">
        <f>IF(E39&lt;&gt;"",G6copy!A39,"")</f>
        <v>G6 KLT Duits</v>
      </c>
      <c r="G39" s="24" t="str">
        <f>IF(E39&lt;&gt;"",G6copy!F39,"")</f>
        <v>2025-09-15T12:25:59.0640014+00:00</v>
      </c>
    </row>
    <row r="40" spans="1:7" ht="15.75" customHeight="1">
      <c r="A40" s="23">
        <f t="shared" si="1"/>
        <v>46041</v>
      </c>
      <c r="B40" t="str">
        <f t="shared" si="2"/>
        <v>KLT Duits</v>
      </c>
      <c r="C40" s="23">
        <f t="shared" si="3"/>
        <v>45896</v>
      </c>
      <c r="E40" s="24" t="str">
        <f>IF(NOT(ISBLANK(G6copy!B40)),G6copy!B40,"")</f>
        <v>2026-01-19T00:00:00.0000000</v>
      </c>
      <c r="F40" s="24" t="str">
        <f>IF(E40&lt;&gt;"",G6copy!A40,"")</f>
        <v>G6 KLT Duits</v>
      </c>
      <c r="G40" s="24" t="str">
        <f>IF(E40&lt;&gt;"",G6copy!F40,"")</f>
        <v>2025-08-27T18:06:15.6333581+00:00</v>
      </c>
    </row>
    <row r="41" spans="1:7" ht="15.75" customHeight="1">
      <c r="A41" s="23">
        <f t="shared" si="1"/>
        <v>46043</v>
      </c>
      <c r="B41" t="str">
        <f t="shared" si="2"/>
        <v>KuBv groen licht</v>
      </c>
      <c r="C41" s="23">
        <f t="shared" si="3"/>
        <v>45896</v>
      </c>
      <c r="E41" s="24" t="str">
        <f>IF(NOT(ISBLANK(G6copy!B41)),G6copy!B41,"")</f>
        <v>2026-01-21T00:00:00.0000000</v>
      </c>
      <c r="F41" s="24" t="str">
        <f>IF(E41&lt;&gt;"",G6copy!A41,"")</f>
        <v>G6 KuBv groen licht</v>
      </c>
      <c r="G41" s="24" t="str">
        <f>IF(E41&lt;&gt;"",G6copy!F41,"")</f>
        <v>2025-08-27T18:06:15.3707608+00:00</v>
      </c>
    </row>
    <row r="42" spans="1:7" ht="15.75" customHeight="1">
      <c r="A42" s="23">
        <f t="shared" si="1"/>
        <v>46044</v>
      </c>
      <c r="B42" t="str">
        <f t="shared" si="2"/>
        <v>LO3:3</v>
      </c>
      <c r="C42" s="23">
        <f t="shared" si="3"/>
        <v>46033</v>
      </c>
      <c r="E42" s="24" t="str">
        <f>IF(NOT(ISBLANK(G6copy!B42)),G6copy!B42,"")</f>
        <v>2026-01-22T00:00:00.0000000</v>
      </c>
      <c r="F42" s="24" t="str">
        <f>IF(E42&lt;&gt;"",G6copy!A42,"")</f>
        <v>G6 LO3:3</v>
      </c>
      <c r="G42" s="24" t="str">
        <f>IF(E42&lt;&gt;"",G6copy!F42,"")</f>
        <v>2026-01-11T12:10:22.2901518+00:00</v>
      </c>
    </row>
    <row r="43" spans="1:7" ht="15.75" customHeight="1">
      <c r="A43" s="23">
        <f t="shared" si="1"/>
        <v>46045</v>
      </c>
      <c r="B43" t="str">
        <f t="shared" si="2"/>
        <v>KLT Frans</v>
      </c>
      <c r="C43" s="23">
        <f t="shared" si="3"/>
        <v>45915</v>
      </c>
      <c r="E43" s="24" t="str">
        <f>IF(NOT(ISBLANK(G6copy!B43)),G6copy!B43,"")</f>
        <v>2026-01-23T00:00:00.0000000</v>
      </c>
      <c r="F43" s="24" t="str">
        <f>IF(E43&lt;&gt;"",G6copy!A43,"")</f>
        <v>G6 KLT Frans</v>
      </c>
      <c r="G43" s="24" t="str">
        <f>IF(E43&lt;&gt;"",G6copy!F43,"")</f>
        <v>2025-09-15T12:25:58.0358654+00:00</v>
      </c>
    </row>
    <row r="44" spans="1:7" ht="15.75" customHeight="1">
      <c r="A44" s="23">
        <f t="shared" si="1"/>
        <v>46045</v>
      </c>
      <c r="B44" t="str">
        <f t="shared" si="2"/>
        <v>KLT Frans</v>
      </c>
      <c r="C44" s="23">
        <f t="shared" si="3"/>
        <v>45896</v>
      </c>
      <c r="E44" s="24" t="str">
        <f>IF(NOT(ISBLANK(G6copy!B44)),G6copy!B44,"")</f>
        <v>2026-01-23T00:00:00.0000000</v>
      </c>
      <c r="F44" s="24" t="str">
        <f>IF(E44&lt;&gt;"",G6copy!A44,"")</f>
        <v>G6 KLT Frans</v>
      </c>
      <c r="G44" s="24" t="str">
        <f>IF(E44&lt;&gt;"",G6copy!F44,"")</f>
        <v>2025-08-27T18:06:15.0255834+00:00</v>
      </c>
    </row>
    <row r="45" spans="1:7" ht="15.75" customHeight="1">
      <c r="A45" s="23">
        <f t="shared" si="1"/>
        <v>46048</v>
      </c>
      <c r="B45" t="str">
        <f t="shared" si="2"/>
        <v>herkansen (lessen vervallen)</v>
      </c>
      <c r="C45" s="23">
        <f t="shared" si="3"/>
        <v>46036</v>
      </c>
      <c r="E45" s="24" t="str">
        <f>IF(NOT(ISBLANK(G6copy!B45)),G6copy!B45,"")</f>
        <v>2026-01-26T00:00:00.0000000</v>
      </c>
      <c r="F45" s="24" t="str">
        <f>IF(E45&lt;&gt;"",G6copy!A45,"")</f>
        <v>G6 herkansen (lessen vervallen)</v>
      </c>
      <c r="G45" s="24" t="str">
        <f>IF(E45&lt;&gt;"",G6copy!F45,"")</f>
        <v>2026-01-14T15:18:14.9535914+00:00</v>
      </c>
    </row>
    <row r="46" spans="1:7" ht="15.75" customHeight="1">
      <c r="A46" s="23">
        <f t="shared" si="1"/>
        <v>46049</v>
      </c>
      <c r="B46" t="str">
        <f t="shared" si="2"/>
        <v xml:space="preserve"> Spaans</v>
      </c>
      <c r="C46" s="23">
        <f t="shared" si="3"/>
        <v>46033</v>
      </c>
      <c r="E46" s="24" t="str">
        <f>IF(NOT(ISBLANK(G6copy!B46)),G6copy!B46,"")</f>
        <v>2026-01-27T00:00:00.0000000</v>
      </c>
      <c r="F46" s="24" t="str">
        <f>IF(E46&lt;&gt;"",G6copy!A46,"")</f>
        <v>KLT Spaans</v>
      </c>
      <c r="G46" s="24" t="str">
        <f>IF(E46&lt;&gt;"",G6copy!F46,"")</f>
        <v>2026-01-11T12:10:22.1605704+00:00</v>
      </c>
    </row>
    <row r="47" spans="1:7" ht="15.75" customHeight="1">
      <c r="A47" s="23">
        <f t="shared" si="1"/>
        <v>46051</v>
      </c>
      <c r="B47" t="str">
        <f t="shared" si="2"/>
        <v>LO3:4</v>
      </c>
      <c r="C47" s="23">
        <f t="shared" si="3"/>
        <v>45896</v>
      </c>
      <c r="E47" s="24" t="str">
        <f>IF(NOT(ISBLANK(G6copy!B47)),G6copy!B47,"")</f>
        <v>2026-01-29T00:00:00.0000000</v>
      </c>
      <c r="F47" s="24" t="str">
        <f>IF(E47&lt;&gt;"",G6copy!A47,"")</f>
        <v>G6 LO3:4</v>
      </c>
      <c r="G47" s="24" t="str">
        <f>IF(E47&lt;&gt;"",G6copy!F47,"")</f>
        <v>2025-08-27T18:06:09.4486935+00:00</v>
      </c>
    </row>
    <row r="48" spans="1:7" ht="15.75" customHeight="1">
      <c r="A48" s="23">
        <f t="shared" si="1"/>
        <v>46051</v>
      </c>
      <c r="B48" t="str">
        <f t="shared" si="2"/>
        <v xml:space="preserve"> Engels</v>
      </c>
      <c r="C48" s="23">
        <f t="shared" si="3"/>
        <v>46042</v>
      </c>
      <c r="E48" s="24" t="str">
        <f>IF(NOT(ISBLANK(G6copy!B48)),G6copy!B48,"")</f>
        <v>2026-01-29T00:00:00.0000000</v>
      </c>
      <c r="F48" s="24" t="str">
        <f>IF(E48&lt;&gt;"",G6copy!A48,"")</f>
        <v>KLT Engels</v>
      </c>
      <c r="G48" s="24" t="str">
        <f>IF(E48&lt;&gt;"",G6copy!F48,"")</f>
        <v>2026-01-20T23:44:22.3708868+00:00</v>
      </c>
    </row>
    <row r="49" spans="1:7" ht="15.75" customHeight="1">
      <c r="A49" s="23">
        <f t="shared" si="1"/>
        <v>46058</v>
      </c>
      <c r="B49" t="str">
        <f t="shared" si="2"/>
        <v>LOinhalen1</v>
      </c>
      <c r="C49" s="23">
        <f t="shared" si="3"/>
        <v>45896</v>
      </c>
      <c r="E49" s="24" t="str">
        <f>IF(NOT(ISBLANK(G6copy!B49)),G6copy!B49,"")</f>
        <v>2026-02-05T00:00:00.0000000</v>
      </c>
      <c r="F49" s="24" t="str">
        <f>IF(E49&lt;&gt;"",G6copy!A49,"")</f>
        <v>G6 LOinhalen1</v>
      </c>
      <c r="G49" s="24" t="str">
        <f>IF(E49&lt;&gt;"",G6copy!F49,"")</f>
        <v>2025-08-27T18:06:09.3472067+00:00</v>
      </c>
    </row>
    <row r="50" spans="1:7" ht="15.75" customHeight="1">
      <c r="A50" s="23">
        <f t="shared" si="1"/>
        <v>46064</v>
      </c>
      <c r="B50" t="str">
        <f t="shared" si="2"/>
        <v>korte filmfestival</v>
      </c>
      <c r="C50" s="23">
        <f t="shared" si="3"/>
        <v>46052</v>
      </c>
      <c r="E50" s="24" t="str">
        <f>IF(NOT(ISBLANK(G6copy!B50)),G6copy!B50,"")</f>
        <v>2026-02-11T00:00:00.0000000</v>
      </c>
      <c r="F50" s="24" t="str">
        <f>IF(E50&lt;&gt;"",G6copy!A50,"")</f>
        <v>G6 korte filmfestival</v>
      </c>
      <c r="G50" s="24" t="str">
        <f>IF(E50&lt;&gt;"",G6copy!F50,"")</f>
        <v>2026-01-30T16:56:15.2096261+00:00</v>
      </c>
    </row>
    <row r="51" spans="1:7" ht="15.75" customHeight="1">
      <c r="A51" s="23">
        <f t="shared" si="1"/>
        <v>46065</v>
      </c>
      <c r="B51" t="str">
        <f t="shared" si="2"/>
        <v>LOinhalen 2</v>
      </c>
      <c r="C51" s="23">
        <f t="shared" si="3"/>
        <v>45896</v>
      </c>
      <c r="E51" s="24" t="str">
        <f>IF(NOT(ISBLANK(G6copy!B51)),G6copy!B51,"")</f>
        <v>2026-02-12T00:00:00.0000000</v>
      </c>
      <c r="F51" s="24" t="str">
        <f>IF(E51&lt;&gt;"",G6copy!A51,"")</f>
        <v>G6 LOinhalen 2</v>
      </c>
      <c r="G51" s="24" t="str">
        <f>IF(E51&lt;&gt;"",G6copy!F51,"")</f>
        <v>2025-08-27T18:06:09.1951191+00:00</v>
      </c>
    </row>
    <row r="52" spans="1:7" ht="15.75" customHeight="1">
      <c r="A52" s="23">
        <f t="shared" si="1"/>
        <v>46077</v>
      </c>
      <c r="B52" t="str">
        <f t="shared" si="2"/>
        <v>tsweek: DUTL, FATL +LGO</v>
      </c>
      <c r="C52" s="23">
        <f t="shared" si="3"/>
        <v>45965</v>
      </c>
      <c r="E52" s="24" t="str">
        <f>IF(NOT(ISBLANK(G6copy!B52)),G6copy!B52,"")</f>
        <v>2026-02-24T00:00:00.0000000</v>
      </c>
      <c r="F52" s="24" t="str">
        <f>IF(E52&lt;&gt;"",G6copy!A52,"")</f>
        <v>Toetsweek: DUTL, FATL +LGO</v>
      </c>
      <c r="G52" s="24" t="str">
        <f>IF(E52&lt;&gt;"",G6copy!F52,"")</f>
        <v>2025-11-04T11:02:48.2412728+00:00</v>
      </c>
    </row>
    <row r="53" spans="1:7" ht="15.75" customHeight="1">
      <c r="A53" s="23">
        <f t="shared" si="1"/>
        <v>46078</v>
      </c>
      <c r="B53" t="str">
        <f t="shared" si="2"/>
        <v>tsweek: SPTL, WIB +LGO</v>
      </c>
      <c r="C53" s="23">
        <f t="shared" si="3"/>
        <v>45965</v>
      </c>
      <c r="E53" s="24" t="str">
        <f>IF(NOT(ISBLANK(G6copy!B53)),G6copy!B53,"")</f>
        <v>2026-02-25T00:00:00.0000000</v>
      </c>
      <c r="F53" s="24" t="str">
        <f>IF(E53&lt;&gt;"",G6copy!A53,"")</f>
        <v>Toetsweek: SPTL, WIB +LGO</v>
      </c>
      <c r="G53" s="24" t="str">
        <f>IF(E53&lt;&gt;"",G6copy!F53,"")</f>
        <v>2025-11-04T11:01:50.4491492+00:00</v>
      </c>
    </row>
    <row r="54" spans="1:7" ht="15.75" customHeight="1">
      <c r="A54" s="23">
        <f t="shared" si="1"/>
        <v>46079</v>
      </c>
      <c r="B54" t="str">
        <f t="shared" si="2"/>
        <v>tsweek: PSE NA +LGO</v>
      </c>
      <c r="C54" s="23">
        <f t="shared" si="3"/>
        <v>45965</v>
      </c>
      <c r="E54" s="24" t="str">
        <f>IF(NOT(ISBLANK(G6copy!B54)),G6copy!B54,"")</f>
        <v>2026-02-26T00:00:00.0000000</v>
      </c>
      <c r="F54" s="24" t="str">
        <f>IF(E54&lt;&gt;"",G6copy!A54,"")</f>
        <v>Toetsweek: PSE NA +LGO</v>
      </c>
      <c r="G54" s="24" t="str">
        <f>IF(E54&lt;&gt;"",G6copy!F54,"")</f>
        <v>2025-11-04T11:01:49.3636928+00:00</v>
      </c>
    </row>
    <row r="55" spans="1:7" ht="15.75" customHeight="1">
      <c r="A55" s="23">
        <f t="shared" si="1"/>
        <v>46080</v>
      </c>
      <c r="B55" t="str">
        <f t="shared" si="2"/>
        <v>tsweek: ENTL +LGO</v>
      </c>
      <c r="C55" s="23">
        <f t="shared" si="3"/>
        <v>45965</v>
      </c>
      <c r="E55" s="24" t="str">
        <f>IF(NOT(ISBLANK(G6copy!B55)),G6copy!B55,"")</f>
        <v>2026-02-27T00:00:00.0000000</v>
      </c>
      <c r="F55" s="24" t="str">
        <f>IF(E55&lt;&gt;"",G6copy!A55,"")</f>
        <v>Toetsweek: ENTL +LGO</v>
      </c>
      <c r="G55" s="24" t="str">
        <f>IF(E55&lt;&gt;"",G6copy!F55,"")</f>
        <v>2025-11-04T11:01:47.272126+00:00</v>
      </c>
    </row>
    <row r="56" spans="1:7" ht="15.75" customHeight="1">
      <c r="A56" s="23">
        <f t="shared" si="1"/>
        <v>46080</v>
      </c>
      <c r="B56" t="str">
        <f t="shared" si="2"/>
        <v>ATL G6FATL bezoek schouwburg ('s avonds)</v>
      </c>
      <c r="C56" s="23">
        <f t="shared" si="3"/>
        <v>46066</v>
      </c>
      <c r="E56" s="24" t="str">
        <f>IF(NOT(ISBLANK(G6copy!B56)),G6copy!B56,"")</f>
        <v>2026-02-27T00:00:00.0000000</v>
      </c>
      <c r="F56" s="24" t="str">
        <f>IF(E56&lt;&gt;"",G6copy!A56,"")</f>
        <v>G6FATL G6FATL bezoek schouwburg ('s avonds)</v>
      </c>
      <c r="G56" s="24" t="str">
        <f>IF(E56&lt;&gt;"",G6copy!F56,"")</f>
        <v>2026-02-13T11:31:26.8330913+00:00</v>
      </c>
    </row>
    <row r="57" spans="1:7" ht="15.75" customHeight="1">
      <c r="A57" s="23">
        <f t="shared" si="1"/>
        <v>46083</v>
      </c>
      <c r="B57" t="str">
        <f t="shared" si="2"/>
        <v>mondelingen/KuBv expositie</v>
      </c>
      <c r="C57" s="23">
        <f t="shared" si="3"/>
        <v>45896</v>
      </c>
      <c r="E57" s="24" t="str">
        <f>IF(NOT(ISBLANK(G6copy!B57)),G6copy!B57,"")</f>
        <v>2026-03-02T00:00:00.0000000</v>
      </c>
      <c r="F57" s="24" t="str">
        <f>IF(E57&lt;&gt;"",G6copy!A57,"")</f>
        <v>G6 mondelingen/KuBv expositie</v>
      </c>
      <c r="G57" s="24" t="str">
        <f>IF(E57&lt;&gt;"",G6copy!F57,"")</f>
        <v>2025-08-27T18:06:14.2533993+00:00</v>
      </c>
    </row>
    <row r="58" spans="1:7" ht="15.75" customHeight="1">
      <c r="A58" s="23">
        <f t="shared" si="1"/>
        <v>46084</v>
      </c>
      <c r="B58" t="str">
        <f t="shared" si="2"/>
        <v>inhalen SE/mondelingen</v>
      </c>
      <c r="C58" s="23">
        <f t="shared" si="3"/>
        <v>45896</v>
      </c>
      <c r="E58" s="24" t="str">
        <f>IF(NOT(ISBLANK(G6copy!B58)),G6copy!B58,"")</f>
        <v>2026-03-03T00:00:00.0000000</v>
      </c>
      <c r="F58" s="24" t="str">
        <f>IF(E58&lt;&gt;"",G6copy!A58,"")</f>
        <v>G6 inhalen SE/mondelingen</v>
      </c>
      <c r="G58" s="24" t="str">
        <f>IF(E58&lt;&gt;"",G6copy!F58,"")</f>
        <v>2025-08-27T18:06:14.1243618+00:00</v>
      </c>
    </row>
    <row r="59" spans="1:7" ht="15.75" customHeight="1">
      <c r="A59" s="23">
        <f t="shared" si="1"/>
        <v>46085</v>
      </c>
      <c r="B59" t="str">
        <f t="shared" si="2"/>
        <v>mondelingen</v>
      </c>
      <c r="C59" s="23">
        <f t="shared" si="3"/>
        <v>45896</v>
      </c>
      <c r="E59" s="24" t="str">
        <f>IF(NOT(ISBLANK(G6copy!B59)),G6copy!B59,"")</f>
        <v>2026-03-04T00:00:00.0000000</v>
      </c>
      <c r="F59" s="24" t="str">
        <f>IF(E59&lt;&gt;"",G6copy!A59,"")</f>
        <v>G6 mondelingen</v>
      </c>
      <c r="G59" s="24" t="str">
        <f>IF(E59&lt;&gt;"",G6copy!F59,"")</f>
        <v>2025-08-27T18:06:08.1342762+00:00</v>
      </c>
    </row>
    <row r="60" spans="1:7" ht="15.75" customHeight="1">
      <c r="A60" s="23">
        <f t="shared" si="1"/>
        <v>46086</v>
      </c>
      <c r="B60" t="str">
        <f t="shared" si="2"/>
        <v>mondelingen</v>
      </c>
      <c r="C60" s="23">
        <f t="shared" si="3"/>
        <v>45896</v>
      </c>
      <c r="E60" s="24" t="str">
        <f>IF(NOT(ISBLANK(G6copy!B60)),G6copy!B60,"")</f>
        <v>2026-03-05T00:00:00.0000000</v>
      </c>
      <c r="F60" s="24" t="str">
        <f>IF(E60&lt;&gt;"",G6copy!A60,"")</f>
        <v>G6 mondelingen</v>
      </c>
      <c r="G60" s="24" t="str">
        <f>IF(E60&lt;&gt;"",G6copy!F60,"")</f>
        <v>2025-08-27T18:06:08.0368762+00:00</v>
      </c>
    </row>
    <row r="61" spans="1:7" ht="15.75" customHeight="1">
      <c r="A61" s="23">
        <f t="shared" si="1"/>
        <v>46086</v>
      </c>
      <c r="B61" t="str">
        <f t="shared" si="2"/>
        <v>Examenlezing Grieks</v>
      </c>
      <c r="C61" s="23">
        <f t="shared" si="3"/>
        <v>45915</v>
      </c>
      <c r="E61" s="24" t="str">
        <f>IF(NOT(ISBLANK(G6copy!B61)),G6copy!B61,"")</f>
        <v>2026-03-05T00:00:00.0000000</v>
      </c>
      <c r="F61" s="24" t="str">
        <f>IF(E61&lt;&gt;"",G6copy!A61,"")</f>
        <v>G6 Examenlezing Grieks</v>
      </c>
      <c r="G61" s="24" t="str">
        <f>IF(E61&lt;&gt;"",G6copy!F61,"")</f>
        <v>2025-09-15T12:27:56.9006836+00:00</v>
      </c>
    </row>
    <row r="62" spans="1:7" ht="15.75" customHeight="1">
      <c r="A62" s="23">
        <f t="shared" si="1"/>
        <v>46087</v>
      </c>
      <c r="B62" t="str">
        <f t="shared" si="2"/>
        <v>mondelingen</v>
      </c>
      <c r="C62" s="23">
        <f t="shared" si="3"/>
        <v>45896</v>
      </c>
      <c r="E62" s="24" t="str">
        <f>IF(NOT(ISBLANK(G6copy!B62)),G6copy!B62,"")</f>
        <v>2026-03-06T00:00:00.0000000</v>
      </c>
      <c r="F62" s="24" t="str">
        <f>IF(E62&lt;&gt;"",G6copy!A62,"")</f>
        <v>G6 mondelingen</v>
      </c>
      <c r="G62" s="24" t="str">
        <f>IF(E62&lt;&gt;"",G6copy!F62,"")</f>
        <v>2025-08-27T18:06:07.7361789+00:00</v>
      </c>
    </row>
    <row r="63" spans="1:7" ht="15.75" customHeight="1">
      <c r="A63" s="23">
        <f t="shared" si="1"/>
        <v>46090</v>
      </c>
      <c r="B63" t="str">
        <f t="shared" si="2"/>
        <v>KuBv opening</v>
      </c>
      <c r="C63" s="23">
        <f t="shared" si="3"/>
        <v>45896</v>
      </c>
      <c r="E63" s="24" t="str">
        <f>IF(NOT(ISBLANK(G6copy!B63)),G6copy!B63,"")</f>
        <v>2026-03-09T00:00:00.0000000</v>
      </c>
      <c r="F63" s="24" t="str">
        <f>IF(E63&lt;&gt;"",G6copy!A63,"")</f>
        <v>G6 KuBv opening</v>
      </c>
      <c r="G63" s="24" t="str">
        <f>IF(E63&lt;&gt;"",G6copy!F63,"")</f>
        <v>2025-08-27T18:06:07.5419477+00:00</v>
      </c>
    </row>
    <row r="64" spans="1:7" ht="15.75" customHeight="1">
      <c r="A64" s="23">
        <f t="shared" si="1"/>
        <v>46092</v>
      </c>
      <c r="B64" t="str">
        <f t="shared" si="2"/>
        <v>DELF B2 examen</v>
      </c>
      <c r="C64" s="23">
        <f t="shared" si="3"/>
        <v>45896</v>
      </c>
      <c r="E64" s="24" t="str">
        <f>IF(NOT(ISBLANK(G6copy!B64)),G6copy!B64,"")</f>
        <v>2026-03-11T00:00:00.0000000</v>
      </c>
      <c r="F64" s="24" t="str">
        <f>IF(E64&lt;&gt;"",G6copy!A64,"")</f>
        <v>G6 DELF B2 examen</v>
      </c>
      <c r="G64" s="24" t="str">
        <f>IF(E64&lt;&gt;"",G6copy!F64,"")</f>
        <v>2025-08-27T18:06:13.70301+00:00</v>
      </c>
    </row>
    <row r="65" spans="1:7" ht="15.75" customHeight="1">
      <c r="A65" s="23">
        <f t="shared" si="1"/>
        <v>46095</v>
      </c>
      <c r="B65" t="str">
        <f t="shared" si="2"/>
        <v>DELF B2 mondeling</v>
      </c>
      <c r="C65" s="23">
        <f t="shared" si="3"/>
        <v>45896</v>
      </c>
      <c r="E65" s="24" t="str">
        <f>IF(NOT(ISBLANK(G6copy!B65)),G6copy!B65,"")</f>
        <v>2026-03-14T00:00:00.0000000</v>
      </c>
      <c r="F65" s="24" t="str">
        <f>IF(E65&lt;&gt;"",G6copy!A65,"")</f>
        <v>G6 DELF B2 mondeling</v>
      </c>
      <c r="G65" s="24" t="str">
        <f>IF(E65&lt;&gt;"",G6copy!F65,"")</f>
        <v>2025-08-27T18:06:13.5998168+00:00</v>
      </c>
    </row>
    <row r="66" spans="1:7" ht="15.75" customHeight="1">
      <c r="A66" s="23">
        <f t="shared" si="1"/>
        <v>46098</v>
      </c>
      <c r="B66" t="str">
        <f t="shared" si="2"/>
        <v>WisD</v>
      </c>
      <c r="C66" s="23">
        <f t="shared" si="3"/>
        <v>46083</v>
      </c>
      <c r="E66" s="24" t="str">
        <f>IF(NOT(ISBLANK(G6copy!B66)),G6copy!B66,"")</f>
        <v>2026-03-17T00:00:00.0000000</v>
      </c>
      <c r="F66" s="24" t="str">
        <f>IF(E66&lt;&gt;"",G6copy!A66,"")</f>
        <v>SE WisD</v>
      </c>
      <c r="G66" s="24" t="str">
        <f>IF(E66&lt;&gt;"",G6copy!F66,"")</f>
        <v>2026-03-02T21:49:54.6236624+00:00</v>
      </c>
    </row>
    <row r="67" spans="1:7" ht="15.75" customHeight="1">
      <c r="A67" s="23">
        <f t="shared" ref="A67:A130" si="4">IF(E67&lt;&gt;"",DATEVALUE(LEFT(E67,10)),"")</f>
        <v>46099</v>
      </c>
      <c r="B67" t="str">
        <f t="shared" ref="B67:B130" si="5">IF(LEN(F67)&gt;3,RIGHT(F67,LEN(F67)-3),"")</f>
        <v>tsweek: GRTL, LATL</v>
      </c>
      <c r="C67" s="23">
        <f t="shared" ref="C67:C130" si="6">IF(E67&lt;&gt;"",DATEVALUE(LEFT(G67,10)),"")</f>
        <v>45965</v>
      </c>
      <c r="E67" s="24" t="str">
        <f>IF(NOT(ISBLANK(G6copy!B67)),G6copy!B67,"")</f>
        <v>2026-03-18T00:00:00.0000000</v>
      </c>
      <c r="F67" s="24" t="str">
        <f>IF(E67&lt;&gt;"",G6copy!A67,"")</f>
        <v>Toetsweek: GRTL, LATL</v>
      </c>
      <c r="G67" s="24" t="str">
        <f>IF(E67&lt;&gt;"",G6copy!F67,"")</f>
        <v>2025-11-04T11:01:45.0966078+00:00</v>
      </c>
    </row>
    <row r="68" spans="1:7" ht="15.75" customHeight="1">
      <c r="A68" s="23">
        <f t="shared" si="4"/>
        <v>46100</v>
      </c>
      <c r="B68" t="str">
        <f t="shared" si="5"/>
        <v>tsweek: NE</v>
      </c>
      <c r="C68" s="23">
        <f t="shared" si="6"/>
        <v>46083</v>
      </c>
      <c r="E68" s="24" t="str">
        <f>IF(NOT(ISBLANK(G6copy!B68)),G6copy!B68,"")</f>
        <v>2026-03-19T00:00:00.0000000</v>
      </c>
      <c r="F68" s="24" t="str">
        <f>IF(E68&lt;&gt;"",G6copy!A68,"")</f>
        <v>Toetsweek: NE</v>
      </c>
      <c r="G68" s="24" t="str">
        <f>IF(E68&lt;&gt;"",G6copy!F68,"")</f>
        <v>2026-03-02T21:49:56.5540065+00:00</v>
      </c>
    </row>
    <row r="69" spans="1:7" ht="15.75" customHeight="1">
      <c r="A69" s="23">
        <f t="shared" si="4"/>
        <v>46104</v>
      </c>
      <c r="B69" t="str">
        <f t="shared" si="5"/>
        <v>tsweek: WisA, WisB, WisC</v>
      </c>
      <c r="C69" s="23">
        <f t="shared" si="6"/>
        <v>46083</v>
      </c>
      <c r="E69" s="24" t="str">
        <f>IF(NOT(ISBLANK(G6copy!B69)),G6copy!B69,"")</f>
        <v>2026-03-23T00:00:00.0000000</v>
      </c>
      <c r="F69" s="24" t="str">
        <f>IF(E69&lt;&gt;"",G6copy!A69,"")</f>
        <v>Toetsweek: WisA, WisB, WisC</v>
      </c>
      <c r="G69" s="24" t="str">
        <f>IF(E69&lt;&gt;"",G6copy!F69,"")</f>
        <v>2026-03-02T21:49:56.440884+00:00</v>
      </c>
    </row>
    <row r="70" spans="1:7" ht="15.75" customHeight="1">
      <c r="A70" s="23">
        <f t="shared" si="4"/>
        <v>46105</v>
      </c>
      <c r="B70" t="str">
        <f t="shared" si="5"/>
        <v>tsweek: EC, FI</v>
      </c>
      <c r="C70" s="23">
        <f t="shared" si="6"/>
        <v>46083</v>
      </c>
      <c r="E70" s="24" t="str">
        <f>IF(NOT(ISBLANK(G6copy!B70)),G6copy!B70,"")</f>
        <v>2026-03-24T00:00:00.0000000</v>
      </c>
      <c r="F70" s="24" t="str">
        <f>IF(E70&lt;&gt;"",G6copy!A70,"")</f>
        <v>Toetsweek: EC, FI</v>
      </c>
      <c r="G70" s="24" t="str">
        <f>IF(E70&lt;&gt;"",G6copy!F70,"")</f>
        <v>2026-03-02T21:49:56.324771+00:00</v>
      </c>
    </row>
    <row r="71" spans="1:7" ht="15.75" customHeight="1">
      <c r="A71" s="23">
        <f t="shared" si="4"/>
        <v>46106</v>
      </c>
      <c r="B71" t="str">
        <f t="shared" si="5"/>
        <v>tsweek: GS, SK</v>
      </c>
      <c r="C71" s="23">
        <f t="shared" si="6"/>
        <v>45965</v>
      </c>
      <c r="E71" s="24" t="str">
        <f>IF(NOT(ISBLANK(G6copy!B71)),G6copy!B71,"")</f>
        <v>2026-03-25T00:00:00.0000000</v>
      </c>
      <c r="F71" s="24" t="str">
        <f>IF(E71&lt;&gt;"",G6copy!A71,"")</f>
        <v>Toetsweek: GS, SK</v>
      </c>
      <c r="G71" s="24" t="str">
        <f>IF(E71&lt;&gt;"",G6copy!F71,"")</f>
        <v>2025-11-04T11:01:31.4625557+00:00</v>
      </c>
    </row>
    <row r="72" spans="1:7" ht="15.75" customHeight="1">
      <c r="A72" s="23">
        <f t="shared" si="4"/>
        <v>46107</v>
      </c>
      <c r="B72" t="str">
        <f t="shared" si="5"/>
        <v>tsweek: AK, NAT / HPGeindpresentaties</v>
      </c>
      <c r="C72" s="23">
        <f t="shared" si="6"/>
        <v>46083</v>
      </c>
      <c r="E72" s="24" t="str">
        <f>IF(NOT(ISBLANK(G6copy!B72)),G6copy!B72,"")</f>
        <v>2026-03-26T00:00:00.0000000</v>
      </c>
      <c r="F72" s="24" t="str">
        <f>IF(E72&lt;&gt;"",G6copy!A72,"")</f>
        <v>Toetsweek: AK, NAT / HPGeindpresentaties</v>
      </c>
      <c r="G72" s="24" t="str">
        <f>IF(E72&lt;&gt;"",G6copy!F72,"")</f>
        <v>2026-03-02T21:49:56.1562478+00:00</v>
      </c>
    </row>
    <row r="73" spans="1:7" ht="15.75" customHeight="1">
      <c r="A73" s="23">
        <f t="shared" si="4"/>
        <v>46108</v>
      </c>
      <c r="B73" t="str">
        <f t="shared" si="5"/>
        <v>tsweek: BE, BIO</v>
      </c>
      <c r="C73" s="23">
        <f t="shared" si="6"/>
        <v>46083</v>
      </c>
      <c r="E73" s="24" t="str">
        <f>IF(NOT(ISBLANK(G6copy!B73)),G6copy!B73,"")</f>
        <v>2026-03-27T00:00:00.0000000</v>
      </c>
      <c r="F73" s="24" t="str">
        <f>IF(E73&lt;&gt;"",G6copy!A73,"")</f>
        <v>Toetsweek: BE, BIO</v>
      </c>
      <c r="G73" s="24" t="str">
        <f>IF(E73&lt;&gt;"",G6copy!F73,"")</f>
        <v>2026-03-02T21:49:56.0537259+00:00</v>
      </c>
    </row>
    <row r="74" spans="1:7" ht="15.75" customHeight="1">
      <c r="A74" s="23">
        <f t="shared" si="4"/>
        <v>46111</v>
      </c>
      <c r="B74" t="str">
        <f t="shared" si="5"/>
        <v>SE inhalen</v>
      </c>
      <c r="C74" s="23">
        <f t="shared" si="6"/>
        <v>45896</v>
      </c>
      <c r="E74" s="24" t="str">
        <f>IF(NOT(ISBLANK(G6copy!B74)),G6copy!B74,"")</f>
        <v>2026-03-30T00:00:00.0000000</v>
      </c>
      <c r="F74" s="24" t="str">
        <f>IF(E74&lt;&gt;"",G6copy!A74,"")</f>
        <v>G6 SE inhalen</v>
      </c>
      <c r="G74" s="24" t="str">
        <f>IF(E74&lt;&gt;"",G6copy!F74,"")</f>
        <v>2025-08-27T18:06:13.0274514+00:00</v>
      </c>
    </row>
    <row r="75" spans="1:7" ht="15.75" customHeight="1">
      <c r="A75" s="23">
        <f t="shared" si="4"/>
        <v>46113</v>
      </c>
      <c r="B75" t="str">
        <f t="shared" si="5"/>
        <v>KuDr regie</v>
      </c>
      <c r="C75" s="23">
        <f t="shared" si="6"/>
        <v>45896</v>
      </c>
      <c r="E75" s="24" t="str">
        <f>IF(NOT(ISBLANK(G6copy!B75)),G6copy!B75,"")</f>
        <v>2026-04-01T00:00:00.0000000</v>
      </c>
      <c r="F75" s="24" t="str">
        <f>IF(E75&lt;&gt;"",G6copy!A75,"")</f>
        <v>G6 KuDr regie</v>
      </c>
      <c r="G75" s="24" t="str">
        <f>IF(E75&lt;&gt;"",G6copy!F75,"")</f>
        <v>2025-08-27T18:06:12.8424438+00:00</v>
      </c>
    </row>
    <row r="76" spans="1:7" ht="15.75" customHeight="1">
      <c r="A76" s="23">
        <f t="shared" si="4"/>
        <v>46114</v>
      </c>
      <c r="B76" t="str">
        <f t="shared" si="5"/>
        <v>SE herkansing opgave 09:00 uur</v>
      </c>
      <c r="C76" s="23">
        <f t="shared" si="6"/>
        <v>45896</v>
      </c>
      <c r="E76" s="24" t="str">
        <f>IF(NOT(ISBLANK(G6copy!B76)),G6copy!B76,"")</f>
        <v>2026-04-02T00:00:00.0000000</v>
      </c>
      <c r="F76" s="24" t="str">
        <f>IF(E76&lt;&gt;"",G6copy!A76,"")</f>
        <v>G6 SE herkansing opgave 09:00 uur</v>
      </c>
      <c r="G76" s="24" t="str">
        <f>IF(E76&lt;&gt;"",G6copy!F76,"")</f>
        <v>2025-08-27T18:06:05.5351194+00:00</v>
      </c>
    </row>
    <row r="77" spans="1:7" ht="15.75" customHeight="1">
      <c r="A77" s="23">
        <f t="shared" si="4"/>
        <v>46120</v>
      </c>
      <c r="B77" t="str">
        <f t="shared" si="5"/>
        <v>SE herkansen</v>
      </c>
      <c r="C77" s="23">
        <f t="shared" si="6"/>
        <v>45896</v>
      </c>
      <c r="E77" s="24" t="str">
        <f>IF(NOT(ISBLANK(G6copy!B77)),G6copy!B77,"")</f>
        <v>2026-04-08T00:00:00.0000000</v>
      </c>
      <c r="F77" s="24" t="str">
        <f>IF(E77&lt;&gt;"",G6copy!A77,"")</f>
        <v>G6 SE herkansen</v>
      </c>
      <c r="G77" s="24" t="str">
        <f>IF(E77&lt;&gt;"",G6copy!F77,"")</f>
        <v>2025-08-27T18:06:05.2702345+00:00</v>
      </c>
    </row>
    <row r="78" spans="1:7" ht="15.75" customHeight="1">
      <c r="A78" s="23">
        <f t="shared" si="4"/>
        <v>46129</v>
      </c>
      <c r="B78" t="str">
        <f t="shared" si="5"/>
        <v>SEcijfers inleveren</v>
      </c>
      <c r="C78" s="23">
        <f t="shared" si="6"/>
        <v>45896</v>
      </c>
      <c r="E78" s="24" t="str">
        <f>IF(NOT(ISBLANK(G6copy!B78)),G6copy!B78,"")</f>
        <v>2026-04-17T00:00:00.0000000</v>
      </c>
      <c r="F78" s="24" t="str">
        <f>IF(E78&lt;&gt;"",G6copy!A78,"")</f>
        <v>G6 SEcijfers inleveren</v>
      </c>
      <c r="G78" s="24" t="str">
        <f>IF(E78&lt;&gt;"",G6copy!F78,"")</f>
        <v>2025-08-27T18:06:11.7418947+00:00</v>
      </c>
    </row>
    <row r="79" spans="1:7" ht="15.75" customHeight="1">
      <c r="A79" s="23">
        <f t="shared" si="4"/>
        <v>46132</v>
      </c>
      <c r="B79" t="str">
        <f t="shared" si="5"/>
        <v>SEcijfers definitief</v>
      </c>
      <c r="C79" s="23">
        <f t="shared" si="6"/>
        <v>45896</v>
      </c>
      <c r="E79" s="24" t="str">
        <f>IF(NOT(ISBLANK(G6copy!B79)),G6copy!B79,"")</f>
        <v>2026-04-20T00:00:00.0000000</v>
      </c>
      <c r="F79" s="24" t="str">
        <f>IF(E79&lt;&gt;"",G6copy!A79,"")</f>
        <v>G6 SEcijfers definitief</v>
      </c>
      <c r="G79" s="24" t="str">
        <f>IF(E79&lt;&gt;"",G6copy!F79,"")</f>
        <v>2025-08-27T18:06:10.4679973+00:00</v>
      </c>
    </row>
    <row r="80" spans="1:7" ht="15.75" customHeight="1">
      <c r="A80" s="23">
        <f t="shared" si="4"/>
        <v>46133</v>
      </c>
      <c r="B80" t="str">
        <f t="shared" si="5"/>
        <v>ontvangstverklaringen</v>
      </c>
      <c r="C80" s="23">
        <f t="shared" si="6"/>
        <v>45922</v>
      </c>
      <c r="E80" s="24" t="str">
        <f>IF(NOT(ISBLANK(G6copy!B80)),G6copy!B80,"")</f>
        <v>2026-04-21T00:00:00.0000000</v>
      </c>
      <c r="F80" s="24" t="str">
        <f>IF(E80&lt;&gt;"",G6copy!A80,"")</f>
        <v>G6 ontvangstverklaringen</v>
      </c>
      <c r="G80" s="24" t="str">
        <f>IF(E80&lt;&gt;"",G6copy!F80,"")</f>
        <v>2025-09-22T10:40:19.2516099+00:00</v>
      </c>
    </row>
    <row r="81" spans="1:7" ht="15.75" customHeight="1">
      <c r="A81" s="23">
        <f t="shared" si="4"/>
        <v>46134</v>
      </c>
      <c r="B81" t="str">
        <f t="shared" si="5"/>
        <v>SEcijfers naar DUO/stunt 12 u</v>
      </c>
      <c r="C81" s="23">
        <f t="shared" si="6"/>
        <v>45896</v>
      </c>
      <c r="E81" s="24" t="str">
        <f>IF(NOT(ISBLANK(G6copy!B81)),G6copy!B81,"")</f>
        <v>2026-04-22T00:00:00.0000000</v>
      </c>
      <c r="F81" s="24" t="str">
        <f>IF(E81&lt;&gt;"",G6copy!A81,"")</f>
        <v>G6 SEcijfers naar DUO/stunt 12 u</v>
      </c>
      <c r="G81" s="24" t="str">
        <f>IF(E81&lt;&gt;"",G6copy!F81,"")</f>
        <v>2025-08-27T18:06:05.3815509+00:00</v>
      </c>
    </row>
    <row r="82" spans="1:7" ht="15.75" customHeight="1">
      <c r="A82" s="23">
        <f t="shared" si="4"/>
        <v>46150</v>
      </c>
      <c r="B82" t="str">
        <f t="shared" si="5"/>
        <v>KUA/BE</v>
      </c>
      <c r="C82" s="23">
        <f t="shared" si="6"/>
        <v>45896</v>
      </c>
      <c r="E82" s="24" t="str">
        <f>IF(NOT(ISBLANK(G6copy!B82)),G6copy!B82,"")</f>
        <v>2026-05-08T00:00:00.0000000</v>
      </c>
      <c r="F82" s="24" t="str">
        <f>IF(E82&lt;&gt;"",G6copy!A82,"")</f>
        <v>G6 KUA/BE</v>
      </c>
      <c r="G82" s="24" t="str">
        <f>IF(E82&lt;&gt;"",G6copy!F82,"")</f>
        <v>2025-08-27T18:06:04.3206955+00:00</v>
      </c>
    </row>
    <row r="83" spans="1:7" ht="15.75" customHeight="1">
      <c r="A83" s="23">
        <f t="shared" si="4"/>
        <v>46153</v>
      </c>
      <c r="B83" t="str">
        <f t="shared" si="5"/>
        <v>GS/NA</v>
      </c>
      <c r="C83" s="23">
        <f t="shared" si="6"/>
        <v>45896</v>
      </c>
      <c r="E83" s="24" t="str">
        <f>IF(NOT(ISBLANK(G6copy!B83)),G6copy!B83,"")</f>
        <v>2026-05-11T00:00:00.0000000</v>
      </c>
      <c r="F83" s="24" t="str">
        <f>IF(E83&lt;&gt;"",G6copy!A83,"")</f>
        <v>G6 GS/NA</v>
      </c>
      <c r="G83" s="24" t="str">
        <f>IF(E83&lt;&gt;"",G6copy!F83,"")</f>
        <v>2025-08-27T18:06:05.183105+00:00</v>
      </c>
    </row>
    <row r="84" spans="1:7" ht="15.75" customHeight="1">
      <c r="A84" s="23">
        <f t="shared" si="4"/>
        <v>46154</v>
      </c>
      <c r="B84" t="str">
        <f t="shared" si="5"/>
        <v xml:space="preserve">   /NE</v>
      </c>
      <c r="C84" s="23">
        <f t="shared" si="6"/>
        <v>45896</v>
      </c>
      <c r="E84" s="24" t="str">
        <f>IF(NOT(ISBLANK(G6copy!B84)),G6copy!B84,"")</f>
        <v>2026-05-12T00:00:00.0000000</v>
      </c>
      <c r="F84" s="24" t="str">
        <f>IF(E84&lt;&gt;"",G6copy!A84,"")</f>
        <v>G6    /NE</v>
      </c>
      <c r="G84" s="24" t="str">
        <f>IF(E84&lt;&gt;"",G6copy!F84,"")</f>
        <v>2025-08-27T18:06:04.9243954+00:00</v>
      </c>
    </row>
    <row r="85" spans="1:7" ht="15.75" customHeight="1">
      <c r="A85" s="23">
        <f t="shared" si="4"/>
        <v>46155</v>
      </c>
      <c r="B85" t="str">
        <f t="shared" si="5"/>
        <v>FI/WABC</v>
      </c>
      <c r="C85" s="23">
        <f t="shared" si="6"/>
        <v>45896</v>
      </c>
      <c r="E85" s="24" t="str">
        <f>IF(NOT(ISBLANK(G6copy!B85)),G6copy!B85,"")</f>
        <v>2026-05-13T00:00:00.0000000</v>
      </c>
      <c r="F85" s="24" t="str">
        <f>IF(E85&lt;&gt;"",G6copy!A85,"")</f>
        <v>G6 FI/WABC</v>
      </c>
      <c r="G85" s="24" t="str">
        <f>IF(E85&lt;&gt;"",G6copy!F85,"")</f>
        <v>2025-08-27T18:06:03.9813669+00:00</v>
      </c>
    </row>
    <row r="86" spans="1:7" ht="15.75" customHeight="1">
      <c r="A86" s="23">
        <f t="shared" si="4"/>
        <v>46160</v>
      </c>
      <c r="B86" t="str">
        <f t="shared" si="5"/>
        <v>DU/AK</v>
      </c>
      <c r="C86" s="23">
        <f t="shared" si="6"/>
        <v>45896</v>
      </c>
      <c r="E86" s="24" t="str">
        <f>IF(NOT(ISBLANK(G6copy!B86)),G6copy!B86,"")</f>
        <v>2026-05-18T00:00:00.0000000</v>
      </c>
      <c r="F86" s="24" t="str">
        <f>IF(E86&lt;&gt;"",G6copy!A86,"")</f>
        <v>G6 DU/AK</v>
      </c>
      <c r="G86" s="24" t="str">
        <f>IF(E86&lt;&gt;"",G6copy!F86,"")</f>
        <v>2025-08-27T18:06:03.7695285+00:00</v>
      </c>
    </row>
    <row r="87" spans="1:7" ht="15.75" customHeight="1">
      <c r="A87" s="23">
        <f t="shared" si="4"/>
        <v>46161</v>
      </c>
      <c r="B87" t="str">
        <f t="shared" si="5"/>
        <v>LA/SK</v>
      </c>
      <c r="C87" s="23">
        <f t="shared" si="6"/>
        <v>45896</v>
      </c>
      <c r="E87" s="24" t="str">
        <f>IF(NOT(ISBLANK(G6copy!B87)),G6copy!B87,"")</f>
        <v>2026-05-19T00:00:00.0000000</v>
      </c>
      <c r="F87" s="24" t="str">
        <f>IF(E87&lt;&gt;"",G6copy!A87,"")</f>
        <v>G6 LA/SK</v>
      </c>
      <c r="G87" s="24" t="str">
        <f>IF(E87&lt;&gt;"",G6copy!F87,"")</f>
        <v>2025-08-27T18:06:03.6307226+00:00</v>
      </c>
    </row>
    <row r="88" spans="1:7" ht="15.75" customHeight="1">
      <c r="A88" s="23">
        <f t="shared" si="4"/>
        <v>46162</v>
      </c>
      <c r="B88" t="str">
        <f t="shared" si="5"/>
        <v xml:space="preserve">   /EN</v>
      </c>
      <c r="C88" s="23">
        <f t="shared" si="6"/>
        <v>45896</v>
      </c>
      <c r="E88" s="24" t="str">
        <f>IF(NOT(ISBLANK(G6copy!B88)),G6copy!B88,"")</f>
        <v>2026-05-20T00:00:00.0000000</v>
      </c>
      <c r="F88" s="24" t="str">
        <f>IF(E88&lt;&gt;"",G6copy!A88,"")</f>
        <v>G6    /EN</v>
      </c>
      <c r="G88" s="24" t="str">
        <f>IF(E88&lt;&gt;"",G6copy!F88,"")</f>
        <v>2025-08-27T18:06:04.0098683+00:00</v>
      </c>
    </row>
    <row r="89" spans="1:7" ht="15.75" customHeight="1">
      <c r="A89" s="23">
        <f t="shared" si="4"/>
        <v>46163</v>
      </c>
      <c r="B89" t="str">
        <f t="shared" si="5"/>
        <v xml:space="preserve">   /EC</v>
      </c>
      <c r="C89" s="23">
        <f t="shared" si="6"/>
        <v>45896</v>
      </c>
      <c r="E89" s="24" t="str">
        <f>IF(NOT(ISBLANK(G6copy!B89)),G6copy!B89,"")</f>
        <v>2026-05-21T00:00:00.0000000</v>
      </c>
      <c r="F89" s="24" t="str">
        <f>IF(E89&lt;&gt;"",G6copy!A89,"")</f>
        <v>G6    /EC</v>
      </c>
      <c r="G89" s="24" t="str">
        <f>IF(E89&lt;&gt;"",G6copy!F89,"")</f>
        <v>2025-08-27T18:06:03.3599078+00:00</v>
      </c>
    </row>
    <row r="90" spans="1:7" ht="15.75" customHeight="1">
      <c r="A90" s="23">
        <f t="shared" si="4"/>
        <v>46164</v>
      </c>
      <c r="B90" t="str">
        <f t="shared" si="5"/>
        <v>GR/BI</v>
      </c>
      <c r="C90" s="23">
        <f t="shared" si="6"/>
        <v>45896</v>
      </c>
      <c r="E90" s="24" t="str">
        <f>IF(NOT(ISBLANK(G6copy!B90)),G6copy!B90,"")</f>
        <v>2026-05-22T00:00:00.0000000</v>
      </c>
      <c r="F90" s="24" t="str">
        <f>IF(E90&lt;&gt;"",G6copy!A90,"")</f>
        <v>G6 GR/BI</v>
      </c>
      <c r="G90" s="24" t="str">
        <f>IF(E90&lt;&gt;"",G6copy!F90,"")</f>
        <v>2025-08-27T18:06:03.8251404+00:00</v>
      </c>
    </row>
    <row r="91" spans="1:7" ht="15.75" customHeight="1">
      <c r="A91" s="23">
        <f t="shared" si="4"/>
        <v>46168</v>
      </c>
      <c r="B91" t="str">
        <f t="shared" si="5"/>
        <v xml:space="preserve">   /FA</v>
      </c>
      <c r="C91" s="23">
        <f t="shared" si="6"/>
        <v>45896</v>
      </c>
      <c r="E91" s="24" t="str">
        <f>IF(NOT(ISBLANK(G6copy!B91)),G6copy!B91,"")</f>
        <v>2026-05-26T00:00:00.0000000</v>
      </c>
      <c r="F91" s="24" t="str">
        <f>IF(E91&lt;&gt;"",G6copy!A91,"")</f>
        <v>G6    /FA</v>
      </c>
      <c r="G91" s="24" t="str">
        <f>IF(E91&lt;&gt;"",G6copy!F91,"")</f>
        <v>2025-08-27T18:06:02.8410558+00:00</v>
      </c>
    </row>
    <row r="92" spans="1:7" ht="15.75" customHeight="1">
      <c r="A92" s="23">
        <f t="shared" si="4"/>
        <v>46169</v>
      </c>
      <c r="B92" t="str">
        <f t="shared" si="5"/>
        <v xml:space="preserve">  /SP</v>
      </c>
      <c r="C92" s="23">
        <f t="shared" si="6"/>
        <v>45896</v>
      </c>
      <c r="E92" s="24" t="str">
        <f>IF(NOT(ISBLANK(G6copy!B92)),G6copy!B92,"")</f>
        <v>2026-05-27T00:00:00.0000000</v>
      </c>
      <c r="F92" s="24" t="str">
        <f>IF(E92&lt;&gt;"",G6copy!A92,"")</f>
        <v>G6   /SP</v>
      </c>
      <c r="G92" s="24" t="str">
        <f>IF(E92&lt;&gt;"",G6copy!F92,"")</f>
        <v>2025-08-27T18:06:02.7270375+00:00</v>
      </c>
    </row>
    <row r="93" spans="1:7" ht="15.75" customHeight="1">
      <c r="A93" s="23">
        <f t="shared" si="4"/>
        <v>46184</v>
      </c>
      <c r="B93" t="str">
        <f t="shared" si="5"/>
        <v>uitslag CE-I</v>
      </c>
      <c r="C93" s="23">
        <f t="shared" si="6"/>
        <v>45896</v>
      </c>
      <c r="E93" s="24" t="str">
        <f>IF(NOT(ISBLANK(G6copy!B93)),G6copy!B93,"")</f>
        <v>2026-06-11T00:00:00.0000000</v>
      </c>
      <c r="F93" s="24" t="str">
        <f>IF(E93&lt;&gt;"",G6copy!A93,"")</f>
        <v>G6 uitslag CE-I</v>
      </c>
      <c r="G93" s="24" t="str">
        <f>IF(E93&lt;&gt;"",G6copy!F93,"")</f>
        <v>2025-08-27T18:06:03.2713346+00:00</v>
      </c>
    </row>
    <row r="94" spans="1:7" ht="15.75" customHeight="1">
      <c r="A94" s="23">
        <f t="shared" si="4"/>
        <v>46189</v>
      </c>
      <c r="B94" t="str">
        <f t="shared" si="5"/>
        <v>CE-2</v>
      </c>
      <c r="C94" s="23">
        <f t="shared" si="6"/>
        <v>45896</v>
      </c>
      <c r="E94" s="24" t="str">
        <f>IF(NOT(ISBLANK(G6copy!B94)),G6copy!B94,"")</f>
        <v>2026-06-16T00:00:00.0000000</v>
      </c>
      <c r="F94" s="24" t="str">
        <f>IF(E94&lt;&gt;"",G6copy!A94,"")</f>
        <v>G6 CE-2</v>
      </c>
      <c r="G94" s="24" t="str">
        <f>IF(E94&lt;&gt;"",G6copy!F94,"")</f>
        <v>2025-08-27T18:06:02.3558886+00:00</v>
      </c>
    </row>
    <row r="95" spans="1:7" ht="15.75" customHeight="1">
      <c r="A95" s="23">
        <f t="shared" si="4"/>
        <v>46190</v>
      </c>
      <c r="B95" t="str">
        <f t="shared" si="5"/>
        <v>CE-2</v>
      </c>
      <c r="C95" s="23">
        <f t="shared" si="6"/>
        <v>45896</v>
      </c>
      <c r="E95" s="24" t="str">
        <f>IF(NOT(ISBLANK(G6copy!B95)),G6copy!B95,"")</f>
        <v>2026-06-17T00:00:00.0000000</v>
      </c>
      <c r="F95" s="24" t="str">
        <f>IF(E95&lt;&gt;"",G6copy!A95,"")</f>
        <v>G6 CE-2</v>
      </c>
      <c r="G95" s="24" t="str">
        <f>IF(E95&lt;&gt;"",G6copy!F95,"")</f>
        <v>2025-08-27T18:06:02.2559322+00:00</v>
      </c>
    </row>
    <row r="96" spans="1:7" ht="15.75" customHeight="1">
      <c r="A96" s="23">
        <f t="shared" si="4"/>
        <v>46191</v>
      </c>
      <c r="B96" t="str">
        <f t="shared" si="5"/>
        <v>CE-2</v>
      </c>
      <c r="C96" s="23">
        <f t="shared" si="6"/>
        <v>45896</v>
      </c>
      <c r="E96" s="24" t="str">
        <f>IF(NOT(ISBLANK(G6copy!B96)),G6copy!B96,"")</f>
        <v>2026-06-18T00:00:00.0000000</v>
      </c>
      <c r="F96" s="24" t="str">
        <f>IF(E96&lt;&gt;"",G6copy!A96,"")</f>
        <v>G6 CE-2</v>
      </c>
      <c r="G96" s="24" t="str">
        <f>IF(E96&lt;&gt;"",G6copy!F96,"")</f>
        <v>2025-08-27T18:06:02.1031927+00:00</v>
      </c>
    </row>
    <row r="97" spans="1:7" ht="15.75" customHeight="1">
      <c r="A97" s="23">
        <f t="shared" si="4"/>
        <v>46192</v>
      </c>
      <c r="B97" t="str">
        <f t="shared" si="5"/>
        <v>CE-2</v>
      </c>
      <c r="C97" s="23">
        <f t="shared" si="6"/>
        <v>45896</v>
      </c>
      <c r="E97" s="24" t="str">
        <f>IF(NOT(ISBLANK(G6copy!B97)),G6copy!B97,"")</f>
        <v>2026-06-19T00:00:00.0000000</v>
      </c>
      <c r="F97" s="24" t="str">
        <f>IF(E97&lt;&gt;"",G6copy!A97,"")</f>
        <v>G6 CE-2</v>
      </c>
      <c r="G97" s="24" t="str">
        <f>IF(E97&lt;&gt;"",G6copy!F97,"")</f>
        <v>2025-08-27T18:06:01.992773+00:00</v>
      </c>
    </row>
    <row r="98" spans="1:7" ht="15.75" customHeight="1">
      <c r="A98" s="23">
        <f t="shared" si="4"/>
        <v>46195</v>
      </c>
      <c r="B98" t="str">
        <f t="shared" si="5"/>
        <v>CE-2</v>
      </c>
      <c r="C98" s="23">
        <f t="shared" si="6"/>
        <v>45896</v>
      </c>
      <c r="E98" s="24" t="str">
        <f>IF(NOT(ISBLANK(G6copy!B98)),G6copy!B98,"")</f>
        <v>2026-06-22T00:00:00.0000000</v>
      </c>
      <c r="F98" s="24" t="str">
        <f>IF(E98&lt;&gt;"",G6copy!A98,"")</f>
        <v>G6 CE-2</v>
      </c>
      <c r="G98" s="24" t="str">
        <f>IF(E98&lt;&gt;"",G6copy!F98,"")</f>
        <v>2025-08-27T18:06:01.8413557+00:00</v>
      </c>
    </row>
    <row r="99" spans="1:7" ht="15.75" customHeight="1">
      <c r="A99" s="23">
        <f t="shared" si="4"/>
        <v>46196</v>
      </c>
      <c r="B99" t="str">
        <f t="shared" si="5"/>
        <v>CE-2</v>
      </c>
      <c r="C99" s="23">
        <f t="shared" si="6"/>
        <v>45896</v>
      </c>
      <c r="E99" s="24" t="str">
        <f>IF(NOT(ISBLANK(G6copy!B99)),G6copy!B99,"")</f>
        <v>2026-06-23T00:00:00.0000000</v>
      </c>
      <c r="F99" s="24" t="str">
        <f>IF(E99&lt;&gt;"",G6copy!A99,"")</f>
        <v>G6 CE-2</v>
      </c>
      <c r="G99" s="24" t="str">
        <f>IF(E99&lt;&gt;"",G6copy!F99,"")</f>
        <v>2025-08-27T18:06:01.7305842+00:00</v>
      </c>
    </row>
    <row r="100" spans="1:7" ht="15.75" customHeight="1">
      <c r="A100" s="23">
        <f t="shared" si="4"/>
        <v>46203</v>
      </c>
      <c r="B100" t="str">
        <f t="shared" si="5"/>
        <v>uitslag CE2</v>
      </c>
      <c r="C100" s="23">
        <f t="shared" si="6"/>
        <v>45896</v>
      </c>
      <c r="E100" s="24" t="str">
        <f>IF(NOT(ISBLANK(G6copy!B100)),G6copy!B100,"")</f>
        <v>2026-06-30T00:00:00.0000000</v>
      </c>
      <c r="F100" s="24" t="str">
        <f>IF(E100&lt;&gt;"",G6copy!A100,"")</f>
        <v>G6 uitslag CE2</v>
      </c>
      <c r="G100" s="24" t="str">
        <f>IF(E100&lt;&gt;"",G6copy!F100,"")</f>
        <v>2025-08-27T18:06:02.7610408+00:00</v>
      </c>
    </row>
    <row r="101" spans="1:7" ht="15.75" customHeight="1">
      <c r="A101" s="23">
        <f t="shared" si="4"/>
        <v>46217</v>
      </c>
      <c r="B101" t="str">
        <f t="shared" si="5"/>
        <v>diplomauitreiking 13.00  16.00  19.30</v>
      </c>
      <c r="C101" s="23">
        <f t="shared" si="6"/>
        <v>45896</v>
      </c>
      <c r="E101" s="24" t="str">
        <f>IF(NOT(ISBLANK(G6copy!B101)),G6copy!B101,"")</f>
        <v>2026-07-14T00:00:00.0000000</v>
      </c>
      <c r="F101" s="24" t="str">
        <f>IF(E101&lt;&gt;"",G6copy!A101,"")</f>
        <v>G6 diplomauitreiking 13.00  16.00  19.30</v>
      </c>
      <c r="G101" s="24" t="str">
        <f>IF(E101&lt;&gt;"",G6copy!F101,"")</f>
        <v>2025-08-27T18:06:01.4665521+00:00</v>
      </c>
    </row>
    <row r="102" spans="1:7" ht="15.75" customHeight="1">
      <c r="A102" s="23">
        <f t="shared" si="4"/>
        <v>46218</v>
      </c>
      <c r="B102" t="str">
        <f t="shared" si="5"/>
        <v>diplomauitreiking 10.30  13.30  16.30</v>
      </c>
      <c r="C102" s="23">
        <f t="shared" si="6"/>
        <v>45993</v>
      </c>
      <c r="E102" s="24" t="str">
        <f>IF(NOT(ISBLANK(G6copy!B102)),G6copy!B102,"")</f>
        <v>2026-07-15T00:00:00.0000000</v>
      </c>
      <c r="F102" s="24" t="str">
        <f>IF(E102&lt;&gt;"",G6copy!A102,"")</f>
        <v>G6 diplomauitreiking 10.30  13.30  16.30</v>
      </c>
      <c r="G102" s="24" t="str">
        <f>IF(E102&lt;&gt;"",G6copy!F102,"")</f>
        <v>2025-12-02T15:01:22.3717163+00:00</v>
      </c>
    </row>
    <row r="103" spans="1:7" ht="15.75" customHeight="1">
      <c r="A103" s="23" t="str">
        <f t="shared" si="4"/>
        <v/>
      </c>
      <c r="B103" t="str">
        <f t="shared" si="5"/>
        <v/>
      </c>
      <c r="C103" s="23" t="str">
        <f t="shared" si="6"/>
        <v/>
      </c>
      <c r="E103" s="24" t="str">
        <f>IF(NOT(ISBLANK(G6copy!B103)),G6copy!B103,"")</f>
        <v/>
      </c>
      <c r="F103" s="24" t="str">
        <f>IF(E103&lt;&gt;"",G6copy!A103,"")</f>
        <v/>
      </c>
      <c r="G103" s="24" t="str">
        <f>IF(E103&lt;&gt;"",G6copy!F103,"")</f>
        <v/>
      </c>
    </row>
    <row r="104" spans="1:7" ht="15.75" customHeight="1">
      <c r="A104" s="23" t="str">
        <f t="shared" si="4"/>
        <v/>
      </c>
      <c r="B104" t="str">
        <f t="shared" si="5"/>
        <v/>
      </c>
      <c r="C104" s="23" t="str">
        <f t="shared" si="6"/>
        <v/>
      </c>
      <c r="E104" s="24" t="str">
        <f>IF(NOT(ISBLANK(G6copy!B104)),G6copy!B104,"")</f>
        <v/>
      </c>
      <c r="F104" s="24" t="str">
        <f>IF(E104&lt;&gt;"",G6copy!A104,"")</f>
        <v/>
      </c>
      <c r="G104" s="24" t="str">
        <f>IF(E104&lt;&gt;"",G6copy!F104,"")</f>
        <v/>
      </c>
    </row>
    <row r="105" spans="1:7" ht="15.75" customHeight="1">
      <c r="A105" s="23" t="str">
        <f t="shared" si="4"/>
        <v/>
      </c>
      <c r="B105" t="str">
        <f t="shared" si="5"/>
        <v/>
      </c>
      <c r="C105" s="23" t="str">
        <f t="shared" si="6"/>
        <v/>
      </c>
      <c r="E105" s="24" t="str">
        <f>IF(NOT(ISBLANK(G6copy!B105)),G6copy!B105,"")</f>
        <v/>
      </c>
      <c r="F105" s="24" t="str">
        <f>IF(E105&lt;&gt;"",G6copy!A105,"")</f>
        <v/>
      </c>
      <c r="G105" s="24" t="str">
        <f>IF(E105&lt;&gt;"",G6copy!F105,"")</f>
        <v/>
      </c>
    </row>
    <row r="106" spans="1:7" ht="15.75" customHeight="1">
      <c r="A106" s="23" t="str">
        <f t="shared" si="4"/>
        <v/>
      </c>
      <c r="B106" t="str">
        <f t="shared" si="5"/>
        <v/>
      </c>
      <c r="C106" s="23" t="str">
        <f t="shared" si="6"/>
        <v/>
      </c>
      <c r="E106" s="24" t="str">
        <f>IF(NOT(ISBLANK(G6copy!B106)),G6copy!B106,"")</f>
        <v/>
      </c>
      <c r="F106" s="24" t="str">
        <f>IF(E106&lt;&gt;"",G6copy!A106,"")</f>
        <v/>
      </c>
      <c r="G106" s="24" t="str">
        <f>IF(E106&lt;&gt;"",G6copy!F106,"")</f>
        <v/>
      </c>
    </row>
    <row r="107" spans="1:7" ht="15.75" customHeight="1">
      <c r="A107" s="23" t="str">
        <f t="shared" si="4"/>
        <v/>
      </c>
      <c r="B107" t="str">
        <f t="shared" si="5"/>
        <v/>
      </c>
      <c r="C107" s="23" t="str">
        <f t="shared" si="6"/>
        <v/>
      </c>
      <c r="E107" s="24" t="str">
        <f>IF(NOT(ISBLANK(G6copy!B107)),G6copy!B107,"")</f>
        <v/>
      </c>
      <c r="F107" s="24" t="str">
        <f>IF(E107&lt;&gt;"",G6copy!A107,"")</f>
        <v/>
      </c>
      <c r="G107" s="24" t="str">
        <f>IF(E107&lt;&gt;"",G6copy!F107,"")</f>
        <v/>
      </c>
    </row>
    <row r="108" spans="1:7" ht="15.75" customHeight="1">
      <c r="A108" s="23" t="str">
        <f t="shared" si="4"/>
        <v/>
      </c>
      <c r="B108" t="str">
        <f t="shared" si="5"/>
        <v/>
      </c>
      <c r="C108" s="23" t="str">
        <f t="shared" si="6"/>
        <v/>
      </c>
      <c r="E108" s="24" t="str">
        <f>IF(NOT(ISBLANK(G6copy!B108)),G6copy!B108,"")</f>
        <v/>
      </c>
      <c r="F108" s="24" t="str">
        <f>IF(E108&lt;&gt;"",G6copy!A108,"")</f>
        <v/>
      </c>
      <c r="G108" s="24" t="str">
        <f>IF(E108&lt;&gt;"",G6copy!F108,"")</f>
        <v/>
      </c>
    </row>
    <row r="109" spans="1:7" ht="15.75" customHeight="1">
      <c r="A109" s="23" t="str">
        <f t="shared" si="4"/>
        <v/>
      </c>
      <c r="B109" t="str">
        <f t="shared" si="5"/>
        <v/>
      </c>
      <c r="C109" s="23" t="str">
        <f t="shared" si="6"/>
        <v/>
      </c>
      <c r="E109" s="24" t="str">
        <f>IF(NOT(ISBLANK(G6copy!B109)),G6copy!B109,"")</f>
        <v/>
      </c>
      <c r="F109" s="24" t="str">
        <f>IF(E109&lt;&gt;"",G6copy!A109,"")</f>
        <v/>
      </c>
      <c r="G109" s="24" t="str">
        <f>IF(E109&lt;&gt;"",G6copy!F109,"")</f>
        <v/>
      </c>
    </row>
    <row r="110" spans="1:7" ht="15.75" customHeight="1">
      <c r="A110" s="23" t="str">
        <f t="shared" si="4"/>
        <v/>
      </c>
      <c r="B110" t="str">
        <f t="shared" si="5"/>
        <v/>
      </c>
      <c r="C110" s="23" t="str">
        <f t="shared" si="6"/>
        <v/>
      </c>
      <c r="E110" s="24" t="str">
        <f>IF(NOT(ISBLANK(G6copy!B110)),G6copy!B110,"")</f>
        <v/>
      </c>
      <c r="F110" s="24" t="str">
        <f>IF(E110&lt;&gt;"",G6copy!A110,"")</f>
        <v/>
      </c>
      <c r="G110" s="24" t="str">
        <f>IF(E110&lt;&gt;"",G6copy!F110,"")</f>
        <v/>
      </c>
    </row>
    <row r="111" spans="1:7" ht="15.75" customHeight="1">
      <c r="A111" s="23" t="str">
        <f t="shared" si="4"/>
        <v/>
      </c>
      <c r="B111" t="str">
        <f t="shared" si="5"/>
        <v/>
      </c>
      <c r="C111" s="23" t="str">
        <f t="shared" si="6"/>
        <v/>
      </c>
      <c r="E111" s="24" t="str">
        <f>IF(NOT(ISBLANK(G6copy!B111)),G6copy!B111,"")</f>
        <v/>
      </c>
      <c r="F111" s="24" t="str">
        <f>IF(E111&lt;&gt;"",G6copy!A111,"")</f>
        <v/>
      </c>
      <c r="G111" s="24" t="str">
        <f>IF(E111&lt;&gt;"",G6copy!F111,"")</f>
        <v/>
      </c>
    </row>
    <row r="112" spans="1:7" ht="15.75" customHeight="1">
      <c r="A112" s="23" t="str">
        <f t="shared" si="4"/>
        <v/>
      </c>
      <c r="B112" t="str">
        <f t="shared" si="5"/>
        <v/>
      </c>
      <c r="C112" s="23" t="str">
        <f t="shared" si="6"/>
        <v/>
      </c>
      <c r="E112" s="24" t="str">
        <f>IF(NOT(ISBLANK(G6copy!B112)),G6copy!B112,"")</f>
        <v/>
      </c>
      <c r="F112" s="24" t="str">
        <f>IF(E112&lt;&gt;"",G6copy!A112,"")</f>
        <v/>
      </c>
      <c r="G112" s="24" t="str">
        <f>IF(E112&lt;&gt;"",G6copy!F112,"")</f>
        <v/>
      </c>
    </row>
    <row r="113" spans="1:7" ht="15.75" customHeight="1">
      <c r="A113" s="23" t="str">
        <f t="shared" si="4"/>
        <v/>
      </c>
      <c r="B113" t="str">
        <f t="shared" si="5"/>
        <v/>
      </c>
      <c r="C113" s="23" t="str">
        <f t="shared" si="6"/>
        <v/>
      </c>
      <c r="E113" s="24" t="str">
        <f>IF(NOT(ISBLANK(G6copy!B113)),G6copy!B113,"")</f>
        <v/>
      </c>
      <c r="F113" s="24" t="str">
        <f>IF(E113&lt;&gt;"",G6copy!A113,"")</f>
        <v/>
      </c>
      <c r="G113" s="24" t="str">
        <f>IF(E113&lt;&gt;"",G6copy!F113,"")</f>
        <v/>
      </c>
    </row>
    <row r="114" spans="1:7" ht="15.75" customHeight="1">
      <c r="A114" s="23" t="str">
        <f t="shared" si="4"/>
        <v/>
      </c>
      <c r="B114" t="str">
        <f t="shared" si="5"/>
        <v/>
      </c>
      <c r="C114" s="23" t="str">
        <f t="shared" si="6"/>
        <v/>
      </c>
      <c r="E114" s="24" t="str">
        <f>IF(NOT(ISBLANK(G6copy!B114)),G6copy!B114,"")</f>
        <v/>
      </c>
      <c r="F114" s="24" t="str">
        <f>IF(E114&lt;&gt;"",G6copy!A114,"")</f>
        <v/>
      </c>
      <c r="G114" s="24" t="str">
        <f>IF(E114&lt;&gt;"",G6copy!F114,"")</f>
        <v/>
      </c>
    </row>
    <row r="115" spans="1:7" ht="15.75" customHeight="1">
      <c r="A115" s="23" t="str">
        <f t="shared" si="4"/>
        <v/>
      </c>
      <c r="B115" t="str">
        <f t="shared" si="5"/>
        <v/>
      </c>
      <c r="C115" s="23" t="str">
        <f t="shared" si="6"/>
        <v/>
      </c>
      <c r="E115" s="24" t="str">
        <f>IF(NOT(ISBLANK(G6copy!B115)),G6copy!B115,"")</f>
        <v/>
      </c>
      <c r="F115" s="24" t="str">
        <f>IF(E115&lt;&gt;"",G6copy!A115,"")</f>
        <v/>
      </c>
      <c r="G115" s="24" t="str">
        <f>IF(E115&lt;&gt;"",G6copy!F115,"")</f>
        <v/>
      </c>
    </row>
    <row r="116" spans="1:7" ht="15.75" customHeight="1">
      <c r="A116" s="23" t="str">
        <f t="shared" si="4"/>
        <v/>
      </c>
      <c r="B116" t="str">
        <f t="shared" si="5"/>
        <v/>
      </c>
      <c r="C116" s="23" t="str">
        <f t="shared" si="6"/>
        <v/>
      </c>
      <c r="E116" s="24" t="str">
        <f>IF(NOT(ISBLANK(G6copy!B116)),G6copy!B116,"")</f>
        <v/>
      </c>
      <c r="F116" s="24" t="str">
        <f>IF(E116&lt;&gt;"",G6copy!A116,"")</f>
        <v/>
      </c>
      <c r="G116" s="24" t="str">
        <f>IF(E116&lt;&gt;"",G6copy!F116,"")</f>
        <v/>
      </c>
    </row>
    <row r="117" spans="1:7" ht="15.75" customHeight="1">
      <c r="A117" s="23" t="str">
        <f t="shared" si="4"/>
        <v/>
      </c>
      <c r="B117" t="str">
        <f t="shared" si="5"/>
        <v/>
      </c>
      <c r="C117" s="23" t="str">
        <f t="shared" si="6"/>
        <v/>
      </c>
      <c r="E117" s="24" t="str">
        <f>IF(NOT(ISBLANK(G6copy!B117)),G6copy!B117,"")</f>
        <v/>
      </c>
      <c r="F117" s="24" t="str">
        <f>IF(E117&lt;&gt;"",G6copy!A117,"")</f>
        <v/>
      </c>
      <c r="G117" s="24" t="str">
        <f>IF(E117&lt;&gt;"",G6copy!F117,"")</f>
        <v/>
      </c>
    </row>
    <row r="118" spans="1:7" ht="15.75" customHeight="1">
      <c r="A118" s="23" t="str">
        <f t="shared" si="4"/>
        <v/>
      </c>
      <c r="B118" t="str">
        <f t="shared" si="5"/>
        <v/>
      </c>
      <c r="C118" s="23" t="str">
        <f t="shared" si="6"/>
        <v/>
      </c>
      <c r="E118" s="24" t="str">
        <f>IF(NOT(ISBLANK(G6copy!B118)),G6copy!B118,"")</f>
        <v/>
      </c>
      <c r="F118" s="24" t="str">
        <f>IF(E118&lt;&gt;"",G6copy!A118,"")</f>
        <v/>
      </c>
      <c r="G118" s="24" t="str">
        <f>IF(E118&lt;&gt;"",G6copy!F118,"")</f>
        <v/>
      </c>
    </row>
    <row r="119" spans="1:7" ht="15.75" customHeight="1">
      <c r="A119" s="23" t="str">
        <f t="shared" si="4"/>
        <v/>
      </c>
      <c r="B119" t="str">
        <f t="shared" si="5"/>
        <v/>
      </c>
      <c r="C119" s="23" t="str">
        <f t="shared" si="6"/>
        <v/>
      </c>
      <c r="E119" s="24" t="str">
        <f>IF(NOT(ISBLANK(G6copy!B119)),G6copy!B119,"")</f>
        <v/>
      </c>
      <c r="F119" s="24" t="str">
        <f>IF(E119&lt;&gt;"",G6copy!A119,"")</f>
        <v/>
      </c>
      <c r="G119" s="24" t="str">
        <f>IF(E119&lt;&gt;"",G6copy!F119,"")</f>
        <v/>
      </c>
    </row>
    <row r="120" spans="1:7" ht="15.75" customHeight="1">
      <c r="A120" s="23" t="str">
        <f t="shared" si="4"/>
        <v/>
      </c>
      <c r="B120" t="str">
        <f t="shared" si="5"/>
        <v/>
      </c>
      <c r="C120" s="23" t="str">
        <f t="shared" si="6"/>
        <v/>
      </c>
      <c r="E120" s="24" t="str">
        <f>IF(NOT(ISBLANK(G6copy!B120)),G6copy!B120,"")</f>
        <v/>
      </c>
      <c r="F120" s="24" t="str">
        <f>IF(E120&lt;&gt;"",G6copy!A120,"")</f>
        <v/>
      </c>
      <c r="G120" s="24" t="str">
        <f>IF(E120&lt;&gt;"",G6copy!F120,"")</f>
        <v/>
      </c>
    </row>
    <row r="121" spans="1:7" ht="15.75" customHeight="1">
      <c r="A121" s="23" t="str">
        <f t="shared" si="4"/>
        <v/>
      </c>
      <c r="B121" t="str">
        <f t="shared" si="5"/>
        <v/>
      </c>
      <c r="C121" s="23" t="str">
        <f t="shared" si="6"/>
        <v/>
      </c>
      <c r="E121" s="24" t="str">
        <f>IF(NOT(ISBLANK(G6copy!B121)),G6copy!B121,"")</f>
        <v/>
      </c>
      <c r="F121" s="24" t="str">
        <f>IF(E121&lt;&gt;"",G6copy!A121,"")</f>
        <v/>
      </c>
      <c r="G121" s="24" t="str">
        <f>IF(E121&lt;&gt;"",G6copy!F121,"")</f>
        <v/>
      </c>
    </row>
    <row r="122" spans="1:7" ht="15.75" customHeight="1">
      <c r="A122" s="23" t="str">
        <f t="shared" si="4"/>
        <v/>
      </c>
      <c r="B122" t="str">
        <f t="shared" si="5"/>
        <v/>
      </c>
      <c r="C122" s="23" t="str">
        <f t="shared" si="6"/>
        <v/>
      </c>
      <c r="E122" s="24" t="str">
        <f>IF(NOT(ISBLANK(G6copy!B122)),G6copy!B122,"")</f>
        <v/>
      </c>
      <c r="F122" s="24" t="str">
        <f>IF(E122&lt;&gt;"",G6copy!A122,"")</f>
        <v/>
      </c>
      <c r="G122" s="24" t="str">
        <f>IF(E122&lt;&gt;"",G6copy!F122,"")</f>
        <v/>
      </c>
    </row>
    <row r="123" spans="1:7" ht="15.75" customHeight="1">
      <c r="A123" s="23" t="str">
        <f t="shared" si="4"/>
        <v/>
      </c>
      <c r="B123" t="str">
        <f t="shared" si="5"/>
        <v/>
      </c>
      <c r="C123" s="23" t="str">
        <f t="shared" si="6"/>
        <v/>
      </c>
      <c r="E123" s="24" t="str">
        <f>IF(NOT(ISBLANK(G6copy!B123)),G6copy!B123,"")</f>
        <v/>
      </c>
      <c r="F123" s="24" t="str">
        <f>IF(E123&lt;&gt;"",G6copy!A123,"")</f>
        <v/>
      </c>
      <c r="G123" s="24" t="str">
        <f>IF(E123&lt;&gt;"",G6copy!F123,"")</f>
        <v/>
      </c>
    </row>
    <row r="124" spans="1:7" ht="15.75" customHeight="1">
      <c r="A124" s="23" t="str">
        <f t="shared" si="4"/>
        <v/>
      </c>
      <c r="B124" t="str">
        <f t="shared" si="5"/>
        <v/>
      </c>
      <c r="C124" s="23" t="str">
        <f t="shared" si="6"/>
        <v/>
      </c>
      <c r="E124" s="24" t="str">
        <f>IF(NOT(ISBLANK(G6copy!B124)),G6copy!B124,"")</f>
        <v/>
      </c>
      <c r="F124" s="24" t="str">
        <f>IF(E124&lt;&gt;"",G6copy!A124,"")</f>
        <v/>
      </c>
      <c r="G124" s="24" t="str">
        <f>IF(E124&lt;&gt;"",G6copy!F124,"")</f>
        <v/>
      </c>
    </row>
    <row r="125" spans="1:7" ht="15.75" customHeight="1">
      <c r="A125" s="23" t="str">
        <f t="shared" si="4"/>
        <v/>
      </c>
      <c r="B125" t="str">
        <f t="shared" si="5"/>
        <v/>
      </c>
      <c r="C125" s="23" t="str">
        <f t="shared" si="6"/>
        <v/>
      </c>
      <c r="E125" s="24" t="str">
        <f>IF(NOT(ISBLANK(G6copy!B125)),G6copy!B125,"")</f>
        <v/>
      </c>
      <c r="F125" s="24" t="str">
        <f>IF(E125&lt;&gt;"",G6copy!A125,"")</f>
        <v/>
      </c>
      <c r="G125" s="24" t="str">
        <f>IF(E125&lt;&gt;"",G6copy!F125,"")</f>
        <v/>
      </c>
    </row>
    <row r="126" spans="1:7" ht="15.75" customHeight="1">
      <c r="A126" s="23" t="str">
        <f t="shared" si="4"/>
        <v/>
      </c>
      <c r="B126" t="str">
        <f t="shared" si="5"/>
        <v/>
      </c>
      <c r="C126" s="23" t="str">
        <f t="shared" si="6"/>
        <v/>
      </c>
      <c r="E126" s="24" t="str">
        <f>IF(NOT(ISBLANK(G6copy!B126)),G6copy!B126,"")</f>
        <v/>
      </c>
      <c r="F126" s="24" t="str">
        <f>IF(E126&lt;&gt;"",G6copy!A126,"")</f>
        <v/>
      </c>
      <c r="G126" s="24" t="str">
        <f>IF(E126&lt;&gt;"",G6copy!F126,"")</f>
        <v/>
      </c>
    </row>
    <row r="127" spans="1:7" ht="15.75" customHeight="1">
      <c r="A127" s="23" t="str">
        <f t="shared" si="4"/>
        <v/>
      </c>
      <c r="B127" t="str">
        <f t="shared" si="5"/>
        <v/>
      </c>
      <c r="C127" s="23" t="str">
        <f t="shared" si="6"/>
        <v/>
      </c>
      <c r="E127" s="24" t="str">
        <f>IF(NOT(ISBLANK(G6copy!B127)),G6copy!B127,"")</f>
        <v/>
      </c>
      <c r="F127" s="24" t="str">
        <f>IF(E127&lt;&gt;"",G6copy!A127,"")</f>
        <v/>
      </c>
      <c r="G127" s="24" t="str">
        <f>IF(E127&lt;&gt;"",G6copy!F127,"")</f>
        <v/>
      </c>
    </row>
    <row r="128" spans="1:7" ht="15.75" customHeight="1">
      <c r="A128" s="23" t="str">
        <f t="shared" si="4"/>
        <v/>
      </c>
      <c r="B128" t="str">
        <f t="shared" si="5"/>
        <v/>
      </c>
      <c r="C128" s="23" t="str">
        <f t="shared" si="6"/>
        <v/>
      </c>
      <c r="E128" s="24" t="str">
        <f>IF(NOT(ISBLANK(G6copy!B128)),G6copy!B128,"")</f>
        <v/>
      </c>
      <c r="F128" s="24" t="str">
        <f>IF(E128&lt;&gt;"",G6copy!A128,"")</f>
        <v/>
      </c>
      <c r="G128" s="24" t="str">
        <f>IF(E128&lt;&gt;"",G6copy!F128,"")</f>
        <v/>
      </c>
    </row>
    <row r="129" spans="1:7" ht="15.75" customHeight="1">
      <c r="A129" s="23" t="str">
        <f t="shared" si="4"/>
        <v/>
      </c>
      <c r="B129" t="str">
        <f t="shared" si="5"/>
        <v/>
      </c>
      <c r="C129" s="23" t="str">
        <f t="shared" si="6"/>
        <v/>
      </c>
      <c r="E129" s="24" t="str">
        <f>IF(NOT(ISBLANK(G6copy!B129)),G6copy!B129,"")</f>
        <v/>
      </c>
      <c r="F129" s="24" t="str">
        <f>IF(E129&lt;&gt;"",G6copy!A129,"")</f>
        <v/>
      </c>
      <c r="G129" s="24" t="str">
        <f>IF(E129&lt;&gt;"",G6copy!F129,"")</f>
        <v/>
      </c>
    </row>
    <row r="130" spans="1:7" ht="15.75" customHeight="1">
      <c r="A130" s="23" t="str">
        <f t="shared" si="4"/>
        <v/>
      </c>
      <c r="B130" t="str">
        <f t="shared" si="5"/>
        <v/>
      </c>
      <c r="C130" s="23" t="str">
        <f t="shared" si="6"/>
        <v/>
      </c>
      <c r="E130" s="24" t="str">
        <f>IF(NOT(ISBLANK(G6copy!B130)),G6copy!B130,"")</f>
        <v/>
      </c>
      <c r="F130" s="24" t="str">
        <f>IF(E130&lt;&gt;"",G6copy!A130,"")</f>
        <v/>
      </c>
      <c r="G130" s="24" t="str">
        <f>IF(E130&lt;&gt;"",G6copy!F130,"")</f>
        <v/>
      </c>
    </row>
    <row r="131" spans="1:7" ht="15.75" customHeight="1">
      <c r="A131" s="23" t="str">
        <f t="shared" ref="A131:A194" si="7">IF(E131&lt;&gt;"",DATEVALUE(LEFT(E131,10)),"")</f>
        <v/>
      </c>
      <c r="B131" t="str">
        <f t="shared" ref="B131:B194" si="8">IF(LEN(F131)&gt;3,RIGHT(F131,LEN(F131)-3),"")</f>
        <v/>
      </c>
      <c r="C131" s="23" t="str">
        <f t="shared" ref="C131:C194" si="9">IF(E131&lt;&gt;"",DATEVALUE(LEFT(G131,10)),"")</f>
        <v/>
      </c>
      <c r="E131" s="24" t="str">
        <f>IF(NOT(ISBLANK(G6copy!B131)),G6copy!B131,"")</f>
        <v/>
      </c>
      <c r="F131" s="24" t="str">
        <f>IF(E131&lt;&gt;"",G6copy!A131,"")</f>
        <v/>
      </c>
      <c r="G131" s="24" t="str">
        <f>IF(E131&lt;&gt;"",G6copy!F131,"")</f>
        <v/>
      </c>
    </row>
    <row r="132" spans="1:7" ht="15.75" customHeight="1">
      <c r="A132" s="23" t="str">
        <f t="shared" si="7"/>
        <v/>
      </c>
      <c r="B132" t="str">
        <f t="shared" si="8"/>
        <v/>
      </c>
      <c r="C132" s="23" t="str">
        <f t="shared" si="9"/>
        <v/>
      </c>
      <c r="E132" s="24" t="str">
        <f>IF(NOT(ISBLANK(G6copy!B132)),G6copy!B132,"")</f>
        <v/>
      </c>
      <c r="F132" s="24" t="str">
        <f>IF(E132&lt;&gt;"",G6copy!A132,"")</f>
        <v/>
      </c>
      <c r="G132" s="24" t="str">
        <f>IF(E132&lt;&gt;"",G6copy!F132,"")</f>
        <v/>
      </c>
    </row>
    <row r="133" spans="1:7" ht="15.75" customHeight="1">
      <c r="A133" s="23" t="str">
        <f t="shared" si="7"/>
        <v/>
      </c>
      <c r="B133" t="str">
        <f t="shared" si="8"/>
        <v/>
      </c>
      <c r="C133" s="23" t="str">
        <f t="shared" si="9"/>
        <v/>
      </c>
      <c r="E133" s="24" t="str">
        <f>IF(NOT(ISBLANK(G6copy!B133)),G6copy!B133,"")</f>
        <v/>
      </c>
      <c r="F133" s="24" t="str">
        <f>IF(E133&lt;&gt;"",G6copy!A133,"")</f>
        <v/>
      </c>
      <c r="G133" s="24" t="str">
        <f>IF(E133&lt;&gt;"",G6copy!F133,"")</f>
        <v/>
      </c>
    </row>
    <row r="134" spans="1:7" ht="15.75" customHeight="1">
      <c r="A134" s="23" t="str">
        <f t="shared" si="7"/>
        <v/>
      </c>
      <c r="B134" t="str">
        <f t="shared" si="8"/>
        <v/>
      </c>
      <c r="C134" s="23" t="str">
        <f t="shared" si="9"/>
        <v/>
      </c>
      <c r="E134" s="24" t="str">
        <f>IF(NOT(ISBLANK(G6copy!B134)),G6copy!B134,"")</f>
        <v/>
      </c>
      <c r="F134" s="24" t="str">
        <f>IF(E134&lt;&gt;"",G6copy!A134,"")</f>
        <v/>
      </c>
      <c r="G134" s="24" t="str">
        <f>IF(E134&lt;&gt;"",G6copy!F134,"")</f>
        <v/>
      </c>
    </row>
    <row r="135" spans="1:7" ht="15.75" customHeight="1">
      <c r="A135" s="23" t="str">
        <f t="shared" si="7"/>
        <v/>
      </c>
      <c r="B135" t="str">
        <f t="shared" si="8"/>
        <v/>
      </c>
      <c r="C135" s="23" t="str">
        <f t="shared" si="9"/>
        <v/>
      </c>
      <c r="E135" s="24" t="str">
        <f>IF(NOT(ISBLANK(G6copy!B135)),G6copy!B135,"")</f>
        <v/>
      </c>
      <c r="F135" s="24" t="str">
        <f>IF(E135&lt;&gt;"",G6copy!A135,"")</f>
        <v/>
      </c>
      <c r="G135" s="24" t="str">
        <f>IF(E135&lt;&gt;"",G6copy!F135,"")</f>
        <v/>
      </c>
    </row>
    <row r="136" spans="1:7" ht="15.75" customHeight="1">
      <c r="A136" s="23" t="str">
        <f t="shared" si="7"/>
        <v/>
      </c>
      <c r="B136" t="str">
        <f t="shared" si="8"/>
        <v/>
      </c>
      <c r="C136" s="23" t="str">
        <f t="shared" si="9"/>
        <v/>
      </c>
      <c r="E136" s="24" t="str">
        <f>IF(NOT(ISBLANK(G6copy!B136)),G6copy!B136,"")</f>
        <v/>
      </c>
      <c r="F136" s="24" t="str">
        <f>IF(E136&lt;&gt;"",G6copy!A136,"")</f>
        <v/>
      </c>
      <c r="G136" s="24" t="str">
        <f>IF(E136&lt;&gt;"",G6copy!F136,"")</f>
        <v/>
      </c>
    </row>
    <row r="137" spans="1:7" ht="15.75" customHeight="1">
      <c r="A137" s="23" t="str">
        <f t="shared" si="7"/>
        <v/>
      </c>
      <c r="B137" t="str">
        <f t="shared" si="8"/>
        <v/>
      </c>
      <c r="C137" s="23" t="str">
        <f t="shared" si="9"/>
        <v/>
      </c>
      <c r="E137" s="24" t="str">
        <f>IF(NOT(ISBLANK(G6copy!B137)),G6copy!B137,"")</f>
        <v/>
      </c>
      <c r="F137" s="24" t="str">
        <f>IF(E137&lt;&gt;"",G6copy!A137,"")</f>
        <v/>
      </c>
      <c r="G137" s="24" t="str">
        <f>IF(E137&lt;&gt;"",G6copy!F137,"")</f>
        <v/>
      </c>
    </row>
    <row r="138" spans="1:7" ht="15.75" customHeight="1">
      <c r="A138" s="23" t="str">
        <f t="shared" si="7"/>
        <v/>
      </c>
      <c r="B138" t="str">
        <f t="shared" si="8"/>
        <v/>
      </c>
      <c r="C138" s="23" t="str">
        <f t="shared" si="9"/>
        <v/>
      </c>
      <c r="E138" s="24" t="str">
        <f>IF(NOT(ISBLANK(G6copy!B138)),G6copy!B138,"")</f>
        <v/>
      </c>
      <c r="F138" s="24" t="str">
        <f>IF(E138&lt;&gt;"",G6copy!A138,"")</f>
        <v/>
      </c>
      <c r="G138" s="24" t="str">
        <f>IF(E138&lt;&gt;"",G6copy!F138,"")</f>
        <v/>
      </c>
    </row>
    <row r="139" spans="1:7" ht="15.75" customHeight="1">
      <c r="A139" s="23" t="str">
        <f t="shared" si="7"/>
        <v/>
      </c>
      <c r="B139" t="str">
        <f t="shared" si="8"/>
        <v/>
      </c>
      <c r="C139" s="23" t="str">
        <f t="shared" si="9"/>
        <v/>
      </c>
      <c r="E139" s="24" t="str">
        <f>IF(NOT(ISBLANK(G6copy!B139)),G6copy!B139,"")</f>
        <v/>
      </c>
      <c r="F139" s="24" t="str">
        <f>IF(E139&lt;&gt;"",G6copy!A139,"")</f>
        <v/>
      </c>
      <c r="G139" s="24" t="str">
        <f>IF(E139&lt;&gt;"",G6copy!F139,"")</f>
        <v/>
      </c>
    </row>
    <row r="140" spans="1:7" ht="15.75" customHeight="1">
      <c r="A140" s="23" t="str">
        <f t="shared" si="7"/>
        <v/>
      </c>
      <c r="B140" t="str">
        <f t="shared" si="8"/>
        <v/>
      </c>
      <c r="C140" s="23" t="str">
        <f t="shared" si="9"/>
        <v/>
      </c>
      <c r="E140" s="24" t="str">
        <f>IF(NOT(ISBLANK(G6copy!B140)),G6copy!B140,"")</f>
        <v/>
      </c>
      <c r="F140" s="24" t="str">
        <f>IF(E140&lt;&gt;"",G6copy!A140,"")</f>
        <v/>
      </c>
      <c r="G140" s="24" t="str">
        <f>IF(E140&lt;&gt;"",G6copy!F140,"")</f>
        <v/>
      </c>
    </row>
    <row r="141" spans="1:7" ht="15.75" customHeight="1">
      <c r="A141" s="23" t="str">
        <f t="shared" si="7"/>
        <v/>
      </c>
      <c r="B141" t="str">
        <f t="shared" si="8"/>
        <v/>
      </c>
      <c r="C141" s="23" t="str">
        <f t="shared" si="9"/>
        <v/>
      </c>
      <c r="E141" s="24" t="str">
        <f>IF(NOT(ISBLANK(G6copy!B141)),G6copy!B141,"")</f>
        <v/>
      </c>
      <c r="F141" s="24" t="str">
        <f>IF(E141&lt;&gt;"",G6copy!A141,"")</f>
        <v/>
      </c>
      <c r="G141" s="24" t="str">
        <f>IF(E141&lt;&gt;"",G6copy!F141,"")</f>
        <v/>
      </c>
    </row>
    <row r="142" spans="1:7" ht="15.75" customHeight="1">
      <c r="A142" s="23" t="str">
        <f t="shared" si="7"/>
        <v/>
      </c>
      <c r="B142" t="str">
        <f t="shared" si="8"/>
        <v/>
      </c>
      <c r="C142" s="23" t="str">
        <f t="shared" si="9"/>
        <v/>
      </c>
      <c r="E142" s="24" t="str">
        <f>IF(NOT(ISBLANK(G6copy!B142)),G6copy!B142,"")</f>
        <v/>
      </c>
      <c r="F142" s="24" t="str">
        <f>IF(E142&lt;&gt;"",G6copy!A142,"")</f>
        <v/>
      </c>
      <c r="G142" s="24" t="str">
        <f>IF(E142&lt;&gt;"",G6copy!F142,"")</f>
        <v/>
      </c>
    </row>
    <row r="143" spans="1:7" ht="15.75" customHeight="1">
      <c r="A143" s="23" t="str">
        <f t="shared" si="7"/>
        <v/>
      </c>
      <c r="B143" t="str">
        <f t="shared" si="8"/>
        <v/>
      </c>
      <c r="C143" s="23" t="str">
        <f t="shared" si="9"/>
        <v/>
      </c>
      <c r="E143" s="24" t="str">
        <f>IF(NOT(ISBLANK(G6copy!B143)),G6copy!B143,"")</f>
        <v/>
      </c>
      <c r="F143" s="24" t="str">
        <f>IF(E143&lt;&gt;"",G6copy!A143,"")</f>
        <v/>
      </c>
      <c r="G143" s="24" t="str">
        <f>IF(E143&lt;&gt;"",G6copy!F143,"")</f>
        <v/>
      </c>
    </row>
    <row r="144" spans="1:7" ht="15.75" customHeight="1">
      <c r="A144" s="23" t="str">
        <f t="shared" si="7"/>
        <v/>
      </c>
      <c r="B144" t="str">
        <f t="shared" si="8"/>
        <v/>
      </c>
      <c r="C144" s="23" t="str">
        <f t="shared" si="9"/>
        <v/>
      </c>
      <c r="E144" s="24" t="str">
        <f>IF(NOT(ISBLANK(G6copy!B144)),G6copy!B144,"")</f>
        <v/>
      </c>
      <c r="F144" s="24" t="str">
        <f>IF(E144&lt;&gt;"",G6copy!A144,"")</f>
        <v/>
      </c>
      <c r="G144" s="24" t="str">
        <f>IF(E144&lt;&gt;"",G6copy!F144,"")</f>
        <v/>
      </c>
    </row>
    <row r="145" spans="1:7" ht="15.75" customHeight="1">
      <c r="A145" s="23" t="str">
        <f t="shared" si="7"/>
        <v/>
      </c>
      <c r="B145" t="str">
        <f t="shared" si="8"/>
        <v/>
      </c>
      <c r="C145" s="23" t="str">
        <f t="shared" si="9"/>
        <v/>
      </c>
      <c r="E145" s="24" t="str">
        <f>IF(NOT(ISBLANK(G6copy!B145)),G6copy!B145,"")</f>
        <v/>
      </c>
      <c r="F145" s="24" t="str">
        <f>IF(E145&lt;&gt;"",G6copy!A145,"")</f>
        <v/>
      </c>
      <c r="G145" s="24" t="str">
        <f>IF(E145&lt;&gt;"",G6copy!F145,"")</f>
        <v/>
      </c>
    </row>
    <row r="146" spans="1:7" ht="15.75" customHeight="1">
      <c r="A146" s="23" t="str">
        <f t="shared" si="7"/>
        <v/>
      </c>
      <c r="B146" t="str">
        <f t="shared" si="8"/>
        <v/>
      </c>
      <c r="C146" s="23" t="str">
        <f t="shared" si="9"/>
        <v/>
      </c>
      <c r="E146" s="24" t="str">
        <f>IF(NOT(ISBLANK(G6copy!B146)),G6copy!B146,"")</f>
        <v/>
      </c>
      <c r="F146" s="24" t="str">
        <f>IF(E146&lt;&gt;"",G6copy!A146,"")</f>
        <v/>
      </c>
      <c r="G146" s="24" t="str">
        <f>IF(E146&lt;&gt;"",G6copy!F146,"")</f>
        <v/>
      </c>
    </row>
    <row r="147" spans="1:7" ht="15.75" customHeight="1">
      <c r="A147" s="23" t="str">
        <f t="shared" si="7"/>
        <v/>
      </c>
      <c r="B147" t="str">
        <f t="shared" si="8"/>
        <v/>
      </c>
      <c r="C147" s="23" t="str">
        <f t="shared" si="9"/>
        <v/>
      </c>
      <c r="E147" s="24" t="str">
        <f>IF(NOT(ISBLANK(G6copy!B147)),G6copy!B147,"")</f>
        <v/>
      </c>
      <c r="F147" s="24" t="str">
        <f>IF(E147&lt;&gt;"",G6copy!A147,"")</f>
        <v/>
      </c>
      <c r="G147" s="24" t="str">
        <f>IF(E147&lt;&gt;"",G6copy!F147,"")</f>
        <v/>
      </c>
    </row>
    <row r="148" spans="1:7" ht="15.75" customHeight="1">
      <c r="A148" s="23" t="str">
        <f t="shared" si="7"/>
        <v/>
      </c>
      <c r="B148" t="str">
        <f t="shared" si="8"/>
        <v/>
      </c>
      <c r="C148" s="23" t="str">
        <f t="shared" si="9"/>
        <v/>
      </c>
      <c r="E148" s="24" t="str">
        <f>IF(NOT(ISBLANK(G6copy!B148)),G6copy!B148,"")</f>
        <v/>
      </c>
      <c r="F148" s="24" t="str">
        <f>IF(E148&lt;&gt;"",G6copy!A148,"")</f>
        <v/>
      </c>
      <c r="G148" s="24" t="str">
        <f>IF(E148&lt;&gt;"",G6copy!F148,"")</f>
        <v/>
      </c>
    </row>
    <row r="149" spans="1:7" ht="15.75" customHeight="1">
      <c r="A149" s="23" t="str">
        <f t="shared" si="7"/>
        <v/>
      </c>
      <c r="B149" t="str">
        <f t="shared" si="8"/>
        <v/>
      </c>
      <c r="C149" s="23" t="str">
        <f t="shared" si="9"/>
        <v/>
      </c>
      <c r="E149" s="24" t="str">
        <f>IF(NOT(ISBLANK(G6copy!B149)),G6copy!B149,"")</f>
        <v/>
      </c>
      <c r="F149" s="24" t="str">
        <f>IF(E149&lt;&gt;"",G6copy!A149,"")</f>
        <v/>
      </c>
      <c r="G149" s="24" t="str">
        <f>IF(E149&lt;&gt;"",G6copy!F149,"")</f>
        <v/>
      </c>
    </row>
    <row r="150" spans="1:7" ht="15.75" customHeight="1">
      <c r="A150" s="23" t="str">
        <f t="shared" si="7"/>
        <v/>
      </c>
      <c r="B150" t="str">
        <f t="shared" si="8"/>
        <v/>
      </c>
      <c r="C150" s="23" t="str">
        <f t="shared" si="9"/>
        <v/>
      </c>
      <c r="E150" s="24" t="str">
        <f>IF(NOT(ISBLANK(G6copy!B150)),G6copy!B150,"")</f>
        <v/>
      </c>
      <c r="F150" s="24" t="str">
        <f>IF(E150&lt;&gt;"",G6copy!A150,"")</f>
        <v/>
      </c>
      <c r="G150" s="24" t="str">
        <f>IF(E150&lt;&gt;"",G6copy!F150,"")</f>
        <v/>
      </c>
    </row>
    <row r="151" spans="1:7" ht="15.75" customHeight="1">
      <c r="A151" s="23" t="str">
        <f t="shared" si="7"/>
        <v/>
      </c>
      <c r="B151" t="str">
        <f t="shared" si="8"/>
        <v/>
      </c>
      <c r="C151" s="23" t="str">
        <f t="shared" si="9"/>
        <v/>
      </c>
      <c r="E151" s="24" t="str">
        <f>IF(NOT(ISBLANK(G6copy!B151)),G6copy!B151,"")</f>
        <v/>
      </c>
      <c r="F151" s="24" t="str">
        <f>IF(E151&lt;&gt;"",G6copy!A151,"")</f>
        <v/>
      </c>
      <c r="G151" s="24" t="str">
        <f>IF(E151&lt;&gt;"",G6copy!F151,"")</f>
        <v/>
      </c>
    </row>
    <row r="152" spans="1:7" ht="15.75" customHeight="1">
      <c r="A152" s="23" t="str">
        <f t="shared" si="7"/>
        <v/>
      </c>
      <c r="B152" t="str">
        <f t="shared" si="8"/>
        <v/>
      </c>
      <c r="C152" s="23" t="str">
        <f t="shared" si="9"/>
        <v/>
      </c>
      <c r="E152" s="24" t="str">
        <f>IF(NOT(ISBLANK(G6copy!B152)),G6copy!B152,"")</f>
        <v/>
      </c>
      <c r="F152" s="24" t="str">
        <f>IF(E152&lt;&gt;"",G6copy!A152,"")</f>
        <v/>
      </c>
      <c r="G152" s="24" t="str">
        <f>IF(E152&lt;&gt;"",G6copy!F152,"")</f>
        <v/>
      </c>
    </row>
    <row r="153" spans="1:7" ht="15.75" customHeight="1">
      <c r="A153" s="23" t="str">
        <f t="shared" si="7"/>
        <v/>
      </c>
      <c r="B153" t="str">
        <f t="shared" si="8"/>
        <v/>
      </c>
      <c r="C153" s="23" t="str">
        <f t="shared" si="9"/>
        <v/>
      </c>
      <c r="E153" s="24" t="str">
        <f>IF(NOT(ISBLANK(G6copy!B153)),G6copy!B153,"")</f>
        <v/>
      </c>
      <c r="F153" s="24" t="str">
        <f>IF(E153&lt;&gt;"",G6copy!A153,"")</f>
        <v/>
      </c>
      <c r="G153" s="24" t="str">
        <f>IF(E153&lt;&gt;"",G6copy!F153,"")</f>
        <v/>
      </c>
    </row>
    <row r="154" spans="1:7" ht="15.75" customHeight="1">
      <c r="A154" s="23" t="str">
        <f t="shared" si="7"/>
        <v/>
      </c>
      <c r="B154" t="str">
        <f t="shared" si="8"/>
        <v/>
      </c>
      <c r="C154" s="23" t="str">
        <f t="shared" si="9"/>
        <v/>
      </c>
      <c r="E154" s="24" t="str">
        <f>IF(NOT(ISBLANK(G6copy!B154)),G6copy!B154,"")</f>
        <v/>
      </c>
      <c r="F154" s="24" t="str">
        <f>IF(E154&lt;&gt;"",G6copy!A154,"")</f>
        <v/>
      </c>
      <c r="G154" s="24" t="str">
        <f>IF(E154&lt;&gt;"",G6copy!F154,"")</f>
        <v/>
      </c>
    </row>
    <row r="155" spans="1:7" ht="15.75" customHeight="1">
      <c r="A155" s="23" t="str">
        <f t="shared" si="7"/>
        <v/>
      </c>
      <c r="B155" t="str">
        <f t="shared" si="8"/>
        <v/>
      </c>
      <c r="C155" s="23" t="str">
        <f t="shared" si="9"/>
        <v/>
      </c>
      <c r="E155" s="24" t="str">
        <f>IF(NOT(ISBLANK(G6copy!B155)),G6copy!B155,"")</f>
        <v/>
      </c>
      <c r="F155" s="24" t="str">
        <f>IF(E155&lt;&gt;"",G6copy!A155,"")</f>
        <v/>
      </c>
      <c r="G155" s="24" t="str">
        <f>IF(E155&lt;&gt;"",G6copy!F155,"")</f>
        <v/>
      </c>
    </row>
    <row r="156" spans="1:7" ht="15.75" customHeight="1">
      <c r="A156" s="23" t="str">
        <f t="shared" si="7"/>
        <v/>
      </c>
      <c r="B156" t="str">
        <f t="shared" si="8"/>
        <v/>
      </c>
      <c r="C156" s="23" t="str">
        <f t="shared" si="9"/>
        <v/>
      </c>
      <c r="E156" s="24" t="str">
        <f>IF(NOT(ISBLANK(G6copy!B156)),G6copy!B156,"")</f>
        <v/>
      </c>
      <c r="F156" s="24" t="str">
        <f>IF(E156&lt;&gt;"",G6copy!A156,"")</f>
        <v/>
      </c>
      <c r="G156" s="24" t="str">
        <f>IF(E156&lt;&gt;"",G6copy!F156,"")</f>
        <v/>
      </c>
    </row>
    <row r="157" spans="1:7" ht="15.75" customHeight="1">
      <c r="A157" s="23" t="str">
        <f t="shared" si="7"/>
        <v/>
      </c>
      <c r="B157" t="str">
        <f t="shared" si="8"/>
        <v/>
      </c>
      <c r="C157" s="23" t="str">
        <f t="shared" si="9"/>
        <v/>
      </c>
      <c r="E157" s="24" t="str">
        <f>IF(NOT(ISBLANK(G6copy!B157)),G6copy!B157,"")</f>
        <v/>
      </c>
      <c r="F157" s="24" t="str">
        <f>IF(E157&lt;&gt;"",G6copy!A157,"")</f>
        <v/>
      </c>
      <c r="G157" s="24" t="str">
        <f>IF(E157&lt;&gt;"",G6copy!F157,"")</f>
        <v/>
      </c>
    </row>
    <row r="158" spans="1:7" ht="15.75" customHeight="1">
      <c r="A158" s="23" t="str">
        <f t="shared" si="7"/>
        <v/>
      </c>
      <c r="B158" t="str">
        <f t="shared" si="8"/>
        <v/>
      </c>
      <c r="C158" s="23" t="str">
        <f t="shared" si="9"/>
        <v/>
      </c>
      <c r="E158" s="24" t="str">
        <f>IF(NOT(ISBLANK(G6copy!B158)),G6copy!B158,"")</f>
        <v/>
      </c>
      <c r="F158" s="24" t="str">
        <f>IF(E158&lt;&gt;"",G6copy!A158,"")</f>
        <v/>
      </c>
      <c r="G158" s="24" t="str">
        <f>IF(E158&lt;&gt;"",G6copy!F158,"")</f>
        <v/>
      </c>
    </row>
    <row r="159" spans="1:7" ht="15.75" customHeight="1">
      <c r="A159" s="23" t="str">
        <f t="shared" si="7"/>
        <v/>
      </c>
      <c r="B159" t="str">
        <f t="shared" si="8"/>
        <v/>
      </c>
      <c r="C159" s="23" t="str">
        <f t="shared" si="9"/>
        <v/>
      </c>
      <c r="E159" s="24" t="str">
        <f>IF(NOT(ISBLANK(G6copy!B159)),G6copy!B159,"")</f>
        <v/>
      </c>
      <c r="F159" s="24" t="str">
        <f>IF(E159&lt;&gt;"",G6copy!A159,"")</f>
        <v/>
      </c>
      <c r="G159" s="24" t="str">
        <f>IF(E159&lt;&gt;"",G6copy!F159,"")</f>
        <v/>
      </c>
    </row>
    <row r="160" spans="1:7" ht="15.75" customHeight="1">
      <c r="A160" s="23" t="str">
        <f t="shared" si="7"/>
        <v/>
      </c>
      <c r="B160" t="str">
        <f t="shared" si="8"/>
        <v/>
      </c>
      <c r="C160" s="23" t="str">
        <f t="shared" si="9"/>
        <v/>
      </c>
      <c r="E160" s="24" t="str">
        <f>IF(NOT(ISBLANK(G6copy!B160)),G6copy!B160,"")</f>
        <v/>
      </c>
      <c r="F160" s="24" t="str">
        <f>IF(E160&lt;&gt;"",G6copy!A160,"")</f>
        <v/>
      </c>
      <c r="G160" s="24" t="str">
        <f>IF(E160&lt;&gt;"",G6copy!F160,"")</f>
        <v/>
      </c>
    </row>
    <row r="161" spans="1:7" ht="15.75" customHeight="1">
      <c r="A161" s="23" t="str">
        <f t="shared" si="7"/>
        <v/>
      </c>
      <c r="B161" t="str">
        <f t="shared" si="8"/>
        <v/>
      </c>
      <c r="C161" s="23" t="str">
        <f t="shared" si="9"/>
        <v/>
      </c>
      <c r="E161" s="24" t="str">
        <f>IF(NOT(ISBLANK(G6copy!B161)),G6copy!B161,"")</f>
        <v/>
      </c>
      <c r="F161" s="24" t="str">
        <f>IF(E161&lt;&gt;"",G6copy!A161,"")</f>
        <v/>
      </c>
      <c r="G161" s="24" t="str">
        <f>IF(E161&lt;&gt;"",G6copy!F161,"")</f>
        <v/>
      </c>
    </row>
    <row r="162" spans="1:7" ht="15.75" customHeight="1">
      <c r="A162" s="23" t="str">
        <f t="shared" si="7"/>
        <v/>
      </c>
      <c r="B162" t="str">
        <f t="shared" si="8"/>
        <v/>
      </c>
      <c r="C162" s="23" t="str">
        <f t="shared" si="9"/>
        <v/>
      </c>
      <c r="E162" s="24" t="str">
        <f>IF(NOT(ISBLANK(G6copy!B162)),G6copy!B162,"")</f>
        <v/>
      </c>
      <c r="F162" s="24" t="str">
        <f>IF(E162&lt;&gt;"",G6copy!A162,"")</f>
        <v/>
      </c>
      <c r="G162" s="24" t="str">
        <f>IF(E162&lt;&gt;"",G6copy!F162,"")</f>
        <v/>
      </c>
    </row>
    <row r="163" spans="1:7" ht="15.75" customHeight="1">
      <c r="A163" s="23" t="str">
        <f t="shared" si="7"/>
        <v/>
      </c>
      <c r="B163" t="str">
        <f t="shared" si="8"/>
        <v/>
      </c>
      <c r="C163" s="23" t="str">
        <f t="shared" si="9"/>
        <v/>
      </c>
      <c r="E163" s="24" t="str">
        <f>IF(NOT(ISBLANK(G6copy!B163)),G6copy!B163,"")</f>
        <v/>
      </c>
      <c r="F163" s="24" t="str">
        <f>IF(E163&lt;&gt;"",G6copy!A163,"")</f>
        <v/>
      </c>
      <c r="G163" s="24" t="str">
        <f>IF(E163&lt;&gt;"",G6copy!F163,"")</f>
        <v/>
      </c>
    </row>
    <row r="164" spans="1:7" ht="15.75" customHeight="1">
      <c r="A164" s="23" t="str">
        <f t="shared" si="7"/>
        <v/>
      </c>
      <c r="B164" t="str">
        <f t="shared" si="8"/>
        <v/>
      </c>
      <c r="C164" s="23" t="str">
        <f t="shared" si="9"/>
        <v/>
      </c>
      <c r="E164" s="24" t="str">
        <f>IF(NOT(ISBLANK(G6copy!B164)),G6copy!B164,"")</f>
        <v/>
      </c>
      <c r="F164" s="24" t="str">
        <f>IF(E164&lt;&gt;"",G6copy!A164,"")</f>
        <v/>
      </c>
      <c r="G164" s="24" t="str">
        <f>IF(E164&lt;&gt;"",G6copy!F164,"")</f>
        <v/>
      </c>
    </row>
    <row r="165" spans="1:7" ht="15.75" customHeight="1">
      <c r="A165" s="23" t="str">
        <f t="shared" si="7"/>
        <v/>
      </c>
      <c r="B165" t="str">
        <f t="shared" si="8"/>
        <v/>
      </c>
      <c r="C165" s="23" t="str">
        <f t="shared" si="9"/>
        <v/>
      </c>
      <c r="E165" s="24" t="str">
        <f>IF(NOT(ISBLANK(G6copy!B165)),G6copy!B165,"")</f>
        <v/>
      </c>
      <c r="F165" s="24" t="str">
        <f>IF(E165&lt;&gt;"",G6copy!A165,"")</f>
        <v/>
      </c>
      <c r="G165" s="24" t="str">
        <f>IF(E165&lt;&gt;"",G6copy!F165,"")</f>
        <v/>
      </c>
    </row>
    <row r="166" spans="1:7" ht="15.75" customHeight="1">
      <c r="A166" s="23" t="str">
        <f t="shared" si="7"/>
        <v/>
      </c>
      <c r="B166" t="str">
        <f t="shared" si="8"/>
        <v/>
      </c>
      <c r="C166" s="23" t="str">
        <f t="shared" si="9"/>
        <v/>
      </c>
      <c r="E166" s="24" t="str">
        <f>IF(NOT(ISBLANK(G6copy!B166)),G6copy!B166,"")</f>
        <v/>
      </c>
      <c r="F166" s="24" t="str">
        <f>IF(E166&lt;&gt;"",G6copy!A166,"")</f>
        <v/>
      </c>
      <c r="G166" s="24" t="str">
        <f>IF(E166&lt;&gt;"",G6copy!F166,"")</f>
        <v/>
      </c>
    </row>
    <row r="167" spans="1:7" ht="15.75" customHeight="1">
      <c r="A167" s="23" t="str">
        <f t="shared" si="7"/>
        <v/>
      </c>
      <c r="B167" t="str">
        <f t="shared" si="8"/>
        <v/>
      </c>
      <c r="C167" s="23" t="str">
        <f t="shared" si="9"/>
        <v/>
      </c>
      <c r="E167" s="24" t="str">
        <f>IF(NOT(ISBLANK(G6copy!B167)),G6copy!B167,"")</f>
        <v/>
      </c>
      <c r="F167" s="24" t="str">
        <f>IF(E167&lt;&gt;"",G6copy!A167,"")</f>
        <v/>
      </c>
      <c r="G167" s="24" t="str">
        <f>IF(E167&lt;&gt;"",G6copy!F167,"")</f>
        <v/>
      </c>
    </row>
    <row r="168" spans="1:7" ht="15.75" customHeight="1">
      <c r="A168" s="23" t="str">
        <f t="shared" si="7"/>
        <v/>
      </c>
      <c r="B168" t="str">
        <f t="shared" si="8"/>
        <v/>
      </c>
      <c r="C168" s="23" t="str">
        <f t="shared" si="9"/>
        <v/>
      </c>
      <c r="E168" s="24" t="str">
        <f>IF(NOT(ISBLANK(G6copy!B168)),G6copy!B168,"")</f>
        <v/>
      </c>
      <c r="F168" s="24" t="str">
        <f>IF(E168&lt;&gt;"",G6copy!A168,"")</f>
        <v/>
      </c>
      <c r="G168" s="24" t="str">
        <f>IF(E168&lt;&gt;"",G6copy!F168,"")</f>
        <v/>
      </c>
    </row>
    <row r="169" spans="1:7" ht="15.75" customHeight="1">
      <c r="A169" s="23" t="str">
        <f t="shared" si="7"/>
        <v/>
      </c>
      <c r="B169" t="str">
        <f t="shared" si="8"/>
        <v/>
      </c>
      <c r="C169" s="23" t="str">
        <f t="shared" si="9"/>
        <v/>
      </c>
      <c r="E169" s="24" t="str">
        <f>IF(NOT(ISBLANK(G6copy!B169)),G6copy!B169,"")</f>
        <v/>
      </c>
      <c r="F169" s="24" t="str">
        <f>IF(E169&lt;&gt;"",G6copy!A169,"")</f>
        <v/>
      </c>
      <c r="G169" s="24" t="str">
        <f>IF(E169&lt;&gt;"",G6copy!F169,"")</f>
        <v/>
      </c>
    </row>
    <row r="170" spans="1:7" ht="15.75" customHeight="1">
      <c r="A170" s="23" t="str">
        <f t="shared" si="7"/>
        <v/>
      </c>
      <c r="B170" t="str">
        <f t="shared" si="8"/>
        <v/>
      </c>
      <c r="C170" s="23" t="str">
        <f t="shared" si="9"/>
        <v/>
      </c>
      <c r="E170" s="24" t="str">
        <f>IF(NOT(ISBLANK(G6copy!B170)),G6copy!B170,"")</f>
        <v/>
      </c>
      <c r="F170" s="24" t="str">
        <f>IF(E170&lt;&gt;"",G6copy!A170,"")</f>
        <v/>
      </c>
      <c r="G170" s="24" t="str">
        <f>IF(E170&lt;&gt;"",G6copy!F170,"")</f>
        <v/>
      </c>
    </row>
    <row r="171" spans="1:7" ht="15.75" customHeight="1">
      <c r="A171" s="23" t="str">
        <f t="shared" si="7"/>
        <v/>
      </c>
      <c r="B171" t="str">
        <f t="shared" si="8"/>
        <v/>
      </c>
      <c r="C171" s="23" t="str">
        <f t="shared" si="9"/>
        <v/>
      </c>
      <c r="E171" s="24" t="str">
        <f>IF(NOT(ISBLANK(G6copy!B171)),G6copy!B171,"")</f>
        <v/>
      </c>
      <c r="F171" s="24" t="str">
        <f>IF(E171&lt;&gt;"",G6copy!A171,"")</f>
        <v/>
      </c>
      <c r="G171" s="24" t="str">
        <f>IF(E171&lt;&gt;"",G6copy!F171,"")</f>
        <v/>
      </c>
    </row>
    <row r="172" spans="1:7" ht="15.75" customHeight="1">
      <c r="A172" s="23" t="str">
        <f t="shared" si="7"/>
        <v/>
      </c>
      <c r="B172" t="str">
        <f t="shared" si="8"/>
        <v/>
      </c>
      <c r="C172" s="23" t="str">
        <f t="shared" si="9"/>
        <v/>
      </c>
      <c r="E172" s="24" t="str">
        <f>IF(NOT(ISBLANK(G6copy!B172)),G6copy!B172,"")</f>
        <v/>
      </c>
      <c r="F172" s="24" t="str">
        <f>IF(E172&lt;&gt;"",G6copy!A172,"")</f>
        <v/>
      </c>
      <c r="G172" s="24" t="str">
        <f>IF(E172&lt;&gt;"",G6copy!F172,"")</f>
        <v/>
      </c>
    </row>
    <row r="173" spans="1:7" ht="15.75" customHeight="1">
      <c r="A173" s="23" t="str">
        <f t="shared" si="7"/>
        <v/>
      </c>
      <c r="B173" t="str">
        <f t="shared" si="8"/>
        <v/>
      </c>
      <c r="C173" s="23" t="str">
        <f t="shared" si="9"/>
        <v/>
      </c>
      <c r="E173" s="24" t="str">
        <f>IF(NOT(ISBLANK(G6copy!B173)),G6copy!B173,"")</f>
        <v/>
      </c>
      <c r="F173" s="24" t="str">
        <f>IF(E173&lt;&gt;"",G6copy!A173,"")</f>
        <v/>
      </c>
      <c r="G173" s="24" t="str">
        <f>IF(E173&lt;&gt;"",G6copy!F173,"")</f>
        <v/>
      </c>
    </row>
    <row r="174" spans="1:7" ht="15.75" customHeight="1">
      <c r="A174" s="23" t="str">
        <f t="shared" si="7"/>
        <v/>
      </c>
      <c r="B174" t="str">
        <f t="shared" si="8"/>
        <v/>
      </c>
      <c r="C174" s="23" t="str">
        <f t="shared" si="9"/>
        <v/>
      </c>
      <c r="E174" s="24" t="str">
        <f>IF(NOT(ISBLANK(G6copy!B174)),G6copy!B174,"")</f>
        <v/>
      </c>
      <c r="F174" s="24" t="str">
        <f>IF(E174&lt;&gt;"",G6copy!A174,"")</f>
        <v/>
      </c>
      <c r="G174" s="24" t="str">
        <f>IF(E174&lt;&gt;"",G6copy!F174,"")</f>
        <v/>
      </c>
    </row>
    <row r="175" spans="1:7" ht="15.75" customHeight="1">
      <c r="A175" s="23" t="str">
        <f t="shared" si="7"/>
        <v/>
      </c>
      <c r="B175" t="str">
        <f t="shared" si="8"/>
        <v/>
      </c>
      <c r="C175" s="23" t="str">
        <f t="shared" si="9"/>
        <v/>
      </c>
      <c r="E175" s="24" t="str">
        <f>IF(NOT(ISBLANK(G6copy!B175)),G6copy!B175,"")</f>
        <v/>
      </c>
      <c r="F175" s="24" t="str">
        <f>IF(E175&lt;&gt;"",G6copy!A175,"")</f>
        <v/>
      </c>
      <c r="G175" s="24" t="str">
        <f>IF(E175&lt;&gt;"",G6copy!F175,"")</f>
        <v/>
      </c>
    </row>
    <row r="176" spans="1:7" ht="15.75" customHeight="1">
      <c r="A176" s="23" t="str">
        <f t="shared" si="7"/>
        <v/>
      </c>
      <c r="B176" t="str">
        <f t="shared" si="8"/>
        <v/>
      </c>
      <c r="C176" s="23" t="str">
        <f t="shared" si="9"/>
        <v/>
      </c>
      <c r="E176" s="24" t="str">
        <f>IF(NOT(ISBLANK(G6copy!B176)),G6copy!B176,"")</f>
        <v/>
      </c>
      <c r="F176" s="24" t="str">
        <f>IF(E176&lt;&gt;"",G6copy!A176,"")</f>
        <v/>
      </c>
      <c r="G176" s="24" t="str">
        <f>IF(E176&lt;&gt;"",G6copy!F176,"")</f>
        <v/>
      </c>
    </row>
    <row r="177" spans="1:7" ht="15.75" customHeight="1">
      <c r="A177" s="23" t="str">
        <f t="shared" si="7"/>
        <v/>
      </c>
      <c r="B177" t="str">
        <f t="shared" si="8"/>
        <v/>
      </c>
      <c r="C177" s="23" t="str">
        <f t="shared" si="9"/>
        <v/>
      </c>
      <c r="E177" s="24" t="str">
        <f>IF(NOT(ISBLANK(G6copy!B177)),G6copy!B177,"")</f>
        <v/>
      </c>
      <c r="F177" s="24" t="str">
        <f>IF(E177&lt;&gt;"",G6copy!A177,"")</f>
        <v/>
      </c>
      <c r="G177" s="24" t="str">
        <f>IF(E177&lt;&gt;"",G6copy!F177,"")</f>
        <v/>
      </c>
    </row>
    <row r="178" spans="1:7" ht="15.75" customHeight="1">
      <c r="A178" s="23" t="str">
        <f t="shared" si="7"/>
        <v/>
      </c>
      <c r="B178" t="str">
        <f t="shared" si="8"/>
        <v/>
      </c>
      <c r="C178" s="23" t="str">
        <f t="shared" si="9"/>
        <v/>
      </c>
      <c r="E178" s="24" t="str">
        <f>IF(NOT(ISBLANK(G6copy!B178)),G6copy!B178,"")</f>
        <v/>
      </c>
      <c r="F178" s="24" t="str">
        <f>IF(E178&lt;&gt;"",G6copy!A178,"")</f>
        <v/>
      </c>
      <c r="G178" s="24" t="str">
        <f>IF(E178&lt;&gt;"",G6copy!F178,"")</f>
        <v/>
      </c>
    </row>
    <row r="179" spans="1:7" ht="15.75" customHeight="1">
      <c r="A179" s="23" t="str">
        <f t="shared" si="7"/>
        <v/>
      </c>
      <c r="B179" t="str">
        <f t="shared" si="8"/>
        <v/>
      </c>
      <c r="C179" s="23" t="str">
        <f t="shared" si="9"/>
        <v/>
      </c>
      <c r="E179" s="24" t="str">
        <f>IF(NOT(ISBLANK(G6copy!B179)),G6copy!B179,"")</f>
        <v/>
      </c>
      <c r="F179" s="24" t="str">
        <f>IF(E179&lt;&gt;"",G6copy!A179,"")</f>
        <v/>
      </c>
      <c r="G179" s="24" t="str">
        <f>IF(E179&lt;&gt;"",G6copy!F179,"")</f>
        <v/>
      </c>
    </row>
    <row r="180" spans="1:7" ht="15.75" customHeight="1">
      <c r="A180" s="23" t="str">
        <f t="shared" si="7"/>
        <v/>
      </c>
      <c r="B180" t="str">
        <f t="shared" si="8"/>
        <v/>
      </c>
      <c r="C180" s="23" t="str">
        <f t="shared" si="9"/>
        <v/>
      </c>
      <c r="E180" s="24" t="str">
        <f>IF(NOT(ISBLANK(G6copy!B180)),G6copy!B180,"")</f>
        <v/>
      </c>
      <c r="F180" s="24" t="str">
        <f>IF(E180&lt;&gt;"",G6copy!A180,"")</f>
        <v/>
      </c>
      <c r="G180" s="24" t="str">
        <f>IF(E180&lt;&gt;"",G6copy!F180,"")</f>
        <v/>
      </c>
    </row>
    <row r="181" spans="1:7" ht="15.75" customHeight="1">
      <c r="A181" s="23" t="str">
        <f t="shared" si="7"/>
        <v/>
      </c>
      <c r="B181" t="str">
        <f t="shared" si="8"/>
        <v/>
      </c>
      <c r="C181" s="23" t="str">
        <f t="shared" si="9"/>
        <v/>
      </c>
      <c r="E181" s="24" t="str">
        <f>IF(NOT(ISBLANK(G6copy!B181)),G6copy!B181,"")</f>
        <v/>
      </c>
      <c r="F181" s="24" t="str">
        <f>IF(E181&lt;&gt;"",G6copy!A181,"")</f>
        <v/>
      </c>
      <c r="G181" s="24" t="str">
        <f>IF(E181&lt;&gt;"",G6copy!F181,"")</f>
        <v/>
      </c>
    </row>
    <row r="182" spans="1:7" ht="15.75" customHeight="1">
      <c r="A182" s="23" t="str">
        <f t="shared" si="7"/>
        <v/>
      </c>
      <c r="B182" t="str">
        <f t="shared" si="8"/>
        <v/>
      </c>
      <c r="C182" s="23" t="str">
        <f t="shared" si="9"/>
        <v/>
      </c>
      <c r="E182" s="24" t="str">
        <f>IF(NOT(ISBLANK(G6copy!B182)),G6copy!B182,"")</f>
        <v/>
      </c>
      <c r="F182" s="24" t="str">
        <f>IF(E182&lt;&gt;"",G6copy!A182,"")</f>
        <v/>
      </c>
      <c r="G182" s="24" t="str">
        <f>IF(E182&lt;&gt;"",G6copy!F182,"")</f>
        <v/>
      </c>
    </row>
    <row r="183" spans="1:7" ht="15.75" customHeight="1">
      <c r="A183" s="23" t="str">
        <f t="shared" si="7"/>
        <v/>
      </c>
      <c r="B183" t="str">
        <f t="shared" si="8"/>
        <v/>
      </c>
      <c r="C183" s="23" t="str">
        <f t="shared" si="9"/>
        <v/>
      </c>
      <c r="E183" s="24" t="str">
        <f>IF(NOT(ISBLANK(G6copy!B183)),G6copy!B183,"")</f>
        <v/>
      </c>
      <c r="F183" s="24" t="str">
        <f>IF(E183&lt;&gt;"",G6copy!A183,"")</f>
        <v/>
      </c>
      <c r="G183" s="24" t="str">
        <f>IF(E183&lt;&gt;"",G6copy!F183,"")</f>
        <v/>
      </c>
    </row>
    <row r="184" spans="1:7" ht="15.75" customHeight="1">
      <c r="A184" s="23" t="str">
        <f t="shared" si="7"/>
        <v/>
      </c>
      <c r="B184" t="str">
        <f t="shared" si="8"/>
        <v/>
      </c>
      <c r="C184" s="23" t="str">
        <f t="shared" si="9"/>
        <v/>
      </c>
      <c r="E184" s="24" t="str">
        <f>IF(NOT(ISBLANK(G6copy!B184)),G6copy!B184,"")</f>
        <v/>
      </c>
      <c r="F184" s="24" t="str">
        <f>IF(E184&lt;&gt;"",G6copy!A184,"")</f>
        <v/>
      </c>
      <c r="G184" s="24" t="str">
        <f>IF(E184&lt;&gt;"",G6copy!F184,"")</f>
        <v/>
      </c>
    </row>
    <row r="185" spans="1:7" ht="15.75" customHeight="1">
      <c r="A185" s="23" t="str">
        <f t="shared" si="7"/>
        <v/>
      </c>
      <c r="B185" t="str">
        <f t="shared" si="8"/>
        <v/>
      </c>
      <c r="C185" s="23" t="str">
        <f t="shared" si="9"/>
        <v/>
      </c>
      <c r="E185" s="24" t="str">
        <f>IF(NOT(ISBLANK(G6copy!B185)),G6copy!B185,"")</f>
        <v/>
      </c>
      <c r="F185" s="24" t="str">
        <f>IF(E185&lt;&gt;"",G6copy!A185,"")</f>
        <v/>
      </c>
      <c r="G185" s="24" t="str">
        <f>IF(E185&lt;&gt;"",G6copy!F185,"")</f>
        <v/>
      </c>
    </row>
    <row r="186" spans="1:7" ht="15.75" customHeight="1">
      <c r="A186" s="23" t="str">
        <f t="shared" si="7"/>
        <v/>
      </c>
      <c r="B186" t="str">
        <f t="shared" si="8"/>
        <v/>
      </c>
      <c r="C186" s="23" t="str">
        <f t="shared" si="9"/>
        <v/>
      </c>
      <c r="E186" s="24" t="str">
        <f>IF(NOT(ISBLANK(G6copy!B186)),G6copy!B186,"")</f>
        <v/>
      </c>
      <c r="F186" s="24" t="str">
        <f>IF(E186&lt;&gt;"",G6copy!A186,"")</f>
        <v/>
      </c>
      <c r="G186" s="24" t="str">
        <f>IF(E186&lt;&gt;"",G6copy!F186,"")</f>
        <v/>
      </c>
    </row>
    <row r="187" spans="1:7" ht="15.75" customHeight="1">
      <c r="A187" s="23" t="str">
        <f t="shared" si="7"/>
        <v/>
      </c>
      <c r="B187" t="str">
        <f t="shared" si="8"/>
        <v/>
      </c>
      <c r="C187" s="23" t="str">
        <f t="shared" si="9"/>
        <v/>
      </c>
      <c r="E187" s="24" t="str">
        <f>IF(NOT(ISBLANK(G6copy!B187)),G6copy!B187,"")</f>
        <v/>
      </c>
      <c r="F187" s="24" t="str">
        <f>IF(E187&lt;&gt;"",G6copy!A187,"")</f>
        <v/>
      </c>
      <c r="G187" s="24" t="str">
        <f>IF(E187&lt;&gt;"",G6copy!F187,"")</f>
        <v/>
      </c>
    </row>
    <row r="188" spans="1:7" ht="15.75" customHeight="1">
      <c r="A188" s="23" t="str">
        <f t="shared" si="7"/>
        <v/>
      </c>
      <c r="B188" t="str">
        <f t="shared" si="8"/>
        <v/>
      </c>
      <c r="C188" s="23" t="str">
        <f t="shared" si="9"/>
        <v/>
      </c>
      <c r="E188" s="24" t="str">
        <f>IF(NOT(ISBLANK(G6copy!B188)),G6copy!B188,"")</f>
        <v/>
      </c>
      <c r="F188" s="24" t="str">
        <f>IF(E188&lt;&gt;"",G6copy!A188,"")</f>
        <v/>
      </c>
      <c r="G188" s="24" t="str">
        <f>IF(E188&lt;&gt;"",G6copy!F188,"")</f>
        <v/>
      </c>
    </row>
    <row r="189" spans="1:7" ht="15.75" customHeight="1">
      <c r="A189" s="23" t="str">
        <f t="shared" si="7"/>
        <v/>
      </c>
      <c r="B189" t="str">
        <f t="shared" si="8"/>
        <v/>
      </c>
      <c r="C189" s="23" t="str">
        <f t="shared" si="9"/>
        <v/>
      </c>
      <c r="E189" s="24" t="str">
        <f>IF(NOT(ISBLANK(G6copy!B189)),G6copy!B189,"")</f>
        <v/>
      </c>
      <c r="F189" s="24" t="str">
        <f>IF(E189&lt;&gt;"",G6copy!A189,"")</f>
        <v/>
      </c>
      <c r="G189" s="24" t="str">
        <f>IF(E189&lt;&gt;"",G6copy!F189,"")</f>
        <v/>
      </c>
    </row>
    <row r="190" spans="1:7" ht="15.75" customHeight="1">
      <c r="A190" s="23" t="str">
        <f t="shared" si="7"/>
        <v/>
      </c>
      <c r="B190" t="str">
        <f t="shared" si="8"/>
        <v/>
      </c>
      <c r="C190" s="23" t="str">
        <f t="shared" si="9"/>
        <v/>
      </c>
      <c r="E190" s="24" t="str">
        <f>IF(NOT(ISBLANK(G6copy!B190)),G6copy!B190,"")</f>
        <v/>
      </c>
      <c r="F190" s="24" t="str">
        <f>IF(E190&lt;&gt;"",G6copy!A190,"")</f>
        <v/>
      </c>
      <c r="G190" s="24" t="str">
        <f>IF(E190&lt;&gt;"",G6copy!F190,"")</f>
        <v/>
      </c>
    </row>
    <row r="191" spans="1:7" ht="15.75" customHeight="1">
      <c r="A191" s="23" t="str">
        <f t="shared" si="7"/>
        <v/>
      </c>
      <c r="B191" t="str">
        <f t="shared" si="8"/>
        <v/>
      </c>
      <c r="C191" s="23" t="str">
        <f t="shared" si="9"/>
        <v/>
      </c>
      <c r="E191" s="24" t="str">
        <f>IF(NOT(ISBLANK(G6copy!B191)),G6copy!B191,"")</f>
        <v/>
      </c>
      <c r="F191" s="24" t="str">
        <f>IF(E191&lt;&gt;"",G6copy!A191,"")</f>
        <v/>
      </c>
      <c r="G191" s="24" t="str">
        <f>IF(E191&lt;&gt;"",G6copy!F191,"")</f>
        <v/>
      </c>
    </row>
    <row r="192" spans="1:7" ht="15.75" customHeight="1">
      <c r="A192" s="23" t="str">
        <f t="shared" si="7"/>
        <v/>
      </c>
      <c r="B192" t="str">
        <f t="shared" si="8"/>
        <v/>
      </c>
      <c r="C192" s="23" t="str">
        <f t="shared" si="9"/>
        <v/>
      </c>
      <c r="E192" s="24" t="str">
        <f>IF(NOT(ISBLANK(G6copy!B192)),G6copy!B192,"")</f>
        <v/>
      </c>
      <c r="F192" s="24" t="str">
        <f>IF(E192&lt;&gt;"",G6copy!A192,"")</f>
        <v/>
      </c>
      <c r="G192" s="24" t="str">
        <f>IF(E192&lt;&gt;"",G6copy!F192,"")</f>
        <v/>
      </c>
    </row>
    <row r="193" spans="1:7" ht="15.75" customHeight="1">
      <c r="A193" s="23" t="str">
        <f t="shared" si="7"/>
        <v/>
      </c>
      <c r="B193" t="str">
        <f t="shared" si="8"/>
        <v/>
      </c>
      <c r="C193" s="23" t="str">
        <f t="shared" si="9"/>
        <v/>
      </c>
      <c r="E193" s="24" t="str">
        <f>IF(NOT(ISBLANK(G6copy!B193)),G6copy!B193,"")</f>
        <v/>
      </c>
      <c r="F193" s="24" t="str">
        <f>IF(E193&lt;&gt;"",G6copy!A193,"")</f>
        <v/>
      </c>
      <c r="G193" s="24" t="str">
        <f>IF(E193&lt;&gt;"",G6copy!F193,"")</f>
        <v/>
      </c>
    </row>
    <row r="194" spans="1:7" ht="15.75" customHeight="1">
      <c r="A194" s="23" t="str">
        <f t="shared" si="7"/>
        <v/>
      </c>
      <c r="B194" t="str">
        <f t="shared" si="8"/>
        <v/>
      </c>
      <c r="C194" s="23" t="str">
        <f t="shared" si="9"/>
        <v/>
      </c>
      <c r="E194" s="24" t="str">
        <f>IF(NOT(ISBLANK(G6copy!B194)),G6copy!B194,"")</f>
        <v/>
      </c>
      <c r="F194" s="24" t="str">
        <f>IF(E194&lt;&gt;"",G6copy!A194,"")</f>
        <v/>
      </c>
      <c r="G194" s="24" t="str">
        <f>IF(E194&lt;&gt;"",G6copy!F194,"")</f>
        <v/>
      </c>
    </row>
    <row r="195" spans="1:7" ht="15.75" customHeight="1">
      <c r="A195" s="23" t="str">
        <f t="shared" ref="A195:A258" si="10">IF(E195&lt;&gt;"",DATEVALUE(LEFT(E195,10)),"")</f>
        <v/>
      </c>
      <c r="B195" t="str">
        <f t="shared" ref="B195:B258" si="11">IF(LEN(F195)&gt;3,RIGHT(F195,LEN(F195)-3),"")</f>
        <v/>
      </c>
      <c r="C195" s="23" t="str">
        <f t="shared" ref="C195:C258" si="12">IF(E195&lt;&gt;"",DATEVALUE(LEFT(G195,10)),"")</f>
        <v/>
      </c>
      <c r="E195" s="24" t="str">
        <f>IF(NOT(ISBLANK(G6copy!B195)),G6copy!B195,"")</f>
        <v/>
      </c>
      <c r="F195" s="24" t="str">
        <f>IF(E195&lt;&gt;"",G6copy!A195,"")</f>
        <v/>
      </c>
      <c r="G195" s="24" t="str">
        <f>IF(E195&lt;&gt;"",G6copy!F195,"")</f>
        <v/>
      </c>
    </row>
    <row r="196" spans="1:7" ht="15.75" customHeight="1">
      <c r="A196" s="23" t="str">
        <f t="shared" si="10"/>
        <v/>
      </c>
      <c r="B196" t="str">
        <f t="shared" si="11"/>
        <v/>
      </c>
      <c r="C196" s="23" t="str">
        <f t="shared" si="12"/>
        <v/>
      </c>
      <c r="E196" s="24" t="str">
        <f>IF(NOT(ISBLANK(G6copy!B196)),G6copy!B196,"")</f>
        <v/>
      </c>
      <c r="F196" s="24" t="str">
        <f>IF(E196&lt;&gt;"",G6copy!A196,"")</f>
        <v/>
      </c>
      <c r="G196" s="24" t="str">
        <f>IF(E196&lt;&gt;"",G6copy!F196,"")</f>
        <v/>
      </c>
    </row>
    <row r="197" spans="1:7" ht="15.75" customHeight="1">
      <c r="A197" s="23" t="str">
        <f t="shared" si="10"/>
        <v/>
      </c>
      <c r="B197" t="str">
        <f t="shared" si="11"/>
        <v/>
      </c>
      <c r="C197" s="23" t="str">
        <f t="shared" si="12"/>
        <v/>
      </c>
      <c r="E197" s="24" t="str">
        <f>IF(NOT(ISBLANK(G6copy!B197)),G6copy!B197,"")</f>
        <v/>
      </c>
      <c r="F197" s="24" t="str">
        <f>IF(E197&lt;&gt;"",G6copy!A197,"")</f>
        <v/>
      </c>
      <c r="G197" s="24" t="str">
        <f>IF(E197&lt;&gt;"",G6copy!F197,"")</f>
        <v/>
      </c>
    </row>
    <row r="198" spans="1:7" ht="15.75" customHeight="1">
      <c r="A198" s="23" t="str">
        <f t="shared" si="10"/>
        <v/>
      </c>
      <c r="B198" t="str">
        <f t="shared" si="11"/>
        <v/>
      </c>
      <c r="C198" s="23" t="str">
        <f t="shared" si="12"/>
        <v/>
      </c>
      <c r="E198" s="24" t="str">
        <f>IF(NOT(ISBLANK(G6copy!B198)),G6copy!B198,"")</f>
        <v/>
      </c>
      <c r="F198" s="24" t="str">
        <f>IF(E198&lt;&gt;"",G6copy!A198,"")</f>
        <v/>
      </c>
      <c r="G198" s="24" t="str">
        <f>IF(E198&lt;&gt;"",G6copy!F198,"")</f>
        <v/>
      </c>
    </row>
    <row r="199" spans="1:7" ht="15.75" customHeight="1">
      <c r="A199" s="23" t="str">
        <f t="shared" si="10"/>
        <v/>
      </c>
      <c r="B199" t="str">
        <f t="shared" si="11"/>
        <v/>
      </c>
      <c r="C199" s="23" t="str">
        <f t="shared" si="12"/>
        <v/>
      </c>
      <c r="E199" s="24" t="str">
        <f>IF(NOT(ISBLANK(G6copy!B199)),G6copy!B199,"")</f>
        <v/>
      </c>
      <c r="F199" s="24" t="str">
        <f>IF(E199&lt;&gt;"",G6copy!A199,"")</f>
        <v/>
      </c>
      <c r="G199" s="24" t="str">
        <f>IF(E199&lt;&gt;"",G6copy!F199,"")</f>
        <v/>
      </c>
    </row>
    <row r="200" spans="1:7" ht="15.75" customHeight="1">
      <c r="A200" s="23" t="str">
        <f t="shared" si="10"/>
        <v/>
      </c>
      <c r="B200" t="str">
        <f t="shared" si="11"/>
        <v/>
      </c>
      <c r="C200" s="23" t="str">
        <f t="shared" si="12"/>
        <v/>
      </c>
      <c r="E200" s="24" t="str">
        <f>IF(NOT(ISBLANK(G6copy!B200)),G6copy!B200,"")</f>
        <v/>
      </c>
      <c r="F200" s="24" t="str">
        <f>IF(E200&lt;&gt;"",G6copy!A200,"")</f>
        <v/>
      </c>
      <c r="G200" s="24" t="str">
        <f>IF(E200&lt;&gt;"",G6copy!F200,"")</f>
        <v/>
      </c>
    </row>
    <row r="201" spans="1:7" ht="15.75" customHeight="1">
      <c r="A201" s="23" t="str">
        <f t="shared" si="10"/>
        <v/>
      </c>
      <c r="B201" t="str">
        <f t="shared" si="11"/>
        <v/>
      </c>
      <c r="C201" s="23" t="str">
        <f t="shared" si="12"/>
        <v/>
      </c>
      <c r="E201" s="24" t="str">
        <f>IF(NOT(ISBLANK(G6copy!B201)),G6copy!B201,"")</f>
        <v/>
      </c>
      <c r="F201" s="24" t="str">
        <f>IF(E201&lt;&gt;"",G6copy!A201,"")</f>
        <v/>
      </c>
      <c r="G201" s="24" t="str">
        <f>IF(E201&lt;&gt;"",G6copy!F201,"")</f>
        <v/>
      </c>
    </row>
    <row r="202" spans="1:7" ht="15.75" customHeight="1">
      <c r="A202" s="23" t="str">
        <f t="shared" si="10"/>
        <v/>
      </c>
      <c r="B202" t="str">
        <f t="shared" si="11"/>
        <v/>
      </c>
      <c r="C202" s="23" t="str">
        <f t="shared" si="12"/>
        <v/>
      </c>
      <c r="E202" s="24" t="str">
        <f>IF(NOT(ISBLANK(G6copy!B202)),G6copy!B202,"")</f>
        <v/>
      </c>
      <c r="F202" s="24" t="str">
        <f>IF(E202&lt;&gt;"",G6copy!A202,"")</f>
        <v/>
      </c>
      <c r="G202" s="24" t="str">
        <f>IF(E202&lt;&gt;"",G6copy!F202,"")</f>
        <v/>
      </c>
    </row>
    <row r="203" spans="1:7" ht="15.75" customHeight="1">
      <c r="A203" s="23" t="str">
        <f t="shared" si="10"/>
        <v/>
      </c>
      <c r="B203" t="str">
        <f t="shared" si="11"/>
        <v/>
      </c>
      <c r="C203" s="23" t="str">
        <f t="shared" si="12"/>
        <v/>
      </c>
      <c r="E203" s="24" t="str">
        <f>IF(NOT(ISBLANK(G6copy!B203)),G6copy!B203,"")</f>
        <v/>
      </c>
      <c r="F203" s="24" t="str">
        <f>IF(E203&lt;&gt;"",G6copy!A203,"")</f>
        <v/>
      </c>
      <c r="G203" s="24" t="str">
        <f>IF(E203&lt;&gt;"",G6copy!F203,"")</f>
        <v/>
      </c>
    </row>
    <row r="204" spans="1:7" ht="15.75" customHeight="1">
      <c r="A204" s="23" t="str">
        <f t="shared" si="10"/>
        <v/>
      </c>
      <c r="B204" t="str">
        <f t="shared" si="11"/>
        <v/>
      </c>
      <c r="C204" s="23" t="str">
        <f t="shared" si="12"/>
        <v/>
      </c>
      <c r="E204" s="24" t="str">
        <f>IF(NOT(ISBLANK(G6copy!B204)),G6copy!B204,"")</f>
        <v/>
      </c>
      <c r="F204" s="24" t="str">
        <f>IF(E204&lt;&gt;"",G6copy!A204,"")</f>
        <v/>
      </c>
      <c r="G204" s="24" t="str">
        <f>IF(E204&lt;&gt;"",G6copy!F204,"")</f>
        <v/>
      </c>
    </row>
    <row r="205" spans="1:7" ht="15.75" customHeight="1">
      <c r="A205" s="23" t="str">
        <f t="shared" si="10"/>
        <v/>
      </c>
      <c r="B205" t="str">
        <f t="shared" si="11"/>
        <v/>
      </c>
      <c r="C205" s="23" t="str">
        <f t="shared" si="12"/>
        <v/>
      </c>
      <c r="E205" s="24" t="str">
        <f>IF(NOT(ISBLANK(G6copy!B205)),G6copy!B205,"")</f>
        <v/>
      </c>
      <c r="F205" s="24" t="str">
        <f>IF(E205&lt;&gt;"",G6copy!A205,"")</f>
        <v/>
      </c>
      <c r="G205" s="24" t="str">
        <f>IF(E205&lt;&gt;"",G6copy!F205,"")</f>
        <v/>
      </c>
    </row>
    <row r="206" spans="1:7" ht="15.75" customHeight="1">
      <c r="A206" s="23" t="str">
        <f t="shared" si="10"/>
        <v/>
      </c>
      <c r="B206" t="str">
        <f t="shared" si="11"/>
        <v/>
      </c>
      <c r="C206" s="23" t="str">
        <f t="shared" si="12"/>
        <v/>
      </c>
      <c r="E206" s="24" t="str">
        <f>IF(NOT(ISBLANK(G6copy!B206)),G6copy!B206,"")</f>
        <v/>
      </c>
      <c r="F206" s="24" t="str">
        <f>IF(E206&lt;&gt;"",G6copy!A206,"")</f>
        <v/>
      </c>
      <c r="G206" s="24" t="str">
        <f>IF(E206&lt;&gt;"",G6copy!F206,"")</f>
        <v/>
      </c>
    </row>
    <row r="207" spans="1:7" ht="15.75" customHeight="1">
      <c r="A207" s="23" t="str">
        <f t="shared" si="10"/>
        <v/>
      </c>
      <c r="B207" t="str">
        <f t="shared" si="11"/>
        <v/>
      </c>
      <c r="C207" s="23" t="str">
        <f t="shared" si="12"/>
        <v/>
      </c>
      <c r="E207" s="24" t="str">
        <f>IF(NOT(ISBLANK(G6copy!B207)),G6copy!B207,"")</f>
        <v/>
      </c>
      <c r="F207" s="24" t="str">
        <f>IF(E207&lt;&gt;"",G6copy!A207,"")</f>
        <v/>
      </c>
      <c r="G207" s="24" t="str">
        <f>IF(E207&lt;&gt;"",G6copy!F207,"")</f>
        <v/>
      </c>
    </row>
    <row r="208" spans="1:7" ht="15.75" customHeight="1">
      <c r="A208" s="23" t="str">
        <f t="shared" si="10"/>
        <v/>
      </c>
      <c r="B208" t="str">
        <f t="shared" si="11"/>
        <v/>
      </c>
      <c r="C208" s="23" t="str">
        <f t="shared" si="12"/>
        <v/>
      </c>
      <c r="E208" s="24" t="str">
        <f>IF(NOT(ISBLANK(G6copy!B208)),G6copy!B208,"")</f>
        <v/>
      </c>
      <c r="F208" s="24" t="str">
        <f>IF(E208&lt;&gt;"",G6copy!A208,"")</f>
        <v/>
      </c>
      <c r="G208" s="24" t="str">
        <f>IF(E208&lt;&gt;"",G6copy!F208,"")</f>
        <v/>
      </c>
    </row>
    <row r="209" spans="1:7" ht="15.75" customHeight="1">
      <c r="A209" s="23" t="str">
        <f t="shared" si="10"/>
        <v/>
      </c>
      <c r="B209" t="str">
        <f t="shared" si="11"/>
        <v/>
      </c>
      <c r="C209" s="23" t="str">
        <f t="shared" si="12"/>
        <v/>
      </c>
      <c r="E209" s="24" t="str">
        <f>IF(NOT(ISBLANK(G6copy!B209)),G6copy!B209,"")</f>
        <v/>
      </c>
      <c r="F209" s="24" t="str">
        <f>IF(E209&lt;&gt;"",G6copy!A209,"")</f>
        <v/>
      </c>
      <c r="G209" s="24" t="str">
        <f>IF(E209&lt;&gt;"",G6copy!F209,"")</f>
        <v/>
      </c>
    </row>
    <row r="210" spans="1:7" ht="15.75" customHeight="1">
      <c r="A210" s="23" t="str">
        <f t="shared" si="10"/>
        <v/>
      </c>
      <c r="B210" t="str">
        <f t="shared" si="11"/>
        <v/>
      </c>
      <c r="C210" s="23" t="str">
        <f t="shared" si="12"/>
        <v/>
      </c>
      <c r="E210" s="24" t="str">
        <f>IF(NOT(ISBLANK(G6copy!B210)),G6copy!B210,"")</f>
        <v/>
      </c>
      <c r="F210" s="24" t="str">
        <f>IF(E210&lt;&gt;"",G6copy!A210,"")</f>
        <v/>
      </c>
      <c r="G210" s="24" t="str">
        <f>IF(E210&lt;&gt;"",G6copy!F210,"")</f>
        <v/>
      </c>
    </row>
    <row r="211" spans="1:7" ht="15.75" customHeight="1">
      <c r="A211" s="23" t="str">
        <f t="shared" si="10"/>
        <v/>
      </c>
      <c r="B211" t="str">
        <f t="shared" si="11"/>
        <v/>
      </c>
      <c r="C211" s="23" t="str">
        <f t="shared" si="12"/>
        <v/>
      </c>
      <c r="E211" s="24" t="str">
        <f>IF(NOT(ISBLANK(G6copy!B211)),G6copy!B211,"")</f>
        <v/>
      </c>
      <c r="F211" s="24" t="str">
        <f>IF(E211&lt;&gt;"",G6copy!A211,"")</f>
        <v/>
      </c>
      <c r="G211" s="24" t="str">
        <f>IF(E211&lt;&gt;"",G6copy!F211,"")</f>
        <v/>
      </c>
    </row>
    <row r="212" spans="1:7" ht="15.75" customHeight="1">
      <c r="A212" s="23" t="str">
        <f t="shared" si="10"/>
        <v/>
      </c>
      <c r="B212" t="str">
        <f t="shared" si="11"/>
        <v/>
      </c>
      <c r="C212" s="23" t="str">
        <f t="shared" si="12"/>
        <v/>
      </c>
      <c r="E212" s="24" t="str">
        <f>IF(NOT(ISBLANK(G6copy!B212)),G6copy!B212,"")</f>
        <v/>
      </c>
      <c r="F212" s="24" t="str">
        <f>IF(E212&lt;&gt;"",G6copy!A212,"")</f>
        <v/>
      </c>
      <c r="G212" s="24" t="str">
        <f>IF(E212&lt;&gt;"",G6copy!F212,"")</f>
        <v/>
      </c>
    </row>
    <row r="213" spans="1:7" ht="15.75" customHeight="1">
      <c r="A213" s="23" t="str">
        <f t="shared" si="10"/>
        <v/>
      </c>
      <c r="B213" t="str">
        <f t="shared" si="11"/>
        <v/>
      </c>
      <c r="C213" s="23" t="str">
        <f t="shared" si="12"/>
        <v/>
      </c>
      <c r="E213" s="24" t="str">
        <f>IF(NOT(ISBLANK(G6copy!B213)),G6copy!B213,"")</f>
        <v/>
      </c>
      <c r="F213" s="24" t="str">
        <f>IF(E213&lt;&gt;"",G6copy!A213,"")</f>
        <v/>
      </c>
      <c r="G213" s="24" t="str">
        <f>IF(E213&lt;&gt;"",G6copy!F213,"")</f>
        <v/>
      </c>
    </row>
    <row r="214" spans="1:7" ht="15.75" customHeight="1">
      <c r="A214" s="23" t="str">
        <f t="shared" si="10"/>
        <v/>
      </c>
      <c r="B214" t="str">
        <f t="shared" si="11"/>
        <v/>
      </c>
      <c r="C214" s="23" t="str">
        <f t="shared" si="12"/>
        <v/>
      </c>
      <c r="E214" s="24" t="str">
        <f>IF(NOT(ISBLANK(G6copy!B214)),G6copy!B214,"")</f>
        <v/>
      </c>
      <c r="F214" s="24" t="str">
        <f>IF(E214&lt;&gt;"",G6copy!A214,"")</f>
        <v/>
      </c>
      <c r="G214" s="24" t="str">
        <f>IF(E214&lt;&gt;"",G6copy!F214,"")</f>
        <v/>
      </c>
    </row>
    <row r="215" spans="1:7" ht="15.75" customHeight="1">
      <c r="A215" s="23" t="str">
        <f t="shared" si="10"/>
        <v/>
      </c>
      <c r="B215" t="str">
        <f t="shared" si="11"/>
        <v/>
      </c>
      <c r="C215" s="23" t="str">
        <f t="shared" si="12"/>
        <v/>
      </c>
      <c r="E215" s="24" t="str">
        <f>IF(NOT(ISBLANK(G6copy!B215)),G6copy!B215,"")</f>
        <v/>
      </c>
      <c r="F215" s="24" t="str">
        <f>IF(E215&lt;&gt;"",G6copy!A215,"")</f>
        <v/>
      </c>
      <c r="G215" s="24" t="str">
        <f>IF(E215&lt;&gt;"",G6copy!F215,"")</f>
        <v/>
      </c>
    </row>
    <row r="216" spans="1:7" ht="15.75" customHeight="1">
      <c r="A216" s="23" t="str">
        <f t="shared" si="10"/>
        <v/>
      </c>
      <c r="B216" t="str">
        <f t="shared" si="11"/>
        <v/>
      </c>
      <c r="C216" s="23" t="str">
        <f t="shared" si="12"/>
        <v/>
      </c>
      <c r="E216" s="24" t="str">
        <f>IF(NOT(ISBLANK(G6copy!B216)),G6copy!B216,"")</f>
        <v/>
      </c>
      <c r="F216" s="24" t="str">
        <f>IF(E216&lt;&gt;"",G6copy!A216,"")</f>
        <v/>
      </c>
      <c r="G216" s="24" t="str">
        <f>IF(E216&lt;&gt;"",G6copy!F216,"")</f>
        <v/>
      </c>
    </row>
    <row r="217" spans="1:7" ht="15.75" customHeight="1">
      <c r="A217" s="23" t="str">
        <f t="shared" si="10"/>
        <v/>
      </c>
      <c r="B217" t="str">
        <f t="shared" si="11"/>
        <v/>
      </c>
      <c r="C217" s="23" t="str">
        <f t="shared" si="12"/>
        <v/>
      </c>
      <c r="E217" s="24" t="str">
        <f>IF(NOT(ISBLANK(G6copy!B217)),G6copy!B217,"")</f>
        <v/>
      </c>
      <c r="F217" s="24" t="str">
        <f>IF(E217&lt;&gt;"",G6copy!A217,"")</f>
        <v/>
      </c>
      <c r="G217" s="24" t="str">
        <f>IF(E217&lt;&gt;"",G6copy!F217,"")</f>
        <v/>
      </c>
    </row>
    <row r="218" spans="1:7" ht="15.75" customHeight="1">
      <c r="A218" s="23" t="str">
        <f t="shared" si="10"/>
        <v/>
      </c>
      <c r="B218" t="str">
        <f t="shared" si="11"/>
        <v/>
      </c>
      <c r="C218" s="23" t="str">
        <f t="shared" si="12"/>
        <v/>
      </c>
      <c r="E218" s="24" t="str">
        <f>IF(NOT(ISBLANK(G6copy!B218)),G6copy!B218,"")</f>
        <v/>
      </c>
      <c r="F218" s="24" t="str">
        <f>IF(E218&lt;&gt;"",G6copy!A218,"")</f>
        <v/>
      </c>
      <c r="G218" s="24" t="str">
        <f>IF(E218&lt;&gt;"",G6copy!F218,"")</f>
        <v/>
      </c>
    </row>
    <row r="219" spans="1:7" ht="15.75" customHeight="1">
      <c r="A219" s="23" t="str">
        <f t="shared" si="10"/>
        <v/>
      </c>
      <c r="B219" t="str">
        <f t="shared" si="11"/>
        <v/>
      </c>
      <c r="C219" s="23" t="str">
        <f t="shared" si="12"/>
        <v/>
      </c>
      <c r="E219" s="24" t="str">
        <f>IF(NOT(ISBLANK(G6copy!B219)),G6copy!B219,"")</f>
        <v/>
      </c>
      <c r="F219" s="24" t="str">
        <f>IF(E219&lt;&gt;"",G6copy!A219,"")</f>
        <v/>
      </c>
      <c r="G219" s="24" t="str">
        <f>IF(E219&lt;&gt;"",G6copy!F219,"")</f>
        <v/>
      </c>
    </row>
    <row r="220" spans="1:7" ht="15.75" customHeight="1">
      <c r="A220" s="23" t="str">
        <f t="shared" si="10"/>
        <v/>
      </c>
      <c r="B220" t="str">
        <f t="shared" si="11"/>
        <v/>
      </c>
      <c r="C220" s="23" t="str">
        <f t="shared" si="12"/>
        <v/>
      </c>
      <c r="E220" s="24" t="str">
        <f>IF(NOT(ISBLANK(G6copy!B220)),G6copy!B220,"")</f>
        <v/>
      </c>
      <c r="F220" s="24" t="str">
        <f>IF(E220&lt;&gt;"",G6copy!A220,"")</f>
        <v/>
      </c>
      <c r="G220" s="24" t="str">
        <f>IF(E220&lt;&gt;"",G6copy!F220,"")</f>
        <v/>
      </c>
    </row>
    <row r="221" spans="1:7" ht="15.75" customHeight="1">
      <c r="A221" s="23" t="str">
        <f t="shared" si="10"/>
        <v/>
      </c>
      <c r="B221" t="str">
        <f t="shared" si="11"/>
        <v/>
      </c>
      <c r="C221" s="23" t="str">
        <f t="shared" si="12"/>
        <v/>
      </c>
      <c r="E221" s="24" t="str">
        <f>IF(NOT(ISBLANK(G6copy!B221)),G6copy!B221,"")</f>
        <v/>
      </c>
      <c r="F221" s="24" t="str">
        <f>IF(E221&lt;&gt;"",G6copy!A221,"")</f>
        <v/>
      </c>
      <c r="G221" s="24" t="str">
        <f>IF(E221&lt;&gt;"",G6copy!F221,"")</f>
        <v/>
      </c>
    </row>
    <row r="222" spans="1:7" ht="15.75" customHeight="1">
      <c r="A222" s="23" t="str">
        <f t="shared" si="10"/>
        <v/>
      </c>
      <c r="B222" t="str">
        <f t="shared" si="11"/>
        <v/>
      </c>
      <c r="C222" s="23" t="str">
        <f t="shared" si="12"/>
        <v/>
      </c>
      <c r="E222" s="24" t="str">
        <f>IF(NOT(ISBLANK(G6copy!B222)),G6copy!B222,"")</f>
        <v/>
      </c>
      <c r="F222" s="24" t="str">
        <f>IF(E222&lt;&gt;"",G6copy!A222,"")</f>
        <v/>
      </c>
      <c r="G222" s="24" t="str">
        <f>IF(E222&lt;&gt;"",G6copy!F222,"")</f>
        <v/>
      </c>
    </row>
    <row r="223" spans="1:7" ht="15.75" customHeight="1">
      <c r="A223" s="23" t="str">
        <f t="shared" si="10"/>
        <v/>
      </c>
      <c r="B223" t="str">
        <f t="shared" si="11"/>
        <v/>
      </c>
      <c r="C223" s="23" t="str">
        <f t="shared" si="12"/>
        <v/>
      </c>
      <c r="E223" s="24" t="str">
        <f>IF(NOT(ISBLANK(G6copy!B223)),G6copy!B223,"")</f>
        <v/>
      </c>
      <c r="F223" s="24" t="str">
        <f>IF(E223&lt;&gt;"",G6copy!A223,"")</f>
        <v/>
      </c>
      <c r="G223" s="24" t="str">
        <f>IF(E223&lt;&gt;"",G6copy!F223,"")</f>
        <v/>
      </c>
    </row>
    <row r="224" spans="1:7" ht="15.75" customHeight="1">
      <c r="A224" s="23" t="str">
        <f t="shared" si="10"/>
        <v/>
      </c>
      <c r="B224" t="str">
        <f t="shared" si="11"/>
        <v/>
      </c>
      <c r="C224" s="23" t="str">
        <f t="shared" si="12"/>
        <v/>
      </c>
      <c r="E224" s="24" t="str">
        <f>IF(NOT(ISBLANK(G6copy!B224)),G6copy!B224,"")</f>
        <v/>
      </c>
      <c r="F224" s="24" t="str">
        <f>IF(E224&lt;&gt;"",G6copy!A224,"")</f>
        <v/>
      </c>
      <c r="G224" s="24" t="str">
        <f>IF(E224&lt;&gt;"",G6copy!F224,"")</f>
        <v/>
      </c>
    </row>
    <row r="225" spans="1:7" ht="15.75" customHeight="1">
      <c r="A225" s="23" t="str">
        <f t="shared" si="10"/>
        <v/>
      </c>
      <c r="B225" t="str">
        <f t="shared" si="11"/>
        <v/>
      </c>
      <c r="C225" s="23" t="str">
        <f t="shared" si="12"/>
        <v/>
      </c>
      <c r="E225" s="24" t="str">
        <f>IF(NOT(ISBLANK(G6copy!B225)),G6copy!B225,"")</f>
        <v/>
      </c>
      <c r="F225" s="24" t="str">
        <f>IF(E225&lt;&gt;"",G6copy!A225,"")</f>
        <v/>
      </c>
      <c r="G225" s="24" t="str">
        <f>IF(E225&lt;&gt;"",G6copy!F225,"")</f>
        <v/>
      </c>
    </row>
    <row r="226" spans="1:7" ht="15.75" customHeight="1">
      <c r="A226" s="23" t="str">
        <f t="shared" si="10"/>
        <v/>
      </c>
      <c r="B226" t="str">
        <f t="shared" si="11"/>
        <v/>
      </c>
      <c r="C226" s="23" t="str">
        <f t="shared" si="12"/>
        <v/>
      </c>
      <c r="E226" s="24" t="str">
        <f>IF(NOT(ISBLANK(G6copy!B226)),G6copy!B226,"")</f>
        <v/>
      </c>
      <c r="F226" s="24" t="str">
        <f>IF(E226&lt;&gt;"",G6copy!A226,"")</f>
        <v/>
      </c>
      <c r="G226" s="24" t="str">
        <f>IF(E226&lt;&gt;"",G6copy!F226,"")</f>
        <v/>
      </c>
    </row>
    <row r="227" spans="1:7" ht="15.75" customHeight="1">
      <c r="A227" s="23" t="str">
        <f t="shared" si="10"/>
        <v/>
      </c>
      <c r="B227" t="str">
        <f t="shared" si="11"/>
        <v/>
      </c>
      <c r="C227" s="23" t="str">
        <f t="shared" si="12"/>
        <v/>
      </c>
      <c r="E227" s="24" t="str">
        <f>IF(NOT(ISBLANK(G6copy!B227)),G6copy!B227,"")</f>
        <v/>
      </c>
      <c r="F227" s="24" t="str">
        <f>IF(E227&lt;&gt;"",G6copy!A227,"")</f>
        <v/>
      </c>
      <c r="G227" s="24" t="str">
        <f>IF(E227&lt;&gt;"",G6copy!F227,"")</f>
        <v/>
      </c>
    </row>
    <row r="228" spans="1:7" ht="15.75" customHeight="1">
      <c r="A228" s="23" t="str">
        <f t="shared" si="10"/>
        <v/>
      </c>
      <c r="B228" t="str">
        <f t="shared" si="11"/>
        <v/>
      </c>
      <c r="C228" s="23" t="str">
        <f t="shared" si="12"/>
        <v/>
      </c>
      <c r="E228" s="24" t="str">
        <f>IF(NOT(ISBLANK(G6copy!B228)),G6copy!B228,"")</f>
        <v/>
      </c>
      <c r="F228" s="24" t="str">
        <f>IF(E228&lt;&gt;"",G6copy!A228,"")</f>
        <v/>
      </c>
      <c r="G228" s="24" t="str">
        <f>IF(E228&lt;&gt;"",G6copy!F228,"")</f>
        <v/>
      </c>
    </row>
    <row r="229" spans="1:7" ht="15.75" customHeight="1">
      <c r="A229" s="23" t="str">
        <f t="shared" si="10"/>
        <v/>
      </c>
      <c r="B229" t="str">
        <f t="shared" si="11"/>
        <v/>
      </c>
      <c r="C229" s="23" t="str">
        <f t="shared" si="12"/>
        <v/>
      </c>
      <c r="E229" s="24" t="str">
        <f>IF(NOT(ISBLANK(G6copy!B229)),G6copy!B229,"")</f>
        <v/>
      </c>
      <c r="F229" s="24" t="str">
        <f>IF(E229&lt;&gt;"",G6copy!A229,"")</f>
        <v/>
      </c>
      <c r="G229" s="24" t="str">
        <f>IF(E229&lt;&gt;"",G6copy!F229,"")</f>
        <v/>
      </c>
    </row>
    <row r="230" spans="1:7" ht="15.75" customHeight="1">
      <c r="A230" s="23" t="str">
        <f t="shared" si="10"/>
        <v/>
      </c>
      <c r="B230" t="str">
        <f t="shared" si="11"/>
        <v/>
      </c>
      <c r="C230" s="23" t="str">
        <f t="shared" si="12"/>
        <v/>
      </c>
      <c r="E230" s="24" t="str">
        <f>IF(NOT(ISBLANK(G6copy!B230)),G6copy!B230,"")</f>
        <v/>
      </c>
      <c r="F230" s="24" t="str">
        <f>IF(E230&lt;&gt;"",G6copy!A230,"")</f>
        <v/>
      </c>
      <c r="G230" s="24" t="str">
        <f>IF(E230&lt;&gt;"",G6copy!F230,"")</f>
        <v/>
      </c>
    </row>
    <row r="231" spans="1:7" ht="15.75" customHeight="1">
      <c r="A231" s="23" t="str">
        <f t="shared" si="10"/>
        <v/>
      </c>
      <c r="B231" t="str">
        <f t="shared" si="11"/>
        <v/>
      </c>
      <c r="C231" s="23" t="str">
        <f t="shared" si="12"/>
        <v/>
      </c>
      <c r="E231" s="24" t="str">
        <f>IF(NOT(ISBLANK(G6copy!B231)),G6copy!B231,"")</f>
        <v/>
      </c>
      <c r="F231" s="24" t="str">
        <f>IF(E231&lt;&gt;"",G6copy!A231,"")</f>
        <v/>
      </c>
      <c r="G231" s="24" t="str">
        <f>IF(E231&lt;&gt;"",G6copy!F231,"")</f>
        <v/>
      </c>
    </row>
    <row r="232" spans="1:7" ht="15.75" customHeight="1">
      <c r="A232" s="23" t="str">
        <f t="shared" si="10"/>
        <v/>
      </c>
      <c r="B232" t="str">
        <f t="shared" si="11"/>
        <v/>
      </c>
      <c r="C232" s="23" t="str">
        <f t="shared" si="12"/>
        <v/>
      </c>
      <c r="E232" s="24" t="str">
        <f>IF(NOT(ISBLANK(G6copy!B232)),G6copy!B232,"")</f>
        <v/>
      </c>
      <c r="F232" s="24" t="str">
        <f>IF(E232&lt;&gt;"",G6copy!A232,"")</f>
        <v/>
      </c>
      <c r="G232" s="24" t="str">
        <f>IF(E232&lt;&gt;"",G6copy!F232,"")</f>
        <v/>
      </c>
    </row>
    <row r="233" spans="1:7" ht="15.75" customHeight="1">
      <c r="A233" s="23" t="str">
        <f t="shared" si="10"/>
        <v/>
      </c>
      <c r="B233" t="str">
        <f t="shared" si="11"/>
        <v/>
      </c>
      <c r="C233" s="23" t="str">
        <f t="shared" si="12"/>
        <v/>
      </c>
      <c r="E233" s="24" t="str">
        <f>IF(NOT(ISBLANK(G6copy!B233)),G6copy!B233,"")</f>
        <v/>
      </c>
      <c r="F233" s="24" t="str">
        <f>IF(E233&lt;&gt;"",G6copy!A233,"")</f>
        <v/>
      </c>
      <c r="G233" s="24" t="str">
        <f>IF(E233&lt;&gt;"",G6copy!F233,"")</f>
        <v/>
      </c>
    </row>
    <row r="234" spans="1:7" ht="15.75" customHeight="1">
      <c r="A234" s="23" t="str">
        <f t="shared" si="10"/>
        <v/>
      </c>
      <c r="B234" t="str">
        <f t="shared" si="11"/>
        <v/>
      </c>
      <c r="C234" s="23" t="str">
        <f t="shared" si="12"/>
        <v/>
      </c>
      <c r="E234" s="24" t="str">
        <f>IF(NOT(ISBLANK(G6copy!B234)),G6copy!B234,"")</f>
        <v/>
      </c>
      <c r="F234" s="24" t="str">
        <f>IF(E234&lt;&gt;"",G6copy!A234,"")</f>
        <v/>
      </c>
      <c r="G234" s="24" t="str">
        <f>IF(E234&lt;&gt;"",G6copy!F234,"")</f>
        <v/>
      </c>
    </row>
    <row r="235" spans="1:7" ht="15.75" customHeight="1">
      <c r="A235" s="23" t="str">
        <f t="shared" si="10"/>
        <v/>
      </c>
      <c r="B235" t="str">
        <f t="shared" si="11"/>
        <v/>
      </c>
      <c r="C235" s="23" t="str">
        <f t="shared" si="12"/>
        <v/>
      </c>
      <c r="E235" s="24" t="str">
        <f>IF(NOT(ISBLANK(G6copy!B235)),G6copy!B235,"")</f>
        <v/>
      </c>
      <c r="F235" s="24" t="str">
        <f>IF(E235&lt;&gt;"",G6copy!A235,"")</f>
        <v/>
      </c>
      <c r="G235" s="24" t="str">
        <f>IF(E235&lt;&gt;"",G6copy!F235,"")</f>
        <v/>
      </c>
    </row>
    <row r="236" spans="1:7" ht="15.75" customHeight="1">
      <c r="A236" s="23" t="str">
        <f t="shared" si="10"/>
        <v/>
      </c>
      <c r="B236" t="str">
        <f t="shared" si="11"/>
        <v/>
      </c>
      <c r="C236" s="23" t="str">
        <f t="shared" si="12"/>
        <v/>
      </c>
      <c r="E236" s="24" t="str">
        <f>IF(NOT(ISBLANK(G6copy!B236)),G6copy!B236,"")</f>
        <v/>
      </c>
      <c r="F236" s="24" t="str">
        <f>IF(E236&lt;&gt;"",G6copy!A236,"")</f>
        <v/>
      </c>
      <c r="G236" s="24" t="str">
        <f>IF(E236&lt;&gt;"",G6copy!F236,"")</f>
        <v/>
      </c>
    </row>
    <row r="237" spans="1:7" ht="15.75" customHeight="1">
      <c r="A237" s="23" t="str">
        <f t="shared" si="10"/>
        <v/>
      </c>
      <c r="B237" t="str">
        <f t="shared" si="11"/>
        <v/>
      </c>
      <c r="C237" s="23" t="str">
        <f t="shared" si="12"/>
        <v/>
      </c>
      <c r="E237" s="24" t="str">
        <f>IF(NOT(ISBLANK(G6copy!B237)),G6copy!B237,"")</f>
        <v/>
      </c>
      <c r="F237" s="24" t="str">
        <f>IF(E237&lt;&gt;"",G6copy!A237,"")</f>
        <v/>
      </c>
      <c r="G237" s="24" t="str">
        <f>IF(E237&lt;&gt;"",G6copy!F237,"")</f>
        <v/>
      </c>
    </row>
    <row r="238" spans="1:7" ht="15.75" customHeight="1">
      <c r="A238" s="23" t="str">
        <f t="shared" si="10"/>
        <v/>
      </c>
      <c r="B238" t="str">
        <f t="shared" si="11"/>
        <v/>
      </c>
      <c r="C238" s="23" t="str">
        <f t="shared" si="12"/>
        <v/>
      </c>
      <c r="E238" s="24" t="str">
        <f>IF(NOT(ISBLANK(G6copy!B238)),G6copy!B238,"")</f>
        <v/>
      </c>
      <c r="F238" s="24" t="str">
        <f>IF(E238&lt;&gt;"",G6copy!A238,"")</f>
        <v/>
      </c>
      <c r="G238" s="24" t="str">
        <f>IF(E238&lt;&gt;"",G6copy!F238,"")</f>
        <v/>
      </c>
    </row>
    <row r="239" spans="1:7" ht="15.75" customHeight="1">
      <c r="A239" s="23" t="str">
        <f t="shared" si="10"/>
        <v/>
      </c>
      <c r="B239" t="str">
        <f t="shared" si="11"/>
        <v/>
      </c>
      <c r="C239" s="23" t="str">
        <f t="shared" si="12"/>
        <v/>
      </c>
      <c r="E239" s="24" t="str">
        <f>IF(NOT(ISBLANK(G6copy!B239)),G6copy!B239,"")</f>
        <v/>
      </c>
      <c r="F239" s="24" t="str">
        <f>IF(E239&lt;&gt;"",G6copy!A239,"")</f>
        <v/>
      </c>
      <c r="G239" s="24" t="str">
        <f>IF(E239&lt;&gt;"",G6copy!F239,"")</f>
        <v/>
      </c>
    </row>
    <row r="240" spans="1:7" ht="15.75" customHeight="1">
      <c r="A240" s="23" t="str">
        <f t="shared" si="10"/>
        <v/>
      </c>
      <c r="B240" t="str">
        <f t="shared" si="11"/>
        <v/>
      </c>
      <c r="C240" s="23" t="str">
        <f t="shared" si="12"/>
        <v/>
      </c>
      <c r="E240" s="24" t="str">
        <f>IF(NOT(ISBLANK(G6copy!B240)),G6copy!B240,"")</f>
        <v/>
      </c>
      <c r="F240" s="24" t="str">
        <f>IF(E240&lt;&gt;"",G6copy!A240,"")</f>
        <v/>
      </c>
      <c r="G240" s="24" t="str">
        <f>IF(E240&lt;&gt;"",G6copy!F240,"")</f>
        <v/>
      </c>
    </row>
    <row r="241" spans="1:7" ht="15.75" customHeight="1">
      <c r="A241" s="23" t="str">
        <f t="shared" si="10"/>
        <v/>
      </c>
      <c r="B241" t="str">
        <f t="shared" si="11"/>
        <v/>
      </c>
      <c r="C241" s="23" t="str">
        <f t="shared" si="12"/>
        <v/>
      </c>
      <c r="E241" s="24" t="str">
        <f>IF(NOT(ISBLANK(G6copy!B241)),G6copy!B241,"")</f>
        <v/>
      </c>
      <c r="F241" s="24" t="str">
        <f>IF(E241&lt;&gt;"",G6copy!A241,"")</f>
        <v/>
      </c>
      <c r="G241" s="24" t="str">
        <f>IF(E241&lt;&gt;"",G6copy!F241,"")</f>
        <v/>
      </c>
    </row>
    <row r="242" spans="1:7" ht="15.75" customHeight="1">
      <c r="A242" s="23" t="str">
        <f t="shared" si="10"/>
        <v/>
      </c>
      <c r="B242" t="str">
        <f t="shared" si="11"/>
        <v/>
      </c>
      <c r="C242" s="23" t="str">
        <f t="shared" si="12"/>
        <v/>
      </c>
      <c r="E242" s="24" t="str">
        <f>IF(NOT(ISBLANK(G6copy!B242)),G6copy!B242,"")</f>
        <v/>
      </c>
      <c r="F242" s="24" t="str">
        <f>IF(E242&lt;&gt;"",G6copy!A242,"")</f>
        <v/>
      </c>
      <c r="G242" s="24" t="str">
        <f>IF(E242&lt;&gt;"",G6copy!F242,"")</f>
        <v/>
      </c>
    </row>
    <row r="243" spans="1:7" ht="15.75" customHeight="1">
      <c r="A243" s="23" t="str">
        <f t="shared" si="10"/>
        <v/>
      </c>
      <c r="B243" t="str">
        <f t="shared" si="11"/>
        <v/>
      </c>
      <c r="C243" s="23" t="str">
        <f t="shared" si="12"/>
        <v/>
      </c>
      <c r="E243" s="24" t="str">
        <f>IF(NOT(ISBLANK(G6copy!B243)),G6copy!B243,"")</f>
        <v/>
      </c>
      <c r="F243" s="24" t="str">
        <f>IF(E243&lt;&gt;"",G6copy!A243,"")</f>
        <v/>
      </c>
      <c r="G243" s="24" t="str">
        <f>IF(E243&lt;&gt;"",G6copy!F243,"")</f>
        <v/>
      </c>
    </row>
    <row r="244" spans="1:7" ht="15.75" customHeight="1">
      <c r="A244" s="23" t="str">
        <f t="shared" si="10"/>
        <v/>
      </c>
      <c r="B244" t="str">
        <f t="shared" si="11"/>
        <v/>
      </c>
      <c r="C244" s="23" t="str">
        <f t="shared" si="12"/>
        <v/>
      </c>
      <c r="E244" s="24" t="str">
        <f>IF(NOT(ISBLANK(G6copy!B244)),G6copy!B244,"")</f>
        <v/>
      </c>
      <c r="F244" s="24" t="str">
        <f>IF(E244&lt;&gt;"",G6copy!A244,"")</f>
        <v/>
      </c>
      <c r="G244" s="24" t="str">
        <f>IF(E244&lt;&gt;"",G6copy!F244,"")</f>
        <v/>
      </c>
    </row>
    <row r="245" spans="1:7" ht="15.75" customHeight="1">
      <c r="A245" s="23" t="str">
        <f t="shared" si="10"/>
        <v/>
      </c>
      <c r="B245" t="str">
        <f t="shared" si="11"/>
        <v/>
      </c>
      <c r="C245" s="23" t="str">
        <f t="shared" si="12"/>
        <v/>
      </c>
      <c r="E245" s="24" t="str">
        <f>IF(NOT(ISBLANK(G6copy!B245)),G6copy!B245,"")</f>
        <v/>
      </c>
      <c r="F245" s="24" t="str">
        <f>IF(E245&lt;&gt;"",G6copy!A245,"")</f>
        <v/>
      </c>
      <c r="G245" s="24" t="str">
        <f>IF(E245&lt;&gt;"",G6copy!F245,"")</f>
        <v/>
      </c>
    </row>
    <row r="246" spans="1:7" ht="15.75" customHeight="1">
      <c r="A246" s="23" t="str">
        <f t="shared" si="10"/>
        <v/>
      </c>
      <c r="B246" t="str">
        <f t="shared" si="11"/>
        <v/>
      </c>
      <c r="C246" s="23" t="str">
        <f t="shared" si="12"/>
        <v/>
      </c>
      <c r="E246" s="24" t="str">
        <f>IF(NOT(ISBLANK(G6copy!B246)),G6copy!B246,"")</f>
        <v/>
      </c>
      <c r="F246" s="24" t="str">
        <f>IF(E246&lt;&gt;"",G6copy!A246,"")</f>
        <v/>
      </c>
      <c r="G246" s="24" t="str">
        <f>IF(E246&lt;&gt;"",G6copy!F246,"")</f>
        <v/>
      </c>
    </row>
    <row r="247" spans="1:7" ht="15.75" customHeight="1">
      <c r="A247" s="23" t="str">
        <f t="shared" si="10"/>
        <v/>
      </c>
      <c r="B247" t="str">
        <f t="shared" si="11"/>
        <v/>
      </c>
      <c r="C247" s="23" t="str">
        <f t="shared" si="12"/>
        <v/>
      </c>
      <c r="E247" s="24" t="str">
        <f>IF(NOT(ISBLANK(G6copy!B247)),G6copy!B247,"")</f>
        <v/>
      </c>
      <c r="F247" s="24" t="str">
        <f>IF(E247&lt;&gt;"",G6copy!A247,"")</f>
        <v/>
      </c>
      <c r="G247" s="24" t="str">
        <f>IF(E247&lt;&gt;"",G6copy!F247,"")</f>
        <v/>
      </c>
    </row>
    <row r="248" spans="1:7" ht="15.75" customHeight="1">
      <c r="A248" s="23" t="str">
        <f t="shared" si="10"/>
        <v/>
      </c>
      <c r="B248" t="str">
        <f t="shared" si="11"/>
        <v/>
      </c>
      <c r="C248" s="23" t="str">
        <f t="shared" si="12"/>
        <v/>
      </c>
      <c r="E248" s="24" t="str">
        <f>IF(NOT(ISBLANK(G6copy!B248)),G6copy!B248,"")</f>
        <v/>
      </c>
      <c r="F248" s="24" t="str">
        <f>IF(E248&lt;&gt;"",G6copy!A248,"")</f>
        <v/>
      </c>
      <c r="G248" s="24" t="str">
        <f>IF(E248&lt;&gt;"",G6copy!F248,"")</f>
        <v/>
      </c>
    </row>
    <row r="249" spans="1:7" ht="15.75" customHeight="1">
      <c r="A249" s="23" t="str">
        <f t="shared" si="10"/>
        <v/>
      </c>
      <c r="B249" t="str">
        <f t="shared" si="11"/>
        <v/>
      </c>
      <c r="C249" s="23" t="str">
        <f t="shared" si="12"/>
        <v/>
      </c>
      <c r="E249" s="24" t="str">
        <f>IF(NOT(ISBLANK(G6copy!B249)),G6copy!B249,"")</f>
        <v/>
      </c>
      <c r="F249" s="24" t="str">
        <f>IF(E249&lt;&gt;"",G6copy!A249,"")</f>
        <v/>
      </c>
      <c r="G249" s="24" t="str">
        <f>IF(E249&lt;&gt;"",G6copy!F249,"")</f>
        <v/>
      </c>
    </row>
    <row r="250" spans="1:7" ht="15.75" customHeight="1">
      <c r="A250" s="23" t="str">
        <f t="shared" si="10"/>
        <v/>
      </c>
      <c r="B250" t="str">
        <f t="shared" si="11"/>
        <v/>
      </c>
      <c r="C250" s="23" t="str">
        <f t="shared" si="12"/>
        <v/>
      </c>
      <c r="E250" s="24" t="str">
        <f>IF(NOT(ISBLANK(G6copy!B250)),G6copy!B250,"")</f>
        <v/>
      </c>
      <c r="F250" s="24" t="str">
        <f>IF(E250&lt;&gt;"",G6copy!A250,"")</f>
        <v/>
      </c>
      <c r="G250" s="24" t="str">
        <f>IF(E250&lt;&gt;"",G6copy!F250,"")</f>
        <v/>
      </c>
    </row>
    <row r="251" spans="1:7" ht="15.75" customHeight="1">
      <c r="A251" s="23" t="str">
        <f t="shared" si="10"/>
        <v/>
      </c>
      <c r="B251" t="str">
        <f t="shared" si="11"/>
        <v/>
      </c>
      <c r="C251" s="23" t="str">
        <f t="shared" si="12"/>
        <v/>
      </c>
      <c r="E251" s="24" t="str">
        <f>IF(NOT(ISBLANK(G6copy!B251)),G6copy!B251,"")</f>
        <v/>
      </c>
      <c r="F251" s="24" t="str">
        <f>IF(E251&lt;&gt;"",G6copy!A251,"")</f>
        <v/>
      </c>
      <c r="G251" s="24" t="str">
        <f>IF(E251&lt;&gt;"",G6copy!F251,"")</f>
        <v/>
      </c>
    </row>
    <row r="252" spans="1:7" ht="15.75" customHeight="1">
      <c r="A252" s="23" t="str">
        <f t="shared" si="10"/>
        <v/>
      </c>
      <c r="B252" t="str">
        <f t="shared" si="11"/>
        <v/>
      </c>
      <c r="C252" s="23" t="str">
        <f t="shared" si="12"/>
        <v/>
      </c>
      <c r="E252" s="24" t="str">
        <f>IF(NOT(ISBLANK(G6copy!B252)),G6copy!B252,"")</f>
        <v/>
      </c>
      <c r="F252" s="24" t="str">
        <f>IF(E252&lt;&gt;"",G6copy!A252,"")</f>
        <v/>
      </c>
      <c r="G252" s="24" t="str">
        <f>IF(E252&lt;&gt;"",G6copy!F252,"")</f>
        <v/>
      </c>
    </row>
    <row r="253" spans="1:7" ht="15.75" customHeight="1">
      <c r="A253" s="23" t="str">
        <f t="shared" si="10"/>
        <v/>
      </c>
      <c r="B253" t="str">
        <f t="shared" si="11"/>
        <v/>
      </c>
      <c r="C253" s="23" t="str">
        <f t="shared" si="12"/>
        <v/>
      </c>
      <c r="E253" s="24" t="str">
        <f>IF(NOT(ISBLANK(G6copy!B253)),G6copy!B253,"")</f>
        <v/>
      </c>
      <c r="F253" s="24" t="str">
        <f>IF(E253&lt;&gt;"",G6copy!A253,"")</f>
        <v/>
      </c>
      <c r="G253" s="24" t="str">
        <f>IF(E253&lt;&gt;"",G6copy!F253,"")</f>
        <v/>
      </c>
    </row>
    <row r="254" spans="1:7" ht="15.75" customHeight="1">
      <c r="A254" s="23" t="str">
        <f t="shared" si="10"/>
        <v/>
      </c>
      <c r="B254" t="str">
        <f t="shared" si="11"/>
        <v/>
      </c>
      <c r="C254" s="23" t="str">
        <f t="shared" si="12"/>
        <v/>
      </c>
      <c r="E254" s="24" t="str">
        <f>IF(NOT(ISBLANK(G6copy!B254)),G6copy!B254,"")</f>
        <v/>
      </c>
      <c r="F254" s="24" t="str">
        <f>IF(E254&lt;&gt;"",G6copy!A254,"")</f>
        <v/>
      </c>
      <c r="G254" s="24" t="str">
        <f>IF(E254&lt;&gt;"",G6copy!F254,"")</f>
        <v/>
      </c>
    </row>
    <row r="255" spans="1:7" ht="15.75" customHeight="1">
      <c r="A255" s="23" t="str">
        <f t="shared" si="10"/>
        <v/>
      </c>
      <c r="B255" t="str">
        <f t="shared" si="11"/>
        <v/>
      </c>
      <c r="C255" s="23" t="str">
        <f t="shared" si="12"/>
        <v/>
      </c>
      <c r="E255" s="24" t="str">
        <f>IF(NOT(ISBLANK(G6copy!B255)),G6copy!B255,"")</f>
        <v/>
      </c>
      <c r="F255" s="24" t="str">
        <f>IF(E255&lt;&gt;"",G6copy!A255,"")</f>
        <v/>
      </c>
      <c r="G255" s="24" t="str">
        <f>IF(E255&lt;&gt;"",G6copy!F255,"")</f>
        <v/>
      </c>
    </row>
    <row r="256" spans="1:7" ht="15.75" customHeight="1">
      <c r="A256" s="23" t="str">
        <f t="shared" si="10"/>
        <v/>
      </c>
      <c r="B256" t="str">
        <f t="shared" si="11"/>
        <v/>
      </c>
      <c r="C256" s="23" t="str">
        <f t="shared" si="12"/>
        <v/>
      </c>
      <c r="E256" s="24" t="str">
        <f>IF(NOT(ISBLANK(G6copy!B256)),G6copy!B256,"")</f>
        <v/>
      </c>
      <c r="F256" s="24" t="str">
        <f>IF(E256&lt;&gt;"",G6copy!A256,"")</f>
        <v/>
      </c>
      <c r="G256" s="24" t="str">
        <f>IF(E256&lt;&gt;"",G6copy!F256,"")</f>
        <v/>
      </c>
    </row>
    <row r="257" spans="1:7" ht="15.75" customHeight="1">
      <c r="A257" s="23" t="str">
        <f t="shared" si="10"/>
        <v/>
      </c>
      <c r="B257" t="str">
        <f t="shared" si="11"/>
        <v/>
      </c>
      <c r="C257" s="23" t="str">
        <f t="shared" si="12"/>
        <v/>
      </c>
      <c r="E257" s="24" t="str">
        <f>IF(NOT(ISBLANK(G6copy!B257)),G6copy!B257,"")</f>
        <v/>
      </c>
      <c r="F257" s="24" t="str">
        <f>IF(E257&lt;&gt;"",G6copy!A257,"")</f>
        <v/>
      </c>
      <c r="G257" s="24" t="str">
        <f>IF(E257&lt;&gt;"",G6copy!F257,"")</f>
        <v/>
      </c>
    </row>
    <row r="258" spans="1:7" ht="15.75" customHeight="1">
      <c r="A258" s="23" t="str">
        <f t="shared" si="10"/>
        <v/>
      </c>
      <c r="B258" t="str">
        <f t="shared" si="11"/>
        <v/>
      </c>
      <c r="C258" s="23" t="str">
        <f t="shared" si="12"/>
        <v/>
      </c>
      <c r="E258" s="24" t="str">
        <f>IF(NOT(ISBLANK(G6copy!B258)),G6copy!B258,"")</f>
        <v/>
      </c>
      <c r="F258" s="24" t="str">
        <f>IF(E258&lt;&gt;"",G6copy!A258,"")</f>
        <v/>
      </c>
      <c r="G258" s="24" t="str">
        <f>IF(E258&lt;&gt;"",G6copy!F258,"")</f>
        <v/>
      </c>
    </row>
    <row r="259" spans="1:7" ht="15.75" customHeight="1">
      <c r="A259" s="23" t="str">
        <f t="shared" ref="A259:A322" si="13">IF(E259&lt;&gt;"",DATEVALUE(LEFT(E259,10)),"")</f>
        <v/>
      </c>
      <c r="B259" t="str">
        <f t="shared" ref="B259:B322" si="14">IF(LEN(F259)&gt;3,RIGHT(F259,LEN(F259)-3),"")</f>
        <v/>
      </c>
      <c r="C259" s="23" t="str">
        <f t="shared" ref="C259:C322" si="15">IF(E259&lt;&gt;"",DATEVALUE(LEFT(G259,10)),"")</f>
        <v/>
      </c>
      <c r="E259" s="24" t="str">
        <f>IF(NOT(ISBLANK(G6copy!B259)),G6copy!B259,"")</f>
        <v/>
      </c>
      <c r="F259" s="24" t="str">
        <f>IF(E259&lt;&gt;"",G6copy!A259,"")</f>
        <v/>
      </c>
      <c r="G259" s="24" t="str">
        <f>IF(E259&lt;&gt;"",G6copy!F259,"")</f>
        <v/>
      </c>
    </row>
    <row r="260" spans="1:7" ht="15.75" customHeight="1">
      <c r="A260" s="23" t="str">
        <f t="shared" si="13"/>
        <v/>
      </c>
      <c r="B260" t="str">
        <f t="shared" si="14"/>
        <v/>
      </c>
      <c r="C260" s="23" t="str">
        <f t="shared" si="15"/>
        <v/>
      </c>
      <c r="E260" s="24" t="str">
        <f>IF(NOT(ISBLANK(G6copy!B260)),G6copy!B260,"")</f>
        <v/>
      </c>
      <c r="F260" s="24" t="str">
        <f>IF(E260&lt;&gt;"",G6copy!A260,"")</f>
        <v/>
      </c>
      <c r="G260" s="24" t="str">
        <f>IF(E260&lt;&gt;"",G6copy!F260,"")</f>
        <v/>
      </c>
    </row>
    <row r="261" spans="1:7" ht="15.75" customHeight="1">
      <c r="A261" s="23" t="str">
        <f t="shared" si="13"/>
        <v/>
      </c>
      <c r="B261" t="str">
        <f t="shared" si="14"/>
        <v/>
      </c>
      <c r="C261" s="23" t="str">
        <f t="shared" si="15"/>
        <v/>
      </c>
      <c r="E261" s="24" t="str">
        <f>IF(NOT(ISBLANK(G6copy!B261)),G6copy!B261,"")</f>
        <v/>
      </c>
      <c r="F261" s="24" t="str">
        <f>IF(E261&lt;&gt;"",G6copy!A261,"")</f>
        <v/>
      </c>
      <c r="G261" s="24" t="str">
        <f>IF(E261&lt;&gt;"",G6copy!F261,"")</f>
        <v/>
      </c>
    </row>
    <row r="262" spans="1:7" ht="15.75" customHeight="1">
      <c r="A262" s="23" t="str">
        <f t="shared" si="13"/>
        <v/>
      </c>
      <c r="B262" t="str">
        <f t="shared" si="14"/>
        <v/>
      </c>
      <c r="C262" s="23" t="str">
        <f t="shared" si="15"/>
        <v/>
      </c>
      <c r="E262" s="24" t="str">
        <f>IF(NOT(ISBLANK(G6copy!B262)),G6copy!B262,"")</f>
        <v/>
      </c>
      <c r="F262" s="24" t="str">
        <f>IF(E262&lt;&gt;"",G6copy!A262,"")</f>
        <v/>
      </c>
      <c r="G262" s="24" t="str">
        <f>IF(E262&lt;&gt;"",G6copy!F262,"")</f>
        <v/>
      </c>
    </row>
    <row r="263" spans="1:7" ht="15.75" customHeight="1">
      <c r="A263" s="23" t="str">
        <f t="shared" si="13"/>
        <v/>
      </c>
      <c r="B263" t="str">
        <f t="shared" si="14"/>
        <v/>
      </c>
      <c r="C263" s="23" t="str">
        <f t="shared" si="15"/>
        <v/>
      </c>
      <c r="E263" s="24" t="str">
        <f>IF(NOT(ISBLANK(G6copy!B263)),G6copy!B263,"")</f>
        <v/>
      </c>
      <c r="F263" s="24" t="str">
        <f>IF(E263&lt;&gt;"",G6copy!A263,"")</f>
        <v/>
      </c>
      <c r="G263" s="24" t="str">
        <f>IF(E263&lt;&gt;"",G6copy!F263,"")</f>
        <v/>
      </c>
    </row>
    <row r="264" spans="1:7" ht="15.75" customHeight="1">
      <c r="A264" s="23" t="str">
        <f t="shared" si="13"/>
        <v/>
      </c>
      <c r="B264" t="str">
        <f t="shared" si="14"/>
        <v/>
      </c>
      <c r="C264" s="23" t="str">
        <f t="shared" si="15"/>
        <v/>
      </c>
      <c r="E264" s="24" t="str">
        <f>IF(NOT(ISBLANK(G6copy!B264)),G6copy!B264,"")</f>
        <v/>
      </c>
      <c r="F264" s="24" t="str">
        <f>IF(E264&lt;&gt;"",G6copy!A264,"")</f>
        <v/>
      </c>
      <c r="G264" s="24" t="str">
        <f>IF(E264&lt;&gt;"",G6copy!F264,"")</f>
        <v/>
      </c>
    </row>
    <row r="265" spans="1:7" ht="15.75" customHeight="1">
      <c r="A265" s="23" t="str">
        <f t="shared" si="13"/>
        <v/>
      </c>
      <c r="B265" t="str">
        <f t="shared" si="14"/>
        <v/>
      </c>
      <c r="C265" s="23" t="str">
        <f t="shared" si="15"/>
        <v/>
      </c>
      <c r="E265" s="24" t="str">
        <f>IF(NOT(ISBLANK(G6copy!B265)),G6copy!B265,"")</f>
        <v/>
      </c>
      <c r="F265" s="24" t="str">
        <f>IF(E265&lt;&gt;"",G6copy!A265,"")</f>
        <v/>
      </c>
      <c r="G265" s="24" t="str">
        <f>IF(E265&lt;&gt;"",G6copy!F265,"")</f>
        <v/>
      </c>
    </row>
    <row r="266" spans="1:7" ht="15.75" customHeight="1">
      <c r="A266" s="23" t="str">
        <f t="shared" si="13"/>
        <v/>
      </c>
      <c r="B266" t="str">
        <f t="shared" si="14"/>
        <v/>
      </c>
      <c r="C266" s="23" t="str">
        <f t="shared" si="15"/>
        <v/>
      </c>
      <c r="E266" s="24" t="str">
        <f>IF(NOT(ISBLANK(G6copy!B266)),G6copy!B266,"")</f>
        <v/>
      </c>
      <c r="F266" s="24" t="str">
        <f>IF(E266&lt;&gt;"",G6copy!A266,"")</f>
        <v/>
      </c>
      <c r="G266" s="24" t="str">
        <f>IF(E266&lt;&gt;"",G6copy!F266,"")</f>
        <v/>
      </c>
    </row>
    <row r="267" spans="1:7" ht="15.75" customHeight="1">
      <c r="A267" s="23" t="str">
        <f t="shared" si="13"/>
        <v/>
      </c>
      <c r="B267" t="str">
        <f t="shared" si="14"/>
        <v/>
      </c>
      <c r="C267" s="23" t="str">
        <f t="shared" si="15"/>
        <v/>
      </c>
      <c r="E267" s="24" t="str">
        <f>IF(NOT(ISBLANK(G6copy!B267)),G6copy!B267,"")</f>
        <v/>
      </c>
      <c r="F267" s="24" t="str">
        <f>IF(E267&lt;&gt;"",G6copy!A267,"")</f>
        <v/>
      </c>
      <c r="G267" s="24" t="str">
        <f>IF(E267&lt;&gt;"",G6copy!F267,"")</f>
        <v/>
      </c>
    </row>
    <row r="268" spans="1:7" ht="15.75" customHeight="1">
      <c r="A268" s="23" t="str">
        <f t="shared" si="13"/>
        <v/>
      </c>
      <c r="B268" t="str">
        <f t="shared" si="14"/>
        <v/>
      </c>
      <c r="C268" s="23" t="str">
        <f t="shared" si="15"/>
        <v/>
      </c>
      <c r="E268" s="24" t="str">
        <f>IF(NOT(ISBLANK(G6copy!B268)),G6copy!B268,"")</f>
        <v/>
      </c>
      <c r="F268" s="24" t="str">
        <f>IF(E268&lt;&gt;"",G6copy!A268,"")</f>
        <v/>
      </c>
      <c r="G268" s="24" t="str">
        <f>IF(E268&lt;&gt;"",G6copy!F268,"")</f>
        <v/>
      </c>
    </row>
    <row r="269" spans="1:7" ht="15.75" customHeight="1">
      <c r="A269" s="23" t="str">
        <f t="shared" si="13"/>
        <v/>
      </c>
      <c r="B269" t="str">
        <f t="shared" si="14"/>
        <v/>
      </c>
      <c r="C269" s="23" t="str">
        <f t="shared" si="15"/>
        <v/>
      </c>
      <c r="E269" s="24" t="str">
        <f>IF(NOT(ISBLANK(G6copy!B269)),G6copy!B269,"")</f>
        <v/>
      </c>
      <c r="F269" s="24" t="str">
        <f>IF(E269&lt;&gt;"",G6copy!A269,"")</f>
        <v/>
      </c>
      <c r="G269" s="24" t="str">
        <f>IF(E269&lt;&gt;"",G6copy!F269,"")</f>
        <v/>
      </c>
    </row>
    <row r="270" spans="1:7" ht="15.75" customHeight="1">
      <c r="A270" s="23" t="str">
        <f t="shared" si="13"/>
        <v/>
      </c>
      <c r="B270" t="str">
        <f t="shared" si="14"/>
        <v/>
      </c>
      <c r="C270" s="23" t="str">
        <f t="shared" si="15"/>
        <v/>
      </c>
      <c r="E270" s="24" t="str">
        <f>IF(NOT(ISBLANK(G6copy!B270)),G6copy!B270,"")</f>
        <v/>
      </c>
      <c r="F270" s="24" t="str">
        <f>IF(E270&lt;&gt;"",G6copy!A270,"")</f>
        <v/>
      </c>
      <c r="G270" s="24" t="str">
        <f>IF(E270&lt;&gt;"",G6copy!F270,"")</f>
        <v/>
      </c>
    </row>
    <row r="271" spans="1:7" ht="15.75" customHeight="1">
      <c r="A271" s="23" t="str">
        <f t="shared" si="13"/>
        <v/>
      </c>
      <c r="B271" t="str">
        <f t="shared" si="14"/>
        <v/>
      </c>
      <c r="C271" s="23" t="str">
        <f t="shared" si="15"/>
        <v/>
      </c>
      <c r="E271" s="24" t="str">
        <f>IF(NOT(ISBLANK(G6copy!B271)),G6copy!B271,"")</f>
        <v/>
      </c>
      <c r="F271" s="24" t="str">
        <f>IF(E271&lt;&gt;"",G6copy!A271,"")</f>
        <v/>
      </c>
      <c r="G271" s="24" t="str">
        <f>IF(E271&lt;&gt;"",G6copy!F271,"")</f>
        <v/>
      </c>
    </row>
    <row r="272" spans="1:7" ht="15.75" customHeight="1">
      <c r="A272" s="23" t="str">
        <f t="shared" si="13"/>
        <v/>
      </c>
      <c r="B272" t="str">
        <f t="shared" si="14"/>
        <v/>
      </c>
      <c r="C272" s="23" t="str">
        <f t="shared" si="15"/>
        <v/>
      </c>
      <c r="E272" s="24" t="str">
        <f>IF(NOT(ISBLANK(G6copy!B272)),G6copy!B272,"")</f>
        <v/>
      </c>
      <c r="F272" s="24" t="str">
        <f>IF(E272&lt;&gt;"",G6copy!A272,"")</f>
        <v/>
      </c>
      <c r="G272" s="24" t="str">
        <f>IF(E272&lt;&gt;"",G6copy!F272,"")</f>
        <v/>
      </c>
    </row>
    <row r="273" spans="1:7" ht="15.75" customHeight="1">
      <c r="A273" s="23" t="str">
        <f t="shared" si="13"/>
        <v/>
      </c>
      <c r="B273" t="str">
        <f t="shared" si="14"/>
        <v/>
      </c>
      <c r="C273" s="23" t="str">
        <f t="shared" si="15"/>
        <v/>
      </c>
      <c r="E273" s="24" t="str">
        <f>IF(NOT(ISBLANK(G6copy!B273)),G6copy!B273,"")</f>
        <v/>
      </c>
      <c r="F273" s="24" t="str">
        <f>IF(E273&lt;&gt;"",G6copy!A273,"")</f>
        <v/>
      </c>
      <c r="G273" s="24" t="str">
        <f>IF(E273&lt;&gt;"",G6copy!F273,"")</f>
        <v/>
      </c>
    </row>
    <row r="274" spans="1:7" ht="15.75" customHeight="1">
      <c r="A274" s="23" t="str">
        <f t="shared" si="13"/>
        <v/>
      </c>
      <c r="B274" t="str">
        <f t="shared" si="14"/>
        <v/>
      </c>
      <c r="C274" s="23" t="str">
        <f t="shared" si="15"/>
        <v/>
      </c>
      <c r="E274" s="24" t="str">
        <f>IF(NOT(ISBLANK(G6copy!B274)),G6copy!B274,"")</f>
        <v/>
      </c>
      <c r="F274" s="24" t="str">
        <f>IF(E274&lt;&gt;"",G6copy!A274,"")</f>
        <v/>
      </c>
      <c r="G274" s="24" t="str">
        <f>IF(E274&lt;&gt;"",G6copy!F274,"")</f>
        <v/>
      </c>
    </row>
    <row r="275" spans="1:7" ht="15.75" customHeight="1">
      <c r="A275" s="23" t="str">
        <f t="shared" si="13"/>
        <v/>
      </c>
      <c r="B275" t="str">
        <f t="shared" si="14"/>
        <v/>
      </c>
      <c r="C275" s="23" t="str">
        <f t="shared" si="15"/>
        <v/>
      </c>
      <c r="E275" s="24" t="str">
        <f>IF(NOT(ISBLANK(G6copy!B275)),G6copy!B275,"")</f>
        <v/>
      </c>
      <c r="F275" s="24" t="str">
        <f>IF(E275&lt;&gt;"",G6copy!A275,"")</f>
        <v/>
      </c>
      <c r="G275" s="24" t="str">
        <f>IF(E275&lt;&gt;"",G6copy!F275,"")</f>
        <v/>
      </c>
    </row>
    <row r="276" spans="1:7" ht="15.75" customHeight="1">
      <c r="A276" s="23" t="str">
        <f t="shared" si="13"/>
        <v/>
      </c>
      <c r="B276" t="str">
        <f t="shared" si="14"/>
        <v/>
      </c>
      <c r="C276" s="23" t="str">
        <f t="shared" si="15"/>
        <v/>
      </c>
      <c r="E276" s="24" t="str">
        <f>IF(NOT(ISBLANK(G6copy!B276)),G6copy!B276,"")</f>
        <v/>
      </c>
      <c r="F276" s="24" t="str">
        <f>IF(E276&lt;&gt;"",G6copy!A276,"")</f>
        <v/>
      </c>
      <c r="G276" s="24" t="str">
        <f>IF(E276&lt;&gt;"",G6copy!F276,"")</f>
        <v/>
      </c>
    </row>
    <row r="277" spans="1:7" ht="15.75" customHeight="1">
      <c r="A277" s="23" t="str">
        <f t="shared" si="13"/>
        <v/>
      </c>
      <c r="B277" t="str">
        <f t="shared" si="14"/>
        <v/>
      </c>
      <c r="C277" s="23" t="str">
        <f t="shared" si="15"/>
        <v/>
      </c>
      <c r="E277" s="24" t="str">
        <f>IF(NOT(ISBLANK(G6copy!B277)),G6copy!B277,"")</f>
        <v/>
      </c>
      <c r="F277" s="24" t="str">
        <f>IF(E277&lt;&gt;"",G6copy!A277,"")</f>
        <v/>
      </c>
      <c r="G277" s="24" t="str">
        <f>IF(E277&lt;&gt;"",G6copy!F277,"")</f>
        <v/>
      </c>
    </row>
    <row r="278" spans="1:7" ht="15.75" customHeight="1">
      <c r="A278" s="23" t="str">
        <f t="shared" si="13"/>
        <v/>
      </c>
      <c r="B278" t="str">
        <f t="shared" si="14"/>
        <v/>
      </c>
      <c r="C278" s="23" t="str">
        <f t="shared" si="15"/>
        <v/>
      </c>
      <c r="E278" s="24" t="str">
        <f>IF(NOT(ISBLANK(G6copy!B278)),G6copy!B278,"")</f>
        <v/>
      </c>
      <c r="F278" s="24" t="str">
        <f>IF(E278&lt;&gt;"",G6copy!A278,"")</f>
        <v/>
      </c>
      <c r="G278" s="24" t="str">
        <f>IF(E278&lt;&gt;"",G6copy!F278,"")</f>
        <v/>
      </c>
    </row>
    <row r="279" spans="1:7" ht="15.75" customHeight="1">
      <c r="A279" s="23" t="str">
        <f t="shared" si="13"/>
        <v/>
      </c>
      <c r="B279" t="str">
        <f t="shared" si="14"/>
        <v/>
      </c>
      <c r="C279" s="23" t="str">
        <f t="shared" si="15"/>
        <v/>
      </c>
      <c r="E279" s="24" t="str">
        <f>IF(NOT(ISBLANK(G6copy!B279)),G6copy!B279,"")</f>
        <v/>
      </c>
      <c r="F279" s="24" t="str">
        <f>IF(E279&lt;&gt;"",G6copy!A279,"")</f>
        <v/>
      </c>
      <c r="G279" s="24" t="str">
        <f>IF(E279&lt;&gt;"",G6copy!F279,"")</f>
        <v/>
      </c>
    </row>
    <row r="280" spans="1:7" ht="15.75" customHeight="1">
      <c r="A280" s="23" t="str">
        <f t="shared" si="13"/>
        <v/>
      </c>
      <c r="B280" t="str">
        <f t="shared" si="14"/>
        <v/>
      </c>
      <c r="C280" s="23" t="str">
        <f t="shared" si="15"/>
        <v/>
      </c>
      <c r="E280" s="24" t="str">
        <f>IF(NOT(ISBLANK(G6copy!B280)),G6copy!B280,"")</f>
        <v/>
      </c>
      <c r="F280" s="24" t="str">
        <f>IF(E280&lt;&gt;"",G6copy!A280,"")</f>
        <v/>
      </c>
      <c r="G280" s="24" t="str">
        <f>IF(E280&lt;&gt;"",G6copy!F280,"")</f>
        <v/>
      </c>
    </row>
    <row r="281" spans="1:7" ht="15.75" customHeight="1">
      <c r="A281" s="23" t="str">
        <f t="shared" si="13"/>
        <v/>
      </c>
      <c r="B281" t="str">
        <f t="shared" si="14"/>
        <v/>
      </c>
      <c r="C281" s="23" t="str">
        <f t="shared" si="15"/>
        <v/>
      </c>
      <c r="E281" s="24" t="str">
        <f>IF(NOT(ISBLANK(G6copy!B281)),G6copy!B281,"")</f>
        <v/>
      </c>
      <c r="F281" s="24" t="str">
        <f>IF(E281&lt;&gt;"",G6copy!A281,"")</f>
        <v/>
      </c>
      <c r="G281" s="24" t="str">
        <f>IF(E281&lt;&gt;"",G6copy!F281,"")</f>
        <v/>
      </c>
    </row>
    <row r="282" spans="1:7" ht="15.75" customHeight="1">
      <c r="A282" s="23" t="str">
        <f t="shared" si="13"/>
        <v/>
      </c>
      <c r="B282" t="str">
        <f t="shared" si="14"/>
        <v/>
      </c>
      <c r="C282" s="23" t="str">
        <f t="shared" si="15"/>
        <v/>
      </c>
      <c r="E282" s="24" t="str">
        <f>IF(NOT(ISBLANK(G6copy!B282)),G6copy!B282,"")</f>
        <v/>
      </c>
      <c r="F282" s="24" t="str">
        <f>IF(E282&lt;&gt;"",G6copy!A282,"")</f>
        <v/>
      </c>
      <c r="G282" s="24" t="str">
        <f>IF(E282&lt;&gt;"",G6copy!F282,"")</f>
        <v/>
      </c>
    </row>
    <row r="283" spans="1:7" ht="15.75" customHeight="1">
      <c r="A283" s="23" t="str">
        <f t="shared" si="13"/>
        <v/>
      </c>
      <c r="B283" t="str">
        <f t="shared" si="14"/>
        <v/>
      </c>
      <c r="C283" s="23" t="str">
        <f t="shared" si="15"/>
        <v/>
      </c>
      <c r="E283" s="24" t="str">
        <f>IF(NOT(ISBLANK(G6copy!B283)),G6copy!B283,"")</f>
        <v/>
      </c>
      <c r="F283" s="24" t="str">
        <f>IF(E283&lt;&gt;"",G6copy!A283,"")</f>
        <v/>
      </c>
      <c r="G283" s="24" t="str">
        <f>IF(E283&lt;&gt;"",G6copy!F283,"")</f>
        <v/>
      </c>
    </row>
    <row r="284" spans="1:7" ht="15.75" customHeight="1">
      <c r="A284" s="23" t="str">
        <f t="shared" si="13"/>
        <v/>
      </c>
      <c r="B284" t="str">
        <f t="shared" si="14"/>
        <v/>
      </c>
      <c r="C284" s="23" t="str">
        <f t="shared" si="15"/>
        <v/>
      </c>
      <c r="E284" s="24" t="str">
        <f>IF(NOT(ISBLANK(G6copy!B284)),G6copy!B284,"")</f>
        <v/>
      </c>
      <c r="F284" s="24" t="str">
        <f>IF(E284&lt;&gt;"",G6copy!A284,"")</f>
        <v/>
      </c>
      <c r="G284" s="24" t="str">
        <f>IF(E284&lt;&gt;"",G6copy!F284,"")</f>
        <v/>
      </c>
    </row>
    <row r="285" spans="1:7" ht="15.75" customHeight="1">
      <c r="A285" s="23" t="str">
        <f t="shared" si="13"/>
        <v/>
      </c>
      <c r="B285" t="str">
        <f t="shared" si="14"/>
        <v/>
      </c>
      <c r="C285" s="23" t="str">
        <f t="shared" si="15"/>
        <v/>
      </c>
      <c r="E285" s="24" t="str">
        <f>IF(NOT(ISBLANK(G6copy!B285)),G6copy!B285,"")</f>
        <v/>
      </c>
      <c r="F285" s="24" t="str">
        <f>IF(E285&lt;&gt;"",G6copy!A285,"")</f>
        <v/>
      </c>
      <c r="G285" s="24" t="str">
        <f>IF(E285&lt;&gt;"",G6copy!F285,"")</f>
        <v/>
      </c>
    </row>
    <row r="286" spans="1:7" ht="15.75" customHeight="1">
      <c r="A286" s="23" t="str">
        <f t="shared" si="13"/>
        <v/>
      </c>
      <c r="B286" t="str">
        <f t="shared" si="14"/>
        <v/>
      </c>
      <c r="C286" s="23" t="str">
        <f t="shared" si="15"/>
        <v/>
      </c>
      <c r="E286" s="24" t="str">
        <f>IF(NOT(ISBLANK(G6copy!B286)),G6copy!B286,"")</f>
        <v/>
      </c>
      <c r="F286" s="24" t="str">
        <f>IF(E286&lt;&gt;"",G6copy!A286,"")</f>
        <v/>
      </c>
      <c r="G286" s="24" t="str">
        <f>IF(E286&lt;&gt;"",G6copy!F286,"")</f>
        <v/>
      </c>
    </row>
    <row r="287" spans="1:7" ht="15.75" customHeight="1">
      <c r="A287" s="23" t="str">
        <f t="shared" si="13"/>
        <v/>
      </c>
      <c r="B287" t="str">
        <f t="shared" si="14"/>
        <v/>
      </c>
      <c r="C287" s="23" t="str">
        <f t="shared" si="15"/>
        <v/>
      </c>
      <c r="E287" s="24" t="str">
        <f>IF(NOT(ISBLANK(G6copy!B287)),G6copy!B287,"")</f>
        <v/>
      </c>
      <c r="F287" s="24" t="str">
        <f>IF(E287&lt;&gt;"",G6copy!A287,"")</f>
        <v/>
      </c>
      <c r="G287" s="24" t="str">
        <f>IF(E287&lt;&gt;"",G6copy!F287,"")</f>
        <v/>
      </c>
    </row>
    <row r="288" spans="1:7" ht="15.75" customHeight="1">
      <c r="A288" s="23" t="str">
        <f t="shared" si="13"/>
        <v/>
      </c>
      <c r="B288" t="str">
        <f t="shared" si="14"/>
        <v/>
      </c>
      <c r="C288" s="23" t="str">
        <f t="shared" si="15"/>
        <v/>
      </c>
      <c r="E288" s="24" t="str">
        <f>IF(NOT(ISBLANK(G6copy!B288)),G6copy!B288,"")</f>
        <v/>
      </c>
      <c r="F288" s="24" t="str">
        <f>IF(E288&lt;&gt;"",G6copy!A288,"")</f>
        <v/>
      </c>
      <c r="G288" s="24" t="str">
        <f>IF(E288&lt;&gt;"",G6copy!F288,"")</f>
        <v/>
      </c>
    </row>
    <row r="289" spans="1:7" ht="15.75" customHeight="1">
      <c r="A289" s="23" t="str">
        <f t="shared" si="13"/>
        <v/>
      </c>
      <c r="B289" t="str">
        <f t="shared" si="14"/>
        <v/>
      </c>
      <c r="C289" s="23" t="str">
        <f t="shared" si="15"/>
        <v/>
      </c>
      <c r="E289" s="24" t="str">
        <f>IF(NOT(ISBLANK(G6copy!B289)),G6copy!B289,"")</f>
        <v/>
      </c>
      <c r="F289" s="24" t="str">
        <f>IF(E289&lt;&gt;"",G6copy!A289,"")</f>
        <v/>
      </c>
      <c r="G289" s="24" t="str">
        <f>IF(E289&lt;&gt;"",G6copy!F289,"")</f>
        <v/>
      </c>
    </row>
    <row r="290" spans="1:7" ht="15.75" customHeight="1">
      <c r="A290" s="23" t="str">
        <f t="shared" si="13"/>
        <v/>
      </c>
      <c r="B290" t="str">
        <f t="shared" si="14"/>
        <v/>
      </c>
      <c r="C290" s="23" t="str">
        <f t="shared" si="15"/>
        <v/>
      </c>
      <c r="E290" s="24" t="str">
        <f>IF(NOT(ISBLANK(G6copy!B290)),G6copy!B290,"")</f>
        <v/>
      </c>
      <c r="F290" s="24" t="str">
        <f>IF(E290&lt;&gt;"",G6copy!A290,"")</f>
        <v/>
      </c>
      <c r="G290" s="24" t="str">
        <f>IF(E290&lt;&gt;"",G6copy!F290,"")</f>
        <v/>
      </c>
    </row>
    <row r="291" spans="1:7" ht="15.75" customHeight="1">
      <c r="A291" s="23" t="str">
        <f t="shared" si="13"/>
        <v/>
      </c>
      <c r="B291" t="str">
        <f t="shared" si="14"/>
        <v/>
      </c>
      <c r="C291" s="23" t="str">
        <f t="shared" si="15"/>
        <v/>
      </c>
      <c r="E291" s="24" t="str">
        <f>IF(NOT(ISBLANK(G6copy!B291)),G6copy!B291,"")</f>
        <v/>
      </c>
      <c r="F291" s="24" t="str">
        <f>IF(E291&lt;&gt;"",G6copy!A291,"")</f>
        <v/>
      </c>
      <c r="G291" s="24" t="str">
        <f>IF(E291&lt;&gt;"",G6copy!F291,"")</f>
        <v/>
      </c>
    </row>
    <row r="292" spans="1:7" ht="15.75" customHeight="1">
      <c r="A292" s="23" t="str">
        <f t="shared" si="13"/>
        <v/>
      </c>
      <c r="B292" t="str">
        <f t="shared" si="14"/>
        <v/>
      </c>
      <c r="C292" s="23" t="str">
        <f t="shared" si="15"/>
        <v/>
      </c>
      <c r="E292" s="24" t="str">
        <f>IF(NOT(ISBLANK(G6copy!B292)),G6copy!B292,"")</f>
        <v/>
      </c>
      <c r="F292" s="24" t="str">
        <f>IF(E292&lt;&gt;"",G6copy!A292,"")</f>
        <v/>
      </c>
      <c r="G292" s="24" t="str">
        <f>IF(E292&lt;&gt;"",G6copy!F292,"")</f>
        <v/>
      </c>
    </row>
    <row r="293" spans="1:7" ht="15.75" customHeight="1">
      <c r="A293" s="23" t="str">
        <f t="shared" si="13"/>
        <v/>
      </c>
      <c r="B293" t="str">
        <f t="shared" si="14"/>
        <v/>
      </c>
      <c r="C293" s="23" t="str">
        <f t="shared" si="15"/>
        <v/>
      </c>
      <c r="E293" s="24" t="str">
        <f>IF(NOT(ISBLANK(G6copy!B293)),G6copy!B293,"")</f>
        <v/>
      </c>
      <c r="F293" s="24" t="str">
        <f>IF(E293&lt;&gt;"",G6copy!A293,"")</f>
        <v/>
      </c>
      <c r="G293" s="24" t="str">
        <f>IF(E293&lt;&gt;"",G6copy!F293,"")</f>
        <v/>
      </c>
    </row>
    <row r="294" spans="1:7" ht="15.75" customHeight="1">
      <c r="A294" s="23" t="str">
        <f t="shared" si="13"/>
        <v/>
      </c>
      <c r="B294" t="str">
        <f t="shared" si="14"/>
        <v/>
      </c>
      <c r="C294" s="23" t="str">
        <f t="shared" si="15"/>
        <v/>
      </c>
      <c r="E294" s="24" t="str">
        <f>IF(NOT(ISBLANK(G6copy!B294)),G6copy!B294,"")</f>
        <v/>
      </c>
      <c r="F294" s="24" t="str">
        <f>IF(E294&lt;&gt;"",G6copy!A294,"")</f>
        <v/>
      </c>
      <c r="G294" s="24" t="str">
        <f>IF(E294&lt;&gt;"",G6copy!F294,"")</f>
        <v/>
      </c>
    </row>
    <row r="295" spans="1:7" ht="15.75" customHeight="1">
      <c r="A295" s="23" t="str">
        <f t="shared" si="13"/>
        <v/>
      </c>
      <c r="B295" t="str">
        <f t="shared" si="14"/>
        <v/>
      </c>
      <c r="C295" s="23" t="str">
        <f t="shared" si="15"/>
        <v/>
      </c>
      <c r="E295" s="24" t="str">
        <f>IF(NOT(ISBLANK(G6copy!B295)),G6copy!B295,"")</f>
        <v/>
      </c>
      <c r="F295" s="24" t="str">
        <f>IF(E295&lt;&gt;"",G6copy!A295,"")</f>
        <v/>
      </c>
      <c r="G295" s="24" t="str">
        <f>IF(E295&lt;&gt;"",G6copy!F295,"")</f>
        <v/>
      </c>
    </row>
    <row r="296" spans="1:7" ht="15.75" customHeight="1">
      <c r="A296" s="23" t="str">
        <f t="shared" si="13"/>
        <v/>
      </c>
      <c r="B296" t="str">
        <f t="shared" si="14"/>
        <v/>
      </c>
      <c r="C296" s="23" t="str">
        <f t="shared" si="15"/>
        <v/>
      </c>
      <c r="E296" s="24" t="str">
        <f>IF(NOT(ISBLANK(G6copy!B296)),G6copy!B296,"")</f>
        <v/>
      </c>
      <c r="F296" s="24" t="str">
        <f>IF(E296&lt;&gt;"",G6copy!A296,"")</f>
        <v/>
      </c>
      <c r="G296" s="24" t="str">
        <f>IF(E296&lt;&gt;"",G6copy!F296,"")</f>
        <v/>
      </c>
    </row>
    <row r="297" spans="1:7" ht="15.75" customHeight="1">
      <c r="A297" s="23" t="str">
        <f t="shared" si="13"/>
        <v/>
      </c>
      <c r="B297" t="str">
        <f t="shared" si="14"/>
        <v/>
      </c>
      <c r="C297" s="23" t="str">
        <f t="shared" si="15"/>
        <v/>
      </c>
      <c r="E297" s="24" t="str">
        <f>IF(NOT(ISBLANK(G6copy!B297)),G6copy!B297,"")</f>
        <v/>
      </c>
      <c r="F297" s="24" t="str">
        <f>IF(E297&lt;&gt;"",G6copy!A297,"")</f>
        <v/>
      </c>
      <c r="G297" s="24" t="str">
        <f>IF(E297&lt;&gt;"",G6copy!F297,"")</f>
        <v/>
      </c>
    </row>
    <row r="298" spans="1:7" ht="15.75" customHeight="1">
      <c r="A298" s="23" t="str">
        <f t="shared" si="13"/>
        <v/>
      </c>
      <c r="B298" t="str">
        <f t="shared" si="14"/>
        <v/>
      </c>
      <c r="C298" s="23" t="str">
        <f t="shared" si="15"/>
        <v/>
      </c>
      <c r="E298" s="24" t="str">
        <f>IF(NOT(ISBLANK(G6copy!B298)),G6copy!B298,"")</f>
        <v/>
      </c>
      <c r="F298" s="24" t="str">
        <f>IF(E298&lt;&gt;"",G6copy!A298,"")</f>
        <v/>
      </c>
      <c r="G298" s="24" t="str">
        <f>IF(E298&lt;&gt;"",G6copy!F298,"")</f>
        <v/>
      </c>
    </row>
    <row r="299" spans="1:7" ht="15.75" customHeight="1">
      <c r="A299" s="23" t="str">
        <f t="shared" si="13"/>
        <v/>
      </c>
      <c r="B299" t="str">
        <f t="shared" si="14"/>
        <v/>
      </c>
      <c r="C299" s="23" t="str">
        <f t="shared" si="15"/>
        <v/>
      </c>
      <c r="E299" s="24" t="str">
        <f>IF(NOT(ISBLANK(G6copy!B299)),G6copy!B299,"")</f>
        <v/>
      </c>
      <c r="F299" s="24" t="str">
        <f>IF(E299&lt;&gt;"",G6copy!A299,"")</f>
        <v/>
      </c>
      <c r="G299" s="24" t="str">
        <f>IF(E299&lt;&gt;"",G6copy!F299,"")</f>
        <v/>
      </c>
    </row>
    <row r="300" spans="1:7" ht="15.75" customHeight="1">
      <c r="A300" s="23" t="str">
        <f t="shared" si="13"/>
        <v/>
      </c>
      <c r="B300" t="str">
        <f t="shared" si="14"/>
        <v/>
      </c>
      <c r="C300" s="23" t="str">
        <f t="shared" si="15"/>
        <v/>
      </c>
      <c r="E300" s="24" t="str">
        <f>IF(NOT(ISBLANK(G6copy!B300)),G6copy!B300,"")</f>
        <v/>
      </c>
      <c r="F300" s="24" t="str">
        <f>IF(E300&lt;&gt;"",G6copy!A300,"")</f>
        <v/>
      </c>
      <c r="G300" s="24" t="str">
        <f>IF(E300&lt;&gt;"",G6copy!F300,"")</f>
        <v/>
      </c>
    </row>
    <row r="301" spans="1:7" ht="15.75" customHeight="1">
      <c r="A301" s="23" t="str">
        <f t="shared" si="13"/>
        <v/>
      </c>
      <c r="B301" t="str">
        <f t="shared" si="14"/>
        <v/>
      </c>
      <c r="C301" s="23" t="str">
        <f t="shared" si="15"/>
        <v/>
      </c>
      <c r="E301" s="24" t="str">
        <f>IF(NOT(ISBLANK(G6copy!B301)),G6copy!B301,"")</f>
        <v/>
      </c>
      <c r="F301" s="24" t="str">
        <f>IF(E301&lt;&gt;"",G6copy!A301,"")</f>
        <v/>
      </c>
      <c r="G301" s="24" t="str">
        <f>IF(E301&lt;&gt;"",G6copy!F301,"")</f>
        <v/>
      </c>
    </row>
    <row r="302" spans="1:7" ht="15.75" customHeight="1">
      <c r="A302" s="23" t="str">
        <f t="shared" si="13"/>
        <v/>
      </c>
      <c r="B302" t="str">
        <f t="shared" si="14"/>
        <v/>
      </c>
      <c r="C302" s="23" t="str">
        <f t="shared" si="15"/>
        <v/>
      </c>
      <c r="E302" s="24" t="str">
        <f>IF(NOT(ISBLANK(G6copy!B302)),G6copy!B302,"")</f>
        <v/>
      </c>
      <c r="F302" s="24" t="str">
        <f>IF(E302&lt;&gt;"",G6copy!A302,"")</f>
        <v/>
      </c>
      <c r="G302" s="24" t="str">
        <f>IF(E302&lt;&gt;"",G6copy!F302,"")</f>
        <v/>
      </c>
    </row>
    <row r="303" spans="1:7" ht="15.75" customHeight="1">
      <c r="A303" s="23" t="str">
        <f t="shared" si="13"/>
        <v/>
      </c>
      <c r="B303" t="str">
        <f t="shared" si="14"/>
        <v/>
      </c>
      <c r="C303" s="23" t="str">
        <f t="shared" si="15"/>
        <v/>
      </c>
      <c r="E303" s="24" t="str">
        <f>IF(NOT(ISBLANK(G6copy!B303)),G6copy!B303,"")</f>
        <v/>
      </c>
      <c r="F303" s="24" t="str">
        <f>IF(E303&lt;&gt;"",G6copy!A303,"")</f>
        <v/>
      </c>
      <c r="G303" s="24" t="str">
        <f>IF(E303&lt;&gt;"",G6copy!F303,"")</f>
        <v/>
      </c>
    </row>
    <row r="304" spans="1:7" ht="15.75" customHeight="1">
      <c r="A304" s="23" t="str">
        <f t="shared" si="13"/>
        <v/>
      </c>
      <c r="B304" t="str">
        <f t="shared" si="14"/>
        <v/>
      </c>
      <c r="C304" s="23" t="str">
        <f t="shared" si="15"/>
        <v/>
      </c>
      <c r="E304" s="24" t="str">
        <f>IF(NOT(ISBLANK(G6copy!B304)),G6copy!B304,"")</f>
        <v/>
      </c>
      <c r="F304" s="24" t="str">
        <f>IF(E304&lt;&gt;"",G6copy!A304,"")</f>
        <v/>
      </c>
      <c r="G304" s="24" t="str">
        <f>IF(E304&lt;&gt;"",G6copy!F304,"")</f>
        <v/>
      </c>
    </row>
    <row r="305" spans="1:7" ht="15.75" customHeight="1">
      <c r="A305" s="23" t="str">
        <f t="shared" si="13"/>
        <v/>
      </c>
      <c r="B305" t="str">
        <f t="shared" si="14"/>
        <v/>
      </c>
      <c r="C305" s="23" t="str">
        <f t="shared" si="15"/>
        <v/>
      </c>
      <c r="E305" s="24" t="str">
        <f>IF(NOT(ISBLANK(G6copy!B305)),G6copy!B305,"")</f>
        <v/>
      </c>
      <c r="F305" s="24" t="str">
        <f>IF(E305&lt;&gt;"",G6copy!A305,"")</f>
        <v/>
      </c>
      <c r="G305" s="24" t="str">
        <f>IF(E305&lt;&gt;"",G6copy!F305,"")</f>
        <v/>
      </c>
    </row>
    <row r="306" spans="1:7" ht="15.75" customHeight="1">
      <c r="A306" s="23" t="str">
        <f t="shared" si="13"/>
        <v/>
      </c>
      <c r="B306" t="str">
        <f t="shared" si="14"/>
        <v/>
      </c>
      <c r="C306" s="23" t="str">
        <f t="shared" si="15"/>
        <v/>
      </c>
      <c r="E306" s="24" t="str">
        <f>IF(NOT(ISBLANK(G6copy!B306)),G6copy!B306,"")</f>
        <v/>
      </c>
      <c r="F306" s="24" t="str">
        <f>IF(E306&lt;&gt;"",G6copy!A306,"")</f>
        <v/>
      </c>
      <c r="G306" s="24" t="str">
        <f>IF(E306&lt;&gt;"",G6copy!F306,"")</f>
        <v/>
      </c>
    </row>
    <row r="307" spans="1:7" ht="15.75" customHeight="1">
      <c r="A307" s="23" t="str">
        <f t="shared" si="13"/>
        <v/>
      </c>
      <c r="B307" t="str">
        <f t="shared" si="14"/>
        <v/>
      </c>
      <c r="C307" s="23" t="str">
        <f t="shared" si="15"/>
        <v/>
      </c>
      <c r="E307" s="24" t="str">
        <f>IF(NOT(ISBLANK(G6copy!B307)),G6copy!B307,"")</f>
        <v/>
      </c>
      <c r="F307" s="24" t="str">
        <f>IF(E307&lt;&gt;"",G6copy!A307,"")</f>
        <v/>
      </c>
      <c r="G307" s="24" t="str">
        <f>IF(E307&lt;&gt;"",G6copy!F307,"")</f>
        <v/>
      </c>
    </row>
    <row r="308" spans="1:7" ht="15.75" customHeight="1">
      <c r="A308" s="23" t="str">
        <f t="shared" si="13"/>
        <v/>
      </c>
      <c r="B308" t="str">
        <f t="shared" si="14"/>
        <v/>
      </c>
      <c r="C308" s="23" t="str">
        <f t="shared" si="15"/>
        <v/>
      </c>
      <c r="E308" s="24" t="str">
        <f>IF(NOT(ISBLANK(G6copy!B308)),G6copy!B308,"")</f>
        <v/>
      </c>
      <c r="F308" s="24" t="str">
        <f>IF(E308&lt;&gt;"",G6copy!A308,"")</f>
        <v/>
      </c>
      <c r="G308" s="24" t="str">
        <f>IF(E308&lt;&gt;"",G6copy!F308,"")</f>
        <v/>
      </c>
    </row>
    <row r="309" spans="1:7" ht="15.75" customHeight="1">
      <c r="A309" s="23" t="str">
        <f t="shared" si="13"/>
        <v/>
      </c>
      <c r="B309" t="str">
        <f t="shared" si="14"/>
        <v/>
      </c>
      <c r="C309" s="23" t="str">
        <f t="shared" si="15"/>
        <v/>
      </c>
      <c r="E309" s="24" t="str">
        <f>IF(NOT(ISBLANK(G6copy!B309)),G6copy!B309,"")</f>
        <v/>
      </c>
      <c r="F309" s="24" t="str">
        <f>IF(E309&lt;&gt;"",G6copy!A309,"")</f>
        <v/>
      </c>
      <c r="G309" s="24" t="str">
        <f>IF(E309&lt;&gt;"",G6copy!F309,"")</f>
        <v/>
      </c>
    </row>
    <row r="310" spans="1:7" ht="15.75" customHeight="1">
      <c r="A310" s="23" t="str">
        <f t="shared" si="13"/>
        <v/>
      </c>
      <c r="B310" t="str">
        <f t="shared" si="14"/>
        <v/>
      </c>
      <c r="C310" s="23" t="str">
        <f t="shared" si="15"/>
        <v/>
      </c>
      <c r="E310" s="24" t="str">
        <f>IF(NOT(ISBLANK(G6copy!B310)),G6copy!B310,"")</f>
        <v/>
      </c>
      <c r="F310" s="24" t="str">
        <f>IF(E310&lt;&gt;"",G6copy!A310,"")</f>
        <v/>
      </c>
      <c r="G310" s="24" t="str">
        <f>IF(E310&lt;&gt;"",G6copy!F310,"")</f>
        <v/>
      </c>
    </row>
    <row r="311" spans="1:7" ht="15.75" customHeight="1">
      <c r="A311" s="23" t="str">
        <f t="shared" si="13"/>
        <v/>
      </c>
      <c r="B311" t="str">
        <f t="shared" si="14"/>
        <v/>
      </c>
      <c r="C311" s="23" t="str">
        <f t="shared" si="15"/>
        <v/>
      </c>
      <c r="E311" s="24" t="str">
        <f>IF(NOT(ISBLANK(G6copy!B311)),G6copy!B311,"")</f>
        <v/>
      </c>
      <c r="F311" s="24" t="str">
        <f>IF(E311&lt;&gt;"",G6copy!A311,"")</f>
        <v/>
      </c>
      <c r="G311" s="24" t="str">
        <f>IF(E311&lt;&gt;"",G6copy!F311,"")</f>
        <v/>
      </c>
    </row>
    <row r="312" spans="1:7" ht="15.75" customHeight="1">
      <c r="A312" s="23" t="str">
        <f t="shared" si="13"/>
        <v/>
      </c>
      <c r="B312" t="str">
        <f t="shared" si="14"/>
        <v/>
      </c>
      <c r="C312" s="23" t="str">
        <f t="shared" si="15"/>
        <v/>
      </c>
      <c r="E312" s="24" t="str">
        <f>IF(NOT(ISBLANK(G6copy!B312)),G6copy!B312,"")</f>
        <v/>
      </c>
      <c r="F312" s="24" t="str">
        <f>IF(E312&lt;&gt;"",G6copy!A312,"")</f>
        <v/>
      </c>
      <c r="G312" s="24" t="str">
        <f>IF(E312&lt;&gt;"",G6copy!F312,"")</f>
        <v/>
      </c>
    </row>
    <row r="313" spans="1:7" ht="15.75" customHeight="1">
      <c r="A313" s="23" t="str">
        <f t="shared" si="13"/>
        <v/>
      </c>
      <c r="B313" t="str">
        <f t="shared" si="14"/>
        <v/>
      </c>
      <c r="C313" s="23" t="str">
        <f t="shared" si="15"/>
        <v/>
      </c>
      <c r="E313" s="24" t="str">
        <f>IF(NOT(ISBLANK(G6copy!B313)),G6copy!B313,"")</f>
        <v/>
      </c>
      <c r="F313" s="24" t="str">
        <f>IF(E313&lt;&gt;"",G6copy!A313,"")</f>
        <v/>
      </c>
      <c r="G313" s="24" t="str">
        <f>IF(E313&lt;&gt;"",G6copy!F313,"")</f>
        <v/>
      </c>
    </row>
    <row r="314" spans="1:7" ht="15.75" customHeight="1">
      <c r="A314" s="23" t="str">
        <f t="shared" si="13"/>
        <v/>
      </c>
      <c r="B314" t="str">
        <f t="shared" si="14"/>
        <v/>
      </c>
      <c r="C314" s="23" t="str">
        <f t="shared" si="15"/>
        <v/>
      </c>
      <c r="E314" s="24" t="str">
        <f>IF(NOT(ISBLANK(G6copy!B314)),G6copy!B314,"")</f>
        <v/>
      </c>
      <c r="F314" s="24" t="str">
        <f>IF(E314&lt;&gt;"",G6copy!A314,"")</f>
        <v/>
      </c>
      <c r="G314" s="24" t="str">
        <f>IF(E314&lt;&gt;"",G6copy!F314,"")</f>
        <v/>
      </c>
    </row>
    <row r="315" spans="1:7" ht="15.75" customHeight="1">
      <c r="A315" s="23" t="str">
        <f t="shared" si="13"/>
        <v/>
      </c>
      <c r="B315" t="str">
        <f t="shared" si="14"/>
        <v/>
      </c>
      <c r="C315" s="23" t="str">
        <f t="shared" si="15"/>
        <v/>
      </c>
      <c r="E315" s="24" t="str">
        <f>IF(NOT(ISBLANK(G6copy!B315)),G6copy!B315,"")</f>
        <v/>
      </c>
      <c r="F315" s="24" t="str">
        <f>IF(E315&lt;&gt;"",G6copy!A315,"")</f>
        <v/>
      </c>
      <c r="G315" s="24" t="str">
        <f>IF(E315&lt;&gt;"",G6copy!F315,"")</f>
        <v/>
      </c>
    </row>
    <row r="316" spans="1:7" ht="15.75" customHeight="1">
      <c r="A316" s="23" t="str">
        <f t="shared" si="13"/>
        <v/>
      </c>
      <c r="B316" t="str">
        <f t="shared" si="14"/>
        <v/>
      </c>
      <c r="C316" s="23" t="str">
        <f t="shared" si="15"/>
        <v/>
      </c>
      <c r="E316" s="24" t="str">
        <f>IF(NOT(ISBLANK(G6copy!B316)),G6copy!B316,"")</f>
        <v/>
      </c>
      <c r="F316" s="24" t="str">
        <f>IF(E316&lt;&gt;"",G6copy!A316,"")</f>
        <v/>
      </c>
      <c r="G316" s="24" t="str">
        <f>IF(E316&lt;&gt;"",G6copy!F316,"")</f>
        <v/>
      </c>
    </row>
    <row r="317" spans="1:7" ht="15.75" customHeight="1">
      <c r="A317" s="23" t="str">
        <f t="shared" si="13"/>
        <v/>
      </c>
      <c r="B317" t="str">
        <f t="shared" si="14"/>
        <v/>
      </c>
      <c r="C317" s="23" t="str">
        <f t="shared" si="15"/>
        <v/>
      </c>
      <c r="E317" s="24" t="str">
        <f>IF(NOT(ISBLANK(G6copy!B317)),G6copy!B317,"")</f>
        <v/>
      </c>
      <c r="F317" s="24" t="str">
        <f>IF(E317&lt;&gt;"",G6copy!A317,"")</f>
        <v/>
      </c>
      <c r="G317" s="24" t="str">
        <f>IF(E317&lt;&gt;"",G6copy!F317,"")</f>
        <v/>
      </c>
    </row>
    <row r="318" spans="1:7" ht="15.75" customHeight="1">
      <c r="A318" s="23" t="str">
        <f t="shared" si="13"/>
        <v/>
      </c>
      <c r="B318" t="str">
        <f t="shared" si="14"/>
        <v/>
      </c>
      <c r="C318" s="23" t="str">
        <f t="shared" si="15"/>
        <v/>
      </c>
      <c r="E318" s="24" t="str">
        <f>IF(NOT(ISBLANK(G6copy!B318)),G6copy!B318,"")</f>
        <v/>
      </c>
      <c r="F318" s="24" t="str">
        <f>IF(E318&lt;&gt;"",G6copy!A318,"")</f>
        <v/>
      </c>
      <c r="G318" s="24" t="str">
        <f>IF(E318&lt;&gt;"",G6copy!F318,"")</f>
        <v/>
      </c>
    </row>
    <row r="319" spans="1:7" ht="15.75" customHeight="1">
      <c r="A319" s="23" t="str">
        <f t="shared" si="13"/>
        <v/>
      </c>
      <c r="B319" t="str">
        <f t="shared" si="14"/>
        <v/>
      </c>
      <c r="C319" s="23" t="str">
        <f t="shared" si="15"/>
        <v/>
      </c>
      <c r="E319" s="24" t="str">
        <f>IF(NOT(ISBLANK(G6copy!B319)),G6copy!B319,"")</f>
        <v/>
      </c>
      <c r="F319" s="24" t="str">
        <f>IF(E319&lt;&gt;"",G6copy!A319,"")</f>
        <v/>
      </c>
      <c r="G319" s="24" t="str">
        <f>IF(E319&lt;&gt;"",G6copy!F319,"")</f>
        <v/>
      </c>
    </row>
    <row r="320" spans="1:7" ht="15.75" customHeight="1">
      <c r="A320" s="23" t="str">
        <f t="shared" si="13"/>
        <v/>
      </c>
      <c r="B320" t="str">
        <f t="shared" si="14"/>
        <v/>
      </c>
      <c r="C320" s="23" t="str">
        <f t="shared" si="15"/>
        <v/>
      </c>
      <c r="E320" s="24" t="str">
        <f>IF(NOT(ISBLANK(G6copy!B320)),G6copy!B320,"")</f>
        <v/>
      </c>
      <c r="F320" s="24" t="str">
        <f>IF(E320&lt;&gt;"",G6copy!A320,"")</f>
        <v/>
      </c>
      <c r="G320" s="24" t="str">
        <f>IF(E320&lt;&gt;"",G6copy!F320,"")</f>
        <v/>
      </c>
    </row>
    <row r="321" spans="1:7" ht="15.75" customHeight="1">
      <c r="A321" s="23" t="str">
        <f t="shared" si="13"/>
        <v/>
      </c>
      <c r="B321" t="str">
        <f t="shared" si="14"/>
        <v/>
      </c>
      <c r="C321" s="23" t="str">
        <f t="shared" si="15"/>
        <v/>
      </c>
      <c r="E321" s="24" t="str">
        <f>IF(NOT(ISBLANK(G6copy!B321)),G6copy!B321,"")</f>
        <v/>
      </c>
      <c r="F321" s="24" t="str">
        <f>IF(E321&lt;&gt;"",G6copy!A321,"")</f>
        <v/>
      </c>
      <c r="G321" s="24" t="str">
        <f>IF(E321&lt;&gt;"",G6copy!F321,"")</f>
        <v/>
      </c>
    </row>
    <row r="322" spans="1:7" ht="15.75" customHeight="1">
      <c r="A322" s="23" t="str">
        <f t="shared" si="13"/>
        <v/>
      </c>
      <c r="B322" t="str">
        <f t="shared" si="14"/>
        <v/>
      </c>
      <c r="C322" s="23" t="str">
        <f t="shared" si="15"/>
        <v/>
      </c>
      <c r="E322" s="24" t="str">
        <f>IF(NOT(ISBLANK(G6copy!B322)),G6copy!B322,"")</f>
        <v/>
      </c>
      <c r="F322" s="24" t="str">
        <f>IF(E322&lt;&gt;"",G6copy!A322,"")</f>
        <v/>
      </c>
      <c r="G322" s="24" t="str">
        <f>IF(E322&lt;&gt;"",G6copy!F322,"")</f>
        <v/>
      </c>
    </row>
    <row r="323" spans="1:7" ht="15.75" customHeight="1">
      <c r="A323" s="23" t="str">
        <f t="shared" ref="A323:A386" si="16">IF(E323&lt;&gt;"",DATEVALUE(LEFT(E323,10)),"")</f>
        <v/>
      </c>
      <c r="B323" t="str">
        <f t="shared" ref="B323:B386" si="17">IF(LEN(F323)&gt;3,RIGHT(F323,LEN(F323)-3),"")</f>
        <v/>
      </c>
      <c r="C323" s="23" t="str">
        <f t="shared" ref="C323:C386" si="18">IF(E323&lt;&gt;"",DATEVALUE(LEFT(G323,10)),"")</f>
        <v/>
      </c>
      <c r="E323" s="24" t="str">
        <f>IF(NOT(ISBLANK(G6copy!B323)),G6copy!B323,"")</f>
        <v/>
      </c>
      <c r="F323" s="24" t="str">
        <f>IF(E323&lt;&gt;"",G6copy!A323,"")</f>
        <v/>
      </c>
      <c r="G323" s="24" t="str">
        <f>IF(E323&lt;&gt;"",G6copy!F323,"")</f>
        <v/>
      </c>
    </row>
    <row r="324" spans="1:7" ht="15.75" customHeight="1">
      <c r="A324" s="23" t="str">
        <f t="shared" si="16"/>
        <v/>
      </c>
      <c r="B324" t="str">
        <f t="shared" si="17"/>
        <v/>
      </c>
      <c r="C324" s="23" t="str">
        <f t="shared" si="18"/>
        <v/>
      </c>
      <c r="E324" s="24" t="str">
        <f>IF(NOT(ISBLANK(G6copy!B324)),G6copy!B324,"")</f>
        <v/>
      </c>
      <c r="F324" s="24" t="str">
        <f>IF(E324&lt;&gt;"",G6copy!A324,"")</f>
        <v/>
      </c>
      <c r="G324" s="24" t="str">
        <f>IF(E324&lt;&gt;"",G6copy!F324,"")</f>
        <v/>
      </c>
    </row>
    <row r="325" spans="1:7" ht="15.75" customHeight="1">
      <c r="A325" s="23" t="str">
        <f t="shared" si="16"/>
        <v/>
      </c>
      <c r="B325" t="str">
        <f t="shared" si="17"/>
        <v/>
      </c>
      <c r="C325" s="23" t="str">
        <f t="shared" si="18"/>
        <v/>
      </c>
      <c r="E325" s="24" t="str">
        <f>IF(NOT(ISBLANK(G6copy!B325)),G6copy!B325,"")</f>
        <v/>
      </c>
      <c r="F325" s="24" t="str">
        <f>IF(E325&lt;&gt;"",G6copy!A325,"")</f>
        <v/>
      </c>
      <c r="G325" s="24" t="str">
        <f>IF(E325&lt;&gt;"",G6copy!F325,"")</f>
        <v/>
      </c>
    </row>
    <row r="326" spans="1:7" ht="15.75" customHeight="1">
      <c r="A326" s="23" t="str">
        <f t="shared" si="16"/>
        <v/>
      </c>
      <c r="B326" t="str">
        <f t="shared" si="17"/>
        <v/>
      </c>
      <c r="C326" s="23" t="str">
        <f t="shared" si="18"/>
        <v/>
      </c>
      <c r="E326" s="24" t="str">
        <f>IF(NOT(ISBLANK(G6copy!B326)),G6copy!B326,"")</f>
        <v/>
      </c>
      <c r="F326" s="24" t="str">
        <f>IF(E326&lt;&gt;"",G6copy!A326,"")</f>
        <v/>
      </c>
      <c r="G326" s="24" t="str">
        <f>IF(E326&lt;&gt;"",G6copy!F326,"")</f>
        <v/>
      </c>
    </row>
    <row r="327" spans="1:7" ht="15.75" customHeight="1">
      <c r="A327" s="23" t="str">
        <f t="shared" si="16"/>
        <v/>
      </c>
      <c r="B327" t="str">
        <f t="shared" si="17"/>
        <v/>
      </c>
      <c r="C327" s="23" t="str">
        <f t="shared" si="18"/>
        <v/>
      </c>
      <c r="E327" s="24" t="str">
        <f>IF(NOT(ISBLANK(G6copy!B327)),G6copy!B327,"")</f>
        <v/>
      </c>
      <c r="F327" s="24" t="str">
        <f>IF(E327&lt;&gt;"",G6copy!A327,"")</f>
        <v/>
      </c>
      <c r="G327" s="24" t="str">
        <f>IF(E327&lt;&gt;"",G6copy!F327,"")</f>
        <v/>
      </c>
    </row>
    <row r="328" spans="1:7" ht="15.75" customHeight="1">
      <c r="A328" s="23" t="str">
        <f t="shared" si="16"/>
        <v/>
      </c>
      <c r="B328" t="str">
        <f t="shared" si="17"/>
        <v/>
      </c>
      <c r="C328" s="23" t="str">
        <f t="shared" si="18"/>
        <v/>
      </c>
      <c r="E328" s="24" t="str">
        <f>IF(NOT(ISBLANK(G6copy!B328)),G6copy!B328,"")</f>
        <v/>
      </c>
      <c r="F328" s="24" t="str">
        <f>IF(E328&lt;&gt;"",G6copy!A328,"")</f>
        <v/>
      </c>
      <c r="G328" s="24" t="str">
        <f>IF(E328&lt;&gt;"",G6copy!F328,"")</f>
        <v/>
      </c>
    </row>
    <row r="329" spans="1:7" ht="15.75" customHeight="1">
      <c r="A329" s="23" t="str">
        <f t="shared" si="16"/>
        <v/>
      </c>
      <c r="B329" t="str">
        <f t="shared" si="17"/>
        <v/>
      </c>
      <c r="C329" s="23" t="str">
        <f t="shared" si="18"/>
        <v/>
      </c>
      <c r="E329" s="24" t="str">
        <f>IF(NOT(ISBLANK(G6copy!B329)),G6copy!B329,"")</f>
        <v/>
      </c>
      <c r="F329" s="24" t="str">
        <f>IF(E329&lt;&gt;"",G6copy!A329,"")</f>
        <v/>
      </c>
      <c r="G329" s="24" t="str">
        <f>IF(E329&lt;&gt;"",G6copy!F329,"")</f>
        <v/>
      </c>
    </row>
    <row r="330" spans="1:7" ht="15.75" customHeight="1">
      <c r="A330" s="23" t="str">
        <f t="shared" si="16"/>
        <v/>
      </c>
      <c r="B330" t="str">
        <f t="shared" si="17"/>
        <v/>
      </c>
      <c r="C330" s="23" t="str">
        <f t="shared" si="18"/>
        <v/>
      </c>
      <c r="E330" s="24" t="str">
        <f>IF(NOT(ISBLANK(G6copy!B330)),G6copy!B330,"")</f>
        <v/>
      </c>
      <c r="F330" s="24" t="str">
        <f>IF(E330&lt;&gt;"",G6copy!A330,"")</f>
        <v/>
      </c>
      <c r="G330" s="24" t="str">
        <f>IF(E330&lt;&gt;"",G6copy!F330,"")</f>
        <v/>
      </c>
    </row>
    <row r="331" spans="1:7" ht="15.75" customHeight="1">
      <c r="A331" s="23" t="str">
        <f t="shared" si="16"/>
        <v/>
      </c>
      <c r="B331" t="str">
        <f t="shared" si="17"/>
        <v/>
      </c>
      <c r="C331" s="23" t="str">
        <f t="shared" si="18"/>
        <v/>
      </c>
      <c r="E331" s="24" t="str">
        <f>IF(NOT(ISBLANK(G6copy!B331)),G6copy!B331,"")</f>
        <v/>
      </c>
      <c r="F331" s="24" t="str">
        <f>IF(E331&lt;&gt;"",G6copy!A331,"")</f>
        <v/>
      </c>
      <c r="G331" s="24" t="str">
        <f>IF(E331&lt;&gt;"",G6copy!F331,"")</f>
        <v/>
      </c>
    </row>
    <row r="332" spans="1:7" ht="15.75" customHeight="1">
      <c r="A332" s="23" t="str">
        <f t="shared" si="16"/>
        <v/>
      </c>
      <c r="B332" t="str">
        <f t="shared" si="17"/>
        <v/>
      </c>
      <c r="C332" s="23" t="str">
        <f t="shared" si="18"/>
        <v/>
      </c>
      <c r="E332" s="24" t="str">
        <f>IF(NOT(ISBLANK(G6copy!B332)),G6copy!B332,"")</f>
        <v/>
      </c>
      <c r="F332" s="24" t="str">
        <f>IF(E332&lt;&gt;"",G6copy!A332,"")</f>
        <v/>
      </c>
      <c r="G332" s="24" t="str">
        <f>IF(E332&lt;&gt;"",G6copy!F332,"")</f>
        <v/>
      </c>
    </row>
    <row r="333" spans="1:7" ht="15.75" customHeight="1">
      <c r="A333" s="23" t="str">
        <f t="shared" si="16"/>
        <v/>
      </c>
      <c r="B333" t="str">
        <f t="shared" si="17"/>
        <v/>
      </c>
      <c r="C333" s="23" t="str">
        <f t="shared" si="18"/>
        <v/>
      </c>
      <c r="E333" s="24" t="str">
        <f>IF(NOT(ISBLANK(G6copy!B333)),G6copy!B333,"")</f>
        <v/>
      </c>
      <c r="F333" s="24" t="str">
        <f>IF(E333&lt;&gt;"",G6copy!A333,"")</f>
        <v/>
      </c>
      <c r="G333" s="24" t="str">
        <f>IF(E333&lt;&gt;"",G6copy!F333,"")</f>
        <v/>
      </c>
    </row>
    <row r="334" spans="1:7" ht="15.75" customHeight="1">
      <c r="A334" s="23" t="str">
        <f t="shared" si="16"/>
        <v/>
      </c>
      <c r="B334" t="str">
        <f t="shared" si="17"/>
        <v/>
      </c>
      <c r="C334" s="23" t="str">
        <f t="shared" si="18"/>
        <v/>
      </c>
      <c r="E334" s="24" t="str">
        <f>IF(NOT(ISBLANK(G6copy!B334)),G6copy!B334,"")</f>
        <v/>
      </c>
      <c r="F334" s="24" t="str">
        <f>IF(E334&lt;&gt;"",G6copy!A334,"")</f>
        <v/>
      </c>
      <c r="G334" s="24" t="str">
        <f>IF(E334&lt;&gt;"",G6copy!F334,"")</f>
        <v/>
      </c>
    </row>
    <row r="335" spans="1:7" ht="15.75" customHeight="1">
      <c r="A335" s="23" t="str">
        <f t="shared" si="16"/>
        <v/>
      </c>
      <c r="B335" t="str">
        <f t="shared" si="17"/>
        <v/>
      </c>
      <c r="C335" s="23" t="str">
        <f t="shared" si="18"/>
        <v/>
      </c>
      <c r="E335" s="24" t="str">
        <f>IF(NOT(ISBLANK(G6copy!B335)),G6copy!B335,"")</f>
        <v/>
      </c>
      <c r="F335" s="24" t="str">
        <f>IF(E335&lt;&gt;"",G6copy!A335,"")</f>
        <v/>
      </c>
      <c r="G335" s="24" t="str">
        <f>IF(E335&lt;&gt;"",G6copy!F335,"")</f>
        <v/>
      </c>
    </row>
    <row r="336" spans="1:7" ht="15.75" customHeight="1">
      <c r="A336" s="23" t="str">
        <f t="shared" si="16"/>
        <v/>
      </c>
      <c r="B336" t="str">
        <f t="shared" si="17"/>
        <v/>
      </c>
      <c r="C336" s="23" t="str">
        <f t="shared" si="18"/>
        <v/>
      </c>
      <c r="E336" s="24" t="str">
        <f>IF(NOT(ISBLANK(G6copy!B336)),G6copy!B336,"")</f>
        <v/>
      </c>
      <c r="F336" s="24" t="str">
        <f>IF(E336&lt;&gt;"",G6copy!A336,"")</f>
        <v/>
      </c>
      <c r="G336" s="24" t="str">
        <f>IF(E336&lt;&gt;"",G6copy!F336,"")</f>
        <v/>
      </c>
    </row>
    <row r="337" spans="1:7" ht="15.75" customHeight="1">
      <c r="A337" s="23" t="str">
        <f t="shared" si="16"/>
        <v/>
      </c>
      <c r="B337" t="str">
        <f t="shared" si="17"/>
        <v/>
      </c>
      <c r="C337" s="23" t="str">
        <f t="shared" si="18"/>
        <v/>
      </c>
      <c r="E337" s="24" t="str">
        <f>IF(NOT(ISBLANK(G6copy!B337)),G6copy!B337,"")</f>
        <v/>
      </c>
      <c r="F337" s="24" t="str">
        <f>IF(E337&lt;&gt;"",G6copy!A337,"")</f>
        <v/>
      </c>
      <c r="G337" s="24" t="str">
        <f>IF(E337&lt;&gt;"",G6copy!F337,"")</f>
        <v/>
      </c>
    </row>
    <row r="338" spans="1:7" ht="15.75" customHeight="1">
      <c r="A338" s="23" t="str">
        <f t="shared" si="16"/>
        <v/>
      </c>
      <c r="B338" t="str">
        <f t="shared" si="17"/>
        <v/>
      </c>
      <c r="C338" s="23" t="str">
        <f t="shared" si="18"/>
        <v/>
      </c>
      <c r="E338" s="24" t="str">
        <f>IF(NOT(ISBLANK(G6copy!B338)),G6copy!B338,"")</f>
        <v/>
      </c>
      <c r="F338" s="24" t="str">
        <f>IF(E338&lt;&gt;"",G6copy!A338,"")</f>
        <v/>
      </c>
      <c r="G338" s="24" t="str">
        <f>IF(E338&lt;&gt;"",G6copy!F338,"")</f>
        <v/>
      </c>
    </row>
    <row r="339" spans="1:7" ht="15.75" customHeight="1">
      <c r="A339" s="23" t="str">
        <f t="shared" si="16"/>
        <v/>
      </c>
      <c r="B339" t="str">
        <f t="shared" si="17"/>
        <v/>
      </c>
      <c r="C339" s="23" t="str">
        <f t="shared" si="18"/>
        <v/>
      </c>
      <c r="E339" s="24" t="str">
        <f>IF(NOT(ISBLANK(G6copy!B339)),G6copy!B339,"")</f>
        <v/>
      </c>
      <c r="F339" s="24" t="str">
        <f>IF(E339&lt;&gt;"",G6copy!A339,"")</f>
        <v/>
      </c>
      <c r="G339" s="24" t="str">
        <f>IF(E339&lt;&gt;"",G6copy!F339,"")</f>
        <v/>
      </c>
    </row>
    <row r="340" spans="1:7" ht="15.75" customHeight="1">
      <c r="A340" s="23" t="str">
        <f t="shared" si="16"/>
        <v/>
      </c>
      <c r="B340" t="str">
        <f t="shared" si="17"/>
        <v/>
      </c>
      <c r="C340" s="23" t="str">
        <f t="shared" si="18"/>
        <v/>
      </c>
      <c r="E340" s="24" t="str">
        <f>IF(NOT(ISBLANK(G6copy!B340)),G6copy!B340,"")</f>
        <v/>
      </c>
      <c r="F340" s="24" t="str">
        <f>IF(E340&lt;&gt;"",G6copy!A340,"")</f>
        <v/>
      </c>
      <c r="G340" s="24" t="str">
        <f>IF(E340&lt;&gt;"",G6copy!F340,"")</f>
        <v/>
      </c>
    </row>
    <row r="341" spans="1:7" ht="15.75" customHeight="1">
      <c r="A341" s="23" t="str">
        <f t="shared" si="16"/>
        <v/>
      </c>
      <c r="B341" t="str">
        <f t="shared" si="17"/>
        <v/>
      </c>
      <c r="C341" s="23" t="str">
        <f t="shared" si="18"/>
        <v/>
      </c>
      <c r="E341" s="24" t="str">
        <f>IF(NOT(ISBLANK(G6copy!B341)),G6copy!B341,"")</f>
        <v/>
      </c>
      <c r="F341" s="24" t="str">
        <f>IF(E341&lt;&gt;"",G6copy!A341,"")</f>
        <v/>
      </c>
      <c r="G341" s="24" t="str">
        <f>IF(E341&lt;&gt;"",G6copy!F341,"")</f>
        <v/>
      </c>
    </row>
    <row r="342" spans="1:7" ht="15.75" customHeight="1">
      <c r="A342" s="23" t="str">
        <f t="shared" si="16"/>
        <v/>
      </c>
      <c r="B342" t="str">
        <f t="shared" si="17"/>
        <v/>
      </c>
      <c r="C342" s="23" t="str">
        <f t="shared" si="18"/>
        <v/>
      </c>
      <c r="E342" s="24" t="str">
        <f>IF(NOT(ISBLANK(G6copy!B342)),G6copy!B342,"")</f>
        <v/>
      </c>
      <c r="F342" s="24" t="str">
        <f>IF(E342&lt;&gt;"",G6copy!A342,"")</f>
        <v/>
      </c>
      <c r="G342" s="24" t="str">
        <f>IF(E342&lt;&gt;"",G6copy!F342,"")</f>
        <v/>
      </c>
    </row>
    <row r="343" spans="1:7" ht="15.75" customHeight="1">
      <c r="A343" s="23" t="str">
        <f t="shared" si="16"/>
        <v/>
      </c>
      <c r="B343" t="str">
        <f t="shared" si="17"/>
        <v/>
      </c>
      <c r="C343" s="23" t="str">
        <f t="shared" si="18"/>
        <v/>
      </c>
      <c r="E343" s="24" t="str">
        <f>IF(NOT(ISBLANK(G6copy!B343)),G6copy!B343,"")</f>
        <v/>
      </c>
      <c r="F343" s="24" t="str">
        <f>IF(E343&lt;&gt;"",G6copy!A343,"")</f>
        <v/>
      </c>
      <c r="G343" s="24" t="str">
        <f>IF(E343&lt;&gt;"",G6copy!F343,"")</f>
        <v/>
      </c>
    </row>
    <row r="344" spans="1:7" ht="15.75" customHeight="1">
      <c r="A344" s="23" t="str">
        <f t="shared" si="16"/>
        <v/>
      </c>
      <c r="B344" t="str">
        <f t="shared" si="17"/>
        <v/>
      </c>
      <c r="C344" s="23" t="str">
        <f t="shared" si="18"/>
        <v/>
      </c>
      <c r="E344" s="24" t="str">
        <f>IF(NOT(ISBLANK(G6copy!B344)),G6copy!B344,"")</f>
        <v/>
      </c>
      <c r="F344" s="24" t="str">
        <f>IF(E344&lt;&gt;"",G6copy!A344,"")</f>
        <v/>
      </c>
      <c r="G344" s="24" t="str">
        <f>IF(E344&lt;&gt;"",G6copy!F344,"")</f>
        <v/>
      </c>
    </row>
    <row r="345" spans="1:7" ht="15.75" customHeight="1">
      <c r="A345" s="23" t="str">
        <f t="shared" si="16"/>
        <v/>
      </c>
      <c r="B345" t="str">
        <f t="shared" si="17"/>
        <v/>
      </c>
      <c r="C345" s="23" t="str">
        <f t="shared" si="18"/>
        <v/>
      </c>
      <c r="E345" s="24" t="str">
        <f>IF(NOT(ISBLANK(G6copy!B345)),G6copy!B345,"")</f>
        <v/>
      </c>
      <c r="F345" s="24" t="str">
        <f>IF(E345&lt;&gt;"",G6copy!A345,"")</f>
        <v/>
      </c>
      <c r="G345" s="24" t="str">
        <f>IF(E345&lt;&gt;"",G6copy!F345,"")</f>
        <v/>
      </c>
    </row>
    <row r="346" spans="1:7" ht="15.75" customHeight="1">
      <c r="A346" s="23" t="str">
        <f t="shared" si="16"/>
        <v/>
      </c>
      <c r="B346" t="str">
        <f t="shared" si="17"/>
        <v/>
      </c>
      <c r="C346" s="23" t="str">
        <f t="shared" si="18"/>
        <v/>
      </c>
      <c r="E346" s="24" t="str">
        <f>IF(NOT(ISBLANK(G6copy!B346)),G6copy!B346,"")</f>
        <v/>
      </c>
      <c r="F346" s="24" t="str">
        <f>IF(E346&lt;&gt;"",G6copy!A346,"")</f>
        <v/>
      </c>
      <c r="G346" s="24" t="str">
        <f>IF(E346&lt;&gt;"",G6copy!F346,"")</f>
        <v/>
      </c>
    </row>
    <row r="347" spans="1:7" ht="15.75" customHeight="1">
      <c r="A347" s="23" t="str">
        <f t="shared" si="16"/>
        <v/>
      </c>
      <c r="B347" t="str">
        <f t="shared" si="17"/>
        <v/>
      </c>
      <c r="C347" s="23" t="str">
        <f t="shared" si="18"/>
        <v/>
      </c>
      <c r="E347" s="24" t="str">
        <f>IF(NOT(ISBLANK(G6copy!B347)),G6copy!B347,"")</f>
        <v/>
      </c>
      <c r="F347" s="24" t="str">
        <f>IF(E347&lt;&gt;"",G6copy!A347,"")</f>
        <v/>
      </c>
      <c r="G347" s="24" t="str">
        <f>IF(E347&lt;&gt;"",G6copy!F347,"")</f>
        <v/>
      </c>
    </row>
    <row r="348" spans="1:7" ht="15.75" customHeight="1">
      <c r="A348" s="23" t="str">
        <f t="shared" si="16"/>
        <v/>
      </c>
      <c r="B348" t="str">
        <f t="shared" si="17"/>
        <v/>
      </c>
      <c r="C348" s="23" t="str">
        <f t="shared" si="18"/>
        <v/>
      </c>
      <c r="E348" s="24" t="str">
        <f>IF(NOT(ISBLANK(G6copy!B348)),G6copy!B348,"")</f>
        <v/>
      </c>
      <c r="F348" s="24" t="str">
        <f>IF(E348&lt;&gt;"",G6copy!A348,"")</f>
        <v/>
      </c>
      <c r="G348" s="24" t="str">
        <f>IF(E348&lt;&gt;"",G6copy!F348,"")</f>
        <v/>
      </c>
    </row>
    <row r="349" spans="1:7" ht="15.75" customHeight="1">
      <c r="A349" s="23" t="str">
        <f t="shared" si="16"/>
        <v/>
      </c>
      <c r="B349" t="str">
        <f t="shared" si="17"/>
        <v/>
      </c>
      <c r="C349" s="23" t="str">
        <f t="shared" si="18"/>
        <v/>
      </c>
      <c r="E349" s="24" t="str">
        <f>IF(NOT(ISBLANK(G6copy!B349)),G6copy!B349,"")</f>
        <v/>
      </c>
      <c r="F349" s="24" t="str">
        <f>IF(E349&lt;&gt;"",G6copy!A349,"")</f>
        <v/>
      </c>
      <c r="G349" s="24" t="str">
        <f>IF(E349&lt;&gt;"",G6copy!F349,"")</f>
        <v/>
      </c>
    </row>
    <row r="350" spans="1:7" ht="15.75" customHeight="1">
      <c r="A350" s="23" t="str">
        <f t="shared" si="16"/>
        <v/>
      </c>
      <c r="B350" t="str">
        <f t="shared" si="17"/>
        <v/>
      </c>
      <c r="C350" s="23" t="str">
        <f t="shared" si="18"/>
        <v/>
      </c>
      <c r="E350" s="24" t="str">
        <f>IF(NOT(ISBLANK(G6copy!B350)),G6copy!B350,"")</f>
        <v/>
      </c>
      <c r="F350" s="24" t="str">
        <f>IF(E350&lt;&gt;"",G6copy!A350,"")</f>
        <v/>
      </c>
      <c r="G350" s="24" t="str">
        <f>IF(E350&lt;&gt;"",G6copy!F350,"")</f>
        <v/>
      </c>
    </row>
    <row r="351" spans="1:7" ht="15.75" customHeight="1">
      <c r="A351" s="23" t="str">
        <f t="shared" si="16"/>
        <v/>
      </c>
      <c r="B351" t="str">
        <f t="shared" si="17"/>
        <v/>
      </c>
      <c r="C351" s="23" t="str">
        <f t="shared" si="18"/>
        <v/>
      </c>
      <c r="E351" s="24" t="str">
        <f>IF(NOT(ISBLANK(G6copy!B351)),G6copy!B351,"")</f>
        <v/>
      </c>
      <c r="F351" s="24" t="str">
        <f>IF(E351&lt;&gt;"",G6copy!A351,"")</f>
        <v/>
      </c>
      <c r="G351" s="24" t="str">
        <f>IF(E351&lt;&gt;"",G6copy!F351,"")</f>
        <v/>
      </c>
    </row>
    <row r="352" spans="1:7" ht="15.75" customHeight="1">
      <c r="A352" s="23" t="str">
        <f t="shared" si="16"/>
        <v/>
      </c>
      <c r="B352" t="str">
        <f t="shared" si="17"/>
        <v/>
      </c>
      <c r="C352" s="23" t="str">
        <f t="shared" si="18"/>
        <v/>
      </c>
      <c r="E352" s="24" t="str">
        <f>IF(NOT(ISBLANK(G6copy!B352)),G6copy!B352,"")</f>
        <v/>
      </c>
      <c r="F352" s="24" t="str">
        <f>IF(E352&lt;&gt;"",G6copy!A352,"")</f>
        <v/>
      </c>
      <c r="G352" s="24" t="str">
        <f>IF(E352&lt;&gt;"",G6copy!F352,"")</f>
        <v/>
      </c>
    </row>
    <row r="353" spans="1:7" ht="15.75" customHeight="1">
      <c r="A353" s="23" t="str">
        <f t="shared" si="16"/>
        <v/>
      </c>
      <c r="B353" t="str">
        <f t="shared" si="17"/>
        <v/>
      </c>
      <c r="C353" s="23" t="str">
        <f t="shared" si="18"/>
        <v/>
      </c>
      <c r="E353" s="24" t="str">
        <f>IF(NOT(ISBLANK(G6copy!B353)),G6copy!B353,"")</f>
        <v/>
      </c>
      <c r="F353" s="24" t="str">
        <f>IF(E353&lt;&gt;"",G6copy!A353,"")</f>
        <v/>
      </c>
      <c r="G353" s="24" t="str">
        <f>IF(E353&lt;&gt;"",G6copy!F353,"")</f>
        <v/>
      </c>
    </row>
    <row r="354" spans="1:7" ht="15.75" customHeight="1">
      <c r="A354" s="23" t="str">
        <f t="shared" si="16"/>
        <v/>
      </c>
      <c r="B354" t="str">
        <f t="shared" si="17"/>
        <v/>
      </c>
      <c r="C354" s="23" t="str">
        <f t="shared" si="18"/>
        <v/>
      </c>
      <c r="E354" s="24" t="str">
        <f>IF(NOT(ISBLANK(G6copy!B354)),G6copy!B354,"")</f>
        <v/>
      </c>
      <c r="F354" s="24" t="str">
        <f>IF(E354&lt;&gt;"",G6copy!A354,"")</f>
        <v/>
      </c>
      <c r="G354" s="24" t="str">
        <f>IF(E354&lt;&gt;"",G6copy!F354,"")</f>
        <v/>
      </c>
    </row>
    <row r="355" spans="1:7" ht="15.75" customHeight="1">
      <c r="A355" s="23" t="str">
        <f t="shared" si="16"/>
        <v/>
      </c>
      <c r="B355" t="str">
        <f t="shared" si="17"/>
        <v/>
      </c>
      <c r="C355" s="23" t="str">
        <f t="shared" si="18"/>
        <v/>
      </c>
      <c r="E355" s="24" t="str">
        <f>IF(NOT(ISBLANK(G6copy!B355)),G6copy!B355,"")</f>
        <v/>
      </c>
      <c r="F355" s="24" t="str">
        <f>IF(E355&lt;&gt;"",G6copy!A355,"")</f>
        <v/>
      </c>
      <c r="G355" s="24" t="str">
        <f>IF(E355&lt;&gt;"",G6copy!F355,"")</f>
        <v/>
      </c>
    </row>
    <row r="356" spans="1:7" ht="15.75" customHeight="1">
      <c r="A356" s="23" t="str">
        <f t="shared" si="16"/>
        <v/>
      </c>
      <c r="B356" t="str">
        <f t="shared" si="17"/>
        <v/>
      </c>
      <c r="C356" s="23" t="str">
        <f t="shared" si="18"/>
        <v/>
      </c>
      <c r="E356" s="24" t="str">
        <f>IF(NOT(ISBLANK(G6copy!B356)),G6copy!B356,"")</f>
        <v/>
      </c>
      <c r="F356" s="24" t="str">
        <f>IF(E356&lt;&gt;"",G6copy!A356,"")</f>
        <v/>
      </c>
      <c r="G356" s="24" t="str">
        <f>IF(E356&lt;&gt;"",G6copy!F356,"")</f>
        <v/>
      </c>
    </row>
    <row r="357" spans="1:7" ht="15.75" customHeight="1">
      <c r="A357" s="23" t="str">
        <f t="shared" si="16"/>
        <v/>
      </c>
      <c r="B357" t="str">
        <f t="shared" si="17"/>
        <v/>
      </c>
      <c r="C357" s="23" t="str">
        <f t="shared" si="18"/>
        <v/>
      </c>
      <c r="E357" s="24" t="str">
        <f>IF(NOT(ISBLANK(G6copy!B357)),G6copy!B357,"")</f>
        <v/>
      </c>
      <c r="F357" s="24" t="str">
        <f>IF(E357&lt;&gt;"",G6copy!A357,"")</f>
        <v/>
      </c>
      <c r="G357" s="24" t="str">
        <f>IF(E357&lt;&gt;"",G6copy!F357,"")</f>
        <v/>
      </c>
    </row>
    <row r="358" spans="1:7" ht="15.75" customHeight="1">
      <c r="A358" s="23" t="str">
        <f t="shared" si="16"/>
        <v/>
      </c>
      <c r="B358" t="str">
        <f t="shared" si="17"/>
        <v/>
      </c>
      <c r="C358" s="23" t="str">
        <f t="shared" si="18"/>
        <v/>
      </c>
      <c r="E358" s="24" t="str">
        <f>IF(NOT(ISBLANK(G6copy!B358)),G6copy!B358,"")</f>
        <v/>
      </c>
      <c r="F358" s="24" t="str">
        <f>IF(E358&lt;&gt;"",G6copy!A358,"")</f>
        <v/>
      </c>
      <c r="G358" s="24" t="str">
        <f>IF(E358&lt;&gt;"",G6copy!F358,"")</f>
        <v/>
      </c>
    </row>
    <row r="359" spans="1:7" ht="15.75" customHeight="1">
      <c r="A359" s="23" t="str">
        <f t="shared" si="16"/>
        <v/>
      </c>
      <c r="B359" t="str">
        <f t="shared" si="17"/>
        <v/>
      </c>
      <c r="C359" s="23" t="str">
        <f t="shared" si="18"/>
        <v/>
      </c>
      <c r="E359" s="24" t="str">
        <f>IF(NOT(ISBLANK(G6copy!B359)),G6copy!B359,"")</f>
        <v/>
      </c>
      <c r="F359" s="24" t="str">
        <f>IF(E359&lt;&gt;"",G6copy!A359,"")</f>
        <v/>
      </c>
      <c r="G359" s="24" t="str">
        <f>IF(E359&lt;&gt;"",G6copy!F359,"")</f>
        <v/>
      </c>
    </row>
    <row r="360" spans="1:7" ht="15.75" customHeight="1">
      <c r="A360" s="23" t="str">
        <f t="shared" si="16"/>
        <v/>
      </c>
      <c r="B360" t="str">
        <f t="shared" si="17"/>
        <v/>
      </c>
      <c r="C360" s="23" t="str">
        <f t="shared" si="18"/>
        <v/>
      </c>
      <c r="E360" s="24" t="str">
        <f>IF(NOT(ISBLANK(G6copy!B360)),G6copy!B360,"")</f>
        <v/>
      </c>
      <c r="F360" s="24" t="str">
        <f>IF(E360&lt;&gt;"",G6copy!A360,"")</f>
        <v/>
      </c>
      <c r="G360" s="24" t="str">
        <f>IF(E360&lt;&gt;"",G6copy!F360,"")</f>
        <v/>
      </c>
    </row>
    <row r="361" spans="1:7" ht="15.75" customHeight="1">
      <c r="A361" s="23" t="str">
        <f t="shared" si="16"/>
        <v/>
      </c>
      <c r="B361" t="str">
        <f t="shared" si="17"/>
        <v/>
      </c>
      <c r="C361" s="23" t="str">
        <f t="shared" si="18"/>
        <v/>
      </c>
      <c r="E361" s="24" t="str">
        <f>IF(NOT(ISBLANK(G6copy!B361)),G6copy!B361,"")</f>
        <v/>
      </c>
      <c r="F361" s="24" t="str">
        <f>IF(E361&lt;&gt;"",G6copy!A361,"")</f>
        <v/>
      </c>
      <c r="G361" s="24" t="str">
        <f>IF(E361&lt;&gt;"",G6copy!F361,"")</f>
        <v/>
      </c>
    </row>
    <row r="362" spans="1:7" ht="15.75" customHeight="1">
      <c r="A362" s="23" t="str">
        <f t="shared" si="16"/>
        <v/>
      </c>
      <c r="B362" t="str">
        <f t="shared" si="17"/>
        <v/>
      </c>
      <c r="C362" s="23" t="str">
        <f t="shared" si="18"/>
        <v/>
      </c>
      <c r="E362" s="24" t="str">
        <f>IF(NOT(ISBLANK(G6copy!B362)),G6copy!B362,"")</f>
        <v/>
      </c>
      <c r="F362" s="24" t="str">
        <f>IF(E362&lt;&gt;"",G6copy!A362,"")</f>
        <v/>
      </c>
      <c r="G362" s="24" t="str">
        <f>IF(E362&lt;&gt;"",G6copy!F362,"")</f>
        <v/>
      </c>
    </row>
    <row r="363" spans="1:7" ht="15.75" customHeight="1">
      <c r="A363" s="23" t="str">
        <f t="shared" si="16"/>
        <v/>
      </c>
      <c r="B363" t="str">
        <f t="shared" si="17"/>
        <v/>
      </c>
      <c r="C363" s="23" t="str">
        <f t="shared" si="18"/>
        <v/>
      </c>
      <c r="E363" s="24" t="str">
        <f>IF(NOT(ISBLANK(G6copy!B363)),G6copy!B363,"")</f>
        <v/>
      </c>
      <c r="F363" s="24" t="str">
        <f>IF(E363&lt;&gt;"",G6copy!A363,"")</f>
        <v/>
      </c>
      <c r="G363" s="24" t="str">
        <f>IF(E363&lt;&gt;"",G6copy!F363,"")</f>
        <v/>
      </c>
    </row>
    <row r="364" spans="1:7" ht="15.75" customHeight="1">
      <c r="A364" s="23" t="str">
        <f t="shared" si="16"/>
        <v/>
      </c>
      <c r="B364" t="str">
        <f t="shared" si="17"/>
        <v/>
      </c>
      <c r="C364" s="23" t="str">
        <f t="shared" si="18"/>
        <v/>
      </c>
      <c r="E364" s="24" t="str">
        <f>IF(NOT(ISBLANK(G6copy!B364)),G6copy!B364,"")</f>
        <v/>
      </c>
      <c r="F364" s="24" t="str">
        <f>IF(E364&lt;&gt;"",G6copy!A364,"")</f>
        <v/>
      </c>
      <c r="G364" s="24" t="str">
        <f>IF(E364&lt;&gt;"",G6copy!F364,"")</f>
        <v/>
      </c>
    </row>
    <row r="365" spans="1:7" ht="15.75" customHeight="1">
      <c r="A365" s="23" t="str">
        <f t="shared" si="16"/>
        <v/>
      </c>
      <c r="B365" t="str">
        <f t="shared" si="17"/>
        <v/>
      </c>
      <c r="C365" s="23" t="str">
        <f t="shared" si="18"/>
        <v/>
      </c>
      <c r="E365" s="24" t="str">
        <f>IF(NOT(ISBLANK(G6copy!B365)),G6copy!B365,"")</f>
        <v/>
      </c>
      <c r="F365" s="24" t="str">
        <f>IF(E365&lt;&gt;"",G6copy!A365,"")</f>
        <v/>
      </c>
      <c r="G365" s="24" t="str">
        <f>IF(E365&lt;&gt;"",G6copy!F365,"")</f>
        <v/>
      </c>
    </row>
    <row r="366" spans="1:7" ht="15.75" customHeight="1">
      <c r="A366" s="23" t="str">
        <f t="shared" si="16"/>
        <v/>
      </c>
      <c r="B366" t="str">
        <f t="shared" si="17"/>
        <v/>
      </c>
      <c r="C366" s="23" t="str">
        <f t="shared" si="18"/>
        <v/>
      </c>
      <c r="E366" s="24" t="str">
        <f>IF(NOT(ISBLANK(G6copy!B366)),G6copy!B366,"")</f>
        <v/>
      </c>
      <c r="F366" s="24" t="str">
        <f>IF(E366&lt;&gt;"",G6copy!A366,"")</f>
        <v/>
      </c>
      <c r="G366" s="24" t="str">
        <f>IF(E366&lt;&gt;"",G6copy!F366,"")</f>
        <v/>
      </c>
    </row>
    <row r="367" spans="1:7" ht="15.75" customHeight="1">
      <c r="A367" s="23" t="str">
        <f t="shared" si="16"/>
        <v/>
      </c>
      <c r="B367" t="str">
        <f t="shared" si="17"/>
        <v/>
      </c>
      <c r="C367" s="23" t="str">
        <f t="shared" si="18"/>
        <v/>
      </c>
      <c r="E367" s="24" t="str">
        <f>IF(NOT(ISBLANK(G6copy!B367)),G6copy!B367,"")</f>
        <v/>
      </c>
      <c r="F367" s="24" t="str">
        <f>IF(E367&lt;&gt;"",G6copy!A367,"")</f>
        <v/>
      </c>
      <c r="G367" s="24" t="str">
        <f>IF(E367&lt;&gt;"",G6copy!F367,"")</f>
        <v/>
      </c>
    </row>
    <row r="368" spans="1:7" ht="15.75" customHeight="1">
      <c r="A368" s="23" t="str">
        <f t="shared" si="16"/>
        <v/>
      </c>
      <c r="B368" t="str">
        <f t="shared" si="17"/>
        <v/>
      </c>
      <c r="C368" s="23" t="str">
        <f t="shared" si="18"/>
        <v/>
      </c>
      <c r="E368" s="24" t="str">
        <f>IF(NOT(ISBLANK(G6copy!B368)),G6copy!B368,"")</f>
        <v/>
      </c>
      <c r="F368" s="24" t="str">
        <f>IF(E368&lt;&gt;"",G6copy!A368,"")</f>
        <v/>
      </c>
      <c r="G368" s="24" t="str">
        <f>IF(E368&lt;&gt;"",G6copy!F368,"")</f>
        <v/>
      </c>
    </row>
    <row r="369" spans="1:7" ht="15.75" customHeight="1">
      <c r="A369" s="23" t="str">
        <f t="shared" si="16"/>
        <v/>
      </c>
      <c r="B369" t="str">
        <f t="shared" si="17"/>
        <v/>
      </c>
      <c r="C369" s="23" t="str">
        <f t="shared" si="18"/>
        <v/>
      </c>
      <c r="E369" s="24" t="str">
        <f>IF(NOT(ISBLANK(G6copy!B369)),G6copy!B369,"")</f>
        <v/>
      </c>
      <c r="F369" s="24" t="str">
        <f>IF(E369&lt;&gt;"",G6copy!A369,"")</f>
        <v/>
      </c>
      <c r="G369" s="24" t="str">
        <f>IF(E369&lt;&gt;"",G6copy!F369,"")</f>
        <v/>
      </c>
    </row>
    <row r="370" spans="1:7" ht="15.75" customHeight="1">
      <c r="A370" s="23" t="str">
        <f t="shared" si="16"/>
        <v/>
      </c>
      <c r="B370" t="str">
        <f t="shared" si="17"/>
        <v/>
      </c>
      <c r="C370" s="23" t="str">
        <f t="shared" si="18"/>
        <v/>
      </c>
      <c r="E370" s="24" t="str">
        <f>IF(NOT(ISBLANK(G6copy!B370)),G6copy!B370,"")</f>
        <v/>
      </c>
      <c r="F370" s="24" t="str">
        <f>IF(E370&lt;&gt;"",G6copy!A370,"")</f>
        <v/>
      </c>
      <c r="G370" s="24" t="str">
        <f>IF(E370&lt;&gt;"",G6copy!F370,"")</f>
        <v/>
      </c>
    </row>
    <row r="371" spans="1:7" ht="15.75" customHeight="1">
      <c r="A371" s="23" t="str">
        <f t="shared" si="16"/>
        <v/>
      </c>
      <c r="B371" t="str">
        <f t="shared" si="17"/>
        <v/>
      </c>
      <c r="C371" s="23" t="str">
        <f t="shared" si="18"/>
        <v/>
      </c>
      <c r="E371" s="24" t="str">
        <f>IF(NOT(ISBLANK(G6copy!B371)),G6copy!B371,"")</f>
        <v/>
      </c>
      <c r="F371" s="24" t="str">
        <f>IF(E371&lt;&gt;"",G6copy!A371,"")</f>
        <v/>
      </c>
      <c r="G371" s="24" t="str">
        <f>IF(E371&lt;&gt;"",G6copy!F371,"")</f>
        <v/>
      </c>
    </row>
    <row r="372" spans="1:7" ht="15.75" customHeight="1">
      <c r="A372" s="23" t="str">
        <f t="shared" si="16"/>
        <v/>
      </c>
      <c r="B372" t="str">
        <f t="shared" si="17"/>
        <v/>
      </c>
      <c r="C372" s="23" t="str">
        <f t="shared" si="18"/>
        <v/>
      </c>
      <c r="E372" s="24" t="str">
        <f>IF(NOT(ISBLANK(G6copy!B372)),G6copy!B372,"")</f>
        <v/>
      </c>
      <c r="F372" s="24" t="str">
        <f>IF(E372&lt;&gt;"",G6copy!A372,"")</f>
        <v/>
      </c>
      <c r="G372" s="24" t="str">
        <f>IF(E372&lt;&gt;"",G6copy!F372,"")</f>
        <v/>
      </c>
    </row>
    <row r="373" spans="1:7" ht="15.75" customHeight="1">
      <c r="A373" s="23" t="str">
        <f t="shared" si="16"/>
        <v/>
      </c>
      <c r="B373" t="str">
        <f t="shared" si="17"/>
        <v/>
      </c>
      <c r="C373" s="23" t="str">
        <f t="shared" si="18"/>
        <v/>
      </c>
      <c r="E373" s="24" t="str">
        <f>IF(NOT(ISBLANK(G6copy!B373)),G6copy!B373,"")</f>
        <v/>
      </c>
      <c r="F373" s="24" t="str">
        <f>IF(E373&lt;&gt;"",G6copy!A373,"")</f>
        <v/>
      </c>
      <c r="G373" s="24" t="str">
        <f>IF(E373&lt;&gt;"",G6copy!F373,"")</f>
        <v/>
      </c>
    </row>
    <row r="374" spans="1:7" ht="15.75" customHeight="1">
      <c r="A374" s="23" t="str">
        <f t="shared" si="16"/>
        <v/>
      </c>
      <c r="B374" t="str">
        <f t="shared" si="17"/>
        <v/>
      </c>
      <c r="C374" s="23" t="str">
        <f t="shared" si="18"/>
        <v/>
      </c>
      <c r="E374" s="24" t="str">
        <f>IF(NOT(ISBLANK(G6copy!B374)),G6copy!B374,"")</f>
        <v/>
      </c>
      <c r="F374" s="24" t="str">
        <f>IF(E374&lt;&gt;"",G6copy!A374,"")</f>
        <v/>
      </c>
      <c r="G374" s="24" t="str">
        <f>IF(E374&lt;&gt;"",G6copy!F374,"")</f>
        <v/>
      </c>
    </row>
    <row r="375" spans="1:7" ht="15.75" customHeight="1">
      <c r="A375" s="23" t="str">
        <f t="shared" si="16"/>
        <v/>
      </c>
      <c r="B375" t="str">
        <f t="shared" si="17"/>
        <v/>
      </c>
      <c r="C375" s="23" t="str">
        <f t="shared" si="18"/>
        <v/>
      </c>
      <c r="E375" s="24" t="str">
        <f>IF(NOT(ISBLANK(G6copy!B375)),G6copy!B375,"")</f>
        <v/>
      </c>
      <c r="F375" s="24" t="str">
        <f>IF(E375&lt;&gt;"",G6copy!A375,"")</f>
        <v/>
      </c>
      <c r="G375" s="24" t="str">
        <f>IF(E375&lt;&gt;"",G6copy!F375,"")</f>
        <v/>
      </c>
    </row>
    <row r="376" spans="1:7" ht="15.75" customHeight="1">
      <c r="A376" s="23" t="str">
        <f t="shared" si="16"/>
        <v/>
      </c>
      <c r="B376" t="str">
        <f t="shared" si="17"/>
        <v/>
      </c>
      <c r="C376" s="23" t="str">
        <f t="shared" si="18"/>
        <v/>
      </c>
      <c r="E376" s="24" t="str">
        <f>IF(NOT(ISBLANK(G6copy!B376)),G6copy!B376,"")</f>
        <v/>
      </c>
      <c r="F376" s="24" t="str">
        <f>IF(E376&lt;&gt;"",G6copy!A376,"")</f>
        <v/>
      </c>
      <c r="G376" s="24" t="str">
        <f>IF(E376&lt;&gt;"",G6copy!F376,"")</f>
        <v/>
      </c>
    </row>
    <row r="377" spans="1:7" ht="15.75" customHeight="1">
      <c r="A377" s="23" t="str">
        <f t="shared" si="16"/>
        <v/>
      </c>
      <c r="B377" t="str">
        <f t="shared" si="17"/>
        <v/>
      </c>
      <c r="C377" s="23" t="str">
        <f t="shared" si="18"/>
        <v/>
      </c>
      <c r="E377" s="24" t="str">
        <f>IF(NOT(ISBLANK(G6copy!B377)),G6copy!B377,"")</f>
        <v/>
      </c>
      <c r="F377" s="24" t="str">
        <f>IF(E377&lt;&gt;"",G6copy!A377,"")</f>
        <v/>
      </c>
      <c r="G377" s="24" t="str">
        <f>IF(E377&lt;&gt;"",G6copy!F377,"")</f>
        <v/>
      </c>
    </row>
    <row r="378" spans="1:7" ht="15.75" customHeight="1">
      <c r="A378" s="23" t="str">
        <f t="shared" si="16"/>
        <v/>
      </c>
      <c r="B378" t="str">
        <f t="shared" si="17"/>
        <v/>
      </c>
      <c r="C378" s="23" t="str">
        <f t="shared" si="18"/>
        <v/>
      </c>
      <c r="E378" s="24" t="str">
        <f>IF(NOT(ISBLANK(G6copy!B378)),G6copy!B378,"")</f>
        <v/>
      </c>
      <c r="F378" s="24" t="str">
        <f>IF(E378&lt;&gt;"",G6copy!A378,"")</f>
        <v/>
      </c>
      <c r="G378" s="24" t="str">
        <f>IF(E378&lt;&gt;"",G6copy!F378,"")</f>
        <v/>
      </c>
    </row>
    <row r="379" spans="1:7" ht="15.75" customHeight="1">
      <c r="A379" s="23" t="str">
        <f t="shared" si="16"/>
        <v/>
      </c>
      <c r="B379" t="str">
        <f t="shared" si="17"/>
        <v/>
      </c>
      <c r="C379" s="23" t="str">
        <f t="shared" si="18"/>
        <v/>
      </c>
      <c r="E379" s="24" t="str">
        <f>IF(NOT(ISBLANK(G6copy!B379)),G6copy!B379,"")</f>
        <v/>
      </c>
      <c r="F379" s="24" t="str">
        <f>IF(E379&lt;&gt;"",G6copy!A379,"")</f>
        <v/>
      </c>
      <c r="G379" s="24" t="str">
        <f>IF(E379&lt;&gt;"",G6copy!F379,"")</f>
        <v/>
      </c>
    </row>
    <row r="380" spans="1:7" ht="15.75" customHeight="1">
      <c r="A380" s="23" t="str">
        <f t="shared" si="16"/>
        <v/>
      </c>
      <c r="B380" t="str">
        <f t="shared" si="17"/>
        <v/>
      </c>
      <c r="C380" s="23" t="str">
        <f t="shared" si="18"/>
        <v/>
      </c>
      <c r="E380" s="24" t="str">
        <f>IF(NOT(ISBLANK(G6copy!B380)),G6copy!B380,"")</f>
        <v/>
      </c>
      <c r="F380" s="24" t="str">
        <f>IF(E380&lt;&gt;"",G6copy!A380,"")</f>
        <v/>
      </c>
      <c r="G380" s="24" t="str">
        <f>IF(E380&lt;&gt;"",G6copy!F380,"")</f>
        <v/>
      </c>
    </row>
    <row r="381" spans="1:7" ht="15.75" customHeight="1">
      <c r="A381" s="23" t="str">
        <f t="shared" si="16"/>
        <v/>
      </c>
      <c r="B381" t="str">
        <f t="shared" si="17"/>
        <v/>
      </c>
      <c r="C381" s="23" t="str">
        <f t="shared" si="18"/>
        <v/>
      </c>
      <c r="E381" s="24" t="str">
        <f>IF(NOT(ISBLANK(G6copy!B381)),G6copy!B381,"")</f>
        <v/>
      </c>
      <c r="F381" s="24" t="str">
        <f>IF(E381&lt;&gt;"",G6copy!A381,"")</f>
        <v/>
      </c>
      <c r="G381" s="24" t="str">
        <f>IF(E381&lt;&gt;"",G6copy!F381,"")</f>
        <v/>
      </c>
    </row>
    <row r="382" spans="1:7" ht="15.75" customHeight="1">
      <c r="A382" s="23" t="str">
        <f t="shared" si="16"/>
        <v/>
      </c>
      <c r="B382" t="str">
        <f t="shared" si="17"/>
        <v/>
      </c>
      <c r="C382" s="23" t="str">
        <f t="shared" si="18"/>
        <v/>
      </c>
      <c r="E382" s="24" t="str">
        <f>IF(NOT(ISBLANK(G6copy!B382)),G6copy!B382,"")</f>
        <v/>
      </c>
      <c r="F382" s="24" t="str">
        <f>IF(E382&lt;&gt;"",G6copy!A382,"")</f>
        <v/>
      </c>
      <c r="G382" s="24" t="str">
        <f>IF(E382&lt;&gt;"",G6copy!F382,"")</f>
        <v/>
      </c>
    </row>
    <row r="383" spans="1:7" ht="15.75" customHeight="1">
      <c r="A383" s="23" t="str">
        <f t="shared" si="16"/>
        <v/>
      </c>
      <c r="B383" t="str">
        <f t="shared" si="17"/>
        <v/>
      </c>
      <c r="C383" s="23" t="str">
        <f t="shared" si="18"/>
        <v/>
      </c>
      <c r="E383" s="24" t="str">
        <f>IF(NOT(ISBLANK(G6copy!B383)),G6copy!B383,"")</f>
        <v/>
      </c>
      <c r="F383" s="24" t="str">
        <f>IF(E383&lt;&gt;"",G6copy!A383,"")</f>
        <v/>
      </c>
      <c r="G383" s="24" t="str">
        <f>IF(E383&lt;&gt;"",G6copy!F383,"")</f>
        <v/>
      </c>
    </row>
    <row r="384" spans="1:7" ht="15.75" customHeight="1">
      <c r="A384" s="23" t="str">
        <f t="shared" si="16"/>
        <v/>
      </c>
      <c r="B384" t="str">
        <f t="shared" si="17"/>
        <v/>
      </c>
      <c r="C384" s="23" t="str">
        <f t="shared" si="18"/>
        <v/>
      </c>
      <c r="E384" s="24" t="str">
        <f>IF(NOT(ISBLANK(G6copy!B384)),G6copy!B384,"")</f>
        <v/>
      </c>
      <c r="F384" s="24" t="str">
        <f>IF(E384&lt;&gt;"",G6copy!A384,"")</f>
        <v/>
      </c>
      <c r="G384" s="24" t="str">
        <f>IF(E384&lt;&gt;"",G6copy!F384,"")</f>
        <v/>
      </c>
    </row>
    <row r="385" spans="1:7" ht="15.75" customHeight="1">
      <c r="A385" s="23" t="str">
        <f t="shared" si="16"/>
        <v/>
      </c>
      <c r="B385" t="str">
        <f t="shared" si="17"/>
        <v/>
      </c>
      <c r="C385" s="23" t="str">
        <f t="shared" si="18"/>
        <v/>
      </c>
      <c r="E385" s="24" t="str">
        <f>IF(NOT(ISBLANK(G6copy!B385)),G6copy!B385,"")</f>
        <v/>
      </c>
      <c r="F385" s="24" t="str">
        <f>IF(E385&lt;&gt;"",G6copy!A385,"")</f>
        <v/>
      </c>
      <c r="G385" s="24" t="str">
        <f>IF(E385&lt;&gt;"",G6copy!F385,"")</f>
        <v/>
      </c>
    </row>
    <row r="386" spans="1:7" ht="15.75" customHeight="1">
      <c r="A386" s="23" t="str">
        <f t="shared" si="16"/>
        <v/>
      </c>
      <c r="B386" t="str">
        <f t="shared" si="17"/>
        <v/>
      </c>
      <c r="C386" s="23" t="str">
        <f t="shared" si="18"/>
        <v/>
      </c>
      <c r="E386" s="24" t="str">
        <f>IF(NOT(ISBLANK(G6copy!B386)),G6copy!B386,"")</f>
        <v/>
      </c>
      <c r="F386" s="24" t="str">
        <f>IF(E386&lt;&gt;"",G6copy!A386,"")</f>
        <v/>
      </c>
      <c r="G386" s="24" t="str">
        <f>IF(E386&lt;&gt;"",G6copy!F386,"")</f>
        <v/>
      </c>
    </row>
    <row r="387" spans="1:7" ht="15.75" customHeight="1">
      <c r="A387" s="23" t="str">
        <f t="shared" ref="A387:A450" si="19">IF(E387&lt;&gt;"",DATEVALUE(LEFT(E387,10)),"")</f>
        <v/>
      </c>
      <c r="B387" t="str">
        <f t="shared" ref="B387:B450" si="20">IF(LEN(F387)&gt;3,RIGHT(F387,LEN(F387)-3),"")</f>
        <v/>
      </c>
      <c r="C387" s="23" t="str">
        <f t="shared" ref="C387:C450" si="21">IF(E387&lt;&gt;"",DATEVALUE(LEFT(G387,10)),"")</f>
        <v/>
      </c>
      <c r="E387" s="24" t="str">
        <f>IF(NOT(ISBLANK(G6copy!B387)),G6copy!B387,"")</f>
        <v/>
      </c>
      <c r="F387" s="24" t="str">
        <f>IF(E387&lt;&gt;"",G6copy!A387,"")</f>
        <v/>
      </c>
      <c r="G387" s="24" t="str">
        <f>IF(E387&lt;&gt;"",G6copy!F387,"")</f>
        <v/>
      </c>
    </row>
    <row r="388" spans="1:7" ht="15.75" customHeight="1">
      <c r="A388" s="23" t="str">
        <f t="shared" si="19"/>
        <v/>
      </c>
      <c r="B388" t="str">
        <f t="shared" si="20"/>
        <v/>
      </c>
      <c r="C388" s="23" t="str">
        <f t="shared" si="21"/>
        <v/>
      </c>
      <c r="E388" s="24" t="str">
        <f>IF(NOT(ISBLANK(G6copy!B388)),G6copy!B388,"")</f>
        <v/>
      </c>
      <c r="F388" s="24" t="str">
        <f>IF(E388&lt;&gt;"",G6copy!A388,"")</f>
        <v/>
      </c>
      <c r="G388" s="24" t="str">
        <f>IF(E388&lt;&gt;"",G6copy!F388,"")</f>
        <v/>
      </c>
    </row>
    <row r="389" spans="1:7" ht="15.75" customHeight="1">
      <c r="A389" s="23" t="str">
        <f t="shared" si="19"/>
        <v/>
      </c>
      <c r="B389" t="str">
        <f t="shared" si="20"/>
        <v/>
      </c>
      <c r="C389" s="23" t="str">
        <f t="shared" si="21"/>
        <v/>
      </c>
      <c r="E389" s="24" t="str">
        <f>IF(NOT(ISBLANK(G6copy!B389)),G6copy!B389,"")</f>
        <v/>
      </c>
      <c r="F389" s="24" t="str">
        <f>IF(E389&lt;&gt;"",G6copy!A389,"")</f>
        <v/>
      </c>
      <c r="G389" s="24" t="str">
        <f>IF(E389&lt;&gt;"",G6copy!F389,"")</f>
        <v/>
      </c>
    </row>
    <row r="390" spans="1:7" ht="15.75" customHeight="1">
      <c r="A390" s="23" t="str">
        <f t="shared" si="19"/>
        <v/>
      </c>
      <c r="B390" t="str">
        <f t="shared" si="20"/>
        <v/>
      </c>
      <c r="C390" s="23" t="str">
        <f t="shared" si="21"/>
        <v/>
      </c>
      <c r="E390" s="24" t="str">
        <f>IF(NOT(ISBLANK(G6copy!B390)),G6copy!B390,"")</f>
        <v/>
      </c>
      <c r="F390" s="24" t="str">
        <f>IF(E390&lt;&gt;"",G6copy!A390,"")</f>
        <v/>
      </c>
      <c r="G390" s="24" t="str">
        <f>IF(E390&lt;&gt;"",G6copy!F390,"")</f>
        <v/>
      </c>
    </row>
    <row r="391" spans="1:7" ht="15.75" customHeight="1">
      <c r="A391" s="23" t="str">
        <f t="shared" si="19"/>
        <v/>
      </c>
      <c r="B391" t="str">
        <f t="shared" si="20"/>
        <v/>
      </c>
      <c r="C391" s="23" t="str">
        <f t="shared" si="21"/>
        <v/>
      </c>
      <c r="E391" s="24" t="str">
        <f>IF(NOT(ISBLANK(G6copy!B391)),G6copy!B391,"")</f>
        <v/>
      </c>
      <c r="F391" s="24" t="str">
        <f>IF(E391&lt;&gt;"",G6copy!A391,"")</f>
        <v/>
      </c>
      <c r="G391" s="24" t="str">
        <f>IF(E391&lt;&gt;"",G6copy!F391,"")</f>
        <v/>
      </c>
    </row>
    <row r="392" spans="1:7" ht="15.75" customHeight="1">
      <c r="A392" s="23" t="str">
        <f t="shared" si="19"/>
        <v/>
      </c>
      <c r="B392" t="str">
        <f t="shared" si="20"/>
        <v/>
      </c>
      <c r="C392" s="23" t="str">
        <f t="shared" si="21"/>
        <v/>
      </c>
      <c r="E392" s="24" t="str">
        <f>IF(NOT(ISBLANK(G6copy!B392)),G6copy!B392,"")</f>
        <v/>
      </c>
      <c r="F392" s="24" t="str">
        <f>IF(E392&lt;&gt;"",G6copy!A392,"")</f>
        <v/>
      </c>
      <c r="G392" s="24" t="str">
        <f>IF(E392&lt;&gt;"",G6copy!F392,"")</f>
        <v/>
      </c>
    </row>
    <row r="393" spans="1:7" ht="15.75" customHeight="1">
      <c r="A393" s="23" t="str">
        <f t="shared" si="19"/>
        <v/>
      </c>
      <c r="B393" t="str">
        <f t="shared" si="20"/>
        <v/>
      </c>
      <c r="C393" s="23" t="str">
        <f t="shared" si="21"/>
        <v/>
      </c>
      <c r="E393" s="24" t="str">
        <f>IF(NOT(ISBLANK(G6copy!B393)),G6copy!B393,"")</f>
        <v/>
      </c>
      <c r="F393" s="24" t="str">
        <f>IF(E393&lt;&gt;"",G6copy!A393,"")</f>
        <v/>
      </c>
      <c r="G393" s="24" t="str">
        <f>IF(E393&lt;&gt;"",G6copy!F393,"")</f>
        <v/>
      </c>
    </row>
    <row r="394" spans="1:7" ht="15.75" customHeight="1">
      <c r="A394" s="23" t="str">
        <f t="shared" si="19"/>
        <v/>
      </c>
      <c r="B394" t="str">
        <f t="shared" si="20"/>
        <v/>
      </c>
      <c r="C394" s="23" t="str">
        <f t="shared" si="21"/>
        <v/>
      </c>
      <c r="E394" s="24" t="str">
        <f>IF(NOT(ISBLANK(G6copy!B394)),G6copy!B394,"")</f>
        <v/>
      </c>
      <c r="F394" s="24" t="str">
        <f>IF(E394&lt;&gt;"",G6copy!A394,"")</f>
        <v/>
      </c>
      <c r="G394" s="24" t="str">
        <f>IF(E394&lt;&gt;"",G6copy!F394,"")</f>
        <v/>
      </c>
    </row>
    <row r="395" spans="1:7" ht="15.75" customHeight="1">
      <c r="A395" s="23" t="str">
        <f t="shared" si="19"/>
        <v/>
      </c>
      <c r="B395" t="str">
        <f t="shared" si="20"/>
        <v/>
      </c>
      <c r="C395" s="23" t="str">
        <f t="shared" si="21"/>
        <v/>
      </c>
      <c r="E395" s="24" t="str">
        <f>IF(NOT(ISBLANK(G6copy!B395)),G6copy!B395,"")</f>
        <v/>
      </c>
      <c r="F395" s="24" t="str">
        <f>IF(E395&lt;&gt;"",G6copy!A395,"")</f>
        <v/>
      </c>
      <c r="G395" s="24" t="str">
        <f>IF(E395&lt;&gt;"",G6copy!F395,"")</f>
        <v/>
      </c>
    </row>
    <row r="396" spans="1:7" ht="15.75" customHeight="1">
      <c r="A396" s="23" t="str">
        <f t="shared" si="19"/>
        <v/>
      </c>
      <c r="B396" t="str">
        <f t="shared" si="20"/>
        <v/>
      </c>
      <c r="C396" s="23" t="str">
        <f t="shared" si="21"/>
        <v/>
      </c>
      <c r="E396" s="24" t="str">
        <f>IF(NOT(ISBLANK(G6copy!B396)),G6copy!B396,"")</f>
        <v/>
      </c>
      <c r="F396" s="24" t="str">
        <f>IF(E396&lt;&gt;"",G6copy!A396,"")</f>
        <v/>
      </c>
      <c r="G396" s="24" t="str">
        <f>IF(E396&lt;&gt;"",G6copy!F396,"")</f>
        <v/>
      </c>
    </row>
    <row r="397" spans="1:7" ht="15.75" customHeight="1">
      <c r="A397" s="23" t="str">
        <f t="shared" si="19"/>
        <v/>
      </c>
      <c r="B397" t="str">
        <f t="shared" si="20"/>
        <v/>
      </c>
      <c r="C397" s="23" t="str">
        <f t="shared" si="21"/>
        <v/>
      </c>
      <c r="E397" s="24" t="str">
        <f>IF(NOT(ISBLANK(G6copy!B397)),G6copy!B397,"")</f>
        <v/>
      </c>
      <c r="F397" s="24" t="str">
        <f>IF(E397&lt;&gt;"",G6copy!A397,"")</f>
        <v/>
      </c>
      <c r="G397" s="24" t="str">
        <f>IF(E397&lt;&gt;"",G6copy!F397,"")</f>
        <v/>
      </c>
    </row>
    <row r="398" spans="1:7" ht="15.75" customHeight="1">
      <c r="A398" s="23" t="str">
        <f t="shared" si="19"/>
        <v/>
      </c>
      <c r="B398" t="str">
        <f t="shared" si="20"/>
        <v/>
      </c>
      <c r="C398" s="23" t="str">
        <f t="shared" si="21"/>
        <v/>
      </c>
      <c r="E398" s="24" t="str">
        <f>IF(NOT(ISBLANK(G6copy!B398)),G6copy!B398,"")</f>
        <v/>
      </c>
      <c r="F398" s="24" t="str">
        <f>IF(E398&lt;&gt;"",G6copy!A398,"")</f>
        <v/>
      </c>
      <c r="G398" s="24" t="str">
        <f>IF(E398&lt;&gt;"",G6copy!F398,"")</f>
        <v/>
      </c>
    </row>
    <row r="399" spans="1:7" ht="15.75" customHeight="1">
      <c r="A399" s="23" t="str">
        <f t="shared" si="19"/>
        <v/>
      </c>
      <c r="B399" t="str">
        <f t="shared" si="20"/>
        <v/>
      </c>
      <c r="C399" s="23" t="str">
        <f t="shared" si="21"/>
        <v/>
      </c>
      <c r="E399" s="24" t="str">
        <f>IF(NOT(ISBLANK(G6copy!B399)),G6copy!B399,"")</f>
        <v/>
      </c>
      <c r="F399" s="24" t="str">
        <f>IF(E399&lt;&gt;"",G6copy!A399,"")</f>
        <v/>
      </c>
      <c r="G399" s="24" t="str">
        <f>IF(E399&lt;&gt;"",G6copy!F399,"")</f>
        <v/>
      </c>
    </row>
    <row r="400" spans="1:7" ht="15.75" customHeight="1">
      <c r="A400" s="23" t="str">
        <f t="shared" si="19"/>
        <v/>
      </c>
      <c r="B400" t="str">
        <f t="shared" si="20"/>
        <v/>
      </c>
      <c r="C400" s="23" t="str">
        <f t="shared" si="21"/>
        <v/>
      </c>
      <c r="E400" s="24" t="str">
        <f>IF(NOT(ISBLANK(G6copy!B400)),G6copy!B400,"")</f>
        <v/>
      </c>
      <c r="F400" s="24" t="str">
        <f>IF(E400&lt;&gt;"",G6copy!A400,"")</f>
        <v/>
      </c>
      <c r="G400" s="24" t="str">
        <f>IF(E400&lt;&gt;"",G6copy!F400,"")</f>
        <v/>
      </c>
    </row>
    <row r="401" spans="1:7" ht="15.75" customHeight="1">
      <c r="A401" s="23" t="str">
        <f t="shared" si="19"/>
        <v/>
      </c>
      <c r="B401" t="str">
        <f t="shared" si="20"/>
        <v/>
      </c>
      <c r="C401" s="23" t="str">
        <f t="shared" si="21"/>
        <v/>
      </c>
      <c r="E401" s="24" t="str">
        <f>IF(NOT(ISBLANK(G6copy!B401)),G6copy!B401,"")</f>
        <v/>
      </c>
      <c r="F401" s="24" t="str">
        <f>IF(E401&lt;&gt;"",G6copy!A401,"")</f>
        <v/>
      </c>
      <c r="G401" s="24" t="str">
        <f>IF(E401&lt;&gt;"",G6copy!F401,"")</f>
        <v/>
      </c>
    </row>
    <row r="402" spans="1:7" ht="15.75" customHeight="1">
      <c r="A402" s="23" t="str">
        <f t="shared" si="19"/>
        <v/>
      </c>
      <c r="B402" t="str">
        <f t="shared" si="20"/>
        <v/>
      </c>
      <c r="C402" s="23" t="str">
        <f t="shared" si="21"/>
        <v/>
      </c>
      <c r="E402" s="24" t="str">
        <f>IF(NOT(ISBLANK(G6copy!B402)),G6copy!B402,"")</f>
        <v/>
      </c>
      <c r="F402" s="24" t="str">
        <f>IF(E402&lt;&gt;"",G6copy!A402,"")</f>
        <v/>
      </c>
      <c r="G402" s="24" t="str">
        <f>IF(E402&lt;&gt;"",G6copy!F402,"")</f>
        <v/>
      </c>
    </row>
    <row r="403" spans="1:7" ht="15.75" customHeight="1">
      <c r="A403" s="23" t="str">
        <f t="shared" si="19"/>
        <v/>
      </c>
      <c r="B403" t="str">
        <f t="shared" si="20"/>
        <v/>
      </c>
      <c r="C403" s="23" t="str">
        <f t="shared" si="21"/>
        <v/>
      </c>
      <c r="E403" s="24" t="str">
        <f>IF(NOT(ISBLANK(G6copy!B403)),G6copy!B403,"")</f>
        <v/>
      </c>
      <c r="F403" s="24" t="str">
        <f>IF(E403&lt;&gt;"",G6copy!A403,"")</f>
        <v/>
      </c>
      <c r="G403" s="24" t="str">
        <f>IF(E403&lt;&gt;"",G6copy!F403,"")</f>
        <v/>
      </c>
    </row>
    <row r="404" spans="1:7" ht="15.75" customHeight="1">
      <c r="A404" s="23" t="str">
        <f t="shared" si="19"/>
        <v/>
      </c>
      <c r="B404" t="str">
        <f t="shared" si="20"/>
        <v/>
      </c>
      <c r="C404" s="23" t="str">
        <f t="shared" si="21"/>
        <v/>
      </c>
      <c r="E404" s="24" t="str">
        <f>IF(NOT(ISBLANK(G6copy!B404)),G6copy!B404,"")</f>
        <v/>
      </c>
      <c r="F404" s="24" t="str">
        <f>IF(E404&lt;&gt;"",G6copy!A404,"")</f>
        <v/>
      </c>
      <c r="G404" s="24" t="str">
        <f>IF(E404&lt;&gt;"",G6copy!F404,"")</f>
        <v/>
      </c>
    </row>
    <row r="405" spans="1:7" ht="15.75" customHeight="1">
      <c r="A405" s="23" t="str">
        <f t="shared" si="19"/>
        <v/>
      </c>
      <c r="B405" t="str">
        <f t="shared" si="20"/>
        <v/>
      </c>
      <c r="C405" s="23" t="str">
        <f t="shared" si="21"/>
        <v/>
      </c>
      <c r="E405" s="24" t="str">
        <f>IF(NOT(ISBLANK(G6copy!B405)),G6copy!B405,"")</f>
        <v/>
      </c>
      <c r="F405" s="24" t="str">
        <f>IF(E405&lt;&gt;"",G6copy!A405,"")</f>
        <v/>
      </c>
      <c r="G405" s="24" t="str">
        <f>IF(E405&lt;&gt;"",G6copy!F405,"")</f>
        <v/>
      </c>
    </row>
    <row r="406" spans="1:7" ht="15.75" customHeight="1">
      <c r="A406" s="23" t="str">
        <f t="shared" si="19"/>
        <v/>
      </c>
      <c r="B406" t="str">
        <f t="shared" si="20"/>
        <v/>
      </c>
      <c r="C406" s="23" t="str">
        <f t="shared" si="21"/>
        <v/>
      </c>
      <c r="E406" s="24" t="str">
        <f>IF(NOT(ISBLANK(G6copy!B406)),G6copy!B406,"")</f>
        <v/>
      </c>
      <c r="F406" s="24" t="str">
        <f>IF(E406&lt;&gt;"",G6copy!A406,"")</f>
        <v/>
      </c>
      <c r="G406" s="24" t="str">
        <f>IF(E406&lt;&gt;"",G6copy!F406,"")</f>
        <v/>
      </c>
    </row>
    <row r="407" spans="1:7" ht="15.75" customHeight="1">
      <c r="A407" s="23" t="str">
        <f t="shared" si="19"/>
        <v/>
      </c>
      <c r="B407" t="str">
        <f t="shared" si="20"/>
        <v/>
      </c>
      <c r="C407" s="23" t="str">
        <f t="shared" si="21"/>
        <v/>
      </c>
      <c r="E407" s="24" t="str">
        <f>IF(NOT(ISBLANK(G6copy!B407)),G6copy!B407,"")</f>
        <v/>
      </c>
      <c r="F407" s="24" t="str">
        <f>IF(E407&lt;&gt;"",G6copy!A407,"")</f>
        <v/>
      </c>
      <c r="G407" s="24" t="str">
        <f>IF(E407&lt;&gt;"",G6copy!F407,"")</f>
        <v/>
      </c>
    </row>
    <row r="408" spans="1:7" ht="15.75" customHeight="1">
      <c r="A408" s="23" t="str">
        <f t="shared" si="19"/>
        <v/>
      </c>
      <c r="B408" t="str">
        <f t="shared" si="20"/>
        <v/>
      </c>
      <c r="C408" s="23" t="str">
        <f t="shared" si="21"/>
        <v/>
      </c>
      <c r="E408" s="24" t="str">
        <f>IF(NOT(ISBLANK(G6copy!B408)),G6copy!B408,"")</f>
        <v/>
      </c>
      <c r="F408" s="24" t="str">
        <f>IF(E408&lt;&gt;"",G6copy!A408,"")</f>
        <v/>
      </c>
      <c r="G408" s="24" t="str">
        <f>IF(E408&lt;&gt;"",G6copy!F408,"")</f>
        <v/>
      </c>
    </row>
    <row r="409" spans="1:7" ht="15.75" customHeight="1">
      <c r="A409" s="23" t="str">
        <f t="shared" si="19"/>
        <v/>
      </c>
      <c r="B409" t="str">
        <f t="shared" si="20"/>
        <v/>
      </c>
      <c r="C409" s="23" t="str">
        <f t="shared" si="21"/>
        <v/>
      </c>
      <c r="E409" s="24" t="str">
        <f>IF(NOT(ISBLANK(G6copy!B409)),G6copy!B409,"")</f>
        <v/>
      </c>
      <c r="F409" s="24" t="str">
        <f>IF(E409&lt;&gt;"",G6copy!A409,"")</f>
        <v/>
      </c>
      <c r="G409" s="24" t="str">
        <f>IF(E409&lt;&gt;"",G6copy!F409,"")</f>
        <v/>
      </c>
    </row>
    <row r="410" spans="1:7" ht="15.75" customHeight="1">
      <c r="A410" s="23" t="str">
        <f t="shared" si="19"/>
        <v/>
      </c>
      <c r="B410" t="str">
        <f t="shared" si="20"/>
        <v/>
      </c>
      <c r="C410" s="23" t="str">
        <f t="shared" si="21"/>
        <v/>
      </c>
      <c r="E410" s="24" t="str">
        <f>IF(NOT(ISBLANK(G6copy!B410)),G6copy!B410,"")</f>
        <v/>
      </c>
      <c r="F410" s="24" t="str">
        <f>IF(E410&lt;&gt;"",G6copy!A410,"")</f>
        <v/>
      </c>
      <c r="G410" s="24" t="str">
        <f>IF(E410&lt;&gt;"",G6copy!F410,"")</f>
        <v/>
      </c>
    </row>
    <row r="411" spans="1:7" ht="15.75" customHeight="1">
      <c r="A411" s="23" t="str">
        <f t="shared" si="19"/>
        <v/>
      </c>
      <c r="B411" t="str">
        <f t="shared" si="20"/>
        <v/>
      </c>
      <c r="C411" s="23" t="str">
        <f t="shared" si="21"/>
        <v/>
      </c>
      <c r="E411" s="24" t="str">
        <f>IF(NOT(ISBLANK(G6copy!B411)),G6copy!B411,"")</f>
        <v/>
      </c>
      <c r="F411" s="24" t="str">
        <f>IF(E411&lt;&gt;"",G6copy!A411,"")</f>
        <v/>
      </c>
      <c r="G411" s="24" t="str">
        <f>IF(E411&lt;&gt;"",G6copy!F411,"")</f>
        <v/>
      </c>
    </row>
    <row r="412" spans="1:7" ht="15.75" customHeight="1">
      <c r="A412" s="23" t="str">
        <f t="shared" si="19"/>
        <v/>
      </c>
      <c r="B412" t="str">
        <f t="shared" si="20"/>
        <v/>
      </c>
      <c r="C412" s="23" t="str">
        <f t="shared" si="21"/>
        <v/>
      </c>
      <c r="E412" s="24" t="str">
        <f>IF(NOT(ISBLANK(G6copy!B412)),G6copy!B412,"")</f>
        <v/>
      </c>
      <c r="F412" s="24" t="str">
        <f>IF(E412&lt;&gt;"",G6copy!A412,"")</f>
        <v/>
      </c>
      <c r="G412" s="24" t="str">
        <f>IF(E412&lt;&gt;"",G6copy!F412,"")</f>
        <v/>
      </c>
    </row>
    <row r="413" spans="1:7" ht="15.75" customHeight="1">
      <c r="A413" s="23" t="str">
        <f t="shared" si="19"/>
        <v/>
      </c>
      <c r="B413" t="str">
        <f t="shared" si="20"/>
        <v/>
      </c>
      <c r="C413" s="23" t="str">
        <f t="shared" si="21"/>
        <v/>
      </c>
      <c r="E413" s="24" t="str">
        <f>IF(NOT(ISBLANK(G6copy!B413)),G6copy!B413,"")</f>
        <v/>
      </c>
      <c r="F413" s="24" t="str">
        <f>IF(E413&lt;&gt;"",G6copy!A413,"")</f>
        <v/>
      </c>
      <c r="G413" s="24" t="str">
        <f>IF(E413&lt;&gt;"",G6copy!F413,"")</f>
        <v/>
      </c>
    </row>
    <row r="414" spans="1:7" ht="15.75" customHeight="1">
      <c r="A414" s="23" t="str">
        <f t="shared" si="19"/>
        <v/>
      </c>
      <c r="B414" t="str">
        <f t="shared" si="20"/>
        <v/>
      </c>
      <c r="C414" s="23" t="str">
        <f t="shared" si="21"/>
        <v/>
      </c>
      <c r="E414" s="24" t="str">
        <f>IF(NOT(ISBLANK(G6copy!B414)),G6copy!B414,"")</f>
        <v/>
      </c>
      <c r="F414" s="24" t="str">
        <f>IF(E414&lt;&gt;"",G6copy!A414,"")</f>
        <v/>
      </c>
      <c r="G414" s="24" t="str">
        <f>IF(E414&lt;&gt;"",G6copy!F414,"")</f>
        <v/>
      </c>
    </row>
    <row r="415" spans="1:7" ht="15.75" customHeight="1">
      <c r="A415" s="23" t="str">
        <f t="shared" si="19"/>
        <v/>
      </c>
      <c r="B415" t="str">
        <f t="shared" si="20"/>
        <v/>
      </c>
      <c r="C415" s="23" t="str">
        <f t="shared" si="21"/>
        <v/>
      </c>
      <c r="E415" s="24" t="str">
        <f>IF(NOT(ISBLANK(G6copy!B415)),G6copy!B415,"")</f>
        <v/>
      </c>
      <c r="F415" s="24" t="str">
        <f>IF(E415&lt;&gt;"",G6copy!A415,"")</f>
        <v/>
      </c>
      <c r="G415" s="24" t="str">
        <f>IF(E415&lt;&gt;"",G6copy!F415,"")</f>
        <v/>
      </c>
    </row>
    <row r="416" spans="1:7" ht="15.75" customHeight="1">
      <c r="A416" s="23" t="str">
        <f t="shared" si="19"/>
        <v/>
      </c>
      <c r="B416" t="str">
        <f t="shared" si="20"/>
        <v/>
      </c>
      <c r="C416" s="23" t="str">
        <f t="shared" si="21"/>
        <v/>
      </c>
      <c r="E416" s="24" t="str">
        <f>IF(NOT(ISBLANK(G6copy!B416)),G6copy!B416,"")</f>
        <v/>
      </c>
      <c r="F416" s="24" t="str">
        <f>IF(E416&lt;&gt;"",G6copy!A416,"")</f>
        <v/>
      </c>
      <c r="G416" s="24" t="str">
        <f>IF(E416&lt;&gt;"",G6copy!F416,"")</f>
        <v/>
      </c>
    </row>
    <row r="417" spans="1:7" ht="15.75" customHeight="1">
      <c r="A417" s="23" t="str">
        <f t="shared" si="19"/>
        <v/>
      </c>
      <c r="B417" t="str">
        <f t="shared" si="20"/>
        <v/>
      </c>
      <c r="C417" s="23" t="str">
        <f t="shared" si="21"/>
        <v/>
      </c>
      <c r="E417" s="24" t="str">
        <f>IF(NOT(ISBLANK(G6copy!B417)),G6copy!B417,"")</f>
        <v/>
      </c>
      <c r="F417" s="24" t="str">
        <f>IF(E417&lt;&gt;"",G6copy!A417,"")</f>
        <v/>
      </c>
      <c r="G417" s="24" t="str">
        <f>IF(E417&lt;&gt;"",G6copy!F417,"")</f>
        <v/>
      </c>
    </row>
    <row r="418" spans="1:7" ht="15.75" customHeight="1">
      <c r="A418" s="23" t="str">
        <f t="shared" si="19"/>
        <v/>
      </c>
      <c r="B418" t="str">
        <f t="shared" si="20"/>
        <v/>
      </c>
      <c r="C418" s="23" t="str">
        <f t="shared" si="21"/>
        <v/>
      </c>
      <c r="E418" s="24" t="str">
        <f>IF(NOT(ISBLANK(G6copy!B418)),G6copy!B418,"")</f>
        <v/>
      </c>
      <c r="F418" s="24" t="str">
        <f>IF(E418&lt;&gt;"",G6copy!A418,"")</f>
        <v/>
      </c>
      <c r="G418" s="24" t="str">
        <f>IF(E418&lt;&gt;"",G6copy!F418,"")</f>
        <v/>
      </c>
    </row>
    <row r="419" spans="1:7" ht="15.75" customHeight="1">
      <c r="A419" s="23" t="str">
        <f t="shared" si="19"/>
        <v/>
      </c>
      <c r="B419" t="str">
        <f t="shared" si="20"/>
        <v/>
      </c>
      <c r="C419" s="23" t="str">
        <f t="shared" si="21"/>
        <v/>
      </c>
      <c r="E419" s="24" t="str">
        <f>IF(NOT(ISBLANK(G6copy!B419)),G6copy!B419,"")</f>
        <v/>
      </c>
      <c r="F419" s="24" t="str">
        <f>IF(E419&lt;&gt;"",G6copy!A419,"")</f>
        <v/>
      </c>
      <c r="G419" s="24" t="str">
        <f>IF(E419&lt;&gt;"",G6copy!F419,"")</f>
        <v/>
      </c>
    </row>
    <row r="420" spans="1:7" ht="15.75" customHeight="1">
      <c r="A420" s="23" t="str">
        <f t="shared" si="19"/>
        <v/>
      </c>
      <c r="B420" t="str">
        <f t="shared" si="20"/>
        <v/>
      </c>
      <c r="C420" s="23" t="str">
        <f t="shared" si="21"/>
        <v/>
      </c>
      <c r="E420" s="24" t="str">
        <f>IF(NOT(ISBLANK(G6copy!B420)),G6copy!B420,"")</f>
        <v/>
      </c>
      <c r="F420" s="24" t="str">
        <f>IF(E420&lt;&gt;"",G6copy!A420,"")</f>
        <v/>
      </c>
      <c r="G420" s="24" t="str">
        <f>IF(E420&lt;&gt;"",G6copy!F420,"")</f>
        <v/>
      </c>
    </row>
    <row r="421" spans="1:7" ht="15.75" customHeight="1">
      <c r="A421" s="23" t="str">
        <f t="shared" si="19"/>
        <v/>
      </c>
      <c r="B421" t="str">
        <f t="shared" si="20"/>
        <v/>
      </c>
      <c r="C421" s="23" t="str">
        <f t="shared" si="21"/>
        <v/>
      </c>
      <c r="E421" s="24" t="str">
        <f>IF(NOT(ISBLANK(G6copy!B421)),G6copy!B421,"")</f>
        <v/>
      </c>
      <c r="F421" s="24" t="str">
        <f>IF(E421&lt;&gt;"",G6copy!A421,"")</f>
        <v/>
      </c>
      <c r="G421" s="24" t="str">
        <f>IF(E421&lt;&gt;"",G6copy!F421,"")</f>
        <v/>
      </c>
    </row>
    <row r="422" spans="1:7" ht="15.75" customHeight="1">
      <c r="A422" s="23" t="str">
        <f t="shared" si="19"/>
        <v/>
      </c>
      <c r="B422" t="str">
        <f t="shared" si="20"/>
        <v/>
      </c>
      <c r="C422" s="23" t="str">
        <f t="shared" si="21"/>
        <v/>
      </c>
      <c r="E422" s="24" t="str">
        <f>IF(NOT(ISBLANK(G6copy!B422)),G6copy!B422,"")</f>
        <v/>
      </c>
      <c r="F422" s="24" t="str">
        <f>IF(E422&lt;&gt;"",G6copy!A422,"")</f>
        <v/>
      </c>
      <c r="G422" s="24" t="str">
        <f>IF(E422&lt;&gt;"",G6copy!F422,"")</f>
        <v/>
      </c>
    </row>
    <row r="423" spans="1:7" ht="15.75" customHeight="1">
      <c r="A423" s="23" t="str">
        <f t="shared" si="19"/>
        <v/>
      </c>
      <c r="B423" t="str">
        <f t="shared" si="20"/>
        <v/>
      </c>
      <c r="C423" s="23" t="str">
        <f t="shared" si="21"/>
        <v/>
      </c>
      <c r="E423" s="24" t="str">
        <f>IF(NOT(ISBLANK(G6copy!B423)),G6copy!B423,"")</f>
        <v/>
      </c>
      <c r="F423" s="24" t="str">
        <f>IF(E423&lt;&gt;"",G6copy!A423,"")</f>
        <v/>
      </c>
      <c r="G423" s="24" t="str">
        <f>IF(E423&lt;&gt;"",G6copy!F423,"")</f>
        <v/>
      </c>
    </row>
    <row r="424" spans="1:7" ht="15.75" customHeight="1">
      <c r="A424" s="23" t="str">
        <f t="shared" si="19"/>
        <v/>
      </c>
      <c r="B424" t="str">
        <f t="shared" si="20"/>
        <v/>
      </c>
      <c r="C424" s="23" t="str">
        <f t="shared" si="21"/>
        <v/>
      </c>
      <c r="E424" s="24" t="str">
        <f>IF(NOT(ISBLANK(G6copy!B424)),G6copy!B424,"")</f>
        <v/>
      </c>
      <c r="F424" s="24" t="str">
        <f>IF(E424&lt;&gt;"",G6copy!A424,"")</f>
        <v/>
      </c>
      <c r="G424" s="24" t="str">
        <f>IF(E424&lt;&gt;"",G6copy!F424,"")</f>
        <v/>
      </c>
    </row>
    <row r="425" spans="1:7" ht="15.75" customHeight="1">
      <c r="A425" s="23" t="str">
        <f t="shared" si="19"/>
        <v/>
      </c>
      <c r="B425" t="str">
        <f t="shared" si="20"/>
        <v/>
      </c>
      <c r="C425" s="23" t="str">
        <f t="shared" si="21"/>
        <v/>
      </c>
      <c r="E425" s="24" t="str">
        <f>IF(NOT(ISBLANK(G6copy!B425)),G6copy!B425,"")</f>
        <v/>
      </c>
      <c r="F425" s="24" t="str">
        <f>IF(E425&lt;&gt;"",G6copy!A425,"")</f>
        <v/>
      </c>
      <c r="G425" s="24" t="str">
        <f>IF(E425&lt;&gt;"",G6copy!F425,"")</f>
        <v/>
      </c>
    </row>
    <row r="426" spans="1:7" ht="15.75" customHeight="1">
      <c r="A426" s="23" t="str">
        <f t="shared" si="19"/>
        <v/>
      </c>
      <c r="B426" t="str">
        <f t="shared" si="20"/>
        <v/>
      </c>
      <c r="C426" s="23" t="str">
        <f t="shared" si="21"/>
        <v/>
      </c>
      <c r="E426" s="24" t="str">
        <f>IF(NOT(ISBLANK(G6copy!B426)),G6copy!B426,"")</f>
        <v/>
      </c>
      <c r="F426" s="24" t="str">
        <f>IF(E426&lt;&gt;"",G6copy!A426,"")</f>
        <v/>
      </c>
      <c r="G426" s="24" t="str">
        <f>IF(E426&lt;&gt;"",G6copy!F426,"")</f>
        <v/>
      </c>
    </row>
    <row r="427" spans="1:7" ht="15.75" customHeight="1">
      <c r="A427" s="23" t="str">
        <f t="shared" si="19"/>
        <v/>
      </c>
      <c r="B427" t="str">
        <f t="shared" si="20"/>
        <v/>
      </c>
      <c r="C427" s="23" t="str">
        <f t="shared" si="21"/>
        <v/>
      </c>
      <c r="E427" s="24" t="str">
        <f>IF(NOT(ISBLANK(G6copy!B427)),G6copy!B427,"")</f>
        <v/>
      </c>
      <c r="F427" s="24" t="str">
        <f>IF(E427&lt;&gt;"",G6copy!A427,"")</f>
        <v/>
      </c>
      <c r="G427" s="24" t="str">
        <f>IF(E427&lt;&gt;"",G6copy!F427,"")</f>
        <v/>
      </c>
    </row>
    <row r="428" spans="1:7" ht="15.75" customHeight="1">
      <c r="A428" s="23" t="str">
        <f t="shared" si="19"/>
        <v/>
      </c>
      <c r="B428" t="str">
        <f t="shared" si="20"/>
        <v/>
      </c>
      <c r="C428" s="23" t="str">
        <f t="shared" si="21"/>
        <v/>
      </c>
      <c r="E428" s="24" t="str">
        <f>IF(NOT(ISBLANK(G6copy!B428)),G6copy!B428,"")</f>
        <v/>
      </c>
      <c r="F428" s="24" t="str">
        <f>IF(E428&lt;&gt;"",G6copy!A428,"")</f>
        <v/>
      </c>
      <c r="G428" s="24" t="str">
        <f>IF(E428&lt;&gt;"",G6copy!F428,"")</f>
        <v/>
      </c>
    </row>
    <row r="429" spans="1:7" ht="15.75" customHeight="1">
      <c r="A429" s="23" t="str">
        <f t="shared" si="19"/>
        <v/>
      </c>
      <c r="B429" t="str">
        <f t="shared" si="20"/>
        <v/>
      </c>
      <c r="C429" s="23" t="str">
        <f t="shared" si="21"/>
        <v/>
      </c>
      <c r="E429" s="24" t="str">
        <f>IF(NOT(ISBLANK(G6copy!B429)),G6copy!B429,"")</f>
        <v/>
      </c>
      <c r="F429" s="24" t="str">
        <f>IF(E429&lt;&gt;"",G6copy!A429,"")</f>
        <v/>
      </c>
      <c r="G429" s="24" t="str">
        <f>IF(E429&lt;&gt;"",G6copy!F429,"")</f>
        <v/>
      </c>
    </row>
    <row r="430" spans="1:7" ht="15.75" customHeight="1">
      <c r="A430" s="23" t="str">
        <f t="shared" si="19"/>
        <v/>
      </c>
      <c r="B430" t="str">
        <f t="shared" si="20"/>
        <v/>
      </c>
      <c r="C430" s="23" t="str">
        <f t="shared" si="21"/>
        <v/>
      </c>
      <c r="E430" s="24" t="str">
        <f>IF(NOT(ISBLANK(G6copy!B430)),G6copy!B430,"")</f>
        <v/>
      </c>
      <c r="F430" s="24" t="str">
        <f>IF(E430&lt;&gt;"",G6copy!A430,"")</f>
        <v/>
      </c>
      <c r="G430" s="24" t="str">
        <f>IF(E430&lt;&gt;"",G6copy!F430,"")</f>
        <v/>
      </c>
    </row>
    <row r="431" spans="1:7" ht="15.75" customHeight="1">
      <c r="A431" s="23" t="str">
        <f t="shared" si="19"/>
        <v/>
      </c>
      <c r="B431" t="str">
        <f t="shared" si="20"/>
        <v/>
      </c>
      <c r="C431" s="23" t="str">
        <f t="shared" si="21"/>
        <v/>
      </c>
      <c r="E431" s="24" t="str">
        <f>IF(NOT(ISBLANK(G6copy!B431)),G6copy!B431,"")</f>
        <v/>
      </c>
      <c r="F431" s="24" t="str">
        <f>IF(E431&lt;&gt;"",G6copy!A431,"")</f>
        <v/>
      </c>
      <c r="G431" s="24" t="str">
        <f>IF(E431&lt;&gt;"",G6copy!F431,"")</f>
        <v/>
      </c>
    </row>
    <row r="432" spans="1:7" ht="15.75" customHeight="1">
      <c r="A432" s="23" t="str">
        <f t="shared" si="19"/>
        <v/>
      </c>
      <c r="B432" t="str">
        <f t="shared" si="20"/>
        <v/>
      </c>
      <c r="C432" s="23" t="str">
        <f t="shared" si="21"/>
        <v/>
      </c>
      <c r="E432" s="24" t="str">
        <f>IF(NOT(ISBLANK(G6copy!B432)),G6copy!B432,"")</f>
        <v/>
      </c>
      <c r="F432" s="24" t="str">
        <f>IF(E432&lt;&gt;"",G6copy!A432,"")</f>
        <v/>
      </c>
      <c r="G432" s="24" t="str">
        <f>IF(E432&lt;&gt;"",G6copy!F432,"")</f>
        <v/>
      </c>
    </row>
    <row r="433" spans="1:7" ht="15.75" customHeight="1">
      <c r="A433" s="23" t="str">
        <f t="shared" si="19"/>
        <v/>
      </c>
      <c r="B433" t="str">
        <f t="shared" si="20"/>
        <v/>
      </c>
      <c r="C433" s="23" t="str">
        <f t="shared" si="21"/>
        <v/>
      </c>
      <c r="E433" s="24" t="str">
        <f>IF(NOT(ISBLANK(G6copy!B433)),G6copy!B433,"")</f>
        <v/>
      </c>
      <c r="F433" s="24" t="str">
        <f>IF(E433&lt;&gt;"",G6copy!A433,"")</f>
        <v/>
      </c>
      <c r="G433" s="24" t="str">
        <f>IF(E433&lt;&gt;"",G6copy!F433,"")</f>
        <v/>
      </c>
    </row>
    <row r="434" spans="1:7" ht="15.75" customHeight="1">
      <c r="A434" s="23" t="str">
        <f t="shared" si="19"/>
        <v/>
      </c>
      <c r="B434" t="str">
        <f t="shared" si="20"/>
        <v/>
      </c>
      <c r="C434" s="23" t="str">
        <f t="shared" si="21"/>
        <v/>
      </c>
      <c r="E434" s="24" t="str">
        <f>IF(NOT(ISBLANK(G6copy!B434)),G6copy!B434,"")</f>
        <v/>
      </c>
      <c r="F434" s="24" t="str">
        <f>IF(E434&lt;&gt;"",G6copy!A434,"")</f>
        <v/>
      </c>
      <c r="G434" s="24" t="str">
        <f>IF(E434&lt;&gt;"",G6copy!F434,"")</f>
        <v/>
      </c>
    </row>
    <row r="435" spans="1:7" ht="15.75" customHeight="1">
      <c r="A435" s="23" t="str">
        <f t="shared" si="19"/>
        <v/>
      </c>
      <c r="B435" t="str">
        <f t="shared" si="20"/>
        <v/>
      </c>
      <c r="C435" s="23" t="str">
        <f t="shared" si="21"/>
        <v/>
      </c>
      <c r="E435" s="24" t="str">
        <f>IF(NOT(ISBLANK(G6copy!B435)),G6copy!B435,"")</f>
        <v/>
      </c>
      <c r="F435" s="24" t="str">
        <f>IF(E435&lt;&gt;"",G6copy!A435,"")</f>
        <v/>
      </c>
      <c r="G435" s="24" t="str">
        <f>IF(E435&lt;&gt;"",G6copy!F435,"")</f>
        <v/>
      </c>
    </row>
    <row r="436" spans="1:7" ht="15.75" customHeight="1">
      <c r="A436" s="23" t="str">
        <f t="shared" si="19"/>
        <v/>
      </c>
      <c r="B436" t="str">
        <f t="shared" si="20"/>
        <v/>
      </c>
      <c r="C436" s="23" t="str">
        <f t="shared" si="21"/>
        <v/>
      </c>
      <c r="E436" s="24" t="str">
        <f>IF(NOT(ISBLANK(G6copy!B436)),G6copy!B436,"")</f>
        <v/>
      </c>
      <c r="F436" s="24" t="str">
        <f>IF(E436&lt;&gt;"",G6copy!A436,"")</f>
        <v/>
      </c>
      <c r="G436" s="24" t="str">
        <f>IF(E436&lt;&gt;"",G6copy!F436,"")</f>
        <v/>
      </c>
    </row>
    <row r="437" spans="1:7" ht="15.75" customHeight="1">
      <c r="A437" s="23" t="str">
        <f t="shared" si="19"/>
        <v/>
      </c>
      <c r="B437" t="str">
        <f t="shared" si="20"/>
        <v/>
      </c>
      <c r="C437" s="23" t="str">
        <f t="shared" si="21"/>
        <v/>
      </c>
      <c r="E437" s="24" t="str">
        <f>IF(NOT(ISBLANK(G6copy!B437)),G6copy!B437,"")</f>
        <v/>
      </c>
      <c r="F437" s="24" t="str">
        <f>IF(E437&lt;&gt;"",G6copy!A437,"")</f>
        <v/>
      </c>
      <c r="G437" s="24" t="str">
        <f>IF(E437&lt;&gt;"",G6copy!F437,"")</f>
        <v/>
      </c>
    </row>
    <row r="438" spans="1:7" ht="15.75" customHeight="1">
      <c r="A438" s="23" t="str">
        <f t="shared" si="19"/>
        <v/>
      </c>
      <c r="B438" t="str">
        <f t="shared" si="20"/>
        <v/>
      </c>
      <c r="C438" s="23" t="str">
        <f t="shared" si="21"/>
        <v/>
      </c>
      <c r="E438" s="24" t="str">
        <f>IF(NOT(ISBLANK(G6copy!B438)),G6copy!B438,"")</f>
        <v/>
      </c>
      <c r="F438" s="24" t="str">
        <f>IF(E438&lt;&gt;"",G6copy!A438,"")</f>
        <v/>
      </c>
      <c r="G438" s="24" t="str">
        <f>IF(E438&lt;&gt;"",G6copy!F438,"")</f>
        <v/>
      </c>
    </row>
    <row r="439" spans="1:7" ht="15.75" customHeight="1">
      <c r="A439" s="23" t="str">
        <f t="shared" si="19"/>
        <v/>
      </c>
      <c r="B439" t="str">
        <f t="shared" si="20"/>
        <v/>
      </c>
      <c r="C439" s="23" t="str">
        <f t="shared" si="21"/>
        <v/>
      </c>
      <c r="E439" s="24" t="str">
        <f>IF(NOT(ISBLANK(G6copy!B439)),G6copy!B439,"")</f>
        <v/>
      </c>
      <c r="F439" s="24" t="str">
        <f>IF(E439&lt;&gt;"",G6copy!A439,"")</f>
        <v/>
      </c>
      <c r="G439" s="24" t="str">
        <f>IF(E439&lt;&gt;"",G6copy!F439,"")</f>
        <v/>
      </c>
    </row>
    <row r="440" spans="1:7" ht="15.75" customHeight="1">
      <c r="A440" s="23" t="str">
        <f t="shared" si="19"/>
        <v/>
      </c>
      <c r="B440" t="str">
        <f t="shared" si="20"/>
        <v/>
      </c>
      <c r="C440" s="23" t="str">
        <f t="shared" si="21"/>
        <v/>
      </c>
      <c r="E440" s="24" t="str">
        <f>IF(NOT(ISBLANK(G6copy!B440)),G6copy!B440,"")</f>
        <v/>
      </c>
      <c r="F440" s="24" t="str">
        <f>IF(E440&lt;&gt;"",G6copy!A440,"")</f>
        <v/>
      </c>
      <c r="G440" s="24" t="str">
        <f>IF(E440&lt;&gt;"",G6copy!F440,"")</f>
        <v/>
      </c>
    </row>
    <row r="441" spans="1:7" ht="15.75" customHeight="1">
      <c r="A441" s="23" t="str">
        <f t="shared" si="19"/>
        <v/>
      </c>
      <c r="B441" t="str">
        <f t="shared" si="20"/>
        <v/>
      </c>
      <c r="C441" s="23" t="str">
        <f t="shared" si="21"/>
        <v/>
      </c>
      <c r="E441" s="24" t="str">
        <f>IF(NOT(ISBLANK(G6copy!B441)),G6copy!B441,"")</f>
        <v/>
      </c>
      <c r="F441" s="24" t="str">
        <f>IF(E441&lt;&gt;"",G6copy!A441,"")</f>
        <v/>
      </c>
      <c r="G441" s="24" t="str">
        <f>IF(E441&lt;&gt;"",G6copy!F441,"")</f>
        <v/>
      </c>
    </row>
    <row r="442" spans="1:7" ht="15.75" customHeight="1">
      <c r="A442" s="23" t="str">
        <f t="shared" si="19"/>
        <v/>
      </c>
      <c r="B442" t="str">
        <f t="shared" si="20"/>
        <v/>
      </c>
      <c r="C442" s="23" t="str">
        <f t="shared" si="21"/>
        <v/>
      </c>
      <c r="E442" s="24" t="str">
        <f>IF(NOT(ISBLANK(G6copy!B442)),G6copy!B442,"")</f>
        <v/>
      </c>
      <c r="F442" s="24" t="str">
        <f>IF(E442&lt;&gt;"",G6copy!A442,"")</f>
        <v/>
      </c>
      <c r="G442" s="24" t="str">
        <f>IF(E442&lt;&gt;"",G6copy!F442,"")</f>
        <v/>
      </c>
    </row>
    <row r="443" spans="1:7" ht="15.75" customHeight="1">
      <c r="A443" s="23" t="str">
        <f t="shared" si="19"/>
        <v/>
      </c>
      <c r="B443" t="str">
        <f t="shared" si="20"/>
        <v/>
      </c>
      <c r="C443" s="23" t="str">
        <f t="shared" si="21"/>
        <v/>
      </c>
      <c r="E443" s="24" t="str">
        <f>IF(NOT(ISBLANK(G6copy!B443)),G6copy!B443,"")</f>
        <v/>
      </c>
      <c r="F443" s="24" t="str">
        <f>IF(E443&lt;&gt;"",G6copy!A443,"")</f>
        <v/>
      </c>
      <c r="G443" s="24" t="str">
        <f>IF(E443&lt;&gt;"",G6copy!F443,"")</f>
        <v/>
      </c>
    </row>
    <row r="444" spans="1:7" ht="15.75" customHeight="1">
      <c r="A444" s="23" t="str">
        <f t="shared" si="19"/>
        <v/>
      </c>
      <c r="B444" t="str">
        <f t="shared" si="20"/>
        <v/>
      </c>
      <c r="C444" s="23" t="str">
        <f t="shared" si="21"/>
        <v/>
      </c>
      <c r="E444" s="24" t="str">
        <f>IF(NOT(ISBLANK(G6copy!B444)),G6copy!B444,"")</f>
        <v/>
      </c>
      <c r="F444" s="24" t="str">
        <f>IF(E444&lt;&gt;"",G6copy!A444,"")</f>
        <v/>
      </c>
      <c r="G444" s="24" t="str">
        <f>IF(E444&lt;&gt;"",G6copy!F444,"")</f>
        <v/>
      </c>
    </row>
    <row r="445" spans="1:7" ht="15.75" customHeight="1">
      <c r="A445" s="23" t="str">
        <f t="shared" si="19"/>
        <v/>
      </c>
      <c r="B445" t="str">
        <f t="shared" si="20"/>
        <v/>
      </c>
      <c r="C445" s="23" t="str">
        <f t="shared" si="21"/>
        <v/>
      </c>
      <c r="E445" s="24" t="str">
        <f>IF(NOT(ISBLANK(G6copy!B445)),G6copy!B445,"")</f>
        <v/>
      </c>
      <c r="F445" s="24" t="str">
        <f>IF(E445&lt;&gt;"",G6copy!A445,"")</f>
        <v/>
      </c>
      <c r="G445" s="24" t="str">
        <f>IF(E445&lt;&gt;"",G6copy!F445,"")</f>
        <v/>
      </c>
    </row>
    <row r="446" spans="1:7" ht="15.75" customHeight="1">
      <c r="A446" s="23" t="str">
        <f t="shared" si="19"/>
        <v/>
      </c>
      <c r="B446" t="str">
        <f t="shared" si="20"/>
        <v/>
      </c>
      <c r="C446" s="23" t="str">
        <f t="shared" si="21"/>
        <v/>
      </c>
      <c r="E446" s="24" t="str">
        <f>IF(NOT(ISBLANK(G6copy!B446)),G6copy!B446,"")</f>
        <v/>
      </c>
      <c r="F446" s="24" t="str">
        <f>IF(E446&lt;&gt;"",G6copy!A446,"")</f>
        <v/>
      </c>
      <c r="G446" s="24" t="str">
        <f>IF(E446&lt;&gt;"",G6copy!F446,"")</f>
        <v/>
      </c>
    </row>
    <row r="447" spans="1:7" ht="15.75" customHeight="1">
      <c r="A447" s="23" t="str">
        <f t="shared" si="19"/>
        <v/>
      </c>
      <c r="B447" t="str">
        <f t="shared" si="20"/>
        <v/>
      </c>
      <c r="C447" s="23" t="str">
        <f t="shared" si="21"/>
        <v/>
      </c>
      <c r="E447" s="24" t="str">
        <f>IF(NOT(ISBLANK(G6copy!B447)),G6copy!B447,"")</f>
        <v/>
      </c>
      <c r="F447" s="24" t="str">
        <f>IF(E447&lt;&gt;"",G6copy!A447,"")</f>
        <v/>
      </c>
      <c r="G447" s="24" t="str">
        <f>IF(E447&lt;&gt;"",G6copy!F447,"")</f>
        <v/>
      </c>
    </row>
    <row r="448" spans="1:7" ht="15.75" customHeight="1">
      <c r="A448" s="23" t="str">
        <f t="shared" si="19"/>
        <v/>
      </c>
      <c r="B448" t="str">
        <f t="shared" si="20"/>
        <v/>
      </c>
      <c r="C448" s="23" t="str">
        <f t="shared" si="21"/>
        <v/>
      </c>
      <c r="E448" s="24" t="str">
        <f>IF(NOT(ISBLANK(G6copy!B448)),G6copy!B448,"")</f>
        <v/>
      </c>
      <c r="F448" s="24" t="str">
        <f>IF(E448&lt;&gt;"",G6copy!A448,"")</f>
        <v/>
      </c>
      <c r="G448" s="24" t="str">
        <f>IF(E448&lt;&gt;"",G6copy!F448,"")</f>
        <v/>
      </c>
    </row>
    <row r="449" spans="1:7" ht="15.75" customHeight="1">
      <c r="A449" s="23" t="str">
        <f t="shared" si="19"/>
        <v/>
      </c>
      <c r="B449" t="str">
        <f t="shared" si="20"/>
        <v/>
      </c>
      <c r="C449" s="23" t="str">
        <f t="shared" si="21"/>
        <v/>
      </c>
      <c r="E449" s="24" t="str">
        <f>IF(NOT(ISBLANK(G6copy!B449)),G6copy!B449,"")</f>
        <v/>
      </c>
      <c r="F449" s="24" t="str">
        <f>IF(E449&lt;&gt;"",G6copy!A449,"")</f>
        <v/>
      </c>
      <c r="G449" s="24" t="str">
        <f>IF(E449&lt;&gt;"",G6copy!F449,"")</f>
        <v/>
      </c>
    </row>
    <row r="450" spans="1:7" ht="15.75" customHeight="1">
      <c r="A450" s="23" t="str">
        <f t="shared" si="19"/>
        <v/>
      </c>
      <c r="B450" t="str">
        <f t="shared" si="20"/>
        <v/>
      </c>
      <c r="C450" s="23" t="str">
        <f t="shared" si="21"/>
        <v/>
      </c>
      <c r="E450" s="24" t="str">
        <f>IF(NOT(ISBLANK(G6copy!B450)),G6copy!B450,"")</f>
        <v/>
      </c>
      <c r="F450" s="24" t="str">
        <f>IF(E450&lt;&gt;"",G6copy!A450,"")</f>
        <v/>
      </c>
      <c r="G450" s="24" t="str">
        <f>IF(E450&lt;&gt;"",G6copy!F450,"")</f>
        <v/>
      </c>
    </row>
    <row r="451" spans="1:7" ht="15.75" customHeight="1">
      <c r="A451" s="23" t="str">
        <f t="shared" ref="A451:A500" si="22">IF(E451&lt;&gt;"",DATEVALUE(LEFT(E451,10)),"")</f>
        <v/>
      </c>
      <c r="B451" t="str">
        <f t="shared" ref="B451:B500" si="23">IF(LEN(F451)&gt;3,RIGHT(F451,LEN(F451)-3),"")</f>
        <v/>
      </c>
      <c r="C451" s="23" t="str">
        <f t="shared" ref="C451:C500" si="24">IF(E451&lt;&gt;"",DATEVALUE(LEFT(G451,10)),"")</f>
        <v/>
      </c>
      <c r="E451" s="24" t="str">
        <f>IF(NOT(ISBLANK(G6copy!B451)),G6copy!B451,"")</f>
        <v/>
      </c>
      <c r="F451" s="24" t="str">
        <f>IF(E451&lt;&gt;"",G6copy!A451,"")</f>
        <v/>
      </c>
      <c r="G451" s="24" t="str">
        <f>IF(E451&lt;&gt;"",G6copy!F451,"")</f>
        <v/>
      </c>
    </row>
    <row r="452" spans="1:7" ht="15.75" customHeight="1">
      <c r="A452" s="23" t="str">
        <f t="shared" si="22"/>
        <v/>
      </c>
      <c r="B452" t="str">
        <f t="shared" si="23"/>
        <v/>
      </c>
      <c r="C452" s="23" t="str">
        <f t="shared" si="24"/>
        <v/>
      </c>
      <c r="E452" s="24" t="str">
        <f>IF(NOT(ISBLANK(G6copy!B452)),G6copy!B452,"")</f>
        <v/>
      </c>
      <c r="F452" s="24" t="str">
        <f>IF(E452&lt;&gt;"",G6copy!A452,"")</f>
        <v/>
      </c>
      <c r="G452" s="24" t="str">
        <f>IF(E452&lt;&gt;"",G6copy!F452,"")</f>
        <v/>
      </c>
    </row>
    <row r="453" spans="1:7" ht="15.75" customHeight="1">
      <c r="A453" s="23" t="str">
        <f t="shared" si="22"/>
        <v/>
      </c>
      <c r="B453" t="str">
        <f t="shared" si="23"/>
        <v/>
      </c>
      <c r="C453" s="23" t="str">
        <f t="shared" si="24"/>
        <v/>
      </c>
      <c r="E453" s="24" t="str">
        <f>IF(NOT(ISBLANK(G6copy!B453)),G6copy!B453,"")</f>
        <v/>
      </c>
      <c r="F453" s="24" t="str">
        <f>IF(E453&lt;&gt;"",G6copy!A453,"")</f>
        <v/>
      </c>
      <c r="G453" s="24" t="str">
        <f>IF(E453&lt;&gt;"",G6copy!F453,"")</f>
        <v/>
      </c>
    </row>
    <row r="454" spans="1:7" ht="15.75" customHeight="1">
      <c r="A454" s="23" t="str">
        <f t="shared" si="22"/>
        <v/>
      </c>
      <c r="B454" t="str">
        <f t="shared" si="23"/>
        <v/>
      </c>
      <c r="C454" s="23" t="str">
        <f t="shared" si="24"/>
        <v/>
      </c>
      <c r="E454" s="24" t="str">
        <f>IF(NOT(ISBLANK(G6copy!B454)),G6copy!B454,"")</f>
        <v/>
      </c>
      <c r="F454" s="24" t="str">
        <f>IF(E454&lt;&gt;"",G6copy!A454,"")</f>
        <v/>
      </c>
      <c r="G454" s="24" t="str">
        <f>IF(E454&lt;&gt;"",G6copy!F454,"")</f>
        <v/>
      </c>
    </row>
    <row r="455" spans="1:7" ht="15.75" customHeight="1">
      <c r="A455" s="23" t="str">
        <f t="shared" si="22"/>
        <v/>
      </c>
      <c r="B455" t="str">
        <f t="shared" si="23"/>
        <v/>
      </c>
      <c r="C455" s="23" t="str">
        <f t="shared" si="24"/>
        <v/>
      </c>
      <c r="E455" s="24" t="str">
        <f>IF(NOT(ISBLANK(G6copy!B455)),G6copy!B455,"")</f>
        <v/>
      </c>
      <c r="F455" s="24" t="str">
        <f>IF(E455&lt;&gt;"",G6copy!A455,"")</f>
        <v/>
      </c>
      <c r="G455" s="24" t="str">
        <f>IF(E455&lt;&gt;"",G6copy!F455,"")</f>
        <v/>
      </c>
    </row>
    <row r="456" spans="1:7" ht="15.75" customHeight="1">
      <c r="A456" s="23" t="str">
        <f t="shared" si="22"/>
        <v/>
      </c>
      <c r="B456" t="str">
        <f t="shared" si="23"/>
        <v/>
      </c>
      <c r="C456" s="23" t="str">
        <f t="shared" si="24"/>
        <v/>
      </c>
      <c r="E456" s="24" t="str">
        <f>IF(NOT(ISBLANK(G6copy!B456)),G6copy!B456,"")</f>
        <v/>
      </c>
      <c r="F456" s="24" t="str">
        <f>IF(E456&lt;&gt;"",G6copy!A456,"")</f>
        <v/>
      </c>
      <c r="G456" s="24" t="str">
        <f>IF(E456&lt;&gt;"",G6copy!F456,"")</f>
        <v/>
      </c>
    </row>
    <row r="457" spans="1:7" ht="15.75" customHeight="1">
      <c r="A457" s="23" t="str">
        <f t="shared" si="22"/>
        <v/>
      </c>
      <c r="B457" t="str">
        <f t="shared" si="23"/>
        <v/>
      </c>
      <c r="C457" s="23" t="str">
        <f t="shared" si="24"/>
        <v/>
      </c>
      <c r="E457" s="24" t="str">
        <f>IF(NOT(ISBLANK(G6copy!B457)),G6copy!B457,"")</f>
        <v/>
      </c>
      <c r="F457" s="24" t="str">
        <f>IF(E457&lt;&gt;"",G6copy!A457,"")</f>
        <v/>
      </c>
      <c r="G457" s="24" t="str">
        <f>IF(E457&lt;&gt;"",G6copy!F457,"")</f>
        <v/>
      </c>
    </row>
    <row r="458" spans="1:7" ht="15.75" customHeight="1">
      <c r="A458" s="23" t="str">
        <f t="shared" si="22"/>
        <v/>
      </c>
      <c r="B458" t="str">
        <f t="shared" si="23"/>
        <v/>
      </c>
      <c r="C458" s="23" t="str">
        <f t="shared" si="24"/>
        <v/>
      </c>
      <c r="E458" s="24" t="str">
        <f>IF(NOT(ISBLANK(G6copy!B458)),G6copy!B458,"")</f>
        <v/>
      </c>
      <c r="F458" s="24" t="str">
        <f>IF(E458&lt;&gt;"",G6copy!A458,"")</f>
        <v/>
      </c>
      <c r="G458" s="24" t="str">
        <f>IF(E458&lt;&gt;"",G6copy!F458,"")</f>
        <v/>
      </c>
    </row>
    <row r="459" spans="1:7" ht="15.75" customHeight="1">
      <c r="A459" s="23" t="str">
        <f t="shared" si="22"/>
        <v/>
      </c>
      <c r="B459" t="str">
        <f t="shared" si="23"/>
        <v/>
      </c>
      <c r="C459" s="23" t="str">
        <f t="shared" si="24"/>
        <v/>
      </c>
      <c r="E459" s="24" t="str">
        <f>IF(NOT(ISBLANK(G6copy!B459)),G6copy!B459,"")</f>
        <v/>
      </c>
      <c r="F459" s="24" t="str">
        <f>IF(E459&lt;&gt;"",G6copy!A459,"")</f>
        <v/>
      </c>
      <c r="G459" s="24" t="str">
        <f>IF(E459&lt;&gt;"",G6copy!F459,"")</f>
        <v/>
      </c>
    </row>
    <row r="460" spans="1:7" ht="15.75" customHeight="1">
      <c r="A460" s="23" t="str">
        <f t="shared" si="22"/>
        <v/>
      </c>
      <c r="B460" t="str">
        <f t="shared" si="23"/>
        <v/>
      </c>
      <c r="C460" s="23" t="str">
        <f t="shared" si="24"/>
        <v/>
      </c>
      <c r="E460" s="24" t="str">
        <f>IF(NOT(ISBLANK(G6copy!B460)),G6copy!B460,"")</f>
        <v/>
      </c>
      <c r="F460" s="24" t="str">
        <f>IF(E460&lt;&gt;"",G6copy!A460,"")</f>
        <v/>
      </c>
      <c r="G460" s="24" t="str">
        <f>IF(E460&lt;&gt;"",G6copy!F460,"")</f>
        <v/>
      </c>
    </row>
    <row r="461" spans="1:7" ht="15.75" customHeight="1">
      <c r="A461" s="23" t="str">
        <f t="shared" si="22"/>
        <v/>
      </c>
      <c r="B461" t="str">
        <f t="shared" si="23"/>
        <v/>
      </c>
      <c r="C461" s="23" t="str">
        <f t="shared" si="24"/>
        <v/>
      </c>
      <c r="E461" s="24" t="str">
        <f>IF(NOT(ISBLANK(G6copy!B461)),G6copy!B461,"")</f>
        <v/>
      </c>
      <c r="F461" s="24" t="str">
        <f>IF(E461&lt;&gt;"",G6copy!A461,"")</f>
        <v/>
      </c>
      <c r="G461" s="24" t="str">
        <f>IF(E461&lt;&gt;"",G6copy!F461,"")</f>
        <v/>
      </c>
    </row>
    <row r="462" spans="1:7" ht="15.75" customHeight="1">
      <c r="A462" s="23" t="str">
        <f t="shared" si="22"/>
        <v/>
      </c>
      <c r="B462" t="str">
        <f t="shared" si="23"/>
        <v/>
      </c>
      <c r="C462" s="23" t="str">
        <f t="shared" si="24"/>
        <v/>
      </c>
      <c r="E462" s="24" t="str">
        <f>IF(NOT(ISBLANK(G6copy!B462)),G6copy!B462,"")</f>
        <v/>
      </c>
      <c r="F462" s="24" t="str">
        <f>IF(E462&lt;&gt;"",G6copy!A462,"")</f>
        <v/>
      </c>
      <c r="G462" s="24" t="str">
        <f>IF(E462&lt;&gt;"",G6copy!F462,"")</f>
        <v/>
      </c>
    </row>
    <row r="463" spans="1:7" ht="15.75" customHeight="1">
      <c r="A463" s="23" t="str">
        <f t="shared" si="22"/>
        <v/>
      </c>
      <c r="B463" t="str">
        <f t="shared" si="23"/>
        <v/>
      </c>
      <c r="C463" s="23" t="str">
        <f t="shared" si="24"/>
        <v/>
      </c>
      <c r="E463" s="24" t="str">
        <f>IF(NOT(ISBLANK(G6copy!B463)),G6copy!B463,"")</f>
        <v/>
      </c>
      <c r="F463" s="24" t="str">
        <f>IF(E463&lt;&gt;"",G6copy!A463,"")</f>
        <v/>
      </c>
      <c r="G463" s="24" t="str">
        <f>IF(E463&lt;&gt;"",G6copy!F463,"")</f>
        <v/>
      </c>
    </row>
    <row r="464" spans="1:7" ht="15.75" customHeight="1">
      <c r="A464" s="23" t="str">
        <f t="shared" si="22"/>
        <v/>
      </c>
      <c r="B464" t="str">
        <f t="shared" si="23"/>
        <v/>
      </c>
      <c r="C464" s="23" t="str">
        <f t="shared" si="24"/>
        <v/>
      </c>
      <c r="E464" s="24" t="str">
        <f>IF(NOT(ISBLANK(G6copy!B464)),G6copy!B464,"")</f>
        <v/>
      </c>
      <c r="F464" s="24" t="str">
        <f>IF(E464&lt;&gt;"",G6copy!A464,"")</f>
        <v/>
      </c>
      <c r="G464" s="24" t="str">
        <f>IF(E464&lt;&gt;"",G6copy!F464,"")</f>
        <v/>
      </c>
    </row>
    <row r="465" spans="1:7" ht="15.75" customHeight="1">
      <c r="A465" s="23" t="str">
        <f t="shared" si="22"/>
        <v/>
      </c>
      <c r="B465" t="str">
        <f t="shared" si="23"/>
        <v/>
      </c>
      <c r="C465" s="23" t="str">
        <f t="shared" si="24"/>
        <v/>
      </c>
      <c r="E465" s="24" t="str">
        <f>IF(NOT(ISBLANK(G6copy!B465)),G6copy!B465,"")</f>
        <v/>
      </c>
      <c r="F465" s="24" t="str">
        <f>IF(E465&lt;&gt;"",G6copy!A465,"")</f>
        <v/>
      </c>
      <c r="G465" s="24" t="str">
        <f>IF(E465&lt;&gt;"",G6copy!F465,"")</f>
        <v/>
      </c>
    </row>
    <row r="466" spans="1:7" ht="15.75" customHeight="1">
      <c r="A466" s="23" t="str">
        <f t="shared" si="22"/>
        <v/>
      </c>
      <c r="B466" t="str">
        <f t="shared" si="23"/>
        <v/>
      </c>
      <c r="C466" s="23" t="str">
        <f t="shared" si="24"/>
        <v/>
      </c>
      <c r="E466" s="24" t="str">
        <f>IF(NOT(ISBLANK(G6copy!B466)),G6copy!B466,"")</f>
        <v/>
      </c>
      <c r="F466" s="24" t="str">
        <f>IF(E466&lt;&gt;"",G6copy!A466,"")</f>
        <v/>
      </c>
      <c r="G466" s="24" t="str">
        <f>IF(E466&lt;&gt;"",G6copy!F466,"")</f>
        <v/>
      </c>
    </row>
    <row r="467" spans="1:7" ht="15.75" customHeight="1">
      <c r="A467" s="23" t="str">
        <f t="shared" si="22"/>
        <v/>
      </c>
      <c r="B467" t="str">
        <f t="shared" si="23"/>
        <v/>
      </c>
      <c r="C467" s="23" t="str">
        <f t="shared" si="24"/>
        <v/>
      </c>
      <c r="E467" s="24" t="str">
        <f>IF(NOT(ISBLANK(G6copy!B467)),G6copy!B467,"")</f>
        <v/>
      </c>
      <c r="F467" s="24" t="str">
        <f>IF(E467&lt;&gt;"",G6copy!A467,"")</f>
        <v/>
      </c>
      <c r="G467" s="24" t="str">
        <f>IF(E467&lt;&gt;"",G6copy!F467,"")</f>
        <v/>
      </c>
    </row>
    <row r="468" spans="1:7" ht="15.75" customHeight="1">
      <c r="A468" s="23" t="str">
        <f t="shared" si="22"/>
        <v/>
      </c>
      <c r="B468" t="str">
        <f t="shared" si="23"/>
        <v/>
      </c>
      <c r="C468" s="23" t="str">
        <f t="shared" si="24"/>
        <v/>
      </c>
      <c r="E468" s="24" t="str">
        <f>IF(NOT(ISBLANK(G6copy!B468)),G6copy!B468,"")</f>
        <v/>
      </c>
      <c r="F468" s="24" t="str">
        <f>IF(E468&lt;&gt;"",G6copy!A468,"")</f>
        <v/>
      </c>
      <c r="G468" s="24" t="str">
        <f>IF(E468&lt;&gt;"",G6copy!F468,"")</f>
        <v/>
      </c>
    </row>
    <row r="469" spans="1:7" ht="15.75" customHeight="1">
      <c r="A469" s="23" t="str">
        <f t="shared" si="22"/>
        <v/>
      </c>
      <c r="B469" t="str">
        <f t="shared" si="23"/>
        <v/>
      </c>
      <c r="C469" s="23" t="str">
        <f t="shared" si="24"/>
        <v/>
      </c>
      <c r="E469" s="24" t="str">
        <f>IF(NOT(ISBLANK(G6copy!B469)),G6copy!B469,"")</f>
        <v/>
      </c>
      <c r="F469" s="24" t="str">
        <f>IF(E469&lt;&gt;"",G6copy!A469,"")</f>
        <v/>
      </c>
      <c r="G469" s="24" t="str">
        <f>IF(E469&lt;&gt;"",G6copy!F469,"")</f>
        <v/>
      </c>
    </row>
    <row r="470" spans="1:7" ht="15.75" customHeight="1">
      <c r="A470" s="23" t="str">
        <f t="shared" si="22"/>
        <v/>
      </c>
      <c r="B470" t="str">
        <f t="shared" si="23"/>
        <v/>
      </c>
      <c r="C470" s="23" t="str">
        <f t="shared" si="24"/>
        <v/>
      </c>
      <c r="E470" s="24" t="str">
        <f>IF(NOT(ISBLANK(G6copy!B470)),G6copy!B470,"")</f>
        <v/>
      </c>
      <c r="F470" s="24" t="str">
        <f>IF(E470&lt;&gt;"",G6copy!A470,"")</f>
        <v/>
      </c>
      <c r="G470" s="24" t="str">
        <f>IF(E470&lt;&gt;"",G6copy!F470,"")</f>
        <v/>
      </c>
    </row>
    <row r="471" spans="1:7" ht="15.75" customHeight="1">
      <c r="A471" s="23" t="str">
        <f t="shared" si="22"/>
        <v/>
      </c>
      <c r="B471" t="str">
        <f t="shared" si="23"/>
        <v/>
      </c>
      <c r="C471" s="23" t="str">
        <f t="shared" si="24"/>
        <v/>
      </c>
      <c r="E471" s="24" t="str">
        <f>IF(NOT(ISBLANK(G6copy!B471)),G6copy!B471,"")</f>
        <v/>
      </c>
      <c r="F471" s="24" t="str">
        <f>IF(E471&lt;&gt;"",G6copy!A471,"")</f>
        <v/>
      </c>
      <c r="G471" s="24" t="str">
        <f>IF(E471&lt;&gt;"",G6copy!F471,"")</f>
        <v/>
      </c>
    </row>
    <row r="472" spans="1:7" ht="15.75" customHeight="1">
      <c r="A472" s="23" t="str">
        <f t="shared" si="22"/>
        <v/>
      </c>
      <c r="B472" t="str">
        <f t="shared" si="23"/>
        <v/>
      </c>
      <c r="C472" s="23" t="str">
        <f t="shared" si="24"/>
        <v/>
      </c>
      <c r="E472" s="24" t="str">
        <f>IF(NOT(ISBLANK(G6copy!B472)),G6copy!B472,"")</f>
        <v/>
      </c>
      <c r="F472" s="24" t="str">
        <f>IF(E472&lt;&gt;"",G6copy!A472,"")</f>
        <v/>
      </c>
      <c r="G472" s="24" t="str">
        <f>IF(E472&lt;&gt;"",G6copy!F472,"")</f>
        <v/>
      </c>
    </row>
    <row r="473" spans="1:7" ht="15.75" customHeight="1">
      <c r="A473" s="23" t="str">
        <f t="shared" si="22"/>
        <v/>
      </c>
      <c r="B473" t="str">
        <f t="shared" si="23"/>
        <v/>
      </c>
      <c r="C473" s="23" t="str">
        <f t="shared" si="24"/>
        <v/>
      </c>
      <c r="E473" s="24" t="str">
        <f>IF(NOT(ISBLANK(G6copy!B473)),G6copy!B473,"")</f>
        <v/>
      </c>
      <c r="F473" s="24" t="str">
        <f>IF(E473&lt;&gt;"",G6copy!A473,"")</f>
        <v/>
      </c>
      <c r="G473" s="24" t="str">
        <f>IF(E473&lt;&gt;"",G6copy!F473,"")</f>
        <v/>
      </c>
    </row>
    <row r="474" spans="1:7" ht="15.75" customHeight="1">
      <c r="A474" s="23" t="str">
        <f t="shared" si="22"/>
        <v/>
      </c>
      <c r="B474" t="str">
        <f t="shared" si="23"/>
        <v/>
      </c>
      <c r="C474" s="23" t="str">
        <f t="shared" si="24"/>
        <v/>
      </c>
      <c r="E474" s="24" t="str">
        <f>IF(NOT(ISBLANK(G6copy!B474)),G6copy!B474,"")</f>
        <v/>
      </c>
      <c r="F474" s="24" t="str">
        <f>IF(E474&lt;&gt;"",G6copy!A474,"")</f>
        <v/>
      </c>
      <c r="G474" s="24" t="str">
        <f>IF(E474&lt;&gt;"",G6copy!F474,"")</f>
        <v/>
      </c>
    </row>
    <row r="475" spans="1:7" ht="15.75" customHeight="1">
      <c r="A475" s="23" t="str">
        <f t="shared" si="22"/>
        <v/>
      </c>
      <c r="B475" t="str">
        <f t="shared" si="23"/>
        <v/>
      </c>
      <c r="C475" s="23" t="str">
        <f t="shared" si="24"/>
        <v/>
      </c>
      <c r="E475" s="24" t="str">
        <f>IF(NOT(ISBLANK(G6copy!B475)),G6copy!B475,"")</f>
        <v/>
      </c>
      <c r="F475" s="24" t="str">
        <f>IF(E475&lt;&gt;"",G6copy!A475,"")</f>
        <v/>
      </c>
      <c r="G475" s="24" t="str">
        <f>IF(E475&lt;&gt;"",G6copy!F475,"")</f>
        <v/>
      </c>
    </row>
    <row r="476" spans="1:7" ht="15.75" customHeight="1">
      <c r="A476" s="23" t="str">
        <f t="shared" si="22"/>
        <v/>
      </c>
      <c r="B476" t="str">
        <f t="shared" si="23"/>
        <v/>
      </c>
      <c r="C476" s="23" t="str">
        <f t="shared" si="24"/>
        <v/>
      </c>
      <c r="E476" s="24" t="str">
        <f>IF(NOT(ISBLANK(G6copy!B476)),G6copy!B476,"")</f>
        <v/>
      </c>
      <c r="F476" s="24" t="str">
        <f>IF(E476&lt;&gt;"",G6copy!A476,"")</f>
        <v/>
      </c>
      <c r="G476" s="24" t="str">
        <f>IF(E476&lt;&gt;"",G6copy!F476,"")</f>
        <v/>
      </c>
    </row>
    <row r="477" spans="1:7" ht="15.75" customHeight="1">
      <c r="A477" s="23" t="str">
        <f t="shared" si="22"/>
        <v/>
      </c>
      <c r="B477" t="str">
        <f t="shared" si="23"/>
        <v/>
      </c>
      <c r="C477" s="23" t="str">
        <f t="shared" si="24"/>
        <v/>
      </c>
      <c r="E477" s="24" t="str">
        <f>IF(NOT(ISBLANK(G6copy!B477)),G6copy!B477,"")</f>
        <v/>
      </c>
      <c r="F477" s="24" t="str">
        <f>IF(E477&lt;&gt;"",G6copy!A477,"")</f>
        <v/>
      </c>
      <c r="G477" s="24" t="str">
        <f>IF(E477&lt;&gt;"",G6copy!F477,"")</f>
        <v/>
      </c>
    </row>
    <row r="478" spans="1:7" ht="15.75" customHeight="1">
      <c r="A478" s="23" t="str">
        <f t="shared" si="22"/>
        <v/>
      </c>
      <c r="B478" t="str">
        <f t="shared" si="23"/>
        <v/>
      </c>
      <c r="C478" s="23" t="str">
        <f t="shared" si="24"/>
        <v/>
      </c>
      <c r="E478" s="24" t="str">
        <f>IF(NOT(ISBLANK(G6copy!B478)),G6copy!B478,"")</f>
        <v/>
      </c>
      <c r="F478" s="24" t="str">
        <f>IF(E478&lt;&gt;"",G6copy!A478,"")</f>
        <v/>
      </c>
      <c r="G478" s="24" t="str">
        <f>IF(E478&lt;&gt;"",G6copy!F478,"")</f>
        <v/>
      </c>
    </row>
    <row r="479" spans="1:7" ht="15.75" customHeight="1">
      <c r="A479" s="23" t="str">
        <f t="shared" si="22"/>
        <v/>
      </c>
      <c r="B479" t="str">
        <f t="shared" si="23"/>
        <v/>
      </c>
      <c r="C479" s="23" t="str">
        <f t="shared" si="24"/>
        <v/>
      </c>
      <c r="E479" s="24" t="str">
        <f>IF(NOT(ISBLANK(G6copy!B479)),G6copy!B479,"")</f>
        <v/>
      </c>
      <c r="F479" s="24" t="str">
        <f>IF(E479&lt;&gt;"",G6copy!A479,"")</f>
        <v/>
      </c>
      <c r="G479" s="24" t="str">
        <f>IF(E479&lt;&gt;"",G6copy!F479,"")</f>
        <v/>
      </c>
    </row>
    <row r="480" spans="1:7" ht="15.75" customHeight="1">
      <c r="A480" s="23" t="str">
        <f t="shared" si="22"/>
        <v/>
      </c>
      <c r="B480" t="str">
        <f t="shared" si="23"/>
        <v/>
      </c>
      <c r="C480" s="23" t="str">
        <f t="shared" si="24"/>
        <v/>
      </c>
      <c r="E480" s="24" t="str">
        <f>IF(NOT(ISBLANK(G6copy!B480)),G6copy!B480,"")</f>
        <v/>
      </c>
      <c r="F480" s="24" t="str">
        <f>IF(E480&lt;&gt;"",G6copy!A480,"")</f>
        <v/>
      </c>
      <c r="G480" s="24" t="str">
        <f>IF(E480&lt;&gt;"",G6copy!F480,"")</f>
        <v/>
      </c>
    </row>
    <row r="481" spans="1:7" ht="15.75" customHeight="1">
      <c r="A481" s="23" t="str">
        <f t="shared" si="22"/>
        <v/>
      </c>
      <c r="B481" t="str">
        <f t="shared" si="23"/>
        <v/>
      </c>
      <c r="C481" s="23" t="str">
        <f t="shared" si="24"/>
        <v/>
      </c>
      <c r="E481" s="24" t="str">
        <f>IF(NOT(ISBLANK(G6copy!B481)),G6copy!B481,"")</f>
        <v/>
      </c>
      <c r="F481" s="24" t="str">
        <f>IF(E481&lt;&gt;"",G6copy!A481,"")</f>
        <v/>
      </c>
      <c r="G481" s="24" t="str">
        <f>IF(E481&lt;&gt;"",G6copy!F481,"")</f>
        <v/>
      </c>
    </row>
    <row r="482" spans="1:7" ht="15.75" customHeight="1">
      <c r="A482" s="23" t="str">
        <f t="shared" si="22"/>
        <v/>
      </c>
      <c r="B482" t="str">
        <f t="shared" si="23"/>
        <v/>
      </c>
      <c r="C482" s="23" t="str">
        <f t="shared" si="24"/>
        <v/>
      </c>
      <c r="E482" s="24" t="str">
        <f>IF(NOT(ISBLANK(G6copy!B482)),G6copy!B482,"")</f>
        <v/>
      </c>
      <c r="F482" s="24" t="str">
        <f>IF(E482&lt;&gt;"",G6copy!A482,"")</f>
        <v/>
      </c>
      <c r="G482" s="24" t="str">
        <f>IF(E482&lt;&gt;"",G6copy!F482,"")</f>
        <v/>
      </c>
    </row>
    <row r="483" spans="1:7" ht="15.75" customHeight="1">
      <c r="A483" s="23" t="str">
        <f t="shared" si="22"/>
        <v/>
      </c>
      <c r="B483" t="str">
        <f t="shared" si="23"/>
        <v/>
      </c>
      <c r="C483" s="23" t="str">
        <f t="shared" si="24"/>
        <v/>
      </c>
      <c r="E483" s="24" t="str">
        <f>IF(NOT(ISBLANK(G6copy!B483)),G6copy!B483,"")</f>
        <v/>
      </c>
      <c r="F483" s="24" t="str">
        <f>IF(E483&lt;&gt;"",G6copy!A483,"")</f>
        <v/>
      </c>
      <c r="G483" s="24" t="str">
        <f>IF(E483&lt;&gt;"",G6copy!F483,"")</f>
        <v/>
      </c>
    </row>
    <row r="484" spans="1:7" ht="15.75" customHeight="1">
      <c r="A484" s="23" t="str">
        <f t="shared" si="22"/>
        <v/>
      </c>
      <c r="B484" t="str">
        <f t="shared" si="23"/>
        <v/>
      </c>
      <c r="C484" s="23" t="str">
        <f t="shared" si="24"/>
        <v/>
      </c>
      <c r="E484" s="24" t="str">
        <f>IF(NOT(ISBLANK(G6copy!B484)),G6copy!B484,"")</f>
        <v/>
      </c>
      <c r="F484" s="24" t="str">
        <f>IF(E484&lt;&gt;"",G6copy!A484,"")</f>
        <v/>
      </c>
      <c r="G484" s="24" t="str">
        <f>IF(E484&lt;&gt;"",G6copy!F484,"")</f>
        <v/>
      </c>
    </row>
    <row r="485" spans="1:7" ht="15.75" customHeight="1">
      <c r="A485" s="23" t="str">
        <f t="shared" si="22"/>
        <v/>
      </c>
      <c r="B485" t="str">
        <f t="shared" si="23"/>
        <v/>
      </c>
      <c r="C485" s="23" t="str">
        <f t="shared" si="24"/>
        <v/>
      </c>
      <c r="E485" s="24" t="str">
        <f>IF(NOT(ISBLANK(G6copy!B485)),G6copy!B485,"")</f>
        <v/>
      </c>
      <c r="F485" s="24" t="str">
        <f>IF(E485&lt;&gt;"",G6copy!A485,"")</f>
        <v/>
      </c>
      <c r="G485" s="24" t="str">
        <f>IF(E485&lt;&gt;"",G6copy!F485,"")</f>
        <v/>
      </c>
    </row>
    <row r="486" spans="1:7" ht="15.75" customHeight="1">
      <c r="A486" s="23" t="str">
        <f t="shared" si="22"/>
        <v/>
      </c>
      <c r="B486" t="str">
        <f t="shared" si="23"/>
        <v/>
      </c>
      <c r="C486" s="23" t="str">
        <f t="shared" si="24"/>
        <v/>
      </c>
      <c r="E486" s="24" t="str">
        <f>IF(NOT(ISBLANK(G6copy!B486)),G6copy!B486,"")</f>
        <v/>
      </c>
      <c r="F486" s="24" t="str">
        <f>IF(E486&lt;&gt;"",G6copy!A486,"")</f>
        <v/>
      </c>
      <c r="G486" s="24" t="str">
        <f>IF(E486&lt;&gt;"",G6copy!F486,"")</f>
        <v/>
      </c>
    </row>
    <row r="487" spans="1:7" ht="15.75" customHeight="1">
      <c r="A487" s="23" t="str">
        <f t="shared" si="22"/>
        <v/>
      </c>
      <c r="B487" t="str">
        <f t="shared" si="23"/>
        <v/>
      </c>
      <c r="C487" s="23" t="str">
        <f t="shared" si="24"/>
        <v/>
      </c>
      <c r="E487" s="24" t="str">
        <f>IF(NOT(ISBLANK(G6copy!B487)),G6copy!B487,"")</f>
        <v/>
      </c>
      <c r="F487" s="24" t="str">
        <f>IF(E487&lt;&gt;"",G6copy!A487,"")</f>
        <v/>
      </c>
      <c r="G487" s="24" t="str">
        <f>IF(E487&lt;&gt;"",G6copy!F487,"")</f>
        <v/>
      </c>
    </row>
    <row r="488" spans="1:7" ht="15.75" customHeight="1">
      <c r="A488" s="23" t="str">
        <f t="shared" si="22"/>
        <v/>
      </c>
      <c r="B488" t="str">
        <f t="shared" si="23"/>
        <v/>
      </c>
      <c r="C488" s="23" t="str">
        <f t="shared" si="24"/>
        <v/>
      </c>
      <c r="E488" s="24" t="str">
        <f>IF(NOT(ISBLANK(G6copy!B488)),G6copy!B488,"")</f>
        <v/>
      </c>
      <c r="F488" s="24" t="str">
        <f>IF(E488&lt;&gt;"",G6copy!A488,"")</f>
        <v/>
      </c>
      <c r="G488" s="24" t="str">
        <f>IF(E488&lt;&gt;"",G6copy!F488,"")</f>
        <v/>
      </c>
    </row>
    <row r="489" spans="1:7" ht="15.75" customHeight="1">
      <c r="A489" s="23" t="str">
        <f t="shared" si="22"/>
        <v/>
      </c>
      <c r="B489" t="str">
        <f t="shared" si="23"/>
        <v/>
      </c>
      <c r="C489" s="23" t="str">
        <f t="shared" si="24"/>
        <v/>
      </c>
      <c r="E489" s="24" t="str">
        <f>IF(NOT(ISBLANK(G6copy!B489)),G6copy!B489,"")</f>
        <v/>
      </c>
      <c r="F489" s="24" t="str">
        <f>IF(E489&lt;&gt;"",G6copy!A489,"")</f>
        <v/>
      </c>
      <c r="G489" s="24" t="str">
        <f>IF(E489&lt;&gt;"",G6copy!F489,"")</f>
        <v/>
      </c>
    </row>
    <row r="490" spans="1:7" ht="15.75" customHeight="1">
      <c r="A490" s="23" t="str">
        <f t="shared" si="22"/>
        <v/>
      </c>
      <c r="B490" t="str">
        <f t="shared" si="23"/>
        <v/>
      </c>
      <c r="C490" s="23" t="str">
        <f t="shared" si="24"/>
        <v/>
      </c>
      <c r="E490" s="24" t="str">
        <f>IF(NOT(ISBLANK(G6copy!B490)),G6copy!B490,"")</f>
        <v/>
      </c>
      <c r="F490" s="24" t="str">
        <f>IF(E490&lt;&gt;"",G6copy!A490,"")</f>
        <v/>
      </c>
      <c r="G490" s="24" t="str">
        <f>IF(E490&lt;&gt;"",G6copy!F490,"")</f>
        <v/>
      </c>
    </row>
    <row r="491" spans="1:7" ht="15.75" customHeight="1">
      <c r="A491" s="23" t="str">
        <f t="shared" si="22"/>
        <v/>
      </c>
      <c r="B491" t="str">
        <f t="shared" si="23"/>
        <v/>
      </c>
      <c r="C491" s="23" t="str">
        <f t="shared" si="24"/>
        <v/>
      </c>
      <c r="E491" s="24" t="str">
        <f>IF(NOT(ISBLANK(G6copy!B491)),G6copy!B491,"")</f>
        <v/>
      </c>
      <c r="F491" s="24" t="str">
        <f>IF(E491&lt;&gt;"",G6copy!A491,"")</f>
        <v/>
      </c>
      <c r="G491" s="24" t="str">
        <f>IF(E491&lt;&gt;"",G6copy!F491,"")</f>
        <v/>
      </c>
    </row>
    <row r="492" spans="1:7" ht="15.75" customHeight="1">
      <c r="A492" s="23" t="str">
        <f t="shared" si="22"/>
        <v/>
      </c>
      <c r="B492" t="str">
        <f t="shared" si="23"/>
        <v/>
      </c>
      <c r="C492" s="23" t="str">
        <f t="shared" si="24"/>
        <v/>
      </c>
      <c r="E492" s="24" t="str">
        <f>IF(NOT(ISBLANK(G6copy!B492)),G6copy!B492,"")</f>
        <v/>
      </c>
      <c r="F492" s="24" t="str">
        <f>IF(E492&lt;&gt;"",G6copy!A492,"")</f>
        <v/>
      </c>
      <c r="G492" s="24" t="str">
        <f>IF(E492&lt;&gt;"",G6copy!F492,"")</f>
        <v/>
      </c>
    </row>
    <row r="493" spans="1:7" ht="15.75" customHeight="1">
      <c r="A493" s="23" t="str">
        <f t="shared" si="22"/>
        <v/>
      </c>
      <c r="B493" t="str">
        <f t="shared" si="23"/>
        <v/>
      </c>
      <c r="C493" s="23" t="str">
        <f t="shared" si="24"/>
        <v/>
      </c>
      <c r="E493" s="24" t="str">
        <f>IF(NOT(ISBLANK(G6copy!B493)),G6copy!B493,"")</f>
        <v/>
      </c>
      <c r="F493" s="24" t="str">
        <f>IF(E493&lt;&gt;"",G6copy!A493,"")</f>
        <v/>
      </c>
      <c r="G493" s="24" t="str">
        <f>IF(E493&lt;&gt;"",G6copy!F493,"")</f>
        <v/>
      </c>
    </row>
    <row r="494" spans="1:7" ht="15.75" customHeight="1">
      <c r="A494" s="23" t="str">
        <f t="shared" si="22"/>
        <v/>
      </c>
      <c r="B494" t="str">
        <f t="shared" si="23"/>
        <v/>
      </c>
      <c r="C494" s="23" t="str">
        <f t="shared" si="24"/>
        <v/>
      </c>
      <c r="E494" s="24" t="str">
        <f>IF(NOT(ISBLANK(G6copy!B494)),G6copy!B494,"")</f>
        <v/>
      </c>
      <c r="F494" s="24" t="str">
        <f>IF(E494&lt;&gt;"",G6copy!A494,"")</f>
        <v/>
      </c>
      <c r="G494" s="24" t="str">
        <f>IF(E494&lt;&gt;"",G6copy!F494,"")</f>
        <v/>
      </c>
    </row>
    <row r="495" spans="1:7" ht="15.75" customHeight="1">
      <c r="A495" s="23" t="str">
        <f t="shared" si="22"/>
        <v/>
      </c>
      <c r="B495" t="str">
        <f t="shared" si="23"/>
        <v/>
      </c>
      <c r="C495" s="23" t="str">
        <f t="shared" si="24"/>
        <v/>
      </c>
      <c r="E495" s="24" t="str">
        <f>IF(NOT(ISBLANK(G6copy!B495)),G6copy!B495,"")</f>
        <v/>
      </c>
      <c r="F495" s="24" t="str">
        <f>IF(E495&lt;&gt;"",G6copy!A495,"")</f>
        <v/>
      </c>
      <c r="G495" s="24" t="str">
        <f>IF(E495&lt;&gt;"",G6copy!F495,"")</f>
        <v/>
      </c>
    </row>
    <row r="496" spans="1:7" ht="15.75" customHeight="1">
      <c r="A496" s="23" t="str">
        <f t="shared" si="22"/>
        <v/>
      </c>
      <c r="B496" t="str">
        <f t="shared" si="23"/>
        <v/>
      </c>
      <c r="C496" s="23" t="str">
        <f t="shared" si="24"/>
        <v/>
      </c>
      <c r="E496" s="24" t="str">
        <f>IF(NOT(ISBLANK(G6copy!B496)),G6copy!B496,"")</f>
        <v/>
      </c>
      <c r="F496" s="24" t="str">
        <f>IF(E496&lt;&gt;"",G6copy!A496,"")</f>
        <v/>
      </c>
      <c r="G496" s="24" t="str">
        <f>IF(E496&lt;&gt;"",G6copy!F496,"")</f>
        <v/>
      </c>
    </row>
    <row r="497" spans="1:7" ht="15.75" customHeight="1">
      <c r="A497" s="23" t="str">
        <f t="shared" si="22"/>
        <v/>
      </c>
      <c r="B497" t="str">
        <f t="shared" si="23"/>
        <v/>
      </c>
      <c r="C497" s="23" t="str">
        <f t="shared" si="24"/>
        <v/>
      </c>
      <c r="E497" s="24" t="str">
        <f>IF(NOT(ISBLANK(G6copy!B497)),G6copy!B497,"")</f>
        <v/>
      </c>
      <c r="F497" s="24" t="str">
        <f>IF(E497&lt;&gt;"",G6copy!A497,"")</f>
        <v/>
      </c>
      <c r="G497" s="24" t="str">
        <f>IF(E497&lt;&gt;"",G6copy!F497,"")</f>
        <v/>
      </c>
    </row>
    <row r="498" spans="1:7" ht="15.75" customHeight="1">
      <c r="A498" s="23" t="str">
        <f t="shared" si="22"/>
        <v/>
      </c>
      <c r="B498" t="str">
        <f t="shared" si="23"/>
        <v/>
      </c>
      <c r="C498" s="23" t="str">
        <f t="shared" si="24"/>
        <v/>
      </c>
      <c r="E498" s="24" t="str">
        <f>IF(NOT(ISBLANK(G6copy!B498)),G6copy!B498,"")</f>
        <v/>
      </c>
      <c r="F498" s="24" t="str">
        <f>IF(E498&lt;&gt;"",G6copy!A498,"")</f>
        <v/>
      </c>
      <c r="G498" s="24" t="str">
        <f>IF(E498&lt;&gt;"",G6copy!F498,"")</f>
        <v/>
      </c>
    </row>
    <row r="499" spans="1:7" ht="15.75" customHeight="1">
      <c r="A499" s="23" t="str">
        <f t="shared" si="22"/>
        <v/>
      </c>
      <c r="B499" t="str">
        <f t="shared" si="23"/>
        <v/>
      </c>
      <c r="C499" s="23" t="str">
        <f t="shared" si="24"/>
        <v/>
      </c>
      <c r="E499" s="24" t="str">
        <f>IF(NOT(ISBLANK(G6copy!B499)),G6copy!B499,"")</f>
        <v/>
      </c>
      <c r="F499" s="24" t="str">
        <f>IF(E499&lt;&gt;"",G6copy!A499,"")</f>
        <v/>
      </c>
      <c r="G499" s="24" t="str">
        <f>IF(E499&lt;&gt;"",G6copy!F499,"")</f>
        <v/>
      </c>
    </row>
    <row r="500" spans="1:7" ht="15.75" customHeight="1">
      <c r="A500" s="23" t="str">
        <f t="shared" si="22"/>
        <v/>
      </c>
      <c r="B500" t="str">
        <f t="shared" si="23"/>
        <v/>
      </c>
      <c r="C500" s="23" t="str">
        <f t="shared" si="24"/>
        <v/>
      </c>
      <c r="E500" s="24" t="str">
        <f>IF(NOT(ISBLANK(G6copy!B500)),G6copy!B500,"")</f>
        <v/>
      </c>
      <c r="F500" s="24" t="str">
        <f>IF(E500&lt;&gt;"",G6copy!A500,"")</f>
        <v/>
      </c>
      <c r="G500" s="24" t="str">
        <f>IF(E500&lt;&gt;"",G6copy!F500,"")</f>
        <v/>
      </c>
    </row>
    <row r="501" spans="1:7" ht="15.75" customHeight="1"/>
    <row r="502" spans="1:7" ht="15.75" customHeight="1"/>
    <row r="503" spans="1:7" ht="15.75" customHeight="1"/>
    <row r="504" spans="1:7" ht="15.75" customHeight="1"/>
    <row r="505" spans="1:7" ht="15.75" customHeight="1"/>
    <row r="506" spans="1:7" ht="15.75" customHeight="1"/>
    <row r="507" spans="1:7" ht="15.75" customHeight="1"/>
    <row r="508" spans="1:7" ht="15.75" customHeight="1"/>
    <row r="509" spans="1:7" ht="15.75" customHeight="1"/>
    <row r="510" spans="1:7" ht="15.75" customHeight="1"/>
    <row r="511" spans="1:7" ht="15.75" customHeight="1"/>
    <row r="512" spans="1:7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G1000"/>
  <sheetViews>
    <sheetView workbookViewId="0">
      <pane ySplit="1" topLeftCell="A2" activePane="bottomLeft" state="frozen"/>
      <selection pane="bottomLeft" activeCell="A2" sqref="A2"/>
      <selection activeCell="E2" sqref="E2"/>
    </sheetView>
  </sheetViews>
  <sheetFormatPr defaultColWidth="13.5" defaultRowHeight="15" customHeight="1"/>
  <cols>
    <col min="1" max="1" width="10.5" bestFit="1" customWidth="1"/>
    <col min="2" max="2" width="60.125" bestFit="1" customWidth="1"/>
    <col min="3" max="3" width="10.5" bestFit="1" customWidth="1"/>
    <col min="4" max="4" width="8.375" customWidth="1"/>
    <col min="5" max="5" width="10.5" bestFit="1" customWidth="1"/>
    <col min="6" max="6" width="62.875" bestFit="1" customWidth="1"/>
    <col min="7" max="7" width="10.5" bestFit="1" customWidth="1"/>
    <col min="8" max="26" width="8.375" customWidth="1"/>
  </cols>
  <sheetData>
    <row r="1" spans="1:7" ht="15.75" customHeight="1">
      <c r="A1" t="s">
        <v>124</v>
      </c>
      <c r="B1" t="s">
        <v>125</v>
      </c>
      <c r="C1" t="s">
        <v>126</v>
      </c>
      <c r="D1" s="5"/>
      <c r="E1" s="5" t="s">
        <v>127</v>
      </c>
      <c r="F1" s="5" t="s">
        <v>128</v>
      </c>
      <c r="G1" s="5" t="s">
        <v>129</v>
      </c>
    </row>
    <row r="2" spans="1:7" ht="15.75" customHeight="1">
      <c r="A2" s="23">
        <f>IF(E2&lt;&gt;"",DATEVALUE(LEFT(E2,10)),"")</f>
        <v>45904</v>
      </c>
      <c r="B2" t="str">
        <f t="shared" ref="B2" si="0">IF(LEN(F2)&gt;3,RIGHT(F2,LEN(F2)-3),"")</f>
        <v>secties#1</v>
      </c>
      <c r="C2" s="23">
        <f>IF(E2&lt;&gt;"",DATEVALUE(LEFT(G2,10)),"")</f>
        <v>45896</v>
      </c>
      <c r="E2" s="24" t="str">
        <f>IF(NOT(ISBLANK(PEcopy!B2)),PEcopy!B2,"")</f>
        <v>2025-09-04T00:00:00.0000000</v>
      </c>
      <c r="F2" s="24" t="str">
        <f>IF(E2&lt;&gt;"",PEcopy!A2,"")</f>
        <v>PE secties#1</v>
      </c>
      <c r="G2" s="24" t="str">
        <f>IF(E2&lt;&gt;"",PEcopy!F2,"")</f>
        <v>2025-08-27T18:07:12.9746095+00:00</v>
      </c>
    </row>
    <row r="3" spans="1:7" ht="15.75" customHeight="1">
      <c r="A3" s="23">
        <f t="shared" ref="A3:A66" si="1">IF(E3&lt;&gt;"",DATEVALUE(LEFT(E3,10)),"")</f>
        <v>45911</v>
      </c>
      <c r="B3" t="str">
        <f t="shared" ref="B3:B66" si="2">IF(LEN(F3)&gt;3,RIGHT(F3,LEN(F3)-3),"")</f>
        <v>mentoren#1/ Claudia Visser over signaleren HB leerlingen</v>
      </c>
      <c r="C3" s="23">
        <f t="shared" ref="C3:C66" si="3">IF(E3&lt;&gt;"",DATEVALUE(LEFT(G3,10)),"")</f>
        <v>45896</v>
      </c>
      <c r="E3" s="24" t="str">
        <f>IF(NOT(ISBLANK(PEcopy!B3)),PEcopy!B3,"")</f>
        <v>2025-09-11T00:00:00.0000000</v>
      </c>
      <c r="F3" s="24" t="str">
        <f>IF(E3&lt;&gt;"",PEcopy!A3,"")</f>
        <v>PE mentoren#1/ Claudia Visser over signaleren HB leerlingen</v>
      </c>
      <c r="G3" s="24" t="str">
        <f>IF(E3&lt;&gt;"",PEcopy!F3,"")</f>
        <v>2025-08-27T18:07:08.9040926+00:00</v>
      </c>
    </row>
    <row r="4" spans="1:7" ht="15.75" customHeight="1">
      <c r="A4" s="23">
        <f t="shared" si="1"/>
        <v>45918</v>
      </c>
      <c r="B4" t="str">
        <f t="shared" si="2"/>
        <v>commissies#1</v>
      </c>
      <c r="C4" s="23">
        <f t="shared" si="3"/>
        <v>45896</v>
      </c>
      <c r="E4" s="24" t="str">
        <f>IF(NOT(ISBLANK(PEcopy!B4)),PEcopy!B4,"")</f>
        <v>2025-09-18T00:00:00.0000000</v>
      </c>
      <c r="F4" s="24" t="str">
        <f>IF(E4&lt;&gt;"",PEcopy!A4,"")</f>
        <v>PE commissies#1</v>
      </c>
      <c r="G4" s="24" t="str">
        <f>IF(E4&lt;&gt;"",PEcopy!F4,"")</f>
        <v>2025-08-27T18:07:10.165201+00:00</v>
      </c>
    </row>
    <row r="5" spans="1:7" ht="15.75" customHeight="1">
      <c r="A5" s="23">
        <f t="shared" si="1"/>
        <v>45918</v>
      </c>
      <c r="B5" t="str">
        <f t="shared" si="2"/>
        <v>verpleegkundige</v>
      </c>
      <c r="C5" s="23">
        <f t="shared" si="3"/>
        <v>45915</v>
      </c>
      <c r="E5" s="24" t="str">
        <f>IF(NOT(ISBLANK(PEcopy!B5)),PEcopy!B5,"")</f>
        <v>2025-09-18T00:00:00.0000000</v>
      </c>
      <c r="F5" s="24" t="str">
        <f>IF(E5&lt;&gt;"",PEcopy!A5,"")</f>
        <v>PE verpleegkundige</v>
      </c>
      <c r="G5" s="24" t="str">
        <f>IF(E5&lt;&gt;"",PEcopy!F5,"")</f>
        <v>2025-09-15T08:37:32.1635806+00:00</v>
      </c>
    </row>
    <row r="6" spans="1:7" ht="15.75" customHeight="1">
      <c r="A6" s="23">
        <f t="shared" si="1"/>
        <v>45925</v>
      </c>
      <c r="B6" t="str">
        <f t="shared" si="2"/>
        <v>commissies#2/MR#1</v>
      </c>
      <c r="C6" s="23">
        <f t="shared" si="3"/>
        <v>45896</v>
      </c>
      <c r="E6" s="24" t="str">
        <f>IF(NOT(ISBLANK(PEcopy!B6)),PEcopy!B6,"")</f>
        <v>2025-09-25T00:00:00.0000000</v>
      </c>
      <c r="F6" s="24" t="str">
        <f>IF(E6&lt;&gt;"",PEcopy!A6,"")</f>
        <v>PE commissies#2/MR#1</v>
      </c>
      <c r="G6" s="24" t="str">
        <f>IF(E6&lt;&gt;"",PEcopy!F6,"")</f>
        <v>2025-08-27T18:07:09.9175535+00:00</v>
      </c>
    </row>
    <row r="7" spans="1:7" ht="15.75" customHeight="1">
      <c r="A7" s="23">
        <f t="shared" si="1"/>
        <v>45932</v>
      </c>
      <c r="B7" t="str">
        <f t="shared" si="2"/>
        <v>secties#2/afscheid Jeanette</v>
      </c>
      <c r="C7" s="23">
        <f t="shared" si="3"/>
        <v>45896</v>
      </c>
      <c r="E7" s="24" t="str">
        <f>IF(NOT(ISBLANK(PEcopy!B7)),PEcopy!B7,"")</f>
        <v>2025-10-02T00:00:00.0000000</v>
      </c>
      <c r="F7" s="24" t="str">
        <f>IF(E7&lt;&gt;"",PEcopy!A7,"")</f>
        <v>PE secties#2/afscheid Jeanette</v>
      </c>
      <c r="G7" s="24" t="str">
        <f>IF(E7&lt;&gt;"",PEcopy!F7,"")</f>
        <v>2025-08-27T18:07:09.5856286+00:00</v>
      </c>
    </row>
    <row r="8" spans="1:7" ht="15.75" customHeight="1">
      <c r="A8" s="23">
        <f t="shared" si="1"/>
        <v>45939</v>
      </c>
      <c r="B8" t="str">
        <f t="shared" si="2"/>
        <v xml:space="preserve">klasbespreking#1 </v>
      </c>
      <c r="C8" s="23">
        <f t="shared" si="3"/>
        <v>45896</v>
      </c>
      <c r="E8" s="24" t="str">
        <f>IF(NOT(ISBLANK(PEcopy!B8)),PEcopy!B8,"")</f>
        <v>2025-10-09T00:00:00.0000000</v>
      </c>
      <c r="F8" s="24" t="str">
        <f>IF(E8&lt;&gt;"",PEcopy!A8,"")</f>
        <v xml:space="preserve">PE klasbespreking#1 </v>
      </c>
      <c r="G8" s="24" t="str">
        <f>IF(E8&lt;&gt;"",PEcopy!F8,"")</f>
        <v>2025-08-27T18:07:08.1978426+00:00</v>
      </c>
    </row>
    <row r="9" spans="1:7" ht="15.75" customHeight="1">
      <c r="A9" s="23">
        <f t="shared" si="1"/>
        <v>45944</v>
      </c>
      <c r="B9" t="str">
        <f t="shared" si="2"/>
        <v>animus ouderavond</v>
      </c>
      <c r="C9" s="23">
        <f t="shared" si="3"/>
        <v>45915</v>
      </c>
      <c r="E9" s="24" t="str">
        <f>IF(NOT(ISBLANK(PEcopy!B9)),PEcopy!B9,"")</f>
        <v>2025-10-14T00:00:00.0000000</v>
      </c>
      <c r="F9" s="24" t="str">
        <f>IF(E9&lt;&gt;"",PEcopy!A9,"")</f>
        <v>PE animus ouderavond</v>
      </c>
      <c r="G9" s="24" t="str">
        <f>IF(E9&lt;&gt;"",PEcopy!F9,"")</f>
        <v>2025-09-15T08:36:15.1203848+00:00</v>
      </c>
    </row>
    <row r="10" spans="1:7" ht="15.75" customHeight="1">
      <c r="A10" s="23">
        <f t="shared" si="1"/>
        <v>45946</v>
      </c>
      <c r="B10" t="str">
        <f t="shared" si="2"/>
        <v>studiemiddag groerpsdynamiek  lezing Ivo Dokman</v>
      </c>
      <c r="C10" s="23">
        <f t="shared" si="3"/>
        <v>45939</v>
      </c>
      <c r="E10" s="24" t="str">
        <f>IF(NOT(ISBLANK(PEcopy!B10)),PEcopy!B10,"")</f>
        <v>2025-10-16T00:00:00.0000000</v>
      </c>
      <c r="F10" s="24" t="str">
        <f>IF(E10&lt;&gt;"",PEcopy!A10,"")</f>
        <v>PE studiemiddag groerpsdynamiek  lezing Ivo Dokman</v>
      </c>
      <c r="G10" s="24" t="str">
        <f>IF(E10&lt;&gt;"",PEcopy!F10,"")</f>
        <v>2025-10-09T11:31:23.0656726+00:00</v>
      </c>
    </row>
    <row r="11" spans="1:7" ht="15.75" customHeight="1">
      <c r="A11" s="23">
        <f t="shared" si="1"/>
        <v>45960</v>
      </c>
      <c r="B11" t="str">
        <f t="shared" si="2"/>
        <v>Kenniscarroussel</v>
      </c>
      <c r="C11" s="23">
        <f t="shared" si="3"/>
        <v>45896</v>
      </c>
      <c r="E11" s="24" t="str">
        <f>IF(NOT(ISBLANK(PEcopy!B11)),PEcopy!B11,"")</f>
        <v>2025-10-30T00:00:00.0000000</v>
      </c>
      <c r="F11" s="24" t="str">
        <f>IF(E11&lt;&gt;"",PEcopy!A11,"")</f>
        <v>PE Kenniscarroussel</v>
      </c>
      <c r="G11" s="24" t="str">
        <f>IF(E11&lt;&gt;"",PEcopy!F11,"")</f>
        <v>2025-08-27T18:07:07.8564439+00:00</v>
      </c>
    </row>
    <row r="12" spans="1:7" ht="15.75" customHeight="1">
      <c r="A12" s="23">
        <f t="shared" si="1"/>
        <v>45967</v>
      </c>
      <c r="B12" t="str">
        <f t="shared" si="2"/>
        <v>studiemiddag#1</v>
      </c>
      <c r="C12" s="23">
        <f t="shared" si="3"/>
        <v>45896</v>
      </c>
      <c r="E12" s="24" t="str">
        <f>IF(NOT(ISBLANK(PEcopy!B12)),PEcopy!B12,"")</f>
        <v>2025-11-06T00:00:00.0000000</v>
      </c>
      <c r="F12" s="24" t="str">
        <f>IF(E12&lt;&gt;"",PEcopy!A12,"")</f>
        <v>PE studiemiddag#1</v>
      </c>
      <c r="G12" s="24" t="str">
        <f>IF(E12&lt;&gt;"",PEcopy!F12,"")</f>
        <v>2025-08-27T18:07:07.728261+00:00</v>
      </c>
    </row>
    <row r="13" spans="1:7" ht="15.75" customHeight="1">
      <c r="A13" s="23">
        <f t="shared" si="1"/>
        <v>45974</v>
      </c>
      <c r="B13" t="str">
        <f t="shared" si="2"/>
        <v>mentoren#3</v>
      </c>
      <c r="C13" s="23">
        <f t="shared" si="3"/>
        <v>45896</v>
      </c>
      <c r="E13" s="24" t="str">
        <f>IF(NOT(ISBLANK(PEcopy!B13)),PEcopy!B13,"")</f>
        <v>2025-11-13T00:00:00.0000000</v>
      </c>
      <c r="F13" s="24" t="str">
        <f>IF(E13&lt;&gt;"",PEcopy!A13,"")</f>
        <v>PE mentoren#3</v>
      </c>
      <c r="G13" s="24" t="str">
        <f>IF(E13&lt;&gt;"",PEcopy!F13,"")</f>
        <v>2025-08-27T18:07:09.0197868+00:00</v>
      </c>
    </row>
    <row r="14" spans="1:7" ht="15.75" customHeight="1">
      <c r="A14" s="23">
        <f t="shared" si="1"/>
        <v>45978</v>
      </c>
      <c r="B14" t="str">
        <f t="shared" si="2"/>
        <v>30' rooster/leerlingbespreking lj 1/</v>
      </c>
      <c r="C14" s="23">
        <f t="shared" si="3"/>
        <v>45896</v>
      </c>
      <c r="E14" s="24" t="str">
        <f>IF(NOT(ISBLANK(PEcopy!B14)),PEcopy!B14,"")</f>
        <v>2025-11-17T00:00:00.0000000</v>
      </c>
      <c r="F14" s="24" t="str">
        <f>IF(E14&lt;&gt;"",PEcopy!A14,"")</f>
        <v>PE 30' rooster/leerlingbespreking lj 1/</v>
      </c>
      <c r="G14" s="24" t="str">
        <f>IF(E14&lt;&gt;"",PEcopy!F14,"")</f>
        <v>2025-08-27T18:07:08.8278403+00:00</v>
      </c>
    </row>
    <row r="15" spans="1:7" ht="15.75" customHeight="1">
      <c r="A15" s="23">
        <f t="shared" si="1"/>
        <v>45979</v>
      </c>
      <c r="B15" t="str">
        <f t="shared" si="2"/>
        <v>30' rooster/leerlingbespreking lj 2</v>
      </c>
      <c r="C15" s="23">
        <f t="shared" si="3"/>
        <v>45896</v>
      </c>
      <c r="E15" s="24" t="str">
        <f>IF(NOT(ISBLANK(PEcopy!B15)),PEcopy!B15,"")</f>
        <v>2025-11-18T00:00:00.0000000</v>
      </c>
      <c r="F15" s="24" t="str">
        <f>IF(E15&lt;&gt;"",PEcopy!A15,"")</f>
        <v>PE 30' rooster/leerlingbespreking lj 2</v>
      </c>
      <c r="G15" s="24" t="str">
        <f>IF(E15&lt;&gt;"",PEcopy!F15,"")</f>
        <v>2025-08-27T18:07:08.6633566+00:00</v>
      </c>
    </row>
    <row r="16" spans="1:7" ht="15.75" customHeight="1">
      <c r="A16" s="23">
        <f t="shared" si="1"/>
        <v>45980</v>
      </c>
      <c r="B16" t="str">
        <f t="shared" si="2"/>
        <v>30' rooster/leerlingbespreking lj 3</v>
      </c>
      <c r="C16" s="23">
        <f t="shared" si="3"/>
        <v>45896</v>
      </c>
      <c r="E16" s="24" t="str">
        <f>IF(NOT(ISBLANK(PEcopy!B16)),PEcopy!B16,"")</f>
        <v>2025-11-19T00:00:00.0000000</v>
      </c>
      <c r="F16" s="24" t="str">
        <f>IF(E16&lt;&gt;"",PEcopy!A16,"")</f>
        <v>PE 30' rooster/leerlingbespreking lj 3</v>
      </c>
      <c r="G16" s="24" t="str">
        <f>IF(E16&lt;&gt;"",PEcopy!F16,"")</f>
        <v>2025-08-27T18:07:08.4954501+00:00</v>
      </c>
    </row>
    <row r="17" spans="1:7" ht="15.75" customHeight="1">
      <c r="A17" s="23">
        <f t="shared" si="1"/>
        <v>45981</v>
      </c>
      <c r="B17" t="str">
        <f t="shared" si="2"/>
        <v>30" rooster; secties#3</v>
      </c>
      <c r="C17" s="23">
        <f t="shared" si="3"/>
        <v>45959</v>
      </c>
      <c r="E17" s="24" t="str">
        <f>IF(NOT(ISBLANK(PEcopy!B17)),PEcopy!B17,"")</f>
        <v>2025-11-20T00:00:00.0000000</v>
      </c>
      <c r="F17" s="24" t="str">
        <f>IF(E17&lt;&gt;"",PEcopy!A17,"")</f>
        <v>PE 30" rooster; secties#3</v>
      </c>
      <c r="G17" s="24" t="str">
        <f>IF(E17&lt;&gt;"",PEcopy!F17,"")</f>
        <v>2025-10-29T20:54:25.6734503+00:00</v>
      </c>
    </row>
    <row r="18" spans="1:7" ht="15.75" customHeight="1">
      <c r="A18" s="23">
        <f t="shared" si="1"/>
        <v>45982</v>
      </c>
      <c r="B18" t="str">
        <f t="shared" si="2"/>
        <v>30' rooster/leerlingbespreking lj 4</v>
      </c>
      <c r="C18" s="23">
        <f t="shared" si="3"/>
        <v>45896</v>
      </c>
      <c r="E18" s="24" t="str">
        <f>IF(NOT(ISBLANK(PEcopy!B18)),PEcopy!B18,"")</f>
        <v>2025-11-21T00:00:00.0000000</v>
      </c>
      <c r="F18" s="24" t="str">
        <f>IF(E18&lt;&gt;"",PEcopy!A18,"")</f>
        <v>PE 30' rooster/leerlingbespreking lj 4</v>
      </c>
      <c r="G18" s="24" t="str">
        <f>IF(E18&lt;&gt;"",PEcopy!F18,"")</f>
        <v>2025-08-27T18:07:08.0908988+00:00</v>
      </c>
    </row>
    <row r="19" spans="1:7" ht="15.75" customHeight="1">
      <c r="A19" s="23">
        <f t="shared" si="1"/>
        <v>45988</v>
      </c>
      <c r="B19" t="str">
        <f t="shared" si="2"/>
        <v>commissies#3/MR#2</v>
      </c>
      <c r="C19" s="23">
        <f t="shared" si="3"/>
        <v>45896</v>
      </c>
      <c r="E19" s="24" t="str">
        <f>IF(NOT(ISBLANK(PEcopy!B19)),PEcopy!B19,"")</f>
        <v>2025-11-27T00:00:00.0000000</v>
      </c>
      <c r="F19" s="24" t="str">
        <f>IF(E19&lt;&gt;"",PEcopy!A19,"")</f>
        <v>PE commissies#3/MR#2</v>
      </c>
      <c r="G19" s="24" t="str">
        <f>IF(E19&lt;&gt;"",PEcopy!F19,"")</f>
        <v>2025-08-27T18:07:07.8986973+00:00</v>
      </c>
    </row>
    <row r="20" spans="1:7" ht="15.75" customHeight="1">
      <c r="A20" s="23">
        <f t="shared" si="1"/>
        <v>45993</v>
      </c>
      <c r="B20" t="str">
        <f t="shared" si="2"/>
        <v>animus ouderavond</v>
      </c>
      <c r="C20" s="23">
        <f t="shared" si="3"/>
        <v>45915</v>
      </c>
      <c r="E20" s="24" t="str">
        <f>IF(NOT(ISBLANK(PEcopy!B20)),PEcopy!B20,"")</f>
        <v>2025-12-02T00:00:00.0000000</v>
      </c>
      <c r="F20" s="24" t="str">
        <f>IF(E20&lt;&gt;"",PEcopy!A20,"")</f>
        <v>PE animus ouderavond</v>
      </c>
      <c r="G20" s="24" t="str">
        <f>IF(E20&lt;&gt;"",PEcopy!F20,"")</f>
        <v>2025-09-15T08:36:22.3404536+00:00</v>
      </c>
    </row>
    <row r="21" spans="1:7" ht="15.75" customHeight="1">
      <c r="A21" s="23">
        <f t="shared" si="1"/>
        <v>45994</v>
      </c>
      <c r="B21" t="str">
        <f t="shared" si="2"/>
        <v>rleg burgerschap optie</v>
      </c>
      <c r="C21" s="23">
        <f t="shared" si="3"/>
        <v>45988</v>
      </c>
      <c r="E21" s="24" t="str">
        <f>IF(NOT(ISBLANK(PEcopy!B21)),PEcopy!B21,"")</f>
        <v>2025-12-03T13:30:00.0000000</v>
      </c>
      <c r="F21" s="24" t="str">
        <f>IF(E21&lt;&gt;"",PEcopy!A21,"")</f>
        <v>overleg burgerschap optie</v>
      </c>
      <c r="G21" s="24" t="str">
        <f>IF(E21&lt;&gt;"",PEcopy!F21,"")</f>
        <v>2025-11-27T11:08:38.2753544+00:00</v>
      </c>
    </row>
    <row r="22" spans="1:7" ht="15.75" customHeight="1">
      <c r="A22" s="23">
        <f t="shared" si="1"/>
        <v>45995</v>
      </c>
      <c r="B22" t="str">
        <f t="shared" si="2"/>
        <v>30'-rooster/docentenspreekmomenten 13.30-16.30</v>
      </c>
      <c r="C22" s="23">
        <f t="shared" si="3"/>
        <v>45896</v>
      </c>
      <c r="E22" s="24" t="str">
        <f>IF(NOT(ISBLANK(PEcopy!B22)),PEcopy!B22,"")</f>
        <v>2025-12-04T00:00:00.0000000</v>
      </c>
      <c r="F22" s="24" t="str">
        <f>IF(E22&lt;&gt;"",PEcopy!A22,"")</f>
        <v>PE 30'-rooster/docentenspreekmomenten 13.30-16.30</v>
      </c>
      <c r="G22" s="24" t="str">
        <f>IF(E22&lt;&gt;"",PEcopy!F22,"")</f>
        <v>2025-08-27T18:07:06.4767093+00:00</v>
      </c>
    </row>
    <row r="23" spans="1:7" ht="15.75" customHeight="1">
      <c r="A23" s="23">
        <f t="shared" si="1"/>
        <v>45999</v>
      </c>
      <c r="B23" t="str">
        <f t="shared" si="2"/>
        <v>30'-rooster/docentenspreekmomenten 14-17 uur</v>
      </c>
      <c r="C23" s="23">
        <f t="shared" si="3"/>
        <v>45896</v>
      </c>
      <c r="E23" s="24" t="str">
        <f>IF(NOT(ISBLANK(PEcopy!B23)),PEcopy!B23,"")</f>
        <v>2025-12-08T00:00:00.0000000</v>
      </c>
      <c r="F23" s="24" t="str">
        <f>IF(E23&lt;&gt;"",PEcopy!A23,"")</f>
        <v>PE 30'-rooster/docentenspreekmomenten 14-17 uur</v>
      </c>
      <c r="G23" s="24" t="str">
        <f>IF(E23&lt;&gt;"",PEcopy!F23,"")</f>
        <v>2025-08-27T18:07:07.6279659+00:00</v>
      </c>
    </row>
    <row r="24" spans="1:7" ht="15.75" customHeight="1">
      <c r="A24" s="23">
        <f t="shared" si="1"/>
        <v>46002</v>
      </c>
      <c r="B24" t="str">
        <f t="shared" si="2"/>
        <v>secties#4</v>
      </c>
      <c r="C24" s="23">
        <f t="shared" si="3"/>
        <v>45896</v>
      </c>
      <c r="E24" s="24" t="str">
        <f>IF(NOT(ISBLANK(PEcopy!B24)),PEcopy!B24,"")</f>
        <v>2025-12-11T00:00:00.0000000</v>
      </c>
      <c r="F24" s="24" t="str">
        <f>IF(E24&lt;&gt;"",PEcopy!A24,"")</f>
        <v>PE secties#4</v>
      </c>
      <c r="G24" s="24" t="str">
        <f>IF(E24&lt;&gt;"",PEcopy!F24,"")</f>
        <v>2025-08-27T18:07:07.4712561+00:00</v>
      </c>
    </row>
    <row r="25" spans="1:7" ht="15.75" customHeight="1">
      <c r="A25" s="23">
        <f t="shared" si="1"/>
        <v>46009</v>
      </c>
      <c r="B25" t="str">
        <f t="shared" si="2"/>
        <v>commissies#4</v>
      </c>
      <c r="C25" s="23">
        <f t="shared" si="3"/>
        <v>45896</v>
      </c>
      <c r="E25" s="24" t="str">
        <f>IF(NOT(ISBLANK(PEcopy!B25)),PEcopy!B25,"")</f>
        <v>2025-12-18T00:00:00.0000000</v>
      </c>
      <c r="F25" s="24" t="str">
        <f>IF(E25&lt;&gt;"",PEcopy!A25,"")</f>
        <v>PE commissies#4</v>
      </c>
      <c r="G25" s="24" t="str">
        <f>IF(E25&lt;&gt;"",PEcopy!F25,"")</f>
        <v>2025-08-27T18:07:07.3240674+00:00</v>
      </c>
    </row>
    <row r="26" spans="1:7" ht="15.75" customHeight="1">
      <c r="A26" s="23">
        <f t="shared" si="1"/>
        <v>46037</v>
      </c>
      <c r="B26" t="str">
        <f t="shared" si="2"/>
        <v>studiemiddag#2</v>
      </c>
      <c r="C26" s="23">
        <f t="shared" si="3"/>
        <v>45896</v>
      </c>
      <c r="E26" s="24" t="str">
        <f>IF(NOT(ISBLANK(PEcopy!B26)),PEcopy!B26,"")</f>
        <v>2026-01-15T00:00:00.0000000</v>
      </c>
      <c r="F26" s="24" t="str">
        <f>IF(E26&lt;&gt;"",PEcopy!A26,"")</f>
        <v>PE studiemiddag#2</v>
      </c>
      <c r="G26" s="24" t="str">
        <f>IF(E26&lt;&gt;"",PEcopy!F26,"")</f>
        <v>2025-08-27T18:07:05.7776214+00:00</v>
      </c>
    </row>
    <row r="27" spans="1:7" ht="15.75" customHeight="1">
      <c r="A27" s="23">
        <f t="shared" si="1"/>
        <v>46044</v>
      </c>
      <c r="B27" t="str">
        <f t="shared" si="2"/>
        <v>mentoren#4 (verplaatsen)</v>
      </c>
      <c r="C27" s="23">
        <f t="shared" si="3"/>
        <v>45896</v>
      </c>
      <c r="E27" s="24" t="str">
        <f>IF(NOT(ISBLANK(PEcopy!B27)),PEcopy!B27,"")</f>
        <v>2026-01-22T00:00:00.0000000</v>
      </c>
      <c r="F27" s="24" t="str">
        <f>IF(E27&lt;&gt;"",PEcopy!A27,"")</f>
        <v>PE mentoren#4 (verplaatsen)</v>
      </c>
      <c r="G27" s="24" t="str">
        <f>IF(E27&lt;&gt;"",PEcopy!F27,"")</f>
        <v>2025-08-27T18:07:06.792944+00:00</v>
      </c>
    </row>
    <row r="28" spans="1:7" ht="15.75" customHeight="1">
      <c r="A28" s="23">
        <f t="shared" si="1"/>
        <v>46051</v>
      </c>
      <c r="B28" t="str">
        <f t="shared" si="2"/>
        <v>commissies#5/MR#3</v>
      </c>
      <c r="C28" s="23">
        <f t="shared" si="3"/>
        <v>45896</v>
      </c>
      <c r="E28" s="24" t="str">
        <f>IF(NOT(ISBLANK(PEcopy!B28)),PEcopy!B28,"")</f>
        <v>2026-01-29T00:00:00.0000000</v>
      </c>
      <c r="F28" s="24" t="str">
        <f>IF(E28&lt;&gt;"",PEcopy!A28,"")</f>
        <v>PE commissies#5/MR#3</v>
      </c>
      <c r="G28" s="24" t="str">
        <f>IF(E28&lt;&gt;"",PEcopy!F28,"")</f>
        <v>2025-08-27T18:07:06.6334138+00:00</v>
      </c>
    </row>
    <row r="29" spans="1:7" ht="15.75" customHeight="1">
      <c r="A29" s="23">
        <f t="shared" si="1"/>
        <v>46058</v>
      </c>
      <c r="B29" t="str">
        <f t="shared" si="2"/>
        <v>secties#5</v>
      </c>
      <c r="C29" s="23">
        <f t="shared" si="3"/>
        <v>45896</v>
      </c>
      <c r="E29" s="24" t="str">
        <f>IF(NOT(ISBLANK(PEcopy!B29)),PEcopy!B29,"")</f>
        <v>2026-02-05T00:00:00.0000000</v>
      </c>
      <c r="F29" s="24" t="str">
        <f>IF(E29&lt;&gt;"",PEcopy!A29,"")</f>
        <v>PE secties#5</v>
      </c>
      <c r="G29" s="24" t="str">
        <f>IF(E29&lt;&gt;"",PEcopy!F29,"")</f>
        <v>2025-08-27T18:07:06.4231471+00:00</v>
      </c>
    </row>
    <row r="30" spans="1:7" ht="15.75" customHeight="1">
      <c r="A30" s="23">
        <f t="shared" si="1"/>
        <v>46065</v>
      </c>
      <c r="B30" t="str">
        <f t="shared" si="2"/>
        <v>mentoren#5</v>
      </c>
      <c r="C30" s="23">
        <f t="shared" si="3"/>
        <v>45896</v>
      </c>
      <c r="E30" s="24" t="str">
        <f>IF(NOT(ISBLANK(PEcopy!B30)),PEcopy!B30,"")</f>
        <v>2026-02-12T00:00:00.0000000</v>
      </c>
      <c r="F30" s="24" t="str">
        <f>IF(E30&lt;&gt;"",PEcopy!A30,"")</f>
        <v>PE mentoren#5</v>
      </c>
      <c r="G30" s="24" t="str">
        <f>IF(E30&lt;&gt;"",PEcopy!F30,"")</f>
        <v>2025-08-27T18:07:06.2686833+00:00</v>
      </c>
    </row>
    <row r="31" spans="1:7" ht="15.75" customHeight="1">
      <c r="A31" s="23">
        <f t="shared" si="1"/>
        <v>46079</v>
      </c>
      <c r="B31" t="str">
        <f t="shared" si="2"/>
        <v>commissies#6</v>
      </c>
      <c r="C31" s="23">
        <f t="shared" si="3"/>
        <v>45896</v>
      </c>
      <c r="E31" s="24" t="str">
        <f>IF(NOT(ISBLANK(PEcopy!B31)),PEcopy!B31,"")</f>
        <v>2026-02-26T00:00:00.0000000</v>
      </c>
      <c r="F31" s="24" t="str">
        <f>IF(E31&lt;&gt;"",PEcopy!A31,"")</f>
        <v>PE commissies#6</v>
      </c>
      <c r="G31" s="24" t="str">
        <f>IF(E31&lt;&gt;"",PEcopy!F31,"")</f>
        <v>2025-08-27T18:07:05.3394224+00:00</v>
      </c>
    </row>
    <row r="32" spans="1:7" ht="15.75" customHeight="1">
      <c r="A32" s="23">
        <f t="shared" si="1"/>
        <v>46086</v>
      </c>
      <c r="B32" t="str">
        <f t="shared" si="2"/>
        <v>llbesprG5</v>
      </c>
      <c r="C32" s="23">
        <f t="shared" si="3"/>
        <v>45896</v>
      </c>
      <c r="E32" s="24" t="str">
        <f>IF(NOT(ISBLANK(PEcopy!B32)),PEcopy!B32,"")</f>
        <v>2026-03-05T00:00:00.0000000</v>
      </c>
      <c r="F32" s="24" t="str">
        <f>IF(E32&lt;&gt;"",PEcopy!A32,"")</f>
        <v>PE llbesprG5</v>
      </c>
      <c r="G32" s="24" t="str">
        <f>IF(E32&lt;&gt;"",PEcopy!F32,"")</f>
        <v>2025-08-27T18:07:04.6835419+00:00</v>
      </c>
    </row>
    <row r="33" spans="1:7" ht="15.75" customHeight="1">
      <c r="A33" s="23">
        <f t="shared" si="1"/>
        <v>46086</v>
      </c>
      <c r="B33" t="str">
        <f t="shared" si="2"/>
        <v>llbesprG2</v>
      </c>
      <c r="C33" s="23">
        <f t="shared" si="3"/>
        <v>46064</v>
      </c>
      <c r="E33" s="24" t="str">
        <f>IF(NOT(ISBLANK(PEcopy!B33)),PEcopy!B33,"")</f>
        <v>2026-03-05T00:00:00.0000000</v>
      </c>
      <c r="F33" s="24" t="str">
        <f>IF(E33&lt;&gt;"",PEcopy!A33,"")</f>
        <v>PE llbesprG2</v>
      </c>
      <c r="G33" s="24" t="str">
        <f>IF(E33&lt;&gt;"",PEcopy!F33,"")</f>
        <v>2026-02-11T15:06:44.3235432+00:00</v>
      </c>
    </row>
    <row r="34" spans="1:7" ht="15.75" customHeight="1">
      <c r="A34" s="23">
        <f t="shared" si="1"/>
        <v>46090</v>
      </c>
      <c r="B34" t="str">
        <f t="shared" si="2"/>
        <v>llbesprG3</v>
      </c>
      <c r="C34" s="23">
        <f t="shared" si="3"/>
        <v>45896</v>
      </c>
      <c r="E34" s="24" t="str">
        <f>IF(NOT(ISBLANK(PEcopy!B34)),PEcopy!B34,"")</f>
        <v>2026-03-09T00:00:00.0000000</v>
      </c>
      <c r="F34" s="24" t="str">
        <f>IF(E34&lt;&gt;"",PEcopy!A34,"")</f>
        <v>PE llbesprG3</v>
      </c>
      <c r="G34" s="24" t="str">
        <f>IF(E34&lt;&gt;"",PEcopy!F34,"")</f>
        <v>2025-08-27T18:07:04.4573896+00:00</v>
      </c>
    </row>
    <row r="35" spans="1:7" ht="15.75" customHeight="1">
      <c r="A35" s="23">
        <f t="shared" si="1"/>
        <v>46092</v>
      </c>
      <c r="B35" t="str">
        <f t="shared" si="2"/>
        <v>llbesprG1</v>
      </c>
      <c r="C35" s="23">
        <f t="shared" si="3"/>
        <v>45896</v>
      </c>
      <c r="E35" s="24" t="str">
        <f>IF(NOT(ISBLANK(PEcopy!B35)),PEcopy!B35,"")</f>
        <v>2026-03-11T00:00:00.0000000</v>
      </c>
      <c r="F35" s="24" t="str">
        <f>IF(E35&lt;&gt;"",PEcopy!A35,"")</f>
        <v>PE llbesprG1</v>
      </c>
      <c r="G35" s="24" t="str">
        <f>IF(E35&lt;&gt;"",PEcopy!F35,"")</f>
        <v>2025-08-27T18:07:04.0605051+00:00</v>
      </c>
    </row>
    <row r="36" spans="1:7" ht="15.75" customHeight="1">
      <c r="A36" s="23">
        <f t="shared" si="1"/>
        <v>46093</v>
      </c>
      <c r="B36" t="str">
        <f t="shared" si="2"/>
        <v>llbesprG4</v>
      </c>
      <c r="C36" s="23">
        <f t="shared" si="3"/>
        <v>45896</v>
      </c>
      <c r="E36" s="24" t="str">
        <f>IF(NOT(ISBLANK(PEcopy!B36)),PEcopy!B36,"")</f>
        <v>2026-03-12T00:00:00.0000000</v>
      </c>
      <c r="F36" s="24" t="str">
        <f>IF(E36&lt;&gt;"",PEcopy!A36,"")</f>
        <v>PE llbesprG4</v>
      </c>
      <c r="G36" s="24" t="str">
        <f>IF(E36&lt;&gt;"",PEcopy!F36,"")</f>
        <v>2025-08-27T18:07:03.9161066+00:00</v>
      </c>
    </row>
    <row r="37" spans="1:7" ht="15.75" customHeight="1">
      <c r="A37" s="23">
        <f t="shared" si="1"/>
        <v>46094</v>
      </c>
      <c r="B37" t="str">
        <f t="shared" si="2"/>
        <v>personeelsweekend</v>
      </c>
      <c r="C37" s="23">
        <f t="shared" si="3"/>
        <v>45896</v>
      </c>
      <c r="E37" s="24" t="str">
        <f>IF(NOT(ISBLANK(PEcopy!B37)),PEcopy!B37,"")</f>
        <v>2026-03-13T00:00:00.0000000</v>
      </c>
      <c r="F37" s="24" t="str">
        <f>IF(E37&lt;&gt;"",PEcopy!A37,"")</f>
        <v>PE personeelsweekend</v>
      </c>
      <c r="G37" s="24" t="str">
        <f>IF(E37&lt;&gt;"",PEcopy!F37,"")</f>
        <v>2025-08-27T18:07:03.7157465+00:00</v>
      </c>
    </row>
    <row r="38" spans="1:7" ht="15.75" customHeight="1">
      <c r="A38" s="23">
        <f t="shared" si="1"/>
        <v>46095</v>
      </c>
      <c r="B38" t="str">
        <f t="shared" si="2"/>
        <v>personeelsweekend</v>
      </c>
      <c r="C38" s="23">
        <f t="shared" si="3"/>
        <v>45896</v>
      </c>
      <c r="E38" s="24" t="str">
        <f>IF(NOT(ISBLANK(PEcopy!B38)),PEcopy!B38,"")</f>
        <v>2026-03-14T00:00:00.0000000</v>
      </c>
      <c r="F38" s="24" t="str">
        <f>IF(E38&lt;&gt;"",PEcopy!A38,"")</f>
        <v>PE personeelsweekend</v>
      </c>
      <c r="G38" s="24" t="str">
        <f>IF(E38&lt;&gt;"",PEcopy!F38,"")</f>
        <v>2025-08-27T18:07:03.5276682+00:00</v>
      </c>
    </row>
    <row r="39" spans="1:7" ht="15.75" customHeight="1">
      <c r="A39" s="23">
        <f t="shared" si="1"/>
        <v>46096</v>
      </c>
      <c r="B39" t="str">
        <f t="shared" si="2"/>
        <v>personeelsweekned</v>
      </c>
      <c r="C39" s="23">
        <f t="shared" si="3"/>
        <v>45896</v>
      </c>
      <c r="E39" s="24" t="str">
        <f>IF(NOT(ISBLANK(PEcopy!B39)),PEcopy!B39,"")</f>
        <v>2026-03-15T00:00:00.0000000</v>
      </c>
      <c r="F39" s="24" t="str">
        <f>IF(E39&lt;&gt;"",PEcopy!A39,"")</f>
        <v>PE personeelsweekned</v>
      </c>
      <c r="G39" s="24" t="str">
        <f>IF(E39&lt;&gt;"",PEcopy!F39,"")</f>
        <v>2025-08-27T18:07:03.3354988+00:00</v>
      </c>
    </row>
    <row r="40" spans="1:7" ht="15.75" customHeight="1">
      <c r="A40" s="23">
        <f t="shared" si="1"/>
        <v>46098</v>
      </c>
      <c r="B40" t="str">
        <f t="shared" si="2"/>
        <v>vakadviezen in Magister lj 3</v>
      </c>
      <c r="C40" s="23">
        <f t="shared" si="3"/>
        <v>45896</v>
      </c>
      <c r="E40" s="24" t="str">
        <f>IF(NOT(ISBLANK(PEcopy!B40)),PEcopy!B40,"")</f>
        <v>2026-03-17T00:00:00.0000000</v>
      </c>
      <c r="F40" s="24" t="str">
        <f>IF(E40&lt;&gt;"",PEcopy!A40,"")</f>
        <v>PE vakadviezen in Magister lj 3</v>
      </c>
      <c r="G40" s="24" t="str">
        <f>IF(E40&lt;&gt;"",PEcopy!F40,"")</f>
        <v>2025-08-27T18:07:04.1671864+00:00</v>
      </c>
    </row>
    <row r="41" spans="1:7" ht="15.75" customHeight="1">
      <c r="A41" s="23">
        <f t="shared" si="1"/>
        <v>46098</v>
      </c>
      <c r="B41" t="str">
        <f t="shared" si="2"/>
        <v>WisD</v>
      </c>
      <c r="C41" s="23">
        <f t="shared" si="3"/>
        <v>46083</v>
      </c>
      <c r="E41" s="24" t="str">
        <f>IF(NOT(ISBLANK(PEcopy!B41)),PEcopy!B41,"")</f>
        <v>2026-03-17T00:00:00.0000000</v>
      </c>
      <c r="F41" s="24" t="str">
        <f>IF(E41&lt;&gt;"",PEcopy!A41,"")</f>
        <v>SE WisD</v>
      </c>
      <c r="G41" s="24" t="str">
        <f>IF(E41&lt;&gt;"",PEcopy!F41,"")</f>
        <v>2026-03-02T21:50:04.433731+00:00</v>
      </c>
    </row>
    <row r="42" spans="1:7" ht="15.75" customHeight="1">
      <c r="A42" s="23">
        <f t="shared" si="1"/>
        <v>46100</v>
      </c>
      <c r="B42" t="str">
        <f t="shared" si="2"/>
        <v>secties#6</v>
      </c>
      <c r="C42" s="23">
        <f t="shared" si="3"/>
        <v>45896</v>
      </c>
      <c r="E42" s="24" t="str">
        <f>IF(NOT(ISBLANK(PEcopy!B42)),PEcopy!B42,"")</f>
        <v>2026-03-19T00:00:00.0000000</v>
      </c>
      <c r="F42" s="24" t="str">
        <f>IF(E42&lt;&gt;"",PEcopy!A42,"")</f>
        <v>PE secties#6</v>
      </c>
      <c r="G42" s="24" t="str">
        <f>IF(E42&lt;&gt;"",PEcopy!F42,"")</f>
        <v>2025-08-27T18:07:03.7425733+00:00</v>
      </c>
    </row>
    <row r="43" spans="1:7" ht="15.75" customHeight="1">
      <c r="A43" s="23">
        <f t="shared" si="1"/>
        <v>46107</v>
      </c>
      <c r="B43" t="str">
        <f t="shared" si="2"/>
        <v>30'-rooster/docentenspreekmomenten 13.30-16.30</v>
      </c>
      <c r="C43" s="23">
        <f t="shared" si="3"/>
        <v>45896</v>
      </c>
      <c r="E43" s="24" t="str">
        <f>IF(NOT(ISBLANK(PEcopy!B43)),PEcopy!B43,"")</f>
        <v>2026-03-26T00:00:00.0000000</v>
      </c>
      <c r="F43" s="24" t="str">
        <f>IF(E43&lt;&gt;"",PEcopy!A43,"")</f>
        <v>PE 30'-rooster/docentenspreekmomenten 13.30-16.30</v>
      </c>
      <c r="G43" s="24" t="str">
        <f>IF(E43&lt;&gt;"",PEcopy!F43,"")</f>
        <v>2025-08-27T18:07:02.7833264+00:00</v>
      </c>
    </row>
    <row r="44" spans="1:7" ht="15.75" customHeight="1">
      <c r="A44" s="23">
        <f t="shared" si="1"/>
        <v>46112</v>
      </c>
      <c r="B44" t="str">
        <f t="shared" si="2"/>
        <v>30'-rooster/docentenspreekmomenten 14-17 uur</v>
      </c>
      <c r="C44" s="23">
        <f t="shared" si="3"/>
        <v>45896</v>
      </c>
      <c r="E44" s="24" t="str">
        <f>IF(NOT(ISBLANK(PEcopy!B44)),PEcopy!B44,"")</f>
        <v>2026-03-31T00:00:00.0000000</v>
      </c>
      <c r="F44" s="24" t="str">
        <f>IF(E44&lt;&gt;"",PEcopy!A44,"")</f>
        <v>PE 30'-rooster/docentenspreekmomenten 14-17 uur</v>
      </c>
      <c r="G44" s="24" t="str">
        <f>IF(E44&lt;&gt;"",PEcopy!F44,"")</f>
        <v>2025-08-27T18:07:03.4455242+00:00</v>
      </c>
    </row>
    <row r="45" spans="1:7" ht="15.75" customHeight="1">
      <c r="A45" s="23">
        <f t="shared" si="1"/>
        <v>46114</v>
      </c>
      <c r="B45" t="str">
        <f t="shared" si="2"/>
        <v>klasbespreking lj1#3</v>
      </c>
      <c r="C45" s="23">
        <f t="shared" si="3"/>
        <v>46030</v>
      </c>
      <c r="E45" s="24" t="str">
        <f>IF(NOT(ISBLANK(PEcopy!B45)),PEcopy!B45,"")</f>
        <v>2026-04-02T00:00:00.0000000</v>
      </c>
      <c r="F45" s="24" t="str">
        <f>IF(E45&lt;&gt;"",PEcopy!A45,"")</f>
        <v>PE klasbespreking lj1#3</v>
      </c>
      <c r="G45" s="24" t="str">
        <f>IF(E45&lt;&gt;"",PEcopy!F45,"")</f>
        <v>2026-01-08T09:04:20.3686325+00:00</v>
      </c>
    </row>
    <row r="46" spans="1:7" ht="15.75" customHeight="1">
      <c r="A46" s="23">
        <f t="shared" si="1"/>
        <v>46121</v>
      </c>
      <c r="B46" t="str">
        <f t="shared" si="2"/>
        <v>mentoren#6</v>
      </c>
      <c r="C46" s="23">
        <f t="shared" si="3"/>
        <v>45896</v>
      </c>
      <c r="E46" s="24" t="str">
        <f>IF(NOT(ISBLANK(PEcopy!B46)),PEcopy!B46,"")</f>
        <v>2026-04-09T00:00:00.0000000</v>
      </c>
      <c r="F46" s="24" t="str">
        <f>IF(E46&lt;&gt;"",PEcopy!A46,"")</f>
        <v>PE mentoren#6</v>
      </c>
      <c r="G46" s="24" t="str">
        <f>IF(E46&lt;&gt;"",PEcopy!F46,"")</f>
        <v>2025-08-27T18:07:03.1583865+00:00</v>
      </c>
    </row>
    <row r="47" spans="1:7" ht="15.75" customHeight="1">
      <c r="A47" s="23">
        <f t="shared" si="1"/>
        <v>46128</v>
      </c>
      <c r="B47" t="str">
        <f t="shared" si="2"/>
        <v>secties#7</v>
      </c>
      <c r="C47" s="23">
        <f t="shared" si="3"/>
        <v>45896</v>
      </c>
      <c r="E47" s="24" t="str">
        <f>IF(NOT(ISBLANK(PEcopy!B47)),PEcopy!B47,"")</f>
        <v>2026-04-16T00:00:00.0000000</v>
      </c>
      <c r="F47" s="24" t="str">
        <f>IF(E47&lt;&gt;"",PEcopy!A47,"")</f>
        <v>PE secties#7</v>
      </c>
      <c r="G47" s="24" t="str">
        <f>IF(E47&lt;&gt;"",PEcopy!F47,"")</f>
        <v>2025-08-27T18:07:02.3294862+00:00</v>
      </c>
    </row>
    <row r="48" spans="1:7" ht="15.75" customHeight="1">
      <c r="A48" s="23">
        <f t="shared" si="1"/>
        <v>46148</v>
      </c>
      <c r="B48" t="str">
        <f t="shared" si="2"/>
        <v>30'rooster/leerlingbespreking lj1</v>
      </c>
      <c r="C48" s="23">
        <f t="shared" si="3"/>
        <v>45896</v>
      </c>
      <c r="E48" s="24" t="str">
        <f>IF(NOT(ISBLANK(PEcopy!B48)),PEcopy!B48,"")</f>
        <v>2026-05-06T00:00:00.0000000</v>
      </c>
      <c r="F48" s="24" t="str">
        <f>IF(E48&lt;&gt;"",PEcopy!A48,"")</f>
        <v>PE 30'rooster/leerlingbespreking lj1</v>
      </c>
      <c r="G48" s="24" t="str">
        <f>IF(E48&lt;&gt;"",PEcopy!F48,"")</f>
        <v>2025-08-27T18:07:01.6810012+00:00</v>
      </c>
    </row>
    <row r="49" spans="1:7" ht="15.75" customHeight="1">
      <c r="A49" s="23">
        <f t="shared" si="1"/>
        <v>46149</v>
      </c>
      <c r="B49" t="str">
        <f t="shared" si="2"/>
        <v>30'rooster/leerlingbespreking lj3/commissies#7/MR#4</v>
      </c>
      <c r="C49" s="23">
        <f t="shared" si="3"/>
        <v>45896</v>
      </c>
      <c r="E49" s="24" t="str">
        <f>IF(NOT(ISBLANK(PEcopy!B49)),PEcopy!B49,"")</f>
        <v>2026-05-07T00:00:00.0000000</v>
      </c>
      <c r="F49" s="24" t="str">
        <f>IF(E49&lt;&gt;"",PEcopy!A49,"")</f>
        <v>PE 30'rooster/leerlingbespreking lj3/commissies#7/MR#4</v>
      </c>
      <c r="G49" s="24" t="str">
        <f>IF(E49&lt;&gt;"",PEcopy!F49,"")</f>
        <v>2025-08-27T18:07:02.1210446+00:00</v>
      </c>
    </row>
    <row r="50" spans="1:7" ht="15.75" customHeight="1">
      <c r="A50" s="23">
        <f t="shared" si="1"/>
        <v>46150</v>
      </c>
      <c r="B50" t="str">
        <f t="shared" si="2"/>
        <v>30'rooster/leerlingbespreking lj2</v>
      </c>
      <c r="C50" s="23">
        <f t="shared" si="3"/>
        <v>45896</v>
      </c>
      <c r="E50" s="24" t="str">
        <f>IF(NOT(ISBLANK(PEcopy!B50)),PEcopy!B50,"")</f>
        <v>2026-05-08T00:00:00.0000000</v>
      </c>
      <c r="F50" s="24" t="str">
        <f>IF(E50&lt;&gt;"",PEcopy!A50,"")</f>
        <v>PE 30'rooster/leerlingbespreking lj2</v>
      </c>
      <c r="G50" s="24" t="str">
        <f>IF(E50&lt;&gt;"",PEcopy!F50,"")</f>
        <v>2025-08-27T18:07:00.8985416+00:00</v>
      </c>
    </row>
    <row r="51" spans="1:7" ht="15.75" customHeight="1">
      <c r="A51" s="23">
        <f t="shared" si="1"/>
        <v>46153</v>
      </c>
      <c r="B51" t="str">
        <f t="shared" si="2"/>
        <v>les t/m 7e uur/leerlingbespreking lj4 vanaf 14.30u</v>
      </c>
      <c r="C51" s="23">
        <f t="shared" si="3"/>
        <v>45896</v>
      </c>
      <c r="E51" s="24" t="str">
        <f>IF(NOT(ISBLANK(PEcopy!B51)),PEcopy!B51,"")</f>
        <v>2026-05-11T00:00:00.0000000</v>
      </c>
      <c r="F51" s="24" t="str">
        <f>IF(E51&lt;&gt;"",PEcopy!A51,"")</f>
        <v>PE les t/m 7e uur/leerlingbespreking lj4 vanaf 14.30u</v>
      </c>
      <c r="G51" s="24" t="str">
        <f>IF(E51&lt;&gt;"",PEcopy!F51,"")</f>
        <v>2025-08-27T18:07:01.429386+00:00</v>
      </c>
    </row>
    <row r="52" spans="1:7" ht="15.75" customHeight="1">
      <c r="A52" s="23">
        <f t="shared" si="1"/>
        <v>46163</v>
      </c>
      <c r="B52" t="str">
        <f t="shared" si="2"/>
        <v>studiemiddag#3</v>
      </c>
      <c r="C52" s="23">
        <f t="shared" si="3"/>
        <v>45896</v>
      </c>
      <c r="E52" s="24" t="str">
        <f>IF(NOT(ISBLANK(PEcopy!B52)),PEcopy!B52,"")</f>
        <v>2026-05-21T00:00:00.0000000</v>
      </c>
      <c r="F52" s="24" t="str">
        <f>IF(E52&lt;&gt;"",PEcopy!A52,"")</f>
        <v>PE studiemiddag#3</v>
      </c>
      <c r="G52" s="24" t="str">
        <f>IF(E52&lt;&gt;"",PEcopy!F52,"")</f>
        <v>2025-08-27T18:07:00.4706311+00:00</v>
      </c>
    </row>
    <row r="53" spans="1:7" ht="15.75" customHeight="1">
      <c r="A53" s="23">
        <f t="shared" si="1"/>
        <v>46170</v>
      </c>
      <c r="B53" t="str">
        <f t="shared" si="2"/>
        <v>mentoren#7</v>
      </c>
      <c r="C53" s="23">
        <f t="shared" si="3"/>
        <v>45896</v>
      </c>
      <c r="E53" s="24" t="str">
        <f>IF(NOT(ISBLANK(PEcopy!B53)),PEcopy!B53,"")</f>
        <v>2026-05-28T00:00:00.0000000</v>
      </c>
      <c r="F53" s="24" t="str">
        <f>IF(E53&lt;&gt;"",PEcopy!A53,"")</f>
        <v>PE mentoren#7</v>
      </c>
      <c r="G53" s="24" t="str">
        <f>IF(E53&lt;&gt;"",PEcopy!F53,"")</f>
        <v>2025-08-27T18:07:01.2053362+00:00</v>
      </c>
    </row>
    <row r="54" spans="1:7" ht="15.75" customHeight="1">
      <c r="A54" s="23">
        <f t="shared" si="1"/>
        <v>46177</v>
      </c>
      <c r="B54" t="str">
        <f t="shared" si="2"/>
        <v>secties#8</v>
      </c>
      <c r="C54" s="23">
        <f t="shared" si="3"/>
        <v>45896</v>
      </c>
      <c r="E54" s="24" t="str">
        <f>IF(NOT(ISBLANK(PEcopy!B54)),PEcopy!B54,"")</f>
        <v>2026-06-04T00:00:00.0000000</v>
      </c>
      <c r="F54" s="24" t="str">
        <f>IF(E54&lt;&gt;"",PEcopy!A54,"")</f>
        <v>PE secties#8</v>
      </c>
      <c r="G54" s="24" t="str">
        <f>IF(E54&lt;&gt;"",PEcopy!F54,"")</f>
        <v>2025-08-27T18:07:00.9849493+00:00</v>
      </c>
    </row>
    <row r="55" spans="1:7" ht="15.75" customHeight="1">
      <c r="A55" s="23">
        <f t="shared" si="1"/>
        <v>46184</v>
      </c>
      <c r="B55" t="str">
        <f t="shared" si="2"/>
        <v>mentoren#8</v>
      </c>
      <c r="C55" s="23">
        <f t="shared" si="3"/>
        <v>45896</v>
      </c>
      <c r="E55" s="24" t="str">
        <f>IF(NOT(ISBLANK(PEcopy!B55)),PEcopy!B55,"")</f>
        <v>2026-06-11T00:00:00.0000000</v>
      </c>
      <c r="F55" s="24" t="str">
        <f>IF(E55&lt;&gt;"",PEcopy!A55,"")</f>
        <v>PE mentoren#8</v>
      </c>
      <c r="G55" s="24" t="str">
        <f>IF(E55&lt;&gt;"",PEcopy!F55,"")</f>
        <v>2025-08-27T18:07:00.4995988+00:00</v>
      </c>
    </row>
    <row r="56" spans="1:7" ht="15.75" customHeight="1">
      <c r="A56" s="23">
        <f t="shared" si="1"/>
        <v>46189</v>
      </c>
      <c r="B56" t="str">
        <f t="shared" si="2"/>
        <v>nismakingsdag Nieuwe Brugklassers</v>
      </c>
      <c r="C56" s="23">
        <f t="shared" si="3"/>
        <v>46066</v>
      </c>
      <c r="E56" s="24" t="str">
        <f>IF(NOT(ISBLANK(PEcopy!B56)),PEcopy!B56,"")</f>
        <v>2026-06-16T00:00:00.0000000</v>
      </c>
      <c r="F56" s="24" t="str">
        <f>IF(E56&lt;&gt;"",PEcopy!A56,"")</f>
        <v>Kennismakingsdag Nieuwe Brugklassers</v>
      </c>
      <c r="G56" s="24" t="str">
        <f>IF(E56&lt;&gt;"",PEcopy!F56,"")</f>
        <v>2026-02-13T11:36:02.224364+00:00</v>
      </c>
    </row>
    <row r="57" spans="1:7" ht="15.75" customHeight="1">
      <c r="A57" s="23">
        <f t="shared" si="1"/>
        <v>46191</v>
      </c>
      <c r="B57" t="str">
        <f t="shared" si="2"/>
        <v>commissies#8/MR#5</v>
      </c>
      <c r="C57" s="23">
        <f t="shared" si="3"/>
        <v>45896</v>
      </c>
      <c r="E57" s="24" t="str">
        <f>IF(NOT(ISBLANK(PEcopy!B57)),PEcopy!B57,"")</f>
        <v>2026-06-18T00:00:00.0000000</v>
      </c>
      <c r="F57" s="24" t="str">
        <f>IF(E57&lt;&gt;"",PEcopy!A57,"")</f>
        <v>PE commissies#8/MR#5</v>
      </c>
      <c r="G57" s="24" t="str">
        <f>IF(E57&lt;&gt;"",PEcopy!F57,"")</f>
        <v>2025-08-27T18:07:00.3270354+00:00</v>
      </c>
    </row>
    <row r="58" spans="1:7" ht="15.75" customHeight="1">
      <c r="A58" s="23">
        <f t="shared" si="1"/>
        <v>46198</v>
      </c>
      <c r="B58" t="str">
        <f t="shared" si="2"/>
        <v>mentorenactiviteit/borrel</v>
      </c>
      <c r="C58" s="23">
        <f t="shared" si="3"/>
        <v>45896</v>
      </c>
      <c r="E58" s="24" t="str">
        <f>IF(NOT(ISBLANK(PEcopy!B58)),PEcopy!B58,"")</f>
        <v>2026-06-25T00:00:00.0000000</v>
      </c>
      <c r="F58" s="24" t="str">
        <f>IF(E58&lt;&gt;"",PEcopy!A58,"")</f>
        <v>PE mentorenactiviteit/borrel</v>
      </c>
      <c r="G58" s="24" t="str">
        <f>IF(E58&lt;&gt;"",PEcopy!F58,"")</f>
        <v>2025-08-27T18:07:00.1955785+00:00</v>
      </c>
    </row>
    <row r="59" spans="1:7" ht="15.75" customHeight="1">
      <c r="A59" s="23">
        <f t="shared" si="1"/>
        <v>46219</v>
      </c>
      <c r="B59" t="str">
        <f t="shared" si="2"/>
        <v>slot APV; afscheid collega's</v>
      </c>
      <c r="C59" s="23">
        <f t="shared" si="3"/>
        <v>45896</v>
      </c>
      <c r="E59" s="24" t="str">
        <f>IF(NOT(ISBLANK(PEcopy!B59)),PEcopy!B59,"")</f>
        <v>2026-07-16T00:00:00.0000000</v>
      </c>
      <c r="F59" s="24" t="str">
        <f>IF(E59&lt;&gt;"",PEcopy!A59,"")</f>
        <v>PE slot APV; afscheid collega's</v>
      </c>
      <c r="G59" s="24" t="str">
        <f>IF(E59&lt;&gt;"",PEcopy!F59,"")</f>
        <v>2025-08-27T18:07:00.0079773+00:00</v>
      </c>
    </row>
    <row r="60" spans="1:7" ht="15.75" customHeight="1">
      <c r="A60" s="23">
        <f t="shared" si="1"/>
        <v>46220</v>
      </c>
      <c r="B60" t="str">
        <f t="shared" si="2"/>
        <v>reservedag</v>
      </c>
      <c r="C60" s="23">
        <f t="shared" si="3"/>
        <v>45896</v>
      </c>
      <c r="E60" s="24" t="str">
        <f>IF(NOT(ISBLANK(PEcopy!B60)),PEcopy!B60,"")</f>
        <v>2026-07-17T00:00:00.0000000</v>
      </c>
      <c r="F60" s="24" t="str">
        <f>IF(E60&lt;&gt;"",PEcopy!A60,"")</f>
        <v>PE reservedag</v>
      </c>
      <c r="G60" s="24" t="str">
        <f>IF(E60&lt;&gt;"",PEcopy!F60,"")</f>
        <v>2025-08-27T18:06:58.6527055+00:00</v>
      </c>
    </row>
    <row r="61" spans="1:7" ht="15.75" customHeight="1">
      <c r="A61" s="23" t="str">
        <f t="shared" si="1"/>
        <v/>
      </c>
      <c r="B61" t="str">
        <f t="shared" si="2"/>
        <v/>
      </c>
      <c r="C61" s="23" t="str">
        <f t="shared" si="3"/>
        <v/>
      </c>
      <c r="E61" s="24" t="str">
        <f>IF(NOT(ISBLANK(PEcopy!B61)),PEcopy!B61,"")</f>
        <v/>
      </c>
      <c r="F61" s="24" t="str">
        <f>IF(E61&lt;&gt;"",PEcopy!A61,"")</f>
        <v/>
      </c>
      <c r="G61" s="24" t="str">
        <f>IF(E61&lt;&gt;"",PEcopy!F61,"")</f>
        <v/>
      </c>
    </row>
    <row r="62" spans="1:7" ht="15.75" customHeight="1">
      <c r="A62" s="23" t="str">
        <f t="shared" si="1"/>
        <v/>
      </c>
      <c r="B62" t="str">
        <f t="shared" si="2"/>
        <v/>
      </c>
      <c r="C62" s="23" t="str">
        <f t="shared" si="3"/>
        <v/>
      </c>
      <c r="E62" s="24" t="str">
        <f>IF(NOT(ISBLANK(PEcopy!B62)),PEcopy!B62,"")</f>
        <v/>
      </c>
      <c r="F62" s="24" t="str">
        <f>IF(E62&lt;&gt;"",PEcopy!A62,"")</f>
        <v/>
      </c>
      <c r="G62" s="24" t="str">
        <f>IF(E62&lt;&gt;"",PEcopy!F62,"")</f>
        <v/>
      </c>
    </row>
    <row r="63" spans="1:7" ht="15.75" customHeight="1">
      <c r="A63" s="23" t="str">
        <f t="shared" si="1"/>
        <v/>
      </c>
      <c r="B63" t="str">
        <f t="shared" si="2"/>
        <v/>
      </c>
      <c r="C63" s="23" t="str">
        <f t="shared" si="3"/>
        <v/>
      </c>
      <c r="E63" s="24" t="str">
        <f>IF(NOT(ISBLANK(PEcopy!B63)),PEcopy!B63,"")</f>
        <v/>
      </c>
      <c r="F63" s="24" t="str">
        <f>IF(E63&lt;&gt;"",PEcopy!A63,"")</f>
        <v/>
      </c>
      <c r="G63" s="24" t="str">
        <f>IF(E63&lt;&gt;"",PEcopy!F63,"")</f>
        <v/>
      </c>
    </row>
    <row r="64" spans="1:7" ht="15.75" customHeight="1">
      <c r="A64" s="23" t="str">
        <f t="shared" si="1"/>
        <v/>
      </c>
      <c r="B64" t="str">
        <f t="shared" si="2"/>
        <v/>
      </c>
      <c r="C64" s="23" t="str">
        <f t="shared" si="3"/>
        <v/>
      </c>
      <c r="E64" s="24" t="str">
        <f>IF(NOT(ISBLANK(PEcopy!B64)),PEcopy!B64,"")</f>
        <v/>
      </c>
      <c r="F64" s="24" t="str">
        <f>IF(E64&lt;&gt;"",PEcopy!A64,"")</f>
        <v/>
      </c>
      <c r="G64" s="24" t="str">
        <f>IF(E64&lt;&gt;"",PEcopy!F64,"")</f>
        <v/>
      </c>
    </row>
    <row r="65" spans="1:7" ht="15.75" customHeight="1">
      <c r="A65" s="23" t="str">
        <f t="shared" si="1"/>
        <v/>
      </c>
      <c r="B65" t="str">
        <f t="shared" si="2"/>
        <v/>
      </c>
      <c r="C65" s="23" t="str">
        <f t="shared" si="3"/>
        <v/>
      </c>
      <c r="E65" s="24" t="str">
        <f>IF(NOT(ISBLANK(PEcopy!B65)),PEcopy!B65,"")</f>
        <v/>
      </c>
      <c r="F65" s="24" t="str">
        <f>IF(E65&lt;&gt;"",PEcopy!A65,"")</f>
        <v/>
      </c>
      <c r="G65" s="24" t="str">
        <f>IF(E65&lt;&gt;"",PEcopy!F65,"")</f>
        <v/>
      </c>
    </row>
    <row r="66" spans="1:7" ht="15.75" customHeight="1">
      <c r="A66" s="23" t="str">
        <f t="shared" si="1"/>
        <v/>
      </c>
      <c r="B66" t="str">
        <f t="shared" si="2"/>
        <v/>
      </c>
      <c r="C66" s="23" t="str">
        <f t="shared" si="3"/>
        <v/>
      </c>
      <c r="E66" s="24" t="str">
        <f>IF(NOT(ISBLANK(PEcopy!B66)),PEcopy!B66,"")</f>
        <v/>
      </c>
      <c r="F66" s="24" t="str">
        <f>IF(E66&lt;&gt;"",PEcopy!A66,"")</f>
        <v/>
      </c>
      <c r="G66" s="24" t="str">
        <f>IF(E66&lt;&gt;"",PEcopy!F66,"")</f>
        <v/>
      </c>
    </row>
    <row r="67" spans="1:7" ht="15.75" customHeight="1">
      <c r="A67" s="23" t="str">
        <f t="shared" ref="A67:A130" si="4">IF(E67&lt;&gt;"",DATEVALUE(LEFT(E67,10)),"")</f>
        <v/>
      </c>
      <c r="B67" t="str">
        <f t="shared" ref="B67:B130" si="5">IF(LEN(F67)&gt;3,RIGHT(F67,LEN(F67)-3),"")</f>
        <v/>
      </c>
      <c r="C67" s="23" t="str">
        <f t="shared" ref="C67:C130" si="6">IF(E67&lt;&gt;"",DATEVALUE(LEFT(G67,10)),"")</f>
        <v/>
      </c>
      <c r="E67" s="24" t="str">
        <f>IF(NOT(ISBLANK(PEcopy!B67)),PEcopy!B67,"")</f>
        <v/>
      </c>
      <c r="F67" s="24" t="str">
        <f>IF(E67&lt;&gt;"",PEcopy!A67,"")</f>
        <v/>
      </c>
      <c r="G67" s="24" t="str">
        <f>IF(E67&lt;&gt;"",PEcopy!F67,"")</f>
        <v/>
      </c>
    </row>
    <row r="68" spans="1:7" ht="15.75" customHeight="1">
      <c r="A68" s="23" t="str">
        <f t="shared" si="4"/>
        <v/>
      </c>
      <c r="B68" t="str">
        <f t="shared" si="5"/>
        <v/>
      </c>
      <c r="C68" s="23" t="str">
        <f t="shared" si="6"/>
        <v/>
      </c>
      <c r="E68" s="24" t="str">
        <f>IF(NOT(ISBLANK(PEcopy!B68)),PEcopy!B68,"")</f>
        <v/>
      </c>
      <c r="F68" s="24" t="str">
        <f>IF(E68&lt;&gt;"",PEcopy!A68,"")</f>
        <v/>
      </c>
      <c r="G68" s="24" t="str">
        <f>IF(E68&lt;&gt;"",PEcopy!F68,"")</f>
        <v/>
      </c>
    </row>
    <row r="69" spans="1:7" ht="15.75" customHeight="1">
      <c r="A69" s="23" t="str">
        <f t="shared" si="4"/>
        <v/>
      </c>
      <c r="B69" t="str">
        <f t="shared" si="5"/>
        <v/>
      </c>
      <c r="C69" s="23" t="str">
        <f t="shared" si="6"/>
        <v/>
      </c>
      <c r="E69" s="24" t="str">
        <f>IF(NOT(ISBLANK(PEcopy!B69)),PEcopy!B69,"")</f>
        <v/>
      </c>
      <c r="F69" s="24" t="str">
        <f>IF(E69&lt;&gt;"",PEcopy!A69,"")</f>
        <v/>
      </c>
      <c r="G69" s="24" t="str">
        <f>IF(E69&lt;&gt;"",PEcopy!F69,"")</f>
        <v/>
      </c>
    </row>
    <row r="70" spans="1:7" ht="15.75" customHeight="1">
      <c r="A70" s="23" t="str">
        <f t="shared" si="4"/>
        <v/>
      </c>
      <c r="B70" t="str">
        <f t="shared" si="5"/>
        <v/>
      </c>
      <c r="C70" s="23" t="str">
        <f t="shared" si="6"/>
        <v/>
      </c>
      <c r="E70" s="24" t="str">
        <f>IF(NOT(ISBLANK(PEcopy!B70)),PEcopy!B70,"")</f>
        <v/>
      </c>
      <c r="F70" s="24" t="str">
        <f>IF(E70&lt;&gt;"",PEcopy!A70,"")</f>
        <v/>
      </c>
      <c r="G70" s="24" t="str">
        <f>IF(E70&lt;&gt;"",PEcopy!F70,"")</f>
        <v/>
      </c>
    </row>
    <row r="71" spans="1:7" ht="15.75" customHeight="1">
      <c r="A71" s="23" t="str">
        <f t="shared" si="4"/>
        <v/>
      </c>
      <c r="B71" t="str">
        <f t="shared" si="5"/>
        <v/>
      </c>
      <c r="C71" s="23" t="str">
        <f t="shared" si="6"/>
        <v/>
      </c>
      <c r="E71" s="24" t="str">
        <f>IF(NOT(ISBLANK(PEcopy!B71)),PEcopy!B71,"")</f>
        <v/>
      </c>
      <c r="F71" s="24" t="str">
        <f>IF(E71&lt;&gt;"",PEcopy!A71,"")</f>
        <v/>
      </c>
      <c r="G71" s="24" t="str">
        <f>IF(E71&lt;&gt;"",PEcopy!F71,"")</f>
        <v/>
      </c>
    </row>
    <row r="72" spans="1:7" ht="15.75" customHeight="1">
      <c r="A72" s="23" t="str">
        <f t="shared" si="4"/>
        <v/>
      </c>
      <c r="B72" t="str">
        <f t="shared" si="5"/>
        <v/>
      </c>
      <c r="C72" s="23" t="str">
        <f t="shared" si="6"/>
        <v/>
      </c>
      <c r="E72" s="24" t="str">
        <f>IF(NOT(ISBLANK(PEcopy!B72)),PEcopy!B72,"")</f>
        <v/>
      </c>
      <c r="F72" s="24" t="str">
        <f>IF(E72&lt;&gt;"",PEcopy!A72,"")</f>
        <v/>
      </c>
      <c r="G72" s="24" t="str">
        <f>IF(E72&lt;&gt;"",PEcopy!F72,"")</f>
        <v/>
      </c>
    </row>
    <row r="73" spans="1:7" ht="15.75" customHeight="1">
      <c r="A73" s="23" t="str">
        <f t="shared" si="4"/>
        <v/>
      </c>
      <c r="B73" t="str">
        <f t="shared" si="5"/>
        <v/>
      </c>
      <c r="C73" s="23" t="str">
        <f t="shared" si="6"/>
        <v/>
      </c>
      <c r="E73" s="24" t="str">
        <f>IF(NOT(ISBLANK(PEcopy!B73)),PEcopy!B73,"")</f>
        <v/>
      </c>
      <c r="F73" s="24" t="str">
        <f>IF(E73&lt;&gt;"",PEcopy!A73,"")</f>
        <v/>
      </c>
      <c r="G73" s="24" t="str">
        <f>IF(E73&lt;&gt;"",PEcopy!F73,"")</f>
        <v/>
      </c>
    </row>
    <row r="74" spans="1:7" ht="15.75" customHeight="1">
      <c r="A74" s="23" t="str">
        <f t="shared" si="4"/>
        <v/>
      </c>
      <c r="B74" t="str">
        <f t="shared" si="5"/>
        <v/>
      </c>
      <c r="C74" s="23" t="str">
        <f t="shared" si="6"/>
        <v/>
      </c>
      <c r="E74" s="24" t="str">
        <f>IF(NOT(ISBLANK(PEcopy!B74)),PEcopy!B74,"")</f>
        <v/>
      </c>
      <c r="F74" s="24" t="str">
        <f>IF(E74&lt;&gt;"",PEcopy!A74,"")</f>
        <v/>
      </c>
      <c r="G74" s="24" t="str">
        <f>IF(E74&lt;&gt;"",PEcopy!F74,"")</f>
        <v/>
      </c>
    </row>
    <row r="75" spans="1:7" ht="15.75" customHeight="1">
      <c r="A75" s="23" t="str">
        <f t="shared" si="4"/>
        <v/>
      </c>
      <c r="B75" t="str">
        <f t="shared" si="5"/>
        <v/>
      </c>
      <c r="C75" s="23" t="str">
        <f t="shared" si="6"/>
        <v/>
      </c>
      <c r="E75" s="24" t="str">
        <f>IF(NOT(ISBLANK(PEcopy!B75)),PEcopy!B75,"")</f>
        <v/>
      </c>
      <c r="F75" s="24" t="str">
        <f>IF(E75&lt;&gt;"",PEcopy!A75,"")</f>
        <v/>
      </c>
      <c r="G75" s="24" t="str">
        <f>IF(E75&lt;&gt;"",PEcopy!F75,"")</f>
        <v/>
      </c>
    </row>
    <row r="76" spans="1:7" ht="15.75" customHeight="1">
      <c r="A76" s="23" t="str">
        <f t="shared" si="4"/>
        <v/>
      </c>
      <c r="B76" t="str">
        <f t="shared" si="5"/>
        <v/>
      </c>
      <c r="C76" s="23" t="str">
        <f t="shared" si="6"/>
        <v/>
      </c>
      <c r="E76" s="24" t="str">
        <f>IF(NOT(ISBLANK(PEcopy!B76)),PEcopy!B76,"")</f>
        <v/>
      </c>
      <c r="F76" s="24" t="str">
        <f>IF(E76&lt;&gt;"",PEcopy!A76,"")</f>
        <v/>
      </c>
      <c r="G76" s="24" t="str">
        <f>IF(E76&lt;&gt;"",PEcopy!F76,"")</f>
        <v/>
      </c>
    </row>
    <row r="77" spans="1:7" ht="15.75" customHeight="1">
      <c r="A77" s="23" t="str">
        <f t="shared" si="4"/>
        <v/>
      </c>
      <c r="B77" t="str">
        <f t="shared" si="5"/>
        <v/>
      </c>
      <c r="C77" s="23" t="str">
        <f t="shared" si="6"/>
        <v/>
      </c>
      <c r="E77" s="24" t="str">
        <f>IF(NOT(ISBLANK(PEcopy!B77)),PEcopy!B77,"")</f>
        <v/>
      </c>
      <c r="F77" s="24" t="str">
        <f>IF(E77&lt;&gt;"",PEcopy!A77,"")</f>
        <v/>
      </c>
      <c r="G77" s="24" t="str">
        <f>IF(E77&lt;&gt;"",PEcopy!F77,"")</f>
        <v/>
      </c>
    </row>
    <row r="78" spans="1:7" ht="15.75" customHeight="1">
      <c r="A78" s="23" t="str">
        <f t="shared" si="4"/>
        <v/>
      </c>
      <c r="B78" t="str">
        <f t="shared" si="5"/>
        <v/>
      </c>
      <c r="C78" s="23" t="str">
        <f t="shared" si="6"/>
        <v/>
      </c>
      <c r="E78" s="24" t="str">
        <f>IF(NOT(ISBLANK(PEcopy!B78)),PEcopy!B78,"")</f>
        <v/>
      </c>
      <c r="F78" s="24" t="str">
        <f>IF(E78&lt;&gt;"",PEcopy!A78,"")</f>
        <v/>
      </c>
      <c r="G78" s="24" t="str">
        <f>IF(E78&lt;&gt;"",PEcopy!F78,"")</f>
        <v/>
      </c>
    </row>
    <row r="79" spans="1:7" ht="15.75" customHeight="1">
      <c r="A79" s="23" t="str">
        <f t="shared" si="4"/>
        <v/>
      </c>
      <c r="B79" t="str">
        <f t="shared" si="5"/>
        <v/>
      </c>
      <c r="C79" s="23" t="str">
        <f t="shared" si="6"/>
        <v/>
      </c>
      <c r="E79" s="24" t="str">
        <f>IF(NOT(ISBLANK(PEcopy!B79)),PEcopy!B79,"")</f>
        <v/>
      </c>
      <c r="F79" s="24" t="str">
        <f>IF(E79&lt;&gt;"",PEcopy!A79,"")</f>
        <v/>
      </c>
      <c r="G79" s="24" t="str">
        <f>IF(E79&lt;&gt;"",PEcopy!F79,"")</f>
        <v/>
      </c>
    </row>
    <row r="80" spans="1:7" ht="15.75" customHeight="1">
      <c r="A80" s="23" t="str">
        <f t="shared" si="4"/>
        <v/>
      </c>
      <c r="B80" t="str">
        <f t="shared" si="5"/>
        <v/>
      </c>
      <c r="C80" s="23" t="str">
        <f t="shared" si="6"/>
        <v/>
      </c>
      <c r="E80" s="24" t="str">
        <f>IF(NOT(ISBLANK(PEcopy!B80)),PEcopy!B80,"")</f>
        <v/>
      </c>
      <c r="F80" s="24" t="str">
        <f>IF(E80&lt;&gt;"",PEcopy!A80,"")</f>
        <v/>
      </c>
      <c r="G80" s="24" t="str">
        <f>IF(E80&lt;&gt;"",PEcopy!F80,"")</f>
        <v/>
      </c>
    </row>
    <row r="81" spans="1:7" ht="15.75" customHeight="1">
      <c r="A81" s="23" t="str">
        <f t="shared" si="4"/>
        <v/>
      </c>
      <c r="B81" t="str">
        <f t="shared" si="5"/>
        <v/>
      </c>
      <c r="C81" s="23" t="str">
        <f t="shared" si="6"/>
        <v/>
      </c>
      <c r="E81" s="24" t="str">
        <f>IF(NOT(ISBLANK(PEcopy!B81)),PEcopy!B81,"")</f>
        <v/>
      </c>
      <c r="F81" s="24" t="str">
        <f>IF(E81&lt;&gt;"",PEcopy!A81,"")</f>
        <v/>
      </c>
      <c r="G81" s="24" t="str">
        <f>IF(E81&lt;&gt;"",PEcopy!F81,"")</f>
        <v/>
      </c>
    </row>
    <row r="82" spans="1:7" ht="15.75" customHeight="1">
      <c r="A82" s="23" t="str">
        <f t="shared" si="4"/>
        <v/>
      </c>
      <c r="B82" t="str">
        <f t="shared" si="5"/>
        <v/>
      </c>
      <c r="C82" s="23" t="str">
        <f t="shared" si="6"/>
        <v/>
      </c>
      <c r="E82" s="24" t="str">
        <f>IF(NOT(ISBLANK(PEcopy!B82)),PEcopy!B82,"")</f>
        <v/>
      </c>
      <c r="F82" s="24" t="str">
        <f>IF(E82&lt;&gt;"",PEcopy!A82,"")</f>
        <v/>
      </c>
      <c r="G82" s="24" t="str">
        <f>IF(E82&lt;&gt;"",PEcopy!F82,"")</f>
        <v/>
      </c>
    </row>
    <row r="83" spans="1:7" ht="15.75" customHeight="1">
      <c r="A83" s="23" t="str">
        <f t="shared" si="4"/>
        <v/>
      </c>
      <c r="B83" t="str">
        <f t="shared" si="5"/>
        <v/>
      </c>
      <c r="C83" s="23" t="str">
        <f t="shared" si="6"/>
        <v/>
      </c>
      <c r="E83" s="24" t="str">
        <f>IF(NOT(ISBLANK(PEcopy!B83)),PEcopy!B83,"")</f>
        <v/>
      </c>
      <c r="F83" s="24" t="str">
        <f>IF(E83&lt;&gt;"",PEcopy!A83,"")</f>
        <v/>
      </c>
      <c r="G83" s="24" t="str">
        <f>IF(E83&lt;&gt;"",PEcopy!F83,"")</f>
        <v/>
      </c>
    </row>
    <row r="84" spans="1:7" ht="15.75" customHeight="1">
      <c r="A84" s="23" t="str">
        <f t="shared" si="4"/>
        <v/>
      </c>
      <c r="B84" t="str">
        <f t="shared" si="5"/>
        <v/>
      </c>
      <c r="C84" s="23" t="str">
        <f t="shared" si="6"/>
        <v/>
      </c>
      <c r="E84" s="24" t="str">
        <f>IF(NOT(ISBLANK(PEcopy!B84)),PEcopy!B84,"")</f>
        <v/>
      </c>
      <c r="F84" s="24" t="str">
        <f>IF(E84&lt;&gt;"",PEcopy!A84,"")</f>
        <v/>
      </c>
      <c r="G84" s="24" t="str">
        <f>IF(E84&lt;&gt;"",PEcopy!F84,"")</f>
        <v/>
      </c>
    </row>
    <row r="85" spans="1:7" ht="15.75" customHeight="1">
      <c r="A85" s="23" t="str">
        <f t="shared" si="4"/>
        <v/>
      </c>
      <c r="B85" t="str">
        <f t="shared" si="5"/>
        <v/>
      </c>
      <c r="C85" s="23" t="str">
        <f t="shared" si="6"/>
        <v/>
      </c>
      <c r="E85" s="24" t="str">
        <f>IF(NOT(ISBLANK(PEcopy!B85)),PEcopy!B85,"")</f>
        <v/>
      </c>
      <c r="F85" s="24" t="str">
        <f>IF(E85&lt;&gt;"",PEcopy!A85,"")</f>
        <v/>
      </c>
      <c r="G85" s="24" t="str">
        <f>IF(E85&lt;&gt;"",PEcopy!F85,"")</f>
        <v/>
      </c>
    </row>
    <row r="86" spans="1:7" ht="15.75" customHeight="1">
      <c r="A86" s="23" t="str">
        <f t="shared" si="4"/>
        <v/>
      </c>
      <c r="B86" t="str">
        <f t="shared" si="5"/>
        <v/>
      </c>
      <c r="C86" s="23" t="str">
        <f t="shared" si="6"/>
        <v/>
      </c>
      <c r="E86" s="24" t="str">
        <f>IF(NOT(ISBLANK(PEcopy!B86)),PEcopy!B86,"")</f>
        <v/>
      </c>
      <c r="F86" s="24" t="str">
        <f>IF(E86&lt;&gt;"",PEcopy!A86,"")</f>
        <v/>
      </c>
      <c r="G86" s="24" t="str">
        <f>IF(E86&lt;&gt;"",PEcopy!F86,"")</f>
        <v/>
      </c>
    </row>
    <row r="87" spans="1:7" ht="15.75" customHeight="1">
      <c r="A87" s="23" t="str">
        <f t="shared" si="4"/>
        <v/>
      </c>
      <c r="B87" t="str">
        <f t="shared" si="5"/>
        <v/>
      </c>
      <c r="C87" s="23" t="str">
        <f t="shared" si="6"/>
        <v/>
      </c>
      <c r="E87" s="24" t="str">
        <f>IF(NOT(ISBLANK(PEcopy!B87)),PEcopy!B87,"")</f>
        <v/>
      </c>
      <c r="F87" s="24" t="str">
        <f>IF(E87&lt;&gt;"",PEcopy!A87,"")</f>
        <v/>
      </c>
      <c r="G87" s="24" t="str">
        <f>IF(E87&lt;&gt;"",PEcopy!F87,"")</f>
        <v/>
      </c>
    </row>
    <row r="88" spans="1:7" ht="15.75" customHeight="1">
      <c r="A88" s="23" t="str">
        <f t="shared" si="4"/>
        <v/>
      </c>
      <c r="B88" t="str">
        <f t="shared" si="5"/>
        <v/>
      </c>
      <c r="C88" s="23" t="str">
        <f t="shared" si="6"/>
        <v/>
      </c>
      <c r="E88" s="24" t="str">
        <f>IF(NOT(ISBLANK(PEcopy!B88)),PEcopy!B88,"")</f>
        <v/>
      </c>
      <c r="F88" s="24" t="str">
        <f>IF(E88&lt;&gt;"",PEcopy!A88,"")</f>
        <v/>
      </c>
      <c r="G88" s="24" t="str">
        <f>IF(E88&lt;&gt;"",PEcopy!F88,"")</f>
        <v/>
      </c>
    </row>
    <row r="89" spans="1:7" ht="15.75" customHeight="1">
      <c r="A89" s="23" t="str">
        <f t="shared" si="4"/>
        <v/>
      </c>
      <c r="B89" t="str">
        <f t="shared" si="5"/>
        <v/>
      </c>
      <c r="C89" s="23" t="str">
        <f t="shared" si="6"/>
        <v/>
      </c>
      <c r="E89" s="24" t="str">
        <f>IF(NOT(ISBLANK(PEcopy!B89)),PEcopy!B89,"")</f>
        <v/>
      </c>
      <c r="F89" s="24" t="str">
        <f>IF(E89&lt;&gt;"",PEcopy!A89,"")</f>
        <v/>
      </c>
      <c r="G89" s="24" t="str">
        <f>IF(E89&lt;&gt;"",PEcopy!F89,"")</f>
        <v/>
      </c>
    </row>
    <row r="90" spans="1:7" ht="15.75" customHeight="1">
      <c r="A90" s="23" t="str">
        <f t="shared" si="4"/>
        <v/>
      </c>
      <c r="B90" t="str">
        <f t="shared" si="5"/>
        <v/>
      </c>
      <c r="C90" s="23" t="str">
        <f t="shared" si="6"/>
        <v/>
      </c>
      <c r="E90" s="24" t="str">
        <f>IF(NOT(ISBLANK(PEcopy!B90)),PEcopy!B90,"")</f>
        <v/>
      </c>
      <c r="F90" s="24" t="str">
        <f>IF(E90&lt;&gt;"",PEcopy!A90,"")</f>
        <v/>
      </c>
      <c r="G90" s="24" t="str">
        <f>IF(E90&lt;&gt;"",PEcopy!F90,"")</f>
        <v/>
      </c>
    </row>
    <row r="91" spans="1:7" ht="15.75" customHeight="1">
      <c r="A91" s="23" t="str">
        <f t="shared" si="4"/>
        <v/>
      </c>
      <c r="B91" t="str">
        <f t="shared" si="5"/>
        <v/>
      </c>
      <c r="C91" s="23" t="str">
        <f t="shared" si="6"/>
        <v/>
      </c>
      <c r="E91" s="24" t="str">
        <f>IF(NOT(ISBLANK(PEcopy!B91)),PEcopy!B91,"")</f>
        <v/>
      </c>
      <c r="F91" s="24" t="str">
        <f>IF(E91&lt;&gt;"",PEcopy!A91,"")</f>
        <v/>
      </c>
      <c r="G91" s="24" t="str">
        <f>IF(E91&lt;&gt;"",PEcopy!F91,"")</f>
        <v/>
      </c>
    </row>
    <row r="92" spans="1:7" ht="15.75" customHeight="1">
      <c r="A92" s="23" t="str">
        <f t="shared" si="4"/>
        <v/>
      </c>
      <c r="B92" t="str">
        <f t="shared" si="5"/>
        <v/>
      </c>
      <c r="C92" s="23" t="str">
        <f t="shared" si="6"/>
        <v/>
      </c>
      <c r="E92" s="24" t="str">
        <f>IF(NOT(ISBLANK(PEcopy!B92)),PEcopy!B92,"")</f>
        <v/>
      </c>
      <c r="F92" s="24" t="str">
        <f>IF(E92&lt;&gt;"",PEcopy!A92,"")</f>
        <v/>
      </c>
      <c r="G92" s="24" t="str">
        <f>IF(E92&lt;&gt;"",PEcopy!F92,"")</f>
        <v/>
      </c>
    </row>
    <row r="93" spans="1:7" ht="15.75" customHeight="1">
      <c r="A93" s="23" t="str">
        <f t="shared" si="4"/>
        <v/>
      </c>
      <c r="B93" t="str">
        <f t="shared" si="5"/>
        <v/>
      </c>
      <c r="C93" s="23" t="str">
        <f t="shared" si="6"/>
        <v/>
      </c>
      <c r="E93" s="24" t="str">
        <f>IF(NOT(ISBLANK(PEcopy!B93)),PEcopy!B93,"")</f>
        <v/>
      </c>
      <c r="F93" s="24" t="str">
        <f>IF(E93&lt;&gt;"",PEcopy!A93,"")</f>
        <v/>
      </c>
      <c r="G93" s="24" t="str">
        <f>IF(E93&lt;&gt;"",PEcopy!F93,"")</f>
        <v/>
      </c>
    </row>
    <row r="94" spans="1:7" ht="15.75" customHeight="1">
      <c r="A94" s="23" t="str">
        <f t="shared" si="4"/>
        <v/>
      </c>
      <c r="B94" t="str">
        <f t="shared" si="5"/>
        <v/>
      </c>
      <c r="C94" s="23" t="str">
        <f t="shared" si="6"/>
        <v/>
      </c>
      <c r="E94" s="24" t="str">
        <f>IF(NOT(ISBLANK(PEcopy!B94)),PEcopy!B94,"")</f>
        <v/>
      </c>
      <c r="F94" s="24" t="str">
        <f>IF(E94&lt;&gt;"",PEcopy!A94,"")</f>
        <v/>
      </c>
      <c r="G94" s="24" t="str">
        <f>IF(E94&lt;&gt;"",PEcopy!F94,"")</f>
        <v/>
      </c>
    </row>
    <row r="95" spans="1:7" ht="15.75" customHeight="1">
      <c r="A95" s="23" t="str">
        <f t="shared" si="4"/>
        <v/>
      </c>
      <c r="B95" t="str">
        <f t="shared" si="5"/>
        <v/>
      </c>
      <c r="C95" s="23" t="str">
        <f t="shared" si="6"/>
        <v/>
      </c>
      <c r="E95" s="24" t="str">
        <f>IF(NOT(ISBLANK(PEcopy!B95)),PEcopy!B95,"")</f>
        <v/>
      </c>
      <c r="F95" s="24" t="str">
        <f>IF(E95&lt;&gt;"",PEcopy!A95,"")</f>
        <v/>
      </c>
      <c r="G95" s="24" t="str">
        <f>IF(E95&lt;&gt;"",PEcopy!F95,"")</f>
        <v/>
      </c>
    </row>
    <row r="96" spans="1:7" ht="15.75" customHeight="1">
      <c r="A96" s="23" t="str">
        <f t="shared" si="4"/>
        <v/>
      </c>
      <c r="B96" t="str">
        <f t="shared" si="5"/>
        <v/>
      </c>
      <c r="C96" s="23" t="str">
        <f t="shared" si="6"/>
        <v/>
      </c>
      <c r="E96" s="24" t="str">
        <f>IF(NOT(ISBLANK(PEcopy!B96)),PEcopy!B96,"")</f>
        <v/>
      </c>
      <c r="F96" s="24" t="str">
        <f>IF(E96&lt;&gt;"",PEcopy!A96,"")</f>
        <v/>
      </c>
      <c r="G96" s="24" t="str">
        <f>IF(E96&lt;&gt;"",PEcopy!F96,"")</f>
        <v/>
      </c>
    </row>
    <row r="97" spans="1:7" ht="15.75" customHeight="1">
      <c r="A97" s="23" t="str">
        <f t="shared" si="4"/>
        <v/>
      </c>
      <c r="B97" t="str">
        <f t="shared" si="5"/>
        <v/>
      </c>
      <c r="C97" s="23" t="str">
        <f t="shared" si="6"/>
        <v/>
      </c>
      <c r="E97" s="24" t="str">
        <f>IF(NOT(ISBLANK(PEcopy!B97)),PEcopy!B97,"")</f>
        <v/>
      </c>
      <c r="F97" s="24" t="str">
        <f>IF(E97&lt;&gt;"",PEcopy!A97,"")</f>
        <v/>
      </c>
      <c r="G97" s="24" t="str">
        <f>IF(E97&lt;&gt;"",PEcopy!F97,"")</f>
        <v/>
      </c>
    </row>
    <row r="98" spans="1:7" ht="15.75" customHeight="1">
      <c r="A98" s="23" t="str">
        <f t="shared" si="4"/>
        <v/>
      </c>
      <c r="B98" t="str">
        <f t="shared" si="5"/>
        <v/>
      </c>
      <c r="C98" s="23" t="str">
        <f t="shared" si="6"/>
        <v/>
      </c>
      <c r="E98" s="24" t="str">
        <f>IF(NOT(ISBLANK(PEcopy!B98)),PEcopy!B98,"")</f>
        <v/>
      </c>
      <c r="F98" s="24" t="str">
        <f>IF(E98&lt;&gt;"",PEcopy!A98,"")</f>
        <v/>
      </c>
      <c r="G98" s="24" t="str">
        <f>IF(E98&lt;&gt;"",PEcopy!F98,"")</f>
        <v/>
      </c>
    </row>
    <row r="99" spans="1:7" ht="15.75" customHeight="1">
      <c r="A99" s="23" t="str">
        <f t="shared" si="4"/>
        <v/>
      </c>
      <c r="B99" t="str">
        <f t="shared" si="5"/>
        <v/>
      </c>
      <c r="C99" s="23" t="str">
        <f t="shared" si="6"/>
        <v/>
      </c>
      <c r="E99" s="24" t="str">
        <f>IF(NOT(ISBLANK(PEcopy!B99)),PEcopy!B99,"")</f>
        <v/>
      </c>
      <c r="F99" s="24" t="str">
        <f>IF(E99&lt;&gt;"",PEcopy!A99,"")</f>
        <v/>
      </c>
      <c r="G99" s="24" t="str">
        <f>IF(E99&lt;&gt;"",PEcopy!F99,"")</f>
        <v/>
      </c>
    </row>
    <row r="100" spans="1:7" ht="15.75" customHeight="1">
      <c r="A100" s="23" t="str">
        <f t="shared" si="4"/>
        <v/>
      </c>
      <c r="B100" t="str">
        <f t="shared" si="5"/>
        <v/>
      </c>
      <c r="C100" s="23" t="str">
        <f t="shared" si="6"/>
        <v/>
      </c>
      <c r="E100" s="24" t="str">
        <f>IF(NOT(ISBLANK(PEcopy!B100)),PEcopy!B100,"")</f>
        <v/>
      </c>
      <c r="F100" s="24" t="str">
        <f>IF(E100&lt;&gt;"",PEcopy!A100,"")</f>
        <v/>
      </c>
      <c r="G100" s="24" t="str">
        <f>IF(E100&lt;&gt;"",PEcopy!F100,"")</f>
        <v/>
      </c>
    </row>
    <row r="101" spans="1:7" ht="15.75" customHeight="1">
      <c r="A101" s="23" t="str">
        <f t="shared" si="4"/>
        <v/>
      </c>
      <c r="B101" t="str">
        <f t="shared" si="5"/>
        <v/>
      </c>
      <c r="C101" s="23" t="str">
        <f t="shared" si="6"/>
        <v/>
      </c>
      <c r="E101" s="24" t="str">
        <f>IF(NOT(ISBLANK(PEcopy!B101)),PEcopy!B101,"")</f>
        <v/>
      </c>
      <c r="F101" s="24" t="str">
        <f>IF(E101&lt;&gt;"",PEcopy!A101,"")</f>
        <v/>
      </c>
      <c r="G101" s="24" t="str">
        <f>IF(E101&lt;&gt;"",PEcopy!F101,"")</f>
        <v/>
      </c>
    </row>
    <row r="102" spans="1:7" ht="15.75" customHeight="1">
      <c r="A102" s="23" t="str">
        <f t="shared" si="4"/>
        <v/>
      </c>
      <c r="B102" t="str">
        <f t="shared" si="5"/>
        <v/>
      </c>
      <c r="C102" s="23" t="str">
        <f t="shared" si="6"/>
        <v/>
      </c>
      <c r="E102" s="24" t="str">
        <f>IF(NOT(ISBLANK(PEcopy!B102)),PEcopy!B102,"")</f>
        <v/>
      </c>
      <c r="F102" s="24" t="str">
        <f>IF(E102&lt;&gt;"",PEcopy!A102,"")</f>
        <v/>
      </c>
      <c r="G102" s="24" t="str">
        <f>IF(E102&lt;&gt;"",PEcopy!F102,"")</f>
        <v/>
      </c>
    </row>
    <row r="103" spans="1:7" ht="15.75" customHeight="1">
      <c r="A103" s="23" t="str">
        <f t="shared" si="4"/>
        <v/>
      </c>
      <c r="B103" t="str">
        <f t="shared" si="5"/>
        <v/>
      </c>
      <c r="C103" s="23" t="str">
        <f t="shared" si="6"/>
        <v/>
      </c>
      <c r="E103" s="24" t="str">
        <f>IF(NOT(ISBLANK(PEcopy!B103)),PEcopy!B103,"")</f>
        <v/>
      </c>
      <c r="F103" s="24" t="str">
        <f>IF(E103&lt;&gt;"",PEcopy!A103,"")</f>
        <v/>
      </c>
      <c r="G103" s="24" t="str">
        <f>IF(E103&lt;&gt;"",PEcopy!F103,"")</f>
        <v/>
      </c>
    </row>
    <row r="104" spans="1:7" ht="15.75" customHeight="1">
      <c r="A104" s="23" t="str">
        <f t="shared" si="4"/>
        <v/>
      </c>
      <c r="B104" t="str">
        <f t="shared" si="5"/>
        <v/>
      </c>
      <c r="C104" s="23" t="str">
        <f t="shared" si="6"/>
        <v/>
      </c>
      <c r="E104" s="24" t="str">
        <f>IF(NOT(ISBLANK(PEcopy!B104)),PEcopy!B104,"")</f>
        <v/>
      </c>
      <c r="F104" s="24" t="str">
        <f>IF(E104&lt;&gt;"",PEcopy!A104,"")</f>
        <v/>
      </c>
      <c r="G104" s="24" t="str">
        <f>IF(E104&lt;&gt;"",PEcopy!F104,"")</f>
        <v/>
      </c>
    </row>
    <row r="105" spans="1:7" ht="15.75" customHeight="1">
      <c r="A105" s="23" t="str">
        <f t="shared" si="4"/>
        <v/>
      </c>
      <c r="B105" t="str">
        <f t="shared" si="5"/>
        <v/>
      </c>
      <c r="C105" s="23" t="str">
        <f t="shared" si="6"/>
        <v/>
      </c>
      <c r="E105" s="24" t="str">
        <f>IF(NOT(ISBLANK(PEcopy!B105)),PEcopy!B105,"")</f>
        <v/>
      </c>
      <c r="F105" s="24" t="str">
        <f>IF(E105&lt;&gt;"",PEcopy!A105,"")</f>
        <v/>
      </c>
      <c r="G105" s="24" t="str">
        <f>IF(E105&lt;&gt;"",PEcopy!F105,"")</f>
        <v/>
      </c>
    </row>
    <row r="106" spans="1:7" ht="15.75" customHeight="1">
      <c r="A106" s="23" t="str">
        <f t="shared" si="4"/>
        <v/>
      </c>
      <c r="B106" t="str">
        <f t="shared" si="5"/>
        <v/>
      </c>
      <c r="C106" s="23" t="str">
        <f t="shared" si="6"/>
        <v/>
      </c>
      <c r="E106" s="24" t="str">
        <f>IF(NOT(ISBLANK(PEcopy!B106)),PEcopy!B106,"")</f>
        <v/>
      </c>
      <c r="F106" s="24" t="str">
        <f>IF(E106&lt;&gt;"",PEcopy!A106,"")</f>
        <v/>
      </c>
      <c r="G106" s="24" t="str">
        <f>IF(E106&lt;&gt;"",PEcopy!F106,"")</f>
        <v/>
      </c>
    </row>
    <row r="107" spans="1:7" ht="15.75" customHeight="1">
      <c r="A107" s="23" t="str">
        <f t="shared" si="4"/>
        <v/>
      </c>
      <c r="B107" t="str">
        <f t="shared" si="5"/>
        <v/>
      </c>
      <c r="C107" s="23" t="str">
        <f t="shared" si="6"/>
        <v/>
      </c>
      <c r="E107" s="24" t="str">
        <f>IF(NOT(ISBLANK(PEcopy!B107)),PEcopy!B107,"")</f>
        <v/>
      </c>
      <c r="F107" s="24" t="str">
        <f>IF(E107&lt;&gt;"",PEcopy!A107,"")</f>
        <v/>
      </c>
      <c r="G107" s="24" t="str">
        <f>IF(E107&lt;&gt;"",PEcopy!F107,"")</f>
        <v/>
      </c>
    </row>
    <row r="108" spans="1:7" ht="15.75" customHeight="1">
      <c r="A108" s="23" t="str">
        <f t="shared" si="4"/>
        <v/>
      </c>
      <c r="B108" t="str">
        <f t="shared" si="5"/>
        <v/>
      </c>
      <c r="C108" s="23" t="str">
        <f t="shared" si="6"/>
        <v/>
      </c>
      <c r="E108" s="24" t="str">
        <f>IF(NOT(ISBLANK(PEcopy!B108)),PEcopy!B108,"")</f>
        <v/>
      </c>
      <c r="F108" s="24" t="str">
        <f>IF(E108&lt;&gt;"",PEcopy!A108,"")</f>
        <v/>
      </c>
      <c r="G108" s="24" t="str">
        <f>IF(E108&lt;&gt;"",PEcopy!F108,"")</f>
        <v/>
      </c>
    </row>
    <row r="109" spans="1:7" ht="15.75" customHeight="1">
      <c r="A109" s="23" t="str">
        <f t="shared" si="4"/>
        <v/>
      </c>
      <c r="B109" t="str">
        <f t="shared" si="5"/>
        <v/>
      </c>
      <c r="C109" s="23" t="str">
        <f t="shared" si="6"/>
        <v/>
      </c>
      <c r="E109" s="24" t="str">
        <f>IF(NOT(ISBLANK(PEcopy!B109)),PEcopy!B109,"")</f>
        <v/>
      </c>
      <c r="F109" s="24" t="str">
        <f>IF(E109&lt;&gt;"",PEcopy!A109,"")</f>
        <v/>
      </c>
      <c r="G109" s="24" t="str">
        <f>IF(E109&lt;&gt;"",PEcopy!F109,"")</f>
        <v/>
      </c>
    </row>
    <row r="110" spans="1:7" ht="15.75" customHeight="1">
      <c r="A110" s="23" t="str">
        <f t="shared" si="4"/>
        <v/>
      </c>
      <c r="B110" t="str">
        <f t="shared" si="5"/>
        <v/>
      </c>
      <c r="C110" s="23" t="str">
        <f t="shared" si="6"/>
        <v/>
      </c>
      <c r="E110" s="24" t="str">
        <f>IF(NOT(ISBLANK(PEcopy!B110)),PEcopy!B110,"")</f>
        <v/>
      </c>
      <c r="F110" s="24" t="str">
        <f>IF(E110&lt;&gt;"",PEcopy!A110,"")</f>
        <v/>
      </c>
      <c r="G110" s="24" t="str">
        <f>IF(E110&lt;&gt;"",PEcopy!F110,"")</f>
        <v/>
      </c>
    </row>
    <row r="111" spans="1:7" ht="15.75" customHeight="1">
      <c r="A111" s="23" t="str">
        <f t="shared" si="4"/>
        <v/>
      </c>
      <c r="B111" t="str">
        <f t="shared" si="5"/>
        <v/>
      </c>
      <c r="C111" s="23" t="str">
        <f t="shared" si="6"/>
        <v/>
      </c>
      <c r="E111" s="24" t="str">
        <f>IF(NOT(ISBLANK(PEcopy!B111)),PEcopy!B111,"")</f>
        <v/>
      </c>
      <c r="F111" s="24" t="str">
        <f>IF(E111&lt;&gt;"",PEcopy!A111,"")</f>
        <v/>
      </c>
      <c r="G111" s="24" t="str">
        <f>IF(E111&lt;&gt;"",PEcopy!F111,"")</f>
        <v/>
      </c>
    </row>
    <row r="112" spans="1:7" ht="15.75" customHeight="1">
      <c r="A112" s="23" t="str">
        <f t="shared" si="4"/>
        <v/>
      </c>
      <c r="B112" t="str">
        <f t="shared" si="5"/>
        <v/>
      </c>
      <c r="C112" s="23" t="str">
        <f t="shared" si="6"/>
        <v/>
      </c>
      <c r="E112" s="24" t="str">
        <f>IF(NOT(ISBLANK(PEcopy!B112)),PEcopy!B112,"")</f>
        <v/>
      </c>
      <c r="F112" s="24" t="str">
        <f>IF(E112&lt;&gt;"",PEcopy!A112,"")</f>
        <v/>
      </c>
      <c r="G112" s="24" t="str">
        <f>IF(E112&lt;&gt;"",PEcopy!F112,"")</f>
        <v/>
      </c>
    </row>
    <row r="113" spans="1:7" ht="15.75" customHeight="1">
      <c r="A113" s="23" t="str">
        <f t="shared" si="4"/>
        <v/>
      </c>
      <c r="B113" t="str">
        <f t="shared" si="5"/>
        <v/>
      </c>
      <c r="C113" s="23" t="str">
        <f t="shared" si="6"/>
        <v/>
      </c>
      <c r="E113" s="24" t="str">
        <f>IF(NOT(ISBLANK(PEcopy!B113)),PEcopy!B113,"")</f>
        <v/>
      </c>
      <c r="F113" s="24" t="str">
        <f>IF(E113&lt;&gt;"",PEcopy!A113,"")</f>
        <v/>
      </c>
      <c r="G113" s="24" t="str">
        <f>IF(E113&lt;&gt;"",PEcopy!F113,"")</f>
        <v/>
      </c>
    </row>
    <row r="114" spans="1:7" ht="15.75" customHeight="1">
      <c r="A114" s="23" t="str">
        <f t="shared" si="4"/>
        <v/>
      </c>
      <c r="B114" t="str">
        <f t="shared" si="5"/>
        <v/>
      </c>
      <c r="C114" s="23" t="str">
        <f t="shared" si="6"/>
        <v/>
      </c>
      <c r="E114" s="24" t="str">
        <f>IF(NOT(ISBLANK(PEcopy!B114)),PEcopy!B114,"")</f>
        <v/>
      </c>
      <c r="F114" s="24" t="str">
        <f>IF(E114&lt;&gt;"",PEcopy!A114,"")</f>
        <v/>
      </c>
      <c r="G114" s="24" t="str">
        <f>IF(E114&lt;&gt;"",PEcopy!F114,"")</f>
        <v/>
      </c>
    </row>
    <row r="115" spans="1:7" ht="15.75" customHeight="1">
      <c r="A115" s="23" t="str">
        <f t="shared" si="4"/>
        <v/>
      </c>
      <c r="B115" t="str">
        <f t="shared" si="5"/>
        <v/>
      </c>
      <c r="C115" s="23" t="str">
        <f t="shared" si="6"/>
        <v/>
      </c>
      <c r="E115" s="24" t="str">
        <f>IF(NOT(ISBLANK(PEcopy!B115)),PEcopy!B115,"")</f>
        <v/>
      </c>
      <c r="F115" s="24" t="str">
        <f>IF(E115&lt;&gt;"",PEcopy!A115,"")</f>
        <v/>
      </c>
      <c r="G115" s="24" t="str">
        <f>IF(E115&lt;&gt;"",PEcopy!F115,"")</f>
        <v/>
      </c>
    </row>
    <row r="116" spans="1:7" ht="15.75" customHeight="1">
      <c r="A116" s="23" t="str">
        <f t="shared" si="4"/>
        <v/>
      </c>
      <c r="B116" t="str">
        <f t="shared" si="5"/>
        <v/>
      </c>
      <c r="C116" s="23" t="str">
        <f t="shared" si="6"/>
        <v/>
      </c>
      <c r="E116" s="24" t="str">
        <f>IF(NOT(ISBLANK(PEcopy!B116)),PEcopy!B116,"")</f>
        <v/>
      </c>
      <c r="F116" s="24" t="str">
        <f>IF(E116&lt;&gt;"",PEcopy!A116,"")</f>
        <v/>
      </c>
      <c r="G116" s="24" t="str">
        <f>IF(E116&lt;&gt;"",PEcopy!F116,"")</f>
        <v/>
      </c>
    </row>
    <row r="117" spans="1:7" ht="15.75" customHeight="1">
      <c r="A117" s="23" t="str">
        <f t="shared" si="4"/>
        <v/>
      </c>
      <c r="B117" t="str">
        <f t="shared" si="5"/>
        <v/>
      </c>
      <c r="C117" s="23" t="str">
        <f t="shared" si="6"/>
        <v/>
      </c>
      <c r="E117" s="24" t="str">
        <f>IF(NOT(ISBLANK(PEcopy!B117)),PEcopy!B117,"")</f>
        <v/>
      </c>
      <c r="F117" s="24" t="str">
        <f>IF(E117&lt;&gt;"",PEcopy!A117,"")</f>
        <v/>
      </c>
      <c r="G117" s="24" t="str">
        <f>IF(E117&lt;&gt;"",PEcopy!F117,"")</f>
        <v/>
      </c>
    </row>
    <row r="118" spans="1:7" ht="15.75" customHeight="1">
      <c r="A118" s="23" t="str">
        <f t="shared" si="4"/>
        <v/>
      </c>
      <c r="B118" t="str">
        <f t="shared" si="5"/>
        <v/>
      </c>
      <c r="C118" s="23" t="str">
        <f t="shared" si="6"/>
        <v/>
      </c>
      <c r="E118" s="24" t="str">
        <f>IF(NOT(ISBLANK(PEcopy!B118)),PEcopy!B118,"")</f>
        <v/>
      </c>
      <c r="F118" s="24" t="str">
        <f>IF(E118&lt;&gt;"",PEcopy!A118,"")</f>
        <v/>
      </c>
      <c r="G118" s="24" t="str">
        <f>IF(E118&lt;&gt;"",PEcopy!F118,"")</f>
        <v/>
      </c>
    </row>
    <row r="119" spans="1:7" ht="15.75" customHeight="1">
      <c r="A119" s="23" t="str">
        <f t="shared" si="4"/>
        <v/>
      </c>
      <c r="B119" t="str">
        <f t="shared" si="5"/>
        <v/>
      </c>
      <c r="C119" s="23" t="str">
        <f t="shared" si="6"/>
        <v/>
      </c>
      <c r="E119" s="24" t="str">
        <f>IF(NOT(ISBLANK(PEcopy!B119)),PEcopy!B119,"")</f>
        <v/>
      </c>
      <c r="F119" s="24" t="str">
        <f>IF(E119&lt;&gt;"",PEcopy!A119,"")</f>
        <v/>
      </c>
      <c r="G119" s="24" t="str">
        <f>IF(E119&lt;&gt;"",PEcopy!F119,"")</f>
        <v/>
      </c>
    </row>
    <row r="120" spans="1:7" ht="15.75" customHeight="1">
      <c r="A120" s="23" t="str">
        <f t="shared" si="4"/>
        <v/>
      </c>
      <c r="B120" t="str">
        <f t="shared" si="5"/>
        <v/>
      </c>
      <c r="C120" s="23" t="str">
        <f t="shared" si="6"/>
        <v/>
      </c>
      <c r="E120" s="24" t="str">
        <f>IF(NOT(ISBLANK(PEcopy!B120)),PEcopy!B120,"")</f>
        <v/>
      </c>
      <c r="F120" s="24" t="str">
        <f>IF(E120&lt;&gt;"",PEcopy!A120,"")</f>
        <v/>
      </c>
      <c r="G120" s="24" t="str">
        <f>IF(E120&lt;&gt;"",PEcopy!F120,"")</f>
        <v/>
      </c>
    </row>
    <row r="121" spans="1:7" ht="15.75" customHeight="1">
      <c r="A121" s="23" t="str">
        <f t="shared" si="4"/>
        <v/>
      </c>
      <c r="B121" t="str">
        <f t="shared" si="5"/>
        <v/>
      </c>
      <c r="C121" s="23" t="str">
        <f t="shared" si="6"/>
        <v/>
      </c>
      <c r="E121" s="24" t="str">
        <f>IF(NOT(ISBLANK(PEcopy!B121)),PEcopy!B121,"")</f>
        <v/>
      </c>
      <c r="F121" s="24" t="str">
        <f>IF(E121&lt;&gt;"",PEcopy!A121,"")</f>
        <v/>
      </c>
      <c r="G121" s="24" t="str">
        <f>IF(E121&lt;&gt;"",PEcopy!F121,"")</f>
        <v/>
      </c>
    </row>
    <row r="122" spans="1:7" ht="15.75" customHeight="1">
      <c r="A122" s="23" t="str">
        <f t="shared" si="4"/>
        <v/>
      </c>
      <c r="B122" t="str">
        <f t="shared" si="5"/>
        <v/>
      </c>
      <c r="C122" s="23" t="str">
        <f t="shared" si="6"/>
        <v/>
      </c>
      <c r="E122" s="24" t="str">
        <f>IF(NOT(ISBLANK(PEcopy!B122)),PEcopy!B122,"")</f>
        <v/>
      </c>
      <c r="F122" s="24" t="str">
        <f>IF(E122&lt;&gt;"",PEcopy!A122,"")</f>
        <v/>
      </c>
      <c r="G122" s="24" t="str">
        <f>IF(E122&lt;&gt;"",PEcopy!F122,"")</f>
        <v/>
      </c>
    </row>
    <row r="123" spans="1:7" ht="15.75" customHeight="1">
      <c r="A123" s="23" t="str">
        <f t="shared" si="4"/>
        <v/>
      </c>
      <c r="B123" t="str">
        <f t="shared" si="5"/>
        <v/>
      </c>
      <c r="C123" s="23" t="str">
        <f t="shared" si="6"/>
        <v/>
      </c>
      <c r="E123" s="24" t="str">
        <f>IF(NOT(ISBLANK(PEcopy!B123)),PEcopy!B123,"")</f>
        <v/>
      </c>
      <c r="F123" s="24" t="str">
        <f>IF(E123&lt;&gt;"",PEcopy!A123,"")</f>
        <v/>
      </c>
      <c r="G123" s="24" t="str">
        <f>IF(E123&lt;&gt;"",PEcopy!F123,"")</f>
        <v/>
      </c>
    </row>
    <row r="124" spans="1:7" ht="15.75" customHeight="1">
      <c r="A124" s="23" t="str">
        <f t="shared" si="4"/>
        <v/>
      </c>
      <c r="B124" t="str">
        <f t="shared" si="5"/>
        <v/>
      </c>
      <c r="C124" s="23" t="str">
        <f t="shared" si="6"/>
        <v/>
      </c>
      <c r="E124" s="24" t="str">
        <f>IF(NOT(ISBLANK(PEcopy!B124)),PEcopy!B124,"")</f>
        <v/>
      </c>
      <c r="F124" s="24" t="str">
        <f>IF(E124&lt;&gt;"",PEcopy!A124,"")</f>
        <v/>
      </c>
      <c r="G124" s="24" t="str">
        <f>IF(E124&lt;&gt;"",PEcopy!F124,"")</f>
        <v/>
      </c>
    </row>
    <row r="125" spans="1:7" ht="15.75" customHeight="1">
      <c r="A125" s="23" t="str">
        <f t="shared" si="4"/>
        <v/>
      </c>
      <c r="B125" t="str">
        <f t="shared" si="5"/>
        <v/>
      </c>
      <c r="C125" s="23" t="str">
        <f t="shared" si="6"/>
        <v/>
      </c>
      <c r="E125" s="24" t="str">
        <f>IF(NOT(ISBLANK(PEcopy!B125)),PEcopy!B125,"")</f>
        <v/>
      </c>
      <c r="F125" s="24" t="str">
        <f>IF(E125&lt;&gt;"",PEcopy!A125,"")</f>
        <v/>
      </c>
      <c r="G125" s="24" t="str">
        <f>IF(E125&lt;&gt;"",PEcopy!F125,"")</f>
        <v/>
      </c>
    </row>
    <row r="126" spans="1:7" ht="15.75" customHeight="1">
      <c r="A126" s="23" t="str">
        <f t="shared" si="4"/>
        <v/>
      </c>
      <c r="B126" t="str">
        <f t="shared" si="5"/>
        <v/>
      </c>
      <c r="C126" s="23" t="str">
        <f t="shared" si="6"/>
        <v/>
      </c>
      <c r="E126" s="24" t="str">
        <f>IF(NOT(ISBLANK(PEcopy!B126)),PEcopy!B126,"")</f>
        <v/>
      </c>
      <c r="F126" s="24" t="str">
        <f>IF(E126&lt;&gt;"",PEcopy!A126,"")</f>
        <v/>
      </c>
      <c r="G126" s="24" t="str">
        <f>IF(E126&lt;&gt;"",PEcopy!F126,"")</f>
        <v/>
      </c>
    </row>
    <row r="127" spans="1:7" ht="15.75" customHeight="1">
      <c r="A127" s="23" t="str">
        <f t="shared" si="4"/>
        <v/>
      </c>
      <c r="B127" t="str">
        <f t="shared" si="5"/>
        <v/>
      </c>
      <c r="C127" s="23" t="str">
        <f t="shared" si="6"/>
        <v/>
      </c>
      <c r="E127" s="24" t="str">
        <f>IF(NOT(ISBLANK(PEcopy!B127)),PEcopy!B127,"")</f>
        <v/>
      </c>
      <c r="F127" s="24" t="str">
        <f>IF(E127&lt;&gt;"",PEcopy!A127,"")</f>
        <v/>
      </c>
      <c r="G127" s="24" t="str">
        <f>IF(E127&lt;&gt;"",PEcopy!F127,"")</f>
        <v/>
      </c>
    </row>
    <row r="128" spans="1:7" ht="15.75" customHeight="1">
      <c r="A128" s="23" t="str">
        <f t="shared" si="4"/>
        <v/>
      </c>
      <c r="B128" t="str">
        <f t="shared" si="5"/>
        <v/>
      </c>
      <c r="C128" s="23" t="str">
        <f t="shared" si="6"/>
        <v/>
      </c>
      <c r="E128" s="24" t="str">
        <f>IF(NOT(ISBLANK(PEcopy!B128)),PEcopy!B128,"")</f>
        <v/>
      </c>
      <c r="F128" s="24" t="str">
        <f>IF(E128&lt;&gt;"",PEcopy!A128,"")</f>
        <v/>
      </c>
      <c r="G128" s="24" t="str">
        <f>IF(E128&lt;&gt;"",PEcopy!F128,"")</f>
        <v/>
      </c>
    </row>
    <row r="129" spans="1:7" ht="15.75" customHeight="1">
      <c r="A129" s="23" t="str">
        <f t="shared" si="4"/>
        <v/>
      </c>
      <c r="B129" t="str">
        <f t="shared" si="5"/>
        <v/>
      </c>
      <c r="C129" s="23" t="str">
        <f t="shared" si="6"/>
        <v/>
      </c>
      <c r="E129" s="24" t="str">
        <f>IF(NOT(ISBLANK(PEcopy!B129)),PEcopy!B129,"")</f>
        <v/>
      </c>
      <c r="F129" s="24" t="str">
        <f>IF(E129&lt;&gt;"",PEcopy!A129,"")</f>
        <v/>
      </c>
      <c r="G129" s="24" t="str">
        <f>IF(E129&lt;&gt;"",PEcopy!F129,"")</f>
        <v/>
      </c>
    </row>
    <row r="130" spans="1:7" ht="15.75" customHeight="1">
      <c r="A130" s="23" t="str">
        <f t="shared" si="4"/>
        <v/>
      </c>
      <c r="B130" t="str">
        <f t="shared" si="5"/>
        <v/>
      </c>
      <c r="C130" s="23" t="str">
        <f t="shared" si="6"/>
        <v/>
      </c>
      <c r="E130" s="24" t="str">
        <f>IF(NOT(ISBLANK(PEcopy!B130)),PEcopy!B130,"")</f>
        <v/>
      </c>
      <c r="F130" s="24" t="str">
        <f>IF(E130&lt;&gt;"",PEcopy!A130,"")</f>
        <v/>
      </c>
      <c r="G130" s="24" t="str">
        <f>IF(E130&lt;&gt;"",PEcopy!F130,"")</f>
        <v/>
      </c>
    </row>
    <row r="131" spans="1:7" ht="15.75" customHeight="1">
      <c r="A131" s="23" t="str">
        <f t="shared" ref="A131:A194" si="7">IF(E131&lt;&gt;"",DATEVALUE(LEFT(E131,10)),"")</f>
        <v/>
      </c>
      <c r="B131" t="str">
        <f t="shared" ref="B131:B194" si="8">IF(LEN(F131)&gt;3,RIGHT(F131,LEN(F131)-3),"")</f>
        <v/>
      </c>
      <c r="C131" s="23" t="str">
        <f t="shared" ref="C131:C194" si="9">IF(E131&lt;&gt;"",DATEVALUE(LEFT(G131,10)),"")</f>
        <v/>
      </c>
      <c r="E131" s="24" t="str">
        <f>IF(NOT(ISBLANK(PEcopy!B131)),PEcopy!B131,"")</f>
        <v/>
      </c>
      <c r="F131" s="24" t="str">
        <f>IF(E131&lt;&gt;"",PEcopy!A131,"")</f>
        <v/>
      </c>
      <c r="G131" s="24" t="str">
        <f>IF(E131&lt;&gt;"",PEcopy!F131,"")</f>
        <v/>
      </c>
    </row>
    <row r="132" spans="1:7" ht="15.75" customHeight="1">
      <c r="A132" s="23" t="str">
        <f t="shared" si="7"/>
        <v/>
      </c>
      <c r="B132" t="str">
        <f t="shared" si="8"/>
        <v/>
      </c>
      <c r="C132" s="23" t="str">
        <f t="shared" si="9"/>
        <v/>
      </c>
      <c r="E132" s="24" t="str">
        <f>IF(NOT(ISBLANK(PEcopy!B132)),PEcopy!B132,"")</f>
        <v/>
      </c>
      <c r="F132" s="24" t="str">
        <f>IF(E132&lt;&gt;"",PEcopy!A132,"")</f>
        <v/>
      </c>
      <c r="G132" s="24" t="str">
        <f>IF(E132&lt;&gt;"",PEcopy!F132,"")</f>
        <v/>
      </c>
    </row>
    <row r="133" spans="1:7" ht="15.75" customHeight="1">
      <c r="A133" s="23" t="str">
        <f t="shared" si="7"/>
        <v/>
      </c>
      <c r="B133" t="str">
        <f t="shared" si="8"/>
        <v/>
      </c>
      <c r="C133" s="23" t="str">
        <f t="shared" si="9"/>
        <v/>
      </c>
      <c r="E133" s="24" t="str">
        <f>IF(NOT(ISBLANK(PEcopy!B133)),PEcopy!B133,"")</f>
        <v/>
      </c>
      <c r="F133" s="24" t="str">
        <f>IF(E133&lt;&gt;"",PEcopy!A133,"")</f>
        <v/>
      </c>
      <c r="G133" s="24" t="str">
        <f>IF(E133&lt;&gt;"",PEcopy!F133,"")</f>
        <v/>
      </c>
    </row>
    <row r="134" spans="1:7" ht="15.75" customHeight="1">
      <c r="A134" s="23" t="str">
        <f t="shared" si="7"/>
        <v/>
      </c>
      <c r="B134" t="str">
        <f t="shared" si="8"/>
        <v/>
      </c>
      <c r="C134" s="23" t="str">
        <f t="shared" si="9"/>
        <v/>
      </c>
      <c r="E134" s="24" t="str">
        <f>IF(NOT(ISBLANK(PEcopy!B134)),PEcopy!B134,"")</f>
        <v/>
      </c>
      <c r="F134" s="24" t="str">
        <f>IF(E134&lt;&gt;"",PEcopy!A134,"")</f>
        <v/>
      </c>
      <c r="G134" s="24" t="str">
        <f>IF(E134&lt;&gt;"",PEcopy!F134,"")</f>
        <v/>
      </c>
    </row>
    <row r="135" spans="1:7" ht="15.75" customHeight="1">
      <c r="A135" s="23" t="str">
        <f t="shared" si="7"/>
        <v/>
      </c>
      <c r="B135" t="str">
        <f t="shared" si="8"/>
        <v/>
      </c>
      <c r="C135" s="23" t="str">
        <f t="shared" si="9"/>
        <v/>
      </c>
      <c r="E135" s="24" t="str">
        <f>IF(NOT(ISBLANK(PEcopy!B135)),PEcopy!B135,"")</f>
        <v/>
      </c>
      <c r="F135" s="24" t="str">
        <f>IF(E135&lt;&gt;"",PEcopy!A135,"")</f>
        <v/>
      </c>
      <c r="G135" s="24" t="str">
        <f>IF(E135&lt;&gt;"",PEcopy!F135,"")</f>
        <v/>
      </c>
    </row>
    <row r="136" spans="1:7" ht="15.75" customHeight="1">
      <c r="A136" s="23" t="str">
        <f t="shared" si="7"/>
        <v/>
      </c>
      <c r="B136" t="str">
        <f t="shared" si="8"/>
        <v/>
      </c>
      <c r="C136" s="23" t="str">
        <f t="shared" si="9"/>
        <v/>
      </c>
      <c r="E136" s="24" t="str">
        <f>IF(NOT(ISBLANK(PEcopy!B136)),PEcopy!B136,"")</f>
        <v/>
      </c>
      <c r="F136" s="24" t="str">
        <f>IF(E136&lt;&gt;"",PEcopy!A136,"")</f>
        <v/>
      </c>
      <c r="G136" s="24" t="str">
        <f>IF(E136&lt;&gt;"",PEcopy!F136,"")</f>
        <v/>
      </c>
    </row>
    <row r="137" spans="1:7" ht="15.75" customHeight="1">
      <c r="A137" s="23" t="str">
        <f t="shared" si="7"/>
        <v/>
      </c>
      <c r="B137" t="str">
        <f t="shared" si="8"/>
        <v/>
      </c>
      <c r="C137" s="23" t="str">
        <f t="shared" si="9"/>
        <v/>
      </c>
      <c r="E137" s="24" t="str">
        <f>IF(NOT(ISBLANK(PEcopy!B137)),PEcopy!B137,"")</f>
        <v/>
      </c>
      <c r="F137" s="24" t="str">
        <f>IF(E137&lt;&gt;"",PEcopy!A137,"")</f>
        <v/>
      </c>
      <c r="G137" s="24" t="str">
        <f>IF(E137&lt;&gt;"",PEcopy!F137,"")</f>
        <v/>
      </c>
    </row>
    <row r="138" spans="1:7" ht="15.75" customHeight="1">
      <c r="A138" s="23" t="str">
        <f t="shared" si="7"/>
        <v/>
      </c>
      <c r="B138" t="str">
        <f t="shared" si="8"/>
        <v/>
      </c>
      <c r="C138" s="23" t="str">
        <f t="shared" si="9"/>
        <v/>
      </c>
      <c r="E138" s="24" t="str">
        <f>IF(NOT(ISBLANK(PEcopy!B138)),PEcopy!B138,"")</f>
        <v/>
      </c>
      <c r="F138" s="24" t="str">
        <f>IF(E138&lt;&gt;"",PEcopy!A138,"")</f>
        <v/>
      </c>
      <c r="G138" s="24" t="str">
        <f>IF(E138&lt;&gt;"",PEcopy!F138,"")</f>
        <v/>
      </c>
    </row>
    <row r="139" spans="1:7" ht="15.75" customHeight="1">
      <c r="A139" s="23" t="str">
        <f t="shared" si="7"/>
        <v/>
      </c>
      <c r="B139" t="str">
        <f t="shared" si="8"/>
        <v/>
      </c>
      <c r="C139" s="23" t="str">
        <f t="shared" si="9"/>
        <v/>
      </c>
      <c r="E139" s="24" t="str">
        <f>IF(NOT(ISBLANK(PEcopy!B139)),PEcopy!B139,"")</f>
        <v/>
      </c>
      <c r="F139" s="24" t="str">
        <f>IF(E139&lt;&gt;"",PEcopy!A139,"")</f>
        <v/>
      </c>
      <c r="G139" s="24" t="str">
        <f>IF(E139&lt;&gt;"",PEcopy!F139,"")</f>
        <v/>
      </c>
    </row>
    <row r="140" spans="1:7" ht="15.75" customHeight="1">
      <c r="A140" s="23" t="str">
        <f t="shared" si="7"/>
        <v/>
      </c>
      <c r="B140" t="str">
        <f t="shared" si="8"/>
        <v/>
      </c>
      <c r="C140" s="23" t="str">
        <f t="shared" si="9"/>
        <v/>
      </c>
      <c r="E140" s="24" t="str">
        <f>IF(NOT(ISBLANK(PEcopy!B140)),PEcopy!B140,"")</f>
        <v/>
      </c>
      <c r="F140" s="24" t="str">
        <f>IF(E140&lt;&gt;"",PEcopy!A140,"")</f>
        <v/>
      </c>
      <c r="G140" s="24" t="str">
        <f>IF(E140&lt;&gt;"",PEcopy!F140,"")</f>
        <v/>
      </c>
    </row>
    <row r="141" spans="1:7" ht="15.75" customHeight="1">
      <c r="A141" s="23" t="str">
        <f t="shared" si="7"/>
        <v/>
      </c>
      <c r="B141" t="str">
        <f t="shared" si="8"/>
        <v/>
      </c>
      <c r="C141" s="23" t="str">
        <f t="shared" si="9"/>
        <v/>
      </c>
      <c r="E141" s="24" t="str">
        <f>IF(NOT(ISBLANK(PEcopy!B141)),PEcopy!B141,"")</f>
        <v/>
      </c>
      <c r="F141" s="24" t="str">
        <f>IF(E141&lt;&gt;"",PEcopy!A141,"")</f>
        <v/>
      </c>
      <c r="G141" s="24" t="str">
        <f>IF(E141&lt;&gt;"",PEcopy!F141,"")</f>
        <v/>
      </c>
    </row>
    <row r="142" spans="1:7" ht="15.75" customHeight="1">
      <c r="A142" s="23" t="str">
        <f t="shared" si="7"/>
        <v/>
      </c>
      <c r="B142" t="str">
        <f t="shared" si="8"/>
        <v/>
      </c>
      <c r="C142" s="23" t="str">
        <f t="shared" si="9"/>
        <v/>
      </c>
      <c r="E142" s="24" t="str">
        <f>IF(NOT(ISBLANK(PEcopy!B142)),PEcopy!B142,"")</f>
        <v/>
      </c>
      <c r="F142" s="24" t="str">
        <f>IF(E142&lt;&gt;"",PEcopy!A142,"")</f>
        <v/>
      </c>
      <c r="G142" s="24" t="str">
        <f>IF(E142&lt;&gt;"",PEcopy!F142,"")</f>
        <v/>
      </c>
    </row>
    <row r="143" spans="1:7" ht="15.75" customHeight="1">
      <c r="A143" s="23" t="str">
        <f t="shared" si="7"/>
        <v/>
      </c>
      <c r="B143" t="str">
        <f t="shared" si="8"/>
        <v/>
      </c>
      <c r="C143" s="23" t="str">
        <f t="shared" si="9"/>
        <v/>
      </c>
      <c r="E143" s="24" t="str">
        <f>IF(NOT(ISBLANK(PEcopy!B143)),PEcopy!B143,"")</f>
        <v/>
      </c>
      <c r="F143" s="24" t="str">
        <f>IF(E143&lt;&gt;"",PEcopy!A143,"")</f>
        <v/>
      </c>
      <c r="G143" s="24" t="str">
        <f>IF(E143&lt;&gt;"",PEcopy!F143,"")</f>
        <v/>
      </c>
    </row>
    <row r="144" spans="1:7" ht="15.75" customHeight="1">
      <c r="A144" s="23" t="str">
        <f t="shared" si="7"/>
        <v/>
      </c>
      <c r="B144" t="str">
        <f t="shared" si="8"/>
        <v/>
      </c>
      <c r="C144" s="23" t="str">
        <f t="shared" si="9"/>
        <v/>
      </c>
      <c r="E144" s="24" t="str">
        <f>IF(NOT(ISBLANK(PEcopy!B144)),PEcopy!B144,"")</f>
        <v/>
      </c>
      <c r="F144" s="24" t="str">
        <f>IF(E144&lt;&gt;"",PEcopy!A144,"")</f>
        <v/>
      </c>
      <c r="G144" s="24" t="str">
        <f>IF(E144&lt;&gt;"",PEcopy!F144,"")</f>
        <v/>
      </c>
    </row>
    <row r="145" spans="1:7" ht="15.75" customHeight="1">
      <c r="A145" s="23" t="str">
        <f t="shared" si="7"/>
        <v/>
      </c>
      <c r="B145" t="str">
        <f t="shared" si="8"/>
        <v/>
      </c>
      <c r="C145" s="23" t="str">
        <f t="shared" si="9"/>
        <v/>
      </c>
      <c r="E145" s="24" t="str">
        <f>IF(NOT(ISBLANK(PEcopy!B145)),PEcopy!B145,"")</f>
        <v/>
      </c>
      <c r="F145" s="24" t="str">
        <f>IF(E145&lt;&gt;"",PEcopy!A145,"")</f>
        <v/>
      </c>
      <c r="G145" s="24" t="str">
        <f>IF(E145&lt;&gt;"",PEcopy!F145,"")</f>
        <v/>
      </c>
    </row>
    <row r="146" spans="1:7" ht="15.75" customHeight="1">
      <c r="A146" s="23" t="str">
        <f t="shared" si="7"/>
        <v/>
      </c>
      <c r="B146" t="str">
        <f t="shared" si="8"/>
        <v/>
      </c>
      <c r="C146" s="23" t="str">
        <f t="shared" si="9"/>
        <v/>
      </c>
      <c r="E146" s="24" t="str">
        <f>IF(NOT(ISBLANK(PEcopy!B146)),PEcopy!B146,"")</f>
        <v/>
      </c>
      <c r="F146" s="24" t="str">
        <f>IF(E146&lt;&gt;"",PEcopy!A146,"")</f>
        <v/>
      </c>
      <c r="G146" s="24" t="str">
        <f>IF(E146&lt;&gt;"",PEcopy!F146,"")</f>
        <v/>
      </c>
    </row>
    <row r="147" spans="1:7" ht="15.75" customHeight="1">
      <c r="A147" s="23" t="str">
        <f t="shared" si="7"/>
        <v/>
      </c>
      <c r="B147" t="str">
        <f t="shared" si="8"/>
        <v/>
      </c>
      <c r="C147" s="23" t="str">
        <f t="shared" si="9"/>
        <v/>
      </c>
      <c r="E147" s="24" t="str">
        <f>IF(NOT(ISBLANK(PEcopy!B147)),PEcopy!B147,"")</f>
        <v/>
      </c>
      <c r="F147" s="24" t="str">
        <f>IF(E147&lt;&gt;"",PEcopy!A147,"")</f>
        <v/>
      </c>
      <c r="G147" s="24" t="str">
        <f>IF(E147&lt;&gt;"",PEcopy!F147,"")</f>
        <v/>
      </c>
    </row>
    <row r="148" spans="1:7" ht="15.75" customHeight="1">
      <c r="A148" s="23" t="str">
        <f t="shared" si="7"/>
        <v/>
      </c>
      <c r="B148" t="str">
        <f t="shared" si="8"/>
        <v/>
      </c>
      <c r="C148" s="23" t="str">
        <f t="shared" si="9"/>
        <v/>
      </c>
      <c r="E148" s="24" t="str">
        <f>IF(NOT(ISBLANK(PEcopy!B148)),PEcopy!B148,"")</f>
        <v/>
      </c>
      <c r="F148" s="24" t="str">
        <f>IF(E148&lt;&gt;"",PEcopy!A148,"")</f>
        <v/>
      </c>
      <c r="G148" s="24" t="str">
        <f>IF(E148&lt;&gt;"",PEcopy!F148,"")</f>
        <v/>
      </c>
    </row>
    <row r="149" spans="1:7" ht="15.75" customHeight="1">
      <c r="A149" s="23" t="str">
        <f t="shared" si="7"/>
        <v/>
      </c>
      <c r="B149" t="str">
        <f t="shared" si="8"/>
        <v/>
      </c>
      <c r="C149" s="23" t="str">
        <f t="shared" si="9"/>
        <v/>
      </c>
      <c r="E149" s="24" t="str">
        <f>IF(NOT(ISBLANK(PEcopy!B149)),PEcopy!B149,"")</f>
        <v/>
      </c>
      <c r="F149" s="24" t="str">
        <f>IF(E149&lt;&gt;"",PEcopy!A149,"")</f>
        <v/>
      </c>
      <c r="G149" s="24" t="str">
        <f>IF(E149&lt;&gt;"",PEcopy!F149,"")</f>
        <v/>
      </c>
    </row>
    <row r="150" spans="1:7" ht="15.75" customHeight="1">
      <c r="A150" s="23" t="str">
        <f t="shared" si="7"/>
        <v/>
      </c>
      <c r="B150" t="str">
        <f t="shared" si="8"/>
        <v/>
      </c>
      <c r="C150" s="23" t="str">
        <f t="shared" si="9"/>
        <v/>
      </c>
      <c r="E150" s="24" t="str">
        <f>IF(NOT(ISBLANK(PEcopy!B150)),PEcopy!B150,"")</f>
        <v/>
      </c>
      <c r="F150" s="24" t="str">
        <f>IF(E150&lt;&gt;"",PEcopy!A150,"")</f>
        <v/>
      </c>
      <c r="G150" s="24" t="str">
        <f>IF(E150&lt;&gt;"",PEcopy!F150,"")</f>
        <v/>
      </c>
    </row>
    <row r="151" spans="1:7" ht="15.75" customHeight="1">
      <c r="A151" s="23" t="str">
        <f t="shared" si="7"/>
        <v/>
      </c>
      <c r="B151" t="str">
        <f t="shared" si="8"/>
        <v/>
      </c>
      <c r="C151" s="23" t="str">
        <f t="shared" si="9"/>
        <v/>
      </c>
      <c r="E151" s="24" t="str">
        <f>IF(NOT(ISBLANK(PEcopy!B151)),PEcopy!B151,"")</f>
        <v/>
      </c>
      <c r="F151" s="24" t="str">
        <f>IF(E151&lt;&gt;"",PEcopy!A151,"")</f>
        <v/>
      </c>
      <c r="G151" s="24" t="str">
        <f>IF(E151&lt;&gt;"",PEcopy!F151,"")</f>
        <v/>
      </c>
    </row>
    <row r="152" spans="1:7" ht="15.75" customHeight="1">
      <c r="A152" s="23" t="str">
        <f t="shared" si="7"/>
        <v/>
      </c>
      <c r="B152" t="str">
        <f t="shared" si="8"/>
        <v/>
      </c>
      <c r="C152" s="23" t="str">
        <f t="shared" si="9"/>
        <v/>
      </c>
      <c r="E152" s="24" t="str">
        <f>IF(NOT(ISBLANK(PEcopy!B152)),PEcopy!B152,"")</f>
        <v/>
      </c>
      <c r="F152" s="24" t="str">
        <f>IF(E152&lt;&gt;"",PEcopy!A152,"")</f>
        <v/>
      </c>
      <c r="G152" s="24" t="str">
        <f>IF(E152&lt;&gt;"",PEcopy!F152,"")</f>
        <v/>
      </c>
    </row>
    <row r="153" spans="1:7" ht="15.75" customHeight="1">
      <c r="A153" s="23" t="str">
        <f t="shared" si="7"/>
        <v/>
      </c>
      <c r="B153" t="str">
        <f t="shared" si="8"/>
        <v/>
      </c>
      <c r="C153" s="23" t="str">
        <f t="shared" si="9"/>
        <v/>
      </c>
      <c r="E153" s="24" t="str">
        <f>IF(NOT(ISBLANK(PEcopy!B153)),PEcopy!B153,"")</f>
        <v/>
      </c>
      <c r="F153" s="24" t="str">
        <f>IF(E153&lt;&gt;"",PEcopy!A153,"")</f>
        <v/>
      </c>
      <c r="G153" s="24" t="str">
        <f>IF(E153&lt;&gt;"",PEcopy!F153,"")</f>
        <v/>
      </c>
    </row>
    <row r="154" spans="1:7" ht="15.75" customHeight="1">
      <c r="A154" s="23" t="str">
        <f t="shared" si="7"/>
        <v/>
      </c>
      <c r="B154" t="str">
        <f t="shared" si="8"/>
        <v/>
      </c>
      <c r="C154" s="23" t="str">
        <f t="shared" si="9"/>
        <v/>
      </c>
      <c r="E154" s="24" t="str">
        <f>IF(NOT(ISBLANK(PEcopy!B154)),PEcopy!B154,"")</f>
        <v/>
      </c>
      <c r="F154" s="24" t="str">
        <f>IF(E154&lt;&gt;"",PEcopy!A154,"")</f>
        <v/>
      </c>
      <c r="G154" s="24" t="str">
        <f>IF(E154&lt;&gt;"",PEcopy!F154,"")</f>
        <v/>
      </c>
    </row>
    <row r="155" spans="1:7" ht="15.75" customHeight="1">
      <c r="A155" s="23" t="str">
        <f t="shared" si="7"/>
        <v/>
      </c>
      <c r="B155" t="str">
        <f t="shared" si="8"/>
        <v/>
      </c>
      <c r="C155" s="23" t="str">
        <f t="shared" si="9"/>
        <v/>
      </c>
      <c r="E155" s="24" t="str">
        <f>IF(NOT(ISBLANK(PEcopy!B155)),PEcopy!B155,"")</f>
        <v/>
      </c>
      <c r="F155" s="24" t="str">
        <f>IF(E155&lt;&gt;"",PEcopy!A155,"")</f>
        <v/>
      </c>
      <c r="G155" s="24" t="str">
        <f>IF(E155&lt;&gt;"",PEcopy!F155,"")</f>
        <v/>
      </c>
    </row>
    <row r="156" spans="1:7" ht="15.75" customHeight="1">
      <c r="A156" s="23" t="str">
        <f t="shared" si="7"/>
        <v/>
      </c>
      <c r="B156" t="str">
        <f t="shared" si="8"/>
        <v/>
      </c>
      <c r="C156" s="23" t="str">
        <f t="shared" si="9"/>
        <v/>
      </c>
      <c r="E156" s="24" t="str">
        <f>IF(NOT(ISBLANK(PEcopy!B156)),PEcopy!B156,"")</f>
        <v/>
      </c>
      <c r="F156" s="24" t="str">
        <f>IF(E156&lt;&gt;"",PEcopy!A156,"")</f>
        <v/>
      </c>
      <c r="G156" s="24" t="str">
        <f>IF(E156&lt;&gt;"",PEcopy!F156,"")</f>
        <v/>
      </c>
    </row>
    <row r="157" spans="1:7" ht="15.75" customHeight="1">
      <c r="A157" s="23" t="str">
        <f t="shared" si="7"/>
        <v/>
      </c>
      <c r="B157" t="str">
        <f t="shared" si="8"/>
        <v/>
      </c>
      <c r="C157" s="23" t="str">
        <f t="shared" si="9"/>
        <v/>
      </c>
      <c r="E157" s="24" t="str">
        <f>IF(NOT(ISBLANK(PEcopy!B157)),PEcopy!B157,"")</f>
        <v/>
      </c>
      <c r="F157" s="24" t="str">
        <f>IF(E157&lt;&gt;"",PEcopy!A157,"")</f>
        <v/>
      </c>
      <c r="G157" s="24" t="str">
        <f>IF(E157&lt;&gt;"",PEcopy!F157,"")</f>
        <v/>
      </c>
    </row>
    <row r="158" spans="1:7" ht="15.75" customHeight="1">
      <c r="A158" s="23" t="str">
        <f t="shared" si="7"/>
        <v/>
      </c>
      <c r="B158" t="str">
        <f t="shared" si="8"/>
        <v/>
      </c>
      <c r="C158" s="23" t="str">
        <f t="shared" si="9"/>
        <v/>
      </c>
      <c r="E158" s="24" t="str">
        <f>IF(NOT(ISBLANK(PEcopy!B158)),PEcopy!B158,"")</f>
        <v/>
      </c>
      <c r="F158" s="24" t="str">
        <f>IF(E158&lt;&gt;"",PEcopy!A158,"")</f>
        <v/>
      </c>
      <c r="G158" s="24" t="str">
        <f>IF(E158&lt;&gt;"",PEcopy!F158,"")</f>
        <v/>
      </c>
    </row>
    <row r="159" spans="1:7" ht="15.75" customHeight="1">
      <c r="A159" s="23" t="str">
        <f t="shared" si="7"/>
        <v/>
      </c>
      <c r="B159" t="str">
        <f t="shared" si="8"/>
        <v/>
      </c>
      <c r="C159" s="23" t="str">
        <f t="shared" si="9"/>
        <v/>
      </c>
      <c r="E159" s="24" t="str">
        <f>IF(NOT(ISBLANK(PEcopy!B159)),PEcopy!B159,"")</f>
        <v/>
      </c>
      <c r="F159" s="24" t="str">
        <f>IF(E159&lt;&gt;"",PEcopy!A159,"")</f>
        <v/>
      </c>
      <c r="G159" s="24" t="str">
        <f>IF(E159&lt;&gt;"",PEcopy!F159,"")</f>
        <v/>
      </c>
    </row>
    <row r="160" spans="1:7" ht="15.75" customHeight="1">
      <c r="A160" s="23" t="str">
        <f t="shared" si="7"/>
        <v/>
      </c>
      <c r="B160" t="str">
        <f t="shared" si="8"/>
        <v/>
      </c>
      <c r="C160" s="23" t="str">
        <f t="shared" si="9"/>
        <v/>
      </c>
      <c r="E160" s="24" t="str">
        <f>IF(NOT(ISBLANK(PEcopy!B160)),PEcopy!B160,"")</f>
        <v/>
      </c>
      <c r="F160" s="24" t="str">
        <f>IF(E160&lt;&gt;"",PEcopy!A160,"")</f>
        <v/>
      </c>
      <c r="G160" s="24" t="str">
        <f>IF(E160&lt;&gt;"",PEcopy!F160,"")</f>
        <v/>
      </c>
    </row>
    <row r="161" spans="1:7" ht="15.75" customHeight="1">
      <c r="A161" s="23" t="str">
        <f t="shared" si="7"/>
        <v/>
      </c>
      <c r="B161" t="str">
        <f t="shared" si="8"/>
        <v/>
      </c>
      <c r="C161" s="23" t="str">
        <f t="shared" si="9"/>
        <v/>
      </c>
      <c r="E161" s="24" t="str">
        <f>IF(NOT(ISBLANK(PEcopy!B161)),PEcopy!B161,"")</f>
        <v/>
      </c>
      <c r="F161" s="24" t="str">
        <f>IF(E161&lt;&gt;"",PEcopy!A161,"")</f>
        <v/>
      </c>
      <c r="G161" s="24" t="str">
        <f>IF(E161&lt;&gt;"",PEcopy!F161,"")</f>
        <v/>
      </c>
    </row>
    <row r="162" spans="1:7" ht="15.75" customHeight="1">
      <c r="A162" s="23" t="str">
        <f t="shared" si="7"/>
        <v/>
      </c>
      <c r="B162" t="str">
        <f t="shared" si="8"/>
        <v/>
      </c>
      <c r="C162" s="23" t="str">
        <f t="shared" si="9"/>
        <v/>
      </c>
      <c r="E162" s="24" t="str">
        <f>IF(NOT(ISBLANK(PEcopy!B162)),PEcopy!B162,"")</f>
        <v/>
      </c>
      <c r="F162" s="24" t="str">
        <f>IF(E162&lt;&gt;"",PEcopy!A162,"")</f>
        <v/>
      </c>
      <c r="G162" s="24" t="str">
        <f>IF(E162&lt;&gt;"",PEcopy!F162,"")</f>
        <v/>
      </c>
    </row>
    <row r="163" spans="1:7" ht="15.75" customHeight="1">
      <c r="A163" s="23" t="str">
        <f t="shared" si="7"/>
        <v/>
      </c>
      <c r="B163" t="str">
        <f t="shared" si="8"/>
        <v/>
      </c>
      <c r="C163" s="23" t="str">
        <f t="shared" si="9"/>
        <v/>
      </c>
      <c r="E163" s="24" t="str">
        <f>IF(NOT(ISBLANK(PEcopy!B163)),PEcopy!B163,"")</f>
        <v/>
      </c>
      <c r="F163" s="24" t="str">
        <f>IF(E163&lt;&gt;"",PEcopy!A163,"")</f>
        <v/>
      </c>
      <c r="G163" s="24" t="str">
        <f>IF(E163&lt;&gt;"",PEcopy!F163,"")</f>
        <v/>
      </c>
    </row>
    <row r="164" spans="1:7" ht="15.75" customHeight="1">
      <c r="A164" s="23" t="str">
        <f t="shared" si="7"/>
        <v/>
      </c>
      <c r="B164" t="str">
        <f t="shared" si="8"/>
        <v/>
      </c>
      <c r="C164" s="23" t="str">
        <f t="shared" si="9"/>
        <v/>
      </c>
      <c r="E164" s="24" t="str">
        <f>IF(NOT(ISBLANK(PEcopy!B164)),PEcopy!B164,"")</f>
        <v/>
      </c>
      <c r="F164" s="24" t="str">
        <f>IF(E164&lt;&gt;"",PEcopy!A164,"")</f>
        <v/>
      </c>
      <c r="G164" s="24" t="str">
        <f>IF(E164&lt;&gt;"",PEcopy!F164,"")</f>
        <v/>
      </c>
    </row>
    <row r="165" spans="1:7" ht="15.75" customHeight="1">
      <c r="A165" s="23" t="str">
        <f t="shared" si="7"/>
        <v/>
      </c>
      <c r="B165" t="str">
        <f t="shared" si="8"/>
        <v/>
      </c>
      <c r="C165" s="23" t="str">
        <f t="shared" si="9"/>
        <v/>
      </c>
      <c r="E165" s="24" t="str">
        <f>IF(NOT(ISBLANK(PEcopy!B165)),PEcopy!B165,"")</f>
        <v/>
      </c>
      <c r="F165" s="24" t="str">
        <f>IF(E165&lt;&gt;"",PEcopy!A165,"")</f>
        <v/>
      </c>
      <c r="G165" s="24" t="str">
        <f>IF(E165&lt;&gt;"",PEcopy!F165,"")</f>
        <v/>
      </c>
    </row>
    <row r="166" spans="1:7" ht="15.75" customHeight="1">
      <c r="A166" s="23" t="str">
        <f t="shared" si="7"/>
        <v/>
      </c>
      <c r="B166" t="str">
        <f t="shared" si="8"/>
        <v/>
      </c>
      <c r="C166" s="23" t="str">
        <f t="shared" si="9"/>
        <v/>
      </c>
      <c r="E166" s="24" t="str">
        <f>IF(NOT(ISBLANK(PEcopy!B166)),PEcopy!B166,"")</f>
        <v/>
      </c>
      <c r="F166" s="24" t="str">
        <f>IF(E166&lt;&gt;"",PEcopy!A166,"")</f>
        <v/>
      </c>
      <c r="G166" s="24" t="str">
        <f>IF(E166&lt;&gt;"",PEcopy!F166,"")</f>
        <v/>
      </c>
    </row>
    <row r="167" spans="1:7" ht="15.75" customHeight="1">
      <c r="A167" s="23" t="str">
        <f t="shared" si="7"/>
        <v/>
      </c>
      <c r="B167" t="str">
        <f t="shared" si="8"/>
        <v/>
      </c>
      <c r="C167" s="23" t="str">
        <f t="shared" si="9"/>
        <v/>
      </c>
      <c r="E167" s="24" t="str">
        <f>IF(NOT(ISBLANK(PEcopy!B167)),PEcopy!B167,"")</f>
        <v/>
      </c>
      <c r="F167" s="24" t="str">
        <f>IF(E167&lt;&gt;"",PEcopy!A167,"")</f>
        <v/>
      </c>
      <c r="G167" s="24" t="str">
        <f>IF(E167&lt;&gt;"",PEcopy!F167,"")</f>
        <v/>
      </c>
    </row>
    <row r="168" spans="1:7" ht="15.75" customHeight="1">
      <c r="A168" s="23" t="str">
        <f t="shared" si="7"/>
        <v/>
      </c>
      <c r="B168" t="str">
        <f t="shared" si="8"/>
        <v/>
      </c>
      <c r="C168" s="23" t="str">
        <f t="shared" si="9"/>
        <v/>
      </c>
      <c r="E168" s="24" t="str">
        <f>IF(NOT(ISBLANK(PEcopy!B168)),PEcopy!B168,"")</f>
        <v/>
      </c>
      <c r="F168" s="24" t="str">
        <f>IF(E168&lt;&gt;"",PEcopy!A168,"")</f>
        <v/>
      </c>
      <c r="G168" s="24" t="str">
        <f>IF(E168&lt;&gt;"",PEcopy!F168,"")</f>
        <v/>
      </c>
    </row>
    <row r="169" spans="1:7" ht="15.75" customHeight="1">
      <c r="A169" s="23" t="str">
        <f t="shared" si="7"/>
        <v/>
      </c>
      <c r="B169" t="str">
        <f t="shared" si="8"/>
        <v/>
      </c>
      <c r="C169" s="23" t="str">
        <f t="shared" si="9"/>
        <v/>
      </c>
      <c r="E169" s="24" t="str">
        <f>IF(NOT(ISBLANK(PEcopy!B169)),PEcopy!B169,"")</f>
        <v/>
      </c>
      <c r="F169" s="24" t="str">
        <f>IF(E169&lt;&gt;"",PEcopy!A169,"")</f>
        <v/>
      </c>
      <c r="G169" s="24" t="str">
        <f>IF(E169&lt;&gt;"",PEcopy!F169,"")</f>
        <v/>
      </c>
    </row>
    <row r="170" spans="1:7" ht="15.75" customHeight="1">
      <c r="A170" s="23" t="str">
        <f t="shared" si="7"/>
        <v/>
      </c>
      <c r="B170" t="str">
        <f t="shared" si="8"/>
        <v/>
      </c>
      <c r="C170" s="23" t="str">
        <f t="shared" si="9"/>
        <v/>
      </c>
      <c r="E170" s="24" t="str">
        <f>IF(NOT(ISBLANK(PEcopy!B170)),PEcopy!B170,"")</f>
        <v/>
      </c>
      <c r="F170" s="24" t="str">
        <f>IF(E170&lt;&gt;"",PEcopy!A170,"")</f>
        <v/>
      </c>
      <c r="G170" s="24" t="str">
        <f>IF(E170&lt;&gt;"",PEcopy!F170,"")</f>
        <v/>
      </c>
    </row>
    <row r="171" spans="1:7" ht="15.75" customHeight="1">
      <c r="A171" s="23" t="str">
        <f t="shared" si="7"/>
        <v/>
      </c>
      <c r="B171" t="str">
        <f t="shared" si="8"/>
        <v/>
      </c>
      <c r="C171" s="23" t="str">
        <f t="shared" si="9"/>
        <v/>
      </c>
      <c r="E171" s="24" t="str">
        <f>IF(NOT(ISBLANK(PEcopy!B171)),PEcopy!B171,"")</f>
        <v/>
      </c>
      <c r="F171" s="24" t="str">
        <f>IF(E171&lt;&gt;"",PEcopy!A171,"")</f>
        <v/>
      </c>
      <c r="G171" s="24" t="str">
        <f>IF(E171&lt;&gt;"",PEcopy!F171,"")</f>
        <v/>
      </c>
    </row>
    <row r="172" spans="1:7" ht="15.75" customHeight="1">
      <c r="A172" s="23" t="str">
        <f t="shared" si="7"/>
        <v/>
      </c>
      <c r="B172" t="str">
        <f t="shared" si="8"/>
        <v/>
      </c>
      <c r="C172" s="23" t="str">
        <f t="shared" si="9"/>
        <v/>
      </c>
      <c r="E172" s="24" t="str">
        <f>IF(NOT(ISBLANK(PEcopy!B172)),PEcopy!B172,"")</f>
        <v/>
      </c>
      <c r="F172" s="24" t="str">
        <f>IF(E172&lt;&gt;"",PEcopy!A172,"")</f>
        <v/>
      </c>
      <c r="G172" s="24" t="str">
        <f>IF(E172&lt;&gt;"",PEcopy!F172,"")</f>
        <v/>
      </c>
    </row>
    <row r="173" spans="1:7" ht="15.75" customHeight="1">
      <c r="A173" s="23" t="str">
        <f t="shared" si="7"/>
        <v/>
      </c>
      <c r="B173" t="str">
        <f t="shared" si="8"/>
        <v/>
      </c>
      <c r="C173" s="23" t="str">
        <f t="shared" si="9"/>
        <v/>
      </c>
      <c r="E173" s="24" t="str">
        <f>IF(NOT(ISBLANK(PEcopy!B173)),PEcopy!B173,"")</f>
        <v/>
      </c>
      <c r="F173" s="24" t="str">
        <f>IF(E173&lt;&gt;"",PEcopy!A173,"")</f>
        <v/>
      </c>
      <c r="G173" s="24" t="str">
        <f>IF(E173&lt;&gt;"",PEcopy!F173,"")</f>
        <v/>
      </c>
    </row>
    <row r="174" spans="1:7" ht="15.75" customHeight="1">
      <c r="A174" s="23" t="str">
        <f t="shared" si="7"/>
        <v/>
      </c>
      <c r="B174" t="str">
        <f t="shared" si="8"/>
        <v/>
      </c>
      <c r="C174" s="23" t="str">
        <f t="shared" si="9"/>
        <v/>
      </c>
      <c r="E174" s="24" t="str">
        <f>IF(NOT(ISBLANK(PEcopy!B174)),PEcopy!B174,"")</f>
        <v/>
      </c>
      <c r="F174" s="24" t="str">
        <f>IF(E174&lt;&gt;"",PEcopy!A174,"")</f>
        <v/>
      </c>
      <c r="G174" s="24" t="str">
        <f>IF(E174&lt;&gt;"",PEcopy!F174,"")</f>
        <v/>
      </c>
    </row>
    <row r="175" spans="1:7" ht="15.75" customHeight="1">
      <c r="A175" s="23" t="str">
        <f t="shared" si="7"/>
        <v/>
      </c>
      <c r="B175" t="str">
        <f t="shared" si="8"/>
        <v/>
      </c>
      <c r="C175" s="23" t="str">
        <f t="shared" si="9"/>
        <v/>
      </c>
      <c r="E175" s="24" t="str">
        <f>IF(NOT(ISBLANK(PEcopy!B175)),PEcopy!B175,"")</f>
        <v/>
      </c>
      <c r="F175" s="24" t="str">
        <f>IF(E175&lt;&gt;"",PEcopy!A175,"")</f>
        <v/>
      </c>
      <c r="G175" s="24" t="str">
        <f>IF(E175&lt;&gt;"",PEcopy!F175,"")</f>
        <v/>
      </c>
    </row>
    <row r="176" spans="1:7" ht="15.75" customHeight="1">
      <c r="A176" s="23" t="str">
        <f t="shared" si="7"/>
        <v/>
      </c>
      <c r="B176" t="str">
        <f t="shared" si="8"/>
        <v/>
      </c>
      <c r="C176" s="23" t="str">
        <f t="shared" si="9"/>
        <v/>
      </c>
      <c r="E176" s="24" t="str">
        <f>IF(NOT(ISBLANK(PEcopy!B176)),PEcopy!B176,"")</f>
        <v/>
      </c>
      <c r="F176" s="24" t="str">
        <f>IF(E176&lt;&gt;"",PEcopy!A176,"")</f>
        <v/>
      </c>
      <c r="G176" s="24" t="str">
        <f>IF(E176&lt;&gt;"",PEcopy!F176,"")</f>
        <v/>
      </c>
    </row>
    <row r="177" spans="1:7" ht="15.75" customHeight="1">
      <c r="A177" s="23" t="str">
        <f t="shared" si="7"/>
        <v/>
      </c>
      <c r="B177" t="str">
        <f t="shared" si="8"/>
        <v/>
      </c>
      <c r="C177" s="23" t="str">
        <f t="shared" si="9"/>
        <v/>
      </c>
      <c r="E177" s="24" t="str">
        <f>IF(NOT(ISBLANK(PEcopy!B177)),PEcopy!B177,"")</f>
        <v/>
      </c>
      <c r="F177" s="24" t="str">
        <f>IF(E177&lt;&gt;"",PEcopy!A177,"")</f>
        <v/>
      </c>
      <c r="G177" s="24" t="str">
        <f>IF(E177&lt;&gt;"",PEcopy!F177,"")</f>
        <v/>
      </c>
    </row>
    <row r="178" spans="1:7" ht="15.75" customHeight="1">
      <c r="A178" s="23" t="str">
        <f t="shared" si="7"/>
        <v/>
      </c>
      <c r="B178" t="str">
        <f t="shared" si="8"/>
        <v/>
      </c>
      <c r="C178" s="23" t="str">
        <f t="shared" si="9"/>
        <v/>
      </c>
      <c r="E178" s="24" t="str">
        <f>IF(NOT(ISBLANK(PEcopy!B178)),PEcopy!B178,"")</f>
        <v/>
      </c>
      <c r="F178" s="24" t="str">
        <f>IF(E178&lt;&gt;"",PEcopy!A178,"")</f>
        <v/>
      </c>
      <c r="G178" s="24" t="str">
        <f>IF(E178&lt;&gt;"",PEcopy!F178,"")</f>
        <v/>
      </c>
    </row>
    <row r="179" spans="1:7" ht="15.75" customHeight="1">
      <c r="A179" s="23" t="str">
        <f t="shared" si="7"/>
        <v/>
      </c>
      <c r="B179" t="str">
        <f t="shared" si="8"/>
        <v/>
      </c>
      <c r="C179" s="23" t="str">
        <f t="shared" si="9"/>
        <v/>
      </c>
      <c r="E179" s="24" t="str">
        <f>IF(NOT(ISBLANK(PEcopy!B179)),PEcopy!B179,"")</f>
        <v/>
      </c>
      <c r="F179" s="24" t="str">
        <f>IF(E179&lt;&gt;"",PEcopy!A179,"")</f>
        <v/>
      </c>
      <c r="G179" s="24" t="str">
        <f>IF(E179&lt;&gt;"",PEcopy!F179,"")</f>
        <v/>
      </c>
    </row>
    <row r="180" spans="1:7" ht="15.75" customHeight="1">
      <c r="A180" s="23" t="str">
        <f t="shared" si="7"/>
        <v/>
      </c>
      <c r="B180" t="str">
        <f t="shared" si="8"/>
        <v/>
      </c>
      <c r="C180" s="23" t="str">
        <f t="shared" si="9"/>
        <v/>
      </c>
      <c r="E180" s="24" t="str">
        <f>IF(NOT(ISBLANK(PEcopy!B180)),PEcopy!B180,"")</f>
        <v/>
      </c>
      <c r="F180" s="24" t="str">
        <f>IF(E180&lt;&gt;"",PEcopy!A180,"")</f>
        <v/>
      </c>
      <c r="G180" s="24" t="str">
        <f>IF(E180&lt;&gt;"",PEcopy!F180,"")</f>
        <v/>
      </c>
    </row>
    <row r="181" spans="1:7" ht="15.75" customHeight="1">
      <c r="A181" s="23" t="str">
        <f t="shared" si="7"/>
        <v/>
      </c>
      <c r="B181" t="str">
        <f t="shared" si="8"/>
        <v/>
      </c>
      <c r="C181" s="23" t="str">
        <f t="shared" si="9"/>
        <v/>
      </c>
      <c r="E181" s="24" t="str">
        <f>IF(NOT(ISBLANK(PEcopy!B181)),PEcopy!B181,"")</f>
        <v/>
      </c>
      <c r="F181" s="24" t="str">
        <f>IF(E181&lt;&gt;"",PEcopy!A181,"")</f>
        <v/>
      </c>
      <c r="G181" s="24" t="str">
        <f>IF(E181&lt;&gt;"",PEcopy!F181,"")</f>
        <v/>
      </c>
    </row>
    <row r="182" spans="1:7" ht="15.75" customHeight="1">
      <c r="A182" s="23" t="str">
        <f t="shared" si="7"/>
        <v/>
      </c>
      <c r="B182" t="str">
        <f t="shared" si="8"/>
        <v/>
      </c>
      <c r="C182" s="23" t="str">
        <f t="shared" si="9"/>
        <v/>
      </c>
      <c r="E182" s="24" t="str">
        <f>IF(NOT(ISBLANK(PEcopy!B182)),PEcopy!B182,"")</f>
        <v/>
      </c>
      <c r="F182" s="24" t="str">
        <f>IF(E182&lt;&gt;"",PEcopy!A182,"")</f>
        <v/>
      </c>
      <c r="G182" s="24" t="str">
        <f>IF(E182&lt;&gt;"",PEcopy!F182,"")</f>
        <v/>
      </c>
    </row>
    <row r="183" spans="1:7" ht="15.75" customHeight="1">
      <c r="A183" s="23" t="str">
        <f t="shared" si="7"/>
        <v/>
      </c>
      <c r="B183" t="str">
        <f t="shared" si="8"/>
        <v/>
      </c>
      <c r="C183" s="23" t="str">
        <f t="shared" si="9"/>
        <v/>
      </c>
      <c r="E183" s="24" t="str">
        <f>IF(NOT(ISBLANK(PEcopy!B183)),PEcopy!B183,"")</f>
        <v/>
      </c>
      <c r="F183" s="24" t="str">
        <f>IF(E183&lt;&gt;"",PEcopy!A183,"")</f>
        <v/>
      </c>
      <c r="G183" s="24" t="str">
        <f>IF(E183&lt;&gt;"",PEcopy!F183,"")</f>
        <v/>
      </c>
    </row>
    <row r="184" spans="1:7" ht="15.75" customHeight="1">
      <c r="A184" s="23" t="str">
        <f t="shared" si="7"/>
        <v/>
      </c>
      <c r="B184" t="str">
        <f t="shared" si="8"/>
        <v/>
      </c>
      <c r="C184" s="23" t="str">
        <f t="shared" si="9"/>
        <v/>
      </c>
      <c r="E184" s="24" t="str">
        <f>IF(NOT(ISBLANK(PEcopy!B184)),PEcopy!B184,"")</f>
        <v/>
      </c>
      <c r="F184" s="24" t="str">
        <f>IF(E184&lt;&gt;"",PEcopy!A184,"")</f>
        <v/>
      </c>
      <c r="G184" s="24" t="str">
        <f>IF(E184&lt;&gt;"",PEcopy!F184,"")</f>
        <v/>
      </c>
    </row>
    <row r="185" spans="1:7" ht="15.75" customHeight="1">
      <c r="A185" s="23" t="str">
        <f t="shared" si="7"/>
        <v/>
      </c>
      <c r="B185" t="str">
        <f t="shared" si="8"/>
        <v/>
      </c>
      <c r="C185" s="23" t="str">
        <f t="shared" si="9"/>
        <v/>
      </c>
      <c r="E185" s="24" t="str">
        <f>IF(NOT(ISBLANK(PEcopy!B185)),PEcopy!B185,"")</f>
        <v/>
      </c>
      <c r="F185" s="24" t="str">
        <f>IF(E185&lt;&gt;"",PEcopy!A185,"")</f>
        <v/>
      </c>
      <c r="G185" s="24" t="str">
        <f>IF(E185&lt;&gt;"",PEcopy!F185,"")</f>
        <v/>
      </c>
    </row>
    <row r="186" spans="1:7" ht="15.75" customHeight="1">
      <c r="A186" s="23" t="str">
        <f t="shared" si="7"/>
        <v/>
      </c>
      <c r="B186" t="str">
        <f t="shared" si="8"/>
        <v/>
      </c>
      <c r="C186" s="23" t="str">
        <f t="shared" si="9"/>
        <v/>
      </c>
      <c r="E186" s="24" t="str">
        <f>IF(NOT(ISBLANK(PEcopy!B186)),PEcopy!B186,"")</f>
        <v/>
      </c>
      <c r="F186" s="24" t="str">
        <f>IF(E186&lt;&gt;"",PEcopy!A186,"")</f>
        <v/>
      </c>
      <c r="G186" s="24" t="str">
        <f>IF(E186&lt;&gt;"",PEcopy!F186,"")</f>
        <v/>
      </c>
    </row>
    <row r="187" spans="1:7" ht="15.75" customHeight="1">
      <c r="A187" s="23" t="str">
        <f t="shared" si="7"/>
        <v/>
      </c>
      <c r="B187" t="str">
        <f t="shared" si="8"/>
        <v/>
      </c>
      <c r="C187" s="23" t="str">
        <f t="shared" si="9"/>
        <v/>
      </c>
      <c r="E187" s="24" t="str">
        <f>IF(NOT(ISBLANK(PEcopy!B187)),PEcopy!B187,"")</f>
        <v/>
      </c>
      <c r="F187" s="24" t="str">
        <f>IF(E187&lt;&gt;"",PEcopy!A187,"")</f>
        <v/>
      </c>
      <c r="G187" s="24" t="str">
        <f>IF(E187&lt;&gt;"",PEcopy!F187,"")</f>
        <v/>
      </c>
    </row>
    <row r="188" spans="1:7" ht="15.75" customHeight="1">
      <c r="A188" s="23" t="str">
        <f t="shared" si="7"/>
        <v/>
      </c>
      <c r="B188" t="str">
        <f t="shared" si="8"/>
        <v/>
      </c>
      <c r="C188" s="23" t="str">
        <f t="shared" si="9"/>
        <v/>
      </c>
      <c r="E188" s="24" t="str">
        <f>IF(NOT(ISBLANK(PEcopy!B188)),PEcopy!B188,"")</f>
        <v/>
      </c>
      <c r="F188" s="24" t="str">
        <f>IF(E188&lt;&gt;"",PEcopy!A188,"")</f>
        <v/>
      </c>
      <c r="G188" s="24" t="str">
        <f>IF(E188&lt;&gt;"",PEcopy!F188,"")</f>
        <v/>
      </c>
    </row>
    <row r="189" spans="1:7" ht="15.75" customHeight="1">
      <c r="A189" s="23" t="str">
        <f t="shared" si="7"/>
        <v/>
      </c>
      <c r="B189" t="str">
        <f t="shared" si="8"/>
        <v/>
      </c>
      <c r="C189" s="23" t="str">
        <f t="shared" si="9"/>
        <v/>
      </c>
      <c r="E189" s="24" t="str">
        <f>IF(NOT(ISBLANK(PEcopy!B189)),PEcopy!B189,"")</f>
        <v/>
      </c>
      <c r="F189" s="24" t="str">
        <f>IF(E189&lt;&gt;"",PEcopy!A189,"")</f>
        <v/>
      </c>
      <c r="G189" s="24" t="str">
        <f>IF(E189&lt;&gt;"",PEcopy!F189,"")</f>
        <v/>
      </c>
    </row>
    <row r="190" spans="1:7" ht="15.75" customHeight="1">
      <c r="A190" s="23" t="str">
        <f t="shared" si="7"/>
        <v/>
      </c>
      <c r="B190" t="str">
        <f t="shared" si="8"/>
        <v/>
      </c>
      <c r="C190" s="23" t="str">
        <f t="shared" si="9"/>
        <v/>
      </c>
      <c r="E190" s="24" t="str">
        <f>IF(NOT(ISBLANK(PEcopy!B190)),PEcopy!B190,"")</f>
        <v/>
      </c>
      <c r="F190" s="24" t="str">
        <f>IF(E190&lt;&gt;"",PEcopy!A190,"")</f>
        <v/>
      </c>
      <c r="G190" s="24" t="str">
        <f>IF(E190&lt;&gt;"",PEcopy!F190,"")</f>
        <v/>
      </c>
    </row>
    <row r="191" spans="1:7" ht="15.75" customHeight="1">
      <c r="A191" s="23" t="str">
        <f t="shared" si="7"/>
        <v/>
      </c>
      <c r="B191" t="str">
        <f t="shared" si="8"/>
        <v/>
      </c>
      <c r="C191" s="23" t="str">
        <f t="shared" si="9"/>
        <v/>
      </c>
      <c r="E191" s="24" t="str">
        <f>IF(NOT(ISBLANK(PEcopy!B191)),PEcopy!B191,"")</f>
        <v/>
      </c>
      <c r="F191" s="24" t="str">
        <f>IF(E191&lt;&gt;"",PEcopy!A191,"")</f>
        <v/>
      </c>
      <c r="G191" s="24" t="str">
        <f>IF(E191&lt;&gt;"",PEcopy!F191,"")</f>
        <v/>
      </c>
    </row>
    <row r="192" spans="1:7" ht="15.75" customHeight="1">
      <c r="A192" s="23" t="str">
        <f t="shared" si="7"/>
        <v/>
      </c>
      <c r="B192" t="str">
        <f t="shared" si="8"/>
        <v/>
      </c>
      <c r="C192" s="23" t="str">
        <f t="shared" si="9"/>
        <v/>
      </c>
      <c r="E192" s="24" t="str">
        <f>IF(NOT(ISBLANK(PEcopy!B192)),PEcopy!B192,"")</f>
        <v/>
      </c>
      <c r="F192" s="24" t="str">
        <f>IF(E192&lt;&gt;"",PEcopy!A192,"")</f>
        <v/>
      </c>
      <c r="G192" s="24" t="str">
        <f>IF(E192&lt;&gt;"",PEcopy!F192,"")</f>
        <v/>
      </c>
    </row>
    <row r="193" spans="1:7" ht="15.75" customHeight="1">
      <c r="A193" s="23" t="str">
        <f t="shared" si="7"/>
        <v/>
      </c>
      <c r="B193" t="str">
        <f t="shared" si="8"/>
        <v/>
      </c>
      <c r="C193" s="23" t="str">
        <f t="shared" si="9"/>
        <v/>
      </c>
      <c r="E193" s="24" t="str">
        <f>IF(NOT(ISBLANK(PEcopy!B193)),PEcopy!B193,"")</f>
        <v/>
      </c>
      <c r="F193" s="24" t="str">
        <f>IF(E193&lt;&gt;"",PEcopy!A193,"")</f>
        <v/>
      </c>
      <c r="G193" s="24" t="str">
        <f>IF(E193&lt;&gt;"",PEcopy!F193,"")</f>
        <v/>
      </c>
    </row>
    <row r="194" spans="1:7" ht="15.75" customHeight="1">
      <c r="A194" s="23" t="str">
        <f t="shared" si="7"/>
        <v/>
      </c>
      <c r="B194" t="str">
        <f t="shared" si="8"/>
        <v/>
      </c>
      <c r="C194" s="23" t="str">
        <f t="shared" si="9"/>
        <v/>
      </c>
      <c r="E194" s="24" t="str">
        <f>IF(NOT(ISBLANK(PEcopy!B194)),PEcopy!B194,"")</f>
        <v/>
      </c>
      <c r="F194" s="24" t="str">
        <f>IF(E194&lt;&gt;"",PEcopy!A194,"")</f>
        <v/>
      </c>
      <c r="G194" s="24" t="str">
        <f>IF(E194&lt;&gt;"",PEcopy!F194,"")</f>
        <v/>
      </c>
    </row>
    <row r="195" spans="1:7" ht="15.75" customHeight="1">
      <c r="A195" s="23" t="str">
        <f t="shared" ref="A195:A258" si="10">IF(E195&lt;&gt;"",DATEVALUE(LEFT(E195,10)),"")</f>
        <v/>
      </c>
      <c r="B195" t="str">
        <f t="shared" ref="B195:B258" si="11">IF(LEN(F195)&gt;3,RIGHT(F195,LEN(F195)-3),"")</f>
        <v/>
      </c>
      <c r="C195" s="23" t="str">
        <f t="shared" ref="C195:C258" si="12">IF(E195&lt;&gt;"",DATEVALUE(LEFT(G195,10)),"")</f>
        <v/>
      </c>
      <c r="E195" s="24" t="str">
        <f>IF(NOT(ISBLANK(PEcopy!B195)),PEcopy!B195,"")</f>
        <v/>
      </c>
      <c r="F195" s="24" t="str">
        <f>IF(E195&lt;&gt;"",PEcopy!A195,"")</f>
        <v/>
      </c>
      <c r="G195" s="24" t="str">
        <f>IF(E195&lt;&gt;"",PEcopy!F195,"")</f>
        <v/>
      </c>
    </row>
    <row r="196" spans="1:7" ht="15.75" customHeight="1">
      <c r="A196" s="23" t="str">
        <f t="shared" si="10"/>
        <v/>
      </c>
      <c r="B196" t="str">
        <f t="shared" si="11"/>
        <v/>
      </c>
      <c r="C196" s="23" t="str">
        <f t="shared" si="12"/>
        <v/>
      </c>
      <c r="E196" s="24" t="str">
        <f>IF(NOT(ISBLANK(PEcopy!B196)),PEcopy!B196,"")</f>
        <v/>
      </c>
      <c r="F196" s="24" t="str">
        <f>IF(E196&lt;&gt;"",PEcopy!A196,"")</f>
        <v/>
      </c>
      <c r="G196" s="24" t="str">
        <f>IF(E196&lt;&gt;"",PEcopy!F196,"")</f>
        <v/>
      </c>
    </row>
    <row r="197" spans="1:7" ht="15.75" customHeight="1">
      <c r="A197" s="23" t="str">
        <f t="shared" si="10"/>
        <v/>
      </c>
      <c r="B197" t="str">
        <f t="shared" si="11"/>
        <v/>
      </c>
      <c r="C197" s="23" t="str">
        <f t="shared" si="12"/>
        <v/>
      </c>
      <c r="E197" s="24" t="str">
        <f>IF(NOT(ISBLANK(PEcopy!B197)),PEcopy!B197,"")</f>
        <v/>
      </c>
      <c r="F197" s="24" t="str">
        <f>IF(E197&lt;&gt;"",PEcopy!A197,"")</f>
        <v/>
      </c>
      <c r="G197" s="24" t="str">
        <f>IF(E197&lt;&gt;"",PEcopy!F197,"")</f>
        <v/>
      </c>
    </row>
    <row r="198" spans="1:7" ht="15.75" customHeight="1">
      <c r="A198" s="23" t="str">
        <f t="shared" si="10"/>
        <v/>
      </c>
      <c r="B198" t="str">
        <f t="shared" si="11"/>
        <v/>
      </c>
      <c r="C198" s="23" t="str">
        <f t="shared" si="12"/>
        <v/>
      </c>
      <c r="E198" s="24" t="str">
        <f>IF(NOT(ISBLANK(PEcopy!B198)),PEcopy!B198,"")</f>
        <v/>
      </c>
      <c r="F198" s="24" t="str">
        <f>IF(E198&lt;&gt;"",PEcopy!A198,"")</f>
        <v/>
      </c>
      <c r="G198" s="24" t="str">
        <f>IF(E198&lt;&gt;"",PEcopy!F198,"")</f>
        <v/>
      </c>
    </row>
    <row r="199" spans="1:7" ht="15.75" customHeight="1">
      <c r="A199" s="23" t="str">
        <f t="shared" si="10"/>
        <v/>
      </c>
      <c r="B199" t="str">
        <f t="shared" si="11"/>
        <v/>
      </c>
      <c r="C199" s="23" t="str">
        <f t="shared" si="12"/>
        <v/>
      </c>
      <c r="E199" s="24" t="str">
        <f>IF(NOT(ISBLANK(PEcopy!B199)),PEcopy!B199,"")</f>
        <v/>
      </c>
      <c r="F199" s="24" t="str">
        <f>IF(E199&lt;&gt;"",PEcopy!A199,"")</f>
        <v/>
      </c>
      <c r="G199" s="24" t="str">
        <f>IF(E199&lt;&gt;"",PEcopy!F199,"")</f>
        <v/>
      </c>
    </row>
    <row r="200" spans="1:7" ht="15.75" customHeight="1">
      <c r="A200" s="23" t="str">
        <f t="shared" si="10"/>
        <v/>
      </c>
      <c r="B200" t="str">
        <f t="shared" si="11"/>
        <v/>
      </c>
      <c r="C200" s="23" t="str">
        <f t="shared" si="12"/>
        <v/>
      </c>
      <c r="E200" s="24" t="str">
        <f>IF(NOT(ISBLANK(PEcopy!B200)),PEcopy!B200,"")</f>
        <v/>
      </c>
      <c r="F200" s="24" t="str">
        <f>IF(E200&lt;&gt;"",PEcopy!A200,"")</f>
        <v/>
      </c>
      <c r="G200" s="24" t="str">
        <f>IF(E200&lt;&gt;"",PEcopy!F200,"")</f>
        <v/>
      </c>
    </row>
    <row r="201" spans="1:7" ht="15.75" customHeight="1">
      <c r="A201" s="23" t="str">
        <f t="shared" si="10"/>
        <v/>
      </c>
      <c r="B201" t="str">
        <f t="shared" si="11"/>
        <v/>
      </c>
      <c r="C201" s="23" t="str">
        <f t="shared" si="12"/>
        <v/>
      </c>
      <c r="E201" s="24" t="str">
        <f>IF(NOT(ISBLANK(PEcopy!B201)),PEcopy!B201,"")</f>
        <v/>
      </c>
      <c r="F201" s="24" t="str">
        <f>IF(E201&lt;&gt;"",PEcopy!A201,"")</f>
        <v/>
      </c>
      <c r="G201" s="24" t="str">
        <f>IF(E201&lt;&gt;"",PEcopy!F201,"")</f>
        <v/>
      </c>
    </row>
    <row r="202" spans="1:7" ht="15.75" customHeight="1">
      <c r="A202" s="23" t="str">
        <f t="shared" si="10"/>
        <v/>
      </c>
      <c r="B202" t="str">
        <f t="shared" si="11"/>
        <v/>
      </c>
      <c r="C202" s="23" t="str">
        <f t="shared" si="12"/>
        <v/>
      </c>
      <c r="E202" s="24" t="str">
        <f>IF(NOT(ISBLANK(PEcopy!B202)),PEcopy!B202,"")</f>
        <v/>
      </c>
      <c r="F202" s="24" t="str">
        <f>IF(E202&lt;&gt;"",PEcopy!A202,"")</f>
        <v/>
      </c>
      <c r="G202" s="24" t="str">
        <f>IF(E202&lt;&gt;"",PEcopy!F202,"")</f>
        <v/>
      </c>
    </row>
    <row r="203" spans="1:7" ht="15.75" customHeight="1">
      <c r="A203" s="23" t="str">
        <f t="shared" si="10"/>
        <v/>
      </c>
      <c r="B203" t="str">
        <f t="shared" si="11"/>
        <v/>
      </c>
      <c r="C203" s="23" t="str">
        <f t="shared" si="12"/>
        <v/>
      </c>
      <c r="E203" s="24" t="str">
        <f>IF(NOT(ISBLANK(PEcopy!B203)),PEcopy!B203,"")</f>
        <v/>
      </c>
      <c r="F203" s="24" t="str">
        <f>IF(E203&lt;&gt;"",PEcopy!A203,"")</f>
        <v/>
      </c>
      <c r="G203" s="24" t="str">
        <f>IF(E203&lt;&gt;"",PEcopy!F203,"")</f>
        <v/>
      </c>
    </row>
    <row r="204" spans="1:7" ht="15.75" customHeight="1">
      <c r="A204" s="23" t="str">
        <f t="shared" si="10"/>
        <v/>
      </c>
      <c r="B204" t="str">
        <f t="shared" si="11"/>
        <v/>
      </c>
      <c r="C204" s="23" t="str">
        <f t="shared" si="12"/>
        <v/>
      </c>
      <c r="E204" s="24" t="str">
        <f>IF(NOT(ISBLANK(PEcopy!B204)),PEcopy!B204,"")</f>
        <v/>
      </c>
      <c r="F204" s="24" t="str">
        <f>IF(E204&lt;&gt;"",PEcopy!A204,"")</f>
        <v/>
      </c>
      <c r="G204" s="24" t="str">
        <f>IF(E204&lt;&gt;"",PEcopy!F204,"")</f>
        <v/>
      </c>
    </row>
    <row r="205" spans="1:7" ht="15.75" customHeight="1">
      <c r="A205" s="23" t="str">
        <f t="shared" si="10"/>
        <v/>
      </c>
      <c r="B205" t="str">
        <f t="shared" si="11"/>
        <v/>
      </c>
      <c r="C205" s="23" t="str">
        <f t="shared" si="12"/>
        <v/>
      </c>
      <c r="E205" s="24" t="str">
        <f>IF(NOT(ISBLANK(PEcopy!B205)),PEcopy!B205,"")</f>
        <v/>
      </c>
      <c r="F205" s="24" t="str">
        <f>IF(E205&lt;&gt;"",PEcopy!A205,"")</f>
        <v/>
      </c>
      <c r="G205" s="24" t="str">
        <f>IF(E205&lt;&gt;"",PEcopy!F205,"")</f>
        <v/>
      </c>
    </row>
    <row r="206" spans="1:7" ht="15.75" customHeight="1">
      <c r="A206" s="23" t="str">
        <f t="shared" si="10"/>
        <v/>
      </c>
      <c r="B206" t="str">
        <f t="shared" si="11"/>
        <v/>
      </c>
      <c r="C206" s="23" t="str">
        <f t="shared" si="12"/>
        <v/>
      </c>
      <c r="E206" s="24" t="str">
        <f>IF(NOT(ISBLANK(PEcopy!B206)),PEcopy!B206,"")</f>
        <v/>
      </c>
      <c r="F206" s="24" t="str">
        <f>IF(E206&lt;&gt;"",PEcopy!A206,"")</f>
        <v/>
      </c>
      <c r="G206" s="24" t="str">
        <f>IF(E206&lt;&gt;"",PEcopy!F206,"")</f>
        <v/>
      </c>
    </row>
    <row r="207" spans="1:7" ht="15.75" customHeight="1">
      <c r="A207" s="23" t="str">
        <f t="shared" si="10"/>
        <v/>
      </c>
      <c r="B207" t="str">
        <f t="shared" si="11"/>
        <v/>
      </c>
      <c r="C207" s="23" t="str">
        <f t="shared" si="12"/>
        <v/>
      </c>
      <c r="E207" s="24" t="str">
        <f>IF(NOT(ISBLANK(PEcopy!B207)),PEcopy!B207,"")</f>
        <v/>
      </c>
      <c r="F207" s="24" t="str">
        <f>IF(E207&lt;&gt;"",PEcopy!A207,"")</f>
        <v/>
      </c>
      <c r="G207" s="24" t="str">
        <f>IF(E207&lt;&gt;"",PEcopy!F207,"")</f>
        <v/>
      </c>
    </row>
    <row r="208" spans="1:7" ht="15.75" customHeight="1">
      <c r="A208" s="23" t="str">
        <f t="shared" si="10"/>
        <v/>
      </c>
      <c r="B208" t="str">
        <f t="shared" si="11"/>
        <v/>
      </c>
      <c r="C208" s="23" t="str">
        <f t="shared" si="12"/>
        <v/>
      </c>
      <c r="E208" s="24" t="str">
        <f>IF(NOT(ISBLANK(PEcopy!B208)),PEcopy!B208,"")</f>
        <v/>
      </c>
      <c r="F208" s="24" t="str">
        <f>IF(E208&lt;&gt;"",PEcopy!A208,"")</f>
        <v/>
      </c>
      <c r="G208" s="24" t="str">
        <f>IF(E208&lt;&gt;"",PEcopy!F208,"")</f>
        <v/>
      </c>
    </row>
    <row r="209" spans="1:7" ht="15.75" customHeight="1">
      <c r="A209" s="23" t="str">
        <f t="shared" si="10"/>
        <v/>
      </c>
      <c r="B209" t="str">
        <f t="shared" si="11"/>
        <v/>
      </c>
      <c r="C209" s="23" t="str">
        <f t="shared" si="12"/>
        <v/>
      </c>
      <c r="E209" s="24" t="str">
        <f>IF(NOT(ISBLANK(PEcopy!B209)),PEcopy!B209,"")</f>
        <v/>
      </c>
      <c r="F209" s="24" t="str">
        <f>IF(E209&lt;&gt;"",PEcopy!A209,"")</f>
        <v/>
      </c>
      <c r="G209" s="24" t="str">
        <f>IF(E209&lt;&gt;"",PEcopy!F209,"")</f>
        <v/>
      </c>
    </row>
    <row r="210" spans="1:7" ht="15.75" customHeight="1">
      <c r="A210" s="23" t="str">
        <f t="shared" si="10"/>
        <v/>
      </c>
      <c r="B210" t="str">
        <f t="shared" si="11"/>
        <v/>
      </c>
      <c r="C210" s="23" t="str">
        <f t="shared" si="12"/>
        <v/>
      </c>
      <c r="E210" s="24" t="str">
        <f>IF(NOT(ISBLANK(PEcopy!B210)),PEcopy!B210,"")</f>
        <v/>
      </c>
      <c r="F210" s="24" t="str">
        <f>IF(E210&lt;&gt;"",PEcopy!A210,"")</f>
        <v/>
      </c>
      <c r="G210" s="24" t="str">
        <f>IF(E210&lt;&gt;"",PEcopy!F210,"")</f>
        <v/>
      </c>
    </row>
    <row r="211" spans="1:7" ht="15.75" customHeight="1">
      <c r="A211" s="23" t="str">
        <f t="shared" si="10"/>
        <v/>
      </c>
      <c r="B211" t="str">
        <f t="shared" si="11"/>
        <v/>
      </c>
      <c r="C211" s="23" t="str">
        <f t="shared" si="12"/>
        <v/>
      </c>
      <c r="E211" s="24" t="str">
        <f>IF(NOT(ISBLANK(PEcopy!B211)),PEcopy!B211,"")</f>
        <v/>
      </c>
      <c r="F211" s="24" t="str">
        <f>IF(E211&lt;&gt;"",PEcopy!A211,"")</f>
        <v/>
      </c>
      <c r="G211" s="24" t="str">
        <f>IF(E211&lt;&gt;"",PEcopy!F211,"")</f>
        <v/>
      </c>
    </row>
    <row r="212" spans="1:7" ht="15.75" customHeight="1">
      <c r="A212" s="23" t="str">
        <f t="shared" si="10"/>
        <v/>
      </c>
      <c r="B212" t="str">
        <f t="shared" si="11"/>
        <v/>
      </c>
      <c r="C212" s="23" t="str">
        <f t="shared" si="12"/>
        <v/>
      </c>
      <c r="E212" s="24" t="str">
        <f>IF(NOT(ISBLANK(PEcopy!B212)),PEcopy!B212,"")</f>
        <v/>
      </c>
      <c r="F212" s="24" t="str">
        <f>IF(E212&lt;&gt;"",PEcopy!A212,"")</f>
        <v/>
      </c>
      <c r="G212" s="24" t="str">
        <f>IF(E212&lt;&gt;"",PEcopy!F212,"")</f>
        <v/>
      </c>
    </row>
    <row r="213" spans="1:7" ht="15.75" customHeight="1">
      <c r="A213" s="23" t="str">
        <f t="shared" si="10"/>
        <v/>
      </c>
      <c r="B213" t="str">
        <f t="shared" si="11"/>
        <v/>
      </c>
      <c r="C213" s="23" t="str">
        <f t="shared" si="12"/>
        <v/>
      </c>
      <c r="E213" s="24" t="str">
        <f>IF(NOT(ISBLANK(PEcopy!B213)),PEcopy!B213,"")</f>
        <v/>
      </c>
      <c r="F213" s="24" t="str">
        <f>IF(E213&lt;&gt;"",PEcopy!A213,"")</f>
        <v/>
      </c>
      <c r="G213" s="24" t="str">
        <f>IF(E213&lt;&gt;"",PEcopy!F213,"")</f>
        <v/>
      </c>
    </row>
    <row r="214" spans="1:7" ht="15.75" customHeight="1">
      <c r="A214" s="23" t="str">
        <f t="shared" si="10"/>
        <v/>
      </c>
      <c r="B214" t="str">
        <f t="shared" si="11"/>
        <v/>
      </c>
      <c r="C214" s="23" t="str">
        <f t="shared" si="12"/>
        <v/>
      </c>
      <c r="E214" s="24" t="str">
        <f>IF(NOT(ISBLANK(PEcopy!B214)),PEcopy!B214,"")</f>
        <v/>
      </c>
      <c r="F214" s="24" t="str">
        <f>IF(E214&lt;&gt;"",PEcopy!A214,"")</f>
        <v/>
      </c>
      <c r="G214" s="24" t="str">
        <f>IF(E214&lt;&gt;"",PEcopy!F214,"")</f>
        <v/>
      </c>
    </row>
    <row r="215" spans="1:7" ht="15.75" customHeight="1">
      <c r="A215" s="23" t="str">
        <f t="shared" si="10"/>
        <v/>
      </c>
      <c r="B215" t="str">
        <f t="shared" si="11"/>
        <v/>
      </c>
      <c r="C215" s="23" t="str">
        <f t="shared" si="12"/>
        <v/>
      </c>
      <c r="E215" s="24" t="str">
        <f>IF(NOT(ISBLANK(PEcopy!B215)),PEcopy!B215,"")</f>
        <v/>
      </c>
      <c r="F215" s="24" t="str">
        <f>IF(E215&lt;&gt;"",PEcopy!A215,"")</f>
        <v/>
      </c>
      <c r="G215" s="24" t="str">
        <f>IF(E215&lt;&gt;"",PEcopy!F215,"")</f>
        <v/>
      </c>
    </row>
    <row r="216" spans="1:7" ht="15.75" customHeight="1">
      <c r="A216" s="23" t="str">
        <f t="shared" si="10"/>
        <v/>
      </c>
      <c r="B216" t="str">
        <f t="shared" si="11"/>
        <v/>
      </c>
      <c r="C216" s="23" t="str">
        <f t="shared" si="12"/>
        <v/>
      </c>
      <c r="E216" s="24" t="str">
        <f>IF(NOT(ISBLANK(PEcopy!B216)),PEcopy!B216,"")</f>
        <v/>
      </c>
      <c r="F216" s="24" t="str">
        <f>IF(E216&lt;&gt;"",PEcopy!A216,"")</f>
        <v/>
      </c>
      <c r="G216" s="24" t="str">
        <f>IF(E216&lt;&gt;"",PEcopy!F216,"")</f>
        <v/>
      </c>
    </row>
    <row r="217" spans="1:7" ht="15.75" customHeight="1">
      <c r="A217" s="23" t="str">
        <f t="shared" si="10"/>
        <v/>
      </c>
      <c r="B217" t="str">
        <f t="shared" si="11"/>
        <v/>
      </c>
      <c r="C217" s="23" t="str">
        <f t="shared" si="12"/>
        <v/>
      </c>
      <c r="E217" s="24" t="str">
        <f>IF(NOT(ISBLANK(PEcopy!B217)),PEcopy!B217,"")</f>
        <v/>
      </c>
      <c r="F217" s="24" t="str">
        <f>IF(E217&lt;&gt;"",PEcopy!A217,"")</f>
        <v/>
      </c>
      <c r="G217" s="24" t="str">
        <f>IF(E217&lt;&gt;"",PEcopy!F217,"")</f>
        <v/>
      </c>
    </row>
    <row r="218" spans="1:7" ht="15.75" customHeight="1">
      <c r="A218" s="23" t="str">
        <f t="shared" si="10"/>
        <v/>
      </c>
      <c r="B218" t="str">
        <f t="shared" si="11"/>
        <v/>
      </c>
      <c r="C218" s="23" t="str">
        <f t="shared" si="12"/>
        <v/>
      </c>
      <c r="E218" s="24" t="str">
        <f>IF(NOT(ISBLANK(PEcopy!B218)),PEcopy!B218,"")</f>
        <v/>
      </c>
      <c r="F218" s="24" t="str">
        <f>IF(E218&lt;&gt;"",PEcopy!A218,"")</f>
        <v/>
      </c>
      <c r="G218" s="24" t="str">
        <f>IF(E218&lt;&gt;"",PEcopy!F218,"")</f>
        <v/>
      </c>
    </row>
    <row r="219" spans="1:7" ht="15.75" customHeight="1">
      <c r="A219" s="23" t="str">
        <f t="shared" si="10"/>
        <v/>
      </c>
      <c r="B219" t="str">
        <f t="shared" si="11"/>
        <v/>
      </c>
      <c r="C219" s="23" t="str">
        <f t="shared" si="12"/>
        <v/>
      </c>
      <c r="E219" s="24" t="str">
        <f>IF(NOT(ISBLANK(PEcopy!B219)),PEcopy!B219,"")</f>
        <v/>
      </c>
      <c r="F219" s="24" t="str">
        <f>IF(E219&lt;&gt;"",PEcopy!A219,"")</f>
        <v/>
      </c>
      <c r="G219" s="24" t="str">
        <f>IF(E219&lt;&gt;"",PEcopy!F219,"")</f>
        <v/>
      </c>
    </row>
    <row r="220" spans="1:7" ht="15.75" customHeight="1">
      <c r="A220" s="23" t="str">
        <f t="shared" si="10"/>
        <v/>
      </c>
      <c r="B220" t="str">
        <f t="shared" si="11"/>
        <v/>
      </c>
      <c r="C220" s="23" t="str">
        <f t="shared" si="12"/>
        <v/>
      </c>
      <c r="E220" s="24" t="str">
        <f>IF(NOT(ISBLANK(PEcopy!B220)),PEcopy!B220,"")</f>
        <v/>
      </c>
      <c r="F220" s="24" t="str">
        <f>IF(E220&lt;&gt;"",PEcopy!A220,"")</f>
        <v/>
      </c>
      <c r="G220" s="24" t="str">
        <f>IF(E220&lt;&gt;"",PEcopy!F220,"")</f>
        <v/>
      </c>
    </row>
    <row r="221" spans="1:7" ht="15.75" customHeight="1">
      <c r="A221" s="23" t="str">
        <f t="shared" si="10"/>
        <v/>
      </c>
      <c r="B221" t="str">
        <f t="shared" si="11"/>
        <v/>
      </c>
      <c r="C221" s="23" t="str">
        <f t="shared" si="12"/>
        <v/>
      </c>
      <c r="E221" s="24" t="str">
        <f>IF(NOT(ISBLANK(PEcopy!B221)),PEcopy!B221,"")</f>
        <v/>
      </c>
      <c r="F221" s="24" t="str">
        <f>IF(E221&lt;&gt;"",PEcopy!A221,"")</f>
        <v/>
      </c>
      <c r="G221" s="24" t="str">
        <f>IF(E221&lt;&gt;"",PEcopy!F221,"")</f>
        <v/>
      </c>
    </row>
    <row r="222" spans="1:7" ht="15.75" customHeight="1">
      <c r="A222" s="23" t="str">
        <f t="shared" si="10"/>
        <v/>
      </c>
      <c r="B222" t="str">
        <f t="shared" si="11"/>
        <v/>
      </c>
      <c r="C222" s="23" t="str">
        <f t="shared" si="12"/>
        <v/>
      </c>
      <c r="E222" s="24" t="str">
        <f>IF(NOT(ISBLANK(PEcopy!B222)),PEcopy!B222,"")</f>
        <v/>
      </c>
      <c r="F222" s="24" t="str">
        <f>IF(E222&lt;&gt;"",PEcopy!A222,"")</f>
        <v/>
      </c>
      <c r="G222" s="24" t="str">
        <f>IF(E222&lt;&gt;"",PEcopy!F222,"")</f>
        <v/>
      </c>
    </row>
    <row r="223" spans="1:7" ht="15.75" customHeight="1">
      <c r="A223" s="23" t="str">
        <f t="shared" si="10"/>
        <v/>
      </c>
      <c r="B223" t="str">
        <f t="shared" si="11"/>
        <v/>
      </c>
      <c r="C223" s="23" t="str">
        <f t="shared" si="12"/>
        <v/>
      </c>
      <c r="E223" s="24" t="str">
        <f>IF(NOT(ISBLANK(PEcopy!B223)),PEcopy!B223,"")</f>
        <v/>
      </c>
      <c r="F223" s="24" t="str">
        <f>IF(E223&lt;&gt;"",PEcopy!A223,"")</f>
        <v/>
      </c>
      <c r="G223" s="24" t="str">
        <f>IF(E223&lt;&gt;"",PEcopy!F223,"")</f>
        <v/>
      </c>
    </row>
    <row r="224" spans="1:7" ht="15.75" customHeight="1">
      <c r="A224" s="23" t="str">
        <f t="shared" si="10"/>
        <v/>
      </c>
      <c r="B224" t="str">
        <f t="shared" si="11"/>
        <v/>
      </c>
      <c r="C224" s="23" t="str">
        <f t="shared" si="12"/>
        <v/>
      </c>
      <c r="E224" s="24" t="str">
        <f>IF(NOT(ISBLANK(PEcopy!B224)),PEcopy!B224,"")</f>
        <v/>
      </c>
      <c r="F224" s="24" t="str">
        <f>IF(E224&lt;&gt;"",PEcopy!A224,"")</f>
        <v/>
      </c>
      <c r="G224" s="24" t="str">
        <f>IF(E224&lt;&gt;"",PEcopy!F224,"")</f>
        <v/>
      </c>
    </row>
    <row r="225" spans="1:7" ht="15.75" customHeight="1">
      <c r="A225" s="23" t="str">
        <f t="shared" si="10"/>
        <v/>
      </c>
      <c r="B225" t="str">
        <f t="shared" si="11"/>
        <v/>
      </c>
      <c r="C225" s="23" t="str">
        <f t="shared" si="12"/>
        <v/>
      </c>
      <c r="E225" s="24" t="str">
        <f>IF(NOT(ISBLANK(PEcopy!B225)),PEcopy!B225,"")</f>
        <v/>
      </c>
      <c r="F225" s="24" t="str">
        <f>IF(E225&lt;&gt;"",PEcopy!A225,"")</f>
        <v/>
      </c>
      <c r="G225" s="24" t="str">
        <f>IF(E225&lt;&gt;"",PEcopy!F225,"")</f>
        <v/>
      </c>
    </row>
    <row r="226" spans="1:7" ht="15.75" customHeight="1">
      <c r="A226" s="23" t="str">
        <f t="shared" si="10"/>
        <v/>
      </c>
      <c r="B226" t="str">
        <f t="shared" si="11"/>
        <v/>
      </c>
      <c r="C226" s="23" t="str">
        <f t="shared" si="12"/>
        <v/>
      </c>
      <c r="E226" s="24" t="str">
        <f>IF(NOT(ISBLANK(PEcopy!B226)),PEcopy!B226,"")</f>
        <v/>
      </c>
      <c r="F226" s="24" t="str">
        <f>IF(E226&lt;&gt;"",PEcopy!A226,"")</f>
        <v/>
      </c>
      <c r="G226" s="24" t="str">
        <f>IF(E226&lt;&gt;"",PEcopy!F226,"")</f>
        <v/>
      </c>
    </row>
    <row r="227" spans="1:7" ht="15.75" customHeight="1">
      <c r="A227" s="23" t="str">
        <f t="shared" si="10"/>
        <v/>
      </c>
      <c r="B227" t="str">
        <f t="shared" si="11"/>
        <v/>
      </c>
      <c r="C227" s="23" t="str">
        <f t="shared" si="12"/>
        <v/>
      </c>
      <c r="E227" s="24" t="str">
        <f>IF(NOT(ISBLANK(PEcopy!B227)),PEcopy!B227,"")</f>
        <v/>
      </c>
      <c r="F227" s="24" t="str">
        <f>IF(E227&lt;&gt;"",PEcopy!A227,"")</f>
        <v/>
      </c>
      <c r="G227" s="24" t="str">
        <f>IF(E227&lt;&gt;"",PEcopy!F227,"")</f>
        <v/>
      </c>
    </row>
    <row r="228" spans="1:7" ht="15.75" customHeight="1">
      <c r="A228" s="23" t="str">
        <f t="shared" si="10"/>
        <v/>
      </c>
      <c r="B228" t="str">
        <f t="shared" si="11"/>
        <v/>
      </c>
      <c r="C228" s="23" t="str">
        <f t="shared" si="12"/>
        <v/>
      </c>
      <c r="E228" s="24" t="str">
        <f>IF(NOT(ISBLANK(PEcopy!B228)),PEcopy!B228,"")</f>
        <v/>
      </c>
      <c r="F228" s="24" t="str">
        <f>IF(E228&lt;&gt;"",PEcopy!A228,"")</f>
        <v/>
      </c>
      <c r="G228" s="24" t="str">
        <f>IF(E228&lt;&gt;"",PEcopy!F228,"")</f>
        <v/>
      </c>
    </row>
    <row r="229" spans="1:7" ht="15.75" customHeight="1">
      <c r="A229" s="23" t="str">
        <f t="shared" si="10"/>
        <v/>
      </c>
      <c r="B229" t="str">
        <f t="shared" si="11"/>
        <v/>
      </c>
      <c r="C229" s="23" t="str">
        <f t="shared" si="12"/>
        <v/>
      </c>
      <c r="E229" s="24" t="str">
        <f>IF(NOT(ISBLANK(PEcopy!B229)),PEcopy!B229,"")</f>
        <v/>
      </c>
      <c r="F229" s="24" t="str">
        <f>IF(E229&lt;&gt;"",PEcopy!A229,"")</f>
        <v/>
      </c>
      <c r="G229" s="24" t="str">
        <f>IF(E229&lt;&gt;"",PEcopy!F229,"")</f>
        <v/>
      </c>
    </row>
    <row r="230" spans="1:7" ht="15.75" customHeight="1">
      <c r="A230" s="23" t="str">
        <f t="shared" si="10"/>
        <v/>
      </c>
      <c r="B230" t="str">
        <f t="shared" si="11"/>
        <v/>
      </c>
      <c r="C230" s="23" t="str">
        <f t="shared" si="12"/>
        <v/>
      </c>
      <c r="E230" s="24" t="str">
        <f>IF(NOT(ISBLANK(PEcopy!B230)),PEcopy!B230,"")</f>
        <v/>
      </c>
      <c r="F230" s="24" t="str">
        <f>IF(E230&lt;&gt;"",PEcopy!A230,"")</f>
        <v/>
      </c>
      <c r="G230" s="24" t="str">
        <f>IF(E230&lt;&gt;"",PEcopy!F230,"")</f>
        <v/>
      </c>
    </row>
    <row r="231" spans="1:7" ht="15.75" customHeight="1">
      <c r="A231" s="23" t="str">
        <f t="shared" si="10"/>
        <v/>
      </c>
      <c r="B231" t="str">
        <f t="shared" si="11"/>
        <v/>
      </c>
      <c r="C231" s="23" t="str">
        <f t="shared" si="12"/>
        <v/>
      </c>
      <c r="E231" s="24" t="str">
        <f>IF(NOT(ISBLANK(PEcopy!B231)),PEcopy!B231,"")</f>
        <v/>
      </c>
      <c r="F231" s="24" t="str">
        <f>IF(E231&lt;&gt;"",PEcopy!A231,"")</f>
        <v/>
      </c>
      <c r="G231" s="24" t="str">
        <f>IF(E231&lt;&gt;"",PEcopy!F231,"")</f>
        <v/>
      </c>
    </row>
    <row r="232" spans="1:7" ht="15.75" customHeight="1">
      <c r="A232" s="23" t="str">
        <f t="shared" si="10"/>
        <v/>
      </c>
      <c r="B232" t="str">
        <f t="shared" si="11"/>
        <v/>
      </c>
      <c r="C232" s="23" t="str">
        <f t="shared" si="12"/>
        <v/>
      </c>
      <c r="E232" s="24" t="str">
        <f>IF(NOT(ISBLANK(PEcopy!B232)),PEcopy!B232,"")</f>
        <v/>
      </c>
      <c r="F232" s="24" t="str">
        <f>IF(E232&lt;&gt;"",PEcopy!A232,"")</f>
        <v/>
      </c>
      <c r="G232" s="24" t="str">
        <f>IF(E232&lt;&gt;"",PEcopy!F232,"")</f>
        <v/>
      </c>
    </row>
    <row r="233" spans="1:7" ht="15.75" customHeight="1">
      <c r="A233" s="23" t="str">
        <f t="shared" si="10"/>
        <v/>
      </c>
      <c r="B233" t="str">
        <f t="shared" si="11"/>
        <v/>
      </c>
      <c r="C233" s="23" t="str">
        <f t="shared" si="12"/>
        <v/>
      </c>
      <c r="E233" s="24" t="str">
        <f>IF(NOT(ISBLANK(PEcopy!B233)),PEcopy!B233,"")</f>
        <v/>
      </c>
      <c r="F233" s="24" t="str">
        <f>IF(E233&lt;&gt;"",PEcopy!A233,"")</f>
        <v/>
      </c>
      <c r="G233" s="24" t="str">
        <f>IF(E233&lt;&gt;"",PEcopy!F233,"")</f>
        <v/>
      </c>
    </row>
    <row r="234" spans="1:7" ht="15.75" customHeight="1">
      <c r="A234" s="23" t="str">
        <f t="shared" si="10"/>
        <v/>
      </c>
      <c r="B234" t="str">
        <f t="shared" si="11"/>
        <v/>
      </c>
      <c r="C234" s="23" t="str">
        <f t="shared" si="12"/>
        <v/>
      </c>
      <c r="E234" s="24" t="str">
        <f>IF(NOT(ISBLANK(PEcopy!B234)),PEcopy!B234,"")</f>
        <v/>
      </c>
      <c r="F234" s="24" t="str">
        <f>IF(E234&lt;&gt;"",PEcopy!A234,"")</f>
        <v/>
      </c>
      <c r="G234" s="24" t="str">
        <f>IF(E234&lt;&gt;"",PEcopy!F234,"")</f>
        <v/>
      </c>
    </row>
    <row r="235" spans="1:7" ht="15.75" customHeight="1">
      <c r="A235" s="23" t="str">
        <f t="shared" si="10"/>
        <v/>
      </c>
      <c r="B235" t="str">
        <f t="shared" si="11"/>
        <v/>
      </c>
      <c r="C235" s="23" t="str">
        <f t="shared" si="12"/>
        <v/>
      </c>
      <c r="E235" s="24" t="str">
        <f>IF(NOT(ISBLANK(PEcopy!B235)),PEcopy!B235,"")</f>
        <v/>
      </c>
      <c r="F235" s="24" t="str">
        <f>IF(E235&lt;&gt;"",PEcopy!A235,"")</f>
        <v/>
      </c>
      <c r="G235" s="24" t="str">
        <f>IF(E235&lt;&gt;"",PEcopy!F235,"")</f>
        <v/>
      </c>
    </row>
    <row r="236" spans="1:7" ht="15.75" customHeight="1">
      <c r="A236" s="23" t="str">
        <f t="shared" si="10"/>
        <v/>
      </c>
      <c r="B236" t="str">
        <f t="shared" si="11"/>
        <v/>
      </c>
      <c r="C236" s="23" t="str">
        <f t="shared" si="12"/>
        <v/>
      </c>
      <c r="E236" s="24" t="str">
        <f>IF(NOT(ISBLANK(PEcopy!B236)),PEcopy!B236,"")</f>
        <v/>
      </c>
      <c r="F236" s="24" t="str">
        <f>IF(E236&lt;&gt;"",PEcopy!A236,"")</f>
        <v/>
      </c>
      <c r="G236" s="24" t="str">
        <f>IF(E236&lt;&gt;"",PEcopy!F236,"")</f>
        <v/>
      </c>
    </row>
    <row r="237" spans="1:7" ht="15.75" customHeight="1">
      <c r="A237" s="23" t="str">
        <f t="shared" si="10"/>
        <v/>
      </c>
      <c r="B237" t="str">
        <f t="shared" si="11"/>
        <v/>
      </c>
      <c r="C237" s="23" t="str">
        <f t="shared" si="12"/>
        <v/>
      </c>
      <c r="E237" s="24" t="str">
        <f>IF(NOT(ISBLANK(PEcopy!B237)),PEcopy!B237,"")</f>
        <v/>
      </c>
      <c r="F237" s="24" t="str">
        <f>IF(E237&lt;&gt;"",PEcopy!A237,"")</f>
        <v/>
      </c>
      <c r="G237" s="24" t="str">
        <f>IF(E237&lt;&gt;"",PEcopy!F237,"")</f>
        <v/>
      </c>
    </row>
    <row r="238" spans="1:7" ht="15.75" customHeight="1">
      <c r="A238" s="23" t="str">
        <f t="shared" si="10"/>
        <v/>
      </c>
      <c r="B238" t="str">
        <f t="shared" si="11"/>
        <v/>
      </c>
      <c r="C238" s="23" t="str">
        <f t="shared" si="12"/>
        <v/>
      </c>
      <c r="E238" s="24" t="str">
        <f>IF(NOT(ISBLANK(PEcopy!B238)),PEcopy!B238,"")</f>
        <v/>
      </c>
      <c r="F238" s="24" t="str">
        <f>IF(E238&lt;&gt;"",PEcopy!A238,"")</f>
        <v/>
      </c>
      <c r="G238" s="24" t="str">
        <f>IF(E238&lt;&gt;"",PEcopy!F238,"")</f>
        <v/>
      </c>
    </row>
    <row r="239" spans="1:7" ht="15.75" customHeight="1">
      <c r="A239" s="23" t="str">
        <f t="shared" si="10"/>
        <v/>
      </c>
      <c r="B239" t="str">
        <f t="shared" si="11"/>
        <v/>
      </c>
      <c r="C239" s="23" t="str">
        <f t="shared" si="12"/>
        <v/>
      </c>
      <c r="E239" s="24" t="str">
        <f>IF(NOT(ISBLANK(PEcopy!B239)),PEcopy!B239,"")</f>
        <v/>
      </c>
      <c r="F239" s="24" t="str">
        <f>IF(E239&lt;&gt;"",PEcopy!A239,"")</f>
        <v/>
      </c>
      <c r="G239" s="24" t="str">
        <f>IF(E239&lt;&gt;"",PEcopy!F239,"")</f>
        <v/>
      </c>
    </row>
    <row r="240" spans="1:7" ht="15.75" customHeight="1">
      <c r="A240" s="23" t="str">
        <f t="shared" si="10"/>
        <v/>
      </c>
      <c r="B240" t="str">
        <f t="shared" si="11"/>
        <v/>
      </c>
      <c r="C240" s="23" t="str">
        <f t="shared" si="12"/>
        <v/>
      </c>
      <c r="E240" s="24" t="str">
        <f>IF(NOT(ISBLANK(PEcopy!B240)),PEcopy!B240,"")</f>
        <v/>
      </c>
      <c r="F240" s="24" t="str">
        <f>IF(E240&lt;&gt;"",PEcopy!A240,"")</f>
        <v/>
      </c>
      <c r="G240" s="24" t="str">
        <f>IF(E240&lt;&gt;"",PEcopy!F240,"")</f>
        <v/>
      </c>
    </row>
    <row r="241" spans="1:7" ht="15.75" customHeight="1">
      <c r="A241" s="23" t="str">
        <f t="shared" si="10"/>
        <v/>
      </c>
      <c r="B241" t="str">
        <f t="shared" si="11"/>
        <v/>
      </c>
      <c r="C241" s="23" t="str">
        <f t="shared" si="12"/>
        <v/>
      </c>
      <c r="E241" s="24" t="str">
        <f>IF(NOT(ISBLANK(PEcopy!B241)),PEcopy!B241,"")</f>
        <v/>
      </c>
      <c r="F241" s="24" t="str">
        <f>IF(E241&lt;&gt;"",PEcopy!A241,"")</f>
        <v/>
      </c>
      <c r="G241" s="24" t="str">
        <f>IF(E241&lt;&gt;"",PEcopy!F241,"")</f>
        <v/>
      </c>
    </row>
    <row r="242" spans="1:7" ht="15.75" customHeight="1">
      <c r="A242" s="23" t="str">
        <f t="shared" si="10"/>
        <v/>
      </c>
      <c r="B242" t="str">
        <f t="shared" si="11"/>
        <v/>
      </c>
      <c r="C242" s="23" t="str">
        <f t="shared" si="12"/>
        <v/>
      </c>
      <c r="E242" s="24" t="str">
        <f>IF(NOT(ISBLANK(PEcopy!B242)),PEcopy!B242,"")</f>
        <v/>
      </c>
      <c r="F242" s="24" t="str">
        <f>IF(E242&lt;&gt;"",PEcopy!A242,"")</f>
        <v/>
      </c>
      <c r="G242" s="24" t="str">
        <f>IF(E242&lt;&gt;"",PEcopy!F242,"")</f>
        <v/>
      </c>
    </row>
    <row r="243" spans="1:7" ht="15.75" customHeight="1">
      <c r="A243" s="23" t="str">
        <f t="shared" si="10"/>
        <v/>
      </c>
      <c r="B243" t="str">
        <f t="shared" si="11"/>
        <v/>
      </c>
      <c r="C243" s="23" t="str">
        <f t="shared" si="12"/>
        <v/>
      </c>
      <c r="E243" s="24" t="str">
        <f>IF(NOT(ISBLANK(PEcopy!B243)),PEcopy!B243,"")</f>
        <v/>
      </c>
      <c r="F243" s="24" t="str">
        <f>IF(E243&lt;&gt;"",PEcopy!A243,"")</f>
        <v/>
      </c>
      <c r="G243" s="24" t="str">
        <f>IF(E243&lt;&gt;"",PEcopy!F243,"")</f>
        <v/>
      </c>
    </row>
    <row r="244" spans="1:7" ht="15.75" customHeight="1">
      <c r="A244" s="23" t="str">
        <f t="shared" si="10"/>
        <v/>
      </c>
      <c r="B244" t="str">
        <f t="shared" si="11"/>
        <v/>
      </c>
      <c r="C244" s="23" t="str">
        <f t="shared" si="12"/>
        <v/>
      </c>
      <c r="E244" s="24" t="str">
        <f>IF(NOT(ISBLANK(PEcopy!B244)),PEcopy!B244,"")</f>
        <v/>
      </c>
      <c r="F244" s="24" t="str">
        <f>IF(E244&lt;&gt;"",PEcopy!A244,"")</f>
        <v/>
      </c>
      <c r="G244" s="24" t="str">
        <f>IF(E244&lt;&gt;"",PEcopy!F244,"")</f>
        <v/>
      </c>
    </row>
    <row r="245" spans="1:7" ht="15.75" customHeight="1">
      <c r="A245" s="23" t="str">
        <f t="shared" si="10"/>
        <v/>
      </c>
      <c r="B245" t="str">
        <f t="shared" si="11"/>
        <v/>
      </c>
      <c r="C245" s="23" t="str">
        <f t="shared" si="12"/>
        <v/>
      </c>
      <c r="E245" s="24" t="str">
        <f>IF(NOT(ISBLANK(PEcopy!B245)),PEcopy!B245,"")</f>
        <v/>
      </c>
      <c r="F245" s="24" t="str">
        <f>IF(E245&lt;&gt;"",PEcopy!A245,"")</f>
        <v/>
      </c>
      <c r="G245" s="24" t="str">
        <f>IF(E245&lt;&gt;"",PEcopy!F245,"")</f>
        <v/>
      </c>
    </row>
    <row r="246" spans="1:7" ht="15.75" customHeight="1">
      <c r="A246" s="23" t="str">
        <f t="shared" si="10"/>
        <v/>
      </c>
      <c r="B246" t="str">
        <f t="shared" si="11"/>
        <v/>
      </c>
      <c r="C246" s="23" t="str">
        <f t="shared" si="12"/>
        <v/>
      </c>
      <c r="E246" s="24" t="str">
        <f>IF(NOT(ISBLANK(PEcopy!B246)),PEcopy!B246,"")</f>
        <v/>
      </c>
      <c r="F246" s="24" t="str">
        <f>IF(E246&lt;&gt;"",PEcopy!A246,"")</f>
        <v/>
      </c>
      <c r="G246" s="24" t="str">
        <f>IF(E246&lt;&gt;"",PEcopy!F246,"")</f>
        <v/>
      </c>
    </row>
    <row r="247" spans="1:7" ht="15.75" customHeight="1">
      <c r="A247" s="23" t="str">
        <f t="shared" si="10"/>
        <v/>
      </c>
      <c r="B247" t="str">
        <f t="shared" si="11"/>
        <v/>
      </c>
      <c r="C247" s="23" t="str">
        <f t="shared" si="12"/>
        <v/>
      </c>
      <c r="E247" s="24" t="str">
        <f>IF(NOT(ISBLANK(PEcopy!B247)),PEcopy!B247,"")</f>
        <v/>
      </c>
      <c r="F247" s="24" t="str">
        <f>IF(E247&lt;&gt;"",PEcopy!A247,"")</f>
        <v/>
      </c>
      <c r="G247" s="24" t="str">
        <f>IF(E247&lt;&gt;"",PEcopy!F247,"")</f>
        <v/>
      </c>
    </row>
    <row r="248" spans="1:7" ht="15.75" customHeight="1">
      <c r="A248" s="23" t="str">
        <f t="shared" si="10"/>
        <v/>
      </c>
      <c r="B248" t="str">
        <f t="shared" si="11"/>
        <v/>
      </c>
      <c r="C248" s="23" t="str">
        <f t="shared" si="12"/>
        <v/>
      </c>
      <c r="E248" s="24" t="str">
        <f>IF(NOT(ISBLANK(PEcopy!B248)),PEcopy!B248,"")</f>
        <v/>
      </c>
      <c r="F248" s="24" t="str">
        <f>IF(E248&lt;&gt;"",PEcopy!A248,"")</f>
        <v/>
      </c>
      <c r="G248" s="24" t="str">
        <f>IF(E248&lt;&gt;"",PEcopy!F248,"")</f>
        <v/>
      </c>
    </row>
    <row r="249" spans="1:7" ht="15.75" customHeight="1">
      <c r="A249" s="23" t="str">
        <f t="shared" si="10"/>
        <v/>
      </c>
      <c r="B249" t="str">
        <f t="shared" si="11"/>
        <v/>
      </c>
      <c r="C249" s="23" t="str">
        <f t="shared" si="12"/>
        <v/>
      </c>
      <c r="E249" s="24" t="str">
        <f>IF(NOT(ISBLANK(PEcopy!B249)),PEcopy!B249,"")</f>
        <v/>
      </c>
      <c r="F249" s="24" t="str">
        <f>IF(E249&lt;&gt;"",PEcopy!A249,"")</f>
        <v/>
      </c>
      <c r="G249" s="24" t="str">
        <f>IF(E249&lt;&gt;"",PEcopy!F249,"")</f>
        <v/>
      </c>
    </row>
    <row r="250" spans="1:7" ht="15.75" customHeight="1">
      <c r="A250" s="23" t="str">
        <f t="shared" si="10"/>
        <v/>
      </c>
      <c r="B250" t="str">
        <f t="shared" si="11"/>
        <v/>
      </c>
      <c r="C250" s="23" t="str">
        <f t="shared" si="12"/>
        <v/>
      </c>
      <c r="E250" s="24" t="str">
        <f>IF(NOT(ISBLANK(PEcopy!B250)),PEcopy!B250,"")</f>
        <v/>
      </c>
      <c r="F250" s="24" t="str">
        <f>IF(E250&lt;&gt;"",PEcopy!A250,"")</f>
        <v/>
      </c>
      <c r="G250" s="24" t="str">
        <f>IF(E250&lt;&gt;"",PEcopy!F250,"")</f>
        <v/>
      </c>
    </row>
    <row r="251" spans="1:7" ht="15.75" customHeight="1">
      <c r="A251" s="23" t="str">
        <f t="shared" si="10"/>
        <v/>
      </c>
      <c r="B251" t="str">
        <f t="shared" si="11"/>
        <v/>
      </c>
      <c r="C251" s="23" t="str">
        <f t="shared" si="12"/>
        <v/>
      </c>
      <c r="E251" s="24" t="str">
        <f>IF(NOT(ISBLANK(PEcopy!B251)),PEcopy!B251,"")</f>
        <v/>
      </c>
      <c r="F251" s="24" t="str">
        <f>IF(E251&lt;&gt;"",PEcopy!A251,"")</f>
        <v/>
      </c>
      <c r="G251" s="24" t="str">
        <f>IF(E251&lt;&gt;"",PEcopy!F251,"")</f>
        <v/>
      </c>
    </row>
    <row r="252" spans="1:7" ht="15.75" customHeight="1">
      <c r="A252" s="23" t="str">
        <f t="shared" si="10"/>
        <v/>
      </c>
      <c r="B252" t="str">
        <f t="shared" si="11"/>
        <v/>
      </c>
      <c r="C252" s="23" t="str">
        <f t="shared" si="12"/>
        <v/>
      </c>
      <c r="E252" s="24" t="str">
        <f>IF(NOT(ISBLANK(PEcopy!B252)),PEcopy!B252,"")</f>
        <v/>
      </c>
      <c r="F252" s="24" t="str">
        <f>IF(E252&lt;&gt;"",PEcopy!A252,"")</f>
        <v/>
      </c>
      <c r="G252" s="24" t="str">
        <f>IF(E252&lt;&gt;"",PEcopy!F252,"")</f>
        <v/>
      </c>
    </row>
    <row r="253" spans="1:7" ht="15.75" customHeight="1">
      <c r="A253" s="23" t="str">
        <f t="shared" si="10"/>
        <v/>
      </c>
      <c r="B253" t="str">
        <f t="shared" si="11"/>
        <v/>
      </c>
      <c r="C253" s="23" t="str">
        <f t="shared" si="12"/>
        <v/>
      </c>
      <c r="E253" s="24" t="str">
        <f>IF(NOT(ISBLANK(PEcopy!B253)),PEcopy!B253,"")</f>
        <v/>
      </c>
      <c r="F253" s="24" t="str">
        <f>IF(E253&lt;&gt;"",PEcopy!A253,"")</f>
        <v/>
      </c>
      <c r="G253" s="24" t="str">
        <f>IF(E253&lt;&gt;"",PEcopy!F253,"")</f>
        <v/>
      </c>
    </row>
    <row r="254" spans="1:7" ht="15.75" customHeight="1">
      <c r="A254" s="23" t="str">
        <f t="shared" si="10"/>
        <v/>
      </c>
      <c r="B254" t="str">
        <f t="shared" si="11"/>
        <v/>
      </c>
      <c r="C254" s="23" t="str">
        <f t="shared" si="12"/>
        <v/>
      </c>
      <c r="E254" s="24" t="str">
        <f>IF(NOT(ISBLANK(PEcopy!B254)),PEcopy!B254,"")</f>
        <v/>
      </c>
      <c r="F254" s="24" t="str">
        <f>IF(E254&lt;&gt;"",PEcopy!A254,"")</f>
        <v/>
      </c>
      <c r="G254" s="24" t="str">
        <f>IF(E254&lt;&gt;"",PEcopy!F254,"")</f>
        <v/>
      </c>
    </row>
    <row r="255" spans="1:7" ht="15.75" customHeight="1">
      <c r="A255" s="23" t="str">
        <f t="shared" si="10"/>
        <v/>
      </c>
      <c r="B255" t="str">
        <f t="shared" si="11"/>
        <v/>
      </c>
      <c r="C255" s="23" t="str">
        <f t="shared" si="12"/>
        <v/>
      </c>
      <c r="E255" s="24" t="str">
        <f>IF(NOT(ISBLANK(PEcopy!B255)),PEcopy!B255,"")</f>
        <v/>
      </c>
      <c r="F255" s="24" t="str">
        <f>IF(E255&lt;&gt;"",PEcopy!A255,"")</f>
        <v/>
      </c>
      <c r="G255" s="24" t="str">
        <f>IF(E255&lt;&gt;"",PEcopy!F255,"")</f>
        <v/>
      </c>
    </row>
    <row r="256" spans="1:7" ht="15.75" customHeight="1">
      <c r="A256" s="23" t="str">
        <f t="shared" si="10"/>
        <v/>
      </c>
      <c r="B256" t="str">
        <f t="shared" si="11"/>
        <v/>
      </c>
      <c r="C256" s="23" t="str">
        <f t="shared" si="12"/>
        <v/>
      </c>
      <c r="E256" s="24" t="str">
        <f>IF(NOT(ISBLANK(PEcopy!B256)),PEcopy!B256,"")</f>
        <v/>
      </c>
      <c r="F256" s="24" t="str">
        <f>IF(E256&lt;&gt;"",PEcopy!A256,"")</f>
        <v/>
      </c>
      <c r="G256" s="24" t="str">
        <f>IF(E256&lt;&gt;"",PEcopy!F256,"")</f>
        <v/>
      </c>
    </row>
    <row r="257" spans="1:7" ht="15.75" customHeight="1">
      <c r="A257" s="23" t="str">
        <f t="shared" si="10"/>
        <v/>
      </c>
      <c r="B257" t="str">
        <f t="shared" si="11"/>
        <v/>
      </c>
      <c r="C257" s="23" t="str">
        <f t="shared" si="12"/>
        <v/>
      </c>
      <c r="E257" s="24" t="str">
        <f>IF(NOT(ISBLANK(PEcopy!B257)),PEcopy!B257,"")</f>
        <v/>
      </c>
      <c r="F257" s="24" t="str">
        <f>IF(E257&lt;&gt;"",PEcopy!A257,"")</f>
        <v/>
      </c>
      <c r="G257" s="24" t="str">
        <f>IF(E257&lt;&gt;"",PEcopy!F257,"")</f>
        <v/>
      </c>
    </row>
    <row r="258" spans="1:7" ht="15.75" customHeight="1">
      <c r="A258" s="23" t="str">
        <f t="shared" si="10"/>
        <v/>
      </c>
      <c r="B258" t="str">
        <f t="shared" si="11"/>
        <v/>
      </c>
      <c r="C258" s="23" t="str">
        <f t="shared" si="12"/>
        <v/>
      </c>
      <c r="E258" s="24" t="str">
        <f>IF(NOT(ISBLANK(PEcopy!B258)),PEcopy!B258,"")</f>
        <v/>
      </c>
      <c r="F258" s="24" t="str">
        <f>IF(E258&lt;&gt;"",PEcopy!A258,"")</f>
        <v/>
      </c>
      <c r="G258" s="24" t="str">
        <f>IF(E258&lt;&gt;"",PEcopy!F258,"")</f>
        <v/>
      </c>
    </row>
    <row r="259" spans="1:7" ht="15.75" customHeight="1">
      <c r="A259" s="23" t="str">
        <f t="shared" ref="A259:A322" si="13">IF(E259&lt;&gt;"",DATEVALUE(LEFT(E259,10)),"")</f>
        <v/>
      </c>
      <c r="B259" t="str">
        <f t="shared" ref="B259:B322" si="14">IF(LEN(F259)&gt;3,RIGHT(F259,LEN(F259)-3),"")</f>
        <v/>
      </c>
      <c r="C259" s="23" t="str">
        <f t="shared" ref="C259:C322" si="15">IF(E259&lt;&gt;"",DATEVALUE(LEFT(G259,10)),"")</f>
        <v/>
      </c>
      <c r="E259" s="24" t="str">
        <f>IF(NOT(ISBLANK(PEcopy!B259)),PEcopy!B259,"")</f>
        <v/>
      </c>
      <c r="F259" s="24" t="str">
        <f>IF(E259&lt;&gt;"",PEcopy!A259,"")</f>
        <v/>
      </c>
      <c r="G259" s="24" t="str">
        <f>IF(E259&lt;&gt;"",PEcopy!F259,"")</f>
        <v/>
      </c>
    </row>
    <row r="260" spans="1:7" ht="15.75" customHeight="1">
      <c r="A260" s="23" t="str">
        <f t="shared" si="13"/>
        <v/>
      </c>
      <c r="B260" t="str">
        <f t="shared" si="14"/>
        <v/>
      </c>
      <c r="C260" s="23" t="str">
        <f t="shared" si="15"/>
        <v/>
      </c>
      <c r="E260" s="24" t="str">
        <f>IF(NOT(ISBLANK(PEcopy!B260)),PEcopy!B260,"")</f>
        <v/>
      </c>
      <c r="F260" s="24" t="str">
        <f>IF(E260&lt;&gt;"",PEcopy!A260,"")</f>
        <v/>
      </c>
      <c r="G260" s="24" t="str">
        <f>IF(E260&lt;&gt;"",PEcopy!F260,"")</f>
        <v/>
      </c>
    </row>
    <row r="261" spans="1:7" ht="15.75" customHeight="1">
      <c r="A261" s="23" t="str">
        <f t="shared" si="13"/>
        <v/>
      </c>
      <c r="B261" t="str">
        <f t="shared" si="14"/>
        <v/>
      </c>
      <c r="C261" s="23" t="str">
        <f t="shared" si="15"/>
        <v/>
      </c>
      <c r="E261" s="24" t="str">
        <f>IF(NOT(ISBLANK(PEcopy!B261)),PEcopy!B261,"")</f>
        <v/>
      </c>
      <c r="F261" s="24" t="str">
        <f>IF(E261&lt;&gt;"",PEcopy!A261,"")</f>
        <v/>
      </c>
      <c r="G261" s="24" t="str">
        <f>IF(E261&lt;&gt;"",PEcopy!F261,"")</f>
        <v/>
      </c>
    </row>
    <row r="262" spans="1:7" ht="15.75" customHeight="1">
      <c r="A262" s="23" t="str">
        <f t="shared" si="13"/>
        <v/>
      </c>
      <c r="B262" t="str">
        <f t="shared" si="14"/>
        <v/>
      </c>
      <c r="C262" s="23" t="str">
        <f t="shared" si="15"/>
        <v/>
      </c>
      <c r="E262" s="24" t="str">
        <f>IF(NOT(ISBLANK(PEcopy!B262)),PEcopy!B262,"")</f>
        <v/>
      </c>
      <c r="F262" s="24" t="str">
        <f>IF(E262&lt;&gt;"",PEcopy!A262,"")</f>
        <v/>
      </c>
      <c r="G262" s="24" t="str">
        <f>IF(E262&lt;&gt;"",PEcopy!F262,"")</f>
        <v/>
      </c>
    </row>
    <row r="263" spans="1:7" ht="15.75" customHeight="1">
      <c r="A263" s="23" t="str">
        <f t="shared" si="13"/>
        <v/>
      </c>
      <c r="B263" t="str">
        <f t="shared" si="14"/>
        <v/>
      </c>
      <c r="C263" s="23" t="str">
        <f t="shared" si="15"/>
        <v/>
      </c>
      <c r="E263" s="24" t="str">
        <f>IF(NOT(ISBLANK(PEcopy!B263)),PEcopy!B263,"")</f>
        <v/>
      </c>
      <c r="F263" s="24" t="str">
        <f>IF(E263&lt;&gt;"",PEcopy!A263,"")</f>
        <v/>
      </c>
      <c r="G263" s="24" t="str">
        <f>IF(E263&lt;&gt;"",PEcopy!F263,"")</f>
        <v/>
      </c>
    </row>
    <row r="264" spans="1:7" ht="15.75" customHeight="1">
      <c r="A264" s="23" t="str">
        <f t="shared" si="13"/>
        <v/>
      </c>
      <c r="B264" t="str">
        <f t="shared" si="14"/>
        <v/>
      </c>
      <c r="C264" s="23" t="str">
        <f t="shared" si="15"/>
        <v/>
      </c>
      <c r="E264" s="24" t="str">
        <f>IF(NOT(ISBLANK(PEcopy!B264)),PEcopy!B264,"")</f>
        <v/>
      </c>
      <c r="F264" s="24" t="str">
        <f>IF(E264&lt;&gt;"",PEcopy!A264,"")</f>
        <v/>
      </c>
      <c r="G264" s="24" t="str">
        <f>IF(E264&lt;&gt;"",PEcopy!F264,"")</f>
        <v/>
      </c>
    </row>
    <row r="265" spans="1:7" ht="15.75" customHeight="1">
      <c r="A265" s="23" t="str">
        <f t="shared" si="13"/>
        <v/>
      </c>
      <c r="B265" t="str">
        <f t="shared" si="14"/>
        <v/>
      </c>
      <c r="C265" s="23" t="str">
        <f t="shared" si="15"/>
        <v/>
      </c>
      <c r="E265" s="24" t="str">
        <f>IF(NOT(ISBLANK(PEcopy!B265)),PEcopy!B265,"")</f>
        <v/>
      </c>
      <c r="F265" s="24" t="str">
        <f>IF(E265&lt;&gt;"",PEcopy!A265,"")</f>
        <v/>
      </c>
      <c r="G265" s="24" t="str">
        <f>IF(E265&lt;&gt;"",PEcopy!F265,"")</f>
        <v/>
      </c>
    </row>
    <row r="266" spans="1:7" ht="15.75" customHeight="1">
      <c r="A266" s="23" t="str">
        <f t="shared" si="13"/>
        <v/>
      </c>
      <c r="B266" t="str">
        <f t="shared" si="14"/>
        <v/>
      </c>
      <c r="C266" s="23" t="str">
        <f t="shared" si="15"/>
        <v/>
      </c>
      <c r="E266" s="24" t="str">
        <f>IF(NOT(ISBLANK(PEcopy!B266)),PEcopy!B266,"")</f>
        <v/>
      </c>
      <c r="F266" s="24" t="str">
        <f>IF(E266&lt;&gt;"",PEcopy!A266,"")</f>
        <v/>
      </c>
      <c r="G266" s="24" t="str">
        <f>IF(E266&lt;&gt;"",PEcopy!F266,"")</f>
        <v/>
      </c>
    </row>
    <row r="267" spans="1:7" ht="15.75" customHeight="1">
      <c r="A267" s="23" t="str">
        <f t="shared" si="13"/>
        <v/>
      </c>
      <c r="B267" t="str">
        <f t="shared" si="14"/>
        <v/>
      </c>
      <c r="C267" s="23" t="str">
        <f t="shared" si="15"/>
        <v/>
      </c>
      <c r="E267" s="24" t="str">
        <f>IF(NOT(ISBLANK(PEcopy!B267)),PEcopy!B267,"")</f>
        <v/>
      </c>
      <c r="F267" s="24" t="str">
        <f>IF(E267&lt;&gt;"",PEcopy!A267,"")</f>
        <v/>
      </c>
      <c r="G267" s="24" t="str">
        <f>IF(E267&lt;&gt;"",PEcopy!F267,"")</f>
        <v/>
      </c>
    </row>
    <row r="268" spans="1:7" ht="15.75" customHeight="1">
      <c r="A268" s="23" t="str">
        <f t="shared" si="13"/>
        <v/>
      </c>
      <c r="B268" t="str">
        <f t="shared" si="14"/>
        <v/>
      </c>
      <c r="C268" s="23" t="str">
        <f t="shared" si="15"/>
        <v/>
      </c>
      <c r="E268" s="24" t="str">
        <f>IF(NOT(ISBLANK(PEcopy!B268)),PEcopy!B268,"")</f>
        <v/>
      </c>
      <c r="F268" s="24" t="str">
        <f>IF(E268&lt;&gt;"",PEcopy!A268,"")</f>
        <v/>
      </c>
      <c r="G268" s="24" t="str">
        <f>IF(E268&lt;&gt;"",PEcopy!F268,"")</f>
        <v/>
      </c>
    </row>
    <row r="269" spans="1:7" ht="15.75" customHeight="1">
      <c r="A269" s="23" t="str">
        <f t="shared" si="13"/>
        <v/>
      </c>
      <c r="B269" t="str">
        <f t="shared" si="14"/>
        <v/>
      </c>
      <c r="C269" s="23" t="str">
        <f t="shared" si="15"/>
        <v/>
      </c>
      <c r="E269" s="24" t="str">
        <f>IF(NOT(ISBLANK(PEcopy!B269)),PEcopy!B269,"")</f>
        <v/>
      </c>
      <c r="F269" s="24" t="str">
        <f>IF(E269&lt;&gt;"",PEcopy!A269,"")</f>
        <v/>
      </c>
      <c r="G269" s="24" t="str">
        <f>IF(E269&lt;&gt;"",PEcopy!F269,"")</f>
        <v/>
      </c>
    </row>
    <row r="270" spans="1:7" ht="15.75" customHeight="1">
      <c r="A270" s="23" t="str">
        <f t="shared" si="13"/>
        <v/>
      </c>
      <c r="B270" t="str">
        <f t="shared" si="14"/>
        <v/>
      </c>
      <c r="C270" s="23" t="str">
        <f t="shared" si="15"/>
        <v/>
      </c>
      <c r="E270" s="24" t="str">
        <f>IF(NOT(ISBLANK(PEcopy!B270)),PEcopy!B270,"")</f>
        <v/>
      </c>
      <c r="F270" s="24" t="str">
        <f>IF(E270&lt;&gt;"",PEcopy!A270,"")</f>
        <v/>
      </c>
      <c r="G270" s="24" t="str">
        <f>IF(E270&lt;&gt;"",PEcopy!F270,"")</f>
        <v/>
      </c>
    </row>
    <row r="271" spans="1:7" ht="15.75" customHeight="1">
      <c r="A271" s="23" t="str">
        <f t="shared" si="13"/>
        <v/>
      </c>
      <c r="B271" t="str">
        <f t="shared" si="14"/>
        <v/>
      </c>
      <c r="C271" s="23" t="str">
        <f t="shared" si="15"/>
        <v/>
      </c>
      <c r="E271" s="24" t="str">
        <f>IF(NOT(ISBLANK(PEcopy!B271)),PEcopy!B271,"")</f>
        <v/>
      </c>
      <c r="F271" s="24" t="str">
        <f>IF(E271&lt;&gt;"",PEcopy!A271,"")</f>
        <v/>
      </c>
      <c r="G271" s="24" t="str">
        <f>IF(E271&lt;&gt;"",PEcopy!F271,"")</f>
        <v/>
      </c>
    </row>
    <row r="272" spans="1:7" ht="15.75" customHeight="1">
      <c r="A272" s="23" t="str">
        <f t="shared" si="13"/>
        <v/>
      </c>
      <c r="B272" t="str">
        <f t="shared" si="14"/>
        <v/>
      </c>
      <c r="C272" s="23" t="str">
        <f t="shared" si="15"/>
        <v/>
      </c>
      <c r="E272" s="24" t="str">
        <f>IF(NOT(ISBLANK(PEcopy!B272)),PEcopy!B272,"")</f>
        <v/>
      </c>
      <c r="F272" s="24" t="str">
        <f>IF(E272&lt;&gt;"",PEcopy!A272,"")</f>
        <v/>
      </c>
      <c r="G272" s="24" t="str">
        <f>IF(E272&lt;&gt;"",PEcopy!F272,"")</f>
        <v/>
      </c>
    </row>
    <row r="273" spans="1:7" ht="15.75" customHeight="1">
      <c r="A273" s="23" t="str">
        <f t="shared" si="13"/>
        <v/>
      </c>
      <c r="B273" t="str">
        <f t="shared" si="14"/>
        <v/>
      </c>
      <c r="C273" s="23" t="str">
        <f t="shared" si="15"/>
        <v/>
      </c>
      <c r="E273" s="24" t="str">
        <f>IF(NOT(ISBLANK(PEcopy!B273)),PEcopy!B273,"")</f>
        <v/>
      </c>
      <c r="F273" s="24" t="str">
        <f>IF(E273&lt;&gt;"",PEcopy!A273,"")</f>
        <v/>
      </c>
      <c r="G273" s="24" t="str">
        <f>IF(E273&lt;&gt;"",PEcopy!F273,"")</f>
        <v/>
      </c>
    </row>
    <row r="274" spans="1:7" ht="15.75" customHeight="1">
      <c r="A274" s="23" t="str">
        <f t="shared" si="13"/>
        <v/>
      </c>
      <c r="B274" t="str">
        <f t="shared" si="14"/>
        <v/>
      </c>
      <c r="C274" s="23" t="str">
        <f t="shared" si="15"/>
        <v/>
      </c>
      <c r="E274" s="24" t="str">
        <f>IF(NOT(ISBLANK(PEcopy!B274)),PEcopy!B274,"")</f>
        <v/>
      </c>
      <c r="F274" s="24" t="str">
        <f>IF(E274&lt;&gt;"",PEcopy!A274,"")</f>
        <v/>
      </c>
      <c r="G274" s="24" t="str">
        <f>IF(E274&lt;&gt;"",PEcopy!F274,"")</f>
        <v/>
      </c>
    </row>
    <row r="275" spans="1:7" ht="15.75" customHeight="1">
      <c r="A275" s="23" t="str">
        <f t="shared" si="13"/>
        <v/>
      </c>
      <c r="B275" t="str">
        <f t="shared" si="14"/>
        <v/>
      </c>
      <c r="C275" s="23" t="str">
        <f t="shared" si="15"/>
        <v/>
      </c>
      <c r="E275" s="24" t="str">
        <f>IF(NOT(ISBLANK(PEcopy!B275)),PEcopy!B275,"")</f>
        <v/>
      </c>
      <c r="F275" s="24" t="str">
        <f>IF(E275&lt;&gt;"",PEcopy!A275,"")</f>
        <v/>
      </c>
      <c r="G275" s="24" t="str">
        <f>IF(E275&lt;&gt;"",PEcopy!F275,"")</f>
        <v/>
      </c>
    </row>
    <row r="276" spans="1:7" ht="15.75" customHeight="1">
      <c r="A276" s="23" t="str">
        <f t="shared" si="13"/>
        <v/>
      </c>
      <c r="B276" t="str">
        <f t="shared" si="14"/>
        <v/>
      </c>
      <c r="C276" s="23" t="str">
        <f t="shared" si="15"/>
        <v/>
      </c>
      <c r="E276" s="24" t="str">
        <f>IF(NOT(ISBLANK(PEcopy!B276)),PEcopy!B276,"")</f>
        <v/>
      </c>
      <c r="F276" s="24" t="str">
        <f>IF(E276&lt;&gt;"",PEcopy!A276,"")</f>
        <v/>
      </c>
      <c r="G276" s="24" t="str">
        <f>IF(E276&lt;&gt;"",PEcopy!F276,"")</f>
        <v/>
      </c>
    </row>
    <row r="277" spans="1:7" ht="15.75" customHeight="1">
      <c r="A277" s="23" t="str">
        <f t="shared" si="13"/>
        <v/>
      </c>
      <c r="B277" t="str">
        <f t="shared" si="14"/>
        <v/>
      </c>
      <c r="C277" s="23" t="str">
        <f t="shared" si="15"/>
        <v/>
      </c>
      <c r="E277" s="24" t="str">
        <f>IF(NOT(ISBLANK(PEcopy!B277)),PEcopy!B277,"")</f>
        <v/>
      </c>
      <c r="F277" s="24" t="str">
        <f>IF(E277&lt;&gt;"",PEcopy!A277,"")</f>
        <v/>
      </c>
      <c r="G277" s="24" t="str">
        <f>IF(E277&lt;&gt;"",PEcopy!F277,"")</f>
        <v/>
      </c>
    </row>
    <row r="278" spans="1:7" ht="15.75" customHeight="1">
      <c r="A278" s="23" t="str">
        <f t="shared" si="13"/>
        <v/>
      </c>
      <c r="B278" t="str">
        <f t="shared" si="14"/>
        <v/>
      </c>
      <c r="C278" s="23" t="str">
        <f t="shared" si="15"/>
        <v/>
      </c>
      <c r="E278" s="24" t="str">
        <f>IF(NOT(ISBLANK(PEcopy!B278)),PEcopy!B278,"")</f>
        <v/>
      </c>
      <c r="F278" s="24" t="str">
        <f>IF(E278&lt;&gt;"",PEcopy!A278,"")</f>
        <v/>
      </c>
      <c r="G278" s="24" t="str">
        <f>IF(E278&lt;&gt;"",PEcopy!F278,"")</f>
        <v/>
      </c>
    </row>
    <row r="279" spans="1:7" ht="15.75" customHeight="1">
      <c r="A279" s="23" t="str">
        <f t="shared" si="13"/>
        <v/>
      </c>
      <c r="B279" t="str">
        <f t="shared" si="14"/>
        <v/>
      </c>
      <c r="C279" s="23" t="str">
        <f t="shared" si="15"/>
        <v/>
      </c>
      <c r="E279" s="24" t="str">
        <f>IF(NOT(ISBLANK(PEcopy!B279)),PEcopy!B279,"")</f>
        <v/>
      </c>
      <c r="F279" s="24" t="str">
        <f>IF(E279&lt;&gt;"",PEcopy!A279,"")</f>
        <v/>
      </c>
      <c r="G279" s="24" t="str">
        <f>IF(E279&lt;&gt;"",PEcopy!F279,"")</f>
        <v/>
      </c>
    </row>
    <row r="280" spans="1:7" ht="15.75" customHeight="1">
      <c r="A280" s="23" t="str">
        <f t="shared" si="13"/>
        <v/>
      </c>
      <c r="B280" t="str">
        <f t="shared" si="14"/>
        <v/>
      </c>
      <c r="C280" s="23" t="str">
        <f t="shared" si="15"/>
        <v/>
      </c>
      <c r="E280" s="24" t="str">
        <f>IF(NOT(ISBLANK(PEcopy!B280)),PEcopy!B280,"")</f>
        <v/>
      </c>
      <c r="F280" s="24" t="str">
        <f>IF(E280&lt;&gt;"",PEcopy!A280,"")</f>
        <v/>
      </c>
      <c r="G280" s="24" t="str">
        <f>IF(E280&lt;&gt;"",PEcopy!F280,"")</f>
        <v/>
      </c>
    </row>
    <row r="281" spans="1:7" ht="15.75" customHeight="1">
      <c r="A281" s="23" t="str">
        <f t="shared" si="13"/>
        <v/>
      </c>
      <c r="B281" t="str">
        <f t="shared" si="14"/>
        <v/>
      </c>
      <c r="C281" s="23" t="str">
        <f t="shared" si="15"/>
        <v/>
      </c>
      <c r="E281" s="24" t="str">
        <f>IF(NOT(ISBLANK(PEcopy!B281)),PEcopy!B281,"")</f>
        <v/>
      </c>
      <c r="F281" s="24" t="str">
        <f>IF(E281&lt;&gt;"",PEcopy!A281,"")</f>
        <v/>
      </c>
      <c r="G281" s="24" t="str">
        <f>IF(E281&lt;&gt;"",PEcopy!F281,"")</f>
        <v/>
      </c>
    </row>
    <row r="282" spans="1:7" ht="15.75" customHeight="1">
      <c r="A282" s="23" t="str">
        <f t="shared" si="13"/>
        <v/>
      </c>
      <c r="B282" t="str">
        <f t="shared" si="14"/>
        <v/>
      </c>
      <c r="C282" s="23" t="str">
        <f t="shared" si="15"/>
        <v/>
      </c>
      <c r="E282" s="24" t="str">
        <f>IF(NOT(ISBLANK(PEcopy!B282)),PEcopy!B282,"")</f>
        <v/>
      </c>
      <c r="F282" s="24" t="str">
        <f>IF(E282&lt;&gt;"",PEcopy!A282,"")</f>
        <v/>
      </c>
      <c r="G282" s="24" t="str">
        <f>IF(E282&lt;&gt;"",PEcopy!F282,"")</f>
        <v/>
      </c>
    </row>
    <row r="283" spans="1:7" ht="15.75" customHeight="1">
      <c r="A283" s="23" t="str">
        <f t="shared" si="13"/>
        <v/>
      </c>
      <c r="B283" t="str">
        <f t="shared" si="14"/>
        <v/>
      </c>
      <c r="C283" s="23" t="str">
        <f t="shared" si="15"/>
        <v/>
      </c>
      <c r="E283" s="24" t="str">
        <f>IF(NOT(ISBLANK(PEcopy!B283)),PEcopy!B283,"")</f>
        <v/>
      </c>
      <c r="F283" s="24" t="str">
        <f>IF(E283&lt;&gt;"",PEcopy!A283,"")</f>
        <v/>
      </c>
      <c r="G283" s="24" t="str">
        <f>IF(E283&lt;&gt;"",PEcopy!F283,"")</f>
        <v/>
      </c>
    </row>
    <row r="284" spans="1:7" ht="15.75" customHeight="1">
      <c r="A284" s="23" t="str">
        <f t="shared" si="13"/>
        <v/>
      </c>
      <c r="B284" t="str">
        <f t="shared" si="14"/>
        <v/>
      </c>
      <c r="C284" s="23" t="str">
        <f t="shared" si="15"/>
        <v/>
      </c>
      <c r="E284" s="24" t="str">
        <f>IF(NOT(ISBLANK(PEcopy!B284)),PEcopy!B284,"")</f>
        <v/>
      </c>
      <c r="F284" s="24" t="str">
        <f>IF(E284&lt;&gt;"",PEcopy!A284,"")</f>
        <v/>
      </c>
      <c r="G284" s="24" t="str">
        <f>IF(E284&lt;&gt;"",PEcopy!F284,"")</f>
        <v/>
      </c>
    </row>
    <row r="285" spans="1:7" ht="15.75" customHeight="1">
      <c r="A285" s="23" t="str">
        <f t="shared" si="13"/>
        <v/>
      </c>
      <c r="B285" t="str">
        <f t="shared" si="14"/>
        <v/>
      </c>
      <c r="C285" s="23" t="str">
        <f t="shared" si="15"/>
        <v/>
      </c>
      <c r="E285" s="24" t="str">
        <f>IF(NOT(ISBLANK(PEcopy!B285)),PEcopy!B285,"")</f>
        <v/>
      </c>
      <c r="F285" s="24" t="str">
        <f>IF(E285&lt;&gt;"",PEcopy!A285,"")</f>
        <v/>
      </c>
      <c r="G285" s="24" t="str">
        <f>IF(E285&lt;&gt;"",PEcopy!F285,"")</f>
        <v/>
      </c>
    </row>
    <row r="286" spans="1:7" ht="15.75" customHeight="1">
      <c r="A286" s="23" t="str">
        <f t="shared" si="13"/>
        <v/>
      </c>
      <c r="B286" t="str">
        <f t="shared" si="14"/>
        <v/>
      </c>
      <c r="C286" s="23" t="str">
        <f t="shared" si="15"/>
        <v/>
      </c>
      <c r="E286" s="24" t="str">
        <f>IF(NOT(ISBLANK(PEcopy!B286)),PEcopy!B286,"")</f>
        <v/>
      </c>
      <c r="F286" s="24" t="str">
        <f>IF(E286&lt;&gt;"",PEcopy!A286,"")</f>
        <v/>
      </c>
      <c r="G286" s="24" t="str">
        <f>IF(E286&lt;&gt;"",PEcopy!F286,"")</f>
        <v/>
      </c>
    </row>
    <row r="287" spans="1:7" ht="15.75" customHeight="1">
      <c r="A287" s="23" t="str">
        <f t="shared" si="13"/>
        <v/>
      </c>
      <c r="B287" t="str">
        <f t="shared" si="14"/>
        <v/>
      </c>
      <c r="C287" s="23" t="str">
        <f t="shared" si="15"/>
        <v/>
      </c>
      <c r="E287" s="24" t="str">
        <f>IF(NOT(ISBLANK(PEcopy!B287)),PEcopy!B287,"")</f>
        <v/>
      </c>
      <c r="F287" s="24" t="str">
        <f>IF(E287&lt;&gt;"",PEcopy!A287,"")</f>
        <v/>
      </c>
      <c r="G287" s="24" t="str">
        <f>IF(E287&lt;&gt;"",PEcopy!F287,"")</f>
        <v/>
      </c>
    </row>
    <row r="288" spans="1:7" ht="15.75" customHeight="1">
      <c r="A288" s="23" t="str">
        <f t="shared" si="13"/>
        <v/>
      </c>
      <c r="B288" t="str">
        <f t="shared" si="14"/>
        <v/>
      </c>
      <c r="C288" s="23" t="str">
        <f t="shared" si="15"/>
        <v/>
      </c>
      <c r="E288" s="24" t="str">
        <f>IF(NOT(ISBLANK(PEcopy!B288)),PEcopy!B288,"")</f>
        <v/>
      </c>
      <c r="F288" s="24" t="str">
        <f>IF(E288&lt;&gt;"",PEcopy!A288,"")</f>
        <v/>
      </c>
      <c r="G288" s="24" t="str">
        <f>IF(E288&lt;&gt;"",PEcopy!F288,"")</f>
        <v/>
      </c>
    </row>
    <row r="289" spans="1:7" ht="15.75" customHeight="1">
      <c r="A289" s="23" t="str">
        <f t="shared" si="13"/>
        <v/>
      </c>
      <c r="B289" t="str">
        <f t="shared" si="14"/>
        <v/>
      </c>
      <c r="C289" s="23" t="str">
        <f t="shared" si="15"/>
        <v/>
      </c>
      <c r="E289" s="24" t="str">
        <f>IF(NOT(ISBLANK(PEcopy!B289)),PEcopy!B289,"")</f>
        <v/>
      </c>
      <c r="F289" s="24" t="str">
        <f>IF(E289&lt;&gt;"",PEcopy!A289,"")</f>
        <v/>
      </c>
      <c r="G289" s="24" t="str">
        <f>IF(E289&lt;&gt;"",PEcopy!F289,"")</f>
        <v/>
      </c>
    </row>
    <row r="290" spans="1:7" ht="15.75" customHeight="1">
      <c r="A290" s="23" t="str">
        <f t="shared" si="13"/>
        <v/>
      </c>
      <c r="B290" t="str">
        <f t="shared" si="14"/>
        <v/>
      </c>
      <c r="C290" s="23" t="str">
        <f t="shared" si="15"/>
        <v/>
      </c>
      <c r="E290" s="24" t="str">
        <f>IF(NOT(ISBLANK(PEcopy!B290)),PEcopy!B290,"")</f>
        <v/>
      </c>
      <c r="F290" s="24" t="str">
        <f>IF(E290&lt;&gt;"",PEcopy!A290,"")</f>
        <v/>
      </c>
      <c r="G290" s="24" t="str">
        <f>IF(E290&lt;&gt;"",PEcopy!F290,"")</f>
        <v/>
      </c>
    </row>
    <row r="291" spans="1:7" ht="15.75" customHeight="1">
      <c r="A291" s="23" t="str">
        <f t="shared" si="13"/>
        <v/>
      </c>
      <c r="B291" t="str">
        <f t="shared" si="14"/>
        <v/>
      </c>
      <c r="C291" s="23" t="str">
        <f t="shared" si="15"/>
        <v/>
      </c>
      <c r="E291" s="24" t="str">
        <f>IF(NOT(ISBLANK(PEcopy!B291)),PEcopy!B291,"")</f>
        <v/>
      </c>
      <c r="F291" s="24" t="str">
        <f>IF(E291&lt;&gt;"",PEcopy!A291,"")</f>
        <v/>
      </c>
      <c r="G291" s="24" t="str">
        <f>IF(E291&lt;&gt;"",PEcopy!F291,"")</f>
        <v/>
      </c>
    </row>
    <row r="292" spans="1:7" ht="15.75" customHeight="1">
      <c r="A292" s="23" t="str">
        <f t="shared" si="13"/>
        <v/>
      </c>
      <c r="B292" t="str">
        <f t="shared" si="14"/>
        <v/>
      </c>
      <c r="C292" s="23" t="str">
        <f t="shared" si="15"/>
        <v/>
      </c>
      <c r="E292" s="24" t="str">
        <f>IF(NOT(ISBLANK(PEcopy!B292)),PEcopy!B292,"")</f>
        <v/>
      </c>
      <c r="F292" s="24" t="str">
        <f>IF(E292&lt;&gt;"",PEcopy!A292,"")</f>
        <v/>
      </c>
      <c r="G292" s="24" t="str">
        <f>IF(E292&lt;&gt;"",PEcopy!F292,"")</f>
        <v/>
      </c>
    </row>
    <row r="293" spans="1:7" ht="15.75" customHeight="1">
      <c r="A293" s="23" t="str">
        <f t="shared" si="13"/>
        <v/>
      </c>
      <c r="B293" t="str">
        <f t="shared" si="14"/>
        <v/>
      </c>
      <c r="C293" s="23" t="str">
        <f t="shared" si="15"/>
        <v/>
      </c>
      <c r="E293" s="24" t="str">
        <f>IF(NOT(ISBLANK(PEcopy!B293)),PEcopy!B293,"")</f>
        <v/>
      </c>
      <c r="F293" s="24" t="str">
        <f>IF(E293&lt;&gt;"",PEcopy!A293,"")</f>
        <v/>
      </c>
      <c r="G293" s="24" t="str">
        <f>IF(E293&lt;&gt;"",PEcopy!F293,"")</f>
        <v/>
      </c>
    </row>
    <row r="294" spans="1:7" ht="15.75" customHeight="1">
      <c r="A294" s="23" t="str">
        <f t="shared" si="13"/>
        <v/>
      </c>
      <c r="B294" t="str">
        <f t="shared" si="14"/>
        <v/>
      </c>
      <c r="C294" s="23" t="str">
        <f t="shared" si="15"/>
        <v/>
      </c>
      <c r="E294" s="24" t="str">
        <f>IF(NOT(ISBLANK(PEcopy!B294)),PEcopy!B294,"")</f>
        <v/>
      </c>
      <c r="F294" s="24" t="str">
        <f>IF(E294&lt;&gt;"",PEcopy!A294,"")</f>
        <v/>
      </c>
      <c r="G294" s="24" t="str">
        <f>IF(E294&lt;&gt;"",PEcopy!F294,"")</f>
        <v/>
      </c>
    </row>
    <row r="295" spans="1:7" ht="15.75" customHeight="1">
      <c r="A295" s="23" t="str">
        <f t="shared" si="13"/>
        <v/>
      </c>
      <c r="B295" t="str">
        <f t="shared" si="14"/>
        <v/>
      </c>
      <c r="C295" s="23" t="str">
        <f t="shared" si="15"/>
        <v/>
      </c>
      <c r="E295" s="24" t="str">
        <f>IF(NOT(ISBLANK(PEcopy!B295)),PEcopy!B295,"")</f>
        <v/>
      </c>
      <c r="F295" s="24" t="str">
        <f>IF(E295&lt;&gt;"",PEcopy!A295,"")</f>
        <v/>
      </c>
      <c r="G295" s="24" t="str">
        <f>IF(E295&lt;&gt;"",PEcopy!F295,"")</f>
        <v/>
      </c>
    </row>
    <row r="296" spans="1:7" ht="15.75" customHeight="1">
      <c r="A296" s="23" t="str">
        <f t="shared" si="13"/>
        <v/>
      </c>
      <c r="B296" t="str">
        <f t="shared" si="14"/>
        <v/>
      </c>
      <c r="C296" s="23" t="str">
        <f t="shared" si="15"/>
        <v/>
      </c>
      <c r="E296" s="24" t="str">
        <f>IF(NOT(ISBLANK(PEcopy!B296)),PEcopy!B296,"")</f>
        <v/>
      </c>
      <c r="F296" s="24" t="str">
        <f>IF(E296&lt;&gt;"",PEcopy!A296,"")</f>
        <v/>
      </c>
      <c r="G296" s="24" t="str">
        <f>IF(E296&lt;&gt;"",PEcopy!F296,"")</f>
        <v/>
      </c>
    </row>
    <row r="297" spans="1:7" ht="15.75" customHeight="1">
      <c r="A297" s="23" t="str">
        <f t="shared" si="13"/>
        <v/>
      </c>
      <c r="B297" t="str">
        <f t="shared" si="14"/>
        <v/>
      </c>
      <c r="C297" s="23" t="str">
        <f t="shared" si="15"/>
        <v/>
      </c>
      <c r="E297" s="24" t="str">
        <f>IF(NOT(ISBLANK(PEcopy!B297)),PEcopy!B297,"")</f>
        <v/>
      </c>
      <c r="F297" s="24" t="str">
        <f>IF(E297&lt;&gt;"",PEcopy!A297,"")</f>
        <v/>
      </c>
      <c r="G297" s="24" t="str">
        <f>IF(E297&lt;&gt;"",PEcopy!F297,"")</f>
        <v/>
      </c>
    </row>
    <row r="298" spans="1:7" ht="15.75" customHeight="1">
      <c r="A298" s="23" t="str">
        <f t="shared" si="13"/>
        <v/>
      </c>
      <c r="B298" t="str">
        <f t="shared" si="14"/>
        <v/>
      </c>
      <c r="C298" s="23" t="str">
        <f t="shared" si="15"/>
        <v/>
      </c>
      <c r="E298" s="24" t="str">
        <f>IF(NOT(ISBLANK(PEcopy!B298)),PEcopy!B298,"")</f>
        <v/>
      </c>
      <c r="F298" s="24" t="str">
        <f>IF(E298&lt;&gt;"",PEcopy!A298,"")</f>
        <v/>
      </c>
      <c r="G298" s="24" t="str">
        <f>IF(E298&lt;&gt;"",PEcopy!F298,"")</f>
        <v/>
      </c>
    </row>
    <row r="299" spans="1:7" ht="15.75" customHeight="1">
      <c r="A299" s="23" t="str">
        <f t="shared" si="13"/>
        <v/>
      </c>
      <c r="B299" t="str">
        <f t="shared" si="14"/>
        <v/>
      </c>
      <c r="C299" s="23" t="str">
        <f t="shared" si="15"/>
        <v/>
      </c>
      <c r="E299" s="24" t="str">
        <f>IF(NOT(ISBLANK(PEcopy!B299)),PEcopy!B299,"")</f>
        <v/>
      </c>
      <c r="F299" s="24" t="str">
        <f>IF(E299&lt;&gt;"",PEcopy!A299,"")</f>
        <v/>
      </c>
      <c r="G299" s="24" t="str">
        <f>IF(E299&lt;&gt;"",PEcopy!F299,"")</f>
        <v/>
      </c>
    </row>
    <row r="300" spans="1:7" ht="15.75" customHeight="1">
      <c r="A300" s="23" t="str">
        <f t="shared" si="13"/>
        <v/>
      </c>
      <c r="B300" t="str">
        <f t="shared" si="14"/>
        <v/>
      </c>
      <c r="C300" s="23" t="str">
        <f t="shared" si="15"/>
        <v/>
      </c>
      <c r="E300" s="24" t="str">
        <f>IF(NOT(ISBLANK(PEcopy!B300)),PEcopy!B300,"")</f>
        <v/>
      </c>
      <c r="F300" s="24" t="str">
        <f>IF(E300&lt;&gt;"",PEcopy!A300,"")</f>
        <v/>
      </c>
      <c r="G300" s="24" t="str">
        <f>IF(E300&lt;&gt;"",PEcopy!F300,"")</f>
        <v/>
      </c>
    </row>
    <row r="301" spans="1:7" ht="15.75" customHeight="1">
      <c r="A301" s="23" t="str">
        <f t="shared" si="13"/>
        <v/>
      </c>
      <c r="B301" t="str">
        <f t="shared" si="14"/>
        <v/>
      </c>
      <c r="C301" s="23" t="str">
        <f t="shared" si="15"/>
        <v/>
      </c>
      <c r="E301" s="24" t="str">
        <f>IF(NOT(ISBLANK(PEcopy!B301)),PEcopy!B301,"")</f>
        <v/>
      </c>
      <c r="F301" s="24" t="str">
        <f>IF(E301&lt;&gt;"",PEcopy!A301,"")</f>
        <v/>
      </c>
      <c r="G301" s="24" t="str">
        <f>IF(E301&lt;&gt;"",PEcopy!F301,"")</f>
        <v/>
      </c>
    </row>
    <row r="302" spans="1:7" ht="15.75" customHeight="1">
      <c r="A302" s="23" t="str">
        <f t="shared" si="13"/>
        <v/>
      </c>
      <c r="B302" t="str">
        <f t="shared" si="14"/>
        <v/>
      </c>
      <c r="C302" s="23" t="str">
        <f t="shared" si="15"/>
        <v/>
      </c>
      <c r="E302" s="24" t="str">
        <f>IF(NOT(ISBLANK(PEcopy!B302)),PEcopy!B302,"")</f>
        <v/>
      </c>
      <c r="F302" s="24" t="str">
        <f>IF(E302&lt;&gt;"",PEcopy!A302,"")</f>
        <v/>
      </c>
      <c r="G302" s="24" t="str">
        <f>IF(E302&lt;&gt;"",PEcopy!F302,"")</f>
        <v/>
      </c>
    </row>
    <row r="303" spans="1:7" ht="15.75" customHeight="1">
      <c r="A303" s="23" t="str">
        <f t="shared" si="13"/>
        <v/>
      </c>
      <c r="B303" t="str">
        <f t="shared" si="14"/>
        <v/>
      </c>
      <c r="C303" s="23" t="str">
        <f t="shared" si="15"/>
        <v/>
      </c>
      <c r="E303" s="24" t="str">
        <f>IF(NOT(ISBLANK(PEcopy!B303)),PEcopy!B303,"")</f>
        <v/>
      </c>
      <c r="F303" s="24" t="str">
        <f>IF(E303&lt;&gt;"",PEcopy!A303,"")</f>
        <v/>
      </c>
      <c r="G303" s="24" t="str">
        <f>IF(E303&lt;&gt;"",PEcopy!F303,"")</f>
        <v/>
      </c>
    </row>
    <row r="304" spans="1:7" ht="15.75" customHeight="1">
      <c r="A304" s="23" t="str">
        <f t="shared" si="13"/>
        <v/>
      </c>
      <c r="B304" t="str">
        <f t="shared" si="14"/>
        <v/>
      </c>
      <c r="C304" s="23" t="str">
        <f t="shared" si="15"/>
        <v/>
      </c>
      <c r="E304" s="24" t="str">
        <f>IF(NOT(ISBLANK(PEcopy!B304)),PEcopy!B304,"")</f>
        <v/>
      </c>
      <c r="F304" s="24" t="str">
        <f>IF(E304&lt;&gt;"",PEcopy!A304,"")</f>
        <v/>
      </c>
      <c r="G304" s="24" t="str">
        <f>IF(E304&lt;&gt;"",PEcopy!F304,"")</f>
        <v/>
      </c>
    </row>
    <row r="305" spans="1:7" ht="15.75" customHeight="1">
      <c r="A305" s="23" t="str">
        <f t="shared" si="13"/>
        <v/>
      </c>
      <c r="B305" t="str">
        <f t="shared" si="14"/>
        <v/>
      </c>
      <c r="C305" s="23" t="str">
        <f t="shared" si="15"/>
        <v/>
      </c>
      <c r="E305" s="24" t="str">
        <f>IF(NOT(ISBLANK(PEcopy!B305)),PEcopy!B305,"")</f>
        <v/>
      </c>
      <c r="F305" s="24" t="str">
        <f>IF(E305&lt;&gt;"",PEcopy!A305,"")</f>
        <v/>
      </c>
      <c r="G305" s="24" t="str">
        <f>IF(E305&lt;&gt;"",PEcopy!F305,"")</f>
        <v/>
      </c>
    </row>
    <row r="306" spans="1:7" ht="15.75" customHeight="1">
      <c r="A306" s="23" t="str">
        <f t="shared" si="13"/>
        <v/>
      </c>
      <c r="B306" t="str">
        <f t="shared" si="14"/>
        <v/>
      </c>
      <c r="C306" s="23" t="str">
        <f t="shared" si="15"/>
        <v/>
      </c>
      <c r="E306" s="24" t="str">
        <f>IF(NOT(ISBLANK(PEcopy!B306)),PEcopy!B306,"")</f>
        <v/>
      </c>
      <c r="F306" s="24" t="str">
        <f>IF(E306&lt;&gt;"",PEcopy!A306,"")</f>
        <v/>
      </c>
      <c r="G306" s="24" t="str">
        <f>IF(E306&lt;&gt;"",PEcopy!F306,"")</f>
        <v/>
      </c>
    </row>
    <row r="307" spans="1:7" ht="15.75" customHeight="1">
      <c r="A307" s="23" t="str">
        <f t="shared" si="13"/>
        <v/>
      </c>
      <c r="B307" t="str">
        <f t="shared" si="14"/>
        <v/>
      </c>
      <c r="C307" s="23" t="str">
        <f t="shared" si="15"/>
        <v/>
      </c>
      <c r="E307" s="24" t="str">
        <f>IF(NOT(ISBLANK(PEcopy!B307)),PEcopy!B307,"")</f>
        <v/>
      </c>
      <c r="F307" s="24" t="str">
        <f>IF(E307&lt;&gt;"",PEcopy!A307,"")</f>
        <v/>
      </c>
      <c r="G307" s="24" t="str">
        <f>IF(E307&lt;&gt;"",PEcopy!F307,"")</f>
        <v/>
      </c>
    </row>
    <row r="308" spans="1:7" ht="15.75" customHeight="1">
      <c r="A308" s="23" t="str">
        <f t="shared" si="13"/>
        <v/>
      </c>
      <c r="B308" t="str">
        <f t="shared" si="14"/>
        <v/>
      </c>
      <c r="C308" s="23" t="str">
        <f t="shared" si="15"/>
        <v/>
      </c>
      <c r="E308" s="24" t="str">
        <f>IF(NOT(ISBLANK(PEcopy!B308)),PEcopy!B308,"")</f>
        <v/>
      </c>
      <c r="F308" s="24" t="str">
        <f>IF(E308&lt;&gt;"",PEcopy!A308,"")</f>
        <v/>
      </c>
      <c r="G308" s="24" t="str">
        <f>IF(E308&lt;&gt;"",PEcopy!F308,"")</f>
        <v/>
      </c>
    </row>
    <row r="309" spans="1:7" ht="15.75" customHeight="1">
      <c r="A309" s="23" t="str">
        <f t="shared" si="13"/>
        <v/>
      </c>
      <c r="B309" t="str">
        <f t="shared" si="14"/>
        <v/>
      </c>
      <c r="C309" s="23" t="str">
        <f t="shared" si="15"/>
        <v/>
      </c>
      <c r="E309" s="24" t="str">
        <f>IF(NOT(ISBLANK(PEcopy!B309)),PEcopy!B309,"")</f>
        <v/>
      </c>
      <c r="F309" s="24" t="str">
        <f>IF(E309&lt;&gt;"",PEcopy!A309,"")</f>
        <v/>
      </c>
      <c r="G309" s="24" t="str">
        <f>IF(E309&lt;&gt;"",PEcopy!F309,"")</f>
        <v/>
      </c>
    </row>
    <row r="310" spans="1:7" ht="15.75" customHeight="1">
      <c r="A310" s="23" t="str">
        <f t="shared" si="13"/>
        <v/>
      </c>
      <c r="B310" t="str">
        <f t="shared" si="14"/>
        <v/>
      </c>
      <c r="C310" s="23" t="str">
        <f t="shared" si="15"/>
        <v/>
      </c>
      <c r="E310" s="24" t="str">
        <f>IF(NOT(ISBLANK(PEcopy!B310)),PEcopy!B310,"")</f>
        <v/>
      </c>
      <c r="F310" s="24" t="str">
        <f>IF(E310&lt;&gt;"",PEcopy!A310,"")</f>
        <v/>
      </c>
      <c r="G310" s="24" t="str">
        <f>IF(E310&lt;&gt;"",PEcopy!F310,"")</f>
        <v/>
      </c>
    </row>
    <row r="311" spans="1:7" ht="15.75" customHeight="1">
      <c r="A311" s="23" t="str">
        <f t="shared" si="13"/>
        <v/>
      </c>
      <c r="B311" t="str">
        <f t="shared" si="14"/>
        <v/>
      </c>
      <c r="C311" s="23" t="str">
        <f t="shared" si="15"/>
        <v/>
      </c>
      <c r="E311" s="24" t="str">
        <f>IF(NOT(ISBLANK(PEcopy!B311)),PEcopy!B311,"")</f>
        <v/>
      </c>
      <c r="F311" s="24" t="str">
        <f>IF(E311&lt;&gt;"",PEcopy!A311,"")</f>
        <v/>
      </c>
      <c r="G311" s="24" t="str">
        <f>IF(E311&lt;&gt;"",PEcopy!F311,"")</f>
        <v/>
      </c>
    </row>
    <row r="312" spans="1:7" ht="15.75" customHeight="1">
      <c r="A312" s="23" t="str">
        <f t="shared" si="13"/>
        <v/>
      </c>
      <c r="B312" t="str">
        <f t="shared" si="14"/>
        <v/>
      </c>
      <c r="C312" s="23" t="str">
        <f t="shared" si="15"/>
        <v/>
      </c>
      <c r="E312" s="24" t="str">
        <f>IF(NOT(ISBLANK(PEcopy!B312)),PEcopy!B312,"")</f>
        <v/>
      </c>
      <c r="F312" s="24" t="str">
        <f>IF(E312&lt;&gt;"",PEcopy!A312,"")</f>
        <v/>
      </c>
      <c r="G312" s="24" t="str">
        <f>IF(E312&lt;&gt;"",PEcopy!F312,"")</f>
        <v/>
      </c>
    </row>
    <row r="313" spans="1:7" ht="15.75" customHeight="1">
      <c r="A313" s="23" t="str">
        <f t="shared" si="13"/>
        <v/>
      </c>
      <c r="B313" t="str">
        <f t="shared" si="14"/>
        <v/>
      </c>
      <c r="C313" s="23" t="str">
        <f t="shared" si="15"/>
        <v/>
      </c>
      <c r="E313" s="24" t="str">
        <f>IF(NOT(ISBLANK(PEcopy!B313)),PEcopy!B313,"")</f>
        <v/>
      </c>
      <c r="F313" s="24" t="str">
        <f>IF(E313&lt;&gt;"",PEcopy!A313,"")</f>
        <v/>
      </c>
      <c r="G313" s="24" t="str">
        <f>IF(E313&lt;&gt;"",PEcopy!F313,"")</f>
        <v/>
      </c>
    </row>
    <row r="314" spans="1:7" ht="15.75" customHeight="1">
      <c r="A314" s="23" t="str">
        <f t="shared" si="13"/>
        <v/>
      </c>
      <c r="B314" t="str">
        <f t="shared" si="14"/>
        <v/>
      </c>
      <c r="C314" s="23" t="str">
        <f t="shared" si="15"/>
        <v/>
      </c>
      <c r="E314" s="24" t="str">
        <f>IF(NOT(ISBLANK(PEcopy!B314)),PEcopy!B314,"")</f>
        <v/>
      </c>
      <c r="F314" s="24" t="str">
        <f>IF(E314&lt;&gt;"",PEcopy!A314,"")</f>
        <v/>
      </c>
      <c r="G314" s="24" t="str">
        <f>IF(E314&lt;&gt;"",PEcopy!F314,"")</f>
        <v/>
      </c>
    </row>
    <row r="315" spans="1:7" ht="15.75" customHeight="1">
      <c r="A315" s="23" t="str">
        <f t="shared" si="13"/>
        <v/>
      </c>
      <c r="B315" t="str">
        <f t="shared" si="14"/>
        <v/>
      </c>
      <c r="C315" s="23" t="str">
        <f t="shared" si="15"/>
        <v/>
      </c>
      <c r="E315" s="24" t="str">
        <f>IF(NOT(ISBLANK(PEcopy!B315)),PEcopy!B315,"")</f>
        <v/>
      </c>
      <c r="F315" s="24" t="str">
        <f>IF(E315&lt;&gt;"",PEcopy!A315,"")</f>
        <v/>
      </c>
      <c r="G315" s="24" t="str">
        <f>IF(E315&lt;&gt;"",PEcopy!F315,"")</f>
        <v/>
      </c>
    </row>
    <row r="316" spans="1:7" ht="15.75" customHeight="1">
      <c r="A316" s="23" t="str">
        <f t="shared" si="13"/>
        <v/>
      </c>
      <c r="B316" t="str">
        <f t="shared" si="14"/>
        <v/>
      </c>
      <c r="C316" s="23" t="str">
        <f t="shared" si="15"/>
        <v/>
      </c>
      <c r="E316" s="24" t="str">
        <f>IF(NOT(ISBLANK(PEcopy!B316)),PEcopy!B316,"")</f>
        <v/>
      </c>
      <c r="F316" s="24" t="str">
        <f>IF(E316&lt;&gt;"",PEcopy!A316,"")</f>
        <v/>
      </c>
      <c r="G316" s="24" t="str">
        <f>IF(E316&lt;&gt;"",PEcopy!F316,"")</f>
        <v/>
      </c>
    </row>
    <row r="317" spans="1:7" ht="15.75" customHeight="1">
      <c r="A317" s="23" t="str">
        <f t="shared" si="13"/>
        <v/>
      </c>
      <c r="B317" t="str">
        <f t="shared" si="14"/>
        <v/>
      </c>
      <c r="C317" s="23" t="str">
        <f t="shared" si="15"/>
        <v/>
      </c>
      <c r="E317" s="24" t="str">
        <f>IF(NOT(ISBLANK(PEcopy!B317)),PEcopy!B317,"")</f>
        <v/>
      </c>
      <c r="F317" s="24" t="str">
        <f>IF(E317&lt;&gt;"",PEcopy!A317,"")</f>
        <v/>
      </c>
      <c r="G317" s="24" t="str">
        <f>IF(E317&lt;&gt;"",PEcopy!F317,"")</f>
        <v/>
      </c>
    </row>
    <row r="318" spans="1:7" ht="15.75" customHeight="1">
      <c r="A318" s="23" t="str">
        <f t="shared" si="13"/>
        <v/>
      </c>
      <c r="B318" t="str">
        <f t="shared" si="14"/>
        <v/>
      </c>
      <c r="C318" s="23" t="str">
        <f t="shared" si="15"/>
        <v/>
      </c>
      <c r="E318" s="24" t="str">
        <f>IF(NOT(ISBLANK(PEcopy!B318)),PEcopy!B318,"")</f>
        <v/>
      </c>
      <c r="F318" s="24" t="str">
        <f>IF(E318&lt;&gt;"",PEcopy!A318,"")</f>
        <v/>
      </c>
      <c r="G318" s="24" t="str">
        <f>IF(E318&lt;&gt;"",PEcopy!F318,"")</f>
        <v/>
      </c>
    </row>
    <row r="319" spans="1:7" ht="15.75" customHeight="1">
      <c r="A319" s="23" t="str">
        <f t="shared" si="13"/>
        <v/>
      </c>
      <c r="B319" t="str">
        <f t="shared" si="14"/>
        <v/>
      </c>
      <c r="C319" s="23" t="str">
        <f t="shared" si="15"/>
        <v/>
      </c>
      <c r="E319" s="24" t="str">
        <f>IF(NOT(ISBLANK(PEcopy!B319)),PEcopy!B319,"")</f>
        <v/>
      </c>
      <c r="F319" s="24" t="str">
        <f>IF(E319&lt;&gt;"",PEcopy!A319,"")</f>
        <v/>
      </c>
      <c r="G319" s="24" t="str">
        <f>IF(E319&lt;&gt;"",PEcopy!F319,"")</f>
        <v/>
      </c>
    </row>
    <row r="320" spans="1:7" ht="15.75" customHeight="1">
      <c r="A320" s="23" t="str">
        <f t="shared" si="13"/>
        <v/>
      </c>
      <c r="B320" t="str">
        <f t="shared" si="14"/>
        <v/>
      </c>
      <c r="C320" s="23" t="str">
        <f t="shared" si="15"/>
        <v/>
      </c>
      <c r="E320" s="24" t="str">
        <f>IF(NOT(ISBLANK(PEcopy!B320)),PEcopy!B320,"")</f>
        <v/>
      </c>
      <c r="F320" s="24" t="str">
        <f>IF(E320&lt;&gt;"",PEcopy!A320,"")</f>
        <v/>
      </c>
      <c r="G320" s="24" t="str">
        <f>IF(E320&lt;&gt;"",PEcopy!F320,"")</f>
        <v/>
      </c>
    </row>
    <row r="321" spans="1:7" ht="15.75" customHeight="1">
      <c r="A321" s="23" t="str">
        <f t="shared" si="13"/>
        <v/>
      </c>
      <c r="B321" t="str">
        <f t="shared" si="14"/>
        <v/>
      </c>
      <c r="C321" s="23" t="str">
        <f t="shared" si="15"/>
        <v/>
      </c>
      <c r="E321" s="24" t="str">
        <f>IF(NOT(ISBLANK(PEcopy!B321)),PEcopy!B321,"")</f>
        <v/>
      </c>
      <c r="F321" s="24" t="str">
        <f>IF(E321&lt;&gt;"",PEcopy!A321,"")</f>
        <v/>
      </c>
      <c r="G321" s="24" t="str">
        <f>IF(E321&lt;&gt;"",PEcopy!F321,"")</f>
        <v/>
      </c>
    </row>
    <row r="322" spans="1:7" ht="15.75" customHeight="1">
      <c r="A322" s="23" t="str">
        <f t="shared" si="13"/>
        <v/>
      </c>
      <c r="B322" t="str">
        <f t="shared" si="14"/>
        <v/>
      </c>
      <c r="C322" s="23" t="str">
        <f t="shared" si="15"/>
        <v/>
      </c>
      <c r="E322" s="24" t="str">
        <f>IF(NOT(ISBLANK(PEcopy!B322)),PEcopy!B322,"")</f>
        <v/>
      </c>
      <c r="F322" s="24" t="str">
        <f>IF(E322&lt;&gt;"",PEcopy!A322,"")</f>
        <v/>
      </c>
      <c r="G322" s="24" t="str">
        <f>IF(E322&lt;&gt;"",PEcopy!F322,"")</f>
        <v/>
      </c>
    </row>
    <row r="323" spans="1:7" ht="15.75" customHeight="1">
      <c r="A323" s="23" t="str">
        <f t="shared" ref="A323:A386" si="16">IF(E323&lt;&gt;"",DATEVALUE(LEFT(E323,10)),"")</f>
        <v/>
      </c>
      <c r="B323" t="str">
        <f t="shared" ref="B323:B386" si="17">IF(LEN(F323)&gt;3,RIGHT(F323,LEN(F323)-3),"")</f>
        <v/>
      </c>
      <c r="C323" s="23" t="str">
        <f t="shared" ref="C323:C386" si="18">IF(E323&lt;&gt;"",DATEVALUE(LEFT(G323,10)),"")</f>
        <v/>
      </c>
      <c r="E323" s="24" t="str">
        <f>IF(NOT(ISBLANK(PEcopy!B323)),PEcopy!B323,"")</f>
        <v/>
      </c>
      <c r="F323" s="24" t="str">
        <f>IF(E323&lt;&gt;"",PEcopy!A323,"")</f>
        <v/>
      </c>
      <c r="G323" s="24" t="str">
        <f>IF(E323&lt;&gt;"",PEcopy!F323,"")</f>
        <v/>
      </c>
    </row>
    <row r="324" spans="1:7" ht="15.75" customHeight="1">
      <c r="A324" s="23" t="str">
        <f t="shared" si="16"/>
        <v/>
      </c>
      <c r="B324" t="str">
        <f t="shared" si="17"/>
        <v/>
      </c>
      <c r="C324" s="23" t="str">
        <f t="shared" si="18"/>
        <v/>
      </c>
      <c r="E324" s="24" t="str">
        <f>IF(NOT(ISBLANK(PEcopy!B324)),PEcopy!B324,"")</f>
        <v/>
      </c>
      <c r="F324" s="24" t="str">
        <f>IF(E324&lt;&gt;"",PEcopy!A324,"")</f>
        <v/>
      </c>
      <c r="G324" s="24" t="str">
        <f>IF(E324&lt;&gt;"",PEcopy!F324,"")</f>
        <v/>
      </c>
    </row>
    <row r="325" spans="1:7" ht="15.75" customHeight="1">
      <c r="A325" s="23" t="str">
        <f t="shared" si="16"/>
        <v/>
      </c>
      <c r="B325" t="str">
        <f t="shared" si="17"/>
        <v/>
      </c>
      <c r="C325" s="23" t="str">
        <f t="shared" si="18"/>
        <v/>
      </c>
      <c r="E325" s="24" t="str">
        <f>IF(NOT(ISBLANK(PEcopy!B325)),PEcopy!B325,"")</f>
        <v/>
      </c>
      <c r="F325" s="24" t="str">
        <f>IF(E325&lt;&gt;"",PEcopy!A325,"")</f>
        <v/>
      </c>
      <c r="G325" s="24" t="str">
        <f>IF(E325&lt;&gt;"",PEcopy!F325,"")</f>
        <v/>
      </c>
    </row>
    <row r="326" spans="1:7" ht="15.75" customHeight="1">
      <c r="A326" s="23" t="str">
        <f t="shared" si="16"/>
        <v/>
      </c>
      <c r="B326" t="str">
        <f t="shared" si="17"/>
        <v/>
      </c>
      <c r="C326" s="23" t="str">
        <f t="shared" si="18"/>
        <v/>
      </c>
      <c r="E326" s="24" t="str">
        <f>IF(NOT(ISBLANK(PEcopy!B326)),PEcopy!B326,"")</f>
        <v/>
      </c>
      <c r="F326" s="24" t="str">
        <f>IF(E326&lt;&gt;"",PEcopy!A326,"")</f>
        <v/>
      </c>
      <c r="G326" s="24" t="str">
        <f>IF(E326&lt;&gt;"",PEcopy!F326,"")</f>
        <v/>
      </c>
    </row>
    <row r="327" spans="1:7" ht="15.75" customHeight="1">
      <c r="A327" s="23" t="str">
        <f t="shared" si="16"/>
        <v/>
      </c>
      <c r="B327" t="str">
        <f t="shared" si="17"/>
        <v/>
      </c>
      <c r="C327" s="23" t="str">
        <f t="shared" si="18"/>
        <v/>
      </c>
      <c r="E327" s="24" t="str">
        <f>IF(NOT(ISBLANK(PEcopy!B327)),PEcopy!B327,"")</f>
        <v/>
      </c>
      <c r="F327" s="24" t="str">
        <f>IF(E327&lt;&gt;"",PEcopy!A327,"")</f>
        <v/>
      </c>
      <c r="G327" s="24" t="str">
        <f>IF(E327&lt;&gt;"",PEcopy!F327,"")</f>
        <v/>
      </c>
    </row>
    <row r="328" spans="1:7" ht="15.75" customHeight="1">
      <c r="A328" s="23" t="str">
        <f t="shared" si="16"/>
        <v/>
      </c>
      <c r="B328" t="str">
        <f t="shared" si="17"/>
        <v/>
      </c>
      <c r="C328" s="23" t="str">
        <f t="shared" si="18"/>
        <v/>
      </c>
      <c r="E328" s="24" t="str">
        <f>IF(NOT(ISBLANK(PEcopy!B328)),PEcopy!B328,"")</f>
        <v/>
      </c>
      <c r="F328" s="24" t="str">
        <f>IF(E328&lt;&gt;"",PEcopy!A328,"")</f>
        <v/>
      </c>
      <c r="G328" s="24" t="str">
        <f>IF(E328&lt;&gt;"",PEcopy!F328,"")</f>
        <v/>
      </c>
    </row>
    <row r="329" spans="1:7" ht="15.75" customHeight="1">
      <c r="A329" s="23" t="str">
        <f t="shared" si="16"/>
        <v/>
      </c>
      <c r="B329" t="str">
        <f t="shared" si="17"/>
        <v/>
      </c>
      <c r="C329" s="23" t="str">
        <f t="shared" si="18"/>
        <v/>
      </c>
      <c r="E329" s="24" t="str">
        <f>IF(NOT(ISBLANK(PEcopy!B329)),PEcopy!B329,"")</f>
        <v/>
      </c>
      <c r="F329" s="24" t="str">
        <f>IF(E329&lt;&gt;"",PEcopy!A329,"")</f>
        <v/>
      </c>
      <c r="G329" s="24" t="str">
        <f>IF(E329&lt;&gt;"",PEcopy!F329,"")</f>
        <v/>
      </c>
    </row>
    <row r="330" spans="1:7" ht="15.75" customHeight="1">
      <c r="A330" s="23" t="str">
        <f t="shared" si="16"/>
        <v/>
      </c>
      <c r="B330" t="str">
        <f t="shared" si="17"/>
        <v/>
      </c>
      <c r="C330" s="23" t="str">
        <f t="shared" si="18"/>
        <v/>
      </c>
      <c r="E330" s="24" t="str">
        <f>IF(NOT(ISBLANK(PEcopy!B330)),PEcopy!B330,"")</f>
        <v/>
      </c>
      <c r="F330" s="24" t="str">
        <f>IF(E330&lt;&gt;"",PEcopy!A330,"")</f>
        <v/>
      </c>
      <c r="G330" s="24" t="str">
        <f>IF(E330&lt;&gt;"",PEcopy!F330,"")</f>
        <v/>
      </c>
    </row>
    <row r="331" spans="1:7" ht="15.75" customHeight="1">
      <c r="A331" s="23" t="str">
        <f t="shared" si="16"/>
        <v/>
      </c>
      <c r="B331" t="str">
        <f t="shared" si="17"/>
        <v/>
      </c>
      <c r="C331" s="23" t="str">
        <f t="shared" si="18"/>
        <v/>
      </c>
      <c r="E331" s="24" t="str">
        <f>IF(NOT(ISBLANK(PEcopy!B331)),PEcopy!B331,"")</f>
        <v/>
      </c>
      <c r="F331" s="24" t="str">
        <f>IF(E331&lt;&gt;"",PEcopy!A331,"")</f>
        <v/>
      </c>
      <c r="G331" s="24" t="str">
        <f>IF(E331&lt;&gt;"",PEcopy!F331,"")</f>
        <v/>
      </c>
    </row>
    <row r="332" spans="1:7" ht="15.75" customHeight="1">
      <c r="A332" s="23" t="str">
        <f t="shared" si="16"/>
        <v/>
      </c>
      <c r="B332" t="str">
        <f t="shared" si="17"/>
        <v/>
      </c>
      <c r="C332" s="23" t="str">
        <f t="shared" si="18"/>
        <v/>
      </c>
      <c r="E332" s="24" t="str">
        <f>IF(NOT(ISBLANK(PEcopy!B332)),PEcopy!B332,"")</f>
        <v/>
      </c>
      <c r="F332" s="24" t="str">
        <f>IF(E332&lt;&gt;"",PEcopy!A332,"")</f>
        <v/>
      </c>
      <c r="G332" s="24" t="str">
        <f>IF(E332&lt;&gt;"",PEcopy!F332,"")</f>
        <v/>
      </c>
    </row>
    <row r="333" spans="1:7" ht="15.75" customHeight="1">
      <c r="A333" s="23" t="str">
        <f t="shared" si="16"/>
        <v/>
      </c>
      <c r="B333" t="str">
        <f t="shared" si="17"/>
        <v/>
      </c>
      <c r="C333" s="23" t="str">
        <f t="shared" si="18"/>
        <v/>
      </c>
      <c r="E333" s="24" t="str">
        <f>IF(NOT(ISBLANK(PEcopy!B333)),PEcopy!B333,"")</f>
        <v/>
      </c>
      <c r="F333" s="24" t="str">
        <f>IF(E333&lt;&gt;"",PEcopy!A333,"")</f>
        <v/>
      </c>
      <c r="G333" s="24" t="str">
        <f>IF(E333&lt;&gt;"",PEcopy!F333,"")</f>
        <v/>
      </c>
    </row>
    <row r="334" spans="1:7" ht="15.75" customHeight="1">
      <c r="A334" s="23" t="str">
        <f t="shared" si="16"/>
        <v/>
      </c>
      <c r="B334" t="str">
        <f t="shared" si="17"/>
        <v/>
      </c>
      <c r="C334" s="23" t="str">
        <f t="shared" si="18"/>
        <v/>
      </c>
      <c r="E334" s="24" t="str">
        <f>IF(NOT(ISBLANK(PEcopy!B334)),PEcopy!B334,"")</f>
        <v/>
      </c>
      <c r="F334" s="24" t="str">
        <f>IF(E334&lt;&gt;"",PEcopy!A334,"")</f>
        <v/>
      </c>
      <c r="G334" s="24" t="str">
        <f>IF(E334&lt;&gt;"",PEcopy!F334,"")</f>
        <v/>
      </c>
    </row>
    <row r="335" spans="1:7" ht="15.75" customHeight="1">
      <c r="A335" s="23" t="str">
        <f t="shared" si="16"/>
        <v/>
      </c>
      <c r="B335" t="str">
        <f t="shared" si="17"/>
        <v/>
      </c>
      <c r="C335" s="23" t="str">
        <f t="shared" si="18"/>
        <v/>
      </c>
      <c r="E335" s="24" t="str">
        <f>IF(NOT(ISBLANK(PEcopy!B335)),PEcopy!B335,"")</f>
        <v/>
      </c>
      <c r="F335" s="24" t="str">
        <f>IF(E335&lt;&gt;"",PEcopy!A335,"")</f>
        <v/>
      </c>
      <c r="G335" s="24" t="str">
        <f>IF(E335&lt;&gt;"",PEcopy!F335,"")</f>
        <v/>
      </c>
    </row>
    <row r="336" spans="1:7" ht="15.75" customHeight="1">
      <c r="A336" s="23" t="str">
        <f t="shared" si="16"/>
        <v/>
      </c>
      <c r="B336" t="str">
        <f t="shared" si="17"/>
        <v/>
      </c>
      <c r="C336" s="23" t="str">
        <f t="shared" si="18"/>
        <v/>
      </c>
      <c r="E336" s="24" t="str">
        <f>IF(NOT(ISBLANK(PEcopy!B336)),PEcopy!B336,"")</f>
        <v/>
      </c>
      <c r="F336" s="24" t="str">
        <f>IF(E336&lt;&gt;"",PEcopy!A336,"")</f>
        <v/>
      </c>
      <c r="G336" s="24" t="str">
        <f>IF(E336&lt;&gt;"",PEcopy!F336,"")</f>
        <v/>
      </c>
    </row>
    <row r="337" spans="1:7" ht="15.75" customHeight="1">
      <c r="A337" s="23" t="str">
        <f t="shared" si="16"/>
        <v/>
      </c>
      <c r="B337" t="str">
        <f t="shared" si="17"/>
        <v/>
      </c>
      <c r="C337" s="23" t="str">
        <f t="shared" si="18"/>
        <v/>
      </c>
      <c r="E337" s="24" t="str">
        <f>IF(NOT(ISBLANK(PEcopy!B337)),PEcopy!B337,"")</f>
        <v/>
      </c>
      <c r="F337" s="24" t="str">
        <f>IF(E337&lt;&gt;"",PEcopy!A337,"")</f>
        <v/>
      </c>
      <c r="G337" s="24" t="str">
        <f>IF(E337&lt;&gt;"",PEcopy!F337,"")</f>
        <v/>
      </c>
    </row>
    <row r="338" spans="1:7" ht="15.75" customHeight="1">
      <c r="A338" s="23" t="str">
        <f t="shared" si="16"/>
        <v/>
      </c>
      <c r="B338" t="str">
        <f t="shared" si="17"/>
        <v/>
      </c>
      <c r="C338" s="23" t="str">
        <f t="shared" si="18"/>
        <v/>
      </c>
      <c r="E338" s="24" t="str">
        <f>IF(NOT(ISBLANK(PEcopy!B338)),PEcopy!B338,"")</f>
        <v/>
      </c>
      <c r="F338" s="24" t="str">
        <f>IF(E338&lt;&gt;"",PEcopy!A338,"")</f>
        <v/>
      </c>
      <c r="G338" s="24" t="str">
        <f>IF(E338&lt;&gt;"",PEcopy!F338,"")</f>
        <v/>
      </c>
    </row>
    <row r="339" spans="1:7" ht="15.75" customHeight="1">
      <c r="A339" s="23" t="str">
        <f t="shared" si="16"/>
        <v/>
      </c>
      <c r="B339" t="str">
        <f t="shared" si="17"/>
        <v/>
      </c>
      <c r="C339" s="23" t="str">
        <f t="shared" si="18"/>
        <v/>
      </c>
      <c r="E339" s="24" t="str">
        <f>IF(NOT(ISBLANK(PEcopy!B339)),PEcopy!B339,"")</f>
        <v/>
      </c>
      <c r="F339" s="24" t="str">
        <f>IF(E339&lt;&gt;"",PEcopy!A339,"")</f>
        <v/>
      </c>
      <c r="G339" s="24" t="str">
        <f>IF(E339&lt;&gt;"",PEcopy!F339,"")</f>
        <v/>
      </c>
    </row>
    <row r="340" spans="1:7" ht="15.75" customHeight="1">
      <c r="A340" s="23" t="str">
        <f t="shared" si="16"/>
        <v/>
      </c>
      <c r="B340" t="str">
        <f t="shared" si="17"/>
        <v/>
      </c>
      <c r="C340" s="23" t="str">
        <f t="shared" si="18"/>
        <v/>
      </c>
      <c r="E340" s="24" t="str">
        <f>IF(NOT(ISBLANK(PEcopy!B340)),PEcopy!B340,"")</f>
        <v/>
      </c>
      <c r="F340" s="24" t="str">
        <f>IF(E340&lt;&gt;"",PEcopy!A340,"")</f>
        <v/>
      </c>
      <c r="G340" s="24" t="str">
        <f>IF(E340&lt;&gt;"",PEcopy!F340,"")</f>
        <v/>
      </c>
    </row>
    <row r="341" spans="1:7" ht="15.75" customHeight="1">
      <c r="A341" s="23" t="str">
        <f t="shared" si="16"/>
        <v/>
      </c>
      <c r="B341" t="str">
        <f t="shared" si="17"/>
        <v/>
      </c>
      <c r="C341" s="23" t="str">
        <f t="shared" si="18"/>
        <v/>
      </c>
      <c r="E341" s="24" t="str">
        <f>IF(NOT(ISBLANK(PEcopy!B341)),PEcopy!B341,"")</f>
        <v/>
      </c>
      <c r="F341" s="24" t="str">
        <f>IF(E341&lt;&gt;"",PEcopy!A341,"")</f>
        <v/>
      </c>
      <c r="G341" s="24" t="str">
        <f>IF(E341&lt;&gt;"",PEcopy!F341,"")</f>
        <v/>
      </c>
    </row>
    <row r="342" spans="1:7" ht="15.75" customHeight="1">
      <c r="A342" s="23" t="str">
        <f t="shared" si="16"/>
        <v/>
      </c>
      <c r="B342" t="str">
        <f t="shared" si="17"/>
        <v/>
      </c>
      <c r="C342" s="23" t="str">
        <f t="shared" si="18"/>
        <v/>
      </c>
      <c r="E342" s="24" t="str">
        <f>IF(NOT(ISBLANK(PEcopy!B342)),PEcopy!B342,"")</f>
        <v/>
      </c>
      <c r="F342" s="24" t="str">
        <f>IF(E342&lt;&gt;"",PEcopy!A342,"")</f>
        <v/>
      </c>
      <c r="G342" s="24" t="str">
        <f>IF(E342&lt;&gt;"",PEcopy!F342,"")</f>
        <v/>
      </c>
    </row>
    <row r="343" spans="1:7" ht="15.75" customHeight="1">
      <c r="A343" s="23" t="str">
        <f t="shared" si="16"/>
        <v/>
      </c>
      <c r="B343" t="str">
        <f t="shared" si="17"/>
        <v/>
      </c>
      <c r="C343" s="23" t="str">
        <f t="shared" si="18"/>
        <v/>
      </c>
      <c r="E343" s="24" t="str">
        <f>IF(NOT(ISBLANK(PEcopy!B343)),PEcopy!B343,"")</f>
        <v/>
      </c>
      <c r="F343" s="24" t="str">
        <f>IF(E343&lt;&gt;"",PEcopy!A343,"")</f>
        <v/>
      </c>
      <c r="G343" s="24" t="str">
        <f>IF(E343&lt;&gt;"",PEcopy!F343,"")</f>
        <v/>
      </c>
    </row>
    <row r="344" spans="1:7" ht="15.75" customHeight="1">
      <c r="A344" s="23" t="str">
        <f t="shared" si="16"/>
        <v/>
      </c>
      <c r="B344" t="str">
        <f t="shared" si="17"/>
        <v/>
      </c>
      <c r="C344" s="23" t="str">
        <f t="shared" si="18"/>
        <v/>
      </c>
      <c r="E344" s="24" t="str">
        <f>IF(NOT(ISBLANK(PEcopy!B344)),PEcopy!B344,"")</f>
        <v/>
      </c>
      <c r="F344" s="24" t="str">
        <f>IF(E344&lt;&gt;"",PEcopy!A344,"")</f>
        <v/>
      </c>
      <c r="G344" s="24" t="str">
        <f>IF(E344&lt;&gt;"",PEcopy!F344,"")</f>
        <v/>
      </c>
    </row>
    <row r="345" spans="1:7" ht="15.75" customHeight="1">
      <c r="A345" s="23" t="str">
        <f t="shared" si="16"/>
        <v/>
      </c>
      <c r="B345" t="str">
        <f t="shared" si="17"/>
        <v/>
      </c>
      <c r="C345" s="23" t="str">
        <f t="shared" si="18"/>
        <v/>
      </c>
      <c r="E345" s="24" t="str">
        <f>IF(NOT(ISBLANK(PEcopy!B345)),PEcopy!B345,"")</f>
        <v/>
      </c>
      <c r="F345" s="24" t="str">
        <f>IF(E345&lt;&gt;"",PEcopy!A345,"")</f>
        <v/>
      </c>
      <c r="G345" s="24" t="str">
        <f>IF(E345&lt;&gt;"",PEcopy!F345,"")</f>
        <v/>
      </c>
    </row>
    <row r="346" spans="1:7" ht="15.75" customHeight="1">
      <c r="A346" s="23" t="str">
        <f t="shared" si="16"/>
        <v/>
      </c>
      <c r="B346" t="str">
        <f t="shared" si="17"/>
        <v/>
      </c>
      <c r="C346" s="23" t="str">
        <f t="shared" si="18"/>
        <v/>
      </c>
      <c r="E346" s="24" t="str">
        <f>IF(NOT(ISBLANK(PEcopy!B346)),PEcopy!B346,"")</f>
        <v/>
      </c>
      <c r="F346" s="24" t="str">
        <f>IF(E346&lt;&gt;"",PEcopy!A346,"")</f>
        <v/>
      </c>
      <c r="G346" s="24" t="str">
        <f>IF(E346&lt;&gt;"",PEcopy!F346,"")</f>
        <v/>
      </c>
    </row>
    <row r="347" spans="1:7" ht="15.75" customHeight="1">
      <c r="A347" s="23" t="str">
        <f t="shared" si="16"/>
        <v/>
      </c>
      <c r="B347" t="str">
        <f t="shared" si="17"/>
        <v/>
      </c>
      <c r="C347" s="23" t="str">
        <f t="shared" si="18"/>
        <v/>
      </c>
      <c r="E347" s="24" t="str">
        <f>IF(NOT(ISBLANK(PEcopy!B347)),PEcopy!B347,"")</f>
        <v/>
      </c>
      <c r="F347" s="24" t="str">
        <f>IF(E347&lt;&gt;"",PEcopy!A347,"")</f>
        <v/>
      </c>
      <c r="G347" s="24" t="str">
        <f>IF(E347&lt;&gt;"",PEcopy!F347,"")</f>
        <v/>
      </c>
    </row>
    <row r="348" spans="1:7" ht="15.75" customHeight="1">
      <c r="A348" s="23" t="str">
        <f t="shared" si="16"/>
        <v/>
      </c>
      <c r="B348" t="str">
        <f t="shared" si="17"/>
        <v/>
      </c>
      <c r="C348" s="23" t="str">
        <f t="shared" si="18"/>
        <v/>
      </c>
      <c r="E348" s="24" t="str">
        <f>IF(NOT(ISBLANK(PEcopy!B348)),PEcopy!B348,"")</f>
        <v/>
      </c>
      <c r="F348" s="24" t="str">
        <f>IF(E348&lt;&gt;"",PEcopy!A348,"")</f>
        <v/>
      </c>
      <c r="G348" s="24" t="str">
        <f>IF(E348&lt;&gt;"",PEcopy!F348,"")</f>
        <v/>
      </c>
    </row>
    <row r="349" spans="1:7" ht="15.75" customHeight="1">
      <c r="A349" s="23" t="str">
        <f t="shared" si="16"/>
        <v/>
      </c>
      <c r="B349" t="str">
        <f t="shared" si="17"/>
        <v/>
      </c>
      <c r="C349" s="23" t="str">
        <f t="shared" si="18"/>
        <v/>
      </c>
      <c r="E349" s="24" t="str">
        <f>IF(NOT(ISBLANK(PEcopy!B349)),PEcopy!B349,"")</f>
        <v/>
      </c>
      <c r="F349" s="24" t="str">
        <f>IF(E349&lt;&gt;"",PEcopy!A349,"")</f>
        <v/>
      </c>
      <c r="G349" s="24" t="str">
        <f>IF(E349&lt;&gt;"",PEcopy!F349,"")</f>
        <v/>
      </c>
    </row>
    <row r="350" spans="1:7" ht="15.75" customHeight="1">
      <c r="A350" s="23" t="str">
        <f t="shared" si="16"/>
        <v/>
      </c>
      <c r="B350" t="str">
        <f t="shared" si="17"/>
        <v/>
      </c>
      <c r="C350" s="23" t="str">
        <f t="shared" si="18"/>
        <v/>
      </c>
      <c r="E350" s="24" t="str">
        <f>IF(NOT(ISBLANK(PEcopy!B350)),PEcopy!B350,"")</f>
        <v/>
      </c>
      <c r="F350" s="24" t="str">
        <f>IF(E350&lt;&gt;"",PEcopy!A350,"")</f>
        <v/>
      </c>
      <c r="G350" s="24" t="str">
        <f>IF(E350&lt;&gt;"",PEcopy!F350,"")</f>
        <v/>
      </c>
    </row>
    <row r="351" spans="1:7" ht="15.75" customHeight="1">
      <c r="A351" s="23" t="str">
        <f t="shared" si="16"/>
        <v/>
      </c>
      <c r="B351" t="str">
        <f t="shared" si="17"/>
        <v/>
      </c>
      <c r="C351" s="23" t="str">
        <f t="shared" si="18"/>
        <v/>
      </c>
      <c r="E351" s="24" t="str">
        <f>IF(NOT(ISBLANK(PEcopy!B351)),PEcopy!B351,"")</f>
        <v/>
      </c>
      <c r="F351" s="24" t="str">
        <f>IF(E351&lt;&gt;"",PEcopy!A351,"")</f>
        <v/>
      </c>
      <c r="G351" s="24" t="str">
        <f>IF(E351&lt;&gt;"",PEcopy!F351,"")</f>
        <v/>
      </c>
    </row>
    <row r="352" spans="1:7" ht="15.75" customHeight="1">
      <c r="A352" s="23" t="str">
        <f t="shared" si="16"/>
        <v/>
      </c>
      <c r="B352" t="str">
        <f t="shared" si="17"/>
        <v/>
      </c>
      <c r="C352" s="23" t="str">
        <f t="shared" si="18"/>
        <v/>
      </c>
      <c r="E352" s="24" t="str">
        <f>IF(NOT(ISBLANK(PEcopy!B352)),PEcopy!B352,"")</f>
        <v/>
      </c>
      <c r="F352" s="24" t="str">
        <f>IF(E352&lt;&gt;"",PEcopy!A352,"")</f>
        <v/>
      </c>
      <c r="G352" s="24" t="str">
        <f>IF(E352&lt;&gt;"",PEcopy!F352,"")</f>
        <v/>
      </c>
    </row>
    <row r="353" spans="1:7" ht="15.75" customHeight="1">
      <c r="A353" s="23" t="str">
        <f t="shared" si="16"/>
        <v/>
      </c>
      <c r="B353" t="str">
        <f t="shared" si="17"/>
        <v/>
      </c>
      <c r="C353" s="23" t="str">
        <f t="shared" si="18"/>
        <v/>
      </c>
      <c r="E353" s="24" t="str">
        <f>IF(NOT(ISBLANK(PEcopy!B353)),PEcopy!B353,"")</f>
        <v/>
      </c>
      <c r="F353" s="24" t="str">
        <f>IF(E353&lt;&gt;"",PEcopy!A353,"")</f>
        <v/>
      </c>
      <c r="G353" s="24" t="str">
        <f>IF(E353&lt;&gt;"",PEcopy!F353,"")</f>
        <v/>
      </c>
    </row>
    <row r="354" spans="1:7" ht="15.75" customHeight="1">
      <c r="A354" s="23" t="str">
        <f t="shared" si="16"/>
        <v/>
      </c>
      <c r="B354" t="str">
        <f t="shared" si="17"/>
        <v/>
      </c>
      <c r="C354" s="23" t="str">
        <f t="shared" si="18"/>
        <v/>
      </c>
      <c r="E354" s="24" t="str">
        <f>IF(NOT(ISBLANK(PEcopy!B354)),PEcopy!B354,"")</f>
        <v/>
      </c>
      <c r="F354" s="24" t="str">
        <f>IF(E354&lt;&gt;"",PEcopy!A354,"")</f>
        <v/>
      </c>
      <c r="G354" s="24" t="str">
        <f>IF(E354&lt;&gt;"",PEcopy!F354,"")</f>
        <v/>
      </c>
    </row>
    <row r="355" spans="1:7" ht="15.75" customHeight="1">
      <c r="A355" s="23" t="str">
        <f t="shared" si="16"/>
        <v/>
      </c>
      <c r="B355" t="str">
        <f t="shared" si="17"/>
        <v/>
      </c>
      <c r="C355" s="23" t="str">
        <f t="shared" si="18"/>
        <v/>
      </c>
      <c r="E355" s="24" t="str">
        <f>IF(NOT(ISBLANK(PEcopy!B355)),PEcopy!B355,"")</f>
        <v/>
      </c>
      <c r="F355" s="24" t="str">
        <f>IF(E355&lt;&gt;"",PEcopy!A355,"")</f>
        <v/>
      </c>
      <c r="G355" s="24" t="str">
        <f>IF(E355&lt;&gt;"",PEcopy!F355,"")</f>
        <v/>
      </c>
    </row>
    <row r="356" spans="1:7" ht="15.75" customHeight="1">
      <c r="A356" s="23" t="str">
        <f t="shared" si="16"/>
        <v/>
      </c>
      <c r="B356" t="str">
        <f t="shared" si="17"/>
        <v/>
      </c>
      <c r="C356" s="23" t="str">
        <f t="shared" si="18"/>
        <v/>
      </c>
      <c r="E356" s="24" t="str">
        <f>IF(NOT(ISBLANK(PEcopy!B356)),PEcopy!B356,"")</f>
        <v/>
      </c>
      <c r="F356" s="24" t="str">
        <f>IF(E356&lt;&gt;"",PEcopy!A356,"")</f>
        <v/>
      </c>
      <c r="G356" s="24" t="str">
        <f>IF(E356&lt;&gt;"",PEcopy!F356,"")</f>
        <v/>
      </c>
    </row>
    <row r="357" spans="1:7" ht="15.75" customHeight="1">
      <c r="A357" s="23" t="str">
        <f t="shared" si="16"/>
        <v/>
      </c>
      <c r="B357" t="str">
        <f t="shared" si="17"/>
        <v/>
      </c>
      <c r="C357" s="23" t="str">
        <f t="shared" si="18"/>
        <v/>
      </c>
      <c r="E357" s="24" t="str">
        <f>IF(NOT(ISBLANK(PEcopy!B357)),PEcopy!B357,"")</f>
        <v/>
      </c>
      <c r="F357" s="24" t="str">
        <f>IF(E357&lt;&gt;"",PEcopy!A357,"")</f>
        <v/>
      </c>
      <c r="G357" s="24" t="str">
        <f>IF(E357&lt;&gt;"",PEcopy!F357,"")</f>
        <v/>
      </c>
    </row>
    <row r="358" spans="1:7" ht="15.75" customHeight="1">
      <c r="A358" s="23" t="str">
        <f t="shared" si="16"/>
        <v/>
      </c>
      <c r="B358" t="str">
        <f t="shared" si="17"/>
        <v/>
      </c>
      <c r="C358" s="23" t="str">
        <f t="shared" si="18"/>
        <v/>
      </c>
      <c r="E358" s="24" t="str">
        <f>IF(NOT(ISBLANK(PEcopy!B358)),PEcopy!B358,"")</f>
        <v/>
      </c>
      <c r="F358" s="24" t="str">
        <f>IF(E358&lt;&gt;"",PEcopy!A358,"")</f>
        <v/>
      </c>
      <c r="G358" s="24" t="str">
        <f>IF(E358&lt;&gt;"",PEcopy!F358,"")</f>
        <v/>
      </c>
    </row>
    <row r="359" spans="1:7" ht="15.75" customHeight="1">
      <c r="A359" s="23" t="str">
        <f t="shared" si="16"/>
        <v/>
      </c>
      <c r="B359" t="str">
        <f t="shared" si="17"/>
        <v/>
      </c>
      <c r="C359" s="23" t="str">
        <f t="shared" si="18"/>
        <v/>
      </c>
      <c r="E359" s="24" t="str">
        <f>IF(NOT(ISBLANK(PEcopy!B359)),PEcopy!B359,"")</f>
        <v/>
      </c>
      <c r="F359" s="24" t="str">
        <f>IF(E359&lt;&gt;"",PEcopy!A359,"")</f>
        <v/>
      </c>
      <c r="G359" s="24" t="str">
        <f>IF(E359&lt;&gt;"",PEcopy!F359,"")</f>
        <v/>
      </c>
    </row>
    <row r="360" spans="1:7" ht="15.75" customHeight="1">
      <c r="A360" s="23" t="str">
        <f t="shared" si="16"/>
        <v/>
      </c>
      <c r="B360" t="str">
        <f t="shared" si="17"/>
        <v/>
      </c>
      <c r="C360" s="23" t="str">
        <f t="shared" si="18"/>
        <v/>
      </c>
      <c r="E360" s="24" t="str">
        <f>IF(NOT(ISBLANK(PEcopy!B360)),PEcopy!B360,"")</f>
        <v/>
      </c>
      <c r="F360" s="24" t="str">
        <f>IF(E360&lt;&gt;"",PEcopy!A360,"")</f>
        <v/>
      </c>
      <c r="G360" s="24" t="str">
        <f>IF(E360&lt;&gt;"",PEcopy!F360,"")</f>
        <v/>
      </c>
    </row>
    <row r="361" spans="1:7" ht="15.75" customHeight="1">
      <c r="A361" s="23" t="str">
        <f t="shared" si="16"/>
        <v/>
      </c>
      <c r="B361" t="str">
        <f t="shared" si="17"/>
        <v/>
      </c>
      <c r="C361" s="23" t="str">
        <f t="shared" si="18"/>
        <v/>
      </c>
      <c r="E361" s="24" t="str">
        <f>IF(NOT(ISBLANK(PEcopy!B361)),PEcopy!B361,"")</f>
        <v/>
      </c>
      <c r="F361" s="24" t="str">
        <f>IF(E361&lt;&gt;"",PEcopy!A361,"")</f>
        <v/>
      </c>
      <c r="G361" s="24" t="str">
        <f>IF(E361&lt;&gt;"",PEcopy!F361,"")</f>
        <v/>
      </c>
    </row>
    <row r="362" spans="1:7" ht="15.75" customHeight="1">
      <c r="A362" s="23" t="str">
        <f t="shared" si="16"/>
        <v/>
      </c>
      <c r="B362" t="str">
        <f t="shared" si="17"/>
        <v/>
      </c>
      <c r="C362" s="23" t="str">
        <f t="shared" si="18"/>
        <v/>
      </c>
      <c r="E362" s="24" t="str">
        <f>IF(NOT(ISBLANK(PEcopy!B362)),PEcopy!B362,"")</f>
        <v/>
      </c>
      <c r="F362" s="24" t="str">
        <f>IF(E362&lt;&gt;"",PEcopy!A362,"")</f>
        <v/>
      </c>
      <c r="G362" s="24" t="str">
        <f>IF(E362&lt;&gt;"",PEcopy!F362,"")</f>
        <v/>
      </c>
    </row>
    <row r="363" spans="1:7" ht="15.75" customHeight="1">
      <c r="A363" s="23" t="str">
        <f t="shared" si="16"/>
        <v/>
      </c>
      <c r="B363" t="str">
        <f t="shared" si="17"/>
        <v/>
      </c>
      <c r="C363" s="23" t="str">
        <f t="shared" si="18"/>
        <v/>
      </c>
      <c r="E363" s="24" t="str">
        <f>IF(NOT(ISBLANK(PEcopy!B363)),PEcopy!B363,"")</f>
        <v/>
      </c>
      <c r="F363" s="24" t="str">
        <f>IF(E363&lt;&gt;"",PEcopy!A363,"")</f>
        <v/>
      </c>
      <c r="G363" s="24" t="str">
        <f>IF(E363&lt;&gt;"",PEcopy!F363,"")</f>
        <v/>
      </c>
    </row>
    <row r="364" spans="1:7" ht="15.75" customHeight="1">
      <c r="A364" s="23" t="str">
        <f t="shared" si="16"/>
        <v/>
      </c>
      <c r="B364" t="str">
        <f t="shared" si="17"/>
        <v/>
      </c>
      <c r="C364" s="23" t="str">
        <f t="shared" si="18"/>
        <v/>
      </c>
      <c r="E364" s="24" t="str">
        <f>IF(NOT(ISBLANK(PEcopy!B364)),PEcopy!B364,"")</f>
        <v/>
      </c>
      <c r="F364" s="24" t="str">
        <f>IF(E364&lt;&gt;"",PEcopy!A364,"")</f>
        <v/>
      </c>
      <c r="G364" s="24" t="str">
        <f>IF(E364&lt;&gt;"",PEcopy!F364,"")</f>
        <v/>
      </c>
    </row>
    <row r="365" spans="1:7" ht="15.75" customHeight="1">
      <c r="A365" s="23" t="str">
        <f t="shared" si="16"/>
        <v/>
      </c>
      <c r="B365" t="str">
        <f t="shared" si="17"/>
        <v/>
      </c>
      <c r="C365" s="23" t="str">
        <f t="shared" si="18"/>
        <v/>
      </c>
      <c r="E365" s="24" t="str">
        <f>IF(NOT(ISBLANK(PEcopy!B365)),PEcopy!B365,"")</f>
        <v/>
      </c>
      <c r="F365" s="24" t="str">
        <f>IF(E365&lt;&gt;"",PEcopy!A365,"")</f>
        <v/>
      </c>
      <c r="G365" s="24" t="str">
        <f>IF(E365&lt;&gt;"",PEcopy!F365,"")</f>
        <v/>
      </c>
    </row>
    <row r="366" spans="1:7" ht="15.75" customHeight="1">
      <c r="A366" s="23" t="str">
        <f t="shared" si="16"/>
        <v/>
      </c>
      <c r="B366" t="str">
        <f t="shared" si="17"/>
        <v/>
      </c>
      <c r="C366" s="23" t="str">
        <f t="shared" si="18"/>
        <v/>
      </c>
      <c r="E366" s="24" t="str">
        <f>IF(NOT(ISBLANK(PEcopy!B366)),PEcopy!B366,"")</f>
        <v/>
      </c>
      <c r="F366" s="24" t="str">
        <f>IF(E366&lt;&gt;"",PEcopy!A366,"")</f>
        <v/>
      </c>
      <c r="G366" s="24" t="str">
        <f>IF(E366&lt;&gt;"",PEcopy!F366,"")</f>
        <v/>
      </c>
    </row>
    <row r="367" spans="1:7" ht="15.75" customHeight="1">
      <c r="A367" s="23" t="str">
        <f t="shared" si="16"/>
        <v/>
      </c>
      <c r="B367" t="str">
        <f t="shared" si="17"/>
        <v/>
      </c>
      <c r="C367" s="23" t="str">
        <f t="shared" si="18"/>
        <v/>
      </c>
      <c r="E367" s="24" t="str">
        <f>IF(NOT(ISBLANK(PEcopy!B367)),PEcopy!B367,"")</f>
        <v/>
      </c>
      <c r="F367" s="24" t="str">
        <f>IF(E367&lt;&gt;"",PEcopy!A367,"")</f>
        <v/>
      </c>
      <c r="G367" s="24" t="str">
        <f>IF(E367&lt;&gt;"",PEcopy!F367,"")</f>
        <v/>
      </c>
    </row>
    <row r="368" spans="1:7" ht="15.75" customHeight="1">
      <c r="A368" s="23" t="str">
        <f t="shared" si="16"/>
        <v/>
      </c>
      <c r="B368" t="str">
        <f t="shared" si="17"/>
        <v/>
      </c>
      <c r="C368" s="23" t="str">
        <f t="shared" si="18"/>
        <v/>
      </c>
      <c r="E368" s="24" t="str">
        <f>IF(NOT(ISBLANK(PEcopy!B368)),PEcopy!B368,"")</f>
        <v/>
      </c>
      <c r="F368" s="24" t="str">
        <f>IF(E368&lt;&gt;"",PEcopy!A368,"")</f>
        <v/>
      </c>
      <c r="G368" s="24" t="str">
        <f>IF(E368&lt;&gt;"",PEcopy!F368,"")</f>
        <v/>
      </c>
    </row>
    <row r="369" spans="1:7" ht="15.75" customHeight="1">
      <c r="A369" s="23" t="str">
        <f t="shared" si="16"/>
        <v/>
      </c>
      <c r="B369" t="str">
        <f t="shared" si="17"/>
        <v/>
      </c>
      <c r="C369" s="23" t="str">
        <f t="shared" si="18"/>
        <v/>
      </c>
      <c r="E369" s="24" t="str">
        <f>IF(NOT(ISBLANK(PEcopy!B369)),PEcopy!B369,"")</f>
        <v/>
      </c>
      <c r="F369" s="24" t="str">
        <f>IF(E369&lt;&gt;"",PEcopy!A369,"")</f>
        <v/>
      </c>
      <c r="G369" s="24" t="str">
        <f>IF(E369&lt;&gt;"",PEcopy!F369,"")</f>
        <v/>
      </c>
    </row>
    <row r="370" spans="1:7" ht="15.75" customHeight="1">
      <c r="A370" s="23" t="str">
        <f t="shared" si="16"/>
        <v/>
      </c>
      <c r="B370" t="str">
        <f t="shared" si="17"/>
        <v/>
      </c>
      <c r="C370" s="23" t="str">
        <f t="shared" si="18"/>
        <v/>
      </c>
      <c r="E370" s="24" t="str">
        <f>IF(NOT(ISBLANK(PEcopy!B370)),PEcopy!B370,"")</f>
        <v/>
      </c>
      <c r="F370" s="24" t="str">
        <f>IF(E370&lt;&gt;"",PEcopy!A370,"")</f>
        <v/>
      </c>
      <c r="G370" s="24" t="str">
        <f>IF(E370&lt;&gt;"",PEcopy!F370,"")</f>
        <v/>
      </c>
    </row>
    <row r="371" spans="1:7" ht="15.75" customHeight="1">
      <c r="A371" s="23" t="str">
        <f t="shared" si="16"/>
        <v/>
      </c>
      <c r="B371" t="str">
        <f t="shared" si="17"/>
        <v/>
      </c>
      <c r="C371" s="23" t="str">
        <f t="shared" si="18"/>
        <v/>
      </c>
      <c r="E371" s="24" t="str">
        <f>IF(NOT(ISBLANK(PEcopy!B371)),PEcopy!B371,"")</f>
        <v/>
      </c>
      <c r="F371" s="24" t="str">
        <f>IF(E371&lt;&gt;"",PEcopy!A371,"")</f>
        <v/>
      </c>
      <c r="G371" s="24" t="str">
        <f>IF(E371&lt;&gt;"",PEcopy!F371,"")</f>
        <v/>
      </c>
    </row>
    <row r="372" spans="1:7" ht="15.75" customHeight="1">
      <c r="A372" s="23" t="str">
        <f t="shared" si="16"/>
        <v/>
      </c>
      <c r="B372" t="str">
        <f t="shared" si="17"/>
        <v/>
      </c>
      <c r="C372" s="23" t="str">
        <f t="shared" si="18"/>
        <v/>
      </c>
      <c r="E372" s="24" t="str">
        <f>IF(NOT(ISBLANK(PEcopy!B372)),PEcopy!B372,"")</f>
        <v/>
      </c>
      <c r="F372" s="24" t="str">
        <f>IF(E372&lt;&gt;"",PEcopy!A372,"")</f>
        <v/>
      </c>
      <c r="G372" s="24" t="str">
        <f>IF(E372&lt;&gt;"",PEcopy!F372,"")</f>
        <v/>
      </c>
    </row>
    <row r="373" spans="1:7" ht="15.75" customHeight="1">
      <c r="A373" s="23" t="str">
        <f t="shared" si="16"/>
        <v/>
      </c>
      <c r="B373" t="str">
        <f t="shared" si="17"/>
        <v/>
      </c>
      <c r="C373" s="23" t="str">
        <f t="shared" si="18"/>
        <v/>
      </c>
      <c r="E373" s="24" t="str">
        <f>IF(NOT(ISBLANK(PEcopy!B373)),PEcopy!B373,"")</f>
        <v/>
      </c>
      <c r="F373" s="24" t="str">
        <f>IF(E373&lt;&gt;"",PEcopy!A373,"")</f>
        <v/>
      </c>
      <c r="G373" s="24" t="str">
        <f>IF(E373&lt;&gt;"",PEcopy!F373,"")</f>
        <v/>
      </c>
    </row>
    <row r="374" spans="1:7" ht="15.75" customHeight="1">
      <c r="A374" s="23" t="str">
        <f t="shared" si="16"/>
        <v/>
      </c>
      <c r="B374" t="str">
        <f t="shared" si="17"/>
        <v/>
      </c>
      <c r="C374" s="23" t="str">
        <f t="shared" si="18"/>
        <v/>
      </c>
      <c r="E374" s="24" t="str">
        <f>IF(NOT(ISBLANK(PEcopy!B374)),PEcopy!B374,"")</f>
        <v/>
      </c>
      <c r="F374" s="24" t="str">
        <f>IF(E374&lt;&gt;"",PEcopy!A374,"")</f>
        <v/>
      </c>
      <c r="G374" s="24" t="str">
        <f>IF(E374&lt;&gt;"",PEcopy!F374,"")</f>
        <v/>
      </c>
    </row>
    <row r="375" spans="1:7" ht="15.75" customHeight="1">
      <c r="A375" s="23" t="str">
        <f t="shared" si="16"/>
        <v/>
      </c>
      <c r="B375" t="str">
        <f t="shared" si="17"/>
        <v/>
      </c>
      <c r="C375" s="23" t="str">
        <f t="shared" si="18"/>
        <v/>
      </c>
      <c r="E375" s="24" t="str">
        <f>IF(NOT(ISBLANK(PEcopy!B375)),PEcopy!B375,"")</f>
        <v/>
      </c>
      <c r="F375" s="24" t="str">
        <f>IF(E375&lt;&gt;"",PEcopy!A375,"")</f>
        <v/>
      </c>
      <c r="G375" s="24" t="str">
        <f>IF(E375&lt;&gt;"",PEcopy!F375,"")</f>
        <v/>
      </c>
    </row>
    <row r="376" spans="1:7" ht="15.75" customHeight="1">
      <c r="A376" s="23" t="str">
        <f t="shared" si="16"/>
        <v/>
      </c>
      <c r="B376" t="str">
        <f t="shared" si="17"/>
        <v/>
      </c>
      <c r="C376" s="23" t="str">
        <f t="shared" si="18"/>
        <v/>
      </c>
      <c r="E376" s="24" t="str">
        <f>IF(NOT(ISBLANK(PEcopy!B376)),PEcopy!B376,"")</f>
        <v/>
      </c>
      <c r="F376" s="24" t="str">
        <f>IF(E376&lt;&gt;"",PEcopy!A376,"")</f>
        <v/>
      </c>
      <c r="G376" s="24" t="str">
        <f>IF(E376&lt;&gt;"",PEcopy!F376,"")</f>
        <v/>
      </c>
    </row>
    <row r="377" spans="1:7" ht="15.75" customHeight="1">
      <c r="A377" s="23" t="str">
        <f t="shared" si="16"/>
        <v/>
      </c>
      <c r="B377" t="str">
        <f t="shared" si="17"/>
        <v/>
      </c>
      <c r="C377" s="23" t="str">
        <f t="shared" si="18"/>
        <v/>
      </c>
      <c r="E377" s="24" t="str">
        <f>IF(NOT(ISBLANK(PEcopy!B377)),PEcopy!B377,"")</f>
        <v/>
      </c>
      <c r="F377" s="24" t="str">
        <f>IF(E377&lt;&gt;"",PEcopy!A377,"")</f>
        <v/>
      </c>
      <c r="G377" s="24" t="str">
        <f>IF(E377&lt;&gt;"",PEcopy!F377,"")</f>
        <v/>
      </c>
    </row>
    <row r="378" spans="1:7" ht="15.75" customHeight="1">
      <c r="A378" s="23" t="str">
        <f t="shared" si="16"/>
        <v/>
      </c>
      <c r="B378" t="str">
        <f t="shared" si="17"/>
        <v/>
      </c>
      <c r="C378" s="23" t="str">
        <f t="shared" si="18"/>
        <v/>
      </c>
      <c r="E378" s="24" t="str">
        <f>IF(NOT(ISBLANK(PEcopy!B378)),PEcopy!B378,"")</f>
        <v/>
      </c>
      <c r="F378" s="24" t="str">
        <f>IF(E378&lt;&gt;"",PEcopy!A378,"")</f>
        <v/>
      </c>
      <c r="G378" s="24" t="str">
        <f>IF(E378&lt;&gt;"",PEcopy!F378,"")</f>
        <v/>
      </c>
    </row>
    <row r="379" spans="1:7" ht="15.75" customHeight="1">
      <c r="A379" s="23" t="str">
        <f t="shared" si="16"/>
        <v/>
      </c>
      <c r="B379" t="str">
        <f t="shared" si="17"/>
        <v/>
      </c>
      <c r="C379" s="23" t="str">
        <f t="shared" si="18"/>
        <v/>
      </c>
      <c r="E379" s="24" t="str">
        <f>IF(NOT(ISBLANK(PEcopy!B379)),PEcopy!B379,"")</f>
        <v/>
      </c>
      <c r="F379" s="24" t="str">
        <f>IF(E379&lt;&gt;"",PEcopy!A379,"")</f>
        <v/>
      </c>
      <c r="G379" s="24" t="str">
        <f>IF(E379&lt;&gt;"",PEcopy!F379,"")</f>
        <v/>
      </c>
    </row>
    <row r="380" spans="1:7" ht="15.75" customHeight="1">
      <c r="A380" s="23" t="str">
        <f t="shared" si="16"/>
        <v/>
      </c>
      <c r="B380" t="str">
        <f t="shared" si="17"/>
        <v/>
      </c>
      <c r="C380" s="23" t="str">
        <f t="shared" si="18"/>
        <v/>
      </c>
      <c r="E380" s="24" t="str">
        <f>IF(NOT(ISBLANK(PEcopy!B380)),PEcopy!B380,"")</f>
        <v/>
      </c>
      <c r="F380" s="24" t="str">
        <f>IF(E380&lt;&gt;"",PEcopy!A380,"")</f>
        <v/>
      </c>
      <c r="G380" s="24" t="str">
        <f>IF(E380&lt;&gt;"",PEcopy!F380,"")</f>
        <v/>
      </c>
    </row>
    <row r="381" spans="1:7" ht="15.75" customHeight="1">
      <c r="A381" s="23" t="str">
        <f t="shared" si="16"/>
        <v/>
      </c>
      <c r="B381" t="str">
        <f t="shared" si="17"/>
        <v/>
      </c>
      <c r="C381" s="23" t="str">
        <f t="shared" si="18"/>
        <v/>
      </c>
      <c r="E381" s="24" t="str">
        <f>IF(NOT(ISBLANK(PEcopy!B381)),PEcopy!B381,"")</f>
        <v/>
      </c>
      <c r="F381" s="24" t="str">
        <f>IF(E381&lt;&gt;"",PEcopy!A381,"")</f>
        <v/>
      </c>
      <c r="G381" s="24" t="str">
        <f>IF(E381&lt;&gt;"",PEcopy!F381,"")</f>
        <v/>
      </c>
    </row>
    <row r="382" spans="1:7" ht="15.75" customHeight="1">
      <c r="A382" s="23" t="str">
        <f t="shared" si="16"/>
        <v/>
      </c>
      <c r="B382" t="str">
        <f t="shared" si="17"/>
        <v/>
      </c>
      <c r="C382" s="23" t="str">
        <f t="shared" si="18"/>
        <v/>
      </c>
      <c r="E382" s="24" t="str">
        <f>IF(NOT(ISBLANK(PEcopy!B382)),PEcopy!B382,"")</f>
        <v/>
      </c>
      <c r="F382" s="24" t="str">
        <f>IF(E382&lt;&gt;"",PEcopy!A382,"")</f>
        <v/>
      </c>
      <c r="G382" s="24" t="str">
        <f>IF(E382&lt;&gt;"",PEcopy!F382,"")</f>
        <v/>
      </c>
    </row>
    <row r="383" spans="1:7" ht="15.75" customHeight="1">
      <c r="A383" s="23" t="str">
        <f t="shared" si="16"/>
        <v/>
      </c>
      <c r="B383" t="str">
        <f t="shared" si="17"/>
        <v/>
      </c>
      <c r="C383" s="23" t="str">
        <f t="shared" si="18"/>
        <v/>
      </c>
      <c r="E383" s="24" t="str">
        <f>IF(NOT(ISBLANK(PEcopy!B383)),PEcopy!B383,"")</f>
        <v/>
      </c>
      <c r="F383" s="24" t="str">
        <f>IF(E383&lt;&gt;"",PEcopy!A383,"")</f>
        <v/>
      </c>
      <c r="G383" s="24" t="str">
        <f>IF(E383&lt;&gt;"",PEcopy!F383,"")</f>
        <v/>
      </c>
    </row>
    <row r="384" spans="1:7" ht="15.75" customHeight="1">
      <c r="A384" s="23" t="str">
        <f t="shared" si="16"/>
        <v/>
      </c>
      <c r="B384" t="str">
        <f t="shared" si="17"/>
        <v/>
      </c>
      <c r="C384" s="23" t="str">
        <f t="shared" si="18"/>
        <v/>
      </c>
      <c r="E384" s="24" t="str">
        <f>IF(NOT(ISBLANK(PEcopy!B384)),PEcopy!B384,"")</f>
        <v/>
      </c>
      <c r="F384" s="24" t="str">
        <f>IF(E384&lt;&gt;"",PEcopy!A384,"")</f>
        <v/>
      </c>
      <c r="G384" s="24" t="str">
        <f>IF(E384&lt;&gt;"",PEcopy!F384,"")</f>
        <v/>
      </c>
    </row>
    <row r="385" spans="1:7" ht="15.75" customHeight="1">
      <c r="A385" s="23" t="str">
        <f t="shared" si="16"/>
        <v/>
      </c>
      <c r="B385" t="str">
        <f t="shared" si="17"/>
        <v/>
      </c>
      <c r="C385" s="23" t="str">
        <f t="shared" si="18"/>
        <v/>
      </c>
      <c r="E385" s="24" t="str">
        <f>IF(NOT(ISBLANK(PEcopy!B385)),PEcopy!B385,"")</f>
        <v/>
      </c>
      <c r="F385" s="24" t="str">
        <f>IF(E385&lt;&gt;"",PEcopy!A385,"")</f>
        <v/>
      </c>
      <c r="G385" s="24" t="str">
        <f>IF(E385&lt;&gt;"",PEcopy!F385,"")</f>
        <v/>
      </c>
    </row>
    <row r="386" spans="1:7" ht="15.75" customHeight="1">
      <c r="A386" s="23" t="str">
        <f t="shared" si="16"/>
        <v/>
      </c>
      <c r="B386" t="str">
        <f t="shared" si="17"/>
        <v/>
      </c>
      <c r="C386" s="23" t="str">
        <f t="shared" si="18"/>
        <v/>
      </c>
      <c r="E386" s="24" t="str">
        <f>IF(NOT(ISBLANK(PEcopy!B386)),PEcopy!B386,"")</f>
        <v/>
      </c>
      <c r="F386" s="24" t="str">
        <f>IF(E386&lt;&gt;"",PEcopy!A386,"")</f>
        <v/>
      </c>
      <c r="G386" s="24" t="str">
        <f>IF(E386&lt;&gt;"",PEcopy!F386,"")</f>
        <v/>
      </c>
    </row>
    <row r="387" spans="1:7" ht="15.75" customHeight="1">
      <c r="A387" s="23" t="str">
        <f t="shared" ref="A387:A450" si="19">IF(E387&lt;&gt;"",DATEVALUE(LEFT(E387,10)),"")</f>
        <v/>
      </c>
      <c r="B387" t="str">
        <f t="shared" ref="B387:B450" si="20">IF(LEN(F387)&gt;3,RIGHT(F387,LEN(F387)-3),"")</f>
        <v/>
      </c>
      <c r="C387" s="23" t="str">
        <f t="shared" ref="C387:C450" si="21">IF(E387&lt;&gt;"",DATEVALUE(LEFT(G387,10)),"")</f>
        <v/>
      </c>
      <c r="E387" s="24" t="str">
        <f>IF(NOT(ISBLANK(PEcopy!B387)),PEcopy!B387,"")</f>
        <v/>
      </c>
      <c r="F387" s="24" t="str">
        <f>IF(E387&lt;&gt;"",PEcopy!A387,"")</f>
        <v/>
      </c>
      <c r="G387" s="24" t="str">
        <f>IF(E387&lt;&gt;"",PEcopy!F387,"")</f>
        <v/>
      </c>
    </row>
    <row r="388" spans="1:7" ht="15.75" customHeight="1">
      <c r="A388" s="23" t="str">
        <f t="shared" si="19"/>
        <v/>
      </c>
      <c r="B388" t="str">
        <f t="shared" si="20"/>
        <v/>
      </c>
      <c r="C388" s="23" t="str">
        <f t="shared" si="21"/>
        <v/>
      </c>
      <c r="E388" s="24" t="str">
        <f>IF(NOT(ISBLANK(PEcopy!B388)),PEcopy!B388,"")</f>
        <v/>
      </c>
      <c r="F388" s="24" t="str">
        <f>IF(E388&lt;&gt;"",PEcopy!A388,"")</f>
        <v/>
      </c>
      <c r="G388" s="24" t="str">
        <f>IF(E388&lt;&gt;"",PEcopy!F388,"")</f>
        <v/>
      </c>
    </row>
    <row r="389" spans="1:7" ht="15.75" customHeight="1">
      <c r="A389" s="23" t="str">
        <f t="shared" si="19"/>
        <v/>
      </c>
      <c r="B389" t="str">
        <f t="shared" si="20"/>
        <v/>
      </c>
      <c r="C389" s="23" t="str">
        <f t="shared" si="21"/>
        <v/>
      </c>
      <c r="E389" s="24" t="str">
        <f>IF(NOT(ISBLANK(PEcopy!B389)),PEcopy!B389,"")</f>
        <v/>
      </c>
      <c r="F389" s="24" t="str">
        <f>IF(E389&lt;&gt;"",PEcopy!A389,"")</f>
        <v/>
      </c>
      <c r="G389" s="24" t="str">
        <f>IF(E389&lt;&gt;"",PEcopy!F389,"")</f>
        <v/>
      </c>
    </row>
    <row r="390" spans="1:7" ht="15.75" customHeight="1">
      <c r="A390" s="23" t="str">
        <f t="shared" si="19"/>
        <v/>
      </c>
      <c r="B390" t="str">
        <f t="shared" si="20"/>
        <v/>
      </c>
      <c r="C390" s="23" t="str">
        <f t="shared" si="21"/>
        <v/>
      </c>
      <c r="E390" s="24" t="str">
        <f>IF(NOT(ISBLANK(PEcopy!B390)),PEcopy!B390,"")</f>
        <v/>
      </c>
      <c r="F390" s="24" t="str">
        <f>IF(E390&lt;&gt;"",PEcopy!A390,"")</f>
        <v/>
      </c>
      <c r="G390" s="24" t="str">
        <f>IF(E390&lt;&gt;"",PEcopy!F390,"")</f>
        <v/>
      </c>
    </row>
    <row r="391" spans="1:7" ht="15.75" customHeight="1">
      <c r="A391" s="23" t="str">
        <f t="shared" si="19"/>
        <v/>
      </c>
      <c r="B391" t="str">
        <f t="shared" si="20"/>
        <v/>
      </c>
      <c r="C391" s="23" t="str">
        <f t="shared" si="21"/>
        <v/>
      </c>
      <c r="E391" s="24" t="str">
        <f>IF(NOT(ISBLANK(PEcopy!B391)),PEcopy!B391,"")</f>
        <v/>
      </c>
      <c r="F391" s="24" t="str">
        <f>IF(E391&lt;&gt;"",PEcopy!A391,"")</f>
        <v/>
      </c>
      <c r="G391" s="24" t="str">
        <f>IF(E391&lt;&gt;"",PEcopy!F391,"")</f>
        <v/>
      </c>
    </row>
    <row r="392" spans="1:7" ht="15.75" customHeight="1">
      <c r="A392" s="23" t="str">
        <f t="shared" si="19"/>
        <v/>
      </c>
      <c r="B392" t="str">
        <f t="shared" si="20"/>
        <v/>
      </c>
      <c r="C392" s="23" t="str">
        <f t="shared" si="21"/>
        <v/>
      </c>
      <c r="E392" s="24" t="str">
        <f>IF(NOT(ISBLANK(PEcopy!B392)),PEcopy!B392,"")</f>
        <v/>
      </c>
      <c r="F392" s="24" t="str">
        <f>IF(E392&lt;&gt;"",PEcopy!A392,"")</f>
        <v/>
      </c>
      <c r="G392" s="24" t="str">
        <f>IF(E392&lt;&gt;"",PEcopy!F392,"")</f>
        <v/>
      </c>
    </row>
    <row r="393" spans="1:7" ht="15.75" customHeight="1">
      <c r="A393" s="23" t="str">
        <f t="shared" si="19"/>
        <v/>
      </c>
      <c r="B393" t="str">
        <f t="shared" si="20"/>
        <v/>
      </c>
      <c r="C393" s="23" t="str">
        <f t="shared" si="21"/>
        <v/>
      </c>
      <c r="E393" s="24" t="str">
        <f>IF(NOT(ISBLANK(PEcopy!B393)),PEcopy!B393,"")</f>
        <v/>
      </c>
      <c r="F393" s="24" t="str">
        <f>IF(E393&lt;&gt;"",PEcopy!A393,"")</f>
        <v/>
      </c>
      <c r="G393" s="24" t="str">
        <f>IF(E393&lt;&gt;"",PEcopy!F393,"")</f>
        <v/>
      </c>
    </row>
    <row r="394" spans="1:7" ht="15.75" customHeight="1">
      <c r="A394" s="23" t="str">
        <f t="shared" si="19"/>
        <v/>
      </c>
      <c r="B394" t="str">
        <f t="shared" si="20"/>
        <v/>
      </c>
      <c r="C394" s="23" t="str">
        <f t="shared" si="21"/>
        <v/>
      </c>
      <c r="E394" s="24" t="str">
        <f>IF(NOT(ISBLANK(PEcopy!B394)),PEcopy!B394,"")</f>
        <v/>
      </c>
      <c r="F394" s="24" t="str">
        <f>IF(E394&lt;&gt;"",PEcopy!A394,"")</f>
        <v/>
      </c>
      <c r="G394" s="24" t="str">
        <f>IF(E394&lt;&gt;"",PEcopy!F394,"")</f>
        <v/>
      </c>
    </row>
    <row r="395" spans="1:7" ht="15.75" customHeight="1">
      <c r="A395" s="23" t="str">
        <f t="shared" si="19"/>
        <v/>
      </c>
      <c r="B395" t="str">
        <f t="shared" si="20"/>
        <v/>
      </c>
      <c r="C395" s="23" t="str">
        <f t="shared" si="21"/>
        <v/>
      </c>
      <c r="E395" s="24" t="str">
        <f>IF(NOT(ISBLANK(PEcopy!B395)),PEcopy!B395,"")</f>
        <v/>
      </c>
      <c r="F395" s="24" t="str">
        <f>IF(E395&lt;&gt;"",PEcopy!A395,"")</f>
        <v/>
      </c>
      <c r="G395" s="24" t="str">
        <f>IF(E395&lt;&gt;"",PEcopy!F395,"")</f>
        <v/>
      </c>
    </row>
    <row r="396" spans="1:7" ht="15.75" customHeight="1">
      <c r="A396" s="23" t="str">
        <f t="shared" si="19"/>
        <v/>
      </c>
      <c r="B396" t="str">
        <f t="shared" si="20"/>
        <v/>
      </c>
      <c r="C396" s="23" t="str">
        <f t="shared" si="21"/>
        <v/>
      </c>
      <c r="E396" s="24" t="str">
        <f>IF(NOT(ISBLANK(PEcopy!B396)),PEcopy!B396,"")</f>
        <v/>
      </c>
      <c r="F396" s="24" t="str">
        <f>IF(E396&lt;&gt;"",PEcopy!A396,"")</f>
        <v/>
      </c>
      <c r="G396" s="24" t="str">
        <f>IF(E396&lt;&gt;"",PEcopy!F396,"")</f>
        <v/>
      </c>
    </row>
    <row r="397" spans="1:7" ht="15.75" customHeight="1">
      <c r="A397" s="23" t="str">
        <f t="shared" si="19"/>
        <v/>
      </c>
      <c r="B397" t="str">
        <f t="shared" si="20"/>
        <v/>
      </c>
      <c r="C397" s="23" t="str">
        <f t="shared" si="21"/>
        <v/>
      </c>
      <c r="E397" s="24" t="str">
        <f>IF(NOT(ISBLANK(PEcopy!B397)),PEcopy!B397,"")</f>
        <v/>
      </c>
      <c r="F397" s="24" t="str">
        <f>IF(E397&lt;&gt;"",PEcopy!A397,"")</f>
        <v/>
      </c>
      <c r="G397" s="24" t="str">
        <f>IF(E397&lt;&gt;"",PEcopy!F397,"")</f>
        <v/>
      </c>
    </row>
    <row r="398" spans="1:7" ht="15.75" customHeight="1">
      <c r="A398" s="23" t="str">
        <f t="shared" si="19"/>
        <v/>
      </c>
      <c r="B398" t="str">
        <f t="shared" si="20"/>
        <v/>
      </c>
      <c r="C398" s="23" t="str">
        <f t="shared" si="21"/>
        <v/>
      </c>
      <c r="E398" s="24" t="str">
        <f>IF(NOT(ISBLANK(PEcopy!B398)),PEcopy!B398,"")</f>
        <v/>
      </c>
      <c r="F398" s="24" t="str">
        <f>IF(E398&lt;&gt;"",PEcopy!A398,"")</f>
        <v/>
      </c>
      <c r="G398" s="24" t="str">
        <f>IF(E398&lt;&gt;"",PEcopy!F398,"")</f>
        <v/>
      </c>
    </row>
    <row r="399" spans="1:7" ht="15.75" customHeight="1">
      <c r="A399" s="23" t="str">
        <f t="shared" si="19"/>
        <v/>
      </c>
      <c r="B399" t="str">
        <f t="shared" si="20"/>
        <v/>
      </c>
      <c r="C399" s="23" t="str">
        <f t="shared" si="21"/>
        <v/>
      </c>
      <c r="E399" s="24" t="str">
        <f>IF(NOT(ISBLANK(PEcopy!B399)),PEcopy!B399,"")</f>
        <v/>
      </c>
      <c r="F399" s="24" t="str">
        <f>IF(E399&lt;&gt;"",PEcopy!A399,"")</f>
        <v/>
      </c>
      <c r="G399" s="24" t="str">
        <f>IF(E399&lt;&gt;"",PEcopy!F399,"")</f>
        <v/>
      </c>
    </row>
    <row r="400" spans="1:7" ht="15.75" customHeight="1">
      <c r="A400" s="23" t="str">
        <f t="shared" si="19"/>
        <v/>
      </c>
      <c r="B400" t="str">
        <f t="shared" si="20"/>
        <v/>
      </c>
      <c r="C400" s="23" t="str">
        <f t="shared" si="21"/>
        <v/>
      </c>
      <c r="E400" s="24" t="str">
        <f>IF(NOT(ISBLANK(PEcopy!B400)),PEcopy!B400,"")</f>
        <v/>
      </c>
      <c r="F400" s="24" t="str">
        <f>IF(E400&lt;&gt;"",PEcopy!A400,"")</f>
        <v/>
      </c>
      <c r="G400" s="24" t="str">
        <f>IF(E400&lt;&gt;"",PEcopy!F400,"")</f>
        <v/>
      </c>
    </row>
    <row r="401" spans="1:7" ht="15.75" customHeight="1">
      <c r="A401" s="23" t="str">
        <f t="shared" si="19"/>
        <v/>
      </c>
      <c r="B401" t="str">
        <f t="shared" si="20"/>
        <v/>
      </c>
      <c r="C401" s="23" t="str">
        <f t="shared" si="21"/>
        <v/>
      </c>
      <c r="E401" s="24" t="str">
        <f>IF(NOT(ISBLANK(PEcopy!B401)),PEcopy!B401,"")</f>
        <v/>
      </c>
      <c r="F401" s="24" t="str">
        <f>IF(E401&lt;&gt;"",PEcopy!A401,"")</f>
        <v/>
      </c>
      <c r="G401" s="24" t="str">
        <f>IF(E401&lt;&gt;"",PEcopy!F401,"")</f>
        <v/>
      </c>
    </row>
    <row r="402" spans="1:7" ht="15.75" customHeight="1">
      <c r="A402" s="23" t="str">
        <f t="shared" si="19"/>
        <v/>
      </c>
      <c r="B402" t="str">
        <f t="shared" si="20"/>
        <v/>
      </c>
      <c r="C402" s="23" t="str">
        <f t="shared" si="21"/>
        <v/>
      </c>
      <c r="E402" s="24" t="str">
        <f>IF(NOT(ISBLANK(PEcopy!B402)),PEcopy!B402,"")</f>
        <v/>
      </c>
      <c r="F402" s="24" t="str">
        <f>IF(E402&lt;&gt;"",PEcopy!A402,"")</f>
        <v/>
      </c>
      <c r="G402" s="24" t="str">
        <f>IF(E402&lt;&gt;"",PEcopy!F402,"")</f>
        <v/>
      </c>
    </row>
    <row r="403" spans="1:7" ht="15.75" customHeight="1">
      <c r="A403" s="23" t="str">
        <f t="shared" si="19"/>
        <v/>
      </c>
      <c r="B403" t="str">
        <f t="shared" si="20"/>
        <v/>
      </c>
      <c r="C403" s="23" t="str">
        <f t="shared" si="21"/>
        <v/>
      </c>
      <c r="E403" s="24" t="str">
        <f>IF(NOT(ISBLANK(PEcopy!B403)),PEcopy!B403,"")</f>
        <v/>
      </c>
      <c r="F403" s="24" t="str">
        <f>IF(E403&lt;&gt;"",PEcopy!A403,"")</f>
        <v/>
      </c>
      <c r="G403" s="24" t="str">
        <f>IF(E403&lt;&gt;"",PEcopy!F403,"")</f>
        <v/>
      </c>
    </row>
    <row r="404" spans="1:7" ht="15.75" customHeight="1">
      <c r="A404" s="23" t="str">
        <f t="shared" si="19"/>
        <v/>
      </c>
      <c r="B404" t="str">
        <f t="shared" si="20"/>
        <v/>
      </c>
      <c r="C404" s="23" t="str">
        <f t="shared" si="21"/>
        <v/>
      </c>
      <c r="E404" s="24" t="str">
        <f>IF(NOT(ISBLANK(PEcopy!B404)),PEcopy!B404,"")</f>
        <v/>
      </c>
      <c r="F404" s="24" t="str">
        <f>IF(E404&lt;&gt;"",PEcopy!A404,"")</f>
        <v/>
      </c>
      <c r="G404" s="24" t="str">
        <f>IF(E404&lt;&gt;"",PEcopy!F404,"")</f>
        <v/>
      </c>
    </row>
    <row r="405" spans="1:7" ht="15.75" customHeight="1">
      <c r="A405" s="23" t="str">
        <f t="shared" si="19"/>
        <v/>
      </c>
      <c r="B405" t="str">
        <f t="shared" si="20"/>
        <v/>
      </c>
      <c r="C405" s="23" t="str">
        <f t="shared" si="21"/>
        <v/>
      </c>
      <c r="E405" s="24" t="str">
        <f>IF(NOT(ISBLANK(PEcopy!B405)),PEcopy!B405,"")</f>
        <v/>
      </c>
      <c r="F405" s="24" t="str">
        <f>IF(E405&lt;&gt;"",PEcopy!A405,"")</f>
        <v/>
      </c>
      <c r="G405" s="24" t="str">
        <f>IF(E405&lt;&gt;"",PEcopy!F405,"")</f>
        <v/>
      </c>
    </row>
    <row r="406" spans="1:7" ht="15.75" customHeight="1">
      <c r="A406" s="23" t="str">
        <f t="shared" si="19"/>
        <v/>
      </c>
      <c r="B406" t="str">
        <f t="shared" si="20"/>
        <v/>
      </c>
      <c r="C406" s="23" t="str">
        <f t="shared" si="21"/>
        <v/>
      </c>
      <c r="E406" s="24" t="str">
        <f>IF(NOT(ISBLANK(PEcopy!B406)),PEcopy!B406,"")</f>
        <v/>
      </c>
      <c r="F406" s="24" t="str">
        <f>IF(E406&lt;&gt;"",PEcopy!A406,"")</f>
        <v/>
      </c>
      <c r="G406" s="24" t="str">
        <f>IF(E406&lt;&gt;"",PEcopy!F406,"")</f>
        <v/>
      </c>
    </row>
    <row r="407" spans="1:7" ht="15.75" customHeight="1">
      <c r="A407" s="23" t="str">
        <f t="shared" si="19"/>
        <v/>
      </c>
      <c r="B407" t="str">
        <f t="shared" si="20"/>
        <v/>
      </c>
      <c r="C407" s="23" t="str">
        <f t="shared" si="21"/>
        <v/>
      </c>
      <c r="E407" s="24" t="str">
        <f>IF(NOT(ISBLANK(PEcopy!B407)),PEcopy!B407,"")</f>
        <v/>
      </c>
      <c r="F407" s="24" t="str">
        <f>IF(E407&lt;&gt;"",PEcopy!A407,"")</f>
        <v/>
      </c>
      <c r="G407" s="24" t="str">
        <f>IF(E407&lt;&gt;"",PEcopy!F407,"")</f>
        <v/>
      </c>
    </row>
    <row r="408" spans="1:7" ht="15.75" customHeight="1">
      <c r="A408" s="23" t="str">
        <f t="shared" si="19"/>
        <v/>
      </c>
      <c r="B408" t="str">
        <f t="shared" si="20"/>
        <v/>
      </c>
      <c r="C408" s="23" t="str">
        <f t="shared" si="21"/>
        <v/>
      </c>
      <c r="E408" s="24" t="str">
        <f>IF(NOT(ISBLANK(PEcopy!B408)),PEcopy!B408,"")</f>
        <v/>
      </c>
      <c r="F408" s="24" t="str">
        <f>IF(E408&lt;&gt;"",PEcopy!A408,"")</f>
        <v/>
      </c>
      <c r="G408" s="24" t="str">
        <f>IF(E408&lt;&gt;"",PEcopy!F408,"")</f>
        <v/>
      </c>
    </row>
    <row r="409" spans="1:7" ht="15.75" customHeight="1">
      <c r="A409" s="23" t="str">
        <f t="shared" si="19"/>
        <v/>
      </c>
      <c r="B409" t="str">
        <f t="shared" si="20"/>
        <v/>
      </c>
      <c r="C409" s="23" t="str">
        <f t="shared" si="21"/>
        <v/>
      </c>
      <c r="E409" s="24" t="str">
        <f>IF(NOT(ISBLANK(PEcopy!B409)),PEcopy!B409,"")</f>
        <v/>
      </c>
      <c r="F409" s="24" t="str">
        <f>IF(E409&lt;&gt;"",PEcopy!A409,"")</f>
        <v/>
      </c>
      <c r="G409" s="24" t="str">
        <f>IF(E409&lt;&gt;"",PEcopy!F409,"")</f>
        <v/>
      </c>
    </row>
    <row r="410" spans="1:7" ht="15.75" customHeight="1">
      <c r="A410" s="23" t="str">
        <f t="shared" si="19"/>
        <v/>
      </c>
      <c r="B410" t="str">
        <f t="shared" si="20"/>
        <v/>
      </c>
      <c r="C410" s="23" t="str">
        <f t="shared" si="21"/>
        <v/>
      </c>
      <c r="E410" s="24" t="str">
        <f>IF(NOT(ISBLANK(PEcopy!B410)),PEcopy!B410,"")</f>
        <v/>
      </c>
      <c r="F410" s="24" t="str">
        <f>IF(E410&lt;&gt;"",PEcopy!A410,"")</f>
        <v/>
      </c>
      <c r="G410" s="24" t="str">
        <f>IF(E410&lt;&gt;"",PEcopy!F410,"")</f>
        <v/>
      </c>
    </row>
    <row r="411" spans="1:7" ht="15.75" customHeight="1">
      <c r="A411" s="23" t="str">
        <f t="shared" si="19"/>
        <v/>
      </c>
      <c r="B411" t="str">
        <f t="shared" si="20"/>
        <v/>
      </c>
      <c r="C411" s="23" t="str">
        <f t="shared" si="21"/>
        <v/>
      </c>
      <c r="E411" s="24" t="str">
        <f>IF(NOT(ISBLANK(PEcopy!B411)),PEcopy!B411,"")</f>
        <v/>
      </c>
      <c r="F411" s="24" t="str">
        <f>IF(E411&lt;&gt;"",PEcopy!A411,"")</f>
        <v/>
      </c>
      <c r="G411" s="24" t="str">
        <f>IF(E411&lt;&gt;"",PEcopy!F411,"")</f>
        <v/>
      </c>
    </row>
    <row r="412" spans="1:7" ht="15.75" customHeight="1">
      <c r="A412" s="23" t="str">
        <f t="shared" si="19"/>
        <v/>
      </c>
      <c r="B412" t="str">
        <f t="shared" si="20"/>
        <v/>
      </c>
      <c r="C412" s="23" t="str">
        <f t="shared" si="21"/>
        <v/>
      </c>
      <c r="E412" s="24" t="str">
        <f>IF(NOT(ISBLANK(PEcopy!B412)),PEcopy!B412,"")</f>
        <v/>
      </c>
      <c r="F412" s="24" t="str">
        <f>IF(E412&lt;&gt;"",PEcopy!A412,"")</f>
        <v/>
      </c>
      <c r="G412" s="24" t="str">
        <f>IF(E412&lt;&gt;"",PEcopy!F412,"")</f>
        <v/>
      </c>
    </row>
    <row r="413" spans="1:7" ht="15.75" customHeight="1">
      <c r="A413" s="23" t="str">
        <f t="shared" si="19"/>
        <v/>
      </c>
      <c r="B413" t="str">
        <f t="shared" si="20"/>
        <v/>
      </c>
      <c r="C413" s="23" t="str">
        <f t="shared" si="21"/>
        <v/>
      </c>
      <c r="E413" s="24" t="str">
        <f>IF(NOT(ISBLANK(PEcopy!B413)),PEcopy!B413,"")</f>
        <v/>
      </c>
      <c r="F413" s="24" t="str">
        <f>IF(E413&lt;&gt;"",PEcopy!A413,"")</f>
        <v/>
      </c>
      <c r="G413" s="24" t="str">
        <f>IF(E413&lt;&gt;"",PEcopy!F413,"")</f>
        <v/>
      </c>
    </row>
    <row r="414" spans="1:7" ht="15.75" customHeight="1">
      <c r="A414" s="23" t="str">
        <f t="shared" si="19"/>
        <v/>
      </c>
      <c r="B414" t="str">
        <f t="shared" si="20"/>
        <v/>
      </c>
      <c r="C414" s="23" t="str">
        <f t="shared" si="21"/>
        <v/>
      </c>
      <c r="E414" s="24" t="str">
        <f>IF(NOT(ISBLANK(PEcopy!B414)),PEcopy!B414,"")</f>
        <v/>
      </c>
      <c r="F414" s="24" t="str">
        <f>IF(E414&lt;&gt;"",PEcopy!A414,"")</f>
        <v/>
      </c>
      <c r="G414" s="24" t="str">
        <f>IF(E414&lt;&gt;"",PEcopy!F414,"")</f>
        <v/>
      </c>
    </row>
    <row r="415" spans="1:7" ht="15.75" customHeight="1">
      <c r="A415" s="23" t="str">
        <f t="shared" si="19"/>
        <v/>
      </c>
      <c r="B415" t="str">
        <f t="shared" si="20"/>
        <v/>
      </c>
      <c r="C415" s="23" t="str">
        <f t="shared" si="21"/>
        <v/>
      </c>
      <c r="E415" s="24" t="str">
        <f>IF(NOT(ISBLANK(PEcopy!B415)),PEcopy!B415,"")</f>
        <v/>
      </c>
      <c r="F415" s="24" t="str">
        <f>IF(E415&lt;&gt;"",PEcopy!A415,"")</f>
        <v/>
      </c>
      <c r="G415" s="24" t="str">
        <f>IF(E415&lt;&gt;"",PEcopy!F415,"")</f>
        <v/>
      </c>
    </row>
    <row r="416" spans="1:7" ht="15.75" customHeight="1">
      <c r="A416" s="23" t="str">
        <f t="shared" si="19"/>
        <v/>
      </c>
      <c r="B416" t="str">
        <f t="shared" si="20"/>
        <v/>
      </c>
      <c r="C416" s="23" t="str">
        <f t="shared" si="21"/>
        <v/>
      </c>
      <c r="E416" s="24" t="str">
        <f>IF(NOT(ISBLANK(PEcopy!B416)),PEcopy!B416,"")</f>
        <v/>
      </c>
      <c r="F416" s="24" t="str">
        <f>IF(E416&lt;&gt;"",PEcopy!A416,"")</f>
        <v/>
      </c>
      <c r="G416" s="24" t="str">
        <f>IF(E416&lt;&gt;"",PEcopy!F416,"")</f>
        <v/>
      </c>
    </row>
    <row r="417" spans="1:7" ht="15.75" customHeight="1">
      <c r="A417" s="23" t="str">
        <f t="shared" si="19"/>
        <v/>
      </c>
      <c r="B417" t="str">
        <f t="shared" si="20"/>
        <v/>
      </c>
      <c r="C417" s="23" t="str">
        <f t="shared" si="21"/>
        <v/>
      </c>
      <c r="E417" s="24" t="str">
        <f>IF(NOT(ISBLANK(PEcopy!B417)),PEcopy!B417,"")</f>
        <v/>
      </c>
      <c r="F417" s="24" t="str">
        <f>IF(E417&lt;&gt;"",PEcopy!A417,"")</f>
        <v/>
      </c>
      <c r="G417" s="24" t="str">
        <f>IF(E417&lt;&gt;"",PEcopy!F417,"")</f>
        <v/>
      </c>
    </row>
    <row r="418" spans="1:7" ht="15.75" customHeight="1">
      <c r="A418" s="23" t="str">
        <f t="shared" si="19"/>
        <v/>
      </c>
      <c r="B418" t="str">
        <f t="shared" si="20"/>
        <v/>
      </c>
      <c r="C418" s="23" t="str">
        <f t="shared" si="21"/>
        <v/>
      </c>
      <c r="E418" s="24" t="str">
        <f>IF(NOT(ISBLANK(PEcopy!B418)),PEcopy!B418,"")</f>
        <v/>
      </c>
      <c r="F418" s="24" t="str">
        <f>IF(E418&lt;&gt;"",PEcopy!A418,"")</f>
        <v/>
      </c>
      <c r="G418" s="24" t="str">
        <f>IF(E418&lt;&gt;"",PEcopy!F418,"")</f>
        <v/>
      </c>
    </row>
    <row r="419" spans="1:7" ht="15.75" customHeight="1">
      <c r="A419" s="23" t="str">
        <f t="shared" si="19"/>
        <v/>
      </c>
      <c r="B419" t="str">
        <f t="shared" si="20"/>
        <v/>
      </c>
      <c r="C419" s="23" t="str">
        <f t="shared" si="21"/>
        <v/>
      </c>
      <c r="E419" s="24" t="str">
        <f>IF(NOT(ISBLANK(PEcopy!B419)),PEcopy!B419,"")</f>
        <v/>
      </c>
      <c r="F419" s="24" t="str">
        <f>IF(E419&lt;&gt;"",PEcopy!A419,"")</f>
        <v/>
      </c>
      <c r="G419" s="24" t="str">
        <f>IF(E419&lt;&gt;"",PEcopy!F419,"")</f>
        <v/>
      </c>
    </row>
    <row r="420" spans="1:7" ht="15.75" customHeight="1">
      <c r="A420" s="23" t="str">
        <f t="shared" si="19"/>
        <v/>
      </c>
      <c r="B420" t="str">
        <f t="shared" si="20"/>
        <v/>
      </c>
      <c r="C420" s="23" t="str">
        <f t="shared" si="21"/>
        <v/>
      </c>
      <c r="E420" s="24" t="str">
        <f>IF(NOT(ISBLANK(PEcopy!B420)),PEcopy!B420,"")</f>
        <v/>
      </c>
      <c r="F420" s="24" t="str">
        <f>IF(E420&lt;&gt;"",PEcopy!A420,"")</f>
        <v/>
      </c>
      <c r="G420" s="24" t="str">
        <f>IF(E420&lt;&gt;"",PEcopy!F420,"")</f>
        <v/>
      </c>
    </row>
    <row r="421" spans="1:7" ht="15.75" customHeight="1">
      <c r="A421" s="23" t="str">
        <f t="shared" si="19"/>
        <v/>
      </c>
      <c r="B421" t="str">
        <f t="shared" si="20"/>
        <v/>
      </c>
      <c r="C421" s="23" t="str">
        <f t="shared" si="21"/>
        <v/>
      </c>
      <c r="E421" s="24" t="str">
        <f>IF(NOT(ISBLANK(PEcopy!B421)),PEcopy!B421,"")</f>
        <v/>
      </c>
      <c r="F421" s="24" t="str">
        <f>IF(E421&lt;&gt;"",PEcopy!A421,"")</f>
        <v/>
      </c>
      <c r="G421" s="24" t="str">
        <f>IF(E421&lt;&gt;"",PEcopy!F421,"")</f>
        <v/>
      </c>
    </row>
    <row r="422" spans="1:7" ht="15.75" customHeight="1">
      <c r="A422" s="23" t="str">
        <f t="shared" si="19"/>
        <v/>
      </c>
      <c r="B422" t="str">
        <f t="shared" si="20"/>
        <v/>
      </c>
      <c r="C422" s="23" t="str">
        <f t="shared" si="21"/>
        <v/>
      </c>
      <c r="E422" s="24" t="str">
        <f>IF(NOT(ISBLANK(PEcopy!B422)),PEcopy!B422,"")</f>
        <v/>
      </c>
      <c r="F422" s="24" t="str">
        <f>IF(E422&lt;&gt;"",PEcopy!A422,"")</f>
        <v/>
      </c>
      <c r="G422" s="24" t="str">
        <f>IF(E422&lt;&gt;"",PEcopy!F422,"")</f>
        <v/>
      </c>
    </row>
    <row r="423" spans="1:7" ht="15.75" customHeight="1">
      <c r="A423" s="23" t="str">
        <f t="shared" si="19"/>
        <v/>
      </c>
      <c r="B423" t="str">
        <f t="shared" si="20"/>
        <v/>
      </c>
      <c r="C423" s="23" t="str">
        <f t="shared" si="21"/>
        <v/>
      </c>
      <c r="E423" s="24" t="str">
        <f>IF(NOT(ISBLANK(PEcopy!B423)),PEcopy!B423,"")</f>
        <v/>
      </c>
      <c r="F423" s="24" t="str">
        <f>IF(E423&lt;&gt;"",PEcopy!A423,"")</f>
        <v/>
      </c>
      <c r="G423" s="24" t="str">
        <f>IF(E423&lt;&gt;"",PEcopy!F423,"")</f>
        <v/>
      </c>
    </row>
    <row r="424" spans="1:7" ht="15.75" customHeight="1">
      <c r="A424" s="23" t="str">
        <f t="shared" si="19"/>
        <v/>
      </c>
      <c r="B424" t="str">
        <f t="shared" si="20"/>
        <v/>
      </c>
      <c r="C424" s="23" t="str">
        <f t="shared" si="21"/>
        <v/>
      </c>
      <c r="E424" s="24" t="str">
        <f>IF(NOT(ISBLANK(PEcopy!B424)),PEcopy!B424,"")</f>
        <v/>
      </c>
      <c r="F424" s="24" t="str">
        <f>IF(E424&lt;&gt;"",PEcopy!A424,"")</f>
        <v/>
      </c>
      <c r="G424" s="24" t="str">
        <f>IF(E424&lt;&gt;"",PEcopy!F424,"")</f>
        <v/>
      </c>
    </row>
    <row r="425" spans="1:7" ht="15.75" customHeight="1">
      <c r="A425" s="23" t="str">
        <f t="shared" si="19"/>
        <v/>
      </c>
      <c r="B425" t="str">
        <f t="shared" si="20"/>
        <v/>
      </c>
      <c r="C425" s="23" t="str">
        <f t="shared" si="21"/>
        <v/>
      </c>
      <c r="E425" s="24" t="str">
        <f>IF(NOT(ISBLANK(PEcopy!B425)),PEcopy!B425,"")</f>
        <v/>
      </c>
      <c r="F425" s="24" t="str">
        <f>IF(E425&lt;&gt;"",PEcopy!A425,"")</f>
        <v/>
      </c>
      <c r="G425" s="24" t="str">
        <f>IF(E425&lt;&gt;"",PEcopy!F425,"")</f>
        <v/>
      </c>
    </row>
    <row r="426" spans="1:7" ht="15.75" customHeight="1">
      <c r="A426" s="23" t="str">
        <f t="shared" si="19"/>
        <v/>
      </c>
      <c r="B426" t="str">
        <f t="shared" si="20"/>
        <v/>
      </c>
      <c r="C426" s="23" t="str">
        <f t="shared" si="21"/>
        <v/>
      </c>
      <c r="E426" s="24" t="str">
        <f>IF(NOT(ISBLANK(PEcopy!B426)),PEcopy!B426,"")</f>
        <v/>
      </c>
      <c r="F426" s="24" t="str">
        <f>IF(E426&lt;&gt;"",PEcopy!A426,"")</f>
        <v/>
      </c>
      <c r="G426" s="24" t="str">
        <f>IF(E426&lt;&gt;"",PEcopy!F426,"")</f>
        <v/>
      </c>
    </row>
    <row r="427" spans="1:7" ht="15.75" customHeight="1">
      <c r="A427" s="23" t="str">
        <f t="shared" si="19"/>
        <v/>
      </c>
      <c r="B427" t="str">
        <f t="shared" si="20"/>
        <v/>
      </c>
      <c r="C427" s="23" t="str">
        <f t="shared" si="21"/>
        <v/>
      </c>
      <c r="E427" s="24" t="str">
        <f>IF(NOT(ISBLANK(PEcopy!B427)),PEcopy!B427,"")</f>
        <v/>
      </c>
      <c r="F427" s="24" t="str">
        <f>IF(E427&lt;&gt;"",PEcopy!A427,"")</f>
        <v/>
      </c>
      <c r="G427" s="24" t="str">
        <f>IF(E427&lt;&gt;"",PEcopy!F427,"")</f>
        <v/>
      </c>
    </row>
    <row r="428" spans="1:7" ht="15.75" customHeight="1">
      <c r="A428" s="23" t="str">
        <f t="shared" si="19"/>
        <v/>
      </c>
      <c r="B428" t="str">
        <f t="shared" si="20"/>
        <v/>
      </c>
      <c r="C428" s="23" t="str">
        <f t="shared" si="21"/>
        <v/>
      </c>
      <c r="E428" s="24" t="str">
        <f>IF(NOT(ISBLANK(PEcopy!B428)),PEcopy!B428,"")</f>
        <v/>
      </c>
      <c r="F428" s="24" t="str">
        <f>IF(E428&lt;&gt;"",PEcopy!A428,"")</f>
        <v/>
      </c>
      <c r="G428" s="24" t="str">
        <f>IF(E428&lt;&gt;"",PEcopy!F428,"")</f>
        <v/>
      </c>
    </row>
    <row r="429" spans="1:7" ht="15.75" customHeight="1">
      <c r="A429" s="23" t="str">
        <f t="shared" si="19"/>
        <v/>
      </c>
      <c r="B429" t="str">
        <f t="shared" si="20"/>
        <v/>
      </c>
      <c r="C429" s="23" t="str">
        <f t="shared" si="21"/>
        <v/>
      </c>
      <c r="E429" s="24" t="str">
        <f>IF(NOT(ISBLANK(PEcopy!B429)),PEcopy!B429,"")</f>
        <v/>
      </c>
      <c r="F429" s="24" t="str">
        <f>IF(E429&lt;&gt;"",PEcopy!A429,"")</f>
        <v/>
      </c>
      <c r="G429" s="24" t="str">
        <f>IF(E429&lt;&gt;"",PEcopy!F429,"")</f>
        <v/>
      </c>
    </row>
    <row r="430" spans="1:7" ht="15.75" customHeight="1">
      <c r="A430" s="23" t="str">
        <f t="shared" si="19"/>
        <v/>
      </c>
      <c r="B430" t="str">
        <f t="shared" si="20"/>
        <v/>
      </c>
      <c r="C430" s="23" t="str">
        <f t="shared" si="21"/>
        <v/>
      </c>
      <c r="E430" s="24" t="str">
        <f>IF(NOT(ISBLANK(PEcopy!B430)),PEcopy!B430,"")</f>
        <v/>
      </c>
      <c r="F430" s="24" t="str">
        <f>IF(E430&lt;&gt;"",PEcopy!A430,"")</f>
        <v/>
      </c>
      <c r="G430" s="24" t="str">
        <f>IF(E430&lt;&gt;"",PEcopy!F430,"")</f>
        <v/>
      </c>
    </row>
    <row r="431" spans="1:7" ht="15.75" customHeight="1">
      <c r="A431" s="23" t="str">
        <f t="shared" si="19"/>
        <v/>
      </c>
      <c r="B431" t="str">
        <f t="shared" si="20"/>
        <v/>
      </c>
      <c r="C431" s="23" t="str">
        <f t="shared" si="21"/>
        <v/>
      </c>
      <c r="E431" s="24" t="str">
        <f>IF(NOT(ISBLANK(PEcopy!B431)),PEcopy!B431,"")</f>
        <v/>
      </c>
      <c r="F431" s="24" t="str">
        <f>IF(E431&lt;&gt;"",PEcopy!A431,"")</f>
        <v/>
      </c>
      <c r="G431" s="24" t="str">
        <f>IF(E431&lt;&gt;"",PEcopy!F431,"")</f>
        <v/>
      </c>
    </row>
    <row r="432" spans="1:7" ht="15.75" customHeight="1">
      <c r="A432" s="23" t="str">
        <f t="shared" si="19"/>
        <v/>
      </c>
      <c r="B432" t="str">
        <f t="shared" si="20"/>
        <v/>
      </c>
      <c r="C432" s="23" t="str">
        <f t="shared" si="21"/>
        <v/>
      </c>
      <c r="E432" s="24" t="str">
        <f>IF(NOT(ISBLANK(PEcopy!B432)),PEcopy!B432,"")</f>
        <v/>
      </c>
      <c r="F432" s="24" t="str">
        <f>IF(E432&lt;&gt;"",PEcopy!A432,"")</f>
        <v/>
      </c>
      <c r="G432" s="24" t="str">
        <f>IF(E432&lt;&gt;"",PEcopy!F432,"")</f>
        <v/>
      </c>
    </row>
    <row r="433" spans="1:7" ht="15.75" customHeight="1">
      <c r="A433" s="23" t="str">
        <f t="shared" si="19"/>
        <v/>
      </c>
      <c r="B433" t="str">
        <f t="shared" si="20"/>
        <v/>
      </c>
      <c r="C433" s="23" t="str">
        <f t="shared" si="21"/>
        <v/>
      </c>
      <c r="E433" s="24" t="str">
        <f>IF(NOT(ISBLANK(PEcopy!B433)),PEcopy!B433,"")</f>
        <v/>
      </c>
      <c r="F433" s="24" t="str">
        <f>IF(E433&lt;&gt;"",PEcopy!A433,"")</f>
        <v/>
      </c>
      <c r="G433" s="24" t="str">
        <f>IF(E433&lt;&gt;"",PEcopy!F433,"")</f>
        <v/>
      </c>
    </row>
    <row r="434" spans="1:7" ht="15.75" customHeight="1">
      <c r="A434" s="23" t="str">
        <f t="shared" si="19"/>
        <v/>
      </c>
      <c r="B434" t="str">
        <f t="shared" si="20"/>
        <v/>
      </c>
      <c r="C434" s="23" t="str">
        <f t="shared" si="21"/>
        <v/>
      </c>
      <c r="E434" s="24" t="str">
        <f>IF(NOT(ISBLANK(PEcopy!B434)),PEcopy!B434,"")</f>
        <v/>
      </c>
      <c r="F434" s="24" t="str">
        <f>IF(E434&lt;&gt;"",PEcopy!A434,"")</f>
        <v/>
      </c>
      <c r="G434" s="24" t="str">
        <f>IF(E434&lt;&gt;"",PEcopy!F434,"")</f>
        <v/>
      </c>
    </row>
    <row r="435" spans="1:7" ht="15.75" customHeight="1">
      <c r="A435" s="23" t="str">
        <f t="shared" si="19"/>
        <v/>
      </c>
      <c r="B435" t="str">
        <f t="shared" si="20"/>
        <v/>
      </c>
      <c r="C435" s="23" t="str">
        <f t="shared" si="21"/>
        <v/>
      </c>
      <c r="E435" s="24" t="str">
        <f>IF(NOT(ISBLANK(PEcopy!B435)),PEcopy!B435,"")</f>
        <v/>
      </c>
      <c r="F435" s="24" t="str">
        <f>IF(E435&lt;&gt;"",PEcopy!A435,"")</f>
        <v/>
      </c>
      <c r="G435" s="24" t="str">
        <f>IF(E435&lt;&gt;"",PEcopy!F435,"")</f>
        <v/>
      </c>
    </row>
    <row r="436" spans="1:7" ht="15.75" customHeight="1">
      <c r="A436" s="23" t="str">
        <f t="shared" si="19"/>
        <v/>
      </c>
      <c r="B436" t="str">
        <f t="shared" si="20"/>
        <v/>
      </c>
      <c r="C436" s="23" t="str">
        <f t="shared" si="21"/>
        <v/>
      </c>
      <c r="E436" s="24" t="str">
        <f>IF(NOT(ISBLANK(PEcopy!B436)),PEcopy!B436,"")</f>
        <v/>
      </c>
      <c r="F436" s="24" t="str">
        <f>IF(E436&lt;&gt;"",PEcopy!A436,"")</f>
        <v/>
      </c>
      <c r="G436" s="24" t="str">
        <f>IF(E436&lt;&gt;"",PEcopy!F436,"")</f>
        <v/>
      </c>
    </row>
    <row r="437" spans="1:7" ht="15.75" customHeight="1">
      <c r="A437" s="23" t="str">
        <f t="shared" si="19"/>
        <v/>
      </c>
      <c r="B437" t="str">
        <f t="shared" si="20"/>
        <v/>
      </c>
      <c r="C437" s="23" t="str">
        <f t="shared" si="21"/>
        <v/>
      </c>
      <c r="E437" s="24" t="str">
        <f>IF(NOT(ISBLANK(PEcopy!B437)),PEcopy!B437,"")</f>
        <v/>
      </c>
      <c r="F437" s="24" t="str">
        <f>IF(E437&lt;&gt;"",PEcopy!A437,"")</f>
        <v/>
      </c>
      <c r="G437" s="24" t="str">
        <f>IF(E437&lt;&gt;"",PEcopy!F437,"")</f>
        <v/>
      </c>
    </row>
    <row r="438" spans="1:7" ht="15.75" customHeight="1">
      <c r="A438" s="23" t="str">
        <f t="shared" si="19"/>
        <v/>
      </c>
      <c r="B438" t="str">
        <f t="shared" si="20"/>
        <v/>
      </c>
      <c r="C438" s="23" t="str">
        <f t="shared" si="21"/>
        <v/>
      </c>
      <c r="E438" s="24" t="str">
        <f>IF(NOT(ISBLANK(PEcopy!B438)),PEcopy!B438,"")</f>
        <v/>
      </c>
      <c r="F438" s="24" t="str">
        <f>IF(E438&lt;&gt;"",PEcopy!A438,"")</f>
        <v/>
      </c>
      <c r="G438" s="24" t="str">
        <f>IF(E438&lt;&gt;"",PEcopy!F438,"")</f>
        <v/>
      </c>
    </row>
    <row r="439" spans="1:7" ht="15.75" customHeight="1">
      <c r="A439" s="23" t="str">
        <f t="shared" si="19"/>
        <v/>
      </c>
      <c r="B439" t="str">
        <f t="shared" si="20"/>
        <v/>
      </c>
      <c r="C439" s="23" t="str">
        <f t="shared" si="21"/>
        <v/>
      </c>
      <c r="E439" s="24" t="str">
        <f>IF(NOT(ISBLANK(PEcopy!B439)),PEcopy!B439,"")</f>
        <v/>
      </c>
      <c r="F439" s="24" t="str">
        <f>IF(E439&lt;&gt;"",PEcopy!A439,"")</f>
        <v/>
      </c>
      <c r="G439" s="24" t="str">
        <f>IF(E439&lt;&gt;"",PEcopy!F439,"")</f>
        <v/>
      </c>
    </row>
    <row r="440" spans="1:7" ht="15.75" customHeight="1">
      <c r="A440" s="23" t="str">
        <f t="shared" si="19"/>
        <v/>
      </c>
      <c r="B440" t="str">
        <f t="shared" si="20"/>
        <v/>
      </c>
      <c r="C440" s="23" t="str">
        <f t="shared" si="21"/>
        <v/>
      </c>
      <c r="E440" s="24" t="str">
        <f>IF(NOT(ISBLANK(PEcopy!B440)),PEcopy!B440,"")</f>
        <v/>
      </c>
      <c r="F440" s="24" t="str">
        <f>IF(E440&lt;&gt;"",PEcopy!A440,"")</f>
        <v/>
      </c>
      <c r="G440" s="24" t="str">
        <f>IF(E440&lt;&gt;"",PEcopy!F440,"")</f>
        <v/>
      </c>
    </row>
    <row r="441" spans="1:7" ht="15.75" customHeight="1">
      <c r="A441" s="23" t="str">
        <f t="shared" si="19"/>
        <v/>
      </c>
      <c r="B441" t="str">
        <f t="shared" si="20"/>
        <v/>
      </c>
      <c r="C441" s="23" t="str">
        <f t="shared" si="21"/>
        <v/>
      </c>
      <c r="E441" s="24" t="str">
        <f>IF(NOT(ISBLANK(PEcopy!B441)),PEcopy!B441,"")</f>
        <v/>
      </c>
      <c r="F441" s="24" t="str">
        <f>IF(E441&lt;&gt;"",PEcopy!A441,"")</f>
        <v/>
      </c>
      <c r="G441" s="24" t="str">
        <f>IF(E441&lt;&gt;"",PEcopy!F441,"")</f>
        <v/>
      </c>
    </row>
    <row r="442" spans="1:7" ht="15.75" customHeight="1">
      <c r="A442" s="23" t="str">
        <f t="shared" si="19"/>
        <v/>
      </c>
      <c r="B442" t="str">
        <f t="shared" si="20"/>
        <v/>
      </c>
      <c r="C442" s="23" t="str">
        <f t="shared" si="21"/>
        <v/>
      </c>
      <c r="E442" s="24" t="str">
        <f>IF(NOT(ISBLANK(PEcopy!B442)),PEcopy!B442,"")</f>
        <v/>
      </c>
      <c r="F442" s="24" t="str">
        <f>IF(E442&lt;&gt;"",PEcopy!A442,"")</f>
        <v/>
      </c>
      <c r="G442" s="24" t="str">
        <f>IF(E442&lt;&gt;"",PEcopy!F442,"")</f>
        <v/>
      </c>
    </row>
    <row r="443" spans="1:7" ht="15.75" customHeight="1">
      <c r="A443" s="23" t="str">
        <f t="shared" si="19"/>
        <v/>
      </c>
      <c r="B443" t="str">
        <f t="shared" si="20"/>
        <v/>
      </c>
      <c r="C443" s="23" t="str">
        <f t="shared" si="21"/>
        <v/>
      </c>
      <c r="E443" s="24" t="str">
        <f>IF(NOT(ISBLANK(PEcopy!B443)),PEcopy!B443,"")</f>
        <v/>
      </c>
      <c r="F443" s="24" t="str">
        <f>IF(E443&lt;&gt;"",PEcopy!A443,"")</f>
        <v/>
      </c>
      <c r="G443" s="24" t="str">
        <f>IF(E443&lt;&gt;"",PEcopy!F443,"")</f>
        <v/>
      </c>
    </row>
    <row r="444" spans="1:7" ht="15.75" customHeight="1">
      <c r="A444" s="23" t="str">
        <f t="shared" si="19"/>
        <v/>
      </c>
      <c r="B444" t="str">
        <f t="shared" si="20"/>
        <v/>
      </c>
      <c r="C444" s="23" t="str">
        <f t="shared" si="21"/>
        <v/>
      </c>
      <c r="E444" s="24" t="str">
        <f>IF(NOT(ISBLANK(PEcopy!B444)),PEcopy!B444,"")</f>
        <v/>
      </c>
      <c r="F444" s="24" t="str">
        <f>IF(E444&lt;&gt;"",PEcopy!A444,"")</f>
        <v/>
      </c>
      <c r="G444" s="24" t="str">
        <f>IF(E444&lt;&gt;"",PEcopy!F444,"")</f>
        <v/>
      </c>
    </row>
    <row r="445" spans="1:7" ht="15.75" customHeight="1">
      <c r="A445" s="23" t="str">
        <f t="shared" si="19"/>
        <v/>
      </c>
      <c r="B445" t="str">
        <f t="shared" si="20"/>
        <v/>
      </c>
      <c r="C445" s="23" t="str">
        <f t="shared" si="21"/>
        <v/>
      </c>
      <c r="E445" s="24" t="str">
        <f>IF(NOT(ISBLANK(PEcopy!B445)),PEcopy!B445,"")</f>
        <v/>
      </c>
      <c r="F445" s="24" t="str">
        <f>IF(E445&lt;&gt;"",PEcopy!A445,"")</f>
        <v/>
      </c>
      <c r="G445" s="24" t="str">
        <f>IF(E445&lt;&gt;"",PEcopy!F445,"")</f>
        <v/>
      </c>
    </row>
    <row r="446" spans="1:7" ht="15.75" customHeight="1">
      <c r="A446" s="23" t="str">
        <f t="shared" si="19"/>
        <v/>
      </c>
      <c r="B446" t="str">
        <f t="shared" si="20"/>
        <v/>
      </c>
      <c r="C446" s="23" t="str">
        <f t="shared" si="21"/>
        <v/>
      </c>
      <c r="E446" s="24" t="str">
        <f>IF(NOT(ISBLANK(PEcopy!B446)),PEcopy!B446,"")</f>
        <v/>
      </c>
      <c r="F446" s="24" t="str">
        <f>IF(E446&lt;&gt;"",PEcopy!A446,"")</f>
        <v/>
      </c>
      <c r="G446" s="24" t="str">
        <f>IF(E446&lt;&gt;"",PEcopy!F446,"")</f>
        <v/>
      </c>
    </row>
    <row r="447" spans="1:7" ht="15.75" customHeight="1">
      <c r="A447" s="23" t="str">
        <f t="shared" si="19"/>
        <v/>
      </c>
      <c r="B447" t="str">
        <f t="shared" si="20"/>
        <v/>
      </c>
      <c r="C447" s="23" t="str">
        <f t="shared" si="21"/>
        <v/>
      </c>
      <c r="E447" s="24" t="str">
        <f>IF(NOT(ISBLANK(PEcopy!B447)),PEcopy!B447,"")</f>
        <v/>
      </c>
      <c r="F447" s="24" t="str">
        <f>IF(E447&lt;&gt;"",PEcopy!A447,"")</f>
        <v/>
      </c>
      <c r="G447" s="24" t="str">
        <f>IF(E447&lt;&gt;"",PEcopy!F447,"")</f>
        <v/>
      </c>
    </row>
    <row r="448" spans="1:7" ht="15.75" customHeight="1">
      <c r="A448" s="23" t="str">
        <f t="shared" si="19"/>
        <v/>
      </c>
      <c r="B448" t="str">
        <f t="shared" si="20"/>
        <v/>
      </c>
      <c r="C448" s="23" t="str">
        <f t="shared" si="21"/>
        <v/>
      </c>
      <c r="E448" s="24" t="str">
        <f>IF(NOT(ISBLANK(PEcopy!B448)),PEcopy!B448,"")</f>
        <v/>
      </c>
      <c r="F448" s="24" t="str">
        <f>IF(E448&lt;&gt;"",PEcopy!A448,"")</f>
        <v/>
      </c>
      <c r="G448" s="24" t="str">
        <f>IF(E448&lt;&gt;"",PEcopy!F448,"")</f>
        <v/>
      </c>
    </row>
    <row r="449" spans="1:7" ht="15.75" customHeight="1">
      <c r="A449" s="23" t="str">
        <f t="shared" si="19"/>
        <v/>
      </c>
      <c r="B449" t="str">
        <f t="shared" si="20"/>
        <v/>
      </c>
      <c r="C449" s="23" t="str">
        <f t="shared" si="21"/>
        <v/>
      </c>
      <c r="E449" s="24" t="str">
        <f>IF(NOT(ISBLANK(PEcopy!B449)),PEcopy!B449,"")</f>
        <v/>
      </c>
      <c r="F449" s="24" t="str">
        <f>IF(E449&lt;&gt;"",PEcopy!A449,"")</f>
        <v/>
      </c>
      <c r="G449" s="24" t="str">
        <f>IF(E449&lt;&gt;"",PEcopy!F449,"")</f>
        <v/>
      </c>
    </row>
    <row r="450" spans="1:7" ht="15.75" customHeight="1">
      <c r="A450" s="23" t="str">
        <f t="shared" si="19"/>
        <v/>
      </c>
      <c r="B450" t="str">
        <f t="shared" si="20"/>
        <v/>
      </c>
      <c r="C450" s="23" t="str">
        <f t="shared" si="21"/>
        <v/>
      </c>
      <c r="E450" s="24" t="str">
        <f>IF(NOT(ISBLANK(PEcopy!B450)),PEcopy!B450,"")</f>
        <v/>
      </c>
      <c r="F450" s="24" t="str">
        <f>IF(E450&lt;&gt;"",PEcopy!A450,"")</f>
        <v/>
      </c>
      <c r="G450" s="24" t="str">
        <f>IF(E450&lt;&gt;"",PEcopy!F450,"")</f>
        <v/>
      </c>
    </row>
    <row r="451" spans="1:7" ht="15.75" customHeight="1">
      <c r="A451" s="23" t="str">
        <f t="shared" ref="A451:A500" si="22">IF(E451&lt;&gt;"",DATEVALUE(LEFT(E451,10)),"")</f>
        <v/>
      </c>
      <c r="B451" t="str">
        <f t="shared" ref="B451:B500" si="23">IF(LEN(F451)&gt;3,RIGHT(F451,LEN(F451)-3),"")</f>
        <v/>
      </c>
      <c r="C451" s="23" t="str">
        <f t="shared" ref="C451:C500" si="24">IF(E451&lt;&gt;"",DATEVALUE(LEFT(G451,10)),"")</f>
        <v/>
      </c>
      <c r="E451" s="24" t="str">
        <f>IF(NOT(ISBLANK(PEcopy!B451)),PEcopy!B451,"")</f>
        <v/>
      </c>
      <c r="F451" s="24" t="str">
        <f>IF(E451&lt;&gt;"",PEcopy!A451,"")</f>
        <v/>
      </c>
      <c r="G451" s="24" t="str">
        <f>IF(E451&lt;&gt;"",PEcopy!F451,"")</f>
        <v/>
      </c>
    </row>
    <row r="452" spans="1:7" ht="15.75" customHeight="1">
      <c r="A452" s="23" t="str">
        <f t="shared" si="22"/>
        <v/>
      </c>
      <c r="B452" t="str">
        <f t="shared" si="23"/>
        <v/>
      </c>
      <c r="C452" s="23" t="str">
        <f t="shared" si="24"/>
        <v/>
      </c>
      <c r="E452" s="24" t="str">
        <f>IF(NOT(ISBLANK(PEcopy!B452)),PEcopy!B452,"")</f>
        <v/>
      </c>
      <c r="F452" s="24" t="str">
        <f>IF(E452&lt;&gt;"",PEcopy!A452,"")</f>
        <v/>
      </c>
      <c r="G452" s="24" t="str">
        <f>IF(E452&lt;&gt;"",PEcopy!F452,"")</f>
        <v/>
      </c>
    </row>
    <row r="453" spans="1:7" ht="15.75" customHeight="1">
      <c r="A453" s="23" t="str">
        <f t="shared" si="22"/>
        <v/>
      </c>
      <c r="B453" t="str">
        <f t="shared" si="23"/>
        <v/>
      </c>
      <c r="C453" s="23" t="str">
        <f t="shared" si="24"/>
        <v/>
      </c>
      <c r="E453" s="24" t="str">
        <f>IF(NOT(ISBLANK(PEcopy!B453)),PEcopy!B453,"")</f>
        <v/>
      </c>
      <c r="F453" s="24" t="str">
        <f>IF(E453&lt;&gt;"",PEcopy!A453,"")</f>
        <v/>
      </c>
      <c r="G453" s="24" t="str">
        <f>IF(E453&lt;&gt;"",PEcopy!F453,"")</f>
        <v/>
      </c>
    </row>
    <row r="454" spans="1:7" ht="15.75" customHeight="1">
      <c r="A454" s="23" t="str">
        <f t="shared" si="22"/>
        <v/>
      </c>
      <c r="B454" t="str">
        <f t="shared" si="23"/>
        <v/>
      </c>
      <c r="C454" s="23" t="str">
        <f t="shared" si="24"/>
        <v/>
      </c>
      <c r="E454" s="24" t="str">
        <f>IF(NOT(ISBLANK(PEcopy!B454)),PEcopy!B454,"")</f>
        <v/>
      </c>
      <c r="F454" s="24" t="str">
        <f>IF(E454&lt;&gt;"",PEcopy!A454,"")</f>
        <v/>
      </c>
      <c r="G454" s="24" t="str">
        <f>IF(E454&lt;&gt;"",PEcopy!F454,"")</f>
        <v/>
      </c>
    </row>
    <row r="455" spans="1:7" ht="15.75" customHeight="1">
      <c r="A455" s="23" t="str">
        <f t="shared" si="22"/>
        <v/>
      </c>
      <c r="B455" t="str">
        <f t="shared" si="23"/>
        <v/>
      </c>
      <c r="C455" s="23" t="str">
        <f t="shared" si="24"/>
        <v/>
      </c>
      <c r="E455" s="24" t="str">
        <f>IF(NOT(ISBLANK(PEcopy!B455)),PEcopy!B455,"")</f>
        <v/>
      </c>
      <c r="F455" s="24" t="str">
        <f>IF(E455&lt;&gt;"",PEcopy!A455,"")</f>
        <v/>
      </c>
      <c r="G455" s="24" t="str">
        <f>IF(E455&lt;&gt;"",PEcopy!F455,"")</f>
        <v/>
      </c>
    </row>
    <row r="456" spans="1:7" ht="15.75" customHeight="1">
      <c r="A456" s="23" t="str">
        <f t="shared" si="22"/>
        <v/>
      </c>
      <c r="B456" t="str">
        <f t="shared" si="23"/>
        <v/>
      </c>
      <c r="C456" s="23" t="str">
        <f t="shared" si="24"/>
        <v/>
      </c>
      <c r="E456" s="24" t="str">
        <f>IF(NOT(ISBLANK(PEcopy!B456)),PEcopy!B456,"")</f>
        <v/>
      </c>
      <c r="F456" s="24" t="str">
        <f>IF(E456&lt;&gt;"",PEcopy!A456,"")</f>
        <v/>
      </c>
      <c r="G456" s="24" t="str">
        <f>IF(E456&lt;&gt;"",PEcopy!F456,"")</f>
        <v/>
      </c>
    </row>
    <row r="457" spans="1:7" ht="15.75" customHeight="1">
      <c r="A457" s="23" t="str">
        <f t="shared" si="22"/>
        <v/>
      </c>
      <c r="B457" t="str">
        <f t="shared" si="23"/>
        <v/>
      </c>
      <c r="C457" s="23" t="str">
        <f t="shared" si="24"/>
        <v/>
      </c>
      <c r="E457" s="24" t="str">
        <f>IF(NOT(ISBLANK(PEcopy!B457)),PEcopy!B457,"")</f>
        <v/>
      </c>
      <c r="F457" s="24" t="str">
        <f>IF(E457&lt;&gt;"",PEcopy!A457,"")</f>
        <v/>
      </c>
      <c r="G457" s="24" t="str">
        <f>IF(E457&lt;&gt;"",PEcopy!F457,"")</f>
        <v/>
      </c>
    </row>
    <row r="458" spans="1:7" ht="15.75" customHeight="1">
      <c r="A458" s="23" t="str">
        <f t="shared" si="22"/>
        <v/>
      </c>
      <c r="B458" t="str">
        <f t="shared" si="23"/>
        <v/>
      </c>
      <c r="C458" s="23" t="str">
        <f t="shared" si="24"/>
        <v/>
      </c>
      <c r="E458" s="24" t="str">
        <f>IF(NOT(ISBLANK(PEcopy!B458)),PEcopy!B458,"")</f>
        <v/>
      </c>
      <c r="F458" s="24" t="str">
        <f>IF(E458&lt;&gt;"",PEcopy!A458,"")</f>
        <v/>
      </c>
      <c r="G458" s="24" t="str">
        <f>IF(E458&lt;&gt;"",PEcopy!F458,"")</f>
        <v/>
      </c>
    </row>
    <row r="459" spans="1:7" ht="15.75" customHeight="1">
      <c r="A459" s="23" t="str">
        <f t="shared" si="22"/>
        <v/>
      </c>
      <c r="B459" t="str">
        <f t="shared" si="23"/>
        <v/>
      </c>
      <c r="C459" s="23" t="str">
        <f t="shared" si="24"/>
        <v/>
      </c>
      <c r="E459" s="24" t="str">
        <f>IF(NOT(ISBLANK(PEcopy!B459)),PEcopy!B459,"")</f>
        <v/>
      </c>
      <c r="F459" s="24" t="str">
        <f>IF(E459&lt;&gt;"",PEcopy!A459,"")</f>
        <v/>
      </c>
      <c r="G459" s="24" t="str">
        <f>IF(E459&lt;&gt;"",PEcopy!F459,"")</f>
        <v/>
      </c>
    </row>
    <row r="460" spans="1:7" ht="15.75" customHeight="1">
      <c r="A460" s="23" t="str">
        <f t="shared" si="22"/>
        <v/>
      </c>
      <c r="B460" t="str">
        <f t="shared" si="23"/>
        <v/>
      </c>
      <c r="C460" s="23" t="str">
        <f t="shared" si="24"/>
        <v/>
      </c>
      <c r="E460" s="24" t="str">
        <f>IF(NOT(ISBLANK(PEcopy!B460)),PEcopy!B460,"")</f>
        <v/>
      </c>
      <c r="F460" s="24" t="str">
        <f>IF(E460&lt;&gt;"",PEcopy!A460,"")</f>
        <v/>
      </c>
      <c r="G460" s="24" t="str">
        <f>IF(E460&lt;&gt;"",PEcopy!F460,"")</f>
        <v/>
      </c>
    </row>
    <row r="461" spans="1:7" ht="15.75" customHeight="1">
      <c r="A461" s="23" t="str">
        <f t="shared" si="22"/>
        <v/>
      </c>
      <c r="B461" t="str">
        <f t="shared" si="23"/>
        <v/>
      </c>
      <c r="C461" s="23" t="str">
        <f t="shared" si="24"/>
        <v/>
      </c>
      <c r="E461" s="24" t="str">
        <f>IF(NOT(ISBLANK(PEcopy!B461)),PEcopy!B461,"")</f>
        <v/>
      </c>
      <c r="F461" s="24" t="str">
        <f>IF(E461&lt;&gt;"",PEcopy!A461,"")</f>
        <v/>
      </c>
      <c r="G461" s="24" t="str">
        <f>IF(E461&lt;&gt;"",PEcopy!F461,"")</f>
        <v/>
      </c>
    </row>
    <row r="462" spans="1:7" ht="15.75" customHeight="1">
      <c r="A462" s="23" t="str">
        <f t="shared" si="22"/>
        <v/>
      </c>
      <c r="B462" t="str">
        <f t="shared" si="23"/>
        <v/>
      </c>
      <c r="C462" s="23" t="str">
        <f t="shared" si="24"/>
        <v/>
      </c>
      <c r="E462" s="24" t="str">
        <f>IF(NOT(ISBLANK(PEcopy!B462)),PEcopy!B462,"")</f>
        <v/>
      </c>
      <c r="F462" s="24" t="str">
        <f>IF(E462&lt;&gt;"",PEcopy!A462,"")</f>
        <v/>
      </c>
      <c r="G462" s="24" t="str">
        <f>IF(E462&lt;&gt;"",PEcopy!F462,"")</f>
        <v/>
      </c>
    </row>
    <row r="463" spans="1:7" ht="15.75" customHeight="1">
      <c r="A463" s="23" t="str">
        <f t="shared" si="22"/>
        <v/>
      </c>
      <c r="B463" t="str">
        <f t="shared" si="23"/>
        <v/>
      </c>
      <c r="C463" s="23" t="str">
        <f t="shared" si="24"/>
        <v/>
      </c>
      <c r="E463" s="24" t="str">
        <f>IF(NOT(ISBLANK(PEcopy!B463)),PEcopy!B463,"")</f>
        <v/>
      </c>
      <c r="F463" s="24" t="str">
        <f>IF(E463&lt;&gt;"",PEcopy!A463,"")</f>
        <v/>
      </c>
      <c r="G463" s="24" t="str">
        <f>IF(E463&lt;&gt;"",PEcopy!F463,"")</f>
        <v/>
      </c>
    </row>
    <row r="464" spans="1:7" ht="15.75" customHeight="1">
      <c r="A464" s="23" t="str">
        <f t="shared" si="22"/>
        <v/>
      </c>
      <c r="B464" t="str">
        <f t="shared" si="23"/>
        <v/>
      </c>
      <c r="C464" s="23" t="str">
        <f t="shared" si="24"/>
        <v/>
      </c>
      <c r="E464" s="24" t="str">
        <f>IF(NOT(ISBLANK(PEcopy!B464)),PEcopy!B464,"")</f>
        <v/>
      </c>
      <c r="F464" s="24" t="str">
        <f>IF(E464&lt;&gt;"",PEcopy!A464,"")</f>
        <v/>
      </c>
      <c r="G464" s="24" t="str">
        <f>IF(E464&lt;&gt;"",PEcopy!F464,"")</f>
        <v/>
      </c>
    </row>
    <row r="465" spans="1:7" ht="15.75" customHeight="1">
      <c r="A465" s="23" t="str">
        <f t="shared" si="22"/>
        <v/>
      </c>
      <c r="B465" t="str">
        <f t="shared" si="23"/>
        <v/>
      </c>
      <c r="C465" s="23" t="str">
        <f t="shared" si="24"/>
        <v/>
      </c>
      <c r="E465" s="24" t="str">
        <f>IF(NOT(ISBLANK(PEcopy!B465)),PEcopy!B465,"")</f>
        <v/>
      </c>
      <c r="F465" s="24" t="str">
        <f>IF(E465&lt;&gt;"",PEcopy!A465,"")</f>
        <v/>
      </c>
      <c r="G465" s="24" t="str">
        <f>IF(E465&lt;&gt;"",PEcopy!F465,"")</f>
        <v/>
      </c>
    </row>
    <row r="466" spans="1:7" ht="15.75" customHeight="1">
      <c r="A466" s="23" t="str">
        <f t="shared" si="22"/>
        <v/>
      </c>
      <c r="B466" t="str">
        <f t="shared" si="23"/>
        <v/>
      </c>
      <c r="C466" s="23" t="str">
        <f t="shared" si="24"/>
        <v/>
      </c>
      <c r="E466" s="24" t="str">
        <f>IF(NOT(ISBLANK(PEcopy!B466)),PEcopy!B466,"")</f>
        <v/>
      </c>
      <c r="F466" s="24" t="str">
        <f>IF(E466&lt;&gt;"",PEcopy!A466,"")</f>
        <v/>
      </c>
      <c r="G466" s="24" t="str">
        <f>IF(E466&lt;&gt;"",PEcopy!F466,"")</f>
        <v/>
      </c>
    </row>
    <row r="467" spans="1:7" ht="15.75" customHeight="1">
      <c r="A467" s="23" t="str">
        <f t="shared" si="22"/>
        <v/>
      </c>
      <c r="B467" t="str">
        <f t="shared" si="23"/>
        <v/>
      </c>
      <c r="C467" s="23" t="str">
        <f t="shared" si="24"/>
        <v/>
      </c>
      <c r="E467" s="24" t="str">
        <f>IF(NOT(ISBLANK(PEcopy!B467)),PEcopy!B467,"")</f>
        <v/>
      </c>
      <c r="F467" s="24" t="str">
        <f>IF(E467&lt;&gt;"",PEcopy!A467,"")</f>
        <v/>
      </c>
      <c r="G467" s="24" t="str">
        <f>IF(E467&lt;&gt;"",PEcopy!F467,"")</f>
        <v/>
      </c>
    </row>
    <row r="468" spans="1:7" ht="15.75" customHeight="1">
      <c r="A468" s="23" t="str">
        <f t="shared" si="22"/>
        <v/>
      </c>
      <c r="B468" t="str">
        <f t="shared" si="23"/>
        <v/>
      </c>
      <c r="C468" s="23" t="str">
        <f t="shared" si="24"/>
        <v/>
      </c>
      <c r="E468" s="24" t="str">
        <f>IF(NOT(ISBLANK(PEcopy!B468)),PEcopy!B468,"")</f>
        <v/>
      </c>
      <c r="F468" s="24" t="str">
        <f>IF(E468&lt;&gt;"",PEcopy!A468,"")</f>
        <v/>
      </c>
      <c r="G468" s="24" t="str">
        <f>IF(E468&lt;&gt;"",PEcopy!F468,"")</f>
        <v/>
      </c>
    </row>
    <row r="469" spans="1:7" ht="15.75" customHeight="1">
      <c r="A469" s="23" t="str">
        <f t="shared" si="22"/>
        <v/>
      </c>
      <c r="B469" t="str">
        <f t="shared" si="23"/>
        <v/>
      </c>
      <c r="C469" s="23" t="str">
        <f t="shared" si="24"/>
        <v/>
      </c>
      <c r="E469" s="24" t="str">
        <f>IF(NOT(ISBLANK(PEcopy!B469)),PEcopy!B469,"")</f>
        <v/>
      </c>
      <c r="F469" s="24" t="str">
        <f>IF(E469&lt;&gt;"",PEcopy!A469,"")</f>
        <v/>
      </c>
      <c r="G469" s="24" t="str">
        <f>IF(E469&lt;&gt;"",PEcopy!F469,"")</f>
        <v/>
      </c>
    </row>
    <row r="470" spans="1:7" ht="15.75" customHeight="1">
      <c r="A470" s="23" t="str">
        <f t="shared" si="22"/>
        <v/>
      </c>
      <c r="B470" t="str">
        <f t="shared" si="23"/>
        <v/>
      </c>
      <c r="C470" s="23" t="str">
        <f t="shared" si="24"/>
        <v/>
      </c>
      <c r="E470" s="24" t="str">
        <f>IF(NOT(ISBLANK(PEcopy!B470)),PEcopy!B470,"")</f>
        <v/>
      </c>
      <c r="F470" s="24" t="str">
        <f>IF(E470&lt;&gt;"",PEcopy!A470,"")</f>
        <v/>
      </c>
      <c r="G470" s="24" t="str">
        <f>IF(E470&lt;&gt;"",PEcopy!F470,"")</f>
        <v/>
      </c>
    </row>
    <row r="471" spans="1:7" ht="15.75" customHeight="1">
      <c r="A471" s="23" t="str">
        <f t="shared" si="22"/>
        <v/>
      </c>
      <c r="B471" t="str">
        <f t="shared" si="23"/>
        <v/>
      </c>
      <c r="C471" s="23" t="str">
        <f t="shared" si="24"/>
        <v/>
      </c>
      <c r="E471" s="24" t="str">
        <f>IF(NOT(ISBLANK(PEcopy!B471)),PEcopy!B471,"")</f>
        <v/>
      </c>
      <c r="F471" s="24" t="str">
        <f>IF(E471&lt;&gt;"",PEcopy!A471,"")</f>
        <v/>
      </c>
      <c r="G471" s="24" t="str">
        <f>IF(E471&lt;&gt;"",PEcopy!F471,"")</f>
        <v/>
      </c>
    </row>
    <row r="472" spans="1:7" ht="15.75" customHeight="1">
      <c r="A472" s="23" t="str">
        <f t="shared" si="22"/>
        <v/>
      </c>
      <c r="B472" t="str">
        <f t="shared" si="23"/>
        <v/>
      </c>
      <c r="C472" s="23" t="str">
        <f t="shared" si="24"/>
        <v/>
      </c>
      <c r="E472" s="24" t="str">
        <f>IF(NOT(ISBLANK(PEcopy!B472)),PEcopy!B472,"")</f>
        <v/>
      </c>
      <c r="F472" s="24" t="str">
        <f>IF(E472&lt;&gt;"",PEcopy!A472,"")</f>
        <v/>
      </c>
      <c r="G472" s="24" t="str">
        <f>IF(E472&lt;&gt;"",PEcopy!F472,"")</f>
        <v/>
      </c>
    </row>
    <row r="473" spans="1:7" ht="15.75" customHeight="1">
      <c r="A473" s="23" t="str">
        <f t="shared" si="22"/>
        <v/>
      </c>
      <c r="B473" t="str">
        <f t="shared" si="23"/>
        <v/>
      </c>
      <c r="C473" s="23" t="str">
        <f t="shared" si="24"/>
        <v/>
      </c>
      <c r="E473" s="24" t="str">
        <f>IF(NOT(ISBLANK(PEcopy!B473)),PEcopy!B473,"")</f>
        <v/>
      </c>
      <c r="F473" s="24" t="str">
        <f>IF(E473&lt;&gt;"",PEcopy!A473,"")</f>
        <v/>
      </c>
      <c r="G473" s="24" t="str">
        <f>IF(E473&lt;&gt;"",PEcopy!F473,"")</f>
        <v/>
      </c>
    </row>
    <row r="474" spans="1:7" ht="15.75" customHeight="1">
      <c r="A474" s="23" t="str">
        <f t="shared" si="22"/>
        <v/>
      </c>
      <c r="B474" t="str">
        <f t="shared" si="23"/>
        <v/>
      </c>
      <c r="C474" s="23" t="str">
        <f t="shared" si="24"/>
        <v/>
      </c>
      <c r="E474" s="24" t="str">
        <f>IF(NOT(ISBLANK(PEcopy!B474)),PEcopy!B474,"")</f>
        <v/>
      </c>
      <c r="F474" s="24" t="str">
        <f>IF(E474&lt;&gt;"",PEcopy!A474,"")</f>
        <v/>
      </c>
      <c r="G474" s="24" t="str">
        <f>IF(E474&lt;&gt;"",PEcopy!F474,"")</f>
        <v/>
      </c>
    </row>
    <row r="475" spans="1:7" ht="15.75" customHeight="1">
      <c r="A475" s="23" t="str">
        <f t="shared" si="22"/>
        <v/>
      </c>
      <c r="B475" t="str">
        <f t="shared" si="23"/>
        <v/>
      </c>
      <c r="C475" s="23" t="str">
        <f t="shared" si="24"/>
        <v/>
      </c>
      <c r="E475" s="24" t="str">
        <f>IF(NOT(ISBLANK(PEcopy!B475)),PEcopy!B475,"")</f>
        <v/>
      </c>
      <c r="F475" s="24" t="str">
        <f>IF(E475&lt;&gt;"",PEcopy!A475,"")</f>
        <v/>
      </c>
      <c r="G475" s="24" t="str">
        <f>IF(E475&lt;&gt;"",PEcopy!F475,"")</f>
        <v/>
      </c>
    </row>
    <row r="476" spans="1:7" ht="15.75" customHeight="1">
      <c r="A476" s="23" t="str">
        <f t="shared" si="22"/>
        <v/>
      </c>
      <c r="B476" t="str">
        <f t="shared" si="23"/>
        <v/>
      </c>
      <c r="C476" s="23" t="str">
        <f t="shared" si="24"/>
        <v/>
      </c>
      <c r="E476" s="24" t="str">
        <f>IF(NOT(ISBLANK(PEcopy!B476)),PEcopy!B476,"")</f>
        <v/>
      </c>
      <c r="F476" s="24" t="str">
        <f>IF(E476&lt;&gt;"",PEcopy!A476,"")</f>
        <v/>
      </c>
      <c r="G476" s="24" t="str">
        <f>IF(E476&lt;&gt;"",PEcopy!F476,"")</f>
        <v/>
      </c>
    </row>
    <row r="477" spans="1:7" ht="15.75" customHeight="1">
      <c r="A477" s="23" t="str">
        <f t="shared" si="22"/>
        <v/>
      </c>
      <c r="B477" t="str">
        <f t="shared" si="23"/>
        <v/>
      </c>
      <c r="C477" s="23" t="str">
        <f t="shared" si="24"/>
        <v/>
      </c>
      <c r="E477" s="24" t="str">
        <f>IF(NOT(ISBLANK(PEcopy!B477)),PEcopy!B477,"")</f>
        <v/>
      </c>
      <c r="F477" s="24" t="str">
        <f>IF(E477&lt;&gt;"",PEcopy!A477,"")</f>
        <v/>
      </c>
      <c r="G477" s="24" t="str">
        <f>IF(E477&lt;&gt;"",PEcopy!F477,"")</f>
        <v/>
      </c>
    </row>
    <row r="478" spans="1:7" ht="15.75" customHeight="1">
      <c r="A478" s="23" t="str">
        <f t="shared" si="22"/>
        <v/>
      </c>
      <c r="B478" t="str">
        <f t="shared" si="23"/>
        <v/>
      </c>
      <c r="C478" s="23" t="str">
        <f t="shared" si="24"/>
        <v/>
      </c>
      <c r="E478" s="24" t="str">
        <f>IF(NOT(ISBLANK(PEcopy!B478)),PEcopy!B478,"")</f>
        <v/>
      </c>
      <c r="F478" s="24" t="str">
        <f>IF(E478&lt;&gt;"",PEcopy!A478,"")</f>
        <v/>
      </c>
      <c r="G478" s="24" t="str">
        <f>IF(E478&lt;&gt;"",PEcopy!F478,"")</f>
        <v/>
      </c>
    </row>
    <row r="479" spans="1:7" ht="15.75" customHeight="1">
      <c r="A479" s="23" t="str">
        <f t="shared" si="22"/>
        <v/>
      </c>
      <c r="B479" t="str">
        <f t="shared" si="23"/>
        <v/>
      </c>
      <c r="C479" s="23" t="str">
        <f t="shared" si="24"/>
        <v/>
      </c>
      <c r="E479" s="24" t="str">
        <f>IF(NOT(ISBLANK(PEcopy!B479)),PEcopy!B479,"")</f>
        <v/>
      </c>
      <c r="F479" s="24" t="str">
        <f>IF(E479&lt;&gt;"",PEcopy!A479,"")</f>
        <v/>
      </c>
      <c r="G479" s="24" t="str">
        <f>IF(E479&lt;&gt;"",PEcopy!F479,"")</f>
        <v/>
      </c>
    </row>
    <row r="480" spans="1:7" ht="15.75" customHeight="1">
      <c r="A480" s="23" t="str">
        <f t="shared" si="22"/>
        <v/>
      </c>
      <c r="B480" t="str">
        <f t="shared" si="23"/>
        <v/>
      </c>
      <c r="C480" s="23" t="str">
        <f t="shared" si="24"/>
        <v/>
      </c>
      <c r="E480" s="24" t="str">
        <f>IF(NOT(ISBLANK(PEcopy!B480)),PEcopy!B480,"")</f>
        <v/>
      </c>
      <c r="F480" s="24" t="str">
        <f>IF(E480&lt;&gt;"",PEcopy!A480,"")</f>
        <v/>
      </c>
      <c r="G480" s="24" t="str">
        <f>IF(E480&lt;&gt;"",PEcopy!F480,"")</f>
        <v/>
      </c>
    </row>
    <row r="481" spans="1:7" ht="15.75" customHeight="1">
      <c r="A481" s="23" t="str">
        <f t="shared" si="22"/>
        <v/>
      </c>
      <c r="B481" t="str">
        <f t="shared" si="23"/>
        <v/>
      </c>
      <c r="C481" s="23" t="str">
        <f t="shared" si="24"/>
        <v/>
      </c>
      <c r="E481" s="24" t="str">
        <f>IF(NOT(ISBLANK(PEcopy!B481)),PEcopy!B481,"")</f>
        <v/>
      </c>
      <c r="F481" s="24" t="str">
        <f>IF(E481&lt;&gt;"",PEcopy!A481,"")</f>
        <v/>
      </c>
      <c r="G481" s="24" t="str">
        <f>IF(E481&lt;&gt;"",PEcopy!F481,"")</f>
        <v/>
      </c>
    </row>
    <row r="482" spans="1:7" ht="15.75" customHeight="1">
      <c r="A482" s="23" t="str">
        <f t="shared" si="22"/>
        <v/>
      </c>
      <c r="B482" t="str">
        <f t="shared" si="23"/>
        <v/>
      </c>
      <c r="C482" s="23" t="str">
        <f t="shared" si="24"/>
        <v/>
      </c>
      <c r="E482" s="24" t="str">
        <f>IF(NOT(ISBLANK(PEcopy!B482)),PEcopy!B482,"")</f>
        <v/>
      </c>
      <c r="F482" s="24" t="str">
        <f>IF(E482&lt;&gt;"",PEcopy!A482,"")</f>
        <v/>
      </c>
      <c r="G482" s="24" t="str">
        <f>IF(E482&lt;&gt;"",PEcopy!F482,"")</f>
        <v/>
      </c>
    </row>
    <row r="483" spans="1:7" ht="15.75" customHeight="1">
      <c r="A483" s="23" t="str">
        <f t="shared" si="22"/>
        <v/>
      </c>
      <c r="B483" t="str">
        <f t="shared" si="23"/>
        <v/>
      </c>
      <c r="C483" s="23" t="str">
        <f t="shared" si="24"/>
        <v/>
      </c>
      <c r="E483" s="24" t="str">
        <f>IF(NOT(ISBLANK(PEcopy!B483)),PEcopy!B483,"")</f>
        <v/>
      </c>
      <c r="F483" s="24" t="str">
        <f>IF(E483&lt;&gt;"",PEcopy!A483,"")</f>
        <v/>
      </c>
      <c r="G483" s="24" t="str">
        <f>IF(E483&lt;&gt;"",PEcopy!F483,"")</f>
        <v/>
      </c>
    </row>
    <row r="484" spans="1:7" ht="15.75" customHeight="1">
      <c r="A484" s="23" t="str">
        <f t="shared" si="22"/>
        <v/>
      </c>
      <c r="B484" t="str">
        <f t="shared" si="23"/>
        <v/>
      </c>
      <c r="C484" s="23" t="str">
        <f t="shared" si="24"/>
        <v/>
      </c>
      <c r="E484" s="24" t="str">
        <f>IF(NOT(ISBLANK(PEcopy!B484)),PEcopy!B484,"")</f>
        <v/>
      </c>
      <c r="F484" s="24" t="str">
        <f>IF(E484&lt;&gt;"",PEcopy!A484,"")</f>
        <v/>
      </c>
      <c r="G484" s="24" t="str">
        <f>IF(E484&lt;&gt;"",PEcopy!F484,"")</f>
        <v/>
      </c>
    </row>
    <row r="485" spans="1:7" ht="15.75" customHeight="1">
      <c r="A485" s="23" t="str">
        <f t="shared" si="22"/>
        <v/>
      </c>
      <c r="B485" t="str">
        <f t="shared" si="23"/>
        <v/>
      </c>
      <c r="C485" s="23" t="str">
        <f t="shared" si="24"/>
        <v/>
      </c>
      <c r="E485" s="24" t="str">
        <f>IF(NOT(ISBLANK(PEcopy!B485)),PEcopy!B485,"")</f>
        <v/>
      </c>
      <c r="F485" s="24" t="str">
        <f>IF(E485&lt;&gt;"",PEcopy!A485,"")</f>
        <v/>
      </c>
      <c r="G485" s="24" t="str">
        <f>IF(E485&lt;&gt;"",PEcopy!F485,"")</f>
        <v/>
      </c>
    </row>
    <row r="486" spans="1:7" ht="15.75" customHeight="1">
      <c r="A486" s="23" t="str">
        <f t="shared" si="22"/>
        <v/>
      </c>
      <c r="B486" t="str">
        <f t="shared" si="23"/>
        <v/>
      </c>
      <c r="C486" s="23" t="str">
        <f t="shared" si="24"/>
        <v/>
      </c>
      <c r="E486" s="24" t="str">
        <f>IF(NOT(ISBLANK(PEcopy!B486)),PEcopy!B486,"")</f>
        <v/>
      </c>
      <c r="F486" s="24" t="str">
        <f>IF(E486&lt;&gt;"",PEcopy!A486,"")</f>
        <v/>
      </c>
      <c r="G486" s="24" t="str">
        <f>IF(E486&lt;&gt;"",PEcopy!F486,"")</f>
        <v/>
      </c>
    </row>
    <row r="487" spans="1:7" ht="15.75" customHeight="1">
      <c r="A487" s="23" t="str">
        <f t="shared" si="22"/>
        <v/>
      </c>
      <c r="B487" t="str">
        <f t="shared" si="23"/>
        <v/>
      </c>
      <c r="C487" s="23" t="str">
        <f t="shared" si="24"/>
        <v/>
      </c>
      <c r="E487" s="24" t="str">
        <f>IF(NOT(ISBLANK(PEcopy!B487)),PEcopy!B487,"")</f>
        <v/>
      </c>
      <c r="F487" s="24" t="str">
        <f>IF(E487&lt;&gt;"",PEcopy!A487,"")</f>
        <v/>
      </c>
      <c r="G487" s="24" t="str">
        <f>IF(E487&lt;&gt;"",PEcopy!F487,"")</f>
        <v/>
      </c>
    </row>
    <row r="488" spans="1:7" ht="15.75" customHeight="1">
      <c r="A488" s="23" t="str">
        <f t="shared" si="22"/>
        <v/>
      </c>
      <c r="B488" t="str">
        <f t="shared" si="23"/>
        <v/>
      </c>
      <c r="C488" s="23" t="str">
        <f t="shared" si="24"/>
        <v/>
      </c>
      <c r="E488" s="24" t="str">
        <f>IF(NOT(ISBLANK(PEcopy!B488)),PEcopy!B488,"")</f>
        <v/>
      </c>
      <c r="F488" s="24" t="str">
        <f>IF(E488&lt;&gt;"",PEcopy!A488,"")</f>
        <v/>
      </c>
      <c r="G488" s="24" t="str">
        <f>IF(E488&lt;&gt;"",PEcopy!F488,"")</f>
        <v/>
      </c>
    </row>
    <row r="489" spans="1:7" ht="15.75" customHeight="1">
      <c r="A489" s="23" t="str">
        <f t="shared" si="22"/>
        <v/>
      </c>
      <c r="B489" t="str">
        <f t="shared" si="23"/>
        <v/>
      </c>
      <c r="C489" s="23" t="str">
        <f t="shared" si="24"/>
        <v/>
      </c>
      <c r="E489" s="24" t="str">
        <f>IF(NOT(ISBLANK(PEcopy!B489)),PEcopy!B489,"")</f>
        <v/>
      </c>
      <c r="F489" s="24" t="str">
        <f>IF(E489&lt;&gt;"",PEcopy!A489,"")</f>
        <v/>
      </c>
      <c r="G489" s="24" t="str">
        <f>IF(E489&lt;&gt;"",PEcopy!F489,"")</f>
        <v/>
      </c>
    </row>
    <row r="490" spans="1:7" ht="15.75" customHeight="1">
      <c r="A490" s="23" t="str">
        <f t="shared" si="22"/>
        <v/>
      </c>
      <c r="B490" t="str">
        <f t="shared" si="23"/>
        <v/>
      </c>
      <c r="C490" s="23" t="str">
        <f t="shared" si="24"/>
        <v/>
      </c>
      <c r="E490" s="24" t="str">
        <f>IF(NOT(ISBLANK(PEcopy!B490)),PEcopy!B490,"")</f>
        <v/>
      </c>
      <c r="F490" s="24" t="str">
        <f>IF(E490&lt;&gt;"",PEcopy!A490,"")</f>
        <v/>
      </c>
      <c r="G490" s="24" t="str">
        <f>IF(E490&lt;&gt;"",PEcopy!F490,"")</f>
        <v/>
      </c>
    </row>
    <row r="491" spans="1:7" ht="15.75" customHeight="1">
      <c r="A491" s="23" t="str">
        <f t="shared" si="22"/>
        <v/>
      </c>
      <c r="B491" t="str">
        <f t="shared" si="23"/>
        <v/>
      </c>
      <c r="C491" s="23" t="str">
        <f t="shared" si="24"/>
        <v/>
      </c>
      <c r="E491" s="24" t="str">
        <f>IF(NOT(ISBLANK(PEcopy!B491)),PEcopy!B491,"")</f>
        <v/>
      </c>
      <c r="F491" s="24" t="str">
        <f>IF(E491&lt;&gt;"",PEcopy!A491,"")</f>
        <v/>
      </c>
      <c r="G491" s="24" t="str">
        <f>IF(E491&lt;&gt;"",PEcopy!F491,"")</f>
        <v/>
      </c>
    </row>
    <row r="492" spans="1:7" ht="15.75" customHeight="1">
      <c r="A492" s="23" t="str">
        <f t="shared" si="22"/>
        <v/>
      </c>
      <c r="B492" t="str">
        <f t="shared" si="23"/>
        <v/>
      </c>
      <c r="C492" s="23" t="str">
        <f t="shared" si="24"/>
        <v/>
      </c>
      <c r="E492" s="24" t="str">
        <f>IF(NOT(ISBLANK(PEcopy!B492)),PEcopy!B492,"")</f>
        <v/>
      </c>
      <c r="F492" s="24" t="str">
        <f>IF(E492&lt;&gt;"",PEcopy!A492,"")</f>
        <v/>
      </c>
      <c r="G492" s="24" t="str">
        <f>IF(E492&lt;&gt;"",PEcopy!F492,"")</f>
        <v/>
      </c>
    </row>
    <row r="493" spans="1:7" ht="15.75" customHeight="1">
      <c r="A493" s="23" t="str">
        <f t="shared" si="22"/>
        <v/>
      </c>
      <c r="B493" t="str">
        <f t="shared" si="23"/>
        <v/>
      </c>
      <c r="C493" s="23" t="str">
        <f t="shared" si="24"/>
        <v/>
      </c>
      <c r="E493" s="24" t="str">
        <f>IF(NOT(ISBLANK(PEcopy!B493)),PEcopy!B493,"")</f>
        <v/>
      </c>
      <c r="F493" s="24" t="str">
        <f>IF(E493&lt;&gt;"",PEcopy!A493,"")</f>
        <v/>
      </c>
      <c r="G493" s="24" t="str">
        <f>IF(E493&lt;&gt;"",PEcopy!F493,"")</f>
        <v/>
      </c>
    </row>
    <row r="494" spans="1:7" ht="15.75" customHeight="1">
      <c r="A494" s="23" t="str">
        <f t="shared" si="22"/>
        <v/>
      </c>
      <c r="B494" t="str">
        <f t="shared" si="23"/>
        <v/>
      </c>
      <c r="C494" s="23" t="str">
        <f t="shared" si="24"/>
        <v/>
      </c>
      <c r="E494" s="24" t="str">
        <f>IF(NOT(ISBLANK(PEcopy!B494)),PEcopy!B494,"")</f>
        <v/>
      </c>
      <c r="F494" s="24" t="str">
        <f>IF(E494&lt;&gt;"",PEcopy!A494,"")</f>
        <v/>
      </c>
      <c r="G494" s="24" t="str">
        <f>IF(E494&lt;&gt;"",PEcopy!F494,"")</f>
        <v/>
      </c>
    </row>
    <row r="495" spans="1:7" ht="15.75" customHeight="1">
      <c r="A495" s="23" t="str">
        <f t="shared" si="22"/>
        <v/>
      </c>
      <c r="B495" t="str">
        <f t="shared" si="23"/>
        <v/>
      </c>
      <c r="C495" s="23" t="str">
        <f t="shared" si="24"/>
        <v/>
      </c>
      <c r="E495" s="24" t="str">
        <f>IF(NOT(ISBLANK(PEcopy!B495)),PEcopy!B495,"")</f>
        <v/>
      </c>
      <c r="F495" s="24" t="str">
        <f>IF(E495&lt;&gt;"",PEcopy!A495,"")</f>
        <v/>
      </c>
      <c r="G495" s="24" t="str">
        <f>IF(E495&lt;&gt;"",PEcopy!F495,"")</f>
        <v/>
      </c>
    </row>
    <row r="496" spans="1:7" ht="15.75" customHeight="1">
      <c r="A496" s="23" t="str">
        <f t="shared" si="22"/>
        <v/>
      </c>
      <c r="B496" t="str">
        <f t="shared" si="23"/>
        <v/>
      </c>
      <c r="C496" s="23" t="str">
        <f t="shared" si="24"/>
        <v/>
      </c>
      <c r="E496" s="24" t="str">
        <f>IF(NOT(ISBLANK(PEcopy!B496)),PEcopy!B496,"")</f>
        <v/>
      </c>
      <c r="F496" s="24" t="str">
        <f>IF(E496&lt;&gt;"",PEcopy!A496,"")</f>
        <v/>
      </c>
      <c r="G496" s="24" t="str">
        <f>IF(E496&lt;&gt;"",PEcopy!F496,"")</f>
        <v/>
      </c>
    </row>
    <row r="497" spans="1:7" ht="15.75" customHeight="1">
      <c r="A497" s="23" t="str">
        <f t="shared" si="22"/>
        <v/>
      </c>
      <c r="B497" t="str">
        <f t="shared" si="23"/>
        <v/>
      </c>
      <c r="C497" s="23" t="str">
        <f t="shared" si="24"/>
        <v/>
      </c>
      <c r="E497" s="24" t="str">
        <f>IF(NOT(ISBLANK(PEcopy!B497)),PEcopy!B497,"")</f>
        <v/>
      </c>
      <c r="F497" s="24" t="str">
        <f>IF(E497&lt;&gt;"",PEcopy!A497,"")</f>
        <v/>
      </c>
      <c r="G497" s="24" t="str">
        <f>IF(E497&lt;&gt;"",PEcopy!F497,"")</f>
        <v/>
      </c>
    </row>
    <row r="498" spans="1:7" ht="15.75" customHeight="1">
      <c r="A498" s="23" t="str">
        <f t="shared" si="22"/>
        <v/>
      </c>
      <c r="B498" t="str">
        <f t="shared" si="23"/>
        <v/>
      </c>
      <c r="C498" s="23" t="str">
        <f t="shared" si="24"/>
        <v/>
      </c>
      <c r="E498" s="24" t="str">
        <f>IF(NOT(ISBLANK(PEcopy!B498)),PEcopy!B498,"")</f>
        <v/>
      </c>
      <c r="F498" s="24" t="str">
        <f>IF(E498&lt;&gt;"",PEcopy!A498,"")</f>
        <v/>
      </c>
      <c r="G498" s="24" t="str">
        <f>IF(E498&lt;&gt;"",PEcopy!F498,"")</f>
        <v/>
      </c>
    </row>
    <row r="499" spans="1:7" ht="15.75" customHeight="1">
      <c r="A499" s="23" t="str">
        <f t="shared" si="22"/>
        <v/>
      </c>
      <c r="B499" t="str">
        <f t="shared" si="23"/>
        <v/>
      </c>
      <c r="C499" s="23" t="str">
        <f t="shared" si="24"/>
        <v/>
      </c>
      <c r="E499" s="24" t="str">
        <f>IF(NOT(ISBLANK(PEcopy!B499)),PEcopy!B499,"")</f>
        <v/>
      </c>
      <c r="F499" s="24" t="str">
        <f>IF(E499&lt;&gt;"",PEcopy!A499,"")</f>
        <v/>
      </c>
      <c r="G499" s="24" t="str">
        <f>IF(E499&lt;&gt;"",PEcopy!F499,"")</f>
        <v/>
      </c>
    </row>
    <row r="500" spans="1:7" ht="15.75" customHeight="1">
      <c r="A500" s="23" t="str">
        <f t="shared" si="22"/>
        <v/>
      </c>
      <c r="B500" t="str">
        <f t="shared" si="23"/>
        <v/>
      </c>
      <c r="C500" s="23" t="str">
        <f t="shared" si="24"/>
        <v/>
      </c>
      <c r="E500" s="24" t="str">
        <f>IF(NOT(ISBLANK(PEcopy!B500)),PEcopy!B500,"")</f>
        <v/>
      </c>
      <c r="F500" s="24" t="str">
        <f>IF(E500&lt;&gt;"",PEcopy!A500,"")</f>
        <v/>
      </c>
      <c r="G500" s="24" t="str">
        <f>IF(E500&lt;&gt;"",PEcopy!F500,"")</f>
        <v/>
      </c>
    </row>
    <row r="501" spans="1:7" ht="15.75" customHeight="1"/>
    <row r="502" spans="1:7" ht="15.75" customHeight="1"/>
    <row r="503" spans="1:7" ht="15.75" customHeight="1"/>
    <row r="504" spans="1:7" ht="15.75" customHeight="1"/>
    <row r="505" spans="1:7" ht="15.75" customHeight="1"/>
    <row r="506" spans="1:7" ht="15.75" customHeight="1"/>
    <row r="507" spans="1:7" ht="15.75" customHeight="1"/>
    <row r="508" spans="1:7" ht="15.75" customHeight="1"/>
    <row r="509" spans="1:7" ht="15.75" customHeight="1"/>
    <row r="510" spans="1:7" ht="15.75" customHeight="1"/>
    <row r="511" spans="1:7" ht="15.75" customHeight="1"/>
    <row r="512" spans="1:7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I1000"/>
  <sheetViews>
    <sheetView workbookViewId="0">
      <pane ySplit="1" topLeftCell="C69" activePane="bottomLeft" state="frozen"/>
      <selection pane="bottomLeft" activeCell="C69" sqref="C69"/>
      <selection activeCell="E2" sqref="E2"/>
    </sheetView>
  </sheetViews>
  <sheetFormatPr defaultColWidth="13.5" defaultRowHeight="15" customHeight="1"/>
  <cols>
    <col min="1" max="1" width="10.5" bestFit="1" customWidth="1"/>
    <col min="2" max="2" width="54" bestFit="1" customWidth="1"/>
    <col min="3" max="3" width="10.5" bestFit="1" customWidth="1"/>
    <col min="4" max="4" width="8.375" customWidth="1"/>
    <col min="5" max="5" width="10.5" bestFit="1" customWidth="1"/>
    <col min="6" max="6" width="56.5" bestFit="1" customWidth="1"/>
    <col min="7" max="7" width="10.5" bestFit="1" customWidth="1"/>
    <col min="8" max="26" width="8.375" customWidth="1"/>
  </cols>
  <sheetData>
    <row r="1" spans="1:9" ht="15.75" customHeight="1">
      <c r="A1" t="s">
        <v>124</v>
      </c>
      <c r="B1" t="s">
        <v>125</v>
      </c>
      <c r="C1" t="s">
        <v>126</v>
      </c>
      <c r="D1" s="5"/>
      <c r="E1" s="5" t="s">
        <v>127</v>
      </c>
      <c r="F1" s="5" t="s">
        <v>128</v>
      </c>
      <c r="G1" s="5" t="s">
        <v>129</v>
      </c>
    </row>
    <row r="2" spans="1:9" ht="15.75" customHeight="1">
      <c r="A2" s="23">
        <f>IF(E2&lt;&gt;"",DATEVALUE(LEFT(E2,10)),"")</f>
        <v>45857</v>
      </c>
      <c r="B2" t="str">
        <f t="shared" ref="B2" si="0">IF(LEN(F2)&gt;3,RIGHT(F2,LEN(F2)-3),"")</f>
        <v>Zomervakantie</v>
      </c>
      <c r="C2" s="23">
        <f>IF(E2&lt;&gt;"",DATEVALUE(LEFT(G2,10)),"")</f>
        <v>45327</v>
      </c>
      <c r="E2" s="24" t="str">
        <f>IF(NOT(ISBLANK(ALcopy!B2)),ALcopy!B2,"")</f>
        <v>2025-07-19T00:00:00.0000000</v>
      </c>
      <c r="F2" s="24" t="str">
        <f>IF(E2&lt;&gt;"",ALcopy!A2,"")</f>
        <v>AL Zomervakantie</v>
      </c>
      <c r="G2" s="24" t="str">
        <f>IF(E2&lt;&gt;"",ALcopy!F2,"")</f>
        <v>2024-02-05T11:37:41.145985+00:00</v>
      </c>
      <c r="H2" s="24"/>
      <c r="I2" s="24"/>
    </row>
    <row r="3" spans="1:9" ht="15.75" customHeight="1">
      <c r="A3" s="23">
        <f t="shared" ref="A3:A66" si="1">IF(E3&lt;&gt;"",DATEVALUE(LEFT(E3,10)),"")</f>
        <v>45901</v>
      </c>
      <c r="B3" t="str">
        <f t="shared" ref="B3:B66" si="2">IF(LEN(F3)&gt;3,RIGHT(F3,LEN(F3)-3),"")</f>
        <v>personeelsdag</v>
      </c>
      <c r="C3" s="23">
        <f t="shared" ref="C3:C66" si="3">IF(E3&lt;&gt;"",DATEVALUE(LEFT(G3,10)),"")</f>
        <v>45896</v>
      </c>
      <c r="E3" s="24" t="str">
        <f>IF(NOT(ISBLANK(ALcopy!B3)),ALcopy!B3,"")</f>
        <v>2025-09-01T00:00:00.0000000</v>
      </c>
      <c r="F3" s="24" t="str">
        <f>IF(E3&lt;&gt;"",ALcopy!A3,"")</f>
        <v>AL personeelsdag</v>
      </c>
      <c r="G3" s="24" t="str">
        <f>IF(E3&lt;&gt;"",ALcopy!F3,"")</f>
        <v>2025-08-27T18:07:21.8433833+00:00</v>
      </c>
    </row>
    <row r="4" spans="1:9" ht="15.75" customHeight="1">
      <c r="A4" s="23">
        <f t="shared" si="1"/>
        <v>45902</v>
      </c>
      <c r="B4" t="str">
        <f t="shared" si="2"/>
        <v>CGUweek1; fotograaf</v>
      </c>
      <c r="C4" s="23">
        <f t="shared" si="3"/>
        <v>45896</v>
      </c>
      <c r="E4" s="24" t="str">
        <f>IF(NOT(ISBLANK(ALcopy!B4)),ALcopy!B4,"")</f>
        <v>2025-09-02T00:00:00.0000000</v>
      </c>
      <c r="F4" s="24" t="str">
        <f>IF(E4&lt;&gt;"",ALcopy!A4,"")</f>
        <v>AL CGUweek1; fotograaf</v>
      </c>
      <c r="G4" s="24" t="str">
        <f>IF(E4&lt;&gt;"",ALcopy!F4,"")</f>
        <v>2025-08-27T18:07:21.664611+00:00</v>
      </c>
    </row>
    <row r="5" spans="1:9" ht="15.75" customHeight="1">
      <c r="A5" s="23">
        <f t="shared" si="1"/>
        <v>45904</v>
      </c>
      <c r="B5" t="str">
        <f t="shared" si="2"/>
        <v>ouderavond brugklas</v>
      </c>
      <c r="C5" s="23">
        <f t="shared" si="3"/>
        <v>45903</v>
      </c>
      <c r="E5" s="24" t="str">
        <f>IF(NOT(ISBLANK(ALcopy!B5)),ALcopy!B5,"")</f>
        <v>2025-09-04T00:00:00.0000000</v>
      </c>
      <c r="F5" s="24" t="str">
        <f>IF(E5&lt;&gt;"",ALcopy!A5,"")</f>
        <v>AL ouderavond brugklas</v>
      </c>
      <c r="G5" s="24" t="str">
        <f>IF(E5&lt;&gt;"",ALcopy!F5,"")</f>
        <v>2025-09-03T07:35:56.9435257+00:00</v>
      </c>
    </row>
    <row r="6" spans="1:9" ht="15.75" customHeight="1">
      <c r="A6" s="23">
        <f t="shared" si="1"/>
        <v>45905</v>
      </c>
      <c r="B6" t="str">
        <f t="shared" si="2"/>
        <v>start lessen Lacadeia middag</v>
      </c>
      <c r="C6" s="23">
        <f t="shared" si="3"/>
        <v>45896</v>
      </c>
      <c r="E6" s="24" t="str">
        <f>IF(NOT(ISBLANK(ALcopy!B6)),ALcopy!B6,"")</f>
        <v>2025-09-05T00:00:00.0000000</v>
      </c>
      <c r="F6" s="24" t="str">
        <f>IF(E6&lt;&gt;"",ALcopy!A6,"")</f>
        <v>AL start lessen Lacadeia middag</v>
      </c>
      <c r="G6" s="24" t="str">
        <f>IF(E6&lt;&gt;"",ALcopy!F6,"")</f>
        <v>2025-08-27T18:07:21.4531052+00:00</v>
      </c>
    </row>
    <row r="7" spans="1:9" ht="15.75" customHeight="1">
      <c r="A7" s="23">
        <f t="shared" si="1"/>
        <v>45929</v>
      </c>
      <c r="B7" t="str">
        <f t="shared" si="2"/>
        <v>ouderavond G3 (19 u) en G6 (20 u)</v>
      </c>
      <c r="C7" s="23">
        <f t="shared" si="3"/>
        <v>45896</v>
      </c>
      <c r="E7" s="24" t="str">
        <f>IF(NOT(ISBLANK(ALcopy!B7)),ALcopy!B7,"")</f>
        <v>2025-09-29T00:00:00.0000000</v>
      </c>
      <c r="F7" s="24" t="str">
        <f>IF(E7&lt;&gt;"",ALcopy!A7,"")</f>
        <v>AL ouderavond G3 (19 u) en G6 (20 u)</v>
      </c>
      <c r="G7" s="24" t="str">
        <f>IF(E7&lt;&gt;"",ALcopy!F7,"")</f>
        <v>2025-08-27T18:07:21.3381744+00:00</v>
      </c>
    </row>
    <row r="8" spans="1:9" ht="15.75" customHeight="1">
      <c r="A8" s="23">
        <f t="shared" si="1"/>
        <v>45931</v>
      </c>
      <c r="B8" t="str">
        <f t="shared" si="2"/>
        <v>ouderavond G1 (19 u) en G4 (20 u)</v>
      </c>
      <c r="C8" s="23">
        <f t="shared" si="3"/>
        <v>45896</v>
      </c>
      <c r="E8" s="24" t="str">
        <f>IF(NOT(ISBLANK(ALcopy!B8)),ALcopy!B8,"")</f>
        <v>2025-10-01T00:00:00.0000000</v>
      </c>
      <c r="F8" s="24" t="str">
        <f>IF(E8&lt;&gt;"",ALcopy!A8,"")</f>
        <v>AL ouderavond G1 (19 u) en G4 (20 u)</v>
      </c>
      <c r="G8" s="24" t="str">
        <f>IF(E8&lt;&gt;"",ALcopy!F8,"")</f>
        <v>2025-08-27T18:07:21.1969836+00:00</v>
      </c>
    </row>
    <row r="9" spans="1:9" ht="15.75" customHeight="1">
      <c r="A9" s="23">
        <f t="shared" si="1"/>
        <v>45939</v>
      </c>
      <c r="B9" t="str">
        <f t="shared" si="2"/>
        <v>ouderavond G2  (19 u) en G5 (20 u)</v>
      </c>
      <c r="C9" s="23">
        <f t="shared" si="3"/>
        <v>45896</v>
      </c>
      <c r="E9" s="24" t="str">
        <f>IF(NOT(ISBLANK(ALcopy!B9)),ALcopy!B9,"")</f>
        <v>2025-10-09T00:00:00.0000000</v>
      </c>
      <c r="F9" s="24" t="str">
        <f>IF(E9&lt;&gt;"",ALcopy!A9,"")</f>
        <v>AL ouderavond G2  (19 u) en G5 (20 u)</v>
      </c>
      <c r="G9" s="24" t="str">
        <f>IF(E9&lt;&gt;"",ALcopy!F9,"")</f>
        <v>2025-08-27T18:07:21.0414903+00:00</v>
      </c>
    </row>
    <row r="10" spans="1:9" ht="15.75" customHeight="1">
      <c r="A10" s="23">
        <f t="shared" si="1"/>
        <v>45939</v>
      </c>
      <c r="B10" t="str">
        <f t="shared" si="2"/>
        <v>dag van de Duitse taal</v>
      </c>
      <c r="C10" s="23">
        <f t="shared" si="3"/>
        <v>45937</v>
      </c>
      <c r="E10" s="24" t="str">
        <f>IF(NOT(ISBLANK(ALcopy!B10)),ALcopy!B10,"")</f>
        <v>2025-10-09T00:00:00.0000000</v>
      </c>
      <c r="F10" s="24" t="str">
        <f>IF(E10&lt;&gt;"",ALcopy!A10,"")</f>
        <v>AL dag van de Duitse taal</v>
      </c>
      <c r="G10" s="24" t="str">
        <f>IF(E10&lt;&gt;"",ALcopy!F10,"")</f>
        <v>2025-10-07T12:45:47.4858907+00:00</v>
      </c>
    </row>
    <row r="11" spans="1:9" ht="15.75" customHeight="1">
      <c r="A11" s="23">
        <f t="shared" si="1"/>
        <v>45947</v>
      </c>
      <c r="B11" t="str">
        <f t="shared" si="2"/>
        <v>schoolfeest</v>
      </c>
      <c r="C11" s="23">
        <f t="shared" si="3"/>
        <v>45915</v>
      </c>
      <c r="E11" s="24" t="str">
        <f>IF(NOT(ISBLANK(ALcopy!B11)),ALcopy!B11,"")</f>
        <v>2025-10-17T00:00:00.0000000</v>
      </c>
      <c r="F11" s="24" t="str">
        <f>IF(E11&lt;&gt;"",ALcopy!A11,"")</f>
        <v>AL schoolfeest</v>
      </c>
      <c r="G11" s="24" t="str">
        <f>IF(E11&lt;&gt;"",ALcopy!F11,"")</f>
        <v>2025-09-15T08:37:41.3172262+00:00</v>
      </c>
    </row>
    <row r="12" spans="1:9" ht="15.75" customHeight="1">
      <c r="A12" s="23">
        <f t="shared" si="1"/>
        <v>45948</v>
      </c>
      <c r="B12" t="str">
        <f t="shared" si="2"/>
        <v>Herfstvakantie</v>
      </c>
      <c r="C12" s="23">
        <f t="shared" si="3"/>
        <v>45617</v>
      </c>
      <c r="E12" s="24" t="str">
        <f>IF(NOT(ISBLANK(ALcopy!B12)),ALcopy!B12,"")</f>
        <v>2025-10-18T00:00:00.0000000</v>
      </c>
      <c r="F12" s="24" t="str">
        <f>IF(E12&lt;&gt;"",ALcopy!A12,"")</f>
        <v>AL Herfstvakantie</v>
      </c>
      <c r="G12" s="24" t="str">
        <f>IF(E12&lt;&gt;"",ALcopy!F12,"")</f>
        <v>2024-11-21T09:41:59.7867508+00:00</v>
      </c>
    </row>
    <row r="13" spans="1:9" ht="15.75" customHeight="1">
      <c r="A13" s="23">
        <f t="shared" si="1"/>
        <v>45971</v>
      </c>
      <c r="B13" t="str">
        <f t="shared" si="2"/>
        <v>periode 2</v>
      </c>
      <c r="C13" s="23">
        <f t="shared" si="3"/>
        <v>45896</v>
      </c>
      <c r="E13" s="24" t="str">
        <f>IF(NOT(ISBLANK(ALcopy!B13)),ALcopy!B13,"")</f>
        <v>2025-11-10T00:00:00.0000000</v>
      </c>
      <c r="F13" s="24" t="str">
        <f>IF(E13&lt;&gt;"",ALcopy!A13,"")</f>
        <v>AL periode 2</v>
      </c>
      <c r="G13" s="24" t="str">
        <f>IF(E13&lt;&gt;"",ALcopy!F13,"")</f>
        <v>2025-08-27T18:07:20.7576436+00:00</v>
      </c>
    </row>
    <row r="14" spans="1:9" ht="15.75" customHeight="1">
      <c r="A14" s="23">
        <f t="shared" si="1"/>
        <v>45974</v>
      </c>
      <c r="B14" t="str">
        <f t="shared" si="2"/>
        <v>ouderklankbord</v>
      </c>
      <c r="C14" s="23">
        <f t="shared" si="3"/>
        <v>45958</v>
      </c>
      <c r="E14" s="24" t="str">
        <f>IF(NOT(ISBLANK(ALcopy!B14)),ALcopy!B14,"")</f>
        <v>2025-11-13T00:00:00.0000000</v>
      </c>
      <c r="F14" s="24" t="str">
        <f>IF(E14&lt;&gt;"",ALcopy!A14,"")</f>
        <v>AL ouderklankbord</v>
      </c>
      <c r="G14" s="24" t="str">
        <f>IF(E14&lt;&gt;"",ALcopy!F14,"")</f>
        <v>2025-10-28T13:35:32.8155044+00:00</v>
      </c>
    </row>
    <row r="15" spans="1:9" ht="15.75" customHeight="1">
      <c r="A15" s="23">
        <f t="shared" si="1"/>
        <v>45975</v>
      </c>
      <c r="B15" t="str">
        <f t="shared" si="2"/>
        <v>ARS Café</v>
      </c>
      <c r="C15" s="23">
        <f t="shared" si="3"/>
        <v>45936</v>
      </c>
      <c r="E15" s="24" t="str">
        <f>IF(NOT(ISBLANK(ALcopy!B15)),ALcopy!B15,"")</f>
        <v>2025-11-14T00:00:00.0000000</v>
      </c>
      <c r="F15" s="24" t="str">
        <f>IF(E15&lt;&gt;"",ALcopy!A15,"")</f>
        <v>AL ARS Café</v>
      </c>
      <c r="G15" s="24" t="str">
        <f>IF(E15&lt;&gt;"",ALcopy!F15,"")</f>
        <v>2025-10-06T14:04:12.2353479+00:00</v>
      </c>
    </row>
    <row r="16" spans="1:9" ht="15.75" customHeight="1">
      <c r="A16" s="23">
        <f t="shared" si="1"/>
        <v>45985</v>
      </c>
      <c r="B16" t="str">
        <f t="shared" si="2"/>
        <v>ouderavond informatie profielkeuze</v>
      </c>
      <c r="C16" s="23">
        <f t="shared" si="3"/>
        <v>45896</v>
      </c>
      <c r="E16" s="24" t="str">
        <f>IF(NOT(ISBLANK(ALcopy!B16)),ALcopy!B16,"")</f>
        <v>2025-11-24T00:00:00.0000000</v>
      </c>
      <c r="F16" s="24" t="str">
        <f>IF(E16&lt;&gt;"",ALcopy!A16,"")</f>
        <v>AL ouderavond informatie profielkeuze</v>
      </c>
      <c r="G16" s="24" t="str">
        <f>IF(E16&lt;&gt;"",ALcopy!F16,"")</f>
        <v>2025-08-27T18:07:20.2293119+00:00</v>
      </c>
    </row>
    <row r="17" spans="1:7" ht="15.75" customHeight="1">
      <c r="A17" s="23">
        <f t="shared" si="1"/>
        <v>45987</v>
      </c>
      <c r="B17" t="str">
        <f t="shared" si="2"/>
        <v>Studium Gymasiale</v>
      </c>
      <c r="C17" s="23">
        <f t="shared" si="3"/>
        <v>45896</v>
      </c>
      <c r="E17" s="24" t="str">
        <f>IF(NOT(ISBLANK(ALcopy!B17)),ALcopy!B17,"")</f>
        <v>2025-11-26T00:00:00.0000000</v>
      </c>
      <c r="F17" s="24" t="str">
        <f>IF(E17&lt;&gt;"",ALcopy!A17,"")</f>
        <v>AL Studium Gymasiale</v>
      </c>
      <c r="G17" s="24" t="str">
        <f>IF(E17&lt;&gt;"",ALcopy!F17,"")</f>
        <v>2025-08-27T18:07:20.0658344+00:00</v>
      </c>
    </row>
    <row r="18" spans="1:7" ht="15.75" customHeight="1">
      <c r="A18" s="23">
        <f t="shared" si="1"/>
        <v>45992</v>
      </c>
      <c r="B18" t="str">
        <f t="shared" si="2"/>
        <v>start cijferperiode 2</v>
      </c>
      <c r="C18" s="23">
        <f t="shared" si="3"/>
        <v>45896</v>
      </c>
      <c r="E18" s="24" t="str">
        <f>IF(NOT(ISBLANK(ALcopy!B18)),ALcopy!B18,"")</f>
        <v>2025-12-01T00:00:00.0000000</v>
      </c>
      <c r="F18" s="24" t="str">
        <f>IF(E18&lt;&gt;"",ALcopy!A18,"")</f>
        <v>AL start cijferperiode 2</v>
      </c>
      <c r="G18" s="24" t="str">
        <f>IF(E18&lt;&gt;"",ALcopy!F18,"")</f>
        <v>2025-08-27T18:07:19.9136959+00:00</v>
      </c>
    </row>
    <row r="19" spans="1:7" ht="15.75" customHeight="1">
      <c r="A19" s="23">
        <f t="shared" si="1"/>
        <v>45995</v>
      </c>
      <c r="B19" t="str">
        <f t="shared" si="2"/>
        <v>30'-rooster/docentenspreekmomenten 13.30-16.30</v>
      </c>
      <c r="C19" s="23">
        <f t="shared" si="3"/>
        <v>45896</v>
      </c>
      <c r="E19" s="24" t="str">
        <f>IF(NOT(ISBLANK(ALcopy!B19)),ALcopy!B19,"")</f>
        <v>2025-12-04T00:00:00.0000000</v>
      </c>
      <c r="F19" s="24" t="str">
        <f>IF(E19&lt;&gt;"",ALcopy!A19,"")</f>
        <v>AL 30'-rooster/docentenspreekmomenten 13.30-16.30</v>
      </c>
      <c r="G19" s="24" t="str">
        <f>IF(E19&lt;&gt;"",ALcopy!F19,"")</f>
        <v>2025-08-27T18:07:19.6772734+00:00</v>
      </c>
    </row>
    <row r="20" spans="1:7" ht="15.75" customHeight="1">
      <c r="A20" s="23">
        <f t="shared" si="1"/>
        <v>45995</v>
      </c>
      <c r="B20" t="str">
        <f t="shared" si="2"/>
        <v>info-avond ouders groep 8</v>
      </c>
      <c r="C20" s="23">
        <f t="shared" si="3"/>
        <v>45915</v>
      </c>
      <c r="E20" s="24" t="str">
        <f>IF(NOT(ISBLANK(ALcopy!B20)),ALcopy!B20,"")</f>
        <v>2025-12-04T00:00:00.0000000</v>
      </c>
      <c r="F20" s="24" t="str">
        <f>IF(E20&lt;&gt;"",ALcopy!A20,"")</f>
        <v>AL info-avond ouders groep 8</v>
      </c>
      <c r="G20" s="24" t="str">
        <f>IF(E20&lt;&gt;"",ALcopy!F20,"")</f>
        <v>2025-09-15T08:30:50.2428986+00:00</v>
      </c>
    </row>
    <row r="21" spans="1:7" ht="15.75" customHeight="1">
      <c r="A21" s="23">
        <f t="shared" si="1"/>
        <v>45999</v>
      </c>
      <c r="B21" t="str">
        <f t="shared" si="2"/>
        <v>30'-rooster/docentenspreekmomenten 14-17 uur</v>
      </c>
      <c r="C21" s="23">
        <f t="shared" si="3"/>
        <v>45896</v>
      </c>
      <c r="E21" s="24" t="str">
        <f>IF(NOT(ISBLANK(ALcopy!B21)),ALcopy!B21,"")</f>
        <v>2025-12-08T00:00:00.0000000</v>
      </c>
      <c r="F21" s="24" t="str">
        <f>IF(E21&lt;&gt;"",ALcopy!A21,"")</f>
        <v>AL 30'-rooster/docentenspreekmomenten 14-17 uur</v>
      </c>
      <c r="G21" s="24" t="str">
        <f>IF(E21&lt;&gt;"",ALcopy!F21,"")</f>
        <v>2025-08-27T18:07:19.5402725+00:00</v>
      </c>
    </row>
    <row r="22" spans="1:7" ht="15.75" customHeight="1">
      <c r="A22" s="23">
        <f t="shared" si="1"/>
        <v>46003</v>
      </c>
      <c r="B22" t="str">
        <f t="shared" si="2"/>
        <v>Paarse Vrijdag</v>
      </c>
      <c r="C22" s="23">
        <f t="shared" si="3"/>
        <v>45896</v>
      </c>
      <c r="E22" s="24" t="str">
        <f>IF(NOT(ISBLANK(ALcopy!B22)),ALcopy!B22,"")</f>
        <v>2025-12-12T00:00:00.0000000</v>
      </c>
      <c r="F22" s="24" t="str">
        <f>IF(E22&lt;&gt;"",ALcopy!A22,"")</f>
        <v>AL Paarse Vrijdag</v>
      </c>
      <c r="G22" s="24" t="str">
        <f>IF(E22&lt;&gt;"",ALcopy!F22,"")</f>
        <v>2025-08-27T18:07:16.4942433+00:00</v>
      </c>
    </row>
    <row r="23" spans="1:7" ht="15.75" customHeight="1">
      <c r="A23" s="23">
        <f t="shared" si="1"/>
        <v>46009</v>
      </c>
      <c r="B23" t="str">
        <f t="shared" si="2"/>
        <v>stgala</v>
      </c>
      <c r="C23" s="23">
        <f t="shared" si="3"/>
        <v>45929</v>
      </c>
      <c r="E23" s="24" t="str">
        <f>IF(NOT(ISBLANK(ALcopy!B23)),ALcopy!B23,"")</f>
        <v>2025-12-18T00:00:00.0000000</v>
      </c>
      <c r="F23" s="24" t="str">
        <f>IF(E23&lt;&gt;"",ALcopy!A23,"")</f>
        <v>Kerstgala</v>
      </c>
      <c r="G23" s="24" t="str">
        <f>IF(E23&lt;&gt;"",ALcopy!F23,"")</f>
        <v>2025-09-29T08:39:28.0995907+00:00</v>
      </c>
    </row>
    <row r="24" spans="1:7" ht="15.75" customHeight="1">
      <c r="A24" s="23">
        <f t="shared" si="1"/>
        <v>46010</v>
      </c>
      <c r="B24" t="str">
        <f t="shared" si="2"/>
        <v xml:space="preserve">kerstviering         </v>
      </c>
      <c r="C24" s="23">
        <f t="shared" si="3"/>
        <v>45896</v>
      </c>
      <c r="E24" s="24" t="str">
        <f>IF(NOT(ISBLANK(ALcopy!B24)),ALcopy!B24,"")</f>
        <v>2025-12-19T00:00:00.0000000</v>
      </c>
      <c r="F24" s="24" t="str">
        <f>IF(E24&lt;&gt;"",ALcopy!A24,"")</f>
        <v xml:space="preserve">AL kerstviering         </v>
      </c>
      <c r="G24" s="24" t="str">
        <f>IF(E24&lt;&gt;"",ALcopy!F24,"")</f>
        <v>2025-08-27T18:07:19.3230692+00:00</v>
      </c>
    </row>
    <row r="25" spans="1:7" ht="15.75" customHeight="1">
      <c r="A25" s="23">
        <f t="shared" si="1"/>
        <v>46016</v>
      </c>
      <c r="B25" t="str">
        <f t="shared" si="2"/>
        <v>1e kerstdag</v>
      </c>
      <c r="C25" s="23">
        <f t="shared" si="3"/>
        <v>45896</v>
      </c>
      <c r="E25" s="24" t="str">
        <f>IF(NOT(ISBLANK(ALcopy!B25)),ALcopy!B25,"")</f>
        <v>2025-12-25T00:00:00.0000000</v>
      </c>
      <c r="F25" s="24" t="str">
        <f>IF(E25&lt;&gt;"",ALcopy!A25,"")</f>
        <v>AL 1e kerstdag</v>
      </c>
      <c r="G25" s="24" t="str">
        <f>IF(E25&lt;&gt;"",ALcopy!F25,"")</f>
        <v>2025-08-27T18:07:19.1362287+00:00</v>
      </c>
    </row>
    <row r="26" spans="1:7" ht="15.75" customHeight="1">
      <c r="A26" s="23">
        <f t="shared" si="1"/>
        <v>46017</v>
      </c>
      <c r="B26" t="str">
        <f t="shared" si="2"/>
        <v>2e kerstdag</v>
      </c>
      <c r="C26" s="23">
        <f t="shared" si="3"/>
        <v>45896</v>
      </c>
      <c r="E26" s="24" t="str">
        <f>IF(NOT(ISBLANK(ALcopy!B26)),ALcopy!B26,"")</f>
        <v>2025-12-26T00:00:00.0000000</v>
      </c>
      <c r="F26" s="24" t="str">
        <f>IF(E26&lt;&gt;"",ALcopy!A26,"")</f>
        <v>AL 2e kerstdag</v>
      </c>
      <c r="G26" s="24" t="str">
        <f>IF(E26&lt;&gt;"",ALcopy!F26,"")</f>
        <v>2025-08-27T18:07:19.005814+00:00</v>
      </c>
    </row>
    <row r="27" spans="1:7" ht="15.75" customHeight="1">
      <c r="A27" s="23">
        <f t="shared" si="1"/>
        <v>46022</v>
      </c>
      <c r="B27" t="str">
        <f t="shared" si="2"/>
        <v>ouderjaarsdag</v>
      </c>
      <c r="C27" s="23">
        <f t="shared" si="3"/>
        <v>45896</v>
      </c>
      <c r="E27" s="24" t="str">
        <f>IF(NOT(ISBLANK(ALcopy!B27)),ALcopy!B27,"")</f>
        <v>2025-12-31T00:00:00.0000000</v>
      </c>
      <c r="F27" s="24" t="str">
        <f>IF(E27&lt;&gt;"",ALcopy!A27,"")</f>
        <v>AL ouderjaarsdag</v>
      </c>
      <c r="G27" s="24" t="str">
        <f>IF(E27&lt;&gt;"",ALcopy!F27,"")</f>
        <v>2025-08-27T18:07:18.841709+00:00</v>
      </c>
    </row>
    <row r="28" spans="1:7" ht="15.75" customHeight="1">
      <c r="A28" s="23">
        <f t="shared" si="1"/>
        <v>46023</v>
      </c>
      <c r="B28" t="str">
        <f t="shared" si="2"/>
        <v>Nieuwjaarsdag</v>
      </c>
      <c r="C28" s="23">
        <f t="shared" si="3"/>
        <v>45896</v>
      </c>
      <c r="E28" s="24" t="str">
        <f>IF(NOT(ISBLANK(ALcopy!B28)),ALcopy!B28,"")</f>
        <v>2026-01-01T00:00:00.0000000</v>
      </c>
      <c r="F28" s="24" t="str">
        <f>IF(E28&lt;&gt;"",ALcopy!A28,"")</f>
        <v>AL Nieuwjaarsdag</v>
      </c>
      <c r="G28" s="24" t="str">
        <f>IF(E28&lt;&gt;"",ALcopy!F28,"")</f>
        <v>2025-08-27T18:07:18.6765775+00:00</v>
      </c>
    </row>
    <row r="29" spans="1:7" ht="15.75" customHeight="1">
      <c r="A29" s="23">
        <f t="shared" si="1"/>
        <v>46011</v>
      </c>
      <c r="B29" t="str">
        <f t="shared" si="2"/>
        <v>Kerstvakantie</v>
      </c>
      <c r="C29" s="23">
        <f t="shared" si="3"/>
        <v>45617</v>
      </c>
      <c r="E29" s="24" t="str">
        <f>IF(NOT(ISBLANK(ALcopy!B29)),ALcopy!B29,"")</f>
        <v>2025-12-20T00:00:00.0000000</v>
      </c>
      <c r="F29" s="24" t="str">
        <f>IF(E29&lt;&gt;"",ALcopy!A29,"")</f>
        <v>AL Kerstvakantie</v>
      </c>
      <c r="G29" s="24" t="str">
        <f>IF(E29&lt;&gt;"",ALcopy!F29,"")</f>
        <v>2024-11-21T09:41:59.4756574+00:00</v>
      </c>
    </row>
    <row r="30" spans="1:7" ht="15.75" customHeight="1">
      <c r="A30" s="23">
        <f t="shared" si="1"/>
        <v>46044</v>
      </c>
      <c r="B30" t="str">
        <f t="shared" si="2"/>
        <v>Open Dag: 16:00-21:00 uur</v>
      </c>
      <c r="C30" s="23">
        <f t="shared" si="3"/>
        <v>45896</v>
      </c>
      <c r="E30" s="24" t="str">
        <f>IF(NOT(ISBLANK(ALcopy!B30)),ALcopy!B30,"")</f>
        <v>2026-01-22T00:00:00.0000000</v>
      </c>
      <c r="F30" s="24" t="str">
        <f>IF(E30&lt;&gt;"",ALcopy!A30,"")</f>
        <v>AL Open Dag: 16:00-21:00 uur</v>
      </c>
      <c r="G30" s="24" t="str">
        <f>IF(E30&lt;&gt;"",ALcopy!F30,"")</f>
        <v>2025-08-27T18:07:18.4738592+00:00</v>
      </c>
    </row>
    <row r="31" spans="1:7" ht="15.75" customHeight="1">
      <c r="A31" s="23">
        <f t="shared" si="1"/>
        <v>46044</v>
      </c>
      <c r="B31" t="str">
        <f t="shared" si="2"/>
        <v>verkort lesrooster (30 minuten)</v>
      </c>
      <c r="C31" s="23">
        <f t="shared" si="3"/>
        <v>45999</v>
      </c>
      <c r="E31" s="24" t="str">
        <f>IF(NOT(ISBLANK(ALcopy!B31)),ALcopy!B31,"")</f>
        <v>2026-01-22T00:00:00.0000000</v>
      </c>
      <c r="F31" s="24" t="str">
        <f>IF(E31&lt;&gt;"",ALcopy!A31,"")</f>
        <v>AL verkort lesrooster (30 minuten)</v>
      </c>
      <c r="G31" s="24" t="str">
        <f>IF(E31&lt;&gt;"",ALcopy!F31,"")</f>
        <v>2025-12-08T12:25:24.4023621+00:00</v>
      </c>
    </row>
    <row r="32" spans="1:7" ht="15.75" customHeight="1">
      <c r="A32" s="23">
        <f t="shared" si="1"/>
        <v>46048</v>
      </c>
      <c r="B32" t="str">
        <f t="shared" si="2"/>
        <v>periode 3</v>
      </c>
      <c r="C32" s="23">
        <f t="shared" si="3"/>
        <v>45896</v>
      </c>
      <c r="E32" s="24" t="str">
        <f>IF(NOT(ISBLANK(ALcopy!B32)),ALcopy!B32,"")</f>
        <v>2026-01-26T00:00:00.0000000</v>
      </c>
      <c r="F32" s="24" t="str">
        <f>IF(E32&lt;&gt;"",ALcopy!A32,"")</f>
        <v>AL periode 3</v>
      </c>
      <c r="G32" s="24" t="str">
        <f>IF(E32&lt;&gt;"",ALcopy!F32,"")</f>
        <v>2025-08-27T18:07:18.2913313+00:00</v>
      </c>
    </row>
    <row r="33" spans="1:7" ht="15.75" customHeight="1">
      <c r="A33" s="23">
        <f t="shared" si="1"/>
        <v>46053</v>
      </c>
      <c r="B33" t="str">
        <f t="shared" si="2"/>
        <v>schaaktoernooi SHZG</v>
      </c>
      <c r="C33" s="23">
        <f t="shared" si="3"/>
        <v>45987</v>
      </c>
      <c r="E33" s="24" t="str">
        <f>IF(NOT(ISBLANK(ALcopy!B33)),ALcopy!B33,"")</f>
        <v>2026-01-31T00:00:00.0000000</v>
      </c>
      <c r="F33" s="24" t="str">
        <f>IF(E33&lt;&gt;"",ALcopy!A33,"")</f>
        <v>AL schaaktoernooi SHZG</v>
      </c>
      <c r="G33" s="24" t="str">
        <f>IF(E33&lt;&gt;"",ALcopy!F33,"")</f>
        <v>2025-11-26T10:26:00.8868289+00:00</v>
      </c>
    </row>
    <row r="34" spans="1:7" ht="15.75" customHeight="1">
      <c r="A34" s="23">
        <f t="shared" si="1"/>
        <v>46071</v>
      </c>
      <c r="B34" t="str">
        <f t="shared" si="2"/>
        <v>start Ramadan</v>
      </c>
      <c r="C34" s="23">
        <f t="shared" si="3"/>
        <v>45896</v>
      </c>
      <c r="E34" s="24" t="str">
        <f>IF(NOT(ISBLANK(ALcopy!B34)),ALcopy!B34,"")</f>
        <v>2026-02-18T00:00:00.0000000</v>
      </c>
      <c r="F34" s="24" t="str">
        <f>IF(E34&lt;&gt;"",ALcopy!A34,"")</f>
        <v>AL start Ramadan</v>
      </c>
      <c r="G34" s="24" t="str">
        <f>IF(E34&lt;&gt;"",ALcopy!F34,"")</f>
        <v>2025-08-27T18:07:18.0977492+00:00</v>
      </c>
    </row>
    <row r="35" spans="1:7" ht="15.75" customHeight="1">
      <c r="A35" s="23">
        <f t="shared" si="1"/>
        <v>46067</v>
      </c>
      <c r="B35" t="str">
        <f t="shared" si="2"/>
        <v>voorjaarsvakantie</v>
      </c>
      <c r="C35" s="23">
        <f t="shared" si="3"/>
        <v>45617</v>
      </c>
      <c r="E35" s="24" t="str">
        <f>IF(NOT(ISBLANK(ALcopy!B35)),ALcopy!B35,"")</f>
        <v>2026-02-14T00:00:00.0000000</v>
      </c>
      <c r="F35" s="24" t="str">
        <f>IF(E35&lt;&gt;"",ALcopy!A35,"")</f>
        <v>AL voorjaarsvakantie</v>
      </c>
      <c r="G35" s="24" t="str">
        <f>IF(E35&lt;&gt;"",ALcopy!F35,"")</f>
        <v>2024-11-21T09:41:58.7602066+00:00</v>
      </c>
    </row>
    <row r="36" spans="1:7" ht="15.75" customHeight="1">
      <c r="A36" s="23">
        <f t="shared" si="1"/>
        <v>46076</v>
      </c>
      <c r="B36" t="str">
        <f t="shared" si="2"/>
        <v>medewerkersdag Willibrord</v>
      </c>
      <c r="C36" s="23">
        <f t="shared" si="3"/>
        <v>45896</v>
      </c>
      <c r="E36" s="24" t="str">
        <f>IF(NOT(ISBLANK(ALcopy!B36)),ALcopy!B36,"")</f>
        <v>2026-02-23T00:00:00.0000000</v>
      </c>
      <c r="F36" s="24" t="str">
        <f>IF(E36&lt;&gt;"",ALcopy!A36,"")</f>
        <v>AL medewerkersdag Willibrord</v>
      </c>
      <c r="G36" s="24" t="str">
        <f>IF(E36&lt;&gt;"",ALcopy!F36,"")</f>
        <v>2025-08-27T18:07:17.9337474+00:00</v>
      </c>
    </row>
    <row r="37" spans="1:7" ht="15.75" customHeight="1">
      <c r="A37" s="23">
        <f t="shared" si="1"/>
        <v>46077</v>
      </c>
      <c r="B37" t="str">
        <f t="shared" si="2"/>
        <v>CGUweek2</v>
      </c>
      <c r="C37" s="23">
        <f t="shared" si="3"/>
        <v>45896</v>
      </c>
      <c r="E37" s="24" t="str">
        <f>IF(NOT(ISBLANK(ALcopy!B37)),ALcopy!B37,"")</f>
        <v>2026-02-24T00:00:00.0000000</v>
      </c>
      <c r="F37" s="24" t="str">
        <f>IF(E37&lt;&gt;"",ALcopy!A37,"")</f>
        <v>AL CGUweek2</v>
      </c>
      <c r="G37" s="24" t="str">
        <f>IF(E37&lt;&gt;"",ALcopy!F37,"")</f>
        <v>2025-08-27T18:07:17.7787754+00:00</v>
      </c>
    </row>
    <row r="38" spans="1:7" ht="15.75" customHeight="1">
      <c r="A38" s="23">
        <f t="shared" si="1"/>
        <v>46078</v>
      </c>
      <c r="B38" t="str">
        <f t="shared" si="2"/>
        <v>Open Lesmiddag 13:30-16:00 uur; CGUweek2</v>
      </c>
      <c r="C38" s="23">
        <f t="shared" si="3"/>
        <v>45896</v>
      </c>
      <c r="E38" s="24" t="str">
        <f>IF(NOT(ISBLANK(ALcopy!B38)),ALcopy!B38,"")</f>
        <v>2026-02-25T00:00:00.0000000</v>
      </c>
      <c r="F38" s="24" t="str">
        <f>IF(E38&lt;&gt;"",ALcopy!A38,"")</f>
        <v>AL Open Lesmiddag 13:30-16:00 uur; CGUweek2</v>
      </c>
      <c r="G38" s="24" t="str">
        <f>IF(E38&lt;&gt;"",ALcopy!F38,"")</f>
        <v>2025-08-27T18:07:17.6424211+00:00</v>
      </c>
    </row>
    <row r="39" spans="1:7" ht="15.75" customHeight="1">
      <c r="A39" s="23">
        <f t="shared" si="1"/>
        <v>46079</v>
      </c>
      <c r="B39" t="str">
        <f t="shared" si="2"/>
        <v>CGUweek2</v>
      </c>
      <c r="C39" s="23">
        <f t="shared" si="3"/>
        <v>45896</v>
      </c>
      <c r="E39" s="24" t="str">
        <f>IF(NOT(ISBLANK(ALcopy!B39)),ALcopy!B39,"")</f>
        <v>2026-02-26T00:00:00.0000000</v>
      </c>
      <c r="F39" s="24" t="str">
        <f>IF(E39&lt;&gt;"",ALcopy!A39,"")</f>
        <v>AL CGUweek2</v>
      </c>
      <c r="G39" s="24" t="str">
        <f>IF(E39&lt;&gt;"",ALcopy!F39,"")</f>
        <v>2025-08-27T18:07:17.4610826+00:00</v>
      </c>
    </row>
    <row r="40" spans="1:7" ht="15.75" customHeight="1">
      <c r="A40" s="23">
        <f t="shared" si="1"/>
        <v>46080</v>
      </c>
      <c r="B40" t="str">
        <f t="shared" si="2"/>
        <v>CGUweek2</v>
      </c>
      <c r="C40" s="23">
        <f t="shared" si="3"/>
        <v>45896</v>
      </c>
      <c r="E40" s="24" t="str">
        <f>IF(NOT(ISBLANK(ALcopy!B40)),ALcopy!B40,"")</f>
        <v>2026-02-27T00:00:00.0000000</v>
      </c>
      <c r="F40" s="24" t="str">
        <f>IF(E40&lt;&gt;"",ALcopy!A40,"")</f>
        <v>AL CGUweek2</v>
      </c>
      <c r="G40" s="24" t="str">
        <f>IF(E40&lt;&gt;"",ALcopy!F40,"")</f>
        <v>2025-08-27T18:07:17.2773801+00:00</v>
      </c>
    </row>
    <row r="41" spans="1:7" ht="15.75" customHeight="1">
      <c r="A41" s="23">
        <f t="shared" si="1"/>
        <v>46085</v>
      </c>
      <c r="B41" t="str">
        <f t="shared" si="2"/>
        <v>CGU-iftar</v>
      </c>
      <c r="C41" s="23">
        <f t="shared" si="3"/>
        <v>45966</v>
      </c>
      <c r="E41" s="24" t="str">
        <f>IF(NOT(ISBLANK(ALcopy!B41)),ALcopy!B41,"")</f>
        <v>2026-03-04T00:00:00.0000000</v>
      </c>
      <c r="F41" s="24" t="str">
        <f>IF(E41&lt;&gt;"",ALcopy!A41,"")</f>
        <v>AL CGU-iftar</v>
      </c>
      <c r="G41" s="24" t="str">
        <f>IF(E41&lt;&gt;"",ALcopy!F41,"")</f>
        <v>2025-11-05T11:20:52.1118914+00:00</v>
      </c>
    </row>
    <row r="42" spans="1:7" ht="15.75" customHeight="1">
      <c r="A42" s="23">
        <f t="shared" si="1"/>
        <v>46086</v>
      </c>
      <c r="B42" t="str">
        <f t="shared" si="2"/>
        <v>30' rooster</v>
      </c>
      <c r="C42" s="23">
        <f t="shared" si="3"/>
        <v>45896</v>
      </c>
      <c r="E42" s="24" t="str">
        <f>IF(NOT(ISBLANK(ALcopy!B42)),ALcopy!B42,"")</f>
        <v>2026-03-05T00:00:00.0000000</v>
      </c>
      <c r="F42" s="24" t="str">
        <f>IF(E42&lt;&gt;"",ALcopy!A42,"")</f>
        <v>AL 30' rooster</v>
      </c>
      <c r="G42" s="24" t="str">
        <f>IF(E42&lt;&gt;"",ALcopy!F42,"")</f>
        <v>2025-08-27T18:07:17.1611861+00:00</v>
      </c>
    </row>
    <row r="43" spans="1:7" ht="15.75" customHeight="1">
      <c r="A43" s="23">
        <f t="shared" si="1"/>
        <v>46090</v>
      </c>
      <c r="B43" t="str">
        <f t="shared" si="2"/>
        <v>30" rooster</v>
      </c>
      <c r="C43" s="23">
        <f t="shared" si="3"/>
        <v>45896</v>
      </c>
      <c r="E43" s="24" t="str">
        <f>IF(NOT(ISBLANK(ALcopy!B43)),ALcopy!B43,"")</f>
        <v>2026-03-09T00:00:00.0000000</v>
      </c>
      <c r="F43" s="24" t="str">
        <f>IF(E43&lt;&gt;"",ALcopy!A43,"")</f>
        <v>AL 30" rooster</v>
      </c>
      <c r="G43" s="24" t="str">
        <f>IF(E43&lt;&gt;"",ALcopy!F43,"")</f>
        <v>2025-08-27T18:07:17.0499155+00:00</v>
      </c>
    </row>
    <row r="44" spans="1:7" ht="15.75" customHeight="1">
      <c r="A44" s="23">
        <f t="shared" si="1"/>
        <v>46091</v>
      </c>
      <c r="B44" t="str">
        <f t="shared" si="2"/>
        <v>30" rooste ;Open Lesmiddag 13:30-16:00 uur</v>
      </c>
      <c r="C44" s="23">
        <f t="shared" si="3"/>
        <v>45896</v>
      </c>
      <c r="E44" s="24" t="str">
        <f>IF(NOT(ISBLANK(ALcopy!B44)),ALcopy!B44,"")</f>
        <v>2026-03-10T00:00:00.0000000</v>
      </c>
      <c r="F44" s="24" t="str">
        <f>IF(E44&lt;&gt;"",ALcopy!A44,"")</f>
        <v>AL 30" rooste ;Open Lesmiddag 13:30-16:00 uur</v>
      </c>
      <c r="G44" s="24" t="str">
        <f>IF(E44&lt;&gt;"",ALcopy!F44,"")</f>
        <v>2025-08-27T18:07:16.8694136+00:00</v>
      </c>
    </row>
    <row r="45" spans="1:7" ht="15.75" customHeight="1">
      <c r="A45" s="23">
        <f t="shared" si="1"/>
        <v>46092</v>
      </c>
      <c r="B45" t="str">
        <f t="shared" si="2"/>
        <v>30" rooster/Studium Gymnasiale</v>
      </c>
      <c r="C45" s="23">
        <f t="shared" si="3"/>
        <v>45896</v>
      </c>
      <c r="E45" s="24" t="str">
        <f>IF(NOT(ISBLANK(ALcopy!B45)),ALcopy!B45,"")</f>
        <v>2026-03-11T00:00:00.0000000</v>
      </c>
      <c r="F45" s="24" t="str">
        <f>IF(E45&lt;&gt;"",ALcopy!A45,"")</f>
        <v>AL 30" rooster/Studium Gymnasiale</v>
      </c>
      <c r="G45" s="24" t="str">
        <f>IF(E45&lt;&gt;"",ALcopy!F45,"")</f>
        <v>2025-08-27T18:07:16.7056904+00:00</v>
      </c>
    </row>
    <row r="46" spans="1:7" ht="15.75" customHeight="1">
      <c r="A46" s="23">
        <f t="shared" si="1"/>
        <v>46093</v>
      </c>
      <c r="B46" t="str">
        <f t="shared" si="2"/>
        <v>30' rooster</v>
      </c>
      <c r="C46" s="23">
        <f t="shared" si="3"/>
        <v>45896</v>
      </c>
      <c r="E46" s="24" t="str">
        <f>IF(NOT(ISBLANK(ALcopy!B46)),ALcopy!B46,"")</f>
        <v>2026-03-12T00:00:00.0000000</v>
      </c>
      <c r="F46" s="24" t="str">
        <f>IF(E46&lt;&gt;"",ALcopy!A46,"")</f>
        <v>AL 30' rooster</v>
      </c>
      <c r="G46" s="24" t="str">
        <f>IF(E46&lt;&gt;"",ALcopy!F46,"")</f>
        <v>2025-08-27T18:07:16.5229771+00:00</v>
      </c>
    </row>
    <row r="47" spans="1:7" ht="15.75" customHeight="1">
      <c r="A47" s="23">
        <f t="shared" si="1"/>
        <v>46098</v>
      </c>
      <c r="B47" t="str">
        <f t="shared" si="2"/>
        <v>WisD</v>
      </c>
      <c r="C47" s="23">
        <f t="shared" si="3"/>
        <v>46083</v>
      </c>
      <c r="E47" s="24" t="str">
        <f>IF(NOT(ISBLANK(ALcopy!B47)),ALcopy!B47,"")</f>
        <v>2026-03-17T00:00:00.0000000</v>
      </c>
      <c r="F47" s="24" t="str">
        <f>IF(E47&lt;&gt;"",ALcopy!A47,"")</f>
        <v>SE WisD</v>
      </c>
      <c r="G47" s="24" t="str">
        <f>IF(E47&lt;&gt;"",ALcopy!F47,"")</f>
        <v>2026-03-02T21:50:06.2355405+00:00</v>
      </c>
    </row>
    <row r="48" spans="1:7" ht="15.75" customHeight="1">
      <c r="A48" s="23">
        <f t="shared" si="1"/>
        <v>46100</v>
      </c>
      <c r="B48" t="str">
        <f t="shared" si="2"/>
        <v xml:space="preserve">Einde Ramadan   </v>
      </c>
      <c r="C48" s="23">
        <f t="shared" si="3"/>
        <v>45896</v>
      </c>
      <c r="E48" s="24" t="str">
        <f>IF(NOT(ISBLANK(ALcopy!B48)),ALcopy!B48,"")</f>
        <v>2026-03-19T00:00:00.0000000</v>
      </c>
      <c r="F48" s="24" t="str">
        <f>IF(E48&lt;&gt;"",ALcopy!A48,"")</f>
        <v xml:space="preserve">AL Einde Ramadan   </v>
      </c>
      <c r="G48" s="24" t="str">
        <f>IF(E48&lt;&gt;"",ALcopy!F48,"")</f>
        <v>2025-08-27T18:07:16.350596+00:00</v>
      </c>
    </row>
    <row r="49" spans="1:7" ht="15.75" customHeight="1">
      <c r="A49" s="23">
        <f t="shared" si="1"/>
        <v>46101</v>
      </c>
      <c r="B49" t="str">
        <f t="shared" si="2"/>
        <v xml:space="preserve">suikerfeest </v>
      </c>
      <c r="C49" s="23">
        <f t="shared" si="3"/>
        <v>45896</v>
      </c>
      <c r="E49" s="24" t="str">
        <f>IF(NOT(ISBLANK(ALcopy!B49)),ALcopy!B49,"")</f>
        <v>2026-03-20T00:00:00.0000000</v>
      </c>
      <c r="F49" s="24" t="str">
        <f>IF(E49&lt;&gt;"",ALcopy!A49,"")</f>
        <v xml:space="preserve">AL suikerfeest </v>
      </c>
      <c r="G49" s="24" t="str">
        <f>IF(E49&lt;&gt;"",ALcopy!F49,"")</f>
        <v>2025-08-27T18:07:16.2331146+00:00</v>
      </c>
    </row>
    <row r="50" spans="1:7" ht="15.75" customHeight="1">
      <c r="A50" s="23">
        <f t="shared" si="1"/>
        <v>46104</v>
      </c>
      <c r="B50" t="str">
        <f t="shared" si="2"/>
        <v>start cijferperiode 3</v>
      </c>
      <c r="C50" s="23">
        <f t="shared" si="3"/>
        <v>45896</v>
      </c>
      <c r="E50" s="24" t="str">
        <f>IF(NOT(ISBLANK(ALcopy!B50)),ALcopy!B50,"")</f>
        <v>2026-03-23T00:00:00.0000000</v>
      </c>
      <c r="F50" s="24" t="str">
        <f>IF(E50&lt;&gt;"",ALcopy!A50,"")</f>
        <v>AL start cijferperiode 3</v>
      </c>
      <c r="G50" s="24" t="str">
        <f>IF(E50&lt;&gt;"",ALcopy!F50,"")</f>
        <v>2025-08-27T18:07:16.1146803+00:00</v>
      </c>
    </row>
    <row r="51" spans="1:7" ht="15.75" customHeight="1">
      <c r="A51" s="23">
        <f t="shared" si="1"/>
        <v>46107</v>
      </c>
      <c r="B51" t="str">
        <f t="shared" si="2"/>
        <v>30'-rooster/docentenspreekmomenten 13.30-16.30</v>
      </c>
      <c r="C51" s="23">
        <f t="shared" si="3"/>
        <v>45896</v>
      </c>
      <c r="E51" s="24" t="str">
        <f>IF(NOT(ISBLANK(ALcopy!B51)),ALcopy!B51,"")</f>
        <v>2026-03-26T00:00:00.0000000</v>
      </c>
      <c r="F51" s="24" t="str">
        <f>IF(E51&lt;&gt;"",ALcopy!A51,"")</f>
        <v>AL 30'-rooster/docentenspreekmomenten 13.30-16.30</v>
      </c>
      <c r="G51" s="24" t="str">
        <f>IF(E51&lt;&gt;"",ALcopy!F51,"")</f>
        <v>2025-08-27T18:07:16.0014203+00:00</v>
      </c>
    </row>
    <row r="52" spans="1:7" ht="15.75" customHeight="1">
      <c r="A52" s="23">
        <f t="shared" si="1"/>
        <v>46112</v>
      </c>
      <c r="B52" t="str">
        <f t="shared" si="2"/>
        <v>30'-rooster/docentenspreekmomenten 14-17 uur</v>
      </c>
      <c r="C52" s="23">
        <f t="shared" si="3"/>
        <v>45896</v>
      </c>
      <c r="E52" s="24" t="str">
        <f>IF(NOT(ISBLANK(ALcopy!B52)),ALcopy!B52,"")</f>
        <v>2026-03-31T00:00:00.0000000</v>
      </c>
      <c r="F52" s="24" t="str">
        <f>IF(E52&lt;&gt;"",ALcopy!A52,"")</f>
        <v>AL 30'-rooster/docentenspreekmomenten 14-17 uur</v>
      </c>
      <c r="G52" s="24" t="str">
        <f>IF(E52&lt;&gt;"",ALcopy!F52,"")</f>
        <v>2025-08-27T18:07:15.789328+00:00</v>
      </c>
    </row>
    <row r="53" spans="1:7" ht="15.75" customHeight="1">
      <c r="A53" s="23">
        <f t="shared" si="1"/>
        <v>46115</v>
      </c>
      <c r="B53" t="str">
        <f t="shared" si="2"/>
        <v xml:space="preserve">Goede Vrijdag </v>
      </c>
      <c r="C53" s="23">
        <f t="shared" si="3"/>
        <v>45896</v>
      </c>
      <c r="E53" s="24" t="str">
        <f>IF(NOT(ISBLANK(ALcopy!B53)),ALcopy!B53,"")</f>
        <v>2026-04-03T00:00:00.0000000</v>
      </c>
      <c r="F53" s="24" t="str">
        <f>IF(E53&lt;&gt;"",ALcopy!A53,"")</f>
        <v xml:space="preserve">AL Goede Vrijdag </v>
      </c>
      <c r="G53" s="24" t="str">
        <f>IF(E53&lt;&gt;"",ALcopy!F53,"")</f>
        <v>2025-08-27T18:07:15.6359154+00:00</v>
      </c>
    </row>
    <row r="54" spans="1:7" ht="15.75" customHeight="1">
      <c r="A54" s="23">
        <f t="shared" si="1"/>
        <v>46117</v>
      </c>
      <c r="B54" t="str">
        <f t="shared" si="2"/>
        <v>Eerste Paasdag</v>
      </c>
      <c r="C54" s="23">
        <f t="shared" si="3"/>
        <v>45896</v>
      </c>
      <c r="E54" s="24" t="str">
        <f>IF(NOT(ISBLANK(ALcopy!B54)),ALcopy!B54,"")</f>
        <v>2026-04-05T00:00:00.0000000</v>
      </c>
      <c r="F54" s="24" t="str">
        <f>IF(E54&lt;&gt;"",ALcopy!A54,"")</f>
        <v>AL Eerste Paasdag</v>
      </c>
      <c r="G54" s="24" t="str">
        <f>IF(E54&lt;&gt;"",ALcopy!F54,"")</f>
        <v>2025-08-27T18:07:15.5239538+00:00</v>
      </c>
    </row>
    <row r="55" spans="1:7" ht="15.75" customHeight="1">
      <c r="A55" s="23">
        <f t="shared" si="1"/>
        <v>46118</v>
      </c>
      <c r="B55" t="str">
        <f t="shared" si="2"/>
        <v>Tweede Paasdag</v>
      </c>
      <c r="C55" s="23">
        <f t="shared" si="3"/>
        <v>45896</v>
      </c>
      <c r="E55" s="24" t="str">
        <f>IF(NOT(ISBLANK(ALcopy!B55)),ALcopy!B55,"")</f>
        <v>2026-04-06T00:00:00.0000000</v>
      </c>
      <c r="F55" s="24" t="str">
        <f>IF(E55&lt;&gt;"",ALcopy!A55,"")</f>
        <v>AL Tweede Paasdag</v>
      </c>
      <c r="G55" s="24" t="str">
        <f>IF(E55&lt;&gt;"",ALcopy!F55,"")</f>
        <v>2025-08-27T18:07:15.3617299+00:00</v>
      </c>
    </row>
    <row r="56" spans="1:7" ht="15.75" customHeight="1">
      <c r="A56" s="23">
        <f t="shared" si="1"/>
        <v>46125</v>
      </c>
      <c r="B56" t="str">
        <f t="shared" si="2"/>
        <v>CGUweek3/periode 4</v>
      </c>
      <c r="C56" s="23">
        <f t="shared" si="3"/>
        <v>45896</v>
      </c>
      <c r="E56" s="24" t="str">
        <f>IF(NOT(ISBLANK(ALcopy!B56)),ALcopy!B56,"")</f>
        <v>2026-04-13T00:00:00.0000000</v>
      </c>
      <c r="F56" s="24" t="str">
        <f>IF(E56&lt;&gt;"",ALcopy!A56,"")</f>
        <v>AL CGUweek3/periode 4</v>
      </c>
      <c r="G56" s="24" t="str">
        <f>IF(E56&lt;&gt;"",ALcopy!F56,"")</f>
        <v>2025-08-27T18:07:15.2022864+00:00</v>
      </c>
    </row>
    <row r="57" spans="1:7" ht="15.75" customHeight="1">
      <c r="A57" s="23">
        <f t="shared" si="1"/>
        <v>46126</v>
      </c>
      <c r="B57" t="str">
        <f t="shared" si="2"/>
        <v>CGUweek3</v>
      </c>
      <c r="C57" s="23">
        <f t="shared" si="3"/>
        <v>45896</v>
      </c>
      <c r="E57" s="24" t="str">
        <f>IF(NOT(ISBLANK(ALcopy!B57)),ALcopy!B57,"")</f>
        <v>2026-04-14T00:00:00.0000000</v>
      </c>
      <c r="F57" s="24" t="str">
        <f>IF(E57&lt;&gt;"",ALcopy!A57,"")</f>
        <v>AL CGUweek3</v>
      </c>
      <c r="G57" s="24" t="str">
        <f>IF(E57&lt;&gt;"",ALcopy!F57,"")</f>
        <v>2025-08-27T18:07:15.0383237+00:00</v>
      </c>
    </row>
    <row r="58" spans="1:7" ht="15.75" customHeight="1">
      <c r="A58" s="23">
        <f t="shared" si="1"/>
        <v>46127</v>
      </c>
      <c r="B58" t="str">
        <f t="shared" si="2"/>
        <v>CGUweek3</v>
      </c>
      <c r="C58" s="23">
        <f t="shared" si="3"/>
        <v>45896</v>
      </c>
      <c r="E58" s="24" t="str">
        <f>IF(NOT(ISBLANK(ALcopy!B58)),ALcopy!B58,"")</f>
        <v>2026-04-15T00:00:00.0000000</v>
      </c>
      <c r="F58" s="24" t="str">
        <f>IF(E58&lt;&gt;"",ALcopy!A58,"")</f>
        <v>AL CGUweek3</v>
      </c>
      <c r="G58" s="24" t="str">
        <f>IF(E58&lt;&gt;"",ALcopy!F58,"")</f>
        <v>2025-08-27T18:07:14.909578+00:00</v>
      </c>
    </row>
    <row r="59" spans="1:7" ht="15.75" customHeight="1">
      <c r="A59" s="23">
        <f t="shared" si="1"/>
        <v>46128</v>
      </c>
      <c r="B59" t="str">
        <f t="shared" si="2"/>
        <v>CGUweek3</v>
      </c>
      <c r="C59" s="23">
        <f t="shared" si="3"/>
        <v>45896</v>
      </c>
      <c r="E59" s="24" t="str">
        <f>IF(NOT(ISBLANK(ALcopy!B59)),ALcopy!B59,"")</f>
        <v>2026-04-16T00:00:00.0000000</v>
      </c>
      <c r="F59" s="24" t="str">
        <f>IF(E59&lt;&gt;"",ALcopy!A59,"")</f>
        <v>AL CGUweek3</v>
      </c>
      <c r="G59" s="24" t="str">
        <f>IF(E59&lt;&gt;"",ALcopy!F59,"")</f>
        <v>2025-08-27T18:07:14.7889425+00:00</v>
      </c>
    </row>
    <row r="60" spans="1:7" ht="15.75" customHeight="1">
      <c r="A60" s="23">
        <f t="shared" si="1"/>
        <v>46139</v>
      </c>
      <c r="B60" t="str">
        <f t="shared" si="2"/>
        <v>koningsdag</v>
      </c>
      <c r="C60" s="23">
        <f t="shared" si="3"/>
        <v>45896</v>
      </c>
      <c r="E60" s="24" t="str">
        <f>IF(NOT(ISBLANK(ALcopy!B60)),ALcopy!B60,"")</f>
        <v>2026-04-27T00:00:00.0000000</v>
      </c>
      <c r="F60" s="24" t="str">
        <f>IF(E60&lt;&gt;"",ALcopy!A60,"")</f>
        <v>AL koningsdag</v>
      </c>
      <c r="G60" s="24" t="str">
        <f>IF(E60&lt;&gt;"",ALcopy!F60,"")</f>
        <v>2025-08-27T18:07:14.6250173+00:00</v>
      </c>
    </row>
    <row r="61" spans="1:7" ht="15.75" customHeight="1">
      <c r="A61" s="23">
        <f t="shared" si="1"/>
        <v>46135</v>
      </c>
      <c r="B61" t="str">
        <f t="shared" si="2"/>
        <v>meivakantie</v>
      </c>
      <c r="C61" s="23">
        <f t="shared" si="3"/>
        <v>45898</v>
      </c>
      <c r="E61" s="24" t="str">
        <f>IF(NOT(ISBLANK(ALcopy!B61)),ALcopy!B61,"")</f>
        <v>2026-04-23T00:00:00.0000000</v>
      </c>
      <c r="F61" s="24" t="str">
        <f>IF(E61&lt;&gt;"",ALcopy!A61,"")</f>
        <v>AL meivakantie</v>
      </c>
      <c r="G61" s="24" t="str">
        <f>IF(E61&lt;&gt;"",ALcopy!F61,"")</f>
        <v>2025-08-29T12:07:26.8476503+00:00</v>
      </c>
    </row>
    <row r="62" spans="1:7" ht="15.75" customHeight="1">
      <c r="A62" s="23">
        <f t="shared" si="1"/>
        <v>46147</v>
      </c>
      <c r="B62" t="str">
        <f t="shared" si="2"/>
        <v>bevrijdingsdag</v>
      </c>
      <c r="C62" s="23">
        <f t="shared" si="3"/>
        <v>45896</v>
      </c>
      <c r="E62" s="24" t="str">
        <f>IF(NOT(ISBLANK(ALcopy!B62)),ALcopy!B62,"")</f>
        <v>2026-05-05T00:00:00.0000000</v>
      </c>
      <c r="F62" s="24" t="str">
        <f>IF(E62&lt;&gt;"",ALcopy!A62,"")</f>
        <v>AL bevrijdingsdag</v>
      </c>
      <c r="G62" s="24" t="str">
        <f>IF(E62&lt;&gt;"",ALcopy!F62,"")</f>
        <v>2025-08-27T18:07:14.4449886+00:00</v>
      </c>
    </row>
    <row r="63" spans="1:7" ht="15.75" customHeight="1">
      <c r="A63" s="23">
        <f t="shared" si="1"/>
        <v>46148</v>
      </c>
      <c r="B63" t="str">
        <f t="shared" si="2"/>
        <v>start gymlessen buiten</v>
      </c>
      <c r="C63" s="23">
        <f t="shared" si="3"/>
        <v>46066</v>
      </c>
      <c r="E63" s="24" t="str">
        <f>IF(NOT(ISBLANK(ALcopy!B63)),ALcopy!B63,"")</f>
        <v>2026-05-06T00:00:00.0000000</v>
      </c>
      <c r="F63" s="24" t="str">
        <f>IF(E63&lt;&gt;"",ALcopy!A63,"")</f>
        <v>AL start gymlessen buiten</v>
      </c>
      <c r="G63" s="24" t="str">
        <f>IF(E63&lt;&gt;"",ALcopy!F63,"")</f>
        <v>2026-02-13T11:36:06.7091991+00:00</v>
      </c>
    </row>
    <row r="64" spans="1:7" ht="15.75" customHeight="1">
      <c r="A64" s="23">
        <f t="shared" si="1"/>
        <v>46150</v>
      </c>
      <c r="B64" t="str">
        <f t="shared" si="2"/>
        <v>start Centraal examen</v>
      </c>
      <c r="C64" s="23">
        <f t="shared" si="3"/>
        <v>45896</v>
      </c>
      <c r="E64" s="24" t="str">
        <f>IF(NOT(ISBLANK(ALcopy!B64)),ALcopy!B64,"")</f>
        <v>2026-05-08T00:00:00.0000000</v>
      </c>
      <c r="F64" s="24" t="str">
        <f>IF(E64&lt;&gt;"",ALcopy!A64,"")</f>
        <v>AL start Centraal examen</v>
      </c>
      <c r="G64" s="24" t="str">
        <f>IF(E64&lt;&gt;"",ALcopy!F64,"")</f>
        <v>2025-08-27T18:07:14.3161084+00:00</v>
      </c>
    </row>
    <row r="65" spans="1:7" ht="15.75" customHeight="1">
      <c r="A65" s="23">
        <f t="shared" si="1"/>
        <v>46156</v>
      </c>
      <c r="B65" t="str">
        <f t="shared" si="2"/>
        <v>Hemelvaartdag</v>
      </c>
      <c r="C65" s="23">
        <f t="shared" si="3"/>
        <v>45896</v>
      </c>
      <c r="E65" s="24" t="str">
        <f>IF(NOT(ISBLANK(ALcopy!B65)),ALcopy!B65,"")</f>
        <v>2026-05-14T00:00:00.0000000</v>
      </c>
      <c r="F65" s="24" t="str">
        <f>IF(E65&lt;&gt;"",ALcopy!A65,"")</f>
        <v>AL Hemelvaartdag</v>
      </c>
      <c r="G65" s="24" t="str">
        <f>IF(E65&lt;&gt;"",ALcopy!F65,"")</f>
        <v>2025-08-27T18:07:14.100705+00:00</v>
      </c>
    </row>
    <row r="66" spans="1:7" ht="15.75" customHeight="1">
      <c r="A66" s="23">
        <f t="shared" si="1"/>
        <v>46166</v>
      </c>
      <c r="B66" t="str">
        <f t="shared" si="2"/>
        <v>Eerste Pinksterdag</v>
      </c>
      <c r="C66" s="23">
        <f t="shared" si="3"/>
        <v>45896</v>
      </c>
      <c r="E66" s="24" t="str">
        <f>IF(NOT(ISBLANK(ALcopy!B66)),ALcopy!B66,"")</f>
        <v>2026-05-24T00:00:00.0000000</v>
      </c>
      <c r="F66" s="24" t="str">
        <f>IF(E66&lt;&gt;"",ALcopy!A66,"")</f>
        <v>AL Eerste Pinksterdag</v>
      </c>
      <c r="G66" s="24" t="str">
        <f>IF(E66&lt;&gt;"",ALcopy!F66,"")</f>
        <v>2025-08-27T18:07:13.9939915+00:00</v>
      </c>
    </row>
    <row r="67" spans="1:7" ht="15.75" customHeight="1">
      <c r="A67" s="23">
        <f t="shared" ref="A67:A130" si="4">IF(E67&lt;&gt;"",DATEVALUE(LEFT(E67,10)),"")</f>
        <v>46167</v>
      </c>
      <c r="B67" t="str">
        <f t="shared" ref="B67:B130" si="5">IF(LEN(F67)&gt;3,RIGHT(F67,LEN(F67)-3),"")</f>
        <v>Tweede Pinksterdag</v>
      </c>
      <c r="C67" s="23">
        <f t="shared" ref="C67:C130" si="6">IF(E67&lt;&gt;"",DATEVALUE(LEFT(G67,10)),"")</f>
        <v>45896</v>
      </c>
      <c r="E67" s="24" t="str">
        <f>IF(NOT(ISBLANK(ALcopy!B67)),ALcopy!B67,"")</f>
        <v>2026-05-25T00:00:00.0000000</v>
      </c>
      <c r="F67" s="24" t="str">
        <f>IF(E67&lt;&gt;"",ALcopy!A67,"")</f>
        <v>AL Tweede Pinksterdag</v>
      </c>
      <c r="G67" s="24" t="str">
        <f>IF(E67&lt;&gt;"",ALcopy!F67,"")</f>
        <v>2025-08-27T18:07:13.8811468+00:00</v>
      </c>
    </row>
    <row r="68" spans="1:7" ht="15.75" customHeight="1">
      <c r="A68" s="23">
        <f t="shared" si="4"/>
        <v>46168</v>
      </c>
      <c r="B68" t="str">
        <f t="shared" si="5"/>
        <v>offerfeest?</v>
      </c>
      <c r="C68" s="23">
        <f t="shared" si="6"/>
        <v>45896</v>
      </c>
      <c r="E68" s="24" t="str">
        <f>IF(NOT(ISBLANK(ALcopy!B68)),ALcopy!B68,"")</f>
        <v>2026-05-26T00:00:00.0000000</v>
      </c>
      <c r="F68" s="24" t="str">
        <f>IF(E68&lt;&gt;"",ALcopy!A68,"")</f>
        <v>AL offerfeest?</v>
      </c>
      <c r="G68" s="24" t="str">
        <f>IF(E68&lt;&gt;"",ALcopy!F68,"")</f>
        <v>2025-08-27T18:07:13.7566585+00:00</v>
      </c>
    </row>
    <row r="69" spans="1:7" ht="15.75" customHeight="1">
      <c r="A69" s="23">
        <f t="shared" si="4"/>
        <v>46178</v>
      </c>
      <c r="B69" t="str">
        <f t="shared" si="5"/>
        <v>zomer(school)feest</v>
      </c>
      <c r="C69" s="23">
        <f t="shared" si="6"/>
        <v>45915</v>
      </c>
      <c r="E69" s="24" t="str">
        <f>IF(NOT(ISBLANK(ALcopy!B69)),ALcopy!B69,"")</f>
        <v>2026-06-05T00:00:00.0000000</v>
      </c>
      <c r="F69" s="24" t="str">
        <f>IF(E69&lt;&gt;"",ALcopy!A69,"")</f>
        <v>AL zomer(school)feest</v>
      </c>
      <c r="G69" s="24" t="str">
        <f>IF(E69&lt;&gt;"",ALcopy!F69,"")</f>
        <v>2025-09-15T12:27:00.1980739+00:00</v>
      </c>
    </row>
    <row r="70" spans="1:7" ht="15.75" customHeight="1">
      <c r="A70" s="23">
        <f t="shared" si="4"/>
        <v>46182</v>
      </c>
      <c r="B70" t="str">
        <f t="shared" si="5"/>
        <v>ouderavond Ardennenkamp</v>
      </c>
      <c r="C70" s="23">
        <f t="shared" si="6"/>
        <v>45966</v>
      </c>
      <c r="E70" s="24" t="str">
        <f>IF(NOT(ISBLANK(ALcopy!B70)),ALcopy!B70,"")</f>
        <v>2026-06-09T00:00:00.0000000</v>
      </c>
      <c r="F70" s="24" t="str">
        <f>IF(E70&lt;&gt;"",ALcopy!A70,"")</f>
        <v>AL ouderavond Ardennenkamp</v>
      </c>
      <c r="G70" s="24" t="str">
        <f>IF(E70&lt;&gt;"",ALcopy!F70,"")</f>
        <v>2025-11-05T11:20:55.740616+00:00</v>
      </c>
    </row>
    <row r="71" spans="1:7" ht="15.75" customHeight="1">
      <c r="A71" s="23">
        <f t="shared" si="4"/>
        <v>46202</v>
      </c>
      <c r="B71" t="str">
        <f t="shared" si="5"/>
        <v>toetsweek</v>
      </c>
      <c r="C71" s="23">
        <f t="shared" si="6"/>
        <v>45896</v>
      </c>
      <c r="E71" s="24" t="str">
        <f>IF(NOT(ISBLANK(ALcopy!B71)),ALcopy!B71,"")</f>
        <v>2026-06-29T00:00:00.0000000</v>
      </c>
      <c r="F71" s="24" t="str">
        <f>IF(E71&lt;&gt;"",ALcopy!A71,"")</f>
        <v>AL toetsweek</v>
      </c>
      <c r="G71" s="24" t="str">
        <f>IF(E71&lt;&gt;"",ALcopy!F71,"")</f>
        <v>2025-08-27T18:07:13.5916655+00:00</v>
      </c>
    </row>
    <row r="72" spans="1:7" ht="15.75" customHeight="1">
      <c r="A72" s="23">
        <f t="shared" si="4"/>
        <v>46209</v>
      </c>
      <c r="B72" t="str">
        <f t="shared" si="5"/>
        <v>CGUweek4</v>
      </c>
      <c r="C72" s="23">
        <f t="shared" si="6"/>
        <v>45896</v>
      </c>
      <c r="E72" s="24" t="str">
        <f>IF(NOT(ISBLANK(ALcopy!B72)),ALcopy!B72,"")</f>
        <v>2026-07-06T00:00:00.0000000</v>
      </c>
      <c r="F72" s="24" t="str">
        <f>IF(E72&lt;&gt;"",ALcopy!A72,"")</f>
        <v>AL CGUweek4</v>
      </c>
      <c r="G72" s="24" t="str">
        <f>IF(E72&lt;&gt;"",ALcopy!F72,"")</f>
        <v>2025-08-27T18:07:13.4466819+00:00</v>
      </c>
    </row>
    <row r="73" spans="1:7" ht="15.75" customHeight="1">
      <c r="A73" s="23">
        <f t="shared" si="4"/>
        <v>46216</v>
      </c>
      <c r="B73" t="str">
        <f t="shared" si="5"/>
        <v xml:space="preserve">afrondende week   </v>
      </c>
      <c r="C73" s="23">
        <f t="shared" si="6"/>
        <v>45896</v>
      </c>
      <c r="E73" s="24" t="str">
        <f>IF(NOT(ISBLANK(ALcopy!B73)),ALcopy!B73,"")</f>
        <v>2026-07-13T00:00:00.0000000</v>
      </c>
      <c r="F73" s="24" t="str">
        <f>IF(E73&lt;&gt;"",ALcopy!A73,"")</f>
        <v xml:space="preserve">AL afrondende week   </v>
      </c>
      <c r="G73" s="24" t="str">
        <f>IF(E73&lt;&gt;"",ALcopy!F73,"")</f>
        <v>2025-08-27T18:07:13.3425992+00:00</v>
      </c>
    </row>
    <row r="74" spans="1:7" ht="15.75" customHeight="1">
      <c r="A74" s="23">
        <f t="shared" si="4"/>
        <v>46216</v>
      </c>
      <c r="B74" t="str">
        <f t="shared" si="5"/>
        <v>boeken inleveren</v>
      </c>
      <c r="C74" s="23">
        <f t="shared" si="6"/>
        <v>45979</v>
      </c>
      <c r="E74" s="24" t="str">
        <f>IF(NOT(ISBLANK(ALcopy!B74)),ALcopy!B74,"")</f>
        <v>2026-07-13T00:00:00.0000000</v>
      </c>
      <c r="F74" s="24" t="str">
        <f>IF(E74&lt;&gt;"",ALcopy!A74,"")</f>
        <v>AL boeken inleveren</v>
      </c>
      <c r="G74" s="24" t="str">
        <f>IF(E74&lt;&gt;"",ALcopy!F74,"")</f>
        <v>2025-11-18T11:18:01.5909386+00:00</v>
      </c>
    </row>
    <row r="75" spans="1:7" ht="15.75" customHeight="1">
      <c r="A75" s="23">
        <f t="shared" si="4"/>
        <v>46219</v>
      </c>
      <c r="B75" t="str">
        <f t="shared" si="5"/>
        <v>promoties/rapporten</v>
      </c>
      <c r="C75" s="23">
        <f t="shared" si="6"/>
        <v>45896</v>
      </c>
      <c r="E75" s="24" t="str">
        <f>IF(NOT(ISBLANK(ALcopy!B75)),ALcopy!B75,"")</f>
        <v>2026-07-16T00:00:00.0000000</v>
      </c>
      <c r="F75" s="24" t="str">
        <f>IF(E75&lt;&gt;"",ALcopy!A75,"")</f>
        <v>AL promoties/rapporten</v>
      </c>
      <c r="G75" s="24" t="str">
        <f>IF(E75&lt;&gt;"",ALcopy!F75,"")</f>
        <v>2025-08-27T18:07:13.0938664+00:00</v>
      </c>
    </row>
    <row r="76" spans="1:7" ht="15.75" customHeight="1">
      <c r="A76" s="23">
        <f t="shared" si="4"/>
        <v>46221</v>
      </c>
      <c r="B76" t="str">
        <f t="shared" si="5"/>
        <v>zomervakantie</v>
      </c>
      <c r="C76" s="23">
        <f t="shared" si="6"/>
        <v>45617</v>
      </c>
      <c r="E76" s="24" t="str">
        <f>IF(NOT(ISBLANK(ALcopy!B76)),ALcopy!B76,"")</f>
        <v>2026-07-18T00:00:00.0000000</v>
      </c>
      <c r="F76" s="24" t="str">
        <f>IF(E76&lt;&gt;"",ALcopy!A76,"")</f>
        <v>AL zomervakantie</v>
      </c>
      <c r="G76" s="24" t="str">
        <f>IF(E76&lt;&gt;"",ALcopy!F76,"")</f>
        <v>2024-11-21T09:41:58.4463667+00:00</v>
      </c>
    </row>
    <row r="77" spans="1:7" ht="15.75" customHeight="1">
      <c r="A77" s="23" t="str">
        <f t="shared" si="4"/>
        <v/>
      </c>
      <c r="B77" t="str">
        <f t="shared" si="5"/>
        <v/>
      </c>
      <c r="C77" s="23" t="str">
        <f t="shared" si="6"/>
        <v/>
      </c>
      <c r="E77" s="24" t="str">
        <f>IF(NOT(ISBLANK(ALcopy!B77)),ALcopy!B77,"")</f>
        <v/>
      </c>
      <c r="F77" s="24" t="str">
        <f>IF(E77&lt;&gt;"",ALcopy!A77,"")</f>
        <v/>
      </c>
      <c r="G77" s="24" t="str">
        <f>IF(E77&lt;&gt;"",ALcopy!F77,"")</f>
        <v/>
      </c>
    </row>
    <row r="78" spans="1:7" ht="15.75" customHeight="1">
      <c r="A78" s="23" t="str">
        <f t="shared" si="4"/>
        <v/>
      </c>
      <c r="B78" t="str">
        <f t="shared" si="5"/>
        <v/>
      </c>
      <c r="C78" s="23" t="str">
        <f t="shared" si="6"/>
        <v/>
      </c>
      <c r="E78" s="24" t="str">
        <f>IF(NOT(ISBLANK(ALcopy!B78)),ALcopy!B78,"")</f>
        <v/>
      </c>
      <c r="F78" s="24" t="str">
        <f>IF(E78&lt;&gt;"",ALcopy!A78,"")</f>
        <v/>
      </c>
      <c r="G78" s="24" t="str">
        <f>IF(E78&lt;&gt;"",ALcopy!F78,"")</f>
        <v/>
      </c>
    </row>
    <row r="79" spans="1:7" ht="15.75" customHeight="1">
      <c r="A79" s="23" t="str">
        <f t="shared" si="4"/>
        <v/>
      </c>
      <c r="B79" t="str">
        <f t="shared" si="5"/>
        <v/>
      </c>
      <c r="C79" s="23" t="str">
        <f t="shared" si="6"/>
        <v/>
      </c>
      <c r="E79" s="24" t="str">
        <f>IF(NOT(ISBLANK(ALcopy!B79)),ALcopy!B79,"")</f>
        <v/>
      </c>
      <c r="F79" s="24" t="str">
        <f>IF(E79&lt;&gt;"",ALcopy!A79,"")</f>
        <v/>
      </c>
      <c r="G79" s="24" t="str">
        <f>IF(E79&lt;&gt;"",ALcopy!F79,"")</f>
        <v/>
      </c>
    </row>
    <row r="80" spans="1:7" ht="15.75" customHeight="1">
      <c r="A80" s="23" t="str">
        <f t="shared" si="4"/>
        <v/>
      </c>
      <c r="B80" t="str">
        <f t="shared" si="5"/>
        <v/>
      </c>
      <c r="C80" s="23" t="str">
        <f t="shared" si="6"/>
        <v/>
      </c>
      <c r="E80" s="24" t="str">
        <f>IF(NOT(ISBLANK(ALcopy!B80)),ALcopy!B80,"")</f>
        <v/>
      </c>
      <c r="F80" s="24" t="str">
        <f>IF(E80&lt;&gt;"",ALcopy!A80,"")</f>
        <v/>
      </c>
      <c r="G80" s="24" t="str">
        <f>IF(E80&lt;&gt;"",ALcopy!F80,"")</f>
        <v/>
      </c>
    </row>
    <row r="81" spans="1:7" ht="15.75" customHeight="1">
      <c r="A81" s="23" t="str">
        <f t="shared" si="4"/>
        <v/>
      </c>
      <c r="B81" t="str">
        <f t="shared" si="5"/>
        <v/>
      </c>
      <c r="C81" s="23" t="str">
        <f t="shared" si="6"/>
        <v/>
      </c>
      <c r="E81" s="24" t="str">
        <f>IF(NOT(ISBLANK(ALcopy!B81)),ALcopy!B81,"")</f>
        <v/>
      </c>
      <c r="F81" s="24" t="str">
        <f>IF(E81&lt;&gt;"",ALcopy!A81,"")</f>
        <v/>
      </c>
      <c r="G81" s="24" t="str">
        <f>IF(E81&lt;&gt;"",ALcopy!F81,"")</f>
        <v/>
      </c>
    </row>
    <row r="82" spans="1:7" ht="15.75" customHeight="1">
      <c r="A82" s="23" t="str">
        <f t="shared" si="4"/>
        <v/>
      </c>
      <c r="B82" t="str">
        <f t="shared" si="5"/>
        <v/>
      </c>
      <c r="C82" s="23" t="str">
        <f t="shared" si="6"/>
        <v/>
      </c>
      <c r="E82" s="24" t="str">
        <f>IF(NOT(ISBLANK(ALcopy!B82)),ALcopy!B82,"")</f>
        <v/>
      </c>
      <c r="F82" s="24" t="str">
        <f>IF(E82&lt;&gt;"",ALcopy!A82,"")</f>
        <v/>
      </c>
      <c r="G82" s="24" t="str">
        <f>IF(E82&lt;&gt;"",ALcopy!F82,"")</f>
        <v/>
      </c>
    </row>
    <row r="83" spans="1:7" ht="15.75" customHeight="1">
      <c r="A83" s="23" t="str">
        <f t="shared" si="4"/>
        <v/>
      </c>
      <c r="B83" t="str">
        <f t="shared" si="5"/>
        <v/>
      </c>
      <c r="C83" s="23" t="str">
        <f t="shared" si="6"/>
        <v/>
      </c>
      <c r="E83" s="24" t="str">
        <f>IF(NOT(ISBLANK(ALcopy!B83)),ALcopy!B83,"")</f>
        <v/>
      </c>
      <c r="F83" s="24" t="str">
        <f>IF(E83&lt;&gt;"",ALcopy!A83,"")</f>
        <v/>
      </c>
      <c r="G83" s="24" t="str">
        <f>IF(E83&lt;&gt;"",ALcopy!F83,"")</f>
        <v/>
      </c>
    </row>
    <row r="84" spans="1:7" ht="15.75" customHeight="1">
      <c r="A84" s="23" t="str">
        <f t="shared" si="4"/>
        <v/>
      </c>
      <c r="B84" t="str">
        <f t="shared" si="5"/>
        <v/>
      </c>
      <c r="C84" s="23" t="str">
        <f t="shared" si="6"/>
        <v/>
      </c>
      <c r="E84" s="24" t="str">
        <f>IF(NOT(ISBLANK(ALcopy!B84)),ALcopy!B84,"")</f>
        <v/>
      </c>
      <c r="F84" s="24" t="str">
        <f>IF(E84&lt;&gt;"",ALcopy!A84,"")</f>
        <v/>
      </c>
      <c r="G84" s="24" t="str">
        <f>IF(E84&lt;&gt;"",ALcopy!F84,"")</f>
        <v/>
      </c>
    </row>
    <row r="85" spans="1:7" ht="15.75" customHeight="1">
      <c r="A85" s="23" t="str">
        <f t="shared" si="4"/>
        <v/>
      </c>
      <c r="B85" t="str">
        <f t="shared" si="5"/>
        <v/>
      </c>
      <c r="C85" s="23" t="str">
        <f t="shared" si="6"/>
        <v/>
      </c>
      <c r="E85" s="24" t="str">
        <f>IF(NOT(ISBLANK(ALcopy!B85)),ALcopy!B85,"")</f>
        <v/>
      </c>
      <c r="F85" s="24" t="str">
        <f>IF(E85&lt;&gt;"",ALcopy!A85,"")</f>
        <v/>
      </c>
      <c r="G85" s="24" t="str">
        <f>IF(E85&lt;&gt;"",ALcopy!F85,"")</f>
        <v/>
      </c>
    </row>
    <row r="86" spans="1:7" ht="15.75" customHeight="1">
      <c r="A86" s="23" t="str">
        <f t="shared" si="4"/>
        <v/>
      </c>
      <c r="B86" t="str">
        <f t="shared" si="5"/>
        <v/>
      </c>
      <c r="C86" s="23" t="str">
        <f t="shared" si="6"/>
        <v/>
      </c>
      <c r="E86" s="24" t="str">
        <f>IF(NOT(ISBLANK(ALcopy!B86)),ALcopy!B86,"")</f>
        <v/>
      </c>
      <c r="F86" s="24" t="str">
        <f>IF(E86&lt;&gt;"",ALcopy!A86,"")</f>
        <v/>
      </c>
      <c r="G86" s="24" t="str">
        <f>IF(E86&lt;&gt;"",ALcopy!F86,"")</f>
        <v/>
      </c>
    </row>
    <row r="87" spans="1:7" ht="15.75" customHeight="1">
      <c r="A87" s="23" t="str">
        <f t="shared" si="4"/>
        <v/>
      </c>
      <c r="B87" t="str">
        <f t="shared" si="5"/>
        <v/>
      </c>
      <c r="C87" s="23" t="str">
        <f t="shared" si="6"/>
        <v/>
      </c>
      <c r="E87" s="24" t="str">
        <f>IF(NOT(ISBLANK(ALcopy!B87)),ALcopy!B87,"")</f>
        <v/>
      </c>
      <c r="F87" s="24" t="str">
        <f>IF(E87&lt;&gt;"",ALcopy!A87,"")</f>
        <v/>
      </c>
      <c r="G87" s="24" t="str">
        <f>IF(E87&lt;&gt;"",ALcopy!F87,"")</f>
        <v/>
      </c>
    </row>
    <row r="88" spans="1:7" ht="15.75" customHeight="1">
      <c r="A88" s="23" t="str">
        <f t="shared" si="4"/>
        <v/>
      </c>
      <c r="B88" t="str">
        <f t="shared" si="5"/>
        <v/>
      </c>
      <c r="C88" s="23" t="str">
        <f t="shared" si="6"/>
        <v/>
      </c>
      <c r="E88" s="24" t="str">
        <f>IF(NOT(ISBLANK(ALcopy!B88)),ALcopy!B88,"")</f>
        <v/>
      </c>
      <c r="F88" s="24" t="str">
        <f>IF(E88&lt;&gt;"",ALcopy!A88,"")</f>
        <v/>
      </c>
      <c r="G88" s="24" t="str">
        <f>IF(E88&lt;&gt;"",ALcopy!F88,"")</f>
        <v/>
      </c>
    </row>
    <row r="89" spans="1:7" ht="15.75" customHeight="1">
      <c r="A89" s="23" t="str">
        <f t="shared" si="4"/>
        <v/>
      </c>
      <c r="B89" t="str">
        <f t="shared" si="5"/>
        <v/>
      </c>
      <c r="C89" s="23" t="str">
        <f t="shared" si="6"/>
        <v/>
      </c>
      <c r="E89" s="24" t="str">
        <f>IF(NOT(ISBLANK(ALcopy!B89)),ALcopy!B89,"")</f>
        <v/>
      </c>
      <c r="F89" s="24" t="str">
        <f>IF(E89&lt;&gt;"",ALcopy!A89,"")</f>
        <v/>
      </c>
      <c r="G89" s="24" t="str">
        <f>IF(E89&lt;&gt;"",ALcopy!F89,"")</f>
        <v/>
      </c>
    </row>
    <row r="90" spans="1:7" ht="15.75" customHeight="1">
      <c r="A90" s="23" t="str">
        <f t="shared" si="4"/>
        <v/>
      </c>
      <c r="B90" t="str">
        <f t="shared" si="5"/>
        <v/>
      </c>
      <c r="C90" s="23" t="str">
        <f t="shared" si="6"/>
        <v/>
      </c>
      <c r="E90" s="24" t="str">
        <f>IF(NOT(ISBLANK(ALcopy!B90)),ALcopy!B90,"")</f>
        <v/>
      </c>
      <c r="F90" s="24" t="str">
        <f>IF(E90&lt;&gt;"",ALcopy!A90,"")</f>
        <v/>
      </c>
      <c r="G90" s="24" t="str">
        <f>IF(E90&lt;&gt;"",ALcopy!F90,"")</f>
        <v/>
      </c>
    </row>
    <row r="91" spans="1:7" ht="15.75" customHeight="1">
      <c r="A91" s="23" t="str">
        <f t="shared" si="4"/>
        <v/>
      </c>
      <c r="B91" t="str">
        <f t="shared" si="5"/>
        <v/>
      </c>
      <c r="C91" s="23" t="str">
        <f t="shared" si="6"/>
        <v/>
      </c>
      <c r="E91" s="24" t="str">
        <f>IF(NOT(ISBLANK(ALcopy!B91)),ALcopy!B91,"")</f>
        <v/>
      </c>
      <c r="F91" s="24" t="str">
        <f>IF(E91&lt;&gt;"",ALcopy!A91,"")</f>
        <v/>
      </c>
      <c r="G91" s="24" t="str">
        <f>IF(E91&lt;&gt;"",ALcopy!F91,"")</f>
        <v/>
      </c>
    </row>
    <row r="92" spans="1:7" ht="15.75" customHeight="1">
      <c r="A92" s="23" t="str">
        <f t="shared" si="4"/>
        <v/>
      </c>
      <c r="B92" t="str">
        <f t="shared" si="5"/>
        <v/>
      </c>
      <c r="C92" s="23" t="str">
        <f t="shared" si="6"/>
        <v/>
      </c>
      <c r="E92" s="24" t="str">
        <f>IF(NOT(ISBLANK(ALcopy!B92)),ALcopy!B92,"")</f>
        <v/>
      </c>
      <c r="F92" s="24" t="str">
        <f>IF(E92&lt;&gt;"",ALcopy!A92,"")</f>
        <v/>
      </c>
      <c r="G92" s="24" t="str">
        <f>IF(E92&lt;&gt;"",ALcopy!F92,"")</f>
        <v/>
      </c>
    </row>
    <row r="93" spans="1:7" ht="15.75" customHeight="1">
      <c r="A93" s="23" t="str">
        <f t="shared" si="4"/>
        <v/>
      </c>
      <c r="B93" t="str">
        <f t="shared" si="5"/>
        <v/>
      </c>
      <c r="C93" s="23" t="str">
        <f t="shared" si="6"/>
        <v/>
      </c>
      <c r="E93" s="24" t="str">
        <f>IF(NOT(ISBLANK(ALcopy!B93)),ALcopy!B93,"")</f>
        <v/>
      </c>
      <c r="F93" s="24" t="str">
        <f>IF(E93&lt;&gt;"",ALcopy!A93,"")</f>
        <v/>
      </c>
      <c r="G93" s="24" t="str">
        <f>IF(E93&lt;&gt;"",ALcopy!F93,"")</f>
        <v/>
      </c>
    </row>
    <row r="94" spans="1:7" ht="15.75" customHeight="1">
      <c r="A94" s="23" t="str">
        <f t="shared" si="4"/>
        <v/>
      </c>
      <c r="B94" t="str">
        <f t="shared" si="5"/>
        <v/>
      </c>
      <c r="C94" s="23" t="str">
        <f t="shared" si="6"/>
        <v/>
      </c>
      <c r="E94" s="24" t="str">
        <f>IF(NOT(ISBLANK(ALcopy!B94)),ALcopy!B94,"")</f>
        <v/>
      </c>
      <c r="F94" s="24" t="str">
        <f>IF(E94&lt;&gt;"",ALcopy!A94,"")</f>
        <v/>
      </c>
      <c r="G94" s="24" t="str">
        <f>IF(E94&lt;&gt;"",ALcopy!F94,"")</f>
        <v/>
      </c>
    </row>
    <row r="95" spans="1:7" ht="15.75" customHeight="1">
      <c r="A95" s="23" t="str">
        <f t="shared" si="4"/>
        <v/>
      </c>
      <c r="B95" t="str">
        <f t="shared" si="5"/>
        <v/>
      </c>
      <c r="C95" s="23" t="str">
        <f t="shared" si="6"/>
        <v/>
      </c>
      <c r="E95" s="24" t="str">
        <f>IF(NOT(ISBLANK(ALcopy!B95)),ALcopy!B95,"")</f>
        <v/>
      </c>
      <c r="F95" s="24" t="str">
        <f>IF(E95&lt;&gt;"",ALcopy!A95,"")</f>
        <v/>
      </c>
      <c r="G95" s="24" t="str">
        <f>IF(E95&lt;&gt;"",ALcopy!F95,"")</f>
        <v/>
      </c>
    </row>
    <row r="96" spans="1:7" ht="15.75" customHeight="1">
      <c r="A96" s="23" t="str">
        <f t="shared" si="4"/>
        <v/>
      </c>
      <c r="B96" t="str">
        <f t="shared" si="5"/>
        <v/>
      </c>
      <c r="C96" s="23" t="str">
        <f t="shared" si="6"/>
        <v/>
      </c>
      <c r="E96" s="24" t="str">
        <f>IF(NOT(ISBLANK(ALcopy!B96)),ALcopy!B96,"")</f>
        <v/>
      </c>
      <c r="F96" s="24" t="str">
        <f>IF(E96&lt;&gt;"",ALcopy!A96,"")</f>
        <v/>
      </c>
      <c r="G96" s="24" t="str">
        <f>IF(E96&lt;&gt;"",ALcopy!F96,"")</f>
        <v/>
      </c>
    </row>
    <row r="97" spans="1:7" ht="15.75" customHeight="1">
      <c r="A97" s="23" t="str">
        <f t="shared" si="4"/>
        <v/>
      </c>
      <c r="B97" t="str">
        <f t="shared" si="5"/>
        <v/>
      </c>
      <c r="C97" s="23" t="str">
        <f t="shared" si="6"/>
        <v/>
      </c>
      <c r="E97" s="24" t="str">
        <f>IF(NOT(ISBLANK(ALcopy!B97)),ALcopy!B97,"")</f>
        <v/>
      </c>
      <c r="F97" s="24" t="str">
        <f>IF(E97&lt;&gt;"",ALcopy!A97,"")</f>
        <v/>
      </c>
      <c r="G97" s="24" t="str">
        <f>IF(E97&lt;&gt;"",ALcopy!F97,"")</f>
        <v/>
      </c>
    </row>
    <row r="98" spans="1:7" ht="15.75" customHeight="1">
      <c r="A98" s="23" t="str">
        <f t="shared" si="4"/>
        <v/>
      </c>
      <c r="B98" t="str">
        <f t="shared" si="5"/>
        <v/>
      </c>
      <c r="C98" s="23" t="str">
        <f t="shared" si="6"/>
        <v/>
      </c>
      <c r="E98" s="24" t="str">
        <f>IF(NOT(ISBLANK(ALcopy!B98)),ALcopy!B98,"")</f>
        <v/>
      </c>
      <c r="F98" s="24" t="str">
        <f>IF(E98&lt;&gt;"",ALcopy!A98,"")</f>
        <v/>
      </c>
      <c r="G98" s="24" t="str">
        <f>IF(E98&lt;&gt;"",ALcopy!F98,"")</f>
        <v/>
      </c>
    </row>
    <row r="99" spans="1:7" ht="15.75" customHeight="1">
      <c r="A99" s="23" t="str">
        <f t="shared" si="4"/>
        <v/>
      </c>
      <c r="B99" t="str">
        <f t="shared" si="5"/>
        <v/>
      </c>
      <c r="C99" s="23" t="str">
        <f t="shared" si="6"/>
        <v/>
      </c>
      <c r="E99" s="24" t="str">
        <f>IF(NOT(ISBLANK(ALcopy!B99)),ALcopy!B99,"")</f>
        <v/>
      </c>
      <c r="F99" s="24" t="str">
        <f>IF(E99&lt;&gt;"",ALcopy!A99,"")</f>
        <v/>
      </c>
      <c r="G99" s="24" t="str">
        <f>IF(E99&lt;&gt;"",ALcopy!F99,"")</f>
        <v/>
      </c>
    </row>
    <row r="100" spans="1:7" ht="15.75" customHeight="1">
      <c r="A100" s="23" t="str">
        <f t="shared" si="4"/>
        <v/>
      </c>
      <c r="B100" t="str">
        <f t="shared" si="5"/>
        <v/>
      </c>
      <c r="C100" s="23" t="str">
        <f t="shared" si="6"/>
        <v/>
      </c>
      <c r="E100" s="24" t="str">
        <f>IF(NOT(ISBLANK(ALcopy!B100)),ALcopy!B100,"")</f>
        <v/>
      </c>
      <c r="F100" s="24" t="str">
        <f>IF(E100&lt;&gt;"",ALcopy!A100,"")</f>
        <v/>
      </c>
      <c r="G100" s="24" t="str">
        <f>IF(E100&lt;&gt;"",ALcopy!F100,"")</f>
        <v/>
      </c>
    </row>
    <row r="101" spans="1:7" ht="15.75" customHeight="1">
      <c r="A101" s="23" t="str">
        <f t="shared" si="4"/>
        <v/>
      </c>
      <c r="B101" t="str">
        <f t="shared" si="5"/>
        <v/>
      </c>
      <c r="C101" s="23" t="str">
        <f t="shared" si="6"/>
        <v/>
      </c>
      <c r="E101" s="24" t="str">
        <f>IF(NOT(ISBLANK(ALcopy!B101)),ALcopy!B101,"")</f>
        <v/>
      </c>
      <c r="F101" s="24" t="str">
        <f>IF(E101&lt;&gt;"",ALcopy!A101,"")</f>
        <v/>
      </c>
      <c r="G101" s="24" t="str">
        <f>IF(E101&lt;&gt;"",ALcopy!F101,"")</f>
        <v/>
      </c>
    </row>
    <row r="102" spans="1:7" ht="15.75" customHeight="1">
      <c r="A102" s="23" t="str">
        <f t="shared" si="4"/>
        <v/>
      </c>
      <c r="B102" t="str">
        <f t="shared" si="5"/>
        <v/>
      </c>
      <c r="C102" s="23" t="str">
        <f t="shared" si="6"/>
        <v/>
      </c>
      <c r="E102" s="24" t="str">
        <f>IF(NOT(ISBLANK(ALcopy!B102)),ALcopy!B102,"")</f>
        <v/>
      </c>
      <c r="F102" s="24" t="str">
        <f>IF(E102&lt;&gt;"",ALcopy!A102,"")</f>
        <v/>
      </c>
      <c r="G102" s="24" t="str">
        <f>IF(E102&lt;&gt;"",ALcopy!F102,"")</f>
        <v/>
      </c>
    </row>
    <row r="103" spans="1:7" ht="15.75" customHeight="1">
      <c r="A103" s="23" t="str">
        <f t="shared" si="4"/>
        <v/>
      </c>
      <c r="B103" t="str">
        <f t="shared" si="5"/>
        <v/>
      </c>
      <c r="C103" s="23" t="str">
        <f t="shared" si="6"/>
        <v/>
      </c>
      <c r="E103" s="24" t="str">
        <f>IF(NOT(ISBLANK(ALcopy!B103)),ALcopy!B103,"")</f>
        <v/>
      </c>
      <c r="F103" s="24" t="str">
        <f>IF(E103&lt;&gt;"",ALcopy!A103,"")</f>
        <v/>
      </c>
      <c r="G103" s="24" t="str">
        <f>IF(E103&lt;&gt;"",ALcopy!F103,"")</f>
        <v/>
      </c>
    </row>
    <row r="104" spans="1:7" ht="15.75" customHeight="1">
      <c r="A104" s="23" t="str">
        <f t="shared" si="4"/>
        <v/>
      </c>
      <c r="B104" t="str">
        <f t="shared" si="5"/>
        <v/>
      </c>
      <c r="C104" s="23" t="str">
        <f t="shared" si="6"/>
        <v/>
      </c>
      <c r="E104" s="24" t="str">
        <f>IF(NOT(ISBLANK(ALcopy!B104)),ALcopy!B104,"")</f>
        <v/>
      </c>
      <c r="F104" s="24" t="str">
        <f>IF(E104&lt;&gt;"",ALcopy!A104,"")</f>
        <v/>
      </c>
      <c r="G104" s="24" t="str">
        <f>IF(E104&lt;&gt;"",ALcopy!F104,"")</f>
        <v/>
      </c>
    </row>
    <row r="105" spans="1:7" ht="15.75" customHeight="1">
      <c r="A105" s="23" t="str">
        <f t="shared" si="4"/>
        <v/>
      </c>
      <c r="B105" t="str">
        <f t="shared" si="5"/>
        <v/>
      </c>
      <c r="C105" s="23" t="str">
        <f t="shared" si="6"/>
        <v/>
      </c>
      <c r="E105" s="24" t="str">
        <f>IF(NOT(ISBLANK(ALcopy!B105)),ALcopy!B105,"")</f>
        <v/>
      </c>
      <c r="F105" s="24" t="str">
        <f>IF(E105&lt;&gt;"",ALcopy!A105,"")</f>
        <v/>
      </c>
      <c r="G105" s="24" t="str">
        <f>IF(E105&lt;&gt;"",ALcopy!F105,"")</f>
        <v/>
      </c>
    </row>
    <row r="106" spans="1:7" ht="15.75" customHeight="1">
      <c r="A106" s="23" t="str">
        <f t="shared" si="4"/>
        <v/>
      </c>
      <c r="B106" t="str">
        <f t="shared" si="5"/>
        <v/>
      </c>
      <c r="C106" s="23" t="str">
        <f t="shared" si="6"/>
        <v/>
      </c>
      <c r="E106" s="24" t="str">
        <f>IF(NOT(ISBLANK(ALcopy!B106)),ALcopy!B106,"")</f>
        <v/>
      </c>
      <c r="F106" s="24" t="str">
        <f>IF(E106&lt;&gt;"",ALcopy!A106,"")</f>
        <v/>
      </c>
      <c r="G106" s="24" t="str">
        <f>IF(E106&lt;&gt;"",ALcopy!F106,"")</f>
        <v/>
      </c>
    </row>
    <row r="107" spans="1:7" ht="15.75" customHeight="1">
      <c r="A107" s="23" t="str">
        <f t="shared" si="4"/>
        <v/>
      </c>
      <c r="B107" t="str">
        <f t="shared" si="5"/>
        <v/>
      </c>
      <c r="C107" s="23" t="str">
        <f t="shared" si="6"/>
        <v/>
      </c>
      <c r="E107" s="24" t="str">
        <f>IF(NOT(ISBLANK(ALcopy!B107)),ALcopy!B107,"")</f>
        <v/>
      </c>
      <c r="F107" s="24" t="str">
        <f>IF(E107&lt;&gt;"",ALcopy!A107,"")</f>
        <v/>
      </c>
      <c r="G107" s="24" t="str">
        <f>IF(E107&lt;&gt;"",ALcopy!F107,"")</f>
        <v/>
      </c>
    </row>
    <row r="108" spans="1:7" ht="15.75" customHeight="1">
      <c r="A108" s="23" t="str">
        <f t="shared" si="4"/>
        <v/>
      </c>
      <c r="B108" t="str">
        <f t="shared" si="5"/>
        <v/>
      </c>
      <c r="C108" s="23" t="str">
        <f t="shared" si="6"/>
        <v/>
      </c>
      <c r="E108" s="24" t="str">
        <f>IF(NOT(ISBLANK(ALcopy!B108)),ALcopy!B108,"")</f>
        <v/>
      </c>
      <c r="F108" s="24" t="str">
        <f>IF(E108&lt;&gt;"",ALcopy!A108,"")</f>
        <v/>
      </c>
      <c r="G108" s="24" t="str">
        <f>IF(E108&lt;&gt;"",ALcopy!F108,"")</f>
        <v/>
      </c>
    </row>
    <row r="109" spans="1:7" ht="15.75" customHeight="1">
      <c r="A109" s="23" t="str">
        <f t="shared" si="4"/>
        <v/>
      </c>
      <c r="B109" t="str">
        <f t="shared" si="5"/>
        <v/>
      </c>
      <c r="C109" s="23" t="str">
        <f t="shared" si="6"/>
        <v/>
      </c>
      <c r="E109" s="24" t="str">
        <f>IF(NOT(ISBLANK(ALcopy!B109)),ALcopy!B109,"")</f>
        <v/>
      </c>
      <c r="F109" s="24" t="str">
        <f>IF(E109&lt;&gt;"",ALcopy!A109,"")</f>
        <v/>
      </c>
      <c r="G109" s="24" t="str">
        <f>IF(E109&lt;&gt;"",ALcopy!F109,"")</f>
        <v/>
      </c>
    </row>
    <row r="110" spans="1:7" ht="15.75" customHeight="1">
      <c r="A110" s="23" t="str">
        <f t="shared" si="4"/>
        <v/>
      </c>
      <c r="B110" t="str">
        <f t="shared" si="5"/>
        <v/>
      </c>
      <c r="C110" s="23" t="str">
        <f t="shared" si="6"/>
        <v/>
      </c>
      <c r="E110" s="24" t="str">
        <f>IF(NOT(ISBLANK(ALcopy!B110)),ALcopy!B110,"")</f>
        <v/>
      </c>
      <c r="F110" s="24" t="str">
        <f>IF(E110&lt;&gt;"",ALcopy!A110,"")</f>
        <v/>
      </c>
      <c r="G110" s="24" t="str">
        <f>IF(E110&lt;&gt;"",ALcopy!F110,"")</f>
        <v/>
      </c>
    </row>
    <row r="111" spans="1:7" ht="15.75" customHeight="1">
      <c r="A111" s="23" t="str">
        <f t="shared" si="4"/>
        <v/>
      </c>
      <c r="B111" t="str">
        <f t="shared" si="5"/>
        <v/>
      </c>
      <c r="C111" s="23" t="str">
        <f t="shared" si="6"/>
        <v/>
      </c>
      <c r="E111" s="24" t="str">
        <f>IF(NOT(ISBLANK(ALcopy!B111)),ALcopy!B111,"")</f>
        <v/>
      </c>
      <c r="F111" s="24" t="str">
        <f>IF(E111&lt;&gt;"",ALcopy!A111,"")</f>
        <v/>
      </c>
      <c r="G111" s="24" t="str">
        <f>IF(E111&lt;&gt;"",ALcopy!F111,"")</f>
        <v/>
      </c>
    </row>
    <row r="112" spans="1:7" ht="15.75" customHeight="1">
      <c r="A112" s="23" t="str">
        <f t="shared" si="4"/>
        <v/>
      </c>
      <c r="B112" t="str">
        <f t="shared" si="5"/>
        <v/>
      </c>
      <c r="C112" s="23" t="str">
        <f t="shared" si="6"/>
        <v/>
      </c>
      <c r="E112" s="24" t="str">
        <f>IF(NOT(ISBLANK(ALcopy!B112)),ALcopy!B112,"")</f>
        <v/>
      </c>
      <c r="F112" s="24" t="str">
        <f>IF(E112&lt;&gt;"",ALcopy!A112,"")</f>
        <v/>
      </c>
      <c r="G112" s="24" t="str">
        <f>IF(E112&lt;&gt;"",ALcopy!F112,"")</f>
        <v/>
      </c>
    </row>
    <row r="113" spans="1:7" ht="15.75" customHeight="1">
      <c r="A113" s="23" t="str">
        <f t="shared" si="4"/>
        <v/>
      </c>
      <c r="B113" t="str">
        <f t="shared" si="5"/>
        <v/>
      </c>
      <c r="C113" s="23" t="str">
        <f t="shared" si="6"/>
        <v/>
      </c>
      <c r="E113" s="24" t="str">
        <f>IF(NOT(ISBLANK(ALcopy!B113)),ALcopy!B113,"")</f>
        <v/>
      </c>
      <c r="F113" s="24" t="str">
        <f>IF(E113&lt;&gt;"",ALcopy!A113,"")</f>
        <v/>
      </c>
      <c r="G113" s="24" t="str">
        <f>IF(E113&lt;&gt;"",ALcopy!F113,"")</f>
        <v/>
      </c>
    </row>
    <row r="114" spans="1:7" ht="15.75" customHeight="1">
      <c r="A114" s="23" t="str">
        <f t="shared" si="4"/>
        <v/>
      </c>
      <c r="B114" t="str">
        <f t="shared" si="5"/>
        <v/>
      </c>
      <c r="C114" s="23" t="str">
        <f t="shared" si="6"/>
        <v/>
      </c>
      <c r="E114" s="24" t="str">
        <f>IF(NOT(ISBLANK(ALcopy!B114)),ALcopy!B114,"")</f>
        <v/>
      </c>
      <c r="F114" s="24" t="str">
        <f>IF(E114&lt;&gt;"",ALcopy!A114,"")</f>
        <v/>
      </c>
      <c r="G114" s="24" t="str">
        <f>IF(E114&lt;&gt;"",ALcopy!F114,"")</f>
        <v/>
      </c>
    </row>
    <row r="115" spans="1:7" ht="15.75" customHeight="1">
      <c r="A115" s="23" t="str">
        <f t="shared" si="4"/>
        <v/>
      </c>
      <c r="B115" t="str">
        <f t="shared" si="5"/>
        <v/>
      </c>
      <c r="C115" s="23" t="str">
        <f t="shared" si="6"/>
        <v/>
      </c>
      <c r="E115" s="24" t="str">
        <f>IF(NOT(ISBLANK(ALcopy!B115)),ALcopy!B115,"")</f>
        <v/>
      </c>
      <c r="F115" s="24" t="str">
        <f>IF(E115&lt;&gt;"",ALcopy!A115,"")</f>
        <v/>
      </c>
      <c r="G115" s="24" t="str">
        <f>IF(E115&lt;&gt;"",ALcopy!F115,"")</f>
        <v/>
      </c>
    </row>
    <row r="116" spans="1:7" ht="15.75" customHeight="1">
      <c r="A116" s="23" t="str">
        <f t="shared" si="4"/>
        <v/>
      </c>
      <c r="B116" t="str">
        <f t="shared" si="5"/>
        <v/>
      </c>
      <c r="C116" s="23" t="str">
        <f t="shared" si="6"/>
        <v/>
      </c>
      <c r="E116" s="24" t="str">
        <f>IF(NOT(ISBLANK(ALcopy!B116)),ALcopy!B116,"")</f>
        <v/>
      </c>
      <c r="F116" s="24" t="str">
        <f>IF(E116&lt;&gt;"",ALcopy!A116,"")</f>
        <v/>
      </c>
      <c r="G116" s="24" t="str">
        <f>IF(E116&lt;&gt;"",ALcopy!F116,"")</f>
        <v/>
      </c>
    </row>
    <row r="117" spans="1:7" ht="15.75" customHeight="1">
      <c r="A117" s="23" t="str">
        <f t="shared" si="4"/>
        <v/>
      </c>
      <c r="B117" t="str">
        <f t="shared" si="5"/>
        <v/>
      </c>
      <c r="C117" s="23" t="str">
        <f t="shared" si="6"/>
        <v/>
      </c>
      <c r="E117" s="24" t="str">
        <f>IF(NOT(ISBLANK(ALcopy!B117)),ALcopy!B117,"")</f>
        <v/>
      </c>
      <c r="F117" s="24" t="str">
        <f>IF(E117&lt;&gt;"",ALcopy!A117,"")</f>
        <v/>
      </c>
      <c r="G117" s="24" t="str">
        <f>IF(E117&lt;&gt;"",ALcopy!F117,"")</f>
        <v/>
      </c>
    </row>
    <row r="118" spans="1:7" ht="15.75" customHeight="1">
      <c r="A118" s="23" t="str">
        <f t="shared" si="4"/>
        <v/>
      </c>
      <c r="B118" t="str">
        <f t="shared" si="5"/>
        <v/>
      </c>
      <c r="C118" s="23" t="str">
        <f t="shared" si="6"/>
        <v/>
      </c>
      <c r="E118" s="24" t="str">
        <f>IF(NOT(ISBLANK(ALcopy!B118)),ALcopy!B118,"")</f>
        <v/>
      </c>
      <c r="F118" s="24" t="str">
        <f>IF(E118&lt;&gt;"",ALcopy!A118,"")</f>
        <v/>
      </c>
      <c r="G118" s="24" t="str">
        <f>IF(E118&lt;&gt;"",ALcopy!F118,"")</f>
        <v/>
      </c>
    </row>
    <row r="119" spans="1:7" ht="15.75" customHeight="1">
      <c r="A119" s="23" t="str">
        <f t="shared" si="4"/>
        <v/>
      </c>
      <c r="B119" t="str">
        <f t="shared" si="5"/>
        <v/>
      </c>
      <c r="C119" s="23" t="str">
        <f t="shared" si="6"/>
        <v/>
      </c>
      <c r="E119" s="24" t="str">
        <f>IF(NOT(ISBLANK(ALcopy!B119)),ALcopy!B119,"")</f>
        <v/>
      </c>
      <c r="F119" s="24" t="str">
        <f>IF(E119&lt;&gt;"",ALcopy!A119,"")</f>
        <v/>
      </c>
      <c r="G119" s="24" t="str">
        <f>IF(E119&lt;&gt;"",ALcopy!F119,"")</f>
        <v/>
      </c>
    </row>
    <row r="120" spans="1:7" ht="15.75" customHeight="1">
      <c r="A120" s="23" t="str">
        <f t="shared" si="4"/>
        <v/>
      </c>
      <c r="B120" t="str">
        <f t="shared" si="5"/>
        <v/>
      </c>
      <c r="C120" s="23" t="str">
        <f t="shared" si="6"/>
        <v/>
      </c>
      <c r="E120" s="24" t="str">
        <f>IF(NOT(ISBLANK(ALcopy!B120)),ALcopy!B120,"")</f>
        <v/>
      </c>
      <c r="F120" s="24" t="str">
        <f>IF(E120&lt;&gt;"",ALcopy!A120,"")</f>
        <v/>
      </c>
      <c r="G120" s="24" t="str">
        <f>IF(E120&lt;&gt;"",ALcopy!F120,"")</f>
        <v/>
      </c>
    </row>
    <row r="121" spans="1:7" ht="15.75" customHeight="1">
      <c r="A121" s="23" t="str">
        <f t="shared" si="4"/>
        <v/>
      </c>
      <c r="B121" t="str">
        <f t="shared" si="5"/>
        <v/>
      </c>
      <c r="C121" s="23" t="str">
        <f t="shared" si="6"/>
        <v/>
      </c>
      <c r="E121" s="24" t="str">
        <f>IF(NOT(ISBLANK(ALcopy!B121)),ALcopy!B121,"")</f>
        <v/>
      </c>
      <c r="F121" s="24" t="str">
        <f>IF(E121&lt;&gt;"",ALcopy!A121,"")</f>
        <v/>
      </c>
      <c r="G121" s="24" t="str">
        <f>IF(E121&lt;&gt;"",ALcopy!F121,"")</f>
        <v/>
      </c>
    </row>
    <row r="122" spans="1:7" ht="15.75" customHeight="1">
      <c r="A122" s="23" t="str">
        <f t="shared" si="4"/>
        <v/>
      </c>
      <c r="B122" t="str">
        <f t="shared" si="5"/>
        <v/>
      </c>
      <c r="C122" s="23" t="str">
        <f t="shared" si="6"/>
        <v/>
      </c>
      <c r="E122" s="24" t="str">
        <f>IF(NOT(ISBLANK(ALcopy!B122)),ALcopy!B122,"")</f>
        <v/>
      </c>
      <c r="F122" s="24" t="str">
        <f>IF(E122&lt;&gt;"",ALcopy!A122,"")</f>
        <v/>
      </c>
      <c r="G122" s="24" t="str">
        <f>IF(E122&lt;&gt;"",ALcopy!F122,"")</f>
        <v/>
      </c>
    </row>
    <row r="123" spans="1:7" ht="15.75" customHeight="1">
      <c r="A123" s="23" t="str">
        <f t="shared" si="4"/>
        <v/>
      </c>
      <c r="B123" t="str">
        <f t="shared" si="5"/>
        <v/>
      </c>
      <c r="C123" s="23" t="str">
        <f t="shared" si="6"/>
        <v/>
      </c>
      <c r="E123" s="24" t="str">
        <f>IF(NOT(ISBLANK(ALcopy!B123)),ALcopy!B123,"")</f>
        <v/>
      </c>
      <c r="F123" s="24" t="str">
        <f>IF(E123&lt;&gt;"",ALcopy!A123,"")</f>
        <v/>
      </c>
      <c r="G123" s="24" t="str">
        <f>IF(E123&lt;&gt;"",ALcopy!F123,"")</f>
        <v/>
      </c>
    </row>
    <row r="124" spans="1:7" ht="15.75" customHeight="1">
      <c r="A124" s="23" t="str">
        <f t="shared" si="4"/>
        <v/>
      </c>
      <c r="B124" t="str">
        <f t="shared" si="5"/>
        <v/>
      </c>
      <c r="C124" s="23" t="str">
        <f t="shared" si="6"/>
        <v/>
      </c>
      <c r="E124" s="24" t="str">
        <f>IF(NOT(ISBLANK(ALcopy!B124)),ALcopy!B124,"")</f>
        <v/>
      </c>
      <c r="F124" s="24" t="str">
        <f>IF(E124&lt;&gt;"",ALcopy!A124,"")</f>
        <v/>
      </c>
      <c r="G124" s="24" t="str">
        <f>IF(E124&lt;&gt;"",ALcopy!F124,"")</f>
        <v/>
      </c>
    </row>
    <row r="125" spans="1:7" ht="15.75" customHeight="1">
      <c r="A125" s="23" t="str">
        <f t="shared" si="4"/>
        <v/>
      </c>
      <c r="B125" t="str">
        <f t="shared" si="5"/>
        <v/>
      </c>
      <c r="C125" s="23" t="str">
        <f t="shared" si="6"/>
        <v/>
      </c>
      <c r="E125" s="24" t="str">
        <f>IF(NOT(ISBLANK(ALcopy!B125)),ALcopy!B125,"")</f>
        <v/>
      </c>
      <c r="F125" s="24" t="str">
        <f>IF(E125&lt;&gt;"",ALcopy!A125,"")</f>
        <v/>
      </c>
      <c r="G125" s="24" t="str">
        <f>IF(E125&lt;&gt;"",ALcopy!F125,"")</f>
        <v/>
      </c>
    </row>
    <row r="126" spans="1:7" ht="15.75" customHeight="1">
      <c r="A126" s="23" t="str">
        <f t="shared" si="4"/>
        <v/>
      </c>
      <c r="B126" t="str">
        <f t="shared" si="5"/>
        <v/>
      </c>
      <c r="C126" s="23" t="str">
        <f t="shared" si="6"/>
        <v/>
      </c>
      <c r="E126" s="24" t="str">
        <f>IF(NOT(ISBLANK(ALcopy!B126)),ALcopy!B126,"")</f>
        <v/>
      </c>
      <c r="F126" s="24" t="str">
        <f>IF(E126&lt;&gt;"",ALcopy!A126,"")</f>
        <v/>
      </c>
      <c r="G126" s="24" t="str">
        <f>IF(E126&lt;&gt;"",ALcopy!F126,"")</f>
        <v/>
      </c>
    </row>
    <row r="127" spans="1:7" ht="15.75" customHeight="1">
      <c r="A127" s="23" t="str">
        <f t="shared" si="4"/>
        <v/>
      </c>
      <c r="B127" t="str">
        <f t="shared" si="5"/>
        <v/>
      </c>
      <c r="C127" s="23" t="str">
        <f t="shared" si="6"/>
        <v/>
      </c>
      <c r="E127" s="24" t="str">
        <f>IF(NOT(ISBLANK(ALcopy!B127)),ALcopy!B127,"")</f>
        <v/>
      </c>
      <c r="F127" s="24" t="str">
        <f>IF(E127&lt;&gt;"",ALcopy!A127,"")</f>
        <v/>
      </c>
      <c r="G127" s="24" t="str">
        <f>IF(E127&lt;&gt;"",ALcopy!F127,"")</f>
        <v/>
      </c>
    </row>
    <row r="128" spans="1:7" ht="15.75" customHeight="1">
      <c r="A128" s="23" t="str">
        <f t="shared" si="4"/>
        <v/>
      </c>
      <c r="B128" t="str">
        <f t="shared" si="5"/>
        <v/>
      </c>
      <c r="C128" s="23" t="str">
        <f t="shared" si="6"/>
        <v/>
      </c>
      <c r="E128" s="24" t="str">
        <f>IF(NOT(ISBLANK(ALcopy!B128)),ALcopy!B128,"")</f>
        <v/>
      </c>
      <c r="F128" s="24" t="str">
        <f>IF(E128&lt;&gt;"",ALcopy!A128,"")</f>
        <v/>
      </c>
      <c r="G128" s="24" t="str">
        <f>IF(E128&lt;&gt;"",ALcopy!F128,"")</f>
        <v/>
      </c>
    </row>
    <row r="129" spans="1:7" ht="15.75" customHeight="1">
      <c r="A129" s="23" t="str">
        <f t="shared" si="4"/>
        <v/>
      </c>
      <c r="B129" t="str">
        <f t="shared" si="5"/>
        <v/>
      </c>
      <c r="C129" s="23" t="str">
        <f t="shared" si="6"/>
        <v/>
      </c>
      <c r="E129" s="24" t="str">
        <f>IF(NOT(ISBLANK(ALcopy!B129)),ALcopy!B129,"")</f>
        <v/>
      </c>
      <c r="F129" s="24" t="str">
        <f>IF(E129&lt;&gt;"",ALcopy!A129,"")</f>
        <v/>
      </c>
      <c r="G129" s="24" t="str">
        <f>IF(E129&lt;&gt;"",ALcopy!F129,"")</f>
        <v/>
      </c>
    </row>
    <row r="130" spans="1:7" ht="15.75" customHeight="1">
      <c r="A130" s="23" t="str">
        <f t="shared" si="4"/>
        <v/>
      </c>
      <c r="B130" t="str">
        <f t="shared" si="5"/>
        <v/>
      </c>
      <c r="C130" s="23" t="str">
        <f t="shared" si="6"/>
        <v/>
      </c>
      <c r="E130" s="24" t="str">
        <f>IF(NOT(ISBLANK(ALcopy!B130)),ALcopy!B130,"")</f>
        <v/>
      </c>
      <c r="F130" s="24" t="str">
        <f>IF(E130&lt;&gt;"",ALcopy!A130,"")</f>
        <v/>
      </c>
      <c r="G130" s="24" t="str">
        <f>IF(E130&lt;&gt;"",ALcopy!F130,"")</f>
        <v/>
      </c>
    </row>
    <row r="131" spans="1:7" ht="15.75" customHeight="1">
      <c r="A131" s="23" t="str">
        <f t="shared" ref="A131:A194" si="7">IF(E131&lt;&gt;"",DATEVALUE(LEFT(E131,10)),"")</f>
        <v/>
      </c>
      <c r="B131" t="str">
        <f t="shared" ref="B131:B194" si="8">IF(LEN(F131)&gt;3,RIGHT(F131,LEN(F131)-3),"")</f>
        <v/>
      </c>
      <c r="C131" s="23" t="str">
        <f t="shared" ref="C131:C194" si="9">IF(E131&lt;&gt;"",DATEVALUE(LEFT(G131,10)),"")</f>
        <v/>
      </c>
      <c r="E131" s="24" t="str">
        <f>IF(NOT(ISBLANK(ALcopy!B131)),ALcopy!B131,"")</f>
        <v/>
      </c>
      <c r="F131" s="24" t="str">
        <f>IF(E131&lt;&gt;"",ALcopy!A131,"")</f>
        <v/>
      </c>
      <c r="G131" s="24" t="str">
        <f>IF(E131&lt;&gt;"",ALcopy!F131,"")</f>
        <v/>
      </c>
    </row>
    <row r="132" spans="1:7" ht="15.75" customHeight="1">
      <c r="A132" s="23" t="str">
        <f t="shared" si="7"/>
        <v/>
      </c>
      <c r="B132" t="str">
        <f t="shared" si="8"/>
        <v/>
      </c>
      <c r="C132" s="23" t="str">
        <f t="shared" si="9"/>
        <v/>
      </c>
      <c r="E132" s="24" t="str">
        <f>IF(NOT(ISBLANK(ALcopy!B132)),ALcopy!B132,"")</f>
        <v/>
      </c>
      <c r="F132" s="24" t="str">
        <f>IF(E132&lt;&gt;"",ALcopy!A132,"")</f>
        <v/>
      </c>
      <c r="G132" s="24" t="str">
        <f>IF(E132&lt;&gt;"",ALcopy!F132,"")</f>
        <v/>
      </c>
    </row>
    <row r="133" spans="1:7" ht="15.75" customHeight="1">
      <c r="A133" s="23" t="str">
        <f t="shared" si="7"/>
        <v/>
      </c>
      <c r="B133" t="str">
        <f t="shared" si="8"/>
        <v/>
      </c>
      <c r="C133" s="23" t="str">
        <f t="shared" si="9"/>
        <v/>
      </c>
      <c r="E133" s="24" t="str">
        <f>IF(NOT(ISBLANK(ALcopy!B133)),ALcopy!B133,"")</f>
        <v/>
      </c>
      <c r="F133" s="24" t="str">
        <f>IF(E133&lt;&gt;"",ALcopy!A133,"")</f>
        <v/>
      </c>
      <c r="G133" s="24" t="str">
        <f>IF(E133&lt;&gt;"",ALcopy!F133,"")</f>
        <v/>
      </c>
    </row>
    <row r="134" spans="1:7" ht="15.75" customHeight="1">
      <c r="A134" s="23" t="str">
        <f t="shared" si="7"/>
        <v/>
      </c>
      <c r="B134" t="str">
        <f t="shared" si="8"/>
        <v/>
      </c>
      <c r="C134" s="23" t="str">
        <f t="shared" si="9"/>
        <v/>
      </c>
      <c r="E134" s="24" t="str">
        <f>IF(NOT(ISBLANK(ALcopy!B134)),ALcopy!B134,"")</f>
        <v/>
      </c>
      <c r="F134" s="24" t="str">
        <f>IF(E134&lt;&gt;"",ALcopy!A134,"")</f>
        <v/>
      </c>
      <c r="G134" s="24" t="str">
        <f>IF(E134&lt;&gt;"",ALcopy!F134,"")</f>
        <v/>
      </c>
    </row>
    <row r="135" spans="1:7" ht="15.75" customHeight="1">
      <c r="A135" s="23" t="str">
        <f t="shared" si="7"/>
        <v/>
      </c>
      <c r="B135" t="str">
        <f t="shared" si="8"/>
        <v/>
      </c>
      <c r="C135" s="23" t="str">
        <f t="shared" si="9"/>
        <v/>
      </c>
      <c r="E135" s="24" t="str">
        <f>IF(NOT(ISBLANK(ALcopy!B135)),ALcopy!B135,"")</f>
        <v/>
      </c>
      <c r="F135" s="24" t="str">
        <f>IF(E135&lt;&gt;"",ALcopy!A135,"")</f>
        <v/>
      </c>
      <c r="G135" s="24" t="str">
        <f>IF(E135&lt;&gt;"",ALcopy!F135,"")</f>
        <v/>
      </c>
    </row>
    <row r="136" spans="1:7" ht="15.75" customHeight="1">
      <c r="A136" s="23" t="str">
        <f t="shared" si="7"/>
        <v/>
      </c>
      <c r="B136" t="str">
        <f t="shared" si="8"/>
        <v/>
      </c>
      <c r="C136" s="23" t="str">
        <f t="shared" si="9"/>
        <v/>
      </c>
      <c r="E136" s="24" t="str">
        <f>IF(NOT(ISBLANK(ALcopy!B136)),ALcopy!B136,"")</f>
        <v/>
      </c>
      <c r="F136" s="24" t="str">
        <f>IF(E136&lt;&gt;"",ALcopy!A136,"")</f>
        <v/>
      </c>
      <c r="G136" s="24" t="str">
        <f>IF(E136&lt;&gt;"",ALcopy!F136,"")</f>
        <v/>
      </c>
    </row>
    <row r="137" spans="1:7" ht="15.75" customHeight="1">
      <c r="A137" s="23" t="str">
        <f t="shared" si="7"/>
        <v/>
      </c>
      <c r="B137" t="str">
        <f t="shared" si="8"/>
        <v/>
      </c>
      <c r="C137" s="23" t="str">
        <f t="shared" si="9"/>
        <v/>
      </c>
      <c r="E137" s="24" t="str">
        <f>IF(NOT(ISBLANK(ALcopy!B137)),ALcopy!B137,"")</f>
        <v/>
      </c>
      <c r="F137" s="24" t="str">
        <f>IF(E137&lt;&gt;"",ALcopy!A137,"")</f>
        <v/>
      </c>
      <c r="G137" s="24" t="str">
        <f>IF(E137&lt;&gt;"",ALcopy!F137,"")</f>
        <v/>
      </c>
    </row>
    <row r="138" spans="1:7" ht="15.75" customHeight="1">
      <c r="A138" s="23" t="str">
        <f t="shared" si="7"/>
        <v/>
      </c>
      <c r="B138" t="str">
        <f t="shared" si="8"/>
        <v/>
      </c>
      <c r="C138" s="23" t="str">
        <f t="shared" si="9"/>
        <v/>
      </c>
      <c r="E138" s="24" t="str">
        <f>IF(NOT(ISBLANK(ALcopy!B138)),ALcopy!B138,"")</f>
        <v/>
      </c>
      <c r="F138" s="24" t="str">
        <f>IF(E138&lt;&gt;"",ALcopy!A138,"")</f>
        <v/>
      </c>
      <c r="G138" s="24" t="str">
        <f>IF(E138&lt;&gt;"",ALcopy!F138,"")</f>
        <v/>
      </c>
    </row>
    <row r="139" spans="1:7" ht="15.75" customHeight="1">
      <c r="A139" s="23" t="str">
        <f t="shared" si="7"/>
        <v/>
      </c>
      <c r="B139" t="str">
        <f t="shared" si="8"/>
        <v/>
      </c>
      <c r="C139" s="23" t="str">
        <f t="shared" si="9"/>
        <v/>
      </c>
      <c r="E139" s="24" t="str">
        <f>IF(NOT(ISBLANK(ALcopy!B139)),ALcopy!B139,"")</f>
        <v/>
      </c>
      <c r="F139" s="24" t="str">
        <f>IF(E139&lt;&gt;"",ALcopy!A139,"")</f>
        <v/>
      </c>
      <c r="G139" s="24" t="str">
        <f>IF(E139&lt;&gt;"",ALcopy!F139,"")</f>
        <v/>
      </c>
    </row>
    <row r="140" spans="1:7" ht="15.75" customHeight="1">
      <c r="A140" s="23" t="str">
        <f t="shared" si="7"/>
        <v/>
      </c>
      <c r="B140" t="str">
        <f t="shared" si="8"/>
        <v/>
      </c>
      <c r="C140" s="23" t="str">
        <f t="shared" si="9"/>
        <v/>
      </c>
      <c r="E140" s="24" t="str">
        <f>IF(NOT(ISBLANK(ALcopy!B140)),ALcopy!B140,"")</f>
        <v/>
      </c>
      <c r="F140" s="24" t="str">
        <f>IF(E140&lt;&gt;"",ALcopy!A140,"")</f>
        <v/>
      </c>
      <c r="G140" s="24" t="str">
        <f>IF(E140&lt;&gt;"",ALcopy!F140,"")</f>
        <v/>
      </c>
    </row>
    <row r="141" spans="1:7" ht="15.75" customHeight="1">
      <c r="A141" s="23" t="str">
        <f t="shared" si="7"/>
        <v/>
      </c>
      <c r="B141" t="str">
        <f t="shared" si="8"/>
        <v/>
      </c>
      <c r="C141" s="23" t="str">
        <f t="shared" si="9"/>
        <v/>
      </c>
      <c r="E141" s="24" t="str">
        <f>IF(NOT(ISBLANK(ALcopy!B141)),ALcopy!B141,"")</f>
        <v/>
      </c>
      <c r="F141" s="24" t="str">
        <f>IF(E141&lt;&gt;"",ALcopy!A141,"")</f>
        <v/>
      </c>
      <c r="G141" s="24" t="str">
        <f>IF(E141&lt;&gt;"",ALcopy!F141,"")</f>
        <v/>
      </c>
    </row>
    <row r="142" spans="1:7" ht="15.75" customHeight="1">
      <c r="A142" s="23" t="str">
        <f t="shared" si="7"/>
        <v/>
      </c>
      <c r="B142" t="str">
        <f t="shared" si="8"/>
        <v/>
      </c>
      <c r="C142" s="23" t="str">
        <f t="shared" si="9"/>
        <v/>
      </c>
      <c r="E142" s="24" t="str">
        <f>IF(NOT(ISBLANK(ALcopy!B142)),ALcopy!B142,"")</f>
        <v/>
      </c>
      <c r="F142" s="24" t="str">
        <f>IF(E142&lt;&gt;"",ALcopy!A142,"")</f>
        <v/>
      </c>
      <c r="G142" s="24" t="str">
        <f>IF(E142&lt;&gt;"",ALcopy!F142,"")</f>
        <v/>
      </c>
    </row>
    <row r="143" spans="1:7" ht="15.75" customHeight="1">
      <c r="A143" s="23" t="str">
        <f t="shared" si="7"/>
        <v/>
      </c>
      <c r="B143" t="str">
        <f t="shared" si="8"/>
        <v/>
      </c>
      <c r="C143" s="23" t="str">
        <f t="shared" si="9"/>
        <v/>
      </c>
      <c r="E143" s="24" t="str">
        <f>IF(NOT(ISBLANK(ALcopy!B143)),ALcopy!B143,"")</f>
        <v/>
      </c>
      <c r="F143" s="24" t="str">
        <f>IF(E143&lt;&gt;"",ALcopy!A143,"")</f>
        <v/>
      </c>
      <c r="G143" s="24" t="str">
        <f>IF(E143&lt;&gt;"",ALcopy!F143,"")</f>
        <v/>
      </c>
    </row>
    <row r="144" spans="1:7" ht="15.75" customHeight="1">
      <c r="A144" s="23" t="str">
        <f t="shared" si="7"/>
        <v/>
      </c>
      <c r="B144" t="str">
        <f t="shared" si="8"/>
        <v/>
      </c>
      <c r="C144" s="23" t="str">
        <f t="shared" si="9"/>
        <v/>
      </c>
      <c r="E144" s="24" t="str">
        <f>IF(NOT(ISBLANK(ALcopy!B144)),ALcopy!B144,"")</f>
        <v/>
      </c>
      <c r="F144" s="24" t="str">
        <f>IF(E144&lt;&gt;"",ALcopy!A144,"")</f>
        <v/>
      </c>
      <c r="G144" s="24" t="str">
        <f>IF(E144&lt;&gt;"",ALcopy!F144,"")</f>
        <v/>
      </c>
    </row>
    <row r="145" spans="1:7" ht="15.75" customHeight="1">
      <c r="A145" s="23" t="str">
        <f t="shared" si="7"/>
        <v/>
      </c>
      <c r="B145" t="str">
        <f t="shared" si="8"/>
        <v/>
      </c>
      <c r="C145" s="23" t="str">
        <f t="shared" si="9"/>
        <v/>
      </c>
      <c r="E145" s="24" t="str">
        <f>IF(NOT(ISBLANK(ALcopy!B145)),ALcopy!B145,"")</f>
        <v/>
      </c>
      <c r="F145" s="24" t="str">
        <f>IF(E145&lt;&gt;"",ALcopy!A145,"")</f>
        <v/>
      </c>
      <c r="G145" s="24" t="str">
        <f>IF(E145&lt;&gt;"",ALcopy!F145,"")</f>
        <v/>
      </c>
    </row>
    <row r="146" spans="1:7" ht="15.75" customHeight="1">
      <c r="A146" s="23" t="str">
        <f t="shared" si="7"/>
        <v/>
      </c>
      <c r="B146" t="str">
        <f t="shared" si="8"/>
        <v/>
      </c>
      <c r="C146" s="23" t="str">
        <f t="shared" si="9"/>
        <v/>
      </c>
      <c r="E146" s="24" t="str">
        <f>IF(NOT(ISBLANK(ALcopy!B146)),ALcopy!B146,"")</f>
        <v/>
      </c>
      <c r="F146" s="24" t="str">
        <f>IF(E146&lt;&gt;"",ALcopy!A146,"")</f>
        <v/>
      </c>
      <c r="G146" s="24" t="str">
        <f>IF(E146&lt;&gt;"",ALcopy!F146,"")</f>
        <v/>
      </c>
    </row>
    <row r="147" spans="1:7" ht="15.75" customHeight="1">
      <c r="A147" s="23" t="str">
        <f t="shared" si="7"/>
        <v/>
      </c>
      <c r="B147" t="str">
        <f t="shared" si="8"/>
        <v/>
      </c>
      <c r="C147" s="23" t="str">
        <f t="shared" si="9"/>
        <v/>
      </c>
      <c r="E147" s="24" t="str">
        <f>IF(NOT(ISBLANK(ALcopy!B147)),ALcopy!B147,"")</f>
        <v/>
      </c>
      <c r="F147" s="24" t="str">
        <f>IF(E147&lt;&gt;"",ALcopy!A147,"")</f>
        <v/>
      </c>
      <c r="G147" s="24" t="str">
        <f>IF(E147&lt;&gt;"",ALcopy!F147,"")</f>
        <v/>
      </c>
    </row>
    <row r="148" spans="1:7" ht="15.75" customHeight="1">
      <c r="A148" s="23" t="str">
        <f t="shared" si="7"/>
        <v/>
      </c>
      <c r="B148" t="str">
        <f t="shared" si="8"/>
        <v/>
      </c>
      <c r="C148" s="23" t="str">
        <f t="shared" si="9"/>
        <v/>
      </c>
      <c r="E148" s="24" t="str">
        <f>IF(NOT(ISBLANK(ALcopy!B148)),ALcopy!B148,"")</f>
        <v/>
      </c>
      <c r="F148" s="24" t="str">
        <f>IF(E148&lt;&gt;"",ALcopy!A148,"")</f>
        <v/>
      </c>
      <c r="G148" s="24" t="str">
        <f>IF(E148&lt;&gt;"",ALcopy!F148,"")</f>
        <v/>
      </c>
    </row>
    <row r="149" spans="1:7" ht="15.75" customHeight="1">
      <c r="A149" s="23" t="str">
        <f t="shared" si="7"/>
        <v/>
      </c>
      <c r="B149" t="str">
        <f t="shared" si="8"/>
        <v/>
      </c>
      <c r="C149" s="23" t="str">
        <f t="shared" si="9"/>
        <v/>
      </c>
      <c r="E149" s="24" t="str">
        <f>IF(NOT(ISBLANK(ALcopy!B149)),ALcopy!B149,"")</f>
        <v/>
      </c>
      <c r="F149" s="24" t="str">
        <f>IF(E149&lt;&gt;"",ALcopy!A149,"")</f>
        <v/>
      </c>
      <c r="G149" s="24" t="str">
        <f>IF(E149&lt;&gt;"",ALcopy!F149,"")</f>
        <v/>
      </c>
    </row>
    <row r="150" spans="1:7" ht="15.75" customHeight="1">
      <c r="A150" s="23" t="str">
        <f t="shared" si="7"/>
        <v/>
      </c>
      <c r="B150" t="str">
        <f t="shared" si="8"/>
        <v/>
      </c>
      <c r="C150" s="23" t="str">
        <f t="shared" si="9"/>
        <v/>
      </c>
      <c r="E150" s="24" t="str">
        <f>IF(NOT(ISBLANK(ALcopy!B150)),ALcopy!B150,"")</f>
        <v/>
      </c>
      <c r="F150" s="24" t="str">
        <f>IF(E150&lt;&gt;"",ALcopy!A150,"")</f>
        <v/>
      </c>
      <c r="G150" s="24" t="str">
        <f>IF(E150&lt;&gt;"",ALcopy!F150,"")</f>
        <v/>
      </c>
    </row>
    <row r="151" spans="1:7" ht="15.75" customHeight="1">
      <c r="A151" s="23" t="str">
        <f t="shared" si="7"/>
        <v/>
      </c>
      <c r="B151" t="str">
        <f t="shared" si="8"/>
        <v/>
      </c>
      <c r="C151" s="23" t="str">
        <f t="shared" si="9"/>
        <v/>
      </c>
      <c r="E151" s="24" t="str">
        <f>IF(NOT(ISBLANK(ALcopy!B151)),ALcopy!B151,"")</f>
        <v/>
      </c>
      <c r="F151" s="24" t="str">
        <f>IF(E151&lt;&gt;"",ALcopy!A151,"")</f>
        <v/>
      </c>
      <c r="G151" s="24" t="str">
        <f>IF(E151&lt;&gt;"",ALcopy!F151,"")</f>
        <v/>
      </c>
    </row>
    <row r="152" spans="1:7" ht="15.75" customHeight="1">
      <c r="A152" s="23" t="str">
        <f t="shared" si="7"/>
        <v/>
      </c>
      <c r="B152" t="str">
        <f t="shared" si="8"/>
        <v/>
      </c>
      <c r="C152" s="23" t="str">
        <f t="shared" si="9"/>
        <v/>
      </c>
      <c r="E152" s="24" t="str">
        <f>IF(NOT(ISBLANK(ALcopy!B152)),ALcopy!B152,"")</f>
        <v/>
      </c>
      <c r="F152" s="24" t="str">
        <f>IF(E152&lt;&gt;"",ALcopy!A152,"")</f>
        <v/>
      </c>
      <c r="G152" s="24" t="str">
        <f>IF(E152&lt;&gt;"",ALcopy!F152,"")</f>
        <v/>
      </c>
    </row>
    <row r="153" spans="1:7" ht="15.75" customHeight="1">
      <c r="A153" s="23" t="str">
        <f t="shared" si="7"/>
        <v/>
      </c>
      <c r="B153" t="str">
        <f t="shared" si="8"/>
        <v/>
      </c>
      <c r="C153" s="23" t="str">
        <f t="shared" si="9"/>
        <v/>
      </c>
      <c r="E153" s="24" t="str">
        <f>IF(NOT(ISBLANK(ALcopy!B153)),ALcopy!B153,"")</f>
        <v/>
      </c>
      <c r="F153" s="24" t="str">
        <f>IF(E153&lt;&gt;"",ALcopy!A153,"")</f>
        <v/>
      </c>
      <c r="G153" s="24" t="str">
        <f>IF(E153&lt;&gt;"",ALcopy!F153,"")</f>
        <v/>
      </c>
    </row>
    <row r="154" spans="1:7" ht="15.75" customHeight="1">
      <c r="A154" s="23" t="str">
        <f t="shared" si="7"/>
        <v/>
      </c>
      <c r="B154" t="str">
        <f t="shared" si="8"/>
        <v/>
      </c>
      <c r="C154" s="23" t="str">
        <f t="shared" si="9"/>
        <v/>
      </c>
      <c r="E154" s="24" t="str">
        <f>IF(NOT(ISBLANK(ALcopy!B154)),ALcopy!B154,"")</f>
        <v/>
      </c>
      <c r="F154" s="24" t="str">
        <f>IF(E154&lt;&gt;"",ALcopy!A154,"")</f>
        <v/>
      </c>
      <c r="G154" s="24" t="str">
        <f>IF(E154&lt;&gt;"",ALcopy!F154,"")</f>
        <v/>
      </c>
    </row>
    <row r="155" spans="1:7" ht="15.75" customHeight="1">
      <c r="A155" s="23" t="str">
        <f t="shared" si="7"/>
        <v/>
      </c>
      <c r="B155" t="str">
        <f t="shared" si="8"/>
        <v/>
      </c>
      <c r="C155" s="23" t="str">
        <f t="shared" si="9"/>
        <v/>
      </c>
      <c r="E155" s="24" t="str">
        <f>IF(NOT(ISBLANK(ALcopy!B155)),ALcopy!B155,"")</f>
        <v/>
      </c>
      <c r="F155" s="24" t="str">
        <f>IF(E155&lt;&gt;"",ALcopy!A155,"")</f>
        <v/>
      </c>
      <c r="G155" s="24" t="str">
        <f>IF(E155&lt;&gt;"",ALcopy!F155,"")</f>
        <v/>
      </c>
    </row>
    <row r="156" spans="1:7" ht="15.75" customHeight="1">
      <c r="A156" s="23" t="str">
        <f t="shared" si="7"/>
        <v/>
      </c>
      <c r="B156" t="str">
        <f t="shared" si="8"/>
        <v/>
      </c>
      <c r="C156" s="23" t="str">
        <f t="shared" si="9"/>
        <v/>
      </c>
      <c r="E156" s="24" t="str">
        <f>IF(NOT(ISBLANK(ALcopy!B156)),ALcopy!B156,"")</f>
        <v/>
      </c>
      <c r="F156" s="24" t="str">
        <f>IF(E156&lt;&gt;"",ALcopy!A156,"")</f>
        <v/>
      </c>
      <c r="G156" s="24" t="str">
        <f>IF(E156&lt;&gt;"",ALcopy!F156,"")</f>
        <v/>
      </c>
    </row>
    <row r="157" spans="1:7" ht="15.75" customHeight="1">
      <c r="A157" s="23" t="str">
        <f t="shared" si="7"/>
        <v/>
      </c>
      <c r="B157" t="str">
        <f t="shared" si="8"/>
        <v/>
      </c>
      <c r="C157" s="23" t="str">
        <f t="shared" si="9"/>
        <v/>
      </c>
      <c r="E157" s="24" t="str">
        <f>IF(NOT(ISBLANK(ALcopy!B157)),ALcopy!B157,"")</f>
        <v/>
      </c>
      <c r="F157" s="24" t="str">
        <f>IF(E157&lt;&gt;"",ALcopy!A157,"")</f>
        <v/>
      </c>
      <c r="G157" s="24" t="str">
        <f>IF(E157&lt;&gt;"",ALcopy!F157,"")</f>
        <v/>
      </c>
    </row>
    <row r="158" spans="1:7" ht="15.75" customHeight="1">
      <c r="A158" s="23" t="str">
        <f t="shared" si="7"/>
        <v/>
      </c>
      <c r="B158" t="str">
        <f t="shared" si="8"/>
        <v/>
      </c>
      <c r="C158" s="23" t="str">
        <f t="shared" si="9"/>
        <v/>
      </c>
      <c r="E158" s="24" t="str">
        <f>IF(NOT(ISBLANK(ALcopy!B158)),ALcopy!B158,"")</f>
        <v/>
      </c>
      <c r="F158" s="24" t="str">
        <f>IF(E158&lt;&gt;"",ALcopy!A158,"")</f>
        <v/>
      </c>
      <c r="G158" s="24" t="str">
        <f>IF(E158&lt;&gt;"",ALcopy!F158,"")</f>
        <v/>
      </c>
    </row>
    <row r="159" spans="1:7" ht="15.75" customHeight="1">
      <c r="A159" s="23" t="str">
        <f t="shared" si="7"/>
        <v/>
      </c>
      <c r="B159" t="str">
        <f t="shared" si="8"/>
        <v/>
      </c>
      <c r="C159" s="23" t="str">
        <f t="shared" si="9"/>
        <v/>
      </c>
      <c r="E159" s="24" t="str">
        <f>IF(NOT(ISBLANK(ALcopy!B159)),ALcopy!B159,"")</f>
        <v/>
      </c>
      <c r="F159" s="24" t="str">
        <f>IF(E159&lt;&gt;"",ALcopy!A159,"")</f>
        <v/>
      </c>
      <c r="G159" s="24" t="str">
        <f>IF(E159&lt;&gt;"",ALcopy!F159,"")</f>
        <v/>
      </c>
    </row>
    <row r="160" spans="1:7" ht="15.75" customHeight="1">
      <c r="A160" s="23" t="str">
        <f t="shared" si="7"/>
        <v/>
      </c>
      <c r="B160" t="str">
        <f t="shared" si="8"/>
        <v/>
      </c>
      <c r="C160" s="23" t="str">
        <f t="shared" si="9"/>
        <v/>
      </c>
      <c r="E160" s="24" t="str">
        <f>IF(NOT(ISBLANK(ALcopy!B160)),ALcopy!B160,"")</f>
        <v/>
      </c>
      <c r="F160" s="24" t="str">
        <f>IF(E160&lt;&gt;"",ALcopy!A160,"")</f>
        <v/>
      </c>
      <c r="G160" s="24" t="str">
        <f>IF(E160&lt;&gt;"",ALcopy!F160,"")</f>
        <v/>
      </c>
    </row>
    <row r="161" spans="1:7" ht="15.75" customHeight="1">
      <c r="A161" s="23" t="str">
        <f t="shared" si="7"/>
        <v/>
      </c>
      <c r="B161" t="str">
        <f t="shared" si="8"/>
        <v/>
      </c>
      <c r="C161" s="23" t="str">
        <f t="shared" si="9"/>
        <v/>
      </c>
      <c r="E161" s="24" t="str">
        <f>IF(NOT(ISBLANK(ALcopy!B161)),ALcopy!B161,"")</f>
        <v/>
      </c>
      <c r="F161" s="24" t="str">
        <f>IF(E161&lt;&gt;"",ALcopy!A161,"")</f>
        <v/>
      </c>
      <c r="G161" s="24" t="str">
        <f>IF(E161&lt;&gt;"",ALcopy!F161,"")</f>
        <v/>
      </c>
    </row>
    <row r="162" spans="1:7" ht="15.75" customHeight="1">
      <c r="A162" s="23" t="str">
        <f t="shared" si="7"/>
        <v/>
      </c>
      <c r="B162" t="str">
        <f t="shared" si="8"/>
        <v/>
      </c>
      <c r="C162" s="23" t="str">
        <f t="shared" si="9"/>
        <v/>
      </c>
      <c r="E162" s="24" t="str">
        <f>IF(NOT(ISBLANK(ALcopy!B162)),ALcopy!B162,"")</f>
        <v/>
      </c>
      <c r="F162" s="24" t="str">
        <f>IF(E162&lt;&gt;"",ALcopy!A162,"")</f>
        <v/>
      </c>
      <c r="G162" s="24" t="str">
        <f>IF(E162&lt;&gt;"",ALcopy!F162,"")</f>
        <v/>
      </c>
    </row>
    <row r="163" spans="1:7" ht="15.75" customHeight="1">
      <c r="A163" s="23" t="str">
        <f t="shared" si="7"/>
        <v/>
      </c>
      <c r="B163" t="str">
        <f t="shared" si="8"/>
        <v/>
      </c>
      <c r="C163" s="23" t="str">
        <f t="shared" si="9"/>
        <v/>
      </c>
      <c r="E163" s="24" t="str">
        <f>IF(NOT(ISBLANK(ALcopy!B163)),ALcopy!B163,"")</f>
        <v/>
      </c>
      <c r="F163" s="24" t="str">
        <f>IF(E163&lt;&gt;"",ALcopy!A163,"")</f>
        <v/>
      </c>
      <c r="G163" s="24" t="str">
        <f>IF(E163&lt;&gt;"",ALcopy!F163,"")</f>
        <v/>
      </c>
    </row>
    <row r="164" spans="1:7" ht="15.75" customHeight="1">
      <c r="A164" s="23" t="str">
        <f t="shared" si="7"/>
        <v/>
      </c>
      <c r="B164" t="str">
        <f t="shared" si="8"/>
        <v/>
      </c>
      <c r="C164" s="23" t="str">
        <f t="shared" si="9"/>
        <v/>
      </c>
      <c r="E164" s="24" t="str">
        <f>IF(NOT(ISBLANK(ALcopy!B164)),ALcopy!B164,"")</f>
        <v/>
      </c>
      <c r="F164" s="24" t="str">
        <f>IF(E164&lt;&gt;"",ALcopy!A164,"")</f>
        <v/>
      </c>
      <c r="G164" s="24" t="str">
        <f>IF(E164&lt;&gt;"",ALcopy!F164,"")</f>
        <v/>
      </c>
    </row>
    <row r="165" spans="1:7" ht="15.75" customHeight="1">
      <c r="A165" s="23" t="str">
        <f t="shared" si="7"/>
        <v/>
      </c>
      <c r="B165" t="str">
        <f t="shared" si="8"/>
        <v/>
      </c>
      <c r="C165" s="23" t="str">
        <f t="shared" si="9"/>
        <v/>
      </c>
      <c r="E165" s="24" t="str">
        <f>IF(NOT(ISBLANK(ALcopy!B165)),ALcopy!B165,"")</f>
        <v/>
      </c>
      <c r="F165" s="24" t="str">
        <f>IF(E165&lt;&gt;"",ALcopy!A165,"")</f>
        <v/>
      </c>
      <c r="G165" s="24" t="str">
        <f>IF(E165&lt;&gt;"",ALcopy!F165,"")</f>
        <v/>
      </c>
    </row>
    <row r="166" spans="1:7" ht="15.75" customHeight="1">
      <c r="A166" s="23" t="str">
        <f t="shared" si="7"/>
        <v/>
      </c>
      <c r="B166" t="str">
        <f t="shared" si="8"/>
        <v/>
      </c>
      <c r="C166" s="23" t="str">
        <f t="shared" si="9"/>
        <v/>
      </c>
      <c r="E166" s="24" t="str">
        <f>IF(NOT(ISBLANK(ALcopy!B166)),ALcopy!B166,"")</f>
        <v/>
      </c>
      <c r="F166" s="24" t="str">
        <f>IF(E166&lt;&gt;"",ALcopy!A166,"")</f>
        <v/>
      </c>
      <c r="G166" s="24" t="str">
        <f>IF(E166&lt;&gt;"",ALcopy!F166,"")</f>
        <v/>
      </c>
    </row>
    <row r="167" spans="1:7" ht="15.75" customHeight="1">
      <c r="A167" s="23" t="str">
        <f t="shared" si="7"/>
        <v/>
      </c>
      <c r="B167" t="str">
        <f t="shared" si="8"/>
        <v/>
      </c>
      <c r="C167" s="23" t="str">
        <f t="shared" si="9"/>
        <v/>
      </c>
      <c r="E167" s="24" t="str">
        <f>IF(NOT(ISBLANK(ALcopy!B167)),ALcopy!B167,"")</f>
        <v/>
      </c>
      <c r="F167" s="24" t="str">
        <f>IF(E167&lt;&gt;"",ALcopy!A167,"")</f>
        <v/>
      </c>
      <c r="G167" s="24" t="str">
        <f>IF(E167&lt;&gt;"",ALcopy!F167,"")</f>
        <v/>
      </c>
    </row>
    <row r="168" spans="1:7" ht="15.75" customHeight="1">
      <c r="A168" s="23" t="str">
        <f t="shared" si="7"/>
        <v/>
      </c>
      <c r="B168" t="str">
        <f t="shared" si="8"/>
        <v/>
      </c>
      <c r="C168" s="23" t="str">
        <f t="shared" si="9"/>
        <v/>
      </c>
      <c r="E168" s="24" t="str">
        <f>IF(NOT(ISBLANK(ALcopy!B168)),ALcopy!B168,"")</f>
        <v/>
      </c>
      <c r="F168" s="24" t="str">
        <f>IF(E168&lt;&gt;"",ALcopy!A168,"")</f>
        <v/>
      </c>
      <c r="G168" s="24" t="str">
        <f>IF(E168&lt;&gt;"",ALcopy!F168,"")</f>
        <v/>
      </c>
    </row>
    <row r="169" spans="1:7" ht="15.75" customHeight="1">
      <c r="A169" s="23" t="str">
        <f t="shared" si="7"/>
        <v/>
      </c>
      <c r="B169" t="str">
        <f t="shared" si="8"/>
        <v/>
      </c>
      <c r="C169" s="23" t="str">
        <f t="shared" si="9"/>
        <v/>
      </c>
      <c r="E169" s="24" t="str">
        <f>IF(NOT(ISBLANK(ALcopy!B169)),ALcopy!B169,"")</f>
        <v/>
      </c>
      <c r="F169" s="24" t="str">
        <f>IF(E169&lt;&gt;"",ALcopy!A169,"")</f>
        <v/>
      </c>
      <c r="G169" s="24" t="str">
        <f>IF(E169&lt;&gt;"",ALcopy!F169,"")</f>
        <v/>
      </c>
    </row>
    <row r="170" spans="1:7" ht="15.75" customHeight="1">
      <c r="A170" s="23" t="str">
        <f t="shared" si="7"/>
        <v/>
      </c>
      <c r="B170" t="str">
        <f t="shared" si="8"/>
        <v/>
      </c>
      <c r="C170" s="23" t="str">
        <f t="shared" si="9"/>
        <v/>
      </c>
      <c r="E170" s="24" t="str">
        <f>IF(NOT(ISBLANK(ALcopy!B170)),ALcopy!B170,"")</f>
        <v/>
      </c>
      <c r="F170" s="24" t="str">
        <f>IF(E170&lt;&gt;"",ALcopy!A170,"")</f>
        <v/>
      </c>
      <c r="G170" s="24" t="str">
        <f>IF(E170&lt;&gt;"",ALcopy!F170,"")</f>
        <v/>
      </c>
    </row>
    <row r="171" spans="1:7" ht="15.75" customHeight="1">
      <c r="A171" s="23" t="str">
        <f t="shared" si="7"/>
        <v/>
      </c>
      <c r="B171" t="str">
        <f t="shared" si="8"/>
        <v/>
      </c>
      <c r="C171" s="23" t="str">
        <f t="shared" si="9"/>
        <v/>
      </c>
      <c r="E171" s="24" t="str">
        <f>IF(NOT(ISBLANK(ALcopy!B171)),ALcopy!B171,"")</f>
        <v/>
      </c>
      <c r="F171" s="24" t="str">
        <f>IF(E171&lt;&gt;"",ALcopy!A171,"")</f>
        <v/>
      </c>
      <c r="G171" s="24" t="str">
        <f>IF(E171&lt;&gt;"",ALcopy!F171,"")</f>
        <v/>
      </c>
    </row>
    <row r="172" spans="1:7" ht="15.75" customHeight="1">
      <c r="A172" s="23" t="str">
        <f t="shared" si="7"/>
        <v/>
      </c>
      <c r="B172" t="str">
        <f t="shared" si="8"/>
        <v/>
      </c>
      <c r="C172" s="23" t="str">
        <f t="shared" si="9"/>
        <v/>
      </c>
      <c r="E172" s="24" t="str">
        <f>IF(NOT(ISBLANK(ALcopy!B172)),ALcopy!B172,"")</f>
        <v/>
      </c>
      <c r="F172" s="24" t="str">
        <f>IF(E172&lt;&gt;"",ALcopy!A172,"")</f>
        <v/>
      </c>
      <c r="G172" s="24" t="str">
        <f>IF(E172&lt;&gt;"",ALcopy!F172,"")</f>
        <v/>
      </c>
    </row>
    <row r="173" spans="1:7" ht="15.75" customHeight="1">
      <c r="A173" s="23" t="str">
        <f t="shared" si="7"/>
        <v/>
      </c>
      <c r="B173" t="str">
        <f t="shared" si="8"/>
        <v/>
      </c>
      <c r="C173" s="23" t="str">
        <f t="shared" si="9"/>
        <v/>
      </c>
      <c r="E173" s="24" t="str">
        <f>IF(NOT(ISBLANK(ALcopy!B173)),ALcopy!B173,"")</f>
        <v/>
      </c>
      <c r="F173" s="24" t="str">
        <f>IF(E173&lt;&gt;"",ALcopy!A173,"")</f>
        <v/>
      </c>
      <c r="G173" s="24" t="str">
        <f>IF(E173&lt;&gt;"",ALcopy!F173,"")</f>
        <v/>
      </c>
    </row>
    <row r="174" spans="1:7" ht="15.75" customHeight="1">
      <c r="A174" s="23" t="str">
        <f t="shared" si="7"/>
        <v/>
      </c>
      <c r="B174" t="str">
        <f t="shared" si="8"/>
        <v/>
      </c>
      <c r="C174" s="23" t="str">
        <f t="shared" si="9"/>
        <v/>
      </c>
      <c r="E174" s="24" t="str">
        <f>IF(NOT(ISBLANK(ALcopy!B174)),ALcopy!B174,"")</f>
        <v/>
      </c>
      <c r="F174" s="24" t="str">
        <f>IF(E174&lt;&gt;"",ALcopy!A174,"")</f>
        <v/>
      </c>
      <c r="G174" s="24" t="str">
        <f>IF(E174&lt;&gt;"",ALcopy!F174,"")</f>
        <v/>
      </c>
    </row>
    <row r="175" spans="1:7" ht="15.75" customHeight="1">
      <c r="A175" s="23" t="str">
        <f t="shared" si="7"/>
        <v/>
      </c>
      <c r="B175" t="str">
        <f t="shared" si="8"/>
        <v/>
      </c>
      <c r="C175" s="23" t="str">
        <f t="shared" si="9"/>
        <v/>
      </c>
      <c r="E175" s="24" t="str">
        <f>IF(NOT(ISBLANK(ALcopy!B175)),ALcopy!B175,"")</f>
        <v/>
      </c>
      <c r="F175" s="24" t="str">
        <f>IF(E175&lt;&gt;"",ALcopy!A175,"")</f>
        <v/>
      </c>
      <c r="G175" s="24" t="str">
        <f>IF(E175&lt;&gt;"",ALcopy!F175,"")</f>
        <v/>
      </c>
    </row>
    <row r="176" spans="1:7" ht="15.75" customHeight="1">
      <c r="A176" s="23" t="str">
        <f t="shared" si="7"/>
        <v/>
      </c>
      <c r="B176" t="str">
        <f t="shared" si="8"/>
        <v/>
      </c>
      <c r="C176" s="23" t="str">
        <f t="shared" si="9"/>
        <v/>
      </c>
      <c r="E176" s="24" t="str">
        <f>IF(NOT(ISBLANK(ALcopy!B176)),ALcopy!B176,"")</f>
        <v/>
      </c>
      <c r="F176" s="24" t="str">
        <f>IF(E176&lt;&gt;"",ALcopy!A176,"")</f>
        <v/>
      </c>
      <c r="G176" s="24" t="str">
        <f>IF(E176&lt;&gt;"",ALcopy!F176,"")</f>
        <v/>
      </c>
    </row>
    <row r="177" spans="1:7" ht="15.75" customHeight="1">
      <c r="A177" s="23" t="str">
        <f t="shared" si="7"/>
        <v/>
      </c>
      <c r="B177" t="str">
        <f t="shared" si="8"/>
        <v/>
      </c>
      <c r="C177" s="23" t="str">
        <f t="shared" si="9"/>
        <v/>
      </c>
      <c r="E177" s="24" t="str">
        <f>IF(NOT(ISBLANK(ALcopy!B177)),ALcopy!B177,"")</f>
        <v/>
      </c>
      <c r="F177" s="24" t="str">
        <f>IF(E177&lt;&gt;"",ALcopy!A177,"")</f>
        <v/>
      </c>
      <c r="G177" s="24" t="str">
        <f>IF(E177&lt;&gt;"",ALcopy!F177,"")</f>
        <v/>
      </c>
    </row>
    <row r="178" spans="1:7" ht="15.75" customHeight="1">
      <c r="A178" s="23" t="str">
        <f t="shared" si="7"/>
        <v/>
      </c>
      <c r="B178" t="str">
        <f t="shared" si="8"/>
        <v/>
      </c>
      <c r="C178" s="23" t="str">
        <f t="shared" si="9"/>
        <v/>
      </c>
      <c r="E178" s="24" t="str">
        <f>IF(NOT(ISBLANK(ALcopy!B178)),ALcopy!B178,"")</f>
        <v/>
      </c>
      <c r="F178" s="24" t="str">
        <f>IF(E178&lt;&gt;"",ALcopy!A178,"")</f>
        <v/>
      </c>
      <c r="G178" s="24" t="str">
        <f>IF(E178&lt;&gt;"",ALcopy!F178,"")</f>
        <v/>
      </c>
    </row>
    <row r="179" spans="1:7" ht="15.75" customHeight="1">
      <c r="A179" s="23" t="str">
        <f t="shared" si="7"/>
        <v/>
      </c>
      <c r="B179" t="str">
        <f t="shared" si="8"/>
        <v/>
      </c>
      <c r="C179" s="23" t="str">
        <f t="shared" si="9"/>
        <v/>
      </c>
      <c r="E179" s="24" t="str">
        <f>IF(NOT(ISBLANK(ALcopy!B179)),ALcopy!B179,"")</f>
        <v/>
      </c>
      <c r="F179" s="24" t="str">
        <f>IF(E179&lt;&gt;"",ALcopy!A179,"")</f>
        <v/>
      </c>
      <c r="G179" s="24" t="str">
        <f>IF(E179&lt;&gt;"",ALcopy!F179,"")</f>
        <v/>
      </c>
    </row>
    <row r="180" spans="1:7" ht="15.75" customHeight="1">
      <c r="A180" s="23" t="str">
        <f t="shared" si="7"/>
        <v/>
      </c>
      <c r="B180" t="str">
        <f t="shared" si="8"/>
        <v/>
      </c>
      <c r="C180" s="23" t="str">
        <f t="shared" si="9"/>
        <v/>
      </c>
      <c r="E180" s="24" t="str">
        <f>IF(NOT(ISBLANK(ALcopy!B180)),ALcopy!B180,"")</f>
        <v/>
      </c>
      <c r="F180" s="24" t="str">
        <f>IF(E180&lt;&gt;"",ALcopy!A180,"")</f>
        <v/>
      </c>
      <c r="G180" s="24" t="str">
        <f>IF(E180&lt;&gt;"",ALcopy!F180,"")</f>
        <v/>
      </c>
    </row>
    <row r="181" spans="1:7" ht="15.75" customHeight="1">
      <c r="A181" s="23" t="str">
        <f t="shared" si="7"/>
        <v/>
      </c>
      <c r="B181" t="str">
        <f t="shared" si="8"/>
        <v/>
      </c>
      <c r="C181" s="23" t="str">
        <f t="shared" si="9"/>
        <v/>
      </c>
      <c r="E181" s="24" t="str">
        <f>IF(NOT(ISBLANK(ALcopy!B181)),ALcopy!B181,"")</f>
        <v/>
      </c>
      <c r="F181" s="24" t="str">
        <f>IF(E181&lt;&gt;"",ALcopy!A181,"")</f>
        <v/>
      </c>
      <c r="G181" s="24" t="str">
        <f>IF(E181&lt;&gt;"",ALcopy!F181,"")</f>
        <v/>
      </c>
    </row>
    <row r="182" spans="1:7" ht="15.75" customHeight="1">
      <c r="A182" s="23" t="str">
        <f t="shared" si="7"/>
        <v/>
      </c>
      <c r="B182" t="str">
        <f t="shared" si="8"/>
        <v/>
      </c>
      <c r="C182" s="23" t="str">
        <f t="shared" si="9"/>
        <v/>
      </c>
      <c r="E182" s="24" t="str">
        <f>IF(NOT(ISBLANK(ALcopy!B182)),ALcopy!B182,"")</f>
        <v/>
      </c>
      <c r="F182" s="24" t="str">
        <f>IF(E182&lt;&gt;"",ALcopy!A182,"")</f>
        <v/>
      </c>
      <c r="G182" s="24" t="str">
        <f>IF(E182&lt;&gt;"",ALcopy!F182,"")</f>
        <v/>
      </c>
    </row>
    <row r="183" spans="1:7" ht="15.75" customHeight="1">
      <c r="A183" s="23" t="str">
        <f t="shared" si="7"/>
        <v/>
      </c>
      <c r="B183" t="str">
        <f t="shared" si="8"/>
        <v/>
      </c>
      <c r="C183" s="23" t="str">
        <f t="shared" si="9"/>
        <v/>
      </c>
      <c r="E183" s="24" t="str">
        <f>IF(NOT(ISBLANK(ALcopy!B183)),ALcopy!B183,"")</f>
        <v/>
      </c>
      <c r="F183" s="24" t="str">
        <f>IF(E183&lt;&gt;"",ALcopy!A183,"")</f>
        <v/>
      </c>
      <c r="G183" s="24" t="str">
        <f>IF(E183&lt;&gt;"",ALcopy!F183,"")</f>
        <v/>
      </c>
    </row>
    <row r="184" spans="1:7" ht="15.75" customHeight="1">
      <c r="A184" s="23" t="str">
        <f t="shared" si="7"/>
        <v/>
      </c>
      <c r="B184" t="str">
        <f t="shared" si="8"/>
        <v/>
      </c>
      <c r="C184" s="23" t="str">
        <f t="shared" si="9"/>
        <v/>
      </c>
      <c r="E184" s="24" t="str">
        <f>IF(NOT(ISBLANK(ALcopy!B184)),ALcopy!B184,"")</f>
        <v/>
      </c>
      <c r="F184" s="24" t="str">
        <f>IF(E184&lt;&gt;"",ALcopy!A184,"")</f>
        <v/>
      </c>
      <c r="G184" s="24" t="str">
        <f>IF(E184&lt;&gt;"",ALcopy!F184,"")</f>
        <v/>
      </c>
    </row>
    <row r="185" spans="1:7" ht="15.75" customHeight="1">
      <c r="A185" s="23" t="str">
        <f t="shared" si="7"/>
        <v/>
      </c>
      <c r="B185" t="str">
        <f t="shared" si="8"/>
        <v/>
      </c>
      <c r="C185" s="23" t="str">
        <f t="shared" si="9"/>
        <v/>
      </c>
      <c r="E185" s="24" t="str">
        <f>IF(NOT(ISBLANK(ALcopy!B185)),ALcopy!B185,"")</f>
        <v/>
      </c>
      <c r="F185" s="24" t="str">
        <f>IF(E185&lt;&gt;"",ALcopy!A185,"")</f>
        <v/>
      </c>
      <c r="G185" s="24" t="str">
        <f>IF(E185&lt;&gt;"",ALcopy!F185,"")</f>
        <v/>
      </c>
    </row>
    <row r="186" spans="1:7" ht="15.75" customHeight="1">
      <c r="A186" s="23" t="str">
        <f t="shared" si="7"/>
        <v/>
      </c>
      <c r="B186" t="str">
        <f t="shared" si="8"/>
        <v/>
      </c>
      <c r="C186" s="23" t="str">
        <f t="shared" si="9"/>
        <v/>
      </c>
      <c r="E186" s="24" t="str">
        <f>IF(NOT(ISBLANK(ALcopy!B186)),ALcopy!B186,"")</f>
        <v/>
      </c>
      <c r="F186" s="24" t="str">
        <f>IF(E186&lt;&gt;"",ALcopy!A186,"")</f>
        <v/>
      </c>
      <c r="G186" s="24" t="str">
        <f>IF(E186&lt;&gt;"",ALcopy!F186,"")</f>
        <v/>
      </c>
    </row>
    <row r="187" spans="1:7" ht="15.75" customHeight="1">
      <c r="A187" s="23" t="str">
        <f t="shared" si="7"/>
        <v/>
      </c>
      <c r="B187" t="str">
        <f t="shared" si="8"/>
        <v/>
      </c>
      <c r="C187" s="23" t="str">
        <f t="shared" si="9"/>
        <v/>
      </c>
      <c r="E187" s="24" t="str">
        <f>IF(NOT(ISBLANK(ALcopy!B187)),ALcopy!B187,"")</f>
        <v/>
      </c>
      <c r="F187" s="24" t="str">
        <f>IF(E187&lt;&gt;"",ALcopy!A187,"")</f>
        <v/>
      </c>
      <c r="G187" s="24" t="str">
        <f>IF(E187&lt;&gt;"",ALcopy!F187,"")</f>
        <v/>
      </c>
    </row>
    <row r="188" spans="1:7" ht="15.75" customHeight="1">
      <c r="A188" s="23" t="str">
        <f t="shared" si="7"/>
        <v/>
      </c>
      <c r="B188" t="str">
        <f t="shared" si="8"/>
        <v/>
      </c>
      <c r="C188" s="23" t="str">
        <f t="shared" si="9"/>
        <v/>
      </c>
      <c r="E188" s="24" t="str">
        <f>IF(NOT(ISBLANK(ALcopy!B188)),ALcopy!B188,"")</f>
        <v/>
      </c>
      <c r="F188" s="24" t="str">
        <f>IF(E188&lt;&gt;"",ALcopy!A188,"")</f>
        <v/>
      </c>
      <c r="G188" s="24" t="str">
        <f>IF(E188&lt;&gt;"",ALcopy!F188,"")</f>
        <v/>
      </c>
    </row>
    <row r="189" spans="1:7" ht="15.75" customHeight="1">
      <c r="A189" s="23" t="str">
        <f t="shared" si="7"/>
        <v/>
      </c>
      <c r="B189" t="str">
        <f t="shared" si="8"/>
        <v/>
      </c>
      <c r="C189" s="23" t="str">
        <f t="shared" si="9"/>
        <v/>
      </c>
      <c r="E189" s="24" t="str">
        <f>IF(NOT(ISBLANK(ALcopy!B189)),ALcopy!B189,"")</f>
        <v/>
      </c>
      <c r="F189" s="24" t="str">
        <f>IF(E189&lt;&gt;"",ALcopy!A189,"")</f>
        <v/>
      </c>
      <c r="G189" s="24" t="str">
        <f>IF(E189&lt;&gt;"",ALcopy!F189,"")</f>
        <v/>
      </c>
    </row>
    <row r="190" spans="1:7" ht="15.75" customHeight="1">
      <c r="A190" s="23" t="str">
        <f t="shared" si="7"/>
        <v/>
      </c>
      <c r="B190" t="str">
        <f t="shared" si="8"/>
        <v/>
      </c>
      <c r="C190" s="23" t="str">
        <f t="shared" si="9"/>
        <v/>
      </c>
      <c r="E190" s="24" t="str">
        <f>IF(NOT(ISBLANK(ALcopy!B190)),ALcopy!B190,"")</f>
        <v/>
      </c>
      <c r="F190" s="24" t="str">
        <f>IF(E190&lt;&gt;"",ALcopy!A190,"")</f>
        <v/>
      </c>
      <c r="G190" s="24" t="str">
        <f>IF(E190&lt;&gt;"",ALcopy!F190,"")</f>
        <v/>
      </c>
    </row>
    <row r="191" spans="1:7" ht="15.75" customHeight="1">
      <c r="A191" s="23" t="str">
        <f t="shared" si="7"/>
        <v/>
      </c>
      <c r="B191" t="str">
        <f t="shared" si="8"/>
        <v/>
      </c>
      <c r="C191" s="23" t="str">
        <f t="shared" si="9"/>
        <v/>
      </c>
      <c r="E191" s="24" t="str">
        <f>IF(NOT(ISBLANK(ALcopy!B191)),ALcopy!B191,"")</f>
        <v/>
      </c>
      <c r="F191" s="24" t="str">
        <f>IF(E191&lt;&gt;"",ALcopy!A191,"")</f>
        <v/>
      </c>
      <c r="G191" s="24" t="str">
        <f>IF(E191&lt;&gt;"",ALcopy!F191,"")</f>
        <v/>
      </c>
    </row>
    <row r="192" spans="1:7" ht="15.75" customHeight="1">
      <c r="A192" s="23" t="str">
        <f t="shared" si="7"/>
        <v/>
      </c>
      <c r="B192" t="str">
        <f t="shared" si="8"/>
        <v/>
      </c>
      <c r="C192" s="23" t="str">
        <f t="shared" si="9"/>
        <v/>
      </c>
      <c r="E192" s="24" t="str">
        <f>IF(NOT(ISBLANK(ALcopy!B192)),ALcopy!B192,"")</f>
        <v/>
      </c>
      <c r="F192" s="24" t="str">
        <f>IF(E192&lt;&gt;"",ALcopy!A192,"")</f>
        <v/>
      </c>
      <c r="G192" s="24" t="str">
        <f>IF(E192&lt;&gt;"",ALcopy!F192,"")</f>
        <v/>
      </c>
    </row>
    <row r="193" spans="1:7" ht="15.75" customHeight="1">
      <c r="A193" s="23" t="str">
        <f t="shared" si="7"/>
        <v/>
      </c>
      <c r="B193" t="str">
        <f t="shared" si="8"/>
        <v/>
      </c>
      <c r="C193" s="23" t="str">
        <f t="shared" si="9"/>
        <v/>
      </c>
      <c r="E193" s="24" t="str">
        <f>IF(NOT(ISBLANK(ALcopy!B193)),ALcopy!B193,"")</f>
        <v/>
      </c>
      <c r="F193" s="24" t="str">
        <f>IF(E193&lt;&gt;"",ALcopy!A193,"")</f>
        <v/>
      </c>
      <c r="G193" s="24" t="str">
        <f>IF(E193&lt;&gt;"",ALcopy!F193,"")</f>
        <v/>
      </c>
    </row>
    <row r="194" spans="1:7" ht="15.75" customHeight="1">
      <c r="A194" s="23" t="str">
        <f t="shared" si="7"/>
        <v/>
      </c>
      <c r="B194" t="str">
        <f t="shared" si="8"/>
        <v/>
      </c>
      <c r="C194" s="23" t="str">
        <f t="shared" si="9"/>
        <v/>
      </c>
      <c r="E194" s="24" t="str">
        <f>IF(NOT(ISBLANK(ALcopy!B194)),ALcopy!B194,"")</f>
        <v/>
      </c>
      <c r="F194" s="24" t="str">
        <f>IF(E194&lt;&gt;"",ALcopy!A194,"")</f>
        <v/>
      </c>
      <c r="G194" s="24" t="str">
        <f>IF(E194&lt;&gt;"",ALcopy!F194,"")</f>
        <v/>
      </c>
    </row>
    <row r="195" spans="1:7" ht="15.75" customHeight="1">
      <c r="A195" s="23" t="str">
        <f t="shared" ref="A195:A258" si="10">IF(E195&lt;&gt;"",DATEVALUE(LEFT(E195,10)),"")</f>
        <v/>
      </c>
      <c r="B195" t="str">
        <f t="shared" ref="B195:B258" si="11">IF(LEN(F195)&gt;3,RIGHT(F195,LEN(F195)-3),"")</f>
        <v/>
      </c>
      <c r="C195" s="23" t="str">
        <f t="shared" ref="C195:C258" si="12">IF(E195&lt;&gt;"",DATEVALUE(LEFT(G195,10)),"")</f>
        <v/>
      </c>
      <c r="E195" s="24" t="str">
        <f>IF(NOT(ISBLANK(ALcopy!B195)),ALcopy!B195,"")</f>
        <v/>
      </c>
      <c r="F195" s="24" t="str">
        <f>IF(E195&lt;&gt;"",ALcopy!A195,"")</f>
        <v/>
      </c>
      <c r="G195" s="24" t="str">
        <f>IF(E195&lt;&gt;"",ALcopy!F195,"")</f>
        <v/>
      </c>
    </row>
    <row r="196" spans="1:7" ht="15.75" customHeight="1">
      <c r="A196" s="23" t="str">
        <f t="shared" si="10"/>
        <v/>
      </c>
      <c r="B196" t="str">
        <f t="shared" si="11"/>
        <v/>
      </c>
      <c r="C196" s="23" t="str">
        <f t="shared" si="12"/>
        <v/>
      </c>
      <c r="E196" s="24" t="str">
        <f>IF(NOT(ISBLANK(ALcopy!B196)),ALcopy!B196,"")</f>
        <v/>
      </c>
      <c r="F196" s="24" t="str">
        <f>IF(E196&lt;&gt;"",ALcopy!A196,"")</f>
        <v/>
      </c>
      <c r="G196" s="24" t="str">
        <f>IF(E196&lt;&gt;"",ALcopy!F196,"")</f>
        <v/>
      </c>
    </row>
    <row r="197" spans="1:7" ht="15.75" customHeight="1">
      <c r="A197" s="23" t="str">
        <f t="shared" si="10"/>
        <v/>
      </c>
      <c r="B197" t="str">
        <f t="shared" si="11"/>
        <v/>
      </c>
      <c r="C197" s="23" t="str">
        <f t="shared" si="12"/>
        <v/>
      </c>
      <c r="E197" s="24" t="str">
        <f>IF(NOT(ISBLANK(ALcopy!B197)),ALcopy!B197,"")</f>
        <v/>
      </c>
      <c r="F197" s="24" t="str">
        <f>IF(E197&lt;&gt;"",ALcopy!A197,"")</f>
        <v/>
      </c>
      <c r="G197" s="24" t="str">
        <f>IF(E197&lt;&gt;"",ALcopy!F197,"")</f>
        <v/>
      </c>
    </row>
    <row r="198" spans="1:7" ht="15.75" customHeight="1">
      <c r="A198" s="23" t="str">
        <f t="shared" si="10"/>
        <v/>
      </c>
      <c r="B198" t="str">
        <f t="shared" si="11"/>
        <v/>
      </c>
      <c r="C198" s="23" t="str">
        <f t="shared" si="12"/>
        <v/>
      </c>
      <c r="E198" s="24" t="str">
        <f>IF(NOT(ISBLANK(ALcopy!B198)),ALcopy!B198,"")</f>
        <v/>
      </c>
      <c r="F198" s="24" t="str">
        <f>IF(E198&lt;&gt;"",ALcopy!A198,"")</f>
        <v/>
      </c>
      <c r="G198" s="24" t="str">
        <f>IF(E198&lt;&gt;"",ALcopy!F198,"")</f>
        <v/>
      </c>
    </row>
    <row r="199" spans="1:7" ht="15.75" customHeight="1">
      <c r="A199" s="23" t="str">
        <f t="shared" si="10"/>
        <v/>
      </c>
      <c r="B199" t="str">
        <f t="shared" si="11"/>
        <v/>
      </c>
      <c r="C199" s="23" t="str">
        <f t="shared" si="12"/>
        <v/>
      </c>
      <c r="E199" s="24" t="str">
        <f>IF(NOT(ISBLANK(ALcopy!B199)),ALcopy!B199,"")</f>
        <v/>
      </c>
      <c r="F199" s="24" t="str">
        <f>IF(E199&lt;&gt;"",ALcopy!A199,"")</f>
        <v/>
      </c>
      <c r="G199" s="24" t="str">
        <f>IF(E199&lt;&gt;"",ALcopy!F199,"")</f>
        <v/>
      </c>
    </row>
    <row r="200" spans="1:7" ht="15.75" customHeight="1">
      <c r="A200" s="23" t="str">
        <f t="shared" si="10"/>
        <v/>
      </c>
      <c r="B200" t="str">
        <f t="shared" si="11"/>
        <v/>
      </c>
      <c r="C200" s="23" t="str">
        <f t="shared" si="12"/>
        <v/>
      </c>
      <c r="E200" s="24" t="str">
        <f>IF(NOT(ISBLANK(ALcopy!B200)),ALcopy!B200,"")</f>
        <v/>
      </c>
      <c r="F200" s="24" t="str">
        <f>IF(E200&lt;&gt;"",ALcopy!A200,"")</f>
        <v/>
      </c>
      <c r="G200" s="24" t="str">
        <f>IF(E200&lt;&gt;"",ALcopy!F200,"")</f>
        <v/>
      </c>
    </row>
    <row r="201" spans="1:7" ht="15.75" customHeight="1">
      <c r="A201" s="23" t="str">
        <f t="shared" si="10"/>
        <v/>
      </c>
      <c r="B201" t="str">
        <f t="shared" si="11"/>
        <v/>
      </c>
      <c r="C201" s="23" t="str">
        <f t="shared" si="12"/>
        <v/>
      </c>
      <c r="E201" s="24" t="str">
        <f>IF(NOT(ISBLANK(ALcopy!B201)),ALcopy!B201,"")</f>
        <v/>
      </c>
      <c r="F201" s="24" t="str">
        <f>IF(E201&lt;&gt;"",ALcopy!A201,"")</f>
        <v/>
      </c>
      <c r="G201" s="24" t="str">
        <f>IF(E201&lt;&gt;"",ALcopy!F201,"")</f>
        <v/>
      </c>
    </row>
    <row r="202" spans="1:7" ht="15.75" customHeight="1">
      <c r="A202" s="23" t="str">
        <f t="shared" si="10"/>
        <v/>
      </c>
      <c r="B202" t="str">
        <f t="shared" si="11"/>
        <v/>
      </c>
      <c r="C202" s="23" t="str">
        <f t="shared" si="12"/>
        <v/>
      </c>
      <c r="E202" s="24" t="str">
        <f>IF(NOT(ISBLANK(ALcopy!B202)),ALcopy!B202,"")</f>
        <v/>
      </c>
      <c r="F202" s="24" t="str">
        <f>IF(E202&lt;&gt;"",ALcopy!A202,"")</f>
        <v/>
      </c>
      <c r="G202" s="24" t="str">
        <f>IF(E202&lt;&gt;"",ALcopy!F202,"")</f>
        <v/>
      </c>
    </row>
    <row r="203" spans="1:7" ht="15.75" customHeight="1">
      <c r="A203" s="23" t="str">
        <f t="shared" si="10"/>
        <v/>
      </c>
      <c r="B203" t="str">
        <f t="shared" si="11"/>
        <v/>
      </c>
      <c r="C203" s="23" t="str">
        <f t="shared" si="12"/>
        <v/>
      </c>
      <c r="E203" s="24" t="str">
        <f>IF(NOT(ISBLANK(ALcopy!B203)),ALcopy!B203,"")</f>
        <v/>
      </c>
      <c r="F203" s="24" t="str">
        <f>IF(E203&lt;&gt;"",ALcopy!A203,"")</f>
        <v/>
      </c>
      <c r="G203" s="24" t="str">
        <f>IF(E203&lt;&gt;"",ALcopy!F203,"")</f>
        <v/>
      </c>
    </row>
    <row r="204" spans="1:7" ht="15.75" customHeight="1">
      <c r="A204" s="23" t="str">
        <f t="shared" si="10"/>
        <v/>
      </c>
      <c r="B204" t="str">
        <f t="shared" si="11"/>
        <v/>
      </c>
      <c r="C204" s="23" t="str">
        <f t="shared" si="12"/>
        <v/>
      </c>
      <c r="E204" s="24" t="str">
        <f>IF(NOT(ISBLANK(ALcopy!B204)),ALcopy!B204,"")</f>
        <v/>
      </c>
      <c r="F204" s="24" t="str">
        <f>IF(E204&lt;&gt;"",ALcopy!A204,"")</f>
        <v/>
      </c>
      <c r="G204" s="24" t="str">
        <f>IF(E204&lt;&gt;"",ALcopy!F204,"")</f>
        <v/>
      </c>
    </row>
    <row r="205" spans="1:7" ht="15.75" customHeight="1">
      <c r="A205" s="23" t="str">
        <f t="shared" si="10"/>
        <v/>
      </c>
      <c r="B205" t="str">
        <f t="shared" si="11"/>
        <v/>
      </c>
      <c r="C205" s="23" t="str">
        <f t="shared" si="12"/>
        <v/>
      </c>
      <c r="E205" s="24" t="str">
        <f>IF(NOT(ISBLANK(ALcopy!B205)),ALcopy!B205,"")</f>
        <v/>
      </c>
      <c r="F205" s="24" t="str">
        <f>IF(E205&lt;&gt;"",ALcopy!A205,"")</f>
        <v/>
      </c>
      <c r="G205" s="24" t="str">
        <f>IF(E205&lt;&gt;"",ALcopy!F205,"")</f>
        <v/>
      </c>
    </row>
    <row r="206" spans="1:7" ht="15.75" customHeight="1">
      <c r="A206" s="23" t="str">
        <f t="shared" si="10"/>
        <v/>
      </c>
      <c r="B206" t="str">
        <f t="shared" si="11"/>
        <v/>
      </c>
      <c r="C206" s="23" t="str">
        <f t="shared" si="12"/>
        <v/>
      </c>
      <c r="E206" s="24" t="str">
        <f>IF(NOT(ISBLANK(ALcopy!B206)),ALcopy!B206,"")</f>
        <v/>
      </c>
      <c r="F206" s="24" t="str">
        <f>IF(E206&lt;&gt;"",ALcopy!A206,"")</f>
        <v/>
      </c>
      <c r="G206" s="24" t="str">
        <f>IF(E206&lt;&gt;"",ALcopy!F206,"")</f>
        <v/>
      </c>
    </row>
    <row r="207" spans="1:7" ht="15.75" customHeight="1">
      <c r="A207" s="23" t="str">
        <f t="shared" si="10"/>
        <v/>
      </c>
      <c r="B207" t="str">
        <f t="shared" si="11"/>
        <v/>
      </c>
      <c r="C207" s="23" t="str">
        <f t="shared" si="12"/>
        <v/>
      </c>
      <c r="E207" s="24" t="str">
        <f>IF(NOT(ISBLANK(ALcopy!B207)),ALcopy!B207,"")</f>
        <v/>
      </c>
      <c r="F207" s="24" t="str">
        <f>IF(E207&lt;&gt;"",ALcopy!A207,"")</f>
        <v/>
      </c>
      <c r="G207" s="24" t="str">
        <f>IF(E207&lt;&gt;"",ALcopy!F207,"")</f>
        <v/>
      </c>
    </row>
    <row r="208" spans="1:7" ht="15.75" customHeight="1">
      <c r="A208" s="23" t="str">
        <f t="shared" si="10"/>
        <v/>
      </c>
      <c r="B208" t="str">
        <f t="shared" si="11"/>
        <v/>
      </c>
      <c r="C208" s="23" t="str">
        <f t="shared" si="12"/>
        <v/>
      </c>
      <c r="E208" s="24" t="str">
        <f>IF(NOT(ISBLANK(ALcopy!B208)),ALcopy!B208,"")</f>
        <v/>
      </c>
      <c r="F208" s="24" t="str">
        <f>IF(E208&lt;&gt;"",ALcopy!A208,"")</f>
        <v/>
      </c>
      <c r="G208" s="24" t="str">
        <f>IF(E208&lt;&gt;"",ALcopy!F208,"")</f>
        <v/>
      </c>
    </row>
    <row r="209" spans="1:7" ht="15.75" customHeight="1">
      <c r="A209" s="23" t="str">
        <f t="shared" si="10"/>
        <v/>
      </c>
      <c r="B209" t="str">
        <f t="shared" si="11"/>
        <v/>
      </c>
      <c r="C209" s="23" t="str">
        <f t="shared" si="12"/>
        <v/>
      </c>
      <c r="E209" s="24" t="str">
        <f>IF(NOT(ISBLANK(ALcopy!B209)),ALcopy!B209,"")</f>
        <v/>
      </c>
      <c r="F209" s="24" t="str">
        <f>IF(E209&lt;&gt;"",ALcopy!A209,"")</f>
        <v/>
      </c>
      <c r="G209" s="24" t="str">
        <f>IF(E209&lt;&gt;"",ALcopy!F209,"")</f>
        <v/>
      </c>
    </row>
    <row r="210" spans="1:7" ht="15.75" customHeight="1">
      <c r="A210" s="23" t="str">
        <f t="shared" si="10"/>
        <v/>
      </c>
      <c r="B210" t="str">
        <f t="shared" si="11"/>
        <v/>
      </c>
      <c r="C210" s="23" t="str">
        <f t="shared" si="12"/>
        <v/>
      </c>
      <c r="E210" s="24" t="str">
        <f>IF(NOT(ISBLANK(ALcopy!B210)),ALcopy!B210,"")</f>
        <v/>
      </c>
      <c r="F210" s="24" t="str">
        <f>IF(E210&lt;&gt;"",ALcopy!A210,"")</f>
        <v/>
      </c>
      <c r="G210" s="24" t="str">
        <f>IF(E210&lt;&gt;"",ALcopy!F210,"")</f>
        <v/>
      </c>
    </row>
    <row r="211" spans="1:7" ht="15.75" customHeight="1">
      <c r="A211" s="23" t="str">
        <f t="shared" si="10"/>
        <v/>
      </c>
      <c r="B211" t="str">
        <f t="shared" si="11"/>
        <v/>
      </c>
      <c r="C211" s="23" t="str">
        <f t="shared" si="12"/>
        <v/>
      </c>
      <c r="E211" s="24" t="str">
        <f>IF(NOT(ISBLANK(ALcopy!B211)),ALcopy!B211,"")</f>
        <v/>
      </c>
      <c r="F211" s="24" t="str">
        <f>IF(E211&lt;&gt;"",ALcopy!A211,"")</f>
        <v/>
      </c>
      <c r="G211" s="24" t="str">
        <f>IF(E211&lt;&gt;"",ALcopy!F211,"")</f>
        <v/>
      </c>
    </row>
    <row r="212" spans="1:7" ht="15.75" customHeight="1">
      <c r="A212" s="23" t="str">
        <f t="shared" si="10"/>
        <v/>
      </c>
      <c r="B212" t="str">
        <f t="shared" si="11"/>
        <v/>
      </c>
      <c r="C212" s="23" t="str">
        <f t="shared" si="12"/>
        <v/>
      </c>
      <c r="E212" s="24" t="str">
        <f>IF(NOT(ISBLANK(ALcopy!B212)),ALcopy!B212,"")</f>
        <v/>
      </c>
      <c r="F212" s="24" t="str">
        <f>IF(E212&lt;&gt;"",ALcopy!A212,"")</f>
        <v/>
      </c>
      <c r="G212" s="24" t="str">
        <f>IF(E212&lt;&gt;"",ALcopy!F212,"")</f>
        <v/>
      </c>
    </row>
    <row r="213" spans="1:7" ht="15.75" customHeight="1">
      <c r="A213" s="23" t="str">
        <f t="shared" si="10"/>
        <v/>
      </c>
      <c r="B213" t="str">
        <f t="shared" si="11"/>
        <v/>
      </c>
      <c r="C213" s="23" t="str">
        <f t="shared" si="12"/>
        <v/>
      </c>
      <c r="E213" s="24" t="str">
        <f>IF(NOT(ISBLANK(ALcopy!B213)),ALcopy!B213,"")</f>
        <v/>
      </c>
      <c r="F213" s="24" t="str">
        <f>IF(E213&lt;&gt;"",ALcopy!A213,"")</f>
        <v/>
      </c>
      <c r="G213" s="24" t="str">
        <f>IF(E213&lt;&gt;"",ALcopy!F213,"")</f>
        <v/>
      </c>
    </row>
    <row r="214" spans="1:7" ht="15.75" customHeight="1">
      <c r="A214" s="23" t="str">
        <f t="shared" si="10"/>
        <v/>
      </c>
      <c r="B214" t="str">
        <f t="shared" si="11"/>
        <v/>
      </c>
      <c r="C214" s="23" t="str">
        <f t="shared" si="12"/>
        <v/>
      </c>
      <c r="E214" s="24" t="str">
        <f>IF(NOT(ISBLANK(ALcopy!B214)),ALcopy!B214,"")</f>
        <v/>
      </c>
      <c r="F214" s="24" t="str">
        <f>IF(E214&lt;&gt;"",ALcopy!A214,"")</f>
        <v/>
      </c>
      <c r="G214" s="24" t="str">
        <f>IF(E214&lt;&gt;"",ALcopy!F214,"")</f>
        <v/>
      </c>
    </row>
    <row r="215" spans="1:7" ht="15.75" customHeight="1">
      <c r="A215" s="23" t="str">
        <f t="shared" si="10"/>
        <v/>
      </c>
      <c r="B215" t="str">
        <f t="shared" si="11"/>
        <v/>
      </c>
      <c r="C215" s="23" t="str">
        <f t="shared" si="12"/>
        <v/>
      </c>
      <c r="E215" s="24" t="str">
        <f>IF(NOT(ISBLANK(ALcopy!B215)),ALcopy!B215,"")</f>
        <v/>
      </c>
      <c r="F215" s="24" t="str">
        <f>IF(E215&lt;&gt;"",ALcopy!A215,"")</f>
        <v/>
      </c>
      <c r="G215" s="24" t="str">
        <f>IF(E215&lt;&gt;"",ALcopy!F215,"")</f>
        <v/>
      </c>
    </row>
    <row r="216" spans="1:7" ht="15.75" customHeight="1">
      <c r="A216" s="23" t="str">
        <f t="shared" si="10"/>
        <v/>
      </c>
      <c r="B216" t="str">
        <f t="shared" si="11"/>
        <v/>
      </c>
      <c r="C216" s="23" t="str">
        <f t="shared" si="12"/>
        <v/>
      </c>
      <c r="E216" s="24" t="str">
        <f>IF(NOT(ISBLANK(ALcopy!B216)),ALcopy!B216,"")</f>
        <v/>
      </c>
      <c r="F216" s="24" t="str">
        <f>IF(E216&lt;&gt;"",ALcopy!A216,"")</f>
        <v/>
      </c>
      <c r="G216" s="24" t="str">
        <f>IF(E216&lt;&gt;"",ALcopy!F216,"")</f>
        <v/>
      </c>
    </row>
    <row r="217" spans="1:7" ht="15.75" customHeight="1">
      <c r="A217" s="23" t="str">
        <f t="shared" si="10"/>
        <v/>
      </c>
      <c r="B217" t="str">
        <f t="shared" si="11"/>
        <v/>
      </c>
      <c r="C217" s="23" t="str">
        <f t="shared" si="12"/>
        <v/>
      </c>
      <c r="E217" s="24" t="str">
        <f>IF(NOT(ISBLANK(ALcopy!B217)),ALcopy!B217,"")</f>
        <v/>
      </c>
      <c r="F217" s="24" t="str">
        <f>IF(E217&lt;&gt;"",ALcopy!A217,"")</f>
        <v/>
      </c>
      <c r="G217" s="24" t="str">
        <f>IF(E217&lt;&gt;"",ALcopy!F217,"")</f>
        <v/>
      </c>
    </row>
    <row r="218" spans="1:7" ht="15.75" customHeight="1">
      <c r="A218" s="23" t="str">
        <f t="shared" si="10"/>
        <v/>
      </c>
      <c r="B218" t="str">
        <f t="shared" si="11"/>
        <v/>
      </c>
      <c r="C218" s="23" t="str">
        <f t="shared" si="12"/>
        <v/>
      </c>
      <c r="E218" s="24" t="str">
        <f>IF(NOT(ISBLANK(ALcopy!B218)),ALcopy!B218,"")</f>
        <v/>
      </c>
      <c r="F218" s="24" t="str">
        <f>IF(E218&lt;&gt;"",ALcopy!A218,"")</f>
        <v/>
      </c>
      <c r="G218" s="24" t="str">
        <f>IF(E218&lt;&gt;"",ALcopy!F218,"")</f>
        <v/>
      </c>
    </row>
    <row r="219" spans="1:7" ht="15.75" customHeight="1">
      <c r="A219" s="23" t="str">
        <f t="shared" si="10"/>
        <v/>
      </c>
      <c r="B219" t="str">
        <f t="shared" si="11"/>
        <v/>
      </c>
      <c r="C219" s="23" t="str">
        <f t="shared" si="12"/>
        <v/>
      </c>
      <c r="E219" s="24" t="str">
        <f>IF(NOT(ISBLANK(ALcopy!B219)),ALcopy!B219,"")</f>
        <v/>
      </c>
      <c r="F219" s="24" t="str">
        <f>IF(E219&lt;&gt;"",ALcopy!A219,"")</f>
        <v/>
      </c>
      <c r="G219" s="24" t="str">
        <f>IF(E219&lt;&gt;"",ALcopy!F219,"")</f>
        <v/>
      </c>
    </row>
    <row r="220" spans="1:7" ht="15.75" customHeight="1">
      <c r="A220" s="23" t="str">
        <f t="shared" si="10"/>
        <v/>
      </c>
      <c r="B220" t="str">
        <f t="shared" si="11"/>
        <v/>
      </c>
      <c r="C220" s="23" t="str">
        <f t="shared" si="12"/>
        <v/>
      </c>
      <c r="E220" s="24" t="str">
        <f>IF(NOT(ISBLANK(ALcopy!B220)),ALcopy!B220,"")</f>
        <v/>
      </c>
      <c r="F220" s="24" t="str">
        <f>IF(E220&lt;&gt;"",ALcopy!A220,"")</f>
        <v/>
      </c>
      <c r="G220" s="24" t="str">
        <f>IF(E220&lt;&gt;"",ALcopy!F220,"")</f>
        <v/>
      </c>
    </row>
    <row r="221" spans="1:7" ht="15.75" customHeight="1">
      <c r="A221" s="23" t="str">
        <f t="shared" si="10"/>
        <v/>
      </c>
      <c r="B221" t="str">
        <f t="shared" si="11"/>
        <v/>
      </c>
      <c r="C221" s="23" t="str">
        <f t="shared" si="12"/>
        <v/>
      </c>
      <c r="E221" s="24" t="str">
        <f>IF(NOT(ISBLANK(ALcopy!B221)),ALcopy!B221,"")</f>
        <v/>
      </c>
      <c r="F221" s="24" t="str">
        <f>IF(E221&lt;&gt;"",ALcopy!A221,"")</f>
        <v/>
      </c>
      <c r="G221" s="24" t="str">
        <f>IF(E221&lt;&gt;"",ALcopy!F221,"")</f>
        <v/>
      </c>
    </row>
    <row r="222" spans="1:7" ht="15.75" customHeight="1">
      <c r="A222" s="23" t="str">
        <f t="shared" si="10"/>
        <v/>
      </c>
      <c r="B222" t="str">
        <f t="shared" si="11"/>
        <v/>
      </c>
      <c r="C222" s="23" t="str">
        <f t="shared" si="12"/>
        <v/>
      </c>
      <c r="E222" s="24" t="str">
        <f>IF(NOT(ISBLANK(ALcopy!B222)),ALcopy!B222,"")</f>
        <v/>
      </c>
      <c r="F222" s="24" t="str">
        <f>IF(E222&lt;&gt;"",ALcopy!A222,"")</f>
        <v/>
      </c>
      <c r="G222" s="24" t="str">
        <f>IF(E222&lt;&gt;"",ALcopy!F222,"")</f>
        <v/>
      </c>
    </row>
    <row r="223" spans="1:7" ht="15.75" customHeight="1">
      <c r="A223" s="23" t="str">
        <f t="shared" si="10"/>
        <v/>
      </c>
      <c r="B223" t="str">
        <f t="shared" si="11"/>
        <v/>
      </c>
      <c r="C223" s="23" t="str">
        <f t="shared" si="12"/>
        <v/>
      </c>
      <c r="E223" s="24" t="str">
        <f>IF(NOT(ISBLANK(ALcopy!B223)),ALcopy!B223,"")</f>
        <v/>
      </c>
      <c r="F223" s="24" t="str">
        <f>IF(E223&lt;&gt;"",ALcopy!A223,"")</f>
        <v/>
      </c>
      <c r="G223" s="24" t="str">
        <f>IF(E223&lt;&gt;"",ALcopy!F223,"")</f>
        <v/>
      </c>
    </row>
    <row r="224" spans="1:7" ht="15.75" customHeight="1">
      <c r="A224" s="23" t="str">
        <f t="shared" si="10"/>
        <v/>
      </c>
      <c r="B224" t="str">
        <f t="shared" si="11"/>
        <v/>
      </c>
      <c r="C224" s="23" t="str">
        <f t="shared" si="12"/>
        <v/>
      </c>
      <c r="E224" s="24" t="str">
        <f>IF(NOT(ISBLANK(ALcopy!B224)),ALcopy!B224,"")</f>
        <v/>
      </c>
      <c r="F224" s="24" t="str">
        <f>IF(E224&lt;&gt;"",ALcopy!A224,"")</f>
        <v/>
      </c>
      <c r="G224" s="24" t="str">
        <f>IF(E224&lt;&gt;"",ALcopy!F224,"")</f>
        <v/>
      </c>
    </row>
    <row r="225" spans="1:7" ht="15.75" customHeight="1">
      <c r="A225" s="23" t="str">
        <f t="shared" si="10"/>
        <v/>
      </c>
      <c r="B225" t="str">
        <f t="shared" si="11"/>
        <v/>
      </c>
      <c r="C225" s="23" t="str">
        <f t="shared" si="12"/>
        <v/>
      </c>
      <c r="E225" s="24" t="str">
        <f>IF(NOT(ISBLANK(ALcopy!B225)),ALcopy!B225,"")</f>
        <v/>
      </c>
      <c r="F225" s="24" t="str">
        <f>IF(E225&lt;&gt;"",ALcopy!A225,"")</f>
        <v/>
      </c>
      <c r="G225" s="24" t="str">
        <f>IF(E225&lt;&gt;"",ALcopy!F225,"")</f>
        <v/>
      </c>
    </row>
    <row r="226" spans="1:7" ht="15.75" customHeight="1">
      <c r="A226" s="23" t="str">
        <f t="shared" si="10"/>
        <v/>
      </c>
      <c r="B226" t="str">
        <f t="shared" si="11"/>
        <v/>
      </c>
      <c r="C226" s="23" t="str">
        <f t="shared" si="12"/>
        <v/>
      </c>
      <c r="E226" s="24" t="str">
        <f>IF(NOT(ISBLANK(ALcopy!B226)),ALcopy!B226,"")</f>
        <v/>
      </c>
      <c r="F226" s="24" t="str">
        <f>IF(E226&lt;&gt;"",ALcopy!A226,"")</f>
        <v/>
      </c>
      <c r="G226" s="24" t="str">
        <f>IF(E226&lt;&gt;"",ALcopy!F226,"")</f>
        <v/>
      </c>
    </row>
    <row r="227" spans="1:7" ht="15.75" customHeight="1">
      <c r="A227" s="23" t="str">
        <f t="shared" si="10"/>
        <v/>
      </c>
      <c r="B227" t="str">
        <f t="shared" si="11"/>
        <v/>
      </c>
      <c r="C227" s="23" t="str">
        <f t="shared" si="12"/>
        <v/>
      </c>
      <c r="E227" s="24" t="str">
        <f>IF(NOT(ISBLANK(ALcopy!B227)),ALcopy!B227,"")</f>
        <v/>
      </c>
      <c r="F227" s="24" t="str">
        <f>IF(E227&lt;&gt;"",ALcopy!A227,"")</f>
        <v/>
      </c>
      <c r="G227" s="24" t="str">
        <f>IF(E227&lt;&gt;"",ALcopy!F227,"")</f>
        <v/>
      </c>
    </row>
    <row r="228" spans="1:7" ht="15.75" customHeight="1">
      <c r="A228" s="23" t="str">
        <f t="shared" si="10"/>
        <v/>
      </c>
      <c r="B228" t="str">
        <f t="shared" si="11"/>
        <v/>
      </c>
      <c r="C228" s="23" t="str">
        <f t="shared" si="12"/>
        <v/>
      </c>
      <c r="E228" s="24" t="str">
        <f>IF(NOT(ISBLANK(ALcopy!B228)),ALcopy!B228,"")</f>
        <v/>
      </c>
      <c r="F228" s="24" t="str">
        <f>IF(E228&lt;&gt;"",ALcopy!A228,"")</f>
        <v/>
      </c>
      <c r="G228" s="24" t="str">
        <f>IF(E228&lt;&gt;"",ALcopy!F228,"")</f>
        <v/>
      </c>
    </row>
    <row r="229" spans="1:7" ht="15.75" customHeight="1">
      <c r="A229" s="23" t="str">
        <f t="shared" si="10"/>
        <v/>
      </c>
      <c r="B229" t="str">
        <f t="shared" si="11"/>
        <v/>
      </c>
      <c r="C229" s="23" t="str">
        <f t="shared" si="12"/>
        <v/>
      </c>
      <c r="E229" s="24" t="str">
        <f>IF(NOT(ISBLANK(ALcopy!B229)),ALcopy!B229,"")</f>
        <v/>
      </c>
      <c r="F229" s="24" t="str">
        <f>IF(E229&lt;&gt;"",ALcopy!A229,"")</f>
        <v/>
      </c>
      <c r="G229" s="24" t="str">
        <f>IF(E229&lt;&gt;"",ALcopy!F229,"")</f>
        <v/>
      </c>
    </row>
    <row r="230" spans="1:7" ht="15.75" customHeight="1">
      <c r="A230" s="23" t="str">
        <f t="shared" si="10"/>
        <v/>
      </c>
      <c r="B230" t="str">
        <f t="shared" si="11"/>
        <v/>
      </c>
      <c r="C230" s="23" t="str">
        <f t="shared" si="12"/>
        <v/>
      </c>
      <c r="E230" s="24" t="str">
        <f>IF(NOT(ISBLANK(ALcopy!B230)),ALcopy!B230,"")</f>
        <v/>
      </c>
      <c r="F230" s="24" t="str">
        <f>IF(E230&lt;&gt;"",ALcopy!A230,"")</f>
        <v/>
      </c>
      <c r="G230" s="24" t="str">
        <f>IF(E230&lt;&gt;"",ALcopy!F230,"")</f>
        <v/>
      </c>
    </row>
    <row r="231" spans="1:7" ht="15.75" customHeight="1">
      <c r="A231" s="23" t="str">
        <f t="shared" si="10"/>
        <v/>
      </c>
      <c r="B231" t="str">
        <f t="shared" si="11"/>
        <v/>
      </c>
      <c r="C231" s="23" t="str">
        <f t="shared" si="12"/>
        <v/>
      </c>
      <c r="E231" s="24" t="str">
        <f>IF(NOT(ISBLANK(ALcopy!B231)),ALcopy!B231,"")</f>
        <v/>
      </c>
      <c r="F231" s="24" t="str">
        <f>IF(E231&lt;&gt;"",ALcopy!A231,"")</f>
        <v/>
      </c>
      <c r="G231" s="24" t="str">
        <f>IF(E231&lt;&gt;"",ALcopy!F231,"")</f>
        <v/>
      </c>
    </row>
    <row r="232" spans="1:7" ht="15.75" customHeight="1">
      <c r="A232" s="23" t="str">
        <f t="shared" si="10"/>
        <v/>
      </c>
      <c r="B232" t="str">
        <f t="shared" si="11"/>
        <v/>
      </c>
      <c r="C232" s="23" t="str">
        <f t="shared" si="12"/>
        <v/>
      </c>
      <c r="E232" s="24" t="str">
        <f>IF(NOT(ISBLANK(ALcopy!B232)),ALcopy!B232,"")</f>
        <v/>
      </c>
      <c r="F232" s="24" t="str">
        <f>IF(E232&lt;&gt;"",ALcopy!A232,"")</f>
        <v/>
      </c>
      <c r="G232" s="24" t="str">
        <f>IF(E232&lt;&gt;"",ALcopy!F232,"")</f>
        <v/>
      </c>
    </row>
    <row r="233" spans="1:7" ht="15.75" customHeight="1">
      <c r="A233" s="23" t="str">
        <f t="shared" si="10"/>
        <v/>
      </c>
      <c r="B233" t="str">
        <f t="shared" si="11"/>
        <v/>
      </c>
      <c r="C233" s="23" t="str">
        <f t="shared" si="12"/>
        <v/>
      </c>
      <c r="E233" s="24" t="str">
        <f>IF(NOT(ISBLANK(ALcopy!B233)),ALcopy!B233,"")</f>
        <v/>
      </c>
      <c r="F233" s="24" t="str">
        <f>IF(E233&lt;&gt;"",ALcopy!A233,"")</f>
        <v/>
      </c>
      <c r="G233" s="24" t="str">
        <f>IF(E233&lt;&gt;"",ALcopy!F233,"")</f>
        <v/>
      </c>
    </row>
    <row r="234" spans="1:7" ht="15.75" customHeight="1">
      <c r="A234" s="23" t="str">
        <f t="shared" si="10"/>
        <v/>
      </c>
      <c r="B234" t="str">
        <f t="shared" si="11"/>
        <v/>
      </c>
      <c r="C234" s="23" t="str">
        <f t="shared" si="12"/>
        <v/>
      </c>
      <c r="E234" s="24" t="str">
        <f>IF(NOT(ISBLANK(ALcopy!B234)),ALcopy!B234,"")</f>
        <v/>
      </c>
      <c r="F234" s="24" t="str">
        <f>IF(E234&lt;&gt;"",ALcopy!A234,"")</f>
        <v/>
      </c>
      <c r="G234" s="24" t="str">
        <f>IF(E234&lt;&gt;"",ALcopy!F234,"")</f>
        <v/>
      </c>
    </row>
    <row r="235" spans="1:7" ht="15.75" customHeight="1">
      <c r="A235" s="23" t="str">
        <f t="shared" si="10"/>
        <v/>
      </c>
      <c r="B235" t="str">
        <f t="shared" si="11"/>
        <v/>
      </c>
      <c r="C235" s="23" t="str">
        <f t="shared" si="12"/>
        <v/>
      </c>
      <c r="E235" s="24" t="str">
        <f>IF(NOT(ISBLANK(ALcopy!B235)),ALcopy!B235,"")</f>
        <v/>
      </c>
      <c r="F235" s="24" t="str">
        <f>IF(E235&lt;&gt;"",ALcopy!A235,"")</f>
        <v/>
      </c>
      <c r="G235" s="24" t="str">
        <f>IF(E235&lt;&gt;"",ALcopy!F235,"")</f>
        <v/>
      </c>
    </row>
    <row r="236" spans="1:7" ht="15.75" customHeight="1">
      <c r="A236" s="23" t="str">
        <f t="shared" si="10"/>
        <v/>
      </c>
      <c r="B236" t="str">
        <f t="shared" si="11"/>
        <v/>
      </c>
      <c r="C236" s="23" t="str">
        <f t="shared" si="12"/>
        <v/>
      </c>
      <c r="E236" s="24" t="str">
        <f>IF(NOT(ISBLANK(ALcopy!B236)),ALcopy!B236,"")</f>
        <v/>
      </c>
      <c r="F236" s="24" t="str">
        <f>IF(E236&lt;&gt;"",ALcopy!A236,"")</f>
        <v/>
      </c>
      <c r="G236" s="24" t="str">
        <f>IF(E236&lt;&gt;"",ALcopy!F236,"")</f>
        <v/>
      </c>
    </row>
    <row r="237" spans="1:7" ht="15.75" customHeight="1">
      <c r="A237" s="23" t="str">
        <f t="shared" si="10"/>
        <v/>
      </c>
      <c r="B237" t="str">
        <f t="shared" si="11"/>
        <v/>
      </c>
      <c r="C237" s="23" t="str">
        <f t="shared" si="12"/>
        <v/>
      </c>
      <c r="E237" s="24" t="str">
        <f>IF(NOT(ISBLANK(ALcopy!B237)),ALcopy!B237,"")</f>
        <v/>
      </c>
      <c r="F237" s="24" t="str">
        <f>IF(E237&lt;&gt;"",ALcopy!A237,"")</f>
        <v/>
      </c>
      <c r="G237" s="24" t="str">
        <f>IF(E237&lt;&gt;"",ALcopy!F237,"")</f>
        <v/>
      </c>
    </row>
    <row r="238" spans="1:7" ht="15.75" customHeight="1">
      <c r="A238" s="23" t="str">
        <f t="shared" si="10"/>
        <v/>
      </c>
      <c r="B238" t="str">
        <f t="shared" si="11"/>
        <v/>
      </c>
      <c r="C238" s="23" t="str">
        <f t="shared" si="12"/>
        <v/>
      </c>
      <c r="E238" s="24" t="str">
        <f>IF(NOT(ISBLANK(ALcopy!B238)),ALcopy!B238,"")</f>
        <v/>
      </c>
      <c r="F238" s="24" t="str">
        <f>IF(E238&lt;&gt;"",ALcopy!A238,"")</f>
        <v/>
      </c>
      <c r="G238" s="24" t="str">
        <f>IF(E238&lt;&gt;"",ALcopy!F238,"")</f>
        <v/>
      </c>
    </row>
    <row r="239" spans="1:7" ht="15.75" customHeight="1">
      <c r="A239" s="23" t="str">
        <f t="shared" si="10"/>
        <v/>
      </c>
      <c r="B239" t="str">
        <f t="shared" si="11"/>
        <v/>
      </c>
      <c r="C239" s="23" t="str">
        <f t="shared" si="12"/>
        <v/>
      </c>
      <c r="E239" s="24" t="str">
        <f>IF(NOT(ISBLANK(ALcopy!B239)),ALcopy!B239,"")</f>
        <v/>
      </c>
      <c r="F239" s="24" t="str">
        <f>IF(E239&lt;&gt;"",ALcopy!A239,"")</f>
        <v/>
      </c>
      <c r="G239" s="24" t="str">
        <f>IF(E239&lt;&gt;"",ALcopy!F239,"")</f>
        <v/>
      </c>
    </row>
    <row r="240" spans="1:7" ht="15.75" customHeight="1">
      <c r="A240" s="23" t="str">
        <f t="shared" si="10"/>
        <v/>
      </c>
      <c r="B240" t="str">
        <f t="shared" si="11"/>
        <v/>
      </c>
      <c r="C240" s="23" t="str">
        <f t="shared" si="12"/>
        <v/>
      </c>
      <c r="E240" s="24" t="str">
        <f>IF(NOT(ISBLANK(ALcopy!B240)),ALcopy!B240,"")</f>
        <v/>
      </c>
      <c r="F240" s="24" t="str">
        <f>IF(E240&lt;&gt;"",ALcopy!A240,"")</f>
        <v/>
      </c>
      <c r="G240" s="24" t="str">
        <f>IF(E240&lt;&gt;"",ALcopy!F240,"")</f>
        <v/>
      </c>
    </row>
    <row r="241" spans="1:7" ht="15.75" customHeight="1">
      <c r="A241" s="23" t="str">
        <f t="shared" si="10"/>
        <v/>
      </c>
      <c r="B241" t="str">
        <f t="shared" si="11"/>
        <v/>
      </c>
      <c r="C241" s="23" t="str">
        <f t="shared" si="12"/>
        <v/>
      </c>
      <c r="E241" s="24" t="str">
        <f>IF(NOT(ISBLANK(ALcopy!B241)),ALcopy!B241,"")</f>
        <v/>
      </c>
      <c r="F241" s="24" t="str">
        <f>IF(E241&lt;&gt;"",ALcopy!A241,"")</f>
        <v/>
      </c>
      <c r="G241" s="24" t="str">
        <f>IF(E241&lt;&gt;"",ALcopy!F241,"")</f>
        <v/>
      </c>
    </row>
    <row r="242" spans="1:7" ht="15.75" customHeight="1">
      <c r="A242" s="23" t="str">
        <f t="shared" si="10"/>
        <v/>
      </c>
      <c r="B242" t="str">
        <f t="shared" si="11"/>
        <v/>
      </c>
      <c r="C242" s="23" t="str">
        <f t="shared" si="12"/>
        <v/>
      </c>
      <c r="E242" s="24" t="str">
        <f>IF(NOT(ISBLANK(ALcopy!B242)),ALcopy!B242,"")</f>
        <v/>
      </c>
      <c r="F242" s="24" t="str">
        <f>IF(E242&lt;&gt;"",ALcopy!A242,"")</f>
        <v/>
      </c>
      <c r="G242" s="24" t="str">
        <f>IF(E242&lt;&gt;"",ALcopy!F242,"")</f>
        <v/>
      </c>
    </row>
    <row r="243" spans="1:7" ht="15.75" customHeight="1">
      <c r="A243" s="23" t="str">
        <f t="shared" si="10"/>
        <v/>
      </c>
      <c r="B243" t="str">
        <f t="shared" si="11"/>
        <v/>
      </c>
      <c r="C243" s="23" t="str">
        <f t="shared" si="12"/>
        <v/>
      </c>
      <c r="E243" s="24" t="str">
        <f>IF(NOT(ISBLANK(ALcopy!B243)),ALcopy!B243,"")</f>
        <v/>
      </c>
      <c r="F243" s="24" t="str">
        <f>IF(E243&lt;&gt;"",ALcopy!A243,"")</f>
        <v/>
      </c>
      <c r="G243" s="24" t="str">
        <f>IF(E243&lt;&gt;"",ALcopy!F243,"")</f>
        <v/>
      </c>
    </row>
    <row r="244" spans="1:7" ht="15.75" customHeight="1">
      <c r="A244" s="23" t="str">
        <f t="shared" si="10"/>
        <v/>
      </c>
      <c r="B244" t="str">
        <f t="shared" si="11"/>
        <v/>
      </c>
      <c r="C244" s="23" t="str">
        <f t="shared" si="12"/>
        <v/>
      </c>
      <c r="E244" s="24" t="str">
        <f>IF(NOT(ISBLANK(ALcopy!B244)),ALcopy!B244,"")</f>
        <v/>
      </c>
      <c r="F244" s="24" t="str">
        <f>IF(E244&lt;&gt;"",ALcopy!A244,"")</f>
        <v/>
      </c>
      <c r="G244" s="24" t="str">
        <f>IF(E244&lt;&gt;"",ALcopy!F244,"")</f>
        <v/>
      </c>
    </row>
    <row r="245" spans="1:7" ht="15.75" customHeight="1">
      <c r="A245" s="23" t="str">
        <f t="shared" si="10"/>
        <v/>
      </c>
      <c r="B245" t="str">
        <f t="shared" si="11"/>
        <v/>
      </c>
      <c r="C245" s="23" t="str">
        <f t="shared" si="12"/>
        <v/>
      </c>
      <c r="E245" s="24" t="str">
        <f>IF(NOT(ISBLANK(ALcopy!B245)),ALcopy!B245,"")</f>
        <v/>
      </c>
      <c r="F245" s="24" t="str">
        <f>IF(E245&lt;&gt;"",ALcopy!A245,"")</f>
        <v/>
      </c>
      <c r="G245" s="24" t="str">
        <f>IF(E245&lt;&gt;"",ALcopy!F245,"")</f>
        <v/>
      </c>
    </row>
    <row r="246" spans="1:7" ht="15.75" customHeight="1">
      <c r="A246" s="23" t="str">
        <f t="shared" si="10"/>
        <v/>
      </c>
      <c r="B246" t="str">
        <f t="shared" si="11"/>
        <v/>
      </c>
      <c r="C246" s="23" t="str">
        <f t="shared" si="12"/>
        <v/>
      </c>
      <c r="E246" s="24" t="str">
        <f>IF(NOT(ISBLANK(ALcopy!B246)),ALcopy!B246,"")</f>
        <v/>
      </c>
      <c r="F246" s="24" t="str">
        <f>IF(E246&lt;&gt;"",ALcopy!A246,"")</f>
        <v/>
      </c>
      <c r="G246" s="24" t="str">
        <f>IF(E246&lt;&gt;"",ALcopy!F246,"")</f>
        <v/>
      </c>
    </row>
    <row r="247" spans="1:7" ht="15.75" customHeight="1">
      <c r="A247" s="23" t="str">
        <f t="shared" si="10"/>
        <v/>
      </c>
      <c r="B247" t="str">
        <f t="shared" si="11"/>
        <v/>
      </c>
      <c r="C247" s="23" t="str">
        <f t="shared" si="12"/>
        <v/>
      </c>
      <c r="E247" s="24" t="str">
        <f>IF(NOT(ISBLANK(ALcopy!B247)),ALcopy!B247,"")</f>
        <v/>
      </c>
      <c r="F247" s="24" t="str">
        <f>IF(E247&lt;&gt;"",ALcopy!A247,"")</f>
        <v/>
      </c>
      <c r="G247" s="24" t="str">
        <f>IF(E247&lt;&gt;"",ALcopy!F247,"")</f>
        <v/>
      </c>
    </row>
    <row r="248" spans="1:7" ht="15.75" customHeight="1">
      <c r="A248" s="23" t="str">
        <f t="shared" si="10"/>
        <v/>
      </c>
      <c r="B248" t="str">
        <f t="shared" si="11"/>
        <v/>
      </c>
      <c r="C248" s="23" t="str">
        <f t="shared" si="12"/>
        <v/>
      </c>
      <c r="E248" s="24" t="str">
        <f>IF(NOT(ISBLANK(ALcopy!B248)),ALcopy!B248,"")</f>
        <v/>
      </c>
      <c r="F248" s="24" t="str">
        <f>IF(E248&lt;&gt;"",ALcopy!A248,"")</f>
        <v/>
      </c>
      <c r="G248" s="24" t="str">
        <f>IF(E248&lt;&gt;"",ALcopy!F248,"")</f>
        <v/>
      </c>
    </row>
    <row r="249" spans="1:7" ht="15.75" customHeight="1">
      <c r="A249" s="23" t="str">
        <f t="shared" si="10"/>
        <v/>
      </c>
      <c r="B249" t="str">
        <f t="shared" si="11"/>
        <v/>
      </c>
      <c r="C249" s="23" t="str">
        <f t="shared" si="12"/>
        <v/>
      </c>
      <c r="E249" s="24" t="str">
        <f>IF(NOT(ISBLANK(ALcopy!B249)),ALcopy!B249,"")</f>
        <v/>
      </c>
      <c r="F249" s="24" t="str">
        <f>IF(E249&lt;&gt;"",ALcopy!A249,"")</f>
        <v/>
      </c>
      <c r="G249" s="24" t="str">
        <f>IF(E249&lt;&gt;"",ALcopy!F249,"")</f>
        <v/>
      </c>
    </row>
    <row r="250" spans="1:7" ht="15.75" customHeight="1">
      <c r="A250" s="23" t="str">
        <f t="shared" si="10"/>
        <v/>
      </c>
      <c r="B250" t="str">
        <f t="shared" si="11"/>
        <v/>
      </c>
      <c r="C250" s="23" t="str">
        <f t="shared" si="12"/>
        <v/>
      </c>
      <c r="E250" s="24" t="str">
        <f>IF(NOT(ISBLANK(ALcopy!B250)),ALcopy!B250,"")</f>
        <v/>
      </c>
      <c r="F250" s="24" t="str">
        <f>IF(E250&lt;&gt;"",ALcopy!A250,"")</f>
        <v/>
      </c>
      <c r="G250" s="24" t="str">
        <f>IF(E250&lt;&gt;"",ALcopy!F250,"")</f>
        <v/>
      </c>
    </row>
    <row r="251" spans="1:7" ht="15.75" customHeight="1">
      <c r="A251" s="23" t="str">
        <f t="shared" si="10"/>
        <v/>
      </c>
      <c r="B251" t="str">
        <f t="shared" si="11"/>
        <v/>
      </c>
      <c r="C251" s="23" t="str">
        <f t="shared" si="12"/>
        <v/>
      </c>
      <c r="E251" s="24" t="str">
        <f>IF(NOT(ISBLANK(ALcopy!B251)),ALcopy!B251,"")</f>
        <v/>
      </c>
      <c r="F251" s="24" t="str">
        <f>IF(E251&lt;&gt;"",ALcopy!A251,"")</f>
        <v/>
      </c>
      <c r="G251" s="24" t="str">
        <f>IF(E251&lt;&gt;"",ALcopy!F251,"")</f>
        <v/>
      </c>
    </row>
    <row r="252" spans="1:7" ht="15.75" customHeight="1">
      <c r="A252" s="23" t="str">
        <f t="shared" si="10"/>
        <v/>
      </c>
      <c r="B252" t="str">
        <f t="shared" si="11"/>
        <v/>
      </c>
      <c r="C252" s="23" t="str">
        <f t="shared" si="12"/>
        <v/>
      </c>
      <c r="E252" s="24" t="str">
        <f>IF(NOT(ISBLANK(ALcopy!B252)),ALcopy!B252,"")</f>
        <v/>
      </c>
      <c r="F252" s="24" t="str">
        <f>IF(E252&lt;&gt;"",ALcopy!A252,"")</f>
        <v/>
      </c>
      <c r="G252" s="24" t="str">
        <f>IF(E252&lt;&gt;"",ALcopy!F252,"")</f>
        <v/>
      </c>
    </row>
    <row r="253" spans="1:7" ht="15.75" customHeight="1">
      <c r="A253" s="23" t="str">
        <f t="shared" si="10"/>
        <v/>
      </c>
      <c r="B253" t="str">
        <f t="shared" si="11"/>
        <v/>
      </c>
      <c r="C253" s="23" t="str">
        <f t="shared" si="12"/>
        <v/>
      </c>
      <c r="E253" s="24" t="str">
        <f>IF(NOT(ISBLANK(ALcopy!B253)),ALcopy!B253,"")</f>
        <v/>
      </c>
      <c r="F253" s="24" t="str">
        <f>IF(E253&lt;&gt;"",ALcopy!A253,"")</f>
        <v/>
      </c>
      <c r="G253" s="24" t="str">
        <f>IF(E253&lt;&gt;"",ALcopy!F253,"")</f>
        <v/>
      </c>
    </row>
    <row r="254" spans="1:7" ht="15.75" customHeight="1">
      <c r="A254" s="23" t="str">
        <f t="shared" si="10"/>
        <v/>
      </c>
      <c r="B254" t="str">
        <f t="shared" si="11"/>
        <v/>
      </c>
      <c r="C254" s="23" t="str">
        <f t="shared" si="12"/>
        <v/>
      </c>
      <c r="E254" s="24" t="str">
        <f>IF(NOT(ISBLANK(ALcopy!B254)),ALcopy!B254,"")</f>
        <v/>
      </c>
      <c r="F254" s="24" t="str">
        <f>IF(E254&lt;&gt;"",ALcopy!A254,"")</f>
        <v/>
      </c>
      <c r="G254" s="24" t="str">
        <f>IF(E254&lt;&gt;"",ALcopy!F254,"")</f>
        <v/>
      </c>
    </row>
    <row r="255" spans="1:7" ht="15.75" customHeight="1">
      <c r="A255" s="23" t="str">
        <f t="shared" si="10"/>
        <v/>
      </c>
      <c r="B255" t="str">
        <f t="shared" si="11"/>
        <v/>
      </c>
      <c r="C255" s="23" t="str">
        <f t="shared" si="12"/>
        <v/>
      </c>
      <c r="E255" s="24" t="str">
        <f>IF(NOT(ISBLANK(ALcopy!B255)),ALcopy!B255,"")</f>
        <v/>
      </c>
      <c r="F255" s="24" t="str">
        <f>IF(E255&lt;&gt;"",ALcopy!A255,"")</f>
        <v/>
      </c>
      <c r="G255" s="24" t="str">
        <f>IF(E255&lt;&gt;"",ALcopy!F255,"")</f>
        <v/>
      </c>
    </row>
    <row r="256" spans="1:7" ht="15.75" customHeight="1">
      <c r="A256" s="23" t="str">
        <f t="shared" si="10"/>
        <v/>
      </c>
      <c r="B256" t="str">
        <f t="shared" si="11"/>
        <v/>
      </c>
      <c r="C256" s="23" t="str">
        <f t="shared" si="12"/>
        <v/>
      </c>
      <c r="E256" s="24" t="str">
        <f>IF(NOT(ISBLANK(ALcopy!B256)),ALcopy!B256,"")</f>
        <v/>
      </c>
      <c r="F256" s="24" t="str">
        <f>IF(E256&lt;&gt;"",ALcopy!A256,"")</f>
        <v/>
      </c>
      <c r="G256" s="24" t="str">
        <f>IF(E256&lt;&gt;"",ALcopy!F256,"")</f>
        <v/>
      </c>
    </row>
    <row r="257" spans="1:7" ht="15.75" customHeight="1">
      <c r="A257" s="23" t="str">
        <f t="shared" si="10"/>
        <v/>
      </c>
      <c r="B257" t="str">
        <f t="shared" si="11"/>
        <v/>
      </c>
      <c r="C257" s="23" t="str">
        <f t="shared" si="12"/>
        <v/>
      </c>
      <c r="E257" s="24" t="str">
        <f>IF(NOT(ISBLANK(ALcopy!B257)),ALcopy!B257,"")</f>
        <v/>
      </c>
      <c r="F257" s="24" t="str">
        <f>IF(E257&lt;&gt;"",ALcopy!A257,"")</f>
        <v/>
      </c>
      <c r="G257" s="24" t="str">
        <f>IF(E257&lt;&gt;"",ALcopy!F257,"")</f>
        <v/>
      </c>
    </row>
    <row r="258" spans="1:7" ht="15.75" customHeight="1">
      <c r="A258" s="23" t="str">
        <f t="shared" si="10"/>
        <v/>
      </c>
      <c r="B258" t="str">
        <f t="shared" si="11"/>
        <v/>
      </c>
      <c r="C258" s="23" t="str">
        <f t="shared" si="12"/>
        <v/>
      </c>
      <c r="E258" s="24" t="str">
        <f>IF(NOT(ISBLANK(ALcopy!B258)),ALcopy!B258,"")</f>
        <v/>
      </c>
      <c r="F258" s="24" t="str">
        <f>IF(E258&lt;&gt;"",ALcopy!A258,"")</f>
        <v/>
      </c>
      <c r="G258" s="24" t="str">
        <f>IF(E258&lt;&gt;"",ALcopy!F258,"")</f>
        <v/>
      </c>
    </row>
    <row r="259" spans="1:7" ht="15.75" customHeight="1">
      <c r="A259" s="23" t="str">
        <f t="shared" ref="A259:A322" si="13">IF(E259&lt;&gt;"",DATEVALUE(LEFT(E259,10)),"")</f>
        <v/>
      </c>
      <c r="B259" t="str">
        <f t="shared" ref="B259:B322" si="14">IF(LEN(F259)&gt;3,RIGHT(F259,LEN(F259)-3),"")</f>
        <v/>
      </c>
      <c r="C259" s="23" t="str">
        <f t="shared" ref="C259:C322" si="15">IF(E259&lt;&gt;"",DATEVALUE(LEFT(G259,10)),"")</f>
        <v/>
      </c>
      <c r="E259" s="24" t="str">
        <f>IF(NOT(ISBLANK(ALcopy!B259)),ALcopy!B259,"")</f>
        <v/>
      </c>
      <c r="F259" s="24" t="str">
        <f>IF(E259&lt;&gt;"",ALcopy!A259,"")</f>
        <v/>
      </c>
      <c r="G259" s="24" t="str">
        <f>IF(E259&lt;&gt;"",ALcopy!F259,"")</f>
        <v/>
      </c>
    </row>
    <row r="260" spans="1:7" ht="15.75" customHeight="1">
      <c r="A260" s="23" t="str">
        <f t="shared" si="13"/>
        <v/>
      </c>
      <c r="B260" t="str">
        <f t="shared" si="14"/>
        <v/>
      </c>
      <c r="C260" s="23" t="str">
        <f t="shared" si="15"/>
        <v/>
      </c>
      <c r="E260" s="24" t="str">
        <f>IF(NOT(ISBLANK(ALcopy!B260)),ALcopy!B260,"")</f>
        <v/>
      </c>
      <c r="F260" s="24" t="str">
        <f>IF(E260&lt;&gt;"",ALcopy!A260,"")</f>
        <v/>
      </c>
      <c r="G260" s="24" t="str">
        <f>IF(E260&lt;&gt;"",ALcopy!F260,"")</f>
        <v/>
      </c>
    </row>
    <row r="261" spans="1:7" ht="15.75" customHeight="1">
      <c r="A261" s="23" t="str">
        <f t="shared" si="13"/>
        <v/>
      </c>
      <c r="B261" t="str">
        <f t="shared" si="14"/>
        <v/>
      </c>
      <c r="C261" s="23" t="str">
        <f t="shared" si="15"/>
        <v/>
      </c>
      <c r="E261" s="24" t="str">
        <f>IF(NOT(ISBLANK(ALcopy!B261)),ALcopy!B261,"")</f>
        <v/>
      </c>
      <c r="F261" s="24" t="str">
        <f>IF(E261&lt;&gt;"",ALcopy!A261,"")</f>
        <v/>
      </c>
      <c r="G261" s="24" t="str">
        <f>IF(E261&lt;&gt;"",ALcopy!F261,"")</f>
        <v/>
      </c>
    </row>
    <row r="262" spans="1:7" ht="15.75" customHeight="1">
      <c r="A262" s="23" t="str">
        <f t="shared" si="13"/>
        <v/>
      </c>
      <c r="B262" t="str">
        <f t="shared" si="14"/>
        <v/>
      </c>
      <c r="C262" s="23" t="str">
        <f t="shared" si="15"/>
        <v/>
      </c>
      <c r="E262" s="24" t="str">
        <f>IF(NOT(ISBLANK(ALcopy!B262)),ALcopy!B262,"")</f>
        <v/>
      </c>
      <c r="F262" s="24" t="str">
        <f>IF(E262&lt;&gt;"",ALcopy!A262,"")</f>
        <v/>
      </c>
      <c r="G262" s="24" t="str">
        <f>IF(E262&lt;&gt;"",ALcopy!F262,"")</f>
        <v/>
      </c>
    </row>
    <row r="263" spans="1:7" ht="15.75" customHeight="1">
      <c r="A263" s="23" t="str">
        <f t="shared" si="13"/>
        <v/>
      </c>
      <c r="B263" t="str">
        <f t="shared" si="14"/>
        <v/>
      </c>
      <c r="C263" s="23" t="str">
        <f t="shared" si="15"/>
        <v/>
      </c>
      <c r="E263" s="24" t="str">
        <f>IF(NOT(ISBLANK(ALcopy!B263)),ALcopy!B263,"")</f>
        <v/>
      </c>
      <c r="F263" s="24" t="str">
        <f>IF(E263&lt;&gt;"",ALcopy!A263,"")</f>
        <v/>
      </c>
      <c r="G263" s="24" t="str">
        <f>IF(E263&lt;&gt;"",ALcopy!F263,"")</f>
        <v/>
      </c>
    </row>
    <row r="264" spans="1:7" ht="15.75" customHeight="1">
      <c r="A264" s="23" t="str">
        <f t="shared" si="13"/>
        <v/>
      </c>
      <c r="B264" t="str">
        <f t="shared" si="14"/>
        <v/>
      </c>
      <c r="C264" s="23" t="str">
        <f t="shared" si="15"/>
        <v/>
      </c>
      <c r="E264" s="24" t="str">
        <f>IF(NOT(ISBLANK(ALcopy!B264)),ALcopy!B264,"")</f>
        <v/>
      </c>
      <c r="F264" s="24" t="str">
        <f>IF(E264&lt;&gt;"",ALcopy!A264,"")</f>
        <v/>
      </c>
      <c r="G264" s="24" t="str">
        <f>IF(E264&lt;&gt;"",ALcopy!F264,"")</f>
        <v/>
      </c>
    </row>
    <row r="265" spans="1:7" ht="15.75" customHeight="1">
      <c r="A265" s="23" t="str">
        <f t="shared" si="13"/>
        <v/>
      </c>
      <c r="B265" t="str">
        <f t="shared" si="14"/>
        <v/>
      </c>
      <c r="C265" s="23" t="str">
        <f t="shared" si="15"/>
        <v/>
      </c>
      <c r="E265" s="24" t="str">
        <f>IF(NOT(ISBLANK(ALcopy!B265)),ALcopy!B265,"")</f>
        <v/>
      </c>
      <c r="F265" s="24" t="str">
        <f>IF(E265&lt;&gt;"",ALcopy!A265,"")</f>
        <v/>
      </c>
      <c r="G265" s="24" t="str">
        <f>IF(E265&lt;&gt;"",ALcopy!F265,"")</f>
        <v/>
      </c>
    </row>
    <row r="266" spans="1:7" ht="15.75" customHeight="1">
      <c r="A266" s="23" t="str">
        <f t="shared" si="13"/>
        <v/>
      </c>
      <c r="B266" t="str">
        <f t="shared" si="14"/>
        <v/>
      </c>
      <c r="C266" s="23" t="str">
        <f t="shared" si="15"/>
        <v/>
      </c>
      <c r="E266" s="24" t="str">
        <f>IF(NOT(ISBLANK(ALcopy!B266)),ALcopy!B266,"")</f>
        <v/>
      </c>
      <c r="F266" s="24" t="str">
        <f>IF(E266&lt;&gt;"",ALcopy!A266,"")</f>
        <v/>
      </c>
      <c r="G266" s="24" t="str">
        <f>IF(E266&lt;&gt;"",ALcopy!F266,"")</f>
        <v/>
      </c>
    </row>
    <row r="267" spans="1:7" ht="15.75" customHeight="1">
      <c r="A267" s="23" t="str">
        <f t="shared" si="13"/>
        <v/>
      </c>
      <c r="B267" t="str">
        <f t="shared" si="14"/>
        <v/>
      </c>
      <c r="C267" s="23" t="str">
        <f t="shared" si="15"/>
        <v/>
      </c>
      <c r="E267" s="24" t="str">
        <f>IF(NOT(ISBLANK(ALcopy!B267)),ALcopy!B267,"")</f>
        <v/>
      </c>
      <c r="F267" s="24" t="str">
        <f>IF(E267&lt;&gt;"",ALcopy!A267,"")</f>
        <v/>
      </c>
      <c r="G267" s="24" t="str">
        <f>IF(E267&lt;&gt;"",ALcopy!F267,"")</f>
        <v/>
      </c>
    </row>
    <row r="268" spans="1:7" ht="15.75" customHeight="1">
      <c r="A268" s="23" t="str">
        <f t="shared" si="13"/>
        <v/>
      </c>
      <c r="B268" t="str">
        <f t="shared" si="14"/>
        <v/>
      </c>
      <c r="C268" s="23" t="str">
        <f t="shared" si="15"/>
        <v/>
      </c>
      <c r="E268" s="24" t="str">
        <f>IF(NOT(ISBLANK(ALcopy!B268)),ALcopy!B268,"")</f>
        <v/>
      </c>
      <c r="F268" s="24" t="str">
        <f>IF(E268&lt;&gt;"",ALcopy!A268,"")</f>
        <v/>
      </c>
      <c r="G268" s="24" t="str">
        <f>IF(E268&lt;&gt;"",ALcopy!F268,"")</f>
        <v/>
      </c>
    </row>
    <row r="269" spans="1:7" ht="15.75" customHeight="1">
      <c r="A269" s="23" t="str">
        <f t="shared" si="13"/>
        <v/>
      </c>
      <c r="B269" t="str">
        <f t="shared" si="14"/>
        <v/>
      </c>
      <c r="C269" s="23" t="str">
        <f t="shared" si="15"/>
        <v/>
      </c>
      <c r="E269" s="24" t="str">
        <f>IF(NOT(ISBLANK(ALcopy!B269)),ALcopy!B269,"")</f>
        <v/>
      </c>
      <c r="F269" s="24" t="str">
        <f>IF(E269&lt;&gt;"",ALcopy!A269,"")</f>
        <v/>
      </c>
      <c r="G269" s="24" t="str">
        <f>IF(E269&lt;&gt;"",ALcopy!F269,"")</f>
        <v/>
      </c>
    </row>
    <row r="270" spans="1:7" ht="15.75" customHeight="1">
      <c r="A270" s="23" t="str">
        <f t="shared" si="13"/>
        <v/>
      </c>
      <c r="B270" t="str">
        <f t="shared" si="14"/>
        <v/>
      </c>
      <c r="C270" s="23" t="str">
        <f t="shared" si="15"/>
        <v/>
      </c>
      <c r="E270" s="24" t="str">
        <f>IF(NOT(ISBLANK(ALcopy!B270)),ALcopy!B270,"")</f>
        <v/>
      </c>
      <c r="F270" s="24" t="str">
        <f>IF(E270&lt;&gt;"",ALcopy!A270,"")</f>
        <v/>
      </c>
      <c r="G270" s="24" t="str">
        <f>IF(E270&lt;&gt;"",ALcopy!F270,"")</f>
        <v/>
      </c>
    </row>
    <row r="271" spans="1:7" ht="15.75" customHeight="1">
      <c r="A271" s="23" t="str">
        <f t="shared" si="13"/>
        <v/>
      </c>
      <c r="B271" t="str">
        <f t="shared" si="14"/>
        <v/>
      </c>
      <c r="C271" s="23" t="str">
        <f t="shared" si="15"/>
        <v/>
      </c>
      <c r="E271" s="24" t="str">
        <f>IF(NOT(ISBLANK(ALcopy!B271)),ALcopy!B271,"")</f>
        <v/>
      </c>
      <c r="F271" s="24" t="str">
        <f>IF(E271&lt;&gt;"",ALcopy!A271,"")</f>
        <v/>
      </c>
      <c r="G271" s="24" t="str">
        <f>IF(E271&lt;&gt;"",ALcopy!F271,"")</f>
        <v/>
      </c>
    </row>
    <row r="272" spans="1:7" ht="15.75" customHeight="1">
      <c r="A272" s="23" t="str">
        <f t="shared" si="13"/>
        <v/>
      </c>
      <c r="B272" t="str">
        <f t="shared" si="14"/>
        <v/>
      </c>
      <c r="C272" s="23" t="str">
        <f t="shared" si="15"/>
        <v/>
      </c>
      <c r="E272" s="24" t="str">
        <f>IF(NOT(ISBLANK(ALcopy!B272)),ALcopy!B272,"")</f>
        <v/>
      </c>
      <c r="F272" s="24" t="str">
        <f>IF(E272&lt;&gt;"",ALcopy!A272,"")</f>
        <v/>
      </c>
      <c r="G272" s="24" t="str">
        <f>IF(E272&lt;&gt;"",ALcopy!F272,"")</f>
        <v/>
      </c>
    </row>
    <row r="273" spans="1:7" ht="15.75" customHeight="1">
      <c r="A273" s="23" t="str">
        <f t="shared" si="13"/>
        <v/>
      </c>
      <c r="B273" t="str">
        <f t="shared" si="14"/>
        <v/>
      </c>
      <c r="C273" s="23" t="str">
        <f t="shared" si="15"/>
        <v/>
      </c>
      <c r="E273" s="24" t="str">
        <f>IF(NOT(ISBLANK(ALcopy!B273)),ALcopy!B273,"")</f>
        <v/>
      </c>
      <c r="F273" s="24" t="str">
        <f>IF(E273&lt;&gt;"",ALcopy!A273,"")</f>
        <v/>
      </c>
      <c r="G273" s="24" t="str">
        <f>IF(E273&lt;&gt;"",ALcopy!F273,"")</f>
        <v/>
      </c>
    </row>
    <row r="274" spans="1:7" ht="15.75" customHeight="1">
      <c r="A274" s="23" t="str">
        <f t="shared" si="13"/>
        <v/>
      </c>
      <c r="B274" t="str">
        <f t="shared" si="14"/>
        <v/>
      </c>
      <c r="C274" s="23" t="str">
        <f t="shared" si="15"/>
        <v/>
      </c>
      <c r="E274" s="24" t="str">
        <f>IF(NOT(ISBLANK(ALcopy!B274)),ALcopy!B274,"")</f>
        <v/>
      </c>
      <c r="F274" s="24" t="str">
        <f>IF(E274&lt;&gt;"",ALcopy!A274,"")</f>
        <v/>
      </c>
      <c r="G274" s="24" t="str">
        <f>IF(E274&lt;&gt;"",ALcopy!F274,"")</f>
        <v/>
      </c>
    </row>
    <row r="275" spans="1:7" ht="15.75" customHeight="1">
      <c r="A275" s="23" t="str">
        <f t="shared" si="13"/>
        <v/>
      </c>
      <c r="B275" t="str">
        <f t="shared" si="14"/>
        <v/>
      </c>
      <c r="C275" s="23" t="str">
        <f t="shared" si="15"/>
        <v/>
      </c>
      <c r="E275" s="24" t="str">
        <f>IF(NOT(ISBLANK(ALcopy!B275)),ALcopy!B275,"")</f>
        <v/>
      </c>
      <c r="F275" s="24" t="str">
        <f>IF(E275&lt;&gt;"",ALcopy!A275,"")</f>
        <v/>
      </c>
      <c r="G275" s="24" t="str">
        <f>IF(E275&lt;&gt;"",ALcopy!F275,"")</f>
        <v/>
      </c>
    </row>
    <row r="276" spans="1:7" ht="15.75" customHeight="1">
      <c r="A276" s="23" t="str">
        <f t="shared" si="13"/>
        <v/>
      </c>
      <c r="B276" t="str">
        <f t="shared" si="14"/>
        <v/>
      </c>
      <c r="C276" s="23" t="str">
        <f t="shared" si="15"/>
        <v/>
      </c>
      <c r="E276" s="24" t="str">
        <f>IF(NOT(ISBLANK(ALcopy!B276)),ALcopy!B276,"")</f>
        <v/>
      </c>
      <c r="F276" s="24" t="str">
        <f>IF(E276&lt;&gt;"",ALcopy!A276,"")</f>
        <v/>
      </c>
      <c r="G276" s="24" t="str">
        <f>IF(E276&lt;&gt;"",ALcopy!F276,"")</f>
        <v/>
      </c>
    </row>
    <row r="277" spans="1:7" ht="15.75" customHeight="1">
      <c r="A277" s="23" t="str">
        <f t="shared" si="13"/>
        <v/>
      </c>
      <c r="B277" t="str">
        <f t="shared" si="14"/>
        <v/>
      </c>
      <c r="C277" s="23" t="str">
        <f t="shared" si="15"/>
        <v/>
      </c>
      <c r="E277" s="24" t="str">
        <f>IF(NOT(ISBLANK(ALcopy!B277)),ALcopy!B277,"")</f>
        <v/>
      </c>
      <c r="F277" s="24" t="str">
        <f>IF(E277&lt;&gt;"",ALcopy!A277,"")</f>
        <v/>
      </c>
      <c r="G277" s="24" t="str">
        <f>IF(E277&lt;&gt;"",ALcopy!F277,"")</f>
        <v/>
      </c>
    </row>
    <row r="278" spans="1:7" ht="15.75" customHeight="1">
      <c r="A278" s="23" t="str">
        <f t="shared" si="13"/>
        <v/>
      </c>
      <c r="B278" t="str">
        <f t="shared" si="14"/>
        <v/>
      </c>
      <c r="C278" s="23" t="str">
        <f t="shared" si="15"/>
        <v/>
      </c>
      <c r="E278" s="24" t="str">
        <f>IF(NOT(ISBLANK(ALcopy!B278)),ALcopy!B278,"")</f>
        <v/>
      </c>
      <c r="F278" s="24" t="str">
        <f>IF(E278&lt;&gt;"",ALcopy!A278,"")</f>
        <v/>
      </c>
      <c r="G278" s="24" t="str">
        <f>IF(E278&lt;&gt;"",ALcopy!F278,"")</f>
        <v/>
      </c>
    </row>
    <row r="279" spans="1:7" ht="15.75" customHeight="1">
      <c r="A279" s="23" t="str">
        <f t="shared" si="13"/>
        <v/>
      </c>
      <c r="B279" t="str">
        <f t="shared" si="14"/>
        <v/>
      </c>
      <c r="C279" s="23" t="str">
        <f t="shared" si="15"/>
        <v/>
      </c>
      <c r="E279" s="24" t="str">
        <f>IF(NOT(ISBLANK(ALcopy!B279)),ALcopy!B279,"")</f>
        <v/>
      </c>
      <c r="F279" s="24" t="str">
        <f>IF(E279&lt;&gt;"",ALcopy!A279,"")</f>
        <v/>
      </c>
      <c r="G279" s="24" t="str">
        <f>IF(E279&lt;&gt;"",ALcopy!F279,"")</f>
        <v/>
      </c>
    </row>
    <row r="280" spans="1:7" ht="15.75" customHeight="1">
      <c r="A280" s="23" t="str">
        <f t="shared" si="13"/>
        <v/>
      </c>
      <c r="B280" t="str">
        <f t="shared" si="14"/>
        <v/>
      </c>
      <c r="C280" s="23" t="str">
        <f t="shared" si="15"/>
        <v/>
      </c>
      <c r="E280" s="24" t="str">
        <f>IF(NOT(ISBLANK(ALcopy!B280)),ALcopy!B280,"")</f>
        <v/>
      </c>
      <c r="F280" s="24" t="str">
        <f>IF(E280&lt;&gt;"",ALcopy!A280,"")</f>
        <v/>
      </c>
      <c r="G280" s="24" t="str">
        <f>IF(E280&lt;&gt;"",ALcopy!F280,"")</f>
        <v/>
      </c>
    </row>
    <row r="281" spans="1:7" ht="15.75" customHeight="1">
      <c r="A281" s="23" t="str">
        <f t="shared" si="13"/>
        <v/>
      </c>
      <c r="B281" t="str">
        <f t="shared" si="14"/>
        <v/>
      </c>
      <c r="C281" s="23" t="str">
        <f t="shared" si="15"/>
        <v/>
      </c>
      <c r="E281" s="24" t="str">
        <f>IF(NOT(ISBLANK(ALcopy!B281)),ALcopy!B281,"")</f>
        <v/>
      </c>
      <c r="F281" s="24" t="str">
        <f>IF(E281&lt;&gt;"",ALcopy!A281,"")</f>
        <v/>
      </c>
      <c r="G281" s="24" t="str">
        <f>IF(E281&lt;&gt;"",ALcopy!F281,"")</f>
        <v/>
      </c>
    </row>
    <row r="282" spans="1:7" ht="15.75" customHeight="1">
      <c r="A282" s="23" t="str">
        <f t="shared" si="13"/>
        <v/>
      </c>
      <c r="B282" t="str">
        <f t="shared" si="14"/>
        <v/>
      </c>
      <c r="C282" s="23" t="str">
        <f t="shared" si="15"/>
        <v/>
      </c>
      <c r="E282" s="24" t="str">
        <f>IF(NOT(ISBLANK(ALcopy!B282)),ALcopy!B282,"")</f>
        <v/>
      </c>
      <c r="F282" s="24" t="str">
        <f>IF(E282&lt;&gt;"",ALcopy!A282,"")</f>
        <v/>
      </c>
      <c r="G282" s="24" t="str">
        <f>IF(E282&lt;&gt;"",ALcopy!F282,"")</f>
        <v/>
      </c>
    </row>
    <row r="283" spans="1:7" ht="15.75" customHeight="1">
      <c r="A283" s="23" t="str">
        <f t="shared" si="13"/>
        <v/>
      </c>
      <c r="B283" t="str">
        <f t="shared" si="14"/>
        <v/>
      </c>
      <c r="C283" s="23" t="str">
        <f t="shared" si="15"/>
        <v/>
      </c>
      <c r="E283" s="24" t="str">
        <f>IF(NOT(ISBLANK(ALcopy!B283)),ALcopy!B283,"")</f>
        <v/>
      </c>
      <c r="F283" s="24" t="str">
        <f>IF(E283&lt;&gt;"",ALcopy!A283,"")</f>
        <v/>
      </c>
      <c r="G283" s="24" t="str">
        <f>IF(E283&lt;&gt;"",ALcopy!F283,"")</f>
        <v/>
      </c>
    </row>
    <row r="284" spans="1:7" ht="15.75" customHeight="1">
      <c r="A284" s="23" t="str">
        <f t="shared" si="13"/>
        <v/>
      </c>
      <c r="B284" t="str">
        <f t="shared" si="14"/>
        <v/>
      </c>
      <c r="C284" s="23" t="str">
        <f t="shared" si="15"/>
        <v/>
      </c>
      <c r="E284" s="24" t="str">
        <f>IF(NOT(ISBLANK(ALcopy!B284)),ALcopy!B284,"")</f>
        <v/>
      </c>
      <c r="F284" s="24" t="str">
        <f>IF(E284&lt;&gt;"",ALcopy!A284,"")</f>
        <v/>
      </c>
      <c r="G284" s="24" t="str">
        <f>IF(E284&lt;&gt;"",ALcopy!F284,"")</f>
        <v/>
      </c>
    </row>
    <row r="285" spans="1:7" ht="15.75" customHeight="1">
      <c r="A285" s="23" t="str">
        <f t="shared" si="13"/>
        <v/>
      </c>
      <c r="B285" t="str">
        <f t="shared" si="14"/>
        <v/>
      </c>
      <c r="C285" s="23" t="str">
        <f t="shared" si="15"/>
        <v/>
      </c>
      <c r="E285" s="24" t="str">
        <f>IF(NOT(ISBLANK(ALcopy!B285)),ALcopy!B285,"")</f>
        <v/>
      </c>
      <c r="F285" s="24" t="str">
        <f>IF(E285&lt;&gt;"",ALcopy!A285,"")</f>
        <v/>
      </c>
      <c r="G285" s="24" t="str">
        <f>IF(E285&lt;&gt;"",ALcopy!F285,"")</f>
        <v/>
      </c>
    </row>
    <row r="286" spans="1:7" ht="15.75" customHeight="1">
      <c r="A286" s="23" t="str">
        <f t="shared" si="13"/>
        <v/>
      </c>
      <c r="B286" t="str">
        <f t="shared" si="14"/>
        <v/>
      </c>
      <c r="C286" s="23" t="str">
        <f t="shared" si="15"/>
        <v/>
      </c>
      <c r="E286" s="24" t="str">
        <f>IF(NOT(ISBLANK(ALcopy!B286)),ALcopy!B286,"")</f>
        <v/>
      </c>
      <c r="F286" s="24" t="str">
        <f>IF(E286&lt;&gt;"",ALcopy!A286,"")</f>
        <v/>
      </c>
      <c r="G286" s="24" t="str">
        <f>IF(E286&lt;&gt;"",ALcopy!F286,"")</f>
        <v/>
      </c>
    </row>
    <row r="287" spans="1:7" ht="15.75" customHeight="1">
      <c r="A287" s="23" t="str">
        <f t="shared" si="13"/>
        <v/>
      </c>
      <c r="B287" t="str">
        <f t="shared" si="14"/>
        <v/>
      </c>
      <c r="C287" s="23" t="str">
        <f t="shared" si="15"/>
        <v/>
      </c>
      <c r="E287" s="24" t="str">
        <f>IF(NOT(ISBLANK(ALcopy!B287)),ALcopy!B287,"")</f>
        <v/>
      </c>
      <c r="F287" s="24" t="str">
        <f>IF(E287&lt;&gt;"",ALcopy!A287,"")</f>
        <v/>
      </c>
      <c r="G287" s="24" t="str">
        <f>IF(E287&lt;&gt;"",ALcopy!F287,"")</f>
        <v/>
      </c>
    </row>
    <row r="288" spans="1:7" ht="15.75" customHeight="1">
      <c r="A288" s="23" t="str">
        <f t="shared" si="13"/>
        <v/>
      </c>
      <c r="B288" t="str">
        <f t="shared" si="14"/>
        <v/>
      </c>
      <c r="C288" s="23" t="str">
        <f t="shared" si="15"/>
        <v/>
      </c>
      <c r="E288" s="24" t="str">
        <f>IF(NOT(ISBLANK(ALcopy!B288)),ALcopy!B288,"")</f>
        <v/>
      </c>
      <c r="F288" s="24" t="str">
        <f>IF(E288&lt;&gt;"",ALcopy!A288,"")</f>
        <v/>
      </c>
      <c r="G288" s="24" t="str">
        <f>IF(E288&lt;&gt;"",ALcopy!F288,"")</f>
        <v/>
      </c>
    </row>
    <row r="289" spans="1:7" ht="15.75" customHeight="1">
      <c r="A289" s="23" t="str">
        <f t="shared" si="13"/>
        <v/>
      </c>
      <c r="B289" t="str">
        <f t="shared" si="14"/>
        <v/>
      </c>
      <c r="C289" s="23" t="str">
        <f t="shared" si="15"/>
        <v/>
      </c>
      <c r="E289" s="24" t="str">
        <f>IF(NOT(ISBLANK(ALcopy!B289)),ALcopy!B289,"")</f>
        <v/>
      </c>
      <c r="F289" s="24" t="str">
        <f>IF(E289&lt;&gt;"",ALcopy!A289,"")</f>
        <v/>
      </c>
      <c r="G289" s="24" t="str">
        <f>IF(E289&lt;&gt;"",ALcopy!F289,"")</f>
        <v/>
      </c>
    </row>
    <row r="290" spans="1:7" ht="15.75" customHeight="1">
      <c r="A290" s="23" t="str">
        <f t="shared" si="13"/>
        <v/>
      </c>
      <c r="B290" t="str">
        <f t="shared" si="14"/>
        <v/>
      </c>
      <c r="C290" s="23" t="str">
        <f t="shared" si="15"/>
        <v/>
      </c>
      <c r="E290" s="24" t="str">
        <f>IF(NOT(ISBLANK(ALcopy!B290)),ALcopy!B290,"")</f>
        <v/>
      </c>
      <c r="F290" s="24" t="str">
        <f>IF(E290&lt;&gt;"",ALcopy!A290,"")</f>
        <v/>
      </c>
      <c r="G290" s="24" t="str">
        <f>IF(E290&lt;&gt;"",ALcopy!F290,"")</f>
        <v/>
      </c>
    </row>
    <row r="291" spans="1:7" ht="15.75" customHeight="1">
      <c r="A291" s="23" t="str">
        <f t="shared" si="13"/>
        <v/>
      </c>
      <c r="B291" t="str">
        <f t="shared" si="14"/>
        <v/>
      </c>
      <c r="C291" s="23" t="str">
        <f t="shared" si="15"/>
        <v/>
      </c>
      <c r="E291" s="24" t="str">
        <f>IF(NOT(ISBLANK(ALcopy!B291)),ALcopy!B291,"")</f>
        <v/>
      </c>
      <c r="F291" s="24" t="str">
        <f>IF(E291&lt;&gt;"",ALcopy!A291,"")</f>
        <v/>
      </c>
      <c r="G291" s="24" t="str">
        <f>IF(E291&lt;&gt;"",ALcopy!F291,"")</f>
        <v/>
      </c>
    </row>
    <row r="292" spans="1:7" ht="15.75" customHeight="1">
      <c r="A292" s="23" t="str">
        <f t="shared" si="13"/>
        <v/>
      </c>
      <c r="B292" t="str">
        <f t="shared" si="14"/>
        <v/>
      </c>
      <c r="C292" s="23" t="str">
        <f t="shared" si="15"/>
        <v/>
      </c>
      <c r="E292" s="24" t="str">
        <f>IF(NOT(ISBLANK(ALcopy!B292)),ALcopy!B292,"")</f>
        <v/>
      </c>
      <c r="F292" s="24" t="str">
        <f>IF(E292&lt;&gt;"",ALcopy!A292,"")</f>
        <v/>
      </c>
      <c r="G292" s="24" t="str">
        <f>IF(E292&lt;&gt;"",ALcopy!F292,"")</f>
        <v/>
      </c>
    </row>
    <row r="293" spans="1:7" ht="15.75" customHeight="1">
      <c r="A293" s="23" t="str">
        <f t="shared" si="13"/>
        <v/>
      </c>
      <c r="B293" t="str">
        <f t="shared" si="14"/>
        <v/>
      </c>
      <c r="C293" s="23" t="str">
        <f t="shared" si="15"/>
        <v/>
      </c>
      <c r="E293" s="24" t="str">
        <f>IF(NOT(ISBLANK(ALcopy!B293)),ALcopy!B293,"")</f>
        <v/>
      </c>
      <c r="F293" s="24" t="str">
        <f>IF(E293&lt;&gt;"",ALcopy!A293,"")</f>
        <v/>
      </c>
      <c r="G293" s="24" t="str">
        <f>IF(E293&lt;&gt;"",ALcopy!F293,"")</f>
        <v/>
      </c>
    </row>
    <row r="294" spans="1:7" ht="15.75" customHeight="1">
      <c r="A294" s="23" t="str">
        <f t="shared" si="13"/>
        <v/>
      </c>
      <c r="B294" t="str">
        <f t="shared" si="14"/>
        <v/>
      </c>
      <c r="C294" s="23" t="str">
        <f t="shared" si="15"/>
        <v/>
      </c>
      <c r="E294" s="24" t="str">
        <f>IF(NOT(ISBLANK(ALcopy!B294)),ALcopy!B294,"")</f>
        <v/>
      </c>
      <c r="F294" s="24" t="str">
        <f>IF(E294&lt;&gt;"",ALcopy!A294,"")</f>
        <v/>
      </c>
      <c r="G294" s="24" t="str">
        <f>IF(E294&lt;&gt;"",ALcopy!F294,"")</f>
        <v/>
      </c>
    </row>
    <row r="295" spans="1:7" ht="15.75" customHeight="1">
      <c r="A295" s="23" t="str">
        <f t="shared" si="13"/>
        <v/>
      </c>
      <c r="B295" t="str">
        <f t="shared" si="14"/>
        <v/>
      </c>
      <c r="C295" s="23" t="str">
        <f t="shared" si="15"/>
        <v/>
      </c>
      <c r="E295" s="24" t="str">
        <f>IF(NOT(ISBLANK(ALcopy!B295)),ALcopy!B295,"")</f>
        <v/>
      </c>
      <c r="F295" s="24" t="str">
        <f>IF(E295&lt;&gt;"",ALcopy!A295,"")</f>
        <v/>
      </c>
      <c r="G295" s="24" t="str">
        <f>IF(E295&lt;&gt;"",ALcopy!F295,"")</f>
        <v/>
      </c>
    </row>
    <row r="296" spans="1:7" ht="15.75" customHeight="1">
      <c r="A296" s="23" t="str">
        <f t="shared" si="13"/>
        <v/>
      </c>
      <c r="B296" t="str">
        <f t="shared" si="14"/>
        <v/>
      </c>
      <c r="C296" s="23" t="str">
        <f t="shared" si="15"/>
        <v/>
      </c>
      <c r="E296" s="24" t="str">
        <f>IF(NOT(ISBLANK(ALcopy!B296)),ALcopy!B296,"")</f>
        <v/>
      </c>
      <c r="F296" s="24" t="str">
        <f>IF(E296&lt;&gt;"",ALcopy!A296,"")</f>
        <v/>
      </c>
      <c r="G296" s="24" t="str">
        <f>IF(E296&lt;&gt;"",ALcopy!F296,"")</f>
        <v/>
      </c>
    </row>
    <row r="297" spans="1:7" ht="15.75" customHeight="1">
      <c r="A297" s="23" t="str">
        <f t="shared" si="13"/>
        <v/>
      </c>
      <c r="B297" t="str">
        <f t="shared" si="14"/>
        <v/>
      </c>
      <c r="C297" s="23" t="str">
        <f t="shared" si="15"/>
        <v/>
      </c>
      <c r="E297" s="24" t="str">
        <f>IF(NOT(ISBLANK(ALcopy!B297)),ALcopy!B297,"")</f>
        <v/>
      </c>
      <c r="F297" s="24" t="str">
        <f>IF(E297&lt;&gt;"",ALcopy!A297,"")</f>
        <v/>
      </c>
      <c r="G297" s="24" t="str">
        <f>IF(E297&lt;&gt;"",ALcopy!F297,"")</f>
        <v/>
      </c>
    </row>
    <row r="298" spans="1:7" ht="15.75" customHeight="1">
      <c r="A298" s="23" t="str">
        <f t="shared" si="13"/>
        <v/>
      </c>
      <c r="B298" t="str">
        <f t="shared" si="14"/>
        <v/>
      </c>
      <c r="C298" s="23" t="str">
        <f t="shared" si="15"/>
        <v/>
      </c>
      <c r="E298" s="24" t="str">
        <f>IF(NOT(ISBLANK(ALcopy!B298)),ALcopy!B298,"")</f>
        <v/>
      </c>
      <c r="F298" s="24" t="str">
        <f>IF(E298&lt;&gt;"",ALcopy!A298,"")</f>
        <v/>
      </c>
      <c r="G298" s="24" t="str">
        <f>IF(E298&lt;&gt;"",ALcopy!F298,"")</f>
        <v/>
      </c>
    </row>
    <row r="299" spans="1:7" ht="15.75" customHeight="1">
      <c r="A299" s="23" t="str">
        <f t="shared" si="13"/>
        <v/>
      </c>
      <c r="B299" t="str">
        <f t="shared" si="14"/>
        <v/>
      </c>
      <c r="C299" s="23" t="str">
        <f t="shared" si="15"/>
        <v/>
      </c>
      <c r="E299" s="24" t="str">
        <f>IF(NOT(ISBLANK(ALcopy!B299)),ALcopy!B299,"")</f>
        <v/>
      </c>
      <c r="F299" s="24" t="str">
        <f>IF(E299&lt;&gt;"",ALcopy!A299,"")</f>
        <v/>
      </c>
      <c r="G299" s="24" t="str">
        <f>IF(E299&lt;&gt;"",ALcopy!F299,"")</f>
        <v/>
      </c>
    </row>
    <row r="300" spans="1:7" ht="15.75" customHeight="1">
      <c r="A300" s="23" t="str">
        <f t="shared" si="13"/>
        <v/>
      </c>
      <c r="B300" t="str">
        <f t="shared" si="14"/>
        <v/>
      </c>
      <c r="C300" s="23" t="str">
        <f t="shared" si="15"/>
        <v/>
      </c>
      <c r="E300" s="24" t="str">
        <f>IF(NOT(ISBLANK(ALcopy!B300)),ALcopy!B300,"")</f>
        <v/>
      </c>
      <c r="F300" s="24" t="str">
        <f>IF(E300&lt;&gt;"",ALcopy!A300,"")</f>
        <v/>
      </c>
      <c r="G300" s="24" t="str">
        <f>IF(E300&lt;&gt;"",ALcopy!F300,"")</f>
        <v/>
      </c>
    </row>
    <row r="301" spans="1:7" ht="15.75" customHeight="1">
      <c r="A301" s="23" t="str">
        <f t="shared" si="13"/>
        <v/>
      </c>
      <c r="B301" t="str">
        <f t="shared" si="14"/>
        <v/>
      </c>
      <c r="C301" s="23" t="str">
        <f t="shared" si="15"/>
        <v/>
      </c>
      <c r="E301" s="24" t="str">
        <f>IF(NOT(ISBLANK(ALcopy!B301)),ALcopy!B301,"")</f>
        <v/>
      </c>
      <c r="F301" s="24" t="str">
        <f>IF(E301&lt;&gt;"",ALcopy!A301,"")</f>
        <v/>
      </c>
      <c r="G301" s="24" t="str">
        <f>IF(E301&lt;&gt;"",ALcopy!F301,"")</f>
        <v/>
      </c>
    </row>
    <row r="302" spans="1:7" ht="15.75" customHeight="1">
      <c r="A302" s="23" t="str">
        <f t="shared" si="13"/>
        <v/>
      </c>
      <c r="B302" t="str">
        <f t="shared" si="14"/>
        <v/>
      </c>
      <c r="C302" s="23" t="str">
        <f t="shared" si="15"/>
        <v/>
      </c>
      <c r="E302" s="24" t="str">
        <f>IF(NOT(ISBLANK(ALcopy!B302)),ALcopy!B302,"")</f>
        <v/>
      </c>
      <c r="F302" s="24" t="str">
        <f>IF(E302&lt;&gt;"",ALcopy!A302,"")</f>
        <v/>
      </c>
      <c r="G302" s="24" t="str">
        <f>IF(E302&lt;&gt;"",ALcopy!F302,"")</f>
        <v/>
      </c>
    </row>
    <row r="303" spans="1:7" ht="15.75" customHeight="1">
      <c r="A303" s="23" t="str">
        <f t="shared" si="13"/>
        <v/>
      </c>
      <c r="B303" t="str">
        <f t="shared" si="14"/>
        <v/>
      </c>
      <c r="C303" s="23" t="str">
        <f t="shared" si="15"/>
        <v/>
      </c>
      <c r="E303" s="24" t="str">
        <f>IF(NOT(ISBLANK(ALcopy!B303)),ALcopy!B303,"")</f>
        <v/>
      </c>
      <c r="F303" s="24" t="str">
        <f>IF(E303&lt;&gt;"",ALcopy!A303,"")</f>
        <v/>
      </c>
      <c r="G303" s="24" t="str">
        <f>IF(E303&lt;&gt;"",ALcopy!F303,"")</f>
        <v/>
      </c>
    </row>
    <row r="304" spans="1:7" ht="15.75" customHeight="1">
      <c r="A304" s="23" t="str">
        <f t="shared" si="13"/>
        <v/>
      </c>
      <c r="B304" t="str">
        <f t="shared" si="14"/>
        <v/>
      </c>
      <c r="C304" s="23" t="str">
        <f t="shared" si="15"/>
        <v/>
      </c>
      <c r="E304" s="24" t="str">
        <f>IF(NOT(ISBLANK(ALcopy!B304)),ALcopy!B304,"")</f>
        <v/>
      </c>
      <c r="F304" s="24" t="str">
        <f>IF(E304&lt;&gt;"",ALcopy!A304,"")</f>
        <v/>
      </c>
      <c r="G304" s="24" t="str">
        <f>IF(E304&lt;&gt;"",ALcopy!F304,"")</f>
        <v/>
      </c>
    </row>
    <row r="305" spans="1:7" ht="15.75" customHeight="1">
      <c r="A305" s="23" t="str">
        <f t="shared" si="13"/>
        <v/>
      </c>
      <c r="B305" t="str">
        <f t="shared" si="14"/>
        <v/>
      </c>
      <c r="C305" s="23" t="str">
        <f t="shared" si="15"/>
        <v/>
      </c>
      <c r="E305" s="24" t="str">
        <f>IF(NOT(ISBLANK(ALcopy!B305)),ALcopy!B305,"")</f>
        <v/>
      </c>
      <c r="F305" s="24" t="str">
        <f>IF(E305&lt;&gt;"",ALcopy!A305,"")</f>
        <v/>
      </c>
      <c r="G305" s="24" t="str">
        <f>IF(E305&lt;&gt;"",ALcopy!F305,"")</f>
        <v/>
      </c>
    </row>
    <row r="306" spans="1:7" ht="15.75" customHeight="1">
      <c r="A306" s="23" t="str">
        <f t="shared" si="13"/>
        <v/>
      </c>
      <c r="B306" t="str">
        <f t="shared" si="14"/>
        <v/>
      </c>
      <c r="C306" s="23" t="str">
        <f t="shared" si="15"/>
        <v/>
      </c>
      <c r="E306" s="24" t="str">
        <f>IF(NOT(ISBLANK(ALcopy!B306)),ALcopy!B306,"")</f>
        <v/>
      </c>
      <c r="F306" s="24" t="str">
        <f>IF(E306&lt;&gt;"",ALcopy!A306,"")</f>
        <v/>
      </c>
      <c r="G306" s="24" t="str">
        <f>IF(E306&lt;&gt;"",ALcopy!F306,"")</f>
        <v/>
      </c>
    </row>
    <row r="307" spans="1:7" ht="15.75" customHeight="1">
      <c r="A307" s="23" t="str">
        <f t="shared" si="13"/>
        <v/>
      </c>
      <c r="B307" t="str">
        <f t="shared" si="14"/>
        <v/>
      </c>
      <c r="C307" s="23" t="str">
        <f t="shared" si="15"/>
        <v/>
      </c>
      <c r="E307" s="24" t="str">
        <f>IF(NOT(ISBLANK(ALcopy!B307)),ALcopy!B307,"")</f>
        <v/>
      </c>
      <c r="F307" s="24" t="str">
        <f>IF(E307&lt;&gt;"",ALcopy!A307,"")</f>
        <v/>
      </c>
      <c r="G307" s="24" t="str">
        <f>IF(E307&lt;&gt;"",ALcopy!F307,"")</f>
        <v/>
      </c>
    </row>
    <row r="308" spans="1:7" ht="15.75" customHeight="1">
      <c r="A308" s="23" t="str">
        <f t="shared" si="13"/>
        <v/>
      </c>
      <c r="B308" t="str">
        <f t="shared" si="14"/>
        <v/>
      </c>
      <c r="C308" s="23" t="str">
        <f t="shared" si="15"/>
        <v/>
      </c>
      <c r="E308" s="24" t="str">
        <f>IF(NOT(ISBLANK(ALcopy!B308)),ALcopy!B308,"")</f>
        <v/>
      </c>
      <c r="F308" s="24" t="str">
        <f>IF(E308&lt;&gt;"",ALcopy!A308,"")</f>
        <v/>
      </c>
      <c r="G308" s="24" t="str">
        <f>IF(E308&lt;&gt;"",ALcopy!F308,"")</f>
        <v/>
      </c>
    </row>
    <row r="309" spans="1:7" ht="15.75" customHeight="1">
      <c r="A309" s="23" t="str">
        <f t="shared" si="13"/>
        <v/>
      </c>
      <c r="B309" t="str">
        <f t="shared" si="14"/>
        <v/>
      </c>
      <c r="C309" s="23" t="str">
        <f t="shared" si="15"/>
        <v/>
      </c>
      <c r="E309" s="24" t="str">
        <f>IF(NOT(ISBLANK(ALcopy!B309)),ALcopy!B309,"")</f>
        <v/>
      </c>
      <c r="F309" s="24" t="str">
        <f>IF(E309&lt;&gt;"",ALcopy!A309,"")</f>
        <v/>
      </c>
      <c r="G309" s="24" t="str">
        <f>IF(E309&lt;&gt;"",ALcopy!F309,"")</f>
        <v/>
      </c>
    </row>
    <row r="310" spans="1:7" ht="15.75" customHeight="1">
      <c r="A310" s="23" t="str">
        <f t="shared" si="13"/>
        <v/>
      </c>
      <c r="B310" t="str">
        <f t="shared" si="14"/>
        <v/>
      </c>
      <c r="C310" s="23" t="str">
        <f t="shared" si="15"/>
        <v/>
      </c>
      <c r="E310" s="24" t="str">
        <f>IF(NOT(ISBLANK(ALcopy!B310)),ALcopy!B310,"")</f>
        <v/>
      </c>
      <c r="F310" s="24" t="str">
        <f>IF(E310&lt;&gt;"",ALcopy!A310,"")</f>
        <v/>
      </c>
      <c r="G310" s="24" t="str">
        <f>IF(E310&lt;&gt;"",ALcopy!F310,"")</f>
        <v/>
      </c>
    </row>
    <row r="311" spans="1:7" ht="15.75" customHeight="1">
      <c r="A311" s="23" t="str">
        <f t="shared" si="13"/>
        <v/>
      </c>
      <c r="B311" t="str">
        <f t="shared" si="14"/>
        <v/>
      </c>
      <c r="C311" s="23" t="str">
        <f t="shared" si="15"/>
        <v/>
      </c>
      <c r="E311" s="24" t="str">
        <f>IF(NOT(ISBLANK(ALcopy!B311)),ALcopy!B311,"")</f>
        <v/>
      </c>
      <c r="F311" s="24" t="str">
        <f>IF(E311&lt;&gt;"",ALcopy!A311,"")</f>
        <v/>
      </c>
      <c r="G311" s="24" t="str">
        <f>IF(E311&lt;&gt;"",ALcopy!F311,"")</f>
        <v/>
      </c>
    </row>
    <row r="312" spans="1:7" ht="15.75" customHeight="1">
      <c r="A312" s="23" t="str">
        <f t="shared" si="13"/>
        <v/>
      </c>
      <c r="B312" t="str">
        <f t="shared" si="14"/>
        <v/>
      </c>
      <c r="C312" s="23" t="str">
        <f t="shared" si="15"/>
        <v/>
      </c>
      <c r="E312" s="24" t="str">
        <f>IF(NOT(ISBLANK(ALcopy!B312)),ALcopy!B312,"")</f>
        <v/>
      </c>
      <c r="F312" s="24" t="str">
        <f>IF(E312&lt;&gt;"",ALcopy!A312,"")</f>
        <v/>
      </c>
      <c r="G312" s="24" t="str">
        <f>IF(E312&lt;&gt;"",ALcopy!F312,"")</f>
        <v/>
      </c>
    </row>
    <row r="313" spans="1:7" ht="15.75" customHeight="1">
      <c r="A313" s="23" t="str">
        <f t="shared" si="13"/>
        <v/>
      </c>
      <c r="B313" t="str">
        <f t="shared" si="14"/>
        <v/>
      </c>
      <c r="C313" s="23" t="str">
        <f t="shared" si="15"/>
        <v/>
      </c>
      <c r="E313" s="24" t="str">
        <f>IF(NOT(ISBLANK(ALcopy!B313)),ALcopy!B313,"")</f>
        <v/>
      </c>
      <c r="F313" s="24" t="str">
        <f>IF(E313&lt;&gt;"",ALcopy!A313,"")</f>
        <v/>
      </c>
      <c r="G313" s="24" t="str">
        <f>IF(E313&lt;&gt;"",ALcopy!F313,"")</f>
        <v/>
      </c>
    </row>
    <row r="314" spans="1:7" ht="15.75" customHeight="1">
      <c r="A314" s="23" t="str">
        <f t="shared" si="13"/>
        <v/>
      </c>
      <c r="B314" t="str">
        <f t="shared" si="14"/>
        <v/>
      </c>
      <c r="C314" s="23" t="str">
        <f t="shared" si="15"/>
        <v/>
      </c>
      <c r="E314" s="24" t="str">
        <f>IF(NOT(ISBLANK(ALcopy!B314)),ALcopy!B314,"")</f>
        <v/>
      </c>
      <c r="F314" s="24" t="str">
        <f>IF(E314&lt;&gt;"",ALcopy!A314,"")</f>
        <v/>
      </c>
      <c r="G314" s="24" t="str">
        <f>IF(E314&lt;&gt;"",ALcopy!F314,"")</f>
        <v/>
      </c>
    </row>
    <row r="315" spans="1:7" ht="15.75" customHeight="1">
      <c r="A315" s="23" t="str">
        <f t="shared" si="13"/>
        <v/>
      </c>
      <c r="B315" t="str">
        <f t="shared" si="14"/>
        <v/>
      </c>
      <c r="C315" s="23" t="str">
        <f t="shared" si="15"/>
        <v/>
      </c>
      <c r="E315" s="24" t="str">
        <f>IF(NOT(ISBLANK(ALcopy!B315)),ALcopy!B315,"")</f>
        <v/>
      </c>
      <c r="F315" s="24" t="str">
        <f>IF(E315&lt;&gt;"",ALcopy!A315,"")</f>
        <v/>
      </c>
      <c r="G315" s="24" t="str">
        <f>IF(E315&lt;&gt;"",ALcopy!F315,"")</f>
        <v/>
      </c>
    </row>
    <row r="316" spans="1:7" ht="15.75" customHeight="1">
      <c r="A316" s="23" t="str">
        <f t="shared" si="13"/>
        <v/>
      </c>
      <c r="B316" t="str">
        <f t="shared" si="14"/>
        <v/>
      </c>
      <c r="C316" s="23" t="str">
        <f t="shared" si="15"/>
        <v/>
      </c>
      <c r="E316" s="24" t="str">
        <f>IF(NOT(ISBLANK(ALcopy!B316)),ALcopy!B316,"")</f>
        <v/>
      </c>
      <c r="F316" s="24" t="str">
        <f>IF(E316&lt;&gt;"",ALcopy!A316,"")</f>
        <v/>
      </c>
      <c r="G316" s="24" t="str">
        <f>IF(E316&lt;&gt;"",ALcopy!F316,"")</f>
        <v/>
      </c>
    </row>
    <row r="317" spans="1:7" ht="15.75" customHeight="1">
      <c r="A317" s="23" t="str">
        <f t="shared" si="13"/>
        <v/>
      </c>
      <c r="B317" t="str">
        <f t="shared" si="14"/>
        <v/>
      </c>
      <c r="C317" s="23" t="str">
        <f t="shared" si="15"/>
        <v/>
      </c>
      <c r="E317" s="24" t="str">
        <f>IF(NOT(ISBLANK(ALcopy!B317)),ALcopy!B317,"")</f>
        <v/>
      </c>
      <c r="F317" s="24" t="str">
        <f>IF(E317&lt;&gt;"",ALcopy!A317,"")</f>
        <v/>
      </c>
      <c r="G317" s="24" t="str">
        <f>IF(E317&lt;&gt;"",ALcopy!F317,"")</f>
        <v/>
      </c>
    </row>
    <row r="318" spans="1:7" ht="15.75" customHeight="1">
      <c r="A318" s="23" t="str">
        <f t="shared" si="13"/>
        <v/>
      </c>
      <c r="B318" t="str">
        <f t="shared" si="14"/>
        <v/>
      </c>
      <c r="C318" s="23" t="str">
        <f t="shared" si="15"/>
        <v/>
      </c>
      <c r="E318" s="24" t="str">
        <f>IF(NOT(ISBLANK(ALcopy!B318)),ALcopy!B318,"")</f>
        <v/>
      </c>
      <c r="F318" s="24" t="str">
        <f>IF(E318&lt;&gt;"",ALcopy!A318,"")</f>
        <v/>
      </c>
      <c r="G318" s="24" t="str">
        <f>IF(E318&lt;&gt;"",ALcopy!F318,"")</f>
        <v/>
      </c>
    </row>
    <row r="319" spans="1:7" ht="15.75" customHeight="1">
      <c r="A319" s="23" t="str">
        <f t="shared" si="13"/>
        <v/>
      </c>
      <c r="B319" t="str">
        <f t="shared" si="14"/>
        <v/>
      </c>
      <c r="C319" s="23" t="str">
        <f t="shared" si="15"/>
        <v/>
      </c>
      <c r="E319" s="24" t="str">
        <f>IF(NOT(ISBLANK(ALcopy!B319)),ALcopy!B319,"")</f>
        <v/>
      </c>
      <c r="F319" s="24" t="str">
        <f>IF(E319&lt;&gt;"",ALcopy!A319,"")</f>
        <v/>
      </c>
      <c r="G319" s="24" t="str">
        <f>IF(E319&lt;&gt;"",ALcopy!F319,"")</f>
        <v/>
      </c>
    </row>
    <row r="320" spans="1:7" ht="15.75" customHeight="1">
      <c r="A320" s="23" t="str">
        <f t="shared" si="13"/>
        <v/>
      </c>
      <c r="B320" t="str">
        <f t="shared" si="14"/>
        <v/>
      </c>
      <c r="C320" s="23" t="str">
        <f t="shared" si="15"/>
        <v/>
      </c>
      <c r="E320" s="24" t="str">
        <f>IF(NOT(ISBLANK(ALcopy!B320)),ALcopy!B320,"")</f>
        <v/>
      </c>
      <c r="F320" s="24" t="str">
        <f>IF(E320&lt;&gt;"",ALcopy!A320,"")</f>
        <v/>
      </c>
      <c r="G320" s="24" t="str">
        <f>IF(E320&lt;&gt;"",ALcopy!F320,"")</f>
        <v/>
      </c>
    </row>
    <row r="321" spans="1:7" ht="15.75" customHeight="1">
      <c r="A321" s="23" t="str">
        <f t="shared" si="13"/>
        <v/>
      </c>
      <c r="B321" t="str">
        <f t="shared" si="14"/>
        <v/>
      </c>
      <c r="C321" s="23" t="str">
        <f t="shared" si="15"/>
        <v/>
      </c>
      <c r="E321" s="24" t="str">
        <f>IF(NOT(ISBLANK(ALcopy!B321)),ALcopy!B321,"")</f>
        <v/>
      </c>
      <c r="F321" s="24" t="str">
        <f>IF(E321&lt;&gt;"",ALcopy!A321,"")</f>
        <v/>
      </c>
      <c r="G321" s="24" t="str">
        <f>IF(E321&lt;&gt;"",ALcopy!F321,"")</f>
        <v/>
      </c>
    </row>
    <row r="322" spans="1:7" ht="15.75" customHeight="1">
      <c r="A322" s="23" t="str">
        <f t="shared" si="13"/>
        <v/>
      </c>
      <c r="B322" t="str">
        <f t="shared" si="14"/>
        <v/>
      </c>
      <c r="C322" s="23" t="str">
        <f t="shared" si="15"/>
        <v/>
      </c>
      <c r="E322" s="24" t="str">
        <f>IF(NOT(ISBLANK(ALcopy!B322)),ALcopy!B322,"")</f>
        <v/>
      </c>
      <c r="F322" s="24" t="str">
        <f>IF(E322&lt;&gt;"",ALcopy!A322,"")</f>
        <v/>
      </c>
      <c r="G322" s="24" t="str">
        <f>IF(E322&lt;&gt;"",ALcopy!F322,"")</f>
        <v/>
      </c>
    </row>
    <row r="323" spans="1:7" ht="15.75" customHeight="1">
      <c r="A323" s="23" t="str">
        <f t="shared" ref="A323:A386" si="16">IF(E323&lt;&gt;"",DATEVALUE(LEFT(E323,10)),"")</f>
        <v/>
      </c>
      <c r="B323" t="str">
        <f t="shared" ref="B323:B386" si="17">IF(LEN(F323)&gt;3,RIGHT(F323,LEN(F323)-3),"")</f>
        <v/>
      </c>
      <c r="C323" s="23" t="str">
        <f t="shared" ref="C323:C386" si="18">IF(E323&lt;&gt;"",DATEVALUE(LEFT(G323,10)),"")</f>
        <v/>
      </c>
      <c r="E323" s="24" t="str">
        <f>IF(NOT(ISBLANK(ALcopy!B323)),ALcopy!B323,"")</f>
        <v/>
      </c>
      <c r="F323" s="24" t="str">
        <f>IF(E323&lt;&gt;"",ALcopy!A323,"")</f>
        <v/>
      </c>
      <c r="G323" s="24" t="str">
        <f>IF(E323&lt;&gt;"",ALcopy!F323,"")</f>
        <v/>
      </c>
    </row>
    <row r="324" spans="1:7" ht="15.75" customHeight="1">
      <c r="A324" s="23" t="str">
        <f t="shared" si="16"/>
        <v/>
      </c>
      <c r="B324" t="str">
        <f t="shared" si="17"/>
        <v/>
      </c>
      <c r="C324" s="23" t="str">
        <f t="shared" si="18"/>
        <v/>
      </c>
      <c r="E324" s="24" t="str">
        <f>IF(NOT(ISBLANK(ALcopy!B324)),ALcopy!B324,"")</f>
        <v/>
      </c>
      <c r="F324" s="24" t="str">
        <f>IF(E324&lt;&gt;"",ALcopy!A324,"")</f>
        <v/>
      </c>
      <c r="G324" s="24" t="str">
        <f>IF(E324&lt;&gt;"",ALcopy!F324,"")</f>
        <v/>
      </c>
    </row>
    <row r="325" spans="1:7" ht="15.75" customHeight="1">
      <c r="A325" s="23" t="str">
        <f t="shared" si="16"/>
        <v/>
      </c>
      <c r="B325" t="str">
        <f t="shared" si="17"/>
        <v/>
      </c>
      <c r="C325" s="23" t="str">
        <f t="shared" si="18"/>
        <v/>
      </c>
      <c r="E325" s="24" t="str">
        <f>IF(NOT(ISBLANK(ALcopy!B325)),ALcopy!B325,"")</f>
        <v/>
      </c>
      <c r="F325" s="24" t="str">
        <f>IF(E325&lt;&gt;"",ALcopy!A325,"")</f>
        <v/>
      </c>
      <c r="G325" s="24" t="str">
        <f>IF(E325&lt;&gt;"",ALcopy!F325,"")</f>
        <v/>
      </c>
    </row>
    <row r="326" spans="1:7" ht="15.75" customHeight="1">
      <c r="A326" s="23" t="str">
        <f t="shared" si="16"/>
        <v/>
      </c>
      <c r="B326" t="str">
        <f t="shared" si="17"/>
        <v/>
      </c>
      <c r="C326" s="23" t="str">
        <f t="shared" si="18"/>
        <v/>
      </c>
      <c r="E326" s="24" t="str">
        <f>IF(NOT(ISBLANK(ALcopy!B326)),ALcopy!B326,"")</f>
        <v/>
      </c>
      <c r="F326" s="24" t="str">
        <f>IF(E326&lt;&gt;"",ALcopy!A326,"")</f>
        <v/>
      </c>
      <c r="G326" s="24" t="str">
        <f>IF(E326&lt;&gt;"",ALcopy!F326,"")</f>
        <v/>
      </c>
    </row>
    <row r="327" spans="1:7" ht="15.75" customHeight="1">
      <c r="A327" s="23" t="str">
        <f t="shared" si="16"/>
        <v/>
      </c>
      <c r="B327" t="str">
        <f t="shared" si="17"/>
        <v/>
      </c>
      <c r="C327" s="23" t="str">
        <f t="shared" si="18"/>
        <v/>
      </c>
      <c r="E327" s="24" t="str">
        <f>IF(NOT(ISBLANK(ALcopy!B327)),ALcopy!B327,"")</f>
        <v/>
      </c>
      <c r="F327" s="24" t="str">
        <f>IF(E327&lt;&gt;"",ALcopy!A327,"")</f>
        <v/>
      </c>
      <c r="G327" s="24" t="str">
        <f>IF(E327&lt;&gt;"",ALcopy!F327,"")</f>
        <v/>
      </c>
    </row>
    <row r="328" spans="1:7" ht="15.75" customHeight="1">
      <c r="A328" s="23" t="str">
        <f t="shared" si="16"/>
        <v/>
      </c>
      <c r="B328" t="str">
        <f t="shared" si="17"/>
        <v/>
      </c>
      <c r="C328" s="23" t="str">
        <f t="shared" si="18"/>
        <v/>
      </c>
      <c r="E328" s="24" t="str">
        <f>IF(NOT(ISBLANK(ALcopy!B328)),ALcopy!B328,"")</f>
        <v/>
      </c>
      <c r="F328" s="24" t="str">
        <f>IF(E328&lt;&gt;"",ALcopy!A328,"")</f>
        <v/>
      </c>
      <c r="G328" s="24" t="str">
        <f>IF(E328&lt;&gt;"",ALcopy!F328,"")</f>
        <v/>
      </c>
    </row>
    <row r="329" spans="1:7" ht="15.75" customHeight="1">
      <c r="A329" s="23" t="str">
        <f t="shared" si="16"/>
        <v/>
      </c>
      <c r="B329" t="str">
        <f t="shared" si="17"/>
        <v/>
      </c>
      <c r="C329" s="23" t="str">
        <f t="shared" si="18"/>
        <v/>
      </c>
      <c r="E329" s="24" t="str">
        <f>IF(NOT(ISBLANK(ALcopy!B329)),ALcopy!B329,"")</f>
        <v/>
      </c>
      <c r="F329" s="24" t="str">
        <f>IF(E329&lt;&gt;"",ALcopy!A329,"")</f>
        <v/>
      </c>
      <c r="G329" s="24" t="str">
        <f>IF(E329&lt;&gt;"",ALcopy!F329,"")</f>
        <v/>
      </c>
    </row>
    <row r="330" spans="1:7" ht="15.75" customHeight="1">
      <c r="A330" s="23" t="str">
        <f t="shared" si="16"/>
        <v/>
      </c>
      <c r="B330" t="str">
        <f t="shared" si="17"/>
        <v/>
      </c>
      <c r="C330" s="23" t="str">
        <f t="shared" si="18"/>
        <v/>
      </c>
      <c r="E330" s="24" t="str">
        <f>IF(NOT(ISBLANK(ALcopy!B330)),ALcopy!B330,"")</f>
        <v/>
      </c>
      <c r="F330" s="24" t="str">
        <f>IF(E330&lt;&gt;"",ALcopy!A330,"")</f>
        <v/>
      </c>
      <c r="G330" s="24" t="str">
        <f>IF(E330&lt;&gt;"",ALcopy!F330,"")</f>
        <v/>
      </c>
    </row>
    <row r="331" spans="1:7" ht="15.75" customHeight="1">
      <c r="A331" s="23" t="str">
        <f t="shared" si="16"/>
        <v/>
      </c>
      <c r="B331" t="str">
        <f t="shared" si="17"/>
        <v/>
      </c>
      <c r="C331" s="23" t="str">
        <f t="shared" si="18"/>
        <v/>
      </c>
      <c r="E331" s="24" t="str">
        <f>IF(NOT(ISBLANK(ALcopy!B331)),ALcopy!B331,"")</f>
        <v/>
      </c>
      <c r="F331" s="24" t="str">
        <f>IF(E331&lt;&gt;"",ALcopy!A331,"")</f>
        <v/>
      </c>
      <c r="G331" s="24" t="str">
        <f>IF(E331&lt;&gt;"",ALcopy!F331,"")</f>
        <v/>
      </c>
    </row>
    <row r="332" spans="1:7" ht="15.75" customHeight="1">
      <c r="A332" s="23" t="str">
        <f t="shared" si="16"/>
        <v/>
      </c>
      <c r="B332" t="str">
        <f t="shared" si="17"/>
        <v/>
      </c>
      <c r="C332" s="23" t="str">
        <f t="shared" si="18"/>
        <v/>
      </c>
      <c r="E332" s="24" t="str">
        <f>IF(NOT(ISBLANK(ALcopy!B332)),ALcopy!B332,"")</f>
        <v/>
      </c>
      <c r="F332" s="24" t="str">
        <f>IF(E332&lt;&gt;"",ALcopy!A332,"")</f>
        <v/>
      </c>
      <c r="G332" s="24" t="str">
        <f>IF(E332&lt;&gt;"",ALcopy!F332,"")</f>
        <v/>
      </c>
    </row>
    <row r="333" spans="1:7" ht="15.75" customHeight="1">
      <c r="A333" s="23" t="str">
        <f t="shared" si="16"/>
        <v/>
      </c>
      <c r="B333" t="str">
        <f t="shared" si="17"/>
        <v/>
      </c>
      <c r="C333" s="23" t="str">
        <f t="shared" si="18"/>
        <v/>
      </c>
      <c r="E333" s="24" t="str">
        <f>IF(NOT(ISBLANK(ALcopy!B333)),ALcopy!B333,"")</f>
        <v/>
      </c>
      <c r="F333" s="24" t="str">
        <f>IF(E333&lt;&gt;"",ALcopy!A333,"")</f>
        <v/>
      </c>
      <c r="G333" s="24" t="str">
        <f>IF(E333&lt;&gt;"",ALcopy!F333,"")</f>
        <v/>
      </c>
    </row>
    <row r="334" spans="1:7" ht="15.75" customHeight="1">
      <c r="A334" s="23" t="str">
        <f t="shared" si="16"/>
        <v/>
      </c>
      <c r="B334" t="str">
        <f t="shared" si="17"/>
        <v/>
      </c>
      <c r="C334" s="23" t="str">
        <f t="shared" si="18"/>
        <v/>
      </c>
      <c r="E334" s="24" t="str">
        <f>IF(NOT(ISBLANK(ALcopy!B334)),ALcopy!B334,"")</f>
        <v/>
      </c>
      <c r="F334" s="24" t="str">
        <f>IF(E334&lt;&gt;"",ALcopy!A334,"")</f>
        <v/>
      </c>
      <c r="G334" s="24" t="str">
        <f>IF(E334&lt;&gt;"",ALcopy!F334,"")</f>
        <v/>
      </c>
    </row>
    <row r="335" spans="1:7" ht="15.75" customHeight="1">
      <c r="A335" s="23" t="str">
        <f t="shared" si="16"/>
        <v/>
      </c>
      <c r="B335" t="str">
        <f t="shared" si="17"/>
        <v/>
      </c>
      <c r="C335" s="23" t="str">
        <f t="shared" si="18"/>
        <v/>
      </c>
      <c r="E335" s="24" t="str">
        <f>IF(NOT(ISBLANK(ALcopy!B335)),ALcopy!B335,"")</f>
        <v/>
      </c>
      <c r="F335" s="24" t="str">
        <f>IF(E335&lt;&gt;"",ALcopy!A335,"")</f>
        <v/>
      </c>
      <c r="G335" s="24" t="str">
        <f>IF(E335&lt;&gt;"",ALcopy!F335,"")</f>
        <v/>
      </c>
    </row>
    <row r="336" spans="1:7" ht="15.75" customHeight="1">
      <c r="A336" s="23" t="str">
        <f t="shared" si="16"/>
        <v/>
      </c>
      <c r="B336" t="str">
        <f t="shared" si="17"/>
        <v/>
      </c>
      <c r="C336" s="23" t="str">
        <f t="shared" si="18"/>
        <v/>
      </c>
      <c r="E336" s="24" t="str">
        <f>IF(NOT(ISBLANK(ALcopy!B336)),ALcopy!B336,"")</f>
        <v/>
      </c>
      <c r="F336" s="24" t="str">
        <f>IF(E336&lt;&gt;"",ALcopy!A336,"")</f>
        <v/>
      </c>
      <c r="G336" s="24" t="str">
        <f>IF(E336&lt;&gt;"",ALcopy!F336,"")</f>
        <v/>
      </c>
    </row>
    <row r="337" spans="1:7" ht="15.75" customHeight="1">
      <c r="A337" s="23" t="str">
        <f t="shared" si="16"/>
        <v/>
      </c>
      <c r="B337" t="str">
        <f t="shared" si="17"/>
        <v/>
      </c>
      <c r="C337" s="23" t="str">
        <f t="shared" si="18"/>
        <v/>
      </c>
      <c r="E337" s="24" t="str">
        <f>IF(NOT(ISBLANK(ALcopy!B337)),ALcopy!B337,"")</f>
        <v/>
      </c>
      <c r="F337" s="24" t="str">
        <f>IF(E337&lt;&gt;"",ALcopy!A337,"")</f>
        <v/>
      </c>
      <c r="G337" s="24" t="str">
        <f>IF(E337&lt;&gt;"",ALcopy!F337,"")</f>
        <v/>
      </c>
    </row>
    <row r="338" spans="1:7" ht="15.75" customHeight="1">
      <c r="A338" s="23" t="str">
        <f t="shared" si="16"/>
        <v/>
      </c>
      <c r="B338" t="str">
        <f t="shared" si="17"/>
        <v/>
      </c>
      <c r="C338" s="23" t="str">
        <f t="shared" si="18"/>
        <v/>
      </c>
      <c r="E338" s="24" t="str">
        <f>IF(NOT(ISBLANK(ALcopy!B338)),ALcopy!B338,"")</f>
        <v/>
      </c>
      <c r="F338" s="24" t="str">
        <f>IF(E338&lt;&gt;"",ALcopy!A338,"")</f>
        <v/>
      </c>
      <c r="G338" s="24" t="str">
        <f>IF(E338&lt;&gt;"",ALcopy!F338,"")</f>
        <v/>
      </c>
    </row>
    <row r="339" spans="1:7" ht="15.75" customHeight="1">
      <c r="A339" s="23" t="str">
        <f t="shared" si="16"/>
        <v/>
      </c>
      <c r="B339" t="str">
        <f t="shared" si="17"/>
        <v/>
      </c>
      <c r="C339" s="23" t="str">
        <f t="shared" si="18"/>
        <v/>
      </c>
      <c r="E339" s="24" t="str">
        <f>IF(NOT(ISBLANK(ALcopy!B339)),ALcopy!B339,"")</f>
        <v/>
      </c>
      <c r="F339" s="24" t="str">
        <f>IF(E339&lt;&gt;"",ALcopy!A339,"")</f>
        <v/>
      </c>
      <c r="G339" s="24" t="str">
        <f>IF(E339&lt;&gt;"",ALcopy!F339,"")</f>
        <v/>
      </c>
    </row>
    <row r="340" spans="1:7" ht="15.75" customHeight="1">
      <c r="A340" s="23" t="str">
        <f t="shared" si="16"/>
        <v/>
      </c>
      <c r="B340" t="str">
        <f t="shared" si="17"/>
        <v/>
      </c>
      <c r="C340" s="23" t="str">
        <f t="shared" si="18"/>
        <v/>
      </c>
      <c r="E340" s="24" t="str">
        <f>IF(NOT(ISBLANK(ALcopy!B340)),ALcopy!B340,"")</f>
        <v/>
      </c>
      <c r="F340" s="24" t="str">
        <f>IF(E340&lt;&gt;"",ALcopy!A340,"")</f>
        <v/>
      </c>
      <c r="G340" s="24" t="str">
        <f>IF(E340&lt;&gt;"",ALcopy!F340,"")</f>
        <v/>
      </c>
    </row>
    <row r="341" spans="1:7" ht="15.75" customHeight="1">
      <c r="A341" s="23" t="str">
        <f t="shared" si="16"/>
        <v/>
      </c>
      <c r="B341" t="str">
        <f t="shared" si="17"/>
        <v/>
      </c>
      <c r="C341" s="23" t="str">
        <f t="shared" si="18"/>
        <v/>
      </c>
      <c r="E341" s="24" t="str">
        <f>IF(NOT(ISBLANK(ALcopy!B341)),ALcopy!B341,"")</f>
        <v/>
      </c>
      <c r="F341" s="24" t="str">
        <f>IF(E341&lt;&gt;"",ALcopy!A341,"")</f>
        <v/>
      </c>
      <c r="G341" s="24" t="str">
        <f>IF(E341&lt;&gt;"",ALcopy!F341,"")</f>
        <v/>
      </c>
    </row>
    <row r="342" spans="1:7" ht="15.75" customHeight="1">
      <c r="A342" s="23" t="str">
        <f t="shared" si="16"/>
        <v/>
      </c>
      <c r="B342" t="str">
        <f t="shared" si="17"/>
        <v/>
      </c>
      <c r="C342" s="23" t="str">
        <f t="shared" si="18"/>
        <v/>
      </c>
      <c r="E342" s="24" t="str">
        <f>IF(NOT(ISBLANK(ALcopy!B342)),ALcopy!B342,"")</f>
        <v/>
      </c>
      <c r="F342" s="24" t="str">
        <f>IF(E342&lt;&gt;"",ALcopy!A342,"")</f>
        <v/>
      </c>
      <c r="G342" s="24" t="str">
        <f>IF(E342&lt;&gt;"",ALcopy!F342,"")</f>
        <v/>
      </c>
    </row>
    <row r="343" spans="1:7" ht="15.75" customHeight="1">
      <c r="A343" s="23" t="str">
        <f t="shared" si="16"/>
        <v/>
      </c>
      <c r="B343" t="str">
        <f t="shared" si="17"/>
        <v/>
      </c>
      <c r="C343" s="23" t="str">
        <f t="shared" si="18"/>
        <v/>
      </c>
      <c r="E343" s="24" t="str">
        <f>IF(NOT(ISBLANK(ALcopy!B343)),ALcopy!B343,"")</f>
        <v/>
      </c>
      <c r="F343" s="24" t="str">
        <f>IF(E343&lt;&gt;"",ALcopy!A343,"")</f>
        <v/>
      </c>
      <c r="G343" s="24" t="str">
        <f>IF(E343&lt;&gt;"",ALcopy!F343,"")</f>
        <v/>
      </c>
    </row>
    <row r="344" spans="1:7" ht="15.75" customHeight="1">
      <c r="A344" s="23" t="str">
        <f t="shared" si="16"/>
        <v/>
      </c>
      <c r="B344" t="str">
        <f t="shared" si="17"/>
        <v/>
      </c>
      <c r="C344" s="23" t="str">
        <f t="shared" si="18"/>
        <v/>
      </c>
      <c r="E344" s="24" t="str">
        <f>IF(NOT(ISBLANK(ALcopy!B344)),ALcopy!B344,"")</f>
        <v/>
      </c>
      <c r="F344" s="24" t="str">
        <f>IF(E344&lt;&gt;"",ALcopy!A344,"")</f>
        <v/>
      </c>
      <c r="G344" s="24" t="str">
        <f>IF(E344&lt;&gt;"",ALcopy!F344,"")</f>
        <v/>
      </c>
    </row>
    <row r="345" spans="1:7" ht="15.75" customHeight="1">
      <c r="A345" s="23" t="str">
        <f t="shared" si="16"/>
        <v/>
      </c>
      <c r="B345" t="str">
        <f t="shared" si="17"/>
        <v/>
      </c>
      <c r="C345" s="23" t="str">
        <f t="shared" si="18"/>
        <v/>
      </c>
      <c r="E345" s="24" t="str">
        <f>IF(NOT(ISBLANK(ALcopy!B345)),ALcopy!B345,"")</f>
        <v/>
      </c>
      <c r="F345" s="24" t="str">
        <f>IF(E345&lt;&gt;"",ALcopy!A345,"")</f>
        <v/>
      </c>
      <c r="G345" s="24" t="str">
        <f>IF(E345&lt;&gt;"",ALcopy!F345,"")</f>
        <v/>
      </c>
    </row>
    <row r="346" spans="1:7" ht="15.75" customHeight="1">
      <c r="A346" s="23" t="str">
        <f t="shared" si="16"/>
        <v/>
      </c>
      <c r="B346" t="str">
        <f t="shared" si="17"/>
        <v/>
      </c>
      <c r="C346" s="23" t="str">
        <f t="shared" si="18"/>
        <v/>
      </c>
      <c r="E346" s="24" t="str">
        <f>IF(NOT(ISBLANK(ALcopy!B346)),ALcopy!B346,"")</f>
        <v/>
      </c>
      <c r="F346" s="24" t="str">
        <f>IF(E346&lt;&gt;"",ALcopy!A346,"")</f>
        <v/>
      </c>
      <c r="G346" s="24" t="str">
        <f>IF(E346&lt;&gt;"",ALcopy!F346,"")</f>
        <v/>
      </c>
    </row>
    <row r="347" spans="1:7" ht="15.75" customHeight="1">
      <c r="A347" s="23" t="str">
        <f t="shared" si="16"/>
        <v/>
      </c>
      <c r="B347" t="str">
        <f t="shared" si="17"/>
        <v/>
      </c>
      <c r="C347" s="23" t="str">
        <f t="shared" si="18"/>
        <v/>
      </c>
      <c r="E347" s="24" t="str">
        <f>IF(NOT(ISBLANK(ALcopy!B347)),ALcopy!B347,"")</f>
        <v/>
      </c>
      <c r="F347" s="24" t="str">
        <f>IF(E347&lt;&gt;"",ALcopy!A347,"")</f>
        <v/>
      </c>
      <c r="G347" s="24" t="str">
        <f>IF(E347&lt;&gt;"",ALcopy!F347,"")</f>
        <v/>
      </c>
    </row>
    <row r="348" spans="1:7" ht="15.75" customHeight="1">
      <c r="A348" s="23" t="str">
        <f t="shared" si="16"/>
        <v/>
      </c>
      <c r="B348" t="str">
        <f t="shared" si="17"/>
        <v/>
      </c>
      <c r="C348" s="23" t="str">
        <f t="shared" si="18"/>
        <v/>
      </c>
      <c r="E348" s="24" t="str">
        <f>IF(NOT(ISBLANK(ALcopy!B348)),ALcopy!B348,"")</f>
        <v/>
      </c>
      <c r="F348" s="24" t="str">
        <f>IF(E348&lt;&gt;"",ALcopy!A348,"")</f>
        <v/>
      </c>
      <c r="G348" s="24" t="str">
        <f>IF(E348&lt;&gt;"",ALcopy!F348,"")</f>
        <v/>
      </c>
    </row>
    <row r="349" spans="1:7" ht="15.75" customHeight="1">
      <c r="A349" s="23" t="str">
        <f t="shared" si="16"/>
        <v/>
      </c>
      <c r="B349" t="str">
        <f t="shared" si="17"/>
        <v/>
      </c>
      <c r="C349" s="23" t="str">
        <f t="shared" si="18"/>
        <v/>
      </c>
      <c r="E349" s="24" t="str">
        <f>IF(NOT(ISBLANK(ALcopy!B349)),ALcopy!B349,"")</f>
        <v/>
      </c>
      <c r="F349" s="24" t="str">
        <f>IF(E349&lt;&gt;"",ALcopy!A349,"")</f>
        <v/>
      </c>
      <c r="G349" s="24" t="str">
        <f>IF(E349&lt;&gt;"",ALcopy!F349,"")</f>
        <v/>
      </c>
    </row>
    <row r="350" spans="1:7" ht="15.75" customHeight="1">
      <c r="A350" s="23" t="str">
        <f t="shared" si="16"/>
        <v/>
      </c>
      <c r="B350" t="str">
        <f t="shared" si="17"/>
        <v/>
      </c>
      <c r="C350" s="23" t="str">
        <f t="shared" si="18"/>
        <v/>
      </c>
      <c r="E350" s="24" t="str">
        <f>IF(NOT(ISBLANK(ALcopy!B350)),ALcopy!B350,"")</f>
        <v/>
      </c>
      <c r="F350" s="24" t="str">
        <f>IF(E350&lt;&gt;"",ALcopy!A350,"")</f>
        <v/>
      </c>
      <c r="G350" s="24" t="str">
        <f>IF(E350&lt;&gt;"",ALcopy!F350,"")</f>
        <v/>
      </c>
    </row>
    <row r="351" spans="1:7" ht="15.75" customHeight="1">
      <c r="A351" s="23" t="str">
        <f t="shared" si="16"/>
        <v/>
      </c>
      <c r="B351" t="str">
        <f t="shared" si="17"/>
        <v/>
      </c>
      <c r="C351" s="23" t="str">
        <f t="shared" si="18"/>
        <v/>
      </c>
      <c r="E351" s="24" t="str">
        <f>IF(NOT(ISBLANK(ALcopy!B351)),ALcopy!B351,"")</f>
        <v/>
      </c>
      <c r="F351" s="24" t="str">
        <f>IF(E351&lt;&gt;"",ALcopy!A351,"")</f>
        <v/>
      </c>
      <c r="G351" s="24" t="str">
        <f>IF(E351&lt;&gt;"",ALcopy!F351,"")</f>
        <v/>
      </c>
    </row>
    <row r="352" spans="1:7" ht="15.75" customHeight="1">
      <c r="A352" s="23" t="str">
        <f t="shared" si="16"/>
        <v/>
      </c>
      <c r="B352" t="str">
        <f t="shared" si="17"/>
        <v/>
      </c>
      <c r="C352" s="23" t="str">
        <f t="shared" si="18"/>
        <v/>
      </c>
      <c r="E352" s="24" t="str">
        <f>IF(NOT(ISBLANK(ALcopy!B352)),ALcopy!B352,"")</f>
        <v/>
      </c>
      <c r="F352" s="24" t="str">
        <f>IF(E352&lt;&gt;"",ALcopy!A352,"")</f>
        <v/>
      </c>
      <c r="G352" s="24" t="str">
        <f>IF(E352&lt;&gt;"",ALcopy!F352,"")</f>
        <v/>
      </c>
    </row>
    <row r="353" spans="1:7" ht="15.75" customHeight="1">
      <c r="A353" s="23" t="str">
        <f t="shared" si="16"/>
        <v/>
      </c>
      <c r="B353" t="str">
        <f t="shared" si="17"/>
        <v/>
      </c>
      <c r="C353" s="23" t="str">
        <f t="shared" si="18"/>
        <v/>
      </c>
      <c r="E353" s="24" t="str">
        <f>IF(NOT(ISBLANK(ALcopy!B353)),ALcopy!B353,"")</f>
        <v/>
      </c>
      <c r="F353" s="24" t="str">
        <f>IF(E353&lt;&gt;"",ALcopy!A353,"")</f>
        <v/>
      </c>
      <c r="G353" s="24" t="str">
        <f>IF(E353&lt;&gt;"",ALcopy!F353,"")</f>
        <v/>
      </c>
    </row>
    <row r="354" spans="1:7" ht="15.75" customHeight="1">
      <c r="A354" s="23" t="str">
        <f t="shared" si="16"/>
        <v/>
      </c>
      <c r="B354" t="str">
        <f t="shared" si="17"/>
        <v/>
      </c>
      <c r="C354" s="23" t="str">
        <f t="shared" si="18"/>
        <v/>
      </c>
      <c r="E354" s="24" t="str">
        <f>IF(NOT(ISBLANK(ALcopy!B354)),ALcopy!B354,"")</f>
        <v/>
      </c>
      <c r="F354" s="24" t="str">
        <f>IF(E354&lt;&gt;"",ALcopy!A354,"")</f>
        <v/>
      </c>
      <c r="G354" s="24" t="str">
        <f>IF(E354&lt;&gt;"",ALcopy!F354,"")</f>
        <v/>
      </c>
    </row>
    <row r="355" spans="1:7" ht="15.75" customHeight="1">
      <c r="A355" s="23" t="str">
        <f t="shared" si="16"/>
        <v/>
      </c>
      <c r="B355" t="str">
        <f t="shared" si="17"/>
        <v/>
      </c>
      <c r="C355" s="23" t="str">
        <f t="shared" si="18"/>
        <v/>
      </c>
      <c r="E355" s="24" t="str">
        <f>IF(NOT(ISBLANK(ALcopy!B355)),ALcopy!B355,"")</f>
        <v/>
      </c>
      <c r="F355" s="24" t="str">
        <f>IF(E355&lt;&gt;"",ALcopy!A355,"")</f>
        <v/>
      </c>
      <c r="G355" s="24" t="str">
        <f>IF(E355&lt;&gt;"",ALcopy!F355,"")</f>
        <v/>
      </c>
    </row>
    <row r="356" spans="1:7" ht="15.75" customHeight="1">
      <c r="A356" s="23" t="str">
        <f t="shared" si="16"/>
        <v/>
      </c>
      <c r="B356" t="str">
        <f t="shared" si="17"/>
        <v/>
      </c>
      <c r="C356" s="23" t="str">
        <f t="shared" si="18"/>
        <v/>
      </c>
      <c r="E356" s="24" t="str">
        <f>IF(NOT(ISBLANK(ALcopy!B356)),ALcopy!B356,"")</f>
        <v/>
      </c>
      <c r="F356" s="24" t="str">
        <f>IF(E356&lt;&gt;"",ALcopy!A356,"")</f>
        <v/>
      </c>
      <c r="G356" s="24" t="str">
        <f>IF(E356&lt;&gt;"",ALcopy!F356,"")</f>
        <v/>
      </c>
    </row>
    <row r="357" spans="1:7" ht="15.75" customHeight="1">
      <c r="A357" s="23" t="str">
        <f t="shared" si="16"/>
        <v/>
      </c>
      <c r="B357" t="str">
        <f t="shared" si="17"/>
        <v/>
      </c>
      <c r="C357" s="23" t="str">
        <f t="shared" si="18"/>
        <v/>
      </c>
      <c r="E357" s="24" t="str">
        <f>IF(NOT(ISBLANK(ALcopy!B357)),ALcopy!B357,"")</f>
        <v/>
      </c>
      <c r="F357" s="24" t="str">
        <f>IF(E357&lt;&gt;"",ALcopy!A357,"")</f>
        <v/>
      </c>
      <c r="G357" s="24" t="str">
        <f>IF(E357&lt;&gt;"",ALcopy!F357,"")</f>
        <v/>
      </c>
    </row>
    <row r="358" spans="1:7" ht="15.75" customHeight="1">
      <c r="A358" s="23" t="str">
        <f t="shared" si="16"/>
        <v/>
      </c>
      <c r="B358" t="str">
        <f t="shared" si="17"/>
        <v/>
      </c>
      <c r="C358" s="23" t="str">
        <f t="shared" si="18"/>
        <v/>
      </c>
      <c r="E358" s="24" t="str">
        <f>IF(NOT(ISBLANK(ALcopy!B358)),ALcopy!B358,"")</f>
        <v/>
      </c>
      <c r="F358" s="24" t="str">
        <f>IF(E358&lt;&gt;"",ALcopy!A358,"")</f>
        <v/>
      </c>
      <c r="G358" s="24" t="str">
        <f>IF(E358&lt;&gt;"",ALcopy!F358,"")</f>
        <v/>
      </c>
    </row>
    <row r="359" spans="1:7" ht="15.75" customHeight="1">
      <c r="A359" s="23" t="str">
        <f t="shared" si="16"/>
        <v/>
      </c>
      <c r="B359" t="str">
        <f t="shared" si="17"/>
        <v/>
      </c>
      <c r="C359" s="23" t="str">
        <f t="shared" si="18"/>
        <v/>
      </c>
      <c r="E359" s="24" t="str">
        <f>IF(NOT(ISBLANK(ALcopy!B359)),ALcopy!B359,"")</f>
        <v/>
      </c>
      <c r="F359" s="24" t="str">
        <f>IF(E359&lt;&gt;"",ALcopy!A359,"")</f>
        <v/>
      </c>
      <c r="G359" s="24" t="str">
        <f>IF(E359&lt;&gt;"",ALcopy!F359,"")</f>
        <v/>
      </c>
    </row>
    <row r="360" spans="1:7" ht="15.75" customHeight="1">
      <c r="A360" s="23" t="str">
        <f t="shared" si="16"/>
        <v/>
      </c>
      <c r="B360" t="str">
        <f t="shared" si="17"/>
        <v/>
      </c>
      <c r="C360" s="23" t="str">
        <f t="shared" si="18"/>
        <v/>
      </c>
      <c r="E360" s="24" t="str">
        <f>IF(NOT(ISBLANK(ALcopy!B360)),ALcopy!B360,"")</f>
        <v/>
      </c>
      <c r="F360" s="24" t="str">
        <f>IF(E360&lt;&gt;"",ALcopy!A360,"")</f>
        <v/>
      </c>
      <c r="G360" s="24" t="str">
        <f>IF(E360&lt;&gt;"",ALcopy!F360,"")</f>
        <v/>
      </c>
    </row>
    <row r="361" spans="1:7" ht="15.75" customHeight="1">
      <c r="A361" s="23" t="str">
        <f t="shared" si="16"/>
        <v/>
      </c>
      <c r="B361" t="str">
        <f t="shared" si="17"/>
        <v/>
      </c>
      <c r="C361" s="23" t="str">
        <f t="shared" si="18"/>
        <v/>
      </c>
      <c r="E361" s="24" t="str">
        <f>IF(NOT(ISBLANK(ALcopy!B361)),ALcopy!B361,"")</f>
        <v/>
      </c>
      <c r="F361" s="24" t="str">
        <f>IF(E361&lt;&gt;"",ALcopy!A361,"")</f>
        <v/>
      </c>
      <c r="G361" s="24" t="str">
        <f>IF(E361&lt;&gt;"",ALcopy!F361,"")</f>
        <v/>
      </c>
    </row>
    <row r="362" spans="1:7" ht="15.75" customHeight="1">
      <c r="A362" s="23" t="str">
        <f t="shared" si="16"/>
        <v/>
      </c>
      <c r="B362" t="str">
        <f t="shared" si="17"/>
        <v/>
      </c>
      <c r="C362" s="23" t="str">
        <f t="shared" si="18"/>
        <v/>
      </c>
      <c r="E362" s="24" t="str">
        <f>IF(NOT(ISBLANK(ALcopy!B362)),ALcopy!B362,"")</f>
        <v/>
      </c>
      <c r="F362" s="24" t="str">
        <f>IF(E362&lt;&gt;"",ALcopy!A362,"")</f>
        <v/>
      </c>
      <c r="G362" s="24" t="str">
        <f>IF(E362&lt;&gt;"",ALcopy!F362,"")</f>
        <v/>
      </c>
    </row>
    <row r="363" spans="1:7" ht="15.75" customHeight="1">
      <c r="A363" s="23" t="str">
        <f t="shared" si="16"/>
        <v/>
      </c>
      <c r="B363" t="str">
        <f t="shared" si="17"/>
        <v/>
      </c>
      <c r="C363" s="23" t="str">
        <f t="shared" si="18"/>
        <v/>
      </c>
      <c r="E363" s="24" t="str">
        <f>IF(NOT(ISBLANK(ALcopy!B363)),ALcopy!B363,"")</f>
        <v/>
      </c>
      <c r="F363" s="24" t="str">
        <f>IF(E363&lt;&gt;"",ALcopy!A363,"")</f>
        <v/>
      </c>
      <c r="G363" s="24" t="str">
        <f>IF(E363&lt;&gt;"",ALcopy!F363,"")</f>
        <v/>
      </c>
    </row>
    <row r="364" spans="1:7" ht="15.75" customHeight="1">
      <c r="A364" s="23" t="str">
        <f t="shared" si="16"/>
        <v/>
      </c>
      <c r="B364" t="str">
        <f t="shared" si="17"/>
        <v/>
      </c>
      <c r="C364" s="23" t="str">
        <f t="shared" si="18"/>
        <v/>
      </c>
      <c r="E364" s="24" t="str">
        <f>IF(NOT(ISBLANK(ALcopy!B364)),ALcopy!B364,"")</f>
        <v/>
      </c>
      <c r="F364" s="24" t="str">
        <f>IF(E364&lt;&gt;"",ALcopy!A364,"")</f>
        <v/>
      </c>
      <c r="G364" s="24" t="str">
        <f>IF(E364&lt;&gt;"",ALcopy!F364,"")</f>
        <v/>
      </c>
    </row>
    <row r="365" spans="1:7" ht="15.75" customHeight="1">
      <c r="A365" s="23" t="str">
        <f t="shared" si="16"/>
        <v/>
      </c>
      <c r="B365" t="str">
        <f t="shared" si="17"/>
        <v/>
      </c>
      <c r="C365" s="23" t="str">
        <f t="shared" si="18"/>
        <v/>
      </c>
      <c r="E365" s="24" t="str">
        <f>IF(NOT(ISBLANK(ALcopy!B365)),ALcopy!B365,"")</f>
        <v/>
      </c>
      <c r="F365" s="24" t="str">
        <f>IF(E365&lt;&gt;"",ALcopy!A365,"")</f>
        <v/>
      </c>
      <c r="G365" s="24" t="str">
        <f>IF(E365&lt;&gt;"",ALcopy!F365,"")</f>
        <v/>
      </c>
    </row>
    <row r="366" spans="1:7" ht="15.75" customHeight="1">
      <c r="A366" s="23" t="str">
        <f t="shared" si="16"/>
        <v/>
      </c>
      <c r="B366" t="str">
        <f t="shared" si="17"/>
        <v/>
      </c>
      <c r="C366" s="23" t="str">
        <f t="shared" si="18"/>
        <v/>
      </c>
      <c r="E366" s="24" t="str">
        <f>IF(NOT(ISBLANK(ALcopy!B366)),ALcopy!B366,"")</f>
        <v/>
      </c>
      <c r="F366" s="24" t="str">
        <f>IF(E366&lt;&gt;"",ALcopy!A366,"")</f>
        <v/>
      </c>
      <c r="G366" s="24" t="str">
        <f>IF(E366&lt;&gt;"",ALcopy!F366,"")</f>
        <v/>
      </c>
    </row>
    <row r="367" spans="1:7" ht="15.75" customHeight="1">
      <c r="A367" s="23" t="str">
        <f t="shared" si="16"/>
        <v/>
      </c>
      <c r="B367" t="str">
        <f t="shared" si="17"/>
        <v/>
      </c>
      <c r="C367" s="23" t="str">
        <f t="shared" si="18"/>
        <v/>
      </c>
      <c r="E367" s="24" t="str">
        <f>IF(NOT(ISBLANK(ALcopy!B367)),ALcopy!B367,"")</f>
        <v/>
      </c>
      <c r="F367" s="24" t="str">
        <f>IF(E367&lt;&gt;"",ALcopy!A367,"")</f>
        <v/>
      </c>
      <c r="G367" s="24" t="str">
        <f>IF(E367&lt;&gt;"",ALcopy!F367,"")</f>
        <v/>
      </c>
    </row>
    <row r="368" spans="1:7" ht="15.75" customHeight="1">
      <c r="A368" s="23" t="str">
        <f t="shared" si="16"/>
        <v/>
      </c>
      <c r="B368" t="str">
        <f t="shared" si="17"/>
        <v/>
      </c>
      <c r="C368" s="23" t="str">
        <f t="shared" si="18"/>
        <v/>
      </c>
      <c r="E368" s="24" t="str">
        <f>IF(NOT(ISBLANK(ALcopy!B368)),ALcopy!B368,"")</f>
        <v/>
      </c>
      <c r="F368" s="24" t="str">
        <f>IF(E368&lt;&gt;"",ALcopy!A368,"")</f>
        <v/>
      </c>
      <c r="G368" s="24" t="str">
        <f>IF(E368&lt;&gt;"",ALcopy!F368,"")</f>
        <v/>
      </c>
    </row>
    <row r="369" spans="1:7" ht="15.75" customHeight="1">
      <c r="A369" s="23" t="str">
        <f t="shared" si="16"/>
        <v/>
      </c>
      <c r="B369" t="str">
        <f t="shared" si="17"/>
        <v/>
      </c>
      <c r="C369" s="23" t="str">
        <f t="shared" si="18"/>
        <v/>
      </c>
      <c r="E369" s="24" t="str">
        <f>IF(NOT(ISBLANK(ALcopy!B369)),ALcopy!B369,"")</f>
        <v/>
      </c>
      <c r="F369" s="24" t="str">
        <f>IF(E369&lt;&gt;"",ALcopy!A369,"")</f>
        <v/>
      </c>
      <c r="G369" s="24" t="str">
        <f>IF(E369&lt;&gt;"",ALcopy!F369,"")</f>
        <v/>
      </c>
    </row>
    <row r="370" spans="1:7" ht="15.75" customHeight="1">
      <c r="A370" s="23" t="str">
        <f t="shared" si="16"/>
        <v/>
      </c>
      <c r="B370" t="str">
        <f t="shared" si="17"/>
        <v/>
      </c>
      <c r="C370" s="23" t="str">
        <f t="shared" si="18"/>
        <v/>
      </c>
      <c r="E370" s="24" t="str">
        <f>IF(NOT(ISBLANK(ALcopy!B370)),ALcopy!B370,"")</f>
        <v/>
      </c>
      <c r="F370" s="24" t="str">
        <f>IF(E370&lt;&gt;"",ALcopy!A370,"")</f>
        <v/>
      </c>
      <c r="G370" s="24" t="str">
        <f>IF(E370&lt;&gt;"",ALcopy!F370,"")</f>
        <v/>
      </c>
    </row>
    <row r="371" spans="1:7" ht="15.75" customHeight="1">
      <c r="A371" s="23" t="str">
        <f t="shared" si="16"/>
        <v/>
      </c>
      <c r="B371" t="str">
        <f t="shared" si="17"/>
        <v/>
      </c>
      <c r="C371" s="23" t="str">
        <f t="shared" si="18"/>
        <v/>
      </c>
      <c r="E371" s="24" t="str">
        <f>IF(NOT(ISBLANK(ALcopy!B371)),ALcopy!B371,"")</f>
        <v/>
      </c>
      <c r="F371" s="24" t="str">
        <f>IF(E371&lt;&gt;"",ALcopy!A371,"")</f>
        <v/>
      </c>
      <c r="G371" s="24" t="str">
        <f>IF(E371&lt;&gt;"",ALcopy!F371,"")</f>
        <v/>
      </c>
    </row>
    <row r="372" spans="1:7" ht="15.75" customHeight="1">
      <c r="A372" s="23" t="str">
        <f t="shared" si="16"/>
        <v/>
      </c>
      <c r="B372" t="str">
        <f t="shared" si="17"/>
        <v/>
      </c>
      <c r="C372" s="23" t="str">
        <f t="shared" si="18"/>
        <v/>
      </c>
      <c r="E372" s="24" t="str">
        <f>IF(NOT(ISBLANK(ALcopy!B372)),ALcopy!B372,"")</f>
        <v/>
      </c>
      <c r="F372" s="24" t="str">
        <f>IF(E372&lt;&gt;"",ALcopy!A372,"")</f>
        <v/>
      </c>
      <c r="G372" s="24" t="str">
        <f>IF(E372&lt;&gt;"",ALcopy!F372,"")</f>
        <v/>
      </c>
    </row>
    <row r="373" spans="1:7" ht="15.75" customHeight="1">
      <c r="A373" s="23" t="str">
        <f t="shared" si="16"/>
        <v/>
      </c>
      <c r="B373" t="str">
        <f t="shared" si="17"/>
        <v/>
      </c>
      <c r="C373" s="23" t="str">
        <f t="shared" si="18"/>
        <v/>
      </c>
      <c r="E373" s="24" t="str">
        <f>IF(NOT(ISBLANK(ALcopy!B373)),ALcopy!B373,"")</f>
        <v/>
      </c>
      <c r="F373" s="24" t="str">
        <f>IF(E373&lt;&gt;"",ALcopy!A373,"")</f>
        <v/>
      </c>
      <c r="G373" s="24" t="str">
        <f>IF(E373&lt;&gt;"",ALcopy!F373,"")</f>
        <v/>
      </c>
    </row>
    <row r="374" spans="1:7" ht="15.75" customHeight="1">
      <c r="A374" s="23" t="str">
        <f t="shared" si="16"/>
        <v/>
      </c>
      <c r="B374" t="str">
        <f t="shared" si="17"/>
        <v/>
      </c>
      <c r="C374" s="23" t="str">
        <f t="shared" si="18"/>
        <v/>
      </c>
      <c r="E374" s="24" t="str">
        <f>IF(NOT(ISBLANK(ALcopy!B374)),ALcopy!B374,"")</f>
        <v/>
      </c>
      <c r="F374" s="24" t="str">
        <f>IF(E374&lt;&gt;"",ALcopy!A374,"")</f>
        <v/>
      </c>
      <c r="G374" s="24" t="str">
        <f>IF(E374&lt;&gt;"",ALcopy!F374,"")</f>
        <v/>
      </c>
    </row>
    <row r="375" spans="1:7" ht="15.75" customHeight="1">
      <c r="A375" s="23" t="str">
        <f t="shared" si="16"/>
        <v/>
      </c>
      <c r="B375" t="str">
        <f t="shared" si="17"/>
        <v/>
      </c>
      <c r="C375" s="23" t="str">
        <f t="shared" si="18"/>
        <v/>
      </c>
      <c r="E375" s="24" t="str">
        <f>IF(NOT(ISBLANK(ALcopy!B375)),ALcopy!B375,"")</f>
        <v/>
      </c>
      <c r="F375" s="24" t="str">
        <f>IF(E375&lt;&gt;"",ALcopy!A375,"")</f>
        <v/>
      </c>
      <c r="G375" s="24" t="str">
        <f>IF(E375&lt;&gt;"",ALcopy!F375,"")</f>
        <v/>
      </c>
    </row>
    <row r="376" spans="1:7" ht="15.75" customHeight="1">
      <c r="A376" s="23" t="str">
        <f t="shared" si="16"/>
        <v/>
      </c>
      <c r="B376" t="str">
        <f t="shared" si="17"/>
        <v/>
      </c>
      <c r="C376" s="23" t="str">
        <f t="shared" si="18"/>
        <v/>
      </c>
      <c r="E376" s="24" t="str">
        <f>IF(NOT(ISBLANK(ALcopy!B376)),ALcopy!B376,"")</f>
        <v/>
      </c>
      <c r="F376" s="24" t="str">
        <f>IF(E376&lt;&gt;"",ALcopy!A376,"")</f>
        <v/>
      </c>
      <c r="G376" s="24" t="str">
        <f>IF(E376&lt;&gt;"",ALcopy!F376,"")</f>
        <v/>
      </c>
    </row>
    <row r="377" spans="1:7" ht="15.75" customHeight="1">
      <c r="A377" s="23" t="str">
        <f t="shared" si="16"/>
        <v/>
      </c>
      <c r="B377" t="str">
        <f t="shared" si="17"/>
        <v/>
      </c>
      <c r="C377" s="23" t="str">
        <f t="shared" si="18"/>
        <v/>
      </c>
      <c r="E377" s="24" t="str">
        <f>IF(NOT(ISBLANK(ALcopy!B377)),ALcopy!B377,"")</f>
        <v/>
      </c>
      <c r="F377" s="24" t="str">
        <f>IF(E377&lt;&gt;"",ALcopy!A377,"")</f>
        <v/>
      </c>
      <c r="G377" s="24" t="str">
        <f>IF(E377&lt;&gt;"",ALcopy!F377,"")</f>
        <v/>
      </c>
    </row>
    <row r="378" spans="1:7" ht="15.75" customHeight="1">
      <c r="A378" s="23" t="str">
        <f t="shared" si="16"/>
        <v/>
      </c>
      <c r="B378" t="str">
        <f t="shared" si="17"/>
        <v/>
      </c>
      <c r="C378" s="23" t="str">
        <f t="shared" si="18"/>
        <v/>
      </c>
      <c r="E378" s="24" t="str">
        <f>IF(NOT(ISBLANK(ALcopy!B378)),ALcopy!B378,"")</f>
        <v/>
      </c>
      <c r="F378" s="24" t="str">
        <f>IF(E378&lt;&gt;"",ALcopy!A378,"")</f>
        <v/>
      </c>
      <c r="G378" s="24" t="str">
        <f>IF(E378&lt;&gt;"",ALcopy!F378,"")</f>
        <v/>
      </c>
    </row>
    <row r="379" spans="1:7" ht="15.75" customHeight="1">
      <c r="A379" s="23" t="str">
        <f t="shared" si="16"/>
        <v/>
      </c>
      <c r="B379" t="str">
        <f t="shared" si="17"/>
        <v/>
      </c>
      <c r="C379" s="23" t="str">
        <f t="shared" si="18"/>
        <v/>
      </c>
      <c r="E379" s="24" t="str">
        <f>IF(NOT(ISBLANK(ALcopy!B379)),ALcopy!B379,"")</f>
        <v/>
      </c>
      <c r="F379" s="24" t="str">
        <f>IF(E379&lt;&gt;"",ALcopy!A379,"")</f>
        <v/>
      </c>
      <c r="G379" s="24" t="str">
        <f>IF(E379&lt;&gt;"",ALcopy!F379,"")</f>
        <v/>
      </c>
    </row>
    <row r="380" spans="1:7" ht="15.75" customHeight="1">
      <c r="A380" s="23" t="str">
        <f t="shared" si="16"/>
        <v/>
      </c>
      <c r="B380" t="str">
        <f t="shared" si="17"/>
        <v/>
      </c>
      <c r="C380" s="23" t="str">
        <f t="shared" si="18"/>
        <v/>
      </c>
      <c r="E380" s="24" t="str">
        <f>IF(NOT(ISBLANK(ALcopy!B380)),ALcopy!B380,"")</f>
        <v/>
      </c>
      <c r="F380" s="24" t="str">
        <f>IF(E380&lt;&gt;"",ALcopy!A380,"")</f>
        <v/>
      </c>
      <c r="G380" s="24" t="str">
        <f>IF(E380&lt;&gt;"",ALcopy!F380,"")</f>
        <v/>
      </c>
    </row>
    <row r="381" spans="1:7" ht="15.75" customHeight="1">
      <c r="A381" s="23" t="str">
        <f t="shared" si="16"/>
        <v/>
      </c>
      <c r="B381" t="str">
        <f t="shared" si="17"/>
        <v/>
      </c>
      <c r="C381" s="23" t="str">
        <f t="shared" si="18"/>
        <v/>
      </c>
      <c r="E381" s="24" t="str">
        <f>IF(NOT(ISBLANK(ALcopy!B381)),ALcopy!B381,"")</f>
        <v/>
      </c>
      <c r="F381" s="24" t="str">
        <f>IF(E381&lt;&gt;"",ALcopy!A381,"")</f>
        <v/>
      </c>
      <c r="G381" s="24" t="str">
        <f>IF(E381&lt;&gt;"",ALcopy!F381,"")</f>
        <v/>
      </c>
    </row>
    <row r="382" spans="1:7" ht="15.75" customHeight="1">
      <c r="A382" s="23" t="str">
        <f t="shared" si="16"/>
        <v/>
      </c>
      <c r="B382" t="str">
        <f t="shared" si="17"/>
        <v/>
      </c>
      <c r="C382" s="23" t="str">
        <f t="shared" si="18"/>
        <v/>
      </c>
      <c r="E382" s="24" t="str">
        <f>IF(NOT(ISBLANK(ALcopy!B382)),ALcopy!B382,"")</f>
        <v/>
      </c>
      <c r="F382" s="24" t="str">
        <f>IF(E382&lt;&gt;"",ALcopy!A382,"")</f>
        <v/>
      </c>
      <c r="G382" s="24" t="str">
        <f>IF(E382&lt;&gt;"",ALcopy!F382,"")</f>
        <v/>
      </c>
    </row>
    <row r="383" spans="1:7" ht="15.75" customHeight="1">
      <c r="A383" s="23" t="str">
        <f t="shared" si="16"/>
        <v/>
      </c>
      <c r="B383" t="str">
        <f t="shared" si="17"/>
        <v/>
      </c>
      <c r="C383" s="23" t="str">
        <f t="shared" si="18"/>
        <v/>
      </c>
      <c r="E383" s="24" t="str">
        <f>IF(NOT(ISBLANK(ALcopy!B383)),ALcopy!B383,"")</f>
        <v/>
      </c>
      <c r="F383" s="24" t="str">
        <f>IF(E383&lt;&gt;"",ALcopy!A383,"")</f>
        <v/>
      </c>
      <c r="G383" s="24" t="str">
        <f>IF(E383&lt;&gt;"",ALcopy!F383,"")</f>
        <v/>
      </c>
    </row>
    <row r="384" spans="1:7" ht="15.75" customHeight="1">
      <c r="A384" s="23" t="str">
        <f t="shared" si="16"/>
        <v/>
      </c>
      <c r="B384" t="str">
        <f t="shared" si="17"/>
        <v/>
      </c>
      <c r="C384" s="23" t="str">
        <f t="shared" si="18"/>
        <v/>
      </c>
      <c r="E384" s="24" t="str">
        <f>IF(NOT(ISBLANK(ALcopy!B384)),ALcopy!B384,"")</f>
        <v/>
      </c>
      <c r="F384" s="24" t="str">
        <f>IF(E384&lt;&gt;"",ALcopy!A384,"")</f>
        <v/>
      </c>
      <c r="G384" s="24" t="str">
        <f>IF(E384&lt;&gt;"",ALcopy!F384,"")</f>
        <v/>
      </c>
    </row>
    <row r="385" spans="1:7" ht="15.75" customHeight="1">
      <c r="A385" s="23" t="str">
        <f t="shared" si="16"/>
        <v/>
      </c>
      <c r="B385" t="str">
        <f t="shared" si="17"/>
        <v/>
      </c>
      <c r="C385" s="23" t="str">
        <f t="shared" si="18"/>
        <v/>
      </c>
      <c r="E385" s="24" t="str">
        <f>IF(NOT(ISBLANK(ALcopy!B385)),ALcopy!B385,"")</f>
        <v/>
      </c>
      <c r="F385" s="24" t="str">
        <f>IF(E385&lt;&gt;"",ALcopy!A385,"")</f>
        <v/>
      </c>
      <c r="G385" s="24" t="str">
        <f>IF(E385&lt;&gt;"",ALcopy!F385,"")</f>
        <v/>
      </c>
    </row>
    <row r="386" spans="1:7" ht="15.75" customHeight="1">
      <c r="A386" s="23" t="str">
        <f t="shared" si="16"/>
        <v/>
      </c>
      <c r="B386" t="str">
        <f t="shared" si="17"/>
        <v/>
      </c>
      <c r="C386" s="23" t="str">
        <f t="shared" si="18"/>
        <v/>
      </c>
      <c r="E386" s="24" t="str">
        <f>IF(NOT(ISBLANK(ALcopy!B386)),ALcopy!B386,"")</f>
        <v/>
      </c>
      <c r="F386" s="24" t="str">
        <f>IF(E386&lt;&gt;"",ALcopy!A386,"")</f>
        <v/>
      </c>
      <c r="G386" s="24" t="str">
        <f>IF(E386&lt;&gt;"",ALcopy!F386,"")</f>
        <v/>
      </c>
    </row>
    <row r="387" spans="1:7" ht="15.75" customHeight="1">
      <c r="A387" s="23" t="str">
        <f t="shared" ref="A387:A450" si="19">IF(E387&lt;&gt;"",DATEVALUE(LEFT(E387,10)),"")</f>
        <v/>
      </c>
      <c r="B387" t="str">
        <f t="shared" ref="B387:B450" si="20">IF(LEN(F387)&gt;3,RIGHT(F387,LEN(F387)-3),"")</f>
        <v/>
      </c>
      <c r="C387" s="23" t="str">
        <f t="shared" ref="C387:C450" si="21">IF(E387&lt;&gt;"",DATEVALUE(LEFT(G387,10)),"")</f>
        <v/>
      </c>
      <c r="E387" s="24" t="str">
        <f>IF(NOT(ISBLANK(ALcopy!B387)),ALcopy!B387,"")</f>
        <v/>
      </c>
      <c r="F387" s="24" t="str">
        <f>IF(E387&lt;&gt;"",ALcopy!A387,"")</f>
        <v/>
      </c>
      <c r="G387" s="24" t="str">
        <f>IF(E387&lt;&gt;"",ALcopy!F387,"")</f>
        <v/>
      </c>
    </row>
    <row r="388" spans="1:7" ht="15.75" customHeight="1">
      <c r="A388" s="23" t="str">
        <f t="shared" si="19"/>
        <v/>
      </c>
      <c r="B388" t="str">
        <f t="shared" si="20"/>
        <v/>
      </c>
      <c r="C388" s="23" t="str">
        <f t="shared" si="21"/>
        <v/>
      </c>
      <c r="E388" s="24" t="str">
        <f>IF(NOT(ISBLANK(ALcopy!B388)),ALcopy!B388,"")</f>
        <v/>
      </c>
      <c r="F388" s="24" t="str">
        <f>IF(E388&lt;&gt;"",ALcopy!A388,"")</f>
        <v/>
      </c>
      <c r="G388" s="24" t="str">
        <f>IF(E388&lt;&gt;"",ALcopy!F388,"")</f>
        <v/>
      </c>
    </row>
    <row r="389" spans="1:7" ht="15.75" customHeight="1">
      <c r="A389" s="23" t="str">
        <f t="shared" si="19"/>
        <v/>
      </c>
      <c r="B389" t="str">
        <f t="shared" si="20"/>
        <v/>
      </c>
      <c r="C389" s="23" t="str">
        <f t="shared" si="21"/>
        <v/>
      </c>
      <c r="E389" s="24" t="str">
        <f>IF(NOT(ISBLANK(ALcopy!B389)),ALcopy!B389,"")</f>
        <v/>
      </c>
      <c r="F389" s="24" t="str">
        <f>IF(E389&lt;&gt;"",ALcopy!A389,"")</f>
        <v/>
      </c>
      <c r="G389" s="24" t="str">
        <f>IF(E389&lt;&gt;"",ALcopy!F389,"")</f>
        <v/>
      </c>
    </row>
    <row r="390" spans="1:7" ht="15.75" customHeight="1">
      <c r="A390" s="23" t="str">
        <f t="shared" si="19"/>
        <v/>
      </c>
      <c r="B390" t="str">
        <f t="shared" si="20"/>
        <v/>
      </c>
      <c r="C390" s="23" t="str">
        <f t="shared" si="21"/>
        <v/>
      </c>
      <c r="E390" s="24" t="str">
        <f>IF(NOT(ISBLANK(ALcopy!B390)),ALcopy!B390,"")</f>
        <v/>
      </c>
      <c r="F390" s="24" t="str">
        <f>IF(E390&lt;&gt;"",ALcopy!A390,"")</f>
        <v/>
      </c>
      <c r="G390" s="24" t="str">
        <f>IF(E390&lt;&gt;"",ALcopy!F390,"")</f>
        <v/>
      </c>
    </row>
    <row r="391" spans="1:7" ht="15.75" customHeight="1">
      <c r="A391" s="23" t="str">
        <f t="shared" si="19"/>
        <v/>
      </c>
      <c r="B391" t="str">
        <f t="shared" si="20"/>
        <v/>
      </c>
      <c r="C391" s="23" t="str">
        <f t="shared" si="21"/>
        <v/>
      </c>
      <c r="E391" s="24" t="str">
        <f>IF(NOT(ISBLANK(ALcopy!B391)),ALcopy!B391,"")</f>
        <v/>
      </c>
      <c r="F391" s="24" t="str">
        <f>IF(E391&lt;&gt;"",ALcopy!A391,"")</f>
        <v/>
      </c>
      <c r="G391" s="24" t="str">
        <f>IF(E391&lt;&gt;"",ALcopy!F391,"")</f>
        <v/>
      </c>
    </row>
    <row r="392" spans="1:7" ht="15.75" customHeight="1">
      <c r="A392" s="23" t="str">
        <f t="shared" si="19"/>
        <v/>
      </c>
      <c r="B392" t="str">
        <f t="shared" si="20"/>
        <v/>
      </c>
      <c r="C392" s="23" t="str">
        <f t="shared" si="21"/>
        <v/>
      </c>
      <c r="E392" s="24" t="str">
        <f>IF(NOT(ISBLANK(ALcopy!B392)),ALcopy!B392,"")</f>
        <v/>
      </c>
      <c r="F392" s="24" t="str">
        <f>IF(E392&lt;&gt;"",ALcopy!A392,"")</f>
        <v/>
      </c>
      <c r="G392" s="24" t="str">
        <f>IF(E392&lt;&gt;"",ALcopy!F392,"")</f>
        <v/>
      </c>
    </row>
    <row r="393" spans="1:7" ht="15.75" customHeight="1">
      <c r="A393" s="23" t="str">
        <f t="shared" si="19"/>
        <v/>
      </c>
      <c r="B393" t="str">
        <f t="shared" si="20"/>
        <v/>
      </c>
      <c r="C393" s="23" t="str">
        <f t="shared" si="21"/>
        <v/>
      </c>
      <c r="E393" s="24" t="str">
        <f>IF(NOT(ISBLANK(ALcopy!B393)),ALcopy!B393,"")</f>
        <v/>
      </c>
      <c r="F393" s="24" t="str">
        <f>IF(E393&lt;&gt;"",ALcopy!A393,"")</f>
        <v/>
      </c>
      <c r="G393" s="24" t="str">
        <f>IF(E393&lt;&gt;"",ALcopy!F393,"")</f>
        <v/>
      </c>
    </row>
    <row r="394" spans="1:7" ht="15.75" customHeight="1">
      <c r="A394" s="23" t="str">
        <f t="shared" si="19"/>
        <v/>
      </c>
      <c r="B394" t="str">
        <f t="shared" si="20"/>
        <v/>
      </c>
      <c r="C394" s="23" t="str">
        <f t="shared" si="21"/>
        <v/>
      </c>
      <c r="E394" s="24" t="str">
        <f>IF(NOT(ISBLANK(ALcopy!B394)),ALcopy!B394,"")</f>
        <v/>
      </c>
      <c r="F394" s="24" t="str">
        <f>IF(E394&lt;&gt;"",ALcopy!A394,"")</f>
        <v/>
      </c>
      <c r="G394" s="24" t="str">
        <f>IF(E394&lt;&gt;"",ALcopy!F394,"")</f>
        <v/>
      </c>
    </row>
    <row r="395" spans="1:7" ht="15.75" customHeight="1">
      <c r="A395" s="23" t="str">
        <f t="shared" si="19"/>
        <v/>
      </c>
      <c r="B395" t="str">
        <f t="shared" si="20"/>
        <v/>
      </c>
      <c r="C395" s="23" t="str">
        <f t="shared" si="21"/>
        <v/>
      </c>
      <c r="E395" s="24" t="str">
        <f>IF(NOT(ISBLANK(ALcopy!B395)),ALcopy!B395,"")</f>
        <v/>
      </c>
      <c r="F395" s="24" t="str">
        <f>IF(E395&lt;&gt;"",ALcopy!A395,"")</f>
        <v/>
      </c>
      <c r="G395" s="24" t="str">
        <f>IF(E395&lt;&gt;"",ALcopy!F395,"")</f>
        <v/>
      </c>
    </row>
    <row r="396" spans="1:7" ht="15.75" customHeight="1">
      <c r="A396" s="23" t="str">
        <f t="shared" si="19"/>
        <v/>
      </c>
      <c r="B396" t="str">
        <f t="shared" si="20"/>
        <v/>
      </c>
      <c r="C396" s="23" t="str">
        <f t="shared" si="21"/>
        <v/>
      </c>
      <c r="E396" s="24" t="str">
        <f>IF(NOT(ISBLANK(ALcopy!B396)),ALcopy!B396,"")</f>
        <v/>
      </c>
      <c r="F396" s="24" t="str">
        <f>IF(E396&lt;&gt;"",ALcopy!A396,"")</f>
        <v/>
      </c>
      <c r="G396" s="24" t="str">
        <f>IF(E396&lt;&gt;"",ALcopy!F396,"")</f>
        <v/>
      </c>
    </row>
    <row r="397" spans="1:7" ht="15.75" customHeight="1">
      <c r="A397" s="23" t="str">
        <f t="shared" si="19"/>
        <v/>
      </c>
      <c r="B397" t="str">
        <f t="shared" si="20"/>
        <v/>
      </c>
      <c r="C397" s="23" t="str">
        <f t="shared" si="21"/>
        <v/>
      </c>
      <c r="E397" s="24" t="str">
        <f>IF(NOT(ISBLANK(ALcopy!B397)),ALcopy!B397,"")</f>
        <v/>
      </c>
      <c r="F397" s="24" t="str">
        <f>IF(E397&lt;&gt;"",ALcopy!A397,"")</f>
        <v/>
      </c>
      <c r="G397" s="24" t="str">
        <f>IF(E397&lt;&gt;"",ALcopy!F397,"")</f>
        <v/>
      </c>
    </row>
    <row r="398" spans="1:7" ht="15.75" customHeight="1">
      <c r="A398" s="23" t="str">
        <f t="shared" si="19"/>
        <v/>
      </c>
      <c r="B398" t="str">
        <f t="shared" si="20"/>
        <v/>
      </c>
      <c r="C398" s="23" t="str">
        <f t="shared" si="21"/>
        <v/>
      </c>
      <c r="E398" s="24" t="str">
        <f>IF(NOT(ISBLANK(ALcopy!B398)),ALcopy!B398,"")</f>
        <v/>
      </c>
      <c r="F398" s="24" t="str">
        <f>IF(E398&lt;&gt;"",ALcopy!A398,"")</f>
        <v/>
      </c>
      <c r="G398" s="24" t="str">
        <f>IF(E398&lt;&gt;"",ALcopy!F398,"")</f>
        <v/>
      </c>
    </row>
    <row r="399" spans="1:7" ht="15.75" customHeight="1">
      <c r="A399" s="23" t="str">
        <f t="shared" si="19"/>
        <v/>
      </c>
      <c r="B399" t="str">
        <f t="shared" si="20"/>
        <v/>
      </c>
      <c r="C399" s="23" t="str">
        <f t="shared" si="21"/>
        <v/>
      </c>
      <c r="E399" s="24" t="str">
        <f>IF(NOT(ISBLANK(ALcopy!B399)),ALcopy!B399,"")</f>
        <v/>
      </c>
      <c r="F399" s="24" t="str">
        <f>IF(E399&lt;&gt;"",ALcopy!A399,"")</f>
        <v/>
      </c>
      <c r="G399" s="24" t="str">
        <f>IF(E399&lt;&gt;"",ALcopy!F399,"")</f>
        <v/>
      </c>
    </row>
    <row r="400" spans="1:7" ht="15.75" customHeight="1">
      <c r="A400" s="23" t="str">
        <f t="shared" si="19"/>
        <v/>
      </c>
      <c r="B400" t="str">
        <f t="shared" si="20"/>
        <v/>
      </c>
      <c r="C400" s="23" t="str">
        <f t="shared" si="21"/>
        <v/>
      </c>
      <c r="E400" s="24" t="str">
        <f>IF(NOT(ISBLANK(ALcopy!B400)),ALcopy!B400,"")</f>
        <v/>
      </c>
      <c r="F400" s="24" t="str">
        <f>IF(E400&lt;&gt;"",ALcopy!A400,"")</f>
        <v/>
      </c>
      <c r="G400" s="24" t="str">
        <f>IF(E400&lt;&gt;"",ALcopy!F400,"")</f>
        <v/>
      </c>
    </row>
    <row r="401" spans="1:7" ht="15.75" customHeight="1">
      <c r="A401" s="23" t="str">
        <f t="shared" si="19"/>
        <v/>
      </c>
      <c r="B401" t="str">
        <f t="shared" si="20"/>
        <v/>
      </c>
      <c r="C401" s="23" t="str">
        <f t="shared" si="21"/>
        <v/>
      </c>
      <c r="E401" s="24" t="str">
        <f>IF(NOT(ISBLANK(ALcopy!B401)),ALcopy!B401,"")</f>
        <v/>
      </c>
      <c r="F401" s="24" t="str">
        <f>IF(E401&lt;&gt;"",ALcopy!A401,"")</f>
        <v/>
      </c>
      <c r="G401" s="24" t="str">
        <f>IF(E401&lt;&gt;"",ALcopy!F401,"")</f>
        <v/>
      </c>
    </row>
    <row r="402" spans="1:7" ht="15.75" customHeight="1">
      <c r="A402" s="23" t="str">
        <f t="shared" si="19"/>
        <v/>
      </c>
      <c r="B402" t="str">
        <f t="shared" si="20"/>
        <v/>
      </c>
      <c r="C402" s="23" t="str">
        <f t="shared" si="21"/>
        <v/>
      </c>
      <c r="E402" s="24" t="str">
        <f>IF(NOT(ISBLANK(ALcopy!B402)),ALcopy!B402,"")</f>
        <v/>
      </c>
      <c r="F402" s="24" t="str">
        <f>IF(E402&lt;&gt;"",ALcopy!A402,"")</f>
        <v/>
      </c>
      <c r="G402" s="24" t="str">
        <f>IF(E402&lt;&gt;"",ALcopy!F402,"")</f>
        <v/>
      </c>
    </row>
    <row r="403" spans="1:7" ht="15.75" customHeight="1">
      <c r="A403" s="23" t="str">
        <f t="shared" si="19"/>
        <v/>
      </c>
      <c r="B403" t="str">
        <f t="shared" si="20"/>
        <v/>
      </c>
      <c r="C403" s="23" t="str">
        <f t="shared" si="21"/>
        <v/>
      </c>
      <c r="E403" s="24" t="str">
        <f>IF(NOT(ISBLANK(ALcopy!B403)),ALcopy!B403,"")</f>
        <v/>
      </c>
      <c r="F403" s="24" t="str">
        <f>IF(E403&lt;&gt;"",ALcopy!A403,"")</f>
        <v/>
      </c>
      <c r="G403" s="24" t="str">
        <f>IF(E403&lt;&gt;"",ALcopy!F403,"")</f>
        <v/>
      </c>
    </row>
    <row r="404" spans="1:7" ht="15.75" customHeight="1">
      <c r="A404" s="23" t="str">
        <f t="shared" si="19"/>
        <v/>
      </c>
      <c r="B404" t="str">
        <f t="shared" si="20"/>
        <v/>
      </c>
      <c r="C404" s="23" t="str">
        <f t="shared" si="21"/>
        <v/>
      </c>
      <c r="E404" s="24" t="str">
        <f>IF(NOT(ISBLANK(ALcopy!B404)),ALcopy!B404,"")</f>
        <v/>
      </c>
      <c r="F404" s="24" t="str">
        <f>IF(E404&lt;&gt;"",ALcopy!A404,"")</f>
        <v/>
      </c>
      <c r="G404" s="24" t="str">
        <f>IF(E404&lt;&gt;"",ALcopy!F404,"")</f>
        <v/>
      </c>
    </row>
    <row r="405" spans="1:7" ht="15.75" customHeight="1">
      <c r="A405" s="23" t="str">
        <f t="shared" si="19"/>
        <v/>
      </c>
      <c r="B405" t="str">
        <f t="shared" si="20"/>
        <v/>
      </c>
      <c r="C405" s="23" t="str">
        <f t="shared" si="21"/>
        <v/>
      </c>
      <c r="E405" s="24" t="str">
        <f>IF(NOT(ISBLANK(ALcopy!B405)),ALcopy!B405,"")</f>
        <v/>
      </c>
      <c r="F405" s="24" t="str">
        <f>IF(E405&lt;&gt;"",ALcopy!A405,"")</f>
        <v/>
      </c>
      <c r="G405" s="24" t="str">
        <f>IF(E405&lt;&gt;"",ALcopy!F405,"")</f>
        <v/>
      </c>
    </row>
    <row r="406" spans="1:7" ht="15.75" customHeight="1">
      <c r="A406" s="23" t="str">
        <f t="shared" si="19"/>
        <v/>
      </c>
      <c r="B406" t="str">
        <f t="shared" si="20"/>
        <v/>
      </c>
      <c r="C406" s="23" t="str">
        <f t="shared" si="21"/>
        <v/>
      </c>
      <c r="E406" s="24" t="str">
        <f>IF(NOT(ISBLANK(ALcopy!B406)),ALcopy!B406,"")</f>
        <v/>
      </c>
      <c r="F406" s="24" t="str">
        <f>IF(E406&lt;&gt;"",ALcopy!A406,"")</f>
        <v/>
      </c>
      <c r="G406" s="24" t="str">
        <f>IF(E406&lt;&gt;"",ALcopy!F406,"")</f>
        <v/>
      </c>
    </row>
    <row r="407" spans="1:7" ht="15.75" customHeight="1">
      <c r="A407" s="23" t="str">
        <f t="shared" si="19"/>
        <v/>
      </c>
      <c r="B407" t="str">
        <f t="shared" si="20"/>
        <v/>
      </c>
      <c r="C407" s="23" t="str">
        <f t="shared" si="21"/>
        <v/>
      </c>
      <c r="E407" s="24" t="str">
        <f>IF(NOT(ISBLANK(ALcopy!B407)),ALcopy!B407,"")</f>
        <v/>
      </c>
      <c r="F407" s="24" t="str">
        <f>IF(E407&lt;&gt;"",ALcopy!A407,"")</f>
        <v/>
      </c>
      <c r="G407" s="24" t="str">
        <f>IF(E407&lt;&gt;"",ALcopy!F407,"")</f>
        <v/>
      </c>
    </row>
    <row r="408" spans="1:7" ht="15.75" customHeight="1">
      <c r="A408" s="23" t="str">
        <f t="shared" si="19"/>
        <v/>
      </c>
      <c r="B408" t="str">
        <f t="shared" si="20"/>
        <v/>
      </c>
      <c r="C408" s="23" t="str">
        <f t="shared" si="21"/>
        <v/>
      </c>
      <c r="E408" s="24" t="str">
        <f>IF(NOT(ISBLANK(ALcopy!B408)),ALcopy!B408,"")</f>
        <v/>
      </c>
      <c r="F408" s="24" t="str">
        <f>IF(E408&lt;&gt;"",ALcopy!A408,"")</f>
        <v/>
      </c>
      <c r="G408" s="24" t="str">
        <f>IF(E408&lt;&gt;"",ALcopy!F408,"")</f>
        <v/>
      </c>
    </row>
    <row r="409" spans="1:7" ht="15.75" customHeight="1">
      <c r="A409" s="23" t="str">
        <f t="shared" si="19"/>
        <v/>
      </c>
      <c r="B409" t="str">
        <f t="shared" si="20"/>
        <v/>
      </c>
      <c r="C409" s="23" t="str">
        <f t="shared" si="21"/>
        <v/>
      </c>
      <c r="E409" s="24" t="str">
        <f>IF(NOT(ISBLANK(ALcopy!B409)),ALcopy!B409,"")</f>
        <v/>
      </c>
      <c r="F409" s="24" t="str">
        <f>IF(E409&lt;&gt;"",ALcopy!A409,"")</f>
        <v/>
      </c>
      <c r="G409" s="24" t="str">
        <f>IF(E409&lt;&gt;"",ALcopy!F409,"")</f>
        <v/>
      </c>
    </row>
    <row r="410" spans="1:7" ht="15.75" customHeight="1">
      <c r="A410" s="23" t="str">
        <f t="shared" si="19"/>
        <v/>
      </c>
      <c r="B410" t="str">
        <f t="shared" si="20"/>
        <v/>
      </c>
      <c r="C410" s="23" t="str">
        <f t="shared" si="21"/>
        <v/>
      </c>
      <c r="E410" s="24" t="str">
        <f>IF(NOT(ISBLANK(ALcopy!B410)),ALcopy!B410,"")</f>
        <v/>
      </c>
      <c r="F410" s="24" t="str">
        <f>IF(E410&lt;&gt;"",ALcopy!A410,"")</f>
        <v/>
      </c>
      <c r="G410" s="24" t="str">
        <f>IF(E410&lt;&gt;"",ALcopy!F410,"")</f>
        <v/>
      </c>
    </row>
    <row r="411" spans="1:7" ht="15.75" customHeight="1">
      <c r="A411" s="23" t="str">
        <f t="shared" si="19"/>
        <v/>
      </c>
      <c r="B411" t="str">
        <f t="shared" si="20"/>
        <v/>
      </c>
      <c r="C411" s="23" t="str">
        <f t="shared" si="21"/>
        <v/>
      </c>
      <c r="E411" s="24" t="str">
        <f>IF(NOT(ISBLANK(ALcopy!B411)),ALcopy!B411,"")</f>
        <v/>
      </c>
      <c r="F411" s="24" t="str">
        <f>IF(E411&lt;&gt;"",ALcopy!A411,"")</f>
        <v/>
      </c>
      <c r="G411" s="24" t="str">
        <f>IF(E411&lt;&gt;"",ALcopy!F411,"")</f>
        <v/>
      </c>
    </row>
    <row r="412" spans="1:7" ht="15.75" customHeight="1">
      <c r="A412" s="23" t="str">
        <f t="shared" si="19"/>
        <v/>
      </c>
      <c r="B412" t="str">
        <f t="shared" si="20"/>
        <v/>
      </c>
      <c r="C412" s="23" t="str">
        <f t="shared" si="21"/>
        <v/>
      </c>
      <c r="E412" s="24" t="str">
        <f>IF(NOT(ISBLANK(ALcopy!B412)),ALcopy!B412,"")</f>
        <v/>
      </c>
      <c r="F412" s="24" t="str">
        <f>IF(E412&lt;&gt;"",ALcopy!A412,"")</f>
        <v/>
      </c>
      <c r="G412" s="24" t="str">
        <f>IF(E412&lt;&gt;"",ALcopy!F412,"")</f>
        <v/>
      </c>
    </row>
    <row r="413" spans="1:7" ht="15.75" customHeight="1">
      <c r="A413" s="23" t="str">
        <f t="shared" si="19"/>
        <v/>
      </c>
      <c r="B413" t="str">
        <f t="shared" si="20"/>
        <v/>
      </c>
      <c r="C413" s="23" t="str">
        <f t="shared" si="21"/>
        <v/>
      </c>
      <c r="E413" s="24" t="str">
        <f>IF(NOT(ISBLANK(ALcopy!B413)),ALcopy!B413,"")</f>
        <v/>
      </c>
      <c r="F413" s="24" t="str">
        <f>IF(E413&lt;&gt;"",ALcopy!A413,"")</f>
        <v/>
      </c>
      <c r="G413" s="24" t="str">
        <f>IF(E413&lt;&gt;"",ALcopy!F413,"")</f>
        <v/>
      </c>
    </row>
    <row r="414" spans="1:7" ht="15.75" customHeight="1">
      <c r="A414" s="23" t="str">
        <f t="shared" si="19"/>
        <v/>
      </c>
      <c r="B414" t="str">
        <f t="shared" si="20"/>
        <v/>
      </c>
      <c r="C414" s="23" t="str">
        <f t="shared" si="21"/>
        <v/>
      </c>
      <c r="E414" s="24" t="str">
        <f>IF(NOT(ISBLANK(ALcopy!B414)),ALcopy!B414,"")</f>
        <v/>
      </c>
      <c r="F414" s="24" t="str">
        <f>IF(E414&lt;&gt;"",ALcopy!A414,"")</f>
        <v/>
      </c>
      <c r="G414" s="24" t="str">
        <f>IF(E414&lt;&gt;"",ALcopy!F414,"")</f>
        <v/>
      </c>
    </row>
    <row r="415" spans="1:7" ht="15.75" customHeight="1">
      <c r="A415" s="23" t="str">
        <f t="shared" si="19"/>
        <v/>
      </c>
      <c r="B415" t="str">
        <f t="shared" si="20"/>
        <v/>
      </c>
      <c r="C415" s="23" t="str">
        <f t="shared" si="21"/>
        <v/>
      </c>
      <c r="E415" s="24" t="str">
        <f>IF(NOT(ISBLANK(ALcopy!B415)),ALcopy!B415,"")</f>
        <v/>
      </c>
      <c r="F415" s="24" t="str">
        <f>IF(E415&lt;&gt;"",ALcopy!A415,"")</f>
        <v/>
      </c>
      <c r="G415" s="24" t="str">
        <f>IF(E415&lt;&gt;"",ALcopy!F415,"")</f>
        <v/>
      </c>
    </row>
    <row r="416" spans="1:7" ht="15.75" customHeight="1">
      <c r="A416" s="23" t="str">
        <f t="shared" si="19"/>
        <v/>
      </c>
      <c r="B416" t="str">
        <f t="shared" si="20"/>
        <v/>
      </c>
      <c r="C416" s="23" t="str">
        <f t="shared" si="21"/>
        <v/>
      </c>
      <c r="E416" s="24" t="str">
        <f>IF(NOT(ISBLANK(ALcopy!B416)),ALcopy!B416,"")</f>
        <v/>
      </c>
      <c r="F416" s="24" t="str">
        <f>IF(E416&lt;&gt;"",ALcopy!A416,"")</f>
        <v/>
      </c>
      <c r="G416" s="24" t="str">
        <f>IF(E416&lt;&gt;"",ALcopy!F416,"")</f>
        <v/>
      </c>
    </row>
    <row r="417" spans="1:7" ht="15.75" customHeight="1">
      <c r="A417" s="23" t="str">
        <f t="shared" si="19"/>
        <v/>
      </c>
      <c r="B417" t="str">
        <f t="shared" si="20"/>
        <v/>
      </c>
      <c r="C417" s="23" t="str">
        <f t="shared" si="21"/>
        <v/>
      </c>
      <c r="E417" s="24" t="str">
        <f>IF(NOT(ISBLANK(ALcopy!B417)),ALcopy!B417,"")</f>
        <v/>
      </c>
      <c r="F417" s="24" t="str">
        <f>IF(E417&lt;&gt;"",ALcopy!A417,"")</f>
        <v/>
      </c>
      <c r="G417" s="24" t="str">
        <f>IF(E417&lt;&gt;"",ALcopy!F417,"")</f>
        <v/>
      </c>
    </row>
    <row r="418" spans="1:7" ht="15.75" customHeight="1">
      <c r="A418" s="23" t="str">
        <f t="shared" si="19"/>
        <v/>
      </c>
      <c r="B418" t="str">
        <f t="shared" si="20"/>
        <v/>
      </c>
      <c r="C418" s="23" t="str">
        <f t="shared" si="21"/>
        <v/>
      </c>
      <c r="E418" s="24" t="str">
        <f>IF(NOT(ISBLANK(ALcopy!B418)),ALcopy!B418,"")</f>
        <v/>
      </c>
      <c r="F418" s="24" t="str">
        <f>IF(E418&lt;&gt;"",ALcopy!A418,"")</f>
        <v/>
      </c>
      <c r="G418" s="24" t="str">
        <f>IF(E418&lt;&gt;"",ALcopy!F418,"")</f>
        <v/>
      </c>
    </row>
    <row r="419" spans="1:7" ht="15.75" customHeight="1">
      <c r="A419" s="23" t="str">
        <f t="shared" si="19"/>
        <v/>
      </c>
      <c r="B419" t="str">
        <f t="shared" si="20"/>
        <v/>
      </c>
      <c r="C419" s="23" t="str">
        <f t="shared" si="21"/>
        <v/>
      </c>
      <c r="E419" s="24" t="str">
        <f>IF(NOT(ISBLANK(ALcopy!B419)),ALcopy!B419,"")</f>
        <v/>
      </c>
      <c r="F419" s="24" t="str">
        <f>IF(E419&lt;&gt;"",ALcopy!A419,"")</f>
        <v/>
      </c>
      <c r="G419" s="24" t="str">
        <f>IF(E419&lt;&gt;"",ALcopy!F419,"")</f>
        <v/>
      </c>
    </row>
    <row r="420" spans="1:7" ht="15.75" customHeight="1">
      <c r="A420" s="23" t="str">
        <f t="shared" si="19"/>
        <v/>
      </c>
      <c r="B420" t="str">
        <f t="shared" si="20"/>
        <v/>
      </c>
      <c r="C420" s="23" t="str">
        <f t="shared" si="21"/>
        <v/>
      </c>
      <c r="E420" s="24" t="str">
        <f>IF(NOT(ISBLANK(ALcopy!B420)),ALcopy!B420,"")</f>
        <v/>
      </c>
      <c r="F420" s="24" t="str">
        <f>IF(E420&lt;&gt;"",ALcopy!A420,"")</f>
        <v/>
      </c>
      <c r="G420" s="24" t="str">
        <f>IF(E420&lt;&gt;"",ALcopy!F420,"")</f>
        <v/>
      </c>
    </row>
    <row r="421" spans="1:7" ht="15.75" customHeight="1">
      <c r="A421" s="23" t="str">
        <f t="shared" si="19"/>
        <v/>
      </c>
      <c r="B421" t="str">
        <f t="shared" si="20"/>
        <v/>
      </c>
      <c r="C421" s="23" t="str">
        <f t="shared" si="21"/>
        <v/>
      </c>
      <c r="E421" s="24" t="str">
        <f>IF(NOT(ISBLANK(ALcopy!B421)),ALcopy!B421,"")</f>
        <v/>
      </c>
      <c r="F421" s="24" t="str">
        <f>IF(E421&lt;&gt;"",ALcopy!A421,"")</f>
        <v/>
      </c>
      <c r="G421" s="24" t="str">
        <f>IF(E421&lt;&gt;"",ALcopy!F421,"")</f>
        <v/>
      </c>
    </row>
    <row r="422" spans="1:7" ht="15.75" customHeight="1">
      <c r="A422" s="23" t="str">
        <f t="shared" si="19"/>
        <v/>
      </c>
      <c r="B422" t="str">
        <f t="shared" si="20"/>
        <v/>
      </c>
      <c r="C422" s="23" t="str">
        <f t="shared" si="21"/>
        <v/>
      </c>
      <c r="E422" s="24" t="str">
        <f>IF(NOT(ISBLANK(ALcopy!B422)),ALcopy!B422,"")</f>
        <v/>
      </c>
      <c r="F422" s="24" t="str">
        <f>IF(E422&lt;&gt;"",ALcopy!A422,"")</f>
        <v/>
      </c>
      <c r="G422" s="24" t="str">
        <f>IF(E422&lt;&gt;"",ALcopy!F422,"")</f>
        <v/>
      </c>
    </row>
    <row r="423" spans="1:7" ht="15.75" customHeight="1">
      <c r="A423" s="23" t="str">
        <f t="shared" si="19"/>
        <v/>
      </c>
      <c r="B423" t="str">
        <f t="shared" si="20"/>
        <v/>
      </c>
      <c r="C423" s="23" t="str">
        <f t="shared" si="21"/>
        <v/>
      </c>
      <c r="E423" s="24" t="str">
        <f>IF(NOT(ISBLANK(ALcopy!B423)),ALcopy!B423,"")</f>
        <v/>
      </c>
      <c r="F423" s="24" t="str">
        <f>IF(E423&lt;&gt;"",ALcopy!A423,"")</f>
        <v/>
      </c>
      <c r="G423" s="24" t="str">
        <f>IF(E423&lt;&gt;"",ALcopy!F423,"")</f>
        <v/>
      </c>
    </row>
    <row r="424" spans="1:7" ht="15.75" customHeight="1">
      <c r="A424" s="23" t="str">
        <f t="shared" si="19"/>
        <v/>
      </c>
      <c r="B424" t="str">
        <f t="shared" si="20"/>
        <v/>
      </c>
      <c r="C424" s="23" t="str">
        <f t="shared" si="21"/>
        <v/>
      </c>
      <c r="E424" s="24" t="str">
        <f>IF(NOT(ISBLANK(ALcopy!B424)),ALcopy!B424,"")</f>
        <v/>
      </c>
      <c r="F424" s="24" t="str">
        <f>IF(E424&lt;&gt;"",ALcopy!A424,"")</f>
        <v/>
      </c>
      <c r="G424" s="24" t="str">
        <f>IF(E424&lt;&gt;"",ALcopy!F424,"")</f>
        <v/>
      </c>
    </row>
    <row r="425" spans="1:7" ht="15.75" customHeight="1">
      <c r="A425" s="23" t="str">
        <f t="shared" si="19"/>
        <v/>
      </c>
      <c r="B425" t="str">
        <f t="shared" si="20"/>
        <v/>
      </c>
      <c r="C425" s="23" t="str">
        <f t="shared" si="21"/>
        <v/>
      </c>
      <c r="E425" s="24" t="str">
        <f>IF(NOT(ISBLANK(ALcopy!B425)),ALcopy!B425,"")</f>
        <v/>
      </c>
      <c r="F425" s="24" t="str">
        <f>IF(E425&lt;&gt;"",ALcopy!A425,"")</f>
        <v/>
      </c>
      <c r="G425" s="24" t="str">
        <f>IF(E425&lt;&gt;"",ALcopy!F425,"")</f>
        <v/>
      </c>
    </row>
    <row r="426" spans="1:7" ht="15.75" customHeight="1">
      <c r="A426" s="23" t="str">
        <f t="shared" si="19"/>
        <v/>
      </c>
      <c r="B426" t="str">
        <f t="shared" si="20"/>
        <v/>
      </c>
      <c r="C426" s="23" t="str">
        <f t="shared" si="21"/>
        <v/>
      </c>
      <c r="E426" s="24" t="str">
        <f>IF(NOT(ISBLANK(ALcopy!B426)),ALcopy!B426,"")</f>
        <v/>
      </c>
      <c r="F426" s="24" t="str">
        <f>IF(E426&lt;&gt;"",ALcopy!A426,"")</f>
        <v/>
      </c>
      <c r="G426" s="24" t="str">
        <f>IF(E426&lt;&gt;"",ALcopy!F426,"")</f>
        <v/>
      </c>
    </row>
    <row r="427" spans="1:7" ht="15.75" customHeight="1">
      <c r="A427" s="23" t="str">
        <f t="shared" si="19"/>
        <v/>
      </c>
      <c r="B427" t="str">
        <f t="shared" si="20"/>
        <v/>
      </c>
      <c r="C427" s="23" t="str">
        <f t="shared" si="21"/>
        <v/>
      </c>
      <c r="E427" s="24" t="str">
        <f>IF(NOT(ISBLANK(ALcopy!B427)),ALcopy!B427,"")</f>
        <v/>
      </c>
      <c r="F427" s="24" t="str">
        <f>IF(E427&lt;&gt;"",ALcopy!A427,"")</f>
        <v/>
      </c>
      <c r="G427" s="24" t="str">
        <f>IF(E427&lt;&gt;"",ALcopy!F427,"")</f>
        <v/>
      </c>
    </row>
    <row r="428" spans="1:7" ht="15.75" customHeight="1">
      <c r="A428" s="23" t="str">
        <f t="shared" si="19"/>
        <v/>
      </c>
      <c r="B428" t="str">
        <f t="shared" si="20"/>
        <v/>
      </c>
      <c r="C428" s="23" t="str">
        <f t="shared" si="21"/>
        <v/>
      </c>
      <c r="E428" s="24" t="str">
        <f>IF(NOT(ISBLANK(ALcopy!B428)),ALcopy!B428,"")</f>
        <v/>
      </c>
      <c r="F428" s="24" t="str">
        <f>IF(E428&lt;&gt;"",ALcopy!A428,"")</f>
        <v/>
      </c>
      <c r="G428" s="24" t="str">
        <f>IF(E428&lt;&gt;"",ALcopy!F428,"")</f>
        <v/>
      </c>
    </row>
    <row r="429" spans="1:7" ht="15.75" customHeight="1">
      <c r="A429" s="23" t="str">
        <f t="shared" si="19"/>
        <v/>
      </c>
      <c r="B429" t="str">
        <f t="shared" si="20"/>
        <v/>
      </c>
      <c r="C429" s="23" t="str">
        <f t="shared" si="21"/>
        <v/>
      </c>
      <c r="E429" s="24" t="str">
        <f>IF(NOT(ISBLANK(ALcopy!B429)),ALcopy!B429,"")</f>
        <v/>
      </c>
      <c r="F429" s="24" t="str">
        <f>IF(E429&lt;&gt;"",ALcopy!A429,"")</f>
        <v/>
      </c>
      <c r="G429" s="24" t="str">
        <f>IF(E429&lt;&gt;"",ALcopy!F429,"")</f>
        <v/>
      </c>
    </row>
    <row r="430" spans="1:7" ht="15.75" customHeight="1">
      <c r="A430" s="23" t="str">
        <f t="shared" si="19"/>
        <v/>
      </c>
      <c r="B430" t="str">
        <f t="shared" si="20"/>
        <v/>
      </c>
      <c r="C430" s="23" t="str">
        <f t="shared" si="21"/>
        <v/>
      </c>
      <c r="E430" s="24" t="str">
        <f>IF(NOT(ISBLANK(ALcopy!B430)),ALcopy!B430,"")</f>
        <v/>
      </c>
      <c r="F430" s="24" t="str">
        <f>IF(E430&lt;&gt;"",ALcopy!A430,"")</f>
        <v/>
      </c>
      <c r="G430" s="24" t="str">
        <f>IF(E430&lt;&gt;"",ALcopy!F430,"")</f>
        <v/>
      </c>
    </row>
    <row r="431" spans="1:7" ht="15.75" customHeight="1">
      <c r="A431" s="23" t="str">
        <f t="shared" si="19"/>
        <v/>
      </c>
      <c r="B431" t="str">
        <f t="shared" si="20"/>
        <v/>
      </c>
      <c r="C431" s="23" t="str">
        <f t="shared" si="21"/>
        <v/>
      </c>
      <c r="E431" s="24" t="str">
        <f>IF(NOT(ISBLANK(ALcopy!B431)),ALcopy!B431,"")</f>
        <v/>
      </c>
      <c r="F431" s="24" t="str">
        <f>IF(E431&lt;&gt;"",ALcopy!A431,"")</f>
        <v/>
      </c>
      <c r="G431" s="24" t="str">
        <f>IF(E431&lt;&gt;"",ALcopy!F431,"")</f>
        <v/>
      </c>
    </row>
    <row r="432" spans="1:7" ht="15.75" customHeight="1">
      <c r="A432" s="23" t="str">
        <f t="shared" si="19"/>
        <v/>
      </c>
      <c r="B432" t="str">
        <f t="shared" si="20"/>
        <v/>
      </c>
      <c r="C432" s="23" t="str">
        <f t="shared" si="21"/>
        <v/>
      </c>
      <c r="E432" s="24" t="str">
        <f>IF(NOT(ISBLANK(ALcopy!B432)),ALcopy!B432,"")</f>
        <v/>
      </c>
      <c r="F432" s="24" t="str">
        <f>IF(E432&lt;&gt;"",ALcopy!A432,"")</f>
        <v/>
      </c>
      <c r="G432" s="24" t="str">
        <f>IF(E432&lt;&gt;"",ALcopy!F432,"")</f>
        <v/>
      </c>
    </row>
    <row r="433" spans="1:7" ht="15.75" customHeight="1">
      <c r="A433" s="23" t="str">
        <f t="shared" si="19"/>
        <v/>
      </c>
      <c r="B433" t="str">
        <f t="shared" si="20"/>
        <v/>
      </c>
      <c r="C433" s="23" t="str">
        <f t="shared" si="21"/>
        <v/>
      </c>
      <c r="E433" s="24" t="str">
        <f>IF(NOT(ISBLANK(ALcopy!B433)),ALcopy!B433,"")</f>
        <v/>
      </c>
      <c r="F433" s="24" t="str">
        <f>IF(E433&lt;&gt;"",ALcopy!A433,"")</f>
        <v/>
      </c>
      <c r="G433" s="24" t="str">
        <f>IF(E433&lt;&gt;"",ALcopy!F433,"")</f>
        <v/>
      </c>
    </row>
    <row r="434" spans="1:7" ht="15.75" customHeight="1">
      <c r="A434" s="23" t="str">
        <f t="shared" si="19"/>
        <v/>
      </c>
      <c r="B434" t="str">
        <f t="shared" si="20"/>
        <v/>
      </c>
      <c r="C434" s="23" t="str">
        <f t="shared" si="21"/>
        <v/>
      </c>
      <c r="E434" s="24" t="str">
        <f>IF(NOT(ISBLANK(ALcopy!B434)),ALcopy!B434,"")</f>
        <v/>
      </c>
      <c r="F434" s="24" t="str">
        <f>IF(E434&lt;&gt;"",ALcopy!A434,"")</f>
        <v/>
      </c>
      <c r="G434" s="24" t="str">
        <f>IF(E434&lt;&gt;"",ALcopy!F434,"")</f>
        <v/>
      </c>
    </row>
    <row r="435" spans="1:7" ht="15.75" customHeight="1">
      <c r="A435" s="23" t="str">
        <f t="shared" si="19"/>
        <v/>
      </c>
      <c r="B435" t="str">
        <f t="shared" si="20"/>
        <v/>
      </c>
      <c r="C435" s="23" t="str">
        <f t="shared" si="21"/>
        <v/>
      </c>
      <c r="E435" s="24" t="str">
        <f>IF(NOT(ISBLANK(ALcopy!B435)),ALcopy!B435,"")</f>
        <v/>
      </c>
      <c r="F435" s="24" t="str">
        <f>IF(E435&lt;&gt;"",ALcopy!A435,"")</f>
        <v/>
      </c>
      <c r="G435" s="24" t="str">
        <f>IF(E435&lt;&gt;"",ALcopy!F435,"")</f>
        <v/>
      </c>
    </row>
    <row r="436" spans="1:7" ht="15.75" customHeight="1">
      <c r="A436" s="23" t="str">
        <f t="shared" si="19"/>
        <v/>
      </c>
      <c r="B436" t="str">
        <f t="shared" si="20"/>
        <v/>
      </c>
      <c r="C436" s="23" t="str">
        <f t="shared" si="21"/>
        <v/>
      </c>
      <c r="E436" s="24" t="str">
        <f>IF(NOT(ISBLANK(ALcopy!B436)),ALcopy!B436,"")</f>
        <v/>
      </c>
      <c r="F436" s="24" t="str">
        <f>IF(E436&lt;&gt;"",ALcopy!A436,"")</f>
        <v/>
      </c>
      <c r="G436" s="24" t="str">
        <f>IF(E436&lt;&gt;"",ALcopy!F436,"")</f>
        <v/>
      </c>
    </row>
    <row r="437" spans="1:7" ht="15.75" customHeight="1">
      <c r="A437" s="23" t="str">
        <f t="shared" si="19"/>
        <v/>
      </c>
      <c r="B437" t="str">
        <f t="shared" si="20"/>
        <v/>
      </c>
      <c r="C437" s="23" t="str">
        <f t="shared" si="21"/>
        <v/>
      </c>
      <c r="E437" s="24" t="str">
        <f>IF(NOT(ISBLANK(ALcopy!B437)),ALcopy!B437,"")</f>
        <v/>
      </c>
      <c r="F437" s="24" t="str">
        <f>IF(E437&lt;&gt;"",ALcopy!A437,"")</f>
        <v/>
      </c>
      <c r="G437" s="24" t="str">
        <f>IF(E437&lt;&gt;"",ALcopy!F437,"")</f>
        <v/>
      </c>
    </row>
    <row r="438" spans="1:7" ht="15.75" customHeight="1">
      <c r="A438" s="23" t="str">
        <f t="shared" si="19"/>
        <v/>
      </c>
      <c r="B438" t="str">
        <f t="shared" si="20"/>
        <v/>
      </c>
      <c r="C438" s="23" t="str">
        <f t="shared" si="21"/>
        <v/>
      </c>
      <c r="E438" s="24" t="str">
        <f>IF(NOT(ISBLANK(ALcopy!B438)),ALcopy!B438,"")</f>
        <v/>
      </c>
      <c r="F438" s="24" t="str">
        <f>IF(E438&lt;&gt;"",ALcopy!A438,"")</f>
        <v/>
      </c>
      <c r="G438" s="24" t="str">
        <f>IF(E438&lt;&gt;"",ALcopy!F438,"")</f>
        <v/>
      </c>
    </row>
    <row r="439" spans="1:7" ht="15.75" customHeight="1">
      <c r="A439" s="23" t="str">
        <f t="shared" si="19"/>
        <v/>
      </c>
      <c r="B439" t="str">
        <f t="shared" si="20"/>
        <v/>
      </c>
      <c r="C439" s="23" t="str">
        <f t="shared" si="21"/>
        <v/>
      </c>
      <c r="E439" s="24" t="str">
        <f>IF(NOT(ISBLANK(ALcopy!B439)),ALcopy!B439,"")</f>
        <v/>
      </c>
      <c r="F439" s="24" t="str">
        <f>IF(E439&lt;&gt;"",ALcopy!A439,"")</f>
        <v/>
      </c>
      <c r="G439" s="24" t="str">
        <f>IF(E439&lt;&gt;"",ALcopy!F439,"")</f>
        <v/>
      </c>
    </row>
    <row r="440" spans="1:7" ht="15.75" customHeight="1">
      <c r="A440" s="23" t="str">
        <f t="shared" si="19"/>
        <v/>
      </c>
      <c r="B440" t="str">
        <f t="shared" si="20"/>
        <v/>
      </c>
      <c r="C440" s="23" t="str">
        <f t="shared" si="21"/>
        <v/>
      </c>
      <c r="E440" s="24" t="str">
        <f>IF(NOT(ISBLANK(ALcopy!B440)),ALcopy!B440,"")</f>
        <v/>
      </c>
      <c r="F440" s="24" t="str">
        <f>IF(E440&lt;&gt;"",ALcopy!A440,"")</f>
        <v/>
      </c>
      <c r="G440" s="24" t="str">
        <f>IF(E440&lt;&gt;"",ALcopy!F440,"")</f>
        <v/>
      </c>
    </row>
    <row r="441" spans="1:7" ht="15.75" customHeight="1">
      <c r="A441" s="23" t="str">
        <f t="shared" si="19"/>
        <v/>
      </c>
      <c r="B441" t="str">
        <f t="shared" si="20"/>
        <v/>
      </c>
      <c r="C441" s="23" t="str">
        <f t="shared" si="21"/>
        <v/>
      </c>
      <c r="E441" s="24" t="str">
        <f>IF(NOT(ISBLANK(ALcopy!B441)),ALcopy!B441,"")</f>
        <v/>
      </c>
      <c r="F441" s="24" t="str">
        <f>IF(E441&lt;&gt;"",ALcopy!A441,"")</f>
        <v/>
      </c>
      <c r="G441" s="24" t="str">
        <f>IF(E441&lt;&gt;"",ALcopy!F441,"")</f>
        <v/>
      </c>
    </row>
    <row r="442" spans="1:7" ht="15.75" customHeight="1">
      <c r="A442" s="23" t="str">
        <f t="shared" si="19"/>
        <v/>
      </c>
      <c r="B442" t="str">
        <f t="shared" si="20"/>
        <v/>
      </c>
      <c r="C442" s="23" t="str">
        <f t="shared" si="21"/>
        <v/>
      </c>
      <c r="E442" s="24" t="str">
        <f>IF(NOT(ISBLANK(ALcopy!B442)),ALcopy!B442,"")</f>
        <v/>
      </c>
      <c r="F442" s="24" t="str">
        <f>IF(E442&lt;&gt;"",ALcopy!A442,"")</f>
        <v/>
      </c>
      <c r="G442" s="24" t="str">
        <f>IF(E442&lt;&gt;"",ALcopy!F442,"")</f>
        <v/>
      </c>
    </row>
    <row r="443" spans="1:7" ht="15.75" customHeight="1">
      <c r="A443" s="23" t="str">
        <f t="shared" si="19"/>
        <v/>
      </c>
      <c r="B443" t="str">
        <f t="shared" si="20"/>
        <v/>
      </c>
      <c r="C443" s="23" t="str">
        <f t="shared" si="21"/>
        <v/>
      </c>
      <c r="E443" s="24" t="str">
        <f>IF(NOT(ISBLANK(ALcopy!B443)),ALcopy!B443,"")</f>
        <v/>
      </c>
      <c r="F443" s="24" t="str">
        <f>IF(E443&lt;&gt;"",ALcopy!A443,"")</f>
        <v/>
      </c>
      <c r="G443" s="24" t="str">
        <f>IF(E443&lt;&gt;"",ALcopy!F443,"")</f>
        <v/>
      </c>
    </row>
    <row r="444" spans="1:7" ht="15.75" customHeight="1">
      <c r="A444" s="23" t="str">
        <f t="shared" si="19"/>
        <v/>
      </c>
      <c r="B444" t="str">
        <f t="shared" si="20"/>
        <v/>
      </c>
      <c r="C444" s="23" t="str">
        <f t="shared" si="21"/>
        <v/>
      </c>
      <c r="E444" s="24" t="str">
        <f>IF(NOT(ISBLANK(ALcopy!B444)),ALcopy!B444,"")</f>
        <v/>
      </c>
      <c r="F444" s="24" t="str">
        <f>IF(E444&lt;&gt;"",ALcopy!A444,"")</f>
        <v/>
      </c>
      <c r="G444" s="24" t="str">
        <f>IF(E444&lt;&gt;"",ALcopy!F444,"")</f>
        <v/>
      </c>
    </row>
    <row r="445" spans="1:7" ht="15.75" customHeight="1">
      <c r="A445" s="23" t="str">
        <f t="shared" si="19"/>
        <v/>
      </c>
      <c r="B445" t="str">
        <f t="shared" si="20"/>
        <v/>
      </c>
      <c r="C445" s="23" t="str">
        <f t="shared" si="21"/>
        <v/>
      </c>
      <c r="E445" s="24" t="str">
        <f>IF(NOT(ISBLANK(ALcopy!B445)),ALcopy!B445,"")</f>
        <v/>
      </c>
      <c r="F445" s="24" t="str">
        <f>IF(E445&lt;&gt;"",ALcopy!A445,"")</f>
        <v/>
      </c>
      <c r="G445" s="24" t="str">
        <f>IF(E445&lt;&gt;"",ALcopy!F445,"")</f>
        <v/>
      </c>
    </row>
    <row r="446" spans="1:7" ht="15.75" customHeight="1">
      <c r="A446" s="23" t="str">
        <f t="shared" si="19"/>
        <v/>
      </c>
      <c r="B446" t="str">
        <f t="shared" si="20"/>
        <v/>
      </c>
      <c r="C446" s="23" t="str">
        <f t="shared" si="21"/>
        <v/>
      </c>
      <c r="E446" s="24" t="str">
        <f>IF(NOT(ISBLANK(ALcopy!B446)),ALcopy!B446,"")</f>
        <v/>
      </c>
      <c r="F446" s="24" t="str">
        <f>IF(E446&lt;&gt;"",ALcopy!A446,"")</f>
        <v/>
      </c>
      <c r="G446" s="24" t="str">
        <f>IF(E446&lt;&gt;"",ALcopy!F446,"")</f>
        <v/>
      </c>
    </row>
    <row r="447" spans="1:7" ht="15.75" customHeight="1">
      <c r="A447" s="23" t="str">
        <f t="shared" si="19"/>
        <v/>
      </c>
      <c r="B447" t="str">
        <f t="shared" si="20"/>
        <v/>
      </c>
      <c r="C447" s="23" t="str">
        <f t="shared" si="21"/>
        <v/>
      </c>
      <c r="E447" s="24" t="str">
        <f>IF(NOT(ISBLANK(ALcopy!B447)),ALcopy!B447,"")</f>
        <v/>
      </c>
      <c r="F447" s="24" t="str">
        <f>IF(E447&lt;&gt;"",ALcopy!A447,"")</f>
        <v/>
      </c>
      <c r="G447" s="24" t="str">
        <f>IF(E447&lt;&gt;"",ALcopy!F447,"")</f>
        <v/>
      </c>
    </row>
    <row r="448" spans="1:7" ht="15.75" customHeight="1">
      <c r="A448" s="23" t="str">
        <f t="shared" si="19"/>
        <v/>
      </c>
      <c r="B448" t="str">
        <f t="shared" si="20"/>
        <v/>
      </c>
      <c r="C448" s="23" t="str">
        <f t="shared" si="21"/>
        <v/>
      </c>
      <c r="E448" s="24" t="str">
        <f>IF(NOT(ISBLANK(ALcopy!B448)),ALcopy!B448,"")</f>
        <v/>
      </c>
      <c r="F448" s="24" t="str">
        <f>IF(E448&lt;&gt;"",ALcopy!A448,"")</f>
        <v/>
      </c>
      <c r="G448" s="24" t="str">
        <f>IF(E448&lt;&gt;"",ALcopy!F448,"")</f>
        <v/>
      </c>
    </row>
    <row r="449" spans="1:7" ht="15.75" customHeight="1">
      <c r="A449" s="23" t="str">
        <f t="shared" si="19"/>
        <v/>
      </c>
      <c r="B449" t="str">
        <f t="shared" si="20"/>
        <v/>
      </c>
      <c r="C449" s="23" t="str">
        <f t="shared" si="21"/>
        <v/>
      </c>
      <c r="E449" s="24" t="str">
        <f>IF(NOT(ISBLANK(ALcopy!B449)),ALcopy!B449,"")</f>
        <v/>
      </c>
      <c r="F449" s="24" t="str">
        <f>IF(E449&lt;&gt;"",ALcopy!A449,"")</f>
        <v/>
      </c>
      <c r="G449" s="24" t="str">
        <f>IF(E449&lt;&gt;"",ALcopy!F449,"")</f>
        <v/>
      </c>
    </row>
    <row r="450" spans="1:7" ht="15.75" customHeight="1">
      <c r="A450" s="23" t="str">
        <f t="shared" si="19"/>
        <v/>
      </c>
      <c r="B450" t="str">
        <f t="shared" si="20"/>
        <v/>
      </c>
      <c r="C450" s="23" t="str">
        <f t="shared" si="21"/>
        <v/>
      </c>
      <c r="E450" s="24" t="str">
        <f>IF(NOT(ISBLANK(ALcopy!B450)),ALcopy!B450,"")</f>
        <v/>
      </c>
      <c r="F450" s="24" t="str">
        <f>IF(E450&lt;&gt;"",ALcopy!A450,"")</f>
        <v/>
      </c>
      <c r="G450" s="24" t="str">
        <f>IF(E450&lt;&gt;"",ALcopy!F450,"")</f>
        <v/>
      </c>
    </row>
    <row r="451" spans="1:7" ht="15.75" customHeight="1">
      <c r="A451" s="23" t="str">
        <f t="shared" ref="A451:A500" si="22">IF(E451&lt;&gt;"",DATEVALUE(LEFT(E451,10)),"")</f>
        <v/>
      </c>
      <c r="B451" t="str">
        <f t="shared" ref="B451:B500" si="23">IF(LEN(F451)&gt;3,RIGHT(F451,LEN(F451)-3),"")</f>
        <v/>
      </c>
      <c r="C451" s="23" t="str">
        <f t="shared" ref="C451:C500" si="24">IF(E451&lt;&gt;"",DATEVALUE(LEFT(G451,10)),"")</f>
        <v/>
      </c>
      <c r="E451" s="24" t="str">
        <f>IF(NOT(ISBLANK(ALcopy!B451)),ALcopy!B451,"")</f>
        <v/>
      </c>
      <c r="F451" s="24" t="str">
        <f>IF(E451&lt;&gt;"",ALcopy!A451,"")</f>
        <v/>
      </c>
      <c r="G451" s="24" t="str">
        <f>IF(E451&lt;&gt;"",ALcopy!F451,"")</f>
        <v/>
      </c>
    </row>
    <row r="452" spans="1:7" ht="15.75" customHeight="1">
      <c r="A452" s="23" t="str">
        <f t="shared" si="22"/>
        <v/>
      </c>
      <c r="B452" t="str">
        <f t="shared" si="23"/>
        <v/>
      </c>
      <c r="C452" s="23" t="str">
        <f t="shared" si="24"/>
        <v/>
      </c>
      <c r="E452" s="24" t="str">
        <f>IF(NOT(ISBLANK(ALcopy!B452)),ALcopy!B452,"")</f>
        <v/>
      </c>
      <c r="F452" s="24" t="str">
        <f>IF(E452&lt;&gt;"",ALcopy!A452,"")</f>
        <v/>
      </c>
      <c r="G452" s="24" t="str">
        <f>IF(E452&lt;&gt;"",ALcopy!F452,"")</f>
        <v/>
      </c>
    </row>
    <row r="453" spans="1:7" ht="15.75" customHeight="1">
      <c r="A453" s="23" t="str">
        <f t="shared" si="22"/>
        <v/>
      </c>
      <c r="B453" t="str">
        <f t="shared" si="23"/>
        <v/>
      </c>
      <c r="C453" s="23" t="str">
        <f t="shared" si="24"/>
        <v/>
      </c>
      <c r="E453" s="24" t="str">
        <f>IF(NOT(ISBLANK(ALcopy!B453)),ALcopy!B453,"")</f>
        <v/>
      </c>
      <c r="F453" s="24" t="str">
        <f>IF(E453&lt;&gt;"",ALcopy!A453,"")</f>
        <v/>
      </c>
      <c r="G453" s="24" t="str">
        <f>IF(E453&lt;&gt;"",ALcopy!F453,"")</f>
        <v/>
      </c>
    </row>
    <row r="454" spans="1:7" ht="15.75" customHeight="1">
      <c r="A454" s="23" t="str">
        <f t="shared" si="22"/>
        <v/>
      </c>
      <c r="B454" t="str">
        <f t="shared" si="23"/>
        <v/>
      </c>
      <c r="C454" s="23" t="str">
        <f t="shared" si="24"/>
        <v/>
      </c>
      <c r="E454" s="24" t="str">
        <f>IF(NOT(ISBLANK(ALcopy!B454)),ALcopy!B454,"")</f>
        <v/>
      </c>
      <c r="F454" s="24" t="str">
        <f>IF(E454&lt;&gt;"",ALcopy!A454,"")</f>
        <v/>
      </c>
      <c r="G454" s="24" t="str">
        <f>IF(E454&lt;&gt;"",ALcopy!F454,"")</f>
        <v/>
      </c>
    </row>
    <row r="455" spans="1:7" ht="15.75" customHeight="1">
      <c r="A455" s="23" t="str">
        <f t="shared" si="22"/>
        <v/>
      </c>
      <c r="B455" t="str">
        <f t="shared" si="23"/>
        <v/>
      </c>
      <c r="C455" s="23" t="str">
        <f t="shared" si="24"/>
        <v/>
      </c>
      <c r="E455" s="24" t="str">
        <f>IF(NOT(ISBLANK(ALcopy!B455)),ALcopy!B455,"")</f>
        <v/>
      </c>
      <c r="F455" s="24" t="str">
        <f>IF(E455&lt;&gt;"",ALcopy!A455,"")</f>
        <v/>
      </c>
      <c r="G455" s="24" t="str">
        <f>IF(E455&lt;&gt;"",ALcopy!F455,"")</f>
        <v/>
      </c>
    </row>
    <row r="456" spans="1:7" ht="15.75" customHeight="1">
      <c r="A456" s="23" t="str">
        <f t="shared" si="22"/>
        <v/>
      </c>
      <c r="B456" t="str">
        <f t="shared" si="23"/>
        <v/>
      </c>
      <c r="C456" s="23" t="str">
        <f t="shared" si="24"/>
        <v/>
      </c>
      <c r="E456" s="24" t="str">
        <f>IF(NOT(ISBLANK(ALcopy!B456)),ALcopy!B456,"")</f>
        <v/>
      </c>
      <c r="F456" s="24" t="str">
        <f>IF(E456&lt;&gt;"",ALcopy!A456,"")</f>
        <v/>
      </c>
      <c r="G456" s="24" t="str">
        <f>IF(E456&lt;&gt;"",ALcopy!F456,"")</f>
        <v/>
      </c>
    </row>
    <row r="457" spans="1:7" ht="15.75" customHeight="1">
      <c r="A457" s="23" t="str">
        <f t="shared" si="22"/>
        <v/>
      </c>
      <c r="B457" t="str">
        <f t="shared" si="23"/>
        <v/>
      </c>
      <c r="C457" s="23" t="str">
        <f t="shared" si="24"/>
        <v/>
      </c>
      <c r="E457" s="24" t="str">
        <f>IF(NOT(ISBLANK(ALcopy!B457)),ALcopy!B457,"")</f>
        <v/>
      </c>
      <c r="F457" s="24" t="str">
        <f>IF(E457&lt;&gt;"",ALcopy!A457,"")</f>
        <v/>
      </c>
      <c r="G457" s="24" t="str">
        <f>IF(E457&lt;&gt;"",ALcopy!F457,"")</f>
        <v/>
      </c>
    </row>
    <row r="458" spans="1:7" ht="15.75" customHeight="1">
      <c r="A458" s="23" t="str">
        <f t="shared" si="22"/>
        <v/>
      </c>
      <c r="B458" t="str">
        <f t="shared" si="23"/>
        <v/>
      </c>
      <c r="C458" s="23" t="str">
        <f t="shared" si="24"/>
        <v/>
      </c>
      <c r="E458" s="24" t="str">
        <f>IF(NOT(ISBLANK(ALcopy!B458)),ALcopy!B458,"")</f>
        <v/>
      </c>
      <c r="F458" s="24" t="str">
        <f>IF(E458&lt;&gt;"",ALcopy!A458,"")</f>
        <v/>
      </c>
      <c r="G458" s="24" t="str">
        <f>IF(E458&lt;&gt;"",ALcopy!F458,"")</f>
        <v/>
      </c>
    </row>
    <row r="459" spans="1:7" ht="15.75" customHeight="1">
      <c r="A459" s="23" t="str">
        <f t="shared" si="22"/>
        <v/>
      </c>
      <c r="B459" t="str">
        <f t="shared" si="23"/>
        <v/>
      </c>
      <c r="C459" s="23" t="str">
        <f t="shared" si="24"/>
        <v/>
      </c>
      <c r="E459" s="24" t="str">
        <f>IF(NOT(ISBLANK(ALcopy!B459)),ALcopy!B459,"")</f>
        <v/>
      </c>
      <c r="F459" s="24" t="str">
        <f>IF(E459&lt;&gt;"",ALcopy!A459,"")</f>
        <v/>
      </c>
      <c r="G459" s="24" t="str">
        <f>IF(E459&lt;&gt;"",ALcopy!F459,"")</f>
        <v/>
      </c>
    </row>
    <row r="460" spans="1:7" ht="15.75" customHeight="1">
      <c r="A460" s="23" t="str">
        <f t="shared" si="22"/>
        <v/>
      </c>
      <c r="B460" t="str">
        <f t="shared" si="23"/>
        <v/>
      </c>
      <c r="C460" s="23" t="str">
        <f t="shared" si="24"/>
        <v/>
      </c>
      <c r="E460" s="24" t="str">
        <f>IF(NOT(ISBLANK(ALcopy!B460)),ALcopy!B460,"")</f>
        <v/>
      </c>
      <c r="F460" s="24" t="str">
        <f>IF(E460&lt;&gt;"",ALcopy!A460,"")</f>
        <v/>
      </c>
      <c r="G460" s="24" t="str">
        <f>IF(E460&lt;&gt;"",ALcopy!F460,"")</f>
        <v/>
      </c>
    </row>
    <row r="461" spans="1:7" ht="15.75" customHeight="1">
      <c r="A461" s="23" t="str">
        <f t="shared" si="22"/>
        <v/>
      </c>
      <c r="B461" t="str">
        <f t="shared" si="23"/>
        <v/>
      </c>
      <c r="C461" s="23" t="str">
        <f t="shared" si="24"/>
        <v/>
      </c>
      <c r="E461" s="24" t="str">
        <f>IF(NOT(ISBLANK(ALcopy!B461)),ALcopy!B461,"")</f>
        <v/>
      </c>
      <c r="F461" s="24" t="str">
        <f>IF(E461&lt;&gt;"",ALcopy!A461,"")</f>
        <v/>
      </c>
      <c r="G461" s="24" t="str">
        <f>IF(E461&lt;&gt;"",ALcopy!F461,"")</f>
        <v/>
      </c>
    </row>
    <row r="462" spans="1:7" ht="15.75" customHeight="1">
      <c r="A462" s="23" t="str">
        <f t="shared" si="22"/>
        <v/>
      </c>
      <c r="B462" t="str">
        <f t="shared" si="23"/>
        <v/>
      </c>
      <c r="C462" s="23" t="str">
        <f t="shared" si="24"/>
        <v/>
      </c>
      <c r="E462" s="24" t="str">
        <f>IF(NOT(ISBLANK(ALcopy!B462)),ALcopy!B462,"")</f>
        <v/>
      </c>
      <c r="F462" s="24" t="str">
        <f>IF(E462&lt;&gt;"",ALcopy!A462,"")</f>
        <v/>
      </c>
      <c r="G462" s="24" t="str">
        <f>IF(E462&lt;&gt;"",ALcopy!F462,"")</f>
        <v/>
      </c>
    </row>
    <row r="463" spans="1:7" ht="15.75" customHeight="1">
      <c r="A463" s="23" t="str">
        <f t="shared" si="22"/>
        <v/>
      </c>
      <c r="B463" t="str">
        <f t="shared" si="23"/>
        <v/>
      </c>
      <c r="C463" s="23" t="str">
        <f t="shared" si="24"/>
        <v/>
      </c>
      <c r="E463" s="24" t="str">
        <f>IF(NOT(ISBLANK(ALcopy!B463)),ALcopy!B463,"")</f>
        <v/>
      </c>
      <c r="F463" s="24" t="str">
        <f>IF(E463&lt;&gt;"",ALcopy!A463,"")</f>
        <v/>
      </c>
      <c r="G463" s="24" t="str">
        <f>IF(E463&lt;&gt;"",ALcopy!F463,"")</f>
        <v/>
      </c>
    </row>
    <row r="464" spans="1:7" ht="15.75" customHeight="1">
      <c r="A464" s="23" t="str">
        <f t="shared" si="22"/>
        <v/>
      </c>
      <c r="B464" t="str">
        <f t="shared" si="23"/>
        <v/>
      </c>
      <c r="C464" s="23" t="str">
        <f t="shared" si="24"/>
        <v/>
      </c>
      <c r="E464" s="24" t="str">
        <f>IF(NOT(ISBLANK(ALcopy!B464)),ALcopy!B464,"")</f>
        <v/>
      </c>
      <c r="F464" s="24" t="str">
        <f>IF(E464&lt;&gt;"",ALcopy!A464,"")</f>
        <v/>
      </c>
      <c r="G464" s="24" t="str">
        <f>IF(E464&lt;&gt;"",ALcopy!F464,"")</f>
        <v/>
      </c>
    </row>
    <row r="465" spans="1:7" ht="15.75" customHeight="1">
      <c r="A465" s="23" t="str">
        <f t="shared" si="22"/>
        <v/>
      </c>
      <c r="B465" t="str">
        <f t="shared" si="23"/>
        <v/>
      </c>
      <c r="C465" s="23" t="str">
        <f t="shared" si="24"/>
        <v/>
      </c>
      <c r="E465" s="24" t="str">
        <f>IF(NOT(ISBLANK(ALcopy!B465)),ALcopy!B465,"")</f>
        <v/>
      </c>
      <c r="F465" s="24" t="str">
        <f>IF(E465&lt;&gt;"",ALcopy!A465,"")</f>
        <v/>
      </c>
      <c r="G465" s="24" t="str">
        <f>IF(E465&lt;&gt;"",ALcopy!F465,"")</f>
        <v/>
      </c>
    </row>
    <row r="466" spans="1:7" ht="15.75" customHeight="1">
      <c r="A466" s="23" t="str">
        <f t="shared" si="22"/>
        <v/>
      </c>
      <c r="B466" t="str">
        <f t="shared" si="23"/>
        <v/>
      </c>
      <c r="C466" s="23" t="str">
        <f t="shared" si="24"/>
        <v/>
      </c>
      <c r="E466" s="24" t="str">
        <f>IF(NOT(ISBLANK(ALcopy!B466)),ALcopy!B466,"")</f>
        <v/>
      </c>
      <c r="F466" s="24" t="str">
        <f>IF(E466&lt;&gt;"",ALcopy!A466,"")</f>
        <v/>
      </c>
      <c r="G466" s="24" t="str">
        <f>IF(E466&lt;&gt;"",ALcopy!F466,"")</f>
        <v/>
      </c>
    </row>
    <row r="467" spans="1:7" ht="15.75" customHeight="1">
      <c r="A467" s="23" t="str">
        <f t="shared" si="22"/>
        <v/>
      </c>
      <c r="B467" t="str">
        <f t="shared" si="23"/>
        <v/>
      </c>
      <c r="C467" s="23" t="str">
        <f t="shared" si="24"/>
        <v/>
      </c>
      <c r="E467" s="24" t="str">
        <f>IF(NOT(ISBLANK(ALcopy!B467)),ALcopy!B467,"")</f>
        <v/>
      </c>
      <c r="F467" s="24" t="str">
        <f>IF(E467&lt;&gt;"",ALcopy!A467,"")</f>
        <v/>
      </c>
      <c r="G467" s="24" t="str">
        <f>IF(E467&lt;&gt;"",ALcopy!F467,"")</f>
        <v/>
      </c>
    </row>
    <row r="468" spans="1:7" ht="15.75" customHeight="1">
      <c r="A468" s="23" t="str">
        <f t="shared" si="22"/>
        <v/>
      </c>
      <c r="B468" t="str">
        <f t="shared" si="23"/>
        <v/>
      </c>
      <c r="C468" s="23" t="str">
        <f t="shared" si="24"/>
        <v/>
      </c>
      <c r="E468" s="24" t="str">
        <f>IF(NOT(ISBLANK(ALcopy!B468)),ALcopy!B468,"")</f>
        <v/>
      </c>
      <c r="F468" s="24" t="str">
        <f>IF(E468&lt;&gt;"",ALcopy!A468,"")</f>
        <v/>
      </c>
      <c r="G468" s="24" t="str">
        <f>IF(E468&lt;&gt;"",ALcopy!F468,"")</f>
        <v/>
      </c>
    </row>
    <row r="469" spans="1:7" ht="15.75" customHeight="1">
      <c r="A469" s="23" t="str">
        <f t="shared" si="22"/>
        <v/>
      </c>
      <c r="B469" t="str">
        <f t="shared" si="23"/>
        <v/>
      </c>
      <c r="C469" s="23" t="str">
        <f t="shared" si="24"/>
        <v/>
      </c>
      <c r="E469" s="24" t="str">
        <f>IF(NOT(ISBLANK(ALcopy!B469)),ALcopy!B469,"")</f>
        <v/>
      </c>
      <c r="F469" s="24" t="str">
        <f>IF(E469&lt;&gt;"",ALcopy!A469,"")</f>
        <v/>
      </c>
      <c r="G469" s="24" t="str">
        <f>IF(E469&lt;&gt;"",ALcopy!F469,"")</f>
        <v/>
      </c>
    </row>
    <row r="470" spans="1:7" ht="15.75" customHeight="1">
      <c r="A470" s="23" t="str">
        <f t="shared" si="22"/>
        <v/>
      </c>
      <c r="B470" t="str">
        <f t="shared" si="23"/>
        <v/>
      </c>
      <c r="C470" s="23" t="str">
        <f t="shared" si="24"/>
        <v/>
      </c>
      <c r="E470" s="24" t="str">
        <f>IF(NOT(ISBLANK(ALcopy!B470)),ALcopy!B470,"")</f>
        <v/>
      </c>
      <c r="F470" s="24" t="str">
        <f>IF(E470&lt;&gt;"",ALcopy!A470,"")</f>
        <v/>
      </c>
      <c r="G470" s="24" t="str">
        <f>IF(E470&lt;&gt;"",ALcopy!F470,"")</f>
        <v/>
      </c>
    </row>
    <row r="471" spans="1:7" ht="15.75" customHeight="1">
      <c r="A471" s="23" t="str">
        <f t="shared" si="22"/>
        <v/>
      </c>
      <c r="B471" t="str">
        <f t="shared" si="23"/>
        <v/>
      </c>
      <c r="C471" s="23" t="str">
        <f t="shared" si="24"/>
        <v/>
      </c>
      <c r="E471" s="24" t="str">
        <f>IF(NOT(ISBLANK(ALcopy!B471)),ALcopy!B471,"")</f>
        <v/>
      </c>
      <c r="F471" s="24" t="str">
        <f>IF(E471&lt;&gt;"",ALcopy!A471,"")</f>
        <v/>
      </c>
      <c r="G471" s="24" t="str">
        <f>IF(E471&lt;&gt;"",ALcopy!F471,"")</f>
        <v/>
      </c>
    </row>
    <row r="472" spans="1:7" ht="15.75" customHeight="1">
      <c r="A472" s="23" t="str">
        <f t="shared" si="22"/>
        <v/>
      </c>
      <c r="B472" t="str">
        <f t="shared" si="23"/>
        <v/>
      </c>
      <c r="C472" s="23" t="str">
        <f t="shared" si="24"/>
        <v/>
      </c>
      <c r="E472" s="24" t="str">
        <f>IF(NOT(ISBLANK(ALcopy!B472)),ALcopy!B472,"")</f>
        <v/>
      </c>
      <c r="F472" s="24" t="str">
        <f>IF(E472&lt;&gt;"",ALcopy!A472,"")</f>
        <v/>
      </c>
      <c r="G472" s="24" t="str">
        <f>IF(E472&lt;&gt;"",ALcopy!F472,"")</f>
        <v/>
      </c>
    </row>
    <row r="473" spans="1:7" ht="15.75" customHeight="1">
      <c r="A473" s="23" t="str">
        <f t="shared" si="22"/>
        <v/>
      </c>
      <c r="B473" t="str">
        <f t="shared" si="23"/>
        <v/>
      </c>
      <c r="C473" s="23" t="str">
        <f t="shared" si="24"/>
        <v/>
      </c>
      <c r="E473" s="24" t="str">
        <f>IF(NOT(ISBLANK(ALcopy!B473)),ALcopy!B473,"")</f>
        <v/>
      </c>
      <c r="F473" s="24" t="str">
        <f>IF(E473&lt;&gt;"",ALcopy!A473,"")</f>
        <v/>
      </c>
      <c r="G473" s="24" t="str">
        <f>IF(E473&lt;&gt;"",ALcopy!F473,"")</f>
        <v/>
      </c>
    </row>
    <row r="474" spans="1:7" ht="15.75" customHeight="1">
      <c r="A474" s="23" t="str">
        <f t="shared" si="22"/>
        <v/>
      </c>
      <c r="B474" t="str">
        <f t="shared" si="23"/>
        <v/>
      </c>
      <c r="C474" s="23" t="str">
        <f t="shared" si="24"/>
        <v/>
      </c>
      <c r="E474" s="24" t="str">
        <f>IF(NOT(ISBLANK(ALcopy!B474)),ALcopy!B474,"")</f>
        <v/>
      </c>
      <c r="F474" s="24" t="str">
        <f>IF(E474&lt;&gt;"",ALcopy!A474,"")</f>
        <v/>
      </c>
      <c r="G474" s="24" t="str">
        <f>IF(E474&lt;&gt;"",ALcopy!F474,"")</f>
        <v/>
      </c>
    </row>
    <row r="475" spans="1:7" ht="15.75" customHeight="1">
      <c r="A475" s="23" t="str">
        <f t="shared" si="22"/>
        <v/>
      </c>
      <c r="B475" t="str">
        <f t="shared" si="23"/>
        <v/>
      </c>
      <c r="C475" s="23" t="str">
        <f t="shared" si="24"/>
        <v/>
      </c>
      <c r="E475" s="24" t="str">
        <f>IF(NOT(ISBLANK(ALcopy!B475)),ALcopy!B475,"")</f>
        <v/>
      </c>
      <c r="F475" s="24" t="str">
        <f>IF(E475&lt;&gt;"",ALcopy!A475,"")</f>
        <v/>
      </c>
      <c r="G475" s="24" t="str">
        <f>IF(E475&lt;&gt;"",ALcopy!F475,"")</f>
        <v/>
      </c>
    </row>
    <row r="476" spans="1:7" ht="15.75" customHeight="1">
      <c r="A476" s="23" t="str">
        <f t="shared" si="22"/>
        <v/>
      </c>
      <c r="B476" t="str">
        <f t="shared" si="23"/>
        <v/>
      </c>
      <c r="C476" s="23" t="str">
        <f t="shared" si="24"/>
        <v/>
      </c>
      <c r="E476" s="24" t="str">
        <f>IF(NOT(ISBLANK(ALcopy!B476)),ALcopy!B476,"")</f>
        <v/>
      </c>
      <c r="F476" s="24" t="str">
        <f>IF(E476&lt;&gt;"",ALcopy!A476,"")</f>
        <v/>
      </c>
      <c r="G476" s="24" t="str">
        <f>IF(E476&lt;&gt;"",ALcopy!F476,"")</f>
        <v/>
      </c>
    </row>
    <row r="477" spans="1:7" ht="15.75" customHeight="1">
      <c r="A477" s="23" t="str">
        <f t="shared" si="22"/>
        <v/>
      </c>
      <c r="B477" t="str">
        <f t="shared" si="23"/>
        <v/>
      </c>
      <c r="C477" s="23" t="str">
        <f t="shared" si="24"/>
        <v/>
      </c>
      <c r="E477" s="24" t="str">
        <f>IF(NOT(ISBLANK(ALcopy!B477)),ALcopy!B477,"")</f>
        <v/>
      </c>
      <c r="F477" s="24" t="str">
        <f>IF(E477&lt;&gt;"",ALcopy!A477,"")</f>
        <v/>
      </c>
      <c r="G477" s="24" t="str">
        <f>IF(E477&lt;&gt;"",ALcopy!F477,"")</f>
        <v/>
      </c>
    </row>
    <row r="478" spans="1:7" ht="15.75" customHeight="1">
      <c r="A478" s="23" t="str">
        <f t="shared" si="22"/>
        <v/>
      </c>
      <c r="B478" t="str">
        <f t="shared" si="23"/>
        <v/>
      </c>
      <c r="C478" s="23" t="str">
        <f t="shared" si="24"/>
        <v/>
      </c>
      <c r="E478" s="24" t="str">
        <f>IF(NOT(ISBLANK(ALcopy!B478)),ALcopy!B478,"")</f>
        <v/>
      </c>
      <c r="F478" s="24" t="str">
        <f>IF(E478&lt;&gt;"",ALcopy!A478,"")</f>
        <v/>
      </c>
      <c r="G478" s="24" t="str">
        <f>IF(E478&lt;&gt;"",ALcopy!F478,"")</f>
        <v/>
      </c>
    </row>
    <row r="479" spans="1:7" ht="15.75" customHeight="1">
      <c r="A479" s="23" t="str">
        <f t="shared" si="22"/>
        <v/>
      </c>
      <c r="B479" t="str">
        <f t="shared" si="23"/>
        <v/>
      </c>
      <c r="C479" s="23" t="str">
        <f t="shared" si="24"/>
        <v/>
      </c>
      <c r="E479" s="24" t="str">
        <f>IF(NOT(ISBLANK(ALcopy!B479)),ALcopy!B479,"")</f>
        <v/>
      </c>
      <c r="F479" s="24" t="str">
        <f>IF(E479&lt;&gt;"",ALcopy!A479,"")</f>
        <v/>
      </c>
      <c r="G479" s="24" t="str">
        <f>IF(E479&lt;&gt;"",ALcopy!F479,"")</f>
        <v/>
      </c>
    </row>
    <row r="480" spans="1:7" ht="15.75" customHeight="1">
      <c r="A480" s="23" t="str">
        <f t="shared" si="22"/>
        <v/>
      </c>
      <c r="B480" t="str">
        <f t="shared" si="23"/>
        <v/>
      </c>
      <c r="C480" s="23" t="str">
        <f t="shared" si="24"/>
        <v/>
      </c>
      <c r="E480" s="24" t="str">
        <f>IF(NOT(ISBLANK(ALcopy!B480)),ALcopy!B480,"")</f>
        <v/>
      </c>
      <c r="F480" s="24" t="str">
        <f>IF(E480&lt;&gt;"",ALcopy!A480,"")</f>
        <v/>
      </c>
      <c r="G480" s="24" t="str">
        <f>IF(E480&lt;&gt;"",ALcopy!F480,"")</f>
        <v/>
      </c>
    </row>
    <row r="481" spans="1:7" ht="15.75" customHeight="1">
      <c r="A481" s="23" t="str">
        <f t="shared" si="22"/>
        <v/>
      </c>
      <c r="B481" t="str">
        <f t="shared" si="23"/>
        <v/>
      </c>
      <c r="C481" s="23" t="str">
        <f t="shared" si="24"/>
        <v/>
      </c>
      <c r="E481" s="24" t="str">
        <f>IF(NOT(ISBLANK(ALcopy!B481)),ALcopy!B481,"")</f>
        <v/>
      </c>
      <c r="F481" s="24" t="str">
        <f>IF(E481&lt;&gt;"",ALcopy!A481,"")</f>
        <v/>
      </c>
      <c r="G481" s="24" t="str">
        <f>IF(E481&lt;&gt;"",ALcopy!F481,"")</f>
        <v/>
      </c>
    </row>
    <row r="482" spans="1:7" ht="15.75" customHeight="1">
      <c r="A482" s="23" t="str">
        <f t="shared" si="22"/>
        <v/>
      </c>
      <c r="B482" t="str">
        <f t="shared" si="23"/>
        <v/>
      </c>
      <c r="C482" s="23" t="str">
        <f t="shared" si="24"/>
        <v/>
      </c>
      <c r="E482" s="24" t="str">
        <f>IF(NOT(ISBLANK(ALcopy!B482)),ALcopy!B482,"")</f>
        <v/>
      </c>
      <c r="F482" s="24" t="str">
        <f>IF(E482&lt;&gt;"",ALcopy!A482,"")</f>
        <v/>
      </c>
      <c r="G482" s="24" t="str">
        <f>IF(E482&lt;&gt;"",ALcopy!F482,"")</f>
        <v/>
      </c>
    </row>
    <row r="483" spans="1:7" ht="15.75" customHeight="1">
      <c r="A483" s="23" t="str">
        <f t="shared" si="22"/>
        <v/>
      </c>
      <c r="B483" t="str">
        <f t="shared" si="23"/>
        <v/>
      </c>
      <c r="C483" s="23" t="str">
        <f t="shared" si="24"/>
        <v/>
      </c>
      <c r="E483" s="24" t="str">
        <f>IF(NOT(ISBLANK(ALcopy!B483)),ALcopy!B483,"")</f>
        <v/>
      </c>
      <c r="F483" s="24" t="str">
        <f>IF(E483&lt;&gt;"",ALcopy!A483,"")</f>
        <v/>
      </c>
      <c r="G483" s="24" t="str">
        <f>IF(E483&lt;&gt;"",ALcopy!F483,"")</f>
        <v/>
      </c>
    </row>
    <row r="484" spans="1:7" ht="15.75" customHeight="1">
      <c r="A484" s="23" t="str">
        <f t="shared" si="22"/>
        <v/>
      </c>
      <c r="B484" t="str">
        <f t="shared" si="23"/>
        <v/>
      </c>
      <c r="C484" s="23" t="str">
        <f t="shared" si="24"/>
        <v/>
      </c>
      <c r="E484" s="24" t="str">
        <f>IF(NOT(ISBLANK(ALcopy!B484)),ALcopy!B484,"")</f>
        <v/>
      </c>
      <c r="F484" s="24" t="str">
        <f>IF(E484&lt;&gt;"",ALcopy!A484,"")</f>
        <v/>
      </c>
      <c r="G484" s="24" t="str">
        <f>IF(E484&lt;&gt;"",ALcopy!F484,"")</f>
        <v/>
      </c>
    </row>
    <row r="485" spans="1:7" ht="15.75" customHeight="1">
      <c r="A485" s="23" t="str">
        <f t="shared" si="22"/>
        <v/>
      </c>
      <c r="B485" t="str">
        <f t="shared" si="23"/>
        <v/>
      </c>
      <c r="C485" s="23" t="str">
        <f t="shared" si="24"/>
        <v/>
      </c>
      <c r="E485" s="24" t="str">
        <f>IF(NOT(ISBLANK(ALcopy!B485)),ALcopy!B485,"")</f>
        <v/>
      </c>
      <c r="F485" s="24" t="str">
        <f>IF(E485&lt;&gt;"",ALcopy!A485,"")</f>
        <v/>
      </c>
      <c r="G485" s="24" t="str">
        <f>IF(E485&lt;&gt;"",ALcopy!F485,"")</f>
        <v/>
      </c>
    </row>
    <row r="486" spans="1:7" ht="15.75" customHeight="1">
      <c r="A486" s="23" t="str">
        <f t="shared" si="22"/>
        <v/>
      </c>
      <c r="B486" t="str">
        <f t="shared" si="23"/>
        <v/>
      </c>
      <c r="C486" s="23" t="str">
        <f t="shared" si="24"/>
        <v/>
      </c>
      <c r="E486" s="24" t="str">
        <f>IF(NOT(ISBLANK(ALcopy!B486)),ALcopy!B486,"")</f>
        <v/>
      </c>
      <c r="F486" s="24" t="str">
        <f>IF(E486&lt;&gt;"",ALcopy!A486,"")</f>
        <v/>
      </c>
      <c r="G486" s="24" t="str">
        <f>IF(E486&lt;&gt;"",ALcopy!F486,"")</f>
        <v/>
      </c>
    </row>
    <row r="487" spans="1:7" ht="15.75" customHeight="1">
      <c r="A487" s="23" t="str">
        <f t="shared" si="22"/>
        <v/>
      </c>
      <c r="B487" t="str">
        <f t="shared" si="23"/>
        <v/>
      </c>
      <c r="C487" s="23" t="str">
        <f t="shared" si="24"/>
        <v/>
      </c>
      <c r="E487" s="24" t="str">
        <f>IF(NOT(ISBLANK(ALcopy!B487)),ALcopy!B487,"")</f>
        <v/>
      </c>
      <c r="F487" s="24" t="str">
        <f>IF(E487&lt;&gt;"",ALcopy!A487,"")</f>
        <v/>
      </c>
      <c r="G487" s="24" t="str">
        <f>IF(E487&lt;&gt;"",ALcopy!F487,"")</f>
        <v/>
      </c>
    </row>
    <row r="488" spans="1:7" ht="15.75" customHeight="1">
      <c r="A488" s="23" t="str">
        <f t="shared" si="22"/>
        <v/>
      </c>
      <c r="B488" t="str">
        <f t="shared" si="23"/>
        <v/>
      </c>
      <c r="C488" s="23" t="str">
        <f t="shared" si="24"/>
        <v/>
      </c>
      <c r="E488" s="24" t="str">
        <f>IF(NOT(ISBLANK(ALcopy!B488)),ALcopy!B488,"")</f>
        <v/>
      </c>
      <c r="F488" s="24" t="str">
        <f>IF(E488&lt;&gt;"",ALcopy!A488,"")</f>
        <v/>
      </c>
      <c r="G488" s="24" t="str">
        <f>IF(E488&lt;&gt;"",ALcopy!F488,"")</f>
        <v/>
      </c>
    </row>
    <row r="489" spans="1:7" ht="15.75" customHeight="1">
      <c r="A489" s="23" t="str">
        <f t="shared" si="22"/>
        <v/>
      </c>
      <c r="B489" t="str">
        <f t="shared" si="23"/>
        <v/>
      </c>
      <c r="C489" s="23" t="str">
        <f t="shared" si="24"/>
        <v/>
      </c>
      <c r="E489" s="24" t="str">
        <f>IF(NOT(ISBLANK(ALcopy!B489)),ALcopy!B489,"")</f>
        <v/>
      </c>
      <c r="F489" s="24" t="str">
        <f>IF(E489&lt;&gt;"",ALcopy!A489,"")</f>
        <v/>
      </c>
      <c r="G489" s="24" t="str">
        <f>IF(E489&lt;&gt;"",ALcopy!F489,"")</f>
        <v/>
      </c>
    </row>
    <row r="490" spans="1:7" ht="15.75" customHeight="1">
      <c r="A490" s="23" t="str">
        <f t="shared" si="22"/>
        <v/>
      </c>
      <c r="B490" t="str">
        <f t="shared" si="23"/>
        <v/>
      </c>
      <c r="C490" s="23" t="str">
        <f t="shared" si="24"/>
        <v/>
      </c>
      <c r="E490" s="24" t="str">
        <f>IF(NOT(ISBLANK(ALcopy!B490)),ALcopy!B490,"")</f>
        <v/>
      </c>
      <c r="F490" s="24" t="str">
        <f>IF(E490&lt;&gt;"",ALcopy!A490,"")</f>
        <v/>
      </c>
      <c r="G490" s="24" t="str">
        <f>IF(E490&lt;&gt;"",ALcopy!F490,"")</f>
        <v/>
      </c>
    </row>
    <row r="491" spans="1:7" ht="15.75" customHeight="1">
      <c r="A491" s="23" t="str">
        <f t="shared" si="22"/>
        <v/>
      </c>
      <c r="B491" t="str">
        <f t="shared" si="23"/>
        <v/>
      </c>
      <c r="C491" s="23" t="str">
        <f t="shared" si="24"/>
        <v/>
      </c>
      <c r="E491" s="24" t="str">
        <f>IF(NOT(ISBLANK(ALcopy!B491)),ALcopy!B491,"")</f>
        <v/>
      </c>
      <c r="F491" s="24" t="str">
        <f>IF(E491&lt;&gt;"",ALcopy!A491,"")</f>
        <v/>
      </c>
      <c r="G491" s="24" t="str">
        <f>IF(E491&lt;&gt;"",ALcopy!F491,"")</f>
        <v/>
      </c>
    </row>
    <row r="492" spans="1:7" ht="15.75" customHeight="1">
      <c r="A492" s="23" t="str">
        <f t="shared" si="22"/>
        <v/>
      </c>
      <c r="B492" t="str">
        <f t="shared" si="23"/>
        <v/>
      </c>
      <c r="C492" s="23" t="str">
        <f t="shared" si="24"/>
        <v/>
      </c>
      <c r="E492" s="24" t="str">
        <f>IF(NOT(ISBLANK(ALcopy!B492)),ALcopy!B492,"")</f>
        <v/>
      </c>
      <c r="F492" s="24" t="str">
        <f>IF(E492&lt;&gt;"",ALcopy!A492,"")</f>
        <v/>
      </c>
      <c r="G492" s="24" t="str">
        <f>IF(E492&lt;&gt;"",ALcopy!F492,"")</f>
        <v/>
      </c>
    </row>
    <row r="493" spans="1:7" ht="15.75" customHeight="1">
      <c r="A493" s="23" t="str">
        <f t="shared" si="22"/>
        <v/>
      </c>
      <c r="B493" t="str">
        <f t="shared" si="23"/>
        <v/>
      </c>
      <c r="C493" s="23" t="str">
        <f t="shared" si="24"/>
        <v/>
      </c>
      <c r="E493" s="24" t="str">
        <f>IF(NOT(ISBLANK(ALcopy!B493)),ALcopy!B493,"")</f>
        <v/>
      </c>
      <c r="F493" s="24" t="str">
        <f>IF(E493&lt;&gt;"",ALcopy!A493,"")</f>
        <v/>
      </c>
      <c r="G493" s="24" t="str">
        <f>IF(E493&lt;&gt;"",ALcopy!F493,"")</f>
        <v/>
      </c>
    </row>
    <row r="494" spans="1:7" ht="15.75" customHeight="1">
      <c r="A494" s="23" t="str">
        <f t="shared" si="22"/>
        <v/>
      </c>
      <c r="B494" t="str">
        <f t="shared" si="23"/>
        <v/>
      </c>
      <c r="C494" s="23" t="str">
        <f t="shared" si="24"/>
        <v/>
      </c>
      <c r="E494" s="24" t="str">
        <f>IF(NOT(ISBLANK(ALcopy!B494)),ALcopy!B494,"")</f>
        <v/>
      </c>
      <c r="F494" s="24" t="str">
        <f>IF(E494&lt;&gt;"",ALcopy!A494,"")</f>
        <v/>
      </c>
      <c r="G494" s="24" t="str">
        <f>IF(E494&lt;&gt;"",ALcopy!F494,"")</f>
        <v/>
      </c>
    </row>
    <row r="495" spans="1:7" ht="15.75" customHeight="1">
      <c r="A495" s="23" t="str">
        <f t="shared" si="22"/>
        <v/>
      </c>
      <c r="B495" t="str">
        <f t="shared" si="23"/>
        <v/>
      </c>
      <c r="C495" s="23" t="str">
        <f t="shared" si="24"/>
        <v/>
      </c>
      <c r="E495" s="24" t="str">
        <f>IF(NOT(ISBLANK(ALcopy!B495)),ALcopy!B495,"")</f>
        <v/>
      </c>
      <c r="F495" s="24" t="str">
        <f>IF(E495&lt;&gt;"",ALcopy!A495,"")</f>
        <v/>
      </c>
      <c r="G495" s="24" t="str">
        <f>IF(E495&lt;&gt;"",ALcopy!F495,"")</f>
        <v/>
      </c>
    </row>
    <row r="496" spans="1:7" ht="15.75" customHeight="1">
      <c r="A496" s="23" t="str">
        <f t="shared" si="22"/>
        <v/>
      </c>
      <c r="B496" t="str">
        <f t="shared" si="23"/>
        <v/>
      </c>
      <c r="C496" s="23" t="str">
        <f t="shared" si="24"/>
        <v/>
      </c>
      <c r="E496" s="24" t="str">
        <f>IF(NOT(ISBLANK(ALcopy!B496)),ALcopy!B496,"")</f>
        <v/>
      </c>
      <c r="F496" s="24" t="str">
        <f>IF(E496&lt;&gt;"",ALcopy!A496,"")</f>
        <v/>
      </c>
      <c r="G496" s="24" t="str">
        <f>IF(E496&lt;&gt;"",ALcopy!F496,"")</f>
        <v/>
      </c>
    </row>
    <row r="497" spans="1:7" ht="15.75" customHeight="1">
      <c r="A497" s="23" t="str">
        <f t="shared" si="22"/>
        <v/>
      </c>
      <c r="B497" t="str">
        <f t="shared" si="23"/>
        <v/>
      </c>
      <c r="C497" s="23" t="str">
        <f t="shared" si="24"/>
        <v/>
      </c>
      <c r="E497" s="24" t="str">
        <f>IF(NOT(ISBLANK(ALcopy!B497)),ALcopy!B497,"")</f>
        <v/>
      </c>
      <c r="F497" s="24" t="str">
        <f>IF(E497&lt;&gt;"",ALcopy!A497,"")</f>
        <v/>
      </c>
      <c r="G497" s="24" t="str">
        <f>IF(E497&lt;&gt;"",ALcopy!F497,"")</f>
        <v/>
      </c>
    </row>
    <row r="498" spans="1:7" ht="15.75" customHeight="1">
      <c r="A498" s="23" t="str">
        <f t="shared" si="22"/>
        <v/>
      </c>
      <c r="B498" t="str">
        <f t="shared" si="23"/>
        <v/>
      </c>
      <c r="C498" s="23" t="str">
        <f t="shared" si="24"/>
        <v/>
      </c>
      <c r="E498" s="24" t="str">
        <f>IF(NOT(ISBLANK(ALcopy!B498)),ALcopy!B498,"")</f>
        <v/>
      </c>
      <c r="F498" s="24" t="str">
        <f>IF(E498&lt;&gt;"",ALcopy!A498,"")</f>
        <v/>
      </c>
      <c r="G498" s="24" t="str">
        <f>IF(E498&lt;&gt;"",ALcopy!F498,"")</f>
        <v/>
      </c>
    </row>
    <row r="499" spans="1:7" ht="15.75" customHeight="1">
      <c r="A499" s="23" t="str">
        <f t="shared" si="22"/>
        <v/>
      </c>
      <c r="B499" t="str">
        <f t="shared" si="23"/>
        <v/>
      </c>
      <c r="C499" s="23" t="str">
        <f t="shared" si="24"/>
        <v/>
      </c>
      <c r="E499" s="24" t="str">
        <f>IF(NOT(ISBLANK(ALcopy!B499)),ALcopy!B499,"")</f>
        <v/>
      </c>
      <c r="F499" s="24" t="str">
        <f>IF(E499&lt;&gt;"",ALcopy!A499,"")</f>
        <v/>
      </c>
      <c r="G499" s="24" t="str">
        <f>IF(E499&lt;&gt;"",ALcopy!F499,"")</f>
        <v/>
      </c>
    </row>
    <row r="500" spans="1:7" ht="15.75" customHeight="1">
      <c r="A500" s="23" t="str">
        <f t="shared" si="22"/>
        <v/>
      </c>
      <c r="B500" t="str">
        <f t="shared" si="23"/>
        <v/>
      </c>
      <c r="C500" s="23" t="str">
        <f t="shared" si="24"/>
        <v/>
      </c>
      <c r="E500" s="24" t="str">
        <f>IF(NOT(ISBLANK(ALcopy!B500)),ALcopy!B500,"")</f>
        <v/>
      </c>
      <c r="F500" s="24" t="str">
        <f>IF(E500&lt;&gt;"",ALcopy!A500,"")</f>
        <v/>
      </c>
      <c r="G500" s="24" t="str">
        <f>IF(E500&lt;&gt;"",ALcopy!F500,"")</f>
        <v/>
      </c>
    </row>
    <row r="501" spans="1:7" ht="15.75" customHeight="1"/>
    <row r="502" spans="1:7" ht="15.75" customHeight="1"/>
    <row r="503" spans="1:7" ht="15.75" customHeight="1"/>
    <row r="504" spans="1:7" ht="15.75" customHeight="1"/>
    <row r="505" spans="1:7" ht="15.75" customHeight="1"/>
    <row r="506" spans="1:7" ht="15.75" customHeight="1"/>
    <row r="507" spans="1:7" ht="15.75" customHeight="1"/>
    <row r="508" spans="1:7" ht="15.75" customHeight="1"/>
    <row r="509" spans="1:7" ht="15.75" customHeight="1"/>
    <row r="510" spans="1:7" ht="15.75" customHeight="1"/>
    <row r="511" spans="1:7" ht="15.75" customHeight="1"/>
    <row r="512" spans="1:7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F147A-24F6-434A-A220-CBB96FF66F36}">
  <dimension ref="A1:F76"/>
  <sheetViews>
    <sheetView topLeftCell="A56" workbookViewId="0">
      <selection activeCell="A2" sqref="A2"/>
    </sheetView>
  </sheetViews>
  <sheetFormatPr defaultColWidth="8.875" defaultRowHeight="15"/>
  <cols>
    <col min="1" max="1" width="13.5" style="25" bestFit="1" customWidth="1"/>
    <col min="2" max="2" width="13.875" style="25" bestFit="1" customWidth="1"/>
    <col min="3" max="3" width="12.875" style="25" bestFit="1" customWidth="1"/>
    <col min="4" max="4" width="10.375" style="25" bestFit="1" customWidth="1"/>
    <col min="5" max="5" width="10.5" style="25" bestFit="1" customWidth="1"/>
    <col min="6" max="6" width="11.125" style="25" bestFit="1" customWidth="1"/>
    <col min="7" max="16384" width="8.875" style="25"/>
  </cols>
  <sheetData>
    <row r="1" spans="1:6">
      <c r="A1" s="25" t="s">
        <v>130</v>
      </c>
      <c r="B1" s="25" t="s">
        <v>131</v>
      </c>
      <c r="C1" s="25" t="s">
        <v>132</v>
      </c>
      <c r="D1" s="25" t="s">
        <v>133</v>
      </c>
      <c r="E1" s="25" t="s">
        <v>134</v>
      </c>
      <c r="F1" s="25" t="s">
        <v>135</v>
      </c>
    </row>
    <row r="2" spans="1:6">
      <c r="A2" s="25" t="s">
        <v>136</v>
      </c>
      <c r="B2" s="25" t="s">
        <v>137</v>
      </c>
      <c r="C2" s="25" t="s">
        <v>138</v>
      </c>
      <c r="D2" s="25" t="b">
        <v>1</v>
      </c>
      <c r="E2" s="25" t="s">
        <v>139</v>
      </c>
      <c r="F2" s="25" t="s">
        <v>140</v>
      </c>
    </row>
    <row r="3" spans="1:6">
      <c r="A3" s="25" t="s">
        <v>141</v>
      </c>
      <c r="B3" s="25" t="s">
        <v>138</v>
      </c>
      <c r="C3" s="25" t="s">
        <v>142</v>
      </c>
      <c r="D3" s="25" t="b">
        <v>1</v>
      </c>
      <c r="E3" s="25" t="s">
        <v>143</v>
      </c>
      <c r="F3" s="25" t="s">
        <v>144</v>
      </c>
    </row>
    <row r="4" spans="1:6">
      <c r="A4" s="25" t="s">
        <v>145</v>
      </c>
      <c r="B4" s="25" t="s">
        <v>142</v>
      </c>
      <c r="C4" s="25" t="s">
        <v>146</v>
      </c>
      <c r="D4" s="25" t="b">
        <v>1</v>
      </c>
      <c r="E4" s="25" t="s">
        <v>147</v>
      </c>
      <c r="F4" s="25" t="s">
        <v>148</v>
      </c>
    </row>
    <row r="5" spans="1:6">
      <c r="A5" s="25" t="s">
        <v>149</v>
      </c>
      <c r="B5" s="25" t="s">
        <v>150</v>
      </c>
      <c r="C5" s="25" t="s">
        <v>151</v>
      </c>
      <c r="D5" s="25" t="b">
        <v>1</v>
      </c>
      <c r="E5" s="25" t="s">
        <v>152</v>
      </c>
      <c r="F5" s="25" t="s">
        <v>153</v>
      </c>
    </row>
    <row r="6" spans="1:6">
      <c r="A6" s="25" t="s">
        <v>154</v>
      </c>
      <c r="B6" s="25" t="s">
        <v>151</v>
      </c>
      <c r="C6" s="25" t="s">
        <v>155</v>
      </c>
      <c r="D6" s="25" t="b">
        <v>1</v>
      </c>
      <c r="E6" s="25" t="s">
        <v>156</v>
      </c>
      <c r="F6" s="25" t="s">
        <v>157</v>
      </c>
    </row>
    <row r="7" spans="1:6">
      <c r="A7" s="25" t="s">
        <v>158</v>
      </c>
      <c r="B7" s="25" t="s">
        <v>159</v>
      </c>
      <c r="C7" s="25" t="s">
        <v>160</v>
      </c>
      <c r="D7" s="25" t="b">
        <v>1</v>
      </c>
      <c r="E7" s="25" t="s">
        <v>161</v>
      </c>
      <c r="F7" s="25" t="s">
        <v>162</v>
      </c>
    </row>
    <row r="8" spans="1:6">
      <c r="A8" s="25" t="s">
        <v>163</v>
      </c>
      <c r="B8" s="25" t="s">
        <v>164</v>
      </c>
      <c r="C8" s="25" t="s">
        <v>165</v>
      </c>
      <c r="D8" s="25" t="b">
        <v>1</v>
      </c>
      <c r="E8" s="25" t="s">
        <v>166</v>
      </c>
      <c r="F8" s="25" t="s">
        <v>167</v>
      </c>
    </row>
    <row r="9" spans="1:6">
      <c r="A9" s="25" t="s">
        <v>168</v>
      </c>
      <c r="B9" s="25" t="s">
        <v>169</v>
      </c>
      <c r="C9" s="25" t="s">
        <v>170</v>
      </c>
      <c r="D9" s="25" t="b">
        <v>1</v>
      </c>
      <c r="E9" s="25" t="s">
        <v>171</v>
      </c>
      <c r="F9" s="25" t="s">
        <v>172</v>
      </c>
    </row>
    <row r="10" spans="1:6">
      <c r="A10" s="25" t="s">
        <v>173</v>
      </c>
      <c r="B10" s="25" t="s">
        <v>169</v>
      </c>
      <c r="C10" s="25" t="s">
        <v>170</v>
      </c>
      <c r="D10" s="25" t="b">
        <v>1</v>
      </c>
      <c r="E10" s="25" t="s">
        <v>174</v>
      </c>
      <c r="F10" s="25" t="s">
        <v>175</v>
      </c>
    </row>
    <row r="11" spans="1:6">
      <c r="A11" s="25" t="s">
        <v>176</v>
      </c>
      <c r="B11" s="25" t="s">
        <v>177</v>
      </c>
      <c r="C11" s="25" t="s">
        <v>178</v>
      </c>
      <c r="D11" s="25" t="b">
        <v>1</v>
      </c>
      <c r="E11" s="25" t="s">
        <v>179</v>
      </c>
      <c r="F11" s="25" t="s">
        <v>180</v>
      </c>
    </row>
    <row r="12" spans="1:6">
      <c r="A12" s="25" t="s">
        <v>181</v>
      </c>
      <c r="B12" s="25" t="s">
        <v>178</v>
      </c>
      <c r="C12" s="25" t="s">
        <v>182</v>
      </c>
      <c r="D12" s="25" t="b">
        <v>1</v>
      </c>
      <c r="E12" s="25" t="s">
        <v>183</v>
      </c>
      <c r="F12" s="25" t="s">
        <v>184</v>
      </c>
    </row>
    <row r="13" spans="1:6">
      <c r="A13" s="25" t="s">
        <v>185</v>
      </c>
      <c r="B13" s="25" t="s">
        <v>186</v>
      </c>
      <c r="C13" s="25" t="s">
        <v>187</v>
      </c>
      <c r="D13" s="25" t="b">
        <v>1</v>
      </c>
      <c r="E13" s="25" t="s">
        <v>188</v>
      </c>
      <c r="F13" s="25" t="s">
        <v>189</v>
      </c>
    </row>
    <row r="14" spans="1:6">
      <c r="A14" s="25" t="s">
        <v>190</v>
      </c>
      <c r="B14" s="25" t="s">
        <v>191</v>
      </c>
      <c r="C14" s="25" t="s">
        <v>192</v>
      </c>
      <c r="D14" s="25" t="b">
        <v>1</v>
      </c>
      <c r="E14" s="25" t="s">
        <v>193</v>
      </c>
      <c r="F14" s="25" t="s">
        <v>194</v>
      </c>
    </row>
    <row r="15" spans="1:6">
      <c r="A15" s="25" t="s">
        <v>195</v>
      </c>
      <c r="B15" s="25" t="s">
        <v>192</v>
      </c>
      <c r="C15" s="25" t="s">
        <v>196</v>
      </c>
      <c r="D15" s="25" t="b">
        <v>1</v>
      </c>
      <c r="E15" s="25" t="s">
        <v>197</v>
      </c>
      <c r="F15" s="25" t="s">
        <v>198</v>
      </c>
    </row>
    <row r="16" spans="1:6">
      <c r="A16" s="25" t="s">
        <v>199</v>
      </c>
      <c r="B16" s="25" t="s">
        <v>200</v>
      </c>
      <c r="C16" s="25" t="s">
        <v>201</v>
      </c>
      <c r="D16" s="25" t="b">
        <v>1</v>
      </c>
      <c r="E16" s="25" t="s">
        <v>202</v>
      </c>
      <c r="F16" s="25" t="s">
        <v>203</v>
      </c>
    </row>
    <row r="17" spans="1:6">
      <c r="A17" s="25" t="s">
        <v>204</v>
      </c>
      <c r="B17" s="25" t="s">
        <v>205</v>
      </c>
      <c r="C17" s="25" t="s">
        <v>206</v>
      </c>
      <c r="D17" s="25" t="b">
        <v>1</v>
      </c>
      <c r="E17" s="25" t="s">
        <v>207</v>
      </c>
      <c r="F17" s="25" t="s">
        <v>208</v>
      </c>
    </row>
    <row r="18" spans="1:6">
      <c r="A18" s="25" t="s">
        <v>209</v>
      </c>
      <c r="B18" s="25" t="s">
        <v>210</v>
      </c>
      <c r="C18" s="25" t="s">
        <v>211</v>
      </c>
      <c r="D18" s="25" t="b">
        <v>1</v>
      </c>
      <c r="E18" s="25" t="s">
        <v>212</v>
      </c>
      <c r="F18" s="25" t="s">
        <v>213</v>
      </c>
    </row>
    <row r="19" spans="1:6">
      <c r="A19" s="25" t="s">
        <v>214</v>
      </c>
      <c r="B19" s="25" t="s">
        <v>215</v>
      </c>
      <c r="C19" s="25" t="s">
        <v>216</v>
      </c>
      <c r="D19" s="25" t="b">
        <v>1</v>
      </c>
      <c r="E19" s="25" t="s">
        <v>217</v>
      </c>
      <c r="F19" s="25" t="s">
        <v>218</v>
      </c>
    </row>
    <row r="20" spans="1:6">
      <c r="A20" s="25" t="s">
        <v>219</v>
      </c>
      <c r="B20" s="25" t="s">
        <v>215</v>
      </c>
      <c r="C20" s="25" t="s">
        <v>216</v>
      </c>
      <c r="D20" s="25" t="b">
        <v>1</v>
      </c>
      <c r="E20" s="25" t="s">
        <v>220</v>
      </c>
      <c r="F20" s="25" t="s">
        <v>221</v>
      </c>
    </row>
    <row r="21" spans="1:6">
      <c r="A21" s="25" t="s">
        <v>222</v>
      </c>
      <c r="B21" s="25" t="s">
        <v>223</v>
      </c>
      <c r="C21" s="25" t="s">
        <v>224</v>
      </c>
      <c r="D21" s="25" t="b">
        <v>1</v>
      </c>
      <c r="E21" s="25" t="s">
        <v>225</v>
      </c>
      <c r="F21" s="25" t="s">
        <v>226</v>
      </c>
    </row>
    <row r="22" spans="1:6">
      <c r="A22" s="25" t="s">
        <v>227</v>
      </c>
      <c r="B22" s="25" t="s">
        <v>228</v>
      </c>
      <c r="C22" s="25" t="s">
        <v>229</v>
      </c>
      <c r="D22" s="25" t="b">
        <v>1</v>
      </c>
      <c r="E22" s="25" t="s">
        <v>230</v>
      </c>
      <c r="F22" s="25" t="s">
        <v>231</v>
      </c>
    </row>
    <row r="23" spans="1:6">
      <c r="A23" s="25" t="s">
        <v>232</v>
      </c>
      <c r="B23" s="25" t="s">
        <v>233</v>
      </c>
      <c r="C23" s="25" t="s">
        <v>234</v>
      </c>
      <c r="D23" s="25" t="b">
        <v>1</v>
      </c>
      <c r="E23" s="25" t="s">
        <v>235</v>
      </c>
      <c r="F23" s="25" t="s">
        <v>236</v>
      </c>
    </row>
    <row r="24" spans="1:6">
      <c r="A24" s="25" t="s">
        <v>237</v>
      </c>
      <c r="B24" s="25" t="s">
        <v>234</v>
      </c>
      <c r="C24" s="25" t="s">
        <v>238</v>
      </c>
      <c r="D24" s="25" t="b">
        <v>1</v>
      </c>
      <c r="E24" s="25" t="s">
        <v>239</v>
      </c>
      <c r="F24" s="25" t="s">
        <v>240</v>
      </c>
    </row>
    <row r="25" spans="1:6">
      <c r="A25" s="25" t="s">
        <v>241</v>
      </c>
      <c r="B25" s="25" t="s">
        <v>242</v>
      </c>
      <c r="C25" s="25" t="s">
        <v>243</v>
      </c>
      <c r="D25" s="25" t="b">
        <v>1</v>
      </c>
      <c r="E25" s="25" t="s">
        <v>244</v>
      </c>
      <c r="F25" s="25" t="s">
        <v>245</v>
      </c>
    </row>
    <row r="26" spans="1:6">
      <c r="A26" s="25" t="s">
        <v>246</v>
      </c>
      <c r="B26" s="25" t="s">
        <v>243</v>
      </c>
      <c r="C26" s="25" t="s">
        <v>247</v>
      </c>
      <c r="D26" s="25" t="b">
        <v>1</v>
      </c>
      <c r="E26" s="25" t="s">
        <v>248</v>
      </c>
      <c r="F26" s="25" t="s">
        <v>249</v>
      </c>
    </row>
    <row r="27" spans="1:6">
      <c r="A27" s="25" t="s">
        <v>250</v>
      </c>
      <c r="B27" s="25" t="s">
        <v>251</v>
      </c>
      <c r="C27" s="25" t="s">
        <v>252</v>
      </c>
      <c r="D27" s="25" t="b">
        <v>1</v>
      </c>
      <c r="E27" s="25" t="s">
        <v>253</v>
      </c>
      <c r="F27" s="25" t="s">
        <v>254</v>
      </c>
    </row>
    <row r="28" spans="1:6">
      <c r="A28" s="25" t="s">
        <v>255</v>
      </c>
      <c r="B28" s="25" t="s">
        <v>252</v>
      </c>
      <c r="C28" s="25" t="s">
        <v>256</v>
      </c>
      <c r="D28" s="25" t="b">
        <v>1</v>
      </c>
      <c r="E28" s="25" t="s">
        <v>257</v>
      </c>
      <c r="F28" s="25" t="s">
        <v>258</v>
      </c>
    </row>
    <row r="29" spans="1:6">
      <c r="A29" s="25" t="s">
        <v>259</v>
      </c>
      <c r="B29" s="25" t="s">
        <v>238</v>
      </c>
      <c r="C29" s="25" t="s">
        <v>260</v>
      </c>
      <c r="D29" s="25" t="b">
        <v>1</v>
      </c>
      <c r="E29" s="25" t="s">
        <v>261</v>
      </c>
      <c r="F29" s="25" t="s">
        <v>262</v>
      </c>
    </row>
    <row r="30" spans="1:6">
      <c r="A30" s="25" t="s">
        <v>263</v>
      </c>
      <c r="B30" s="25" t="s">
        <v>264</v>
      </c>
      <c r="C30" s="25" t="s">
        <v>265</v>
      </c>
      <c r="D30" s="25" t="b">
        <v>1</v>
      </c>
      <c r="E30" s="25" t="s">
        <v>266</v>
      </c>
      <c r="F30" s="25" t="s">
        <v>267</v>
      </c>
    </row>
    <row r="31" spans="1:6">
      <c r="A31" s="25" t="s">
        <v>268</v>
      </c>
      <c r="B31" s="25" t="s">
        <v>264</v>
      </c>
      <c r="C31" s="25" t="s">
        <v>265</v>
      </c>
      <c r="D31" s="25" t="b">
        <v>1</v>
      </c>
      <c r="E31" s="25" t="s">
        <v>269</v>
      </c>
      <c r="F31" s="25" t="s">
        <v>270</v>
      </c>
    </row>
    <row r="32" spans="1:6">
      <c r="A32" s="25" t="s">
        <v>271</v>
      </c>
      <c r="B32" s="25" t="s">
        <v>272</v>
      </c>
      <c r="C32" s="25" t="s">
        <v>273</v>
      </c>
      <c r="D32" s="25" t="b">
        <v>1</v>
      </c>
      <c r="E32" s="25" t="s">
        <v>274</v>
      </c>
      <c r="F32" s="25" t="s">
        <v>275</v>
      </c>
    </row>
    <row r="33" spans="1:6">
      <c r="A33" s="25" t="s">
        <v>276</v>
      </c>
      <c r="B33" s="25" t="s">
        <v>277</v>
      </c>
      <c r="C33" s="25" t="s">
        <v>278</v>
      </c>
      <c r="D33" s="25" t="b">
        <v>1</v>
      </c>
      <c r="E33" s="25" t="s">
        <v>279</v>
      </c>
      <c r="F33" s="25" t="s">
        <v>280</v>
      </c>
    </row>
    <row r="34" spans="1:6">
      <c r="A34" s="25" t="s">
        <v>281</v>
      </c>
      <c r="B34" s="25" t="s">
        <v>282</v>
      </c>
      <c r="C34" s="25" t="s">
        <v>283</v>
      </c>
      <c r="D34" s="25" t="b">
        <v>1</v>
      </c>
      <c r="E34" s="25" t="s">
        <v>284</v>
      </c>
      <c r="F34" s="25" t="s">
        <v>285</v>
      </c>
    </row>
    <row r="35" spans="1:6">
      <c r="A35" s="25" t="s">
        <v>286</v>
      </c>
      <c r="B35" s="25" t="s">
        <v>287</v>
      </c>
      <c r="C35" s="25" t="s">
        <v>288</v>
      </c>
      <c r="D35" s="25" t="b">
        <v>1</v>
      </c>
      <c r="E35" s="25" t="s">
        <v>289</v>
      </c>
      <c r="F35" s="25" t="s">
        <v>290</v>
      </c>
    </row>
    <row r="36" spans="1:6">
      <c r="A36" s="25" t="s">
        <v>291</v>
      </c>
      <c r="B36" s="25" t="s">
        <v>288</v>
      </c>
      <c r="C36" s="25" t="s">
        <v>292</v>
      </c>
      <c r="D36" s="25" t="b">
        <v>1</v>
      </c>
      <c r="E36" s="25" t="s">
        <v>293</v>
      </c>
      <c r="F36" s="25" t="s">
        <v>294</v>
      </c>
    </row>
    <row r="37" spans="1:6">
      <c r="A37" s="25" t="s">
        <v>295</v>
      </c>
      <c r="B37" s="25" t="s">
        <v>292</v>
      </c>
      <c r="C37" s="25" t="s">
        <v>296</v>
      </c>
      <c r="D37" s="25" t="b">
        <v>1</v>
      </c>
      <c r="E37" s="25" t="s">
        <v>297</v>
      </c>
      <c r="F37" s="25" t="s">
        <v>298</v>
      </c>
    </row>
    <row r="38" spans="1:6">
      <c r="A38" s="25" t="s">
        <v>299</v>
      </c>
      <c r="B38" s="25" t="s">
        <v>296</v>
      </c>
      <c r="C38" s="25" t="s">
        <v>300</v>
      </c>
      <c r="D38" s="25" t="b">
        <v>1</v>
      </c>
      <c r="E38" s="25" t="s">
        <v>301</v>
      </c>
      <c r="F38" s="25" t="s">
        <v>302</v>
      </c>
    </row>
    <row r="39" spans="1:6">
      <c r="A39" s="25" t="s">
        <v>295</v>
      </c>
      <c r="B39" s="25" t="s">
        <v>300</v>
      </c>
      <c r="C39" s="25" t="s">
        <v>303</v>
      </c>
      <c r="D39" s="25" t="b">
        <v>1</v>
      </c>
      <c r="E39" s="25" t="s">
        <v>304</v>
      </c>
      <c r="F39" s="25" t="s">
        <v>305</v>
      </c>
    </row>
    <row r="40" spans="1:6">
      <c r="A40" s="25" t="s">
        <v>295</v>
      </c>
      <c r="B40" s="25" t="s">
        <v>303</v>
      </c>
      <c r="C40" s="25" t="s">
        <v>306</v>
      </c>
      <c r="D40" s="25" t="b">
        <v>1</v>
      </c>
      <c r="E40" s="25" t="s">
        <v>307</v>
      </c>
      <c r="F40" s="25" t="s">
        <v>308</v>
      </c>
    </row>
    <row r="41" spans="1:6">
      <c r="A41" s="25" t="s">
        <v>309</v>
      </c>
      <c r="B41" s="25" t="s">
        <v>310</v>
      </c>
      <c r="C41" s="25" t="s">
        <v>311</v>
      </c>
      <c r="D41" s="25" t="b">
        <v>1</v>
      </c>
      <c r="E41" s="25" t="s">
        <v>312</v>
      </c>
      <c r="F41" s="25" t="s">
        <v>313</v>
      </c>
    </row>
    <row r="42" spans="1:6">
      <c r="A42" s="25" t="s">
        <v>314</v>
      </c>
      <c r="B42" s="25" t="s">
        <v>311</v>
      </c>
      <c r="C42" s="25" t="s">
        <v>315</v>
      </c>
      <c r="D42" s="25" t="b">
        <v>1</v>
      </c>
      <c r="E42" s="25" t="s">
        <v>316</v>
      </c>
      <c r="F42" s="25" t="s">
        <v>317</v>
      </c>
    </row>
    <row r="43" spans="1:6">
      <c r="A43" s="25" t="s">
        <v>318</v>
      </c>
      <c r="B43" s="25" t="s">
        <v>319</v>
      </c>
      <c r="C43" s="25" t="s">
        <v>320</v>
      </c>
      <c r="D43" s="25" t="b">
        <v>1</v>
      </c>
      <c r="E43" s="25" t="s">
        <v>321</v>
      </c>
      <c r="F43" s="25" t="s">
        <v>322</v>
      </c>
    </row>
    <row r="44" spans="1:6">
      <c r="A44" s="25" t="s">
        <v>323</v>
      </c>
      <c r="B44" s="25" t="s">
        <v>320</v>
      </c>
      <c r="C44" s="25" t="s">
        <v>324</v>
      </c>
      <c r="D44" s="25" t="b">
        <v>1</v>
      </c>
      <c r="E44" s="25" t="s">
        <v>325</v>
      </c>
      <c r="F44" s="25" t="s">
        <v>326</v>
      </c>
    </row>
    <row r="45" spans="1:6">
      <c r="A45" s="25" t="s">
        <v>327</v>
      </c>
      <c r="B45" s="25" t="s">
        <v>324</v>
      </c>
      <c r="C45" s="25" t="s">
        <v>328</v>
      </c>
      <c r="D45" s="25" t="b">
        <v>1</v>
      </c>
      <c r="E45" s="25" t="s">
        <v>329</v>
      </c>
      <c r="F45" s="25" t="s">
        <v>330</v>
      </c>
    </row>
    <row r="46" spans="1:6">
      <c r="A46" s="25" t="s">
        <v>314</v>
      </c>
      <c r="B46" s="25" t="s">
        <v>328</v>
      </c>
      <c r="C46" s="25" t="s">
        <v>331</v>
      </c>
      <c r="D46" s="25" t="b">
        <v>1</v>
      </c>
      <c r="E46" s="25" t="s">
        <v>332</v>
      </c>
      <c r="F46" s="25" t="s">
        <v>333</v>
      </c>
    </row>
    <row r="47" spans="1:6">
      <c r="A47" s="25" t="s">
        <v>334</v>
      </c>
      <c r="B47" s="25" t="s">
        <v>335</v>
      </c>
      <c r="C47" s="25" t="s">
        <v>336</v>
      </c>
      <c r="D47" s="25" t="b">
        <v>1</v>
      </c>
      <c r="E47" s="25" t="s">
        <v>337</v>
      </c>
      <c r="F47" s="25" t="s">
        <v>338</v>
      </c>
    </row>
    <row r="48" spans="1:6">
      <c r="A48" s="25" t="s">
        <v>339</v>
      </c>
      <c r="B48" s="25" t="s">
        <v>340</v>
      </c>
      <c r="C48" s="25" t="s">
        <v>341</v>
      </c>
      <c r="D48" s="25" t="b">
        <v>1</v>
      </c>
      <c r="E48" s="25" t="s">
        <v>342</v>
      </c>
      <c r="F48" s="25" t="s">
        <v>343</v>
      </c>
    </row>
    <row r="49" spans="1:6">
      <c r="A49" s="25" t="s">
        <v>344</v>
      </c>
      <c r="B49" s="25" t="s">
        <v>341</v>
      </c>
      <c r="C49" s="25" t="s">
        <v>345</v>
      </c>
      <c r="D49" s="25" t="b">
        <v>1</v>
      </c>
      <c r="E49" s="25" t="s">
        <v>346</v>
      </c>
      <c r="F49" s="25" t="s">
        <v>347</v>
      </c>
    </row>
    <row r="50" spans="1:6">
      <c r="A50" s="25" t="s">
        <v>348</v>
      </c>
      <c r="B50" s="25" t="s">
        <v>349</v>
      </c>
      <c r="C50" s="25" t="s">
        <v>350</v>
      </c>
      <c r="D50" s="25" t="b">
        <v>1</v>
      </c>
      <c r="E50" s="25" t="s">
        <v>351</v>
      </c>
      <c r="F50" s="25" t="s">
        <v>352</v>
      </c>
    </row>
    <row r="51" spans="1:6">
      <c r="A51" s="25" t="s">
        <v>214</v>
      </c>
      <c r="B51" s="25" t="s">
        <v>353</v>
      </c>
      <c r="C51" s="25" t="s">
        <v>354</v>
      </c>
      <c r="D51" s="25" t="b">
        <v>1</v>
      </c>
      <c r="E51" s="25" t="s">
        <v>355</v>
      </c>
      <c r="F51" s="25" t="s">
        <v>356</v>
      </c>
    </row>
    <row r="52" spans="1:6">
      <c r="A52" s="25" t="s">
        <v>222</v>
      </c>
      <c r="B52" s="25" t="s">
        <v>357</v>
      </c>
      <c r="C52" s="25" t="s">
        <v>358</v>
      </c>
      <c r="D52" s="25" t="b">
        <v>1</v>
      </c>
      <c r="E52" s="25" t="s">
        <v>359</v>
      </c>
      <c r="F52" s="25" t="s">
        <v>360</v>
      </c>
    </row>
    <row r="53" spans="1:6">
      <c r="A53" s="25" t="s">
        <v>361</v>
      </c>
      <c r="B53" s="25" t="s">
        <v>362</v>
      </c>
      <c r="C53" s="25" t="s">
        <v>363</v>
      </c>
      <c r="D53" s="25" t="b">
        <v>1</v>
      </c>
      <c r="E53" s="25" t="s">
        <v>364</v>
      </c>
      <c r="F53" s="25" t="s">
        <v>365</v>
      </c>
    </row>
    <row r="54" spans="1:6">
      <c r="A54" s="25" t="s">
        <v>366</v>
      </c>
      <c r="B54" s="25" t="s">
        <v>367</v>
      </c>
      <c r="C54" s="25" t="s">
        <v>368</v>
      </c>
      <c r="D54" s="25" t="b">
        <v>1</v>
      </c>
      <c r="E54" s="25" t="s">
        <v>369</v>
      </c>
      <c r="F54" s="25" t="s">
        <v>370</v>
      </c>
    </row>
    <row r="55" spans="1:6">
      <c r="A55" s="25" t="s">
        <v>371</v>
      </c>
      <c r="B55" s="25" t="s">
        <v>368</v>
      </c>
      <c r="C55" s="25" t="s">
        <v>372</v>
      </c>
      <c r="D55" s="25" t="b">
        <v>1</v>
      </c>
      <c r="E55" s="25" t="s">
        <v>373</v>
      </c>
      <c r="F55" s="25" t="s">
        <v>374</v>
      </c>
    </row>
    <row r="56" spans="1:6">
      <c r="A56" s="25" t="s">
        <v>375</v>
      </c>
      <c r="B56" s="25" t="s">
        <v>376</v>
      </c>
      <c r="C56" s="25" t="s">
        <v>377</v>
      </c>
      <c r="D56" s="25" t="b">
        <v>1</v>
      </c>
      <c r="E56" s="25" t="s">
        <v>378</v>
      </c>
      <c r="F56" s="25" t="s">
        <v>379</v>
      </c>
    </row>
    <row r="57" spans="1:6">
      <c r="A57" s="25" t="s">
        <v>380</v>
      </c>
      <c r="B57" s="25" t="s">
        <v>377</v>
      </c>
      <c r="C57" s="25" t="s">
        <v>381</v>
      </c>
      <c r="D57" s="25" t="b">
        <v>1</v>
      </c>
      <c r="E57" s="25" t="s">
        <v>382</v>
      </c>
      <c r="F57" s="25" t="s">
        <v>383</v>
      </c>
    </row>
    <row r="58" spans="1:6">
      <c r="A58" s="25" t="s">
        <v>380</v>
      </c>
      <c r="B58" s="25" t="s">
        <v>381</v>
      </c>
      <c r="C58" s="25" t="s">
        <v>384</v>
      </c>
      <c r="D58" s="25" t="b">
        <v>1</v>
      </c>
      <c r="E58" s="25" t="s">
        <v>385</v>
      </c>
      <c r="F58" s="25" t="s">
        <v>386</v>
      </c>
    </row>
    <row r="59" spans="1:6">
      <c r="A59" s="25" t="s">
        <v>380</v>
      </c>
      <c r="B59" s="25" t="s">
        <v>384</v>
      </c>
      <c r="C59" s="25" t="s">
        <v>387</v>
      </c>
      <c r="D59" s="25" t="b">
        <v>1</v>
      </c>
      <c r="E59" s="25" t="s">
        <v>388</v>
      </c>
      <c r="F59" s="25" t="s">
        <v>389</v>
      </c>
    </row>
    <row r="60" spans="1:6">
      <c r="A60" s="25" t="s">
        <v>390</v>
      </c>
      <c r="B60" s="25" t="s">
        <v>391</v>
      </c>
      <c r="C60" s="25" t="s">
        <v>392</v>
      </c>
      <c r="D60" s="25" t="b">
        <v>1</v>
      </c>
      <c r="E60" s="25" t="s">
        <v>393</v>
      </c>
      <c r="F60" s="25" t="s">
        <v>394</v>
      </c>
    </row>
    <row r="61" spans="1:6">
      <c r="A61" s="25" t="s">
        <v>395</v>
      </c>
      <c r="B61" s="25" t="s">
        <v>396</v>
      </c>
      <c r="C61" s="25" t="s">
        <v>397</v>
      </c>
      <c r="D61" s="25" t="b">
        <v>1</v>
      </c>
      <c r="E61" s="25" t="s">
        <v>398</v>
      </c>
      <c r="F61" s="25" t="s">
        <v>399</v>
      </c>
    </row>
    <row r="62" spans="1:6">
      <c r="A62" s="25" t="s">
        <v>400</v>
      </c>
      <c r="B62" s="25" t="s">
        <v>401</v>
      </c>
      <c r="C62" s="25" t="s">
        <v>397</v>
      </c>
      <c r="D62" s="25" t="b">
        <v>1</v>
      </c>
      <c r="E62" s="25" t="s">
        <v>402</v>
      </c>
      <c r="F62" s="25" t="s">
        <v>403</v>
      </c>
    </row>
    <row r="63" spans="1:6">
      <c r="A63" s="25" t="s">
        <v>404</v>
      </c>
      <c r="B63" s="25" t="s">
        <v>397</v>
      </c>
      <c r="C63" s="25" t="s">
        <v>405</v>
      </c>
      <c r="D63" s="25" t="b">
        <v>1</v>
      </c>
      <c r="E63" s="25" t="s">
        <v>406</v>
      </c>
      <c r="F63" s="25" t="s">
        <v>407</v>
      </c>
    </row>
    <row r="64" spans="1:6">
      <c r="A64" s="25" t="s">
        <v>408</v>
      </c>
      <c r="B64" s="25" t="s">
        <v>409</v>
      </c>
      <c r="C64" s="25" t="s">
        <v>410</v>
      </c>
      <c r="D64" s="25" t="b">
        <v>1</v>
      </c>
      <c r="E64" s="25" t="s">
        <v>411</v>
      </c>
      <c r="F64" s="25" t="s">
        <v>412</v>
      </c>
    </row>
    <row r="65" spans="1:6">
      <c r="A65" s="25" t="s">
        <v>413</v>
      </c>
      <c r="B65" s="25" t="s">
        <v>414</v>
      </c>
      <c r="C65" s="25" t="s">
        <v>415</v>
      </c>
      <c r="D65" s="25" t="b">
        <v>1</v>
      </c>
      <c r="E65" s="25" t="s">
        <v>416</v>
      </c>
      <c r="F65" s="25" t="s">
        <v>417</v>
      </c>
    </row>
    <row r="66" spans="1:6">
      <c r="A66" s="25" t="s">
        <v>418</v>
      </c>
      <c r="B66" s="25" t="s">
        <v>419</v>
      </c>
      <c r="C66" s="25" t="s">
        <v>420</v>
      </c>
      <c r="D66" s="25" t="b">
        <v>1</v>
      </c>
      <c r="E66" s="25" t="s">
        <v>421</v>
      </c>
      <c r="F66" s="25" t="s">
        <v>422</v>
      </c>
    </row>
    <row r="67" spans="1:6">
      <c r="A67" s="25" t="s">
        <v>423</v>
      </c>
      <c r="B67" s="25" t="s">
        <v>420</v>
      </c>
      <c r="C67" s="25" t="s">
        <v>424</v>
      </c>
      <c r="D67" s="25" t="b">
        <v>1</v>
      </c>
      <c r="E67" s="25" t="s">
        <v>425</v>
      </c>
      <c r="F67" s="25" t="s">
        <v>426</v>
      </c>
    </row>
    <row r="68" spans="1:6">
      <c r="A68" s="25" t="s">
        <v>427</v>
      </c>
      <c r="B68" s="25" t="s">
        <v>424</v>
      </c>
      <c r="C68" s="25" t="s">
        <v>428</v>
      </c>
      <c r="D68" s="25" t="b">
        <v>1</v>
      </c>
      <c r="E68" s="25" t="s">
        <v>429</v>
      </c>
      <c r="F68" s="25" t="s">
        <v>430</v>
      </c>
    </row>
    <row r="69" spans="1:6">
      <c r="A69" s="25" t="s">
        <v>431</v>
      </c>
      <c r="B69" s="25" t="s">
        <v>432</v>
      </c>
      <c r="C69" s="25" t="s">
        <v>433</v>
      </c>
      <c r="D69" s="25" t="b">
        <v>1</v>
      </c>
      <c r="E69" s="25" t="s">
        <v>434</v>
      </c>
      <c r="F69" s="25" t="s">
        <v>435</v>
      </c>
    </row>
    <row r="70" spans="1:6">
      <c r="A70" s="25" t="s">
        <v>436</v>
      </c>
      <c r="B70" s="25" t="s">
        <v>437</v>
      </c>
      <c r="C70" s="25" t="s">
        <v>438</v>
      </c>
      <c r="D70" s="25" t="b">
        <v>1</v>
      </c>
      <c r="E70" s="25" t="s">
        <v>439</v>
      </c>
      <c r="F70" s="25" t="s">
        <v>440</v>
      </c>
    </row>
    <row r="71" spans="1:6">
      <c r="A71" s="25" t="s">
        <v>441</v>
      </c>
      <c r="B71" s="25" t="s">
        <v>442</v>
      </c>
      <c r="C71" s="25" t="s">
        <v>443</v>
      </c>
      <c r="D71" s="25" t="b">
        <v>1</v>
      </c>
      <c r="E71" s="25" t="s">
        <v>444</v>
      </c>
      <c r="F71" s="25" t="s">
        <v>445</v>
      </c>
    </row>
    <row r="72" spans="1:6">
      <c r="A72" s="25" t="s">
        <v>446</v>
      </c>
      <c r="B72" s="25" t="s">
        <v>447</v>
      </c>
      <c r="C72" s="25" t="s">
        <v>448</v>
      </c>
      <c r="D72" s="25" t="b">
        <v>1</v>
      </c>
      <c r="E72" s="25" t="s">
        <v>449</v>
      </c>
      <c r="F72" s="25" t="s">
        <v>450</v>
      </c>
    </row>
    <row r="73" spans="1:6">
      <c r="A73" s="25" t="s">
        <v>451</v>
      </c>
      <c r="B73" s="25" t="s">
        <v>452</v>
      </c>
      <c r="C73" s="25" t="s">
        <v>453</v>
      </c>
      <c r="D73" s="25" t="b">
        <v>1</v>
      </c>
      <c r="E73" s="25" t="s">
        <v>454</v>
      </c>
      <c r="F73" s="25" t="s">
        <v>455</v>
      </c>
    </row>
    <row r="74" spans="1:6">
      <c r="A74" s="25" t="s">
        <v>456</v>
      </c>
      <c r="B74" s="25" t="s">
        <v>452</v>
      </c>
      <c r="C74" s="25" t="s">
        <v>453</v>
      </c>
      <c r="D74" s="25" t="b">
        <v>1</v>
      </c>
      <c r="E74" s="25" t="s">
        <v>457</v>
      </c>
      <c r="F74" s="25" t="s">
        <v>458</v>
      </c>
    </row>
    <row r="75" spans="1:6">
      <c r="A75" s="25" t="s">
        <v>459</v>
      </c>
      <c r="B75" s="25" t="s">
        <v>460</v>
      </c>
      <c r="C75" s="25" t="s">
        <v>461</v>
      </c>
      <c r="D75" s="25" t="b">
        <v>1</v>
      </c>
      <c r="E75" s="25" t="s">
        <v>462</v>
      </c>
      <c r="F75" s="25" t="s">
        <v>463</v>
      </c>
    </row>
    <row r="76" spans="1:6">
      <c r="A76" s="25" t="s">
        <v>464</v>
      </c>
      <c r="B76" s="25" t="s">
        <v>465</v>
      </c>
      <c r="C76" s="25" t="s">
        <v>466</v>
      </c>
      <c r="D76" s="25" t="b">
        <v>1</v>
      </c>
      <c r="E76" s="25" t="s">
        <v>467</v>
      </c>
      <c r="F76" s="25" t="s">
        <v>468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EDFA5-BC0E-B34D-A2E7-4576062A549B}">
  <dimension ref="A1:F76"/>
  <sheetViews>
    <sheetView topLeftCell="A53" workbookViewId="0"/>
  </sheetViews>
  <sheetFormatPr defaultColWidth="11" defaultRowHeight="15.95"/>
  <sheetData>
    <row r="1" spans="1:6" ht="15.75">
      <c r="A1" t="s">
        <v>130</v>
      </c>
      <c r="B1" t="s">
        <v>131</v>
      </c>
      <c r="C1" t="s">
        <v>132</v>
      </c>
      <c r="D1" t="s">
        <v>133</v>
      </c>
      <c r="E1" t="s">
        <v>134</v>
      </c>
      <c r="F1" t="s">
        <v>135</v>
      </c>
    </row>
    <row r="2" spans="1:6">
      <c r="A2" t="s">
        <v>136</v>
      </c>
      <c r="B2" t="s">
        <v>137</v>
      </c>
      <c r="C2" t="s">
        <v>138</v>
      </c>
      <c r="D2" t="b">
        <v>1</v>
      </c>
      <c r="E2" t="s">
        <v>139</v>
      </c>
      <c r="F2" t="s">
        <v>140</v>
      </c>
    </row>
    <row r="3" spans="1:6">
      <c r="A3" t="s">
        <v>141</v>
      </c>
      <c r="B3" t="s">
        <v>138</v>
      </c>
      <c r="C3" t="s">
        <v>142</v>
      </c>
      <c r="D3" t="b">
        <v>1</v>
      </c>
      <c r="E3" t="s">
        <v>143</v>
      </c>
      <c r="F3" t="s">
        <v>144</v>
      </c>
    </row>
    <row r="4" spans="1:6">
      <c r="A4" t="s">
        <v>145</v>
      </c>
      <c r="B4" t="s">
        <v>142</v>
      </c>
      <c r="C4" t="s">
        <v>146</v>
      </c>
      <c r="D4" t="b">
        <v>1</v>
      </c>
      <c r="E4" t="s">
        <v>147</v>
      </c>
      <c r="F4" t="s">
        <v>148</v>
      </c>
    </row>
    <row r="5" spans="1:6">
      <c r="A5" t="s">
        <v>149</v>
      </c>
      <c r="B5" t="s">
        <v>150</v>
      </c>
      <c r="C5" t="s">
        <v>151</v>
      </c>
      <c r="D5" t="b">
        <v>1</v>
      </c>
      <c r="E5" t="s">
        <v>152</v>
      </c>
      <c r="F5" t="s">
        <v>153</v>
      </c>
    </row>
    <row r="6" spans="1:6">
      <c r="A6" t="s">
        <v>154</v>
      </c>
      <c r="B6" t="s">
        <v>151</v>
      </c>
      <c r="C6" t="s">
        <v>155</v>
      </c>
      <c r="D6" t="b">
        <v>1</v>
      </c>
      <c r="E6" t="s">
        <v>156</v>
      </c>
      <c r="F6" t="s">
        <v>157</v>
      </c>
    </row>
    <row r="7" spans="1:6">
      <c r="A7" t="s">
        <v>158</v>
      </c>
      <c r="B7" t="s">
        <v>159</v>
      </c>
      <c r="C7" t="s">
        <v>160</v>
      </c>
      <c r="D7" t="b">
        <v>1</v>
      </c>
      <c r="E7" t="s">
        <v>161</v>
      </c>
      <c r="F7" t="s">
        <v>162</v>
      </c>
    </row>
    <row r="8" spans="1:6">
      <c r="A8" t="s">
        <v>163</v>
      </c>
      <c r="B8" t="s">
        <v>164</v>
      </c>
      <c r="C8" t="s">
        <v>165</v>
      </c>
      <c r="D8" t="b">
        <v>1</v>
      </c>
      <c r="E8" t="s">
        <v>166</v>
      </c>
      <c r="F8" t="s">
        <v>167</v>
      </c>
    </row>
    <row r="9" spans="1:6">
      <c r="A9" t="s">
        <v>168</v>
      </c>
      <c r="B9" t="s">
        <v>169</v>
      </c>
      <c r="C9" t="s">
        <v>170</v>
      </c>
      <c r="D9" t="b">
        <v>1</v>
      </c>
      <c r="E9" t="s">
        <v>171</v>
      </c>
      <c r="F9" t="s">
        <v>172</v>
      </c>
    </row>
    <row r="10" spans="1:6">
      <c r="A10" t="s">
        <v>173</v>
      </c>
      <c r="B10" t="s">
        <v>169</v>
      </c>
      <c r="C10" t="s">
        <v>170</v>
      </c>
      <c r="D10" t="b">
        <v>1</v>
      </c>
      <c r="E10" t="s">
        <v>174</v>
      </c>
      <c r="F10" t="s">
        <v>175</v>
      </c>
    </row>
    <row r="11" spans="1:6">
      <c r="A11" t="s">
        <v>176</v>
      </c>
      <c r="B11" t="s">
        <v>177</v>
      </c>
      <c r="C11" t="s">
        <v>178</v>
      </c>
      <c r="D11" t="b">
        <v>1</v>
      </c>
      <c r="E11" t="s">
        <v>179</v>
      </c>
      <c r="F11" t="s">
        <v>180</v>
      </c>
    </row>
    <row r="12" spans="1:6">
      <c r="A12" t="s">
        <v>181</v>
      </c>
      <c r="B12" t="s">
        <v>178</v>
      </c>
      <c r="C12" t="s">
        <v>182</v>
      </c>
      <c r="D12" t="b">
        <v>1</v>
      </c>
      <c r="E12" t="s">
        <v>183</v>
      </c>
      <c r="F12" t="s">
        <v>184</v>
      </c>
    </row>
    <row r="13" spans="1:6">
      <c r="A13" t="s">
        <v>185</v>
      </c>
      <c r="B13" t="s">
        <v>186</v>
      </c>
      <c r="C13" t="s">
        <v>187</v>
      </c>
      <c r="D13" t="b">
        <v>1</v>
      </c>
      <c r="E13" t="s">
        <v>188</v>
      </c>
      <c r="F13" t="s">
        <v>189</v>
      </c>
    </row>
    <row r="14" spans="1:6">
      <c r="A14" t="s">
        <v>190</v>
      </c>
      <c r="B14" t="s">
        <v>191</v>
      </c>
      <c r="C14" t="s">
        <v>192</v>
      </c>
      <c r="D14" t="b">
        <v>1</v>
      </c>
      <c r="E14" t="s">
        <v>193</v>
      </c>
      <c r="F14" t="s">
        <v>194</v>
      </c>
    </row>
    <row r="15" spans="1:6">
      <c r="A15" t="s">
        <v>195</v>
      </c>
      <c r="B15" t="s">
        <v>192</v>
      </c>
      <c r="C15" t="s">
        <v>196</v>
      </c>
      <c r="D15" t="b">
        <v>1</v>
      </c>
      <c r="E15" t="s">
        <v>197</v>
      </c>
      <c r="F15" t="s">
        <v>198</v>
      </c>
    </row>
    <row r="16" spans="1:6">
      <c r="A16" t="s">
        <v>199</v>
      </c>
      <c r="B16" t="s">
        <v>200</v>
      </c>
      <c r="C16" t="s">
        <v>201</v>
      </c>
      <c r="D16" t="b">
        <v>1</v>
      </c>
      <c r="E16" t="s">
        <v>202</v>
      </c>
      <c r="F16" t="s">
        <v>203</v>
      </c>
    </row>
    <row r="17" spans="1:6">
      <c r="A17" t="s">
        <v>204</v>
      </c>
      <c r="B17" t="s">
        <v>205</v>
      </c>
      <c r="C17" t="s">
        <v>206</v>
      </c>
      <c r="D17" t="b">
        <v>1</v>
      </c>
      <c r="E17" t="s">
        <v>207</v>
      </c>
      <c r="F17" t="s">
        <v>208</v>
      </c>
    </row>
    <row r="18" spans="1:6">
      <c r="A18" t="s">
        <v>209</v>
      </c>
      <c r="B18" t="s">
        <v>210</v>
      </c>
      <c r="C18" t="s">
        <v>211</v>
      </c>
      <c r="D18" t="b">
        <v>1</v>
      </c>
      <c r="E18" t="s">
        <v>212</v>
      </c>
      <c r="F18" t="s">
        <v>213</v>
      </c>
    </row>
    <row r="19" spans="1:6">
      <c r="A19" t="s">
        <v>214</v>
      </c>
      <c r="B19" t="s">
        <v>215</v>
      </c>
      <c r="C19" t="s">
        <v>216</v>
      </c>
      <c r="D19" t="b">
        <v>1</v>
      </c>
      <c r="E19" t="s">
        <v>217</v>
      </c>
      <c r="F19" t="s">
        <v>218</v>
      </c>
    </row>
    <row r="20" spans="1:6">
      <c r="A20" t="s">
        <v>219</v>
      </c>
      <c r="B20" t="s">
        <v>215</v>
      </c>
      <c r="C20" t="s">
        <v>216</v>
      </c>
      <c r="D20" t="b">
        <v>1</v>
      </c>
      <c r="E20" t="s">
        <v>220</v>
      </c>
      <c r="F20" t="s">
        <v>221</v>
      </c>
    </row>
    <row r="21" spans="1:6">
      <c r="A21" t="s">
        <v>222</v>
      </c>
      <c r="B21" t="s">
        <v>223</v>
      </c>
      <c r="C21" t="s">
        <v>224</v>
      </c>
      <c r="D21" t="b">
        <v>1</v>
      </c>
      <c r="E21" t="s">
        <v>225</v>
      </c>
      <c r="F21" t="s">
        <v>226</v>
      </c>
    </row>
    <row r="22" spans="1:6">
      <c r="A22" t="s">
        <v>227</v>
      </c>
      <c r="B22" t="s">
        <v>228</v>
      </c>
      <c r="C22" t="s">
        <v>229</v>
      </c>
      <c r="D22" t="b">
        <v>1</v>
      </c>
      <c r="E22" t="s">
        <v>230</v>
      </c>
      <c r="F22" t="s">
        <v>231</v>
      </c>
    </row>
    <row r="23" spans="1:6">
      <c r="A23" t="s">
        <v>232</v>
      </c>
      <c r="B23" t="s">
        <v>233</v>
      </c>
      <c r="C23" t="s">
        <v>234</v>
      </c>
      <c r="D23" t="b">
        <v>1</v>
      </c>
      <c r="E23" t="s">
        <v>235</v>
      </c>
      <c r="F23" t="s">
        <v>236</v>
      </c>
    </row>
    <row r="24" spans="1:6">
      <c r="A24" t="s">
        <v>237</v>
      </c>
      <c r="B24" t="s">
        <v>234</v>
      </c>
      <c r="C24" t="s">
        <v>238</v>
      </c>
      <c r="D24" t="b">
        <v>1</v>
      </c>
      <c r="E24" t="s">
        <v>239</v>
      </c>
      <c r="F24" t="s">
        <v>240</v>
      </c>
    </row>
    <row r="25" spans="1:6">
      <c r="A25" t="s">
        <v>241</v>
      </c>
      <c r="B25" t="s">
        <v>242</v>
      </c>
      <c r="C25" t="s">
        <v>243</v>
      </c>
      <c r="D25" t="b">
        <v>1</v>
      </c>
      <c r="E25" t="s">
        <v>244</v>
      </c>
      <c r="F25" t="s">
        <v>245</v>
      </c>
    </row>
    <row r="26" spans="1:6">
      <c r="A26" t="s">
        <v>246</v>
      </c>
      <c r="B26" t="s">
        <v>243</v>
      </c>
      <c r="C26" t="s">
        <v>247</v>
      </c>
      <c r="D26" t="b">
        <v>1</v>
      </c>
      <c r="E26" t="s">
        <v>248</v>
      </c>
      <c r="F26" t="s">
        <v>249</v>
      </c>
    </row>
    <row r="27" spans="1:6">
      <c r="A27" t="s">
        <v>250</v>
      </c>
      <c r="B27" t="s">
        <v>251</v>
      </c>
      <c r="C27" t="s">
        <v>252</v>
      </c>
      <c r="D27" t="b">
        <v>1</v>
      </c>
      <c r="E27" t="s">
        <v>253</v>
      </c>
      <c r="F27" t="s">
        <v>254</v>
      </c>
    </row>
    <row r="28" spans="1:6">
      <c r="A28" t="s">
        <v>255</v>
      </c>
      <c r="B28" t="s">
        <v>252</v>
      </c>
      <c r="C28" t="s">
        <v>256</v>
      </c>
      <c r="D28" t="b">
        <v>1</v>
      </c>
      <c r="E28" t="s">
        <v>257</v>
      </c>
      <c r="F28" t="s">
        <v>258</v>
      </c>
    </row>
    <row r="29" spans="1:6">
      <c r="A29" t="s">
        <v>259</v>
      </c>
      <c r="B29" t="s">
        <v>238</v>
      </c>
      <c r="C29" t="s">
        <v>260</v>
      </c>
      <c r="D29" t="b">
        <v>1</v>
      </c>
      <c r="E29" t="s">
        <v>261</v>
      </c>
      <c r="F29" t="s">
        <v>262</v>
      </c>
    </row>
    <row r="30" spans="1:6">
      <c r="A30" t="s">
        <v>263</v>
      </c>
      <c r="B30" t="s">
        <v>264</v>
      </c>
      <c r="C30" t="s">
        <v>265</v>
      </c>
      <c r="D30" t="b">
        <v>1</v>
      </c>
      <c r="E30" t="s">
        <v>266</v>
      </c>
      <c r="F30" t="s">
        <v>267</v>
      </c>
    </row>
    <row r="31" spans="1:6">
      <c r="A31" t="s">
        <v>268</v>
      </c>
      <c r="B31" t="s">
        <v>264</v>
      </c>
      <c r="C31" t="s">
        <v>265</v>
      </c>
      <c r="D31" t="b">
        <v>1</v>
      </c>
      <c r="E31" t="s">
        <v>269</v>
      </c>
      <c r="F31" t="s">
        <v>270</v>
      </c>
    </row>
    <row r="32" spans="1:6">
      <c r="A32" t="s">
        <v>271</v>
      </c>
      <c r="B32" t="s">
        <v>272</v>
      </c>
      <c r="C32" t="s">
        <v>273</v>
      </c>
      <c r="D32" t="b">
        <v>1</v>
      </c>
      <c r="E32" t="s">
        <v>274</v>
      </c>
      <c r="F32" t="s">
        <v>275</v>
      </c>
    </row>
    <row r="33" spans="1:6">
      <c r="A33" t="s">
        <v>276</v>
      </c>
      <c r="B33" t="s">
        <v>277</v>
      </c>
      <c r="C33" t="s">
        <v>278</v>
      </c>
      <c r="D33" t="b">
        <v>1</v>
      </c>
      <c r="E33" t="s">
        <v>279</v>
      </c>
      <c r="F33" t="s">
        <v>280</v>
      </c>
    </row>
    <row r="34" spans="1:6">
      <c r="A34" t="s">
        <v>281</v>
      </c>
      <c r="B34" t="s">
        <v>282</v>
      </c>
      <c r="C34" t="s">
        <v>283</v>
      </c>
      <c r="D34" t="b">
        <v>1</v>
      </c>
      <c r="E34" t="s">
        <v>284</v>
      </c>
      <c r="F34" t="s">
        <v>285</v>
      </c>
    </row>
    <row r="35" spans="1:6">
      <c r="A35" t="s">
        <v>286</v>
      </c>
      <c r="B35" t="s">
        <v>287</v>
      </c>
      <c r="C35" t="s">
        <v>288</v>
      </c>
      <c r="D35" t="b">
        <v>1</v>
      </c>
      <c r="E35" t="s">
        <v>289</v>
      </c>
      <c r="F35" t="s">
        <v>290</v>
      </c>
    </row>
    <row r="36" spans="1:6">
      <c r="A36" t="s">
        <v>291</v>
      </c>
      <c r="B36" t="s">
        <v>288</v>
      </c>
      <c r="C36" t="s">
        <v>292</v>
      </c>
      <c r="D36" t="b">
        <v>1</v>
      </c>
      <c r="E36" t="s">
        <v>293</v>
      </c>
      <c r="F36" t="s">
        <v>294</v>
      </c>
    </row>
    <row r="37" spans="1:6">
      <c r="A37" t="s">
        <v>295</v>
      </c>
      <c r="B37" t="s">
        <v>292</v>
      </c>
      <c r="C37" t="s">
        <v>296</v>
      </c>
      <c r="D37" t="b">
        <v>1</v>
      </c>
      <c r="E37" t="s">
        <v>297</v>
      </c>
      <c r="F37" t="s">
        <v>298</v>
      </c>
    </row>
    <row r="38" spans="1:6">
      <c r="A38" t="s">
        <v>299</v>
      </c>
      <c r="B38" t="s">
        <v>296</v>
      </c>
      <c r="C38" t="s">
        <v>300</v>
      </c>
      <c r="D38" t="b">
        <v>1</v>
      </c>
      <c r="E38" t="s">
        <v>301</v>
      </c>
      <c r="F38" t="s">
        <v>302</v>
      </c>
    </row>
    <row r="39" spans="1:6">
      <c r="A39" t="s">
        <v>295</v>
      </c>
      <c r="B39" t="s">
        <v>300</v>
      </c>
      <c r="C39" t="s">
        <v>303</v>
      </c>
      <c r="D39" t="b">
        <v>1</v>
      </c>
      <c r="E39" t="s">
        <v>304</v>
      </c>
      <c r="F39" t="s">
        <v>305</v>
      </c>
    </row>
    <row r="40" spans="1:6">
      <c r="A40" t="s">
        <v>295</v>
      </c>
      <c r="B40" t="s">
        <v>303</v>
      </c>
      <c r="C40" t="s">
        <v>306</v>
      </c>
      <c r="D40" t="b">
        <v>1</v>
      </c>
      <c r="E40" t="s">
        <v>307</v>
      </c>
      <c r="F40" t="s">
        <v>308</v>
      </c>
    </row>
    <row r="41" spans="1:6">
      <c r="A41" t="s">
        <v>309</v>
      </c>
      <c r="B41" t="s">
        <v>310</v>
      </c>
      <c r="C41" t="s">
        <v>311</v>
      </c>
      <c r="D41" t="b">
        <v>1</v>
      </c>
      <c r="E41" t="s">
        <v>312</v>
      </c>
      <c r="F41" t="s">
        <v>313</v>
      </c>
    </row>
    <row r="42" spans="1:6">
      <c r="A42" t="s">
        <v>314</v>
      </c>
      <c r="B42" t="s">
        <v>311</v>
      </c>
      <c r="C42" t="s">
        <v>315</v>
      </c>
      <c r="D42" t="b">
        <v>1</v>
      </c>
      <c r="E42" t="s">
        <v>316</v>
      </c>
      <c r="F42" t="s">
        <v>317</v>
      </c>
    </row>
    <row r="43" spans="1:6">
      <c r="A43" t="s">
        <v>318</v>
      </c>
      <c r="B43" t="s">
        <v>319</v>
      </c>
      <c r="C43" t="s">
        <v>320</v>
      </c>
      <c r="D43" t="b">
        <v>1</v>
      </c>
      <c r="E43" t="s">
        <v>321</v>
      </c>
      <c r="F43" t="s">
        <v>322</v>
      </c>
    </row>
    <row r="44" spans="1:6">
      <c r="A44" t="s">
        <v>323</v>
      </c>
      <c r="B44" t="s">
        <v>320</v>
      </c>
      <c r="C44" t="s">
        <v>324</v>
      </c>
      <c r="D44" t="b">
        <v>1</v>
      </c>
      <c r="E44" t="s">
        <v>325</v>
      </c>
      <c r="F44" t="s">
        <v>326</v>
      </c>
    </row>
    <row r="45" spans="1:6">
      <c r="A45" t="s">
        <v>327</v>
      </c>
      <c r="B45" t="s">
        <v>324</v>
      </c>
      <c r="C45" t="s">
        <v>328</v>
      </c>
      <c r="D45" t="b">
        <v>1</v>
      </c>
      <c r="E45" t="s">
        <v>329</v>
      </c>
      <c r="F45" t="s">
        <v>330</v>
      </c>
    </row>
    <row r="46" spans="1:6">
      <c r="A46" t="s">
        <v>314</v>
      </c>
      <c r="B46" t="s">
        <v>328</v>
      </c>
      <c r="C46" t="s">
        <v>331</v>
      </c>
      <c r="D46" t="b">
        <v>1</v>
      </c>
      <c r="E46" t="s">
        <v>332</v>
      </c>
      <c r="F46" t="s">
        <v>333</v>
      </c>
    </row>
    <row r="47" spans="1:6">
      <c r="A47" t="s">
        <v>334</v>
      </c>
      <c r="B47" t="s">
        <v>335</v>
      </c>
      <c r="C47" t="s">
        <v>336</v>
      </c>
      <c r="D47" t="b">
        <v>1</v>
      </c>
      <c r="E47" t="s">
        <v>337</v>
      </c>
      <c r="F47" t="s">
        <v>338</v>
      </c>
    </row>
    <row r="48" spans="1:6">
      <c r="A48" t="s">
        <v>339</v>
      </c>
      <c r="B48" t="s">
        <v>340</v>
      </c>
      <c r="C48" t="s">
        <v>341</v>
      </c>
      <c r="D48" t="b">
        <v>1</v>
      </c>
      <c r="E48" t="s">
        <v>342</v>
      </c>
      <c r="F48" t="s">
        <v>343</v>
      </c>
    </row>
    <row r="49" spans="1:6">
      <c r="A49" t="s">
        <v>344</v>
      </c>
      <c r="B49" t="s">
        <v>341</v>
      </c>
      <c r="C49" t="s">
        <v>345</v>
      </c>
      <c r="D49" t="b">
        <v>1</v>
      </c>
      <c r="E49" t="s">
        <v>346</v>
      </c>
      <c r="F49" t="s">
        <v>347</v>
      </c>
    </row>
    <row r="50" spans="1:6">
      <c r="A50" t="s">
        <v>348</v>
      </c>
      <c r="B50" t="s">
        <v>349</v>
      </c>
      <c r="C50" t="s">
        <v>350</v>
      </c>
      <c r="D50" t="b">
        <v>1</v>
      </c>
      <c r="E50" t="s">
        <v>351</v>
      </c>
      <c r="F50" t="s">
        <v>352</v>
      </c>
    </row>
    <row r="51" spans="1:6">
      <c r="A51" t="s">
        <v>214</v>
      </c>
      <c r="B51" t="s">
        <v>353</v>
      </c>
      <c r="C51" t="s">
        <v>354</v>
      </c>
      <c r="D51" t="b">
        <v>1</v>
      </c>
      <c r="E51" t="s">
        <v>355</v>
      </c>
      <c r="F51" t="s">
        <v>356</v>
      </c>
    </row>
    <row r="52" spans="1:6">
      <c r="A52" t="s">
        <v>222</v>
      </c>
      <c r="B52" t="s">
        <v>357</v>
      </c>
      <c r="C52" t="s">
        <v>358</v>
      </c>
      <c r="D52" t="b">
        <v>1</v>
      </c>
      <c r="E52" t="s">
        <v>359</v>
      </c>
      <c r="F52" t="s">
        <v>360</v>
      </c>
    </row>
    <row r="53" spans="1:6">
      <c r="A53" t="s">
        <v>361</v>
      </c>
      <c r="B53" t="s">
        <v>362</v>
      </c>
      <c r="C53" t="s">
        <v>363</v>
      </c>
      <c r="D53" t="b">
        <v>1</v>
      </c>
      <c r="E53" t="s">
        <v>364</v>
      </c>
      <c r="F53" t="s">
        <v>365</v>
      </c>
    </row>
    <row r="54" spans="1:6">
      <c r="A54" t="s">
        <v>366</v>
      </c>
      <c r="B54" t="s">
        <v>367</v>
      </c>
      <c r="C54" t="s">
        <v>368</v>
      </c>
      <c r="D54" t="b">
        <v>1</v>
      </c>
      <c r="E54" t="s">
        <v>369</v>
      </c>
      <c r="F54" t="s">
        <v>370</v>
      </c>
    </row>
    <row r="55" spans="1:6">
      <c r="A55" t="s">
        <v>371</v>
      </c>
      <c r="B55" t="s">
        <v>368</v>
      </c>
      <c r="C55" t="s">
        <v>372</v>
      </c>
      <c r="D55" t="b">
        <v>1</v>
      </c>
      <c r="E55" t="s">
        <v>373</v>
      </c>
      <c r="F55" t="s">
        <v>374</v>
      </c>
    </row>
    <row r="56" spans="1:6">
      <c r="A56" t="s">
        <v>375</v>
      </c>
      <c r="B56" t="s">
        <v>376</v>
      </c>
      <c r="C56" t="s">
        <v>377</v>
      </c>
      <c r="D56" t="b">
        <v>1</v>
      </c>
      <c r="E56" t="s">
        <v>378</v>
      </c>
      <c r="F56" t="s">
        <v>379</v>
      </c>
    </row>
    <row r="57" spans="1:6">
      <c r="A57" t="s">
        <v>380</v>
      </c>
      <c r="B57" t="s">
        <v>377</v>
      </c>
      <c r="C57" t="s">
        <v>381</v>
      </c>
      <c r="D57" t="b">
        <v>1</v>
      </c>
      <c r="E57" t="s">
        <v>382</v>
      </c>
      <c r="F57" t="s">
        <v>383</v>
      </c>
    </row>
    <row r="58" spans="1:6">
      <c r="A58" t="s">
        <v>380</v>
      </c>
      <c r="B58" t="s">
        <v>381</v>
      </c>
      <c r="C58" t="s">
        <v>384</v>
      </c>
      <c r="D58" t="b">
        <v>1</v>
      </c>
      <c r="E58" t="s">
        <v>385</v>
      </c>
      <c r="F58" t="s">
        <v>386</v>
      </c>
    </row>
    <row r="59" spans="1:6">
      <c r="A59" t="s">
        <v>380</v>
      </c>
      <c r="B59" t="s">
        <v>384</v>
      </c>
      <c r="C59" t="s">
        <v>387</v>
      </c>
      <c r="D59" t="b">
        <v>1</v>
      </c>
      <c r="E59" t="s">
        <v>388</v>
      </c>
      <c r="F59" t="s">
        <v>389</v>
      </c>
    </row>
    <row r="60" spans="1:6">
      <c r="A60" t="s">
        <v>390</v>
      </c>
      <c r="B60" t="s">
        <v>391</v>
      </c>
      <c r="C60" t="s">
        <v>392</v>
      </c>
      <c r="D60" t="b">
        <v>1</v>
      </c>
      <c r="E60" t="s">
        <v>393</v>
      </c>
      <c r="F60" t="s">
        <v>394</v>
      </c>
    </row>
    <row r="61" spans="1:6">
      <c r="A61" t="s">
        <v>395</v>
      </c>
      <c r="B61" t="s">
        <v>396</v>
      </c>
      <c r="C61" t="s">
        <v>397</v>
      </c>
      <c r="D61" t="b">
        <v>1</v>
      </c>
      <c r="E61" t="s">
        <v>398</v>
      </c>
      <c r="F61" t="s">
        <v>399</v>
      </c>
    </row>
    <row r="62" spans="1:6">
      <c r="A62" t="s">
        <v>400</v>
      </c>
      <c r="B62" t="s">
        <v>401</v>
      </c>
      <c r="C62" t="s">
        <v>397</v>
      </c>
      <c r="D62" t="b">
        <v>1</v>
      </c>
      <c r="E62" t="s">
        <v>402</v>
      </c>
      <c r="F62" t="s">
        <v>403</v>
      </c>
    </row>
    <row r="63" spans="1:6">
      <c r="A63" t="s">
        <v>404</v>
      </c>
      <c r="B63" t="s">
        <v>397</v>
      </c>
      <c r="C63" t="s">
        <v>405</v>
      </c>
      <c r="D63" t="b">
        <v>1</v>
      </c>
      <c r="E63" t="s">
        <v>406</v>
      </c>
      <c r="F63" t="s">
        <v>407</v>
      </c>
    </row>
    <row r="64" spans="1:6">
      <c r="A64" t="s">
        <v>408</v>
      </c>
      <c r="B64" t="s">
        <v>409</v>
      </c>
      <c r="C64" t="s">
        <v>410</v>
      </c>
      <c r="D64" t="b">
        <v>1</v>
      </c>
      <c r="E64" t="s">
        <v>411</v>
      </c>
      <c r="F64" t="s">
        <v>412</v>
      </c>
    </row>
    <row r="65" spans="1:6">
      <c r="A65" t="s">
        <v>413</v>
      </c>
      <c r="B65" t="s">
        <v>414</v>
      </c>
      <c r="C65" t="s">
        <v>415</v>
      </c>
      <c r="D65" t="b">
        <v>1</v>
      </c>
      <c r="E65" t="s">
        <v>416</v>
      </c>
      <c r="F65" t="s">
        <v>417</v>
      </c>
    </row>
    <row r="66" spans="1:6">
      <c r="A66" t="s">
        <v>418</v>
      </c>
      <c r="B66" t="s">
        <v>419</v>
      </c>
      <c r="C66" t="s">
        <v>420</v>
      </c>
      <c r="D66" t="b">
        <v>1</v>
      </c>
      <c r="E66" t="s">
        <v>421</v>
      </c>
      <c r="F66" t="s">
        <v>422</v>
      </c>
    </row>
    <row r="67" spans="1:6">
      <c r="A67" t="s">
        <v>423</v>
      </c>
      <c r="B67" t="s">
        <v>420</v>
      </c>
      <c r="C67" t="s">
        <v>424</v>
      </c>
      <c r="D67" t="b">
        <v>1</v>
      </c>
      <c r="E67" t="s">
        <v>425</v>
      </c>
      <c r="F67" t="s">
        <v>426</v>
      </c>
    </row>
    <row r="68" spans="1:6">
      <c r="A68" t="s">
        <v>427</v>
      </c>
      <c r="B68" t="s">
        <v>424</v>
      </c>
      <c r="C68" t="s">
        <v>428</v>
      </c>
      <c r="D68" t="b">
        <v>1</v>
      </c>
      <c r="E68" t="s">
        <v>429</v>
      </c>
      <c r="F68" t="s">
        <v>430</v>
      </c>
    </row>
    <row r="69" spans="1:6">
      <c r="A69" t="s">
        <v>431</v>
      </c>
      <c r="B69" t="s">
        <v>432</v>
      </c>
      <c r="C69" t="s">
        <v>433</v>
      </c>
      <c r="D69" t="b">
        <v>1</v>
      </c>
      <c r="E69" t="s">
        <v>434</v>
      </c>
      <c r="F69" t="s">
        <v>435</v>
      </c>
    </row>
    <row r="70" spans="1:6">
      <c r="A70" t="s">
        <v>436</v>
      </c>
      <c r="B70" t="s">
        <v>437</v>
      </c>
      <c r="C70" t="s">
        <v>438</v>
      </c>
      <c r="D70" t="b">
        <v>1</v>
      </c>
      <c r="E70" t="s">
        <v>439</v>
      </c>
      <c r="F70" t="s">
        <v>440</v>
      </c>
    </row>
    <row r="71" spans="1:6">
      <c r="A71" t="s">
        <v>441</v>
      </c>
      <c r="B71" t="s">
        <v>442</v>
      </c>
      <c r="C71" t="s">
        <v>443</v>
      </c>
      <c r="D71" t="b">
        <v>1</v>
      </c>
      <c r="E71" t="s">
        <v>444</v>
      </c>
      <c r="F71" t="s">
        <v>445</v>
      </c>
    </row>
    <row r="72" spans="1:6">
      <c r="A72" t="s">
        <v>446</v>
      </c>
      <c r="B72" t="s">
        <v>447</v>
      </c>
      <c r="C72" t="s">
        <v>448</v>
      </c>
      <c r="D72" t="b">
        <v>1</v>
      </c>
      <c r="E72" t="s">
        <v>449</v>
      </c>
      <c r="F72" t="s">
        <v>450</v>
      </c>
    </row>
    <row r="73" spans="1:6">
      <c r="A73" t="s">
        <v>451</v>
      </c>
      <c r="B73" t="s">
        <v>452</v>
      </c>
      <c r="C73" t="s">
        <v>453</v>
      </c>
      <c r="D73" t="b">
        <v>1</v>
      </c>
      <c r="E73" t="s">
        <v>454</v>
      </c>
      <c r="F73" t="s">
        <v>455</v>
      </c>
    </row>
    <row r="74" spans="1:6">
      <c r="A74" t="s">
        <v>456</v>
      </c>
      <c r="B74" t="s">
        <v>452</v>
      </c>
      <c r="C74" t="s">
        <v>453</v>
      </c>
      <c r="D74" t="b">
        <v>1</v>
      </c>
      <c r="E74" t="s">
        <v>457</v>
      </c>
      <c r="F74" t="s">
        <v>458</v>
      </c>
    </row>
    <row r="75" spans="1:6">
      <c r="A75" t="s">
        <v>459</v>
      </c>
      <c r="B75" t="s">
        <v>460</v>
      </c>
      <c r="C75" t="s">
        <v>461</v>
      </c>
      <c r="D75" t="b">
        <v>1</v>
      </c>
      <c r="E75" t="s">
        <v>462</v>
      </c>
      <c r="F75" t="s">
        <v>463</v>
      </c>
    </row>
    <row r="76" spans="1:6">
      <c r="A76" t="s">
        <v>464</v>
      </c>
      <c r="B76" t="s">
        <v>465</v>
      </c>
      <c r="C76" t="s">
        <v>466</v>
      </c>
      <c r="D76" t="b">
        <v>1</v>
      </c>
      <c r="E76" t="s">
        <v>467</v>
      </c>
      <c r="F76" t="s">
        <v>468</v>
      </c>
    </row>
  </sheetData>
  <sortState xmlns:xlrd2="http://schemas.microsoft.com/office/spreadsheetml/2017/richdata2" ref="A2:F93">
    <sortCondition ref="B2:B93"/>
    <sortCondition ref="C2:C93"/>
    <sortCondition ref="A2:A93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A960D-A7B8-6541-99ED-00628E5A2ADE}">
  <dimension ref="A1:F39"/>
  <sheetViews>
    <sheetView workbookViewId="0">
      <selection sqref="A1:F1"/>
    </sheetView>
  </sheetViews>
  <sheetFormatPr defaultColWidth="8.875" defaultRowHeight="15"/>
  <cols>
    <col min="1" max="1" width="13.5" style="25" bestFit="1" customWidth="1"/>
    <col min="2" max="2" width="13.875" style="25" bestFit="1" customWidth="1"/>
    <col min="3" max="3" width="12.875" style="25" bestFit="1" customWidth="1"/>
    <col min="4" max="4" width="10.375" style="25" bestFit="1" customWidth="1"/>
    <col min="5" max="5" width="10.5" style="25" bestFit="1" customWidth="1"/>
    <col min="6" max="6" width="11.125" style="25" bestFit="1" customWidth="1"/>
    <col min="7" max="16384" width="8.875" style="25"/>
  </cols>
  <sheetData>
    <row r="1" spans="1:6">
      <c r="A1" s="25" t="s">
        <v>130</v>
      </c>
      <c r="B1" s="25" t="s">
        <v>131</v>
      </c>
      <c r="C1" s="25" t="s">
        <v>132</v>
      </c>
      <c r="D1" s="25" t="s">
        <v>133</v>
      </c>
      <c r="E1" s="25" t="s">
        <v>134</v>
      </c>
      <c r="F1" s="25" t="s">
        <v>135</v>
      </c>
    </row>
    <row r="2" spans="1:6">
      <c r="A2" s="25" t="s">
        <v>469</v>
      </c>
      <c r="B2" s="25" t="s">
        <v>470</v>
      </c>
      <c r="C2" s="25" t="s">
        <v>471</v>
      </c>
      <c r="D2" s="25" t="b">
        <v>1</v>
      </c>
      <c r="E2" s="25" t="s">
        <v>472</v>
      </c>
      <c r="F2" s="25" t="s">
        <v>473</v>
      </c>
    </row>
    <row r="3" spans="1:6">
      <c r="A3" s="25" t="s">
        <v>469</v>
      </c>
      <c r="B3" s="25" t="s">
        <v>471</v>
      </c>
      <c r="C3" s="25" t="s">
        <v>474</v>
      </c>
      <c r="D3" s="25" t="b">
        <v>1</v>
      </c>
      <c r="E3" s="25" t="s">
        <v>475</v>
      </c>
      <c r="F3" s="25" t="s">
        <v>476</v>
      </c>
    </row>
    <row r="4" spans="1:6">
      <c r="A4" s="25" t="s">
        <v>469</v>
      </c>
      <c r="B4" s="25" t="s">
        <v>474</v>
      </c>
      <c r="C4" s="25" t="s">
        <v>477</v>
      </c>
      <c r="D4" s="25" t="b">
        <v>1</v>
      </c>
      <c r="E4" s="25" t="s">
        <v>478</v>
      </c>
      <c r="F4" s="25" t="s">
        <v>479</v>
      </c>
    </row>
    <row r="5" spans="1:6">
      <c r="A5" s="25" t="s">
        <v>469</v>
      </c>
      <c r="B5" s="25" t="s">
        <v>477</v>
      </c>
      <c r="C5" s="25" t="s">
        <v>480</v>
      </c>
      <c r="D5" s="25" t="b">
        <v>1</v>
      </c>
      <c r="E5" s="25" t="s">
        <v>481</v>
      </c>
      <c r="F5" s="25" t="s">
        <v>482</v>
      </c>
    </row>
    <row r="6" spans="1:6">
      <c r="A6" s="25" t="s">
        <v>483</v>
      </c>
      <c r="B6" s="25" t="s">
        <v>484</v>
      </c>
      <c r="C6" s="25" t="s">
        <v>485</v>
      </c>
      <c r="D6" s="25" t="b">
        <v>1</v>
      </c>
      <c r="E6" s="25" t="s">
        <v>486</v>
      </c>
      <c r="F6" s="25" t="s">
        <v>487</v>
      </c>
    </row>
    <row r="7" spans="1:6">
      <c r="A7" s="25" t="s">
        <v>483</v>
      </c>
      <c r="B7" s="25" t="s">
        <v>485</v>
      </c>
      <c r="C7" s="25" t="s">
        <v>488</v>
      </c>
      <c r="D7" s="25" t="b">
        <v>1</v>
      </c>
      <c r="E7" s="25" t="s">
        <v>489</v>
      </c>
      <c r="F7" s="25" t="s">
        <v>490</v>
      </c>
    </row>
    <row r="8" spans="1:6">
      <c r="A8" s="25" t="s">
        <v>483</v>
      </c>
      <c r="B8" s="25" t="s">
        <v>488</v>
      </c>
      <c r="C8" s="25" t="s">
        <v>491</v>
      </c>
      <c r="D8" s="25" t="b">
        <v>1</v>
      </c>
      <c r="E8" s="25" t="s">
        <v>492</v>
      </c>
      <c r="F8" s="25" t="s">
        <v>493</v>
      </c>
    </row>
    <row r="9" spans="1:6">
      <c r="A9" s="25" t="s">
        <v>483</v>
      </c>
      <c r="B9" s="25" t="s">
        <v>491</v>
      </c>
      <c r="C9" s="25" t="s">
        <v>494</v>
      </c>
      <c r="D9" s="25" t="b">
        <v>1</v>
      </c>
      <c r="E9" s="25" t="s">
        <v>495</v>
      </c>
      <c r="F9" s="25" t="s">
        <v>496</v>
      </c>
    </row>
    <row r="10" spans="1:6">
      <c r="A10" s="25" t="s">
        <v>497</v>
      </c>
      <c r="B10" s="25" t="s">
        <v>498</v>
      </c>
      <c r="C10" s="25" t="s">
        <v>499</v>
      </c>
      <c r="D10" s="25" t="b">
        <v>1</v>
      </c>
      <c r="E10" s="25" t="s">
        <v>500</v>
      </c>
      <c r="F10" s="25" t="s">
        <v>501</v>
      </c>
    </row>
    <row r="11" spans="1:6">
      <c r="A11" s="25" t="s">
        <v>502</v>
      </c>
      <c r="B11" s="25" t="s">
        <v>503</v>
      </c>
      <c r="C11" s="25" t="s">
        <v>504</v>
      </c>
      <c r="D11" s="25" t="b">
        <v>1</v>
      </c>
      <c r="E11" s="25" t="s">
        <v>505</v>
      </c>
      <c r="F11" s="25" t="s">
        <v>506</v>
      </c>
    </row>
    <row r="12" spans="1:6">
      <c r="A12" s="25" t="s">
        <v>507</v>
      </c>
      <c r="B12" s="25" t="s">
        <v>508</v>
      </c>
      <c r="C12" s="25" t="s">
        <v>191</v>
      </c>
      <c r="D12" s="25" t="b">
        <v>1</v>
      </c>
      <c r="E12" s="25" t="s">
        <v>509</v>
      </c>
      <c r="F12" s="25" t="s">
        <v>510</v>
      </c>
    </row>
    <row r="13" spans="1:6">
      <c r="A13" s="25" t="s">
        <v>511</v>
      </c>
      <c r="B13" s="25" t="s">
        <v>205</v>
      </c>
      <c r="C13" s="25" t="s">
        <v>206</v>
      </c>
      <c r="D13" s="25" t="b">
        <v>1</v>
      </c>
      <c r="E13" s="25" t="s">
        <v>512</v>
      </c>
      <c r="F13" s="25" t="s">
        <v>513</v>
      </c>
    </row>
    <row r="14" spans="1:6">
      <c r="A14" s="25" t="s">
        <v>514</v>
      </c>
      <c r="B14" s="25" t="s">
        <v>515</v>
      </c>
      <c r="C14" s="25" t="s">
        <v>516</v>
      </c>
      <c r="D14" s="25" t="b">
        <v>1</v>
      </c>
      <c r="E14" s="25" t="s">
        <v>517</v>
      </c>
      <c r="F14" s="25" t="s">
        <v>518</v>
      </c>
    </row>
    <row r="15" spans="1:6">
      <c r="A15" s="25" t="s">
        <v>519</v>
      </c>
      <c r="B15" s="25" t="s">
        <v>520</v>
      </c>
      <c r="C15" s="25" t="s">
        <v>215</v>
      </c>
      <c r="D15" s="25" t="b">
        <v>1</v>
      </c>
      <c r="E15" s="25" t="s">
        <v>521</v>
      </c>
      <c r="F15" s="25" t="s">
        <v>522</v>
      </c>
    </row>
    <row r="16" spans="1:6">
      <c r="A16" s="25" t="s">
        <v>497</v>
      </c>
      <c r="B16" s="25" t="s">
        <v>523</v>
      </c>
      <c r="C16" s="25" t="s">
        <v>524</v>
      </c>
      <c r="D16" s="25" t="b">
        <v>1</v>
      </c>
      <c r="E16" s="25" t="s">
        <v>525</v>
      </c>
      <c r="F16" s="25" t="s">
        <v>526</v>
      </c>
    </row>
    <row r="17" spans="1:6">
      <c r="A17" s="25" t="s">
        <v>527</v>
      </c>
      <c r="B17" s="25" t="s">
        <v>528</v>
      </c>
      <c r="C17" s="25" t="s">
        <v>233</v>
      </c>
      <c r="D17" s="25" t="b">
        <v>1</v>
      </c>
      <c r="E17" s="25" t="s">
        <v>529</v>
      </c>
      <c r="F17" s="25" t="s">
        <v>530</v>
      </c>
    </row>
    <row r="18" spans="1:6">
      <c r="A18" s="25" t="s">
        <v>507</v>
      </c>
      <c r="B18" s="25" t="s">
        <v>531</v>
      </c>
      <c r="C18" s="25" t="s">
        <v>532</v>
      </c>
      <c r="D18" s="25" t="b">
        <v>1</v>
      </c>
      <c r="E18" s="25" t="s">
        <v>533</v>
      </c>
      <c r="F18" s="25" t="s">
        <v>534</v>
      </c>
    </row>
    <row r="19" spans="1:6">
      <c r="A19" s="25" t="s">
        <v>511</v>
      </c>
      <c r="B19" s="25" t="s">
        <v>535</v>
      </c>
      <c r="C19" s="25" t="s">
        <v>264</v>
      </c>
      <c r="D19" s="25" t="b">
        <v>1</v>
      </c>
      <c r="E19" s="25" t="s">
        <v>536</v>
      </c>
      <c r="F19" s="25" t="s">
        <v>537</v>
      </c>
    </row>
    <row r="20" spans="1:6">
      <c r="A20" s="25" t="s">
        <v>538</v>
      </c>
      <c r="B20" s="25" t="s">
        <v>539</v>
      </c>
      <c r="C20" s="25" t="s">
        <v>540</v>
      </c>
      <c r="D20" s="25" t="b">
        <v>1</v>
      </c>
      <c r="E20" s="25" t="s">
        <v>541</v>
      </c>
      <c r="F20" s="25" t="s">
        <v>542</v>
      </c>
    </row>
    <row r="21" spans="1:6">
      <c r="A21" s="25" t="s">
        <v>519</v>
      </c>
      <c r="B21" s="25" t="s">
        <v>543</v>
      </c>
      <c r="C21" s="25" t="s">
        <v>544</v>
      </c>
      <c r="D21" s="25" t="b">
        <v>1</v>
      </c>
      <c r="E21" s="25" t="s">
        <v>545</v>
      </c>
      <c r="F21" s="25" t="s">
        <v>546</v>
      </c>
    </row>
    <row r="22" spans="1:6">
      <c r="A22" s="25" t="s">
        <v>547</v>
      </c>
      <c r="B22" s="25" t="s">
        <v>292</v>
      </c>
      <c r="C22" s="25" t="s">
        <v>296</v>
      </c>
      <c r="D22" s="25" t="b">
        <v>1</v>
      </c>
      <c r="E22" s="25" t="s">
        <v>548</v>
      </c>
      <c r="F22" s="25" t="s">
        <v>549</v>
      </c>
    </row>
    <row r="23" spans="1:6">
      <c r="A23" s="25" t="s">
        <v>550</v>
      </c>
      <c r="B23" s="25" t="s">
        <v>296</v>
      </c>
      <c r="C23" s="25" t="s">
        <v>300</v>
      </c>
      <c r="D23" s="25" t="b">
        <v>1</v>
      </c>
      <c r="E23" s="25" t="s">
        <v>551</v>
      </c>
      <c r="F23" s="25" t="s">
        <v>552</v>
      </c>
    </row>
    <row r="24" spans="1:6">
      <c r="A24" s="25" t="s">
        <v>502</v>
      </c>
      <c r="B24" s="25" t="s">
        <v>324</v>
      </c>
      <c r="C24" s="25" t="s">
        <v>328</v>
      </c>
      <c r="D24" s="25" t="b">
        <v>1</v>
      </c>
      <c r="E24" s="25" t="s">
        <v>553</v>
      </c>
      <c r="F24" s="25" t="s">
        <v>554</v>
      </c>
    </row>
    <row r="25" spans="1:6">
      <c r="A25" s="25" t="s">
        <v>555</v>
      </c>
      <c r="B25" s="25" t="s">
        <v>336</v>
      </c>
      <c r="C25" s="25" t="s">
        <v>340</v>
      </c>
      <c r="D25" s="25" t="b">
        <v>1</v>
      </c>
      <c r="E25" s="25" t="s">
        <v>556</v>
      </c>
      <c r="F25" s="25" t="s">
        <v>557</v>
      </c>
    </row>
    <row r="26" spans="1:6">
      <c r="A26" s="25" t="s">
        <v>558</v>
      </c>
      <c r="B26" s="25" t="s">
        <v>559</v>
      </c>
      <c r="C26" s="25" t="s">
        <v>560</v>
      </c>
      <c r="D26" s="25" t="b">
        <v>0</v>
      </c>
      <c r="E26" s="25" t="s">
        <v>561</v>
      </c>
      <c r="F26" s="25" t="s">
        <v>562</v>
      </c>
    </row>
    <row r="27" spans="1:6">
      <c r="A27" s="25" t="s">
        <v>511</v>
      </c>
      <c r="B27" s="25" t="s">
        <v>563</v>
      </c>
      <c r="C27" s="25" t="s">
        <v>353</v>
      </c>
      <c r="D27" s="25" t="b">
        <v>1</v>
      </c>
      <c r="E27" s="25" t="s">
        <v>564</v>
      </c>
      <c r="F27" s="25" t="s">
        <v>565</v>
      </c>
    </row>
    <row r="28" spans="1:6">
      <c r="A28" s="25" t="s">
        <v>507</v>
      </c>
      <c r="B28" s="25" t="s">
        <v>358</v>
      </c>
      <c r="C28" s="25" t="s">
        <v>566</v>
      </c>
      <c r="D28" s="25" t="b">
        <v>1</v>
      </c>
      <c r="E28" s="25" t="s">
        <v>567</v>
      </c>
      <c r="F28" s="25" t="s">
        <v>568</v>
      </c>
    </row>
    <row r="29" spans="1:6">
      <c r="A29" s="25" t="s">
        <v>519</v>
      </c>
      <c r="B29" s="25" t="s">
        <v>569</v>
      </c>
      <c r="C29" s="25" t="s">
        <v>570</v>
      </c>
      <c r="D29" s="25" t="b">
        <v>1</v>
      </c>
      <c r="E29" s="25" t="s">
        <v>571</v>
      </c>
      <c r="F29" s="25" t="s">
        <v>572</v>
      </c>
    </row>
    <row r="30" spans="1:6">
      <c r="A30" s="25" t="s">
        <v>497</v>
      </c>
      <c r="B30" s="25" t="s">
        <v>573</v>
      </c>
      <c r="C30" s="25" t="s">
        <v>396</v>
      </c>
      <c r="D30" s="25" t="b">
        <v>1</v>
      </c>
      <c r="E30" s="25" t="s">
        <v>574</v>
      </c>
      <c r="F30" s="25" t="s">
        <v>575</v>
      </c>
    </row>
    <row r="31" spans="1:6">
      <c r="A31" s="25" t="s">
        <v>538</v>
      </c>
      <c r="B31" s="25" t="s">
        <v>576</v>
      </c>
      <c r="C31" s="25" t="s">
        <v>414</v>
      </c>
      <c r="D31" s="25" t="b">
        <v>1</v>
      </c>
      <c r="E31" s="25" t="s">
        <v>577</v>
      </c>
      <c r="F31" s="25" t="s">
        <v>578</v>
      </c>
    </row>
    <row r="32" spans="1:6">
      <c r="A32" s="25" t="s">
        <v>502</v>
      </c>
      <c r="B32" s="25" t="s">
        <v>428</v>
      </c>
      <c r="C32" s="25" t="s">
        <v>579</v>
      </c>
      <c r="D32" s="25" t="b">
        <v>1</v>
      </c>
      <c r="E32" s="25" t="s">
        <v>580</v>
      </c>
      <c r="F32" s="25" t="s">
        <v>581</v>
      </c>
    </row>
    <row r="33" spans="1:6">
      <c r="A33" s="25" t="s">
        <v>555</v>
      </c>
      <c r="B33" s="25" t="s">
        <v>442</v>
      </c>
      <c r="C33" s="25" t="s">
        <v>443</v>
      </c>
      <c r="D33" s="25" t="b">
        <v>1</v>
      </c>
      <c r="E33" s="25" t="s">
        <v>582</v>
      </c>
      <c r="F33" s="25" t="s">
        <v>583</v>
      </c>
    </row>
    <row r="34" spans="1:6">
      <c r="A34" s="25" t="s">
        <v>511</v>
      </c>
      <c r="B34" s="25" t="s">
        <v>443</v>
      </c>
      <c r="C34" s="25" t="s">
        <v>584</v>
      </c>
      <c r="D34" s="25" t="b">
        <v>1</v>
      </c>
      <c r="E34" s="25" t="s">
        <v>585</v>
      </c>
      <c r="F34" s="25" t="s">
        <v>586</v>
      </c>
    </row>
    <row r="35" spans="1:6">
      <c r="A35" s="25" t="s">
        <v>507</v>
      </c>
      <c r="B35" s="25" t="s">
        <v>584</v>
      </c>
      <c r="C35" s="25" t="s">
        <v>587</v>
      </c>
      <c r="D35" s="25" t="b">
        <v>1</v>
      </c>
      <c r="E35" s="25" t="s">
        <v>588</v>
      </c>
      <c r="F35" s="25" t="s">
        <v>589</v>
      </c>
    </row>
    <row r="36" spans="1:6">
      <c r="A36" s="25" t="s">
        <v>519</v>
      </c>
      <c r="B36" s="25" t="s">
        <v>587</v>
      </c>
      <c r="C36" s="25" t="s">
        <v>590</v>
      </c>
      <c r="D36" s="25" t="b">
        <v>1</v>
      </c>
      <c r="E36" s="25" t="s">
        <v>591</v>
      </c>
      <c r="F36" s="25" t="s">
        <v>592</v>
      </c>
    </row>
    <row r="37" spans="1:6">
      <c r="A37" s="25" t="s">
        <v>593</v>
      </c>
      <c r="B37" s="25" t="s">
        <v>447</v>
      </c>
      <c r="C37" s="25" t="s">
        <v>448</v>
      </c>
      <c r="D37" s="25" t="b">
        <v>1</v>
      </c>
      <c r="E37" s="25" t="s">
        <v>594</v>
      </c>
      <c r="F37" s="25" t="s">
        <v>595</v>
      </c>
    </row>
    <row r="38" spans="1:6">
      <c r="A38" s="25" t="s">
        <v>596</v>
      </c>
      <c r="B38" s="25" t="s">
        <v>597</v>
      </c>
      <c r="C38" s="25" t="s">
        <v>598</v>
      </c>
      <c r="D38" s="25" t="b">
        <v>1</v>
      </c>
      <c r="E38" s="25" t="s">
        <v>599</v>
      </c>
      <c r="F38" s="25" t="s">
        <v>600</v>
      </c>
    </row>
    <row r="39" spans="1:6">
      <c r="A39" s="25" t="s">
        <v>601</v>
      </c>
      <c r="B39" s="25" t="s">
        <v>452</v>
      </c>
      <c r="C39" s="25" t="s">
        <v>453</v>
      </c>
      <c r="D39" s="25" t="b">
        <v>1</v>
      </c>
      <c r="E39" s="25" t="s">
        <v>602</v>
      </c>
      <c r="F39" s="25" t="s">
        <v>603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D4456-65D5-A94B-8E9E-B03408F7845F}">
  <dimension ref="A1:F39"/>
  <sheetViews>
    <sheetView topLeftCell="A21" workbookViewId="0"/>
  </sheetViews>
  <sheetFormatPr defaultColWidth="11" defaultRowHeight="15.95"/>
  <sheetData>
    <row r="1" spans="1:6">
      <c r="A1" t="s">
        <v>130</v>
      </c>
      <c r="B1" t="s">
        <v>131</v>
      </c>
      <c r="C1" t="s">
        <v>132</v>
      </c>
      <c r="D1" t="s">
        <v>133</v>
      </c>
      <c r="E1" t="s">
        <v>134</v>
      </c>
      <c r="F1" t="s">
        <v>135</v>
      </c>
    </row>
    <row r="2" spans="1:6">
      <c r="A2" t="s">
        <v>469</v>
      </c>
      <c r="B2" t="s">
        <v>470</v>
      </c>
      <c r="C2" t="s">
        <v>471</v>
      </c>
      <c r="D2" t="b">
        <v>1</v>
      </c>
      <c r="E2" t="s">
        <v>472</v>
      </c>
      <c r="F2" t="s">
        <v>473</v>
      </c>
    </row>
    <row r="3" spans="1:6">
      <c r="A3" t="s">
        <v>469</v>
      </c>
      <c r="B3" t="s">
        <v>471</v>
      </c>
      <c r="C3" t="s">
        <v>474</v>
      </c>
      <c r="D3" t="b">
        <v>1</v>
      </c>
      <c r="E3" t="s">
        <v>475</v>
      </c>
      <c r="F3" t="s">
        <v>476</v>
      </c>
    </row>
    <row r="4" spans="1:6">
      <c r="A4" t="s">
        <v>469</v>
      </c>
      <c r="B4" t="s">
        <v>474</v>
      </c>
      <c r="C4" t="s">
        <v>477</v>
      </c>
      <c r="D4" t="b">
        <v>1</v>
      </c>
      <c r="E4" t="s">
        <v>478</v>
      </c>
      <c r="F4" t="s">
        <v>479</v>
      </c>
    </row>
    <row r="5" spans="1:6">
      <c r="A5" t="s">
        <v>469</v>
      </c>
      <c r="B5" t="s">
        <v>477</v>
      </c>
      <c r="C5" t="s">
        <v>480</v>
      </c>
      <c r="D5" t="b">
        <v>1</v>
      </c>
      <c r="E5" t="s">
        <v>481</v>
      </c>
      <c r="F5" t="s">
        <v>482</v>
      </c>
    </row>
    <row r="6" spans="1:6">
      <c r="A6" t="s">
        <v>483</v>
      </c>
      <c r="B6" t="s">
        <v>484</v>
      </c>
      <c r="C6" t="s">
        <v>485</v>
      </c>
      <c r="D6" t="b">
        <v>1</v>
      </c>
      <c r="E6" t="s">
        <v>486</v>
      </c>
      <c r="F6" t="s">
        <v>487</v>
      </c>
    </row>
    <row r="7" spans="1:6">
      <c r="A7" t="s">
        <v>483</v>
      </c>
      <c r="B7" t="s">
        <v>485</v>
      </c>
      <c r="C7" t="s">
        <v>488</v>
      </c>
      <c r="D7" t="b">
        <v>1</v>
      </c>
      <c r="E7" t="s">
        <v>489</v>
      </c>
      <c r="F7" t="s">
        <v>490</v>
      </c>
    </row>
    <row r="8" spans="1:6">
      <c r="A8" t="s">
        <v>483</v>
      </c>
      <c r="B8" t="s">
        <v>488</v>
      </c>
      <c r="C8" t="s">
        <v>491</v>
      </c>
      <c r="D8" t="b">
        <v>1</v>
      </c>
      <c r="E8" t="s">
        <v>492</v>
      </c>
      <c r="F8" t="s">
        <v>493</v>
      </c>
    </row>
    <row r="9" spans="1:6">
      <c r="A9" t="s">
        <v>483</v>
      </c>
      <c r="B9" t="s">
        <v>491</v>
      </c>
      <c r="C9" t="s">
        <v>494</v>
      </c>
      <c r="D9" t="b">
        <v>1</v>
      </c>
      <c r="E9" t="s">
        <v>495</v>
      </c>
      <c r="F9" t="s">
        <v>496</v>
      </c>
    </row>
    <row r="10" spans="1:6">
      <c r="A10" t="s">
        <v>497</v>
      </c>
      <c r="B10" t="s">
        <v>498</v>
      </c>
      <c r="C10" t="s">
        <v>499</v>
      </c>
      <c r="D10" t="b">
        <v>1</v>
      </c>
      <c r="E10" t="s">
        <v>500</v>
      </c>
      <c r="F10" t="s">
        <v>501</v>
      </c>
    </row>
    <row r="11" spans="1:6">
      <c r="A11" t="s">
        <v>502</v>
      </c>
      <c r="B11" t="s">
        <v>503</v>
      </c>
      <c r="C11" t="s">
        <v>504</v>
      </c>
      <c r="D11" t="b">
        <v>1</v>
      </c>
      <c r="E11" t="s">
        <v>505</v>
      </c>
      <c r="F11" t="s">
        <v>506</v>
      </c>
    </row>
    <row r="12" spans="1:6">
      <c r="A12" t="s">
        <v>507</v>
      </c>
      <c r="B12" t="s">
        <v>508</v>
      </c>
      <c r="C12" t="s">
        <v>191</v>
      </c>
      <c r="D12" t="b">
        <v>1</v>
      </c>
      <c r="E12" t="s">
        <v>509</v>
      </c>
      <c r="F12" t="s">
        <v>510</v>
      </c>
    </row>
    <row r="13" spans="1:6">
      <c r="A13" t="s">
        <v>511</v>
      </c>
      <c r="B13" t="s">
        <v>205</v>
      </c>
      <c r="C13" t="s">
        <v>206</v>
      </c>
      <c r="D13" t="b">
        <v>1</v>
      </c>
      <c r="E13" t="s">
        <v>512</v>
      </c>
      <c r="F13" t="s">
        <v>513</v>
      </c>
    </row>
    <row r="14" spans="1:6">
      <c r="A14" t="s">
        <v>514</v>
      </c>
      <c r="B14" t="s">
        <v>515</v>
      </c>
      <c r="C14" t="s">
        <v>516</v>
      </c>
      <c r="D14" t="b">
        <v>1</v>
      </c>
      <c r="E14" t="s">
        <v>517</v>
      </c>
      <c r="F14" t="s">
        <v>518</v>
      </c>
    </row>
    <row r="15" spans="1:6">
      <c r="A15" t="s">
        <v>519</v>
      </c>
      <c r="B15" t="s">
        <v>520</v>
      </c>
      <c r="C15" t="s">
        <v>215</v>
      </c>
      <c r="D15" t="b">
        <v>1</v>
      </c>
      <c r="E15" t="s">
        <v>521</v>
      </c>
      <c r="F15" t="s">
        <v>522</v>
      </c>
    </row>
    <row r="16" spans="1:6">
      <c r="A16" t="s">
        <v>497</v>
      </c>
      <c r="B16" t="s">
        <v>523</v>
      </c>
      <c r="C16" t="s">
        <v>524</v>
      </c>
      <c r="D16" t="b">
        <v>1</v>
      </c>
      <c r="E16" t="s">
        <v>525</v>
      </c>
      <c r="F16" t="s">
        <v>526</v>
      </c>
    </row>
    <row r="17" spans="1:6">
      <c r="A17" t="s">
        <v>527</v>
      </c>
      <c r="B17" t="s">
        <v>528</v>
      </c>
      <c r="C17" t="s">
        <v>233</v>
      </c>
      <c r="D17" t="b">
        <v>1</v>
      </c>
      <c r="E17" t="s">
        <v>529</v>
      </c>
      <c r="F17" t="s">
        <v>530</v>
      </c>
    </row>
    <row r="18" spans="1:6">
      <c r="A18" t="s">
        <v>507</v>
      </c>
      <c r="B18" t="s">
        <v>531</v>
      </c>
      <c r="C18" t="s">
        <v>532</v>
      </c>
      <c r="D18" t="b">
        <v>1</v>
      </c>
      <c r="E18" t="s">
        <v>533</v>
      </c>
      <c r="F18" t="s">
        <v>534</v>
      </c>
    </row>
    <row r="19" spans="1:6">
      <c r="A19" t="s">
        <v>511</v>
      </c>
      <c r="B19" t="s">
        <v>535</v>
      </c>
      <c r="C19" t="s">
        <v>264</v>
      </c>
      <c r="D19" t="b">
        <v>1</v>
      </c>
      <c r="E19" t="s">
        <v>536</v>
      </c>
      <c r="F19" t="s">
        <v>537</v>
      </c>
    </row>
    <row r="20" spans="1:6">
      <c r="A20" t="s">
        <v>538</v>
      </c>
      <c r="B20" t="s">
        <v>539</v>
      </c>
      <c r="C20" t="s">
        <v>540</v>
      </c>
      <c r="D20" t="b">
        <v>1</v>
      </c>
      <c r="E20" t="s">
        <v>541</v>
      </c>
      <c r="F20" t="s">
        <v>542</v>
      </c>
    </row>
    <row r="21" spans="1:6">
      <c r="A21" t="s">
        <v>519</v>
      </c>
      <c r="B21" t="s">
        <v>543</v>
      </c>
      <c r="C21" t="s">
        <v>544</v>
      </c>
      <c r="D21" t="b">
        <v>1</v>
      </c>
      <c r="E21" t="s">
        <v>545</v>
      </c>
      <c r="F21" t="s">
        <v>546</v>
      </c>
    </row>
    <row r="22" spans="1:6">
      <c r="A22" t="s">
        <v>547</v>
      </c>
      <c r="B22" t="s">
        <v>292</v>
      </c>
      <c r="C22" t="s">
        <v>296</v>
      </c>
      <c r="D22" t="b">
        <v>1</v>
      </c>
      <c r="E22" t="s">
        <v>548</v>
      </c>
      <c r="F22" t="s">
        <v>549</v>
      </c>
    </row>
    <row r="23" spans="1:6">
      <c r="A23" t="s">
        <v>550</v>
      </c>
      <c r="B23" t="s">
        <v>296</v>
      </c>
      <c r="C23" t="s">
        <v>300</v>
      </c>
      <c r="D23" t="b">
        <v>1</v>
      </c>
      <c r="E23" t="s">
        <v>551</v>
      </c>
      <c r="F23" t="s">
        <v>552</v>
      </c>
    </row>
    <row r="24" spans="1:6">
      <c r="A24" t="s">
        <v>502</v>
      </c>
      <c r="B24" t="s">
        <v>324</v>
      </c>
      <c r="C24" t="s">
        <v>328</v>
      </c>
      <c r="D24" t="b">
        <v>1</v>
      </c>
      <c r="E24" t="s">
        <v>553</v>
      </c>
      <c r="F24" t="s">
        <v>554</v>
      </c>
    </row>
    <row r="25" spans="1:6">
      <c r="A25" t="s">
        <v>555</v>
      </c>
      <c r="B25" t="s">
        <v>336</v>
      </c>
      <c r="C25" t="s">
        <v>340</v>
      </c>
      <c r="D25" t="b">
        <v>1</v>
      </c>
      <c r="E25" t="s">
        <v>556</v>
      </c>
      <c r="F25" t="s">
        <v>557</v>
      </c>
    </row>
    <row r="26" spans="1:6">
      <c r="A26" t="s">
        <v>558</v>
      </c>
      <c r="B26" t="s">
        <v>559</v>
      </c>
      <c r="C26" t="s">
        <v>560</v>
      </c>
      <c r="D26" t="b">
        <v>0</v>
      </c>
      <c r="E26" t="s">
        <v>561</v>
      </c>
      <c r="F26" t="s">
        <v>562</v>
      </c>
    </row>
    <row r="27" spans="1:6">
      <c r="A27" t="s">
        <v>511</v>
      </c>
      <c r="B27" t="s">
        <v>563</v>
      </c>
      <c r="C27" t="s">
        <v>353</v>
      </c>
      <c r="D27" t="b">
        <v>1</v>
      </c>
      <c r="E27" t="s">
        <v>564</v>
      </c>
      <c r="F27" t="s">
        <v>565</v>
      </c>
    </row>
    <row r="28" spans="1:6">
      <c r="A28" t="s">
        <v>507</v>
      </c>
      <c r="B28" t="s">
        <v>358</v>
      </c>
      <c r="C28" t="s">
        <v>566</v>
      </c>
      <c r="D28" t="b">
        <v>1</v>
      </c>
      <c r="E28" t="s">
        <v>567</v>
      </c>
      <c r="F28" t="s">
        <v>568</v>
      </c>
    </row>
    <row r="29" spans="1:6">
      <c r="A29" t="s">
        <v>519</v>
      </c>
      <c r="B29" t="s">
        <v>569</v>
      </c>
      <c r="C29" t="s">
        <v>570</v>
      </c>
      <c r="D29" t="b">
        <v>1</v>
      </c>
      <c r="E29" t="s">
        <v>571</v>
      </c>
      <c r="F29" t="s">
        <v>572</v>
      </c>
    </row>
    <row r="30" spans="1:6">
      <c r="A30" t="s">
        <v>497</v>
      </c>
      <c r="B30" t="s">
        <v>573</v>
      </c>
      <c r="C30" t="s">
        <v>396</v>
      </c>
      <c r="D30" t="b">
        <v>1</v>
      </c>
      <c r="E30" t="s">
        <v>574</v>
      </c>
      <c r="F30" t="s">
        <v>575</v>
      </c>
    </row>
    <row r="31" spans="1:6">
      <c r="A31" t="s">
        <v>538</v>
      </c>
      <c r="B31" t="s">
        <v>576</v>
      </c>
      <c r="C31" t="s">
        <v>414</v>
      </c>
      <c r="D31" t="b">
        <v>1</v>
      </c>
      <c r="E31" t="s">
        <v>577</v>
      </c>
      <c r="F31" t="s">
        <v>578</v>
      </c>
    </row>
    <row r="32" spans="1:6">
      <c r="A32" t="s">
        <v>502</v>
      </c>
      <c r="B32" t="s">
        <v>428</v>
      </c>
      <c r="C32" t="s">
        <v>579</v>
      </c>
      <c r="D32" t="b">
        <v>1</v>
      </c>
      <c r="E32" t="s">
        <v>580</v>
      </c>
      <c r="F32" t="s">
        <v>581</v>
      </c>
    </row>
    <row r="33" spans="1:6">
      <c r="A33" t="s">
        <v>555</v>
      </c>
      <c r="B33" t="s">
        <v>442</v>
      </c>
      <c r="C33" t="s">
        <v>443</v>
      </c>
      <c r="D33" t="b">
        <v>1</v>
      </c>
      <c r="E33" t="s">
        <v>582</v>
      </c>
      <c r="F33" t="s">
        <v>583</v>
      </c>
    </row>
    <row r="34" spans="1:6">
      <c r="A34" t="s">
        <v>511</v>
      </c>
      <c r="B34" t="s">
        <v>443</v>
      </c>
      <c r="C34" t="s">
        <v>584</v>
      </c>
      <c r="D34" t="b">
        <v>1</v>
      </c>
      <c r="E34" t="s">
        <v>585</v>
      </c>
      <c r="F34" t="s">
        <v>586</v>
      </c>
    </row>
    <row r="35" spans="1:6">
      <c r="A35" t="s">
        <v>507</v>
      </c>
      <c r="B35" t="s">
        <v>584</v>
      </c>
      <c r="C35" t="s">
        <v>587</v>
      </c>
      <c r="D35" t="b">
        <v>1</v>
      </c>
      <c r="E35" t="s">
        <v>588</v>
      </c>
      <c r="F35" t="s">
        <v>589</v>
      </c>
    </row>
    <row r="36" spans="1:6">
      <c r="A36" t="s">
        <v>519</v>
      </c>
      <c r="B36" t="s">
        <v>587</v>
      </c>
      <c r="C36" t="s">
        <v>590</v>
      </c>
      <c r="D36" t="b">
        <v>1</v>
      </c>
      <c r="E36" t="s">
        <v>591</v>
      </c>
      <c r="F36" t="s">
        <v>592</v>
      </c>
    </row>
    <row r="37" spans="1:6">
      <c r="A37" t="s">
        <v>593</v>
      </c>
      <c r="B37" t="s">
        <v>447</v>
      </c>
      <c r="C37" t="s">
        <v>448</v>
      </c>
      <c r="D37" t="b">
        <v>1</v>
      </c>
      <c r="E37" t="s">
        <v>594</v>
      </c>
      <c r="F37" t="s">
        <v>595</v>
      </c>
    </row>
    <row r="38" spans="1:6">
      <c r="A38" t="s">
        <v>596</v>
      </c>
      <c r="B38" t="s">
        <v>597</v>
      </c>
      <c r="C38" t="s">
        <v>598</v>
      </c>
      <c r="D38" t="b">
        <v>1</v>
      </c>
      <c r="E38" t="s">
        <v>599</v>
      </c>
      <c r="F38" t="s">
        <v>600</v>
      </c>
    </row>
    <row r="39" spans="1:6">
      <c r="A39" t="s">
        <v>601</v>
      </c>
      <c r="B39" t="s">
        <v>452</v>
      </c>
      <c r="C39" t="s">
        <v>453</v>
      </c>
      <c r="D39" t="b">
        <v>1</v>
      </c>
      <c r="E39" t="s">
        <v>602</v>
      </c>
      <c r="F39" t="s">
        <v>603</v>
      </c>
    </row>
  </sheetData>
  <sortState xmlns:xlrd2="http://schemas.microsoft.com/office/spreadsheetml/2017/richdata2" ref="A2:F44">
    <sortCondition ref="B2:B44"/>
    <sortCondition ref="C2:C44"/>
    <sortCondition ref="A2:A44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4EAEE-CEA3-DD48-80B3-11506322FEE2}">
  <dimension ref="A1:F42"/>
  <sheetViews>
    <sheetView topLeftCell="A19" workbookViewId="0"/>
  </sheetViews>
  <sheetFormatPr defaultColWidth="8.875" defaultRowHeight="15"/>
  <cols>
    <col min="1" max="1" width="13.5" style="25" bestFit="1" customWidth="1"/>
    <col min="2" max="2" width="13.875" style="25" bestFit="1" customWidth="1"/>
    <col min="3" max="3" width="12.875" style="25" bestFit="1" customWidth="1"/>
    <col min="4" max="4" width="10.375" style="25" bestFit="1" customWidth="1"/>
    <col min="5" max="5" width="10.5" style="25" bestFit="1" customWidth="1"/>
    <col min="6" max="6" width="11.125" style="25" bestFit="1" customWidth="1"/>
    <col min="7" max="16384" width="8.875" style="25"/>
  </cols>
  <sheetData>
    <row r="1" spans="1:6">
      <c r="A1" s="25" t="s">
        <v>130</v>
      </c>
      <c r="B1" s="25" t="s">
        <v>131</v>
      </c>
      <c r="C1" s="25" t="s">
        <v>132</v>
      </c>
      <c r="D1" s="25" t="s">
        <v>133</v>
      </c>
      <c r="E1" s="25" t="s">
        <v>134</v>
      </c>
      <c r="F1" s="25" t="s">
        <v>135</v>
      </c>
    </row>
    <row r="2" spans="1:6">
      <c r="A2" s="25" t="s">
        <v>604</v>
      </c>
      <c r="B2" s="25" t="s">
        <v>605</v>
      </c>
      <c r="C2" s="25" t="s">
        <v>606</v>
      </c>
      <c r="D2" s="25" t="b">
        <v>1</v>
      </c>
      <c r="E2" s="25" t="s">
        <v>607</v>
      </c>
      <c r="F2" s="25" t="s">
        <v>608</v>
      </c>
    </row>
    <row r="3" spans="1:6">
      <c r="A3" s="25" t="s">
        <v>609</v>
      </c>
      <c r="B3" s="25" t="s">
        <v>170</v>
      </c>
      <c r="C3" s="25" t="s">
        <v>610</v>
      </c>
      <c r="D3" s="25" t="b">
        <v>1</v>
      </c>
      <c r="E3" s="25" t="s">
        <v>611</v>
      </c>
      <c r="F3" s="25" t="s">
        <v>612</v>
      </c>
    </row>
    <row r="4" spans="1:6">
      <c r="A4" s="25" t="s">
        <v>613</v>
      </c>
      <c r="B4" s="25" t="s">
        <v>177</v>
      </c>
      <c r="C4" s="25" t="s">
        <v>178</v>
      </c>
      <c r="D4" s="25" t="b">
        <v>1</v>
      </c>
      <c r="E4" s="25" t="s">
        <v>614</v>
      </c>
      <c r="F4" s="25" t="s">
        <v>615</v>
      </c>
    </row>
    <row r="5" spans="1:6">
      <c r="A5" s="25" t="s">
        <v>616</v>
      </c>
      <c r="B5" s="25" t="s">
        <v>617</v>
      </c>
      <c r="C5" s="25" t="s">
        <v>618</v>
      </c>
      <c r="D5" s="25" t="b">
        <v>1</v>
      </c>
      <c r="E5" s="25" t="s">
        <v>619</v>
      </c>
      <c r="F5" s="25" t="s">
        <v>620</v>
      </c>
    </row>
    <row r="6" spans="1:6">
      <c r="A6" s="25" t="s">
        <v>621</v>
      </c>
      <c r="B6" s="25" t="s">
        <v>622</v>
      </c>
      <c r="C6" s="25" t="s">
        <v>623</v>
      </c>
      <c r="D6" s="25" t="b">
        <v>1</v>
      </c>
      <c r="E6" s="25" t="s">
        <v>624</v>
      </c>
      <c r="F6" s="25" t="s">
        <v>625</v>
      </c>
    </row>
    <row r="7" spans="1:6">
      <c r="A7" s="25" t="s">
        <v>626</v>
      </c>
      <c r="B7" s="25" t="s">
        <v>192</v>
      </c>
      <c r="C7" s="25" t="s">
        <v>196</v>
      </c>
      <c r="D7" s="25" t="b">
        <v>1</v>
      </c>
      <c r="E7" s="25" t="s">
        <v>627</v>
      </c>
      <c r="F7" s="25" t="s">
        <v>628</v>
      </c>
    </row>
    <row r="8" spans="1:6">
      <c r="A8" s="25" t="s">
        <v>629</v>
      </c>
      <c r="B8" s="25" t="s">
        <v>630</v>
      </c>
      <c r="C8" s="25" t="s">
        <v>631</v>
      </c>
      <c r="D8" s="25" t="b">
        <v>1</v>
      </c>
      <c r="E8" s="25" t="s">
        <v>632</v>
      </c>
      <c r="F8" s="25" t="s">
        <v>633</v>
      </c>
    </row>
    <row r="9" spans="1:6">
      <c r="A9" s="25" t="s">
        <v>634</v>
      </c>
      <c r="B9" s="25" t="s">
        <v>515</v>
      </c>
      <c r="C9" s="25" t="s">
        <v>516</v>
      </c>
      <c r="D9" s="25" t="b">
        <v>1</v>
      </c>
      <c r="E9" s="25" t="s">
        <v>635</v>
      </c>
      <c r="F9" s="25" t="s">
        <v>636</v>
      </c>
    </row>
    <row r="10" spans="1:6">
      <c r="A10" s="25" t="s">
        <v>637</v>
      </c>
      <c r="B10" s="25" t="s">
        <v>216</v>
      </c>
      <c r="C10" s="25" t="s">
        <v>638</v>
      </c>
      <c r="D10" s="25" t="b">
        <v>1</v>
      </c>
      <c r="E10" s="25" t="s">
        <v>639</v>
      </c>
      <c r="F10" s="25" t="s">
        <v>640</v>
      </c>
    </row>
    <row r="11" spans="1:6">
      <c r="A11" s="25" t="s">
        <v>604</v>
      </c>
      <c r="B11" s="25" t="s">
        <v>228</v>
      </c>
      <c r="C11" s="25" t="s">
        <v>229</v>
      </c>
      <c r="D11" s="25" t="b">
        <v>1</v>
      </c>
      <c r="E11" s="25" t="s">
        <v>641</v>
      </c>
      <c r="F11" s="25" t="s">
        <v>642</v>
      </c>
    </row>
    <row r="12" spans="1:6">
      <c r="A12" s="25" t="s">
        <v>643</v>
      </c>
      <c r="B12" s="25" t="s">
        <v>528</v>
      </c>
      <c r="C12" s="25" t="s">
        <v>233</v>
      </c>
      <c r="D12" s="25" t="b">
        <v>1</v>
      </c>
      <c r="E12" s="25" t="s">
        <v>644</v>
      </c>
      <c r="F12" s="25" t="s">
        <v>645</v>
      </c>
    </row>
    <row r="13" spans="1:6">
      <c r="A13" s="25" t="s">
        <v>646</v>
      </c>
      <c r="B13" s="25" t="s">
        <v>233</v>
      </c>
      <c r="C13" s="25" t="s">
        <v>234</v>
      </c>
      <c r="D13" s="25" t="b">
        <v>1</v>
      </c>
      <c r="E13" s="25" t="s">
        <v>647</v>
      </c>
      <c r="F13" s="25" t="s">
        <v>648</v>
      </c>
    </row>
    <row r="14" spans="1:6">
      <c r="A14" s="25" t="s">
        <v>616</v>
      </c>
      <c r="B14" s="25" t="s">
        <v>649</v>
      </c>
      <c r="C14" s="25" t="s">
        <v>650</v>
      </c>
      <c r="D14" s="25" t="b">
        <v>1</v>
      </c>
      <c r="E14" s="25" t="s">
        <v>651</v>
      </c>
      <c r="F14" s="25" t="s">
        <v>652</v>
      </c>
    </row>
    <row r="15" spans="1:6">
      <c r="A15" s="25" t="s">
        <v>637</v>
      </c>
      <c r="B15" s="25" t="s">
        <v>265</v>
      </c>
      <c r="C15" s="25" t="s">
        <v>653</v>
      </c>
      <c r="D15" s="25" t="b">
        <v>1</v>
      </c>
      <c r="E15" s="25" t="s">
        <v>654</v>
      </c>
      <c r="F15" s="25" t="s">
        <v>655</v>
      </c>
    </row>
    <row r="16" spans="1:6">
      <c r="A16" s="25" t="s">
        <v>634</v>
      </c>
      <c r="B16" s="25" t="s">
        <v>656</v>
      </c>
      <c r="C16" s="25" t="s">
        <v>277</v>
      </c>
      <c r="D16" s="25" t="b">
        <v>1</v>
      </c>
      <c r="E16" s="25" t="s">
        <v>657</v>
      </c>
      <c r="F16" s="25" t="s">
        <v>658</v>
      </c>
    </row>
    <row r="17" spans="1:6">
      <c r="A17" s="25" t="s">
        <v>604</v>
      </c>
      <c r="B17" s="25" t="s">
        <v>659</v>
      </c>
      <c r="C17" s="25" t="s">
        <v>660</v>
      </c>
      <c r="D17" s="25" t="b">
        <v>1</v>
      </c>
      <c r="E17" s="25" t="s">
        <v>661</v>
      </c>
      <c r="F17" s="25" t="s">
        <v>662</v>
      </c>
    </row>
    <row r="18" spans="1:6">
      <c r="A18" s="25" t="s">
        <v>621</v>
      </c>
      <c r="B18" s="25" t="s">
        <v>663</v>
      </c>
      <c r="C18" s="25" t="s">
        <v>287</v>
      </c>
      <c r="D18" s="25" t="b">
        <v>1</v>
      </c>
      <c r="E18" s="25" t="s">
        <v>664</v>
      </c>
      <c r="F18" s="25" t="s">
        <v>665</v>
      </c>
    </row>
    <row r="19" spans="1:6">
      <c r="A19" s="25" t="s">
        <v>666</v>
      </c>
      <c r="B19" s="25" t="s">
        <v>288</v>
      </c>
      <c r="C19" s="25" t="s">
        <v>292</v>
      </c>
      <c r="D19" s="25" t="b">
        <v>1</v>
      </c>
      <c r="E19" s="25" t="s">
        <v>667</v>
      </c>
      <c r="F19" s="25" t="s">
        <v>668</v>
      </c>
    </row>
    <row r="20" spans="1:6">
      <c r="A20" s="25" t="s">
        <v>669</v>
      </c>
      <c r="B20" s="25" t="s">
        <v>315</v>
      </c>
      <c r="C20" s="25" t="s">
        <v>670</v>
      </c>
      <c r="D20" s="25" t="b">
        <v>1</v>
      </c>
      <c r="E20" s="25" t="s">
        <v>671</v>
      </c>
      <c r="F20" s="25" t="s">
        <v>672</v>
      </c>
    </row>
    <row r="21" spans="1:6">
      <c r="A21" s="25" t="s">
        <v>637</v>
      </c>
      <c r="B21" s="25" t="s">
        <v>331</v>
      </c>
      <c r="C21" s="25" t="s">
        <v>673</v>
      </c>
      <c r="D21" s="25" t="b">
        <v>1</v>
      </c>
      <c r="E21" s="25" t="s">
        <v>674</v>
      </c>
      <c r="F21" s="25" t="s">
        <v>675</v>
      </c>
    </row>
    <row r="22" spans="1:6">
      <c r="A22" s="25" t="s">
        <v>676</v>
      </c>
      <c r="B22" s="25" t="s">
        <v>336</v>
      </c>
      <c r="C22" s="25" t="s">
        <v>340</v>
      </c>
      <c r="D22" s="25" t="b">
        <v>1</v>
      </c>
      <c r="E22" s="25" t="s">
        <v>677</v>
      </c>
      <c r="F22" s="25" t="s">
        <v>678</v>
      </c>
    </row>
    <row r="23" spans="1:6">
      <c r="A23" s="25" t="s">
        <v>679</v>
      </c>
      <c r="B23" s="25" t="s">
        <v>559</v>
      </c>
      <c r="C23" s="25" t="s">
        <v>560</v>
      </c>
      <c r="D23" s="25" t="b">
        <v>0</v>
      </c>
      <c r="E23" s="25" t="s">
        <v>680</v>
      </c>
      <c r="F23" s="25" t="s">
        <v>681</v>
      </c>
    </row>
    <row r="24" spans="1:6">
      <c r="A24" s="25" t="s">
        <v>609</v>
      </c>
      <c r="B24" s="25" t="s">
        <v>354</v>
      </c>
      <c r="C24" s="25" t="s">
        <v>682</v>
      </c>
      <c r="D24" s="25" t="b">
        <v>1</v>
      </c>
      <c r="E24" s="25" t="s">
        <v>683</v>
      </c>
      <c r="F24" s="25" t="s">
        <v>684</v>
      </c>
    </row>
    <row r="25" spans="1:6">
      <c r="A25" s="25" t="s">
        <v>616</v>
      </c>
      <c r="B25" s="25" t="s">
        <v>566</v>
      </c>
      <c r="C25" s="25" t="s">
        <v>362</v>
      </c>
      <c r="D25" s="25" t="b">
        <v>1</v>
      </c>
      <c r="E25" s="25" t="s">
        <v>685</v>
      </c>
      <c r="F25" s="25" t="s">
        <v>686</v>
      </c>
    </row>
    <row r="26" spans="1:6">
      <c r="A26" s="25" t="s">
        <v>687</v>
      </c>
      <c r="B26" s="25" t="s">
        <v>688</v>
      </c>
      <c r="C26" s="25" t="s">
        <v>689</v>
      </c>
      <c r="D26" s="25" t="b">
        <v>1</v>
      </c>
      <c r="E26" s="25" t="s">
        <v>690</v>
      </c>
      <c r="F26" s="25" t="s">
        <v>691</v>
      </c>
    </row>
    <row r="27" spans="1:6">
      <c r="A27" s="25" t="s">
        <v>626</v>
      </c>
      <c r="B27" s="25" t="s">
        <v>387</v>
      </c>
      <c r="C27" s="25" t="s">
        <v>692</v>
      </c>
      <c r="D27" s="25" t="b">
        <v>1</v>
      </c>
      <c r="E27" s="25" t="s">
        <v>693</v>
      </c>
      <c r="F27" s="25" t="s">
        <v>694</v>
      </c>
    </row>
    <row r="28" spans="1:6">
      <c r="A28" s="25" t="s">
        <v>634</v>
      </c>
      <c r="B28" s="25" t="s">
        <v>573</v>
      </c>
      <c r="C28" s="25" t="s">
        <v>396</v>
      </c>
      <c r="D28" s="25" t="b">
        <v>1</v>
      </c>
      <c r="E28" s="25" t="s">
        <v>695</v>
      </c>
      <c r="F28" s="25" t="s">
        <v>696</v>
      </c>
    </row>
    <row r="29" spans="1:6">
      <c r="A29" s="25" t="s">
        <v>613</v>
      </c>
      <c r="B29" s="25" t="s">
        <v>697</v>
      </c>
      <c r="C29" s="25" t="s">
        <v>576</v>
      </c>
      <c r="D29" s="25" t="b">
        <v>1</v>
      </c>
      <c r="E29" s="25" t="s">
        <v>698</v>
      </c>
      <c r="F29" s="25" t="s">
        <v>699</v>
      </c>
    </row>
    <row r="30" spans="1:6">
      <c r="A30" s="25" t="s">
        <v>621</v>
      </c>
      <c r="B30" s="25" t="s">
        <v>700</v>
      </c>
      <c r="C30" s="25" t="s">
        <v>701</v>
      </c>
      <c r="D30" s="25" t="b">
        <v>1</v>
      </c>
      <c r="E30" s="25" t="s">
        <v>702</v>
      </c>
      <c r="F30" s="25" t="s">
        <v>703</v>
      </c>
    </row>
    <row r="31" spans="1:6">
      <c r="A31" s="25" t="s">
        <v>604</v>
      </c>
      <c r="B31" s="25" t="s">
        <v>704</v>
      </c>
      <c r="C31" s="25" t="s">
        <v>705</v>
      </c>
      <c r="D31" s="25" t="b">
        <v>1</v>
      </c>
      <c r="E31" s="25" t="s">
        <v>706</v>
      </c>
      <c r="F31" s="25" t="s">
        <v>707</v>
      </c>
    </row>
    <row r="32" spans="1:6">
      <c r="A32" s="25" t="s">
        <v>708</v>
      </c>
      <c r="B32" s="25" t="s">
        <v>709</v>
      </c>
      <c r="C32" s="25" t="s">
        <v>710</v>
      </c>
      <c r="D32" s="25" t="b">
        <v>1</v>
      </c>
      <c r="E32" s="25" t="s">
        <v>711</v>
      </c>
      <c r="F32" s="25" t="s">
        <v>712</v>
      </c>
    </row>
    <row r="33" spans="1:6">
      <c r="A33" s="25" t="s">
        <v>713</v>
      </c>
      <c r="B33" s="25" t="s">
        <v>710</v>
      </c>
      <c r="C33" s="25" t="s">
        <v>714</v>
      </c>
      <c r="D33" s="25" t="b">
        <v>1</v>
      </c>
      <c r="E33" s="25" t="s">
        <v>715</v>
      </c>
      <c r="F33" s="25" t="s">
        <v>716</v>
      </c>
    </row>
    <row r="34" spans="1:6">
      <c r="A34" s="25" t="s">
        <v>616</v>
      </c>
      <c r="B34" s="25" t="s">
        <v>717</v>
      </c>
      <c r="C34" s="25" t="s">
        <v>718</v>
      </c>
      <c r="D34" s="25" t="b">
        <v>1</v>
      </c>
      <c r="E34" s="25" t="s">
        <v>719</v>
      </c>
      <c r="F34" s="25" t="s">
        <v>720</v>
      </c>
    </row>
    <row r="35" spans="1:6">
      <c r="A35" s="25" t="s">
        <v>721</v>
      </c>
      <c r="B35" s="25" t="s">
        <v>442</v>
      </c>
      <c r="C35" s="25" t="s">
        <v>443</v>
      </c>
      <c r="D35" s="25" t="b">
        <v>1</v>
      </c>
      <c r="E35" s="25" t="s">
        <v>722</v>
      </c>
      <c r="F35" s="25" t="s">
        <v>723</v>
      </c>
    </row>
    <row r="36" spans="1:6">
      <c r="A36" s="25" t="s">
        <v>626</v>
      </c>
      <c r="B36" s="25" t="s">
        <v>443</v>
      </c>
      <c r="C36" s="25" t="s">
        <v>584</v>
      </c>
      <c r="D36" s="25" t="b">
        <v>1</v>
      </c>
      <c r="E36" s="25" t="s">
        <v>724</v>
      </c>
      <c r="F36" s="25" t="s">
        <v>725</v>
      </c>
    </row>
    <row r="37" spans="1:6">
      <c r="A37" s="25" t="s">
        <v>726</v>
      </c>
      <c r="B37" s="25" t="s">
        <v>584</v>
      </c>
      <c r="C37" s="25" t="s">
        <v>587</v>
      </c>
      <c r="D37" s="25" t="b">
        <v>1</v>
      </c>
      <c r="E37" s="25" t="s">
        <v>727</v>
      </c>
      <c r="F37" s="25" t="s">
        <v>728</v>
      </c>
    </row>
    <row r="38" spans="1:6">
      <c r="A38" s="25" t="s">
        <v>621</v>
      </c>
      <c r="B38" s="25" t="s">
        <v>587</v>
      </c>
      <c r="C38" s="25" t="s">
        <v>590</v>
      </c>
      <c r="D38" s="25" t="b">
        <v>1</v>
      </c>
      <c r="E38" s="25" t="s">
        <v>729</v>
      </c>
      <c r="F38" s="25" t="s">
        <v>730</v>
      </c>
    </row>
    <row r="39" spans="1:6">
      <c r="A39" s="25" t="s">
        <v>676</v>
      </c>
      <c r="B39" s="25" t="s">
        <v>590</v>
      </c>
      <c r="C39" s="25" t="s">
        <v>731</v>
      </c>
      <c r="D39" s="25" t="b">
        <v>1</v>
      </c>
      <c r="E39" s="25" t="s">
        <v>732</v>
      </c>
      <c r="F39" s="25" t="s">
        <v>733</v>
      </c>
    </row>
    <row r="40" spans="1:6">
      <c r="A40" s="25" t="s">
        <v>734</v>
      </c>
      <c r="B40" s="25" t="s">
        <v>447</v>
      </c>
      <c r="C40" s="25" t="s">
        <v>448</v>
      </c>
      <c r="D40" s="25" t="b">
        <v>1</v>
      </c>
      <c r="E40" s="25" t="s">
        <v>735</v>
      </c>
      <c r="F40" s="25" t="s">
        <v>736</v>
      </c>
    </row>
    <row r="41" spans="1:6">
      <c r="A41" s="25" t="s">
        <v>737</v>
      </c>
      <c r="B41" s="25" t="s">
        <v>597</v>
      </c>
      <c r="C41" s="25" t="s">
        <v>598</v>
      </c>
      <c r="D41" s="25" t="b">
        <v>1</v>
      </c>
      <c r="E41" s="25" t="s">
        <v>738</v>
      </c>
      <c r="F41" s="25" t="s">
        <v>739</v>
      </c>
    </row>
    <row r="42" spans="1:6">
      <c r="A42" s="25" t="s">
        <v>740</v>
      </c>
      <c r="B42" s="25" t="s">
        <v>452</v>
      </c>
      <c r="C42" s="25" t="s">
        <v>453</v>
      </c>
      <c r="D42" s="25" t="b">
        <v>1</v>
      </c>
      <c r="E42" s="25" t="s">
        <v>741</v>
      </c>
      <c r="F42" s="25" t="s">
        <v>742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40699-694D-6146-8164-45C4C5F2CF40}">
  <dimension ref="A1:F42"/>
  <sheetViews>
    <sheetView topLeftCell="A21" workbookViewId="0"/>
  </sheetViews>
  <sheetFormatPr defaultColWidth="11" defaultRowHeight="15.95"/>
  <sheetData>
    <row r="1" spans="1:6">
      <c r="A1" t="s">
        <v>130</v>
      </c>
      <c r="B1" t="s">
        <v>131</v>
      </c>
      <c r="C1" t="s">
        <v>132</v>
      </c>
      <c r="D1" t="s">
        <v>133</v>
      </c>
      <c r="E1" t="s">
        <v>134</v>
      </c>
      <c r="F1" t="s">
        <v>135</v>
      </c>
    </row>
    <row r="2" spans="1:6">
      <c r="A2" t="s">
        <v>604</v>
      </c>
      <c r="B2" t="s">
        <v>605</v>
      </c>
      <c r="C2" t="s">
        <v>606</v>
      </c>
      <c r="D2" t="b">
        <v>1</v>
      </c>
      <c r="E2" t="s">
        <v>607</v>
      </c>
      <c r="F2" t="s">
        <v>608</v>
      </c>
    </row>
    <row r="3" spans="1:6">
      <c r="A3" t="s">
        <v>609</v>
      </c>
      <c r="B3" t="s">
        <v>170</v>
      </c>
      <c r="C3" t="s">
        <v>610</v>
      </c>
      <c r="D3" t="b">
        <v>1</v>
      </c>
      <c r="E3" t="s">
        <v>611</v>
      </c>
      <c r="F3" t="s">
        <v>612</v>
      </c>
    </row>
    <row r="4" spans="1:6">
      <c r="A4" t="s">
        <v>613</v>
      </c>
      <c r="B4" t="s">
        <v>177</v>
      </c>
      <c r="C4" t="s">
        <v>178</v>
      </c>
      <c r="D4" t="b">
        <v>1</v>
      </c>
      <c r="E4" t="s">
        <v>614</v>
      </c>
      <c r="F4" t="s">
        <v>615</v>
      </c>
    </row>
    <row r="5" spans="1:6">
      <c r="A5" t="s">
        <v>616</v>
      </c>
      <c r="B5" t="s">
        <v>617</v>
      </c>
      <c r="C5" t="s">
        <v>618</v>
      </c>
      <c r="D5" t="b">
        <v>1</v>
      </c>
      <c r="E5" t="s">
        <v>619</v>
      </c>
      <c r="F5" t="s">
        <v>620</v>
      </c>
    </row>
    <row r="6" spans="1:6">
      <c r="A6" t="s">
        <v>621</v>
      </c>
      <c r="B6" t="s">
        <v>622</v>
      </c>
      <c r="C6" t="s">
        <v>623</v>
      </c>
      <c r="D6" t="b">
        <v>1</v>
      </c>
      <c r="E6" t="s">
        <v>624</v>
      </c>
      <c r="F6" t="s">
        <v>625</v>
      </c>
    </row>
    <row r="7" spans="1:6">
      <c r="A7" t="s">
        <v>626</v>
      </c>
      <c r="B7" t="s">
        <v>192</v>
      </c>
      <c r="C7" t="s">
        <v>196</v>
      </c>
      <c r="D7" t="b">
        <v>1</v>
      </c>
      <c r="E7" t="s">
        <v>627</v>
      </c>
      <c r="F7" t="s">
        <v>628</v>
      </c>
    </row>
    <row r="8" spans="1:6">
      <c r="A8" t="s">
        <v>629</v>
      </c>
      <c r="B8" t="s">
        <v>630</v>
      </c>
      <c r="C8" t="s">
        <v>631</v>
      </c>
      <c r="D8" t="b">
        <v>1</v>
      </c>
      <c r="E8" t="s">
        <v>632</v>
      </c>
      <c r="F8" t="s">
        <v>633</v>
      </c>
    </row>
    <row r="9" spans="1:6">
      <c r="A9" t="s">
        <v>634</v>
      </c>
      <c r="B9" t="s">
        <v>515</v>
      </c>
      <c r="C9" t="s">
        <v>516</v>
      </c>
      <c r="D9" t="b">
        <v>1</v>
      </c>
      <c r="E9" t="s">
        <v>635</v>
      </c>
      <c r="F9" t="s">
        <v>636</v>
      </c>
    </row>
    <row r="10" spans="1:6">
      <c r="A10" t="s">
        <v>637</v>
      </c>
      <c r="B10" t="s">
        <v>216</v>
      </c>
      <c r="C10" t="s">
        <v>638</v>
      </c>
      <c r="D10" t="b">
        <v>1</v>
      </c>
      <c r="E10" t="s">
        <v>639</v>
      </c>
      <c r="F10" t="s">
        <v>640</v>
      </c>
    </row>
    <row r="11" spans="1:6">
      <c r="A11" t="s">
        <v>604</v>
      </c>
      <c r="B11" t="s">
        <v>228</v>
      </c>
      <c r="C11" t="s">
        <v>229</v>
      </c>
      <c r="D11" t="b">
        <v>1</v>
      </c>
      <c r="E11" t="s">
        <v>641</v>
      </c>
      <c r="F11" t="s">
        <v>642</v>
      </c>
    </row>
    <row r="12" spans="1:6">
      <c r="A12" t="s">
        <v>643</v>
      </c>
      <c r="B12" t="s">
        <v>528</v>
      </c>
      <c r="C12" t="s">
        <v>233</v>
      </c>
      <c r="D12" t="b">
        <v>1</v>
      </c>
      <c r="E12" t="s">
        <v>644</v>
      </c>
      <c r="F12" t="s">
        <v>645</v>
      </c>
    </row>
    <row r="13" spans="1:6">
      <c r="A13" t="s">
        <v>646</v>
      </c>
      <c r="B13" t="s">
        <v>233</v>
      </c>
      <c r="C13" t="s">
        <v>234</v>
      </c>
      <c r="D13" t="b">
        <v>1</v>
      </c>
      <c r="E13" t="s">
        <v>647</v>
      </c>
      <c r="F13" t="s">
        <v>648</v>
      </c>
    </row>
    <row r="14" spans="1:6">
      <c r="A14" t="s">
        <v>616</v>
      </c>
      <c r="B14" t="s">
        <v>649</v>
      </c>
      <c r="C14" t="s">
        <v>650</v>
      </c>
      <c r="D14" t="b">
        <v>1</v>
      </c>
      <c r="E14" t="s">
        <v>651</v>
      </c>
      <c r="F14" t="s">
        <v>652</v>
      </c>
    </row>
    <row r="15" spans="1:6">
      <c r="A15" t="s">
        <v>637</v>
      </c>
      <c r="B15" t="s">
        <v>265</v>
      </c>
      <c r="C15" t="s">
        <v>653</v>
      </c>
      <c r="D15" t="b">
        <v>1</v>
      </c>
      <c r="E15" t="s">
        <v>654</v>
      </c>
      <c r="F15" t="s">
        <v>655</v>
      </c>
    </row>
    <row r="16" spans="1:6">
      <c r="A16" t="s">
        <v>634</v>
      </c>
      <c r="B16" t="s">
        <v>656</v>
      </c>
      <c r="C16" t="s">
        <v>277</v>
      </c>
      <c r="D16" t="b">
        <v>1</v>
      </c>
      <c r="E16" t="s">
        <v>657</v>
      </c>
      <c r="F16" t="s">
        <v>658</v>
      </c>
    </row>
    <row r="17" spans="1:6">
      <c r="A17" t="s">
        <v>604</v>
      </c>
      <c r="B17" t="s">
        <v>659</v>
      </c>
      <c r="C17" t="s">
        <v>660</v>
      </c>
      <c r="D17" t="b">
        <v>1</v>
      </c>
      <c r="E17" t="s">
        <v>661</v>
      </c>
      <c r="F17" t="s">
        <v>662</v>
      </c>
    </row>
    <row r="18" spans="1:6">
      <c r="A18" t="s">
        <v>621</v>
      </c>
      <c r="B18" t="s">
        <v>663</v>
      </c>
      <c r="C18" t="s">
        <v>287</v>
      </c>
      <c r="D18" t="b">
        <v>1</v>
      </c>
      <c r="E18" t="s">
        <v>664</v>
      </c>
      <c r="F18" t="s">
        <v>665</v>
      </c>
    </row>
    <row r="19" spans="1:6">
      <c r="A19" t="s">
        <v>666</v>
      </c>
      <c r="B19" t="s">
        <v>288</v>
      </c>
      <c r="C19" t="s">
        <v>292</v>
      </c>
      <c r="D19" t="b">
        <v>1</v>
      </c>
      <c r="E19" t="s">
        <v>667</v>
      </c>
      <c r="F19" t="s">
        <v>668</v>
      </c>
    </row>
    <row r="20" spans="1:6">
      <c r="A20" t="s">
        <v>669</v>
      </c>
      <c r="B20" t="s">
        <v>315</v>
      </c>
      <c r="C20" t="s">
        <v>670</v>
      </c>
      <c r="D20" t="b">
        <v>1</v>
      </c>
      <c r="E20" t="s">
        <v>671</v>
      </c>
      <c r="F20" t="s">
        <v>672</v>
      </c>
    </row>
    <row r="21" spans="1:6">
      <c r="A21" t="s">
        <v>637</v>
      </c>
      <c r="B21" t="s">
        <v>331</v>
      </c>
      <c r="C21" t="s">
        <v>673</v>
      </c>
      <c r="D21" t="b">
        <v>1</v>
      </c>
      <c r="E21" t="s">
        <v>674</v>
      </c>
      <c r="F21" t="s">
        <v>675</v>
      </c>
    </row>
    <row r="22" spans="1:6">
      <c r="A22" t="s">
        <v>676</v>
      </c>
      <c r="B22" t="s">
        <v>336</v>
      </c>
      <c r="C22" t="s">
        <v>340</v>
      </c>
      <c r="D22" t="b">
        <v>1</v>
      </c>
      <c r="E22" t="s">
        <v>677</v>
      </c>
      <c r="F22" t="s">
        <v>678</v>
      </c>
    </row>
    <row r="23" spans="1:6">
      <c r="A23" t="s">
        <v>679</v>
      </c>
      <c r="B23" t="s">
        <v>559</v>
      </c>
      <c r="C23" t="s">
        <v>560</v>
      </c>
      <c r="D23" t="b">
        <v>0</v>
      </c>
      <c r="E23" t="s">
        <v>680</v>
      </c>
      <c r="F23" t="s">
        <v>681</v>
      </c>
    </row>
    <row r="24" spans="1:6">
      <c r="A24" t="s">
        <v>609</v>
      </c>
      <c r="B24" t="s">
        <v>354</v>
      </c>
      <c r="C24" t="s">
        <v>682</v>
      </c>
      <c r="D24" t="b">
        <v>1</v>
      </c>
      <c r="E24" t="s">
        <v>683</v>
      </c>
      <c r="F24" t="s">
        <v>684</v>
      </c>
    </row>
    <row r="25" spans="1:6">
      <c r="A25" t="s">
        <v>616</v>
      </c>
      <c r="B25" t="s">
        <v>566</v>
      </c>
      <c r="C25" t="s">
        <v>362</v>
      </c>
      <c r="D25" t="b">
        <v>1</v>
      </c>
      <c r="E25" t="s">
        <v>685</v>
      </c>
      <c r="F25" t="s">
        <v>686</v>
      </c>
    </row>
    <row r="26" spans="1:6">
      <c r="A26" t="s">
        <v>687</v>
      </c>
      <c r="B26" t="s">
        <v>688</v>
      </c>
      <c r="C26" t="s">
        <v>689</v>
      </c>
      <c r="D26" t="b">
        <v>1</v>
      </c>
      <c r="E26" t="s">
        <v>690</v>
      </c>
      <c r="F26" t="s">
        <v>691</v>
      </c>
    </row>
    <row r="27" spans="1:6">
      <c r="A27" t="s">
        <v>626</v>
      </c>
      <c r="B27" t="s">
        <v>387</v>
      </c>
      <c r="C27" t="s">
        <v>692</v>
      </c>
      <c r="D27" t="b">
        <v>1</v>
      </c>
      <c r="E27" t="s">
        <v>693</v>
      </c>
      <c r="F27" t="s">
        <v>694</v>
      </c>
    </row>
    <row r="28" spans="1:6">
      <c r="A28" t="s">
        <v>634</v>
      </c>
      <c r="B28" t="s">
        <v>573</v>
      </c>
      <c r="C28" t="s">
        <v>396</v>
      </c>
      <c r="D28" t="b">
        <v>1</v>
      </c>
      <c r="E28" t="s">
        <v>695</v>
      </c>
      <c r="F28" t="s">
        <v>696</v>
      </c>
    </row>
    <row r="29" spans="1:6">
      <c r="A29" t="s">
        <v>613</v>
      </c>
      <c r="B29" t="s">
        <v>697</v>
      </c>
      <c r="C29" t="s">
        <v>576</v>
      </c>
      <c r="D29" t="b">
        <v>1</v>
      </c>
      <c r="E29" t="s">
        <v>698</v>
      </c>
      <c r="F29" t="s">
        <v>699</v>
      </c>
    </row>
    <row r="30" spans="1:6">
      <c r="A30" t="s">
        <v>621</v>
      </c>
      <c r="B30" t="s">
        <v>700</v>
      </c>
      <c r="C30" t="s">
        <v>701</v>
      </c>
      <c r="D30" t="b">
        <v>1</v>
      </c>
      <c r="E30" t="s">
        <v>702</v>
      </c>
      <c r="F30" t="s">
        <v>703</v>
      </c>
    </row>
    <row r="31" spans="1:6">
      <c r="A31" t="s">
        <v>604</v>
      </c>
      <c r="B31" t="s">
        <v>704</v>
      </c>
      <c r="C31" t="s">
        <v>705</v>
      </c>
      <c r="D31" t="b">
        <v>1</v>
      </c>
      <c r="E31" t="s">
        <v>706</v>
      </c>
      <c r="F31" t="s">
        <v>707</v>
      </c>
    </row>
    <row r="32" spans="1:6">
      <c r="A32" t="s">
        <v>708</v>
      </c>
      <c r="B32" t="s">
        <v>709</v>
      </c>
      <c r="C32" t="s">
        <v>710</v>
      </c>
      <c r="D32" t="b">
        <v>1</v>
      </c>
      <c r="E32" t="s">
        <v>711</v>
      </c>
      <c r="F32" t="s">
        <v>712</v>
      </c>
    </row>
    <row r="33" spans="1:6">
      <c r="A33" t="s">
        <v>713</v>
      </c>
      <c r="B33" t="s">
        <v>710</v>
      </c>
      <c r="C33" t="s">
        <v>714</v>
      </c>
      <c r="D33" t="b">
        <v>1</v>
      </c>
      <c r="E33" t="s">
        <v>715</v>
      </c>
      <c r="F33" t="s">
        <v>716</v>
      </c>
    </row>
    <row r="34" spans="1:6">
      <c r="A34" t="s">
        <v>616</v>
      </c>
      <c r="B34" t="s">
        <v>717</v>
      </c>
      <c r="C34" t="s">
        <v>718</v>
      </c>
      <c r="D34" t="b">
        <v>1</v>
      </c>
      <c r="E34" t="s">
        <v>719</v>
      </c>
      <c r="F34" t="s">
        <v>720</v>
      </c>
    </row>
    <row r="35" spans="1:6">
      <c r="A35" t="s">
        <v>721</v>
      </c>
      <c r="B35" t="s">
        <v>442</v>
      </c>
      <c r="C35" t="s">
        <v>443</v>
      </c>
      <c r="D35" t="b">
        <v>1</v>
      </c>
      <c r="E35" t="s">
        <v>722</v>
      </c>
      <c r="F35" t="s">
        <v>723</v>
      </c>
    </row>
    <row r="36" spans="1:6">
      <c r="A36" t="s">
        <v>626</v>
      </c>
      <c r="B36" t="s">
        <v>443</v>
      </c>
      <c r="C36" t="s">
        <v>584</v>
      </c>
      <c r="D36" t="b">
        <v>1</v>
      </c>
      <c r="E36" t="s">
        <v>724</v>
      </c>
      <c r="F36" t="s">
        <v>725</v>
      </c>
    </row>
    <row r="37" spans="1:6">
      <c r="A37" t="s">
        <v>726</v>
      </c>
      <c r="B37" t="s">
        <v>584</v>
      </c>
      <c r="C37" t="s">
        <v>587</v>
      </c>
      <c r="D37" t="b">
        <v>1</v>
      </c>
      <c r="E37" t="s">
        <v>727</v>
      </c>
      <c r="F37" t="s">
        <v>728</v>
      </c>
    </row>
    <row r="38" spans="1:6">
      <c r="A38" t="s">
        <v>621</v>
      </c>
      <c r="B38" t="s">
        <v>587</v>
      </c>
      <c r="C38" t="s">
        <v>590</v>
      </c>
      <c r="D38" t="b">
        <v>1</v>
      </c>
      <c r="E38" t="s">
        <v>729</v>
      </c>
      <c r="F38" t="s">
        <v>730</v>
      </c>
    </row>
    <row r="39" spans="1:6">
      <c r="A39" t="s">
        <v>676</v>
      </c>
      <c r="B39" t="s">
        <v>590</v>
      </c>
      <c r="C39" t="s">
        <v>731</v>
      </c>
      <c r="D39" t="b">
        <v>1</v>
      </c>
      <c r="E39" t="s">
        <v>732</v>
      </c>
      <c r="F39" t="s">
        <v>733</v>
      </c>
    </row>
    <row r="40" spans="1:6">
      <c r="A40" t="s">
        <v>734</v>
      </c>
      <c r="B40" t="s">
        <v>447</v>
      </c>
      <c r="C40" t="s">
        <v>448</v>
      </c>
      <c r="D40" t="b">
        <v>1</v>
      </c>
      <c r="E40" t="s">
        <v>735</v>
      </c>
      <c r="F40" t="s">
        <v>736</v>
      </c>
    </row>
    <row r="41" spans="1:6">
      <c r="A41" t="s">
        <v>737</v>
      </c>
      <c r="B41" t="s">
        <v>597</v>
      </c>
      <c r="C41" t="s">
        <v>598</v>
      </c>
      <c r="D41" t="b">
        <v>1</v>
      </c>
      <c r="E41" t="s">
        <v>738</v>
      </c>
      <c r="F41" t="s">
        <v>739</v>
      </c>
    </row>
    <row r="42" spans="1:6">
      <c r="A42" t="s">
        <v>740</v>
      </c>
      <c r="B42" t="s">
        <v>452</v>
      </c>
      <c r="C42" t="s">
        <v>453</v>
      </c>
      <c r="D42" t="b">
        <v>1</v>
      </c>
      <c r="E42" t="s">
        <v>741</v>
      </c>
      <c r="F42" t="s">
        <v>742</v>
      </c>
    </row>
  </sheetData>
  <sortState xmlns:xlrd2="http://schemas.microsoft.com/office/spreadsheetml/2017/richdata2" ref="A2:F45">
    <sortCondition ref="B2:B45"/>
    <sortCondition ref="C2:C45"/>
    <sortCondition ref="A2:A45"/>
  </sortState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7CFED-A91C-4D48-8530-9A484C4780F3}">
  <dimension ref="A1:F62"/>
  <sheetViews>
    <sheetView topLeftCell="A37" workbookViewId="0"/>
  </sheetViews>
  <sheetFormatPr defaultColWidth="8.875" defaultRowHeight="15"/>
  <cols>
    <col min="1" max="1" width="13.5" style="25" bestFit="1" customWidth="1"/>
    <col min="2" max="2" width="13.875" style="25" bestFit="1" customWidth="1"/>
    <col min="3" max="3" width="12.875" style="25" bestFit="1" customWidth="1"/>
    <col min="4" max="4" width="10.375" style="25" bestFit="1" customWidth="1"/>
    <col min="5" max="5" width="10.5" style="25" bestFit="1" customWidth="1"/>
    <col min="6" max="6" width="11.125" style="25" bestFit="1" customWidth="1"/>
    <col min="7" max="16384" width="8.875" style="25"/>
  </cols>
  <sheetData>
    <row r="1" spans="1:6">
      <c r="A1" s="25" t="s">
        <v>130</v>
      </c>
      <c r="B1" s="25" t="s">
        <v>131</v>
      </c>
      <c r="C1" s="25" t="s">
        <v>132</v>
      </c>
      <c r="D1" s="25" t="s">
        <v>133</v>
      </c>
      <c r="E1" s="25" t="s">
        <v>134</v>
      </c>
      <c r="F1" s="25" t="s">
        <v>135</v>
      </c>
    </row>
    <row r="2" spans="1:6">
      <c r="A2" s="25" t="s">
        <v>743</v>
      </c>
      <c r="B2" s="25" t="s">
        <v>470</v>
      </c>
      <c r="C2" s="25" t="s">
        <v>471</v>
      </c>
      <c r="D2" s="25" t="b">
        <v>1</v>
      </c>
      <c r="E2" s="25" t="s">
        <v>744</v>
      </c>
      <c r="F2" s="25" t="s">
        <v>745</v>
      </c>
    </row>
    <row r="3" spans="1:6">
      <c r="A3" s="25" t="s">
        <v>743</v>
      </c>
      <c r="B3" s="25" t="s">
        <v>159</v>
      </c>
      <c r="C3" s="25" t="s">
        <v>160</v>
      </c>
      <c r="D3" s="25" t="b">
        <v>1</v>
      </c>
      <c r="E3" s="25" t="s">
        <v>746</v>
      </c>
      <c r="F3" s="25" t="s">
        <v>747</v>
      </c>
    </row>
    <row r="4" spans="1:6">
      <c r="A4" s="25" t="s">
        <v>748</v>
      </c>
      <c r="B4" s="25" t="s">
        <v>165</v>
      </c>
      <c r="C4" s="25" t="s">
        <v>605</v>
      </c>
      <c r="D4" s="25" t="b">
        <v>1</v>
      </c>
      <c r="E4" s="25" t="s">
        <v>749</v>
      </c>
      <c r="F4" s="25" t="s">
        <v>750</v>
      </c>
    </row>
    <row r="5" spans="1:6">
      <c r="A5" s="25" t="s">
        <v>751</v>
      </c>
      <c r="B5" s="25" t="s">
        <v>169</v>
      </c>
      <c r="C5" s="25" t="s">
        <v>170</v>
      </c>
      <c r="D5" s="25" t="b">
        <v>1</v>
      </c>
      <c r="E5" s="25" t="s">
        <v>752</v>
      </c>
      <c r="F5" s="25" t="s">
        <v>753</v>
      </c>
    </row>
    <row r="6" spans="1:6">
      <c r="A6" s="25" t="s">
        <v>754</v>
      </c>
      <c r="B6" s="25" t="s">
        <v>499</v>
      </c>
      <c r="C6" s="25" t="s">
        <v>177</v>
      </c>
      <c r="D6" s="25" t="b">
        <v>1</v>
      </c>
      <c r="E6" s="25" t="s">
        <v>755</v>
      </c>
      <c r="F6" s="25" t="s">
        <v>756</v>
      </c>
    </row>
    <row r="7" spans="1:6">
      <c r="A7" s="25" t="s">
        <v>757</v>
      </c>
      <c r="B7" s="25" t="s">
        <v>758</v>
      </c>
      <c r="C7" s="25" t="s">
        <v>617</v>
      </c>
      <c r="D7" s="25" t="b">
        <v>1</v>
      </c>
      <c r="E7" s="25" t="s">
        <v>759</v>
      </c>
      <c r="F7" s="25" t="s">
        <v>760</v>
      </c>
    </row>
    <row r="8" spans="1:6">
      <c r="A8" s="25" t="s">
        <v>761</v>
      </c>
      <c r="B8" s="25" t="s">
        <v>504</v>
      </c>
      <c r="C8" s="25" t="s">
        <v>622</v>
      </c>
      <c r="D8" s="25" t="b">
        <v>1</v>
      </c>
      <c r="E8" s="25" t="s">
        <v>762</v>
      </c>
      <c r="F8" s="25" t="s">
        <v>763</v>
      </c>
    </row>
    <row r="9" spans="1:6">
      <c r="A9" s="25" t="s">
        <v>764</v>
      </c>
      <c r="B9" s="25" t="s">
        <v>191</v>
      </c>
      <c r="C9" s="25" t="s">
        <v>192</v>
      </c>
      <c r="D9" s="25" t="b">
        <v>1</v>
      </c>
      <c r="E9" s="25" t="s">
        <v>765</v>
      </c>
      <c r="F9" s="25" t="s">
        <v>766</v>
      </c>
    </row>
    <row r="10" spans="1:6">
      <c r="A10" s="25" t="s">
        <v>767</v>
      </c>
      <c r="B10" s="25" t="s">
        <v>768</v>
      </c>
      <c r="C10" s="25" t="s">
        <v>630</v>
      </c>
      <c r="D10" s="25" t="b">
        <v>1</v>
      </c>
      <c r="E10" s="25" t="s">
        <v>769</v>
      </c>
      <c r="F10" s="25" t="s">
        <v>770</v>
      </c>
    </row>
    <row r="11" spans="1:6">
      <c r="A11" s="25" t="s">
        <v>771</v>
      </c>
      <c r="B11" s="25" t="s">
        <v>200</v>
      </c>
      <c r="C11" s="25" t="s">
        <v>201</v>
      </c>
      <c r="D11" s="25" t="b">
        <v>1</v>
      </c>
      <c r="E11" s="25" t="s">
        <v>772</v>
      </c>
      <c r="F11" s="25" t="s">
        <v>773</v>
      </c>
    </row>
    <row r="12" spans="1:6">
      <c r="A12" s="25" t="s">
        <v>774</v>
      </c>
      <c r="B12" s="25" t="s">
        <v>201</v>
      </c>
      <c r="C12" s="25" t="s">
        <v>205</v>
      </c>
      <c r="D12" s="25" t="b">
        <v>1</v>
      </c>
      <c r="E12" s="25" t="s">
        <v>775</v>
      </c>
      <c r="F12" s="25" t="s">
        <v>776</v>
      </c>
    </row>
    <row r="13" spans="1:6">
      <c r="A13" s="25" t="s">
        <v>774</v>
      </c>
      <c r="B13" s="25" t="s">
        <v>205</v>
      </c>
      <c r="C13" s="25" t="s">
        <v>206</v>
      </c>
      <c r="D13" s="25" t="b">
        <v>1</v>
      </c>
      <c r="E13" s="25" t="s">
        <v>777</v>
      </c>
      <c r="F13" s="25" t="s">
        <v>778</v>
      </c>
    </row>
    <row r="14" spans="1:6">
      <c r="A14" s="25" t="s">
        <v>779</v>
      </c>
      <c r="B14" s="25" t="s">
        <v>206</v>
      </c>
      <c r="C14" s="25" t="s">
        <v>515</v>
      </c>
      <c r="D14" s="25" t="b">
        <v>1</v>
      </c>
      <c r="E14" s="25" t="s">
        <v>780</v>
      </c>
      <c r="F14" s="25" t="s">
        <v>781</v>
      </c>
    </row>
    <row r="15" spans="1:6">
      <c r="A15" s="25" t="s">
        <v>782</v>
      </c>
      <c r="B15" s="25" t="s">
        <v>206</v>
      </c>
      <c r="C15" s="25" t="s">
        <v>515</v>
      </c>
      <c r="D15" s="25" t="b">
        <v>1</v>
      </c>
      <c r="E15" s="25" t="s">
        <v>783</v>
      </c>
      <c r="F15" s="25" t="s">
        <v>784</v>
      </c>
    </row>
    <row r="16" spans="1:6">
      <c r="A16" s="25" t="s">
        <v>774</v>
      </c>
      <c r="B16" s="25" t="s">
        <v>515</v>
      </c>
      <c r="C16" s="25" t="s">
        <v>516</v>
      </c>
      <c r="D16" s="25" t="b">
        <v>1</v>
      </c>
      <c r="E16" s="25" t="s">
        <v>785</v>
      </c>
      <c r="F16" s="25" t="s">
        <v>786</v>
      </c>
    </row>
    <row r="17" spans="1:6">
      <c r="A17" s="25" t="s">
        <v>787</v>
      </c>
      <c r="B17" s="25" t="s">
        <v>215</v>
      </c>
      <c r="C17" s="25" t="s">
        <v>216</v>
      </c>
      <c r="D17" s="25" t="b">
        <v>1</v>
      </c>
      <c r="E17" s="25" t="s">
        <v>788</v>
      </c>
      <c r="F17" s="25" t="s">
        <v>789</v>
      </c>
    </row>
    <row r="18" spans="1:6">
      <c r="A18" s="25" t="s">
        <v>751</v>
      </c>
      <c r="B18" s="25" t="s">
        <v>524</v>
      </c>
      <c r="C18" s="25" t="s">
        <v>228</v>
      </c>
      <c r="D18" s="25" t="b">
        <v>1</v>
      </c>
      <c r="E18" s="25" t="s">
        <v>790</v>
      </c>
      <c r="F18" s="25" t="s">
        <v>791</v>
      </c>
    </row>
    <row r="19" spans="1:6">
      <c r="A19" s="25" t="s">
        <v>792</v>
      </c>
      <c r="B19" s="25" t="s">
        <v>528</v>
      </c>
      <c r="C19" s="25" t="s">
        <v>233</v>
      </c>
      <c r="D19" s="25" t="b">
        <v>1</v>
      </c>
      <c r="E19" s="25" t="s">
        <v>793</v>
      </c>
      <c r="F19" s="25" t="s">
        <v>794</v>
      </c>
    </row>
    <row r="20" spans="1:6">
      <c r="A20" s="25" t="s">
        <v>795</v>
      </c>
      <c r="B20" s="25" t="s">
        <v>233</v>
      </c>
      <c r="C20" s="25" t="s">
        <v>234</v>
      </c>
      <c r="D20" s="25" t="b">
        <v>1</v>
      </c>
      <c r="E20" s="25" t="s">
        <v>796</v>
      </c>
      <c r="F20" s="25" t="s">
        <v>797</v>
      </c>
    </row>
    <row r="21" spans="1:6">
      <c r="A21" s="25" t="s">
        <v>764</v>
      </c>
      <c r="B21" s="25" t="s">
        <v>532</v>
      </c>
      <c r="C21" s="25" t="s">
        <v>649</v>
      </c>
      <c r="D21" s="25" t="b">
        <v>1</v>
      </c>
      <c r="E21" s="25" t="s">
        <v>798</v>
      </c>
      <c r="F21" s="25" t="s">
        <v>799</v>
      </c>
    </row>
    <row r="22" spans="1:6">
      <c r="A22" s="25" t="s">
        <v>800</v>
      </c>
      <c r="B22" s="25" t="s">
        <v>272</v>
      </c>
      <c r="C22" s="25" t="s">
        <v>273</v>
      </c>
      <c r="D22" s="25" t="b">
        <v>1</v>
      </c>
      <c r="E22" s="25" t="s">
        <v>801</v>
      </c>
      <c r="F22" s="25" t="s">
        <v>802</v>
      </c>
    </row>
    <row r="23" spans="1:6">
      <c r="A23" s="25" t="s">
        <v>767</v>
      </c>
      <c r="B23" s="25" t="s">
        <v>803</v>
      </c>
      <c r="C23" s="25" t="s">
        <v>656</v>
      </c>
      <c r="D23" s="25" t="b">
        <v>1</v>
      </c>
      <c r="E23" s="25" t="s">
        <v>804</v>
      </c>
      <c r="F23" s="25" t="s">
        <v>805</v>
      </c>
    </row>
    <row r="24" spans="1:6">
      <c r="A24" s="25" t="s">
        <v>761</v>
      </c>
      <c r="B24" s="25" t="s">
        <v>540</v>
      </c>
      <c r="C24" s="25" t="s">
        <v>659</v>
      </c>
      <c r="D24" s="25" t="b">
        <v>1</v>
      </c>
      <c r="E24" s="25" t="s">
        <v>806</v>
      </c>
      <c r="F24" s="25" t="s">
        <v>807</v>
      </c>
    </row>
    <row r="25" spans="1:6">
      <c r="A25" s="25" t="s">
        <v>808</v>
      </c>
      <c r="B25" s="25" t="s">
        <v>540</v>
      </c>
      <c r="C25" s="25" t="s">
        <v>659</v>
      </c>
      <c r="D25" s="25" t="b">
        <v>1</v>
      </c>
      <c r="E25" s="25" t="s">
        <v>809</v>
      </c>
      <c r="F25" s="25" t="s">
        <v>810</v>
      </c>
    </row>
    <row r="26" spans="1:6">
      <c r="A26" s="25" t="s">
        <v>811</v>
      </c>
      <c r="B26" s="25" t="s">
        <v>812</v>
      </c>
      <c r="C26" s="25" t="s">
        <v>543</v>
      </c>
      <c r="D26" s="25" t="b">
        <v>1</v>
      </c>
      <c r="E26" s="25" t="s">
        <v>813</v>
      </c>
      <c r="F26" s="25" t="s">
        <v>814</v>
      </c>
    </row>
    <row r="27" spans="1:6">
      <c r="A27" s="25" t="s">
        <v>754</v>
      </c>
      <c r="B27" s="25" t="s">
        <v>544</v>
      </c>
      <c r="C27" s="25" t="s">
        <v>663</v>
      </c>
      <c r="D27" s="25" t="b">
        <v>1</v>
      </c>
      <c r="E27" s="25" t="s">
        <v>815</v>
      </c>
      <c r="F27" s="25" t="s">
        <v>816</v>
      </c>
    </row>
    <row r="28" spans="1:6">
      <c r="A28" s="25" t="s">
        <v>751</v>
      </c>
      <c r="B28" s="25" t="s">
        <v>300</v>
      </c>
      <c r="C28" s="25" t="s">
        <v>303</v>
      </c>
      <c r="D28" s="25" t="b">
        <v>1</v>
      </c>
      <c r="E28" s="25" t="s">
        <v>817</v>
      </c>
      <c r="F28" s="25" t="s">
        <v>818</v>
      </c>
    </row>
    <row r="29" spans="1:6">
      <c r="A29" s="25" t="s">
        <v>819</v>
      </c>
      <c r="B29" s="25" t="s">
        <v>820</v>
      </c>
      <c r="C29" s="25" t="s">
        <v>821</v>
      </c>
      <c r="D29" s="25" t="b">
        <v>1</v>
      </c>
      <c r="E29" s="25" t="s">
        <v>822</v>
      </c>
      <c r="F29" s="25" t="s">
        <v>823</v>
      </c>
    </row>
    <row r="30" spans="1:6">
      <c r="A30" s="25" t="s">
        <v>757</v>
      </c>
      <c r="B30" s="25" t="s">
        <v>311</v>
      </c>
      <c r="C30" s="25" t="s">
        <v>315</v>
      </c>
      <c r="D30" s="25" t="b">
        <v>1</v>
      </c>
      <c r="E30" s="25" t="s">
        <v>824</v>
      </c>
      <c r="F30" s="25" t="s">
        <v>825</v>
      </c>
    </row>
    <row r="31" spans="1:6">
      <c r="A31" s="25" t="s">
        <v>826</v>
      </c>
      <c r="B31" s="25" t="s">
        <v>320</v>
      </c>
      <c r="C31" s="25" t="s">
        <v>324</v>
      </c>
      <c r="D31" s="25" t="b">
        <v>1</v>
      </c>
      <c r="E31" s="25" t="s">
        <v>827</v>
      </c>
      <c r="F31" s="25" t="s">
        <v>828</v>
      </c>
    </row>
    <row r="32" spans="1:6">
      <c r="A32" s="25" t="s">
        <v>748</v>
      </c>
      <c r="B32" s="25" t="s">
        <v>328</v>
      </c>
      <c r="C32" s="25" t="s">
        <v>331</v>
      </c>
      <c r="D32" s="25" t="b">
        <v>1</v>
      </c>
      <c r="E32" s="25" t="s">
        <v>829</v>
      </c>
      <c r="F32" s="25" t="s">
        <v>830</v>
      </c>
    </row>
    <row r="33" spans="1:6">
      <c r="A33" s="25" t="s">
        <v>831</v>
      </c>
      <c r="B33" s="25" t="s">
        <v>335</v>
      </c>
      <c r="C33" s="25" t="s">
        <v>336</v>
      </c>
      <c r="D33" s="25" t="b">
        <v>1</v>
      </c>
      <c r="E33" s="25" t="s">
        <v>832</v>
      </c>
      <c r="F33" s="25" t="s">
        <v>833</v>
      </c>
    </row>
    <row r="34" spans="1:6">
      <c r="A34" s="25" t="s">
        <v>761</v>
      </c>
      <c r="B34" s="25" t="s">
        <v>340</v>
      </c>
      <c r="C34" s="25" t="s">
        <v>341</v>
      </c>
      <c r="D34" s="25" t="b">
        <v>1</v>
      </c>
      <c r="E34" s="25" t="s">
        <v>834</v>
      </c>
      <c r="F34" s="25" t="s">
        <v>835</v>
      </c>
    </row>
    <row r="35" spans="1:6">
      <c r="A35" s="25" t="s">
        <v>836</v>
      </c>
      <c r="B35" s="25" t="s">
        <v>349</v>
      </c>
      <c r="C35" s="25" t="s">
        <v>350</v>
      </c>
      <c r="D35" s="25" t="b">
        <v>1</v>
      </c>
      <c r="E35" s="25" t="s">
        <v>837</v>
      </c>
      <c r="F35" s="25" t="s">
        <v>838</v>
      </c>
    </row>
    <row r="36" spans="1:6">
      <c r="A36" s="25" t="s">
        <v>839</v>
      </c>
      <c r="B36" s="25" t="s">
        <v>353</v>
      </c>
      <c r="C36" s="25" t="s">
        <v>354</v>
      </c>
      <c r="D36" s="25" t="b">
        <v>1</v>
      </c>
      <c r="E36" s="25" t="s">
        <v>840</v>
      </c>
      <c r="F36" s="25" t="s">
        <v>841</v>
      </c>
    </row>
    <row r="37" spans="1:6">
      <c r="A37" s="25" t="s">
        <v>842</v>
      </c>
      <c r="B37" s="25" t="s">
        <v>566</v>
      </c>
      <c r="C37" s="25" t="s">
        <v>362</v>
      </c>
      <c r="D37" s="25" t="b">
        <v>1</v>
      </c>
      <c r="E37" s="25" t="s">
        <v>843</v>
      </c>
      <c r="F37" s="25" t="s">
        <v>844</v>
      </c>
    </row>
    <row r="38" spans="1:6">
      <c r="A38" s="25" t="s">
        <v>845</v>
      </c>
      <c r="B38" s="25" t="s">
        <v>372</v>
      </c>
      <c r="C38" s="25" t="s">
        <v>569</v>
      </c>
      <c r="D38" s="25" t="b">
        <v>1</v>
      </c>
      <c r="E38" s="25" t="s">
        <v>846</v>
      </c>
      <c r="F38" s="25" t="s">
        <v>847</v>
      </c>
    </row>
    <row r="39" spans="1:6">
      <c r="A39" s="25" t="s">
        <v>767</v>
      </c>
      <c r="B39" s="25" t="s">
        <v>570</v>
      </c>
      <c r="C39" s="25" t="s">
        <v>688</v>
      </c>
      <c r="D39" s="25" t="b">
        <v>1</v>
      </c>
      <c r="E39" s="25" t="s">
        <v>848</v>
      </c>
      <c r="F39" s="25" t="s">
        <v>849</v>
      </c>
    </row>
    <row r="40" spans="1:6">
      <c r="A40" s="25" t="s">
        <v>850</v>
      </c>
      <c r="B40" s="25" t="s">
        <v>376</v>
      </c>
      <c r="C40" s="25" t="s">
        <v>377</v>
      </c>
      <c r="D40" s="25" t="b">
        <v>1</v>
      </c>
      <c r="E40" s="25" t="s">
        <v>851</v>
      </c>
      <c r="F40" s="25" t="s">
        <v>852</v>
      </c>
    </row>
    <row r="41" spans="1:6">
      <c r="A41" s="25" t="s">
        <v>853</v>
      </c>
      <c r="B41" s="25" t="s">
        <v>384</v>
      </c>
      <c r="C41" s="25" t="s">
        <v>387</v>
      </c>
      <c r="D41" s="25" t="b">
        <v>1</v>
      </c>
      <c r="E41" s="25" t="s">
        <v>854</v>
      </c>
      <c r="F41" s="25" t="s">
        <v>855</v>
      </c>
    </row>
    <row r="42" spans="1:6">
      <c r="A42" s="25" t="s">
        <v>751</v>
      </c>
      <c r="B42" s="25" t="s">
        <v>405</v>
      </c>
      <c r="C42" s="25" t="s">
        <v>409</v>
      </c>
      <c r="D42" s="25" t="b">
        <v>1</v>
      </c>
      <c r="E42" s="25" t="s">
        <v>856</v>
      </c>
      <c r="F42" s="25" t="s">
        <v>857</v>
      </c>
    </row>
    <row r="43" spans="1:6">
      <c r="A43" s="25" t="s">
        <v>858</v>
      </c>
      <c r="B43" s="25" t="s">
        <v>859</v>
      </c>
      <c r="C43" s="25" t="s">
        <v>860</v>
      </c>
      <c r="D43" s="25" t="b">
        <v>1</v>
      </c>
      <c r="E43" s="25" t="s">
        <v>861</v>
      </c>
      <c r="F43" s="25" t="s">
        <v>862</v>
      </c>
    </row>
    <row r="44" spans="1:6">
      <c r="A44" s="25" t="s">
        <v>757</v>
      </c>
      <c r="B44" s="25" t="s">
        <v>863</v>
      </c>
      <c r="C44" s="25" t="s">
        <v>700</v>
      </c>
      <c r="D44" s="25" t="b">
        <v>1</v>
      </c>
      <c r="E44" s="25" t="s">
        <v>864</v>
      </c>
      <c r="F44" s="25" t="s">
        <v>865</v>
      </c>
    </row>
    <row r="45" spans="1:6">
      <c r="A45" s="25" t="s">
        <v>764</v>
      </c>
      <c r="B45" s="25" t="s">
        <v>579</v>
      </c>
      <c r="C45" s="25" t="s">
        <v>704</v>
      </c>
      <c r="D45" s="25" t="b">
        <v>1</v>
      </c>
      <c r="E45" s="25" t="s">
        <v>866</v>
      </c>
      <c r="F45" s="25" t="s">
        <v>867</v>
      </c>
    </row>
    <row r="46" spans="1:6">
      <c r="A46" s="25" t="s">
        <v>868</v>
      </c>
      <c r="B46" s="25" t="s">
        <v>869</v>
      </c>
      <c r="C46" s="25" t="s">
        <v>870</v>
      </c>
      <c r="D46" s="25" t="b">
        <v>1</v>
      </c>
      <c r="E46" s="25" t="s">
        <v>871</v>
      </c>
      <c r="F46" s="25" t="s">
        <v>872</v>
      </c>
    </row>
    <row r="47" spans="1:6">
      <c r="A47" s="25" t="s">
        <v>868</v>
      </c>
      <c r="B47" s="25" t="s">
        <v>870</v>
      </c>
      <c r="C47" s="25" t="s">
        <v>873</v>
      </c>
      <c r="D47" s="25" t="b">
        <v>1</v>
      </c>
      <c r="E47" s="25" t="s">
        <v>874</v>
      </c>
      <c r="F47" s="25" t="s">
        <v>875</v>
      </c>
    </row>
    <row r="48" spans="1:6">
      <c r="A48" s="25" t="s">
        <v>868</v>
      </c>
      <c r="B48" s="25" t="s">
        <v>873</v>
      </c>
      <c r="C48" s="25" t="s">
        <v>876</v>
      </c>
      <c r="D48" s="25" t="b">
        <v>1</v>
      </c>
      <c r="E48" s="25" t="s">
        <v>877</v>
      </c>
      <c r="F48" s="25" t="s">
        <v>878</v>
      </c>
    </row>
    <row r="49" spans="1:6">
      <c r="A49" s="25" t="s">
        <v>879</v>
      </c>
      <c r="B49" s="25" t="s">
        <v>876</v>
      </c>
      <c r="C49" s="25" t="s">
        <v>432</v>
      </c>
      <c r="D49" s="25" t="b">
        <v>1</v>
      </c>
      <c r="E49" s="25" t="s">
        <v>880</v>
      </c>
      <c r="F49" s="25" t="s">
        <v>881</v>
      </c>
    </row>
    <row r="50" spans="1:6">
      <c r="A50" s="25" t="s">
        <v>757</v>
      </c>
      <c r="B50" s="25" t="s">
        <v>882</v>
      </c>
      <c r="C50" s="25" t="s">
        <v>883</v>
      </c>
      <c r="D50" s="25" t="b">
        <v>1</v>
      </c>
      <c r="E50" s="25" t="s">
        <v>884</v>
      </c>
      <c r="F50" s="25" t="s">
        <v>885</v>
      </c>
    </row>
    <row r="51" spans="1:6">
      <c r="A51" s="25" t="s">
        <v>842</v>
      </c>
      <c r="B51" s="25" t="s">
        <v>442</v>
      </c>
      <c r="C51" s="25" t="s">
        <v>443</v>
      </c>
      <c r="D51" s="25" t="b">
        <v>1</v>
      </c>
      <c r="E51" s="25" t="s">
        <v>886</v>
      </c>
      <c r="F51" s="25" t="s">
        <v>887</v>
      </c>
    </row>
    <row r="52" spans="1:6">
      <c r="A52" s="25" t="s">
        <v>888</v>
      </c>
      <c r="B52" s="25" t="s">
        <v>443</v>
      </c>
      <c r="C52" s="25" t="s">
        <v>584</v>
      </c>
      <c r="D52" s="25" t="b">
        <v>1</v>
      </c>
      <c r="E52" s="25" t="s">
        <v>889</v>
      </c>
      <c r="F52" s="25" t="s">
        <v>890</v>
      </c>
    </row>
    <row r="53" spans="1:6">
      <c r="A53" s="25" t="s">
        <v>891</v>
      </c>
      <c r="B53" s="25" t="s">
        <v>584</v>
      </c>
      <c r="C53" s="25" t="s">
        <v>587</v>
      </c>
      <c r="D53" s="25" t="b">
        <v>1</v>
      </c>
      <c r="E53" s="25" t="s">
        <v>892</v>
      </c>
      <c r="F53" s="25" t="s">
        <v>893</v>
      </c>
    </row>
    <row r="54" spans="1:6">
      <c r="A54" s="25" t="s">
        <v>839</v>
      </c>
      <c r="B54" s="25" t="s">
        <v>587</v>
      </c>
      <c r="C54" s="25" t="s">
        <v>590</v>
      </c>
      <c r="D54" s="25" t="b">
        <v>1</v>
      </c>
      <c r="E54" s="25" t="s">
        <v>894</v>
      </c>
      <c r="F54" s="25" t="s">
        <v>895</v>
      </c>
    </row>
    <row r="55" spans="1:6">
      <c r="A55" s="25" t="s">
        <v>853</v>
      </c>
      <c r="B55" s="25" t="s">
        <v>590</v>
      </c>
      <c r="C55" s="25" t="s">
        <v>731</v>
      </c>
      <c r="D55" s="25" t="b">
        <v>1</v>
      </c>
      <c r="E55" s="25" t="s">
        <v>896</v>
      </c>
      <c r="F55" s="25" t="s">
        <v>897</v>
      </c>
    </row>
    <row r="56" spans="1:6">
      <c r="A56" s="25" t="s">
        <v>898</v>
      </c>
      <c r="B56" s="25" t="s">
        <v>447</v>
      </c>
      <c r="C56" s="25" t="s">
        <v>448</v>
      </c>
      <c r="D56" s="25" t="b">
        <v>1</v>
      </c>
      <c r="E56" s="25" t="s">
        <v>899</v>
      </c>
      <c r="F56" s="25" t="s">
        <v>900</v>
      </c>
    </row>
    <row r="57" spans="1:6">
      <c r="A57" s="25" t="s">
        <v>898</v>
      </c>
      <c r="B57" s="25" t="s">
        <v>448</v>
      </c>
      <c r="C57" s="25" t="s">
        <v>901</v>
      </c>
      <c r="D57" s="25" t="b">
        <v>1</v>
      </c>
      <c r="E57" s="25" t="s">
        <v>902</v>
      </c>
      <c r="F57" s="25" t="s">
        <v>903</v>
      </c>
    </row>
    <row r="58" spans="1:6">
      <c r="A58" s="25" t="s">
        <v>898</v>
      </c>
      <c r="B58" s="25" t="s">
        <v>901</v>
      </c>
      <c r="C58" s="25" t="s">
        <v>597</v>
      </c>
      <c r="D58" s="25" t="b">
        <v>1</v>
      </c>
      <c r="E58" s="25" t="s">
        <v>904</v>
      </c>
      <c r="F58" s="25" t="s">
        <v>905</v>
      </c>
    </row>
    <row r="59" spans="1:6">
      <c r="A59" s="25" t="s">
        <v>906</v>
      </c>
      <c r="B59" s="25" t="s">
        <v>597</v>
      </c>
      <c r="C59" s="25" t="s">
        <v>598</v>
      </c>
      <c r="D59" s="25" t="b">
        <v>1</v>
      </c>
      <c r="E59" s="25" t="s">
        <v>907</v>
      </c>
      <c r="F59" s="25" t="s">
        <v>908</v>
      </c>
    </row>
    <row r="60" spans="1:6">
      <c r="A60" s="25" t="s">
        <v>898</v>
      </c>
      <c r="B60" s="25" t="s">
        <v>597</v>
      </c>
      <c r="C60" s="25" t="s">
        <v>598</v>
      </c>
      <c r="D60" s="25" t="b">
        <v>1</v>
      </c>
      <c r="E60" s="25" t="s">
        <v>909</v>
      </c>
      <c r="F60" s="25" t="s">
        <v>910</v>
      </c>
    </row>
    <row r="61" spans="1:6">
      <c r="A61" s="25" t="s">
        <v>898</v>
      </c>
      <c r="B61" s="25" t="s">
        <v>598</v>
      </c>
      <c r="C61" s="25" t="s">
        <v>911</v>
      </c>
      <c r="D61" s="25" t="b">
        <v>1</v>
      </c>
      <c r="E61" s="25" t="s">
        <v>912</v>
      </c>
      <c r="F61" s="25" t="s">
        <v>913</v>
      </c>
    </row>
    <row r="62" spans="1:6">
      <c r="A62" s="25" t="s">
        <v>914</v>
      </c>
      <c r="B62" s="25" t="s">
        <v>453</v>
      </c>
      <c r="C62" s="25" t="s">
        <v>915</v>
      </c>
      <c r="D62" s="25" t="b">
        <v>1</v>
      </c>
      <c r="E62" s="25" t="s">
        <v>916</v>
      </c>
      <c r="F62" s="25" t="s">
        <v>917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7A482-816C-5C4A-AB7E-7461AB180A71}">
  <dimension ref="A1:F62"/>
  <sheetViews>
    <sheetView topLeftCell="A46" workbookViewId="0"/>
  </sheetViews>
  <sheetFormatPr defaultColWidth="11" defaultRowHeight="15.95"/>
  <sheetData>
    <row r="1" spans="1:6">
      <c r="A1" t="s">
        <v>130</v>
      </c>
      <c r="B1" t="s">
        <v>131</v>
      </c>
      <c r="C1" t="s">
        <v>132</v>
      </c>
      <c r="D1" t="s">
        <v>133</v>
      </c>
      <c r="E1" t="s">
        <v>134</v>
      </c>
      <c r="F1" t="s">
        <v>135</v>
      </c>
    </row>
    <row r="2" spans="1:6">
      <c r="A2" t="s">
        <v>743</v>
      </c>
      <c r="B2" t="s">
        <v>470</v>
      </c>
      <c r="C2" t="s">
        <v>471</v>
      </c>
      <c r="D2" t="b">
        <v>1</v>
      </c>
      <c r="E2" t="s">
        <v>744</v>
      </c>
      <c r="F2" t="s">
        <v>745</v>
      </c>
    </row>
    <row r="3" spans="1:6">
      <c r="A3" t="s">
        <v>743</v>
      </c>
      <c r="B3" t="s">
        <v>159</v>
      </c>
      <c r="C3" t="s">
        <v>160</v>
      </c>
      <c r="D3" t="b">
        <v>1</v>
      </c>
      <c r="E3" t="s">
        <v>746</v>
      </c>
      <c r="F3" t="s">
        <v>747</v>
      </c>
    </row>
    <row r="4" spans="1:6">
      <c r="A4" t="s">
        <v>748</v>
      </c>
      <c r="B4" t="s">
        <v>165</v>
      </c>
      <c r="C4" t="s">
        <v>605</v>
      </c>
      <c r="D4" t="b">
        <v>1</v>
      </c>
      <c r="E4" t="s">
        <v>749</v>
      </c>
      <c r="F4" t="s">
        <v>750</v>
      </c>
    </row>
    <row r="5" spans="1:6">
      <c r="A5" t="s">
        <v>751</v>
      </c>
      <c r="B5" t="s">
        <v>169</v>
      </c>
      <c r="C5" t="s">
        <v>170</v>
      </c>
      <c r="D5" t="b">
        <v>1</v>
      </c>
      <c r="E5" t="s">
        <v>752</v>
      </c>
      <c r="F5" t="s">
        <v>753</v>
      </c>
    </row>
    <row r="6" spans="1:6">
      <c r="A6" t="s">
        <v>754</v>
      </c>
      <c r="B6" t="s">
        <v>499</v>
      </c>
      <c r="C6" t="s">
        <v>177</v>
      </c>
      <c r="D6" t="b">
        <v>1</v>
      </c>
      <c r="E6" t="s">
        <v>755</v>
      </c>
      <c r="F6" t="s">
        <v>756</v>
      </c>
    </row>
    <row r="7" spans="1:6">
      <c r="A7" t="s">
        <v>757</v>
      </c>
      <c r="B7" t="s">
        <v>758</v>
      </c>
      <c r="C7" t="s">
        <v>617</v>
      </c>
      <c r="D7" t="b">
        <v>1</v>
      </c>
      <c r="E7" t="s">
        <v>759</v>
      </c>
      <c r="F7" t="s">
        <v>760</v>
      </c>
    </row>
    <row r="8" spans="1:6">
      <c r="A8" t="s">
        <v>761</v>
      </c>
      <c r="B8" t="s">
        <v>504</v>
      </c>
      <c r="C8" t="s">
        <v>622</v>
      </c>
      <c r="D8" t="b">
        <v>1</v>
      </c>
      <c r="E8" t="s">
        <v>762</v>
      </c>
      <c r="F8" t="s">
        <v>763</v>
      </c>
    </row>
    <row r="9" spans="1:6">
      <c r="A9" t="s">
        <v>764</v>
      </c>
      <c r="B9" t="s">
        <v>191</v>
      </c>
      <c r="C9" t="s">
        <v>192</v>
      </c>
      <c r="D9" t="b">
        <v>1</v>
      </c>
      <c r="E9" t="s">
        <v>765</v>
      </c>
      <c r="F9" t="s">
        <v>766</v>
      </c>
    </row>
    <row r="10" spans="1:6">
      <c r="A10" t="s">
        <v>767</v>
      </c>
      <c r="B10" t="s">
        <v>768</v>
      </c>
      <c r="C10" t="s">
        <v>630</v>
      </c>
      <c r="D10" t="b">
        <v>1</v>
      </c>
      <c r="E10" t="s">
        <v>769</v>
      </c>
      <c r="F10" t="s">
        <v>770</v>
      </c>
    </row>
    <row r="11" spans="1:6">
      <c r="A11" t="s">
        <v>771</v>
      </c>
      <c r="B11" t="s">
        <v>200</v>
      </c>
      <c r="C11" t="s">
        <v>201</v>
      </c>
      <c r="D11" t="b">
        <v>1</v>
      </c>
      <c r="E11" t="s">
        <v>772</v>
      </c>
      <c r="F11" t="s">
        <v>773</v>
      </c>
    </row>
    <row r="12" spans="1:6">
      <c r="A12" t="s">
        <v>774</v>
      </c>
      <c r="B12" t="s">
        <v>201</v>
      </c>
      <c r="C12" t="s">
        <v>205</v>
      </c>
      <c r="D12" t="b">
        <v>1</v>
      </c>
      <c r="E12" t="s">
        <v>775</v>
      </c>
      <c r="F12" t="s">
        <v>776</v>
      </c>
    </row>
    <row r="13" spans="1:6">
      <c r="A13" t="s">
        <v>774</v>
      </c>
      <c r="B13" t="s">
        <v>205</v>
      </c>
      <c r="C13" t="s">
        <v>206</v>
      </c>
      <c r="D13" t="b">
        <v>1</v>
      </c>
      <c r="E13" t="s">
        <v>777</v>
      </c>
      <c r="F13" t="s">
        <v>778</v>
      </c>
    </row>
    <row r="14" spans="1:6">
      <c r="A14" t="s">
        <v>779</v>
      </c>
      <c r="B14" t="s">
        <v>206</v>
      </c>
      <c r="C14" t="s">
        <v>515</v>
      </c>
      <c r="D14" t="b">
        <v>1</v>
      </c>
      <c r="E14" t="s">
        <v>780</v>
      </c>
      <c r="F14" t="s">
        <v>781</v>
      </c>
    </row>
    <row r="15" spans="1:6">
      <c r="A15" t="s">
        <v>782</v>
      </c>
      <c r="B15" t="s">
        <v>206</v>
      </c>
      <c r="C15" t="s">
        <v>515</v>
      </c>
      <c r="D15" t="b">
        <v>1</v>
      </c>
      <c r="E15" t="s">
        <v>783</v>
      </c>
      <c r="F15" t="s">
        <v>784</v>
      </c>
    </row>
    <row r="16" spans="1:6">
      <c r="A16" t="s">
        <v>774</v>
      </c>
      <c r="B16" t="s">
        <v>515</v>
      </c>
      <c r="C16" t="s">
        <v>516</v>
      </c>
      <c r="D16" t="b">
        <v>1</v>
      </c>
      <c r="E16" t="s">
        <v>785</v>
      </c>
      <c r="F16" t="s">
        <v>786</v>
      </c>
    </row>
    <row r="17" spans="1:6">
      <c r="A17" t="s">
        <v>787</v>
      </c>
      <c r="B17" t="s">
        <v>215</v>
      </c>
      <c r="C17" t="s">
        <v>216</v>
      </c>
      <c r="D17" t="b">
        <v>1</v>
      </c>
      <c r="E17" t="s">
        <v>788</v>
      </c>
      <c r="F17" t="s">
        <v>789</v>
      </c>
    </row>
    <row r="18" spans="1:6">
      <c r="A18" t="s">
        <v>751</v>
      </c>
      <c r="B18" t="s">
        <v>524</v>
      </c>
      <c r="C18" t="s">
        <v>228</v>
      </c>
      <c r="D18" t="b">
        <v>1</v>
      </c>
      <c r="E18" t="s">
        <v>790</v>
      </c>
      <c r="F18" t="s">
        <v>791</v>
      </c>
    </row>
    <row r="19" spans="1:6">
      <c r="A19" t="s">
        <v>792</v>
      </c>
      <c r="B19" t="s">
        <v>528</v>
      </c>
      <c r="C19" t="s">
        <v>233</v>
      </c>
      <c r="D19" t="b">
        <v>1</v>
      </c>
      <c r="E19" t="s">
        <v>793</v>
      </c>
      <c r="F19" t="s">
        <v>794</v>
      </c>
    </row>
    <row r="20" spans="1:6">
      <c r="A20" t="s">
        <v>795</v>
      </c>
      <c r="B20" t="s">
        <v>233</v>
      </c>
      <c r="C20" t="s">
        <v>234</v>
      </c>
      <c r="D20" t="b">
        <v>1</v>
      </c>
      <c r="E20" t="s">
        <v>796</v>
      </c>
      <c r="F20" t="s">
        <v>797</v>
      </c>
    </row>
    <row r="21" spans="1:6">
      <c r="A21" t="s">
        <v>764</v>
      </c>
      <c r="B21" t="s">
        <v>532</v>
      </c>
      <c r="C21" t="s">
        <v>649</v>
      </c>
      <c r="D21" t="b">
        <v>1</v>
      </c>
      <c r="E21" t="s">
        <v>798</v>
      </c>
      <c r="F21" t="s">
        <v>799</v>
      </c>
    </row>
    <row r="22" spans="1:6">
      <c r="A22" t="s">
        <v>800</v>
      </c>
      <c r="B22" t="s">
        <v>272</v>
      </c>
      <c r="C22" t="s">
        <v>273</v>
      </c>
      <c r="D22" t="b">
        <v>1</v>
      </c>
      <c r="E22" t="s">
        <v>801</v>
      </c>
      <c r="F22" t="s">
        <v>802</v>
      </c>
    </row>
    <row r="23" spans="1:6">
      <c r="A23" t="s">
        <v>767</v>
      </c>
      <c r="B23" t="s">
        <v>803</v>
      </c>
      <c r="C23" t="s">
        <v>656</v>
      </c>
      <c r="D23" t="b">
        <v>1</v>
      </c>
      <c r="E23" t="s">
        <v>804</v>
      </c>
      <c r="F23" t="s">
        <v>805</v>
      </c>
    </row>
    <row r="24" spans="1:6">
      <c r="A24" t="s">
        <v>761</v>
      </c>
      <c r="B24" t="s">
        <v>540</v>
      </c>
      <c r="C24" t="s">
        <v>659</v>
      </c>
      <c r="D24" t="b">
        <v>1</v>
      </c>
      <c r="E24" t="s">
        <v>806</v>
      </c>
      <c r="F24" t="s">
        <v>807</v>
      </c>
    </row>
    <row r="25" spans="1:6">
      <c r="A25" t="s">
        <v>808</v>
      </c>
      <c r="B25" t="s">
        <v>540</v>
      </c>
      <c r="C25" t="s">
        <v>659</v>
      </c>
      <c r="D25" t="b">
        <v>1</v>
      </c>
      <c r="E25" t="s">
        <v>809</v>
      </c>
      <c r="F25" t="s">
        <v>810</v>
      </c>
    </row>
    <row r="26" spans="1:6">
      <c r="A26" t="s">
        <v>811</v>
      </c>
      <c r="B26" t="s">
        <v>812</v>
      </c>
      <c r="C26" t="s">
        <v>543</v>
      </c>
      <c r="D26" t="b">
        <v>1</v>
      </c>
      <c r="E26" t="s">
        <v>813</v>
      </c>
      <c r="F26" t="s">
        <v>814</v>
      </c>
    </row>
    <row r="27" spans="1:6">
      <c r="A27" t="s">
        <v>754</v>
      </c>
      <c r="B27" t="s">
        <v>544</v>
      </c>
      <c r="C27" t="s">
        <v>663</v>
      </c>
      <c r="D27" t="b">
        <v>1</v>
      </c>
      <c r="E27" t="s">
        <v>815</v>
      </c>
      <c r="F27" t="s">
        <v>816</v>
      </c>
    </row>
    <row r="28" spans="1:6">
      <c r="A28" t="s">
        <v>751</v>
      </c>
      <c r="B28" t="s">
        <v>300</v>
      </c>
      <c r="C28" t="s">
        <v>303</v>
      </c>
      <c r="D28" t="b">
        <v>1</v>
      </c>
      <c r="E28" t="s">
        <v>817</v>
      </c>
      <c r="F28" t="s">
        <v>818</v>
      </c>
    </row>
    <row r="29" spans="1:6">
      <c r="A29" t="s">
        <v>819</v>
      </c>
      <c r="B29" t="s">
        <v>820</v>
      </c>
      <c r="C29" t="s">
        <v>821</v>
      </c>
      <c r="D29" t="b">
        <v>1</v>
      </c>
      <c r="E29" t="s">
        <v>822</v>
      </c>
      <c r="F29" t="s">
        <v>823</v>
      </c>
    </row>
    <row r="30" spans="1:6">
      <c r="A30" t="s">
        <v>757</v>
      </c>
      <c r="B30" t="s">
        <v>311</v>
      </c>
      <c r="C30" t="s">
        <v>315</v>
      </c>
      <c r="D30" t="b">
        <v>1</v>
      </c>
      <c r="E30" t="s">
        <v>824</v>
      </c>
      <c r="F30" t="s">
        <v>825</v>
      </c>
    </row>
    <row r="31" spans="1:6">
      <c r="A31" t="s">
        <v>826</v>
      </c>
      <c r="B31" t="s">
        <v>320</v>
      </c>
      <c r="C31" t="s">
        <v>324</v>
      </c>
      <c r="D31" t="b">
        <v>1</v>
      </c>
      <c r="E31" t="s">
        <v>827</v>
      </c>
      <c r="F31" t="s">
        <v>828</v>
      </c>
    </row>
    <row r="32" spans="1:6">
      <c r="A32" t="s">
        <v>748</v>
      </c>
      <c r="B32" t="s">
        <v>328</v>
      </c>
      <c r="C32" t="s">
        <v>331</v>
      </c>
      <c r="D32" t="b">
        <v>1</v>
      </c>
      <c r="E32" t="s">
        <v>829</v>
      </c>
      <c r="F32" t="s">
        <v>830</v>
      </c>
    </row>
    <row r="33" spans="1:6">
      <c r="A33" t="s">
        <v>831</v>
      </c>
      <c r="B33" t="s">
        <v>335</v>
      </c>
      <c r="C33" t="s">
        <v>336</v>
      </c>
      <c r="D33" t="b">
        <v>1</v>
      </c>
      <c r="E33" t="s">
        <v>832</v>
      </c>
      <c r="F33" t="s">
        <v>833</v>
      </c>
    </row>
    <row r="34" spans="1:6">
      <c r="A34" t="s">
        <v>761</v>
      </c>
      <c r="B34" t="s">
        <v>340</v>
      </c>
      <c r="C34" t="s">
        <v>341</v>
      </c>
      <c r="D34" t="b">
        <v>1</v>
      </c>
      <c r="E34" t="s">
        <v>834</v>
      </c>
      <c r="F34" t="s">
        <v>835</v>
      </c>
    </row>
    <row r="35" spans="1:6">
      <c r="A35" t="s">
        <v>836</v>
      </c>
      <c r="B35" t="s">
        <v>349</v>
      </c>
      <c r="C35" t="s">
        <v>350</v>
      </c>
      <c r="D35" t="b">
        <v>1</v>
      </c>
      <c r="E35" t="s">
        <v>837</v>
      </c>
      <c r="F35" t="s">
        <v>838</v>
      </c>
    </row>
    <row r="36" spans="1:6">
      <c r="A36" t="s">
        <v>839</v>
      </c>
      <c r="B36" t="s">
        <v>353</v>
      </c>
      <c r="C36" t="s">
        <v>354</v>
      </c>
      <c r="D36" t="b">
        <v>1</v>
      </c>
      <c r="E36" t="s">
        <v>840</v>
      </c>
      <c r="F36" t="s">
        <v>841</v>
      </c>
    </row>
    <row r="37" spans="1:6">
      <c r="A37" t="s">
        <v>842</v>
      </c>
      <c r="B37" t="s">
        <v>566</v>
      </c>
      <c r="C37" t="s">
        <v>362</v>
      </c>
      <c r="D37" t="b">
        <v>1</v>
      </c>
      <c r="E37" t="s">
        <v>843</v>
      </c>
      <c r="F37" t="s">
        <v>844</v>
      </c>
    </row>
    <row r="38" spans="1:6">
      <c r="A38" t="s">
        <v>845</v>
      </c>
      <c r="B38" t="s">
        <v>372</v>
      </c>
      <c r="C38" t="s">
        <v>569</v>
      </c>
      <c r="D38" t="b">
        <v>1</v>
      </c>
      <c r="E38" t="s">
        <v>846</v>
      </c>
      <c r="F38" t="s">
        <v>847</v>
      </c>
    </row>
    <row r="39" spans="1:6">
      <c r="A39" t="s">
        <v>767</v>
      </c>
      <c r="B39" t="s">
        <v>570</v>
      </c>
      <c r="C39" t="s">
        <v>688</v>
      </c>
      <c r="D39" t="b">
        <v>1</v>
      </c>
      <c r="E39" t="s">
        <v>848</v>
      </c>
      <c r="F39" t="s">
        <v>849</v>
      </c>
    </row>
    <row r="40" spans="1:6">
      <c r="A40" t="s">
        <v>850</v>
      </c>
      <c r="B40" t="s">
        <v>376</v>
      </c>
      <c r="C40" t="s">
        <v>377</v>
      </c>
      <c r="D40" t="b">
        <v>1</v>
      </c>
      <c r="E40" t="s">
        <v>851</v>
      </c>
      <c r="F40" t="s">
        <v>852</v>
      </c>
    </row>
    <row r="41" spans="1:6">
      <c r="A41" t="s">
        <v>853</v>
      </c>
      <c r="B41" t="s">
        <v>384</v>
      </c>
      <c r="C41" t="s">
        <v>387</v>
      </c>
      <c r="D41" t="b">
        <v>1</v>
      </c>
      <c r="E41" t="s">
        <v>854</v>
      </c>
      <c r="F41" t="s">
        <v>855</v>
      </c>
    </row>
    <row r="42" spans="1:6">
      <c r="A42" t="s">
        <v>751</v>
      </c>
      <c r="B42" t="s">
        <v>405</v>
      </c>
      <c r="C42" t="s">
        <v>409</v>
      </c>
      <c r="D42" t="b">
        <v>1</v>
      </c>
      <c r="E42" t="s">
        <v>856</v>
      </c>
      <c r="F42" t="s">
        <v>857</v>
      </c>
    </row>
    <row r="43" spans="1:6">
      <c r="A43" t="s">
        <v>858</v>
      </c>
      <c r="B43" t="s">
        <v>859</v>
      </c>
      <c r="C43" t="s">
        <v>860</v>
      </c>
      <c r="D43" t="b">
        <v>1</v>
      </c>
      <c r="E43" t="s">
        <v>861</v>
      </c>
      <c r="F43" t="s">
        <v>862</v>
      </c>
    </row>
    <row r="44" spans="1:6">
      <c r="A44" t="s">
        <v>757</v>
      </c>
      <c r="B44" t="s">
        <v>863</v>
      </c>
      <c r="C44" t="s">
        <v>700</v>
      </c>
      <c r="D44" t="b">
        <v>1</v>
      </c>
      <c r="E44" t="s">
        <v>864</v>
      </c>
      <c r="F44" t="s">
        <v>865</v>
      </c>
    </row>
    <row r="45" spans="1:6">
      <c r="A45" t="s">
        <v>764</v>
      </c>
      <c r="B45" t="s">
        <v>579</v>
      </c>
      <c r="C45" t="s">
        <v>704</v>
      </c>
      <c r="D45" t="b">
        <v>1</v>
      </c>
      <c r="E45" t="s">
        <v>866</v>
      </c>
      <c r="F45" t="s">
        <v>867</v>
      </c>
    </row>
    <row r="46" spans="1:6">
      <c r="A46" t="s">
        <v>868</v>
      </c>
      <c r="B46" t="s">
        <v>869</v>
      </c>
      <c r="C46" t="s">
        <v>870</v>
      </c>
      <c r="D46" t="b">
        <v>1</v>
      </c>
      <c r="E46" t="s">
        <v>871</v>
      </c>
      <c r="F46" t="s">
        <v>872</v>
      </c>
    </row>
    <row r="47" spans="1:6">
      <c r="A47" t="s">
        <v>868</v>
      </c>
      <c r="B47" t="s">
        <v>870</v>
      </c>
      <c r="C47" t="s">
        <v>873</v>
      </c>
      <c r="D47" t="b">
        <v>1</v>
      </c>
      <c r="E47" t="s">
        <v>874</v>
      </c>
      <c r="F47" t="s">
        <v>875</v>
      </c>
    </row>
    <row r="48" spans="1:6">
      <c r="A48" t="s">
        <v>868</v>
      </c>
      <c r="B48" t="s">
        <v>873</v>
      </c>
      <c r="C48" t="s">
        <v>876</v>
      </c>
      <c r="D48" t="b">
        <v>1</v>
      </c>
      <c r="E48" t="s">
        <v>877</v>
      </c>
      <c r="F48" t="s">
        <v>878</v>
      </c>
    </row>
    <row r="49" spans="1:6">
      <c r="A49" t="s">
        <v>879</v>
      </c>
      <c r="B49" t="s">
        <v>876</v>
      </c>
      <c r="C49" t="s">
        <v>432</v>
      </c>
      <c r="D49" t="b">
        <v>1</v>
      </c>
      <c r="E49" t="s">
        <v>880</v>
      </c>
      <c r="F49" t="s">
        <v>881</v>
      </c>
    </row>
    <row r="50" spans="1:6">
      <c r="A50" t="s">
        <v>757</v>
      </c>
      <c r="B50" t="s">
        <v>882</v>
      </c>
      <c r="C50" t="s">
        <v>883</v>
      </c>
      <c r="D50" t="b">
        <v>1</v>
      </c>
      <c r="E50" t="s">
        <v>884</v>
      </c>
      <c r="F50" t="s">
        <v>885</v>
      </c>
    </row>
    <row r="51" spans="1:6">
      <c r="A51" t="s">
        <v>842</v>
      </c>
      <c r="B51" t="s">
        <v>442</v>
      </c>
      <c r="C51" t="s">
        <v>443</v>
      </c>
      <c r="D51" t="b">
        <v>1</v>
      </c>
      <c r="E51" t="s">
        <v>886</v>
      </c>
      <c r="F51" t="s">
        <v>887</v>
      </c>
    </row>
    <row r="52" spans="1:6">
      <c r="A52" t="s">
        <v>888</v>
      </c>
      <c r="B52" t="s">
        <v>443</v>
      </c>
      <c r="C52" t="s">
        <v>584</v>
      </c>
      <c r="D52" t="b">
        <v>1</v>
      </c>
      <c r="E52" t="s">
        <v>889</v>
      </c>
      <c r="F52" t="s">
        <v>890</v>
      </c>
    </row>
    <row r="53" spans="1:6">
      <c r="A53" t="s">
        <v>891</v>
      </c>
      <c r="B53" t="s">
        <v>584</v>
      </c>
      <c r="C53" t="s">
        <v>587</v>
      </c>
      <c r="D53" t="b">
        <v>1</v>
      </c>
      <c r="E53" t="s">
        <v>892</v>
      </c>
      <c r="F53" t="s">
        <v>893</v>
      </c>
    </row>
    <row r="54" spans="1:6">
      <c r="A54" t="s">
        <v>839</v>
      </c>
      <c r="B54" t="s">
        <v>587</v>
      </c>
      <c r="C54" t="s">
        <v>590</v>
      </c>
      <c r="D54" t="b">
        <v>1</v>
      </c>
      <c r="E54" t="s">
        <v>894</v>
      </c>
      <c r="F54" t="s">
        <v>895</v>
      </c>
    </row>
    <row r="55" spans="1:6">
      <c r="A55" t="s">
        <v>853</v>
      </c>
      <c r="B55" t="s">
        <v>590</v>
      </c>
      <c r="C55" t="s">
        <v>731</v>
      </c>
      <c r="D55" t="b">
        <v>1</v>
      </c>
      <c r="E55" t="s">
        <v>896</v>
      </c>
      <c r="F55" t="s">
        <v>897</v>
      </c>
    </row>
    <row r="56" spans="1:6">
      <c r="A56" t="s">
        <v>898</v>
      </c>
      <c r="B56" t="s">
        <v>447</v>
      </c>
      <c r="C56" t="s">
        <v>448</v>
      </c>
      <c r="D56" t="b">
        <v>1</v>
      </c>
      <c r="E56" t="s">
        <v>899</v>
      </c>
      <c r="F56" t="s">
        <v>900</v>
      </c>
    </row>
    <row r="57" spans="1:6">
      <c r="A57" t="s">
        <v>898</v>
      </c>
      <c r="B57" t="s">
        <v>448</v>
      </c>
      <c r="C57" t="s">
        <v>901</v>
      </c>
      <c r="D57" t="b">
        <v>1</v>
      </c>
      <c r="E57" t="s">
        <v>902</v>
      </c>
      <c r="F57" t="s">
        <v>903</v>
      </c>
    </row>
    <row r="58" spans="1:6">
      <c r="A58" t="s">
        <v>898</v>
      </c>
      <c r="B58" t="s">
        <v>901</v>
      </c>
      <c r="C58" t="s">
        <v>597</v>
      </c>
      <c r="D58" t="b">
        <v>1</v>
      </c>
      <c r="E58" t="s">
        <v>904</v>
      </c>
      <c r="F58" t="s">
        <v>905</v>
      </c>
    </row>
    <row r="59" spans="1:6">
      <c r="A59" t="s">
        <v>906</v>
      </c>
      <c r="B59" t="s">
        <v>597</v>
      </c>
      <c r="C59" t="s">
        <v>598</v>
      </c>
      <c r="D59" t="b">
        <v>1</v>
      </c>
      <c r="E59" t="s">
        <v>907</v>
      </c>
      <c r="F59" t="s">
        <v>908</v>
      </c>
    </row>
    <row r="60" spans="1:6">
      <c r="A60" t="s">
        <v>898</v>
      </c>
      <c r="B60" t="s">
        <v>597</v>
      </c>
      <c r="C60" t="s">
        <v>598</v>
      </c>
      <c r="D60" t="b">
        <v>1</v>
      </c>
      <c r="E60" t="s">
        <v>909</v>
      </c>
      <c r="F60" t="s">
        <v>910</v>
      </c>
    </row>
    <row r="61" spans="1:6">
      <c r="A61" t="s">
        <v>898</v>
      </c>
      <c r="B61" t="s">
        <v>598</v>
      </c>
      <c r="C61" t="s">
        <v>911</v>
      </c>
      <c r="D61" t="b">
        <v>1</v>
      </c>
      <c r="E61" t="s">
        <v>912</v>
      </c>
      <c r="F61" t="s">
        <v>913</v>
      </c>
    </row>
    <row r="62" spans="1:6">
      <c r="A62" t="s">
        <v>914</v>
      </c>
      <c r="B62" t="s">
        <v>453</v>
      </c>
      <c r="C62" t="s">
        <v>915</v>
      </c>
      <c r="D62" t="b">
        <v>1</v>
      </c>
      <c r="E62" t="s">
        <v>916</v>
      </c>
      <c r="F62" t="s">
        <v>917</v>
      </c>
    </row>
  </sheetData>
  <sortState xmlns:xlrd2="http://schemas.microsoft.com/office/spreadsheetml/2017/richdata2" ref="A2:F67">
    <sortCondition ref="B2:B67"/>
    <sortCondition ref="C2:C67"/>
    <sortCondition ref="A2:A67"/>
  </sortState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19153-4D04-024B-9636-31074E8E1CBD}">
  <dimension ref="A1:F126"/>
  <sheetViews>
    <sheetView topLeftCell="A102" workbookViewId="0"/>
  </sheetViews>
  <sheetFormatPr defaultColWidth="8.875" defaultRowHeight="15"/>
  <cols>
    <col min="1" max="1" width="13.5" style="25" bestFit="1" customWidth="1"/>
    <col min="2" max="2" width="13.875" style="25" bestFit="1" customWidth="1"/>
    <col min="3" max="3" width="12.875" style="25" bestFit="1" customWidth="1"/>
    <col min="4" max="4" width="10.375" style="25" bestFit="1" customWidth="1"/>
    <col min="5" max="5" width="10.5" style="25" bestFit="1" customWidth="1"/>
    <col min="6" max="6" width="11.125" style="25" bestFit="1" customWidth="1"/>
    <col min="7" max="16384" width="8.875" style="25"/>
  </cols>
  <sheetData>
    <row r="1" spans="1:6">
      <c r="A1" s="25" t="s">
        <v>130</v>
      </c>
      <c r="B1" s="25" t="s">
        <v>131</v>
      </c>
      <c r="C1" s="25" t="s">
        <v>132</v>
      </c>
      <c r="D1" s="25" t="s">
        <v>133</v>
      </c>
      <c r="E1" s="25" t="s">
        <v>134</v>
      </c>
      <c r="F1" s="25" t="s">
        <v>135</v>
      </c>
    </row>
    <row r="2" spans="1:6">
      <c r="A2" s="25" t="s">
        <v>918</v>
      </c>
      <c r="B2" s="25" t="s">
        <v>919</v>
      </c>
      <c r="C2" s="25" t="s">
        <v>169</v>
      </c>
      <c r="D2" s="25" t="b">
        <v>1</v>
      </c>
      <c r="E2" s="25" t="s">
        <v>920</v>
      </c>
      <c r="F2" s="25" t="s">
        <v>921</v>
      </c>
    </row>
    <row r="3" spans="1:6">
      <c r="A3" s="25" t="s">
        <v>922</v>
      </c>
      <c r="B3" s="25" t="s">
        <v>169</v>
      </c>
      <c r="C3" s="25" t="s">
        <v>170</v>
      </c>
      <c r="D3" s="25" t="b">
        <v>1</v>
      </c>
      <c r="E3" s="25" t="s">
        <v>923</v>
      </c>
      <c r="F3" s="25" t="s">
        <v>924</v>
      </c>
    </row>
    <row r="4" spans="1:6">
      <c r="A4" s="25" t="s">
        <v>925</v>
      </c>
      <c r="B4" s="25" t="s">
        <v>170</v>
      </c>
      <c r="C4" s="25" t="s">
        <v>610</v>
      </c>
      <c r="D4" s="25" t="b">
        <v>1</v>
      </c>
      <c r="E4" s="25" t="s">
        <v>926</v>
      </c>
      <c r="F4" s="25" t="s">
        <v>927</v>
      </c>
    </row>
    <row r="5" spans="1:6">
      <c r="A5" s="25" t="s">
        <v>928</v>
      </c>
      <c r="B5" s="25" t="s">
        <v>929</v>
      </c>
      <c r="C5" s="25" t="s">
        <v>498</v>
      </c>
      <c r="D5" s="25" t="b">
        <v>1</v>
      </c>
      <c r="E5" s="25" t="s">
        <v>930</v>
      </c>
      <c r="F5" s="25" t="s">
        <v>931</v>
      </c>
    </row>
    <row r="6" spans="1:6">
      <c r="A6" s="25" t="s">
        <v>932</v>
      </c>
      <c r="B6" s="25" t="s">
        <v>498</v>
      </c>
      <c r="C6" s="25" t="s">
        <v>499</v>
      </c>
      <c r="D6" s="25" t="b">
        <v>1</v>
      </c>
      <c r="E6" s="25" t="s">
        <v>933</v>
      </c>
      <c r="F6" s="25" t="s">
        <v>934</v>
      </c>
    </row>
    <row r="7" spans="1:6">
      <c r="A7" s="25" t="s">
        <v>935</v>
      </c>
      <c r="B7" s="25" t="s">
        <v>499</v>
      </c>
      <c r="C7" s="25" t="s">
        <v>177</v>
      </c>
      <c r="D7" s="25" t="b">
        <v>1</v>
      </c>
      <c r="E7" s="25" t="s">
        <v>936</v>
      </c>
      <c r="F7" s="25" t="s">
        <v>937</v>
      </c>
    </row>
    <row r="8" spans="1:6">
      <c r="A8" s="25" t="s">
        <v>938</v>
      </c>
      <c r="B8" s="25" t="s">
        <v>177</v>
      </c>
      <c r="C8" s="25" t="s">
        <v>178</v>
      </c>
      <c r="D8" s="25" t="b">
        <v>1</v>
      </c>
      <c r="E8" s="25" t="s">
        <v>939</v>
      </c>
      <c r="F8" s="25" t="s">
        <v>940</v>
      </c>
    </row>
    <row r="9" spans="1:6">
      <c r="A9" s="25" t="s">
        <v>941</v>
      </c>
      <c r="B9" s="25" t="s">
        <v>182</v>
      </c>
      <c r="C9" s="25" t="s">
        <v>942</v>
      </c>
      <c r="D9" s="25" t="b">
        <v>1</v>
      </c>
      <c r="E9" s="25" t="s">
        <v>943</v>
      </c>
      <c r="F9" s="25" t="s">
        <v>944</v>
      </c>
    </row>
    <row r="10" spans="1:6">
      <c r="A10" s="25" t="s">
        <v>945</v>
      </c>
      <c r="B10" s="25" t="s">
        <v>942</v>
      </c>
      <c r="C10" s="25" t="s">
        <v>946</v>
      </c>
      <c r="D10" s="25" t="b">
        <v>1</v>
      </c>
      <c r="E10" s="25" t="s">
        <v>947</v>
      </c>
      <c r="F10" s="25" t="s">
        <v>948</v>
      </c>
    </row>
    <row r="11" spans="1:6">
      <c r="A11" s="25" t="s">
        <v>949</v>
      </c>
      <c r="B11" s="25" t="s">
        <v>942</v>
      </c>
      <c r="C11" s="25" t="s">
        <v>946</v>
      </c>
      <c r="D11" s="25" t="b">
        <v>1</v>
      </c>
      <c r="E11" s="25" t="s">
        <v>950</v>
      </c>
      <c r="F11" s="25" t="s">
        <v>951</v>
      </c>
    </row>
    <row r="12" spans="1:6">
      <c r="A12" s="25" t="s">
        <v>949</v>
      </c>
      <c r="B12" s="25" t="s">
        <v>946</v>
      </c>
      <c r="C12" s="25" t="s">
        <v>758</v>
      </c>
      <c r="D12" s="25" t="b">
        <v>1</v>
      </c>
      <c r="E12" s="25" t="s">
        <v>952</v>
      </c>
      <c r="F12" s="25" t="s">
        <v>953</v>
      </c>
    </row>
    <row r="13" spans="1:6">
      <c r="A13" s="25" t="s">
        <v>954</v>
      </c>
      <c r="B13" s="25" t="s">
        <v>946</v>
      </c>
      <c r="C13" s="25" t="s">
        <v>758</v>
      </c>
      <c r="D13" s="25" t="b">
        <v>1</v>
      </c>
      <c r="E13" s="25" t="s">
        <v>955</v>
      </c>
      <c r="F13" s="25" t="s">
        <v>956</v>
      </c>
    </row>
    <row r="14" spans="1:6">
      <c r="A14" s="25" t="s">
        <v>949</v>
      </c>
      <c r="B14" s="25" t="s">
        <v>758</v>
      </c>
      <c r="C14" s="25" t="s">
        <v>617</v>
      </c>
      <c r="D14" s="25" t="b">
        <v>1</v>
      </c>
      <c r="E14" s="25" t="s">
        <v>957</v>
      </c>
      <c r="F14" s="25" t="s">
        <v>958</v>
      </c>
    </row>
    <row r="15" spans="1:6">
      <c r="A15" s="25" t="s">
        <v>959</v>
      </c>
      <c r="B15" s="25" t="s">
        <v>758</v>
      </c>
      <c r="C15" s="25" t="s">
        <v>617</v>
      </c>
      <c r="D15" s="25" t="b">
        <v>1</v>
      </c>
      <c r="E15" s="25" t="s">
        <v>960</v>
      </c>
      <c r="F15" s="25" t="s">
        <v>961</v>
      </c>
    </row>
    <row r="16" spans="1:6">
      <c r="A16" s="25" t="s">
        <v>962</v>
      </c>
      <c r="B16" s="25" t="s">
        <v>617</v>
      </c>
      <c r="C16" s="25" t="s">
        <v>618</v>
      </c>
      <c r="D16" s="25" t="b">
        <v>1</v>
      </c>
      <c r="E16" s="25" t="s">
        <v>963</v>
      </c>
      <c r="F16" s="25" t="s">
        <v>964</v>
      </c>
    </row>
    <row r="17" spans="1:6">
      <c r="A17" s="25" t="s">
        <v>965</v>
      </c>
      <c r="B17" s="25" t="s">
        <v>966</v>
      </c>
      <c r="C17" s="25" t="s">
        <v>967</v>
      </c>
      <c r="D17" s="25" t="b">
        <v>1</v>
      </c>
      <c r="E17" s="25" t="s">
        <v>968</v>
      </c>
      <c r="F17" s="25" t="s">
        <v>969</v>
      </c>
    </row>
    <row r="18" spans="1:6">
      <c r="A18" s="25" t="s">
        <v>970</v>
      </c>
      <c r="B18" s="25" t="s">
        <v>967</v>
      </c>
      <c r="C18" s="25" t="s">
        <v>503</v>
      </c>
      <c r="D18" s="25" t="b">
        <v>1</v>
      </c>
      <c r="E18" s="25" t="s">
        <v>971</v>
      </c>
      <c r="F18" s="25" t="s">
        <v>972</v>
      </c>
    </row>
    <row r="19" spans="1:6">
      <c r="A19" s="25" t="s">
        <v>973</v>
      </c>
      <c r="B19" s="25" t="s">
        <v>622</v>
      </c>
      <c r="C19" s="25" t="s">
        <v>623</v>
      </c>
      <c r="D19" s="25" t="b">
        <v>1</v>
      </c>
      <c r="E19" s="25" t="s">
        <v>974</v>
      </c>
      <c r="F19" s="25" t="s">
        <v>975</v>
      </c>
    </row>
    <row r="20" spans="1:6">
      <c r="A20" s="25" t="s">
        <v>976</v>
      </c>
      <c r="B20" s="25" t="s">
        <v>186</v>
      </c>
      <c r="C20" s="25" t="s">
        <v>187</v>
      </c>
      <c r="D20" s="25" t="b">
        <v>1</v>
      </c>
      <c r="E20" s="25" t="s">
        <v>977</v>
      </c>
      <c r="F20" s="25" t="s">
        <v>978</v>
      </c>
    </row>
    <row r="21" spans="1:6">
      <c r="A21" s="25" t="s">
        <v>979</v>
      </c>
      <c r="B21" s="25" t="s">
        <v>187</v>
      </c>
      <c r="C21" s="25" t="s">
        <v>508</v>
      </c>
      <c r="D21" s="25" t="b">
        <v>1</v>
      </c>
      <c r="E21" s="25" t="s">
        <v>980</v>
      </c>
      <c r="F21" s="25" t="s">
        <v>981</v>
      </c>
    </row>
    <row r="22" spans="1:6">
      <c r="A22" s="25" t="s">
        <v>982</v>
      </c>
      <c r="B22" s="25" t="s">
        <v>508</v>
      </c>
      <c r="C22" s="25" t="s">
        <v>191</v>
      </c>
      <c r="D22" s="25" t="b">
        <v>1</v>
      </c>
      <c r="E22" s="25" t="s">
        <v>983</v>
      </c>
      <c r="F22" s="25" t="s">
        <v>984</v>
      </c>
    </row>
    <row r="23" spans="1:6">
      <c r="A23" s="25" t="s">
        <v>985</v>
      </c>
      <c r="B23" s="25" t="s">
        <v>191</v>
      </c>
      <c r="C23" s="25" t="s">
        <v>192</v>
      </c>
      <c r="D23" s="25" t="b">
        <v>1</v>
      </c>
      <c r="E23" s="25" t="s">
        <v>986</v>
      </c>
      <c r="F23" s="25" t="s">
        <v>987</v>
      </c>
    </row>
    <row r="24" spans="1:6">
      <c r="A24" s="25" t="s">
        <v>988</v>
      </c>
      <c r="B24" s="25" t="s">
        <v>192</v>
      </c>
      <c r="C24" s="25" t="s">
        <v>196</v>
      </c>
      <c r="D24" s="25" t="b">
        <v>1</v>
      </c>
      <c r="E24" s="25" t="s">
        <v>989</v>
      </c>
      <c r="F24" s="25" t="s">
        <v>990</v>
      </c>
    </row>
    <row r="25" spans="1:6">
      <c r="A25" s="25" t="s">
        <v>991</v>
      </c>
      <c r="B25" s="25" t="s">
        <v>992</v>
      </c>
      <c r="C25" s="25" t="s">
        <v>993</v>
      </c>
      <c r="D25" s="25" t="b">
        <v>1</v>
      </c>
      <c r="E25" s="25" t="s">
        <v>994</v>
      </c>
      <c r="F25" s="25" t="s">
        <v>995</v>
      </c>
    </row>
    <row r="26" spans="1:6">
      <c r="A26" s="25" t="s">
        <v>996</v>
      </c>
      <c r="B26" s="25" t="s">
        <v>993</v>
      </c>
      <c r="C26" s="25" t="s">
        <v>997</v>
      </c>
      <c r="D26" s="25" t="b">
        <v>1</v>
      </c>
      <c r="E26" s="25" t="s">
        <v>998</v>
      </c>
      <c r="F26" s="25" t="s">
        <v>999</v>
      </c>
    </row>
    <row r="27" spans="1:6">
      <c r="A27" s="25" t="s">
        <v>1000</v>
      </c>
      <c r="B27" s="25" t="s">
        <v>768</v>
      </c>
      <c r="C27" s="25" t="s">
        <v>630</v>
      </c>
      <c r="D27" s="25" t="b">
        <v>1</v>
      </c>
      <c r="E27" s="25" t="s">
        <v>1001</v>
      </c>
      <c r="F27" s="25" t="s">
        <v>1002</v>
      </c>
    </row>
    <row r="28" spans="1:6">
      <c r="A28" s="25" t="s">
        <v>1003</v>
      </c>
      <c r="B28" s="25" t="s">
        <v>630</v>
      </c>
      <c r="C28" s="25" t="s">
        <v>631</v>
      </c>
      <c r="D28" s="25" t="b">
        <v>1</v>
      </c>
      <c r="E28" s="25" t="s">
        <v>1004</v>
      </c>
      <c r="F28" s="25" t="s">
        <v>1005</v>
      </c>
    </row>
    <row r="29" spans="1:6">
      <c r="A29" s="25" t="s">
        <v>1006</v>
      </c>
      <c r="B29" s="25" t="s">
        <v>200</v>
      </c>
      <c r="C29" s="25" t="s">
        <v>201</v>
      </c>
      <c r="D29" s="25" t="b">
        <v>1</v>
      </c>
      <c r="E29" s="25" t="s">
        <v>1007</v>
      </c>
      <c r="F29" s="25" t="s">
        <v>1008</v>
      </c>
    </row>
    <row r="30" spans="1:6">
      <c r="A30" s="25" t="s">
        <v>1009</v>
      </c>
      <c r="B30" s="25" t="s">
        <v>201</v>
      </c>
      <c r="C30" s="25" t="s">
        <v>205</v>
      </c>
      <c r="D30" s="25" t="b">
        <v>1</v>
      </c>
      <c r="E30" s="25" t="s">
        <v>1010</v>
      </c>
      <c r="F30" s="25" t="s">
        <v>1011</v>
      </c>
    </row>
    <row r="31" spans="1:6">
      <c r="A31" s="25" t="s">
        <v>1012</v>
      </c>
      <c r="B31" s="25" t="s">
        <v>206</v>
      </c>
      <c r="C31" s="25" t="s">
        <v>515</v>
      </c>
      <c r="D31" s="25" t="b">
        <v>1</v>
      </c>
      <c r="E31" s="25" t="s">
        <v>1013</v>
      </c>
      <c r="F31" s="25" t="s">
        <v>1014</v>
      </c>
    </row>
    <row r="32" spans="1:6">
      <c r="A32" s="25" t="s">
        <v>925</v>
      </c>
      <c r="B32" s="25" t="s">
        <v>515</v>
      </c>
      <c r="C32" s="25" t="s">
        <v>516</v>
      </c>
      <c r="D32" s="25" t="b">
        <v>1</v>
      </c>
      <c r="E32" s="25" t="s">
        <v>1015</v>
      </c>
      <c r="F32" s="25" t="s">
        <v>1016</v>
      </c>
    </row>
    <row r="33" spans="1:6">
      <c r="A33" s="25" t="s">
        <v>1017</v>
      </c>
      <c r="B33" s="25" t="s">
        <v>515</v>
      </c>
      <c r="C33" s="25" t="s">
        <v>516</v>
      </c>
      <c r="D33" s="25" t="b">
        <v>1</v>
      </c>
      <c r="E33" s="25" t="s">
        <v>1018</v>
      </c>
      <c r="F33" s="25" t="s">
        <v>1019</v>
      </c>
    </row>
    <row r="34" spans="1:6">
      <c r="A34" s="25" t="s">
        <v>970</v>
      </c>
      <c r="B34" s="25" t="s">
        <v>211</v>
      </c>
      <c r="C34" s="25" t="s">
        <v>520</v>
      </c>
      <c r="D34" s="25" t="b">
        <v>1</v>
      </c>
      <c r="E34" s="25" t="s">
        <v>1020</v>
      </c>
      <c r="F34" s="25" t="s">
        <v>1021</v>
      </c>
    </row>
    <row r="35" spans="1:6">
      <c r="A35" s="25" t="s">
        <v>935</v>
      </c>
      <c r="B35" s="25" t="s">
        <v>215</v>
      </c>
      <c r="C35" s="25" t="s">
        <v>216</v>
      </c>
      <c r="D35" s="25" t="b">
        <v>1</v>
      </c>
      <c r="E35" s="25" t="s">
        <v>1022</v>
      </c>
      <c r="F35" s="25" t="s">
        <v>1023</v>
      </c>
    </row>
    <row r="36" spans="1:6">
      <c r="A36" s="25" t="s">
        <v>1024</v>
      </c>
      <c r="B36" s="25" t="s">
        <v>215</v>
      </c>
      <c r="C36" s="25" t="s">
        <v>216</v>
      </c>
      <c r="D36" s="25" t="b">
        <v>1</v>
      </c>
      <c r="E36" s="25" t="s">
        <v>1025</v>
      </c>
      <c r="F36" s="25" t="s">
        <v>1026</v>
      </c>
    </row>
    <row r="37" spans="1:6">
      <c r="A37" s="25" t="s">
        <v>1027</v>
      </c>
      <c r="B37" s="25" t="s">
        <v>223</v>
      </c>
      <c r="C37" s="25" t="s">
        <v>224</v>
      </c>
      <c r="D37" s="25" t="b">
        <v>1</v>
      </c>
      <c r="E37" s="25" t="s">
        <v>1028</v>
      </c>
      <c r="F37" s="25" t="s">
        <v>1029</v>
      </c>
    </row>
    <row r="38" spans="1:6">
      <c r="A38" s="25" t="s">
        <v>928</v>
      </c>
      <c r="B38" s="25" t="s">
        <v>224</v>
      </c>
      <c r="C38" s="25" t="s">
        <v>523</v>
      </c>
      <c r="D38" s="25" t="b">
        <v>1</v>
      </c>
      <c r="E38" s="25" t="s">
        <v>1030</v>
      </c>
      <c r="F38" s="25" t="s">
        <v>1031</v>
      </c>
    </row>
    <row r="39" spans="1:6">
      <c r="A39" s="25" t="s">
        <v>1032</v>
      </c>
      <c r="B39" s="25" t="s">
        <v>524</v>
      </c>
      <c r="C39" s="25" t="s">
        <v>228</v>
      </c>
      <c r="D39" s="25" t="b">
        <v>1</v>
      </c>
      <c r="E39" s="25" t="s">
        <v>1033</v>
      </c>
      <c r="F39" s="25" t="s">
        <v>1034</v>
      </c>
    </row>
    <row r="40" spans="1:6">
      <c r="A40" s="25" t="s">
        <v>941</v>
      </c>
      <c r="B40" s="25" t="s">
        <v>524</v>
      </c>
      <c r="C40" s="25" t="s">
        <v>228</v>
      </c>
      <c r="D40" s="25" t="b">
        <v>1</v>
      </c>
      <c r="E40" s="25" t="s">
        <v>1035</v>
      </c>
      <c r="F40" s="25" t="s">
        <v>1036</v>
      </c>
    </row>
    <row r="41" spans="1:6">
      <c r="A41" s="25" t="s">
        <v>1037</v>
      </c>
      <c r="B41" s="25" t="s">
        <v>228</v>
      </c>
      <c r="C41" s="25" t="s">
        <v>229</v>
      </c>
      <c r="D41" s="25" t="b">
        <v>1</v>
      </c>
      <c r="E41" s="25" t="s">
        <v>1038</v>
      </c>
      <c r="F41" s="25" t="s">
        <v>1039</v>
      </c>
    </row>
    <row r="42" spans="1:6">
      <c r="A42" s="25" t="s">
        <v>991</v>
      </c>
      <c r="B42" s="25" t="s">
        <v>1040</v>
      </c>
      <c r="C42" s="25" t="s">
        <v>1041</v>
      </c>
      <c r="D42" s="25" t="b">
        <v>1</v>
      </c>
      <c r="E42" s="25" t="s">
        <v>1042</v>
      </c>
      <c r="F42" s="25" t="s">
        <v>1043</v>
      </c>
    </row>
    <row r="43" spans="1:6">
      <c r="A43" s="25" t="s">
        <v>945</v>
      </c>
      <c r="B43" s="25" t="s">
        <v>1041</v>
      </c>
      <c r="C43" s="25" t="s">
        <v>528</v>
      </c>
      <c r="D43" s="25" t="b">
        <v>1</v>
      </c>
      <c r="E43" s="25" t="s">
        <v>1044</v>
      </c>
      <c r="F43" s="25" t="s">
        <v>1045</v>
      </c>
    </row>
    <row r="44" spans="1:6">
      <c r="A44" s="25" t="s">
        <v>1046</v>
      </c>
      <c r="B44" s="25" t="s">
        <v>528</v>
      </c>
      <c r="C44" s="25" t="s">
        <v>233</v>
      </c>
      <c r="D44" s="25" t="b">
        <v>1</v>
      </c>
      <c r="E44" s="25" t="s">
        <v>1047</v>
      </c>
      <c r="F44" s="25" t="s">
        <v>1048</v>
      </c>
    </row>
    <row r="45" spans="1:6">
      <c r="A45" s="25" t="s">
        <v>1049</v>
      </c>
      <c r="B45" s="25" t="s">
        <v>233</v>
      </c>
      <c r="C45" s="25" t="s">
        <v>234</v>
      </c>
      <c r="D45" s="25" t="b">
        <v>1</v>
      </c>
      <c r="E45" s="25" t="s">
        <v>1050</v>
      </c>
      <c r="F45" s="25" t="s">
        <v>1051</v>
      </c>
    </row>
    <row r="46" spans="1:6">
      <c r="A46" s="25" t="s">
        <v>954</v>
      </c>
      <c r="B46" s="25" t="s">
        <v>1052</v>
      </c>
      <c r="C46" s="25" t="s">
        <v>1053</v>
      </c>
      <c r="D46" s="25" t="b">
        <v>1</v>
      </c>
      <c r="E46" s="25" t="s">
        <v>1054</v>
      </c>
      <c r="F46" s="25" t="s">
        <v>1055</v>
      </c>
    </row>
    <row r="47" spans="1:6">
      <c r="A47" s="25" t="s">
        <v>1056</v>
      </c>
      <c r="B47" s="25" t="s">
        <v>1053</v>
      </c>
      <c r="C47" s="25" t="s">
        <v>1057</v>
      </c>
      <c r="D47" s="25" t="b">
        <v>1</v>
      </c>
      <c r="E47" s="25" t="s">
        <v>1058</v>
      </c>
      <c r="F47" s="25" t="s">
        <v>1059</v>
      </c>
    </row>
    <row r="48" spans="1:6">
      <c r="A48" s="25" t="s">
        <v>1060</v>
      </c>
      <c r="B48" s="25" t="s">
        <v>1053</v>
      </c>
      <c r="C48" s="25" t="s">
        <v>1057</v>
      </c>
      <c r="D48" s="25" t="b">
        <v>1</v>
      </c>
      <c r="E48" s="25" t="s">
        <v>1061</v>
      </c>
      <c r="F48" s="25" t="s">
        <v>1062</v>
      </c>
    </row>
    <row r="49" spans="1:6">
      <c r="A49" s="25" t="s">
        <v>1063</v>
      </c>
      <c r="B49" s="25" t="s">
        <v>1064</v>
      </c>
      <c r="C49" s="25" t="s">
        <v>1065</v>
      </c>
      <c r="D49" s="25" t="b">
        <v>1</v>
      </c>
      <c r="E49" s="25" t="s">
        <v>1066</v>
      </c>
      <c r="F49" s="25" t="s">
        <v>1067</v>
      </c>
    </row>
    <row r="50" spans="1:6">
      <c r="A50" s="25" t="s">
        <v>938</v>
      </c>
      <c r="B50" s="25" t="s">
        <v>1065</v>
      </c>
      <c r="C50" s="25" t="s">
        <v>531</v>
      </c>
      <c r="D50" s="25" t="b">
        <v>1</v>
      </c>
      <c r="E50" s="25" t="s">
        <v>1068</v>
      </c>
      <c r="F50" s="25" t="s">
        <v>1069</v>
      </c>
    </row>
    <row r="51" spans="1:6">
      <c r="A51" s="25" t="s">
        <v>1070</v>
      </c>
      <c r="B51" s="25" t="s">
        <v>532</v>
      </c>
      <c r="C51" s="25" t="s">
        <v>649</v>
      </c>
      <c r="D51" s="25" t="b">
        <v>1</v>
      </c>
      <c r="E51" s="25" t="s">
        <v>1071</v>
      </c>
      <c r="F51" s="25" t="s">
        <v>1072</v>
      </c>
    </row>
    <row r="52" spans="1:6">
      <c r="A52" s="25" t="s">
        <v>1003</v>
      </c>
      <c r="B52" s="25" t="s">
        <v>649</v>
      </c>
      <c r="C52" s="25" t="s">
        <v>650</v>
      </c>
      <c r="D52" s="25" t="b">
        <v>1</v>
      </c>
      <c r="E52" s="25" t="s">
        <v>1073</v>
      </c>
      <c r="F52" s="25" t="s">
        <v>1074</v>
      </c>
    </row>
    <row r="53" spans="1:6">
      <c r="A53" s="25" t="s">
        <v>988</v>
      </c>
      <c r="B53" s="25" t="s">
        <v>1075</v>
      </c>
      <c r="C53" s="25" t="s">
        <v>535</v>
      </c>
      <c r="D53" s="25" t="b">
        <v>1</v>
      </c>
      <c r="E53" s="25" t="s">
        <v>1076</v>
      </c>
      <c r="F53" s="25" t="s">
        <v>1077</v>
      </c>
    </row>
    <row r="54" spans="1:6">
      <c r="A54" s="25" t="s">
        <v>1078</v>
      </c>
      <c r="B54" s="25" t="s">
        <v>264</v>
      </c>
      <c r="C54" s="25" t="s">
        <v>265</v>
      </c>
      <c r="D54" s="25" t="b">
        <v>1</v>
      </c>
      <c r="E54" s="25" t="s">
        <v>1079</v>
      </c>
      <c r="F54" s="25" t="s">
        <v>1080</v>
      </c>
    </row>
    <row r="55" spans="1:6">
      <c r="A55" s="25" t="s">
        <v>925</v>
      </c>
      <c r="B55" s="25" t="s">
        <v>265</v>
      </c>
      <c r="C55" s="25" t="s">
        <v>653</v>
      </c>
      <c r="D55" s="25" t="b">
        <v>1</v>
      </c>
      <c r="E55" s="25" t="s">
        <v>1081</v>
      </c>
      <c r="F55" s="25" t="s">
        <v>1082</v>
      </c>
    </row>
    <row r="56" spans="1:6">
      <c r="A56" s="25" t="s">
        <v>959</v>
      </c>
      <c r="B56" s="25" t="s">
        <v>272</v>
      </c>
      <c r="C56" s="25" t="s">
        <v>273</v>
      </c>
      <c r="D56" s="25" t="b">
        <v>1</v>
      </c>
      <c r="E56" s="25" t="s">
        <v>1083</v>
      </c>
      <c r="F56" s="25" t="s">
        <v>1084</v>
      </c>
    </row>
    <row r="57" spans="1:6">
      <c r="A57" s="25" t="s">
        <v>973</v>
      </c>
      <c r="B57" s="25" t="s">
        <v>273</v>
      </c>
      <c r="C57" s="25" t="s">
        <v>1085</v>
      </c>
      <c r="D57" s="25" t="b">
        <v>1</v>
      </c>
      <c r="E57" s="25" t="s">
        <v>1086</v>
      </c>
      <c r="F57" s="25" t="s">
        <v>1087</v>
      </c>
    </row>
    <row r="58" spans="1:6">
      <c r="A58" s="25" t="s">
        <v>1024</v>
      </c>
      <c r="B58" s="25" t="s">
        <v>803</v>
      </c>
      <c r="C58" s="25" t="s">
        <v>656</v>
      </c>
      <c r="D58" s="25" t="b">
        <v>1</v>
      </c>
      <c r="E58" s="25" t="s">
        <v>1088</v>
      </c>
      <c r="F58" s="25" t="s">
        <v>1089</v>
      </c>
    </row>
    <row r="59" spans="1:6">
      <c r="A59" s="25" t="s">
        <v>1090</v>
      </c>
      <c r="B59" s="25" t="s">
        <v>1091</v>
      </c>
      <c r="C59" s="25" t="s">
        <v>1091</v>
      </c>
      <c r="D59" s="25" t="b">
        <v>0</v>
      </c>
      <c r="E59" s="25" t="s">
        <v>1092</v>
      </c>
      <c r="F59" s="25" t="s">
        <v>1093</v>
      </c>
    </row>
    <row r="60" spans="1:6">
      <c r="A60" s="25" t="s">
        <v>1094</v>
      </c>
      <c r="B60" s="25" t="s">
        <v>656</v>
      </c>
      <c r="C60" s="25" t="s">
        <v>277</v>
      </c>
      <c r="D60" s="25" t="b">
        <v>1</v>
      </c>
      <c r="E60" s="25" t="s">
        <v>1095</v>
      </c>
      <c r="F60" s="25" t="s">
        <v>1096</v>
      </c>
    </row>
    <row r="61" spans="1:6">
      <c r="A61" s="25" t="s">
        <v>1012</v>
      </c>
      <c r="B61" s="25" t="s">
        <v>1097</v>
      </c>
      <c r="C61" s="25" t="s">
        <v>1098</v>
      </c>
      <c r="D61" s="25" t="b">
        <v>1</v>
      </c>
      <c r="E61" s="25" t="s">
        <v>1099</v>
      </c>
      <c r="F61" s="25" t="s">
        <v>1100</v>
      </c>
    </row>
    <row r="62" spans="1:6">
      <c r="A62" s="25" t="s">
        <v>935</v>
      </c>
      <c r="B62" s="25" t="s">
        <v>540</v>
      </c>
      <c r="C62" s="25" t="s">
        <v>659</v>
      </c>
      <c r="D62" s="25" t="b">
        <v>1</v>
      </c>
      <c r="E62" s="25" t="s">
        <v>1101</v>
      </c>
      <c r="F62" s="25" t="s">
        <v>1102</v>
      </c>
    </row>
    <row r="63" spans="1:6">
      <c r="A63" s="25" t="s">
        <v>941</v>
      </c>
      <c r="B63" s="25" t="s">
        <v>540</v>
      </c>
      <c r="C63" s="25" t="s">
        <v>659</v>
      </c>
      <c r="D63" s="25" t="b">
        <v>1</v>
      </c>
      <c r="E63" s="25" t="s">
        <v>1103</v>
      </c>
      <c r="F63" s="25" t="s">
        <v>1104</v>
      </c>
    </row>
    <row r="64" spans="1:6">
      <c r="A64" s="25" t="s">
        <v>1000</v>
      </c>
      <c r="B64" s="25" t="s">
        <v>1105</v>
      </c>
      <c r="C64" s="25" t="s">
        <v>812</v>
      </c>
      <c r="D64" s="25" t="b">
        <v>1</v>
      </c>
      <c r="E64" s="25" t="s">
        <v>1106</v>
      </c>
      <c r="F64" s="25" t="s">
        <v>1107</v>
      </c>
    </row>
    <row r="65" spans="1:6">
      <c r="A65" s="25" t="s">
        <v>1108</v>
      </c>
      <c r="B65" s="25" t="s">
        <v>812</v>
      </c>
      <c r="C65" s="25" t="s">
        <v>543</v>
      </c>
      <c r="D65" s="25" t="b">
        <v>1</v>
      </c>
      <c r="E65" s="25" t="s">
        <v>1109</v>
      </c>
      <c r="F65" s="25" t="s">
        <v>1110</v>
      </c>
    </row>
    <row r="66" spans="1:6">
      <c r="A66" s="25" t="s">
        <v>1111</v>
      </c>
      <c r="B66" s="25" t="s">
        <v>544</v>
      </c>
      <c r="C66" s="25" t="s">
        <v>663</v>
      </c>
      <c r="D66" s="25" t="b">
        <v>1</v>
      </c>
      <c r="E66" s="25" t="s">
        <v>1112</v>
      </c>
      <c r="F66" s="25" t="s">
        <v>1113</v>
      </c>
    </row>
    <row r="67" spans="1:6">
      <c r="A67" s="25" t="s">
        <v>985</v>
      </c>
      <c r="B67" s="25" t="s">
        <v>544</v>
      </c>
      <c r="C67" s="25" t="s">
        <v>663</v>
      </c>
      <c r="D67" s="25" t="b">
        <v>1</v>
      </c>
      <c r="E67" s="25" t="s">
        <v>1114</v>
      </c>
      <c r="F67" s="25" t="s">
        <v>1115</v>
      </c>
    </row>
    <row r="68" spans="1:6">
      <c r="A68" s="25" t="s">
        <v>991</v>
      </c>
      <c r="B68" s="25" t="s">
        <v>820</v>
      </c>
      <c r="C68" s="25" t="s">
        <v>821</v>
      </c>
      <c r="D68" s="25" t="b">
        <v>1</v>
      </c>
      <c r="E68" s="25" t="s">
        <v>1116</v>
      </c>
      <c r="F68" s="25" t="s">
        <v>1117</v>
      </c>
    </row>
    <row r="69" spans="1:6">
      <c r="A69" s="25" t="s">
        <v>965</v>
      </c>
      <c r="B69" s="25" t="s">
        <v>311</v>
      </c>
      <c r="C69" s="25" t="s">
        <v>315</v>
      </c>
      <c r="D69" s="25" t="b">
        <v>1</v>
      </c>
      <c r="E69" s="25" t="s">
        <v>1118</v>
      </c>
      <c r="F69" s="25" t="s">
        <v>1119</v>
      </c>
    </row>
    <row r="70" spans="1:6">
      <c r="A70" s="25" t="s">
        <v>979</v>
      </c>
      <c r="B70" s="25" t="s">
        <v>315</v>
      </c>
      <c r="C70" s="25" t="s">
        <v>670</v>
      </c>
      <c r="D70" s="25" t="b">
        <v>1</v>
      </c>
      <c r="E70" s="25" t="s">
        <v>1120</v>
      </c>
      <c r="F70" s="25" t="s">
        <v>1121</v>
      </c>
    </row>
    <row r="71" spans="1:6">
      <c r="A71" s="25" t="s">
        <v>973</v>
      </c>
      <c r="B71" s="25" t="s">
        <v>331</v>
      </c>
      <c r="C71" s="25" t="s">
        <v>673</v>
      </c>
      <c r="D71" s="25" t="b">
        <v>1</v>
      </c>
      <c r="E71" s="25" t="s">
        <v>1122</v>
      </c>
      <c r="F71" s="25" t="s">
        <v>1123</v>
      </c>
    </row>
    <row r="72" spans="1:6">
      <c r="A72" s="25" t="s">
        <v>925</v>
      </c>
      <c r="B72" s="25" t="s">
        <v>335</v>
      </c>
      <c r="C72" s="25" t="s">
        <v>336</v>
      </c>
      <c r="D72" s="25" t="b">
        <v>1</v>
      </c>
      <c r="E72" s="25" t="s">
        <v>1124</v>
      </c>
      <c r="F72" s="25" t="s">
        <v>1125</v>
      </c>
    </row>
    <row r="73" spans="1:6">
      <c r="A73" s="25" t="s">
        <v>1126</v>
      </c>
      <c r="B73" s="25" t="s">
        <v>336</v>
      </c>
      <c r="C73" s="25" t="s">
        <v>340</v>
      </c>
      <c r="D73" s="25" t="b">
        <v>1</v>
      </c>
      <c r="E73" s="25" t="s">
        <v>1127</v>
      </c>
      <c r="F73" s="25" t="s">
        <v>1128</v>
      </c>
    </row>
    <row r="74" spans="1:6">
      <c r="A74" s="25" t="s">
        <v>1078</v>
      </c>
      <c r="B74" s="25" t="s">
        <v>340</v>
      </c>
      <c r="C74" s="25" t="s">
        <v>341</v>
      </c>
      <c r="D74" s="25" t="b">
        <v>1</v>
      </c>
      <c r="E74" s="25" t="s">
        <v>1129</v>
      </c>
      <c r="F74" s="25" t="s">
        <v>1130</v>
      </c>
    </row>
    <row r="75" spans="1:6">
      <c r="A75" s="25" t="s">
        <v>1006</v>
      </c>
      <c r="B75" s="25" t="s">
        <v>349</v>
      </c>
      <c r="C75" s="25" t="s">
        <v>350</v>
      </c>
      <c r="D75" s="25" t="b">
        <v>1</v>
      </c>
      <c r="E75" s="25" t="s">
        <v>1131</v>
      </c>
      <c r="F75" s="25" t="s">
        <v>1132</v>
      </c>
    </row>
    <row r="76" spans="1:6">
      <c r="A76" s="25" t="s">
        <v>1133</v>
      </c>
      <c r="B76" s="25" t="s">
        <v>350</v>
      </c>
      <c r="C76" s="25" t="s">
        <v>563</v>
      </c>
      <c r="D76" s="25" t="b">
        <v>1</v>
      </c>
      <c r="E76" s="25" t="s">
        <v>1134</v>
      </c>
      <c r="F76" s="25" t="s">
        <v>1135</v>
      </c>
    </row>
    <row r="77" spans="1:6">
      <c r="A77" s="25" t="s">
        <v>1136</v>
      </c>
      <c r="B77" s="25" t="s">
        <v>563</v>
      </c>
      <c r="C77" s="25" t="s">
        <v>353</v>
      </c>
      <c r="D77" s="25" t="b">
        <v>1</v>
      </c>
      <c r="E77" s="25" t="s">
        <v>1137</v>
      </c>
      <c r="F77" s="25" t="s">
        <v>1138</v>
      </c>
    </row>
    <row r="78" spans="1:6">
      <c r="A78" s="25" t="s">
        <v>1000</v>
      </c>
      <c r="B78" s="25" t="s">
        <v>353</v>
      </c>
      <c r="C78" s="25" t="s">
        <v>354</v>
      </c>
      <c r="D78" s="25" t="b">
        <v>1</v>
      </c>
      <c r="E78" s="25" t="s">
        <v>1139</v>
      </c>
      <c r="F78" s="25" t="s">
        <v>1140</v>
      </c>
    </row>
    <row r="79" spans="1:6">
      <c r="A79" s="25" t="s">
        <v>928</v>
      </c>
      <c r="B79" s="25" t="s">
        <v>354</v>
      </c>
      <c r="C79" s="25" t="s">
        <v>682</v>
      </c>
      <c r="D79" s="25" t="b">
        <v>1</v>
      </c>
      <c r="E79" s="25" t="s">
        <v>1141</v>
      </c>
      <c r="F79" s="25" t="s">
        <v>1142</v>
      </c>
    </row>
    <row r="80" spans="1:6">
      <c r="A80" s="25" t="s">
        <v>941</v>
      </c>
      <c r="B80" s="25" t="s">
        <v>1143</v>
      </c>
      <c r="C80" s="25" t="s">
        <v>357</v>
      </c>
      <c r="D80" s="25" t="b">
        <v>1</v>
      </c>
      <c r="E80" s="25" t="s">
        <v>1144</v>
      </c>
      <c r="F80" s="25" t="s">
        <v>1145</v>
      </c>
    </row>
    <row r="81" spans="1:6">
      <c r="A81" s="25" t="s">
        <v>1009</v>
      </c>
      <c r="B81" s="25" t="s">
        <v>357</v>
      </c>
      <c r="C81" s="25" t="s">
        <v>358</v>
      </c>
      <c r="D81" s="25" t="b">
        <v>1</v>
      </c>
      <c r="E81" s="25" t="s">
        <v>1146</v>
      </c>
      <c r="F81" s="25" t="s">
        <v>1147</v>
      </c>
    </row>
    <row r="82" spans="1:6">
      <c r="A82" s="25" t="s">
        <v>935</v>
      </c>
      <c r="B82" s="25" t="s">
        <v>566</v>
      </c>
      <c r="C82" s="25" t="s">
        <v>362</v>
      </c>
      <c r="D82" s="25" t="b">
        <v>1</v>
      </c>
      <c r="E82" s="25" t="s">
        <v>1148</v>
      </c>
      <c r="F82" s="25" t="s">
        <v>1149</v>
      </c>
    </row>
    <row r="83" spans="1:6">
      <c r="A83" s="25" t="s">
        <v>1133</v>
      </c>
      <c r="B83" s="25" t="s">
        <v>372</v>
      </c>
      <c r="C83" s="25" t="s">
        <v>569</v>
      </c>
      <c r="D83" s="25" t="b">
        <v>1</v>
      </c>
      <c r="E83" s="25" t="s">
        <v>1150</v>
      </c>
      <c r="F83" s="25" t="s">
        <v>1151</v>
      </c>
    </row>
    <row r="84" spans="1:6">
      <c r="A84" s="25" t="s">
        <v>954</v>
      </c>
      <c r="B84" s="25" t="s">
        <v>570</v>
      </c>
      <c r="C84" s="25" t="s">
        <v>688</v>
      </c>
      <c r="D84" s="25" t="b">
        <v>1</v>
      </c>
      <c r="E84" s="25" t="s">
        <v>1152</v>
      </c>
      <c r="F84" s="25" t="s">
        <v>1153</v>
      </c>
    </row>
    <row r="85" spans="1:6">
      <c r="A85" s="25" t="s">
        <v>1154</v>
      </c>
      <c r="B85" s="25" t="s">
        <v>688</v>
      </c>
      <c r="C85" s="25" t="s">
        <v>689</v>
      </c>
      <c r="D85" s="25" t="b">
        <v>1</v>
      </c>
      <c r="E85" s="25" t="s">
        <v>1155</v>
      </c>
      <c r="F85" s="25" t="s">
        <v>1156</v>
      </c>
    </row>
    <row r="86" spans="1:6">
      <c r="A86" s="25" t="s">
        <v>1157</v>
      </c>
      <c r="B86" s="25" t="s">
        <v>381</v>
      </c>
      <c r="C86" s="25" t="s">
        <v>384</v>
      </c>
      <c r="D86" s="25" t="b">
        <v>1</v>
      </c>
      <c r="E86" s="25" t="s">
        <v>1158</v>
      </c>
      <c r="F86" s="25" t="s">
        <v>1159</v>
      </c>
    </row>
    <row r="87" spans="1:6">
      <c r="A87" s="25" t="s">
        <v>1160</v>
      </c>
      <c r="B87" s="25" t="s">
        <v>387</v>
      </c>
      <c r="C87" s="25" t="s">
        <v>692</v>
      </c>
      <c r="D87" s="25" t="b">
        <v>1</v>
      </c>
      <c r="E87" s="25" t="s">
        <v>1161</v>
      </c>
      <c r="F87" s="25" t="s">
        <v>1162</v>
      </c>
    </row>
    <row r="88" spans="1:6">
      <c r="A88" s="25" t="s">
        <v>1027</v>
      </c>
      <c r="B88" s="25" t="s">
        <v>1163</v>
      </c>
      <c r="C88" s="25" t="s">
        <v>1164</v>
      </c>
      <c r="D88" s="25" t="b">
        <v>1</v>
      </c>
      <c r="E88" s="25" t="s">
        <v>1165</v>
      </c>
      <c r="F88" s="25" t="s">
        <v>1166</v>
      </c>
    </row>
    <row r="89" spans="1:6">
      <c r="A89" s="25" t="s">
        <v>938</v>
      </c>
      <c r="B89" s="25" t="s">
        <v>1164</v>
      </c>
      <c r="C89" s="25" t="s">
        <v>573</v>
      </c>
      <c r="D89" s="25" t="b">
        <v>1</v>
      </c>
      <c r="E89" s="25" t="s">
        <v>1167</v>
      </c>
      <c r="F89" s="25" t="s">
        <v>1168</v>
      </c>
    </row>
    <row r="90" spans="1:6">
      <c r="A90" s="25" t="s">
        <v>1169</v>
      </c>
      <c r="B90" s="25" t="s">
        <v>573</v>
      </c>
      <c r="C90" s="25" t="s">
        <v>396</v>
      </c>
      <c r="D90" s="25" t="b">
        <v>1</v>
      </c>
      <c r="E90" s="25" t="s">
        <v>1170</v>
      </c>
      <c r="F90" s="25" t="s">
        <v>1171</v>
      </c>
    </row>
    <row r="91" spans="1:6">
      <c r="A91" s="25" t="s">
        <v>959</v>
      </c>
      <c r="B91" s="25" t="s">
        <v>405</v>
      </c>
      <c r="C91" s="25" t="s">
        <v>409</v>
      </c>
      <c r="D91" s="25" t="b">
        <v>1</v>
      </c>
      <c r="E91" s="25" t="s">
        <v>1172</v>
      </c>
      <c r="F91" s="25" t="s">
        <v>1173</v>
      </c>
    </row>
    <row r="92" spans="1:6">
      <c r="A92" s="25" t="s">
        <v>925</v>
      </c>
      <c r="B92" s="25" t="s">
        <v>409</v>
      </c>
      <c r="C92" s="25" t="s">
        <v>410</v>
      </c>
      <c r="D92" s="25" t="b">
        <v>1</v>
      </c>
      <c r="E92" s="25" t="s">
        <v>1174</v>
      </c>
      <c r="F92" s="25" t="s">
        <v>1175</v>
      </c>
    </row>
    <row r="93" spans="1:6">
      <c r="A93" s="25" t="s">
        <v>1012</v>
      </c>
      <c r="B93" s="25" t="s">
        <v>1176</v>
      </c>
      <c r="C93" s="25" t="s">
        <v>697</v>
      </c>
      <c r="D93" s="25" t="b">
        <v>1</v>
      </c>
      <c r="E93" s="25" t="s">
        <v>1177</v>
      </c>
      <c r="F93" s="25" t="s">
        <v>1178</v>
      </c>
    </row>
    <row r="94" spans="1:6">
      <c r="A94" s="25" t="s">
        <v>1037</v>
      </c>
      <c r="B94" s="25" t="s">
        <v>697</v>
      </c>
      <c r="C94" s="25" t="s">
        <v>576</v>
      </c>
      <c r="D94" s="25" t="b">
        <v>1</v>
      </c>
      <c r="E94" s="25" t="s">
        <v>1179</v>
      </c>
      <c r="F94" s="25" t="s">
        <v>1180</v>
      </c>
    </row>
    <row r="95" spans="1:6">
      <c r="A95" s="25" t="s">
        <v>1181</v>
      </c>
      <c r="B95" s="25" t="s">
        <v>576</v>
      </c>
      <c r="C95" s="25" t="s">
        <v>414</v>
      </c>
      <c r="D95" s="25" t="b">
        <v>1</v>
      </c>
      <c r="E95" s="25" t="s">
        <v>1182</v>
      </c>
      <c r="F95" s="25" t="s">
        <v>1183</v>
      </c>
    </row>
    <row r="96" spans="1:6">
      <c r="A96" s="25" t="s">
        <v>941</v>
      </c>
      <c r="B96" s="25" t="s">
        <v>859</v>
      </c>
      <c r="C96" s="25" t="s">
        <v>860</v>
      </c>
      <c r="D96" s="25" t="b">
        <v>1</v>
      </c>
      <c r="E96" s="25" t="s">
        <v>1184</v>
      </c>
      <c r="F96" s="25" t="s">
        <v>1185</v>
      </c>
    </row>
    <row r="97" spans="1:6">
      <c r="A97" s="25" t="s">
        <v>1060</v>
      </c>
      <c r="B97" s="25" t="s">
        <v>1186</v>
      </c>
      <c r="C97" s="25" t="s">
        <v>863</v>
      </c>
      <c r="D97" s="25" t="b">
        <v>1</v>
      </c>
      <c r="E97" s="25" t="s">
        <v>1187</v>
      </c>
      <c r="F97" s="25" t="s">
        <v>1188</v>
      </c>
    </row>
    <row r="98" spans="1:6">
      <c r="A98" s="25" t="s">
        <v>1111</v>
      </c>
      <c r="B98" s="25" t="s">
        <v>863</v>
      </c>
      <c r="C98" s="25" t="s">
        <v>700</v>
      </c>
      <c r="D98" s="25" t="b">
        <v>1</v>
      </c>
      <c r="E98" s="25" t="s">
        <v>1189</v>
      </c>
      <c r="F98" s="25" t="s">
        <v>1190</v>
      </c>
    </row>
    <row r="99" spans="1:6">
      <c r="A99" s="25" t="s">
        <v>973</v>
      </c>
      <c r="B99" s="25" t="s">
        <v>700</v>
      </c>
      <c r="C99" s="25" t="s">
        <v>701</v>
      </c>
      <c r="D99" s="25" t="b">
        <v>1</v>
      </c>
      <c r="E99" s="25" t="s">
        <v>1191</v>
      </c>
      <c r="F99" s="25" t="s">
        <v>1192</v>
      </c>
    </row>
    <row r="100" spans="1:6">
      <c r="A100" s="25" t="s">
        <v>970</v>
      </c>
      <c r="B100" s="25" t="s">
        <v>704</v>
      </c>
      <c r="C100" s="25" t="s">
        <v>705</v>
      </c>
      <c r="D100" s="25" t="b">
        <v>1</v>
      </c>
      <c r="E100" s="25" t="s">
        <v>1193</v>
      </c>
      <c r="F100" s="25" t="s">
        <v>1194</v>
      </c>
    </row>
    <row r="101" spans="1:6">
      <c r="A101" s="25" t="s">
        <v>1000</v>
      </c>
      <c r="B101" s="25" t="s">
        <v>869</v>
      </c>
      <c r="C101" s="25" t="s">
        <v>870</v>
      </c>
      <c r="D101" s="25" t="b">
        <v>1</v>
      </c>
      <c r="E101" s="25" t="s">
        <v>1195</v>
      </c>
      <c r="F101" s="25" t="s">
        <v>1196</v>
      </c>
    </row>
    <row r="102" spans="1:6">
      <c r="A102" s="25" t="s">
        <v>1197</v>
      </c>
      <c r="B102" s="25" t="s">
        <v>869</v>
      </c>
      <c r="C102" s="25" t="s">
        <v>870</v>
      </c>
      <c r="D102" s="25" t="b">
        <v>1</v>
      </c>
      <c r="E102" s="25" t="s">
        <v>1198</v>
      </c>
      <c r="F102" s="25" t="s">
        <v>1199</v>
      </c>
    </row>
    <row r="103" spans="1:6">
      <c r="A103" s="25" t="s">
        <v>1197</v>
      </c>
      <c r="B103" s="25" t="s">
        <v>870</v>
      </c>
      <c r="C103" s="25" t="s">
        <v>873</v>
      </c>
      <c r="D103" s="25" t="b">
        <v>1</v>
      </c>
      <c r="E103" s="25" t="s">
        <v>1200</v>
      </c>
      <c r="F103" s="25" t="s">
        <v>1201</v>
      </c>
    </row>
    <row r="104" spans="1:6">
      <c r="A104" s="25" t="s">
        <v>1197</v>
      </c>
      <c r="B104" s="25" t="s">
        <v>873</v>
      </c>
      <c r="C104" s="25" t="s">
        <v>876</v>
      </c>
      <c r="D104" s="25" t="b">
        <v>1</v>
      </c>
      <c r="E104" s="25" t="s">
        <v>1202</v>
      </c>
      <c r="F104" s="25" t="s">
        <v>1203</v>
      </c>
    </row>
    <row r="105" spans="1:6">
      <c r="A105" s="25" t="s">
        <v>1204</v>
      </c>
      <c r="B105" s="25" t="s">
        <v>876</v>
      </c>
      <c r="C105" s="25" t="s">
        <v>432</v>
      </c>
      <c r="D105" s="25" t="b">
        <v>1</v>
      </c>
      <c r="E105" s="25" t="s">
        <v>1205</v>
      </c>
      <c r="F105" s="25" t="s">
        <v>1206</v>
      </c>
    </row>
    <row r="106" spans="1:6">
      <c r="A106" s="25" t="s">
        <v>945</v>
      </c>
      <c r="B106" s="25" t="s">
        <v>432</v>
      </c>
      <c r="C106" s="25" t="s">
        <v>433</v>
      </c>
      <c r="D106" s="25" t="b">
        <v>1</v>
      </c>
      <c r="E106" s="25" t="s">
        <v>1207</v>
      </c>
      <c r="F106" s="25" t="s">
        <v>1208</v>
      </c>
    </row>
    <row r="107" spans="1:6">
      <c r="A107" s="25" t="s">
        <v>991</v>
      </c>
      <c r="B107" s="25" t="s">
        <v>1209</v>
      </c>
      <c r="C107" s="25" t="s">
        <v>437</v>
      </c>
      <c r="D107" s="25" t="b">
        <v>1</v>
      </c>
      <c r="E107" s="25" t="s">
        <v>1210</v>
      </c>
      <c r="F107" s="25" t="s">
        <v>1211</v>
      </c>
    </row>
    <row r="108" spans="1:6">
      <c r="A108" s="25" t="s">
        <v>1212</v>
      </c>
      <c r="B108" s="25" t="s">
        <v>437</v>
      </c>
      <c r="C108" s="25" t="s">
        <v>438</v>
      </c>
      <c r="D108" s="25" t="b">
        <v>1</v>
      </c>
      <c r="E108" s="25" t="s">
        <v>1213</v>
      </c>
      <c r="F108" s="25" t="s">
        <v>1214</v>
      </c>
    </row>
    <row r="109" spans="1:6">
      <c r="A109" s="25" t="s">
        <v>935</v>
      </c>
      <c r="B109" s="25" t="s">
        <v>709</v>
      </c>
      <c r="C109" s="25" t="s">
        <v>710</v>
      </c>
      <c r="D109" s="25" t="b">
        <v>1</v>
      </c>
      <c r="E109" s="25" t="s">
        <v>1215</v>
      </c>
      <c r="F109" s="25" t="s">
        <v>1216</v>
      </c>
    </row>
    <row r="110" spans="1:6">
      <c r="A110" s="25" t="s">
        <v>976</v>
      </c>
      <c r="B110" s="25" t="s">
        <v>1217</v>
      </c>
      <c r="C110" s="25" t="s">
        <v>1218</v>
      </c>
      <c r="D110" s="25" t="b">
        <v>1</v>
      </c>
      <c r="E110" s="25" t="s">
        <v>1219</v>
      </c>
      <c r="F110" s="25" t="s">
        <v>1220</v>
      </c>
    </row>
    <row r="111" spans="1:6">
      <c r="A111" s="25" t="s">
        <v>988</v>
      </c>
      <c r="B111" s="25" t="s">
        <v>1218</v>
      </c>
      <c r="C111" s="25" t="s">
        <v>1221</v>
      </c>
      <c r="D111" s="25" t="b">
        <v>1</v>
      </c>
      <c r="E111" s="25" t="s">
        <v>1222</v>
      </c>
      <c r="F111" s="25" t="s">
        <v>1223</v>
      </c>
    </row>
    <row r="112" spans="1:6">
      <c r="A112" s="25" t="s">
        <v>1078</v>
      </c>
      <c r="B112" s="25" t="s">
        <v>1224</v>
      </c>
      <c r="C112" s="25" t="s">
        <v>717</v>
      </c>
      <c r="D112" s="25" t="b">
        <v>1</v>
      </c>
      <c r="E112" s="25" t="s">
        <v>1225</v>
      </c>
      <c r="F112" s="25" t="s">
        <v>1226</v>
      </c>
    </row>
    <row r="113" spans="1:6">
      <c r="A113" s="25" t="s">
        <v>962</v>
      </c>
      <c r="B113" s="25" t="s">
        <v>717</v>
      </c>
      <c r="C113" s="25" t="s">
        <v>718</v>
      </c>
      <c r="D113" s="25" t="b">
        <v>1</v>
      </c>
      <c r="E113" s="25" t="s">
        <v>1227</v>
      </c>
      <c r="F113" s="25" t="s">
        <v>1228</v>
      </c>
    </row>
    <row r="114" spans="1:6">
      <c r="A114" s="25" t="s">
        <v>1229</v>
      </c>
      <c r="B114" s="25" t="s">
        <v>1230</v>
      </c>
      <c r="C114" s="25" t="s">
        <v>1231</v>
      </c>
      <c r="D114" s="25" t="b">
        <v>1</v>
      </c>
      <c r="E114" s="25" t="s">
        <v>1232</v>
      </c>
      <c r="F114" s="25" t="s">
        <v>1233</v>
      </c>
    </row>
    <row r="115" spans="1:6">
      <c r="A115" s="25" t="s">
        <v>1012</v>
      </c>
      <c r="B115" s="25" t="s">
        <v>1231</v>
      </c>
      <c r="C115" s="25" t="s">
        <v>1234</v>
      </c>
      <c r="D115" s="25" t="b">
        <v>1</v>
      </c>
      <c r="E115" s="25" t="s">
        <v>1235</v>
      </c>
      <c r="F115" s="25" t="s">
        <v>1236</v>
      </c>
    </row>
    <row r="116" spans="1:6">
      <c r="A116" s="25" t="s">
        <v>985</v>
      </c>
      <c r="B116" s="25" t="s">
        <v>1234</v>
      </c>
      <c r="C116" s="25" t="s">
        <v>882</v>
      </c>
      <c r="D116" s="25" t="b">
        <v>1</v>
      </c>
      <c r="E116" s="25" t="s">
        <v>1237</v>
      </c>
      <c r="F116" s="25" t="s">
        <v>1238</v>
      </c>
    </row>
    <row r="117" spans="1:6">
      <c r="A117" s="25" t="s">
        <v>1239</v>
      </c>
      <c r="B117" s="25" t="s">
        <v>882</v>
      </c>
      <c r="C117" s="25" t="s">
        <v>883</v>
      </c>
      <c r="D117" s="25" t="b">
        <v>1</v>
      </c>
      <c r="E117" s="25" t="s">
        <v>1240</v>
      </c>
      <c r="F117" s="25" t="s">
        <v>1241</v>
      </c>
    </row>
    <row r="118" spans="1:6">
      <c r="A118" s="25" t="s">
        <v>1242</v>
      </c>
      <c r="B118" s="25" t="s">
        <v>883</v>
      </c>
      <c r="C118" s="25" t="s">
        <v>1243</v>
      </c>
      <c r="D118" s="25" t="b">
        <v>1</v>
      </c>
      <c r="E118" s="25" t="s">
        <v>1244</v>
      </c>
      <c r="F118" s="25" t="s">
        <v>1245</v>
      </c>
    </row>
    <row r="119" spans="1:6">
      <c r="A119" s="25" t="s">
        <v>1246</v>
      </c>
      <c r="B119" s="25" t="s">
        <v>442</v>
      </c>
      <c r="C119" s="25" t="s">
        <v>443</v>
      </c>
      <c r="D119" s="25" t="b">
        <v>1</v>
      </c>
      <c r="E119" s="25" t="s">
        <v>1247</v>
      </c>
      <c r="F119" s="25" t="s">
        <v>1248</v>
      </c>
    </row>
    <row r="120" spans="1:6">
      <c r="A120" s="25" t="s">
        <v>1249</v>
      </c>
      <c r="B120" s="25" t="s">
        <v>443</v>
      </c>
      <c r="C120" s="25" t="s">
        <v>584</v>
      </c>
      <c r="D120" s="25" t="b">
        <v>1</v>
      </c>
      <c r="E120" s="25" t="s">
        <v>1250</v>
      </c>
      <c r="F120" s="25" t="s">
        <v>1251</v>
      </c>
    </row>
    <row r="121" spans="1:6">
      <c r="A121" s="25" t="s">
        <v>1252</v>
      </c>
      <c r="B121" s="25" t="s">
        <v>584</v>
      </c>
      <c r="C121" s="25" t="s">
        <v>587</v>
      </c>
      <c r="D121" s="25" t="b">
        <v>1</v>
      </c>
      <c r="E121" s="25" t="s">
        <v>1253</v>
      </c>
      <c r="F121" s="25" t="s">
        <v>1254</v>
      </c>
    </row>
    <row r="122" spans="1:6">
      <c r="A122" s="25" t="s">
        <v>1255</v>
      </c>
      <c r="B122" s="25" t="s">
        <v>587</v>
      </c>
      <c r="C122" s="25" t="s">
        <v>590</v>
      </c>
      <c r="D122" s="25" t="b">
        <v>1</v>
      </c>
      <c r="E122" s="25" t="s">
        <v>1256</v>
      </c>
      <c r="F122" s="25" t="s">
        <v>1257</v>
      </c>
    </row>
    <row r="123" spans="1:6">
      <c r="A123" s="25" t="s">
        <v>1258</v>
      </c>
      <c r="B123" s="25" t="s">
        <v>590</v>
      </c>
      <c r="C123" s="25" t="s">
        <v>731</v>
      </c>
      <c r="D123" s="25" t="b">
        <v>1</v>
      </c>
      <c r="E123" s="25" t="s">
        <v>1259</v>
      </c>
      <c r="F123" s="25" t="s">
        <v>1260</v>
      </c>
    </row>
    <row r="124" spans="1:6">
      <c r="A124" s="25" t="s">
        <v>1261</v>
      </c>
      <c r="B124" s="25" t="s">
        <v>447</v>
      </c>
      <c r="C124" s="25" t="s">
        <v>448</v>
      </c>
      <c r="D124" s="25" t="b">
        <v>1</v>
      </c>
      <c r="E124" s="25" t="s">
        <v>1262</v>
      </c>
      <c r="F124" s="25" t="s">
        <v>1263</v>
      </c>
    </row>
    <row r="125" spans="1:6">
      <c r="A125" s="25" t="s">
        <v>1264</v>
      </c>
      <c r="B125" s="25" t="s">
        <v>597</v>
      </c>
      <c r="C125" s="25" t="s">
        <v>598</v>
      </c>
      <c r="D125" s="25" t="b">
        <v>1</v>
      </c>
      <c r="E125" s="25" t="s">
        <v>1265</v>
      </c>
      <c r="F125" s="25" t="s">
        <v>1266</v>
      </c>
    </row>
    <row r="126" spans="1:6">
      <c r="A126" s="25" t="s">
        <v>1267</v>
      </c>
      <c r="B126" s="25" t="s">
        <v>452</v>
      </c>
      <c r="C126" s="25" t="s">
        <v>453</v>
      </c>
      <c r="D126" s="25" t="b">
        <v>1</v>
      </c>
      <c r="E126" s="25" t="s">
        <v>1268</v>
      </c>
      <c r="F126" s="25" t="s">
        <v>1269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4254B-5F3B-2A4B-A886-82B8176E22A0}">
  <dimension ref="A1:F126"/>
  <sheetViews>
    <sheetView topLeftCell="A106" workbookViewId="0"/>
  </sheetViews>
  <sheetFormatPr defaultColWidth="11" defaultRowHeight="15.95"/>
  <sheetData>
    <row r="1" spans="1:6">
      <c r="A1" t="s">
        <v>130</v>
      </c>
      <c r="B1" t="s">
        <v>131</v>
      </c>
      <c r="C1" t="s">
        <v>132</v>
      </c>
      <c r="D1" t="s">
        <v>133</v>
      </c>
      <c r="E1" t="s">
        <v>134</v>
      </c>
      <c r="F1" t="s">
        <v>135</v>
      </c>
    </row>
    <row r="2" spans="1:6">
      <c r="A2" t="s">
        <v>918</v>
      </c>
      <c r="B2" t="s">
        <v>919</v>
      </c>
      <c r="C2" t="s">
        <v>169</v>
      </c>
      <c r="D2" t="b">
        <v>1</v>
      </c>
      <c r="E2" t="s">
        <v>920</v>
      </c>
      <c r="F2" t="s">
        <v>921</v>
      </c>
    </row>
    <row r="3" spans="1:6">
      <c r="A3" t="s">
        <v>922</v>
      </c>
      <c r="B3" t="s">
        <v>169</v>
      </c>
      <c r="C3" t="s">
        <v>170</v>
      </c>
      <c r="D3" t="b">
        <v>1</v>
      </c>
      <c r="E3" t="s">
        <v>923</v>
      </c>
      <c r="F3" t="s">
        <v>924</v>
      </c>
    </row>
    <row r="4" spans="1:6">
      <c r="A4" t="s">
        <v>925</v>
      </c>
      <c r="B4" t="s">
        <v>170</v>
      </c>
      <c r="C4" t="s">
        <v>610</v>
      </c>
      <c r="D4" t="b">
        <v>1</v>
      </c>
      <c r="E4" t="s">
        <v>926</v>
      </c>
      <c r="F4" t="s">
        <v>927</v>
      </c>
    </row>
    <row r="5" spans="1:6">
      <c r="A5" t="s">
        <v>928</v>
      </c>
      <c r="B5" t="s">
        <v>929</v>
      </c>
      <c r="C5" t="s">
        <v>498</v>
      </c>
      <c r="D5" t="b">
        <v>1</v>
      </c>
      <c r="E5" t="s">
        <v>930</v>
      </c>
      <c r="F5" t="s">
        <v>931</v>
      </c>
    </row>
    <row r="6" spans="1:6">
      <c r="A6" t="s">
        <v>932</v>
      </c>
      <c r="B6" t="s">
        <v>498</v>
      </c>
      <c r="C6" t="s">
        <v>499</v>
      </c>
      <c r="D6" t="b">
        <v>1</v>
      </c>
      <c r="E6" t="s">
        <v>933</v>
      </c>
      <c r="F6" t="s">
        <v>934</v>
      </c>
    </row>
    <row r="7" spans="1:6">
      <c r="A7" t="s">
        <v>935</v>
      </c>
      <c r="B7" t="s">
        <v>499</v>
      </c>
      <c r="C7" t="s">
        <v>177</v>
      </c>
      <c r="D7" t="b">
        <v>1</v>
      </c>
      <c r="E7" t="s">
        <v>936</v>
      </c>
      <c r="F7" t="s">
        <v>937</v>
      </c>
    </row>
    <row r="8" spans="1:6">
      <c r="A8" t="s">
        <v>938</v>
      </c>
      <c r="B8" t="s">
        <v>177</v>
      </c>
      <c r="C8" t="s">
        <v>178</v>
      </c>
      <c r="D8" t="b">
        <v>1</v>
      </c>
      <c r="E8" t="s">
        <v>939</v>
      </c>
      <c r="F8" t="s">
        <v>940</v>
      </c>
    </row>
    <row r="9" spans="1:6">
      <c r="A9" t="s">
        <v>941</v>
      </c>
      <c r="B9" t="s">
        <v>182</v>
      </c>
      <c r="C9" t="s">
        <v>942</v>
      </c>
      <c r="D9" t="b">
        <v>1</v>
      </c>
      <c r="E9" t="s">
        <v>943</v>
      </c>
      <c r="F9" t="s">
        <v>944</v>
      </c>
    </row>
    <row r="10" spans="1:6">
      <c r="A10" t="s">
        <v>945</v>
      </c>
      <c r="B10" t="s">
        <v>942</v>
      </c>
      <c r="C10" t="s">
        <v>946</v>
      </c>
      <c r="D10" t="b">
        <v>1</v>
      </c>
      <c r="E10" t="s">
        <v>947</v>
      </c>
      <c r="F10" t="s">
        <v>948</v>
      </c>
    </row>
    <row r="11" spans="1:6">
      <c r="A11" t="s">
        <v>949</v>
      </c>
      <c r="B11" t="s">
        <v>942</v>
      </c>
      <c r="C11" t="s">
        <v>946</v>
      </c>
      <c r="D11" t="b">
        <v>1</v>
      </c>
      <c r="E11" t="s">
        <v>950</v>
      </c>
      <c r="F11" t="s">
        <v>951</v>
      </c>
    </row>
    <row r="12" spans="1:6">
      <c r="A12" t="s">
        <v>949</v>
      </c>
      <c r="B12" t="s">
        <v>946</v>
      </c>
      <c r="C12" t="s">
        <v>758</v>
      </c>
      <c r="D12" t="b">
        <v>1</v>
      </c>
      <c r="E12" t="s">
        <v>952</v>
      </c>
      <c r="F12" t="s">
        <v>953</v>
      </c>
    </row>
    <row r="13" spans="1:6">
      <c r="A13" t="s">
        <v>954</v>
      </c>
      <c r="B13" t="s">
        <v>946</v>
      </c>
      <c r="C13" t="s">
        <v>758</v>
      </c>
      <c r="D13" t="b">
        <v>1</v>
      </c>
      <c r="E13" t="s">
        <v>955</v>
      </c>
      <c r="F13" t="s">
        <v>956</v>
      </c>
    </row>
    <row r="14" spans="1:6">
      <c r="A14" t="s">
        <v>949</v>
      </c>
      <c r="B14" t="s">
        <v>758</v>
      </c>
      <c r="C14" t="s">
        <v>617</v>
      </c>
      <c r="D14" t="b">
        <v>1</v>
      </c>
      <c r="E14" t="s">
        <v>957</v>
      </c>
      <c r="F14" t="s">
        <v>958</v>
      </c>
    </row>
    <row r="15" spans="1:6">
      <c r="A15" t="s">
        <v>959</v>
      </c>
      <c r="B15" t="s">
        <v>758</v>
      </c>
      <c r="C15" t="s">
        <v>617</v>
      </c>
      <c r="D15" t="b">
        <v>1</v>
      </c>
      <c r="E15" t="s">
        <v>960</v>
      </c>
      <c r="F15" t="s">
        <v>961</v>
      </c>
    </row>
    <row r="16" spans="1:6">
      <c r="A16" t="s">
        <v>962</v>
      </c>
      <c r="B16" t="s">
        <v>617</v>
      </c>
      <c r="C16" t="s">
        <v>618</v>
      </c>
      <c r="D16" t="b">
        <v>1</v>
      </c>
      <c r="E16" t="s">
        <v>963</v>
      </c>
      <c r="F16" t="s">
        <v>964</v>
      </c>
    </row>
    <row r="17" spans="1:6">
      <c r="A17" t="s">
        <v>965</v>
      </c>
      <c r="B17" t="s">
        <v>966</v>
      </c>
      <c r="C17" t="s">
        <v>967</v>
      </c>
      <c r="D17" t="b">
        <v>1</v>
      </c>
      <c r="E17" t="s">
        <v>968</v>
      </c>
      <c r="F17" t="s">
        <v>969</v>
      </c>
    </row>
    <row r="18" spans="1:6">
      <c r="A18" t="s">
        <v>970</v>
      </c>
      <c r="B18" t="s">
        <v>967</v>
      </c>
      <c r="C18" t="s">
        <v>503</v>
      </c>
      <c r="D18" t="b">
        <v>1</v>
      </c>
      <c r="E18" t="s">
        <v>971</v>
      </c>
      <c r="F18" t="s">
        <v>972</v>
      </c>
    </row>
    <row r="19" spans="1:6">
      <c r="A19" t="s">
        <v>973</v>
      </c>
      <c r="B19" t="s">
        <v>622</v>
      </c>
      <c r="C19" t="s">
        <v>623</v>
      </c>
      <c r="D19" t="b">
        <v>1</v>
      </c>
      <c r="E19" t="s">
        <v>974</v>
      </c>
      <c r="F19" t="s">
        <v>975</v>
      </c>
    </row>
    <row r="20" spans="1:6">
      <c r="A20" t="s">
        <v>976</v>
      </c>
      <c r="B20" t="s">
        <v>186</v>
      </c>
      <c r="C20" t="s">
        <v>187</v>
      </c>
      <c r="D20" t="b">
        <v>1</v>
      </c>
      <c r="E20" t="s">
        <v>977</v>
      </c>
      <c r="F20" t="s">
        <v>978</v>
      </c>
    </row>
    <row r="21" spans="1:6">
      <c r="A21" t="s">
        <v>979</v>
      </c>
      <c r="B21" t="s">
        <v>187</v>
      </c>
      <c r="C21" t="s">
        <v>508</v>
      </c>
      <c r="D21" t="b">
        <v>1</v>
      </c>
      <c r="E21" t="s">
        <v>980</v>
      </c>
      <c r="F21" t="s">
        <v>981</v>
      </c>
    </row>
    <row r="22" spans="1:6">
      <c r="A22" t="s">
        <v>982</v>
      </c>
      <c r="B22" t="s">
        <v>508</v>
      </c>
      <c r="C22" t="s">
        <v>191</v>
      </c>
      <c r="D22" t="b">
        <v>1</v>
      </c>
      <c r="E22" t="s">
        <v>983</v>
      </c>
      <c r="F22" t="s">
        <v>984</v>
      </c>
    </row>
    <row r="23" spans="1:6">
      <c r="A23" t="s">
        <v>985</v>
      </c>
      <c r="B23" t="s">
        <v>191</v>
      </c>
      <c r="C23" t="s">
        <v>192</v>
      </c>
      <c r="D23" t="b">
        <v>1</v>
      </c>
      <c r="E23" t="s">
        <v>986</v>
      </c>
      <c r="F23" t="s">
        <v>987</v>
      </c>
    </row>
    <row r="24" spans="1:6">
      <c r="A24" t="s">
        <v>988</v>
      </c>
      <c r="B24" t="s">
        <v>192</v>
      </c>
      <c r="C24" t="s">
        <v>196</v>
      </c>
      <c r="D24" t="b">
        <v>1</v>
      </c>
      <c r="E24" t="s">
        <v>989</v>
      </c>
      <c r="F24" t="s">
        <v>990</v>
      </c>
    </row>
    <row r="25" spans="1:6">
      <c r="A25" t="s">
        <v>991</v>
      </c>
      <c r="B25" t="s">
        <v>992</v>
      </c>
      <c r="C25" t="s">
        <v>993</v>
      </c>
      <c r="D25" t="b">
        <v>1</v>
      </c>
      <c r="E25" t="s">
        <v>994</v>
      </c>
      <c r="F25" t="s">
        <v>995</v>
      </c>
    </row>
    <row r="26" spans="1:6">
      <c r="A26" t="s">
        <v>996</v>
      </c>
      <c r="B26" t="s">
        <v>993</v>
      </c>
      <c r="C26" t="s">
        <v>997</v>
      </c>
      <c r="D26" t="b">
        <v>1</v>
      </c>
      <c r="E26" t="s">
        <v>998</v>
      </c>
      <c r="F26" t="s">
        <v>999</v>
      </c>
    </row>
    <row r="27" spans="1:6">
      <c r="A27" t="s">
        <v>1000</v>
      </c>
      <c r="B27" t="s">
        <v>768</v>
      </c>
      <c r="C27" t="s">
        <v>630</v>
      </c>
      <c r="D27" t="b">
        <v>1</v>
      </c>
      <c r="E27" t="s">
        <v>1001</v>
      </c>
      <c r="F27" t="s">
        <v>1002</v>
      </c>
    </row>
    <row r="28" spans="1:6">
      <c r="A28" t="s">
        <v>1003</v>
      </c>
      <c r="B28" t="s">
        <v>630</v>
      </c>
      <c r="C28" t="s">
        <v>631</v>
      </c>
      <c r="D28" t="b">
        <v>1</v>
      </c>
      <c r="E28" t="s">
        <v>1004</v>
      </c>
      <c r="F28" t="s">
        <v>1005</v>
      </c>
    </row>
    <row r="29" spans="1:6">
      <c r="A29" t="s">
        <v>1006</v>
      </c>
      <c r="B29" t="s">
        <v>200</v>
      </c>
      <c r="C29" t="s">
        <v>201</v>
      </c>
      <c r="D29" t="b">
        <v>1</v>
      </c>
      <c r="E29" t="s">
        <v>1007</v>
      </c>
      <c r="F29" t="s">
        <v>1008</v>
      </c>
    </row>
    <row r="30" spans="1:6">
      <c r="A30" t="s">
        <v>1009</v>
      </c>
      <c r="B30" t="s">
        <v>201</v>
      </c>
      <c r="C30" t="s">
        <v>205</v>
      </c>
      <c r="D30" t="b">
        <v>1</v>
      </c>
      <c r="E30" t="s">
        <v>1010</v>
      </c>
      <c r="F30" t="s">
        <v>1011</v>
      </c>
    </row>
    <row r="31" spans="1:6">
      <c r="A31" t="s">
        <v>1012</v>
      </c>
      <c r="B31" t="s">
        <v>206</v>
      </c>
      <c r="C31" t="s">
        <v>515</v>
      </c>
      <c r="D31" t="b">
        <v>1</v>
      </c>
      <c r="E31" t="s">
        <v>1013</v>
      </c>
      <c r="F31" t="s">
        <v>1014</v>
      </c>
    </row>
    <row r="32" spans="1:6">
      <c r="A32" t="s">
        <v>925</v>
      </c>
      <c r="B32" t="s">
        <v>515</v>
      </c>
      <c r="C32" t="s">
        <v>516</v>
      </c>
      <c r="D32" t="b">
        <v>1</v>
      </c>
      <c r="E32" t="s">
        <v>1015</v>
      </c>
      <c r="F32" t="s">
        <v>1016</v>
      </c>
    </row>
    <row r="33" spans="1:6">
      <c r="A33" t="s">
        <v>1017</v>
      </c>
      <c r="B33" t="s">
        <v>515</v>
      </c>
      <c r="C33" t="s">
        <v>516</v>
      </c>
      <c r="D33" t="b">
        <v>1</v>
      </c>
      <c r="E33" t="s">
        <v>1018</v>
      </c>
      <c r="F33" t="s">
        <v>1019</v>
      </c>
    </row>
    <row r="34" spans="1:6">
      <c r="A34" t="s">
        <v>970</v>
      </c>
      <c r="B34" t="s">
        <v>211</v>
      </c>
      <c r="C34" t="s">
        <v>520</v>
      </c>
      <c r="D34" t="b">
        <v>1</v>
      </c>
      <c r="E34" t="s">
        <v>1020</v>
      </c>
      <c r="F34" t="s">
        <v>1021</v>
      </c>
    </row>
    <row r="35" spans="1:6">
      <c r="A35" t="s">
        <v>935</v>
      </c>
      <c r="B35" t="s">
        <v>215</v>
      </c>
      <c r="C35" t="s">
        <v>216</v>
      </c>
      <c r="D35" t="b">
        <v>1</v>
      </c>
      <c r="E35" t="s">
        <v>1022</v>
      </c>
      <c r="F35" t="s">
        <v>1023</v>
      </c>
    </row>
    <row r="36" spans="1:6">
      <c r="A36" t="s">
        <v>1024</v>
      </c>
      <c r="B36" t="s">
        <v>215</v>
      </c>
      <c r="C36" t="s">
        <v>216</v>
      </c>
      <c r="D36" t="b">
        <v>1</v>
      </c>
      <c r="E36" t="s">
        <v>1025</v>
      </c>
      <c r="F36" t="s">
        <v>1026</v>
      </c>
    </row>
    <row r="37" spans="1:6">
      <c r="A37" t="s">
        <v>1027</v>
      </c>
      <c r="B37" t="s">
        <v>223</v>
      </c>
      <c r="C37" t="s">
        <v>224</v>
      </c>
      <c r="D37" t="b">
        <v>1</v>
      </c>
      <c r="E37" t="s">
        <v>1028</v>
      </c>
      <c r="F37" t="s">
        <v>1029</v>
      </c>
    </row>
    <row r="38" spans="1:6">
      <c r="A38" t="s">
        <v>928</v>
      </c>
      <c r="B38" t="s">
        <v>224</v>
      </c>
      <c r="C38" t="s">
        <v>523</v>
      </c>
      <c r="D38" t="b">
        <v>1</v>
      </c>
      <c r="E38" t="s">
        <v>1030</v>
      </c>
      <c r="F38" t="s">
        <v>1031</v>
      </c>
    </row>
    <row r="39" spans="1:6">
      <c r="A39" t="s">
        <v>1032</v>
      </c>
      <c r="B39" t="s">
        <v>524</v>
      </c>
      <c r="C39" t="s">
        <v>228</v>
      </c>
      <c r="D39" t="b">
        <v>1</v>
      </c>
      <c r="E39" t="s">
        <v>1033</v>
      </c>
      <c r="F39" t="s">
        <v>1034</v>
      </c>
    </row>
    <row r="40" spans="1:6">
      <c r="A40" t="s">
        <v>941</v>
      </c>
      <c r="B40" t="s">
        <v>524</v>
      </c>
      <c r="C40" t="s">
        <v>228</v>
      </c>
      <c r="D40" t="b">
        <v>1</v>
      </c>
      <c r="E40" t="s">
        <v>1035</v>
      </c>
      <c r="F40" t="s">
        <v>1036</v>
      </c>
    </row>
    <row r="41" spans="1:6">
      <c r="A41" t="s">
        <v>1037</v>
      </c>
      <c r="B41" t="s">
        <v>228</v>
      </c>
      <c r="C41" t="s">
        <v>229</v>
      </c>
      <c r="D41" t="b">
        <v>1</v>
      </c>
      <c r="E41" t="s">
        <v>1038</v>
      </c>
      <c r="F41" t="s">
        <v>1039</v>
      </c>
    </row>
    <row r="42" spans="1:6">
      <c r="A42" t="s">
        <v>991</v>
      </c>
      <c r="B42" t="s">
        <v>1040</v>
      </c>
      <c r="C42" t="s">
        <v>1041</v>
      </c>
      <c r="D42" t="b">
        <v>1</v>
      </c>
      <c r="E42" t="s">
        <v>1042</v>
      </c>
      <c r="F42" t="s">
        <v>1043</v>
      </c>
    </row>
    <row r="43" spans="1:6">
      <c r="A43" t="s">
        <v>945</v>
      </c>
      <c r="B43" t="s">
        <v>1041</v>
      </c>
      <c r="C43" t="s">
        <v>528</v>
      </c>
      <c r="D43" t="b">
        <v>1</v>
      </c>
      <c r="E43" t="s">
        <v>1044</v>
      </c>
      <c r="F43" t="s">
        <v>1045</v>
      </c>
    </row>
    <row r="44" spans="1:6">
      <c r="A44" t="s">
        <v>1046</v>
      </c>
      <c r="B44" t="s">
        <v>528</v>
      </c>
      <c r="C44" t="s">
        <v>233</v>
      </c>
      <c r="D44" t="b">
        <v>1</v>
      </c>
      <c r="E44" t="s">
        <v>1047</v>
      </c>
      <c r="F44" t="s">
        <v>1048</v>
      </c>
    </row>
    <row r="45" spans="1:6">
      <c r="A45" t="s">
        <v>1049</v>
      </c>
      <c r="B45" t="s">
        <v>233</v>
      </c>
      <c r="C45" t="s">
        <v>234</v>
      </c>
      <c r="D45" t="b">
        <v>1</v>
      </c>
      <c r="E45" t="s">
        <v>1050</v>
      </c>
      <c r="F45" t="s">
        <v>1051</v>
      </c>
    </row>
    <row r="46" spans="1:6">
      <c r="A46" t="s">
        <v>954</v>
      </c>
      <c r="B46" t="s">
        <v>1052</v>
      </c>
      <c r="C46" t="s">
        <v>1053</v>
      </c>
      <c r="D46" t="b">
        <v>1</v>
      </c>
      <c r="E46" t="s">
        <v>1054</v>
      </c>
      <c r="F46" t="s">
        <v>1055</v>
      </c>
    </row>
    <row r="47" spans="1:6">
      <c r="A47" t="s">
        <v>1056</v>
      </c>
      <c r="B47" t="s">
        <v>1053</v>
      </c>
      <c r="C47" t="s">
        <v>1057</v>
      </c>
      <c r="D47" t="b">
        <v>1</v>
      </c>
      <c r="E47" t="s">
        <v>1058</v>
      </c>
      <c r="F47" t="s">
        <v>1059</v>
      </c>
    </row>
    <row r="48" spans="1:6">
      <c r="A48" t="s">
        <v>1060</v>
      </c>
      <c r="B48" t="s">
        <v>1053</v>
      </c>
      <c r="C48" t="s">
        <v>1057</v>
      </c>
      <c r="D48" t="b">
        <v>1</v>
      </c>
      <c r="E48" t="s">
        <v>1061</v>
      </c>
      <c r="F48" t="s">
        <v>1062</v>
      </c>
    </row>
    <row r="49" spans="1:6">
      <c r="A49" t="s">
        <v>1063</v>
      </c>
      <c r="B49" t="s">
        <v>1064</v>
      </c>
      <c r="C49" t="s">
        <v>1065</v>
      </c>
      <c r="D49" t="b">
        <v>1</v>
      </c>
      <c r="E49" t="s">
        <v>1066</v>
      </c>
      <c r="F49" t="s">
        <v>1067</v>
      </c>
    </row>
    <row r="50" spans="1:6">
      <c r="A50" t="s">
        <v>938</v>
      </c>
      <c r="B50" t="s">
        <v>1065</v>
      </c>
      <c r="C50" t="s">
        <v>531</v>
      </c>
      <c r="D50" t="b">
        <v>1</v>
      </c>
      <c r="E50" t="s">
        <v>1068</v>
      </c>
      <c r="F50" t="s">
        <v>1069</v>
      </c>
    </row>
    <row r="51" spans="1:6">
      <c r="A51" t="s">
        <v>1070</v>
      </c>
      <c r="B51" t="s">
        <v>532</v>
      </c>
      <c r="C51" t="s">
        <v>649</v>
      </c>
      <c r="D51" t="b">
        <v>1</v>
      </c>
      <c r="E51" t="s">
        <v>1071</v>
      </c>
      <c r="F51" t="s">
        <v>1072</v>
      </c>
    </row>
    <row r="52" spans="1:6">
      <c r="A52" t="s">
        <v>1003</v>
      </c>
      <c r="B52" t="s">
        <v>649</v>
      </c>
      <c r="C52" t="s">
        <v>650</v>
      </c>
      <c r="D52" t="b">
        <v>1</v>
      </c>
      <c r="E52" t="s">
        <v>1073</v>
      </c>
      <c r="F52" t="s">
        <v>1074</v>
      </c>
    </row>
    <row r="53" spans="1:6">
      <c r="A53" t="s">
        <v>988</v>
      </c>
      <c r="B53" t="s">
        <v>1075</v>
      </c>
      <c r="C53" t="s">
        <v>535</v>
      </c>
      <c r="D53" t="b">
        <v>1</v>
      </c>
      <c r="E53" t="s">
        <v>1076</v>
      </c>
      <c r="F53" t="s">
        <v>1077</v>
      </c>
    </row>
    <row r="54" spans="1:6">
      <c r="A54" t="s">
        <v>1078</v>
      </c>
      <c r="B54" t="s">
        <v>264</v>
      </c>
      <c r="C54" t="s">
        <v>265</v>
      </c>
      <c r="D54" t="b">
        <v>1</v>
      </c>
      <c r="E54" t="s">
        <v>1079</v>
      </c>
      <c r="F54" t="s">
        <v>1080</v>
      </c>
    </row>
    <row r="55" spans="1:6">
      <c r="A55" t="s">
        <v>925</v>
      </c>
      <c r="B55" t="s">
        <v>265</v>
      </c>
      <c r="C55" t="s">
        <v>653</v>
      </c>
      <c r="D55" t="b">
        <v>1</v>
      </c>
      <c r="E55" t="s">
        <v>1081</v>
      </c>
      <c r="F55" t="s">
        <v>1082</v>
      </c>
    </row>
    <row r="56" spans="1:6">
      <c r="A56" t="s">
        <v>959</v>
      </c>
      <c r="B56" t="s">
        <v>272</v>
      </c>
      <c r="C56" t="s">
        <v>273</v>
      </c>
      <c r="D56" t="b">
        <v>1</v>
      </c>
      <c r="E56" t="s">
        <v>1083</v>
      </c>
      <c r="F56" t="s">
        <v>1084</v>
      </c>
    </row>
    <row r="57" spans="1:6">
      <c r="A57" t="s">
        <v>973</v>
      </c>
      <c r="B57" t="s">
        <v>273</v>
      </c>
      <c r="C57" t="s">
        <v>1085</v>
      </c>
      <c r="D57" t="b">
        <v>1</v>
      </c>
      <c r="E57" t="s">
        <v>1086</v>
      </c>
      <c r="F57" t="s">
        <v>1087</v>
      </c>
    </row>
    <row r="58" spans="1:6">
      <c r="A58" t="s">
        <v>1024</v>
      </c>
      <c r="B58" t="s">
        <v>803</v>
      </c>
      <c r="C58" t="s">
        <v>656</v>
      </c>
      <c r="D58" t="b">
        <v>1</v>
      </c>
      <c r="E58" t="s">
        <v>1088</v>
      </c>
      <c r="F58" t="s">
        <v>1089</v>
      </c>
    </row>
    <row r="59" spans="1:6">
      <c r="A59" t="s">
        <v>1090</v>
      </c>
      <c r="B59" t="s">
        <v>1091</v>
      </c>
      <c r="C59" t="s">
        <v>1091</v>
      </c>
      <c r="D59" t="b">
        <v>0</v>
      </c>
      <c r="E59" t="s">
        <v>1092</v>
      </c>
      <c r="F59" t="s">
        <v>1093</v>
      </c>
    </row>
    <row r="60" spans="1:6">
      <c r="A60" t="s">
        <v>1094</v>
      </c>
      <c r="B60" t="s">
        <v>656</v>
      </c>
      <c r="C60" t="s">
        <v>277</v>
      </c>
      <c r="D60" t="b">
        <v>1</v>
      </c>
      <c r="E60" t="s">
        <v>1095</v>
      </c>
      <c r="F60" t="s">
        <v>1096</v>
      </c>
    </row>
    <row r="61" spans="1:6">
      <c r="A61" t="s">
        <v>1012</v>
      </c>
      <c r="B61" t="s">
        <v>1097</v>
      </c>
      <c r="C61" t="s">
        <v>1098</v>
      </c>
      <c r="D61" t="b">
        <v>1</v>
      </c>
      <c r="E61" t="s">
        <v>1099</v>
      </c>
      <c r="F61" t="s">
        <v>1100</v>
      </c>
    </row>
    <row r="62" spans="1:6">
      <c r="A62" t="s">
        <v>935</v>
      </c>
      <c r="B62" t="s">
        <v>540</v>
      </c>
      <c r="C62" t="s">
        <v>659</v>
      </c>
      <c r="D62" t="b">
        <v>1</v>
      </c>
      <c r="E62" t="s">
        <v>1101</v>
      </c>
      <c r="F62" t="s">
        <v>1102</v>
      </c>
    </row>
    <row r="63" spans="1:6">
      <c r="A63" t="s">
        <v>941</v>
      </c>
      <c r="B63" t="s">
        <v>540</v>
      </c>
      <c r="C63" t="s">
        <v>659</v>
      </c>
      <c r="D63" t="b">
        <v>1</v>
      </c>
      <c r="E63" t="s">
        <v>1103</v>
      </c>
      <c r="F63" t="s">
        <v>1104</v>
      </c>
    </row>
    <row r="64" spans="1:6">
      <c r="A64" t="s">
        <v>1000</v>
      </c>
      <c r="B64" t="s">
        <v>1105</v>
      </c>
      <c r="C64" t="s">
        <v>812</v>
      </c>
      <c r="D64" t="b">
        <v>1</v>
      </c>
      <c r="E64" t="s">
        <v>1106</v>
      </c>
      <c r="F64" t="s">
        <v>1107</v>
      </c>
    </row>
    <row r="65" spans="1:6">
      <c r="A65" t="s">
        <v>1108</v>
      </c>
      <c r="B65" t="s">
        <v>812</v>
      </c>
      <c r="C65" t="s">
        <v>543</v>
      </c>
      <c r="D65" t="b">
        <v>1</v>
      </c>
      <c r="E65" t="s">
        <v>1109</v>
      </c>
      <c r="F65" t="s">
        <v>1110</v>
      </c>
    </row>
    <row r="66" spans="1:6">
      <c r="A66" t="s">
        <v>1111</v>
      </c>
      <c r="B66" t="s">
        <v>544</v>
      </c>
      <c r="C66" t="s">
        <v>663</v>
      </c>
      <c r="D66" t="b">
        <v>1</v>
      </c>
      <c r="E66" t="s">
        <v>1112</v>
      </c>
      <c r="F66" t="s">
        <v>1113</v>
      </c>
    </row>
    <row r="67" spans="1:6">
      <c r="A67" t="s">
        <v>985</v>
      </c>
      <c r="B67" t="s">
        <v>544</v>
      </c>
      <c r="C67" t="s">
        <v>663</v>
      </c>
      <c r="D67" t="b">
        <v>1</v>
      </c>
      <c r="E67" t="s">
        <v>1114</v>
      </c>
      <c r="F67" t="s">
        <v>1115</v>
      </c>
    </row>
    <row r="68" spans="1:6">
      <c r="A68" t="s">
        <v>991</v>
      </c>
      <c r="B68" t="s">
        <v>820</v>
      </c>
      <c r="C68" t="s">
        <v>821</v>
      </c>
      <c r="D68" t="b">
        <v>1</v>
      </c>
      <c r="E68" t="s">
        <v>1116</v>
      </c>
      <c r="F68" t="s">
        <v>1117</v>
      </c>
    </row>
    <row r="69" spans="1:6">
      <c r="A69" t="s">
        <v>965</v>
      </c>
      <c r="B69" t="s">
        <v>311</v>
      </c>
      <c r="C69" t="s">
        <v>315</v>
      </c>
      <c r="D69" t="b">
        <v>1</v>
      </c>
      <c r="E69" t="s">
        <v>1118</v>
      </c>
      <c r="F69" t="s">
        <v>1119</v>
      </c>
    </row>
    <row r="70" spans="1:6">
      <c r="A70" t="s">
        <v>979</v>
      </c>
      <c r="B70" t="s">
        <v>315</v>
      </c>
      <c r="C70" t="s">
        <v>670</v>
      </c>
      <c r="D70" t="b">
        <v>1</v>
      </c>
      <c r="E70" t="s">
        <v>1120</v>
      </c>
      <c r="F70" t="s">
        <v>1121</v>
      </c>
    </row>
    <row r="71" spans="1:6">
      <c r="A71" t="s">
        <v>973</v>
      </c>
      <c r="B71" t="s">
        <v>331</v>
      </c>
      <c r="C71" t="s">
        <v>673</v>
      </c>
      <c r="D71" t="b">
        <v>1</v>
      </c>
      <c r="E71" t="s">
        <v>1122</v>
      </c>
      <c r="F71" t="s">
        <v>1123</v>
      </c>
    </row>
    <row r="72" spans="1:6">
      <c r="A72" t="s">
        <v>925</v>
      </c>
      <c r="B72" t="s">
        <v>335</v>
      </c>
      <c r="C72" t="s">
        <v>336</v>
      </c>
      <c r="D72" t="b">
        <v>1</v>
      </c>
      <c r="E72" t="s">
        <v>1124</v>
      </c>
      <c r="F72" t="s">
        <v>1125</v>
      </c>
    </row>
    <row r="73" spans="1:6">
      <c r="A73" t="s">
        <v>1126</v>
      </c>
      <c r="B73" t="s">
        <v>336</v>
      </c>
      <c r="C73" t="s">
        <v>340</v>
      </c>
      <c r="D73" t="b">
        <v>1</v>
      </c>
      <c r="E73" t="s">
        <v>1127</v>
      </c>
      <c r="F73" t="s">
        <v>1128</v>
      </c>
    </row>
    <row r="74" spans="1:6">
      <c r="A74" t="s">
        <v>1078</v>
      </c>
      <c r="B74" t="s">
        <v>340</v>
      </c>
      <c r="C74" t="s">
        <v>341</v>
      </c>
      <c r="D74" t="b">
        <v>1</v>
      </c>
      <c r="E74" t="s">
        <v>1129</v>
      </c>
      <c r="F74" t="s">
        <v>1130</v>
      </c>
    </row>
    <row r="75" spans="1:6">
      <c r="A75" t="s">
        <v>1006</v>
      </c>
      <c r="B75" t="s">
        <v>349</v>
      </c>
      <c r="C75" t="s">
        <v>350</v>
      </c>
      <c r="D75" t="b">
        <v>1</v>
      </c>
      <c r="E75" t="s">
        <v>1131</v>
      </c>
      <c r="F75" t="s">
        <v>1132</v>
      </c>
    </row>
    <row r="76" spans="1:6">
      <c r="A76" t="s">
        <v>1133</v>
      </c>
      <c r="B76" t="s">
        <v>350</v>
      </c>
      <c r="C76" t="s">
        <v>563</v>
      </c>
      <c r="D76" t="b">
        <v>1</v>
      </c>
      <c r="E76" t="s">
        <v>1134</v>
      </c>
      <c r="F76" t="s">
        <v>1135</v>
      </c>
    </row>
    <row r="77" spans="1:6">
      <c r="A77" t="s">
        <v>1136</v>
      </c>
      <c r="B77" t="s">
        <v>563</v>
      </c>
      <c r="C77" t="s">
        <v>353</v>
      </c>
      <c r="D77" t="b">
        <v>1</v>
      </c>
      <c r="E77" t="s">
        <v>1137</v>
      </c>
      <c r="F77" t="s">
        <v>1138</v>
      </c>
    </row>
    <row r="78" spans="1:6">
      <c r="A78" t="s">
        <v>1000</v>
      </c>
      <c r="B78" t="s">
        <v>353</v>
      </c>
      <c r="C78" t="s">
        <v>354</v>
      </c>
      <c r="D78" t="b">
        <v>1</v>
      </c>
      <c r="E78" t="s">
        <v>1139</v>
      </c>
      <c r="F78" t="s">
        <v>1140</v>
      </c>
    </row>
    <row r="79" spans="1:6">
      <c r="A79" t="s">
        <v>928</v>
      </c>
      <c r="B79" t="s">
        <v>354</v>
      </c>
      <c r="C79" t="s">
        <v>682</v>
      </c>
      <c r="D79" t="b">
        <v>1</v>
      </c>
      <c r="E79" t="s">
        <v>1141</v>
      </c>
      <c r="F79" t="s">
        <v>1142</v>
      </c>
    </row>
    <row r="80" spans="1:6">
      <c r="A80" t="s">
        <v>941</v>
      </c>
      <c r="B80" t="s">
        <v>1143</v>
      </c>
      <c r="C80" t="s">
        <v>357</v>
      </c>
      <c r="D80" t="b">
        <v>1</v>
      </c>
      <c r="E80" t="s">
        <v>1144</v>
      </c>
      <c r="F80" t="s">
        <v>1145</v>
      </c>
    </row>
    <row r="81" spans="1:6">
      <c r="A81" t="s">
        <v>1009</v>
      </c>
      <c r="B81" t="s">
        <v>357</v>
      </c>
      <c r="C81" t="s">
        <v>358</v>
      </c>
      <c r="D81" t="b">
        <v>1</v>
      </c>
      <c r="E81" t="s">
        <v>1146</v>
      </c>
      <c r="F81" t="s">
        <v>1147</v>
      </c>
    </row>
    <row r="82" spans="1:6">
      <c r="A82" t="s">
        <v>935</v>
      </c>
      <c r="B82" t="s">
        <v>566</v>
      </c>
      <c r="C82" t="s">
        <v>362</v>
      </c>
      <c r="D82" t="b">
        <v>1</v>
      </c>
      <c r="E82" t="s">
        <v>1148</v>
      </c>
      <c r="F82" t="s">
        <v>1149</v>
      </c>
    </row>
    <row r="83" spans="1:6">
      <c r="A83" t="s">
        <v>1133</v>
      </c>
      <c r="B83" t="s">
        <v>372</v>
      </c>
      <c r="C83" t="s">
        <v>569</v>
      </c>
      <c r="D83" t="b">
        <v>1</v>
      </c>
      <c r="E83" t="s">
        <v>1150</v>
      </c>
      <c r="F83" t="s">
        <v>1151</v>
      </c>
    </row>
    <row r="84" spans="1:6">
      <c r="A84" t="s">
        <v>954</v>
      </c>
      <c r="B84" t="s">
        <v>570</v>
      </c>
      <c r="C84" t="s">
        <v>688</v>
      </c>
      <c r="D84" t="b">
        <v>1</v>
      </c>
      <c r="E84" t="s">
        <v>1152</v>
      </c>
      <c r="F84" t="s">
        <v>1153</v>
      </c>
    </row>
    <row r="85" spans="1:6">
      <c r="A85" t="s">
        <v>1154</v>
      </c>
      <c r="B85" t="s">
        <v>688</v>
      </c>
      <c r="C85" t="s">
        <v>689</v>
      </c>
      <c r="D85" t="b">
        <v>1</v>
      </c>
      <c r="E85" t="s">
        <v>1155</v>
      </c>
      <c r="F85" t="s">
        <v>1156</v>
      </c>
    </row>
    <row r="86" spans="1:6">
      <c r="A86" t="s">
        <v>1157</v>
      </c>
      <c r="B86" t="s">
        <v>381</v>
      </c>
      <c r="C86" t="s">
        <v>384</v>
      </c>
      <c r="D86" t="b">
        <v>1</v>
      </c>
      <c r="E86" t="s">
        <v>1158</v>
      </c>
      <c r="F86" t="s">
        <v>1159</v>
      </c>
    </row>
    <row r="87" spans="1:6">
      <c r="A87" t="s">
        <v>1160</v>
      </c>
      <c r="B87" t="s">
        <v>387</v>
      </c>
      <c r="C87" t="s">
        <v>692</v>
      </c>
      <c r="D87" t="b">
        <v>1</v>
      </c>
      <c r="E87" t="s">
        <v>1161</v>
      </c>
      <c r="F87" t="s">
        <v>1162</v>
      </c>
    </row>
    <row r="88" spans="1:6">
      <c r="A88" t="s">
        <v>1027</v>
      </c>
      <c r="B88" t="s">
        <v>1163</v>
      </c>
      <c r="C88" t="s">
        <v>1164</v>
      </c>
      <c r="D88" t="b">
        <v>1</v>
      </c>
      <c r="E88" t="s">
        <v>1165</v>
      </c>
      <c r="F88" t="s">
        <v>1166</v>
      </c>
    </row>
    <row r="89" spans="1:6">
      <c r="A89" t="s">
        <v>938</v>
      </c>
      <c r="B89" t="s">
        <v>1164</v>
      </c>
      <c r="C89" t="s">
        <v>573</v>
      </c>
      <c r="D89" t="b">
        <v>1</v>
      </c>
      <c r="E89" t="s">
        <v>1167</v>
      </c>
      <c r="F89" t="s">
        <v>1168</v>
      </c>
    </row>
    <row r="90" spans="1:6">
      <c r="A90" t="s">
        <v>1169</v>
      </c>
      <c r="B90" t="s">
        <v>573</v>
      </c>
      <c r="C90" t="s">
        <v>396</v>
      </c>
      <c r="D90" t="b">
        <v>1</v>
      </c>
      <c r="E90" t="s">
        <v>1170</v>
      </c>
      <c r="F90" t="s">
        <v>1171</v>
      </c>
    </row>
    <row r="91" spans="1:6">
      <c r="A91" t="s">
        <v>959</v>
      </c>
      <c r="B91" t="s">
        <v>405</v>
      </c>
      <c r="C91" t="s">
        <v>409</v>
      </c>
      <c r="D91" t="b">
        <v>1</v>
      </c>
      <c r="E91" t="s">
        <v>1172</v>
      </c>
      <c r="F91" t="s">
        <v>1173</v>
      </c>
    </row>
    <row r="92" spans="1:6">
      <c r="A92" t="s">
        <v>925</v>
      </c>
      <c r="B92" t="s">
        <v>409</v>
      </c>
      <c r="C92" t="s">
        <v>410</v>
      </c>
      <c r="D92" t="b">
        <v>1</v>
      </c>
      <c r="E92" t="s">
        <v>1174</v>
      </c>
      <c r="F92" t="s">
        <v>1175</v>
      </c>
    </row>
    <row r="93" spans="1:6">
      <c r="A93" t="s">
        <v>1012</v>
      </c>
      <c r="B93" t="s">
        <v>1176</v>
      </c>
      <c r="C93" t="s">
        <v>697</v>
      </c>
      <c r="D93" t="b">
        <v>1</v>
      </c>
      <c r="E93" t="s">
        <v>1177</v>
      </c>
      <c r="F93" t="s">
        <v>1178</v>
      </c>
    </row>
    <row r="94" spans="1:6">
      <c r="A94" t="s">
        <v>1037</v>
      </c>
      <c r="B94" t="s">
        <v>697</v>
      </c>
      <c r="C94" t="s">
        <v>576</v>
      </c>
      <c r="D94" t="b">
        <v>1</v>
      </c>
      <c r="E94" t="s">
        <v>1179</v>
      </c>
      <c r="F94" t="s">
        <v>1180</v>
      </c>
    </row>
    <row r="95" spans="1:6">
      <c r="A95" t="s">
        <v>1181</v>
      </c>
      <c r="B95" t="s">
        <v>576</v>
      </c>
      <c r="C95" t="s">
        <v>414</v>
      </c>
      <c r="D95" t="b">
        <v>1</v>
      </c>
      <c r="E95" t="s">
        <v>1182</v>
      </c>
      <c r="F95" t="s">
        <v>1183</v>
      </c>
    </row>
    <row r="96" spans="1:6">
      <c r="A96" t="s">
        <v>941</v>
      </c>
      <c r="B96" t="s">
        <v>859</v>
      </c>
      <c r="C96" t="s">
        <v>860</v>
      </c>
      <c r="D96" t="b">
        <v>1</v>
      </c>
      <c r="E96" t="s">
        <v>1184</v>
      </c>
      <c r="F96" t="s">
        <v>1185</v>
      </c>
    </row>
    <row r="97" spans="1:6">
      <c r="A97" t="s">
        <v>1060</v>
      </c>
      <c r="B97" t="s">
        <v>1186</v>
      </c>
      <c r="C97" t="s">
        <v>863</v>
      </c>
      <c r="D97" t="b">
        <v>1</v>
      </c>
      <c r="E97" t="s">
        <v>1187</v>
      </c>
      <c r="F97" t="s">
        <v>1188</v>
      </c>
    </row>
    <row r="98" spans="1:6">
      <c r="A98" t="s">
        <v>1111</v>
      </c>
      <c r="B98" t="s">
        <v>863</v>
      </c>
      <c r="C98" t="s">
        <v>700</v>
      </c>
      <c r="D98" t="b">
        <v>1</v>
      </c>
      <c r="E98" t="s">
        <v>1189</v>
      </c>
      <c r="F98" t="s">
        <v>1190</v>
      </c>
    </row>
    <row r="99" spans="1:6">
      <c r="A99" t="s">
        <v>973</v>
      </c>
      <c r="B99" t="s">
        <v>700</v>
      </c>
      <c r="C99" t="s">
        <v>701</v>
      </c>
      <c r="D99" t="b">
        <v>1</v>
      </c>
      <c r="E99" t="s">
        <v>1191</v>
      </c>
      <c r="F99" t="s">
        <v>1192</v>
      </c>
    </row>
    <row r="100" spans="1:6">
      <c r="A100" t="s">
        <v>970</v>
      </c>
      <c r="B100" t="s">
        <v>704</v>
      </c>
      <c r="C100" t="s">
        <v>705</v>
      </c>
      <c r="D100" t="b">
        <v>1</v>
      </c>
      <c r="E100" t="s">
        <v>1193</v>
      </c>
      <c r="F100" t="s">
        <v>1194</v>
      </c>
    </row>
    <row r="101" spans="1:6">
      <c r="A101" t="s">
        <v>1000</v>
      </c>
      <c r="B101" t="s">
        <v>869</v>
      </c>
      <c r="C101" t="s">
        <v>870</v>
      </c>
      <c r="D101" t="b">
        <v>1</v>
      </c>
      <c r="E101" t="s">
        <v>1195</v>
      </c>
      <c r="F101" t="s">
        <v>1196</v>
      </c>
    </row>
    <row r="102" spans="1:6">
      <c r="A102" t="s">
        <v>1197</v>
      </c>
      <c r="B102" t="s">
        <v>869</v>
      </c>
      <c r="C102" t="s">
        <v>870</v>
      </c>
      <c r="D102" t="b">
        <v>1</v>
      </c>
      <c r="E102" t="s">
        <v>1198</v>
      </c>
      <c r="F102" t="s">
        <v>1199</v>
      </c>
    </row>
    <row r="103" spans="1:6">
      <c r="A103" t="s">
        <v>1197</v>
      </c>
      <c r="B103" t="s">
        <v>870</v>
      </c>
      <c r="C103" t="s">
        <v>873</v>
      </c>
      <c r="D103" t="b">
        <v>1</v>
      </c>
      <c r="E103" t="s">
        <v>1200</v>
      </c>
      <c r="F103" t="s">
        <v>1201</v>
      </c>
    </row>
    <row r="104" spans="1:6">
      <c r="A104" t="s">
        <v>1197</v>
      </c>
      <c r="B104" t="s">
        <v>873</v>
      </c>
      <c r="C104" t="s">
        <v>876</v>
      </c>
      <c r="D104" t="b">
        <v>1</v>
      </c>
      <c r="E104" t="s">
        <v>1202</v>
      </c>
      <c r="F104" t="s">
        <v>1203</v>
      </c>
    </row>
    <row r="105" spans="1:6">
      <c r="A105" t="s">
        <v>1204</v>
      </c>
      <c r="B105" t="s">
        <v>876</v>
      </c>
      <c r="C105" t="s">
        <v>432</v>
      </c>
      <c r="D105" t="b">
        <v>1</v>
      </c>
      <c r="E105" t="s">
        <v>1205</v>
      </c>
      <c r="F105" t="s">
        <v>1206</v>
      </c>
    </row>
    <row r="106" spans="1:6">
      <c r="A106" t="s">
        <v>945</v>
      </c>
      <c r="B106" t="s">
        <v>432</v>
      </c>
      <c r="C106" t="s">
        <v>433</v>
      </c>
      <c r="D106" t="b">
        <v>1</v>
      </c>
      <c r="E106" t="s">
        <v>1207</v>
      </c>
      <c r="F106" t="s">
        <v>1208</v>
      </c>
    </row>
    <row r="107" spans="1:6">
      <c r="A107" t="s">
        <v>991</v>
      </c>
      <c r="B107" t="s">
        <v>1209</v>
      </c>
      <c r="C107" t="s">
        <v>437</v>
      </c>
      <c r="D107" t="b">
        <v>1</v>
      </c>
      <c r="E107" t="s">
        <v>1210</v>
      </c>
      <c r="F107" t="s">
        <v>1211</v>
      </c>
    </row>
    <row r="108" spans="1:6">
      <c r="A108" t="s">
        <v>1212</v>
      </c>
      <c r="B108" t="s">
        <v>437</v>
      </c>
      <c r="C108" t="s">
        <v>438</v>
      </c>
      <c r="D108" t="b">
        <v>1</v>
      </c>
      <c r="E108" t="s">
        <v>1213</v>
      </c>
      <c r="F108" t="s">
        <v>1214</v>
      </c>
    </row>
    <row r="109" spans="1:6">
      <c r="A109" t="s">
        <v>935</v>
      </c>
      <c r="B109" t="s">
        <v>709</v>
      </c>
      <c r="C109" t="s">
        <v>710</v>
      </c>
      <c r="D109" t="b">
        <v>1</v>
      </c>
      <c r="E109" t="s">
        <v>1215</v>
      </c>
      <c r="F109" t="s">
        <v>1216</v>
      </c>
    </row>
    <row r="110" spans="1:6">
      <c r="A110" t="s">
        <v>976</v>
      </c>
      <c r="B110" t="s">
        <v>1217</v>
      </c>
      <c r="C110" t="s">
        <v>1218</v>
      </c>
      <c r="D110" t="b">
        <v>1</v>
      </c>
      <c r="E110" t="s">
        <v>1219</v>
      </c>
      <c r="F110" t="s">
        <v>1220</v>
      </c>
    </row>
    <row r="111" spans="1:6">
      <c r="A111" t="s">
        <v>988</v>
      </c>
      <c r="B111" t="s">
        <v>1218</v>
      </c>
      <c r="C111" t="s">
        <v>1221</v>
      </c>
      <c r="D111" t="b">
        <v>1</v>
      </c>
      <c r="E111" t="s">
        <v>1222</v>
      </c>
      <c r="F111" t="s">
        <v>1223</v>
      </c>
    </row>
    <row r="112" spans="1:6">
      <c r="A112" t="s">
        <v>1078</v>
      </c>
      <c r="B112" t="s">
        <v>1224</v>
      </c>
      <c r="C112" t="s">
        <v>717</v>
      </c>
      <c r="D112" t="b">
        <v>1</v>
      </c>
      <c r="E112" t="s">
        <v>1225</v>
      </c>
      <c r="F112" t="s">
        <v>1226</v>
      </c>
    </row>
    <row r="113" spans="1:6">
      <c r="A113" t="s">
        <v>962</v>
      </c>
      <c r="B113" t="s">
        <v>717</v>
      </c>
      <c r="C113" t="s">
        <v>718</v>
      </c>
      <c r="D113" t="b">
        <v>1</v>
      </c>
      <c r="E113" t="s">
        <v>1227</v>
      </c>
      <c r="F113" t="s">
        <v>1228</v>
      </c>
    </row>
    <row r="114" spans="1:6">
      <c r="A114" t="s">
        <v>1229</v>
      </c>
      <c r="B114" t="s">
        <v>1230</v>
      </c>
      <c r="C114" t="s">
        <v>1231</v>
      </c>
      <c r="D114" t="b">
        <v>1</v>
      </c>
      <c r="E114" t="s">
        <v>1232</v>
      </c>
      <c r="F114" t="s">
        <v>1233</v>
      </c>
    </row>
    <row r="115" spans="1:6">
      <c r="A115" t="s">
        <v>1012</v>
      </c>
      <c r="B115" t="s">
        <v>1231</v>
      </c>
      <c r="C115" t="s">
        <v>1234</v>
      </c>
      <c r="D115" t="b">
        <v>1</v>
      </c>
      <c r="E115" t="s">
        <v>1235</v>
      </c>
      <c r="F115" t="s">
        <v>1236</v>
      </c>
    </row>
    <row r="116" spans="1:6">
      <c r="A116" t="s">
        <v>985</v>
      </c>
      <c r="B116" t="s">
        <v>1234</v>
      </c>
      <c r="C116" t="s">
        <v>882</v>
      </c>
      <c r="D116" t="b">
        <v>1</v>
      </c>
      <c r="E116" t="s">
        <v>1237</v>
      </c>
      <c r="F116" t="s">
        <v>1238</v>
      </c>
    </row>
    <row r="117" spans="1:6">
      <c r="A117" t="s">
        <v>1239</v>
      </c>
      <c r="B117" t="s">
        <v>882</v>
      </c>
      <c r="C117" t="s">
        <v>883</v>
      </c>
      <c r="D117" t="b">
        <v>1</v>
      </c>
      <c r="E117" t="s">
        <v>1240</v>
      </c>
      <c r="F117" t="s">
        <v>1241</v>
      </c>
    </row>
    <row r="118" spans="1:6">
      <c r="A118" t="s">
        <v>1242</v>
      </c>
      <c r="B118" t="s">
        <v>883</v>
      </c>
      <c r="C118" t="s">
        <v>1243</v>
      </c>
      <c r="D118" t="b">
        <v>1</v>
      </c>
      <c r="E118" t="s">
        <v>1244</v>
      </c>
      <c r="F118" t="s">
        <v>1245</v>
      </c>
    </row>
    <row r="119" spans="1:6">
      <c r="A119" t="s">
        <v>1246</v>
      </c>
      <c r="B119" t="s">
        <v>442</v>
      </c>
      <c r="C119" t="s">
        <v>443</v>
      </c>
      <c r="D119" t="b">
        <v>1</v>
      </c>
      <c r="E119" t="s">
        <v>1247</v>
      </c>
      <c r="F119" t="s">
        <v>1248</v>
      </c>
    </row>
    <row r="120" spans="1:6">
      <c r="A120" t="s">
        <v>1249</v>
      </c>
      <c r="B120" t="s">
        <v>443</v>
      </c>
      <c r="C120" t="s">
        <v>584</v>
      </c>
      <c r="D120" t="b">
        <v>1</v>
      </c>
      <c r="E120" t="s">
        <v>1250</v>
      </c>
      <c r="F120" t="s">
        <v>1251</v>
      </c>
    </row>
    <row r="121" spans="1:6">
      <c r="A121" t="s">
        <v>1252</v>
      </c>
      <c r="B121" t="s">
        <v>584</v>
      </c>
      <c r="C121" t="s">
        <v>587</v>
      </c>
      <c r="D121" t="b">
        <v>1</v>
      </c>
      <c r="E121" t="s">
        <v>1253</v>
      </c>
      <c r="F121" t="s">
        <v>1254</v>
      </c>
    </row>
    <row r="122" spans="1:6">
      <c r="A122" t="s">
        <v>1255</v>
      </c>
      <c r="B122" t="s">
        <v>587</v>
      </c>
      <c r="C122" t="s">
        <v>590</v>
      </c>
      <c r="D122" t="b">
        <v>1</v>
      </c>
      <c r="E122" t="s">
        <v>1256</v>
      </c>
      <c r="F122" t="s">
        <v>1257</v>
      </c>
    </row>
    <row r="123" spans="1:6">
      <c r="A123" t="s">
        <v>1258</v>
      </c>
      <c r="B123" t="s">
        <v>590</v>
      </c>
      <c r="C123" t="s">
        <v>731</v>
      </c>
      <c r="D123" t="b">
        <v>1</v>
      </c>
      <c r="E123" t="s">
        <v>1259</v>
      </c>
      <c r="F123" t="s">
        <v>1260</v>
      </c>
    </row>
    <row r="124" spans="1:6">
      <c r="A124" t="s">
        <v>1261</v>
      </c>
      <c r="B124" t="s">
        <v>447</v>
      </c>
      <c r="C124" t="s">
        <v>448</v>
      </c>
      <c r="D124" t="b">
        <v>1</v>
      </c>
      <c r="E124" t="s">
        <v>1262</v>
      </c>
      <c r="F124" t="s">
        <v>1263</v>
      </c>
    </row>
    <row r="125" spans="1:6">
      <c r="A125" t="s">
        <v>1264</v>
      </c>
      <c r="B125" t="s">
        <v>597</v>
      </c>
      <c r="C125" t="s">
        <v>598</v>
      </c>
      <c r="D125" t="b">
        <v>1</v>
      </c>
      <c r="E125" t="s">
        <v>1265</v>
      </c>
      <c r="F125" t="s">
        <v>1266</v>
      </c>
    </row>
    <row r="126" spans="1:6">
      <c r="A126" t="s">
        <v>1267</v>
      </c>
      <c r="B126" t="s">
        <v>452</v>
      </c>
      <c r="C126" t="s">
        <v>453</v>
      </c>
      <c r="D126" t="b">
        <v>1</v>
      </c>
      <c r="E126" t="s">
        <v>1268</v>
      </c>
      <c r="F126" t="s">
        <v>1269</v>
      </c>
    </row>
  </sheetData>
  <sortState xmlns:xlrd2="http://schemas.microsoft.com/office/spreadsheetml/2017/richdata2" ref="A2:F73">
    <sortCondition ref="B2:B73"/>
    <sortCondition ref="C2:C73"/>
    <sortCondition ref="A2:A73"/>
  </sortState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FF7B5-EC0A-5245-84E4-3659BAA3AB61}">
  <dimension ref="A1:F132"/>
  <sheetViews>
    <sheetView topLeftCell="A118" workbookViewId="0"/>
  </sheetViews>
  <sheetFormatPr defaultColWidth="8.875" defaultRowHeight="15"/>
  <cols>
    <col min="1" max="1" width="13.5" style="25" bestFit="1" customWidth="1"/>
    <col min="2" max="2" width="13.875" style="25" bestFit="1" customWidth="1"/>
    <col min="3" max="3" width="12.875" style="25" bestFit="1" customWidth="1"/>
    <col min="4" max="4" width="10.375" style="25" bestFit="1" customWidth="1"/>
    <col min="5" max="5" width="10.5" style="25" bestFit="1" customWidth="1"/>
    <col min="6" max="6" width="11.125" style="25" bestFit="1" customWidth="1"/>
    <col min="7" max="16384" width="8.875" style="25"/>
  </cols>
  <sheetData>
    <row r="1" spans="1:6">
      <c r="A1" s="25" t="s">
        <v>130</v>
      </c>
      <c r="B1" s="25" t="s">
        <v>131</v>
      </c>
      <c r="C1" s="25" t="s">
        <v>132</v>
      </c>
      <c r="D1" s="25" t="s">
        <v>133</v>
      </c>
      <c r="E1" s="25" t="s">
        <v>134</v>
      </c>
      <c r="F1" s="25" t="s">
        <v>135</v>
      </c>
    </row>
    <row r="2" spans="1:6">
      <c r="A2" s="25" t="s">
        <v>1270</v>
      </c>
      <c r="B2" s="25" t="s">
        <v>1271</v>
      </c>
      <c r="C2" s="25" t="s">
        <v>1272</v>
      </c>
      <c r="D2" s="25" t="b">
        <v>1</v>
      </c>
      <c r="E2" s="25" t="s">
        <v>1273</v>
      </c>
      <c r="F2" s="25" t="s">
        <v>1274</v>
      </c>
    </row>
    <row r="3" spans="1:6">
      <c r="A3" s="25" t="s">
        <v>1275</v>
      </c>
      <c r="B3" s="25" t="s">
        <v>471</v>
      </c>
      <c r="C3" s="25" t="s">
        <v>474</v>
      </c>
      <c r="D3" s="25" t="b">
        <v>1</v>
      </c>
      <c r="E3" s="25" t="s">
        <v>1276</v>
      </c>
      <c r="F3" s="25" t="s">
        <v>1277</v>
      </c>
    </row>
    <row r="4" spans="1:6">
      <c r="A4" s="25" t="s">
        <v>1278</v>
      </c>
      <c r="B4" s="25" t="s">
        <v>484</v>
      </c>
      <c r="C4" s="25" t="s">
        <v>485</v>
      </c>
      <c r="D4" s="25" t="b">
        <v>1</v>
      </c>
      <c r="E4" s="25" t="s">
        <v>1279</v>
      </c>
      <c r="F4" s="25" t="s">
        <v>1280</v>
      </c>
    </row>
    <row r="5" spans="1:6">
      <c r="A5" s="25" t="s">
        <v>1281</v>
      </c>
      <c r="B5" s="25" t="s">
        <v>484</v>
      </c>
      <c r="C5" s="25" t="s">
        <v>485</v>
      </c>
      <c r="D5" s="25" t="b">
        <v>1</v>
      </c>
      <c r="E5" s="25" t="s">
        <v>1282</v>
      </c>
      <c r="F5" s="25" t="s">
        <v>1283</v>
      </c>
    </row>
    <row r="6" spans="1:6">
      <c r="A6" s="25" t="s">
        <v>1284</v>
      </c>
      <c r="B6" s="25" t="s">
        <v>164</v>
      </c>
      <c r="C6" s="25" t="s">
        <v>165</v>
      </c>
      <c r="D6" s="25" t="b">
        <v>1</v>
      </c>
      <c r="E6" s="25" t="s">
        <v>1285</v>
      </c>
      <c r="F6" s="25" t="s">
        <v>1286</v>
      </c>
    </row>
    <row r="7" spans="1:6">
      <c r="A7" s="25" t="s">
        <v>1287</v>
      </c>
      <c r="B7" s="25" t="s">
        <v>1288</v>
      </c>
      <c r="C7" s="25" t="s">
        <v>1289</v>
      </c>
      <c r="D7" s="25" t="b">
        <v>1</v>
      </c>
      <c r="E7" s="25" t="s">
        <v>1290</v>
      </c>
      <c r="F7" s="25" t="s">
        <v>1291</v>
      </c>
    </row>
    <row r="8" spans="1:6">
      <c r="A8" s="25" t="s">
        <v>1292</v>
      </c>
      <c r="B8" s="25" t="s">
        <v>919</v>
      </c>
      <c r="C8" s="25" t="s">
        <v>169</v>
      </c>
      <c r="D8" s="25" t="b">
        <v>1</v>
      </c>
      <c r="E8" s="25" t="s">
        <v>1293</v>
      </c>
      <c r="F8" s="25" t="s">
        <v>1294</v>
      </c>
    </row>
    <row r="9" spans="1:6">
      <c r="A9" s="25" t="s">
        <v>1295</v>
      </c>
      <c r="B9" s="25" t="s">
        <v>169</v>
      </c>
      <c r="C9" s="25" t="s">
        <v>170</v>
      </c>
      <c r="D9" s="25" t="b">
        <v>1</v>
      </c>
      <c r="E9" s="25" t="s">
        <v>1296</v>
      </c>
      <c r="F9" s="25" t="s">
        <v>1297</v>
      </c>
    </row>
    <row r="10" spans="1:6">
      <c r="A10" s="25" t="s">
        <v>1298</v>
      </c>
      <c r="B10" s="25" t="s">
        <v>169</v>
      </c>
      <c r="C10" s="25" t="s">
        <v>170</v>
      </c>
      <c r="D10" s="25" t="b">
        <v>1</v>
      </c>
      <c r="E10" s="25" t="s">
        <v>1299</v>
      </c>
      <c r="F10" s="25" t="s">
        <v>1300</v>
      </c>
    </row>
    <row r="11" spans="1:6">
      <c r="A11" s="25" t="s">
        <v>1301</v>
      </c>
      <c r="B11" s="25" t="s">
        <v>170</v>
      </c>
      <c r="C11" s="25" t="s">
        <v>610</v>
      </c>
      <c r="D11" s="25" t="b">
        <v>1</v>
      </c>
      <c r="E11" s="25" t="s">
        <v>1302</v>
      </c>
      <c r="F11" s="25" t="s">
        <v>1303</v>
      </c>
    </row>
    <row r="12" spans="1:6">
      <c r="A12" s="25" t="s">
        <v>1304</v>
      </c>
      <c r="B12" s="25" t="s">
        <v>1305</v>
      </c>
      <c r="C12" s="25" t="s">
        <v>929</v>
      </c>
      <c r="D12" s="25" t="b">
        <v>1</v>
      </c>
      <c r="E12" s="25" t="s">
        <v>1306</v>
      </c>
      <c r="F12" s="25" t="s">
        <v>1307</v>
      </c>
    </row>
    <row r="13" spans="1:6">
      <c r="A13" s="25" t="s">
        <v>1308</v>
      </c>
      <c r="B13" s="25" t="s">
        <v>1305</v>
      </c>
      <c r="C13" s="25" t="s">
        <v>929</v>
      </c>
      <c r="D13" s="25" t="b">
        <v>1</v>
      </c>
      <c r="E13" s="25" t="s">
        <v>1309</v>
      </c>
      <c r="F13" s="25" t="s">
        <v>1310</v>
      </c>
    </row>
    <row r="14" spans="1:6">
      <c r="A14" s="25" t="s">
        <v>1311</v>
      </c>
      <c r="B14" s="25" t="s">
        <v>498</v>
      </c>
      <c r="C14" s="25" t="s">
        <v>499</v>
      </c>
      <c r="D14" s="25" t="b">
        <v>1</v>
      </c>
      <c r="E14" s="25" t="s">
        <v>1312</v>
      </c>
      <c r="F14" s="25" t="s">
        <v>1313</v>
      </c>
    </row>
    <row r="15" spans="1:6">
      <c r="A15" s="25" t="s">
        <v>1314</v>
      </c>
      <c r="B15" s="25" t="s">
        <v>499</v>
      </c>
      <c r="C15" s="25" t="s">
        <v>177</v>
      </c>
      <c r="D15" s="25" t="b">
        <v>1</v>
      </c>
      <c r="E15" s="25" t="s">
        <v>1315</v>
      </c>
      <c r="F15" s="25" t="s">
        <v>1316</v>
      </c>
    </row>
    <row r="16" spans="1:6">
      <c r="A16" s="25" t="s">
        <v>1317</v>
      </c>
      <c r="B16" s="25" t="s">
        <v>177</v>
      </c>
      <c r="C16" s="25" t="s">
        <v>178</v>
      </c>
      <c r="D16" s="25" t="b">
        <v>1</v>
      </c>
      <c r="E16" s="25" t="s">
        <v>1318</v>
      </c>
      <c r="F16" s="25" t="s">
        <v>1319</v>
      </c>
    </row>
    <row r="17" spans="1:6">
      <c r="A17" s="25" t="s">
        <v>1320</v>
      </c>
      <c r="B17" s="25" t="s">
        <v>182</v>
      </c>
      <c r="C17" s="25" t="s">
        <v>942</v>
      </c>
      <c r="D17" s="25" t="b">
        <v>1</v>
      </c>
      <c r="E17" s="25" t="s">
        <v>1321</v>
      </c>
      <c r="F17" s="25" t="s">
        <v>1322</v>
      </c>
    </row>
    <row r="18" spans="1:6">
      <c r="A18" s="25" t="s">
        <v>1323</v>
      </c>
      <c r="B18" s="25" t="s">
        <v>182</v>
      </c>
      <c r="C18" s="25" t="s">
        <v>942</v>
      </c>
      <c r="D18" s="25" t="b">
        <v>1</v>
      </c>
      <c r="E18" s="25" t="s">
        <v>1324</v>
      </c>
      <c r="F18" s="25" t="s">
        <v>1325</v>
      </c>
    </row>
    <row r="19" spans="1:6">
      <c r="A19" s="25" t="s">
        <v>1326</v>
      </c>
      <c r="B19" s="25" t="s">
        <v>942</v>
      </c>
      <c r="C19" s="25" t="s">
        <v>946</v>
      </c>
      <c r="D19" s="25" t="b">
        <v>1</v>
      </c>
      <c r="E19" s="25" t="s">
        <v>1327</v>
      </c>
      <c r="F19" s="25" t="s">
        <v>1328</v>
      </c>
    </row>
    <row r="20" spans="1:6">
      <c r="A20" s="25" t="s">
        <v>1329</v>
      </c>
      <c r="B20" s="25" t="s">
        <v>946</v>
      </c>
      <c r="C20" s="25" t="s">
        <v>758</v>
      </c>
      <c r="D20" s="25" t="b">
        <v>1</v>
      </c>
      <c r="E20" s="25" t="s">
        <v>1330</v>
      </c>
      <c r="F20" s="25" t="s">
        <v>1331</v>
      </c>
    </row>
    <row r="21" spans="1:6">
      <c r="A21" s="25" t="s">
        <v>1332</v>
      </c>
      <c r="B21" s="25" t="s">
        <v>758</v>
      </c>
      <c r="C21" s="25" t="s">
        <v>617</v>
      </c>
      <c r="D21" s="25" t="b">
        <v>1</v>
      </c>
      <c r="E21" s="25" t="s">
        <v>1333</v>
      </c>
      <c r="F21" s="25" t="s">
        <v>1334</v>
      </c>
    </row>
    <row r="22" spans="1:6">
      <c r="A22" s="25" t="s">
        <v>1335</v>
      </c>
      <c r="B22" s="25" t="s">
        <v>966</v>
      </c>
      <c r="C22" s="25" t="s">
        <v>967</v>
      </c>
      <c r="D22" s="25" t="b">
        <v>1</v>
      </c>
      <c r="E22" s="25" t="s">
        <v>1336</v>
      </c>
      <c r="F22" s="25" t="s">
        <v>1337</v>
      </c>
    </row>
    <row r="23" spans="1:6">
      <c r="A23" s="25" t="s">
        <v>1338</v>
      </c>
      <c r="B23" s="25" t="s">
        <v>966</v>
      </c>
      <c r="C23" s="25" t="s">
        <v>967</v>
      </c>
      <c r="D23" s="25" t="b">
        <v>1</v>
      </c>
      <c r="E23" s="25" t="s">
        <v>1339</v>
      </c>
      <c r="F23" s="25" t="s">
        <v>1340</v>
      </c>
    </row>
    <row r="24" spans="1:6">
      <c r="A24" s="25" t="s">
        <v>1284</v>
      </c>
      <c r="B24" s="25" t="s">
        <v>503</v>
      </c>
      <c r="C24" s="25" t="s">
        <v>504</v>
      </c>
      <c r="D24" s="25" t="b">
        <v>1</v>
      </c>
      <c r="E24" s="25" t="s">
        <v>1341</v>
      </c>
      <c r="F24" s="25" t="s">
        <v>1342</v>
      </c>
    </row>
    <row r="25" spans="1:6">
      <c r="A25" s="25" t="s">
        <v>1343</v>
      </c>
      <c r="B25" s="25" t="s">
        <v>186</v>
      </c>
      <c r="C25" s="25" t="s">
        <v>187</v>
      </c>
      <c r="D25" s="25" t="b">
        <v>1</v>
      </c>
      <c r="E25" s="25" t="s">
        <v>1344</v>
      </c>
      <c r="F25" s="25" t="s">
        <v>1345</v>
      </c>
    </row>
    <row r="26" spans="1:6">
      <c r="A26" s="25" t="s">
        <v>1346</v>
      </c>
      <c r="B26" s="25" t="s">
        <v>186</v>
      </c>
      <c r="C26" s="25" t="s">
        <v>187</v>
      </c>
      <c r="D26" s="25" t="b">
        <v>1</v>
      </c>
      <c r="E26" s="25" t="s">
        <v>1347</v>
      </c>
      <c r="F26" s="25" t="s">
        <v>1348</v>
      </c>
    </row>
    <row r="27" spans="1:6">
      <c r="A27" s="25" t="s">
        <v>1349</v>
      </c>
      <c r="B27" s="25" t="s">
        <v>508</v>
      </c>
      <c r="C27" s="25" t="s">
        <v>191</v>
      </c>
      <c r="D27" s="25" t="b">
        <v>1</v>
      </c>
      <c r="E27" s="25" t="s">
        <v>1350</v>
      </c>
      <c r="F27" s="25" t="s">
        <v>1351</v>
      </c>
    </row>
    <row r="28" spans="1:6">
      <c r="A28" s="25" t="s">
        <v>1352</v>
      </c>
      <c r="B28" s="25" t="s">
        <v>191</v>
      </c>
      <c r="C28" s="25" t="s">
        <v>192</v>
      </c>
      <c r="D28" s="25" t="b">
        <v>1</v>
      </c>
      <c r="E28" s="25" t="s">
        <v>1353</v>
      </c>
      <c r="F28" s="25" t="s">
        <v>1354</v>
      </c>
    </row>
    <row r="29" spans="1:6">
      <c r="A29" s="25" t="s">
        <v>1355</v>
      </c>
      <c r="B29" s="25" t="s">
        <v>992</v>
      </c>
      <c r="C29" s="25" t="s">
        <v>993</v>
      </c>
      <c r="D29" s="25" t="b">
        <v>1</v>
      </c>
      <c r="E29" s="25" t="s">
        <v>1356</v>
      </c>
      <c r="F29" s="25" t="s">
        <v>1357</v>
      </c>
    </row>
    <row r="30" spans="1:6">
      <c r="A30" s="25" t="s">
        <v>1281</v>
      </c>
      <c r="B30" s="25" t="s">
        <v>992</v>
      </c>
      <c r="C30" s="25" t="s">
        <v>993</v>
      </c>
      <c r="D30" s="25" t="b">
        <v>1</v>
      </c>
      <c r="E30" s="25" t="s">
        <v>1358</v>
      </c>
      <c r="F30" s="25" t="s">
        <v>1359</v>
      </c>
    </row>
    <row r="31" spans="1:6">
      <c r="A31" s="25" t="s">
        <v>1360</v>
      </c>
      <c r="B31" s="25" t="s">
        <v>997</v>
      </c>
      <c r="C31" s="25" t="s">
        <v>768</v>
      </c>
      <c r="D31" s="25" t="b">
        <v>1</v>
      </c>
      <c r="E31" s="25" t="s">
        <v>1361</v>
      </c>
      <c r="F31" s="25" t="s">
        <v>1362</v>
      </c>
    </row>
    <row r="32" spans="1:6">
      <c r="A32" s="25" t="s">
        <v>1363</v>
      </c>
      <c r="B32" s="25" t="s">
        <v>768</v>
      </c>
      <c r="C32" s="25" t="s">
        <v>630</v>
      </c>
      <c r="D32" s="25" t="b">
        <v>1</v>
      </c>
      <c r="E32" s="25" t="s">
        <v>1364</v>
      </c>
      <c r="F32" s="25" t="s">
        <v>1365</v>
      </c>
    </row>
    <row r="33" spans="1:6">
      <c r="A33" s="25" t="s">
        <v>1366</v>
      </c>
      <c r="B33" s="25" t="s">
        <v>200</v>
      </c>
      <c r="C33" s="25" t="s">
        <v>201</v>
      </c>
      <c r="D33" s="25" t="b">
        <v>1</v>
      </c>
      <c r="E33" s="25" t="s">
        <v>1367</v>
      </c>
      <c r="F33" s="25" t="s">
        <v>1368</v>
      </c>
    </row>
    <row r="34" spans="1:6">
      <c r="A34" s="25" t="s">
        <v>1278</v>
      </c>
      <c r="B34" s="25" t="s">
        <v>200</v>
      </c>
      <c r="C34" s="25" t="s">
        <v>201</v>
      </c>
      <c r="D34" s="25" t="b">
        <v>1</v>
      </c>
      <c r="E34" s="25" t="s">
        <v>1369</v>
      </c>
      <c r="F34" s="25" t="s">
        <v>1370</v>
      </c>
    </row>
    <row r="35" spans="1:6">
      <c r="A35" s="25" t="s">
        <v>1371</v>
      </c>
      <c r="B35" s="25" t="s">
        <v>205</v>
      </c>
      <c r="C35" s="25" t="s">
        <v>206</v>
      </c>
      <c r="D35" s="25" t="b">
        <v>1</v>
      </c>
      <c r="E35" s="25" t="s">
        <v>1372</v>
      </c>
      <c r="F35" s="25" t="s">
        <v>1373</v>
      </c>
    </row>
    <row r="36" spans="1:6">
      <c r="A36" s="25" t="s">
        <v>1374</v>
      </c>
      <c r="B36" s="25" t="s">
        <v>206</v>
      </c>
      <c r="C36" s="25" t="s">
        <v>515</v>
      </c>
      <c r="D36" s="25" t="b">
        <v>1</v>
      </c>
      <c r="E36" s="25" t="s">
        <v>1375</v>
      </c>
      <c r="F36" s="25" t="s">
        <v>1376</v>
      </c>
    </row>
    <row r="37" spans="1:6">
      <c r="A37" s="25" t="s">
        <v>1377</v>
      </c>
      <c r="B37" s="25" t="s">
        <v>210</v>
      </c>
      <c r="C37" s="25" t="s">
        <v>211</v>
      </c>
      <c r="D37" s="25" t="b">
        <v>1</v>
      </c>
      <c r="E37" s="25" t="s">
        <v>1378</v>
      </c>
      <c r="F37" s="25" t="s">
        <v>1379</v>
      </c>
    </row>
    <row r="38" spans="1:6">
      <c r="A38" s="25" t="s">
        <v>1380</v>
      </c>
      <c r="B38" s="25" t="s">
        <v>210</v>
      </c>
      <c r="C38" s="25" t="s">
        <v>211</v>
      </c>
      <c r="D38" s="25" t="b">
        <v>1</v>
      </c>
      <c r="E38" s="25" t="s">
        <v>1381</v>
      </c>
      <c r="F38" s="25" t="s">
        <v>1382</v>
      </c>
    </row>
    <row r="39" spans="1:6">
      <c r="A39" s="25" t="s">
        <v>1383</v>
      </c>
      <c r="B39" s="25" t="s">
        <v>520</v>
      </c>
      <c r="C39" s="25" t="s">
        <v>215</v>
      </c>
      <c r="D39" s="25" t="b">
        <v>1</v>
      </c>
      <c r="E39" s="25" t="s">
        <v>1384</v>
      </c>
      <c r="F39" s="25" t="s">
        <v>1385</v>
      </c>
    </row>
    <row r="40" spans="1:6">
      <c r="A40" s="25" t="s">
        <v>1386</v>
      </c>
      <c r="B40" s="25" t="s">
        <v>215</v>
      </c>
      <c r="C40" s="25" t="s">
        <v>216</v>
      </c>
      <c r="D40" s="25" t="b">
        <v>1</v>
      </c>
      <c r="E40" s="25" t="s">
        <v>1387</v>
      </c>
      <c r="F40" s="25" t="s">
        <v>1388</v>
      </c>
    </row>
    <row r="41" spans="1:6">
      <c r="A41" s="25" t="s">
        <v>1389</v>
      </c>
      <c r="B41" s="25" t="s">
        <v>223</v>
      </c>
      <c r="C41" s="25" t="s">
        <v>224</v>
      </c>
      <c r="D41" s="25" t="b">
        <v>1</v>
      </c>
      <c r="E41" s="25" t="s">
        <v>1390</v>
      </c>
      <c r="F41" s="25" t="s">
        <v>1391</v>
      </c>
    </row>
    <row r="42" spans="1:6">
      <c r="A42" s="25" t="s">
        <v>1392</v>
      </c>
      <c r="B42" s="25" t="s">
        <v>223</v>
      </c>
      <c r="C42" s="25" t="s">
        <v>224</v>
      </c>
      <c r="D42" s="25" t="b">
        <v>1</v>
      </c>
      <c r="E42" s="25" t="s">
        <v>1393</v>
      </c>
      <c r="F42" s="25" t="s">
        <v>1394</v>
      </c>
    </row>
    <row r="43" spans="1:6">
      <c r="A43" s="25" t="s">
        <v>1395</v>
      </c>
      <c r="B43" s="25" t="s">
        <v>523</v>
      </c>
      <c r="C43" s="25" t="s">
        <v>524</v>
      </c>
      <c r="D43" s="25" t="b">
        <v>1</v>
      </c>
      <c r="E43" s="25" t="s">
        <v>1396</v>
      </c>
      <c r="F43" s="25" t="s">
        <v>1397</v>
      </c>
    </row>
    <row r="44" spans="1:6">
      <c r="A44" s="25" t="s">
        <v>1398</v>
      </c>
      <c r="B44" s="25" t="s">
        <v>523</v>
      </c>
      <c r="C44" s="25" t="s">
        <v>524</v>
      </c>
      <c r="D44" s="25" t="b">
        <v>1</v>
      </c>
      <c r="E44" s="25" t="s">
        <v>1399</v>
      </c>
      <c r="F44" s="25" t="s">
        <v>1400</v>
      </c>
    </row>
    <row r="45" spans="1:6">
      <c r="A45" s="25" t="s">
        <v>1401</v>
      </c>
      <c r="B45" s="25" t="s">
        <v>524</v>
      </c>
      <c r="C45" s="25" t="s">
        <v>228</v>
      </c>
      <c r="D45" s="25" t="b">
        <v>1</v>
      </c>
      <c r="E45" s="25" t="s">
        <v>1402</v>
      </c>
      <c r="F45" s="25" t="s">
        <v>1403</v>
      </c>
    </row>
    <row r="46" spans="1:6">
      <c r="A46" s="25" t="s">
        <v>1404</v>
      </c>
      <c r="B46" s="25" t="s">
        <v>524</v>
      </c>
      <c r="C46" s="25" t="s">
        <v>228</v>
      </c>
      <c r="D46" s="25" t="b">
        <v>1</v>
      </c>
      <c r="E46" s="25" t="s">
        <v>1405</v>
      </c>
      <c r="F46" s="25" t="s">
        <v>1406</v>
      </c>
    </row>
    <row r="47" spans="1:6">
      <c r="A47" s="25" t="s">
        <v>1407</v>
      </c>
      <c r="B47" s="25" t="s">
        <v>1040</v>
      </c>
      <c r="C47" s="25" t="s">
        <v>1041</v>
      </c>
      <c r="D47" s="25" t="b">
        <v>1</v>
      </c>
      <c r="E47" s="25" t="s">
        <v>1408</v>
      </c>
      <c r="F47" s="25" t="s">
        <v>1409</v>
      </c>
    </row>
    <row r="48" spans="1:6">
      <c r="A48" s="25" t="s">
        <v>1410</v>
      </c>
      <c r="B48" s="25" t="s">
        <v>528</v>
      </c>
      <c r="C48" s="25" t="s">
        <v>233</v>
      </c>
      <c r="D48" s="25" t="b">
        <v>1</v>
      </c>
      <c r="E48" s="25" t="s">
        <v>1411</v>
      </c>
      <c r="F48" s="25" t="s">
        <v>1412</v>
      </c>
    </row>
    <row r="49" spans="1:6">
      <c r="A49" s="25" t="s">
        <v>1413</v>
      </c>
      <c r="B49" s="25" t="s">
        <v>233</v>
      </c>
      <c r="C49" s="25" t="s">
        <v>234</v>
      </c>
      <c r="D49" s="25" t="b">
        <v>1</v>
      </c>
      <c r="E49" s="25" t="s">
        <v>1414</v>
      </c>
      <c r="F49" s="25" t="s">
        <v>1415</v>
      </c>
    </row>
    <row r="50" spans="1:6">
      <c r="A50" s="25" t="s">
        <v>1416</v>
      </c>
      <c r="B50" s="25" t="s">
        <v>1053</v>
      </c>
      <c r="C50" s="25" t="s">
        <v>1057</v>
      </c>
      <c r="D50" s="25" t="b">
        <v>1</v>
      </c>
      <c r="E50" s="25" t="s">
        <v>1417</v>
      </c>
      <c r="F50" s="25" t="s">
        <v>1418</v>
      </c>
    </row>
    <row r="51" spans="1:6">
      <c r="A51" s="25" t="s">
        <v>1419</v>
      </c>
      <c r="B51" s="25" t="s">
        <v>1053</v>
      </c>
      <c r="C51" s="25" t="s">
        <v>1057</v>
      </c>
      <c r="D51" s="25" t="b">
        <v>1</v>
      </c>
      <c r="E51" s="25" t="s">
        <v>1420</v>
      </c>
      <c r="F51" s="25" t="s">
        <v>1421</v>
      </c>
    </row>
    <row r="52" spans="1:6">
      <c r="A52" s="25" t="s">
        <v>1422</v>
      </c>
      <c r="B52" s="25" t="s">
        <v>1064</v>
      </c>
      <c r="C52" s="25" t="s">
        <v>1065</v>
      </c>
      <c r="D52" s="25" t="b">
        <v>1</v>
      </c>
      <c r="E52" s="25" t="s">
        <v>1423</v>
      </c>
      <c r="F52" s="25" t="s">
        <v>1424</v>
      </c>
    </row>
    <row r="53" spans="1:6">
      <c r="A53" s="25" t="s">
        <v>1425</v>
      </c>
      <c r="B53" s="25" t="s">
        <v>531</v>
      </c>
      <c r="C53" s="25" t="s">
        <v>532</v>
      </c>
      <c r="D53" s="25" t="b">
        <v>1</v>
      </c>
      <c r="E53" s="25" t="s">
        <v>1426</v>
      </c>
      <c r="F53" s="25" t="s">
        <v>1427</v>
      </c>
    </row>
    <row r="54" spans="1:6">
      <c r="A54" s="25" t="s">
        <v>1428</v>
      </c>
      <c r="B54" s="25" t="s">
        <v>532</v>
      </c>
      <c r="C54" s="25" t="s">
        <v>649</v>
      </c>
      <c r="D54" s="25" t="b">
        <v>1</v>
      </c>
      <c r="E54" s="25" t="s">
        <v>1429</v>
      </c>
      <c r="F54" s="25" t="s">
        <v>1430</v>
      </c>
    </row>
    <row r="55" spans="1:6">
      <c r="A55" s="25" t="s">
        <v>1431</v>
      </c>
      <c r="B55" s="25" t="s">
        <v>1432</v>
      </c>
      <c r="C55" s="25" t="s">
        <v>1075</v>
      </c>
      <c r="D55" s="25" t="b">
        <v>1</v>
      </c>
      <c r="E55" s="25" t="s">
        <v>1433</v>
      </c>
      <c r="F55" s="25" t="s">
        <v>1434</v>
      </c>
    </row>
    <row r="56" spans="1:6">
      <c r="A56" s="25" t="s">
        <v>1435</v>
      </c>
      <c r="B56" s="25" t="s">
        <v>535</v>
      </c>
      <c r="C56" s="25" t="s">
        <v>264</v>
      </c>
      <c r="D56" s="25" t="b">
        <v>1</v>
      </c>
      <c r="E56" s="25" t="s">
        <v>1436</v>
      </c>
      <c r="F56" s="25" t="s">
        <v>1437</v>
      </c>
    </row>
    <row r="57" spans="1:6">
      <c r="A57" s="25" t="s">
        <v>1438</v>
      </c>
      <c r="B57" s="25" t="s">
        <v>264</v>
      </c>
      <c r="C57" s="25" t="s">
        <v>265</v>
      </c>
      <c r="D57" s="25" t="b">
        <v>1</v>
      </c>
      <c r="E57" s="25" t="s">
        <v>1439</v>
      </c>
      <c r="F57" s="25" t="s">
        <v>1440</v>
      </c>
    </row>
    <row r="58" spans="1:6">
      <c r="A58" s="25" t="s">
        <v>1441</v>
      </c>
      <c r="B58" s="25" t="s">
        <v>272</v>
      </c>
      <c r="C58" s="25" t="s">
        <v>273</v>
      </c>
      <c r="D58" s="25" t="b">
        <v>1</v>
      </c>
      <c r="E58" s="25" t="s">
        <v>1442</v>
      </c>
      <c r="F58" s="25" t="s">
        <v>1443</v>
      </c>
    </row>
    <row r="59" spans="1:6">
      <c r="A59" s="25" t="s">
        <v>1242</v>
      </c>
      <c r="B59" s="25" t="s">
        <v>273</v>
      </c>
      <c r="C59" s="25" t="s">
        <v>1085</v>
      </c>
      <c r="D59" s="25" t="b">
        <v>1</v>
      </c>
      <c r="E59" s="25" t="s">
        <v>1444</v>
      </c>
      <c r="F59" s="25" t="s">
        <v>1445</v>
      </c>
    </row>
    <row r="60" spans="1:6">
      <c r="A60" s="25" t="s">
        <v>1446</v>
      </c>
      <c r="B60" s="25" t="s">
        <v>1085</v>
      </c>
      <c r="C60" s="25" t="s">
        <v>803</v>
      </c>
      <c r="D60" s="25" t="b">
        <v>1</v>
      </c>
      <c r="E60" s="25" t="s">
        <v>1447</v>
      </c>
      <c r="F60" s="25" t="s">
        <v>1448</v>
      </c>
    </row>
    <row r="61" spans="1:6">
      <c r="A61" s="25" t="s">
        <v>1449</v>
      </c>
      <c r="B61" s="25" t="s">
        <v>803</v>
      </c>
      <c r="C61" s="25" t="s">
        <v>656</v>
      </c>
      <c r="D61" s="25" t="b">
        <v>1</v>
      </c>
      <c r="E61" s="25" t="s">
        <v>1450</v>
      </c>
      <c r="F61" s="25" t="s">
        <v>1451</v>
      </c>
    </row>
    <row r="62" spans="1:6">
      <c r="A62" s="25" t="s">
        <v>1249</v>
      </c>
      <c r="B62" s="25" t="s">
        <v>656</v>
      </c>
      <c r="C62" s="25" t="s">
        <v>277</v>
      </c>
      <c r="D62" s="25" t="b">
        <v>1</v>
      </c>
      <c r="E62" s="25" t="s">
        <v>1452</v>
      </c>
      <c r="F62" s="25" t="s">
        <v>1453</v>
      </c>
    </row>
    <row r="63" spans="1:6">
      <c r="A63" s="25" t="s">
        <v>1454</v>
      </c>
      <c r="B63" s="25" t="s">
        <v>1097</v>
      </c>
      <c r="C63" s="25" t="s">
        <v>1098</v>
      </c>
      <c r="D63" s="25" t="b">
        <v>1</v>
      </c>
      <c r="E63" s="25" t="s">
        <v>1455</v>
      </c>
      <c r="F63" s="25" t="s">
        <v>1456</v>
      </c>
    </row>
    <row r="64" spans="1:6">
      <c r="A64" s="25" t="s">
        <v>1457</v>
      </c>
      <c r="B64" s="25" t="s">
        <v>1098</v>
      </c>
      <c r="C64" s="25" t="s">
        <v>539</v>
      </c>
      <c r="D64" s="25" t="b">
        <v>1</v>
      </c>
      <c r="E64" s="25" t="s">
        <v>1458</v>
      </c>
      <c r="F64" s="25" t="s">
        <v>1459</v>
      </c>
    </row>
    <row r="65" spans="1:6">
      <c r="A65" s="25" t="s">
        <v>1460</v>
      </c>
      <c r="B65" s="25" t="s">
        <v>539</v>
      </c>
      <c r="C65" s="25" t="s">
        <v>540</v>
      </c>
      <c r="D65" s="25" t="b">
        <v>1</v>
      </c>
      <c r="E65" s="25" t="s">
        <v>1461</v>
      </c>
      <c r="F65" s="25" t="s">
        <v>1462</v>
      </c>
    </row>
    <row r="66" spans="1:6">
      <c r="A66" s="25" t="s">
        <v>1463</v>
      </c>
      <c r="B66" s="25" t="s">
        <v>540</v>
      </c>
      <c r="C66" s="25" t="s">
        <v>659</v>
      </c>
      <c r="D66" s="25" t="b">
        <v>1</v>
      </c>
      <c r="E66" s="25" t="s">
        <v>1464</v>
      </c>
      <c r="F66" s="25" t="s">
        <v>1465</v>
      </c>
    </row>
    <row r="67" spans="1:6">
      <c r="A67" s="25" t="s">
        <v>1466</v>
      </c>
      <c r="B67" s="25" t="s">
        <v>540</v>
      </c>
      <c r="C67" s="25" t="s">
        <v>659</v>
      </c>
      <c r="D67" s="25" t="b">
        <v>1</v>
      </c>
      <c r="E67" s="25" t="s">
        <v>1467</v>
      </c>
      <c r="F67" s="25" t="s">
        <v>1468</v>
      </c>
    </row>
    <row r="68" spans="1:6">
      <c r="A68" s="25" t="s">
        <v>1366</v>
      </c>
      <c r="B68" s="25" t="s">
        <v>1105</v>
      </c>
      <c r="C68" s="25" t="s">
        <v>812</v>
      </c>
      <c r="D68" s="25" t="b">
        <v>1</v>
      </c>
      <c r="E68" s="25" t="s">
        <v>1469</v>
      </c>
      <c r="F68" s="25" t="s">
        <v>1470</v>
      </c>
    </row>
    <row r="69" spans="1:6">
      <c r="A69" s="25" t="s">
        <v>1278</v>
      </c>
      <c r="B69" s="25" t="s">
        <v>1105</v>
      </c>
      <c r="C69" s="25" t="s">
        <v>812</v>
      </c>
      <c r="D69" s="25" t="b">
        <v>1</v>
      </c>
      <c r="E69" s="25" t="s">
        <v>1471</v>
      </c>
      <c r="F69" s="25" t="s">
        <v>1472</v>
      </c>
    </row>
    <row r="70" spans="1:6">
      <c r="A70" s="25" t="s">
        <v>1371</v>
      </c>
      <c r="B70" s="25" t="s">
        <v>543</v>
      </c>
      <c r="C70" s="25" t="s">
        <v>544</v>
      </c>
      <c r="D70" s="25" t="b">
        <v>1</v>
      </c>
      <c r="E70" s="25" t="s">
        <v>1473</v>
      </c>
      <c r="F70" s="25" t="s">
        <v>1474</v>
      </c>
    </row>
    <row r="71" spans="1:6">
      <c r="A71" s="25" t="s">
        <v>1475</v>
      </c>
      <c r="B71" s="25" t="s">
        <v>544</v>
      </c>
      <c r="C71" s="25" t="s">
        <v>663</v>
      </c>
      <c r="D71" s="25" t="b">
        <v>1</v>
      </c>
      <c r="E71" s="25" t="s">
        <v>1476</v>
      </c>
      <c r="F71" s="25" t="s">
        <v>1477</v>
      </c>
    </row>
    <row r="72" spans="1:6">
      <c r="A72" s="25" t="s">
        <v>1386</v>
      </c>
      <c r="B72" s="25" t="s">
        <v>544</v>
      </c>
      <c r="C72" s="25" t="s">
        <v>663</v>
      </c>
      <c r="D72" s="25" t="b">
        <v>1</v>
      </c>
      <c r="E72" s="25" t="s">
        <v>1478</v>
      </c>
      <c r="F72" s="25" t="s">
        <v>1479</v>
      </c>
    </row>
    <row r="73" spans="1:6">
      <c r="A73" s="25" t="s">
        <v>1480</v>
      </c>
      <c r="B73" s="25" t="s">
        <v>292</v>
      </c>
      <c r="C73" s="25" t="s">
        <v>296</v>
      </c>
      <c r="D73" s="25" t="b">
        <v>1</v>
      </c>
      <c r="E73" s="25" t="s">
        <v>1481</v>
      </c>
      <c r="F73" s="25" t="s">
        <v>1482</v>
      </c>
    </row>
    <row r="74" spans="1:6">
      <c r="A74" s="25" t="s">
        <v>1480</v>
      </c>
      <c r="B74" s="25" t="s">
        <v>296</v>
      </c>
      <c r="C74" s="25" t="s">
        <v>300</v>
      </c>
      <c r="D74" s="25" t="b">
        <v>1</v>
      </c>
      <c r="E74" s="25" t="s">
        <v>1483</v>
      </c>
      <c r="F74" s="25" t="s">
        <v>1484</v>
      </c>
    </row>
    <row r="75" spans="1:6">
      <c r="A75" s="25" t="s">
        <v>1480</v>
      </c>
      <c r="B75" s="25" t="s">
        <v>300</v>
      </c>
      <c r="C75" s="25" t="s">
        <v>303</v>
      </c>
      <c r="D75" s="25" t="b">
        <v>1</v>
      </c>
      <c r="E75" s="25" t="s">
        <v>1485</v>
      </c>
      <c r="F75" s="25" t="s">
        <v>1486</v>
      </c>
    </row>
    <row r="76" spans="1:6">
      <c r="A76" s="25" t="s">
        <v>1480</v>
      </c>
      <c r="B76" s="25" t="s">
        <v>303</v>
      </c>
      <c r="C76" s="25" t="s">
        <v>306</v>
      </c>
      <c r="D76" s="25" t="b">
        <v>1</v>
      </c>
      <c r="E76" s="25" t="s">
        <v>1487</v>
      </c>
      <c r="F76" s="25" t="s">
        <v>1488</v>
      </c>
    </row>
    <row r="77" spans="1:6">
      <c r="A77" s="25" t="s">
        <v>1489</v>
      </c>
      <c r="B77" s="25" t="s">
        <v>820</v>
      </c>
      <c r="C77" s="25" t="s">
        <v>821</v>
      </c>
      <c r="D77" s="25" t="b">
        <v>1</v>
      </c>
      <c r="E77" s="25" t="s">
        <v>1490</v>
      </c>
      <c r="F77" s="25" t="s">
        <v>1491</v>
      </c>
    </row>
    <row r="78" spans="1:6">
      <c r="A78" s="25" t="s">
        <v>1492</v>
      </c>
      <c r="B78" s="25" t="s">
        <v>820</v>
      </c>
      <c r="C78" s="25" t="s">
        <v>821</v>
      </c>
      <c r="D78" s="25" t="b">
        <v>1</v>
      </c>
      <c r="E78" s="25" t="s">
        <v>1493</v>
      </c>
      <c r="F78" s="25" t="s">
        <v>1494</v>
      </c>
    </row>
    <row r="79" spans="1:6">
      <c r="A79" s="25" t="s">
        <v>1495</v>
      </c>
      <c r="B79" s="25" t="s">
        <v>310</v>
      </c>
      <c r="C79" s="25" t="s">
        <v>311</v>
      </c>
      <c r="D79" s="25" t="b">
        <v>1</v>
      </c>
      <c r="E79" s="25" t="s">
        <v>1496</v>
      </c>
      <c r="F79" s="25" t="s">
        <v>1497</v>
      </c>
    </row>
    <row r="80" spans="1:6">
      <c r="A80" s="25" t="s">
        <v>1377</v>
      </c>
      <c r="B80" s="25" t="s">
        <v>310</v>
      </c>
      <c r="C80" s="25" t="s">
        <v>311</v>
      </c>
      <c r="D80" s="25" t="b">
        <v>1</v>
      </c>
      <c r="E80" s="25" t="s">
        <v>1498</v>
      </c>
      <c r="F80" s="25" t="s">
        <v>1499</v>
      </c>
    </row>
    <row r="81" spans="1:6">
      <c r="A81" s="25" t="s">
        <v>1404</v>
      </c>
      <c r="B81" s="25" t="s">
        <v>311</v>
      </c>
      <c r="C81" s="25" t="s">
        <v>315</v>
      </c>
      <c r="D81" s="25" t="b">
        <v>1</v>
      </c>
      <c r="E81" s="25" t="s">
        <v>1500</v>
      </c>
      <c r="F81" s="25" t="s">
        <v>1501</v>
      </c>
    </row>
    <row r="82" spans="1:6">
      <c r="A82" s="25" t="s">
        <v>1502</v>
      </c>
      <c r="B82" s="25" t="s">
        <v>319</v>
      </c>
      <c r="C82" s="25" t="s">
        <v>320</v>
      </c>
      <c r="D82" s="25" t="b">
        <v>1</v>
      </c>
      <c r="E82" s="25" t="s">
        <v>1503</v>
      </c>
      <c r="F82" s="25" t="s">
        <v>1504</v>
      </c>
    </row>
    <row r="83" spans="1:6">
      <c r="A83" s="25" t="s">
        <v>1329</v>
      </c>
      <c r="B83" s="25" t="s">
        <v>324</v>
      </c>
      <c r="C83" s="25" t="s">
        <v>328</v>
      </c>
      <c r="D83" s="25" t="b">
        <v>1</v>
      </c>
      <c r="E83" s="25" t="s">
        <v>1505</v>
      </c>
      <c r="F83" s="25" t="s">
        <v>1506</v>
      </c>
    </row>
    <row r="84" spans="1:6">
      <c r="A84" s="25" t="s">
        <v>1507</v>
      </c>
      <c r="B84" s="25" t="s">
        <v>1508</v>
      </c>
      <c r="C84" s="25" t="s">
        <v>335</v>
      </c>
      <c r="D84" s="25" t="b">
        <v>1</v>
      </c>
      <c r="E84" s="25" t="s">
        <v>1509</v>
      </c>
      <c r="F84" s="25" t="s">
        <v>1510</v>
      </c>
    </row>
    <row r="85" spans="1:6">
      <c r="A85" s="25" t="s">
        <v>1511</v>
      </c>
      <c r="B85" s="25" t="s">
        <v>1508</v>
      </c>
      <c r="C85" s="25" t="s">
        <v>335</v>
      </c>
      <c r="D85" s="25" t="b">
        <v>1</v>
      </c>
      <c r="E85" s="25" t="s">
        <v>1512</v>
      </c>
      <c r="F85" s="25" t="s">
        <v>1513</v>
      </c>
    </row>
    <row r="86" spans="1:6">
      <c r="A86" s="25" t="s">
        <v>1514</v>
      </c>
      <c r="B86" s="25" t="s">
        <v>336</v>
      </c>
      <c r="C86" s="25" t="s">
        <v>340</v>
      </c>
      <c r="D86" s="25" t="b">
        <v>1</v>
      </c>
      <c r="E86" s="25" t="s">
        <v>1515</v>
      </c>
      <c r="F86" s="25" t="s">
        <v>1516</v>
      </c>
    </row>
    <row r="87" spans="1:6">
      <c r="A87" s="25" t="s">
        <v>1517</v>
      </c>
      <c r="B87" s="25" t="s">
        <v>336</v>
      </c>
      <c r="C87" s="25" t="s">
        <v>340</v>
      </c>
      <c r="D87" s="25" t="b">
        <v>1</v>
      </c>
      <c r="E87" s="25" t="s">
        <v>1518</v>
      </c>
      <c r="F87" s="25" t="s">
        <v>1519</v>
      </c>
    </row>
    <row r="88" spans="1:6">
      <c r="A88" s="25" t="s">
        <v>1438</v>
      </c>
      <c r="B88" s="25" t="s">
        <v>340</v>
      </c>
      <c r="C88" s="25" t="s">
        <v>341</v>
      </c>
      <c r="D88" s="25" t="b">
        <v>1</v>
      </c>
      <c r="E88" s="25" t="s">
        <v>1520</v>
      </c>
      <c r="F88" s="25" t="s">
        <v>1521</v>
      </c>
    </row>
    <row r="89" spans="1:6">
      <c r="A89" s="25" t="s">
        <v>1522</v>
      </c>
      <c r="B89" s="25" t="s">
        <v>349</v>
      </c>
      <c r="C89" s="25" t="s">
        <v>350</v>
      </c>
      <c r="D89" s="25" t="b">
        <v>1</v>
      </c>
      <c r="E89" s="25" t="s">
        <v>1523</v>
      </c>
      <c r="F89" s="25" t="s">
        <v>1524</v>
      </c>
    </row>
    <row r="90" spans="1:6">
      <c r="A90" s="25" t="s">
        <v>1525</v>
      </c>
      <c r="B90" s="25" t="s">
        <v>349</v>
      </c>
      <c r="C90" s="25" t="s">
        <v>350</v>
      </c>
      <c r="D90" s="25" t="b">
        <v>1</v>
      </c>
      <c r="E90" s="25" t="s">
        <v>1526</v>
      </c>
      <c r="F90" s="25" t="s">
        <v>1527</v>
      </c>
    </row>
    <row r="91" spans="1:6">
      <c r="A91" s="25" t="s">
        <v>1349</v>
      </c>
      <c r="B91" s="25" t="s">
        <v>563</v>
      </c>
      <c r="C91" s="25" t="s">
        <v>353</v>
      </c>
      <c r="D91" s="25" t="b">
        <v>1</v>
      </c>
      <c r="E91" s="25" t="s">
        <v>1528</v>
      </c>
      <c r="F91" s="25" t="s">
        <v>1529</v>
      </c>
    </row>
    <row r="92" spans="1:6">
      <c r="A92" s="25" t="s">
        <v>1352</v>
      </c>
      <c r="B92" s="25" t="s">
        <v>353</v>
      </c>
      <c r="C92" s="25" t="s">
        <v>354</v>
      </c>
      <c r="D92" s="25" t="b">
        <v>1</v>
      </c>
      <c r="E92" s="25" t="s">
        <v>1530</v>
      </c>
      <c r="F92" s="25" t="s">
        <v>1531</v>
      </c>
    </row>
    <row r="93" spans="1:6">
      <c r="A93" s="25" t="s">
        <v>1284</v>
      </c>
      <c r="B93" s="25" t="s">
        <v>1143</v>
      </c>
      <c r="C93" s="25" t="s">
        <v>357</v>
      </c>
      <c r="D93" s="25" t="b">
        <v>1</v>
      </c>
      <c r="E93" s="25" t="s">
        <v>1532</v>
      </c>
      <c r="F93" s="25" t="s">
        <v>1533</v>
      </c>
    </row>
    <row r="94" spans="1:6">
      <c r="A94" s="25" t="s">
        <v>1386</v>
      </c>
      <c r="B94" s="25" t="s">
        <v>1143</v>
      </c>
      <c r="C94" s="25" t="s">
        <v>357</v>
      </c>
      <c r="D94" s="25" t="b">
        <v>1</v>
      </c>
      <c r="E94" s="25" t="s">
        <v>1534</v>
      </c>
      <c r="F94" s="25" t="s">
        <v>1535</v>
      </c>
    </row>
    <row r="95" spans="1:6">
      <c r="A95" s="25" t="s">
        <v>1335</v>
      </c>
      <c r="B95" s="25" t="s">
        <v>358</v>
      </c>
      <c r="C95" s="25" t="s">
        <v>566</v>
      </c>
      <c r="D95" s="25" t="b">
        <v>1</v>
      </c>
      <c r="E95" s="25" t="s">
        <v>1536</v>
      </c>
      <c r="F95" s="25" t="s">
        <v>1537</v>
      </c>
    </row>
    <row r="96" spans="1:6">
      <c r="A96" s="25" t="s">
        <v>1538</v>
      </c>
      <c r="B96" s="25" t="s">
        <v>566</v>
      </c>
      <c r="C96" s="25" t="s">
        <v>362</v>
      </c>
      <c r="D96" s="25" t="b">
        <v>1</v>
      </c>
      <c r="E96" s="25" t="s">
        <v>1539</v>
      </c>
      <c r="F96" s="25" t="s">
        <v>1540</v>
      </c>
    </row>
    <row r="97" spans="1:6">
      <c r="A97" s="25" t="s">
        <v>1541</v>
      </c>
      <c r="B97" s="25" t="s">
        <v>569</v>
      </c>
      <c r="C97" s="25" t="s">
        <v>570</v>
      </c>
      <c r="D97" s="25" t="b">
        <v>1</v>
      </c>
      <c r="E97" s="25" t="s">
        <v>1542</v>
      </c>
      <c r="F97" s="25" t="s">
        <v>1543</v>
      </c>
    </row>
    <row r="98" spans="1:6">
      <c r="A98" s="25" t="s">
        <v>1544</v>
      </c>
      <c r="B98" s="25" t="s">
        <v>569</v>
      </c>
      <c r="C98" s="25" t="s">
        <v>570</v>
      </c>
      <c r="D98" s="25" t="b">
        <v>1</v>
      </c>
      <c r="E98" s="25" t="s">
        <v>1545</v>
      </c>
      <c r="F98" s="25" t="s">
        <v>1546</v>
      </c>
    </row>
    <row r="99" spans="1:6">
      <c r="A99" s="25" t="s">
        <v>1547</v>
      </c>
      <c r="B99" s="25" t="s">
        <v>570</v>
      </c>
      <c r="C99" s="25" t="s">
        <v>688</v>
      </c>
      <c r="D99" s="25" t="b">
        <v>1</v>
      </c>
      <c r="E99" s="25" t="s">
        <v>1548</v>
      </c>
      <c r="F99" s="25" t="s">
        <v>1549</v>
      </c>
    </row>
    <row r="100" spans="1:6">
      <c r="A100" s="25" t="s">
        <v>1374</v>
      </c>
      <c r="B100" s="25" t="s">
        <v>570</v>
      </c>
      <c r="C100" s="25" t="s">
        <v>688</v>
      </c>
      <c r="D100" s="25" t="b">
        <v>1</v>
      </c>
      <c r="E100" s="25" t="s">
        <v>1550</v>
      </c>
      <c r="F100" s="25" t="s">
        <v>1551</v>
      </c>
    </row>
    <row r="101" spans="1:6">
      <c r="A101" s="25" t="s">
        <v>1547</v>
      </c>
      <c r="B101" s="25" t="s">
        <v>688</v>
      </c>
      <c r="C101" s="25" t="s">
        <v>689</v>
      </c>
      <c r="D101" s="25" t="b">
        <v>1</v>
      </c>
      <c r="E101" s="25" t="s">
        <v>1552</v>
      </c>
      <c r="F101" s="25" t="s">
        <v>1553</v>
      </c>
    </row>
    <row r="102" spans="1:6">
      <c r="A102" s="25" t="s">
        <v>1547</v>
      </c>
      <c r="B102" s="25" t="s">
        <v>376</v>
      </c>
      <c r="C102" s="25" t="s">
        <v>377</v>
      </c>
      <c r="D102" s="25" t="b">
        <v>1</v>
      </c>
      <c r="E102" s="25" t="s">
        <v>1554</v>
      </c>
      <c r="F102" s="25" t="s">
        <v>1555</v>
      </c>
    </row>
    <row r="103" spans="1:6">
      <c r="A103" s="25" t="s">
        <v>1547</v>
      </c>
      <c r="B103" s="25" t="s">
        <v>377</v>
      </c>
      <c r="C103" s="25" t="s">
        <v>381</v>
      </c>
      <c r="D103" s="25" t="b">
        <v>1</v>
      </c>
      <c r="E103" s="25" t="s">
        <v>1556</v>
      </c>
      <c r="F103" s="25" t="s">
        <v>1557</v>
      </c>
    </row>
    <row r="104" spans="1:6">
      <c r="A104" s="25" t="s">
        <v>1547</v>
      </c>
      <c r="B104" s="25" t="s">
        <v>381</v>
      </c>
      <c r="C104" s="25" t="s">
        <v>384</v>
      </c>
      <c r="D104" s="25" t="b">
        <v>1</v>
      </c>
      <c r="E104" s="25" t="s">
        <v>1558</v>
      </c>
      <c r="F104" s="25" t="s">
        <v>1559</v>
      </c>
    </row>
    <row r="105" spans="1:6">
      <c r="A105" s="25" t="s">
        <v>1547</v>
      </c>
      <c r="B105" s="25" t="s">
        <v>384</v>
      </c>
      <c r="C105" s="25" t="s">
        <v>387</v>
      </c>
      <c r="D105" s="25" t="b">
        <v>1</v>
      </c>
      <c r="E105" s="25" t="s">
        <v>1560</v>
      </c>
      <c r="F105" s="25" t="s">
        <v>1561</v>
      </c>
    </row>
    <row r="106" spans="1:6">
      <c r="A106" s="25" t="s">
        <v>1547</v>
      </c>
      <c r="B106" s="25" t="s">
        <v>387</v>
      </c>
      <c r="C106" s="25" t="s">
        <v>692</v>
      </c>
      <c r="D106" s="25" t="b">
        <v>1</v>
      </c>
      <c r="E106" s="25" t="s">
        <v>1562</v>
      </c>
      <c r="F106" s="25" t="s">
        <v>1563</v>
      </c>
    </row>
    <row r="107" spans="1:6">
      <c r="A107" s="25" t="s">
        <v>1363</v>
      </c>
      <c r="B107" s="25" t="s">
        <v>1163</v>
      </c>
      <c r="C107" s="25" t="s">
        <v>1164</v>
      </c>
      <c r="D107" s="25" t="b">
        <v>1</v>
      </c>
      <c r="E107" s="25" t="s">
        <v>1564</v>
      </c>
      <c r="F107" s="25" t="s">
        <v>1565</v>
      </c>
    </row>
    <row r="108" spans="1:6">
      <c r="A108" s="25" t="s">
        <v>1281</v>
      </c>
      <c r="B108" s="25" t="s">
        <v>573</v>
      </c>
      <c r="C108" s="25" t="s">
        <v>396</v>
      </c>
      <c r="D108" s="25" t="b">
        <v>1</v>
      </c>
      <c r="E108" s="25" t="s">
        <v>1566</v>
      </c>
      <c r="F108" s="25" t="s">
        <v>1567</v>
      </c>
    </row>
    <row r="109" spans="1:6">
      <c r="A109" s="25" t="s">
        <v>1568</v>
      </c>
      <c r="B109" s="25" t="s">
        <v>405</v>
      </c>
      <c r="C109" s="25" t="s">
        <v>409</v>
      </c>
      <c r="D109" s="25" t="b">
        <v>1</v>
      </c>
      <c r="E109" s="25" t="s">
        <v>1569</v>
      </c>
      <c r="F109" s="25" t="s">
        <v>1570</v>
      </c>
    </row>
    <row r="110" spans="1:6">
      <c r="A110" s="25" t="s">
        <v>1571</v>
      </c>
      <c r="B110" s="25" t="s">
        <v>1176</v>
      </c>
      <c r="C110" s="25" t="s">
        <v>697</v>
      </c>
      <c r="D110" s="25" t="b">
        <v>1</v>
      </c>
      <c r="E110" s="25" t="s">
        <v>1572</v>
      </c>
      <c r="F110" s="25" t="s">
        <v>1573</v>
      </c>
    </row>
    <row r="111" spans="1:6">
      <c r="A111" s="25" t="s">
        <v>1371</v>
      </c>
      <c r="B111" s="25" t="s">
        <v>576</v>
      </c>
      <c r="C111" s="25" t="s">
        <v>414</v>
      </c>
      <c r="D111" s="25" t="b">
        <v>1</v>
      </c>
      <c r="E111" s="25" t="s">
        <v>1574</v>
      </c>
      <c r="F111" s="25" t="s">
        <v>1575</v>
      </c>
    </row>
    <row r="112" spans="1:6">
      <c r="A112" s="25" t="s">
        <v>1576</v>
      </c>
      <c r="B112" s="25" t="s">
        <v>859</v>
      </c>
      <c r="C112" s="25" t="s">
        <v>860</v>
      </c>
      <c r="D112" s="25" t="b">
        <v>1</v>
      </c>
      <c r="E112" s="25" t="s">
        <v>1577</v>
      </c>
      <c r="F112" s="25" t="s">
        <v>1578</v>
      </c>
    </row>
    <row r="113" spans="1:6">
      <c r="A113" s="25" t="s">
        <v>1475</v>
      </c>
      <c r="B113" s="25" t="s">
        <v>863</v>
      </c>
      <c r="C113" s="25" t="s">
        <v>700</v>
      </c>
      <c r="D113" s="25" t="b">
        <v>1</v>
      </c>
      <c r="E113" s="25" t="s">
        <v>1579</v>
      </c>
      <c r="F113" s="25" t="s">
        <v>1580</v>
      </c>
    </row>
    <row r="114" spans="1:6">
      <c r="A114" s="25" t="s">
        <v>1349</v>
      </c>
      <c r="B114" s="25" t="s">
        <v>428</v>
      </c>
      <c r="C114" s="25" t="s">
        <v>579</v>
      </c>
      <c r="D114" s="25" t="b">
        <v>1</v>
      </c>
      <c r="E114" s="25" t="s">
        <v>1581</v>
      </c>
      <c r="F114" s="25" t="s">
        <v>1582</v>
      </c>
    </row>
    <row r="115" spans="1:6">
      <c r="A115" s="25" t="s">
        <v>1583</v>
      </c>
      <c r="B115" s="25" t="s">
        <v>579</v>
      </c>
      <c r="C115" s="25" t="s">
        <v>704</v>
      </c>
      <c r="D115" s="25" t="b">
        <v>1</v>
      </c>
      <c r="E115" s="25" t="s">
        <v>1584</v>
      </c>
      <c r="F115" s="25" t="s">
        <v>1585</v>
      </c>
    </row>
    <row r="116" spans="1:6">
      <c r="A116" s="25" t="s">
        <v>1404</v>
      </c>
      <c r="B116" s="25" t="s">
        <v>869</v>
      </c>
      <c r="C116" s="25" t="s">
        <v>870</v>
      </c>
      <c r="D116" s="25" t="b">
        <v>1</v>
      </c>
      <c r="E116" s="25" t="s">
        <v>1586</v>
      </c>
      <c r="F116" s="25" t="s">
        <v>1587</v>
      </c>
    </row>
    <row r="117" spans="1:6">
      <c r="A117" s="25" t="s">
        <v>1588</v>
      </c>
      <c r="B117" s="25" t="s">
        <v>873</v>
      </c>
      <c r="C117" s="25" t="s">
        <v>876</v>
      </c>
      <c r="D117" s="25" t="b">
        <v>1</v>
      </c>
      <c r="E117" s="25" t="s">
        <v>1589</v>
      </c>
      <c r="F117" s="25" t="s">
        <v>1590</v>
      </c>
    </row>
    <row r="118" spans="1:6">
      <c r="A118" s="25" t="s">
        <v>1591</v>
      </c>
      <c r="B118" s="25" t="s">
        <v>433</v>
      </c>
      <c r="C118" s="25" t="s">
        <v>1592</v>
      </c>
      <c r="D118" s="25" t="b">
        <v>1</v>
      </c>
      <c r="E118" s="25" t="s">
        <v>1593</v>
      </c>
      <c r="F118" s="25" t="s">
        <v>1594</v>
      </c>
    </row>
    <row r="119" spans="1:6">
      <c r="A119" s="25" t="s">
        <v>1374</v>
      </c>
      <c r="B119" s="25" t="s">
        <v>1209</v>
      </c>
      <c r="C119" s="25" t="s">
        <v>437</v>
      </c>
      <c r="D119" s="25" t="b">
        <v>1</v>
      </c>
      <c r="E119" s="25" t="s">
        <v>1595</v>
      </c>
      <c r="F119" s="25" t="s">
        <v>1596</v>
      </c>
    </row>
    <row r="120" spans="1:6">
      <c r="A120" s="25" t="s">
        <v>1597</v>
      </c>
      <c r="B120" s="25" t="s">
        <v>438</v>
      </c>
      <c r="C120" s="25" t="s">
        <v>709</v>
      </c>
      <c r="D120" s="25" t="b">
        <v>1</v>
      </c>
      <c r="E120" s="25" t="s">
        <v>1598</v>
      </c>
      <c r="F120" s="25" t="s">
        <v>1599</v>
      </c>
    </row>
    <row r="121" spans="1:6">
      <c r="A121" s="25" t="s">
        <v>1438</v>
      </c>
      <c r="B121" s="25" t="s">
        <v>1224</v>
      </c>
      <c r="C121" s="25" t="s">
        <v>717</v>
      </c>
      <c r="D121" s="25" t="b">
        <v>1</v>
      </c>
      <c r="E121" s="25" t="s">
        <v>1600</v>
      </c>
      <c r="F121" s="25" t="s">
        <v>1601</v>
      </c>
    </row>
    <row r="122" spans="1:6">
      <c r="A122" s="25" t="s">
        <v>1602</v>
      </c>
      <c r="B122" s="25" t="s">
        <v>1230</v>
      </c>
      <c r="C122" s="25" t="s">
        <v>1231</v>
      </c>
      <c r="D122" s="25" t="b">
        <v>1</v>
      </c>
      <c r="E122" s="25" t="s">
        <v>1603</v>
      </c>
      <c r="F122" s="25" t="s">
        <v>1604</v>
      </c>
    </row>
    <row r="123" spans="1:6">
      <c r="A123" s="25" t="s">
        <v>1605</v>
      </c>
      <c r="B123" s="25" t="s">
        <v>882</v>
      </c>
      <c r="C123" s="25" t="s">
        <v>883</v>
      </c>
      <c r="D123" s="25" t="b">
        <v>1</v>
      </c>
      <c r="E123" s="25" t="s">
        <v>1606</v>
      </c>
      <c r="F123" s="25" t="s">
        <v>1607</v>
      </c>
    </row>
    <row r="124" spans="1:6">
      <c r="A124" s="25" t="s">
        <v>1608</v>
      </c>
      <c r="B124" s="25" t="s">
        <v>883</v>
      </c>
      <c r="C124" s="25" t="s">
        <v>1243</v>
      </c>
      <c r="D124" s="25" t="b">
        <v>1</v>
      </c>
      <c r="E124" s="25" t="s">
        <v>1609</v>
      </c>
      <c r="F124" s="25" t="s">
        <v>1610</v>
      </c>
    </row>
    <row r="125" spans="1:6">
      <c r="A125" s="25" t="s">
        <v>1611</v>
      </c>
      <c r="B125" s="25" t="s">
        <v>442</v>
      </c>
      <c r="C125" s="25" t="s">
        <v>443</v>
      </c>
      <c r="D125" s="25" t="b">
        <v>1</v>
      </c>
      <c r="E125" s="25" t="s">
        <v>1612</v>
      </c>
      <c r="F125" s="25" t="s">
        <v>1613</v>
      </c>
    </row>
    <row r="126" spans="1:6">
      <c r="A126" s="25" t="s">
        <v>1614</v>
      </c>
      <c r="B126" s="25" t="s">
        <v>443</v>
      </c>
      <c r="C126" s="25" t="s">
        <v>584</v>
      </c>
      <c r="D126" s="25" t="b">
        <v>1</v>
      </c>
      <c r="E126" s="25" t="s">
        <v>1615</v>
      </c>
      <c r="F126" s="25" t="s">
        <v>1616</v>
      </c>
    </row>
    <row r="127" spans="1:6">
      <c r="A127" s="25" t="s">
        <v>1617</v>
      </c>
      <c r="B127" s="25" t="s">
        <v>584</v>
      </c>
      <c r="C127" s="25" t="s">
        <v>587</v>
      </c>
      <c r="D127" s="25" t="b">
        <v>1</v>
      </c>
      <c r="E127" s="25" t="s">
        <v>1618</v>
      </c>
      <c r="F127" s="25" t="s">
        <v>1619</v>
      </c>
    </row>
    <row r="128" spans="1:6">
      <c r="A128" s="25" t="s">
        <v>1620</v>
      </c>
      <c r="B128" s="25" t="s">
        <v>587</v>
      </c>
      <c r="C128" s="25" t="s">
        <v>590</v>
      </c>
      <c r="D128" s="25" t="b">
        <v>1</v>
      </c>
      <c r="E128" s="25" t="s">
        <v>1621</v>
      </c>
      <c r="F128" s="25" t="s">
        <v>1622</v>
      </c>
    </row>
    <row r="129" spans="1:6">
      <c r="A129" s="25" t="s">
        <v>1249</v>
      </c>
      <c r="B129" s="25" t="s">
        <v>590</v>
      </c>
      <c r="C129" s="25" t="s">
        <v>731</v>
      </c>
      <c r="D129" s="25" t="b">
        <v>1</v>
      </c>
      <c r="E129" s="25" t="s">
        <v>1623</v>
      </c>
      <c r="F129" s="25" t="s">
        <v>1624</v>
      </c>
    </row>
    <row r="130" spans="1:6">
      <c r="A130" s="25" t="s">
        <v>1625</v>
      </c>
      <c r="B130" s="25" t="s">
        <v>447</v>
      </c>
      <c r="C130" s="25" t="s">
        <v>448</v>
      </c>
      <c r="D130" s="25" t="b">
        <v>1</v>
      </c>
      <c r="E130" s="25" t="s">
        <v>1626</v>
      </c>
      <c r="F130" s="25" t="s">
        <v>1627</v>
      </c>
    </row>
    <row r="131" spans="1:6">
      <c r="A131" s="25" t="s">
        <v>1628</v>
      </c>
      <c r="B131" s="25" t="s">
        <v>597</v>
      </c>
      <c r="C131" s="25" t="s">
        <v>598</v>
      </c>
      <c r="D131" s="25" t="b">
        <v>1</v>
      </c>
      <c r="E131" s="25" t="s">
        <v>1629</v>
      </c>
      <c r="F131" s="25" t="s">
        <v>1630</v>
      </c>
    </row>
    <row r="132" spans="1:6">
      <c r="A132" s="25" t="s">
        <v>1631</v>
      </c>
      <c r="B132" s="25" t="s">
        <v>452</v>
      </c>
      <c r="C132" s="25" t="s">
        <v>453</v>
      </c>
      <c r="D132" s="25" t="b">
        <v>1</v>
      </c>
      <c r="E132" s="25" t="s">
        <v>1632</v>
      </c>
      <c r="F132" s="25" t="s">
        <v>1633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B4A6F-1154-0E4B-96B2-832CD29D197B}">
  <dimension ref="A1:F132"/>
  <sheetViews>
    <sheetView topLeftCell="A112" workbookViewId="0">
      <selection activeCell="A2" sqref="A2"/>
    </sheetView>
  </sheetViews>
  <sheetFormatPr defaultColWidth="11" defaultRowHeight="15.95"/>
  <sheetData>
    <row r="1" spans="1:6">
      <c r="A1" t="s">
        <v>130</v>
      </c>
      <c r="B1" t="s">
        <v>131</v>
      </c>
      <c r="C1" t="s">
        <v>132</v>
      </c>
      <c r="D1" t="s">
        <v>133</v>
      </c>
      <c r="E1" t="s">
        <v>134</v>
      </c>
      <c r="F1" t="s">
        <v>135</v>
      </c>
    </row>
    <row r="2" spans="1:6">
      <c r="A2" t="s">
        <v>1270</v>
      </c>
      <c r="B2" t="s">
        <v>1271</v>
      </c>
      <c r="C2" t="s">
        <v>1272</v>
      </c>
      <c r="D2" t="b">
        <v>1</v>
      </c>
      <c r="E2" t="s">
        <v>1273</v>
      </c>
      <c r="F2" t="s">
        <v>1274</v>
      </c>
    </row>
    <row r="3" spans="1:6">
      <c r="A3" t="s">
        <v>1275</v>
      </c>
      <c r="B3" t="s">
        <v>471</v>
      </c>
      <c r="C3" t="s">
        <v>474</v>
      </c>
      <c r="D3" t="b">
        <v>1</v>
      </c>
      <c r="E3" t="s">
        <v>1276</v>
      </c>
      <c r="F3" t="s">
        <v>1277</v>
      </c>
    </row>
    <row r="4" spans="1:6">
      <c r="A4" t="s">
        <v>1278</v>
      </c>
      <c r="B4" t="s">
        <v>484</v>
      </c>
      <c r="C4" t="s">
        <v>485</v>
      </c>
      <c r="D4" t="b">
        <v>1</v>
      </c>
      <c r="E4" t="s">
        <v>1279</v>
      </c>
      <c r="F4" t="s">
        <v>1280</v>
      </c>
    </row>
    <row r="5" spans="1:6">
      <c r="A5" t="s">
        <v>1281</v>
      </c>
      <c r="B5" t="s">
        <v>484</v>
      </c>
      <c r="C5" t="s">
        <v>485</v>
      </c>
      <c r="D5" t="b">
        <v>1</v>
      </c>
      <c r="E5" t="s">
        <v>1282</v>
      </c>
      <c r="F5" t="s">
        <v>1283</v>
      </c>
    </row>
    <row r="6" spans="1:6">
      <c r="A6" t="s">
        <v>1284</v>
      </c>
      <c r="B6" t="s">
        <v>164</v>
      </c>
      <c r="C6" t="s">
        <v>165</v>
      </c>
      <c r="D6" t="b">
        <v>1</v>
      </c>
      <c r="E6" t="s">
        <v>1285</v>
      </c>
      <c r="F6" t="s">
        <v>1286</v>
      </c>
    </row>
    <row r="7" spans="1:6">
      <c r="A7" t="s">
        <v>1287</v>
      </c>
      <c r="B7" t="s">
        <v>1288</v>
      </c>
      <c r="C7" t="s">
        <v>1289</v>
      </c>
      <c r="D7" t="b">
        <v>1</v>
      </c>
      <c r="E7" t="s">
        <v>1290</v>
      </c>
      <c r="F7" t="s">
        <v>1291</v>
      </c>
    </row>
    <row r="8" spans="1:6">
      <c r="A8" t="s">
        <v>1292</v>
      </c>
      <c r="B8" t="s">
        <v>919</v>
      </c>
      <c r="C8" t="s">
        <v>169</v>
      </c>
      <c r="D8" t="b">
        <v>1</v>
      </c>
      <c r="E8" t="s">
        <v>1293</v>
      </c>
      <c r="F8" t="s">
        <v>1294</v>
      </c>
    </row>
    <row r="9" spans="1:6">
      <c r="A9" t="s">
        <v>1295</v>
      </c>
      <c r="B9" t="s">
        <v>169</v>
      </c>
      <c r="C9" t="s">
        <v>170</v>
      </c>
      <c r="D9" t="b">
        <v>1</v>
      </c>
      <c r="E9" t="s">
        <v>1296</v>
      </c>
      <c r="F9" t="s">
        <v>1297</v>
      </c>
    </row>
    <row r="10" spans="1:6">
      <c r="A10" t="s">
        <v>1298</v>
      </c>
      <c r="B10" t="s">
        <v>169</v>
      </c>
      <c r="C10" t="s">
        <v>170</v>
      </c>
      <c r="D10" t="b">
        <v>1</v>
      </c>
      <c r="E10" t="s">
        <v>1299</v>
      </c>
      <c r="F10" t="s">
        <v>1300</v>
      </c>
    </row>
    <row r="11" spans="1:6">
      <c r="A11" t="s">
        <v>1301</v>
      </c>
      <c r="B11" t="s">
        <v>170</v>
      </c>
      <c r="C11" t="s">
        <v>610</v>
      </c>
      <c r="D11" t="b">
        <v>1</v>
      </c>
      <c r="E11" t="s">
        <v>1302</v>
      </c>
      <c r="F11" t="s">
        <v>1303</v>
      </c>
    </row>
    <row r="12" spans="1:6">
      <c r="A12" t="s">
        <v>1304</v>
      </c>
      <c r="B12" t="s">
        <v>1305</v>
      </c>
      <c r="C12" t="s">
        <v>929</v>
      </c>
      <c r="D12" t="b">
        <v>1</v>
      </c>
      <c r="E12" t="s">
        <v>1306</v>
      </c>
      <c r="F12" t="s">
        <v>1307</v>
      </c>
    </row>
    <row r="13" spans="1:6">
      <c r="A13" t="s">
        <v>1308</v>
      </c>
      <c r="B13" t="s">
        <v>1305</v>
      </c>
      <c r="C13" t="s">
        <v>929</v>
      </c>
      <c r="D13" t="b">
        <v>1</v>
      </c>
      <c r="E13" t="s">
        <v>1309</v>
      </c>
      <c r="F13" t="s">
        <v>1310</v>
      </c>
    </row>
    <row r="14" spans="1:6">
      <c r="A14" t="s">
        <v>1311</v>
      </c>
      <c r="B14" t="s">
        <v>498</v>
      </c>
      <c r="C14" t="s">
        <v>499</v>
      </c>
      <c r="D14" t="b">
        <v>1</v>
      </c>
      <c r="E14" t="s">
        <v>1312</v>
      </c>
      <c r="F14" t="s">
        <v>1313</v>
      </c>
    </row>
    <row r="15" spans="1:6">
      <c r="A15" t="s">
        <v>1314</v>
      </c>
      <c r="B15" t="s">
        <v>499</v>
      </c>
      <c r="C15" t="s">
        <v>177</v>
      </c>
      <c r="D15" t="b">
        <v>1</v>
      </c>
      <c r="E15" t="s">
        <v>1315</v>
      </c>
      <c r="F15" t="s">
        <v>1316</v>
      </c>
    </row>
    <row r="16" spans="1:6">
      <c r="A16" t="s">
        <v>1317</v>
      </c>
      <c r="B16" t="s">
        <v>177</v>
      </c>
      <c r="C16" t="s">
        <v>178</v>
      </c>
      <c r="D16" t="b">
        <v>1</v>
      </c>
      <c r="E16" t="s">
        <v>1318</v>
      </c>
      <c r="F16" t="s">
        <v>1319</v>
      </c>
    </row>
    <row r="17" spans="1:6">
      <c r="A17" t="s">
        <v>1320</v>
      </c>
      <c r="B17" t="s">
        <v>182</v>
      </c>
      <c r="C17" t="s">
        <v>942</v>
      </c>
      <c r="D17" t="b">
        <v>1</v>
      </c>
      <c r="E17" t="s">
        <v>1321</v>
      </c>
      <c r="F17" t="s">
        <v>1322</v>
      </c>
    </row>
    <row r="18" spans="1:6">
      <c r="A18" t="s">
        <v>1323</v>
      </c>
      <c r="B18" t="s">
        <v>182</v>
      </c>
      <c r="C18" t="s">
        <v>942</v>
      </c>
      <c r="D18" t="b">
        <v>1</v>
      </c>
      <c r="E18" t="s">
        <v>1324</v>
      </c>
      <c r="F18" t="s">
        <v>1325</v>
      </c>
    </row>
    <row r="19" spans="1:6">
      <c r="A19" t="s">
        <v>1326</v>
      </c>
      <c r="B19" t="s">
        <v>942</v>
      </c>
      <c r="C19" t="s">
        <v>946</v>
      </c>
      <c r="D19" t="b">
        <v>1</v>
      </c>
      <c r="E19" t="s">
        <v>1327</v>
      </c>
      <c r="F19" t="s">
        <v>1328</v>
      </c>
    </row>
    <row r="20" spans="1:6">
      <c r="A20" t="s">
        <v>1329</v>
      </c>
      <c r="B20" t="s">
        <v>946</v>
      </c>
      <c r="C20" t="s">
        <v>758</v>
      </c>
      <c r="D20" t="b">
        <v>1</v>
      </c>
      <c r="E20" t="s">
        <v>1330</v>
      </c>
      <c r="F20" t="s">
        <v>1331</v>
      </c>
    </row>
    <row r="21" spans="1:6">
      <c r="A21" t="s">
        <v>1332</v>
      </c>
      <c r="B21" t="s">
        <v>758</v>
      </c>
      <c r="C21" t="s">
        <v>617</v>
      </c>
      <c r="D21" t="b">
        <v>1</v>
      </c>
      <c r="E21" t="s">
        <v>1333</v>
      </c>
      <c r="F21" t="s">
        <v>1334</v>
      </c>
    </row>
    <row r="22" spans="1:6">
      <c r="A22" t="s">
        <v>1335</v>
      </c>
      <c r="B22" t="s">
        <v>966</v>
      </c>
      <c r="C22" t="s">
        <v>967</v>
      </c>
      <c r="D22" t="b">
        <v>1</v>
      </c>
      <c r="E22" t="s">
        <v>1336</v>
      </c>
      <c r="F22" t="s">
        <v>1337</v>
      </c>
    </row>
    <row r="23" spans="1:6">
      <c r="A23" t="s">
        <v>1338</v>
      </c>
      <c r="B23" t="s">
        <v>966</v>
      </c>
      <c r="C23" t="s">
        <v>967</v>
      </c>
      <c r="D23" t="b">
        <v>1</v>
      </c>
      <c r="E23" t="s">
        <v>1339</v>
      </c>
      <c r="F23" t="s">
        <v>1340</v>
      </c>
    </row>
    <row r="24" spans="1:6">
      <c r="A24" t="s">
        <v>1284</v>
      </c>
      <c r="B24" t="s">
        <v>503</v>
      </c>
      <c r="C24" t="s">
        <v>504</v>
      </c>
      <c r="D24" t="b">
        <v>1</v>
      </c>
      <c r="E24" t="s">
        <v>1341</v>
      </c>
      <c r="F24" t="s">
        <v>1342</v>
      </c>
    </row>
    <row r="25" spans="1:6">
      <c r="A25" t="s">
        <v>1343</v>
      </c>
      <c r="B25" t="s">
        <v>186</v>
      </c>
      <c r="C25" t="s">
        <v>187</v>
      </c>
      <c r="D25" t="b">
        <v>1</v>
      </c>
      <c r="E25" t="s">
        <v>1344</v>
      </c>
      <c r="F25" t="s">
        <v>1345</v>
      </c>
    </row>
    <row r="26" spans="1:6">
      <c r="A26" t="s">
        <v>1346</v>
      </c>
      <c r="B26" t="s">
        <v>186</v>
      </c>
      <c r="C26" t="s">
        <v>187</v>
      </c>
      <c r="D26" t="b">
        <v>1</v>
      </c>
      <c r="E26" t="s">
        <v>1347</v>
      </c>
      <c r="F26" t="s">
        <v>1348</v>
      </c>
    </row>
    <row r="27" spans="1:6">
      <c r="A27" t="s">
        <v>1349</v>
      </c>
      <c r="B27" t="s">
        <v>508</v>
      </c>
      <c r="C27" t="s">
        <v>191</v>
      </c>
      <c r="D27" t="b">
        <v>1</v>
      </c>
      <c r="E27" t="s">
        <v>1350</v>
      </c>
      <c r="F27" t="s">
        <v>1351</v>
      </c>
    </row>
    <row r="28" spans="1:6">
      <c r="A28" t="s">
        <v>1352</v>
      </c>
      <c r="B28" t="s">
        <v>191</v>
      </c>
      <c r="C28" t="s">
        <v>192</v>
      </c>
      <c r="D28" t="b">
        <v>1</v>
      </c>
      <c r="E28" t="s">
        <v>1353</v>
      </c>
      <c r="F28" t="s">
        <v>1354</v>
      </c>
    </row>
    <row r="29" spans="1:6">
      <c r="A29" t="s">
        <v>1355</v>
      </c>
      <c r="B29" t="s">
        <v>992</v>
      </c>
      <c r="C29" t="s">
        <v>993</v>
      </c>
      <c r="D29" t="b">
        <v>1</v>
      </c>
      <c r="E29" t="s">
        <v>1356</v>
      </c>
      <c r="F29" t="s">
        <v>1357</v>
      </c>
    </row>
    <row r="30" spans="1:6">
      <c r="A30" t="s">
        <v>1281</v>
      </c>
      <c r="B30" t="s">
        <v>992</v>
      </c>
      <c r="C30" t="s">
        <v>993</v>
      </c>
      <c r="D30" t="b">
        <v>1</v>
      </c>
      <c r="E30" t="s">
        <v>1358</v>
      </c>
      <c r="F30" t="s">
        <v>1359</v>
      </c>
    </row>
    <row r="31" spans="1:6">
      <c r="A31" t="s">
        <v>1360</v>
      </c>
      <c r="B31" t="s">
        <v>997</v>
      </c>
      <c r="C31" t="s">
        <v>768</v>
      </c>
      <c r="D31" t="b">
        <v>1</v>
      </c>
      <c r="E31" t="s">
        <v>1361</v>
      </c>
      <c r="F31" t="s">
        <v>1362</v>
      </c>
    </row>
    <row r="32" spans="1:6">
      <c r="A32" t="s">
        <v>1363</v>
      </c>
      <c r="B32" t="s">
        <v>768</v>
      </c>
      <c r="C32" t="s">
        <v>630</v>
      </c>
      <c r="D32" t="b">
        <v>1</v>
      </c>
      <c r="E32" t="s">
        <v>1364</v>
      </c>
      <c r="F32" t="s">
        <v>1365</v>
      </c>
    </row>
    <row r="33" spans="1:6">
      <c r="A33" t="s">
        <v>1366</v>
      </c>
      <c r="B33" t="s">
        <v>200</v>
      </c>
      <c r="C33" t="s">
        <v>201</v>
      </c>
      <c r="D33" t="b">
        <v>1</v>
      </c>
      <c r="E33" t="s">
        <v>1367</v>
      </c>
      <c r="F33" t="s">
        <v>1368</v>
      </c>
    </row>
    <row r="34" spans="1:6">
      <c r="A34" t="s">
        <v>1278</v>
      </c>
      <c r="B34" t="s">
        <v>200</v>
      </c>
      <c r="C34" t="s">
        <v>201</v>
      </c>
      <c r="D34" t="b">
        <v>1</v>
      </c>
      <c r="E34" t="s">
        <v>1369</v>
      </c>
      <c r="F34" t="s">
        <v>1370</v>
      </c>
    </row>
    <row r="35" spans="1:6">
      <c r="A35" t="s">
        <v>1371</v>
      </c>
      <c r="B35" t="s">
        <v>205</v>
      </c>
      <c r="C35" t="s">
        <v>206</v>
      </c>
      <c r="D35" t="b">
        <v>1</v>
      </c>
      <c r="E35" t="s">
        <v>1372</v>
      </c>
      <c r="F35" t="s">
        <v>1373</v>
      </c>
    </row>
    <row r="36" spans="1:6">
      <c r="A36" t="s">
        <v>1374</v>
      </c>
      <c r="B36" t="s">
        <v>206</v>
      </c>
      <c r="C36" t="s">
        <v>515</v>
      </c>
      <c r="D36" t="b">
        <v>1</v>
      </c>
      <c r="E36" t="s">
        <v>1375</v>
      </c>
      <c r="F36" t="s">
        <v>1376</v>
      </c>
    </row>
    <row r="37" spans="1:6">
      <c r="A37" t="s">
        <v>1377</v>
      </c>
      <c r="B37" t="s">
        <v>210</v>
      </c>
      <c r="C37" t="s">
        <v>211</v>
      </c>
      <c r="D37" t="b">
        <v>1</v>
      </c>
      <c r="E37" t="s">
        <v>1378</v>
      </c>
      <c r="F37" t="s">
        <v>1379</v>
      </c>
    </row>
    <row r="38" spans="1:6">
      <c r="A38" t="s">
        <v>1380</v>
      </c>
      <c r="B38" t="s">
        <v>210</v>
      </c>
      <c r="C38" t="s">
        <v>211</v>
      </c>
      <c r="D38" t="b">
        <v>1</v>
      </c>
      <c r="E38" t="s">
        <v>1381</v>
      </c>
      <c r="F38" t="s">
        <v>1382</v>
      </c>
    </row>
    <row r="39" spans="1:6">
      <c r="A39" t="s">
        <v>1383</v>
      </c>
      <c r="B39" t="s">
        <v>520</v>
      </c>
      <c r="C39" t="s">
        <v>215</v>
      </c>
      <c r="D39" t="b">
        <v>1</v>
      </c>
      <c r="E39" t="s">
        <v>1384</v>
      </c>
      <c r="F39" t="s">
        <v>1385</v>
      </c>
    </row>
    <row r="40" spans="1:6">
      <c r="A40" t="s">
        <v>1386</v>
      </c>
      <c r="B40" t="s">
        <v>215</v>
      </c>
      <c r="C40" t="s">
        <v>216</v>
      </c>
      <c r="D40" t="b">
        <v>1</v>
      </c>
      <c r="E40" t="s">
        <v>1387</v>
      </c>
      <c r="F40" t="s">
        <v>1388</v>
      </c>
    </row>
    <row r="41" spans="1:6">
      <c r="A41" t="s">
        <v>1389</v>
      </c>
      <c r="B41" t="s">
        <v>223</v>
      </c>
      <c r="C41" t="s">
        <v>224</v>
      </c>
      <c r="D41" t="b">
        <v>1</v>
      </c>
      <c r="E41" t="s">
        <v>1390</v>
      </c>
      <c r="F41" t="s">
        <v>1391</v>
      </c>
    </row>
    <row r="42" spans="1:6">
      <c r="A42" t="s">
        <v>1392</v>
      </c>
      <c r="B42" t="s">
        <v>223</v>
      </c>
      <c r="C42" t="s">
        <v>224</v>
      </c>
      <c r="D42" t="b">
        <v>1</v>
      </c>
      <c r="E42" t="s">
        <v>1393</v>
      </c>
      <c r="F42" t="s">
        <v>1394</v>
      </c>
    </row>
    <row r="43" spans="1:6">
      <c r="A43" t="s">
        <v>1395</v>
      </c>
      <c r="B43" t="s">
        <v>523</v>
      </c>
      <c r="C43" t="s">
        <v>524</v>
      </c>
      <c r="D43" t="b">
        <v>1</v>
      </c>
      <c r="E43" t="s">
        <v>1396</v>
      </c>
      <c r="F43" t="s">
        <v>1397</v>
      </c>
    </row>
    <row r="44" spans="1:6">
      <c r="A44" t="s">
        <v>1398</v>
      </c>
      <c r="B44" t="s">
        <v>523</v>
      </c>
      <c r="C44" t="s">
        <v>524</v>
      </c>
      <c r="D44" t="b">
        <v>1</v>
      </c>
      <c r="E44" t="s">
        <v>1399</v>
      </c>
      <c r="F44" t="s">
        <v>1400</v>
      </c>
    </row>
    <row r="45" spans="1:6">
      <c r="A45" t="s">
        <v>1401</v>
      </c>
      <c r="B45" t="s">
        <v>524</v>
      </c>
      <c r="C45" t="s">
        <v>228</v>
      </c>
      <c r="D45" t="b">
        <v>1</v>
      </c>
      <c r="E45" t="s">
        <v>1402</v>
      </c>
      <c r="F45" t="s">
        <v>1403</v>
      </c>
    </row>
    <row r="46" spans="1:6">
      <c r="A46" t="s">
        <v>1404</v>
      </c>
      <c r="B46" t="s">
        <v>524</v>
      </c>
      <c r="C46" t="s">
        <v>228</v>
      </c>
      <c r="D46" t="b">
        <v>1</v>
      </c>
      <c r="E46" t="s">
        <v>1405</v>
      </c>
      <c r="F46" t="s">
        <v>1406</v>
      </c>
    </row>
    <row r="47" spans="1:6">
      <c r="A47" t="s">
        <v>1407</v>
      </c>
      <c r="B47" t="s">
        <v>1040</v>
      </c>
      <c r="C47" t="s">
        <v>1041</v>
      </c>
      <c r="D47" t="b">
        <v>1</v>
      </c>
      <c r="E47" t="s">
        <v>1408</v>
      </c>
      <c r="F47" t="s">
        <v>1409</v>
      </c>
    </row>
    <row r="48" spans="1:6">
      <c r="A48" t="s">
        <v>1410</v>
      </c>
      <c r="B48" t="s">
        <v>528</v>
      </c>
      <c r="C48" t="s">
        <v>233</v>
      </c>
      <c r="D48" t="b">
        <v>1</v>
      </c>
      <c r="E48" t="s">
        <v>1411</v>
      </c>
      <c r="F48" t="s">
        <v>1412</v>
      </c>
    </row>
    <row r="49" spans="1:6">
      <c r="A49" t="s">
        <v>1413</v>
      </c>
      <c r="B49" t="s">
        <v>233</v>
      </c>
      <c r="C49" t="s">
        <v>234</v>
      </c>
      <c r="D49" t="b">
        <v>1</v>
      </c>
      <c r="E49" t="s">
        <v>1414</v>
      </c>
      <c r="F49" t="s">
        <v>1415</v>
      </c>
    </row>
    <row r="50" spans="1:6">
      <c r="A50" t="s">
        <v>1416</v>
      </c>
      <c r="B50" t="s">
        <v>1053</v>
      </c>
      <c r="C50" t="s">
        <v>1057</v>
      </c>
      <c r="D50" t="b">
        <v>1</v>
      </c>
      <c r="E50" t="s">
        <v>1417</v>
      </c>
      <c r="F50" t="s">
        <v>1418</v>
      </c>
    </row>
    <row r="51" spans="1:6">
      <c r="A51" t="s">
        <v>1419</v>
      </c>
      <c r="B51" t="s">
        <v>1053</v>
      </c>
      <c r="C51" t="s">
        <v>1057</v>
      </c>
      <c r="D51" t="b">
        <v>1</v>
      </c>
      <c r="E51" t="s">
        <v>1420</v>
      </c>
      <c r="F51" t="s">
        <v>1421</v>
      </c>
    </row>
    <row r="52" spans="1:6">
      <c r="A52" t="s">
        <v>1422</v>
      </c>
      <c r="B52" t="s">
        <v>1064</v>
      </c>
      <c r="C52" t="s">
        <v>1065</v>
      </c>
      <c r="D52" t="b">
        <v>1</v>
      </c>
      <c r="E52" t="s">
        <v>1423</v>
      </c>
      <c r="F52" t="s">
        <v>1424</v>
      </c>
    </row>
    <row r="53" spans="1:6">
      <c r="A53" t="s">
        <v>1425</v>
      </c>
      <c r="B53" t="s">
        <v>531</v>
      </c>
      <c r="C53" t="s">
        <v>532</v>
      </c>
      <c r="D53" t="b">
        <v>1</v>
      </c>
      <c r="E53" t="s">
        <v>1426</v>
      </c>
      <c r="F53" t="s">
        <v>1427</v>
      </c>
    </row>
    <row r="54" spans="1:6">
      <c r="A54" t="s">
        <v>1428</v>
      </c>
      <c r="B54" t="s">
        <v>532</v>
      </c>
      <c r="C54" t="s">
        <v>649</v>
      </c>
      <c r="D54" t="b">
        <v>1</v>
      </c>
      <c r="E54" t="s">
        <v>1429</v>
      </c>
      <c r="F54" t="s">
        <v>1430</v>
      </c>
    </row>
    <row r="55" spans="1:6">
      <c r="A55" t="s">
        <v>1431</v>
      </c>
      <c r="B55" t="s">
        <v>1432</v>
      </c>
      <c r="C55" t="s">
        <v>1075</v>
      </c>
      <c r="D55" t="b">
        <v>1</v>
      </c>
      <c r="E55" t="s">
        <v>1433</v>
      </c>
      <c r="F55" t="s">
        <v>1434</v>
      </c>
    </row>
    <row r="56" spans="1:6">
      <c r="A56" t="s">
        <v>1435</v>
      </c>
      <c r="B56" t="s">
        <v>535</v>
      </c>
      <c r="C56" t="s">
        <v>264</v>
      </c>
      <c r="D56" t="b">
        <v>1</v>
      </c>
      <c r="E56" t="s">
        <v>1436</v>
      </c>
      <c r="F56" t="s">
        <v>1437</v>
      </c>
    </row>
    <row r="57" spans="1:6">
      <c r="A57" t="s">
        <v>1438</v>
      </c>
      <c r="B57" t="s">
        <v>264</v>
      </c>
      <c r="C57" t="s">
        <v>265</v>
      </c>
      <c r="D57" t="b">
        <v>1</v>
      </c>
      <c r="E57" t="s">
        <v>1439</v>
      </c>
      <c r="F57" t="s">
        <v>1440</v>
      </c>
    </row>
    <row r="58" spans="1:6">
      <c r="A58" t="s">
        <v>1441</v>
      </c>
      <c r="B58" t="s">
        <v>272</v>
      </c>
      <c r="C58" t="s">
        <v>273</v>
      </c>
      <c r="D58" t="b">
        <v>1</v>
      </c>
      <c r="E58" t="s">
        <v>1442</v>
      </c>
      <c r="F58" t="s">
        <v>1443</v>
      </c>
    </row>
    <row r="59" spans="1:6">
      <c r="A59" t="s">
        <v>1242</v>
      </c>
      <c r="B59" t="s">
        <v>273</v>
      </c>
      <c r="C59" t="s">
        <v>1085</v>
      </c>
      <c r="D59" t="b">
        <v>1</v>
      </c>
      <c r="E59" t="s">
        <v>1444</v>
      </c>
      <c r="F59" t="s">
        <v>1445</v>
      </c>
    </row>
    <row r="60" spans="1:6">
      <c r="A60" t="s">
        <v>1446</v>
      </c>
      <c r="B60" t="s">
        <v>1085</v>
      </c>
      <c r="C60" t="s">
        <v>803</v>
      </c>
      <c r="D60" t="b">
        <v>1</v>
      </c>
      <c r="E60" t="s">
        <v>1447</v>
      </c>
      <c r="F60" t="s">
        <v>1448</v>
      </c>
    </row>
    <row r="61" spans="1:6">
      <c r="A61" t="s">
        <v>1449</v>
      </c>
      <c r="B61" t="s">
        <v>803</v>
      </c>
      <c r="C61" t="s">
        <v>656</v>
      </c>
      <c r="D61" t="b">
        <v>1</v>
      </c>
      <c r="E61" t="s">
        <v>1450</v>
      </c>
      <c r="F61" t="s">
        <v>1451</v>
      </c>
    </row>
    <row r="62" spans="1:6">
      <c r="A62" t="s">
        <v>1249</v>
      </c>
      <c r="B62" t="s">
        <v>656</v>
      </c>
      <c r="C62" t="s">
        <v>277</v>
      </c>
      <c r="D62" t="b">
        <v>1</v>
      </c>
      <c r="E62" t="s">
        <v>1452</v>
      </c>
      <c r="F62" t="s">
        <v>1453</v>
      </c>
    </row>
    <row r="63" spans="1:6">
      <c r="A63" t="s">
        <v>1454</v>
      </c>
      <c r="B63" t="s">
        <v>1097</v>
      </c>
      <c r="C63" t="s">
        <v>1098</v>
      </c>
      <c r="D63" t="b">
        <v>1</v>
      </c>
      <c r="E63" t="s">
        <v>1455</v>
      </c>
      <c r="F63" t="s">
        <v>1456</v>
      </c>
    </row>
    <row r="64" spans="1:6">
      <c r="A64" t="s">
        <v>1457</v>
      </c>
      <c r="B64" t="s">
        <v>1098</v>
      </c>
      <c r="C64" t="s">
        <v>539</v>
      </c>
      <c r="D64" t="b">
        <v>1</v>
      </c>
      <c r="E64" t="s">
        <v>1458</v>
      </c>
      <c r="F64" t="s">
        <v>1459</v>
      </c>
    </row>
    <row r="65" spans="1:6">
      <c r="A65" t="s">
        <v>1460</v>
      </c>
      <c r="B65" t="s">
        <v>539</v>
      </c>
      <c r="C65" t="s">
        <v>540</v>
      </c>
      <c r="D65" t="b">
        <v>1</v>
      </c>
      <c r="E65" t="s">
        <v>1461</v>
      </c>
      <c r="F65" t="s">
        <v>1462</v>
      </c>
    </row>
    <row r="66" spans="1:6">
      <c r="A66" t="s">
        <v>1463</v>
      </c>
      <c r="B66" t="s">
        <v>540</v>
      </c>
      <c r="C66" t="s">
        <v>659</v>
      </c>
      <c r="D66" t="b">
        <v>1</v>
      </c>
      <c r="E66" t="s">
        <v>1464</v>
      </c>
      <c r="F66" t="s">
        <v>1465</v>
      </c>
    </row>
    <row r="67" spans="1:6">
      <c r="A67" t="s">
        <v>1466</v>
      </c>
      <c r="B67" t="s">
        <v>540</v>
      </c>
      <c r="C67" t="s">
        <v>659</v>
      </c>
      <c r="D67" t="b">
        <v>1</v>
      </c>
      <c r="E67" t="s">
        <v>1467</v>
      </c>
      <c r="F67" t="s">
        <v>1468</v>
      </c>
    </row>
    <row r="68" spans="1:6">
      <c r="A68" t="s">
        <v>1366</v>
      </c>
      <c r="B68" t="s">
        <v>1105</v>
      </c>
      <c r="C68" t="s">
        <v>812</v>
      </c>
      <c r="D68" t="b">
        <v>1</v>
      </c>
      <c r="E68" t="s">
        <v>1469</v>
      </c>
      <c r="F68" t="s">
        <v>1470</v>
      </c>
    </row>
    <row r="69" spans="1:6">
      <c r="A69" t="s">
        <v>1278</v>
      </c>
      <c r="B69" t="s">
        <v>1105</v>
      </c>
      <c r="C69" t="s">
        <v>812</v>
      </c>
      <c r="D69" t="b">
        <v>1</v>
      </c>
      <c r="E69" t="s">
        <v>1471</v>
      </c>
      <c r="F69" t="s">
        <v>1472</v>
      </c>
    </row>
    <row r="70" spans="1:6">
      <c r="A70" t="s">
        <v>1371</v>
      </c>
      <c r="B70" t="s">
        <v>543</v>
      </c>
      <c r="C70" t="s">
        <v>544</v>
      </c>
      <c r="D70" t="b">
        <v>1</v>
      </c>
      <c r="E70" t="s">
        <v>1473</v>
      </c>
      <c r="F70" t="s">
        <v>1474</v>
      </c>
    </row>
    <row r="71" spans="1:6">
      <c r="A71" t="s">
        <v>1475</v>
      </c>
      <c r="B71" t="s">
        <v>544</v>
      </c>
      <c r="C71" t="s">
        <v>663</v>
      </c>
      <c r="D71" t="b">
        <v>1</v>
      </c>
      <c r="E71" t="s">
        <v>1476</v>
      </c>
      <c r="F71" t="s">
        <v>1477</v>
      </c>
    </row>
    <row r="72" spans="1:6">
      <c r="A72" t="s">
        <v>1386</v>
      </c>
      <c r="B72" t="s">
        <v>544</v>
      </c>
      <c r="C72" t="s">
        <v>663</v>
      </c>
      <c r="D72" t="b">
        <v>1</v>
      </c>
      <c r="E72" t="s">
        <v>1478</v>
      </c>
      <c r="F72" t="s">
        <v>1479</v>
      </c>
    </row>
    <row r="73" spans="1:6">
      <c r="A73" t="s">
        <v>1480</v>
      </c>
      <c r="B73" t="s">
        <v>292</v>
      </c>
      <c r="C73" t="s">
        <v>296</v>
      </c>
      <c r="D73" t="b">
        <v>1</v>
      </c>
      <c r="E73" t="s">
        <v>1481</v>
      </c>
      <c r="F73" t="s">
        <v>1482</v>
      </c>
    </row>
    <row r="74" spans="1:6">
      <c r="A74" t="s">
        <v>1480</v>
      </c>
      <c r="B74" t="s">
        <v>296</v>
      </c>
      <c r="C74" t="s">
        <v>300</v>
      </c>
      <c r="D74" t="b">
        <v>1</v>
      </c>
      <c r="E74" t="s">
        <v>1483</v>
      </c>
      <c r="F74" t="s">
        <v>1484</v>
      </c>
    </row>
    <row r="75" spans="1:6">
      <c r="A75" t="s">
        <v>1480</v>
      </c>
      <c r="B75" t="s">
        <v>300</v>
      </c>
      <c r="C75" t="s">
        <v>303</v>
      </c>
      <c r="D75" t="b">
        <v>1</v>
      </c>
      <c r="E75" t="s">
        <v>1485</v>
      </c>
      <c r="F75" t="s">
        <v>1486</v>
      </c>
    </row>
    <row r="76" spans="1:6">
      <c r="A76" t="s">
        <v>1480</v>
      </c>
      <c r="B76" t="s">
        <v>303</v>
      </c>
      <c r="C76" t="s">
        <v>306</v>
      </c>
      <c r="D76" t="b">
        <v>1</v>
      </c>
      <c r="E76" t="s">
        <v>1487</v>
      </c>
      <c r="F76" t="s">
        <v>1488</v>
      </c>
    </row>
    <row r="77" spans="1:6">
      <c r="A77" t="s">
        <v>1489</v>
      </c>
      <c r="B77" t="s">
        <v>820</v>
      </c>
      <c r="C77" t="s">
        <v>821</v>
      </c>
      <c r="D77" t="b">
        <v>1</v>
      </c>
      <c r="E77" t="s">
        <v>1490</v>
      </c>
      <c r="F77" t="s">
        <v>1491</v>
      </c>
    </row>
    <row r="78" spans="1:6">
      <c r="A78" t="s">
        <v>1492</v>
      </c>
      <c r="B78" t="s">
        <v>820</v>
      </c>
      <c r="C78" t="s">
        <v>821</v>
      </c>
      <c r="D78" t="b">
        <v>1</v>
      </c>
      <c r="E78" t="s">
        <v>1493</v>
      </c>
      <c r="F78" t="s">
        <v>1494</v>
      </c>
    </row>
    <row r="79" spans="1:6">
      <c r="A79" t="s">
        <v>1495</v>
      </c>
      <c r="B79" t="s">
        <v>310</v>
      </c>
      <c r="C79" t="s">
        <v>311</v>
      </c>
      <c r="D79" t="b">
        <v>1</v>
      </c>
      <c r="E79" t="s">
        <v>1496</v>
      </c>
      <c r="F79" t="s">
        <v>1497</v>
      </c>
    </row>
    <row r="80" spans="1:6">
      <c r="A80" t="s">
        <v>1377</v>
      </c>
      <c r="B80" t="s">
        <v>310</v>
      </c>
      <c r="C80" t="s">
        <v>311</v>
      </c>
      <c r="D80" t="b">
        <v>1</v>
      </c>
      <c r="E80" t="s">
        <v>1498</v>
      </c>
      <c r="F80" t="s">
        <v>1499</v>
      </c>
    </row>
    <row r="81" spans="1:6">
      <c r="A81" t="s">
        <v>1404</v>
      </c>
      <c r="B81" t="s">
        <v>311</v>
      </c>
      <c r="C81" t="s">
        <v>315</v>
      </c>
      <c r="D81" t="b">
        <v>1</v>
      </c>
      <c r="E81" t="s">
        <v>1500</v>
      </c>
      <c r="F81" t="s">
        <v>1501</v>
      </c>
    </row>
    <row r="82" spans="1:6">
      <c r="A82" t="s">
        <v>1502</v>
      </c>
      <c r="B82" t="s">
        <v>319</v>
      </c>
      <c r="C82" t="s">
        <v>320</v>
      </c>
      <c r="D82" t="b">
        <v>1</v>
      </c>
      <c r="E82" t="s">
        <v>1503</v>
      </c>
      <c r="F82" t="s">
        <v>1504</v>
      </c>
    </row>
    <row r="83" spans="1:6">
      <c r="A83" t="s">
        <v>1329</v>
      </c>
      <c r="B83" t="s">
        <v>324</v>
      </c>
      <c r="C83" t="s">
        <v>328</v>
      </c>
      <c r="D83" t="b">
        <v>1</v>
      </c>
      <c r="E83" t="s">
        <v>1505</v>
      </c>
      <c r="F83" t="s">
        <v>1506</v>
      </c>
    </row>
    <row r="84" spans="1:6">
      <c r="A84" t="s">
        <v>1507</v>
      </c>
      <c r="B84" t="s">
        <v>1508</v>
      </c>
      <c r="C84" t="s">
        <v>335</v>
      </c>
      <c r="D84" t="b">
        <v>1</v>
      </c>
      <c r="E84" t="s">
        <v>1509</v>
      </c>
      <c r="F84" t="s">
        <v>1510</v>
      </c>
    </row>
    <row r="85" spans="1:6">
      <c r="A85" t="s">
        <v>1511</v>
      </c>
      <c r="B85" t="s">
        <v>1508</v>
      </c>
      <c r="C85" t="s">
        <v>335</v>
      </c>
      <c r="D85" t="b">
        <v>1</v>
      </c>
      <c r="E85" t="s">
        <v>1512</v>
      </c>
      <c r="F85" t="s">
        <v>1513</v>
      </c>
    </row>
    <row r="86" spans="1:6">
      <c r="A86" t="s">
        <v>1514</v>
      </c>
      <c r="B86" t="s">
        <v>336</v>
      </c>
      <c r="C86" t="s">
        <v>340</v>
      </c>
      <c r="D86" t="b">
        <v>1</v>
      </c>
      <c r="E86" t="s">
        <v>1515</v>
      </c>
      <c r="F86" t="s">
        <v>1516</v>
      </c>
    </row>
    <row r="87" spans="1:6">
      <c r="A87" t="s">
        <v>1517</v>
      </c>
      <c r="B87" t="s">
        <v>336</v>
      </c>
      <c r="C87" t="s">
        <v>340</v>
      </c>
      <c r="D87" t="b">
        <v>1</v>
      </c>
      <c r="E87" t="s">
        <v>1518</v>
      </c>
      <c r="F87" t="s">
        <v>1519</v>
      </c>
    </row>
    <row r="88" spans="1:6">
      <c r="A88" t="s">
        <v>1438</v>
      </c>
      <c r="B88" t="s">
        <v>340</v>
      </c>
      <c r="C88" t="s">
        <v>341</v>
      </c>
      <c r="D88" t="b">
        <v>1</v>
      </c>
      <c r="E88" t="s">
        <v>1520</v>
      </c>
      <c r="F88" t="s">
        <v>1521</v>
      </c>
    </row>
    <row r="89" spans="1:6">
      <c r="A89" t="s">
        <v>1522</v>
      </c>
      <c r="B89" t="s">
        <v>349</v>
      </c>
      <c r="C89" t="s">
        <v>350</v>
      </c>
      <c r="D89" t="b">
        <v>1</v>
      </c>
      <c r="E89" t="s">
        <v>1523</v>
      </c>
      <c r="F89" t="s">
        <v>1524</v>
      </c>
    </row>
    <row r="90" spans="1:6">
      <c r="A90" t="s">
        <v>1525</v>
      </c>
      <c r="B90" t="s">
        <v>349</v>
      </c>
      <c r="C90" t="s">
        <v>350</v>
      </c>
      <c r="D90" t="b">
        <v>1</v>
      </c>
      <c r="E90" t="s">
        <v>1526</v>
      </c>
      <c r="F90" t="s">
        <v>1527</v>
      </c>
    </row>
    <row r="91" spans="1:6">
      <c r="A91" t="s">
        <v>1349</v>
      </c>
      <c r="B91" t="s">
        <v>563</v>
      </c>
      <c r="C91" t="s">
        <v>353</v>
      </c>
      <c r="D91" t="b">
        <v>1</v>
      </c>
      <c r="E91" t="s">
        <v>1528</v>
      </c>
      <c r="F91" t="s">
        <v>1529</v>
      </c>
    </row>
    <row r="92" spans="1:6">
      <c r="A92" t="s">
        <v>1352</v>
      </c>
      <c r="B92" t="s">
        <v>353</v>
      </c>
      <c r="C92" t="s">
        <v>354</v>
      </c>
      <c r="D92" t="b">
        <v>1</v>
      </c>
      <c r="E92" t="s">
        <v>1530</v>
      </c>
      <c r="F92" t="s">
        <v>1531</v>
      </c>
    </row>
    <row r="93" spans="1:6">
      <c r="A93" t="s">
        <v>1284</v>
      </c>
      <c r="B93" t="s">
        <v>1143</v>
      </c>
      <c r="C93" t="s">
        <v>357</v>
      </c>
      <c r="D93" t="b">
        <v>1</v>
      </c>
      <c r="E93" t="s">
        <v>1532</v>
      </c>
      <c r="F93" t="s">
        <v>1533</v>
      </c>
    </row>
    <row r="94" spans="1:6">
      <c r="A94" t="s">
        <v>1386</v>
      </c>
      <c r="B94" t="s">
        <v>1143</v>
      </c>
      <c r="C94" t="s">
        <v>357</v>
      </c>
      <c r="D94" t="b">
        <v>1</v>
      </c>
      <c r="E94" t="s">
        <v>1534</v>
      </c>
      <c r="F94" t="s">
        <v>1535</v>
      </c>
    </row>
    <row r="95" spans="1:6">
      <c r="A95" t="s">
        <v>1335</v>
      </c>
      <c r="B95" t="s">
        <v>358</v>
      </c>
      <c r="C95" t="s">
        <v>566</v>
      </c>
      <c r="D95" t="b">
        <v>1</v>
      </c>
      <c r="E95" t="s">
        <v>1536</v>
      </c>
      <c r="F95" t="s">
        <v>1537</v>
      </c>
    </row>
    <row r="96" spans="1:6">
      <c r="A96" t="s">
        <v>1538</v>
      </c>
      <c r="B96" t="s">
        <v>566</v>
      </c>
      <c r="C96" t="s">
        <v>362</v>
      </c>
      <c r="D96" t="b">
        <v>1</v>
      </c>
      <c r="E96" t="s">
        <v>1539</v>
      </c>
      <c r="F96" t="s">
        <v>1540</v>
      </c>
    </row>
    <row r="97" spans="1:6">
      <c r="A97" t="s">
        <v>1541</v>
      </c>
      <c r="B97" t="s">
        <v>569</v>
      </c>
      <c r="C97" t="s">
        <v>570</v>
      </c>
      <c r="D97" t="b">
        <v>1</v>
      </c>
      <c r="E97" t="s">
        <v>1542</v>
      </c>
      <c r="F97" t="s">
        <v>1543</v>
      </c>
    </row>
    <row r="98" spans="1:6">
      <c r="A98" t="s">
        <v>1544</v>
      </c>
      <c r="B98" t="s">
        <v>569</v>
      </c>
      <c r="C98" t="s">
        <v>570</v>
      </c>
      <c r="D98" t="b">
        <v>1</v>
      </c>
      <c r="E98" t="s">
        <v>1545</v>
      </c>
      <c r="F98" t="s">
        <v>1546</v>
      </c>
    </row>
    <row r="99" spans="1:6">
      <c r="A99" t="s">
        <v>1547</v>
      </c>
      <c r="B99" t="s">
        <v>570</v>
      </c>
      <c r="C99" t="s">
        <v>688</v>
      </c>
      <c r="D99" t="b">
        <v>1</v>
      </c>
      <c r="E99" t="s">
        <v>1548</v>
      </c>
      <c r="F99" t="s">
        <v>1549</v>
      </c>
    </row>
    <row r="100" spans="1:6">
      <c r="A100" t="s">
        <v>1374</v>
      </c>
      <c r="B100" t="s">
        <v>570</v>
      </c>
      <c r="C100" t="s">
        <v>688</v>
      </c>
      <c r="D100" t="b">
        <v>1</v>
      </c>
      <c r="E100" t="s">
        <v>1550</v>
      </c>
      <c r="F100" t="s">
        <v>1551</v>
      </c>
    </row>
    <row r="101" spans="1:6">
      <c r="A101" t="s">
        <v>1547</v>
      </c>
      <c r="B101" t="s">
        <v>688</v>
      </c>
      <c r="C101" t="s">
        <v>689</v>
      </c>
      <c r="D101" t="b">
        <v>1</v>
      </c>
      <c r="E101" t="s">
        <v>1552</v>
      </c>
      <c r="F101" t="s">
        <v>1553</v>
      </c>
    </row>
    <row r="102" spans="1:6">
      <c r="A102" t="s">
        <v>1547</v>
      </c>
      <c r="B102" t="s">
        <v>376</v>
      </c>
      <c r="C102" t="s">
        <v>377</v>
      </c>
      <c r="D102" t="b">
        <v>1</v>
      </c>
      <c r="E102" t="s">
        <v>1554</v>
      </c>
      <c r="F102" t="s">
        <v>1555</v>
      </c>
    </row>
    <row r="103" spans="1:6">
      <c r="A103" t="s">
        <v>1547</v>
      </c>
      <c r="B103" t="s">
        <v>377</v>
      </c>
      <c r="C103" t="s">
        <v>381</v>
      </c>
      <c r="D103" t="b">
        <v>1</v>
      </c>
      <c r="E103" t="s">
        <v>1556</v>
      </c>
      <c r="F103" t="s">
        <v>1557</v>
      </c>
    </row>
    <row r="104" spans="1:6">
      <c r="A104" t="s">
        <v>1547</v>
      </c>
      <c r="B104" t="s">
        <v>381</v>
      </c>
      <c r="C104" t="s">
        <v>384</v>
      </c>
      <c r="D104" t="b">
        <v>1</v>
      </c>
      <c r="E104" t="s">
        <v>1558</v>
      </c>
      <c r="F104" t="s">
        <v>1559</v>
      </c>
    </row>
    <row r="105" spans="1:6">
      <c r="A105" t="s">
        <v>1547</v>
      </c>
      <c r="B105" t="s">
        <v>384</v>
      </c>
      <c r="C105" t="s">
        <v>387</v>
      </c>
      <c r="D105" t="b">
        <v>1</v>
      </c>
      <c r="E105" t="s">
        <v>1560</v>
      </c>
      <c r="F105" t="s">
        <v>1561</v>
      </c>
    </row>
    <row r="106" spans="1:6">
      <c r="A106" t="s">
        <v>1547</v>
      </c>
      <c r="B106" t="s">
        <v>387</v>
      </c>
      <c r="C106" t="s">
        <v>692</v>
      </c>
      <c r="D106" t="b">
        <v>1</v>
      </c>
      <c r="E106" t="s">
        <v>1562</v>
      </c>
      <c r="F106" t="s">
        <v>1563</v>
      </c>
    </row>
    <row r="107" spans="1:6">
      <c r="A107" t="s">
        <v>1363</v>
      </c>
      <c r="B107" t="s">
        <v>1163</v>
      </c>
      <c r="C107" t="s">
        <v>1164</v>
      </c>
      <c r="D107" t="b">
        <v>1</v>
      </c>
      <c r="E107" t="s">
        <v>1564</v>
      </c>
      <c r="F107" t="s">
        <v>1565</v>
      </c>
    </row>
    <row r="108" spans="1:6">
      <c r="A108" t="s">
        <v>1281</v>
      </c>
      <c r="B108" t="s">
        <v>573</v>
      </c>
      <c r="C108" t="s">
        <v>396</v>
      </c>
      <c r="D108" t="b">
        <v>1</v>
      </c>
      <c r="E108" t="s">
        <v>1566</v>
      </c>
      <c r="F108" t="s">
        <v>1567</v>
      </c>
    </row>
    <row r="109" spans="1:6">
      <c r="A109" t="s">
        <v>1568</v>
      </c>
      <c r="B109" t="s">
        <v>405</v>
      </c>
      <c r="C109" t="s">
        <v>409</v>
      </c>
      <c r="D109" t="b">
        <v>1</v>
      </c>
      <c r="E109" t="s">
        <v>1569</v>
      </c>
      <c r="F109" t="s">
        <v>1570</v>
      </c>
    </row>
    <row r="110" spans="1:6">
      <c r="A110" t="s">
        <v>1571</v>
      </c>
      <c r="B110" t="s">
        <v>1176</v>
      </c>
      <c r="C110" t="s">
        <v>697</v>
      </c>
      <c r="D110" t="b">
        <v>1</v>
      </c>
      <c r="E110" t="s">
        <v>1572</v>
      </c>
      <c r="F110" t="s">
        <v>1573</v>
      </c>
    </row>
    <row r="111" spans="1:6">
      <c r="A111" t="s">
        <v>1371</v>
      </c>
      <c r="B111" t="s">
        <v>576</v>
      </c>
      <c r="C111" t="s">
        <v>414</v>
      </c>
      <c r="D111" t="b">
        <v>1</v>
      </c>
      <c r="E111" t="s">
        <v>1574</v>
      </c>
      <c r="F111" t="s">
        <v>1575</v>
      </c>
    </row>
    <row r="112" spans="1:6">
      <c r="A112" t="s">
        <v>1576</v>
      </c>
      <c r="B112" t="s">
        <v>859</v>
      </c>
      <c r="C112" t="s">
        <v>860</v>
      </c>
      <c r="D112" t="b">
        <v>1</v>
      </c>
      <c r="E112" t="s">
        <v>1577</v>
      </c>
      <c r="F112" t="s">
        <v>1578</v>
      </c>
    </row>
    <row r="113" spans="1:6">
      <c r="A113" t="s">
        <v>1475</v>
      </c>
      <c r="B113" t="s">
        <v>863</v>
      </c>
      <c r="C113" t="s">
        <v>700</v>
      </c>
      <c r="D113" t="b">
        <v>1</v>
      </c>
      <c r="E113" t="s">
        <v>1579</v>
      </c>
      <c r="F113" t="s">
        <v>1580</v>
      </c>
    </row>
    <row r="114" spans="1:6">
      <c r="A114" t="s">
        <v>1349</v>
      </c>
      <c r="B114" t="s">
        <v>428</v>
      </c>
      <c r="C114" t="s">
        <v>579</v>
      </c>
      <c r="D114" t="b">
        <v>1</v>
      </c>
      <c r="E114" t="s">
        <v>1581</v>
      </c>
      <c r="F114" t="s">
        <v>1582</v>
      </c>
    </row>
    <row r="115" spans="1:6">
      <c r="A115" t="s">
        <v>1583</v>
      </c>
      <c r="B115" t="s">
        <v>579</v>
      </c>
      <c r="C115" t="s">
        <v>704</v>
      </c>
      <c r="D115" t="b">
        <v>1</v>
      </c>
      <c r="E115" t="s">
        <v>1584</v>
      </c>
      <c r="F115" t="s">
        <v>1585</v>
      </c>
    </row>
    <row r="116" spans="1:6">
      <c r="A116" t="s">
        <v>1404</v>
      </c>
      <c r="B116" t="s">
        <v>869</v>
      </c>
      <c r="C116" t="s">
        <v>870</v>
      </c>
      <c r="D116" t="b">
        <v>1</v>
      </c>
      <c r="E116" t="s">
        <v>1586</v>
      </c>
      <c r="F116" t="s">
        <v>1587</v>
      </c>
    </row>
    <row r="117" spans="1:6">
      <c r="A117" t="s">
        <v>1588</v>
      </c>
      <c r="B117" t="s">
        <v>873</v>
      </c>
      <c r="C117" t="s">
        <v>876</v>
      </c>
      <c r="D117" t="b">
        <v>1</v>
      </c>
      <c r="E117" t="s">
        <v>1589</v>
      </c>
      <c r="F117" t="s">
        <v>1590</v>
      </c>
    </row>
    <row r="118" spans="1:6">
      <c r="A118" t="s">
        <v>1591</v>
      </c>
      <c r="B118" t="s">
        <v>433</v>
      </c>
      <c r="C118" t="s">
        <v>1592</v>
      </c>
      <c r="D118" t="b">
        <v>1</v>
      </c>
      <c r="E118" t="s">
        <v>1593</v>
      </c>
      <c r="F118" t="s">
        <v>1594</v>
      </c>
    </row>
    <row r="119" spans="1:6">
      <c r="A119" t="s">
        <v>1374</v>
      </c>
      <c r="B119" t="s">
        <v>1209</v>
      </c>
      <c r="C119" t="s">
        <v>437</v>
      </c>
      <c r="D119" t="b">
        <v>1</v>
      </c>
      <c r="E119" t="s">
        <v>1595</v>
      </c>
      <c r="F119" t="s">
        <v>1596</v>
      </c>
    </row>
    <row r="120" spans="1:6">
      <c r="A120" t="s">
        <v>1597</v>
      </c>
      <c r="B120" t="s">
        <v>438</v>
      </c>
      <c r="C120" t="s">
        <v>709</v>
      </c>
      <c r="D120" t="b">
        <v>1</v>
      </c>
      <c r="E120" t="s">
        <v>1598</v>
      </c>
      <c r="F120" t="s">
        <v>1599</v>
      </c>
    </row>
    <row r="121" spans="1:6">
      <c r="A121" t="s">
        <v>1438</v>
      </c>
      <c r="B121" t="s">
        <v>1224</v>
      </c>
      <c r="C121" t="s">
        <v>717</v>
      </c>
      <c r="D121" t="b">
        <v>1</v>
      </c>
      <c r="E121" t="s">
        <v>1600</v>
      </c>
      <c r="F121" t="s">
        <v>1601</v>
      </c>
    </row>
    <row r="122" spans="1:6">
      <c r="A122" t="s">
        <v>1602</v>
      </c>
      <c r="B122" t="s">
        <v>1230</v>
      </c>
      <c r="C122" t="s">
        <v>1231</v>
      </c>
      <c r="D122" t="b">
        <v>1</v>
      </c>
      <c r="E122" t="s">
        <v>1603</v>
      </c>
      <c r="F122" t="s">
        <v>1604</v>
      </c>
    </row>
    <row r="123" spans="1:6">
      <c r="A123" t="s">
        <v>1605</v>
      </c>
      <c r="B123" t="s">
        <v>882</v>
      </c>
      <c r="C123" t="s">
        <v>883</v>
      </c>
      <c r="D123" t="b">
        <v>1</v>
      </c>
      <c r="E123" t="s">
        <v>1606</v>
      </c>
      <c r="F123" t="s">
        <v>1607</v>
      </c>
    </row>
    <row r="124" spans="1:6">
      <c r="A124" t="s">
        <v>1608</v>
      </c>
      <c r="B124" t="s">
        <v>883</v>
      </c>
      <c r="C124" t="s">
        <v>1243</v>
      </c>
      <c r="D124" t="b">
        <v>1</v>
      </c>
      <c r="E124" t="s">
        <v>1609</v>
      </c>
      <c r="F124" t="s">
        <v>1610</v>
      </c>
    </row>
    <row r="125" spans="1:6">
      <c r="A125" t="s">
        <v>1611</v>
      </c>
      <c r="B125" t="s">
        <v>442</v>
      </c>
      <c r="C125" t="s">
        <v>443</v>
      </c>
      <c r="D125" t="b">
        <v>1</v>
      </c>
      <c r="E125" t="s">
        <v>1612</v>
      </c>
      <c r="F125" t="s">
        <v>1613</v>
      </c>
    </row>
    <row r="126" spans="1:6">
      <c r="A126" t="s">
        <v>1614</v>
      </c>
      <c r="B126" t="s">
        <v>443</v>
      </c>
      <c r="C126" t="s">
        <v>584</v>
      </c>
      <c r="D126" t="b">
        <v>1</v>
      </c>
      <c r="E126" t="s">
        <v>1615</v>
      </c>
      <c r="F126" t="s">
        <v>1616</v>
      </c>
    </row>
    <row r="127" spans="1:6">
      <c r="A127" t="s">
        <v>1617</v>
      </c>
      <c r="B127" t="s">
        <v>584</v>
      </c>
      <c r="C127" t="s">
        <v>587</v>
      </c>
      <c r="D127" t="b">
        <v>1</v>
      </c>
      <c r="E127" t="s">
        <v>1618</v>
      </c>
      <c r="F127" t="s">
        <v>1619</v>
      </c>
    </row>
    <row r="128" spans="1:6">
      <c r="A128" t="s">
        <v>1620</v>
      </c>
      <c r="B128" t="s">
        <v>587</v>
      </c>
      <c r="C128" t="s">
        <v>590</v>
      </c>
      <c r="D128" t="b">
        <v>1</v>
      </c>
      <c r="E128" t="s">
        <v>1621</v>
      </c>
      <c r="F128" t="s">
        <v>1622</v>
      </c>
    </row>
    <row r="129" spans="1:6">
      <c r="A129" t="s">
        <v>1249</v>
      </c>
      <c r="B129" t="s">
        <v>590</v>
      </c>
      <c r="C129" t="s">
        <v>731</v>
      </c>
      <c r="D129" t="b">
        <v>1</v>
      </c>
      <c r="E129" t="s">
        <v>1623</v>
      </c>
      <c r="F129" t="s">
        <v>1624</v>
      </c>
    </row>
    <row r="130" spans="1:6">
      <c r="A130" t="s">
        <v>1625</v>
      </c>
      <c r="B130" t="s">
        <v>447</v>
      </c>
      <c r="C130" t="s">
        <v>448</v>
      </c>
      <c r="D130" t="b">
        <v>1</v>
      </c>
      <c r="E130" t="s">
        <v>1626</v>
      </c>
      <c r="F130" t="s">
        <v>1627</v>
      </c>
    </row>
    <row r="131" spans="1:6">
      <c r="A131" t="s">
        <v>1628</v>
      </c>
      <c r="B131" t="s">
        <v>597</v>
      </c>
      <c r="C131" t="s">
        <v>598</v>
      </c>
      <c r="D131" t="b">
        <v>1</v>
      </c>
      <c r="E131" t="s">
        <v>1629</v>
      </c>
      <c r="F131" t="s">
        <v>1630</v>
      </c>
    </row>
    <row r="132" spans="1:6">
      <c r="A132" t="s">
        <v>1631</v>
      </c>
      <c r="B132" t="s">
        <v>452</v>
      </c>
      <c r="C132" t="s">
        <v>453</v>
      </c>
      <c r="D132" t="b">
        <v>1</v>
      </c>
      <c r="E132" t="s">
        <v>1632</v>
      </c>
      <c r="F132" t="s">
        <v>1633</v>
      </c>
    </row>
  </sheetData>
  <sortState xmlns:xlrd2="http://schemas.microsoft.com/office/spreadsheetml/2017/richdata2" ref="A2:F77">
    <sortCondition ref="B2:B77"/>
    <sortCondition ref="C2:C77"/>
    <sortCondition ref="A2:A77"/>
  </sortState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D05A4-CE4D-234E-A4D4-29D86CBB0E6D}">
  <dimension ref="A1:F102"/>
  <sheetViews>
    <sheetView topLeftCell="A83" workbookViewId="0"/>
  </sheetViews>
  <sheetFormatPr defaultColWidth="8.875" defaultRowHeight="15"/>
  <cols>
    <col min="1" max="1" width="13.5" style="25" bestFit="1" customWidth="1"/>
    <col min="2" max="2" width="13.875" style="25" bestFit="1" customWidth="1"/>
    <col min="3" max="3" width="12.875" style="25" bestFit="1" customWidth="1"/>
    <col min="4" max="4" width="10.375" style="25" bestFit="1" customWidth="1"/>
    <col min="5" max="5" width="10.5" style="25" bestFit="1" customWidth="1"/>
    <col min="6" max="6" width="11.125" style="25" bestFit="1" customWidth="1"/>
    <col min="7" max="16384" width="8.875" style="25"/>
  </cols>
  <sheetData>
    <row r="1" spans="1:6">
      <c r="A1" s="25" t="s">
        <v>130</v>
      </c>
      <c r="B1" s="25" t="s">
        <v>131</v>
      </c>
      <c r="C1" s="25" t="s">
        <v>132</v>
      </c>
      <c r="D1" s="25" t="s">
        <v>133</v>
      </c>
      <c r="E1" s="25" t="s">
        <v>134</v>
      </c>
      <c r="F1" s="25" t="s">
        <v>135</v>
      </c>
    </row>
    <row r="2" spans="1:6">
      <c r="A2" s="25" t="s">
        <v>1634</v>
      </c>
      <c r="B2" s="25" t="s">
        <v>151</v>
      </c>
      <c r="C2" s="25" t="s">
        <v>155</v>
      </c>
      <c r="D2" s="25" t="b">
        <v>1</v>
      </c>
      <c r="E2" s="25" t="s">
        <v>1635</v>
      </c>
      <c r="F2" s="25" t="s">
        <v>1636</v>
      </c>
    </row>
    <row r="3" spans="1:6">
      <c r="A3" s="25" t="s">
        <v>1637</v>
      </c>
      <c r="B3" s="25" t="s">
        <v>1271</v>
      </c>
      <c r="C3" s="25" t="s">
        <v>1272</v>
      </c>
      <c r="D3" s="25" t="b">
        <v>1</v>
      </c>
      <c r="E3" s="25" t="s">
        <v>1638</v>
      </c>
      <c r="F3" s="25" t="s">
        <v>1639</v>
      </c>
    </row>
    <row r="4" spans="1:6">
      <c r="A4" s="25" t="s">
        <v>1640</v>
      </c>
      <c r="B4" s="25" t="s">
        <v>474</v>
      </c>
      <c r="C4" s="25" t="s">
        <v>477</v>
      </c>
      <c r="D4" s="25" t="b">
        <v>1</v>
      </c>
      <c r="E4" s="25" t="s">
        <v>1641</v>
      </c>
      <c r="F4" s="25" t="s">
        <v>1642</v>
      </c>
    </row>
    <row r="5" spans="1:6">
      <c r="A5" s="25" t="s">
        <v>1643</v>
      </c>
      <c r="B5" s="25" t="s">
        <v>488</v>
      </c>
      <c r="C5" s="25" t="s">
        <v>491</v>
      </c>
      <c r="D5" s="25" t="b">
        <v>1</v>
      </c>
      <c r="E5" s="25" t="s">
        <v>1644</v>
      </c>
      <c r="F5" s="25" t="s">
        <v>1645</v>
      </c>
    </row>
    <row r="6" spans="1:6">
      <c r="A6" s="25" t="s">
        <v>1646</v>
      </c>
      <c r="B6" s="25" t="s">
        <v>159</v>
      </c>
      <c r="C6" s="25" t="s">
        <v>160</v>
      </c>
      <c r="D6" s="25" t="b">
        <v>1</v>
      </c>
      <c r="E6" s="25" t="s">
        <v>1647</v>
      </c>
      <c r="F6" s="25" t="s">
        <v>1648</v>
      </c>
    </row>
    <row r="7" spans="1:6">
      <c r="A7" s="25" t="s">
        <v>1649</v>
      </c>
      <c r="B7" s="25" t="s">
        <v>165</v>
      </c>
      <c r="C7" s="25" t="s">
        <v>605</v>
      </c>
      <c r="D7" s="25" t="b">
        <v>1</v>
      </c>
      <c r="E7" s="25" t="s">
        <v>1650</v>
      </c>
      <c r="F7" s="25" t="s">
        <v>1651</v>
      </c>
    </row>
    <row r="8" spans="1:6">
      <c r="A8" s="25" t="s">
        <v>1652</v>
      </c>
      <c r="B8" s="25" t="s">
        <v>605</v>
      </c>
      <c r="C8" s="25" t="s">
        <v>606</v>
      </c>
      <c r="D8" s="25" t="b">
        <v>1</v>
      </c>
      <c r="E8" s="25" t="s">
        <v>1653</v>
      </c>
      <c r="F8" s="25" t="s">
        <v>1654</v>
      </c>
    </row>
    <row r="9" spans="1:6">
      <c r="A9" s="25" t="s">
        <v>1655</v>
      </c>
      <c r="B9" s="25" t="s">
        <v>169</v>
      </c>
      <c r="C9" s="25" t="s">
        <v>170</v>
      </c>
      <c r="D9" s="25" t="b">
        <v>1</v>
      </c>
      <c r="E9" s="25" t="s">
        <v>1656</v>
      </c>
      <c r="F9" s="25" t="s">
        <v>1657</v>
      </c>
    </row>
    <row r="10" spans="1:6">
      <c r="A10" s="25" t="s">
        <v>1658</v>
      </c>
      <c r="B10" s="25" t="s">
        <v>1305</v>
      </c>
      <c r="C10" s="25" t="s">
        <v>929</v>
      </c>
      <c r="D10" s="25" t="b">
        <v>1</v>
      </c>
      <c r="E10" s="25" t="s">
        <v>1659</v>
      </c>
      <c r="F10" s="25" t="s">
        <v>1660</v>
      </c>
    </row>
    <row r="11" spans="1:6">
      <c r="A11" s="25" t="s">
        <v>1661</v>
      </c>
      <c r="B11" s="25" t="s">
        <v>929</v>
      </c>
      <c r="C11" s="25" t="s">
        <v>498</v>
      </c>
      <c r="D11" s="25" t="b">
        <v>1</v>
      </c>
      <c r="E11" s="25" t="s">
        <v>1662</v>
      </c>
      <c r="F11" s="25" t="s">
        <v>1663</v>
      </c>
    </row>
    <row r="12" spans="1:6">
      <c r="A12" s="25" t="s">
        <v>1664</v>
      </c>
      <c r="B12" s="25" t="s">
        <v>498</v>
      </c>
      <c r="C12" s="25" t="s">
        <v>499</v>
      </c>
      <c r="D12" s="25" t="b">
        <v>1</v>
      </c>
      <c r="E12" s="25" t="s">
        <v>1665</v>
      </c>
      <c r="F12" s="25" t="s">
        <v>1666</v>
      </c>
    </row>
    <row r="13" spans="1:6">
      <c r="A13" s="25" t="s">
        <v>1667</v>
      </c>
      <c r="B13" s="25" t="s">
        <v>499</v>
      </c>
      <c r="C13" s="25" t="s">
        <v>177</v>
      </c>
      <c r="D13" s="25" t="b">
        <v>1</v>
      </c>
      <c r="E13" s="25" t="s">
        <v>1668</v>
      </c>
      <c r="F13" s="25" t="s">
        <v>1669</v>
      </c>
    </row>
    <row r="14" spans="1:6">
      <c r="A14" s="25" t="s">
        <v>1670</v>
      </c>
      <c r="B14" s="25" t="s">
        <v>177</v>
      </c>
      <c r="C14" s="25" t="s">
        <v>178</v>
      </c>
      <c r="D14" s="25" t="b">
        <v>1</v>
      </c>
      <c r="E14" s="25" t="s">
        <v>1671</v>
      </c>
      <c r="F14" s="25" t="s">
        <v>1672</v>
      </c>
    </row>
    <row r="15" spans="1:6">
      <c r="A15" s="25" t="s">
        <v>1673</v>
      </c>
      <c r="B15" s="25" t="s">
        <v>942</v>
      </c>
      <c r="C15" s="25" t="s">
        <v>946</v>
      </c>
      <c r="D15" s="25" t="b">
        <v>1</v>
      </c>
      <c r="E15" s="25" t="s">
        <v>1674</v>
      </c>
      <c r="F15" s="25" t="s">
        <v>1675</v>
      </c>
    </row>
    <row r="16" spans="1:6">
      <c r="A16" s="25" t="s">
        <v>1676</v>
      </c>
      <c r="B16" s="25" t="s">
        <v>946</v>
      </c>
      <c r="C16" s="25" t="s">
        <v>758</v>
      </c>
      <c r="D16" s="25" t="b">
        <v>1</v>
      </c>
      <c r="E16" s="25" t="s">
        <v>1677</v>
      </c>
      <c r="F16" s="25" t="s">
        <v>1678</v>
      </c>
    </row>
    <row r="17" spans="1:6">
      <c r="A17" s="25" t="s">
        <v>1679</v>
      </c>
      <c r="B17" s="25" t="s">
        <v>758</v>
      </c>
      <c r="C17" s="25" t="s">
        <v>617</v>
      </c>
      <c r="D17" s="25" t="b">
        <v>1</v>
      </c>
      <c r="E17" s="25" t="s">
        <v>1680</v>
      </c>
      <c r="F17" s="25" t="s">
        <v>1681</v>
      </c>
    </row>
    <row r="18" spans="1:6">
      <c r="A18" s="25" t="s">
        <v>1682</v>
      </c>
      <c r="B18" s="25" t="s">
        <v>504</v>
      </c>
      <c r="C18" s="25" t="s">
        <v>622</v>
      </c>
      <c r="D18" s="25" t="b">
        <v>1</v>
      </c>
      <c r="E18" s="25" t="s">
        <v>1683</v>
      </c>
      <c r="F18" s="25" t="s">
        <v>1684</v>
      </c>
    </row>
    <row r="19" spans="1:6">
      <c r="A19" s="25" t="s">
        <v>1685</v>
      </c>
      <c r="B19" s="25" t="s">
        <v>997</v>
      </c>
      <c r="C19" s="25" t="s">
        <v>768</v>
      </c>
      <c r="D19" s="25" t="b">
        <v>1</v>
      </c>
      <c r="E19" s="25" t="s">
        <v>1686</v>
      </c>
      <c r="F19" s="25" t="s">
        <v>1687</v>
      </c>
    </row>
    <row r="20" spans="1:6">
      <c r="A20" s="25" t="s">
        <v>1688</v>
      </c>
      <c r="B20" s="25" t="s">
        <v>630</v>
      </c>
      <c r="C20" s="25" t="s">
        <v>631</v>
      </c>
      <c r="D20" s="25" t="b">
        <v>1</v>
      </c>
      <c r="E20" s="25" t="s">
        <v>1689</v>
      </c>
      <c r="F20" s="25" t="s">
        <v>1690</v>
      </c>
    </row>
    <row r="21" spans="1:6">
      <c r="A21" s="25" t="s">
        <v>1691</v>
      </c>
      <c r="B21" s="25" t="s">
        <v>200</v>
      </c>
      <c r="C21" s="25" t="s">
        <v>201</v>
      </c>
      <c r="D21" s="25" t="b">
        <v>1</v>
      </c>
      <c r="E21" s="25" t="s">
        <v>1692</v>
      </c>
      <c r="F21" s="25" t="s">
        <v>1693</v>
      </c>
    </row>
    <row r="22" spans="1:6">
      <c r="A22" s="25" t="s">
        <v>1694</v>
      </c>
      <c r="B22" s="25" t="s">
        <v>201</v>
      </c>
      <c r="C22" s="25" t="s">
        <v>205</v>
      </c>
      <c r="D22" s="25" t="b">
        <v>1</v>
      </c>
      <c r="E22" s="25" t="s">
        <v>1695</v>
      </c>
      <c r="F22" s="25" t="s">
        <v>1696</v>
      </c>
    </row>
    <row r="23" spans="1:6">
      <c r="A23" s="25" t="s">
        <v>1697</v>
      </c>
      <c r="B23" s="25" t="s">
        <v>206</v>
      </c>
      <c r="C23" s="25" t="s">
        <v>515</v>
      </c>
      <c r="D23" s="25" t="b">
        <v>1</v>
      </c>
      <c r="E23" s="25" t="s">
        <v>1698</v>
      </c>
      <c r="F23" s="25" t="s">
        <v>1699</v>
      </c>
    </row>
    <row r="24" spans="1:6">
      <c r="A24" s="25" t="s">
        <v>1700</v>
      </c>
      <c r="B24" s="25" t="s">
        <v>215</v>
      </c>
      <c r="C24" s="25" t="s">
        <v>216</v>
      </c>
      <c r="D24" s="25" t="b">
        <v>1</v>
      </c>
      <c r="E24" s="25" t="s">
        <v>1701</v>
      </c>
      <c r="F24" s="25" t="s">
        <v>1702</v>
      </c>
    </row>
    <row r="25" spans="1:6">
      <c r="A25" s="25" t="s">
        <v>1703</v>
      </c>
      <c r="B25" s="25" t="s">
        <v>523</v>
      </c>
      <c r="C25" s="25" t="s">
        <v>524</v>
      </c>
      <c r="D25" s="25" t="b">
        <v>1</v>
      </c>
      <c r="E25" s="25" t="s">
        <v>1704</v>
      </c>
      <c r="F25" s="25" t="s">
        <v>1705</v>
      </c>
    </row>
    <row r="26" spans="1:6">
      <c r="A26" s="25" t="s">
        <v>1706</v>
      </c>
      <c r="B26" s="25" t="s">
        <v>524</v>
      </c>
      <c r="C26" s="25" t="s">
        <v>228</v>
      </c>
      <c r="D26" s="25" t="b">
        <v>1</v>
      </c>
      <c r="E26" s="25" t="s">
        <v>1707</v>
      </c>
      <c r="F26" s="25" t="s">
        <v>1708</v>
      </c>
    </row>
    <row r="27" spans="1:6">
      <c r="A27" s="25" t="s">
        <v>1709</v>
      </c>
      <c r="B27" s="25" t="s">
        <v>228</v>
      </c>
      <c r="C27" s="25" t="s">
        <v>229</v>
      </c>
      <c r="D27" s="25" t="b">
        <v>1</v>
      </c>
      <c r="E27" s="25" t="s">
        <v>1710</v>
      </c>
      <c r="F27" s="25" t="s">
        <v>1711</v>
      </c>
    </row>
    <row r="28" spans="1:6">
      <c r="A28" s="25" t="s">
        <v>1712</v>
      </c>
      <c r="B28" s="25" t="s">
        <v>1040</v>
      </c>
      <c r="C28" s="25" t="s">
        <v>1041</v>
      </c>
      <c r="D28" s="25" t="b">
        <v>1</v>
      </c>
      <c r="E28" s="25" t="s">
        <v>1713</v>
      </c>
      <c r="F28" s="25" t="s">
        <v>1714</v>
      </c>
    </row>
    <row r="29" spans="1:6">
      <c r="A29" s="25" t="s">
        <v>1715</v>
      </c>
      <c r="B29" s="25" t="s">
        <v>1041</v>
      </c>
      <c r="C29" s="25" t="s">
        <v>528</v>
      </c>
      <c r="D29" s="25" t="b">
        <v>1</v>
      </c>
      <c r="E29" s="25" t="s">
        <v>1716</v>
      </c>
      <c r="F29" s="25" t="s">
        <v>1717</v>
      </c>
    </row>
    <row r="30" spans="1:6">
      <c r="A30" s="25" t="s">
        <v>1718</v>
      </c>
      <c r="B30" s="25" t="s">
        <v>528</v>
      </c>
      <c r="C30" s="25" t="s">
        <v>233</v>
      </c>
      <c r="D30" s="25" t="b">
        <v>1</v>
      </c>
      <c r="E30" s="25" t="s">
        <v>1719</v>
      </c>
      <c r="F30" s="25" t="s">
        <v>1720</v>
      </c>
    </row>
    <row r="31" spans="1:6">
      <c r="A31" s="25" t="s">
        <v>1721</v>
      </c>
      <c r="B31" s="25" t="s">
        <v>233</v>
      </c>
      <c r="C31" s="25" t="s">
        <v>234</v>
      </c>
      <c r="D31" s="25" t="b">
        <v>1</v>
      </c>
      <c r="E31" s="25" t="s">
        <v>1722</v>
      </c>
      <c r="F31" s="25" t="s">
        <v>1723</v>
      </c>
    </row>
    <row r="32" spans="1:6">
      <c r="A32" s="25" t="s">
        <v>1673</v>
      </c>
      <c r="B32" s="25" t="s">
        <v>1724</v>
      </c>
      <c r="C32" s="25" t="s">
        <v>1052</v>
      </c>
      <c r="D32" s="25" t="b">
        <v>1</v>
      </c>
      <c r="E32" s="25" t="s">
        <v>1725</v>
      </c>
      <c r="F32" s="25" t="s">
        <v>1726</v>
      </c>
    </row>
    <row r="33" spans="1:6">
      <c r="A33" s="25" t="s">
        <v>1727</v>
      </c>
      <c r="B33" s="25" t="s">
        <v>1053</v>
      </c>
      <c r="C33" s="25" t="s">
        <v>1057</v>
      </c>
      <c r="D33" s="25" t="b">
        <v>1</v>
      </c>
      <c r="E33" s="25" t="s">
        <v>1728</v>
      </c>
      <c r="F33" s="25" t="s">
        <v>1729</v>
      </c>
    </row>
    <row r="34" spans="1:6">
      <c r="A34" s="25" t="s">
        <v>1730</v>
      </c>
      <c r="B34" s="25" t="s">
        <v>1053</v>
      </c>
      <c r="C34" s="25" t="s">
        <v>1057</v>
      </c>
      <c r="D34" s="25" t="b">
        <v>1</v>
      </c>
      <c r="E34" s="25" t="s">
        <v>1731</v>
      </c>
      <c r="F34" s="25" t="s">
        <v>1732</v>
      </c>
    </row>
    <row r="35" spans="1:6">
      <c r="A35" s="25" t="s">
        <v>1733</v>
      </c>
      <c r="B35" s="25" t="s">
        <v>1065</v>
      </c>
      <c r="C35" s="25" t="s">
        <v>531</v>
      </c>
      <c r="D35" s="25" t="b">
        <v>1</v>
      </c>
      <c r="E35" s="25" t="s">
        <v>1734</v>
      </c>
      <c r="F35" s="25" t="s">
        <v>1735</v>
      </c>
    </row>
    <row r="36" spans="1:6">
      <c r="A36" s="25" t="s">
        <v>1736</v>
      </c>
      <c r="B36" s="25" t="s">
        <v>531</v>
      </c>
      <c r="C36" s="25" t="s">
        <v>532</v>
      </c>
      <c r="D36" s="25" t="b">
        <v>1</v>
      </c>
      <c r="E36" s="25" t="s">
        <v>1737</v>
      </c>
      <c r="F36" s="25" t="s">
        <v>1738</v>
      </c>
    </row>
    <row r="37" spans="1:6">
      <c r="A37" s="25" t="s">
        <v>1739</v>
      </c>
      <c r="B37" s="25" t="s">
        <v>532</v>
      </c>
      <c r="C37" s="25" t="s">
        <v>649</v>
      </c>
      <c r="D37" s="25" t="b">
        <v>1</v>
      </c>
      <c r="E37" s="25" t="s">
        <v>1740</v>
      </c>
      <c r="F37" s="25" t="s">
        <v>1741</v>
      </c>
    </row>
    <row r="38" spans="1:6">
      <c r="A38" s="25" t="s">
        <v>1733</v>
      </c>
      <c r="B38" s="25" t="s">
        <v>532</v>
      </c>
      <c r="C38" s="25" t="s">
        <v>649</v>
      </c>
      <c r="D38" s="25" t="b">
        <v>1</v>
      </c>
      <c r="E38" s="25" t="s">
        <v>1742</v>
      </c>
      <c r="F38" s="25" t="s">
        <v>1743</v>
      </c>
    </row>
    <row r="39" spans="1:6">
      <c r="A39" s="25" t="s">
        <v>1744</v>
      </c>
      <c r="B39" s="25" t="s">
        <v>1432</v>
      </c>
      <c r="C39" s="25" t="s">
        <v>1075</v>
      </c>
      <c r="D39" s="25" t="b">
        <v>1</v>
      </c>
      <c r="E39" s="25" t="s">
        <v>1745</v>
      </c>
      <c r="F39" s="25" t="s">
        <v>1746</v>
      </c>
    </row>
    <row r="40" spans="1:6">
      <c r="A40" s="25" t="s">
        <v>1744</v>
      </c>
      <c r="B40" s="25" t="s">
        <v>1432</v>
      </c>
      <c r="C40" s="25" t="s">
        <v>1075</v>
      </c>
      <c r="D40" s="25" t="b">
        <v>1</v>
      </c>
      <c r="E40" s="25" t="s">
        <v>1747</v>
      </c>
      <c r="F40" s="25" t="s">
        <v>1748</v>
      </c>
    </row>
    <row r="41" spans="1:6">
      <c r="A41" s="25" t="s">
        <v>1694</v>
      </c>
      <c r="B41" s="25" t="s">
        <v>535</v>
      </c>
      <c r="C41" s="25" t="s">
        <v>264</v>
      </c>
      <c r="D41" s="25" t="b">
        <v>1</v>
      </c>
      <c r="E41" s="25" t="s">
        <v>1749</v>
      </c>
      <c r="F41" s="25" t="s">
        <v>1750</v>
      </c>
    </row>
    <row r="42" spans="1:6">
      <c r="A42" s="25" t="s">
        <v>1751</v>
      </c>
      <c r="B42" s="25" t="s">
        <v>264</v>
      </c>
      <c r="C42" s="25" t="s">
        <v>265</v>
      </c>
      <c r="D42" s="25" t="b">
        <v>1</v>
      </c>
      <c r="E42" s="25" t="s">
        <v>1752</v>
      </c>
      <c r="F42" s="25" t="s">
        <v>1753</v>
      </c>
    </row>
    <row r="43" spans="1:6">
      <c r="A43" s="25" t="s">
        <v>1754</v>
      </c>
      <c r="B43" s="25" t="s">
        <v>265</v>
      </c>
      <c r="C43" s="25" t="s">
        <v>653</v>
      </c>
      <c r="D43" s="25" t="b">
        <v>1</v>
      </c>
      <c r="E43" s="25" t="s">
        <v>1755</v>
      </c>
      <c r="F43" s="25" t="s">
        <v>1756</v>
      </c>
    </row>
    <row r="44" spans="1:6">
      <c r="A44" s="25" t="s">
        <v>1754</v>
      </c>
      <c r="B44" s="25" t="s">
        <v>265</v>
      </c>
      <c r="C44" s="25" t="s">
        <v>653</v>
      </c>
      <c r="D44" s="25" t="b">
        <v>1</v>
      </c>
      <c r="E44" s="25" t="s">
        <v>1757</v>
      </c>
      <c r="F44" s="25" t="s">
        <v>1758</v>
      </c>
    </row>
    <row r="45" spans="1:6">
      <c r="A45" s="25" t="s">
        <v>1759</v>
      </c>
      <c r="B45" s="25" t="s">
        <v>272</v>
      </c>
      <c r="C45" s="25" t="s">
        <v>273</v>
      </c>
      <c r="D45" s="25" t="b">
        <v>1</v>
      </c>
      <c r="E45" s="25" t="s">
        <v>1760</v>
      </c>
      <c r="F45" s="25" t="s">
        <v>1761</v>
      </c>
    </row>
    <row r="46" spans="1:6">
      <c r="A46" s="25" t="s">
        <v>1762</v>
      </c>
      <c r="B46" s="25" t="s">
        <v>273</v>
      </c>
      <c r="C46" s="25" t="s">
        <v>1085</v>
      </c>
      <c r="D46" s="25" t="b">
        <v>1</v>
      </c>
      <c r="E46" s="25" t="s">
        <v>1763</v>
      </c>
      <c r="F46" s="25" t="s">
        <v>1764</v>
      </c>
    </row>
    <row r="47" spans="1:6">
      <c r="A47" s="25" t="s">
        <v>1765</v>
      </c>
      <c r="B47" s="25" t="s">
        <v>803</v>
      </c>
      <c r="C47" s="25" t="s">
        <v>656</v>
      </c>
      <c r="D47" s="25" t="b">
        <v>1</v>
      </c>
      <c r="E47" s="25" t="s">
        <v>1766</v>
      </c>
      <c r="F47" s="25" t="s">
        <v>1767</v>
      </c>
    </row>
    <row r="48" spans="1:6">
      <c r="A48" s="25" t="s">
        <v>1768</v>
      </c>
      <c r="B48" s="25" t="s">
        <v>803</v>
      </c>
      <c r="C48" s="25" t="s">
        <v>656</v>
      </c>
      <c r="D48" s="25" t="b">
        <v>1</v>
      </c>
      <c r="E48" s="25" t="s">
        <v>1769</v>
      </c>
      <c r="F48" s="25" t="s">
        <v>1770</v>
      </c>
    </row>
    <row r="49" spans="1:6">
      <c r="A49" s="25" t="s">
        <v>1771</v>
      </c>
      <c r="B49" s="25" t="s">
        <v>540</v>
      </c>
      <c r="C49" s="25" t="s">
        <v>659</v>
      </c>
      <c r="D49" s="25" t="b">
        <v>1</v>
      </c>
      <c r="E49" s="25" t="s">
        <v>1772</v>
      </c>
      <c r="F49" s="25" t="s">
        <v>1773</v>
      </c>
    </row>
    <row r="50" spans="1:6">
      <c r="A50" s="25" t="s">
        <v>1774</v>
      </c>
      <c r="B50" s="25" t="s">
        <v>543</v>
      </c>
      <c r="C50" s="25" t="s">
        <v>544</v>
      </c>
      <c r="D50" s="25" t="b">
        <v>1</v>
      </c>
      <c r="E50" s="25" t="s">
        <v>1775</v>
      </c>
      <c r="F50" s="25" t="s">
        <v>1776</v>
      </c>
    </row>
    <row r="51" spans="1:6">
      <c r="A51" s="25" t="s">
        <v>1777</v>
      </c>
      <c r="B51" s="25" t="s">
        <v>544</v>
      </c>
      <c r="C51" s="25" t="s">
        <v>663</v>
      </c>
      <c r="D51" s="25" t="b">
        <v>1</v>
      </c>
      <c r="E51" s="25" t="s">
        <v>1778</v>
      </c>
      <c r="F51" s="25" t="s">
        <v>1779</v>
      </c>
    </row>
    <row r="52" spans="1:6">
      <c r="A52" s="25" t="s">
        <v>1780</v>
      </c>
      <c r="B52" s="25" t="s">
        <v>292</v>
      </c>
      <c r="C52" s="25" t="s">
        <v>296</v>
      </c>
      <c r="D52" s="25" t="b">
        <v>1</v>
      </c>
      <c r="E52" s="25" t="s">
        <v>1781</v>
      </c>
      <c r="F52" s="25" t="s">
        <v>1782</v>
      </c>
    </row>
    <row r="53" spans="1:6">
      <c r="A53" s="25" t="s">
        <v>1783</v>
      </c>
      <c r="B53" s="25" t="s">
        <v>296</v>
      </c>
      <c r="C53" s="25" t="s">
        <v>300</v>
      </c>
      <c r="D53" s="25" t="b">
        <v>1</v>
      </c>
      <c r="E53" s="25" t="s">
        <v>1784</v>
      </c>
      <c r="F53" s="25" t="s">
        <v>1785</v>
      </c>
    </row>
    <row r="54" spans="1:6">
      <c r="A54" s="25" t="s">
        <v>1786</v>
      </c>
      <c r="B54" s="25" t="s">
        <v>300</v>
      </c>
      <c r="C54" s="25" t="s">
        <v>303</v>
      </c>
      <c r="D54" s="25" t="b">
        <v>1</v>
      </c>
      <c r="E54" s="25" t="s">
        <v>1787</v>
      </c>
      <c r="F54" s="25" t="s">
        <v>1788</v>
      </c>
    </row>
    <row r="55" spans="1:6">
      <c r="A55" s="25" t="s">
        <v>1789</v>
      </c>
      <c r="B55" s="25" t="s">
        <v>303</v>
      </c>
      <c r="C55" s="25" t="s">
        <v>306</v>
      </c>
      <c r="D55" s="25" t="b">
        <v>1</v>
      </c>
      <c r="E55" s="25" t="s">
        <v>1790</v>
      </c>
      <c r="F55" s="25" t="s">
        <v>1791</v>
      </c>
    </row>
    <row r="56" spans="1:6">
      <c r="A56" s="25" t="s">
        <v>1792</v>
      </c>
      <c r="B56" s="25" t="s">
        <v>303</v>
      </c>
      <c r="C56" s="25" t="s">
        <v>306</v>
      </c>
      <c r="D56" s="25" t="b">
        <v>1</v>
      </c>
      <c r="E56" s="25" t="s">
        <v>1793</v>
      </c>
      <c r="F56" s="25" t="s">
        <v>1794</v>
      </c>
    </row>
    <row r="57" spans="1:6">
      <c r="A57" s="25" t="s">
        <v>1795</v>
      </c>
      <c r="B57" s="25" t="s">
        <v>820</v>
      </c>
      <c r="C57" s="25" t="s">
        <v>821</v>
      </c>
      <c r="D57" s="25" t="b">
        <v>1</v>
      </c>
      <c r="E57" s="25" t="s">
        <v>1796</v>
      </c>
      <c r="F57" s="25" t="s">
        <v>1797</v>
      </c>
    </row>
    <row r="58" spans="1:6">
      <c r="A58" s="25" t="s">
        <v>1798</v>
      </c>
      <c r="B58" s="25" t="s">
        <v>821</v>
      </c>
      <c r="C58" s="25" t="s">
        <v>310</v>
      </c>
      <c r="D58" s="25" t="b">
        <v>1</v>
      </c>
      <c r="E58" s="25" t="s">
        <v>1799</v>
      </c>
      <c r="F58" s="25" t="s">
        <v>1800</v>
      </c>
    </row>
    <row r="59" spans="1:6">
      <c r="A59" s="25" t="s">
        <v>1801</v>
      </c>
      <c r="B59" s="25" t="s">
        <v>310</v>
      </c>
      <c r="C59" s="25" t="s">
        <v>311</v>
      </c>
      <c r="D59" s="25" t="b">
        <v>1</v>
      </c>
      <c r="E59" s="25" t="s">
        <v>1802</v>
      </c>
      <c r="F59" s="25" t="s">
        <v>1803</v>
      </c>
    </row>
    <row r="60" spans="1:6">
      <c r="A60" s="25" t="s">
        <v>1801</v>
      </c>
      <c r="B60" s="25" t="s">
        <v>311</v>
      </c>
      <c r="C60" s="25" t="s">
        <v>315</v>
      </c>
      <c r="D60" s="25" t="b">
        <v>1</v>
      </c>
      <c r="E60" s="25" t="s">
        <v>1804</v>
      </c>
      <c r="F60" s="25" t="s">
        <v>1805</v>
      </c>
    </row>
    <row r="61" spans="1:6">
      <c r="A61" s="25" t="s">
        <v>1806</v>
      </c>
      <c r="B61" s="25" t="s">
        <v>311</v>
      </c>
      <c r="C61" s="25" t="s">
        <v>315</v>
      </c>
      <c r="D61" s="25" t="b">
        <v>1</v>
      </c>
      <c r="E61" s="25" t="s">
        <v>1807</v>
      </c>
      <c r="F61" s="25" t="s">
        <v>1808</v>
      </c>
    </row>
    <row r="62" spans="1:6">
      <c r="A62" s="25" t="s">
        <v>1801</v>
      </c>
      <c r="B62" s="25" t="s">
        <v>315</v>
      </c>
      <c r="C62" s="25" t="s">
        <v>670</v>
      </c>
      <c r="D62" s="25" t="b">
        <v>1</v>
      </c>
      <c r="E62" s="25" t="s">
        <v>1809</v>
      </c>
      <c r="F62" s="25" t="s">
        <v>1810</v>
      </c>
    </row>
    <row r="63" spans="1:6">
      <c r="A63" s="25" t="s">
        <v>1811</v>
      </c>
      <c r="B63" s="25" t="s">
        <v>319</v>
      </c>
      <c r="C63" s="25" t="s">
        <v>320</v>
      </c>
      <c r="D63" s="25" t="b">
        <v>1</v>
      </c>
      <c r="E63" s="25" t="s">
        <v>1812</v>
      </c>
      <c r="F63" s="25" t="s">
        <v>1813</v>
      </c>
    </row>
    <row r="64" spans="1:6">
      <c r="A64" s="25" t="s">
        <v>1814</v>
      </c>
      <c r="B64" s="25" t="s">
        <v>324</v>
      </c>
      <c r="C64" s="25" t="s">
        <v>328</v>
      </c>
      <c r="D64" s="25" t="b">
        <v>1</v>
      </c>
      <c r="E64" s="25" t="s">
        <v>1815</v>
      </c>
      <c r="F64" s="25" t="s">
        <v>1816</v>
      </c>
    </row>
    <row r="65" spans="1:6">
      <c r="A65" s="25" t="s">
        <v>1817</v>
      </c>
      <c r="B65" s="25" t="s">
        <v>673</v>
      </c>
      <c r="C65" s="25" t="s">
        <v>1818</v>
      </c>
      <c r="D65" s="25" t="b">
        <v>1</v>
      </c>
      <c r="E65" s="25" t="s">
        <v>1819</v>
      </c>
      <c r="F65" s="25" t="s">
        <v>1820</v>
      </c>
    </row>
    <row r="66" spans="1:6">
      <c r="A66" s="25" t="s">
        <v>334</v>
      </c>
      <c r="B66" s="25" t="s">
        <v>335</v>
      </c>
      <c r="C66" s="25" t="s">
        <v>336</v>
      </c>
      <c r="D66" s="25" t="b">
        <v>1</v>
      </c>
      <c r="E66" s="25" t="s">
        <v>1821</v>
      </c>
      <c r="F66" s="25" t="s">
        <v>1822</v>
      </c>
    </row>
    <row r="67" spans="1:6">
      <c r="A67" s="25" t="s">
        <v>1823</v>
      </c>
      <c r="B67" s="25" t="s">
        <v>336</v>
      </c>
      <c r="C67" s="25" t="s">
        <v>340</v>
      </c>
      <c r="D67" s="25" t="b">
        <v>1</v>
      </c>
      <c r="E67" s="25" t="s">
        <v>1824</v>
      </c>
      <c r="F67" s="25" t="s">
        <v>1825</v>
      </c>
    </row>
    <row r="68" spans="1:6">
      <c r="A68" s="25" t="s">
        <v>1826</v>
      </c>
      <c r="B68" s="25" t="s">
        <v>340</v>
      </c>
      <c r="C68" s="25" t="s">
        <v>341</v>
      </c>
      <c r="D68" s="25" t="b">
        <v>1</v>
      </c>
      <c r="E68" s="25" t="s">
        <v>1827</v>
      </c>
      <c r="F68" s="25" t="s">
        <v>1828</v>
      </c>
    </row>
    <row r="69" spans="1:6">
      <c r="A69" s="25" t="s">
        <v>1829</v>
      </c>
      <c r="B69" s="25" t="s">
        <v>349</v>
      </c>
      <c r="C69" s="25" t="s">
        <v>350</v>
      </c>
      <c r="D69" s="25" t="b">
        <v>1</v>
      </c>
      <c r="E69" s="25" t="s">
        <v>1830</v>
      </c>
      <c r="F69" s="25" t="s">
        <v>1831</v>
      </c>
    </row>
    <row r="70" spans="1:6">
      <c r="A70" s="25" t="s">
        <v>1832</v>
      </c>
      <c r="B70" s="25" t="s">
        <v>350</v>
      </c>
      <c r="C70" s="25" t="s">
        <v>563</v>
      </c>
      <c r="D70" s="25" t="b">
        <v>1</v>
      </c>
      <c r="E70" s="25" t="s">
        <v>1833</v>
      </c>
      <c r="F70" s="25" t="s">
        <v>1834</v>
      </c>
    </row>
    <row r="71" spans="1:6">
      <c r="A71" s="25" t="s">
        <v>1835</v>
      </c>
      <c r="B71" s="25" t="s">
        <v>563</v>
      </c>
      <c r="C71" s="25" t="s">
        <v>353</v>
      </c>
      <c r="D71" s="25" t="b">
        <v>1</v>
      </c>
      <c r="E71" s="25" t="s">
        <v>1836</v>
      </c>
      <c r="F71" s="25" t="s">
        <v>1837</v>
      </c>
    </row>
    <row r="72" spans="1:6">
      <c r="A72" s="25" t="s">
        <v>1838</v>
      </c>
      <c r="B72" s="25" t="s">
        <v>353</v>
      </c>
      <c r="C72" s="25" t="s">
        <v>354</v>
      </c>
      <c r="D72" s="25" t="b">
        <v>1</v>
      </c>
      <c r="E72" s="25" t="s">
        <v>1839</v>
      </c>
      <c r="F72" s="25" t="s">
        <v>1840</v>
      </c>
    </row>
    <row r="73" spans="1:6">
      <c r="A73" s="25" t="s">
        <v>1841</v>
      </c>
      <c r="B73" s="25" t="s">
        <v>354</v>
      </c>
      <c r="C73" s="25" t="s">
        <v>682</v>
      </c>
      <c r="D73" s="25" t="b">
        <v>1</v>
      </c>
      <c r="E73" s="25" t="s">
        <v>1842</v>
      </c>
      <c r="F73" s="25" t="s">
        <v>1843</v>
      </c>
    </row>
    <row r="74" spans="1:6">
      <c r="A74" s="25" t="s">
        <v>1844</v>
      </c>
      <c r="B74" s="25" t="s">
        <v>1143</v>
      </c>
      <c r="C74" s="25" t="s">
        <v>357</v>
      </c>
      <c r="D74" s="25" t="b">
        <v>1</v>
      </c>
      <c r="E74" s="25" t="s">
        <v>1845</v>
      </c>
      <c r="F74" s="25" t="s">
        <v>1846</v>
      </c>
    </row>
    <row r="75" spans="1:6">
      <c r="A75" s="25" t="s">
        <v>1847</v>
      </c>
      <c r="B75" s="25" t="s">
        <v>358</v>
      </c>
      <c r="C75" s="25" t="s">
        <v>566</v>
      </c>
      <c r="D75" s="25" t="b">
        <v>1</v>
      </c>
      <c r="E75" s="25" t="s">
        <v>1848</v>
      </c>
      <c r="F75" s="25" t="s">
        <v>1849</v>
      </c>
    </row>
    <row r="76" spans="1:6">
      <c r="A76" s="25" t="s">
        <v>1850</v>
      </c>
      <c r="B76" s="25" t="s">
        <v>566</v>
      </c>
      <c r="C76" s="25" t="s">
        <v>362</v>
      </c>
      <c r="D76" s="25" t="b">
        <v>1</v>
      </c>
      <c r="E76" s="25" t="s">
        <v>1851</v>
      </c>
      <c r="F76" s="25" t="s">
        <v>1852</v>
      </c>
    </row>
    <row r="77" spans="1:6">
      <c r="A77" s="25" t="s">
        <v>1853</v>
      </c>
      <c r="B77" s="25" t="s">
        <v>569</v>
      </c>
      <c r="C77" s="25" t="s">
        <v>570</v>
      </c>
      <c r="D77" s="25" t="b">
        <v>1</v>
      </c>
      <c r="E77" s="25" t="s">
        <v>1854</v>
      </c>
      <c r="F77" s="25" t="s">
        <v>1855</v>
      </c>
    </row>
    <row r="78" spans="1:6">
      <c r="A78" s="25" t="s">
        <v>1856</v>
      </c>
      <c r="B78" s="25" t="s">
        <v>387</v>
      </c>
      <c r="C78" s="25" t="s">
        <v>692</v>
      </c>
      <c r="D78" s="25" t="b">
        <v>1</v>
      </c>
      <c r="E78" s="25" t="s">
        <v>1857</v>
      </c>
      <c r="F78" s="25" t="s">
        <v>1858</v>
      </c>
    </row>
    <row r="79" spans="1:6">
      <c r="A79" s="25" t="s">
        <v>1859</v>
      </c>
      <c r="B79" s="25" t="s">
        <v>1163</v>
      </c>
      <c r="C79" s="25" t="s">
        <v>1164</v>
      </c>
      <c r="D79" s="25" t="b">
        <v>1</v>
      </c>
      <c r="E79" s="25" t="s">
        <v>1860</v>
      </c>
      <c r="F79" s="25" t="s">
        <v>1861</v>
      </c>
    </row>
    <row r="80" spans="1:6">
      <c r="A80" s="25" t="s">
        <v>1862</v>
      </c>
      <c r="B80" s="25" t="s">
        <v>1164</v>
      </c>
      <c r="C80" s="25" t="s">
        <v>573</v>
      </c>
      <c r="D80" s="25" t="b">
        <v>1</v>
      </c>
      <c r="E80" s="25" t="s">
        <v>1863</v>
      </c>
      <c r="F80" s="25" t="s">
        <v>1864</v>
      </c>
    </row>
    <row r="81" spans="1:6">
      <c r="A81" s="25" t="s">
        <v>1865</v>
      </c>
      <c r="B81" s="25" t="s">
        <v>573</v>
      </c>
      <c r="C81" s="25" t="s">
        <v>396</v>
      </c>
      <c r="D81" s="25" t="b">
        <v>1</v>
      </c>
      <c r="E81" s="25" t="s">
        <v>1866</v>
      </c>
      <c r="F81" s="25" t="s">
        <v>1867</v>
      </c>
    </row>
    <row r="82" spans="1:6">
      <c r="A82" s="25" t="s">
        <v>1868</v>
      </c>
      <c r="B82" s="25" t="s">
        <v>409</v>
      </c>
      <c r="C82" s="25" t="s">
        <v>410</v>
      </c>
      <c r="D82" s="25" t="b">
        <v>1</v>
      </c>
      <c r="E82" s="25" t="s">
        <v>1869</v>
      </c>
      <c r="F82" s="25" t="s">
        <v>1870</v>
      </c>
    </row>
    <row r="83" spans="1:6">
      <c r="A83" s="25" t="s">
        <v>1871</v>
      </c>
      <c r="B83" s="25" t="s">
        <v>1176</v>
      </c>
      <c r="C83" s="25" t="s">
        <v>697</v>
      </c>
      <c r="D83" s="25" t="b">
        <v>1</v>
      </c>
      <c r="E83" s="25" t="s">
        <v>1872</v>
      </c>
      <c r="F83" s="25" t="s">
        <v>1873</v>
      </c>
    </row>
    <row r="84" spans="1:6">
      <c r="A84" s="25" t="s">
        <v>1874</v>
      </c>
      <c r="B84" s="25" t="s">
        <v>697</v>
      </c>
      <c r="C84" s="25" t="s">
        <v>576</v>
      </c>
      <c r="D84" s="25" t="b">
        <v>1</v>
      </c>
      <c r="E84" s="25" t="s">
        <v>1875</v>
      </c>
      <c r="F84" s="25" t="s">
        <v>1876</v>
      </c>
    </row>
    <row r="85" spans="1:6">
      <c r="A85" s="25" t="s">
        <v>1877</v>
      </c>
      <c r="B85" s="25" t="s">
        <v>576</v>
      </c>
      <c r="C85" s="25" t="s">
        <v>414</v>
      </c>
      <c r="D85" s="25" t="b">
        <v>1</v>
      </c>
      <c r="E85" s="25" t="s">
        <v>1878</v>
      </c>
      <c r="F85" s="25" t="s">
        <v>1879</v>
      </c>
    </row>
    <row r="86" spans="1:6">
      <c r="A86" s="25" t="s">
        <v>1880</v>
      </c>
      <c r="B86" s="25" t="s">
        <v>859</v>
      </c>
      <c r="C86" s="25" t="s">
        <v>860</v>
      </c>
      <c r="D86" s="25" t="b">
        <v>1</v>
      </c>
      <c r="E86" s="25" t="s">
        <v>1881</v>
      </c>
      <c r="F86" s="25" t="s">
        <v>1882</v>
      </c>
    </row>
    <row r="87" spans="1:6">
      <c r="A87" s="25" t="s">
        <v>1883</v>
      </c>
      <c r="B87" s="25" t="s">
        <v>860</v>
      </c>
      <c r="C87" s="25" t="s">
        <v>1186</v>
      </c>
      <c r="D87" s="25" t="b">
        <v>1</v>
      </c>
      <c r="E87" s="25" t="s">
        <v>1884</v>
      </c>
      <c r="F87" s="25" t="s">
        <v>1885</v>
      </c>
    </row>
    <row r="88" spans="1:6">
      <c r="A88" s="25" t="s">
        <v>1886</v>
      </c>
      <c r="B88" s="25" t="s">
        <v>1186</v>
      </c>
      <c r="C88" s="25" t="s">
        <v>863</v>
      </c>
      <c r="D88" s="25" t="b">
        <v>1</v>
      </c>
      <c r="E88" s="25" t="s">
        <v>1887</v>
      </c>
      <c r="F88" s="25" t="s">
        <v>1888</v>
      </c>
    </row>
    <row r="89" spans="1:6">
      <c r="A89" s="25" t="s">
        <v>1889</v>
      </c>
      <c r="B89" s="25" t="s">
        <v>863</v>
      </c>
      <c r="C89" s="25" t="s">
        <v>700</v>
      </c>
      <c r="D89" s="25" t="b">
        <v>1</v>
      </c>
      <c r="E89" s="25" t="s">
        <v>1890</v>
      </c>
      <c r="F89" s="25" t="s">
        <v>1891</v>
      </c>
    </row>
    <row r="90" spans="1:6">
      <c r="A90" s="25" t="s">
        <v>1892</v>
      </c>
      <c r="B90" s="25" t="s">
        <v>700</v>
      </c>
      <c r="C90" s="25" t="s">
        <v>701</v>
      </c>
      <c r="D90" s="25" t="b">
        <v>1</v>
      </c>
      <c r="E90" s="25" t="s">
        <v>1893</v>
      </c>
      <c r="F90" s="25" t="s">
        <v>1894</v>
      </c>
    </row>
    <row r="91" spans="1:6">
      <c r="A91" s="25" t="s">
        <v>1895</v>
      </c>
      <c r="B91" s="25" t="s">
        <v>424</v>
      </c>
      <c r="C91" s="25" t="s">
        <v>428</v>
      </c>
      <c r="D91" s="25" t="b">
        <v>1</v>
      </c>
      <c r="E91" s="25" t="s">
        <v>1896</v>
      </c>
      <c r="F91" s="25" t="s">
        <v>1897</v>
      </c>
    </row>
    <row r="92" spans="1:6">
      <c r="A92" s="25" t="s">
        <v>1898</v>
      </c>
      <c r="B92" s="25" t="s">
        <v>428</v>
      </c>
      <c r="C92" s="25" t="s">
        <v>579</v>
      </c>
      <c r="D92" s="25" t="b">
        <v>1</v>
      </c>
      <c r="E92" s="25" t="s">
        <v>1899</v>
      </c>
      <c r="F92" s="25" t="s">
        <v>1900</v>
      </c>
    </row>
    <row r="93" spans="1:6">
      <c r="A93" s="25" t="s">
        <v>1901</v>
      </c>
      <c r="B93" s="25" t="s">
        <v>709</v>
      </c>
      <c r="C93" s="25" t="s">
        <v>710</v>
      </c>
      <c r="D93" s="25" t="b">
        <v>1</v>
      </c>
      <c r="E93" s="25" t="s">
        <v>1902</v>
      </c>
      <c r="F93" s="25" t="s">
        <v>1903</v>
      </c>
    </row>
    <row r="94" spans="1:6">
      <c r="A94" s="25" t="s">
        <v>1904</v>
      </c>
      <c r="B94" s="25" t="s">
        <v>1218</v>
      </c>
      <c r="C94" s="25" t="s">
        <v>1221</v>
      </c>
      <c r="D94" s="25" t="b">
        <v>1</v>
      </c>
      <c r="E94" s="25" t="s">
        <v>1905</v>
      </c>
      <c r="F94" s="25" t="s">
        <v>1906</v>
      </c>
    </row>
    <row r="95" spans="1:6">
      <c r="A95" s="25" t="s">
        <v>1904</v>
      </c>
      <c r="B95" s="25" t="s">
        <v>1221</v>
      </c>
      <c r="C95" s="25" t="s">
        <v>1224</v>
      </c>
      <c r="D95" s="25" t="b">
        <v>1</v>
      </c>
      <c r="E95" s="25" t="s">
        <v>1907</v>
      </c>
      <c r="F95" s="25" t="s">
        <v>1908</v>
      </c>
    </row>
    <row r="96" spans="1:6">
      <c r="A96" s="25" t="s">
        <v>1904</v>
      </c>
      <c r="B96" s="25" t="s">
        <v>1224</v>
      </c>
      <c r="C96" s="25" t="s">
        <v>717</v>
      </c>
      <c r="D96" s="25" t="b">
        <v>1</v>
      </c>
      <c r="E96" s="25" t="s">
        <v>1909</v>
      </c>
      <c r="F96" s="25" t="s">
        <v>1910</v>
      </c>
    </row>
    <row r="97" spans="1:6">
      <c r="A97" s="25" t="s">
        <v>1904</v>
      </c>
      <c r="B97" s="25" t="s">
        <v>717</v>
      </c>
      <c r="C97" s="25" t="s">
        <v>718</v>
      </c>
      <c r="D97" s="25" t="b">
        <v>1</v>
      </c>
      <c r="E97" s="25" t="s">
        <v>1911</v>
      </c>
      <c r="F97" s="25" t="s">
        <v>1912</v>
      </c>
    </row>
    <row r="98" spans="1:6">
      <c r="A98" s="25" t="s">
        <v>1904</v>
      </c>
      <c r="B98" s="25" t="s">
        <v>1230</v>
      </c>
      <c r="C98" s="25" t="s">
        <v>1231</v>
      </c>
      <c r="D98" s="25" t="b">
        <v>1</v>
      </c>
      <c r="E98" s="25" t="s">
        <v>1913</v>
      </c>
      <c r="F98" s="25" t="s">
        <v>1914</v>
      </c>
    </row>
    <row r="99" spans="1:6">
      <c r="A99" s="25" t="s">
        <v>1904</v>
      </c>
      <c r="B99" s="25" t="s">
        <v>1231</v>
      </c>
      <c r="C99" s="25" t="s">
        <v>1234</v>
      </c>
      <c r="D99" s="25" t="b">
        <v>1</v>
      </c>
      <c r="E99" s="25" t="s">
        <v>1915</v>
      </c>
      <c r="F99" s="25" t="s">
        <v>1916</v>
      </c>
    </row>
    <row r="100" spans="1:6">
      <c r="A100" s="25" t="s">
        <v>1917</v>
      </c>
      <c r="B100" s="25" t="s">
        <v>443</v>
      </c>
      <c r="C100" s="25" t="s">
        <v>584</v>
      </c>
      <c r="D100" s="25" t="b">
        <v>1</v>
      </c>
      <c r="E100" s="25" t="s">
        <v>1918</v>
      </c>
      <c r="F100" s="25" t="s">
        <v>1919</v>
      </c>
    </row>
    <row r="101" spans="1:6">
      <c r="A101" s="25" t="s">
        <v>1920</v>
      </c>
      <c r="B101" s="25" t="s">
        <v>453</v>
      </c>
      <c r="C101" s="25" t="s">
        <v>915</v>
      </c>
      <c r="D101" s="25" t="b">
        <v>1</v>
      </c>
      <c r="E101" s="25" t="s">
        <v>1921</v>
      </c>
      <c r="F101" s="25" t="s">
        <v>1922</v>
      </c>
    </row>
    <row r="102" spans="1:6">
      <c r="A102" s="25" t="s">
        <v>1923</v>
      </c>
      <c r="B102" s="25" t="s">
        <v>915</v>
      </c>
      <c r="C102" s="25" t="s">
        <v>460</v>
      </c>
      <c r="D102" s="25" t="b">
        <v>1</v>
      </c>
      <c r="E102" s="25" t="s">
        <v>1924</v>
      </c>
      <c r="F102" s="25" t="s">
        <v>1925</v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9D1B5-D1D4-A64E-A67B-1CBD4642226B}">
  <dimension ref="A1:F102"/>
  <sheetViews>
    <sheetView topLeftCell="A83" workbookViewId="0"/>
  </sheetViews>
  <sheetFormatPr defaultColWidth="11" defaultRowHeight="15.95"/>
  <sheetData>
    <row r="1" spans="1:6">
      <c r="A1" t="s">
        <v>130</v>
      </c>
      <c r="B1" t="s">
        <v>131</v>
      </c>
      <c r="C1" t="s">
        <v>132</v>
      </c>
      <c r="D1" t="s">
        <v>133</v>
      </c>
      <c r="E1" t="s">
        <v>134</v>
      </c>
      <c r="F1" t="s">
        <v>135</v>
      </c>
    </row>
    <row r="2" spans="1:6">
      <c r="A2" t="s">
        <v>1634</v>
      </c>
      <c r="B2" t="s">
        <v>151</v>
      </c>
      <c r="C2" t="s">
        <v>155</v>
      </c>
      <c r="D2" t="b">
        <v>1</v>
      </c>
      <c r="E2" t="s">
        <v>1635</v>
      </c>
      <c r="F2" t="s">
        <v>1636</v>
      </c>
    </row>
    <row r="3" spans="1:6">
      <c r="A3" t="s">
        <v>1637</v>
      </c>
      <c r="B3" t="s">
        <v>1271</v>
      </c>
      <c r="C3" t="s">
        <v>1272</v>
      </c>
      <c r="D3" t="b">
        <v>1</v>
      </c>
      <c r="E3" t="s">
        <v>1638</v>
      </c>
      <c r="F3" t="s">
        <v>1639</v>
      </c>
    </row>
    <row r="4" spans="1:6">
      <c r="A4" t="s">
        <v>1640</v>
      </c>
      <c r="B4" t="s">
        <v>474</v>
      </c>
      <c r="C4" t="s">
        <v>477</v>
      </c>
      <c r="D4" t="b">
        <v>1</v>
      </c>
      <c r="E4" t="s">
        <v>1641</v>
      </c>
      <c r="F4" t="s">
        <v>1642</v>
      </c>
    </row>
    <row r="5" spans="1:6">
      <c r="A5" t="s">
        <v>1643</v>
      </c>
      <c r="B5" t="s">
        <v>488</v>
      </c>
      <c r="C5" t="s">
        <v>491</v>
      </c>
      <c r="D5" t="b">
        <v>1</v>
      </c>
      <c r="E5" t="s">
        <v>1644</v>
      </c>
      <c r="F5" t="s">
        <v>1645</v>
      </c>
    </row>
    <row r="6" spans="1:6">
      <c r="A6" t="s">
        <v>1646</v>
      </c>
      <c r="B6" t="s">
        <v>159</v>
      </c>
      <c r="C6" t="s">
        <v>160</v>
      </c>
      <c r="D6" t="b">
        <v>1</v>
      </c>
      <c r="E6" t="s">
        <v>1647</v>
      </c>
      <c r="F6" t="s">
        <v>1648</v>
      </c>
    </row>
    <row r="7" spans="1:6">
      <c r="A7" t="s">
        <v>1649</v>
      </c>
      <c r="B7" t="s">
        <v>165</v>
      </c>
      <c r="C7" t="s">
        <v>605</v>
      </c>
      <c r="D7" t="b">
        <v>1</v>
      </c>
      <c r="E7" t="s">
        <v>1650</v>
      </c>
      <c r="F7" t="s">
        <v>1651</v>
      </c>
    </row>
    <row r="8" spans="1:6">
      <c r="A8" t="s">
        <v>1652</v>
      </c>
      <c r="B8" t="s">
        <v>605</v>
      </c>
      <c r="C8" t="s">
        <v>606</v>
      </c>
      <c r="D8" t="b">
        <v>1</v>
      </c>
      <c r="E8" t="s">
        <v>1653</v>
      </c>
      <c r="F8" t="s">
        <v>1654</v>
      </c>
    </row>
    <row r="9" spans="1:6">
      <c r="A9" t="s">
        <v>1655</v>
      </c>
      <c r="B9" t="s">
        <v>169</v>
      </c>
      <c r="C9" t="s">
        <v>170</v>
      </c>
      <c r="D9" t="b">
        <v>1</v>
      </c>
      <c r="E9" t="s">
        <v>1656</v>
      </c>
      <c r="F9" t="s">
        <v>1657</v>
      </c>
    </row>
    <row r="10" spans="1:6">
      <c r="A10" t="s">
        <v>1658</v>
      </c>
      <c r="B10" t="s">
        <v>1305</v>
      </c>
      <c r="C10" t="s">
        <v>929</v>
      </c>
      <c r="D10" t="b">
        <v>1</v>
      </c>
      <c r="E10" t="s">
        <v>1659</v>
      </c>
      <c r="F10" t="s">
        <v>1660</v>
      </c>
    </row>
    <row r="11" spans="1:6">
      <c r="A11" t="s">
        <v>1661</v>
      </c>
      <c r="B11" t="s">
        <v>929</v>
      </c>
      <c r="C11" t="s">
        <v>498</v>
      </c>
      <c r="D11" t="b">
        <v>1</v>
      </c>
      <c r="E11" t="s">
        <v>1662</v>
      </c>
      <c r="F11" t="s">
        <v>1663</v>
      </c>
    </row>
    <row r="12" spans="1:6">
      <c r="A12" t="s">
        <v>1664</v>
      </c>
      <c r="B12" t="s">
        <v>498</v>
      </c>
      <c r="C12" t="s">
        <v>499</v>
      </c>
      <c r="D12" t="b">
        <v>1</v>
      </c>
      <c r="E12" t="s">
        <v>1665</v>
      </c>
      <c r="F12" t="s">
        <v>1666</v>
      </c>
    </row>
    <row r="13" spans="1:6">
      <c r="A13" t="s">
        <v>1667</v>
      </c>
      <c r="B13" t="s">
        <v>499</v>
      </c>
      <c r="C13" t="s">
        <v>177</v>
      </c>
      <c r="D13" t="b">
        <v>1</v>
      </c>
      <c r="E13" t="s">
        <v>1668</v>
      </c>
      <c r="F13" t="s">
        <v>1669</v>
      </c>
    </row>
    <row r="14" spans="1:6">
      <c r="A14" t="s">
        <v>1670</v>
      </c>
      <c r="B14" t="s">
        <v>177</v>
      </c>
      <c r="C14" t="s">
        <v>178</v>
      </c>
      <c r="D14" t="b">
        <v>1</v>
      </c>
      <c r="E14" t="s">
        <v>1671</v>
      </c>
      <c r="F14" t="s">
        <v>1672</v>
      </c>
    </row>
    <row r="15" spans="1:6">
      <c r="A15" t="s">
        <v>1673</v>
      </c>
      <c r="B15" t="s">
        <v>942</v>
      </c>
      <c r="C15" t="s">
        <v>946</v>
      </c>
      <c r="D15" t="b">
        <v>1</v>
      </c>
      <c r="E15" t="s">
        <v>1674</v>
      </c>
      <c r="F15" t="s">
        <v>1675</v>
      </c>
    </row>
    <row r="16" spans="1:6">
      <c r="A16" t="s">
        <v>1676</v>
      </c>
      <c r="B16" t="s">
        <v>946</v>
      </c>
      <c r="C16" t="s">
        <v>758</v>
      </c>
      <c r="D16" t="b">
        <v>1</v>
      </c>
      <c r="E16" t="s">
        <v>1677</v>
      </c>
      <c r="F16" t="s">
        <v>1678</v>
      </c>
    </row>
    <row r="17" spans="1:6">
      <c r="A17" t="s">
        <v>1679</v>
      </c>
      <c r="B17" t="s">
        <v>758</v>
      </c>
      <c r="C17" t="s">
        <v>617</v>
      </c>
      <c r="D17" t="b">
        <v>1</v>
      </c>
      <c r="E17" t="s">
        <v>1680</v>
      </c>
      <c r="F17" t="s">
        <v>1681</v>
      </c>
    </row>
    <row r="18" spans="1:6">
      <c r="A18" t="s">
        <v>1682</v>
      </c>
      <c r="B18" t="s">
        <v>504</v>
      </c>
      <c r="C18" t="s">
        <v>622</v>
      </c>
      <c r="D18" t="b">
        <v>1</v>
      </c>
      <c r="E18" t="s">
        <v>1683</v>
      </c>
      <c r="F18" t="s">
        <v>1684</v>
      </c>
    </row>
    <row r="19" spans="1:6">
      <c r="A19" t="s">
        <v>1685</v>
      </c>
      <c r="B19" t="s">
        <v>997</v>
      </c>
      <c r="C19" t="s">
        <v>768</v>
      </c>
      <c r="D19" t="b">
        <v>1</v>
      </c>
      <c r="E19" t="s">
        <v>1686</v>
      </c>
      <c r="F19" t="s">
        <v>1687</v>
      </c>
    </row>
    <row r="20" spans="1:6">
      <c r="A20" t="s">
        <v>1688</v>
      </c>
      <c r="B20" t="s">
        <v>630</v>
      </c>
      <c r="C20" t="s">
        <v>631</v>
      </c>
      <c r="D20" t="b">
        <v>1</v>
      </c>
      <c r="E20" t="s">
        <v>1689</v>
      </c>
      <c r="F20" t="s">
        <v>1690</v>
      </c>
    </row>
    <row r="21" spans="1:6">
      <c r="A21" t="s">
        <v>1691</v>
      </c>
      <c r="B21" t="s">
        <v>200</v>
      </c>
      <c r="C21" t="s">
        <v>201</v>
      </c>
      <c r="D21" t="b">
        <v>1</v>
      </c>
      <c r="E21" t="s">
        <v>1692</v>
      </c>
      <c r="F21" t="s">
        <v>1693</v>
      </c>
    </row>
    <row r="22" spans="1:6">
      <c r="A22" t="s">
        <v>1694</v>
      </c>
      <c r="B22" t="s">
        <v>201</v>
      </c>
      <c r="C22" t="s">
        <v>205</v>
      </c>
      <c r="D22" t="b">
        <v>1</v>
      </c>
      <c r="E22" t="s">
        <v>1695</v>
      </c>
      <c r="F22" t="s">
        <v>1696</v>
      </c>
    </row>
    <row r="23" spans="1:6">
      <c r="A23" t="s">
        <v>1697</v>
      </c>
      <c r="B23" t="s">
        <v>206</v>
      </c>
      <c r="C23" t="s">
        <v>515</v>
      </c>
      <c r="D23" t="b">
        <v>1</v>
      </c>
      <c r="E23" t="s">
        <v>1698</v>
      </c>
      <c r="F23" t="s">
        <v>1699</v>
      </c>
    </row>
    <row r="24" spans="1:6">
      <c r="A24" t="s">
        <v>1700</v>
      </c>
      <c r="B24" t="s">
        <v>215</v>
      </c>
      <c r="C24" t="s">
        <v>216</v>
      </c>
      <c r="D24" t="b">
        <v>1</v>
      </c>
      <c r="E24" t="s">
        <v>1701</v>
      </c>
      <c r="F24" t="s">
        <v>1702</v>
      </c>
    </row>
    <row r="25" spans="1:6">
      <c r="A25" t="s">
        <v>1703</v>
      </c>
      <c r="B25" t="s">
        <v>523</v>
      </c>
      <c r="C25" t="s">
        <v>524</v>
      </c>
      <c r="D25" t="b">
        <v>1</v>
      </c>
      <c r="E25" t="s">
        <v>1704</v>
      </c>
      <c r="F25" t="s">
        <v>1705</v>
      </c>
    </row>
    <row r="26" spans="1:6">
      <c r="A26" t="s">
        <v>1706</v>
      </c>
      <c r="B26" t="s">
        <v>524</v>
      </c>
      <c r="C26" t="s">
        <v>228</v>
      </c>
      <c r="D26" t="b">
        <v>1</v>
      </c>
      <c r="E26" t="s">
        <v>1707</v>
      </c>
      <c r="F26" t="s">
        <v>1708</v>
      </c>
    </row>
    <row r="27" spans="1:6">
      <c r="A27" t="s">
        <v>1709</v>
      </c>
      <c r="B27" t="s">
        <v>228</v>
      </c>
      <c r="C27" t="s">
        <v>229</v>
      </c>
      <c r="D27" t="b">
        <v>1</v>
      </c>
      <c r="E27" t="s">
        <v>1710</v>
      </c>
      <c r="F27" t="s">
        <v>1711</v>
      </c>
    </row>
    <row r="28" spans="1:6">
      <c r="A28" t="s">
        <v>1712</v>
      </c>
      <c r="B28" t="s">
        <v>1040</v>
      </c>
      <c r="C28" t="s">
        <v>1041</v>
      </c>
      <c r="D28" t="b">
        <v>1</v>
      </c>
      <c r="E28" t="s">
        <v>1713</v>
      </c>
      <c r="F28" t="s">
        <v>1714</v>
      </c>
    </row>
    <row r="29" spans="1:6">
      <c r="A29" t="s">
        <v>1715</v>
      </c>
      <c r="B29" t="s">
        <v>1041</v>
      </c>
      <c r="C29" t="s">
        <v>528</v>
      </c>
      <c r="D29" t="b">
        <v>1</v>
      </c>
      <c r="E29" t="s">
        <v>1716</v>
      </c>
      <c r="F29" t="s">
        <v>1717</v>
      </c>
    </row>
    <row r="30" spans="1:6">
      <c r="A30" t="s">
        <v>1718</v>
      </c>
      <c r="B30" t="s">
        <v>528</v>
      </c>
      <c r="C30" t="s">
        <v>233</v>
      </c>
      <c r="D30" t="b">
        <v>1</v>
      </c>
      <c r="E30" t="s">
        <v>1719</v>
      </c>
      <c r="F30" t="s">
        <v>1720</v>
      </c>
    </row>
    <row r="31" spans="1:6">
      <c r="A31" t="s">
        <v>1721</v>
      </c>
      <c r="B31" t="s">
        <v>233</v>
      </c>
      <c r="C31" t="s">
        <v>234</v>
      </c>
      <c r="D31" t="b">
        <v>1</v>
      </c>
      <c r="E31" t="s">
        <v>1722</v>
      </c>
      <c r="F31" t="s">
        <v>1723</v>
      </c>
    </row>
    <row r="32" spans="1:6">
      <c r="A32" t="s">
        <v>1673</v>
      </c>
      <c r="B32" t="s">
        <v>1724</v>
      </c>
      <c r="C32" t="s">
        <v>1052</v>
      </c>
      <c r="D32" t="b">
        <v>1</v>
      </c>
      <c r="E32" t="s">
        <v>1725</v>
      </c>
      <c r="F32" t="s">
        <v>1726</v>
      </c>
    </row>
    <row r="33" spans="1:6">
      <c r="A33" t="s">
        <v>1727</v>
      </c>
      <c r="B33" t="s">
        <v>1053</v>
      </c>
      <c r="C33" t="s">
        <v>1057</v>
      </c>
      <c r="D33" t="b">
        <v>1</v>
      </c>
      <c r="E33" t="s">
        <v>1728</v>
      </c>
      <c r="F33" t="s">
        <v>1729</v>
      </c>
    </row>
    <row r="34" spans="1:6">
      <c r="A34" t="s">
        <v>1730</v>
      </c>
      <c r="B34" t="s">
        <v>1053</v>
      </c>
      <c r="C34" t="s">
        <v>1057</v>
      </c>
      <c r="D34" t="b">
        <v>1</v>
      </c>
      <c r="E34" t="s">
        <v>1731</v>
      </c>
      <c r="F34" t="s">
        <v>1732</v>
      </c>
    </row>
    <row r="35" spans="1:6">
      <c r="A35" t="s">
        <v>1733</v>
      </c>
      <c r="B35" t="s">
        <v>1065</v>
      </c>
      <c r="C35" t="s">
        <v>531</v>
      </c>
      <c r="D35" t="b">
        <v>1</v>
      </c>
      <c r="E35" t="s">
        <v>1734</v>
      </c>
      <c r="F35" t="s">
        <v>1735</v>
      </c>
    </row>
    <row r="36" spans="1:6">
      <c r="A36" t="s">
        <v>1736</v>
      </c>
      <c r="B36" t="s">
        <v>531</v>
      </c>
      <c r="C36" t="s">
        <v>532</v>
      </c>
      <c r="D36" t="b">
        <v>1</v>
      </c>
      <c r="E36" t="s">
        <v>1737</v>
      </c>
      <c r="F36" t="s">
        <v>1738</v>
      </c>
    </row>
    <row r="37" spans="1:6">
      <c r="A37" t="s">
        <v>1739</v>
      </c>
      <c r="B37" t="s">
        <v>532</v>
      </c>
      <c r="C37" t="s">
        <v>649</v>
      </c>
      <c r="D37" t="b">
        <v>1</v>
      </c>
      <c r="E37" t="s">
        <v>1740</v>
      </c>
      <c r="F37" t="s">
        <v>1741</v>
      </c>
    </row>
    <row r="38" spans="1:6">
      <c r="A38" t="s">
        <v>1733</v>
      </c>
      <c r="B38" t="s">
        <v>532</v>
      </c>
      <c r="C38" t="s">
        <v>649</v>
      </c>
      <c r="D38" t="b">
        <v>1</v>
      </c>
      <c r="E38" t="s">
        <v>1742</v>
      </c>
      <c r="F38" t="s">
        <v>1743</v>
      </c>
    </row>
    <row r="39" spans="1:6">
      <c r="A39" t="s">
        <v>1744</v>
      </c>
      <c r="B39" t="s">
        <v>1432</v>
      </c>
      <c r="C39" t="s">
        <v>1075</v>
      </c>
      <c r="D39" t="b">
        <v>1</v>
      </c>
      <c r="E39" t="s">
        <v>1745</v>
      </c>
      <c r="F39" t="s">
        <v>1746</v>
      </c>
    </row>
    <row r="40" spans="1:6">
      <c r="A40" t="s">
        <v>1744</v>
      </c>
      <c r="B40" t="s">
        <v>1432</v>
      </c>
      <c r="C40" t="s">
        <v>1075</v>
      </c>
      <c r="D40" t="b">
        <v>1</v>
      </c>
      <c r="E40" t="s">
        <v>1747</v>
      </c>
      <c r="F40" t="s">
        <v>1748</v>
      </c>
    </row>
    <row r="41" spans="1:6">
      <c r="A41" t="s">
        <v>1694</v>
      </c>
      <c r="B41" t="s">
        <v>535</v>
      </c>
      <c r="C41" t="s">
        <v>264</v>
      </c>
      <c r="D41" t="b">
        <v>1</v>
      </c>
      <c r="E41" t="s">
        <v>1749</v>
      </c>
      <c r="F41" t="s">
        <v>1750</v>
      </c>
    </row>
    <row r="42" spans="1:6">
      <c r="A42" t="s">
        <v>1751</v>
      </c>
      <c r="B42" t="s">
        <v>264</v>
      </c>
      <c r="C42" t="s">
        <v>265</v>
      </c>
      <c r="D42" t="b">
        <v>1</v>
      </c>
      <c r="E42" t="s">
        <v>1752</v>
      </c>
      <c r="F42" t="s">
        <v>1753</v>
      </c>
    </row>
    <row r="43" spans="1:6">
      <c r="A43" t="s">
        <v>1754</v>
      </c>
      <c r="B43" t="s">
        <v>265</v>
      </c>
      <c r="C43" t="s">
        <v>653</v>
      </c>
      <c r="D43" t="b">
        <v>1</v>
      </c>
      <c r="E43" t="s">
        <v>1755</v>
      </c>
      <c r="F43" t="s">
        <v>1756</v>
      </c>
    </row>
    <row r="44" spans="1:6">
      <c r="A44" t="s">
        <v>1754</v>
      </c>
      <c r="B44" t="s">
        <v>265</v>
      </c>
      <c r="C44" t="s">
        <v>653</v>
      </c>
      <c r="D44" t="b">
        <v>1</v>
      </c>
      <c r="E44" t="s">
        <v>1757</v>
      </c>
      <c r="F44" t="s">
        <v>1758</v>
      </c>
    </row>
    <row r="45" spans="1:6">
      <c r="A45" t="s">
        <v>1759</v>
      </c>
      <c r="B45" t="s">
        <v>272</v>
      </c>
      <c r="C45" t="s">
        <v>273</v>
      </c>
      <c r="D45" t="b">
        <v>1</v>
      </c>
      <c r="E45" t="s">
        <v>1760</v>
      </c>
      <c r="F45" t="s">
        <v>1761</v>
      </c>
    </row>
    <row r="46" spans="1:6">
      <c r="A46" t="s">
        <v>1762</v>
      </c>
      <c r="B46" t="s">
        <v>273</v>
      </c>
      <c r="C46" t="s">
        <v>1085</v>
      </c>
      <c r="D46" t="b">
        <v>1</v>
      </c>
      <c r="E46" t="s">
        <v>1763</v>
      </c>
      <c r="F46" t="s">
        <v>1764</v>
      </c>
    </row>
    <row r="47" spans="1:6">
      <c r="A47" t="s">
        <v>1765</v>
      </c>
      <c r="B47" t="s">
        <v>803</v>
      </c>
      <c r="C47" t="s">
        <v>656</v>
      </c>
      <c r="D47" t="b">
        <v>1</v>
      </c>
      <c r="E47" t="s">
        <v>1766</v>
      </c>
      <c r="F47" t="s">
        <v>1767</v>
      </c>
    </row>
    <row r="48" spans="1:6">
      <c r="A48" t="s">
        <v>1768</v>
      </c>
      <c r="B48" t="s">
        <v>803</v>
      </c>
      <c r="C48" t="s">
        <v>656</v>
      </c>
      <c r="D48" t="b">
        <v>1</v>
      </c>
      <c r="E48" t="s">
        <v>1769</v>
      </c>
      <c r="F48" t="s">
        <v>1770</v>
      </c>
    </row>
    <row r="49" spans="1:6">
      <c r="A49" t="s">
        <v>1771</v>
      </c>
      <c r="B49" t="s">
        <v>540</v>
      </c>
      <c r="C49" t="s">
        <v>659</v>
      </c>
      <c r="D49" t="b">
        <v>1</v>
      </c>
      <c r="E49" t="s">
        <v>1772</v>
      </c>
      <c r="F49" t="s">
        <v>1773</v>
      </c>
    </row>
    <row r="50" spans="1:6">
      <c r="A50" t="s">
        <v>1774</v>
      </c>
      <c r="B50" t="s">
        <v>543</v>
      </c>
      <c r="C50" t="s">
        <v>544</v>
      </c>
      <c r="D50" t="b">
        <v>1</v>
      </c>
      <c r="E50" t="s">
        <v>1775</v>
      </c>
      <c r="F50" t="s">
        <v>1776</v>
      </c>
    </row>
    <row r="51" spans="1:6">
      <c r="A51" t="s">
        <v>1777</v>
      </c>
      <c r="B51" t="s">
        <v>544</v>
      </c>
      <c r="C51" t="s">
        <v>663</v>
      </c>
      <c r="D51" t="b">
        <v>1</v>
      </c>
      <c r="E51" t="s">
        <v>1778</v>
      </c>
      <c r="F51" t="s">
        <v>1779</v>
      </c>
    </row>
    <row r="52" spans="1:6">
      <c r="A52" t="s">
        <v>1780</v>
      </c>
      <c r="B52" t="s">
        <v>292</v>
      </c>
      <c r="C52" t="s">
        <v>296</v>
      </c>
      <c r="D52" t="b">
        <v>1</v>
      </c>
      <c r="E52" t="s">
        <v>1781</v>
      </c>
      <c r="F52" t="s">
        <v>1782</v>
      </c>
    </row>
    <row r="53" spans="1:6">
      <c r="A53" t="s">
        <v>1783</v>
      </c>
      <c r="B53" t="s">
        <v>296</v>
      </c>
      <c r="C53" t="s">
        <v>300</v>
      </c>
      <c r="D53" t="b">
        <v>1</v>
      </c>
      <c r="E53" t="s">
        <v>1784</v>
      </c>
      <c r="F53" t="s">
        <v>1785</v>
      </c>
    </row>
    <row r="54" spans="1:6">
      <c r="A54" t="s">
        <v>1786</v>
      </c>
      <c r="B54" t="s">
        <v>300</v>
      </c>
      <c r="C54" t="s">
        <v>303</v>
      </c>
      <c r="D54" t="b">
        <v>1</v>
      </c>
      <c r="E54" t="s">
        <v>1787</v>
      </c>
      <c r="F54" t="s">
        <v>1788</v>
      </c>
    </row>
    <row r="55" spans="1:6">
      <c r="A55" t="s">
        <v>1789</v>
      </c>
      <c r="B55" t="s">
        <v>303</v>
      </c>
      <c r="C55" t="s">
        <v>306</v>
      </c>
      <c r="D55" t="b">
        <v>1</v>
      </c>
      <c r="E55" t="s">
        <v>1790</v>
      </c>
      <c r="F55" t="s">
        <v>1791</v>
      </c>
    </row>
    <row r="56" spans="1:6">
      <c r="A56" t="s">
        <v>1792</v>
      </c>
      <c r="B56" t="s">
        <v>303</v>
      </c>
      <c r="C56" t="s">
        <v>306</v>
      </c>
      <c r="D56" t="b">
        <v>1</v>
      </c>
      <c r="E56" t="s">
        <v>1793</v>
      </c>
      <c r="F56" t="s">
        <v>1794</v>
      </c>
    </row>
    <row r="57" spans="1:6">
      <c r="A57" t="s">
        <v>1795</v>
      </c>
      <c r="B57" t="s">
        <v>820</v>
      </c>
      <c r="C57" t="s">
        <v>821</v>
      </c>
      <c r="D57" t="b">
        <v>1</v>
      </c>
      <c r="E57" t="s">
        <v>1796</v>
      </c>
      <c r="F57" t="s">
        <v>1797</v>
      </c>
    </row>
    <row r="58" spans="1:6">
      <c r="A58" t="s">
        <v>1798</v>
      </c>
      <c r="B58" t="s">
        <v>821</v>
      </c>
      <c r="C58" t="s">
        <v>310</v>
      </c>
      <c r="D58" t="b">
        <v>1</v>
      </c>
      <c r="E58" t="s">
        <v>1799</v>
      </c>
      <c r="F58" t="s">
        <v>1800</v>
      </c>
    </row>
    <row r="59" spans="1:6">
      <c r="A59" t="s">
        <v>1801</v>
      </c>
      <c r="B59" t="s">
        <v>310</v>
      </c>
      <c r="C59" t="s">
        <v>311</v>
      </c>
      <c r="D59" t="b">
        <v>1</v>
      </c>
      <c r="E59" t="s">
        <v>1802</v>
      </c>
      <c r="F59" t="s">
        <v>1803</v>
      </c>
    </row>
    <row r="60" spans="1:6">
      <c r="A60" t="s">
        <v>1801</v>
      </c>
      <c r="B60" t="s">
        <v>311</v>
      </c>
      <c r="C60" t="s">
        <v>315</v>
      </c>
      <c r="D60" t="b">
        <v>1</v>
      </c>
      <c r="E60" t="s">
        <v>1804</v>
      </c>
      <c r="F60" t="s">
        <v>1805</v>
      </c>
    </row>
    <row r="61" spans="1:6">
      <c r="A61" t="s">
        <v>1806</v>
      </c>
      <c r="B61" t="s">
        <v>311</v>
      </c>
      <c r="C61" t="s">
        <v>315</v>
      </c>
      <c r="D61" t="b">
        <v>1</v>
      </c>
      <c r="E61" t="s">
        <v>1807</v>
      </c>
      <c r="F61" t="s">
        <v>1808</v>
      </c>
    </row>
    <row r="62" spans="1:6">
      <c r="A62" t="s">
        <v>1801</v>
      </c>
      <c r="B62" t="s">
        <v>315</v>
      </c>
      <c r="C62" t="s">
        <v>670</v>
      </c>
      <c r="D62" t="b">
        <v>1</v>
      </c>
      <c r="E62" t="s">
        <v>1809</v>
      </c>
      <c r="F62" t="s">
        <v>1810</v>
      </c>
    </row>
    <row r="63" spans="1:6">
      <c r="A63" t="s">
        <v>1811</v>
      </c>
      <c r="B63" t="s">
        <v>319</v>
      </c>
      <c r="C63" t="s">
        <v>320</v>
      </c>
      <c r="D63" t="b">
        <v>1</v>
      </c>
      <c r="E63" t="s">
        <v>1812</v>
      </c>
      <c r="F63" t="s">
        <v>1813</v>
      </c>
    </row>
    <row r="64" spans="1:6">
      <c r="A64" t="s">
        <v>1814</v>
      </c>
      <c r="B64" t="s">
        <v>324</v>
      </c>
      <c r="C64" t="s">
        <v>328</v>
      </c>
      <c r="D64" t="b">
        <v>1</v>
      </c>
      <c r="E64" t="s">
        <v>1815</v>
      </c>
      <c r="F64" t="s">
        <v>1816</v>
      </c>
    </row>
    <row r="65" spans="1:6">
      <c r="A65" t="s">
        <v>1817</v>
      </c>
      <c r="B65" t="s">
        <v>673</v>
      </c>
      <c r="C65" t="s">
        <v>1818</v>
      </c>
      <c r="D65" t="b">
        <v>1</v>
      </c>
      <c r="E65" t="s">
        <v>1819</v>
      </c>
      <c r="F65" t="s">
        <v>1820</v>
      </c>
    </row>
    <row r="66" spans="1:6">
      <c r="A66" t="s">
        <v>334</v>
      </c>
      <c r="B66" t="s">
        <v>335</v>
      </c>
      <c r="C66" t="s">
        <v>336</v>
      </c>
      <c r="D66" t="b">
        <v>1</v>
      </c>
      <c r="E66" t="s">
        <v>1821</v>
      </c>
      <c r="F66" t="s">
        <v>1822</v>
      </c>
    </row>
    <row r="67" spans="1:6">
      <c r="A67" t="s">
        <v>1823</v>
      </c>
      <c r="B67" t="s">
        <v>336</v>
      </c>
      <c r="C67" t="s">
        <v>340</v>
      </c>
      <c r="D67" t="b">
        <v>1</v>
      </c>
      <c r="E67" t="s">
        <v>1824</v>
      </c>
      <c r="F67" t="s">
        <v>1825</v>
      </c>
    </row>
    <row r="68" spans="1:6">
      <c r="A68" t="s">
        <v>1826</v>
      </c>
      <c r="B68" t="s">
        <v>340</v>
      </c>
      <c r="C68" t="s">
        <v>341</v>
      </c>
      <c r="D68" t="b">
        <v>1</v>
      </c>
      <c r="E68" t="s">
        <v>1827</v>
      </c>
      <c r="F68" t="s">
        <v>1828</v>
      </c>
    </row>
    <row r="69" spans="1:6">
      <c r="A69" t="s">
        <v>1829</v>
      </c>
      <c r="B69" t="s">
        <v>349</v>
      </c>
      <c r="C69" t="s">
        <v>350</v>
      </c>
      <c r="D69" t="b">
        <v>1</v>
      </c>
      <c r="E69" t="s">
        <v>1830</v>
      </c>
      <c r="F69" t="s">
        <v>1831</v>
      </c>
    </row>
    <row r="70" spans="1:6">
      <c r="A70" t="s">
        <v>1832</v>
      </c>
      <c r="B70" t="s">
        <v>350</v>
      </c>
      <c r="C70" t="s">
        <v>563</v>
      </c>
      <c r="D70" t="b">
        <v>1</v>
      </c>
      <c r="E70" t="s">
        <v>1833</v>
      </c>
      <c r="F70" t="s">
        <v>1834</v>
      </c>
    </row>
    <row r="71" spans="1:6">
      <c r="A71" t="s">
        <v>1835</v>
      </c>
      <c r="B71" t="s">
        <v>563</v>
      </c>
      <c r="C71" t="s">
        <v>353</v>
      </c>
      <c r="D71" t="b">
        <v>1</v>
      </c>
      <c r="E71" t="s">
        <v>1836</v>
      </c>
      <c r="F71" t="s">
        <v>1837</v>
      </c>
    </row>
    <row r="72" spans="1:6">
      <c r="A72" t="s">
        <v>1838</v>
      </c>
      <c r="B72" t="s">
        <v>353</v>
      </c>
      <c r="C72" t="s">
        <v>354</v>
      </c>
      <c r="D72" t="b">
        <v>1</v>
      </c>
      <c r="E72" t="s">
        <v>1839</v>
      </c>
      <c r="F72" t="s">
        <v>1840</v>
      </c>
    </row>
    <row r="73" spans="1:6">
      <c r="A73" t="s">
        <v>1841</v>
      </c>
      <c r="B73" t="s">
        <v>354</v>
      </c>
      <c r="C73" t="s">
        <v>682</v>
      </c>
      <c r="D73" t="b">
        <v>1</v>
      </c>
      <c r="E73" t="s">
        <v>1842</v>
      </c>
      <c r="F73" t="s">
        <v>1843</v>
      </c>
    </row>
    <row r="74" spans="1:6">
      <c r="A74" t="s">
        <v>1844</v>
      </c>
      <c r="B74" t="s">
        <v>1143</v>
      </c>
      <c r="C74" t="s">
        <v>357</v>
      </c>
      <c r="D74" t="b">
        <v>1</v>
      </c>
      <c r="E74" t="s">
        <v>1845</v>
      </c>
      <c r="F74" t="s">
        <v>1846</v>
      </c>
    </row>
    <row r="75" spans="1:6">
      <c r="A75" t="s">
        <v>1847</v>
      </c>
      <c r="B75" t="s">
        <v>358</v>
      </c>
      <c r="C75" t="s">
        <v>566</v>
      </c>
      <c r="D75" t="b">
        <v>1</v>
      </c>
      <c r="E75" t="s">
        <v>1848</v>
      </c>
      <c r="F75" t="s">
        <v>1849</v>
      </c>
    </row>
    <row r="76" spans="1:6">
      <c r="A76" t="s">
        <v>1850</v>
      </c>
      <c r="B76" t="s">
        <v>566</v>
      </c>
      <c r="C76" t="s">
        <v>362</v>
      </c>
      <c r="D76" t="b">
        <v>1</v>
      </c>
      <c r="E76" t="s">
        <v>1851</v>
      </c>
      <c r="F76" t="s">
        <v>1852</v>
      </c>
    </row>
    <row r="77" spans="1:6">
      <c r="A77" t="s">
        <v>1853</v>
      </c>
      <c r="B77" t="s">
        <v>569</v>
      </c>
      <c r="C77" t="s">
        <v>570</v>
      </c>
      <c r="D77" t="b">
        <v>1</v>
      </c>
      <c r="E77" t="s">
        <v>1854</v>
      </c>
      <c r="F77" t="s">
        <v>1855</v>
      </c>
    </row>
    <row r="78" spans="1:6">
      <c r="A78" t="s">
        <v>1856</v>
      </c>
      <c r="B78" t="s">
        <v>387</v>
      </c>
      <c r="C78" t="s">
        <v>692</v>
      </c>
      <c r="D78" t="b">
        <v>1</v>
      </c>
      <c r="E78" t="s">
        <v>1857</v>
      </c>
      <c r="F78" t="s">
        <v>1858</v>
      </c>
    </row>
    <row r="79" spans="1:6">
      <c r="A79" t="s">
        <v>1859</v>
      </c>
      <c r="B79" t="s">
        <v>1163</v>
      </c>
      <c r="C79" t="s">
        <v>1164</v>
      </c>
      <c r="D79" t="b">
        <v>1</v>
      </c>
      <c r="E79" t="s">
        <v>1860</v>
      </c>
      <c r="F79" t="s">
        <v>1861</v>
      </c>
    </row>
    <row r="80" spans="1:6">
      <c r="A80" t="s">
        <v>1862</v>
      </c>
      <c r="B80" t="s">
        <v>1164</v>
      </c>
      <c r="C80" t="s">
        <v>573</v>
      </c>
      <c r="D80" t="b">
        <v>1</v>
      </c>
      <c r="E80" t="s">
        <v>1863</v>
      </c>
      <c r="F80" t="s">
        <v>1864</v>
      </c>
    </row>
    <row r="81" spans="1:6">
      <c r="A81" t="s">
        <v>1865</v>
      </c>
      <c r="B81" t="s">
        <v>573</v>
      </c>
      <c r="C81" t="s">
        <v>396</v>
      </c>
      <c r="D81" t="b">
        <v>1</v>
      </c>
      <c r="E81" t="s">
        <v>1866</v>
      </c>
      <c r="F81" t="s">
        <v>1867</v>
      </c>
    </row>
    <row r="82" spans="1:6">
      <c r="A82" t="s">
        <v>1868</v>
      </c>
      <c r="B82" t="s">
        <v>409</v>
      </c>
      <c r="C82" t="s">
        <v>410</v>
      </c>
      <c r="D82" t="b">
        <v>1</v>
      </c>
      <c r="E82" t="s">
        <v>1869</v>
      </c>
      <c r="F82" t="s">
        <v>1870</v>
      </c>
    </row>
    <row r="83" spans="1:6">
      <c r="A83" t="s">
        <v>1871</v>
      </c>
      <c r="B83" t="s">
        <v>1176</v>
      </c>
      <c r="C83" t="s">
        <v>697</v>
      </c>
      <c r="D83" t="b">
        <v>1</v>
      </c>
      <c r="E83" t="s">
        <v>1872</v>
      </c>
      <c r="F83" t="s">
        <v>1873</v>
      </c>
    </row>
    <row r="84" spans="1:6">
      <c r="A84" t="s">
        <v>1874</v>
      </c>
      <c r="B84" t="s">
        <v>697</v>
      </c>
      <c r="C84" t="s">
        <v>576</v>
      </c>
      <c r="D84" t="b">
        <v>1</v>
      </c>
      <c r="E84" t="s">
        <v>1875</v>
      </c>
      <c r="F84" t="s">
        <v>1876</v>
      </c>
    </row>
    <row r="85" spans="1:6">
      <c r="A85" t="s">
        <v>1877</v>
      </c>
      <c r="B85" t="s">
        <v>576</v>
      </c>
      <c r="C85" t="s">
        <v>414</v>
      </c>
      <c r="D85" t="b">
        <v>1</v>
      </c>
      <c r="E85" t="s">
        <v>1878</v>
      </c>
      <c r="F85" t="s">
        <v>1879</v>
      </c>
    </row>
    <row r="86" spans="1:6">
      <c r="A86" t="s">
        <v>1880</v>
      </c>
      <c r="B86" t="s">
        <v>859</v>
      </c>
      <c r="C86" t="s">
        <v>860</v>
      </c>
      <c r="D86" t="b">
        <v>1</v>
      </c>
      <c r="E86" t="s">
        <v>1881</v>
      </c>
      <c r="F86" t="s">
        <v>1882</v>
      </c>
    </row>
    <row r="87" spans="1:6">
      <c r="A87" t="s">
        <v>1883</v>
      </c>
      <c r="B87" t="s">
        <v>860</v>
      </c>
      <c r="C87" t="s">
        <v>1186</v>
      </c>
      <c r="D87" t="b">
        <v>1</v>
      </c>
      <c r="E87" t="s">
        <v>1884</v>
      </c>
      <c r="F87" t="s">
        <v>1885</v>
      </c>
    </row>
    <row r="88" spans="1:6">
      <c r="A88" t="s">
        <v>1886</v>
      </c>
      <c r="B88" t="s">
        <v>1186</v>
      </c>
      <c r="C88" t="s">
        <v>863</v>
      </c>
      <c r="D88" t="b">
        <v>1</v>
      </c>
      <c r="E88" t="s">
        <v>1887</v>
      </c>
      <c r="F88" t="s">
        <v>1888</v>
      </c>
    </row>
    <row r="89" spans="1:6">
      <c r="A89" t="s">
        <v>1889</v>
      </c>
      <c r="B89" t="s">
        <v>863</v>
      </c>
      <c r="C89" t="s">
        <v>700</v>
      </c>
      <c r="D89" t="b">
        <v>1</v>
      </c>
      <c r="E89" t="s">
        <v>1890</v>
      </c>
      <c r="F89" t="s">
        <v>1891</v>
      </c>
    </row>
    <row r="90" spans="1:6">
      <c r="A90" t="s">
        <v>1892</v>
      </c>
      <c r="B90" t="s">
        <v>700</v>
      </c>
      <c r="C90" t="s">
        <v>701</v>
      </c>
      <c r="D90" t="b">
        <v>1</v>
      </c>
      <c r="E90" t="s">
        <v>1893</v>
      </c>
      <c r="F90" t="s">
        <v>1894</v>
      </c>
    </row>
    <row r="91" spans="1:6">
      <c r="A91" t="s">
        <v>1895</v>
      </c>
      <c r="B91" t="s">
        <v>424</v>
      </c>
      <c r="C91" t="s">
        <v>428</v>
      </c>
      <c r="D91" t="b">
        <v>1</v>
      </c>
      <c r="E91" t="s">
        <v>1896</v>
      </c>
      <c r="F91" t="s">
        <v>1897</v>
      </c>
    </row>
    <row r="92" spans="1:6">
      <c r="A92" t="s">
        <v>1898</v>
      </c>
      <c r="B92" t="s">
        <v>428</v>
      </c>
      <c r="C92" t="s">
        <v>579</v>
      </c>
      <c r="D92" t="b">
        <v>1</v>
      </c>
      <c r="E92" t="s">
        <v>1899</v>
      </c>
      <c r="F92" t="s">
        <v>1900</v>
      </c>
    </row>
    <row r="93" spans="1:6">
      <c r="A93" t="s">
        <v>1901</v>
      </c>
      <c r="B93" t="s">
        <v>709</v>
      </c>
      <c r="C93" t="s">
        <v>710</v>
      </c>
      <c r="D93" t="b">
        <v>1</v>
      </c>
      <c r="E93" t="s">
        <v>1902</v>
      </c>
      <c r="F93" t="s">
        <v>1903</v>
      </c>
    </row>
    <row r="94" spans="1:6">
      <c r="A94" t="s">
        <v>1904</v>
      </c>
      <c r="B94" t="s">
        <v>1218</v>
      </c>
      <c r="C94" t="s">
        <v>1221</v>
      </c>
      <c r="D94" t="b">
        <v>1</v>
      </c>
      <c r="E94" t="s">
        <v>1905</v>
      </c>
      <c r="F94" t="s">
        <v>1906</v>
      </c>
    </row>
    <row r="95" spans="1:6">
      <c r="A95" t="s">
        <v>1904</v>
      </c>
      <c r="B95" t="s">
        <v>1221</v>
      </c>
      <c r="C95" t="s">
        <v>1224</v>
      </c>
      <c r="D95" t="b">
        <v>1</v>
      </c>
      <c r="E95" t="s">
        <v>1907</v>
      </c>
      <c r="F95" t="s">
        <v>1908</v>
      </c>
    </row>
    <row r="96" spans="1:6">
      <c r="A96" t="s">
        <v>1904</v>
      </c>
      <c r="B96" t="s">
        <v>1224</v>
      </c>
      <c r="C96" t="s">
        <v>717</v>
      </c>
      <c r="D96" t="b">
        <v>1</v>
      </c>
      <c r="E96" t="s">
        <v>1909</v>
      </c>
      <c r="F96" t="s">
        <v>1910</v>
      </c>
    </row>
    <row r="97" spans="1:6">
      <c r="A97" t="s">
        <v>1904</v>
      </c>
      <c r="B97" t="s">
        <v>717</v>
      </c>
      <c r="C97" t="s">
        <v>718</v>
      </c>
      <c r="D97" t="b">
        <v>1</v>
      </c>
      <c r="E97" t="s">
        <v>1911</v>
      </c>
      <c r="F97" t="s">
        <v>1912</v>
      </c>
    </row>
    <row r="98" spans="1:6">
      <c r="A98" t="s">
        <v>1904</v>
      </c>
      <c r="B98" t="s">
        <v>1230</v>
      </c>
      <c r="C98" t="s">
        <v>1231</v>
      </c>
      <c r="D98" t="b">
        <v>1</v>
      </c>
      <c r="E98" t="s">
        <v>1913</v>
      </c>
      <c r="F98" t="s">
        <v>1914</v>
      </c>
    </row>
    <row r="99" spans="1:6">
      <c r="A99" t="s">
        <v>1904</v>
      </c>
      <c r="B99" t="s">
        <v>1231</v>
      </c>
      <c r="C99" t="s">
        <v>1234</v>
      </c>
      <c r="D99" t="b">
        <v>1</v>
      </c>
      <c r="E99" t="s">
        <v>1915</v>
      </c>
      <c r="F99" t="s">
        <v>1916</v>
      </c>
    </row>
    <row r="100" spans="1:6">
      <c r="A100" t="s">
        <v>1917</v>
      </c>
      <c r="B100" t="s">
        <v>443</v>
      </c>
      <c r="C100" t="s">
        <v>584</v>
      </c>
      <c r="D100" t="b">
        <v>1</v>
      </c>
      <c r="E100" t="s">
        <v>1918</v>
      </c>
      <c r="F100" t="s">
        <v>1919</v>
      </c>
    </row>
    <row r="101" spans="1:6">
      <c r="A101" t="s">
        <v>1920</v>
      </c>
      <c r="B101" t="s">
        <v>453</v>
      </c>
      <c r="C101" t="s">
        <v>915</v>
      </c>
      <c r="D101" t="b">
        <v>1</v>
      </c>
      <c r="E101" t="s">
        <v>1921</v>
      </c>
      <c r="F101" t="s">
        <v>1922</v>
      </c>
    </row>
    <row r="102" spans="1:6">
      <c r="A102" t="s">
        <v>1923</v>
      </c>
      <c r="B102" t="s">
        <v>915</v>
      </c>
      <c r="C102" t="s">
        <v>460</v>
      </c>
      <c r="D102" t="b">
        <v>1</v>
      </c>
      <c r="E102" t="s">
        <v>1924</v>
      </c>
      <c r="F102" t="s">
        <v>1925</v>
      </c>
    </row>
  </sheetData>
  <sortState xmlns:xlrd2="http://schemas.microsoft.com/office/spreadsheetml/2017/richdata2" ref="A2:F94">
    <sortCondition ref="B2:B94"/>
    <sortCondition ref="C2:C94"/>
    <sortCondition ref="A2:A94"/>
  </sortState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03ADC-D3FA-F545-838E-7AE42830905C}">
  <dimension ref="A1:F60"/>
  <sheetViews>
    <sheetView workbookViewId="0"/>
  </sheetViews>
  <sheetFormatPr defaultColWidth="8.875" defaultRowHeight="15"/>
  <cols>
    <col min="1" max="1" width="13.5" style="25" bestFit="1" customWidth="1"/>
    <col min="2" max="2" width="13.875" style="25" bestFit="1" customWidth="1"/>
    <col min="3" max="3" width="12.875" style="25" bestFit="1" customWidth="1"/>
    <col min="4" max="4" width="10.375" style="25" bestFit="1" customWidth="1"/>
    <col min="5" max="5" width="10.5" style="25" bestFit="1" customWidth="1"/>
    <col min="6" max="6" width="11.125" style="25" bestFit="1" customWidth="1"/>
    <col min="7" max="16384" width="8.875" style="25"/>
  </cols>
  <sheetData>
    <row r="1" spans="1:6">
      <c r="A1" s="25" t="s">
        <v>130</v>
      </c>
      <c r="B1" s="25" t="s">
        <v>131</v>
      </c>
      <c r="C1" s="25" t="s">
        <v>132</v>
      </c>
      <c r="D1" s="25" t="s">
        <v>133</v>
      </c>
      <c r="E1" s="25" t="s">
        <v>134</v>
      </c>
      <c r="F1" s="25" t="s">
        <v>135</v>
      </c>
    </row>
    <row r="2" spans="1:6">
      <c r="A2" s="25" t="s">
        <v>1926</v>
      </c>
      <c r="B2" s="25" t="s">
        <v>150</v>
      </c>
      <c r="C2" s="25" t="s">
        <v>151</v>
      </c>
      <c r="D2" s="25" t="b">
        <v>1</v>
      </c>
      <c r="E2" s="25" t="s">
        <v>1927</v>
      </c>
      <c r="F2" s="25" t="s">
        <v>1928</v>
      </c>
    </row>
    <row r="3" spans="1:6">
      <c r="A3" s="25" t="s">
        <v>1929</v>
      </c>
      <c r="B3" s="25" t="s">
        <v>1930</v>
      </c>
      <c r="C3" s="25" t="s">
        <v>1271</v>
      </c>
      <c r="D3" s="25" t="b">
        <v>1</v>
      </c>
      <c r="E3" s="25" t="s">
        <v>1931</v>
      </c>
      <c r="F3" s="25" t="s">
        <v>1932</v>
      </c>
    </row>
    <row r="4" spans="1:6">
      <c r="A4" s="25" t="s">
        <v>1933</v>
      </c>
      <c r="B4" s="25" t="s">
        <v>474</v>
      </c>
      <c r="C4" s="25" t="s">
        <v>477</v>
      </c>
      <c r="D4" s="25" t="b">
        <v>1</v>
      </c>
      <c r="E4" s="25" t="s">
        <v>1934</v>
      </c>
      <c r="F4" s="25" t="s">
        <v>1935</v>
      </c>
    </row>
    <row r="5" spans="1:6">
      <c r="A5" s="25" t="s">
        <v>1936</v>
      </c>
      <c r="B5" s="25" t="s">
        <v>474</v>
      </c>
      <c r="C5" s="25" t="s">
        <v>477</v>
      </c>
      <c r="D5" s="25" t="b">
        <v>1</v>
      </c>
      <c r="E5" s="25" t="s">
        <v>1937</v>
      </c>
      <c r="F5" s="25" t="s">
        <v>1938</v>
      </c>
    </row>
    <row r="6" spans="1:6">
      <c r="A6" s="25" t="s">
        <v>1939</v>
      </c>
      <c r="B6" s="25" t="s">
        <v>488</v>
      </c>
      <c r="C6" s="25" t="s">
        <v>491</v>
      </c>
      <c r="D6" s="25" t="b">
        <v>1</v>
      </c>
      <c r="E6" s="25" t="s">
        <v>1940</v>
      </c>
      <c r="F6" s="25" t="s">
        <v>1941</v>
      </c>
    </row>
    <row r="7" spans="1:6">
      <c r="A7" s="25" t="s">
        <v>1942</v>
      </c>
      <c r="B7" s="25" t="s">
        <v>165</v>
      </c>
      <c r="C7" s="25" t="s">
        <v>605</v>
      </c>
      <c r="D7" s="25" t="b">
        <v>1</v>
      </c>
      <c r="E7" s="25" t="s">
        <v>1943</v>
      </c>
      <c r="F7" s="25" t="s">
        <v>1944</v>
      </c>
    </row>
    <row r="8" spans="1:6">
      <c r="A8" s="25" t="s">
        <v>1945</v>
      </c>
      <c r="B8" s="25" t="s">
        <v>169</v>
      </c>
      <c r="C8" s="25" t="s">
        <v>170</v>
      </c>
      <c r="D8" s="25" t="b">
        <v>1</v>
      </c>
      <c r="E8" s="25" t="s">
        <v>1946</v>
      </c>
      <c r="F8" s="25" t="s">
        <v>1947</v>
      </c>
    </row>
    <row r="9" spans="1:6">
      <c r="A9" s="25" t="s">
        <v>1948</v>
      </c>
      <c r="B9" s="25" t="s">
        <v>929</v>
      </c>
      <c r="C9" s="25" t="s">
        <v>498</v>
      </c>
      <c r="D9" s="25" t="b">
        <v>1</v>
      </c>
      <c r="E9" s="25" t="s">
        <v>1949</v>
      </c>
      <c r="F9" s="25" t="s">
        <v>1950</v>
      </c>
    </row>
    <row r="10" spans="1:6">
      <c r="A10" s="25" t="s">
        <v>1951</v>
      </c>
      <c r="B10" s="25" t="s">
        <v>499</v>
      </c>
      <c r="C10" s="25" t="s">
        <v>177</v>
      </c>
      <c r="D10" s="25" t="b">
        <v>1</v>
      </c>
      <c r="E10" s="25" t="s">
        <v>1952</v>
      </c>
      <c r="F10" s="25" t="s">
        <v>1953</v>
      </c>
    </row>
    <row r="11" spans="1:6">
      <c r="A11" s="25" t="s">
        <v>1954</v>
      </c>
      <c r="B11" s="25" t="s">
        <v>758</v>
      </c>
      <c r="C11" s="25" t="s">
        <v>617</v>
      </c>
      <c r="D11" s="25" t="b">
        <v>1</v>
      </c>
      <c r="E11" s="25" t="s">
        <v>1955</v>
      </c>
      <c r="F11" s="25" t="s">
        <v>1956</v>
      </c>
    </row>
    <row r="12" spans="1:6">
      <c r="A12" s="25" t="s">
        <v>1957</v>
      </c>
      <c r="B12" s="25" t="s">
        <v>504</v>
      </c>
      <c r="C12" s="25" t="s">
        <v>622</v>
      </c>
      <c r="D12" s="25" t="b">
        <v>1</v>
      </c>
      <c r="E12" s="25" t="s">
        <v>1958</v>
      </c>
      <c r="F12" s="25" t="s">
        <v>1959</v>
      </c>
    </row>
    <row r="13" spans="1:6">
      <c r="A13" s="25" t="s">
        <v>1960</v>
      </c>
      <c r="B13" s="25" t="s">
        <v>191</v>
      </c>
      <c r="C13" s="25" t="s">
        <v>192</v>
      </c>
      <c r="D13" s="25" t="b">
        <v>1</v>
      </c>
      <c r="E13" s="25" t="s">
        <v>1961</v>
      </c>
      <c r="F13" s="25" t="s">
        <v>1962</v>
      </c>
    </row>
    <row r="14" spans="1:6">
      <c r="A14" s="25" t="s">
        <v>1963</v>
      </c>
      <c r="B14" s="25" t="s">
        <v>992</v>
      </c>
      <c r="C14" s="25" t="s">
        <v>993</v>
      </c>
      <c r="D14" s="25" t="b">
        <v>1</v>
      </c>
      <c r="E14" s="25" t="s">
        <v>1964</v>
      </c>
      <c r="F14" s="25" t="s">
        <v>1965</v>
      </c>
    </row>
    <row r="15" spans="1:6">
      <c r="A15" s="25" t="s">
        <v>1966</v>
      </c>
      <c r="B15" s="25" t="s">
        <v>993</v>
      </c>
      <c r="C15" s="25" t="s">
        <v>997</v>
      </c>
      <c r="D15" s="25" t="b">
        <v>1</v>
      </c>
      <c r="E15" s="25" t="s">
        <v>1967</v>
      </c>
      <c r="F15" s="25" t="s">
        <v>1968</v>
      </c>
    </row>
    <row r="16" spans="1:6">
      <c r="A16" s="25" t="s">
        <v>1969</v>
      </c>
      <c r="B16" s="25" t="s">
        <v>997</v>
      </c>
      <c r="C16" s="25" t="s">
        <v>768</v>
      </c>
      <c r="D16" s="25" t="b">
        <v>1</v>
      </c>
      <c r="E16" s="25" t="s">
        <v>1970</v>
      </c>
      <c r="F16" s="25" t="s">
        <v>1971</v>
      </c>
    </row>
    <row r="17" spans="1:6">
      <c r="A17" s="25" t="s">
        <v>1972</v>
      </c>
      <c r="B17" s="25" t="s">
        <v>768</v>
      </c>
      <c r="C17" s="25" t="s">
        <v>630</v>
      </c>
      <c r="D17" s="25" t="b">
        <v>1</v>
      </c>
      <c r="E17" s="25" t="s">
        <v>1973</v>
      </c>
      <c r="F17" s="25" t="s">
        <v>1974</v>
      </c>
    </row>
    <row r="18" spans="1:6">
      <c r="A18" s="25" t="s">
        <v>1975</v>
      </c>
      <c r="B18" s="25" t="s">
        <v>630</v>
      </c>
      <c r="C18" s="25" t="s">
        <v>631</v>
      </c>
      <c r="D18" s="25" t="b">
        <v>1</v>
      </c>
      <c r="E18" s="25" t="s">
        <v>1976</v>
      </c>
      <c r="F18" s="25" t="s">
        <v>1977</v>
      </c>
    </row>
    <row r="19" spans="1:6">
      <c r="A19" s="25" t="s">
        <v>1978</v>
      </c>
      <c r="B19" s="25" t="s">
        <v>206</v>
      </c>
      <c r="C19" s="25" t="s">
        <v>515</v>
      </c>
      <c r="D19" s="25" t="b">
        <v>1</v>
      </c>
      <c r="E19" s="25" t="s">
        <v>1979</v>
      </c>
      <c r="F19" s="25" t="s">
        <v>1980</v>
      </c>
    </row>
    <row r="20" spans="1:6">
      <c r="A20" s="25" t="s">
        <v>1948</v>
      </c>
      <c r="B20" s="25" t="s">
        <v>211</v>
      </c>
      <c r="C20" s="25" t="s">
        <v>520</v>
      </c>
      <c r="D20" s="25" t="b">
        <v>1</v>
      </c>
      <c r="E20" s="25" t="s">
        <v>1981</v>
      </c>
      <c r="F20" s="25" t="s">
        <v>1982</v>
      </c>
    </row>
    <row r="21" spans="1:6">
      <c r="A21" s="25" t="s">
        <v>1983</v>
      </c>
      <c r="B21" s="25" t="s">
        <v>1984</v>
      </c>
      <c r="C21" s="25" t="s">
        <v>1985</v>
      </c>
      <c r="D21" s="25" t="b">
        <v>0</v>
      </c>
      <c r="E21" s="25" t="s">
        <v>1986</v>
      </c>
      <c r="F21" s="25" t="s">
        <v>1987</v>
      </c>
    </row>
    <row r="22" spans="1:6">
      <c r="A22" s="25" t="s">
        <v>1988</v>
      </c>
      <c r="B22" s="25" t="s">
        <v>215</v>
      </c>
      <c r="C22" s="25" t="s">
        <v>216</v>
      </c>
      <c r="D22" s="25" t="b">
        <v>1</v>
      </c>
      <c r="E22" s="25" t="s">
        <v>1989</v>
      </c>
      <c r="F22" s="25" t="s">
        <v>1990</v>
      </c>
    </row>
    <row r="23" spans="1:6">
      <c r="A23" s="25" t="s">
        <v>1991</v>
      </c>
      <c r="B23" s="25" t="s">
        <v>223</v>
      </c>
      <c r="C23" s="25" t="s">
        <v>224</v>
      </c>
      <c r="D23" s="25" t="b">
        <v>1</v>
      </c>
      <c r="E23" s="25" t="s">
        <v>1992</v>
      </c>
      <c r="F23" s="25" t="s">
        <v>1993</v>
      </c>
    </row>
    <row r="24" spans="1:6">
      <c r="A24" s="25" t="s">
        <v>1994</v>
      </c>
      <c r="B24" s="25" t="s">
        <v>524</v>
      </c>
      <c r="C24" s="25" t="s">
        <v>228</v>
      </c>
      <c r="D24" s="25" t="b">
        <v>1</v>
      </c>
      <c r="E24" s="25" t="s">
        <v>1995</v>
      </c>
      <c r="F24" s="25" t="s">
        <v>1996</v>
      </c>
    </row>
    <row r="25" spans="1:6">
      <c r="A25" s="25" t="s">
        <v>1997</v>
      </c>
      <c r="B25" s="25" t="s">
        <v>233</v>
      </c>
      <c r="C25" s="25" t="s">
        <v>234</v>
      </c>
      <c r="D25" s="25" t="b">
        <v>1</v>
      </c>
      <c r="E25" s="25" t="s">
        <v>1998</v>
      </c>
      <c r="F25" s="25" t="s">
        <v>1999</v>
      </c>
    </row>
    <row r="26" spans="1:6">
      <c r="A26" s="25" t="s">
        <v>2000</v>
      </c>
      <c r="B26" s="25" t="s">
        <v>532</v>
      </c>
      <c r="C26" s="25" t="s">
        <v>649</v>
      </c>
      <c r="D26" s="25" t="b">
        <v>1</v>
      </c>
      <c r="E26" s="25" t="s">
        <v>2001</v>
      </c>
      <c r="F26" s="25" t="s">
        <v>2002</v>
      </c>
    </row>
    <row r="27" spans="1:6">
      <c r="A27" s="25" t="s">
        <v>2003</v>
      </c>
      <c r="B27" s="25" t="s">
        <v>264</v>
      </c>
      <c r="C27" s="25" t="s">
        <v>265</v>
      </c>
      <c r="D27" s="25" t="b">
        <v>1</v>
      </c>
      <c r="E27" s="25" t="s">
        <v>2004</v>
      </c>
      <c r="F27" s="25" t="s">
        <v>2005</v>
      </c>
    </row>
    <row r="28" spans="1:6">
      <c r="A28" s="25" t="s">
        <v>2006</v>
      </c>
      <c r="B28" s="25" t="s">
        <v>803</v>
      </c>
      <c r="C28" s="25" t="s">
        <v>656</v>
      </c>
      <c r="D28" s="25" t="b">
        <v>1</v>
      </c>
      <c r="E28" s="25" t="s">
        <v>2007</v>
      </c>
      <c r="F28" s="25" t="s">
        <v>2008</v>
      </c>
    </row>
    <row r="29" spans="1:6">
      <c r="A29" s="25" t="s">
        <v>2009</v>
      </c>
      <c r="B29" s="25" t="s">
        <v>540</v>
      </c>
      <c r="C29" s="25" t="s">
        <v>659</v>
      </c>
      <c r="D29" s="25" t="b">
        <v>1</v>
      </c>
      <c r="E29" s="25" t="s">
        <v>2010</v>
      </c>
      <c r="F29" s="25" t="s">
        <v>2011</v>
      </c>
    </row>
    <row r="30" spans="1:6">
      <c r="A30" s="25" t="s">
        <v>2012</v>
      </c>
      <c r="B30" s="25" t="s">
        <v>544</v>
      </c>
      <c r="C30" s="25" t="s">
        <v>663</v>
      </c>
      <c r="D30" s="25" t="b">
        <v>1</v>
      </c>
      <c r="E30" s="25" t="s">
        <v>2013</v>
      </c>
      <c r="F30" s="25" t="s">
        <v>2014</v>
      </c>
    </row>
    <row r="31" spans="1:6">
      <c r="A31" s="25" t="s">
        <v>2015</v>
      </c>
      <c r="B31" s="25" t="s">
        <v>300</v>
      </c>
      <c r="C31" s="25" t="s">
        <v>303</v>
      </c>
      <c r="D31" s="25" t="b">
        <v>1</v>
      </c>
      <c r="E31" s="25" t="s">
        <v>2016</v>
      </c>
      <c r="F31" s="25" t="s">
        <v>2017</v>
      </c>
    </row>
    <row r="32" spans="1:6">
      <c r="A32" s="25" t="s">
        <v>2018</v>
      </c>
      <c r="B32" s="25" t="s">
        <v>311</v>
      </c>
      <c r="C32" s="25" t="s">
        <v>315</v>
      </c>
      <c r="D32" s="25" t="b">
        <v>1</v>
      </c>
      <c r="E32" s="25" t="s">
        <v>2019</v>
      </c>
      <c r="F32" s="25" t="s">
        <v>2020</v>
      </c>
    </row>
    <row r="33" spans="1:6">
      <c r="A33" s="25" t="s">
        <v>2021</v>
      </c>
      <c r="B33" s="25" t="s">
        <v>311</v>
      </c>
      <c r="C33" s="25" t="s">
        <v>315</v>
      </c>
      <c r="D33" s="25" t="b">
        <v>1</v>
      </c>
      <c r="E33" s="25" t="s">
        <v>2022</v>
      </c>
      <c r="F33" s="25" t="s">
        <v>2023</v>
      </c>
    </row>
    <row r="34" spans="1:6">
      <c r="A34" s="25" t="s">
        <v>2024</v>
      </c>
      <c r="B34" s="25" t="s">
        <v>319</v>
      </c>
      <c r="C34" s="25" t="s">
        <v>320</v>
      </c>
      <c r="D34" s="25" t="b">
        <v>1</v>
      </c>
      <c r="E34" s="25" t="s">
        <v>2025</v>
      </c>
      <c r="F34" s="25" t="s">
        <v>2026</v>
      </c>
    </row>
    <row r="35" spans="1:6">
      <c r="A35" s="25" t="s">
        <v>2027</v>
      </c>
      <c r="B35" s="25" t="s">
        <v>324</v>
      </c>
      <c r="C35" s="25" t="s">
        <v>328</v>
      </c>
      <c r="D35" s="25" t="b">
        <v>1</v>
      </c>
      <c r="E35" s="25" t="s">
        <v>2028</v>
      </c>
      <c r="F35" s="25" t="s">
        <v>2029</v>
      </c>
    </row>
    <row r="36" spans="1:6">
      <c r="A36" s="25" t="s">
        <v>2030</v>
      </c>
      <c r="B36" s="25" t="s">
        <v>328</v>
      </c>
      <c r="C36" s="25" t="s">
        <v>331</v>
      </c>
      <c r="D36" s="25" t="b">
        <v>1</v>
      </c>
      <c r="E36" s="25" t="s">
        <v>2031</v>
      </c>
      <c r="F36" s="25" t="s">
        <v>2032</v>
      </c>
    </row>
    <row r="37" spans="1:6">
      <c r="A37" s="25" t="s">
        <v>2033</v>
      </c>
      <c r="B37" s="25" t="s">
        <v>331</v>
      </c>
      <c r="C37" s="25" t="s">
        <v>673</v>
      </c>
      <c r="D37" s="25" t="b">
        <v>1</v>
      </c>
      <c r="E37" s="25" t="s">
        <v>2034</v>
      </c>
      <c r="F37" s="25" t="s">
        <v>2035</v>
      </c>
    </row>
    <row r="38" spans="1:6">
      <c r="A38" s="25" t="s">
        <v>2033</v>
      </c>
      <c r="B38" s="25" t="s">
        <v>673</v>
      </c>
      <c r="C38" s="25" t="s">
        <v>1818</v>
      </c>
      <c r="D38" s="25" t="b">
        <v>1</v>
      </c>
      <c r="E38" s="25" t="s">
        <v>2036</v>
      </c>
      <c r="F38" s="25" t="s">
        <v>2037</v>
      </c>
    </row>
    <row r="39" spans="1:6">
      <c r="A39" s="25" t="s">
        <v>2038</v>
      </c>
      <c r="B39" s="25" t="s">
        <v>1818</v>
      </c>
      <c r="C39" s="25" t="s">
        <v>1508</v>
      </c>
      <c r="D39" s="25" t="b">
        <v>1</v>
      </c>
      <c r="E39" s="25" t="s">
        <v>2039</v>
      </c>
      <c r="F39" s="25" t="s">
        <v>2040</v>
      </c>
    </row>
    <row r="40" spans="1:6">
      <c r="A40" s="25" t="s">
        <v>2041</v>
      </c>
      <c r="B40" s="25" t="s">
        <v>335</v>
      </c>
      <c r="C40" s="25" t="s">
        <v>336</v>
      </c>
      <c r="D40" s="25" t="b">
        <v>1</v>
      </c>
      <c r="E40" s="25" t="s">
        <v>2042</v>
      </c>
      <c r="F40" s="25" t="s">
        <v>2043</v>
      </c>
    </row>
    <row r="41" spans="1:6">
      <c r="A41" s="25" t="s">
        <v>334</v>
      </c>
      <c r="B41" s="25" t="s">
        <v>335</v>
      </c>
      <c r="C41" s="25" t="s">
        <v>336</v>
      </c>
      <c r="D41" s="25" t="b">
        <v>1</v>
      </c>
      <c r="E41" s="25" t="s">
        <v>2044</v>
      </c>
      <c r="F41" s="25" t="s">
        <v>2045</v>
      </c>
    </row>
    <row r="42" spans="1:6">
      <c r="A42" s="25" t="s">
        <v>2046</v>
      </c>
      <c r="B42" s="25" t="s">
        <v>340</v>
      </c>
      <c r="C42" s="25" t="s">
        <v>341</v>
      </c>
      <c r="D42" s="25" t="b">
        <v>1</v>
      </c>
      <c r="E42" s="25" t="s">
        <v>2047</v>
      </c>
      <c r="F42" s="25" t="s">
        <v>2048</v>
      </c>
    </row>
    <row r="43" spans="1:6">
      <c r="A43" s="25" t="s">
        <v>1988</v>
      </c>
      <c r="B43" s="25" t="s">
        <v>353</v>
      </c>
      <c r="C43" s="25" t="s">
        <v>354</v>
      </c>
      <c r="D43" s="25" t="b">
        <v>1</v>
      </c>
      <c r="E43" s="25" t="s">
        <v>2049</v>
      </c>
      <c r="F43" s="25" t="s">
        <v>2050</v>
      </c>
    </row>
    <row r="44" spans="1:6">
      <c r="A44" s="25" t="s">
        <v>1991</v>
      </c>
      <c r="B44" s="25" t="s">
        <v>357</v>
      </c>
      <c r="C44" s="25" t="s">
        <v>358</v>
      </c>
      <c r="D44" s="25" t="b">
        <v>1</v>
      </c>
      <c r="E44" s="25" t="s">
        <v>2051</v>
      </c>
      <c r="F44" s="25" t="s">
        <v>2052</v>
      </c>
    </row>
    <row r="45" spans="1:6">
      <c r="A45" s="25" t="s">
        <v>2053</v>
      </c>
      <c r="B45" s="25" t="s">
        <v>566</v>
      </c>
      <c r="C45" s="25" t="s">
        <v>362</v>
      </c>
      <c r="D45" s="25" t="b">
        <v>1</v>
      </c>
      <c r="E45" s="25" t="s">
        <v>2054</v>
      </c>
      <c r="F45" s="25" t="s">
        <v>2055</v>
      </c>
    </row>
    <row r="46" spans="1:6">
      <c r="A46" s="25" t="s">
        <v>2056</v>
      </c>
      <c r="B46" s="25" t="s">
        <v>570</v>
      </c>
      <c r="C46" s="25" t="s">
        <v>688</v>
      </c>
      <c r="D46" s="25" t="b">
        <v>1</v>
      </c>
      <c r="E46" s="25" t="s">
        <v>2057</v>
      </c>
      <c r="F46" s="25" t="s">
        <v>2058</v>
      </c>
    </row>
    <row r="47" spans="1:6">
      <c r="A47" s="25" t="s">
        <v>2059</v>
      </c>
      <c r="B47" s="25" t="s">
        <v>384</v>
      </c>
      <c r="C47" s="25" t="s">
        <v>387</v>
      </c>
      <c r="D47" s="25" t="b">
        <v>1</v>
      </c>
      <c r="E47" s="25" t="s">
        <v>2060</v>
      </c>
      <c r="F47" s="25" t="s">
        <v>2061</v>
      </c>
    </row>
    <row r="48" spans="1:6">
      <c r="A48" s="25" t="s">
        <v>2062</v>
      </c>
      <c r="B48" s="25" t="s">
        <v>397</v>
      </c>
      <c r="C48" s="25" t="s">
        <v>405</v>
      </c>
      <c r="D48" s="25" t="b">
        <v>1</v>
      </c>
      <c r="E48" s="25" t="s">
        <v>2063</v>
      </c>
      <c r="F48" s="25" t="s">
        <v>2064</v>
      </c>
    </row>
    <row r="49" spans="1:6">
      <c r="A49" s="25" t="s">
        <v>2065</v>
      </c>
      <c r="B49" s="25" t="s">
        <v>405</v>
      </c>
      <c r="C49" s="25" t="s">
        <v>409</v>
      </c>
      <c r="D49" s="25" t="b">
        <v>1</v>
      </c>
      <c r="E49" s="25" t="s">
        <v>2066</v>
      </c>
      <c r="F49" s="25" t="s">
        <v>2067</v>
      </c>
    </row>
    <row r="50" spans="1:6">
      <c r="A50" s="25" t="s">
        <v>2068</v>
      </c>
      <c r="B50" s="25" t="s">
        <v>409</v>
      </c>
      <c r="C50" s="25" t="s">
        <v>410</v>
      </c>
      <c r="D50" s="25" t="b">
        <v>1</v>
      </c>
      <c r="E50" s="25" t="s">
        <v>2069</v>
      </c>
      <c r="F50" s="25" t="s">
        <v>2070</v>
      </c>
    </row>
    <row r="51" spans="1:6">
      <c r="A51" s="25" t="s">
        <v>2071</v>
      </c>
      <c r="B51" s="25" t="s">
        <v>1176</v>
      </c>
      <c r="C51" s="25" t="s">
        <v>697</v>
      </c>
      <c r="D51" s="25" t="b">
        <v>1</v>
      </c>
      <c r="E51" s="25" t="s">
        <v>2072</v>
      </c>
      <c r="F51" s="25" t="s">
        <v>2073</v>
      </c>
    </row>
    <row r="52" spans="1:6">
      <c r="A52" s="25" t="s">
        <v>2074</v>
      </c>
      <c r="B52" s="25" t="s">
        <v>863</v>
      </c>
      <c r="C52" s="25" t="s">
        <v>700</v>
      </c>
      <c r="D52" s="25" t="b">
        <v>1</v>
      </c>
      <c r="E52" s="25" t="s">
        <v>2075</v>
      </c>
      <c r="F52" s="25" t="s">
        <v>2076</v>
      </c>
    </row>
    <row r="53" spans="1:6">
      <c r="A53" s="25" t="s">
        <v>2077</v>
      </c>
      <c r="B53" s="25" t="s">
        <v>579</v>
      </c>
      <c r="C53" s="25" t="s">
        <v>704</v>
      </c>
      <c r="D53" s="25" t="b">
        <v>1</v>
      </c>
      <c r="E53" s="25" t="s">
        <v>2078</v>
      </c>
      <c r="F53" s="25" t="s">
        <v>2079</v>
      </c>
    </row>
    <row r="54" spans="1:6">
      <c r="A54" s="25" t="s">
        <v>2080</v>
      </c>
      <c r="B54" s="25" t="s">
        <v>876</v>
      </c>
      <c r="C54" s="25" t="s">
        <v>432</v>
      </c>
      <c r="D54" s="25" t="b">
        <v>1</v>
      </c>
      <c r="E54" s="25" t="s">
        <v>2081</v>
      </c>
      <c r="F54" s="25" t="s">
        <v>2082</v>
      </c>
    </row>
    <row r="55" spans="1:6">
      <c r="A55" s="25" t="s">
        <v>2083</v>
      </c>
      <c r="B55" s="25" t="s">
        <v>709</v>
      </c>
      <c r="C55" s="25" t="s">
        <v>710</v>
      </c>
      <c r="D55" s="25" t="b">
        <v>1</v>
      </c>
      <c r="E55" s="25" t="s">
        <v>2084</v>
      </c>
      <c r="F55" s="25" t="s">
        <v>2085</v>
      </c>
    </row>
    <row r="56" spans="1:6">
      <c r="A56" s="25" t="s">
        <v>2086</v>
      </c>
      <c r="B56" s="25" t="s">
        <v>1218</v>
      </c>
      <c r="C56" s="25" t="s">
        <v>1221</v>
      </c>
      <c r="D56" s="25" t="b">
        <v>1</v>
      </c>
      <c r="E56" s="25" t="s">
        <v>2087</v>
      </c>
      <c r="F56" s="25" t="s">
        <v>2088</v>
      </c>
    </row>
    <row r="57" spans="1:6">
      <c r="A57" s="25" t="s">
        <v>2089</v>
      </c>
      <c r="B57" s="25" t="s">
        <v>1224</v>
      </c>
      <c r="C57" s="25" t="s">
        <v>717</v>
      </c>
      <c r="D57" s="25" t="b">
        <v>1</v>
      </c>
      <c r="E57" s="25" t="s">
        <v>2090</v>
      </c>
      <c r="F57" s="25" t="s">
        <v>2091</v>
      </c>
    </row>
    <row r="58" spans="1:6">
      <c r="A58" s="25" t="s">
        <v>2092</v>
      </c>
      <c r="B58" s="25" t="s">
        <v>882</v>
      </c>
      <c r="C58" s="25" t="s">
        <v>883</v>
      </c>
      <c r="D58" s="25" t="b">
        <v>1</v>
      </c>
      <c r="E58" s="25" t="s">
        <v>2093</v>
      </c>
      <c r="F58" s="25" t="s">
        <v>2094</v>
      </c>
    </row>
    <row r="59" spans="1:6">
      <c r="A59" s="25" t="s">
        <v>2095</v>
      </c>
      <c r="B59" s="25" t="s">
        <v>460</v>
      </c>
      <c r="C59" s="25" t="s">
        <v>461</v>
      </c>
      <c r="D59" s="25" t="b">
        <v>1</v>
      </c>
      <c r="E59" s="25" t="s">
        <v>2096</v>
      </c>
      <c r="F59" s="25" t="s">
        <v>2097</v>
      </c>
    </row>
    <row r="60" spans="1:6">
      <c r="A60" s="25" t="s">
        <v>2098</v>
      </c>
      <c r="B60" s="25" t="s">
        <v>461</v>
      </c>
      <c r="C60" s="25" t="s">
        <v>465</v>
      </c>
      <c r="D60" s="25" t="b">
        <v>1</v>
      </c>
      <c r="E60" s="25" t="s">
        <v>2099</v>
      </c>
      <c r="F60" s="25" t="s">
        <v>2100</v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4F1B5-4884-8A4A-BF24-D3EAE46090D6}">
  <dimension ref="A1:H64"/>
  <sheetViews>
    <sheetView workbookViewId="0"/>
  </sheetViews>
  <sheetFormatPr defaultColWidth="11" defaultRowHeight="15.95"/>
  <sheetData>
    <row r="1" spans="1:8" ht="15.75">
      <c r="A1" s="25" t="s">
        <v>130</v>
      </c>
      <c r="B1" s="25" t="s">
        <v>131</v>
      </c>
      <c r="C1" s="25" t="s">
        <v>132</v>
      </c>
      <c r="D1" s="25" t="s">
        <v>133</v>
      </c>
      <c r="E1" s="25" t="s">
        <v>134</v>
      </c>
      <c r="F1" s="25" t="s">
        <v>135</v>
      </c>
      <c r="G1" s="25"/>
      <c r="H1" s="25"/>
    </row>
    <row r="2" spans="1:8" ht="15.75">
      <c r="A2" s="25" t="s">
        <v>1926</v>
      </c>
      <c r="B2" s="25" t="s">
        <v>150</v>
      </c>
      <c r="C2" s="25" t="s">
        <v>151</v>
      </c>
      <c r="D2" s="25" t="b">
        <v>1</v>
      </c>
      <c r="E2" s="25" t="s">
        <v>1927</v>
      </c>
      <c r="F2" s="25" t="s">
        <v>1928</v>
      </c>
      <c r="G2" s="25"/>
      <c r="H2" s="25"/>
    </row>
    <row r="3" spans="1:8" ht="15.75">
      <c r="A3" s="25" t="s">
        <v>1929</v>
      </c>
      <c r="B3" s="25" t="s">
        <v>1930</v>
      </c>
      <c r="C3" s="25" t="s">
        <v>1271</v>
      </c>
      <c r="D3" s="25" t="b">
        <v>1</v>
      </c>
      <c r="E3" s="25" t="s">
        <v>1931</v>
      </c>
      <c r="F3" s="25" t="s">
        <v>1932</v>
      </c>
      <c r="G3" s="25"/>
      <c r="H3" s="25"/>
    </row>
    <row r="4" spans="1:8" ht="15.75">
      <c r="A4" s="25" t="s">
        <v>1933</v>
      </c>
      <c r="B4" s="25" t="s">
        <v>474</v>
      </c>
      <c r="C4" s="25" t="s">
        <v>477</v>
      </c>
      <c r="D4" s="25" t="b">
        <v>1</v>
      </c>
      <c r="E4" s="25" t="s">
        <v>1934</v>
      </c>
      <c r="F4" s="25" t="s">
        <v>1935</v>
      </c>
      <c r="G4" s="25"/>
      <c r="H4" s="25"/>
    </row>
    <row r="5" spans="1:8" ht="15.75">
      <c r="A5" s="25" t="s">
        <v>1936</v>
      </c>
      <c r="B5" s="25" t="s">
        <v>474</v>
      </c>
      <c r="C5" s="25" t="s">
        <v>477</v>
      </c>
      <c r="D5" s="25" t="b">
        <v>1</v>
      </c>
      <c r="E5" s="25" t="s">
        <v>1937</v>
      </c>
      <c r="F5" s="25" t="s">
        <v>1938</v>
      </c>
      <c r="G5" s="25"/>
      <c r="H5" s="25"/>
    </row>
    <row r="6" spans="1:8" ht="15.75">
      <c r="A6" s="25" t="s">
        <v>1939</v>
      </c>
      <c r="B6" s="25" t="s">
        <v>488</v>
      </c>
      <c r="C6" s="25" t="s">
        <v>491</v>
      </c>
      <c r="D6" s="25" t="b">
        <v>1</v>
      </c>
      <c r="E6" s="25" t="s">
        <v>1940</v>
      </c>
      <c r="F6" s="25" t="s">
        <v>1941</v>
      </c>
      <c r="G6" s="25"/>
      <c r="H6" s="25"/>
    </row>
    <row r="7" spans="1:8" ht="15.75">
      <c r="A7" s="25" t="s">
        <v>1942</v>
      </c>
      <c r="B7" s="25" t="s">
        <v>165</v>
      </c>
      <c r="C7" s="25" t="s">
        <v>605</v>
      </c>
      <c r="D7" s="25" t="b">
        <v>1</v>
      </c>
      <c r="E7" s="25" t="s">
        <v>1943</v>
      </c>
      <c r="F7" s="25" t="s">
        <v>1944</v>
      </c>
      <c r="G7" s="25"/>
      <c r="H7" s="25"/>
    </row>
    <row r="8" spans="1:8" ht="15.75">
      <c r="A8" s="25" t="s">
        <v>1945</v>
      </c>
      <c r="B8" s="25" t="s">
        <v>169</v>
      </c>
      <c r="C8" s="25" t="s">
        <v>170</v>
      </c>
      <c r="D8" s="25" t="b">
        <v>1</v>
      </c>
      <c r="E8" s="25" t="s">
        <v>1946</v>
      </c>
      <c r="F8" s="25" t="s">
        <v>1947</v>
      </c>
      <c r="G8" s="25"/>
      <c r="H8" s="25"/>
    </row>
    <row r="9" spans="1:8" ht="15.75">
      <c r="A9" s="25" t="s">
        <v>1948</v>
      </c>
      <c r="B9" s="25" t="s">
        <v>929</v>
      </c>
      <c r="C9" s="25" t="s">
        <v>498</v>
      </c>
      <c r="D9" s="25" t="b">
        <v>1</v>
      </c>
      <c r="E9" s="25" t="s">
        <v>1949</v>
      </c>
      <c r="F9" s="25" t="s">
        <v>1950</v>
      </c>
      <c r="G9" s="25"/>
      <c r="H9" s="25"/>
    </row>
    <row r="10" spans="1:8" ht="15.75">
      <c r="A10" s="25" t="s">
        <v>1951</v>
      </c>
      <c r="B10" s="25" t="s">
        <v>499</v>
      </c>
      <c r="C10" s="25" t="s">
        <v>177</v>
      </c>
      <c r="D10" s="25" t="b">
        <v>1</v>
      </c>
      <c r="E10" s="25" t="s">
        <v>1952</v>
      </c>
      <c r="F10" s="25" t="s">
        <v>1953</v>
      </c>
      <c r="G10" s="25"/>
      <c r="H10" s="25"/>
    </row>
    <row r="11" spans="1:8" ht="15.75">
      <c r="A11" s="25" t="s">
        <v>1954</v>
      </c>
      <c r="B11" s="25" t="s">
        <v>758</v>
      </c>
      <c r="C11" s="25" t="s">
        <v>617</v>
      </c>
      <c r="D11" s="25" t="b">
        <v>1</v>
      </c>
      <c r="E11" s="25" t="s">
        <v>1955</v>
      </c>
      <c r="F11" s="25" t="s">
        <v>1956</v>
      </c>
      <c r="G11" s="25"/>
      <c r="H11" s="25"/>
    </row>
    <row r="12" spans="1:8" ht="15.75">
      <c r="A12" s="25" t="s">
        <v>1957</v>
      </c>
      <c r="B12" s="25" t="s">
        <v>504</v>
      </c>
      <c r="C12" s="25" t="s">
        <v>622</v>
      </c>
      <c r="D12" s="25" t="b">
        <v>1</v>
      </c>
      <c r="E12" s="25" t="s">
        <v>1958</v>
      </c>
      <c r="F12" s="25" t="s">
        <v>1959</v>
      </c>
      <c r="G12" s="25"/>
      <c r="H12" s="25"/>
    </row>
    <row r="13" spans="1:8" ht="15.75">
      <c r="A13" s="25" t="s">
        <v>1960</v>
      </c>
      <c r="B13" s="25" t="s">
        <v>191</v>
      </c>
      <c r="C13" s="25" t="s">
        <v>192</v>
      </c>
      <c r="D13" s="25" t="b">
        <v>1</v>
      </c>
      <c r="E13" s="25" t="s">
        <v>1961</v>
      </c>
      <c r="F13" s="25" t="s">
        <v>1962</v>
      </c>
      <c r="G13" s="25"/>
      <c r="H13" s="25"/>
    </row>
    <row r="14" spans="1:8" ht="15.75">
      <c r="A14" s="25" t="s">
        <v>1963</v>
      </c>
      <c r="B14" s="25" t="s">
        <v>992</v>
      </c>
      <c r="C14" s="25" t="s">
        <v>993</v>
      </c>
      <c r="D14" s="25" t="b">
        <v>1</v>
      </c>
      <c r="E14" s="25" t="s">
        <v>1964</v>
      </c>
      <c r="F14" s="25" t="s">
        <v>1965</v>
      </c>
      <c r="G14" s="25"/>
      <c r="H14" s="25"/>
    </row>
    <row r="15" spans="1:8" ht="15.75">
      <c r="A15" s="25" t="s">
        <v>1966</v>
      </c>
      <c r="B15" s="25" t="s">
        <v>993</v>
      </c>
      <c r="C15" s="25" t="s">
        <v>997</v>
      </c>
      <c r="D15" s="25" t="b">
        <v>1</v>
      </c>
      <c r="E15" s="25" t="s">
        <v>1967</v>
      </c>
      <c r="F15" s="25" t="s">
        <v>1968</v>
      </c>
      <c r="G15" s="25"/>
      <c r="H15" s="25"/>
    </row>
    <row r="16" spans="1:8" ht="15.75">
      <c r="A16" s="25" t="s">
        <v>1969</v>
      </c>
      <c r="B16" s="25" t="s">
        <v>997</v>
      </c>
      <c r="C16" s="25" t="s">
        <v>768</v>
      </c>
      <c r="D16" s="25" t="b">
        <v>1</v>
      </c>
      <c r="E16" s="25" t="s">
        <v>1970</v>
      </c>
      <c r="F16" s="25" t="s">
        <v>1971</v>
      </c>
      <c r="G16" s="25"/>
      <c r="H16" s="25"/>
    </row>
    <row r="17" spans="1:8" ht="15.75">
      <c r="A17" s="25" t="s">
        <v>1972</v>
      </c>
      <c r="B17" s="25" t="s">
        <v>768</v>
      </c>
      <c r="C17" s="25" t="s">
        <v>630</v>
      </c>
      <c r="D17" s="25" t="b">
        <v>1</v>
      </c>
      <c r="E17" s="25" t="s">
        <v>1973</v>
      </c>
      <c r="F17" s="25" t="s">
        <v>1974</v>
      </c>
      <c r="G17" s="25"/>
      <c r="H17" s="25"/>
    </row>
    <row r="18" spans="1:8" ht="15.75">
      <c r="A18" s="25" t="s">
        <v>1975</v>
      </c>
      <c r="B18" s="25" t="s">
        <v>630</v>
      </c>
      <c r="C18" s="25" t="s">
        <v>631</v>
      </c>
      <c r="D18" s="25" t="b">
        <v>1</v>
      </c>
      <c r="E18" s="25" t="s">
        <v>1976</v>
      </c>
      <c r="F18" s="25" t="s">
        <v>1977</v>
      </c>
      <c r="G18" s="25"/>
      <c r="H18" s="25"/>
    </row>
    <row r="19" spans="1:8" ht="15.75">
      <c r="A19" s="25" t="s">
        <v>1978</v>
      </c>
      <c r="B19" s="25" t="s">
        <v>206</v>
      </c>
      <c r="C19" s="25" t="s">
        <v>515</v>
      </c>
      <c r="D19" s="25" t="b">
        <v>1</v>
      </c>
      <c r="E19" s="25" t="s">
        <v>1979</v>
      </c>
      <c r="F19" s="25" t="s">
        <v>1980</v>
      </c>
      <c r="G19" s="25"/>
      <c r="H19" s="25"/>
    </row>
    <row r="20" spans="1:8" ht="15.75">
      <c r="A20" s="25" t="s">
        <v>1948</v>
      </c>
      <c r="B20" s="25" t="s">
        <v>211</v>
      </c>
      <c r="C20" s="25" t="s">
        <v>520</v>
      </c>
      <c r="D20" s="25" t="b">
        <v>1</v>
      </c>
      <c r="E20" s="25" t="s">
        <v>1981</v>
      </c>
      <c r="F20" s="25" t="s">
        <v>1982</v>
      </c>
      <c r="G20" s="25"/>
      <c r="H20" s="25"/>
    </row>
    <row r="21" spans="1:8" ht="15.75">
      <c r="A21" s="25" t="s">
        <v>1983</v>
      </c>
      <c r="B21" s="25" t="s">
        <v>1984</v>
      </c>
      <c r="C21" s="25" t="s">
        <v>1985</v>
      </c>
      <c r="D21" s="25" t="b">
        <v>0</v>
      </c>
      <c r="E21" s="25" t="s">
        <v>1986</v>
      </c>
      <c r="F21" s="25" t="s">
        <v>1987</v>
      </c>
      <c r="G21" s="25"/>
      <c r="H21" s="25"/>
    </row>
    <row r="22" spans="1:8" ht="15.75">
      <c r="A22" s="25" t="s">
        <v>1988</v>
      </c>
      <c r="B22" s="25" t="s">
        <v>215</v>
      </c>
      <c r="C22" s="25" t="s">
        <v>216</v>
      </c>
      <c r="D22" s="25" t="b">
        <v>1</v>
      </c>
      <c r="E22" s="25" t="s">
        <v>1989</v>
      </c>
      <c r="F22" s="25" t="s">
        <v>1990</v>
      </c>
      <c r="G22" s="25"/>
      <c r="H22" s="25"/>
    </row>
    <row r="23" spans="1:8" ht="15.75">
      <c r="A23" s="25" t="s">
        <v>1991</v>
      </c>
      <c r="B23" s="25" t="s">
        <v>223</v>
      </c>
      <c r="C23" s="25" t="s">
        <v>224</v>
      </c>
      <c r="D23" s="25" t="b">
        <v>1</v>
      </c>
      <c r="E23" s="25" t="s">
        <v>1992</v>
      </c>
      <c r="F23" s="25" t="s">
        <v>1993</v>
      </c>
      <c r="G23" s="25"/>
      <c r="H23" s="25"/>
    </row>
    <row r="24" spans="1:8" ht="15.75">
      <c r="A24" s="25" t="s">
        <v>1994</v>
      </c>
      <c r="B24" s="25" t="s">
        <v>524</v>
      </c>
      <c r="C24" s="25" t="s">
        <v>228</v>
      </c>
      <c r="D24" s="25" t="b">
        <v>1</v>
      </c>
      <c r="E24" s="25" t="s">
        <v>1995</v>
      </c>
      <c r="F24" s="25" t="s">
        <v>1996</v>
      </c>
      <c r="G24" s="25"/>
      <c r="H24" s="25"/>
    </row>
    <row r="25" spans="1:8" ht="15.75">
      <c r="A25" s="25" t="s">
        <v>1997</v>
      </c>
      <c r="B25" s="25" t="s">
        <v>233</v>
      </c>
      <c r="C25" s="25" t="s">
        <v>234</v>
      </c>
      <c r="D25" s="25" t="b">
        <v>1</v>
      </c>
      <c r="E25" s="25" t="s">
        <v>1998</v>
      </c>
      <c r="F25" s="25" t="s">
        <v>1999</v>
      </c>
      <c r="G25" s="25"/>
      <c r="H25" s="25"/>
    </row>
    <row r="26" spans="1:8" ht="15.75">
      <c r="A26" s="25" t="s">
        <v>2000</v>
      </c>
      <c r="B26" s="25" t="s">
        <v>532</v>
      </c>
      <c r="C26" s="25" t="s">
        <v>649</v>
      </c>
      <c r="D26" s="25" t="b">
        <v>1</v>
      </c>
      <c r="E26" s="25" t="s">
        <v>2001</v>
      </c>
      <c r="F26" s="25" t="s">
        <v>2002</v>
      </c>
      <c r="G26" s="25"/>
      <c r="H26" s="25"/>
    </row>
    <row r="27" spans="1:8" ht="15.75">
      <c r="A27" s="25" t="s">
        <v>2003</v>
      </c>
      <c r="B27" s="25" t="s">
        <v>264</v>
      </c>
      <c r="C27" s="25" t="s">
        <v>265</v>
      </c>
      <c r="D27" s="25" t="b">
        <v>1</v>
      </c>
      <c r="E27" s="25" t="s">
        <v>2004</v>
      </c>
      <c r="F27" s="25" t="s">
        <v>2005</v>
      </c>
      <c r="G27" s="25"/>
      <c r="H27" s="25"/>
    </row>
    <row r="28" spans="1:8" ht="15.75">
      <c r="A28" s="25" t="s">
        <v>2006</v>
      </c>
      <c r="B28" s="25" t="s">
        <v>803</v>
      </c>
      <c r="C28" s="25" t="s">
        <v>656</v>
      </c>
      <c r="D28" s="25" t="b">
        <v>1</v>
      </c>
      <c r="E28" s="25" t="s">
        <v>2007</v>
      </c>
      <c r="F28" s="25" t="s">
        <v>2008</v>
      </c>
      <c r="G28" s="25"/>
      <c r="H28" s="25"/>
    </row>
    <row r="29" spans="1:8" ht="15.75">
      <c r="A29" s="25" t="s">
        <v>2009</v>
      </c>
      <c r="B29" s="25" t="s">
        <v>540</v>
      </c>
      <c r="C29" s="25" t="s">
        <v>659</v>
      </c>
      <c r="D29" s="25" t="b">
        <v>1</v>
      </c>
      <c r="E29" s="25" t="s">
        <v>2010</v>
      </c>
      <c r="F29" s="25" t="s">
        <v>2011</v>
      </c>
      <c r="G29" s="25"/>
      <c r="H29" s="25"/>
    </row>
    <row r="30" spans="1:8" ht="15.75">
      <c r="A30" s="25" t="s">
        <v>2012</v>
      </c>
      <c r="B30" s="25" t="s">
        <v>544</v>
      </c>
      <c r="C30" s="25" t="s">
        <v>663</v>
      </c>
      <c r="D30" s="25" t="b">
        <v>1</v>
      </c>
      <c r="E30" s="25" t="s">
        <v>2013</v>
      </c>
      <c r="F30" s="25" t="s">
        <v>2014</v>
      </c>
      <c r="G30" s="25"/>
      <c r="H30" s="25"/>
    </row>
    <row r="31" spans="1:8" ht="15.75">
      <c r="A31" s="25" t="s">
        <v>2015</v>
      </c>
      <c r="B31" s="25" t="s">
        <v>300</v>
      </c>
      <c r="C31" s="25" t="s">
        <v>303</v>
      </c>
      <c r="D31" s="25" t="b">
        <v>1</v>
      </c>
      <c r="E31" s="25" t="s">
        <v>2016</v>
      </c>
      <c r="F31" s="25" t="s">
        <v>2017</v>
      </c>
      <c r="G31" s="25"/>
      <c r="H31" s="25"/>
    </row>
    <row r="32" spans="1:8" ht="15.75">
      <c r="A32" s="25" t="s">
        <v>2018</v>
      </c>
      <c r="B32" s="25" t="s">
        <v>311</v>
      </c>
      <c r="C32" s="25" t="s">
        <v>315</v>
      </c>
      <c r="D32" s="25" t="b">
        <v>1</v>
      </c>
      <c r="E32" s="25" t="s">
        <v>2019</v>
      </c>
      <c r="F32" s="25" t="s">
        <v>2020</v>
      </c>
      <c r="G32" s="25"/>
      <c r="H32" s="25"/>
    </row>
    <row r="33" spans="1:8" ht="15.75">
      <c r="A33" s="25" t="s">
        <v>2021</v>
      </c>
      <c r="B33" s="25" t="s">
        <v>311</v>
      </c>
      <c r="C33" s="25" t="s">
        <v>315</v>
      </c>
      <c r="D33" s="25" t="b">
        <v>1</v>
      </c>
      <c r="E33" s="25" t="s">
        <v>2022</v>
      </c>
      <c r="F33" s="25" t="s">
        <v>2023</v>
      </c>
      <c r="G33" s="25"/>
      <c r="H33" s="25"/>
    </row>
    <row r="34" spans="1:8" ht="15.75">
      <c r="A34" s="25" t="s">
        <v>2024</v>
      </c>
      <c r="B34" s="25" t="s">
        <v>319</v>
      </c>
      <c r="C34" s="25" t="s">
        <v>320</v>
      </c>
      <c r="D34" s="25" t="b">
        <v>1</v>
      </c>
      <c r="E34" s="25" t="s">
        <v>2025</v>
      </c>
      <c r="F34" s="25" t="s">
        <v>2026</v>
      </c>
      <c r="G34" s="25"/>
      <c r="H34" s="25"/>
    </row>
    <row r="35" spans="1:8" ht="15.75">
      <c r="A35" s="25" t="s">
        <v>2027</v>
      </c>
      <c r="B35" s="25" t="s">
        <v>324</v>
      </c>
      <c r="C35" s="25" t="s">
        <v>328</v>
      </c>
      <c r="D35" s="25" t="b">
        <v>1</v>
      </c>
      <c r="E35" s="25" t="s">
        <v>2028</v>
      </c>
      <c r="F35" s="25" t="s">
        <v>2029</v>
      </c>
      <c r="G35" s="25"/>
      <c r="H35" s="25"/>
    </row>
    <row r="36" spans="1:8" ht="15.75">
      <c r="A36" s="25" t="s">
        <v>2030</v>
      </c>
      <c r="B36" s="25" t="s">
        <v>328</v>
      </c>
      <c r="C36" s="25" t="s">
        <v>331</v>
      </c>
      <c r="D36" s="25" t="b">
        <v>1</v>
      </c>
      <c r="E36" s="25" t="s">
        <v>2031</v>
      </c>
      <c r="F36" s="25" t="s">
        <v>2032</v>
      </c>
      <c r="G36" s="25"/>
      <c r="H36" s="25"/>
    </row>
    <row r="37" spans="1:8" ht="15.75">
      <c r="A37" s="25" t="s">
        <v>2033</v>
      </c>
      <c r="B37" s="25" t="s">
        <v>331</v>
      </c>
      <c r="C37" s="25" t="s">
        <v>673</v>
      </c>
      <c r="D37" s="25" t="b">
        <v>1</v>
      </c>
      <c r="E37" s="25" t="s">
        <v>2034</v>
      </c>
      <c r="F37" s="25" t="s">
        <v>2035</v>
      </c>
      <c r="G37" s="25"/>
      <c r="H37" s="25"/>
    </row>
    <row r="38" spans="1:8" ht="15.75">
      <c r="A38" s="25" t="s">
        <v>2033</v>
      </c>
      <c r="B38" s="25" t="s">
        <v>673</v>
      </c>
      <c r="C38" s="25" t="s">
        <v>1818</v>
      </c>
      <c r="D38" s="25" t="b">
        <v>1</v>
      </c>
      <c r="E38" s="25" t="s">
        <v>2036</v>
      </c>
      <c r="F38" s="25" t="s">
        <v>2037</v>
      </c>
      <c r="G38" s="25"/>
      <c r="H38" s="25"/>
    </row>
    <row r="39" spans="1:8" ht="15.75">
      <c r="A39" s="25" t="s">
        <v>2038</v>
      </c>
      <c r="B39" s="25" t="s">
        <v>1818</v>
      </c>
      <c r="C39" s="25" t="s">
        <v>1508</v>
      </c>
      <c r="D39" s="25" t="b">
        <v>1</v>
      </c>
      <c r="E39" s="25" t="s">
        <v>2039</v>
      </c>
      <c r="F39" s="25" t="s">
        <v>2040</v>
      </c>
      <c r="G39" s="25"/>
      <c r="H39" s="25"/>
    </row>
    <row r="40" spans="1:8" ht="15.75">
      <c r="A40" s="25" t="s">
        <v>2041</v>
      </c>
      <c r="B40" s="25" t="s">
        <v>335</v>
      </c>
      <c r="C40" s="25" t="s">
        <v>336</v>
      </c>
      <c r="D40" s="25" t="b">
        <v>1</v>
      </c>
      <c r="E40" s="25" t="s">
        <v>2042</v>
      </c>
      <c r="F40" s="25" t="s">
        <v>2043</v>
      </c>
      <c r="G40" s="25"/>
      <c r="H40" s="25"/>
    </row>
    <row r="41" spans="1:8" ht="15.75">
      <c r="A41" s="25" t="s">
        <v>334</v>
      </c>
      <c r="B41" s="25" t="s">
        <v>335</v>
      </c>
      <c r="C41" s="25" t="s">
        <v>336</v>
      </c>
      <c r="D41" s="25" t="b">
        <v>1</v>
      </c>
      <c r="E41" s="25" t="s">
        <v>2044</v>
      </c>
      <c r="F41" s="25" t="s">
        <v>2045</v>
      </c>
      <c r="G41" s="25"/>
      <c r="H41" s="25"/>
    </row>
    <row r="42" spans="1:8" ht="15.75">
      <c r="A42" s="25" t="s">
        <v>2046</v>
      </c>
      <c r="B42" s="25" t="s">
        <v>340</v>
      </c>
      <c r="C42" s="25" t="s">
        <v>341</v>
      </c>
      <c r="D42" s="25" t="b">
        <v>1</v>
      </c>
      <c r="E42" s="25" t="s">
        <v>2047</v>
      </c>
      <c r="F42" s="25" t="s">
        <v>2048</v>
      </c>
      <c r="G42" s="25"/>
      <c r="H42" s="25"/>
    </row>
    <row r="43" spans="1:8" ht="15.75">
      <c r="A43" s="25" t="s">
        <v>1988</v>
      </c>
      <c r="B43" s="25" t="s">
        <v>353</v>
      </c>
      <c r="C43" s="25" t="s">
        <v>354</v>
      </c>
      <c r="D43" s="25" t="b">
        <v>1</v>
      </c>
      <c r="E43" s="25" t="s">
        <v>2049</v>
      </c>
      <c r="F43" s="25" t="s">
        <v>2050</v>
      </c>
      <c r="G43" s="25"/>
      <c r="H43" s="25"/>
    </row>
    <row r="44" spans="1:8" ht="15.75">
      <c r="A44" s="25" t="s">
        <v>1991</v>
      </c>
      <c r="B44" s="25" t="s">
        <v>357</v>
      </c>
      <c r="C44" s="25" t="s">
        <v>358</v>
      </c>
      <c r="D44" s="25" t="b">
        <v>1</v>
      </c>
      <c r="E44" s="25" t="s">
        <v>2051</v>
      </c>
      <c r="F44" s="25" t="s">
        <v>2052</v>
      </c>
      <c r="G44" s="25"/>
      <c r="H44" s="25"/>
    </row>
    <row r="45" spans="1:8" ht="15.75">
      <c r="A45" s="25" t="s">
        <v>2053</v>
      </c>
      <c r="B45" s="25" t="s">
        <v>566</v>
      </c>
      <c r="C45" s="25" t="s">
        <v>362</v>
      </c>
      <c r="D45" s="25" t="b">
        <v>1</v>
      </c>
      <c r="E45" s="25" t="s">
        <v>2054</v>
      </c>
      <c r="F45" s="25" t="s">
        <v>2055</v>
      </c>
      <c r="G45" s="25"/>
      <c r="H45" s="25"/>
    </row>
    <row r="46" spans="1:8" ht="15.75">
      <c r="A46" s="25" t="s">
        <v>2056</v>
      </c>
      <c r="B46" s="25" t="s">
        <v>570</v>
      </c>
      <c r="C46" s="25" t="s">
        <v>688</v>
      </c>
      <c r="D46" s="25" t="b">
        <v>1</v>
      </c>
      <c r="E46" s="25" t="s">
        <v>2057</v>
      </c>
      <c r="F46" s="25" t="s">
        <v>2058</v>
      </c>
      <c r="G46" s="25"/>
      <c r="H46" s="25"/>
    </row>
    <row r="47" spans="1:8" ht="15.75">
      <c r="A47" s="25" t="s">
        <v>2059</v>
      </c>
      <c r="B47" s="25" t="s">
        <v>384</v>
      </c>
      <c r="C47" s="25" t="s">
        <v>387</v>
      </c>
      <c r="D47" s="25" t="b">
        <v>1</v>
      </c>
      <c r="E47" s="25" t="s">
        <v>2060</v>
      </c>
      <c r="F47" s="25" t="s">
        <v>2061</v>
      </c>
      <c r="G47" s="25"/>
      <c r="H47" s="25"/>
    </row>
    <row r="48" spans="1:8" ht="15.75">
      <c r="A48" s="25" t="s">
        <v>2062</v>
      </c>
      <c r="B48" s="25" t="s">
        <v>397</v>
      </c>
      <c r="C48" s="25" t="s">
        <v>405</v>
      </c>
      <c r="D48" s="25" t="b">
        <v>1</v>
      </c>
      <c r="E48" s="25" t="s">
        <v>2063</v>
      </c>
      <c r="F48" s="25" t="s">
        <v>2064</v>
      </c>
      <c r="G48" s="25"/>
      <c r="H48" s="25"/>
    </row>
    <row r="49" spans="1:8" ht="15.75">
      <c r="A49" s="25" t="s">
        <v>2065</v>
      </c>
      <c r="B49" s="25" t="s">
        <v>405</v>
      </c>
      <c r="C49" s="25" t="s">
        <v>409</v>
      </c>
      <c r="D49" s="25" t="b">
        <v>1</v>
      </c>
      <c r="E49" s="25" t="s">
        <v>2066</v>
      </c>
      <c r="F49" s="25" t="s">
        <v>2067</v>
      </c>
      <c r="G49" s="25"/>
      <c r="H49" s="25"/>
    </row>
    <row r="50" spans="1:8" ht="15.75">
      <c r="A50" s="25" t="s">
        <v>2068</v>
      </c>
      <c r="B50" s="25" t="s">
        <v>409</v>
      </c>
      <c r="C50" s="25" t="s">
        <v>410</v>
      </c>
      <c r="D50" s="25" t="b">
        <v>1</v>
      </c>
      <c r="E50" s="25" t="s">
        <v>2069</v>
      </c>
      <c r="F50" s="25" t="s">
        <v>2070</v>
      </c>
      <c r="G50" s="25"/>
      <c r="H50" s="25"/>
    </row>
    <row r="51" spans="1:8" ht="15.75">
      <c r="A51" s="25" t="s">
        <v>2071</v>
      </c>
      <c r="B51" s="25" t="s">
        <v>1176</v>
      </c>
      <c r="C51" s="25" t="s">
        <v>697</v>
      </c>
      <c r="D51" s="25" t="b">
        <v>1</v>
      </c>
      <c r="E51" s="25" t="s">
        <v>2072</v>
      </c>
      <c r="F51" s="25" t="s">
        <v>2073</v>
      </c>
      <c r="G51" s="25"/>
      <c r="H51" s="25"/>
    </row>
    <row r="52" spans="1:8" ht="15.75">
      <c r="A52" s="25" t="s">
        <v>2074</v>
      </c>
      <c r="B52" s="25" t="s">
        <v>863</v>
      </c>
      <c r="C52" s="25" t="s">
        <v>700</v>
      </c>
      <c r="D52" s="25" t="b">
        <v>1</v>
      </c>
      <c r="E52" s="25" t="s">
        <v>2075</v>
      </c>
      <c r="F52" s="25" t="s">
        <v>2076</v>
      </c>
      <c r="G52" s="25"/>
      <c r="H52" s="25"/>
    </row>
    <row r="53" spans="1:8" ht="15.75">
      <c r="A53" s="25" t="s">
        <v>2077</v>
      </c>
      <c r="B53" s="25" t="s">
        <v>579</v>
      </c>
      <c r="C53" s="25" t="s">
        <v>704</v>
      </c>
      <c r="D53" s="25" t="b">
        <v>1</v>
      </c>
      <c r="E53" s="25" t="s">
        <v>2078</v>
      </c>
      <c r="F53" s="25" t="s">
        <v>2079</v>
      </c>
      <c r="G53" s="25"/>
      <c r="H53" s="25"/>
    </row>
    <row r="54" spans="1:8" ht="15.75">
      <c r="A54" s="25" t="s">
        <v>2080</v>
      </c>
      <c r="B54" s="25" t="s">
        <v>876</v>
      </c>
      <c r="C54" s="25" t="s">
        <v>432</v>
      </c>
      <c r="D54" s="25" t="b">
        <v>1</v>
      </c>
      <c r="E54" s="25" t="s">
        <v>2081</v>
      </c>
      <c r="F54" s="25" t="s">
        <v>2082</v>
      </c>
      <c r="G54" s="25"/>
      <c r="H54" s="25"/>
    </row>
    <row r="55" spans="1:8" ht="15.75">
      <c r="A55" s="25" t="s">
        <v>2083</v>
      </c>
      <c r="B55" s="25" t="s">
        <v>709</v>
      </c>
      <c r="C55" s="25" t="s">
        <v>710</v>
      </c>
      <c r="D55" s="25" t="b">
        <v>1</v>
      </c>
      <c r="E55" s="25" t="s">
        <v>2084</v>
      </c>
      <c r="F55" s="25" t="s">
        <v>2085</v>
      </c>
      <c r="G55" s="25"/>
      <c r="H55" s="25"/>
    </row>
    <row r="56" spans="1:8" ht="15.75">
      <c r="A56" s="25" t="s">
        <v>2086</v>
      </c>
      <c r="B56" s="25" t="s">
        <v>1218</v>
      </c>
      <c r="C56" s="25" t="s">
        <v>1221</v>
      </c>
      <c r="D56" s="25" t="b">
        <v>1</v>
      </c>
      <c r="E56" s="25" t="s">
        <v>2087</v>
      </c>
      <c r="F56" s="25" t="s">
        <v>2088</v>
      </c>
      <c r="G56" s="25"/>
      <c r="H56" s="25"/>
    </row>
    <row r="57" spans="1:8" ht="15.75">
      <c r="A57" s="25" t="s">
        <v>2089</v>
      </c>
      <c r="B57" s="25" t="s">
        <v>1224</v>
      </c>
      <c r="C57" s="25" t="s">
        <v>717</v>
      </c>
      <c r="D57" s="25" t="b">
        <v>1</v>
      </c>
      <c r="E57" s="25" t="s">
        <v>2090</v>
      </c>
      <c r="F57" s="25" t="s">
        <v>2091</v>
      </c>
      <c r="G57" s="25"/>
      <c r="H57" s="25"/>
    </row>
    <row r="58" spans="1:8" ht="15.75">
      <c r="A58" s="25" t="s">
        <v>2092</v>
      </c>
      <c r="B58" s="25" t="s">
        <v>882</v>
      </c>
      <c r="C58" s="25" t="s">
        <v>883</v>
      </c>
      <c r="D58" s="25" t="b">
        <v>1</v>
      </c>
      <c r="E58" s="25" t="s">
        <v>2093</v>
      </c>
      <c r="F58" s="25" t="s">
        <v>2094</v>
      </c>
      <c r="G58" s="25"/>
      <c r="H58" s="25"/>
    </row>
    <row r="59" spans="1:8" ht="15.75">
      <c r="A59" s="25" t="s">
        <v>2095</v>
      </c>
      <c r="B59" s="25" t="s">
        <v>460</v>
      </c>
      <c r="C59" s="25" t="s">
        <v>461</v>
      </c>
      <c r="D59" s="25" t="b">
        <v>1</v>
      </c>
      <c r="E59" s="25" t="s">
        <v>2096</v>
      </c>
      <c r="F59" s="25" t="s">
        <v>2097</v>
      </c>
      <c r="G59" s="25"/>
      <c r="H59" s="25"/>
    </row>
    <row r="60" spans="1:8" ht="15.75">
      <c r="A60" s="25" t="s">
        <v>2098</v>
      </c>
      <c r="B60" s="25" t="s">
        <v>461</v>
      </c>
      <c r="C60" s="25" t="s">
        <v>465</v>
      </c>
      <c r="D60" s="25" t="b">
        <v>1</v>
      </c>
      <c r="E60" s="25" t="s">
        <v>2099</v>
      </c>
      <c r="F60" s="25" t="s">
        <v>2100</v>
      </c>
      <c r="G60" s="25"/>
      <c r="H60" s="25"/>
    </row>
    <row r="61" spans="1:8" ht="15.75">
      <c r="A61" s="25"/>
      <c r="B61" s="25"/>
      <c r="C61" s="25"/>
      <c r="D61" s="25"/>
      <c r="E61" s="25"/>
      <c r="F61" s="25"/>
      <c r="G61" s="25"/>
      <c r="H61" s="25"/>
    </row>
    <row r="62" spans="1:8" ht="15.75">
      <c r="A62" s="25"/>
      <c r="B62" s="25"/>
      <c r="C62" s="25"/>
      <c r="D62" s="25"/>
      <c r="E62" s="25"/>
      <c r="F62" s="25"/>
      <c r="G62" s="25"/>
      <c r="H62" s="25"/>
    </row>
    <row r="63" spans="1:8" ht="15.75">
      <c r="A63" s="25"/>
      <c r="B63" s="25"/>
      <c r="C63" s="25"/>
      <c r="D63" s="25"/>
      <c r="E63" s="25"/>
      <c r="F63" s="25"/>
      <c r="G63" s="25"/>
      <c r="H63" s="25"/>
    </row>
    <row r="64" spans="1:8" ht="15.75">
      <c r="A64" s="25"/>
      <c r="B64" s="25"/>
      <c r="C64" s="25"/>
      <c r="D64" s="25"/>
      <c r="E64" s="25"/>
      <c r="F64" s="25"/>
      <c r="G64" s="25"/>
      <c r="H64" s="25"/>
    </row>
  </sheetData>
  <sortState xmlns:xlrd2="http://schemas.microsoft.com/office/spreadsheetml/2017/richdata2" ref="A2:F51">
    <sortCondition ref="B2:B51"/>
    <sortCondition ref="C2:C51"/>
    <sortCondition ref="A2:A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2022-09-12T15:33:07Z</dcterms:created>
  <dcterms:modified xsi:type="dcterms:W3CDTF">2026-03-08T06:01:42Z</dcterms:modified>
  <cp:category/>
  <cp:contentStatus/>
</cp:coreProperties>
</file>